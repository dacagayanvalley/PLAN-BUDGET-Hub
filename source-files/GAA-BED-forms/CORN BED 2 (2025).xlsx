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8800" windowHeight="12180" tabRatio="895" activeTab="10"/>
  </bookViews>
  <sheets>
    <sheet name="PICS" sheetId="16" r:id="rId1"/>
    <sheet name="HOW TO FILL OUT" sheetId="9" r:id="rId2"/>
    <sheet name="BED 1" sheetId="11" r:id="rId3"/>
    <sheet name="BED 3" sheetId="17" r:id="rId4"/>
    <sheet name="BED 2 SUMMARY (by PAP)" sheetId="10" r:id="rId5"/>
    <sheet name="BED13 Checking" sheetId="13" r:id="rId6"/>
    <sheet name="BED2 checking" sheetId="14" r:id="rId7"/>
    <sheet name="BED13 vs BED2 checking" sheetId="12" r:id="rId8"/>
    <sheet name="comments" sheetId="15" r:id="rId9"/>
    <sheet name="CAPTURE SHEET - FINANCIAL" sheetId="8" r:id="rId10"/>
    <sheet name="CAPTURE SHEET - PHYSICAL" sheetId="1" r:id="rId11"/>
    <sheet name="PI LEVEL" sheetId="3" state="hidden" r:id="rId12"/>
    <sheet name="TAGS" sheetId="4" state="hidden" r:id="rId13"/>
    <sheet name="OU" sheetId="5" state="hidden" r:id="rId14"/>
    <sheet name="DISTRICT" sheetId="6" state="hidden" r:id="rId15"/>
    <sheet name="PAPbyCommodity" sheetId="7" state="hidden" r:id="rId16"/>
  </sheets>
  <externalReferences>
    <externalReference r:id="rId19"/>
  </externalReferences>
  <definedNames>
    <definedName name="ABRA">OU!$A$38:$A$64</definedName>
    <definedName name="AGUSAN_DEL_NORTE">OU!$BX$38:$BX$49</definedName>
    <definedName name="AGUSAN_DEL_SUR">OU!$BY$38:$BY$51</definedName>
    <definedName name="AKLAN">OU!$AN$38:$AN$54</definedName>
    <definedName name="ALBAY">OU!$AH$38:$AH$55</definedName>
    <definedName name="ANTIQUE">OU!$AO$38:$AO$55</definedName>
    <definedName name="APAYAO">OU!$B$38:$B$44</definedName>
    <definedName name="ATI">OU!$Q$3</definedName>
    <definedName name="AURORA">OU!$Q$38:$Q$45</definedName>
    <definedName name="BAGUIO_CITY">OU!$G$38</definedName>
    <definedName name="BAR">OU!$R$3</definedName>
    <definedName name="BATAAN">OU!$R$38:$R$49</definedName>
    <definedName name="BATANES">OU!$L$38:$L$43</definedName>
    <definedName name="BATANGAS">OU!$X$38:$X$71</definedName>
    <definedName name="BENGUET">OU!$C$38:$C$50</definedName>
    <definedName name="BILIRAN">OU!$AX$38:$AX$45</definedName>
    <definedName name="BOHOL">OU!$AT$38:$AT$85</definedName>
    <definedName name="BPI">OU!$S$3</definedName>
    <definedName name="BSWM">OU!$T$3</definedName>
    <definedName name="BUKIDNON">OU!$BI$38:$BI$59</definedName>
    <definedName name="BULACAN">OU!$S$38:$S$61</definedName>
    <definedName name="BUTUAN_CITY">OU!$CC$38</definedName>
    <definedName name="CAGAYAN">OU!$M$38:$M$66</definedName>
    <definedName name="CAMARINES_NORTE">OU!$AI$38:$AI$49</definedName>
    <definedName name="CAMARINES_SUR">OU!$AJ$38:$AJ$74</definedName>
    <definedName name="CAMIGUIN">OU!$BJ$38:$BJ$42</definedName>
    <definedName name="CAPIZ">OU!$AP$38:$AP$54</definedName>
    <definedName name="CAR">OU!$A$3:$A$10</definedName>
    <definedName name="Cassava">PAPbyCommodity!$C$3:$C$7</definedName>
    <definedName name="Cassava_AMEFSS">PAPbyCommodity!$E$64:$E$85</definedName>
    <definedName name="Cassava_ESETS">PAPbyCommodity!$C$64:$C$74</definedName>
    <definedName name="Cassava_INS">PAPbyCommodity!$F$64:$F$69</definedName>
    <definedName name="Cassava_PSS">PAPbyCommodity!$B$64:$B$69</definedName>
    <definedName name="Cassava_RND">PAPbyCommodity!$D$64:$D$88</definedName>
    <definedName name="CATANDUANES">OU!$AK$38:$AK$48</definedName>
    <definedName name="CAVITE">OU!$Y$38:$Y$60</definedName>
    <definedName name="CEBU">OU!$AU$38:$AU$90</definedName>
    <definedName name="Corn">PAPbyCommodity!$B$3:$B$7</definedName>
    <definedName name="Corn_AMEFSS">PAPbyCommodity!$E$10:$E$63</definedName>
    <definedName name="Corn_ESETS">PAPbyCommodity!$C$10:$C$57</definedName>
    <definedName name="Corn_INS">PAPbyCommodity!$F$10:$F$21</definedName>
    <definedName name="Corn_PSS">PAPbyCommodity!$B$10:$B$42</definedName>
    <definedName name="Corn_RND">PAPbyCommodity!$D$10:$D$39</definedName>
    <definedName name="DAVAO_CITY">OU!$BR$38</definedName>
    <definedName name="DAVAO_DE_ORO">OU!$BQ$38:$BQ$48</definedName>
    <definedName name="DAVAO_DEL_NORTE">OU!$BN$38:$BN$48</definedName>
    <definedName name="DAVAO_DEL_SUR">OU!$BO$38:$BO$47</definedName>
    <definedName name="DAVAO_OCCIDENTAL">OU!$BS$38:$BS$42</definedName>
    <definedName name="DAVAO_ORIENTAL">OU!$BP$38:$BP$48</definedName>
    <definedName name="DINAGAT_ISLANDS">OU!$BZ$38:$BZ$44</definedName>
    <definedName name="DISTRICT">DISTRICT!$A$2:$H$1744</definedName>
    <definedName name="EASTERN_SAMAR">OU!$AY$38:$AY$63</definedName>
    <definedName name="GUIMARAS">OU!$AQ$38:$AQ$42</definedName>
    <definedName name="IFUGAO">OU!$D$38:$D$48</definedName>
    <definedName name="ILOCOS_NORTE">OU!$H$38:$H$60</definedName>
    <definedName name="ILOCOS_SUR">OU!$I$38:$I$71</definedName>
    <definedName name="ILOILO">OU!$AR$38:$AR$81</definedName>
    <definedName name="ISABELA">OU!$N$38:$N$74</definedName>
    <definedName name="ISABELA_CITY">OU!$BH$38</definedName>
    <definedName name="KALINGA">OU!$E$38:$E$45</definedName>
    <definedName name="LA_UNION">OU!$J$38:$J$57</definedName>
    <definedName name="LAGUNA">OU!$Z$38:$Z$67</definedName>
    <definedName name="LANAO_DEL_NORTE">OU!$BK$38:$BK$60</definedName>
    <definedName name="LEYTE">OU!$AZ$38:$AZ$80</definedName>
    <definedName name="MARINDUQUE">OU!$AC$38:$AC$43</definedName>
    <definedName name="MASBATE">OU!$AL$38:$AL$58</definedName>
    <definedName name="MISAMIS_OCCIDENTAL">OU!$BL$38:$BL$54</definedName>
    <definedName name="MISAMIS_ORIENTAL">OU!$BM$38:$BM$63</definedName>
    <definedName name="MOUNTAIN_PROVINCE">OU!$F$38:$F$47</definedName>
    <definedName name="Multi_commodity">PAPbyCommodity!$E$3:$E$5</definedName>
    <definedName name="Multicommodity_ESETS">PAPbyCommodity!$C$127:$C$147</definedName>
    <definedName name="Multicommodity_FPMA">PAPbyCommodity!$G$127:$G$137</definedName>
    <definedName name="Multicommodity_PSS">PAPbyCommodity!$B$127:$B$153</definedName>
    <definedName name="NEGROS_OCCIDENTAL">OU!$AS$38:$AS$69</definedName>
    <definedName name="NEGROS_ORIENTAL">OU!$AV$38:$AV$62</definedName>
    <definedName name="NORTH_COTABATO">OU!$BT$38:$BT$55</definedName>
    <definedName name="NORTHERN_SAMAR">OU!$BA$38:$BA$61</definedName>
    <definedName name="NUEVA_ECIJA">OU!$T$38:$T$69</definedName>
    <definedName name="NUEVA_VIZCAYA">OU!$O$38:$O$52</definedName>
    <definedName name="OCCIDENTAL_MINDORO">OU!$AD$38:$AD$48</definedName>
    <definedName name="ORIENTAL_MINDORO">OU!$AE$38:$AE$52</definedName>
    <definedName name="OSEC">OU!$P$3</definedName>
    <definedName name="PALAWAN">OU!$AF$38:$AF$61</definedName>
    <definedName name="PAMPANGA">OU!$U$38:$U$59</definedName>
    <definedName name="PANGASINAN">OU!$K$38:$K$85</definedName>
    <definedName name="PI_LEVEL" localSheetId="3">Table53729[#All]</definedName>
    <definedName name="PI_LEVEL" localSheetId="5">Table53729[#All]</definedName>
    <definedName name="PI_LEVEL" localSheetId="7">Table53729[#All]</definedName>
    <definedName name="PI_LEVEL" localSheetId="6">Table53729[#All]</definedName>
    <definedName name="PI_LEVEL" localSheetId="9">Table53729[#All]</definedName>
    <definedName name="PI_LEVEL" localSheetId="8">[1]!Table53729[#All]</definedName>
    <definedName name="PI_LEVEL" localSheetId="0">Table53729[#All]</definedName>
    <definedName name="PI_LEVEL">Table53729[#All]</definedName>
    <definedName name="_xlnm.Print_Area" localSheetId="2">'BED 1'!$A$1:$BE$119</definedName>
    <definedName name="_xlnm.Print_Area" localSheetId="4">'BED 2 SUMMARY (by PAP)'!$A$1:$DG$125</definedName>
    <definedName name="_xlnm.Print_Area" localSheetId="3">'BED 3'!$A$1:$DS$119</definedName>
    <definedName name="_xlnm.Print_Titles" localSheetId="2">'BED 1'!$A:$C,'BED 1'!$5:$10</definedName>
    <definedName name="_xlnm.Print_Titles" localSheetId="4">'BED 2 SUMMARY (by PAP)'!$A:$C,'BED 2 SUMMARY (by PAP)'!$7:$11</definedName>
    <definedName name="_xlnm.Print_Titles" localSheetId="3">'BED 3'!$A:$C,'BED 3'!$5:$10</definedName>
    <definedName name="QUEZON">OU!$AA$38:$AA$78</definedName>
    <definedName name="QUIRINO">OU!$P$38:$P$43</definedName>
    <definedName name="REGIONAL_OFFICE">OU!$CD$38</definedName>
    <definedName name="RFOI">OU!$B$3:$B$7</definedName>
    <definedName name="RFOII">OU!$C$3:$C$8</definedName>
    <definedName name="RFOIII">OU!$D$3:$D$10</definedName>
    <definedName name="RFOIVA">OU!$E$3:$E$8</definedName>
    <definedName name="RFOIVB">OU!$F$3:$F$8</definedName>
    <definedName name="RFOIX">OU!$K$3:$K$7</definedName>
    <definedName name="RFOV">OU!$G$3:$G$9</definedName>
    <definedName name="RFOVI">OU!$H$3:$H$9</definedName>
    <definedName name="RFOVII">OU!$I$3:$I$7</definedName>
    <definedName name="RFOVIII">OU!$J$3:$J$9</definedName>
    <definedName name="RFOX">OU!$L$3:$L$8</definedName>
    <definedName name="RFOXI">OU!$M$3:$M$9</definedName>
    <definedName name="RFOXII">OU!$N$3:$N$7</definedName>
    <definedName name="RFOXIII">OU!$O$3:$O$9</definedName>
    <definedName name="RIZAL">OU!$AB$38:$AB$51</definedName>
    <definedName name="ROMBLON">OU!$AG$38:$AG$54</definedName>
    <definedName name="SAMAR">OU!$BC$38:$BC$60</definedName>
    <definedName name="SARANGANI">OU!$BU$38:$BU$44</definedName>
    <definedName name="SIQUIJOR">OU!$AW$38:$AW$43</definedName>
    <definedName name="Sorghum">PAPbyCommodity!$D$3:$D$7</definedName>
    <definedName name="Sorghum_AMEFSS">PAPbyCommodity!$E$104:$E$110</definedName>
    <definedName name="Sorghum_ESETS">PAPbyCommodity!$C$104:$C$111</definedName>
    <definedName name="Sorghum_INS">PAPbyCommodity!$F$104:$F$109</definedName>
    <definedName name="Sorghum_PSS">PAPbyCommodity!$B$104:$B$108</definedName>
    <definedName name="Sorghum_RND">PAPbyCommodity!$D$104:$D$121</definedName>
    <definedName name="SOUTH_COTABATO">OU!$BV$38:$BV$49</definedName>
    <definedName name="SOUTHERN_LEYTE">OU!$BB$38:$BB$56</definedName>
    <definedName name="Soybean">PAPbyCommodity!$F$3:$F$7</definedName>
    <definedName name="Soybean_AMEFSS">PAPbyCommodity!$E$154:$E$165</definedName>
    <definedName name="Soybean_ESETS">PAPbyCommodity!$C$154:$C$159</definedName>
    <definedName name="Soybean_INS">PAPbyCommodity!$F$154:$F$159</definedName>
    <definedName name="Soybean_PSS">PAPbyCommodity!$B$154:$B$157</definedName>
    <definedName name="Soybean_RND">PAPbyCommodity!$D$154:$D$166</definedName>
    <definedName name="SULTAN_KUDARAT">OU!$BW$38:$BW$49</definedName>
    <definedName name="SURIGAO_DEL_NORTE">OU!$CA$38:$CA$58</definedName>
    <definedName name="SURIGAO_DEL_SUR">OU!$CB$38:$CB$56</definedName>
    <definedName name="TARLAC">OU!$V$38:$V$55</definedName>
    <definedName name="ZAMBALES">OU!$W$38:$W$51</definedName>
    <definedName name="ZAMBOANGA_CITY">OU!$BG$38</definedName>
    <definedName name="ZAMBOANGA_DEL_NORTE">OU!$BD$38:$BD$64</definedName>
    <definedName name="ZAMBOANGA_DEL_SUR">OU!$BE$38:$BE$64</definedName>
    <definedName name="ZAMBOANGA_SIBUGAY">OU!$BF$38:$BF$53</definedName>
  </definedNames>
  <calcPr calcId="191029"/>
  <pivotCaches>
    <pivotCache cacheId="0" r:id="rId17"/>
    <pivotCache cacheId="1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<sst xmlns="http://schemas.openxmlformats.org/spreadsheetml/2006/main" count="33791" uniqueCount="5616">
  <si>
    <t>FY 2025 PLAN AND BUDGET PROPOSAL</t>
  </si>
  <si>
    <t>BASED ON NATIONAL EXPENDITURE PROGRAM (NEP)</t>
  </si>
  <si>
    <t xml:space="preserve">BED 2: PHYSICAL </t>
  </si>
  <si>
    <t>NAME OF OU</t>
  </si>
  <si>
    <t>PRPOPOSAL/BEDS</t>
  </si>
  <si>
    <t>BED 2 - PHYSICAL</t>
  </si>
  <si>
    <t>QUARTER</t>
  </si>
  <si>
    <t>Values</t>
  </si>
  <si>
    <t>1ST QTR</t>
  </si>
  <si>
    <t>2ND QTR</t>
  </si>
  <si>
    <t>3RD QTR</t>
  </si>
  <si>
    <t>4TH QTR</t>
  </si>
  <si>
    <t>PREXC SUB-PROGRAM</t>
  </si>
  <si>
    <t>PROVINCE</t>
  </si>
  <si>
    <t>ACTIVITY</t>
  </si>
  <si>
    <t>PHYSICAL TARGET</t>
  </si>
  <si>
    <t>GROUP BENEF</t>
  </si>
  <si>
    <t>Sum of FEMALE BENEFICIARIES</t>
  </si>
  <si>
    <t>Sum of MALE BENEFICIARIES</t>
  </si>
  <si>
    <t>ALLOCATION (Php'000)</t>
  </si>
  <si>
    <t/>
  </si>
  <si>
    <t>PSS</t>
  </si>
  <si>
    <t>Cagayan</t>
  </si>
  <si>
    <t>CagayanSeed Production - White Corn Registered Seeds</t>
  </si>
  <si>
    <t>Seed Production - White Corn Registered Seeds</t>
  </si>
  <si>
    <t>CagayanRCPT - Yellow Corn seeds</t>
  </si>
  <si>
    <t>RCPT - Yellow Corn seeds</t>
  </si>
  <si>
    <t>CagayanRCPT - Inorganic fertilizer for YC seeds</t>
  </si>
  <si>
    <t>RCPT - Inorganic fertilizer for YC seeds</t>
  </si>
  <si>
    <t>CagayanBiofertilizer</t>
  </si>
  <si>
    <t>Biofertilizer</t>
  </si>
  <si>
    <t>CagayanSoil Ameliorant</t>
  </si>
  <si>
    <t>Soil Ameliorant</t>
  </si>
  <si>
    <t>CagayanYCPEP - Yellow Corn Hybrid seeds</t>
  </si>
  <si>
    <t>YCPEP - Yellow Corn Hybrid seeds</t>
  </si>
  <si>
    <t>CagayanYCPEP - Inorganic fertilizer for YC Hybrid seeds</t>
  </si>
  <si>
    <t>YCPEP - Inorganic fertilizer for YC Hybrid seeds</t>
  </si>
  <si>
    <t>CagayanCassava Production (seed pieces)</t>
  </si>
  <si>
    <t>Cassava Production (seed pieces)</t>
  </si>
  <si>
    <t>CagayanCassava Procurement (seed pieces)</t>
  </si>
  <si>
    <t>Cassava Procurement (seed pieces)</t>
  </si>
  <si>
    <t>CagayanInorganic fertilizer for Cassava</t>
  </si>
  <si>
    <t>Inorganic fertilizer for Cassava</t>
  </si>
  <si>
    <t>Isabela</t>
  </si>
  <si>
    <t>IsabelaSeed Production - White Corn Registered Seeds</t>
  </si>
  <si>
    <t>IsabelaRCPT - Yellow Corn seeds</t>
  </si>
  <si>
    <t>IsabelaRCPT - Inorganic fertilizer for YC seeds</t>
  </si>
  <si>
    <t>IsabelaBiofertilizer</t>
  </si>
  <si>
    <t>IsabelaSoil Ameliorant</t>
  </si>
  <si>
    <t>IsabelaYCPEP - Yellow Corn Hybrid seeds</t>
  </si>
  <si>
    <t>IsabelaYCPEP - Inorganic fertilizer for YC Hybrid seeds</t>
  </si>
  <si>
    <t>IsabelaCassava Production (seed pieces)</t>
  </si>
  <si>
    <t>IsabelaCassava Procurement (seed pieces)</t>
  </si>
  <si>
    <t>IsabelaInorganic fertilizer for Cassava</t>
  </si>
  <si>
    <t>IsabelaSeed Procurement - Sorghum</t>
  </si>
  <si>
    <t>Seed Procurement - Sorghum</t>
  </si>
  <si>
    <t>IsabelaInorganic fertilizer for Sorghum</t>
  </si>
  <si>
    <t>Inorganic fertilizer for Sorghum</t>
  </si>
  <si>
    <t>IsabelaSeed Production - Soybean</t>
  </si>
  <si>
    <t>Seed Production - Soybean</t>
  </si>
  <si>
    <t>IsabelaInorganic fertilizer for Soybean</t>
  </si>
  <si>
    <t>Inorganic fertilizer for Soybean</t>
  </si>
  <si>
    <t>Nueva Vizcaya</t>
  </si>
  <si>
    <t>Nueva_Vizcaya</t>
  </si>
  <si>
    <t>Nueva VizcayaSeed Production - White Corn Registered Seeds</t>
  </si>
  <si>
    <t>Nueva VizcayaYCPEP - Yellow Corn Hybrid seeds</t>
  </si>
  <si>
    <t>Nueva VizcayaYCPEP - Inorganic fertilizer for YC Hybrid seeds</t>
  </si>
  <si>
    <t>Nueva VizcayaCassava Production (seed pieces)</t>
  </si>
  <si>
    <t>Nueva VizcayaCassava Procurement (seed pieces)</t>
  </si>
  <si>
    <t>Nueva VizcayaInorganic fertilizer for Cassava</t>
  </si>
  <si>
    <t>Quirino</t>
  </si>
  <si>
    <t>QuirinoSeed Production - White Corn Registered Seeds</t>
  </si>
  <si>
    <t>QuirinoYCPEP - Yellow Corn Hybrid seeds</t>
  </si>
  <si>
    <t>QuirinoYCPEP - Inorganic fertilizer for YC Hybrid seeds</t>
  </si>
  <si>
    <t>QuirinoCassava Production (seed pieces)</t>
  </si>
  <si>
    <t>QuirinoCassava Procurement (seed pieces)</t>
  </si>
  <si>
    <t>QuirinoInorganic fertilizer for Cassava</t>
  </si>
  <si>
    <t>Regional Office</t>
  </si>
  <si>
    <t>Regional_Office</t>
  </si>
  <si>
    <t>Regional OfficeDRRM - White Corn Seed Procured OPV</t>
  </si>
  <si>
    <t>DRRM - White Corn Seed Procured OPV</t>
  </si>
  <si>
    <t>Regional OfficeDRRM - Yellow Corn Seed Procured OPV</t>
  </si>
  <si>
    <t>DRRM - Yellow Corn Seed Procured OPV</t>
  </si>
  <si>
    <t>Regional OfficeDRRM - Yellow Corn Seed Procured Hybrid</t>
  </si>
  <si>
    <t>DRRM - Yellow Corn Seed Procured Hybrid</t>
  </si>
  <si>
    <t>Regional OfficeDRRM -  Agricultural chemicals (Insecticide in liters)</t>
  </si>
  <si>
    <t>DRRM -  Agricultural chemicals (Insecticide in liters)</t>
  </si>
  <si>
    <t>Regional OfficeDRRM -  Agricultural chemicals (Rodenticides)</t>
  </si>
  <si>
    <t>DRRM -  Agricultural chemicals (Rodenticides)</t>
  </si>
  <si>
    <t>Regional OfficeDRRM -  Agricultural chemicals (Pheromone lure)</t>
  </si>
  <si>
    <t>DRRM -  Agricultural chemicals (Pheromone lure)</t>
  </si>
  <si>
    <t>Regional OfficeDRRM -  Agricultural chemicals (Streptomycin)</t>
  </si>
  <si>
    <t>DRRM -  Agricultural chemicals (Streptomycin)</t>
  </si>
  <si>
    <t>Regional OfficeDA Stations - Hand tractor with corn planter</t>
  </si>
  <si>
    <t>DA Stations - Hand tractor with corn planter</t>
  </si>
  <si>
    <t>Regional OfficeDA Stations - Silage Chopper</t>
  </si>
  <si>
    <t>DA Stations - Silage Chopper</t>
  </si>
  <si>
    <t>Regional OfficeDA Stations - Corn Mill</t>
  </si>
  <si>
    <t>DA Stations - Corn Mill</t>
  </si>
  <si>
    <t>Regional OfficeDA Stations - Pelletizing Machine</t>
  </si>
  <si>
    <t>DA Stations - Pelletizing Machine</t>
  </si>
  <si>
    <t>Regional OfficeDA Stations - Light Cargo Truck</t>
  </si>
  <si>
    <t>DA Stations - Light Cargo Truck</t>
  </si>
  <si>
    <t>Regional OfficeDA Stations - Four-wheel Tractor (90 hp min)</t>
  </si>
  <si>
    <t>DA Stations - Four-wheel Tractor (90 hp min)</t>
  </si>
  <si>
    <t>ESETS</t>
  </si>
  <si>
    <t>CagayanModel Farm - Cassava (sites)</t>
  </si>
  <si>
    <t>Model Farm - Cassava (sites)</t>
  </si>
  <si>
    <t>CagayanSupport to LGU Extension Workers Incentives - Provincial Coordinator</t>
  </si>
  <si>
    <t>Support to LGU Extension Workers Incentives - Provincial Coordinator</t>
  </si>
  <si>
    <t>CagayanSupport to LGU Extension Workers Incentives - Municipal Agriculturist</t>
  </si>
  <si>
    <t>Support to LGU Extension Workers Incentives - Municipal Agriculturist</t>
  </si>
  <si>
    <t>CagayanSupport to LGU Extension Workers Incentives - Agricultural Extension Worker</t>
  </si>
  <si>
    <t>Support to LGU Extension Workers Incentives - Agricultural Extension Worker</t>
  </si>
  <si>
    <t>IsabelaModel Farm - Sorghum (sites)</t>
  </si>
  <si>
    <t>Model Farm - Sorghum (sites)</t>
  </si>
  <si>
    <t>IsabelaTechno-Demo Sorghum (sites)</t>
  </si>
  <si>
    <t>Techno-Demo Sorghum (sites)</t>
  </si>
  <si>
    <t>IsabelaModel Farm - Soybean (sites)</t>
  </si>
  <si>
    <t>Model Farm - Soybean (sites)</t>
  </si>
  <si>
    <t>IsabelaTechno-Demo Soybean (sites)</t>
  </si>
  <si>
    <t>Techno-Demo Soybean (sites)</t>
  </si>
  <si>
    <t>IsabelaSupport to LGU Extension Workers Incentives - Provincial Coordinator</t>
  </si>
  <si>
    <t>IsabelaSupport to LGU Extension Workers Incentives - Municipal Agriculturist</t>
  </si>
  <si>
    <t>IsabelaSupport to LGU Extension Workers Incentives - Agricultural Extension Worker</t>
  </si>
  <si>
    <t>Nueva VizcayaSupport to LGU Extension Workers Incentives - Provincial Coordinator</t>
  </si>
  <si>
    <t>Nueva VizcayaSupport to LGU Extension Workers Incentives - Agricultural Extension Worker</t>
  </si>
  <si>
    <t>QuirinoSustainable Land Management in Corn-based Sloping Areas (SLM-Corn)</t>
  </si>
  <si>
    <t>Sustainable Land Management in Corn-based Sloping Areas (SLM-Corn)</t>
  </si>
  <si>
    <t>QuirinoSupport to LGU Extension Workers Incentives - Provincial Coordinator</t>
  </si>
  <si>
    <t>QuirinoSupport to LGU Extension Workers Incentives - Municipal Agriculturist</t>
  </si>
  <si>
    <t>QuirinoSupport to LGU Extension Workers Incentives - Agricultural Extension Worker</t>
  </si>
  <si>
    <t>Regional OfficeEstablishment of Corn Derby</t>
  </si>
  <si>
    <t>Establishment of Corn Derby</t>
  </si>
  <si>
    <t>Regional OfficeTraining - Clientele-based - Corn Cluster Development training</t>
  </si>
  <si>
    <t>Training - Clientele-based - Corn Cluster Development training</t>
  </si>
  <si>
    <t>Regional OfficeTraining - Clientele-based - Corn Livelihood training</t>
  </si>
  <si>
    <t>Training - Clientele-based - Corn Livelihood training</t>
  </si>
  <si>
    <t>Regional OfficeTraining - Clientele-based - Corn Production Training</t>
  </si>
  <si>
    <t>Training - Clientele-based - Corn Production Training</t>
  </si>
  <si>
    <t>Regional OfficeTraining - Clientele-based - Integrated Pest Management Training</t>
  </si>
  <si>
    <t>Training - Clientele-based - Integrated Pest Management Training</t>
  </si>
  <si>
    <t>Regional OfficeTraining - Clientele-based - Training on Operation and Maintenance of Farm Machinery and Equipment</t>
  </si>
  <si>
    <t>Training - Clientele-based - Training on Operation and Maintenance of Farm Machinery and Equipment</t>
  </si>
  <si>
    <t>Regional OfficeAdvocacy and Information Materials  - IEC Materials Yellow Corn</t>
  </si>
  <si>
    <t>Advocacy and Information Materials  - IEC Materials Yellow Corn</t>
  </si>
  <si>
    <t>Regional OfficeTraining - Clientele-based - Cassava Livelihood training</t>
  </si>
  <si>
    <t>Training - Clientele-based - Cassava Livelihood training</t>
  </si>
  <si>
    <t>Regional OfficeTraining - Clientele-based - Cassava Production Training</t>
  </si>
  <si>
    <t>Training - Clientele-based - Cassava Production Training</t>
  </si>
  <si>
    <t>Regional OfficeAdvocacy and Information Materials  - IEC Materials Cassava</t>
  </si>
  <si>
    <t>Advocacy and Information Materials  - IEC Materials Cassava</t>
  </si>
  <si>
    <t xml:space="preserve">Regional OfficeTraining - Clientele-based - Sorghum Production Training </t>
  </si>
  <si>
    <t xml:space="preserve">Training - Clientele-based - Sorghum Production Training </t>
  </si>
  <si>
    <t>Regional OfficeAdvocacy and Information Materials  - IEC Materials Sorghum</t>
  </si>
  <si>
    <t>Advocacy and Information Materials  - IEC Materials Sorghum</t>
  </si>
  <si>
    <t xml:space="preserve">Regional OfficeTraining - Clientele-based - Soybean Production Training </t>
  </si>
  <si>
    <t xml:space="preserve">Training - Clientele-based - Soybean Production Training </t>
  </si>
  <si>
    <t>Regional OfficeAdvocacy and Information Materials  - IEC Materials Soybean</t>
  </si>
  <si>
    <t>Advocacy and Information Materials  - IEC Materials Soybean</t>
  </si>
  <si>
    <t>Regional OfficeAdvocacy and Information Materials  - Radio Plugs</t>
  </si>
  <si>
    <t>Advocacy and Information Materials  - Radio Plugs</t>
  </si>
  <si>
    <t>Regional OfficeAdvocacy and Information Materials  - TV Plugs</t>
  </si>
  <si>
    <t>Advocacy and Information Materials  - TV Plugs</t>
  </si>
  <si>
    <t>Regional OfficeCorn and Cassava Congress</t>
  </si>
  <si>
    <t>Corn and Cassava Congress</t>
  </si>
  <si>
    <t>RND</t>
  </si>
  <si>
    <t>Regional OfficeR&amp;D New Studies Conducted - Production</t>
  </si>
  <si>
    <t>R&amp;D New Studies Conducted - Production</t>
  </si>
  <si>
    <t>AMEFSS</t>
  </si>
  <si>
    <t>CagayanFarm Production - Four-wheel Tractor (90 hp min)</t>
  </si>
  <si>
    <t>Farm Production - Four-wheel Tractor (90 hp min)</t>
  </si>
  <si>
    <t>CagayanFarm Production - Double Row Corn seeder</t>
  </si>
  <si>
    <t>Farm Production - Double Row Corn seeder</t>
  </si>
  <si>
    <t>CagayanFarm Production - Mechanical four-row seeder</t>
  </si>
  <si>
    <t>Farm Production - Mechanical four-row seeder</t>
  </si>
  <si>
    <t>CagayanFarm Production - Two-row seeder</t>
  </si>
  <si>
    <t>Farm Production - Two-row seeder</t>
  </si>
  <si>
    <t>CagayanFarm Production - Pneumatic Four-row seeder</t>
  </si>
  <si>
    <t>Farm Production - Pneumatic Four-row seeder</t>
  </si>
  <si>
    <t>CagayanFarm Production - Combine Harvester</t>
  </si>
  <si>
    <t>Farm Production - Combine Harvester</t>
  </si>
  <si>
    <t>CagayanPostharvest-related - Hauling Truck (not exceeding 3000cc) - four-wheel truck</t>
  </si>
  <si>
    <t>Postharvest-related - Hauling Truck (not exceeding 3000cc) - four-wheel truck</t>
  </si>
  <si>
    <t>CagayanPostharvest-related - Corn Mill (1T/hr)</t>
  </si>
  <si>
    <t>Postharvest-related - Corn Mill (1T/hr)</t>
  </si>
  <si>
    <t>IsabelaFarm Production - Four-wheel Tractor (90 hp min)</t>
  </si>
  <si>
    <t>IsabelaFarm Production - Double Row Corn seeder</t>
  </si>
  <si>
    <t>IsabelaFarm Production - Mechanical four-row seeder</t>
  </si>
  <si>
    <t>IsabelaFarm Production - Two-row seeder</t>
  </si>
  <si>
    <t>IsabelaFarm Production - Combine Harvester</t>
  </si>
  <si>
    <t>IsabelaPostharvest-related - Hauling Truck (not exceeding 3000cc) - four-wheel truck</t>
  </si>
  <si>
    <t>IsabelaPostharvest-related - Corn Mill (1T/hr)</t>
  </si>
  <si>
    <t xml:space="preserve">IsabelaPostharvest facilities - Multi Crop Drying Pavement (MCDP) </t>
  </si>
  <si>
    <t xml:space="preserve">Postharvest facilities - Multi Crop Drying Pavement (MCDP) </t>
  </si>
  <si>
    <t>IsabelaPostharvest-related - Solar Bubble Dryer</t>
  </si>
  <si>
    <t>Postharvest-related - Solar Bubble Dryer</t>
  </si>
  <si>
    <t>IsabelaPostharvest facilities - Waste Water Treatment System</t>
  </si>
  <si>
    <t>Postharvest facilities - Waste Water Treatment System</t>
  </si>
  <si>
    <t>Nueva VizcayaFarm Production - Two-row seeder</t>
  </si>
  <si>
    <t>Nueva VizcayaPostharvest-related - Hauling Truck (not exceeding 3000cc) - four-wheel truck</t>
  </si>
  <si>
    <t>QuirinoFarm Production - Four-wheel Tractor (90 hp min)</t>
  </si>
  <si>
    <t>QuirinoFarm Production - Double Row Corn seeder</t>
  </si>
  <si>
    <t>QuirinoFarm Production - Mechanical four-row seeder</t>
  </si>
  <si>
    <t>QuirinoFarm Production - Two-row seeder</t>
  </si>
  <si>
    <t>QuirinoFarm Production - Combine Harvester</t>
  </si>
  <si>
    <t>QuirinoPostharvest-related - Hauling Truck (not exceeding 3000cc) - four-wheel truck</t>
  </si>
  <si>
    <t xml:space="preserve">QuirinoPostharvest facilities - Multi Crop Drying Pavement (MCDP) </t>
  </si>
  <si>
    <t>INS</t>
  </si>
  <si>
    <t>CagayanOpen Source Pumping Set (unit)</t>
  </si>
  <si>
    <t>Open Source Pumping Set (unit)</t>
  </si>
  <si>
    <t>CagayanMobile Solar Powered Irrigation System (unit)</t>
  </si>
  <si>
    <t>Mobile Solar Powered Irrigation System (unit)</t>
  </si>
  <si>
    <t>CagayanOpen Source Pumping Set (area)</t>
  </si>
  <si>
    <t>Open Source Pumping Set (area)</t>
  </si>
  <si>
    <t>CagayanMobile Solar Powered Irrigation System (area)</t>
  </si>
  <si>
    <t>Mobile Solar Powered Irrigation System (area)</t>
  </si>
  <si>
    <t>IsabelaOpen Source Pumping Set (unit)</t>
  </si>
  <si>
    <t>IsabelaMobile Solar Powered Irrigation System (unit)</t>
  </si>
  <si>
    <t>IsabelaOpen Source Pumping Set (area)</t>
  </si>
  <si>
    <t>IsabelaMobile Solar Powered Irrigation System (area)</t>
  </si>
  <si>
    <t>QuirinoOpen Source Pumping Set (unit)</t>
  </si>
  <si>
    <t>QuirinoMobile Solar Powered Irrigation System (unit)</t>
  </si>
  <si>
    <t>QuirinoOpen Source Pumping Set (area)</t>
  </si>
  <si>
    <t>QuirinoMobile Solar Powered Irrigation System (area)</t>
  </si>
  <si>
    <t>FPMA</t>
  </si>
  <si>
    <t>Regional OfficeSalary (Staff)</t>
  </si>
  <si>
    <t>Salary (Staff)</t>
  </si>
  <si>
    <t>Regional OfficeWorkshop and Meetings</t>
  </si>
  <si>
    <t>Workshop and Meetings</t>
  </si>
  <si>
    <t>Regional OfficeConduct of Feasibility Studies, Preparation of Detailed Engineering Design and Preparation of Program of Work</t>
  </si>
  <si>
    <t>Conduct of Feasibility Studies, Preparation of Detailed Engineering Design and Preparation of Program of Work</t>
  </si>
  <si>
    <t>Regional OfficeMonitoring and Evaluation</t>
  </si>
  <si>
    <t>Monitoring and Evaluation</t>
  </si>
  <si>
    <t>A. CAPTURE SHEET - FINANCIAL</t>
  </si>
  <si>
    <t>COLUMNS</t>
  </si>
  <si>
    <t>INSTRUCTIONS</t>
  </si>
  <si>
    <t>Select BED 1 for obligation and BED 3 for disbursement</t>
  </si>
  <si>
    <t>OU</t>
  </si>
  <si>
    <t>Select your respective OUs name</t>
  </si>
  <si>
    <t>SPECIFIC COMMODITY</t>
  </si>
  <si>
    <t>Select appropriate commodity to activate dropdown list for the "COMMODITY PREXC SUBPROGRAM" column.</t>
  </si>
  <si>
    <t>COMMODITY PREXC SUB-PROGRAM</t>
  </si>
  <si>
    <t>Select appropriate PREXC subprogram to activate the PAP list in the ACTIVITY column</t>
  </si>
  <si>
    <t>Select target activity</t>
  </si>
  <si>
    <t>TAG- GAD</t>
  </si>
  <si>
    <t>Select "YES" for activities to be committed as GAD budget (total GAD budget should be at least 5% of the total budget of the OU)</t>
  </si>
  <si>
    <t>MONTH</t>
  </si>
  <si>
    <t>Select target month of obligation or disbursement</t>
  </si>
  <si>
    <t>MOOE (Php '000)</t>
  </si>
  <si>
    <t>Input corresponding MOOE budget for the activity. Should be a whole number and the same with the submitted BP 201 and BED 2 input</t>
  </si>
  <si>
    <t>CO (Php '000)</t>
  </si>
  <si>
    <t>Input corresponding CO budget for the activity. Should be a whole number and the same with the submitted BP 201 and BED 2 input</t>
  </si>
  <si>
    <t>B. CAPTURE SHEET - PHYSICAL</t>
  </si>
  <si>
    <t>Inputting for this capture sheet is per cluster beneficiary for PSS, AMEFSS, and INS PAPs</t>
  </si>
  <si>
    <t>Select BED 2 - Physical</t>
  </si>
  <si>
    <t>Select your respective OUs name to activate the list of provinces</t>
  </si>
  <si>
    <t>CLUSTER BENEFICIARY</t>
  </si>
  <si>
    <t>Input name of cluster beneficiary. One name per row. Do not put multiple names</t>
  </si>
  <si>
    <t>Select target province</t>
  </si>
  <si>
    <t>MUNICIPALITY</t>
  </si>
  <si>
    <t>Select target municipality</t>
  </si>
  <si>
    <t>TAG-GAD</t>
  </si>
  <si>
    <t>Select target month for accomplishment of PAP</t>
  </si>
  <si>
    <t>TARGET</t>
  </si>
  <si>
    <t>Input quantity</t>
  </si>
  <si>
    <t>NEEDS AREA COVERED</t>
  </si>
  <si>
    <t>This is an autofilled column. If it says yes, please provide area covered in the area covered column</t>
  </si>
  <si>
    <t>AREA COVERED (HA)</t>
  </si>
  <si>
    <t>Provide area covered for seeds (distribution and reserve), fertilizers (inorganic/biofertilizers), agrichemicals (fungicides, insecticides, etc.), model farm, techno dmo, SLRMA</t>
  </si>
  <si>
    <t>TOTAL AMOUNT (Php'000)</t>
  </si>
  <si>
    <t>Input budget in thousand pesos</t>
  </si>
  <si>
    <t>AEW BENEFICIARIES</t>
  </si>
  <si>
    <t>Input number of AEW beneficiary. For trainings only</t>
  </si>
  <si>
    <t>MALE BENEFICIARIES</t>
  </si>
  <si>
    <t>Input number of male beneficiaries</t>
  </si>
  <si>
    <t>FEMALE BENEFICIARIES</t>
  </si>
  <si>
    <t>Input number of female beneficiaries</t>
  </si>
  <si>
    <t>GROUP BENEFICIARIES</t>
  </si>
  <si>
    <t>Input "1" since the inputting will be per cluster beneficiaries</t>
  </si>
  <si>
    <t>C. DATA GENERATION</t>
  </si>
  <si>
    <t>1. Click any of the green sheets (BED 1 and 3 Summary and BED 2 Summary).</t>
  </si>
  <si>
    <t>2. On the Toolbar, click Data.</t>
  </si>
  <si>
    <t>3. On the Data Tab, click Refresh All to update the generated data in the green sheets.</t>
  </si>
  <si>
    <t>D. DATA REVIEW/ CHECKING</t>
  </si>
  <si>
    <t>for BED13 Checking and BED13 vs BED2 sheets</t>
  </si>
  <si>
    <t>1. Click any of the orange sheets (BED13 Checking and BED13 vs BED2 sheets).</t>
  </si>
  <si>
    <t>3. On the Data Tab, click Refresh All to update the generated data in the pivot table.</t>
  </si>
  <si>
    <t>4. After refreshing the data:</t>
  </si>
  <si>
    <t xml:space="preserve">       - In BED13 Checking, compare or check if the amount inputted per expense class (MOOE/CO) in BED 1 is tally with the BED 3. Also, check if the budget inputted per PAP is correct.</t>
  </si>
  <si>
    <t xml:space="preserve">       - In BED2 Checking, check if your inputted physical targets is correct</t>
  </si>
  <si>
    <t xml:space="preserve">       - In BED13 vs BED2 checking, compare or check if the amount inputted per PAP in BED 2 is tally with the inputted amount in BEDs1 and 3.</t>
  </si>
  <si>
    <t>CY 2025 PLAN AND BUDGET PROPOSAL</t>
  </si>
  <si>
    <t>BASED ON GENERAL APPROPRIATIONS ACT (GAA)</t>
  </si>
  <si>
    <t>BED 1 OBLIGATION</t>
  </si>
  <si>
    <t>PROPOSAL/BEDS</t>
  </si>
  <si>
    <t>YEAR</t>
  </si>
  <si>
    <t>BED 1 - OBLIGATION</t>
  </si>
  <si>
    <t>BED 1 - OBLIGATION MOOE</t>
  </si>
  <si>
    <t>BED 1 - OBLIGATION CO</t>
  </si>
  <si>
    <t>BED 1 - OBLIGATION TOTAL</t>
  </si>
  <si>
    <t>BED 3 - DISBURSEMENT</t>
  </si>
  <si>
    <t>BED 3 - DISBURSEMENT MOOE</t>
  </si>
  <si>
    <t>BED 3 - DISBURSEMENT CO</t>
  </si>
  <si>
    <t>BED 3 - DISBURSEMENT TOTAL</t>
  </si>
  <si>
    <t>2025 MOOE</t>
  </si>
  <si>
    <t>2025 CO</t>
  </si>
  <si>
    <t>2025 TOTAL</t>
  </si>
  <si>
    <t>2026 MOOE</t>
  </si>
  <si>
    <t>2026 CO</t>
  </si>
  <si>
    <t>2026 TOTAL</t>
  </si>
  <si>
    <t>1ST QTR MOOE</t>
  </si>
  <si>
    <t>1ST QTR CO</t>
  </si>
  <si>
    <t>1ST QTR TOTAL</t>
  </si>
  <si>
    <t>2ND QTR MOOE</t>
  </si>
  <si>
    <t>2ND QTR CO</t>
  </si>
  <si>
    <t>2ND QTR TOTAL</t>
  </si>
  <si>
    <t>3RD QTR MOOE</t>
  </si>
  <si>
    <t>3RD QTR CO</t>
  </si>
  <si>
    <t>3RD QTR TOTAL</t>
  </si>
  <si>
    <t>4TH QTR MOOE</t>
  </si>
  <si>
    <t>4TH QTR CO</t>
  </si>
  <si>
    <t>4TH QTR TOTAL</t>
  </si>
  <si>
    <t>1ST QTR 2026</t>
  </si>
  <si>
    <t>1ST QTR 2026 MOOE</t>
  </si>
  <si>
    <t>1ST QTR 2026 CO</t>
  </si>
  <si>
    <t>1ST QTR 2026 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</si>
  <si>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</si>
  <si>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</si>
  <si>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</si>
  <si>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</si>
  <si>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</si>
  <si>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</si>
  <si>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</si>
  <si>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</si>
  <si>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</si>
  <si>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</si>
  <si>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</si>
  <si>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</si>
  <si>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FEBRUARY 2026</t>
  </si>
  <si>
    <t>JANUARY 2026</t>
  </si>
  <si>
    <t>MARCH 2026</t>
  </si>
  <si>
    <t>STRATEGY</t>
  </si>
  <si>
    <t>MOOE</t>
  </si>
  <si>
    <t>CO</t>
  </si>
  <si>
    <t>TOTAL</t>
  </si>
  <si>
    <t>OPV Seed Production</t>
  </si>
  <si>
    <t>Corn Seed Reserve</t>
  </si>
  <si>
    <t>Recommended Corn Production Technology</t>
  </si>
  <si>
    <t>Soil amendments</t>
  </si>
  <si>
    <t>Yellow Corn Production Enhancement Project</t>
  </si>
  <si>
    <t>Pest and Disease Management</t>
  </si>
  <si>
    <t>Cassava Production Enhancement Project</t>
  </si>
  <si>
    <t>Sorghum Production Enhancement Project</t>
  </si>
  <si>
    <t>Soybean Production Enhancement Project</t>
  </si>
  <si>
    <t>DA Facilities Management</t>
  </si>
  <si>
    <t>Model Farm establishment</t>
  </si>
  <si>
    <t>Techno Demo establishment</t>
  </si>
  <si>
    <t>Trainings</t>
  </si>
  <si>
    <t>Information, Education, and Communication Activities</t>
  </si>
  <si>
    <t>Extension Workers Incentives</t>
  </si>
  <si>
    <t>Special Events</t>
  </si>
  <si>
    <t>R&amp;D conducted</t>
  </si>
  <si>
    <t>Production related machinery &amp; equipment</t>
  </si>
  <si>
    <t>Postharvest related machinery &amp; equipment</t>
  </si>
  <si>
    <t>Processing related machinery &amp; equipment</t>
  </si>
  <si>
    <t>Postharvest facilities</t>
  </si>
  <si>
    <t>Small-scale Irrigation Projects</t>
  </si>
  <si>
    <t>Grand Total</t>
  </si>
  <si>
    <t>Prepared by:</t>
  </si>
  <si>
    <t>Reviewed by:</t>
  </si>
  <si>
    <t>Noted by:</t>
  </si>
  <si>
    <t>Recommending Approval:</t>
  </si>
  <si>
    <t>Approved:</t>
  </si>
  <si>
    <t>BABY JANE B. SUPAPO, ABE</t>
  </si>
  <si>
    <t>PAUL VINCENT G. BALAO, MSc</t>
  </si>
  <si>
    <t>MARVIN B. LUIS, DPA</t>
  </si>
  <si>
    <t>MACARIO B. ANDAL</t>
  </si>
  <si>
    <t>ROBERTO C. BUSANIA, DVM</t>
  </si>
  <si>
    <t>ROSE MARY G. AQUINO, Ph.D.</t>
  </si>
  <si>
    <t>Engineer II/ Corn Program Report Officer</t>
  </si>
  <si>
    <t>ACC II/ Corn Program Focal Person/</t>
  </si>
  <si>
    <t>Supervising Agriculturist/</t>
  </si>
  <si>
    <t>Chief, Budget Section</t>
  </si>
  <si>
    <t>RTD for Operations and Extension</t>
  </si>
  <si>
    <t>Regional Executive Director</t>
  </si>
  <si>
    <t>OIC-Asst. Chief, Field Operations Division</t>
  </si>
  <si>
    <t>OIC-Chief, Field Operations Division</t>
  </si>
  <si>
    <t>BED 3 DISBURSEMENT</t>
  </si>
  <si>
    <t>ATTY. PAMELA KATE L. VALLANGCA</t>
  </si>
  <si>
    <t>Accountant III/ Chief, Accounting Section</t>
  </si>
  <si>
    <t>NAME OF OU:</t>
  </si>
  <si>
    <t>2025 PHYSICAL TARGET</t>
  </si>
  <si>
    <t>2025 MALE BENEF</t>
  </si>
  <si>
    <t>2025 FEMALE BENEF</t>
  </si>
  <si>
    <t>2025 AEW BENEF</t>
  </si>
  <si>
    <t>2025 INDIV TOTAL</t>
  </si>
  <si>
    <t>2025 GROUP BENEF</t>
  </si>
  <si>
    <t>Total PHYSICAL TARGET</t>
  </si>
  <si>
    <t>Total MALE BENEF</t>
  </si>
  <si>
    <t>Total FEMALE BENEF</t>
  </si>
  <si>
    <t>Total AEW BENEF</t>
  </si>
  <si>
    <t>Total INDIV TOTAL</t>
  </si>
  <si>
    <t>Total GROUP BENEF</t>
  </si>
  <si>
    <t>1ST QTR PHYSICAL TARGET</t>
  </si>
  <si>
    <t>1ST QTR MALE BENEF</t>
  </si>
  <si>
    <t>1ST QTR FEMALE BENEF</t>
  </si>
  <si>
    <t>1ST QTR AEW BENEF</t>
  </si>
  <si>
    <t>1ST QTR INDIV TOTAL</t>
  </si>
  <si>
    <t>1ST QTR GROUP BENEF</t>
  </si>
  <si>
    <t>2ND QTR PHYSICAL TARGET</t>
  </si>
  <si>
    <t>2ND QTR MALE BENEF</t>
  </si>
  <si>
    <t>2ND QTR FEMALE BENEF</t>
  </si>
  <si>
    <t>2ND QTR AEW BENEF</t>
  </si>
  <si>
    <t>2ND QTR INDIV TOTAL</t>
  </si>
  <si>
    <t>2ND QTR GROUP BENEF</t>
  </si>
  <si>
    <t>3RD QTR PHYSICAL TARGET</t>
  </si>
  <si>
    <t>3RD QTR MALE BENEF</t>
  </si>
  <si>
    <t>3RD QTR FEMALE BENEF</t>
  </si>
  <si>
    <t>3RD QTR AEW BENEF</t>
  </si>
  <si>
    <t>3RD QTR INDIV TOTAL</t>
  </si>
  <si>
    <t>3RD QTR GROUP BENEF</t>
  </si>
  <si>
    <t>4TH QTR PHYSICAL TARGET</t>
  </si>
  <si>
    <t>4TH QTR MALE BENEF</t>
  </si>
  <si>
    <t>4TH QTR FEMALE BENEF</t>
  </si>
  <si>
    <t>4TH QTR AEW BENEF</t>
  </si>
  <si>
    <t>4TH QTR INDIV TOTAL</t>
  </si>
  <si>
    <t>4TH QTR GROUP BENEF</t>
  </si>
  <si>
    <t>MALE BENEF</t>
  </si>
  <si>
    <t>FEMALE BENEF</t>
  </si>
  <si>
    <t>AEW BENEF</t>
  </si>
  <si>
    <t>INDIV TOTAL</t>
  </si>
  <si>
    <t>(blank)</t>
  </si>
  <si>
    <t>Service area generated</t>
  </si>
  <si>
    <t>BERNADETTE T. GALOSO</t>
  </si>
  <si>
    <t>OIC-Chief, PMED</t>
  </si>
  <si>
    <t>PROPOSAL</t>
  </si>
  <si>
    <t>vs BED 1</t>
  </si>
  <si>
    <t>vs BED 3</t>
  </si>
  <si>
    <t>BED 1 vs BED 3</t>
  </si>
  <si>
    <t>Postharvest-related - Forage Chopper</t>
  </si>
  <si>
    <t>Postharvest-related - Corn Mill (250kg/hr)</t>
  </si>
  <si>
    <t>Sum of TOTAL INDIV</t>
  </si>
  <si>
    <t>Seed Production - White Corn Registered Seeds Total</t>
  </si>
  <si>
    <t>DRRM - White Corn Seed Procured OPV Total</t>
  </si>
  <si>
    <t>RCPT - Yellow Corn seeds Total</t>
  </si>
  <si>
    <t>RCPT - Inorganic fertilizer for YC seeds Total</t>
  </si>
  <si>
    <t>Biofertilizer Total</t>
  </si>
  <si>
    <t>Soil Ameliorant Total</t>
  </si>
  <si>
    <t>YCPEP - Yellow Corn Hybrid seeds Total</t>
  </si>
  <si>
    <t>YCPEP - Inorganic fertilizer for YC Hybrid seeds Total</t>
  </si>
  <si>
    <t>DRRM - Yellow Corn Seed Procured OPV Total</t>
  </si>
  <si>
    <t>DRRM - Yellow Corn Seed Procured Hybrid Total</t>
  </si>
  <si>
    <t>DRRM -  Agricultural chemicals (Insecticide in liters) Total</t>
  </si>
  <si>
    <t>DRRM -  Agricultural chemicals (Rodenticides) Total</t>
  </si>
  <si>
    <t>DRRM -  Agricultural chemicals (Pheromone lure) Total</t>
  </si>
  <si>
    <t>Cassava Production (seed pieces) Total</t>
  </si>
  <si>
    <t>Cassava Procurement (seed pieces) Total</t>
  </si>
  <si>
    <t>Inorganic fertilizer for Cassava Total</t>
  </si>
  <si>
    <t>DRRM -  Agricultural chemicals (Streptomycin) Total</t>
  </si>
  <si>
    <t>Seed Procurement - Sorghum Total</t>
  </si>
  <si>
    <t>Inorganic fertilizer for Sorghum Total</t>
  </si>
  <si>
    <t>Seed Production - Soybean Total</t>
  </si>
  <si>
    <t>Inorganic fertilizer for Soybean Total</t>
  </si>
  <si>
    <t>DA Stations - Hand tractor with corn planter Total</t>
  </si>
  <si>
    <t>DA Stations - Silage Chopper Total</t>
  </si>
  <si>
    <t>DA Stations - Corn Mill Total</t>
  </si>
  <si>
    <t>DA Stations - Pelletizing Machine Total</t>
  </si>
  <si>
    <t>DA Stations - Light Cargo Truck Total</t>
  </si>
  <si>
    <t>DA Stations - Four-wheel Tractor (90 hp min) Total</t>
  </si>
  <si>
    <t>PSS Total</t>
  </si>
  <si>
    <t>Sustainable Land Management in Corn-based Sloping Areas (SLM-Corn) Total</t>
  </si>
  <si>
    <t>Establishment of Corn Derby Total</t>
  </si>
  <si>
    <t>Training - Clientele-based - Corn Cluster Development training Total</t>
  </si>
  <si>
    <t>Training - Clientele-based - Corn Livelihood training Total</t>
  </si>
  <si>
    <t>Training - Clientele-based - Corn Production Training Total</t>
  </si>
  <si>
    <t>Training - Clientele-based - Integrated Pest Management Training Total</t>
  </si>
  <si>
    <t>Training - Clientele-based - Training on Operation and Maintenance of Farm Machinery and Equipment Total</t>
  </si>
  <si>
    <t>Advocacy and Information Materials  - IEC Materials Yellow Corn Total</t>
  </si>
  <si>
    <t>Model Farm - Cassava (sites) Total</t>
  </si>
  <si>
    <t>Training - Clientele-based - Cassava Livelihood training Total</t>
  </si>
  <si>
    <t>Training - Clientele-based - Cassava Production Training Total</t>
  </si>
  <si>
    <t>Advocacy and Information Materials  - IEC Materials Cassava Total</t>
  </si>
  <si>
    <t>Model Farm - Sorghum (sites) Total</t>
  </si>
  <si>
    <t>Techno-Demo Sorghum (sites) Total</t>
  </si>
  <si>
    <t>Training - Clientele-based - Sorghum Production Training  Total</t>
  </si>
  <si>
    <t>Advocacy and Information Materials  - IEC Materials Sorghum Total</t>
  </si>
  <si>
    <t>Model Farm - Soybean (sites) Total</t>
  </si>
  <si>
    <t>Techno-Demo Soybean (sites) Total</t>
  </si>
  <si>
    <t>Training - Clientele-based - Soybean Production Training  Total</t>
  </si>
  <si>
    <t>Advocacy and Information Materials  - IEC Materials Soybean Total</t>
  </si>
  <si>
    <t>Support to LGU Extension Workers Incentives - Provincial Coordinator Total</t>
  </si>
  <si>
    <t>Support to LGU Extension Workers Incentives - Municipal Agriculturist Total</t>
  </si>
  <si>
    <t>Support to LGU Extension Workers Incentives - Agricultural Extension Worker Total</t>
  </si>
  <si>
    <t>Advocacy and Information Materials  - Radio Plugs Total</t>
  </si>
  <si>
    <t>Advocacy and Information Materials  - TV Plugs Total</t>
  </si>
  <si>
    <t>Corn and Cassava Congress Total</t>
  </si>
  <si>
    <t>ESETS Total</t>
  </si>
  <si>
    <t>R&amp;D New Studies Conducted - Production Total</t>
  </si>
  <si>
    <t>RND Total</t>
  </si>
  <si>
    <t>Farm Production - Four-wheel Tractor (90 hp min) Total</t>
  </si>
  <si>
    <t>Farm Production - Double Row Corn seeder Total</t>
  </si>
  <si>
    <t>Farm Production - Mechanical four-row seeder Total</t>
  </si>
  <si>
    <t>Farm Production - Two-row seeder Total</t>
  </si>
  <si>
    <t>Farm Production - Pneumatic Four-row seeder Total</t>
  </si>
  <si>
    <t>Farm Production - Combine Harvester Total</t>
  </si>
  <si>
    <t>Postharvest-related - Hauling Truck (not exceeding 3000cc) - four-wheel truck Total</t>
  </si>
  <si>
    <t>Postharvest-related - Corn Mill (1T/hr) Total</t>
  </si>
  <si>
    <t>Postharvest facilities - Multi Crop Drying Pavement (MCDP)  Total</t>
  </si>
  <si>
    <t>Postharvest-related - Solar Bubble Dryer Total</t>
  </si>
  <si>
    <t>Postharvest facilities - Waste Water Treatment System Total</t>
  </si>
  <si>
    <t>Postharvest-related - Corn Mill (250kg/hr) Total</t>
  </si>
  <si>
    <t>Postharvest-related - Forage Chopper Total</t>
  </si>
  <si>
    <t>AMEFSS Total</t>
  </si>
  <si>
    <t>Open Source Pumping Set (unit) Total</t>
  </si>
  <si>
    <t>Mobile Solar Powered Irrigation System (unit) Total</t>
  </si>
  <si>
    <t>Open Source Pumping Set (area) Total</t>
  </si>
  <si>
    <t>Mobile Solar Powered Irrigation System (area) Total</t>
  </si>
  <si>
    <t>INS Total</t>
  </si>
  <si>
    <t>Salary (Staff) Total</t>
  </si>
  <si>
    <t>Workshop and Meetings Total</t>
  </si>
  <si>
    <t>Conduct of Feasibility Studies, Preparation of Detailed Engineering Design and Preparation of Program of Work Total</t>
  </si>
  <si>
    <t>Monitoring and Evaluation Total</t>
  </si>
  <si>
    <t>FPMA Total</t>
  </si>
  <si>
    <t>BED 1 OBLIGATION AND BED 3 DISBURSEMENT</t>
  </si>
  <si>
    <t>Sum of TOTAL (Php '000)</t>
  </si>
  <si>
    <t>Yung mga Group Benef po sa PSS, pakilagyan ng number of individual for group</t>
  </si>
  <si>
    <t>Nagbawas po kayo benef sa Quirino?</t>
  </si>
  <si>
    <t>edited</t>
  </si>
  <si>
    <t>Pakicheck po, walang benef na nakalagay</t>
  </si>
  <si>
    <t>ok</t>
  </si>
  <si>
    <t>Corn Congress</t>
  </si>
  <si>
    <t>Corn Congress Total</t>
  </si>
  <si>
    <t>Di rin po nalagyan ng number of participants</t>
  </si>
  <si>
    <t>Sustainable Land Resources Management Approach Site Establishment</t>
  </si>
  <si>
    <t>Sustainable Land Resources Management Approach Site Establishment Total</t>
  </si>
  <si>
    <t>R&amp;D New Studies Funded - Production</t>
  </si>
  <si>
    <t>R&amp;D New Studies Funded - Production Total</t>
  </si>
  <si>
    <t>Yung corn mill na target nyo po eh yung 1T talaga?</t>
  </si>
  <si>
    <t>oo mam</t>
  </si>
  <si>
    <t>Nirequest din po ito sa APMV, ano po ba ito, may otor vehicle component?</t>
  </si>
  <si>
    <t>with APMV mam, tractor with forage chopper</t>
  </si>
  <si>
    <t>Di nyo po ata nalagyan ng physical target</t>
  </si>
  <si>
    <t xml:space="preserve">Pakilagyan po ng indicator, isa po ito sa committed </t>
  </si>
  <si>
    <t>Pakiadd na din po yung additional allocation nyo sa FPMA</t>
  </si>
  <si>
    <t>added na mam</t>
  </si>
  <si>
    <t>GROUP</t>
  </si>
  <si>
    <t>COMMODITY</t>
  </si>
  <si>
    <t>PREXC PROGRAM</t>
  </si>
  <si>
    <t>PI LEVEL 1</t>
  </si>
  <si>
    <t>PI LEVEL 2</t>
  </si>
  <si>
    <t>PI LEVEL 3</t>
  </si>
  <si>
    <t>BRIEFER SUMMARY</t>
  </si>
  <si>
    <t>BRIEFER/PPT SUMMARY</t>
  </si>
  <si>
    <t>TAG-CLIMATE CHANGE</t>
  </si>
  <si>
    <t>TAG-SENATE</t>
  </si>
  <si>
    <t>TAG-PIP</t>
  </si>
  <si>
    <t>TAG-PICS</t>
  </si>
  <si>
    <t>8 PARADIGM</t>
  </si>
  <si>
    <t>ONE DA</t>
  </si>
  <si>
    <t>SEC LAUREL</t>
  </si>
  <si>
    <t>TYPE OF PROJECT</t>
  </si>
  <si>
    <t>INDICATOR TYPE</t>
  </si>
  <si>
    <t>SEMESTER</t>
  </si>
  <si>
    <t>TOTAL (Php '000)</t>
  </si>
  <si>
    <t>blank prop/beds</t>
  </si>
  <si>
    <t>blank ou</t>
  </si>
  <si>
    <t>blank specific commodity</t>
  </si>
  <si>
    <t>blank commodity subprogram</t>
  </si>
  <si>
    <t>blank activity</t>
  </si>
  <si>
    <t>blank GAD</t>
  </si>
  <si>
    <t>blank month</t>
  </si>
  <si>
    <t>blank MOOE</t>
  </si>
  <si>
    <t>blank CO</t>
  </si>
  <si>
    <t>RFOII</t>
  </si>
  <si>
    <t>White Corn</t>
  </si>
  <si>
    <t>Corn_PSS</t>
  </si>
  <si>
    <t>NO</t>
  </si>
  <si>
    <t>Yellow Corn</t>
  </si>
  <si>
    <t>Cassava</t>
  </si>
  <si>
    <t>Cassava_PSS</t>
  </si>
  <si>
    <t>Sorghum</t>
  </si>
  <si>
    <t>Sorghum_PSS</t>
  </si>
  <si>
    <t>Soybean</t>
  </si>
  <si>
    <t>Soybean_PSS</t>
  </si>
  <si>
    <t>Multi_commodity</t>
  </si>
  <si>
    <t>Multicommodity_PSS</t>
  </si>
  <si>
    <t>Corn_ESETS</t>
  </si>
  <si>
    <t>YES</t>
  </si>
  <si>
    <t>Cassava_ESETS</t>
  </si>
  <si>
    <t>Sorghum_ESETS</t>
  </si>
  <si>
    <t>Soybean_ESETS</t>
  </si>
  <si>
    <t>Multicommodity_ESETS</t>
  </si>
  <si>
    <t>Corn_RND</t>
  </si>
  <si>
    <t>Corn_AMEFSS</t>
  </si>
  <si>
    <t>Cassava_AMEFSS</t>
  </si>
  <si>
    <t>Corn_INS</t>
  </si>
  <si>
    <t>Multicommodity_FPMA</t>
  </si>
  <si>
    <t>DISTRICT</t>
  </si>
  <si>
    <t>PSGC</t>
  </si>
  <si>
    <t>INCOME CLASS</t>
  </si>
  <si>
    <t>UNIT OF MEASURE</t>
  </si>
  <si>
    <t>TOTAL INDIV</t>
  </si>
  <si>
    <t>NEEDS GROUP BENEF</t>
  </si>
  <si>
    <t>blank prov</t>
  </si>
  <si>
    <t>blank municipality</t>
  </si>
  <si>
    <t>blankspecificcommodity</t>
  </si>
  <si>
    <t>blank prexc</t>
  </si>
  <si>
    <t>blank TARGET</t>
  </si>
  <si>
    <t>blank AREA</t>
  </si>
  <si>
    <t>blank amount</t>
  </si>
  <si>
    <t>blank indiv</t>
  </si>
  <si>
    <t>blank aew</t>
  </si>
  <si>
    <t>blank male</t>
  </si>
  <si>
    <t>blank female</t>
  </si>
  <si>
    <t>blank GROUP</t>
  </si>
  <si>
    <t>blank MONTH</t>
  </si>
  <si>
    <t>blank cluster</t>
  </si>
  <si>
    <t>blank obli/disb</t>
  </si>
  <si>
    <t>ALCALA</t>
  </si>
  <si>
    <t>PAMPLONA</t>
  </si>
  <si>
    <t>SANTO TOMAS</t>
  </si>
  <si>
    <t>CABAGAN</t>
  </si>
  <si>
    <t>SAN PABLO</t>
  </si>
  <si>
    <t>SANTA MARIA</t>
  </si>
  <si>
    <t>DUPAX DEL SUR</t>
  </si>
  <si>
    <t>DIFFUN</t>
  </si>
  <si>
    <t>GONZAGA</t>
  </si>
  <si>
    <t>LASAM</t>
  </si>
  <si>
    <t>TUGUEGARAO CITY (Capital)</t>
  </si>
  <si>
    <t>CITY OF ILAGAN (Capital)</t>
  </si>
  <si>
    <t>SAN GUILLERMO</t>
  </si>
  <si>
    <t>DUPAX DEL NORTE</t>
  </si>
  <si>
    <t>KAYAPA</t>
  </si>
  <si>
    <t>AGLIPAY</t>
  </si>
  <si>
    <t>CABARROGUIS (Capital)</t>
  </si>
  <si>
    <t>MADDELA</t>
  </si>
  <si>
    <t>White Corn Growers Association</t>
  </si>
  <si>
    <t>Sunrise Multi-Purpose Cooperative</t>
  </si>
  <si>
    <t>GATTARAN</t>
  </si>
  <si>
    <t>Northern Tumauini Cereal and Dairy Farmers Cooperative</t>
  </si>
  <si>
    <t>TUMAUINI</t>
  </si>
  <si>
    <t>Villa Luna Multi-Purpose Cooperative</t>
  </si>
  <si>
    <t>CITY OF CAUAYAN</t>
  </si>
  <si>
    <t>BAGGAO</t>
  </si>
  <si>
    <t>BUGUEY</t>
  </si>
  <si>
    <t>LAL-LO</t>
  </si>
  <si>
    <t>SANTA ANA</t>
  </si>
  <si>
    <t>CAMALANIUGAN</t>
  </si>
  <si>
    <t>SANTA TERESITA</t>
  </si>
  <si>
    <t>ABULUG</t>
  </si>
  <si>
    <t>CALAYAN</t>
  </si>
  <si>
    <t>PIAT</t>
  </si>
  <si>
    <t>RIZAL</t>
  </si>
  <si>
    <t>SANTO NIÑO (FAIRE)</t>
  </si>
  <si>
    <t>AMULUNG</t>
  </si>
  <si>
    <t>ENRILE</t>
  </si>
  <si>
    <t>IGUIG</t>
  </si>
  <si>
    <t>PEÑABLANCA</t>
  </si>
  <si>
    <t>SOLANA</t>
  </si>
  <si>
    <t>TUAO</t>
  </si>
  <si>
    <t>DELFIN ALBANO (MAGSAYSAY)</t>
  </si>
  <si>
    <t>BENITO SOLIVEN</t>
  </si>
  <si>
    <t>GAMU</t>
  </si>
  <si>
    <t>NAGUILIAN</t>
  </si>
  <si>
    <t>PALANAN</t>
  </si>
  <si>
    <t>REINA MERCEDES</t>
  </si>
  <si>
    <t>SAN MARIANO</t>
  </si>
  <si>
    <t>ALICIA</t>
  </si>
  <si>
    <t>ANGADANAN</t>
  </si>
  <si>
    <t>CABATUAN</t>
  </si>
  <si>
    <t>RAMON</t>
  </si>
  <si>
    <t>SAN MATEO</t>
  </si>
  <si>
    <t>CITY OF SANTIAGO</t>
  </si>
  <si>
    <t>CORDON</t>
  </si>
  <si>
    <t>JONES</t>
  </si>
  <si>
    <t>SAN AGUSTIN</t>
  </si>
  <si>
    <t>AURORA</t>
  </si>
  <si>
    <t>BURGOS</t>
  </si>
  <si>
    <t>LUNA</t>
  </si>
  <si>
    <t>MALLIG</t>
  </si>
  <si>
    <t>QUEZON</t>
  </si>
  <si>
    <t>QUIRINO</t>
  </si>
  <si>
    <t>ROXAS</t>
  </si>
  <si>
    <t>SAN MANUEL</t>
  </si>
  <si>
    <t>ECHAGUE</t>
  </si>
  <si>
    <t>SAN ISIDRO</t>
  </si>
  <si>
    <t>VILLAVERDE</t>
  </si>
  <si>
    <t>DIADI</t>
  </si>
  <si>
    <t>SOLANO</t>
  </si>
  <si>
    <t>BAYOMBONG (Capital)</t>
  </si>
  <si>
    <t>BAGABAG</t>
  </si>
  <si>
    <t>BAMBANG</t>
  </si>
  <si>
    <t>KASIBU</t>
  </si>
  <si>
    <t>NAGTIPUNAN</t>
  </si>
  <si>
    <t>SAGUDAY</t>
  </si>
  <si>
    <t>APARRI</t>
  </si>
  <si>
    <t>ALLACAPAN</t>
  </si>
  <si>
    <t>Bantay Farmers ARB</t>
  </si>
  <si>
    <t>Taguntungan Farmers Association</t>
  </si>
  <si>
    <t>Agdidinnanggay Farmers Association</t>
  </si>
  <si>
    <t>Asosasyon ng mga Ama-Syudad ng Ilagan (AMA-SILA)</t>
  </si>
  <si>
    <t>Christian Farmers Multi-Purpose Cooperative</t>
  </si>
  <si>
    <t>Dalena Farmers  Agriculture Cooperative</t>
  </si>
  <si>
    <t>Cagayan Valley Region Ranchers Association, Inc.</t>
  </si>
  <si>
    <t>Dumanisi Agrarian Reform Beneficiaries Cooperative</t>
  </si>
  <si>
    <t>Maddela Integrated Farmers Savings Development Cooperative</t>
  </si>
  <si>
    <t>Farm Tech Agriculture Cooperative</t>
  </si>
  <si>
    <t>Sto. Domingo Multi-Purpose Cooperative</t>
  </si>
  <si>
    <t>San Lorenzo Farmers Cooperative Association</t>
  </si>
  <si>
    <t>Reina Mercedes Farmers Cooperative</t>
  </si>
  <si>
    <t>San Agustin Dairy Cooperative</t>
  </si>
  <si>
    <t>Upper Forest Region Agrarian Reform Cooperative</t>
  </si>
  <si>
    <t>Progreso Farmers Association</t>
  </si>
  <si>
    <t>Sicalao Agriculture Cooperative</t>
  </si>
  <si>
    <t>Pentur Farmers Cooperative</t>
  </si>
  <si>
    <t>Sto. Rosario Cassava, Rice and Corn Credit Cooperative</t>
  </si>
  <si>
    <t>Samahan ng mga Magsasaka sa Capellan Multi-Purpose Cooperative</t>
  </si>
  <si>
    <t>Bannawing Multi-Purpose Cooperative</t>
  </si>
  <si>
    <t>Mabbayad Farmers Association</t>
  </si>
  <si>
    <t>Runruno Multi-Purpose Cooperative</t>
  </si>
  <si>
    <t>Villarose Farmers Association</t>
  </si>
  <si>
    <t>San Dionisio 2 Farmers Association</t>
  </si>
  <si>
    <t>Buguey Diversified Farmers Agriculture Cooperative</t>
  </si>
  <si>
    <t>Penatuca Agrarian Reform Community</t>
  </si>
  <si>
    <t>Sang-gir iti Mannalon Agri Cooperative</t>
  </si>
  <si>
    <t>Angadanan Forest Region Agrarian Reform Cooperative</t>
  </si>
  <si>
    <t>Wigan Settlers Multi-Purpose Cooperative</t>
  </si>
  <si>
    <t>Nagtipunan Upland Farmers Agriculture Cooperative</t>
  </si>
  <si>
    <t>Salamin Multi-Purpose Cooperative</t>
  </si>
  <si>
    <t>Valley High Value Agriculture Cooperative</t>
  </si>
  <si>
    <t>New Tumauini Tobacco Agriculture Cooperative</t>
  </si>
  <si>
    <t>Diodol Farmers Association</t>
  </si>
  <si>
    <t>Banuar Farmers Association</t>
  </si>
  <si>
    <t>Ricarte Sur Farmers Association</t>
  </si>
  <si>
    <t>Villa TJ Upland Farmers Association</t>
  </si>
  <si>
    <t>Cabugao Multi-Crop Farmers Cooperative</t>
  </si>
  <si>
    <t>San Mariano Diversified Producers Cooperative</t>
  </si>
  <si>
    <t>Agani Multi-Purpose Cooperative</t>
  </si>
  <si>
    <t>San Esteban Farmers Cooperative</t>
  </si>
  <si>
    <t>Aquib Farmers Association</t>
  </si>
  <si>
    <t>Apayao Piat Agiculture Cooperative</t>
  </si>
  <si>
    <t>Masi Farmers Association/Pagbangkeruan Farmers Association</t>
  </si>
  <si>
    <t>San Isidro Solidarity Farmers Association</t>
  </si>
  <si>
    <t>San Isidro Labrador Agriculture Cooperative</t>
  </si>
  <si>
    <t>Inga Farmers Association</t>
  </si>
  <si>
    <t>Lemu Farmers Agriculture Cooperative</t>
  </si>
  <si>
    <t>Simanu ARB</t>
  </si>
  <si>
    <t>Dalena Farmers Agricultural Cooperative</t>
  </si>
  <si>
    <t>Christian Farmers MPC</t>
  </si>
  <si>
    <t>Holy Trinity Agro-Forestry Multi-Purpose Cooperative</t>
  </si>
  <si>
    <t>Cabisera 25 Multi-Crop Farmers Association</t>
  </si>
  <si>
    <t>San Isidro Sta Maria Farmers Association</t>
  </si>
  <si>
    <t>Group Of Hardworking Farmers of Yeban Sur</t>
  </si>
  <si>
    <t>Alay Kapwa ng Maluno Sur</t>
  </si>
  <si>
    <t>Aurora Vegetable Growers Association</t>
  </si>
  <si>
    <t>Cauayan Forest Region Farmers Association</t>
  </si>
  <si>
    <t>Anak Bakir OFW Farmers Association</t>
  </si>
  <si>
    <t>San Pascual Farmers Association</t>
  </si>
  <si>
    <t>San Dionisio II Farmers Association</t>
  </si>
  <si>
    <t>Penatuca ARC Cooperative</t>
  </si>
  <si>
    <t>Performance Indicator Level 3</t>
  </si>
  <si>
    <t>Performance Indicator Level 2</t>
  </si>
  <si>
    <t>Performance Indicator Level 1</t>
  </si>
  <si>
    <t>Units</t>
  </si>
  <si>
    <t>Sub-Program</t>
  </si>
  <si>
    <t>Client</t>
  </si>
  <si>
    <t>Indicator Type</t>
  </si>
  <si>
    <t>PROGRAM 1: TECHNICAL AND SUPPORT SERVICES PROGRAM</t>
  </si>
  <si>
    <t>SubProgram: PRODUCTION SUPPORT SERVICES</t>
  </si>
  <si>
    <t>Beneficiaries rating the production support delivered to be at least satisfactory</t>
  </si>
  <si>
    <t>Beneficiaries rating the goods or services delivered to be at least satisfactory</t>
  </si>
  <si>
    <t>percent</t>
  </si>
  <si>
    <t>Production Support Services</t>
  </si>
  <si>
    <t>External</t>
  </si>
  <si>
    <t>PREXC</t>
  </si>
  <si>
    <t>Deliveries of production support validated by beneficiaries to have been delivered at the appropriate time</t>
  </si>
  <si>
    <t>Deliveries of goods and services validated by beneficiaries to have been delivered at the appropriate time</t>
  </si>
  <si>
    <t>Provinces assisted with production support services</t>
  </si>
  <si>
    <t>LGUs assisted with production support services</t>
  </si>
  <si>
    <t>number</t>
  </si>
  <si>
    <t>Certified Rice Seeds distributed</t>
  </si>
  <si>
    <t>Rice Seeds distributed</t>
  </si>
  <si>
    <t>Seeds distributed</t>
  </si>
  <si>
    <t>kilogram</t>
  </si>
  <si>
    <t>DA-Level Output</t>
  </si>
  <si>
    <t>Hybrid Rice seeds distributed</t>
  </si>
  <si>
    <t>Registered Rice Seeds distributed</t>
  </si>
  <si>
    <t>Foundation Rice Seeds distributed</t>
  </si>
  <si>
    <t>Other Rice seeds distributed</t>
  </si>
  <si>
    <t>White Corn Seeds distributed</t>
  </si>
  <si>
    <t>Corn Seeds distributed</t>
  </si>
  <si>
    <t>Yellow Corn Seeds distributed</t>
  </si>
  <si>
    <t>Fruit Seeds distributed</t>
  </si>
  <si>
    <t>Lowland Vegetable Seeds distributed</t>
  </si>
  <si>
    <t>Vegetable Seeds distributed</t>
  </si>
  <si>
    <t>Highland Vegetable Seeds distributed</t>
  </si>
  <si>
    <t>Garlic Seeds distributed</t>
  </si>
  <si>
    <t>Onion Seeds distributed</t>
  </si>
  <si>
    <t>Soybean Seeds distributed</t>
  </si>
  <si>
    <t>Other Vegetable Seeds distributed</t>
  </si>
  <si>
    <t>Other Seeds distributed</t>
  </si>
  <si>
    <t>Sorghum Seeds distributed</t>
  </si>
  <si>
    <t>Forage Seeds distributed</t>
  </si>
  <si>
    <t>Inorganic fertilizer distributed</t>
  </si>
  <si>
    <t>Fertilizers distributed</t>
  </si>
  <si>
    <t>Fertilizers and other soil ammendment distributed</t>
  </si>
  <si>
    <t>Organic fertilizer distributed</t>
  </si>
  <si>
    <t>Foliar fertilizer distributed (liter)</t>
  </si>
  <si>
    <t>liter</t>
  </si>
  <si>
    <t>Foliar fertilizer distributed (kg)</t>
  </si>
  <si>
    <t>Compost Fungus Activator distributed</t>
  </si>
  <si>
    <t>Biofertilizer distributed (kg)</t>
  </si>
  <si>
    <t>Biofertilizer distributed (pack)</t>
  </si>
  <si>
    <t>pack</t>
  </si>
  <si>
    <t>Soil Inoculants distributed</t>
  </si>
  <si>
    <t>Soil ammendment distributed (kg)</t>
  </si>
  <si>
    <t>Soil ammendment distributed</t>
  </si>
  <si>
    <t>Soil ammendment distributed (liter)</t>
  </si>
  <si>
    <t>Agri-chemicals distributed (liter)</t>
  </si>
  <si>
    <t>Agri-chemicals distributed</t>
  </si>
  <si>
    <t>Agri-chemicals distributed (gallon)</t>
  </si>
  <si>
    <t>gallon</t>
  </si>
  <si>
    <t>Agri-chemicals distributed (pc)</t>
  </si>
  <si>
    <t>piece</t>
  </si>
  <si>
    <t>Agri-chemicals distributed (kg)</t>
  </si>
  <si>
    <t>Botanical pesticides distributed (liter)</t>
  </si>
  <si>
    <t>Botanical pesticides distributed (kg)</t>
  </si>
  <si>
    <t>Botanical pesticides distributed (pc)</t>
  </si>
  <si>
    <t>Bio-Con agent distributed (kg)</t>
  </si>
  <si>
    <t>Biological Control agent distributed</t>
  </si>
  <si>
    <t>Biological control agent distributed</t>
  </si>
  <si>
    <t>Bio-Con agent distributed (pc)</t>
  </si>
  <si>
    <t>Bio-Con agent distributed (card)</t>
  </si>
  <si>
    <t>card</t>
  </si>
  <si>
    <t>Bio-Con agent distributed (bag)</t>
  </si>
  <si>
    <t>bag</t>
  </si>
  <si>
    <t>Biologic, vaccine and drug distributed</t>
  </si>
  <si>
    <t>dose</t>
  </si>
  <si>
    <t>Potato planting material distributed</t>
  </si>
  <si>
    <t>Alternative staple food crops planting material distributed</t>
  </si>
  <si>
    <t>Planting material distributed</t>
  </si>
  <si>
    <t>Yam planting material distributed</t>
  </si>
  <si>
    <t>Gabi planting material distributed</t>
  </si>
  <si>
    <t>Arrowroot planting material distributed</t>
  </si>
  <si>
    <t>Other alternative staple food crops planting material distributed</t>
  </si>
  <si>
    <t>Banana Planting material distributed</t>
  </si>
  <si>
    <t>Fruit planting material distributed</t>
  </si>
  <si>
    <t>Mango Planting material distributed</t>
  </si>
  <si>
    <t>Pineapple Planting material distributed</t>
  </si>
  <si>
    <t>Cashew Planting material distributed</t>
  </si>
  <si>
    <t>Pili Planting material distributed</t>
  </si>
  <si>
    <t>Durian Planting material distributed</t>
  </si>
  <si>
    <t>Citrus Planting material distributed</t>
  </si>
  <si>
    <t>Jackfruit Planting material distributed</t>
  </si>
  <si>
    <t>Strawberry Planting material distributed</t>
  </si>
  <si>
    <t>Guyabano Planting material distributed</t>
  </si>
  <si>
    <t>Mangosteen Planting material distributed</t>
  </si>
  <si>
    <t>Lanzones Planting material distributed</t>
  </si>
  <si>
    <t>Rambutan Planting material distributed</t>
  </si>
  <si>
    <t>Dragonfruit Planting material distributed</t>
  </si>
  <si>
    <t>Santol Planting material distributed</t>
  </si>
  <si>
    <t>Abiu Planting material distributed</t>
  </si>
  <si>
    <t>Other Fruit Planting material distributed</t>
  </si>
  <si>
    <t>Fruit Planting material distributed</t>
  </si>
  <si>
    <t>Vanilla planting material distributed</t>
  </si>
  <si>
    <t>Herb and spice planting material distributed</t>
  </si>
  <si>
    <t>Black pepper planting material distributed</t>
  </si>
  <si>
    <t>Other herb and spice planting material distributed</t>
  </si>
  <si>
    <t>Cacao Planting material distributed</t>
  </si>
  <si>
    <t>Industrial crops planting material distributed</t>
  </si>
  <si>
    <t>Coffee Planting material distributed</t>
  </si>
  <si>
    <t>Rubber Planting material distributed</t>
  </si>
  <si>
    <t>Bamboo Planting material distributed</t>
  </si>
  <si>
    <t>Other industrial crops planting material distributed</t>
  </si>
  <si>
    <t>Vetiver planting material distributed</t>
  </si>
  <si>
    <t>Ornamental and foliage planting material distributed</t>
  </si>
  <si>
    <t>Other ornamental and foliage planting material distributed</t>
  </si>
  <si>
    <t>Mushroom planting material distributed</t>
  </si>
  <si>
    <t>Other planting material distributed</t>
  </si>
  <si>
    <t>Malunggay planting material distributed</t>
  </si>
  <si>
    <t>Vegetable cutting distributed</t>
  </si>
  <si>
    <t>Cassava cutting distributed</t>
  </si>
  <si>
    <t>Forage cutting distributed</t>
  </si>
  <si>
    <t>Other cutting distributed</t>
  </si>
  <si>
    <t>African Night Crawler distributed</t>
  </si>
  <si>
    <t>Farm input distributed</t>
  </si>
  <si>
    <t>Molasses distributed</t>
  </si>
  <si>
    <t>Other farm input distributed (kg)</t>
  </si>
  <si>
    <t>Other farm input distributed (liter)</t>
  </si>
  <si>
    <t>Bee colony distributed</t>
  </si>
  <si>
    <t>Animal distributed</t>
  </si>
  <si>
    <t>Bee colony for Multiplier Farm distributed</t>
  </si>
  <si>
    <t>Other animal Multiplier Farm stocks distributed</t>
  </si>
  <si>
    <t>Multiplier Farm stocks distributed</t>
  </si>
  <si>
    <t>Horse distributed</t>
  </si>
  <si>
    <t>Small ruminant distributed</t>
  </si>
  <si>
    <t>head</t>
  </si>
  <si>
    <t>Horse Multiplier Farm stocks distributed</t>
  </si>
  <si>
    <t>Livestock Multiplier Farm stocks distributed</t>
  </si>
  <si>
    <t>Beef Cattle distributed</t>
  </si>
  <si>
    <t>Large ruminant distributed</t>
  </si>
  <si>
    <t>Dairy Cattle distributed</t>
  </si>
  <si>
    <t>Cattle Multiplier Farm stocks distributed</t>
  </si>
  <si>
    <t>Carabao distributed</t>
  </si>
  <si>
    <t>Carabao Multiplier Farm stocks distributed</t>
  </si>
  <si>
    <t>Other large ruminant distributed</t>
  </si>
  <si>
    <t>Chicken distributed</t>
  </si>
  <si>
    <t>Poultry distributed</t>
  </si>
  <si>
    <t>Chicken Multiplier Farm stocks distributed</t>
  </si>
  <si>
    <t>Poultry Multiplier Farm stocks distributed</t>
  </si>
  <si>
    <t>Duck distributed</t>
  </si>
  <si>
    <t>Duck Multiplier Farm stocks distributed</t>
  </si>
  <si>
    <t>Multiplier stocks distributed</t>
  </si>
  <si>
    <t>Quail distributed</t>
  </si>
  <si>
    <t>Quail Multiplier Farm stocks distributed</t>
  </si>
  <si>
    <t>Geese distributed</t>
  </si>
  <si>
    <t>Geese Multiplier Farm stocks distributed</t>
  </si>
  <si>
    <t>Turkey distributed</t>
  </si>
  <si>
    <t>Turkey Multiplier Farm stocks distributed</t>
  </si>
  <si>
    <t>Goat distributed</t>
  </si>
  <si>
    <t>Goat Multiplier Farm stocks distributed</t>
  </si>
  <si>
    <t>Sheep distributed</t>
  </si>
  <si>
    <t>Sheep Multiplier Farm stocks distributed</t>
  </si>
  <si>
    <t>Other small ruminant distributed</t>
  </si>
  <si>
    <t>Swine distributed</t>
  </si>
  <si>
    <t>Swine Multiplier Farm stocks distributed</t>
  </si>
  <si>
    <t>Rabbit distributed</t>
  </si>
  <si>
    <t>Other animal distributed</t>
  </si>
  <si>
    <t>Rabbit Multiplier Farm stocks distributed</t>
  </si>
  <si>
    <t>Collapsible Dryer distributed</t>
  </si>
  <si>
    <t>Farm supplies distributed</t>
  </si>
  <si>
    <t>Hermetic Bag distributed</t>
  </si>
  <si>
    <t>Hermetic Cocoon distributed</t>
  </si>
  <si>
    <t>Mushroom Rack distributed</t>
  </si>
  <si>
    <t>Pallet distributed</t>
  </si>
  <si>
    <t>Plastic Crates distributed</t>
  </si>
  <si>
    <t>Poly Bag Sealer distributed</t>
  </si>
  <si>
    <t>Sack Sewing Machine distributed</t>
  </si>
  <si>
    <t>Bagger Sewer distruibuted</t>
  </si>
  <si>
    <t>Sprinkler distributed</t>
  </si>
  <si>
    <t>Semen straws distributed</t>
  </si>
  <si>
    <t>LN2 field tank distributed</t>
  </si>
  <si>
    <t>Pole Pruner distributed</t>
  </si>
  <si>
    <t>Moisture Meter distributed</t>
  </si>
  <si>
    <t>Vacuum Pack Sealer distributed</t>
  </si>
  <si>
    <t>Weighing Scale distributed</t>
  </si>
  <si>
    <t>LN2 Mother Tank distributed</t>
  </si>
  <si>
    <t>Solar Bubble Dryer distributed</t>
  </si>
  <si>
    <t>Other Farm supplies distributed (meter)</t>
  </si>
  <si>
    <t>meter</t>
  </si>
  <si>
    <t>Other Farm supplies distributed (pc)</t>
  </si>
  <si>
    <t>Other Farm supplies distributed (rolls)</t>
  </si>
  <si>
    <t>rolls</t>
  </si>
  <si>
    <t>Hydroponics accessories distributed</t>
  </si>
  <si>
    <t>Other testing kits distributed</t>
  </si>
  <si>
    <t>Animal Growing Kit distributed</t>
  </si>
  <si>
    <t>Crop Growing Kit distributed</t>
  </si>
  <si>
    <t>Hydroponics Growing Kit distributed</t>
  </si>
  <si>
    <t>Animal Starter Kit distributed</t>
  </si>
  <si>
    <t>Crop Starter Kit distributed</t>
  </si>
  <si>
    <t>Soil test kit distributed</t>
  </si>
  <si>
    <t>Testing kits distributed</t>
  </si>
  <si>
    <t>Animal disease test kit distributed</t>
  </si>
  <si>
    <t>Certified Rice Seeds reserved</t>
  </si>
  <si>
    <t>Rice Seeds reserved</t>
  </si>
  <si>
    <t>Seeds reserved</t>
  </si>
  <si>
    <t>Hybrid Rice seeds reserved</t>
  </si>
  <si>
    <t>Registered Rice Seeds reserved</t>
  </si>
  <si>
    <t>Foundation Rice Seeds reserved</t>
  </si>
  <si>
    <t>White Corn Seeds reserved</t>
  </si>
  <si>
    <t>Corn Seeds reserved</t>
  </si>
  <si>
    <t>Yellow Corn Seeds reserved</t>
  </si>
  <si>
    <t>Lowland Vegetable Seeds reserved</t>
  </si>
  <si>
    <t>Vegetables Seeds reserved</t>
  </si>
  <si>
    <t>Highland Vegetable Seeds reserved</t>
  </si>
  <si>
    <t>Agri-chemicals reserved (liter)</t>
  </si>
  <si>
    <t>Agri-chemicals reserved</t>
  </si>
  <si>
    <t>Agri-chemicals reserved (gallon)</t>
  </si>
  <si>
    <t>Agri-chemicals reserved (pack)</t>
  </si>
  <si>
    <t>Agri-chemicals reserved (pc)</t>
  </si>
  <si>
    <t>Agri-chemicals reserved (kg)</t>
  </si>
  <si>
    <t>Botanical pesticides reserved (liter)</t>
  </si>
  <si>
    <t>Botanical pesticides reserved (kg)</t>
  </si>
  <si>
    <t>Botanical pesticides reserved (pc)</t>
  </si>
  <si>
    <t>Production machinery and equipment procured for stations</t>
  </si>
  <si>
    <t>Farm machinery and equipment procured for stations</t>
  </si>
  <si>
    <t>Internal</t>
  </si>
  <si>
    <t>Postharvest machinery and equipment procured for stations</t>
  </si>
  <si>
    <t>Commodity transport and logistics machinery and equipment procured for stations</t>
  </si>
  <si>
    <t>Waste and Biomass Management Machinery and Equipment procured for stations</t>
  </si>
  <si>
    <t>General use machinery and equipment procured for stations</t>
  </si>
  <si>
    <t>Production facility constructed for stations</t>
  </si>
  <si>
    <t>Agricultural facility constructed for stations</t>
  </si>
  <si>
    <t>Postharvest facility constructed for stations</t>
  </si>
  <si>
    <t>Commodity transport infrastructure constructed for stations</t>
  </si>
  <si>
    <t>Foundation Scion Grove supported</t>
  </si>
  <si>
    <t>Production sites supported</t>
  </si>
  <si>
    <t>Gulayan sa Barangay supported</t>
  </si>
  <si>
    <t>Gulayan project supported</t>
  </si>
  <si>
    <t>School Garden supported</t>
  </si>
  <si>
    <t>Urban Agriculture Garden supported</t>
  </si>
  <si>
    <t>Community Garden supported</t>
  </si>
  <si>
    <t>Budwood Garden established for stations</t>
  </si>
  <si>
    <t>Budwood Garden established</t>
  </si>
  <si>
    <t>Production facilities established</t>
  </si>
  <si>
    <t>DA-Level Input</t>
  </si>
  <si>
    <t>Clonal Garden established for stations</t>
  </si>
  <si>
    <t>Clonal Garden established</t>
  </si>
  <si>
    <t>Rainshelter established for stations</t>
  </si>
  <si>
    <t>Greenhouse established</t>
  </si>
  <si>
    <t>Screenhouse/Nethouse established for stations</t>
  </si>
  <si>
    <t>Automated weather station established for stations</t>
  </si>
  <si>
    <t>Automated weather station established</t>
  </si>
  <si>
    <t>Production facility rehabilitated</t>
  </si>
  <si>
    <t>Agricultural facility rehabilitated</t>
  </si>
  <si>
    <t>Production facility upgraded</t>
  </si>
  <si>
    <t>Agricultural facility upgraded</t>
  </si>
  <si>
    <t>Production facility maintained</t>
  </si>
  <si>
    <t>Agricultural facility maintained</t>
  </si>
  <si>
    <t>Postharvest facility rehabilitated</t>
  </si>
  <si>
    <t>Postharvest facility upgraded</t>
  </si>
  <si>
    <t>Postharvest facility maintained</t>
  </si>
  <si>
    <t>Commodity transport infrastructure rehabilitated</t>
  </si>
  <si>
    <t>Commodity transport infrastructure upgraded</t>
  </si>
  <si>
    <t>Commodity transport infrastructure maintained</t>
  </si>
  <si>
    <t>Automated weather station rehabilitated</t>
  </si>
  <si>
    <t>Production facilities rehabilitated</t>
  </si>
  <si>
    <t>Automated weather station upgraded</t>
  </si>
  <si>
    <t>Production facilities upgraded</t>
  </si>
  <si>
    <t>Automated weather station maintained</t>
  </si>
  <si>
    <t>Production facilities maintained</t>
  </si>
  <si>
    <t>Budwood Garden rehabilitated</t>
  </si>
  <si>
    <t>Budwood Garden upgraded</t>
  </si>
  <si>
    <t>Budwood Garden maintained</t>
  </si>
  <si>
    <t>Clonal Garden rehabilitated</t>
  </si>
  <si>
    <t>Clonal Garden upgraded</t>
  </si>
  <si>
    <t>Clonal Garden maintained</t>
  </si>
  <si>
    <t>Rainshelter rehabilitated</t>
  </si>
  <si>
    <t>Greenhouse rehabilitated</t>
  </si>
  <si>
    <t>Rainshelter upgraded</t>
  </si>
  <si>
    <t>Greenhouse upgraded</t>
  </si>
  <si>
    <t>Rainshelter maintained</t>
  </si>
  <si>
    <t>Greenhouse maintained</t>
  </si>
  <si>
    <t>Screenhouse/Nethouse rehabilitated</t>
  </si>
  <si>
    <t>Screenhouse/Nethouse upgraded</t>
  </si>
  <si>
    <t>Screenhouse/Nethouse maintained</t>
  </si>
  <si>
    <t>Total value of ameliorants and organic fertilizer vouchers transacted</t>
  </si>
  <si>
    <t>Ameliorants and organic fertilizer voucher transacted</t>
  </si>
  <si>
    <t>Fertilizer and other soil ameliorants vouchers transacted</t>
  </si>
  <si>
    <t>pesos</t>
  </si>
  <si>
    <t>Total value of ameliorants and organic fertilizer vouchers generated_pending</t>
  </si>
  <si>
    <t>Ameliorants and organic fertilizer voucher generated</t>
  </si>
  <si>
    <t>Fertilizer and other soil ameliorants vouchers generated</t>
  </si>
  <si>
    <t>Total value of ameliorants vouchers transacted</t>
  </si>
  <si>
    <t>Ameliorants voucher transacted</t>
  </si>
  <si>
    <t>Total value of ameliorants vouchers generated_pending</t>
  </si>
  <si>
    <t>Area supported with ameliorants vouchers</t>
  </si>
  <si>
    <t>hectare</t>
  </si>
  <si>
    <t>Estimated area of ameliorants vouchers distributed</t>
  </si>
  <si>
    <t>Total value of bio fertilizer vouchers generated_pending</t>
  </si>
  <si>
    <t>Bio fertilizer voucher generated</t>
  </si>
  <si>
    <t>Estimated area of bio fertilizer vouchers distributed</t>
  </si>
  <si>
    <t>Total value of bio fertilizer vouchers transacted</t>
  </si>
  <si>
    <t>Bio fertilizer voucher transacted</t>
  </si>
  <si>
    <t>Total value of drone vouchers generated_pending</t>
  </si>
  <si>
    <t>Drone voucher generated</t>
  </si>
  <si>
    <t>Total value of drone vouchers transacted</t>
  </si>
  <si>
    <t>Drone voucher transacted</t>
  </si>
  <si>
    <t>Total value of fertilizer vouchers generated_pending</t>
  </si>
  <si>
    <t>Fertilizer vouchers generated</t>
  </si>
  <si>
    <t>Total value of fertilizer vouchers transacted</t>
  </si>
  <si>
    <t>Fertilizer vouchers transacted</t>
  </si>
  <si>
    <t>Total value of seed vouchers generated_pending</t>
  </si>
  <si>
    <t>Seed vouchers generated</t>
  </si>
  <si>
    <t>Seeds voucher generated</t>
  </si>
  <si>
    <t>Total value of seed vouchers transacted</t>
  </si>
  <si>
    <t>Seed vouchers transacted</t>
  </si>
  <si>
    <t>Seeds vouchers transacted</t>
  </si>
  <si>
    <t>Estimated area of ameliorants and organic fertilizer voucher distributed</t>
  </si>
  <si>
    <t>Area supported with ameliorants and organic fertilizer vouchers</t>
  </si>
  <si>
    <t>Area supported with bio fertilizer vouchers</t>
  </si>
  <si>
    <t>Area supported with drone vouchers</t>
  </si>
  <si>
    <t>Estimated area of drone voucher distributed</t>
  </si>
  <si>
    <t>Area supported with fertilizer vouchers</t>
  </si>
  <si>
    <t>Estimated area of fertilizer vouchers distributed</t>
  </si>
  <si>
    <t>Area supported with seed vouchers</t>
  </si>
  <si>
    <t>Estimated area of seed vouchers distributed</t>
  </si>
  <si>
    <t>SubProgram: EXTENSION SUPPORT, EDUCATION AND TRAINING SERVICES</t>
  </si>
  <si>
    <t>Adoption rate of extension personnel</t>
  </si>
  <si>
    <t>Adoption rate of beneficiaries of extension support, education and training services</t>
  </si>
  <si>
    <t>Extension Support, Education and Training Services</t>
  </si>
  <si>
    <t>Adoption rate of farmers</t>
  </si>
  <si>
    <t>Other extension support activities conducted</t>
  </si>
  <si>
    <t>Extension support activities conducted</t>
  </si>
  <si>
    <t>Completed Extension-related studies conducted</t>
  </si>
  <si>
    <t>Extension-related studies conducted</t>
  </si>
  <si>
    <t>Continuing Extension-related studies conducted</t>
  </si>
  <si>
    <t>New Extension-related studies conducted</t>
  </si>
  <si>
    <t>Extension-related studies funded</t>
  </si>
  <si>
    <t>Farm Cluster endorsed</t>
  </si>
  <si>
    <t>Extension Support Education and Training Services</t>
  </si>
  <si>
    <t>AEWs-extension workers given incentives</t>
  </si>
  <si>
    <t>Individuals given incentives, recognition, and awards</t>
  </si>
  <si>
    <t>AFC representative given incentives</t>
  </si>
  <si>
    <t>Farmers Awards and recognition conferred</t>
  </si>
  <si>
    <t>Awards and recognition conferred</t>
  </si>
  <si>
    <t>LGU-extension workers Awards and recognition conferred</t>
  </si>
  <si>
    <t>LGUs Awards and recognition conferred</t>
  </si>
  <si>
    <t>Rural Women and recognition conferred</t>
  </si>
  <si>
    <t>Youth Awards and recognition conferred</t>
  </si>
  <si>
    <t>Farm youth given allowance</t>
  </si>
  <si>
    <t>Farmer given incentive</t>
  </si>
  <si>
    <t>Knowledge Products disseminated</t>
  </si>
  <si>
    <t>Learning Site enhanced/supported</t>
  </si>
  <si>
    <t>Degree Non-DA scholars given study grants</t>
  </si>
  <si>
    <t>Non-DA scholars given study grants</t>
  </si>
  <si>
    <t>Non-degree Non-DA scholars given study grants</t>
  </si>
  <si>
    <t>Model Farms established</t>
  </si>
  <si>
    <t>Technology demonstrations established/maintained</t>
  </si>
  <si>
    <t>Model Farms maintained</t>
  </si>
  <si>
    <t>Techno demo established</t>
  </si>
  <si>
    <t>Techno demo maintained</t>
  </si>
  <si>
    <t>Farmer Field School (FFS) conducted_Farmers/Fisherfolk/Other External Participants</t>
  </si>
  <si>
    <t>Farmer Field School (FFS) conducted</t>
  </si>
  <si>
    <t>Training conducted</t>
  </si>
  <si>
    <t>PREXC/DA-Level Output</t>
  </si>
  <si>
    <t>Farmer Field School (FFS) conducted_AEWs</t>
  </si>
  <si>
    <t>Other training conducted_Farmers/Fisherfolk/Other External Participants</t>
  </si>
  <si>
    <t>Other training conducted</t>
  </si>
  <si>
    <t>Other training conducted_AEWs</t>
  </si>
  <si>
    <t>Package of Technology (POT) conducted_Farmers/Fisherfolk/Other External Participants</t>
  </si>
  <si>
    <t>Package of Technology (POT) conducted</t>
  </si>
  <si>
    <t>Package of Technology (POT) conducted_AEWs</t>
  </si>
  <si>
    <t>School on Air conducted_Farmers/Fisherfolk/Other External Participants</t>
  </si>
  <si>
    <t>School on Air conducted</t>
  </si>
  <si>
    <t>School on Air conducted_AEWs</t>
  </si>
  <si>
    <t>Training of Trainers (TOT) conducted_Farmers/Fisherfolk/Other External Participants</t>
  </si>
  <si>
    <t>Training of Trainers (TOT) conducted</t>
  </si>
  <si>
    <t>Training of Trainers (TOT) conducted_AEWs</t>
  </si>
  <si>
    <t>e-learning course administered</t>
  </si>
  <si>
    <t>Training-related events conducted</t>
  </si>
  <si>
    <t>e-learning course graduates</t>
  </si>
  <si>
    <t>Field day conducted</t>
  </si>
  <si>
    <t>Other training-related events conducted</t>
  </si>
  <si>
    <t>Other training and training-related events conducted</t>
  </si>
  <si>
    <t>Sub-Program: RESEARCH AND DEVELOPMENT</t>
  </si>
  <si>
    <t>Intellectual Property Rights (IPR) application facilitated</t>
  </si>
  <si>
    <t>Research and Development</t>
  </si>
  <si>
    <t>Technologies commercialized</t>
  </si>
  <si>
    <t>Technologies developed</t>
  </si>
  <si>
    <t>New Extension-related R4D activities conducted</t>
  </si>
  <si>
    <t>Extension-related research activities conducted</t>
  </si>
  <si>
    <t>Research and development activities conducted</t>
  </si>
  <si>
    <t>Continuing Extension-related R4D activities conducted</t>
  </si>
  <si>
    <t>Completed Extension-related R4D activities conducted</t>
  </si>
  <si>
    <t>New Irrigation-related R4D activities conducted</t>
  </si>
  <si>
    <t>Irrigation-related research activities conducted</t>
  </si>
  <si>
    <t>Continuing Irrigation-related R4D activities conducted</t>
  </si>
  <si>
    <t>Completed Irrigation-related R4D activities conducted</t>
  </si>
  <si>
    <t>New Market-related R4D activities conducted</t>
  </si>
  <si>
    <t>Market-related R4D activities conducted</t>
  </si>
  <si>
    <t>Continuing Market-related R4D activities conducted</t>
  </si>
  <si>
    <t>Completed Market-related R4D activities conducted</t>
  </si>
  <si>
    <t>New Policy-related R4D activities conducted</t>
  </si>
  <si>
    <t>Policy-related R4D activities conducted</t>
  </si>
  <si>
    <t>Continuing Policy-related R4D activities conducted</t>
  </si>
  <si>
    <t>Completed Policy-related R4D activities conducted</t>
  </si>
  <si>
    <t>New Postharvest-related R4D activities conducted</t>
  </si>
  <si>
    <t>Postharvest-related R4D activities conducted</t>
  </si>
  <si>
    <t>Continuing Postharvest-related R4D activities conducted</t>
  </si>
  <si>
    <t>Completed Postharvest-related R4D activities conducted</t>
  </si>
  <si>
    <t>New Production-related R4D activities conducted</t>
  </si>
  <si>
    <t>Production-related R4D activities conducted</t>
  </si>
  <si>
    <t>Continuing Production-related R4D activities conducted</t>
  </si>
  <si>
    <t>Completed Production-related R4D activities conducted</t>
  </si>
  <si>
    <t>New Extension-related R4D activities funded</t>
  </si>
  <si>
    <t>Extension-related research activities funded</t>
  </si>
  <si>
    <t>Research and development activities funded</t>
  </si>
  <si>
    <t>Continuing Extension-related R4D activities funded</t>
  </si>
  <si>
    <t>Completed Extension-related R4D activities funded</t>
  </si>
  <si>
    <t>New Irrigation-related R4D activities funded</t>
  </si>
  <si>
    <t>Irrigation-related research activities funded</t>
  </si>
  <si>
    <t>Continuing Irrigation-related R4D activities funded</t>
  </si>
  <si>
    <t>Completed Irrigation-related R4D activities funded</t>
  </si>
  <si>
    <t>New Market-related R4D activities funded</t>
  </si>
  <si>
    <t>Market-related R4D activities funded</t>
  </si>
  <si>
    <t>Continuing Market-related R4D activities funded</t>
  </si>
  <si>
    <t>Completed Market-related R4D activities funded</t>
  </si>
  <si>
    <t>New Policy-related R4D activities funded</t>
  </si>
  <si>
    <t>Policy-related R4D activities funded</t>
  </si>
  <si>
    <t>Continuing Policy-related R4D activities funded</t>
  </si>
  <si>
    <t>Completed Policy-related R4D activities funded</t>
  </si>
  <si>
    <t>New Postharvest-related R4D activities funded</t>
  </si>
  <si>
    <t>Postharvest-related R4D activities funded</t>
  </si>
  <si>
    <t>Continuing Postharvest-related R4D activities funded</t>
  </si>
  <si>
    <t>Completed Postharvest-related R4D activities funded</t>
  </si>
  <si>
    <t>New Production-related R4D activities funded</t>
  </si>
  <si>
    <t>Production-related R4D activities funded</t>
  </si>
  <si>
    <t>Completed Production-related R4D activities funded</t>
  </si>
  <si>
    <t>Continuing Production-related R4D activities funded</t>
  </si>
  <si>
    <t>Research facilities established</t>
  </si>
  <si>
    <t>Research facilities funded</t>
  </si>
  <si>
    <t>Research facilities maintained</t>
  </si>
  <si>
    <t>Research facilities rehabilitated</t>
  </si>
  <si>
    <t>Research facilities upgraded</t>
  </si>
  <si>
    <t>Research-related activities conducted</t>
  </si>
  <si>
    <t>Technologies supported for commercialization</t>
  </si>
  <si>
    <t>Technologies supported for development</t>
  </si>
  <si>
    <t>PROGRAM 2: AGRICULTURAL MACHINERY, EQUIPMENT, FACILITIES AND INFRASTRUCTURE PROGRAM</t>
  </si>
  <si>
    <t>AGRICULTURAL MACHINERY, EQUIPMENT AND FACILITIES SUPPORT SERVICES</t>
  </si>
  <si>
    <t>Beneficiaries rating the production machinery, equipment and facilities to be atleast satisfactory</t>
  </si>
  <si>
    <t>Beneficiaries rating the agricultural machinery, equipment and facilities to be atleast satisfactory</t>
  </si>
  <si>
    <t>Agricultural Machinery, Equipment and facilities Support Sub-Program</t>
  </si>
  <si>
    <t>Provinces provided with support to construct production facilities</t>
  </si>
  <si>
    <t>LGUs provided with support to construct production facilities</t>
  </si>
  <si>
    <t>LGUs provided with support to construct agricultural facilities</t>
  </si>
  <si>
    <t>Lifting machine distributed</t>
  </si>
  <si>
    <t>Hauling machinery and equipment distributed</t>
  </si>
  <si>
    <t>Commodity transport and logistics machinery and equipment distributed</t>
  </si>
  <si>
    <t>Hauling vehicle distributed</t>
  </si>
  <si>
    <t>Refrigerated van distributed</t>
  </si>
  <si>
    <t>Cargo motorcycle distributed</t>
  </si>
  <si>
    <t>Crane distributed</t>
  </si>
  <si>
    <t>Tri-wheel vehicle distributed</t>
  </si>
  <si>
    <t>Farm-to-market road constructed</t>
  </si>
  <si>
    <t>Commodity transport infrastructure constructed</t>
  </si>
  <si>
    <t>Farm-to-mill road constructed</t>
  </si>
  <si>
    <t>Agricultural tramline system constructed</t>
  </si>
  <si>
    <t>Salt farm road constructed</t>
  </si>
  <si>
    <t>Air compressor distributed</t>
  </si>
  <si>
    <t>Other machinery and equipment distributed</t>
  </si>
  <si>
    <t>General use machinery and equipment distributed</t>
  </si>
  <si>
    <t>Transformer distributed</t>
  </si>
  <si>
    <t>Lathe machine distributed</t>
  </si>
  <si>
    <t>Filamenting machine distributed</t>
  </si>
  <si>
    <t>Welding machine distributed</t>
  </si>
  <si>
    <t>Water treatment system facility constructed</t>
  </si>
  <si>
    <t>Other infrastructure constructed</t>
  </si>
  <si>
    <t>Cold storage constructed</t>
  </si>
  <si>
    <t>Cold storage facility constructed</t>
  </si>
  <si>
    <t>Postharvest facility constructed</t>
  </si>
  <si>
    <t>Flatbed dryer constructed</t>
  </si>
  <si>
    <t>Crop drying facility constructed</t>
  </si>
  <si>
    <t>Cassava granule drying center (CGDC) constructed</t>
  </si>
  <si>
    <t>Coffee roasting center constructed</t>
  </si>
  <si>
    <t>Coffee drying shed constructed</t>
  </si>
  <si>
    <t>Multi-crop drying pavement (MCDP) constructed</t>
  </si>
  <si>
    <t>Multi-commodity drying facility constructed</t>
  </si>
  <si>
    <t>Corn drying facility constructed</t>
  </si>
  <si>
    <t>Abaca processing facility constructed</t>
  </si>
  <si>
    <t>Crop processing facility constructed</t>
  </si>
  <si>
    <t>Banana chips processing center constructed</t>
  </si>
  <si>
    <t>Berry processing center constructed</t>
  </si>
  <si>
    <t>Cacao fermentation facility constructed</t>
  </si>
  <si>
    <t>Cacao processing center constructed</t>
  </si>
  <si>
    <t>Calamansi juice processing center constructed</t>
  </si>
  <si>
    <t>Cashew nuts processing center constructed</t>
  </si>
  <si>
    <t>Coffee processing center constructed</t>
  </si>
  <si>
    <t>Coconut processing center constructed</t>
  </si>
  <si>
    <t>Durian pastries processing center constructed</t>
  </si>
  <si>
    <t>Fiber processing center constructed</t>
  </si>
  <si>
    <t>Mango processing center constructed</t>
  </si>
  <si>
    <t>Mango juice processing center constructed</t>
  </si>
  <si>
    <t>Mangosteen jam processing center constructed</t>
  </si>
  <si>
    <t>Passionfruit processing center constructed</t>
  </si>
  <si>
    <t>Guyabano juice processing center constructed</t>
  </si>
  <si>
    <t>Pineapple processing center constructed</t>
  </si>
  <si>
    <t>Pineapple juice processing center constructed</t>
  </si>
  <si>
    <t>Pili nut processing center constructed</t>
  </si>
  <si>
    <t>Rambutan wine processing center constructed</t>
  </si>
  <si>
    <t>Rice processing center (RPC) constructed</t>
  </si>
  <si>
    <t>Root crop chips processing center constructed</t>
  </si>
  <si>
    <t>Root crop flour processing center constructed</t>
  </si>
  <si>
    <t>Rubber crumb processing center constructed</t>
  </si>
  <si>
    <t>Rubber sheet processing center constructed</t>
  </si>
  <si>
    <t>Strawberry jam/wine processing center constructed</t>
  </si>
  <si>
    <t>Ube processing center constructed</t>
  </si>
  <si>
    <t>Vegetable chips processing center constructed</t>
  </si>
  <si>
    <t>Vegetable flour processing center constructed</t>
  </si>
  <si>
    <t>Vegetable juice processing center constructed</t>
  </si>
  <si>
    <t>Vegetable processing center constructed</t>
  </si>
  <si>
    <t>Village type corn postharvest processing center (VTCPPC) or corn processing center constructed</t>
  </si>
  <si>
    <t>Wood vinegar facilities constructed</t>
  </si>
  <si>
    <t>Corn grit processing center constructed</t>
  </si>
  <si>
    <t>Moringa processing facility constructed</t>
  </si>
  <si>
    <t>Turmeric processing facility constructed</t>
  </si>
  <si>
    <t>Cassava processing facility constructed</t>
  </si>
  <si>
    <t>Organic vegetable processing facility constructed</t>
  </si>
  <si>
    <t>Pigmented rice processing center constructed</t>
  </si>
  <si>
    <t>Bamboo processing center constructed</t>
  </si>
  <si>
    <t>Dairy processing center constructed</t>
  </si>
  <si>
    <t>Dairy processing facility constructed</t>
  </si>
  <si>
    <t>Feed mill center constructed</t>
  </si>
  <si>
    <t>Livestock processing facility constructed</t>
  </si>
  <si>
    <t>Slaughterhouse constructed</t>
  </si>
  <si>
    <t>Tannery center constructed</t>
  </si>
  <si>
    <t>Banana packinghouse constructed</t>
  </si>
  <si>
    <t>Packinghouse constructed</t>
  </si>
  <si>
    <t>Mango packinghouse constructed</t>
  </si>
  <si>
    <t>Poultry dressing plant constructed</t>
  </si>
  <si>
    <t>Poultry processing facility constructed</t>
  </si>
  <si>
    <t>Grain silo constructed</t>
  </si>
  <si>
    <t>Storage facility constructed</t>
  </si>
  <si>
    <t>Warehouse constructed</t>
  </si>
  <si>
    <t>Shed constructed</t>
  </si>
  <si>
    <t>Hay barn constructed</t>
  </si>
  <si>
    <t>Monolithic dome warehouse constructed</t>
  </si>
  <si>
    <t>Onion hanger storage constructed</t>
  </si>
  <si>
    <t>Coffee storage center constructed</t>
  </si>
  <si>
    <t>Cacao storage center constructed</t>
  </si>
  <si>
    <t>Abaca storage center constructed</t>
  </si>
  <si>
    <t>Biogas plant constructed</t>
  </si>
  <si>
    <t>Waste management and renewable energy facility constructed</t>
  </si>
  <si>
    <t>Biomass plant constructed</t>
  </si>
  <si>
    <t>Refrigerator distributed</t>
  </si>
  <si>
    <t>Cold storage machinery and equipment distributed</t>
  </si>
  <si>
    <t>Postharvest machinery and equipment distributed</t>
  </si>
  <si>
    <t>Freezer distributed</t>
  </si>
  <si>
    <t>Chilling tank distributed</t>
  </si>
  <si>
    <t>Melanger distributed</t>
  </si>
  <si>
    <t>Crop processing machinery and equipment distributed</t>
  </si>
  <si>
    <t>Bubble washer distributed</t>
  </si>
  <si>
    <t>Destoner distributed</t>
  </si>
  <si>
    <t>Fiber decorticator/stripper distributed</t>
  </si>
  <si>
    <t>Ginning machine distributed</t>
  </si>
  <si>
    <t>Grain/seed cleaner distributed</t>
  </si>
  <si>
    <t>Grain collector distributed</t>
  </si>
  <si>
    <t>Husker-sheller distributed</t>
  </si>
  <si>
    <t>Paddy separator distributed</t>
  </si>
  <si>
    <t>Pulper/huller distributed</t>
  </si>
  <si>
    <t>Sheller distributed</t>
  </si>
  <si>
    <t>Thresher distributed</t>
  </si>
  <si>
    <t>Washer-peeler distributed</t>
  </si>
  <si>
    <t>Pod splitter distributed</t>
  </si>
  <si>
    <t>Cracker distributed</t>
  </si>
  <si>
    <t>Blow card and carding machine distributed</t>
  </si>
  <si>
    <t>Draw frame machine distributed</t>
  </si>
  <si>
    <t>Chipper distributed</t>
  </si>
  <si>
    <t>Chopper distributed</t>
  </si>
  <si>
    <t>Creper distributed</t>
  </si>
  <si>
    <t>Expeller distributed</t>
  </si>
  <si>
    <t>Granulator distributed</t>
  </si>
  <si>
    <t>Grater distributed</t>
  </si>
  <si>
    <t>Grinder distributed</t>
  </si>
  <si>
    <t>Extractor distributed</t>
  </si>
  <si>
    <t>Milling equipment distributed</t>
  </si>
  <si>
    <t>Pulverizer distributed</t>
  </si>
  <si>
    <t>Splitter distributed</t>
  </si>
  <si>
    <t>Huller distributed</t>
  </si>
  <si>
    <t>Whitener distributed</t>
  </si>
  <si>
    <t>Mist polisher distributed</t>
  </si>
  <si>
    <t>Color/blemish sorter distributed</t>
  </si>
  <si>
    <t>Conveyor and elevator distributed</t>
  </si>
  <si>
    <t>Hot water treatment tank distributed</t>
  </si>
  <si>
    <t>Shape/ diameter sorter distributed</t>
  </si>
  <si>
    <t>Stabilizer distributed</t>
  </si>
  <si>
    <t>Baler distributed</t>
  </si>
  <si>
    <t>Weight sorter distributed</t>
  </si>
  <si>
    <t>Seed sorter distributed</t>
  </si>
  <si>
    <t>Feed mixer distributed</t>
  </si>
  <si>
    <t>Mechanical dryer distributed</t>
  </si>
  <si>
    <t>Crop thermal processing machinery and equipment distributed</t>
  </si>
  <si>
    <t>Non-mechanical dryer distributed</t>
  </si>
  <si>
    <t>Furnace distributed</t>
  </si>
  <si>
    <t>Milk pasteurizer distributed</t>
  </si>
  <si>
    <t>Dairy processing machinery and equipment distributed</t>
  </si>
  <si>
    <t>Bulk tank distributed</t>
  </si>
  <si>
    <t>Dairy storage machinery and equipment distributed</t>
  </si>
  <si>
    <t>Dehairing machine distributed</t>
  </si>
  <si>
    <t>Livestock processing machinery and equipment distributed</t>
  </si>
  <si>
    <t>Dehider distributed</t>
  </si>
  <si>
    <t>Overhead rail system distributed</t>
  </si>
  <si>
    <t>Restrainer distributed</t>
  </si>
  <si>
    <t>Hog scalder distributed</t>
  </si>
  <si>
    <t>Splitting saw distributed</t>
  </si>
  <si>
    <t>Livestock stunner distributed</t>
  </si>
  <si>
    <t>Meat processing machinery distributed</t>
  </si>
  <si>
    <t>Meat processing machinery and equipment distributed</t>
  </si>
  <si>
    <t>Crystallizer distributed</t>
  </si>
  <si>
    <t>Moisture reduction machinery and equipment distributed</t>
  </si>
  <si>
    <t>Tempering machine distributed</t>
  </si>
  <si>
    <t>Roaster distributed</t>
  </si>
  <si>
    <t>Other processing machinery and equipment distributed</t>
  </si>
  <si>
    <t>Poultry stunner distributed</t>
  </si>
  <si>
    <t>Poultry processing machinery and equipment distributed</t>
  </si>
  <si>
    <t>Poultry scalder distributed</t>
  </si>
  <si>
    <t>Defeathering machine distributed</t>
  </si>
  <si>
    <t>Vacuum packing machine distributed</t>
  </si>
  <si>
    <t>Storage machinery and equipment distributed</t>
  </si>
  <si>
    <t>Bagging bin distributed</t>
  </si>
  <si>
    <t>Horizontal silo distributed</t>
  </si>
  <si>
    <t>Storage bin distributed</t>
  </si>
  <si>
    <t>Warehouse racking system distributed</t>
  </si>
  <si>
    <t>Manure dryer distributed</t>
  </si>
  <si>
    <t>Waste and biomass management machinery and equipment distributed</t>
  </si>
  <si>
    <t>Manure separator distributed</t>
  </si>
  <si>
    <t>Manure spreader distributed</t>
  </si>
  <si>
    <t>Shredder distributed</t>
  </si>
  <si>
    <t>Briquetting machine distributed</t>
  </si>
  <si>
    <t>Siever distributed</t>
  </si>
  <si>
    <t>Carbonizer distributed</t>
  </si>
  <si>
    <t>Rotary composter distributed</t>
  </si>
  <si>
    <t>Vermicast sifter distributed</t>
  </si>
  <si>
    <t>Vermi tea brewer distributed</t>
  </si>
  <si>
    <t>Biomass gasifier distributed</t>
  </si>
  <si>
    <t>Biomass mixer distributed</t>
  </si>
  <si>
    <t>Biogas digester distributed</t>
  </si>
  <si>
    <t>Composting facility for biodegradable waste (CFBW) technology package distributed</t>
  </si>
  <si>
    <t>Small-scale composting facility (SSCF) technology package distributed</t>
  </si>
  <si>
    <t>Greenhouse constructed</t>
  </si>
  <si>
    <t>Crop production facility constructed</t>
  </si>
  <si>
    <t>Production facility constructed</t>
  </si>
  <si>
    <t>Rainshelter constructed</t>
  </si>
  <si>
    <t>Seed storage constructed</t>
  </si>
  <si>
    <t>Mushroom production center constructed</t>
  </si>
  <si>
    <t>Indoor cultivation system constructed</t>
  </si>
  <si>
    <t>Urban aquaponics system constructed</t>
  </si>
  <si>
    <t>Vertical farming system constructed</t>
  </si>
  <si>
    <t>Tissue culture laboratory constructed</t>
  </si>
  <si>
    <t>Milking parlor constructed</t>
  </si>
  <si>
    <t>Dairy harvesting facility constructed</t>
  </si>
  <si>
    <t>Cattle ranch constructed</t>
  </si>
  <si>
    <t>Livestock production facility constructed</t>
  </si>
  <si>
    <t>Cattle feedlot constructed</t>
  </si>
  <si>
    <t>Cattle multiplier farm structure constructed</t>
  </si>
  <si>
    <t>Goat housing constructed</t>
  </si>
  <si>
    <t>Goat multiplier farm structure constructed</t>
  </si>
  <si>
    <t>Sheep housing constructed</t>
  </si>
  <si>
    <t>Sheep multiplier farm structure constructed</t>
  </si>
  <si>
    <t>Swine housing constructed</t>
  </si>
  <si>
    <t>Swine multiplier farm structure constructed</t>
  </si>
  <si>
    <t>Carabao housing constructed</t>
  </si>
  <si>
    <t>Carabao feedlot constructed</t>
  </si>
  <si>
    <t>Carabao multiplier farm structure constructed</t>
  </si>
  <si>
    <t>Horse multiplier farm structure constructed</t>
  </si>
  <si>
    <t>Lairage constructed</t>
  </si>
  <si>
    <t>Artificial insemination center constructed</t>
  </si>
  <si>
    <t>Honeybee multiplier farm structure constructed</t>
  </si>
  <si>
    <t>Other animal production facility constructed</t>
  </si>
  <si>
    <t>Rabbit housing constructed</t>
  </si>
  <si>
    <t>Rabbit multiplier farm structure constructed</t>
  </si>
  <si>
    <t>Botanical concoction center constructed</t>
  </si>
  <si>
    <t>Other input production facility constructed</t>
  </si>
  <si>
    <t>Fertilizer processing center constructed</t>
  </si>
  <si>
    <t>Organic soil amendment production facility constructed</t>
  </si>
  <si>
    <t>Organic fertilizer composting facility constructed</t>
  </si>
  <si>
    <t>Broiler housing constructed</t>
  </si>
  <si>
    <t>Poultry production facility constructed</t>
  </si>
  <si>
    <t>Layer housing constructed</t>
  </si>
  <si>
    <t>Chicken housing constructed</t>
  </si>
  <si>
    <t>Chicken multiplier farm structure constructed</t>
  </si>
  <si>
    <t>Duck housing constructed</t>
  </si>
  <si>
    <t>Duck multiplier farm structure constructed</t>
  </si>
  <si>
    <t>Quail housing constructed</t>
  </si>
  <si>
    <t>Quail multiplier farm structure constructed</t>
  </si>
  <si>
    <t>Turkey multiplier farm structure constructed</t>
  </si>
  <si>
    <t>Geese multiplier farm structure constructed</t>
  </si>
  <si>
    <t>Agrivoltaic farm constructed</t>
  </si>
  <si>
    <t>Renewable energy facility constructed</t>
  </si>
  <si>
    <t>Silage processing and storage facility constructed</t>
  </si>
  <si>
    <t>Waste management facility constructed</t>
  </si>
  <si>
    <t>Vermi-composting shed constructed</t>
  </si>
  <si>
    <t>Walking-type agricultural tractor distributed</t>
  </si>
  <si>
    <t>Agricultural tractor distributed</t>
  </si>
  <si>
    <t>Production machinery and equipment distributed</t>
  </si>
  <si>
    <t>Four-wheel tractor distributed</t>
  </si>
  <si>
    <t>Crawler-wheel tractor distributed</t>
  </si>
  <si>
    <t>Sprayer distributed</t>
  </si>
  <si>
    <t>Crop care machinery and equipment distributed</t>
  </si>
  <si>
    <t>Fogging machine distributed</t>
  </si>
  <si>
    <t>Granule applicator distributed</t>
  </si>
  <si>
    <t>Hedge trimmer distributed</t>
  </si>
  <si>
    <t>Chainsaw distributed</t>
  </si>
  <si>
    <t>Grass cutter distributed</t>
  </si>
  <si>
    <t>Weeder distributed</t>
  </si>
  <si>
    <t>Flame thrower distributed</t>
  </si>
  <si>
    <t>Combine harvester distributed</t>
  </si>
  <si>
    <t>Crop harvesting machinery and equipment distributed</t>
  </si>
  <si>
    <t>Plastic Crates_PSS</t>
  </si>
  <si>
    <t>Hermetic Cocoon_PSS</t>
  </si>
  <si>
    <t>Collapsible Dryer_PSS</t>
  </si>
  <si>
    <t>Sack Sewing Machine_PSS</t>
  </si>
  <si>
    <t>Hermetic Bag_PSS</t>
  </si>
  <si>
    <t>Poly Bag Sealer_PSS</t>
  </si>
  <si>
    <t>Pallet_PSS</t>
  </si>
  <si>
    <t>Mushroom Rack_PSS</t>
  </si>
  <si>
    <t>LN2 Mother Tank distributed_PSS</t>
  </si>
  <si>
    <t>Moisture Meter distributed_PSS</t>
  </si>
  <si>
    <t>Pole Pruner distributed_PSS</t>
  </si>
  <si>
    <t>Vacuum Pack Sealer distributed_PSS</t>
  </si>
  <si>
    <t>Weighing Scale distributed_PSS</t>
  </si>
  <si>
    <t>Mobile Cold Storage distributed_PSS</t>
  </si>
  <si>
    <t>Solar Bubble Dryer distributed_PSS</t>
  </si>
  <si>
    <t>Feed Pelletizer distributed</t>
  </si>
  <si>
    <t>Solar poly tunnel dryer distributed</t>
  </si>
  <si>
    <t>Edible landscaping established_PSS</t>
  </si>
  <si>
    <t>Production facility established</t>
  </si>
  <si>
    <t>Collapsible Nursery_PSS</t>
  </si>
  <si>
    <t>Production facility established/ constructed</t>
  </si>
  <si>
    <t>Attachment and implement distributed</t>
  </si>
  <si>
    <t>Other production machinery and equipment distributed</t>
  </si>
  <si>
    <t>Corn postharvest facility constructed</t>
  </si>
  <si>
    <t>Sack sewing machine distributed</t>
  </si>
  <si>
    <t>Harvester distributed</t>
  </si>
  <si>
    <t>Picker distributed</t>
  </si>
  <si>
    <t>Reaper distributed</t>
  </si>
  <si>
    <t>Gruber distributed</t>
  </si>
  <si>
    <t>Milking machine distributed</t>
  </si>
  <si>
    <t>Dairy harvesting machinery distributed</t>
  </si>
  <si>
    <t>Pressure cooker distributed</t>
  </si>
  <si>
    <t>Steaming cabinet distributed</t>
  </si>
  <si>
    <t>Autoclave distributed</t>
  </si>
  <si>
    <t>Mushroom bagger distributed</t>
  </si>
  <si>
    <t>AI chute distributed</t>
  </si>
  <si>
    <t>Extruder distributed</t>
  </si>
  <si>
    <t>Riding type transplanter distributed</t>
  </si>
  <si>
    <t>Planting machinery and equipment distributed</t>
  </si>
  <si>
    <t>Walk behind transplanter distributed</t>
  </si>
  <si>
    <t>Planter distributed</t>
  </si>
  <si>
    <t>Egg incubator distributed</t>
  </si>
  <si>
    <t>Poultry thermal processing machinery and equipment distributed</t>
  </si>
  <si>
    <t>Diesel engine distributed</t>
  </si>
  <si>
    <t>Power source equipment distributed</t>
  </si>
  <si>
    <t>Gasoline engine distributed</t>
  </si>
  <si>
    <t>Electric motor distributed</t>
  </si>
  <si>
    <t>Generator distributed</t>
  </si>
  <si>
    <t>Photovoltaic system distributed</t>
  </si>
  <si>
    <t>Seeder distributed</t>
  </si>
  <si>
    <t>Seeding machinery and equipment distributed</t>
  </si>
  <si>
    <t>Soybean processing center constructed</t>
  </si>
  <si>
    <t>SubProgram: IRRIGATION NETWORK SERVICES</t>
  </si>
  <si>
    <t>Provinces assisted with small-scale irrigation projects</t>
  </si>
  <si>
    <t>LGUs assisted with small-scale irrigation projects</t>
  </si>
  <si>
    <t>Irrigation Network Services</t>
  </si>
  <si>
    <t>Service area generated from construction of Check dam</t>
  </si>
  <si>
    <t>Service area generated from the establishment and installation of small-scale irrigation projects</t>
  </si>
  <si>
    <t>Service area generated from construction of Cistern</t>
  </si>
  <si>
    <t>Service area generated from construction of Diversion dam</t>
  </si>
  <si>
    <t>Service area generated from construction of Hydraulic ram pump system</t>
  </si>
  <si>
    <t>Service area generated from installation of Hydroponics system</t>
  </si>
  <si>
    <t>Service area generated from distribution of Mobile solar-powered irrigation system (SPIS)</t>
  </si>
  <si>
    <t>Service area generated from distribution of Pump and engine set</t>
  </si>
  <si>
    <t>Service area generated from installation of Shallow tube well (STW)</t>
  </si>
  <si>
    <t>Service area generated from construction of Small farm reservoir</t>
  </si>
  <si>
    <t>Service area generated from construction of Small water impounding project (SWIP)</t>
  </si>
  <si>
    <t>Service area generated from construction of Solar-powered fertigation system (SPFS)</t>
  </si>
  <si>
    <t>Service area generated from construction of Solar-powered irrigation system (SPIS)</t>
  </si>
  <si>
    <t>Service area generated from construction of Spring development (SD)</t>
  </si>
  <si>
    <t>Service area generated from installation of Sprinkler irrigation system</t>
  </si>
  <si>
    <t>Service area generated from construction of Wind-powered irrigation system</t>
  </si>
  <si>
    <t>SSIS service area restored</t>
  </si>
  <si>
    <t>Small-scale irrigation systems Service area restored</t>
  </si>
  <si>
    <t>Service area restored</t>
  </si>
  <si>
    <t>Check dam constructed</t>
  </si>
  <si>
    <t>Irrigation facility constructed</t>
  </si>
  <si>
    <t>Check dam rehabilitated</t>
  </si>
  <si>
    <t>Irrigation facility rehabilitated</t>
  </si>
  <si>
    <t>Cistern constructed</t>
  </si>
  <si>
    <t>Diversion dam (DD) constructed</t>
  </si>
  <si>
    <t>Diversion dam (DD) rehabilitated</t>
  </si>
  <si>
    <t>Drip irrigation system installed</t>
  </si>
  <si>
    <t>Hydraulic ram pump system constructed</t>
  </si>
  <si>
    <t>Hydraulic ram pump system rehabilitated</t>
  </si>
  <si>
    <t>Hydroponics system installed</t>
  </si>
  <si>
    <t>Irrigation canal constructed</t>
  </si>
  <si>
    <t>linear meter</t>
  </si>
  <si>
    <t>Irrigation canal rehabilitated</t>
  </si>
  <si>
    <t>Mobile solar-powered irrigation system (SPIS) distributed</t>
  </si>
  <si>
    <t>Irrigation machinery distributed</t>
  </si>
  <si>
    <t>Pump and engine set distributed</t>
  </si>
  <si>
    <t>Shallow tube well (STW) installed</t>
  </si>
  <si>
    <t>Shallow tube well (STW) rehabilitated</t>
  </si>
  <si>
    <t>Small farm reservoir (SFR) constructed</t>
  </si>
  <si>
    <t>Small farm reservoir (SFR) rehabilitated</t>
  </si>
  <si>
    <t>Small water impounding project (SWIP) constructed</t>
  </si>
  <si>
    <t>Small water impounding project (SWIP) rehabilitated</t>
  </si>
  <si>
    <t>Solar-powered fertigation system (SPFS) constructed</t>
  </si>
  <si>
    <t>Solar-powered fertigation system (SPFS) rehabilitated</t>
  </si>
  <si>
    <t>Solar-powered irrigation system (SPIS) constructed</t>
  </si>
  <si>
    <t>Solar-powered irrigation system (SPIS) rehabilitated</t>
  </si>
  <si>
    <t>Spring development (SD) constructed</t>
  </si>
  <si>
    <t>Spring development (SD) rehabilitated</t>
  </si>
  <si>
    <t>Sprinkler irrigation system installed</t>
  </si>
  <si>
    <t>Wind-powered irrigation system constructed</t>
  </si>
  <si>
    <t>National/Regional Field Monitoring conducted</t>
  </si>
  <si>
    <t>PAP</t>
  </si>
  <si>
    <t>ACTIVITY ID</t>
  </si>
  <si>
    <t>FOR GROUP BENEF</t>
  </si>
  <si>
    <t>PRODUCTION SUPPORT SERVICES (PSS)</t>
  </si>
  <si>
    <t>Seed Production - White Corn Certified Seeds</t>
  </si>
  <si>
    <t>White corn seeds</t>
  </si>
  <si>
    <t>PIP</t>
  </si>
  <si>
    <t>PICS</t>
  </si>
  <si>
    <t>Consolidation</t>
  </si>
  <si>
    <t>1. Bayanihan Agri Cluster</t>
  </si>
  <si>
    <t>EXPAND AND IMPROVE AVAILABLE AGRI-FISHERY AREAS FOR INCREASED PRODUCTION</t>
  </si>
  <si>
    <t>Farm Inputs</t>
  </si>
  <si>
    <t>Physical - Target</t>
  </si>
  <si>
    <t>TECHNICAL AND SUPPORT SERVICES PROGRAM</t>
  </si>
  <si>
    <t>Physical - Indiv. Beneficiaries</t>
  </si>
  <si>
    <t>number of individual beneficiaries</t>
  </si>
  <si>
    <t>Seed Production - Yellow Corn Certified Seeds</t>
  </si>
  <si>
    <t>Yellow corn seeds</t>
  </si>
  <si>
    <t>Physical - AEW Beneficiaries</t>
  </si>
  <si>
    <t>number of AEW beneficiaries</t>
  </si>
  <si>
    <t>Seed Production - Yellow Corn Registered Seeds</t>
  </si>
  <si>
    <t>Physical - Group Beneficiaries</t>
  </si>
  <si>
    <t>number of group beneficiaries</t>
  </si>
  <si>
    <t>AGRICULTURAL  MACHINERY, EQUIPMENT, FACILITIES AND INFRASTRUCTURE PROGRAM</t>
  </si>
  <si>
    <t>Silage Production - Yellow corn hybrid seeds</t>
  </si>
  <si>
    <t>Silage Production</t>
  </si>
  <si>
    <t>Corn Seed Assistance</t>
  </si>
  <si>
    <t>Financial</t>
  </si>
  <si>
    <t>Php'000</t>
  </si>
  <si>
    <t>WCPEP - Inorganic fertilizer for White Corn Hybrid seeds</t>
  </si>
  <si>
    <t>White Corn Production Enhancement Project</t>
  </si>
  <si>
    <t>Soil Fertilization</t>
  </si>
  <si>
    <t>Inorganic fertilizer</t>
  </si>
  <si>
    <t>FIELD PROGRAMS MANAGEMENT ACTIVITIES</t>
  </si>
  <si>
    <t>WCPEP - Inorganic fertilizer for White Corn OPV seeds</t>
  </si>
  <si>
    <t>Tier I</t>
  </si>
  <si>
    <t>Tier II</t>
  </si>
  <si>
    <t>WCPEP - White Corn Hybrid seeds</t>
  </si>
  <si>
    <t>WCPEP - White Corn OPV seeds</t>
  </si>
  <si>
    <t>New</t>
  </si>
  <si>
    <t>Expansion</t>
  </si>
  <si>
    <t>RCPT - Inorganic fertilizer for White Corn seeds</t>
  </si>
  <si>
    <t>APPROVED</t>
  </si>
  <si>
    <t>RCPT - White Corn seeds</t>
  </si>
  <si>
    <t>DROPPED</t>
  </si>
  <si>
    <t>Cassava cuttings</t>
  </si>
  <si>
    <t>Cassava seed pieces</t>
  </si>
  <si>
    <t>RETAINED</t>
  </si>
  <si>
    <t>COLLAPSED</t>
  </si>
  <si>
    <t>INCREASED</t>
  </si>
  <si>
    <t>Seed Production - Sorghum</t>
  </si>
  <si>
    <t>Sorghum Seed Assistance</t>
  </si>
  <si>
    <t>Sorghum seeds</t>
  </si>
  <si>
    <t>REDUCED</t>
  </si>
  <si>
    <t>NEW PAP</t>
  </si>
  <si>
    <t>Soybean Seed Assistance</t>
  </si>
  <si>
    <t>Soybean seeds</t>
  </si>
  <si>
    <t>Seed Procurement - Soybean</t>
  </si>
  <si>
    <t>Soil ameliorant</t>
  </si>
  <si>
    <t>DRRM - White Corn Seed Procured Hybrid</t>
  </si>
  <si>
    <t>White corn seeds reserve</t>
  </si>
  <si>
    <t>Modernization</t>
  </si>
  <si>
    <t>9. Climate Change Adaptation &amp; Mitigation Measures</t>
  </si>
  <si>
    <t>Seed Reserve</t>
  </si>
  <si>
    <t>Yellow corn seeds reserve</t>
  </si>
  <si>
    <t>Other fertilizers&amp;soil ameliorants distributed kg</t>
  </si>
  <si>
    <t>Cassava cuttings distributed</t>
  </si>
  <si>
    <t>DRRM -  Agricultural chemicals (Bactericide)</t>
  </si>
  <si>
    <t>Agricultural Chemicals</t>
  </si>
  <si>
    <t>Bactericide</t>
  </si>
  <si>
    <t>Agrichemicals</t>
  </si>
  <si>
    <t>Insecticides distributed liter</t>
  </si>
  <si>
    <t>DRRM -  Agricultural chemicals (Fungicide)</t>
  </si>
  <si>
    <t>Fungicide</t>
  </si>
  <si>
    <t>Insecticides distributed kg</t>
  </si>
  <si>
    <t>DRRM -  Agricultural chemicals (Insecticide in kilograms)</t>
  </si>
  <si>
    <t>kilograms</t>
  </si>
  <si>
    <t>Insecticide (solid)</t>
  </si>
  <si>
    <t>Fungicides reserve distributed kg</t>
  </si>
  <si>
    <t>Insecticide (liquid)</t>
  </si>
  <si>
    <t>Rodenticides reserve distributed kg</t>
  </si>
  <si>
    <t>Pheromone lure</t>
  </si>
  <si>
    <t>Other agri-chemicals distributed_pc</t>
  </si>
  <si>
    <t>Rodenticides</t>
  </si>
  <si>
    <t>Streptomycin</t>
  </si>
  <si>
    <t xml:space="preserve">Model Farms established </t>
  </si>
  <si>
    <t>DA Stations - Seed Storage Facility Conventional Construction</t>
  </si>
  <si>
    <t>Support to DA Stations</t>
  </si>
  <si>
    <t>Seed Storage Facility Conventional Construction</t>
  </si>
  <si>
    <t>Overhead</t>
  </si>
  <si>
    <t>DA Station</t>
  </si>
  <si>
    <t>PumpIrrigationSystemOS installed/distributed</t>
  </si>
  <si>
    <t>DA Stations - Seed Storage Facility Conventional Maintenance</t>
  </si>
  <si>
    <t>Seed Storage Facility Conventional Maintenance</t>
  </si>
  <si>
    <t>Shallow Tube Well installed/distributed</t>
  </si>
  <si>
    <t>DA Stations - Seed Storage Facility Conventional Rehabilitation</t>
  </si>
  <si>
    <t>Seed Storage Facility Conventional Rehabilitation</t>
  </si>
  <si>
    <t>Solar-powered irrigation system installed/constructed</t>
  </si>
  <si>
    <t>DA Stations - Seed Storage Facility Conventional Upgrade</t>
  </si>
  <si>
    <t>Seed Storage Facility Conventional Upgrade</t>
  </si>
  <si>
    <t>DA Stations - Other production facilities establishment</t>
  </si>
  <si>
    <t>Other production facilities establishment</t>
  </si>
  <si>
    <t>DA Stations - Other production facilities maintenance</t>
  </si>
  <si>
    <t>Other production facilities maintenance</t>
  </si>
  <si>
    <t>DA Stations - Other production facilities rehabilitation</t>
  </si>
  <si>
    <t>Other production facilities rehabilitation</t>
  </si>
  <si>
    <t>DA Stations - Other production facilities upgrade</t>
  </si>
  <si>
    <t>Other production facilities upgrade</t>
  </si>
  <si>
    <t>DA Stations - Combine Harvester</t>
  </si>
  <si>
    <t>Machinery &amp; Equipment for DA Stations</t>
  </si>
  <si>
    <t>8. Farm Mechanization and Farm Investments</t>
  </si>
  <si>
    <t>Corn</t>
  </si>
  <si>
    <t>DA Stations - Delivery Truck</t>
  </si>
  <si>
    <t>DA Stations - Four-wheel Tractor (65 hp min)</t>
  </si>
  <si>
    <t>DA Stations - Heavy Cargo Truck</t>
  </si>
  <si>
    <t>DA Stations - Multi-commodity Solar Dryer</t>
  </si>
  <si>
    <t>DA Stations - Multicommodity Thresher</t>
  </si>
  <si>
    <t>Cassava_RND</t>
  </si>
  <si>
    <t>Sorghum_RND</t>
  </si>
  <si>
    <t>Soybean_RND</t>
  </si>
  <si>
    <t>DA Stations - Pneumatic Four row planter</t>
  </si>
  <si>
    <t>Sorghum_AMEFSS</t>
  </si>
  <si>
    <t>Soybean_AMEFSS</t>
  </si>
  <si>
    <t>DA Stations - Seed sorter</t>
  </si>
  <si>
    <t>Cassava_INS</t>
  </si>
  <si>
    <t>Soybean_INS</t>
  </si>
  <si>
    <t>DA Stations - Disc Plow</t>
  </si>
  <si>
    <t>DA Stations - Furrower</t>
  </si>
  <si>
    <t>DA Stations - Rotavator</t>
  </si>
  <si>
    <t>DA Stations - Trailing Harrow</t>
  </si>
  <si>
    <t>Farm Supplies - Collapsible Dryer</t>
  </si>
  <si>
    <t>Farm Supplies (Farmer)</t>
  </si>
  <si>
    <t>Farm Supplies</t>
  </si>
  <si>
    <t>Collapsible Dryer</t>
  </si>
  <si>
    <t>DEVELOP AND IMPROVE POST-HARVEST SYSTEMS AND INFRASTRUCTURE</t>
  </si>
  <si>
    <t>Postharvest-related</t>
  </si>
  <si>
    <t>Farm Supplies - Hermetic Storage Bag</t>
  </si>
  <si>
    <t>Hermetic Storage Bag</t>
  </si>
  <si>
    <t>1ST SEMESTER</t>
  </si>
  <si>
    <t>Expanded Bicol Corn Devt Program - Inorganic Fertilizers</t>
  </si>
  <si>
    <t>Special Projects</t>
  </si>
  <si>
    <t>Expanded Bicol Corn Development Program</t>
  </si>
  <si>
    <t>Expanded Bicol Corn Devt Program - Yellow Corn Seeds</t>
  </si>
  <si>
    <t>Expanded Bicol Corn Devt Program -  Chicken Manure</t>
  </si>
  <si>
    <t>Chicken Manure</t>
  </si>
  <si>
    <t>Expanded Bicol Corn Devt Program - Insecticide</t>
  </si>
  <si>
    <t>Insecticide</t>
  </si>
  <si>
    <t>Expanded Bicol Corn Devt Program -  Soil Ameliorant</t>
  </si>
  <si>
    <t>2ND SEMESTER</t>
  </si>
  <si>
    <t>EXTENSION SUPPORT, EDUCATION, AND TRAINING SERVICES (ESETS)</t>
  </si>
  <si>
    <t>Sorghum_INS</t>
  </si>
  <si>
    <t>Print disseminated</t>
  </si>
  <si>
    <t>IEC materials</t>
  </si>
  <si>
    <t>Strategic Communication</t>
  </si>
  <si>
    <t>18. Strategic Communications​</t>
  </si>
  <si>
    <t>IEC</t>
  </si>
  <si>
    <t>Production</t>
  </si>
  <si>
    <t>Advocacy and Information Materials  - IEC Materials White Corn</t>
  </si>
  <si>
    <t>Market</t>
  </si>
  <si>
    <t>Postharvest</t>
  </si>
  <si>
    <t>Advocacy and Information Materials  - Info Caravan</t>
  </si>
  <si>
    <t>Info Caravan</t>
  </si>
  <si>
    <t>Extension</t>
  </si>
  <si>
    <t>no. of times aired</t>
  </si>
  <si>
    <t>Radio Plugs</t>
  </si>
  <si>
    <t>Policy</t>
  </si>
  <si>
    <t>Advocacy and Information Materials  - Radio Programs</t>
  </si>
  <si>
    <t>Radio Programs</t>
  </si>
  <si>
    <t>TV Plugs</t>
  </si>
  <si>
    <t>Advocacy and Information Materials - Newspaper Publication</t>
  </si>
  <si>
    <t>Newspaper Publication</t>
  </si>
  <si>
    <t>Continuing</t>
  </si>
  <si>
    <t>Climate Advisory - Radio plugs</t>
  </si>
  <si>
    <t>For Completion</t>
  </si>
  <si>
    <t>Climate Advisory - TV plugs</t>
  </si>
  <si>
    <t>Climate Advisory - IEC printed materials</t>
  </si>
  <si>
    <t>STRONG PARTNERSHIP WITH THE FARMERS, FISHERFOLK, PRIVATE SECTOR, AND OTHER STAKEHOLDERS</t>
  </si>
  <si>
    <t>Other Intervetions</t>
  </si>
  <si>
    <t>Documentation of Success Stories</t>
  </si>
  <si>
    <t>Techno Demo</t>
  </si>
  <si>
    <t>Corn Derby</t>
  </si>
  <si>
    <t>(Support to Corn Farmers at Learning Site) Farmers Field School</t>
  </si>
  <si>
    <t>Farmer Field Schools (FFS)</t>
  </si>
  <si>
    <t>Capacity Building</t>
  </si>
  <si>
    <t>(Support to Corn Farmers at Learning Site) TOT on Corn Production and Postharvest Management</t>
  </si>
  <si>
    <t>Training of Trainers</t>
  </si>
  <si>
    <t>Corn Production and Postharvest Management</t>
  </si>
  <si>
    <t>3. PAFES</t>
  </si>
  <si>
    <t>(Support to Corn Farmers at Learning Site) TOT on Corn Production and Postharvest Management - AEW</t>
  </si>
  <si>
    <t>TOT on Corn Production and Postharvest Management - AEW</t>
  </si>
  <si>
    <t>{Support to Corn Farmers at Learning Site) Local Internship Program for Corn Youth Farmers</t>
  </si>
  <si>
    <t>Internship Program</t>
  </si>
  <si>
    <t>Internship</t>
  </si>
  <si>
    <t>Local Internship Program for Corn Youth Farmers</t>
  </si>
  <si>
    <t>Farmer Scientist Training Program Evaluation</t>
  </si>
  <si>
    <t>Other training related activities</t>
  </si>
  <si>
    <t>Evaluation</t>
  </si>
  <si>
    <t>IEC materials developed</t>
  </si>
  <si>
    <t>Learning sites Enhancement</t>
  </si>
  <si>
    <t>Learning Site enhancement</t>
  </si>
  <si>
    <t>Learning Sites</t>
  </si>
  <si>
    <t>Model farm</t>
  </si>
  <si>
    <t>Cassava model farm</t>
  </si>
  <si>
    <t>Model Farm - Yellow corn (sites)</t>
  </si>
  <si>
    <t>Climate-smart Model Farm</t>
  </si>
  <si>
    <t>Model Farm - White corn (sites)</t>
  </si>
  <si>
    <t>Corn-based Diversified Farming System</t>
  </si>
  <si>
    <t>Sorghum model farm</t>
  </si>
  <si>
    <t>Soybean model farm</t>
  </si>
  <si>
    <t>Incentives Given</t>
  </si>
  <si>
    <t>Agricultural Extension Worker</t>
  </si>
  <si>
    <t>Support to LGU Extension Workers Incentives - MAFC Coordinator - Full-time</t>
  </si>
  <si>
    <t>MAFC Coordinator - Full-time</t>
  </si>
  <si>
    <t>Support to LGU Extension Workers Incentives - MAFC Coordinator - Part-time</t>
  </si>
  <si>
    <t>MAFC Coordinator - Part-time</t>
  </si>
  <si>
    <t>Municipal Agriculturist</t>
  </si>
  <si>
    <t>Support to LGU Extension Workers Incentives - PAFC Coordinator - Full-time</t>
  </si>
  <si>
    <t>PAFC Coordinator - Full-time</t>
  </si>
  <si>
    <t>Support to LGU Extension Workers Incentives - PAFC Coordinator - Part-time</t>
  </si>
  <si>
    <t>PAFC Coordinator - Part-time</t>
  </si>
  <si>
    <t>Support to LGU Extension Workers Incentives - Provincial Agriculturist</t>
  </si>
  <si>
    <t>Provincial Agriculturist</t>
  </si>
  <si>
    <t>Provincial Coordinator</t>
  </si>
  <si>
    <t>Techno-Demo - SCOPSA established (sites)</t>
  </si>
  <si>
    <t>SCoPSA techno demo</t>
  </si>
  <si>
    <t>Techno-Demo Cassava (sites)</t>
  </si>
  <si>
    <t>Cassava techno demo</t>
  </si>
  <si>
    <t>Sorghum techno demo</t>
  </si>
  <si>
    <t>Soybean techno demo</t>
  </si>
  <si>
    <t>Techno-Demo White Corn (sites)</t>
  </si>
  <si>
    <t>White corn techno demo</t>
  </si>
  <si>
    <t>Techno-Demo Yellow Corn (sites)</t>
  </si>
  <si>
    <t>Yellow corn techno demo</t>
  </si>
  <si>
    <t>Training - Clientele-based - Agrientrepreneurial/ Agribusiness Management Training</t>
  </si>
  <si>
    <t>Agrientrepreneurial/ Agribusiness Management Training</t>
  </si>
  <si>
    <t>15. Education &amp; Training: Agribusiness Management</t>
  </si>
  <si>
    <t>IMPROVE AND EXPAND LOCAL AND INTERNATIONAL MARKET ACCESS</t>
  </si>
  <si>
    <t>Training - Clientele-based - Biofertilizer Production and Utilization Training</t>
  </si>
  <si>
    <t>Biofertilizer Production and Utilization Training</t>
  </si>
  <si>
    <t>Professionalization</t>
  </si>
  <si>
    <t>Training - Clientele-based - Cassava Cluster Development training</t>
  </si>
  <si>
    <t>Cluster Development training</t>
  </si>
  <si>
    <t>Cassava Livelihood training</t>
  </si>
  <si>
    <t>Training - Clientele-based - Cassava Postharvest training</t>
  </si>
  <si>
    <t>Cassava Postharvest training</t>
  </si>
  <si>
    <t>Cassava Production Training</t>
  </si>
  <si>
    <t xml:space="preserve">Training - Clientele-based - Climate Smart and Sustainable Agriculture Training </t>
  </si>
  <si>
    <t xml:space="preserve">Climate Smart and Sustainable Agriculture Training </t>
  </si>
  <si>
    <t>SCIENCE AND INFORMATION-DRIVEN DECISION MAKING THROUGH DIGITALIZATION</t>
  </si>
  <si>
    <t>Corn Livelihood training</t>
  </si>
  <si>
    <t>Training - Clientele-based - Corn Livestock Integration Training</t>
  </si>
  <si>
    <t>Corn Livestock Integration Training</t>
  </si>
  <si>
    <t>5. Diversification</t>
  </si>
  <si>
    <t>Training - Clientele-based - Corn Postharvest training</t>
  </si>
  <si>
    <t>Corn Postharvest training</t>
  </si>
  <si>
    <t>Corn Production Training</t>
  </si>
  <si>
    <t>Training - Clientele-based - Corn Seed Growers Training</t>
  </si>
  <si>
    <t>Corn Seed Growers Training</t>
  </si>
  <si>
    <t>Training - Clientele-based - Farm Business School Training</t>
  </si>
  <si>
    <t>Farm Business School Training</t>
  </si>
  <si>
    <t>Training - Clientele-based - Farmer Field Schools (FFS)</t>
  </si>
  <si>
    <t>Training - Clientele-based - Farmer Scientist Training Program (FSTP) - Phase 1</t>
  </si>
  <si>
    <t>Farmer Scientist Training Program (FSTP) - Phase 1</t>
  </si>
  <si>
    <t>Training - Clientele-based - Farmer Scientist Training Program (FSTP) - Phase 2</t>
  </si>
  <si>
    <t>Farmer Scientist Training Program (FSTP) - Phase 2</t>
  </si>
  <si>
    <t>Training - Clientele-based - Farmer Scientist Training Program (FSTP) - Phase 3</t>
  </si>
  <si>
    <t>Farmer Scientist Training Program (FSTP) - Phase 3</t>
  </si>
  <si>
    <t>Training - Clientele-based - Farmer Scientist Training Program (FSTP) - Refresher Course</t>
  </si>
  <si>
    <t>Farmer Scientist Training Program (FSTP) - Refresher Course</t>
  </si>
  <si>
    <t>Integrated Pest Management Training</t>
  </si>
  <si>
    <t>Training - Clientele-based - School on air (SOA)</t>
  </si>
  <si>
    <t>School on air (SOA)</t>
  </si>
  <si>
    <t>Training - Clientele-based - Silage Production</t>
  </si>
  <si>
    <t xml:space="preserve">Sorghum Production Training </t>
  </si>
  <si>
    <t xml:space="preserve">Soybean Production Training </t>
  </si>
  <si>
    <t>Training on Operation and Maintenance of Farm Machinery and Equipment</t>
  </si>
  <si>
    <t>Training of Trainers - Cassava Planting Materials Propagation</t>
  </si>
  <si>
    <t>Cassava Planting Materials Propagation</t>
  </si>
  <si>
    <t>Training of Trainers - Corn Cluster Development</t>
  </si>
  <si>
    <t>Corn Cluster Development</t>
  </si>
  <si>
    <t>Training of Trainers - Corn Livestock Integration Training</t>
  </si>
  <si>
    <t>Training of Trainers - Corn Production, Postharvest, &amp; Processing</t>
  </si>
  <si>
    <t>Corn Production, Postharvest, &amp; Processing</t>
  </si>
  <si>
    <t>Training of Trainers - Digital Marketing</t>
  </si>
  <si>
    <t>Digital Agriculture and Marketing</t>
  </si>
  <si>
    <t>Training of Trainers - Farmer Scientist Training Program (FSTP)</t>
  </si>
  <si>
    <t>Farmer Scientist Training Program (FSTP)</t>
  </si>
  <si>
    <t>Training of Trainers - Integrated Pest Management Training</t>
  </si>
  <si>
    <t>Training of Trainers - Nutrient Expert for Cassava</t>
  </si>
  <si>
    <t>Nutrient Expert for Cassava</t>
  </si>
  <si>
    <t>Training of Trainers - Silage Production</t>
  </si>
  <si>
    <t>Training of Trainers - Site Specific Nutrient Management on Maize</t>
  </si>
  <si>
    <t>Site Specific Nutrient Management on Maize</t>
  </si>
  <si>
    <t>Training of Trainers - Sorghum Production Technologies</t>
  </si>
  <si>
    <t>Sorghum Production Technologies</t>
  </si>
  <si>
    <t>Training of Trainers - Soybean Production Technologies</t>
  </si>
  <si>
    <t>Soybean Production Technologies</t>
  </si>
  <si>
    <t>Training of Trainers - Season Long Training on Corn Production</t>
  </si>
  <si>
    <t>Season Long Training on Corn Production</t>
  </si>
  <si>
    <t>Training of Trainers - Sustainable Land Management in Corn-based Sloping Areas (SLM-Corn)</t>
  </si>
  <si>
    <t>Sustainable Land Resources Management Approach</t>
  </si>
  <si>
    <t>Video materials produced</t>
  </si>
  <si>
    <t>Training - Clientele-based - iFARM</t>
  </si>
  <si>
    <t>iFARM Training</t>
  </si>
  <si>
    <t>RESEARCH AND DEVELOPMENT</t>
  </si>
  <si>
    <t>New R&amp;D funded</t>
  </si>
  <si>
    <t>Corn R&amp;D New studies funded - Corn Germplasm Utilization through Advanced Corn R&amp;D (CGUARD)</t>
  </si>
  <si>
    <t>R&amp;D funded</t>
  </si>
  <si>
    <t>BAR funded R&amp;D</t>
  </si>
  <si>
    <t>New R&amp;D</t>
  </si>
  <si>
    <t>Research</t>
  </si>
  <si>
    <t>R&amp;D</t>
  </si>
  <si>
    <t>Corn R&amp;D New studies funded - Soil &amp; Nutrient Management</t>
  </si>
  <si>
    <t>Corn R&amp;D New studies funded - IPM Technologies</t>
  </si>
  <si>
    <t>Corn R&amp;D New studies funded - Product and Market Development</t>
  </si>
  <si>
    <t>Corn R&amp;D New studies funded - Integrated farming system</t>
  </si>
  <si>
    <t>New R&amp;D conducted</t>
  </si>
  <si>
    <t>Corn R&amp;D New studies conducted - Corn Germplasm Utilization through Advanced Corn R&amp;D (CGUARD)</t>
  </si>
  <si>
    <t>Continuing R&amp;D</t>
  </si>
  <si>
    <t>Corn R&amp;D New studies conducted - Soil &amp; Nutrient Management</t>
  </si>
  <si>
    <t>Corn R&amp;D New studies conducted - IPM Technologies</t>
  </si>
  <si>
    <t>Corn R&amp;D New studies conducted - Product and Market Development</t>
  </si>
  <si>
    <t>Corn R&amp;D New studies conducted - Integrated farming system</t>
  </si>
  <si>
    <t>Corn R&amp;D Continuing studies funded - Corn Germplasm Utilization through Advanced Corn R&amp;D (CGUARD)</t>
  </si>
  <si>
    <t>Corn R&amp;D Continuing studies funded - Soil &amp; Nutrient Management</t>
  </si>
  <si>
    <t>Corn R&amp;D Continuing studies funded - IPM Technologies</t>
  </si>
  <si>
    <t>Corn R&amp;D Continuing studies funded - Product and Market Development</t>
  </si>
  <si>
    <t>Corn R&amp;D Continuing studies funded - Integrated farming system</t>
  </si>
  <si>
    <t>Corn R&amp;D Continuing studies conducted - Corn Germplasm Utilization through Advanced Corn R&amp;D (CGUARD)</t>
  </si>
  <si>
    <t>Corn R&amp;D Continuing studies conducted - Soil &amp; Nutrient Management</t>
  </si>
  <si>
    <t>Corn R&amp;D Continuing studies conducted - IPM Technologies</t>
  </si>
  <si>
    <t>Corn R&amp;D Continuing studies conducted - Product and Market Development</t>
  </si>
  <si>
    <t>Corn R&amp;D Continuing studies conducted - Integrated farming system</t>
  </si>
  <si>
    <t>For completion R&amp;D</t>
  </si>
  <si>
    <t>Corn R&amp;D Completed studies funded - Corn Germplasm Utilization through Advanced Corn R&amp;D (CGUARD)</t>
  </si>
  <si>
    <t>Corn R&amp;D Completed studies funded - Soil &amp; Nutrient Management</t>
  </si>
  <si>
    <t>Corn R&amp;D Completed studies funded - IPM Technologies</t>
  </si>
  <si>
    <t>Corn R&amp;D Completed studies funded - Product and Market Development</t>
  </si>
  <si>
    <t>Corn R&amp;D Completed studies funded - Integrated farming system</t>
  </si>
  <si>
    <t>Corn R&amp;D Completed studies conducted - Corn Germplasm Utilization through Advanced Corn R&amp;D (CGUARD)</t>
  </si>
  <si>
    <t>Corn R&amp;D Completed studies conducted - Soil &amp; Nutrient Management</t>
  </si>
  <si>
    <t>Corn R&amp;D Completed studies conducted - IPM Technologies</t>
  </si>
  <si>
    <t>Corn R&amp;D Completed studies conducted - Product and Market Development</t>
  </si>
  <si>
    <t>Corn R&amp;D Completed studies conducted - Integrated farming system</t>
  </si>
  <si>
    <t>R&amp;D New Studies Funded - Policy</t>
  </si>
  <si>
    <t>R&amp;D New Studies Funded - By-product utilization</t>
  </si>
  <si>
    <t>R&amp;D Continuing Studies Funded - Production</t>
  </si>
  <si>
    <t>RFOs &amp; Bureaus conducted R&amp;D</t>
  </si>
  <si>
    <t>R&amp;D New Studies Conducted - Market</t>
  </si>
  <si>
    <t>R&amp;D New Studies Conducted - Postharvest</t>
  </si>
  <si>
    <t>R&amp;D New Studies Conducted - Extension</t>
  </si>
  <si>
    <t>R&amp;D New Studies Conducted - Policy</t>
  </si>
  <si>
    <t>R&amp;D Continuing Studies Conducted - Production</t>
  </si>
  <si>
    <t>R&amp;D Continuing Studies Conducted - Market</t>
  </si>
  <si>
    <t>R&amp;D Continuing Studies Conducted - Postharvest</t>
  </si>
  <si>
    <t>R&amp;D Continuing Studies Conducted - Extension</t>
  </si>
  <si>
    <t>R&amp;D Continuing Studies Conducted - Policy</t>
  </si>
  <si>
    <t>R&amp;D Completed Studies Conducted - Production</t>
  </si>
  <si>
    <t>R&amp;D Completed Studies Conducted - Market</t>
  </si>
  <si>
    <t>R&amp;D Completed Studies Conducted - Postharvest</t>
  </si>
  <si>
    <t>R&amp;D Completed Studies Conducted - Extension</t>
  </si>
  <si>
    <t>R&amp;D Completed Studies Conducted - Policy</t>
  </si>
  <si>
    <t>R&amp;D New Studies Funded - Postharvest</t>
  </si>
  <si>
    <t>Cassava R&amp;D New studies funded - Varietal Development</t>
  </si>
  <si>
    <t>Cassava R&amp;D New studies funded - Soil &amp; Nutrient Management</t>
  </si>
  <si>
    <t>Cassava R&amp;D New studies funded - IPM Technologies</t>
  </si>
  <si>
    <t>Cassava R&amp;D New studies funded - Product and Market Development</t>
  </si>
  <si>
    <t>Cassava R&amp;D New studies funded - Integrated farming system</t>
  </si>
  <si>
    <t>Cassava R&amp;D Continuing studies funded - Varietal Development</t>
  </si>
  <si>
    <t>Cassava R&amp;D Continuing studies funded - Soil &amp; Nutrient Management</t>
  </si>
  <si>
    <t>Cassava R&amp;D Continuing studies funded - IPM Technologies</t>
  </si>
  <si>
    <t>Cassava R&amp;D Continuing studies funded - Product and Market Development</t>
  </si>
  <si>
    <t>Cassava R&amp;D Continuing studies funded - Integrated farming system</t>
  </si>
  <si>
    <t>Cassava R&amp;D Completed studies funded - Varietal Development</t>
  </si>
  <si>
    <t>Cassava R&amp;D Completed studies funded - Soil &amp; Nutrient Management</t>
  </si>
  <si>
    <t>Cassava R&amp;D Completed studies funded - IPM Technologies</t>
  </si>
  <si>
    <t>Cassava R&amp;D Completed studies funded - Product and Market Development</t>
  </si>
  <si>
    <t>Cassava R&amp;D Completed studies funded - Integrated farming system</t>
  </si>
  <si>
    <t>Sorghum New R&amp;D studies funded - Germplasm and Seed System</t>
  </si>
  <si>
    <t>Sorghum New R&amp;D studies funded - Integrated Production and Postharvest Technologies</t>
  </si>
  <si>
    <t>Sorghum New R&amp;D studies funded - Development of Integrated Pest Management</t>
  </si>
  <si>
    <t>Sorghum New R&amp;D studies funded - Development of Sorghum By-products</t>
  </si>
  <si>
    <t>Sorghum New R&amp;D studies funded - Market Related Research</t>
  </si>
  <si>
    <t>Sorghum New R&amp;D studies funded - Socio - economic and Policy Research</t>
  </si>
  <si>
    <t>Sorghum Continuing R&amp;D studies funded - Germplasm and Seed System</t>
  </si>
  <si>
    <t>Sorghum Continuing R&amp;D studies funded - Integrated Production and Postharvest Technologies</t>
  </si>
  <si>
    <t>Sorghum Continuing R&amp;D studies funded - Development of Integrated Pest Management</t>
  </si>
  <si>
    <t>Sorghum Continuing R&amp;D studies funded - Development of Sorghum By-products</t>
  </si>
  <si>
    <t>Sorghum Continuing R&amp;D studies funded - Market Related Research</t>
  </si>
  <si>
    <t>Sorghum Continuing R&amp;D studies funded - Socio - economic and Policy Research</t>
  </si>
  <si>
    <t>Soybean R&amp;D New studies funded - Varietal Development</t>
  </si>
  <si>
    <t>Soybean R&amp;D New studies funded - Soil &amp; Nutrient Management</t>
  </si>
  <si>
    <t>Soybean R&amp;D New studies funded - IPM Technologies</t>
  </si>
  <si>
    <t>Soybean R&amp;D New studies funded - Product and Market Development</t>
  </si>
  <si>
    <t>Soybean R&amp;D New studies funded - Integrated farming system</t>
  </si>
  <si>
    <t>Soybean R&amp;D New studies funded - Production</t>
  </si>
  <si>
    <t>Cassava R&amp;D New studies conducted - Varietal Development</t>
  </si>
  <si>
    <t>Cassava R&amp;D New studies conducted - Soil &amp; Nutrient Management</t>
  </si>
  <si>
    <t>Cassava R&amp;D New studies conducted - IPM Technologies</t>
  </si>
  <si>
    <t>Cassava R&amp;D New studies conducted - Product and Market Development</t>
  </si>
  <si>
    <t>Cassava R&amp;D New studies conducted - Integrated farming system</t>
  </si>
  <si>
    <t>Cassava R&amp;D Continuing studies conducted - Varietal Development</t>
  </si>
  <si>
    <t>Cassava R&amp;D Continuing studies conducted - Soil &amp; Nutrient Management</t>
  </si>
  <si>
    <t>Cassava R&amp;D Continuing studies conducted - IPM Technologies</t>
  </si>
  <si>
    <t>Cassava R&amp;D Continuing studies conducted - Product and Market Development</t>
  </si>
  <si>
    <t>Cassava R&amp;D Continuing studies conducted - Integrated farming system</t>
  </si>
  <si>
    <t>Cassava R&amp;D Completed studies conducted - Varietal Development</t>
  </si>
  <si>
    <t>Cassava R&amp;D Completed studies conducted - Soil &amp; Nutrient Management</t>
  </si>
  <si>
    <t>Cassava R&amp;D Completed studies conducted - IPM Technologies</t>
  </si>
  <si>
    <t>Cassava R&amp;D Completed studies conducted - Product and Market Development</t>
  </si>
  <si>
    <t>Cassava R&amp;D Completed studies conducted - Integrated farming system</t>
  </si>
  <si>
    <t>Sorghum New R&amp;D studies conducted - Germplasm and Seed System</t>
  </si>
  <si>
    <t>Sorghum New R&amp;D studies conducted - Integrated Production and Postharvest Technologies</t>
  </si>
  <si>
    <t>Sorghum New R&amp;D studies conducted - Development of Integrated Pest Management</t>
  </si>
  <si>
    <t>Sorghum New R&amp;D studies conducted - Development of Sorghum By-products</t>
  </si>
  <si>
    <t>Sorghum New R&amp;D studies conducted - Market Related Research</t>
  </si>
  <si>
    <t>Sorghum New R&amp;D studies conducted - Socio - economic and Policy Research</t>
  </si>
  <si>
    <t>Sorghum Continuing R&amp;D studies conducted - Germplasm and Seed System</t>
  </si>
  <si>
    <t>Sorghum Continuing R&amp;D studies conducted - Integrated Production and Postharvest Technologies</t>
  </si>
  <si>
    <t>Sorghum Continuing R&amp;D studies conducted - Development of Integrated Pest Management</t>
  </si>
  <si>
    <t>Sorghum Continuing R&amp;D studies conducted - Development of Sorghum By-products</t>
  </si>
  <si>
    <t>Sorghum Continuing R&amp;D studies conducted - Market Related Research</t>
  </si>
  <si>
    <t>Sorghum Continuing R&amp;D studies conducted - Socio - economic and Policy Research</t>
  </si>
  <si>
    <t>Soybean R&amp;D New studies conducted - Varietal Development</t>
  </si>
  <si>
    <t>Soybean R&amp;D New studies conducted - Soil &amp; Nutrient Management</t>
  </si>
  <si>
    <t>Soybean R&amp;D New studies conducted - IPM Technologies</t>
  </si>
  <si>
    <t>Soybean R&amp;D New studies conducted - Product and Market Development</t>
  </si>
  <si>
    <t>Soybean R&amp;D New studies conducted - Integrated farming system</t>
  </si>
  <si>
    <t>Soybean R&amp;D New studies conducted - Production</t>
  </si>
  <si>
    <t>R&amp;D New Studies Conducted - iFARM</t>
  </si>
  <si>
    <t>R&amp;D New Studies Funded - iFARM</t>
  </si>
  <si>
    <t>AGRICULTURAL MACHINERY, EQUIPMENT, AND FACILITIES SUPPORT SERVICES (AMEFSS)</t>
  </si>
  <si>
    <t>Composting Facility for Biodegradable Waste (CFBW)</t>
  </si>
  <si>
    <t>Composting Facility for Biodegradable Waste (CFBW) technology package distributed</t>
  </si>
  <si>
    <t>Production-related</t>
  </si>
  <si>
    <t>MECHANIZE AND MODERNIZE AGRI-FISHERY PRODUCTION SYSTEMS</t>
  </si>
  <si>
    <t xml:space="preserve">Farm Production - Cassava Digger </t>
  </si>
  <si>
    <t xml:space="preserve">Cassava Digger </t>
  </si>
  <si>
    <t>Combine Harvester distributed</t>
  </si>
  <si>
    <t>Combine Harvester</t>
  </si>
  <si>
    <t>Farm Production - Corn Picker</t>
  </si>
  <si>
    <t>Corn Picker</t>
  </si>
  <si>
    <t>Corn Seeder</t>
  </si>
  <si>
    <t>Farm Production - Drone Sprayer</t>
  </si>
  <si>
    <t>Drone Sprayer</t>
  </si>
  <si>
    <t>Farm Production - Four-wheel Tractor (65 hp min)</t>
  </si>
  <si>
    <t>Four-Wheel Tractor Distributed</t>
  </si>
  <si>
    <t>Tractor</t>
  </si>
  <si>
    <t>Farm Production - Harvester</t>
  </si>
  <si>
    <t>Harvester</t>
  </si>
  <si>
    <t>Farm Production - Seeder</t>
  </si>
  <si>
    <t>Soybean seeder</t>
  </si>
  <si>
    <t>Postharvest-related - Bagger-Sewer</t>
  </si>
  <si>
    <t>Bagger-sewer</t>
  </si>
  <si>
    <t xml:space="preserve">Postharvest-related - Cassava Chipper </t>
  </si>
  <si>
    <t>Processing-related</t>
  </si>
  <si>
    <t xml:space="preserve">Cassava Chipper </t>
  </si>
  <si>
    <t>Postharvest-related - Cassava Granulator</t>
  </si>
  <si>
    <t>Cassava Granulator</t>
  </si>
  <si>
    <t>Postharvest-related - Cassava Grater with presser</t>
  </si>
  <si>
    <t>Cassava Grater with presser</t>
  </si>
  <si>
    <t xml:space="preserve">Postharvest-related - Cassava Pulverizer </t>
  </si>
  <si>
    <t xml:space="preserve">Cassava Pulverizer </t>
  </si>
  <si>
    <t>Postharvest-related - Corn Husker - Sheller</t>
  </si>
  <si>
    <t>Corn Sheller</t>
  </si>
  <si>
    <t>Corn mill</t>
  </si>
  <si>
    <t>Postharvest-related - Corn Sheller</t>
  </si>
  <si>
    <t>Postharvest-related - Dryer</t>
  </si>
  <si>
    <t>Recirculating Dryer</t>
  </si>
  <si>
    <t>Postharvest-related - Extruder</t>
  </si>
  <si>
    <t>Soybean Extruder</t>
  </si>
  <si>
    <t>Postharvest-related - Feed Mill</t>
  </si>
  <si>
    <t>Feed Mill</t>
  </si>
  <si>
    <t>Postharvest-related - Flatbed Dryer</t>
  </si>
  <si>
    <t>Flatbed Dryer</t>
  </si>
  <si>
    <t>Forage/Silage Chopper</t>
  </si>
  <si>
    <t>Postharvest-related - Grain Collector-Bagger</t>
  </si>
  <si>
    <t>Grain Collector distributed</t>
  </si>
  <si>
    <t>Grain Collector-Bagger</t>
  </si>
  <si>
    <t>Postharvest-related - Granulator</t>
  </si>
  <si>
    <t>Soybean Granulator</t>
  </si>
  <si>
    <t>Postharvest-related - Hammer Mill</t>
  </si>
  <si>
    <t>Hammer Mill</t>
  </si>
  <si>
    <t>Hauling truck</t>
  </si>
  <si>
    <t>DEVELOP EFFICIENT LOGISTICS SYSTEMS FOR BOTH INPUT AND PRODUCTION OUTPUT</t>
  </si>
  <si>
    <t>Postharvest-related - Hauling Truck (not exceeding 3000cc) - six-wheel truck</t>
  </si>
  <si>
    <t>Postharvest-related - Hauling Truck (not exceeding 7000cc) - six-wheel truck</t>
  </si>
  <si>
    <t>Postharvest-related - Hauling Truck (not exceeding 7000cc) - ten-wheel truck</t>
  </si>
  <si>
    <t>Postharvest-related - Moisture Meter</t>
  </si>
  <si>
    <t>Moisture Meter</t>
  </si>
  <si>
    <t>Postharvest-related - Multicommodity Thresher</t>
  </si>
  <si>
    <t>Multicommodity Thresher</t>
  </si>
  <si>
    <t>Postharvest-related - Recirculating Dryer 12T (mobile)</t>
  </si>
  <si>
    <t>Postharvest-related - Recirculating Dryer 12T (stationary)</t>
  </si>
  <si>
    <t>Postharvest-related - Recirculating Dryer 6T (mobile)</t>
  </si>
  <si>
    <t>Postharvest-related - Recirculating Dryer 6T (stationary)</t>
  </si>
  <si>
    <t>Postharvest-related - Recirculating Dryer 8T (mobile)</t>
  </si>
  <si>
    <t>Postharvest-related - Recirculating Dryer 8T (stationary)</t>
  </si>
  <si>
    <t>Postharvest-related - Roaster</t>
  </si>
  <si>
    <t>Soybean Roaster</t>
  </si>
  <si>
    <t>Postharvest-related - Seed sorter</t>
  </si>
  <si>
    <t>Seed sorter</t>
  </si>
  <si>
    <t>Solar Bubble Dryer</t>
  </si>
  <si>
    <t>Postharvest-related - Vacuum Pack Sealer</t>
  </si>
  <si>
    <t>Vacuum Pack Sealer</t>
  </si>
  <si>
    <t>Postharvest-related - Weighing Scale</t>
  </si>
  <si>
    <t>Weighing Scale</t>
  </si>
  <si>
    <t>Postharvest facilities - Corn Grits Processing Center</t>
  </si>
  <si>
    <t>Corn Grit Processing Center constructed</t>
  </si>
  <si>
    <t>Processing facilities</t>
  </si>
  <si>
    <t>Corn Grits Processing Center</t>
  </si>
  <si>
    <t>Postharvest facilities - Corn Postharvest Facility</t>
  </si>
  <si>
    <t>Corn Postharvest Facility</t>
  </si>
  <si>
    <t>Postharvest facilities - Corn Processing Center</t>
  </si>
  <si>
    <t>Corn Processing Center</t>
  </si>
  <si>
    <t>Postharvest facilities - Corn Processing Complex</t>
  </si>
  <si>
    <t>Corn Processing Complex</t>
  </si>
  <si>
    <t>Postharvest faciities - Feed Mill Facility</t>
  </si>
  <si>
    <t>Feed Mill Center constructed</t>
  </si>
  <si>
    <t>Feed Mill Facility</t>
  </si>
  <si>
    <t xml:space="preserve">Multi Crop Drying Pavement (MCDP) </t>
  </si>
  <si>
    <t>Postharvest facilities - Multi-commodity Solar Dryer</t>
  </si>
  <si>
    <t>Multi-commodity Solar Dryer constructed</t>
  </si>
  <si>
    <t>Multi-commodity Solar Dryer</t>
  </si>
  <si>
    <t>Postharvest facilities - Rice Corn Blend Processing Center</t>
  </si>
  <si>
    <t>Postharvest facilities - Silage Silo</t>
  </si>
  <si>
    <t>Silage Silo</t>
  </si>
  <si>
    <t>Postharvest facilities - Silo</t>
  </si>
  <si>
    <t>Silo</t>
  </si>
  <si>
    <t>Postharvest facilities - Solar Poly Tunnel Dryer</t>
  </si>
  <si>
    <t>Solar Poly Tunnel Dryer</t>
  </si>
  <si>
    <t>Postharvest facilities - Soybean Processing Center</t>
  </si>
  <si>
    <t>Postharvest facilities - Warehouse</t>
  </si>
  <si>
    <t>Warehouse</t>
  </si>
  <si>
    <t>Waster Water Treatment System</t>
  </si>
  <si>
    <t>Expanded Bicol Corn Devt Program - Manure Spreader</t>
  </si>
  <si>
    <t>Manure Spreader</t>
  </si>
  <si>
    <t>Expanded Bicol Corn Devt Program - Silage Harvester</t>
  </si>
  <si>
    <t>Silage Harvester</t>
  </si>
  <si>
    <t>Expanded Bicol Corn Devt Program - Four-wheel Tractor (90 hp min)</t>
  </si>
  <si>
    <t>Expanded Bicol Corn Devt Program - Pneumatic Four-row seeder</t>
  </si>
  <si>
    <t>Expanded Bicol Corn Devt Program - Combine Harvester</t>
  </si>
  <si>
    <t>Expanded Bicol Corn Devt Program - Corn Picker</t>
  </si>
  <si>
    <t>Expanded Bicol Corn Devt Program - Corn Husker - Sheller</t>
  </si>
  <si>
    <t>Expanded Bicol Corn Devt Program - Drone Sprayer</t>
  </si>
  <si>
    <t>IRRIGATION NETWORK SERVICES (INS)</t>
  </si>
  <si>
    <t>Open Source Pumping Set</t>
  </si>
  <si>
    <t>Pump and Engine Set distributed</t>
  </si>
  <si>
    <t>Small-scale Irrigation Projects (SSIPs)</t>
  </si>
  <si>
    <t>Irrigation</t>
  </si>
  <si>
    <t>Pump and Engine set for STW</t>
  </si>
  <si>
    <t>Pump and Engine Set for STW (unit)</t>
  </si>
  <si>
    <t>Pump and Engine Set for STW (area)</t>
  </si>
  <si>
    <t>Solar-powered Irrigation System (SPIS)</t>
  </si>
  <si>
    <t>Solar Powered Irrigation System (unit)</t>
  </si>
  <si>
    <t>Solar-Powered Irrigation System (SPIS) constructed</t>
  </si>
  <si>
    <t>Solar Powered Irrigation System (area)</t>
  </si>
  <si>
    <t>Mobile Solar-powered Irrigation</t>
  </si>
  <si>
    <t>Mobile Solar-powered Irrigation System</t>
  </si>
  <si>
    <t>Spring Development Project</t>
  </si>
  <si>
    <t>Spring Development Project (unit)</t>
  </si>
  <si>
    <t>Spring Development (SD) constructed</t>
  </si>
  <si>
    <t>Spring Development Project (area)</t>
  </si>
  <si>
    <t>NON-PIP</t>
  </si>
  <si>
    <t>NON-PICS</t>
  </si>
  <si>
    <t>Existing</t>
  </si>
  <si>
    <t>Seminars and Conferences</t>
  </si>
  <si>
    <t>Regional Stakeholders Meeting</t>
  </si>
  <si>
    <t>Farmers and Fisherfolk Registry System (FFRS) Updating</t>
  </si>
  <si>
    <t>OMIS Encoding and Reporting</t>
  </si>
  <si>
    <t>Cluster profiling/database</t>
  </si>
  <si>
    <t>PAFES</t>
  </si>
  <si>
    <t>Support to PAFES</t>
  </si>
  <si>
    <t>CAR</t>
  </si>
  <si>
    <t>RFOI</t>
  </si>
  <si>
    <t>RFOIII</t>
  </si>
  <si>
    <t>RFOIVA</t>
  </si>
  <si>
    <t>RFOIVB</t>
  </si>
  <si>
    <t>RFOV</t>
  </si>
  <si>
    <t>RFOVI</t>
  </si>
  <si>
    <t>RFOVII</t>
  </si>
  <si>
    <t>RFOVIII</t>
  </si>
  <si>
    <t>RFOIX</t>
  </si>
  <si>
    <t>RFOX</t>
  </si>
  <si>
    <t>RFOXI</t>
  </si>
  <si>
    <t>RFOXII</t>
  </si>
  <si>
    <t>RFOXIII</t>
  </si>
  <si>
    <t>OSEC</t>
  </si>
  <si>
    <t>ATI</t>
  </si>
  <si>
    <t>BAR</t>
  </si>
  <si>
    <t>BPI</t>
  </si>
  <si>
    <t>BSWM</t>
  </si>
  <si>
    <t>Abra</t>
  </si>
  <si>
    <t>Ilocos_Norte</t>
  </si>
  <si>
    <t>Batanes</t>
  </si>
  <si>
    <t>Aurora</t>
  </si>
  <si>
    <t>Batangas</t>
  </si>
  <si>
    <t>Marinduque</t>
  </si>
  <si>
    <t>Albay</t>
  </si>
  <si>
    <t>Aklan</t>
  </si>
  <si>
    <t>Bohol</t>
  </si>
  <si>
    <t>Biliran</t>
  </si>
  <si>
    <t>Zamboanga_del_Norte</t>
  </si>
  <si>
    <t>Bukidnon</t>
  </si>
  <si>
    <t>Davao_del_Norte</t>
  </si>
  <si>
    <t>North_Cotabato</t>
  </si>
  <si>
    <t>Agusan_del_Norte</t>
  </si>
  <si>
    <t>Apayao</t>
  </si>
  <si>
    <t>Ilocos_Sur</t>
  </si>
  <si>
    <t>Bataan</t>
  </si>
  <si>
    <t>Cavite</t>
  </si>
  <si>
    <t>Occidental_Mindoro</t>
  </si>
  <si>
    <t>Camarines_Norte</t>
  </si>
  <si>
    <t>Antique</t>
  </si>
  <si>
    <t>Cebu</t>
  </si>
  <si>
    <t>Eastern_Samar</t>
  </si>
  <si>
    <t>Zamboanga_del_Sur</t>
  </si>
  <si>
    <t>Camiguin</t>
  </si>
  <si>
    <t>Davao_del_Sur</t>
  </si>
  <si>
    <t>Sarangani</t>
  </si>
  <si>
    <t>Agusan_del_Sur</t>
  </si>
  <si>
    <t>Benguet</t>
  </si>
  <si>
    <t>La_Union</t>
  </si>
  <si>
    <t>Bulacan</t>
  </si>
  <si>
    <t>Laguna</t>
  </si>
  <si>
    <t>Oriental_Mindoro</t>
  </si>
  <si>
    <t>Camarines_Sur</t>
  </si>
  <si>
    <t>Capiz</t>
  </si>
  <si>
    <t>Negros_Oriental</t>
  </si>
  <si>
    <t>Leyte</t>
  </si>
  <si>
    <t>Zamboanga_Sibugay</t>
  </si>
  <si>
    <t>Lanao_del_Norte</t>
  </si>
  <si>
    <t>Davao_Oriental</t>
  </si>
  <si>
    <t>South_Cotabato</t>
  </si>
  <si>
    <t>Dinagat_Islands</t>
  </si>
  <si>
    <t>Ifugao</t>
  </si>
  <si>
    <t>Pangasinan</t>
  </si>
  <si>
    <t>Nueva_Ecija</t>
  </si>
  <si>
    <t>Quezon</t>
  </si>
  <si>
    <t>Palawan</t>
  </si>
  <si>
    <t>Catanduanes</t>
  </si>
  <si>
    <t>Guimaras</t>
  </si>
  <si>
    <t>Siquijor</t>
  </si>
  <si>
    <t>Northern_Samar</t>
  </si>
  <si>
    <t>Zamboanga_City</t>
  </si>
  <si>
    <t>Misamis_Occidental</t>
  </si>
  <si>
    <t>Davao_de_Oro</t>
  </si>
  <si>
    <t>Sultan_Kudarat</t>
  </si>
  <si>
    <t>Surigao_del_Norte</t>
  </si>
  <si>
    <t>Kalinga</t>
  </si>
  <si>
    <t>Pampanga</t>
  </si>
  <si>
    <t>Rizal</t>
  </si>
  <si>
    <t>Romblon</t>
  </si>
  <si>
    <t>Masbate</t>
  </si>
  <si>
    <t>Iloilo</t>
  </si>
  <si>
    <t>Southern_Leyte</t>
  </si>
  <si>
    <t>Misamis_Oriental</t>
  </si>
  <si>
    <t>Davao_City</t>
  </si>
  <si>
    <t>Surigao_del_Sur</t>
  </si>
  <si>
    <t>Mountain_Province</t>
  </si>
  <si>
    <t>Tarlac</t>
  </si>
  <si>
    <t>Sorsogon</t>
  </si>
  <si>
    <t>Negros_Occidental</t>
  </si>
  <si>
    <t>Samar</t>
  </si>
  <si>
    <t>Davao_Occidental</t>
  </si>
  <si>
    <t>Butuan_City</t>
  </si>
  <si>
    <t>Baguio_City</t>
  </si>
  <si>
    <t>Zambales</t>
  </si>
  <si>
    <t>RFOs</t>
  </si>
  <si>
    <t>OSEC-CO</t>
  </si>
  <si>
    <t>Bureaus</t>
  </si>
  <si>
    <t>RFO I</t>
  </si>
  <si>
    <t>RFO II</t>
  </si>
  <si>
    <t>RFO III</t>
  </si>
  <si>
    <t>RFO IVA</t>
  </si>
  <si>
    <t>ABRA</t>
  </si>
  <si>
    <t>APAYAO</t>
  </si>
  <si>
    <t>BENGUET</t>
  </si>
  <si>
    <t>IFUGAO</t>
  </si>
  <si>
    <t>KALINGA</t>
  </si>
  <si>
    <t>MOUNTAIN_PROVINCE</t>
  </si>
  <si>
    <t>BAGUIO_CITY</t>
  </si>
  <si>
    <t>ILOCOS_NORTE</t>
  </si>
  <si>
    <t>ILOCOS_SUR</t>
  </si>
  <si>
    <t>LA_UNION</t>
  </si>
  <si>
    <t>PANGASINAN</t>
  </si>
  <si>
    <t>BATANES</t>
  </si>
  <si>
    <t>CAGAYAN</t>
  </si>
  <si>
    <t>ISABELA</t>
  </si>
  <si>
    <t>NUEVA_VIZCAYA</t>
  </si>
  <si>
    <t>BATAAN</t>
  </si>
  <si>
    <t>BULACAN</t>
  </si>
  <si>
    <t>NUEVA_ECIJA</t>
  </si>
  <si>
    <t>PAMPANGA</t>
  </si>
  <si>
    <t>TARLAC</t>
  </si>
  <si>
    <t>ZAMBALES</t>
  </si>
  <si>
    <t>BATANGAS</t>
  </si>
  <si>
    <t>CAVITE</t>
  </si>
  <si>
    <t>LAGUNA</t>
  </si>
  <si>
    <t>MARINDUQUE</t>
  </si>
  <si>
    <t>OCCIDENTAL_MINDORO</t>
  </si>
  <si>
    <t>ORIENTAL_MINDORO</t>
  </si>
  <si>
    <t>PALAWAN</t>
  </si>
  <si>
    <t>ROMBLON</t>
  </si>
  <si>
    <t>ALBAY</t>
  </si>
  <si>
    <t>CAMARINES_NORTE</t>
  </si>
  <si>
    <t>CAMARINES_SUR</t>
  </si>
  <si>
    <t>CATANDUANES</t>
  </si>
  <si>
    <t>MASBATE</t>
  </si>
  <si>
    <t>SORSOGON</t>
  </si>
  <si>
    <t>AKLAN</t>
  </si>
  <si>
    <t>ANTIQUE</t>
  </si>
  <si>
    <t>CAPIZ</t>
  </si>
  <si>
    <t>GUIMARAS</t>
  </si>
  <si>
    <t>ILOILO</t>
  </si>
  <si>
    <t>NEGROS_OCCIDENTAL</t>
  </si>
  <si>
    <t>BOHOL</t>
  </si>
  <si>
    <t>CEBU</t>
  </si>
  <si>
    <t>NEGROS_ORIENTAL</t>
  </si>
  <si>
    <t>SIQUIJOR</t>
  </si>
  <si>
    <t>BILIRAN</t>
  </si>
  <si>
    <t>EASTERN_SAMAR</t>
  </si>
  <si>
    <t>LEYTE</t>
  </si>
  <si>
    <t>NORTHERN_SAMAR</t>
  </si>
  <si>
    <t>SOUTHERN_LEYTE</t>
  </si>
  <si>
    <t>SAMAR</t>
  </si>
  <si>
    <t>ZAMBOANGA_DEL_NORTE</t>
  </si>
  <si>
    <t>ZAMBOANGA_DEL_SUR</t>
  </si>
  <si>
    <t>ZAMBOANGA_SIBUGAY</t>
  </si>
  <si>
    <t>ZAMBOANGA_CITY</t>
  </si>
  <si>
    <t>ISABELA_CITY</t>
  </si>
  <si>
    <t>BUKIDNON</t>
  </si>
  <si>
    <t>CAMIGUIN</t>
  </si>
  <si>
    <t>LANAO_DEL_NORTE</t>
  </si>
  <si>
    <t>MISAMIS_OCCIDENTAL</t>
  </si>
  <si>
    <t>MISAMIS_ORIENTAL</t>
  </si>
  <si>
    <t>DAVAO_DEL_NORTE</t>
  </si>
  <si>
    <t>DAVAO_DEL_SUR</t>
  </si>
  <si>
    <t>DAVAO_ORIENTAL</t>
  </si>
  <si>
    <t>DAVAO_DE_ORO</t>
  </si>
  <si>
    <t>DAVAO_CITY</t>
  </si>
  <si>
    <t>DAVAO_OCCIDENTAL</t>
  </si>
  <si>
    <t>NORTH_COTABATO</t>
  </si>
  <si>
    <t>SARANGANI</t>
  </si>
  <si>
    <t>SOUTH_COTABATO</t>
  </si>
  <si>
    <t>SULTAN_KUDARAT</t>
  </si>
  <si>
    <t>AGUSAN_DEL_NORTE</t>
  </si>
  <si>
    <t>AGUSAN_DEL_SUR</t>
  </si>
  <si>
    <t>DINAGAT_ISLANDS</t>
  </si>
  <si>
    <t>SURIGAO_DEL_NORTE</t>
  </si>
  <si>
    <t>SURIGAO_DEL_SUR</t>
  </si>
  <si>
    <t>BUTUAN_CITY</t>
  </si>
  <si>
    <t>REGIONAL_OFFICE</t>
  </si>
  <si>
    <t>BANGUED (Capital)</t>
  </si>
  <si>
    <t>CALANASAN (BAYAG)</t>
  </si>
  <si>
    <t>ATOK</t>
  </si>
  <si>
    <t>BANAUE</t>
  </si>
  <si>
    <t>CITY OF TABUK (Capital)</t>
  </si>
  <si>
    <t>BARLIG</t>
  </si>
  <si>
    <t>CITY OF BAGUIO</t>
  </si>
  <si>
    <t>CITY OF BATAC</t>
  </si>
  <si>
    <t>CITY OF CANDON</t>
  </si>
  <si>
    <t>CITY OF SAN FERNANDO</t>
  </si>
  <si>
    <t>CITY OF ALAMINOS</t>
  </si>
  <si>
    <t>BASCO (Capital)</t>
  </si>
  <si>
    <t>AMBAGUIO</t>
  </si>
  <si>
    <t>BALER (Capital)</t>
  </si>
  <si>
    <t>CITY OF BALANGA (Capital)</t>
  </si>
  <si>
    <t>CITY OF MALOLOS (Capital)</t>
  </si>
  <si>
    <t>CITY OF CABANATUAN</t>
  </si>
  <si>
    <t>CITY OF ANGELES</t>
  </si>
  <si>
    <t>CITY OF TARLAC (Capital)</t>
  </si>
  <si>
    <t>CITY OF OLONGAPO</t>
  </si>
  <si>
    <t>BATANGAS CITY (Capital)</t>
  </si>
  <si>
    <t>CITY OF BACOOR</t>
  </si>
  <si>
    <t>CITY OF CABUYAO</t>
  </si>
  <si>
    <t>CITY OF LUCENA (Capital)</t>
  </si>
  <si>
    <t>ANGONO</t>
  </si>
  <si>
    <t>BOAC (Capital)</t>
  </si>
  <si>
    <t>ABRA DE ILOG</t>
  </si>
  <si>
    <t>CITY OF CALAPAN (Capital)</t>
  </si>
  <si>
    <t>CITY OF PUERTO PRINCESA (Capital)</t>
  </si>
  <si>
    <t>ALCANTARA</t>
  </si>
  <si>
    <t>CITY OF LEGAZPI (Capital)</t>
  </si>
  <si>
    <t>BASUD</t>
  </si>
  <si>
    <t>CITY OF IRIGA</t>
  </si>
  <si>
    <t>BAGAMANOC</t>
  </si>
  <si>
    <t>CITY OF MASBATE (Capital)</t>
  </si>
  <si>
    <t>CITY OF SORSOGON (Capital)</t>
  </si>
  <si>
    <t>ALTAVAS</t>
  </si>
  <si>
    <t>ANINI-Y</t>
  </si>
  <si>
    <t>CITY OF ROXAS (Capital)</t>
  </si>
  <si>
    <t>BUENAVISTA</t>
  </si>
  <si>
    <t>CITY OF ILOILO (Capital)</t>
  </si>
  <si>
    <t>CITY OF BACOLOD (Capital)</t>
  </si>
  <si>
    <t>CITY OF TAGBILARAN (Capital)</t>
  </si>
  <si>
    <t>CITY OF LAPU-LAPU (OPON)</t>
  </si>
  <si>
    <t>CITY OF BAIS</t>
  </si>
  <si>
    <t>ENRIQUE VILLANUEVA</t>
  </si>
  <si>
    <t>ALMERIA</t>
  </si>
  <si>
    <t>CITY OF CALBAYOG</t>
  </si>
  <si>
    <t>CITY OF BAYBAY</t>
  </si>
  <si>
    <t>ALLEN</t>
  </si>
  <si>
    <t>CITY OF MAASIN (Capital)</t>
  </si>
  <si>
    <t>CITY OF BORONGAN (Capital)</t>
  </si>
  <si>
    <t>CITY OF DAPITAN</t>
  </si>
  <si>
    <t>CITY OF PAGADIAN (Capital)</t>
  </si>
  <si>
    <t>CITY OF ZAMBOANGA</t>
  </si>
  <si>
    <t>City Of Isabela</t>
  </si>
  <si>
    <t>CITY OF MALAYBALAY (Capital)</t>
  </si>
  <si>
    <t>CATARMAN</t>
  </si>
  <si>
    <t>CITY OF ILIGAN</t>
  </si>
  <si>
    <t>CITY OF OROQUIETA (Capital)</t>
  </si>
  <si>
    <t>CITY OF CAGAYAN DE ORO (Capital)</t>
  </si>
  <si>
    <t>CITY OF PANABO</t>
  </si>
  <si>
    <t>CITY OF DIGOS (Capital)</t>
  </si>
  <si>
    <t>CITY OF MATI (Capital)</t>
  </si>
  <si>
    <t>COMPOSTELA</t>
  </si>
  <si>
    <t>CITY OF DAVAO</t>
  </si>
  <si>
    <t>DON MARCELINO</t>
  </si>
  <si>
    <t>CITY OF KIDAPAWAN (Capital)</t>
  </si>
  <si>
    <t>ALABEL (Capital)</t>
  </si>
  <si>
    <t>CITY OF GENERAL SANTOS (DADIANGAS)</t>
  </si>
  <si>
    <t>CITY OF TACURONG</t>
  </si>
  <si>
    <t>CITY OF BUTUAN (Capital)</t>
  </si>
  <si>
    <t>CITY OF BAYUGAN</t>
  </si>
  <si>
    <t>BASILISA (RIZAL)</t>
  </si>
  <si>
    <t>CITY OF SURIGAO (Capital)</t>
  </si>
  <si>
    <t>CITY OF BISLIG</t>
  </si>
  <si>
    <t>BOLINEY</t>
  </si>
  <si>
    <t>CONNER</t>
  </si>
  <si>
    <t>BAKUN</t>
  </si>
  <si>
    <t>HUNGDUAN</t>
  </si>
  <si>
    <t>BALBALAN</t>
  </si>
  <si>
    <t>BAUKO</t>
  </si>
  <si>
    <t>CITY OF LAOAG (Capital)</t>
  </si>
  <si>
    <t>CITY OF VIGAN (Capital)</t>
  </si>
  <si>
    <t>AGOO</t>
  </si>
  <si>
    <t>CITY OF DAGUPAN</t>
  </si>
  <si>
    <t>ITBAYAT</t>
  </si>
  <si>
    <t>ARITAO</t>
  </si>
  <si>
    <t>CASIGURAN</t>
  </si>
  <si>
    <t>ABUCAY</t>
  </si>
  <si>
    <t>CITY OF MEYCAUAYAN</t>
  </si>
  <si>
    <t>CITY OF GAPAN</t>
  </si>
  <si>
    <t>MABALACAT CITY</t>
  </si>
  <si>
    <t>ANAO</t>
  </si>
  <si>
    <t>BOTOLAN</t>
  </si>
  <si>
    <t>CITY OF LIPA</t>
  </si>
  <si>
    <t>CITY OF CAVITE</t>
  </si>
  <si>
    <t>CITY OF SAN PABLO</t>
  </si>
  <si>
    <t>CITY OF TAYABAS</t>
  </si>
  <si>
    <t>BARAS</t>
  </si>
  <si>
    <t>CALINTAAN</t>
  </si>
  <si>
    <t>BACO</t>
  </si>
  <si>
    <t>ABORLAN</t>
  </si>
  <si>
    <t>BANTON</t>
  </si>
  <si>
    <t>CITY OF LIGAO</t>
  </si>
  <si>
    <t>CAPALONGA</t>
  </si>
  <si>
    <t>CITY OF NAGA</t>
  </si>
  <si>
    <t>AROROY</t>
  </si>
  <si>
    <t>BARCELONA</t>
  </si>
  <si>
    <t>BALETE</t>
  </si>
  <si>
    <t>BARBAZA</t>
  </si>
  <si>
    <t>CUARTERO</t>
  </si>
  <si>
    <t>JORDAN (Capital)</t>
  </si>
  <si>
    <t>CITY OF PASSI</t>
  </si>
  <si>
    <t>CITY OF BAGO</t>
  </si>
  <si>
    <t>ALBURQUERQUE</t>
  </si>
  <si>
    <t>CITY OF CEBU (Capital)</t>
  </si>
  <si>
    <t>CITY OF BAYAWAN (TULONG)</t>
  </si>
  <si>
    <t>LARENA</t>
  </si>
  <si>
    <t>CITY OF CATBALOGAN (Capital)</t>
  </si>
  <si>
    <t>ORMOC CITY</t>
  </si>
  <si>
    <t>BIRI</t>
  </si>
  <si>
    <t>ANAHAWAN</t>
  </si>
  <si>
    <t>ARTECHE</t>
  </si>
  <si>
    <t>CITY OF DIPOLOG (Capital)</t>
  </si>
  <si>
    <t>BUUG</t>
  </si>
  <si>
    <t>CITY OF VALENCIA</t>
  </si>
  <si>
    <t>GUINSILIBAN</t>
  </si>
  <si>
    <t>BACOLOD</t>
  </si>
  <si>
    <t>CITY OF OZAMIZ</t>
  </si>
  <si>
    <t>CITY OF EL SALVADOR</t>
  </si>
  <si>
    <t>ISLAND GARDEN CITY OF SAMAL</t>
  </si>
  <si>
    <t>BANSALAN</t>
  </si>
  <si>
    <t>BAGANGA</t>
  </si>
  <si>
    <t>LAAK (SAN VICENTE)</t>
  </si>
  <si>
    <t>JOSE ABAD SANTOS (TRINIDAD)</t>
  </si>
  <si>
    <t>ALAMADA</t>
  </si>
  <si>
    <t>GLAN</t>
  </si>
  <si>
    <t>CITY OF KORONADAL (Capital)</t>
  </si>
  <si>
    <t>BAGUMBAYAN</t>
  </si>
  <si>
    <t>CITY OF CABADBARAN</t>
  </si>
  <si>
    <t>BUNAWAN</t>
  </si>
  <si>
    <t>CAGDIANAO</t>
  </si>
  <si>
    <t>ALEGRIA</t>
  </si>
  <si>
    <t>CITY OF TANDAG (Capital)</t>
  </si>
  <si>
    <t>BUCAY</t>
  </si>
  <si>
    <t>FLORA</t>
  </si>
  <si>
    <t>BOKOD</t>
  </si>
  <si>
    <t>KIANGAN</t>
  </si>
  <si>
    <t>LUBUAGAN</t>
  </si>
  <si>
    <t>BESAO</t>
  </si>
  <si>
    <t>ADAMS</t>
  </si>
  <si>
    <t>ALILEM</t>
  </si>
  <si>
    <t>ARINGAY</t>
  </si>
  <si>
    <t>CITY OF SAN CARLOS</t>
  </si>
  <si>
    <t>IVANA</t>
  </si>
  <si>
    <t>DILASAG</t>
  </si>
  <si>
    <t>BAGAC</t>
  </si>
  <si>
    <t>ANGAT</t>
  </si>
  <si>
    <t>SCIENCE CITY OF MUÑOZ</t>
  </si>
  <si>
    <t>CITY OF SAN FERNANDO (Capital)</t>
  </si>
  <si>
    <t>BAMBAN</t>
  </si>
  <si>
    <t>CABANGAN</t>
  </si>
  <si>
    <t>CITY OF TANAUAN</t>
  </si>
  <si>
    <t>CITY OF DASMARIÑAS</t>
  </si>
  <si>
    <t>CITY OF SAN PEDRO</t>
  </si>
  <si>
    <t>AGDANGAN</t>
  </si>
  <si>
    <t>BINANGONAN</t>
  </si>
  <si>
    <t>GASAN</t>
  </si>
  <si>
    <t>LOOC</t>
  </si>
  <si>
    <t>BANSUD</t>
  </si>
  <si>
    <t>AGUTAYA</t>
  </si>
  <si>
    <t>CAJIDIOCAN</t>
  </si>
  <si>
    <t>CITY OF TABACO</t>
  </si>
  <si>
    <t>DAET (Capital)</t>
  </si>
  <si>
    <t>BAAO</t>
  </si>
  <si>
    <t>BATO</t>
  </si>
  <si>
    <t>BALENO</t>
  </si>
  <si>
    <t>BULAN</t>
  </si>
  <si>
    <t>BANGA</t>
  </si>
  <si>
    <t>BELISON</t>
  </si>
  <si>
    <t>DAO</t>
  </si>
  <si>
    <t>NUEVA VALENCIA</t>
  </si>
  <si>
    <t>AJUY</t>
  </si>
  <si>
    <t>CITY OF CADIZ</t>
  </si>
  <si>
    <t>CITY OF BOGO</t>
  </si>
  <si>
    <t>CITY OF CANLAON</t>
  </si>
  <si>
    <t>LAZI</t>
  </si>
  <si>
    <t>CABUCGAYAN</t>
  </si>
  <si>
    <t>ALMAGRO</t>
  </si>
  <si>
    <t>CITY OF TACLOBAN (Capital)</t>
  </si>
  <si>
    <t>BOBON</t>
  </si>
  <si>
    <t>BONTOC</t>
  </si>
  <si>
    <t>BALANGIGA</t>
  </si>
  <si>
    <t>KATIPUNAN</t>
  </si>
  <si>
    <t>BAYOG</t>
  </si>
  <si>
    <t>DIPLAHAN</t>
  </si>
  <si>
    <t>BAUNGON</t>
  </si>
  <si>
    <t>MAHINOG</t>
  </si>
  <si>
    <t>BALOI</t>
  </si>
  <si>
    <t>CITY OF TANGUB</t>
  </si>
  <si>
    <t>CITY OF GINGOOG</t>
  </si>
  <si>
    <t>CITY OF TAGUM (Capital)</t>
  </si>
  <si>
    <t>HAGONOY</t>
  </si>
  <si>
    <t>BANAYBANAY</t>
  </si>
  <si>
    <t>MABINI (DOÑA ALICIA)</t>
  </si>
  <si>
    <t>MALITA (Capital)</t>
  </si>
  <si>
    <t>CARMEN</t>
  </si>
  <si>
    <t>KIAMBA</t>
  </si>
  <si>
    <t>COLUMBIO</t>
  </si>
  <si>
    <t>ESPERANZA</t>
  </si>
  <si>
    <t>DINAGAT</t>
  </si>
  <si>
    <t>BACUAG</t>
  </si>
  <si>
    <t>BAROBO</t>
  </si>
  <si>
    <t>BUCLOC</t>
  </si>
  <si>
    <t>KABUGAO (Capital)</t>
  </si>
  <si>
    <t>BUGUIAS</t>
  </si>
  <si>
    <t>LAGAWE (Capital)</t>
  </si>
  <si>
    <t>PASIL</t>
  </si>
  <si>
    <t>BONTOC (Capital)</t>
  </si>
  <si>
    <t>BACARRA</t>
  </si>
  <si>
    <t>BANAYOYO</t>
  </si>
  <si>
    <t>BACNOTAN</t>
  </si>
  <si>
    <t>CITY OF URDANETA</t>
  </si>
  <si>
    <t>MAHATAO</t>
  </si>
  <si>
    <t>DINALUNGAN</t>
  </si>
  <si>
    <t>DINALUPIHAN</t>
  </si>
  <si>
    <t>BALAGTAS (BIGAA)</t>
  </si>
  <si>
    <t>CITY OF PALAYAN (Capital)</t>
  </si>
  <si>
    <t>APALIT</t>
  </si>
  <si>
    <t>CAMILING</t>
  </si>
  <si>
    <t>CANDELARIA</t>
  </si>
  <si>
    <t>AGONCILLO</t>
  </si>
  <si>
    <t>CITY OF GENERAL TRIAS</t>
  </si>
  <si>
    <t>CITY OF SANTA ROSA</t>
  </si>
  <si>
    <t>ALABAT</t>
  </si>
  <si>
    <t>CAINTA</t>
  </si>
  <si>
    <t>MOGPOG</t>
  </si>
  <si>
    <t>LUBANG</t>
  </si>
  <si>
    <t>BONGABONG</t>
  </si>
  <si>
    <t>ARACELI</t>
  </si>
  <si>
    <t>CALATRAVA</t>
  </si>
  <si>
    <t>BACACAY</t>
  </si>
  <si>
    <t>SAN LORENZO RUIZ (IMELDA)</t>
  </si>
  <si>
    <t>BALATAN</t>
  </si>
  <si>
    <t>CARAMORAN</t>
  </si>
  <si>
    <t>BALUD</t>
  </si>
  <si>
    <t>BULUSAN</t>
  </si>
  <si>
    <t>BATAN</t>
  </si>
  <si>
    <t>BUGASONG</t>
  </si>
  <si>
    <t>DUMALAG</t>
  </si>
  <si>
    <t>SAN LORENZO</t>
  </si>
  <si>
    <t>ALIMODIAN</t>
  </si>
  <si>
    <t>CITY OF ESCALANTE</t>
  </si>
  <si>
    <t>ANDA</t>
  </si>
  <si>
    <t>CITY OF CARCAR</t>
  </si>
  <si>
    <t>CITY OF DUMAGUETE (Capital)</t>
  </si>
  <si>
    <t>MARIA</t>
  </si>
  <si>
    <t>CAIBIRAN</t>
  </si>
  <si>
    <t>BASEY</t>
  </si>
  <si>
    <t>ABUYOG</t>
  </si>
  <si>
    <t>CAPUL</t>
  </si>
  <si>
    <t>HINUNANGAN</t>
  </si>
  <si>
    <t>BALANGKAYAN</t>
  </si>
  <si>
    <t>LA LIBERTAD</t>
  </si>
  <si>
    <t>DIMATALING</t>
  </si>
  <si>
    <t>IMELDA</t>
  </si>
  <si>
    <t>DAMULOG</t>
  </si>
  <si>
    <t>MAMBAJAO (Capital)</t>
  </si>
  <si>
    <t>BAROY</t>
  </si>
  <si>
    <t>ALORAN</t>
  </si>
  <si>
    <t>ALUBIJID</t>
  </si>
  <si>
    <t>ASUNCION (SAUG)</t>
  </si>
  <si>
    <t>KIBLAWAN</t>
  </si>
  <si>
    <t>BOSTON</t>
  </si>
  <si>
    <t>MACO</t>
  </si>
  <si>
    <t>KABACAN</t>
  </si>
  <si>
    <t>MAASIM</t>
  </si>
  <si>
    <t>NORALA</t>
  </si>
  <si>
    <t>LA PAZ</t>
  </si>
  <si>
    <t>LIBJO (ALBOR)</t>
  </si>
  <si>
    <t>BAYABAS</t>
  </si>
  <si>
    <t>DAGUIOMAN</t>
  </si>
  <si>
    <t>ITOGON</t>
  </si>
  <si>
    <t>LAMUT</t>
  </si>
  <si>
    <t>PINUKPUK</t>
  </si>
  <si>
    <t>NATONIN</t>
  </si>
  <si>
    <t>BADOC</t>
  </si>
  <si>
    <t>BANTAY</t>
  </si>
  <si>
    <t>BAGULIN</t>
  </si>
  <si>
    <t>AGNO</t>
  </si>
  <si>
    <t>SABTANG</t>
  </si>
  <si>
    <t>DINGALAN</t>
  </si>
  <si>
    <t>HERMOSA</t>
  </si>
  <si>
    <t>BALIUAG</t>
  </si>
  <si>
    <t>SAN JOSE CITY</t>
  </si>
  <si>
    <t>ARAYAT</t>
  </si>
  <si>
    <t>CAPAS</t>
  </si>
  <si>
    <t>CASTILLEJOS</t>
  </si>
  <si>
    <t>ALITAGTAG</t>
  </si>
  <si>
    <t>CITY OF IMUS</t>
  </si>
  <si>
    <t>ALAMINOS</t>
  </si>
  <si>
    <t>ATIMONAN</t>
  </si>
  <si>
    <t>CARDONA</t>
  </si>
  <si>
    <t>SANTA CRUZ</t>
  </si>
  <si>
    <t>MAGSAYSAY</t>
  </si>
  <si>
    <t>BULALACAO (SAN PEDRO)</t>
  </si>
  <si>
    <t>BALABAC</t>
  </si>
  <si>
    <t>CONCEPCION</t>
  </si>
  <si>
    <t>CAMALIG</t>
  </si>
  <si>
    <t>JOSE PANGANIBAN</t>
  </si>
  <si>
    <t>GIGMOTO</t>
  </si>
  <si>
    <t>BATUAN</t>
  </si>
  <si>
    <t>BURUANGA</t>
  </si>
  <si>
    <t>CALUYA</t>
  </si>
  <si>
    <t>DUMARAO</t>
  </si>
  <si>
    <t>SIBUNAG</t>
  </si>
  <si>
    <t>ANILAO</t>
  </si>
  <si>
    <t>CITY OF HIMAMAYLAN</t>
  </si>
  <si>
    <t>ANTEQUERA</t>
  </si>
  <si>
    <t>DANAO CITY</t>
  </si>
  <si>
    <t>CITY OF GUIHULNGAN</t>
  </si>
  <si>
    <t>SAN JUAN</t>
  </si>
  <si>
    <t>CULABA</t>
  </si>
  <si>
    <t>CALBIGA</t>
  </si>
  <si>
    <t>ALANGALANG</t>
  </si>
  <si>
    <t>CATARMAN (Capital)</t>
  </si>
  <si>
    <t>HINUNDAYAN</t>
  </si>
  <si>
    <t>CAN-AVID</t>
  </si>
  <si>
    <t>LABASON</t>
  </si>
  <si>
    <t>DINAS</t>
  </si>
  <si>
    <t>IPIL (Capital)</t>
  </si>
  <si>
    <t>DANGCAGAN</t>
  </si>
  <si>
    <t>SAGAY</t>
  </si>
  <si>
    <t>KAPATAGAN</t>
  </si>
  <si>
    <t>BALIANGAO</t>
  </si>
  <si>
    <t>BALINGASAG</t>
  </si>
  <si>
    <t>CARAGA</t>
  </si>
  <si>
    <t>MARAGUSAN (SAN MARIANO)</t>
  </si>
  <si>
    <t>LIBUNGAN</t>
  </si>
  <si>
    <t>MAITUM</t>
  </si>
  <si>
    <t>POLOMOLOK</t>
  </si>
  <si>
    <t>ISULAN (Capital)</t>
  </si>
  <si>
    <t>JABONGA</t>
  </si>
  <si>
    <t>LORETO</t>
  </si>
  <si>
    <t>CLAVER</t>
  </si>
  <si>
    <t>CAGWAIT</t>
  </si>
  <si>
    <t>DANGLAS</t>
  </si>
  <si>
    <t>PUDTOL</t>
  </si>
  <si>
    <t>KABAYAN</t>
  </si>
  <si>
    <t>MAYOYAO</t>
  </si>
  <si>
    <t>RIZAL (LIWAN)</t>
  </si>
  <si>
    <t>PARACELIS</t>
  </si>
  <si>
    <t>BANGUI</t>
  </si>
  <si>
    <t>BALAOAN</t>
  </si>
  <si>
    <t>AGUILAR</t>
  </si>
  <si>
    <t>UYUGAN</t>
  </si>
  <si>
    <t>DIPACULAO</t>
  </si>
  <si>
    <t>LIMAY</t>
  </si>
  <si>
    <t>BOCAUE</t>
  </si>
  <si>
    <t>ALIAGA</t>
  </si>
  <si>
    <t>BACOLOR</t>
  </si>
  <si>
    <t>IBA (Capital)</t>
  </si>
  <si>
    <t>BALAYAN</t>
  </si>
  <si>
    <t>CITY OF TAGAYTAY</t>
  </si>
  <si>
    <t>BAY</t>
  </si>
  <si>
    <t>JALA-JALA</t>
  </si>
  <si>
    <t>TORRIJOS</t>
  </si>
  <si>
    <t>MAMBURAO (Capital)</t>
  </si>
  <si>
    <t>GLORIA</t>
  </si>
  <si>
    <t>BATARAZA</t>
  </si>
  <si>
    <t>CORCUERA</t>
  </si>
  <si>
    <t>DARAGA (LOCSIN)</t>
  </si>
  <si>
    <t>LABO</t>
  </si>
  <si>
    <t>BOMBON</t>
  </si>
  <si>
    <t>PANDAN</t>
  </si>
  <si>
    <t>CATAINGAN</t>
  </si>
  <si>
    <t>CASTILLA</t>
  </si>
  <si>
    <t>IBAJAY</t>
  </si>
  <si>
    <t>CULASI</t>
  </si>
  <si>
    <t>IVISAN</t>
  </si>
  <si>
    <t>BADIANGAN</t>
  </si>
  <si>
    <t>CITY OF KABANKALAN</t>
  </si>
  <si>
    <t>BACLAYON</t>
  </si>
  <si>
    <t>CITY OF MANDAUE</t>
  </si>
  <si>
    <t>CITY OF TANJAY</t>
  </si>
  <si>
    <t>SIQUIJOR (Capital)</t>
  </si>
  <si>
    <t>KAWAYAN</t>
  </si>
  <si>
    <t>DARAM</t>
  </si>
  <si>
    <t>ALBUERA</t>
  </si>
  <si>
    <t>CATUBIG</t>
  </si>
  <si>
    <t>LIBAGON</t>
  </si>
  <si>
    <t>DOLORES</t>
  </si>
  <si>
    <t>LILOY</t>
  </si>
  <si>
    <t>DUMALINAO</t>
  </si>
  <si>
    <t>KABASALAN</t>
  </si>
  <si>
    <t>DON CARLOS</t>
  </si>
  <si>
    <t>SULTAN NAGA DIMAPORO (KAROMATAN)</t>
  </si>
  <si>
    <t>BONIFACIO</t>
  </si>
  <si>
    <t>BALINGOAN</t>
  </si>
  <si>
    <t>KAPALONG</t>
  </si>
  <si>
    <t>MALALAG</t>
  </si>
  <si>
    <t>CATEEL</t>
  </si>
  <si>
    <t>MAWAB</t>
  </si>
  <si>
    <t>MAGPET</t>
  </si>
  <si>
    <t>MALAPATAN</t>
  </si>
  <si>
    <t>SURALLAH</t>
  </si>
  <si>
    <t>KALAMANSIG</t>
  </si>
  <si>
    <t>KITCHARAO</t>
  </si>
  <si>
    <t>PROSPERIDAD (Capital)</t>
  </si>
  <si>
    <t>SAN JOSE (Capital)</t>
  </si>
  <si>
    <t>DAPA</t>
  </si>
  <si>
    <t>CANTILAN</t>
  </si>
  <si>
    <t>SANTA MARCELA</t>
  </si>
  <si>
    <t>KAPANGAN</t>
  </si>
  <si>
    <t>ALFONSO LISTA (POTIA)</t>
  </si>
  <si>
    <t>TANUDAN</t>
  </si>
  <si>
    <t>SABANGAN</t>
  </si>
  <si>
    <t>CABUGAO</t>
  </si>
  <si>
    <t>BANGAR</t>
  </si>
  <si>
    <t>MARIA AURORA</t>
  </si>
  <si>
    <t>MARIVELES</t>
  </si>
  <si>
    <t>BONGABON</t>
  </si>
  <si>
    <t>CANDABA</t>
  </si>
  <si>
    <t>GERONA</t>
  </si>
  <si>
    <t>MASINLOC</t>
  </si>
  <si>
    <t>CITY OF TRECE MARTIRES (Capital)</t>
  </si>
  <si>
    <t>CALAUAN</t>
  </si>
  <si>
    <t>BURDEOS</t>
  </si>
  <si>
    <t>RODRIGUEZ (MONTALBAN)</t>
  </si>
  <si>
    <t>PALUAN</t>
  </si>
  <si>
    <t>MANSALAY</t>
  </si>
  <si>
    <t>BROOKE'S POINT</t>
  </si>
  <si>
    <t>GUINOBATAN</t>
  </si>
  <si>
    <t>MERCEDES</t>
  </si>
  <si>
    <t>BUHI</t>
  </si>
  <si>
    <t>PANGANIBAN (PAYO)</t>
  </si>
  <si>
    <t>CAWAYAN</t>
  </si>
  <si>
    <t>DONSOL</t>
  </si>
  <si>
    <t>KALIBO (Capital)</t>
  </si>
  <si>
    <t>TOBIAS FORNIER (DAO)</t>
  </si>
  <si>
    <t>JAMINDAN</t>
  </si>
  <si>
    <t>BALASAN</t>
  </si>
  <si>
    <t>CITY OF LA CARLOTA</t>
  </si>
  <si>
    <t>BALILIHAN</t>
  </si>
  <si>
    <t>AMLAN (AYUQUITAN)</t>
  </si>
  <si>
    <t>MARIPIPI</t>
  </si>
  <si>
    <t>GANDARA</t>
  </si>
  <si>
    <t>BABATNGON</t>
  </si>
  <si>
    <t>GAMAY</t>
  </si>
  <si>
    <t>LILOAN</t>
  </si>
  <si>
    <t>GENERAL MACARTHUR</t>
  </si>
  <si>
    <t>MANUKAN</t>
  </si>
  <si>
    <t>DUMINGAG</t>
  </si>
  <si>
    <t>MABUHAY</t>
  </si>
  <si>
    <t>IMPASUG-ONG</t>
  </si>
  <si>
    <t>KAUSWAGAN</t>
  </si>
  <si>
    <t>CALAMBA</t>
  </si>
  <si>
    <t>BINUANGAN</t>
  </si>
  <si>
    <t>NEW CORELLA</t>
  </si>
  <si>
    <t>MATANAO</t>
  </si>
  <si>
    <t>GOVERNOR GENEROSO</t>
  </si>
  <si>
    <t>MONKAYO</t>
  </si>
  <si>
    <t>MAKILALA</t>
  </si>
  <si>
    <t>MALUNGON</t>
  </si>
  <si>
    <t>TAMPAKAN</t>
  </si>
  <si>
    <t>LEBAK</t>
  </si>
  <si>
    <t>LAS NIEVES</t>
  </si>
  <si>
    <t>ROSARIO</t>
  </si>
  <si>
    <t>TUBAJON</t>
  </si>
  <si>
    <t>DEL CARMEN</t>
  </si>
  <si>
    <t>KIBUNGAN</t>
  </si>
  <si>
    <t>AGUINALDO</t>
  </si>
  <si>
    <t>TINGLAYAN</t>
  </si>
  <si>
    <t>SADANGA</t>
  </si>
  <si>
    <t>CARASI</t>
  </si>
  <si>
    <t>CAOAYAN</t>
  </si>
  <si>
    <t>BAUANG</t>
  </si>
  <si>
    <t>BALLESTEROS</t>
  </si>
  <si>
    <t>SAN LUIS</t>
  </si>
  <si>
    <t>MORONG</t>
  </si>
  <si>
    <t>BUSTOS</t>
  </si>
  <si>
    <t>CABIAO</t>
  </si>
  <si>
    <t>FLORIDABLANCA</t>
  </si>
  <si>
    <t>PALAUIG</t>
  </si>
  <si>
    <t>BAUAN</t>
  </si>
  <si>
    <t>ALFONSO</t>
  </si>
  <si>
    <t>CAVINTI</t>
  </si>
  <si>
    <t>CALAUAG</t>
  </si>
  <si>
    <t>NAUJAN</t>
  </si>
  <si>
    <t>BUSUANGA</t>
  </si>
  <si>
    <t>MAGDIWANG</t>
  </si>
  <si>
    <t>JOVELLAR</t>
  </si>
  <si>
    <t>PARACALE</t>
  </si>
  <si>
    <t>BULA</t>
  </si>
  <si>
    <t>SAN ANDRES (CALOLBON)</t>
  </si>
  <si>
    <t>CLAVERIA</t>
  </si>
  <si>
    <t>GUBAT</t>
  </si>
  <si>
    <t>LEZO</t>
  </si>
  <si>
    <t>HAMTIC</t>
  </si>
  <si>
    <t>MA-AYON</t>
  </si>
  <si>
    <t>BANATE</t>
  </si>
  <si>
    <t>CITY OF SAGAY</t>
  </si>
  <si>
    <t>CITY OF TALISAY</t>
  </si>
  <si>
    <t>AYUNGON</t>
  </si>
  <si>
    <t>NAVAL (Capital)</t>
  </si>
  <si>
    <t>HINABANGAN</t>
  </si>
  <si>
    <t>BARUGO</t>
  </si>
  <si>
    <t>LAOANG</t>
  </si>
  <si>
    <t>MACROHON</t>
  </si>
  <si>
    <t>GIPORLOS</t>
  </si>
  <si>
    <t>MUTIA</t>
  </si>
  <si>
    <t>KUMALARANG</t>
  </si>
  <si>
    <t>MALANGAS</t>
  </si>
  <si>
    <t>KADINGILAN</t>
  </si>
  <si>
    <t>KOLAMBUGAN</t>
  </si>
  <si>
    <t>CLARIN</t>
  </si>
  <si>
    <t>PADADA</t>
  </si>
  <si>
    <t>LUPON</t>
  </si>
  <si>
    <t>MONTEVISTA</t>
  </si>
  <si>
    <t>MATALAM</t>
  </si>
  <si>
    <t>TANTANGAN</t>
  </si>
  <si>
    <t>LUTAYAN</t>
  </si>
  <si>
    <t>MAGALLANES</t>
  </si>
  <si>
    <t>SAN FRANCISCO</t>
  </si>
  <si>
    <t>GENERAL LUNA</t>
  </si>
  <si>
    <t>CARRASCAL</t>
  </si>
  <si>
    <t>LACUB</t>
  </si>
  <si>
    <t>LA TRINIDAD (Capital)</t>
  </si>
  <si>
    <t>HINGYON</t>
  </si>
  <si>
    <t>SAGADA</t>
  </si>
  <si>
    <t>CURRIMAO</t>
  </si>
  <si>
    <t>CERVANTES</t>
  </si>
  <si>
    <t>ASINGAN</t>
  </si>
  <si>
    <t>ORANI</t>
  </si>
  <si>
    <t>CALUMPIT</t>
  </si>
  <si>
    <t>CARRANGLAN</t>
  </si>
  <si>
    <t>GUAGUA</t>
  </si>
  <si>
    <t>MAYANTOC</t>
  </si>
  <si>
    <t>SAN ANTONIO</t>
  </si>
  <si>
    <t>CALACA</t>
  </si>
  <si>
    <t>AMADEO</t>
  </si>
  <si>
    <t>FAMY</t>
  </si>
  <si>
    <t>PILILLA</t>
  </si>
  <si>
    <t>SABLAYAN</t>
  </si>
  <si>
    <t>PINAMALAYAN</t>
  </si>
  <si>
    <t>CAGAYANCILLO</t>
  </si>
  <si>
    <t>ODIONGAN</t>
  </si>
  <si>
    <t>LIBON</t>
  </si>
  <si>
    <t>SAN VICENTE</t>
  </si>
  <si>
    <t>CABUSAO</t>
  </si>
  <si>
    <t>SAN MIGUEL</t>
  </si>
  <si>
    <t>DIMASALANG</t>
  </si>
  <si>
    <t>IROSIN</t>
  </si>
  <si>
    <t>LIBACAO</t>
  </si>
  <si>
    <t>LAUA-AN</t>
  </si>
  <si>
    <t>MAMBUSAO</t>
  </si>
  <si>
    <t>BAROTAC NUEVO</t>
  </si>
  <si>
    <t>BILAR</t>
  </si>
  <si>
    <t>CITY OF TOLEDO</t>
  </si>
  <si>
    <t>BACONG</t>
  </si>
  <si>
    <t>JIABONG</t>
  </si>
  <si>
    <t>LAPINIG</t>
  </si>
  <si>
    <t>MALITBOG</t>
  </si>
  <si>
    <t>GUIUAN</t>
  </si>
  <si>
    <t>PIÑAN (NEW PIÑAN)</t>
  </si>
  <si>
    <t>LABANGAN</t>
  </si>
  <si>
    <t>NAGA</t>
  </si>
  <si>
    <t>KALILANGAN</t>
  </si>
  <si>
    <t>LALA</t>
  </si>
  <si>
    <t>GITAGUM</t>
  </si>
  <si>
    <t>TALAINGOD</t>
  </si>
  <si>
    <t>MANAY</t>
  </si>
  <si>
    <t>NABUNTURAN (Capital)</t>
  </si>
  <si>
    <t>MIDSAYAP</t>
  </si>
  <si>
    <t>T'BOLI</t>
  </si>
  <si>
    <t>LAMBAYONG (MARIANO MARCOS)</t>
  </si>
  <si>
    <t>NASIPIT</t>
  </si>
  <si>
    <t>GIGAQUIT</t>
  </si>
  <si>
    <t>CORTES</t>
  </si>
  <si>
    <t>LAGANGILANG</t>
  </si>
  <si>
    <t>MANKAYAN</t>
  </si>
  <si>
    <t>TINOC</t>
  </si>
  <si>
    <t>TADIAN</t>
  </si>
  <si>
    <t>DINGRAS</t>
  </si>
  <si>
    <t>GALIMUYOD</t>
  </si>
  <si>
    <t>CABA</t>
  </si>
  <si>
    <t>BALUNGAO</t>
  </si>
  <si>
    <t>ORION</t>
  </si>
  <si>
    <t>GUIGUINTO</t>
  </si>
  <si>
    <t>CUYAPO</t>
  </si>
  <si>
    <t>LUBAO</t>
  </si>
  <si>
    <t>MONCADA</t>
  </si>
  <si>
    <t>SAN FELIPE</t>
  </si>
  <si>
    <t>CALATAGAN</t>
  </si>
  <si>
    <t>CARMONA</t>
  </si>
  <si>
    <t>KALAYAAN</t>
  </si>
  <si>
    <t>CATANAUAN</t>
  </si>
  <si>
    <t>SAN JOSE</t>
  </si>
  <si>
    <t>POLA</t>
  </si>
  <si>
    <t>CORON</t>
  </si>
  <si>
    <t>ROMBLON (Capital)</t>
  </si>
  <si>
    <t>MALILIPOT</t>
  </si>
  <si>
    <t>SANTA ELENA</t>
  </si>
  <si>
    <t>CALABANGA</t>
  </si>
  <si>
    <t>VIGA</t>
  </si>
  <si>
    <t>JUBAN</t>
  </si>
  <si>
    <t>MADALAG</t>
  </si>
  <si>
    <t>LIBERTAD</t>
  </si>
  <si>
    <t>PANAY</t>
  </si>
  <si>
    <t>BAROTAC VIEJO</t>
  </si>
  <si>
    <t>CITY OF SILAY</t>
  </si>
  <si>
    <t>BASAY</t>
  </si>
  <si>
    <t>MARABUT</t>
  </si>
  <si>
    <t>BURAUEN</t>
  </si>
  <si>
    <t>LAS NAVAS</t>
  </si>
  <si>
    <t>PADRE BURGOS</t>
  </si>
  <si>
    <t>HERNANI</t>
  </si>
  <si>
    <t>POLANCO</t>
  </si>
  <si>
    <t>LAPUYAN</t>
  </si>
  <si>
    <t>OLUTANGA</t>
  </si>
  <si>
    <t>KIBAWE</t>
  </si>
  <si>
    <t>LINAMON</t>
  </si>
  <si>
    <t>JIMENEZ</t>
  </si>
  <si>
    <t>INITAO</t>
  </si>
  <si>
    <t>BRAULIO E. DUJALI</t>
  </si>
  <si>
    <t>SULOP</t>
  </si>
  <si>
    <t>NEW BATAAN</t>
  </si>
  <si>
    <t>M'LANG</t>
  </si>
  <si>
    <t>TUPI</t>
  </si>
  <si>
    <t>PALIMBANG</t>
  </si>
  <si>
    <t>SANTIAGO</t>
  </si>
  <si>
    <t>SANTA JOSEFA</t>
  </si>
  <si>
    <t>MAINIT</t>
  </si>
  <si>
    <t>HINATUAN</t>
  </si>
  <si>
    <t>LAGAYAN</t>
  </si>
  <si>
    <t>SABLAN</t>
  </si>
  <si>
    <t>ASIPULO</t>
  </si>
  <si>
    <t>DUMALNEG</t>
  </si>
  <si>
    <t>GREGORIO DEL PILAR (CONCEPCION)</t>
  </si>
  <si>
    <t>BANI</t>
  </si>
  <si>
    <t>PILAR</t>
  </si>
  <si>
    <t>GABALDON (BITULOK &amp; SABANI)</t>
  </si>
  <si>
    <t>MACABEBE</t>
  </si>
  <si>
    <t>PANIQUI</t>
  </si>
  <si>
    <t>SAN MARCELINO</t>
  </si>
  <si>
    <t>CUENCA</t>
  </si>
  <si>
    <t>GENERAL EMILIO AGUINALDO</t>
  </si>
  <si>
    <t>LILIW</t>
  </si>
  <si>
    <t>TANAY</t>
  </si>
  <si>
    <t>PUERTO GALERA</t>
  </si>
  <si>
    <t>CUYO</t>
  </si>
  <si>
    <t>MALINAO</t>
  </si>
  <si>
    <t>TALISAY</t>
  </si>
  <si>
    <t>CAMALIGAN</t>
  </si>
  <si>
    <t>VIRAC (Capital)</t>
  </si>
  <si>
    <t>MANDAON</t>
  </si>
  <si>
    <t>MAKATO</t>
  </si>
  <si>
    <t>PANITAN</t>
  </si>
  <si>
    <t>BATAD</t>
  </si>
  <si>
    <t>CITY OF SIPALAY</t>
  </si>
  <si>
    <t>CALAPE</t>
  </si>
  <si>
    <t>ALCOY</t>
  </si>
  <si>
    <t>BINDOY (PAYABON)</t>
  </si>
  <si>
    <t>MATUGUINAO</t>
  </si>
  <si>
    <t>CALUBIAN</t>
  </si>
  <si>
    <t>LAVEZARES</t>
  </si>
  <si>
    <t>PINTUYAN</t>
  </si>
  <si>
    <t>JIPAPAD</t>
  </si>
  <si>
    <t>PRES. MANUEL A. ROXAS</t>
  </si>
  <si>
    <t>MAHAYAG</t>
  </si>
  <si>
    <t>PAYAO</t>
  </si>
  <si>
    <t>KITAOTAO</t>
  </si>
  <si>
    <t>LOPEZ JAENA</t>
  </si>
  <si>
    <t>JASAAN</t>
  </si>
  <si>
    <t>TARRAGONA</t>
  </si>
  <si>
    <t>PANTUKAN</t>
  </si>
  <si>
    <t>PIGKAWAYAN</t>
  </si>
  <si>
    <t>SANTO NIÑO</t>
  </si>
  <si>
    <t>PRESIDENT QUIRINO</t>
  </si>
  <si>
    <t>TUBAY</t>
  </si>
  <si>
    <t>TALACOGON</t>
  </si>
  <si>
    <t>MALIMONO</t>
  </si>
  <si>
    <t>LANUZA</t>
  </si>
  <si>
    <t>LANGIDEN</t>
  </si>
  <si>
    <t>TUBA</t>
  </si>
  <si>
    <t>BANNA (ESPIRITU)</t>
  </si>
  <si>
    <t>LIDLIDDA</t>
  </si>
  <si>
    <t>BASISTA</t>
  </si>
  <si>
    <t>DINAPIGUE</t>
  </si>
  <si>
    <t>SANTA FE</t>
  </si>
  <si>
    <t>SAMAL</t>
  </si>
  <si>
    <t>MARILAO</t>
  </si>
  <si>
    <t>GENERAL MAMERTO NATIVIDAD</t>
  </si>
  <si>
    <t>MAGALANG</t>
  </si>
  <si>
    <t>PURA</t>
  </si>
  <si>
    <t>SAN NARCISO</t>
  </si>
  <si>
    <t>IBAAN</t>
  </si>
  <si>
    <t>INDANG</t>
  </si>
  <si>
    <t>LOS BAÑOS</t>
  </si>
  <si>
    <t>TAYTAY</t>
  </si>
  <si>
    <t>DUMARAN</t>
  </si>
  <si>
    <t>SAN ANDRES</t>
  </si>
  <si>
    <t>MANITO</t>
  </si>
  <si>
    <t>VINZONS</t>
  </si>
  <si>
    <t>CANAMAN</t>
  </si>
  <si>
    <t>MILAGROS</t>
  </si>
  <si>
    <t>MATNOG</t>
  </si>
  <si>
    <t>MALAY</t>
  </si>
  <si>
    <t>PATNONGON</t>
  </si>
  <si>
    <t>BINGAWAN</t>
  </si>
  <si>
    <t>CANDIJAY</t>
  </si>
  <si>
    <t>DAUIN</t>
  </si>
  <si>
    <t>MOTIONG</t>
  </si>
  <si>
    <t>CAPOOCAN</t>
  </si>
  <si>
    <t>MAPANAS</t>
  </si>
  <si>
    <t>SAINT BERNARD</t>
  </si>
  <si>
    <t>LAWAAN</t>
  </si>
  <si>
    <t>MARGOSATUBIG</t>
  </si>
  <si>
    <t>ROSELLER LIM</t>
  </si>
  <si>
    <t>LANTAPAN</t>
  </si>
  <si>
    <t>MAIGO</t>
  </si>
  <si>
    <t>PANAON</t>
  </si>
  <si>
    <t>KINOGUITAN</t>
  </si>
  <si>
    <t>PIKIT</t>
  </si>
  <si>
    <t>LAKE SEBU</t>
  </si>
  <si>
    <t>SEN. NINOY AQUINO</t>
  </si>
  <si>
    <t>REMEDIOS T. ROMUALDEZ</t>
  </si>
  <si>
    <t>TRENTO</t>
  </si>
  <si>
    <t>LIANGA</t>
  </si>
  <si>
    <t>LICUAN-BAAY (LICUAN)</t>
  </si>
  <si>
    <t>TUBLAY</t>
  </si>
  <si>
    <t>MARCOS</t>
  </si>
  <si>
    <t>MAGSINGAL</t>
  </si>
  <si>
    <t>PUGO</t>
  </si>
  <si>
    <t>BAUTISTA</t>
  </si>
  <si>
    <t>DIVILACAN</t>
  </si>
  <si>
    <t>NORZAGARAY</t>
  </si>
  <si>
    <t>GENERAL TINIO (PAPAYA)</t>
  </si>
  <si>
    <t>MASANTOL</t>
  </si>
  <si>
    <t>RAMOS</t>
  </si>
  <si>
    <t>LAUREL</t>
  </si>
  <si>
    <t>KAWIT</t>
  </si>
  <si>
    <t>LUISIANA</t>
  </si>
  <si>
    <t>GENERAL NAKAR</t>
  </si>
  <si>
    <t>TERESA</t>
  </si>
  <si>
    <t>SAN TEODORO</t>
  </si>
  <si>
    <t>EL NIDO (BACUIT)</t>
  </si>
  <si>
    <t>SAN FERNANDO</t>
  </si>
  <si>
    <t>OAS</t>
  </si>
  <si>
    <t>CARAMOAN</t>
  </si>
  <si>
    <t>MOBO</t>
  </si>
  <si>
    <t>PONTEVEDRA</t>
  </si>
  <si>
    <t>CITY OF VICTORIAS</t>
  </si>
  <si>
    <t>ALOGUINSAN</t>
  </si>
  <si>
    <t>JIMALALUD</t>
  </si>
  <si>
    <t>PINABACDAO</t>
  </si>
  <si>
    <t>CARIGARA</t>
  </si>
  <si>
    <t>MONDRAGON</t>
  </si>
  <si>
    <t>LLORENTE</t>
  </si>
  <si>
    <t>SALUG</t>
  </si>
  <si>
    <t>MIDSALIP</t>
  </si>
  <si>
    <t>SIAY</t>
  </si>
  <si>
    <t>LIBONA</t>
  </si>
  <si>
    <t>MATUNGAO</t>
  </si>
  <si>
    <t>PLARIDEL</t>
  </si>
  <si>
    <t>LAGONGLONG</t>
  </si>
  <si>
    <t>PRESIDENT ROXAS</t>
  </si>
  <si>
    <t>VERUELA</t>
  </si>
  <si>
    <t>PLACER</t>
  </si>
  <si>
    <t>LINGIG</t>
  </si>
  <si>
    <t>LUBA</t>
  </si>
  <si>
    <t>NUEVA ERA</t>
  </si>
  <si>
    <t>NAGBUKEL</t>
  </si>
  <si>
    <t>BAYAMBANG</t>
  </si>
  <si>
    <t>OBANDO</t>
  </si>
  <si>
    <t>GUIMBA</t>
  </si>
  <si>
    <t>MEXICO</t>
  </si>
  <si>
    <t>SAN CLEMENTE</t>
  </si>
  <si>
    <t>SUBIC</t>
  </si>
  <si>
    <t>LEMERY</t>
  </si>
  <si>
    <t>LUMBAN</t>
  </si>
  <si>
    <t>GUINAYANGAN</t>
  </si>
  <si>
    <t>CITY OF ANTIPOLO (Capital)</t>
  </si>
  <si>
    <t>SOCORRO</t>
  </si>
  <si>
    <t>LINAPACAN</t>
  </si>
  <si>
    <t>PIO DURAN</t>
  </si>
  <si>
    <t>DEL GALLEGO</t>
  </si>
  <si>
    <t>MONREAL</t>
  </si>
  <si>
    <t>PRIETO DIAZ</t>
  </si>
  <si>
    <t>NABAS</t>
  </si>
  <si>
    <t>SAN REMIGIO</t>
  </si>
  <si>
    <t>CALINOG</t>
  </si>
  <si>
    <t>BINALBAGAN</t>
  </si>
  <si>
    <t>CATIGBIAN</t>
  </si>
  <si>
    <t>ARGAO</t>
  </si>
  <si>
    <t>SAN JOSE DE BUAN</t>
  </si>
  <si>
    <t>DAGAMI</t>
  </si>
  <si>
    <t>PALAPAG</t>
  </si>
  <si>
    <t>SAN JUAN (CABALIAN)</t>
  </si>
  <si>
    <t>MASLOG</t>
  </si>
  <si>
    <t>SERGIO OSMEÑA SR.</t>
  </si>
  <si>
    <t>MOLAVE</t>
  </si>
  <si>
    <t>TALUSAN</t>
  </si>
  <si>
    <t>MUNAI</t>
  </si>
  <si>
    <t>SAPANG DALAGA</t>
  </si>
  <si>
    <t>LAGUINDINGAN</t>
  </si>
  <si>
    <t>TULUNAN</t>
  </si>
  <si>
    <t>SIBAGAT</t>
  </si>
  <si>
    <t>SAN BENITO</t>
  </si>
  <si>
    <t>MADRID</t>
  </si>
  <si>
    <t>MALIBCONG</t>
  </si>
  <si>
    <t>PAGUDPUD</t>
  </si>
  <si>
    <t>NARVACAN</t>
  </si>
  <si>
    <t>SAN GABRIEL</t>
  </si>
  <si>
    <t>BINALONAN</t>
  </si>
  <si>
    <t>ALFONSO CASTANEDA</t>
  </si>
  <si>
    <t>PANDI</t>
  </si>
  <si>
    <t>JAEN</t>
  </si>
  <si>
    <t>MINALIN</t>
  </si>
  <si>
    <t>LIAN</t>
  </si>
  <si>
    <t>MARAGONDON</t>
  </si>
  <si>
    <t>MABITAC</t>
  </si>
  <si>
    <t>GUMACA</t>
  </si>
  <si>
    <t>VICTORIA</t>
  </si>
  <si>
    <t>POLANGUI</t>
  </si>
  <si>
    <t>GAINZA</t>
  </si>
  <si>
    <t>PALANAS</t>
  </si>
  <si>
    <t>SANTA MAGDALENA</t>
  </si>
  <si>
    <t>NEW WASHINGTON</t>
  </si>
  <si>
    <t>SEBASTE</t>
  </si>
  <si>
    <t>SAPI-AN</t>
  </si>
  <si>
    <t>CARLES</t>
  </si>
  <si>
    <t>ASTURIAS</t>
  </si>
  <si>
    <t>MABINAY</t>
  </si>
  <si>
    <t>SAN SEBASTIAN</t>
  </si>
  <si>
    <t>DULAG</t>
  </si>
  <si>
    <t>PAMBUJAN</t>
  </si>
  <si>
    <t>SAN RICARDO</t>
  </si>
  <si>
    <t>MAYDOLONG</t>
  </si>
  <si>
    <t>SIAYAN</t>
  </si>
  <si>
    <t>RAMON MAGSAYSAY (LIARGO)</t>
  </si>
  <si>
    <t>TITAY</t>
  </si>
  <si>
    <t>MANOLO FORTICH</t>
  </si>
  <si>
    <t>NUNUNGAN</t>
  </si>
  <si>
    <t>SINACABAN</t>
  </si>
  <si>
    <t>ANTIPAS</t>
  </si>
  <si>
    <t>SAN FRANCISCO (ANAO-AON)</t>
  </si>
  <si>
    <t>MARIHATAG</t>
  </si>
  <si>
    <t>MANABO</t>
  </si>
  <si>
    <t>PAOAY</t>
  </si>
  <si>
    <t>QUIRINO (ANGKAKI)</t>
  </si>
  <si>
    <t>BINMALEY</t>
  </si>
  <si>
    <t>PAOMBONG</t>
  </si>
  <si>
    <t>LAUR</t>
  </si>
  <si>
    <t>PORAC</t>
  </si>
  <si>
    <t>SANTA IGNACIA</t>
  </si>
  <si>
    <t>LOBO</t>
  </si>
  <si>
    <t>MENDEZ (MENDEZ-NUÑEZ)</t>
  </si>
  <si>
    <t>MAGDALENA</t>
  </si>
  <si>
    <t>INFANTA</t>
  </si>
  <si>
    <t>NARRA</t>
  </si>
  <si>
    <t>FERROL</t>
  </si>
  <si>
    <t>RAPU-RAPU</t>
  </si>
  <si>
    <t>GARCHITORENA</t>
  </si>
  <si>
    <t>PIO V. CORPUZ (LIMBUHAN)</t>
  </si>
  <si>
    <t>NUMANCIA</t>
  </si>
  <si>
    <t>SIBALOM</t>
  </si>
  <si>
    <t>SIGMA</t>
  </si>
  <si>
    <t>CANDONI</t>
  </si>
  <si>
    <t>CORELLA</t>
  </si>
  <si>
    <t>BADIAN</t>
  </si>
  <si>
    <t>MANJUYOD</t>
  </si>
  <si>
    <t>SANTA MARGARITA</t>
  </si>
  <si>
    <t>HILONGOS</t>
  </si>
  <si>
    <t>SILAGO</t>
  </si>
  <si>
    <t>SIBUCO</t>
  </si>
  <si>
    <t>TUNGAWAN</t>
  </si>
  <si>
    <t>MARAMAG</t>
  </si>
  <si>
    <t>PANTAO RAGAT</t>
  </si>
  <si>
    <t>TUDELA</t>
  </si>
  <si>
    <t>LUGAIT</t>
  </si>
  <si>
    <t>BANISILAN</t>
  </si>
  <si>
    <t>PEÑARRUBIA</t>
  </si>
  <si>
    <t>PASUQUIN</t>
  </si>
  <si>
    <t>SALCEDO (BAUGEN)</t>
  </si>
  <si>
    <t>BOLINAO</t>
  </si>
  <si>
    <t>LICAB</t>
  </si>
  <si>
    <t>MABINI</t>
  </si>
  <si>
    <t>NAIC</t>
  </si>
  <si>
    <t>MAJAYJAY</t>
  </si>
  <si>
    <t>JOMALIG</t>
  </si>
  <si>
    <t>SANTA MARIA (IMELDA)</t>
  </si>
  <si>
    <t>SANTO DOMINGO (LIBOG)</t>
  </si>
  <si>
    <t>GOA</t>
  </si>
  <si>
    <t>TANGALAN</t>
  </si>
  <si>
    <t>TIBIAO</t>
  </si>
  <si>
    <t>TAPAZ</t>
  </si>
  <si>
    <t>DINGLE</t>
  </si>
  <si>
    <t>CAUAYAN</t>
  </si>
  <si>
    <t>BALAMBAN</t>
  </si>
  <si>
    <t>SANTA RITA</t>
  </si>
  <si>
    <t>HINDANG</t>
  </si>
  <si>
    <t>SOGOD</t>
  </si>
  <si>
    <t>ORAS</t>
  </si>
  <si>
    <t>SIBUTAD</t>
  </si>
  <si>
    <t>PANGANTUCAN</t>
  </si>
  <si>
    <t>POONA PIAGAPO</t>
  </si>
  <si>
    <t>DON VICTORIANO CHIONGBIAN (DON MARIANO MARCOS)</t>
  </si>
  <si>
    <t>MAGSAYSAY (LINUGOS)</t>
  </si>
  <si>
    <t>ALEOSAN</t>
  </si>
  <si>
    <t>SANTA MONICA (SAPAO)</t>
  </si>
  <si>
    <t>PIDIGAN</t>
  </si>
  <si>
    <t>PIDDIG</t>
  </si>
  <si>
    <t>SAN EMILIO</t>
  </si>
  <si>
    <t>SANTOL</t>
  </si>
  <si>
    <t>BUGALLON</t>
  </si>
  <si>
    <t>MACONACON</t>
  </si>
  <si>
    <t>PULILAN</t>
  </si>
  <si>
    <t>LLANERA</t>
  </si>
  <si>
    <t>SAN SIMON</t>
  </si>
  <si>
    <t>MALVAR</t>
  </si>
  <si>
    <t>NOVELETA</t>
  </si>
  <si>
    <t>NAGCARLAN</t>
  </si>
  <si>
    <t>LOPEZ</t>
  </si>
  <si>
    <t>TIWI</t>
  </si>
  <si>
    <t>LAGONOY</t>
  </si>
  <si>
    <t>VALDERRAMA</t>
  </si>
  <si>
    <t>DUEÑAS</t>
  </si>
  <si>
    <t>ENRIQUE B. MAGALONA (SARAVIA)</t>
  </si>
  <si>
    <t>DAGOHOY</t>
  </si>
  <si>
    <t>BANTAYAN</t>
  </si>
  <si>
    <t>INOPACAN</t>
  </si>
  <si>
    <t>TOMAS OPPUS</t>
  </si>
  <si>
    <t>QUINAPONDAN</t>
  </si>
  <si>
    <t>SINDANGAN</t>
  </si>
  <si>
    <t>TABINA</t>
  </si>
  <si>
    <t>SALVADOR</t>
  </si>
  <si>
    <t>MANTICAO</t>
  </si>
  <si>
    <t>ARAKAN</t>
  </si>
  <si>
    <t>SISON</t>
  </si>
  <si>
    <t>TAGBINA</t>
  </si>
  <si>
    <t>PINILI</t>
  </si>
  <si>
    <t>SAN ESTEBAN</t>
  </si>
  <si>
    <t>SUDIPEN</t>
  </si>
  <si>
    <t>SAN ILDEFONSO</t>
  </si>
  <si>
    <t>LUPAO</t>
  </si>
  <si>
    <t>MATAASNAKAHOY</t>
  </si>
  <si>
    <t>PAETE</t>
  </si>
  <si>
    <t>LUCBAN</t>
  </si>
  <si>
    <t>LIBMANAN</t>
  </si>
  <si>
    <t>SAN JACINTO</t>
  </si>
  <si>
    <t>DUMANGAS</t>
  </si>
  <si>
    <t>HINIGARAN</t>
  </si>
  <si>
    <t>DANAO</t>
  </si>
  <si>
    <t>BARILI</t>
  </si>
  <si>
    <t>SANTA CATALINA</t>
  </si>
  <si>
    <t>TALALORA</t>
  </si>
  <si>
    <t>ISABEL</t>
  </si>
  <si>
    <t>LIMASAWA</t>
  </si>
  <si>
    <t>SALCEDO</t>
  </si>
  <si>
    <t>SIOCON</t>
  </si>
  <si>
    <t>TAMBULIG</t>
  </si>
  <si>
    <t>SAPAD</t>
  </si>
  <si>
    <t>MEDINA</t>
  </si>
  <si>
    <t>TAGO</t>
  </si>
  <si>
    <t>SALLAPADAN</t>
  </si>
  <si>
    <t>SAN NICOLAS</t>
  </si>
  <si>
    <t>TUBAO</t>
  </si>
  <si>
    <t>CALASIAO</t>
  </si>
  <si>
    <t>NAMPICUAN</t>
  </si>
  <si>
    <t>NASUGBU</t>
  </si>
  <si>
    <t>SILANG</t>
  </si>
  <si>
    <t>PAGSANJAN</t>
  </si>
  <si>
    <t>MACALELON</t>
  </si>
  <si>
    <t>LUPI</t>
  </si>
  <si>
    <t>SAN PASCUAL</t>
  </si>
  <si>
    <t>ESTANCIA</t>
  </si>
  <si>
    <t>HINOBA-AN (ASIA)</t>
  </si>
  <si>
    <t>DAUIS</t>
  </si>
  <si>
    <t>BOLJOON</t>
  </si>
  <si>
    <t>SIATON</t>
  </si>
  <si>
    <t>TARANGNAN</t>
  </si>
  <si>
    <t>JARO</t>
  </si>
  <si>
    <t>SAN ROQUE</t>
  </si>
  <si>
    <t>SAN JULIAN</t>
  </si>
  <si>
    <t>SIRAWAI</t>
  </si>
  <si>
    <t>TUKURAN</t>
  </si>
  <si>
    <t>SUMILAO</t>
  </si>
  <si>
    <t>TAGOLOAN</t>
  </si>
  <si>
    <t>NAAWAN</t>
  </si>
  <si>
    <t>TAGANA-AN</t>
  </si>
  <si>
    <t>SARRAT</t>
  </si>
  <si>
    <t>SAN JUAN (LAPOG)</t>
  </si>
  <si>
    <t>DASOL</t>
  </si>
  <si>
    <t>SAN RAFAEL</t>
  </si>
  <si>
    <t>PANTABANGAN</t>
  </si>
  <si>
    <t>PADRE GARCIA</t>
  </si>
  <si>
    <t>TANZA</t>
  </si>
  <si>
    <t>PAKIL</t>
  </si>
  <si>
    <t>MAUBAN</t>
  </si>
  <si>
    <t>MAGARAO</t>
  </si>
  <si>
    <t>USON</t>
  </si>
  <si>
    <t>GUIMBAL</t>
  </si>
  <si>
    <t>ILOG</t>
  </si>
  <si>
    <t>DIMIAO</t>
  </si>
  <si>
    <t>BORBON</t>
  </si>
  <si>
    <t>SIBULAN</t>
  </si>
  <si>
    <t>VILLAREAL</t>
  </si>
  <si>
    <t>JAVIER (BUGHO)</t>
  </si>
  <si>
    <t>SAN POLICARPO</t>
  </si>
  <si>
    <t>TAMPILISAN</t>
  </si>
  <si>
    <t>LAKEWOOD</t>
  </si>
  <si>
    <t>TALAKAG</t>
  </si>
  <si>
    <t>TANGCAL</t>
  </si>
  <si>
    <t>OPOL</t>
  </si>
  <si>
    <t>TUBOD</t>
  </si>
  <si>
    <t>SOLSONA</t>
  </si>
  <si>
    <t>PEÑARANDA</t>
  </si>
  <si>
    <t>SASMUAN (Sexmoan)</t>
  </si>
  <si>
    <t>TERNATE</t>
  </si>
  <si>
    <t>PANGIL</t>
  </si>
  <si>
    <t>MULANAY</t>
  </si>
  <si>
    <t>CULION</t>
  </si>
  <si>
    <t>MILAOR</t>
  </si>
  <si>
    <t>IGBARAS</t>
  </si>
  <si>
    <t>DUERO</t>
  </si>
  <si>
    <t>TAYASAN</t>
  </si>
  <si>
    <t>PARANAS (WRIGHT)</t>
  </si>
  <si>
    <t>JULITA</t>
  </si>
  <si>
    <t>SILVINO LOBOS</t>
  </si>
  <si>
    <t>SULAT</t>
  </si>
  <si>
    <t>JOSE DALMAN (PONOT)</t>
  </si>
  <si>
    <t>JOSEFINA</t>
  </si>
  <si>
    <t>CABANGLASAN</t>
  </si>
  <si>
    <t>TUBOD (Capital)</t>
  </si>
  <si>
    <t>SALAY</t>
  </si>
  <si>
    <t>SAN QUINTIN</t>
  </si>
  <si>
    <t>VINTAR</t>
  </si>
  <si>
    <t>SANTA</t>
  </si>
  <si>
    <t>LABRADOR</t>
  </si>
  <si>
    <t>SANCHEZ-MIRA</t>
  </si>
  <si>
    <t>DOÑA REMEDIOS TRINIDAD</t>
  </si>
  <si>
    <t>GEN. MARIANO ALVAREZ</t>
  </si>
  <si>
    <t>PILA</t>
  </si>
  <si>
    <t>RIZAL (MARCOS)</t>
  </si>
  <si>
    <t>MINALABAC</t>
  </si>
  <si>
    <t>JANIUAY</t>
  </si>
  <si>
    <t>LA CASTELLANA</t>
  </si>
  <si>
    <t>GARCIA HERNANDEZ</t>
  </si>
  <si>
    <t>CATMON</t>
  </si>
  <si>
    <t>VALENCIA (LUZURRIAGA)</t>
  </si>
  <si>
    <t>ZUMARRAGA</t>
  </si>
  <si>
    <t>KANANGA</t>
  </si>
  <si>
    <t>TAFT</t>
  </si>
  <si>
    <t>GUTALAC</t>
  </si>
  <si>
    <t>PITOGO</t>
  </si>
  <si>
    <t>PANTAR</t>
  </si>
  <si>
    <t>SUGBONGCOGON</t>
  </si>
  <si>
    <t>TAYUM</t>
  </si>
  <si>
    <t>LINGAYEN (Capital)</t>
  </si>
  <si>
    <t>CITY OF SAN JOSE DEL MONTE</t>
  </si>
  <si>
    <t>PAGBILAO</t>
  </si>
  <si>
    <t>SOFRONIO ESPAÑOLA</t>
  </si>
  <si>
    <t>NABUA</t>
  </si>
  <si>
    <t>LAMBUNAO</t>
  </si>
  <si>
    <t>MANAPLA</t>
  </si>
  <si>
    <t>GUINDULMAN</t>
  </si>
  <si>
    <t>VALLEHERMOSO</t>
  </si>
  <si>
    <t>TAGAPUL-AN</t>
  </si>
  <si>
    <t>LOPE DE VEGA</t>
  </si>
  <si>
    <t>BALIGUIAN</t>
  </si>
  <si>
    <t>SOMINOT (DON MARIANO MARCOS)</t>
  </si>
  <si>
    <t>TINEG</t>
  </si>
  <si>
    <t>SANTA PRAXEDES</t>
  </si>
  <si>
    <t>SANTA CRUZ (Capital)</t>
  </si>
  <si>
    <t>PANUKULAN</t>
  </si>
  <si>
    <t>OCAMPO</t>
  </si>
  <si>
    <t>LEGANES</t>
  </si>
  <si>
    <t>MOISES PADILLA (MAGALLON)</t>
  </si>
  <si>
    <t>INABANGA</t>
  </si>
  <si>
    <t>CONSOLACION</t>
  </si>
  <si>
    <t>ZAMBOANGUITA</t>
  </si>
  <si>
    <t>SAN JORGE</t>
  </si>
  <si>
    <t>GODOD</t>
  </si>
  <si>
    <t>VINCENZO A. SAGUN</t>
  </si>
  <si>
    <t>TALISAYAN</t>
  </si>
  <si>
    <t>TUBO</t>
  </si>
  <si>
    <t>SANTA LUCIA</t>
  </si>
  <si>
    <t>MALASIQUI</t>
  </si>
  <si>
    <t>PATNANUNGAN</t>
  </si>
  <si>
    <t>MURCIA</t>
  </si>
  <si>
    <t>JAGNA</t>
  </si>
  <si>
    <t>CORDOVA</t>
  </si>
  <si>
    <t>PAGSANGHAN</t>
  </si>
  <si>
    <t>MACARTHUR</t>
  </si>
  <si>
    <t>BACUNGAN (Leon T. Postigo)</t>
  </si>
  <si>
    <t>GUIPOS</t>
  </si>
  <si>
    <t>VILLANUEVA</t>
  </si>
  <si>
    <t>VILLAVICIOSA</t>
  </si>
  <si>
    <t>MANAOAG</t>
  </si>
  <si>
    <t>SAN LEONARDO</t>
  </si>
  <si>
    <t>SINILOAN</t>
  </si>
  <si>
    <t>PEREZ</t>
  </si>
  <si>
    <t>PASACAO</t>
  </si>
  <si>
    <t>LEON</t>
  </si>
  <si>
    <t>GETAFE</t>
  </si>
  <si>
    <t>DAANBANTAYAN</t>
  </si>
  <si>
    <t>MAHAPLAG</t>
  </si>
  <si>
    <t>KALAWIT</t>
  </si>
  <si>
    <t>TIGBAO</t>
  </si>
  <si>
    <t>MANGALDAN</t>
  </si>
  <si>
    <t>SANTA ROSA</t>
  </si>
  <si>
    <t>PILI (Capital)</t>
  </si>
  <si>
    <t>MAASIN</t>
  </si>
  <si>
    <t>PULUPANDAN</t>
  </si>
  <si>
    <t>LILA</t>
  </si>
  <si>
    <t>DALAGUETE</t>
  </si>
  <si>
    <t>MATAG-OB</t>
  </si>
  <si>
    <t>SANTO DOMINGO</t>
  </si>
  <si>
    <t>MANGATAREM</t>
  </si>
  <si>
    <t>CITY OF BIÑAN</t>
  </si>
  <si>
    <t>PRESENTACION (PARUBCAN)</t>
  </si>
  <si>
    <t>MIAGAO</t>
  </si>
  <si>
    <t>SAN ENRIQUE</t>
  </si>
  <si>
    <t>LOAY</t>
  </si>
  <si>
    <t>DUMANJUG</t>
  </si>
  <si>
    <t>MATALOM</t>
  </si>
  <si>
    <t>SIGAY</t>
  </si>
  <si>
    <t>MAPANDAN</t>
  </si>
  <si>
    <t>TALAVERA</t>
  </si>
  <si>
    <t>TAAL</t>
  </si>
  <si>
    <t>CITY OF CALAMBA</t>
  </si>
  <si>
    <t>POLILLO</t>
  </si>
  <si>
    <t>RAGAY</t>
  </si>
  <si>
    <t>MINA</t>
  </si>
  <si>
    <t>TOBOSO</t>
  </si>
  <si>
    <t>LOBOC</t>
  </si>
  <si>
    <t>GINATILAN</t>
  </si>
  <si>
    <t>MAYORGA</t>
  </si>
  <si>
    <t>SINAIT</t>
  </si>
  <si>
    <t>NATIVIDAD</t>
  </si>
  <si>
    <t>TALUGTUG</t>
  </si>
  <si>
    <t>SAGÑAY</t>
  </si>
  <si>
    <t>NEW LUCENA</t>
  </si>
  <si>
    <t>VALLADOLID</t>
  </si>
  <si>
    <t>LOON</t>
  </si>
  <si>
    <t>MERIDA</t>
  </si>
  <si>
    <t>SUGPON</t>
  </si>
  <si>
    <t>POZORRUBIO</t>
  </si>
  <si>
    <t>ZARAGOZA</t>
  </si>
  <si>
    <t>TAYSAN</t>
  </si>
  <si>
    <t>REAL</t>
  </si>
  <si>
    <t>OTON</t>
  </si>
  <si>
    <t>SALVADOR BENEDICTO</t>
  </si>
  <si>
    <t>MADRIDEJOS</t>
  </si>
  <si>
    <t>PALO</t>
  </si>
  <si>
    <t>SUYO</t>
  </si>
  <si>
    <t>ROSALES</t>
  </si>
  <si>
    <t>TINGLOY</t>
  </si>
  <si>
    <t>SAMPALOC</t>
  </si>
  <si>
    <t>PAVIA</t>
  </si>
  <si>
    <t>MARIBOJOC</t>
  </si>
  <si>
    <t>MALABUYOC</t>
  </si>
  <si>
    <t>PALOMPON</t>
  </si>
  <si>
    <t>TAGUDIN</t>
  </si>
  <si>
    <t>SAN FABIAN</t>
  </si>
  <si>
    <t>TUY</t>
  </si>
  <si>
    <t>SIPOCOT</t>
  </si>
  <si>
    <t>POTOTAN</t>
  </si>
  <si>
    <t>PANGLAO</t>
  </si>
  <si>
    <t>MEDELLIN</t>
  </si>
  <si>
    <t>PASTRANA</t>
  </si>
  <si>
    <t>SIRUMA</t>
  </si>
  <si>
    <t>SAN DIONISIO</t>
  </si>
  <si>
    <t>MINGLANILLA</t>
  </si>
  <si>
    <t>SAN FRANCISCO (AURORA)</t>
  </si>
  <si>
    <t>TIGAON</t>
  </si>
  <si>
    <t>PRES. CARLOS P. GARCIA (PITOGO)</t>
  </si>
  <si>
    <t>MOALBOAL</t>
  </si>
  <si>
    <t>TINAMBAC</t>
  </si>
  <si>
    <t>SAN JOAQUIN</t>
  </si>
  <si>
    <t>SAGBAYAN (BORJA)</t>
  </si>
  <si>
    <t>OSLOB</t>
  </si>
  <si>
    <t>SARIAYA</t>
  </si>
  <si>
    <t>TABANGO</t>
  </si>
  <si>
    <t>SANTA BARBARA</t>
  </si>
  <si>
    <t>TAGKAWAYAN</t>
  </si>
  <si>
    <t>PINAMUNGAJAN</t>
  </si>
  <si>
    <t>TABONTABON</t>
  </si>
  <si>
    <t>TIAONG</t>
  </si>
  <si>
    <t>SEVILLA</t>
  </si>
  <si>
    <t>PORO</t>
  </si>
  <si>
    <t>TANAUAN</t>
  </si>
  <si>
    <t>UNISAN</t>
  </si>
  <si>
    <t>SARA</t>
  </si>
  <si>
    <t>SIERRA BULLONES</t>
  </si>
  <si>
    <t>RONDA</t>
  </si>
  <si>
    <t>TOLOSA</t>
  </si>
  <si>
    <t>TIGBAUAN</t>
  </si>
  <si>
    <t>SIKATUNA</t>
  </si>
  <si>
    <t>SAMBOAN</t>
  </si>
  <si>
    <t>TUNGA</t>
  </si>
  <si>
    <t>SUAL</t>
  </si>
  <si>
    <t>TUBUNGAN</t>
  </si>
  <si>
    <t>TALIBON</t>
  </si>
  <si>
    <t>VILLABA</t>
  </si>
  <si>
    <t>TAYUG</t>
  </si>
  <si>
    <t>ZARRAGA</t>
  </si>
  <si>
    <t>TRINIDAD</t>
  </si>
  <si>
    <t>UMINGAN</t>
  </si>
  <si>
    <t>TUBIGON</t>
  </si>
  <si>
    <t>URBIZTONDO</t>
  </si>
  <si>
    <t>UBAY</t>
  </si>
  <si>
    <t>VILLASIS</t>
  </si>
  <si>
    <t>VALENCIA</t>
  </si>
  <si>
    <t>SANTANDER</t>
  </si>
  <si>
    <t>LAOAC</t>
  </si>
  <si>
    <t>BIEN UNIDO</t>
  </si>
  <si>
    <t>SIBONGA</t>
  </si>
  <si>
    <t>TABOGON</t>
  </si>
  <si>
    <t>TABUELAN</t>
  </si>
  <si>
    <t>TUBURAN</t>
  </si>
  <si>
    <t>MLGU/CLGU</t>
  </si>
  <si>
    <t>HELPER</t>
  </si>
  <si>
    <t>PROVINCE/DISTRICT</t>
  </si>
  <si>
    <t>RFO</t>
  </si>
  <si>
    <t>HELPER_2</t>
  </si>
  <si>
    <t>Income class</t>
  </si>
  <si>
    <t>2015 population (PSA)</t>
  </si>
  <si>
    <t>REGIONAL OFFICE</t>
  </si>
  <si>
    <t>REGIONAL OFFICEREGIONAL_OFFICE</t>
  </si>
  <si>
    <t>NCR (National Capital Region)</t>
  </si>
  <si>
    <t>CITY OF CALOOCAN</t>
  </si>
  <si>
    <t>Caloocan City, 1st District</t>
  </si>
  <si>
    <t>1st</t>
  </si>
  <si>
    <t>Caloocan City, 2nd District</t>
  </si>
  <si>
    <t>CITY OF LAS PIÑAS</t>
  </si>
  <si>
    <t>Las Piñas City, Lone District</t>
  </si>
  <si>
    <t>CITY OF MAKATI</t>
  </si>
  <si>
    <t>Makati City, 1st District</t>
  </si>
  <si>
    <t>Makati City, 2nd District</t>
  </si>
  <si>
    <t>CITY OF MALABON</t>
  </si>
  <si>
    <t>Malabon City, Lone District</t>
  </si>
  <si>
    <t>CITY OF MANDALUYONG</t>
  </si>
  <si>
    <t>Mandaluyong City, Lone District</t>
  </si>
  <si>
    <t>CITY OF MANILA</t>
  </si>
  <si>
    <t>Manila, 1st District</t>
  </si>
  <si>
    <t>Speci</t>
  </si>
  <si>
    <t>Manila, 2nd District</t>
  </si>
  <si>
    <t>Manila, 3rd District</t>
  </si>
  <si>
    <t>Manila, 4th District</t>
  </si>
  <si>
    <t>Manila, 5th District</t>
  </si>
  <si>
    <t>Manila, 6th District</t>
  </si>
  <si>
    <t>CITY OF MARIKINA</t>
  </si>
  <si>
    <t>Marikina City, 1st District</t>
  </si>
  <si>
    <t>Marikina City, 2nd District</t>
  </si>
  <si>
    <t>CITY OF MUNTINLUPA</t>
  </si>
  <si>
    <t>Muntinlupa City, Lone District</t>
  </si>
  <si>
    <t>CITY OF NAVOTAS</t>
  </si>
  <si>
    <t>Navotas City, Lone District</t>
  </si>
  <si>
    <t>2nd</t>
  </si>
  <si>
    <t>CITY OF PARAÑAQUE</t>
  </si>
  <si>
    <t>Parañaque City, 1st District</t>
  </si>
  <si>
    <t>Parañaque City, 2nd District</t>
  </si>
  <si>
    <t>PASAY CITY</t>
  </si>
  <si>
    <t>Pasay City, Lone District</t>
  </si>
  <si>
    <t>CITY OF PASIG</t>
  </si>
  <si>
    <t>Pasig City, Lone District</t>
  </si>
  <si>
    <t>QUEZON CITY</t>
  </si>
  <si>
    <t>Quezon City, 1st District</t>
  </si>
  <si>
    <t>Quezon City, 2nd District</t>
  </si>
  <si>
    <t>Quezon City, 3rd District</t>
  </si>
  <si>
    <t>Quezon City, 4th District</t>
  </si>
  <si>
    <t>Quezon City, 5th District</t>
  </si>
  <si>
    <t>Quezon City, 6th District</t>
  </si>
  <si>
    <t>CITY OF SAN JUAN</t>
  </si>
  <si>
    <t>San Juan City, Lone District</t>
  </si>
  <si>
    <t>CITY OF TAGUIG</t>
  </si>
  <si>
    <t>Taguig City-Pateros, 1st District</t>
  </si>
  <si>
    <t>Taguig City-Pateros, 2nd District</t>
  </si>
  <si>
    <t>CITY OF VALENZUELA</t>
  </si>
  <si>
    <t>Valenzuela City, 1st District</t>
  </si>
  <si>
    <t>Valenzuela City, 2nd District</t>
  </si>
  <si>
    <t>I (Ilocos Region)</t>
  </si>
  <si>
    <t>CITY OF BATACIlocos_Norte</t>
  </si>
  <si>
    <t>Ilocos Norte, 2nd District</t>
  </si>
  <si>
    <t>5th</t>
  </si>
  <si>
    <t>CITY OF LAOAG (Capital)Ilocos_Norte</t>
  </si>
  <si>
    <t>Ilocos Norte, 1st District</t>
  </si>
  <si>
    <t>3rd</t>
  </si>
  <si>
    <t>ADAMSIlocos_Norte</t>
  </si>
  <si>
    <t>BACARRAIlocos_Norte</t>
  </si>
  <si>
    <t>BADOCIlocos_Norte</t>
  </si>
  <si>
    <t>BANGUIIlocos_Norte</t>
  </si>
  <si>
    <t>4th</t>
  </si>
  <si>
    <t>BURGOSIlocos_Norte</t>
  </si>
  <si>
    <t>CARASIIlocos_Norte</t>
  </si>
  <si>
    <t>CURRIMAOIlocos_Norte</t>
  </si>
  <si>
    <t>DINGRASIlocos_Norte</t>
  </si>
  <si>
    <t>DUMALNEGIlocos_Norte</t>
  </si>
  <si>
    <t>BANNA (ESPIRITU)Ilocos_Norte</t>
  </si>
  <si>
    <t>MARCOSIlocos_Norte</t>
  </si>
  <si>
    <t>NUEVA ERAIlocos_Norte</t>
  </si>
  <si>
    <t>PAGUDPUDIlocos_Norte</t>
  </si>
  <si>
    <t>PAOAYIlocos_Norte</t>
  </si>
  <si>
    <t>PASUQUINIlocos_Norte</t>
  </si>
  <si>
    <t>PIDDIGIlocos_Norte</t>
  </si>
  <si>
    <t>PINILIIlocos_Norte</t>
  </si>
  <si>
    <t>SAN NICOLASIlocos_Norte</t>
  </si>
  <si>
    <t>SARRATIlocos_Norte</t>
  </si>
  <si>
    <t>SOLSONAIlocos_Norte</t>
  </si>
  <si>
    <t>VINTARIlocos_Norte</t>
  </si>
  <si>
    <t>CITY OF CANDONIlocos_Sur</t>
  </si>
  <si>
    <t>Ilocos Sur, 2nd District</t>
  </si>
  <si>
    <t>CITY OF VIGAN (Capital)Ilocos_Sur</t>
  </si>
  <si>
    <t>Ilocos Sur, 1st District</t>
  </si>
  <si>
    <t>ALILEMIlocos_Sur</t>
  </si>
  <si>
    <t>BANAYOYOIlocos_Sur</t>
  </si>
  <si>
    <t>BANTAYIlocos_Sur</t>
  </si>
  <si>
    <t>BURGOSIlocos_Sur</t>
  </si>
  <si>
    <t>CABUGAOIlocos_Sur</t>
  </si>
  <si>
    <t>CAOAYANIlocos_Sur</t>
  </si>
  <si>
    <t>CERVANTESIlocos_Sur</t>
  </si>
  <si>
    <t>GALIMUYODIlocos_Sur</t>
  </si>
  <si>
    <t>GREGORIO DEL PILAR (CONCEPCION)Ilocos_Sur</t>
  </si>
  <si>
    <t>LIDLIDDAIlocos_Sur</t>
  </si>
  <si>
    <t>MAGSINGALIlocos_Sur</t>
  </si>
  <si>
    <t>NAGBUKELIlocos_Sur</t>
  </si>
  <si>
    <t>NARVACANIlocos_Sur</t>
  </si>
  <si>
    <t>QUIRINO (ANGKAKI)Ilocos_Sur</t>
  </si>
  <si>
    <t>SALCEDO (BAUGEN)Ilocos_Sur</t>
  </si>
  <si>
    <t>SAN EMILIOIlocos_Sur</t>
  </si>
  <si>
    <t>SAN ESTEBANIlocos_Sur</t>
  </si>
  <si>
    <t>SAN ILDEFONSOIlocos_Sur</t>
  </si>
  <si>
    <t>SAN JUAN (LAPOG)Ilocos_Sur</t>
  </si>
  <si>
    <t>SAN VICENTEIlocos_Sur</t>
  </si>
  <si>
    <t>SANTAIlocos_Sur</t>
  </si>
  <si>
    <t>SANTA CATALINAIlocos_Sur</t>
  </si>
  <si>
    <t>SANTA CRUZIlocos_Sur</t>
  </si>
  <si>
    <t>SANTA LUCIAIlocos_Sur</t>
  </si>
  <si>
    <t>SANTA MARIAIlocos_Sur</t>
  </si>
  <si>
    <t>SANTIAGOIlocos_Sur</t>
  </si>
  <si>
    <t>SANTO DOMINGOIlocos_Sur</t>
  </si>
  <si>
    <t>SIGAYIlocos_Sur</t>
  </si>
  <si>
    <t>SINAITIlocos_Sur</t>
  </si>
  <si>
    <t>SUGPONIlocos_Sur</t>
  </si>
  <si>
    <t>SUYOIlocos_Sur</t>
  </si>
  <si>
    <t>TAGUDINIlocos_Sur</t>
  </si>
  <si>
    <t>CITY OF SAN FERNANDOLa_Union</t>
  </si>
  <si>
    <t>La Union, 1st District</t>
  </si>
  <si>
    <t>AGOOLa_Union</t>
  </si>
  <si>
    <t>La Union, 2nd District</t>
  </si>
  <si>
    <t>ARINGAYLa_Union</t>
  </si>
  <si>
    <t>BACNOTANLa_Union</t>
  </si>
  <si>
    <t>BAGULINLa_Union</t>
  </si>
  <si>
    <t>BALAOANLa_Union</t>
  </si>
  <si>
    <t>BANGARLa_Union</t>
  </si>
  <si>
    <t>BAUANGLa_Union</t>
  </si>
  <si>
    <t>BURGOSLa_Union</t>
  </si>
  <si>
    <t>CABALa_Union</t>
  </si>
  <si>
    <t>LUNALa_Union</t>
  </si>
  <si>
    <t>NAGUILIANLa_Union</t>
  </si>
  <si>
    <t>PUGOLa_Union</t>
  </si>
  <si>
    <t>ROSARIOLa_Union</t>
  </si>
  <si>
    <t>SAN GABRIELLa_Union</t>
  </si>
  <si>
    <t>SAN JUANLa_Union</t>
  </si>
  <si>
    <t>SANTO TOMASLa_Union</t>
  </si>
  <si>
    <t>SANTOLLa_Union</t>
  </si>
  <si>
    <t>SUDIPENLa_Union</t>
  </si>
  <si>
    <t>TUBAOLa_Union</t>
  </si>
  <si>
    <t>CITY OF ALAMINOSPangasinan</t>
  </si>
  <si>
    <t>Pangasinan, 1st District</t>
  </si>
  <si>
    <t>CITY OF DAGUPANPangasinan</t>
  </si>
  <si>
    <t>Pangasinan, 4th District</t>
  </si>
  <si>
    <t>CITY OF SAN CARLOSPangasinan</t>
  </si>
  <si>
    <t>Pangasinan, 3rd District</t>
  </si>
  <si>
    <t>CITY OF URDANETAPangasinan</t>
  </si>
  <si>
    <t>Pangasinan, 5th District</t>
  </si>
  <si>
    <t>AGNOPangasinan</t>
  </si>
  <si>
    <t>AGUILARPangasinan</t>
  </si>
  <si>
    <t>Pangasinan, 2nd District</t>
  </si>
  <si>
    <t>ALCALAPangasinan</t>
  </si>
  <si>
    <t>ANDAPangasinan</t>
  </si>
  <si>
    <t>ASINGANPangasinan</t>
  </si>
  <si>
    <t>Pangasinan, 6th District</t>
  </si>
  <si>
    <t>BALUNGAOPangasinan</t>
  </si>
  <si>
    <t>BANIPangasinan</t>
  </si>
  <si>
    <t>BASISTAPangasinan</t>
  </si>
  <si>
    <t>BAUTISTAPangasinan</t>
  </si>
  <si>
    <t>BAYAMBANGPangasinan</t>
  </si>
  <si>
    <t>BINALONANPangasinan</t>
  </si>
  <si>
    <t>BINMALEYPangasinan</t>
  </si>
  <si>
    <t>BOLINAOPangasinan</t>
  </si>
  <si>
    <t>BUGALLONPangasinan</t>
  </si>
  <si>
    <t>BURGOSPangasinan</t>
  </si>
  <si>
    <t>CALASIAOPangasinan</t>
  </si>
  <si>
    <t>DASOLPangasinan</t>
  </si>
  <si>
    <t>INFANTAPangasinan</t>
  </si>
  <si>
    <t>LABRADORPangasinan</t>
  </si>
  <si>
    <t>LINGAYEN (Capital)Pangasinan</t>
  </si>
  <si>
    <t>MABINIPangasinan</t>
  </si>
  <si>
    <t>MALASIQUIPangasinan</t>
  </si>
  <si>
    <t>MANAOAGPangasinan</t>
  </si>
  <si>
    <t>MANGALDANPangasinan</t>
  </si>
  <si>
    <t>MANGATAREMPangasinan</t>
  </si>
  <si>
    <t>MAPANDANPangasinan</t>
  </si>
  <si>
    <t>NATIVIDADPangasinan</t>
  </si>
  <si>
    <t>POZORRUBIOPangasinan</t>
  </si>
  <si>
    <t>ROSALESPangasinan</t>
  </si>
  <si>
    <t>SAN FABIANPangasinan</t>
  </si>
  <si>
    <t>SAN JACINTOPangasinan</t>
  </si>
  <si>
    <t>SAN MANUELPangasinan</t>
  </si>
  <si>
    <t>SAN NICOLASPangasinan</t>
  </si>
  <si>
    <t>SAN QUINTINPangasinan</t>
  </si>
  <si>
    <t>SANTA BARBARAPangasinan</t>
  </si>
  <si>
    <t>SANTA MARIAPangasinan</t>
  </si>
  <si>
    <t>SANTO TOMASPangasinan</t>
  </si>
  <si>
    <t>SISONPangasinan</t>
  </si>
  <si>
    <t>SUALPangasinan</t>
  </si>
  <si>
    <t>TAYUGPangasinan</t>
  </si>
  <si>
    <t>UMINGANPangasinan</t>
  </si>
  <si>
    <t>URBIZTONDOPangasinan</t>
  </si>
  <si>
    <t>VILLASISPangasinan</t>
  </si>
  <si>
    <t>LAOACPangasinan</t>
  </si>
  <si>
    <t>II (Cagayan Valley)</t>
  </si>
  <si>
    <t>BASCO (Capital)Batanes</t>
  </si>
  <si>
    <t>Batanes, Lone District</t>
  </si>
  <si>
    <t>ITBAYATBatanes</t>
  </si>
  <si>
    <t>IVANABatanes</t>
  </si>
  <si>
    <t>6th</t>
  </si>
  <si>
    <t>MAHATAOBatanes</t>
  </si>
  <si>
    <t>SABTANGBatanes</t>
  </si>
  <si>
    <t>UYUGANBatanes</t>
  </si>
  <si>
    <t>TUGUEGARAO CITY (Capital)Cagayan</t>
  </si>
  <si>
    <t>Cagayan, 3rd District</t>
  </si>
  <si>
    <t>ABULUGCagayan</t>
  </si>
  <si>
    <t>Cagayan, 2nd District</t>
  </si>
  <si>
    <t>ALCALACagayan</t>
  </si>
  <si>
    <t>Cagayan, 1st District</t>
  </si>
  <si>
    <t>ALLACAPANCagayan</t>
  </si>
  <si>
    <t>AMULUNGCagayan</t>
  </si>
  <si>
    <t>APARRICagayan</t>
  </si>
  <si>
    <t>BAGGAOCagayan</t>
  </si>
  <si>
    <t>BALLESTEROSCagayan</t>
  </si>
  <si>
    <t>BUGUEYCagayan</t>
  </si>
  <si>
    <t>CALAYANCagayan</t>
  </si>
  <si>
    <t>CAMALANIUGANCagayan</t>
  </si>
  <si>
    <t>CLAVERIACagayan</t>
  </si>
  <si>
    <t>ENRILECagayan</t>
  </si>
  <si>
    <t>GATTARANCagayan</t>
  </si>
  <si>
    <t>GONZAGACagayan</t>
  </si>
  <si>
    <t>IGUIGCagayan</t>
  </si>
  <si>
    <t>LAL-LOCagayan</t>
  </si>
  <si>
    <t>LASAMCagayan</t>
  </si>
  <si>
    <t>PAMPLONACagayan</t>
  </si>
  <si>
    <t>PEÑABLANCACagayan</t>
  </si>
  <si>
    <t>PIATCagayan</t>
  </si>
  <si>
    <t>RIZALCagayan</t>
  </si>
  <si>
    <t>SANCHEZ-MIRACagayan</t>
  </si>
  <si>
    <t>SANTA ANACagayan</t>
  </si>
  <si>
    <t>SANTA PRAXEDESCagayan</t>
  </si>
  <si>
    <t>SANTA TERESITACagayan</t>
  </si>
  <si>
    <t>SANTO NIÑO (FAIRE)Cagayan</t>
  </si>
  <si>
    <t>SOLANACagayan</t>
  </si>
  <si>
    <t>TUAOCagayan</t>
  </si>
  <si>
    <t>CITY OF CAUAYANIsabela</t>
  </si>
  <si>
    <t>Isabela, 6th District</t>
  </si>
  <si>
    <t>CITY OF ILAGAN (Capital)Isabela</t>
  </si>
  <si>
    <t>Isabela, 1st District</t>
  </si>
  <si>
    <t>CITY OF SANTIAGOIsabela</t>
  </si>
  <si>
    <t>Isabela, 4th District</t>
  </si>
  <si>
    <t>ALICIAIsabela</t>
  </si>
  <si>
    <t>Isabela, 3rd District</t>
  </si>
  <si>
    <t>ANGADANANIsabela</t>
  </si>
  <si>
    <t>AURORAIsabela</t>
  </si>
  <si>
    <t>Isabela, 5th District</t>
  </si>
  <si>
    <t>BENITO SOLIVENIsabela</t>
  </si>
  <si>
    <t>Isabela, 2nd District</t>
  </si>
  <si>
    <t>BURGOSIsabela</t>
  </si>
  <si>
    <t>CABAGANIsabela</t>
  </si>
  <si>
    <t>CABATUANIsabela</t>
  </si>
  <si>
    <t>CORDONIsabela</t>
  </si>
  <si>
    <t>DINAPIGUEIsabela</t>
  </si>
  <si>
    <t>DIVILACANIsabela</t>
  </si>
  <si>
    <t>ECHAGUEIsabela</t>
  </si>
  <si>
    <t>GAMUIsabela</t>
  </si>
  <si>
    <t>JONESIsabela</t>
  </si>
  <si>
    <t>LUNAIsabela</t>
  </si>
  <si>
    <t>MACONACONIsabela</t>
  </si>
  <si>
    <t>DELFIN ALBANO (MAGSAYSAY)Isabela</t>
  </si>
  <si>
    <t>MALLIGIsabela</t>
  </si>
  <si>
    <t>NAGUILIANIsabela</t>
  </si>
  <si>
    <t>PALANANIsabela</t>
  </si>
  <si>
    <t>QUEZONIsabela</t>
  </si>
  <si>
    <t>QUIRINOIsabela</t>
  </si>
  <si>
    <t>RAMONIsabela</t>
  </si>
  <si>
    <t>REINA MERCEDESIsabela</t>
  </si>
  <si>
    <t>ROXASIsabela</t>
  </si>
  <si>
    <t>SAN AGUSTINIsabela</t>
  </si>
  <si>
    <t>SAN GUILLERMOIsabela</t>
  </si>
  <si>
    <t>SAN ISIDROIsabela</t>
  </si>
  <si>
    <t>SAN MANUELIsabela</t>
  </si>
  <si>
    <t>SAN MARIANOIsabela</t>
  </si>
  <si>
    <t>SAN MATEOIsabela</t>
  </si>
  <si>
    <t>SAN PABLOIsabela</t>
  </si>
  <si>
    <t>SANTA MARIAIsabela</t>
  </si>
  <si>
    <t>SANTO TOMASIsabela</t>
  </si>
  <si>
    <t>TUMAUINIIsabela</t>
  </si>
  <si>
    <t>AMBAGUIONueva_Vizcaya</t>
  </si>
  <si>
    <t>Nueva Vizcaya, Lone District</t>
  </si>
  <si>
    <t>ARITAONueva_Vizcaya</t>
  </si>
  <si>
    <t>BAGABAGNueva_Vizcaya</t>
  </si>
  <si>
    <t>BAMBANGNueva_Vizcaya</t>
  </si>
  <si>
    <t>BAYOMBONG (Capital)Nueva_Vizcaya</t>
  </si>
  <si>
    <t>DIADINueva_Vizcaya</t>
  </si>
  <si>
    <t>DUPAX DEL NORTENueva_Vizcaya</t>
  </si>
  <si>
    <t>DUPAX DEL SURNueva_Vizcaya</t>
  </si>
  <si>
    <t>KASIBUNueva_Vizcaya</t>
  </si>
  <si>
    <t>KAYAPANueva_Vizcaya</t>
  </si>
  <si>
    <t>QUEZONNueva_Vizcaya</t>
  </si>
  <si>
    <t>SANTA FENueva_Vizcaya</t>
  </si>
  <si>
    <t>SOLANONueva_Vizcaya</t>
  </si>
  <si>
    <t>VILLAVERDENueva_Vizcaya</t>
  </si>
  <si>
    <t>ALFONSO CASTANEDANueva_Vizcaya</t>
  </si>
  <si>
    <t>AGLIPAYQuirino</t>
  </si>
  <si>
    <t>Quirino, 1st District</t>
  </si>
  <si>
    <t>CABARROGUIS (Capital)Quirino</t>
  </si>
  <si>
    <t>DIFFUNQuirino</t>
  </si>
  <si>
    <t>MADDELAQuirino</t>
  </si>
  <si>
    <t>SAGUDAYQuirino</t>
  </si>
  <si>
    <t>NAGTIPUNANQuirino</t>
  </si>
  <si>
    <t>III (Central Luzon)</t>
  </si>
  <si>
    <t>BALER (Capital)Aurora</t>
  </si>
  <si>
    <t>Aurora, Lone District</t>
  </si>
  <si>
    <t>CASIGURANAurora</t>
  </si>
  <si>
    <t>DILASAGAurora</t>
  </si>
  <si>
    <t>DINALUNGANAurora</t>
  </si>
  <si>
    <t>DINGALANAurora</t>
  </si>
  <si>
    <t>DIPACULAOAurora</t>
  </si>
  <si>
    <t>MARIA AURORAAurora</t>
  </si>
  <si>
    <t>SAN LUISAurora</t>
  </si>
  <si>
    <t>CITY OF BALANGA (Capital)Bataan</t>
  </si>
  <si>
    <t>Bataan, 2nd District</t>
  </si>
  <si>
    <t>ABUCAYBataan</t>
  </si>
  <si>
    <t>Bataan, 1st District</t>
  </si>
  <si>
    <t>BAGACBataan</t>
  </si>
  <si>
    <t>DINALUPIHANBataan</t>
  </si>
  <si>
    <t>HERMOSABataan</t>
  </si>
  <si>
    <t>LIMAYBataan</t>
  </si>
  <si>
    <t>MARIVELESBataan</t>
  </si>
  <si>
    <t>MORONGBataan</t>
  </si>
  <si>
    <t>ORANIBataan</t>
  </si>
  <si>
    <t>ORIONBataan</t>
  </si>
  <si>
    <t>PILARBataan</t>
  </si>
  <si>
    <t>SAMALBataan</t>
  </si>
  <si>
    <t>CITY OF SAN JOSE DEL MONTEBulacan</t>
  </si>
  <si>
    <t>San Jose Del Monte City, Lone District</t>
  </si>
  <si>
    <t>CITY OF MALOLOS (Capital)Bulacan</t>
  </si>
  <si>
    <t>Bulacan, 1st District</t>
  </si>
  <si>
    <t>CITY OF MEYCAUAYANBulacan</t>
  </si>
  <si>
    <t>Bulacan, 4th District</t>
  </si>
  <si>
    <t>ANGATBulacan</t>
  </si>
  <si>
    <t>Bulacan, 3rd District</t>
  </si>
  <si>
    <t>BALAGTAS (BIGAA)Bulacan</t>
  </si>
  <si>
    <t>Bulacan, 2nd District</t>
  </si>
  <si>
    <t>BALIUAGBulacan</t>
  </si>
  <si>
    <t>BOCAUEBulacan</t>
  </si>
  <si>
    <t>BULACANBulacan</t>
  </si>
  <si>
    <t>BUSTOSBulacan</t>
  </si>
  <si>
    <t>CALUMPITBulacan</t>
  </si>
  <si>
    <t>GUIGUINTOBulacan</t>
  </si>
  <si>
    <t>HAGONOYBulacan</t>
  </si>
  <si>
    <t>MARILAOBulacan</t>
  </si>
  <si>
    <t>NORZAGARAYBulacan</t>
  </si>
  <si>
    <t>OBANDOBulacan</t>
  </si>
  <si>
    <t>PANDIBulacan</t>
  </si>
  <si>
    <t>PAOMBONGBulacan</t>
  </si>
  <si>
    <t>PLARIDELBulacan</t>
  </si>
  <si>
    <t>PULILANBulacan</t>
  </si>
  <si>
    <t>SAN ILDEFONSOBulacan</t>
  </si>
  <si>
    <t>SAN MIGUELBulacan</t>
  </si>
  <si>
    <t>SAN RAFAELBulacan</t>
  </si>
  <si>
    <t>SANTA MARIABulacan</t>
  </si>
  <si>
    <t>DOÑA REMEDIOS TRINIDADBulacan</t>
  </si>
  <si>
    <t>CITY OF CABANATUANNueva_Ecija</t>
  </si>
  <si>
    <t>Nueva Ecija, 3rd District</t>
  </si>
  <si>
    <t>CITY OF GAPANNueva_Ecija</t>
  </si>
  <si>
    <t>Nueva Ecija, 4th District</t>
  </si>
  <si>
    <t>SCIENCE CITY OF MUÑOZNueva_Ecija</t>
  </si>
  <si>
    <t>Nueva Ecija, 2nd District</t>
  </si>
  <si>
    <t>CITY OF PALAYAN (Capital)Nueva_Ecija</t>
  </si>
  <si>
    <t>SAN JOSE CITYNueva_Ecija</t>
  </si>
  <si>
    <t>ALIAGANueva_Ecija</t>
  </si>
  <si>
    <t>Nueva Ecija, 1st District</t>
  </si>
  <si>
    <t>BONGABONNueva_Ecija</t>
  </si>
  <si>
    <t>CABIAONueva_Ecija</t>
  </si>
  <si>
    <t>CARRANGLANNueva_Ecija</t>
  </si>
  <si>
    <t>CUYAPONueva_Ecija</t>
  </si>
  <si>
    <t>GABALDON (BITULOK &amp; SABANI)Nueva_Ecija</t>
  </si>
  <si>
    <t>GENERAL MAMERTO NATIVIDADNueva_Ecija</t>
  </si>
  <si>
    <t>GENERAL TINIO (PAPAYA)Nueva_Ecija</t>
  </si>
  <si>
    <t>GUIMBANueva_Ecija</t>
  </si>
  <si>
    <t>JAENNueva_Ecija</t>
  </si>
  <si>
    <t>LAURNueva_Ecija</t>
  </si>
  <si>
    <t>LICABNueva_Ecija</t>
  </si>
  <si>
    <t>LLANERANueva_Ecija</t>
  </si>
  <si>
    <t>LUPAONueva_Ecija</t>
  </si>
  <si>
    <t>NAMPICUANNueva_Ecija</t>
  </si>
  <si>
    <t>PANTABANGANNueva_Ecija</t>
  </si>
  <si>
    <t>PEÑARANDANueva_Ecija</t>
  </si>
  <si>
    <t>QUEZONNueva_Ecija</t>
  </si>
  <si>
    <t>RIZALNueva_Ecija</t>
  </si>
  <si>
    <t>SAN ANTONIONueva_Ecija</t>
  </si>
  <si>
    <t>SAN ISIDRONueva_Ecija</t>
  </si>
  <si>
    <t>SAN LEONARDONueva_Ecija</t>
  </si>
  <si>
    <t>SANTA ROSANueva_Ecija</t>
  </si>
  <si>
    <t>SANTO DOMINGONueva_Ecija</t>
  </si>
  <si>
    <t>TALAVERANueva_Ecija</t>
  </si>
  <si>
    <t>TALUGTUGNueva_Ecija</t>
  </si>
  <si>
    <t>ZARAGOZANueva_Ecija</t>
  </si>
  <si>
    <t>CITY OF ANGELESPampanga</t>
  </si>
  <si>
    <t>Pampanga, 1st District</t>
  </si>
  <si>
    <t>MABALACAT CITYPampanga</t>
  </si>
  <si>
    <t>CITY OF SAN FERNANDO (Capital)Pampanga</t>
  </si>
  <si>
    <t>Pampanga, 3rd District</t>
  </si>
  <si>
    <t>APALITPampanga</t>
  </si>
  <si>
    <t>Pampanga, 4th District</t>
  </si>
  <si>
    <t>ARAYATPampanga</t>
  </si>
  <si>
    <t>BACOLORPampanga</t>
  </si>
  <si>
    <t>CANDABAPampanga</t>
  </si>
  <si>
    <t>FLORIDABLANCAPampanga</t>
  </si>
  <si>
    <t>Pampanga, 2nd District</t>
  </si>
  <si>
    <t>GUAGUAPampanga</t>
  </si>
  <si>
    <t>LUBAOPampanga</t>
  </si>
  <si>
    <t>MACABEBEPampanga</t>
  </si>
  <si>
    <t>MAGALANGPampanga</t>
  </si>
  <si>
    <t>MASANTOLPampanga</t>
  </si>
  <si>
    <t>MEXICOPampanga</t>
  </si>
  <si>
    <t>MINALINPampanga</t>
  </si>
  <si>
    <t>PORACPampanga</t>
  </si>
  <si>
    <t>SAN LUISPampanga</t>
  </si>
  <si>
    <t>SAN SIMONPampanga</t>
  </si>
  <si>
    <t>SANTA ANAPampanga</t>
  </si>
  <si>
    <t>SANTA RITAPampanga</t>
  </si>
  <si>
    <t>SANTO TOMASPampanga</t>
  </si>
  <si>
    <t>SASMUAN (Sexmoan)Pampanga</t>
  </si>
  <si>
    <t>CITY OF TARLAC (Capital)Tarlac</t>
  </si>
  <si>
    <t>Tarlac, 2nd District</t>
  </si>
  <si>
    <t>ANAOTarlac</t>
  </si>
  <si>
    <t>Tarlac, 1st District</t>
  </si>
  <si>
    <t>BAMBANTarlac</t>
  </si>
  <si>
    <t>Tarlac, 3rd District</t>
  </si>
  <si>
    <t>CAMILINGTarlac</t>
  </si>
  <si>
    <t>CAPASTarlac</t>
  </si>
  <si>
    <t>CONCEPCIONTarlac</t>
  </si>
  <si>
    <t>GERONATarlac</t>
  </si>
  <si>
    <t>LA PAZTarlac</t>
  </si>
  <si>
    <t>MAYANTOCTarlac</t>
  </si>
  <si>
    <t>MONCADATarlac</t>
  </si>
  <si>
    <t>PANIQUITarlac</t>
  </si>
  <si>
    <t>PURATarlac</t>
  </si>
  <si>
    <t>RAMOSTarlac</t>
  </si>
  <si>
    <t>SAN CLEMENTETarlac</t>
  </si>
  <si>
    <t>SAN MANUELTarlac</t>
  </si>
  <si>
    <t>SANTA IGNACIATarlac</t>
  </si>
  <si>
    <t>VICTORIATarlac</t>
  </si>
  <si>
    <t>SAN JOSETarlac</t>
  </si>
  <si>
    <t>CITY OF OLONGAPOZambales</t>
  </si>
  <si>
    <t>Zambales, 1st District</t>
  </si>
  <si>
    <t>BOTOLANZambales</t>
  </si>
  <si>
    <t>Zambales, 2nd District</t>
  </si>
  <si>
    <t>CABANGANZambales</t>
  </si>
  <si>
    <t>CANDELARIAZambales</t>
  </si>
  <si>
    <t>CASTILLEJOSZambales</t>
  </si>
  <si>
    <t>IBA (Capital)Zambales</t>
  </si>
  <si>
    <t>MASINLOCZambales</t>
  </si>
  <si>
    <t>PALAUIGZambales</t>
  </si>
  <si>
    <t>SAN ANTONIOZambales</t>
  </si>
  <si>
    <t>SAN FELIPEZambales</t>
  </si>
  <si>
    <t>SAN MARCELINOZambales</t>
  </si>
  <si>
    <t>SAN NARCISOZambales</t>
  </si>
  <si>
    <t>SANTA CRUZZambales</t>
  </si>
  <si>
    <t>SUBICZambales</t>
  </si>
  <si>
    <t>IV-A (CALABARZON)</t>
  </si>
  <si>
    <t>CITY OF ANTIPOLO (Capital)Rizal</t>
  </si>
  <si>
    <t>Antipolo City, 1st, 2nd District</t>
  </si>
  <si>
    <t>BATANGAS CITY (Capital)Batangas</t>
  </si>
  <si>
    <t>Batangas, 5th District</t>
  </si>
  <si>
    <t>CITY OF LIPABatangas</t>
  </si>
  <si>
    <t>Batangas, 6th District</t>
  </si>
  <si>
    <t>CITY OF TANAUANBatangas</t>
  </si>
  <si>
    <t>Batangas, 3rd District</t>
  </si>
  <si>
    <t>AGONCILLOBatangas</t>
  </si>
  <si>
    <t>ALITAGTAGBatangas</t>
  </si>
  <si>
    <t>BALAYANBatangas</t>
  </si>
  <si>
    <t>Batangas, 1st District</t>
  </si>
  <si>
    <t>BALETEBatangas</t>
  </si>
  <si>
    <t>BAUANBatangas</t>
  </si>
  <si>
    <t>Batangas, 2nd District</t>
  </si>
  <si>
    <t>CALACABatangas</t>
  </si>
  <si>
    <t>CALATAGANBatangas</t>
  </si>
  <si>
    <t>CUENCABatangas</t>
  </si>
  <si>
    <t>IBAANBatangas</t>
  </si>
  <si>
    <t>Batangas, 4th District</t>
  </si>
  <si>
    <t>LAURELBatangas</t>
  </si>
  <si>
    <t>LEMERYBatangas</t>
  </si>
  <si>
    <t>LIANBatangas</t>
  </si>
  <si>
    <t>LOBOBatangas</t>
  </si>
  <si>
    <t>MABINIBatangas</t>
  </si>
  <si>
    <t>MALVARBatangas</t>
  </si>
  <si>
    <t>MATAASNAKAHOYBatangas</t>
  </si>
  <si>
    <t>NASUGBUBatangas</t>
  </si>
  <si>
    <t>PADRE GARCIABatangas</t>
  </si>
  <si>
    <t>ROSARIOBatangas</t>
  </si>
  <si>
    <t>SAN JOSEBatangas</t>
  </si>
  <si>
    <t>SAN JUANBatangas</t>
  </si>
  <si>
    <t>SAN LUISBatangas</t>
  </si>
  <si>
    <t>SAN NICOLASBatangas</t>
  </si>
  <si>
    <t>SAN PASCUALBatangas</t>
  </si>
  <si>
    <t>SANTA TERESITABatangas</t>
  </si>
  <si>
    <t>SANTO TOMASBatangas</t>
  </si>
  <si>
    <t>TAALBatangas</t>
  </si>
  <si>
    <t>TALISAYBatangas</t>
  </si>
  <si>
    <t>TAYSANBatangas</t>
  </si>
  <si>
    <t>TINGLOYBatangas</t>
  </si>
  <si>
    <t>TUYBatangas</t>
  </si>
  <si>
    <t>CITY OF BACOORCavite</t>
  </si>
  <si>
    <t>Cavite, 2nd District</t>
  </si>
  <si>
    <t>CITY OF CAVITECavite</t>
  </si>
  <si>
    <t>Cavite, 1st District</t>
  </si>
  <si>
    <t>CITY OF DASMARIÑASCavite</t>
  </si>
  <si>
    <t>Cavite, 4th District</t>
  </si>
  <si>
    <t>CITY OF GENERAL TRIASCavite</t>
  </si>
  <si>
    <t>Cavite, 6th District</t>
  </si>
  <si>
    <t>CITY OF IMUSCavite</t>
  </si>
  <si>
    <t>Cavite, 3rd District</t>
  </si>
  <si>
    <t>CITY OF TAGAYTAYCavite</t>
  </si>
  <si>
    <t>Cavite, 8th District</t>
  </si>
  <si>
    <t>CITY OF TRECE MARTIRES (Capital)Cavite</t>
  </si>
  <si>
    <t>Cavite, 7th District</t>
  </si>
  <si>
    <t>ALFONSOCavite</t>
  </si>
  <si>
    <t>AMADEOCavite</t>
  </si>
  <si>
    <t>CARMONACavite</t>
  </si>
  <si>
    <t>Cavite, 5th District</t>
  </si>
  <si>
    <t>GENERAL EMILIO AGUINALDOCavite</t>
  </si>
  <si>
    <t>INDANGCavite</t>
  </si>
  <si>
    <t>KAWITCavite</t>
  </si>
  <si>
    <t>MAGALLANESCavite</t>
  </si>
  <si>
    <t>MARAGONDONCavite</t>
  </si>
  <si>
    <t>MENDEZ (MENDEZ-NUÑEZ)Cavite</t>
  </si>
  <si>
    <t>NAICCavite</t>
  </si>
  <si>
    <t>NOVELETACavite</t>
  </si>
  <si>
    <t>ROSARIOCavite</t>
  </si>
  <si>
    <t>SILANGCavite</t>
  </si>
  <si>
    <t>TANZACavite</t>
  </si>
  <si>
    <t>TERNATECavite</t>
  </si>
  <si>
    <t>GEN. MARIANO ALVAREZCavite</t>
  </si>
  <si>
    <t>CITY OF BIÑANLaguna</t>
  </si>
  <si>
    <t>Biñan City, Lone District</t>
  </si>
  <si>
    <t>CITY OF CALAMBALaguna</t>
  </si>
  <si>
    <t>Calamba City, Lone District</t>
  </si>
  <si>
    <t>CITY OF CABUYAOLaguna</t>
  </si>
  <si>
    <t>Laguna, 2nd District</t>
  </si>
  <si>
    <t>CITY OF SAN PABLOLaguna</t>
  </si>
  <si>
    <t>Laguna, 3rd District</t>
  </si>
  <si>
    <t>CITY OF SAN PEDROLaguna</t>
  </si>
  <si>
    <t>Laguna, 1st District</t>
  </si>
  <si>
    <t>CITY OF SANTA ROSALaguna</t>
  </si>
  <si>
    <t>ALAMINOSLaguna</t>
  </si>
  <si>
    <t>BAYLaguna</t>
  </si>
  <si>
    <t>CALAUANLaguna</t>
  </si>
  <si>
    <t>CAVINTILaguna</t>
  </si>
  <si>
    <t>Laguna, 4th District</t>
  </si>
  <si>
    <t>FAMYLaguna</t>
  </si>
  <si>
    <t>KALAYAANLaguna</t>
  </si>
  <si>
    <t>LILIWLaguna</t>
  </si>
  <si>
    <t>LOS BAÑOSLaguna</t>
  </si>
  <si>
    <t>LUISIANALaguna</t>
  </si>
  <si>
    <t>LUMBANLaguna</t>
  </si>
  <si>
    <t>MABITACLaguna</t>
  </si>
  <si>
    <t>MAGDALENALaguna</t>
  </si>
  <si>
    <t>MAJAYJAYLaguna</t>
  </si>
  <si>
    <t>NAGCARLANLaguna</t>
  </si>
  <si>
    <t>PAETELaguna</t>
  </si>
  <si>
    <t>PAGSANJANLaguna</t>
  </si>
  <si>
    <t>PAKILLaguna</t>
  </si>
  <si>
    <t>PANGILLaguna</t>
  </si>
  <si>
    <t>PILALaguna</t>
  </si>
  <si>
    <t>RIZALLaguna</t>
  </si>
  <si>
    <t>SANTA CRUZ (Capital)Laguna</t>
  </si>
  <si>
    <t>SANTA MARIALaguna</t>
  </si>
  <si>
    <t>SINILOANLaguna</t>
  </si>
  <si>
    <t>VICTORIALaguna</t>
  </si>
  <si>
    <t>CITY OF LUCENA (Capital)Quezon</t>
  </si>
  <si>
    <t>Quezon, 2nd District</t>
  </si>
  <si>
    <t>CITY OF TAYABASQuezon</t>
  </si>
  <si>
    <t>Quezon, 1st District</t>
  </si>
  <si>
    <t>AGDANGANQuezon</t>
  </si>
  <si>
    <t>Quezon, 3rd District</t>
  </si>
  <si>
    <t>ALABATQuezon</t>
  </si>
  <si>
    <t>Quezon, 4th District</t>
  </si>
  <si>
    <t>ATIMONANQuezon</t>
  </si>
  <si>
    <t>BUENAVISTAQuezon</t>
  </si>
  <si>
    <t>BURDEOSQuezon</t>
  </si>
  <si>
    <t>CALAUAGQuezon</t>
  </si>
  <si>
    <t>CANDELARIAQuezon</t>
  </si>
  <si>
    <t>CATANAUANQuezon</t>
  </si>
  <si>
    <t>DOLORESQuezon</t>
  </si>
  <si>
    <t>GENERAL LUNAQuezon</t>
  </si>
  <si>
    <t>GENERAL NAKARQuezon</t>
  </si>
  <si>
    <t>GUINAYANGANQuezon</t>
  </si>
  <si>
    <t>GUMACAQuezon</t>
  </si>
  <si>
    <t>INFANTAQuezon</t>
  </si>
  <si>
    <t>JOMALIGQuezon</t>
  </si>
  <si>
    <t>LOPEZQuezon</t>
  </si>
  <si>
    <t>LUCBANQuezon</t>
  </si>
  <si>
    <t>MACALELONQuezon</t>
  </si>
  <si>
    <t>MAUBANQuezon</t>
  </si>
  <si>
    <t>MULANAYQuezon</t>
  </si>
  <si>
    <t>PADRE BURGOSQuezon</t>
  </si>
  <si>
    <t>PAGBILAOQuezon</t>
  </si>
  <si>
    <t>PANUKULANQuezon</t>
  </si>
  <si>
    <t>PATNANUNGANQuezon</t>
  </si>
  <si>
    <t>PEREZQuezon</t>
  </si>
  <si>
    <t>PITOGOQuezon</t>
  </si>
  <si>
    <t>PLARIDELQuezon</t>
  </si>
  <si>
    <t>POLILLOQuezon</t>
  </si>
  <si>
    <t>QUEZONQuezon</t>
  </si>
  <si>
    <t>REALQuezon</t>
  </si>
  <si>
    <t>SAMPALOCQuezon</t>
  </si>
  <si>
    <t>SAN ANDRESQuezon</t>
  </si>
  <si>
    <t>SAN ANTONIOQuezon</t>
  </si>
  <si>
    <t>SAN FRANCISCO (AURORA)Quezon</t>
  </si>
  <si>
    <t>SAN NARCISOQuezon</t>
  </si>
  <si>
    <t>SARIAYAQuezon</t>
  </si>
  <si>
    <t>TAGKAWAYANQuezon</t>
  </si>
  <si>
    <t>TIAONGQuezon</t>
  </si>
  <si>
    <t>UNISANQuezon</t>
  </si>
  <si>
    <t>ANGONORizal</t>
  </si>
  <si>
    <t>Rizal, 1st District</t>
  </si>
  <si>
    <t>BARASRizal</t>
  </si>
  <si>
    <t>Rizal, 2nd District</t>
  </si>
  <si>
    <t>BINANGONANRizal</t>
  </si>
  <si>
    <t>CAINTARizal</t>
  </si>
  <si>
    <t>CARDONARizal</t>
  </si>
  <si>
    <t>JALA-JALARizal</t>
  </si>
  <si>
    <t>RODRIGUEZ (MONTALBAN)Rizal</t>
  </si>
  <si>
    <t>MORONGRizal</t>
  </si>
  <si>
    <t>PILILLARizal</t>
  </si>
  <si>
    <t>SAN MATEORizal</t>
  </si>
  <si>
    <t>TANAYRizal</t>
  </si>
  <si>
    <t>TAYTAYRizal</t>
  </si>
  <si>
    <t>TERESARizal</t>
  </si>
  <si>
    <t>IV-B (MIMAROPA)</t>
  </si>
  <si>
    <t>BOAC (Capital)Marinduque</t>
  </si>
  <si>
    <t>Marinduque, Lone District</t>
  </si>
  <si>
    <t>BUENAVISTAMarinduque</t>
  </si>
  <si>
    <t>GASANMarinduque</t>
  </si>
  <si>
    <t>MOGPOGMarinduque</t>
  </si>
  <si>
    <t>SANTA CRUZMarinduque</t>
  </si>
  <si>
    <t>TORRIJOSMarinduque</t>
  </si>
  <si>
    <t>ABRA DE ILOGOccidental_Mindoro</t>
  </si>
  <si>
    <t>Occidental Mindoro, Lone District</t>
  </si>
  <si>
    <t>CALINTAANOccidental_Mindoro</t>
  </si>
  <si>
    <t>LOOCOccidental_Mindoro</t>
  </si>
  <si>
    <t>LUBANGOccidental_Mindoro</t>
  </si>
  <si>
    <t>MAGSAYSAYOccidental_Mindoro</t>
  </si>
  <si>
    <t>MAMBURAO (Capital)Occidental_Mindoro</t>
  </si>
  <si>
    <t>PALUANOccidental_Mindoro</t>
  </si>
  <si>
    <t>RIZALOccidental_Mindoro</t>
  </si>
  <si>
    <t>SABLAYANOccidental_Mindoro</t>
  </si>
  <si>
    <t>SAN JOSEOccidental_Mindoro</t>
  </si>
  <si>
    <t>SANTA CRUZOccidental_Mindoro</t>
  </si>
  <si>
    <t>CITY OF CALAPAN (Capital)Oriental_Mindoro</t>
  </si>
  <si>
    <t>Oriental Mindoro, 1st District</t>
  </si>
  <si>
    <t>BACOOriental_Mindoro</t>
  </si>
  <si>
    <t>BANSUDOriental_Mindoro</t>
  </si>
  <si>
    <t>Oriental Mindoro, 2nd District</t>
  </si>
  <si>
    <t>BONGABONGOriental_Mindoro</t>
  </si>
  <si>
    <t>BULALACAO (SAN PEDRO)Oriental_Mindoro</t>
  </si>
  <si>
    <t>GLORIAOriental_Mindoro</t>
  </si>
  <si>
    <t>MANSALAYOriental_Mindoro</t>
  </si>
  <si>
    <t>NAUJANOriental_Mindoro</t>
  </si>
  <si>
    <t>PINAMALAYANOriental_Mindoro</t>
  </si>
  <si>
    <t>POLAOriental_Mindoro</t>
  </si>
  <si>
    <t>PUERTO GALERAOriental_Mindoro</t>
  </si>
  <si>
    <t>ROXASOriental_Mindoro</t>
  </si>
  <si>
    <t>SAN TEODOROOriental_Mindoro</t>
  </si>
  <si>
    <t>SOCORROOriental_Mindoro</t>
  </si>
  <si>
    <t>VICTORIAOriental_Mindoro</t>
  </si>
  <si>
    <t>CITY OF PUERTO PRINCESA (Capital)Palawan</t>
  </si>
  <si>
    <t>Palawan, 3rd District</t>
  </si>
  <si>
    <t>ABORLANPalawan</t>
  </si>
  <si>
    <t>AGUTAYAPalawan</t>
  </si>
  <si>
    <t>Palawan, 1st District</t>
  </si>
  <si>
    <t>ARACELIPalawan</t>
  </si>
  <si>
    <t>BALABACPalawan</t>
  </si>
  <si>
    <t>Palawan, 2nd District</t>
  </si>
  <si>
    <t>BATARAZAPalawan</t>
  </si>
  <si>
    <t>BROOKE'S POINTPalawan</t>
  </si>
  <si>
    <t>BUSUANGAPalawan</t>
  </si>
  <si>
    <t>CAGAYANCILLOPalawan</t>
  </si>
  <si>
    <t>CORONPalawan</t>
  </si>
  <si>
    <t>CUYOPalawan</t>
  </si>
  <si>
    <t>DUMARANPalawan</t>
  </si>
  <si>
    <t>EL NIDO (BACUIT)Palawan</t>
  </si>
  <si>
    <t>LINAPACANPalawan</t>
  </si>
  <si>
    <t>MAGSAYSAYPalawan</t>
  </si>
  <si>
    <t>NARRAPalawan</t>
  </si>
  <si>
    <t>QUEZONPalawan</t>
  </si>
  <si>
    <t>ROXASPalawan</t>
  </si>
  <si>
    <t>SAN VICENTEPalawan</t>
  </si>
  <si>
    <t>TAYTAYPalawan</t>
  </si>
  <si>
    <t>KALAYAANPalawan</t>
  </si>
  <si>
    <t>CULIONPalawan</t>
  </si>
  <si>
    <t>RIZAL (MARCOS)Palawan</t>
  </si>
  <si>
    <t>SOFRONIO ESPAÑOLAPalawan</t>
  </si>
  <si>
    <t>ALCANTARARomblon</t>
  </si>
  <si>
    <t>Romblon, Lone District</t>
  </si>
  <si>
    <t>BANTONRomblon</t>
  </si>
  <si>
    <t>CAJIDIOCANRomblon</t>
  </si>
  <si>
    <t>CALATRAVARomblon</t>
  </si>
  <si>
    <t>CONCEPCIONRomblon</t>
  </si>
  <si>
    <t>CORCUERARomblon</t>
  </si>
  <si>
    <t>LOOCRomblon</t>
  </si>
  <si>
    <t>MAGDIWANGRomblon</t>
  </si>
  <si>
    <t>ODIONGANRomblon</t>
  </si>
  <si>
    <t>ROMBLON (Capital)Romblon</t>
  </si>
  <si>
    <t>SAN AGUSTINRomblon</t>
  </si>
  <si>
    <t>SAN ANDRESRomblon</t>
  </si>
  <si>
    <t>SAN FERNANDORomblon</t>
  </si>
  <si>
    <t>SAN JOSERomblon</t>
  </si>
  <si>
    <t>SANTA FERomblon</t>
  </si>
  <si>
    <t>FERROLRomblon</t>
  </si>
  <si>
    <t>SANTA MARIA (IMELDA)Romblon</t>
  </si>
  <si>
    <t>V (Bicol Region)</t>
  </si>
  <si>
    <t>CITY OF LEGAZPI (Capital)Albay</t>
  </si>
  <si>
    <t>Albay, 2nd District</t>
  </si>
  <si>
    <t>CITY OF LIGAOAlbay</t>
  </si>
  <si>
    <t>Albay, 3rd District</t>
  </si>
  <si>
    <t>CITY OF TABACOAlbay</t>
  </si>
  <si>
    <t>Albay, 1st District</t>
  </si>
  <si>
    <t>BACACAYAlbay</t>
  </si>
  <si>
    <t>CAMALIGAlbay</t>
  </si>
  <si>
    <t>DARAGA (LOCSIN)Albay</t>
  </si>
  <si>
    <t>GUINOBATANAlbay</t>
  </si>
  <si>
    <t>JOVELLARAlbay</t>
  </si>
  <si>
    <t>LIBONAlbay</t>
  </si>
  <si>
    <t>MALILIPOTAlbay</t>
  </si>
  <si>
    <t>MALINAOAlbay</t>
  </si>
  <si>
    <t>MANITOAlbay</t>
  </si>
  <si>
    <t>OASAlbay</t>
  </si>
  <si>
    <t>PIO DURANAlbay</t>
  </si>
  <si>
    <t>POLANGUIAlbay</t>
  </si>
  <si>
    <t>RAPU-RAPUAlbay</t>
  </si>
  <si>
    <t>SANTO DOMINGO (LIBOG)Albay</t>
  </si>
  <si>
    <t>TIWIAlbay</t>
  </si>
  <si>
    <t>BASUDCamarines_Norte</t>
  </si>
  <si>
    <t>Camarines Norte, 2nd District</t>
  </si>
  <si>
    <t>CAPALONGACamarines_Norte</t>
  </si>
  <si>
    <t>Camarines Norte, 1st District</t>
  </si>
  <si>
    <t>DAET (Capital)Camarines_Norte</t>
  </si>
  <si>
    <t>SAN LORENZO RUIZ (IMELDA)Camarines_Norte</t>
  </si>
  <si>
    <t>JOSE PANGANIBANCamarines_Norte</t>
  </si>
  <si>
    <t>LABOCamarines_Norte</t>
  </si>
  <si>
    <t>MERCEDESCamarines_Norte</t>
  </si>
  <si>
    <t>PARACALECamarines_Norte</t>
  </si>
  <si>
    <t>SAN VICENTECamarines_Norte</t>
  </si>
  <si>
    <t>SANTA ELENACamarines_Norte</t>
  </si>
  <si>
    <t>TALISAYCamarines_Norte</t>
  </si>
  <si>
    <t>VINZONSCamarines_Norte</t>
  </si>
  <si>
    <t>CITY OF IRIGACamarines_Sur</t>
  </si>
  <si>
    <t>Camarines Sur, 5th District</t>
  </si>
  <si>
    <t>CITY OF NAGACamarines_Sur</t>
  </si>
  <si>
    <t>Camarines Sur, 3rd District</t>
  </si>
  <si>
    <t>BAAOCamarines_Sur</t>
  </si>
  <si>
    <t>BALATANCamarines_Sur</t>
  </si>
  <si>
    <t>BATOCamarines_Sur</t>
  </si>
  <si>
    <t>BOMBONCamarines_Sur</t>
  </si>
  <si>
    <t>BUHICamarines_Sur</t>
  </si>
  <si>
    <t>BULACamarines_Sur</t>
  </si>
  <si>
    <t>CABUSAOCamarines_Sur</t>
  </si>
  <si>
    <t>Camarines Sur, 1st District</t>
  </si>
  <si>
    <t>CALABANGACamarines_Sur</t>
  </si>
  <si>
    <t>CAMALIGANCamarines_Sur</t>
  </si>
  <si>
    <t>CANAMANCamarines_Sur</t>
  </si>
  <si>
    <t>CARAMOANCamarines_Sur</t>
  </si>
  <si>
    <t>Camarines Sur, 4th District</t>
  </si>
  <si>
    <t>DEL GALLEGOCamarines_Sur</t>
  </si>
  <si>
    <t>GAINZACamarines_Sur</t>
  </si>
  <si>
    <t>Camarines Sur, 2nd District</t>
  </si>
  <si>
    <t>GARCHITORENACamarines_Sur</t>
  </si>
  <si>
    <t>GOACamarines_Sur</t>
  </si>
  <si>
    <t>LAGONOYCamarines_Sur</t>
  </si>
  <si>
    <t>LIBMANANCamarines_Sur</t>
  </si>
  <si>
    <t>LUPICamarines_Sur</t>
  </si>
  <si>
    <t>MAGARAOCamarines_Sur</t>
  </si>
  <si>
    <t>MILAORCamarines_Sur</t>
  </si>
  <si>
    <t>MINALABACCamarines_Sur</t>
  </si>
  <si>
    <t>NABUACamarines_Sur</t>
  </si>
  <si>
    <t>OCAMPOCamarines_Sur</t>
  </si>
  <si>
    <t>PAMPLONACamarines_Sur</t>
  </si>
  <si>
    <t>PASACAOCamarines_Sur</t>
  </si>
  <si>
    <t>PILI (Capital)Camarines_Sur</t>
  </si>
  <si>
    <t>PRESENTACION (PARUBCAN)Camarines_Sur</t>
  </si>
  <si>
    <t>RAGAYCamarines_Sur</t>
  </si>
  <si>
    <t>SAGÑAYCamarines_Sur</t>
  </si>
  <si>
    <t>SAN FERNANDOCamarines_Sur</t>
  </si>
  <si>
    <t>SAN JOSECamarines_Sur</t>
  </si>
  <si>
    <t>SIPOCOTCamarines_Sur</t>
  </si>
  <si>
    <t>SIRUMACamarines_Sur</t>
  </si>
  <si>
    <t>TIGAONCamarines_Sur</t>
  </si>
  <si>
    <t>TINAMBACCamarines_Sur</t>
  </si>
  <si>
    <t>BAGAMANOCCatanduanes</t>
  </si>
  <si>
    <t>Catanduanes, Lone District</t>
  </si>
  <si>
    <t>BARASCatanduanes</t>
  </si>
  <si>
    <t>BATOCatanduanes</t>
  </si>
  <si>
    <t>CARAMORANCatanduanes</t>
  </si>
  <si>
    <t>GIGMOTOCatanduanes</t>
  </si>
  <si>
    <t>PANDANCatanduanes</t>
  </si>
  <si>
    <t>PANGANIBAN (PAYO)Catanduanes</t>
  </si>
  <si>
    <t>SAN ANDRES (CALOLBON)Catanduanes</t>
  </si>
  <si>
    <t>SAN MIGUELCatanduanes</t>
  </si>
  <si>
    <t>VIGACatanduanes</t>
  </si>
  <si>
    <t>VIRAC (Capital)Catanduanes</t>
  </si>
  <si>
    <t>CITY OF MASBATE (Capital)Masbate</t>
  </si>
  <si>
    <t>Masbate, 2nd District</t>
  </si>
  <si>
    <t>AROROYMasbate</t>
  </si>
  <si>
    <t>BALENOMasbate</t>
  </si>
  <si>
    <t>BALUDMasbate</t>
  </si>
  <si>
    <t>BATUANMasbate</t>
  </si>
  <si>
    <t>Masbate, 1st District</t>
  </si>
  <si>
    <t>CATAINGANMasbate</t>
  </si>
  <si>
    <t>Masbate, 3rd District</t>
  </si>
  <si>
    <t>CAWAYANMasbate</t>
  </si>
  <si>
    <t>CLAVERIAMasbate</t>
  </si>
  <si>
    <t>DIMASALANGMasbate</t>
  </si>
  <si>
    <t>ESPERANZAMasbate</t>
  </si>
  <si>
    <t>MANDAONMasbate</t>
  </si>
  <si>
    <t>MILAGROSMasbate</t>
  </si>
  <si>
    <t>MOBOMasbate</t>
  </si>
  <si>
    <t>MONREALMasbate</t>
  </si>
  <si>
    <t>PALANASMasbate</t>
  </si>
  <si>
    <t>PIO V. CORPUZ (LIMBUHAN)Masbate</t>
  </si>
  <si>
    <t>PLACERMasbate</t>
  </si>
  <si>
    <t>SAN FERNANDOMasbate</t>
  </si>
  <si>
    <t>SAN JACINTOMasbate</t>
  </si>
  <si>
    <t>SAN PASCUALMasbate</t>
  </si>
  <si>
    <t>USONMasbate</t>
  </si>
  <si>
    <t>CITY OF SORSOGON (Capital)Sorsogon</t>
  </si>
  <si>
    <t>Sorsogon, 1st District</t>
  </si>
  <si>
    <t>BARCELONASorsogon</t>
  </si>
  <si>
    <t>Sorsogon, 2nd District</t>
  </si>
  <si>
    <t>BULANSorsogon</t>
  </si>
  <si>
    <t>BULUSANSorsogon</t>
  </si>
  <si>
    <t>CASIGURANSorsogon</t>
  </si>
  <si>
    <t>CASTILLASorsogon</t>
  </si>
  <si>
    <t>DONSOLSorsogon</t>
  </si>
  <si>
    <t>GUBATSorsogon</t>
  </si>
  <si>
    <t>IROSINSorsogon</t>
  </si>
  <si>
    <t>JUBANSorsogon</t>
  </si>
  <si>
    <t>MAGALLANESSorsogon</t>
  </si>
  <si>
    <t>MATNOGSorsogon</t>
  </si>
  <si>
    <t>PILARSorsogon</t>
  </si>
  <si>
    <t>PRIETO DIAZSorsogon</t>
  </si>
  <si>
    <t>SANTA MAGDALENASorsogon</t>
  </si>
  <si>
    <t>VI (Western Visayas)</t>
  </si>
  <si>
    <t>ALTAVASAklan</t>
  </si>
  <si>
    <t>Aklan, 1st District</t>
  </si>
  <si>
    <t>BALETEAklan</t>
  </si>
  <si>
    <t>BANGAAklan</t>
  </si>
  <si>
    <t>BATANAklan</t>
  </si>
  <si>
    <t>BURUANGAAklan</t>
  </si>
  <si>
    <t>Aklan, 2nd District</t>
  </si>
  <si>
    <t>IBAJAYAklan</t>
  </si>
  <si>
    <t>KALIBO (Capital)Aklan</t>
  </si>
  <si>
    <t>LEZOAklan</t>
  </si>
  <si>
    <t>LIBACAOAklan</t>
  </si>
  <si>
    <t>MADALAGAklan</t>
  </si>
  <si>
    <t>MAKATOAklan</t>
  </si>
  <si>
    <t>MALAYAklan</t>
  </si>
  <si>
    <t>MALINAOAklan</t>
  </si>
  <si>
    <t>NABASAklan</t>
  </si>
  <si>
    <t>NEW WASHINGTONAklan</t>
  </si>
  <si>
    <t>NUMANCIAAklan</t>
  </si>
  <si>
    <t>TANGALANAklan</t>
  </si>
  <si>
    <t>ANINI-YAntique</t>
  </si>
  <si>
    <t>Antique, Lone District</t>
  </si>
  <si>
    <t>BARBAZAAntique</t>
  </si>
  <si>
    <t>BELISONAntique</t>
  </si>
  <si>
    <t>BUGASONGAntique</t>
  </si>
  <si>
    <t>CALUYAAntique</t>
  </si>
  <si>
    <t>CULASIAntique</t>
  </si>
  <si>
    <t>TOBIAS FORNIER (DAO)Antique</t>
  </si>
  <si>
    <t>HAMTICAntique</t>
  </si>
  <si>
    <t>LAUA-ANAntique</t>
  </si>
  <si>
    <t>LIBERTADAntique</t>
  </si>
  <si>
    <t>PANDANAntique</t>
  </si>
  <si>
    <t>PATNONGONAntique</t>
  </si>
  <si>
    <t>SAN JOSE (Capital)Antique</t>
  </si>
  <si>
    <t>SAN REMIGIOAntique</t>
  </si>
  <si>
    <t>SEBASTEAntique</t>
  </si>
  <si>
    <t>SIBALOMAntique</t>
  </si>
  <si>
    <t>TIBIAOAntique</t>
  </si>
  <si>
    <t>VALDERRAMAAntique</t>
  </si>
  <si>
    <t>CITY OF BACOLOD (Capital)Negros_Occidental</t>
  </si>
  <si>
    <t>Bacolod City, Lone District</t>
  </si>
  <si>
    <t>CITY OF ROXAS (Capital)Capiz</t>
  </si>
  <si>
    <t>Capiz, 1st District</t>
  </si>
  <si>
    <t>CUARTEROCapiz</t>
  </si>
  <si>
    <t>Capiz, 2nd District</t>
  </si>
  <si>
    <t>DAOCapiz</t>
  </si>
  <si>
    <t>DUMALAGCapiz</t>
  </si>
  <si>
    <t>DUMARAOCapiz</t>
  </si>
  <si>
    <t>IVISANCapiz</t>
  </si>
  <si>
    <t>JAMINDANCapiz</t>
  </si>
  <si>
    <t>MA-AYONCapiz</t>
  </si>
  <si>
    <t>MAMBUSAOCapiz</t>
  </si>
  <si>
    <t>PANAYCapiz</t>
  </si>
  <si>
    <t>PANITANCapiz</t>
  </si>
  <si>
    <t>PILARCapiz</t>
  </si>
  <si>
    <t>PONTEVEDRACapiz</t>
  </si>
  <si>
    <t>PRESIDENT ROXASCapiz</t>
  </si>
  <si>
    <t>SAPI-ANCapiz</t>
  </si>
  <si>
    <t>SIGMACapiz</t>
  </si>
  <si>
    <t>TAPAZCapiz</t>
  </si>
  <si>
    <t>BUENAVISTAGuimaras</t>
  </si>
  <si>
    <t>Guimaras, Lone District</t>
  </si>
  <si>
    <t>JORDAN (Capital)Guimaras</t>
  </si>
  <si>
    <t>NUEVA VALENCIAGuimaras</t>
  </si>
  <si>
    <t>SAN LORENZOGuimaras</t>
  </si>
  <si>
    <t>SIBUNAGGuimaras</t>
  </si>
  <si>
    <t>CITY OF ILOILO (Capital)Iloilo</t>
  </si>
  <si>
    <t>Iloilo City, Lone District</t>
  </si>
  <si>
    <t>CITY OF PASSIIloilo</t>
  </si>
  <si>
    <t>Iloilo, 4th District</t>
  </si>
  <si>
    <t>AJUYIloilo</t>
  </si>
  <si>
    <t>Iloilo, 5th District</t>
  </si>
  <si>
    <t>ALIMODIANIloilo</t>
  </si>
  <si>
    <t>Iloilo, 2nd District</t>
  </si>
  <si>
    <t>ANILAOIloilo</t>
  </si>
  <si>
    <t>BADIANGANIloilo</t>
  </si>
  <si>
    <t>Iloilo, 3rd District</t>
  </si>
  <si>
    <t>BALASANIloilo</t>
  </si>
  <si>
    <t>BANATEIloilo</t>
  </si>
  <si>
    <t>BAROTAC NUEVOIloilo</t>
  </si>
  <si>
    <t>BAROTAC VIEJOIloilo</t>
  </si>
  <si>
    <t>BATADIloilo</t>
  </si>
  <si>
    <t>BINGAWANIloilo</t>
  </si>
  <si>
    <t>CABATUANIloilo</t>
  </si>
  <si>
    <t>CALINOGIloilo</t>
  </si>
  <si>
    <t>CARLESIloilo</t>
  </si>
  <si>
    <t>CONCEPCIONIloilo</t>
  </si>
  <si>
    <t>DINGLEIloilo</t>
  </si>
  <si>
    <t>DUEÑASIloilo</t>
  </si>
  <si>
    <t>DUMANGASIloilo</t>
  </si>
  <si>
    <t>ESTANCIAIloilo</t>
  </si>
  <si>
    <t>GUIMBALIloilo</t>
  </si>
  <si>
    <t>Iloilo, 1st District</t>
  </si>
  <si>
    <t>IGBARASIloilo</t>
  </si>
  <si>
    <t>JANIUAYIloilo</t>
  </si>
  <si>
    <t>LAMBUNAOIloilo</t>
  </si>
  <si>
    <t>LEGANESIloilo</t>
  </si>
  <si>
    <t>LEMERYIloilo</t>
  </si>
  <si>
    <t>LEONIloilo</t>
  </si>
  <si>
    <t>MAASINIloilo</t>
  </si>
  <si>
    <t>MIAGAOIloilo</t>
  </si>
  <si>
    <t>MINAIloilo</t>
  </si>
  <si>
    <t>NEW LUCENAIloilo</t>
  </si>
  <si>
    <t>OTONIloilo</t>
  </si>
  <si>
    <t>PAVIAIloilo</t>
  </si>
  <si>
    <t>POTOTANIloilo</t>
  </si>
  <si>
    <t>SAN DIONISIOIloilo</t>
  </si>
  <si>
    <t>SAN ENRIQUEIloilo</t>
  </si>
  <si>
    <t>SAN JOAQUINIloilo</t>
  </si>
  <si>
    <t>SAN MIGUELIloilo</t>
  </si>
  <si>
    <t>SAN RAFAELIloilo</t>
  </si>
  <si>
    <t>SANTA BARBARAIloilo</t>
  </si>
  <si>
    <t>SARAIloilo</t>
  </si>
  <si>
    <t>TIGBAUANIloilo</t>
  </si>
  <si>
    <t>TUBUNGANIloilo</t>
  </si>
  <si>
    <t>ZARRAGAIloilo</t>
  </si>
  <si>
    <t>CITY OF BAGONegros_Occidental</t>
  </si>
  <si>
    <t>Negros Occidental, 4th District</t>
  </si>
  <si>
    <t>CITY OF CADIZNegros_Occidental</t>
  </si>
  <si>
    <t>Negros Occidental, 2nd District</t>
  </si>
  <si>
    <t>CITY OF ESCALANTENegros_Occidental</t>
  </si>
  <si>
    <t>Negros Occidental, 1st District</t>
  </si>
  <si>
    <t>CITY OF HIMAMAYLANNegros_Occidental</t>
  </si>
  <si>
    <t>Negros Occidental, 5th District</t>
  </si>
  <si>
    <t>CITY OF KABANKALANNegros_Occidental</t>
  </si>
  <si>
    <t>Negros Occidental, 6th District</t>
  </si>
  <si>
    <t>CITY OF LA CARLOTANegros_Occidental</t>
  </si>
  <si>
    <t>CITY OF SAGAYNegros_Occidental</t>
  </si>
  <si>
    <t>CITY OF SAN CARLOSNegros_Occidental</t>
  </si>
  <si>
    <t>CITY OF SILAYNegros_Occidental</t>
  </si>
  <si>
    <t>Negros Occidental, 3rd District</t>
  </si>
  <si>
    <t>CITY OF SIPALAYNegros_Occidental</t>
  </si>
  <si>
    <t>CITY OF TALISAYNegros_Occidental</t>
  </si>
  <si>
    <t>CITY OF VICTORIASNegros_Occidental</t>
  </si>
  <si>
    <t>BINALBAGANNegros_Occidental</t>
  </si>
  <si>
    <t>CALATRAVANegros_Occidental</t>
  </si>
  <si>
    <t>CANDONINegros_Occidental</t>
  </si>
  <si>
    <t>CAUAYANNegros_Occidental</t>
  </si>
  <si>
    <t>ENRIQUE B. MAGALONA (SARAVIA)Negros_Occidental</t>
  </si>
  <si>
    <t>HINIGARANNegros_Occidental</t>
  </si>
  <si>
    <t>HINOBA-AN (ASIA)Negros_Occidental</t>
  </si>
  <si>
    <t>ILOGNegros_Occidental</t>
  </si>
  <si>
    <t>ISABELANegros_Occidental</t>
  </si>
  <si>
    <t>LA CASTELLANANegros_Occidental</t>
  </si>
  <si>
    <t>MANAPLANegros_Occidental</t>
  </si>
  <si>
    <t>MOISES PADILLA (MAGALLON)Negros_Occidental</t>
  </si>
  <si>
    <t>MURCIANegros_Occidental</t>
  </si>
  <si>
    <t>PONTEVEDRANegros_Occidental</t>
  </si>
  <si>
    <t>PULUPANDANNegros_Occidental</t>
  </si>
  <si>
    <t>SAN ENRIQUENegros_Occidental</t>
  </si>
  <si>
    <t>TOBOSONegros_Occidental</t>
  </si>
  <si>
    <t>VALLADOLIDNegros_Occidental</t>
  </si>
  <si>
    <t>SALVADOR BENEDICTONegros_Occidental</t>
  </si>
  <si>
    <t>VII (Central Visayas)</t>
  </si>
  <si>
    <t>CITY OF TAGBILARAN (Capital)Bohol</t>
  </si>
  <si>
    <t>Bohol, 1st District</t>
  </si>
  <si>
    <t>ALBURQUERQUEBohol</t>
  </si>
  <si>
    <t>ALICIABohol</t>
  </si>
  <si>
    <t>Bohol, 3rd District</t>
  </si>
  <si>
    <t>ANDABohol</t>
  </si>
  <si>
    <t>ANTEQUERABohol</t>
  </si>
  <si>
    <t>BACLAYONBohol</t>
  </si>
  <si>
    <t>BALILIHANBohol</t>
  </si>
  <si>
    <t>BATUANBohol</t>
  </si>
  <si>
    <t>BILARBohol</t>
  </si>
  <si>
    <t>BUENAVISTABohol</t>
  </si>
  <si>
    <t>Bohol, 2nd District</t>
  </si>
  <si>
    <t>CALAPEBohol</t>
  </si>
  <si>
    <t>CANDIJAYBohol</t>
  </si>
  <si>
    <t>CARMENBohol</t>
  </si>
  <si>
    <t>CATIGBIANBohol</t>
  </si>
  <si>
    <t>CLARINBohol</t>
  </si>
  <si>
    <t>CORELLABohol</t>
  </si>
  <si>
    <t>CORTESBohol</t>
  </si>
  <si>
    <t>DAGOHOYBohol</t>
  </si>
  <si>
    <t>DANAOBohol</t>
  </si>
  <si>
    <t>DAUISBohol</t>
  </si>
  <si>
    <t>DIMIAOBohol</t>
  </si>
  <si>
    <t>DUEROBohol</t>
  </si>
  <si>
    <t>GARCIA HERNANDEZBohol</t>
  </si>
  <si>
    <t>GUINDULMANBohol</t>
  </si>
  <si>
    <t>INABANGABohol</t>
  </si>
  <si>
    <t>JAGNABohol</t>
  </si>
  <si>
    <t>GETAFEBohol</t>
  </si>
  <si>
    <t>LILABohol</t>
  </si>
  <si>
    <t>LOAYBohol</t>
  </si>
  <si>
    <t>LOBOCBohol</t>
  </si>
  <si>
    <t>LOONBohol</t>
  </si>
  <si>
    <t>MABINIBohol</t>
  </si>
  <si>
    <t>MARIBOJOCBohol</t>
  </si>
  <si>
    <t>PANGLAOBohol</t>
  </si>
  <si>
    <t>PILARBohol</t>
  </si>
  <si>
    <t>PRES. CARLOS P. GARCIA (PITOGO)Bohol</t>
  </si>
  <si>
    <t>SAGBAYAN (BORJA)Bohol</t>
  </si>
  <si>
    <t>SAN ISIDROBohol</t>
  </si>
  <si>
    <t>SAN MIGUELBohol</t>
  </si>
  <si>
    <t>SEVILLABohol</t>
  </si>
  <si>
    <t>SIERRA BULLONESBohol</t>
  </si>
  <si>
    <t>SIKATUNABohol</t>
  </si>
  <si>
    <t>TALIBONBohol</t>
  </si>
  <si>
    <t>TRINIDADBohol</t>
  </si>
  <si>
    <t>TUBIGONBohol</t>
  </si>
  <si>
    <t>UBAYBohol</t>
  </si>
  <si>
    <t>VALENCIABohol</t>
  </si>
  <si>
    <t>BIEN UNIDOBohol</t>
  </si>
  <si>
    <t>CITY OF LAPU-LAPU (OPON)Cebu</t>
  </si>
  <si>
    <t>Lapu-Lapu City, Lone District</t>
  </si>
  <si>
    <t>CITY OF CEBU (Capital)Cebu</t>
  </si>
  <si>
    <t>Cebu City, 1st, 2nd District</t>
  </si>
  <si>
    <t>CITY OF BOGOCebu</t>
  </si>
  <si>
    <t>Cebu, 4th District</t>
  </si>
  <si>
    <t>CITY OF CARCARCebu</t>
  </si>
  <si>
    <t>Cebu, 1st District</t>
  </si>
  <si>
    <t>DANAO CITYCebu</t>
  </si>
  <si>
    <t>Cebu, 5th District</t>
  </si>
  <si>
    <t>CITY OF MANDAUECebu</t>
  </si>
  <si>
    <t>Cebu, 6th District</t>
  </si>
  <si>
    <t>CITY OF NAGACebu</t>
  </si>
  <si>
    <t>CITY OF TALISAYCebu</t>
  </si>
  <si>
    <t>CITY OF TOLEDOCebu</t>
  </si>
  <si>
    <t>Cebu, 3rd District</t>
  </si>
  <si>
    <t>ALCANTARACebu</t>
  </si>
  <si>
    <t>Cebu, 7th District</t>
  </si>
  <si>
    <t>ALCOYCebu</t>
  </si>
  <si>
    <t>Cebu, 2nd District</t>
  </si>
  <si>
    <t>ALEGRIACebu</t>
  </si>
  <si>
    <t>ALOGUINSANCebu</t>
  </si>
  <si>
    <t>ARGAOCebu</t>
  </si>
  <si>
    <t>ASTURIASCebu</t>
  </si>
  <si>
    <t>BADIANCebu</t>
  </si>
  <si>
    <t>BALAMBANCebu</t>
  </si>
  <si>
    <t>BANTAYANCebu</t>
  </si>
  <si>
    <t>BARILICebu</t>
  </si>
  <si>
    <t>BOLJOONCebu</t>
  </si>
  <si>
    <t>BORBONCebu</t>
  </si>
  <si>
    <t>CARMENCebu</t>
  </si>
  <si>
    <t>CATMONCebu</t>
  </si>
  <si>
    <t>COMPOSTELACebu</t>
  </si>
  <si>
    <t>CONSOLACIONCebu</t>
  </si>
  <si>
    <t>CORDOVACebu</t>
  </si>
  <si>
    <t>DAANBANTAYANCebu</t>
  </si>
  <si>
    <t>DALAGUETECebu</t>
  </si>
  <si>
    <t>DUMANJUGCebu</t>
  </si>
  <si>
    <t>GINATILANCebu</t>
  </si>
  <si>
    <t>LILOANCebu</t>
  </si>
  <si>
    <t>MADRIDEJOSCebu</t>
  </si>
  <si>
    <t>MALABUYOCCebu</t>
  </si>
  <si>
    <t>MEDELLINCebu</t>
  </si>
  <si>
    <t>MINGLANILLACebu</t>
  </si>
  <si>
    <t>MOALBOALCebu</t>
  </si>
  <si>
    <t>OSLOBCebu</t>
  </si>
  <si>
    <t>PILARCebu</t>
  </si>
  <si>
    <t>PINAMUNGAJANCebu</t>
  </si>
  <si>
    <t>POROCebu</t>
  </si>
  <si>
    <t>RONDACebu</t>
  </si>
  <si>
    <t>SAMBOANCebu</t>
  </si>
  <si>
    <t>SAN FERNANDOCebu</t>
  </si>
  <si>
    <t>SAN FRANCISCOCebu</t>
  </si>
  <si>
    <t>SAN REMIGIOCebu</t>
  </si>
  <si>
    <t>SANTA FECebu</t>
  </si>
  <si>
    <t>SANTANDERCebu</t>
  </si>
  <si>
    <t>SIBONGACebu</t>
  </si>
  <si>
    <t>SOGODCebu</t>
  </si>
  <si>
    <t>TABOGONCebu</t>
  </si>
  <si>
    <t>TABUELANCebu</t>
  </si>
  <si>
    <t>TUBURANCebu</t>
  </si>
  <si>
    <t>TUDELACebu</t>
  </si>
  <si>
    <t>CITY OF BAISNegros_Oriental</t>
  </si>
  <si>
    <t>Negros Oriental, 2nd District</t>
  </si>
  <si>
    <t>CITY OF BAYAWAN (TULONG)Negros_Oriental</t>
  </si>
  <si>
    <t>Negros Oriental, 3rd District</t>
  </si>
  <si>
    <t>CITY OF CANLAONNegros_Oriental</t>
  </si>
  <si>
    <t>Negros Oriental, 1st District</t>
  </si>
  <si>
    <t>CITY OF DUMAGUETE (Capital)Negros_Oriental</t>
  </si>
  <si>
    <t>CITY OF GUIHULNGANNegros_Oriental</t>
  </si>
  <si>
    <t>CITY OF TANJAYNegros_Oriental</t>
  </si>
  <si>
    <t>AMLAN (AYUQUITAN)Negros_Oriental</t>
  </si>
  <si>
    <t>AYUNGONNegros_Oriental</t>
  </si>
  <si>
    <t>BACONGNegros_Oriental</t>
  </si>
  <si>
    <t>BASAYNegros_Oriental</t>
  </si>
  <si>
    <t>BINDOY (PAYABON)Negros_Oriental</t>
  </si>
  <si>
    <t>DAUINNegros_Oriental</t>
  </si>
  <si>
    <t>JIMALALUDNegros_Oriental</t>
  </si>
  <si>
    <t>LA LIBERTADNegros_Oriental</t>
  </si>
  <si>
    <t>MABINAYNegros_Oriental</t>
  </si>
  <si>
    <t>MANJUYODNegros_Oriental</t>
  </si>
  <si>
    <t>PAMPLONANegros_Oriental</t>
  </si>
  <si>
    <t>SAN JOSENegros_Oriental</t>
  </si>
  <si>
    <t>SANTA CATALINANegros_Oriental</t>
  </si>
  <si>
    <t>SIATONNegros_Oriental</t>
  </si>
  <si>
    <t>SIBULANNegros_Oriental</t>
  </si>
  <si>
    <t>TAYASANNegros_Oriental</t>
  </si>
  <si>
    <t>VALENCIA (LUZURRIAGA)Negros_Oriental</t>
  </si>
  <si>
    <t>VALLEHERMOSONegros_Oriental</t>
  </si>
  <si>
    <t>ZAMBOANGUITANegros_Oriental</t>
  </si>
  <si>
    <t>ENRIQUE VILLANUEVASiquijor</t>
  </si>
  <si>
    <t>Siquijor, Lone District</t>
  </si>
  <si>
    <t>LARENASiquijor</t>
  </si>
  <si>
    <t>LAZISiquijor</t>
  </si>
  <si>
    <t>MARIASiquijor</t>
  </si>
  <si>
    <t>SAN JUANSiquijor</t>
  </si>
  <si>
    <t>SIQUIJOR (Capital)Siquijor</t>
  </si>
  <si>
    <t>VIII (Eastern Visayas)</t>
  </si>
  <si>
    <t>ALMERIABiliran</t>
  </si>
  <si>
    <t>Biliran, Lone District</t>
  </si>
  <si>
    <t>BILIRANBiliran</t>
  </si>
  <si>
    <t>CABUCGAYANBiliran</t>
  </si>
  <si>
    <t>CAIBIRANBiliran</t>
  </si>
  <si>
    <t>CULABABiliran</t>
  </si>
  <si>
    <t>KAWAYANBiliran</t>
  </si>
  <si>
    <t>MARIPIPIBiliran</t>
  </si>
  <si>
    <t>NAVAL (Capital)Biliran</t>
  </si>
  <si>
    <t>CITY OF BORONGAN (Capital)Eastern_Samar</t>
  </si>
  <si>
    <t>Eastern Samar, Lone District</t>
  </si>
  <si>
    <t>ARTECHEEastern_Samar</t>
  </si>
  <si>
    <t>BALANGIGAEastern_Samar</t>
  </si>
  <si>
    <t>BALANGKAYANEastern_Samar</t>
  </si>
  <si>
    <t>CAN-AVIDEastern_Samar</t>
  </si>
  <si>
    <t>DOLORESEastern_Samar</t>
  </si>
  <si>
    <t>GENERAL MACARTHUREastern_Samar</t>
  </si>
  <si>
    <t>GIPORLOSEastern_Samar</t>
  </si>
  <si>
    <t>GUIUANEastern_Samar</t>
  </si>
  <si>
    <t>HERNANIEastern_Samar</t>
  </si>
  <si>
    <t>JIPAPADEastern_Samar</t>
  </si>
  <si>
    <t>LAWAANEastern_Samar</t>
  </si>
  <si>
    <t>LLORENTEEastern_Samar</t>
  </si>
  <si>
    <t>MASLOGEastern_Samar</t>
  </si>
  <si>
    <t>MAYDOLONGEastern_Samar</t>
  </si>
  <si>
    <t>MERCEDESEastern_Samar</t>
  </si>
  <si>
    <t>ORASEastern_Samar</t>
  </si>
  <si>
    <t>QUINAPONDANEastern_Samar</t>
  </si>
  <si>
    <t>SALCEDOEastern_Samar</t>
  </si>
  <si>
    <t>SAN JULIANEastern_Samar</t>
  </si>
  <si>
    <t>SAN POLICARPOEastern_Samar</t>
  </si>
  <si>
    <t>SULATEastern_Samar</t>
  </si>
  <si>
    <t>TAFTEastern_Samar</t>
  </si>
  <si>
    <t>CITY OF BAYBAYLeyte</t>
  </si>
  <si>
    <t>Leyte, 5th District</t>
  </si>
  <si>
    <t>ORMOC CITYLeyte</t>
  </si>
  <si>
    <t>Leyte, 4th District</t>
  </si>
  <si>
    <t>CITY OF TACLOBAN (Capital)Leyte</t>
  </si>
  <si>
    <t>Leyte, 1st District</t>
  </si>
  <si>
    <t>ABUYOGLeyte</t>
  </si>
  <si>
    <t>ALANGALANGLeyte</t>
  </si>
  <si>
    <t>ALBUERALeyte</t>
  </si>
  <si>
    <t>BABATNGONLeyte</t>
  </si>
  <si>
    <t>BARUGOLeyte</t>
  </si>
  <si>
    <t>Leyte, 2nd District</t>
  </si>
  <si>
    <t>BATOLeyte</t>
  </si>
  <si>
    <t>BURAUENLeyte</t>
  </si>
  <si>
    <t>CALUBIANLeyte</t>
  </si>
  <si>
    <t>Leyte, 3rd District</t>
  </si>
  <si>
    <t>CAPOOCANLeyte</t>
  </si>
  <si>
    <t>CARIGARALeyte</t>
  </si>
  <si>
    <t>DAGAMILeyte</t>
  </si>
  <si>
    <t>DULAGLeyte</t>
  </si>
  <si>
    <t>HILONGOSLeyte</t>
  </si>
  <si>
    <t>HINDANGLeyte</t>
  </si>
  <si>
    <t>INOPACANLeyte</t>
  </si>
  <si>
    <t>ISABELLeyte</t>
  </si>
  <si>
    <t>JAROLeyte</t>
  </si>
  <si>
    <t>JAVIER (BUGHO)Leyte</t>
  </si>
  <si>
    <t>JULITALeyte</t>
  </si>
  <si>
    <t>KANANGALeyte</t>
  </si>
  <si>
    <t>LA PAZLeyte</t>
  </si>
  <si>
    <t>LEYTELeyte</t>
  </si>
  <si>
    <t>MACARTHURLeyte</t>
  </si>
  <si>
    <t>MAHAPLAGLeyte</t>
  </si>
  <si>
    <t>MATAG-OBLeyte</t>
  </si>
  <si>
    <t>MATALOMLeyte</t>
  </si>
  <si>
    <t>MAYORGALeyte</t>
  </si>
  <si>
    <t>MERIDALeyte</t>
  </si>
  <si>
    <t>PALOLeyte</t>
  </si>
  <si>
    <t>PALOMPONLeyte</t>
  </si>
  <si>
    <t>PASTRANALeyte</t>
  </si>
  <si>
    <t>SAN ISIDROLeyte</t>
  </si>
  <si>
    <t>SAN MIGUELLeyte</t>
  </si>
  <si>
    <t>SANTA FELeyte</t>
  </si>
  <si>
    <t>TABANGOLeyte</t>
  </si>
  <si>
    <t>TABONTABONLeyte</t>
  </si>
  <si>
    <t>TANAUANLeyte</t>
  </si>
  <si>
    <t>TOLOSALeyte</t>
  </si>
  <si>
    <t>TUNGALeyte</t>
  </si>
  <si>
    <t>VILLABALeyte</t>
  </si>
  <si>
    <t>ALLENNorthern_Samar</t>
  </si>
  <si>
    <t>Northern Samar, 1st District</t>
  </si>
  <si>
    <t>BIRINorthern_Samar</t>
  </si>
  <si>
    <t>BOBONNorthern_Samar</t>
  </si>
  <si>
    <t>CAPULNorthern_Samar</t>
  </si>
  <si>
    <t>CATARMAN (Capital)Northern_Samar</t>
  </si>
  <si>
    <t>CATUBIGNorthern_Samar</t>
  </si>
  <si>
    <t>Northern Samar, 2nd District</t>
  </si>
  <si>
    <t>GAMAYNorthern_Samar</t>
  </si>
  <si>
    <t>LAOANGNorthern_Samar</t>
  </si>
  <si>
    <t>LAPINIGNorthern_Samar</t>
  </si>
  <si>
    <t>LAS NAVASNorthern_Samar</t>
  </si>
  <si>
    <t>LAVEZARESNorthern_Samar</t>
  </si>
  <si>
    <t>MAPANASNorthern_Samar</t>
  </si>
  <si>
    <t>MONDRAGONNorthern_Samar</t>
  </si>
  <si>
    <t>PALAPAGNorthern_Samar</t>
  </si>
  <si>
    <t>PAMBUJANNorthern_Samar</t>
  </si>
  <si>
    <t>ROSARIONorthern_Samar</t>
  </si>
  <si>
    <t>SAN ANTONIONorthern_Samar</t>
  </si>
  <si>
    <t>SAN ISIDRONorthern_Samar</t>
  </si>
  <si>
    <t>SAN JOSENorthern_Samar</t>
  </si>
  <si>
    <t>SAN ROQUENorthern_Samar</t>
  </si>
  <si>
    <t>SAN VICENTENorthern_Samar</t>
  </si>
  <si>
    <t>SILVINO LOBOSNorthern_Samar</t>
  </si>
  <si>
    <t>VICTORIANorthern_Samar</t>
  </si>
  <si>
    <t>LOPE DE VEGANorthern_Samar</t>
  </si>
  <si>
    <t>CITY OF CALBAYOGSamar</t>
  </si>
  <si>
    <t>Samar, 1st District</t>
  </si>
  <si>
    <t>CITY OF CATBALOGAN (Capital)Samar</t>
  </si>
  <si>
    <t>Samar, 2nd District</t>
  </si>
  <si>
    <t>ALMAGROSamar</t>
  </si>
  <si>
    <t>BASEYSamar</t>
  </si>
  <si>
    <t>CALBIGASamar</t>
  </si>
  <si>
    <t>DARAMSamar</t>
  </si>
  <si>
    <t>GANDARASamar</t>
  </si>
  <si>
    <t>HINABANGANSamar</t>
  </si>
  <si>
    <t>JIABONGSamar</t>
  </si>
  <si>
    <t>MARABUTSamar</t>
  </si>
  <si>
    <t>MATUGUINAOSamar</t>
  </si>
  <si>
    <t>MOTIONGSamar</t>
  </si>
  <si>
    <t>PINABACDAOSamar</t>
  </si>
  <si>
    <t>SAN JOSE DE BUANSamar</t>
  </si>
  <si>
    <t>SAN SEBASTIANSamar</t>
  </si>
  <si>
    <t>SANTA MARGARITASamar</t>
  </si>
  <si>
    <t>SANTA RITASamar</t>
  </si>
  <si>
    <t>SANTO NIÑOSamar</t>
  </si>
  <si>
    <t>TALALORASamar</t>
  </si>
  <si>
    <t>TARANGNANSamar</t>
  </si>
  <si>
    <t>VILLAREALSamar</t>
  </si>
  <si>
    <t>PARANAS (WRIGHT)Samar</t>
  </si>
  <si>
    <t>ZUMARRAGASamar</t>
  </si>
  <si>
    <t>TAGAPUL-ANSamar</t>
  </si>
  <si>
    <t>SAN JORGESamar</t>
  </si>
  <si>
    <t>PAGSANGHANSamar</t>
  </si>
  <si>
    <t>CITY OF MAASIN (Capital)Southern_Leyte</t>
  </si>
  <si>
    <t>Southern Leyte, 1st District</t>
  </si>
  <si>
    <t>ANAHAWANSouthern_Leyte</t>
  </si>
  <si>
    <t>Southern Leyte, 2nd District</t>
  </si>
  <si>
    <t>BONTOCSouthern_Leyte</t>
  </si>
  <si>
    <t>HINUNANGANSouthern_Leyte</t>
  </si>
  <si>
    <t>HINUNDAYANSouthern_Leyte</t>
  </si>
  <si>
    <t>LIBAGONSouthern_Leyte</t>
  </si>
  <si>
    <t>LILOANSouthern_Leyte</t>
  </si>
  <si>
    <t>MACROHONSouthern_Leyte</t>
  </si>
  <si>
    <t>MALITBOGSouthern_Leyte</t>
  </si>
  <si>
    <t>PADRE BURGOSSouthern_Leyte</t>
  </si>
  <si>
    <t>PINTUYANSouthern_Leyte</t>
  </si>
  <si>
    <t>SAINT BERNARDSouthern_Leyte</t>
  </si>
  <si>
    <t>SAN FRANCISCOSouthern_Leyte</t>
  </si>
  <si>
    <t>SAN JUAN (CABALIAN)Southern_Leyte</t>
  </si>
  <si>
    <t>SAN RICARDOSouthern_Leyte</t>
  </si>
  <si>
    <t>SILAGOSouthern_Leyte</t>
  </si>
  <si>
    <t>SOGODSouthern_Leyte</t>
  </si>
  <si>
    <t>TOMAS OPPUSSouthern_Leyte</t>
  </si>
  <si>
    <t>LIMASAWASouthern_Leyte</t>
  </si>
  <si>
    <t>IX (Zamboanga Peninsula)</t>
  </si>
  <si>
    <t>CITY OF ZAMBOANGAZamboanga_City</t>
  </si>
  <si>
    <t>Zamboanga City, 1st, 2nd District</t>
  </si>
  <si>
    <t>CITY OF DAPITANZamboanga_del_Norte</t>
  </si>
  <si>
    <t>Zamboanga del Norte, 1st District</t>
  </si>
  <si>
    <t>CITY OF DIPOLOG (Capital)Zamboanga_del_Norte</t>
  </si>
  <si>
    <t>Zamboanga del Norte, 2nd District</t>
  </si>
  <si>
    <t>KATIPUNANZamboanga_del_Norte</t>
  </si>
  <si>
    <t>LA LIBERTADZamboanga_del_Norte</t>
  </si>
  <si>
    <t>LABASONZamboanga_del_Norte</t>
  </si>
  <si>
    <t>Zamboanga del Norte, 3rd District</t>
  </si>
  <si>
    <t>LILOYZamboanga_del_Norte</t>
  </si>
  <si>
    <t>MANUKANZamboanga_del_Norte</t>
  </si>
  <si>
    <t>MUTIAZamboanga_del_Norte</t>
  </si>
  <si>
    <t>PIÑAN (NEW PIÑAN)Zamboanga_del_Norte</t>
  </si>
  <si>
    <t>POLANCOZamboanga_del_Norte</t>
  </si>
  <si>
    <t>PRES. MANUEL A. ROXASZamboanga_del_Norte</t>
  </si>
  <si>
    <t>RIZALZamboanga_del_Norte</t>
  </si>
  <si>
    <t>SALUGZamboanga_del_Norte</t>
  </si>
  <si>
    <t>SERGIO OSMEÑA SR.Zamboanga_del_Norte</t>
  </si>
  <si>
    <t>SIAYANZamboanga_del_Norte</t>
  </si>
  <si>
    <t>SIBUCOZamboanga_del_Norte</t>
  </si>
  <si>
    <t>SIBUTADZamboanga_del_Norte</t>
  </si>
  <si>
    <t>SINDANGANZamboanga_del_Norte</t>
  </si>
  <si>
    <t>SIOCONZamboanga_del_Norte</t>
  </si>
  <si>
    <t>SIRAWAIZamboanga_del_Norte</t>
  </si>
  <si>
    <t>TAMPILISANZamboanga_del_Norte</t>
  </si>
  <si>
    <t>JOSE DALMAN (PONOT)Zamboanga_del_Norte</t>
  </si>
  <si>
    <t>GUTALACZamboanga_del_Norte</t>
  </si>
  <si>
    <t>BALIGUIANZamboanga_del_Norte</t>
  </si>
  <si>
    <t>GODODZamboanga_del_Norte</t>
  </si>
  <si>
    <t>BACUNGAN (Leon T. Postigo)Zamboanga_del_Norte</t>
  </si>
  <si>
    <t>KALAWITZamboanga_del_Norte</t>
  </si>
  <si>
    <t>CITY OF PAGADIAN (Capital)Zamboanga_del_Sur</t>
  </si>
  <si>
    <t>Zamboanga del Sur, 1st District</t>
  </si>
  <si>
    <t>AURORAZamboanga_del_Sur</t>
  </si>
  <si>
    <t>BAYOGZamboanga_del_Sur</t>
  </si>
  <si>
    <t>Zamboanga del Sur, 2nd District</t>
  </si>
  <si>
    <t>DIMATALINGZamboanga_del_Sur</t>
  </si>
  <si>
    <t>DINASZamboanga_del_Sur</t>
  </si>
  <si>
    <t>DUMALINAOZamboanga_del_Sur</t>
  </si>
  <si>
    <t>DUMINGAGZamboanga_del_Sur</t>
  </si>
  <si>
    <t>KUMALARANGZamboanga_del_Sur</t>
  </si>
  <si>
    <t>LABANGANZamboanga_del_Sur</t>
  </si>
  <si>
    <t>LAPUYANZamboanga_del_Sur</t>
  </si>
  <si>
    <t>MAHAYAGZamboanga_del_Sur</t>
  </si>
  <si>
    <t>MARGOSATUBIGZamboanga_del_Sur</t>
  </si>
  <si>
    <t>MIDSALIPZamboanga_del_Sur</t>
  </si>
  <si>
    <t>MOLAVEZamboanga_del_Sur</t>
  </si>
  <si>
    <t>RAMON MAGSAYSAY (LIARGO)Zamboanga_del_Sur</t>
  </si>
  <si>
    <t>SAN MIGUELZamboanga_del_Sur</t>
  </si>
  <si>
    <t>SAN PABLOZamboanga_del_Sur</t>
  </si>
  <si>
    <t>TABINAZamboanga_del_Sur</t>
  </si>
  <si>
    <t>TAMBULIGZamboanga_del_Sur</t>
  </si>
  <si>
    <t>TUKURANZamboanga_del_Sur</t>
  </si>
  <si>
    <t>LAKEWOODZamboanga_del_Sur</t>
  </si>
  <si>
    <t>JOSEFINAZamboanga_del_Sur</t>
  </si>
  <si>
    <t>PITOGOZamboanga_del_Sur</t>
  </si>
  <si>
    <t>SOMINOT (DON MARIANO MARCOS)Zamboanga_del_Sur</t>
  </si>
  <si>
    <t>VINCENZO A. SAGUNZamboanga_del_Sur</t>
  </si>
  <si>
    <t>GUIPOSZamboanga_del_Sur</t>
  </si>
  <si>
    <t>TIGBAOZamboanga_del_Sur</t>
  </si>
  <si>
    <t>ALICIAZamboanga_Sibugay</t>
  </si>
  <si>
    <t>Zamboanga Sibugay, 1st District</t>
  </si>
  <si>
    <t>BUUGZamboanga_Sibugay</t>
  </si>
  <si>
    <t>DIPLAHANZamboanga_Sibugay</t>
  </si>
  <si>
    <t>IMELDAZamboanga_Sibugay</t>
  </si>
  <si>
    <t>IPIL (Capital)Zamboanga_Sibugay</t>
  </si>
  <si>
    <t>Zamboanga Sibugay, 2nd District</t>
  </si>
  <si>
    <t>KABASALANZamboanga_Sibugay</t>
  </si>
  <si>
    <t>MABUHAYZamboanga_Sibugay</t>
  </si>
  <si>
    <t>MALANGASZamboanga_Sibugay</t>
  </si>
  <si>
    <t>NAGAZamboanga_Sibugay</t>
  </si>
  <si>
    <t>OLUTANGAZamboanga_Sibugay</t>
  </si>
  <si>
    <t>PAYAOZamboanga_Sibugay</t>
  </si>
  <si>
    <t>ROSELLER LIMZamboanga_Sibugay</t>
  </si>
  <si>
    <t>SIAYZamboanga_Sibugay</t>
  </si>
  <si>
    <t>TALUSANZamboanga_Sibugay</t>
  </si>
  <si>
    <t>TITAYZamboanga_Sibugay</t>
  </si>
  <si>
    <t>TUNGAWANZamboanga_Sibugay</t>
  </si>
  <si>
    <t>X (Northern Mindanao)</t>
  </si>
  <si>
    <t>CITY OF MALAYBALAY (Capital)Bukidnon</t>
  </si>
  <si>
    <t>Bukidnon, 2nd District</t>
  </si>
  <si>
    <t>CITY OF VALENCIABukidnon</t>
  </si>
  <si>
    <t>Bukidnon, 4th District</t>
  </si>
  <si>
    <t>BAUNGONBukidnon</t>
  </si>
  <si>
    <t>Bukidnon, 1st District</t>
  </si>
  <si>
    <t>DAMULOGBukidnon</t>
  </si>
  <si>
    <t>Bukidnon, 3rd District</t>
  </si>
  <si>
    <t>DANGCAGANBukidnon</t>
  </si>
  <si>
    <t>DON CARLOSBukidnon</t>
  </si>
  <si>
    <t>IMPASUG-ONGBukidnon</t>
  </si>
  <si>
    <t>KADINGILANBukidnon</t>
  </si>
  <si>
    <t>KALILANGANBukidnon</t>
  </si>
  <si>
    <t>KIBAWEBukidnon</t>
  </si>
  <si>
    <t>KITAOTAOBukidnon</t>
  </si>
  <si>
    <t>LANTAPANBukidnon</t>
  </si>
  <si>
    <t>LIBONABukidnon</t>
  </si>
  <si>
    <t>MALITBOGBukidnon</t>
  </si>
  <si>
    <t>MANOLO FORTICHBukidnon</t>
  </si>
  <si>
    <t>MARAMAGBukidnon</t>
  </si>
  <si>
    <t>PANGANTUCANBukidnon</t>
  </si>
  <si>
    <t>QUEZONBukidnon</t>
  </si>
  <si>
    <t>SAN FERNANDOBukidnon</t>
  </si>
  <si>
    <t>SUMILAOBukidnon</t>
  </si>
  <si>
    <t>TALAKAGBukidnon</t>
  </si>
  <si>
    <t>CABANGLASANBukidnon</t>
  </si>
  <si>
    <t>CITY OF CAGAYAN DE ORO (Capital)Misamis_Oriental</t>
  </si>
  <si>
    <t>Cagayan de Oro City, 1st, 2nd District</t>
  </si>
  <si>
    <t>CATARMANCamiguin</t>
  </si>
  <si>
    <t>Camiguin, Lone District</t>
  </si>
  <si>
    <t>GUINSILIBANCamiguin</t>
  </si>
  <si>
    <t>MAHINOGCamiguin</t>
  </si>
  <si>
    <t>MAMBAJAO (Capital)Camiguin</t>
  </si>
  <si>
    <t>SAGAYCamiguin</t>
  </si>
  <si>
    <t>CITY OF ILIGANLanao_del_Norte</t>
  </si>
  <si>
    <t>Iligan City, Lone District</t>
  </si>
  <si>
    <t>BACOLODLanao_del_Norte</t>
  </si>
  <si>
    <t>Lanao del Norte, 1st District</t>
  </si>
  <si>
    <t>BALOILanao_del_Norte</t>
  </si>
  <si>
    <t>BAROYLanao_del_Norte</t>
  </si>
  <si>
    <t>KAPATAGANLanao_del_Norte</t>
  </si>
  <si>
    <t>Lanao del Norte, 2nd District</t>
  </si>
  <si>
    <t>SULTAN NAGA DIMAPORO (KAROMATAN)Lanao_del_Norte</t>
  </si>
  <si>
    <t>KAUSWAGANLanao_del_Norte</t>
  </si>
  <si>
    <t>KOLAMBUGANLanao_del_Norte</t>
  </si>
  <si>
    <t>LALALanao_del_Norte</t>
  </si>
  <si>
    <t>LINAMONLanao_del_Norte</t>
  </si>
  <si>
    <t>MAGSAYSAYLanao_del_Norte</t>
  </si>
  <si>
    <t>MAIGOLanao_del_Norte</t>
  </si>
  <si>
    <t>MATUNGAOLanao_del_Norte</t>
  </si>
  <si>
    <t>MUNAILanao_del_Norte</t>
  </si>
  <si>
    <t>NUNUNGANLanao_del_Norte</t>
  </si>
  <si>
    <t>PANTAO RAGATLanao_del_Norte</t>
  </si>
  <si>
    <t>POONA PIAGAPOLanao_del_Norte</t>
  </si>
  <si>
    <t>SALVADORLanao_del_Norte</t>
  </si>
  <si>
    <t>SAPADLanao_del_Norte</t>
  </si>
  <si>
    <t>TAGOLOANLanao_del_Norte</t>
  </si>
  <si>
    <t>TANGCALLanao_del_Norte</t>
  </si>
  <si>
    <t>TUBOD (Capital)Lanao_del_Norte</t>
  </si>
  <si>
    <t>PANTARLanao_del_Norte</t>
  </si>
  <si>
    <t>CITY OF OROQUIETA (Capital)Misamis_Occidental</t>
  </si>
  <si>
    <t>Misamis Occidental, 1st District</t>
  </si>
  <si>
    <t>CITY OF OZAMIZMisamis_Occidental</t>
  </si>
  <si>
    <t>Misamis Occidental, 2nd District</t>
  </si>
  <si>
    <t>CITY OF TANGUBMisamis_Occidental</t>
  </si>
  <si>
    <t>ALORANMisamis_Occidental</t>
  </si>
  <si>
    <t>BALIANGAOMisamis_Occidental</t>
  </si>
  <si>
    <t>BONIFACIOMisamis_Occidental</t>
  </si>
  <si>
    <t>CALAMBAMisamis_Occidental</t>
  </si>
  <si>
    <t>CLARINMisamis_Occidental</t>
  </si>
  <si>
    <t>CONCEPCIONMisamis_Occidental</t>
  </si>
  <si>
    <t>JIMENEZMisamis_Occidental</t>
  </si>
  <si>
    <t>LOPEZ JAENAMisamis_Occidental</t>
  </si>
  <si>
    <t>PANAONMisamis_Occidental</t>
  </si>
  <si>
    <t>PLARIDELMisamis_Occidental</t>
  </si>
  <si>
    <t>SAPANG DALAGAMisamis_Occidental</t>
  </si>
  <si>
    <t>SINACABANMisamis_Occidental</t>
  </si>
  <si>
    <t>TUDELAMisamis_Occidental</t>
  </si>
  <si>
    <t>DON VICTORIANO CHIONGBIAN (DON MARIANO MARCOS)Misamis_Occidental</t>
  </si>
  <si>
    <t>CITY OF EL SALVADORMisamis_Oriental</t>
  </si>
  <si>
    <t>Misamis Oriental, 2nd District</t>
  </si>
  <si>
    <t>CITY OF GINGOOGMisamis_Oriental</t>
  </si>
  <si>
    <t>Misamis Oriental, 1st District</t>
  </si>
  <si>
    <t>ALUBIJIDMisamis_Oriental</t>
  </si>
  <si>
    <t>BALINGASAGMisamis_Oriental</t>
  </si>
  <si>
    <t>BALINGOANMisamis_Oriental</t>
  </si>
  <si>
    <t>BINUANGANMisamis_Oriental</t>
  </si>
  <si>
    <t>CLAVERIAMisamis_Oriental</t>
  </si>
  <si>
    <t>GITAGUMMisamis_Oriental</t>
  </si>
  <si>
    <t>INITAOMisamis_Oriental</t>
  </si>
  <si>
    <t>JASAANMisamis_Oriental</t>
  </si>
  <si>
    <t>KINOGUITANMisamis_Oriental</t>
  </si>
  <si>
    <t>LAGONGLONGMisamis_Oriental</t>
  </si>
  <si>
    <t>LAGUINDINGANMisamis_Oriental</t>
  </si>
  <si>
    <t>LIBERTADMisamis_Oriental</t>
  </si>
  <si>
    <t>LUGAITMisamis_Oriental</t>
  </si>
  <si>
    <t>MAGSAYSAY (LINUGOS)Misamis_Oriental</t>
  </si>
  <si>
    <t>MANTICAOMisamis_Oriental</t>
  </si>
  <si>
    <t>MEDINAMisamis_Oriental</t>
  </si>
  <si>
    <t>NAAWANMisamis_Oriental</t>
  </si>
  <si>
    <t>OPOLMisamis_Oriental</t>
  </si>
  <si>
    <t>SALAYMisamis_Oriental</t>
  </si>
  <si>
    <t>SUGBONGCOGONMisamis_Oriental</t>
  </si>
  <si>
    <t>TAGOLOANMisamis_Oriental</t>
  </si>
  <si>
    <t>TALISAYANMisamis_Oriental</t>
  </si>
  <si>
    <t>VILLANUEVAMisamis_Oriental</t>
  </si>
  <si>
    <t>XI (Davao Region)</t>
  </si>
  <si>
    <t>COMPOSTELADavao_de_Oro</t>
  </si>
  <si>
    <t>Davao de Oro, 1st District</t>
  </si>
  <si>
    <t>LAAK (SAN VICENTE)Davao_de_Oro</t>
  </si>
  <si>
    <t>Davao de Oro, 2nd District</t>
  </si>
  <si>
    <t>MABINI (DOÑA ALICIA)Davao_de_Oro</t>
  </si>
  <si>
    <t>MACODavao_de_Oro</t>
  </si>
  <si>
    <t>MARAGUSAN (SAN MARIANO)Davao_de_Oro</t>
  </si>
  <si>
    <t>MAWABDavao_de_Oro</t>
  </si>
  <si>
    <t>MONKAYODavao_de_Oro</t>
  </si>
  <si>
    <t>MONTEVISTADavao_de_Oro</t>
  </si>
  <si>
    <t>NABUNTURAN (Capital)Davao_de_Oro</t>
  </si>
  <si>
    <t>NEW BATAANDavao_de_Oro</t>
  </si>
  <si>
    <t>PANTUKANDavao_de_Oro</t>
  </si>
  <si>
    <t>CITY OF DAVAODavao_City</t>
  </si>
  <si>
    <t>Davao City, 1st, 2nd,3rd District</t>
  </si>
  <si>
    <t>CITY OF PANABODavao_del_Norte</t>
  </si>
  <si>
    <t>Davao del Norte, 2nd District</t>
  </si>
  <si>
    <t>ISLAND GARDEN CITY OF SAMALDavao_del_Norte</t>
  </si>
  <si>
    <t>CITY OF TAGUM (Capital)Davao_del_Norte</t>
  </si>
  <si>
    <t>Davao del Norte, 1st District</t>
  </si>
  <si>
    <t>ASUNCION (SAUG)Davao_del_Norte</t>
  </si>
  <si>
    <t>CARMENDavao_del_Norte</t>
  </si>
  <si>
    <t>KAPALONGDavao_del_Norte</t>
  </si>
  <si>
    <t>NEW CORELLADavao_del_Norte</t>
  </si>
  <si>
    <t>SANTO TOMASDavao_del_Norte</t>
  </si>
  <si>
    <t>TALAINGODDavao_del_Norte</t>
  </si>
  <si>
    <t>BRAULIO E. DUJALIDavao_del_Norte</t>
  </si>
  <si>
    <t>SAN ISIDRODavao_del_Norte</t>
  </si>
  <si>
    <t>CITY OF DAVAODavao_del_Sur</t>
  </si>
  <si>
    <t>Davao del Sur, Lone District</t>
  </si>
  <si>
    <t>CITY OF DIGOS (Capital)Davao_del_Sur</t>
  </si>
  <si>
    <t>BANSALANDavao_del_Sur</t>
  </si>
  <si>
    <t>HAGONOYDavao_del_Sur</t>
  </si>
  <si>
    <t>KIBLAWANDavao_del_Sur</t>
  </si>
  <si>
    <t>MAGSAYSAYDavao_del_Sur</t>
  </si>
  <si>
    <t>MALALAGDavao_del_Sur</t>
  </si>
  <si>
    <t>MATANAODavao_del_Sur</t>
  </si>
  <si>
    <t>PADADADavao_del_Sur</t>
  </si>
  <si>
    <t>SANTA CRUZDavao_del_Sur</t>
  </si>
  <si>
    <t>SULOPDavao_del_Sur</t>
  </si>
  <si>
    <t>DON MARCELINODavao_Occidental</t>
  </si>
  <si>
    <t>Davao Occidental, Lone District</t>
  </si>
  <si>
    <t>JOSE ABAD SANTOS (TRINIDAD)Davao_Occidental</t>
  </si>
  <si>
    <t>MALITA (Capital)Davao_Occidental</t>
  </si>
  <si>
    <t>SANTA MARIADavao_Occidental</t>
  </si>
  <si>
    <t>SARANGANIDavao_Occidental</t>
  </si>
  <si>
    <t>CITY OF MATI (Capital)Davao_Oriental</t>
  </si>
  <si>
    <t>Davao Oriental, 2nd District</t>
  </si>
  <si>
    <t>BAGANGADavao_Oriental</t>
  </si>
  <si>
    <t>Davao Oriental, 1st District</t>
  </si>
  <si>
    <t>BANAYBANAYDavao_Oriental</t>
  </si>
  <si>
    <t>BOSTONDavao_Oriental</t>
  </si>
  <si>
    <t>CARAGADavao_Oriental</t>
  </si>
  <si>
    <t>CATEELDavao_Oriental</t>
  </si>
  <si>
    <t>GOVERNOR GENEROSODavao_Oriental</t>
  </si>
  <si>
    <t>LUPONDavao_Oriental</t>
  </si>
  <si>
    <t>MANAYDavao_Oriental</t>
  </si>
  <si>
    <t>SAN ISIDRODavao_Oriental</t>
  </si>
  <si>
    <t>TARRAGONADavao_Oriental</t>
  </si>
  <si>
    <t>XII (SOCCSKSARGEN)</t>
  </si>
  <si>
    <t>CITY OF KIDAPAWAN (Capital)North_Cotabato</t>
  </si>
  <si>
    <t>North Cotabato, 2nd District</t>
  </si>
  <si>
    <t>ALAMADANorth_Cotabato</t>
  </si>
  <si>
    <t>North Cotabato, 1st District</t>
  </si>
  <si>
    <t>CARMENNorth_Cotabato</t>
  </si>
  <si>
    <t>North Cotabato, 3rd District</t>
  </si>
  <si>
    <t>KABACANNorth_Cotabato</t>
  </si>
  <si>
    <t>LIBUNGANNorth_Cotabato</t>
  </si>
  <si>
    <t>MAGPETNorth_Cotabato</t>
  </si>
  <si>
    <t>MAKILALANorth_Cotabato</t>
  </si>
  <si>
    <t>MATALAMNorth_Cotabato</t>
  </si>
  <si>
    <t>MIDSAYAPNorth_Cotabato</t>
  </si>
  <si>
    <t>M'LANGNorth_Cotabato</t>
  </si>
  <si>
    <t>PIGKAWAYANNorth_Cotabato</t>
  </si>
  <si>
    <t>PIKITNorth_Cotabato</t>
  </si>
  <si>
    <t>PRESIDENT ROXASNorth_Cotabato</t>
  </si>
  <si>
    <t>TULUNANNorth_Cotabato</t>
  </si>
  <si>
    <t>ANTIPASNorth_Cotabato</t>
  </si>
  <si>
    <t>BANISILANNorth_Cotabato</t>
  </si>
  <si>
    <t>ALEOSANNorth_Cotabato</t>
  </si>
  <si>
    <t>ARAKANNorth_Cotabato</t>
  </si>
  <si>
    <t>ALABEL (Capital)Sarangani</t>
  </si>
  <si>
    <t>Sarangani, Lone District</t>
  </si>
  <si>
    <t>GLANSarangani</t>
  </si>
  <si>
    <t>KIAMBASarangani</t>
  </si>
  <si>
    <t>MAASIMSarangani</t>
  </si>
  <si>
    <t>MAITUMSarangani</t>
  </si>
  <si>
    <t>MALAPATANSarangani</t>
  </si>
  <si>
    <t>MALUNGONSarangani</t>
  </si>
  <si>
    <t>CITY OF GENERAL SANTOS (DADIANGAS)South_Cotabato</t>
  </si>
  <si>
    <t>General Santos, Lone District</t>
  </si>
  <si>
    <t>CITY OF KORONADAL (Capital)South_Cotabato</t>
  </si>
  <si>
    <t>South Cotabato, 2nd District</t>
  </si>
  <si>
    <t>BANGASouth_Cotabato</t>
  </si>
  <si>
    <t>NORALASouth_Cotabato</t>
  </si>
  <si>
    <t>POLOMOLOKSouth_Cotabato</t>
  </si>
  <si>
    <t>South Cotabato, 1st District</t>
  </si>
  <si>
    <t>SURALLAHSouth_Cotabato</t>
  </si>
  <si>
    <t>TAMPAKANSouth_Cotabato</t>
  </si>
  <si>
    <t>TANTANGANSouth_Cotabato</t>
  </si>
  <si>
    <t>T'BOLISouth_Cotabato</t>
  </si>
  <si>
    <t>TUPISouth_Cotabato</t>
  </si>
  <si>
    <t>SANTO NIÑOSouth_Cotabato</t>
  </si>
  <si>
    <t>LAKE SEBUSouth_Cotabato</t>
  </si>
  <si>
    <t>CITY OF TACURONGSultan_Kudarat</t>
  </si>
  <si>
    <t>Sultan Kudarat, 1st District</t>
  </si>
  <si>
    <t>BAGUMBAYANSultan_Kudarat</t>
  </si>
  <si>
    <t>Sultan Kudarat, 2nd District</t>
  </si>
  <si>
    <t>COLUMBIOSultan_Kudarat</t>
  </si>
  <si>
    <t>ESPERANZASultan_Kudarat</t>
  </si>
  <si>
    <t>ISULAN (Capital)Sultan_Kudarat</t>
  </si>
  <si>
    <t>KALAMANSIGSultan_Kudarat</t>
  </si>
  <si>
    <t>LEBAKSultan_Kudarat</t>
  </si>
  <si>
    <t>LUTAYANSultan_Kudarat</t>
  </si>
  <si>
    <t>LAMBAYONG (MARIANO MARCOS)Sultan_Kudarat</t>
  </si>
  <si>
    <t>PALIMBANGSultan_Kudarat</t>
  </si>
  <si>
    <t>PRESIDENT QUIRINOSultan_Kudarat</t>
  </si>
  <si>
    <t>SEN. NINOY AQUINOSultan_Kudarat</t>
  </si>
  <si>
    <t>CAR (Cordillera Administrative Region)</t>
  </si>
  <si>
    <t>BANGUED (Capital)Abra</t>
  </si>
  <si>
    <t>Abra, Lone District</t>
  </si>
  <si>
    <t>BOLINEYAbra</t>
  </si>
  <si>
    <t>BUCAYAbra</t>
  </si>
  <si>
    <t>BUCLOCAbra</t>
  </si>
  <si>
    <t>DAGUIOMANAbra</t>
  </si>
  <si>
    <t>DANGLASAbra</t>
  </si>
  <si>
    <t>DOLORESAbra</t>
  </si>
  <si>
    <t>LA PAZAbra</t>
  </si>
  <si>
    <t>LACUBAbra</t>
  </si>
  <si>
    <t>LAGANGILANGAbra</t>
  </si>
  <si>
    <t>LAGAYANAbra</t>
  </si>
  <si>
    <t>LANGIDENAbra</t>
  </si>
  <si>
    <t>LICUAN-BAAY (LICUAN)Abra</t>
  </si>
  <si>
    <t>LUBAAbra</t>
  </si>
  <si>
    <t>MALIBCONGAbra</t>
  </si>
  <si>
    <t>MANABOAbra</t>
  </si>
  <si>
    <t>PEÑARRUBIAAbra</t>
  </si>
  <si>
    <t>PIDIGANAbra</t>
  </si>
  <si>
    <t>PILARAbra</t>
  </si>
  <si>
    <t>SALLAPADANAbra</t>
  </si>
  <si>
    <t>SAN ISIDROAbra</t>
  </si>
  <si>
    <t>SAN JUANAbra</t>
  </si>
  <si>
    <t>SAN QUINTINAbra</t>
  </si>
  <si>
    <t>TAYUMAbra</t>
  </si>
  <si>
    <t>TINEGAbra</t>
  </si>
  <si>
    <t>TUBOAbra</t>
  </si>
  <si>
    <t>VILLAVICIOSAAbra</t>
  </si>
  <si>
    <t>CALANASAN (BAYAG)Apayao</t>
  </si>
  <si>
    <t>Apayao, 1st District</t>
  </si>
  <si>
    <t>CONNERApayao</t>
  </si>
  <si>
    <t>FLORAApayao</t>
  </si>
  <si>
    <t>KABUGAO (Capital)Apayao</t>
  </si>
  <si>
    <t>LUNAApayao</t>
  </si>
  <si>
    <t>PUDTOLApayao</t>
  </si>
  <si>
    <t>SANTA MARCELAApayao</t>
  </si>
  <si>
    <t>CITY OF BAGUIOBaguio_City</t>
  </si>
  <si>
    <t>Baguio City, Lone District</t>
  </si>
  <si>
    <t>ATOKBenguet</t>
  </si>
  <si>
    <t>Benguet, 1st District</t>
  </si>
  <si>
    <t>BAKUNBenguet</t>
  </si>
  <si>
    <t>BOKODBenguet</t>
  </si>
  <si>
    <t>BUGUIASBenguet</t>
  </si>
  <si>
    <t>ITOGONBenguet</t>
  </si>
  <si>
    <t>KABAYANBenguet</t>
  </si>
  <si>
    <t>KAPANGANBenguet</t>
  </si>
  <si>
    <t>KIBUNGANBenguet</t>
  </si>
  <si>
    <t>LA TRINIDAD (Capital)Benguet</t>
  </si>
  <si>
    <t>MANKAYANBenguet</t>
  </si>
  <si>
    <t>SABLANBenguet</t>
  </si>
  <si>
    <t>TUBABenguet</t>
  </si>
  <si>
    <t>TUBLAYBenguet</t>
  </si>
  <si>
    <t>BANAUEIfugao</t>
  </si>
  <si>
    <t>Ifugao, Lone District</t>
  </si>
  <si>
    <t>HUNGDUANIfugao</t>
  </si>
  <si>
    <t>KIANGANIfugao</t>
  </si>
  <si>
    <t>LAGAWE (Capital)Ifugao</t>
  </si>
  <si>
    <t>LAMUTIfugao</t>
  </si>
  <si>
    <t>MAYOYAOIfugao</t>
  </si>
  <si>
    <t>ALFONSO LISTA (POTIA)Ifugao</t>
  </si>
  <si>
    <t>AGUINALDOIfugao</t>
  </si>
  <si>
    <t>HINGYONIfugao</t>
  </si>
  <si>
    <t>TINOCIfugao</t>
  </si>
  <si>
    <t>ASIPULOIfugao</t>
  </si>
  <si>
    <t>CITY OF TABUK (Capital)Kalinga</t>
  </si>
  <si>
    <t>Kalinga, Lone District</t>
  </si>
  <si>
    <t>BALBALANKalinga</t>
  </si>
  <si>
    <t>LUBUAGANKalinga</t>
  </si>
  <si>
    <t>PASILKalinga</t>
  </si>
  <si>
    <t>PINUKPUKKalinga</t>
  </si>
  <si>
    <t>RIZAL (LIWAN)Kalinga</t>
  </si>
  <si>
    <t>TANUDANKalinga</t>
  </si>
  <si>
    <t>TINGLAYANKalinga</t>
  </si>
  <si>
    <t>BARLIGMountain_Province</t>
  </si>
  <si>
    <t>Mountain Province, 1st District</t>
  </si>
  <si>
    <t>BAUKOMountain_Province</t>
  </si>
  <si>
    <t>BESAOMountain_Province</t>
  </si>
  <si>
    <t>BONTOC (Capital)Mountain_Province</t>
  </si>
  <si>
    <t>NATONINMountain_Province</t>
  </si>
  <si>
    <t>PARACELISMountain_Province</t>
  </si>
  <si>
    <t>SABANGANMountain_Province</t>
  </si>
  <si>
    <t>SADANGAMountain_Province</t>
  </si>
  <si>
    <t>SAGADAMountain_Province</t>
  </si>
  <si>
    <t>TADIANMountain_Province</t>
  </si>
  <si>
    <t>BARMM (Bangsamoro Autonomous Region in Muslim Mindanao)</t>
  </si>
  <si>
    <t>CITY OF LAMITAN (Capital)</t>
  </si>
  <si>
    <t>CITY OF LAMITAN (Capital)Basilan</t>
  </si>
  <si>
    <t>Basilan, Lone District</t>
  </si>
  <si>
    <t>Basilan</t>
  </si>
  <si>
    <t>LANTAWAN</t>
  </si>
  <si>
    <t>LANTAWANBasilan</t>
  </si>
  <si>
    <t>MALUSO</t>
  </si>
  <si>
    <t>MALUSOBasilan</t>
  </si>
  <si>
    <t>SUMISIP</t>
  </si>
  <si>
    <t>SUMISIPBasilan</t>
  </si>
  <si>
    <t>TIPO-TIPO</t>
  </si>
  <si>
    <t>TIPO-TIPOBasilan</t>
  </si>
  <si>
    <t>TUBURANBasilan</t>
  </si>
  <si>
    <t>AKBAR</t>
  </si>
  <si>
    <t>AKBARBasilan</t>
  </si>
  <si>
    <t>-</t>
  </si>
  <si>
    <t>AL-BARKA</t>
  </si>
  <si>
    <t>AL-BARKABasilan</t>
  </si>
  <si>
    <t>HADJI MOHAMMAD AJUL</t>
  </si>
  <si>
    <t>HADJI MOHAMMAD AJULBasilan</t>
  </si>
  <si>
    <t>UNGKAYA PUKAN</t>
  </si>
  <si>
    <t>UNGKAYA PUKANBasilan</t>
  </si>
  <si>
    <t>HADJI MUHTAMAD</t>
  </si>
  <si>
    <t>HADJI MUHTAMADBasilan</t>
  </si>
  <si>
    <t>TABUAN-LASA</t>
  </si>
  <si>
    <t>TABUAN-LASABasilan</t>
  </si>
  <si>
    <t>CITY OF MARAWI (Capital)1536170004th201,785</t>
  </si>
  <si>
    <t>CITY OF MARAWI (Capital)1536170004th201,785Lanao_del_Sur</t>
  </si>
  <si>
    <t>Lanao del Sur, 1st District</t>
  </si>
  <si>
    <t>Lanao_del_Sur</t>
  </si>
  <si>
    <t>BACOLOD-KALAWI (BACOLOD GRANDE)</t>
  </si>
  <si>
    <t>BACOLOD-KALAWI (BACOLOD GRANDE)Lanao_del_Sur</t>
  </si>
  <si>
    <t>Lanao del Sur, 2nd District</t>
  </si>
  <si>
    <t>BALABAGAN</t>
  </si>
  <si>
    <t>BALABAGANLanao_del_Sur</t>
  </si>
  <si>
    <t>BALINDONG (WATU)</t>
  </si>
  <si>
    <t>BALINDONG (WATU)Lanao_del_Sur</t>
  </si>
  <si>
    <t>BAYANG</t>
  </si>
  <si>
    <t>BAYANGLanao_del_Sur</t>
  </si>
  <si>
    <t>BINIDAYAN</t>
  </si>
  <si>
    <t>BINIDAYANLanao_del_Sur</t>
  </si>
  <si>
    <t>BUBONG</t>
  </si>
  <si>
    <t>BUBONGLanao_del_Sur</t>
  </si>
  <si>
    <t>BUTIG</t>
  </si>
  <si>
    <t>BUTIGLanao_del_Sur</t>
  </si>
  <si>
    <t>GANASSI</t>
  </si>
  <si>
    <t>GANASSILanao_del_Sur</t>
  </si>
  <si>
    <t>KAPAI</t>
  </si>
  <si>
    <t>KAPAILanao_del_Sur</t>
  </si>
  <si>
    <t>LUMBA-BAYABAO (MAGUING)</t>
  </si>
  <si>
    <t>LUMBA-BAYABAO (MAGUING)Lanao_del_Sur</t>
  </si>
  <si>
    <t>LUMBATAN</t>
  </si>
  <si>
    <t>LUMBATANLanao_del_Sur</t>
  </si>
  <si>
    <t>MADALUM</t>
  </si>
  <si>
    <t>MADALUMLanao_del_Sur</t>
  </si>
  <si>
    <t>MADAMBA</t>
  </si>
  <si>
    <t>MADAMBALanao_del_Sur</t>
  </si>
  <si>
    <t>MALABANG</t>
  </si>
  <si>
    <t>MALABANGLanao_del_Sur</t>
  </si>
  <si>
    <t>MARANTAO</t>
  </si>
  <si>
    <t>MARANTAOLanao_del_Sur</t>
  </si>
  <si>
    <t>MASIU</t>
  </si>
  <si>
    <t>MASIULanao_del_Sur</t>
  </si>
  <si>
    <t>MULONDO</t>
  </si>
  <si>
    <t>MULONDOLanao_del_Sur</t>
  </si>
  <si>
    <t>PAGAYAWAN (TATARIKAN)</t>
  </si>
  <si>
    <t>PAGAYAWAN (TATARIKAN)Lanao_del_Sur</t>
  </si>
  <si>
    <t>PIAGAPO</t>
  </si>
  <si>
    <t>PIAGAPOLanao_del_Sur</t>
  </si>
  <si>
    <t>POONA BAYABAO (GATA)</t>
  </si>
  <si>
    <t>POONA BAYABAO (GATA)Lanao_del_Sur</t>
  </si>
  <si>
    <t>PUALAS</t>
  </si>
  <si>
    <t>PUALASLanao_del_Sur</t>
  </si>
  <si>
    <t>DITSAAN-RAMAIN</t>
  </si>
  <si>
    <t>DITSAAN-RAMAINLanao_del_Sur</t>
  </si>
  <si>
    <t>SAGUIARAN</t>
  </si>
  <si>
    <t>SAGUIARANLanao_del_Sur</t>
  </si>
  <si>
    <t>TAMPARAN</t>
  </si>
  <si>
    <t>TAMPARANLanao_del_Sur</t>
  </si>
  <si>
    <t>TARAKA</t>
  </si>
  <si>
    <t>TARAKALanao_del_Sur</t>
  </si>
  <si>
    <t>TUBARAN</t>
  </si>
  <si>
    <t>TUBARANLanao_del_Sur</t>
  </si>
  <si>
    <t>TUGAYA</t>
  </si>
  <si>
    <t>TUGAYALanao_del_Sur</t>
  </si>
  <si>
    <t>WAO</t>
  </si>
  <si>
    <t>WAOLanao_del_Sur</t>
  </si>
  <si>
    <t>MAROGONG</t>
  </si>
  <si>
    <t>MAROGONGLanao_del_Sur</t>
  </si>
  <si>
    <t>CALANOGAS</t>
  </si>
  <si>
    <t>CALANOGASLanao_del_Sur</t>
  </si>
  <si>
    <t>BUADIPOSO-BUNTONG</t>
  </si>
  <si>
    <t>BUADIPOSO-BUNTONGLanao_del_Sur</t>
  </si>
  <si>
    <t>MAGUING</t>
  </si>
  <si>
    <t>MAGUINGLanao_del_Sur</t>
  </si>
  <si>
    <t>PICONG (SULTAN GUMANDER)</t>
  </si>
  <si>
    <t>PICONG (SULTAN GUMANDER)Lanao_del_Sur</t>
  </si>
  <si>
    <t>LUMBAYANAGUE</t>
  </si>
  <si>
    <t>LUMBAYANAGUELanao_del_Sur</t>
  </si>
  <si>
    <t>AMAI MANABILANG (BUMBARAN)</t>
  </si>
  <si>
    <t>AMAI MANABILANG (BUMBARAN)Lanao_del_Sur</t>
  </si>
  <si>
    <t>TAGOLOAN II</t>
  </si>
  <si>
    <t>TAGOLOAN IILanao_del_Sur</t>
  </si>
  <si>
    <t>KAPATAGANLanao_del_Sur</t>
  </si>
  <si>
    <t>SULTAN DUMALONDONG</t>
  </si>
  <si>
    <t>SULTAN DUMALONDONGLanao_del_Sur</t>
  </si>
  <si>
    <t>LUMBACA-UNAYAN</t>
  </si>
  <si>
    <t>LUMBACA-UNAYANLanao_del_Sur</t>
  </si>
  <si>
    <t>AMPATUAN</t>
  </si>
  <si>
    <t>AMPATUANMaguindanao</t>
  </si>
  <si>
    <t>Maguindanao, 2nd District</t>
  </si>
  <si>
    <t>Maguindanao</t>
  </si>
  <si>
    <t>BULDON</t>
  </si>
  <si>
    <t>BULDONMaguindanao</t>
  </si>
  <si>
    <t>Maguindanao, 1st District</t>
  </si>
  <si>
    <t>BULUAN</t>
  </si>
  <si>
    <t>BULUANMaguindanao</t>
  </si>
  <si>
    <t>DATU PAGLAS</t>
  </si>
  <si>
    <t>DATU PAGLASMaguindanao</t>
  </si>
  <si>
    <t>DATU PIANG</t>
  </si>
  <si>
    <t>DATU PIANGMaguindanao</t>
  </si>
  <si>
    <t>DATU ODIN SINSUAT (DINAIG)</t>
  </si>
  <si>
    <t>DATU ODIN SINSUAT (DINAIG)Maguindanao</t>
  </si>
  <si>
    <t>SHARIFF AGUAK (MAGANOY) (Capital)</t>
  </si>
  <si>
    <t>SHARIFF AGUAK (MAGANOY) (Capital)Maguindanao</t>
  </si>
  <si>
    <t>MATANOG</t>
  </si>
  <si>
    <t>MATANOGMaguindanao</t>
  </si>
  <si>
    <t>PAGALUNGAN</t>
  </si>
  <si>
    <t>PAGALUNGANMaguindanao</t>
  </si>
  <si>
    <t>PARANG</t>
  </si>
  <si>
    <t>PARANGMaguindanao</t>
  </si>
  <si>
    <t>SULTAN KUDARAT (NULING)</t>
  </si>
  <si>
    <t>SULTAN KUDARAT (NULING)Maguindanao</t>
  </si>
  <si>
    <t>SULTAN SA BARONGIS (LAMBAYONG)</t>
  </si>
  <si>
    <t>SULTAN SA BARONGIS (LAMBAYONG)Maguindanao</t>
  </si>
  <si>
    <t>KABUNTALAN (TUMBAO)</t>
  </si>
  <si>
    <t>KABUNTALAN (TUMBAO)Maguindanao</t>
  </si>
  <si>
    <t>UPI</t>
  </si>
  <si>
    <t>UPIMaguindanao</t>
  </si>
  <si>
    <t>TALAYAN</t>
  </si>
  <si>
    <t>TALAYANMaguindanao</t>
  </si>
  <si>
    <t>SOUTH UPI</t>
  </si>
  <si>
    <t>SOUTH UPIMaguindanao</t>
  </si>
  <si>
    <t>BARIRA</t>
  </si>
  <si>
    <t>BARIRAMaguindanao</t>
  </si>
  <si>
    <t>GEN. S.K. PENDATUN</t>
  </si>
  <si>
    <t>GEN. S.K. PENDATUNMaguindanao</t>
  </si>
  <si>
    <t>MAMASAPANO</t>
  </si>
  <si>
    <t>MAMASAPANOMaguindanao</t>
  </si>
  <si>
    <t>TALITAY</t>
  </si>
  <si>
    <t>TALITAYMaguindanao</t>
  </si>
  <si>
    <t>PAGAGAWAN</t>
  </si>
  <si>
    <t>PAGAGAWANMaguindanao</t>
  </si>
  <si>
    <t>PAGLAT</t>
  </si>
  <si>
    <t>PAGLATMaguindanao</t>
  </si>
  <si>
    <t>SULTAN MASTURA</t>
  </si>
  <si>
    <t>SULTAN MASTURAMaguindanao</t>
  </si>
  <si>
    <t>GUINDULUNGAN</t>
  </si>
  <si>
    <t>GUINDULUNGANMaguindanao</t>
  </si>
  <si>
    <t>DATU SAUDI-AMPATUAN</t>
  </si>
  <si>
    <t>DATU SAUDI-AMPATUANMaguindanao</t>
  </si>
  <si>
    <t>DATU UNSAY</t>
  </si>
  <si>
    <t>DATU UNSAYMaguindanao</t>
  </si>
  <si>
    <t>DATU ABDULLAH SANGKI</t>
  </si>
  <si>
    <t>DATU ABDULLAH SANGKIMaguindanao</t>
  </si>
  <si>
    <t>RAJAH BUAYAN</t>
  </si>
  <si>
    <t>RAJAH BUAYANMaguindanao</t>
  </si>
  <si>
    <t>DATU BLAH T. SINSUAT</t>
  </si>
  <si>
    <t>DATU BLAH T. SINSUATMaguindanao</t>
  </si>
  <si>
    <t>DATU ANGGAL MIDTIMBANG</t>
  </si>
  <si>
    <t>DATU ANGGAL MIDTIMBANGMaguindanao</t>
  </si>
  <si>
    <t>MANGUDADATU</t>
  </si>
  <si>
    <t>MANGUDADATUMaguindanao</t>
  </si>
  <si>
    <t>PANDAG</t>
  </si>
  <si>
    <t>PANDAGMaguindanao</t>
  </si>
  <si>
    <t>NORTHERN KABUNTALAN</t>
  </si>
  <si>
    <t>NORTHERN KABUNTALANMaguindanao</t>
  </si>
  <si>
    <t>DATU HOFFER AMPATUAN</t>
  </si>
  <si>
    <t>DATU HOFFER AMPATUANMaguindanao</t>
  </si>
  <si>
    <t>DATU SALIBO</t>
  </si>
  <si>
    <t>DATU SALIBOMaguindanao</t>
  </si>
  <si>
    <t>SHARIFF SAYDONA MUSTAPHA</t>
  </si>
  <si>
    <t>SHARIFF SAYDONA MUSTAPHAMaguindanao</t>
  </si>
  <si>
    <t>INDANAN</t>
  </si>
  <si>
    <t>INDANANSulu</t>
  </si>
  <si>
    <t>Sulu, 1st District</t>
  </si>
  <si>
    <t>Sulu</t>
  </si>
  <si>
    <t>JOLO (Capital)</t>
  </si>
  <si>
    <t>JOLO (Capital)Sulu</t>
  </si>
  <si>
    <t>KALINGALAN CALUANG</t>
  </si>
  <si>
    <t>KALINGALAN CALUANGSulu</t>
  </si>
  <si>
    <t>Sulu, 2nd District</t>
  </si>
  <si>
    <t>LUUK</t>
  </si>
  <si>
    <t>LUUKSulu</t>
  </si>
  <si>
    <t>MAIMBUNG</t>
  </si>
  <si>
    <t>MAIMBUNGSulu</t>
  </si>
  <si>
    <t>HADJI PANGLIMA TAHIL (MARUNGGAS)</t>
  </si>
  <si>
    <t>HADJI PANGLIMA TAHIL (MARUNGGAS)Sulu</t>
  </si>
  <si>
    <t>OLD PANAMAO</t>
  </si>
  <si>
    <t>OLD PANAMAOSulu</t>
  </si>
  <si>
    <t>PANGUTARAN</t>
  </si>
  <si>
    <t>PANGUTARANSulu</t>
  </si>
  <si>
    <t>PARANGSulu</t>
  </si>
  <si>
    <t>PATA</t>
  </si>
  <si>
    <t>PATASulu</t>
  </si>
  <si>
    <t>PATIKUL</t>
  </si>
  <si>
    <t>PATIKULSulu</t>
  </si>
  <si>
    <t>SIASI</t>
  </si>
  <si>
    <t>SIASISulu</t>
  </si>
  <si>
    <t>TALIPAO</t>
  </si>
  <si>
    <t>TALIPAOSulu</t>
  </si>
  <si>
    <t>TAPUL</t>
  </si>
  <si>
    <t>TAPULSulu</t>
  </si>
  <si>
    <t>TONGKIL</t>
  </si>
  <si>
    <t>TONGKILSulu</t>
  </si>
  <si>
    <t>PANGLIMA ESTINO (NEW PANAMAO)</t>
  </si>
  <si>
    <t>PANGLIMA ESTINO (NEW PANAMAO)Sulu</t>
  </si>
  <si>
    <t>LUGUS</t>
  </si>
  <si>
    <t>LUGUSSulu</t>
  </si>
  <si>
    <t>PANDAMI</t>
  </si>
  <si>
    <t>PANDAMISulu</t>
  </si>
  <si>
    <t>OMAR</t>
  </si>
  <si>
    <t>OMARSulu</t>
  </si>
  <si>
    <t>PANGLIMA SUGALA (BALIMBING)</t>
  </si>
  <si>
    <t>PANGLIMA SUGALA (BALIMBING)Tawi-Tawi</t>
  </si>
  <si>
    <t>Tawi-Tawi, Lone District</t>
  </si>
  <si>
    <t>Tawi-Tawi</t>
  </si>
  <si>
    <t>BONGAO (Capital)</t>
  </si>
  <si>
    <t>BONGAO (Capital)Tawi-Tawi</t>
  </si>
  <si>
    <t>MAPUN (CAGAYAN DE TAWI-TAWI)</t>
  </si>
  <si>
    <t>MAPUN (CAGAYAN DE TAWI-TAWI)Tawi-Tawi</t>
  </si>
  <si>
    <t>SIMUNUL</t>
  </si>
  <si>
    <t>SIMUNULTawi-Tawi</t>
  </si>
  <si>
    <t>SITANGKAI</t>
  </si>
  <si>
    <t>SITANGKAITawi-Tawi</t>
  </si>
  <si>
    <t>SOUTH UBIAN</t>
  </si>
  <si>
    <t>SOUTH UBIANTawi-Tawi</t>
  </si>
  <si>
    <t>TANDUBAS</t>
  </si>
  <si>
    <t>TANDUBASTawi-Tawi</t>
  </si>
  <si>
    <t>TURTLE ISLANDS</t>
  </si>
  <si>
    <t>TURTLE ISLANDSTawi-Tawi</t>
  </si>
  <si>
    <t>LANGUYAN</t>
  </si>
  <si>
    <t>LANGUYANTawi-Tawi</t>
  </si>
  <si>
    <t>SAPA-SAPA</t>
  </si>
  <si>
    <t>SAPA-SAPATawi-Tawi</t>
  </si>
  <si>
    <t>SIBUTU</t>
  </si>
  <si>
    <t>SIBUTUTawi-Tawi</t>
  </si>
  <si>
    <t>CARAGA (Caraga Administrative Region)</t>
  </si>
  <si>
    <t>CITY OF BUTUAN (Capital)Agusan_del_Norte</t>
  </si>
  <si>
    <t>Agusan del Norte, 1st District</t>
  </si>
  <si>
    <t>CITY OF CABADBARANAgusan_del_Norte</t>
  </si>
  <si>
    <t>Agusan del Norte, 2nd District</t>
  </si>
  <si>
    <t>BUENAVISTAAgusan_del_Norte</t>
  </si>
  <si>
    <t>CARMENAgusan_del_Norte</t>
  </si>
  <si>
    <t>JABONGAAgusan_del_Norte</t>
  </si>
  <si>
    <t>KITCHARAOAgusan_del_Norte</t>
  </si>
  <si>
    <t>LAS NIEVESAgusan_del_Norte</t>
  </si>
  <si>
    <t>MAGALLANESAgusan_del_Norte</t>
  </si>
  <si>
    <t>NASIPITAgusan_del_Norte</t>
  </si>
  <si>
    <t>SANTIAGOAgusan_del_Norte</t>
  </si>
  <si>
    <t>TUBAYAgusan_del_Norte</t>
  </si>
  <si>
    <t>REMEDIOS T. ROMUALDEZAgusan_del_Norte</t>
  </si>
  <si>
    <t>CITY OF BAYUGANAgusan_del_Sur</t>
  </si>
  <si>
    <t>Agusan del Sur, 1st District</t>
  </si>
  <si>
    <t>BUNAWANAgusan_del_Sur</t>
  </si>
  <si>
    <t>Agusan del Sur, 2nd District</t>
  </si>
  <si>
    <t>ESPERANZAAgusan_del_Sur</t>
  </si>
  <si>
    <t>LA PAZAgusan_del_Sur</t>
  </si>
  <si>
    <t>LORETOAgusan_del_Sur</t>
  </si>
  <si>
    <t>PROSPERIDAD (Capital)Agusan_del_Sur</t>
  </si>
  <si>
    <t>ROSARIOAgusan_del_Sur</t>
  </si>
  <si>
    <t>SAN FRANCISCOAgusan_del_Sur</t>
  </si>
  <si>
    <t>SAN LUISAgusan_del_Sur</t>
  </si>
  <si>
    <t>SANTA JOSEFAAgusan_del_Sur</t>
  </si>
  <si>
    <t>TALACOGONAgusan_del_Sur</t>
  </si>
  <si>
    <t>TRENTOAgusan_del_Sur</t>
  </si>
  <si>
    <t>VERUELAAgusan_del_Sur</t>
  </si>
  <si>
    <t>SIBAGATAgusan_del_Sur</t>
  </si>
  <si>
    <t>BASILISA (RIZAL)Dinagat_Islands</t>
  </si>
  <si>
    <t>Dinagat Islands, Lone District</t>
  </si>
  <si>
    <t>CAGDIANAODinagat_Islands</t>
  </si>
  <si>
    <t>DINAGATDinagat_Islands</t>
  </si>
  <si>
    <t>LIBJO (ALBOR)Dinagat_Islands</t>
  </si>
  <si>
    <t>LORETODinagat_Islands</t>
  </si>
  <si>
    <t>SAN JOSE (Capital)Dinagat_Islands</t>
  </si>
  <si>
    <t>TUBAJONDinagat_Islands</t>
  </si>
  <si>
    <t>CITY OF SURIGAO (Capital)Surigao_del_Norte</t>
  </si>
  <si>
    <t>Surigao del Norte, 2nd District</t>
  </si>
  <si>
    <t>ALEGRIASurigao_del_Norte</t>
  </si>
  <si>
    <t>BACUAGSurigao_del_Norte</t>
  </si>
  <si>
    <t>BURGOSSurigao_del_Norte</t>
  </si>
  <si>
    <t>Surigao del Norte, 1st District</t>
  </si>
  <si>
    <t>CLAVERSurigao_del_Norte</t>
  </si>
  <si>
    <t>DAPASurigao_del_Norte</t>
  </si>
  <si>
    <t>DEL CARMENSurigao_del_Norte</t>
  </si>
  <si>
    <t>GENERAL LUNASurigao_del_Norte</t>
  </si>
  <si>
    <t>GIGAQUITSurigao_del_Norte</t>
  </si>
  <si>
    <t>MAINITSurigao_del_Norte</t>
  </si>
  <si>
    <t>MALIMONOSurigao_del_Norte</t>
  </si>
  <si>
    <t>PILARSurigao_del_Norte</t>
  </si>
  <si>
    <t>PLACERSurigao_del_Norte</t>
  </si>
  <si>
    <t>SAN BENITOSurigao_del_Norte</t>
  </si>
  <si>
    <t>SAN FRANCISCO (ANAO-AON)Surigao_del_Norte</t>
  </si>
  <si>
    <t>SAN ISIDROSurigao_del_Norte</t>
  </si>
  <si>
    <t>SANTA MONICA (SAPAO)Surigao_del_Norte</t>
  </si>
  <si>
    <t>SISONSurigao_del_Norte</t>
  </si>
  <si>
    <t>SOCORROSurigao_del_Norte</t>
  </si>
  <si>
    <t>TAGANA-ANSurigao_del_Norte</t>
  </si>
  <si>
    <t>TUBODSurigao_del_Norte</t>
  </si>
  <si>
    <t>CITY OF BISLIGSurigao_del_Sur</t>
  </si>
  <si>
    <t>Surigao del Sur, 2nd District</t>
  </si>
  <si>
    <t>CITY OF TANDAG (Capital)Surigao_del_Sur</t>
  </si>
  <si>
    <t>Surigao del Sur, 1st District</t>
  </si>
  <si>
    <t>BAROBOSurigao_del_Sur</t>
  </si>
  <si>
    <t>BAYABASSurigao_del_Sur</t>
  </si>
  <si>
    <t>CAGWAITSurigao_del_Sur</t>
  </si>
  <si>
    <t>CANTILANSurigao_del_Sur</t>
  </si>
  <si>
    <t>CARMENSurigao_del_Sur</t>
  </si>
  <si>
    <t>CARRASCALSurigao_del_Sur</t>
  </si>
  <si>
    <t>CORTESSurigao_del_Sur</t>
  </si>
  <si>
    <t>HINATUANSurigao_del_Sur</t>
  </si>
  <si>
    <t>LANUZASurigao_del_Sur</t>
  </si>
  <si>
    <t>LIANGASurigao_del_Sur</t>
  </si>
  <si>
    <t>LINGIGSurigao_del_Sur</t>
  </si>
  <si>
    <t>MADRIDSurigao_del_Sur</t>
  </si>
  <si>
    <t>MARIHATAGSurigao_del_Sur</t>
  </si>
  <si>
    <t>SAN AGUSTINSurigao_del_Sur</t>
  </si>
  <si>
    <t>SAN MIGUELSurigao_del_Sur</t>
  </si>
  <si>
    <t>TAGBINASurigao_del_Sur</t>
  </si>
  <si>
    <t>TAGOSurigao_del_Sur</t>
  </si>
  <si>
    <t>Model Farm - Corn-based Diversified Farming System</t>
  </si>
  <si>
    <t>Model Farm - Climate-smart Model Farm</t>
  </si>
  <si>
    <t>Rainwater Harvesting System (unit)</t>
  </si>
  <si>
    <t>Rainwater Harvesting System (area)</t>
  </si>
  <si>
    <t>Training of Trainers - Corn Specialist Training</t>
  </si>
  <si>
    <t>Postharvest-related - Electric Generating Set  for Corn Mill (15-25 KVA)</t>
  </si>
  <si>
    <t>Training of Trainers - Seed Inspector's Training</t>
  </si>
  <si>
    <t>Postharvest-related - Electric Generating Set  for VTDs (50-75 KVA)</t>
  </si>
  <si>
    <t>Postharvest-related - Feed Mixer</t>
  </si>
  <si>
    <t>Training of Trainers - Sustainable Land Resources Management Approach</t>
  </si>
  <si>
    <t>Postharvest-related - Hauling Truck (not exceeding 7000cc) - four-wheel truck</t>
  </si>
  <si>
    <t>Postharvest-related - Transformer for Corn Mill</t>
  </si>
  <si>
    <t>Training - Clientele-based - Retooling on SCOPSA training</t>
  </si>
  <si>
    <t>Training of Trainers - Refresher Course on Cassava Production Technologies</t>
  </si>
  <si>
    <t>Farm Production - Cassava Planter</t>
  </si>
  <si>
    <t>Farm Production - Cassava Subsoiler</t>
  </si>
  <si>
    <t>Training of Trainers - Cassava Postharvest Technologies</t>
  </si>
  <si>
    <t>l</t>
  </si>
  <si>
    <t>Postharvest facilities - Cassava Processing Center</t>
  </si>
  <si>
    <t>Organic fertilizer for Sorghum</t>
  </si>
  <si>
    <t>Training of Trainers - Sorghum Postharvest Technologies</t>
  </si>
  <si>
    <t xml:space="preserve">Training - Clientele-based - Sorghum Postharvest Training </t>
  </si>
  <si>
    <t xml:space="preserve">Training - Clientele-based - Sorghum Livelihood Training </t>
  </si>
  <si>
    <t>Sorghum Continuing R&amp;D studies funded Socio - economic and Policy Research</t>
  </si>
  <si>
    <t>DA Stations - Seed Storage Facility Monolithic Construction</t>
  </si>
  <si>
    <t>Validation of 2026 - 2030 beneficiaries</t>
  </si>
  <si>
    <t>DA Stations - Corn Sheller</t>
  </si>
  <si>
    <t>DA Stations - Hybrid Solar-powered Irrigation System</t>
  </si>
  <si>
    <t xml:space="preserve">Training - Clientele-based - Soybean Processing Training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</si>
</sst>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_-;\-* #,##0_-;_-* &quot;-&quot;_-;_-@_-"/>
    <numFmt numFmtId="179" formatCode="_-* #,##0_-;\-* #,##0_-;_-* &quot;-&quot;??_-;_-@_-"/>
  </numFmts>
  <fonts count="54">
    <font>
      <sz val="11"/>
      <color theme="1"/>
      <name val="Calibri"/>
      <charset val="134"/>
      <scheme val="minor"/>
    </font>
    <font>
      <b/>
      <sz val="11"/>
      <color theme="1"/>
      <name val="Arial Narrow"/>
      <charset val="134"/>
    </font>
    <font>
      <sz val="11"/>
      <color theme="1"/>
      <name val="Arial Narrow"/>
      <charset val="134"/>
    </font>
    <font>
      <b/>
      <sz val="11"/>
      <color theme="0"/>
      <name val="Arial Narrow"/>
      <charset val="134"/>
    </font>
    <font>
      <b/>
      <sz val="10"/>
      <color rgb="FFFFFFFF"/>
      <name val="Arial Narrow"/>
      <charset val="134"/>
    </font>
    <font>
      <sz val="10"/>
      <color theme="1"/>
      <name val="Arial Narrow"/>
      <charset val="134"/>
    </font>
    <font>
      <sz val="10"/>
      <color rgb="FFFFFFFF"/>
      <name val="Arial Narrow"/>
      <charset val="134"/>
    </font>
    <font>
      <sz val="10"/>
      <color rgb="FF1F1F1F"/>
      <name val="Arial Narrow"/>
      <charset val="134"/>
    </font>
    <font>
      <sz val="10"/>
      <color rgb="FFFF0000"/>
      <name val="Arial Narrow"/>
      <charset val="134"/>
    </font>
    <font>
      <b/>
      <sz val="10"/>
      <color theme="1"/>
      <name val="Arial Narrow"/>
      <charset val="134"/>
    </font>
    <font>
      <sz val="10"/>
      <name val="Arial Narrow"/>
      <charset val="134"/>
    </font>
    <font>
      <b/>
      <sz val="10"/>
      <color theme="0"/>
      <name val="Arial Narrow"/>
      <charset val="134"/>
    </font>
    <font>
      <sz val="10"/>
      <color rgb="FF0000FF"/>
      <name val="Arial Narrow"/>
      <charset val="134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</font>
    <font>
      <sz val="11"/>
      <color theme="0"/>
      <name val="Calibri"/>
      <charset val="134"/>
      <scheme val="minor"/>
    </font>
    <font>
      <sz val="11"/>
      <color theme="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2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2"/>
      <name val="Arial Narrow"/>
      <charset val="134"/>
    </font>
    <font>
      <sz val="12"/>
      <color theme="1"/>
      <name val="Arial Narrow"/>
      <charset val="134"/>
    </font>
    <font>
      <b/>
      <sz val="12"/>
      <color theme="1"/>
      <name val="Arial Narrow"/>
      <charset val="134"/>
    </font>
    <font>
      <sz val="12"/>
      <color theme="0"/>
      <name val="Arial Narrow"/>
      <charset val="134"/>
    </font>
    <font>
      <b/>
      <sz val="12"/>
      <name val="Arial Narrow"/>
      <charset val="134"/>
    </font>
    <font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i/>
      <sz val="14"/>
      <color rgb="FF0070C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C4587"/>
        <bgColor rgb="FF1C4587"/>
      </patternFill>
    </fill>
    <fill>
      <patternFill patternType="solid">
        <fgColor rgb="FF232D31"/>
        <bgColor rgb="FF232D31"/>
      </patternFill>
    </fill>
    <fill>
      <patternFill patternType="solid">
        <fgColor rgb="FF232D3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89996032593768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 diagonalUp="1" diagonalDown="1">
      <left/>
      <right/>
      <top/>
      <bottom/>
      <diagonal style="thin">
        <color rgb="FFC00000"/>
      </diagonal>
    </border>
    <border diagonalUp="1" diagonalDown="1">
      <left/>
      <right/>
      <top/>
      <bottom/>
      <diagonal style="thin">
        <color rgb="FFFF0000"/>
      </diagonal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20" borderId="9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1" borderId="12" applyNumberFormat="0" applyAlignment="0" applyProtection="0">
      <alignment vertical="center"/>
    </xf>
    <xf numFmtId="0" fontId="44" fillId="22" borderId="13" applyNumberFormat="0" applyAlignment="0" applyProtection="0">
      <alignment vertical="center"/>
    </xf>
    <xf numFmtId="0" fontId="45" fillId="22" borderId="12" applyNumberFormat="0" applyAlignment="0" applyProtection="0">
      <alignment vertical="center"/>
    </xf>
    <xf numFmtId="0" fontId="46" fillId="23" borderId="14" applyNumberFormat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0" fillId="0" borderId="0"/>
  </cellStyleXfs>
  <cellXfs count="17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1" fillId="0" borderId="0" xfId="0" applyFont="1"/>
    <xf numFmtId="0" fontId="3" fillId="2" borderId="1" xfId="0" applyFont="1" applyFill="1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8" borderId="0" xfId="0" applyFont="1" applyFill="1"/>
    <xf numFmtId="49" fontId="2" fillId="0" borderId="0" xfId="0" applyNumberFormat="1" applyFont="1"/>
    <xf numFmtId="0" fontId="2" fillId="0" borderId="0" xfId="0" applyFont="1" applyAlignment="1">
      <alignment horizontal="left"/>
    </xf>
    <xf numFmtId="0" fontId="2" fillId="9" borderId="0" xfId="0" applyFont="1" applyFill="1"/>
    <xf numFmtId="0" fontId="4" fillId="10" borderId="0" xfId="0" applyFont="1" applyFill="1" applyAlignment="1">
      <alignment vertical="top"/>
    </xf>
    <xf numFmtId="0" fontId="4" fillId="11" borderId="0" xfId="0" applyFont="1" applyFill="1" applyAlignment="1">
      <alignment vertical="top"/>
    </xf>
    <xf numFmtId="0" fontId="5" fillId="11" borderId="0" xfId="0" applyFont="1" applyFill="1" applyAlignment="1">
      <alignment vertical="top"/>
    </xf>
    <xf numFmtId="0" fontId="6" fillId="11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/>
    <xf numFmtId="0" fontId="7" fillId="0" borderId="0" xfId="0" applyFont="1"/>
    <xf numFmtId="0" fontId="5" fillId="9" borderId="0" xfId="0" applyFont="1" applyFill="1" applyAlignment="1">
      <alignment vertical="top"/>
    </xf>
    <xf numFmtId="0" fontId="5" fillId="0" borderId="2" xfId="0" applyFont="1" applyBorder="1" applyAlignment="1">
      <alignment vertical="top"/>
    </xf>
    <xf numFmtId="0" fontId="8" fillId="0" borderId="0" xfId="0" applyFont="1" applyAlignment="1">
      <alignment vertical="top"/>
    </xf>
    <xf numFmtId="0" fontId="4" fillId="12" borderId="0" xfId="0" applyFont="1" applyFill="1" applyAlignment="1">
      <alignment horizontal="left" vertical="top"/>
    </xf>
    <xf numFmtId="0" fontId="9" fillId="12" borderId="0" xfId="0" applyFont="1" applyFill="1" applyAlignment="1">
      <alignment vertical="top"/>
    </xf>
    <xf numFmtId="0" fontId="4" fillId="12" borderId="0" xfId="0" applyFont="1" applyFill="1" applyAlignment="1">
      <alignment vertical="top"/>
    </xf>
    <xf numFmtId="0" fontId="10" fillId="0" borderId="0" xfId="0" applyFont="1" applyAlignment="1">
      <alignment vertical="top"/>
    </xf>
    <xf numFmtId="0" fontId="11" fillId="13" borderId="0" xfId="0" applyFont="1" applyFill="1" applyAlignment="1">
      <alignment vertical="center"/>
    </xf>
    <xf numFmtId="0" fontId="11" fillId="13" borderId="0" xfId="0" applyFont="1" applyFill="1" applyAlignment="1">
      <alignment vertical="top"/>
    </xf>
    <xf numFmtId="0" fontId="4" fillId="11" borderId="0" xfId="0" applyFont="1" applyFill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wrapText="1"/>
    </xf>
    <xf numFmtId="0" fontId="5" fillId="0" borderId="0" xfId="49" applyFont="1" applyAlignment="1">
      <alignment vertical="top"/>
    </xf>
    <xf numFmtId="0" fontId="6" fillId="12" borderId="0" xfId="0" applyFont="1" applyFill="1" applyAlignment="1">
      <alignment vertical="top"/>
    </xf>
    <xf numFmtId="0" fontId="5" fillId="12" borderId="0" xfId="0" applyFont="1" applyFill="1" applyAlignment="1">
      <alignment vertical="top"/>
    </xf>
    <xf numFmtId="0" fontId="12" fillId="14" borderId="0" xfId="0" applyFont="1" applyFill="1" applyAlignment="1">
      <alignment vertical="top"/>
    </xf>
    <xf numFmtId="0" fontId="12" fillId="0" borderId="0" xfId="0" applyFont="1" applyAlignment="1">
      <alignment vertical="top"/>
    </xf>
    <xf numFmtId="0" fontId="8" fillId="14" borderId="0" xfId="0" applyFont="1" applyFill="1" applyAlignment="1">
      <alignment vertical="top"/>
    </xf>
    <xf numFmtId="0" fontId="5" fillId="14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13" fillId="0" borderId="0" xfId="0" applyFont="1"/>
    <xf numFmtId="0" fontId="0" fillId="0" borderId="0" xfId="0" applyAlignment="1">
      <alignment vertical="center"/>
    </xf>
    <xf numFmtId="2" fontId="0" fillId="0" borderId="0" xfId="1" applyNumberFormat="1" applyFont="1" applyBorder="1"/>
    <xf numFmtId="0" fontId="0" fillId="13" borderId="0" xfId="0" applyFill="1" applyAlignment="1">
      <alignment horizontal="center" vertical="center"/>
    </xf>
    <xf numFmtId="0" fontId="13" fillId="15" borderId="0" xfId="0" applyFont="1" applyFill="1"/>
    <xf numFmtId="0" fontId="13" fillId="15" borderId="0" xfId="0" applyFont="1" applyFill="1" applyAlignment="1">
      <alignment horizontal="left"/>
    </xf>
    <xf numFmtId="0" fontId="14" fillId="0" borderId="3" xfId="0" applyFont="1" applyBorder="1" applyAlignment="1">
      <alignment horizontal="left" vertical="center" readingOrder="1"/>
    </xf>
    <xf numFmtId="0" fontId="15" fillId="15" borderId="0" xfId="0" applyFont="1" applyFill="1"/>
    <xf numFmtId="176" fontId="13" fillId="0" borderId="0" xfId="1" applyFont="1"/>
    <xf numFmtId="2" fontId="0" fillId="13" borderId="0" xfId="1" applyNumberFormat="1" applyFont="1" applyFill="1" applyBorder="1" applyAlignment="1">
      <alignment horizontal="center" vertical="center"/>
    </xf>
    <xf numFmtId="2" fontId="13" fillId="15" borderId="0" xfId="1" applyNumberFormat="1" applyFont="1" applyFill="1" applyBorder="1"/>
    <xf numFmtId="2" fontId="13" fillId="0" borderId="0" xfId="1" applyNumberFormat="1" applyFont="1" applyBorder="1"/>
    <xf numFmtId="0" fontId="16" fillId="16" borderId="4" xfId="0" applyFont="1" applyFill="1" applyBorder="1"/>
    <xf numFmtId="0" fontId="15" fillId="0" borderId="0" xfId="0" applyFont="1"/>
    <xf numFmtId="0" fontId="15" fillId="15" borderId="0" xfId="0" applyFont="1" applyFill="1" applyAlignment="1">
      <alignment horizontal="left"/>
    </xf>
    <xf numFmtId="2" fontId="15" fillId="0" borderId="0" xfId="1" applyNumberFormat="1" applyFont="1" applyBorder="1"/>
    <xf numFmtId="0" fontId="17" fillId="16" borderId="4" xfId="0" applyFont="1" applyFill="1" applyBorder="1"/>
    <xf numFmtId="0" fontId="14" fillId="0" borderId="3" xfId="0" applyFont="1" applyBorder="1" applyAlignment="1">
      <alignment horizontal="left" vertical="center" wrapText="1" readingOrder="1"/>
    </xf>
    <xf numFmtId="0" fontId="13" fillId="0" borderId="0" xfId="0" applyFont="1" applyAlignment="1">
      <alignment vertical="center"/>
    </xf>
    <xf numFmtId="0" fontId="13" fillId="15" borderId="0" xfId="0" applyFont="1" applyFill="1" applyAlignment="1">
      <alignment vertical="center"/>
    </xf>
    <xf numFmtId="0" fontId="13" fillId="15" borderId="0" xfId="0" applyFont="1" applyFill="1" applyAlignment="1">
      <alignment horizontal="left" vertical="center"/>
    </xf>
    <xf numFmtId="2" fontId="13" fillId="0" borderId="0" xfId="1" applyNumberFormat="1" applyFont="1" applyBorder="1" applyAlignment="1"/>
    <xf numFmtId="2" fontId="13" fillId="0" borderId="0" xfId="1" applyNumberFormat="1" applyFont="1" applyBorder="1" applyAlignment="1">
      <alignment vertical="center"/>
    </xf>
    <xf numFmtId="0" fontId="16" fillId="16" borderId="4" xfId="0" applyFont="1" applyFill="1" applyBorder="1" applyAlignment="1">
      <alignment vertical="center"/>
    </xf>
    <xf numFmtId="0" fontId="16" fillId="16" borderId="5" xfId="0" applyFont="1" applyFill="1" applyBorder="1"/>
    <xf numFmtId="0" fontId="17" fillId="16" borderId="5" xfId="0" applyFont="1" applyFill="1" applyBorder="1"/>
    <xf numFmtId="178" fontId="0" fillId="0" borderId="0" xfId="0" applyNumberFormat="1"/>
    <xf numFmtId="0" fontId="0" fillId="0" borderId="0" xfId="0" applyAlignment="1">
      <alignment vertical="center" wrapText="1"/>
    </xf>
    <xf numFmtId="0" fontId="18" fillId="0" borderId="0" xfId="0" applyFont="1" applyAlignment="1">
      <alignment horizontal="left"/>
    </xf>
    <xf numFmtId="178" fontId="19" fillId="0" borderId="0" xfId="0" applyNumberFormat="1" applyFont="1"/>
    <xf numFmtId="0" fontId="20" fillId="0" borderId="6" xfId="0" applyFont="1" applyBorder="1" applyAlignment="1">
      <alignment horizontal="center"/>
    </xf>
    <xf numFmtId="0" fontId="20" fillId="0" borderId="6" xfId="0" applyFont="1" applyBorder="1"/>
    <xf numFmtId="0" fontId="21" fillId="0" borderId="0" xfId="0" applyFont="1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17" borderId="1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left"/>
    </xf>
    <xf numFmtId="178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9" fontId="0" fillId="0" borderId="0" xfId="1" applyNumberFormat="1" applyFont="1" applyBorder="1"/>
    <xf numFmtId="0" fontId="22" fillId="0" borderId="0" xfId="0" applyFont="1" applyAlignment="1">
      <alignment horizontal="left"/>
    </xf>
    <xf numFmtId="178" fontId="16" fillId="0" borderId="0" xfId="0" applyNumberFormat="1" applyFont="1"/>
    <xf numFmtId="0" fontId="0" fillId="0" borderId="3" xfId="0" applyBorder="1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179" fontId="0" fillId="0" borderId="0" xfId="0" applyNumberFormat="1"/>
    <xf numFmtId="179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0" xfId="0" applyAlignment="1">
      <alignment horizontal="center" vertical="center" wrapText="1"/>
    </xf>
    <xf numFmtId="179" fontId="13" fillId="0" borderId="0" xfId="0" applyNumberFormat="1" applyFont="1" applyAlignment="1">
      <alignment horizontal="center" vertical="center" wrapText="1"/>
    </xf>
    <xf numFmtId="0" fontId="0" fillId="17" borderId="0" xfId="0" applyFill="1" applyAlignment="1">
      <alignment horizontal="center" vertical="center" wrapText="1"/>
    </xf>
    <xf numFmtId="0" fontId="0" fillId="17" borderId="0" xfId="0" applyFill="1" applyAlignment="1">
      <alignment horizontal="left"/>
    </xf>
    <xf numFmtId="179" fontId="0" fillId="17" borderId="0" xfId="0" applyNumberFormat="1" applyFill="1" applyAlignment="1">
      <alignment horizontal="left"/>
    </xf>
    <xf numFmtId="179" fontId="23" fillId="18" borderId="0" xfId="0" applyNumberFormat="1" applyFont="1" applyFill="1" applyAlignment="1">
      <alignment horizontal="center" vertical="center" wrapText="1"/>
    </xf>
    <xf numFmtId="0" fontId="24" fillId="18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79" fontId="0" fillId="0" borderId="7" xfId="0" applyNumberFormat="1" applyBorder="1"/>
    <xf numFmtId="178" fontId="0" fillId="0" borderId="0" xfId="0" applyNumberFormat="1" applyAlignment="1">
      <alignment horizontal="center" vertical="center"/>
    </xf>
    <xf numFmtId="179" fontId="0" fillId="0" borderId="0" xfId="1" applyNumberFormat="1" applyFont="1" applyAlignment="1"/>
    <xf numFmtId="179" fontId="0" fillId="0" borderId="0" xfId="1" applyNumberFormat="1" applyFont="1" applyAlignment="1">
      <alignment horizontal="left"/>
    </xf>
    <xf numFmtId="0" fontId="0" fillId="0" borderId="0" xfId="0" applyAlignment="1">
      <alignment horizontal="left" vertical="center"/>
    </xf>
    <xf numFmtId="17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/>
    </xf>
    <xf numFmtId="178" fontId="25" fillId="0" borderId="0" xfId="0" applyNumberFormat="1" applyFont="1"/>
    <xf numFmtId="0" fontId="25" fillId="0" borderId="0" xfId="0" applyFont="1" applyAlignment="1">
      <alignment horizontal="center" vertical="center"/>
    </xf>
    <xf numFmtId="178" fontId="25" fillId="0" borderId="0" xfId="0" applyNumberFormat="1" applyFont="1" applyAlignment="1">
      <alignment horizontal="center" vertical="center"/>
    </xf>
    <xf numFmtId="178" fontId="26" fillId="0" borderId="0" xfId="0" applyNumberFormat="1" applyFont="1"/>
    <xf numFmtId="178" fontId="26" fillId="0" borderId="0" xfId="0" applyNumberFormat="1" applyFont="1" applyAlignment="1">
      <alignment horizontal="left" wrapText="1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left"/>
    </xf>
    <xf numFmtId="178" fontId="28" fillId="0" borderId="0" xfId="0" applyNumberFormat="1" applyFont="1" applyAlignment="1">
      <alignment horizontal="left" wrapText="1"/>
    </xf>
    <xf numFmtId="0" fontId="26" fillId="0" borderId="3" xfId="0" applyFont="1" applyBorder="1"/>
    <xf numFmtId="0" fontId="26" fillId="0" borderId="8" xfId="0" applyFont="1" applyBorder="1" applyAlignment="1">
      <alignment horizontal="left" wrapText="1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left" wrapText="1"/>
    </xf>
    <xf numFmtId="0" fontId="26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wrapText="1"/>
    </xf>
    <xf numFmtId="179" fontId="26" fillId="0" borderId="1" xfId="0" applyNumberFormat="1" applyFont="1" applyBorder="1"/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wrapText="1"/>
    </xf>
    <xf numFmtId="0" fontId="25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178" fontId="25" fillId="0" borderId="0" xfId="1" applyNumberFormat="1" applyFont="1" applyBorder="1" applyAlignment="1">
      <alignment horizontal="left" vertical="center"/>
    </xf>
    <xf numFmtId="178" fontId="25" fillId="0" borderId="0" xfId="1" applyNumberFormat="1" applyFont="1" applyBorder="1" applyAlignment="1">
      <alignment horizontal="right" vertical="center"/>
    </xf>
    <xf numFmtId="178" fontId="29" fillId="0" borderId="0" xfId="1" applyNumberFormat="1" applyFont="1" applyBorder="1" applyAlignment="1">
      <alignment horizontal="left" vertical="center"/>
    </xf>
    <xf numFmtId="178" fontId="25" fillId="0" borderId="0" xfId="1" applyNumberFormat="1" applyFont="1" applyBorder="1" applyAlignment="1">
      <alignment horizontal="left"/>
    </xf>
    <xf numFmtId="0" fontId="27" fillId="0" borderId="0" xfId="0" applyFont="1"/>
    <xf numFmtId="0" fontId="25" fillId="0" borderId="0" xfId="0" applyFont="1" applyAlignment="1">
      <alignment vertical="center"/>
    </xf>
    <xf numFmtId="0" fontId="25" fillId="0" borderId="0" xfId="0" applyFont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178" fontId="25" fillId="0" borderId="1" xfId="0" applyNumberFormat="1" applyFont="1" applyBorder="1" applyAlignment="1">
      <alignment horizontal="center" vertical="center" wrapText="1"/>
    </xf>
    <xf numFmtId="178" fontId="25" fillId="0" borderId="1" xfId="0" applyNumberFormat="1" applyFont="1" applyBorder="1" applyAlignment="1">
      <alignment horizontal="center" vertical="center"/>
    </xf>
    <xf numFmtId="176" fontId="25" fillId="0" borderId="1" xfId="0" applyNumberFormat="1" applyFont="1" applyBorder="1" applyAlignment="1">
      <alignment vertical="center"/>
    </xf>
    <xf numFmtId="178" fontId="25" fillId="0" borderId="1" xfId="0" applyNumberFormat="1" applyFont="1" applyBorder="1" applyAlignment="1">
      <alignment horizontal="right" vertical="center"/>
    </xf>
    <xf numFmtId="176" fontId="25" fillId="0" borderId="1" xfId="0" applyNumberFormat="1" applyFont="1" applyBorder="1" applyAlignment="1">
      <alignment horizontal="right" vertical="center"/>
    </xf>
    <xf numFmtId="0" fontId="25" fillId="0" borderId="1" xfId="0" applyFont="1" applyBorder="1" applyAlignment="1">
      <alignment horizontal="left" vertical="center"/>
    </xf>
    <xf numFmtId="178" fontId="25" fillId="0" borderId="0" xfId="1" applyNumberFormat="1" applyFont="1" applyBorder="1" applyAlignment="1">
      <alignment horizontal="right"/>
    </xf>
    <xf numFmtId="0" fontId="25" fillId="0" borderId="0" xfId="0" applyFont="1"/>
    <xf numFmtId="0" fontId="29" fillId="0" borderId="0" xfId="0" applyFont="1" applyAlignment="1">
      <alignment horizontal="left"/>
    </xf>
    <xf numFmtId="176" fontId="25" fillId="0" borderId="1" xfId="0" applyNumberFormat="1" applyFont="1" applyBorder="1"/>
    <xf numFmtId="176" fontId="25" fillId="0" borderId="1" xfId="0" applyNumberFormat="1" applyFont="1" applyBorder="1" applyAlignment="1">
      <alignment horizontal="right"/>
    </xf>
    <xf numFmtId="0" fontId="25" fillId="0" borderId="1" xfId="0" applyFont="1" applyBorder="1"/>
    <xf numFmtId="178" fontId="25" fillId="0" borderId="1" xfId="0" applyNumberFormat="1" applyFont="1" applyBorder="1" applyAlignment="1">
      <alignment horizontal="right"/>
    </xf>
    <xf numFmtId="0" fontId="25" fillId="0" borderId="1" xfId="0" applyFont="1" applyBorder="1" applyAlignment="1">
      <alignment horizontal="left"/>
    </xf>
    <xf numFmtId="0" fontId="30" fillId="0" borderId="0" xfId="0" applyFont="1"/>
    <xf numFmtId="0" fontId="31" fillId="0" borderId="0" xfId="0" applyFont="1"/>
    <xf numFmtId="0" fontId="32" fillId="19" borderId="0" xfId="0" applyFont="1" applyFill="1"/>
    <xf numFmtId="0" fontId="30" fillId="19" borderId="0" xfId="0" applyFont="1" applyFill="1"/>
    <xf numFmtId="0" fontId="33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34" fillId="0" borderId="0" xfId="0" applyFont="1"/>
    <xf numFmtId="0" fontId="0" fillId="19" borderId="0" xfId="0" applyFill="1"/>
    <xf numFmtId="178" fontId="0" fillId="0" borderId="0" xfId="0" applyNumberFormat="1" applyAlignment="1">
      <alignment horizontal="left"/>
    </xf>
    <xf numFmtId="178" fontId="0" fillId="0" borderId="0" xfId="0" applyNumberFormat="1" applyAlignment="1">
      <alignment wrapText="1"/>
    </xf>
    <xf numFmtId="178" fontId="16" fillId="0" borderId="0" xfId="0" applyNumberFormat="1" applyFont="1" applyAlignment="1">
      <alignment wrapText="1"/>
    </xf>
    <xf numFmtId="0" fontId="0" fillId="0" borderId="3" xfId="0" applyBorder="1" applyAlignment="1">
      <alignment horizontal="left"/>
    </xf>
    <xf numFmtId="178" fontId="20" fillId="0" borderId="0" xfId="0" applyNumberFormat="1" applyFont="1" applyAlignment="1">
      <alignment horizontal="left" vertical="center"/>
    </xf>
    <xf numFmtId="0" fontId="0" fillId="0" borderId="0" xfId="0" applyAlignment="1">
      <alignment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dxfs count="4017"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</border>
    </dxf>
    <dxf>
      <border>
        <right/>
      </border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9" formatCode="_-* #,##0_-;\-* #,##0_-;_-* &quot;-&quot;??_-;_-@_-"/>
    </dxf>
    <dxf>
      <numFmt numFmtId="179" formatCode="_-* #,##0_-;\-* #,##0_-;_-* &quot;-&quot;??_-;_-@_-"/>
    </dxf>
    <dxf>
      <alignment horizontal="center"/>
    </dxf>
    <dxf>
      <fill>
        <patternFill patternType="solid">
          <bgColor theme="2"/>
        </patternFill>
      </fill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-0.499984740745262"/>
        </patternFill>
      </fill>
    </dxf>
    <dxf>
      <font>
        <color theme="0"/>
      </font>
    </dxf>
    <dxf>
      <fill>
        <patternFill patternType="solid">
          <bgColor rgb="FFFFFF00"/>
        </patternFill>
      </fill>
    </dxf>
    <dxf>
      <font>
        <color auto="1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6" tint="-0.249977111117893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0.799951170384838"/>
        </patternFill>
      </fill>
    </dxf>
    <dxf>
      <fill>
        <patternFill patternType="solid">
          <bgColor theme="9" tint="0.599993896298105"/>
        </patternFill>
      </fill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ill>
        <patternFill patternType="solid">
          <bgColor theme="6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ont>
        <sz val="16"/>
      </font>
    </dxf>
    <dxf>
      <font>
        <sz val="16"/>
      </font>
    </dxf>
    <dxf>
      <font>
        <sz val="16"/>
      </font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0.799951170384838"/>
        </patternFill>
      </fill>
    </dxf>
    <dxf>
      <fill>
        <patternFill patternType="solid">
          <bgColor theme="0" tint="-0.14996795556505"/>
        </patternFill>
      </fill>
    </dxf>
    <dxf>
      <fill>
        <patternFill patternType="solid">
          <bgColor theme="0" tint="-0.14996795556505"/>
        </patternFill>
      </fill>
    </dxf>
    <dxf>
      <fill>
        <patternFill patternType="solid">
          <bgColor theme="0" tint="-0.14996795556505"/>
        </patternFill>
      </fill>
    </dxf>
    <dxf>
      <fill>
        <patternFill patternType="solid">
          <bgColor theme="0" tint="-0.14996795556505"/>
        </patternFill>
      </fill>
    </dxf>
    <dxf>
      <fill>
        <patternFill patternType="solid">
          <bgColor theme="0" tint="-0.14996795556505"/>
        </patternFill>
      </fill>
    </dxf>
    <dxf>
      <fill>
        <patternFill patternType="solid">
          <bgColor theme="0" tint="-0.14996795556505"/>
        </patternFill>
      </fill>
    </dxf>
    <dxf>
      <fill>
        <patternFill patternType="solid">
          <bgColor theme="0" tint="-0.14996795556505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0.39994506668294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 tint="-0.349986266670736"/>
        </patternFill>
      </fill>
    </dxf>
    <dxf>
      <fill>
        <patternFill patternType="solid">
          <bgColor theme="0" tint="-0.349986266670736"/>
        </patternFill>
      </fill>
    </dxf>
    <dxf>
      <fill>
        <patternFill patternType="solid">
          <bgColor theme="0" tint="-0.349986266670736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/>
      </fill>
    </dxf>
    <dxf>
      <font>
        <color auto="1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/>
        <top/>
        <bottom/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left/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/>
        <bottom/>
      </border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_-* #,##0.00_-;\-* #,##0.00_-;_-* &quot;-&quot;??_-;_-@_-"/>
    </dxf>
    <dxf>
      <alignment horizontal="left"/>
    </dxf>
    <dxf>
      <alignment wrapText="1"/>
    </dxf>
    <dxf>
      <alignment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-0.499984740745262"/>
        </patternFill>
      </fill>
    </dxf>
    <dxf>
      <font>
        <color theme="0"/>
      </font>
    </dxf>
    <dxf>
      <fill>
        <patternFill patternType="solid">
          <bgColor rgb="FFFFFF00"/>
        </patternFill>
      </fill>
    </dxf>
    <dxf>
      <font>
        <color auto="1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6" tint="-0.249977111117893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0.799951170384838"/>
        </patternFill>
      </fill>
    </dxf>
    <dxf>
      <fill>
        <patternFill patternType="solid">
          <bgColor theme="9" tint="0.599993896298105"/>
        </patternFill>
      </fill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numFmt numFmtId="178" formatCode="_-* #,##0_-;\-* #,##0_-;_-* &quot;-&quot;_-;_-@_-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ill>
        <patternFill patternType="solid">
          <bgColor theme="6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ont>
        <sz val="16"/>
      </font>
    </dxf>
    <dxf>
      <font>
        <sz val="16"/>
      </font>
    </dxf>
    <dxf>
      <font>
        <sz val="16"/>
      </font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-0.249977111117893"/>
        </patternFill>
      </fill>
    </dxf>
    <dxf>
      <fill>
        <patternFill patternType="solid">
          <bgColor theme="3" tint="0.799951170384838"/>
        </patternFill>
      </fill>
    </dxf>
    <dxf>
      <fill>
        <patternFill patternType="solid">
          <bgColor theme="0" tint="-0.14996795556505"/>
        </patternFill>
      </fill>
    </dxf>
    <dxf>
      <fill>
        <patternFill patternType="solid">
          <bgColor theme="0" tint="-0.14996795556505"/>
        </patternFill>
      </fill>
    </dxf>
    <dxf>
      <fill>
        <patternFill patternType="solid">
          <bgColor theme="0" tint="-0.14996795556505"/>
        </patternFill>
      </fill>
    </dxf>
    <dxf>
      <fill>
        <patternFill patternType="solid">
          <bgColor theme="0" tint="-0.14996795556505"/>
        </patternFill>
      </fill>
    </dxf>
    <dxf>
      <fill>
        <patternFill patternType="solid">
          <bgColor theme="0" tint="-0.14996795556505"/>
        </patternFill>
      </fill>
    </dxf>
    <dxf>
      <fill>
        <patternFill patternType="solid">
          <bgColor theme="0" tint="-0.14996795556505"/>
        </patternFill>
      </fill>
    </dxf>
    <dxf>
      <fill>
        <patternFill patternType="solid">
          <bgColor theme="0" tint="-0.14996795556505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0.39994506668294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0" tint="-0.349986266670736"/>
        </patternFill>
      </fill>
    </dxf>
    <dxf>
      <fill>
        <patternFill patternType="solid">
          <bgColor theme="0" tint="-0.349986266670736"/>
        </patternFill>
      </fill>
    </dxf>
    <dxf>
      <fill>
        <patternFill patternType="solid">
          <bgColor theme="0" tint="-0.349986266670736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/>
      </fill>
    </dxf>
    <dxf>
      <font>
        <color auto="1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/>
        <top/>
        <bottom/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left/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/>
        <bottom/>
      </border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_-* #,##0.00_-;\-* #,##0.00_-;_-* &quot;-&quot;??_-;_-@_-"/>
    </dxf>
    <dxf>
      <alignment horizontal="left"/>
    </dxf>
    <dxf>
      <alignment wrapText="1"/>
    </dxf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76" formatCode="_-* #,##0.00_-;\-* #,##0.00_-;_-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border>
        <left/>
      </border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wrapText="1"/>
    </dxf>
    <dxf>
      <alignment horizontal="left"/>
    </dxf>
    <dxf>
      <alignment wrapText="1"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numFmt numFmtId="176" formatCode="_-* #,##0.00_-;\-* #,##0.00_-;_-* &quot;-&quot;??_-;_-@_-"/>
    </dxf>
    <dxf>
      <numFmt numFmtId="180" formatCode="_-* #,##0.0_-;\-* #,##0.0_-;_-* &quot;-&quot;??_-;_-@_-"/>
    </dxf>
    <dxf>
      <numFmt numFmtId="179" formatCode="_-* #,##0_-;\-* #,##0_-;_-* &quot;-&quot;??_-;_-@_-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font>
        <name val="Arial Narrow"/>
        <scheme val="none"/>
      </font>
    </dxf>
    <dxf>
      <alignment/>
    </dxf>
    <dxf>
      <alignment wrapText="1"/>
    </dxf>
    <dxf>
      <numFmt numFmtId="179" formatCode="_-* #,##0_-;\-* #,##0_-;_-* &quot;-&quot;??_-;_-@_-"/>
    </dxf>
    <dxf>
      <numFmt numFmtId="179" formatCode="_-* #,##0_-;\-* #,##0_-;_-* &quot;-&quot;??_-;_-@_-"/>
    </dxf>
    <dxf>
      <numFmt numFmtId="179" formatCode="_-* #,##0_-;\-* #,##0_-;_-* &quot;-&quot;??_-;_-@_-"/>
    </dxf>
    <dxf>
      <numFmt numFmtId="179" formatCode="_-* #,##0_-;\-* #,##0_-;_-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</border>
    </dxf>
    <dxf>
      <border>
        <right/>
      </border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9" formatCode="_-* #,##0_-;\-* #,##0_-;_-* &quot;-&quot;??_-;_-@_-"/>
    </dxf>
    <dxf>
      <numFmt numFmtId="179" formatCode="_-* #,##0_-;\-* #,##0_-;_-* &quot;-&quot;??_-;_-@_-"/>
    </dxf>
    <dxf>
      <alignment horizontal="center"/>
    </dxf>
    <dxf>
      <fill>
        <patternFill patternType="solid">
          <bgColor theme="2"/>
        </patternFill>
      </fill>
    </dxf>
    <dxf>
      <alignment horizontal="left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</border>
    </dxf>
    <dxf>
      <border>
        <right/>
      </border>
    </dxf>
    <dxf>
      <numFmt numFmtId="179" formatCode="_-* #,##0_-;\-* #,##0_-;_-* &quot;-&quot;??_-;_-@_-"/>
    </dxf>
    <dxf>
      <numFmt numFmtId="179" formatCode="_-* #,##0_-;\-* #,##0_-;_-* &quot;-&quot;??_-;_-@_-"/>
    </dxf>
    <dxf>
      <numFmt numFmtId="179" formatCode="_-* #,##0_-;\-* #,##0_-;_-* &quot;-&quot;??_-;_-@_-"/>
    </dxf>
    <dxf>
      <numFmt numFmtId="179" formatCode="_-* #,##0_-;\-* #,##0_-;_-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</border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name val="Calibri"/>
        <scheme val="none"/>
        <strike val="0"/>
        <u val="none"/>
        <sz val="11"/>
        <color auto="1"/>
      </font>
      <numFmt numFmtId="0" formatCode="General"/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</dxf>
    <dxf>
      <font>
        <name val="Calibri"/>
        <scheme val="none"/>
        <strike val="0"/>
        <u val="none"/>
        <sz val="11"/>
        <color auto="1"/>
      </font>
    </dxf>
    <dxf>
      <font>
        <name val="Calibri"/>
        <scheme val="none"/>
        <strike val="0"/>
        <u val="none"/>
        <sz val="11"/>
        <color auto="1"/>
      </font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</dxf>
    <dxf>
      <font>
        <name val="Calibri"/>
        <scheme val="none"/>
        <strike val="0"/>
        <u val="none"/>
        <sz val="11"/>
        <color auto="1"/>
      </font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</dxf>
    <dxf>
      <font>
        <name val="Calibri"/>
        <scheme val="none"/>
        <strike val="0"/>
        <u val="none"/>
        <sz val="11"/>
        <color auto="1"/>
      </font>
    </dxf>
    <dxf>
      <font>
        <name val="Calibri"/>
        <scheme val="none"/>
        <strike val="0"/>
        <u val="none"/>
        <sz val="11"/>
        <color auto="1"/>
      </font>
      <numFmt numFmtId="0" formatCode="General"/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theme="0"/>
      </font>
      <numFmt numFmtId="0" formatCode="General"/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FF0000"/>
        </diagonal>
      </border>
    </dxf>
    <dxf>
      <font>
        <name val="Calibri"/>
        <scheme val="none"/>
        <strike val="0"/>
        <u val="none"/>
        <sz val="11"/>
        <color theme="0"/>
      </font>
      <numFmt numFmtId="0" formatCode="General"/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FF0000"/>
        </diagonal>
      </border>
    </dxf>
    <dxf>
      <font>
        <name val="Calibri"/>
        <scheme val="none"/>
        <strike val="0"/>
        <u val="none"/>
        <sz val="11"/>
        <color theme="0"/>
      </font>
      <numFmt numFmtId="0" formatCode="General"/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FF0000"/>
        </diagonal>
      </border>
    </dxf>
    <dxf>
      <font>
        <name val="Calibri"/>
        <scheme val="none"/>
        <strike val="0"/>
        <u val="none"/>
        <sz val="11"/>
        <color theme="0"/>
      </font>
      <numFmt numFmtId="0" formatCode="General"/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FF0000"/>
        </diagonal>
      </border>
    </dxf>
    <dxf>
      <font>
        <name val="Calibri"/>
        <scheme val="none"/>
        <strike val="0"/>
        <u val="none"/>
        <sz val="11"/>
        <color theme="0"/>
      </font>
      <numFmt numFmtId="0" formatCode="General"/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FF0000"/>
        </diagonal>
      </border>
    </dxf>
    <dxf>
      <font>
        <name val="Calibri"/>
        <scheme val="none"/>
        <strike val="0"/>
        <u val="none"/>
        <sz val="11"/>
        <color theme="0"/>
      </font>
      <numFmt numFmtId="0" formatCode="General"/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FF0000"/>
        </diagonal>
      </border>
    </dxf>
    <dxf>
      <font>
        <name val="Calibri"/>
        <scheme val="none"/>
        <strike val="0"/>
        <u val="none"/>
        <sz val="11"/>
        <color theme="0"/>
      </font>
      <numFmt numFmtId="0" formatCode="General"/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FF0000"/>
        </diagonal>
      </border>
    </dxf>
    <dxf>
      <font>
        <name val="Calibri"/>
        <scheme val="none"/>
        <strike val="0"/>
        <u val="none"/>
        <sz val="11"/>
        <color theme="0"/>
      </font>
      <numFmt numFmtId="0" formatCode="General"/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FF0000"/>
        </diagonal>
      </border>
    </dxf>
    <dxf>
      <font>
        <name val="Calibri"/>
        <scheme val="none"/>
        <strike val="0"/>
        <u val="none"/>
        <sz val="11"/>
        <color theme="0"/>
      </font>
      <numFmt numFmtId="0" formatCode="General"/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FF0000"/>
        </diagonal>
      </border>
    </dxf>
    <dxf>
      <fill>
        <patternFill patternType="solid">
          <bgColor rgb="FFC00000"/>
        </patternFill>
      </fill>
    </dxf>
    <dxf>
      <font>
        <name val="Calibri"/>
        <scheme val="none"/>
        <strike val="0"/>
        <u val="none"/>
        <sz val="11"/>
        <color auto="1"/>
      </font>
      <numFmt numFmtId="0" formatCode="General"/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</dxf>
    <dxf>
      <font>
        <name val="Calibri"/>
        <scheme val="none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strike val="0"/>
        <u val="none"/>
        <sz val="11"/>
        <color auto="1"/>
      </font>
    </dxf>
    <dxf>
      <font>
        <name val="Calibri"/>
        <scheme val="none"/>
        <strike val="0"/>
        <u val="none"/>
        <sz val="11"/>
        <color auto="1"/>
      </font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  <alignment horizontal="left"/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  <alignment horizontal="left"/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  <alignment horizontal="left"/>
    </dxf>
    <dxf>
      <font>
        <name val="Calibri"/>
        <scheme val="none"/>
        <strike val="0"/>
        <u val="none"/>
        <sz val="11"/>
        <color auto="1"/>
      </font>
    </dxf>
    <dxf>
      <font>
        <name val="Calibri"/>
        <scheme val="none"/>
        <strike val="0"/>
        <u val="none"/>
        <sz val="11"/>
        <color auto="1"/>
      </font>
      <numFmt numFmtId="0" formatCode="General"/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numFmt numFmtId="0" formatCode="General"/>
    </dxf>
    <dxf>
      <font>
        <name val="Calibri"/>
        <scheme val="none"/>
        <strike val="0"/>
        <u val="none"/>
        <sz val="11"/>
        <color auto="1"/>
      </font>
    </dxf>
    <dxf>
      <font>
        <name val="Calibri"/>
        <scheme val="none"/>
        <strike val="0"/>
        <u val="none"/>
        <sz val="11"/>
        <color auto="1"/>
      </font>
      <numFmt numFmtId="2" formatCode="0.00"/>
      <fill>
        <patternFill patternType="solid">
          <bgColor theme="0" tint="-0.499984740745262"/>
        </patternFill>
      </fill>
    </dxf>
    <dxf>
      <font>
        <name val="Calibri"/>
        <scheme val="none"/>
        <strike val="0"/>
        <u val="none"/>
        <sz val="11"/>
        <color auto="1"/>
      </font>
      <numFmt numFmtId="2" formatCode="0.00"/>
    </dxf>
    <dxf>
      <font>
        <name val="Calibri"/>
        <scheme val="none"/>
        <strike val="0"/>
        <u val="none"/>
        <sz val="11"/>
        <color auto="1"/>
      </font>
      <numFmt numFmtId="2" formatCode="0.00"/>
    </dxf>
    <dxf>
      <font>
        <name val="Calibri"/>
        <scheme val="none"/>
        <strike val="0"/>
        <u val="none"/>
        <sz val="11"/>
        <color auto="1"/>
      </font>
      <numFmt numFmtId="2" formatCode="0.00"/>
    </dxf>
    <dxf>
      <font>
        <name val="Calibri"/>
        <scheme val="none"/>
        <strike val="0"/>
        <u val="none"/>
        <sz val="11"/>
        <color auto="1"/>
      </font>
      <numFmt numFmtId="2" formatCode="0.00"/>
    </dxf>
    <dxf>
      <font>
        <name val="Calibri"/>
        <scheme val="none"/>
        <b val="0"/>
        <i val="0"/>
        <strike val="0"/>
        <u val="none"/>
        <sz val="11"/>
        <color theme="0"/>
      </font>
      <numFmt numFmtId="0" formatCode="General"/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C00000"/>
        </diagonal>
      </border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C00000"/>
        </diagonal>
      </border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C00000"/>
        </diagonal>
      </border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C00000"/>
        </diagonal>
      </border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C00000"/>
        </diagonal>
      </border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C00000"/>
        </diagonal>
      </border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C00000"/>
        </diagonal>
      </border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C00000"/>
        </diagonal>
      </border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C00000"/>
        </diagonal>
      </border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C00000"/>
        </diagonal>
      </border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C00000"/>
        </diagonal>
      </border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C00000"/>
        </diagonal>
      </border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C00000"/>
        </diagonal>
      </border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C00000"/>
        </diagonal>
      </border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C00000"/>
        </diagonal>
      </border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C00000"/>
        </diagonal>
      </border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C00000"/>
        </diagonal>
      </border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C00000"/>
        </diagonal>
      </border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C00000"/>
        </diagonal>
      </border>
    </dxf>
    <dxf>
      <font>
        <name val="Calibri"/>
        <scheme val="none"/>
        <strike val="0"/>
        <u val="none"/>
        <sz val="11"/>
        <color theme="0"/>
      </font>
      <fill>
        <patternFill patternType="solid">
          <bgColor theme="2" tint="-0.899960325937681"/>
        </patternFill>
      </fill>
      <border diagonalUp="1" diagonalDown="1">
        <left/>
        <right/>
        <top/>
        <bottom/>
        <diagonal style="thin">
          <color rgb="FFC00000"/>
        </diagonal>
      </border>
    </dxf>
    <dxf>
      <font>
        <name val="Arial Narrow"/>
        <scheme val="none"/>
        <b val="0"/>
        <i val="0"/>
        <strike val="0"/>
        <u val="none"/>
        <sz val="10"/>
        <color theme="1"/>
      </font>
      <fill>
        <patternFill patternType="none"/>
      </fill>
      <alignment vertical="top"/>
    </dxf>
    <dxf>
      <font>
        <name val="Arial Narrow"/>
        <scheme val="none"/>
        <b val="0"/>
        <i val="0"/>
        <strike val="0"/>
        <u val="none"/>
        <sz val="10"/>
        <color theme="1"/>
      </font>
      <fill>
        <patternFill patternType="none"/>
      </fill>
      <alignment vertical="top"/>
    </dxf>
    <dxf>
      <font>
        <name val="Arial Narrow"/>
        <scheme val="none"/>
        <b val="0"/>
        <i val="0"/>
        <strike val="0"/>
        <u val="none"/>
        <sz val="10"/>
        <color theme="1"/>
      </font>
      <fill>
        <patternFill patternType="none"/>
      </fill>
      <alignment vertical="top"/>
    </dxf>
    <dxf>
      <font>
        <name val="Arial Narrow"/>
        <scheme val="none"/>
        <b val="0"/>
        <i val="0"/>
        <strike val="0"/>
        <u val="none"/>
        <sz val="10"/>
        <color theme="1"/>
      </font>
      <alignment vertical="top"/>
    </dxf>
    <dxf>
      <font>
        <name val="Arial Narrow"/>
        <scheme val="none"/>
        <b val="0"/>
        <i val="0"/>
        <strike val="0"/>
        <u val="none"/>
        <sz val="10"/>
        <color theme="1"/>
      </font>
      <alignment vertical="top"/>
    </dxf>
    <dxf>
      <font>
        <name val="Arial Narrow"/>
        <scheme val="none"/>
        <b val="0"/>
        <i val="0"/>
        <strike val="0"/>
        <u val="none"/>
        <sz val="10"/>
        <color theme="1"/>
      </font>
      <fill>
        <patternFill patternType="none"/>
      </fill>
      <alignment vertical="top"/>
    </dxf>
    <dxf>
      <font>
        <name val="Arial Narrow"/>
        <scheme val="none"/>
        <b val="0"/>
        <i val="0"/>
        <strike val="0"/>
        <u val="none"/>
        <sz val="10"/>
        <color theme="1"/>
      </font>
      <fill>
        <patternFill patternType="none"/>
      </fill>
      <alignment vertical="top"/>
    </dxf>
    <dxf>
      <font>
        <color rgb="FF9C0006"/>
      </font>
      <fill>
        <patternFill patternType="solid">
          <bgColor rgb="FFFFC7CE"/>
        </patternFill>
      </fill>
    </dxf>
    <dxf>
      <font>
        <name val="Arial Narrow"/>
        <scheme val="none"/>
        <strike val="0"/>
        <u val="none"/>
        <sz val="11"/>
        <color theme="1"/>
      </font>
    </dxf>
    <dxf>
      <font>
        <name val="Arial Narrow"/>
        <scheme val="none"/>
        <strike val="0"/>
        <u val="none"/>
        <sz val="11"/>
        <color theme="1"/>
      </font>
    </dxf>
    <dxf>
      <font>
        <name val="Arial Narrow"/>
        <scheme val="none"/>
        <strike val="0"/>
        <u val="none"/>
        <sz val="11"/>
        <color theme="1"/>
      </font>
    </dxf>
    <dxf>
      <font>
        <name val="Arial Narrow"/>
        <scheme val="none"/>
        <strike val="0"/>
        <u val="none"/>
        <sz val="11"/>
        <color theme="1"/>
      </font>
    </dxf>
    <dxf>
      <font>
        <name val="Arial Narrow"/>
        <scheme val="none"/>
        <strike val="0"/>
        <u val="none"/>
        <sz val="11"/>
        <color theme="1"/>
      </font>
    </dxf>
    <dxf>
      <font>
        <name val="Arial Narrow"/>
        <scheme val="none"/>
        <strike val="0"/>
        <u val="none"/>
        <sz val="11"/>
        <color theme="1"/>
      </font>
    </dxf>
    <dxf>
      <font>
        <name val="Arial Narrow"/>
        <scheme val="none"/>
        <strike val="0"/>
        <u val="none"/>
        <sz val="11"/>
        <color theme="1"/>
      </font>
    </dxf>
    <dxf>
      <font>
        <name val="Arial Narrow"/>
        <scheme val="none"/>
        <strike val="0"/>
        <u val="none"/>
        <sz val="11"/>
        <color theme="1"/>
      </font>
    </dxf>
    <dxf>
      <font>
        <name val="Arial Narrow"/>
        <scheme val="none"/>
        <strike val="0"/>
        <u val="none"/>
        <sz val="11"/>
        <color theme="1"/>
      </font>
    </dxf>
    <dxf>
      <font>
        <name val="Arial Narrow"/>
        <scheme val="none"/>
        <strike val="0"/>
        <u val="none"/>
        <sz val="11"/>
        <color theme="1"/>
      </font>
    </dxf>
    <dxf>
      <font>
        <name val="Arial Narrow"/>
        <scheme val="none"/>
        <strike val="0"/>
        <u val="none"/>
        <sz val="11"/>
        <color theme="1"/>
      </font>
    </dxf>
    <dxf>
      <font>
        <name val="Arial Narrow"/>
        <scheme val="none"/>
        <strike val="0"/>
        <u val="none"/>
        <sz val="11"/>
        <color theme="1"/>
      </font>
    </dxf>
    <dxf>
      <font>
        <name val="Arial Narrow"/>
        <scheme val="none"/>
        <strike val="0"/>
        <u val="none"/>
        <sz val="11"/>
        <color theme="1"/>
      </font>
    </dxf>
    <dxf>
      <font>
        <name val="Arial Narrow"/>
        <scheme val="none"/>
        <strike val="0"/>
        <u val="none"/>
        <sz val="11"/>
        <color theme="1"/>
      </font>
    </dxf>
    <dxf>
      <font>
        <name val="Arial Narrow"/>
        <scheme val="none"/>
        <strike val="0"/>
        <u val="none"/>
        <sz val="11"/>
        <color theme="1"/>
      </font>
    </dxf>
    <dxf>
      <font>
        <name val="Arial Narrow"/>
        <scheme val="none"/>
        <strike val="0"/>
        <u val="none"/>
        <sz val="11"/>
        <color theme="1"/>
      </font>
    </dxf>
    <dxf>
      <font>
        <name val="Arial Narrow"/>
        <scheme val="none"/>
        <strike val="0"/>
        <u val="none"/>
        <sz val="11"/>
        <color theme="1"/>
      </font>
    </dxf>
    <dxf>
      <font>
        <name val="Arial Narrow"/>
        <scheme val="none"/>
        <strike val="0"/>
        <u val="none"/>
        <sz val="11"/>
        <color theme="1"/>
      </font>
    </dxf>
    <dxf>
      <font>
        <name val="Arial Narrow"/>
        <scheme val="none"/>
        <strike val="0"/>
        <u val="none"/>
        <sz val="11"/>
        <color theme="1"/>
      </font>
    </dxf>
    <dxf>
      <font>
        <name val="Arial Narrow"/>
        <scheme val="none"/>
        <strike val="0"/>
        <u val="none"/>
        <sz val="11"/>
        <color theme="1"/>
      </font>
    </dxf>
    <dxf>
      <fill>
        <patternFill patternType="solid">
          <fgColor theme="0" tint="-0.14996795556505"/>
          <bgColor theme="0" tint="-0.14996795556505"/>
        </patternFill>
      </fill>
    </dxf>
    <dxf>
      <fill>
        <patternFill patternType="solid">
          <fgColor theme="0" tint="-0.14996795556505"/>
          <bgColor theme="0" tint="-0.14996795556505"/>
        </patternFill>
      </fill>
    </dxf>
    <dxf>
      <font>
        <b val="1"/>
        <color theme="1"/>
      </font>
    </dxf>
    <dxf>
      <font>
        <b val="1"/>
        <color theme="1"/>
      </font>
      <fill>
        <patternFill patternType="solid">
          <fgColor theme="0" tint="-0.14996795556505"/>
          <bgColor theme="0" tint="-0.14996795556505"/>
        </patternFill>
      </fill>
    </dxf>
    <dxf>
      <font>
        <b val="1"/>
        <color theme="1"/>
      </font>
    </dxf>
    <dxf>
      <font>
        <b val="1"/>
        <color theme="1"/>
      </font>
      <fill>
        <patternFill patternType="solid">
          <fgColor theme="0" tint="-0.249977111117893"/>
          <bgColor theme="0" tint="-0.249977111117893"/>
        </patternFill>
      </fill>
    </dxf>
    <dxf>
      <font>
        <b val="1"/>
        <color theme="1"/>
      </font>
      <border>
        <left style="medium">
          <color theme="0" tint="-0.249977111117893"/>
        </left>
        <right style="medium">
          <color theme="0" tint="-0.249977111117893"/>
        </right>
        <top style="medium">
          <color theme="0" tint="-0.249977111117893"/>
        </top>
        <bottom style="medium">
          <color theme="0" tint="-0.249977111117893"/>
        </bottom>
      </border>
    </dxf>
    <dxf>
      <border>
        <left style="medium">
          <color theme="0" tint="-0.14996795556505"/>
        </left>
        <right style="medium">
          <color theme="0" tint="-0.14996795556505"/>
        </right>
      </border>
    </dxf>
    <dxf>
      <border>
        <top style="thin">
          <color theme="0" tint="-0.249977111117893"/>
        </top>
        <bottom style="thin">
          <color theme="0" tint="-0.249977111117893"/>
        </bottom>
        <horizontal style="thin">
          <color theme="0" tint="-0.249977111117893"/>
        </horizontal>
      </border>
    </dxf>
    <dxf>
      <font>
        <b val="1"/>
        <color theme="1"/>
      </font>
      <border>
        <top style="thin">
          <color theme="1"/>
        </top>
        <bottom style="medium">
          <color theme="1" tint="0.499984740745262"/>
        </bottom>
      </border>
    </dxf>
    <dxf>
      <font>
        <b val="1"/>
        <color theme="0"/>
      </font>
      <fill>
        <patternFill patternType="solid">
          <fgColor theme="1" tint="0.499984740745262"/>
          <bgColor theme="1" tint="0.499984740745262"/>
        </patternFill>
      </fill>
      <border>
        <top style="medium">
          <color theme="1" tint="0.499984740745262"/>
        </top>
      </border>
    </dxf>
    <dxf>
      <font>
        <color theme="1"/>
      </font>
    </dxf>
    <dxf>
      <fill>
        <patternFill patternType="solid">
          <fgColor theme="6" tint="0.799951170384838"/>
          <bgColor theme="6" tint="0.799951170384838"/>
        </patternFill>
      </fill>
    </dxf>
    <dxf>
      <fill>
        <patternFill patternType="solid">
          <fgColor theme="6" tint="0.799951170384838"/>
          <bgColor theme="6" tint="0.799951170384838"/>
        </patternFill>
      </fill>
    </dxf>
    <dxf>
      <font>
        <b val="1"/>
        <color theme="1"/>
      </font>
    </dxf>
    <dxf>
      <font>
        <b val="1"/>
        <color theme="1"/>
      </font>
      <fill>
        <patternFill patternType="solid">
          <fgColor theme="6" tint="0.799951170384838"/>
          <bgColor theme="6" tint="0.799951170384838"/>
        </patternFill>
      </fill>
    </dxf>
    <dxf>
      <font>
        <b val="1"/>
        <color theme="1"/>
      </font>
    </dxf>
    <dxf>
      <font>
        <b val="1"/>
        <color theme="1"/>
      </font>
      <fill>
        <patternFill patternType="solid">
          <fgColor theme="6" tint="0.599993896298105"/>
          <bgColor theme="6" tint="0.599993896298105"/>
        </patternFill>
      </fill>
    </dxf>
    <dxf>
      <font>
        <b val="1"/>
        <color theme="1"/>
      </font>
      <border>
        <left style="medium">
          <color theme="6" tint="0.599993896298105"/>
        </left>
        <right style="medium">
          <color theme="6" tint="0.599993896298105"/>
        </right>
        <top style="medium">
          <color theme="6" tint="0.599993896298105"/>
        </top>
        <bottom style="medium">
          <color theme="6" tint="0.599993896298105"/>
        </bottom>
      </border>
    </dxf>
    <dxf>
      <border>
        <left style="thin">
          <color theme="6" tint="0.399945066682943"/>
        </left>
        <right style="thin">
          <color theme="6" tint="0.399945066682943"/>
        </right>
      </border>
    </dxf>
    <dxf>
      <border>
        <top style="thin">
          <color theme="6" tint="0.399945066682943"/>
        </top>
        <bottom style="thin">
          <color theme="6" tint="0.399945066682943"/>
        </bottom>
        <horizontal style="thin">
          <color theme="6" tint="0.399945066682943"/>
        </horizontal>
      </border>
    </dxf>
    <dxf>
      <font>
        <b val="1"/>
        <i val="0"/>
        <color theme="1"/>
      </font>
      <fill>
        <patternFill patternType="solid">
          <bgColor rgb="FFFFC000"/>
        </patternFill>
      </fill>
      <border>
        <top style="thin">
          <color theme="6" tint="-0.249977111117893"/>
        </top>
        <bottom style="medium">
          <color theme="6" tint="-0.249977111117893"/>
        </bottom>
      </border>
    </dxf>
    <dxf>
      <font>
        <b val="1"/>
        <color theme="0"/>
      </font>
      <fill>
        <patternFill patternType="solid">
          <fgColor theme="6"/>
          <bgColor theme="6"/>
        </patternFill>
      </fill>
      <border>
        <top style="medium">
          <color theme="6" tint="-0.249977111117893"/>
        </top>
      </border>
    </dxf>
    <dxf>
      <font>
        <color theme="1"/>
      </font>
    </dxf>
    <dxf>
      <fill>
        <patternFill patternType="solid">
          <fgColor theme="0" tint="-0.14996795556505"/>
          <bgColor theme="0" tint="-0.14996795556505"/>
        </patternFill>
      </fill>
    </dxf>
    <dxf>
      <fill>
        <patternFill patternType="solid">
          <fgColor theme="0" tint="-0.14996795556505"/>
          <bgColor theme="0" tint="-0.14996795556505"/>
        </patternFill>
      </fill>
    </dxf>
    <dxf>
      <font>
        <b val="1"/>
        <color theme="1"/>
      </font>
    </dxf>
    <dxf>
      <font>
        <b val="1"/>
        <color theme="1"/>
      </font>
      <fill>
        <patternFill patternType="solid">
          <fgColor theme="0" tint="-0.14996795556505"/>
          <bgColor theme="0" tint="-0.14996795556505"/>
        </patternFill>
      </fill>
    </dxf>
    <dxf>
      <font>
        <b val="1"/>
        <color theme="1"/>
      </font>
    </dxf>
    <dxf>
      <font>
        <b val="1"/>
        <color theme="1"/>
      </font>
      <fill>
        <patternFill patternType="solid">
          <fgColor theme="0" tint="-0.249977111117893"/>
          <bgColor theme="0" tint="-0.249977111117893"/>
        </patternFill>
      </fill>
    </dxf>
    <dxf>
      <font>
        <b val="1"/>
        <color theme="1"/>
      </font>
      <border>
        <left style="medium">
          <color theme="0" tint="-0.249977111117893"/>
        </left>
        <right style="medium">
          <color theme="0" tint="-0.249977111117893"/>
        </right>
        <top style="medium">
          <color theme="0" tint="-0.249977111117893"/>
        </top>
        <bottom style="medium">
          <color theme="0" tint="-0.249977111117893"/>
        </bottom>
      </border>
    </dxf>
    <dxf>
      <border>
        <left style="medium">
          <color theme="0" tint="-0.14996795556505"/>
        </left>
        <right style="medium">
          <color theme="0" tint="-0.14996795556505"/>
        </right>
      </border>
    </dxf>
    <dxf>
      <border>
        <top style="thin">
          <color theme="0" tint="-0.249977111117893"/>
        </top>
        <bottom style="thin">
          <color theme="0" tint="-0.249977111117893"/>
        </bottom>
        <horizontal style="thin">
          <color theme="0" tint="-0.249977111117893"/>
        </horizontal>
      </border>
    </dxf>
    <dxf>
      <font>
        <b val="1"/>
        <color theme="1"/>
      </font>
      <border>
        <top style="thin">
          <color theme="1"/>
        </top>
        <bottom style="medium">
          <color theme="1" tint="0.499984740745262"/>
        </bottom>
      </border>
    </dxf>
    <dxf>
      <font>
        <b val="1"/>
        <color theme="0"/>
      </font>
      <fill>
        <patternFill patternType="solid">
          <fgColor theme="1" tint="0.499984740745262"/>
          <bgColor theme="1" tint="0.499984740745262"/>
        </patternFill>
      </fill>
      <border>
        <top style="medium">
          <color theme="1" tint="0.499984740745262"/>
        </top>
      </border>
    </dxf>
    <dxf>
      <font>
        <color theme="1"/>
      </font>
    </dxf>
  </dxfs>
  <tableStyles count="3" defaultTableStyle="TableStyleMedium2" defaultPivotStyle="PivotStyleLight16">
    <tableStyle name="BED13" table="0" count="12" xr9:uid="{A3AFF9FF-ACA6-49E1-AEBC-7406A9CEE8E6}">
      <tableStyleElement type="wholeTable" dxfId="3992"/>
      <tableStyleElement type="headerRow" dxfId="3991"/>
      <tableStyleElement type="totalRow" dxfId="3990"/>
      <tableStyleElement type="firstRowStripe" dxfId="3989"/>
      <tableStyleElement type="firstColumnStripe" dxfId="3988"/>
      <tableStyleElement type="firstSubtotalColumn" dxfId="3987"/>
      <tableStyleElement type="firstSubtotalRow" dxfId="3986"/>
      <tableStyleElement type="secondSubtotalRow" dxfId="3985"/>
      <tableStyleElement type="firstRowSubheading" dxfId="3984"/>
      <tableStyleElement type="secondRowSubheading" dxfId="3983"/>
      <tableStyleElement type="pageFieldLabels" dxfId="3982"/>
      <tableStyleElement type="pageFieldValues" dxfId="3981"/>
    </tableStyle>
    <tableStyle name="PivotStyleMedium11 2" table="0" count="12" xr9:uid="{747E4077-8B8D-4DB1-A31E-37FB0D7BFB7B}">
      <tableStyleElement type="wholeTable" dxfId="4004"/>
      <tableStyleElement type="headerRow" dxfId="4003"/>
      <tableStyleElement type="totalRow" dxfId="4002"/>
      <tableStyleElement type="firstRowStripe" dxfId="4001"/>
      <tableStyleElement type="firstColumnStripe" dxfId="4000"/>
      <tableStyleElement type="firstSubtotalColumn" dxfId="3999"/>
      <tableStyleElement type="firstSubtotalRow" dxfId="3998"/>
      <tableStyleElement type="secondSubtotalRow" dxfId="3997"/>
      <tableStyleElement type="firstRowSubheading" dxfId="3996"/>
      <tableStyleElement type="secondRowSubheading" dxfId="3995"/>
      <tableStyleElement type="pageFieldLabels" dxfId="3994"/>
      <tableStyleElement type="pageFieldValues" dxfId="3993"/>
    </tableStyle>
    <tableStyle name="PivotStyleMedium8 2" table="0" count="12" xr9:uid="{FF6E09BF-1535-4075-A84E-410122478735}">
      <tableStyleElement type="wholeTable" dxfId="4016"/>
      <tableStyleElement type="headerRow" dxfId="4015"/>
      <tableStyleElement type="totalRow" dxfId="4014"/>
      <tableStyleElement type="firstRowStripe" dxfId="4013"/>
      <tableStyleElement type="firstColumnStripe" dxfId="4012"/>
      <tableStyleElement type="firstSubtotalColumn" dxfId="4011"/>
      <tableStyleElement type="firstSubtotalRow" dxfId="4010"/>
      <tableStyleElement type="secondSubtotalRow" dxfId="4009"/>
      <tableStyleElement type="firstRowSubheading" dxfId="4008"/>
      <tableStyleElement type="secondRowSubheading" dxfId="4007"/>
      <tableStyleElement type="pageFieldLabels" dxfId="4006"/>
      <tableStyleElement type="pageFieldValues" dxfId="4005"/>
    </tableStyle>
  </tableStyles>
  <colors>
    <mruColors>
      <color rgb="00FF9966"/>
      <color rgb="00339933"/>
      <color rgb="00FFFF66"/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www.wps.cn/officeDocument/2023/relationships/customStorage" Target="customStorage/customStorage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.xml"/><Relationship Id="rId18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54</xdr:col>
      <xdr:colOff>0</xdr:colOff>
      <xdr:row>2</xdr:row>
      <xdr:rowOff>0</xdr:rowOff>
    </xdr:from>
    <xdr:to>
      <xdr:col>56</xdr:col>
      <xdr:colOff>783166</xdr:colOff>
      <xdr:row>3</xdr:row>
      <xdr:rowOff>81643</xdr:rowOff>
    </xdr:to>
    <xdr:sp>
      <xdr:nvSpPr>
        <xdr:cNvPr id="2" name="TextBox 1"/>
        <xdr:cNvSpPr txBox="1"/>
      </xdr:nvSpPr>
      <xdr:spPr>
        <a:xfrm>
          <a:off x="37518975" y="400050"/>
          <a:ext cx="2373630" cy="2813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600" b="1"/>
            <a:t>DARFO2_FOD-NCP_17-1</a:t>
          </a:r>
          <a:endParaRPr lang="en-PH" sz="1600" b="1"/>
        </a:p>
      </xdr:txBody>
    </xdr:sp>
    <xdr:clientData/>
  </xdr:twoCellAnchor>
  <xdr:twoCellAnchor>
    <xdr:from>
      <xdr:col>23</xdr:col>
      <xdr:colOff>0</xdr:colOff>
      <xdr:row>2</xdr:row>
      <xdr:rowOff>0</xdr:rowOff>
    </xdr:from>
    <xdr:to>
      <xdr:col>25</xdr:col>
      <xdr:colOff>772583</xdr:colOff>
      <xdr:row>3</xdr:row>
      <xdr:rowOff>81643</xdr:rowOff>
    </xdr:to>
    <xdr:sp>
      <xdr:nvSpPr>
        <xdr:cNvPr id="3" name="TextBox 2"/>
        <xdr:cNvSpPr txBox="1"/>
      </xdr:nvSpPr>
      <xdr:spPr>
        <a:xfrm>
          <a:off x="17364075" y="400050"/>
          <a:ext cx="2372360" cy="2813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600" b="1"/>
            <a:t>DARFO2_FOD-NCP_17-1</a:t>
          </a:r>
          <a:endParaRPr lang="en-PH" sz="16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54</xdr:col>
      <xdr:colOff>0</xdr:colOff>
      <xdr:row>2</xdr:row>
      <xdr:rowOff>0</xdr:rowOff>
    </xdr:from>
    <xdr:to>
      <xdr:col>56</xdr:col>
      <xdr:colOff>217716</xdr:colOff>
      <xdr:row>3</xdr:row>
      <xdr:rowOff>81643</xdr:rowOff>
    </xdr:to>
    <xdr:sp>
      <xdr:nvSpPr>
        <xdr:cNvPr id="2" name="TextBox 1"/>
        <xdr:cNvSpPr txBox="1"/>
      </xdr:nvSpPr>
      <xdr:spPr>
        <a:xfrm>
          <a:off x="3600450" y="400050"/>
          <a:ext cx="0" cy="2813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600" b="1"/>
            <a:t>DARFO2_FOD-NCP_17-1</a:t>
          </a:r>
          <a:endParaRPr lang="en-PH" sz="1600" b="1"/>
        </a:p>
      </xdr:txBody>
    </xdr:sp>
    <xdr:clientData/>
  </xdr:twoCellAnchor>
  <xdr:twoCellAnchor>
    <xdr:from>
      <xdr:col>86</xdr:col>
      <xdr:colOff>0</xdr:colOff>
      <xdr:row>2</xdr:row>
      <xdr:rowOff>0</xdr:rowOff>
    </xdr:from>
    <xdr:to>
      <xdr:col>89</xdr:col>
      <xdr:colOff>275167</xdr:colOff>
      <xdr:row>3</xdr:row>
      <xdr:rowOff>81643</xdr:rowOff>
    </xdr:to>
    <xdr:sp>
      <xdr:nvSpPr>
        <xdr:cNvPr id="3" name="TextBox 2"/>
        <xdr:cNvSpPr txBox="1"/>
      </xdr:nvSpPr>
      <xdr:spPr>
        <a:xfrm>
          <a:off x="20154900" y="400050"/>
          <a:ext cx="2379980" cy="2813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600" b="1"/>
            <a:t>DARFO2_FOD-NCP_17-3</a:t>
          </a:r>
          <a:endParaRPr lang="en-PH" sz="16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38</xdr:col>
      <xdr:colOff>0</xdr:colOff>
      <xdr:row>1</xdr:row>
      <xdr:rowOff>0</xdr:rowOff>
    </xdr:from>
    <xdr:to>
      <xdr:col>43</xdr:col>
      <xdr:colOff>312964</xdr:colOff>
      <xdr:row>2</xdr:row>
      <xdr:rowOff>78619</xdr:rowOff>
    </xdr:to>
    <xdr:sp>
      <xdr:nvSpPr>
        <xdr:cNvPr id="2" name="TextBox 1"/>
        <xdr:cNvSpPr txBox="1"/>
      </xdr:nvSpPr>
      <xdr:spPr>
        <a:xfrm>
          <a:off x="22212300" y="200025"/>
          <a:ext cx="2369820" cy="2781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600" b="1"/>
            <a:t>DARFO2_FOD-NCP_17-2</a:t>
          </a:r>
          <a:endParaRPr lang="en-PH" sz="16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cer\Downloads\Region%2002%20FY%202025%20BEDs%20123%20Capture%20Sheet_october%2017,%202024%20with%20comment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CS"/>
      <sheetName val="HOW TO FILL OUT"/>
      <sheetName val="BED 1 and 3 SUMMARY (by PAP)"/>
      <sheetName val="BED 2 SUMMARY (by PAP)"/>
      <sheetName val="BED13 Checking"/>
      <sheetName val="BED2 checking"/>
      <sheetName val="BED13 vs BED2 checking"/>
      <sheetName val="comments"/>
      <sheetName val="CAPTURE SHEET - FINANCIAL"/>
      <sheetName val="CAPTURE SHEET - PHYSICAL"/>
      <sheetName val="PI LEVEL"/>
      <sheetName val="TAGS"/>
      <sheetName val="OU"/>
      <sheetName val="DISTRICT"/>
      <sheetName val="PAPbyCommodity"/>
      <sheetName val="Region 02 FY 2025 BEDs 123 Ca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RFOII</v>
          </cell>
        </row>
      </sheetData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8" minRefreshableVersion="3" refreshedDate="45588.8151565972" refreshedBy="acer" recordCount="684">
  <cacheSource type="worksheet">
    <worksheetSource name="Table3"/>
  </cacheSource>
  <cacheFields count="65">
    <cacheField name="GROUP" numFmtId="0"/>
    <cacheField name="PRPOPOSAL/BEDS" numFmtId="0">
      <sharedItems count="2">
        <s v="BED 2 - PHYSICAL"/>
        <s v="PROPOSAL"/>
      </sharedItems>
    </cacheField>
    <cacheField name="OU" numFmtId="0"/>
    <cacheField name="CLUSTER BENEFICIARY" numFmtId="0"/>
    <cacheField name="PROVINCE" numFmtId="0">
      <sharedItems count="7">
        <s v="Cagayan"/>
        <s v="Isabela"/>
        <s v="Nueva_Vizcaya"/>
        <s v="Quirino"/>
        <s v="Regional_Office"/>
        <s v="Nueva Vizcaya" u="1"/>
        <s v="Regional Office" u="1"/>
      </sharedItems>
    </cacheField>
    <cacheField name="MUNICIPALITY" numFmtId="0"/>
    <cacheField name="DISTRICT" numFmtId="0"/>
    <cacheField name="PSGC" numFmtId="0"/>
    <cacheField name="INCOME CLASS" numFmtId="0"/>
    <cacheField name="SPECIFIC COMMODITY" numFmtId="0"/>
    <cacheField name="COMMODITY" numFmtId="0"/>
    <cacheField name="PREXC PROGRAM" numFmtId="0"/>
    <cacheField name="PREXC SUB-PROGRAM" numFmtId="0">
      <sharedItems containsBlank="1" count="8">
        <s v="PSS"/>
        <s v="ESETS"/>
        <s v="RND"/>
        <s v="AMEFSS"/>
        <s v="INS"/>
        <s v="FPMA"/>
        <m u="1"/>
        <e v="#N/A" u="1"/>
      </sharedItems>
    </cacheField>
    <cacheField name="COMMODITY PREXC SUB-PROGRAM" numFmtId="0"/>
    <cacheField name="PI LEVEL 1" numFmtId="0"/>
    <cacheField name="PI LEVEL 2" numFmtId="0"/>
    <cacheField name="PI LEVEL 3" numFmtId="0"/>
    <cacheField name="ACTIVITY" numFmtId="0">
      <sharedItems containsBlank="1" count="80">
        <s v="Seed Production - White Corn Registered Seeds"/>
        <s v="DRRM - White Corn Seed Procured OPV"/>
        <s v="RCPT - Yellow Corn seeds"/>
        <s v="RCPT - Inorganic fertilizer for YC seeds"/>
        <s v="Biofertilizer"/>
        <s v="Soil Ameliorant"/>
        <s v="YCPEP - Yellow Corn Hybrid seeds"/>
        <s v="YCPEP - Inorganic fertilizer for YC Hybrid seeds"/>
        <s v="DRRM - Yellow Corn Seed Procured OPV"/>
        <s v="DRRM - Yellow Corn Seed Procured Hybrid"/>
        <s v="DRRM -  Agricultural chemicals (Insecticide in liters)"/>
        <s v="DRRM -  Agricultural chemicals (Rodenticides)"/>
        <s v="DRRM -  Agricultural chemicals (Pheromone lure)"/>
        <s v="Cassava Production (seed pieces)"/>
        <s v="Cassava Procurement (seed pieces)"/>
        <s v="Inorganic fertilizer for Cassava"/>
        <s v="DRRM -  Agricultural chemicals (Streptomycin)"/>
        <s v="Seed Procurement - Sorghum"/>
        <s v="Inorganic fertilizer for Sorghum"/>
        <s v="Seed Production - Soybean"/>
        <s v="Inorganic fertilizer for Soybean"/>
        <s v="DA Stations - Hand tractor with corn planter"/>
        <s v="DA Stations - Silage Chopper"/>
        <s v="DA Stations - Corn Mill"/>
        <s v="DA Stations - Pelletizing Machine"/>
        <s v="DA Stations - Light Cargo Truck"/>
        <s v="DA Stations - Four-wheel Tractor (90 hp min)"/>
        <s v="Sustainable Land Management in Corn-based Sloping Areas (SLM-Corn)"/>
        <s v="Establishment of Corn Derby"/>
        <s v="Corn and Cassava Congress"/>
        <s v="Training - Clientele-based - Corn Cluster Development training"/>
        <s v="Training - Clientele-based - Corn Livelihood training"/>
        <s v="Training - Clientele-based - Corn Production Training"/>
        <s v="Training - Clientele-based - Integrated Pest Management Training"/>
        <s v="Training - Clientele-based - Training on Operation and Maintenance of Farm Machinery and Equipment"/>
        <s v="Advocacy and Information Materials  - IEC Materials Yellow Corn"/>
        <s v="Model Farm - Cassava (sites)"/>
        <s v="Training - Clientele-based - Cassava Livelihood training"/>
        <s v="Training - Clientele-based - Cassava Production Training"/>
        <s v="Advocacy and Information Materials  - IEC Materials Cassava"/>
        <s v="Model Farm - Sorghum (sites)"/>
        <s v="Techno-Demo Sorghum (sites)"/>
        <s v="Training - Clientele-based - Sorghum Production Training "/>
        <s v="Advocacy and Information Materials  - IEC Materials Sorghum"/>
        <s v="Model Farm - Soybean (sites)"/>
        <s v="Techno-Demo Soybean (sites)"/>
        <s v="Training - Clientele-based - Soybean Production Training "/>
        <s v="Advocacy and Information Materials  - IEC Materials Soybean"/>
        <s v="Support to LGU Extension Workers Incentives - Provincial Coordinator"/>
        <s v="Support to LGU Extension Workers Incentives - Municipal Agriculturist"/>
        <s v="Support to LGU Extension Workers Incentives - Agricultural Extension Worker"/>
        <s v="Advocacy and Information Materials  - Radio Plugs"/>
        <s v="Advocacy and Information Materials  - TV Plugs"/>
        <s v="R&amp;D New Studies Conducted - Production"/>
        <s v="Farm Production - Four-wheel Tractor (90 hp min)"/>
        <s v="Farm Production - Double Row Corn seeder"/>
        <s v="Farm Production - Mechanical four-row seeder"/>
        <s v="Farm Production - Two-row seeder"/>
        <s v="Farm Production - Pneumatic Four-row seeder"/>
        <s v="Farm Production - Combine Harvester"/>
        <s v="Postharvest-related - Hauling Truck (not exceeding 3000cc) - four-wheel truck"/>
        <s v="Postharvest-related - Corn Mill (1T/hr)"/>
        <s v="Postharvest facilities - Multi Crop Drying Pavement (MCDP) "/>
        <s v="Postharvest-related - Solar Bubble Dryer"/>
        <s v="Postharvest facilities - Waste Water Treatment System"/>
        <s v="Open Source Pumping Set (unit)"/>
        <s v="Open Source Pumping Set (area)"/>
        <s v="Mobile Solar Powered Irrigation System (unit)"/>
        <s v="Mobile Solar Powered Irrigation System (area)"/>
        <s v="Salary (Staff)"/>
        <s v="Workshop and Meetings"/>
        <s v="Conduct of Feasibility Studies, Preparation of Detailed Engineering Design and Preparation of Program of Work"/>
        <s v="Monitoring and Evaluation"/>
        <s v="Postharvest-related - Corn Mill (250kg/hr)"/>
        <s v="Postharvest-related - Forage Chopper"/>
        <s v="Corn Congress" u="1"/>
        <s v="R&amp;D New Studies Funded - Production" u="1"/>
        <s v=" Seed Production - Soybean" u="1"/>
        <s v="Sustainable Land Resources Management Approach Site Establishment" u="1"/>
        <m u="1"/>
      </sharedItems>
    </cacheField>
    <cacheField name="STRATEGY" numFmtId="0">
      <sharedItems containsBlank="1" count="27">
        <s v="OPV Seed Production"/>
        <s v="Corn Seed Reserve"/>
        <s v="Recommended Corn Production Technology"/>
        <s v="Soil amendments"/>
        <s v="Yellow Corn Production Enhancement Project"/>
        <s v="Pest and Disease Management"/>
        <s v="Cassava Production Enhancement Project"/>
        <s v="Sorghum Production Enhancement Project"/>
        <s v="Soybean Production Enhancement Project"/>
        <s v="DA Facilities Management"/>
        <s v="Model Farm establishment"/>
        <s v="Techno Demo establishment"/>
        <s v="Special Events"/>
        <s v="Trainings"/>
        <m/>
        <s v="Information, Education, and Communication Activities"/>
        <s v="Extension Workers Incentives"/>
        <s v="R&amp;D conducted"/>
        <s v="Production related machinery &amp; equipment"/>
        <s v="Postharvest related machinery &amp; equipment"/>
        <s v="Processing related machinery &amp; equipment"/>
        <s v="Postharvest facilities"/>
        <s v="Small-scale Irrigation Projects"/>
        <s v="Service area generated"/>
        <s v="FPMA"/>
        <e v="#N/A" u="1"/>
        <s v="R&amp;D funded" u="1"/>
      </sharedItems>
    </cacheField>
    <cacheField name="BRIEFER SUMMARY" numFmtId="0"/>
    <cacheField name="BRIEFER/PPT SUMMARY" numFmtId="0"/>
    <cacheField name="TAG-CLIMATE CHANGE" numFmtId="0"/>
    <cacheField name="TAG-SENATE" numFmtId="0"/>
    <cacheField name="TAG-PIP" numFmtId="0"/>
    <cacheField name="TAG-PICS" numFmtId="0"/>
    <cacheField name="8 PARADIGM" numFmtId="0"/>
    <cacheField name="ONE DA" numFmtId="0"/>
    <cacheField name="SEC LAUREL" numFmtId="0"/>
    <cacheField name="TYPE OF PROJECT" numFmtId="0"/>
    <cacheField name="INDICATOR TYPE" numFmtId="0"/>
    <cacheField name="TAG-GAD" numFmtId="0"/>
    <cacheField name="UNIT OF MEASURE" numFmtId="0"/>
    <cacheField name="MONTH" numFmtId="0">
      <sharedItems containsBlank="1" count="16">
        <s v="JUNE"/>
        <s v="JULY"/>
        <s v="OCTOBER"/>
        <s v="NOVEMBER"/>
        <s v="MAY"/>
        <s v="AUGUST"/>
        <s v="SEPTEMBER"/>
        <s v="FEBRUARY"/>
        <s v="MARCH"/>
        <s v="APRIL"/>
        <s v="DECEMBER"/>
        <s v="JANUARY"/>
        <m/>
        <s v="FEBRUARY 2026" u="1"/>
        <s v="JANUARY 2026" u="1"/>
        <s v="MARCH 2026" u="1"/>
      </sharedItems>
    </cacheField>
    <cacheField name="QUARTER" numFmtId="0">
      <sharedItems count="6">
        <s v="2ND QTR"/>
        <s v="3RD QTR"/>
        <s v="4TH QTR"/>
        <s v="1ST QTR"/>
        <e v="#N/A"/>
        <s v="1ST QTR 2026" u="1"/>
      </sharedItems>
    </cacheField>
    <cacheField name="SEMESTER" numFmtId="0"/>
    <cacheField name="YEAR" numFmtId="0">
      <sharedItems containsNumber="1" containsInteger="1" containsMixedTypes="1" count="3">
        <n v="2025"/>
        <e v="#N/A"/>
        <n v="2026" u="1"/>
      </sharedItems>
    </cacheField>
    <cacheField name="TARGET" numFmtId="0"/>
    <cacheField name="NEEDS AREA COVERED" numFmtId="0"/>
    <cacheField name="AREA COVERED (HA)" numFmtId="0"/>
    <cacheField name="TOTAL AMOUNT (Php'000)" numFmtId="0"/>
    <cacheField name="TOTAL INDIV" numFmtId="2"/>
    <cacheField name="AEW BENEFICIARIES" numFmtId="2"/>
    <cacheField name="MALE BENEFICIARIES" numFmtId="2"/>
    <cacheField name="FEMALE BENEFICIARIES" numFmtId="2"/>
    <cacheField name="GROUP BENEFICIARIES" numFmtId="2"/>
    <cacheField name="NEEDS GROUP BENEF" numFmtId="0"/>
    <cacheField name="blank prop/beds" numFmtId="0"/>
    <cacheField name="blank ou" numFmtId="0"/>
    <cacheField name="blank prov" numFmtId="0"/>
    <cacheField name="blank municipality" numFmtId="0"/>
    <cacheField name="blankspecificcommodity" numFmtId="0"/>
    <cacheField name="blank prexc" numFmtId="0"/>
    <cacheField name="blank activity" numFmtId="0"/>
    <cacheField name="blank GAD" numFmtId="0"/>
    <cacheField name="blank TARGET" numFmtId="0"/>
    <cacheField name="blank AREA" numFmtId="0"/>
    <cacheField name="blank amount" numFmtId="0"/>
    <cacheField name="blank indiv" numFmtId="0"/>
    <cacheField name="blank aew" numFmtId="0"/>
    <cacheField name="blank male" numFmtId="0"/>
    <cacheField name="blank female" numFmtId="0"/>
    <cacheField name="blank GROUP" numFmtId="0"/>
    <cacheField name="blank MONTH" numFmtId="0"/>
    <cacheField name="blank cluster" numFmtId="0"/>
    <cacheField name="blank obli/disb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4" refreshedVersion="8" minRefreshableVersion="3" refreshedDate="45588.8151572917" refreshedBy="acer" recordCount="320">
  <cacheSource type="worksheet">
    <worksheetSource name="Table37"/>
  </cacheSource>
  <cacheFields count="41">
    <cacheField name="GROUP" numFmtId="0"/>
    <cacheField name="PRPOPOSAL/BEDS" numFmtId="0">
      <sharedItems count="3">
        <s v="BED 1 - OBLIGATION"/>
        <s v="BED 3 - DISBURSEMENT"/>
        <s v="PROPOSAL"/>
      </sharedItems>
    </cacheField>
    <cacheField name="OU" numFmtId="0"/>
    <cacheField name="SPECIFIC COMMODITY" numFmtId="0"/>
    <cacheField name="COMMODITY" numFmtId="0"/>
    <cacheField name="PREXC PROGRAM" numFmtId="0"/>
    <cacheField name="PREXC SUB-PROGRAM" numFmtId="0">
      <sharedItems count="7">
        <s v="PSS"/>
        <s v="ESETS"/>
        <s v="RND"/>
        <s v="AMEFSS"/>
        <s v="INS"/>
        <s v="FPMA"/>
        <e v="#N/A" u="1"/>
      </sharedItems>
    </cacheField>
    <cacheField name="COMMODITY PREXC SUB-PROGRAM" numFmtId="0"/>
    <cacheField name="PI LEVEL 1" numFmtId="0"/>
    <cacheField name="PI LEVEL 2" numFmtId="0"/>
    <cacheField name="PI LEVEL 3" numFmtId="0"/>
    <cacheField name="ACTIVITY" numFmtId="0">
      <sharedItems containsBlank="1" count="77">
        <s v="Seed Production - White Corn Registered Seeds"/>
        <s v="DRRM - White Corn Seed Procured OPV"/>
        <s v="RCPT - Yellow Corn seeds"/>
        <s v="RCPT - Inorganic fertilizer for YC seeds"/>
        <s v="Biofertilizer"/>
        <s v="Soil Ameliorant"/>
        <s v="YCPEP - Yellow Corn Hybrid seeds"/>
        <s v="YCPEP - Inorganic fertilizer for YC Hybrid seeds"/>
        <s v="DRRM - Yellow Corn Seed Procured OPV"/>
        <s v="DRRM - Yellow Corn Seed Procured Hybrid"/>
        <s v="DRRM -  Agricultural chemicals (Insecticide in liters)"/>
        <s v="DRRM -  Agricultural chemicals (Rodenticides)"/>
        <s v="DRRM -  Agricultural chemicals (Pheromone lure)"/>
        <s v="Cassava Production (seed pieces)"/>
        <s v="Cassava Procurement (seed pieces)"/>
        <s v="Inorganic fertilizer for Cassava"/>
        <s v="DRRM -  Agricultural chemicals (Streptomycin)"/>
        <s v="Seed Procurement - Sorghum"/>
        <s v="Inorganic fertilizer for Sorghum"/>
        <s v="Seed Production - Soybean"/>
        <s v="Inorganic fertilizer for Soybean"/>
        <s v="DA Stations - Hand tractor with corn planter"/>
        <s v="DA Stations - Silage Chopper"/>
        <s v="DA Stations - Corn Mill"/>
        <s v="DA Stations - Pelletizing Machine"/>
        <s v="DA Stations - Light Cargo Truck"/>
        <s v="DA Stations - Four-wheel Tractor (90 hp min)"/>
        <s v="Sustainable Land Management in Corn-based Sloping Areas (SLM-Corn)"/>
        <s v="Establishment of Corn Derby"/>
        <s v="Training - Clientele-based - Corn Cluster Development training"/>
        <s v="Training - Clientele-based - Corn Livelihood training"/>
        <s v="Training - Clientele-based - Corn Production Training"/>
        <s v="Training - Clientele-based - Integrated Pest Management Training"/>
        <s v="Training - Clientele-based - Training on Operation and Maintenance of Farm Machinery and Equipment"/>
        <s v="Corn and Cassava Congress"/>
        <s v="Advocacy and Information Materials  - IEC Materials Yellow Corn"/>
        <s v="Model Farm - Cassava (sites)"/>
        <s v="Training - Clientele-based - Cassava Livelihood training"/>
        <s v="Training - Clientele-based - Cassava Production Training"/>
        <s v="Advocacy and Information Materials  - IEC Materials Cassava"/>
        <s v="Model Farm - Sorghum (sites)"/>
        <s v="Techno-Demo Sorghum (sites)"/>
        <s v="Training - Clientele-based - Sorghum Production Training "/>
        <s v="Advocacy and Information Materials  - IEC Materials Sorghum"/>
        <s v="Model Farm - Soybean (sites)"/>
        <s v="Techno-Demo Soybean (sites)"/>
        <s v="Training - Clientele-based - Soybean Production Training "/>
        <s v="Advocacy and Information Materials  - IEC Materials Soybean"/>
        <s v="Support to LGU Extension Workers Incentives - Provincial Coordinator"/>
        <s v="Support to LGU Extension Workers Incentives - Municipal Agriculturist"/>
        <s v="Support to LGU Extension Workers Incentives - Agricultural Extension Worker"/>
        <s v="Advocacy and Information Materials  - Radio Plugs"/>
        <s v="Advocacy and Information Materials  - TV Plugs"/>
        <s v="R&amp;D New Studies Conducted - Production"/>
        <s v="Farm Production - Four-wheel Tractor (90 hp min)"/>
        <s v="Farm Production - Double Row Corn seeder"/>
        <s v="Farm Production - Mechanical four-row seeder"/>
        <s v="Farm Production - Pneumatic Four-row seeder"/>
        <s v="Farm Production - Two-row seeder"/>
        <s v="Farm Production - Combine Harvester"/>
        <s v="Postharvest-related - Hauling Truck (not exceeding 3000cc) - four-wheel truck"/>
        <s v="Postharvest-related - Corn Mill (1T/hr)"/>
        <s v="Postharvest facilities - Multi Crop Drying Pavement (MCDP) "/>
        <s v="Postharvest-related - Solar Bubble Dryer"/>
        <s v="Postharvest facilities - Waste Water Treatment System"/>
        <s v="Open Source Pumping Set (unit)"/>
        <s v="Mobile Solar Powered Irrigation System (unit)"/>
        <s v="Salary (Staff)"/>
        <s v="Workshop and Meetings"/>
        <s v="Conduct of Feasibility Studies, Preparation of Detailed Engineering Design and Preparation of Program of Work"/>
        <s v="Monitoring and Evaluation"/>
        <s v="Postharvest-related - Corn Mill (250kg/hr)"/>
        <s v="Postharvest-related - Forage Chopper"/>
        <s v="Corn Congress" u="1"/>
        <s v=" Seed Production - Soybean" u="1"/>
        <s v="Sustainable Land Resources Management Approach Site Establishment" u="1"/>
        <m u="1"/>
      </sharedItems>
    </cacheField>
    <cacheField name="STRATEGY" numFmtId="0">
      <sharedItems count="24">
        <s v="OPV Seed Production"/>
        <s v="Corn Seed Reserve"/>
        <s v="Recommended Corn Production Technology"/>
        <s v="Soil amendments"/>
        <s v="Yellow Corn Production Enhancement Project"/>
        <s v="Pest and Disease Management"/>
        <s v="Cassava Production Enhancement Project"/>
        <s v="Sorghum Production Enhancement Project"/>
        <s v="Soybean Production Enhancement Project"/>
        <s v="DA Facilities Management"/>
        <s v="Model Farm establishment"/>
        <s v="Techno Demo establishment"/>
        <s v="Trainings"/>
        <s v="Special Events"/>
        <s v="Information, Education, and Communication Activities"/>
        <s v="Extension Workers Incentives"/>
        <s v="R&amp;D conducted"/>
        <s v="Production related machinery &amp; equipment"/>
        <s v="Postharvest related machinery &amp; equipment"/>
        <s v="Processing related machinery &amp; equipment"/>
        <s v="Postharvest facilities"/>
        <s v="Small-scale Irrigation Projects"/>
        <s v="FPMA"/>
        <e v="#N/A" u="1"/>
      </sharedItems>
    </cacheField>
    <cacheField name="BRIEFER SUMMARY" numFmtId="0"/>
    <cacheField name="BRIEFER/PPT SUMMARY" numFmtId="0"/>
    <cacheField name="TAG-CLIMATE CHANGE" numFmtId="0"/>
    <cacheField name="TAG-SENATE" numFmtId="0"/>
    <cacheField name="TAG-PIP" numFmtId="0"/>
    <cacheField name="TAG-PICS" numFmtId="0"/>
    <cacheField name="8 PARADIGM" numFmtId="0"/>
    <cacheField name="ONE DA" numFmtId="0"/>
    <cacheField name="SEC LAUREL" numFmtId="0"/>
    <cacheField name="TYPE OF PROJECT" numFmtId="0"/>
    <cacheField name="INDICATOR TYPE" numFmtId="0"/>
    <cacheField name="TAG-GAD" numFmtId="0"/>
    <cacheField name="MONTH" numFmtId="0">
      <sharedItems containsBlank="1" count="16">
        <s v="MARCH"/>
        <s v="APRIL"/>
        <s v="JULY"/>
        <s v="FEBRUARY"/>
        <s v="JUNE"/>
        <s v="AUGUST"/>
        <s v="SEPTEMBER"/>
        <s v="OCTOBER"/>
        <s v="JANUARY"/>
        <s v="MAY"/>
        <s v="NOVEMBER"/>
        <s v="DECEMBER"/>
        <s v="JANUARY 2026"/>
        <s v="FEBRUARY 2026"/>
        <s v="MARCH 2026"/>
        <m/>
      </sharedItems>
    </cacheField>
    <cacheField name="QUARTER" numFmtId="0">
      <sharedItems count="6">
        <s v="1ST QTR"/>
        <s v="2ND QTR"/>
        <s v="3RD QTR"/>
        <s v="4TH QTR"/>
        <s v="1ST QTR 2026"/>
        <e v="#N/A"/>
      </sharedItems>
    </cacheField>
    <cacheField name="SEMESTER" numFmtId="0"/>
    <cacheField name="YEAR" numFmtId="0">
      <sharedItems containsNumber="1" containsInteger="1" containsMixedTypes="1" count="3">
        <n v="2025"/>
        <n v="2026"/>
        <e v="#N/A"/>
      </sharedItems>
    </cacheField>
    <cacheField name="MOOE (Php '000)" numFmtId="0"/>
    <cacheField name="CO (Php '000)" numFmtId="0"/>
    <cacheField name="TOTAL (Php '000)" numFmtId="0"/>
    <cacheField name="blank prop/beds" numFmtId="0"/>
    <cacheField name="blank ou" numFmtId="0"/>
    <cacheField name="blank specific commodity" numFmtId="0"/>
    <cacheField name="blank commodity subprogram" numFmtId="0"/>
    <cacheField name="blank activity" numFmtId="0"/>
    <cacheField name="blank GAD" numFmtId="0"/>
    <cacheField name="blank month" numFmtId="0"/>
    <cacheField name="blank MOOE" numFmtId="0"/>
    <cacheField name="blank CO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84"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294967295"/>
    <m/>
    <m/>
    <x v="4294967295"/>
    <m/>
    <m/>
    <m/>
    <m/>
    <m/>
    <m/>
    <m/>
    <x v="4294967295"/>
    <m/>
    <m/>
    <m/>
    <m/>
    <x v="4294967295"/>
    <x v="4294967295"/>
    <m/>
    <m/>
    <m/>
    <m/>
    <m/>
    <m/>
    <m/>
    <m/>
    <m/>
    <m/>
    <m/>
    <m/>
    <m/>
    <x v="4294967295"/>
    <x v="4294967295"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4">
  <r>
    <s v="RFOs"/>
    <x v="0"/>
    <s v="RFOII"/>
    <m/>
    <x v="0"/>
    <s v="ALCALA"/>
    <s v="Cagayan, 1st District"/>
    <n v="21502000"/>
    <s v="3rd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0"/>
    <x v="0"/>
    <s v="1ST SEMESTER"/>
    <x v="0"/>
    <n v="1000"/>
    <s v="YES"/>
    <n v="50"/>
    <n v="50.5"/>
    <n v="0"/>
    <m/>
    <m/>
    <m/>
    <n v="3"/>
    <n v="50"/>
    <m/>
    <m/>
    <m/>
    <m/>
    <m/>
    <m/>
    <m/>
    <m/>
    <m/>
    <m/>
    <m/>
    <m/>
    <m/>
    <m/>
    <m/>
    <m/>
    <m/>
    <m/>
    <m/>
  </r>
  <r>
    <s v="RFOs"/>
    <x v="0"/>
    <s v="RFOII"/>
    <m/>
    <x v="0"/>
    <s v="PAMPLONA"/>
    <s v="Cagayan, 2nd District"/>
    <n v="21518000"/>
    <s v="4th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1"/>
    <x v="1"/>
    <s v="2ND SEMESTER"/>
    <x v="0"/>
    <n v="1000"/>
    <s v="YES"/>
    <n v="50"/>
    <n v="50.5"/>
    <n v="0"/>
    <m/>
    <m/>
    <m/>
    <n v="2"/>
    <n v="50"/>
    <m/>
    <m/>
    <m/>
    <m/>
    <m/>
    <m/>
    <m/>
    <m/>
    <m/>
    <m/>
    <m/>
    <m/>
    <m/>
    <m/>
    <m/>
    <m/>
    <m/>
    <m/>
    <m/>
  </r>
  <r>
    <s v="RFOs"/>
    <x v="0"/>
    <s v="RFOII"/>
    <m/>
    <x v="1"/>
    <s v="SANTO TOMAS"/>
    <s v="Isabela, 1st District"/>
    <n v="23136000"/>
    <s v="4th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0"/>
    <x v="0"/>
    <s v="1ST SEMESTER"/>
    <x v="0"/>
    <n v="500"/>
    <s v="YES"/>
    <n v="25"/>
    <n v="25.25"/>
    <n v="0"/>
    <m/>
    <m/>
    <m/>
    <n v="2"/>
    <n v="25"/>
    <m/>
    <m/>
    <m/>
    <m/>
    <m/>
    <m/>
    <m/>
    <m/>
    <m/>
    <m/>
    <m/>
    <m/>
    <m/>
    <m/>
    <m/>
    <m/>
    <m/>
    <m/>
    <m/>
  </r>
  <r>
    <s v="RFOs"/>
    <x v="0"/>
    <s v="RFOII"/>
    <m/>
    <x v="1"/>
    <s v="CABAGAN"/>
    <s v="Isabela, 1st District"/>
    <n v="23106000"/>
    <s v="1st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0"/>
    <x v="0"/>
    <s v="1ST SEMESTER"/>
    <x v="0"/>
    <n v="500"/>
    <s v="YES"/>
    <n v="25"/>
    <n v="25.25"/>
    <n v="0"/>
    <m/>
    <m/>
    <m/>
    <n v="2"/>
    <n v="25"/>
    <m/>
    <m/>
    <m/>
    <m/>
    <m/>
    <m/>
    <m/>
    <m/>
    <m/>
    <m/>
    <m/>
    <m/>
    <m/>
    <m/>
    <m/>
    <m/>
    <m/>
    <m/>
    <m/>
  </r>
  <r>
    <s v="RFOs"/>
    <x v="0"/>
    <s v="RFOII"/>
    <m/>
    <x v="1"/>
    <s v="SAN PABLO"/>
    <s v="Isabela, 1st District"/>
    <n v="23133000"/>
    <s v="2nd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0"/>
    <x v="0"/>
    <s v="1ST SEMESTER"/>
    <x v="0"/>
    <n v="500"/>
    <s v="YES"/>
    <n v="25"/>
    <n v="25.25"/>
    <n v="0"/>
    <m/>
    <m/>
    <m/>
    <n v="1"/>
    <n v="25"/>
    <m/>
    <m/>
    <m/>
    <m/>
    <m/>
    <m/>
    <m/>
    <m/>
    <m/>
    <m/>
    <m/>
    <m/>
    <m/>
    <m/>
    <m/>
    <m/>
    <m/>
    <m/>
    <m/>
  </r>
  <r>
    <s v="RFOs"/>
    <x v="0"/>
    <s v="RFOII"/>
    <m/>
    <x v="1"/>
    <s v="SANTA MARIA"/>
    <s v="Isabela, 1st District"/>
    <n v="23134000"/>
    <s v="4th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0"/>
    <x v="0"/>
    <s v="1ST SEMESTER"/>
    <x v="0"/>
    <n v="500"/>
    <s v="YES"/>
    <n v="25"/>
    <n v="25.25"/>
    <n v="0"/>
    <m/>
    <m/>
    <m/>
    <n v="2"/>
    <n v="25"/>
    <m/>
    <m/>
    <m/>
    <m/>
    <m/>
    <m/>
    <m/>
    <m/>
    <m/>
    <m/>
    <m/>
    <m/>
    <m/>
    <m/>
    <m/>
    <m/>
    <m/>
    <m/>
    <m/>
  </r>
  <r>
    <s v="RFOs"/>
    <x v="0"/>
    <s v="RFOII"/>
    <m/>
    <x v="1"/>
    <s v="SANTO TOMAS"/>
    <s v="Isabela, 1st District"/>
    <n v="23136000"/>
    <s v="4th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2"/>
    <x v="2"/>
    <s v="2ND SEMESTER"/>
    <x v="0"/>
    <n v="500"/>
    <s v="YES"/>
    <n v="25"/>
    <n v="25.25"/>
    <n v="0"/>
    <m/>
    <m/>
    <m/>
    <n v="1"/>
    <n v="25"/>
    <m/>
    <m/>
    <m/>
    <m/>
    <m/>
    <m/>
    <m/>
    <m/>
    <m/>
    <m/>
    <m/>
    <m/>
    <m/>
    <m/>
    <m/>
    <m/>
    <m/>
    <m/>
    <m/>
  </r>
  <r>
    <s v="RFOs"/>
    <x v="0"/>
    <s v="RFOII"/>
    <m/>
    <x v="1"/>
    <s v="CABAGAN"/>
    <s v="Isabela, 1st District"/>
    <n v="23106000"/>
    <s v="1st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2"/>
    <x v="2"/>
    <s v="2ND SEMESTER"/>
    <x v="0"/>
    <n v="500"/>
    <s v="YES"/>
    <n v="25"/>
    <n v="25.25"/>
    <n v="0"/>
    <m/>
    <m/>
    <m/>
    <n v="1"/>
    <n v="25"/>
    <m/>
    <m/>
    <m/>
    <m/>
    <m/>
    <m/>
    <m/>
    <m/>
    <m/>
    <m/>
    <m/>
    <m/>
    <m/>
    <m/>
    <m/>
    <m/>
    <m/>
    <m/>
    <m/>
  </r>
  <r>
    <s v="RFOs"/>
    <x v="0"/>
    <s v="RFOII"/>
    <m/>
    <x v="1"/>
    <s v="SAN PABLO"/>
    <s v="Isabela, 1st District"/>
    <n v="23133000"/>
    <s v="2nd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2"/>
    <x v="2"/>
    <s v="2ND SEMESTER"/>
    <x v="0"/>
    <n v="500"/>
    <s v="YES"/>
    <n v="25"/>
    <n v="25.25"/>
    <n v="0"/>
    <m/>
    <m/>
    <m/>
    <n v="1"/>
    <n v="25"/>
    <m/>
    <m/>
    <m/>
    <m/>
    <m/>
    <m/>
    <m/>
    <m/>
    <m/>
    <m/>
    <m/>
    <m/>
    <m/>
    <m/>
    <m/>
    <m/>
    <m/>
    <m/>
    <m/>
  </r>
  <r>
    <s v="RFOs"/>
    <x v="0"/>
    <s v="RFOII"/>
    <m/>
    <x v="1"/>
    <s v="SANTA MARIA"/>
    <s v="Isabela, 1st District"/>
    <n v="23134000"/>
    <s v="4th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2"/>
    <x v="2"/>
    <s v="2ND SEMESTER"/>
    <x v="0"/>
    <n v="500"/>
    <s v="YES"/>
    <n v="25"/>
    <n v="25.25"/>
    <n v="0"/>
    <m/>
    <m/>
    <m/>
    <n v="1"/>
    <n v="25"/>
    <m/>
    <m/>
    <m/>
    <m/>
    <m/>
    <m/>
    <m/>
    <m/>
    <m/>
    <m/>
    <m/>
    <m/>
    <m/>
    <m/>
    <m/>
    <m/>
    <m/>
    <m/>
    <m/>
  </r>
  <r>
    <s v="RFOs"/>
    <x v="0"/>
    <s v="RFOII"/>
    <m/>
    <x v="2"/>
    <s v="DUPAX DEL SUR"/>
    <s v="Nueva Vizcaya, Lone District"/>
    <n v="25008000"/>
    <s v="2nd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3"/>
    <x v="2"/>
    <s v="2ND SEMESTER"/>
    <x v="0"/>
    <n v="2000"/>
    <s v="YES"/>
    <n v="100"/>
    <n v="101"/>
    <n v="0"/>
    <m/>
    <m/>
    <m/>
    <n v="4"/>
    <n v="100"/>
    <m/>
    <m/>
    <m/>
    <m/>
    <m/>
    <m/>
    <m/>
    <m/>
    <m/>
    <m/>
    <m/>
    <m/>
    <m/>
    <m/>
    <m/>
    <m/>
    <m/>
    <m/>
    <m/>
  </r>
  <r>
    <s v="RFOs"/>
    <x v="0"/>
    <s v="RFOII"/>
    <m/>
    <x v="3"/>
    <s v="DIFFUN"/>
    <s v="Quirino, 1st District"/>
    <n v="25703000"/>
    <s v="2nd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3"/>
    <x v="2"/>
    <s v="2ND SEMESTER"/>
    <x v="0"/>
    <n v="2000"/>
    <s v="YES"/>
    <n v="100"/>
    <n v="101"/>
    <n v="0"/>
    <m/>
    <m/>
    <m/>
    <n v="3"/>
    <n v="100"/>
    <m/>
    <m/>
    <m/>
    <m/>
    <m/>
    <m/>
    <m/>
    <m/>
    <m/>
    <m/>
    <m/>
    <m/>
    <m/>
    <m/>
    <m/>
    <m/>
    <m/>
    <m/>
    <m/>
  </r>
  <r>
    <s v="RFOs"/>
    <x v="0"/>
    <s v="RFOII"/>
    <m/>
    <x v="0"/>
    <s v="ALCALA"/>
    <s v="Cagayan, 1st District"/>
    <n v="21502000"/>
    <s v="3rd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0"/>
    <x v="0"/>
    <s v="1ST SEMESTER"/>
    <x v="0"/>
    <n v="675"/>
    <s v="YES"/>
    <n v="37.5"/>
    <n v="33.75"/>
    <n v="0"/>
    <m/>
    <m/>
    <m/>
    <n v="1"/>
    <n v="111"/>
    <m/>
    <m/>
    <m/>
    <m/>
    <m/>
    <m/>
    <m/>
    <m/>
    <m/>
    <m/>
    <m/>
    <m/>
    <m/>
    <m/>
    <m/>
    <m/>
    <m/>
    <m/>
    <m/>
  </r>
  <r>
    <s v="RFOs"/>
    <x v="0"/>
    <s v="RFOII"/>
    <m/>
    <x v="0"/>
    <s v="GONZAGA"/>
    <s v="Cagayan, 1st District"/>
    <n v="21514000"/>
    <s v="1st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0"/>
    <x v="0"/>
    <s v="1ST SEMESTER"/>
    <x v="0"/>
    <n v="225"/>
    <s v="YES"/>
    <n v="12.5"/>
    <n v="11.25"/>
    <n v="0"/>
    <m/>
    <m/>
    <m/>
    <n v="1"/>
    <n v="38"/>
    <m/>
    <m/>
    <m/>
    <m/>
    <m/>
    <m/>
    <m/>
    <m/>
    <m/>
    <m/>
    <m/>
    <m/>
    <m/>
    <m/>
    <m/>
    <m/>
    <m/>
    <m/>
    <m/>
  </r>
  <r>
    <s v="RFOs"/>
    <x v="0"/>
    <s v="RFOII"/>
    <m/>
    <x v="0"/>
    <s v="LASAM"/>
    <s v="Cagayan, 2nd District"/>
    <n v="21517000"/>
    <s v="3rd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0"/>
    <x v="0"/>
    <s v="1ST SEMESTER"/>
    <x v="0"/>
    <n v="290"/>
    <s v="YES"/>
    <n v="16.111111111111111"/>
    <n v="14.5"/>
    <n v="0"/>
    <m/>
    <m/>
    <m/>
    <n v="1"/>
    <n v="12"/>
    <m/>
    <m/>
    <m/>
    <m/>
    <m/>
    <m/>
    <m/>
    <m/>
    <m/>
    <m/>
    <m/>
    <m/>
    <m/>
    <m/>
    <m/>
    <m/>
    <m/>
    <m/>
    <m/>
  </r>
  <r>
    <s v="RFOs"/>
    <x v="0"/>
    <s v="RFOII"/>
    <m/>
    <x v="0"/>
    <s v="PAMPLONA"/>
    <s v="Cagayan, 2nd District"/>
    <n v="21518000"/>
    <s v="4th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0"/>
    <x v="0"/>
    <s v="1ST SEMESTER"/>
    <x v="0"/>
    <n v="558"/>
    <s v="YES"/>
    <n v="31"/>
    <n v="27.900000000000002"/>
    <n v="0"/>
    <m/>
    <m/>
    <m/>
    <n v="1"/>
    <n v="16"/>
    <m/>
    <m/>
    <m/>
    <m/>
    <m/>
    <m/>
    <m/>
    <m/>
    <m/>
    <m/>
    <m/>
    <m/>
    <m/>
    <m/>
    <m/>
    <m/>
    <m/>
    <m/>
    <m/>
  </r>
  <r>
    <s v="RFOs"/>
    <x v="0"/>
    <s v="RFOII"/>
    <m/>
    <x v="0"/>
    <s v="TUGUEGARAO CITY (Capital)"/>
    <s v="Cagayan, 3rd District"/>
    <n v="21529000"/>
    <s v="3rd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0"/>
    <x v="0"/>
    <s v="1ST SEMESTER"/>
    <x v="0"/>
    <n v="252"/>
    <s v="YES"/>
    <n v="14"/>
    <n v="12.600000000000001"/>
    <n v="0"/>
    <m/>
    <m/>
    <m/>
    <n v="1"/>
    <n v="31"/>
    <m/>
    <m/>
    <m/>
    <m/>
    <m/>
    <m/>
    <m/>
    <m/>
    <m/>
    <m/>
    <m/>
    <m/>
    <m/>
    <m/>
    <m/>
    <m/>
    <m/>
    <m/>
    <m/>
  </r>
  <r>
    <s v="RFOs"/>
    <x v="0"/>
    <s v="RFOII"/>
    <m/>
    <x v="0"/>
    <s v="ALCALA"/>
    <s v="Cagayan, 1st District"/>
    <n v="21502000"/>
    <s v="3rd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2"/>
    <x v="2"/>
    <s v="2ND SEMESTER"/>
    <x v="0"/>
    <n v="675"/>
    <s v="YES"/>
    <n v="37.5"/>
    <n v="33.75"/>
    <n v="0"/>
    <m/>
    <m/>
    <m/>
    <m/>
    <n v="14"/>
    <m/>
    <m/>
    <m/>
    <m/>
    <m/>
    <m/>
    <m/>
    <m/>
    <m/>
    <m/>
    <m/>
    <m/>
    <m/>
    <m/>
    <m/>
    <m/>
    <m/>
    <m/>
    <m/>
  </r>
  <r>
    <s v="RFOs"/>
    <x v="0"/>
    <s v="RFOII"/>
    <m/>
    <x v="0"/>
    <s v="GONZAGA"/>
    <s v="Cagayan, 1st District"/>
    <n v="21514000"/>
    <s v="1st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2"/>
    <x v="2"/>
    <s v="2ND SEMESTER"/>
    <x v="0"/>
    <n v="225"/>
    <s v="YES"/>
    <n v="12.5"/>
    <n v="11.25"/>
    <n v="0"/>
    <m/>
    <m/>
    <m/>
    <m/>
    <n v="37"/>
    <m/>
    <m/>
    <m/>
    <m/>
    <m/>
    <m/>
    <m/>
    <m/>
    <m/>
    <m/>
    <m/>
    <m/>
    <m/>
    <m/>
    <m/>
    <m/>
    <m/>
    <m/>
    <m/>
  </r>
  <r>
    <s v="RFOs"/>
    <x v="0"/>
    <s v="RFOII"/>
    <m/>
    <x v="0"/>
    <s v="LASAM"/>
    <s v="Cagayan, 2nd District"/>
    <n v="21517000"/>
    <s v="3rd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2"/>
    <x v="2"/>
    <s v="2ND SEMESTER"/>
    <x v="0"/>
    <n v="290"/>
    <s v="YES"/>
    <n v="16.111111111111111"/>
    <n v="14.5"/>
    <n v="0"/>
    <m/>
    <m/>
    <m/>
    <m/>
    <n v="12"/>
    <m/>
    <m/>
    <m/>
    <m/>
    <m/>
    <m/>
    <m/>
    <m/>
    <m/>
    <m/>
    <m/>
    <m/>
    <m/>
    <m/>
    <m/>
    <m/>
    <m/>
    <m/>
    <m/>
  </r>
  <r>
    <s v="RFOs"/>
    <x v="0"/>
    <s v="RFOII"/>
    <m/>
    <x v="0"/>
    <s v="PAMPLONA"/>
    <s v="Cagayan, 2nd District"/>
    <n v="21518000"/>
    <s v="4th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2"/>
    <x v="2"/>
    <s v="2ND SEMESTER"/>
    <x v="0"/>
    <n v="558"/>
    <s v="YES"/>
    <n v="31"/>
    <n v="27.900000000000002"/>
    <n v="0"/>
    <m/>
    <m/>
    <m/>
    <m/>
    <n v="16"/>
    <m/>
    <m/>
    <m/>
    <m/>
    <m/>
    <m/>
    <m/>
    <m/>
    <m/>
    <m/>
    <m/>
    <m/>
    <m/>
    <m/>
    <m/>
    <m/>
    <m/>
    <m/>
    <m/>
  </r>
  <r>
    <s v="RFOs"/>
    <x v="0"/>
    <s v="RFOII"/>
    <m/>
    <x v="0"/>
    <s v="TUGUEGARAO CITY (Capital)"/>
    <s v="Cagayan, 3rd District"/>
    <n v="21529000"/>
    <s v="3rd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2"/>
    <x v="2"/>
    <s v="2ND SEMESTER"/>
    <x v="0"/>
    <n v="252"/>
    <s v="YES"/>
    <n v="14"/>
    <n v="12.600000000000001"/>
    <n v="0"/>
    <m/>
    <m/>
    <m/>
    <m/>
    <n v="31"/>
    <m/>
    <m/>
    <m/>
    <m/>
    <m/>
    <m/>
    <m/>
    <m/>
    <m/>
    <m/>
    <m/>
    <m/>
    <m/>
    <m/>
    <m/>
    <m/>
    <m/>
    <m/>
    <m/>
  </r>
  <r>
    <s v="RFOs"/>
    <x v="0"/>
    <s v="RFOII"/>
    <m/>
    <x v="1"/>
    <s v="CABAGAN"/>
    <s v="Isabela, 1st District"/>
    <n v="23106000"/>
    <s v="1st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0"/>
    <x v="0"/>
    <s v="1ST SEMESTER"/>
    <x v="0"/>
    <n v="450"/>
    <s v="YES"/>
    <n v="25"/>
    <n v="22.5"/>
    <n v="0"/>
    <m/>
    <m/>
    <m/>
    <n v="1"/>
    <n v="14"/>
    <m/>
    <m/>
    <m/>
    <m/>
    <m/>
    <m/>
    <m/>
    <m/>
    <m/>
    <m/>
    <m/>
    <m/>
    <m/>
    <m/>
    <m/>
    <m/>
    <m/>
    <m/>
    <m/>
  </r>
  <r>
    <s v="RFOs"/>
    <x v="0"/>
    <s v="RFOII"/>
    <m/>
    <x v="1"/>
    <s v="SANTA MARIA"/>
    <s v="Isabela, 1st District"/>
    <n v="23134000"/>
    <s v="4th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0"/>
    <x v="0"/>
    <s v="1ST SEMESTER"/>
    <x v="0"/>
    <n v="450"/>
    <s v="YES"/>
    <n v="25"/>
    <n v="22.5"/>
    <n v="0"/>
    <m/>
    <m/>
    <m/>
    <n v="1"/>
    <n v="25"/>
    <m/>
    <m/>
    <m/>
    <m/>
    <m/>
    <m/>
    <m/>
    <m/>
    <m/>
    <m/>
    <m/>
    <m/>
    <m/>
    <m/>
    <m/>
    <m/>
    <m/>
    <m/>
    <m/>
  </r>
  <r>
    <s v="RFOs"/>
    <x v="0"/>
    <s v="RFOII"/>
    <m/>
    <x v="1"/>
    <s v="SAN PABLO"/>
    <s v="Isabela, 1st District"/>
    <n v="23133000"/>
    <s v="2nd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0"/>
    <x v="0"/>
    <s v="1ST SEMESTER"/>
    <x v="0"/>
    <n v="450"/>
    <s v="YES"/>
    <n v="25"/>
    <n v="22.5"/>
    <n v="0"/>
    <m/>
    <m/>
    <m/>
    <n v="1"/>
    <n v="25"/>
    <m/>
    <m/>
    <m/>
    <m/>
    <m/>
    <m/>
    <m/>
    <m/>
    <m/>
    <m/>
    <m/>
    <m/>
    <m/>
    <m/>
    <m/>
    <m/>
    <m/>
    <m/>
    <m/>
  </r>
  <r>
    <s v="RFOs"/>
    <x v="0"/>
    <s v="RFOII"/>
    <m/>
    <x v="1"/>
    <s v="SANTO TOMAS"/>
    <s v="Isabela, 1st District"/>
    <n v="23136000"/>
    <s v="4th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0"/>
    <x v="0"/>
    <s v="1ST SEMESTER"/>
    <x v="0"/>
    <n v="450"/>
    <s v="YES"/>
    <n v="25"/>
    <n v="22.5"/>
    <n v="0"/>
    <m/>
    <m/>
    <m/>
    <n v="1"/>
    <n v="25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ILAGAN (Capital)"/>
    <s v="Isabela, 1st District"/>
    <n v="23114000"/>
    <s v="1st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0"/>
    <x v="0"/>
    <s v="1ST SEMESTER"/>
    <x v="0"/>
    <n v="100"/>
    <s v="YES"/>
    <n v="5.55"/>
    <n v="5"/>
    <n v="0"/>
    <m/>
    <m/>
    <m/>
    <n v="1"/>
    <n v="25"/>
    <m/>
    <m/>
    <m/>
    <m/>
    <m/>
    <m/>
    <m/>
    <m/>
    <m/>
    <m/>
    <m/>
    <m/>
    <m/>
    <m/>
    <m/>
    <m/>
    <m/>
    <m/>
    <m/>
  </r>
  <r>
    <s v="RFOs"/>
    <x v="0"/>
    <s v="RFOII"/>
    <m/>
    <x v="1"/>
    <s v="SAN GUILLERMO"/>
    <s v="Isabela, 6th District"/>
    <n v="23128000"/>
    <s v="4th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0"/>
    <x v="0"/>
    <s v="1ST SEMESTER"/>
    <x v="0"/>
    <n v="100"/>
    <s v="YES"/>
    <n v="5.55"/>
    <n v="5"/>
    <n v="0"/>
    <m/>
    <m/>
    <m/>
    <n v="1"/>
    <n v="5"/>
    <m/>
    <m/>
    <m/>
    <m/>
    <m/>
    <m/>
    <m/>
    <m/>
    <m/>
    <m/>
    <m/>
    <m/>
    <m/>
    <m/>
    <m/>
    <m/>
    <m/>
    <m/>
    <m/>
  </r>
  <r>
    <s v="RFOs"/>
    <x v="0"/>
    <s v="RFOII"/>
    <m/>
    <x v="1"/>
    <s v="CABAGAN"/>
    <s v="Isabela, 1st District"/>
    <n v="23106000"/>
    <s v="1st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2"/>
    <x v="2"/>
    <s v="2ND SEMESTER"/>
    <x v="0"/>
    <n v="450"/>
    <s v="YES"/>
    <n v="25"/>
    <n v="22.5"/>
    <n v="0"/>
    <m/>
    <m/>
    <m/>
    <m/>
    <n v="5"/>
    <m/>
    <m/>
    <m/>
    <m/>
    <m/>
    <m/>
    <m/>
    <m/>
    <m/>
    <m/>
    <m/>
    <m/>
    <m/>
    <m/>
    <m/>
    <m/>
    <m/>
    <m/>
    <m/>
  </r>
  <r>
    <s v="RFOs"/>
    <x v="0"/>
    <s v="RFOII"/>
    <m/>
    <x v="1"/>
    <s v="SANTA MARIA"/>
    <s v="Isabela, 1st District"/>
    <n v="23134000"/>
    <s v="4th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2"/>
    <x v="2"/>
    <s v="2ND SEMESTER"/>
    <x v="0"/>
    <n v="450"/>
    <s v="YES"/>
    <n v="25"/>
    <n v="22.5"/>
    <n v="0"/>
    <m/>
    <m/>
    <m/>
    <m/>
    <n v="25"/>
    <m/>
    <m/>
    <m/>
    <m/>
    <m/>
    <m/>
    <m/>
    <m/>
    <m/>
    <m/>
    <m/>
    <m/>
    <m/>
    <m/>
    <m/>
    <m/>
    <m/>
    <m/>
    <m/>
  </r>
  <r>
    <s v="RFOs"/>
    <x v="0"/>
    <s v="RFOII"/>
    <m/>
    <x v="1"/>
    <s v="SAN PABLO"/>
    <s v="Isabela, 1st District"/>
    <n v="23133000"/>
    <s v="2nd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2"/>
    <x v="2"/>
    <s v="2ND SEMESTER"/>
    <x v="0"/>
    <n v="450"/>
    <s v="YES"/>
    <n v="25"/>
    <n v="22.5"/>
    <n v="0"/>
    <m/>
    <m/>
    <m/>
    <m/>
    <n v="25"/>
    <m/>
    <m/>
    <m/>
    <m/>
    <m/>
    <m/>
    <m/>
    <m/>
    <m/>
    <m/>
    <m/>
    <m/>
    <m/>
    <m/>
    <m/>
    <m/>
    <m/>
    <m/>
    <m/>
  </r>
  <r>
    <s v="RFOs"/>
    <x v="0"/>
    <s v="RFOII"/>
    <m/>
    <x v="1"/>
    <s v="SANTO TOMAS"/>
    <s v="Isabela, 1st District"/>
    <n v="23136000"/>
    <s v="4th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2"/>
    <x v="2"/>
    <s v="2ND SEMESTER"/>
    <x v="0"/>
    <n v="450"/>
    <s v="YES"/>
    <n v="25"/>
    <n v="22.5"/>
    <n v="0"/>
    <m/>
    <m/>
    <m/>
    <m/>
    <n v="25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ILAGAN (Capital)"/>
    <s v="Isabela, 1st District"/>
    <n v="23114000"/>
    <s v="1st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2"/>
    <x v="2"/>
    <s v="2ND SEMESTER"/>
    <x v="0"/>
    <n v="100"/>
    <s v="YES"/>
    <n v="5.55"/>
    <n v="5"/>
    <n v="0"/>
    <m/>
    <m/>
    <m/>
    <m/>
    <n v="25"/>
    <m/>
    <m/>
    <m/>
    <m/>
    <m/>
    <m/>
    <m/>
    <m/>
    <m/>
    <m/>
    <m/>
    <m/>
    <m/>
    <m/>
    <m/>
    <m/>
    <m/>
    <m/>
    <m/>
  </r>
  <r>
    <s v="RFOs"/>
    <x v="0"/>
    <s v="RFOII"/>
    <m/>
    <x v="1"/>
    <s v="SAN GUILLERMO"/>
    <s v="Isabela, 6th District"/>
    <n v="23128000"/>
    <s v="4th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2"/>
    <x v="2"/>
    <s v="2ND SEMESTER"/>
    <x v="0"/>
    <n v="100"/>
    <s v="YES"/>
    <n v="5.55"/>
    <n v="5"/>
    <n v="0"/>
    <m/>
    <m/>
    <m/>
    <m/>
    <n v="5"/>
    <m/>
    <m/>
    <m/>
    <m/>
    <m/>
    <m/>
    <m/>
    <m/>
    <m/>
    <m/>
    <m/>
    <m/>
    <m/>
    <m/>
    <m/>
    <m/>
    <m/>
    <m/>
    <m/>
  </r>
  <r>
    <s v="RFOs"/>
    <x v="0"/>
    <s v="RFOII"/>
    <m/>
    <x v="2"/>
    <s v="DUPAX DEL NORTE"/>
    <s v="Nueva Vizcaya, Lone District"/>
    <n v="25007000"/>
    <s v="3rd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3"/>
    <x v="2"/>
    <s v="2ND SEMESTER"/>
    <x v="0"/>
    <n v="1000"/>
    <s v="YES"/>
    <n v="55.55"/>
    <n v="50"/>
    <n v="0"/>
    <m/>
    <m/>
    <m/>
    <n v="1"/>
    <n v="5"/>
    <m/>
    <m/>
    <m/>
    <m/>
    <m/>
    <m/>
    <m/>
    <m/>
    <m/>
    <m/>
    <m/>
    <m/>
    <m/>
    <m/>
    <m/>
    <m/>
    <m/>
    <m/>
    <m/>
  </r>
  <r>
    <s v="RFOs"/>
    <x v="0"/>
    <s v="RFOII"/>
    <m/>
    <x v="2"/>
    <s v="KAYAPA"/>
    <s v="Nueva Vizcaya, Lone District"/>
    <n v="25010000"/>
    <s v="3rd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3"/>
    <x v="2"/>
    <s v="2ND SEMESTER"/>
    <x v="0"/>
    <n v="1000"/>
    <s v="YES"/>
    <n v="55.55"/>
    <n v="50"/>
    <n v="0"/>
    <m/>
    <m/>
    <m/>
    <n v="1"/>
    <n v="55"/>
    <m/>
    <m/>
    <m/>
    <m/>
    <m/>
    <m/>
    <m/>
    <m/>
    <m/>
    <m/>
    <m/>
    <m/>
    <m/>
    <m/>
    <m/>
    <m/>
    <m/>
    <m/>
    <m/>
  </r>
  <r>
    <s v="RFOs"/>
    <x v="0"/>
    <s v="RFOII"/>
    <m/>
    <x v="3"/>
    <s v="AGLIPAY"/>
    <s v="Quirino, 1st District"/>
    <n v="25701000"/>
    <s v="3rd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3"/>
    <x v="2"/>
    <s v="2ND SEMESTER"/>
    <x v="0"/>
    <n v="600"/>
    <s v="YES"/>
    <n v="33.3333333333333"/>
    <n v="30"/>
    <n v="0"/>
    <m/>
    <m/>
    <m/>
    <n v="1"/>
    <n v="55"/>
    <m/>
    <m/>
    <m/>
    <m/>
    <m/>
    <m/>
    <m/>
    <m/>
    <m/>
    <m/>
    <m/>
    <m/>
    <m/>
    <m/>
    <m/>
    <m/>
    <m/>
    <m/>
    <m/>
  </r>
  <r>
    <s v="RFOs"/>
    <x v="0"/>
    <s v="RFOII"/>
    <m/>
    <x v="3"/>
    <s v="CABARROGUIS (Capital)"/>
    <s v="Quirino, 1st District"/>
    <n v="25702000"/>
    <s v="3rd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3"/>
    <x v="2"/>
    <s v="2ND SEMESTER"/>
    <x v="0"/>
    <n v="800"/>
    <s v="YES"/>
    <n v="44.4444444444444"/>
    <n v="40"/>
    <n v="0"/>
    <m/>
    <m/>
    <m/>
    <n v="1"/>
    <n v="33"/>
    <m/>
    <m/>
    <m/>
    <m/>
    <m/>
    <m/>
    <m/>
    <m/>
    <m/>
    <m/>
    <m/>
    <m/>
    <m/>
    <m/>
    <m/>
    <m/>
    <m/>
    <m/>
    <m/>
  </r>
  <r>
    <s v="RFOs"/>
    <x v="0"/>
    <s v="RFOII"/>
    <m/>
    <x v="3"/>
    <s v="MADDELA"/>
    <s v="Quirino, 1st District"/>
    <n v="25704000"/>
    <s v="1st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3"/>
    <x v="2"/>
    <s v="2ND SEMESTER"/>
    <x v="0"/>
    <n v="600"/>
    <s v="YES"/>
    <n v="33.3333333333333"/>
    <n v="30"/>
    <n v="0"/>
    <m/>
    <m/>
    <m/>
    <n v="1"/>
    <n v="44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White Corn"/>
    <s v="Corn"/>
    <s v="TECHNICAL AND SUPPORT SERVICES PROGRAM"/>
    <x v="0"/>
    <s v="Corn_PSS"/>
    <s v="Seeds reserved"/>
    <s v="Corn Seeds reserved"/>
    <s v="White Corn Seeds reserved"/>
    <x v="1"/>
    <x v="1"/>
    <s v="Corn Seed Reserve"/>
    <s v="White corn seeds reserve"/>
    <s v="YES"/>
    <s v="PAP"/>
    <s v="PIP"/>
    <s v="PICS"/>
    <s v="Modernization"/>
    <s v="9. Climate Change Adaptation &amp; Mitigation Measures"/>
    <s v="EXPAND AND IMPROVE AVAILABLE AGRI-FISHERY AREAS FOR INCREASED PRODUCTION"/>
    <s v="Seed Reserve"/>
    <s v="DA-Level Output"/>
    <s v="NO"/>
    <s v="kilogram"/>
    <x v="4"/>
    <x v="0"/>
    <s v="1ST SEMESTER"/>
    <x v="0"/>
    <n v="5000"/>
    <s v="YES"/>
    <n v="250"/>
    <n v="50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White Corn"/>
    <s v="Corn"/>
    <s v="TECHNICAL AND SUPPORT SERVICES PROGRAM"/>
    <x v="0"/>
    <s v="Corn_PSS"/>
    <s v="Seeds reserved"/>
    <s v="Corn Seeds reserved"/>
    <s v="White Corn Seeds reserved"/>
    <x v="1"/>
    <x v="1"/>
    <s v="Corn Seed Reserve"/>
    <s v="White corn seeds reserve"/>
    <s v="YES"/>
    <s v="PAP"/>
    <s v="PIP"/>
    <s v="PICS"/>
    <s v="Modernization"/>
    <s v="9. Climate Change Adaptation &amp; Mitigation Measures"/>
    <s v="EXPAND AND IMPROVE AVAILABLE AGRI-FISHERY AREAS FOR INCREASED PRODUCTION"/>
    <s v="Seed Reserve"/>
    <s v="DA-Level Output"/>
    <s v="NO"/>
    <s v="kilogram"/>
    <x v="4"/>
    <x v="0"/>
    <s v="1ST SEMESTER"/>
    <x v="0"/>
    <n v="10000"/>
    <s v="YES"/>
    <n v="555.5"/>
    <n v="100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White Corn Growers Association"/>
    <x v="0"/>
    <s v="ALCALA"/>
    <s v="Cagayan, 1st District"/>
    <n v="21502000"/>
    <s v="3rd"/>
    <s v="Yellow Corn"/>
    <s v="Corn"/>
    <s v="TECHNICAL AND SUPPORT SERVICES PROGRAM"/>
    <x v="0"/>
    <s v="Corn_PSS"/>
    <s v="Seeds distributed"/>
    <s v="Corn Seeds distributed"/>
    <s v="Yellow Corn Seeds distributed"/>
    <x v="2"/>
    <x v="2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1"/>
    <x v="1"/>
    <s v="2ND SEMESTER"/>
    <x v="0"/>
    <n v="5400"/>
    <s v="YES"/>
    <n v="300"/>
    <n v="3600"/>
    <n v="0"/>
    <m/>
    <m/>
    <m/>
    <n v="1"/>
    <n v="300"/>
    <m/>
    <m/>
    <m/>
    <m/>
    <m/>
    <m/>
    <m/>
    <m/>
    <m/>
    <m/>
    <m/>
    <m/>
    <m/>
    <m/>
    <m/>
    <m/>
    <m/>
    <m/>
    <m/>
  </r>
  <r>
    <s v="RFOs"/>
    <x v="0"/>
    <s v="RFOII"/>
    <s v="Sunrise Multi-Purpose Cooperative"/>
    <x v="0"/>
    <s v="GATTARAN"/>
    <s v="Cagayan, 1st District"/>
    <n v="21513000"/>
    <s v="1st"/>
    <s v="Yellow Corn"/>
    <s v="Corn"/>
    <s v="TECHNICAL AND SUPPORT SERVICES PROGRAM"/>
    <x v="0"/>
    <s v="Corn_PSS"/>
    <s v="Seeds distributed"/>
    <s v="Corn Seeds distributed"/>
    <s v="Yellow Corn Seeds distributed"/>
    <x v="2"/>
    <x v="2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1"/>
    <x v="1"/>
    <s v="2ND SEMESTER"/>
    <x v="0"/>
    <n v="3600"/>
    <s v="YES"/>
    <n v="200"/>
    <n v="2400"/>
    <n v="0"/>
    <m/>
    <m/>
    <m/>
    <n v="1"/>
    <n v="200"/>
    <m/>
    <m/>
    <m/>
    <m/>
    <m/>
    <m/>
    <m/>
    <m/>
    <m/>
    <m/>
    <m/>
    <m/>
    <m/>
    <m/>
    <m/>
    <m/>
    <m/>
    <m/>
    <m/>
  </r>
  <r>
    <s v="RFOs"/>
    <x v="0"/>
    <s v="RFOII"/>
    <s v="Northern Tumauini Cereal and Dairy Farmers Cooperative"/>
    <x v="1"/>
    <s v="TUMAUINI"/>
    <s v="Isabela, 1st District"/>
    <n v="23137000"/>
    <s v="1st"/>
    <s v="Yellow Corn"/>
    <s v="Corn"/>
    <s v="TECHNICAL AND SUPPORT SERVICES PROGRAM"/>
    <x v="0"/>
    <s v="Corn_PSS"/>
    <s v="Seeds distributed"/>
    <s v="Corn Seeds distributed"/>
    <s v="Yellow Corn Seeds distributed"/>
    <x v="2"/>
    <x v="2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1"/>
    <x v="1"/>
    <s v="2ND SEMESTER"/>
    <x v="0"/>
    <n v="5400"/>
    <s v="YES"/>
    <n v="300"/>
    <n v="3600"/>
    <n v="0"/>
    <m/>
    <m/>
    <m/>
    <n v="1"/>
    <n v="300"/>
    <m/>
    <m/>
    <m/>
    <m/>
    <m/>
    <m/>
    <m/>
    <m/>
    <m/>
    <m/>
    <m/>
    <m/>
    <m/>
    <m/>
    <m/>
    <m/>
    <m/>
    <m/>
    <m/>
  </r>
  <r>
    <s v="RFOs"/>
    <x v="0"/>
    <s v="RFOII"/>
    <s v="Villa Luna Multi-Purpose Cooperative"/>
    <x v="1"/>
    <s v="CITY OF CAUAYAN"/>
    <s v="Isabela, 6th District"/>
    <n v="23108000"/>
    <s v="3rd"/>
    <s v="Yellow Corn"/>
    <s v="Corn"/>
    <s v="TECHNICAL AND SUPPORT SERVICES PROGRAM"/>
    <x v="0"/>
    <s v="Corn_PSS"/>
    <s v="Seeds distributed"/>
    <s v="Corn Seeds distributed"/>
    <s v="Yellow Corn Seeds distributed"/>
    <x v="2"/>
    <x v="2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1"/>
    <x v="1"/>
    <s v="2ND SEMESTER"/>
    <x v="0"/>
    <n v="3600"/>
    <s v="YES"/>
    <n v="200"/>
    <n v="2400"/>
    <n v="0"/>
    <m/>
    <m/>
    <m/>
    <n v="1"/>
    <n v="200"/>
    <m/>
    <m/>
    <m/>
    <m/>
    <m/>
    <m/>
    <m/>
    <m/>
    <m/>
    <m/>
    <m/>
    <m/>
    <m/>
    <m/>
    <m/>
    <m/>
    <m/>
    <m/>
    <m/>
  </r>
  <r>
    <s v="RFOs"/>
    <x v="0"/>
    <s v="RFOII"/>
    <s v="White Corn Growers Association"/>
    <x v="0"/>
    <s v="ALCALA"/>
    <s v="Cagayan, 1st District"/>
    <n v="21502000"/>
    <s v="3r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3"/>
    <x v="2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1"/>
    <x v="1"/>
    <s v="2ND SEMESTER"/>
    <x v="0"/>
    <n v="165000"/>
    <s v="YES"/>
    <n v="300"/>
    <n v="7425"/>
    <n v="0"/>
    <m/>
    <m/>
    <m/>
    <n v="1"/>
    <n v="300"/>
    <m/>
    <m/>
    <m/>
    <m/>
    <m/>
    <m/>
    <m/>
    <m/>
    <m/>
    <m/>
    <m/>
    <m/>
    <m/>
    <m/>
    <m/>
    <m/>
    <m/>
    <m/>
    <m/>
  </r>
  <r>
    <s v="RFOs"/>
    <x v="0"/>
    <s v="RFOII"/>
    <s v="Sunrise Multi-Purpose Cooperative"/>
    <x v="0"/>
    <s v="GATTARAN"/>
    <s v="Cagayan, 1st District"/>
    <n v="21513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3"/>
    <x v="2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1"/>
    <x v="1"/>
    <s v="2ND SEMESTER"/>
    <x v="0"/>
    <n v="110000"/>
    <s v="YES"/>
    <n v="200"/>
    <n v="4950"/>
    <n v="0"/>
    <m/>
    <m/>
    <m/>
    <n v="1"/>
    <n v="200"/>
    <m/>
    <m/>
    <m/>
    <m/>
    <m/>
    <m/>
    <m/>
    <m/>
    <m/>
    <m/>
    <m/>
    <m/>
    <m/>
    <m/>
    <m/>
    <m/>
    <m/>
    <m/>
    <m/>
  </r>
  <r>
    <s v="RFOs"/>
    <x v="0"/>
    <s v="RFOII"/>
    <s v="Northern Tumauini Cereal and Dairy Farmers Cooperative"/>
    <x v="1"/>
    <s v="TUMAUINI"/>
    <s v="Isabela, 1st District"/>
    <n v="23137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3"/>
    <x v="2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1"/>
    <x v="1"/>
    <s v="2ND SEMESTER"/>
    <x v="0"/>
    <n v="165000"/>
    <s v="YES"/>
    <n v="300"/>
    <n v="7425"/>
    <n v="0"/>
    <m/>
    <m/>
    <m/>
    <n v="1"/>
    <n v="300"/>
    <m/>
    <m/>
    <m/>
    <m/>
    <m/>
    <m/>
    <m/>
    <m/>
    <m/>
    <m/>
    <m/>
    <m/>
    <m/>
    <m/>
    <m/>
    <m/>
    <m/>
    <m/>
    <m/>
  </r>
  <r>
    <s v="RFOs"/>
    <x v="0"/>
    <s v="RFOII"/>
    <s v="Villa Luna Multi-Purpose Cooperative"/>
    <x v="1"/>
    <s v="CITY OF CAUAYAN"/>
    <s v="Isabela, 6th District"/>
    <n v="23108000"/>
    <s v="3r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3"/>
    <x v="2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1"/>
    <x v="1"/>
    <s v="2ND SEMESTER"/>
    <x v="0"/>
    <n v="110000"/>
    <s v="YES"/>
    <n v="200"/>
    <n v="4950"/>
    <n v="0"/>
    <m/>
    <m/>
    <m/>
    <n v="1"/>
    <n v="200"/>
    <m/>
    <m/>
    <m/>
    <m/>
    <m/>
    <m/>
    <m/>
    <m/>
    <m/>
    <m/>
    <m/>
    <m/>
    <m/>
    <m/>
    <m/>
    <m/>
    <m/>
    <m/>
    <m/>
  </r>
  <r>
    <s v="RFOs"/>
    <x v="0"/>
    <s v="RFOII"/>
    <s v="White Corn Growers Association"/>
    <x v="0"/>
    <s v="ALCALA"/>
    <s v="Cagayan, 1st District"/>
    <n v="21502000"/>
    <s v="3rd"/>
    <s v="Yellow Corn"/>
    <s v="Corn"/>
    <s v="TECHNICAL AND SUPPORT SERVICES PROGRAM"/>
    <x v="0"/>
    <s v="Corn_PSS"/>
    <s v="Fertilizers and other soil ammendment distributed"/>
    <s v="Fertilizers distributed"/>
    <s v="Biofertilizer distributed (pack)"/>
    <x v="4"/>
    <x v="3"/>
    <s v="Soil Fertilization"/>
    <s v="Bio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ack"/>
    <x v="1"/>
    <x v="1"/>
    <s v="2ND SEMESTER"/>
    <x v="0"/>
    <n v="1650"/>
    <s v="YES"/>
    <n v="400"/>
    <n v="1050"/>
    <n v="0"/>
    <m/>
    <m/>
    <m/>
    <n v="1"/>
    <n v="400"/>
    <m/>
    <m/>
    <m/>
    <m/>
    <m/>
    <m/>
    <m/>
    <m/>
    <m/>
    <m/>
    <m/>
    <m/>
    <m/>
    <m/>
    <m/>
    <m/>
    <m/>
    <m/>
    <m/>
  </r>
  <r>
    <s v="RFOs"/>
    <x v="0"/>
    <s v="RFOII"/>
    <s v="Sunrise Multi-Purpose Cooperative"/>
    <x v="0"/>
    <s v="GATTARAN"/>
    <s v="Cagayan, 1st District"/>
    <n v="21513000"/>
    <s v="1st"/>
    <s v="Yellow Corn"/>
    <s v="Corn"/>
    <s v="TECHNICAL AND SUPPORT SERVICES PROGRAM"/>
    <x v="0"/>
    <s v="Corn_PSS"/>
    <s v="Fertilizers and other soil ammendment distributed"/>
    <s v="Fertilizers distributed"/>
    <s v="Biofertilizer distributed (pack)"/>
    <x v="4"/>
    <x v="3"/>
    <s v="Soil Fertilization"/>
    <s v="Bio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ack"/>
    <x v="1"/>
    <x v="1"/>
    <s v="2ND SEMESTER"/>
    <x v="0"/>
    <n v="350"/>
    <s v="YES"/>
    <n v="100"/>
    <n v="310"/>
    <n v="0"/>
    <m/>
    <m/>
    <m/>
    <n v="1"/>
    <n v="100"/>
    <m/>
    <m/>
    <m/>
    <m/>
    <m/>
    <m/>
    <m/>
    <m/>
    <m/>
    <m/>
    <m/>
    <m/>
    <m/>
    <m/>
    <m/>
    <m/>
    <m/>
    <m/>
    <m/>
  </r>
  <r>
    <s v="RFOs"/>
    <x v="0"/>
    <s v="RFOII"/>
    <s v="Northern Tumauini Cereal and Dairy Farmers Cooperative"/>
    <x v="1"/>
    <s v="TUMAUINI"/>
    <s v="Isabela, 1st District"/>
    <n v="23137000"/>
    <s v="1st"/>
    <s v="Yellow Corn"/>
    <s v="Corn"/>
    <s v="TECHNICAL AND SUPPORT SERVICES PROGRAM"/>
    <x v="0"/>
    <s v="Corn_PSS"/>
    <s v="Fertilizers and other soil ammendment distributed"/>
    <s v="Fertilizers distributed"/>
    <s v="Biofertilizer distributed (pack)"/>
    <x v="4"/>
    <x v="3"/>
    <s v="Soil Fertilization"/>
    <s v="Bio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ack"/>
    <x v="1"/>
    <x v="1"/>
    <s v="2ND SEMESTER"/>
    <x v="0"/>
    <n v="1650"/>
    <s v="YES"/>
    <n v="400"/>
    <n v="1050"/>
    <n v="0"/>
    <m/>
    <m/>
    <m/>
    <n v="1"/>
    <n v="400"/>
    <m/>
    <m/>
    <m/>
    <m/>
    <m/>
    <m/>
    <m/>
    <m/>
    <m/>
    <m/>
    <m/>
    <m/>
    <m/>
    <m/>
    <m/>
    <m/>
    <m/>
    <m/>
    <m/>
  </r>
  <r>
    <s v="RFOs"/>
    <x v="0"/>
    <s v="RFOII"/>
    <s v="Villa Luna Multi-Purpose Cooperative"/>
    <x v="1"/>
    <s v="CITY OF CAUAYAN"/>
    <s v="Isabela, 6th District"/>
    <n v="23108000"/>
    <s v="3rd"/>
    <s v="Yellow Corn"/>
    <s v="Corn"/>
    <s v="TECHNICAL AND SUPPORT SERVICES PROGRAM"/>
    <x v="0"/>
    <s v="Corn_PSS"/>
    <s v="Fertilizers and other soil ammendment distributed"/>
    <s v="Fertilizers distributed"/>
    <s v="Biofertilizer distributed (pack)"/>
    <x v="4"/>
    <x v="3"/>
    <s v="Soil Fertilization"/>
    <s v="Bio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ack"/>
    <x v="1"/>
    <x v="1"/>
    <s v="2ND SEMESTER"/>
    <x v="0"/>
    <n v="350"/>
    <s v="YES"/>
    <n v="100"/>
    <n v="310"/>
    <n v="0"/>
    <m/>
    <m/>
    <m/>
    <n v="1"/>
    <n v="100"/>
    <m/>
    <m/>
    <m/>
    <m/>
    <m/>
    <m/>
    <m/>
    <m/>
    <m/>
    <m/>
    <m/>
    <m/>
    <m/>
    <m/>
    <m/>
    <m/>
    <m/>
    <m/>
    <m/>
  </r>
  <r>
    <s v="RFOs"/>
    <x v="0"/>
    <s v="RFOII"/>
    <s v="White Corn Growers Association"/>
    <x v="0"/>
    <s v="ALCALA"/>
    <s v="Cagayan, 1st District"/>
    <n v="21502000"/>
    <s v="3rd"/>
    <s v="Yellow Corn"/>
    <s v="Corn"/>
    <s v="TECHNICAL AND SUPPORT SERVICES PROGRAM"/>
    <x v="0"/>
    <s v="Corn_PSS"/>
    <s v="Fertilizers and other soil ammendment distributed"/>
    <s v="Fertilizers distributed"/>
    <s v="Organic fertilizer distributed"/>
    <x v="5"/>
    <x v="3"/>
    <s v="Soil Fertilization"/>
    <s v="Soil ameliorant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1"/>
    <x v="1"/>
    <s v="2ND SEMESTER"/>
    <x v="0"/>
    <n v="150000"/>
    <s v="YES"/>
    <n v="300"/>
    <n v="3000"/>
    <n v="0"/>
    <m/>
    <m/>
    <m/>
    <n v="1"/>
    <n v="300"/>
    <m/>
    <m/>
    <m/>
    <m/>
    <m/>
    <m/>
    <m/>
    <m/>
    <m/>
    <m/>
    <m/>
    <m/>
    <m/>
    <m/>
    <m/>
    <m/>
    <m/>
    <m/>
    <m/>
  </r>
  <r>
    <s v="RFOs"/>
    <x v="0"/>
    <s v="RFOII"/>
    <s v="Sunrise Multi-Purpose Cooperative"/>
    <x v="0"/>
    <s v="GATTARAN"/>
    <s v="Cagayan, 1st District"/>
    <n v="21513000"/>
    <s v="1st"/>
    <s v="Yellow Corn"/>
    <s v="Corn"/>
    <s v="TECHNICAL AND SUPPORT SERVICES PROGRAM"/>
    <x v="0"/>
    <s v="Corn_PSS"/>
    <s v="Fertilizers and other soil ammendment distributed"/>
    <s v="Fertilizers distributed"/>
    <s v="Organic fertilizer distributed"/>
    <x v="5"/>
    <x v="3"/>
    <s v="Soil Fertilization"/>
    <s v="Soil ameliorant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1"/>
    <x v="1"/>
    <s v="2ND SEMESTER"/>
    <x v="0"/>
    <n v="100000"/>
    <s v="YES"/>
    <n v="200"/>
    <n v="2000"/>
    <n v="0"/>
    <m/>
    <m/>
    <m/>
    <n v="1"/>
    <n v="200"/>
    <m/>
    <m/>
    <m/>
    <m/>
    <m/>
    <m/>
    <m/>
    <m/>
    <m/>
    <m/>
    <m/>
    <m/>
    <m/>
    <m/>
    <m/>
    <m/>
    <m/>
    <m/>
    <m/>
  </r>
  <r>
    <s v="RFOs"/>
    <x v="0"/>
    <s v="RFOII"/>
    <s v="Northern Tumauini Cereal and Dairy Farmers Cooperative"/>
    <x v="1"/>
    <s v="TUMAUINI"/>
    <s v="Isabela, 1st District"/>
    <n v="23137000"/>
    <s v="1st"/>
    <s v="Yellow Corn"/>
    <s v="Corn"/>
    <s v="TECHNICAL AND SUPPORT SERVICES PROGRAM"/>
    <x v="0"/>
    <s v="Corn_PSS"/>
    <s v="Fertilizers and other soil ammendment distributed"/>
    <s v="Fertilizers distributed"/>
    <s v="Organic fertilizer distributed"/>
    <x v="5"/>
    <x v="3"/>
    <s v="Soil Fertilization"/>
    <s v="Soil ameliorant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1"/>
    <x v="1"/>
    <s v="2ND SEMESTER"/>
    <x v="0"/>
    <n v="150000"/>
    <s v="YES"/>
    <n v="300"/>
    <n v="3000"/>
    <n v="0"/>
    <m/>
    <m/>
    <m/>
    <n v="1"/>
    <n v="300"/>
    <m/>
    <m/>
    <m/>
    <m/>
    <m/>
    <m/>
    <m/>
    <m/>
    <m/>
    <m/>
    <m/>
    <m/>
    <m/>
    <m/>
    <m/>
    <m/>
    <m/>
    <m/>
    <m/>
  </r>
  <r>
    <s v="RFOs"/>
    <x v="0"/>
    <s v="RFOII"/>
    <s v="Villa Luna Multi-Purpose Cooperative"/>
    <x v="1"/>
    <s v="CITY OF CAUAYAN"/>
    <s v="Isabela, 6th District"/>
    <n v="23108000"/>
    <s v="3rd"/>
    <s v="Yellow Corn"/>
    <s v="Corn"/>
    <s v="TECHNICAL AND SUPPORT SERVICES PROGRAM"/>
    <x v="0"/>
    <s v="Corn_PSS"/>
    <s v="Fertilizers and other soil ammendment distributed"/>
    <s v="Fertilizers distributed"/>
    <s v="Organic fertilizer distributed"/>
    <x v="5"/>
    <x v="3"/>
    <s v="Soil Fertilization"/>
    <s v="Soil ameliorant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1"/>
    <x v="1"/>
    <s v="2ND SEMESTER"/>
    <x v="0"/>
    <n v="100000"/>
    <s v="YES"/>
    <n v="200"/>
    <n v="2000"/>
    <n v="0"/>
    <m/>
    <m/>
    <m/>
    <n v="1"/>
    <n v="200"/>
    <m/>
    <m/>
    <m/>
    <m/>
    <m/>
    <m/>
    <m/>
    <m/>
    <m/>
    <m/>
    <m/>
    <m/>
    <m/>
    <m/>
    <m/>
    <m/>
    <m/>
    <m/>
    <m/>
  </r>
  <r>
    <s v="RFOs"/>
    <x v="0"/>
    <s v="RFOII"/>
    <m/>
    <x v="0"/>
    <s v="ALCALA"/>
    <s v="Cagayan, 1st District"/>
    <n v="21502000"/>
    <s v="3r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5814"/>
    <s v="YES"/>
    <n v="323"/>
    <n v="3876"/>
    <n v="0"/>
    <m/>
    <m/>
    <m/>
    <n v="1"/>
    <n v="323"/>
    <m/>
    <m/>
    <m/>
    <m/>
    <m/>
    <m/>
    <m/>
    <m/>
    <m/>
    <m/>
    <m/>
    <m/>
    <m/>
    <m/>
    <m/>
    <m/>
    <m/>
    <m/>
    <m/>
  </r>
  <r>
    <s v="RFOs"/>
    <x v="0"/>
    <s v="RFOII"/>
    <m/>
    <x v="0"/>
    <s v="BAGGAO"/>
    <s v="Cagayan, 1st District"/>
    <n v="21506000"/>
    <s v="1st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0880"/>
    <s v="YES"/>
    <n v="1160"/>
    <n v="13920"/>
    <n v="0"/>
    <m/>
    <m/>
    <m/>
    <n v="2"/>
    <n v="1160"/>
    <m/>
    <m/>
    <m/>
    <m/>
    <m/>
    <m/>
    <m/>
    <m/>
    <m/>
    <m/>
    <m/>
    <m/>
    <m/>
    <m/>
    <m/>
    <m/>
    <m/>
    <m/>
    <m/>
  </r>
  <r>
    <s v="RFOs"/>
    <x v="0"/>
    <s v="RFOII"/>
    <m/>
    <x v="0"/>
    <s v="BUGUEY"/>
    <s v="Cagayan, 1st District"/>
    <n v="21508000"/>
    <s v="3r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630"/>
    <s v="YES"/>
    <n v="35"/>
    <n v="420"/>
    <n v="0"/>
    <m/>
    <m/>
    <m/>
    <n v="1"/>
    <n v="35"/>
    <m/>
    <m/>
    <m/>
    <m/>
    <m/>
    <m/>
    <m/>
    <m/>
    <m/>
    <m/>
    <m/>
    <m/>
    <m/>
    <m/>
    <m/>
    <m/>
    <m/>
    <m/>
    <m/>
  </r>
  <r>
    <s v="RFOs"/>
    <x v="0"/>
    <s v="RFOII"/>
    <m/>
    <x v="0"/>
    <s v="GATTARAN"/>
    <s v="Cagayan, 1st District"/>
    <n v="21513000"/>
    <s v="1st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9774"/>
    <s v="YES"/>
    <n v="543"/>
    <n v="6516"/>
    <n v="0"/>
    <m/>
    <m/>
    <m/>
    <n v="1"/>
    <n v="543"/>
    <m/>
    <m/>
    <m/>
    <m/>
    <m/>
    <m/>
    <m/>
    <m/>
    <m/>
    <m/>
    <m/>
    <m/>
    <m/>
    <m/>
    <m/>
    <m/>
    <m/>
    <m/>
    <m/>
  </r>
  <r>
    <s v="RFOs"/>
    <x v="0"/>
    <s v="RFOII"/>
    <m/>
    <x v="0"/>
    <s v="LAL-LO"/>
    <s v="Cagayan, 1st District"/>
    <n v="21516000"/>
    <s v="1st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5220"/>
    <s v="YES"/>
    <n v="290"/>
    <n v="3480"/>
    <n v="0"/>
    <m/>
    <m/>
    <m/>
    <n v="1"/>
    <n v="290"/>
    <m/>
    <m/>
    <m/>
    <m/>
    <m/>
    <m/>
    <m/>
    <m/>
    <m/>
    <m/>
    <m/>
    <m/>
    <m/>
    <m/>
    <m/>
    <m/>
    <m/>
    <m/>
    <m/>
  </r>
  <r>
    <s v="RFOs"/>
    <x v="0"/>
    <s v="RFOII"/>
    <m/>
    <x v="0"/>
    <s v="SANTA ANA"/>
    <s v="Cagayan, 1st District"/>
    <n v="21523000"/>
    <s v="2n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90"/>
    <s v="YES"/>
    <n v="5"/>
    <n v="60"/>
    <n v="0"/>
    <m/>
    <m/>
    <m/>
    <n v="1"/>
    <n v="5"/>
    <m/>
    <m/>
    <m/>
    <m/>
    <m/>
    <m/>
    <m/>
    <m/>
    <m/>
    <m/>
    <m/>
    <m/>
    <m/>
    <m/>
    <m/>
    <m/>
    <m/>
    <m/>
    <m/>
  </r>
  <r>
    <s v="RFOs"/>
    <x v="0"/>
    <s v="RFOII"/>
    <m/>
    <x v="0"/>
    <s v="CAMALANIUGAN"/>
    <s v="Cagayan, 1st District"/>
    <n v="21510000"/>
    <s v="4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90"/>
    <s v="YES"/>
    <n v="5"/>
    <n v="60"/>
    <n v="0"/>
    <m/>
    <m/>
    <m/>
    <n v="1"/>
    <n v="5"/>
    <m/>
    <m/>
    <m/>
    <m/>
    <m/>
    <m/>
    <m/>
    <m/>
    <m/>
    <m/>
    <m/>
    <m/>
    <m/>
    <m/>
    <m/>
    <m/>
    <m/>
    <m/>
    <m/>
  </r>
  <r>
    <s v="RFOs"/>
    <x v="0"/>
    <s v="RFOII"/>
    <m/>
    <x v="0"/>
    <s v="SANTA TERESITA"/>
    <s v="Cagayan, 1st District"/>
    <n v="21525000"/>
    <s v="4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548"/>
    <s v="YES"/>
    <n v="86"/>
    <n v="1032"/>
    <n v="0"/>
    <m/>
    <m/>
    <m/>
    <n v="1"/>
    <n v="86"/>
    <m/>
    <m/>
    <m/>
    <m/>
    <m/>
    <m/>
    <m/>
    <m/>
    <m/>
    <m/>
    <m/>
    <m/>
    <m/>
    <m/>
    <m/>
    <m/>
    <m/>
    <m/>
    <m/>
  </r>
  <r>
    <s v="RFOs"/>
    <x v="0"/>
    <s v="RFOII"/>
    <m/>
    <x v="0"/>
    <s v="ABULUG"/>
    <s v="Cagayan, 2nd District"/>
    <n v="21501000"/>
    <s v="3r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3330"/>
    <s v="YES"/>
    <n v="185"/>
    <n v="2220"/>
    <n v="0"/>
    <m/>
    <m/>
    <m/>
    <n v="1"/>
    <n v="185"/>
    <m/>
    <m/>
    <m/>
    <m/>
    <m/>
    <m/>
    <m/>
    <m/>
    <m/>
    <m/>
    <m/>
    <m/>
    <m/>
    <m/>
    <m/>
    <m/>
    <m/>
    <m/>
    <m/>
  </r>
  <r>
    <s v="RFOs"/>
    <x v="0"/>
    <s v="RFOII"/>
    <m/>
    <x v="0"/>
    <s v="CALAYAN"/>
    <s v="Cagayan, 2nd District"/>
    <n v="21509000"/>
    <s v="3r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90"/>
    <s v="YES"/>
    <n v="5"/>
    <n v="60"/>
    <n v="0"/>
    <m/>
    <m/>
    <m/>
    <n v="1"/>
    <n v="5"/>
    <m/>
    <m/>
    <m/>
    <m/>
    <m/>
    <m/>
    <m/>
    <m/>
    <m/>
    <m/>
    <m/>
    <m/>
    <m/>
    <m/>
    <m/>
    <m/>
    <m/>
    <m/>
    <m/>
  </r>
  <r>
    <s v="RFOs"/>
    <x v="0"/>
    <s v="RFOII"/>
    <m/>
    <x v="0"/>
    <s v="LASAM"/>
    <s v="Cagayan, 2nd District"/>
    <n v="21517000"/>
    <s v="3r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3762"/>
    <s v="YES"/>
    <n v="209"/>
    <n v="2508"/>
    <n v="0"/>
    <m/>
    <m/>
    <m/>
    <n v="1"/>
    <n v="209"/>
    <m/>
    <m/>
    <m/>
    <m/>
    <m/>
    <m/>
    <m/>
    <m/>
    <m/>
    <m/>
    <m/>
    <m/>
    <m/>
    <m/>
    <m/>
    <m/>
    <m/>
    <m/>
    <m/>
  </r>
  <r>
    <s v="RFOs"/>
    <x v="0"/>
    <s v="RFOII"/>
    <m/>
    <x v="0"/>
    <s v="PIAT"/>
    <s v="Cagayan, 2nd District"/>
    <n v="21520000"/>
    <s v="4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4554"/>
    <s v="YES"/>
    <n v="253"/>
    <n v="3036"/>
    <n v="0"/>
    <m/>
    <m/>
    <m/>
    <n v="1"/>
    <n v="253"/>
    <m/>
    <m/>
    <m/>
    <m/>
    <m/>
    <m/>
    <m/>
    <m/>
    <m/>
    <m/>
    <m/>
    <m/>
    <m/>
    <m/>
    <m/>
    <m/>
    <m/>
    <m/>
    <m/>
  </r>
  <r>
    <s v="RFOs"/>
    <x v="0"/>
    <s v="RFOII"/>
    <m/>
    <x v="0"/>
    <s v="RIZAL"/>
    <s v="Cagayan, 2nd District"/>
    <n v="21521000"/>
    <s v="5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6372"/>
    <s v="YES"/>
    <n v="354"/>
    <n v="4248"/>
    <n v="0"/>
    <m/>
    <m/>
    <m/>
    <n v="1"/>
    <n v="354"/>
    <m/>
    <m/>
    <m/>
    <m/>
    <m/>
    <m/>
    <m/>
    <m/>
    <m/>
    <m/>
    <m/>
    <m/>
    <m/>
    <m/>
    <m/>
    <m/>
    <m/>
    <m/>
    <m/>
  </r>
  <r>
    <s v="RFOs"/>
    <x v="0"/>
    <s v="RFOII"/>
    <m/>
    <x v="0"/>
    <s v="SANTO NIÑO (FAIRE)"/>
    <s v="Cagayan, 2nd District"/>
    <n v="21526000"/>
    <s v="2n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3942"/>
    <s v="YES"/>
    <n v="219"/>
    <n v="2628"/>
    <n v="0"/>
    <m/>
    <m/>
    <m/>
    <n v="1"/>
    <n v="219"/>
    <m/>
    <m/>
    <m/>
    <m/>
    <m/>
    <m/>
    <m/>
    <m/>
    <m/>
    <m/>
    <m/>
    <m/>
    <m/>
    <m/>
    <m/>
    <m/>
    <m/>
    <m/>
    <m/>
  </r>
  <r>
    <s v="RFOs"/>
    <x v="0"/>
    <s v="RFOII"/>
    <m/>
    <x v="0"/>
    <s v="AMULUNG"/>
    <s v="Cagayan, 3rd District"/>
    <n v="21504000"/>
    <s v="2n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1970"/>
    <s v="YES"/>
    <n v="665"/>
    <n v="7980"/>
    <n v="0"/>
    <m/>
    <m/>
    <m/>
    <n v="2"/>
    <n v="665"/>
    <m/>
    <m/>
    <m/>
    <m/>
    <m/>
    <m/>
    <m/>
    <m/>
    <m/>
    <m/>
    <m/>
    <m/>
    <m/>
    <m/>
    <m/>
    <m/>
    <m/>
    <m/>
    <m/>
  </r>
  <r>
    <s v="RFOs"/>
    <x v="0"/>
    <s v="RFOII"/>
    <m/>
    <x v="0"/>
    <s v="ENRILE"/>
    <s v="Cagayan, 3rd District"/>
    <n v="21512000"/>
    <s v="3r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502"/>
    <s v="YES"/>
    <n v="139"/>
    <n v="1668"/>
    <n v="0"/>
    <m/>
    <m/>
    <m/>
    <n v="1"/>
    <n v="139"/>
    <m/>
    <m/>
    <m/>
    <m/>
    <m/>
    <m/>
    <m/>
    <m/>
    <m/>
    <m/>
    <m/>
    <m/>
    <m/>
    <m/>
    <m/>
    <m/>
    <m/>
    <m/>
    <m/>
  </r>
  <r>
    <s v="RFOs"/>
    <x v="0"/>
    <s v="RFOII"/>
    <m/>
    <x v="0"/>
    <s v="IGUIG"/>
    <s v="Cagayan, 3rd District"/>
    <n v="21515000"/>
    <s v="4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970"/>
    <s v="YES"/>
    <n v="165"/>
    <n v="1980"/>
    <n v="0"/>
    <m/>
    <m/>
    <m/>
    <n v="1"/>
    <n v="165"/>
    <m/>
    <m/>
    <m/>
    <m/>
    <m/>
    <m/>
    <m/>
    <m/>
    <m/>
    <m/>
    <m/>
    <m/>
    <m/>
    <m/>
    <m/>
    <m/>
    <m/>
    <m/>
    <m/>
  </r>
  <r>
    <s v="RFOs"/>
    <x v="0"/>
    <s v="RFOII"/>
    <m/>
    <x v="0"/>
    <s v="PEÑABLANCA"/>
    <s v="Cagayan, 3rd District"/>
    <n v="21519000"/>
    <s v="1st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4300"/>
    <s v="YES"/>
    <n v="1350"/>
    <n v="16200"/>
    <n v="0"/>
    <m/>
    <m/>
    <m/>
    <n v="3"/>
    <n v="1350"/>
    <m/>
    <m/>
    <m/>
    <m/>
    <m/>
    <m/>
    <m/>
    <m/>
    <m/>
    <m/>
    <m/>
    <m/>
    <m/>
    <m/>
    <m/>
    <m/>
    <m/>
    <m/>
    <m/>
  </r>
  <r>
    <s v="RFOs"/>
    <x v="0"/>
    <s v="RFOII"/>
    <m/>
    <x v="0"/>
    <s v="SOLANA"/>
    <s v="Cagayan, 3rd District"/>
    <n v="21527000"/>
    <s v="1st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6336"/>
    <s v="YES"/>
    <n v="352"/>
    <n v="4224"/>
    <n v="0"/>
    <m/>
    <m/>
    <m/>
    <n v="1"/>
    <n v="352"/>
    <m/>
    <m/>
    <m/>
    <m/>
    <m/>
    <m/>
    <m/>
    <m/>
    <m/>
    <m/>
    <m/>
    <m/>
    <m/>
    <m/>
    <m/>
    <m/>
    <m/>
    <m/>
    <m/>
  </r>
  <r>
    <s v="RFOs"/>
    <x v="0"/>
    <s v="RFOII"/>
    <m/>
    <x v="0"/>
    <s v="TUAO"/>
    <s v="Cagayan, 3rd District"/>
    <n v="21528000"/>
    <s v="1st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5994"/>
    <s v="YES"/>
    <n v="333"/>
    <n v="3996"/>
    <n v="0"/>
    <m/>
    <m/>
    <m/>
    <n v="1"/>
    <n v="333"/>
    <m/>
    <m/>
    <m/>
    <m/>
    <m/>
    <m/>
    <m/>
    <m/>
    <m/>
    <m/>
    <m/>
    <m/>
    <m/>
    <m/>
    <m/>
    <m/>
    <m/>
    <m/>
    <m/>
  </r>
  <r>
    <s v="RFOs"/>
    <x v="0"/>
    <s v="RFOII"/>
    <m/>
    <x v="0"/>
    <s v="TUGUEGARAO CITY (Capital)"/>
    <s v="Cagayan, 3rd District"/>
    <n v="21529000"/>
    <s v="3r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4842"/>
    <s v="YES"/>
    <n v="269"/>
    <n v="3228"/>
    <n v="0"/>
    <m/>
    <m/>
    <m/>
    <n v="1"/>
    <n v="269"/>
    <m/>
    <m/>
    <m/>
    <m/>
    <m/>
    <m/>
    <m/>
    <m/>
    <m/>
    <m/>
    <m/>
    <m/>
    <m/>
    <m/>
    <m/>
    <m/>
    <m/>
    <m/>
    <m/>
  </r>
  <r>
    <s v="RFOs"/>
    <x v="0"/>
    <s v="RFOII"/>
    <m/>
    <x v="1"/>
    <s v="CABAGAN"/>
    <s v="Isabela, 1st District"/>
    <n v="23106000"/>
    <s v="1st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3824"/>
    <s v="YES"/>
    <n v="768"/>
    <n v="9216"/>
    <n v="0"/>
    <m/>
    <m/>
    <m/>
    <n v="1"/>
    <n v="768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ILAGAN (Capital)"/>
    <s v="Isabela, 1st District"/>
    <n v="23114000"/>
    <s v="1st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38394"/>
    <s v="YES"/>
    <n v="2133"/>
    <n v="25596"/>
    <n v="0"/>
    <m/>
    <m/>
    <m/>
    <n v="1"/>
    <n v="2133"/>
    <m/>
    <m/>
    <m/>
    <m/>
    <m/>
    <m/>
    <m/>
    <m/>
    <m/>
    <m/>
    <m/>
    <m/>
    <m/>
    <m/>
    <m/>
    <m/>
    <m/>
    <m/>
    <m/>
  </r>
  <r>
    <s v="RFOs"/>
    <x v="0"/>
    <s v="RFOII"/>
    <m/>
    <x v="1"/>
    <s v="DELFIN ALBANO (MAGSAYSAY)"/>
    <s v="Isabela, 1st District"/>
    <n v="23118000"/>
    <s v="4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3006"/>
    <s v="YES"/>
    <n v="167"/>
    <n v="2004"/>
    <n v="0"/>
    <m/>
    <m/>
    <m/>
    <n v="1"/>
    <n v="167"/>
    <m/>
    <m/>
    <m/>
    <m/>
    <m/>
    <m/>
    <m/>
    <m/>
    <m/>
    <m/>
    <m/>
    <m/>
    <m/>
    <m/>
    <m/>
    <m/>
    <m/>
    <m/>
    <m/>
  </r>
  <r>
    <s v="RFOs"/>
    <x v="0"/>
    <s v="RFOII"/>
    <m/>
    <x v="1"/>
    <s v="SAN PABLO"/>
    <s v="Isabela, 1st District"/>
    <n v="23133000"/>
    <s v="2n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9648"/>
    <s v="YES"/>
    <n v="536"/>
    <n v="6432"/>
    <n v="0"/>
    <m/>
    <m/>
    <m/>
    <n v="1"/>
    <n v="536"/>
    <m/>
    <m/>
    <m/>
    <m/>
    <m/>
    <m/>
    <m/>
    <m/>
    <m/>
    <m/>
    <m/>
    <m/>
    <m/>
    <m/>
    <m/>
    <m/>
    <m/>
    <m/>
    <m/>
  </r>
  <r>
    <s v="RFOs"/>
    <x v="0"/>
    <s v="RFOII"/>
    <m/>
    <x v="1"/>
    <s v="SANTA MARIA"/>
    <s v="Isabela, 1st District"/>
    <n v="23134000"/>
    <s v="4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5580"/>
    <s v="YES"/>
    <n v="310"/>
    <n v="3720"/>
    <n v="0"/>
    <m/>
    <m/>
    <m/>
    <n v="1"/>
    <n v="310"/>
    <m/>
    <m/>
    <m/>
    <m/>
    <m/>
    <m/>
    <m/>
    <m/>
    <m/>
    <m/>
    <m/>
    <m/>
    <m/>
    <m/>
    <m/>
    <m/>
    <m/>
    <m/>
    <m/>
  </r>
  <r>
    <s v="RFOs"/>
    <x v="0"/>
    <s v="RFOII"/>
    <m/>
    <x v="1"/>
    <s v="SANTO TOMAS"/>
    <s v="Isabela, 1st District"/>
    <n v="23136000"/>
    <s v="4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7236"/>
    <s v="YES"/>
    <n v="402"/>
    <n v="4824"/>
    <n v="0"/>
    <m/>
    <m/>
    <m/>
    <n v="1"/>
    <n v="402"/>
    <m/>
    <m/>
    <m/>
    <m/>
    <m/>
    <m/>
    <m/>
    <m/>
    <m/>
    <m/>
    <m/>
    <m/>
    <m/>
    <m/>
    <m/>
    <m/>
    <m/>
    <m/>
    <m/>
  </r>
  <r>
    <s v="RFOs"/>
    <x v="0"/>
    <s v="RFOII"/>
    <m/>
    <x v="1"/>
    <s v="TUMAUINI"/>
    <s v="Isabela, 1st District"/>
    <n v="23137000"/>
    <s v="1st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9088"/>
    <s v="YES"/>
    <n v="1616"/>
    <n v="19392"/>
    <n v="0"/>
    <m/>
    <m/>
    <m/>
    <n v="2"/>
    <n v="1616"/>
    <m/>
    <m/>
    <m/>
    <m/>
    <m/>
    <m/>
    <m/>
    <m/>
    <m/>
    <m/>
    <m/>
    <m/>
    <m/>
    <m/>
    <m/>
    <m/>
    <m/>
    <m/>
    <m/>
  </r>
  <r>
    <s v="RFOs"/>
    <x v="0"/>
    <s v="RFOII"/>
    <m/>
    <x v="1"/>
    <s v="BENITO SOLIVEN"/>
    <s v="Isabela, 2nd District"/>
    <n v="23104000"/>
    <s v="4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8414"/>
    <s v="YES"/>
    <n v="1023"/>
    <n v="12276"/>
    <n v="0"/>
    <m/>
    <m/>
    <m/>
    <n v="1"/>
    <n v="1023"/>
    <m/>
    <m/>
    <m/>
    <m/>
    <m/>
    <m/>
    <m/>
    <m/>
    <m/>
    <m/>
    <m/>
    <m/>
    <m/>
    <m/>
    <m/>
    <m/>
    <m/>
    <m/>
    <m/>
  </r>
  <r>
    <s v="RFOs"/>
    <x v="0"/>
    <s v="RFOII"/>
    <m/>
    <x v="1"/>
    <s v="GAMU"/>
    <s v="Isabela, 2nd District"/>
    <n v="23113000"/>
    <s v="4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3330"/>
    <s v="YES"/>
    <n v="185"/>
    <n v="2220"/>
    <n v="0"/>
    <m/>
    <m/>
    <m/>
    <n v="1"/>
    <n v="185"/>
    <m/>
    <m/>
    <m/>
    <m/>
    <m/>
    <m/>
    <m/>
    <m/>
    <m/>
    <m/>
    <m/>
    <m/>
    <m/>
    <m/>
    <m/>
    <m/>
    <m/>
    <m/>
    <m/>
  </r>
  <r>
    <s v="RFOs"/>
    <x v="0"/>
    <s v="RFOII"/>
    <m/>
    <x v="1"/>
    <s v="NAGUILIAN"/>
    <s v="Isabela, 2nd District"/>
    <n v="23120000"/>
    <s v="4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9324"/>
    <s v="YES"/>
    <n v="518"/>
    <n v="6216"/>
    <n v="0"/>
    <m/>
    <m/>
    <m/>
    <n v="1"/>
    <n v="518"/>
    <m/>
    <m/>
    <m/>
    <m/>
    <m/>
    <m/>
    <m/>
    <m/>
    <m/>
    <m/>
    <m/>
    <m/>
    <m/>
    <m/>
    <m/>
    <m/>
    <m/>
    <m/>
    <m/>
  </r>
  <r>
    <s v="RFOs"/>
    <x v="0"/>
    <s v="RFOII"/>
    <m/>
    <x v="1"/>
    <s v="PALANAN"/>
    <s v="Isabela, 2nd District"/>
    <n v="23121000"/>
    <s v="1st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90"/>
    <s v="YES"/>
    <n v="5"/>
    <n v="60"/>
    <n v="0"/>
    <m/>
    <m/>
    <m/>
    <n v="1"/>
    <n v="5"/>
    <m/>
    <m/>
    <m/>
    <m/>
    <m/>
    <m/>
    <m/>
    <m/>
    <m/>
    <m/>
    <m/>
    <m/>
    <m/>
    <m/>
    <m/>
    <m/>
    <m/>
    <m/>
    <m/>
  </r>
  <r>
    <s v="RFOs"/>
    <x v="0"/>
    <s v="RFOII"/>
    <m/>
    <x v="1"/>
    <s v="REINA MERCEDES"/>
    <s v="Isabela, 2nd District"/>
    <n v="23125000"/>
    <s v="4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6966"/>
    <s v="YES"/>
    <n v="387"/>
    <n v="4644"/>
    <n v="0"/>
    <m/>
    <m/>
    <m/>
    <n v="1"/>
    <n v="387"/>
    <m/>
    <m/>
    <m/>
    <m/>
    <m/>
    <m/>
    <m/>
    <m/>
    <m/>
    <m/>
    <m/>
    <m/>
    <m/>
    <m/>
    <m/>
    <m/>
    <m/>
    <m/>
    <m/>
  </r>
  <r>
    <s v="RFOs"/>
    <x v="0"/>
    <s v="RFOII"/>
    <m/>
    <x v="1"/>
    <s v="SAN MARIANO"/>
    <s v="Isabela, 2nd District"/>
    <n v="23131000"/>
    <s v="1st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8432"/>
    <s v="YES"/>
    <n v="1024"/>
    <n v="12288"/>
    <n v="0"/>
    <m/>
    <m/>
    <m/>
    <n v="1"/>
    <n v="1024"/>
    <m/>
    <m/>
    <m/>
    <m/>
    <m/>
    <m/>
    <m/>
    <m/>
    <m/>
    <m/>
    <m/>
    <m/>
    <m/>
    <m/>
    <m/>
    <m/>
    <m/>
    <m/>
    <m/>
  </r>
  <r>
    <s v="RFOs"/>
    <x v="0"/>
    <s v="RFOII"/>
    <m/>
    <x v="1"/>
    <s v="ALICIA"/>
    <s v="Isabela, 3rd District"/>
    <n v="23101000"/>
    <s v="1st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08"/>
    <s v="YES"/>
    <n v="6"/>
    <n v="72"/>
    <n v="0"/>
    <m/>
    <m/>
    <m/>
    <n v="1"/>
    <n v="6"/>
    <m/>
    <m/>
    <m/>
    <m/>
    <m/>
    <m/>
    <m/>
    <m/>
    <m/>
    <m/>
    <m/>
    <m/>
    <m/>
    <m/>
    <m/>
    <m/>
    <m/>
    <m/>
    <m/>
  </r>
  <r>
    <s v="RFOs"/>
    <x v="0"/>
    <s v="RFOII"/>
    <m/>
    <x v="1"/>
    <s v="ANGADANAN"/>
    <s v="Isabela, 3rd District"/>
    <n v="23102000"/>
    <s v="3r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3914"/>
    <s v="YES"/>
    <n v="773"/>
    <n v="9276"/>
    <n v="0"/>
    <m/>
    <m/>
    <m/>
    <n v="1"/>
    <n v="773"/>
    <m/>
    <m/>
    <m/>
    <m/>
    <m/>
    <m/>
    <m/>
    <m/>
    <m/>
    <m/>
    <m/>
    <m/>
    <m/>
    <m/>
    <m/>
    <m/>
    <m/>
    <m/>
    <m/>
  </r>
  <r>
    <s v="RFOs"/>
    <x v="0"/>
    <s v="RFOII"/>
    <m/>
    <x v="1"/>
    <s v="CABATUAN"/>
    <s v="Isabela, 3rd District"/>
    <n v="23107000"/>
    <s v="3r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098"/>
    <s v="YES"/>
    <n v="61"/>
    <n v="732"/>
    <n v="0"/>
    <m/>
    <m/>
    <m/>
    <n v="1"/>
    <n v="61"/>
    <m/>
    <m/>
    <m/>
    <m/>
    <m/>
    <m/>
    <m/>
    <m/>
    <m/>
    <m/>
    <m/>
    <m/>
    <m/>
    <m/>
    <m/>
    <m/>
    <m/>
    <m/>
    <m/>
  </r>
  <r>
    <s v="RFOs"/>
    <x v="0"/>
    <s v="RFOII"/>
    <m/>
    <x v="1"/>
    <s v="RAMON"/>
    <s v="Isabela, 3rd District"/>
    <n v="23124000"/>
    <s v="2n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504"/>
    <s v="YES"/>
    <n v="28"/>
    <n v="336"/>
    <n v="0"/>
    <m/>
    <m/>
    <m/>
    <n v="1"/>
    <n v="28"/>
    <m/>
    <m/>
    <m/>
    <m/>
    <m/>
    <m/>
    <m/>
    <m/>
    <m/>
    <m/>
    <m/>
    <m/>
    <m/>
    <m/>
    <m/>
    <m/>
    <m/>
    <m/>
    <m/>
  </r>
  <r>
    <s v="RFOs"/>
    <x v="0"/>
    <s v="RFOII"/>
    <m/>
    <x v="1"/>
    <s v="SAN MATEO"/>
    <s v="Isabela, 3rd District"/>
    <n v="23132000"/>
    <s v="1st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404"/>
    <s v="YES"/>
    <n v="78"/>
    <n v="936"/>
    <n v="0"/>
    <m/>
    <m/>
    <m/>
    <n v="1"/>
    <n v="78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SANTIAGO"/>
    <s v="Isabela, 4th District"/>
    <n v="23135000"/>
    <s v="1st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98"/>
    <s v="YES"/>
    <n v="11"/>
    <n v="132"/>
    <n v="0"/>
    <m/>
    <m/>
    <m/>
    <n v="1"/>
    <n v="11"/>
    <m/>
    <m/>
    <m/>
    <m/>
    <m/>
    <m/>
    <m/>
    <m/>
    <m/>
    <m/>
    <m/>
    <m/>
    <m/>
    <m/>
    <m/>
    <m/>
    <m/>
    <m/>
    <m/>
  </r>
  <r>
    <s v="RFOs"/>
    <x v="0"/>
    <s v="RFOII"/>
    <m/>
    <x v="1"/>
    <s v="CORDON"/>
    <s v="Isabela, 4th District"/>
    <n v="23109000"/>
    <s v="3r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6588"/>
    <s v="YES"/>
    <n v="366"/>
    <n v="4392"/>
    <n v="0"/>
    <m/>
    <m/>
    <m/>
    <n v="1"/>
    <n v="366"/>
    <m/>
    <m/>
    <m/>
    <m/>
    <m/>
    <m/>
    <m/>
    <m/>
    <m/>
    <m/>
    <m/>
    <m/>
    <m/>
    <m/>
    <m/>
    <m/>
    <m/>
    <m/>
    <m/>
  </r>
  <r>
    <s v="RFOs"/>
    <x v="0"/>
    <s v="RFOII"/>
    <m/>
    <x v="1"/>
    <s v="JONES"/>
    <s v="Isabela, 4th District"/>
    <n v="23115000"/>
    <s v="1st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6110"/>
    <s v="YES"/>
    <n v="895"/>
    <n v="10740"/>
    <n v="0"/>
    <m/>
    <m/>
    <m/>
    <n v="1"/>
    <n v="895"/>
    <m/>
    <m/>
    <m/>
    <m/>
    <m/>
    <m/>
    <m/>
    <m/>
    <m/>
    <m/>
    <m/>
    <m/>
    <m/>
    <m/>
    <m/>
    <m/>
    <m/>
    <m/>
    <m/>
  </r>
  <r>
    <s v="RFOs"/>
    <x v="0"/>
    <s v="RFOII"/>
    <m/>
    <x v="1"/>
    <s v="SAN AGUSTIN"/>
    <s v="Isabela, 4th District"/>
    <n v="23127000"/>
    <s v="3r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7362"/>
    <s v="YES"/>
    <n v="409"/>
    <n v="4908"/>
    <n v="0"/>
    <m/>
    <m/>
    <m/>
    <n v="1"/>
    <n v="409"/>
    <m/>
    <m/>
    <m/>
    <m/>
    <m/>
    <m/>
    <m/>
    <m/>
    <m/>
    <m/>
    <m/>
    <m/>
    <m/>
    <m/>
    <m/>
    <m/>
    <m/>
    <m/>
    <m/>
  </r>
  <r>
    <s v="RFOs"/>
    <x v="0"/>
    <s v="RFOII"/>
    <m/>
    <x v="1"/>
    <s v="AURORA"/>
    <s v="Isabela, 5th District"/>
    <n v="23103000"/>
    <s v="3r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5400"/>
    <s v="YES"/>
    <n v="300"/>
    <n v="3600"/>
    <n v="0"/>
    <m/>
    <m/>
    <m/>
    <n v="1"/>
    <n v="300"/>
    <m/>
    <m/>
    <m/>
    <m/>
    <m/>
    <m/>
    <m/>
    <m/>
    <m/>
    <m/>
    <m/>
    <m/>
    <m/>
    <m/>
    <m/>
    <m/>
    <m/>
    <m/>
    <m/>
  </r>
  <r>
    <s v="RFOs"/>
    <x v="0"/>
    <s v="RFOII"/>
    <m/>
    <x v="1"/>
    <s v="BURGOS"/>
    <s v="Isabela, 5th District"/>
    <n v="23105000"/>
    <s v="4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736"/>
    <s v="YES"/>
    <n v="152"/>
    <n v="1824"/>
    <n v="0"/>
    <m/>
    <m/>
    <m/>
    <n v="1"/>
    <n v="152"/>
    <m/>
    <m/>
    <m/>
    <m/>
    <m/>
    <m/>
    <m/>
    <m/>
    <m/>
    <m/>
    <m/>
    <m/>
    <m/>
    <m/>
    <m/>
    <m/>
    <m/>
    <m/>
    <m/>
  </r>
  <r>
    <s v="RFOs"/>
    <x v="0"/>
    <s v="RFOII"/>
    <m/>
    <x v="1"/>
    <s v="LUNA"/>
    <s v="Isabela, 5th District"/>
    <n v="23116000"/>
    <s v="5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584"/>
    <s v="YES"/>
    <n v="88"/>
    <n v="1056"/>
    <n v="0"/>
    <m/>
    <m/>
    <m/>
    <n v="1"/>
    <n v="88"/>
    <m/>
    <m/>
    <m/>
    <m/>
    <m/>
    <m/>
    <m/>
    <m/>
    <m/>
    <m/>
    <m/>
    <m/>
    <m/>
    <m/>
    <m/>
    <m/>
    <m/>
    <m/>
    <m/>
  </r>
  <r>
    <s v="RFOs"/>
    <x v="0"/>
    <s v="RFOII"/>
    <m/>
    <x v="1"/>
    <s v="MALLIG"/>
    <s v="Isabela, 5th District"/>
    <n v="23119000"/>
    <s v="4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4320"/>
    <s v="YES"/>
    <n v="240"/>
    <n v="2880"/>
    <n v="0"/>
    <m/>
    <m/>
    <m/>
    <n v="1"/>
    <n v="240"/>
    <m/>
    <m/>
    <m/>
    <m/>
    <m/>
    <m/>
    <m/>
    <m/>
    <m/>
    <m/>
    <m/>
    <m/>
    <m/>
    <m/>
    <m/>
    <m/>
    <m/>
    <m/>
    <m/>
  </r>
  <r>
    <s v="RFOs"/>
    <x v="0"/>
    <s v="RFOII"/>
    <m/>
    <x v="1"/>
    <s v="QUEZON"/>
    <s v="Isabela, 5th District"/>
    <n v="23122000"/>
    <s v="4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142"/>
    <s v="YES"/>
    <n v="119"/>
    <n v="1428"/>
    <n v="0"/>
    <m/>
    <m/>
    <m/>
    <n v="1"/>
    <n v="119"/>
    <m/>
    <m/>
    <m/>
    <m/>
    <m/>
    <m/>
    <m/>
    <m/>
    <m/>
    <m/>
    <m/>
    <m/>
    <m/>
    <m/>
    <m/>
    <m/>
    <m/>
    <m/>
    <m/>
  </r>
  <r>
    <s v="RFOs"/>
    <x v="0"/>
    <s v="RFOII"/>
    <m/>
    <x v="1"/>
    <s v="QUIRINO"/>
    <s v="Isabela, 5th District"/>
    <n v="23123000"/>
    <s v="4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7398"/>
    <s v="YES"/>
    <n v="411"/>
    <n v="4932"/>
    <n v="0"/>
    <m/>
    <m/>
    <m/>
    <n v="1"/>
    <n v="411"/>
    <m/>
    <m/>
    <m/>
    <m/>
    <m/>
    <m/>
    <m/>
    <m/>
    <m/>
    <m/>
    <m/>
    <m/>
    <m/>
    <m/>
    <m/>
    <m/>
    <m/>
    <m/>
    <m/>
  </r>
  <r>
    <s v="RFOs"/>
    <x v="0"/>
    <s v="RFOII"/>
    <m/>
    <x v="1"/>
    <s v="ROXAS"/>
    <s v="Isabela, 5th District"/>
    <n v="23126000"/>
    <s v="1st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4608"/>
    <s v="YES"/>
    <n v="256"/>
    <n v="3072"/>
    <n v="0"/>
    <m/>
    <m/>
    <m/>
    <n v="1"/>
    <n v="256"/>
    <m/>
    <m/>
    <m/>
    <m/>
    <m/>
    <m/>
    <m/>
    <m/>
    <m/>
    <m/>
    <m/>
    <m/>
    <m/>
    <m/>
    <m/>
    <m/>
    <m/>
    <m/>
    <m/>
  </r>
  <r>
    <s v="RFOs"/>
    <x v="0"/>
    <s v="RFOII"/>
    <m/>
    <x v="1"/>
    <s v="SAN MANUEL"/>
    <s v="Isabela, 5th District"/>
    <n v="23130000"/>
    <s v="4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612"/>
    <s v="YES"/>
    <n v="34"/>
    <n v="408"/>
    <n v="0"/>
    <m/>
    <m/>
    <m/>
    <n v="1"/>
    <n v="34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CAUAYAN"/>
    <s v="Isabela, 6th District"/>
    <n v="23108000"/>
    <s v="3r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6352"/>
    <s v="YES"/>
    <n v="1464"/>
    <n v="17568"/>
    <n v="0"/>
    <m/>
    <m/>
    <m/>
    <n v="1"/>
    <n v="1464"/>
    <m/>
    <m/>
    <m/>
    <m/>
    <m/>
    <m/>
    <m/>
    <m/>
    <m/>
    <m/>
    <m/>
    <m/>
    <m/>
    <m/>
    <m/>
    <m/>
    <m/>
    <m/>
    <m/>
  </r>
  <r>
    <s v="RFOs"/>
    <x v="0"/>
    <s v="RFOII"/>
    <m/>
    <x v="1"/>
    <s v="ECHAGUE"/>
    <s v="Isabela, 6th District"/>
    <n v="23112000"/>
    <s v="1st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3256"/>
    <s v="YES"/>
    <n v="1292"/>
    <n v="15504"/>
    <n v="0"/>
    <m/>
    <m/>
    <m/>
    <n v="1"/>
    <n v="1292"/>
    <m/>
    <m/>
    <m/>
    <m/>
    <m/>
    <m/>
    <m/>
    <m/>
    <m/>
    <m/>
    <m/>
    <m/>
    <m/>
    <m/>
    <m/>
    <m/>
    <m/>
    <m/>
    <m/>
  </r>
  <r>
    <s v="RFOs"/>
    <x v="0"/>
    <s v="RFOII"/>
    <m/>
    <x v="1"/>
    <s v="SAN GUILLERMO"/>
    <s v="Isabela, 6th District"/>
    <n v="23128000"/>
    <s v="4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1754"/>
    <s v="YES"/>
    <n v="653"/>
    <n v="7836"/>
    <n v="0"/>
    <m/>
    <m/>
    <m/>
    <n v="1"/>
    <n v="653"/>
    <m/>
    <m/>
    <m/>
    <m/>
    <m/>
    <m/>
    <m/>
    <m/>
    <m/>
    <m/>
    <m/>
    <m/>
    <m/>
    <m/>
    <m/>
    <m/>
    <m/>
    <m/>
    <m/>
  </r>
  <r>
    <s v="RFOs"/>
    <x v="0"/>
    <s v="RFOII"/>
    <m/>
    <x v="1"/>
    <s v="SAN ISIDRO"/>
    <s v="Isabela, 6th District"/>
    <n v="23129000"/>
    <s v="5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360"/>
    <s v="YES"/>
    <n v="20"/>
    <n v="240"/>
    <n v="0"/>
    <m/>
    <m/>
    <m/>
    <n v="1"/>
    <n v="20"/>
    <m/>
    <m/>
    <m/>
    <m/>
    <m/>
    <m/>
    <m/>
    <m/>
    <m/>
    <m/>
    <m/>
    <m/>
    <m/>
    <m/>
    <m/>
    <m/>
    <m/>
    <m/>
    <m/>
  </r>
  <r>
    <s v="RFOs"/>
    <x v="0"/>
    <s v="RFOII"/>
    <m/>
    <x v="2"/>
    <s v="VILLAVERDE"/>
    <s v="Nueva Vizcaya, Lone District"/>
    <n v="25014000"/>
    <s v="5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232"/>
    <s v="YES"/>
    <n v="124"/>
    <n v="1488"/>
    <n v="0"/>
    <m/>
    <m/>
    <m/>
    <n v="1"/>
    <n v="124"/>
    <m/>
    <m/>
    <m/>
    <m/>
    <m/>
    <m/>
    <m/>
    <m/>
    <m/>
    <m/>
    <m/>
    <m/>
    <m/>
    <m/>
    <m/>
    <m/>
    <m/>
    <m/>
    <m/>
  </r>
  <r>
    <s v="RFOs"/>
    <x v="0"/>
    <s v="RFOII"/>
    <m/>
    <x v="2"/>
    <s v="DIADI"/>
    <s v="Nueva Vizcaya, Lone District"/>
    <n v="25006000"/>
    <s v="4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3780"/>
    <s v="YES"/>
    <n v="210"/>
    <n v="2520"/>
    <n v="0"/>
    <m/>
    <m/>
    <m/>
    <n v="1"/>
    <n v="210"/>
    <m/>
    <m/>
    <m/>
    <m/>
    <m/>
    <m/>
    <m/>
    <m/>
    <m/>
    <m/>
    <m/>
    <m/>
    <m/>
    <m/>
    <m/>
    <m/>
    <m/>
    <m/>
    <m/>
  </r>
  <r>
    <s v="RFOs"/>
    <x v="0"/>
    <s v="RFOII"/>
    <m/>
    <x v="2"/>
    <s v="SOLANO"/>
    <s v="Nueva Vizcaya, Lone District"/>
    <n v="25013000"/>
    <s v="1st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800"/>
    <s v="YES"/>
    <n v="100"/>
    <n v="1200"/>
    <n v="0"/>
    <m/>
    <m/>
    <m/>
    <n v="1"/>
    <n v="100"/>
    <m/>
    <m/>
    <m/>
    <m/>
    <m/>
    <m/>
    <m/>
    <m/>
    <m/>
    <m/>
    <m/>
    <m/>
    <m/>
    <m/>
    <m/>
    <m/>
    <m/>
    <m/>
    <m/>
  </r>
  <r>
    <s v="RFOs"/>
    <x v="0"/>
    <s v="RFOII"/>
    <m/>
    <x v="2"/>
    <s v="BAYOMBONG (Capital)"/>
    <s v="Nueva Vizcaya, Lone District"/>
    <n v="25005000"/>
    <s v="1st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296"/>
    <s v="YES"/>
    <n v="72"/>
    <n v="864"/>
    <n v="0"/>
    <m/>
    <m/>
    <m/>
    <n v="1"/>
    <n v="72"/>
    <m/>
    <m/>
    <m/>
    <m/>
    <m/>
    <m/>
    <m/>
    <m/>
    <m/>
    <m/>
    <m/>
    <m/>
    <m/>
    <m/>
    <m/>
    <m/>
    <m/>
    <m/>
    <m/>
  </r>
  <r>
    <s v="RFOs"/>
    <x v="0"/>
    <s v="RFOII"/>
    <m/>
    <x v="2"/>
    <s v="QUEZON"/>
    <s v="Nueva Vizcaya, Lone District"/>
    <n v="25011000"/>
    <s v="4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196"/>
    <s v="YES"/>
    <n v="122"/>
    <n v="1464"/>
    <n v="0"/>
    <m/>
    <m/>
    <m/>
    <n v="1"/>
    <n v="122"/>
    <m/>
    <m/>
    <m/>
    <m/>
    <m/>
    <m/>
    <m/>
    <m/>
    <m/>
    <m/>
    <m/>
    <m/>
    <m/>
    <m/>
    <m/>
    <m/>
    <m/>
    <m/>
    <m/>
  </r>
  <r>
    <s v="RFOs"/>
    <x v="0"/>
    <s v="RFOII"/>
    <m/>
    <x v="2"/>
    <s v="BAGABAG"/>
    <s v="Nueva Vizcaya, Lone District"/>
    <n v="25003000"/>
    <s v="2n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3672"/>
    <s v="YES"/>
    <n v="204"/>
    <n v="2448"/>
    <n v="0"/>
    <m/>
    <m/>
    <m/>
    <n v="1"/>
    <n v="204"/>
    <m/>
    <m/>
    <m/>
    <m/>
    <m/>
    <m/>
    <m/>
    <m/>
    <m/>
    <m/>
    <m/>
    <m/>
    <m/>
    <m/>
    <m/>
    <m/>
    <m/>
    <m/>
    <m/>
  </r>
  <r>
    <s v="RFOs"/>
    <x v="0"/>
    <s v="RFOII"/>
    <m/>
    <x v="2"/>
    <s v="BAMBANG"/>
    <s v="Nueva Vizcaya, Lone District"/>
    <n v="25004000"/>
    <s v="1st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918"/>
    <s v="YES"/>
    <n v="51"/>
    <n v="612"/>
    <n v="0"/>
    <m/>
    <m/>
    <m/>
    <n v="1"/>
    <n v="51"/>
    <m/>
    <m/>
    <m/>
    <m/>
    <m/>
    <m/>
    <m/>
    <m/>
    <m/>
    <m/>
    <m/>
    <m/>
    <m/>
    <m/>
    <m/>
    <m/>
    <m/>
    <m/>
    <m/>
  </r>
  <r>
    <s v="RFOs"/>
    <x v="0"/>
    <s v="RFOII"/>
    <m/>
    <x v="2"/>
    <s v="DUPAX DEL NORTE"/>
    <s v="Nueva Vizcaya, Lone District"/>
    <n v="25007000"/>
    <s v="3r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90"/>
    <s v="YES"/>
    <n v="5"/>
    <n v="60"/>
    <n v="0"/>
    <m/>
    <m/>
    <m/>
    <n v="1"/>
    <n v="5"/>
    <m/>
    <m/>
    <m/>
    <m/>
    <m/>
    <m/>
    <m/>
    <m/>
    <m/>
    <m/>
    <m/>
    <m/>
    <m/>
    <m/>
    <m/>
    <m/>
    <m/>
    <m/>
    <m/>
  </r>
  <r>
    <s v="RFOs"/>
    <x v="0"/>
    <s v="RFOII"/>
    <m/>
    <x v="2"/>
    <s v="KASIBU"/>
    <s v="Nueva Vizcaya, Lone District"/>
    <n v="25009000"/>
    <s v="3r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90"/>
    <s v="YES"/>
    <n v="5"/>
    <n v="60"/>
    <n v="0"/>
    <m/>
    <m/>
    <m/>
    <n v="1"/>
    <n v="5"/>
    <m/>
    <m/>
    <m/>
    <m/>
    <m/>
    <m/>
    <m/>
    <m/>
    <m/>
    <m/>
    <m/>
    <m/>
    <m/>
    <m/>
    <m/>
    <m/>
    <m/>
    <m/>
    <m/>
  </r>
  <r>
    <s v="RFOs"/>
    <x v="0"/>
    <s v="RFOII"/>
    <m/>
    <x v="2"/>
    <s v="KAYAPA"/>
    <s v="Nueva Vizcaya, Lone District"/>
    <n v="25010000"/>
    <s v="3r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26"/>
    <s v="YES"/>
    <n v="7"/>
    <n v="84"/>
    <n v="0"/>
    <m/>
    <m/>
    <m/>
    <n v="1"/>
    <n v="7"/>
    <m/>
    <m/>
    <m/>
    <m/>
    <m/>
    <m/>
    <m/>
    <m/>
    <m/>
    <m/>
    <m/>
    <m/>
    <m/>
    <m/>
    <m/>
    <m/>
    <m/>
    <m/>
    <m/>
  </r>
  <r>
    <s v="RFOs"/>
    <x v="0"/>
    <s v="RFOII"/>
    <m/>
    <x v="3"/>
    <s v="AGLIPAY"/>
    <s v="Quirino, 1st District"/>
    <n v="25701000"/>
    <s v="3r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4338"/>
    <s v="YES"/>
    <n v="241"/>
    <n v="2892"/>
    <n v="0"/>
    <m/>
    <m/>
    <m/>
    <n v="1"/>
    <n v="241"/>
    <m/>
    <m/>
    <m/>
    <m/>
    <m/>
    <m/>
    <m/>
    <m/>
    <m/>
    <m/>
    <m/>
    <m/>
    <m/>
    <m/>
    <m/>
    <m/>
    <m/>
    <m/>
    <m/>
  </r>
  <r>
    <s v="RFOs"/>
    <x v="0"/>
    <s v="RFOII"/>
    <m/>
    <x v="3"/>
    <s v="CABARROGUIS (Capital)"/>
    <s v="Quirino, 1st District"/>
    <n v="25702000"/>
    <s v="3r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3528"/>
    <s v="YES"/>
    <n v="196"/>
    <n v="2352"/>
    <n v="0"/>
    <m/>
    <m/>
    <m/>
    <n v="1"/>
    <n v="196"/>
    <m/>
    <m/>
    <m/>
    <m/>
    <m/>
    <m/>
    <m/>
    <m/>
    <m/>
    <m/>
    <m/>
    <m/>
    <m/>
    <m/>
    <m/>
    <m/>
    <m/>
    <m/>
    <m/>
  </r>
  <r>
    <s v="RFOs"/>
    <x v="0"/>
    <s v="RFOII"/>
    <m/>
    <x v="3"/>
    <s v="DIFFUN"/>
    <s v="Quirino, 1st District"/>
    <n v="25703000"/>
    <s v="2nd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9324"/>
    <s v="YES"/>
    <n v="518"/>
    <n v="6216"/>
    <n v="0"/>
    <m/>
    <m/>
    <m/>
    <n v="1"/>
    <n v="518"/>
    <m/>
    <m/>
    <m/>
    <m/>
    <m/>
    <m/>
    <m/>
    <m/>
    <m/>
    <m/>
    <m/>
    <m/>
    <m/>
    <m/>
    <m/>
    <m/>
    <m/>
    <m/>
    <m/>
  </r>
  <r>
    <s v="RFOs"/>
    <x v="0"/>
    <s v="RFOII"/>
    <m/>
    <x v="3"/>
    <s v="MADDELA"/>
    <s v="Quirino, 1st District"/>
    <n v="25704000"/>
    <s v="1st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2798"/>
    <s v="YES"/>
    <n v="711"/>
    <n v="8532"/>
    <n v="0"/>
    <m/>
    <m/>
    <m/>
    <n v="1"/>
    <n v="711"/>
    <m/>
    <m/>
    <m/>
    <m/>
    <m/>
    <m/>
    <m/>
    <m/>
    <m/>
    <m/>
    <m/>
    <m/>
    <m/>
    <m/>
    <m/>
    <m/>
    <m/>
    <m/>
    <m/>
  </r>
  <r>
    <s v="RFOs"/>
    <x v="0"/>
    <s v="RFOII"/>
    <m/>
    <x v="3"/>
    <s v="NAGTIPUNAN"/>
    <s v="Quirino, 1st District"/>
    <n v="25706000"/>
    <s v="1st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2942"/>
    <s v="YES"/>
    <n v="719"/>
    <n v="8628"/>
    <n v="0"/>
    <m/>
    <m/>
    <m/>
    <n v="1"/>
    <n v="719"/>
    <m/>
    <m/>
    <m/>
    <m/>
    <m/>
    <m/>
    <m/>
    <m/>
    <m/>
    <m/>
    <m/>
    <m/>
    <m/>
    <m/>
    <m/>
    <m/>
    <m/>
    <m/>
    <m/>
  </r>
  <r>
    <s v="RFOs"/>
    <x v="0"/>
    <s v="RFOII"/>
    <m/>
    <x v="3"/>
    <s v="SAGUDAY"/>
    <s v="Quirino, 1st District"/>
    <n v="25705000"/>
    <s v="5th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720"/>
    <s v="YES"/>
    <n v="40"/>
    <n v="480"/>
    <n v="0"/>
    <m/>
    <m/>
    <m/>
    <n v="1"/>
    <n v="40"/>
    <m/>
    <m/>
    <m/>
    <m/>
    <m/>
    <m/>
    <m/>
    <m/>
    <m/>
    <m/>
    <m/>
    <m/>
    <m/>
    <m/>
    <m/>
    <m/>
    <m/>
    <m/>
    <m/>
  </r>
  <r>
    <s v="RFOs"/>
    <x v="0"/>
    <s v="RFOII"/>
    <m/>
    <x v="0"/>
    <s v="ALCALA"/>
    <s v="Cagayan, 1st District"/>
    <n v="21502000"/>
    <s v="3r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32300"/>
    <s v="YES"/>
    <n v="323"/>
    <n v="1453.5"/>
    <n v="0"/>
    <m/>
    <m/>
    <m/>
    <n v="1"/>
    <n v="323"/>
    <m/>
    <m/>
    <m/>
    <m/>
    <m/>
    <m/>
    <m/>
    <m/>
    <m/>
    <m/>
    <m/>
    <m/>
    <m/>
    <m/>
    <m/>
    <m/>
    <m/>
    <m/>
    <m/>
  </r>
  <r>
    <s v="RFOs"/>
    <x v="0"/>
    <s v="RFOII"/>
    <m/>
    <x v="0"/>
    <s v="BAGGAO"/>
    <s v="Cagayan, 1st District"/>
    <n v="21506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16000"/>
    <s v="YES"/>
    <n v="1160"/>
    <n v="5220"/>
    <n v="0"/>
    <m/>
    <m/>
    <m/>
    <n v="2"/>
    <n v="1160"/>
    <m/>
    <m/>
    <m/>
    <m/>
    <m/>
    <m/>
    <m/>
    <m/>
    <m/>
    <m/>
    <m/>
    <m/>
    <m/>
    <m/>
    <m/>
    <m/>
    <m/>
    <m/>
    <m/>
  </r>
  <r>
    <s v="RFOs"/>
    <x v="0"/>
    <s v="RFOII"/>
    <m/>
    <x v="0"/>
    <s v="BUGUEY"/>
    <s v="Cagayan, 1st District"/>
    <n v="21508000"/>
    <s v="3r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3500"/>
    <s v="YES"/>
    <n v="35"/>
    <n v="157.5"/>
    <n v="0"/>
    <m/>
    <m/>
    <m/>
    <n v="1"/>
    <n v="35"/>
    <m/>
    <m/>
    <m/>
    <m/>
    <m/>
    <m/>
    <m/>
    <m/>
    <m/>
    <m/>
    <m/>
    <m/>
    <m/>
    <m/>
    <m/>
    <m/>
    <m/>
    <m/>
    <m/>
  </r>
  <r>
    <s v="RFOs"/>
    <x v="0"/>
    <s v="RFOII"/>
    <m/>
    <x v="0"/>
    <s v="GATTARAN"/>
    <s v="Cagayan, 1st District"/>
    <n v="21513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54300"/>
    <s v="YES"/>
    <n v="543"/>
    <n v="2443.5"/>
    <n v="0"/>
    <m/>
    <m/>
    <m/>
    <n v="1"/>
    <n v="543"/>
    <m/>
    <m/>
    <m/>
    <m/>
    <m/>
    <m/>
    <m/>
    <m/>
    <m/>
    <m/>
    <m/>
    <m/>
    <m/>
    <m/>
    <m/>
    <m/>
    <m/>
    <m/>
    <m/>
  </r>
  <r>
    <s v="RFOs"/>
    <x v="0"/>
    <s v="RFOII"/>
    <m/>
    <x v="0"/>
    <s v="LAL-LO"/>
    <s v="Cagayan, 1st District"/>
    <n v="21516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9000"/>
    <s v="YES"/>
    <n v="290"/>
    <n v="1305"/>
    <n v="0"/>
    <m/>
    <m/>
    <m/>
    <n v="1"/>
    <n v="290"/>
    <m/>
    <m/>
    <m/>
    <m/>
    <m/>
    <m/>
    <m/>
    <m/>
    <m/>
    <m/>
    <m/>
    <m/>
    <m/>
    <m/>
    <m/>
    <m/>
    <m/>
    <m/>
    <m/>
  </r>
  <r>
    <s v="RFOs"/>
    <x v="0"/>
    <s v="RFOII"/>
    <m/>
    <x v="0"/>
    <s v="SANTA ANA"/>
    <s v="Cagayan, 1st District"/>
    <n v="21523000"/>
    <s v="2n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500"/>
    <s v="YES"/>
    <n v="5"/>
    <n v="22.5"/>
    <n v="0"/>
    <m/>
    <m/>
    <m/>
    <n v="1"/>
    <n v="5"/>
    <m/>
    <m/>
    <m/>
    <m/>
    <m/>
    <m/>
    <m/>
    <m/>
    <m/>
    <m/>
    <m/>
    <m/>
    <m/>
    <m/>
    <m/>
    <m/>
    <m/>
    <m/>
    <m/>
  </r>
  <r>
    <s v="RFOs"/>
    <x v="0"/>
    <s v="RFOII"/>
    <m/>
    <x v="0"/>
    <s v="CAMALANIUGAN"/>
    <s v="Cagayan, 1st District"/>
    <n v="21510000"/>
    <s v="4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500"/>
    <s v="YES"/>
    <n v="5"/>
    <n v="22.5"/>
    <n v="0"/>
    <m/>
    <m/>
    <m/>
    <n v="1"/>
    <n v="5"/>
    <m/>
    <m/>
    <m/>
    <m/>
    <m/>
    <m/>
    <m/>
    <m/>
    <m/>
    <m/>
    <m/>
    <m/>
    <m/>
    <m/>
    <m/>
    <m/>
    <m/>
    <m/>
    <m/>
  </r>
  <r>
    <s v="RFOs"/>
    <x v="0"/>
    <s v="RFOII"/>
    <m/>
    <x v="0"/>
    <s v="SANTA TERESITA"/>
    <s v="Cagayan, 1st District"/>
    <n v="21525000"/>
    <s v="4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8600"/>
    <s v="YES"/>
    <n v="86"/>
    <n v="387"/>
    <n v="0"/>
    <m/>
    <m/>
    <m/>
    <n v="1"/>
    <n v="86"/>
    <m/>
    <m/>
    <m/>
    <m/>
    <m/>
    <m/>
    <m/>
    <m/>
    <m/>
    <m/>
    <m/>
    <m/>
    <m/>
    <m/>
    <m/>
    <m/>
    <m/>
    <m/>
    <m/>
  </r>
  <r>
    <s v="RFOs"/>
    <x v="0"/>
    <s v="RFOII"/>
    <m/>
    <x v="0"/>
    <s v="ABULUG"/>
    <s v="Cagayan, 2nd District"/>
    <n v="21501000"/>
    <s v="3r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8500"/>
    <s v="YES"/>
    <n v="185"/>
    <n v="832.5"/>
    <n v="0"/>
    <m/>
    <m/>
    <m/>
    <n v="1"/>
    <n v="185"/>
    <m/>
    <m/>
    <m/>
    <m/>
    <m/>
    <m/>
    <m/>
    <m/>
    <m/>
    <m/>
    <m/>
    <m/>
    <m/>
    <m/>
    <m/>
    <m/>
    <m/>
    <m/>
    <m/>
  </r>
  <r>
    <s v="RFOs"/>
    <x v="0"/>
    <s v="RFOII"/>
    <m/>
    <x v="0"/>
    <s v="CALAYAN"/>
    <s v="Cagayan, 2nd District"/>
    <n v="21509000"/>
    <s v="3r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500"/>
    <s v="YES"/>
    <n v="5"/>
    <n v="22.5"/>
    <n v="0"/>
    <m/>
    <m/>
    <m/>
    <n v="1"/>
    <n v="5"/>
    <m/>
    <m/>
    <m/>
    <m/>
    <m/>
    <m/>
    <m/>
    <m/>
    <m/>
    <m/>
    <m/>
    <m/>
    <m/>
    <m/>
    <m/>
    <m/>
    <m/>
    <m/>
    <m/>
  </r>
  <r>
    <s v="RFOs"/>
    <x v="0"/>
    <s v="RFOII"/>
    <m/>
    <x v="0"/>
    <s v="LASAM"/>
    <s v="Cagayan, 2nd District"/>
    <n v="21517000"/>
    <s v="3r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0900"/>
    <s v="YES"/>
    <n v="209"/>
    <n v="940.5"/>
    <n v="0"/>
    <m/>
    <m/>
    <m/>
    <n v="1"/>
    <n v="209"/>
    <m/>
    <m/>
    <m/>
    <m/>
    <m/>
    <m/>
    <m/>
    <m/>
    <m/>
    <m/>
    <m/>
    <m/>
    <m/>
    <m/>
    <m/>
    <m/>
    <m/>
    <m/>
    <m/>
  </r>
  <r>
    <s v="RFOs"/>
    <x v="0"/>
    <s v="RFOII"/>
    <m/>
    <x v="0"/>
    <s v="PIAT"/>
    <s v="Cagayan, 2nd District"/>
    <n v="21520000"/>
    <s v="4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5300"/>
    <s v="YES"/>
    <n v="253"/>
    <n v="1138.5"/>
    <n v="0"/>
    <m/>
    <m/>
    <m/>
    <n v="1"/>
    <n v="253"/>
    <m/>
    <m/>
    <m/>
    <m/>
    <m/>
    <m/>
    <m/>
    <m/>
    <m/>
    <m/>
    <m/>
    <m/>
    <m/>
    <m/>
    <m/>
    <m/>
    <m/>
    <m/>
    <m/>
  </r>
  <r>
    <s v="RFOs"/>
    <x v="0"/>
    <s v="RFOII"/>
    <m/>
    <x v="0"/>
    <s v="RIZAL"/>
    <s v="Cagayan, 2nd District"/>
    <n v="21521000"/>
    <s v="5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35400"/>
    <s v="YES"/>
    <n v="354"/>
    <n v="1593"/>
    <n v="0"/>
    <m/>
    <m/>
    <m/>
    <n v="1"/>
    <n v="354"/>
    <m/>
    <m/>
    <m/>
    <m/>
    <m/>
    <m/>
    <m/>
    <m/>
    <m/>
    <m/>
    <m/>
    <m/>
    <m/>
    <m/>
    <m/>
    <m/>
    <m/>
    <m/>
    <m/>
  </r>
  <r>
    <s v="RFOs"/>
    <x v="0"/>
    <s v="RFOII"/>
    <m/>
    <x v="0"/>
    <s v="SANTO NIÑO (FAIRE)"/>
    <s v="Cagayan, 2nd District"/>
    <n v="21526000"/>
    <s v="2n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1900"/>
    <s v="YES"/>
    <n v="219"/>
    <n v="985.5"/>
    <n v="0"/>
    <m/>
    <m/>
    <m/>
    <n v="1"/>
    <n v="219"/>
    <m/>
    <m/>
    <m/>
    <m/>
    <m/>
    <m/>
    <m/>
    <m/>
    <m/>
    <m/>
    <m/>
    <m/>
    <m/>
    <m/>
    <m/>
    <m/>
    <m/>
    <m/>
    <m/>
  </r>
  <r>
    <s v="RFOs"/>
    <x v="0"/>
    <s v="RFOII"/>
    <m/>
    <x v="0"/>
    <s v="AMULUNG"/>
    <s v="Cagayan, 3rd District"/>
    <n v="21504000"/>
    <s v="2n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66500"/>
    <s v="YES"/>
    <n v="665"/>
    <n v="2992.5"/>
    <n v="0"/>
    <m/>
    <m/>
    <m/>
    <n v="2"/>
    <n v="665"/>
    <m/>
    <m/>
    <m/>
    <m/>
    <m/>
    <m/>
    <m/>
    <m/>
    <m/>
    <m/>
    <m/>
    <m/>
    <m/>
    <m/>
    <m/>
    <m/>
    <m/>
    <m/>
    <m/>
  </r>
  <r>
    <s v="RFOs"/>
    <x v="0"/>
    <s v="RFOII"/>
    <m/>
    <x v="0"/>
    <s v="ENRILE"/>
    <s v="Cagayan, 3rd District"/>
    <n v="21512000"/>
    <s v="3r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3900"/>
    <s v="YES"/>
    <n v="139"/>
    <n v="625.5"/>
    <n v="0"/>
    <m/>
    <m/>
    <m/>
    <n v="1"/>
    <n v="139"/>
    <m/>
    <m/>
    <m/>
    <m/>
    <m/>
    <m/>
    <m/>
    <m/>
    <m/>
    <m/>
    <m/>
    <m/>
    <m/>
    <m/>
    <m/>
    <m/>
    <m/>
    <m/>
    <m/>
  </r>
  <r>
    <s v="RFOs"/>
    <x v="0"/>
    <s v="RFOII"/>
    <m/>
    <x v="0"/>
    <s v="IGUIG"/>
    <s v="Cagayan, 3rd District"/>
    <n v="21515000"/>
    <s v="4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6500"/>
    <s v="YES"/>
    <n v="165"/>
    <n v="742.5"/>
    <n v="0"/>
    <m/>
    <m/>
    <m/>
    <n v="1"/>
    <n v="165"/>
    <m/>
    <m/>
    <m/>
    <m/>
    <m/>
    <m/>
    <m/>
    <m/>
    <m/>
    <m/>
    <m/>
    <m/>
    <m/>
    <m/>
    <m/>
    <m/>
    <m/>
    <m/>
    <m/>
  </r>
  <r>
    <s v="RFOs"/>
    <x v="0"/>
    <s v="RFOII"/>
    <m/>
    <x v="0"/>
    <s v="PEÑABLANCA"/>
    <s v="Cagayan, 3rd District"/>
    <n v="21519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35000"/>
    <s v="YES"/>
    <n v="1350"/>
    <n v="6075"/>
    <n v="0"/>
    <m/>
    <m/>
    <m/>
    <n v="3"/>
    <n v="1350"/>
    <m/>
    <m/>
    <m/>
    <m/>
    <m/>
    <m/>
    <m/>
    <m/>
    <m/>
    <m/>
    <m/>
    <m/>
    <m/>
    <m/>
    <m/>
    <m/>
    <m/>
    <m/>
    <m/>
  </r>
  <r>
    <s v="RFOs"/>
    <x v="0"/>
    <s v="RFOII"/>
    <m/>
    <x v="0"/>
    <s v="SOLANA"/>
    <s v="Cagayan, 3rd District"/>
    <n v="21527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35200"/>
    <s v="YES"/>
    <n v="352"/>
    <n v="1584"/>
    <n v="0"/>
    <m/>
    <m/>
    <m/>
    <n v="1"/>
    <n v="352"/>
    <m/>
    <m/>
    <m/>
    <m/>
    <m/>
    <m/>
    <m/>
    <m/>
    <m/>
    <m/>
    <m/>
    <m/>
    <m/>
    <m/>
    <m/>
    <m/>
    <m/>
    <m/>
    <m/>
  </r>
  <r>
    <s v="RFOs"/>
    <x v="0"/>
    <s v="RFOII"/>
    <m/>
    <x v="0"/>
    <s v="TUAO"/>
    <s v="Cagayan, 3rd District"/>
    <n v="21528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33300"/>
    <s v="YES"/>
    <n v="333"/>
    <n v="1498.5"/>
    <n v="0"/>
    <m/>
    <m/>
    <m/>
    <n v="1"/>
    <n v="333"/>
    <m/>
    <m/>
    <m/>
    <m/>
    <m/>
    <m/>
    <m/>
    <m/>
    <m/>
    <m/>
    <m/>
    <m/>
    <m/>
    <m/>
    <m/>
    <m/>
    <m/>
    <m/>
    <m/>
  </r>
  <r>
    <s v="RFOs"/>
    <x v="0"/>
    <s v="RFOII"/>
    <m/>
    <x v="0"/>
    <s v="TUGUEGARAO CITY (Capital)"/>
    <s v="Cagayan, 3rd District"/>
    <n v="21529000"/>
    <s v="3r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6900"/>
    <s v="YES"/>
    <n v="269"/>
    <n v="1210.5"/>
    <n v="0"/>
    <m/>
    <m/>
    <m/>
    <n v="1"/>
    <n v="269"/>
    <m/>
    <m/>
    <m/>
    <m/>
    <m/>
    <m/>
    <m/>
    <m/>
    <m/>
    <m/>
    <m/>
    <m/>
    <m/>
    <m/>
    <m/>
    <m/>
    <m/>
    <m/>
    <m/>
  </r>
  <r>
    <s v="RFOs"/>
    <x v="0"/>
    <s v="RFOII"/>
    <m/>
    <x v="1"/>
    <s v="CABAGAN"/>
    <s v="Isabela, 1st District"/>
    <n v="23106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76800"/>
    <s v="YES"/>
    <n v="768"/>
    <n v="3456"/>
    <n v="0"/>
    <m/>
    <m/>
    <m/>
    <n v="1"/>
    <n v="768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ILAGAN (Capital)"/>
    <s v="Isabela, 1st District"/>
    <n v="23114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13300"/>
    <s v="YES"/>
    <n v="2133"/>
    <n v="9598.5"/>
    <n v="0"/>
    <m/>
    <m/>
    <m/>
    <n v="1"/>
    <n v="2133"/>
    <m/>
    <m/>
    <m/>
    <m/>
    <m/>
    <m/>
    <m/>
    <m/>
    <m/>
    <m/>
    <m/>
    <m/>
    <m/>
    <m/>
    <m/>
    <m/>
    <m/>
    <m/>
    <m/>
  </r>
  <r>
    <s v="RFOs"/>
    <x v="0"/>
    <s v="RFOII"/>
    <m/>
    <x v="1"/>
    <s v="DELFIN ALBANO (MAGSAYSAY)"/>
    <s v="Isabela, 1st District"/>
    <n v="23118000"/>
    <s v="4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6700"/>
    <s v="YES"/>
    <n v="167"/>
    <n v="751.5"/>
    <n v="0"/>
    <m/>
    <m/>
    <m/>
    <n v="1"/>
    <n v="167"/>
    <m/>
    <m/>
    <m/>
    <m/>
    <m/>
    <m/>
    <m/>
    <m/>
    <m/>
    <m/>
    <m/>
    <m/>
    <m/>
    <m/>
    <m/>
    <m/>
    <m/>
    <m/>
    <m/>
  </r>
  <r>
    <s v="RFOs"/>
    <x v="0"/>
    <s v="RFOII"/>
    <m/>
    <x v="1"/>
    <s v="SAN PABLO"/>
    <s v="Isabela, 1st District"/>
    <n v="23133000"/>
    <s v="2n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53600"/>
    <s v="YES"/>
    <n v="536"/>
    <n v="2412"/>
    <n v="0"/>
    <m/>
    <m/>
    <m/>
    <n v="1"/>
    <n v="536"/>
    <m/>
    <m/>
    <m/>
    <m/>
    <m/>
    <m/>
    <m/>
    <m/>
    <m/>
    <m/>
    <m/>
    <m/>
    <m/>
    <m/>
    <m/>
    <m/>
    <m/>
    <m/>
    <m/>
  </r>
  <r>
    <s v="RFOs"/>
    <x v="0"/>
    <s v="RFOII"/>
    <m/>
    <x v="1"/>
    <s v="SANTA MARIA"/>
    <s v="Isabela, 1st District"/>
    <n v="23134000"/>
    <s v="4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31000"/>
    <s v="YES"/>
    <n v="310"/>
    <n v="1395"/>
    <n v="0"/>
    <m/>
    <m/>
    <m/>
    <n v="1"/>
    <n v="310"/>
    <m/>
    <m/>
    <m/>
    <m/>
    <m/>
    <m/>
    <m/>
    <m/>
    <m/>
    <m/>
    <m/>
    <m/>
    <m/>
    <m/>
    <m/>
    <m/>
    <m/>
    <m/>
    <m/>
  </r>
  <r>
    <s v="RFOs"/>
    <x v="0"/>
    <s v="RFOII"/>
    <m/>
    <x v="1"/>
    <s v="SANTO TOMAS"/>
    <s v="Isabela, 1st District"/>
    <n v="23136000"/>
    <s v="4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40200"/>
    <s v="YES"/>
    <n v="402"/>
    <n v="1809"/>
    <n v="0"/>
    <m/>
    <m/>
    <m/>
    <n v="1"/>
    <n v="402"/>
    <m/>
    <m/>
    <m/>
    <m/>
    <m/>
    <m/>
    <m/>
    <m/>
    <m/>
    <m/>
    <m/>
    <m/>
    <m/>
    <m/>
    <m/>
    <m/>
    <m/>
    <m/>
    <m/>
  </r>
  <r>
    <s v="RFOs"/>
    <x v="0"/>
    <s v="RFOII"/>
    <m/>
    <x v="1"/>
    <s v="TUMAUINI"/>
    <s v="Isabela, 1st District"/>
    <n v="23137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61600"/>
    <s v="YES"/>
    <n v="1616"/>
    <n v="7272"/>
    <n v="0"/>
    <m/>
    <m/>
    <m/>
    <n v="2"/>
    <n v="1616"/>
    <m/>
    <m/>
    <m/>
    <m/>
    <m/>
    <m/>
    <m/>
    <m/>
    <m/>
    <m/>
    <m/>
    <m/>
    <m/>
    <m/>
    <m/>
    <m/>
    <m/>
    <m/>
    <m/>
  </r>
  <r>
    <s v="RFOs"/>
    <x v="0"/>
    <s v="RFOII"/>
    <m/>
    <x v="1"/>
    <s v="BENITO SOLIVEN"/>
    <s v="Isabela, 2nd District"/>
    <n v="23104000"/>
    <s v="4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02300"/>
    <s v="YES"/>
    <n v="1023"/>
    <n v="4603.5"/>
    <n v="0"/>
    <m/>
    <m/>
    <m/>
    <n v="1"/>
    <n v="1023"/>
    <m/>
    <m/>
    <m/>
    <m/>
    <m/>
    <m/>
    <m/>
    <m/>
    <m/>
    <m/>
    <m/>
    <m/>
    <m/>
    <m/>
    <m/>
    <m/>
    <m/>
    <m/>
    <m/>
  </r>
  <r>
    <s v="RFOs"/>
    <x v="0"/>
    <s v="RFOII"/>
    <m/>
    <x v="1"/>
    <s v="GAMU"/>
    <s v="Isabela, 2nd District"/>
    <n v="23113000"/>
    <s v="4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8500"/>
    <s v="YES"/>
    <n v="185"/>
    <n v="832.5"/>
    <n v="0"/>
    <m/>
    <m/>
    <m/>
    <n v="1"/>
    <n v="185"/>
    <m/>
    <m/>
    <m/>
    <m/>
    <m/>
    <m/>
    <m/>
    <m/>
    <m/>
    <m/>
    <m/>
    <m/>
    <m/>
    <m/>
    <m/>
    <m/>
    <m/>
    <m/>
    <m/>
  </r>
  <r>
    <s v="RFOs"/>
    <x v="0"/>
    <s v="RFOII"/>
    <m/>
    <x v="1"/>
    <s v="NAGUILIAN"/>
    <s v="Isabela, 2nd District"/>
    <n v="23120000"/>
    <s v="4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51800"/>
    <s v="YES"/>
    <n v="518"/>
    <n v="2331"/>
    <n v="0"/>
    <m/>
    <m/>
    <m/>
    <n v="1"/>
    <n v="518"/>
    <m/>
    <m/>
    <m/>
    <m/>
    <m/>
    <m/>
    <m/>
    <m/>
    <m/>
    <m/>
    <m/>
    <m/>
    <m/>
    <m/>
    <m/>
    <m/>
    <m/>
    <m/>
    <m/>
  </r>
  <r>
    <s v="RFOs"/>
    <x v="0"/>
    <s v="RFOII"/>
    <m/>
    <x v="1"/>
    <s v="PALANAN"/>
    <s v="Isabela, 2nd District"/>
    <n v="23121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500"/>
    <s v="YES"/>
    <n v="5"/>
    <n v="22.5"/>
    <n v="0"/>
    <m/>
    <m/>
    <m/>
    <n v="1"/>
    <n v="5"/>
    <m/>
    <m/>
    <m/>
    <m/>
    <m/>
    <m/>
    <m/>
    <m/>
    <m/>
    <m/>
    <m/>
    <m/>
    <m/>
    <m/>
    <m/>
    <m/>
    <m/>
    <m/>
    <m/>
  </r>
  <r>
    <s v="RFOs"/>
    <x v="0"/>
    <s v="RFOII"/>
    <m/>
    <x v="1"/>
    <s v="REINA MERCEDES"/>
    <s v="Isabela, 2nd District"/>
    <n v="23125000"/>
    <s v="4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38700"/>
    <s v="YES"/>
    <n v="387"/>
    <n v="1741.5"/>
    <n v="0"/>
    <m/>
    <m/>
    <m/>
    <n v="1"/>
    <n v="387"/>
    <m/>
    <m/>
    <m/>
    <m/>
    <m/>
    <m/>
    <m/>
    <m/>
    <m/>
    <m/>
    <m/>
    <m/>
    <m/>
    <m/>
    <m/>
    <m/>
    <m/>
    <m/>
    <m/>
  </r>
  <r>
    <s v="RFOs"/>
    <x v="0"/>
    <s v="RFOII"/>
    <m/>
    <x v="1"/>
    <s v="SAN MARIANO"/>
    <s v="Isabela, 2nd District"/>
    <n v="23131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02400"/>
    <s v="YES"/>
    <n v="1024"/>
    <n v="4608"/>
    <n v="0"/>
    <m/>
    <m/>
    <m/>
    <n v="1"/>
    <n v="1024"/>
    <m/>
    <m/>
    <m/>
    <m/>
    <m/>
    <m/>
    <m/>
    <m/>
    <m/>
    <m/>
    <m/>
    <m/>
    <m/>
    <m/>
    <m/>
    <m/>
    <m/>
    <m/>
    <m/>
  </r>
  <r>
    <s v="RFOs"/>
    <x v="0"/>
    <s v="RFOII"/>
    <m/>
    <x v="1"/>
    <s v="ALICIA"/>
    <s v="Isabela, 3rd District"/>
    <n v="23101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600"/>
    <s v="YES"/>
    <n v="6"/>
    <n v="27"/>
    <n v="0"/>
    <m/>
    <m/>
    <m/>
    <n v="1"/>
    <n v="6"/>
    <m/>
    <m/>
    <m/>
    <m/>
    <m/>
    <m/>
    <m/>
    <m/>
    <m/>
    <m/>
    <m/>
    <m/>
    <m/>
    <m/>
    <m/>
    <m/>
    <m/>
    <m/>
    <m/>
  </r>
  <r>
    <s v="RFOs"/>
    <x v="0"/>
    <s v="RFOII"/>
    <m/>
    <x v="1"/>
    <s v="ANGADANAN"/>
    <s v="Isabela, 3rd District"/>
    <n v="23102000"/>
    <s v="3r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77300"/>
    <s v="YES"/>
    <n v="773"/>
    <n v="3478.5"/>
    <n v="0"/>
    <m/>
    <m/>
    <m/>
    <n v="1"/>
    <n v="773"/>
    <m/>
    <m/>
    <m/>
    <m/>
    <m/>
    <m/>
    <m/>
    <m/>
    <m/>
    <m/>
    <m/>
    <m/>
    <m/>
    <m/>
    <m/>
    <m/>
    <m/>
    <m/>
    <m/>
  </r>
  <r>
    <s v="RFOs"/>
    <x v="0"/>
    <s v="RFOII"/>
    <m/>
    <x v="1"/>
    <s v="CABATUAN"/>
    <s v="Isabela, 3rd District"/>
    <n v="23107000"/>
    <s v="3r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6100"/>
    <s v="YES"/>
    <n v="61"/>
    <n v="274.5"/>
    <n v="0"/>
    <m/>
    <m/>
    <m/>
    <n v="1"/>
    <n v="61"/>
    <m/>
    <m/>
    <m/>
    <m/>
    <m/>
    <m/>
    <m/>
    <m/>
    <m/>
    <m/>
    <m/>
    <m/>
    <m/>
    <m/>
    <m/>
    <m/>
    <m/>
    <m/>
    <m/>
  </r>
  <r>
    <s v="RFOs"/>
    <x v="0"/>
    <s v="RFOII"/>
    <m/>
    <x v="1"/>
    <s v="RAMON"/>
    <s v="Isabela, 3rd District"/>
    <n v="23124000"/>
    <s v="2n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800"/>
    <s v="YES"/>
    <n v="28"/>
    <n v="126"/>
    <n v="0"/>
    <m/>
    <m/>
    <m/>
    <n v="1"/>
    <n v="28"/>
    <m/>
    <m/>
    <m/>
    <m/>
    <m/>
    <m/>
    <m/>
    <m/>
    <m/>
    <m/>
    <m/>
    <m/>
    <m/>
    <m/>
    <m/>
    <m/>
    <m/>
    <m/>
    <m/>
  </r>
  <r>
    <s v="RFOs"/>
    <x v="0"/>
    <s v="RFOII"/>
    <m/>
    <x v="1"/>
    <s v="SAN MATEO"/>
    <s v="Isabela, 3rd District"/>
    <n v="23132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7800"/>
    <s v="YES"/>
    <n v="78"/>
    <n v="351"/>
    <n v="0"/>
    <m/>
    <m/>
    <m/>
    <n v="1"/>
    <n v="78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SANTIAGO"/>
    <s v="Isabela, 4th District"/>
    <n v="23135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100"/>
    <s v="YES"/>
    <n v="11"/>
    <n v="49.5"/>
    <n v="0"/>
    <m/>
    <m/>
    <m/>
    <n v="1"/>
    <n v="11"/>
    <m/>
    <m/>
    <m/>
    <m/>
    <m/>
    <m/>
    <m/>
    <m/>
    <m/>
    <m/>
    <m/>
    <m/>
    <m/>
    <m/>
    <m/>
    <m/>
    <m/>
    <m/>
    <m/>
  </r>
  <r>
    <s v="RFOs"/>
    <x v="0"/>
    <s v="RFOII"/>
    <m/>
    <x v="1"/>
    <s v="CORDON"/>
    <s v="Isabela, 4th District"/>
    <n v="23109000"/>
    <s v="3r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36600"/>
    <s v="YES"/>
    <n v="366"/>
    <n v="1647"/>
    <n v="0"/>
    <m/>
    <m/>
    <m/>
    <n v="1"/>
    <n v="366"/>
    <m/>
    <m/>
    <m/>
    <m/>
    <m/>
    <m/>
    <m/>
    <m/>
    <m/>
    <m/>
    <m/>
    <m/>
    <m/>
    <m/>
    <m/>
    <m/>
    <m/>
    <m/>
    <m/>
  </r>
  <r>
    <s v="RFOs"/>
    <x v="0"/>
    <s v="RFOII"/>
    <m/>
    <x v="1"/>
    <s v="JONES"/>
    <s v="Isabela, 4th District"/>
    <n v="23115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89500"/>
    <s v="YES"/>
    <n v="895"/>
    <n v="4027.5"/>
    <n v="0"/>
    <m/>
    <m/>
    <m/>
    <n v="1"/>
    <n v="895"/>
    <m/>
    <m/>
    <m/>
    <m/>
    <m/>
    <m/>
    <m/>
    <m/>
    <m/>
    <m/>
    <m/>
    <m/>
    <m/>
    <m/>
    <m/>
    <m/>
    <m/>
    <m/>
    <m/>
  </r>
  <r>
    <s v="RFOs"/>
    <x v="0"/>
    <s v="RFOII"/>
    <m/>
    <x v="1"/>
    <s v="SAN AGUSTIN"/>
    <s v="Isabela, 4th District"/>
    <n v="23127000"/>
    <s v="3r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40900"/>
    <s v="YES"/>
    <n v="409"/>
    <n v="1840.5"/>
    <n v="0"/>
    <m/>
    <m/>
    <m/>
    <n v="1"/>
    <n v="409"/>
    <m/>
    <m/>
    <m/>
    <m/>
    <m/>
    <m/>
    <m/>
    <m/>
    <m/>
    <m/>
    <m/>
    <m/>
    <m/>
    <m/>
    <m/>
    <m/>
    <m/>
    <m/>
    <m/>
  </r>
  <r>
    <s v="RFOs"/>
    <x v="0"/>
    <s v="RFOII"/>
    <m/>
    <x v="1"/>
    <s v="AURORA"/>
    <s v="Isabela, 5th District"/>
    <n v="23103000"/>
    <s v="3r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30000"/>
    <s v="YES"/>
    <n v="300"/>
    <n v="1350"/>
    <n v="0"/>
    <m/>
    <m/>
    <m/>
    <n v="1"/>
    <n v="300"/>
    <m/>
    <m/>
    <m/>
    <m/>
    <m/>
    <m/>
    <m/>
    <m/>
    <m/>
    <m/>
    <m/>
    <m/>
    <m/>
    <m/>
    <m/>
    <m/>
    <m/>
    <m/>
    <m/>
  </r>
  <r>
    <s v="RFOs"/>
    <x v="0"/>
    <s v="RFOII"/>
    <m/>
    <x v="1"/>
    <s v="BURGOS"/>
    <s v="Isabela, 5th District"/>
    <n v="23105000"/>
    <s v="4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5200"/>
    <s v="YES"/>
    <n v="152"/>
    <n v="684"/>
    <n v="0"/>
    <m/>
    <m/>
    <m/>
    <n v="1"/>
    <n v="152"/>
    <m/>
    <m/>
    <m/>
    <m/>
    <m/>
    <m/>
    <m/>
    <m/>
    <m/>
    <m/>
    <m/>
    <m/>
    <m/>
    <m/>
    <m/>
    <m/>
    <m/>
    <m/>
    <m/>
  </r>
  <r>
    <s v="RFOs"/>
    <x v="0"/>
    <s v="RFOII"/>
    <m/>
    <x v="1"/>
    <s v="LUNA"/>
    <s v="Isabela, 5th District"/>
    <n v="23116000"/>
    <s v="5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8800"/>
    <s v="YES"/>
    <n v="88"/>
    <n v="396"/>
    <n v="0"/>
    <m/>
    <m/>
    <m/>
    <n v="1"/>
    <n v="88"/>
    <m/>
    <m/>
    <m/>
    <m/>
    <m/>
    <m/>
    <m/>
    <m/>
    <m/>
    <m/>
    <m/>
    <m/>
    <m/>
    <m/>
    <m/>
    <m/>
    <m/>
    <m/>
    <m/>
  </r>
  <r>
    <s v="RFOs"/>
    <x v="0"/>
    <s v="RFOII"/>
    <m/>
    <x v="1"/>
    <s v="MALLIG"/>
    <s v="Isabela, 5th District"/>
    <n v="23119000"/>
    <s v="4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4000"/>
    <s v="YES"/>
    <n v="240"/>
    <n v="1080"/>
    <n v="0"/>
    <m/>
    <m/>
    <m/>
    <n v="1"/>
    <n v="240"/>
    <m/>
    <m/>
    <m/>
    <m/>
    <m/>
    <m/>
    <m/>
    <m/>
    <m/>
    <m/>
    <m/>
    <m/>
    <m/>
    <m/>
    <m/>
    <m/>
    <m/>
    <m/>
    <m/>
  </r>
  <r>
    <s v="RFOs"/>
    <x v="0"/>
    <s v="RFOII"/>
    <m/>
    <x v="1"/>
    <s v="QUEZON"/>
    <s v="Isabela, 5th District"/>
    <n v="23122000"/>
    <s v="4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1900"/>
    <s v="YES"/>
    <n v="119"/>
    <n v="535.5"/>
    <n v="0"/>
    <m/>
    <m/>
    <m/>
    <n v="1"/>
    <n v="119"/>
    <m/>
    <m/>
    <m/>
    <m/>
    <m/>
    <m/>
    <m/>
    <m/>
    <m/>
    <m/>
    <m/>
    <m/>
    <m/>
    <m/>
    <m/>
    <m/>
    <m/>
    <m/>
    <m/>
  </r>
  <r>
    <s v="RFOs"/>
    <x v="0"/>
    <s v="RFOII"/>
    <m/>
    <x v="1"/>
    <s v="QUIRINO"/>
    <s v="Isabela, 5th District"/>
    <n v="23123000"/>
    <s v="4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41100"/>
    <s v="YES"/>
    <n v="411"/>
    <n v="1849.5"/>
    <n v="0"/>
    <m/>
    <m/>
    <m/>
    <n v="1"/>
    <n v="411"/>
    <m/>
    <m/>
    <m/>
    <m/>
    <m/>
    <m/>
    <m/>
    <m/>
    <m/>
    <m/>
    <m/>
    <m/>
    <m/>
    <m/>
    <m/>
    <m/>
    <m/>
    <m/>
    <m/>
  </r>
  <r>
    <s v="RFOs"/>
    <x v="0"/>
    <s v="RFOII"/>
    <m/>
    <x v="1"/>
    <s v="ROXAS"/>
    <s v="Isabela, 5th District"/>
    <n v="23126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5600"/>
    <s v="YES"/>
    <n v="256"/>
    <n v="1152"/>
    <n v="0"/>
    <m/>
    <m/>
    <m/>
    <n v="1"/>
    <n v="256"/>
    <m/>
    <m/>
    <m/>
    <m/>
    <m/>
    <m/>
    <m/>
    <m/>
    <m/>
    <m/>
    <m/>
    <m/>
    <m/>
    <m/>
    <m/>
    <m/>
    <m/>
    <m/>
    <m/>
  </r>
  <r>
    <s v="RFOs"/>
    <x v="0"/>
    <s v="RFOII"/>
    <m/>
    <x v="1"/>
    <s v="SAN MANUEL"/>
    <s v="Isabela, 5th District"/>
    <n v="23130000"/>
    <s v="4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3400"/>
    <s v="YES"/>
    <n v="34"/>
    <n v="153"/>
    <n v="0"/>
    <m/>
    <m/>
    <m/>
    <n v="1"/>
    <n v="34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CAUAYAN"/>
    <s v="Isabela, 6th District"/>
    <n v="23108000"/>
    <s v="3r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46400"/>
    <s v="YES"/>
    <n v="1464"/>
    <n v="6588"/>
    <n v="0"/>
    <m/>
    <m/>
    <m/>
    <n v="1"/>
    <n v="1464"/>
    <m/>
    <m/>
    <m/>
    <m/>
    <m/>
    <m/>
    <m/>
    <m/>
    <m/>
    <m/>
    <m/>
    <m/>
    <m/>
    <m/>
    <m/>
    <m/>
    <m/>
    <m/>
    <m/>
  </r>
  <r>
    <s v="RFOs"/>
    <x v="0"/>
    <s v="RFOII"/>
    <m/>
    <x v="1"/>
    <s v="ECHAGUE"/>
    <s v="Isabela, 6th District"/>
    <n v="23112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29200"/>
    <s v="YES"/>
    <n v="1292"/>
    <n v="5814"/>
    <n v="0"/>
    <m/>
    <m/>
    <m/>
    <n v="1"/>
    <n v="1292"/>
    <m/>
    <m/>
    <m/>
    <m/>
    <m/>
    <m/>
    <m/>
    <m/>
    <m/>
    <m/>
    <m/>
    <m/>
    <m/>
    <m/>
    <m/>
    <m/>
    <m/>
    <m/>
    <m/>
  </r>
  <r>
    <s v="RFOs"/>
    <x v="0"/>
    <s v="RFOII"/>
    <m/>
    <x v="1"/>
    <s v="SAN GUILLERMO"/>
    <s v="Isabela, 6th District"/>
    <n v="23128000"/>
    <s v="4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65300"/>
    <s v="YES"/>
    <n v="653"/>
    <n v="2938.5"/>
    <n v="0"/>
    <m/>
    <m/>
    <m/>
    <n v="1"/>
    <n v="653"/>
    <m/>
    <m/>
    <m/>
    <m/>
    <m/>
    <m/>
    <m/>
    <m/>
    <m/>
    <m/>
    <m/>
    <m/>
    <m/>
    <m/>
    <m/>
    <m/>
    <m/>
    <m/>
    <m/>
  </r>
  <r>
    <s v="RFOs"/>
    <x v="0"/>
    <s v="RFOII"/>
    <m/>
    <x v="1"/>
    <s v="SAN ISIDRO"/>
    <s v="Isabela, 6th District"/>
    <n v="23129000"/>
    <s v="5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000"/>
    <s v="YES"/>
    <n v="20"/>
    <n v="90"/>
    <n v="0"/>
    <m/>
    <m/>
    <m/>
    <n v="1"/>
    <n v="20"/>
    <m/>
    <m/>
    <m/>
    <m/>
    <m/>
    <m/>
    <m/>
    <m/>
    <m/>
    <m/>
    <m/>
    <m/>
    <m/>
    <m/>
    <m/>
    <m/>
    <m/>
    <m/>
    <m/>
  </r>
  <r>
    <s v="RFOs"/>
    <x v="0"/>
    <s v="RFOII"/>
    <m/>
    <x v="2"/>
    <s v="VILLAVERDE"/>
    <s v="Nueva Vizcaya, Lone District"/>
    <n v="25014000"/>
    <s v="5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2400"/>
    <s v="YES"/>
    <n v="124"/>
    <n v="558"/>
    <n v="0"/>
    <m/>
    <m/>
    <m/>
    <n v="1"/>
    <n v="124"/>
    <m/>
    <m/>
    <m/>
    <m/>
    <m/>
    <m/>
    <m/>
    <m/>
    <m/>
    <m/>
    <m/>
    <m/>
    <m/>
    <m/>
    <m/>
    <m/>
    <m/>
    <m/>
    <m/>
  </r>
  <r>
    <s v="RFOs"/>
    <x v="0"/>
    <s v="RFOII"/>
    <m/>
    <x v="2"/>
    <s v="DIADI"/>
    <s v="Nueva Vizcaya, Lone District"/>
    <n v="25006000"/>
    <s v="4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1000"/>
    <s v="YES"/>
    <n v="210"/>
    <n v="945"/>
    <n v="0"/>
    <m/>
    <m/>
    <m/>
    <n v="1"/>
    <n v="210"/>
    <m/>
    <m/>
    <m/>
    <m/>
    <m/>
    <m/>
    <m/>
    <m/>
    <m/>
    <m/>
    <m/>
    <m/>
    <m/>
    <m/>
    <m/>
    <m/>
    <m/>
    <m/>
    <m/>
  </r>
  <r>
    <s v="RFOs"/>
    <x v="0"/>
    <s v="RFOII"/>
    <m/>
    <x v="2"/>
    <s v="SOLANO"/>
    <s v="Nueva Vizcaya, Lone District"/>
    <n v="25013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0000"/>
    <s v="YES"/>
    <n v="100"/>
    <n v="450"/>
    <n v="0"/>
    <m/>
    <m/>
    <m/>
    <n v="1"/>
    <n v="100"/>
    <m/>
    <m/>
    <m/>
    <m/>
    <m/>
    <m/>
    <m/>
    <m/>
    <m/>
    <m/>
    <m/>
    <m/>
    <m/>
    <m/>
    <m/>
    <m/>
    <m/>
    <m/>
    <m/>
  </r>
  <r>
    <s v="RFOs"/>
    <x v="0"/>
    <s v="RFOII"/>
    <m/>
    <x v="2"/>
    <s v="BAYOMBONG (Capital)"/>
    <s v="Nueva Vizcaya, Lone District"/>
    <n v="25005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7200"/>
    <s v="YES"/>
    <n v="72"/>
    <n v="324"/>
    <n v="0"/>
    <m/>
    <m/>
    <m/>
    <n v="1"/>
    <n v="72"/>
    <m/>
    <m/>
    <m/>
    <m/>
    <m/>
    <m/>
    <m/>
    <m/>
    <m/>
    <m/>
    <m/>
    <m/>
    <m/>
    <m/>
    <m/>
    <m/>
    <m/>
    <m/>
    <m/>
  </r>
  <r>
    <s v="RFOs"/>
    <x v="0"/>
    <s v="RFOII"/>
    <m/>
    <x v="2"/>
    <s v="QUEZON"/>
    <s v="Nueva Vizcaya, Lone District"/>
    <n v="25011000"/>
    <s v="4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2200"/>
    <s v="YES"/>
    <n v="122"/>
    <n v="549"/>
    <n v="0"/>
    <m/>
    <m/>
    <m/>
    <n v="1"/>
    <n v="122"/>
    <m/>
    <m/>
    <m/>
    <m/>
    <m/>
    <m/>
    <m/>
    <m/>
    <m/>
    <m/>
    <m/>
    <m/>
    <m/>
    <m/>
    <m/>
    <m/>
    <m/>
    <m/>
    <m/>
  </r>
  <r>
    <s v="RFOs"/>
    <x v="0"/>
    <s v="RFOII"/>
    <m/>
    <x v="2"/>
    <s v="BAGABAG"/>
    <s v="Nueva Vizcaya, Lone District"/>
    <n v="25003000"/>
    <s v="2n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0400"/>
    <s v="YES"/>
    <n v="204"/>
    <n v="918"/>
    <n v="0"/>
    <m/>
    <m/>
    <m/>
    <n v="1"/>
    <n v="204"/>
    <m/>
    <m/>
    <m/>
    <m/>
    <m/>
    <m/>
    <m/>
    <m/>
    <m/>
    <m/>
    <m/>
    <m/>
    <m/>
    <m/>
    <m/>
    <m/>
    <m/>
    <m/>
    <m/>
  </r>
  <r>
    <s v="RFOs"/>
    <x v="0"/>
    <s v="RFOII"/>
    <m/>
    <x v="2"/>
    <s v="BAMBANG"/>
    <s v="Nueva Vizcaya, Lone District"/>
    <n v="25004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5100"/>
    <s v="YES"/>
    <n v="51"/>
    <n v="229.5"/>
    <n v="0"/>
    <m/>
    <m/>
    <m/>
    <n v="1"/>
    <n v="51"/>
    <m/>
    <m/>
    <m/>
    <m/>
    <m/>
    <m/>
    <m/>
    <m/>
    <m/>
    <m/>
    <m/>
    <m/>
    <m/>
    <m/>
    <m/>
    <m/>
    <m/>
    <m/>
    <m/>
  </r>
  <r>
    <s v="RFOs"/>
    <x v="0"/>
    <s v="RFOII"/>
    <m/>
    <x v="2"/>
    <s v="DUPAX DEL NORTE"/>
    <s v="Nueva Vizcaya, Lone District"/>
    <n v="25007000"/>
    <s v="3r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500"/>
    <s v="YES"/>
    <n v="5"/>
    <n v="22.5"/>
    <n v="0"/>
    <m/>
    <m/>
    <m/>
    <n v="1"/>
    <n v="5"/>
    <m/>
    <m/>
    <m/>
    <m/>
    <m/>
    <m/>
    <m/>
    <m/>
    <m/>
    <m/>
    <m/>
    <m/>
    <m/>
    <m/>
    <m/>
    <m/>
    <m/>
    <m/>
    <m/>
  </r>
  <r>
    <s v="RFOs"/>
    <x v="0"/>
    <s v="RFOII"/>
    <m/>
    <x v="2"/>
    <s v="KASIBU"/>
    <s v="Nueva Vizcaya, Lone District"/>
    <n v="25009000"/>
    <s v="3r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500"/>
    <s v="YES"/>
    <n v="5"/>
    <n v="22.5"/>
    <n v="0"/>
    <m/>
    <m/>
    <m/>
    <n v="1"/>
    <n v="5"/>
    <m/>
    <m/>
    <m/>
    <m/>
    <m/>
    <m/>
    <m/>
    <m/>
    <m/>
    <m/>
    <m/>
    <m/>
    <m/>
    <m/>
    <m/>
    <m/>
    <m/>
    <m/>
    <m/>
  </r>
  <r>
    <s v="RFOs"/>
    <x v="0"/>
    <s v="RFOII"/>
    <m/>
    <x v="2"/>
    <s v="KAYAPA"/>
    <s v="Nueva Vizcaya, Lone District"/>
    <n v="25010000"/>
    <s v="3r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700"/>
    <s v="YES"/>
    <n v="7"/>
    <n v="31.5"/>
    <n v="0"/>
    <m/>
    <m/>
    <m/>
    <n v="1"/>
    <n v="7"/>
    <m/>
    <m/>
    <m/>
    <m/>
    <m/>
    <m/>
    <m/>
    <m/>
    <m/>
    <m/>
    <m/>
    <m/>
    <m/>
    <m/>
    <m/>
    <m/>
    <m/>
    <m/>
    <m/>
  </r>
  <r>
    <s v="RFOs"/>
    <x v="0"/>
    <s v="RFOII"/>
    <m/>
    <x v="3"/>
    <s v="AGLIPAY"/>
    <s v="Quirino, 1st District"/>
    <n v="25701000"/>
    <s v="3r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4100"/>
    <s v="YES"/>
    <n v="241"/>
    <n v="1084.5"/>
    <n v="0"/>
    <m/>
    <m/>
    <m/>
    <n v="1"/>
    <n v="241"/>
    <m/>
    <m/>
    <m/>
    <m/>
    <m/>
    <m/>
    <m/>
    <m/>
    <m/>
    <m/>
    <m/>
    <m/>
    <m/>
    <m/>
    <m/>
    <m/>
    <m/>
    <m/>
    <m/>
  </r>
  <r>
    <s v="RFOs"/>
    <x v="0"/>
    <s v="RFOII"/>
    <m/>
    <x v="3"/>
    <s v="CABARROGUIS (Capital)"/>
    <s v="Quirino, 1st District"/>
    <n v="25702000"/>
    <s v="3r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9600"/>
    <s v="YES"/>
    <n v="196"/>
    <n v="882"/>
    <n v="0"/>
    <m/>
    <m/>
    <m/>
    <n v="1"/>
    <n v="196"/>
    <m/>
    <m/>
    <m/>
    <m/>
    <m/>
    <m/>
    <m/>
    <m/>
    <m/>
    <m/>
    <m/>
    <m/>
    <m/>
    <m/>
    <m/>
    <m/>
    <m/>
    <m/>
    <m/>
  </r>
  <r>
    <s v="RFOs"/>
    <x v="0"/>
    <s v="RFOII"/>
    <m/>
    <x v="3"/>
    <s v="DIFFUN"/>
    <s v="Quirino, 1st District"/>
    <n v="25703000"/>
    <s v="2nd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51800"/>
    <s v="YES"/>
    <n v="518"/>
    <n v="2331"/>
    <n v="0"/>
    <m/>
    <m/>
    <m/>
    <n v="1"/>
    <n v="518"/>
    <m/>
    <m/>
    <m/>
    <m/>
    <m/>
    <m/>
    <m/>
    <m/>
    <m/>
    <m/>
    <m/>
    <m/>
    <m/>
    <m/>
    <m/>
    <m/>
    <m/>
    <m/>
    <m/>
  </r>
  <r>
    <s v="RFOs"/>
    <x v="0"/>
    <s v="RFOII"/>
    <m/>
    <x v="3"/>
    <s v="MADDELA"/>
    <s v="Quirino, 1st District"/>
    <n v="25704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71100"/>
    <s v="YES"/>
    <n v="711"/>
    <n v="3199.5"/>
    <n v="0"/>
    <m/>
    <m/>
    <m/>
    <n v="1"/>
    <n v="711"/>
    <m/>
    <m/>
    <m/>
    <m/>
    <m/>
    <m/>
    <m/>
    <m/>
    <m/>
    <m/>
    <m/>
    <m/>
    <m/>
    <m/>
    <m/>
    <m/>
    <m/>
    <m/>
    <m/>
  </r>
  <r>
    <s v="RFOs"/>
    <x v="0"/>
    <s v="RFOII"/>
    <m/>
    <x v="3"/>
    <s v="NAGTIPUNAN"/>
    <s v="Quirino, 1st District"/>
    <n v="25706000"/>
    <s v="1st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71900"/>
    <s v="YES"/>
    <n v="719"/>
    <n v="3235.5"/>
    <n v="0"/>
    <m/>
    <m/>
    <m/>
    <n v="1"/>
    <n v="719"/>
    <m/>
    <m/>
    <m/>
    <m/>
    <m/>
    <m/>
    <m/>
    <m/>
    <m/>
    <m/>
    <m/>
    <m/>
    <m/>
    <m/>
    <m/>
    <m/>
    <m/>
    <m/>
    <m/>
  </r>
  <r>
    <s v="RFOs"/>
    <x v="0"/>
    <s v="RFOII"/>
    <m/>
    <x v="3"/>
    <s v="SAGUDAY"/>
    <s v="Quirino, 1st District"/>
    <n v="25705000"/>
    <s v="5th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4000"/>
    <s v="YES"/>
    <n v="40"/>
    <n v="180"/>
    <n v="0"/>
    <m/>
    <m/>
    <m/>
    <n v="1"/>
    <n v="4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0"/>
    <s v="Corn_PSS"/>
    <s v="Seeds reserved"/>
    <s v="Corn Seeds reserved"/>
    <s v="Yellow Corn Seeds reserved"/>
    <x v="8"/>
    <x v="1"/>
    <s v="Corn Seed Reserve"/>
    <s v="Yellow corn seeds reserve"/>
    <s v="YES"/>
    <s v="PAP"/>
    <s v="PIP"/>
    <s v="PICS"/>
    <s v="Modernization"/>
    <s v="9. Climate Change Adaptation &amp; Mitigation Measures"/>
    <s v="EXPAND AND IMPROVE AVAILABLE AGRI-FISHERY AREAS FOR INCREASED PRODUCTION"/>
    <s v="Seed Reserve"/>
    <s v="DA-Level Output"/>
    <s v="NO"/>
    <s v="kilogram"/>
    <x v="4"/>
    <x v="0"/>
    <s v="1ST SEMESTER"/>
    <x v="0"/>
    <n v="3000"/>
    <s v="YES"/>
    <n v="150"/>
    <n v="30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0"/>
    <s v="Corn_PSS"/>
    <s v="Seeds reserved"/>
    <s v="Corn Seeds reserved"/>
    <s v="Yellow Corn Seeds reserved"/>
    <x v="9"/>
    <x v="1"/>
    <s v="Corn Seed Reserve"/>
    <s v="Yellow corn seeds reserve"/>
    <s v="YES"/>
    <s v="PAP"/>
    <s v="PIP"/>
    <s v="PICS"/>
    <s v="Modernization"/>
    <s v="9. Climate Change Adaptation &amp; Mitigation Measures"/>
    <s v="EXPAND AND IMPROVE AVAILABLE AGRI-FISHERY AREAS FOR INCREASED PRODUCTION"/>
    <s v="Seed Reserve"/>
    <s v="DA-Level Output"/>
    <s v="NO"/>
    <s v="kilogram"/>
    <x v="0"/>
    <x v="0"/>
    <s v="1ST SEMESTER"/>
    <x v="0"/>
    <n v="375894"/>
    <s v="YES"/>
    <n v="20883"/>
    <n v="250596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0"/>
    <s v="Corn_PSS"/>
    <s v="Agri-chemicals reserved"/>
    <s v="Agri-chemicals reserved"/>
    <s v="Agri-chemicals reserved (liter)"/>
    <x v="10"/>
    <x v="5"/>
    <s v="Agricultural Chemicals"/>
    <s v="Insecticide (liquid)"/>
    <s v="NO"/>
    <s v="PAP"/>
    <s v="PIP"/>
    <s v="PICS"/>
    <s v="Modernization"/>
    <s v="9. Climate Change Adaptation &amp; Mitigation Measures"/>
    <s v="EXPAND AND IMPROVE AVAILABLE AGRI-FISHERY AREAS FOR INCREASED PRODUCTION"/>
    <s v="Agrichemicals"/>
    <s v="DA-Level Output"/>
    <s v="NO"/>
    <s v="liter"/>
    <x v="4"/>
    <x v="0"/>
    <s v="1ST SEMESTER"/>
    <x v="0"/>
    <n v="5000"/>
    <s v="YES"/>
    <n v="5000"/>
    <n v="600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0"/>
    <s v="Corn_PSS"/>
    <s v="Agri-chemicals reserved"/>
    <s v="Agri-chemicals reserved"/>
    <s v="Agri-chemicals reserved (kg)"/>
    <x v="11"/>
    <x v="5"/>
    <s v="Agricultural Chemicals"/>
    <s v="Rodenticides"/>
    <s v="NO"/>
    <s v="PAP"/>
    <s v="PIP"/>
    <s v="PICS"/>
    <s v="Modernization"/>
    <s v="9. Climate Change Adaptation &amp; Mitigation Measures"/>
    <s v="EXPAND AND IMPROVE AVAILABLE AGRI-FISHERY AREAS FOR INCREASED PRODUCTION"/>
    <s v="Agrichemicals"/>
    <s v="DA-Level Output"/>
    <s v="NO"/>
    <s v="kilogram"/>
    <x v="4"/>
    <x v="0"/>
    <s v="1ST SEMESTER"/>
    <x v="0"/>
    <n v="50000"/>
    <s v="YES"/>
    <n v="1000"/>
    <n v="150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0"/>
    <s v="Corn_PSS"/>
    <s v="Agri-chemicals reserved"/>
    <s v="Agri-chemicals reserved"/>
    <s v="Agri-chemicals reserved (pc)"/>
    <x v="12"/>
    <x v="5"/>
    <s v="Agricultural Chemicals"/>
    <s v="Pheromone lure"/>
    <s v="NO"/>
    <s v="PAP"/>
    <s v="PIP"/>
    <s v="PICS"/>
    <s v="Modernization"/>
    <s v="9. Climate Change Adaptation &amp; Mitigation Measures"/>
    <s v="EXPAND AND IMPROVE AVAILABLE AGRI-FISHERY AREAS FOR INCREASED PRODUCTION"/>
    <s v="Agrichemicals"/>
    <s v="DA-Level Output"/>
    <s v="NO"/>
    <s v="piece"/>
    <x v="4"/>
    <x v="0"/>
    <s v="1ST SEMESTER"/>
    <x v="0"/>
    <n v="5000"/>
    <s v="YES"/>
    <n v="5000"/>
    <n v="275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APARRI"/>
    <s v="Cagayan, 1st District"/>
    <n v="21505000"/>
    <s v="1st"/>
    <s v="Cassava"/>
    <s v="Cassava"/>
    <s v="TECHNICAL AND SUPPORT SERVICES PROGRAM"/>
    <x v="0"/>
    <s v="Cassava_PSS"/>
    <s v="Planting material distributed"/>
    <s v="Planting material distributed"/>
    <s v="Cassava cutting distributed"/>
    <x v="13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iece"/>
    <x v="5"/>
    <x v="1"/>
    <s v="2ND SEMESTER"/>
    <x v="0"/>
    <n v="20000"/>
    <s v="YES"/>
    <n v="2"/>
    <n v="20"/>
    <n v="0"/>
    <m/>
    <m/>
    <m/>
    <n v="1"/>
    <n v="2"/>
    <m/>
    <m/>
    <m/>
    <m/>
    <m/>
    <m/>
    <m/>
    <m/>
    <m/>
    <m/>
    <m/>
    <m/>
    <m/>
    <m/>
    <m/>
    <m/>
    <m/>
    <m/>
    <m/>
  </r>
  <r>
    <s v="RFOs"/>
    <x v="0"/>
    <s v="RFOII"/>
    <m/>
    <x v="0"/>
    <s v="BUGUEY"/>
    <s v="Cagayan, 1st District"/>
    <n v="21508000"/>
    <s v="3rd"/>
    <s v="Cassava"/>
    <s v="Cassava"/>
    <s v="TECHNICAL AND SUPPORT SERVICES PROGRAM"/>
    <x v="0"/>
    <s v="Cassava_PSS"/>
    <s v="Planting material distributed"/>
    <s v="Planting material distributed"/>
    <s v="Cassava cutting distributed"/>
    <x v="13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iece"/>
    <x v="5"/>
    <x v="1"/>
    <s v="2ND SEMESTER"/>
    <x v="0"/>
    <n v="45000"/>
    <s v="YES"/>
    <n v="4.5"/>
    <n v="45"/>
    <n v="0"/>
    <m/>
    <m/>
    <m/>
    <n v="1"/>
    <n v="5"/>
    <m/>
    <m/>
    <m/>
    <m/>
    <m/>
    <m/>
    <m/>
    <m/>
    <m/>
    <m/>
    <m/>
    <m/>
    <m/>
    <m/>
    <m/>
    <m/>
    <m/>
    <m/>
    <m/>
  </r>
  <r>
    <s v="RFOs"/>
    <x v="0"/>
    <s v="RFOII"/>
    <m/>
    <x v="0"/>
    <s v="PAMPLONA"/>
    <s v="Cagayan, 2nd District"/>
    <n v="21518000"/>
    <s v="4th"/>
    <s v="Cassava"/>
    <s v="Cassava"/>
    <s v="TECHNICAL AND SUPPORT SERVICES PROGRAM"/>
    <x v="0"/>
    <s v="Cassava_PSS"/>
    <s v="Planting material distributed"/>
    <s v="Planting material distributed"/>
    <s v="Cassava cutting distributed"/>
    <x v="13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iece"/>
    <x v="5"/>
    <x v="1"/>
    <s v="2ND SEMESTER"/>
    <x v="0"/>
    <n v="65000"/>
    <s v="YES"/>
    <n v="6.5"/>
    <n v="65"/>
    <n v="0"/>
    <m/>
    <m/>
    <m/>
    <n v="1"/>
    <n v="7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ILAGAN (Capital)"/>
    <s v="Isabela, 1st District"/>
    <n v="23114000"/>
    <s v="1st"/>
    <s v="Cassava"/>
    <s v="Cassava"/>
    <s v="TECHNICAL AND SUPPORT SERVICES PROGRAM"/>
    <x v="0"/>
    <s v="Cassava_PSS"/>
    <s v="Planting material distributed"/>
    <s v="Planting material distributed"/>
    <s v="Cassava cutting distributed"/>
    <x v="13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iece"/>
    <x v="0"/>
    <x v="0"/>
    <s v="1ST SEMESTER"/>
    <x v="0"/>
    <n v="155000"/>
    <s v="YES"/>
    <n v="15.5"/>
    <n v="155"/>
    <n v="0"/>
    <m/>
    <m/>
    <m/>
    <n v="1"/>
    <n v="16"/>
    <m/>
    <m/>
    <m/>
    <m/>
    <m/>
    <m/>
    <m/>
    <m/>
    <m/>
    <m/>
    <m/>
    <m/>
    <m/>
    <m/>
    <m/>
    <m/>
    <m/>
    <m/>
    <m/>
  </r>
  <r>
    <s v="RFOs"/>
    <x v="0"/>
    <s v="RFOII"/>
    <m/>
    <x v="1"/>
    <s v="ECHAGUE"/>
    <s v="Isabela, 6th District"/>
    <n v="23112000"/>
    <s v="1st"/>
    <s v="Cassava"/>
    <s v="Cassava"/>
    <s v="TECHNICAL AND SUPPORT SERVICES PROGRAM"/>
    <x v="0"/>
    <s v="Cassava_PSS"/>
    <s v="Planting material distributed"/>
    <s v="Planting material distributed"/>
    <s v="Cassava cutting distributed"/>
    <x v="13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iece"/>
    <x v="1"/>
    <x v="1"/>
    <s v="2ND SEMESTER"/>
    <x v="0"/>
    <n v="200000"/>
    <s v="YES"/>
    <n v="20"/>
    <n v="200"/>
    <n v="0"/>
    <m/>
    <m/>
    <m/>
    <n v="1"/>
    <n v="20"/>
    <m/>
    <m/>
    <m/>
    <m/>
    <m/>
    <m/>
    <m/>
    <m/>
    <m/>
    <m/>
    <m/>
    <m/>
    <m/>
    <m/>
    <m/>
    <m/>
    <m/>
    <m/>
    <m/>
  </r>
  <r>
    <s v="RFOs"/>
    <x v="0"/>
    <s v="RFOII"/>
    <m/>
    <x v="1"/>
    <s v="SAN MARIANO"/>
    <s v="Isabela, 2nd District"/>
    <n v="23131000"/>
    <s v="1st"/>
    <s v="Cassava"/>
    <s v="Cassava"/>
    <s v="TECHNICAL AND SUPPORT SERVICES PROGRAM"/>
    <x v="0"/>
    <s v="Cassava_PSS"/>
    <s v="Planting material distributed"/>
    <s v="Planting material distributed"/>
    <s v="Cassava cutting distributed"/>
    <x v="13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iece"/>
    <x v="0"/>
    <x v="0"/>
    <s v="1ST SEMESTER"/>
    <x v="0"/>
    <n v="100000"/>
    <s v="YES"/>
    <n v="10"/>
    <n v="100"/>
    <n v="0"/>
    <m/>
    <m/>
    <m/>
    <n v="1"/>
    <n v="10"/>
    <m/>
    <m/>
    <m/>
    <m/>
    <m/>
    <m/>
    <m/>
    <m/>
    <m/>
    <m/>
    <m/>
    <m/>
    <m/>
    <m/>
    <m/>
    <m/>
    <m/>
    <m/>
    <m/>
  </r>
  <r>
    <s v="RFOs"/>
    <x v="0"/>
    <s v="RFOII"/>
    <m/>
    <x v="2"/>
    <s v="QUEZON"/>
    <s v="Nueva Vizcaya, Lone District"/>
    <n v="25011000"/>
    <s v="4th"/>
    <s v="Cassava"/>
    <s v="Cassava"/>
    <s v="TECHNICAL AND SUPPORT SERVICES PROGRAM"/>
    <x v="0"/>
    <s v="Cassava_PSS"/>
    <s v="Planting material distributed"/>
    <s v="Planting material distributed"/>
    <s v="Cassava cutting distributed"/>
    <x v="13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iece"/>
    <x v="3"/>
    <x v="2"/>
    <s v="2ND SEMESTER"/>
    <x v="0"/>
    <n v="195000"/>
    <s v="YES"/>
    <n v="19.5"/>
    <n v="195"/>
    <n v="0"/>
    <m/>
    <m/>
    <m/>
    <n v="1"/>
    <n v="20"/>
    <m/>
    <m/>
    <m/>
    <m/>
    <m/>
    <m/>
    <m/>
    <m/>
    <m/>
    <m/>
    <m/>
    <m/>
    <m/>
    <m/>
    <m/>
    <m/>
    <m/>
    <m/>
    <m/>
  </r>
  <r>
    <s v="RFOs"/>
    <x v="0"/>
    <s v="RFOII"/>
    <m/>
    <x v="3"/>
    <s v="MADDELA"/>
    <s v="Quirino, 1st District"/>
    <n v="25704000"/>
    <s v="1st"/>
    <s v="Cassava"/>
    <s v="Cassava"/>
    <s v="TECHNICAL AND SUPPORT SERVICES PROGRAM"/>
    <x v="0"/>
    <s v="Cassava_PSS"/>
    <s v="Planting material distributed"/>
    <s v="Planting material distributed"/>
    <s v="Cassava cutting distributed"/>
    <x v="13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iece"/>
    <x v="5"/>
    <x v="1"/>
    <s v="2ND SEMESTER"/>
    <x v="0"/>
    <n v="195000"/>
    <s v="YES"/>
    <n v="19.5"/>
    <n v="195"/>
    <n v="0"/>
    <m/>
    <m/>
    <m/>
    <n v="1"/>
    <n v="20"/>
    <m/>
    <m/>
    <m/>
    <m/>
    <m/>
    <m/>
    <m/>
    <m/>
    <m/>
    <m/>
    <m/>
    <m/>
    <m/>
    <m/>
    <m/>
    <m/>
    <m/>
    <m/>
    <m/>
  </r>
  <r>
    <s v="RFOs"/>
    <x v="0"/>
    <s v="RFOII"/>
    <m/>
    <x v="0"/>
    <s v="APARRI"/>
    <s v="Cagayan, 1st District"/>
    <n v="21505000"/>
    <s v="1st"/>
    <s v="Cassava"/>
    <s v="Cassava"/>
    <s v="TECHNICAL AND SUPPORT SERVICES PROGRAM"/>
    <x v="0"/>
    <s v="Cassava_PSS"/>
    <s v="Planting material distributed"/>
    <s v="Planting material distributed"/>
    <s v="Cassava cutting distributed"/>
    <x v="14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iece"/>
    <x v="6"/>
    <x v="1"/>
    <s v="2ND SEMESTER"/>
    <x v="0"/>
    <n v="120000"/>
    <s v="YES"/>
    <n v="12"/>
    <n v="180"/>
    <n v="0"/>
    <m/>
    <m/>
    <m/>
    <n v="1"/>
    <n v="12"/>
    <m/>
    <m/>
    <m/>
    <m/>
    <m/>
    <m/>
    <m/>
    <m/>
    <m/>
    <m/>
    <m/>
    <m/>
    <m/>
    <m/>
    <m/>
    <m/>
    <m/>
    <m/>
    <m/>
  </r>
  <r>
    <s v="RFOs"/>
    <x v="0"/>
    <s v="RFOII"/>
    <m/>
    <x v="0"/>
    <s v="BUGUEY"/>
    <s v="Cagayan, 1st District"/>
    <n v="21508000"/>
    <s v="3rd"/>
    <s v="Cassava"/>
    <s v="Cassava"/>
    <s v="TECHNICAL AND SUPPORT SERVICES PROGRAM"/>
    <x v="0"/>
    <s v="Cassava_PSS"/>
    <s v="Planting material distributed"/>
    <s v="Planting material distributed"/>
    <s v="Cassava cutting distributed"/>
    <x v="14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iece"/>
    <x v="6"/>
    <x v="1"/>
    <s v="2ND SEMESTER"/>
    <x v="0"/>
    <n v="120000"/>
    <s v="YES"/>
    <n v="12"/>
    <n v="180"/>
    <n v="0"/>
    <m/>
    <m/>
    <m/>
    <n v="1"/>
    <n v="12"/>
    <m/>
    <m/>
    <m/>
    <m/>
    <m/>
    <m/>
    <m/>
    <m/>
    <m/>
    <m/>
    <m/>
    <m/>
    <m/>
    <m/>
    <m/>
    <m/>
    <m/>
    <m/>
    <m/>
  </r>
  <r>
    <s v="RFOs"/>
    <x v="0"/>
    <s v="RFOII"/>
    <m/>
    <x v="1"/>
    <s v="TUMAUINI"/>
    <s v="Isabela, 1st District"/>
    <n v="23137000"/>
    <s v="1st"/>
    <s v="Cassava"/>
    <s v="Cassava"/>
    <s v="TECHNICAL AND SUPPORT SERVICES PROGRAM"/>
    <x v="0"/>
    <s v="Cassava_PSS"/>
    <s v="Planting material distributed"/>
    <s v="Planting material distributed"/>
    <s v="Cassava cutting distributed"/>
    <x v="14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iece"/>
    <x v="0"/>
    <x v="0"/>
    <s v="1ST SEMESTER"/>
    <x v="0"/>
    <n v="480000"/>
    <s v="YES"/>
    <n v="48"/>
    <n v="720"/>
    <n v="0"/>
    <m/>
    <m/>
    <m/>
    <n v="1"/>
    <n v="48"/>
    <m/>
    <m/>
    <m/>
    <m/>
    <m/>
    <m/>
    <m/>
    <m/>
    <m/>
    <m/>
    <m/>
    <m/>
    <m/>
    <m/>
    <m/>
    <m/>
    <m/>
    <m/>
    <m/>
  </r>
  <r>
    <s v="RFOs"/>
    <x v="0"/>
    <s v="RFOII"/>
    <m/>
    <x v="1"/>
    <s v="DELFIN ALBANO (MAGSAYSAY)"/>
    <s v="Isabela, 1st District"/>
    <n v="23118000"/>
    <s v="4th"/>
    <s v="Cassava"/>
    <s v="Cassava"/>
    <s v="TECHNICAL AND SUPPORT SERVICES PROGRAM"/>
    <x v="0"/>
    <s v="Cassava_PSS"/>
    <s v="Planting material distributed"/>
    <s v="Planting material distributed"/>
    <s v="Cassava cutting distributed"/>
    <x v="14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iece"/>
    <x v="0"/>
    <x v="0"/>
    <s v="1ST SEMESTER"/>
    <x v="0"/>
    <n v="250000"/>
    <s v="YES"/>
    <n v="25"/>
    <n v="375"/>
    <n v="0"/>
    <m/>
    <m/>
    <m/>
    <n v="1"/>
    <n v="25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ILAGAN (Capital)"/>
    <s v="Isabela, 1st District"/>
    <n v="23114000"/>
    <s v="1st"/>
    <s v="Cassava"/>
    <s v="Cassava"/>
    <s v="TECHNICAL AND SUPPORT SERVICES PROGRAM"/>
    <x v="0"/>
    <s v="Cassava_PSS"/>
    <s v="Planting material distributed"/>
    <s v="Planting material distributed"/>
    <s v="Cassava cutting distributed"/>
    <x v="14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iece"/>
    <x v="1"/>
    <x v="1"/>
    <s v="2ND SEMESTER"/>
    <x v="0"/>
    <n v="500000"/>
    <s v="YES"/>
    <n v="50"/>
    <n v="750"/>
    <n v="0"/>
    <m/>
    <m/>
    <m/>
    <n v="1"/>
    <n v="50"/>
    <m/>
    <m/>
    <m/>
    <m/>
    <m/>
    <m/>
    <m/>
    <m/>
    <m/>
    <m/>
    <m/>
    <m/>
    <m/>
    <m/>
    <m/>
    <m/>
    <m/>
    <m/>
    <m/>
  </r>
  <r>
    <s v="RFOs"/>
    <x v="0"/>
    <s v="RFOII"/>
    <m/>
    <x v="1"/>
    <s v="NAGUILIAN"/>
    <s v="Isabela, 2nd District"/>
    <n v="23120000"/>
    <s v="4th"/>
    <s v="Cassava"/>
    <s v="Cassava"/>
    <s v="TECHNICAL AND SUPPORT SERVICES PROGRAM"/>
    <x v="0"/>
    <s v="Cassava_PSS"/>
    <s v="Planting material distributed"/>
    <s v="Planting material distributed"/>
    <s v="Cassava cutting distributed"/>
    <x v="14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iece"/>
    <x v="1"/>
    <x v="1"/>
    <s v="2ND SEMESTER"/>
    <x v="0"/>
    <n v="300000"/>
    <s v="YES"/>
    <n v="30"/>
    <n v="450"/>
    <n v="0"/>
    <m/>
    <m/>
    <m/>
    <n v="1"/>
    <n v="30"/>
    <m/>
    <m/>
    <m/>
    <m/>
    <m/>
    <m/>
    <m/>
    <m/>
    <m/>
    <m/>
    <m/>
    <m/>
    <m/>
    <m/>
    <m/>
    <m/>
    <m/>
    <m/>
    <m/>
  </r>
  <r>
    <s v="RFOs"/>
    <x v="0"/>
    <s v="RFOII"/>
    <m/>
    <x v="1"/>
    <s v="BENITO SOLIVEN"/>
    <s v="Isabela, 2nd District"/>
    <n v="23104000"/>
    <s v="4th"/>
    <s v="Cassava"/>
    <s v="Cassava"/>
    <s v="TECHNICAL AND SUPPORT SERVICES PROGRAM"/>
    <x v="0"/>
    <s v="Cassava_PSS"/>
    <s v="Planting material distributed"/>
    <s v="Planting material distributed"/>
    <s v="Cassava cutting distributed"/>
    <x v="14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iece"/>
    <x v="5"/>
    <x v="1"/>
    <s v="2ND SEMESTER"/>
    <x v="0"/>
    <n v="200000"/>
    <s v="YES"/>
    <n v="20"/>
    <n v="300"/>
    <n v="0"/>
    <m/>
    <m/>
    <m/>
    <n v="1"/>
    <n v="20"/>
    <m/>
    <m/>
    <m/>
    <m/>
    <m/>
    <m/>
    <m/>
    <m/>
    <m/>
    <m/>
    <m/>
    <m/>
    <m/>
    <m/>
    <m/>
    <m/>
    <m/>
    <m/>
    <m/>
  </r>
  <r>
    <s v="RFOs"/>
    <x v="0"/>
    <s v="RFOII"/>
    <m/>
    <x v="1"/>
    <s v="SAN MARIANO"/>
    <s v="Isabela, 2nd District"/>
    <n v="23131000"/>
    <s v="1st"/>
    <s v="Cassava"/>
    <s v="Cassava"/>
    <s v="TECHNICAL AND SUPPORT SERVICES PROGRAM"/>
    <x v="0"/>
    <s v="Cassava_PSS"/>
    <s v="Planting material distributed"/>
    <s v="Planting material distributed"/>
    <s v="Cassava cutting distributed"/>
    <x v="14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iece"/>
    <x v="5"/>
    <x v="1"/>
    <s v="2ND SEMESTER"/>
    <x v="0"/>
    <n v="500000"/>
    <s v="YES"/>
    <n v="50"/>
    <n v="750"/>
    <n v="0"/>
    <m/>
    <m/>
    <m/>
    <n v="1"/>
    <n v="50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CAUAYAN"/>
    <s v="Isabela, 6th District"/>
    <n v="23108000"/>
    <s v="3rd"/>
    <s v="Cassava"/>
    <s v="Cassava"/>
    <s v="TECHNICAL AND SUPPORT SERVICES PROGRAM"/>
    <x v="0"/>
    <s v="Cassava_PSS"/>
    <s v="Planting material distributed"/>
    <s v="Planting material distributed"/>
    <s v="Cassava cutting distributed"/>
    <x v="14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iece"/>
    <x v="6"/>
    <x v="1"/>
    <s v="2ND SEMESTER"/>
    <x v="0"/>
    <n v="500000"/>
    <s v="YES"/>
    <n v="50"/>
    <n v="750"/>
    <n v="0"/>
    <m/>
    <m/>
    <m/>
    <n v="1"/>
    <n v="50"/>
    <m/>
    <m/>
    <m/>
    <m/>
    <m/>
    <m/>
    <m/>
    <m/>
    <m/>
    <m/>
    <m/>
    <m/>
    <m/>
    <m/>
    <m/>
    <m/>
    <m/>
    <m/>
    <m/>
  </r>
  <r>
    <s v="RFOs"/>
    <x v="0"/>
    <s v="RFOII"/>
    <m/>
    <x v="1"/>
    <s v="ECHAGUE"/>
    <s v="Isabela, 6th District"/>
    <n v="23112000"/>
    <s v="1st"/>
    <s v="Cassava"/>
    <s v="Cassava"/>
    <s v="TECHNICAL AND SUPPORT SERVICES PROGRAM"/>
    <x v="0"/>
    <s v="Cassava_PSS"/>
    <s v="Planting material distributed"/>
    <s v="Planting material distributed"/>
    <s v="Cassava cutting distributed"/>
    <x v="14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iece"/>
    <x v="2"/>
    <x v="2"/>
    <s v="2ND SEMESTER"/>
    <x v="0"/>
    <n v="500000"/>
    <s v="YES"/>
    <n v="50"/>
    <n v="750"/>
    <n v="0"/>
    <m/>
    <m/>
    <m/>
    <n v="1"/>
    <n v="50"/>
    <m/>
    <m/>
    <m/>
    <m/>
    <m/>
    <m/>
    <m/>
    <m/>
    <m/>
    <m/>
    <m/>
    <m/>
    <m/>
    <m/>
    <m/>
    <m/>
    <m/>
    <m/>
    <m/>
  </r>
  <r>
    <s v="RFOs"/>
    <x v="0"/>
    <s v="RFOII"/>
    <m/>
    <x v="1"/>
    <s v="JONES"/>
    <s v="Isabela, 4th District"/>
    <n v="23115000"/>
    <s v="1st"/>
    <s v="Cassava"/>
    <s v="Cassava"/>
    <s v="TECHNICAL AND SUPPORT SERVICES PROGRAM"/>
    <x v="0"/>
    <s v="Cassava_PSS"/>
    <s v="Planting material distributed"/>
    <s v="Planting material distributed"/>
    <s v="Cassava cutting distributed"/>
    <x v="14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iece"/>
    <x v="6"/>
    <x v="1"/>
    <s v="2ND SEMESTER"/>
    <x v="0"/>
    <n v="450000"/>
    <s v="YES"/>
    <n v="45"/>
    <n v="675"/>
    <n v="0"/>
    <m/>
    <m/>
    <m/>
    <n v="1"/>
    <n v="45"/>
    <m/>
    <m/>
    <m/>
    <m/>
    <m/>
    <m/>
    <m/>
    <m/>
    <m/>
    <m/>
    <m/>
    <m/>
    <m/>
    <m/>
    <m/>
    <m/>
    <m/>
    <m/>
    <m/>
  </r>
  <r>
    <s v="RFOs"/>
    <x v="0"/>
    <s v="RFOII"/>
    <m/>
    <x v="2"/>
    <s v="BAGABAG"/>
    <s v="Nueva Vizcaya, Lone District"/>
    <n v="25003000"/>
    <s v="2nd"/>
    <s v="Cassava"/>
    <s v="Cassava"/>
    <s v="TECHNICAL AND SUPPORT SERVICES PROGRAM"/>
    <x v="0"/>
    <s v="Cassava_PSS"/>
    <s v="Planting material distributed"/>
    <s v="Planting material distributed"/>
    <s v="Cassava cutting distributed"/>
    <x v="14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iece"/>
    <x v="6"/>
    <x v="1"/>
    <s v="2ND SEMESTER"/>
    <x v="0"/>
    <n v="100000"/>
    <s v="YES"/>
    <n v="10"/>
    <n v="150"/>
    <n v="0"/>
    <m/>
    <m/>
    <m/>
    <n v="1"/>
    <n v="10"/>
    <m/>
    <m/>
    <m/>
    <m/>
    <m/>
    <m/>
    <m/>
    <m/>
    <m/>
    <m/>
    <m/>
    <m/>
    <m/>
    <m/>
    <m/>
    <m/>
    <m/>
    <m/>
    <m/>
  </r>
  <r>
    <s v="RFOs"/>
    <x v="0"/>
    <s v="RFOII"/>
    <m/>
    <x v="3"/>
    <s v="AGLIPAY"/>
    <s v="Quirino, 1st District"/>
    <n v="25701000"/>
    <s v="3rd"/>
    <s v="Cassava"/>
    <s v="Cassava"/>
    <s v="TECHNICAL AND SUPPORT SERVICES PROGRAM"/>
    <x v="0"/>
    <s v="Cassava_PSS"/>
    <s v="Planting material distributed"/>
    <s v="Planting material distributed"/>
    <s v="Cassava cutting distributed"/>
    <x v="14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iece"/>
    <x v="6"/>
    <x v="1"/>
    <s v="2ND SEMESTER"/>
    <x v="0"/>
    <n v="490000"/>
    <s v="YES"/>
    <n v="49"/>
    <n v="735"/>
    <n v="0"/>
    <m/>
    <m/>
    <m/>
    <n v="1"/>
    <n v="49"/>
    <m/>
    <m/>
    <m/>
    <m/>
    <m/>
    <m/>
    <m/>
    <m/>
    <m/>
    <m/>
    <m/>
    <m/>
    <m/>
    <m/>
    <m/>
    <m/>
    <m/>
    <m/>
    <m/>
  </r>
  <r>
    <s v="RFOs"/>
    <x v="0"/>
    <s v="RFOII"/>
    <m/>
    <x v="3"/>
    <s v="CABARROGUIS (Capital)"/>
    <s v="Quirino, 1st District"/>
    <n v="25702000"/>
    <s v="3rd"/>
    <s v="Cassava"/>
    <s v="Cassava"/>
    <s v="TECHNICAL AND SUPPORT SERVICES PROGRAM"/>
    <x v="0"/>
    <s v="Cassava_PSS"/>
    <s v="Planting material distributed"/>
    <s v="Planting material distributed"/>
    <s v="Cassava cutting distributed"/>
    <x v="14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piece"/>
    <x v="6"/>
    <x v="1"/>
    <s v="2ND SEMESTER"/>
    <x v="0"/>
    <n v="490000"/>
    <s v="YES"/>
    <n v="49"/>
    <n v="735"/>
    <n v="0"/>
    <m/>
    <m/>
    <m/>
    <n v="1"/>
    <n v="49"/>
    <m/>
    <m/>
    <m/>
    <m/>
    <m/>
    <m/>
    <m/>
    <m/>
    <m/>
    <m/>
    <m/>
    <m/>
    <m/>
    <m/>
    <m/>
    <m/>
    <m/>
    <m/>
    <m/>
  </r>
  <r>
    <s v="RFOs"/>
    <x v="0"/>
    <s v="RFOII"/>
    <m/>
    <x v="0"/>
    <s v="APARRI"/>
    <s v="Cagayan, 1st District"/>
    <n v="21505000"/>
    <s v="1st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00"/>
    <s v="YES"/>
    <n v="2"/>
    <n v="9"/>
    <n v="0"/>
    <m/>
    <m/>
    <m/>
    <n v="1"/>
    <n v="14"/>
    <m/>
    <m/>
    <m/>
    <m/>
    <m/>
    <m/>
    <m/>
    <m/>
    <m/>
    <m/>
    <m/>
    <m/>
    <m/>
    <m/>
    <m/>
    <m/>
    <m/>
    <m/>
    <m/>
  </r>
  <r>
    <s v="RFOs"/>
    <x v="0"/>
    <s v="RFOII"/>
    <m/>
    <x v="0"/>
    <s v="APARRI"/>
    <s v="Cagayan, 1st District"/>
    <n v="21505000"/>
    <s v="1st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6"/>
    <x v="1"/>
    <s v="2ND SEMESTER"/>
    <x v="0"/>
    <n v="1200"/>
    <s v="YES"/>
    <n v="12"/>
    <n v="54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0"/>
    <s v="BUGUEY"/>
    <s v="Cagayan, 1st District"/>
    <n v="21508000"/>
    <s v="3rd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450"/>
    <s v="YES"/>
    <n v="4.5"/>
    <n v="20.25"/>
    <n v="0"/>
    <m/>
    <m/>
    <m/>
    <n v="1"/>
    <n v="17"/>
    <m/>
    <m/>
    <m/>
    <m/>
    <m/>
    <m/>
    <m/>
    <m/>
    <m/>
    <m/>
    <m/>
    <m/>
    <m/>
    <m/>
    <m/>
    <m/>
    <m/>
    <m/>
    <m/>
  </r>
  <r>
    <s v="RFOs"/>
    <x v="0"/>
    <s v="RFOII"/>
    <m/>
    <x v="0"/>
    <s v="BUGUEY"/>
    <s v="Cagayan, 1st District"/>
    <n v="21508000"/>
    <s v="3rd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6"/>
    <x v="1"/>
    <s v="2ND SEMESTER"/>
    <x v="0"/>
    <n v="1200"/>
    <s v="YES"/>
    <n v="12"/>
    <n v="54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0"/>
    <s v="PAMPLONA"/>
    <s v="Cagayan, 2nd District"/>
    <n v="21518000"/>
    <s v="4th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6"/>
    <x v="1"/>
    <s v="2ND SEMESTER"/>
    <x v="0"/>
    <n v="650"/>
    <s v="YES"/>
    <n v="6.5"/>
    <n v="29.25"/>
    <n v="0"/>
    <m/>
    <m/>
    <m/>
    <n v="1"/>
    <n v="6.5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ILAGAN (Capital)"/>
    <s v="Isabela, 1st District"/>
    <n v="23114000"/>
    <s v="1st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0"/>
    <x v="0"/>
    <s v="1ST SEMESTER"/>
    <x v="0"/>
    <n v="1600"/>
    <s v="YES"/>
    <n v="16"/>
    <n v="72"/>
    <n v="0"/>
    <m/>
    <m/>
    <m/>
    <n v="1"/>
    <n v="66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ILAGAN (Capital)"/>
    <s v="Isabela, 1st District"/>
    <n v="23114000"/>
    <s v="1st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1"/>
    <x v="1"/>
    <s v="2ND SEMESTER"/>
    <x v="0"/>
    <n v="5000"/>
    <s v="YES"/>
    <n v="50"/>
    <n v="225"/>
    <n v="0"/>
    <m/>
    <m/>
    <m/>
    <n v="1"/>
    <n v="50"/>
    <m/>
    <m/>
    <m/>
    <m/>
    <m/>
    <m/>
    <m/>
    <m/>
    <m/>
    <m/>
    <m/>
    <m/>
    <m/>
    <m/>
    <m/>
    <m/>
    <m/>
    <m/>
    <m/>
  </r>
  <r>
    <s v="RFOs"/>
    <x v="0"/>
    <s v="RFOII"/>
    <m/>
    <x v="1"/>
    <s v="TUMAUINI"/>
    <s v="Isabela, 1st District"/>
    <n v="23137000"/>
    <s v="1st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0"/>
    <x v="0"/>
    <s v="1ST SEMESTER"/>
    <x v="0"/>
    <n v="4800"/>
    <s v="YES"/>
    <n v="48"/>
    <n v="216"/>
    <n v="0"/>
    <m/>
    <m/>
    <m/>
    <n v="1"/>
    <n v="48"/>
    <m/>
    <m/>
    <m/>
    <m/>
    <m/>
    <m/>
    <m/>
    <m/>
    <m/>
    <m/>
    <m/>
    <m/>
    <m/>
    <m/>
    <m/>
    <m/>
    <m/>
    <m/>
    <m/>
  </r>
  <r>
    <s v="RFOs"/>
    <x v="0"/>
    <s v="RFOII"/>
    <m/>
    <x v="1"/>
    <s v="DELFIN ALBANO (MAGSAYSAY)"/>
    <s v="Isabela, 1st District"/>
    <n v="23118000"/>
    <s v="4th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0"/>
    <x v="0"/>
    <s v="1ST SEMESTER"/>
    <x v="0"/>
    <n v="2500"/>
    <s v="YES"/>
    <n v="25"/>
    <n v="112.5"/>
    <n v="0"/>
    <m/>
    <m/>
    <m/>
    <n v="1"/>
    <n v="25"/>
    <m/>
    <m/>
    <m/>
    <m/>
    <m/>
    <m/>
    <m/>
    <m/>
    <m/>
    <m/>
    <m/>
    <m/>
    <m/>
    <m/>
    <m/>
    <m/>
    <m/>
    <m/>
    <m/>
  </r>
  <r>
    <s v="RFOs"/>
    <x v="0"/>
    <s v="RFOII"/>
    <m/>
    <x v="1"/>
    <s v="NAGUILIAN"/>
    <s v="Isabela, 2nd District"/>
    <n v="23120000"/>
    <s v="4th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1"/>
    <x v="1"/>
    <s v="2ND SEMESTER"/>
    <x v="0"/>
    <n v="3000"/>
    <s v="YES"/>
    <n v="30"/>
    <n v="135"/>
    <n v="0"/>
    <m/>
    <m/>
    <m/>
    <n v="1"/>
    <n v="30"/>
    <m/>
    <m/>
    <m/>
    <m/>
    <m/>
    <m/>
    <m/>
    <m/>
    <m/>
    <m/>
    <m/>
    <m/>
    <m/>
    <m/>
    <m/>
    <m/>
    <m/>
    <m/>
    <m/>
  </r>
  <r>
    <s v="RFOs"/>
    <x v="0"/>
    <s v="RFOII"/>
    <m/>
    <x v="1"/>
    <s v="BENITO SOLIVEN"/>
    <s v="Isabela, 2nd District"/>
    <n v="23104000"/>
    <s v="4th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2000"/>
    <s v="YES"/>
    <n v="20"/>
    <n v="90"/>
    <n v="0"/>
    <m/>
    <m/>
    <m/>
    <n v="1"/>
    <n v="20"/>
    <m/>
    <m/>
    <m/>
    <m/>
    <m/>
    <m/>
    <m/>
    <m/>
    <m/>
    <m/>
    <m/>
    <m/>
    <m/>
    <m/>
    <m/>
    <m/>
    <m/>
    <m/>
    <m/>
  </r>
  <r>
    <s v="RFOs"/>
    <x v="0"/>
    <s v="RFOII"/>
    <m/>
    <x v="1"/>
    <s v="SAN MARIANO"/>
    <s v="Isabela, 2nd District"/>
    <n v="23131000"/>
    <s v="1st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0"/>
    <x v="0"/>
    <s v="1ST SEMESTER"/>
    <x v="0"/>
    <n v="1000"/>
    <s v="YES"/>
    <n v="10"/>
    <n v="45"/>
    <n v="0"/>
    <m/>
    <m/>
    <m/>
    <n v="1"/>
    <n v="10"/>
    <m/>
    <m/>
    <m/>
    <m/>
    <m/>
    <m/>
    <m/>
    <m/>
    <m/>
    <m/>
    <m/>
    <m/>
    <m/>
    <m/>
    <m/>
    <m/>
    <m/>
    <m/>
    <m/>
  </r>
  <r>
    <s v="RFOs"/>
    <x v="0"/>
    <s v="RFOII"/>
    <m/>
    <x v="1"/>
    <s v="SAN MARIANO"/>
    <s v="Isabela, 2nd District"/>
    <n v="23131000"/>
    <s v="1st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5000"/>
    <s v="YES"/>
    <n v="50"/>
    <n v="225"/>
    <n v="0"/>
    <m/>
    <m/>
    <m/>
    <n v="1"/>
    <n v="50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CAUAYAN"/>
    <s v="Isabela, 6th District"/>
    <n v="23108000"/>
    <s v="3rd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6"/>
    <x v="1"/>
    <s v="2ND SEMESTER"/>
    <x v="0"/>
    <n v="5000"/>
    <s v="YES"/>
    <n v="50"/>
    <n v="225"/>
    <n v="0"/>
    <m/>
    <m/>
    <m/>
    <n v="1"/>
    <n v="50"/>
    <m/>
    <m/>
    <m/>
    <m/>
    <m/>
    <m/>
    <m/>
    <m/>
    <m/>
    <m/>
    <m/>
    <m/>
    <m/>
    <m/>
    <m/>
    <m/>
    <m/>
    <m/>
    <m/>
  </r>
  <r>
    <s v="RFOs"/>
    <x v="0"/>
    <s v="RFOII"/>
    <m/>
    <x v="1"/>
    <s v="ECHAGUE"/>
    <s v="Isabela, 6th District"/>
    <n v="23112000"/>
    <s v="1st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1"/>
    <x v="1"/>
    <s v="2ND SEMESTER"/>
    <x v="0"/>
    <n v="2000"/>
    <s v="YES"/>
    <n v="20"/>
    <n v="90"/>
    <n v="0"/>
    <m/>
    <m/>
    <m/>
    <n v="1"/>
    <n v="20"/>
    <m/>
    <m/>
    <m/>
    <m/>
    <m/>
    <m/>
    <m/>
    <m/>
    <m/>
    <m/>
    <m/>
    <m/>
    <m/>
    <m/>
    <m/>
    <m/>
    <m/>
    <m/>
    <m/>
  </r>
  <r>
    <s v="RFOs"/>
    <x v="0"/>
    <s v="RFOII"/>
    <m/>
    <x v="1"/>
    <s v="ECHAGUE"/>
    <s v="Isabela, 6th District"/>
    <n v="23112000"/>
    <s v="1st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2"/>
    <x v="2"/>
    <s v="2ND SEMESTER"/>
    <x v="0"/>
    <n v="5000"/>
    <s v="YES"/>
    <n v="50"/>
    <n v="225"/>
    <n v="0"/>
    <m/>
    <m/>
    <m/>
    <n v="1"/>
    <n v="50"/>
    <m/>
    <m/>
    <m/>
    <m/>
    <m/>
    <m/>
    <m/>
    <m/>
    <m/>
    <m/>
    <m/>
    <m/>
    <m/>
    <m/>
    <m/>
    <m/>
    <m/>
    <m/>
    <m/>
  </r>
  <r>
    <s v="RFOs"/>
    <x v="0"/>
    <s v="RFOII"/>
    <m/>
    <x v="1"/>
    <s v="JONES"/>
    <s v="Isabela, 4th District"/>
    <n v="23115000"/>
    <s v="1st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6"/>
    <x v="1"/>
    <s v="2ND SEMESTER"/>
    <x v="0"/>
    <n v="4500"/>
    <s v="YES"/>
    <n v="45"/>
    <n v="202.5"/>
    <n v="0"/>
    <m/>
    <m/>
    <m/>
    <n v="1"/>
    <n v="45"/>
    <m/>
    <m/>
    <m/>
    <m/>
    <m/>
    <m/>
    <m/>
    <m/>
    <m/>
    <m/>
    <m/>
    <m/>
    <m/>
    <m/>
    <m/>
    <m/>
    <m/>
    <m/>
    <m/>
  </r>
  <r>
    <s v="RFOs"/>
    <x v="0"/>
    <s v="RFOII"/>
    <m/>
    <x v="2"/>
    <s v="BAGABAG"/>
    <s v="Nueva Vizcaya, Lone District"/>
    <n v="25003000"/>
    <s v="2nd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6"/>
    <x v="1"/>
    <s v="2ND SEMESTER"/>
    <x v="0"/>
    <n v="1000"/>
    <s v="YES"/>
    <n v="10"/>
    <n v="45"/>
    <n v="0"/>
    <m/>
    <m/>
    <m/>
    <n v="1"/>
    <n v="10"/>
    <m/>
    <m/>
    <m/>
    <m/>
    <m/>
    <m/>
    <m/>
    <m/>
    <m/>
    <m/>
    <m/>
    <m/>
    <m/>
    <m/>
    <m/>
    <m/>
    <m/>
    <m/>
    <m/>
  </r>
  <r>
    <s v="RFOs"/>
    <x v="0"/>
    <s v="RFOII"/>
    <m/>
    <x v="2"/>
    <s v="QUEZON"/>
    <s v="Nueva Vizcaya, Lone District"/>
    <n v="25011000"/>
    <s v="4th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3"/>
    <x v="2"/>
    <s v="2ND SEMESTER"/>
    <x v="0"/>
    <n v="1950"/>
    <s v="YES"/>
    <n v="19.5"/>
    <n v="87.75"/>
    <n v="0"/>
    <m/>
    <m/>
    <m/>
    <n v="1"/>
    <n v="20"/>
    <m/>
    <m/>
    <m/>
    <m/>
    <m/>
    <m/>
    <m/>
    <m/>
    <m/>
    <m/>
    <m/>
    <m/>
    <m/>
    <m/>
    <m/>
    <m/>
    <m/>
    <m/>
    <m/>
  </r>
  <r>
    <s v="RFOs"/>
    <x v="0"/>
    <s v="RFOII"/>
    <m/>
    <x v="3"/>
    <s v="AGLIPAY"/>
    <s v="Quirino, 1st District"/>
    <n v="25701000"/>
    <s v="3rd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6"/>
    <x v="1"/>
    <s v="2ND SEMESTER"/>
    <x v="0"/>
    <n v="4900"/>
    <s v="YES"/>
    <n v="49"/>
    <n v="220.5"/>
    <n v="0"/>
    <m/>
    <m/>
    <m/>
    <n v="1"/>
    <n v="49"/>
    <m/>
    <m/>
    <m/>
    <m/>
    <m/>
    <m/>
    <m/>
    <m/>
    <m/>
    <m/>
    <m/>
    <m/>
    <m/>
    <m/>
    <m/>
    <m/>
    <m/>
    <m/>
    <m/>
  </r>
  <r>
    <s v="RFOs"/>
    <x v="0"/>
    <s v="RFOII"/>
    <m/>
    <x v="3"/>
    <s v="CABARROGUIS (Capital)"/>
    <s v="Quirino, 1st District"/>
    <n v="25702000"/>
    <s v="3rd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6"/>
    <x v="1"/>
    <s v="2ND SEMESTER"/>
    <x v="0"/>
    <n v="4900"/>
    <s v="YES"/>
    <n v="49"/>
    <n v="220.5"/>
    <n v="0"/>
    <m/>
    <m/>
    <m/>
    <n v="1"/>
    <n v="49"/>
    <m/>
    <m/>
    <m/>
    <m/>
    <m/>
    <m/>
    <m/>
    <m/>
    <m/>
    <m/>
    <m/>
    <m/>
    <m/>
    <m/>
    <m/>
    <m/>
    <m/>
    <m/>
    <m/>
  </r>
  <r>
    <s v="RFOs"/>
    <x v="0"/>
    <s v="RFOII"/>
    <m/>
    <x v="3"/>
    <s v="MADDELA"/>
    <s v="Quirino, 1st District"/>
    <n v="25704000"/>
    <s v="1st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5"/>
    <x v="1"/>
    <s v="2ND SEMESTER"/>
    <x v="0"/>
    <n v="1950"/>
    <s v="YES"/>
    <n v="19.5"/>
    <n v="87.75"/>
    <n v="0"/>
    <m/>
    <m/>
    <m/>
    <n v="1"/>
    <n v="2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Cassava"/>
    <s v="Cassava"/>
    <s v="TECHNICAL AND SUPPORT SERVICES PROGRAM"/>
    <x v="0"/>
    <s v="Cassava_PSS"/>
    <s v="Agri-chemicals reserved"/>
    <s v="Agri-chemicals reserved"/>
    <s v="Agri-chemicals reserved (pc)"/>
    <x v="16"/>
    <x v="5"/>
    <s v="Agricultural Chemicals"/>
    <s v="Streptomycin"/>
    <s v="NO"/>
    <s v="PAP"/>
    <s v="PIP"/>
    <s v="PICS"/>
    <s v="Modernization"/>
    <s v="9. Climate Change Adaptation &amp; Mitigation Measures"/>
    <s v="EXPAND AND IMPROVE AVAILABLE AGRI-FISHERY AREAS FOR INCREASED PRODUCTION"/>
    <s v="Agrichemicals"/>
    <s v="DA-Level Output"/>
    <s v="NO"/>
    <s v="pack"/>
    <x v="4"/>
    <x v="0"/>
    <s v="1ST SEMESTER"/>
    <x v="0"/>
    <n v="10000"/>
    <s v="YES"/>
    <n v="1000"/>
    <n v="400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TUMAUINI"/>
    <s v="Isabela, 1st District"/>
    <n v="23137000"/>
    <s v="1st"/>
    <s v="Sorghum"/>
    <s v="Sorghum"/>
    <s v="TECHNICAL AND SUPPORT SERVICES PROGRAM"/>
    <x v="0"/>
    <s v="Sorghum_PSS"/>
    <s v="Seeds distributed"/>
    <s v="Other Seeds distributed"/>
    <s v="Sorghum Seeds distributed"/>
    <x v="17"/>
    <x v="7"/>
    <s v="Sorghum Seed Assistance"/>
    <s v="Sorghum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3"/>
    <x v="2"/>
    <s v="2ND SEMESTER"/>
    <x v="0"/>
    <n v="20000"/>
    <s v="YES"/>
    <n v="1000"/>
    <n v="1750"/>
    <n v="0"/>
    <m/>
    <m/>
    <m/>
    <n v="1"/>
    <n v="1000"/>
    <m/>
    <m/>
    <m/>
    <m/>
    <m/>
    <m/>
    <m/>
    <m/>
    <m/>
    <m/>
    <m/>
    <m/>
    <m/>
    <m/>
    <m/>
    <m/>
    <m/>
    <m/>
    <m/>
  </r>
  <r>
    <s v="RFOs"/>
    <x v="0"/>
    <s v="RFOII"/>
    <m/>
    <x v="1"/>
    <s v="TUMAUINI"/>
    <s v="Isabela, 1st District"/>
    <n v="23137000"/>
    <s v="1st"/>
    <s v="Sorghum"/>
    <s v="Sorghum"/>
    <s v="TECHNICAL AND SUPPORT SERVICES PROGRAM"/>
    <x v="0"/>
    <s v="Sorghum_PSS"/>
    <s v="Fertilizers and other soil ammendment distributed"/>
    <s v="Fertilizers distributed"/>
    <s v="Inorganic fertilizer distributed"/>
    <x v="18"/>
    <x v="7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3"/>
    <x v="2"/>
    <s v="2ND SEMESTER"/>
    <x v="0"/>
    <n v="100000"/>
    <s v="YES"/>
    <n v="1000"/>
    <n v="4500"/>
    <n v="0"/>
    <m/>
    <m/>
    <m/>
    <n v="1"/>
    <n v="1000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CAUAYAN"/>
    <s v="Isabela, 6th District"/>
    <n v="23108000"/>
    <s v="3rd"/>
    <s v="Soybean"/>
    <s v="Soybean"/>
    <s v="TECHNICAL AND SUPPORT SERVICES PROGRAM"/>
    <x v="0"/>
    <s v="Soybean_PSS"/>
    <s v="Seeds distributed"/>
    <s v="Vegetable Seeds distributed"/>
    <s v="Soybean Seeds distributed"/>
    <x v="19"/>
    <x v="8"/>
    <s v="Soybean Seed Assistance"/>
    <s v="Soybea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7"/>
    <x v="3"/>
    <s v="1ST SEMESTER"/>
    <x v="0"/>
    <n v="1000"/>
    <s v="YES"/>
    <n v="25"/>
    <n v="50"/>
    <n v="0"/>
    <m/>
    <m/>
    <m/>
    <n v="1"/>
    <n v="25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CAUAYAN"/>
    <s v="Isabela, 6th District"/>
    <n v="23108000"/>
    <s v="3rd"/>
    <s v="Soybean"/>
    <s v="Soybean"/>
    <s v="TECHNICAL AND SUPPORT SERVICES PROGRAM"/>
    <x v="0"/>
    <s v="Soybean_PSS"/>
    <s v="Fertilizers and other soil ammendment distributed"/>
    <s v="Fertilizers distributed"/>
    <s v="Inorganic fertilizer distributed"/>
    <x v="20"/>
    <x v="8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kilogram"/>
    <x v="7"/>
    <x v="3"/>
    <s v="1ST SEMESTER"/>
    <x v="0"/>
    <n v="2500"/>
    <s v="YES"/>
    <n v="25"/>
    <n v="113"/>
    <n v="0"/>
    <m/>
    <m/>
    <m/>
    <n v="1"/>
    <n v="25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TECHNICAL AND SUPPORT SERVICES PROGRAM"/>
    <x v="0"/>
    <s v="Multicommodity_PSS"/>
    <s v="Farm machinery and equipment procured for stations"/>
    <s v="Farm machinery and equipment procured for stations"/>
    <s v="Production machinery and equipment procured for stations"/>
    <x v="21"/>
    <x v="9"/>
    <s v="Support to DA Stations"/>
    <s v="Machinery &amp; Equipment for DA Stations"/>
    <s v="NO"/>
    <s v="PAP"/>
    <s v="PIP"/>
    <s v="PICS"/>
    <s v="Modernization"/>
    <s v="8. Farm Mechanization and Farm Investments"/>
    <n v="0"/>
    <s v="DA Station"/>
    <s v="DA-Level Output"/>
    <s v="NO"/>
    <s v="number"/>
    <x v="1"/>
    <x v="1"/>
    <s v="2ND SEMESTER"/>
    <x v="0"/>
    <n v="4"/>
    <s v="NO"/>
    <m/>
    <n v="120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TECHNICAL AND SUPPORT SERVICES PROGRAM"/>
    <x v="0"/>
    <s v="Multicommodity_PSS"/>
    <s v="Farm machinery and equipment procured for stations"/>
    <s v="Farm machinery and equipment procured for stations"/>
    <s v="Postharvest machinery and equipment procured for stations"/>
    <x v="22"/>
    <x v="9"/>
    <s v="Support to DA Stations"/>
    <s v="Machinery &amp; Equipment for DA Stations"/>
    <s v="NO"/>
    <s v="PAP"/>
    <s v="PIP"/>
    <s v="PICS"/>
    <s v="Modernization"/>
    <s v="8. Farm Mechanization and Farm Investments"/>
    <n v="0"/>
    <s v="DA Station"/>
    <s v="DA-Level Output"/>
    <s v="NO"/>
    <s v="number"/>
    <x v="1"/>
    <x v="1"/>
    <s v="2ND SEMESTER"/>
    <x v="0"/>
    <n v="4"/>
    <s v="NO"/>
    <m/>
    <n v="24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TECHNICAL AND SUPPORT SERVICES PROGRAM"/>
    <x v="0"/>
    <s v="Multicommodity_PSS"/>
    <s v="Farm machinery and equipment procured for stations"/>
    <s v="Farm machinery and equipment procured for stations"/>
    <s v="Postharvest machinery and equipment procured for stations"/>
    <x v="23"/>
    <x v="9"/>
    <s v="Support to DA Stations"/>
    <s v="Machinery &amp; Equipment for DA Stations"/>
    <s v="NO"/>
    <s v="PAP"/>
    <s v="PIP"/>
    <s v="PICS"/>
    <s v="Modernization"/>
    <s v="8. Farm Mechanization and Farm Investments"/>
    <n v="0"/>
    <s v="DA Station"/>
    <s v="DA-Level Output"/>
    <s v="NO"/>
    <s v="number"/>
    <x v="1"/>
    <x v="1"/>
    <s v="2ND SEMESTER"/>
    <x v="0"/>
    <n v="4"/>
    <s v="NO"/>
    <m/>
    <n v="120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TECHNICAL AND SUPPORT SERVICES PROGRAM"/>
    <x v="0"/>
    <s v="Multicommodity_PSS"/>
    <s v="Farm machinery and equipment procured for stations"/>
    <s v="Farm machinery and equipment procured for stations"/>
    <s v="Postharvest machinery and equipment procured for stations"/>
    <x v="24"/>
    <x v="9"/>
    <s v="Support to DA Stations"/>
    <s v="Machinery &amp; Equipment for DA Stations"/>
    <s v="NO"/>
    <s v="PAP"/>
    <s v="PIP"/>
    <s v="PICS"/>
    <s v="Modernization"/>
    <s v="8. Farm Mechanization and Farm Investments"/>
    <n v="0"/>
    <s v="DA Station"/>
    <s v="DA-Level Output"/>
    <s v="NO"/>
    <s v="number"/>
    <x v="1"/>
    <x v="1"/>
    <s v="2ND SEMESTER"/>
    <x v="0"/>
    <n v="4"/>
    <s v="NO"/>
    <m/>
    <n v="30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TECHNICAL AND SUPPORT SERVICES PROGRAM"/>
    <x v="0"/>
    <s v="Multicommodity_PSS"/>
    <s v="Farm machinery and equipment procured for stations"/>
    <s v="Farm machinery and equipment procured for stations"/>
    <s v="Postharvest machinery and equipment procured for stations"/>
    <x v="25"/>
    <x v="9"/>
    <s v="Support to DA Stations"/>
    <s v="Machinery &amp; Equipment for DA Stations"/>
    <s v="NO"/>
    <s v="PAP"/>
    <s v="PIP"/>
    <s v="PICS"/>
    <s v="Modernization"/>
    <s v="8. Farm Mechanization and Farm Investments"/>
    <n v="0"/>
    <s v="DA Station"/>
    <s v="DA-Level Output"/>
    <s v="NO"/>
    <s v="number"/>
    <x v="5"/>
    <x v="1"/>
    <s v="2ND SEMESTER"/>
    <x v="0"/>
    <n v="1"/>
    <s v="NO"/>
    <m/>
    <n v="210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TECHNICAL AND SUPPORT SERVICES PROGRAM"/>
    <x v="0"/>
    <s v="Multicommodity_PSS"/>
    <s v="Farm machinery and equipment procured for stations"/>
    <s v="Farm machinery and equipment procured for stations"/>
    <s v="Production machinery and equipment procured for stations"/>
    <x v="26"/>
    <x v="9"/>
    <s v="Support to DA Stations"/>
    <s v="Machinery &amp; Equipment for DA Stations"/>
    <s v="NO"/>
    <s v="PAP"/>
    <s v="PIP"/>
    <s v="PICS"/>
    <s v="Modernization"/>
    <s v="8. Farm Mechanization and Farm Investments"/>
    <n v="0"/>
    <s v="DA Station"/>
    <s v="DA-Level Output"/>
    <s v="NO"/>
    <s v="number"/>
    <x v="2"/>
    <x v="2"/>
    <s v="2ND SEMESTER"/>
    <x v="0"/>
    <n v="1"/>
    <s v="NO"/>
    <m/>
    <n v="310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3"/>
    <s v="NAGTIPUNAN"/>
    <s v="Quirino, 1st District"/>
    <n v="25706000"/>
    <s v="1st"/>
    <s v="Yellow Corn"/>
    <s v="Corn"/>
    <s v="TECHNICAL AND SUPPORT SERVICES PROGRAM"/>
    <x v="1"/>
    <s v="Corn_ESETS"/>
    <s v="Technology demonstrations established/maintained"/>
    <s v="Model Farms established"/>
    <s v="Model Farms established"/>
    <x v="27"/>
    <x v="10"/>
    <s v="Model farm"/>
    <s v="Sustainable Land Resources Management Approach Site Establishment"/>
    <s v="YES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number"/>
    <x v="0"/>
    <x v="0"/>
    <s v="1ST SEMESTER"/>
    <x v="0"/>
    <n v="1"/>
    <s v="YES"/>
    <n v="100"/>
    <n v="300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Technology demonstrations established/maintained"/>
    <s v="Techno demo established"/>
    <s v="Techno demo established"/>
    <x v="28"/>
    <x v="11"/>
    <s v="Techno Demo"/>
    <s v="Corn Derby"/>
    <s v="NO"/>
    <s v="PAP"/>
    <s v="PIP"/>
    <s v="PICS"/>
    <s v="Consolidation"/>
    <s v="1. Bayanihan Agri Cluster"/>
    <s v="EXPAND AND IMPROVE AVAILABLE AGRI-FISHERY AREAS FOR INCREASED PRODUCTION"/>
    <s v="Other Intervetions"/>
    <s v="DA-Level Output"/>
    <s v="NO"/>
    <s v="number"/>
    <x v="0"/>
    <x v="0"/>
    <s v="1ST SEMESTER"/>
    <x v="0"/>
    <n v="1"/>
    <s v="NO"/>
    <n v="5"/>
    <n v="100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Extension support activities conducted"/>
    <s v="Extension support activities conducted"/>
    <s v="Other extension support activities conducted"/>
    <x v="29"/>
    <x v="12"/>
    <s v="Special Events"/>
    <s v="Corn and Cassava Congress"/>
    <s v="NO"/>
    <s v="PAP"/>
    <s v="PIP"/>
    <s v="PICS"/>
    <s v="Strategic Communication"/>
    <s v="18. Strategic Communications​"/>
    <s v="STRONG PARTNERSHIP WITH THE FARMERS, FISHERFOLK, PRIVATE SECTOR, AND OTHER STAKEHOLDERS"/>
    <s v="Other Intervetions"/>
    <s v="DA-Level Output"/>
    <s v="NO"/>
    <s v="number"/>
    <x v="2"/>
    <x v="2"/>
    <s v="2ND SEMESTER"/>
    <x v="0"/>
    <m/>
    <s v="NO"/>
    <m/>
    <n v="60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0"/>
    <x v="13"/>
    <s v="Trainings"/>
    <s v="Cluster Development training"/>
    <s v="NO"/>
    <s v="PAP"/>
    <s v="PIP"/>
    <s v="PICS"/>
    <s v="Consolidation"/>
    <s v="1. Bayanihan Agri Cluster"/>
    <n v="0"/>
    <s v="Capacity Building"/>
    <s v="PREXC/DA-Level Output"/>
    <s v="NO"/>
    <s v="number"/>
    <x v="8"/>
    <x v="3"/>
    <s v="1ST SEMESTER"/>
    <x v="0"/>
    <n v="1"/>
    <s v="NO"/>
    <m/>
    <n v="35"/>
    <n v="30"/>
    <m/>
    <n v="24"/>
    <n v="6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0"/>
    <x v="14"/>
    <m/>
    <m/>
    <m/>
    <m/>
    <m/>
    <m/>
    <m/>
    <m/>
    <m/>
    <m/>
    <m/>
    <s v="NO"/>
    <s v="number"/>
    <x v="9"/>
    <x v="0"/>
    <s v="1ST SEMESTER"/>
    <x v="0"/>
    <n v="1"/>
    <s v="NO"/>
    <m/>
    <n v="35"/>
    <n v="30"/>
    <m/>
    <n v="24"/>
    <n v="6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0"/>
    <x v="14"/>
    <m/>
    <m/>
    <m/>
    <m/>
    <m/>
    <m/>
    <m/>
    <m/>
    <m/>
    <m/>
    <m/>
    <s v="NO"/>
    <s v="number"/>
    <x v="4"/>
    <x v="0"/>
    <s v="1ST SEMESTER"/>
    <x v="0"/>
    <n v="1"/>
    <s v="NO"/>
    <m/>
    <n v="35"/>
    <n v="30"/>
    <m/>
    <n v="24"/>
    <n v="6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0"/>
    <x v="13"/>
    <s v="Trainings"/>
    <s v="Cluster Development training"/>
    <s v="NO"/>
    <s v="PAP"/>
    <s v="PIP"/>
    <s v="PICS"/>
    <s v="Consolidation"/>
    <s v="1. Bayanihan Agri Cluster"/>
    <n v="0"/>
    <s v="Capacity Building"/>
    <s v="PREXC/DA-Level Output"/>
    <s v="NO"/>
    <s v="number"/>
    <x v="0"/>
    <x v="0"/>
    <s v="1ST SEMESTER"/>
    <x v="0"/>
    <n v="1"/>
    <s v="NO"/>
    <m/>
    <n v="35"/>
    <n v="30"/>
    <m/>
    <n v="24"/>
    <n v="6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0"/>
    <x v="13"/>
    <s v="Trainings"/>
    <s v="Cluster Development training"/>
    <s v="NO"/>
    <s v="PAP"/>
    <s v="PIP"/>
    <s v="PICS"/>
    <s v="Consolidation"/>
    <s v="1. Bayanihan Agri Cluster"/>
    <n v="0"/>
    <s v="Capacity Building"/>
    <s v="PREXC/DA-Level Output"/>
    <s v="NO"/>
    <s v="number"/>
    <x v="1"/>
    <x v="1"/>
    <s v="2ND SEMESTER"/>
    <x v="0"/>
    <n v="1"/>
    <s v="NO"/>
    <m/>
    <n v="35"/>
    <n v="30"/>
    <m/>
    <n v="24"/>
    <n v="6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0"/>
    <x v="13"/>
    <s v="Trainings"/>
    <s v="Cluster Development training"/>
    <s v="NO"/>
    <s v="PAP"/>
    <s v="PIP"/>
    <s v="PICS"/>
    <s v="Consolidation"/>
    <s v="1. Bayanihan Agri Cluster"/>
    <n v="0"/>
    <s v="Capacity Building"/>
    <s v="PREXC/DA-Level Output"/>
    <s v="NO"/>
    <s v="number"/>
    <x v="5"/>
    <x v="1"/>
    <s v="2ND SEMESTER"/>
    <x v="0"/>
    <n v="1"/>
    <s v="NO"/>
    <m/>
    <n v="35"/>
    <n v="30"/>
    <m/>
    <n v="24"/>
    <n v="6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1"/>
    <x v="13"/>
    <s v="Trainings"/>
    <s v="Corn Livelihood training"/>
    <s v="NO"/>
    <s v="PAP"/>
    <s v="PIP"/>
    <s v="PICS"/>
    <s v="Consolidation"/>
    <s v="1. Bayanihan Agri Cluster"/>
    <s v="IMPROVE AND EXPAND LOCAL AND INTERNATIONAL MARKET ACCESS"/>
    <s v="Capacity Building"/>
    <s v="PREXC/DA-Level Output"/>
    <s v="YES"/>
    <s v="number"/>
    <x v="9"/>
    <x v="0"/>
    <s v="1ST SEMESTER"/>
    <x v="0"/>
    <n v="1"/>
    <s v="NO"/>
    <m/>
    <n v="50"/>
    <n v="30"/>
    <m/>
    <m/>
    <n v="30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1"/>
    <x v="13"/>
    <s v="Trainings"/>
    <s v="Corn Livelihood training"/>
    <s v="NO"/>
    <s v="PAP"/>
    <s v="PIP"/>
    <s v="PICS"/>
    <s v="Consolidation"/>
    <s v="1. Bayanihan Agri Cluster"/>
    <s v="IMPROVE AND EXPAND LOCAL AND INTERNATIONAL MARKET ACCESS"/>
    <s v="Capacity Building"/>
    <s v="PREXC/DA-Level Output"/>
    <s v="YES"/>
    <s v="number"/>
    <x v="4"/>
    <x v="0"/>
    <s v="1ST SEMESTER"/>
    <x v="0"/>
    <n v="1"/>
    <s v="NO"/>
    <m/>
    <n v="50"/>
    <n v="30"/>
    <m/>
    <m/>
    <n v="30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1"/>
    <x v="13"/>
    <s v="Trainings"/>
    <s v="Corn Livelihood training"/>
    <s v="NO"/>
    <s v="PAP"/>
    <s v="PIP"/>
    <s v="PICS"/>
    <s v="Consolidation"/>
    <s v="1. Bayanihan Agri Cluster"/>
    <s v="IMPROVE AND EXPAND LOCAL AND INTERNATIONAL MARKET ACCESS"/>
    <s v="Capacity Building"/>
    <s v="PREXC/DA-Level Output"/>
    <s v="YES"/>
    <s v="number"/>
    <x v="0"/>
    <x v="0"/>
    <s v="1ST SEMESTER"/>
    <x v="0"/>
    <n v="1"/>
    <s v="NO"/>
    <m/>
    <n v="50"/>
    <n v="30"/>
    <m/>
    <m/>
    <n v="30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1"/>
    <x v="13"/>
    <s v="Trainings"/>
    <s v="Corn Livelihood training"/>
    <s v="NO"/>
    <s v="PAP"/>
    <s v="PIP"/>
    <s v="PICS"/>
    <s v="Consolidation"/>
    <s v="1. Bayanihan Agri Cluster"/>
    <s v="IMPROVE AND EXPAND LOCAL AND INTERNATIONAL MARKET ACCESS"/>
    <s v="Capacity Building"/>
    <s v="PREXC/DA-Level Output"/>
    <s v="YES"/>
    <s v="number"/>
    <x v="1"/>
    <x v="1"/>
    <s v="2ND SEMESTER"/>
    <x v="0"/>
    <n v="1"/>
    <s v="NO"/>
    <m/>
    <n v="50"/>
    <n v="30"/>
    <m/>
    <m/>
    <n v="30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2"/>
    <x v="13"/>
    <s v="Trainings"/>
    <s v="Corn Production Training"/>
    <s v="NO"/>
    <s v="PAP"/>
    <s v="PIP"/>
    <s v="PICS"/>
    <s v="Consolidation"/>
    <s v="1. Bayanihan Agri Cluster"/>
    <s v="EXPAND AND IMPROVE AVAILABLE AGRI-FISHERY AREAS FOR INCREASED PRODUCTION"/>
    <s v="Capacity Building"/>
    <s v="PREXC/DA-Level Output"/>
    <s v="NO"/>
    <s v="number"/>
    <x v="9"/>
    <x v="0"/>
    <s v="1ST SEMESTER"/>
    <x v="0"/>
    <n v="1"/>
    <s v="NO"/>
    <m/>
    <n v="35"/>
    <n v="30"/>
    <m/>
    <n v="24"/>
    <n v="6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2"/>
    <x v="13"/>
    <s v="Trainings"/>
    <s v="Corn Production Training"/>
    <s v="NO"/>
    <s v="PAP"/>
    <s v="PIP"/>
    <s v="PICS"/>
    <s v="Consolidation"/>
    <s v="1. Bayanihan Agri Cluster"/>
    <s v="EXPAND AND IMPROVE AVAILABLE AGRI-FISHERY AREAS FOR INCREASED PRODUCTION"/>
    <s v="Capacity Building"/>
    <s v="PREXC/DA-Level Output"/>
    <s v="NO"/>
    <s v="number"/>
    <x v="4"/>
    <x v="0"/>
    <s v="1ST SEMESTER"/>
    <x v="0"/>
    <n v="1"/>
    <s v="NO"/>
    <m/>
    <n v="35"/>
    <n v="30"/>
    <m/>
    <n v="24"/>
    <n v="6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2"/>
    <x v="13"/>
    <s v="Trainings"/>
    <s v="Corn Production Training"/>
    <s v="NO"/>
    <s v="PAP"/>
    <s v="PIP"/>
    <s v="PICS"/>
    <s v="Consolidation"/>
    <s v="1. Bayanihan Agri Cluster"/>
    <s v="EXPAND AND IMPROVE AVAILABLE AGRI-FISHERY AREAS FOR INCREASED PRODUCTION"/>
    <s v="Capacity Building"/>
    <s v="PREXC/DA-Level Output"/>
    <s v="NO"/>
    <s v="number"/>
    <x v="0"/>
    <x v="0"/>
    <s v="1ST SEMESTER"/>
    <x v="0"/>
    <n v="1"/>
    <s v="NO"/>
    <m/>
    <n v="35"/>
    <n v="30"/>
    <m/>
    <n v="24"/>
    <n v="6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2"/>
    <x v="13"/>
    <s v="Trainings"/>
    <s v="Corn Production Training"/>
    <s v="NO"/>
    <s v="PAP"/>
    <s v="PIP"/>
    <s v="PICS"/>
    <s v="Consolidation"/>
    <s v="1. Bayanihan Agri Cluster"/>
    <s v="EXPAND AND IMPROVE AVAILABLE AGRI-FISHERY AREAS FOR INCREASED PRODUCTION"/>
    <s v="Capacity Building"/>
    <s v="PREXC/DA-Level Output"/>
    <s v="NO"/>
    <s v="number"/>
    <x v="1"/>
    <x v="1"/>
    <s v="2ND SEMESTER"/>
    <x v="0"/>
    <n v="1"/>
    <s v="NO"/>
    <m/>
    <n v="35"/>
    <n v="30"/>
    <m/>
    <n v="24"/>
    <n v="6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3"/>
    <x v="13"/>
    <s v="Trainings"/>
    <s v="Integrated Pest Management Training"/>
    <s v="NO"/>
    <s v="PAP"/>
    <s v="PIP"/>
    <s v="PICS"/>
    <s v="Modernization"/>
    <s v="9. Climate Change Adaptation &amp; Mitigation Measures"/>
    <s v="EXPAND AND IMPROVE AVAILABLE AGRI-FISHERY AREAS FOR INCREASED PRODUCTION"/>
    <s v="Capacity Building"/>
    <s v="PREXC/DA-Level Output"/>
    <s v="NO"/>
    <s v="number"/>
    <x v="4"/>
    <x v="0"/>
    <s v="1ST SEMESTER"/>
    <x v="0"/>
    <n v="2"/>
    <s v="NO"/>
    <m/>
    <n v="200"/>
    <n v="60"/>
    <m/>
    <n v="48"/>
    <n v="12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3"/>
    <x v="13"/>
    <s v="Trainings"/>
    <s v="Integrated Pest Management Training"/>
    <s v="NO"/>
    <s v="PAP"/>
    <s v="PIP"/>
    <s v="PICS"/>
    <s v="Modernization"/>
    <s v="9. Climate Change Adaptation &amp; Mitigation Measures"/>
    <s v="EXPAND AND IMPROVE AVAILABLE AGRI-FISHERY AREAS FOR INCREASED PRODUCTION"/>
    <s v="Capacity Building"/>
    <s v="PREXC/DA-Level Output"/>
    <s v="NO"/>
    <s v="number"/>
    <x v="2"/>
    <x v="2"/>
    <s v="2ND SEMESTER"/>
    <x v="0"/>
    <n v="2"/>
    <s v="NO"/>
    <m/>
    <n v="200"/>
    <n v="60"/>
    <m/>
    <n v="48"/>
    <n v="12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4"/>
    <x v="13"/>
    <s v="Trainings"/>
    <s v="Training on Operation and Maintenance of Farm Machinery and Equipment"/>
    <s v="NO"/>
    <s v="PAP"/>
    <s v="PIP"/>
    <s v="PICS"/>
    <s v="Consolidation"/>
    <s v="1. Bayanihan Agri Cluster"/>
    <s v="DEVELOP AND IMPROVE POST-HARVEST SYSTEMS AND INFRASTRUCTURE"/>
    <s v="Capacity Building"/>
    <s v="PREXC/DA-Level Output"/>
    <s v="NO"/>
    <s v="number"/>
    <x v="5"/>
    <x v="1"/>
    <s v="2ND SEMESTER"/>
    <x v="0"/>
    <n v="1"/>
    <s v="NO"/>
    <m/>
    <n v="100"/>
    <n v="30"/>
    <m/>
    <n v="30"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4"/>
    <x v="13"/>
    <s v="Trainings"/>
    <s v="Training on Operation and Maintenance of Farm Machinery and Equipment"/>
    <s v="NO"/>
    <s v="PAP"/>
    <s v="PIP"/>
    <s v="PICS"/>
    <s v="Consolidation"/>
    <s v="1. Bayanihan Agri Cluster"/>
    <s v="DEVELOP AND IMPROVE POST-HARVEST SYSTEMS AND INFRASTRUCTURE"/>
    <s v="Capacity Building"/>
    <s v="PREXC/DA-Level Output"/>
    <s v="NO"/>
    <s v="number"/>
    <x v="6"/>
    <x v="1"/>
    <s v="2ND SEMESTER"/>
    <x v="0"/>
    <n v="1"/>
    <s v="NO"/>
    <m/>
    <n v="100"/>
    <n v="30"/>
    <m/>
    <n v="30"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4"/>
    <x v="13"/>
    <s v="Trainings"/>
    <s v="Training on Operation and Maintenance of Farm Machinery and Equipment"/>
    <s v="NO"/>
    <s v="PAP"/>
    <s v="PIP"/>
    <s v="PICS"/>
    <s v="Consolidation"/>
    <s v="1. Bayanihan Agri Cluster"/>
    <s v="DEVELOP AND IMPROVE POST-HARVEST SYSTEMS AND INFRASTRUCTURE"/>
    <s v="Capacity Building"/>
    <s v="PREXC/DA-Level Output"/>
    <s v="NO"/>
    <s v="number"/>
    <x v="2"/>
    <x v="2"/>
    <s v="2ND SEMESTER"/>
    <x v="0"/>
    <n v="1"/>
    <s v="NO"/>
    <m/>
    <n v="100"/>
    <n v="30"/>
    <m/>
    <n v="30"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Knowledge Products disseminated"/>
    <s v="Knowledge Products disseminated"/>
    <s v="Knowledge Products disseminated"/>
    <x v="35"/>
    <x v="15"/>
    <s v="Information, Education, and Communication Activities"/>
    <s v="IEC materials"/>
    <s v="NO"/>
    <s v="PAP"/>
    <s v="PIP"/>
    <s v="PICS"/>
    <s v="Strategic Communication"/>
    <s v="18. Strategic Communications​"/>
    <n v="0"/>
    <s v="IEC"/>
    <s v="DA-Level Output"/>
    <s v="NO"/>
    <s v="Print disseminated"/>
    <x v="9"/>
    <x v="0"/>
    <s v="1ST SEMESTER"/>
    <x v="0"/>
    <n v="1000"/>
    <s v="NO"/>
    <m/>
    <n v="33.3333333333333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Knowledge Products disseminated"/>
    <s v="Knowledge Products disseminated"/>
    <s v="Knowledge Products disseminated"/>
    <x v="35"/>
    <x v="15"/>
    <s v="Information, Education, and Communication Activities"/>
    <s v="IEC materials"/>
    <s v="NO"/>
    <s v="PAP"/>
    <s v="PIP"/>
    <s v="PICS"/>
    <s v="Strategic Communication"/>
    <s v="18. Strategic Communications​"/>
    <n v="0"/>
    <s v="IEC"/>
    <s v="DA-Level Output"/>
    <s v="NO"/>
    <s v="Print disseminated"/>
    <x v="4"/>
    <x v="0"/>
    <s v="1ST SEMESTER"/>
    <x v="0"/>
    <n v="1000"/>
    <s v="NO"/>
    <m/>
    <n v="33.3333333333333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Knowledge Products disseminated"/>
    <s v="Knowledge Products disseminated"/>
    <s v="Knowledge Products disseminated"/>
    <x v="35"/>
    <x v="15"/>
    <s v="Information, Education, and Communication Activities"/>
    <s v="IEC materials"/>
    <s v="NO"/>
    <s v="PAP"/>
    <s v="PIP"/>
    <s v="PICS"/>
    <s v="Strategic Communication"/>
    <s v="18. Strategic Communications​"/>
    <n v="0"/>
    <s v="IEC"/>
    <s v="DA-Level Output"/>
    <s v="NO"/>
    <s v="Print disseminated"/>
    <x v="0"/>
    <x v="0"/>
    <s v="1ST SEMESTER"/>
    <x v="0"/>
    <n v="1000"/>
    <s v="NO"/>
    <m/>
    <n v="33.3333333333333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Knowledge Products disseminated"/>
    <s v="Knowledge Products disseminated"/>
    <s v="Knowledge Products disseminated"/>
    <x v="35"/>
    <x v="15"/>
    <s v="Information, Education, and Communication Activities"/>
    <s v="IEC materials"/>
    <s v="NO"/>
    <s v="PAP"/>
    <s v="PIP"/>
    <s v="PICS"/>
    <s v="Strategic Communication"/>
    <s v="18. Strategic Communications​"/>
    <n v="0"/>
    <s v="IEC"/>
    <s v="DA-Level Output"/>
    <s v="NO"/>
    <s v="Print disseminated"/>
    <x v="1"/>
    <x v="1"/>
    <s v="2ND SEMESTER"/>
    <x v="0"/>
    <n v="1000"/>
    <s v="NO"/>
    <m/>
    <n v="33.3333333333333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Knowledge Products disseminated"/>
    <s v="Knowledge Products disseminated"/>
    <s v="Knowledge Products disseminated"/>
    <x v="35"/>
    <x v="15"/>
    <s v="Information, Education, and Communication Activities"/>
    <s v="IEC materials"/>
    <s v="NO"/>
    <s v="PAP"/>
    <s v="PIP"/>
    <s v="PICS"/>
    <s v="Strategic Communication"/>
    <s v="18. Strategic Communications​"/>
    <n v="0"/>
    <s v="IEC"/>
    <s v="DA-Level Output"/>
    <s v="NO"/>
    <s v="Print disseminated"/>
    <x v="5"/>
    <x v="1"/>
    <s v="2ND SEMESTER"/>
    <x v="0"/>
    <n v="1000"/>
    <s v="NO"/>
    <m/>
    <n v="33.3333333333333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1"/>
    <s v="Corn_ESETS"/>
    <s v="Knowledge Products disseminated"/>
    <s v="Knowledge Products disseminated"/>
    <s v="Knowledge Products disseminated"/>
    <x v="35"/>
    <x v="15"/>
    <s v="Information, Education, and Communication Activities"/>
    <s v="IEC materials"/>
    <s v="NO"/>
    <s v="PAP"/>
    <s v="PIP"/>
    <s v="PICS"/>
    <s v="Strategic Communication"/>
    <s v="18. Strategic Communications​"/>
    <n v="0"/>
    <s v="IEC"/>
    <s v="DA-Level Output"/>
    <s v="NO"/>
    <s v="Print disseminated"/>
    <x v="6"/>
    <x v="1"/>
    <s v="2ND SEMESTER"/>
    <x v="0"/>
    <n v="1000"/>
    <s v="NO"/>
    <m/>
    <n v="33.3333333333333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BUGUEY"/>
    <s v="Cagayan, 1st District"/>
    <n v="21508000"/>
    <s v="3rd"/>
    <s v="Cassava"/>
    <s v="Cassava"/>
    <s v="TECHNICAL AND SUPPORT SERVICES PROGRAM"/>
    <x v="1"/>
    <s v="Cassava_ESETS"/>
    <s v="Technology demonstrations established/maintained"/>
    <s v="Model Farms established"/>
    <s v="Model Farms established"/>
    <x v="36"/>
    <x v="10"/>
    <s v="Model farm"/>
    <s v="Cassava model farm"/>
    <s v="YES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number"/>
    <x v="1"/>
    <x v="1"/>
    <s v="2ND SEMESTER"/>
    <x v="0"/>
    <n v="1"/>
    <s v="YES"/>
    <n v="20"/>
    <n v="65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Training conducted"/>
    <s v="Other training conducted"/>
    <s v="Other training conducted_Farmers/Fisherfolk/Other External Participants"/>
    <x v="37"/>
    <x v="13"/>
    <s v="Trainings"/>
    <s v="Cassava Livelihood training"/>
    <s v="NO"/>
    <s v="PAP"/>
    <s v="PIP"/>
    <s v="PICS"/>
    <s v="Consolidation"/>
    <s v="1. Bayanihan Agri Cluster"/>
    <s v="IMPROVE AND EXPAND LOCAL AND INTERNATIONAL MARKET ACCESS"/>
    <s v="Capacity Building"/>
    <s v="PREXC/DA-Level Output"/>
    <s v="YES"/>
    <s v="number"/>
    <x v="9"/>
    <x v="0"/>
    <s v="1ST SEMESTER"/>
    <x v="0"/>
    <n v="1"/>
    <s v="NO"/>
    <m/>
    <n v="50"/>
    <n v="30"/>
    <m/>
    <m/>
    <n v="30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Training conducted"/>
    <s v="Other training conducted"/>
    <s v="Other training conducted_Farmers/Fisherfolk/Other External Participants"/>
    <x v="37"/>
    <x v="13"/>
    <s v="Trainings"/>
    <s v="Cassava Livelihood training"/>
    <s v="NO"/>
    <s v="PAP"/>
    <s v="PIP"/>
    <s v="PICS"/>
    <s v="Consolidation"/>
    <s v="1. Bayanihan Agri Cluster"/>
    <s v="IMPROVE AND EXPAND LOCAL AND INTERNATIONAL MARKET ACCESS"/>
    <s v="Capacity Building"/>
    <s v="PREXC/DA-Level Output"/>
    <s v="YES"/>
    <s v="number"/>
    <x v="4"/>
    <x v="0"/>
    <s v="1ST SEMESTER"/>
    <x v="0"/>
    <n v="1"/>
    <s v="NO"/>
    <m/>
    <n v="50"/>
    <n v="30"/>
    <m/>
    <m/>
    <n v="30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Training conducted"/>
    <s v="Other training conducted"/>
    <s v="Other training conducted_Farmers/Fisherfolk/Other External Participants"/>
    <x v="37"/>
    <x v="13"/>
    <s v="Trainings"/>
    <s v="Cassava Livelihood training"/>
    <s v="NO"/>
    <s v="PAP"/>
    <s v="PIP"/>
    <s v="PICS"/>
    <s v="Consolidation"/>
    <s v="1. Bayanihan Agri Cluster"/>
    <s v="IMPROVE AND EXPAND LOCAL AND INTERNATIONAL MARKET ACCESS"/>
    <s v="Capacity Building"/>
    <s v="PREXC/DA-Level Output"/>
    <s v="YES"/>
    <s v="number"/>
    <x v="0"/>
    <x v="0"/>
    <s v="1ST SEMESTER"/>
    <x v="0"/>
    <n v="1"/>
    <s v="NO"/>
    <m/>
    <n v="50"/>
    <n v="30"/>
    <m/>
    <m/>
    <n v="30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Training conducted"/>
    <s v="Other training conducted"/>
    <s v="Other training conducted_Farmers/Fisherfolk/Other External Participants"/>
    <x v="37"/>
    <x v="13"/>
    <s v="Trainings"/>
    <s v="Cassava Livelihood training"/>
    <s v="NO"/>
    <s v="PAP"/>
    <s v="PIP"/>
    <s v="PICS"/>
    <s v="Consolidation"/>
    <s v="1. Bayanihan Agri Cluster"/>
    <s v="IMPROVE AND EXPAND LOCAL AND INTERNATIONAL MARKET ACCESS"/>
    <s v="Capacity Building"/>
    <s v="PREXC/DA-Level Output"/>
    <s v="YES"/>
    <s v="number"/>
    <x v="1"/>
    <x v="1"/>
    <s v="2ND SEMESTER"/>
    <x v="0"/>
    <n v="1"/>
    <s v="NO"/>
    <m/>
    <n v="50"/>
    <n v="30"/>
    <m/>
    <m/>
    <n v="30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Training conducted"/>
    <s v="Other training conducted"/>
    <s v="Other training conducted_Farmers/Fisherfolk/Other External Participants"/>
    <x v="38"/>
    <x v="13"/>
    <s v="Trainings"/>
    <s v="Cassava Production Training"/>
    <s v="NO"/>
    <s v="PAP"/>
    <s v="PIP"/>
    <s v="PICS"/>
    <s v="Consolidation"/>
    <s v="1. Bayanihan Agri Cluster"/>
    <s v="EXPAND AND IMPROVE AVAILABLE AGRI-FISHERY AREAS FOR INCREASED PRODUCTION"/>
    <s v="Capacity Building"/>
    <s v="PREXC/DA-Level Output"/>
    <s v="NO"/>
    <s v="number"/>
    <x v="9"/>
    <x v="0"/>
    <s v="1ST SEMESTER"/>
    <x v="0"/>
    <n v="1"/>
    <s v="NO"/>
    <m/>
    <n v="35"/>
    <n v="30"/>
    <m/>
    <n v="24"/>
    <n v="6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Training conducted"/>
    <s v="Other training conducted"/>
    <s v="Other training conducted_Farmers/Fisherfolk/Other External Participants"/>
    <x v="38"/>
    <x v="13"/>
    <s v="Trainings"/>
    <s v="Cassava Production Training"/>
    <s v="NO"/>
    <s v="PAP"/>
    <s v="PIP"/>
    <s v="PICS"/>
    <s v="Consolidation"/>
    <s v="1. Bayanihan Agri Cluster"/>
    <s v="EXPAND AND IMPROVE AVAILABLE AGRI-FISHERY AREAS FOR INCREASED PRODUCTION"/>
    <s v="Capacity Building"/>
    <s v="PREXC/DA-Level Output"/>
    <s v="NO"/>
    <s v="number"/>
    <x v="4"/>
    <x v="0"/>
    <s v="1ST SEMESTER"/>
    <x v="0"/>
    <n v="1"/>
    <s v="NO"/>
    <m/>
    <n v="35"/>
    <n v="30"/>
    <m/>
    <n v="24"/>
    <n v="6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Training conducted"/>
    <s v="Other training conducted"/>
    <s v="Other training conducted_Farmers/Fisherfolk/Other External Participants"/>
    <x v="38"/>
    <x v="13"/>
    <s v="Trainings"/>
    <s v="Cassava Production Training"/>
    <s v="NO"/>
    <s v="PAP"/>
    <s v="PIP"/>
    <s v="PICS"/>
    <s v="Consolidation"/>
    <s v="1. Bayanihan Agri Cluster"/>
    <s v="EXPAND AND IMPROVE AVAILABLE AGRI-FISHERY AREAS FOR INCREASED PRODUCTION"/>
    <s v="Capacity Building"/>
    <s v="PREXC/DA-Level Output"/>
    <s v="NO"/>
    <s v="number"/>
    <x v="0"/>
    <x v="0"/>
    <s v="1ST SEMESTER"/>
    <x v="0"/>
    <n v="1"/>
    <s v="NO"/>
    <m/>
    <n v="35"/>
    <n v="30"/>
    <m/>
    <n v="24"/>
    <n v="6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Training conducted"/>
    <s v="Other training conducted"/>
    <s v="Other training conducted_Farmers/Fisherfolk/Other External Participants"/>
    <x v="38"/>
    <x v="13"/>
    <s v="Trainings"/>
    <s v="Cassava Production Training"/>
    <s v="NO"/>
    <s v="PAP"/>
    <s v="PIP"/>
    <s v="PICS"/>
    <s v="Consolidation"/>
    <s v="1. Bayanihan Agri Cluster"/>
    <s v="EXPAND AND IMPROVE AVAILABLE AGRI-FISHERY AREAS FOR INCREASED PRODUCTION"/>
    <s v="Capacity Building"/>
    <s v="PREXC/DA-Level Output"/>
    <s v="NO"/>
    <s v="number"/>
    <x v="1"/>
    <x v="1"/>
    <s v="2ND SEMESTER"/>
    <x v="0"/>
    <n v="1"/>
    <s v="NO"/>
    <m/>
    <n v="35"/>
    <n v="30"/>
    <m/>
    <n v="24"/>
    <n v="6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Knowledge Products disseminated"/>
    <s v="Knowledge Products disseminated"/>
    <s v="Knowledge Products disseminated"/>
    <x v="39"/>
    <x v="15"/>
    <s v="Information, Education, and Communication Activities"/>
    <s v="IEC materials"/>
    <s v="NO"/>
    <s v="PAP"/>
    <s v="PIP"/>
    <s v="PICS"/>
    <s v="Strategic Communication"/>
    <s v="18. Strategic Communications​"/>
    <n v="0"/>
    <s v="IEC"/>
    <s v="DA-Level Output"/>
    <s v="NO"/>
    <s v="Print disseminated"/>
    <x v="1"/>
    <x v="1"/>
    <s v="2ND SEMESTER"/>
    <x v="0"/>
    <n v="1000"/>
    <s v="NO"/>
    <m/>
    <n v="3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Knowledge Products disseminated"/>
    <s v="Knowledge Products disseminated"/>
    <s v="Knowledge Products disseminated"/>
    <x v="39"/>
    <x v="15"/>
    <s v="Information, Education, and Communication Activities"/>
    <s v="IEC materials"/>
    <s v="NO"/>
    <s v="PAP"/>
    <s v="PIP"/>
    <s v="PICS"/>
    <s v="Strategic Communication"/>
    <s v="18. Strategic Communications​"/>
    <n v="0"/>
    <s v="IEC"/>
    <s v="DA-Level Output"/>
    <s v="NO"/>
    <s v="Print disseminated"/>
    <x v="5"/>
    <x v="1"/>
    <s v="2ND SEMESTER"/>
    <x v="0"/>
    <n v="1000"/>
    <s v="NO"/>
    <m/>
    <n v="3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Knowledge Products disseminated"/>
    <s v="Knowledge Products disseminated"/>
    <s v="Knowledge Products disseminated"/>
    <x v="39"/>
    <x v="15"/>
    <s v="Information, Education, and Communication Activities"/>
    <s v="IEC materials"/>
    <s v="NO"/>
    <s v="PAP"/>
    <s v="PIP"/>
    <s v="PICS"/>
    <s v="Strategic Communication"/>
    <s v="18. Strategic Communications​"/>
    <n v="0"/>
    <s v="IEC"/>
    <s v="DA-Level Output"/>
    <s v="NO"/>
    <s v="Print disseminated"/>
    <x v="6"/>
    <x v="1"/>
    <s v="2ND SEMESTER"/>
    <x v="0"/>
    <n v="1000"/>
    <s v="NO"/>
    <m/>
    <n v="3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Knowledge Products disseminated"/>
    <s v="Knowledge Products disseminated"/>
    <s v="Knowledge Products disseminated"/>
    <x v="39"/>
    <x v="15"/>
    <s v="Information, Education, and Communication Activities"/>
    <s v="IEC materials"/>
    <s v="NO"/>
    <s v="PAP"/>
    <s v="PIP"/>
    <s v="PICS"/>
    <s v="Strategic Communication"/>
    <s v="18. Strategic Communications​"/>
    <n v="0"/>
    <s v="IEC"/>
    <s v="DA-Level Output"/>
    <s v="NO"/>
    <s v="Print disseminated"/>
    <x v="2"/>
    <x v="2"/>
    <s v="2ND SEMESTER"/>
    <x v="0"/>
    <n v="1000"/>
    <s v="NO"/>
    <m/>
    <n v="3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Cassava"/>
    <s v="Cassava"/>
    <s v="TECHNICAL AND SUPPORT SERVICES PROGRAM"/>
    <x v="1"/>
    <s v="Cassava_ESETS"/>
    <s v="Knowledge Products disseminated"/>
    <s v="Knowledge Products disseminated"/>
    <s v="Knowledge Products disseminated"/>
    <x v="39"/>
    <x v="15"/>
    <s v="Information, Education, and Communication Activities"/>
    <s v="IEC materials"/>
    <s v="NO"/>
    <s v="PAP"/>
    <s v="PIP"/>
    <s v="PICS"/>
    <s v="Strategic Communication"/>
    <s v="18. Strategic Communications​"/>
    <n v="0"/>
    <s v="IEC"/>
    <s v="DA-Level Output"/>
    <s v="NO"/>
    <s v="Print disseminated"/>
    <x v="3"/>
    <x v="2"/>
    <s v="2ND SEMESTER"/>
    <x v="0"/>
    <n v="1000"/>
    <s v="NO"/>
    <m/>
    <n v="3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TUMAUINI"/>
    <s v="Isabela, 1st District"/>
    <n v="23137000"/>
    <s v="1st"/>
    <s v="Sorghum"/>
    <s v="Sorghum"/>
    <s v="TECHNICAL AND SUPPORT SERVICES PROGRAM"/>
    <x v="1"/>
    <s v="Sorghum_ESETS"/>
    <s v="Technology demonstrations established/maintained"/>
    <s v="Model Farms established"/>
    <s v="Model Farms established"/>
    <x v="40"/>
    <x v="10"/>
    <s v="Model farm"/>
    <s v="Sorghum model farm"/>
    <s v="YES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number"/>
    <x v="3"/>
    <x v="2"/>
    <s v="2ND SEMESTER"/>
    <x v="0"/>
    <n v="1"/>
    <s v="YES"/>
    <n v="10"/>
    <n v="28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TUMAUINI"/>
    <s v="Isabela, 1st District"/>
    <n v="23137000"/>
    <s v="1st"/>
    <s v="Sorghum"/>
    <s v="Sorghum"/>
    <s v="TECHNICAL AND SUPPORT SERVICES PROGRAM"/>
    <x v="1"/>
    <s v="Sorghum_ESETS"/>
    <s v="Technology demonstrations established/maintained"/>
    <s v="Techno demo established"/>
    <s v="Techno demo established"/>
    <x v="41"/>
    <x v="11"/>
    <s v="Techno Demo"/>
    <s v="Sorghum techno demo"/>
    <s v="YES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number"/>
    <x v="3"/>
    <x v="2"/>
    <s v="2ND SEMESTER"/>
    <x v="0"/>
    <n v="4"/>
    <s v="YES"/>
    <n v="4"/>
    <n v="16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Sorghum"/>
    <s v="Sorghum"/>
    <s v="TECHNICAL AND SUPPORT SERVICES PROGRAM"/>
    <x v="1"/>
    <s v="Sorghum_ESETS"/>
    <s v="Training conducted"/>
    <s v="Other training conducted"/>
    <s v="Other training conducted_Farmers/Fisherfolk/Other External Participants"/>
    <x v="42"/>
    <x v="13"/>
    <s v="Trainings"/>
    <s v="Sorghum Production Training "/>
    <s v="NO"/>
    <s v="PAP"/>
    <s v="PIP"/>
    <s v="PICS"/>
    <s v="Consolidation"/>
    <s v="1. Bayanihan Agri Cluster"/>
    <s v="EXPAND AND IMPROVE AVAILABLE AGRI-FISHERY AREAS FOR INCREASED PRODUCTION"/>
    <s v="Capacity Building"/>
    <s v="PREXC/DA-Level Output"/>
    <s v="NO"/>
    <s v="number"/>
    <x v="1"/>
    <x v="1"/>
    <s v="2ND SEMESTER"/>
    <x v="0"/>
    <n v="1"/>
    <s v="NO"/>
    <m/>
    <n v="35"/>
    <n v="30"/>
    <m/>
    <n v="24"/>
    <n v="6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Sorghum"/>
    <s v="Sorghum"/>
    <s v="TECHNICAL AND SUPPORT SERVICES PROGRAM"/>
    <x v="1"/>
    <s v="Sorghum_ESETS"/>
    <s v="Training conducted"/>
    <s v="Other training conducted"/>
    <s v="Other training conducted_Farmers/Fisherfolk/Other External Participants"/>
    <x v="42"/>
    <x v="13"/>
    <s v="Trainings"/>
    <s v="Sorghum Production Training "/>
    <s v="NO"/>
    <s v="PAP"/>
    <s v="PIP"/>
    <s v="PICS"/>
    <s v="Consolidation"/>
    <s v="1. Bayanihan Agri Cluster"/>
    <s v="EXPAND AND IMPROVE AVAILABLE AGRI-FISHERY AREAS FOR INCREASED PRODUCTION"/>
    <s v="Capacity Building"/>
    <s v="PREXC/DA-Level Output"/>
    <s v="NO"/>
    <s v="number"/>
    <x v="5"/>
    <x v="1"/>
    <s v="2ND SEMESTER"/>
    <x v="0"/>
    <n v="1"/>
    <s v="NO"/>
    <m/>
    <n v="35"/>
    <n v="30"/>
    <m/>
    <n v="24"/>
    <n v="6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Sorghum"/>
    <s v="Sorghum"/>
    <s v="TECHNICAL AND SUPPORT SERVICES PROGRAM"/>
    <x v="1"/>
    <s v="Sorghum_ESETS"/>
    <s v="Training conducted"/>
    <s v="Other training conducted"/>
    <s v="Other training conducted_Farmers/Fisherfolk/Other External Participants"/>
    <x v="42"/>
    <x v="13"/>
    <s v="Trainings"/>
    <s v="Sorghum Production Training "/>
    <s v="NO"/>
    <s v="PAP"/>
    <s v="PIP"/>
    <s v="PICS"/>
    <s v="Consolidation"/>
    <s v="1. Bayanihan Agri Cluster"/>
    <s v="EXPAND AND IMPROVE AVAILABLE AGRI-FISHERY AREAS FOR INCREASED PRODUCTION"/>
    <s v="Capacity Building"/>
    <s v="PREXC/DA-Level Output"/>
    <s v="NO"/>
    <s v="number"/>
    <x v="6"/>
    <x v="1"/>
    <s v="2ND SEMESTER"/>
    <x v="0"/>
    <n v="2"/>
    <s v="NO"/>
    <m/>
    <n v="70"/>
    <n v="60"/>
    <m/>
    <n v="48"/>
    <n v="12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Sorghum"/>
    <s v="Sorghum"/>
    <s v="TECHNICAL AND SUPPORT SERVICES PROGRAM"/>
    <x v="1"/>
    <s v="Sorghum_ESETS"/>
    <s v="Knowledge Products disseminated"/>
    <s v="Knowledge Products disseminated"/>
    <s v="Knowledge Products disseminated"/>
    <x v="43"/>
    <x v="15"/>
    <s v="Information, Education, and Communication Activities"/>
    <s v="IEC materials"/>
    <s v="NO"/>
    <s v="PAP"/>
    <s v="PIP"/>
    <s v="PICS"/>
    <s v="Strategic Communication"/>
    <s v="18. Strategic Communications​"/>
    <n v="0"/>
    <s v="IEC"/>
    <s v="DA-Level Output"/>
    <s v="NO"/>
    <s v="Print disseminated"/>
    <x v="1"/>
    <x v="1"/>
    <s v="2ND SEMESTER"/>
    <x v="0"/>
    <n v="200"/>
    <s v="NO"/>
    <m/>
    <n v="5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CAUAYAN"/>
    <s v="Isabela, 6th District"/>
    <n v="23108000"/>
    <s v="3rd"/>
    <s v="Soybean"/>
    <s v="Soybean"/>
    <s v="TECHNICAL AND SUPPORT SERVICES PROGRAM"/>
    <x v="1"/>
    <s v="Soybean_ESETS"/>
    <s v="Technology demonstrations established/maintained"/>
    <s v="Model Farms established"/>
    <s v="Model Farms established"/>
    <x v="44"/>
    <x v="10"/>
    <s v="Model farm"/>
    <s v="Soybean model farm"/>
    <s v="YES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number"/>
    <x v="7"/>
    <x v="3"/>
    <s v="1ST SEMESTER"/>
    <x v="0"/>
    <n v="1"/>
    <s v="YES"/>
    <n v="10"/>
    <n v="33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CAUAYAN"/>
    <s v="Isabela, 6th District"/>
    <n v="23108000"/>
    <s v="3rd"/>
    <s v="Soybean"/>
    <s v="Soybean"/>
    <s v="TECHNICAL AND SUPPORT SERVICES PROGRAM"/>
    <x v="1"/>
    <s v="Soybean_ESETS"/>
    <s v="Technology demonstrations established/maintained"/>
    <s v="Techno demo established"/>
    <s v="Techno demo established"/>
    <x v="45"/>
    <x v="11"/>
    <s v="Techno Demo"/>
    <s v="Soybean techno demo"/>
    <s v="YES"/>
    <s v="PAP"/>
    <s v="PIP"/>
    <s v="PICS"/>
    <s v="Consolidation"/>
    <s v="1. Bayanihan Agri Cluster"/>
    <s v="EXPAND AND IMPROVE AVAILABLE AGRI-FISHERY AREAS FOR INCREASED PRODUCTION"/>
    <s v="Farm Inputs"/>
    <s v="DA-Level Output"/>
    <s v="NO"/>
    <s v="number"/>
    <x v="7"/>
    <x v="3"/>
    <s v="1ST SEMESTER"/>
    <x v="0"/>
    <n v="1"/>
    <s v="YES"/>
    <n v="4"/>
    <n v="20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Soybean"/>
    <s v="Soybean"/>
    <s v="TECHNICAL AND SUPPORT SERVICES PROGRAM"/>
    <x v="1"/>
    <s v="Soybean_ESETS"/>
    <s v="Training conducted"/>
    <s v="Other training conducted"/>
    <s v="Other training conducted_Farmers/Fisherfolk/Other External Participants"/>
    <x v="46"/>
    <x v="13"/>
    <s v="Trainings"/>
    <s v="Soybean Production Training "/>
    <s v="NO"/>
    <s v="PAP"/>
    <s v="PIP"/>
    <s v="PICS"/>
    <s v="Consolidation"/>
    <s v="1. Bayanihan Agri Cluster"/>
    <s v="EXPAND AND IMPROVE AVAILABLE AGRI-FISHERY AREAS FOR INCREASED PRODUCTION"/>
    <s v="Capacity Building"/>
    <s v="PREXC/DA-Level Output"/>
    <s v="NO"/>
    <s v="number"/>
    <x v="7"/>
    <x v="3"/>
    <s v="1ST SEMESTER"/>
    <x v="0"/>
    <n v="2"/>
    <s v="NO"/>
    <m/>
    <n v="70"/>
    <n v="60"/>
    <m/>
    <n v="48"/>
    <n v="12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Soybean"/>
    <s v="Soybean"/>
    <s v="TECHNICAL AND SUPPORT SERVICES PROGRAM"/>
    <x v="1"/>
    <s v="Soybean_ESETS"/>
    <s v="Training conducted"/>
    <s v="Other training conducted"/>
    <s v="Other training conducted_Farmers/Fisherfolk/Other External Participants"/>
    <x v="46"/>
    <x v="13"/>
    <s v="Trainings"/>
    <s v="Soybean Production Training "/>
    <s v="NO"/>
    <s v="PAP"/>
    <s v="PIP"/>
    <s v="PICS"/>
    <s v="Consolidation"/>
    <s v="1. Bayanihan Agri Cluster"/>
    <s v="EXPAND AND IMPROVE AVAILABLE AGRI-FISHERY AREAS FOR INCREASED PRODUCTION"/>
    <s v="Capacity Building"/>
    <s v="PREXC/DA-Level Output"/>
    <s v="NO"/>
    <s v="number"/>
    <x v="8"/>
    <x v="3"/>
    <s v="1ST SEMESTER"/>
    <x v="0"/>
    <n v="2"/>
    <s v="NO"/>
    <m/>
    <n v="70"/>
    <n v="60"/>
    <m/>
    <n v="48"/>
    <n v="12"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Soybean"/>
    <s v="Soybean"/>
    <s v="TECHNICAL AND SUPPORT SERVICES PROGRAM"/>
    <x v="1"/>
    <s v="Soybean_ESETS"/>
    <s v="Knowledge Products disseminated"/>
    <s v="Knowledge Products disseminated"/>
    <s v="Knowledge Products disseminated"/>
    <x v="47"/>
    <x v="15"/>
    <s v="Information, Education, and Communication Activities"/>
    <s v="IEC materials"/>
    <s v="NO"/>
    <s v="PAP"/>
    <s v="PIP"/>
    <s v="PICS"/>
    <s v="Strategic Communication"/>
    <s v="18. Strategic Communications​"/>
    <n v="0"/>
    <s v="IEC"/>
    <s v="DA-Level Output"/>
    <s v="NO"/>
    <s v="Print disseminated"/>
    <x v="7"/>
    <x v="3"/>
    <s v="1ST SEMESTER"/>
    <x v="0"/>
    <n v="200"/>
    <s v="NO"/>
    <m/>
    <n v="5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AMULUNG"/>
    <s v="Cagayan, 3rd District"/>
    <n v="21504000"/>
    <s v="2n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8"/>
    <x v="16"/>
    <s v="Incentives Given"/>
    <s v="Provincial Coordinato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ILAGAN (Capital)"/>
    <s v="Isabela, 1st District"/>
    <n v="23114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8"/>
    <x v="16"/>
    <s v="Incentives Given"/>
    <s v="Provincial Coordinato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2"/>
    <s v="BAYOMBONG (Capital)"/>
    <s v="Nueva Vizcaya, Lone District"/>
    <n v="25005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8"/>
    <x v="16"/>
    <s v="Incentives Given"/>
    <s v="Provincial Coordinato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3"/>
    <s v="CABARROGUIS (Capital)"/>
    <s v="Quirino, 1st District"/>
    <n v="25702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8"/>
    <x v="16"/>
    <s v="Incentives Given"/>
    <s v="Provincial Coordinato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TUGUEGARAO CITY (Capital)"/>
    <s v="Cagayan, 3rd District"/>
    <n v="21529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9"/>
    <x v="16"/>
    <s v="Incentives Given"/>
    <s v="Municipal Agriculturist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BAGGAO"/>
    <s v="Cagayan, 1st District"/>
    <n v="21506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9"/>
    <x v="16"/>
    <s v="Incentives Given"/>
    <s v="Municipal Agriculturist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PIAT"/>
    <s v="Cagayan, 2nd District"/>
    <n v="21520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9"/>
    <x v="16"/>
    <s v="Incentives Given"/>
    <s v="Municipal Agriculturist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BENITO SOLIVEN"/>
    <s v="Isabela, 2nd District"/>
    <n v="23104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9"/>
    <x v="16"/>
    <s v="Incentives Given"/>
    <s v="Municipal Agriculturist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NAGUILIAN"/>
    <s v="Isabela, 2nd District"/>
    <n v="23120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9"/>
    <x v="16"/>
    <s v="Incentives Given"/>
    <s v="Municipal Agriculturist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QUIRINO"/>
    <s v="Isabela, 5th District"/>
    <n v="23123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9"/>
    <x v="16"/>
    <s v="Incentives Given"/>
    <s v="Municipal Agriculturist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SAN MARIANO"/>
    <s v="Isabela, 2nd District"/>
    <n v="23131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9"/>
    <x v="16"/>
    <s v="Incentives Given"/>
    <s v="Municipal Agriculturist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CORDON"/>
    <s v="Isabela, 4th District"/>
    <n v="23109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9"/>
    <x v="16"/>
    <s v="Incentives Given"/>
    <s v="Municipal Agriculturist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JONES"/>
    <s v="Isabela, 4th District"/>
    <n v="23115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9"/>
    <x v="16"/>
    <s v="Incentives Given"/>
    <s v="Municipal Agriculturist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SAN AGUSTIN"/>
    <s v="Isabela, 4th District"/>
    <n v="23127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9"/>
    <x v="16"/>
    <s v="Incentives Given"/>
    <s v="Municipal Agriculturist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ECHAGUE"/>
    <s v="Isabela, 6th District"/>
    <n v="23112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9"/>
    <x v="16"/>
    <s v="Incentives Given"/>
    <s v="Municipal Agriculturist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3"/>
    <s v="MADDELA"/>
    <s v="Quirino, 1st District"/>
    <n v="25704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9"/>
    <x v="16"/>
    <s v="Incentives Given"/>
    <s v="Municipal Agriculturist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AMULUNG"/>
    <s v="Cagayan, 3rd District"/>
    <n v="21504000"/>
    <s v="2n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9"/>
    <s v="NO"/>
    <m/>
    <n v="37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ALCALA"/>
    <s v="Cagayan, 1st District"/>
    <n v="21502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3"/>
    <s v="NO"/>
    <m/>
    <n v="126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ALLACAPAN"/>
    <s v="Cagayan, 2nd District"/>
    <n v="21503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2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BAGGAO"/>
    <s v="Cagayan, 1st District"/>
    <n v="21506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3"/>
    <s v="NO"/>
    <m/>
    <n v="126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BUGUEY"/>
    <s v="Cagayan, 1st District"/>
    <n v="21508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2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CALAYAN"/>
    <s v="Cagayan, 2nd District"/>
    <n v="21509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2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CAMALANIUGAN"/>
    <s v="Cagayan, 1st District"/>
    <n v="21510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2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ENRILE"/>
    <s v="Cagayan, 3rd District"/>
    <n v="21512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3"/>
    <s v="NO"/>
    <m/>
    <n v="126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GATTARAN"/>
    <s v="Cagayan, 1st District"/>
    <n v="21513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2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GONZAGA"/>
    <s v="Cagayan, 1st District"/>
    <n v="21514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3"/>
    <s v="NO"/>
    <m/>
    <n v="126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IGUIG"/>
    <s v="Cagayan, 3rd District"/>
    <n v="21515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2"/>
    <s v="NO"/>
    <m/>
    <n v="84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LASAM"/>
    <s v="Cagayan, 2nd District"/>
    <n v="21517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3"/>
    <s v="NO"/>
    <m/>
    <n v="126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PAMPLONA"/>
    <s v="Cagayan, 2nd District"/>
    <n v="21518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2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PEÑABLANCA"/>
    <s v="Cagayan, 3rd District"/>
    <n v="21519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3"/>
    <s v="NO"/>
    <m/>
    <n v="126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PIAT"/>
    <s v="Cagayan, 2nd District"/>
    <n v="21520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2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RIZAL"/>
    <s v="Cagayan, 2nd District"/>
    <n v="21521000"/>
    <s v="5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2"/>
    <s v="NO"/>
    <m/>
    <n v="84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SANTA TERESITA"/>
    <s v="Cagayan, 1st District"/>
    <n v="21525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2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SANTO NIÑO (FAIRE)"/>
    <s v="Cagayan, 2nd District"/>
    <n v="21526000"/>
    <s v="2n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4"/>
    <s v="NO"/>
    <m/>
    <n v="16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SOLANA"/>
    <s v="Cagayan, 3rd District"/>
    <n v="21527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5"/>
    <s v="NO"/>
    <m/>
    <n v="21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TUAO"/>
    <s v="Cagayan, 3rd District"/>
    <n v="21528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2"/>
    <s v="NO"/>
    <m/>
    <n v="84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0"/>
    <s v="TUGUEGARAO CITY (Capital)"/>
    <s v="Cagayan, 3rd District"/>
    <n v="21529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3"/>
    <s v="NO"/>
    <m/>
    <n v="126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ANGADANAN"/>
    <s v="Isabela, 3rd District"/>
    <n v="23102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2"/>
    <s v="NO"/>
    <m/>
    <n v="84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BENITO SOLIVEN"/>
    <s v="Isabela, 2nd District"/>
    <n v="23104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2"/>
    <s v="NO"/>
    <m/>
    <n v="84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CABAGAN"/>
    <s v="Isabela, 1st District"/>
    <n v="23106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4"/>
    <s v="NO"/>
    <m/>
    <n v="16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CAUAYAN"/>
    <s v="Isabela, 6th District"/>
    <n v="23108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0"/>
    <s v="NO"/>
    <m/>
    <n v="42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ILAGAN (Capital)"/>
    <s v="Isabela, 1st District"/>
    <n v="23114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4"/>
    <s v="NO"/>
    <m/>
    <n v="16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CORDON"/>
    <s v="Isabela, 4th District"/>
    <n v="23109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2"/>
    <s v="NO"/>
    <m/>
    <n v="84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ECHAGUE"/>
    <s v="Isabela, 6th District"/>
    <n v="23112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2"/>
    <s v="NO"/>
    <m/>
    <n v="84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GAMU"/>
    <s v="Isabela, 2nd District"/>
    <n v="23113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2"/>
    <s v="NO"/>
    <m/>
    <n v="84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JONES"/>
    <s v="Isabela, 4th District"/>
    <n v="23115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4"/>
    <s v="NO"/>
    <m/>
    <n v="16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LUNA"/>
    <s v="Isabela, 5th District"/>
    <n v="23116000"/>
    <s v="5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2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DELFIN ALBANO (MAGSAYSAY)"/>
    <s v="Isabela, 1st District"/>
    <n v="23118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2"/>
    <s v="NO"/>
    <m/>
    <n v="84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NAGUILIAN"/>
    <s v="Isabela, 2nd District"/>
    <n v="23120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2"/>
    <s v="NO"/>
    <m/>
    <n v="84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QUIRINO"/>
    <s v="Isabela, 5th District"/>
    <n v="23123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2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REINA MERCEDES"/>
    <s v="Isabela, 2nd District"/>
    <n v="23125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2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SAN AGUSTIN"/>
    <s v="Isabela, 4th District"/>
    <n v="23127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4"/>
    <s v="NO"/>
    <m/>
    <n v="16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SAN GUILLERMO"/>
    <s v="Isabela, 6th District"/>
    <n v="23128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3"/>
    <s v="NO"/>
    <m/>
    <n v="126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SAN MARIANO"/>
    <s v="Isabela, 2nd District"/>
    <n v="23131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5"/>
    <s v="NO"/>
    <m/>
    <n v="21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SAN PABLO"/>
    <s v="Isabela, 1st District"/>
    <n v="23133000"/>
    <s v="2n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2"/>
    <s v="NO"/>
    <m/>
    <n v="84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SANTA MARIA"/>
    <s v="Isabela, 1st District"/>
    <n v="23134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6"/>
    <s v="NO"/>
    <m/>
    <n v="252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SANTO TOMAS"/>
    <s v="Isabela, 1st District"/>
    <n v="23136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2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1"/>
    <s v="TUMAUINI"/>
    <s v="Isabela, 1st District"/>
    <n v="23137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3"/>
    <s v="NO"/>
    <m/>
    <n v="126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2"/>
    <s v="BAGABAG"/>
    <s v="Nueva Vizcaya, Lone District"/>
    <n v="25003000"/>
    <s v="2n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2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2"/>
    <s v="BAMBANG"/>
    <s v="Nueva Vizcaya, Lone District"/>
    <n v="25004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2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2"/>
    <s v="BAYOMBONG (Capital)"/>
    <s v="Nueva Vizcaya, Lone District"/>
    <n v="25005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9"/>
    <s v="NO"/>
    <m/>
    <n v="37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2"/>
    <s v="DIADI"/>
    <s v="Nueva Vizcaya, Lone District"/>
    <n v="25006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2"/>
    <s v="NO"/>
    <m/>
    <n v="84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2"/>
    <s v="KASIBU"/>
    <s v="Nueva Vizcaya, Lone District"/>
    <n v="25009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"/>
    <s v="NO"/>
    <m/>
    <n v="42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2"/>
    <s v="QUEZON"/>
    <s v="Nueva Vizcaya, Lone District"/>
    <n v="25011000"/>
    <s v="4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4"/>
    <s v="NO"/>
    <m/>
    <n v="168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2"/>
    <s v="VILLAVERDE"/>
    <s v="Nueva Vizcaya, Lone District"/>
    <n v="25014000"/>
    <s v="5th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2"/>
    <s v="NO"/>
    <m/>
    <n v="84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2"/>
    <s v="SOLANO"/>
    <s v="Nueva Vizcaya, Lone District"/>
    <n v="25013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2"/>
    <s v="NO"/>
    <m/>
    <n v="84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3"/>
    <s v="AGLIPAY"/>
    <s v="Quirino, 1st District"/>
    <n v="25701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2"/>
    <s v="NO"/>
    <m/>
    <n v="84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3"/>
    <s v="CABARROGUIS (Capital)"/>
    <s v="Quirino, 1st District"/>
    <n v="25702000"/>
    <s v="3r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6"/>
    <s v="NO"/>
    <m/>
    <n v="252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3"/>
    <s v="DIFFUN"/>
    <s v="Quirino, 1st District"/>
    <n v="25703000"/>
    <s v="2nd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6"/>
    <s v="NO"/>
    <m/>
    <n v="252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3"/>
    <s v="MADDELA"/>
    <s v="Quirino, 1st District"/>
    <n v="25704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7"/>
    <s v="NO"/>
    <m/>
    <n v="294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3"/>
    <s v="NAGTIPUNAN"/>
    <s v="Quirino, 1st District"/>
    <n v="25706000"/>
    <s v="1st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s v="NO"/>
    <s v="number"/>
    <x v="10"/>
    <x v="2"/>
    <s v="2ND SEMESTER"/>
    <x v="0"/>
    <n v="10"/>
    <s v="NO"/>
    <m/>
    <n v="42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TECHNICAL AND SUPPORT SERVICES PROGRAM"/>
    <x v="1"/>
    <s v="Multicommodity_ESETS"/>
    <s v="Extension support activities conducted"/>
    <s v="Extension support activities conducted"/>
    <s v="Other extension support activities conducted"/>
    <x v="51"/>
    <x v="15"/>
    <s v="Information, Education, and Communication Activities"/>
    <s v="Radio Plugs"/>
    <s v="NO"/>
    <s v="PAP"/>
    <s v="PIP"/>
    <s v="PICS"/>
    <s v="Strategic Communication"/>
    <s v="18. Strategic Communications​"/>
    <n v="0"/>
    <s v="IEC"/>
    <s v="DA-Level Output"/>
    <s v="NO"/>
    <s v="no. of times aired"/>
    <x v="7"/>
    <x v="3"/>
    <s v="1ST SEMESTER"/>
    <x v="0"/>
    <n v="1"/>
    <s v="NO"/>
    <m/>
    <n v="7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TECHNICAL AND SUPPORT SERVICES PROGRAM"/>
    <x v="1"/>
    <s v="Multicommodity_ESETS"/>
    <s v="Extension support activities conducted"/>
    <s v="Extension support activities conducted"/>
    <s v="Other extension support activities conducted"/>
    <x v="51"/>
    <x v="15"/>
    <s v="Information, Education, and Communication Activities"/>
    <s v="Radio Plugs"/>
    <s v="NO"/>
    <s v="PAP"/>
    <s v="PIP"/>
    <s v="PICS"/>
    <s v="Strategic Communication"/>
    <s v="18. Strategic Communications​"/>
    <n v="0"/>
    <s v="IEC"/>
    <s v="DA-Level Output"/>
    <s v="NO"/>
    <s v="no. of times aired"/>
    <x v="8"/>
    <x v="3"/>
    <s v="1ST SEMESTER"/>
    <x v="0"/>
    <n v="1"/>
    <s v="NO"/>
    <m/>
    <n v="7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TECHNICAL AND SUPPORT SERVICES PROGRAM"/>
    <x v="1"/>
    <s v="Multicommodity_ESETS"/>
    <s v="Extension support activities conducted"/>
    <s v="Extension support activities conducted"/>
    <s v="Other extension support activities conducted"/>
    <x v="51"/>
    <x v="15"/>
    <s v="Information, Education, and Communication Activities"/>
    <s v="Radio Plugs"/>
    <s v="NO"/>
    <s v="PAP"/>
    <s v="PIP"/>
    <s v="PICS"/>
    <s v="Strategic Communication"/>
    <s v="18. Strategic Communications​"/>
    <n v="0"/>
    <s v="IEC"/>
    <s v="DA-Level Output"/>
    <s v="NO"/>
    <s v="no. of times aired"/>
    <x v="9"/>
    <x v="0"/>
    <s v="1ST SEMESTER"/>
    <x v="0"/>
    <n v="1"/>
    <s v="NO"/>
    <m/>
    <n v="7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TECHNICAL AND SUPPORT SERVICES PROGRAM"/>
    <x v="1"/>
    <s v="Multicommodity_ESETS"/>
    <s v="Extension support activities conducted"/>
    <s v="Extension support activities conducted"/>
    <s v="Other extension support activities conducted"/>
    <x v="51"/>
    <x v="15"/>
    <s v="Information, Education, and Communication Activities"/>
    <s v="Radio Plugs"/>
    <s v="NO"/>
    <s v="PAP"/>
    <s v="PIP"/>
    <s v="PICS"/>
    <s v="Strategic Communication"/>
    <s v="18. Strategic Communications​"/>
    <n v="0"/>
    <s v="IEC"/>
    <s v="DA-Level Output"/>
    <s v="NO"/>
    <s v="no. of times aired"/>
    <x v="4"/>
    <x v="0"/>
    <s v="1ST SEMESTER"/>
    <x v="0"/>
    <n v="1"/>
    <s v="NO"/>
    <m/>
    <n v="7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TECHNICAL AND SUPPORT SERVICES PROGRAM"/>
    <x v="1"/>
    <s v="Multicommodity_ESETS"/>
    <s v="Extension support activities conducted"/>
    <s v="Extension support activities conducted"/>
    <s v="Other extension support activities conducted"/>
    <x v="51"/>
    <x v="15"/>
    <s v="Information, Education, and Communication Activities"/>
    <s v="Radio Plugs"/>
    <s v="NO"/>
    <s v="PAP"/>
    <s v="PIP"/>
    <s v="PICS"/>
    <s v="Strategic Communication"/>
    <s v="18. Strategic Communications​"/>
    <n v="0"/>
    <s v="IEC"/>
    <s v="DA-Level Output"/>
    <s v="NO"/>
    <s v="no. of times aired"/>
    <x v="0"/>
    <x v="0"/>
    <s v="1ST SEMESTER"/>
    <x v="0"/>
    <n v="1"/>
    <s v="NO"/>
    <m/>
    <n v="7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TECHNICAL AND SUPPORT SERVICES PROGRAM"/>
    <x v="1"/>
    <s v="Multicommodity_ESETS"/>
    <s v="Extension support activities conducted"/>
    <s v="Extension support activities conducted"/>
    <s v="Other extension support activities conducted"/>
    <x v="52"/>
    <x v="15"/>
    <s v="Information, Education, and Communication Activities"/>
    <s v="TV Plugs"/>
    <s v="NO"/>
    <s v="PAP"/>
    <s v="PIP"/>
    <s v="PICS"/>
    <s v="Strategic Communication"/>
    <s v="18. Strategic Communications​"/>
    <n v="0"/>
    <s v="IEC"/>
    <s v="DA-Level Output"/>
    <s v="NO"/>
    <s v="no. of times aired"/>
    <x v="7"/>
    <x v="3"/>
    <s v="1ST SEMESTER"/>
    <x v="0"/>
    <n v="1"/>
    <s v="NO"/>
    <m/>
    <n v="8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TECHNICAL AND SUPPORT SERVICES PROGRAM"/>
    <x v="1"/>
    <s v="Multicommodity_ESETS"/>
    <s v="Extension support activities conducted"/>
    <s v="Extension support activities conducted"/>
    <s v="Other extension support activities conducted"/>
    <x v="52"/>
    <x v="15"/>
    <s v="Information, Education, and Communication Activities"/>
    <s v="TV Plugs"/>
    <s v="NO"/>
    <s v="PAP"/>
    <s v="PIP"/>
    <s v="PICS"/>
    <s v="Strategic Communication"/>
    <s v="18. Strategic Communications​"/>
    <n v="0"/>
    <s v="IEC"/>
    <s v="DA-Level Output"/>
    <s v="NO"/>
    <s v="no. of times aired"/>
    <x v="9"/>
    <x v="0"/>
    <s v="1ST SEMESTER"/>
    <x v="0"/>
    <n v="1"/>
    <s v="NO"/>
    <m/>
    <n v="8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TECHNICAL AND SUPPORT SERVICES PROGRAM"/>
    <x v="1"/>
    <s v="Multicommodity_ESETS"/>
    <s v="Extension support activities conducted"/>
    <s v="Extension support activities conducted"/>
    <s v="Other extension support activities conducted"/>
    <x v="52"/>
    <x v="15"/>
    <s v="Information, Education, and Communication Activities"/>
    <s v="TV Plugs"/>
    <s v="NO"/>
    <s v="PAP"/>
    <s v="PIP"/>
    <s v="PICS"/>
    <s v="Strategic Communication"/>
    <s v="18. Strategic Communications​"/>
    <n v="0"/>
    <s v="IEC"/>
    <s v="DA-Level Output"/>
    <s v="NO"/>
    <s v="no. of times aired"/>
    <x v="0"/>
    <x v="0"/>
    <s v="1ST SEMESTER"/>
    <x v="0"/>
    <n v="1"/>
    <s v="NO"/>
    <m/>
    <n v="8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TECHNICAL AND SUPPORT SERVICES PROGRAM"/>
    <x v="1"/>
    <s v="Multicommodity_ESETS"/>
    <s v="Extension support activities conducted"/>
    <s v="Extension support activities conducted"/>
    <s v="Other extension support activities conducted"/>
    <x v="52"/>
    <x v="15"/>
    <s v="Information, Education, and Communication Activities"/>
    <s v="TV Plugs"/>
    <s v="NO"/>
    <s v="PAP"/>
    <s v="PIP"/>
    <s v="PICS"/>
    <s v="Strategic Communication"/>
    <s v="18. Strategic Communications​"/>
    <n v="0"/>
    <s v="IEC"/>
    <s v="DA-Level Output"/>
    <s v="NO"/>
    <s v="no. of times aired"/>
    <x v="5"/>
    <x v="1"/>
    <s v="2ND SEMESTER"/>
    <x v="0"/>
    <n v="1"/>
    <s v="NO"/>
    <m/>
    <n v="8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TECHNICAL AND SUPPORT SERVICES PROGRAM"/>
    <x v="1"/>
    <s v="Multicommodity_ESETS"/>
    <s v="Extension support activities conducted"/>
    <s v="Extension support activities conducted"/>
    <s v="Other extension support activities conducted"/>
    <x v="52"/>
    <x v="15"/>
    <s v="Information, Education, and Communication Activities"/>
    <s v="TV Plugs"/>
    <s v="NO"/>
    <s v="PAP"/>
    <s v="PIP"/>
    <s v="PICS"/>
    <s v="Strategic Communication"/>
    <s v="18. Strategic Communications​"/>
    <n v="0"/>
    <s v="IEC"/>
    <s v="DA-Level Output"/>
    <s v="NO"/>
    <s v="no. of times aired"/>
    <x v="2"/>
    <x v="2"/>
    <s v="2ND SEMESTER"/>
    <x v="0"/>
    <n v="1"/>
    <s v="NO"/>
    <m/>
    <n v="8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Yellow Corn"/>
    <s v="Corn"/>
    <s v="TECHNICAL AND SUPPORT SERVICES PROGRAM"/>
    <x v="2"/>
    <s v="Corn_RND"/>
    <s v="Research and development activities conducted"/>
    <s v="Production-related R4D activities conducted"/>
    <s v="New Production-related R4D activities conducted"/>
    <x v="53"/>
    <x v="17"/>
    <s v="RFOs &amp; Bureaus conducted R&amp;D"/>
    <s v="New R&amp;D"/>
    <s v="NO"/>
    <s v="Research"/>
    <s v="PIP"/>
    <s v="PICS"/>
    <s v="Modernization"/>
    <n v="0"/>
    <s v="EXPAND AND IMPROVE AVAILABLE AGRI-FISHERY AREAS FOR INCREASED PRODUCTION"/>
    <s v="R&amp;D"/>
    <s v="DA-Level Output"/>
    <s v="NO"/>
    <s v="number"/>
    <x v="10"/>
    <x v="2"/>
    <s v="2ND SEMESTER"/>
    <x v="0"/>
    <n v="1"/>
    <s v="NO"/>
    <m/>
    <n v="5500"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Bantay Farmers ARB"/>
    <x v="0"/>
    <s v="GATTARAN"/>
    <s v="Cagayan, 1st District"/>
    <n v="21513000"/>
    <s v="1st"/>
    <s v="Yellow Corn"/>
    <s v="Corn"/>
    <s v="AGRICULTURAL  MACHINERY, EQUIPMENT, FACILITIES AND INFRASTRUCTURE PROGRAM"/>
    <x v="3"/>
    <s v="Corn_AMEFSS"/>
    <s v="Production machinery and equipment distributed"/>
    <s v="Agricultural tractor distributed"/>
    <s v="Four-Wheel Tractor Distributed"/>
    <x v="54"/>
    <x v="18"/>
    <s v="Production-related"/>
    <s v="Tracto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2"/>
    <x v="2"/>
    <s v="2ND SEMESTER"/>
    <x v="0"/>
    <n v="1"/>
    <s v="NO"/>
    <m/>
    <n v="31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Taguntungan Farmers Association"/>
    <x v="0"/>
    <s v="BAGGAO"/>
    <s v="Cagayan, 1st District"/>
    <n v="21506000"/>
    <s v="1st"/>
    <s v="Yellow Corn"/>
    <s v="Corn"/>
    <s v="AGRICULTURAL  MACHINERY, EQUIPMENT, FACILITIES AND INFRASTRUCTURE PROGRAM"/>
    <x v="3"/>
    <s v="Corn_AMEFSS"/>
    <s v="Production machinery and equipment distributed"/>
    <s v="Agricultural tractor distributed"/>
    <s v="Four-Wheel Tractor Distributed"/>
    <x v="54"/>
    <x v="18"/>
    <s v="Production-related"/>
    <s v="Tracto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2"/>
    <x v="2"/>
    <s v="2ND SEMESTER"/>
    <x v="0"/>
    <n v="1"/>
    <s v="NO"/>
    <m/>
    <n v="31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Agdidinnanggay Farmers Association"/>
    <x v="0"/>
    <s v="LASAM"/>
    <s v="Cagayan, 2nd District"/>
    <n v="21517000"/>
    <s v="3rd"/>
    <s v="Yellow Corn"/>
    <s v="Corn"/>
    <s v="AGRICULTURAL  MACHINERY, EQUIPMENT, FACILITIES AND INFRASTRUCTURE PROGRAM"/>
    <x v="3"/>
    <s v="Corn_AMEFSS"/>
    <s v="Production machinery and equipment distributed"/>
    <s v="Agricultural tractor distributed"/>
    <s v="Four-Wheel Tractor Distributed"/>
    <x v="54"/>
    <x v="18"/>
    <s v="Production-related"/>
    <s v="Tracto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2"/>
    <x v="2"/>
    <s v="2ND SEMESTER"/>
    <x v="0"/>
    <n v="1"/>
    <s v="NO"/>
    <m/>
    <n v="31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Asosasyon ng mga Ama-Syudad ng Ilagan (AMA-SILA)"/>
    <x v="1"/>
    <s v="CITY OF ILAGAN (Capital)"/>
    <s v="Isabela, 1st District"/>
    <n v="23114000"/>
    <s v="1st"/>
    <s v="Yellow Corn"/>
    <s v="Corn"/>
    <s v="AGRICULTURAL  MACHINERY, EQUIPMENT, FACILITIES AND INFRASTRUCTURE PROGRAM"/>
    <x v="3"/>
    <s v="Corn_AMEFSS"/>
    <s v="Production machinery and equipment distributed"/>
    <s v="Agricultural tractor distributed"/>
    <s v="Four-Wheel Tractor Distributed"/>
    <x v="54"/>
    <x v="18"/>
    <s v="Production-related"/>
    <s v="Tracto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2"/>
    <x v="2"/>
    <s v="2ND SEMESTER"/>
    <x v="0"/>
    <n v="1"/>
    <s v="NO"/>
    <m/>
    <n v="31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Christian Farmers Multi-Purpose Cooperative"/>
    <x v="1"/>
    <s v="CABAGAN"/>
    <s v="Isabela, 1st District"/>
    <n v="23106000"/>
    <s v="1st"/>
    <s v="Yellow Corn"/>
    <s v="Corn"/>
    <s v="AGRICULTURAL  MACHINERY, EQUIPMENT, FACILITIES AND INFRASTRUCTURE PROGRAM"/>
    <x v="3"/>
    <s v="Corn_AMEFSS"/>
    <s v="Production machinery and equipment distributed"/>
    <s v="Agricultural tractor distributed"/>
    <s v="Four-Wheel Tractor Distributed"/>
    <x v="54"/>
    <x v="18"/>
    <s v="Production-related"/>
    <s v="Tracto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2"/>
    <x v="2"/>
    <s v="2ND SEMESTER"/>
    <x v="0"/>
    <n v="1"/>
    <s v="NO"/>
    <m/>
    <n v="31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Dalena Farmers  Agriculture Cooperative"/>
    <x v="1"/>
    <s v="SAN PABLO"/>
    <s v="Isabela, 1st District"/>
    <n v="23133000"/>
    <s v="2nd"/>
    <s v="Yellow Corn"/>
    <s v="Corn"/>
    <s v="AGRICULTURAL  MACHINERY, EQUIPMENT, FACILITIES AND INFRASTRUCTURE PROGRAM"/>
    <x v="3"/>
    <s v="Corn_AMEFSS"/>
    <s v="Production machinery and equipment distributed"/>
    <s v="Agricultural tractor distributed"/>
    <s v="Four-Wheel Tractor Distributed"/>
    <x v="54"/>
    <x v="18"/>
    <s v="Production-related"/>
    <s v="Tracto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2"/>
    <x v="2"/>
    <s v="2ND SEMESTER"/>
    <x v="0"/>
    <n v="1"/>
    <s v="NO"/>
    <m/>
    <n v="31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Cagayan Valley Region Ranchers Association, Inc."/>
    <x v="1"/>
    <s v="SAN MATEO"/>
    <s v="Isabela, 3rd District"/>
    <n v="23132000"/>
    <s v="1st"/>
    <s v="Yellow Corn"/>
    <s v="Corn"/>
    <s v="AGRICULTURAL  MACHINERY, EQUIPMENT, FACILITIES AND INFRASTRUCTURE PROGRAM"/>
    <x v="3"/>
    <s v="Corn_AMEFSS"/>
    <s v="Production machinery and equipment distributed"/>
    <s v="Agricultural tractor distributed"/>
    <s v="Four-Wheel Tractor Distributed"/>
    <x v="54"/>
    <x v="18"/>
    <s v="Production-related"/>
    <s v="Tracto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2"/>
    <x v="2"/>
    <s v="2ND SEMESTER"/>
    <x v="0"/>
    <n v="1"/>
    <s v="NO"/>
    <m/>
    <n v="31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Cagayan Valley Region Ranchers Association, Inc."/>
    <x v="1"/>
    <s v="SAN MATEO"/>
    <s v="Isabela, 3rd District"/>
    <n v="23132000"/>
    <s v="1st"/>
    <s v="Yellow Corn"/>
    <s v="Corn"/>
    <s v="AGRICULTURAL  MACHINERY, EQUIPMENT, FACILITIES AND INFRASTRUCTURE PROGRAM"/>
    <x v="3"/>
    <s v="Corn_AMEFSS"/>
    <s v="Production machinery and equipment distributed"/>
    <s v="Agricultural tractor distributed"/>
    <s v="Four-Wheel Tractor Distributed"/>
    <x v="54"/>
    <x v="18"/>
    <s v="Production-related"/>
    <s v="Tracto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2"/>
    <x v="2"/>
    <s v="2ND SEMESTER"/>
    <x v="0"/>
    <n v="1"/>
    <s v="NO"/>
    <m/>
    <n v="31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Dumanisi Agrarian Reform Beneficiaries Cooperative"/>
    <x v="3"/>
    <s v="DIFFUN"/>
    <s v="Quirino, 1st District"/>
    <n v="25703000"/>
    <s v="2nd"/>
    <s v="Yellow Corn"/>
    <s v="Corn"/>
    <s v="AGRICULTURAL  MACHINERY, EQUIPMENT, FACILITIES AND INFRASTRUCTURE PROGRAM"/>
    <x v="3"/>
    <s v="Corn_AMEFSS"/>
    <s v="Production machinery and equipment distributed"/>
    <s v="Agricultural tractor distributed"/>
    <s v="Four-Wheel Tractor Distributed"/>
    <x v="54"/>
    <x v="18"/>
    <s v="Production-related"/>
    <s v="Tracto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2"/>
    <x v="2"/>
    <s v="2ND SEMESTER"/>
    <x v="0"/>
    <n v="1"/>
    <s v="NO"/>
    <m/>
    <n v="31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Maddela Integrated Farmers Savings Development Cooperative"/>
    <x v="3"/>
    <s v="MADDELA"/>
    <s v="Quirino, 1st District"/>
    <n v="25704000"/>
    <s v="1st"/>
    <s v="Yellow Corn"/>
    <s v="Corn"/>
    <s v="AGRICULTURAL  MACHINERY, EQUIPMENT, FACILITIES AND INFRASTRUCTURE PROGRAM"/>
    <x v="3"/>
    <s v="Corn_AMEFSS"/>
    <s v="Production machinery and equipment distributed"/>
    <s v="Agricultural tractor distributed"/>
    <s v="Four-Wheel Tractor Distributed"/>
    <x v="54"/>
    <x v="18"/>
    <s v="Production-related"/>
    <s v="Tracto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2"/>
    <x v="2"/>
    <s v="2ND SEMESTER"/>
    <x v="0"/>
    <n v="1"/>
    <s v="NO"/>
    <m/>
    <n v="31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Farm Tech Agriculture Cooperative"/>
    <x v="1"/>
    <s v="AURORA"/>
    <s v="Isabela, 5th District"/>
    <n v="23103000"/>
    <s v="3rd"/>
    <s v="Yellow Corn"/>
    <s v="Corn"/>
    <s v="AGRICULTURAL  MACHINERY, EQUIPMENT, FACILITIES AND INFRASTRUCTURE PROGRAM"/>
    <x v="3"/>
    <s v="Corn_AMEFSS"/>
    <s v="Production machinery and equipment distributed"/>
    <s v="Agricultural tractor distributed"/>
    <s v="Four-Wheel Tractor Distributed"/>
    <x v="54"/>
    <x v="18"/>
    <s v="Production-related"/>
    <s v="Tracto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2"/>
    <x v="2"/>
    <s v="2ND SEMESTER"/>
    <x v="0"/>
    <n v="1"/>
    <s v="NO"/>
    <m/>
    <n v="5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Sunrise Multi-Purpose Cooperative"/>
    <x v="0"/>
    <s v="GATTARAN"/>
    <s v="Cagayan, 1st District"/>
    <n v="21513000"/>
    <s v="1st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5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1"/>
    <s v="NO"/>
    <m/>
    <n v="8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Asosasyon ng mga Ama-Syudad ng Ilagan (AMA-SILA)"/>
    <x v="1"/>
    <s v="CITY OF ILAGAN (Capital)"/>
    <s v="Isabela, 1st District"/>
    <n v="23114000"/>
    <s v="1st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5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1"/>
    <s v="NO"/>
    <m/>
    <n v="8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Maddela Integrated Farmers Savings Development Cooperative"/>
    <x v="3"/>
    <s v="MADDELA"/>
    <s v="Quirino, 1st District"/>
    <n v="25704000"/>
    <s v="1st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5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1"/>
    <s v="NO"/>
    <m/>
    <n v="8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Sto. Domingo Multi-Purpose Cooperative"/>
    <x v="0"/>
    <s v="BAGGAO"/>
    <s v="Cagayan, 1st District"/>
    <n v="21506000"/>
    <s v="1st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6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1"/>
    <s v="NO"/>
    <m/>
    <n v="2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Taguntungan Farmers Association"/>
    <x v="0"/>
    <s v="BAGGAO"/>
    <s v="Cagayan, 1st District"/>
    <n v="21506000"/>
    <s v="1st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6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1"/>
    <s v="NO"/>
    <m/>
    <n v="2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San Lorenzo Farmers Cooperative Association"/>
    <x v="0"/>
    <s v="BUGUEY"/>
    <s v="Cagayan, 1st District"/>
    <n v="21508000"/>
    <s v="3rd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6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1"/>
    <s v="NO"/>
    <m/>
    <n v="2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Asosasyon ng mga Ama-Syudad ng Ilagan (AMA-SILA)"/>
    <x v="1"/>
    <s v="CITY OF ILAGAN (Capital)"/>
    <s v="Isabela, 1st District"/>
    <n v="23114000"/>
    <s v="1st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6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1"/>
    <s v="NO"/>
    <m/>
    <n v="2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Christian Farmers Multi-Purpose Cooperative"/>
    <x v="1"/>
    <s v="CABAGAN"/>
    <s v="Isabela, 1st District"/>
    <n v="23106000"/>
    <s v="1st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6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1"/>
    <s v="NO"/>
    <m/>
    <n v="2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Reina Mercedes Farmers Cooperative"/>
    <x v="1"/>
    <s v="REINA MERCEDES"/>
    <s v="Isabela, 2nd District"/>
    <n v="23125000"/>
    <s v="4th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6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1"/>
    <s v="NO"/>
    <m/>
    <n v="2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San Agustin Dairy Cooperative"/>
    <x v="1"/>
    <s v="SAN AGUSTIN"/>
    <s v="Isabela, 4th District"/>
    <n v="23127000"/>
    <s v="3rd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6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1"/>
    <s v="NO"/>
    <m/>
    <n v="2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Upper Forest Region Agrarian Reform Cooperative"/>
    <x v="1"/>
    <s v="ECHAGUE"/>
    <s v="Isabela, 6th District"/>
    <n v="23112000"/>
    <s v="1st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6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1"/>
    <s v="NO"/>
    <m/>
    <n v="2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Maddela Integrated Farmers Savings Development Cooperative"/>
    <x v="3"/>
    <s v="MADDELA"/>
    <s v="Quirino, 1st District"/>
    <n v="25704000"/>
    <s v="1st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6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1"/>
    <s v="NO"/>
    <m/>
    <n v="2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Progreso Farmers Association"/>
    <x v="3"/>
    <s v="AGLIPAY"/>
    <s v="Quirino, 1st District"/>
    <n v="25701000"/>
    <s v="3rd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6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1"/>
    <s v="NO"/>
    <m/>
    <n v="2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Agdidinnanggay Farmers Association"/>
    <x v="0"/>
    <s v="LASAM"/>
    <s v="Cagayan, 2nd District"/>
    <n v="21517000"/>
    <s v="3rd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7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5"/>
    <s v="NO"/>
    <m/>
    <n v="15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Sicalao Agriculture Cooperative"/>
    <x v="0"/>
    <s v="LASAM"/>
    <s v="Cagayan, 2nd District"/>
    <n v="21517000"/>
    <s v="3rd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7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5"/>
    <s v="NO"/>
    <m/>
    <n v="15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Pentur Farmers Cooperative"/>
    <x v="0"/>
    <s v="PEÑABLANCA"/>
    <s v="Cagayan, 3rd District"/>
    <n v="21519000"/>
    <s v="1st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7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5"/>
    <s v="NO"/>
    <m/>
    <n v="15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Sto. Rosario Cassava, Rice and Corn Credit Cooperative"/>
    <x v="1"/>
    <s v="DELFIN ALBANO (MAGSAYSAY)"/>
    <s v="Isabela, 1st District"/>
    <n v="23118000"/>
    <s v="4th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7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5"/>
    <s v="NO"/>
    <m/>
    <n v="15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Samahan ng mga Magsasaka sa Capellan Multi-Purpose Cooperative"/>
    <x v="1"/>
    <s v="CITY OF ILAGAN (Capital)"/>
    <s v="Isabela, 1st District"/>
    <n v="23114000"/>
    <s v="1st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7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5"/>
    <s v="NO"/>
    <m/>
    <n v="15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Bannawing Multi-Purpose Cooperative"/>
    <x v="1"/>
    <s v="JONES"/>
    <s v="Isabela, 4th District"/>
    <n v="23115000"/>
    <s v="1st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7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5"/>
    <s v="NO"/>
    <m/>
    <n v="15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Mabbayad Farmers Association"/>
    <x v="1"/>
    <s v="ECHAGUE"/>
    <s v="Isabela, 6th District"/>
    <n v="23112000"/>
    <s v="1st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7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5"/>
    <s v="NO"/>
    <m/>
    <n v="15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Runruno Multi-Purpose Cooperative"/>
    <x v="2"/>
    <s v="QUEZON"/>
    <s v="Nueva Vizcaya, Lone District"/>
    <n v="25011000"/>
    <s v="4th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7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5"/>
    <s v="NO"/>
    <m/>
    <n v="15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Villarose Farmers Association"/>
    <x v="3"/>
    <s v="CABARROGUIS (Capital)"/>
    <s v="Quirino, 1st District"/>
    <n v="25702000"/>
    <s v="3rd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7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5"/>
    <s v="NO"/>
    <m/>
    <n v="15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San Dionisio 2 Farmers Association"/>
    <x v="3"/>
    <s v="MADDELA"/>
    <s v="Quirino, 1st District"/>
    <n v="25704000"/>
    <s v="1st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7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5"/>
    <s v="NO"/>
    <m/>
    <n v="15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Sunrise Multi-Purpose Cooperative"/>
    <x v="0"/>
    <s v="GATTARAN"/>
    <s v="Cagayan, 1st District"/>
    <n v="21513000"/>
    <s v="1st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8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6"/>
    <x v="1"/>
    <s v="2ND SEMESTER"/>
    <x v="0"/>
    <n v="1"/>
    <s v="NO"/>
    <m/>
    <n v="18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Buguey Diversified Farmers Agriculture Cooperative"/>
    <x v="0"/>
    <s v="BUGUEY"/>
    <s v="Cagayan, 1st District"/>
    <n v="21508000"/>
    <s v="3rd"/>
    <s v="Yellow Corn"/>
    <s v="Corn"/>
    <s v="AGRICULTURAL  MACHINERY, EQUIPMENT, FACILITIES AND INFRASTRUCTURE PROGRAM"/>
    <x v="3"/>
    <s v="Corn_AMEFSS"/>
    <s v="Production machinery and equipment distributed"/>
    <s v="Crop harvesting machinery and equipment distributed"/>
    <s v="Combine Harvester distributed"/>
    <x v="59"/>
    <x v="18"/>
    <s v="Production-related"/>
    <s v="Combine Harvest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2"/>
    <x v="2"/>
    <s v="2ND SEMESTER"/>
    <x v="0"/>
    <n v="1"/>
    <s v="NO"/>
    <m/>
    <n v="21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Penatuca Agrarian Reform Community"/>
    <x v="0"/>
    <s v="LASAM"/>
    <s v="Cagayan, 2nd District"/>
    <n v="21517000"/>
    <s v="3rd"/>
    <s v="Yellow Corn"/>
    <s v="Corn"/>
    <s v="AGRICULTURAL  MACHINERY, EQUIPMENT, FACILITIES AND INFRASTRUCTURE PROGRAM"/>
    <x v="3"/>
    <s v="Corn_AMEFSS"/>
    <s v="Production machinery and equipment distributed"/>
    <s v="Crop harvesting machinery and equipment distributed"/>
    <s v="Combine Harvester distributed"/>
    <x v="59"/>
    <x v="18"/>
    <s v="Production-related"/>
    <s v="Combine Harvest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2"/>
    <x v="2"/>
    <s v="2ND SEMESTER"/>
    <x v="0"/>
    <n v="1"/>
    <s v="NO"/>
    <m/>
    <n v="21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Agdidinnanggay Farmers Association"/>
    <x v="0"/>
    <s v="LASAM"/>
    <s v="Cagayan, 2nd District"/>
    <n v="21517000"/>
    <s v="3rd"/>
    <s v="Yellow Corn"/>
    <s v="Corn"/>
    <s v="AGRICULTURAL  MACHINERY, EQUIPMENT, FACILITIES AND INFRASTRUCTURE PROGRAM"/>
    <x v="3"/>
    <s v="Corn_AMEFSS"/>
    <s v="Production machinery and equipment distributed"/>
    <s v="Crop harvesting machinery and equipment distributed"/>
    <s v="Combine Harvester distributed"/>
    <x v="59"/>
    <x v="18"/>
    <s v="Production-related"/>
    <s v="Combine Harvest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2"/>
    <x v="2"/>
    <s v="2ND SEMESTER"/>
    <x v="0"/>
    <n v="1"/>
    <s v="NO"/>
    <m/>
    <n v="21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Samahan ng mga Magsasaka sa Capellan Multi-Purpose Cooperative"/>
    <x v="1"/>
    <s v="CITY OF ILAGAN (Capital)"/>
    <s v="Isabela, 1st District"/>
    <n v="23114000"/>
    <s v="1st"/>
    <s v="Yellow Corn"/>
    <s v="Corn"/>
    <s v="AGRICULTURAL  MACHINERY, EQUIPMENT, FACILITIES AND INFRASTRUCTURE PROGRAM"/>
    <x v="3"/>
    <s v="Corn_AMEFSS"/>
    <s v="Production machinery and equipment distributed"/>
    <s v="Crop harvesting machinery and equipment distributed"/>
    <s v="Combine Harvester distributed"/>
    <x v="59"/>
    <x v="18"/>
    <s v="Production-related"/>
    <s v="Combine Harvest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2"/>
    <x v="2"/>
    <s v="2ND SEMESTER"/>
    <x v="0"/>
    <n v="1"/>
    <s v="NO"/>
    <m/>
    <n v="21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Reina Mercedes Farmers Cooperative"/>
    <x v="1"/>
    <s v="REINA MERCEDES"/>
    <s v="Isabela, 2nd District"/>
    <n v="23125000"/>
    <s v="4th"/>
    <s v="Yellow Corn"/>
    <s v="Corn"/>
    <s v="AGRICULTURAL  MACHINERY, EQUIPMENT, FACILITIES AND INFRASTRUCTURE PROGRAM"/>
    <x v="3"/>
    <s v="Corn_AMEFSS"/>
    <s v="Production machinery and equipment distributed"/>
    <s v="Crop harvesting machinery and equipment distributed"/>
    <s v="Combine Harvester distributed"/>
    <x v="59"/>
    <x v="18"/>
    <s v="Production-related"/>
    <s v="Combine Harvest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2"/>
    <x v="2"/>
    <s v="2ND SEMESTER"/>
    <x v="0"/>
    <n v="1"/>
    <s v="NO"/>
    <m/>
    <n v="21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Sang-gir iti Mannalon Agri Cooperative"/>
    <x v="1"/>
    <s v="NAGUILIAN"/>
    <s v="Isabela, 2nd District"/>
    <n v="23120000"/>
    <s v="4th"/>
    <s v="Yellow Corn"/>
    <s v="Corn"/>
    <s v="AGRICULTURAL  MACHINERY, EQUIPMENT, FACILITIES AND INFRASTRUCTURE PROGRAM"/>
    <x v="3"/>
    <s v="Corn_AMEFSS"/>
    <s v="Production machinery and equipment distributed"/>
    <s v="Crop harvesting machinery and equipment distributed"/>
    <s v="Combine Harvester distributed"/>
    <x v="59"/>
    <x v="18"/>
    <s v="Production-related"/>
    <s v="Combine Harvest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2"/>
    <x v="2"/>
    <s v="2ND SEMESTER"/>
    <x v="0"/>
    <n v="1"/>
    <s v="NO"/>
    <m/>
    <n v="21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Angadanan Forest Region Agrarian Reform Cooperative"/>
    <x v="1"/>
    <s v="ANGADANAN"/>
    <s v="Isabela, 3rd District"/>
    <n v="23102000"/>
    <s v="3rd"/>
    <s v="Yellow Corn"/>
    <s v="Corn"/>
    <s v="AGRICULTURAL  MACHINERY, EQUIPMENT, FACILITIES AND INFRASTRUCTURE PROGRAM"/>
    <x v="3"/>
    <s v="Corn_AMEFSS"/>
    <s v="Production machinery and equipment distributed"/>
    <s v="Crop harvesting machinery and equipment distributed"/>
    <s v="Combine Harvester distributed"/>
    <x v="59"/>
    <x v="18"/>
    <s v="Production-related"/>
    <s v="Combine Harvest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2"/>
    <x v="2"/>
    <s v="2ND SEMESTER"/>
    <x v="0"/>
    <n v="1"/>
    <s v="NO"/>
    <m/>
    <n v="21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Wigan Settlers Multi-Purpose Cooperative"/>
    <x v="1"/>
    <s v="CORDON"/>
    <s v="Isabela, 4th District"/>
    <n v="23109000"/>
    <s v="3rd"/>
    <s v="Yellow Corn"/>
    <s v="Corn"/>
    <s v="AGRICULTURAL  MACHINERY, EQUIPMENT, FACILITIES AND INFRASTRUCTURE PROGRAM"/>
    <x v="3"/>
    <s v="Corn_AMEFSS"/>
    <s v="Production machinery and equipment distributed"/>
    <s v="Crop harvesting machinery and equipment distributed"/>
    <s v="Combine Harvester distributed"/>
    <x v="59"/>
    <x v="18"/>
    <s v="Production-related"/>
    <s v="Combine Harvest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2"/>
    <x v="2"/>
    <s v="2ND SEMESTER"/>
    <x v="0"/>
    <n v="1"/>
    <s v="NO"/>
    <m/>
    <n v="21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Progreso Farmers Association"/>
    <x v="3"/>
    <s v="AGLIPAY"/>
    <s v="Quirino, 1st District"/>
    <n v="25701000"/>
    <s v="3rd"/>
    <s v="Yellow Corn"/>
    <s v="Corn"/>
    <s v="AGRICULTURAL  MACHINERY, EQUIPMENT, FACILITIES AND INFRASTRUCTURE PROGRAM"/>
    <x v="3"/>
    <s v="Corn_AMEFSS"/>
    <s v="Production machinery and equipment distributed"/>
    <s v="Crop harvesting machinery and equipment distributed"/>
    <s v="Combine Harvester distributed"/>
    <x v="59"/>
    <x v="18"/>
    <s v="Production-related"/>
    <s v="Combine Harvest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2"/>
    <x v="2"/>
    <s v="2ND SEMESTER"/>
    <x v="0"/>
    <n v="1"/>
    <s v="NO"/>
    <m/>
    <n v="21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Nagtipunan Upland Farmers Agriculture Cooperative"/>
    <x v="3"/>
    <s v="NAGTIPUNAN"/>
    <s v="Quirino, 1st District"/>
    <n v="25706000"/>
    <s v="1st"/>
    <s v="Yellow Corn"/>
    <s v="Corn"/>
    <s v="AGRICULTURAL  MACHINERY, EQUIPMENT, FACILITIES AND INFRASTRUCTURE PROGRAM"/>
    <x v="3"/>
    <s v="Corn_AMEFSS"/>
    <s v="Production machinery and equipment distributed"/>
    <s v="Crop harvesting machinery and equipment distributed"/>
    <s v="Combine Harvester distributed"/>
    <x v="59"/>
    <x v="18"/>
    <s v="Production-related"/>
    <s v="Combine Harvest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s v="NO"/>
    <s v="number"/>
    <x v="2"/>
    <x v="2"/>
    <s v="2ND SEMESTER"/>
    <x v="0"/>
    <n v="1"/>
    <s v="NO"/>
    <m/>
    <n v="21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Salamin Multi-Purpose Cooperative"/>
    <x v="0"/>
    <s v="TUAO"/>
    <s v="Cagayan, 3rd District"/>
    <n v="21528000"/>
    <s v="1st"/>
    <s v="Yellow Corn"/>
    <s v="Corn"/>
    <s v="AGRICULTURAL  MACHINERY, EQUIPMENT, FACILITIES AND INFRASTRUCTURE PROGRAM"/>
    <x v="3"/>
    <s v="Corn_AMEFSS"/>
    <s v="Commodity transport and logistics machinery and equipment distributed"/>
    <s v="Hauling machinery and equipment distributed"/>
    <s v="Hauling vehicle distributed"/>
    <x v="60"/>
    <x v="19"/>
    <s v="Postharvest-related"/>
    <s v="Hauling truck"/>
    <s v="NO"/>
    <s v="PAP"/>
    <s v="PIP"/>
    <s v="PICS"/>
    <s v="Modernization"/>
    <s v="8. Farm Mechanization and Farm Investments"/>
    <s v="DEVELOP EFFICIENT LOGISTICS SYSTEMS FOR BOTH INPUT AND PRODUCTION OUTPUT"/>
    <s v="Postharvest-related"/>
    <s v="DA-Level Output"/>
    <s v="NO"/>
    <s v="number"/>
    <x v="2"/>
    <x v="2"/>
    <s v="2ND SEMESTER"/>
    <x v="0"/>
    <n v="1"/>
    <s v="NO"/>
    <m/>
    <n v="22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Angadanan Forest Region Agrarian Reform Cooperative"/>
    <x v="1"/>
    <s v="ANGADANAN"/>
    <s v="Isabela, 3rd District"/>
    <n v="23102000"/>
    <s v="3rd"/>
    <s v="Yellow Corn"/>
    <s v="Corn"/>
    <s v="AGRICULTURAL  MACHINERY, EQUIPMENT, FACILITIES AND INFRASTRUCTURE PROGRAM"/>
    <x v="3"/>
    <s v="Corn_AMEFSS"/>
    <s v="Commodity transport and logistics machinery and equipment distributed"/>
    <s v="Hauling machinery and equipment distributed"/>
    <s v="Hauling vehicle distributed"/>
    <x v="60"/>
    <x v="19"/>
    <s v="Postharvest-related"/>
    <s v="Hauling truck"/>
    <s v="NO"/>
    <s v="PAP"/>
    <s v="PIP"/>
    <s v="PICS"/>
    <s v="Modernization"/>
    <s v="8. Farm Mechanization and Farm Investments"/>
    <s v="DEVELOP EFFICIENT LOGISTICS SYSTEMS FOR BOTH INPUT AND PRODUCTION OUTPUT"/>
    <s v="Postharvest-related"/>
    <s v="DA-Level Output"/>
    <s v="NO"/>
    <s v="number"/>
    <x v="2"/>
    <x v="2"/>
    <s v="2ND SEMESTER"/>
    <x v="0"/>
    <n v="1"/>
    <s v="NO"/>
    <m/>
    <n v="22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Valley High Value Agriculture Cooperative"/>
    <x v="1"/>
    <s v="ECHAGUE"/>
    <s v="Isabela, 6th District"/>
    <n v="23112000"/>
    <s v="1st"/>
    <s v="Yellow Corn"/>
    <s v="Corn"/>
    <s v="AGRICULTURAL  MACHINERY, EQUIPMENT, FACILITIES AND INFRASTRUCTURE PROGRAM"/>
    <x v="3"/>
    <s v="Corn_AMEFSS"/>
    <s v="Commodity transport and logistics machinery and equipment distributed"/>
    <s v="Hauling machinery and equipment distributed"/>
    <s v="Hauling vehicle distributed"/>
    <x v="60"/>
    <x v="19"/>
    <s v="Postharvest-related"/>
    <s v="Hauling truck"/>
    <s v="NO"/>
    <s v="PAP"/>
    <s v="PIP"/>
    <s v="PICS"/>
    <s v="Modernization"/>
    <s v="8. Farm Mechanization and Farm Investments"/>
    <s v="DEVELOP EFFICIENT LOGISTICS SYSTEMS FOR BOTH INPUT AND PRODUCTION OUTPUT"/>
    <s v="Postharvest-related"/>
    <s v="DA-Level Output"/>
    <s v="NO"/>
    <s v="number"/>
    <x v="2"/>
    <x v="2"/>
    <s v="2ND SEMESTER"/>
    <x v="0"/>
    <n v="1"/>
    <s v="NO"/>
    <m/>
    <n v="22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Runruno Multi-Purpose Cooperative"/>
    <x v="2"/>
    <s v="QUEZON"/>
    <s v="Nueva Vizcaya, Lone District"/>
    <n v="25011000"/>
    <s v="4th"/>
    <s v="Yellow Corn"/>
    <s v="Corn"/>
    <s v="AGRICULTURAL  MACHINERY, EQUIPMENT, FACILITIES AND INFRASTRUCTURE PROGRAM"/>
    <x v="3"/>
    <s v="Corn_AMEFSS"/>
    <s v="Commodity transport and logistics machinery and equipment distributed"/>
    <s v="Hauling machinery and equipment distributed"/>
    <s v="Hauling vehicle distributed"/>
    <x v="60"/>
    <x v="19"/>
    <s v="Postharvest-related"/>
    <s v="Hauling truck"/>
    <s v="NO"/>
    <s v="PAP"/>
    <s v="PIP"/>
    <s v="PICS"/>
    <s v="Modernization"/>
    <s v="8. Farm Mechanization and Farm Investments"/>
    <s v="DEVELOP EFFICIENT LOGISTICS SYSTEMS FOR BOTH INPUT AND PRODUCTION OUTPUT"/>
    <s v="Postharvest-related"/>
    <s v="DA-Level Output"/>
    <s v="NO"/>
    <s v="number"/>
    <x v="2"/>
    <x v="2"/>
    <s v="2ND SEMESTER"/>
    <x v="0"/>
    <n v="1"/>
    <s v="NO"/>
    <m/>
    <n v="22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Maddela Integrated Farmers Savings Development Cooperative"/>
    <x v="3"/>
    <s v="MADDELA"/>
    <s v="Quirino, 1st District"/>
    <n v="25704000"/>
    <s v="1st"/>
    <s v="Yellow Corn"/>
    <s v="Corn"/>
    <s v="AGRICULTURAL  MACHINERY, EQUIPMENT, FACILITIES AND INFRASTRUCTURE PROGRAM"/>
    <x v="3"/>
    <s v="Corn_AMEFSS"/>
    <s v="Commodity transport and logistics machinery and equipment distributed"/>
    <s v="Hauling machinery and equipment distributed"/>
    <s v="Hauling vehicle distributed"/>
    <x v="60"/>
    <x v="19"/>
    <s v="Postharvest-related"/>
    <s v="Hauling truck"/>
    <s v="NO"/>
    <s v="PAP"/>
    <s v="PIP"/>
    <s v="PICS"/>
    <s v="Modernization"/>
    <s v="8. Farm Mechanization and Farm Investments"/>
    <s v="DEVELOP EFFICIENT LOGISTICS SYSTEMS FOR BOTH INPUT AND PRODUCTION OUTPUT"/>
    <s v="Postharvest-related"/>
    <s v="DA-Level Output"/>
    <s v="NO"/>
    <s v="number"/>
    <x v="2"/>
    <x v="2"/>
    <s v="2ND SEMESTER"/>
    <x v="0"/>
    <n v="1"/>
    <s v="NO"/>
    <m/>
    <n v="22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White Corn Growers Association"/>
    <x v="0"/>
    <s v="ALCALA"/>
    <s v="Cagayan, 1st District"/>
    <n v="21502000"/>
    <s v="3rd"/>
    <s v="Yellow Corn"/>
    <s v="Corn"/>
    <s v="AGRICULTURAL  MACHINERY, EQUIPMENT, FACILITIES AND INFRASTRUCTURE PROGRAM"/>
    <x v="3"/>
    <s v="Corn_AMEFSS"/>
    <s v="Postharvest machinery and equipment distributed"/>
    <s v="Crop processing machinery and equipment distributed"/>
    <s v="Milling equipment distributed"/>
    <x v="61"/>
    <x v="20"/>
    <s v="Processing-related"/>
    <s v="Corn mill"/>
    <s v="NO"/>
    <s v="PAP"/>
    <s v="PIP"/>
    <s v="PICS"/>
    <s v="Modernization"/>
    <s v="8. Farm Mechanization and Farm Investments"/>
    <s v="DEVELOP AND IMPROVE POST-HARVEST SYSTEMS AND INFRASTRUCTURE"/>
    <s v="Processing-related"/>
    <s v="DA-Level Output"/>
    <s v="NO"/>
    <s v="number"/>
    <x v="2"/>
    <x v="2"/>
    <s v="2ND SEMESTER"/>
    <x v="0"/>
    <n v="1"/>
    <s v="NO"/>
    <m/>
    <n v="22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CAUAYAN"/>
    <s v="Isabela, 6th District"/>
    <n v="23108000"/>
    <s v="3rd"/>
    <s v="Yellow Corn"/>
    <s v="Corn"/>
    <s v="AGRICULTURAL  MACHINERY, EQUIPMENT, FACILITIES AND INFRASTRUCTURE PROGRAM"/>
    <x v="3"/>
    <s v="Corn_AMEFSS"/>
    <s v="Postharvest machinery and equipment distributed"/>
    <s v="Crop processing machinery and equipment distributed"/>
    <s v="Milling equipment distributed"/>
    <x v="61"/>
    <x v="20"/>
    <s v="Processing-related"/>
    <s v="Corn mill"/>
    <s v="NO"/>
    <s v="PAP"/>
    <s v="PIP"/>
    <s v="PICS"/>
    <s v="Modernization"/>
    <s v="8. Farm Mechanization and Farm Investments"/>
    <s v="DEVELOP AND IMPROVE POST-HARVEST SYSTEMS AND INFRASTRUCTURE"/>
    <s v="Processing-related"/>
    <s v="DA-Level Output"/>
    <s v="NO"/>
    <s v="number"/>
    <x v="2"/>
    <x v="2"/>
    <s v="2ND SEMESTER"/>
    <x v="0"/>
    <n v="1"/>
    <s v="NO"/>
    <m/>
    <n v="22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New Tumauini Tobacco Agriculture Cooperative"/>
    <x v="1"/>
    <s v="TUMAUINI"/>
    <s v="Isabela, 1st District"/>
    <n v="23137000"/>
    <s v="1st"/>
    <s v="Yellow Corn"/>
    <s v="Corn"/>
    <s v="AGRICULTURAL  MACHINERY, EQUIPMENT, FACILITIES AND INFRASTRUCTURE PROGRAM"/>
    <x v="3"/>
    <s v="Corn_AMEFSS"/>
    <s v="Postharvest facility constructed"/>
    <s v="Crop drying facility constructed"/>
    <s v="Multi-crop drying pavement (MCDP) constructed"/>
    <x v="62"/>
    <x v="21"/>
    <s v="Postharvest facilities"/>
    <s v="Multi Crop Drying Pavement (MCDP) "/>
    <s v="YES"/>
    <s v="PAP"/>
    <s v="PIP"/>
    <s v="PICS"/>
    <s v="Modernization"/>
    <s v="8. Farm Mechanization and Farm Investments"/>
    <s v="DEVELOP AND IMPROVE POST-HARVEST SYSTEMS AND INFRASTRUCTURE"/>
    <s v="Postharvest facilities"/>
    <s v="DA-Level Output"/>
    <s v="NO"/>
    <s v="number"/>
    <x v="2"/>
    <x v="2"/>
    <s v="2ND SEMESTER"/>
    <x v="0"/>
    <n v="1"/>
    <s v="NO"/>
    <m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Villa Luna Multi-Purpose Cooperative"/>
    <x v="1"/>
    <s v="CITY OF CAUAYAN"/>
    <s v="Isabela, 6th District"/>
    <n v="23108000"/>
    <s v="3rd"/>
    <s v="Yellow Corn"/>
    <s v="Corn"/>
    <s v="AGRICULTURAL  MACHINERY, EQUIPMENT, FACILITIES AND INFRASTRUCTURE PROGRAM"/>
    <x v="3"/>
    <s v="Corn_AMEFSS"/>
    <s v="Postharvest facility constructed"/>
    <s v="Crop drying facility constructed"/>
    <s v="Multi-crop drying pavement (MCDP) constructed"/>
    <x v="62"/>
    <x v="21"/>
    <s v="Postharvest facilities"/>
    <s v="Multi Crop Drying Pavement (MCDP) "/>
    <s v="YES"/>
    <s v="PAP"/>
    <s v="PIP"/>
    <s v="PICS"/>
    <s v="Modernization"/>
    <s v="8. Farm Mechanization and Farm Investments"/>
    <s v="DEVELOP AND IMPROVE POST-HARVEST SYSTEMS AND INFRASTRUCTURE"/>
    <s v="Postharvest facilities"/>
    <s v="DA-Level Output"/>
    <s v="NO"/>
    <s v="number"/>
    <x v="2"/>
    <x v="2"/>
    <s v="2ND SEMESTER"/>
    <x v="0"/>
    <n v="1"/>
    <s v="NO"/>
    <m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Diodol Farmers Association"/>
    <x v="3"/>
    <s v="AGLIPAY"/>
    <s v="Quirino, 1st District"/>
    <n v="25701000"/>
    <s v="3rd"/>
    <s v="Yellow Corn"/>
    <s v="Corn"/>
    <s v="AGRICULTURAL  MACHINERY, EQUIPMENT, FACILITIES AND INFRASTRUCTURE PROGRAM"/>
    <x v="3"/>
    <s v="Corn_AMEFSS"/>
    <s v="Postharvest facility constructed"/>
    <s v="Crop drying facility constructed"/>
    <s v="Multi-crop drying pavement (MCDP) constructed"/>
    <x v="62"/>
    <x v="21"/>
    <s v="Postharvest facilities"/>
    <s v="Multi Crop Drying Pavement (MCDP) "/>
    <s v="YES"/>
    <s v="PAP"/>
    <s v="PIP"/>
    <s v="PICS"/>
    <s v="Modernization"/>
    <s v="8. Farm Mechanization and Farm Investments"/>
    <s v="DEVELOP AND IMPROVE POST-HARVEST SYSTEMS AND INFRASTRUCTURE"/>
    <s v="Postharvest facilities"/>
    <s v="DA-Level Output"/>
    <s v="NO"/>
    <s v="number"/>
    <x v="2"/>
    <x v="2"/>
    <s v="2ND SEMESTER"/>
    <x v="0"/>
    <n v="1"/>
    <s v="NO"/>
    <m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Banuar Farmers Association"/>
    <x v="3"/>
    <s v="CABARROGUIS (Capital)"/>
    <s v="Quirino, 1st District"/>
    <n v="25702000"/>
    <s v="3rd"/>
    <s v="Yellow Corn"/>
    <s v="Corn"/>
    <s v="AGRICULTURAL  MACHINERY, EQUIPMENT, FACILITIES AND INFRASTRUCTURE PROGRAM"/>
    <x v="3"/>
    <s v="Corn_AMEFSS"/>
    <s v="Postharvest facility constructed"/>
    <s v="Crop drying facility constructed"/>
    <s v="Multi-crop drying pavement (MCDP) constructed"/>
    <x v="62"/>
    <x v="21"/>
    <s v="Postharvest facilities"/>
    <s v="Multi Crop Drying Pavement (MCDP) "/>
    <s v="YES"/>
    <s v="PAP"/>
    <s v="PIP"/>
    <s v="PICS"/>
    <s v="Modernization"/>
    <s v="8. Farm Mechanization and Farm Investments"/>
    <s v="DEVELOP AND IMPROVE POST-HARVEST SYSTEMS AND INFRASTRUCTURE"/>
    <s v="Postharvest facilities"/>
    <s v="DA-Level Output"/>
    <s v="NO"/>
    <s v="number"/>
    <x v="3"/>
    <x v="2"/>
    <s v="2ND SEMESTER"/>
    <x v="0"/>
    <n v="1"/>
    <s v="NO"/>
    <m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Ricarte Sur Farmers Association"/>
    <x v="3"/>
    <s v="DIFFUN"/>
    <s v="Quirino, 1st District"/>
    <n v="25703000"/>
    <s v="2nd"/>
    <s v="Yellow Corn"/>
    <s v="Corn"/>
    <s v="AGRICULTURAL  MACHINERY, EQUIPMENT, FACILITIES AND INFRASTRUCTURE PROGRAM"/>
    <x v="3"/>
    <s v="Corn_AMEFSS"/>
    <s v="Postharvest facility constructed"/>
    <s v="Crop drying facility constructed"/>
    <s v="Multi-crop drying pavement (MCDP) constructed"/>
    <x v="62"/>
    <x v="21"/>
    <s v="Postharvest facilities"/>
    <s v="Multi Crop Drying Pavement (MCDP) "/>
    <s v="YES"/>
    <s v="PAP"/>
    <s v="PIP"/>
    <s v="PICS"/>
    <s v="Modernization"/>
    <s v="8. Farm Mechanization and Farm Investments"/>
    <s v="DEVELOP AND IMPROVE POST-HARVEST SYSTEMS AND INFRASTRUCTURE"/>
    <s v="Postharvest facilities"/>
    <s v="DA-Level Output"/>
    <s v="NO"/>
    <s v="number"/>
    <x v="3"/>
    <x v="2"/>
    <s v="2ND SEMESTER"/>
    <x v="0"/>
    <n v="1"/>
    <s v="NO"/>
    <m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Villa TJ Upland Farmers Association"/>
    <x v="1"/>
    <s v="DELFIN ALBANO (MAGSAYSAY)"/>
    <s v="Isabela, 1st District"/>
    <n v="23118000"/>
    <s v="4th"/>
    <s v="Cassava"/>
    <s v="Cassava"/>
    <s v="AGRICULTURAL  MACHINERY, EQUIPMENT, FACILITIES AND INFRASTRUCTURE PROGRAM"/>
    <x v="3"/>
    <s v="Cassava_AMEFSS"/>
    <s v="Other machinery and equipment distributed"/>
    <s v="Other machinery and equipment distributed"/>
    <s v="Solar Bubble Dryer distributed_PSS"/>
    <x v="63"/>
    <x v="19"/>
    <s v="Postharvest-related"/>
    <s v="Solar Bubble Dryer"/>
    <s v="YES"/>
    <s v="PAP"/>
    <s v="PIP"/>
    <s v="PICS"/>
    <s v="Modernization"/>
    <s v="8. Farm Mechanization and Farm Investments"/>
    <s v="DEVELOP AND IMPROVE POST-HARVEST SYSTEMS AND INFRASTRUCTURE"/>
    <s v="Postharvest-related"/>
    <s v="DA-Level Output"/>
    <s v="NO"/>
    <s v="number"/>
    <x v="6"/>
    <x v="1"/>
    <s v="2ND SEMESTER"/>
    <x v="0"/>
    <n v="10"/>
    <s v="NO"/>
    <m/>
    <n v="2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Bannawing Multi-Purpose Cooperative"/>
    <x v="1"/>
    <s v="JONES"/>
    <s v="Isabela, 4th District"/>
    <n v="23115000"/>
    <s v="1st"/>
    <s v="Cassava"/>
    <s v="Cassava"/>
    <s v="AGRICULTURAL  MACHINERY, EQUIPMENT, FACILITIES AND INFRASTRUCTURE PROGRAM"/>
    <x v="3"/>
    <s v="Cassava_AMEFSS"/>
    <s v="Other machinery and equipment distributed"/>
    <s v="Other machinery and equipment distributed"/>
    <s v="Solar Bubble Dryer distributed_PSS"/>
    <x v="63"/>
    <x v="19"/>
    <s v="Postharvest-related"/>
    <s v="Solar Bubble Dryer"/>
    <s v="YES"/>
    <s v="PAP"/>
    <s v="PIP"/>
    <s v="PICS"/>
    <s v="Modernization"/>
    <s v="8. Farm Mechanization and Farm Investments"/>
    <s v="DEVELOP AND IMPROVE POST-HARVEST SYSTEMS AND INFRASTRUCTURE"/>
    <s v="Postharvest-related"/>
    <s v="DA-Level Output"/>
    <s v="NO"/>
    <s v="number"/>
    <x v="6"/>
    <x v="1"/>
    <s v="2ND SEMESTER"/>
    <x v="0"/>
    <n v="5"/>
    <s v="NO"/>
    <m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Cabugao Multi-Crop Farmers Cooperative"/>
    <x v="1"/>
    <s v="CITY OF CAUAYAN"/>
    <s v="Isabela, 6th District"/>
    <n v="23108000"/>
    <s v="3rd"/>
    <s v="Cassava"/>
    <s v="Cassava"/>
    <s v="AGRICULTURAL  MACHINERY, EQUIPMENT, FACILITIES AND INFRASTRUCTURE PROGRAM"/>
    <x v="3"/>
    <s v="Cassava_AMEFSS"/>
    <s v="Other machinery and equipment distributed"/>
    <s v="Other machinery and equipment distributed"/>
    <s v="Solar Bubble Dryer distributed_PSS"/>
    <x v="63"/>
    <x v="19"/>
    <s v="Postharvest-related"/>
    <s v="Solar Bubble Dryer"/>
    <s v="YES"/>
    <s v="PAP"/>
    <s v="PIP"/>
    <s v="PICS"/>
    <s v="Modernization"/>
    <s v="8. Farm Mechanization and Farm Investments"/>
    <s v="DEVELOP AND IMPROVE POST-HARVEST SYSTEMS AND INFRASTRUCTURE"/>
    <s v="Postharvest-related"/>
    <s v="DA-Level Output"/>
    <s v="NO"/>
    <s v="number"/>
    <x v="6"/>
    <x v="1"/>
    <s v="2ND SEMESTER"/>
    <x v="0"/>
    <n v="5"/>
    <s v="NO"/>
    <m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San Mariano Diversified Producers Cooperative"/>
    <x v="1"/>
    <s v="SAN MARIANO"/>
    <s v="Isabela, 2nd District"/>
    <n v="23131000"/>
    <s v="1st"/>
    <s v="Cassava"/>
    <s v="Cassava"/>
    <s v="AGRICULTURAL  MACHINERY, EQUIPMENT, FACILITIES AND INFRASTRUCTURE PROGRAM"/>
    <x v="3"/>
    <s v="Cassava_AMEFSS"/>
    <s v="Other infrastructure constructed"/>
    <s v="Other infrastructure constructed"/>
    <s v="Water treatment system facility constructed"/>
    <x v="64"/>
    <x v="20"/>
    <s v="Processing-related"/>
    <s v="Waster Water Treatment System"/>
    <s v="NO"/>
    <s v="PAP"/>
    <s v="PIP"/>
    <s v="PICS"/>
    <s v="Modernization"/>
    <s v="8. Farm Mechanization and Farm Investments"/>
    <s v="DEVELOP AND IMPROVE POST-HARVEST SYSTEMS AND INFRASTRUCTURE"/>
    <s v="Processing facilities"/>
    <s v="DA-Level Output"/>
    <s v="NO"/>
    <s v="number"/>
    <x v="10"/>
    <x v="2"/>
    <s v="2ND SEMESTER"/>
    <x v="0"/>
    <n v="1"/>
    <s v="NO"/>
    <m/>
    <n v="20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s v="Agani Multi-Purpose Cooperative"/>
    <x v="0"/>
    <s v="ALCALA"/>
    <s v="Cagayan, 1st District"/>
    <n v="21502000"/>
    <s v="3rd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5"/>
    <x v="1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0"/>
    <s v="ALCALA"/>
    <s v="Cagayan, 1st District"/>
    <n v="21502000"/>
    <s v="3rd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5"/>
    <x v="1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San Esteban Farmers Cooperative"/>
    <x v="0"/>
    <s v="ALCALA"/>
    <s v="Cagayan, 1st District"/>
    <n v="21502000"/>
    <s v="3rd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5"/>
    <x v="1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0"/>
    <s v="ALCALA"/>
    <s v="Cagayan, 1st District"/>
    <n v="21502000"/>
    <s v="3rd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5"/>
    <x v="1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White Corn Growers Association"/>
    <x v="0"/>
    <s v="ALCALA"/>
    <s v="Cagayan, 1st District"/>
    <n v="21502000"/>
    <s v="3rd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5"/>
    <x v="1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0"/>
    <s v="ALCALA"/>
    <s v="Cagayan, 1st District"/>
    <n v="21502000"/>
    <s v="3rd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5"/>
    <x v="1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Aquib Farmers Association"/>
    <x v="0"/>
    <s v="PIAT"/>
    <s v="Cagayan, 2nd District"/>
    <n v="21520000"/>
    <s v="4th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5"/>
    <x v="1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0"/>
    <s v="PIAT"/>
    <s v="Cagayan, 2nd District"/>
    <n v="21520000"/>
    <s v="4th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5"/>
    <x v="1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Apayao Piat Agiculture Cooperative"/>
    <x v="0"/>
    <s v="PIAT"/>
    <s v="Cagayan, 2nd District"/>
    <n v="21520000"/>
    <s v="4th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5"/>
    <x v="1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0"/>
    <s v="PIAT"/>
    <s v="Cagayan, 2nd District"/>
    <n v="21520000"/>
    <s v="4th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5"/>
    <x v="1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Masi Farmers Association/Pagbangkeruan Farmers Association"/>
    <x v="0"/>
    <s v="PAMPLONA"/>
    <s v="Cagayan, 2nd District"/>
    <n v="21518000"/>
    <s v="4th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6"/>
    <x v="1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0"/>
    <s v="PAMPLONA"/>
    <s v="Cagayan, 2nd District"/>
    <n v="21518000"/>
    <s v="4th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6"/>
    <x v="1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San Isidro Solidarity Farmers Association"/>
    <x v="0"/>
    <s v="IGUIG"/>
    <s v="Cagayan, 3rd District"/>
    <n v="21515000"/>
    <s v="4th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6"/>
    <x v="1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0"/>
    <s v="IGUIG"/>
    <s v="Cagayan, 3rd District"/>
    <n v="21515000"/>
    <s v="4th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6"/>
    <x v="1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San Isidro Labrador Agriculture Cooperative"/>
    <x v="0"/>
    <s v="ENRILE"/>
    <s v="Cagayan, 3rd District"/>
    <n v="21512000"/>
    <s v="3rd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6"/>
    <x v="1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0"/>
    <s v="ENRILE"/>
    <s v="Cagayan, 3rd District"/>
    <n v="21512000"/>
    <s v="3rd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6"/>
    <x v="1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Inga Farmers Association"/>
    <x v="0"/>
    <s v="ENRILE"/>
    <s v="Cagayan, 3rd District"/>
    <n v="21512000"/>
    <s v="3rd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6"/>
    <x v="1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0"/>
    <s v="ENRILE"/>
    <s v="Cagayan, 3rd District"/>
    <n v="21512000"/>
    <s v="3rd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6"/>
    <x v="1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Lemu Farmers Agriculture Cooperative"/>
    <x v="0"/>
    <s v="ENRILE"/>
    <s v="Cagayan, 3rd District"/>
    <n v="21512000"/>
    <s v="3rd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6"/>
    <x v="1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0"/>
    <s v="ENRILE"/>
    <s v="Cagayan, 3rd District"/>
    <n v="21512000"/>
    <s v="3rd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6"/>
    <x v="1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Simanu ARB"/>
    <x v="1"/>
    <s v="SAN PABLO"/>
    <s v="Isabela, 1st District"/>
    <n v="23133000"/>
    <s v="2nd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5"/>
    <x v="1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1"/>
    <s v="SAN PABLO"/>
    <s v="Isabela, 1st District"/>
    <n v="23133000"/>
    <s v="2nd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5"/>
    <x v="1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Dalena Farmers Agricultural Cooperative"/>
    <x v="1"/>
    <s v="SAN PABLO"/>
    <s v="Isabela, 1st District"/>
    <n v="23133000"/>
    <s v="2nd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5"/>
    <x v="1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1"/>
    <s v="SAN PABLO"/>
    <s v="Isabela, 1st District"/>
    <n v="23133000"/>
    <s v="2nd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5"/>
    <x v="1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Christian Farmers MPC"/>
    <x v="1"/>
    <s v="CABAGAN"/>
    <s v="Isabela, 1st District"/>
    <n v="23106000"/>
    <s v="1st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5"/>
    <x v="1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1"/>
    <s v="CABAGAN"/>
    <s v="Isabela, 1st District"/>
    <n v="23106000"/>
    <s v="1st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5"/>
    <x v="1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Samahan ng mga Magsasaka sa Capellan Multi-Purpose Cooperative"/>
    <x v="1"/>
    <s v="CITY OF ILAGAN (Capital)"/>
    <s v="Isabela, 1st District"/>
    <n v="23114000"/>
    <s v="1st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5"/>
    <x v="1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ILAGAN (Capital)"/>
    <s v="Isabela, 1st District"/>
    <n v="23114000"/>
    <s v="1st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5"/>
    <x v="1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Holy Trinity Agro-Forestry Multi-Purpose Cooperative"/>
    <x v="1"/>
    <s v="CITY OF ILAGAN (Capital)"/>
    <s v="Isabela, 1st District"/>
    <n v="23114000"/>
    <s v="1st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5"/>
    <x v="1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ILAGAN (Capital)"/>
    <s v="Isabela, 1st District"/>
    <n v="23114000"/>
    <s v="1st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5"/>
    <x v="1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Cabisera 25 Multi-Crop Farmers Association"/>
    <x v="1"/>
    <s v="CITY OF ILAGAN (Capital)"/>
    <s v="Isabela, 1st District"/>
    <n v="23114000"/>
    <s v="1st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6"/>
    <x v="1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ILAGAN (Capital)"/>
    <s v="Isabela, 1st District"/>
    <n v="23114000"/>
    <s v="1st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6"/>
    <x v="1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San Isidro Sta Maria Farmers Association"/>
    <x v="1"/>
    <s v="SANTA MARIA"/>
    <s v="Isabela, 1st District"/>
    <n v="23134000"/>
    <s v="4th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6"/>
    <x v="1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1"/>
    <s v="SANTA MARIA"/>
    <s v="Isabela, 1st District"/>
    <n v="23134000"/>
    <s v="4th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6"/>
    <x v="1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Group Of Hardworking Farmers of Yeban Sur"/>
    <x v="1"/>
    <s v="BENITO SOLIVEN"/>
    <s v="Isabela, 2nd District"/>
    <n v="23104000"/>
    <s v="4th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6"/>
    <x v="1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1"/>
    <s v="BENITO SOLIVEN"/>
    <s v="Isabela, 2nd District"/>
    <n v="23104000"/>
    <s v="4th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6"/>
    <x v="1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Alay Kapwa ng Maluno Sur"/>
    <x v="1"/>
    <s v="BENITO SOLIVEN"/>
    <s v="Isabela, 2nd District"/>
    <n v="23104000"/>
    <s v="4th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6"/>
    <x v="1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1"/>
    <s v="BENITO SOLIVEN"/>
    <s v="Isabela, 2nd District"/>
    <n v="23104000"/>
    <s v="4th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6"/>
    <x v="1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Aurora Vegetable Growers Association"/>
    <x v="1"/>
    <s v="AURORA"/>
    <s v="Isabela, 5th District"/>
    <n v="23103000"/>
    <s v="3rd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6"/>
    <x v="1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1"/>
    <s v="AURORA"/>
    <s v="Isabela, 5th District"/>
    <n v="23103000"/>
    <s v="3rd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6"/>
    <x v="1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Cauayan Forest Region Farmers Association"/>
    <x v="1"/>
    <s v="CITY OF CAUAYAN"/>
    <s v="Isabela, 6th District"/>
    <n v="23108000"/>
    <s v="3rd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2"/>
    <x v="2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CAUAYAN"/>
    <s v="Isabela, 6th District"/>
    <n v="23108000"/>
    <s v="3rd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2"/>
    <x v="2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Anak Bakir OFW Farmers Association"/>
    <x v="1"/>
    <s v="CITY OF CAUAYAN"/>
    <s v="Isabela, 6th District"/>
    <n v="23108000"/>
    <s v="3rd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2"/>
    <x v="2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CAUAYAN"/>
    <s v="Isabela, 6th District"/>
    <n v="23108000"/>
    <s v="3rd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2"/>
    <x v="2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Villarose Farmers Association"/>
    <x v="3"/>
    <s v="CABARROGUIS (Capital)"/>
    <s v="Quirino, 1st District"/>
    <n v="25702000"/>
    <s v="3rd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2"/>
    <x v="2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3"/>
    <s v="CABARROGUIS (Capital)"/>
    <s v="Quirino, 1st District"/>
    <n v="25702000"/>
    <s v="3rd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2"/>
    <x v="2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San Pascual Farmers Association"/>
    <x v="3"/>
    <s v="DIFFUN"/>
    <s v="Quirino, 1st District"/>
    <n v="25703000"/>
    <s v="2nd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2"/>
    <x v="2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3"/>
    <s v="DIFFUN"/>
    <s v="Quirino, 1st District"/>
    <n v="25703000"/>
    <s v="2nd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2"/>
    <x v="2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San Dionisio II Farmers Association"/>
    <x v="3"/>
    <s v="NAGTIPUNAN"/>
    <s v="Quirino, 1st District"/>
    <n v="25706000"/>
    <s v="1st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2"/>
    <x v="2"/>
    <s v="2ND SEMESTER"/>
    <x v="0"/>
    <n v="10"/>
    <s v="YES"/>
    <n v="30"/>
    <n v="1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3"/>
    <s v="NAGTIPUNAN"/>
    <s v="Quirino, 1st District"/>
    <n v="25706000"/>
    <s v="1st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2"/>
    <x v="2"/>
    <s v="2ND SEMESTER"/>
    <x v="0"/>
    <n v="30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Agdidinnanggay Farmers Association"/>
    <x v="0"/>
    <s v="LASAM"/>
    <s v="Cagayan, 2nd District"/>
    <n v="21517000"/>
    <s v="3rd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7"/>
    <x v="22"/>
    <s v="Small-scale Irrigation Projects (SSIPs)"/>
    <s v="Mobile Solar-powered Irrigation System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2"/>
    <x v="2"/>
    <s v="2ND SEMESTER"/>
    <x v="0"/>
    <n v="1"/>
    <s v="YES"/>
    <n v="2"/>
    <n v="2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0"/>
    <s v="LASAM"/>
    <s v="Cagayan, 2nd District"/>
    <n v="21517000"/>
    <s v="3rd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construction of Solar-powered irrigation system (SPIS)"/>
    <x v="68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2"/>
    <x v="2"/>
    <s v="2ND SEMESTER"/>
    <x v="0"/>
    <n v="2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Penatuca ARC Cooperative"/>
    <x v="0"/>
    <s v="LASAM"/>
    <s v="Cagayan, 2nd District"/>
    <n v="21517000"/>
    <s v="3rd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7"/>
    <x v="22"/>
    <s v="Small-scale Irrigation Projects (SSIPs)"/>
    <s v="Mobile Solar-powered Irrigation System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3"/>
    <x v="2"/>
    <s v="2ND SEMESTER"/>
    <x v="0"/>
    <n v="1"/>
    <s v="YES"/>
    <n v="2"/>
    <n v="2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0"/>
    <s v="LASAM"/>
    <s v="Cagayan, 2nd District"/>
    <n v="21517000"/>
    <s v="3rd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construction of Solar-powered irrigation system (SPIS)"/>
    <x v="68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3"/>
    <x v="2"/>
    <s v="2ND SEMESTER"/>
    <x v="0"/>
    <n v="2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Holy Trinity Agro-Forestry Multi-Purpose Cooperative"/>
    <x v="1"/>
    <s v="CITY OF ILAGAN (Capital)"/>
    <s v="Isabela, 1st District"/>
    <n v="23114000"/>
    <s v="1st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7"/>
    <x v="22"/>
    <s v="Small-scale Irrigation Projects (SSIPs)"/>
    <s v="Mobile Solar-powered Irrigation System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2"/>
    <x v="2"/>
    <s v="2ND SEMESTER"/>
    <x v="0"/>
    <n v="1"/>
    <s v="YES"/>
    <n v="2"/>
    <n v="2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1"/>
    <s v="CITY OF ILAGAN (Capital)"/>
    <s v="Isabela, 1st District"/>
    <n v="23114000"/>
    <s v="1st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construction of Solar-powered irrigation system (SPIS)"/>
    <x v="68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2"/>
    <x v="2"/>
    <s v="2ND SEMESTER"/>
    <x v="0"/>
    <n v="2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Bannawing Multi-Purpose Cooperative"/>
    <x v="1"/>
    <s v="JONES"/>
    <s v="Isabela, 4th District"/>
    <n v="23115000"/>
    <s v="1st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7"/>
    <x v="22"/>
    <s v="Small-scale Irrigation Projects (SSIPs)"/>
    <s v="Mobile Solar-powered Irrigation System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3"/>
    <x v="2"/>
    <s v="2ND SEMESTER"/>
    <x v="0"/>
    <n v="1"/>
    <s v="YES"/>
    <n v="2"/>
    <n v="2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1"/>
    <s v="JONES"/>
    <s v="Isabela, 4th District"/>
    <n v="23115000"/>
    <s v="1st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construction of Solar-powered irrigation system (SPIS)"/>
    <x v="68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3"/>
    <x v="2"/>
    <s v="2ND SEMESTER"/>
    <x v="0"/>
    <n v="2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s v="Progreso Farmers Association"/>
    <x v="3"/>
    <s v="AGLIPAY"/>
    <s v="Quirino, 1st District"/>
    <n v="25701000"/>
    <s v="3rd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7"/>
    <x v="22"/>
    <s v="Small-scale Irrigation Projects (SSIPs)"/>
    <s v="Mobile Solar-powered Irrigation System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s v="NO"/>
    <s v="number"/>
    <x v="3"/>
    <x v="2"/>
    <s v="2ND SEMESTER"/>
    <x v="0"/>
    <n v="1"/>
    <s v="YES"/>
    <n v="2"/>
    <n v="2000"/>
    <n v="0"/>
    <m/>
    <m/>
    <m/>
    <n v="1"/>
    <s v="YES"/>
    <m/>
    <m/>
    <m/>
    <m/>
    <m/>
    <m/>
    <m/>
    <m/>
    <m/>
    <m/>
    <m/>
    <m/>
    <m/>
    <m/>
    <m/>
    <m/>
    <m/>
    <m/>
    <m/>
  </r>
  <r>
    <s v="RFOs"/>
    <x v="0"/>
    <s v="RFOII"/>
    <m/>
    <x v="3"/>
    <s v="AGLIPAY"/>
    <s v="Quirino, 1st District"/>
    <n v="25701000"/>
    <s v="3rd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construction of Solar-powered irrigation system (SPIS)"/>
    <x v="68"/>
    <x v="23"/>
    <s v="Service area generated"/>
    <s v="Service area generated"/>
    <s v="NO"/>
    <s v="PAP"/>
    <s v="PIP"/>
    <s v="PICS"/>
    <n v="0"/>
    <n v="0"/>
    <n v="0"/>
    <n v="0"/>
    <s v="PREXC/DA-Level Output"/>
    <s v="NO"/>
    <s v="hectare"/>
    <x v="3"/>
    <x v="2"/>
    <s v="2ND SEMESTER"/>
    <x v="0"/>
    <n v="2"/>
    <s v="NO"/>
    <m/>
    <m/>
    <n v="0"/>
    <m/>
    <m/>
    <m/>
    <m/>
    <s v="NO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9"/>
    <x v="24"/>
    <s v="FPMA"/>
    <s v="Salary (Staff)"/>
    <s v="NO"/>
    <s v="Overhead"/>
    <s v="NON-PIP"/>
    <s v="NON-PICS"/>
    <n v="0"/>
    <n v="0"/>
    <n v="0"/>
    <s v="Existing"/>
    <n v="0"/>
    <s v="NO"/>
    <s v="number"/>
    <x v="11"/>
    <x v="3"/>
    <s v="1ST SEMESTER"/>
    <x v="0"/>
    <n v="60"/>
    <s v="NO"/>
    <m/>
    <n v="125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9"/>
    <x v="24"/>
    <s v="FPMA"/>
    <s v="Salary (Staff)"/>
    <s v="NO"/>
    <s v="Overhead"/>
    <s v="NON-PIP"/>
    <s v="NON-PICS"/>
    <n v="0"/>
    <n v="0"/>
    <n v="0"/>
    <s v="Existing"/>
    <n v="0"/>
    <s v="NO"/>
    <s v="number"/>
    <x v="7"/>
    <x v="3"/>
    <s v="1ST SEMESTER"/>
    <x v="0"/>
    <n v="60"/>
    <s v="NO"/>
    <m/>
    <n v="125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9"/>
    <x v="24"/>
    <s v="FPMA"/>
    <s v="Salary (Staff)"/>
    <s v="NO"/>
    <s v="Overhead"/>
    <s v="NON-PIP"/>
    <s v="NON-PICS"/>
    <n v="0"/>
    <n v="0"/>
    <n v="0"/>
    <s v="Existing"/>
    <n v="0"/>
    <s v="NO"/>
    <s v="number"/>
    <x v="8"/>
    <x v="3"/>
    <s v="1ST SEMESTER"/>
    <x v="0"/>
    <n v="60"/>
    <s v="NO"/>
    <m/>
    <n v="125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9"/>
    <x v="24"/>
    <s v="FPMA"/>
    <s v="Salary (Staff)"/>
    <s v="NO"/>
    <s v="Overhead"/>
    <s v="NON-PIP"/>
    <s v="NON-PICS"/>
    <n v="0"/>
    <n v="0"/>
    <n v="0"/>
    <s v="Existing"/>
    <n v="0"/>
    <s v="NO"/>
    <s v="number"/>
    <x v="9"/>
    <x v="0"/>
    <s v="1ST SEMESTER"/>
    <x v="0"/>
    <n v="60"/>
    <s v="NO"/>
    <m/>
    <n v="125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9"/>
    <x v="24"/>
    <s v="FPMA"/>
    <s v="Salary (Staff)"/>
    <s v="NO"/>
    <s v="Overhead"/>
    <s v="NON-PIP"/>
    <s v="NON-PICS"/>
    <n v="0"/>
    <n v="0"/>
    <n v="0"/>
    <s v="Existing"/>
    <n v="0"/>
    <s v="NO"/>
    <s v="number"/>
    <x v="4"/>
    <x v="0"/>
    <s v="1ST SEMESTER"/>
    <x v="0"/>
    <n v="60"/>
    <s v="NO"/>
    <m/>
    <n v="125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9"/>
    <x v="24"/>
    <s v="FPMA"/>
    <s v="Salary (Staff)"/>
    <s v="NO"/>
    <s v="Overhead"/>
    <s v="NON-PIP"/>
    <s v="NON-PICS"/>
    <n v="0"/>
    <n v="0"/>
    <n v="0"/>
    <s v="Existing"/>
    <n v="0"/>
    <s v="NO"/>
    <s v="number"/>
    <x v="0"/>
    <x v="0"/>
    <s v="1ST SEMESTER"/>
    <x v="0"/>
    <n v="60"/>
    <s v="NO"/>
    <m/>
    <n v="125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9"/>
    <x v="24"/>
    <s v="FPMA"/>
    <s v="Salary (Staff)"/>
    <s v="NO"/>
    <s v="Overhead"/>
    <s v="NON-PIP"/>
    <s v="NON-PICS"/>
    <n v="0"/>
    <n v="0"/>
    <n v="0"/>
    <s v="Existing"/>
    <n v="0"/>
    <s v="NO"/>
    <s v="number"/>
    <x v="1"/>
    <x v="1"/>
    <s v="2ND SEMESTER"/>
    <x v="0"/>
    <n v="60"/>
    <s v="NO"/>
    <m/>
    <n v="125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9"/>
    <x v="24"/>
    <s v="FPMA"/>
    <s v="Salary (Staff)"/>
    <s v="NO"/>
    <s v="Overhead"/>
    <s v="NON-PIP"/>
    <s v="NON-PICS"/>
    <n v="0"/>
    <n v="0"/>
    <n v="0"/>
    <s v="Existing"/>
    <n v="0"/>
    <s v="NO"/>
    <s v="number"/>
    <x v="5"/>
    <x v="1"/>
    <s v="2ND SEMESTER"/>
    <x v="0"/>
    <n v="60"/>
    <s v="NO"/>
    <m/>
    <n v="125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9"/>
    <x v="24"/>
    <s v="FPMA"/>
    <s v="Salary (Staff)"/>
    <s v="NO"/>
    <s v="Overhead"/>
    <s v="NON-PIP"/>
    <s v="NON-PICS"/>
    <n v="0"/>
    <n v="0"/>
    <n v="0"/>
    <s v="Existing"/>
    <n v="0"/>
    <s v="NO"/>
    <s v="number"/>
    <x v="6"/>
    <x v="1"/>
    <s v="2ND SEMESTER"/>
    <x v="0"/>
    <n v="60"/>
    <s v="NO"/>
    <m/>
    <n v="125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9"/>
    <x v="24"/>
    <s v="FPMA"/>
    <s v="Salary (Staff)"/>
    <s v="NO"/>
    <s v="Overhead"/>
    <s v="NON-PIP"/>
    <s v="NON-PICS"/>
    <n v="0"/>
    <n v="0"/>
    <n v="0"/>
    <s v="Existing"/>
    <n v="0"/>
    <s v="NO"/>
    <s v="number"/>
    <x v="2"/>
    <x v="2"/>
    <s v="2ND SEMESTER"/>
    <x v="0"/>
    <n v="60"/>
    <s v="NO"/>
    <m/>
    <n v="125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9"/>
    <x v="24"/>
    <s v="FPMA"/>
    <s v="Salary (Staff)"/>
    <s v="NO"/>
    <s v="Overhead"/>
    <s v="NON-PIP"/>
    <s v="NON-PICS"/>
    <n v="0"/>
    <n v="0"/>
    <n v="0"/>
    <s v="Existing"/>
    <n v="0"/>
    <s v="NO"/>
    <s v="number"/>
    <x v="3"/>
    <x v="2"/>
    <s v="2ND SEMESTER"/>
    <x v="0"/>
    <n v="60"/>
    <s v="NO"/>
    <m/>
    <n v="125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9"/>
    <x v="24"/>
    <s v="FPMA"/>
    <s v="Salary (Staff)"/>
    <s v="NO"/>
    <s v="Overhead"/>
    <s v="NON-PIP"/>
    <s v="NON-PICS"/>
    <n v="0"/>
    <n v="0"/>
    <n v="0"/>
    <s v="Existing"/>
    <n v="0"/>
    <s v="NO"/>
    <s v="number"/>
    <x v="10"/>
    <x v="2"/>
    <s v="2ND SEMESTER"/>
    <x v="0"/>
    <n v="60"/>
    <s v="NO"/>
    <m/>
    <n v="125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0"/>
    <x v="24"/>
    <s v="FPMA"/>
    <s v="Workshop and Meetings"/>
    <s v="NO"/>
    <s v="Overhead"/>
    <s v="NON-PIP"/>
    <s v="NON-PICS"/>
    <n v="0"/>
    <n v="0"/>
    <n v="0"/>
    <s v="Existing"/>
    <n v="0"/>
    <s v="NO"/>
    <s v="number"/>
    <x v="11"/>
    <x v="3"/>
    <s v="1ST SEMESTER"/>
    <x v="0"/>
    <n v="1"/>
    <s v="NO"/>
    <m/>
    <n v="35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0"/>
    <x v="24"/>
    <s v="FPMA"/>
    <s v="Workshop and Meetings"/>
    <s v="NO"/>
    <s v="Overhead"/>
    <s v="NON-PIP"/>
    <s v="NON-PICS"/>
    <n v="0"/>
    <n v="0"/>
    <n v="0"/>
    <s v="Existing"/>
    <n v="0"/>
    <s v="NO"/>
    <s v="number"/>
    <x v="7"/>
    <x v="3"/>
    <s v="1ST SEMESTER"/>
    <x v="0"/>
    <n v="1"/>
    <s v="NO"/>
    <m/>
    <n v="30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0"/>
    <x v="24"/>
    <s v="FPMA"/>
    <s v="Workshop and Meetings"/>
    <s v="NO"/>
    <s v="Overhead"/>
    <s v="NON-PIP"/>
    <s v="NON-PICS"/>
    <n v="0"/>
    <n v="0"/>
    <n v="0"/>
    <s v="Existing"/>
    <n v="0"/>
    <s v="NO"/>
    <s v="number"/>
    <x v="8"/>
    <x v="3"/>
    <s v="1ST SEMESTER"/>
    <x v="0"/>
    <n v="1"/>
    <s v="NO"/>
    <m/>
    <n v="30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0"/>
    <x v="24"/>
    <s v="FPMA"/>
    <s v="Workshop and Meetings"/>
    <s v="NO"/>
    <s v="Overhead"/>
    <s v="NON-PIP"/>
    <s v="NON-PICS"/>
    <n v="0"/>
    <n v="0"/>
    <n v="0"/>
    <s v="Existing"/>
    <n v="0"/>
    <s v="NO"/>
    <s v="number"/>
    <x v="9"/>
    <x v="0"/>
    <s v="1ST SEMESTER"/>
    <x v="0"/>
    <n v="1"/>
    <s v="NO"/>
    <m/>
    <n v="35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0"/>
    <x v="24"/>
    <s v="FPMA"/>
    <s v="Workshop and Meetings"/>
    <s v="NO"/>
    <s v="Overhead"/>
    <s v="NON-PIP"/>
    <s v="NON-PICS"/>
    <n v="0"/>
    <n v="0"/>
    <n v="0"/>
    <s v="Existing"/>
    <n v="0"/>
    <s v="NO"/>
    <s v="number"/>
    <x v="4"/>
    <x v="0"/>
    <s v="1ST SEMESTER"/>
    <x v="0"/>
    <n v="1"/>
    <s v="NO"/>
    <m/>
    <n v="35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0"/>
    <x v="24"/>
    <s v="FPMA"/>
    <s v="Workshop and Meetings"/>
    <s v="NO"/>
    <s v="Overhead"/>
    <s v="NON-PIP"/>
    <s v="NON-PICS"/>
    <n v="0"/>
    <n v="0"/>
    <n v="0"/>
    <s v="Existing"/>
    <n v="0"/>
    <s v="NO"/>
    <s v="number"/>
    <x v="0"/>
    <x v="0"/>
    <s v="1ST SEMESTER"/>
    <x v="0"/>
    <n v="1"/>
    <s v="NO"/>
    <m/>
    <n v="35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0"/>
    <x v="24"/>
    <s v="FPMA"/>
    <s v="Workshop and Meetings"/>
    <s v="NO"/>
    <s v="Overhead"/>
    <s v="NON-PIP"/>
    <s v="NON-PICS"/>
    <n v="0"/>
    <n v="0"/>
    <n v="0"/>
    <s v="Existing"/>
    <n v="0"/>
    <s v="NO"/>
    <s v="number"/>
    <x v="1"/>
    <x v="1"/>
    <s v="2ND SEMESTER"/>
    <x v="0"/>
    <n v="1"/>
    <s v="NO"/>
    <m/>
    <n v="30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0"/>
    <x v="24"/>
    <s v="FPMA"/>
    <s v="Workshop and Meetings"/>
    <s v="NO"/>
    <s v="Overhead"/>
    <s v="NON-PIP"/>
    <s v="NON-PICS"/>
    <n v="0"/>
    <n v="0"/>
    <n v="0"/>
    <s v="Existing"/>
    <n v="0"/>
    <s v="NO"/>
    <s v="number"/>
    <x v="5"/>
    <x v="1"/>
    <s v="2ND SEMESTER"/>
    <x v="0"/>
    <n v="1"/>
    <s v="NO"/>
    <m/>
    <n v="30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0"/>
    <x v="24"/>
    <s v="FPMA"/>
    <s v="Workshop and Meetings"/>
    <s v="NO"/>
    <s v="Overhead"/>
    <s v="NON-PIP"/>
    <s v="NON-PICS"/>
    <n v="0"/>
    <n v="0"/>
    <n v="0"/>
    <s v="Existing"/>
    <n v="0"/>
    <s v="NO"/>
    <s v="number"/>
    <x v="6"/>
    <x v="1"/>
    <s v="2ND SEMESTER"/>
    <x v="0"/>
    <n v="1"/>
    <s v="NO"/>
    <m/>
    <n v="35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0"/>
    <x v="24"/>
    <s v="FPMA"/>
    <s v="Workshop and Meetings"/>
    <s v="NO"/>
    <s v="Overhead"/>
    <s v="NON-PIP"/>
    <s v="NON-PICS"/>
    <n v="0"/>
    <n v="0"/>
    <n v="0"/>
    <s v="Existing"/>
    <n v="0"/>
    <s v="NO"/>
    <s v="number"/>
    <x v="2"/>
    <x v="2"/>
    <s v="2ND SEMESTER"/>
    <x v="0"/>
    <n v="1"/>
    <s v="NO"/>
    <m/>
    <n v="30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0"/>
    <x v="24"/>
    <s v="FPMA"/>
    <s v="Workshop and Meetings"/>
    <s v="NO"/>
    <s v="Overhead"/>
    <s v="NON-PIP"/>
    <s v="NON-PICS"/>
    <n v="0"/>
    <n v="0"/>
    <n v="0"/>
    <s v="Existing"/>
    <n v="0"/>
    <s v="NO"/>
    <s v="number"/>
    <x v="3"/>
    <x v="2"/>
    <s v="2ND SEMESTER"/>
    <x v="0"/>
    <n v="1"/>
    <s v="NO"/>
    <m/>
    <n v="35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0"/>
    <x v="24"/>
    <s v="FPMA"/>
    <s v="Workshop and Meetings"/>
    <s v="NO"/>
    <s v="Overhead"/>
    <s v="NON-PIP"/>
    <s v="NON-PICS"/>
    <n v="0"/>
    <n v="0"/>
    <n v="0"/>
    <s v="Existing"/>
    <n v="0"/>
    <s v="NO"/>
    <s v="number"/>
    <x v="10"/>
    <x v="2"/>
    <s v="2ND SEMESTER"/>
    <x v="0"/>
    <n v="1"/>
    <s v="NO"/>
    <m/>
    <n v="40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1"/>
    <x v="24"/>
    <s v="FPMA"/>
    <s v="Conduct of Feasibility Studies, Preparation of Detailed Engineering Design and Preparation of Program of Work"/>
    <s v="NO"/>
    <s v="Overhead"/>
    <s v="NON-PIP"/>
    <s v="NON-PICS"/>
    <n v="0"/>
    <n v="0"/>
    <n v="0"/>
    <s v="Existing"/>
    <n v="0"/>
    <s v="NO"/>
    <s v="number"/>
    <x v="0"/>
    <x v="0"/>
    <s v="1ST SEMESTER"/>
    <x v="0"/>
    <n v="1"/>
    <s v="NO"/>
    <m/>
    <n v="50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2"/>
    <x v="24"/>
    <s v="FPMA"/>
    <s v="Monitoring and Evaluation"/>
    <s v="NO"/>
    <s v="Overhead"/>
    <s v="NON-PIP"/>
    <s v="NON-PICS"/>
    <n v="0"/>
    <n v="0"/>
    <n v="0"/>
    <s v="Existing"/>
    <n v="0"/>
    <s v="NO"/>
    <s v="number"/>
    <x v="11"/>
    <x v="3"/>
    <s v="1ST SEMESTER"/>
    <x v="0"/>
    <n v="5"/>
    <s v="NO"/>
    <m/>
    <n v="150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2"/>
    <x v="24"/>
    <s v="FPMA"/>
    <s v="Monitoring and Evaluation"/>
    <s v="NO"/>
    <s v="Overhead"/>
    <s v="NON-PIP"/>
    <s v="NON-PICS"/>
    <n v="0"/>
    <n v="0"/>
    <n v="0"/>
    <s v="Existing"/>
    <n v="0"/>
    <s v="NO"/>
    <s v="number"/>
    <x v="7"/>
    <x v="3"/>
    <s v="1ST SEMESTER"/>
    <x v="0"/>
    <n v="5"/>
    <s v="NO"/>
    <m/>
    <n v="140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2"/>
    <x v="24"/>
    <s v="FPMA"/>
    <s v="Monitoring and Evaluation"/>
    <s v="NO"/>
    <s v="Overhead"/>
    <s v="NON-PIP"/>
    <s v="NON-PICS"/>
    <n v="0"/>
    <n v="0"/>
    <n v="0"/>
    <s v="Existing"/>
    <n v="0"/>
    <s v="NO"/>
    <s v="number"/>
    <x v="8"/>
    <x v="3"/>
    <s v="1ST SEMESTER"/>
    <x v="0"/>
    <n v="5"/>
    <s v="NO"/>
    <m/>
    <n v="140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2"/>
    <x v="24"/>
    <s v="FPMA"/>
    <s v="Monitoring and Evaluation"/>
    <s v="NO"/>
    <s v="Overhead"/>
    <s v="NON-PIP"/>
    <s v="NON-PICS"/>
    <n v="0"/>
    <n v="0"/>
    <n v="0"/>
    <s v="Existing"/>
    <n v="0"/>
    <s v="NO"/>
    <s v="number"/>
    <x v="9"/>
    <x v="0"/>
    <s v="1ST SEMESTER"/>
    <x v="0"/>
    <n v="5"/>
    <s v="NO"/>
    <m/>
    <n v="140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2"/>
    <x v="24"/>
    <s v="FPMA"/>
    <s v="Monitoring and Evaluation"/>
    <s v="NO"/>
    <s v="Overhead"/>
    <s v="NON-PIP"/>
    <s v="NON-PICS"/>
    <n v="0"/>
    <n v="0"/>
    <n v="0"/>
    <s v="Existing"/>
    <n v="0"/>
    <s v="NO"/>
    <s v="number"/>
    <x v="4"/>
    <x v="0"/>
    <s v="1ST SEMESTER"/>
    <x v="0"/>
    <n v="5"/>
    <s v="NO"/>
    <m/>
    <n v="140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2"/>
    <x v="24"/>
    <s v="FPMA"/>
    <s v="Monitoring and Evaluation"/>
    <s v="NO"/>
    <s v="Overhead"/>
    <s v="NON-PIP"/>
    <s v="NON-PICS"/>
    <n v="0"/>
    <n v="0"/>
    <n v="0"/>
    <s v="Existing"/>
    <n v="0"/>
    <s v="NO"/>
    <s v="number"/>
    <x v="0"/>
    <x v="0"/>
    <s v="1ST SEMESTER"/>
    <x v="0"/>
    <n v="5"/>
    <s v="NO"/>
    <m/>
    <n v="150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2"/>
    <x v="24"/>
    <s v="FPMA"/>
    <s v="Monitoring and Evaluation"/>
    <s v="NO"/>
    <s v="Overhead"/>
    <s v="NON-PIP"/>
    <s v="NON-PICS"/>
    <n v="0"/>
    <n v="0"/>
    <n v="0"/>
    <s v="Existing"/>
    <n v="0"/>
    <s v="NO"/>
    <s v="number"/>
    <x v="1"/>
    <x v="1"/>
    <s v="2ND SEMESTER"/>
    <x v="0"/>
    <n v="5"/>
    <s v="NO"/>
    <m/>
    <n v="140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2"/>
    <x v="24"/>
    <s v="FPMA"/>
    <s v="Monitoring and Evaluation"/>
    <s v="NO"/>
    <s v="Overhead"/>
    <s v="NON-PIP"/>
    <s v="NON-PICS"/>
    <n v="0"/>
    <n v="0"/>
    <n v="0"/>
    <s v="Existing"/>
    <n v="0"/>
    <s v="NO"/>
    <s v="number"/>
    <x v="5"/>
    <x v="1"/>
    <s v="2ND SEMESTER"/>
    <x v="0"/>
    <n v="5"/>
    <s v="NO"/>
    <m/>
    <n v="140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2"/>
    <x v="24"/>
    <s v="FPMA"/>
    <s v="Monitoring and Evaluation"/>
    <s v="NO"/>
    <s v="Overhead"/>
    <s v="NON-PIP"/>
    <s v="NON-PICS"/>
    <n v="0"/>
    <n v="0"/>
    <n v="0"/>
    <s v="Existing"/>
    <n v="0"/>
    <s v="NO"/>
    <s v="number"/>
    <x v="6"/>
    <x v="1"/>
    <s v="2ND SEMESTER"/>
    <x v="0"/>
    <n v="5"/>
    <s v="NO"/>
    <m/>
    <n v="140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2"/>
    <x v="24"/>
    <s v="FPMA"/>
    <s v="Monitoring and Evaluation"/>
    <s v="NO"/>
    <s v="Overhead"/>
    <s v="NON-PIP"/>
    <s v="NON-PICS"/>
    <n v="0"/>
    <n v="0"/>
    <n v="0"/>
    <s v="Existing"/>
    <n v="0"/>
    <s v="NO"/>
    <s v="number"/>
    <x v="2"/>
    <x v="2"/>
    <s v="2ND SEMESTER"/>
    <x v="0"/>
    <n v="5"/>
    <s v="NO"/>
    <m/>
    <n v="140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2"/>
    <x v="24"/>
    <s v="FPMA"/>
    <s v="Monitoring and Evaluation"/>
    <s v="NO"/>
    <s v="Overhead"/>
    <s v="NON-PIP"/>
    <s v="NON-PICS"/>
    <n v="0"/>
    <n v="0"/>
    <n v="0"/>
    <s v="Existing"/>
    <n v="0"/>
    <s v="NO"/>
    <s v="number"/>
    <x v="3"/>
    <x v="2"/>
    <s v="2ND SEMESTER"/>
    <x v="0"/>
    <n v="5"/>
    <s v="NO"/>
    <m/>
    <n v="1400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0"/>
    <s v="RFOII"/>
    <m/>
    <x v="4"/>
    <s v="Regional Office"/>
    <s v="REGIONAL OFFICE"/>
    <n v="0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2"/>
    <x v="24"/>
    <s v="FPMA"/>
    <s v="Monitoring and Evaluation"/>
    <s v="NO"/>
    <s v="Overhead"/>
    <s v="NON-PIP"/>
    <s v="NON-PICS"/>
    <n v="0"/>
    <n v="0"/>
    <n v="0"/>
    <s v="Existing"/>
    <n v="0"/>
    <s v="NO"/>
    <s v="number"/>
    <x v="10"/>
    <x v="2"/>
    <s v="2ND SEMESTER"/>
    <x v="0"/>
    <n v="5"/>
    <s v="NO"/>
    <m/>
    <n v="1409"/>
    <n v="0"/>
    <m/>
    <m/>
    <m/>
    <m/>
    <n v="0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3700"/>
    <s v="YES"/>
    <n v="185"/>
    <n v="166.5"/>
    <n v="37"/>
    <m/>
    <m/>
    <m/>
    <m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41400"/>
    <s v="YES"/>
    <n v="2070"/>
    <n v="1863"/>
    <n v="414"/>
    <m/>
    <m/>
    <m/>
    <m/>
    <s v="YES"/>
    <m/>
    <m/>
    <m/>
    <m/>
    <m/>
    <m/>
    <m/>
    <m/>
    <m/>
    <m/>
    <m/>
    <m/>
    <m/>
    <m/>
    <m/>
    <m/>
    <m/>
    <m/>
    <m/>
  </r>
  <r>
    <s v="RFOs"/>
    <x v="1"/>
    <s v="RFOII"/>
    <m/>
    <x v="2"/>
    <m/>
    <s v="Nueva_Vizcaya"/>
    <s v="Nueva_Vizcaya"/>
    <e v="#N/A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2950"/>
    <s v="YES"/>
    <n v="147.5"/>
    <n v="132.75"/>
    <n v="30"/>
    <m/>
    <m/>
    <m/>
    <m/>
    <s v="YES"/>
    <m/>
    <m/>
    <m/>
    <m/>
    <m/>
    <m/>
    <m/>
    <m/>
    <m/>
    <m/>
    <m/>
    <m/>
    <m/>
    <m/>
    <m/>
    <m/>
    <m/>
    <m/>
    <m/>
  </r>
  <r>
    <s v="RFOs"/>
    <x v="1"/>
    <s v="RFOII"/>
    <m/>
    <x v="3"/>
    <m/>
    <s v="Quirino"/>
    <s v="Quirino"/>
    <e v="#N/A"/>
    <s v="Cassava"/>
    <s v="Cassava"/>
    <s v="TECHNICAL AND SUPPORT SERVICES PROGRAM"/>
    <x v="0"/>
    <s v="Cassava_PSS"/>
    <s v="Fertilizers and other soil ammendment distributed"/>
    <s v="Fertilizers distributed"/>
    <s v="Inorganic fertilizer distributed"/>
    <x v="15"/>
    <x v="6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11750"/>
    <s v="YES"/>
    <n v="587.5"/>
    <n v="528.75"/>
    <n v="118"/>
    <m/>
    <m/>
    <m/>
    <m/>
    <s v="YES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Cassava"/>
    <s v="Cassava"/>
    <s v="TECHNICAL AND SUPPORT SERVICES PROGRAM"/>
    <x v="0"/>
    <s v="Cassava_PSS"/>
    <s v="Planting material distributed"/>
    <s v="Planting material distributed"/>
    <s v="Cassava cutting distributed"/>
    <x v="13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piece"/>
    <x v="12"/>
    <x v="4"/>
    <e v="#N/A"/>
    <x v="1"/>
    <n v="130000"/>
    <s v="YES"/>
    <n v="6500"/>
    <m/>
    <n v="13"/>
    <m/>
    <m/>
    <m/>
    <m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Cassava"/>
    <s v="Cassava"/>
    <s v="TECHNICAL AND SUPPORT SERVICES PROGRAM"/>
    <x v="0"/>
    <s v="Cassava_PSS"/>
    <s v="Planting material distributed"/>
    <s v="Planting material distributed"/>
    <s v="Cassava cutting distributed"/>
    <x v="13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piece"/>
    <x v="12"/>
    <x v="4"/>
    <e v="#N/A"/>
    <x v="1"/>
    <n v="455000"/>
    <s v="YES"/>
    <n v="22750"/>
    <m/>
    <n v="45"/>
    <m/>
    <m/>
    <m/>
    <m/>
    <s v="YES"/>
    <m/>
    <m/>
    <m/>
    <m/>
    <m/>
    <m/>
    <m/>
    <m/>
    <m/>
    <m/>
    <m/>
    <m/>
    <m/>
    <m/>
    <m/>
    <m/>
    <m/>
    <m/>
    <m/>
  </r>
  <r>
    <s v="RFOs"/>
    <x v="1"/>
    <s v="RFOII"/>
    <m/>
    <x v="2"/>
    <m/>
    <s v="Nueva_Vizcaya"/>
    <s v="Nueva_Vizcaya"/>
    <e v="#N/A"/>
    <s v="Cassava"/>
    <s v="Cassava"/>
    <s v="TECHNICAL AND SUPPORT SERVICES PROGRAM"/>
    <x v="0"/>
    <s v="Cassava_PSS"/>
    <s v="Planting material distributed"/>
    <s v="Planting material distributed"/>
    <s v="Cassava cutting distributed"/>
    <x v="13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piece"/>
    <x v="12"/>
    <x v="4"/>
    <e v="#N/A"/>
    <x v="1"/>
    <n v="195000"/>
    <s v="YES"/>
    <n v="9750"/>
    <m/>
    <n v="15"/>
    <m/>
    <m/>
    <m/>
    <m/>
    <s v="YES"/>
    <m/>
    <m/>
    <m/>
    <m/>
    <m/>
    <m/>
    <m/>
    <m/>
    <m/>
    <m/>
    <m/>
    <m/>
    <m/>
    <m/>
    <m/>
    <m/>
    <m/>
    <m/>
    <m/>
  </r>
  <r>
    <s v="RFOs"/>
    <x v="1"/>
    <s v="RFOII"/>
    <m/>
    <x v="3"/>
    <m/>
    <s v="Quirino"/>
    <s v="Quirino"/>
    <e v="#N/A"/>
    <s v="Cassava"/>
    <s v="Cassava"/>
    <s v="TECHNICAL AND SUPPORT SERVICES PROGRAM"/>
    <x v="0"/>
    <s v="Cassava_PSS"/>
    <s v="Planting material distributed"/>
    <s v="Planting material distributed"/>
    <s v="Cassava cutting distributed"/>
    <x v="13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piece"/>
    <x v="12"/>
    <x v="4"/>
    <e v="#N/A"/>
    <x v="1"/>
    <n v="195000"/>
    <s v="YES"/>
    <n v="9750"/>
    <m/>
    <n v="15"/>
    <m/>
    <m/>
    <m/>
    <m/>
    <s v="YES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Cassava"/>
    <s v="Cassava"/>
    <s v="TECHNICAL AND SUPPORT SERVICES PROGRAM"/>
    <x v="0"/>
    <s v="Cassava_PSS"/>
    <s v="Planting material distributed"/>
    <s v="Planting material distributed"/>
    <s v="Cassava cutting distributed"/>
    <x v="13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piece"/>
    <x v="12"/>
    <x v="4"/>
    <e v="#N/A"/>
    <x v="1"/>
    <m/>
    <s v="YES"/>
    <n v="0"/>
    <n v="975"/>
    <m/>
    <m/>
    <m/>
    <m/>
    <m/>
    <s v="YES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Cassava"/>
    <s v="Cassava"/>
    <s v="TECHNICAL AND SUPPORT SERVICES PROGRAM"/>
    <x v="0"/>
    <s v="Cassava_PSS"/>
    <s v="Planting material distributed"/>
    <s v="Planting material distributed"/>
    <s v="Cassava cutting distributed"/>
    <x v="14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piece"/>
    <x v="12"/>
    <x v="4"/>
    <e v="#N/A"/>
    <x v="1"/>
    <n v="240000"/>
    <s v="YES"/>
    <n v="12000"/>
    <n v="360"/>
    <n v="24"/>
    <m/>
    <m/>
    <m/>
    <m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Cassava"/>
    <s v="Cassava"/>
    <s v="TECHNICAL AND SUPPORT SERVICES PROGRAM"/>
    <x v="0"/>
    <s v="Cassava_PSS"/>
    <s v="Planting material distributed"/>
    <s v="Planting material distributed"/>
    <s v="Cassava cutting distributed"/>
    <x v="14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piece"/>
    <x v="12"/>
    <x v="4"/>
    <e v="#N/A"/>
    <x v="1"/>
    <n v="3680000"/>
    <s v="YES"/>
    <n v="184000"/>
    <n v="5520"/>
    <n v="368"/>
    <m/>
    <m/>
    <m/>
    <m/>
    <s v="YES"/>
    <m/>
    <m/>
    <m/>
    <m/>
    <m/>
    <m/>
    <m/>
    <m/>
    <m/>
    <m/>
    <m/>
    <m/>
    <m/>
    <m/>
    <m/>
    <m/>
    <m/>
    <m/>
    <m/>
  </r>
  <r>
    <s v="RFOs"/>
    <x v="1"/>
    <s v="RFOII"/>
    <m/>
    <x v="2"/>
    <m/>
    <s v="Nueva_Vizcaya"/>
    <s v="Nueva_Vizcaya"/>
    <e v="#N/A"/>
    <s v="Cassava"/>
    <s v="Cassava"/>
    <s v="TECHNICAL AND SUPPORT SERVICES PROGRAM"/>
    <x v="0"/>
    <s v="Cassava_PSS"/>
    <s v="Planting material distributed"/>
    <s v="Planting material distributed"/>
    <s v="Cassava cutting distributed"/>
    <x v="14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piece"/>
    <x v="12"/>
    <x v="4"/>
    <e v="#N/A"/>
    <x v="1"/>
    <n v="100000"/>
    <s v="YES"/>
    <n v="5000"/>
    <n v="150"/>
    <n v="10"/>
    <m/>
    <m/>
    <m/>
    <m/>
    <s v="YES"/>
    <m/>
    <m/>
    <m/>
    <m/>
    <m/>
    <m/>
    <m/>
    <m/>
    <m/>
    <m/>
    <m/>
    <m/>
    <m/>
    <m/>
    <m/>
    <m/>
    <m/>
    <m/>
    <m/>
  </r>
  <r>
    <s v="RFOs"/>
    <x v="1"/>
    <s v="RFOII"/>
    <m/>
    <x v="3"/>
    <m/>
    <s v="Quirino"/>
    <s v="Quirino"/>
    <e v="#N/A"/>
    <s v="Cassava"/>
    <s v="Cassava"/>
    <s v="TECHNICAL AND SUPPORT SERVICES PROGRAM"/>
    <x v="0"/>
    <s v="Cassava_PSS"/>
    <s v="Planting material distributed"/>
    <s v="Planting material distributed"/>
    <s v="Cassava cutting distributed"/>
    <x v="14"/>
    <x v="6"/>
    <s v="Cassava cuttings"/>
    <s v="Cassava seed piece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piece"/>
    <x v="12"/>
    <x v="4"/>
    <e v="#N/A"/>
    <x v="1"/>
    <n v="980000"/>
    <s v="YES"/>
    <n v="49000"/>
    <n v="1470"/>
    <n v="98"/>
    <m/>
    <m/>
    <m/>
    <m/>
    <s v="YES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Cassava"/>
    <s v="Cassava"/>
    <s v="TECHNICAL AND SUPPORT SERVICES PROGRAM"/>
    <x v="0"/>
    <s v="Cassava_PSS"/>
    <s v="Agri-chemicals reserved"/>
    <s v="Agri-chemicals reserved"/>
    <s v="Agri-chemicals reserved (pc)"/>
    <x v="16"/>
    <x v="5"/>
    <s v="Agricultural Chemicals"/>
    <s v="Streptomycin"/>
    <s v="NO"/>
    <s v="PAP"/>
    <s v="PIP"/>
    <s v="PICS"/>
    <s v="Modernization"/>
    <s v="9. Climate Change Adaptation &amp; Mitigation Measures"/>
    <s v="EXPAND AND IMPROVE AVAILABLE AGRI-FISHERY AREAS FOR INCREASED PRODUCTION"/>
    <s v="Agrichemicals"/>
    <s v="DA-Level Output"/>
    <m/>
    <s v="pack"/>
    <x v="12"/>
    <x v="4"/>
    <e v="#N/A"/>
    <x v="1"/>
    <n v="10000"/>
    <s v="YES"/>
    <n v="500"/>
    <n v="400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Multi_commodity"/>
    <s v="Multi_commodity"/>
    <s v="TECHNICAL AND SUPPORT SERVICES PROGRAM"/>
    <x v="0"/>
    <s v="Multicommodity_PSS"/>
    <s v="Farm machinery and equipment procured for stations"/>
    <s v="Farm machinery and equipment procured for stations"/>
    <s v="Postharvest machinery and equipment procured for stations"/>
    <x v="22"/>
    <x v="9"/>
    <s v="Support to DA Stations"/>
    <s v="Machinery &amp; Equipment for DA Stations"/>
    <s v="NO"/>
    <s v="PAP"/>
    <s v="PIP"/>
    <s v="PICS"/>
    <s v="Modernization"/>
    <s v="8. Farm Mechanization and Farm Investments"/>
    <n v="0"/>
    <s v="DA Station"/>
    <s v="DA-Level Output"/>
    <m/>
    <s v="number"/>
    <x v="12"/>
    <x v="4"/>
    <e v="#N/A"/>
    <x v="1"/>
    <n v="4"/>
    <s v="NO"/>
    <n v="0.2"/>
    <n v="24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Multi_commodity"/>
    <s v="Multi_commodity"/>
    <s v="TECHNICAL AND SUPPORT SERVICES PROGRAM"/>
    <x v="0"/>
    <s v="Multicommodity_PSS"/>
    <s v="Farm machinery and equipment procured for stations"/>
    <s v="Farm machinery and equipment procured for stations"/>
    <s v="Postharvest machinery and equipment procured for stations"/>
    <x v="23"/>
    <x v="9"/>
    <s v="Support to DA Stations"/>
    <s v="Machinery &amp; Equipment for DA Stations"/>
    <s v="NO"/>
    <s v="PAP"/>
    <s v="PIP"/>
    <s v="PICS"/>
    <s v="Modernization"/>
    <s v="8. Farm Mechanization and Farm Investments"/>
    <n v="0"/>
    <s v="DA Station"/>
    <s v="DA-Level Output"/>
    <m/>
    <s v="number"/>
    <x v="12"/>
    <x v="4"/>
    <e v="#N/A"/>
    <x v="1"/>
    <n v="4"/>
    <s v="NO"/>
    <n v="0.2"/>
    <n v="120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Multi_commodity"/>
    <s v="Multi_commodity"/>
    <s v="TECHNICAL AND SUPPORT SERVICES PROGRAM"/>
    <x v="0"/>
    <s v="Multicommodity_PSS"/>
    <s v="Farm machinery and equipment procured for stations"/>
    <s v="Farm machinery and equipment procured for stations"/>
    <s v="Postharvest machinery and equipment procured for stations"/>
    <x v="24"/>
    <x v="9"/>
    <s v="Support to DA Stations"/>
    <s v="Machinery &amp; Equipment for DA Stations"/>
    <s v="NO"/>
    <s v="PAP"/>
    <s v="PIP"/>
    <s v="PICS"/>
    <s v="Modernization"/>
    <s v="8. Farm Mechanization and Farm Investments"/>
    <n v="0"/>
    <s v="DA Station"/>
    <s v="DA-Level Output"/>
    <m/>
    <s v="number"/>
    <x v="12"/>
    <x v="4"/>
    <e v="#N/A"/>
    <x v="1"/>
    <n v="4"/>
    <s v="NO"/>
    <n v="0.2"/>
    <n v="30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Multi_commodity"/>
    <s v="Multi_commodity"/>
    <s v="TECHNICAL AND SUPPORT SERVICES PROGRAM"/>
    <x v="0"/>
    <s v="Multicommodity_PSS"/>
    <s v="Farm machinery and equipment procured for stations"/>
    <s v="Farm machinery and equipment procured for stations"/>
    <s v="Postharvest machinery and equipment procured for stations"/>
    <x v="25"/>
    <x v="9"/>
    <s v="Support to DA Stations"/>
    <s v="Machinery &amp; Equipment for DA Stations"/>
    <s v="NO"/>
    <s v="PAP"/>
    <s v="PIP"/>
    <s v="PICS"/>
    <s v="Modernization"/>
    <s v="8. Farm Mechanization and Farm Investments"/>
    <n v="0"/>
    <s v="DA Station"/>
    <s v="DA-Level Output"/>
    <m/>
    <s v="number"/>
    <x v="12"/>
    <x v="4"/>
    <e v="#N/A"/>
    <x v="1"/>
    <n v="1"/>
    <s v="NO"/>
    <n v="0.05"/>
    <n v="210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Multi_commodity"/>
    <s v="Multi_commodity"/>
    <s v="TECHNICAL AND SUPPORT SERVICES PROGRAM"/>
    <x v="0"/>
    <s v="Multicommodity_PSS"/>
    <s v="Farm machinery and equipment procured for stations"/>
    <s v="Farm machinery and equipment procured for stations"/>
    <s v="Production machinery and equipment procured for stations"/>
    <x v="26"/>
    <x v="9"/>
    <s v="Support to DA Stations"/>
    <s v="Machinery &amp; Equipment for DA Stations"/>
    <s v="NO"/>
    <s v="PAP"/>
    <s v="PIP"/>
    <s v="PICS"/>
    <s v="Modernization"/>
    <s v="8. Farm Mechanization and Farm Investments"/>
    <n v="0"/>
    <s v="DA Station"/>
    <s v="DA-Level Output"/>
    <m/>
    <s v="number"/>
    <x v="12"/>
    <x v="4"/>
    <e v="#N/A"/>
    <x v="1"/>
    <n v="1"/>
    <s v="NO"/>
    <n v="0.05"/>
    <n v="310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Multi_commodity"/>
    <s v="Multi_commodity"/>
    <s v="TECHNICAL AND SUPPORT SERVICES PROGRAM"/>
    <x v="0"/>
    <s v="Multicommodity_PSS"/>
    <s v="Farm machinery and equipment procured for stations"/>
    <s v="Farm machinery and equipment procured for stations"/>
    <s v="Production machinery and equipment procured for stations"/>
    <x v="21"/>
    <x v="9"/>
    <s v="Support to DA Stations"/>
    <s v="Machinery &amp; Equipment for DA Stations"/>
    <s v="NO"/>
    <s v="PAP"/>
    <s v="PIP"/>
    <s v="PICS"/>
    <s v="Modernization"/>
    <s v="8. Farm Mechanization and Farm Investments"/>
    <n v="0"/>
    <s v="DA Station"/>
    <s v="DA-Level Output"/>
    <m/>
    <s v="number"/>
    <x v="12"/>
    <x v="4"/>
    <e v="#N/A"/>
    <x v="1"/>
    <n v="4"/>
    <s v="NO"/>
    <n v="0.2"/>
    <n v="120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Sorghum"/>
    <s v="Sorghum"/>
    <s v="TECHNICAL AND SUPPORT SERVICES PROGRAM"/>
    <x v="0"/>
    <s v="Sorghum_PSS"/>
    <s v="Fertilizers and other soil ammendment distributed"/>
    <s v="Fertilizers distributed"/>
    <s v="Inorganic fertilizer distributed"/>
    <x v="18"/>
    <x v="7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100000"/>
    <s v="YES"/>
    <n v="5000"/>
    <n v="4500"/>
    <n v="1000"/>
    <m/>
    <m/>
    <m/>
    <m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Sorghum"/>
    <s v="Sorghum"/>
    <s v="TECHNICAL AND SUPPORT SERVICES PROGRAM"/>
    <x v="0"/>
    <s v="Sorghum_PSS"/>
    <s v="Seeds distributed"/>
    <s v="Other Seeds distributed"/>
    <s v="Sorghum Seeds distributed"/>
    <x v="17"/>
    <x v="7"/>
    <s v="Sorghum Seed Assistance"/>
    <s v="Sorghum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20000"/>
    <s v="YES"/>
    <n v="1000"/>
    <n v="1750"/>
    <n v="1000"/>
    <m/>
    <m/>
    <m/>
    <m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Soybean"/>
    <s v="Soybean"/>
    <s v="TECHNICAL AND SUPPORT SERVICES PROGRAM"/>
    <x v="0"/>
    <s v="Soybean_PSS"/>
    <s v="Fertilizers and other soil ammendment distributed"/>
    <s v="Fertilizers distributed"/>
    <s v="Inorganic fertilizer distributed"/>
    <x v="20"/>
    <x v="8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2500"/>
    <s v="YES"/>
    <n v="125"/>
    <n v="112"/>
    <n v="25"/>
    <m/>
    <m/>
    <m/>
    <m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Soybean"/>
    <s v="Soybean"/>
    <s v="TECHNICAL AND SUPPORT SERVICES PROGRAM"/>
    <x v="0"/>
    <s v="Soybean_PSS"/>
    <s v="Seeds distributed"/>
    <s v="Vegetable Seeds distributed"/>
    <s v="Soybean Seeds distributed"/>
    <x v="19"/>
    <x v="8"/>
    <s v="Soybean Seed Assistance"/>
    <s v="Soybea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1000"/>
    <s v="YES"/>
    <n v="50"/>
    <m/>
    <n v="25"/>
    <m/>
    <m/>
    <m/>
    <m/>
    <s v="YES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Soybean"/>
    <s v="Soybean"/>
    <s v="TECHNICAL AND SUPPORT SERVICES PROGRAM"/>
    <x v="0"/>
    <s v="Soybean_PSS"/>
    <s v="Seeds distributed"/>
    <s v="Vegetable Seeds distributed"/>
    <s v="Soybean Seeds distributed"/>
    <x v="19"/>
    <x v="8"/>
    <s v="Soybean Seed Assistance"/>
    <s v="Soybea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m/>
    <s v="YES"/>
    <n v="0"/>
    <n v="50"/>
    <m/>
    <m/>
    <m/>
    <m/>
    <m/>
    <s v="YES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6000"/>
    <s v="YES"/>
    <n v="300"/>
    <m/>
    <m/>
    <m/>
    <m/>
    <m/>
    <n v="10"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8000"/>
    <s v="YES"/>
    <n v="400"/>
    <m/>
    <m/>
    <m/>
    <m/>
    <m/>
    <n v="17"/>
    <s v="YES"/>
    <m/>
    <m/>
    <m/>
    <m/>
    <m/>
    <m/>
    <m/>
    <m/>
    <m/>
    <m/>
    <m/>
    <m/>
    <m/>
    <m/>
    <m/>
    <m/>
    <m/>
    <m/>
    <m/>
  </r>
  <r>
    <s v="RFOs"/>
    <x v="1"/>
    <s v="RFOII"/>
    <m/>
    <x v="2"/>
    <m/>
    <s v="Nueva_Vizcaya"/>
    <s v="Nueva_Vizcaya"/>
    <e v="#N/A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4000"/>
    <s v="YES"/>
    <n v="200"/>
    <m/>
    <m/>
    <m/>
    <m/>
    <m/>
    <n v="6"/>
    <s v="YES"/>
    <m/>
    <m/>
    <m/>
    <m/>
    <m/>
    <m/>
    <m/>
    <m/>
    <m/>
    <m/>
    <m/>
    <m/>
    <m/>
    <m/>
    <m/>
    <m/>
    <m/>
    <m/>
    <m/>
  </r>
  <r>
    <s v="RFOs"/>
    <x v="1"/>
    <s v="RFOII"/>
    <m/>
    <x v="3"/>
    <m/>
    <s v="Quirino"/>
    <s v="Quirino"/>
    <e v="#N/A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4000"/>
    <s v="YES"/>
    <n v="200"/>
    <m/>
    <m/>
    <m/>
    <m/>
    <m/>
    <n v="6"/>
    <s v="YES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White Corn"/>
    <s v="Corn"/>
    <s v="TECHNICAL AND SUPPORT SERVICES PROGRAM"/>
    <x v="0"/>
    <s v="Corn_PSS"/>
    <s v="Seeds distributed"/>
    <s v="Corn Seeds distributed"/>
    <s v="White Corn Seeds distributed"/>
    <x v="0"/>
    <x v="0"/>
    <s v="OPV Seed Production"/>
    <s v="White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m/>
    <s v="YES"/>
    <n v="0"/>
    <n v="1106"/>
    <m/>
    <m/>
    <m/>
    <m/>
    <m/>
    <s v="YES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White Corn"/>
    <s v="Corn"/>
    <s v="TECHNICAL AND SUPPORT SERVICES PROGRAM"/>
    <x v="0"/>
    <s v="Corn_PSS"/>
    <s v="Seeds reserved"/>
    <s v="Corn Seeds reserved"/>
    <s v="White Corn Seeds reserved"/>
    <x v="1"/>
    <x v="1"/>
    <s v="Corn Seed Reserve"/>
    <s v="White corn seeds reserve"/>
    <s v="YES"/>
    <s v="PAP"/>
    <s v="PIP"/>
    <s v="PICS"/>
    <s v="Modernization"/>
    <s v="9. Climate Change Adaptation &amp; Mitigation Measures"/>
    <s v="EXPAND AND IMPROVE AVAILABLE AGRI-FISHERY AREAS FOR INCREASED PRODUCTION"/>
    <s v="Seed Reserve"/>
    <s v="DA-Level Output"/>
    <m/>
    <s v="kilogram"/>
    <x v="12"/>
    <x v="4"/>
    <e v="#N/A"/>
    <x v="1"/>
    <n v="15000"/>
    <s v="YES"/>
    <n v="750"/>
    <n v="150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125010"/>
    <s v="YES"/>
    <n v="6250.5"/>
    <n v="83340"/>
    <m/>
    <m/>
    <m/>
    <m/>
    <n v="25"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301140"/>
    <s v="YES"/>
    <n v="15057"/>
    <n v="200760"/>
    <m/>
    <m/>
    <m/>
    <m/>
    <n v="35"/>
    <s v="YES"/>
    <m/>
    <m/>
    <m/>
    <m/>
    <m/>
    <m/>
    <m/>
    <m/>
    <m/>
    <m/>
    <m/>
    <m/>
    <m/>
    <m/>
    <m/>
    <m/>
    <m/>
    <m/>
    <m/>
  </r>
  <r>
    <s v="RFOs"/>
    <x v="1"/>
    <s v="RFOII"/>
    <m/>
    <x v="2"/>
    <m/>
    <s v="Nueva_Vizcaya"/>
    <s v="Nueva_Vizcaya"/>
    <e v="#N/A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16200"/>
    <s v="YES"/>
    <n v="810"/>
    <n v="10800"/>
    <m/>
    <m/>
    <m/>
    <m/>
    <n v="9"/>
    <s v="YES"/>
    <m/>
    <m/>
    <m/>
    <m/>
    <m/>
    <m/>
    <m/>
    <m/>
    <m/>
    <m/>
    <m/>
    <m/>
    <m/>
    <m/>
    <m/>
    <m/>
    <m/>
    <m/>
    <m/>
  </r>
  <r>
    <s v="RFOs"/>
    <x v="1"/>
    <s v="RFOII"/>
    <m/>
    <x v="3"/>
    <m/>
    <s v="Quirino"/>
    <s v="Quirino"/>
    <e v="#N/A"/>
    <s v="Yellow Corn"/>
    <s v="Corn"/>
    <s v="TECHNICAL AND SUPPORT SERVICES PROGRAM"/>
    <x v="0"/>
    <s v="Corn_PSS"/>
    <s v="Seeds distributed"/>
    <s v="Corn Seeds distributed"/>
    <s v="Yellow Corn Seeds distributed"/>
    <x v="6"/>
    <x v="4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43650"/>
    <s v="YES"/>
    <n v="2182.5"/>
    <n v="29100"/>
    <m/>
    <m/>
    <m/>
    <m/>
    <n v="6"/>
    <s v="YES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Yellow Corn"/>
    <s v="Corn"/>
    <s v="TECHNICAL AND SUPPORT SERVICES PROGRAM"/>
    <x v="0"/>
    <s v="Corn_PSS"/>
    <s v="Seeds distributed"/>
    <s v="Corn Seeds distributed"/>
    <s v="Yellow Corn Seeds distributed"/>
    <x v="2"/>
    <x v="2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9000"/>
    <s v="YES"/>
    <n v="450"/>
    <n v="6000"/>
    <m/>
    <m/>
    <m/>
    <m/>
    <n v="2"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Yellow Corn"/>
    <s v="Corn"/>
    <s v="TECHNICAL AND SUPPORT SERVICES PROGRAM"/>
    <x v="0"/>
    <s v="Corn_PSS"/>
    <s v="Seeds distributed"/>
    <s v="Corn Seeds distributed"/>
    <s v="Yellow Corn Seeds distributed"/>
    <x v="2"/>
    <x v="2"/>
    <s v="Corn Seed Assistance"/>
    <s v="Yellow corn seeds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9000"/>
    <s v="YES"/>
    <n v="450"/>
    <n v="6000"/>
    <m/>
    <m/>
    <m/>
    <m/>
    <n v="2"/>
    <s v="YES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Yellow Corn"/>
    <s v="Corn"/>
    <s v="TECHNICAL AND SUPPORT SERVICES PROGRAM"/>
    <x v="0"/>
    <s v="Corn_PSS"/>
    <s v="Seeds reserved"/>
    <s v="Corn Seeds reserved"/>
    <s v="Yellow Corn Seeds reserved"/>
    <x v="8"/>
    <x v="1"/>
    <s v="Corn Seed Reserve"/>
    <s v="Yellow corn seeds reserve"/>
    <s v="YES"/>
    <s v="PAP"/>
    <s v="PIP"/>
    <s v="PICS"/>
    <s v="Modernization"/>
    <s v="9. Climate Change Adaptation &amp; Mitigation Measures"/>
    <s v="EXPAND AND IMPROVE AVAILABLE AGRI-FISHERY AREAS FOR INCREASED PRODUCTION"/>
    <s v="Seed Reserve"/>
    <s v="DA-Level Output"/>
    <m/>
    <s v="kilogram"/>
    <x v="12"/>
    <x v="4"/>
    <e v="#N/A"/>
    <x v="1"/>
    <n v="3000"/>
    <s v="YES"/>
    <n v="150"/>
    <n v="30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Yellow Corn"/>
    <s v="Corn"/>
    <s v="TECHNICAL AND SUPPORT SERVICES PROGRAM"/>
    <x v="0"/>
    <s v="Corn_PSS"/>
    <s v="Seeds reserved"/>
    <s v="Corn Seeds reserved"/>
    <s v="Yellow Corn Seeds reserved"/>
    <x v="9"/>
    <x v="1"/>
    <s v="Corn Seed Reserve"/>
    <s v="Yellow corn seeds reserve"/>
    <s v="YES"/>
    <s v="PAP"/>
    <s v="PIP"/>
    <s v="PICS"/>
    <s v="Modernization"/>
    <s v="9. Climate Change Adaptation &amp; Mitigation Measures"/>
    <s v="EXPAND AND IMPROVE AVAILABLE AGRI-FISHERY AREAS FOR INCREASED PRODUCTION"/>
    <s v="Seed Reserve"/>
    <s v="DA-Level Output"/>
    <m/>
    <s v="kilogram"/>
    <x v="12"/>
    <x v="4"/>
    <e v="#N/A"/>
    <x v="1"/>
    <n v="375894"/>
    <s v="YES"/>
    <n v="18794.7"/>
    <n v="250596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694500"/>
    <s v="YES"/>
    <n v="34725"/>
    <n v="31252.5"/>
    <m/>
    <m/>
    <m/>
    <m/>
    <n v="25"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1673000"/>
    <s v="YES"/>
    <n v="83650"/>
    <n v="75285"/>
    <m/>
    <m/>
    <m/>
    <m/>
    <n v="35"/>
    <s v="YES"/>
    <m/>
    <m/>
    <m/>
    <m/>
    <m/>
    <m/>
    <m/>
    <m/>
    <m/>
    <m/>
    <m/>
    <m/>
    <m/>
    <m/>
    <m/>
    <m/>
    <m/>
    <m/>
    <m/>
  </r>
  <r>
    <s v="RFOs"/>
    <x v="1"/>
    <s v="RFOII"/>
    <m/>
    <x v="2"/>
    <m/>
    <s v="Nueva_Vizcaya"/>
    <s v="Nueva_Vizcaya"/>
    <e v="#N/A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90000"/>
    <s v="YES"/>
    <n v="4500"/>
    <n v="4050"/>
    <m/>
    <m/>
    <m/>
    <m/>
    <n v="9"/>
    <s v="YES"/>
    <m/>
    <m/>
    <m/>
    <m/>
    <m/>
    <m/>
    <m/>
    <m/>
    <m/>
    <m/>
    <m/>
    <m/>
    <m/>
    <m/>
    <m/>
    <m/>
    <m/>
    <m/>
    <m/>
  </r>
  <r>
    <s v="RFOs"/>
    <x v="1"/>
    <s v="RFOII"/>
    <m/>
    <x v="3"/>
    <m/>
    <s v="Quirino"/>
    <s v="Quirino"/>
    <e v="#N/A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7"/>
    <x v="4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242500"/>
    <s v="YES"/>
    <n v="12125"/>
    <n v="10912.5"/>
    <m/>
    <m/>
    <m/>
    <m/>
    <n v="6"/>
    <s v="YES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3"/>
    <x v="2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275000"/>
    <s v="YES"/>
    <n v="13750"/>
    <n v="12375"/>
    <m/>
    <m/>
    <m/>
    <m/>
    <n v="2"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Yellow Corn"/>
    <s v="Corn"/>
    <s v="TECHNICAL AND SUPPORT SERVICES PROGRAM"/>
    <x v="0"/>
    <s v="Corn_PSS"/>
    <s v="Fertilizers and other soil ammendment distributed"/>
    <s v="Fertilizers distributed"/>
    <s v="Inorganic fertilizer distributed"/>
    <x v="3"/>
    <x v="2"/>
    <s v="Soil Fertilization"/>
    <s v="Inorganic 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275000"/>
    <s v="YES"/>
    <n v="13750"/>
    <n v="12375"/>
    <m/>
    <m/>
    <m/>
    <m/>
    <n v="2"/>
    <s v="YES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Yellow Corn"/>
    <s v="Corn"/>
    <s v="TECHNICAL AND SUPPORT SERVICES PROGRAM"/>
    <x v="0"/>
    <s v="Corn_PSS"/>
    <s v="Agri-chemicals reserved"/>
    <s v="Agri-chemicals reserved"/>
    <s v="Agri-chemicals reserved (liter)"/>
    <x v="10"/>
    <x v="5"/>
    <s v="Agricultural Chemicals"/>
    <s v="Insecticide (liquid)"/>
    <s v="NO"/>
    <s v="PAP"/>
    <s v="PIP"/>
    <s v="PICS"/>
    <s v="Modernization"/>
    <s v="9. Climate Change Adaptation &amp; Mitigation Measures"/>
    <s v="EXPAND AND IMPROVE AVAILABLE AGRI-FISHERY AREAS FOR INCREASED PRODUCTION"/>
    <s v="Agrichemicals"/>
    <s v="DA-Level Output"/>
    <m/>
    <s v="liter"/>
    <x v="12"/>
    <x v="4"/>
    <e v="#N/A"/>
    <x v="1"/>
    <n v="5000"/>
    <s v="YES"/>
    <n v="250"/>
    <n v="600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Yellow Corn"/>
    <s v="Corn"/>
    <s v="TECHNICAL AND SUPPORT SERVICES PROGRAM"/>
    <x v="0"/>
    <s v="Corn_PSS"/>
    <s v="Agri-chemicals reserved"/>
    <s v="Agri-chemicals reserved"/>
    <s v="Agri-chemicals reserved (kg)"/>
    <x v="11"/>
    <x v="5"/>
    <s v="Agricultural Chemicals"/>
    <s v="Rodenticides"/>
    <s v="NO"/>
    <s v="PAP"/>
    <s v="PIP"/>
    <s v="PICS"/>
    <s v="Modernization"/>
    <s v="9. Climate Change Adaptation &amp; Mitigation Measures"/>
    <s v="EXPAND AND IMPROVE AVAILABLE AGRI-FISHERY AREAS FOR INCREASED PRODUCTION"/>
    <s v="Agrichemicals"/>
    <s v="DA-Level Output"/>
    <m/>
    <s v="kilogram"/>
    <x v="12"/>
    <x v="4"/>
    <e v="#N/A"/>
    <x v="1"/>
    <n v="50000"/>
    <s v="YES"/>
    <n v="2500"/>
    <n v="150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Yellow Corn"/>
    <s v="Corn"/>
    <s v="TECHNICAL AND SUPPORT SERVICES PROGRAM"/>
    <x v="0"/>
    <s v="Corn_PSS"/>
    <s v="Agri-chemicals reserved"/>
    <s v="Agri-chemicals reserved"/>
    <s v="Agri-chemicals reserved (pc)"/>
    <x v="12"/>
    <x v="5"/>
    <s v="Agricultural Chemicals"/>
    <s v="Pheromone lure"/>
    <s v="NO"/>
    <s v="PAP"/>
    <s v="PIP"/>
    <s v="PICS"/>
    <s v="Modernization"/>
    <s v="9. Climate Change Adaptation &amp; Mitigation Measures"/>
    <s v="EXPAND AND IMPROVE AVAILABLE AGRI-FISHERY AREAS FOR INCREASED PRODUCTION"/>
    <s v="Agrichemicals"/>
    <s v="DA-Level Output"/>
    <m/>
    <s v="piece"/>
    <x v="12"/>
    <x v="4"/>
    <e v="#N/A"/>
    <x v="1"/>
    <n v="5000"/>
    <s v="YES"/>
    <n v="250"/>
    <n v="275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Yellow Corn"/>
    <s v="Corn"/>
    <s v="TECHNICAL AND SUPPORT SERVICES PROGRAM"/>
    <x v="0"/>
    <s v="Corn_PSS"/>
    <s v="Fertilizers and other soil ammendment distributed"/>
    <s v="Fertilizers distributed"/>
    <s v="Biofertilizer distributed (pack)"/>
    <x v="4"/>
    <x v="3"/>
    <s v="Soil Fertilization"/>
    <s v="Bio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pack"/>
    <x v="12"/>
    <x v="4"/>
    <e v="#N/A"/>
    <x v="1"/>
    <n v="2000"/>
    <s v="YES"/>
    <n v="100"/>
    <n v="1360"/>
    <m/>
    <m/>
    <m/>
    <m/>
    <n v="2"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Yellow Corn"/>
    <s v="Corn"/>
    <s v="TECHNICAL AND SUPPORT SERVICES PROGRAM"/>
    <x v="0"/>
    <s v="Corn_PSS"/>
    <s v="Fertilizers and other soil ammendment distributed"/>
    <s v="Fertilizers distributed"/>
    <s v="Biofertilizer distributed (pack)"/>
    <x v="4"/>
    <x v="3"/>
    <s v="Soil Fertilization"/>
    <s v="Biofertilizer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pack"/>
    <x v="12"/>
    <x v="4"/>
    <e v="#N/A"/>
    <x v="1"/>
    <n v="2000"/>
    <s v="YES"/>
    <n v="100"/>
    <n v="1360"/>
    <m/>
    <m/>
    <m/>
    <m/>
    <n v="2"/>
    <s v="YES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Yellow Corn"/>
    <s v="Corn"/>
    <s v="TECHNICAL AND SUPPORT SERVICES PROGRAM"/>
    <x v="0"/>
    <s v="Corn_PSS"/>
    <s v="Fertilizers and other soil ammendment distributed"/>
    <s v="Fertilizers distributed"/>
    <s v="Organic fertilizer distributed"/>
    <x v="5"/>
    <x v="3"/>
    <s v="Soil Fertilization"/>
    <s v="Soil ameliorant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250000"/>
    <s v="YES"/>
    <n v="12500"/>
    <n v="5000"/>
    <m/>
    <m/>
    <m/>
    <m/>
    <n v="2"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Yellow Corn"/>
    <s v="Corn"/>
    <s v="TECHNICAL AND SUPPORT SERVICES PROGRAM"/>
    <x v="0"/>
    <s v="Corn_PSS"/>
    <s v="Fertilizers and other soil ammendment distributed"/>
    <s v="Fertilizers distributed"/>
    <s v="Organic fertilizer distributed"/>
    <x v="5"/>
    <x v="3"/>
    <s v="Soil Fertilization"/>
    <s v="Soil ameliorant"/>
    <s v="NO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kilogram"/>
    <x v="12"/>
    <x v="4"/>
    <e v="#N/A"/>
    <x v="1"/>
    <n v="250000"/>
    <s v="YES"/>
    <n v="12500"/>
    <n v="5000"/>
    <m/>
    <m/>
    <m/>
    <m/>
    <n v="2"/>
    <s v="YES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Cassava"/>
    <s v="Cassava"/>
    <s v="TECHNICAL AND SUPPORT SERVICES PROGRAM"/>
    <x v="1"/>
    <s v="Cassava_ESETS"/>
    <s v="Technology demonstrations established/maintained"/>
    <s v="Model Farms established"/>
    <s v="Model Farms established"/>
    <x v="36"/>
    <x v="10"/>
    <s v="Model farm"/>
    <s v="Cassava model farm"/>
    <s v="YES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number"/>
    <x v="12"/>
    <x v="4"/>
    <e v="#N/A"/>
    <x v="1"/>
    <n v="1"/>
    <s v="YES"/>
    <n v="0.05"/>
    <n v="65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Cassava"/>
    <s v="Cassava"/>
    <s v="TECHNICAL AND SUPPORT SERVICES PROGRAM"/>
    <x v="1"/>
    <s v="Cassava_ESETS"/>
    <s v="Training conducted"/>
    <s v="Other training conducted"/>
    <s v="Other training conducted_Farmers/Fisherfolk/Other External Participants"/>
    <x v="37"/>
    <x v="13"/>
    <s v="Trainings"/>
    <s v="Cassava Livelihood training"/>
    <s v="NO"/>
    <s v="PAP"/>
    <s v="PIP"/>
    <s v="PICS"/>
    <s v="Consolidation"/>
    <s v="1. Bayanihan Agri Cluster"/>
    <s v="IMPROVE AND EXPAND LOCAL AND INTERNATIONAL MARKET ACCESS"/>
    <s v="Capacity Building"/>
    <s v="PREXC/DA-Level Output"/>
    <m/>
    <s v="number"/>
    <x v="12"/>
    <x v="4"/>
    <e v="#N/A"/>
    <x v="1"/>
    <n v="4"/>
    <s v="NO"/>
    <n v="0.2"/>
    <n v="200"/>
    <n v="120"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Cassava"/>
    <s v="Cassava"/>
    <s v="TECHNICAL AND SUPPORT SERVICES PROGRAM"/>
    <x v="1"/>
    <s v="Cassava_ESETS"/>
    <s v="Training conducted"/>
    <s v="Other training conducted"/>
    <s v="Other training conducted_Farmers/Fisherfolk/Other External Participants"/>
    <x v="38"/>
    <x v="13"/>
    <s v="Trainings"/>
    <s v="Cassava Production Training"/>
    <s v="NO"/>
    <s v="PAP"/>
    <s v="PIP"/>
    <s v="PICS"/>
    <s v="Consolidation"/>
    <s v="1. Bayanihan Agri Cluster"/>
    <s v="EXPAND AND IMPROVE AVAILABLE AGRI-FISHERY AREAS FOR INCREASED PRODUCTION"/>
    <s v="Capacity Building"/>
    <s v="PREXC/DA-Level Output"/>
    <m/>
    <s v="number"/>
    <x v="12"/>
    <x v="4"/>
    <e v="#N/A"/>
    <x v="1"/>
    <n v="4"/>
    <s v="NO"/>
    <n v="0.2"/>
    <n v="140"/>
    <n v="120"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Cassava"/>
    <s v="Cassava"/>
    <s v="TECHNICAL AND SUPPORT SERVICES PROGRAM"/>
    <x v="1"/>
    <s v="Cassava_ESETS"/>
    <s v="Knowledge Products disseminated"/>
    <s v="Knowledge Products disseminated"/>
    <s v="Knowledge Products disseminated"/>
    <x v="39"/>
    <x v="15"/>
    <s v="Information, Education, and Communication Activities"/>
    <s v="IEC materials"/>
    <s v="NO"/>
    <s v="PAP"/>
    <s v="PIP"/>
    <s v="PICS"/>
    <s v="Strategic Communication"/>
    <s v="18. Strategic Communications​"/>
    <n v="0"/>
    <s v="IEC"/>
    <s v="DA-Level Output"/>
    <m/>
    <s v="Print disseminated"/>
    <x v="12"/>
    <x v="4"/>
    <e v="#N/A"/>
    <x v="1"/>
    <n v="5000"/>
    <s v="NO"/>
    <n v="250"/>
    <n v="15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m/>
    <s v="number"/>
    <x v="12"/>
    <x v="4"/>
    <e v="#N/A"/>
    <x v="1"/>
    <n v="46"/>
    <s v="NO"/>
    <n v="2.2999999999999998"/>
    <n v="1932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m/>
    <s v="number"/>
    <x v="12"/>
    <x v="4"/>
    <e v="#N/A"/>
    <x v="1"/>
    <n v="69"/>
    <s v="NO"/>
    <n v="3.45"/>
    <n v="2898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2"/>
    <m/>
    <s v="Nueva_Vizcaya"/>
    <s v="Nueva_Vizcaya"/>
    <e v="#N/A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m/>
    <s v="number"/>
    <x v="12"/>
    <x v="4"/>
    <e v="#N/A"/>
    <x v="1"/>
    <n v="23"/>
    <s v="NO"/>
    <n v="1.1499999999999999"/>
    <n v="966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3"/>
    <m/>
    <s v="Quirino"/>
    <s v="Quirino"/>
    <e v="#N/A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50"/>
    <x v="16"/>
    <s v="Incentives Given"/>
    <s v="Agricultural Extension Worke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m/>
    <s v="number"/>
    <x v="12"/>
    <x v="4"/>
    <e v="#N/A"/>
    <x v="1"/>
    <n v="31"/>
    <s v="NO"/>
    <n v="1.55"/>
    <n v="1302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9"/>
    <x v="16"/>
    <s v="Incentives Given"/>
    <s v="Municipal Agriculturist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m/>
    <s v="number"/>
    <x v="12"/>
    <x v="4"/>
    <e v="#N/A"/>
    <x v="1"/>
    <n v="3"/>
    <s v="NO"/>
    <n v="0.15"/>
    <n v="144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9"/>
    <x v="16"/>
    <s v="Incentives Given"/>
    <s v="Municipal Agriculturist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m/>
    <s v="number"/>
    <x v="12"/>
    <x v="4"/>
    <e v="#N/A"/>
    <x v="1"/>
    <n v="8"/>
    <s v="NO"/>
    <n v="0.4"/>
    <n v="384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3"/>
    <m/>
    <s v="Quirino"/>
    <s v="Quirino"/>
    <e v="#N/A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9"/>
    <x v="16"/>
    <s v="Incentives Given"/>
    <s v="Municipal Agriculturist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m/>
    <s v="number"/>
    <x v="12"/>
    <x v="4"/>
    <e v="#N/A"/>
    <x v="1"/>
    <n v="1"/>
    <s v="NO"/>
    <n v="0.05"/>
    <n v="48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8"/>
    <x v="16"/>
    <s v="Incentives Given"/>
    <s v="Provincial Coordinato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m/>
    <s v="number"/>
    <x v="12"/>
    <x v="4"/>
    <e v="#N/A"/>
    <x v="1"/>
    <n v="1"/>
    <s v="NO"/>
    <n v="0.05"/>
    <n v="48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8"/>
    <x v="16"/>
    <s v="Incentives Given"/>
    <s v="Provincial Coordinato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m/>
    <s v="number"/>
    <x v="12"/>
    <x v="4"/>
    <e v="#N/A"/>
    <x v="1"/>
    <n v="1"/>
    <s v="NO"/>
    <n v="0.05"/>
    <n v="48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2"/>
    <m/>
    <s v="Nueva_Vizcaya"/>
    <s v="Nueva_Vizcaya"/>
    <e v="#N/A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8"/>
    <x v="16"/>
    <s v="Incentives Given"/>
    <s v="Provincial Coordinato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m/>
    <s v="number"/>
    <x v="12"/>
    <x v="4"/>
    <e v="#N/A"/>
    <x v="1"/>
    <n v="1"/>
    <s v="NO"/>
    <n v="0.05"/>
    <n v="48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3"/>
    <m/>
    <s v="Quirino"/>
    <s v="Quirino"/>
    <e v="#N/A"/>
    <s v="Multi_commodity"/>
    <s v="Multi_commodity"/>
    <s v="TECHNICAL AND SUPPORT SERVICES PROGRAM"/>
    <x v="1"/>
    <s v="Multicommodity_ESETS"/>
    <s v="Individuals given incentives, recognition, and awards"/>
    <s v="AEWs-extension workers given incentives"/>
    <s v="AEWs-extension workers given incentives"/>
    <x v="48"/>
    <x v="16"/>
    <s v="Incentives Given"/>
    <s v="Provincial Coordinator"/>
    <s v="NO"/>
    <s v="PAP"/>
    <s v="PIP"/>
    <s v="PICS"/>
    <s v="Consolidation"/>
    <s v="3. PAFES"/>
    <s v="STRONG PARTNERSHIP WITH THE FARMERS, FISHERFOLK, PRIVATE SECTOR, AND OTHER STAKEHOLDERS"/>
    <s v="Other Intervetions"/>
    <s v="DA-Level Output"/>
    <m/>
    <s v="number"/>
    <x v="12"/>
    <x v="4"/>
    <e v="#N/A"/>
    <x v="1"/>
    <n v="1"/>
    <s v="NO"/>
    <n v="0.05"/>
    <n v="48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Multi_commodity"/>
    <s v="Multi_commodity"/>
    <s v="TECHNICAL AND SUPPORT SERVICES PROGRAM"/>
    <x v="1"/>
    <s v="Multicommodity_ESETS"/>
    <s v="Extension support activities conducted"/>
    <s v="Extension support activities conducted"/>
    <s v="Other extension support activities conducted"/>
    <x v="52"/>
    <x v="15"/>
    <s v="Information, Education, and Communication Activities"/>
    <s v="TV Plugs"/>
    <s v="NO"/>
    <s v="PAP"/>
    <s v="PIP"/>
    <s v="PICS"/>
    <s v="Strategic Communication"/>
    <s v="18. Strategic Communications​"/>
    <n v="0"/>
    <s v="IEC"/>
    <s v="DA-Level Output"/>
    <m/>
    <s v="no. of times aired"/>
    <x v="12"/>
    <x v="4"/>
    <e v="#N/A"/>
    <x v="1"/>
    <n v="5"/>
    <s v="NO"/>
    <n v="0.25"/>
    <n v="40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Multi_commodity"/>
    <s v="Multi_commodity"/>
    <s v="TECHNICAL AND SUPPORT SERVICES PROGRAM"/>
    <x v="1"/>
    <s v="Multicommodity_ESETS"/>
    <s v="Extension support activities conducted"/>
    <s v="Extension support activities conducted"/>
    <s v="Other extension support activities conducted"/>
    <x v="29"/>
    <x v="12"/>
    <s v="Special Events"/>
    <s v="Corn and Cassava Congress"/>
    <s v="NO"/>
    <s v="PAP"/>
    <s v="PIP"/>
    <s v="PICS"/>
    <s v="Strategic Communication"/>
    <s v="18. Strategic Communications​"/>
    <s v="STRONG PARTNERSHIP WITH THE FARMERS, FISHERFOLK, PRIVATE SECTOR, AND OTHER STAKEHOLDERS"/>
    <s v="Other Intervetions"/>
    <s v="DA-Level Output"/>
    <m/>
    <s v="number"/>
    <x v="12"/>
    <x v="4"/>
    <e v="#N/A"/>
    <x v="1"/>
    <m/>
    <s v="NO"/>
    <n v="0"/>
    <n v="60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Multi_commodity"/>
    <s v="Multi_commodity"/>
    <s v="TECHNICAL AND SUPPORT SERVICES PROGRAM"/>
    <x v="1"/>
    <s v="Multicommodity_ESETS"/>
    <s v="Extension support activities conducted"/>
    <s v="Extension support activities conducted"/>
    <s v="Other extension support activities conducted"/>
    <x v="51"/>
    <x v="15"/>
    <s v="Information, Education, and Communication Activities"/>
    <s v="Radio Plugs"/>
    <s v="NO"/>
    <s v="PAP"/>
    <s v="PIP"/>
    <s v="PICS"/>
    <s v="Strategic Communication"/>
    <s v="18. Strategic Communications​"/>
    <n v="0"/>
    <s v="IEC"/>
    <s v="DA-Level Output"/>
    <m/>
    <s v="no. of times aired"/>
    <x v="12"/>
    <x v="4"/>
    <e v="#N/A"/>
    <x v="1"/>
    <n v="5"/>
    <s v="NO"/>
    <n v="0.25"/>
    <n v="35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Sorghum"/>
    <s v="Sorghum"/>
    <s v="TECHNICAL AND SUPPORT SERVICES PROGRAM"/>
    <x v="1"/>
    <s v="Sorghum_ESETS"/>
    <s v="Technology demonstrations established/maintained"/>
    <s v="Model Farms established"/>
    <s v="Model Farms established"/>
    <x v="40"/>
    <x v="10"/>
    <s v="Model farm"/>
    <s v="Sorghum model farm"/>
    <s v="YES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number"/>
    <x v="12"/>
    <x v="4"/>
    <e v="#N/A"/>
    <x v="1"/>
    <n v="1"/>
    <s v="YES"/>
    <n v="0.05"/>
    <n v="28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Sorghum"/>
    <s v="Sorghum"/>
    <s v="TECHNICAL AND SUPPORT SERVICES PROGRAM"/>
    <x v="1"/>
    <s v="Sorghum_ESETS"/>
    <s v="Technology demonstrations established/maintained"/>
    <s v="Techno demo established"/>
    <s v="Techno demo established"/>
    <x v="41"/>
    <x v="11"/>
    <s v="Techno Demo"/>
    <s v="Sorghum techno demo"/>
    <s v="YES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number"/>
    <x v="12"/>
    <x v="4"/>
    <e v="#N/A"/>
    <x v="1"/>
    <n v="4"/>
    <s v="YES"/>
    <n v="0.2"/>
    <m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Sorghum"/>
    <s v="Sorghum"/>
    <s v="TECHNICAL AND SUPPORT SERVICES PROGRAM"/>
    <x v="1"/>
    <s v="Sorghum_ESETS"/>
    <s v="Technology demonstrations established/maintained"/>
    <s v="Techno demo established"/>
    <s v="Techno demo established"/>
    <x v="41"/>
    <x v="11"/>
    <s v="Techno Demo"/>
    <s v="Sorghum techno demo"/>
    <s v="YES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number"/>
    <x v="12"/>
    <x v="4"/>
    <e v="#N/A"/>
    <x v="1"/>
    <m/>
    <s v="YES"/>
    <n v="0"/>
    <n v="16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Sorghum"/>
    <s v="Sorghum"/>
    <s v="TECHNICAL AND SUPPORT SERVICES PROGRAM"/>
    <x v="1"/>
    <s v="Sorghum_ESETS"/>
    <s v="Training conducted"/>
    <s v="Other training conducted"/>
    <s v="Other training conducted_Farmers/Fisherfolk/Other External Participants"/>
    <x v="42"/>
    <x v="13"/>
    <s v="Trainings"/>
    <s v="Sorghum Production Training "/>
    <s v="NO"/>
    <s v="PAP"/>
    <s v="PIP"/>
    <s v="PICS"/>
    <s v="Consolidation"/>
    <s v="1. Bayanihan Agri Cluster"/>
    <s v="EXPAND AND IMPROVE AVAILABLE AGRI-FISHERY AREAS FOR INCREASED PRODUCTION"/>
    <s v="Capacity Building"/>
    <s v="PREXC/DA-Level Output"/>
    <m/>
    <s v="number"/>
    <x v="12"/>
    <x v="4"/>
    <e v="#N/A"/>
    <x v="1"/>
    <n v="4"/>
    <s v="NO"/>
    <n v="0.2"/>
    <n v="140"/>
    <n v="120"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Sorghum"/>
    <s v="Sorghum"/>
    <s v="TECHNICAL AND SUPPORT SERVICES PROGRAM"/>
    <x v="1"/>
    <s v="Sorghum_ESETS"/>
    <s v="Knowledge Products disseminated"/>
    <s v="Knowledge Products disseminated"/>
    <s v="Knowledge Products disseminated"/>
    <x v="43"/>
    <x v="15"/>
    <s v="Information, Education, and Communication Activities"/>
    <s v="IEC materials"/>
    <s v="NO"/>
    <s v="PAP"/>
    <s v="PIP"/>
    <s v="PICS"/>
    <s v="Strategic Communication"/>
    <s v="18. Strategic Communications​"/>
    <n v="0"/>
    <s v="IEC"/>
    <s v="DA-Level Output"/>
    <m/>
    <s v="Print disseminated"/>
    <x v="12"/>
    <x v="4"/>
    <e v="#N/A"/>
    <x v="1"/>
    <n v="200"/>
    <s v="NO"/>
    <n v="10"/>
    <n v="5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Soybean"/>
    <s v="Soybean"/>
    <s v="TECHNICAL AND SUPPORT SERVICES PROGRAM"/>
    <x v="1"/>
    <s v="Soybean_ESETS"/>
    <s v="Technology demonstrations established/maintained"/>
    <s v="Model Farms established"/>
    <s v="Model Farms established"/>
    <x v="44"/>
    <x v="10"/>
    <s v="Model farm"/>
    <s v="Soybean model farm"/>
    <s v="YES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number"/>
    <x v="12"/>
    <x v="4"/>
    <e v="#N/A"/>
    <x v="1"/>
    <n v="1"/>
    <s v="YES"/>
    <n v="0.05"/>
    <n v="33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Soybean"/>
    <s v="Soybean"/>
    <s v="TECHNICAL AND SUPPORT SERVICES PROGRAM"/>
    <x v="1"/>
    <s v="Soybean_ESETS"/>
    <s v="Technology demonstrations established/maintained"/>
    <s v="Techno demo established"/>
    <s v="Techno demo established"/>
    <x v="45"/>
    <x v="11"/>
    <s v="Techno Demo"/>
    <s v="Soybean techno demo"/>
    <s v="YES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number"/>
    <x v="12"/>
    <x v="4"/>
    <e v="#N/A"/>
    <x v="1"/>
    <n v="1"/>
    <s v="YES"/>
    <n v="0.05"/>
    <n v="20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Soybean"/>
    <s v="Soybean"/>
    <s v="TECHNICAL AND SUPPORT SERVICES PROGRAM"/>
    <x v="1"/>
    <s v="Soybean_ESETS"/>
    <s v="Training conducted"/>
    <s v="Other training conducted"/>
    <s v="Other training conducted_Farmers/Fisherfolk/Other External Participants"/>
    <x v="46"/>
    <x v="13"/>
    <s v="Trainings"/>
    <s v="Soybean Production Training "/>
    <s v="NO"/>
    <s v="PAP"/>
    <s v="PIP"/>
    <s v="PICS"/>
    <s v="Consolidation"/>
    <s v="1. Bayanihan Agri Cluster"/>
    <s v="EXPAND AND IMPROVE AVAILABLE AGRI-FISHERY AREAS FOR INCREASED PRODUCTION"/>
    <s v="Capacity Building"/>
    <s v="PREXC/DA-Level Output"/>
    <m/>
    <s v="number"/>
    <x v="12"/>
    <x v="4"/>
    <e v="#N/A"/>
    <x v="1"/>
    <n v="4"/>
    <s v="NO"/>
    <n v="0.2"/>
    <n v="140"/>
    <n v="120"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Soybean"/>
    <s v="Soybean"/>
    <s v="TECHNICAL AND SUPPORT SERVICES PROGRAM"/>
    <x v="1"/>
    <s v="Soybean_ESETS"/>
    <s v="Knowledge Products disseminated"/>
    <s v="Knowledge Products disseminated"/>
    <s v="Knowledge Products disseminated"/>
    <x v="47"/>
    <x v="15"/>
    <s v="Information, Education, and Communication Activities"/>
    <s v="IEC materials"/>
    <s v="NO"/>
    <s v="PAP"/>
    <s v="PIP"/>
    <s v="PICS"/>
    <s v="Strategic Communication"/>
    <s v="18. Strategic Communications​"/>
    <n v="0"/>
    <s v="IEC"/>
    <s v="DA-Level Output"/>
    <m/>
    <s v="Print disseminated"/>
    <x v="12"/>
    <x v="4"/>
    <e v="#N/A"/>
    <x v="1"/>
    <n v="200"/>
    <s v="NO"/>
    <n v="10"/>
    <n v="5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Yellow Corn"/>
    <s v="Corn"/>
    <s v="TECHNICAL AND SUPPORT SERVICES PROGRAM"/>
    <x v="1"/>
    <s v="Corn_ESETS"/>
    <s v="Technology demonstrations established/maintained"/>
    <s v="Model Farms established"/>
    <s v="Model Farms established"/>
    <x v="27"/>
    <x v="10"/>
    <s v="Model farm"/>
    <s v="Sustainable Land Resources Management Approach Site Establishment"/>
    <s v="YES"/>
    <s v="PAP"/>
    <s v="PIP"/>
    <s v="PICS"/>
    <s v="Consolidation"/>
    <s v="1. Bayanihan Agri Cluster"/>
    <s v="EXPAND AND IMPROVE AVAILABLE AGRI-FISHERY AREAS FOR INCREASED PRODUCTION"/>
    <s v="Farm Inputs"/>
    <s v="DA-Level Output"/>
    <m/>
    <s v="number"/>
    <x v="12"/>
    <x v="4"/>
    <e v="#N/A"/>
    <x v="1"/>
    <n v="1"/>
    <s v="YES"/>
    <n v="0.05"/>
    <n v="300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Yellow Corn"/>
    <s v="Corn"/>
    <s v="TECHNICAL AND SUPPORT SERVICES PROGRAM"/>
    <x v="1"/>
    <s v="Corn_ESETS"/>
    <s v="Technology demonstrations established/maintained"/>
    <s v="Techno demo established"/>
    <s v="Techno demo established"/>
    <x v="28"/>
    <x v="11"/>
    <s v="Techno Demo"/>
    <s v="Corn Derby"/>
    <s v="NO"/>
    <s v="PAP"/>
    <s v="PIP"/>
    <s v="PICS"/>
    <s v="Consolidation"/>
    <s v="1. Bayanihan Agri Cluster"/>
    <s v="EXPAND AND IMPROVE AVAILABLE AGRI-FISHERY AREAS FOR INCREASED PRODUCTION"/>
    <s v="Other Intervetions"/>
    <s v="DA-Level Output"/>
    <m/>
    <s v="number"/>
    <x v="12"/>
    <x v="4"/>
    <e v="#N/A"/>
    <x v="1"/>
    <n v="1"/>
    <s v="NO"/>
    <n v="0.05"/>
    <n v="100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0"/>
    <x v="13"/>
    <s v="Trainings"/>
    <s v="Cluster Development training"/>
    <s v="NO"/>
    <s v="PAP"/>
    <s v="PIP"/>
    <s v="PICS"/>
    <s v="Consolidation"/>
    <s v="1. Bayanihan Agri Cluster"/>
    <n v="0"/>
    <s v="Capacity Building"/>
    <s v="PREXC/DA-Level Output"/>
    <m/>
    <s v="number"/>
    <x v="12"/>
    <x v="4"/>
    <e v="#N/A"/>
    <x v="1"/>
    <n v="6"/>
    <s v="NO"/>
    <n v="0.3"/>
    <n v="210"/>
    <n v="180"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1"/>
    <x v="13"/>
    <s v="Trainings"/>
    <s v="Corn Livelihood training"/>
    <s v="NO"/>
    <s v="PAP"/>
    <s v="PIP"/>
    <s v="PICS"/>
    <s v="Consolidation"/>
    <s v="1. Bayanihan Agri Cluster"/>
    <s v="IMPROVE AND EXPAND LOCAL AND INTERNATIONAL MARKET ACCESS"/>
    <s v="Capacity Building"/>
    <s v="PREXC/DA-Level Output"/>
    <m/>
    <s v="number"/>
    <x v="12"/>
    <x v="4"/>
    <e v="#N/A"/>
    <x v="1"/>
    <n v="4"/>
    <s v="NO"/>
    <n v="0.2"/>
    <n v="200"/>
    <n v="120"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2"/>
    <x v="13"/>
    <s v="Trainings"/>
    <s v="Corn Production Training"/>
    <s v="NO"/>
    <s v="PAP"/>
    <s v="PIP"/>
    <s v="PICS"/>
    <s v="Consolidation"/>
    <s v="1. Bayanihan Agri Cluster"/>
    <s v="EXPAND AND IMPROVE AVAILABLE AGRI-FISHERY AREAS FOR INCREASED PRODUCTION"/>
    <s v="Capacity Building"/>
    <s v="PREXC/DA-Level Output"/>
    <m/>
    <s v="number"/>
    <x v="12"/>
    <x v="4"/>
    <e v="#N/A"/>
    <x v="1"/>
    <n v="4"/>
    <s v="NO"/>
    <n v="0.2"/>
    <n v="140"/>
    <n v="120"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4"/>
    <x v="13"/>
    <s v="Trainings"/>
    <s v="Training on Operation and Maintenance of Farm Machinery and Equipment"/>
    <s v="NO"/>
    <s v="PAP"/>
    <s v="PIP"/>
    <s v="PICS"/>
    <s v="Consolidation"/>
    <s v="1. Bayanihan Agri Cluster"/>
    <s v="DEVELOP AND IMPROVE POST-HARVEST SYSTEMS AND INFRASTRUCTURE"/>
    <s v="Capacity Building"/>
    <s v="PREXC/DA-Level Output"/>
    <m/>
    <s v="number"/>
    <x v="12"/>
    <x v="4"/>
    <e v="#N/A"/>
    <x v="1"/>
    <n v="3"/>
    <s v="NO"/>
    <n v="0.15"/>
    <n v="300"/>
    <n v="90"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Yellow Corn"/>
    <s v="Corn"/>
    <s v="TECHNICAL AND SUPPORT SERVICES PROGRAM"/>
    <x v="1"/>
    <s v="Corn_ESETS"/>
    <s v="Training conducted"/>
    <s v="Other training conducted"/>
    <s v="Other training conducted_Farmers/Fisherfolk/Other External Participants"/>
    <x v="33"/>
    <x v="13"/>
    <s v="Trainings"/>
    <s v="Integrated Pest Management Training"/>
    <s v="NO"/>
    <s v="PAP"/>
    <s v="PIP"/>
    <s v="PICS"/>
    <s v="Modernization"/>
    <s v="9. Climate Change Adaptation &amp; Mitigation Measures"/>
    <s v="EXPAND AND IMPROVE AVAILABLE AGRI-FISHERY AREAS FOR INCREASED PRODUCTION"/>
    <s v="Capacity Building"/>
    <s v="PREXC/DA-Level Output"/>
    <m/>
    <s v="number"/>
    <x v="12"/>
    <x v="4"/>
    <e v="#N/A"/>
    <x v="1"/>
    <n v="4"/>
    <s v="NO"/>
    <n v="0.2"/>
    <n v="400"/>
    <n v="120"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Yellow Corn"/>
    <s v="Corn"/>
    <s v="TECHNICAL AND SUPPORT SERVICES PROGRAM"/>
    <x v="1"/>
    <s v="Corn_ESETS"/>
    <s v="Knowledge Products disseminated"/>
    <s v="Knowledge Products disseminated"/>
    <s v="Knowledge Products disseminated"/>
    <x v="35"/>
    <x v="15"/>
    <s v="Information, Education, and Communication Activities"/>
    <s v="IEC materials"/>
    <s v="NO"/>
    <s v="PAP"/>
    <s v="PIP"/>
    <s v="PICS"/>
    <s v="Strategic Communication"/>
    <s v="18. Strategic Communications​"/>
    <n v="0"/>
    <s v="IEC"/>
    <s v="DA-Level Output"/>
    <m/>
    <s v="Print disseminated"/>
    <x v="12"/>
    <x v="4"/>
    <e v="#N/A"/>
    <x v="1"/>
    <n v="6000"/>
    <s v="NO"/>
    <n v="300"/>
    <n v="20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Yellow Corn"/>
    <s v="Corn"/>
    <s v="TECHNICAL AND SUPPORT SERVICES PROGRAM"/>
    <x v="2"/>
    <s v="Corn_RND"/>
    <s v="Research and development activities conducted"/>
    <s v="Production-related R4D activities conducted"/>
    <s v="New Production-related R4D activities conducted"/>
    <x v="53"/>
    <x v="17"/>
    <s v="RFOs &amp; Bureaus conducted R&amp;D"/>
    <s v="New R&amp;D"/>
    <s v="NO"/>
    <s v="Research"/>
    <s v="PIP"/>
    <s v="PICS"/>
    <s v="Modernization"/>
    <n v="0"/>
    <s v="EXPAND AND IMPROVE AVAILABLE AGRI-FISHERY AREAS FOR INCREASED PRODUCTION"/>
    <s v="R&amp;D"/>
    <s v="DA-Level Output"/>
    <m/>
    <s v="number"/>
    <x v="12"/>
    <x v="4"/>
    <e v="#N/A"/>
    <x v="1"/>
    <n v="1"/>
    <s v="NO"/>
    <n v="0.05"/>
    <n v="5500"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Cassava"/>
    <s v="Cassava"/>
    <s v="AGRICULTURAL  MACHINERY, EQUIPMENT, FACILITIES AND INFRASTRUCTURE PROGRAM"/>
    <x v="3"/>
    <s v="Cassava_AMEFSS"/>
    <s v="Other machinery and equipment distributed"/>
    <s v="Other machinery and equipment distributed"/>
    <s v="Solar Bubble Dryer distributed_PSS"/>
    <x v="63"/>
    <x v="19"/>
    <s v="Postharvest-related"/>
    <s v="Solar Bubble Dryer"/>
    <s v="YES"/>
    <s v="PAP"/>
    <s v="PIP"/>
    <s v="PICS"/>
    <s v="Modernization"/>
    <s v="8. Farm Mechanization and Farm Investments"/>
    <s v="DEVELOP AND IMPROVE POST-HARVEST SYSTEMS AND INFRASTRUCTURE"/>
    <s v="Postharvest-related"/>
    <s v="DA-Level Output"/>
    <m/>
    <s v="number"/>
    <x v="12"/>
    <x v="4"/>
    <e v="#N/A"/>
    <x v="1"/>
    <n v="20"/>
    <s v="NO"/>
    <n v="1"/>
    <n v="4000"/>
    <m/>
    <m/>
    <m/>
    <m/>
    <n v="3"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Cassava"/>
    <s v="Cassava"/>
    <s v="AGRICULTURAL  MACHINERY, EQUIPMENT, FACILITIES AND INFRASTRUCTURE PROGRAM"/>
    <x v="3"/>
    <s v="Cassava_AMEFSS"/>
    <s v="Other infrastructure constructed"/>
    <s v="Other infrastructure constructed"/>
    <s v="Water treatment system facility constructed"/>
    <x v="64"/>
    <x v="20"/>
    <s v="Processing-related"/>
    <s v="Waster Water Treatment System"/>
    <s v="NO"/>
    <s v="PAP"/>
    <s v="PIP"/>
    <s v="PICS"/>
    <s v="Modernization"/>
    <s v="8. Farm Mechanization and Farm Investments"/>
    <s v="DEVELOP AND IMPROVE POST-HARVEST SYSTEMS AND INFRASTRUCTURE"/>
    <s v="Processing facilities"/>
    <s v="DA-Level Output"/>
    <m/>
    <s v="number"/>
    <x v="12"/>
    <x v="4"/>
    <e v="#N/A"/>
    <x v="1"/>
    <n v="1"/>
    <s v="NO"/>
    <n v="0.05"/>
    <n v="20000"/>
    <m/>
    <m/>
    <m/>
    <m/>
    <n v="1"/>
    <s v="YES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Yellow Corn"/>
    <s v="Corn"/>
    <s v="AGRICULTURAL  MACHINERY, EQUIPMENT, FACILITIES AND INFRASTRUCTURE PROGRAM"/>
    <x v="3"/>
    <s v="Corn_AMEFSS"/>
    <s v="Production machinery and equipment distributed"/>
    <s v="Agricultural tractor distributed"/>
    <s v="Four-Wheel Tractor Distributed"/>
    <x v="54"/>
    <x v="18"/>
    <s v="Production-related"/>
    <s v="Tracto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m/>
    <s v="number"/>
    <x v="12"/>
    <x v="4"/>
    <e v="#N/A"/>
    <x v="1"/>
    <n v="3"/>
    <s v="NO"/>
    <n v="0.15"/>
    <n v="9300"/>
    <m/>
    <m/>
    <m/>
    <m/>
    <n v="3"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Yellow Corn"/>
    <s v="Corn"/>
    <s v="AGRICULTURAL  MACHINERY, EQUIPMENT, FACILITIES AND INFRASTRUCTURE PROGRAM"/>
    <x v="3"/>
    <s v="Corn_AMEFSS"/>
    <s v="Production machinery and equipment distributed"/>
    <s v="Agricultural tractor distributed"/>
    <s v="Four-Wheel Tractor Distributed"/>
    <x v="54"/>
    <x v="18"/>
    <s v="Production-related"/>
    <s v="Tracto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m/>
    <s v="number"/>
    <x v="12"/>
    <x v="4"/>
    <e v="#N/A"/>
    <x v="1"/>
    <n v="5"/>
    <s v="NO"/>
    <n v="0.25"/>
    <n v="15500"/>
    <m/>
    <m/>
    <m/>
    <m/>
    <n v="4"/>
    <s v="YES"/>
    <m/>
    <m/>
    <m/>
    <m/>
    <m/>
    <m/>
    <m/>
    <m/>
    <m/>
    <m/>
    <m/>
    <m/>
    <m/>
    <m/>
    <m/>
    <m/>
    <m/>
    <m/>
    <m/>
  </r>
  <r>
    <s v="RFOs"/>
    <x v="1"/>
    <s v="RFOII"/>
    <m/>
    <x v="3"/>
    <m/>
    <s v="Quirino"/>
    <s v="Quirino"/>
    <e v="#N/A"/>
    <s v="Yellow Corn"/>
    <s v="Corn"/>
    <s v="AGRICULTURAL  MACHINERY, EQUIPMENT, FACILITIES AND INFRASTRUCTURE PROGRAM"/>
    <x v="3"/>
    <s v="Corn_AMEFSS"/>
    <s v="Production machinery and equipment distributed"/>
    <s v="Agricultural tractor distributed"/>
    <s v="Four-Wheel Tractor Distributed"/>
    <x v="54"/>
    <x v="18"/>
    <s v="Production-related"/>
    <s v="Tracto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m/>
    <s v="number"/>
    <x v="12"/>
    <x v="4"/>
    <e v="#N/A"/>
    <x v="1"/>
    <n v="2"/>
    <s v="NO"/>
    <n v="0.1"/>
    <n v="6200"/>
    <m/>
    <m/>
    <m/>
    <m/>
    <n v="2"/>
    <s v="YES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Yellow Corn"/>
    <s v="Corn"/>
    <s v="AGRICULTURAL  MACHINERY, EQUIPMENT, FACILITIES AND INFRASTRUCTURE PROGRAM"/>
    <x v="3"/>
    <s v="Corn_AMEFSS"/>
    <s v="Production machinery and equipment distributed"/>
    <s v="Crop harvesting machinery and equipment distributed"/>
    <s v="Combine Harvester distributed"/>
    <x v="59"/>
    <x v="18"/>
    <s v="Production-related"/>
    <s v="Combine Harvest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m/>
    <s v="number"/>
    <x v="12"/>
    <x v="4"/>
    <e v="#N/A"/>
    <x v="1"/>
    <n v="3"/>
    <s v="NO"/>
    <n v="0.15"/>
    <n v="6300"/>
    <m/>
    <m/>
    <m/>
    <m/>
    <n v="3"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Yellow Corn"/>
    <s v="Corn"/>
    <s v="AGRICULTURAL  MACHINERY, EQUIPMENT, FACILITIES AND INFRASTRUCTURE PROGRAM"/>
    <x v="3"/>
    <s v="Corn_AMEFSS"/>
    <s v="Production machinery and equipment distributed"/>
    <s v="Crop harvesting machinery and equipment distributed"/>
    <s v="Combine Harvester distributed"/>
    <x v="59"/>
    <x v="18"/>
    <s v="Production-related"/>
    <s v="Combine Harvest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m/>
    <s v="number"/>
    <x v="12"/>
    <x v="4"/>
    <e v="#N/A"/>
    <x v="1"/>
    <n v="5"/>
    <s v="NO"/>
    <n v="0.25"/>
    <n v="10500"/>
    <m/>
    <m/>
    <m/>
    <m/>
    <n v="5"/>
    <s v="YES"/>
    <m/>
    <m/>
    <m/>
    <m/>
    <m/>
    <m/>
    <m/>
    <m/>
    <m/>
    <m/>
    <m/>
    <m/>
    <m/>
    <m/>
    <m/>
    <m/>
    <m/>
    <m/>
    <m/>
  </r>
  <r>
    <s v="RFOs"/>
    <x v="1"/>
    <s v="RFOII"/>
    <m/>
    <x v="3"/>
    <m/>
    <s v="Quirino"/>
    <s v="Quirino"/>
    <e v="#N/A"/>
    <s v="Yellow Corn"/>
    <s v="Corn"/>
    <s v="AGRICULTURAL  MACHINERY, EQUIPMENT, FACILITIES AND INFRASTRUCTURE PROGRAM"/>
    <x v="3"/>
    <s v="Corn_AMEFSS"/>
    <s v="Production machinery and equipment distributed"/>
    <s v="Crop harvesting machinery and equipment distributed"/>
    <s v="Combine Harvester distributed"/>
    <x v="59"/>
    <x v="18"/>
    <s v="Production-related"/>
    <s v="Combine Harvest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m/>
    <s v="number"/>
    <x v="12"/>
    <x v="4"/>
    <e v="#N/A"/>
    <x v="1"/>
    <n v="2"/>
    <s v="NO"/>
    <n v="0.1"/>
    <n v="4200"/>
    <m/>
    <m/>
    <m/>
    <m/>
    <n v="2"/>
    <s v="YES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8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m/>
    <s v="number"/>
    <x v="12"/>
    <x v="4"/>
    <e v="#N/A"/>
    <x v="1"/>
    <n v="1"/>
    <s v="NO"/>
    <n v="0.05"/>
    <n v="1800"/>
    <m/>
    <m/>
    <m/>
    <m/>
    <n v="1"/>
    <s v="YES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7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m/>
    <s v="number"/>
    <x v="12"/>
    <x v="4"/>
    <e v="#N/A"/>
    <x v="1"/>
    <n v="15"/>
    <s v="NO"/>
    <n v="0.75"/>
    <n v="4500"/>
    <m/>
    <m/>
    <m/>
    <m/>
    <n v="3"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7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m/>
    <s v="number"/>
    <x v="12"/>
    <x v="4"/>
    <e v="#N/A"/>
    <x v="1"/>
    <n v="20"/>
    <s v="NO"/>
    <n v="1"/>
    <n v="6000"/>
    <m/>
    <m/>
    <m/>
    <m/>
    <n v="4"/>
    <s v="YES"/>
    <m/>
    <m/>
    <m/>
    <m/>
    <m/>
    <m/>
    <m/>
    <m/>
    <m/>
    <m/>
    <m/>
    <m/>
    <m/>
    <m/>
    <m/>
    <m/>
    <m/>
    <m/>
    <m/>
  </r>
  <r>
    <s v="RFOs"/>
    <x v="1"/>
    <s v="RFOII"/>
    <m/>
    <x v="2"/>
    <m/>
    <s v="Nueva_Vizcaya"/>
    <s v="Nueva_Vizcaya"/>
    <e v="#N/A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7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m/>
    <s v="number"/>
    <x v="12"/>
    <x v="4"/>
    <e v="#N/A"/>
    <x v="1"/>
    <n v="5"/>
    <s v="NO"/>
    <n v="0.25"/>
    <n v="1500"/>
    <m/>
    <m/>
    <m/>
    <m/>
    <n v="1"/>
    <s v="YES"/>
    <m/>
    <m/>
    <m/>
    <m/>
    <m/>
    <m/>
    <m/>
    <m/>
    <m/>
    <m/>
    <m/>
    <m/>
    <m/>
    <m/>
    <m/>
    <m/>
    <m/>
    <m/>
    <m/>
  </r>
  <r>
    <s v="RFOs"/>
    <x v="1"/>
    <s v="RFOII"/>
    <m/>
    <x v="3"/>
    <m/>
    <s v="Quirino"/>
    <s v="Quirino"/>
    <e v="#N/A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7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m/>
    <s v="number"/>
    <x v="12"/>
    <x v="4"/>
    <e v="#N/A"/>
    <x v="1"/>
    <n v="10"/>
    <s v="NO"/>
    <n v="0.5"/>
    <n v="3000"/>
    <m/>
    <m/>
    <m/>
    <m/>
    <n v="2"/>
    <s v="YES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5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m/>
    <s v="number"/>
    <x v="12"/>
    <x v="4"/>
    <e v="#N/A"/>
    <x v="1"/>
    <n v="1"/>
    <s v="NO"/>
    <n v="0.05"/>
    <n v="800"/>
    <m/>
    <m/>
    <m/>
    <m/>
    <n v="1"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5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m/>
    <s v="number"/>
    <x v="12"/>
    <x v="4"/>
    <e v="#N/A"/>
    <x v="1"/>
    <n v="1"/>
    <s v="NO"/>
    <n v="0.05"/>
    <n v="800"/>
    <m/>
    <m/>
    <m/>
    <m/>
    <n v="1"/>
    <s v="YES"/>
    <m/>
    <m/>
    <m/>
    <m/>
    <m/>
    <m/>
    <m/>
    <m/>
    <m/>
    <m/>
    <m/>
    <m/>
    <m/>
    <m/>
    <m/>
    <m/>
    <m/>
    <m/>
    <m/>
  </r>
  <r>
    <s v="RFOs"/>
    <x v="1"/>
    <s v="RFOII"/>
    <m/>
    <x v="3"/>
    <m/>
    <s v="Quirino"/>
    <s v="Quirino"/>
    <e v="#N/A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5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m/>
    <s v="number"/>
    <x v="12"/>
    <x v="4"/>
    <e v="#N/A"/>
    <x v="1"/>
    <n v="1"/>
    <s v="NO"/>
    <n v="0.05"/>
    <n v="800"/>
    <m/>
    <m/>
    <m/>
    <m/>
    <n v="1"/>
    <s v="YES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6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m/>
    <s v="number"/>
    <x v="12"/>
    <x v="4"/>
    <e v="#N/A"/>
    <x v="1"/>
    <n v="3"/>
    <s v="NO"/>
    <n v="0.15"/>
    <n v="600"/>
    <m/>
    <m/>
    <m/>
    <m/>
    <n v="3"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6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m/>
    <s v="number"/>
    <x v="12"/>
    <x v="4"/>
    <e v="#N/A"/>
    <x v="1"/>
    <n v="5"/>
    <s v="NO"/>
    <n v="0.25"/>
    <n v="1000"/>
    <m/>
    <m/>
    <m/>
    <m/>
    <n v="4"/>
    <s v="YES"/>
    <m/>
    <m/>
    <m/>
    <m/>
    <m/>
    <m/>
    <m/>
    <m/>
    <m/>
    <m/>
    <m/>
    <m/>
    <m/>
    <m/>
    <m/>
    <m/>
    <m/>
    <m/>
    <m/>
  </r>
  <r>
    <s v="RFOs"/>
    <x v="1"/>
    <s v="RFOII"/>
    <m/>
    <x v="3"/>
    <m/>
    <s v="Quirino"/>
    <s v="Quirino"/>
    <e v="#N/A"/>
    <s v="Yellow Corn"/>
    <s v="Corn"/>
    <s v="AGRICULTURAL  MACHINERY, EQUIPMENT, FACILITIES AND INFRASTRUCTURE PROGRAM"/>
    <x v="3"/>
    <s v="Corn_AMEFSS"/>
    <s v="Production machinery and equipment distributed"/>
    <s v="Seeding machinery and equipment distributed"/>
    <s v="Seeder distributed"/>
    <x v="56"/>
    <x v="18"/>
    <s v="Production-related"/>
    <s v="Corn Seeder"/>
    <s v="NO"/>
    <s v="PAP"/>
    <s v="PIP"/>
    <s v="PICS"/>
    <s v="Modernization"/>
    <s v="8. Farm Mechanization and Farm Investments"/>
    <s v="MECHANIZE AND MODERNIZE AGRI-FISHERY PRODUCTION SYSTEMS"/>
    <s v="Production-related"/>
    <s v="DA-Level Output"/>
    <m/>
    <s v="number"/>
    <x v="12"/>
    <x v="4"/>
    <e v="#N/A"/>
    <x v="1"/>
    <n v="2"/>
    <s v="NO"/>
    <n v="0.1"/>
    <n v="400"/>
    <m/>
    <m/>
    <m/>
    <m/>
    <n v="2"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Yellow Corn"/>
    <s v="Corn"/>
    <s v="AGRICULTURAL  MACHINERY, EQUIPMENT, FACILITIES AND INFRASTRUCTURE PROGRAM"/>
    <x v="3"/>
    <s v="Corn_AMEFSS"/>
    <s v="Postharvest facility constructed"/>
    <s v="Crop drying facility constructed"/>
    <s v="Multi-crop drying pavement (MCDP) constructed"/>
    <x v="62"/>
    <x v="21"/>
    <s v="Postharvest facilities"/>
    <s v="Multi Crop Drying Pavement (MCDP) "/>
    <s v="YES"/>
    <s v="PAP"/>
    <s v="PIP"/>
    <s v="PICS"/>
    <s v="Modernization"/>
    <s v="8. Farm Mechanization and Farm Investments"/>
    <s v="DEVELOP AND IMPROVE POST-HARVEST SYSTEMS AND INFRASTRUCTURE"/>
    <s v="Postharvest facilities"/>
    <s v="DA-Level Output"/>
    <m/>
    <s v="number"/>
    <x v="12"/>
    <x v="4"/>
    <e v="#N/A"/>
    <x v="1"/>
    <n v="2"/>
    <s v="NO"/>
    <n v="0.1"/>
    <n v="2000"/>
    <m/>
    <m/>
    <m/>
    <m/>
    <n v="2"/>
    <s v="YES"/>
    <m/>
    <m/>
    <m/>
    <m/>
    <m/>
    <m/>
    <m/>
    <m/>
    <m/>
    <m/>
    <m/>
    <m/>
    <m/>
    <m/>
    <m/>
    <m/>
    <m/>
    <m/>
    <m/>
  </r>
  <r>
    <s v="RFOs"/>
    <x v="1"/>
    <s v="RFOII"/>
    <m/>
    <x v="3"/>
    <m/>
    <s v="Quirino"/>
    <s v="Quirino"/>
    <e v="#N/A"/>
    <s v="Yellow Corn"/>
    <s v="Corn"/>
    <s v="AGRICULTURAL  MACHINERY, EQUIPMENT, FACILITIES AND INFRASTRUCTURE PROGRAM"/>
    <x v="3"/>
    <s v="Corn_AMEFSS"/>
    <s v="Postharvest facility constructed"/>
    <s v="Crop drying facility constructed"/>
    <s v="Multi-crop drying pavement (MCDP) constructed"/>
    <x v="62"/>
    <x v="21"/>
    <s v="Postharvest facilities"/>
    <s v="Multi Crop Drying Pavement (MCDP) "/>
    <s v="YES"/>
    <s v="PAP"/>
    <s v="PIP"/>
    <s v="PICS"/>
    <s v="Modernization"/>
    <s v="8. Farm Mechanization and Farm Investments"/>
    <s v="DEVELOP AND IMPROVE POST-HARVEST SYSTEMS AND INFRASTRUCTURE"/>
    <s v="Postharvest facilities"/>
    <s v="DA-Level Output"/>
    <m/>
    <s v="number"/>
    <x v="12"/>
    <x v="4"/>
    <e v="#N/A"/>
    <x v="1"/>
    <n v="3"/>
    <s v="NO"/>
    <n v="0.15"/>
    <n v="3000"/>
    <m/>
    <m/>
    <m/>
    <m/>
    <n v="3"/>
    <s v="YES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Yellow Corn"/>
    <s v="Corn"/>
    <s v="AGRICULTURAL  MACHINERY, EQUIPMENT, FACILITIES AND INFRASTRUCTURE PROGRAM"/>
    <x v="3"/>
    <s v="Corn_AMEFSS"/>
    <s v="Postharvest machinery and equipment distributed"/>
    <s v="Crop processing machinery and equipment distributed"/>
    <s v="Milling equipment distributed"/>
    <x v="73"/>
    <x v="20"/>
    <s v="Processing-related"/>
    <s v="Corn mill"/>
    <s v="NO"/>
    <s v="PAP"/>
    <s v="PIP"/>
    <s v="PICS"/>
    <s v="Modernization"/>
    <s v="8. Farm Mechanization and Farm Investments"/>
    <s v="DEVELOP AND IMPROVE POST-HARVEST SYSTEMS AND INFRASTRUCTURE"/>
    <s v="Processing-related"/>
    <s v="DA-Level Output"/>
    <m/>
    <s v="number"/>
    <x v="12"/>
    <x v="4"/>
    <e v="#N/A"/>
    <x v="1"/>
    <n v="1"/>
    <s v="NO"/>
    <n v="0.05"/>
    <n v="2200"/>
    <m/>
    <m/>
    <m/>
    <m/>
    <n v="1"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Yellow Corn"/>
    <s v="Corn"/>
    <s v="AGRICULTURAL  MACHINERY, EQUIPMENT, FACILITIES AND INFRASTRUCTURE PROGRAM"/>
    <x v="3"/>
    <s v="Corn_AMEFSS"/>
    <s v="Postharvest machinery and equipment distributed"/>
    <s v="Crop processing machinery and equipment distributed"/>
    <s v="Milling equipment distributed"/>
    <x v="73"/>
    <x v="20"/>
    <s v="Processing-related"/>
    <s v="Corn mill"/>
    <s v="NO"/>
    <s v="PAP"/>
    <s v="PIP"/>
    <s v="PICS"/>
    <s v="Modernization"/>
    <s v="8. Farm Mechanization and Farm Investments"/>
    <s v="DEVELOP AND IMPROVE POST-HARVEST SYSTEMS AND INFRASTRUCTURE"/>
    <s v="Processing-related"/>
    <s v="DA-Level Output"/>
    <m/>
    <s v="number"/>
    <x v="12"/>
    <x v="4"/>
    <e v="#N/A"/>
    <x v="1"/>
    <n v="1"/>
    <s v="NO"/>
    <n v="0.05"/>
    <n v="2200"/>
    <m/>
    <m/>
    <m/>
    <m/>
    <n v="1"/>
    <s v="YES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Yellow Corn"/>
    <s v="Corn"/>
    <s v="AGRICULTURAL  MACHINERY, EQUIPMENT, FACILITIES AND INFRASTRUCTURE PROGRAM"/>
    <x v="3"/>
    <s v="Corn_AMEFSS"/>
    <s v="Commodity transport and logistics machinery and equipment distributed"/>
    <s v="Hauling machinery and equipment distributed"/>
    <s v="Hauling vehicle distributed"/>
    <x v="60"/>
    <x v="19"/>
    <s v="Postharvest-related"/>
    <s v="Hauling truck"/>
    <s v="NO"/>
    <s v="PAP"/>
    <s v="PIP"/>
    <s v="PICS"/>
    <s v="Modernization"/>
    <s v="8. Farm Mechanization and Farm Investments"/>
    <s v="DEVELOP EFFICIENT LOGISTICS SYSTEMS FOR BOTH INPUT AND PRODUCTION OUTPUT"/>
    <s v="Postharvest-related"/>
    <s v="DA-Level Output"/>
    <m/>
    <s v="number"/>
    <x v="12"/>
    <x v="4"/>
    <e v="#N/A"/>
    <x v="1"/>
    <n v="1"/>
    <s v="NO"/>
    <n v="0.05"/>
    <n v="2200"/>
    <m/>
    <m/>
    <m/>
    <m/>
    <n v="1"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Yellow Corn"/>
    <s v="Corn"/>
    <s v="AGRICULTURAL  MACHINERY, EQUIPMENT, FACILITIES AND INFRASTRUCTURE PROGRAM"/>
    <x v="3"/>
    <s v="Corn_AMEFSS"/>
    <s v="Commodity transport and logistics machinery and equipment distributed"/>
    <s v="Hauling machinery and equipment distributed"/>
    <s v="Hauling vehicle distributed"/>
    <x v="60"/>
    <x v="19"/>
    <s v="Postharvest-related"/>
    <s v="Hauling truck"/>
    <s v="NO"/>
    <s v="PAP"/>
    <s v="PIP"/>
    <s v="PICS"/>
    <s v="Modernization"/>
    <s v="8. Farm Mechanization and Farm Investments"/>
    <s v="DEVELOP EFFICIENT LOGISTICS SYSTEMS FOR BOTH INPUT AND PRODUCTION OUTPUT"/>
    <s v="Postharvest-related"/>
    <s v="DA-Level Output"/>
    <m/>
    <s v="number"/>
    <x v="12"/>
    <x v="4"/>
    <e v="#N/A"/>
    <x v="1"/>
    <n v="2"/>
    <s v="NO"/>
    <n v="0.1"/>
    <n v="4400"/>
    <m/>
    <m/>
    <m/>
    <m/>
    <n v="2"/>
    <s v="YES"/>
    <m/>
    <m/>
    <m/>
    <m/>
    <m/>
    <m/>
    <m/>
    <m/>
    <m/>
    <m/>
    <m/>
    <m/>
    <m/>
    <m/>
    <m/>
    <m/>
    <m/>
    <m/>
    <m/>
  </r>
  <r>
    <s v="RFOs"/>
    <x v="1"/>
    <s v="RFOII"/>
    <m/>
    <x v="2"/>
    <m/>
    <s v="Nueva_Vizcaya"/>
    <s v="Nueva_Vizcaya"/>
    <e v="#N/A"/>
    <s v="Yellow Corn"/>
    <s v="Corn"/>
    <s v="AGRICULTURAL  MACHINERY, EQUIPMENT, FACILITIES AND INFRASTRUCTURE PROGRAM"/>
    <x v="3"/>
    <s v="Corn_AMEFSS"/>
    <s v="Commodity transport and logistics machinery and equipment distributed"/>
    <s v="Hauling machinery and equipment distributed"/>
    <s v="Hauling vehicle distributed"/>
    <x v="60"/>
    <x v="19"/>
    <s v="Postharvest-related"/>
    <s v="Hauling truck"/>
    <s v="NO"/>
    <s v="PAP"/>
    <s v="PIP"/>
    <s v="PICS"/>
    <s v="Modernization"/>
    <s v="8. Farm Mechanization and Farm Investments"/>
    <s v="DEVELOP EFFICIENT LOGISTICS SYSTEMS FOR BOTH INPUT AND PRODUCTION OUTPUT"/>
    <s v="Postharvest-related"/>
    <s v="DA-Level Output"/>
    <m/>
    <s v="number"/>
    <x v="12"/>
    <x v="4"/>
    <e v="#N/A"/>
    <x v="1"/>
    <n v="1"/>
    <s v="NO"/>
    <n v="0.05"/>
    <n v="2200"/>
    <m/>
    <m/>
    <m/>
    <m/>
    <n v="1"/>
    <s v="YES"/>
    <m/>
    <m/>
    <m/>
    <m/>
    <m/>
    <m/>
    <m/>
    <m/>
    <m/>
    <m/>
    <m/>
    <m/>
    <m/>
    <m/>
    <m/>
    <m/>
    <m/>
    <m/>
    <m/>
  </r>
  <r>
    <s v="RFOs"/>
    <x v="1"/>
    <s v="RFOII"/>
    <m/>
    <x v="3"/>
    <m/>
    <s v="Quirino"/>
    <s v="Quirino"/>
    <e v="#N/A"/>
    <s v="Yellow Corn"/>
    <s v="Corn"/>
    <s v="AGRICULTURAL  MACHINERY, EQUIPMENT, FACILITIES AND INFRASTRUCTURE PROGRAM"/>
    <x v="3"/>
    <s v="Corn_AMEFSS"/>
    <s v="Commodity transport and logistics machinery and equipment distributed"/>
    <s v="Hauling machinery and equipment distributed"/>
    <s v="Hauling vehicle distributed"/>
    <x v="60"/>
    <x v="19"/>
    <s v="Postharvest-related"/>
    <s v="Hauling truck"/>
    <s v="NO"/>
    <s v="PAP"/>
    <s v="PIP"/>
    <s v="PICS"/>
    <s v="Modernization"/>
    <s v="8. Farm Mechanization and Farm Investments"/>
    <s v="DEVELOP EFFICIENT LOGISTICS SYSTEMS FOR BOTH INPUT AND PRODUCTION OUTPUT"/>
    <s v="Postharvest-related"/>
    <s v="DA-Level Output"/>
    <m/>
    <s v="number"/>
    <x v="12"/>
    <x v="4"/>
    <e v="#N/A"/>
    <x v="1"/>
    <n v="1"/>
    <s v="NO"/>
    <n v="0.05"/>
    <n v="2200"/>
    <m/>
    <m/>
    <m/>
    <m/>
    <n v="1"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Yellow Corn"/>
    <s v="Corn"/>
    <s v="AGRICULTURAL  MACHINERY, EQUIPMENT, FACILITIES AND INFRASTRUCTURE PROGRAM"/>
    <x v="3"/>
    <s v="Corn_AMEFSS"/>
    <s v="Postharvest machinery and equipment distributed"/>
    <s v="Crop processing machinery and equipment distributed"/>
    <s v="Chopper distributed"/>
    <x v="74"/>
    <x v="19"/>
    <s v="Postharvest-related"/>
    <s v="Forage/Silage Chopper"/>
    <s v="NO"/>
    <s v="PAP"/>
    <s v="PIP"/>
    <s v="PICS"/>
    <s v="Modernization"/>
    <s v="8. Farm Mechanization and Farm Investments"/>
    <s v="DEVELOP AND IMPROVE POST-HARVEST SYSTEMS AND INFRASTRUCTURE"/>
    <s v="Postharvest-related"/>
    <s v="DA-Level Output"/>
    <m/>
    <s v="number"/>
    <x v="12"/>
    <x v="4"/>
    <e v="#N/A"/>
    <x v="1"/>
    <n v="1"/>
    <s v="NO"/>
    <n v="0.05"/>
    <n v="5000"/>
    <m/>
    <m/>
    <m/>
    <m/>
    <n v="1"/>
    <s v="YES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7"/>
    <x v="22"/>
    <s v="Small-scale Irrigation Projects (SSIPs)"/>
    <s v="Mobile Solar-powered Irrigation System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m/>
    <s v="number"/>
    <x v="12"/>
    <x v="4"/>
    <e v="#N/A"/>
    <x v="1"/>
    <n v="2"/>
    <s v="YES"/>
    <n v="0.1"/>
    <n v="4000"/>
    <m/>
    <m/>
    <m/>
    <m/>
    <n v="2"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7"/>
    <x v="22"/>
    <s v="Small-scale Irrigation Projects (SSIPs)"/>
    <s v="Mobile Solar-powered Irrigation System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m/>
    <s v="number"/>
    <x v="12"/>
    <x v="4"/>
    <e v="#N/A"/>
    <x v="1"/>
    <n v="2"/>
    <s v="YES"/>
    <n v="0.1"/>
    <n v="4000"/>
    <m/>
    <m/>
    <m/>
    <m/>
    <n v="2"/>
    <s v="YES"/>
    <m/>
    <m/>
    <m/>
    <m/>
    <m/>
    <m/>
    <m/>
    <m/>
    <m/>
    <m/>
    <m/>
    <m/>
    <m/>
    <m/>
    <m/>
    <m/>
    <m/>
    <m/>
    <m/>
  </r>
  <r>
    <s v="RFOs"/>
    <x v="1"/>
    <s v="RFOII"/>
    <m/>
    <x v="3"/>
    <m/>
    <s v="Quirino"/>
    <s v="Quirino"/>
    <e v="#N/A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7"/>
    <x v="22"/>
    <s v="Small-scale Irrigation Projects (SSIPs)"/>
    <s v="Mobile Solar-powered Irrigation System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m/>
    <s v="number"/>
    <x v="12"/>
    <x v="4"/>
    <e v="#N/A"/>
    <x v="1"/>
    <n v="1"/>
    <s v="YES"/>
    <n v="0.05"/>
    <n v="2000"/>
    <m/>
    <m/>
    <m/>
    <m/>
    <n v="1"/>
    <s v="YES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m/>
    <s v="number"/>
    <x v="12"/>
    <x v="4"/>
    <e v="#N/A"/>
    <x v="1"/>
    <n v="100"/>
    <s v="YES"/>
    <n v="5"/>
    <n v="10000"/>
    <m/>
    <m/>
    <m/>
    <m/>
    <n v="10"/>
    <s v="YES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m/>
    <s v="number"/>
    <x v="12"/>
    <x v="4"/>
    <e v="#N/A"/>
    <x v="1"/>
    <n v="120"/>
    <s v="YES"/>
    <n v="6"/>
    <n v="12000"/>
    <m/>
    <m/>
    <m/>
    <m/>
    <n v="12"/>
    <s v="YES"/>
    <m/>
    <m/>
    <m/>
    <m/>
    <m/>
    <m/>
    <m/>
    <m/>
    <m/>
    <m/>
    <m/>
    <m/>
    <m/>
    <m/>
    <m/>
    <m/>
    <m/>
    <m/>
    <m/>
  </r>
  <r>
    <s v="RFOs"/>
    <x v="1"/>
    <s v="RFOII"/>
    <m/>
    <x v="3"/>
    <m/>
    <s v="Quirino"/>
    <s v="Quirino"/>
    <e v="#N/A"/>
    <s v="Yellow Corn"/>
    <s v="Corn"/>
    <s v="AGRICULTURAL  MACHINERY, EQUIPMENT, FACILITIES AND INFRASTRUCTURE PROGRAM"/>
    <x v="4"/>
    <s v="Corn_INS"/>
    <s v="Irrigation machinery distributed"/>
    <s v="Irrigation machinery distributed"/>
    <s v="Pump and Engine Set distributed"/>
    <x v="65"/>
    <x v="22"/>
    <s v="Small-scale Irrigation Projects (SSIPs)"/>
    <s v="Open Source Pumping Set"/>
    <s v="YES"/>
    <s v="PAP"/>
    <s v="PIP"/>
    <s v="PICS"/>
    <s v="Modernization"/>
    <s v="8. Farm Mechanization and Farm Investments"/>
    <s v="EXPAND AND IMPROVE AVAILABLE AGRI-FISHERY AREAS FOR INCREASED PRODUCTION"/>
    <s v="Irrigation"/>
    <s v="DA-Level Output"/>
    <m/>
    <s v="number"/>
    <x v="12"/>
    <x v="4"/>
    <e v="#N/A"/>
    <x v="1"/>
    <n v="30"/>
    <s v="YES"/>
    <n v="1.5"/>
    <n v="3000"/>
    <m/>
    <m/>
    <m/>
    <m/>
    <n v="3"/>
    <s v="YES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m/>
    <s v="hectare"/>
    <x v="12"/>
    <x v="4"/>
    <e v="#N/A"/>
    <x v="1"/>
    <n v="300"/>
    <s v="NO"/>
    <n v="15"/>
    <m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m/>
    <s v="hectare"/>
    <x v="12"/>
    <x v="4"/>
    <e v="#N/A"/>
    <x v="1"/>
    <n v="360"/>
    <s v="NO"/>
    <n v="18"/>
    <m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3"/>
    <m/>
    <s v="Quirino"/>
    <s v="Quirino"/>
    <e v="#N/A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distribution of Pump and engine set"/>
    <x v="66"/>
    <x v="23"/>
    <s v="Service area generated"/>
    <s v="Service area generated"/>
    <s v="NO"/>
    <s v="PAP"/>
    <s v="PIP"/>
    <s v="PICS"/>
    <n v="0"/>
    <n v="0"/>
    <n v="0"/>
    <n v="0"/>
    <s v="PREXC/DA-Level Output"/>
    <m/>
    <s v="hectare"/>
    <x v="12"/>
    <x v="4"/>
    <e v="#N/A"/>
    <x v="1"/>
    <n v="90"/>
    <s v="NO"/>
    <n v="4.5"/>
    <m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0"/>
    <m/>
    <s v="Cagayan"/>
    <s v="Cagayan"/>
    <e v="#N/A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construction of Solar-powered irrigation system (SPIS)"/>
    <x v="68"/>
    <x v="23"/>
    <s v="Service area generated"/>
    <s v="Service area generated"/>
    <s v="NO"/>
    <s v="PAP"/>
    <s v="PIP"/>
    <s v="PICS"/>
    <n v="0"/>
    <n v="0"/>
    <n v="0"/>
    <n v="0"/>
    <s v="PREXC/DA-Level Output"/>
    <m/>
    <s v="hectare"/>
    <x v="12"/>
    <x v="4"/>
    <e v="#N/A"/>
    <x v="1"/>
    <n v="4"/>
    <s v="NO"/>
    <n v="0.2"/>
    <m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1"/>
    <m/>
    <s v="Isabela"/>
    <s v="Isabela"/>
    <e v="#N/A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construction of Solar-powered irrigation system (SPIS)"/>
    <x v="68"/>
    <x v="23"/>
    <s v="Service area generated"/>
    <s v="Service area generated"/>
    <s v="NO"/>
    <s v="PAP"/>
    <s v="PIP"/>
    <s v="PICS"/>
    <n v="0"/>
    <n v="0"/>
    <n v="0"/>
    <n v="0"/>
    <s v="PREXC/DA-Level Output"/>
    <m/>
    <s v="hectare"/>
    <x v="12"/>
    <x v="4"/>
    <e v="#N/A"/>
    <x v="1"/>
    <n v="4"/>
    <s v="NO"/>
    <n v="0.2"/>
    <m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3"/>
    <m/>
    <s v="Quirino"/>
    <s v="Quirino"/>
    <e v="#N/A"/>
    <s v="Yellow Corn"/>
    <s v="Corn"/>
    <s v="AGRICULTURAL  MACHINERY, EQUIPMENT, FACILITIES AND INFRASTRUCTURE PROGRAM"/>
    <x v="4"/>
    <s v="Corn_INS"/>
    <s v="Service area generated from the establishment and installation of small-scale irrigation projects"/>
    <s v="Service area generated from the establishment and installation of small-scale irrigation projects"/>
    <s v="Service area generated from construction of Solar-powered irrigation system (SPIS)"/>
    <x v="68"/>
    <x v="23"/>
    <s v="Service area generated"/>
    <s v="Service area generated"/>
    <s v="NO"/>
    <s v="PAP"/>
    <s v="PIP"/>
    <s v="PICS"/>
    <n v="0"/>
    <n v="0"/>
    <n v="0"/>
    <n v="0"/>
    <s v="PREXC/DA-Level Output"/>
    <m/>
    <s v="hectare"/>
    <x v="12"/>
    <x v="4"/>
    <e v="#N/A"/>
    <x v="1"/>
    <n v="2"/>
    <s v="NO"/>
    <n v="0.1"/>
    <m/>
    <m/>
    <m/>
    <m/>
    <m/>
    <m/>
    <s v="NO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1"/>
    <x v="24"/>
    <s v="FPMA"/>
    <s v="Conduct of Feasibility Studies, Preparation of Detailed Engineering Design and Preparation of Program of Work"/>
    <s v="NO"/>
    <s v="Overhead"/>
    <s v="NON-PIP"/>
    <s v="NON-PICS"/>
    <n v="0"/>
    <n v="0"/>
    <n v="0"/>
    <s v="Existing"/>
    <n v="0"/>
    <m/>
    <s v="number"/>
    <x v="12"/>
    <x v="4"/>
    <e v="#N/A"/>
    <x v="1"/>
    <n v="1"/>
    <s v="NO"/>
    <n v="0.05"/>
    <n v="500"/>
    <m/>
    <m/>
    <m/>
    <m/>
    <m/>
    <n v="0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2"/>
    <x v="24"/>
    <s v="FPMA"/>
    <s v="Monitoring and Evaluation"/>
    <s v="NO"/>
    <s v="Overhead"/>
    <s v="NON-PIP"/>
    <s v="NON-PICS"/>
    <n v="0"/>
    <n v="0"/>
    <n v="0"/>
    <s v="Existing"/>
    <n v="0"/>
    <m/>
    <s v="number"/>
    <x v="12"/>
    <x v="4"/>
    <e v="#N/A"/>
    <x v="1"/>
    <n v="5"/>
    <s v="NO"/>
    <n v="0.25"/>
    <n v="9009"/>
    <m/>
    <m/>
    <m/>
    <m/>
    <m/>
    <n v="0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69"/>
    <x v="24"/>
    <s v="FPMA"/>
    <s v="Salary (Staff)"/>
    <s v="NO"/>
    <s v="Overhead"/>
    <s v="NON-PIP"/>
    <s v="NON-PICS"/>
    <n v="0"/>
    <n v="0"/>
    <n v="0"/>
    <s v="Existing"/>
    <n v="0"/>
    <m/>
    <s v="number"/>
    <x v="12"/>
    <x v="4"/>
    <e v="#N/A"/>
    <x v="1"/>
    <n v="40"/>
    <s v="NO"/>
    <n v="2"/>
    <n v="10000"/>
    <m/>
    <m/>
    <m/>
    <m/>
    <m/>
    <n v="0"/>
    <m/>
    <m/>
    <m/>
    <m/>
    <m/>
    <m/>
    <m/>
    <m/>
    <m/>
    <m/>
    <m/>
    <m/>
    <m/>
    <m/>
    <m/>
    <m/>
    <m/>
    <m/>
    <m/>
  </r>
  <r>
    <s v="RFOs"/>
    <x v="1"/>
    <s v="RFOII"/>
    <m/>
    <x v="4"/>
    <m/>
    <s v="Regional_Office"/>
    <s v="Regional_Office"/>
    <e v="#N/A"/>
    <s v="Multi_commodity"/>
    <s v="Multi_commodity"/>
    <s v="FIELD PROGRAMS MANAGEMENT ACTIVITIES"/>
    <x v="5"/>
    <s v="Multicommodity_FPMA"/>
    <s v="National/Regional Field Monitoring conducted"/>
    <s v="National/Regional Field Monitoring conducted"/>
    <s v="National/Regional Field Monitoring conducted"/>
    <x v="70"/>
    <x v="24"/>
    <s v="FPMA"/>
    <s v="Workshop and Meetings"/>
    <s v="NO"/>
    <s v="Overhead"/>
    <s v="NON-PIP"/>
    <s v="NON-PICS"/>
    <n v="0"/>
    <n v="0"/>
    <n v="0"/>
    <s v="Existing"/>
    <n v="0"/>
    <m/>
    <s v="number"/>
    <x v="12"/>
    <x v="4"/>
    <e v="#N/A"/>
    <x v="1"/>
    <n v="12"/>
    <s v="NO"/>
    <n v="0.6"/>
    <n v="2000"/>
    <m/>
    <m/>
    <m/>
    <m/>
    <m/>
    <n v="0"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dataPosition="1" autoFormatId="1" applyNumberFormats="0" applyBorderFormats="0" applyFontFormats="0" applyPatternFormats="0" applyAlignmentFormats="0" applyWidthHeightFormats="1" dataCaption="Values" updatedVersion="8" minRefreshableVersion="3" createdVersion="4" mergeItem="1" rowGrandTotals="0" colGrandTotals="0" compact="0" indent="127" outline="1" compactData="0" outlineData="1" showDrill="1" multipleFieldFilters="0">
  <location ref="B7:X161" firstHeaderRow="1" firstDataRow="3" firstDataCol="3" rowPageCount="1" colPageCount="1"/>
  <pivotFields count="65"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multipleItemSelectionAllowed="1" showAll="0">
      <items count="3">
        <item h="1"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showAll="0">
      <items count="7">
        <item x="0"/>
        <item x="1"/>
        <item m="1" x="5"/>
        <item x="2"/>
        <item x="3"/>
        <item m="1"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9">
        <item x="0"/>
        <item x="1"/>
        <item x="2"/>
        <item x="3"/>
        <item x="4"/>
        <item x="5"/>
        <item m="1" x="7"/>
        <item m="1"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showAll="0">
      <items count="80">
        <item m="1" x="7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m="1" x="75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76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7"/>
        <item x="69"/>
        <item x="70"/>
        <item x="71"/>
        <item x="72"/>
        <item x="66"/>
        <item x="68"/>
        <item m="1" x="77"/>
        <item x="29"/>
        <item m="1" x="78"/>
        <item x="53"/>
        <item x="73"/>
        <item x="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items count="28"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m="1" x="26"/>
        <item x="18"/>
        <item x="19"/>
        <item x="20"/>
        <item x="21"/>
        <item x="22"/>
        <item x="24"/>
        <item x="23"/>
        <item x="12"/>
        <item x="1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items count="17">
        <item x="11"/>
        <item x="7"/>
        <item x="8"/>
        <item x="9"/>
        <item x="4"/>
        <item x="0"/>
        <item x="1"/>
        <item x="5"/>
        <item x="6"/>
        <item x="2"/>
        <item x="3"/>
        <item x="10"/>
        <item m="1" x="13"/>
        <item m="1" x="14"/>
        <item m="1" x="15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showAll="0">
      <items count="7">
        <item x="3"/>
        <item m="1" x="5"/>
        <item x="0"/>
        <item x="1"/>
        <item x="2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items count="4">
        <item x="0"/>
        <item m="1"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2"/>
    <field x="4"/>
    <field x="17"/>
  </rowFields>
  <rowItems count="152">
    <i>
      <x/>
    </i>
    <i r="1">
      <x/>
    </i>
    <i r="2">
      <x v="1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4"/>
    </i>
    <i r="2">
      <x v="15"/>
    </i>
    <i r="2">
      <x v="16"/>
    </i>
    <i r="1">
      <x v="1"/>
    </i>
    <i r="2">
      <x v="1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4"/>
    </i>
    <i r="2">
      <x v="15"/>
    </i>
    <i r="2">
      <x v="16"/>
    </i>
    <i r="2">
      <x v="18"/>
    </i>
    <i r="2">
      <x v="19"/>
    </i>
    <i r="2">
      <x v="20"/>
    </i>
    <i r="2">
      <x v="21"/>
    </i>
    <i r="1">
      <x v="3"/>
    </i>
    <i r="2">
      <x v="1"/>
    </i>
    <i r="2">
      <x v="7"/>
    </i>
    <i r="2">
      <x v="8"/>
    </i>
    <i r="2">
      <x v="14"/>
    </i>
    <i r="2">
      <x v="15"/>
    </i>
    <i r="2">
      <x v="16"/>
    </i>
    <i r="1">
      <x v="4"/>
    </i>
    <i r="2">
      <x v="1"/>
    </i>
    <i r="2">
      <x v="7"/>
    </i>
    <i r="2">
      <x v="8"/>
    </i>
    <i r="2">
      <x v="14"/>
    </i>
    <i r="2">
      <x v="15"/>
    </i>
    <i r="2">
      <x v="16"/>
    </i>
    <i r="1">
      <x v="6"/>
    </i>
    <i r="2">
      <x v="2"/>
    </i>
    <i r="2">
      <x v="9"/>
    </i>
    <i r="2">
      <x v="10"/>
    </i>
    <i r="2">
      <x v="11"/>
    </i>
    <i r="2">
      <x v="12"/>
    </i>
    <i r="2">
      <x v="13"/>
    </i>
    <i r="2">
      <x v="17"/>
    </i>
    <i r="2">
      <x v="22"/>
    </i>
    <i r="2">
      <x v="23"/>
    </i>
    <i r="2">
      <x v="24"/>
    </i>
    <i r="2">
      <x v="25"/>
    </i>
    <i r="2">
      <x v="26"/>
    </i>
    <i r="2">
      <x v="27"/>
    </i>
    <i>
      <x v="1"/>
    </i>
    <i r="1">
      <x/>
    </i>
    <i r="2">
      <x v="37"/>
    </i>
    <i r="2">
      <x v="49"/>
    </i>
    <i r="2">
      <x v="50"/>
    </i>
    <i r="2">
      <x v="51"/>
    </i>
    <i r="1">
      <x v="1"/>
    </i>
    <i r="2">
      <x v="41"/>
    </i>
    <i r="2">
      <x v="42"/>
    </i>
    <i r="2">
      <x v="45"/>
    </i>
    <i r="2">
      <x v="46"/>
    </i>
    <i r="2">
      <x v="49"/>
    </i>
    <i r="2">
      <x v="50"/>
    </i>
    <i r="2">
      <x v="51"/>
    </i>
    <i r="1">
      <x v="3"/>
    </i>
    <i r="2">
      <x v="49"/>
    </i>
    <i r="2">
      <x v="51"/>
    </i>
    <i r="1">
      <x v="4"/>
    </i>
    <i r="2">
      <x v="28"/>
    </i>
    <i r="2">
      <x v="49"/>
    </i>
    <i r="2">
      <x v="50"/>
    </i>
    <i r="2">
      <x v="51"/>
    </i>
    <i r="1">
      <x v="6"/>
    </i>
    <i r="2">
      <x v="29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8"/>
    </i>
    <i r="2">
      <x v="39"/>
    </i>
    <i r="2">
      <x v="40"/>
    </i>
    <i r="2">
      <x v="43"/>
    </i>
    <i r="2">
      <x v="44"/>
    </i>
    <i r="2">
      <x v="47"/>
    </i>
    <i r="2">
      <x v="48"/>
    </i>
    <i r="2">
      <x v="52"/>
    </i>
    <i r="2">
      <x v="53"/>
    </i>
    <i r="2">
      <x v="75"/>
    </i>
    <i>
      <x v="2"/>
    </i>
    <i r="1">
      <x v="6"/>
    </i>
    <i r="2">
      <x v="77"/>
    </i>
    <i>
      <x v="3"/>
    </i>
    <i r="1">
      <x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1">
      <x v="1"/>
    </i>
    <i r="2">
      <x v="55"/>
    </i>
    <i r="2">
      <x v="56"/>
    </i>
    <i r="2">
      <x v="57"/>
    </i>
    <i r="2">
      <x v="58"/>
    </i>
    <i r="2">
      <x v="60"/>
    </i>
    <i r="2">
      <x v="61"/>
    </i>
    <i r="2">
      <x v="62"/>
    </i>
    <i r="2">
      <x v="63"/>
    </i>
    <i r="2">
      <x v="64"/>
    </i>
    <i r="2">
      <x v="65"/>
    </i>
    <i r="1">
      <x v="3"/>
    </i>
    <i r="2">
      <x v="58"/>
    </i>
    <i r="2">
      <x v="61"/>
    </i>
    <i r="1">
      <x v="4"/>
    </i>
    <i r="2">
      <x v="55"/>
    </i>
    <i r="2">
      <x v="56"/>
    </i>
    <i r="2">
      <x v="57"/>
    </i>
    <i r="2">
      <x v="58"/>
    </i>
    <i r="2">
      <x v="60"/>
    </i>
    <i r="2">
      <x v="61"/>
    </i>
    <i r="2">
      <x v="63"/>
    </i>
    <i>
      <x v="4"/>
    </i>
    <i r="1">
      <x/>
    </i>
    <i r="2">
      <x v="66"/>
    </i>
    <i r="2">
      <x v="67"/>
    </i>
    <i r="2">
      <x v="72"/>
    </i>
    <i r="2">
      <x v="73"/>
    </i>
    <i r="1">
      <x v="1"/>
    </i>
    <i r="2">
      <x v="66"/>
    </i>
    <i r="2">
      <x v="67"/>
    </i>
    <i r="2">
      <x v="72"/>
    </i>
    <i r="2">
      <x v="73"/>
    </i>
    <i r="1">
      <x v="4"/>
    </i>
    <i r="2">
      <x v="66"/>
    </i>
    <i r="2">
      <x v="67"/>
    </i>
    <i r="2">
      <x v="72"/>
    </i>
    <i r="2">
      <x v="73"/>
    </i>
    <i>
      <x v="5"/>
    </i>
    <i r="1">
      <x v="6"/>
    </i>
    <i r="2">
      <x v="68"/>
    </i>
    <i r="2">
      <x v="69"/>
    </i>
    <i r="2">
      <x v="70"/>
    </i>
    <i r="2">
      <x v="71"/>
    </i>
  </rowItems>
  <colFields count="2">
    <field x="33"/>
    <field x="-2"/>
  </colFields>
  <colItems count="20">
    <i>
      <x/>
      <x/>
    </i>
    <i r="1" i="1">
      <x v="1"/>
    </i>
    <i r="1" i="2">
      <x v="2"/>
    </i>
    <i r="1" i="3">
      <x v="3"/>
    </i>
    <i r="1" i="4">
      <x v="4"/>
    </i>
    <i>
      <x v="2"/>
      <x/>
    </i>
    <i r="1" i="1">
      <x v="1"/>
    </i>
    <i r="1" i="2">
      <x v="2"/>
    </i>
    <i r="1" i="3">
      <x v="3"/>
    </i>
    <i r="1" i="4">
      <x v="4"/>
    </i>
    <i>
      <x v="3"/>
      <x/>
    </i>
    <i r="1" i="1">
      <x v="1"/>
    </i>
    <i r="1" i="2">
      <x v="2"/>
    </i>
    <i r="1" i="3">
      <x v="3"/>
    </i>
    <i r="1" i="4">
      <x v="4"/>
    </i>
    <i>
      <x v="4"/>
      <x/>
    </i>
    <i r="1" i="1">
      <x v="1"/>
    </i>
    <i r="1" i="2">
      <x v="2"/>
    </i>
    <i r="1" i="3">
      <x v="3"/>
    </i>
    <i r="1" i="4">
      <x v="4"/>
    </i>
  </colItems>
  <pageFields count="1">
    <pageField fld="1"/>
  </pageFields>
  <dataFields count="5">
    <dataField name="PHYSICAL TARGET" fld="36" baseField="12" baseItem="2"/>
    <dataField name="GROUP BENEF" fld="44" baseField="12" baseItem="2"/>
    <dataField name="Sum of FEMALE BENEFICIARIES" fld="43" baseField="0" baseItem="0"/>
    <dataField name="Sum of MALE BENEFICIARIES" fld="42" baseField="0" baseItem="0"/>
    <dataField name="ALLOCATION (Php'000)" fld="39" baseField="12" baseItem="0"/>
  </dataFields>
  <formats count="54">
    <format dxfId="0">
      <pivotArea field="12" type="button" dataOnly="0" labelOnly="1" outline="0" fieldPosition="0"/>
    </format>
    <format dxfId="1">
      <pivotArea field="18" type="button" dataOnly="0" labelOnly="1" outline="0" fieldPosition="0"/>
    </format>
    <format dxfId="2">
      <pivotArea field="17" type="button" dataOnly="0" labelOnly="1" outline="0" fieldPosition="0"/>
    </format>
    <format dxfId="3">
      <pivotArea field="12" type="button" dataOnly="0" labelOnly="1" outline="0" fieldPosition="0"/>
    </format>
    <format dxfId="4">
      <pivotArea field="18" type="button" dataOnly="0" labelOnly="1" outline="0" fieldPosition="0"/>
    </format>
    <format dxfId="5">
      <pivotArea field="17" type="button" dataOnly="0" labelOnly="1" outline="0" fieldPosition="0"/>
    </format>
    <format dxfId="6">
      <pivotArea type="all" dataOnly="0" outline="0" fieldPosition="0"/>
    </format>
    <format dxfId="7">
      <pivotArea type="origin" dataOnly="0" labelOnly="1" outline="0" fieldPosition="0"/>
    </format>
    <format dxfId="8">
      <pivotArea field="12" type="button" dataOnly="0" labelOnly="1" outline="0" fieldPosition="0"/>
    </format>
    <format dxfId="9">
      <pivotArea field="18" type="button" dataOnly="0" labelOnly="1" outline="0" fieldPosition="0"/>
    </format>
    <format dxfId="10">
      <pivotArea field="17" type="button" dataOnly="0" labelOnly="1" outline="0" fieldPosition="0"/>
    </format>
    <format dxfId="11">
      <pivotArea field="35" type="button" dataOnly="0" labelOnly="1" outline="0" fieldPosition="0"/>
    </format>
    <format dxfId="12">
      <pivotArea field="33" type="button" dataOnly="0" labelOnly="1" outline="0" fieldPosition="0"/>
    </format>
    <format dxfId="13">
      <pivotArea field="32" type="button" dataOnly="0" labelOnly="1" outline="0" fieldPosition="0"/>
    </format>
    <format dxfId="14">
      <pivotArea field="-2" type="button" dataOnly="0" labelOnly="1" outline="0" fieldPosition="0"/>
    </format>
    <format dxfId="15">
      <pivotArea type="topRight" dataOnly="0" labelOnly="1" outline="0" fieldPosition="0"/>
    </format>
    <format dxfId="16">
      <pivotArea type="origin" dataOnly="0" labelOnly="1" outline="0" fieldPosition="0"/>
    </format>
    <format dxfId="17">
      <pivotArea field="12" type="button" dataOnly="0" labelOnly="1" outline="0" fieldPosition="0"/>
    </format>
    <format dxfId="18">
      <pivotArea field="18" type="button" dataOnly="0" labelOnly="1" outline="0" fieldPosition="0"/>
    </format>
    <format dxfId="19">
      <pivotArea field="17" type="button" dataOnly="0" labelOnly="1" outline="0" fieldPosition="0"/>
    </format>
    <format dxfId="20">
      <pivotArea field="35" type="button" dataOnly="0" labelOnly="1" outline="0" fieldPosition="0"/>
    </format>
    <format dxfId="21">
      <pivotArea field="33" type="button" dataOnly="0" labelOnly="1" outline="0" fieldPosition="0"/>
    </format>
    <format dxfId="22">
      <pivotArea field="32" type="button" dataOnly="0" labelOnly="1" outline="0" fieldPosition="0"/>
    </format>
    <format dxfId="23">
      <pivotArea field="-2" type="button" dataOnly="0" labelOnly="1" outline="0" fieldPosition="0"/>
    </format>
    <format dxfId="24">
      <pivotArea type="topRight" dataOnly="0" labelOnly="1" outline="0" fieldPosition="0"/>
    </format>
    <format dxfId="25">
      <pivotArea dataOnly="0" labelOnly="1" outline="0" fieldPosition="0"/>
    </format>
    <format dxfId="26">
      <pivotArea field="12" type="button" dataOnly="0" labelOnly="1" outline="0" fieldPosition="0"/>
    </format>
    <format dxfId="27">
      <pivotArea field="18" type="button" dataOnly="0" labelOnly="1" outline="0" fieldPosition="0"/>
    </format>
    <format dxfId="28">
      <pivotArea field="17" type="button" dataOnly="0" labelOnly="1" outline="0" fieldPosition="0"/>
    </format>
    <format dxfId="29">
      <pivotArea dataOnly="0" labelOnly="1" outline="0" fieldPosition="0"/>
    </format>
    <format dxfId="30">
      <pivotArea field="12" type="button" dataOnly="0" labelOnly="1" outline="0" fieldPosition="0"/>
    </format>
    <format dxfId="31">
      <pivotArea field="18" type="button" dataOnly="0" labelOnly="1" outline="0" fieldPosition="0"/>
    </format>
    <format dxfId="32">
      <pivotArea field="17" type="button" dataOnly="0" labelOnly="1" outline="0" fieldPosition="0"/>
    </format>
    <format dxfId="33">
      <pivotArea dataOnly="0" labelOnly="1" outline="0" fieldPosition="0"/>
    </format>
    <format dxfId="34">
      <pivotArea type="all" dataOnly="0" outline="0" fieldPosition="0"/>
    </format>
    <format dxfId="35">
      <pivotArea type="all" dataOnly="0" outline="0" fieldPosition="0"/>
    </format>
    <format dxfId="36">
      <pivotArea field="12" type="button" dataOnly="0" labelOnly="1" outline="0" fieldPosition="0"/>
    </format>
    <format dxfId="37">
      <pivotArea field="18" type="button" dataOnly="0" labelOnly="1" outline="0" fieldPosition="0"/>
    </format>
    <format dxfId="38">
      <pivotArea field="17" type="button" dataOnly="0" labelOnly="1" outline="0" fieldPosition="0"/>
    </format>
    <format dxfId="39">
      <pivotArea dataOnly="0" labelOnly="1" outline="0" fieldPosition="0">
        <references count="1">
          <reference field="4294967294" count="3">
            <x v="0"/>
            <x v="1"/>
            <x v="4"/>
          </reference>
        </references>
      </pivotArea>
    </format>
    <format dxfId="40">
      <pivotArea field="12" type="button" dataOnly="0" labelOnly="1" outline="0" fieldPosition="0"/>
    </format>
    <format dxfId="41">
      <pivotArea field="18" type="button" dataOnly="0" labelOnly="1" outline="0" fieldPosition="0"/>
    </format>
    <format dxfId="42">
      <pivotArea field="17" type="button" dataOnly="0" labelOnly="1" outline="0" fieldPosition="0"/>
    </format>
    <format dxfId="43">
      <pivotArea dataOnly="0" labelOnly="1" outline="0" fieldPosition="0">
        <references count="1">
          <reference field="4294967294" count="3">
            <x v="0"/>
            <x v="1"/>
            <x v="4"/>
          </reference>
        </references>
      </pivotArea>
    </format>
    <format dxfId="44">
      <pivotArea field="12" type="button" dataOnly="0" labelOnly="1" outline="0" fieldPosition="0"/>
    </format>
    <format dxfId="45">
      <pivotArea field="18" type="button" dataOnly="0" labelOnly="1" outline="0" fieldPosition="0"/>
    </format>
    <format dxfId="46">
      <pivotArea field="17" type="button" dataOnly="0" labelOnly="1" outline="0" fieldPosition="0"/>
    </format>
    <format dxfId="47">
      <pivotArea dataOnly="0" labelOnly="1" outline="0" fieldPosition="0">
        <references count="1">
          <reference field="4294967294" count="3">
            <x v="0"/>
            <x v="1"/>
            <x v="4"/>
          </reference>
        </references>
      </pivotArea>
    </format>
    <format dxfId="48">
      <pivotArea outline="0" collapsedLevelsAreSubtotals="1" fieldPosition="0"/>
    </format>
    <format dxfId="49">
      <pivotArea dataOnly="0" labelOnly="1" outline="0" fieldPosition="0">
        <references count="1">
          <reference field="4294967294" count="3">
            <x v="0"/>
            <x v="1"/>
            <x v="4"/>
          </reference>
        </references>
      </pivotArea>
    </format>
    <format dxfId="50">
      <pivotArea field="4" type="button" dataOnly="0" labelOnly="1" outline="0" fieldPosition="0"/>
    </format>
    <format dxfId="51">
      <pivotArea dataOnly="0" outline="0" fieldPosition="0">
        <references count="1">
          <reference field="17" count="0" defaultSubtotal="1"/>
        </references>
      </pivotArea>
    </format>
    <format dxfId="52">
      <pivotArea dataOnly="0" outline="0" fieldPosition="0">
        <references count="1">
          <reference field="17" count="0" defaultSubtotal="1"/>
        </references>
      </pivotArea>
    </format>
    <format dxfId="53">
      <pivotArea dataOnly="0" labelOnly="1" outline="0" fieldPosition="0">
        <references count="1">
          <reference field="1" count="0"/>
        </references>
      </pivotArea>
    </format>
  </formats>
  <pivotTableStyleInfo name="PivotStyleMedium1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dataPosition="4" autoFormatId="1" applyNumberFormats="0" applyBorderFormats="0" applyFontFormats="0" applyPatternFormats="0" applyAlignmentFormats="0" applyWidthHeightFormats="1" dataCaption="Values" updatedVersion="8" minRefreshableVersion="3" createdVersion="4" mergeItem="1" colGrandTotals="0" compact="0" indent="127" outline="1" compactData="0" outlineData="1" showDrill="1" multipleFieldFilters="0">
  <location ref="A5:DS111" firstHeaderRow="1" firstDataRow="6" firstDataCol="3"/>
  <pivotFields count="41">
    <pivotField compact="0" defaultSubtotal="0" showAll="0"/>
    <pivotField axis="axisCol" name="PROPOSAL/BEDS" compact="0" multipleItemSelectionAllowed="1" showAll="0">
      <items count="4">
        <item x="0"/>
        <item x="1"/>
        <item h="1" x="2"/>
        <item t="default"/>
      </items>
    </pivotField>
    <pivotField compact="0" defaultSubtotal="0" showAll="0"/>
    <pivotField compact="0" defaultSubtotal="0" showAll="0"/>
    <pivotField compact="0" defaultSubtotal="0" showAll="0"/>
    <pivotField compact="0" defaultSubtotal="0" showAll="0"/>
    <pivotField axis="axisRow" compact="0" defaultSubtotal="0" showAll="0">
      <items count="7">
        <item x="0"/>
        <item x="1"/>
        <item x="2"/>
        <item x="3"/>
        <item x="4"/>
        <item x="5"/>
        <item m="1" x="6"/>
      </items>
    </pivotField>
    <pivotField compact="0" defaultSubtotal="0" showAll="0"/>
    <pivotField compact="0" defaultSubtotal="0" showAll="0"/>
    <pivotField compact="0" defaultSubtotal="0" showAll="0"/>
    <pivotField compact="0" defaultSubtotal="0" showAll="0"/>
    <pivotField axis="axisRow" compact="0" defaultSubtotal="0" showAll="0">
      <items count="77">
        <item m="1" x="7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m="1" x="7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74"/>
        <item x="34"/>
        <item m="1" x="75"/>
        <item x="71"/>
        <item x="72"/>
      </items>
    </pivotField>
    <pivotField axis="axisRow" compact="0" defaultSubtotal="0" showAll="0">
      <items count="24"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13"/>
      </items>
    </pivotField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axis="axisCol" compact="0" defaultSubtotal="0" showAll="0">
      <items count="16">
        <item x="8"/>
        <item x="3"/>
        <item x="0"/>
        <item x="1"/>
        <item x="9"/>
        <item x="4"/>
        <item x="2"/>
        <item x="5"/>
        <item x="6"/>
        <item x="7"/>
        <item x="10"/>
        <item x="11"/>
        <item x="13"/>
        <item x="12"/>
        <item x="14"/>
        <item x="15"/>
      </items>
    </pivotField>
    <pivotField axis="axisCol" compact="0" showAll="0">
      <items count="7">
        <item x="0"/>
        <item x="4"/>
        <item x="1"/>
        <item x="2"/>
        <item x="3"/>
        <item x="5"/>
        <item t="default"/>
      </items>
    </pivotField>
    <pivotField compact="0" defaultSubtotal="0" showAll="0"/>
    <pivotField axis="axisCol" compact="0" showAll="0">
      <items count="4">
        <item x="0"/>
        <item x="1"/>
        <item x="2"/>
        <item t="default"/>
      </items>
    </pivotField>
    <pivotField dataField="1" compact="0" defaultSubtotal="0" showAll="0"/>
    <pivotField dataField="1" compact="0" defaultSubtotal="0" showAll="0"/>
    <pivotField dataField="1"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</pivotFields>
  <rowFields count="3">
    <field x="6"/>
    <field x="12"/>
    <field x="11"/>
  </rowFields>
  <rowItems count="101">
    <i>
      <x/>
    </i>
    <i r="1">
      <x v="1"/>
    </i>
    <i r="2">
      <x v="1"/>
    </i>
    <i r="1">
      <x v="2"/>
    </i>
    <i r="2">
      <x v="2"/>
    </i>
    <i r="2">
      <x v="9"/>
    </i>
    <i r="2">
      <x v="10"/>
    </i>
    <i r="1">
      <x v="3"/>
    </i>
    <i r="2">
      <x v="3"/>
    </i>
    <i r="2">
      <x v="4"/>
    </i>
    <i r="1">
      <x v="4"/>
    </i>
    <i r="2">
      <x v="5"/>
    </i>
    <i r="2">
      <x v="6"/>
    </i>
    <i r="1">
      <x v="5"/>
    </i>
    <i r="2">
      <x v="7"/>
    </i>
    <i r="2">
      <x v="8"/>
    </i>
    <i r="1">
      <x v="6"/>
    </i>
    <i r="2">
      <x v="11"/>
    </i>
    <i r="2">
      <x v="12"/>
    </i>
    <i r="2">
      <x v="13"/>
    </i>
    <i r="2">
      <x v="17"/>
    </i>
    <i r="1">
      <x v="7"/>
    </i>
    <i r="2">
      <x v="14"/>
    </i>
    <i r="2">
      <x v="15"/>
    </i>
    <i r="2">
      <x v="16"/>
    </i>
    <i r="1">
      <x v="8"/>
    </i>
    <i r="2">
      <x v="18"/>
    </i>
    <i r="2">
      <x v="19"/>
    </i>
    <i r="1">
      <x v="9"/>
    </i>
    <i r="2">
      <x v="20"/>
    </i>
    <i r="2">
      <x v="21"/>
    </i>
    <i r="1">
      <x v="10"/>
    </i>
    <i r="2">
      <x v="22"/>
    </i>
    <i r="2">
      <x v="23"/>
    </i>
    <i r="2">
      <x v="24"/>
    </i>
    <i r="2">
      <x v="25"/>
    </i>
    <i r="2">
      <x v="26"/>
    </i>
    <i r="2">
      <x v="27"/>
    </i>
    <i>
      <x v="1"/>
    </i>
    <i r="1">
      <x v="11"/>
    </i>
    <i r="2">
      <x v="28"/>
    </i>
    <i r="2">
      <x v="37"/>
    </i>
    <i r="2">
      <x v="41"/>
    </i>
    <i r="2">
      <x v="45"/>
    </i>
    <i r="1">
      <x v="12"/>
    </i>
    <i r="2">
      <x v="29"/>
    </i>
    <i r="2">
      <x v="42"/>
    </i>
    <i r="2">
      <x v="46"/>
    </i>
    <i r="1">
      <x v="13"/>
    </i>
    <i r="2">
      <x v="30"/>
    </i>
    <i r="2">
      <x v="31"/>
    </i>
    <i r="2">
      <x v="32"/>
    </i>
    <i r="2">
      <x v="33"/>
    </i>
    <i r="2">
      <x v="34"/>
    </i>
    <i r="2">
      <x v="38"/>
    </i>
    <i r="2">
      <x v="39"/>
    </i>
    <i r="2">
      <x v="43"/>
    </i>
    <i r="2">
      <x v="47"/>
    </i>
    <i r="1">
      <x v="14"/>
    </i>
    <i r="2">
      <x v="36"/>
    </i>
    <i r="2">
      <x v="40"/>
    </i>
    <i r="2">
      <x v="44"/>
    </i>
    <i r="2">
      <x v="48"/>
    </i>
    <i r="2">
      <x v="52"/>
    </i>
    <i r="2">
      <x v="53"/>
    </i>
    <i r="1">
      <x v="15"/>
    </i>
    <i r="2">
      <x v="49"/>
    </i>
    <i r="2">
      <x v="50"/>
    </i>
    <i r="2">
      <x v="51"/>
    </i>
    <i r="1">
      <x v="23"/>
    </i>
    <i r="2">
      <x v="73"/>
    </i>
    <i>
      <x v="2"/>
    </i>
    <i r="1">
      <x v="16"/>
    </i>
    <i r="2">
      <x v="54"/>
    </i>
    <i>
      <x v="3"/>
    </i>
    <i r="1">
      <x v="17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18"/>
    </i>
    <i r="2">
      <x v="61"/>
    </i>
    <i r="2">
      <x v="64"/>
    </i>
    <i r="1">
      <x v="19"/>
    </i>
    <i r="2">
      <x v="62"/>
    </i>
    <i r="2">
      <x v="65"/>
    </i>
    <i r="1">
      <x v="20"/>
    </i>
    <i r="2">
      <x v="63"/>
    </i>
    <i>
      <x v="4"/>
    </i>
    <i r="1">
      <x v="21"/>
    </i>
    <i r="2">
      <x v="66"/>
    </i>
    <i r="2">
      <x v="67"/>
    </i>
    <i>
      <x v="5"/>
    </i>
    <i r="1">
      <x v="22"/>
    </i>
    <i r="2">
      <x v="68"/>
    </i>
    <i r="2">
      <x v="69"/>
    </i>
    <i r="2">
      <x v="70"/>
    </i>
    <i r="2">
      <x v="71"/>
    </i>
    <i t="grand">
      <x/>
    </i>
  </rowItems>
  <colFields count="5">
    <field x="1"/>
    <field x="28"/>
    <field x="26"/>
    <field x="25"/>
    <field x="-2"/>
  </colFields>
  <colItems count="120">
    <i>
      <x/>
      <x/>
      <x/>
      <x/>
      <x/>
    </i>
    <i r="4" i="1">
      <x v="1"/>
    </i>
    <i r="4" i="2">
      <x v="2"/>
    </i>
    <i r="3">
      <x v="1"/>
      <x/>
    </i>
    <i r="4" i="1">
      <x v="1"/>
    </i>
    <i r="4" i="2">
      <x v="2"/>
    </i>
    <i r="3">
      <x v="2"/>
      <x/>
    </i>
    <i r="4" i="1">
      <x v="1"/>
    </i>
    <i r="4" i="2">
      <x v="2"/>
    </i>
    <i t="default" r="2">
      <x/>
    </i>
    <i t="default" r="2" i="1">
      <x/>
    </i>
    <i t="default" r="2" i="2">
      <x/>
    </i>
    <i r="2">
      <x v="2"/>
      <x v="3"/>
      <x/>
    </i>
    <i r="4" i="1">
      <x v="1"/>
    </i>
    <i r="4" i="2">
      <x v="2"/>
    </i>
    <i r="3">
      <x v="4"/>
      <x/>
    </i>
    <i r="4" i="1">
      <x v="1"/>
    </i>
    <i r="4" i="2">
      <x v="2"/>
    </i>
    <i r="3">
      <x v="5"/>
      <x/>
    </i>
    <i r="4" i="1">
      <x v="1"/>
    </i>
    <i r="4" i="2">
      <x v="2"/>
    </i>
    <i t="default" r="2">
      <x v="2"/>
    </i>
    <i t="default" r="2" i="1">
      <x v="2"/>
    </i>
    <i t="default" r="2" i="2">
      <x v="2"/>
    </i>
    <i r="2">
      <x v="3"/>
      <x v="6"/>
      <x/>
    </i>
    <i r="4" i="1">
      <x v="1"/>
    </i>
    <i r="4" i="2">
      <x v="2"/>
    </i>
    <i r="3">
      <x v="7"/>
      <x/>
    </i>
    <i r="4" i="1">
      <x v="1"/>
    </i>
    <i r="4" i="2">
      <x v="2"/>
    </i>
    <i r="3">
      <x v="8"/>
      <x/>
    </i>
    <i r="4" i="1">
      <x v="1"/>
    </i>
    <i r="4" i="2">
      <x v="2"/>
    </i>
    <i t="default" r="2">
      <x v="3"/>
    </i>
    <i t="default" r="2" i="1">
      <x v="3"/>
    </i>
    <i t="default" r="2" i="2">
      <x v="3"/>
    </i>
    <i r="2">
      <x v="4"/>
      <x v="9"/>
      <x/>
    </i>
    <i r="4" i="1">
      <x v="1"/>
    </i>
    <i r="4" i="2">
      <x v="2"/>
    </i>
    <i r="3">
      <x v="10"/>
      <x/>
    </i>
    <i r="4" i="1">
      <x v="1"/>
    </i>
    <i r="4" i="2">
      <x v="2"/>
    </i>
    <i r="3">
      <x v="11"/>
      <x/>
    </i>
    <i r="4" i="1">
      <x v="1"/>
    </i>
    <i r="4" i="2">
      <x v="2"/>
    </i>
    <i t="default" r="2">
      <x v="4"/>
    </i>
    <i t="default" r="2" i="1">
      <x v="4"/>
    </i>
    <i t="default" r="2" i="2">
      <x v="4"/>
    </i>
    <i t="default" r="1">
      <x/>
    </i>
    <i t="default" r="1" i="1">
      <x/>
    </i>
    <i t="default" r="1" i="2">
      <x/>
    </i>
    <i t="default">
      <x/>
    </i>
    <i t="default" i="1">
      <x/>
    </i>
    <i t="default" i="2">
      <x/>
    </i>
    <i>
      <x v="1"/>
      <x/>
      <x/>
      <x v="1"/>
      <x/>
    </i>
    <i r="4" i="1">
      <x v="1"/>
    </i>
    <i r="4" i="2">
      <x v="2"/>
    </i>
    <i r="3">
      <x v="2"/>
      <x/>
    </i>
    <i r="4" i="1">
      <x v="1"/>
    </i>
    <i r="4" i="2">
      <x v="2"/>
    </i>
    <i t="default" r="2">
      <x/>
    </i>
    <i t="default" r="2" i="1">
      <x/>
    </i>
    <i t="default" r="2" i="2">
      <x/>
    </i>
    <i r="2">
      <x v="2"/>
      <x v="3"/>
      <x/>
    </i>
    <i r="4" i="1">
      <x v="1"/>
    </i>
    <i r="4" i="2">
      <x v="2"/>
    </i>
    <i r="3">
      <x v="4"/>
      <x/>
    </i>
    <i r="4" i="1">
      <x v="1"/>
    </i>
    <i r="4" i="2">
      <x v="2"/>
    </i>
    <i r="3">
      <x v="5"/>
      <x/>
    </i>
    <i r="4" i="1">
      <x v="1"/>
    </i>
    <i r="4" i="2">
      <x v="2"/>
    </i>
    <i t="default" r="2">
      <x v="2"/>
    </i>
    <i t="default" r="2" i="1">
      <x v="2"/>
    </i>
    <i t="default" r="2" i="2">
      <x v="2"/>
    </i>
    <i r="2">
      <x v="3"/>
      <x v="6"/>
      <x/>
    </i>
    <i r="4" i="1">
      <x v="1"/>
    </i>
    <i r="4" i="2">
      <x v="2"/>
    </i>
    <i r="3">
      <x v="7"/>
      <x/>
    </i>
    <i r="4" i="1">
      <x v="1"/>
    </i>
    <i r="4" i="2">
      <x v="2"/>
    </i>
    <i r="3">
      <x v="8"/>
      <x/>
    </i>
    <i r="4" i="1">
      <x v="1"/>
    </i>
    <i r="4" i="2">
      <x v="2"/>
    </i>
    <i t="default" r="2">
      <x v="3"/>
    </i>
    <i t="default" r="2" i="1">
      <x v="3"/>
    </i>
    <i t="default" r="2" i="2">
      <x v="3"/>
    </i>
    <i r="2">
      <x v="4"/>
      <x v="9"/>
      <x/>
    </i>
    <i r="4" i="1">
      <x v="1"/>
    </i>
    <i r="4" i="2">
      <x v="2"/>
    </i>
    <i r="3">
      <x v="10"/>
      <x/>
    </i>
    <i r="4" i="1">
      <x v="1"/>
    </i>
    <i r="4" i="2">
      <x v="2"/>
    </i>
    <i r="3">
      <x v="11"/>
      <x/>
    </i>
    <i r="4" i="1">
      <x v="1"/>
    </i>
    <i r="4" i="2">
      <x v="2"/>
    </i>
    <i t="default" r="2">
      <x v="4"/>
    </i>
    <i t="default" r="2" i="1">
      <x v="4"/>
    </i>
    <i t="default" r="2" i="2">
      <x v="4"/>
    </i>
    <i t="default" r="1">
      <x/>
    </i>
    <i t="default" r="1" i="1">
      <x/>
    </i>
    <i t="default" r="1" i="2">
      <x/>
    </i>
    <i r="1">
      <x v="1"/>
      <x v="1"/>
      <x v="12"/>
      <x/>
    </i>
    <i r="4" i="1">
      <x v="1"/>
    </i>
    <i r="4" i="2">
      <x v="2"/>
    </i>
    <i r="3">
      <x v="13"/>
      <x/>
    </i>
    <i r="4" i="1">
      <x v="1"/>
    </i>
    <i r="4" i="2">
      <x v="2"/>
    </i>
    <i r="3">
      <x v="14"/>
      <x/>
    </i>
    <i r="4" i="1">
      <x v="1"/>
    </i>
    <i r="4" i="2">
      <x v="2"/>
    </i>
    <i t="default" r="2">
      <x v="1"/>
    </i>
    <i t="default" r="2" i="1">
      <x v="1"/>
    </i>
    <i t="default" r="2" i="2">
      <x v="1"/>
    </i>
    <i t="default" r="1">
      <x v="1"/>
    </i>
    <i t="default" r="1" i="1">
      <x v="1"/>
    </i>
    <i t="default" r="1" i="2">
      <x v="1"/>
    </i>
    <i t="default">
      <x v="1"/>
    </i>
    <i t="default" i="1">
      <x v="1"/>
    </i>
    <i t="default" i="2">
      <x v="1"/>
    </i>
  </colItems>
  <dataFields count="3">
    <dataField name="MOOE" fld="29" baseField="6" baseItem="0"/>
    <dataField name="CO" fld="30" baseField="6" baseItem="0"/>
    <dataField name="TOTAL" fld="31" baseField="6" baseItem="0"/>
  </dataFields>
  <formats count="996">
    <format dxfId="54">
      <pivotArea field="6" type="button" dataOnly="0" labelOnly="1" outline="0" fieldPosition="0"/>
    </format>
    <format dxfId="55">
      <pivotArea field="12" type="button" dataOnly="0" labelOnly="1" outline="0" fieldPosition="0"/>
    </format>
    <format dxfId="56">
      <pivotArea field="11" type="button" dataOnly="0" labelOnly="1" outline="0" fieldPosition="0"/>
    </format>
    <format dxfId="57">
      <pivotArea dataOnly="0" labelOnly="1" outline="0" fieldPosition="0">
        <references count="1">
          <reference field="1" count="0"/>
        </references>
      </pivotArea>
    </format>
    <format dxfId="58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59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60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61">
      <pivotArea dataOnly="0" labelOnly="1" outline="0" fieldPosition="0">
        <references count="2">
          <reference field="1" count="1" selected="0">
            <x v="0"/>
          </reference>
          <reference field="28" count="0"/>
        </references>
      </pivotArea>
    </format>
    <format dxfId="62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8" count="0" defaultSubtotal="1"/>
        </references>
      </pivotArea>
    </format>
    <format dxfId="63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8" count="0" defaultSubtotal="1"/>
        </references>
      </pivotArea>
    </format>
    <format dxfId="64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8" count="0" defaultSubtotal="1"/>
        </references>
      </pivotArea>
    </format>
    <format dxfId="65">
      <pivotArea dataOnly="0" labelOnly="1" outline="0" fieldPosition="0">
        <references count="2">
          <reference field="1" count="1" selected="0">
            <x v="1"/>
          </reference>
          <reference field="28" count="0"/>
        </references>
      </pivotArea>
    </format>
    <format dxfId="66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0" defaultSubtotal="1"/>
        </references>
      </pivotArea>
    </format>
    <format dxfId="67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0" defaultSubtotal="1"/>
        </references>
      </pivotArea>
    </format>
    <format dxfId="68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0" defaultSubtotal="1"/>
        </references>
      </pivotArea>
    </format>
    <format dxfId="69">
      <pivotArea dataOnly="0" labelOnly="1" outline="0" fieldPosition="0">
        <references count="3">
          <reference field="1" count="1" selected="0">
            <x v="0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70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71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72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73">
      <pivotArea dataOnly="0" labelOnly="1" outline="0" fieldPosition="0">
        <references count="3">
          <reference field="1" count="1" selected="0">
            <x v="0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74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75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76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77">
      <pivotArea dataOnly="0" labelOnly="1" outline="0" fieldPosition="0">
        <references count="3">
          <reference field="1" count="1" selected="0">
            <x v="1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78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79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80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81">
      <pivotArea dataOnly="0" labelOnly="1" outline="0" fieldPosition="0">
        <references count="3">
          <reference field="1" count="1" selected="0">
            <x v="1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82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83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84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85">
      <pivotArea dataOnly="0" labelOnly="1" outline="0" fieldPosition="0">
        <references count="4">
          <reference field="1" count="1" selected="0">
            <x v="0"/>
          </reference>
          <reference field="25" count="3">
            <x v="0"/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86">
      <pivotArea dataOnly="0" labelOnly="1" outline="0" fieldPosition="0">
        <references count="4">
          <reference field="1" count="1" selected="0">
            <x v="0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87">
      <pivotArea dataOnly="0" labelOnly="1" outline="0" fieldPosition="0">
        <references count="4">
          <reference field="1" count="1" selected="0">
            <x v="0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88">
      <pivotArea dataOnly="0" labelOnly="1" outline="0" fieldPosition="0">
        <references count="4">
          <reference field="1" count="1" selected="0">
            <x v="0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89">
      <pivotArea dataOnly="0" labelOnly="1" outline="0" fieldPosition="0">
        <references count="4">
          <reference field="1" count="1" selected="0">
            <x v="0"/>
          </reference>
          <reference field="25" count="3">
            <x v="12"/>
            <x v="13"/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90">
      <pivotArea dataOnly="0" labelOnly="1" outline="0" fieldPosition="0">
        <references count="4">
          <reference field="1" count="1" selected="0">
            <x v="1"/>
          </reference>
          <reference field="25" count="1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91">
      <pivotArea dataOnly="0" labelOnly="1" outline="0" fieldPosition="0">
        <references count="4">
          <reference field="1" count="1" selected="0">
            <x v="1"/>
          </reference>
          <reference field="25" count="1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92">
      <pivotArea dataOnly="0" labelOnly="1" outline="0" fieldPosition="0">
        <references count="4">
          <reference field="1" count="1" selected="0">
            <x v="1"/>
          </reference>
          <reference field="25" count="1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93">
      <pivotArea dataOnly="0" labelOnly="1" outline="0" fieldPosition="0">
        <references count="4">
          <reference field="1" count="1" selected="0">
            <x v="1"/>
          </reference>
          <reference field="25" count="1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94">
      <pivotArea dataOnly="0" labelOnly="1" outline="0" fieldPosition="0">
        <references count="4">
          <reference field="1" count="1" selected="0">
            <x v="1"/>
          </reference>
          <reference field="25" count="1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9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9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9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9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9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0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0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0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0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0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0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0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0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0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0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1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1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1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1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1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15">
      <pivotArea dataOnly="0" labelOnly="1" outline="0" fieldPosition="0">
        <references count="1">
          <reference field="1" count="1">
            <x v="0"/>
          </reference>
        </references>
      </pivotArea>
    </format>
    <format dxfId="116">
      <pivotArea dataOnly="0" labelOnly="1" outline="0" fieldPosition="0">
        <references count="1">
          <reference field="1" count="1">
            <x v="0"/>
          </reference>
        </references>
      </pivotArea>
    </format>
    <format dxfId="117">
      <pivotArea dataOnly="0" labelOnly="1" outline="0" fieldPosition="0">
        <references count="1">
          <reference field="1" count="1">
            <x v="0"/>
          </reference>
        </references>
      </pivotArea>
    </format>
    <format dxfId="118">
      <pivotArea dataOnly="0" labelOnly="1" outline="0" fieldPosition="0">
        <references count="1">
          <reference field="1" count="1">
            <x v="0"/>
          </reference>
        </references>
      </pivotArea>
    </format>
    <format dxfId="119">
      <pivotArea field="6" type="button" dataOnly="0" labelOnly="1" outline="0" fieldPosition="0"/>
    </format>
    <format dxfId="120">
      <pivotArea field="12" type="button" dataOnly="0" labelOnly="1" outline="0" fieldPosition="0"/>
    </format>
    <format dxfId="121">
      <pivotArea field="11" type="button" dataOnly="0" labelOnly="1" outline="0" fieldPosition="0"/>
    </format>
    <format dxfId="122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123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124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125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8" count="0" defaultSubtotal="1"/>
        </references>
      </pivotArea>
    </format>
    <format dxfId="126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8" count="0" defaultSubtotal="1"/>
        </references>
      </pivotArea>
    </format>
    <format dxfId="127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8" count="0" defaultSubtotal="1"/>
        </references>
      </pivotArea>
    </format>
    <format dxfId="128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0" defaultSubtotal="1"/>
        </references>
      </pivotArea>
    </format>
    <format dxfId="129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0" defaultSubtotal="1"/>
        </references>
      </pivotArea>
    </format>
    <format dxfId="130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0" defaultSubtotal="1"/>
        </references>
      </pivotArea>
    </format>
    <format dxfId="131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1" defaultSubtotal="1">
            <x v="1"/>
          </reference>
        </references>
      </pivotArea>
    </format>
    <format dxfId="132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33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34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3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1"/>
          </reference>
        </references>
      </pivotArea>
    </format>
    <format dxfId="136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1"/>
          </reference>
        </references>
      </pivotArea>
    </format>
    <format dxfId="137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1"/>
          </reference>
        </references>
      </pivotArea>
    </format>
    <format dxfId="138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39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40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41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42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143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144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14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4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4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4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4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5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5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5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5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5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5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5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5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5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5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6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6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6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6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6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6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66">
      <pivotArea dataOnly="0" labelOnly="1" outline="0" fieldPosition="0">
        <references count="1">
          <reference field="1" count="1">
            <x v="1"/>
          </reference>
        </references>
      </pivotArea>
    </format>
    <format dxfId="167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1" defaultSubtotal="1">
            <x v="1"/>
          </reference>
        </references>
      </pivotArea>
    </format>
    <format dxfId="168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1" defaultSubtotal="1">
            <x v="1"/>
          </reference>
        </references>
      </pivotArea>
    </format>
    <format dxfId="169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1" defaultSubtotal="1">
            <x v="1"/>
          </reference>
        </references>
      </pivotArea>
    </format>
    <format dxfId="170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1" count="1" selected="0">
            <x v="1"/>
          </reference>
          <reference field="28" count="1" selected="0" defaultSubtotal="1">
            <x v="1"/>
          </reference>
        </references>
      </pivotArea>
    </format>
    <format dxfId="171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1" count="1" selected="0">
            <x v="1"/>
          </reference>
          <reference field="28" count="1" selected="0" defaultSubtotal="1">
            <x v="1"/>
          </reference>
        </references>
      </pivotArea>
    </format>
    <format dxfId="172">
      <pivotArea outline="0" collapsedLevelsAreSubtotals="1" fieldPosition="0">
        <references count="1">
          <reference field="1" count="1" selected="0" defaultSubtotal="1">
            <x v="0"/>
          </reference>
        </references>
      </pivotArea>
    </format>
    <format dxfId="173">
      <pivotArea outline="0" collapsedLevelsAreSubtotals="1" fieldPosition="0">
        <references count="2">
          <reference field="1" count="1" selected="0">
            <x v="1"/>
          </reference>
          <reference field="28" count="0" selected="0" defaultSubtotal="1"/>
        </references>
      </pivotArea>
    </format>
    <format dxfId="174">
      <pivotArea field="1" type="button" dataOnly="0" labelOnly="1" outline="0" fieldPosition="0"/>
    </format>
    <format dxfId="175">
      <pivotArea field="28" type="button" dataOnly="0" labelOnly="1" outline="0" fieldPosition="0"/>
    </format>
    <format dxfId="176">
      <pivotArea field="26" type="button" dataOnly="0" labelOnly="1" outline="0" fieldPosition="0"/>
    </format>
    <format dxfId="177">
      <pivotArea field="25" type="button" dataOnly="0" labelOnly="1" outline="0" fieldPosition="0"/>
    </format>
    <format dxfId="178">
      <pivotArea field="-2" type="button" dataOnly="0" labelOnly="1" outline="0" fieldPosition="0"/>
    </format>
    <format dxfId="179">
      <pivotArea type="topRight" dataOnly="0" labelOnly="1" outline="0" fieldPosition="0"/>
    </format>
    <format dxfId="180">
      <pivotArea dataOnly="0" labelOnly="1" outline="0" fieldPosition="0">
        <references count="1">
          <reference field="1" count="0"/>
        </references>
      </pivotArea>
    </format>
    <format dxfId="181">
      <pivotArea dataOnly="0" labelOnly="1" outline="0" fieldPosition="0">
        <references count="2">
          <reference field="4294967294" count="1" selected="0">
            <x v="0"/>
          </reference>
          <reference field="1" count="1" defaultSubtotal="1">
            <x v="0"/>
          </reference>
        </references>
      </pivotArea>
    </format>
    <format dxfId="182">
      <pivotArea dataOnly="0" labelOnly="1" outline="0" fieldPosition="0">
        <references count="2">
          <reference field="4294967294" count="1" selected="0">
            <x v="1"/>
          </reference>
          <reference field="1" count="1" defaultSubtotal="1">
            <x v="0"/>
          </reference>
        </references>
      </pivotArea>
    </format>
    <format dxfId="183">
      <pivotArea dataOnly="0" labelOnly="1" outline="0" fieldPosition="0">
        <references count="2">
          <reference field="4294967294" count="1" selected="0">
            <x v="2"/>
          </reference>
          <reference field="1" count="1" defaultSubtotal="1">
            <x v="0"/>
          </reference>
        </references>
      </pivotArea>
    </format>
    <format dxfId="184">
      <pivotArea dataOnly="0" labelOnly="1" outline="0" fieldPosition="0">
        <references count="2">
          <reference field="1" count="1" selected="0">
            <x v="0"/>
          </reference>
          <reference field="28" count="0"/>
        </references>
      </pivotArea>
    </format>
    <format dxfId="185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8" count="0" defaultSubtotal="1"/>
        </references>
      </pivotArea>
    </format>
    <format dxfId="186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8" count="0" defaultSubtotal="1"/>
        </references>
      </pivotArea>
    </format>
    <format dxfId="187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8" count="0" defaultSubtotal="1"/>
        </references>
      </pivotArea>
    </format>
    <format dxfId="188">
      <pivotArea dataOnly="0" labelOnly="1" outline="0" fieldPosition="0">
        <references count="2">
          <reference field="1" count="1" selected="0">
            <x v="1"/>
          </reference>
          <reference field="28" count="0"/>
        </references>
      </pivotArea>
    </format>
    <format dxfId="189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0" defaultSubtotal="1"/>
        </references>
      </pivotArea>
    </format>
    <format dxfId="190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0" defaultSubtotal="1"/>
        </references>
      </pivotArea>
    </format>
    <format dxfId="191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0" defaultSubtotal="1"/>
        </references>
      </pivotArea>
    </format>
    <format dxfId="192">
      <pivotArea dataOnly="0" labelOnly="1" outline="0" fieldPosition="0">
        <references count="3">
          <reference field="1" count="1" selected="0">
            <x v="0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93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94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9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96">
      <pivotArea dataOnly="0" labelOnly="1" outline="0" fieldPosition="0">
        <references count="3">
          <reference field="1" count="1" selected="0">
            <x v="0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197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98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99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200">
      <pivotArea dataOnly="0" labelOnly="1" outline="0" fieldPosition="0">
        <references count="3">
          <reference field="1" count="1" selected="0">
            <x v="1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01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02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03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04">
      <pivotArea dataOnly="0" labelOnly="1" outline="0" fieldPosition="0">
        <references count="3">
          <reference field="1" count="1" selected="0">
            <x v="1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205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206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207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208">
      <pivotArea dataOnly="0" labelOnly="1" outline="0" fieldPosition="0">
        <references count="4">
          <reference field="1" count="1" selected="0">
            <x v="0"/>
          </reference>
          <reference field="25" count="3">
            <x v="0"/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09">
      <pivotArea dataOnly="0" labelOnly="1" outline="0" fieldPosition="0">
        <references count="4">
          <reference field="1" count="1" selected="0">
            <x v="0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10">
      <pivotArea dataOnly="0" labelOnly="1" outline="0" fieldPosition="0">
        <references count="4">
          <reference field="1" count="1" selected="0">
            <x v="0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11">
      <pivotArea dataOnly="0" labelOnly="1" outline="0" fieldPosition="0">
        <references count="4">
          <reference field="1" count="1" selected="0">
            <x v="0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12">
      <pivotArea dataOnly="0" labelOnly="1" outline="0" fieldPosition="0">
        <references count="4">
          <reference field="1" count="1" selected="0">
            <x v="0"/>
          </reference>
          <reference field="25" count="3">
            <x v="12"/>
            <x v="13"/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213">
      <pivotArea dataOnly="0" labelOnly="1" outline="0" fieldPosition="0">
        <references count="4">
          <reference field="1" count="1" selected="0">
            <x v="1"/>
          </reference>
          <reference field="25" count="1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14">
      <pivotArea dataOnly="0" labelOnly="1" outline="0" fieldPosition="0">
        <references count="4">
          <reference field="1" count="1" selected="0">
            <x v="1"/>
          </reference>
          <reference field="25" count="1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15">
      <pivotArea dataOnly="0" labelOnly="1" outline="0" fieldPosition="0">
        <references count="4">
          <reference field="1" count="1" selected="0">
            <x v="1"/>
          </reference>
          <reference field="25" count="1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16">
      <pivotArea dataOnly="0" labelOnly="1" outline="0" fieldPosition="0">
        <references count="4">
          <reference field="1" count="1" selected="0">
            <x v="1"/>
          </reference>
          <reference field="25" count="1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17">
      <pivotArea dataOnly="0" labelOnly="1" outline="0" fieldPosition="0">
        <references count="4">
          <reference field="1" count="1" selected="0">
            <x v="1"/>
          </reference>
          <reference field="25" count="1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21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1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2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2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2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2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2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2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2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2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2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2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3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23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23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23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3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3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3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3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238">
      <pivotArea outline="0" collapsedLevelsAreSubtotals="1" fieldPosition="0">
        <references count="1">
          <reference field="1" count="1" selected="0" defaultSubtotal="1">
            <x v="0"/>
          </reference>
        </references>
      </pivotArea>
    </format>
    <format dxfId="239">
      <pivotArea outline="0" collapsedLevelsAreSubtotals="1" fieldPosition="0">
        <references count="2">
          <reference field="1" count="1" selected="0">
            <x v="1"/>
          </reference>
          <reference field="28" count="0" selected="0" defaultSubtotal="1"/>
        </references>
      </pivotArea>
    </format>
    <format dxfId="240">
      <pivotArea field="1" type="button" dataOnly="0" labelOnly="1" outline="0" fieldPosition="0"/>
    </format>
    <format dxfId="241">
      <pivotArea field="28" type="button" dataOnly="0" labelOnly="1" outline="0" fieldPosition="0"/>
    </format>
    <format dxfId="242">
      <pivotArea field="26" type="button" dataOnly="0" labelOnly="1" outline="0" fieldPosition="0"/>
    </format>
    <format dxfId="243">
      <pivotArea field="25" type="button" dataOnly="0" labelOnly="1" outline="0" fieldPosition="0"/>
    </format>
    <format dxfId="244">
      <pivotArea field="-2" type="button" dataOnly="0" labelOnly="1" outline="0" fieldPosition="0"/>
    </format>
    <format dxfId="245">
      <pivotArea type="topRight" dataOnly="0" labelOnly="1" outline="0" fieldPosition="0"/>
    </format>
    <format dxfId="246">
      <pivotArea field="6" type="button" dataOnly="0" labelOnly="1" outline="0" fieldPosition="0"/>
    </format>
    <format dxfId="247">
      <pivotArea field="12" type="button" dataOnly="0" labelOnly="1" outline="0" fieldPosition="0"/>
    </format>
    <format dxfId="248">
      <pivotArea field="11" type="button" dataOnly="0" labelOnly="1" outline="0" fieldPosition="0"/>
    </format>
    <format dxfId="249">
      <pivotArea dataOnly="0" labelOnly="1" outline="0" fieldPosition="0">
        <references count="1">
          <reference field="1" count="0"/>
        </references>
      </pivotArea>
    </format>
    <format dxfId="250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251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252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253">
      <pivotArea dataOnly="0" labelOnly="1" outline="0" fieldPosition="0">
        <references count="2">
          <reference field="1" count="1" selected="0">
            <x v="0"/>
          </reference>
          <reference field="28" count="0"/>
        </references>
      </pivotArea>
    </format>
    <format dxfId="254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8" count="0" defaultSubtotal="1"/>
        </references>
      </pivotArea>
    </format>
    <format dxfId="255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8" count="0" defaultSubtotal="1"/>
        </references>
      </pivotArea>
    </format>
    <format dxfId="256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8" count="0" defaultSubtotal="1"/>
        </references>
      </pivotArea>
    </format>
    <format dxfId="257">
      <pivotArea dataOnly="0" labelOnly="1" outline="0" fieldPosition="0">
        <references count="2">
          <reference field="1" count="1" selected="0">
            <x v="1"/>
          </reference>
          <reference field="28" count="0"/>
        </references>
      </pivotArea>
    </format>
    <format dxfId="258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0" defaultSubtotal="1"/>
        </references>
      </pivotArea>
    </format>
    <format dxfId="259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0" defaultSubtotal="1"/>
        </references>
      </pivotArea>
    </format>
    <format dxfId="260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0" defaultSubtotal="1"/>
        </references>
      </pivotArea>
    </format>
    <format dxfId="261">
      <pivotArea dataOnly="0" labelOnly="1" outline="0" fieldPosition="0">
        <references count="3">
          <reference field="1" count="1" selected="0">
            <x v="0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62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63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64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65">
      <pivotArea dataOnly="0" labelOnly="1" outline="0" fieldPosition="0">
        <references count="3">
          <reference field="1" count="1" selected="0">
            <x v="0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266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267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268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269">
      <pivotArea dataOnly="0" labelOnly="1" outline="0" fieldPosition="0">
        <references count="3">
          <reference field="1" count="1" selected="0">
            <x v="1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70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71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72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73">
      <pivotArea dataOnly="0" labelOnly="1" outline="0" fieldPosition="0">
        <references count="3">
          <reference field="1" count="1" selected="0">
            <x v="1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274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275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276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277">
      <pivotArea dataOnly="0" labelOnly="1" outline="0" fieldPosition="0">
        <references count="4">
          <reference field="1" count="1" selected="0">
            <x v="0"/>
          </reference>
          <reference field="25" count="3">
            <x v="0"/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78">
      <pivotArea dataOnly="0" labelOnly="1" outline="0" fieldPosition="0">
        <references count="4">
          <reference field="1" count="1" selected="0">
            <x v="0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79">
      <pivotArea dataOnly="0" labelOnly="1" outline="0" fieldPosition="0">
        <references count="4">
          <reference field="1" count="1" selected="0">
            <x v="0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80">
      <pivotArea dataOnly="0" labelOnly="1" outline="0" fieldPosition="0">
        <references count="4">
          <reference field="1" count="1" selected="0">
            <x v="0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81">
      <pivotArea dataOnly="0" labelOnly="1" outline="0" fieldPosition="0">
        <references count="4">
          <reference field="1" count="1" selected="0">
            <x v="0"/>
          </reference>
          <reference field="25" count="3">
            <x v="12"/>
            <x v="13"/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282">
      <pivotArea dataOnly="0" labelOnly="1" outline="0" fieldPosition="0">
        <references count="4">
          <reference field="1" count="1" selected="0">
            <x v="1"/>
          </reference>
          <reference field="25" count="1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83">
      <pivotArea dataOnly="0" labelOnly="1" outline="0" fieldPosition="0">
        <references count="4">
          <reference field="1" count="1" selected="0">
            <x v="1"/>
          </reference>
          <reference field="25" count="1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84">
      <pivotArea dataOnly="0" labelOnly="1" outline="0" fieldPosition="0">
        <references count="4">
          <reference field="1" count="1" selected="0">
            <x v="1"/>
          </reference>
          <reference field="25" count="1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85">
      <pivotArea dataOnly="0" labelOnly="1" outline="0" fieldPosition="0">
        <references count="4">
          <reference field="1" count="1" selected="0">
            <x v="1"/>
          </reference>
          <reference field="25" count="1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86">
      <pivotArea dataOnly="0" labelOnly="1" outline="0" fieldPosition="0">
        <references count="4">
          <reference field="1" count="1" selected="0">
            <x v="1"/>
          </reference>
          <reference field="25" count="1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28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8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8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9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9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9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9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9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9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9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9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9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9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30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30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30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30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30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30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30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307">
      <pivotArea field="6" type="button" dataOnly="0" labelOnly="1" outline="0" fieldPosition="0"/>
    </format>
    <format dxfId="308">
      <pivotArea field="12" type="button" dataOnly="0" labelOnly="1" outline="0" fieldPosition="0"/>
    </format>
    <format dxfId="309">
      <pivotArea field="11" type="button" dataOnly="0" labelOnly="1" outline="0" fieldPosition="0"/>
    </format>
    <format dxfId="310">
      <pivotArea dataOnly="0" labelOnly="1" outline="0" fieldPosition="0">
        <references count="1">
          <reference field="1" count="0"/>
        </references>
      </pivotArea>
    </format>
    <format dxfId="311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312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313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314">
      <pivotArea dataOnly="0" labelOnly="1" outline="0" fieldPosition="0">
        <references count="2">
          <reference field="1" count="1" selected="0">
            <x v="0"/>
          </reference>
          <reference field="28" count="0"/>
        </references>
      </pivotArea>
    </format>
    <format dxfId="315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8" count="0" defaultSubtotal="1"/>
        </references>
      </pivotArea>
    </format>
    <format dxfId="316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8" count="0" defaultSubtotal="1"/>
        </references>
      </pivotArea>
    </format>
    <format dxfId="317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8" count="0" defaultSubtotal="1"/>
        </references>
      </pivotArea>
    </format>
    <format dxfId="318">
      <pivotArea dataOnly="0" labelOnly="1" outline="0" fieldPosition="0">
        <references count="2">
          <reference field="1" count="1" selected="0">
            <x v="1"/>
          </reference>
          <reference field="28" count="0"/>
        </references>
      </pivotArea>
    </format>
    <format dxfId="319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0" defaultSubtotal="1"/>
        </references>
      </pivotArea>
    </format>
    <format dxfId="320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0" defaultSubtotal="1"/>
        </references>
      </pivotArea>
    </format>
    <format dxfId="321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0" defaultSubtotal="1"/>
        </references>
      </pivotArea>
    </format>
    <format dxfId="322">
      <pivotArea dataOnly="0" labelOnly="1" outline="0" fieldPosition="0">
        <references count="3">
          <reference field="1" count="1" selected="0">
            <x v="0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323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324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32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326">
      <pivotArea dataOnly="0" labelOnly="1" outline="0" fieldPosition="0">
        <references count="3">
          <reference field="1" count="1" selected="0">
            <x v="0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327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328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329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330">
      <pivotArea dataOnly="0" labelOnly="1" outline="0" fieldPosition="0">
        <references count="3">
          <reference field="1" count="1" selected="0">
            <x v="1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331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332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333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334">
      <pivotArea dataOnly="0" labelOnly="1" outline="0" fieldPosition="0">
        <references count="3">
          <reference field="1" count="1" selected="0">
            <x v="1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335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336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337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338">
      <pivotArea dataOnly="0" labelOnly="1" outline="0" fieldPosition="0">
        <references count="4">
          <reference field="1" count="1" selected="0">
            <x v="0"/>
          </reference>
          <reference field="25" count="3">
            <x v="0"/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339">
      <pivotArea dataOnly="0" labelOnly="1" outline="0" fieldPosition="0">
        <references count="4">
          <reference field="1" count="1" selected="0">
            <x v="0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340">
      <pivotArea dataOnly="0" labelOnly="1" outline="0" fieldPosition="0">
        <references count="4">
          <reference field="1" count="1" selected="0">
            <x v="0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341">
      <pivotArea dataOnly="0" labelOnly="1" outline="0" fieldPosition="0">
        <references count="4">
          <reference field="1" count="1" selected="0">
            <x v="0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342">
      <pivotArea dataOnly="0" labelOnly="1" outline="0" fieldPosition="0">
        <references count="4">
          <reference field="1" count="1" selected="0">
            <x v="0"/>
          </reference>
          <reference field="25" count="3">
            <x v="12"/>
            <x v="13"/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343">
      <pivotArea dataOnly="0" labelOnly="1" outline="0" fieldPosition="0">
        <references count="4">
          <reference field="1" count="1" selected="0">
            <x v="1"/>
          </reference>
          <reference field="25" count="1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344">
      <pivotArea dataOnly="0" labelOnly="1" outline="0" fieldPosition="0">
        <references count="4">
          <reference field="1" count="1" selected="0">
            <x v="1"/>
          </reference>
          <reference field="25" count="1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345">
      <pivotArea dataOnly="0" labelOnly="1" outline="0" fieldPosition="0">
        <references count="4">
          <reference field="1" count="1" selected="0">
            <x v="1"/>
          </reference>
          <reference field="25" count="1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346">
      <pivotArea dataOnly="0" labelOnly="1" outline="0" fieldPosition="0">
        <references count="4">
          <reference field="1" count="1" selected="0">
            <x v="1"/>
          </reference>
          <reference field="25" count="1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347">
      <pivotArea dataOnly="0" labelOnly="1" outline="0" fieldPosition="0">
        <references count="4">
          <reference field="1" count="1" selected="0">
            <x v="1"/>
          </reference>
          <reference field="25" count="1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34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34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35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35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35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35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35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35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35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35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35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35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36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36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36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36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36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36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36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36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368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369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370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371">
      <pivotArea dataOnly="0" labelOnly="1" outline="0" fieldPosition="0">
        <references count="2">
          <reference field="4294967294" count="1" selected="0">
            <x v="2"/>
          </reference>
          <reference field="1" count="1" defaultSubtotal="1">
            <x v="1"/>
          </reference>
        </references>
      </pivotArea>
    </format>
    <format dxfId="372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373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374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37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376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377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378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379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380">
      <pivotArea dataOnly="0" labelOnly="1" outline="0" fieldPosition="0">
        <references count="1">
          <reference field="1" count="1">
            <x v="0"/>
          </reference>
        </references>
      </pivotArea>
    </format>
    <format dxfId="381">
      <pivotArea dataOnly="0" labelOnly="1" outline="0" fieldPosition="0">
        <references count="2">
          <reference field="1" count="1">
            <x v="1"/>
          </reference>
          <reference field="28" count="1" selected="0">
            <x v="0"/>
          </reference>
        </references>
      </pivotArea>
    </format>
    <format dxfId="382">
      <pivotArea dataOnly="0" labelOnly="1" outline="0" fieldPosition="0">
        <references count="1">
          <reference field="28" count="1">
            <x v="1"/>
          </reference>
        </references>
      </pivotArea>
    </format>
    <format dxfId="383">
      <pivotArea dataOnly="0" labelOnly="1" outline="0" fieldPosition="0">
        <references count="1">
          <reference field="28" count="1">
            <x v="1"/>
          </reference>
        </references>
      </pivotArea>
    </format>
    <format dxfId="384">
      <pivotArea dataOnly="0" labelOnly="1" outline="0" fieldPosition="0">
        <references count="3">
          <reference field="4294967294" count="1" selected="0">
            <x v="0"/>
          </reference>
          <reference field="1" count="1" defaultSubtotal="1">
            <x v="1"/>
          </reference>
          <reference field="28" count="1" selected="0">
            <x v="1"/>
          </reference>
        </references>
      </pivotArea>
    </format>
    <format dxfId="385">
      <pivotArea dataOnly="0" labelOnly="1" outline="0" fieldPosition="0">
        <references count="3">
          <reference field="4294967294" count="1" selected="0">
            <x v="1"/>
          </reference>
          <reference field="1" count="1" defaultSubtotal="1">
            <x v="1"/>
          </reference>
          <reference field="28" count="1" selected="0">
            <x v="1"/>
          </reference>
        </references>
      </pivotArea>
    </format>
    <format dxfId="386">
      <pivotArea dataOnly="0" labelOnly="1" outline="0" fieldPosition="0">
        <references count="3">
          <reference field="4294967294" count="1" selected="0">
            <x v="2"/>
          </reference>
          <reference field="1" count="1" defaultSubtotal="1">
            <x v="1"/>
          </reference>
          <reference field="28" count="1" selected="0">
            <x v="1"/>
          </reference>
        </references>
      </pivotArea>
    </format>
    <format dxfId="387">
      <pivotArea dataOnly="0" labelOnly="1" outline="0" fieldPosition="0">
        <references count="3">
          <reference field="4294967294" count="1" selected="0">
            <x v="0"/>
          </reference>
          <reference field="1" count="1" defaultSubtotal="1">
            <x v="1"/>
          </reference>
          <reference field="28" count="1" selected="0">
            <x v="1"/>
          </reference>
        </references>
      </pivotArea>
    </format>
    <format dxfId="388">
      <pivotArea dataOnly="0" labelOnly="1" outline="0" fieldPosition="0">
        <references count="3">
          <reference field="4294967294" count="1" selected="0">
            <x v="1"/>
          </reference>
          <reference field="1" count="1" defaultSubtotal="1">
            <x v="1"/>
          </reference>
          <reference field="28" count="1" selected="0">
            <x v="1"/>
          </reference>
        </references>
      </pivotArea>
    </format>
    <format dxfId="389">
      <pivotArea dataOnly="0" labelOnly="1" outline="0" fieldPosition="0">
        <references count="3">
          <reference field="4294967294" count="1" selected="0">
            <x v="2"/>
          </reference>
          <reference field="1" count="1" defaultSubtotal="1">
            <x v="1"/>
          </reference>
          <reference field="28" count="1" selected="0">
            <x v="1"/>
          </reference>
        </references>
      </pivotArea>
    </format>
    <format dxfId="390">
      <pivotArea field="6" type="button" dataOnly="0" labelOnly="1" outline="0" fieldPosition="0"/>
    </format>
    <format dxfId="391">
      <pivotArea field="12" type="button" dataOnly="0" labelOnly="1" outline="0" fieldPosition="0"/>
    </format>
    <format dxfId="392">
      <pivotArea field="11" type="button" dataOnly="0" labelOnly="1" outline="0" fieldPosition="0"/>
    </format>
    <format dxfId="393">
      <pivotArea dataOnly="0" labelOnly="1" outline="0" fieldPosition="0">
        <references count="3">
          <reference field="4294967294" count="1" selected="0">
            <x v="0"/>
          </reference>
          <reference field="1" count="1" defaultSubtotal="1">
            <x v="1"/>
          </reference>
          <reference field="28" count="1" selected="0">
            <x v="0"/>
          </reference>
        </references>
      </pivotArea>
    </format>
    <format dxfId="394">
      <pivotArea dataOnly="0" labelOnly="1" outline="0" fieldPosition="0">
        <references count="3">
          <reference field="4294967294" count="1" selected="0">
            <x v="1"/>
          </reference>
          <reference field="1" count="1" defaultSubtotal="1">
            <x v="1"/>
          </reference>
          <reference field="28" count="1" selected="0">
            <x v="0"/>
          </reference>
        </references>
      </pivotArea>
    </format>
    <format dxfId="395">
      <pivotArea dataOnly="0" labelOnly="1" outline="0" fieldPosition="0">
        <references count="3">
          <reference field="4294967294" count="1" selected="0">
            <x v="2"/>
          </reference>
          <reference field="1" count="1" defaultSubtotal="1">
            <x v="1"/>
          </reference>
          <reference field="28" count="1" selected="0">
            <x v="0"/>
          </reference>
        </references>
      </pivotArea>
    </format>
    <format dxfId="396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1" count="1" selected="0" defaultSubtotal="1">
            <x v="1"/>
          </reference>
          <reference field="28" count="1" selected="0">
            <x v="0"/>
          </reference>
        </references>
      </pivotArea>
    </format>
    <format dxfId="397">
      <pivotArea outline="0" collapsedLevelsAreSubtotals="1" fieldPosition="0">
        <references count="4">
          <reference field="4294967294" count="3" selected="0">
            <x v="0"/>
            <x v="1"/>
            <x v="2"/>
          </reference>
          <reference field="1" count="1" selected="0">
            <x v="1"/>
          </reference>
          <reference field="26" count="1" selected="0" defaultSubtotal="1">
            <x v="4"/>
          </reference>
          <reference field="28" count="1" selected="0">
            <x v="0"/>
          </reference>
        </references>
      </pivotArea>
    </format>
    <format dxfId="398">
      <pivotArea outline="0" collapsedLevelsAreSubtotals="1" fieldPosition="0">
        <references count="4">
          <reference field="4294967294" count="3" selected="0">
            <x v="0"/>
            <x v="1"/>
            <x v="2"/>
          </reference>
          <reference field="1" count="1" selected="0">
            <x v="1"/>
          </reference>
          <reference field="26" count="1" selected="0" defaultSubtotal="1">
            <x v="3"/>
          </reference>
          <reference field="28" count="1" selected="0">
            <x v="0"/>
          </reference>
        </references>
      </pivotArea>
    </format>
    <format dxfId="399">
      <pivotArea outline="0" collapsedLevelsAreSubtotals="1" fieldPosition="0">
        <references count="4">
          <reference field="4294967294" count="3" selected="0">
            <x v="0"/>
            <x v="1"/>
            <x v="2"/>
          </reference>
          <reference field="1" count="1" selected="0">
            <x v="1"/>
          </reference>
          <reference field="26" count="1" selected="0" defaultSubtotal="1">
            <x v="2"/>
          </reference>
          <reference field="28" count="1" selected="0">
            <x v="0"/>
          </reference>
        </references>
      </pivotArea>
    </format>
    <format dxfId="400">
      <pivotArea outline="0" collapsedLevelsAreSubtotals="1" fieldPosition="0">
        <references count="4">
          <reference field="4294967294" count="3" selected="0">
            <x v="0"/>
            <x v="1"/>
            <x v="2"/>
          </reference>
          <reference field="1" count="1" selected="0">
            <x v="1"/>
          </reference>
          <reference field="26" count="1" selected="0" defaultSubtotal="1">
            <x v="0"/>
          </reference>
          <reference field="28" count="1" selected="0">
            <x v="0"/>
          </reference>
        </references>
      </pivotArea>
    </format>
    <format dxfId="401">
      <pivotArea outline="0" collapsedLevelsAreSubtotals="1" fieldPosition="0">
        <references count="4">
          <reference field="4294967294" count="3" selected="0">
            <x v="0"/>
            <x v="1"/>
            <x v="2"/>
          </reference>
          <reference field="1" count="1" selected="0">
            <x v="0"/>
          </reference>
          <reference field="26" count="1" selected="0" defaultSubtotal="1">
            <x v="4"/>
          </reference>
          <reference field="28" count="1" selected="0">
            <x v="0"/>
          </reference>
        </references>
      </pivotArea>
    </format>
    <format dxfId="402">
      <pivotArea outline="0" collapsedLevelsAreSubtotals="1" fieldPosition="0">
        <references count="4">
          <reference field="4294967294" count="3" selected="0">
            <x v="0"/>
            <x v="1"/>
            <x v="2"/>
          </reference>
          <reference field="1" count="1" selected="0">
            <x v="0"/>
          </reference>
          <reference field="26" count="1" selected="0" defaultSubtotal="1">
            <x v="3"/>
          </reference>
          <reference field="28" count="1" selected="0">
            <x v="0"/>
          </reference>
        </references>
      </pivotArea>
    </format>
    <format dxfId="403">
      <pivotArea outline="0" collapsedLevelsAreSubtotals="1" fieldPosition="0">
        <references count="4">
          <reference field="4294967294" count="3" selected="0">
            <x v="0"/>
            <x v="1"/>
            <x v="2"/>
          </reference>
          <reference field="1" count="1" selected="0">
            <x v="0"/>
          </reference>
          <reference field="26" count="1" selected="0" defaultSubtotal="1">
            <x v="0"/>
          </reference>
          <reference field="28" count="1" selected="0">
            <x v="0"/>
          </reference>
        </references>
      </pivotArea>
    </format>
    <format dxfId="404">
      <pivotArea dataOnly="0" labelOnly="1" outline="0" fieldPosition="0">
        <references count="3">
          <reference field="4294967294" count="1" selected="0">
            <x v="0"/>
          </reference>
          <reference field="1" count="1" defaultSubtotal="1">
            <x v="0"/>
          </reference>
          <reference field="28" count="1" selected="0">
            <x v="0"/>
          </reference>
        </references>
      </pivotArea>
    </format>
    <format dxfId="405">
      <pivotArea dataOnly="0" labelOnly="1" outline="0" fieldPosition="0">
        <references count="3">
          <reference field="4294967294" count="1" selected="0">
            <x v="1"/>
          </reference>
          <reference field="1" count="1" defaultSubtotal="1">
            <x v="0"/>
          </reference>
          <reference field="28" count="1" selected="0">
            <x v="0"/>
          </reference>
        </references>
      </pivotArea>
    </format>
    <format dxfId="406">
      <pivotArea dataOnly="0" labelOnly="1" outline="0" fieldPosition="0">
        <references count="3">
          <reference field="4294967294" count="1" selected="0">
            <x v="2"/>
          </reference>
          <reference field="1" count="1" defaultSubtotal="1">
            <x v="0"/>
          </reference>
          <reference field="28" count="1" selected="0">
            <x v="0"/>
          </reference>
        </references>
      </pivotArea>
    </format>
    <format dxfId="407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1" count="1" selected="0" defaultSubtotal="1">
            <x v="0"/>
          </reference>
          <reference field="28" count="1" selected="0">
            <x v="0"/>
          </reference>
        </references>
      </pivotArea>
    </format>
    <format dxfId="408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409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410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411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412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413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414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415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416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417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418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419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420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421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422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423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424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42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426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427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428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429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430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431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432">
      <pivotArea dataOnly="0" labelOnly="1" outline="0" fieldPosition="0">
        <references count="3">
          <reference field="4294967294" count="1" selected="0">
            <x v="0"/>
          </reference>
          <reference field="1" count="1" defaultSubtotal="1">
            <x v="0"/>
          </reference>
          <reference field="28" count="1" selected="0">
            <x v="0"/>
          </reference>
        </references>
      </pivotArea>
    </format>
    <format dxfId="433">
      <pivotArea dataOnly="0" labelOnly="1" outline="0" fieldPosition="0">
        <references count="3">
          <reference field="4294967294" count="1" selected="0">
            <x v="1"/>
          </reference>
          <reference field="1" count="1" defaultSubtotal="1">
            <x v="0"/>
          </reference>
          <reference field="28" count="1" selected="0">
            <x v="0"/>
          </reference>
        </references>
      </pivotArea>
    </format>
    <format dxfId="434">
      <pivotArea dataOnly="0" labelOnly="1" outline="0" fieldPosition="0">
        <references count="3">
          <reference field="4294967294" count="1" selected="0">
            <x v="2"/>
          </reference>
          <reference field="1" count="1" defaultSubtotal="1">
            <x v="0"/>
          </reference>
          <reference field="28" count="1" selected="0">
            <x v="0"/>
          </reference>
        </references>
      </pivotArea>
    </format>
    <format dxfId="435">
      <pivotArea dataOnly="0" labelOnly="1" outline="0" fieldPosition="0">
        <references count="2">
          <reference field="1" count="1">
            <x v="0"/>
          </reference>
          <reference field="28" count="1" selected="0">
            <x v="0"/>
          </reference>
        </references>
      </pivotArea>
    </format>
    <format dxfId="436">
      <pivotArea field="6" type="button" dataOnly="0" labelOnly="1" outline="0" fieldPosition="0"/>
    </format>
    <format dxfId="437">
      <pivotArea field="12" type="button" dataOnly="0" labelOnly="1" outline="0" fieldPosition="0"/>
    </format>
    <format dxfId="438">
      <pivotArea field="11" type="button" dataOnly="0" labelOnly="1" outline="0" fieldPosition="0"/>
    </format>
    <format dxfId="439">
      <pivotArea field="6" type="button" dataOnly="0" labelOnly="1" outline="0" fieldPosition="0"/>
    </format>
    <format dxfId="440">
      <pivotArea field="12" type="button" dataOnly="0" labelOnly="1" outline="0" fieldPosition="0"/>
    </format>
    <format dxfId="441">
      <pivotArea field="11" type="button" dataOnly="0" labelOnly="1" outline="0" fieldPosition="0"/>
    </format>
    <format dxfId="442">
      <pivotArea dataOnly="0" labelOnly="1" outline="0" fieldPosition="0">
        <references count="2">
          <reference field="4294967294" count="1" selected="0">
            <x v="2"/>
          </reference>
          <reference field="28" count="0" defaultSubtotal="1"/>
        </references>
      </pivotArea>
    </format>
    <format dxfId="443">
      <pivotArea dataOnly="0" labelOnly="1" outline="0" fieldPosition="0">
        <references count="2">
          <reference field="4294967294" count="1" selected="0">
            <x v="0"/>
          </reference>
          <reference field="28" count="0" defaultSubtotal="1"/>
        </references>
      </pivotArea>
    </format>
    <format dxfId="444">
      <pivotArea dataOnly="0" labelOnly="1" outline="0" fieldPosition="0">
        <references count="2">
          <reference field="4294967294" count="1" selected="0">
            <x v="1"/>
          </reference>
          <reference field="28" count="0" defaultSubtotal="1"/>
        </references>
      </pivotArea>
    </format>
    <format dxfId="445">
      <pivotArea dataOnly="0" labelOnly="1" outline="0" fieldPosition="0">
        <references count="2">
          <reference field="4294967294" count="1" selected="0">
            <x v="2"/>
          </reference>
          <reference field="28" count="1" defaultSubtotal="1">
            <x v="1"/>
          </reference>
        </references>
      </pivotArea>
    </format>
    <format dxfId="446">
      <pivotArea dataOnly="0" labelOnly="1" outline="0" fieldPosition="0">
        <references count="3">
          <reference field="4294967294" count="1" selected="0">
            <x v="2"/>
          </reference>
          <reference field="1" count="0" defaultSubtotal="1"/>
          <reference field="28" count="1" selected="0">
            <x v="0"/>
          </reference>
        </references>
      </pivotArea>
    </format>
    <format dxfId="447">
      <pivotArea dataOnly="0" labelOnly="1" outline="0" fieldPosition="0">
        <references count="3">
          <reference field="4294967294" count="1" selected="0">
            <x v="0"/>
          </reference>
          <reference field="1" count="0" defaultSubtotal="1"/>
          <reference field="28" count="1" selected="0">
            <x v="0"/>
          </reference>
        </references>
      </pivotArea>
    </format>
    <format dxfId="448">
      <pivotArea dataOnly="0" labelOnly="1" outline="0" fieldPosition="0">
        <references count="3">
          <reference field="4294967294" count="1" selected="0">
            <x v="1"/>
          </reference>
          <reference field="1" count="0" defaultSubtotal="1"/>
          <reference field="28" count="1" selected="0">
            <x v="0"/>
          </reference>
        </references>
      </pivotArea>
    </format>
    <format dxfId="449">
      <pivotArea dataOnly="0" labelOnly="1" outline="0" fieldPosition="0">
        <references count="3">
          <reference field="4294967294" count="1" selected="0">
            <x v="2"/>
          </reference>
          <reference field="1" count="1" defaultSubtotal="1">
            <x v="1"/>
          </reference>
          <reference field="28" count="1" selected="0">
            <x v="0"/>
          </reference>
        </references>
      </pivotArea>
    </format>
    <format dxfId="450">
      <pivotArea dataOnly="0" labelOnly="1" outline="0" fieldPosition="0">
        <references count="3">
          <reference field="4294967294" count="1" selected="0">
            <x v="2"/>
          </reference>
          <reference field="1" count="0" defaultSubtotal="1"/>
          <reference field="28" count="1" selected="0">
            <x v="1"/>
          </reference>
        </references>
      </pivotArea>
    </format>
    <format dxfId="451">
      <pivotArea dataOnly="0" labelOnly="1" outline="0" fieldPosition="0">
        <references count="3">
          <reference field="4294967294" count="1" selected="0">
            <x v="0"/>
          </reference>
          <reference field="1" count="0" defaultSubtotal="1"/>
          <reference field="28" count="1" selected="0">
            <x v="1"/>
          </reference>
        </references>
      </pivotArea>
    </format>
    <format dxfId="452">
      <pivotArea dataOnly="0" labelOnly="1" outline="0" fieldPosition="0">
        <references count="3">
          <reference field="4294967294" count="1" selected="0">
            <x v="1"/>
          </reference>
          <reference field="1" count="0" defaultSubtotal="1"/>
          <reference field="28" count="1" selected="0">
            <x v="1"/>
          </reference>
        </references>
      </pivotArea>
    </format>
    <format dxfId="453">
      <pivotArea dataOnly="0" labelOnly="1" outline="0" fieldPosition="0">
        <references count="3">
          <reference field="4294967294" count="1" selected="0">
            <x v="2"/>
          </reference>
          <reference field="1" count="1" defaultSubtotal="1">
            <x v="1"/>
          </reference>
          <reference field="28" count="1" selected="0">
            <x v="1"/>
          </reference>
        </references>
      </pivotArea>
    </format>
    <format dxfId="454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455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456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457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458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459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460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461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462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1"/>
          </reference>
        </references>
      </pivotArea>
    </format>
    <format dxfId="463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1"/>
          </reference>
        </references>
      </pivotArea>
    </format>
    <format dxfId="464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1"/>
          </reference>
        </references>
      </pivotArea>
    </format>
    <format dxfId="46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466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467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468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469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47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47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47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47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47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47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47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47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47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47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48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48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48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48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48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48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48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48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48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48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490">
      <pivotArea dataOnly="0" labelOnly="1" outline="0" fieldPosition="0">
        <references count="3">
          <reference field="1" count="1" selected="0">
            <x v="0"/>
          </reference>
          <reference field="26" count="1">
            <x v="0"/>
          </reference>
          <reference field="28" count="1" selected="0">
            <x v="0"/>
          </reference>
        </references>
      </pivotArea>
    </format>
    <format dxfId="491">
      <pivotArea dataOnly="0" labelOnly="1" outline="0" fieldPosition="0">
        <references count="3">
          <reference field="1" count="1" selected="0">
            <x v="0"/>
          </reference>
          <reference field="26" count="1">
            <x v="2"/>
          </reference>
          <reference field="28" count="1" selected="0">
            <x v="0"/>
          </reference>
        </references>
      </pivotArea>
    </format>
    <format dxfId="492">
      <pivotArea dataOnly="0" labelOnly="1" outline="0" fieldPosition="0">
        <references count="3">
          <reference field="1" count="1" selected="0">
            <x v="0"/>
          </reference>
          <reference field="26" count="1">
            <x v="3"/>
          </reference>
          <reference field="28" count="1" selected="0">
            <x v="0"/>
          </reference>
        </references>
      </pivotArea>
    </format>
    <format dxfId="493">
      <pivotArea dataOnly="0" labelOnly="1" outline="0" fieldPosition="0">
        <references count="3">
          <reference field="1" count="1" selected="0">
            <x v="0"/>
          </reference>
          <reference field="26" count="1">
            <x v="4"/>
          </reference>
          <reference field="28" count="1" selected="0">
            <x v="0"/>
          </reference>
        </references>
      </pivotArea>
    </format>
    <format dxfId="494">
      <pivotArea dataOnly="0" labelOnly="1" outline="0" fieldPosition="0">
        <references count="4">
          <reference field="1" count="1" selected="0">
            <x v="0"/>
          </reference>
          <reference field="25" count="3">
            <x v="0"/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495">
      <pivotArea dataOnly="0" labelOnly="1" outline="0" fieldPosition="0">
        <references count="4">
          <reference field="1" count="1" selected="0">
            <x v="0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496">
      <pivotArea dataOnly="0" labelOnly="1" outline="0" fieldPosition="0">
        <references count="4">
          <reference field="1" count="1" selected="0">
            <x v="0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497">
      <pivotArea dataOnly="0" labelOnly="1" outline="0" fieldPosition="0">
        <references count="4">
          <reference field="1" count="1" selected="0">
            <x v="0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49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49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50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50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50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50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504">
      <pivotArea dataOnly="0" labelOnly="1" outline="0" fieldPosition="0">
        <references count="5">
          <reference field="4294967294" count="1">
            <x v="0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505">
      <pivotArea field="6" type="button" dataOnly="0" labelOnly="1" outline="0" fieldPosition="0"/>
    </format>
    <format dxfId="506">
      <pivotArea field="12" type="button" dataOnly="0" labelOnly="1" outline="0" fieldPosition="0"/>
    </format>
    <format dxfId="507">
      <pivotArea field="11" type="button" dataOnly="0" labelOnly="1" outline="0" fieldPosition="0"/>
    </format>
    <format dxfId="508">
      <pivotArea type="all" dataOnly="0" outline="0" fieldPosition="0"/>
    </format>
    <format dxfId="509">
      <pivotArea type="all" dataOnly="0" outline="0" fieldPosition="0"/>
    </format>
    <format dxfId="510">
      <pivotArea outline="0" collapsedLevelsAreSubtotals="1" fieldPosition="0"/>
    </format>
    <format dxfId="511">
      <pivotArea field="6" type="button" dataOnly="0" labelOnly="1" outline="0" fieldPosition="0"/>
    </format>
    <format dxfId="512">
      <pivotArea field="12" type="button" dataOnly="0" labelOnly="1" outline="0" fieldPosition="0"/>
    </format>
    <format dxfId="513">
      <pivotArea field="11" type="button" dataOnly="0" labelOnly="1" outline="0" fieldPosition="0"/>
    </format>
    <format dxfId="514">
      <pivotArea dataOnly="0" labelOnly="1" outline="0" fieldPosition="0">
        <references count="1">
          <reference field="6" count="0"/>
        </references>
      </pivotArea>
    </format>
    <format dxfId="515">
      <pivotArea dataOnly="0" labelOnly="1" grandRow="1" outline="0" fieldPosition="0"/>
    </format>
    <format dxfId="516">
      <pivotArea dataOnly="0" labelOnly="1" outline="0" fieldPosition="0">
        <references count="2">
          <reference field="6" count="1" selected="0">
            <x v="0"/>
          </reference>
          <reference field="12" count="0"/>
        </references>
      </pivotArea>
    </format>
    <format dxfId="517">
      <pivotArea dataOnly="0" labelOnly="1" outline="0" fieldPosition="0">
        <references count="3">
          <reference field="6" count="1" selected="0">
            <x v="0"/>
          </reference>
          <reference field="11" count="0"/>
          <reference field="12" count="0" selected="0"/>
        </references>
      </pivotArea>
    </format>
    <format dxfId="518">
      <pivotArea dataOnly="0" labelOnly="1" outline="0" fieldPosition="0">
        <references count="1">
          <reference field="28" count="0"/>
        </references>
      </pivotArea>
    </format>
    <format dxfId="519">
      <pivotArea dataOnly="0" labelOnly="1" outline="0" fieldPosition="0">
        <references count="2">
          <reference field="1" count="0"/>
          <reference field="28" count="1" selected="0">
            <x v="0"/>
          </reference>
        </references>
      </pivotArea>
    </format>
    <format dxfId="520">
      <pivotArea dataOnly="0" labelOnly="1" outline="0" fieldPosition="0">
        <references count="3">
          <reference field="4294967294" count="1" selected="0">
            <x v="0"/>
          </reference>
          <reference field="1" count="0" defaultSubtotal="1"/>
          <reference field="28" count="1" selected="0">
            <x v="0"/>
          </reference>
        </references>
      </pivotArea>
    </format>
    <format dxfId="521">
      <pivotArea dataOnly="0" labelOnly="1" outline="0" fieldPosition="0">
        <references count="3">
          <reference field="4294967294" count="1" selected="0">
            <x v="1"/>
          </reference>
          <reference field="1" count="0" defaultSubtotal="1"/>
          <reference field="28" count="1" selected="0">
            <x v="0"/>
          </reference>
        </references>
      </pivotArea>
    </format>
    <format dxfId="522">
      <pivotArea dataOnly="0" labelOnly="1" outline="0" fieldPosition="0">
        <references count="3">
          <reference field="4294967294" count="1" selected="0">
            <x v="2"/>
          </reference>
          <reference field="1" count="0" defaultSubtotal="1"/>
          <reference field="28" count="1" selected="0">
            <x v="0"/>
          </reference>
        </references>
      </pivotArea>
    </format>
    <format dxfId="523">
      <pivotArea dataOnly="0" labelOnly="1" outline="0" fieldPosition="0">
        <references count="2">
          <reference field="1" count="0"/>
          <reference field="28" count="1" selected="0">
            <x v="1"/>
          </reference>
        </references>
      </pivotArea>
    </format>
    <format dxfId="524">
      <pivotArea dataOnly="0" labelOnly="1" outline="0" fieldPosition="0">
        <references count="3">
          <reference field="4294967294" count="1" selected="0">
            <x v="0"/>
          </reference>
          <reference field="1" count="0" defaultSubtotal="1"/>
          <reference field="28" count="1" selected="0">
            <x v="1"/>
          </reference>
        </references>
      </pivotArea>
    </format>
    <format dxfId="525">
      <pivotArea dataOnly="0" labelOnly="1" outline="0" fieldPosition="0">
        <references count="3">
          <reference field="4294967294" count="1" selected="0">
            <x v="1"/>
          </reference>
          <reference field="1" count="0" defaultSubtotal="1"/>
          <reference field="28" count="1" selected="0">
            <x v="1"/>
          </reference>
        </references>
      </pivotArea>
    </format>
    <format dxfId="526">
      <pivotArea dataOnly="0" labelOnly="1" outline="0" fieldPosition="0">
        <references count="3">
          <reference field="4294967294" count="1" selected="0">
            <x v="2"/>
          </reference>
          <reference field="1" count="0" defaultSubtotal="1"/>
          <reference field="28" count="1" selected="0">
            <x v="1"/>
          </reference>
        </references>
      </pivotArea>
    </format>
    <format dxfId="527">
      <pivotArea dataOnly="0" labelOnly="1" outline="0" fieldPosition="0">
        <references count="3">
          <reference field="1" count="1" selected="0">
            <x v="0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528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529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530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531">
      <pivotArea dataOnly="0" labelOnly="1" outline="0" fieldPosition="0">
        <references count="3">
          <reference field="1" count="1" selected="0">
            <x v="1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532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533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534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535">
      <pivotArea dataOnly="0" labelOnly="1" outline="0" fieldPosition="0">
        <references count="3">
          <reference field="1" count="1" selected="0">
            <x v="0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536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537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538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539">
      <pivotArea dataOnly="0" labelOnly="1" outline="0" fieldPosition="0">
        <references count="3">
          <reference field="1" count="1" selected="0">
            <x v="1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540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541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542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543">
      <pivotArea dataOnly="0" labelOnly="1" outline="0" fieldPosition="0">
        <references count="4">
          <reference field="1" count="1" selected="0">
            <x v="0"/>
          </reference>
          <reference field="25" count="3">
            <x v="0"/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544">
      <pivotArea dataOnly="0" labelOnly="1" outline="0" fieldPosition="0">
        <references count="4">
          <reference field="1" count="1" selected="0">
            <x v="0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545">
      <pivotArea dataOnly="0" labelOnly="1" outline="0" fieldPosition="0">
        <references count="4">
          <reference field="1" count="1" selected="0">
            <x v="0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546">
      <pivotArea dataOnly="0" labelOnly="1" outline="0" fieldPosition="0">
        <references count="4">
          <reference field="1" count="1" selected="0">
            <x v="0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547">
      <pivotArea dataOnly="0" labelOnly="1" outline="0" fieldPosition="0">
        <references count="4">
          <reference field="1" count="1" selected="0">
            <x v="1"/>
          </reference>
          <reference field="25" count="1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548">
      <pivotArea dataOnly="0" labelOnly="1" outline="0" fieldPosition="0">
        <references count="4">
          <reference field="1" count="1" selected="0">
            <x v="1"/>
          </reference>
          <reference field="25" count="1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549">
      <pivotArea dataOnly="0" labelOnly="1" outline="0" fieldPosition="0">
        <references count="4">
          <reference field="1" count="1" selected="0">
            <x v="1"/>
          </reference>
          <reference field="25" count="1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550">
      <pivotArea dataOnly="0" labelOnly="1" outline="0" fieldPosition="0">
        <references count="4">
          <reference field="1" count="1" selected="0">
            <x v="1"/>
          </reference>
          <reference field="25" count="1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551">
      <pivotArea dataOnly="0" labelOnly="1" outline="0" fieldPosition="0">
        <references count="4">
          <reference field="1" count="1" selected="0">
            <x v="0"/>
          </reference>
          <reference field="25" count="3">
            <x v="12"/>
            <x v="13"/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552">
      <pivotArea dataOnly="0" labelOnly="1" outline="0" fieldPosition="0">
        <references count="4">
          <reference field="1" count="1" selected="0">
            <x v="1"/>
          </reference>
          <reference field="25" count="1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55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55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55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55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55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55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55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56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56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56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56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56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56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56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56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56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56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57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57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57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573">
      <pivotArea type="origin" dataOnly="0" labelOnly="1" outline="0" offset="A3:C5" fieldPosition="0"/>
    </format>
    <format dxfId="574">
      <pivotArea field="6" type="button" dataOnly="0" labelOnly="1" outline="0" fieldPosition="0"/>
    </format>
    <format dxfId="575">
      <pivotArea field="12" type="button" dataOnly="0" labelOnly="1" outline="0" fieldPosition="0"/>
    </format>
    <format dxfId="576">
      <pivotArea field="11" type="button" dataOnly="0" labelOnly="1" outline="0" fieldPosition="0"/>
    </format>
    <format dxfId="577">
      <pivotArea dataOnly="0" labelOnly="1" outline="0" fieldPosition="0">
        <references count="1">
          <reference field="28" count="0"/>
        </references>
      </pivotArea>
    </format>
    <format dxfId="578">
      <pivotArea dataOnly="0" labelOnly="1" outline="0" fieldPosition="0">
        <references count="2">
          <reference field="1" count="0"/>
          <reference field="28" count="1" selected="0">
            <x v="0"/>
          </reference>
        </references>
      </pivotArea>
    </format>
    <format dxfId="579">
      <pivotArea dataOnly="0" labelOnly="1" outline="0" fieldPosition="0">
        <references count="3">
          <reference field="4294967294" count="1" selected="0">
            <x v="0"/>
          </reference>
          <reference field="1" count="0" defaultSubtotal="1"/>
          <reference field="28" count="1" selected="0">
            <x v="0"/>
          </reference>
        </references>
      </pivotArea>
    </format>
    <format dxfId="580">
      <pivotArea dataOnly="0" labelOnly="1" outline="0" fieldPosition="0">
        <references count="3">
          <reference field="4294967294" count="1" selected="0">
            <x v="1"/>
          </reference>
          <reference field="1" count="0" defaultSubtotal="1"/>
          <reference field="28" count="1" selected="0">
            <x v="0"/>
          </reference>
        </references>
      </pivotArea>
    </format>
    <format dxfId="581">
      <pivotArea dataOnly="0" labelOnly="1" outline="0" fieldPosition="0">
        <references count="3">
          <reference field="4294967294" count="1" selected="0">
            <x v="2"/>
          </reference>
          <reference field="1" count="0" defaultSubtotal="1"/>
          <reference field="28" count="1" selected="0">
            <x v="0"/>
          </reference>
        </references>
      </pivotArea>
    </format>
    <format dxfId="582">
      <pivotArea dataOnly="0" labelOnly="1" outline="0" fieldPosition="0">
        <references count="2">
          <reference field="1" count="0"/>
          <reference field="28" count="1" selected="0">
            <x v="1"/>
          </reference>
        </references>
      </pivotArea>
    </format>
    <format dxfId="583">
      <pivotArea dataOnly="0" labelOnly="1" outline="0" fieldPosition="0">
        <references count="3">
          <reference field="4294967294" count="1" selected="0">
            <x v="0"/>
          </reference>
          <reference field="1" count="0" defaultSubtotal="1"/>
          <reference field="28" count="1" selected="0">
            <x v="1"/>
          </reference>
        </references>
      </pivotArea>
    </format>
    <format dxfId="584">
      <pivotArea dataOnly="0" labelOnly="1" outline="0" fieldPosition="0">
        <references count="3">
          <reference field="4294967294" count="1" selected="0">
            <x v="1"/>
          </reference>
          <reference field="1" count="0" defaultSubtotal="1"/>
          <reference field="28" count="1" selected="0">
            <x v="1"/>
          </reference>
        </references>
      </pivotArea>
    </format>
    <format dxfId="585">
      <pivotArea dataOnly="0" labelOnly="1" outline="0" fieldPosition="0">
        <references count="3">
          <reference field="4294967294" count="1" selected="0">
            <x v="2"/>
          </reference>
          <reference field="1" count="0" defaultSubtotal="1"/>
          <reference field="28" count="1" selected="0">
            <x v="1"/>
          </reference>
        </references>
      </pivotArea>
    </format>
    <format dxfId="586">
      <pivotArea dataOnly="0" labelOnly="1" outline="0" fieldPosition="0">
        <references count="3">
          <reference field="1" count="1" selected="0">
            <x v="0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587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588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589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590">
      <pivotArea dataOnly="0" labelOnly="1" outline="0" fieldPosition="0">
        <references count="3">
          <reference field="1" count="1" selected="0">
            <x v="1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591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592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593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594">
      <pivotArea dataOnly="0" labelOnly="1" outline="0" fieldPosition="0">
        <references count="3">
          <reference field="1" count="1" selected="0">
            <x v="0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595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596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597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598">
      <pivotArea dataOnly="0" labelOnly="1" outline="0" fieldPosition="0">
        <references count="3">
          <reference field="1" count="1" selected="0">
            <x v="1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599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600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601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602">
      <pivotArea dataOnly="0" labelOnly="1" outline="0" fieldPosition="0">
        <references count="4">
          <reference field="1" count="1" selected="0">
            <x v="0"/>
          </reference>
          <reference field="25" count="3">
            <x v="0"/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603">
      <pivotArea dataOnly="0" labelOnly="1" outline="0" fieldPosition="0">
        <references count="4">
          <reference field="1" count="1" selected="0">
            <x v="0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604">
      <pivotArea dataOnly="0" labelOnly="1" outline="0" fieldPosition="0">
        <references count="4">
          <reference field="1" count="1" selected="0">
            <x v="0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605">
      <pivotArea dataOnly="0" labelOnly="1" outline="0" fieldPosition="0">
        <references count="4">
          <reference field="1" count="1" selected="0">
            <x v="0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606">
      <pivotArea dataOnly="0" labelOnly="1" outline="0" fieldPosition="0">
        <references count="4">
          <reference field="1" count="1" selected="0">
            <x v="1"/>
          </reference>
          <reference field="25" count="1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607">
      <pivotArea dataOnly="0" labelOnly="1" outline="0" fieldPosition="0">
        <references count="4">
          <reference field="1" count="1" selected="0">
            <x v="1"/>
          </reference>
          <reference field="25" count="1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608">
      <pivotArea dataOnly="0" labelOnly="1" outline="0" fieldPosition="0">
        <references count="4">
          <reference field="1" count="1" selected="0">
            <x v="1"/>
          </reference>
          <reference field="25" count="1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609">
      <pivotArea dataOnly="0" labelOnly="1" outline="0" fieldPosition="0">
        <references count="4">
          <reference field="1" count="1" selected="0">
            <x v="1"/>
          </reference>
          <reference field="25" count="1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610">
      <pivotArea dataOnly="0" labelOnly="1" outline="0" fieldPosition="0">
        <references count="4">
          <reference field="1" count="1" selected="0">
            <x v="0"/>
          </reference>
          <reference field="25" count="3">
            <x v="12"/>
            <x v="13"/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611">
      <pivotArea dataOnly="0" labelOnly="1" outline="0" fieldPosition="0">
        <references count="4">
          <reference field="1" count="1" selected="0">
            <x v="1"/>
          </reference>
          <reference field="25" count="1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61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61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61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61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61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61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61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61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62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62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62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62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62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62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62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62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62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62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63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63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632">
      <pivotArea type="all" dataOnly="0" outline="0" fieldPosition="0"/>
    </format>
    <format dxfId="633">
      <pivotArea type="origin" dataOnly="0" labelOnly="1" outline="0" fieldPosition="0"/>
    </format>
    <format dxfId="634">
      <pivotArea field="1" type="button" dataOnly="0" labelOnly="1" outline="0" fieldPosition="0"/>
    </format>
    <format dxfId="635">
      <pivotArea field="28" type="button" dataOnly="0" labelOnly="1" outline="0" fieldPosition="0"/>
    </format>
    <format dxfId="636">
      <pivotArea field="26" type="button" dataOnly="0" labelOnly="1" outline="0" fieldPosition="0"/>
    </format>
    <format dxfId="637">
      <pivotArea field="25" type="button" dataOnly="0" labelOnly="1" outline="0" fieldPosition="0"/>
    </format>
    <format dxfId="638">
      <pivotArea field="-2" type="button" dataOnly="0" labelOnly="1" outline="0" fieldPosition="0"/>
    </format>
    <format dxfId="639">
      <pivotArea type="topRight" dataOnly="0" labelOnly="1" outline="0" fieldPosition="0"/>
    </format>
    <format dxfId="640">
      <pivotArea dataOnly="0" labelOnly="1" outline="0" fieldPosition="0">
        <references count="1">
          <reference field="1" count="1">
            <x v="0"/>
          </reference>
        </references>
      </pivotArea>
    </format>
    <format dxfId="641">
      <pivotArea dataOnly="0" labelOnly="1" outline="0" fieldPosition="0">
        <references count="1">
          <reference field="1" count="1">
            <x v="1"/>
          </reference>
        </references>
      </pivotArea>
    </format>
    <format dxfId="642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643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644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645">
      <pivotArea dataOnly="0" labelOnly="1" outline="0" fieldPosition="0">
        <references count="2">
          <reference field="4294967294" count="1" selected="0">
            <x v="2"/>
          </reference>
          <reference field="1" count="1" defaultSubtotal="1">
            <x v="1"/>
          </reference>
        </references>
      </pivotArea>
    </format>
    <format dxfId="646">
      <pivotArea dataOnly="0" labelOnly="1" outline="0" fieldPosition="0">
        <references count="2">
          <reference field="1" count="1" selected="0">
            <x v="0"/>
          </reference>
          <reference field="28" count="2">
            <x v="0"/>
            <x v="1"/>
          </reference>
        </references>
      </pivotArea>
    </format>
    <format dxfId="647">
      <pivotArea dataOnly="0" labelOnly="1" outline="0" fieldPosition="0">
        <references count="2">
          <reference field="1" count="1" selected="0">
            <x v="1"/>
          </reference>
          <reference field="28" count="2">
            <x v="0"/>
            <x v="1"/>
          </reference>
        </references>
      </pivotArea>
    </format>
    <format dxfId="648">
      <pivotArea dataOnly="0" labelOnly="1" outline="0" fieldPosition="0">
        <references count="3">
          <reference field="1" count="1" selected="0">
            <x v="0"/>
          </reference>
          <reference field="26" count="1">
            <x v="0"/>
          </reference>
          <reference field="28" count="1" selected="0">
            <x v="0"/>
          </reference>
        </references>
      </pivotArea>
    </format>
    <format dxfId="649">
      <pivotArea dataOnly="0" labelOnly="1" outline="0" fieldPosition="0">
        <references count="3">
          <reference field="1" count="1" selected="0">
            <x v="0"/>
          </reference>
          <reference field="26" count="1">
            <x v="2"/>
          </reference>
          <reference field="28" count="1" selected="0">
            <x v="0"/>
          </reference>
        </references>
      </pivotArea>
    </format>
    <format dxfId="650">
      <pivotArea dataOnly="0" labelOnly="1" outline="0" fieldPosition="0">
        <references count="3">
          <reference field="1" count="1" selected="0">
            <x v="0"/>
          </reference>
          <reference field="26" count="1">
            <x v="3"/>
          </reference>
          <reference field="28" count="1" selected="0">
            <x v="0"/>
          </reference>
        </references>
      </pivotArea>
    </format>
    <format dxfId="651">
      <pivotArea dataOnly="0" labelOnly="1" outline="0" fieldPosition="0">
        <references count="3">
          <reference field="1" count="1" selected="0">
            <x v="0"/>
          </reference>
          <reference field="26" count="1">
            <x v="4"/>
          </reference>
          <reference field="28" count="1" selected="0">
            <x v="0"/>
          </reference>
        </references>
      </pivotArea>
    </format>
    <format dxfId="652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653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654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65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656">
      <pivotArea dataOnly="0" labelOnly="1" outline="0" fieldPosition="0">
        <references count="3">
          <reference field="1" count="1" selected="0">
            <x v="0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657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1"/>
          </reference>
        </references>
      </pivotArea>
    </format>
    <format dxfId="658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1"/>
          </reference>
        </references>
      </pivotArea>
    </format>
    <format dxfId="659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1"/>
          </reference>
        </references>
      </pivotArea>
    </format>
    <format dxfId="660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661">
      <pivotArea dataOnly="0" labelOnly="1" outline="0" fieldPosition="0">
        <references count="3">
          <reference field="1" count="1" selected="0">
            <x v="1"/>
          </reference>
          <reference field="26" count="1">
            <x v="0"/>
          </reference>
          <reference field="28" count="1" selected="0">
            <x v="0"/>
          </reference>
        </references>
      </pivotArea>
    </format>
    <format dxfId="662">
      <pivotArea dataOnly="0" labelOnly="1" outline="0" fieldPosition="0">
        <references count="3">
          <reference field="1" count="1" selected="0">
            <x v="1"/>
          </reference>
          <reference field="26" count="1">
            <x v="2"/>
          </reference>
          <reference field="28" count="1" selected="0">
            <x v="0"/>
          </reference>
        </references>
      </pivotArea>
    </format>
    <format dxfId="663">
      <pivotArea dataOnly="0" labelOnly="1" outline="0" fieldPosition="0">
        <references count="3">
          <reference field="1" count="1" selected="0">
            <x v="1"/>
          </reference>
          <reference field="26" count="1">
            <x v="3"/>
          </reference>
          <reference field="28" count="1" selected="0">
            <x v="0"/>
          </reference>
        </references>
      </pivotArea>
    </format>
    <format dxfId="664">
      <pivotArea dataOnly="0" labelOnly="1" outline="0" fieldPosition="0">
        <references count="3">
          <reference field="1" count="1" selected="0">
            <x v="1"/>
          </reference>
          <reference field="26" count="1">
            <x v="4"/>
          </reference>
          <reference field="28" count="1" selected="0">
            <x v="0"/>
          </reference>
        </references>
      </pivotArea>
    </format>
    <format dxfId="66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666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667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668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669">
      <pivotArea dataOnly="0" labelOnly="1" outline="0" fieldPosition="0">
        <references count="3">
          <reference field="1" count="1" selected="0">
            <x v="1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670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671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672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673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674">
      <pivotArea dataOnly="0" labelOnly="1" outline="0" fieldPosition="0">
        <references count="4">
          <reference field="1" count="1" selected="0">
            <x v="0"/>
          </reference>
          <reference field="25" count="3">
            <x v="0"/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675">
      <pivotArea dataOnly="0" labelOnly="1" outline="0" fieldPosition="0">
        <references count="4">
          <reference field="1" count="1" selected="0">
            <x v="0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676">
      <pivotArea dataOnly="0" labelOnly="1" outline="0" fieldPosition="0">
        <references count="4">
          <reference field="1" count="1" selected="0">
            <x v="0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677">
      <pivotArea dataOnly="0" labelOnly="1" outline="0" fieldPosition="0">
        <references count="4">
          <reference field="1" count="1" selected="0">
            <x v="0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678">
      <pivotArea dataOnly="0" labelOnly="1" outline="0" fieldPosition="0">
        <references count="4">
          <reference field="1" count="1" selected="0">
            <x v="0"/>
          </reference>
          <reference field="25" count="3">
            <x v="12"/>
            <x v="13"/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679">
      <pivotArea dataOnly="0" labelOnly="1" outline="0" fieldPosition="0">
        <references count="4">
          <reference field="1" count="1" selected="0">
            <x v="1"/>
          </reference>
          <reference field="25" count="1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680">
      <pivotArea dataOnly="0" labelOnly="1" outline="0" fieldPosition="0">
        <references count="4">
          <reference field="1" count="1" selected="0">
            <x v="1"/>
          </reference>
          <reference field="25" count="1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681">
      <pivotArea dataOnly="0" labelOnly="1" outline="0" fieldPosition="0">
        <references count="4">
          <reference field="1" count="1" selected="0">
            <x v="1"/>
          </reference>
          <reference field="25" count="1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682">
      <pivotArea dataOnly="0" labelOnly="1" outline="0" fieldPosition="0">
        <references count="4">
          <reference field="1" count="1" selected="0">
            <x v="1"/>
          </reference>
          <reference field="25" count="1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683">
      <pivotArea dataOnly="0" labelOnly="1" outline="0" fieldPosition="0">
        <references count="4">
          <reference field="1" count="1" selected="0">
            <x v="1"/>
          </reference>
          <reference field="25" count="1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684">
      <pivotArea type="all" dataOnly="0" outline="0" fieldPosition="0"/>
    </format>
    <format dxfId="685">
      <pivotArea type="all" dataOnly="0" outline="0" fieldPosition="0"/>
    </format>
    <format dxfId="686">
      <pivotArea outline="0" collapsedLevelsAreSubtotals="1" fieldPosition="0"/>
    </format>
    <format dxfId="687">
      <pivotArea type="origin" dataOnly="0" labelOnly="1" outline="0" fieldPosition="0"/>
    </format>
    <format dxfId="688">
      <pivotArea field="1" type="button" dataOnly="0" labelOnly="1" outline="0" fieldPosition="0"/>
    </format>
    <format dxfId="689">
      <pivotArea field="28" type="button" dataOnly="0" labelOnly="1" outline="0" fieldPosition="0"/>
    </format>
    <format dxfId="690">
      <pivotArea field="26" type="button" dataOnly="0" labelOnly="1" outline="0" fieldPosition="0"/>
    </format>
    <format dxfId="691">
      <pivotArea field="25" type="button" dataOnly="0" labelOnly="1" outline="0" fieldPosition="0"/>
    </format>
    <format dxfId="692">
      <pivotArea field="-2" type="button" dataOnly="0" labelOnly="1" outline="0" fieldPosition="0"/>
    </format>
    <format dxfId="693">
      <pivotArea type="topRight" dataOnly="0" labelOnly="1" outline="0" fieldPosition="0"/>
    </format>
    <format dxfId="694">
      <pivotArea field="6" type="button" dataOnly="0" labelOnly="1" outline="0" fieldPosition="0"/>
    </format>
    <format dxfId="695">
      <pivotArea field="12" type="button" dataOnly="0" labelOnly="1" outline="0" fieldPosition="0"/>
    </format>
    <format dxfId="696">
      <pivotArea field="11" type="button" dataOnly="0" labelOnly="1" outline="0" fieldPosition="0"/>
    </format>
    <format dxfId="697">
      <pivotArea dataOnly="0" labelOnly="1" outline="0" fieldPosition="0">
        <references count="1">
          <reference field="6" count="0"/>
        </references>
      </pivotArea>
    </format>
    <format dxfId="698">
      <pivotArea dataOnly="0" labelOnly="1" grandRow="1" outline="0" fieldPosition="0"/>
    </format>
    <format dxfId="699">
      <pivotArea dataOnly="0" labelOnly="1" outline="0" fieldPosition="0">
        <references count="2">
          <reference field="6" count="1" selected="0">
            <x v="0"/>
          </reference>
          <reference field="12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700">
      <pivotArea dataOnly="0" labelOnly="1" outline="0" fieldPosition="0">
        <references count="2">
          <reference field="6" count="1" selected="0">
            <x v="1"/>
          </reference>
          <reference field="12" count="6">
            <x v="11"/>
            <x v="12"/>
            <x v="13"/>
            <x v="14"/>
            <x v="15"/>
            <x v="23"/>
          </reference>
        </references>
      </pivotArea>
    </format>
    <format dxfId="701">
      <pivotArea dataOnly="0" labelOnly="1" outline="0" fieldPosition="0">
        <references count="2">
          <reference field="6" count="1" selected="0">
            <x v="2"/>
          </reference>
          <reference field="12" count="1">
            <x v="16"/>
          </reference>
        </references>
      </pivotArea>
    </format>
    <format dxfId="702">
      <pivotArea dataOnly="0" labelOnly="1" outline="0" fieldPosition="0">
        <references count="2">
          <reference field="6" count="1" selected="0">
            <x v="3"/>
          </reference>
          <reference field="12" count="4">
            <x v="17"/>
            <x v="18"/>
            <x v="19"/>
            <x v="20"/>
          </reference>
        </references>
      </pivotArea>
    </format>
    <format dxfId="703">
      <pivotArea dataOnly="0" labelOnly="1" outline="0" fieldPosition="0">
        <references count="2">
          <reference field="6" count="1" selected="0">
            <x v="4"/>
          </reference>
          <reference field="12" count="1">
            <x v="21"/>
          </reference>
        </references>
      </pivotArea>
    </format>
    <format dxfId="704">
      <pivotArea dataOnly="0" labelOnly="1" outline="0" fieldPosition="0">
        <references count="2">
          <reference field="6" count="1" selected="0">
            <x v="5"/>
          </reference>
          <reference field="12" count="1">
            <x v="22"/>
          </reference>
        </references>
      </pivotArea>
    </format>
    <format dxfId="705">
      <pivotArea dataOnly="0" labelOnly="1" outline="0" fieldPosition="0">
        <references count="3">
          <reference field="6" count="1" selected="0">
            <x v="0"/>
          </reference>
          <reference field="11" count="1">
            <x v="1"/>
          </reference>
          <reference field="12" count="1" selected="0">
            <x v="1"/>
          </reference>
        </references>
      </pivotArea>
    </format>
    <format dxfId="706">
      <pivotArea dataOnly="0" labelOnly="1" outline="0" fieldPosition="0">
        <references count="3">
          <reference field="6" count="1" selected="0">
            <x v="0"/>
          </reference>
          <reference field="11" count="3">
            <x v="2"/>
            <x v="9"/>
            <x v="10"/>
          </reference>
          <reference field="12" count="1" selected="0">
            <x v="2"/>
          </reference>
        </references>
      </pivotArea>
    </format>
    <format dxfId="707">
      <pivotArea dataOnly="0" labelOnly="1" outline="0" fieldPosition="0">
        <references count="3">
          <reference field="6" count="1" selected="0">
            <x v="0"/>
          </reference>
          <reference field="11" count="2">
            <x v="3"/>
            <x v="4"/>
          </reference>
          <reference field="12" count="1" selected="0">
            <x v="3"/>
          </reference>
        </references>
      </pivotArea>
    </format>
    <format dxfId="708">
      <pivotArea dataOnly="0" labelOnly="1" outline="0" fieldPosition="0">
        <references count="3">
          <reference field="6" count="1" selected="0">
            <x v="0"/>
          </reference>
          <reference field="11" count="2">
            <x v="5"/>
            <x v="6"/>
          </reference>
          <reference field="12" count="1" selected="0">
            <x v="4"/>
          </reference>
        </references>
      </pivotArea>
    </format>
    <format dxfId="709">
      <pivotArea dataOnly="0" labelOnly="1" outline="0" fieldPosition="0">
        <references count="3">
          <reference field="6" count="1" selected="0">
            <x v="0"/>
          </reference>
          <reference field="11" count="2">
            <x v="7"/>
            <x v="8"/>
          </reference>
          <reference field="12" count="1" selected="0">
            <x v="5"/>
          </reference>
        </references>
      </pivotArea>
    </format>
    <format dxfId="710">
      <pivotArea dataOnly="0" labelOnly="1" outline="0" fieldPosition="0">
        <references count="3">
          <reference field="6" count="1" selected="0">
            <x v="0"/>
          </reference>
          <reference field="11" count="4">
            <x v="11"/>
            <x v="12"/>
            <x v="13"/>
            <x v="17"/>
          </reference>
          <reference field="12" count="1" selected="0">
            <x v="6"/>
          </reference>
        </references>
      </pivotArea>
    </format>
    <format dxfId="711">
      <pivotArea dataOnly="0" labelOnly="1" outline="0" fieldPosition="0">
        <references count="3">
          <reference field="6" count="1" selected="0">
            <x v="0"/>
          </reference>
          <reference field="11" count="3">
            <x v="14"/>
            <x v="15"/>
            <x v="16"/>
          </reference>
          <reference field="12" count="1" selected="0">
            <x v="7"/>
          </reference>
        </references>
      </pivotArea>
    </format>
    <format dxfId="712">
      <pivotArea dataOnly="0" labelOnly="1" outline="0" fieldPosition="0">
        <references count="3">
          <reference field="6" count="1" selected="0">
            <x v="0"/>
          </reference>
          <reference field="11" count="2">
            <x v="18"/>
            <x v="19"/>
          </reference>
          <reference field="12" count="1" selected="0">
            <x v="8"/>
          </reference>
        </references>
      </pivotArea>
    </format>
    <format dxfId="713">
      <pivotArea dataOnly="0" labelOnly="1" outline="0" fieldPosition="0">
        <references count="3">
          <reference field="6" count="1" selected="0">
            <x v="0"/>
          </reference>
          <reference field="11" count="2">
            <x v="20"/>
            <x v="21"/>
          </reference>
          <reference field="12" count="1" selected="0">
            <x v="9"/>
          </reference>
        </references>
      </pivotArea>
    </format>
    <format dxfId="714">
      <pivotArea dataOnly="0" labelOnly="1" outline="0" fieldPosition="0">
        <references count="3">
          <reference field="6" count="1" selected="0">
            <x v="0"/>
          </reference>
          <reference field="11" count="6">
            <x v="22"/>
            <x v="23"/>
            <x v="24"/>
            <x v="25"/>
            <x v="26"/>
            <x v="27"/>
          </reference>
          <reference field="12" count="1" selected="0">
            <x v="10"/>
          </reference>
        </references>
      </pivotArea>
    </format>
    <format dxfId="715">
      <pivotArea dataOnly="0" labelOnly="1" outline="0" fieldPosition="0">
        <references count="3">
          <reference field="6" count="1" selected="0">
            <x v="1"/>
          </reference>
          <reference field="11" count="4">
            <x v="28"/>
            <x v="37"/>
            <x v="41"/>
            <x v="45"/>
          </reference>
          <reference field="12" count="1" selected="0">
            <x v="11"/>
          </reference>
        </references>
      </pivotArea>
    </format>
    <format dxfId="716">
      <pivotArea dataOnly="0" labelOnly="1" outline="0" fieldPosition="0">
        <references count="3">
          <reference field="6" count="1" selected="0">
            <x v="1"/>
          </reference>
          <reference field="11" count="3">
            <x v="29"/>
            <x v="42"/>
            <x v="46"/>
          </reference>
          <reference field="12" count="1" selected="0">
            <x v="12"/>
          </reference>
        </references>
      </pivotArea>
    </format>
    <format dxfId="717">
      <pivotArea dataOnly="0" labelOnly="1" outline="0" fieldPosition="0">
        <references count="3">
          <reference field="6" count="1" selected="0">
            <x v="1"/>
          </reference>
          <reference field="11" count="9">
            <x v="30"/>
            <x v="31"/>
            <x v="32"/>
            <x v="33"/>
            <x v="34"/>
            <x v="38"/>
            <x v="39"/>
            <x v="43"/>
            <x v="47"/>
          </reference>
          <reference field="12" count="1" selected="0">
            <x v="13"/>
          </reference>
        </references>
      </pivotArea>
    </format>
    <format dxfId="718">
      <pivotArea dataOnly="0" labelOnly="1" outline="0" fieldPosition="0">
        <references count="3">
          <reference field="6" count="1" selected="0">
            <x v="1"/>
          </reference>
          <reference field="11" count="6">
            <x v="36"/>
            <x v="40"/>
            <x v="44"/>
            <x v="48"/>
            <x v="52"/>
            <x v="53"/>
          </reference>
          <reference field="12" count="1" selected="0">
            <x v="14"/>
          </reference>
        </references>
      </pivotArea>
    </format>
    <format dxfId="719">
      <pivotArea dataOnly="0" labelOnly="1" outline="0" fieldPosition="0">
        <references count="3">
          <reference field="6" count="1" selected="0">
            <x v="1"/>
          </reference>
          <reference field="11" count="3">
            <x v="49"/>
            <x v="50"/>
            <x v="51"/>
          </reference>
          <reference field="12" count="1" selected="0">
            <x v="15"/>
          </reference>
        </references>
      </pivotArea>
    </format>
    <format dxfId="720">
      <pivotArea dataOnly="0" labelOnly="1" outline="0" fieldPosition="0">
        <references count="3">
          <reference field="6" count="1" selected="0">
            <x v="1"/>
          </reference>
          <reference field="11" count="1">
            <x v="73"/>
          </reference>
          <reference field="12" count="1" selected="0">
            <x v="23"/>
          </reference>
        </references>
      </pivotArea>
    </format>
    <format dxfId="721">
      <pivotArea dataOnly="0" labelOnly="1" outline="0" fieldPosition="0">
        <references count="3">
          <reference field="6" count="1" selected="0">
            <x v="2"/>
          </reference>
          <reference field="11" count="1">
            <x v="54"/>
          </reference>
          <reference field="12" count="1" selected="0">
            <x v="16"/>
          </reference>
        </references>
      </pivotArea>
    </format>
    <format dxfId="722">
      <pivotArea dataOnly="0" labelOnly="1" outline="0" fieldPosition="0">
        <references count="3">
          <reference field="6" count="1" selected="0">
            <x v="3"/>
          </reference>
          <reference field="11" count="6">
            <x v="55"/>
            <x v="56"/>
            <x v="57"/>
            <x v="58"/>
            <x v="59"/>
            <x v="60"/>
          </reference>
          <reference field="12" count="1" selected="0">
            <x v="17"/>
          </reference>
        </references>
      </pivotArea>
    </format>
    <format dxfId="723">
      <pivotArea dataOnly="0" labelOnly="1" outline="0" fieldPosition="0">
        <references count="3">
          <reference field="6" count="1" selected="0">
            <x v="3"/>
          </reference>
          <reference field="11" count="2">
            <x v="61"/>
            <x v="64"/>
          </reference>
          <reference field="12" count="1" selected="0">
            <x v="18"/>
          </reference>
        </references>
      </pivotArea>
    </format>
    <format dxfId="724">
      <pivotArea dataOnly="0" labelOnly="1" outline="0" fieldPosition="0">
        <references count="3">
          <reference field="6" count="1" selected="0">
            <x v="3"/>
          </reference>
          <reference field="11" count="2">
            <x v="62"/>
            <x v="65"/>
          </reference>
          <reference field="12" count="1" selected="0">
            <x v="19"/>
          </reference>
        </references>
      </pivotArea>
    </format>
    <format dxfId="725">
      <pivotArea dataOnly="0" labelOnly="1" outline="0" fieldPosition="0">
        <references count="3">
          <reference field="6" count="1" selected="0">
            <x v="3"/>
          </reference>
          <reference field="11" count="1">
            <x v="63"/>
          </reference>
          <reference field="12" count="1" selected="0">
            <x v="20"/>
          </reference>
        </references>
      </pivotArea>
    </format>
    <format dxfId="726">
      <pivotArea dataOnly="0" labelOnly="1" outline="0" fieldPosition="0">
        <references count="3">
          <reference field="6" count="1" selected="0">
            <x v="4"/>
          </reference>
          <reference field="11" count="2">
            <x v="66"/>
            <x v="67"/>
          </reference>
          <reference field="12" count="1" selected="0">
            <x v="21"/>
          </reference>
        </references>
      </pivotArea>
    </format>
    <format dxfId="727">
      <pivotArea dataOnly="0" labelOnly="1" outline="0" fieldPosition="0">
        <references count="3">
          <reference field="6" count="1" selected="0">
            <x v="5"/>
          </reference>
          <reference field="11" count="4">
            <x v="68"/>
            <x v="69"/>
            <x v="70"/>
            <x v="71"/>
          </reference>
          <reference field="12" count="1" selected="0">
            <x v="22"/>
          </reference>
        </references>
      </pivotArea>
    </format>
    <format dxfId="728">
      <pivotArea dataOnly="0" labelOnly="1" outline="0" fieldPosition="0">
        <references count="1">
          <reference field="1" count="0"/>
        </references>
      </pivotArea>
    </format>
    <format dxfId="729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730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731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732">
      <pivotArea dataOnly="0" labelOnly="1" outline="0" fieldPosition="0">
        <references count="2">
          <reference field="1" count="1" selected="0">
            <x v="0"/>
          </reference>
          <reference field="28" count="1">
            <x v="0"/>
          </reference>
        </references>
      </pivotArea>
    </format>
    <format dxfId="733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734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735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736">
      <pivotArea dataOnly="0" labelOnly="1" outline="0" fieldPosition="0">
        <references count="2">
          <reference field="1" count="1" selected="0">
            <x v="1"/>
          </reference>
          <reference field="28" count="2">
            <x v="0"/>
            <x v="1"/>
          </reference>
        </references>
      </pivotArea>
    </format>
    <format dxfId="737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2" defaultSubtotal="1">
            <x v="0"/>
            <x v="1"/>
          </reference>
        </references>
      </pivotArea>
    </format>
    <format dxfId="738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2" defaultSubtotal="1">
            <x v="0"/>
            <x v="1"/>
          </reference>
        </references>
      </pivotArea>
    </format>
    <format dxfId="739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2" defaultSubtotal="1">
            <x v="0"/>
            <x v="1"/>
          </reference>
        </references>
      </pivotArea>
    </format>
    <format dxfId="740">
      <pivotArea dataOnly="0" labelOnly="1" outline="0" fieldPosition="0">
        <references count="3">
          <reference field="1" count="1" selected="0">
            <x v="0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741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742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743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744">
      <pivotArea dataOnly="0" labelOnly="1" outline="0" fieldPosition="0">
        <references count="3">
          <reference field="1" count="1" selected="0">
            <x v="1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745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746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747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748">
      <pivotArea dataOnly="0" labelOnly="1" outline="0" fieldPosition="0">
        <references count="3">
          <reference field="1" count="1" selected="0">
            <x v="1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749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750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751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752">
      <pivotArea dataOnly="0" labelOnly="1" outline="0" fieldPosition="0">
        <references count="4">
          <reference field="1" count="1" selected="0">
            <x v="0"/>
          </reference>
          <reference field="25" count="3">
            <x v="0"/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753">
      <pivotArea dataOnly="0" labelOnly="1" outline="0" fieldPosition="0">
        <references count="4">
          <reference field="1" count="1" selected="0">
            <x v="0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754">
      <pivotArea dataOnly="0" labelOnly="1" outline="0" fieldPosition="0">
        <references count="4">
          <reference field="1" count="1" selected="0">
            <x v="0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755">
      <pivotArea dataOnly="0" labelOnly="1" outline="0" fieldPosition="0">
        <references count="4">
          <reference field="1" count="1" selected="0">
            <x v="0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756">
      <pivotArea dataOnly="0" labelOnly="1" outline="0" fieldPosition="0">
        <references count="4">
          <reference field="1" count="1" selected="0">
            <x v="1"/>
          </reference>
          <reference field="25" count="2"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757">
      <pivotArea dataOnly="0" labelOnly="1" outline="0" fieldPosition="0">
        <references count="4">
          <reference field="1" count="1" selected="0">
            <x v="1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758">
      <pivotArea dataOnly="0" labelOnly="1" outline="0" fieldPosition="0">
        <references count="4">
          <reference field="1" count="1" selected="0">
            <x v="1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759">
      <pivotArea dataOnly="0" labelOnly="1" outline="0" fieldPosition="0">
        <references count="4">
          <reference field="1" count="1" selected="0">
            <x v="1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760">
      <pivotArea dataOnly="0" labelOnly="1" outline="0" fieldPosition="0">
        <references count="4">
          <reference field="1" count="1" selected="0">
            <x v="1"/>
          </reference>
          <reference field="25" count="3">
            <x v="12"/>
            <x v="13"/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76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76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76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76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76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76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76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76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76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77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77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77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77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77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77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77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77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77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77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78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78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78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78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78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78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78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787">
      <pivotArea type="all" dataOnly="0" outline="0" fieldPosition="0"/>
    </format>
    <format dxfId="788">
      <pivotArea outline="0" collapsedLevelsAreSubtotals="1" fieldPosition="0"/>
    </format>
    <format dxfId="789">
      <pivotArea type="origin" dataOnly="0" labelOnly="1" outline="0" fieldPosition="0"/>
    </format>
    <format dxfId="790">
      <pivotArea field="1" type="button" dataOnly="0" labelOnly="1" outline="0" fieldPosition="0"/>
    </format>
    <format dxfId="791">
      <pivotArea field="28" type="button" dataOnly="0" labelOnly="1" outline="0" fieldPosition="0"/>
    </format>
    <format dxfId="792">
      <pivotArea field="26" type="button" dataOnly="0" labelOnly="1" outline="0" fieldPosition="0"/>
    </format>
    <format dxfId="793">
      <pivotArea field="25" type="button" dataOnly="0" labelOnly="1" outline="0" fieldPosition="0"/>
    </format>
    <format dxfId="794">
      <pivotArea field="-2" type="button" dataOnly="0" labelOnly="1" outline="0" fieldPosition="0"/>
    </format>
    <format dxfId="795">
      <pivotArea type="topRight" dataOnly="0" labelOnly="1" outline="0" fieldPosition="0"/>
    </format>
    <format dxfId="796">
      <pivotArea field="6" type="button" dataOnly="0" labelOnly="1" outline="0" fieldPosition="0"/>
    </format>
    <format dxfId="797">
      <pivotArea field="12" type="button" dataOnly="0" labelOnly="1" outline="0" fieldPosition="0"/>
    </format>
    <format dxfId="798">
      <pivotArea field="11" type="button" dataOnly="0" labelOnly="1" outline="0" fieldPosition="0"/>
    </format>
    <format dxfId="799">
      <pivotArea dataOnly="0" labelOnly="1" outline="0" fieldPosition="0">
        <references count="1">
          <reference field="6" count="0"/>
        </references>
      </pivotArea>
    </format>
    <format dxfId="800">
      <pivotArea dataOnly="0" labelOnly="1" grandRow="1" outline="0" fieldPosition="0"/>
    </format>
    <format dxfId="801">
      <pivotArea dataOnly="0" labelOnly="1" outline="0" fieldPosition="0">
        <references count="2">
          <reference field="6" count="1" selected="0">
            <x v="0"/>
          </reference>
          <reference field="12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802">
      <pivotArea dataOnly="0" labelOnly="1" outline="0" fieldPosition="0">
        <references count="2">
          <reference field="6" count="1" selected="0">
            <x v="1"/>
          </reference>
          <reference field="12" count="6">
            <x v="11"/>
            <x v="12"/>
            <x v="13"/>
            <x v="14"/>
            <x v="15"/>
            <x v="23"/>
          </reference>
        </references>
      </pivotArea>
    </format>
    <format dxfId="803">
      <pivotArea dataOnly="0" labelOnly="1" outline="0" fieldPosition="0">
        <references count="2">
          <reference field="6" count="1" selected="0">
            <x v="2"/>
          </reference>
          <reference field="12" count="1">
            <x v="16"/>
          </reference>
        </references>
      </pivotArea>
    </format>
    <format dxfId="804">
      <pivotArea dataOnly="0" labelOnly="1" outline="0" fieldPosition="0">
        <references count="2">
          <reference field="6" count="1" selected="0">
            <x v="3"/>
          </reference>
          <reference field="12" count="4">
            <x v="17"/>
            <x v="18"/>
            <x v="19"/>
            <x v="20"/>
          </reference>
        </references>
      </pivotArea>
    </format>
    <format dxfId="805">
      <pivotArea dataOnly="0" labelOnly="1" outline="0" fieldPosition="0">
        <references count="2">
          <reference field="6" count="1" selected="0">
            <x v="4"/>
          </reference>
          <reference field="12" count="1">
            <x v="21"/>
          </reference>
        </references>
      </pivotArea>
    </format>
    <format dxfId="806">
      <pivotArea dataOnly="0" labelOnly="1" outline="0" fieldPosition="0">
        <references count="2">
          <reference field="6" count="1" selected="0">
            <x v="5"/>
          </reference>
          <reference field="12" count="1">
            <x v="22"/>
          </reference>
        </references>
      </pivotArea>
    </format>
    <format dxfId="807">
      <pivotArea dataOnly="0" labelOnly="1" outline="0" fieldPosition="0">
        <references count="3">
          <reference field="6" count="1" selected="0">
            <x v="0"/>
          </reference>
          <reference field="11" count="1">
            <x v="1"/>
          </reference>
          <reference field="12" count="1" selected="0">
            <x v="1"/>
          </reference>
        </references>
      </pivotArea>
    </format>
    <format dxfId="808">
      <pivotArea dataOnly="0" labelOnly="1" outline="0" fieldPosition="0">
        <references count="3">
          <reference field="6" count="1" selected="0">
            <x v="0"/>
          </reference>
          <reference field="11" count="3">
            <x v="2"/>
            <x v="9"/>
            <x v="10"/>
          </reference>
          <reference field="12" count="1" selected="0">
            <x v="2"/>
          </reference>
        </references>
      </pivotArea>
    </format>
    <format dxfId="809">
      <pivotArea dataOnly="0" labelOnly="1" outline="0" fieldPosition="0">
        <references count="3">
          <reference field="6" count="1" selected="0">
            <x v="0"/>
          </reference>
          <reference field="11" count="2">
            <x v="3"/>
            <x v="4"/>
          </reference>
          <reference field="12" count="1" selected="0">
            <x v="3"/>
          </reference>
        </references>
      </pivotArea>
    </format>
    <format dxfId="810">
      <pivotArea dataOnly="0" labelOnly="1" outline="0" fieldPosition="0">
        <references count="3">
          <reference field="6" count="1" selected="0">
            <x v="0"/>
          </reference>
          <reference field="11" count="2">
            <x v="5"/>
            <x v="6"/>
          </reference>
          <reference field="12" count="1" selected="0">
            <x v="4"/>
          </reference>
        </references>
      </pivotArea>
    </format>
    <format dxfId="811">
      <pivotArea dataOnly="0" labelOnly="1" outline="0" fieldPosition="0">
        <references count="3">
          <reference field="6" count="1" selected="0">
            <x v="0"/>
          </reference>
          <reference field="11" count="2">
            <x v="7"/>
            <x v="8"/>
          </reference>
          <reference field="12" count="1" selected="0">
            <x v="5"/>
          </reference>
        </references>
      </pivotArea>
    </format>
    <format dxfId="812">
      <pivotArea dataOnly="0" labelOnly="1" outline="0" fieldPosition="0">
        <references count="3">
          <reference field="6" count="1" selected="0">
            <x v="0"/>
          </reference>
          <reference field="11" count="4">
            <x v="11"/>
            <x v="12"/>
            <x v="13"/>
            <x v="17"/>
          </reference>
          <reference field="12" count="1" selected="0">
            <x v="6"/>
          </reference>
        </references>
      </pivotArea>
    </format>
    <format dxfId="813">
      <pivotArea dataOnly="0" labelOnly="1" outline="0" fieldPosition="0">
        <references count="3">
          <reference field="6" count="1" selected="0">
            <x v="0"/>
          </reference>
          <reference field="11" count="3">
            <x v="14"/>
            <x v="15"/>
            <x v="16"/>
          </reference>
          <reference field="12" count="1" selected="0">
            <x v="7"/>
          </reference>
        </references>
      </pivotArea>
    </format>
    <format dxfId="814">
      <pivotArea dataOnly="0" labelOnly="1" outline="0" fieldPosition="0">
        <references count="3">
          <reference field="6" count="1" selected="0">
            <x v="0"/>
          </reference>
          <reference field="11" count="2">
            <x v="18"/>
            <x v="19"/>
          </reference>
          <reference field="12" count="1" selected="0">
            <x v="8"/>
          </reference>
        </references>
      </pivotArea>
    </format>
    <format dxfId="815">
      <pivotArea dataOnly="0" labelOnly="1" outline="0" fieldPosition="0">
        <references count="3">
          <reference field="6" count="1" selected="0">
            <x v="0"/>
          </reference>
          <reference field="11" count="2">
            <x v="20"/>
            <x v="21"/>
          </reference>
          <reference field="12" count="1" selected="0">
            <x v="9"/>
          </reference>
        </references>
      </pivotArea>
    </format>
    <format dxfId="816">
      <pivotArea dataOnly="0" labelOnly="1" outline="0" fieldPosition="0">
        <references count="3">
          <reference field="6" count="1" selected="0">
            <x v="0"/>
          </reference>
          <reference field="11" count="6">
            <x v="22"/>
            <x v="23"/>
            <x v="24"/>
            <x v="25"/>
            <x v="26"/>
            <x v="27"/>
          </reference>
          <reference field="12" count="1" selected="0">
            <x v="10"/>
          </reference>
        </references>
      </pivotArea>
    </format>
    <format dxfId="817">
      <pivotArea dataOnly="0" labelOnly="1" outline="0" fieldPosition="0">
        <references count="3">
          <reference field="6" count="1" selected="0">
            <x v="1"/>
          </reference>
          <reference field="11" count="4">
            <x v="28"/>
            <x v="37"/>
            <x v="41"/>
            <x v="45"/>
          </reference>
          <reference field="12" count="1" selected="0">
            <x v="11"/>
          </reference>
        </references>
      </pivotArea>
    </format>
    <format dxfId="818">
      <pivotArea dataOnly="0" labelOnly="1" outline="0" fieldPosition="0">
        <references count="3">
          <reference field="6" count="1" selected="0">
            <x v="1"/>
          </reference>
          <reference field="11" count="3">
            <x v="29"/>
            <x v="42"/>
            <x v="46"/>
          </reference>
          <reference field="12" count="1" selected="0">
            <x v="12"/>
          </reference>
        </references>
      </pivotArea>
    </format>
    <format dxfId="819">
      <pivotArea dataOnly="0" labelOnly="1" outline="0" fieldPosition="0">
        <references count="3">
          <reference field="6" count="1" selected="0">
            <x v="1"/>
          </reference>
          <reference field="11" count="9">
            <x v="30"/>
            <x v="31"/>
            <x v="32"/>
            <x v="33"/>
            <x v="34"/>
            <x v="38"/>
            <x v="39"/>
            <x v="43"/>
            <x v="47"/>
          </reference>
          <reference field="12" count="1" selected="0">
            <x v="13"/>
          </reference>
        </references>
      </pivotArea>
    </format>
    <format dxfId="820">
      <pivotArea dataOnly="0" labelOnly="1" outline="0" fieldPosition="0">
        <references count="3">
          <reference field="6" count="1" selected="0">
            <x v="1"/>
          </reference>
          <reference field="11" count="6">
            <x v="36"/>
            <x v="40"/>
            <x v="44"/>
            <x v="48"/>
            <x v="52"/>
            <x v="53"/>
          </reference>
          <reference field="12" count="1" selected="0">
            <x v="14"/>
          </reference>
        </references>
      </pivotArea>
    </format>
    <format dxfId="821">
      <pivotArea dataOnly="0" labelOnly="1" outline="0" fieldPosition="0">
        <references count="3">
          <reference field="6" count="1" selected="0">
            <x v="1"/>
          </reference>
          <reference field="11" count="3">
            <x v="49"/>
            <x v="50"/>
            <x v="51"/>
          </reference>
          <reference field="12" count="1" selected="0">
            <x v="15"/>
          </reference>
        </references>
      </pivotArea>
    </format>
    <format dxfId="822">
      <pivotArea dataOnly="0" labelOnly="1" outline="0" fieldPosition="0">
        <references count="3">
          <reference field="6" count="1" selected="0">
            <x v="1"/>
          </reference>
          <reference field="11" count="1">
            <x v="73"/>
          </reference>
          <reference field="12" count="1" selected="0">
            <x v="23"/>
          </reference>
        </references>
      </pivotArea>
    </format>
    <format dxfId="823">
      <pivotArea dataOnly="0" labelOnly="1" outline="0" fieldPosition="0">
        <references count="3">
          <reference field="6" count="1" selected="0">
            <x v="2"/>
          </reference>
          <reference field="11" count="1">
            <x v="54"/>
          </reference>
          <reference field="12" count="1" selected="0">
            <x v="16"/>
          </reference>
        </references>
      </pivotArea>
    </format>
    <format dxfId="824">
      <pivotArea dataOnly="0" labelOnly="1" outline="0" fieldPosition="0">
        <references count="3">
          <reference field="6" count="1" selected="0">
            <x v="3"/>
          </reference>
          <reference field="11" count="6">
            <x v="55"/>
            <x v="56"/>
            <x v="57"/>
            <x v="58"/>
            <x v="59"/>
            <x v="60"/>
          </reference>
          <reference field="12" count="1" selected="0">
            <x v="17"/>
          </reference>
        </references>
      </pivotArea>
    </format>
    <format dxfId="825">
      <pivotArea dataOnly="0" labelOnly="1" outline="0" fieldPosition="0">
        <references count="3">
          <reference field="6" count="1" selected="0">
            <x v="3"/>
          </reference>
          <reference field="11" count="2">
            <x v="61"/>
            <x v="64"/>
          </reference>
          <reference field="12" count="1" selected="0">
            <x v="18"/>
          </reference>
        </references>
      </pivotArea>
    </format>
    <format dxfId="826">
      <pivotArea dataOnly="0" labelOnly="1" outline="0" fieldPosition="0">
        <references count="3">
          <reference field="6" count="1" selected="0">
            <x v="3"/>
          </reference>
          <reference field="11" count="2">
            <x v="62"/>
            <x v="65"/>
          </reference>
          <reference field="12" count="1" selected="0">
            <x v="19"/>
          </reference>
        </references>
      </pivotArea>
    </format>
    <format dxfId="827">
      <pivotArea dataOnly="0" labelOnly="1" outline="0" fieldPosition="0">
        <references count="3">
          <reference field="6" count="1" selected="0">
            <x v="3"/>
          </reference>
          <reference field="11" count="1">
            <x v="63"/>
          </reference>
          <reference field="12" count="1" selected="0">
            <x v="20"/>
          </reference>
        </references>
      </pivotArea>
    </format>
    <format dxfId="828">
      <pivotArea dataOnly="0" labelOnly="1" outline="0" fieldPosition="0">
        <references count="3">
          <reference field="6" count="1" selected="0">
            <x v="4"/>
          </reference>
          <reference field="11" count="2">
            <x v="66"/>
            <x v="67"/>
          </reference>
          <reference field="12" count="1" selected="0">
            <x v="21"/>
          </reference>
        </references>
      </pivotArea>
    </format>
    <format dxfId="829">
      <pivotArea dataOnly="0" labelOnly="1" outline="0" fieldPosition="0">
        <references count="3">
          <reference field="6" count="1" selected="0">
            <x v="5"/>
          </reference>
          <reference field="11" count="4">
            <x v="68"/>
            <x v="69"/>
            <x v="70"/>
            <x v="71"/>
          </reference>
          <reference field="12" count="1" selected="0">
            <x v="22"/>
          </reference>
        </references>
      </pivotArea>
    </format>
    <format dxfId="830">
      <pivotArea dataOnly="0" labelOnly="1" outline="0" fieldPosition="0">
        <references count="1">
          <reference field="1" count="0"/>
        </references>
      </pivotArea>
    </format>
    <format dxfId="831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832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833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834">
      <pivotArea dataOnly="0" labelOnly="1" outline="0" fieldPosition="0">
        <references count="2">
          <reference field="1" count="1" selected="0">
            <x v="0"/>
          </reference>
          <reference field="28" count="1">
            <x v="0"/>
          </reference>
        </references>
      </pivotArea>
    </format>
    <format dxfId="835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836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837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838">
      <pivotArea dataOnly="0" labelOnly="1" outline="0" fieldPosition="0">
        <references count="2">
          <reference field="1" count="1" selected="0">
            <x v="1"/>
          </reference>
          <reference field="28" count="2">
            <x v="0"/>
            <x v="1"/>
          </reference>
        </references>
      </pivotArea>
    </format>
    <format dxfId="839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2" defaultSubtotal="1">
            <x v="0"/>
            <x v="1"/>
          </reference>
        </references>
      </pivotArea>
    </format>
    <format dxfId="840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2" defaultSubtotal="1">
            <x v="0"/>
            <x v="1"/>
          </reference>
        </references>
      </pivotArea>
    </format>
    <format dxfId="841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2" defaultSubtotal="1">
            <x v="0"/>
            <x v="1"/>
          </reference>
        </references>
      </pivotArea>
    </format>
    <format dxfId="842">
      <pivotArea dataOnly="0" labelOnly="1" outline="0" fieldPosition="0">
        <references count="3">
          <reference field="1" count="1" selected="0">
            <x v="0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843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844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84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846">
      <pivotArea dataOnly="0" labelOnly="1" outline="0" fieldPosition="0">
        <references count="3">
          <reference field="1" count="1" selected="0">
            <x v="1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847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848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849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850">
      <pivotArea dataOnly="0" labelOnly="1" outline="0" fieldPosition="0">
        <references count="3">
          <reference field="1" count="1" selected="0">
            <x v="1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851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852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853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854">
      <pivotArea dataOnly="0" labelOnly="1" outline="0" fieldPosition="0">
        <references count="4">
          <reference field="1" count="1" selected="0">
            <x v="0"/>
          </reference>
          <reference field="25" count="3">
            <x v="0"/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855">
      <pivotArea dataOnly="0" labelOnly="1" outline="0" fieldPosition="0">
        <references count="4">
          <reference field="1" count="1" selected="0">
            <x v="0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856">
      <pivotArea dataOnly="0" labelOnly="1" outline="0" fieldPosition="0">
        <references count="4">
          <reference field="1" count="1" selected="0">
            <x v="0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857">
      <pivotArea dataOnly="0" labelOnly="1" outline="0" fieldPosition="0">
        <references count="4">
          <reference field="1" count="1" selected="0">
            <x v="0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858">
      <pivotArea dataOnly="0" labelOnly="1" outline="0" fieldPosition="0">
        <references count="4">
          <reference field="1" count="1" selected="0">
            <x v="1"/>
          </reference>
          <reference field="25" count="2"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859">
      <pivotArea dataOnly="0" labelOnly="1" outline="0" fieldPosition="0">
        <references count="4">
          <reference field="1" count="1" selected="0">
            <x v="1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860">
      <pivotArea dataOnly="0" labelOnly="1" outline="0" fieldPosition="0">
        <references count="4">
          <reference field="1" count="1" selected="0">
            <x v="1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861">
      <pivotArea dataOnly="0" labelOnly="1" outline="0" fieldPosition="0">
        <references count="4">
          <reference field="1" count="1" selected="0">
            <x v="1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862">
      <pivotArea dataOnly="0" labelOnly="1" outline="0" fieldPosition="0">
        <references count="4">
          <reference field="1" count="1" selected="0">
            <x v="1"/>
          </reference>
          <reference field="25" count="3">
            <x v="12"/>
            <x v="13"/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86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86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86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86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86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86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86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87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87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87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87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87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87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87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87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87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87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88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88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88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88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88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88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88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88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88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889">
      <pivotArea field="6" type="button" dataOnly="0" labelOnly="1" outline="0" fieldPosition="0"/>
    </format>
    <format dxfId="890">
      <pivotArea field="6" type="button" dataOnly="0" labelOnly="1" outline="0" fieldPosition="0"/>
    </format>
    <format dxfId="891">
      <pivotArea field="12" type="button" dataOnly="0" labelOnly="1" outline="0" fieldPosition="0"/>
    </format>
    <format dxfId="892">
      <pivotArea field="11" type="button" dataOnly="0" labelOnly="1" outline="0" fieldPosition="0"/>
    </format>
    <format dxfId="893">
      <pivotArea dataOnly="0" labelOnly="1" outline="0" fieldPosition="0">
        <references count="2">
          <reference field="4294967294" count="1" selected="0">
            <x v="0"/>
          </reference>
          <reference field="1" count="1" defaultSubtotal="1">
            <x v="0"/>
          </reference>
        </references>
      </pivotArea>
    </format>
    <format dxfId="894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895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896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897">
      <pivotArea dataOnly="0" labelOnly="1" outline="0" fieldPosition="0">
        <references count="2">
          <reference field="4294967294" count="1" selected="0">
            <x v="1"/>
          </reference>
          <reference field="1" count="1" defaultSubtotal="1">
            <x v="0"/>
          </reference>
        </references>
      </pivotArea>
    </format>
    <format dxfId="898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899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900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901">
      <pivotArea dataOnly="0" labelOnly="1" outline="0" fieldPosition="0">
        <references count="2">
          <reference field="4294967294" count="1" selected="0">
            <x v="2"/>
          </reference>
          <reference field="1" count="1" defaultSubtotal="1">
            <x v="0"/>
          </reference>
        </references>
      </pivotArea>
    </format>
    <format dxfId="902">
      <pivotArea dataOnly="0" labelOnly="1" outline="0" fieldPosition="0">
        <references count="2">
          <reference field="4294967294" count="1" selected="0">
            <x v="0"/>
          </reference>
          <reference field="1" count="1" defaultSubtotal="1">
            <x v="1"/>
          </reference>
        </references>
      </pivotArea>
    </format>
    <format dxfId="903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904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905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906">
      <pivotArea dataOnly="0" labelOnly="1" outline="0" fieldPosition="0">
        <references count="2">
          <reference field="4294967294" count="1" selected="0">
            <x v="1"/>
          </reference>
          <reference field="1" count="1" defaultSubtotal="1">
            <x v="1"/>
          </reference>
        </references>
      </pivotArea>
    </format>
    <format dxfId="907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908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909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910">
      <pivotArea dataOnly="0" labelOnly="1" outline="0" fieldPosition="0">
        <references count="2">
          <reference field="4294967294" count="1" selected="0">
            <x v="2"/>
          </reference>
          <reference field="1" count="1" defaultSubtotal="1">
            <x v="1"/>
          </reference>
        </references>
      </pivotArea>
    </format>
    <format dxfId="911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912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8" count="0" defaultSubtotal="1"/>
        </references>
      </pivotArea>
    </format>
    <format dxfId="913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8" count="0" defaultSubtotal="1"/>
        </references>
      </pivotArea>
    </format>
    <format dxfId="914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8" count="0" defaultSubtotal="1"/>
        </references>
      </pivotArea>
    </format>
    <format dxfId="915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916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8" count="0" defaultSubtotal="1"/>
        </references>
      </pivotArea>
    </format>
    <format dxfId="917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8" count="0" defaultSubtotal="1"/>
        </references>
      </pivotArea>
    </format>
    <format dxfId="918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8" count="0" defaultSubtotal="1"/>
        </references>
      </pivotArea>
    </format>
    <format dxfId="919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920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1" defaultSubtotal="1">
            <x v="0"/>
          </reference>
        </references>
      </pivotArea>
    </format>
    <format dxfId="921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0" defaultSubtotal="1"/>
        </references>
      </pivotArea>
    </format>
    <format dxfId="922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0" defaultSubtotal="1"/>
        </references>
      </pivotArea>
    </format>
    <format dxfId="923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0" defaultSubtotal="1"/>
        </references>
      </pivotArea>
    </format>
    <format dxfId="924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1" defaultSubtotal="1">
            <x v="0"/>
          </reference>
        </references>
      </pivotArea>
    </format>
    <format dxfId="925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0" defaultSubtotal="1"/>
        </references>
      </pivotArea>
    </format>
    <format dxfId="926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0" defaultSubtotal="1"/>
        </references>
      </pivotArea>
    </format>
    <format dxfId="927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0" defaultSubtotal="1"/>
        </references>
      </pivotArea>
    </format>
    <format dxfId="928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1" defaultSubtotal="1">
            <x v="0"/>
          </reference>
        </references>
      </pivotArea>
    </format>
    <format dxfId="929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1" defaultSubtotal="1">
            <x v="1"/>
          </reference>
        </references>
      </pivotArea>
    </format>
    <format dxfId="930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0" defaultSubtotal="1"/>
        </references>
      </pivotArea>
    </format>
    <format dxfId="931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0" defaultSubtotal="1"/>
        </references>
      </pivotArea>
    </format>
    <format dxfId="932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0" defaultSubtotal="1"/>
        </references>
      </pivotArea>
    </format>
    <format dxfId="933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1" defaultSubtotal="1">
            <x v="1"/>
          </reference>
        </references>
      </pivotArea>
    </format>
    <format dxfId="934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0" defaultSubtotal="1"/>
        </references>
      </pivotArea>
    </format>
    <format dxfId="935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0" defaultSubtotal="1"/>
        </references>
      </pivotArea>
    </format>
    <format dxfId="936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0" defaultSubtotal="1"/>
        </references>
      </pivotArea>
    </format>
    <format dxfId="937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1" defaultSubtotal="1">
            <x v="1"/>
          </reference>
        </references>
      </pivotArea>
    </format>
    <format dxfId="938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939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40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41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42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943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44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45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46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947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948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49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50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51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952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53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54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5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956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957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58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59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60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961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62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63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64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965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966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67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68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69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970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71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72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973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974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975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976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977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978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979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980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981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982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983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984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98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986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987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988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989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990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991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992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993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994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995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996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997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998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999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000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1001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1002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003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004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005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1006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007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008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009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1010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011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1012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1013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1014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01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1016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1017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1018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01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02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02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02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02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02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02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02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02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02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02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03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03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03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03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03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03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03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03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03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03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04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04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04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04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04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045">
      <pivotArea type="all" dataOnly="0" outline="0" fieldPosition="0"/>
    </format>
    <format dxfId="1046">
      <pivotArea outline="0" collapsedLevelsAreSubtotals="1" fieldPosition="0">
        <references count="1">
          <reference field="1" count="1" selected="0" defaultSubtotal="1">
            <x v="0"/>
          </reference>
        </references>
      </pivotArea>
    </format>
    <format dxfId="1047">
      <pivotArea dataOnly="0" labelOnly="1" outline="0" fieldPosition="0">
        <references count="3">
          <reference field="6" count="1" selected="0">
            <x v="5"/>
          </reference>
          <reference field="11" count="1">
            <x v="70"/>
          </reference>
          <reference field="12" count="1" selected="0">
            <x v="22"/>
          </reference>
        </references>
      </pivotArea>
    </format>
    <format dxfId="1048">
      <pivotArea dataOnly="0" labelOnly="1" outline="0" fieldPosition="0">
        <references count="3">
          <reference field="6" count="1" selected="0">
            <x v="5"/>
          </reference>
          <reference field="11" count="1">
            <x v="70"/>
          </reference>
          <reference field="12" count="1" selected="0">
            <x v="22"/>
          </reference>
        </references>
      </pivotArea>
    </format>
    <format dxfId="1049">
      <pivotArea dataOnly="0" labelOnly="1" outline="0" fieldPosition="0">
        <references count="3">
          <reference field="6" count="1" selected="0">
            <x v="3"/>
          </reference>
          <reference field="11" count="1">
            <x v="64"/>
          </reference>
          <reference field="12" count="1" selected="0">
            <x v="18"/>
          </reference>
        </references>
      </pivotArea>
    </format>
  </format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" dataPosition="4" autoFormatId="1" applyNumberFormats="0" applyBorderFormats="0" applyFontFormats="0" applyPatternFormats="0" applyAlignmentFormats="0" applyWidthHeightFormats="1" dataCaption="Values" updatedVersion="8" minRefreshableVersion="3" createdVersion="4" mergeItem="1" colGrandTotals="0" compact="0" indent="127" outline="1" compactData="0" outlineData="1" showDrill="1" multipleFieldFilters="0">
  <location ref="A5:DS111" firstHeaderRow="1" firstDataRow="6" firstDataCol="3"/>
  <pivotFields count="41">
    <pivotField compact="0" defaultSubtotal="0" showAll="0"/>
    <pivotField axis="axisCol" name="PROPOSAL/BEDS" compact="0" multipleItemSelectionAllowed="1" showAll="0">
      <items count="4">
        <item x="0"/>
        <item x="1"/>
        <item h="1" x="2"/>
        <item t="default"/>
      </items>
    </pivotField>
    <pivotField compact="0" defaultSubtotal="0" showAll="0"/>
    <pivotField compact="0" defaultSubtotal="0" showAll="0"/>
    <pivotField compact="0" defaultSubtotal="0" showAll="0"/>
    <pivotField compact="0" defaultSubtotal="0" showAll="0"/>
    <pivotField axis="axisRow" compact="0" defaultSubtotal="0" showAll="0">
      <items count="7">
        <item x="0"/>
        <item x="1"/>
        <item x="2"/>
        <item x="3"/>
        <item x="4"/>
        <item x="5"/>
        <item m="1" x="6"/>
      </items>
    </pivotField>
    <pivotField compact="0" defaultSubtotal="0" showAll="0"/>
    <pivotField compact="0" defaultSubtotal="0" showAll="0"/>
    <pivotField compact="0" defaultSubtotal="0" showAll="0"/>
    <pivotField compact="0" defaultSubtotal="0" showAll="0"/>
    <pivotField axis="axisRow" compact="0" defaultSubtotal="0" showAll="0">
      <items count="77">
        <item m="1" x="7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m="1" x="7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74"/>
        <item x="34"/>
        <item m="1" x="75"/>
        <item x="71"/>
        <item x="72"/>
      </items>
    </pivotField>
    <pivotField axis="axisRow" compact="0" defaultSubtotal="0" showAll="0">
      <items count="24"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13"/>
      </items>
    </pivotField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axis="axisCol" compact="0" defaultSubtotal="0" showAll="0">
      <items count="16">
        <item x="8"/>
        <item x="3"/>
        <item x="0"/>
        <item x="1"/>
        <item x="9"/>
        <item x="4"/>
        <item x="2"/>
        <item x="5"/>
        <item x="6"/>
        <item x="7"/>
        <item x="10"/>
        <item x="11"/>
        <item x="13"/>
        <item x="12"/>
        <item x="14"/>
        <item x="15"/>
      </items>
    </pivotField>
    <pivotField axis="axisCol" compact="0" showAll="0">
      <items count="7">
        <item x="0"/>
        <item x="4"/>
        <item x="1"/>
        <item x="2"/>
        <item x="3"/>
        <item x="5"/>
        <item t="default"/>
      </items>
    </pivotField>
    <pivotField compact="0" defaultSubtotal="0" showAll="0"/>
    <pivotField axis="axisCol" compact="0" showAll="0">
      <items count="4">
        <item x="0"/>
        <item x="1"/>
        <item x="2"/>
        <item t="default"/>
      </items>
    </pivotField>
    <pivotField dataField="1" compact="0" defaultSubtotal="0" showAll="0"/>
    <pivotField dataField="1" compact="0" defaultSubtotal="0" showAll="0"/>
    <pivotField dataField="1"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</pivotFields>
  <rowFields count="3">
    <field x="6"/>
    <field x="12"/>
    <field x="11"/>
  </rowFields>
  <rowItems count="101">
    <i>
      <x/>
    </i>
    <i r="1">
      <x v="1"/>
    </i>
    <i r="2">
      <x v="1"/>
    </i>
    <i r="1">
      <x v="2"/>
    </i>
    <i r="2">
      <x v="2"/>
    </i>
    <i r="2">
      <x v="9"/>
    </i>
    <i r="2">
      <x v="10"/>
    </i>
    <i r="1">
      <x v="3"/>
    </i>
    <i r="2">
      <x v="3"/>
    </i>
    <i r="2">
      <x v="4"/>
    </i>
    <i r="1">
      <x v="4"/>
    </i>
    <i r="2">
      <x v="5"/>
    </i>
    <i r="2">
      <x v="6"/>
    </i>
    <i r="1">
      <x v="5"/>
    </i>
    <i r="2">
      <x v="7"/>
    </i>
    <i r="2">
      <x v="8"/>
    </i>
    <i r="1">
      <x v="6"/>
    </i>
    <i r="2">
      <x v="11"/>
    </i>
    <i r="2">
      <x v="12"/>
    </i>
    <i r="2">
      <x v="13"/>
    </i>
    <i r="2">
      <x v="17"/>
    </i>
    <i r="1">
      <x v="7"/>
    </i>
    <i r="2">
      <x v="14"/>
    </i>
    <i r="2">
      <x v="15"/>
    </i>
    <i r="2">
      <x v="16"/>
    </i>
    <i r="1">
      <x v="8"/>
    </i>
    <i r="2">
      <x v="18"/>
    </i>
    <i r="2">
      <x v="19"/>
    </i>
    <i r="1">
      <x v="9"/>
    </i>
    <i r="2">
      <x v="20"/>
    </i>
    <i r="2">
      <x v="21"/>
    </i>
    <i r="1">
      <x v="10"/>
    </i>
    <i r="2">
      <x v="22"/>
    </i>
    <i r="2">
      <x v="23"/>
    </i>
    <i r="2">
      <x v="24"/>
    </i>
    <i r="2">
      <x v="25"/>
    </i>
    <i r="2">
      <x v="26"/>
    </i>
    <i r="2">
      <x v="27"/>
    </i>
    <i>
      <x v="1"/>
    </i>
    <i r="1">
      <x v="11"/>
    </i>
    <i r="2">
      <x v="28"/>
    </i>
    <i r="2">
      <x v="37"/>
    </i>
    <i r="2">
      <x v="41"/>
    </i>
    <i r="2">
      <x v="45"/>
    </i>
    <i r="1">
      <x v="12"/>
    </i>
    <i r="2">
      <x v="29"/>
    </i>
    <i r="2">
      <x v="42"/>
    </i>
    <i r="2">
      <x v="46"/>
    </i>
    <i r="1">
      <x v="13"/>
    </i>
    <i r="2">
      <x v="30"/>
    </i>
    <i r="2">
      <x v="31"/>
    </i>
    <i r="2">
      <x v="32"/>
    </i>
    <i r="2">
      <x v="33"/>
    </i>
    <i r="2">
      <x v="34"/>
    </i>
    <i r="2">
      <x v="38"/>
    </i>
    <i r="2">
      <x v="39"/>
    </i>
    <i r="2">
      <x v="43"/>
    </i>
    <i r="2">
      <x v="47"/>
    </i>
    <i r="1">
      <x v="14"/>
    </i>
    <i r="2">
      <x v="36"/>
    </i>
    <i r="2">
      <x v="40"/>
    </i>
    <i r="2">
      <x v="44"/>
    </i>
    <i r="2">
      <x v="48"/>
    </i>
    <i r="2">
      <x v="52"/>
    </i>
    <i r="2">
      <x v="53"/>
    </i>
    <i r="1">
      <x v="15"/>
    </i>
    <i r="2">
      <x v="49"/>
    </i>
    <i r="2">
      <x v="50"/>
    </i>
    <i r="2">
      <x v="51"/>
    </i>
    <i r="1">
      <x v="23"/>
    </i>
    <i r="2">
      <x v="73"/>
    </i>
    <i>
      <x v="2"/>
    </i>
    <i r="1">
      <x v="16"/>
    </i>
    <i r="2">
      <x v="54"/>
    </i>
    <i>
      <x v="3"/>
    </i>
    <i r="1">
      <x v="17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18"/>
    </i>
    <i r="2">
      <x v="61"/>
    </i>
    <i r="2">
      <x v="64"/>
    </i>
    <i r="1">
      <x v="19"/>
    </i>
    <i r="2">
      <x v="62"/>
    </i>
    <i r="2">
      <x v="65"/>
    </i>
    <i r="1">
      <x v="20"/>
    </i>
    <i r="2">
      <x v="63"/>
    </i>
    <i>
      <x v="4"/>
    </i>
    <i r="1">
      <x v="21"/>
    </i>
    <i r="2">
      <x v="66"/>
    </i>
    <i r="2">
      <x v="67"/>
    </i>
    <i>
      <x v="5"/>
    </i>
    <i r="1">
      <x v="22"/>
    </i>
    <i r="2">
      <x v="68"/>
    </i>
    <i r="2">
      <x v="69"/>
    </i>
    <i r="2">
      <x v="70"/>
    </i>
    <i r="2">
      <x v="71"/>
    </i>
    <i t="grand">
      <x/>
    </i>
  </rowItems>
  <colFields count="5">
    <field x="1"/>
    <field x="28"/>
    <field x="26"/>
    <field x="25"/>
    <field x="-2"/>
  </colFields>
  <colItems count="120">
    <i>
      <x/>
      <x/>
      <x/>
      <x/>
      <x/>
    </i>
    <i r="4" i="1">
      <x v="1"/>
    </i>
    <i r="4" i="2">
      <x v="2"/>
    </i>
    <i r="3">
      <x v="1"/>
      <x/>
    </i>
    <i r="4" i="1">
      <x v="1"/>
    </i>
    <i r="4" i="2">
      <x v="2"/>
    </i>
    <i r="3">
      <x v="2"/>
      <x/>
    </i>
    <i r="4" i="1">
      <x v="1"/>
    </i>
    <i r="4" i="2">
      <x v="2"/>
    </i>
    <i t="default" r="2">
      <x/>
    </i>
    <i t="default" r="2" i="1">
      <x/>
    </i>
    <i t="default" r="2" i="2">
      <x/>
    </i>
    <i r="2">
      <x v="2"/>
      <x v="3"/>
      <x/>
    </i>
    <i r="4" i="1">
      <x v="1"/>
    </i>
    <i r="4" i="2">
      <x v="2"/>
    </i>
    <i r="3">
      <x v="4"/>
      <x/>
    </i>
    <i r="4" i="1">
      <x v="1"/>
    </i>
    <i r="4" i="2">
      <x v="2"/>
    </i>
    <i r="3">
      <x v="5"/>
      <x/>
    </i>
    <i r="4" i="1">
      <x v="1"/>
    </i>
    <i r="4" i="2">
      <x v="2"/>
    </i>
    <i t="default" r="2">
      <x v="2"/>
    </i>
    <i t="default" r="2" i="1">
      <x v="2"/>
    </i>
    <i t="default" r="2" i="2">
      <x v="2"/>
    </i>
    <i r="2">
      <x v="3"/>
      <x v="6"/>
      <x/>
    </i>
    <i r="4" i="1">
      <x v="1"/>
    </i>
    <i r="4" i="2">
      <x v="2"/>
    </i>
    <i r="3">
      <x v="7"/>
      <x/>
    </i>
    <i r="4" i="1">
      <x v="1"/>
    </i>
    <i r="4" i="2">
      <x v="2"/>
    </i>
    <i r="3">
      <x v="8"/>
      <x/>
    </i>
    <i r="4" i="1">
      <x v="1"/>
    </i>
    <i r="4" i="2">
      <x v="2"/>
    </i>
    <i t="default" r="2">
      <x v="3"/>
    </i>
    <i t="default" r="2" i="1">
      <x v="3"/>
    </i>
    <i t="default" r="2" i="2">
      <x v="3"/>
    </i>
    <i r="2">
      <x v="4"/>
      <x v="9"/>
      <x/>
    </i>
    <i r="4" i="1">
      <x v="1"/>
    </i>
    <i r="4" i="2">
      <x v="2"/>
    </i>
    <i r="3">
      <x v="10"/>
      <x/>
    </i>
    <i r="4" i="1">
      <x v="1"/>
    </i>
    <i r="4" i="2">
      <x v="2"/>
    </i>
    <i r="3">
      <x v="11"/>
      <x/>
    </i>
    <i r="4" i="1">
      <x v="1"/>
    </i>
    <i r="4" i="2">
      <x v="2"/>
    </i>
    <i t="default" r="2">
      <x v="4"/>
    </i>
    <i t="default" r="2" i="1">
      <x v="4"/>
    </i>
    <i t="default" r="2" i="2">
      <x v="4"/>
    </i>
    <i t="default" r="1">
      <x/>
    </i>
    <i t="default" r="1" i="1">
      <x/>
    </i>
    <i t="default" r="1" i="2">
      <x/>
    </i>
    <i t="default">
      <x/>
    </i>
    <i t="default" i="1">
      <x/>
    </i>
    <i t="default" i="2">
      <x/>
    </i>
    <i>
      <x v="1"/>
      <x/>
      <x/>
      <x v="1"/>
      <x/>
    </i>
    <i r="4" i="1">
      <x v="1"/>
    </i>
    <i r="4" i="2">
      <x v="2"/>
    </i>
    <i r="3">
      <x v="2"/>
      <x/>
    </i>
    <i r="4" i="1">
      <x v="1"/>
    </i>
    <i r="4" i="2">
      <x v="2"/>
    </i>
    <i t="default" r="2">
      <x/>
    </i>
    <i t="default" r="2" i="1">
      <x/>
    </i>
    <i t="default" r="2" i="2">
      <x/>
    </i>
    <i r="2">
      <x v="2"/>
      <x v="3"/>
      <x/>
    </i>
    <i r="4" i="1">
      <x v="1"/>
    </i>
    <i r="4" i="2">
      <x v="2"/>
    </i>
    <i r="3">
      <x v="4"/>
      <x/>
    </i>
    <i r="4" i="1">
      <x v="1"/>
    </i>
    <i r="4" i="2">
      <x v="2"/>
    </i>
    <i r="3">
      <x v="5"/>
      <x/>
    </i>
    <i r="4" i="1">
      <x v="1"/>
    </i>
    <i r="4" i="2">
      <x v="2"/>
    </i>
    <i t="default" r="2">
      <x v="2"/>
    </i>
    <i t="default" r="2" i="1">
      <x v="2"/>
    </i>
    <i t="default" r="2" i="2">
      <x v="2"/>
    </i>
    <i r="2">
      <x v="3"/>
      <x v="6"/>
      <x/>
    </i>
    <i r="4" i="1">
      <x v="1"/>
    </i>
    <i r="4" i="2">
      <x v="2"/>
    </i>
    <i r="3">
      <x v="7"/>
      <x/>
    </i>
    <i r="4" i="1">
      <x v="1"/>
    </i>
    <i r="4" i="2">
      <x v="2"/>
    </i>
    <i r="3">
      <x v="8"/>
      <x/>
    </i>
    <i r="4" i="1">
      <x v="1"/>
    </i>
    <i r="4" i="2">
      <x v="2"/>
    </i>
    <i t="default" r="2">
      <x v="3"/>
    </i>
    <i t="default" r="2" i="1">
      <x v="3"/>
    </i>
    <i t="default" r="2" i="2">
      <x v="3"/>
    </i>
    <i r="2">
      <x v="4"/>
      <x v="9"/>
      <x/>
    </i>
    <i r="4" i="1">
      <x v="1"/>
    </i>
    <i r="4" i="2">
      <x v="2"/>
    </i>
    <i r="3">
      <x v="10"/>
      <x/>
    </i>
    <i r="4" i="1">
      <x v="1"/>
    </i>
    <i r="4" i="2">
      <x v="2"/>
    </i>
    <i r="3">
      <x v="11"/>
      <x/>
    </i>
    <i r="4" i="1">
      <x v="1"/>
    </i>
    <i r="4" i="2">
      <x v="2"/>
    </i>
    <i t="default" r="2">
      <x v="4"/>
    </i>
    <i t="default" r="2" i="1">
      <x v="4"/>
    </i>
    <i t="default" r="2" i="2">
      <x v="4"/>
    </i>
    <i t="default" r="1">
      <x/>
    </i>
    <i t="default" r="1" i="1">
      <x/>
    </i>
    <i t="default" r="1" i="2">
      <x/>
    </i>
    <i r="1">
      <x v="1"/>
      <x v="1"/>
      <x v="12"/>
      <x/>
    </i>
    <i r="4" i="1">
      <x v="1"/>
    </i>
    <i r="4" i="2">
      <x v="2"/>
    </i>
    <i r="3">
      <x v="13"/>
      <x/>
    </i>
    <i r="4" i="1">
      <x v="1"/>
    </i>
    <i r="4" i="2">
      <x v="2"/>
    </i>
    <i r="3">
      <x v="14"/>
      <x/>
    </i>
    <i r="4" i="1">
      <x v="1"/>
    </i>
    <i r="4" i="2">
      <x v="2"/>
    </i>
    <i t="default" r="2">
      <x v="1"/>
    </i>
    <i t="default" r="2" i="1">
      <x v="1"/>
    </i>
    <i t="default" r="2" i="2">
      <x v="1"/>
    </i>
    <i t="default" r="1">
      <x v="1"/>
    </i>
    <i t="default" r="1" i="1">
      <x v="1"/>
    </i>
    <i t="default" r="1" i="2">
      <x v="1"/>
    </i>
    <i t="default">
      <x v="1"/>
    </i>
    <i t="default" i="1">
      <x v="1"/>
    </i>
    <i t="default" i="2">
      <x v="1"/>
    </i>
  </colItems>
  <dataFields count="3">
    <dataField name="MOOE" fld="29" baseField="6" baseItem="0"/>
    <dataField name="CO" fld="30" baseField="6" baseItem="0"/>
    <dataField name="TOTAL" fld="31" baseField="6" baseItem="0"/>
  </dataFields>
  <formats count="1200">
    <format dxfId="1050">
      <pivotArea field="6" type="button" dataOnly="0" labelOnly="1" outline="0" fieldPosition="0"/>
    </format>
    <format dxfId="1051">
      <pivotArea field="12" type="button" dataOnly="0" labelOnly="1" outline="0" fieldPosition="0"/>
    </format>
    <format dxfId="1052">
      <pivotArea field="11" type="button" dataOnly="0" labelOnly="1" outline="0" fieldPosition="0"/>
    </format>
    <format dxfId="1053">
      <pivotArea dataOnly="0" labelOnly="1" outline="0" fieldPosition="0">
        <references count="1">
          <reference field="1" count="0"/>
        </references>
      </pivotArea>
    </format>
    <format dxfId="1054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1055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1056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1057">
      <pivotArea dataOnly="0" labelOnly="1" outline="0" fieldPosition="0">
        <references count="2">
          <reference field="1" count="1" selected="0">
            <x v="0"/>
          </reference>
          <reference field="28" count="0"/>
        </references>
      </pivotArea>
    </format>
    <format dxfId="1058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8" count="0" defaultSubtotal="1"/>
        </references>
      </pivotArea>
    </format>
    <format dxfId="1059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8" count="0" defaultSubtotal="1"/>
        </references>
      </pivotArea>
    </format>
    <format dxfId="1060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8" count="0" defaultSubtotal="1"/>
        </references>
      </pivotArea>
    </format>
    <format dxfId="1061">
      <pivotArea dataOnly="0" labelOnly="1" outline="0" fieldPosition="0">
        <references count="2">
          <reference field="1" count="1" selected="0">
            <x v="1"/>
          </reference>
          <reference field="28" count="0"/>
        </references>
      </pivotArea>
    </format>
    <format dxfId="1062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0" defaultSubtotal="1"/>
        </references>
      </pivotArea>
    </format>
    <format dxfId="1063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0" defaultSubtotal="1"/>
        </references>
      </pivotArea>
    </format>
    <format dxfId="1064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0" defaultSubtotal="1"/>
        </references>
      </pivotArea>
    </format>
    <format dxfId="1065">
      <pivotArea dataOnly="0" labelOnly="1" outline="0" fieldPosition="0">
        <references count="3">
          <reference field="1" count="1" selected="0">
            <x v="0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066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067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068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069">
      <pivotArea dataOnly="0" labelOnly="1" outline="0" fieldPosition="0">
        <references count="3">
          <reference field="1" count="1" selected="0">
            <x v="0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1070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071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072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073">
      <pivotArea dataOnly="0" labelOnly="1" outline="0" fieldPosition="0">
        <references count="3">
          <reference field="1" count="1" selected="0">
            <x v="1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074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075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076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077">
      <pivotArea dataOnly="0" labelOnly="1" outline="0" fieldPosition="0">
        <references count="3">
          <reference field="1" count="1" selected="0">
            <x v="1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1078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079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080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081">
      <pivotArea dataOnly="0" labelOnly="1" outline="0" fieldPosition="0">
        <references count="4">
          <reference field="1" count="1" selected="0">
            <x v="0"/>
          </reference>
          <reference field="25" count="3">
            <x v="0"/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082">
      <pivotArea dataOnly="0" labelOnly="1" outline="0" fieldPosition="0">
        <references count="4">
          <reference field="1" count="1" selected="0">
            <x v="0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083">
      <pivotArea dataOnly="0" labelOnly="1" outline="0" fieldPosition="0">
        <references count="4">
          <reference field="1" count="1" selected="0">
            <x v="0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084">
      <pivotArea dataOnly="0" labelOnly="1" outline="0" fieldPosition="0">
        <references count="4">
          <reference field="1" count="1" selected="0">
            <x v="0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085">
      <pivotArea dataOnly="0" labelOnly="1" outline="0" fieldPosition="0">
        <references count="4">
          <reference field="1" count="1" selected="0">
            <x v="0"/>
          </reference>
          <reference field="25" count="3">
            <x v="12"/>
            <x v="13"/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086">
      <pivotArea dataOnly="0" labelOnly="1" outline="0" fieldPosition="0">
        <references count="4">
          <reference field="1" count="1" selected="0">
            <x v="1"/>
          </reference>
          <reference field="25" count="1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087">
      <pivotArea dataOnly="0" labelOnly="1" outline="0" fieldPosition="0">
        <references count="4">
          <reference field="1" count="1" selected="0">
            <x v="1"/>
          </reference>
          <reference field="25" count="1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088">
      <pivotArea dataOnly="0" labelOnly="1" outline="0" fieldPosition="0">
        <references count="4">
          <reference field="1" count="1" selected="0">
            <x v="1"/>
          </reference>
          <reference field="25" count="1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089">
      <pivotArea dataOnly="0" labelOnly="1" outline="0" fieldPosition="0">
        <references count="4">
          <reference field="1" count="1" selected="0">
            <x v="1"/>
          </reference>
          <reference field="25" count="1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090">
      <pivotArea dataOnly="0" labelOnly="1" outline="0" fieldPosition="0">
        <references count="4">
          <reference field="1" count="1" selected="0">
            <x v="1"/>
          </reference>
          <reference field="25" count="1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09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09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09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09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09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09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09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09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09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10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10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10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10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10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10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10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10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10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10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11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111">
      <pivotArea dataOnly="0" labelOnly="1" outline="0" fieldPosition="0">
        <references count="1">
          <reference field="1" count="1">
            <x v="0"/>
          </reference>
        </references>
      </pivotArea>
    </format>
    <format dxfId="1112">
      <pivotArea dataOnly="0" labelOnly="1" outline="0" fieldPosition="0">
        <references count="1">
          <reference field="1" count="1">
            <x v="0"/>
          </reference>
        </references>
      </pivotArea>
    </format>
    <format dxfId="1113">
      <pivotArea dataOnly="0" labelOnly="1" outline="0" fieldPosition="0">
        <references count="1">
          <reference field="1" count="1">
            <x v="0"/>
          </reference>
        </references>
      </pivotArea>
    </format>
    <format dxfId="1114">
      <pivotArea dataOnly="0" labelOnly="1" outline="0" fieldPosition="0">
        <references count="1">
          <reference field="1" count="1">
            <x v="0"/>
          </reference>
        </references>
      </pivotArea>
    </format>
    <format dxfId="1115">
      <pivotArea field="6" type="button" dataOnly="0" labelOnly="1" outline="0" fieldPosition="0"/>
    </format>
    <format dxfId="1116">
      <pivotArea field="12" type="button" dataOnly="0" labelOnly="1" outline="0" fieldPosition="0"/>
    </format>
    <format dxfId="1117">
      <pivotArea field="11" type="button" dataOnly="0" labelOnly="1" outline="0" fieldPosition="0"/>
    </format>
    <format dxfId="1118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1119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1120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1121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8" count="0" defaultSubtotal="1"/>
        </references>
      </pivotArea>
    </format>
    <format dxfId="1122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8" count="0" defaultSubtotal="1"/>
        </references>
      </pivotArea>
    </format>
    <format dxfId="1123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8" count="0" defaultSubtotal="1"/>
        </references>
      </pivotArea>
    </format>
    <format dxfId="1124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0" defaultSubtotal="1"/>
        </references>
      </pivotArea>
    </format>
    <format dxfId="1125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0" defaultSubtotal="1"/>
        </references>
      </pivotArea>
    </format>
    <format dxfId="1126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0" defaultSubtotal="1"/>
        </references>
      </pivotArea>
    </format>
    <format dxfId="1127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1" defaultSubtotal="1">
            <x v="1"/>
          </reference>
        </references>
      </pivotArea>
    </format>
    <format dxfId="1128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129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130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131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1"/>
          </reference>
        </references>
      </pivotArea>
    </format>
    <format dxfId="1132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1"/>
          </reference>
        </references>
      </pivotArea>
    </format>
    <format dxfId="1133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1"/>
          </reference>
        </references>
      </pivotArea>
    </format>
    <format dxfId="1134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13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136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137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138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1139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1140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1141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14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14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14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14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14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14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14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14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15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15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15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15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15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15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15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15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15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15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16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16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162">
      <pivotArea dataOnly="0" labelOnly="1" outline="0" fieldPosition="0">
        <references count="1">
          <reference field="1" count="1">
            <x v="1"/>
          </reference>
        </references>
      </pivotArea>
    </format>
    <format dxfId="1163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1" defaultSubtotal="1">
            <x v="1"/>
          </reference>
        </references>
      </pivotArea>
    </format>
    <format dxfId="1164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1" defaultSubtotal="1">
            <x v="1"/>
          </reference>
        </references>
      </pivotArea>
    </format>
    <format dxfId="1165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1" defaultSubtotal="1">
            <x v="1"/>
          </reference>
        </references>
      </pivotArea>
    </format>
    <format dxfId="1166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1" count="1" selected="0">
            <x v="1"/>
          </reference>
          <reference field="28" count="1" selected="0" defaultSubtotal="1">
            <x v="1"/>
          </reference>
        </references>
      </pivotArea>
    </format>
    <format dxfId="1167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1" count="1" selected="0">
            <x v="1"/>
          </reference>
          <reference field="28" count="1" selected="0" defaultSubtotal="1">
            <x v="1"/>
          </reference>
        </references>
      </pivotArea>
    </format>
    <format dxfId="1168">
      <pivotArea outline="0" collapsedLevelsAreSubtotals="1" fieldPosition="0">
        <references count="1">
          <reference field="1" count="1" selected="0" defaultSubtotal="1">
            <x v="0"/>
          </reference>
        </references>
      </pivotArea>
    </format>
    <format dxfId="1169">
      <pivotArea outline="0" collapsedLevelsAreSubtotals="1" fieldPosition="0">
        <references count="2">
          <reference field="1" count="1" selected="0">
            <x v="1"/>
          </reference>
          <reference field="28" count="0" selected="0" defaultSubtotal="1"/>
        </references>
      </pivotArea>
    </format>
    <format dxfId="1170">
      <pivotArea field="1" type="button" dataOnly="0" labelOnly="1" outline="0" fieldPosition="0"/>
    </format>
    <format dxfId="1171">
      <pivotArea field="28" type="button" dataOnly="0" labelOnly="1" outline="0" fieldPosition="0"/>
    </format>
    <format dxfId="1172">
      <pivotArea field="26" type="button" dataOnly="0" labelOnly="1" outline="0" fieldPosition="0"/>
    </format>
    <format dxfId="1173">
      <pivotArea field="25" type="button" dataOnly="0" labelOnly="1" outline="0" fieldPosition="0"/>
    </format>
    <format dxfId="1174">
      <pivotArea field="-2" type="button" dataOnly="0" labelOnly="1" outline="0" fieldPosition="0"/>
    </format>
    <format dxfId="1175">
      <pivotArea type="topRight" dataOnly="0" labelOnly="1" outline="0" fieldPosition="0"/>
    </format>
    <format dxfId="1176">
      <pivotArea dataOnly="0" labelOnly="1" outline="0" fieldPosition="0">
        <references count="1">
          <reference field="1" count="0"/>
        </references>
      </pivotArea>
    </format>
    <format dxfId="1177">
      <pivotArea dataOnly="0" labelOnly="1" outline="0" fieldPosition="0">
        <references count="2">
          <reference field="4294967294" count="1" selected="0">
            <x v="0"/>
          </reference>
          <reference field="1" count="1" defaultSubtotal="1">
            <x v="0"/>
          </reference>
        </references>
      </pivotArea>
    </format>
    <format dxfId="1178">
      <pivotArea dataOnly="0" labelOnly="1" outline="0" fieldPosition="0">
        <references count="2">
          <reference field="4294967294" count="1" selected="0">
            <x v="1"/>
          </reference>
          <reference field="1" count="1" defaultSubtotal="1">
            <x v="0"/>
          </reference>
        </references>
      </pivotArea>
    </format>
    <format dxfId="1179">
      <pivotArea dataOnly="0" labelOnly="1" outline="0" fieldPosition="0">
        <references count="2">
          <reference field="4294967294" count="1" selected="0">
            <x v="2"/>
          </reference>
          <reference field="1" count="1" defaultSubtotal="1">
            <x v="0"/>
          </reference>
        </references>
      </pivotArea>
    </format>
    <format dxfId="1180">
      <pivotArea dataOnly="0" labelOnly="1" outline="0" fieldPosition="0">
        <references count="2">
          <reference field="1" count="1" selected="0">
            <x v="0"/>
          </reference>
          <reference field="28" count="0"/>
        </references>
      </pivotArea>
    </format>
    <format dxfId="1181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8" count="0" defaultSubtotal="1"/>
        </references>
      </pivotArea>
    </format>
    <format dxfId="1182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8" count="0" defaultSubtotal="1"/>
        </references>
      </pivotArea>
    </format>
    <format dxfId="1183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8" count="0" defaultSubtotal="1"/>
        </references>
      </pivotArea>
    </format>
    <format dxfId="1184">
      <pivotArea dataOnly="0" labelOnly="1" outline="0" fieldPosition="0">
        <references count="2">
          <reference field="1" count="1" selected="0">
            <x v="1"/>
          </reference>
          <reference field="28" count="0"/>
        </references>
      </pivotArea>
    </format>
    <format dxfId="1185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0" defaultSubtotal="1"/>
        </references>
      </pivotArea>
    </format>
    <format dxfId="1186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0" defaultSubtotal="1"/>
        </references>
      </pivotArea>
    </format>
    <format dxfId="1187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0" defaultSubtotal="1"/>
        </references>
      </pivotArea>
    </format>
    <format dxfId="1188">
      <pivotArea dataOnly="0" labelOnly="1" outline="0" fieldPosition="0">
        <references count="3">
          <reference field="1" count="1" selected="0">
            <x v="0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189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190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191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192">
      <pivotArea dataOnly="0" labelOnly="1" outline="0" fieldPosition="0">
        <references count="3">
          <reference field="1" count="1" selected="0">
            <x v="0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1193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194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19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196">
      <pivotArea dataOnly="0" labelOnly="1" outline="0" fieldPosition="0">
        <references count="3">
          <reference field="1" count="1" selected="0">
            <x v="1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197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198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199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200">
      <pivotArea dataOnly="0" labelOnly="1" outline="0" fieldPosition="0">
        <references count="3">
          <reference field="1" count="1" selected="0">
            <x v="1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1201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202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203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204">
      <pivotArea dataOnly="0" labelOnly="1" outline="0" fieldPosition="0">
        <references count="4">
          <reference field="1" count="1" selected="0">
            <x v="0"/>
          </reference>
          <reference field="25" count="3">
            <x v="0"/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205">
      <pivotArea dataOnly="0" labelOnly="1" outline="0" fieldPosition="0">
        <references count="4">
          <reference field="1" count="1" selected="0">
            <x v="0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206">
      <pivotArea dataOnly="0" labelOnly="1" outline="0" fieldPosition="0">
        <references count="4">
          <reference field="1" count="1" selected="0">
            <x v="0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207">
      <pivotArea dataOnly="0" labelOnly="1" outline="0" fieldPosition="0">
        <references count="4">
          <reference field="1" count="1" selected="0">
            <x v="0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208">
      <pivotArea dataOnly="0" labelOnly="1" outline="0" fieldPosition="0">
        <references count="4">
          <reference field="1" count="1" selected="0">
            <x v="0"/>
          </reference>
          <reference field="25" count="3">
            <x v="12"/>
            <x v="13"/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209">
      <pivotArea dataOnly="0" labelOnly="1" outline="0" fieldPosition="0">
        <references count="4">
          <reference field="1" count="1" selected="0">
            <x v="1"/>
          </reference>
          <reference field="25" count="1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210">
      <pivotArea dataOnly="0" labelOnly="1" outline="0" fieldPosition="0">
        <references count="4">
          <reference field="1" count="1" selected="0">
            <x v="1"/>
          </reference>
          <reference field="25" count="1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211">
      <pivotArea dataOnly="0" labelOnly="1" outline="0" fieldPosition="0">
        <references count="4">
          <reference field="1" count="1" selected="0">
            <x v="1"/>
          </reference>
          <reference field="25" count="1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212">
      <pivotArea dataOnly="0" labelOnly="1" outline="0" fieldPosition="0">
        <references count="4">
          <reference field="1" count="1" selected="0">
            <x v="1"/>
          </reference>
          <reference field="25" count="1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213">
      <pivotArea dataOnly="0" labelOnly="1" outline="0" fieldPosition="0">
        <references count="4">
          <reference field="1" count="1" selected="0">
            <x v="1"/>
          </reference>
          <reference field="25" count="1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21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21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21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21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21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21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22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22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22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22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22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22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22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22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22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22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23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23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23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23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234">
      <pivotArea outline="0" collapsedLevelsAreSubtotals="1" fieldPosition="0">
        <references count="1">
          <reference field="1" count="1" selected="0" defaultSubtotal="1">
            <x v="0"/>
          </reference>
        </references>
      </pivotArea>
    </format>
    <format dxfId="1235">
      <pivotArea outline="0" collapsedLevelsAreSubtotals="1" fieldPosition="0">
        <references count="2">
          <reference field="1" count="1" selected="0">
            <x v="1"/>
          </reference>
          <reference field="28" count="0" selected="0" defaultSubtotal="1"/>
        </references>
      </pivotArea>
    </format>
    <format dxfId="1236">
      <pivotArea field="1" type="button" dataOnly="0" labelOnly="1" outline="0" fieldPosition="0"/>
    </format>
    <format dxfId="1237">
      <pivotArea field="28" type="button" dataOnly="0" labelOnly="1" outline="0" fieldPosition="0"/>
    </format>
    <format dxfId="1238">
      <pivotArea field="26" type="button" dataOnly="0" labelOnly="1" outline="0" fieldPosition="0"/>
    </format>
    <format dxfId="1239">
      <pivotArea field="25" type="button" dataOnly="0" labelOnly="1" outline="0" fieldPosition="0"/>
    </format>
    <format dxfId="1240">
      <pivotArea field="-2" type="button" dataOnly="0" labelOnly="1" outline="0" fieldPosition="0"/>
    </format>
    <format dxfId="1241">
      <pivotArea type="topRight" dataOnly="0" labelOnly="1" outline="0" fieldPosition="0"/>
    </format>
    <format dxfId="1242">
      <pivotArea field="6" type="button" dataOnly="0" labelOnly="1" outline="0" fieldPosition="0"/>
    </format>
    <format dxfId="1243">
      <pivotArea field="12" type="button" dataOnly="0" labelOnly="1" outline="0" fieldPosition="0"/>
    </format>
    <format dxfId="1244">
      <pivotArea field="11" type="button" dataOnly="0" labelOnly="1" outline="0" fieldPosition="0"/>
    </format>
    <format dxfId="1245">
      <pivotArea dataOnly="0" labelOnly="1" outline="0" fieldPosition="0">
        <references count="1">
          <reference field="1" count="0"/>
        </references>
      </pivotArea>
    </format>
    <format dxfId="1246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1247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1248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1249">
      <pivotArea dataOnly="0" labelOnly="1" outline="0" fieldPosition="0">
        <references count="2">
          <reference field="1" count="1" selected="0">
            <x v="0"/>
          </reference>
          <reference field="28" count="0"/>
        </references>
      </pivotArea>
    </format>
    <format dxfId="1250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8" count="0" defaultSubtotal="1"/>
        </references>
      </pivotArea>
    </format>
    <format dxfId="1251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8" count="0" defaultSubtotal="1"/>
        </references>
      </pivotArea>
    </format>
    <format dxfId="1252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8" count="0" defaultSubtotal="1"/>
        </references>
      </pivotArea>
    </format>
    <format dxfId="1253">
      <pivotArea dataOnly="0" labelOnly="1" outline="0" fieldPosition="0">
        <references count="2">
          <reference field="1" count="1" selected="0">
            <x v="1"/>
          </reference>
          <reference field="28" count="0"/>
        </references>
      </pivotArea>
    </format>
    <format dxfId="1254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0" defaultSubtotal="1"/>
        </references>
      </pivotArea>
    </format>
    <format dxfId="1255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0" defaultSubtotal="1"/>
        </references>
      </pivotArea>
    </format>
    <format dxfId="1256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0" defaultSubtotal="1"/>
        </references>
      </pivotArea>
    </format>
    <format dxfId="1257">
      <pivotArea dataOnly="0" labelOnly="1" outline="0" fieldPosition="0">
        <references count="3">
          <reference field="1" count="1" selected="0">
            <x v="0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258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259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260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261">
      <pivotArea dataOnly="0" labelOnly="1" outline="0" fieldPosition="0">
        <references count="3">
          <reference field="1" count="1" selected="0">
            <x v="0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1262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263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264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265">
      <pivotArea dataOnly="0" labelOnly="1" outline="0" fieldPosition="0">
        <references count="3">
          <reference field="1" count="1" selected="0">
            <x v="1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266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267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268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269">
      <pivotArea dataOnly="0" labelOnly="1" outline="0" fieldPosition="0">
        <references count="3">
          <reference field="1" count="1" selected="0">
            <x v="1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1270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271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272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273">
      <pivotArea dataOnly="0" labelOnly="1" outline="0" fieldPosition="0">
        <references count="4">
          <reference field="1" count="1" selected="0">
            <x v="0"/>
          </reference>
          <reference field="25" count="3">
            <x v="0"/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274">
      <pivotArea dataOnly="0" labelOnly="1" outline="0" fieldPosition="0">
        <references count="4">
          <reference field="1" count="1" selected="0">
            <x v="0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275">
      <pivotArea dataOnly="0" labelOnly="1" outline="0" fieldPosition="0">
        <references count="4">
          <reference field="1" count="1" selected="0">
            <x v="0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276">
      <pivotArea dataOnly="0" labelOnly="1" outline="0" fieldPosition="0">
        <references count="4">
          <reference field="1" count="1" selected="0">
            <x v="0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277">
      <pivotArea dataOnly="0" labelOnly="1" outline="0" fieldPosition="0">
        <references count="4">
          <reference field="1" count="1" selected="0">
            <x v="0"/>
          </reference>
          <reference field="25" count="3">
            <x v="12"/>
            <x v="13"/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278">
      <pivotArea dataOnly="0" labelOnly="1" outline="0" fieldPosition="0">
        <references count="4">
          <reference field="1" count="1" selected="0">
            <x v="1"/>
          </reference>
          <reference field="25" count="1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279">
      <pivotArea dataOnly="0" labelOnly="1" outline="0" fieldPosition="0">
        <references count="4">
          <reference field="1" count="1" selected="0">
            <x v="1"/>
          </reference>
          <reference field="25" count="1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280">
      <pivotArea dataOnly="0" labelOnly="1" outline="0" fieldPosition="0">
        <references count="4">
          <reference field="1" count="1" selected="0">
            <x v="1"/>
          </reference>
          <reference field="25" count="1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281">
      <pivotArea dataOnly="0" labelOnly="1" outline="0" fieldPosition="0">
        <references count="4">
          <reference field="1" count="1" selected="0">
            <x v="1"/>
          </reference>
          <reference field="25" count="1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282">
      <pivotArea dataOnly="0" labelOnly="1" outline="0" fieldPosition="0">
        <references count="4">
          <reference field="1" count="1" selected="0">
            <x v="1"/>
          </reference>
          <reference field="25" count="1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28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28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28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28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28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28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28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29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29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29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29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29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29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29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29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29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29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30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30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30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303">
      <pivotArea field="6" type="button" dataOnly="0" labelOnly="1" outline="0" fieldPosition="0"/>
    </format>
    <format dxfId="1304">
      <pivotArea field="12" type="button" dataOnly="0" labelOnly="1" outline="0" fieldPosition="0"/>
    </format>
    <format dxfId="1305">
      <pivotArea field="11" type="button" dataOnly="0" labelOnly="1" outline="0" fieldPosition="0"/>
    </format>
    <format dxfId="1306">
      <pivotArea dataOnly="0" labelOnly="1" outline="0" fieldPosition="0">
        <references count="1">
          <reference field="1" count="0"/>
        </references>
      </pivotArea>
    </format>
    <format dxfId="1307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1308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1309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1310">
      <pivotArea dataOnly="0" labelOnly="1" outline="0" fieldPosition="0">
        <references count="2">
          <reference field="1" count="1" selected="0">
            <x v="0"/>
          </reference>
          <reference field="28" count="0"/>
        </references>
      </pivotArea>
    </format>
    <format dxfId="1311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8" count="0" defaultSubtotal="1"/>
        </references>
      </pivotArea>
    </format>
    <format dxfId="1312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8" count="0" defaultSubtotal="1"/>
        </references>
      </pivotArea>
    </format>
    <format dxfId="1313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8" count="0" defaultSubtotal="1"/>
        </references>
      </pivotArea>
    </format>
    <format dxfId="1314">
      <pivotArea dataOnly="0" labelOnly="1" outline="0" fieldPosition="0">
        <references count="2">
          <reference field="1" count="1" selected="0">
            <x v="1"/>
          </reference>
          <reference field="28" count="0"/>
        </references>
      </pivotArea>
    </format>
    <format dxfId="1315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0" defaultSubtotal="1"/>
        </references>
      </pivotArea>
    </format>
    <format dxfId="1316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0" defaultSubtotal="1"/>
        </references>
      </pivotArea>
    </format>
    <format dxfId="1317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0" defaultSubtotal="1"/>
        </references>
      </pivotArea>
    </format>
    <format dxfId="1318">
      <pivotArea dataOnly="0" labelOnly="1" outline="0" fieldPosition="0">
        <references count="3">
          <reference field="1" count="1" selected="0">
            <x v="0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319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320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321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322">
      <pivotArea dataOnly="0" labelOnly="1" outline="0" fieldPosition="0">
        <references count="3">
          <reference field="1" count="1" selected="0">
            <x v="0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1323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324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32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326">
      <pivotArea dataOnly="0" labelOnly="1" outline="0" fieldPosition="0">
        <references count="3">
          <reference field="1" count="1" selected="0">
            <x v="1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327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328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329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330">
      <pivotArea dataOnly="0" labelOnly="1" outline="0" fieldPosition="0">
        <references count="3">
          <reference field="1" count="1" selected="0">
            <x v="1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1331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332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333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334">
      <pivotArea dataOnly="0" labelOnly="1" outline="0" fieldPosition="0">
        <references count="4">
          <reference field="1" count="1" selected="0">
            <x v="0"/>
          </reference>
          <reference field="25" count="3">
            <x v="0"/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335">
      <pivotArea dataOnly="0" labelOnly="1" outline="0" fieldPosition="0">
        <references count="4">
          <reference field="1" count="1" selected="0">
            <x v="0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336">
      <pivotArea dataOnly="0" labelOnly="1" outline="0" fieldPosition="0">
        <references count="4">
          <reference field="1" count="1" selected="0">
            <x v="0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337">
      <pivotArea dataOnly="0" labelOnly="1" outline="0" fieldPosition="0">
        <references count="4">
          <reference field="1" count="1" selected="0">
            <x v="0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338">
      <pivotArea dataOnly="0" labelOnly="1" outline="0" fieldPosition="0">
        <references count="4">
          <reference field="1" count="1" selected="0">
            <x v="0"/>
          </reference>
          <reference field="25" count="3">
            <x v="12"/>
            <x v="13"/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339">
      <pivotArea dataOnly="0" labelOnly="1" outline="0" fieldPosition="0">
        <references count="4">
          <reference field="1" count="1" selected="0">
            <x v="1"/>
          </reference>
          <reference field="25" count="1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340">
      <pivotArea dataOnly="0" labelOnly="1" outline="0" fieldPosition="0">
        <references count="4">
          <reference field="1" count="1" selected="0">
            <x v="1"/>
          </reference>
          <reference field="25" count="1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341">
      <pivotArea dataOnly="0" labelOnly="1" outline="0" fieldPosition="0">
        <references count="4">
          <reference field="1" count="1" selected="0">
            <x v="1"/>
          </reference>
          <reference field="25" count="1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342">
      <pivotArea dataOnly="0" labelOnly="1" outline="0" fieldPosition="0">
        <references count="4">
          <reference field="1" count="1" selected="0">
            <x v="1"/>
          </reference>
          <reference field="25" count="1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343">
      <pivotArea dataOnly="0" labelOnly="1" outline="0" fieldPosition="0">
        <references count="4">
          <reference field="1" count="1" selected="0">
            <x v="1"/>
          </reference>
          <reference field="25" count="1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34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34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34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34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34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34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35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35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35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35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35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35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35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35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35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35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36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36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36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36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364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1365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1366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1367">
      <pivotArea dataOnly="0" labelOnly="1" outline="0" fieldPosition="0">
        <references count="2">
          <reference field="4294967294" count="1" selected="0">
            <x v="2"/>
          </reference>
          <reference field="1" count="1" defaultSubtotal="1">
            <x v="1"/>
          </reference>
        </references>
      </pivotArea>
    </format>
    <format dxfId="1368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369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370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371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1372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373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374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37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1376">
      <pivotArea dataOnly="0" labelOnly="1" outline="0" fieldPosition="0">
        <references count="1">
          <reference field="1" count="1">
            <x v="0"/>
          </reference>
        </references>
      </pivotArea>
    </format>
    <format dxfId="1377">
      <pivotArea dataOnly="0" labelOnly="1" outline="0" fieldPosition="0">
        <references count="2">
          <reference field="1" count="1">
            <x v="1"/>
          </reference>
          <reference field="28" count="1" selected="0">
            <x v="0"/>
          </reference>
        </references>
      </pivotArea>
    </format>
    <format dxfId="1378">
      <pivotArea dataOnly="0" labelOnly="1" outline="0" fieldPosition="0">
        <references count="1">
          <reference field="28" count="1">
            <x v="1"/>
          </reference>
        </references>
      </pivotArea>
    </format>
    <format dxfId="1379">
      <pivotArea dataOnly="0" labelOnly="1" outline="0" fieldPosition="0">
        <references count="1">
          <reference field="28" count="1">
            <x v="1"/>
          </reference>
        </references>
      </pivotArea>
    </format>
    <format dxfId="1380">
      <pivotArea dataOnly="0" labelOnly="1" outline="0" fieldPosition="0">
        <references count="3">
          <reference field="4294967294" count="1" selected="0">
            <x v="0"/>
          </reference>
          <reference field="1" count="1" defaultSubtotal="1">
            <x v="1"/>
          </reference>
          <reference field="28" count="1" selected="0">
            <x v="1"/>
          </reference>
        </references>
      </pivotArea>
    </format>
    <format dxfId="1381">
      <pivotArea dataOnly="0" labelOnly="1" outline="0" fieldPosition="0">
        <references count="3">
          <reference field="4294967294" count="1" selected="0">
            <x v="1"/>
          </reference>
          <reference field="1" count="1" defaultSubtotal="1">
            <x v="1"/>
          </reference>
          <reference field="28" count="1" selected="0">
            <x v="1"/>
          </reference>
        </references>
      </pivotArea>
    </format>
    <format dxfId="1382">
      <pivotArea dataOnly="0" labelOnly="1" outline="0" fieldPosition="0">
        <references count="3">
          <reference field="4294967294" count="1" selected="0">
            <x v="2"/>
          </reference>
          <reference field="1" count="1" defaultSubtotal="1">
            <x v="1"/>
          </reference>
          <reference field="28" count="1" selected="0">
            <x v="1"/>
          </reference>
        </references>
      </pivotArea>
    </format>
    <format dxfId="1383">
      <pivotArea dataOnly="0" labelOnly="1" outline="0" fieldPosition="0">
        <references count="3">
          <reference field="4294967294" count="1" selected="0">
            <x v="0"/>
          </reference>
          <reference field="1" count="1" defaultSubtotal="1">
            <x v="1"/>
          </reference>
          <reference field="28" count="1" selected="0">
            <x v="1"/>
          </reference>
        </references>
      </pivotArea>
    </format>
    <format dxfId="1384">
      <pivotArea dataOnly="0" labelOnly="1" outline="0" fieldPosition="0">
        <references count="3">
          <reference field="4294967294" count="1" selected="0">
            <x v="1"/>
          </reference>
          <reference field="1" count="1" defaultSubtotal="1">
            <x v="1"/>
          </reference>
          <reference field="28" count="1" selected="0">
            <x v="1"/>
          </reference>
        </references>
      </pivotArea>
    </format>
    <format dxfId="1385">
      <pivotArea dataOnly="0" labelOnly="1" outline="0" fieldPosition="0">
        <references count="3">
          <reference field="4294967294" count="1" selected="0">
            <x v="2"/>
          </reference>
          <reference field="1" count="1" defaultSubtotal="1">
            <x v="1"/>
          </reference>
          <reference field="28" count="1" selected="0">
            <x v="1"/>
          </reference>
        </references>
      </pivotArea>
    </format>
    <format dxfId="1386">
      <pivotArea field="6" type="button" dataOnly="0" labelOnly="1" outline="0" fieldPosition="0"/>
    </format>
    <format dxfId="1387">
      <pivotArea field="12" type="button" dataOnly="0" labelOnly="1" outline="0" fieldPosition="0"/>
    </format>
    <format dxfId="1388">
      <pivotArea field="11" type="button" dataOnly="0" labelOnly="1" outline="0" fieldPosition="0"/>
    </format>
    <format dxfId="1389">
      <pivotArea dataOnly="0" labelOnly="1" outline="0" fieldPosition="0">
        <references count="3">
          <reference field="4294967294" count="1" selected="0">
            <x v="0"/>
          </reference>
          <reference field="1" count="1" defaultSubtotal="1">
            <x v="1"/>
          </reference>
          <reference field="28" count="1" selected="0">
            <x v="0"/>
          </reference>
        </references>
      </pivotArea>
    </format>
    <format dxfId="1390">
      <pivotArea dataOnly="0" labelOnly="1" outline="0" fieldPosition="0">
        <references count="3">
          <reference field="4294967294" count="1" selected="0">
            <x v="1"/>
          </reference>
          <reference field="1" count="1" defaultSubtotal="1">
            <x v="1"/>
          </reference>
          <reference field="28" count="1" selected="0">
            <x v="0"/>
          </reference>
        </references>
      </pivotArea>
    </format>
    <format dxfId="1391">
      <pivotArea dataOnly="0" labelOnly="1" outline="0" fieldPosition="0">
        <references count="3">
          <reference field="4294967294" count="1" selected="0">
            <x v="2"/>
          </reference>
          <reference field="1" count="1" defaultSubtotal="1">
            <x v="1"/>
          </reference>
          <reference field="28" count="1" selected="0">
            <x v="0"/>
          </reference>
        </references>
      </pivotArea>
    </format>
    <format dxfId="1392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1" count="1" selected="0" defaultSubtotal="1">
            <x v="1"/>
          </reference>
          <reference field="28" count="1" selected="0">
            <x v="0"/>
          </reference>
        </references>
      </pivotArea>
    </format>
    <format dxfId="1393">
      <pivotArea outline="0" collapsedLevelsAreSubtotals="1" fieldPosition="0">
        <references count="4">
          <reference field="4294967294" count="3" selected="0">
            <x v="0"/>
            <x v="1"/>
            <x v="2"/>
          </reference>
          <reference field="1" count="1" selected="0">
            <x v="1"/>
          </reference>
          <reference field="26" count="1" selected="0" defaultSubtotal="1">
            <x v="4"/>
          </reference>
          <reference field="28" count="1" selected="0">
            <x v="0"/>
          </reference>
        </references>
      </pivotArea>
    </format>
    <format dxfId="1394">
      <pivotArea outline="0" collapsedLevelsAreSubtotals="1" fieldPosition="0">
        <references count="4">
          <reference field="4294967294" count="3" selected="0">
            <x v="0"/>
            <x v="1"/>
            <x v="2"/>
          </reference>
          <reference field="1" count="1" selected="0">
            <x v="1"/>
          </reference>
          <reference field="26" count="1" selected="0" defaultSubtotal="1">
            <x v="3"/>
          </reference>
          <reference field="28" count="1" selected="0">
            <x v="0"/>
          </reference>
        </references>
      </pivotArea>
    </format>
    <format dxfId="1395">
      <pivotArea outline="0" collapsedLevelsAreSubtotals="1" fieldPosition="0">
        <references count="4">
          <reference field="4294967294" count="3" selected="0">
            <x v="0"/>
            <x v="1"/>
            <x v="2"/>
          </reference>
          <reference field="1" count="1" selected="0">
            <x v="1"/>
          </reference>
          <reference field="26" count="1" selected="0" defaultSubtotal="1">
            <x v="2"/>
          </reference>
          <reference field="28" count="1" selected="0">
            <x v="0"/>
          </reference>
        </references>
      </pivotArea>
    </format>
    <format dxfId="1396">
      <pivotArea outline="0" collapsedLevelsAreSubtotals="1" fieldPosition="0">
        <references count="4">
          <reference field="4294967294" count="3" selected="0">
            <x v="0"/>
            <x v="1"/>
            <x v="2"/>
          </reference>
          <reference field="1" count="1" selected="0">
            <x v="1"/>
          </reference>
          <reference field="26" count="1" selected="0" defaultSubtotal="1">
            <x v="0"/>
          </reference>
          <reference field="28" count="1" selected="0">
            <x v="0"/>
          </reference>
        </references>
      </pivotArea>
    </format>
    <format dxfId="1397">
      <pivotArea outline="0" collapsedLevelsAreSubtotals="1" fieldPosition="0">
        <references count="4">
          <reference field="4294967294" count="3" selected="0">
            <x v="0"/>
            <x v="1"/>
            <x v="2"/>
          </reference>
          <reference field="1" count="1" selected="0">
            <x v="0"/>
          </reference>
          <reference field="26" count="1" selected="0" defaultSubtotal="1">
            <x v="4"/>
          </reference>
          <reference field="28" count="1" selected="0">
            <x v="0"/>
          </reference>
        </references>
      </pivotArea>
    </format>
    <format dxfId="1398">
      <pivotArea outline="0" collapsedLevelsAreSubtotals="1" fieldPosition="0">
        <references count="4">
          <reference field="4294967294" count="3" selected="0">
            <x v="0"/>
            <x v="1"/>
            <x v="2"/>
          </reference>
          <reference field="1" count="1" selected="0">
            <x v="0"/>
          </reference>
          <reference field="26" count="1" selected="0" defaultSubtotal="1">
            <x v="3"/>
          </reference>
          <reference field="28" count="1" selected="0">
            <x v="0"/>
          </reference>
        </references>
      </pivotArea>
    </format>
    <format dxfId="1399">
      <pivotArea outline="0" collapsedLevelsAreSubtotals="1" fieldPosition="0">
        <references count="4">
          <reference field="4294967294" count="3" selected="0">
            <x v="0"/>
            <x v="1"/>
            <x v="2"/>
          </reference>
          <reference field="1" count="1" selected="0">
            <x v="0"/>
          </reference>
          <reference field="26" count="1" selected="0" defaultSubtotal="1">
            <x v="0"/>
          </reference>
          <reference field="28" count="1" selected="0">
            <x v="0"/>
          </reference>
        </references>
      </pivotArea>
    </format>
    <format dxfId="1400">
      <pivotArea dataOnly="0" labelOnly="1" outline="0" fieldPosition="0">
        <references count="3">
          <reference field="4294967294" count="1" selected="0">
            <x v="0"/>
          </reference>
          <reference field="1" count="1" defaultSubtotal="1">
            <x v="0"/>
          </reference>
          <reference field="28" count="1" selected="0">
            <x v="0"/>
          </reference>
        </references>
      </pivotArea>
    </format>
    <format dxfId="1401">
      <pivotArea dataOnly="0" labelOnly="1" outline="0" fieldPosition="0">
        <references count="3">
          <reference field="4294967294" count="1" selected="0">
            <x v="1"/>
          </reference>
          <reference field="1" count="1" defaultSubtotal="1">
            <x v="0"/>
          </reference>
          <reference field="28" count="1" selected="0">
            <x v="0"/>
          </reference>
        </references>
      </pivotArea>
    </format>
    <format dxfId="1402">
      <pivotArea dataOnly="0" labelOnly="1" outline="0" fieldPosition="0">
        <references count="3">
          <reference field="4294967294" count="1" selected="0">
            <x v="2"/>
          </reference>
          <reference field="1" count="1" defaultSubtotal="1">
            <x v="0"/>
          </reference>
          <reference field="28" count="1" selected="0">
            <x v="0"/>
          </reference>
        </references>
      </pivotArea>
    </format>
    <format dxfId="1403">
      <pivotArea outline="0" collapsedLevelsAreSubtotals="1" fieldPosition="0">
        <references count="3">
          <reference field="4294967294" count="3" selected="0">
            <x v="0"/>
            <x v="1"/>
            <x v="2"/>
          </reference>
          <reference field="1" count="1" selected="0" defaultSubtotal="1">
            <x v="0"/>
          </reference>
          <reference field="28" count="1" selected="0">
            <x v="0"/>
          </reference>
        </references>
      </pivotArea>
    </format>
    <format dxfId="1404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1405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1406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1407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1408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1409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1410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1411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1412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1413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1414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141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1416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1417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1418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1419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1420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1421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1422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1423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1424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1425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1426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1427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1428">
      <pivotArea dataOnly="0" labelOnly="1" outline="0" fieldPosition="0">
        <references count="3">
          <reference field="4294967294" count="1" selected="0">
            <x v="0"/>
          </reference>
          <reference field="1" count="1" defaultSubtotal="1">
            <x v="0"/>
          </reference>
          <reference field="28" count="1" selected="0">
            <x v="0"/>
          </reference>
        </references>
      </pivotArea>
    </format>
    <format dxfId="1429">
      <pivotArea dataOnly="0" labelOnly="1" outline="0" fieldPosition="0">
        <references count="3">
          <reference field="4294967294" count="1" selected="0">
            <x v="1"/>
          </reference>
          <reference field="1" count="1" defaultSubtotal="1">
            <x v="0"/>
          </reference>
          <reference field="28" count="1" selected="0">
            <x v="0"/>
          </reference>
        </references>
      </pivotArea>
    </format>
    <format dxfId="1430">
      <pivotArea dataOnly="0" labelOnly="1" outline="0" fieldPosition="0">
        <references count="3">
          <reference field="4294967294" count="1" selected="0">
            <x v="2"/>
          </reference>
          <reference field="1" count="1" defaultSubtotal="1">
            <x v="0"/>
          </reference>
          <reference field="28" count="1" selected="0">
            <x v="0"/>
          </reference>
        </references>
      </pivotArea>
    </format>
    <format dxfId="1431">
      <pivotArea dataOnly="0" labelOnly="1" outline="0" fieldPosition="0">
        <references count="2">
          <reference field="1" count="1">
            <x v="0"/>
          </reference>
          <reference field="28" count="1" selected="0">
            <x v="0"/>
          </reference>
        </references>
      </pivotArea>
    </format>
    <format dxfId="1432">
      <pivotArea field="6" type="button" dataOnly="0" labelOnly="1" outline="0" fieldPosition="0"/>
    </format>
    <format dxfId="1433">
      <pivotArea field="12" type="button" dataOnly="0" labelOnly="1" outline="0" fieldPosition="0"/>
    </format>
    <format dxfId="1434">
      <pivotArea field="11" type="button" dataOnly="0" labelOnly="1" outline="0" fieldPosition="0"/>
    </format>
    <format dxfId="1435">
      <pivotArea field="6" type="button" dataOnly="0" labelOnly="1" outline="0" fieldPosition="0"/>
    </format>
    <format dxfId="1436">
      <pivotArea field="12" type="button" dataOnly="0" labelOnly="1" outline="0" fieldPosition="0"/>
    </format>
    <format dxfId="1437">
      <pivotArea field="11" type="button" dataOnly="0" labelOnly="1" outline="0" fieldPosition="0"/>
    </format>
    <format dxfId="1438">
      <pivotArea dataOnly="0" labelOnly="1" outline="0" fieldPosition="0">
        <references count="2">
          <reference field="4294967294" count="1" selected="0">
            <x v="2"/>
          </reference>
          <reference field="28" count="0" defaultSubtotal="1"/>
        </references>
      </pivotArea>
    </format>
    <format dxfId="1439">
      <pivotArea dataOnly="0" labelOnly="1" outline="0" fieldPosition="0">
        <references count="2">
          <reference field="4294967294" count="1" selected="0">
            <x v="0"/>
          </reference>
          <reference field="28" count="0" defaultSubtotal="1"/>
        </references>
      </pivotArea>
    </format>
    <format dxfId="1440">
      <pivotArea dataOnly="0" labelOnly="1" outline="0" fieldPosition="0">
        <references count="2">
          <reference field="4294967294" count="1" selected="0">
            <x v="1"/>
          </reference>
          <reference field="28" count="0" defaultSubtotal="1"/>
        </references>
      </pivotArea>
    </format>
    <format dxfId="1441">
      <pivotArea dataOnly="0" labelOnly="1" outline="0" fieldPosition="0">
        <references count="2">
          <reference field="4294967294" count="1" selected="0">
            <x v="2"/>
          </reference>
          <reference field="28" count="1" defaultSubtotal="1">
            <x v="1"/>
          </reference>
        </references>
      </pivotArea>
    </format>
    <format dxfId="1442">
      <pivotArea dataOnly="0" labelOnly="1" outline="0" fieldPosition="0">
        <references count="3">
          <reference field="4294967294" count="1" selected="0">
            <x v="2"/>
          </reference>
          <reference field="1" count="0" defaultSubtotal="1"/>
          <reference field="28" count="1" selected="0">
            <x v="0"/>
          </reference>
        </references>
      </pivotArea>
    </format>
    <format dxfId="1443">
      <pivotArea dataOnly="0" labelOnly="1" outline="0" fieldPosition="0">
        <references count="3">
          <reference field="4294967294" count="1" selected="0">
            <x v="0"/>
          </reference>
          <reference field="1" count="0" defaultSubtotal="1"/>
          <reference field="28" count="1" selected="0">
            <x v="0"/>
          </reference>
        </references>
      </pivotArea>
    </format>
    <format dxfId="1444">
      <pivotArea dataOnly="0" labelOnly="1" outline="0" fieldPosition="0">
        <references count="3">
          <reference field="4294967294" count="1" selected="0">
            <x v="1"/>
          </reference>
          <reference field="1" count="0" defaultSubtotal="1"/>
          <reference field="28" count="1" selected="0">
            <x v="0"/>
          </reference>
        </references>
      </pivotArea>
    </format>
    <format dxfId="1445">
      <pivotArea dataOnly="0" labelOnly="1" outline="0" fieldPosition="0">
        <references count="3">
          <reference field="4294967294" count="1" selected="0">
            <x v="2"/>
          </reference>
          <reference field="1" count="1" defaultSubtotal="1">
            <x v="1"/>
          </reference>
          <reference field="28" count="1" selected="0">
            <x v="0"/>
          </reference>
        </references>
      </pivotArea>
    </format>
    <format dxfId="1446">
      <pivotArea dataOnly="0" labelOnly="1" outline="0" fieldPosition="0">
        <references count="3">
          <reference field="4294967294" count="1" selected="0">
            <x v="2"/>
          </reference>
          <reference field="1" count="0" defaultSubtotal="1"/>
          <reference field="28" count="1" selected="0">
            <x v="1"/>
          </reference>
        </references>
      </pivotArea>
    </format>
    <format dxfId="1447">
      <pivotArea dataOnly="0" labelOnly="1" outline="0" fieldPosition="0">
        <references count="3">
          <reference field="4294967294" count="1" selected="0">
            <x v="0"/>
          </reference>
          <reference field="1" count="0" defaultSubtotal="1"/>
          <reference field="28" count="1" selected="0">
            <x v="1"/>
          </reference>
        </references>
      </pivotArea>
    </format>
    <format dxfId="1448">
      <pivotArea dataOnly="0" labelOnly="1" outline="0" fieldPosition="0">
        <references count="3">
          <reference field="4294967294" count="1" selected="0">
            <x v="1"/>
          </reference>
          <reference field="1" count="0" defaultSubtotal="1"/>
          <reference field="28" count="1" selected="0">
            <x v="1"/>
          </reference>
        </references>
      </pivotArea>
    </format>
    <format dxfId="1449">
      <pivotArea dataOnly="0" labelOnly="1" outline="0" fieldPosition="0">
        <references count="3">
          <reference field="4294967294" count="1" selected="0">
            <x v="2"/>
          </reference>
          <reference field="1" count="1" defaultSubtotal="1">
            <x v="1"/>
          </reference>
          <reference field="28" count="1" selected="0">
            <x v="1"/>
          </reference>
        </references>
      </pivotArea>
    </format>
    <format dxfId="1450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451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452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453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1454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455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456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457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1458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1"/>
          </reference>
        </references>
      </pivotArea>
    </format>
    <format dxfId="1459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1"/>
          </reference>
        </references>
      </pivotArea>
    </format>
    <format dxfId="1460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1"/>
          </reference>
        </references>
      </pivotArea>
    </format>
    <format dxfId="1461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462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1463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1464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146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46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46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46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46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47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47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47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47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47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47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47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47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47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47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48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48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48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48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48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48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486">
      <pivotArea dataOnly="0" labelOnly="1" outline="0" fieldPosition="0">
        <references count="3">
          <reference field="1" count="1" selected="0">
            <x v="0"/>
          </reference>
          <reference field="26" count="1">
            <x v="0"/>
          </reference>
          <reference field="28" count="1" selected="0">
            <x v="0"/>
          </reference>
        </references>
      </pivotArea>
    </format>
    <format dxfId="1487">
      <pivotArea dataOnly="0" labelOnly="1" outline="0" fieldPosition="0">
        <references count="3">
          <reference field="1" count="1" selected="0">
            <x v="0"/>
          </reference>
          <reference field="26" count="1">
            <x v="2"/>
          </reference>
          <reference field="28" count="1" selected="0">
            <x v="0"/>
          </reference>
        </references>
      </pivotArea>
    </format>
    <format dxfId="1488">
      <pivotArea dataOnly="0" labelOnly="1" outline="0" fieldPosition="0">
        <references count="3">
          <reference field="1" count="1" selected="0">
            <x v="0"/>
          </reference>
          <reference field="26" count="1">
            <x v="3"/>
          </reference>
          <reference field="28" count="1" selected="0">
            <x v="0"/>
          </reference>
        </references>
      </pivotArea>
    </format>
    <format dxfId="1489">
      <pivotArea dataOnly="0" labelOnly="1" outline="0" fieldPosition="0">
        <references count="3">
          <reference field="1" count="1" selected="0">
            <x v="0"/>
          </reference>
          <reference field="26" count="1">
            <x v="4"/>
          </reference>
          <reference field="28" count="1" selected="0">
            <x v="0"/>
          </reference>
        </references>
      </pivotArea>
    </format>
    <format dxfId="1490">
      <pivotArea dataOnly="0" labelOnly="1" outline="0" fieldPosition="0">
        <references count="4">
          <reference field="1" count="1" selected="0">
            <x v="0"/>
          </reference>
          <reference field="25" count="3">
            <x v="0"/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491">
      <pivotArea dataOnly="0" labelOnly="1" outline="0" fieldPosition="0">
        <references count="4">
          <reference field="1" count="1" selected="0">
            <x v="0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492">
      <pivotArea dataOnly="0" labelOnly="1" outline="0" fieldPosition="0">
        <references count="4">
          <reference field="1" count="1" selected="0">
            <x v="0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493">
      <pivotArea dataOnly="0" labelOnly="1" outline="0" fieldPosition="0">
        <references count="4">
          <reference field="1" count="1" selected="0">
            <x v="0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49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49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49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49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49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49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500">
      <pivotArea dataOnly="0" labelOnly="1" outline="0" fieldPosition="0">
        <references count="5">
          <reference field="4294967294" count="1">
            <x v="0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501">
      <pivotArea field="6" type="button" dataOnly="0" labelOnly="1" outline="0" fieldPosition="0"/>
    </format>
    <format dxfId="1502">
      <pivotArea field="12" type="button" dataOnly="0" labelOnly="1" outline="0" fieldPosition="0"/>
    </format>
    <format dxfId="1503">
      <pivotArea field="11" type="button" dataOnly="0" labelOnly="1" outline="0" fieldPosition="0"/>
    </format>
    <format dxfId="1504">
      <pivotArea type="all" dataOnly="0" outline="0" fieldPosition="0"/>
    </format>
    <format dxfId="1505">
      <pivotArea type="all" dataOnly="0" outline="0" fieldPosition="0"/>
    </format>
    <format dxfId="1506">
      <pivotArea outline="0" collapsedLevelsAreSubtotals="1" fieldPosition="0"/>
    </format>
    <format dxfId="1507">
      <pivotArea field="6" type="button" dataOnly="0" labelOnly="1" outline="0" fieldPosition="0"/>
    </format>
    <format dxfId="1508">
      <pivotArea field="12" type="button" dataOnly="0" labelOnly="1" outline="0" fieldPosition="0"/>
    </format>
    <format dxfId="1509">
      <pivotArea field="11" type="button" dataOnly="0" labelOnly="1" outline="0" fieldPosition="0"/>
    </format>
    <format dxfId="1510">
      <pivotArea dataOnly="0" labelOnly="1" outline="0" fieldPosition="0">
        <references count="1">
          <reference field="6" count="0"/>
        </references>
      </pivotArea>
    </format>
    <format dxfId="1511">
      <pivotArea dataOnly="0" labelOnly="1" grandRow="1" outline="0" fieldPosition="0"/>
    </format>
    <format dxfId="1512">
      <pivotArea dataOnly="0" labelOnly="1" outline="0" fieldPosition="0">
        <references count="2">
          <reference field="6" count="1" selected="0">
            <x v="0"/>
          </reference>
          <reference field="12" count="0"/>
        </references>
      </pivotArea>
    </format>
    <format dxfId="1513">
      <pivotArea dataOnly="0" labelOnly="1" outline="0" fieldPosition="0">
        <references count="3">
          <reference field="6" count="1" selected="0">
            <x v="0"/>
          </reference>
          <reference field="11" count="0"/>
          <reference field="12" count="0" selected="0"/>
        </references>
      </pivotArea>
    </format>
    <format dxfId="1514">
      <pivotArea dataOnly="0" labelOnly="1" outline="0" fieldPosition="0">
        <references count="1">
          <reference field="28" count="0"/>
        </references>
      </pivotArea>
    </format>
    <format dxfId="1515">
      <pivotArea dataOnly="0" labelOnly="1" outline="0" fieldPosition="0">
        <references count="2">
          <reference field="1" count="0"/>
          <reference field="28" count="1" selected="0">
            <x v="0"/>
          </reference>
        </references>
      </pivotArea>
    </format>
    <format dxfId="1516">
      <pivotArea dataOnly="0" labelOnly="1" outline="0" fieldPosition="0">
        <references count="3">
          <reference field="4294967294" count="1" selected="0">
            <x v="0"/>
          </reference>
          <reference field="1" count="0" defaultSubtotal="1"/>
          <reference field="28" count="1" selected="0">
            <x v="0"/>
          </reference>
        </references>
      </pivotArea>
    </format>
    <format dxfId="1517">
      <pivotArea dataOnly="0" labelOnly="1" outline="0" fieldPosition="0">
        <references count="3">
          <reference field="4294967294" count="1" selected="0">
            <x v="1"/>
          </reference>
          <reference field="1" count="0" defaultSubtotal="1"/>
          <reference field="28" count="1" selected="0">
            <x v="0"/>
          </reference>
        </references>
      </pivotArea>
    </format>
    <format dxfId="1518">
      <pivotArea dataOnly="0" labelOnly="1" outline="0" fieldPosition="0">
        <references count="3">
          <reference field="4294967294" count="1" selected="0">
            <x v="2"/>
          </reference>
          <reference field="1" count="0" defaultSubtotal="1"/>
          <reference field="28" count="1" selected="0">
            <x v="0"/>
          </reference>
        </references>
      </pivotArea>
    </format>
    <format dxfId="1519">
      <pivotArea dataOnly="0" labelOnly="1" outline="0" fieldPosition="0">
        <references count="2">
          <reference field="1" count="0"/>
          <reference field="28" count="1" selected="0">
            <x v="1"/>
          </reference>
        </references>
      </pivotArea>
    </format>
    <format dxfId="1520">
      <pivotArea dataOnly="0" labelOnly="1" outline="0" fieldPosition="0">
        <references count="3">
          <reference field="4294967294" count="1" selected="0">
            <x v="0"/>
          </reference>
          <reference field="1" count="0" defaultSubtotal="1"/>
          <reference field="28" count="1" selected="0">
            <x v="1"/>
          </reference>
        </references>
      </pivotArea>
    </format>
    <format dxfId="1521">
      <pivotArea dataOnly="0" labelOnly="1" outline="0" fieldPosition="0">
        <references count="3">
          <reference field="4294967294" count="1" selected="0">
            <x v="1"/>
          </reference>
          <reference field="1" count="0" defaultSubtotal="1"/>
          <reference field="28" count="1" selected="0">
            <x v="1"/>
          </reference>
        </references>
      </pivotArea>
    </format>
    <format dxfId="1522">
      <pivotArea dataOnly="0" labelOnly="1" outline="0" fieldPosition="0">
        <references count="3">
          <reference field="4294967294" count="1" selected="0">
            <x v="2"/>
          </reference>
          <reference field="1" count="0" defaultSubtotal="1"/>
          <reference field="28" count="1" selected="0">
            <x v="1"/>
          </reference>
        </references>
      </pivotArea>
    </format>
    <format dxfId="1523">
      <pivotArea dataOnly="0" labelOnly="1" outline="0" fieldPosition="0">
        <references count="3">
          <reference field="1" count="1" selected="0">
            <x v="0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524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525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526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527">
      <pivotArea dataOnly="0" labelOnly="1" outline="0" fieldPosition="0">
        <references count="3">
          <reference field="1" count="1" selected="0">
            <x v="1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528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529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530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531">
      <pivotArea dataOnly="0" labelOnly="1" outline="0" fieldPosition="0">
        <references count="3">
          <reference field="1" count="1" selected="0">
            <x v="0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1532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533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534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535">
      <pivotArea dataOnly="0" labelOnly="1" outline="0" fieldPosition="0">
        <references count="3">
          <reference field="1" count="1" selected="0">
            <x v="1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1536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537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538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539">
      <pivotArea dataOnly="0" labelOnly="1" outline="0" fieldPosition="0">
        <references count="4">
          <reference field="1" count="1" selected="0">
            <x v="0"/>
          </reference>
          <reference field="25" count="3">
            <x v="0"/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540">
      <pivotArea dataOnly="0" labelOnly="1" outline="0" fieldPosition="0">
        <references count="4">
          <reference field="1" count="1" selected="0">
            <x v="0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541">
      <pivotArea dataOnly="0" labelOnly="1" outline="0" fieldPosition="0">
        <references count="4">
          <reference field="1" count="1" selected="0">
            <x v="0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542">
      <pivotArea dataOnly="0" labelOnly="1" outline="0" fieldPosition="0">
        <references count="4">
          <reference field="1" count="1" selected="0">
            <x v="0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543">
      <pivotArea dataOnly="0" labelOnly="1" outline="0" fieldPosition="0">
        <references count="4">
          <reference field="1" count="1" selected="0">
            <x v="1"/>
          </reference>
          <reference field="25" count="1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544">
      <pivotArea dataOnly="0" labelOnly="1" outline="0" fieldPosition="0">
        <references count="4">
          <reference field="1" count="1" selected="0">
            <x v="1"/>
          </reference>
          <reference field="25" count="1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545">
      <pivotArea dataOnly="0" labelOnly="1" outline="0" fieldPosition="0">
        <references count="4">
          <reference field="1" count="1" selected="0">
            <x v="1"/>
          </reference>
          <reference field="25" count="1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546">
      <pivotArea dataOnly="0" labelOnly="1" outline="0" fieldPosition="0">
        <references count="4">
          <reference field="1" count="1" selected="0">
            <x v="1"/>
          </reference>
          <reference field="25" count="1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547">
      <pivotArea dataOnly="0" labelOnly="1" outline="0" fieldPosition="0">
        <references count="4">
          <reference field="1" count="1" selected="0">
            <x v="0"/>
          </reference>
          <reference field="25" count="3">
            <x v="12"/>
            <x v="13"/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548">
      <pivotArea dataOnly="0" labelOnly="1" outline="0" fieldPosition="0">
        <references count="4">
          <reference field="1" count="1" selected="0">
            <x v="1"/>
          </reference>
          <reference field="25" count="1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54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55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55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55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55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55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55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55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55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55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55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56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56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56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56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56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56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56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56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56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569">
      <pivotArea type="origin" dataOnly="0" labelOnly="1" outline="0" offset="A3:C5" fieldPosition="0"/>
    </format>
    <format dxfId="1570">
      <pivotArea field="6" type="button" dataOnly="0" labelOnly="1" outline="0" fieldPosition="0"/>
    </format>
    <format dxfId="1571">
      <pivotArea field="12" type="button" dataOnly="0" labelOnly="1" outline="0" fieldPosition="0"/>
    </format>
    <format dxfId="1572">
      <pivotArea field="11" type="button" dataOnly="0" labelOnly="1" outline="0" fieldPosition="0"/>
    </format>
    <format dxfId="1573">
      <pivotArea dataOnly="0" labelOnly="1" outline="0" fieldPosition="0">
        <references count="1">
          <reference field="28" count="0"/>
        </references>
      </pivotArea>
    </format>
    <format dxfId="1574">
      <pivotArea dataOnly="0" labelOnly="1" outline="0" fieldPosition="0">
        <references count="2">
          <reference field="1" count="0"/>
          <reference field="28" count="1" selected="0">
            <x v="0"/>
          </reference>
        </references>
      </pivotArea>
    </format>
    <format dxfId="1575">
      <pivotArea dataOnly="0" labelOnly="1" outline="0" fieldPosition="0">
        <references count="3">
          <reference field="4294967294" count="1" selected="0">
            <x v="0"/>
          </reference>
          <reference field="1" count="0" defaultSubtotal="1"/>
          <reference field="28" count="1" selected="0">
            <x v="0"/>
          </reference>
        </references>
      </pivotArea>
    </format>
    <format dxfId="1576">
      <pivotArea dataOnly="0" labelOnly="1" outline="0" fieldPosition="0">
        <references count="3">
          <reference field="4294967294" count="1" selected="0">
            <x v="1"/>
          </reference>
          <reference field="1" count="0" defaultSubtotal="1"/>
          <reference field="28" count="1" selected="0">
            <x v="0"/>
          </reference>
        </references>
      </pivotArea>
    </format>
    <format dxfId="1577">
      <pivotArea dataOnly="0" labelOnly="1" outline="0" fieldPosition="0">
        <references count="3">
          <reference field="4294967294" count="1" selected="0">
            <x v="2"/>
          </reference>
          <reference field="1" count="0" defaultSubtotal="1"/>
          <reference field="28" count="1" selected="0">
            <x v="0"/>
          </reference>
        </references>
      </pivotArea>
    </format>
    <format dxfId="1578">
      <pivotArea dataOnly="0" labelOnly="1" outline="0" fieldPosition="0">
        <references count="2">
          <reference field="1" count="0"/>
          <reference field="28" count="1" selected="0">
            <x v="1"/>
          </reference>
        </references>
      </pivotArea>
    </format>
    <format dxfId="1579">
      <pivotArea dataOnly="0" labelOnly="1" outline="0" fieldPosition="0">
        <references count="3">
          <reference field="4294967294" count="1" selected="0">
            <x v="0"/>
          </reference>
          <reference field="1" count="0" defaultSubtotal="1"/>
          <reference field="28" count="1" selected="0">
            <x v="1"/>
          </reference>
        </references>
      </pivotArea>
    </format>
    <format dxfId="1580">
      <pivotArea dataOnly="0" labelOnly="1" outline="0" fieldPosition="0">
        <references count="3">
          <reference field="4294967294" count="1" selected="0">
            <x v="1"/>
          </reference>
          <reference field="1" count="0" defaultSubtotal="1"/>
          <reference field="28" count="1" selected="0">
            <x v="1"/>
          </reference>
        </references>
      </pivotArea>
    </format>
    <format dxfId="1581">
      <pivotArea dataOnly="0" labelOnly="1" outline="0" fieldPosition="0">
        <references count="3">
          <reference field="4294967294" count="1" selected="0">
            <x v="2"/>
          </reference>
          <reference field="1" count="0" defaultSubtotal="1"/>
          <reference field="28" count="1" selected="0">
            <x v="1"/>
          </reference>
        </references>
      </pivotArea>
    </format>
    <format dxfId="1582">
      <pivotArea dataOnly="0" labelOnly="1" outline="0" fieldPosition="0">
        <references count="3">
          <reference field="1" count="1" selected="0">
            <x v="0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583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584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58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586">
      <pivotArea dataOnly="0" labelOnly="1" outline="0" fieldPosition="0">
        <references count="3">
          <reference field="1" count="1" selected="0">
            <x v="1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587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588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589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590">
      <pivotArea dataOnly="0" labelOnly="1" outline="0" fieldPosition="0">
        <references count="3">
          <reference field="1" count="1" selected="0">
            <x v="0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1591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592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593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594">
      <pivotArea dataOnly="0" labelOnly="1" outline="0" fieldPosition="0">
        <references count="3">
          <reference field="1" count="1" selected="0">
            <x v="1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1595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596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597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598">
      <pivotArea dataOnly="0" labelOnly="1" outline="0" fieldPosition="0">
        <references count="4">
          <reference field="1" count="1" selected="0">
            <x v="0"/>
          </reference>
          <reference field="25" count="3">
            <x v="0"/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599">
      <pivotArea dataOnly="0" labelOnly="1" outline="0" fieldPosition="0">
        <references count="4">
          <reference field="1" count="1" selected="0">
            <x v="0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600">
      <pivotArea dataOnly="0" labelOnly="1" outline="0" fieldPosition="0">
        <references count="4">
          <reference field="1" count="1" selected="0">
            <x v="0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601">
      <pivotArea dataOnly="0" labelOnly="1" outline="0" fieldPosition="0">
        <references count="4">
          <reference field="1" count="1" selected="0">
            <x v="0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602">
      <pivotArea dataOnly="0" labelOnly="1" outline="0" fieldPosition="0">
        <references count="4">
          <reference field="1" count="1" selected="0">
            <x v="1"/>
          </reference>
          <reference field="25" count="1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603">
      <pivotArea dataOnly="0" labelOnly="1" outline="0" fieldPosition="0">
        <references count="4">
          <reference field="1" count="1" selected="0">
            <x v="1"/>
          </reference>
          <reference field="25" count="1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604">
      <pivotArea dataOnly="0" labelOnly="1" outline="0" fieldPosition="0">
        <references count="4">
          <reference field="1" count="1" selected="0">
            <x v="1"/>
          </reference>
          <reference field="25" count="1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605">
      <pivotArea dataOnly="0" labelOnly="1" outline="0" fieldPosition="0">
        <references count="4">
          <reference field="1" count="1" selected="0">
            <x v="1"/>
          </reference>
          <reference field="25" count="1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606">
      <pivotArea dataOnly="0" labelOnly="1" outline="0" fieldPosition="0">
        <references count="4">
          <reference field="1" count="1" selected="0">
            <x v="0"/>
          </reference>
          <reference field="25" count="3">
            <x v="12"/>
            <x v="13"/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607">
      <pivotArea dataOnly="0" labelOnly="1" outline="0" fieldPosition="0">
        <references count="4">
          <reference field="1" count="1" selected="0">
            <x v="1"/>
          </reference>
          <reference field="25" count="1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60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60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61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61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61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61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61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61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61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61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61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61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62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62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62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62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62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62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62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62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628">
      <pivotArea type="all" dataOnly="0" outline="0" fieldPosition="0"/>
    </format>
    <format dxfId="1629">
      <pivotArea type="origin" dataOnly="0" labelOnly="1" outline="0" fieldPosition="0"/>
    </format>
    <format dxfId="1630">
      <pivotArea field="1" type="button" dataOnly="0" labelOnly="1" outline="0" fieldPosition="0"/>
    </format>
    <format dxfId="1631">
      <pivotArea field="28" type="button" dataOnly="0" labelOnly="1" outline="0" fieldPosition="0"/>
    </format>
    <format dxfId="1632">
      <pivotArea field="26" type="button" dataOnly="0" labelOnly="1" outline="0" fieldPosition="0"/>
    </format>
    <format dxfId="1633">
      <pivotArea field="25" type="button" dataOnly="0" labelOnly="1" outline="0" fieldPosition="0"/>
    </format>
    <format dxfId="1634">
      <pivotArea field="-2" type="button" dataOnly="0" labelOnly="1" outline="0" fieldPosition="0"/>
    </format>
    <format dxfId="1635">
      <pivotArea type="topRight" dataOnly="0" labelOnly="1" outline="0" fieldPosition="0"/>
    </format>
    <format dxfId="1636">
      <pivotArea dataOnly="0" labelOnly="1" outline="0" fieldPosition="0">
        <references count="1">
          <reference field="1" count="1">
            <x v="0"/>
          </reference>
        </references>
      </pivotArea>
    </format>
    <format dxfId="1637">
      <pivotArea dataOnly="0" labelOnly="1" outline="0" fieldPosition="0">
        <references count="1">
          <reference field="1" count="1">
            <x v="1"/>
          </reference>
        </references>
      </pivotArea>
    </format>
    <format dxfId="1638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1639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1640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1641">
      <pivotArea dataOnly="0" labelOnly="1" outline="0" fieldPosition="0">
        <references count="2">
          <reference field="4294967294" count="1" selected="0">
            <x v="2"/>
          </reference>
          <reference field="1" count="1" defaultSubtotal="1">
            <x v="1"/>
          </reference>
        </references>
      </pivotArea>
    </format>
    <format dxfId="1642">
      <pivotArea dataOnly="0" labelOnly="1" outline="0" fieldPosition="0">
        <references count="2">
          <reference field="1" count="1" selected="0">
            <x v="0"/>
          </reference>
          <reference field="28" count="2">
            <x v="0"/>
            <x v="1"/>
          </reference>
        </references>
      </pivotArea>
    </format>
    <format dxfId="1643">
      <pivotArea dataOnly="0" labelOnly="1" outline="0" fieldPosition="0">
        <references count="2">
          <reference field="1" count="1" selected="0">
            <x v="1"/>
          </reference>
          <reference field="28" count="2">
            <x v="0"/>
            <x v="1"/>
          </reference>
        </references>
      </pivotArea>
    </format>
    <format dxfId="1644">
      <pivotArea dataOnly="0" labelOnly="1" outline="0" fieldPosition="0">
        <references count="3">
          <reference field="1" count="1" selected="0">
            <x v="0"/>
          </reference>
          <reference field="26" count="1">
            <x v="0"/>
          </reference>
          <reference field="28" count="1" selected="0">
            <x v="0"/>
          </reference>
        </references>
      </pivotArea>
    </format>
    <format dxfId="1645">
      <pivotArea dataOnly="0" labelOnly="1" outline="0" fieldPosition="0">
        <references count="3">
          <reference field="1" count="1" selected="0">
            <x v="0"/>
          </reference>
          <reference field="26" count="1">
            <x v="2"/>
          </reference>
          <reference field="28" count="1" selected="0">
            <x v="0"/>
          </reference>
        </references>
      </pivotArea>
    </format>
    <format dxfId="1646">
      <pivotArea dataOnly="0" labelOnly="1" outline="0" fieldPosition="0">
        <references count="3">
          <reference field="1" count="1" selected="0">
            <x v="0"/>
          </reference>
          <reference field="26" count="1">
            <x v="3"/>
          </reference>
          <reference field="28" count="1" selected="0">
            <x v="0"/>
          </reference>
        </references>
      </pivotArea>
    </format>
    <format dxfId="1647">
      <pivotArea dataOnly="0" labelOnly="1" outline="0" fieldPosition="0">
        <references count="3">
          <reference field="1" count="1" selected="0">
            <x v="0"/>
          </reference>
          <reference field="26" count="1">
            <x v="4"/>
          </reference>
          <reference field="28" count="1" selected="0">
            <x v="0"/>
          </reference>
        </references>
      </pivotArea>
    </format>
    <format dxfId="1648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649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650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651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1652">
      <pivotArea dataOnly="0" labelOnly="1" outline="0" fieldPosition="0">
        <references count="3">
          <reference field="1" count="1" selected="0">
            <x v="0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1653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1"/>
          </reference>
        </references>
      </pivotArea>
    </format>
    <format dxfId="1654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1"/>
          </reference>
        </references>
      </pivotArea>
    </format>
    <format dxfId="1655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1"/>
          </reference>
        </references>
      </pivotArea>
    </format>
    <format dxfId="1656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657">
      <pivotArea dataOnly="0" labelOnly="1" outline="0" fieldPosition="0">
        <references count="3">
          <reference field="1" count="1" selected="0">
            <x v="1"/>
          </reference>
          <reference field="26" count="1">
            <x v="0"/>
          </reference>
          <reference field="28" count="1" selected="0">
            <x v="0"/>
          </reference>
        </references>
      </pivotArea>
    </format>
    <format dxfId="1658">
      <pivotArea dataOnly="0" labelOnly="1" outline="0" fieldPosition="0">
        <references count="3">
          <reference field="1" count="1" selected="0">
            <x v="1"/>
          </reference>
          <reference field="26" count="1">
            <x v="2"/>
          </reference>
          <reference field="28" count="1" selected="0">
            <x v="0"/>
          </reference>
        </references>
      </pivotArea>
    </format>
    <format dxfId="1659">
      <pivotArea dataOnly="0" labelOnly="1" outline="0" fieldPosition="0">
        <references count="3">
          <reference field="1" count="1" selected="0">
            <x v="1"/>
          </reference>
          <reference field="26" count="1">
            <x v="3"/>
          </reference>
          <reference field="28" count="1" selected="0">
            <x v="0"/>
          </reference>
        </references>
      </pivotArea>
    </format>
    <format dxfId="1660">
      <pivotArea dataOnly="0" labelOnly="1" outline="0" fieldPosition="0">
        <references count="3">
          <reference field="1" count="1" selected="0">
            <x v="1"/>
          </reference>
          <reference field="26" count="1">
            <x v="4"/>
          </reference>
          <reference field="28" count="1" selected="0">
            <x v="0"/>
          </reference>
        </references>
      </pivotArea>
    </format>
    <format dxfId="1661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662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663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664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1665">
      <pivotArea dataOnly="0" labelOnly="1" outline="0" fieldPosition="0">
        <references count="3">
          <reference field="1" count="1" selected="0">
            <x v="1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1666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1667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1668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1669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670">
      <pivotArea dataOnly="0" labelOnly="1" outline="0" fieldPosition="0">
        <references count="4">
          <reference field="1" count="1" selected="0">
            <x v="0"/>
          </reference>
          <reference field="25" count="3">
            <x v="0"/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671">
      <pivotArea dataOnly="0" labelOnly="1" outline="0" fieldPosition="0">
        <references count="4">
          <reference field="1" count="1" selected="0">
            <x v="0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672">
      <pivotArea dataOnly="0" labelOnly="1" outline="0" fieldPosition="0">
        <references count="4">
          <reference field="1" count="1" selected="0">
            <x v="0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673">
      <pivotArea dataOnly="0" labelOnly="1" outline="0" fieldPosition="0">
        <references count="4">
          <reference field="1" count="1" selected="0">
            <x v="0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674">
      <pivotArea dataOnly="0" labelOnly="1" outline="0" fieldPosition="0">
        <references count="4">
          <reference field="1" count="1" selected="0">
            <x v="0"/>
          </reference>
          <reference field="25" count="3">
            <x v="12"/>
            <x v="13"/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675">
      <pivotArea dataOnly="0" labelOnly="1" outline="0" fieldPosition="0">
        <references count="4">
          <reference field="1" count="1" selected="0">
            <x v="1"/>
          </reference>
          <reference field="25" count="1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676">
      <pivotArea dataOnly="0" labelOnly="1" outline="0" fieldPosition="0">
        <references count="4">
          <reference field="1" count="1" selected="0">
            <x v="1"/>
          </reference>
          <reference field="25" count="1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677">
      <pivotArea dataOnly="0" labelOnly="1" outline="0" fieldPosition="0">
        <references count="4">
          <reference field="1" count="1" selected="0">
            <x v="1"/>
          </reference>
          <reference field="25" count="1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678">
      <pivotArea dataOnly="0" labelOnly="1" outline="0" fieldPosition="0">
        <references count="4">
          <reference field="1" count="1" selected="0">
            <x v="1"/>
          </reference>
          <reference field="25" count="1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679">
      <pivotArea dataOnly="0" labelOnly="1" outline="0" fieldPosition="0">
        <references count="4">
          <reference field="1" count="1" selected="0">
            <x v="1"/>
          </reference>
          <reference field="25" count="1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680">
      <pivotArea type="all" dataOnly="0" outline="0" fieldPosition="0"/>
    </format>
    <format dxfId="1681">
      <pivotArea type="all" dataOnly="0" outline="0" fieldPosition="0"/>
    </format>
    <format dxfId="1682">
      <pivotArea outline="0" collapsedLevelsAreSubtotals="1" fieldPosition="0"/>
    </format>
    <format dxfId="1683">
      <pivotArea type="origin" dataOnly="0" labelOnly="1" outline="0" fieldPosition="0"/>
    </format>
    <format dxfId="1684">
      <pivotArea field="1" type="button" dataOnly="0" labelOnly="1" outline="0" fieldPosition="0"/>
    </format>
    <format dxfId="1685">
      <pivotArea field="28" type="button" dataOnly="0" labelOnly="1" outline="0" fieldPosition="0"/>
    </format>
    <format dxfId="1686">
      <pivotArea field="26" type="button" dataOnly="0" labelOnly="1" outline="0" fieldPosition="0"/>
    </format>
    <format dxfId="1687">
      <pivotArea field="25" type="button" dataOnly="0" labelOnly="1" outline="0" fieldPosition="0"/>
    </format>
    <format dxfId="1688">
      <pivotArea field="-2" type="button" dataOnly="0" labelOnly="1" outline="0" fieldPosition="0"/>
    </format>
    <format dxfId="1689">
      <pivotArea type="topRight" dataOnly="0" labelOnly="1" outline="0" fieldPosition="0"/>
    </format>
    <format dxfId="1690">
      <pivotArea field="6" type="button" dataOnly="0" labelOnly="1" outline="0" fieldPosition="0"/>
    </format>
    <format dxfId="1691">
      <pivotArea field="12" type="button" dataOnly="0" labelOnly="1" outline="0" fieldPosition="0"/>
    </format>
    <format dxfId="1692">
      <pivotArea field="11" type="button" dataOnly="0" labelOnly="1" outline="0" fieldPosition="0"/>
    </format>
    <format dxfId="1693">
      <pivotArea dataOnly="0" labelOnly="1" outline="0" fieldPosition="0">
        <references count="1">
          <reference field="6" count="0"/>
        </references>
      </pivotArea>
    </format>
    <format dxfId="1694">
      <pivotArea dataOnly="0" labelOnly="1" grandRow="1" outline="0" fieldPosition="0"/>
    </format>
    <format dxfId="1695">
      <pivotArea dataOnly="0" labelOnly="1" outline="0" fieldPosition="0">
        <references count="2">
          <reference field="6" count="1" selected="0">
            <x v="0"/>
          </reference>
          <reference field="12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696">
      <pivotArea dataOnly="0" labelOnly="1" outline="0" fieldPosition="0">
        <references count="2">
          <reference field="6" count="1" selected="0">
            <x v="1"/>
          </reference>
          <reference field="12" count="6">
            <x v="11"/>
            <x v="12"/>
            <x v="13"/>
            <x v="14"/>
            <x v="15"/>
            <x v="23"/>
          </reference>
        </references>
      </pivotArea>
    </format>
    <format dxfId="1697">
      <pivotArea dataOnly="0" labelOnly="1" outline="0" fieldPosition="0">
        <references count="2">
          <reference field="6" count="1" selected="0">
            <x v="2"/>
          </reference>
          <reference field="12" count="1">
            <x v="16"/>
          </reference>
        </references>
      </pivotArea>
    </format>
    <format dxfId="1698">
      <pivotArea dataOnly="0" labelOnly="1" outline="0" fieldPosition="0">
        <references count="2">
          <reference field="6" count="1" selected="0">
            <x v="3"/>
          </reference>
          <reference field="12" count="4">
            <x v="17"/>
            <x v="18"/>
            <x v="19"/>
            <x v="20"/>
          </reference>
        </references>
      </pivotArea>
    </format>
    <format dxfId="1699">
      <pivotArea dataOnly="0" labelOnly="1" outline="0" fieldPosition="0">
        <references count="2">
          <reference field="6" count="1" selected="0">
            <x v="4"/>
          </reference>
          <reference field="12" count="1">
            <x v="21"/>
          </reference>
        </references>
      </pivotArea>
    </format>
    <format dxfId="1700">
      <pivotArea dataOnly="0" labelOnly="1" outline="0" fieldPosition="0">
        <references count="2">
          <reference field="6" count="1" selected="0">
            <x v="5"/>
          </reference>
          <reference field="12" count="1">
            <x v="22"/>
          </reference>
        </references>
      </pivotArea>
    </format>
    <format dxfId="1701">
      <pivotArea dataOnly="0" labelOnly="1" outline="0" fieldPosition="0">
        <references count="3">
          <reference field="6" count="1" selected="0">
            <x v="0"/>
          </reference>
          <reference field="11" count="1">
            <x v="1"/>
          </reference>
          <reference field="12" count="1" selected="0">
            <x v="1"/>
          </reference>
        </references>
      </pivotArea>
    </format>
    <format dxfId="1702">
      <pivotArea dataOnly="0" labelOnly="1" outline="0" fieldPosition="0">
        <references count="3">
          <reference field="6" count="1" selected="0">
            <x v="0"/>
          </reference>
          <reference field="11" count="3">
            <x v="2"/>
            <x v="9"/>
            <x v="10"/>
          </reference>
          <reference field="12" count="1" selected="0">
            <x v="2"/>
          </reference>
        </references>
      </pivotArea>
    </format>
    <format dxfId="1703">
      <pivotArea dataOnly="0" labelOnly="1" outline="0" fieldPosition="0">
        <references count="3">
          <reference field="6" count="1" selected="0">
            <x v="0"/>
          </reference>
          <reference field="11" count="2">
            <x v="3"/>
            <x v="4"/>
          </reference>
          <reference field="12" count="1" selected="0">
            <x v="3"/>
          </reference>
        </references>
      </pivotArea>
    </format>
    <format dxfId="1704">
      <pivotArea dataOnly="0" labelOnly="1" outline="0" fieldPosition="0">
        <references count="3">
          <reference field="6" count="1" selected="0">
            <x v="0"/>
          </reference>
          <reference field="11" count="2">
            <x v="5"/>
            <x v="6"/>
          </reference>
          <reference field="12" count="1" selected="0">
            <x v="4"/>
          </reference>
        </references>
      </pivotArea>
    </format>
    <format dxfId="1705">
      <pivotArea dataOnly="0" labelOnly="1" outline="0" fieldPosition="0">
        <references count="3">
          <reference field="6" count="1" selected="0">
            <x v="0"/>
          </reference>
          <reference field="11" count="2">
            <x v="7"/>
            <x v="8"/>
          </reference>
          <reference field="12" count="1" selected="0">
            <x v="5"/>
          </reference>
        </references>
      </pivotArea>
    </format>
    <format dxfId="1706">
      <pivotArea dataOnly="0" labelOnly="1" outline="0" fieldPosition="0">
        <references count="3">
          <reference field="6" count="1" selected="0">
            <x v="0"/>
          </reference>
          <reference field="11" count="4">
            <x v="11"/>
            <x v="12"/>
            <x v="13"/>
            <x v="17"/>
          </reference>
          <reference field="12" count="1" selected="0">
            <x v="6"/>
          </reference>
        </references>
      </pivotArea>
    </format>
    <format dxfId="1707">
      <pivotArea dataOnly="0" labelOnly="1" outline="0" fieldPosition="0">
        <references count="3">
          <reference field="6" count="1" selected="0">
            <x v="0"/>
          </reference>
          <reference field="11" count="3">
            <x v="14"/>
            <x v="15"/>
            <x v="16"/>
          </reference>
          <reference field="12" count="1" selected="0">
            <x v="7"/>
          </reference>
        </references>
      </pivotArea>
    </format>
    <format dxfId="1708">
      <pivotArea dataOnly="0" labelOnly="1" outline="0" fieldPosition="0">
        <references count="3">
          <reference field="6" count="1" selected="0">
            <x v="0"/>
          </reference>
          <reference field="11" count="2">
            <x v="18"/>
            <x v="19"/>
          </reference>
          <reference field="12" count="1" selected="0">
            <x v="8"/>
          </reference>
        </references>
      </pivotArea>
    </format>
    <format dxfId="1709">
      <pivotArea dataOnly="0" labelOnly="1" outline="0" fieldPosition="0">
        <references count="3">
          <reference field="6" count="1" selected="0">
            <x v="0"/>
          </reference>
          <reference field="11" count="2">
            <x v="20"/>
            <x v="21"/>
          </reference>
          <reference field="12" count="1" selected="0">
            <x v="9"/>
          </reference>
        </references>
      </pivotArea>
    </format>
    <format dxfId="1710">
      <pivotArea dataOnly="0" labelOnly="1" outline="0" fieldPosition="0">
        <references count="3">
          <reference field="6" count="1" selected="0">
            <x v="0"/>
          </reference>
          <reference field="11" count="6">
            <x v="22"/>
            <x v="23"/>
            <x v="24"/>
            <x v="25"/>
            <x v="26"/>
            <x v="27"/>
          </reference>
          <reference field="12" count="1" selected="0">
            <x v="10"/>
          </reference>
        </references>
      </pivotArea>
    </format>
    <format dxfId="1711">
      <pivotArea dataOnly="0" labelOnly="1" outline="0" fieldPosition="0">
        <references count="3">
          <reference field="6" count="1" selected="0">
            <x v="1"/>
          </reference>
          <reference field="11" count="4">
            <x v="28"/>
            <x v="37"/>
            <x v="41"/>
            <x v="45"/>
          </reference>
          <reference field="12" count="1" selected="0">
            <x v="11"/>
          </reference>
        </references>
      </pivotArea>
    </format>
    <format dxfId="1712">
      <pivotArea dataOnly="0" labelOnly="1" outline="0" fieldPosition="0">
        <references count="3">
          <reference field="6" count="1" selected="0">
            <x v="1"/>
          </reference>
          <reference field="11" count="3">
            <x v="29"/>
            <x v="42"/>
            <x v="46"/>
          </reference>
          <reference field="12" count="1" selected="0">
            <x v="12"/>
          </reference>
        </references>
      </pivotArea>
    </format>
    <format dxfId="1713">
      <pivotArea dataOnly="0" labelOnly="1" outline="0" fieldPosition="0">
        <references count="3">
          <reference field="6" count="1" selected="0">
            <x v="1"/>
          </reference>
          <reference field="11" count="9">
            <x v="30"/>
            <x v="31"/>
            <x v="32"/>
            <x v="33"/>
            <x v="34"/>
            <x v="38"/>
            <x v="39"/>
            <x v="43"/>
            <x v="47"/>
          </reference>
          <reference field="12" count="1" selected="0">
            <x v="13"/>
          </reference>
        </references>
      </pivotArea>
    </format>
    <format dxfId="1714">
      <pivotArea dataOnly="0" labelOnly="1" outline="0" fieldPosition="0">
        <references count="3">
          <reference field="6" count="1" selected="0">
            <x v="1"/>
          </reference>
          <reference field="11" count="6">
            <x v="36"/>
            <x v="40"/>
            <x v="44"/>
            <x v="48"/>
            <x v="52"/>
            <x v="53"/>
          </reference>
          <reference field="12" count="1" selected="0">
            <x v="14"/>
          </reference>
        </references>
      </pivotArea>
    </format>
    <format dxfId="1715">
      <pivotArea dataOnly="0" labelOnly="1" outline="0" fieldPosition="0">
        <references count="3">
          <reference field="6" count="1" selected="0">
            <x v="1"/>
          </reference>
          <reference field="11" count="3">
            <x v="49"/>
            <x v="50"/>
            <x v="51"/>
          </reference>
          <reference field="12" count="1" selected="0">
            <x v="15"/>
          </reference>
        </references>
      </pivotArea>
    </format>
    <format dxfId="1716">
      <pivotArea dataOnly="0" labelOnly="1" outline="0" fieldPosition="0">
        <references count="3">
          <reference field="6" count="1" selected="0">
            <x v="1"/>
          </reference>
          <reference field="11" count="1">
            <x v="73"/>
          </reference>
          <reference field="12" count="1" selected="0">
            <x v="23"/>
          </reference>
        </references>
      </pivotArea>
    </format>
    <format dxfId="1717">
      <pivotArea dataOnly="0" labelOnly="1" outline="0" fieldPosition="0">
        <references count="3">
          <reference field="6" count="1" selected="0">
            <x v="2"/>
          </reference>
          <reference field="11" count="1">
            <x v="54"/>
          </reference>
          <reference field="12" count="1" selected="0">
            <x v="16"/>
          </reference>
        </references>
      </pivotArea>
    </format>
    <format dxfId="1718">
      <pivotArea dataOnly="0" labelOnly="1" outline="0" fieldPosition="0">
        <references count="3">
          <reference field="6" count="1" selected="0">
            <x v="3"/>
          </reference>
          <reference field="11" count="6">
            <x v="55"/>
            <x v="56"/>
            <x v="57"/>
            <x v="58"/>
            <x v="59"/>
            <x v="60"/>
          </reference>
          <reference field="12" count="1" selected="0">
            <x v="17"/>
          </reference>
        </references>
      </pivotArea>
    </format>
    <format dxfId="1719">
      <pivotArea dataOnly="0" labelOnly="1" outline="0" fieldPosition="0">
        <references count="3">
          <reference field="6" count="1" selected="0">
            <x v="3"/>
          </reference>
          <reference field="11" count="2">
            <x v="61"/>
            <x v="64"/>
          </reference>
          <reference field="12" count="1" selected="0">
            <x v="18"/>
          </reference>
        </references>
      </pivotArea>
    </format>
    <format dxfId="1720">
      <pivotArea dataOnly="0" labelOnly="1" outline="0" fieldPosition="0">
        <references count="3">
          <reference field="6" count="1" selected="0">
            <x v="3"/>
          </reference>
          <reference field="11" count="2">
            <x v="62"/>
            <x v="65"/>
          </reference>
          <reference field="12" count="1" selected="0">
            <x v="19"/>
          </reference>
        </references>
      </pivotArea>
    </format>
    <format dxfId="1721">
      <pivotArea dataOnly="0" labelOnly="1" outline="0" fieldPosition="0">
        <references count="3">
          <reference field="6" count="1" selected="0">
            <x v="3"/>
          </reference>
          <reference field="11" count="1">
            <x v="63"/>
          </reference>
          <reference field="12" count="1" selected="0">
            <x v="20"/>
          </reference>
        </references>
      </pivotArea>
    </format>
    <format dxfId="1722">
      <pivotArea dataOnly="0" labelOnly="1" outline="0" fieldPosition="0">
        <references count="3">
          <reference field="6" count="1" selected="0">
            <x v="4"/>
          </reference>
          <reference field="11" count="2">
            <x v="66"/>
            <x v="67"/>
          </reference>
          <reference field="12" count="1" selected="0">
            <x v="21"/>
          </reference>
        </references>
      </pivotArea>
    </format>
    <format dxfId="1723">
      <pivotArea dataOnly="0" labelOnly="1" outline="0" fieldPosition="0">
        <references count="3">
          <reference field="6" count="1" selected="0">
            <x v="5"/>
          </reference>
          <reference field="11" count="4">
            <x v="68"/>
            <x v="69"/>
            <x v="70"/>
            <x v="71"/>
          </reference>
          <reference field="12" count="1" selected="0">
            <x v="22"/>
          </reference>
        </references>
      </pivotArea>
    </format>
    <format dxfId="1724">
      <pivotArea dataOnly="0" labelOnly="1" outline="0" fieldPosition="0">
        <references count="1">
          <reference field="1" count="0"/>
        </references>
      </pivotArea>
    </format>
    <format dxfId="1725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1726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1727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1728">
      <pivotArea dataOnly="0" labelOnly="1" outline="0" fieldPosition="0">
        <references count="2">
          <reference field="1" count="1" selected="0">
            <x v="0"/>
          </reference>
          <reference field="28" count="1">
            <x v="0"/>
          </reference>
        </references>
      </pivotArea>
    </format>
    <format dxfId="1729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1730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1731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1732">
      <pivotArea dataOnly="0" labelOnly="1" outline="0" fieldPosition="0">
        <references count="2">
          <reference field="1" count="1" selected="0">
            <x v="1"/>
          </reference>
          <reference field="28" count="2">
            <x v="0"/>
            <x v="1"/>
          </reference>
        </references>
      </pivotArea>
    </format>
    <format dxfId="1733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2" defaultSubtotal="1">
            <x v="0"/>
            <x v="1"/>
          </reference>
        </references>
      </pivotArea>
    </format>
    <format dxfId="1734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2" defaultSubtotal="1">
            <x v="0"/>
            <x v="1"/>
          </reference>
        </references>
      </pivotArea>
    </format>
    <format dxfId="1735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2" defaultSubtotal="1">
            <x v="0"/>
            <x v="1"/>
          </reference>
        </references>
      </pivotArea>
    </format>
    <format dxfId="1736">
      <pivotArea dataOnly="0" labelOnly="1" outline="0" fieldPosition="0">
        <references count="3">
          <reference field="1" count="1" selected="0">
            <x v="0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737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738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739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740">
      <pivotArea dataOnly="0" labelOnly="1" outline="0" fieldPosition="0">
        <references count="3">
          <reference field="1" count="1" selected="0">
            <x v="1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741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742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743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744">
      <pivotArea dataOnly="0" labelOnly="1" outline="0" fieldPosition="0">
        <references count="3">
          <reference field="1" count="1" selected="0">
            <x v="1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1745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746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747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748">
      <pivotArea dataOnly="0" labelOnly="1" outline="0" fieldPosition="0">
        <references count="4">
          <reference field="1" count="1" selected="0">
            <x v="0"/>
          </reference>
          <reference field="25" count="3">
            <x v="0"/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749">
      <pivotArea dataOnly="0" labelOnly="1" outline="0" fieldPosition="0">
        <references count="4">
          <reference field="1" count="1" selected="0">
            <x v="0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750">
      <pivotArea dataOnly="0" labelOnly="1" outline="0" fieldPosition="0">
        <references count="4">
          <reference field="1" count="1" selected="0">
            <x v="0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751">
      <pivotArea dataOnly="0" labelOnly="1" outline="0" fieldPosition="0">
        <references count="4">
          <reference field="1" count="1" selected="0">
            <x v="0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752">
      <pivotArea dataOnly="0" labelOnly="1" outline="0" fieldPosition="0">
        <references count="4">
          <reference field="1" count="1" selected="0">
            <x v="1"/>
          </reference>
          <reference field="25" count="2"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753">
      <pivotArea dataOnly="0" labelOnly="1" outline="0" fieldPosition="0">
        <references count="4">
          <reference field="1" count="1" selected="0">
            <x v="1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754">
      <pivotArea dataOnly="0" labelOnly="1" outline="0" fieldPosition="0">
        <references count="4">
          <reference field="1" count="1" selected="0">
            <x v="1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755">
      <pivotArea dataOnly="0" labelOnly="1" outline="0" fieldPosition="0">
        <references count="4">
          <reference field="1" count="1" selected="0">
            <x v="1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756">
      <pivotArea dataOnly="0" labelOnly="1" outline="0" fieldPosition="0">
        <references count="4">
          <reference field="1" count="1" selected="0">
            <x v="1"/>
          </reference>
          <reference field="25" count="3">
            <x v="12"/>
            <x v="13"/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75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75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75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76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76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76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76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76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76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76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76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76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76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77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77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77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77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77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77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77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77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77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77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78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78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78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783">
      <pivotArea type="all" dataOnly="0" outline="0" fieldPosition="0"/>
    </format>
    <format dxfId="1784">
      <pivotArea outline="0" collapsedLevelsAreSubtotals="1" fieldPosition="0"/>
    </format>
    <format dxfId="1785">
      <pivotArea type="origin" dataOnly="0" labelOnly="1" outline="0" fieldPosition="0"/>
    </format>
    <format dxfId="1786">
      <pivotArea field="1" type="button" dataOnly="0" labelOnly="1" outline="0" fieldPosition="0"/>
    </format>
    <format dxfId="1787">
      <pivotArea field="28" type="button" dataOnly="0" labelOnly="1" outline="0" fieldPosition="0"/>
    </format>
    <format dxfId="1788">
      <pivotArea field="26" type="button" dataOnly="0" labelOnly="1" outline="0" fieldPosition="0"/>
    </format>
    <format dxfId="1789">
      <pivotArea field="25" type="button" dataOnly="0" labelOnly="1" outline="0" fieldPosition="0"/>
    </format>
    <format dxfId="1790">
      <pivotArea field="-2" type="button" dataOnly="0" labelOnly="1" outline="0" fieldPosition="0"/>
    </format>
    <format dxfId="1791">
      <pivotArea type="topRight" dataOnly="0" labelOnly="1" outline="0" fieldPosition="0"/>
    </format>
    <format dxfId="1792">
      <pivotArea field="6" type="button" dataOnly="0" labelOnly="1" outline="0" fieldPosition="0"/>
    </format>
    <format dxfId="1793">
      <pivotArea field="12" type="button" dataOnly="0" labelOnly="1" outline="0" fieldPosition="0"/>
    </format>
    <format dxfId="1794">
      <pivotArea field="11" type="button" dataOnly="0" labelOnly="1" outline="0" fieldPosition="0"/>
    </format>
    <format dxfId="1795">
      <pivotArea dataOnly="0" labelOnly="1" outline="0" fieldPosition="0">
        <references count="1">
          <reference field="6" count="0"/>
        </references>
      </pivotArea>
    </format>
    <format dxfId="1796">
      <pivotArea dataOnly="0" labelOnly="1" grandRow="1" outline="0" fieldPosition="0"/>
    </format>
    <format dxfId="1797">
      <pivotArea dataOnly="0" labelOnly="1" outline="0" fieldPosition="0">
        <references count="2">
          <reference field="6" count="1" selected="0">
            <x v="0"/>
          </reference>
          <reference field="12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798">
      <pivotArea dataOnly="0" labelOnly="1" outline="0" fieldPosition="0">
        <references count="2">
          <reference field="6" count="1" selected="0">
            <x v="1"/>
          </reference>
          <reference field="12" count="6">
            <x v="11"/>
            <x v="12"/>
            <x v="13"/>
            <x v="14"/>
            <x v="15"/>
            <x v="23"/>
          </reference>
        </references>
      </pivotArea>
    </format>
    <format dxfId="1799">
      <pivotArea dataOnly="0" labelOnly="1" outline="0" fieldPosition="0">
        <references count="2">
          <reference field="6" count="1" selected="0">
            <x v="2"/>
          </reference>
          <reference field="12" count="1">
            <x v="16"/>
          </reference>
        </references>
      </pivotArea>
    </format>
    <format dxfId="1800">
      <pivotArea dataOnly="0" labelOnly="1" outline="0" fieldPosition="0">
        <references count="2">
          <reference field="6" count="1" selected="0">
            <x v="3"/>
          </reference>
          <reference field="12" count="4">
            <x v="17"/>
            <x v="18"/>
            <x v="19"/>
            <x v="20"/>
          </reference>
        </references>
      </pivotArea>
    </format>
    <format dxfId="1801">
      <pivotArea dataOnly="0" labelOnly="1" outline="0" fieldPosition="0">
        <references count="2">
          <reference field="6" count="1" selected="0">
            <x v="4"/>
          </reference>
          <reference field="12" count="1">
            <x v="21"/>
          </reference>
        </references>
      </pivotArea>
    </format>
    <format dxfId="1802">
      <pivotArea dataOnly="0" labelOnly="1" outline="0" fieldPosition="0">
        <references count="2">
          <reference field="6" count="1" selected="0">
            <x v="5"/>
          </reference>
          <reference field="12" count="1">
            <x v="22"/>
          </reference>
        </references>
      </pivotArea>
    </format>
    <format dxfId="1803">
      <pivotArea dataOnly="0" labelOnly="1" outline="0" fieldPosition="0">
        <references count="3">
          <reference field="6" count="1" selected="0">
            <x v="0"/>
          </reference>
          <reference field="11" count="1">
            <x v="1"/>
          </reference>
          <reference field="12" count="1" selected="0">
            <x v="1"/>
          </reference>
        </references>
      </pivotArea>
    </format>
    <format dxfId="1804">
      <pivotArea dataOnly="0" labelOnly="1" outline="0" fieldPosition="0">
        <references count="3">
          <reference field="6" count="1" selected="0">
            <x v="0"/>
          </reference>
          <reference field="11" count="3">
            <x v="2"/>
            <x v="9"/>
            <x v="10"/>
          </reference>
          <reference field="12" count="1" selected="0">
            <x v="2"/>
          </reference>
        </references>
      </pivotArea>
    </format>
    <format dxfId="1805">
      <pivotArea dataOnly="0" labelOnly="1" outline="0" fieldPosition="0">
        <references count="3">
          <reference field="6" count="1" selected="0">
            <x v="0"/>
          </reference>
          <reference field="11" count="2">
            <x v="3"/>
            <x v="4"/>
          </reference>
          <reference field="12" count="1" selected="0">
            <x v="3"/>
          </reference>
        </references>
      </pivotArea>
    </format>
    <format dxfId="1806">
      <pivotArea dataOnly="0" labelOnly="1" outline="0" fieldPosition="0">
        <references count="3">
          <reference field="6" count="1" selected="0">
            <x v="0"/>
          </reference>
          <reference field="11" count="2">
            <x v="5"/>
            <x v="6"/>
          </reference>
          <reference field="12" count="1" selected="0">
            <x v="4"/>
          </reference>
        </references>
      </pivotArea>
    </format>
    <format dxfId="1807">
      <pivotArea dataOnly="0" labelOnly="1" outline="0" fieldPosition="0">
        <references count="3">
          <reference field="6" count="1" selected="0">
            <x v="0"/>
          </reference>
          <reference field="11" count="2">
            <x v="7"/>
            <x v="8"/>
          </reference>
          <reference field="12" count="1" selected="0">
            <x v="5"/>
          </reference>
        </references>
      </pivotArea>
    </format>
    <format dxfId="1808">
      <pivotArea dataOnly="0" labelOnly="1" outline="0" fieldPosition="0">
        <references count="3">
          <reference field="6" count="1" selected="0">
            <x v="0"/>
          </reference>
          <reference field="11" count="4">
            <x v="11"/>
            <x v="12"/>
            <x v="13"/>
            <x v="17"/>
          </reference>
          <reference field="12" count="1" selected="0">
            <x v="6"/>
          </reference>
        </references>
      </pivotArea>
    </format>
    <format dxfId="1809">
      <pivotArea dataOnly="0" labelOnly="1" outline="0" fieldPosition="0">
        <references count="3">
          <reference field="6" count="1" selected="0">
            <x v="0"/>
          </reference>
          <reference field="11" count="3">
            <x v="14"/>
            <x v="15"/>
            <x v="16"/>
          </reference>
          <reference field="12" count="1" selected="0">
            <x v="7"/>
          </reference>
        </references>
      </pivotArea>
    </format>
    <format dxfId="1810">
      <pivotArea dataOnly="0" labelOnly="1" outline="0" fieldPosition="0">
        <references count="3">
          <reference field="6" count="1" selected="0">
            <x v="0"/>
          </reference>
          <reference field="11" count="2">
            <x v="18"/>
            <x v="19"/>
          </reference>
          <reference field="12" count="1" selected="0">
            <x v="8"/>
          </reference>
        </references>
      </pivotArea>
    </format>
    <format dxfId="1811">
      <pivotArea dataOnly="0" labelOnly="1" outline="0" fieldPosition="0">
        <references count="3">
          <reference field="6" count="1" selected="0">
            <x v="0"/>
          </reference>
          <reference field="11" count="2">
            <x v="20"/>
            <x v="21"/>
          </reference>
          <reference field="12" count="1" selected="0">
            <x v="9"/>
          </reference>
        </references>
      </pivotArea>
    </format>
    <format dxfId="1812">
      <pivotArea dataOnly="0" labelOnly="1" outline="0" fieldPosition="0">
        <references count="3">
          <reference field="6" count="1" selected="0">
            <x v="0"/>
          </reference>
          <reference field="11" count="6">
            <x v="22"/>
            <x v="23"/>
            <x v="24"/>
            <x v="25"/>
            <x v="26"/>
            <x v="27"/>
          </reference>
          <reference field="12" count="1" selected="0">
            <x v="10"/>
          </reference>
        </references>
      </pivotArea>
    </format>
    <format dxfId="1813">
      <pivotArea dataOnly="0" labelOnly="1" outline="0" fieldPosition="0">
        <references count="3">
          <reference field="6" count="1" selected="0">
            <x v="1"/>
          </reference>
          <reference field="11" count="4">
            <x v="28"/>
            <x v="37"/>
            <x v="41"/>
            <x v="45"/>
          </reference>
          <reference field="12" count="1" selected="0">
            <x v="11"/>
          </reference>
        </references>
      </pivotArea>
    </format>
    <format dxfId="1814">
      <pivotArea dataOnly="0" labelOnly="1" outline="0" fieldPosition="0">
        <references count="3">
          <reference field="6" count="1" selected="0">
            <x v="1"/>
          </reference>
          <reference field="11" count="3">
            <x v="29"/>
            <x v="42"/>
            <x v="46"/>
          </reference>
          <reference field="12" count="1" selected="0">
            <x v="12"/>
          </reference>
        </references>
      </pivotArea>
    </format>
    <format dxfId="1815">
      <pivotArea dataOnly="0" labelOnly="1" outline="0" fieldPosition="0">
        <references count="3">
          <reference field="6" count="1" selected="0">
            <x v="1"/>
          </reference>
          <reference field="11" count="9">
            <x v="30"/>
            <x v="31"/>
            <x v="32"/>
            <x v="33"/>
            <x v="34"/>
            <x v="38"/>
            <x v="39"/>
            <x v="43"/>
            <x v="47"/>
          </reference>
          <reference field="12" count="1" selected="0">
            <x v="13"/>
          </reference>
        </references>
      </pivotArea>
    </format>
    <format dxfId="1816">
      <pivotArea dataOnly="0" labelOnly="1" outline="0" fieldPosition="0">
        <references count="3">
          <reference field="6" count="1" selected="0">
            <x v="1"/>
          </reference>
          <reference field="11" count="6">
            <x v="36"/>
            <x v="40"/>
            <x v="44"/>
            <x v="48"/>
            <x v="52"/>
            <x v="53"/>
          </reference>
          <reference field="12" count="1" selected="0">
            <x v="14"/>
          </reference>
        </references>
      </pivotArea>
    </format>
    <format dxfId="1817">
      <pivotArea dataOnly="0" labelOnly="1" outline="0" fieldPosition="0">
        <references count="3">
          <reference field="6" count="1" selected="0">
            <x v="1"/>
          </reference>
          <reference field="11" count="3">
            <x v="49"/>
            <x v="50"/>
            <x v="51"/>
          </reference>
          <reference field="12" count="1" selected="0">
            <x v="15"/>
          </reference>
        </references>
      </pivotArea>
    </format>
    <format dxfId="1818">
      <pivotArea dataOnly="0" labelOnly="1" outline="0" fieldPosition="0">
        <references count="3">
          <reference field="6" count="1" selected="0">
            <x v="1"/>
          </reference>
          <reference field="11" count="1">
            <x v="73"/>
          </reference>
          <reference field="12" count="1" selected="0">
            <x v="23"/>
          </reference>
        </references>
      </pivotArea>
    </format>
    <format dxfId="1819">
      <pivotArea dataOnly="0" labelOnly="1" outline="0" fieldPosition="0">
        <references count="3">
          <reference field="6" count="1" selected="0">
            <x v="2"/>
          </reference>
          <reference field="11" count="1">
            <x v="54"/>
          </reference>
          <reference field="12" count="1" selected="0">
            <x v="16"/>
          </reference>
        </references>
      </pivotArea>
    </format>
    <format dxfId="1820">
      <pivotArea dataOnly="0" labelOnly="1" outline="0" fieldPosition="0">
        <references count="3">
          <reference field="6" count="1" selected="0">
            <x v="3"/>
          </reference>
          <reference field="11" count="6">
            <x v="55"/>
            <x v="56"/>
            <x v="57"/>
            <x v="58"/>
            <x v="59"/>
            <x v="60"/>
          </reference>
          <reference field="12" count="1" selected="0">
            <x v="17"/>
          </reference>
        </references>
      </pivotArea>
    </format>
    <format dxfId="1821">
      <pivotArea dataOnly="0" labelOnly="1" outline="0" fieldPosition="0">
        <references count="3">
          <reference field="6" count="1" selected="0">
            <x v="3"/>
          </reference>
          <reference field="11" count="2">
            <x v="61"/>
            <x v="64"/>
          </reference>
          <reference field="12" count="1" selected="0">
            <x v="18"/>
          </reference>
        </references>
      </pivotArea>
    </format>
    <format dxfId="1822">
      <pivotArea dataOnly="0" labelOnly="1" outline="0" fieldPosition="0">
        <references count="3">
          <reference field="6" count="1" selected="0">
            <x v="3"/>
          </reference>
          <reference field="11" count="2">
            <x v="62"/>
            <x v="65"/>
          </reference>
          <reference field="12" count="1" selected="0">
            <x v="19"/>
          </reference>
        </references>
      </pivotArea>
    </format>
    <format dxfId="1823">
      <pivotArea dataOnly="0" labelOnly="1" outline="0" fieldPosition="0">
        <references count="3">
          <reference field="6" count="1" selected="0">
            <x v="3"/>
          </reference>
          <reference field="11" count="1">
            <x v="63"/>
          </reference>
          <reference field="12" count="1" selected="0">
            <x v="20"/>
          </reference>
        </references>
      </pivotArea>
    </format>
    <format dxfId="1824">
      <pivotArea dataOnly="0" labelOnly="1" outline="0" fieldPosition="0">
        <references count="3">
          <reference field="6" count="1" selected="0">
            <x v="4"/>
          </reference>
          <reference field="11" count="2">
            <x v="66"/>
            <x v="67"/>
          </reference>
          <reference field="12" count="1" selected="0">
            <x v="21"/>
          </reference>
        </references>
      </pivotArea>
    </format>
    <format dxfId="1825">
      <pivotArea dataOnly="0" labelOnly="1" outline="0" fieldPosition="0">
        <references count="3">
          <reference field="6" count="1" selected="0">
            <x v="5"/>
          </reference>
          <reference field="11" count="4">
            <x v="68"/>
            <x v="69"/>
            <x v="70"/>
            <x v="71"/>
          </reference>
          <reference field="12" count="1" selected="0">
            <x v="22"/>
          </reference>
        </references>
      </pivotArea>
    </format>
    <format dxfId="1826">
      <pivotArea dataOnly="0" labelOnly="1" outline="0" fieldPosition="0">
        <references count="1">
          <reference field="1" count="0"/>
        </references>
      </pivotArea>
    </format>
    <format dxfId="1827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1828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1829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1830">
      <pivotArea dataOnly="0" labelOnly="1" outline="0" fieldPosition="0">
        <references count="2">
          <reference field="1" count="1" selected="0">
            <x v="0"/>
          </reference>
          <reference field="28" count="1">
            <x v="0"/>
          </reference>
        </references>
      </pivotArea>
    </format>
    <format dxfId="1831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1832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1833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1834">
      <pivotArea dataOnly="0" labelOnly="1" outline="0" fieldPosition="0">
        <references count="2">
          <reference field="1" count="1" selected="0">
            <x v="1"/>
          </reference>
          <reference field="28" count="2">
            <x v="0"/>
            <x v="1"/>
          </reference>
        </references>
      </pivotArea>
    </format>
    <format dxfId="1835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2" defaultSubtotal="1">
            <x v="0"/>
            <x v="1"/>
          </reference>
        </references>
      </pivotArea>
    </format>
    <format dxfId="1836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2" defaultSubtotal="1">
            <x v="0"/>
            <x v="1"/>
          </reference>
        </references>
      </pivotArea>
    </format>
    <format dxfId="1837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2" defaultSubtotal="1">
            <x v="0"/>
            <x v="1"/>
          </reference>
        </references>
      </pivotArea>
    </format>
    <format dxfId="1838">
      <pivotArea dataOnly="0" labelOnly="1" outline="0" fieldPosition="0">
        <references count="3">
          <reference field="1" count="1" selected="0">
            <x v="0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839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840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841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842">
      <pivotArea dataOnly="0" labelOnly="1" outline="0" fieldPosition="0">
        <references count="3">
          <reference field="1" count="1" selected="0">
            <x v="1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843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844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84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1846">
      <pivotArea dataOnly="0" labelOnly="1" outline="0" fieldPosition="0">
        <references count="3">
          <reference field="1" count="1" selected="0">
            <x v="1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1847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848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849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1850">
      <pivotArea dataOnly="0" labelOnly="1" outline="0" fieldPosition="0">
        <references count="4">
          <reference field="1" count="1" selected="0">
            <x v="0"/>
          </reference>
          <reference field="25" count="3">
            <x v="0"/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851">
      <pivotArea dataOnly="0" labelOnly="1" outline="0" fieldPosition="0">
        <references count="4">
          <reference field="1" count="1" selected="0">
            <x v="0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852">
      <pivotArea dataOnly="0" labelOnly="1" outline="0" fieldPosition="0">
        <references count="4">
          <reference field="1" count="1" selected="0">
            <x v="0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853">
      <pivotArea dataOnly="0" labelOnly="1" outline="0" fieldPosition="0">
        <references count="4">
          <reference field="1" count="1" selected="0">
            <x v="0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854">
      <pivotArea dataOnly="0" labelOnly="1" outline="0" fieldPosition="0">
        <references count="4">
          <reference field="1" count="1" selected="0">
            <x v="1"/>
          </reference>
          <reference field="25" count="2"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855">
      <pivotArea dataOnly="0" labelOnly="1" outline="0" fieldPosition="0">
        <references count="4">
          <reference field="1" count="1" selected="0">
            <x v="1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856">
      <pivotArea dataOnly="0" labelOnly="1" outline="0" fieldPosition="0">
        <references count="4">
          <reference field="1" count="1" selected="0">
            <x v="1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857">
      <pivotArea dataOnly="0" labelOnly="1" outline="0" fieldPosition="0">
        <references count="4">
          <reference field="1" count="1" selected="0">
            <x v="1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858">
      <pivotArea dataOnly="0" labelOnly="1" outline="0" fieldPosition="0">
        <references count="4">
          <reference field="1" count="1" selected="0">
            <x v="1"/>
          </reference>
          <reference field="25" count="3">
            <x v="12"/>
            <x v="13"/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85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86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86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86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86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86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86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86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86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86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86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87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87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87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187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87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87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187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87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87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187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88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88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188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88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88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1885">
      <pivotArea field="6" type="button" dataOnly="0" labelOnly="1" outline="0" fieldPosition="0"/>
    </format>
    <format dxfId="1886">
      <pivotArea field="6" type="button" dataOnly="0" labelOnly="1" outline="0" fieldPosition="0"/>
    </format>
    <format dxfId="1887">
      <pivotArea field="12" type="button" dataOnly="0" labelOnly="1" outline="0" fieldPosition="0"/>
    </format>
    <format dxfId="1888">
      <pivotArea field="11" type="button" dataOnly="0" labelOnly="1" outline="0" fieldPosition="0"/>
    </format>
    <format dxfId="1889">
      <pivotArea dataOnly="0" labelOnly="1" outline="0" fieldPosition="0">
        <references count="2">
          <reference field="4294967294" count="1" selected="0">
            <x v="0"/>
          </reference>
          <reference field="1" count="1" defaultSubtotal="1">
            <x v="0"/>
          </reference>
        </references>
      </pivotArea>
    </format>
    <format dxfId="1890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1891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1892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1893">
      <pivotArea dataOnly="0" labelOnly="1" outline="0" fieldPosition="0">
        <references count="2">
          <reference field="4294967294" count="1" selected="0">
            <x v="1"/>
          </reference>
          <reference field="1" count="1" defaultSubtotal="1">
            <x v="0"/>
          </reference>
        </references>
      </pivotArea>
    </format>
    <format dxfId="1894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1895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1896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1897">
      <pivotArea dataOnly="0" labelOnly="1" outline="0" fieldPosition="0">
        <references count="2">
          <reference field="4294967294" count="1" selected="0">
            <x v="2"/>
          </reference>
          <reference field="1" count="1" defaultSubtotal="1">
            <x v="0"/>
          </reference>
        </references>
      </pivotArea>
    </format>
    <format dxfId="1898">
      <pivotArea dataOnly="0" labelOnly="1" outline="0" fieldPosition="0">
        <references count="2">
          <reference field="4294967294" count="1" selected="0">
            <x v="0"/>
          </reference>
          <reference field="1" count="1" defaultSubtotal="1">
            <x v="1"/>
          </reference>
        </references>
      </pivotArea>
    </format>
    <format dxfId="1899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1900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1901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1902">
      <pivotArea dataOnly="0" labelOnly="1" outline="0" fieldPosition="0">
        <references count="2">
          <reference field="4294967294" count="1" selected="0">
            <x v="1"/>
          </reference>
          <reference field="1" count="1" defaultSubtotal="1">
            <x v="1"/>
          </reference>
        </references>
      </pivotArea>
    </format>
    <format dxfId="1903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1904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1905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1906">
      <pivotArea dataOnly="0" labelOnly="1" outline="0" fieldPosition="0">
        <references count="2">
          <reference field="4294967294" count="1" selected="0">
            <x v="2"/>
          </reference>
          <reference field="1" count="1" defaultSubtotal="1">
            <x v="1"/>
          </reference>
        </references>
      </pivotArea>
    </format>
    <format dxfId="1907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1908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8" count="0" defaultSubtotal="1"/>
        </references>
      </pivotArea>
    </format>
    <format dxfId="1909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8" count="0" defaultSubtotal="1"/>
        </references>
      </pivotArea>
    </format>
    <format dxfId="1910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8" count="0" defaultSubtotal="1"/>
        </references>
      </pivotArea>
    </format>
    <format dxfId="1911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1912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8" count="0" defaultSubtotal="1"/>
        </references>
      </pivotArea>
    </format>
    <format dxfId="1913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8" count="0" defaultSubtotal="1"/>
        </references>
      </pivotArea>
    </format>
    <format dxfId="1914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8" count="0" defaultSubtotal="1"/>
        </references>
      </pivotArea>
    </format>
    <format dxfId="1915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1916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1" defaultSubtotal="1">
            <x v="0"/>
          </reference>
        </references>
      </pivotArea>
    </format>
    <format dxfId="1917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0" defaultSubtotal="1"/>
        </references>
      </pivotArea>
    </format>
    <format dxfId="1918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0" defaultSubtotal="1"/>
        </references>
      </pivotArea>
    </format>
    <format dxfId="1919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0" defaultSubtotal="1"/>
        </references>
      </pivotArea>
    </format>
    <format dxfId="1920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1" defaultSubtotal="1">
            <x v="0"/>
          </reference>
        </references>
      </pivotArea>
    </format>
    <format dxfId="1921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0" defaultSubtotal="1"/>
        </references>
      </pivotArea>
    </format>
    <format dxfId="1922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0" defaultSubtotal="1"/>
        </references>
      </pivotArea>
    </format>
    <format dxfId="1923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0" defaultSubtotal="1"/>
        </references>
      </pivotArea>
    </format>
    <format dxfId="1924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1" defaultSubtotal="1">
            <x v="0"/>
          </reference>
        </references>
      </pivotArea>
    </format>
    <format dxfId="1925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1" defaultSubtotal="1">
            <x v="1"/>
          </reference>
        </references>
      </pivotArea>
    </format>
    <format dxfId="1926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0" defaultSubtotal="1"/>
        </references>
      </pivotArea>
    </format>
    <format dxfId="1927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0" defaultSubtotal="1"/>
        </references>
      </pivotArea>
    </format>
    <format dxfId="1928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0" defaultSubtotal="1"/>
        </references>
      </pivotArea>
    </format>
    <format dxfId="1929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1" defaultSubtotal="1">
            <x v="1"/>
          </reference>
        </references>
      </pivotArea>
    </format>
    <format dxfId="1930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0" defaultSubtotal="1"/>
        </references>
      </pivotArea>
    </format>
    <format dxfId="1931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0" defaultSubtotal="1"/>
        </references>
      </pivotArea>
    </format>
    <format dxfId="1932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0" defaultSubtotal="1"/>
        </references>
      </pivotArea>
    </format>
    <format dxfId="1933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1" defaultSubtotal="1">
            <x v="1"/>
          </reference>
        </references>
      </pivotArea>
    </format>
    <format dxfId="1934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1935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36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37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38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1939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40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41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42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1943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1944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4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46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47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1948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49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50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51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1952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1953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54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55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56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1957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58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59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60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1961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1962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63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64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65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1966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67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68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0" defaultSubtotal="1"/>
          <reference field="28" count="1" selected="0">
            <x v="0"/>
          </reference>
        </references>
      </pivotArea>
    </format>
    <format dxfId="1969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1970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1971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972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973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974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197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976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977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978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0"/>
          </reference>
          <reference field="28" count="1" selected="0">
            <x v="0"/>
          </reference>
        </references>
      </pivotArea>
    </format>
    <format dxfId="1979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1980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981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982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983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1984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985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986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987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2"/>
          </reference>
          <reference field="28" count="1" selected="0">
            <x v="0"/>
          </reference>
        </references>
      </pivotArea>
    </format>
    <format dxfId="1988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1989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990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991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992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1993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994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995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996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3"/>
          </reference>
          <reference field="28" count="1" selected="0">
            <x v="0"/>
          </reference>
        </references>
      </pivotArea>
    </format>
    <format dxfId="1997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1998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1999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2000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2001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2002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2003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2004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0"/>
          </reference>
        </references>
      </pivotArea>
    </format>
    <format dxfId="200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4"/>
          </reference>
          <reference field="28" count="1" selected="0">
            <x v="0"/>
          </reference>
        </references>
      </pivotArea>
    </format>
    <format dxfId="2006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2007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2008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2009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2010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2011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2012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2013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0" defaultSubtotal="1"/>
          <reference field="28" count="1" selected="0">
            <x v="1"/>
          </reference>
        </references>
      </pivotArea>
    </format>
    <format dxfId="2014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201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01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01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01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01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02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02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02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02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02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02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02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02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02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02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03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03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03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03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03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03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03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03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03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203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204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2041">
      <pivotArea type="all" dataOnly="0" outline="0" fieldPosition="0"/>
    </format>
    <format dxfId="2042">
      <pivotArea outline="0" collapsedLevelsAreSubtotals="1" fieldPosition="0">
        <references count="1">
          <reference field="1" count="1" selected="0" defaultSubtotal="1">
            <x v="0"/>
          </reference>
        </references>
      </pivotArea>
    </format>
    <format dxfId="2043">
      <pivotArea dataOnly="0" labelOnly="1" outline="0" fieldPosition="0">
        <references count="3">
          <reference field="6" count="1" selected="0">
            <x v="5"/>
          </reference>
          <reference field="11" count="1">
            <x v="70"/>
          </reference>
          <reference field="12" count="1" selected="0">
            <x v="22"/>
          </reference>
        </references>
      </pivotArea>
    </format>
    <format dxfId="2044">
      <pivotArea dataOnly="0" labelOnly="1" outline="0" fieldPosition="0">
        <references count="3">
          <reference field="6" count="1" selected="0">
            <x v="5"/>
          </reference>
          <reference field="11" count="1">
            <x v="70"/>
          </reference>
          <reference field="12" count="1" selected="0">
            <x v="22"/>
          </reference>
        </references>
      </pivotArea>
    </format>
    <format dxfId="2045">
      <pivotArea type="all" dataOnly="0" outline="0" fieldPosition="0"/>
    </format>
    <format dxfId="2046">
      <pivotArea outline="0" collapsedLevelsAreSubtotals="1" fieldPosition="0"/>
    </format>
    <format dxfId="2047">
      <pivotArea type="origin" dataOnly="0" labelOnly="1" outline="0" fieldPosition="0"/>
    </format>
    <format dxfId="2048">
      <pivotArea field="1" type="button" dataOnly="0" labelOnly="1" outline="0" fieldPosition="0"/>
    </format>
    <format dxfId="2049">
      <pivotArea field="28" type="button" dataOnly="0" labelOnly="1" outline="0" fieldPosition="0"/>
    </format>
    <format dxfId="2050">
      <pivotArea field="26" type="button" dataOnly="0" labelOnly="1" outline="0" fieldPosition="0"/>
    </format>
    <format dxfId="2051">
      <pivotArea field="25" type="button" dataOnly="0" labelOnly="1" outline="0" fieldPosition="0"/>
    </format>
    <format dxfId="2052">
      <pivotArea field="-2" type="button" dataOnly="0" labelOnly="1" outline="0" fieldPosition="0"/>
    </format>
    <format dxfId="2053">
      <pivotArea type="topRight" dataOnly="0" labelOnly="1" outline="0" fieldPosition="0"/>
    </format>
    <format dxfId="2054">
      <pivotArea field="6" type="button" dataOnly="0" labelOnly="1" outline="0" fieldPosition="0"/>
    </format>
    <format dxfId="2055">
      <pivotArea field="12" type="button" dataOnly="0" labelOnly="1" outline="0" fieldPosition="0"/>
    </format>
    <format dxfId="2056">
      <pivotArea field="11" type="button" dataOnly="0" labelOnly="1" outline="0" fieldPosition="0"/>
    </format>
    <format dxfId="2057">
      <pivotArea dataOnly="0" labelOnly="1" outline="0" fieldPosition="0">
        <references count="1">
          <reference field="6" count="0"/>
        </references>
      </pivotArea>
    </format>
    <format dxfId="2058">
      <pivotArea dataOnly="0" labelOnly="1" grandRow="1" outline="0" fieldPosition="0"/>
    </format>
    <format dxfId="2059">
      <pivotArea dataOnly="0" labelOnly="1" outline="0" fieldPosition="0">
        <references count="2">
          <reference field="6" count="1" selected="0">
            <x v="0"/>
          </reference>
          <reference field="12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060">
      <pivotArea dataOnly="0" labelOnly="1" outline="0" fieldPosition="0">
        <references count="2">
          <reference field="6" count="1" selected="0">
            <x v="1"/>
          </reference>
          <reference field="12" count="6">
            <x v="11"/>
            <x v="12"/>
            <x v="13"/>
            <x v="14"/>
            <x v="15"/>
            <x v="23"/>
          </reference>
        </references>
      </pivotArea>
    </format>
    <format dxfId="2061">
      <pivotArea dataOnly="0" labelOnly="1" outline="0" fieldPosition="0">
        <references count="2">
          <reference field="6" count="1" selected="0">
            <x v="2"/>
          </reference>
          <reference field="12" count="1">
            <x v="16"/>
          </reference>
        </references>
      </pivotArea>
    </format>
    <format dxfId="2062">
      <pivotArea dataOnly="0" labelOnly="1" outline="0" fieldPosition="0">
        <references count="2">
          <reference field="6" count="1" selected="0">
            <x v="3"/>
          </reference>
          <reference field="12" count="4">
            <x v="17"/>
            <x v="18"/>
            <x v="19"/>
            <x v="20"/>
          </reference>
        </references>
      </pivotArea>
    </format>
    <format dxfId="2063">
      <pivotArea dataOnly="0" labelOnly="1" outline="0" fieldPosition="0">
        <references count="2">
          <reference field="6" count="1" selected="0">
            <x v="4"/>
          </reference>
          <reference field="12" count="1">
            <x v="21"/>
          </reference>
        </references>
      </pivotArea>
    </format>
    <format dxfId="2064">
      <pivotArea dataOnly="0" labelOnly="1" outline="0" fieldPosition="0">
        <references count="2">
          <reference field="6" count="1" selected="0">
            <x v="5"/>
          </reference>
          <reference field="12" count="1">
            <x v="22"/>
          </reference>
        </references>
      </pivotArea>
    </format>
    <format dxfId="2065">
      <pivotArea dataOnly="0" labelOnly="1" outline="0" fieldPosition="0">
        <references count="3">
          <reference field="6" count="1" selected="0">
            <x v="0"/>
          </reference>
          <reference field="11" count="1">
            <x v="1"/>
          </reference>
          <reference field="12" count="1" selected="0">
            <x v="1"/>
          </reference>
        </references>
      </pivotArea>
    </format>
    <format dxfId="2066">
      <pivotArea dataOnly="0" labelOnly="1" outline="0" fieldPosition="0">
        <references count="3">
          <reference field="6" count="1" selected="0">
            <x v="0"/>
          </reference>
          <reference field="11" count="3">
            <x v="2"/>
            <x v="9"/>
            <x v="10"/>
          </reference>
          <reference field="12" count="1" selected="0">
            <x v="2"/>
          </reference>
        </references>
      </pivotArea>
    </format>
    <format dxfId="2067">
      <pivotArea dataOnly="0" labelOnly="1" outline="0" fieldPosition="0">
        <references count="3">
          <reference field="6" count="1" selected="0">
            <x v="0"/>
          </reference>
          <reference field="11" count="2">
            <x v="3"/>
            <x v="4"/>
          </reference>
          <reference field="12" count="1" selected="0">
            <x v="3"/>
          </reference>
        </references>
      </pivotArea>
    </format>
    <format dxfId="2068">
      <pivotArea dataOnly="0" labelOnly="1" outline="0" fieldPosition="0">
        <references count="3">
          <reference field="6" count="1" selected="0">
            <x v="0"/>
          </reference>
          <reference field="11" count="2">
            <x v="5"/>
            <x v="6"/>
          </reference>
          <reference field="12" count="1" selected="0">
            <x v="4"/>
          </reference>
        </references>
      </pivotArea>
    </format>
    <format dxfId="2069">
      <pivotArea dataOnly="0" labelOnly="1" outline="0" fieldPosition="0">
        <references count="3">
          <reference field="6" count="1" selected="0">
            <x v="0"/>
          </reference>
          <reference field="11" count="2">
            <x v="7"/>
            <x v="8"/>
          </reference>
          <reference field="12" count="1" selected="0">
            <x v="5"/>
          </reference>
        </references>
      </pivotArea>
    </format>
    <format dxfId="2070">
      <pivotArea dataOnly="0" labelOnly="1" outline="0" fieldPosition="0">
        <references count="3">
          <reference field="6" count="1" selected="0">
            <x v="0"/>
          </reference>
          <reference field="11" count="4">
            <x v="11"/>
            <x v="12"/>
            <x v="13"/>
            <x v="17"/>
          </reference>
          <reference field="12" count="1" selected="0">
            <x v="6"/>
          </reference>
        </references>
      </pivotArea>
    </format>
    <format dxfId="2071">
      <pivotArea dataOnly="0" labelOnly="1" outline="0" fieldPosition="0">
        <references count="3">
          <reference field="6" count="1" selected="0">
            <x v="0"/>
          </reference>
          <reference field="11" count="3">
            <x v="14"/>
            <x v="15"/>
            <x v="16"/>
          </reference>
          <reference field="12" count="1" selected="0">
            <x v="7"/>
          </reference>
        </references>
      </pivotArea>
    </format>
    <format dxfId="2072">
      <pivotArea dataOnly="0" labelOnly="1" outline="0" fieldPosition="0">
        <references count="3">
          <reference field="6" count="1" selected="0">
            <x v="0"/>
          </reference>
          <reference field="11" count="2">
            <x v="18"/>
            <x v="19"/>
          </reference>
          <reference field="12" count="1" selected="0">
            <x v="8"/>
          </reference>
        </references>
      </pivotArea>
    </format>
    <format dxfId="2073">
      <pivotArea dataOnly="0" labelOnly="1" outline="0" fieldPosition="0">
        <references count="3">
          <reference field="6" count="1" selected="0">
            <x v="0"/>
          </reference>
          <reference field="11" count="2">
            <x v="20"/>
            <x v="21"/>
          </reference>
          <reference field="12" count="1" selected="0">
            <x v="9"/>
          </reference>
        </references>
      </pivotArea>
    </format>
    <format dxfId="2074">
      <pivotArea dataOnly="0" labelOnly="1" outline="0" fieldPosition="0">
        <references count="3">
          <reference field="6" count="1" selected="0">
            <x v="0"/>
          </reference>
          <reference field="11" count="6">
            <x v="22"/>
            <x v="23"/>
            <x v="24"/>
            <x v="25"/>
            <x v="26"/>
            <x v="27"/>
          </reference>
          <reference field="12" count="1" selected="0">
            <x v="10"/>
          </reference>
        </references>
      </pivotArea>
    </format>
    <format dxfId="2075">
      <pivotArea dataOnly="0" labelOnly="1" outline="0" fieldPosition="0">
        <references count="3">
          <reference field="6" count="1" selected="0">
            <x v="1"/>
          </reference>
          <reference field="11" count="4">
            <x v="28"/>
            <x v="37"/>
            <x v="41"/>
            <x v="45"/>
          </reference>
          <reference field="12" count="1" selected="0">
            <x v="11"/>
          </reference>
        </references>
      </pivotArea>
    </format>
    <format dxfId="2076">
      <pivotArea dataOnly="0" labelOnly="1" outline="0" fieldPosition="0">
        <references count="3">
          <reference field="6" count="1" selected="0">
            <x v="1"/>
          </reference>
          <reference field="11" count="3">
            <x v="29"/>
            <x v="42"/>
            <x v="46"/>
          </reference>
          <reference field="12" count="1" selected="0">
            <x v="12"/>
          </reference>
        </references>
      </pivotArea>
    </format>
    <format dxfId="2077">
      <pivotArea dataOnly="0" labelOnly="1" outline="0" fieldPosition="0">
        <references count="3">
          <reference field="6" count="1" selected="0">
            <x v="1"/>
          </reference>
          <reference field="11" count="9">
            <x v="30"/>
            <x v="31"/>
            <x v="32"/>
            <x v="33"/>
            <x v="34"/>
            <x v="38"/>
            <x v="39"/>
            <x v="43"/>
            <x v="47"/>
          </reference>
          <reference field="12" count="1" selected="0">
            <x v="13"/>
          </reference>
        </references>
      </pivotArea>
    </format>
    <format dxfId="2078">
      <pivotArea dataOnly="0" labelOnly="1" outline="0" fieldPosition="0">
        <references count="3">
          <reference field="6" count="1" selected="0">
            <x v="1"/>
          </reference>
          <reference field="11" count="6">
            <x v="36"/>
            <x v="40"/>
            <x v="44"/>
            <x v="48"/>
            <x v="52"/>
            <x v="53"/>
          </reference>
          <reference field="12" count="1" selected="0">
            <x v="14"/>
          </reference>
        </references>
      </pivotArea>
    </format>
    <format dxfId="2079">
      <pivotArea dataOnly="0" labelOnly="1" outline="0" fieldPosition="0">
        <references count="3">
          <reference field="6" count="1" selected="0">
            <x v="1"/>
          </reference>
          <reference field="11" count="3">
            <x v="49"/>
            <x v="50"/>
            <x v="51"/>
          </reference>
          <reference field="12" count="1" selected="0">
            <x v="15"/>
          </reference>
        </references>
      </pivotArea>
    </format>
    <format dxfId="2080">
      <pivotArea dataOnly="0" labelOnly="1" outline="0" fieldPosition="0">
        <references count="3">
          <reference field="6" count="1" selected="0">
            <x v="1"/>
          </reference>
          <reference field="11" count="1">
            <x v="73"/>
          </reference>
          <reference field="12" count="1" selected="0">
            <x v="23"/>
          </reference>
        </references>
      </pivotArea>
    </format>
    <format dxfId="2081">
      <pivotArea dataOnly="0" labelOnly="1" outline="0" fieldPosition="0">
        <references count="3">
          <reference field="6" count="1" selected="0">
            <x v="2"/>
          </reference>
          <reference field="11" count="1">
            <x v="54"/>
          </reference>
          <reference field="12" count="1" selected="0">
            <x v="16"/>
          </reference>
        </references>
      </pivotArea>
    </format>
    <format dxfId="2082">
      <pivotArea dataOnly="0" labelOnly="1" outline="0" fieldPosition="0">
        <references count="3">
          <reference field="6" count="1" selected="0">
            <x v="3"/>
          </reference>
          <reference field="11" count="6">
            <x v="55"/>
            <x v="56"/>
            <x v="57"/>
            <x v="58"/>
            <x v="59"/>
            <x v="60"/>
          </reference>
          <reference field="12" count="1" selected="0">
            <x v="17"/>
          </reference>
        </references>
      </pivotArea>
    </format>
    <format dxfId="2083">
      <pivotArea dataOnly="0" labelOnly="1" outline="0" fieldPosition="0">
        <references count="3">
          <reference field="6" count="1" selected="0">
            <x v="3"/>
          </reference>
          <reference field="11" count="2">
            <x v="61"/>
            <x v="64"/>
          </reference>
          <reference field="12" count="1" selected="0">
            <x v="18"/>
          </reference>
        </references>
      </pivotArea>
    </format>
    <format dxfId="2084">
      <pivotArea dataOnly="0" labelOnly="1" outline="0" fieldPosition="0">
        <references count="3">
          <reference field="6" count="1" selected="0">
            <x v="3"/>
          </reference>
          <reference field="11" count="2">
            <x v="62"/>
            <x v="65"/>
          </reference>
          <reference field="12" count="1" selected="0">
            <x v="19"/>
          </reference>
        </references>
      </pivotArea>
    </format>
    <format dxfId="2085">
      <pivotArea dataOnly="0" labelOnly="1" outline="0" fieldPosition="0">
        <references count="3">
          <reference field="6" count="1" selected="0">
            <x v="3"/>
          </reference>
          <reference field="11" count="1">
            <x v="63"/>
          </reference>
          <reference field="12" count="1" selected="0">
            <x v="20"/>
          </reference>
        </references>
      </pivotArea>
    </format>
    <format dxfId="2086">
      <pivotArea dataOnly="0" labelOnly="1" outline="0" fieldPosition="0">
        <references count="3">
          <reference field="6" count="1" selected="0">
            <x v="4"/>
          </reference>
          <reference field="11" count="2">
            <x v="66"/>
            <x v="67"/>
          </reference>
          <reference field="12" count="1" selected="0">
            <x v="21"/>
          </reference>
        </references>
      </pivotArea>
    </format>
    <format dxfId="2087">
      <pivotArea dataOnly="0" labelOnly="1" outline="0" fieldPosition="0">
        <references count="3">
          <reference field="6" count="1" selected="0">
            <x v="5"/>
          </reference>
          <reference field="11" count="4">
            <x v="68"/>
            <x v="69"/>
            <x v="70"/>
            <x v="71"/>
          </reference>
          <reference field="12" count="1" selected="0">
            <x v="22"/>
          </reference>
        </references>
      </pivotArea>
    </format>
    <format dxfId="2088">
      <pivotArea dataOnly="0" labelOnly="1" outline="0" fieldPosition="0">
        <references count="1">
          <reference field="1" count="0"/>
        </references>
      </pivotArea>
    </format>
    <format dxfId="2089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2090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2091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2092">
      <pivotArea dataOnly="0" labelOnly="1" outline="0" fieldPosition="0">
        <references count="2">
          <reference field="1" count="1" selected="0">
            <x v="0"/>
          </reference>
          <reference field="28" count="1">
            <x v="0"/>
          </reference>
        </references>
      </pivotArea>
    </format>
    <format dxfId="2093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2094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2095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2096">
      <pivotArea dataOnly="0" labelOnly="1" outline="0" fieldPosition="0">
        <references count="2">
          <reference field="1" count="1" selected="0">
            <x v="1"/>
          </reference>
          <reference field="28" count="2">
            <x v="0"/>
            <x v="1"/>
          </reference>
        </references>
      </pivotArea>
    </format>
    <format dxfId="2097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2" defaultSubtotal="1">
            <x v="0"/>
            <x v="1"/>
          </reference>
        </references>
      </pivotArea>
    </format>
    <format dxfId="2098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2" defaultSubtotal="1">
            <x v="0"/>
            <x v="1"/>
          </reference>
        </references>
      </pivotArea>
    </format>
    <format dxfId="2099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2" defaultSubtotal="1">
            <x v="0"/>
            <x v="1"/>
          </reference>
        </references>
      </pivotArea>
    </format>
    <format dxfId="2100">
      <pivotArea dataOnly="0" labelOnly="1" outline="0" fieldPosition="0">
        <references count="3">
          <reference field="1" count="1" selected="0">
            <x v="0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101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102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103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104">
      <pivotArea dataOnly="0" labelOnly="1" outline="0" fieldPosition="0">
        <references count="3">
          <reference field="1" count="1" selected="0">
            <x v="1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105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106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107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108">
      <pivotArea dataOnly="0" labelOnly="1" outline="0" fieldPosition="0">
        <references count="3">
          <reference field="1" count="1" selected="0">
            <x v="1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2109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2110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2111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2112">
      <pivotArea dataOnly="0" labelOnly="1" outline="0" fieldPosition="0">
        <references count="4">
          <reference field="1" count="1" selected="0">
            <x v="0"/>
          </reference>
          <reference field="25" count="3">
            <x v="0"/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113">
      <pivotArea dataOnly="0" labelOnly="1" outline="0" fieldPosition="0">
        <references count="4">
          <reference field="1" count="1" selected="0">
            <x v="0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114">
      <pivotArea dataOnly="0" labelOnly="1" outline="0" fieldPosition="0">
        <references count="4">
          <reference field="1" count="1" selected="0">
            <x v="0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115">
      <pivotArea dataOnly="0" labelOnly="1" outline="0" fieldPosition="0">
        <references count="4">
          <reference field="1" count="1" selected="0">
            <x v="0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116">
      <pivotArea dataOnly="0" labelOnly="1" outline="0" fieldPosition="0">
        <references count="4">
          <reference field="1" count="1" selected="0">
            <x v="1"/>
          </reference>
          <reference field="25" count="2"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117">
      <pivotArea dataOnly="0" labelOnly="1" outline="0" fieldPosition="0">
        <references count="4">
          <reference field="1" count="1" selected="0">
            <x v="1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118">
      <pivotArea dataOnly="0" labelOnly="1" outline="0" fieldPosition="0">
        <references count="4">
          <reference field="1" count="1" selected="0">
            <x v="1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119">
      <pivotArea dataOnly="0" labelOnly="1" outline="0" fieldPosition="0">
        <references count="4">
          <reference field="1" count="1" selected="0">
            <x v="1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120">
      <pivotArea dataOnly="0" labelOnly="1" outline="0" fieldPosition="0">
        <references count="4">
          <reference field="1" count="1" selected="0">
            <x v="1"/>
          </reference>
          <reference field="25" count="3">
            <x v="12"/>
            <x v="13"/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212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12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12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12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12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12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12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12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12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13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13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13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13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13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13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13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13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13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13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14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14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14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14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14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214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214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2147">
      <pivotArea type="all" dataOnly="0" outline="0" fieldPosition="0"/>
    </format>
    <format dxfId="2148">
      <pivotArea outline="0" collapsedLevelsAreSubtotals="1" fieldPosition="0"/>
    </format>
    <format dxfId="2149">
      <pivotArea type="origin" dataOnly="0" labelOnly="1" outline="0" fieldPosition="0"/>
    </format>
    <format dxfId="2150">
      <pivotArea field="1" type="button" dataOnly="0" labelOnly="1" outline="0" fieldPosition="0"/>
    </format>
    <format dxfId="2151">
      <pivotArea field="28" type="button" dataOnly="0" labelOnly="1" outline="0" fieldPosition="0"/>
    </format>
    <format dxfId="2152">
      <pivotArea field="26" type="button" dataOnly="0" labelOnly="1" outline="0" fieldPosition="0"/>
    </format>
    <format dxfId="2153">
      <pivotArea field="25" type="button" dataOnly="0" labelOnly="1" outline="0" fieldPosition="0"/>
    </format>
    <format dxfId="2154">
      <pivotArea field="-2" type="button" dataOnly="0" labelOnly="1" outline="0" fieldPosition="0"/>
    </format>
    <format dxfId="2155">
      <pivotArea type="topRight" dataOnly="0" labelOnly="1" outline="0" fieldPosition="0"/>
    </format>
    <format dxfId="2156">
      <pivotArea field="6" type="button" dataOnly="0" labelOnly="1" outline="0" fieldPosition="0"/>
    </format>
    <format dxfId="2157">
      <pivotArea field="12" type="button" dataOnly="0" labelOnly="1" outline="0" fieldPosition="0"/>
    </format>
    <format dxfId="2158">
      <pivotArea field="11" type="button" dataOnly="0" labelOnly="1" outline="0" fieldPosition="0"/>
    </format>
    <format dxfId="2159">
      <pivotArea dataOnly="0" labelOnly="1" outline="0" fieldPosition="0">
        <references count="1">
          <reference field="6" count="0"/>
        </references>
      </pivotArea>
    </format>
    <format dxfId="2160">
      <pivotArea dataOnly="0" labelOnly="1" grandRow="1" outline="0" fieldPosition="0"/>
    </format>
    <format dxfId="2161">
      <pivotArea dataOnly="0" labelOnly="1" outline="0" fieldPosition="0">
        <references count="2">
          <reference field="6" count="1" selected="0">
            <x v="0"/>
          </reference>
          <reference field="12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162">
      <pivotArea dataOnly="0" labelOnly="1" outline="0" fieldPosition="0">
        <references count="2">
          <reference field="6" count="1" selected="0">
            <x v="1"/>
          </reference>
          <reference field="12" count="6">
            <x v="11"/>
            <x v="12"/>
            <x v="13"/>
            <x v="14"/>
            <x v="15"/>
            <x v="23"/>
          </reference>
        </references>
      </pivotArea>
    </format>
    <format dxfId="2163">
      <pivotArea dataOnly="0" labelOnly="1" outline="0" fieldPosition="0">
        <references count="2">
          <reference field="6" count="1" selected="0">
            <x v="2"/>
          </reference>
          <reference field="12" count="1">
            <x v="16"/>
          </reference>
        </references>
      </pivotArea>
    </format>
    <format dxfId="2164">
      <pivotArea dataOnly="0" labelOnly="1" outline="0" fieldPosition="0">
        <references count="2">
          <reference field="6" count="1" selected="0">
            <x v="3"/>
          </reference>
          <reference field="12" count="4">
            <x v="17"/>
            <x v="18"/>
            <x v="19"/>
            <x v="20"/>
          </reference>
        </references>
      </pivotArea>
    </format>
    <format dxfId="2165">
      <pivotArea dataOnly="0" labelOnly="1" outline="0" fieldPosition="0">
        <references count="2">
          <reference field="6" count="1" selected="0">
            <x v="4"/>
          </reference>
          <reference field="12" count="1">
            <x v="21"/>
          </reference>
        </references>
      </pivotArea>
    </format>
    <format dxfId="2166">
      <pivotArea dataOnly="0" labelOnly="1" outline="0" fieldPosition="0">
        <references count="2">
          <reference field="6" count="1" selected="0">
            <x v="5"/>
          </reference>
          <reference field="12" count="1">
            <x v="22"/>
          </reference>
        </references>
      </pivotArea>
    </format>
    <format dxfId="2167">
      <pivotArea dataOnly="0" labelOnly="1" outline="0" fieldPosition="0">
        <references count="3">
          <reference field="6" count="1" selected="0">
            <x v="0"/>
          </reference>
          <reference field="11" count="1">
            <x v="1"/>
          </reference>
          <reference field="12" count="1" selected="0">
            <x v="1"/>
          </reference>
        </references>
      </pivotArea>
    </format>
    <format dxfId="2168">
      <pivotArea dataOnly="0" labelOnly="1" outline="0" fieldPosition="0">
        <references count="3">
          <reference field="6" count="1" selected="0">
            <x v="0"/>
          </reference>
          <reference field="11" count="3">
            <x v="2"/>
            <x v="9"/>
            <x v="10"/>
          </reference>
          <reference field="12" count="1" selected="0">
            <x v="2"/>
          </reference>
        </references>
      </pivotArea>
    </format>
    <format dxfId="2169">
      <pivotArea dataOnly="0" labelOnly="1" outline="0" fieldPosition="0">
        <references count="3">
          <reference field="6" count="1" selected="0">
            <x v="0"/>
          </reference>
          <reference field="11" count="2">
            <x v="3"/>
            <x v="4"/>
          </reference>
          <reference field="12" count="1" selected="0">
            <x v="3"/>
          </reference>
        </references>
      </pivotArea>
    </format>
    <format dxfId="2170">
      <pivotArea dataOnly="0" labelOnly="1" outline="0" fieldPosition="0">
        <references count="3">
          <reference field="6" count="1" selected="0">
            <x v="0"/>
          </reference>
          <reference field="11" count="2">
            <x v="5"/>
            <x v="6"/>
          </reference>
          <reference field="12" count="1" selected="0">
            <x v="4"/>
          </reference>
        </references>
      </pivotArea>
    </format>
    <format dxfId="2171">
      <pivotArea dataOnly="0" labelOnly="1" outline="0" fieldPosition="0">
        <references count="3">
          <reference field="6" count="1" selected="0">
            <x v="0"/>
          </reference>
          <reference field="11" count="2">
            <x v="7"/>
            <x v="8"/>
          </reference>
          <reference field="12" count="1" selected="0">
            <x v="5"/>
          </reference>
        </references>
      </pivotArea>
    </format>
    <format dxfId="2172">
      <pivotArea dataOnly="0" labelOnly="1" outline="0" fieldPosition="0">
        <references count="3">
          <reference field="6" count="1" selected="0">
            <x v="0"/>
          </reference>
          <reference field="11" count="4">
            <x v="11"/>
            <x v="12"/>
            <x v="13"/>
            <x v="17"/>
          </reference>
          <reference field="12" count="1" selected="0">
            <x v="6"/>
          </reference>
        </references>
      </pivotArea>
    </format>
    <format dxfId="2173">
      <pivotArea dataOnly="0" labelOnly="1" outline="0" fieldPosition="0">
        <references count="3">
          <reference field="6" count="1" selected="0">
            <x v="0"/>
          </reference>
          <reference field="11" count="3">
            <x v="14"/>
            <x v="15"/>
            <x v="16"/>
          </reference>
          <reference field="12" count="1" selected="0">
            <x v="7"/>
          </reference>
        </references>
      </pivotArea>
    </format>
    <format dxfId="2174">
      <pivotArea dataOnly="0" labelOnly="1" outline="0" fieldPosition="0">
        <references count="3">
          <reference field="6" count="1" selected="0">
            <x v="0"/>
          </reference>
          <reference field="11" count="2">
            <x v="18"/>
            <x v="19"/>
          </reference>
          <reference field="12" count="1" selected="0">
            <x v="8"/>
          </reference>
        </references>
      </pivotArea>
    </format>
    <format dxfId="2175">
      <pivotArea dataOnly="0" labelOnly="1" outline="0" fieldPosition="0">
        <references count="3">
          <reference field="6" count="1" selected="0">
            <x v="0"/>
          </reference>
          <reference field="11" count="2">
            <x v="20"/>
            <x v="21"/>
          </reference>
          <reference field="12" count="1" selected="0">
            <x v="9"/>
          </reference>
        </references>
      </pivotArea>
    </format>
    <format dxfId="2176">
      <pivotArea dataOnly="0" labelOnly="1" outline="0" fieldPosition="0">
        <references count="3">
          <reference field="6" count="1" selected="0">
            <x v="0"/>
          </reference>
          <reference field="11" count="6">
            <x v="22"/>
            <x v="23"/>
            <x v="24"/>
            <x v="25"/>
            <x v="26"/>
            <x v="27"/>
          </reference>
          <reference field="12" count="1" selected="0">
            <x v="10"/>
          </reference>
        </references>
      </pivotArea>
    </format>
    <format dxfId="2177">
      <pivotArea dataOnly="0" labelOnly="1" outline="0" fieldPosition="0">
        <references count="3">
          <reference field="6" count="1" selected="0">
            <x v="1"/>
          </reference>
          <reference field="11" count="4">
            <x v="28"/>
            <x v="37"/>
            <x v="41"/>
            <x v="45"/>
          </reference>
          <reference field="12" count="1" selected="0">
            <x v="11"/>
          </reference>
        </references>
      </pivotArea>
    </format>
    <format dxfId="2178">
      <pivotArea dataOnly="0" labelOnly="1" outline="0" fieldPosition="0">
        <references count="3">
          <reference field="6" count="1" selected="0">
            <x v="1"/>
          </reference>
          <reference field="11" count="3">
            <x v="29"/>
            <x v="42"/>
            <x v="46"/>
          </reference>
          <reference field="12" count="1" selected="0">
            <x v="12"/>
          </reference>
        </references>
      </pivotArea>
    </format>
    <format dxfId="2179">
      <pivotArea dataOnly="0" labelOnly="1" outline="0" fieldPosition="0">
        <references count="3">
          <reference field="6" count="1" selected="0">
            <x v="1"/>
          </reference>
          <reference field="11" count="9">
            <x v="30"/>
            <x v="31"/>
            <x v="32"/>
            <x v="33"/>
            <x v="34"/>
            <x v="38"/>
            <x v="39"/>
            <x v="43"/>
            <x v="47"/>
          </reference>
          <reference field="12" count="1" selected="0">
            <x v="13"/>
          </reference>
        </references>
      </pivotArea>
    </format>
    <format dxfId="2180">
      <pivotArea dataOnly="0" labelOnly="1" outline="0" fieldPosition="0">
        <references count="3">
          <reference field="6" count="1" selected="0">
            <x v="1"/>
          </reference>
          <reference field="11" count="6">
            <x v="36"/>
            <x v="40"/>
            <x v="44"/>
            <x v="48"/>
            <x v="52"/>
            <x v="53"/>
          </reference>
          <reference field="12" count="1" selected="0">
            <x v="14"/>
          </reference>
        </references>
      </pivotArea>
    </format>
    <format dxfId="2181">
      <pivotArea dataOnly="0" labelOnly="1" outline="0" fieldPosition="0">
        <references count="3">
          <reference field="6" count="1" selected="0">
            <x v="1"/>
          </reference>
          <reference field="11" count="3">
            <x v="49"/>
            <x v="50"/>
            <x v="51"/>
          </reference>
          <reference field="12" count="1" selected="0">
            <x v="15"/>
          </reference>
        </references>
      </pivotArea>
    </format>
    <format dxfId="2182">
      <pivotArea dataOnly="0" labelOnly="1" outline="0" fieldPosition="0">
        <references count="3">
          <reference field="6" count="1" selected="0">
            <x v="1"/>
          </reference>
          <reference field="11" count="1">
            <x v="73"/>
          </reference>
          <reference field="12" count="1" selected="0">
            <x v="23"/>
          </reference>
        </references>
      </pivotArea>
    </format>
    <format dxfId="2183">
      <pivotArea dataOnly="0" labelOnly="1" outline="0" fieldPosition="0">
        <references count="3">
          <reference field="6" count="1" selected="0">
            <x v="2"/>
          </reference>
          <reference field="11" count="1">
            <x v="54"/>
          </reference>
          <reference field="12" count="1" selected="0">
            <x v="16"/>
          </reference>
        </references>
      </pivotArea>
    </format>
    <format dxfId="2184">
      <pivotArea dataOnly="0" labelOnly="1" outline="0" fieldPosition="0">
        <references count="3">
          <reference field="6" count="1" selected="0">
            <x v="3"/>
          </reference>
          <reference field="11" count="6">
            <x v="55"/>
            <x v="56"/>
            <x v="57"/>
            <x v="58"/>
            <x v="59"/>
            <x v="60"/>
          </reference>
          <reference field="12" count="1" selected="0">
            <x v="17"/>
          </reference>
        </references>
      </pivotArea>
    </format>
    <format dxfId="2185">
      <pivotArea dataOnly="0" labelOnly="1" outline="0" fieldPosition="0">
        <references count="3">
          <reference field="6" count="1" selected="0">
            <x v="3"/>
          </reference>
          <reference field="11" count="2">
            <x v="61"/>
            <x v="64"/>
          </reference>
          <reference field="12" count="1" selected="0">
            <x v="18"/>
          </reference>
        </references>
      </pivotArea>
    </format>
    <format dxfId="2186">
      <pivotArea dataOnly="0" labelOnly="1" outline="0" fieldPosition="0">
        <references count="3">
          <reference field="6" count="1" selected="0">
            <x v="3"/>
          </reference>
          <reference field="11" count="2">
            <x v="62"/>
            <x v="65"/>
          </reference>
          <reference field="12" count="1" selected="0">
            <x v="19"/>
          </reference>
        </references>
      </pivotArea>
    </format>
    <format dxfId="2187">
      <pivotArea dataOnly="0" labelOnly="1" outline="0" fieldPosition="0">
        <references count="3">
          <reference field="6" count="1" selected="0">
            <x v="3"/>
          </reference>
          <reference field="11" count="1">
            <x v="63"/>
          </reference>
          <reference field="12" count="1" selected="0">
            <x v="20"/>
          </reference>
        </references>
      </pivotArea>
    </format>
    <format dxfId="2188">
      <pivotArea dataOnly="0" labelOnly="1" outline="0" fieldPosition="0">
        <references count="3">
          <reference field="6" count="1" selected="0">
            <x v="4"/>
          </reference>
          <reference field="11" count="2">
            <x v="66"/>
            <x v="67"/>
          </reference>
          <reference field="12" count="1" selected="0">
            <x v="21"/>
          </reference>
        </references>
      </pivotArea>
    </format>
    <format dxfId="2189">
      <pivotArea dataOnly="0" labelOnly="1" outline="0" fieldPosition="0">
        <references count="3">
          <reference field="6" count="1" selected="0">
            <x v="5"/>
          </reference>
          <reference field="11" count="4">
            <x v="68"/>
            <x v="69"/>
            <x v="70"/>
            <x v="71"/>
          </reference>
          <reference field="12" count="1" selected="0">
            <x v="22"/>
          </reference>
        </references>
      </pivotArea>
    </format>
    <format dxfId="2190">
      <pivotArea dataOnly="0" labelOnly="1" outline="0" fieldPosition="0">
        <references count="1">
          <reference field="1" count="0"/>
        </references>
      </pivotArea>
    </format>
    <format dxfId="2191">
      <pivotArea dataOnly="0" labelOnly="1" outline="0" fieldPosition="0">
        <references count="2">
          <reference field="4294967294" count="1" selected="0">
            <x v="0"/>
          </reference>
          <reference field="1" count="0" defaultSubtotal="1"/>
        </references>
      </pivotArea>
    </format>
    <format dxfId="2192">
      <pivotArea dataOnly="0" labelOnly="1" outline="0" fieldPosition="0">
        <references count="2">
          <reference field="4294967294" count="1" selected="0">
            <x v="1"/>
          </reference>
          <reference field="1" count="0" defaultSubtotal="1"/>
        </references>
      </pivotArea>
    </format>
    <format dxfId="2193">
      <pivotArea dataOnly="0" labelOnly="1" outline="0" fieldPosition="0">
        <references count="2">
          <reference field="4294967294" count="1" selected="0">
            <x v="2"/>
          </reference>
          <reference field="1" count="0" defaultSubtotal="1"/>
        </references>
      </pivotArea>
    </format>
    <format dxfId="2194">
      <pivotArea dataOnly="0" labelOnly="1" outline="0" fieldPosition="0">
        <references count="2">
          <reference field="1" count="1" selected="0">
            <x v="0"/>
          </reference>
          <reference field="28" count="1">
            <x v="0"/>
          </reference>
        </references>
      </pivotArea>
    </format>
    <format dxfId="2195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2196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2197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28" count="1" defaultSubtotal="1">
            <x v="0"/>
          </reference>
        </references>
      </pivotArea>
    </format>
    <format dxfId="2198">
      <pivotArea dataOnly="0" labelOnly="1" outline="0" fieldPosition="0">
        <references count="2">
          <reference field="1" count="1" selected="0">
            <x v="1"/>
          </reference>
          <reference field="28" count="2">
            <x v="0"/>
            <x v="1"/>
          </reference>
        </references>
      </pivotArea>
    </format>
    <format dxfId="2199">
      <pivotArea dataOnly="0" labelOnly="1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8" count="2" defaultSubtotal="1">
            <x v="0"/>
            <x v="1"/>
          </reference>
        </references>
      </pivotArea>
    </format>
    <format dxfId="2200">
      <pivotArea dataOnly="0" labelOnly="1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8" count="2" defaultSubtotal="1">
            <x v="0"/>
            <x v="1"/>
          </reference>
        </references>
      </pivotArea>
    </format>
    <format dxfId="2201">
      <pivotArea dataOnly="0" labelOnly="1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28" count="2" defaultSubtotal="1">
            <x v="0"/>
            <x v="1"/>
          </reference>
        </references>
      </pivotArea>
    </format>
    <format dxfId="2202">
      <pivotArea dataOnly="0" labelOnly="1" outline="0" fieldPosition="0">
        <references count="3">
          <reference field="1" count="1" selected="0">
            <x v="0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203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204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205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0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206">
      <pivotArea dataOnly="0" labelOnly="1" outline="0" fieldPosition="0">
        <references count="3">
          <reference field="1" count="1" selected="0">
            <x v="1"/>
          </reference>
          <reference field="26" count="4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207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208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209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4" defaultSubtotal="1">
            <x v="0"/>
            <x v="2"/>
            <x v="3"/>
            <x v="4"/>
          </reference>
          <reference field="28" count="1" selected="0">
            <x v="0"/>
          </reference>
        </references>
      </pivotArea>
    </format>
    <format dxfId="2210">
      <pivotArea dataOnly="0" labelOnly="1" outline="0" fieldPosition="0">
        <references count="3">
          <reference field="1" count="1" selected="0">
            <x v="1"/>
          </reference>
          <reference field="26" count="1">
            <x v="1"/>
          </reference>
          <reference field="28" count="1" selected="0">
            <x v="1"/>
          </reference>
        </references>
      </pivotArea>
    </format>
    <format dxfId="2211">
      <pivotArea dataOnly="0" labelOnly="1" outline="0" fieldPosition="0">
        <references count="4">
          <reference field="4294967294" count="1" selected="0">
            <x v="0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2212">
      <pivotArea dataOnly="0" labelOnly="1" outline="0" fieldPosition="0">
        <references count="4">
          <reference field="4294967294" count="1" selected="0">
            <x v="1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2213">
      <pivotArea dataOnly="0" labelOnly="1" outline="0" fieldPosition="0">
        <references count="4">
          <reference field="4294967294" count="1" selected="0">
            <x v="2"/>
          </reference>
          <reference field="1" count="1" selected="0">
            <x v="1"/>
          </reference>
          <reference field="26" count="1" defaultSubtotal="1">
            <x v="1"/>
          </reference>
          <reference field="28" count="1" selected="0">
            <x v="1"/>
          </reference>
        </references>
      </pivotArea>
    </format>
    <format dxfId="2214">
      <pivotArea dataOnly="0" labelOnly="1" outline="0" fieldPosition="0">
        <references count="4">
          <reference field="1" count="1" selected="0">
            <x v="0"/>
          </reference>
          <reference field="25" count="3">
            <x v="0"/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215">
      <pivotArea dataOnly="0" labelOnly="1" outline="0" fieldPosition="0">
        <references count="4">
          <reference field="1" count="1" selected="0">
            <x v="0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216">
      <pivotArea dataOnly="0" labelOnly="1" outline="0" fieldPosition="0">
        <references count="4">
          <reference field="1" count="1" selected="0">
            <x v="0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217">
      <pivotArea dataOnly="0" labelOnly="1" outline="0" fieldPosition="0">
        <references count="4">
          <reference field="1" count="1" selected="0">
            <x v="0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218">
      <pivotArea dataOnly="0" labelOnly="1" outline="0" fieldPosition="0">
        <references count="4">
          <reference field="1" count="1" selected="0">
            <x v="1"/>
          </reference>
          <reference field="25" count="2">
            <x v="1"/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219">
      <pivotArea dataOnly="0" labelOnly="1" outline="0" fieldPosition="0">
        <references count="4">
          <reference field="1" count="1" selected="0">
            <x v="1"/>
          </reference>
          <reference field="25" count="3">
            <x v="3"/>
            <x v="4"/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220">
      <pivotArea dataOnly="0" labelOnly="1" outline="0" fieldPosition="0">
        <references count="4">
          <reference field="1" count="1" selected="0">
            <x v="1"/>
          </reference>
          <reference field="25" count="3">
            <x v="6"/>
            <x v="7"/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221">
      <pivotArea dataOnly="0" labelOnly="1" outline="0" fieldPosition="0">
        <references count="4">
          <reference field="1" count="1" selected="0">
            <x v="1"/>
          </reference>
          <reference field="25" count="3">
            <x v="9"/>
            <x v="10"/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222">
      <pivotArea dataOnly="0" labelOnly="1" outline="0" fieldPosition="0">
        <references count="4">
          <reference field="1" count="1" selected="0">
            <x v="1"/>
          </reference>
          <reference field="25" count="3">
            <x v="12"/>
            <x v="13"/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222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0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22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22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22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22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22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22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23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23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23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23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23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0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23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23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2"/>
          </reference>
          <reference field="26" count="1" selected="0">
            <x v="0"/>
          </reference>
          <reference field="28" count="1" selected="0">
            <x v="0"/>
          </reference>
        </references>
      </pivotArea>
    </format>
    <format dxfId="223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3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23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4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239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5"/>
          </reference>
          <reference field="26" count="1" selected="0">
            <x v="2"/>
          </reference>
          <reference field="28" count="1" selected="0">
            <x v="0"/>
          </reference>
        </references>
      </pivotArea>
    </format>
    <format dxfId="2240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6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241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7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242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8"/>
          </reference>
          <reference field="26" count="1" selected="0">
            <x v="3"/>
          </reference>
          <reference field="28" count="1" selected="0">
            <x v="0"/>
          </reference>
        </references>
      </pivotArea>
    </format>
    <format dxfId="2243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9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244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0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245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1"/>
          </reference>
          <reference field="26" count="1" selected="0">
            <x v="4"/>
          </reference>
          <reference field="28" count="1" selected="0">
            <x v="0"/>
          </reference>
        </references>
      </pivotArea>
    </format>
    <format dxfId="2246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2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2247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3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2248">
      <pivotArea dataOnly="0" labelOnly="1" outline="0" fieldPosition="0">
        <references count="5">
          <reference field="4294967294" count="3">
            <x v="0"/>
            <x v="1"/>
            <x v="2"/>
          </reference>
          <reference field="1" count="1" selected="0">
            <x v="1"/>
          </reference>
          <reference field="25" count="1" selected="0">
            <x v="14"/>
          </reference>
          <reference field="26" count="1" selected="0">
            <x v="1"/>
          </reference>
          <reference field="28" count="1" selected="0">
            <x v="1"/>
          </reference>
        </references>
      </pivotArea>
    </format>
    <format dxfId="2249">
      <pivotArea outline="0" collapsedLevelsAreSubtotals="1" fieldPosition="0">
        <references count="1">
          <reference field="1" count="1" selected="0" defaultSubtotal="1">
            <x v="1"/>
          </reference>
        </references>
      </pivotArea>
    </format>
  </format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dataPosition="3" autoFormatId="1" applyNumberFormats="0" applyBorderFormats="0" applyFontFormats="0" applyPatternFormats="0" applyAlignmentFormats="0" applyWidthHeightFormats="1" dataCaption="Values" updatedVersion="8" minRefreshableVersion="3" createdVersion="4" mergeItem="1" compact="0" indent="127" outline="1" compactData="0" outlineData="1" showDrill="1" multipleFieldFilters="0">
  <location ref="A7:DG117" firstHeaderRow="1" firstDataRow="5" firstDataCol="3" rowPageCount="1" colPageCount="1"/>
  <pivotFields count="65">
    <pivotField compact="0" showAll="0"/>
    <pivotField axis="axisPage" compact="0" multipleItemSelectionAllowed="1" showAll="0">
      <items count="3">
        <item x="0"/>
        <item h="1"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9">
        <item x="0"/>
        <item x="1"/>
        <item x="2"/>
        <item x="3"/>
        <item x="4"/>
        <item x="5"/>
        <item m="1" x="7"/>
        <item m="1" x="6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81">
        <item m="1" x="7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m="1" x="75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76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7"/>
        <item x="69"/>
        <item x="70"/>
        <item x="71"/>
        <item x="72"/>
        <item x="66"/>
        <item x="68"/>
        <item m="1" x="77"/>
        <item x="29"/>
        <item m="1" x="78"/>
        <item x="53"/>
        <item x="73"/>
        <item x="74"/>
        <item t="default"/>
      </items>
    </pivotField>
    <pivotField axis="axisRow" compact="0" defaultSubtotal="0" showAll="0">
      <items count="27"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m="1" x="26"/>
        <item x="18"/>
        <item x="19"/>
        <item x="20"/>
        <item x="21"/>
        <item x="22"/>
        <item x="24"/>
        <item x="23"/>
        <item x="12"/>
        <item x="17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17">
        <item x="11"/>
        <item x="7"/>
        <item x="8"/>
        <item x="9"/>
        <item x="4"/>
        <item x="0"/>
        <item x="1"/>
        <item x="5"/>
        <item x="6"/>
        <item x="2"/>
        <item x="3"/>
        <item x="10"/>
        <item m="1" x="13"/>
        <item m="1" x="14"/>
        <item m="1" x="15"/>
        <item x="12"/>
        <item t="default"/>
      </items>
    </pivotField>
    <pivotField axis="axisCol" compact="0" showAll="0">
      <items count="7">
        <item x="3"/>
        <item m="1" x="5"/>
        <item x="0"/>
        <item x="1"/>
        <item x="2"/>
        <item x="4"/>
        <item t="default"/>
      </items>
    </pivotField>
    <pivotField compact="0" showAll="0"/>
    <pivotField axis="axisCol" compact="0" showAll="0">
      <items count="4">
        <item x="0"/>
        <item m="1" x="2"/>
        <item x="1"/>
        <item t="default"/>
      </items>
    </pivotField>
    <pivotField dataField="1" compact="0" defaultSubtotal="0" showAll="0"/>
    <pivotField compact="0" showAll="0"/>
    <pivotField compact="0" showAll="0"/>
    <pivotField compact="0" showAll="0"/>
    <pivotField dataField="1" compact="0" numFmtId="2" showAll="0"/>
    <pivotField dataField="1" compact="0" showAll="0"/>
    <pivotField dataField="1" compact="0" showAll="0"/>
    <pivotField dataField="1" compact="0" showAll="0"/>
    <pivotField dataField="1" compact="0" showAll="0"/>
    <pivotField compact="0" defaultSubtotal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3">
    <field x="12"/>
    <field x="18"/>
    <field x="17"/>
  </rowFields>
  <rowItems count="106">
    <i>
      <x/>
    </i>
    <i r="1">
      <x v="1"/>
    </i>
    <i r="2">
      <x v="1"/>
    </i>
    <i r="1">
      <x v="2"/>
    </i>
    <i r="2">
      <x v="2"/>
    </i>
    <i r="2">
      <x v="9"/>
    </i>
    <i r="2">
      <x v="10"/>
    </i>
    <i r="1">
      <x v="3"/>
    </i>
    <i r="2">
      <x v="3"/>
    </i>
    <i r="2">
      <x v="4"/>
    </i>
    <i r="1">
      <x v="4"/>
    </i>
    <i r="2">
      <x v="5"/>
    </i>
    <i r="2">
      <x v="6"/>
    </i>
    <i r="1">
      <x v="5"/>
    </i>
    <i r="2">
      <x v="7"/>
    </i>
    <i r="2">
      <x v="8"/>
    </i>
    <i r="1">
      <x v="6"/>
    </i>
    <i r="2">
      <x v="11"/>
    </i>
    <i r="2">
      <x v="12"/>
    </i>
    <i r="2">
      <x v="13"/>
    </i>
    <i r="2">
      <x v="17"/>
    </i>
    <i r="1">
      <x v="7"/>
    </i>
    <i r="2">
      <x v="14"/>
    </i>
    <i r="2">
      <x v="15"/>
    </i>
    <i r="2">
      <x v="16"/>
    </i>
    <i r="1">
      <x v="8"/>
    </i>
    <i r="2">
      <x v="18"/>
    </i>
    <i r="2">
      <x v="19"/>
    </i>
    <i r="1">
      <x v="9"/>
    </i>
    <i r="2">
      <x v="20"/>
    </i>
    <i r="2">
      <x v="21"/>
    </i>
    <i r="1">
      <x v="10"/>
    </i>
    <i r="2">
      <x v="22"/>
    </i>
    <i r="2">
      <x v="23"/>
    </i>
    <i r="2">
      <x v="24"/>
    </i>
    <i r="2">
      <x v="25"/>
    </i>
    <i r="2">
      <x v="26"/>
    </i>
    <i r="2">
      <x v="27"/>
    </i>
    <i>
      <x v="1"/>
    </i>
    <i r="1">
      <x v="11"/>
    </i>
    <i r="2">
      <x v="28"/>
    </i>
    <i r="2">
      <x v="37"/>
    </i>
    <i r="2">
      <x v="41"/>
    </i>
    <i r="2">
      <x v="45"/>
    </i>
    <i r="1">
      <x v="12"/>
    </i>
    <i r="2">
      <x v="29"/>
    </i>
    <i r="2">
      <x v="42"/>
    </i>
    <i r="2">
      <x v="46"/>
    </i>
    <i r="1">
      <x v="13"/>
    </i>
    <i r="2">
      <x v="31"/>
    </i>
    <i r="2">
      <x v="32"/>
    </i>
    <i r="2">
      <x v="33"/>
    </i>
    <i r="2">
      <x v="34"/>
    </i>
    <i r="2">
      <x v="35"/>
    </i>
    <i r="2">
      <x v="38"/>
    </i>
    <i r="2">
      <x v="39"/>
    </i>
    <i r="2">
      <x v="43"/>
    </i>
    <i r="2">
      <x v="47"/>
    </i>
    <i r="1">
      <x v="14"/>
    </i>
    <i r="2">
      <x v="31"/>
    </i>
    <i r="1">
      <x v="15"/>
    </i>
    <i r="2">
      <x v="36"/>
    </i>
    <i r="2">
      <x v="40"/>
    </i>
    <i r="2">
      <x v="44"/>
    </i>
    <i r="2">
      <x v="48"/>
    </i>
    <i r="2">
      <x v="52"/>
    </i>
    <i r="2">
      <x v="53"/>
    </i>
    <i r="1">
      <x v="16"/>
    </i>
    <i r="2">
      <x v="49"/>
    </i>
    <i r="2">
      <x v="50"/>
    </i>
    <i r="2">
      <x v="51"/>
    </i>
    <i r="1">
      <x v="25"/>
    </i>
    <i r="2">
      <x v="75"/>
    </i>
    <i>
      <x v="2"/>
    </i>
    <i r="1">
      <x v="26"/>
    </i>
    <i r="2">
      <x v="77"/>
    </i>
    <i>
      <x v="3"/>
    </i>
    <i r="1">
      <x v="18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19"/>
    </i>
    <i r="2">
      <x v="61"/>
    </i>
    <i r="2">
      <x v="64"/>
    </i>
    <i r="1">
      <x v="20"/>
    </i>
    <i r="2">
      <x v="62"/>
    </i>
    <i r="2">
      <x v="65"/>
    </i>
    <i r="1">
      <x v="21"/>
    </i>
    <i r="2">
      <x v="63"/>
    </i>
    <i>
      <x v="4"/>
    </i>
    <i r="1">
      <x v="22"/>
    </i>
    <i r="2">
      <x v="66"/>
    </i>
    <i r="2">
      <x v="67"/>
    </i>
    <i r="1">
      <x v="24"/>
    </i>
    <i r="2">
      <x v="72"/>
    </i>
    <i r="2">
      <x v="73"/>
    </i>
    <i>
      <x v="5"/>
    </i>
    <i r="1">
      <x v="23"/>
    </i>
    <i r="2">
      <x v="68"/>
    </i>
    <i r="2">
      <x v="69"/>
    </i>
    <i r="2">
      <x v="70"/>
    </i>
    <i r="2">
      <x v="71"/>
    </i>
    <i t="grand">
      <x/>
    </i>
  </rowItems>
  <colFields count="4">
    <field x="35"/>
    <field x="33"/>
    <field x="32"/>
    <field x="-2"/>
  </colFields>
  <colItems count="108">
    <i>
      <x/>
      <x/>
      <x/>
      <x/>
    </i>
    <i r="3" i="1">
      <x v="1"/>
    </i>
    <i r="3" i="2">
      <x v="2"/>
    </i>
    <i r="3" i="3">
      <x v="3"/>
    </i>
    <i r="3" i="4">
      <x v="4"/>
    </i>
    <i r="3" i="5">
      <x v="5"/>
    </i>
    <i r="2">
      <x v="1"/>
      <x/>
    </i>
    <i r="3" i="1">
      <x v="1"/>
    </i>
    <i r="3" i="2">
      <x v="2"/>
    </i>
    <i r="3" i="3">
      <x v="3"/>
    </i>
    <i r="3" i="4">
      <x v="4"/>
    </i>
    <i r="3" i="5">
      <x v="5"/>
    </i>
    <i r="2">
      <x v="2"/>
      <x/>
    </i>
    <i r="3" i="1">
      <x v="1"/>
    </i>
    <i r="3" i="2">
      <x v="2"/>
    </i>
    <i r="3" i="3">
      <x v="3"/>
    </i>
    <i r="3" i="4">
      <x v="4"/>
    </i>
    <i r="3" i="5">
      <x v="5"/>
    </i>
    <i t="default" r="1">
      <x/>
    </i>
    <i t="default" r="1" i="1">
      <x/>
    </i>
    <i t="default" r="1" i="2">
      <x/>
    </i>
    <i t="default" r="1" i="3">
      <x/>
    </i>
    <i t="default" r="1" i="4">
      <x/>
    </i>
    <i t="default" r="1" i="5">
      <x/>
    </i>
    <i r="1">
      <x v="2"/>
      <x v="3"/>
      <x/>
    </i>
    <i r="3" i="1">
      <x v="1"/>
    </i>
    <i r="3" i="2">
      <x v="2"/>
    </i>
    <i r="3" i="3">
      <x v="3"/>
    </i>
    <i r="3" i="4">
      <x v="4"/>
    </i>
    <i r="3" i="5">
      <x v="5"/>
    </i>
    <i r="2">
      <x v="4"/>
      <x/>
    </i>
    <i r="3" i="1">
      <x v="1"/>
    </i>
    <i r="3" i="2">
      <x v="2"/>
    </i>
    <i r="3" i="3">
      <x v="3"/>
    </i>
    <i r="3" i="4">
      <x v="4"/>
    </i>
    <i r="3" i="5">
      <x v="5"/>
    </i>
    <i r="2">
      <x v="5"/>
      <x/>
    </i>
    <i r="3" i="1">
      <x v="1"/>
    </i>
    <i r="3" i="2">
      <x v="2"/>
    </i>
    <i r="3" i="3">
      <x v="3"/>
    </i>
    <i r="3" i="4">
      <x v="4"/>
    </i>
    <i r="3" i="5">
      <x v="5"/>
    </i>
    <i t="default" r="1">
      <x v="2"/>
    </i>
    <i t="default" r="1" i="1">
      <x v="2"/>
    </i>
    <i t="default" r="1" i="2">
      <x v="2"/>
    </i>
    <i t="default" r="1" i="3">
      <x v="2"/>
    </i>
    <i t="default" r="1" i="4">
      <x v="2"/>
    </i>
    <i t="default" r="1" i="5">
      <x v="2"/>
    </i>
    <i r="1">
      <x v="3"/>
      <x v="6"/>
      <x/>
    </i>
    <i r="3" i="1">
      <x v="1"/>
    </i>
    <i r="3" i="2">
      <x v="2"/>
    </i>
    <i r="3" i="3">
      <x v="3"/>
    </i>
    <i r="3" i="4">
      <x v="4"/>
    </i>
    <i r="3" i="5">
      <x v="5"/>
    </i>
    <i r="2">
      <x v="7"/>
      <x/>
    </i>
    <i r="3" i="1">
      <x v="1"/>
    </i>
    <i r="3" i="2">
      <x v="2"/>
    </i>
    <i r="3" i="3">
      <x v="3"/>
    </i>
    <i r="3" i="4">
      <x v="4"/>
    </i>
    <i r="3" i="5">
      <x v="5"/>
    </i>
    <i r="2">
      <x v="8"/>
      <x/>
    </i>
    <i r="3" i="1">
      <x v="1"/>
    </i>
    <i r="3" i="2">
      <x v="2"/>
    </i>
    <i r="3" i="3">
      <x v="3"/>
    </i>
    <i r="3" i="4">
      <x v="4"/>
    </i>
    <i r="3" i="5">
      <x v="5"/>
    </i>
    <i t="default" r="1">
      <x v="3"/>
    </i>
    <i t="default" r="1" i="1">
      <x v="3"/>
    </i>
    <i t="default" r="1" i="2">
      <x v="3"/>
    </i>
    <i t="default" r="1" i="3">
      <x v="3"/>
    </i>
    <i t="default" r="1" i="4">
      <x v="3"/>
    </i>
    <i t="default" r="1" i="5">
      <x v="3"/>
    </i>
    <i r="1">
      <x v="4"/>
      <x v="9"/>
      <x/>
    </i>
    <i r="3" i="1">
      <x v="1"/>
    </i>
    <i r="3" i="2">
      <x v="2"/>
    </i>
    <i r="3" i="3">
      <x v="3"/>
    </i>
    <i r="3" i="4">
      <x v="4"/>
    </i>
    <i r="3" i="5">
      <x v="5"/>
    </i>
    <i r="2">
      <x v="10"/>
      <x/>
    </i>
    <i r="3" i="1">
      <x v="1"/>
    </i>
    <i r="3" i="2">
      <x v="2"/>
    </i>
    <i r="3" i="3">
      <x v="3"/>
    </i>
    <i r="3" i="4">
      <x v="4"/>
    </i>
    <i r="3" i="5">
      <x v="5"/>
    </i>
    <i r="2">
      <x v="11"/>
      <x/>
    </i>
    <i r="3" i="1">
      <x v="1"/>
    </i>
    <i r="3" i="2">
      <x v="2"/>
    </i>
    <i r="3" i="3">
      <x v="3"/>
    </i>
    <i r="3" i="4">
      <x v="4"/>
    </i>
    <i r="3" i="5">
      <x v="5"/>
    </i>
    <i t="default" r="1">
      <x v="4"/>
    </i>
    <i t="default" r="1" i="1">
      <x v="4"/>
    </i>
    <i t="default" r="1" i="2">
      <x v="4"/>
    </i>
    <i t="default" r="1" i="3">
      <x v="4"/>
    </i>
    <i t="default" r="1" i="4">
      <x v="4"/>
    </i>
    <i t="default" r="1" i="5">
      <x v="4"/>
    </i>
    <i t="default">
      <x/>
    </i>
    <i t="default" i="1">
      <x/>
    </i>
    <i t="default" i="2">
      <x/>
    </i>
    <i t="default" i="3">
      <x/>
    </i>
    <i t="default" i="4">
      <x/>
    </i>
    <i t="default" i="5">
      <x/>
    </i>
    <i t="grand">
      <x/>
    </i>
    <i t="grand" i="1">
      <x/>
    </i>
    <i t="grand" i="2">
      <x/>
    </i>
    <i t="grand" i="3">
      <x/>
    </i>
    <i t="grand" i="4">
      <x/>
    </i>
    <i t="grand" i="5">
      <x/>
    </i>
  </colItems>
  <pageFields count="1">
    <pageField fld="1"/>
  </pageFields>
  <dataFields count="6">
    <dataField name="PHYSICAL TARGET" fld="36" baseField="17" baseItem="0"/>
    <dataField name="MALE BENEF" fld="42" baseField="17" baseItem="0"/>
    <dataField name="FEMALE BENEF" fld="43" baseField="17" baseItem="0"/>
    <dataField name="AEW BENEF" fld="41" baseField="17" baseItem="0"/>
    <dataField name="INDIV TOTAL" fld="40" baseField="17" baseItem="0"/>
    <dataField name="GROUP BENEF" fld="44" baseField="17" baseItem="0"/>
  </dataFields>
  <formats count="1465">
    <format dxfId="2250">
      <pivotArea field="12" type="button" dataOnly="0" labelOnly="1" outline="0" fieldPosition="0"/>
    </format>
    <format dxfId="2251">
      <pivotArea field="18" type="button" dataOnly="0" labelOnly="1" outline="0" fieldPosition="0"/>
    </format>
    <format dxfId="2252">
      <pivotArea field="17" type="button" dataOnly="0" labelOnly="1" outline="0" fieldPosition="0"/>
    </format>
    <format dxfId="2253">
      <pivotArea dataOnly="0" labelOnly="1" outline="0" fieldPosition="0">
        <references count="1">
          <reference field="35" count="0"/>
        </references>
      </pivotArea>
    </format>
    <format dxfId="2254">
      <pivotArea dataOnly="0" labelOnly="1" outline="0" fieldPosition="0">
        <references count="2">
          <reference field="4294967294" count="1" selected="0">
            <x v="0"/>
          </reference>
          <reference field="35" count="0" defaultSubtotal="1"/>
        </references>
      </pivotArea>
    </format>
    <format dxfId="2255">
      <pivotArea dataOnly="0" labelOnly="1" outline="0" fieldPosition="0">
        <references count="2">
          <reference field="4294967294" count="1" selected="0">
            <x v="1"/>
          </reference>
          <reference field="35" count="0" defaultSubtotal="1"/>
        </references>
      </pivotArea>
    </format>
    <format dxfId="2256">
      <pivotArea dataOnly="0" labelOnly="1" outline="0" fieldPosition="0">
        <references count="2">
          <reference field="4294967294" count="1" selected="0">
            <x v="2"/>
          </reference>
          <reference field="35" count="0" defaultSubtotal="1"/>
        </references>
      </pivotArea>
    </format>
    <format dxfId="2257">
      <pivotArea dataOnly="0" labelOnly="1" outline="0" fieldPosition="0">
        <references count="2">
          <reference field="4294967294" count="1" selected="0">
            <x v="3"/>
          </reference>
          <reference field="35" count="0" defaultSubtotal="1"/>
        </references>
      </pivotArea>
    </format>
    <format dxfId="2258">
      <pivotArea dataOnly="0" labelOnly="1" outline="0" fieldPosition="0">
        <references count="2">
          <reference field="4294967294" count="1" selected="0">
            <x v="4"/>
          </reference>
          <reference field="35" count="0" defaultSubtotal="1"/>
        </references>
      </pivotArea>
    </format>
    <format dxfId="2259">
      <pivotArea dataOnly="0" labelOnly="1" outline="0" fieldPosition="0">
        <references count="2">
          <reference field="4294967294" count="1" selected="0">
            <x v="5"/>
          </reference>
          <reference field="35" count="0" defaultSubtotal="1"/>
        </references>
      </pivotArea>
    </format>
    <format dxfId="2260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261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262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263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264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265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266">
      <pivotArea dataOnly="0" labelOnly="1" outline="0" fieldPosition="0">
        <references count="2">
          <reference field="33" count="4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267">
      <pivotArea dataOnly="0" labelOnly="1" outline="0" fieldPosition="0">
        <references count="3">
          <reference field="4294967294" count="1" selected="0">
            <x v="0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268">
      <pivotArea dataOnly="0" labelOnly="1" outline="0" fieldPosition="0">
        <references count="3">
          <reference field="4294967294" count="1" selected="0">
            <x v="1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269">
      <pivotArea dataOnly="0" labelOnly="1" outline="0" fieldPosition="0">
        <references count="3">
          <reference field="4294967294" count="1" selected="0">
            <x v="2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270">
      <pivotArea dataOnly="0" labelOnly="1" outline="0" fieldPosition="0">
        <references count="3">
          <reference field="4294967294" count="1" selected="0">
            <x v="3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271">
      <pivotArea dataOnly="0" labelOnly="1" outline="0" fieldPosition="0">
        <references count="3">
          <reference field="4294967294" count="1" selected="0">
            <x v="4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272">
      <pivotArea dataOnly="0" labelOnly="1" outline="0" fieldPosition="0">
        <references count="3">
          <reference field="4294967294" count="1" selected="0">
            <x v="5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273">
      <pivotArea dataOnly="0" labelOnly="1" outline="0" fieldPosition="0">
        <references count="2">
          <reference field="33" count="1">
            <x v="1"/>
          </reference>
          <reference field="35" count="1" selected="0">
            <x v="1"/>
          </reference>
        </references>
      </pivotArea>
    </format>
    <format dxfId="2274">
      <pivotArea dataOnly="0" labelOnly="1" outline="0" fieldPosition="0">
        <references count="3">
          <reference field="4294967294" count="1" selected="0">
            <x v="0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275">
      <pivotArea dataOnly="0" labelOnly="1" outline="0" fieldPosition="0">
        <references count="3">
          <reference field="4294967294" count="1" selected="0">
            <x v="1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276">
      <pivotArea dataOnly="0" labelOnly="1" outline="0" fieldPosition="0">
        <references count="3">
          <reference field="4294967294" count="1" selected="0">
            <x v="2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277">
      <pivotArea dataOnly="0" labelOnly="1" outline="0" fieldPosition="0">
        <references count="3">
          <reference field="4294967294" count="1" selected="0">
            <x v="3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278">
      <pivotArea dataOnly="0" labelOnly="1" outline="0" fieldPosition="0">
        <references count="3">
          <reference field="4294967294" count="1" selected="0">
            <x v="4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279">
      <pivotArea dataOnly="0" labelOnly="1" outline="0" fieldPosition="0">
        <references count="3">
          <reference field="4294967294" count="1" selected="0">
            <x v="5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280">
      <pivotArea dataOnly="0" labelOnly="1" outline="0" fieldPosition="0">
        <references count="3">
          <reference field="32" count="3">
            <x v="0"/>
            <x v="1"/>
            <x v="2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281">
      <pivotArea dataOnly="0" labelOnly="1" outline="0" fieldPosition="0">
        <references count="3">
          <reference field="32" count="3">
            <x v="3"/>
            <x v="4"/>
            <x v="5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282">
      <pivotArea dataOnly="0" labelOnly="1" outline="0" fieldPosition="0">
        <references count="3">
          <reference field="32" count="3">
            <x v="6"/>
            <x v="7"/>
            <x v="8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283">
      <pivotArea dataOnly="0" labelOnly="1" outline="0" fieldPosition="0">
        <references count="3">
          <reference field="32" count="3">
            <x v="9"/>
            <x v="10"/>
            <x v="11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284">
      <pivotArea dataOnly="0" labelOnly="1" outline="0" fieldPosition="0">
        <references count="3">
          <reference field="32" count="3">
            <x v="12"/>
            <x v="13"/>
            <x v="14"/>
          </reference>
          <reference field="33" count="1" selected="0">
            <x v="1"/>
          </reference>
          <reference field="35" count="1" selected="0">
            <x v="1"/>
          </reference>
        </references>
      </pivotArea>
    </format>
    <format dxfId="2285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0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286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287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2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288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3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289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4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290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5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291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6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292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7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293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8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294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9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295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0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296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1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297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2"/>
          </reference>
          <reference field="33" count="1" selected="0">
            <x v="1"/>
          </reference>
          <reference field="35" count="1" selected="0">
            <x v="1"/>
          </reference>
        </references>
      </pivotArea>
    </format>
    <format dxfId="2298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3"/>
          </reference>
          <reference field="33" count="1" selected="0">
            <x v="1"/>
          </reference>
          <reference field="35" count="1" selected="0">
            <x v="1"/>
          </reference>
        </references>
      </pivotArea>
    </format>
    <format dxfId="2299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4"/>
          </reference>
          <reference field="33" count="1" selected="0">
            <x v="1"/>
          </reference>
          <reference field="35" count="1" selected="0">
            <x v="1"/>
          </reference>
        </references>
      </pivotArea>
    </format>
    <format dxfId="2300">
      <pivotArea field="12" type="button" dataOnly="0" labelOnly="1" outline="0" fieldPosition="0"/>
    </format>
    <format dxfId="2301">
      <pivotArea field="18" type="button" dataOnly="0" labelOnly="1" outline="0" fieldPosition="0"/>
    </format>
    <format dxfId="2302">
      <pivotArea field="17" type="button" dataOnly="0" labelOnly="1" outline="0" fieldPosition="0"/>
    </format>
    <format dxfId="2303">
      <pivotArea dataOnly="0" labelOnly="1" outline="0" fieldPosition="0">
        <references count="1">
          <reference field="35" count="0"/>
        </references>
      </pivotArea>
    </format>
    <format dxfId="2304">
      <pivotArea dataOnly="0" labelOnly="1" outline="0" fieldPosition="0">
        <references count="2">
          <reference field="4294967294" count="1" selected="0">
            <x v="0"/>
          </reference>
          <reference field="35" count="0" defaultSubtotal="1"/>
        </references>
      </pivotArea>
    </format>
    <format dxfId="2305">
      <pivotArea dataOnly="0" labelOnly="1" outline="0" fieldPosition="0">
        <references count="2">
          <reference field="4294967294" count="1" selected="0">
            <x v="1"/>
          </reference>
          <reference field="35" count="0" defaultSubtotal="1"/>
        </references>
      </pivotArea>
    </format>
    <format dxfId="2306">
      <pivotArea dataOnly="0" labelOnly="1" outline="0" fieldPosition="0">
        <references count="2">
          <reference field="4294967294" count="1" selected="0">
            <x v="2"/>
          </reference>
          <reference field="35" count="0" defaultSubtotal="1"/>
        </references>
      </pivotArea>
    </format>
    <format dxfId="2307">
      <pivotArea dataOnly="0" labelOnly="1" outline="0" fieldPosition="0">
        <references count="2">
          <reference field="4294967294" count="1" selected="0">
            <x v="3"/>
          </reference>
          <reference field="35" count="0" defaultSubtotal="1"/>
        </references>
      </pivotArea>
    </format>
    <format dxfId="2308">
      <pivotArea dataOnly="0" labelOnly="1" outline="0" fieldPosition="0">
        <references count="2">
          <reference field="4294967294" count="1" selected="0">
            <x v="4"/>
          </reference>
          <reference field="35" count="0" defaultSubtotal="1"/>
        </references>
      </pivotArea>
    </format>
    <format dxfId="2309">
      <pivotArea dataOnly="0" labelOnly="1" outline="0" fieldPosition="0">
        <references count="2">
          <reference field="4294967294" count="1" selected="0">
            <x v="5"/>
          </reference>
          <reference field="35" count="0" defaultSubtotal="1"/>
        </references>
      </pivotArea>
    </format>
    <format dxfId="2310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311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312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313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314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315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316">
      <pivotArea dataOnly="0" labelOnly="1" outline="0" fieldPosition="0">
        <references count="2">
          <reference field="33" count="4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317">
      <pivotArea dataOnly="0" labelOnly="1" outline="0" fieldPosition="0">
        <references count="3">
          <reference field="4294967294" count="1" selected="0">
            <x v="0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318">
      <pivotArea dataOnly="0" labelOnly="1" outline="0" fieldPosition="0">
        <references count="3">
          <reference field="4294967294" count="1" selected="0">
            <x v="1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319">
      <pivotArea dataOnly="0" labelOnly="1" outline="0" fieldPosition="0">
        <references count="3">
          <reference field="4294967294" count="1" selected="0">
            <x v="2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320">
      <pivotArea dataOnly="0" labelOnly="1" outline="0" fieldPosition="0">
        <references count="3">
          <reference field="4294967294" count="1" selected="0">
            <x v="3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321">
      <pivotArea dataOnly="0" labelOnly="1" outline="0" fieldPosition="0">
        <references count="3">
          <reference field="4294967294" count="1" selected="0">
            <x v="4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322">
      <pivotArea dataOnly="0" labelOnly="1" outline="0" fieldPosition="0">
        <references count="3">
          <reference field="4294967294" count="1" selected="0">
            <x v="5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323">
      <pivotArea dataOnly="0" labelOnly="1" outline="0" fieldPosition="0">
        <references count="2">
          <reference field="33" count="1">
            <x v="1"/>
          </reference>
          <reference field="35" count="1" selected="0">
            <x v="1"/>
          </reference>
        </references>
      </pivotArea>
    </format>
    <format dxfId="2324">
      <pivotArea dataOnly="0" labelOnly="1" outline="0" fieldPosition="0">
        <references count="3">
          <reference field="4294967294" count="1" selected="0">
            <x v="0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325">
      <pivotArea dataOnly="0" labelOnly="1" outline="0" fieldPosition="0">
        <references count="3">
          <reference field="4294967294" count="1" selected="0">
            <x v="1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326">
      <pivotArea dataOnly="0" labelOnly="1" outline="0" fieldPosition="0">
        <references count="3">
          <reference field="4294967294" count="1" selected="0">
            <x v="2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327">
      <pivotArea dataOnly="0" labelOnly="1" outline="0" fieldPosition="0">
        <references count="3">
          <reference field="4294967294" count="1" selected="0">
            <x v="3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328">
      <pivotArea dataOnly="0" labelOnly="1" outline="0" fieldPosition="0">
        <references count="3">
          <reference field="4294967294" count="1" selected="0">
            <x v="4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329">
      <pivotArea dataOnly="0" labelOnly="1" outline="0" fieldPosition="0">
        <references count="3">
          <reference field="4294967294" count="1" selected="0">
            <x v="5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330">
      <pivotArea dataOnly="0" labelOnly="1" outline="0" fieldPosition="0">
        <references count="3">
          <reference field="32" count="3">
            <x v="0"/>
            <x v="1"/>
            <x v="2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331">
      <pivotArea dataOnly="0" labelOnly="1" outline="0" fieldPosition="0">
        <references count="3">
          <reference field="32" count="3">
            <x v="3"/>
            <x v="4"/>
            <x v="5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332">
      <pivotArea dataOnly="0" labelOnly="1" outline="0" fieldPosition="0">
        <references count="3">
          <reference field="32" count="3">
            <x v="6"/>
            <x v="7"/>
            <x v="8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333">
      <pivotArea dataOnly="0" labelOnly="1" outline="0" fieldPosition="0">
        <references count="3">
          <reference field="32" count="3">
            <x v="9"/>
            <x v="10"/>
            <x v="11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334">
      <pivotArea dataOnly="0" labelOnly="1" outline="0" fieldPosition="0">
        <references count="3">
          <reference field="32" count="3">
            <x v="12"/>
            <x v="13"/>
            <x v="14"/>
          </reference>
          <reference field="33" count="1" selected="0">
            <x v="1"/>
          </reference>
          <reference field="35" count="1" selected="0">
            <x v="1"/>
          </reference>
        </references>
      </pivotArea>
    </format>
    <format dxfId="2335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0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336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337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2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338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3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339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4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340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5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341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6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342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7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343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8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344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9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345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0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346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1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347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2"/>
          </reference>
          <reference field="33" count="1" selected="0">
            <x v="1"/>
          </reference>
          <reference field="35" count="1" selected="0">
            <x v="1"/>
          </reference>
        </references>
      </pivotArea>
    </format>
    <format dxfId="2348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3"/>
          </reference>
          <reference field="33" count="1" selected="0">
            <x v="1"/>
          </reference>
          <reference field="35" count="1" selected="0">
            <x v="1"/>
          </reference>
        </references>
      </pivotArea>
    </format>
    <format dxfId="2349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4"/>
          </reference>
          <reference field="33" count="1" selected="0">
            <x v="1"/>
          </reference>
          <reference field="35" count="1" selected="0">
            <x v="1"/>
          </reference>
        </references>
      </pivotArea>
    </format>
    <format dxfId="2350">
      <pivotArea type="all" dataOnly="0" outline="0" fieldPosition="0"/>
    </format>
    <format dxfId="2351">
      <pivotArea type="origin" dataOnly="0" labelOnly="1" outline="0" fieldPosition="0"/>
    </format>
    <format dxfId="2352">
      <pivotArea field="12" type="button" dataOnly="0" labelOnly="1" outline="0" fieldPosition="0"/>
    </format>
    <format dxfId="2353">
      <pivotArea field="18" type="button" dataOnly="0" labelOnly="1" outline="0" fieldPosition="0"/>
    </format>
    <format dxfId="2354">
      <pivotArea field="17" type="button" dataOnly="0" labelOnly="1" outline="0" fieldPosition="0"/>
    </format>
    <format dxfId="2355">
      <pivotArea field="35" type="button" dataOnly="0" labelOnly="1" outline="0" fieldPosition="0"/>
    </format>
    <format dxfId="2356">
      <pivotArea field="33" type="button" dataOnly="0" labelOnly="1" outline="0" fieldPosition="0"/>
    </format>
    <format dxfId="2357">
      <pivotArea field="32" type="button" dataOnly="0" labelOnly="1" outline="0" fieldPosition="0"/>
    </format>
    <format dxfId="2358">
      <pivotArea field="-2" type="button" dataOnly="0" labelOnly="1" outline="0" fieldPosition="0"/>
    </format>
    <format dxfId="2359">
      <pivotArea type="topRight" dataOnly="0" labelOnly="1" outline="0" fieldPosition="0"/>
    </format>
    <format dxfId="2360">
      <pivotArea dataOnly="0" labelOnly="1" outline="0" fieldPosition="0">
        <references count="1">
          <reference field="35" count="0"/>
        </references>
      </pivotArea>
    </format>
    <format dxfId="2361">
      <pivotArea dataOnly="0" labelOnly="1" outline="0" fieldPosition="0">
        <references count="2">
          <reference field="4294967294" count="1" selected="0">
            <x v="0"/>
          </reference>
          <reference field="35" count="0" defaultSubtotal="1"/>
        </references>
      </pivotArea>
    </format>
    <format dxfId="2362">
      <pivotArea dataOnly="0" labelOnly="1" outline="0" fieldPosition="0">
        <references count="2">
          <reference field="4294967294" count="1" selected="0">
            <x v="1"/>
          </reference>
          <reference field="35" count="0" defaultSubtotal="1"/>
        </references>
      </pivotArea>
    </format>
    <format dxfId="2363">
      <pivotArea dataOnly="0" labelOnly="1" outline="0" fieldPosition="0">
        <references count="2">
          <reference field="4294967294" count="1" selected="0">
            <x v="2"/>
          </reference>
          <reference field="35" count="0" defaultSubtotal="1"/>
        </references>
      </pivotArea>
    </format>
    <format dxfId="2364">
      <pivotArea dataOnly="0" labelOnly="1" outline="0" fieldPosition="0">
        <references count="2">
          <reference field="4294967294" count="1" selected="0">
            <x v="3"/>
          </reference>
          <reference field="35" count="0" defaultSubtotal="1"/>
        </references>
      </pivotArea>
    </format>
    <format dxfId="2365">
      <pivotArea dataOnly="0" labelOnly="1" outline="0" fieldPosition="0">
        <references count="2">
          <reference field="4294967294" count="1" selected="0">
            <x v="4"/>
          </reference>
          <reference field="35" count="0" defaultSubtotal="1"/>
        </references>
      </pivotArea>
    </format>
    <format dxfId="2366">
      <pivotArea dataOnly="0" labelOnly="1" outline="0" fieldPosition="0">
        <references count="2">
          <reference field="4294967294" count="1" selected="0">
            <x v="5"/>
          </reference>
          <reference field="35" count="0" defaultSubtotal="1"/>
        </references>
      </pivotArea>
    </format>
    <format dxfId="2367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368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369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370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371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372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373">
      <pivotArea dataOnly="0" labelOnly="1" outline="0" fieldPosition="0">
        <references count="2">
          <reference field="33" count="4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374">
      <pivotArea dataOnly="0" labelOnly="1" outline="0" fieldPosition="0">
        <references count="3">
          <reference field="4294967294" count="1" selected="0">
            <x v="0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375">
      <pivotArea dataOnly="0" labelOnly="1" outline="0" fieldPosition="0">
        <references count="3">
          <reference field="4294967294" count="1" selected="0">
            <x v="1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376">
      <pivotArea dataOnly="0" labelOnly="1" outline="0" fieldPosition="0">
        <references count="3">
          <reference field="4294967294" count="1" selected="0">
            <x v="2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377">
      <pivotArea dataOnly="0" labelOnly="1" outline="0" fieldPosition="0">
        <references count="3">
          <reference field="4294967294" count="1" selected="0">
            <x v="3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378">
      <pivotArea dataOnly="0" labelOnly="1" outline="0" fieldPosition="0">
        <references count="3">
          <reference field="4294967294" count="1" selected="0">
            <x v="4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379">
      <pivotArea dataOnly="0" labelOnly="1" outline="0" fieldPosition="0">
        <references count="3">
          <reference field="4294967294" count="1" selected="0">
            <x v="5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380">
      <pivotArea dataOnly="0" labelOnly="1" outline="0" fieldPosition="0">
        <references count="2">
          <reference field="33" count="1">
            <x v="1"/>
          </reference>
          <reference field="35" count="1" selected="0">
            <x v="1"/>
          </reference>
        </references>
      </pivotArea>
    </format>
    <format dxfId="2381">
      <pivotArea dataOnly="0" labelOnly="1" outline="0" fieldPosition="0">
        <references count="3">
          <reference field="4294967294" count="1" selected="0">
            <x v="0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382">
      <pivotArea dataOnly="0" labelOnly="1" outline="0" fieldPosition="0">
        <references count="3">
          <reference field="4294967294" count="1" selected="0">
            <x v="1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383">
      <pivotArea dataOnly="0" labelOnly="1" outline="0" fieldPosition="0">
        <references count="3">
          <reference field="4294967294" count="1" selected="0">
            <x v="2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384">
      <pivotArea dataOnly="0" labelOnly="1" outline="0" fieldPosition="0">
        <references count="3">
          <reference field="4294967294" count="1" selected="0">
            <x v="3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385">
      <pivotArea dataOnly="0" labelOnly="1" outline="0" fieldPosition="0">
        <references count="3">
          <reference field="4294967294" count="1" selected="0">
            <x v="4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386">
      <pivotArea dataOnly="0" labelOnly="1" outline="0" fieldPosition="0">
        <references count="3">
          <reference field="4294967294" count="1" selected="0">
            <x v="5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387">
      <pivotArea dataOnly="0" labelOnly="1" outline="0" fieldPosition="0">
        <references count="3">
          <reference field="32" count="3">
            <x v="0"/>
            <x v="1"/>
            <x v="2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388">
      <pivotArea dataOnly="0" labelOnly="1" outline="0" fieldPosition="0">
        <references count="3">
          <reference field="32" count="3">
            <x v="3"/>
            <x v="4"/>
            <x v="5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389">
      <pivotArea dataOnly="0" labelOnly="1" outline="0" fieldPosition="0">
        <references count="3">
          <reference field="32" count="3">
            <x v="6"/>
            <x v="7"/>
            <x v="8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390">
      <pivotArea dataOnly="0" labelOnly="1" outline="0" fieldPosition="0">
        <references count="3">
          <reference field="32" count="3">
            <x v="9"/>
            <x v="10"/>
            <x v="11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391">
      <pivotArea dataOnly="0" labelOnly="1" outline="0" fieldPosition="0">
        <references count="3">
          <reference field="32" count="3">
            <x v="12"/>
            <x v="13"/>
            <x v="14"/>
          </reference>
          <reference field="33" count="1" selected="0">
            <x v="1"/>
          </reference>
          <reference field="35" count="1" selected="0">
            <x v="1"/>
          </reference>
        </references>
      </pivotArea>
    </format>
    <format dxfId="2392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0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393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394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2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395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3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396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4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397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5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398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6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399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7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400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8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401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9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402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0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403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1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404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2"/>
          </reference>
          <reference field="33" count="1" selected="0">
            <x v="1"/>
          </reference>
          <reference field="35" count="1" selected="0">
            <x v="1"/>
          </reference>
        </references>
      </pivotArea>
    </format>
    <format dxfId="2405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3"/>
          </reference>
          <reference field="33" count="1" selected="0">
            <x v="1"/>
          </reference>
          <reference field="35" count="1" selected="0">
            <x v="1"/>
          </reference>
        </references>
      </pivotArea>
    </format>
    <format dxfId="2406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4"/>
          </reference>
          <reference field="33" count="1" selected="0">
            <x v="1"/>
          </reference>
          <reference field="35" count="1" selected="0">
            <x v="1"/>
          </reference>
        </references>
      </pivotArea>
    </format>
    <format dxfId="2407">
      <pivotArea type="origin" dataOnly="0" labelOnly="1" outline="0" fieldPosition="0"/>
    </format>
    <format dxfId="2408">
      <pivotArea field="12" type="button" dataOnly="0" labelOnly="1" outline="0" fieldPosition="0"/>
    </format>
    <format dxfId="2409">
      <pivotArea field="18" type="button" dataOnly="0" labelOnly="1" outline="0" fieldPosition="0"/>
    </format>
    <format dxfId="2410">
      <pivotArea field="17" type="button" dataOnly="0" labelOnly="1" outline="0" fieldPosition="0"/>
    </format>
    <format dxfId="2411">
      <pivotArea field="35" type="button" dataOnly="0" labelOnly="1" outline="0" fieldPosition="0"/>
    </format>
    <format dxfId="2412">
      <pivotArea field="33" type="button" dataOnly="0" labelOnly="1" outline="0" fieldPosition="0"/>
    </format>
    <format dxfId="2413">
      <pivotArea field="32" type="button" dataOnly="0" labelOnly="1" outline="0" fieldPosition="0"/>
    </format>
    <format dxfId="2414">
      <pivotArea field="-2" type="button" dataOnly="0" labelOnly="1" outline="0" fieldPosition="0"/>
    </format>
    <format dxfId="2415">
      <pivotArea type="topRight" dataOnly="0" labelOnly="1" outline="0" fieldPosition="0"/>
    </format>
    <format dxfId="2416">
      <pivotArea dataOnly="0" labelOnly="1" outline="0" fieldPosition="0">
        <references count="1">
          <reference field="35" count="0"/>
        </references>
      </pivotArea>
    </format>
    <format dxfId="2417">
      <pivotArea dataOnly="0" labelOnly="1" outline="0" fieldPosition="0">
        <references count="2">
          <reference field="4294967294" count="1" selected="0">
            <x v="0"/>
          </reference>
          <reference field="35" count="0" defaultSubtotal="1"/>
        </references>
      </pivotArea>
    </format>
    <format dxfId="2418">
      <pivotArea dataOnly="0" labelOnly="1" outline="0" fieldPosition="0">
        <references count="2">
          <reference field="4294967294" count="1" selected="0">
            <x v="1"/>
          </reference>
          <reference field="35" count="0" defaultSubtotal="1"/>
        </references>
      </pivotArea>
    </format>
    <format dxfId="2419">
      <pivotArea dataOnly="0" labelOnly="1" outline="0" fieldPosition="0">
        <references count="2">
          <reference field="4294967294" count="1" selected="0">
            <x v="2"/>
          </reference>
          <reference field="35" count="0" defaultSubtotal="1"/>
        </references>
      </pivotArea>
    </format>
    <format dxfId="2420">
      <pivotArea dataOnly="0" labelOnly="1" outline="0" fieldPosition="0">
        <references count="2">
          <reference field="4294967294" count="1" selected="0">
            <x v="3"/>
          </reference>
          <reference field="35" count="0" defaultSubtotal="1"/>
        </references>
      </pivotArea>
    </format>
    <format dxfId="2421">
      <pivotArea dataOnly="0" labelOnly="1" outline="0" fieldPosition="0">
        <references count="2">
          <reference field="4294967294" count="1" selected="0">
            <x v="4"/>
          </reference>
          <reference field="35" count="0" defaultSubtotal="1"/>
        </references>
      </pivotArea>
    </format>
    <format dxfId="2422">
      <pivotArea dataOnly="0" labelOnly="1" outline="0" fieldPosition="0">
        <references count="2">
          <reference field="4294967294" count="1" selected="0">
            <x v="5"/>
          </reference>
          <reference field="35" count="0" defaultSubtotal="1"/>
        </references>
      </pivotArea>
    </format>
    <format dxfId="2423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424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425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426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427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428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429">
      <pivotArea dataOnly="0" labelOnly="1" outline="0" fieldPosition="0">
        <references count="2">
          <reference field="33" count="4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430">
      <pivotArea dataOnly="0" labelOnly="1" outline="0" fieldPosition="0">
        <references count="3">
          <reference field="4294967294" count="1" selected="0">
            <x v="0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431">
      <pivotArea dataOnly="0" labelOnly="1" outline="0" fieldPosition="0">
        <references count="3">
          <reference field="4294967294" count="1" selected="0">
            <x v="1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432">
      <pivotArea dataOnly="0" labelOnly="1" outline="0" fieldPosition="0">
        <references count="3">
          <reference field="4294967294" count="1" selected="0">
            <x v="2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433">
      <pivotArea dataOnly="0" labelOnly="1" outline="0" fieldPosition="0">
        <references count="3">
          <reference field="4294967294" count="1" selected="0">
            <x v="3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434">
      <pivotArea dataOnly="0" labelOnly="1" outline="0" fieldPosition="0">
        <references count="3">
          <reference field="4294967294" count="1" selected="0">
            <x v="4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435">
      <pivotArea dataOnly="0" labelOnly="1" outline="0" fieldPosition="0">
        <references count="3">
          <reference field="4294967294" count="1" selected="0">
            <x v="5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436">
      <pivotArea dataOnly="0" labelOnly="1" outline="0" fieldPosition="0">
        <references count="2">
          <reference field="33" count="1">
            <x v="1"/>
          </reference>
          <reference field="35" count="1" selected="0">
            <x v="1"/>
          </reference>
        </references>
      </pivotArea>
    </format>
    <format dxfId="2437">
      <pivotArea dataOnly="0" labelOnly="1" outline="0" fieldPosition="0">
        <references count="3">
          <reference field="4294967294" count="1" selected="0">
            <x v="0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438">
      <pivotArea dataOnly="0" labelOnly="1" outline="0" fieldPosition="0">
        <references count="3">
          <reference field="4294967294" count="1" selected="0">
            <x v="1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439">
      <pivotArea dataOnly="0" labelOnly="1" outline="0" fieldPosition="0">
        <references count="3">
          <reference field="4294967294" count="1" selected="0">
            <x v="2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440">
      <pivotArea dataOnly="0" labelOnly="1" outline="0" fieldPosition="0">
        <references count="3">
          <reference field="4294967294" count="1" selected="0">
            <x v="3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441">
      <pivotArea dataOnly="0" labelOnly="1" outline="0" fieldPosition="0">
        <references count="3">
          <reference field="4294967294" count="1" selected="0">
            <x v="4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442">
      <pivotArea dataOnly="0" labelOnly="1" outline="0" fieldPosition="0">
        <references count="3">
          <reference field="4294967294" count="1" selected="0">
            <x v="5"/>
          </reference>
          <reference field="33" count="1" defaultSubtotal="1">
            <x v="1"/>
          </reference>
          <reference field="35" count="1" selected="0">
            <x v="1"/>
          </reference>
        </references>
      </pivotArea>
    </format>
    <format dxfId="2443">
      <pivotArea dataOnly="0" labelOnly="1" outline="0" fieldPosition="0">
        <references count="3">
          <reference field="32" count="3">
            <x v="0"/>
            <x v="1"/>
            <x v="2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444">
      <pivotArea dataOnly="0" labelOnly="1" outline="0" fieldPosition="0">
        <references count="3">
          <reference field="32" count="3">
            <x v="3"/>
            <x v="4"/>
            <x v="5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445">
      <pivotArea dataOnly="0" labelOnly="1" outline="0" fieldPosition="0">
        <references count="3">
          <reference field="32" count="3">
            <x v="6"/>
            <x v="7"/>
            <x v="8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446">
      <pivotArea dataOnly="0" labelOnly="1" outline="0" fieldPosition="0">
        <references count="3">
          <reference field="32" count="3">
            <x v="9"/>
            <x v="10"/>
            <x v="11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447">
      <pivotArea dataOnly="0" labelOnly="1" outline="0" fieldPosition="0">
        <references count="3">
          <reference field="32" count="3">
            <x v="12"/>
            <x v="13"/>
            <x v="14"/>
          </reference>
          <reference field="33" count="1" selected="0">
            <x v="1"/>
          </reference>
          <reference field="35" count="1" selected="0">
            <x v="1"/>
          </reference>
        </references>
      </pivotArea>
    </format>
    <format dxfId="2448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0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449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450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2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451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3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452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4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453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5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454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6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455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7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456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8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457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9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458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0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459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1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460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2"/>
          </reference>
          <reference field="33" count="1" selected="0">
            <x v="1"/>
          </reference>
          <reference field="35" count="1" selected="0">
            <x v="1"/>
          </reference>
        </references>
      </pivotArea>
    </format>
    <format dxfId="2461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3"/>
          </reference>
          <reference field="33" count="1" selected="0">
            <x v="1"/>
          </reference>
          <reference field="35" count="1" selected="0">
            <x v="1"/>
          </reference>
        </references>
      </pivotArea>
    </format>
    <format dxfId="2462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4"/>
          </reference>
          <reference field="33" count="1" selected="0">
            <x v="1"/>
          </reference>
          <reference field="35" count="1" selected="0">
            <x v="1"/>
          </reference>
        </references>
      </pivotArea>
    </format>
    <format dxfId="2463">
      <pivotArea type="all" dataOnly="0" outline="0" fieldPosition="0"/>
    </format>
    <format dxfId="2464">
      <pivotArea type="all" dataOnly="0" outline="0" fieldPosition="0"/>
    </format>
    <format dxfId="2465">
      <pivotArea outline="0" collapsedLevelsAreSubtotals="1" fieldPosition="0"/>
    </format>
    <format dxfId="2466">
      <pivotArea type="origin" dataOnly="0" labelOnly="1" outline="0" fieldPosition="0"/>
    </format>
    <format dxfId="2467">
      <pivotArea field="35" type="button" dataOnly="0" labelOnly="1" outline="0" fieldPosition="0"/>
    </format>
    <format dxfId="2468">
      <pivotArea field="33" type="button" dataOnly="0" labelOnly="1" outline="0" fieldPosition="0"/>
    </format>
    <format dxfId="2469">
      <pivotArea field="32" type="button" dataOnly="0" labelOnly="1" outline="0" fieldPosition="0"/>
    </format>
    <format dxfId="2470">
      <pivotArea field="-2" type="button" dataOnly="0" labelOnly="1" outline="0" fieldPosition="0"/>
    </format>
    <format dxfId="2471">
      <pivotArea type="topRight" dataOnly="0" labelOnly="1" outline="0" fieldPosition="0"/>
    </format>
    <format dxfId="2472">
      <pivotArea field="12" type="button" dataOnly="0" labelOnly="1" outline="0" fieldPosition="0"/>
    </format>
    <format dxfId="2473">
      <pivotArea field="18" type="button" dataOnly="0" labelOnly="1" outline="0" fieldPosition="0"/>
    </format>
    <format dxfId="2474">
      <pivotArea field="17" type="button" dataOnly="0" labelOnly="1" outline="0" fieldPosition="0"/>
    </format>
    <format dxfId="2475">
      <pivotArea dataOnly="0" labelOnly="1" outline="0" fieldPosition="0">
        <references count="1">
          <reference field="12" count="0"/>
        </references>
      </pivotArea>
    </format>
    <format dxfId="2476">
      <pivotArea dataOnly="0" labelOnly="1" grandRow="1" outline="0" fieldPosition="0"/>
    </format>
    <format dxfId="2477">
      <pivotArea dataOnly="0" labelOnly="1" outline="0" fieldPosition="0">
        <references count="2">
          <reference field="12" count="1" selected="0">
            <x v="0"/>
          </reference>
          <reference field="18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478">
      <pivotArea dataOnly="0" labelOnly="1" outline="0" fieldPosition="0">
        <references count="2">
          <reference field="12" count="1" selected="0">
            <x v="1"/>
          </reference>
          <reference field="18" count="7">
            <x v="11"/>
            <x v="12"/>
            <x v="13"/>
            <x v="14"/>
            <x v="15"/>
            <x v="16"/>
            <x v="25"/>
          </reference>
        </references>
      </pivotArea>
    </format>
    <format dxfId="2479">
      <pivotArea dataOnly="0" labelOnly="1" outline="0" fieldPosition="0">
        <references count="2">
          <reference field="12" count="1" selected="0">
            <x v="2"/>
          </reference>
          <reference field="18" count="1">
            <x v="26"/>
          </reference>
        </references>
      </pivotArea>
    </format>
    <format dxfId="2480">
      <pivotArea dataOnly="0" labelOnly="1" outline="0" fieldPosition="0">
        <references count="2">
          <reference field="12" count="1" selected="0">
            <x v="3"/>
          </reference>
          <reference field="18" count="4">
            <x v="18"/>
            <x v="19"/>
            <x v="20"/>
            <x v="21"/>
          </reference>
        </references>
      </pivotArea>
    </format>
    <format dxfId="2481">
      <pivotArea dataOnly="0" labelOnly="1" outline="0" fieldPosition="0">
        <references count="2">
          <reference field="12" count="1" selected="0">
            <x v="4"/>
          </reference>
          <reference field="18" count="2">
            <x v="22"/>
            <x v="24"/>
          </reference>
        </references>
      </pivotArea>
    </format>
    <format dxfId="2482">
      <pivotArea dataOnly="0" labelOnly="1" outline="0" fieldPosition="0">
        <references count="2">
          <reference field="12" count="1" selected="0">
            <x v="5"/>
          </reference>
          <reference field="18" count="1">
            <x v="23"/>
          </reference>
        </references>
      </pivotArea>
    </format>
    <format dxfId="2483">
      <pivotArea dataOnly="0" labelOnly="1" outline="0" fieldPosition="0">
        <references count="3">
          <reference field="12" count="1" selected="0">
            <x v="0"/>
          </reference>
          <reference field="17" count="1">
            <x v="1"/>
          </reference>
          <reference field="18" count="1" selected="0">
            <x v="1"/>
          </reference>
        </references>
      </pivotArea>
    </format>
    <format dxfId="2484">
      <pivotArea dataOnly="0" labelOnly="1" outline="0" fieldPosition="0">
        <references count="3">
          <reference field="12" count="1" selected="0">
            <x v="0"/>
          </reference>
          <reference field="17" count="3">
            <x v="2"/>
            <x v="9"/>
            <x v="10"/>
          </reference>
          <reference field="18" count="1" selected="0">
            <x v="2"/>
          </reference>
        </references>
      </pivotArea>
    </format>
    <format dxfId="2485">
      <pivotArea dataOnly="0" labelOnly="1" outline="0" fieldPosition="0">
        <references count="3">
          <reference field="12" count="1" selected="0">
            <x v="0"/>
          </reference>
          <reference field="17" count="2">
            <x v="3"/>
            <x v="4"/>
          </reference>
          <reference field="18" count="1" selected="0">
            <x v="3"/>
          </reference>
        </references>
      </pivotArea>
    </format>
    <format dxfId="2486">
      <pivotArea dataOnly="0" labelOnly="1" outline="0" fieldPosition="0">
        <references count="3">
          <reference field="12" count="1" selected="0">
            <x v="0"/>
          </reference>
          <reference field="17" count="2">
            <x v="5"/>
            <x v="6"/>
          </reference>
          <reference field="18" count="1" selected="0">
            <x v="4"/>
          </reference>
        </references>
      </pivotArea>
    </format>
    <format dxfId="2487">
      <pivotArea dataOnly="0" labelOnly="1" outline="0" fieldPosition="0">
        <references count="3">
          <reference field="12" count="1" selected="0">
            <x v="0"/>
          </reference>
          <reference field="17" count="2">
            <x v="7"/>
            <x v="8"/>
          </reference>
          <reference field="18" count="1" selected="0">
            <x v="5"/>
          </reference>
        </references>
      </pivotArea>
    </format>
    <format dxfId="2488">
      <pivotArea dataOnly="0" labelOnly="1" outline="0" fieldPosition="0">
        <references count="3">
          <reference field="12" count="1" selected="0">
            <x v="0"/>
          </reference>
          <reference field="17" count="4">
            <x v="11"/>
            <x v="12"/>
            <x v="13"/>
            <x v="17"/>
          </reference>
          <reference field="18" count="1" selected="0">
            <x v="6"/>
          </reference>
        </references>
      </pivotArea>
    </format>
    <format dxfId="2489">
      <pivotArea dataOnly="0" labelOnly="1" outline="0" fieldPosition="0">
        <references count="3">
          <reference field="12" count="1" selected="0">
            <x v="0"/>
          </reference>
          <reference field="17" count="3">
            <x v="14"/>
            <x v="15"/>
            <x v="16"/>
          </reference>
          <reference field="18" count="1" selected="0">
            <x v="7"/>
          </reference>
        </references>
      </pivotArea>
    </format>
    <format dxfId="2490">
      <pivotArea dataOnly="0" labelOnly="1" outline="0" fieldPosition="0">
        <references count="3">
          <reference field="12" count="1" selected="0">
            <x v="0"/>
          </reference>
          <reference field="17" count="2">
            <x v="18"/>
            <x v="19"/>
          </reference>
          <reference field="18" count="1" selected="0">
            <x v="8"/>
          </reference>
        </references>
      </pivotArea>
    </format>
    <format dxfId="2491">
      <pivotArea dataOnly="0" labelOnly="1" outline="0" fieldPosition="0">
        <references count="3">
          <reference field="12" count="1" selected="0">
            <x v="0"/>
          </reference>
          <reference field="17" count="2">
            <x v="20"/>
            <x v="21"/>
          </reference>
          <reference field="18" count="1" selected="0">
            <x v="9"/>
          </reference>
        </references>
      </pivotArea>
    </format>
    <format dxfId="2492">
      <pivotArea dataOnly="0" labelOnly="1" outline="0" fieldPosition="0">
        <references count="3">
          <reference field="12" count="1" selected="0">
            <x v="0"/>
          </reference>
          <reference field="17" count="6">
            <x v="22"/>
            <x v="23"/>
            <x v="24"/>
            <x v="25"/>
            <x v="26"/>
            <x v="27"/>
          </reference>
          <reference field="18" count="1" selected="0">
            <x v="10"/>
          </reference>
        </references>
      </pivotArea>
    </format>
    <format dxfId="2493">
      <pivotArea dataOnly="0" labelOnly="1" outline="0" fieldPosition="0">
        <references count="3">
          <reference field="12" count="1" selected="0">
            <x v="1"/>
          </reference>
          <reference field="17" count="4">
            <x v="28"/>
            <x v="37"/>
            <x v="41"/>
            <x v="45"/>
          </reference>
          <reference field="18" count="1" selected="0">
            <x v="11"/>
          </reference>
        </references>
      </pivotArea>
    </format>
    <format dxfId="2494">
      <pivotArea dataOnly="0" labelOnly="1" outline="0" fieldPosition="0">
        <references count="3">
          <reference field="12" count="1" selected="0">
            <x v="1"/>
          </reference>
          <reference field="17" count="3">
            <x v="29"/>
            <x v="42"/>
            <x v="46"/>
          </reference>
          <reference field="18" count="1" selected="0">
            <x v="12"/>
          </reference>
        </references>
      </pivotArea>
    </format>
    <format dxfId="2495">
      <pivotArea dataOnly="0" labelOnly="1" outline="0" fieldPosition="0">
        <references count="3">
          <reference field="12" count="1" selected="0">
            <x v="1"/>
          </reference>
          <reference field="17" count="9">
            <x v="31"/>
            <x v="32"/>
            <x v="33"/>
            <x v="34"/>
            <x v="35"/>
            <x v="38"/>
            <x v="39"/>
            <x v="43"/>
            <x v="47"/>
          </reference>
          <reference field="18" count="1" selected="0">
            <x v="13"/>
          </reference>
        </references>
      </pivotArea>
    </format>
    <format dxfId="2496">
      <pivotArea dataOnly="0" labelOnly="1" outline="0" fieldPosition="0">
        <references count="3">
          <reference field="12" count="1" selected="0">
            <x v="1"/>
          </reference>
          <reference field="17" count="1">
            <x v="31"/>
          </reference>
          <reference field="18" count="1" selected="0">
            <x v="14"/>
          </reference>
        </references>
      </pivotArea>
    </format>
    <format dxfId="2497">
      <pivotArea dataOnly="0" labelOnly="1" outline="0" fieldPosition="0">
        <references count="3">
          <reference field="12" count="1" selected="0">
            <x v="1"/>
          </reference>
          <reference field="17" count="6">
            <x v="36"/>
            <x v="40"/>
            <x v="44"/>
            <x v="48"/>
            <x v="52"/>
            <x v="53"/>
          </reference>
          <reference field="18" count="1" selected="0">
            <x v="15"/>
          </reference>
        </references>
      </pivotArea>
    </format>
    <format dxfId="2498">
      <pivotArea dataOnly="0" labelOnly="1" outline="0" fieldPosition="0">
        <references count="3">
          <reference field="12" count="1" selected="0">
            <x v="1"/>
          </reference>
          <reference field="17" count="3">
            <x v="49"/>
            <x v="50"/>
            <x v="51"/>
          </reference>
          <reference field="18" count="1" selected="0">
            <x v="16"/>
          </reference>
        </references>
      </pivotArea>
    </format>
    <format dxfId="2499">
      <pivotArea dataOnly="0" labelOnly="1" outline="0" fieldPosition="0">
        <references count="3">
          <reference field="12" count="1" selected="0">
            <x v="1"/>
          </reference>
          <reference field="17" count="1">
            <x v="75"/>
          </reference>
          <reference field="18" count="1" selected="0">
            <x v="25"/>
          </reference>
        </references>
      </pivotArea>
    </format>
    <format dxfId="2500">
      <pivotArea dataOnly="0" labelOnly="1" outline="0" fieldPosition="0">
        <references count="3">
          <reference field="12" count="1" selected="0">
            <x v="2"/>
          </reference>
          <reference field="17" count="1">
            <x v="77"/>
          </reference>
          <reference field="18" count="1" selected="0">
            <x v="26"/>
          </reference>
        </references>
      </pivotArea>
    </format>
    <format dxfId="2501">
      <pivotArea dataOnly="0" labelOnly="1" outline="0" fieldPosition="0">
        <references count="3">
          <reference field="12" count="1" selected="0">
            <x v="3"/>
          </reference>
          <reference field="17" count="6">
            <x v="55"/>
            <x v="56"/>
            <x v="57"/>
            <x v="58"/>
            <x v="59"/>
            <x v="60"/>
          </reference>
          <reference field="18" count="1" selected="0">
            <x v="18"/>
          </reference>
        </references>
      </pivotArea>
    </format>
    <format dxfId="2502">
      <pivotArea dataOnly="0" labelOnly="1" outline="0" fieldPosition="0">
        <references count="3">
          <reference field="12" count="1" selected="0">
            <x v="3"/>
          </reference>
          <reference field="17" count="2">
            <x v="61"/>
            <x v="64"/>
          </reference>
          <reference field="18" count="1" selected="0">
            <x v="19"/>
          </reference>
        </references>
      </pivotArea>
    </format>
    <format dxfId="2503">
      <pivotArea dataOnly="0" labelOnly="1" outline="0" fieldPosition="0">
        <references count="3">
          <reference field="12" count="1" selected="0">
            <x v="3"/>
          </reference>
          <reference field="17" count="2">
            <x v="62"/>
            <x v="65"/>
          </reference>
          <reference field="18" count="1" selected="0">
            <x v="20"/>
          </reference>
        </references>
      </pivotArea>
    </format>
    <format dxfId="2504">
      <pivotArea dataOnly="0" labelOnly="1" outline="0" fieldPosition="0">
        <references count="3">
          <reference field="12" count="1" selected="0">
            <x v="3"/>
          </reference>
          <reference field="17" count="1">
            <x v="63"/>
          </reference>
          <reference field="18" count="1" selected="0">
            <x v="21"/>
          </reference>
        </references>
      </pivotArea>
    </format>
    <format dxfId="2505">
      <pivotArea dataOnly="0" labelOnly="1" outline="0" fieldPosition="0">
        <references count="3">
          <reference field="12" count="1" selected="0">
            <x v="4"/>
          </reference>
          <reference field="17" count="2">
            <x v="66"/>
            <x v="67"/>
          </reference>
          <reference field="18" count="1" selected="0">
            <x v="22"/>
          </reference>
        </references>
      </pivotArea>
    </format>
    <format dxfId="2506">
      <pivotArea dataOnly="0" labelOnly="1" outline="0" fieldPosition="0">
        <references count="3">
          <reference field="12" count="1" selected="0">
            <x v="4"/>
          </reference>
          <reference field="17" count="2">
            <x v="72"/>
            <x v="73"/>
          </reference>
          <reference field="18" count="1" selected="0">
            <x v="24"/>
          </reference>
        </references>
      </pivotArea>
    </format>
    <format dxfId="2507">
      <pivotArea dataOnly="0" labelOnly="1" outline="0" fieldPosition="0">
        <references count="3">
          <reference field="12" count="1" selected="0">
            <x v="5"/>
          </reference>
          <reference field="17" count="4">
            <x v="68"/>
            <x v="69"/>
            <x v="70"/>
            <x v="71"/>
          </reference>
          <reference field="18" count="1" selected="0">
            <x v="23"/>
          </reference>
        </references>
      </pivotArea>
    </format>
    <format dxfId="2508">
      <pivotArea dataOnly="0" labelOnly="1" outline="0" fieldPosition="0">
        <references count="1">
          <reference field="35" count="1">
            <x v="0"/>
          </reference>
        </references>
      </pivotArea>
    </format>
    <format dxfId="2509">
      <pivotArea dataOnly="0" labelOnly="1" outline="0" fieldPosition="0">
        <references count="2">
          <reference field="4294967294" count="1" selected="0">
            <x v="0"/>
          </reference>
          <reference field="35" count="1" defaultSubtotal="1">
            <x v="0"/>
          </reference>
        </references>
      </pivotArea>
    </format>
    <format dxfId="2510">
      <pivotArea dataOnly="0" labelOnly="1" outline="0" fieldPosition="0">
        <references count="2">
          <reference field="4294967294" count="1" selected="0">
            <x v="1"/>
          </reference>
          <reference field="35" count="1" defaultSubtotal="1">
            <x v="0"/>
          </reference>
        </references>
      </pivotArea>
    </format>
    <format dxfId="2511">
      <pivotArea dataOnly="0" labelOnly="1" outline="0" fieldPosition="0">
        <references count="2">
          <reference field="4294967294" count="1" selected="0">
            <x v="2"/>
          </reference>
          <reference field="35" count="1" defaultSubtotal="1">
            <x v="0"/>
          </reference>
        </references>
      </pivotArea>
    </format>
    <format dxfId="2512">
      <pivotArea dataOnly="0" labelOnly="1" outline="0" fieldPosition="0">
        <references count="2">
          <reference field="4294967294" count="1" selected="0">
            <x v="3"/>
          </reference>
          <reference field="35" count="1" defaultSubtotal="1">
            <x v="0"/>
          </reference>
        </references>
      </pivotArea>
    </format>
    <format dxfId="2513">
      <pivotArea dataOnly="0" labelOnly="1" outline="0" fieldPosition="0">
        <references count="2">
          <reference field="4294967294" count="1" selected="0">
            <x v="4"/>
          </reference>
          <reference field="35" count="1" defaultSubtotal="1">
            <x v="0"/>
          </reference>
        </references>
      </pivotArea>
    </format>
    <format dxfId="2514">
      <pivotArea dataOnly="0" labelOnly="1" outline="0" fieldPosition="0">
        <references count="2">
          <reference field="4294967294" count="1" selected="0">
            <x v="5"/>
          </reference>
          <reference field="35" count="1" defaultSubtotal="1">
            <x v="0"/>
          </reference>
        </references>
      </pivotArea>
    </format>
    <format dxfId="2515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516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517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518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519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520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521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522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523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524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525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526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527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528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529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530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531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532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533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534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535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536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537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538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539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540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541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542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543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544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545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546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547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548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549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550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551">
      <pivotArea dataOnly="0" labelOnly="1" outline="0" fieldPosition="0">
        <references count="2">
          <reference field="33" count="4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552">
      <pivotArea dataOnly="0" labelOnly="1" outline="0" fieldPosition="0">
        <references count="3">
          <reference field="4294967294" count="1" selected="0">
            <x v="0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553">
      <pivotArea dataOnly="0" labelOnly="1" outline="0" fieldPosition="0">
        <references count="3">
          <reference field="4294967294" count="1" selected="0">
            <x v="1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554">
      <pivotArea dataOnly="0" labelOnly="1" outline="0" fieldPosition="0">
        <references count="3">
          <reference field="4294967294" count="1" selected="0">
            <x v="2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555">
      <pivotArea dataOnly="0" labelOnly="1" outline="0" fieldPosition="0">
        <references count="3">
          <reference field="4294967294" count="1" selected="0">
            <x v="3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556">
      <pivotArea dataOnly="0" labelOnly="1" outline="0" fieldPosition="0">
        <references count="3">
          <reference field="4294967294" count="1" selected="0">
            <x v="4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557">
      <pivotArea dataOnly="0" labelOnly="1" outline="0" fieldPosition="0">
        <references count="3">
          <reference field="4294967294" count="1" selected="0">
            <x v="5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558">
      <pivotArea dataOnly="0" labelOnly="1" outline="0" fieldPosition="0">
        <references count="3">
          <reference field="32" count="3">
            <x v="0"/>
            <x v="1"/>
            <x v="2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559">
      <pivotArea dataOnly="0" labelOnly="1" outline="0" fieldPosition="0">
        <references count="3">
          <reference field="32" count="3">
            <x v="3"/>
            <x v="4"/>
            <x v="5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560">
      <pivotArea dataOnly="0" labelOnly="1" outline="0" fieldPosition="0">
        <references count="3">
          <reference field="32" count="3">
            <x v="6"/>
            <x v="7"/>
            <x v="8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561">
      <pivotArea dataOnly="0" labelOnly="1" outline="0" fieldPosition="0">
        <references count="3">
          <reference field="32" count="3">
            <x v="9"/>
            <x v="10"/>
            <x v="11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562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0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563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564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2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565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3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566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4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567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5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568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6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569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7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570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8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571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9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572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0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573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1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574">
      <pivotArea type="all" dataOnly="0" outline="0" fieldPosition="0"/>
    </format>
    <format dxfId="2575">
      <pivotArea outline="0" collapsedLevelsAreSubtotals="1" fieldPosition="0"/>
    </format>
    <format dxfId="2576">
      <pivotArea type="origin" dataOnly="0" labelOnly="1" outline="0" fieldPosition="0"/>
    </format>
    <format dxfId="2577">
      <pivotArea field="35" type="button" dataOnly="0" labelOnly="1" outline="0" fieldPosition="0"/>
    </format>
    <format dxfId="2578">
      <pivotArea field="33" type="button" dataOnly="0" labelOnly="1" outline="0" fieldPosition="0"/>
    </format>
    <format dxfId="2579">
      <pivotArea field="32" type="button" dataOnly="0" labelOnly="1" outline="0" fieldPosition="0"/>
    </format>
    <format dxfId="2580">
      <pivotArea field="-2" type="button" dataOnly="0" labelOnly="1" outline="0" fieldPosition="0"/>
    </format>
    <format dxfId="2581">
      <pivotArea type="topRight" dataOnly="0" labelOnly="1" outline="0" fieldPosition="0"/>
    </format>
    <format dxfId="2582">
      <pivotArea field="12" type="button" dataOnly="0" labelOnly="1" outline="0" fieldPosition="0"/>
    </format>
    <format dxfId="2583">
      <pivotArea field="18" type="button" dataOnly="0" labelOnly="1" outline="0" fieldPosition="0"/>
    </format>
    <format dxfId="2584">
      <pivotArea field="17" type="button" dataOnly="0" labelOnly="1" outline="0" fieldPosition="0"/>
    </format>
    <format dxfId="2585">
      <pivotArea dataOnly="0" labelOnly="1" outline="0" fieldPosition="0">
        <references count="1">
          <reference field="12" count="0"/>
        </references>
      </pivotArea>
    </format>
    <format dxfId="2586">
      <pivotArea dataOnly="0" labelOnly="1" grandRow="1" outline="0" fieldPosition="0"/>
    </format>
    <format dxfId="2587">
      <pivotArea dataOnly="0" labelOnly="1" outline="0" fieldPosition="0">
        <references count="2">
          <reference field="12" count="1" selected="0">
            <x v="0"/>
          </reference>
          <reference field="18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588">
      <pivotArea dataOnly="0" labelOnly="1" outline="0" fieldPosition="0">
        <references count="2">
          <reference field="12" count="1" selected="0">
            <x v="1"/>
          </reference>
          <reference field="18" count="7">
            <x v="11"/>
            <x v="12"/>
            <x v="13"/>
            <x v="14"/>
            <x v="15"/>
            <x v="16"/>
            <x v="25"/>
          </reference>
        </references>
      </pivotArea>
    </format>
    <format dxfId="2589">
      <pivotArea dataOnly="0" labelOnly="1" outline="0" fieldPosition="0">
        <references count="2">
          <reference field="12" count="1" selected="0">
            <x v="2"/>
          </reference>
          <reference field="18" count="1">
            <x v="26"/>
          </reference>
        </references>
      </pivotArea>
    </format>
    <format dxfId="2590">
      <pivotArea dataOnly="0" labelOnly="1" outline="0" fieldPosition="0">
        <references count="2">
          <reference field="12" count="1" selected="0">
            <x v="3"/>
          </reference>
          <reference field="18" count="4">
            <x v="18"/>
            <x v="19"/>
            <x v="20"/>
            <x v="21"/>
          </reference>
        </references>
      </pivotArea>
    </format>
    <format dxfId="2591">
      <pivotArea dataOnly="0" labelOnly="1" outline="0" fieldPosition="0">
        <references count="2">
          <reference field="12" count="1" selected="0">
            <x v="4"/>
          </reference>
          <reference field="18" count="2">
            <x v="22"/>
            <x v="24"/>
          </reference>
        </references>
      </pivotArea>
    </format>
    <format dxfId="2592">
      <pivotArea dataOnly="0" labelOnly="1" outline="0" fieldPosition="0">
        <references count="2">
          <reference field="12" count="1" selected="0">
            <x v="5"/>
          </reference>
          <reference field="18" count="1">
            <x v="23"/>
          </reference>
        </references>
      </pivotArea>
    </format>
    <format dxfId="2593">
      <pivotArea dataOnly="0" labelOnly="1" outline="0" fieldPosition="0">
        <references count="3">
          <reference field="12" count="1" selected="0">
            <x v="0"/>
          </reference>
          <reference field="17" count="1">
            <x v="1"/>
          </reference>
          <reference field="18" count="1" selected="0">
            <x v="1"/>
          </reference>
        </references>
      </pivotArea>
    </format>
    <format dxfId="2594">
      <pivotArea dataOnly="0" labelOnly="1" outline="0" fieldPosition="0">
        <references count="3">
          <reference field="12" count="1" selected="0">
            <x v="0"/>
          </reference>
          <reference field="17" count="3">
            <x v="2"/>
            <x v="9"/>
            <x v="10"/>
          </reference>
          <reference field="18" count="1" selected="0">
            <x v="2"/>
          </reference>
        </references>
      </pivotArea>
    </format>
    <format dxfId="2595">
      <pivotArea dataOnly="0" labelOnly="1" outline="0" fieldPosition="0">
        <references count="3">
          <reference field="12" count="1" selected="0">
            <x v="0"/>
          </reference>
          <reference field="17" count="2">
            <x v="3"/>
            <x v="4"/>
          </reference>
          <reference field="18" count="1" selected="0">
            <x v="3"/>
          </reference>
        </references>
      </pivotArea>
    </format>
    <format dxfId="2596">
      <pivotArea dataOnly="0" labelOnly="1" outline="0" fieldPosition="0">
        <references count="3">
          <reference field="12" count="1" selected="0">
            <x v="0"/>
          </reference>
          <reference field="17" count="2">
            <x v="5"/>
            <x v="6"/>
          </reference>
          <reference field="18" count="1" selected="0">
            <x v="4"/>
          </reference>
        </references>
      </pivotArea>
    </format>
    <format dxfId="2597">
      <pivotArea dataOnly="0" labelOnly="1" outline="0" fieldPosition="0">
        <references count="3">
          <reference field="12" count="1" selected="0">
            <x v="0"/>
          </reference>
          <reference field="17" count="2">
            <x v="7"/>
            <x v="8"/>
          </reference>
          <reference field="18" count="1" selected="0">
            <x v="5"/>
          </reference>
        </references>
      </pivotArea>
    </format>
    <format dxfId="2598">
      <pivotArea dataOnly="0" labelOnly="1" outline="0" fieldPosition="0">
        <references count="3">
          <reference field="12" count="1" selected="0">
            <x v="0"/>
          </reference>
          <reference field="17" count="4">
            <x v="11"/>
            <x v="12"/>
            <x v="13"/>
            <x v="17"/>
          </reference>
          <reference field="18" count="1" selected="0">
            <x v="6"/>
          </reference>
        </references>
      </pivotArea>
    </format>
    <format dxfId="2599">
      <pivotArea dataOnly="0" labelOnly="1" outline="0" fieldPosition="0">
        <references count="3">
          <reference field="12" count="1" selected="0">
            <x v="0"/>
          </reference>
          <reference field="17" count="3">
            <x v="14"/>
            <x v="15"/>
            <x v="16"/>
          </reference>
          <reference field="18" count="1" selected="0">
            <x v="7"/>
          </reference>
        </references>
      </pivotArea>
    </format>
    <format dxfId="2600">
      <pivotArea dataOnly="0" labelOnly="1" outline="0" fieldPosition="0">
        <references count="3">
          <reference field="12" count="1" selected="0">
            <x v="0"/>
          </reference>
          <reference field="17" count="2">
            <x v="18"/>
            <x v="19"/>
          </reference>
          <reference field="18" count="1" selected="0">
            <x v="8"/>
          </reference>
        </references>
      </pivotArea>
    </format>
    <format dxfId="2601">
      <pivotArea dataOnly="0" labelOnly="1" outline="0" fieldPosition="0">
        <references count="3">
          <reference field="12" count="1" selected="0">
            <x v="0"/>
          </reference>
          <reference field="17" count="2">
            <x v="20"/>
            <x v="21"/>
          </reference>
          <reference field="18" count="1" selected="0">
            <x v="9"/>
          </reference>
        </references>
      </pivotArea>
    </format>
    <format dxfId="2602">
      <pivotArea dataOnly="0" labelOnly="1" outline="0" fieldPosition="0">
        <references count="3">
          <reference field="12" count="1" selected="0">
            <x v="0"/>
          </reference>
          <reference field="17" count="6">
            <x v="22"/>
            <x v="23"/>
            <x v="24"/>
            <x v="25"/>
            <x v="26"/>
            <x v="27"/>
          </reference>
          <reference field="18" count="1" selected="0">
            <x v="10"/>
          </reference>
        </references>
      </pivotArea>
    </format>
    <format dxfId="2603">
      <pivotArea dataOnly="0" labelOnly="1" outline="0" fieldPosition="0">
        <references count="3">
          <reference field="12" count="1" selected="0">
            <x v="1"/>
          </reference>
          <reference field="17" count="4">
            <x v="28"/>
            <x v="37"/>
            <x v="41"/>
            <x v="45"/>
          </reference>
          <reference field="18" count="1" selected="0">
            <x v="11"/>
          </reference>
        </references>
      </pivotArea>
    </format>
    <format dxfId="2604">
      <pivotArea dataOnly="0" labelOnly="1" outline="0" fieldPosition="0">
        <references count="3">
          <reference field="12" count="1" selected="0">
            <x v="1"/>
          </reference>
          <reference field="17" count="3">
            <x v="29"/>
            <x v="42"/>
            <x v="46"/>
          </reference>
          <reference field="18" count="1" selected="0">
            <x v="12"/>
          </reference>
        </references>
      </pivotArea>
    </format>
    <format dxfId="2605">
      <pivotArea dataOnly="0" labelOnly="1" outline="0" fieldPosition="0">
        <references count="3">
          <reference field="12" count="1" selected="0">
            <x v="1"/>
          </reference>
          <reference field="17" count="9">
            <x v="31"/>
            <x v="32"/>
            <x v="33"/>
            <x v="34"/>
            <x v="35"/>
            <x v="38"/>
            <x v="39"/>
            <x v="43"/>
            <x v="47"/>
          </reference>
          <reference field="18" count="1" selected="0">
            <x v="13"/>
          </reference>
        </references>
      </pivotArea>
    </format>
    <format dxfId="2606">
      <pivotArea dataOnly="0" labelOnly="1" outline="0" fieldPosition="0">
        <references count="3">
          <reference field="12" count="1" selected="0">
            <x v="1"/>
          </reference>
          <reference field="17" count="1">
            <x v="31"/>
          </reference>
          <reference field="18" count="1" selected="0">
            <x v="14"/>
          </reference>
        </references>
      </pivotArea>
    </format>
    <format dxfId="2607">
      <pivotArea dataOnly="0" labelOnly="1" outline="0" fieldPosition="0">
        <references count="3">
          <reference field="12" count="1" selected="0">
            <x v="1"/>
          </reference>
          <reference field="17" count="6">
            <x v="36"/>
            <x v="40"/>
            <x v="44"/>
            <x v="48"/>
            <x v="52"/>
            <x v="53"/>
          </reference>
          <reference field="18" count="1" selected="0">
            <x v="15"/>
          </reference>
        </references>
      </pivotArea>
    </format>
    <format dxfId="2608">
      <pivotArea dataOnly="0" labelOnly="1" outline="0" fieldPosition="0">
        <references count="3">
          <reference field="12" count="1" selected="0">
            <x v="1"/>
          </reference>
          <reference field="17" count="3">
            <x v="49"/>
            <x v="50"/>
            <x v="51"/>
          </reference>
          <reference field="18" count="1" selected="0">
            <x v="16"/>
          </reference>
        </references>
      </pivotArea>
    </format>
    <format dxfId="2609">
      <pivotArea dataOnly="0" labelOnly="1" outline="0" fieldPosition="0">
        <references count="3">
          <reference field="12" count="1" selected="0">
            <x v="1"/>
          </reference>
          <reference field="17" count="1">
            <x v="75"/>
          </reference>
          <reference field="18" count="1" selected="0">
            <x v="25"/>
          </reference>
        </references>
      </pivotArea>
    </format>
    <format dxfId="2610">
      <pivotArea dataOnly="0" labelOnly="1" outline="0" fieldPosition="0">
        <references count="3">
          <reference field="12" count="1" selected="0">
            <x v="2"/>
          </reference>
          <reference field="17" count="1">
            <x v="77"/>
          </reference>
          <reference field="18" count="1" selected="0">
            <x v="26"/>
          </reference>
        </references>
      </pivotArea>
    </format>
    <format dxfId="2611">
      <pivotArea dataOnly="0" labelOnly="1" outline="0" fieldPosition="0">
        <references count="3">
          <reference field="12" count="1" selected="0">
            <x v="3"/>
          </reference>
          <reference field="17" count="6">
            <x v="55"/>
            <x v="56"/>
            <x v="57"/>
            <x v="58"/>
            <x v="59"/>
            <x v="60"/>
          </reference>
          <reference field="18" count="1" selected="0">
            <x v="18"/>
          </reference>
        </references>
      </pivotArea>
    </format>
    <format dxfId="2612">
      <pivotArea dataOnly="0" labelOnly="1" outline="0" fieldPosition="0">
        <references count="3">
          <reference field="12" count="1" selected="0">
            <x v="3"/>
          </reference>
          <reference field="17" count="2">
            <x v="61"/>
            <x v="64"/>
          </reference>
          <reference field="18" count="1" selected="0">
            <x v="19"/>
          </reference>
        </references>
      </pivotArea>
    </format>
    <format dxfId="2613">
      <pivotArea dataOnly="0" labelOnly="1" outline="0" fieldPosition="0">
        <references count="3">
          <reference field="12" count="1" selected="0">
            <x v="3"/>
          </reference>
          <reference field="17" count="2">
            <x v="62"/>
            <x v="65"/>
          </reference>
          <reference field="18" count="1" selected="0">
            <x v="20"/>
          </reference>
        </references>
      </pivotArea>
    </format>
    <format dxfId="2614">
      <pivotArea dataOnly="0" labelOnly="1" outline="0" fieldPosition="0">
        <references count="3">
          <reference field="12" count="1" selected="0">
            <x v="3"/>
          </reference>
          <reference field="17" count="1">
            <x v="63"/>
          </reference>
          <reference field="18" count="1" selected="0">
            <x v="21"/>
          </reference>
        </references>
      </pivotArea>
    </format>
    <format dxfId="2615">
      <pivotArea dataOnly="0" labelOnly="1" outline="0" fieldPosition="0">
        <references count="3">
          <reference field="12" count="1" selected="0">
            <x v="4"/>
          </reference>
          <reference field="17" count="2">
            <x v="66"/>
            <x v="67"/>
          </reference>
          <reference field="18" count="1" selected="0">
            <x v="22"/>
          </reference>
        </references>
      </pivotArea>
    </format>
    <format dxfId="2616">
      <pivotArea dataOnly="0" labelOnly="1" outline="0" fieldPosition="0">
        <references count="3">
          <reference field="12" count="1" selected="0">
            <x v="4"/>
          </reference>
          <reference field="17" count="2">
            <x v="72"/>
            <x v="73"/>
          </reference>
          <reference field="18" count="1" selected="0">
            <x v="24"/>
          </reference>
        </references>
      </pivotArea>
    </format>
    <format dxfId="2617">
      <pivotArea dataOnly="0" labelOnly="1" outline="0" fieldPosition="0">
        <references count="3">
          <reference field="12" count="1" selected="0">
            <x v="5"/>
          </reference>
          <reference field="17" count="4">
            <x v="68"/>
            <x v="69"/>
            <x v="70"/>
            <x v="71"/>
          </reference>
          <reference field="18" count="1" selected="0">
            <x v="23"/>
          </reference>
        </references>
      </pivotArea>
    </format>
    <format dxfId="2618">
      <pivotArea dataOnly="0" labelOnly="1" outline="0" fieldPosition="0">
        <references count="1">
          <reference field="35" count="1">
            <x v="0"/>
          </reference>
        </references>
      </pivotArea>
    </format>
    <format dxfId="2619">
      <pivotArea dataOnly="0" labelOnly="1" outline="0" fieldPosition="0">
        <references count="2">
          <reference field="4294967294" count="1" selected="0">
            <x v="0"/>
          </reference>
          <reference field="35" count="1" defaultSubtotal="1">
            <x v="0"/>
          </reference>
        </references>
      </pivotArea>
    </format>
    <format dxfId="2620">
      <pivotArea dataOnly="0" labelOnly="1" outline="0" fieldPosition="0">
        <references count="2">
          <reference field="4294967294" count="1" selected="0">
            <x v="1"/>
          </reference>
          <reference field="35" count="1" defaultSubtotal="1">
            <x v="0"/>
          </reference>
        </references>
      </pivotArea>
    </format>
    <format dxfId="2621">
      <pivotArea dataOnly="0" labelOnly="1" outline="0" fieldPosition="0">
        <references count="2">
          <reference field="4294967294" count="1" selected="0">
            <x v="2"/>
          </reference>
          <reference field="35" count="1" defaultSubtotal="1">
            <x v="0"/>
          </reference>
        </references>
      </pivotArea>
    </format>
    <format dxfId="2622">
      <pivotArea dataOnly="0" labelOnly="1" outline="0" fieldPosition="0">
        <references count="2">
          <reference field="4294967294" count="1" selected="0">
            <x v="3"/>
          </reference>
          <reference field="35" count="1" defaultSubtotal="1">
            <x v="0"/>
          </reference>
        </references>
      </pivotArea>
    </format>
    <format dxfId="2623">
      <pivotArea dataOnly="0" labelOnly="1" outline="0" fieldPosition="0">
        <references count="2">
          <reference field="4294967294" count="1" selected="0">
            <x v="4"/>
          </reference>
          <reference field="35" count="1" defaultSubtotal="1">
            <x v="0"/>
          </reference>
        </references>
      </pivotArea>
    </format>
    <format dxfId="2624">
      <pivotArea dataOnly="0" labelOnly="1" outline="0" fieldPosition="0">
        <references count="2">
          <reference field="4294967294" count="1" selected="0">
            <x v="5"/>
          </reference>
          <reference field="35" count="1" defaultSubtotal="1">
            <x v="0"/>
          </reference>
        </references>
      </pivotArea>
    </format>
    <format dxfId="2625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626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627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628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629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630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631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632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633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634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635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636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637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638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639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640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641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642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643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644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645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646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647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648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649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650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651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652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653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654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655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656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657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658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659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660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661">
      <pivotArea dataOnly="0" labelOnly="1" outline="0" fieldPosition="0">
        <references count="2">
          <reference field="33" count="4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662">
      <pivotArea dataOnly="0" labelOnly="1" outline="0" fieldPosition="0">
        <references count="3">
          <reference field="4294967294" count="1" selected="0">
            <x v="0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663">
      <pivotArea dataOnly="0" labelOnly="1" outline="0" fieldPosition="0">
        <references count="3">
          <reference field="4294967294" count="1" selected="0">
            <x v="1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664">
      <pivotArea dataOnly="0" labelOnly="1" outline="0" fieldPosition="0">
        <references count="3">
          <reference field="4294967294" count="1" selected="0">
            <x v="2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665">
      <pivotArea dataOnly="0" labelOnly="1" outline="0" fieldPosition="0">
        <references count="3">
          <reference field="4294967294" count="1" selected="0">
            <x v="3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666">
      <pivotArea dataOnly="0" labelOnly="1" outline="0" fieldPosition="0">
        <references count="3">
          <reference field="4294967294" count="1" selected="0">
            <x v="4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667">
      <pivotArea dataOnly="0" labelOnly="1" outline="0" fieldPosition="0">
        <references count="3">
          <reference field="4294967294" count="1" selected="0">
            <x v="5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2668">
      <pivotArea dataOnly="0" labelOnly="1" outline="0" fieldPosition="0">
        <references count="3">
          <reference field="32" count="3">
            <x v="0"/>
            <x v="1"/>
            <x v="2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669">
      <pivotArea dataOnly="0" labelOnly="1" outline="0" fieldPosition="0">
        <references count="3">
          <reference field="32" count="3">
            <x v="3"/>
            <x v="4"/>
            <x v="5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670">
      <pivotArea dataOnly="0" labelOnly="1" outline="0" fieldPosition="0">
        <references count="3">
          <reference field="32" count="3">
            <x v="6"/>
            <x v="7"/>
            <x v="8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671">
      <pivotArea dataOnly="0" labelOnly="1" outline="0" fieldPosition="0">
        <references count="3">
          <reference field="32" count="3">
            <x v="9"/>
            <x v="10"/>
            <x v="11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672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0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673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674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2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675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3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676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4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677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5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678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6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679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7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680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8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681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9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682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0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683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1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684">
      <pivotArea field="12" type="button" dataOnly="0" labelOnly="1" outline="0" fieldPosition="0"/>
    </format>
    <format dxfId="2685">
      <pivotArea dataOnly="0" labelOnly="1" outline="0" fieldPosition="0">
        <references count="1">
          <reference field="1" count="0"/>
        </references>
      </pivotArea>
    </format>
    <format dxfId="2686">
      <pivotArea dataOnly="0" labelOnly="1" outline="0" fieldPosition="0">
        <references count="1">
          <reference field="1" count="0"/>
        </references>
      </pivotArea>
    </format>
    <format dxfId="2687">
      <pivotArea field="12" type="button" dataOnly="0" labelOnly="1" outline="0" fieldPosition="0"/>
    </format>
    <format dxfId="2688">
      <pivotArea field="18" type="button" dataOnly="0" labelOnly="1" outline="0" fieldPosition="0"/>
    </format>
    <format dxfId="2689">
      <pivotArea field="17" type="button" dataOnly="0" labelOnly="1" outline="0" fieldPosition="0"/>
    </format>
    <format dxfId="2690">
      <pivotArea dataOnly="0" labelOnly="1" outline="0" fieldPosition="0">
        <references count="2">
          <reference field="4294967294" count="1" selected="0">
            <x v="0"/>
          </reference>
          <reference field="35" count="1" defaultSubtotal="1">
            <x v="0"/>
          </reference>
        </references>
      </pivotArea>
    </format>
    <format dxfId="2691">
      <pivotArea dataOnly="0" labelOnly="1" outline="0" fieldPosition="0">
        <references count="2">
          <reference field="4294967294" count="1" selected="0">
            <x v="1"/>
          </reference>
          <reference field="35" count="0" defaultSubtotal="1"/>
        </references>
      </pivotArea>
    </format>
    <format dxfId="2692">
      <pivotArea dataOnly="0" labelOnly="1" outline="0" fieldPosition="0">
        <references count="2">
          <reference field="4294967294" count="1" selected="0">
            <x v="2"/>
          </reference>
          <reference field="35" count="0" defaultSubtotal="1"/>
        </references>
      </pivotArea>
    </format>
    <format dxfId="2693">
      <pivotArea dataOnly="0" labelOnly="1" outline="0" fieldPosition="0">
        <references count="2">
          <reference field="4294967294" count="1" selected="0">
            <x v="3"/>
          </reference>
          <reference field="35" count="0" defaultSubtotal="1"/>
        </references>
      </pivotArea>
    </format>
    <format dxfId="2694">
      <pivotArea dataOnly="0" labelOnly="1" outline="0" fieldPosition="0">
        <references count="2">
          <reference field="4294967294" count="1" selected="0">
            <x v="4"/>
          </reference>
          <reference field="35" count="0" defaultSubtotal="1"/>
        </references>
      </pivotArea>
    </format>
    <format dxfId="2695">
      <pivotArea dataOnly="0" labelOnly="1" outline="0" fieldPosition="0">
        <references count="2">
          <reference field="4294967294" count="1" selected="0">
            <x v="5"/>
          </reference>
          <reference field="35" count="0" defaultSubtotal="1"/>
        </references>
      </pivotArea>
    </format>
    <format dxfId="2696">
      <pivotArea dataOnly="0" labelOnly="1" outline="0" fieldPosition="0">
        <references count="2">
          <reference field="4294967294" count="1" selected="0">
            <x v="0"/>
          </reference>
          <reference field="35" count="0" defaultSubtotal="1"/>
        </references>
      </pivotArea>
    </format>
    <format dxfId="2697">
      <pivotArea dataOnly="0" labelOnly="1" outline="0" fieldPosition="0">
        <references count="2">
          <reference field="4294967294" count="1" selected="0">
            <x v="1"/>
          </reference>
          <reference field="35" count="1" defaultSubtotal="1">
            <x v="0"/>
          </reference>
        </references>
      </pivotArea>
    </format>
    <format dxfId="2698">
      <pivotArea dataOnly="0" labelOnly="1" outline="0" fieldPosition="0">
        <references count="2">
          <reference field="4294967294" count="1" selected="0">
            <x v="2"/>
          </reference>
          <reference field="35" count="0" defaultSubtotal="1"/>
        </references>
      </pivotArea>
    </format>
    <format dxfId="2699">
      <pivotArea dataOnly="0" labelOnly="1" outline="0" fieldPosition="0">
        <references count="2">
          <reference field="4294967294" count="1" selected="0">
            <x v="3"/>
          </reference>
          <reference field="35" count="0" defaultSubtotal="1"/>
        </references>
      </pivotArea>
    </format>
    <format dxfId="2700">
      <pivotArea dataOnly="0" labelOnly="1" outline="0" fieldPosition="0">
        <references count="2">
          <reference field="4294967294" count="1" selected="0">
            <x v="4"/>
          </reference>
          <reference field="35" count="0" defaultSubtotal="1"/>
        </references>
      </pivotArea>
    </format>
    <format dxfId="2701">
      <pivotArea dataOnly="0" labelOnly="1" outline="0" fieldPosition="0">
        <references count="2">
          <reference field="4294967294" count="1" selected="0">
            <x v="5"/>
          </reference>
          <reference field="35" count="0" defaultSubtotal="1"/>
        </references>
      </pivotArea>
    </format>
    <format dxfId="2702">
      <pivotArea dataOnly="0" labelOnly="1" outline="0" fieldPosition="0">
        <references count="2">
          <reference field="4294967294" count="1" selected="0">
            <x v="0"/>
          </reference>
          <reference field="35" count="0" defaultSubtotal="1"/>
        </references>
      </pivotArea>
    </format>
    <format dxfId="2703">
      <pivotArea dataOnly="0" labelOnly="1" outline="0" fieldPosition="0">
        <references count="2">
          <reference field="4294967294" count="1" selected="0">
            <x v="1"/>
          </reference>
          <reference field="35" count="0" defaultSubtotal="1"/>
        </references>
      </pivotArea>
    </format>
    <format dxfId="2704">
      <pivotArea dataOnly="0" labelOnly="1" outline="0" fieldPosition="0">
        <references count="2">
          <reference field="4294967294" count="1" selected="0">
            <x v="2"/>
          </reference>
          <reference field="35" count="1" defaultSubtotal="1">
            <x v="0"/>
          </reference>
        </references>
      </pivotArea>
    </format>
    <format dxfId="2705">
      <pivotArea dataOnly="0" labelOnly="1" outline="0" fieldPosition="0">
        <references count="2">
          <reference field="4294967294" count="1" selected="0">
            <x v="3"/>
          </reference>
          <reference field="35" count="0" defaultSubtotal="1"/>
        </references>
      </pivotArea>
    </format>
    <format dxfId="2706">
      <pivotArea dataOnly="0" labelOnly="1" outline="0" fieldPosition="0">
        <references count="2">
          <reference field="4294967294" count="1" selected="0">
            <x v="4"/>
          </reference>
          <reference field="35" count="0" defaultSubtotal="1"/>
        </references>
      </pivotArea>
    </format>
    <format dxfId="2707">
      <pivotArea dataOnly="0" labelOnly="1" outline="0" fieldPosition="0">
        <references count="2">
          <reference field="4294967294" count="1" selected="0">
            <x v="5"/>
          </reference>
          <reference field="35" count="0" defaultSubtotal="1"/>
        </references>
      </pivotArea>
    </format>
    <format dxfId="2708">
      <pivotArea dataOnly="0" labelOnly="1" outline="0" fieldPosition="0">
        <references count="2">
          <reference field="4294967294" count="1" selected="0">
            <x v="0"/>
          </reference>
          <reference field="35" count="0" defaultSubtotal="1"/>
        </references>
      </pivotArea>
    </format>
    <format dxfId="2709">
      <pivotArea dataOnly="0" labelOnly="1" outline="0" fieldPosition="0">
        <references count="2">
          <reference field="4294967294" count="1" selected="0">
            <x v="1"/>
          </reference>
          <reference field="35" count="0" defaultSubtotal="1"/>
        </references>
      </pivotArea>
    </format>
    <format dxfId="2710">
      <pivotArea dataOnly="0" labelOnly="1" outline="0" fieldPosition="0">
        <references count="2">
          <reference field="4294967294" count="1" selected="0">
            <x v="2"/>
          </reference>
          <reference field="35" count="0" defaultSubtotal="1"/>
        </references>
      </pivotArea>
    </format>
    <format dxfId="2711">
      <pivotArea dataOnly="0" labelOnly="1" outline="0" fieldPosition="0">
        <references count="2">
          <reference field="4294967294" count="1" selected="0">
            <x v="3"/>
          </reference>
          <reference field="35" count="1" defaultSubtotal="1">
            <x v="0"/>
          </reference>
        </references>
      </pivotArea>
    </format>
    <format dxfId="2712">
      <pivotArea dataOnly="0" labelOnly="1" outline="0" fieldPosition="0">
        <references count="2">
          <reference field="4294967294" count="1" selected="0">
            <x v="4"/>
          </reference>
          <reference field="35" count="0" defaultSubtotal="1"/>
        </references>
      </pivotArea>
    </format>
    <format dxfId="2713">
      <pivotArea dataOnly="0" labelOnly="1" outline="0" fieldPosition="0">
        <references count="2">
          <reference field="4294967294" count="1" selected="0">
            <x v="5"/>
          </reference>
          <reference field="35" count="0" defaultSubtotal="1"/>
        </references>
      </pivotArea>
    </format>
    <format dxfId="2714">
      <pivotArea dataOnly="0" labelOnly="1" outline="0" fieldPosition="0">
        <references count="2">
          <reference field="4294967294" count="1" selected="0">
            <x v="0"/>
          </reference>
          <reference field="35" count="0" defaultSubtotal="1"/>
        </references>
      </pivotArea>
    </format>
    <format dxfId="2715">
      <pivotArea dataOnly="0" labelOnly="1" outline="0" fieldPosition="0">
        <references count="2">
          <reference field="4294967294" count="1" selected="0">
            <x v="1"/>
          </reference>
          <reference field="35" count="0" defaultSubtotal="1"/>
        </references>
      </pivotArea>
    </format>
    <format dxfId="2716">
      <pivotArea dataOnly="0" labelOnly="1" outline="0" fieldPosition="0">
        <references count="2">
          <reference field="4294967294" count="1" selected="0">
            <x v="2"/>
          </reference>
          <reference field="35" count="0" defaultSubtotal="1"/>
        </references>
      </pivotArea>
    </format>
    <format dxfId="2717">
      <pivotArea dataOnly="0" labelOnly="1" outline="0" fieldPosition="0">
        <references count="2">
          <reference field="4294967294" count="1" selected="0">
            <x v="3"/>
          </reference>
          <reference field="35" count="0" defaultSubtotal="1"/>
        </references>
      </pivotArea>
    </format>
    <format dxfId="2718">
      <pivotArea dataOnly="0" labelOnly="1" outline="0" fieldPosition="0">
        <references count="2">
          <reference field="4294967294" count="1" selected="0">
            <x v="4"/>
          </reference>
          <reference field="35" count="1" defaultSubtotal="1">
            <x v="0"/>
          </reference>
        </references>
      </pivotArea>
    </format>
    <format dxfId="2719">
      <pivotArea dataOnly="0" labelOnly="1" outline="0" fieldPosition="0">
        <references count="2">
          <reference field="4294967294" count="1" selected="0">
            <x v="5"/>
          </reference>
          <reference field="35" count="0" defaultSubtotal="1"/>
        </references>
      </pivotArea>
    </format>
    <format dxfId="2720">
      <pivotArea dataOnly="0" labelOnly="1" outline="0" fieldPosition="0">
        <references count="2">
          <reference field="4294967294" count="1" selected="0">
            <x v="0"/>
          </reference>
          <reference field="35" count="0" defaultSubtotal="1"/>
        </references>
      </pivotArea>
    </format>
    <format dxfId="2721">
      <pivotArea dataOnly="0" labelOnly="1" outline="0" fieldPosition="0">
        <references count="2">
          <reference field="4294967294" count="1" selected="0">
            <x v="1"/>
          </reference>
          <reference field="35" count="0" defaultSubtotal="1"/>
        </references>
      </pivotArea>
    </format>
    <format dxfId="2722">
      <pivotArea dataOnly="0" labelOnly="1" outline="0" fieldPosition="0">
        <references count="2">
          <reference field="4294967294" count="1" selected="0">
            <x v="2"/>
          </reference>
          <reference field="35" count="0" defaultSubtotal="1"/>
        </references>
      </pivotArea>
    </format>
    <format dxfId="2723">
      <pivotArea dataOnly="0" labelOnly="1" outline="0" fieldPosition="0">
        <references count="2">
          <reference field="4294967294" count="1" selected="0">
            <x v="3"/>
          </reference>
          <reference field="35" count="0" defaultSubtotal="1"/>
        </references>
      </pivotArea>
    </format>
    <format dxfId="2724">
      <pivotArea dataOnly="0" labelOnly="1" outline="0" fieldPosition="0">
        <references count="2">
          <reference field="4294967294" count="1" selected="0">
            <x v="4"/>
          </reference>
          <reference field="35" count="0" defaultSubtotal="1"/>
        </references>
      </pivotArea>
    </format>
    <format dxfId="2725">
      <pivotArea dataOnly="0" labelOnly="1" outline="0" fieldPosition="0">
        <references count="2">
          <reference field="4294967294" count="1" selected="0">
            <x v="5"/>
          </reference>
          <reference field="35" count="1" defaultSubtotal="1">
            <x v="0"/>
          </reference>
        </references>
      </pivotArea>
    </format>
    <format dxfId="2726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727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728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729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730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731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732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733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734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735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736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737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738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739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740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741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742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743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744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745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746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747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748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749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750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751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752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753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754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755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756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757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758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759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760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761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762">
      <pivotArea dataOnly="0" labelOnly="1" outline="0" fieldPosition="0">
        <references count="3">
          <reference field="4294967294" count="1" selected="0">
            <x v="0"/>
          </reference>
          <reference field="33" count="1" defaultSubtotal="1">
            <x v="0"/>
          </reference>
          <reference field="35" count="1" selected="0">
            <x v="0"/>
          </reference>
        </references>
      </pivotArea>
    </format>
    <format dxfId="2763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2764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2765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2766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2767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2768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2769">
      <pivotArea dataOnly="0" labelOnly="1" outline="0" fieldPosition="0">
        <references count="3">
          <reference field="4294967294" count="1" selected="0">
            <x v="1"/>
          </reference>
          <reference field="33" count="1" defaultSubtotal="1">
            <x v="0"/>
          </reference>
          <reference field="35" count="1" selected="0">
            <x v="0"/>
          </reference>
        </references>
      </pivotArea>
    </format>
    <format dxfId="2770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2771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2772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2773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2774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2775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2776">
      <pivotArea dataOnly="0" labelOnly="1" outline="0" fieldPosition="0">
        <references count="3">
          <reference field="4294967294" count="1" selected="0">
            <x v="2"/>
          </reference>
          <reference field="33" count="1" defaultSubtotal="1">
            <x v="0"/>
          </reference>
          <reference field="35" count="1" selected="0">
            <x v="0"/>
          </reference>
        </references>
      </pivotArea>
    </format>
    <format dxfId="2777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2778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2779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2780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2781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2782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2783">
      <pivotArea dataOnly="0" labelOnly="1" outline="0" fieldPosition="0">
        <references count="3">
          <reference field="4294967294" count="1" selected="0">
            <x v="3"/>
          </reference>
          <reference field="33" count="1" defaultSubtotal="1">
            <x v="0"/>
          </reference>
          <reference field="35" count="1" selected="0">
            <x v="0"/>
          </reference>
        </references>
      </pivotArea>
    </format>
    <format dxfId="2784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2785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2786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2787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2788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2789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2790">
      <pivotArea dataOnly="0" labelOnly="1" outline="0" fieldPosition="0">
        <references count="3">
          <reference field="4294967294" count="1" selected="0">
            <x v="4"/>
          </reference>
          <reference field="33" count="1" defaultSubtotal="1">
            <x v="0"/>
          </reference>
          <reference field="35" count="1" selected="0">
            <x v="0"/>
          </reference>
        </references>
      </pivotArea>
    </format>
    <format dxfId="2791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2792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2793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2794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2795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2796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2797">
      <pivotArea dataOnly="0" labelOnly="1" outline="0" fieldPosition="0">
        <references count="3">
          <reference field="4294967294" count="1" selected="0">
            <x v="5"/>
          </reference>
          <reference field="33" count="1" defaultSubtotal="1">
            <x v="0"/>
          </reference>
          <reference field="35" count="1" selected="0">
            <x v="0"/>
          </reference>
        </references>
      </pivotArea>
    </format>
    <format dxfId="2798">
      <pivotArea dataOnly="0" labelOnly="1" outline="0" fieldPosition="0">
        <references count="3">
          <reference field="4294967294" count="1" selected="0">
            <x v="0"/>
          </reference>
          <reference field="33" count="1" defaultSubtotal="1">
            <x v="2"/>
          </reference>
          <reference field="35" count="1" selected="0">
            <x v="0"/>
          </reference>
        </references>
      </pivotArea>
    </format>
    <format dxfId="2799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2800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2801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2802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2803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2804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2805">
      <pivotArea dataOnly="0" labelOnly="1" outline="0" fieldPosition="0">
        <references count="3">
          <reference field="4294967294" count="1" selected="0">
            <x v="1"/>
          </reference>
          <reference field="33" count="1" defaultSubtotal="1">
            <x v="2"/>
          </reference>
          <reference field="35" count="1" selected="0">
            <x v="0"/>
          </reference>
        </references>
      </pivotArea>
    </format>
    <format dxfId="2806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2807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2808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2809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2810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2811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2812">
      <pivotArea dataOnly="0" labelOnly="1" outline="0" fieldPosition="0">
        <references count="3">
          <reference field="4294967294" count="1" selected="0">
            <x v="2"/>
          </reference>
          <reference field="33" count="1" defaultSubtotal="1">
            <x v="2"/>
          </reference>
          <reference field="35" count="1" selected="0">
            <x v="0"/>
          </reference>
        </references>
      </pivotArea>
    </format>
    <format dxfId="2813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2814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2815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2816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2817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2818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2819">
      <pivotArea dataOnly="0" labelOnly="1" outline="0" fieldPosition="0">
        <references count="3">
          <reference field="4294967294" count="1" selected="0">
            <x v="3"/>
          </reference>
          <reference field="33" count="1" defaultSubtotal="1">
            <x v="2"/>
          </reference>
          <reference field="35" count="1" selected="0">
            <x v="0"/>
          </reference>
        </references>
      </pivotArea>
    </format>
    <format dxfId="2820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2821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2822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2823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2824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2825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2826">
      <pivotArea dataOnly="0" labelOnly="1" outline="0" fieldPosition="0">
        <references count="3">
          <reference field="4294967294" count="1" selected="0">
            <x v="4"/>
          </reference>
          <reference field="33" count="1" defaultSubtotal="1">
            <x v="2"/>
          </reference>
          <reference field="35" count="1" selected="0">
            <x v="0"/>
          </reference>
        </references>
      </pivotArea>
    </format>
    <format dxfId="2827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2828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2829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2830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2831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2832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2833">
      <pivotArea dataOnly="0" labelOnly="1" outline="0" fieldPosition="0">
        <references count="3">
          <reference field="4294967294" count="1" selected="0">
            <x v="5"/>
          </reference>
          <reference field="33" count="1" defaultSubtotal="1">
            <x v="2"/>
          </reference>
          <reference field="35" count="1" selected="0">
            <x v="0"/>
          </reference>
        </references>
      </pivotArea>
    </format>
    <format dxfId="2834">
      <pivotArea dataOnly="0" labelOnly="1" outline="0" fieldPosition="0">
        <references count="3">
          <reference field="4294967294" count="1" selected="0">
            <x v="0"/>
          </reference>
          <reference field="33" count="1" defaultSubtotal="1">
            <x v="3"/>
          </reference>
          <reference field="35" count="1" selected="0">
            <x v="0"/>
          </reference>
        </references>
      </pivotArea>
    </format>
    <format dxfId="2835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2836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2837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2838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2839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2840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2841">
      <pivotArea dataOnly="0" labelOnly="1" outline="0" fieldPosition="0">
        <references count="3">
          <reference field="4294967294" count="1" selected="0">
            <x v="1"/>
          </reference>
          <reference field="33" count="1" defaultSubtotal="1">
            <x v="3"/>
          </reference>
          <reference field="35" count="1" selected="0">
            <x v="0"/>
          </reference>
        </references>
      </pivotArea>
    </format>
    <format dxfId="2842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2843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2844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2845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2846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2847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2848">
      <pivotArea dataOnly="0" labelOnly="1" outline="0" fieldPosition="0">
        <references count="3">
          <reference field="4294967294" count="1" selected="0">
            <x v="2"/>
          </reference>
          <reference field="33" count="1" defaultSubtotal="1">
            <x v="3"/>
          </reference>
          <reference field="35" count="1" selected="0">
            <x v="0"/>
          </reference>
        </references>
      </pivotArea>
    </format>
    <format dxfId="2849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2850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2851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2852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2853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2854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2855">
      <pivotArea dataOnly="0" labelOnly="1" outline="0" fieldPosition="0">
        <references count="3">
          <reference field="4294967294" count="1" selected="0">
            <x v="3"/>
          </reference>
          <reference field="33" count="1" defaultSubtotal="1">
            <x v="3"/>
          </reference>
          <reference field="35" count="1" selected="0">
            <x v="0"/>
          </reference>
        </references>
      </pivotArea>
    </format>
    <format dxfId="2856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2857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2858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2859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2860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2861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2862">
      <pivotArea dataOnly="0" labelOnly="1" outline="0" fieldPosition="0">
        <references count="3">
          <reference field="4294967294" count="1" selected="0">
            <x v="4"/>
          </reference>
          <reference field="33" count="1" defaultSubtotal="1">
            <x v="3"/>
          </reference>
          <reference field="35" count="1" selected="0">
            <x v="0"/>
          </reference>
        </references>
      </pivotArea>
    </format>
    <format dxfId="2863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2864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2865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2866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2867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2868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2869">
      <pivotArea dataOnly="0" labelOnly="1" outline="0" fieldPosition="0">
        <references count="3">
          <reference field="4294967294" count="1" selected="0">
            <x v="5"/>
          </reference>
          <reference field="33" count="1" defaultSubtotal="1">
            <x v="3"/>
          </reference>
          <reference field="35" count="1" selected="0">
            <x v="0"/>
          </reference>
        </references>
      </pivotArea>
    </format>
    <format dxfId="2870">
      <pivotArea dataOnly="0" labelOnly="1" outline="0" fieldPosition="0">
        <references count="3">
          <reference field="4294967294" count="1" selected="0">
            <x v="0"/>
          </reference>
          <reference field="33" count="1" defaultSubtotal="1">
            <x v="4"/>
          </reference>
          <reference field="35" count="1" selected="0">
            <x v="0"/>
          </reference>
        </references>
      </pivotArea>
    </format>
    <format dxfId="2871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2872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2873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2874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2875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2876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2877">
      <pivotArea dataOnly="0" labelOnly="1" outline="0" fieldPosition="0">
        <references count="3">
          <reference field="4294967294" count="1" selected="0">
            <x v="1"/>
          </reference>
          <reference field="33" count="1" defaultSubtotal="1">
            <x v="4"/>
          </reference>
          <reference field="35" count="1" selected="0">
            <x v="0"/>
          </reference>
        </references>
      </pivotArea>
    </format>
    <format dxfId="2878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2879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2880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2881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2882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2883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2884">
      <pivotArea dataOnly="0" labelOnly="1" outline="0" fieldPosition="0">
        <references count="3">
          <reference field="4294967294" count="1" selected="0">
            <x v="2"/>
          </reference>
          <reference field="33" count="1" defaultSubtotal="1">
            <x v="4"/>
          </reference>
          <reference field="35" count="1" selected="0">
            <x v="0"/>
          </reference>
        </references>
      </pivotArea>
    </format>
    <format dxfId="2885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2886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2887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2888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2889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2890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2891">
      <pivotArea dataOnly="0" labelOnly="1" outline="0" fieldPosition="0">
        <references count="3">
          <reference field="4294967294" count="1" selected="0">
            <x v="3"/>
          </reference>
          <reference field="33" count="1" defaultSubtotal="1">
            <x v="4"/>
          </reference>
          <reference field="35" count="1" selected="0">
            <x v="0"/>
          </reference>
        </references>
      </pivotArea>
    </format>
    <format dxfId="2892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2893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2894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2895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2896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2897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2898">
      <pivotArea dataOnly="0" labelOnly="1" outline="0" fieldPosition="0">
        <references count="3">
          <reference field="4294967294" count="1" selected="0">
            <x v="4"/>
          </reference>
          <reference field="33" count="1" defaultSubtotal="1">
            <x v="4"/>
          </reference>
          <reference field="35" count="1" selected="0">
            <x v="0"/>
          </reference>
        </references>
      </pivotArea>
    </format>
    <format dxfId="2899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2900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2901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2902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2903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2904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2905">
      <pivotArea dataOnly="0" labelOnly="1" outline="0" fieldPosition="0">
        <references count="3">
          <reference field="4294967294" count="1" selected="0">
            <x v="5"/>
          </reference>
          <reference field="33" count="1" defaultSubtotal="1">
            <x v="4"/>
          </reference>
          <reference field="35" count="1" selected="0">
            <x v="0"/>
          </reference>
        </references>
      </pivotArea>
    </format>
    <format dxfId="2906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0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907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908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2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2909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3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910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4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911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5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2912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6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913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7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914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8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2915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9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916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0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917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1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2918">
      <pivotArea field="12" type="button" dataOnly="0" labelOnly="1" outline="0" fieldPosition="0"/>
    </format>
    <format dxfId="2919">
      <pivotArea field="18" type="button" dataOnly="0" labelOnly="1" outline="0" fieldPosition="0"/>
    </format>
    <format dxfId="2920">
      <pivotArea field="17" type="button" dataOnly="0" labelOnly="1" outline="0" fieldPosition="0"/>
    </format>
    <format dxfId="2921">
      <pivotArea dataOnly="0" labelOnly="1" outline="0" fieldPosition="0">
        <references count="2">
          <reference field="4294967294" count="1" selected="0">
            <x v="0"/>
          </reference>
          <reference field="35" count="1" defaultSubtotal="1">
            <x v="0"/>
          </reference>
        </references>
      </pivotArea>
    </format>
    <format dxfId="2922">
      <pivotArea dataOnly="0" labelOnly="1" outline="0" fieldPosition="0">
        <references count="2">
          <reference field="4294967294" count="1" selected="0">
            <x v="1"/>
          </reference>
          <reference field="35" count="0" defaultSubtotal="1"/>
        </references>
      </pivotArea>
    </format>
    <format dxfId="2923">
      <pivotArea dataOnly="0" labelOnly="1" outline="0" fieldPosition="0">
        <references count="2">
          <reference field="4294967294" count="1" selected="0">
            <x v="2"/>
          </reference>
          <reference field="35" count="0" defaultSubtotal="1"/>
        </references>
      </pivotArea>
    </format>
    <format dxfId="2924">
      <pivotArea dataOnly="0" labelOnly="1" outline="0" fieldPosition="0">
        <references count="2">
          <reference field="4294967294" count="1" selected="0">
            <x v="3"/>
          </reference>
          <reference field="35" count="0" defaultSubtotal="1"/>
        </references>
      </pivotArea>
    </format>
    <format dxfId="2925">
      <pivotArea dataOnly="0" labelOnly="1" outline="0" fieldPosition="0">
        <references count="2">
          <reference field="4294967294" count="1" selected="0">
            <x v="4"/>
          </reference>
          <reference field="35" count="0" defaultSubtotal="1"/>
        </references>
      </pivotArea>
    </format>
    <format dxfId="2926">
      <pivotArea dataOnly="0" labelOnly="1" outline="0" fieldPosition="0">
        <references count="2">
          <reference field="4294967294" count="1" selected="0">
            <x v="5"/>
          </reference>
          <reference field="35" count="0" defaultSubtotal="1"/>
        </references>
      </pivotArea>
    </format>
    <format dxfId="2927">
      <pivotArea dataOnly="0" labelOnly="1" outline="0" fieldPosition="0">
        <references count="2">
          <reference field="4294967294" count="1" selected="0">
            <x v="0"/>
          </reference>
          <reference field="35" count="0" defaultSubtotal="1"/>
        </references>
      </pivotArea>
    </format>
    <format dxfId="2928">
      <pivotArea dataOnly="0" labelOnly="1" outline="0" fieldPosition="0">
        <references count="2">
          <reference field="4294967294" count="1" selected="0">
            <x v="1"/>
          </reference>
          <reference field="35" count="1" defaultSubtotal="1">
            <x v="0"/>
          </reference>
        </references>
      </pivotArea>
    </format>
    <format dxfId="2929">
      <pivotArea dataOnly="0" labelOnly="1" outline="0" fieldPosition="0">
        <references count="2">
          <reference field="4294967294" count="1" selected="0">
            <x v="2"/>
          </reference>
          <reference field="35" count="0" defaultSubtotal="1"/>
        </references>
      </pivotArea>
    </format>
    <format dxfId="2930">
      <pivotArea dataOnly="0" labelOnly="1" outline="0" fieldPosition="0">
        <references count="2">
          <reference field="4294967294" count="1" selected="0">
            <x v="3"/>
          </reference>
          <reference field="35" count="0" defaultSubtotal="1"/>
        </references>
      </pivotArea>
    </format>
    <format dxfId="2931">
      <pivotArea dataOnly="0" labelOnly="1" outline="0" fieldPosition="0">
        <references count="2">
          <reference field="4294967294" count="1" selected="0">
            <x v="4"/>
          </reference>
          <reference field="35" count="0" defaultSubtotal="1"/>
        </references>
      </pivotArea>
    </format>
    <format dxfId="2932">
      <pivotArea dataOnly="0" labelOnly="1" outline="0" fieldPosition="0">
        <references count="2">
          <reference field="4294967294" count="1" selected="0">
            <x v="5"/>
          </reference>
          <reference field="35" count="0" defaultSubtotal="1"/>
        </references>
      </pivotArea>
    </format>
    <format dxfId="2933">
      <pivotArea dataOnly="0" labelOnly="1" outline="0" fieldPosition="0">
        <references count="2">
          <reference field="4294967294" count="1" selected="0">
            <x v="0"/>
          </reference>
          <reference field="35" count="0" defaultSubtotal="1"/>
        </references>
      </pivotArea>
    </format>
    <format dxfId="2934">
      <pivotArea dataOnly="0" labelOnly="1" outline="0" fieldPosition="0">
        <references count="2">
          <reference field="4294967294" count="1" selected="0">
            <x v="1"/>
          </reference>
          <reference field="35" count="0" defaultSubtotal="1"/>
        </references>
      </pivotArea>
    </format>
    <format dxfId="2935">
      <pivotArea dataOnly="0" labelOnly="1" outline="0" fieldPosition="0">
        <references count="2">
          <reference field="4294967294" count="1" selected="0">
            <x v="2"/>
          </reference>
          <reference field="35" count="1" defaultSubtotal="1">
            <x v="0"/>
          </reference>
        </references>
      </pivotArea>
    </format>
    <format dxfId="2936">
      <pivotArea dataOnly="0" labelOnly="1" outline="0" fieldPosition="0">
        <references count="2">
          <reference field="4294967294" count="1" selected="0">
            <x v="3"/>
          </reference>
          <reference field="35" count="0" defaultSubtotal="1"/>
        </references>
      </pivotArea>
    </format>
    <format dxfId="2937">
      <pivotArea dataOnly="0" labelOnly="1" outline="0" fieldPosition="0">
        <references count="2">
          <reference field="4294967294" count="1" selected="0">
            <x v="4"/>
          </reference>
          <reference field="35" count="0" defaultSubtotal="1"/>
        </references>
      </pivotArea>
    </format>
    <format dxfId="2938">
      <pivotArea dataOnly="0" labelOnly="1" outline="0" fieldPosition="0">
        <references count="2">
          <reference field="4294967294" count="1" selected="0">
            <x v="5"/>
          </reference>
          <reference field="35" count="0" defaultSubtotal="1"/>
        </references>
      </pivotArea>
    </format>
    <format dxfId="2939">
      <pivotArea dataOnly="0" labelOnly="1" outline="0" fieldPosition="0">
        <references count="2">
          <reference field="4294967294" count="1" selected="0">
            <x v="0"/>
          </reference>
          <reference field="35" count="0" defaultSubtotal="1"/>
        </references>
      </pivotArea>
    </format>
    <format dxfId="2940">
      <pivotArea dataOnly="0" labelOnly="1" outline="0" fieldPosition="0">
        <references count="2">
          <reference field="4294967294" count="1" selected="0">
            <x v="1"/>
          </reference>
          <reference field="35" count="0" defaultSubtotal="1"/>
        </references>
      </pivotArea>
    </format>
    <format dxfId="2941">
      <pivotArea dataOnly="0" labelOnly="1" outline="0" fieldPosition="0">
        <references count="2">
          <reference field="4294967294" count="1" selected="0">
            <x v="2"/>
          </reference>
          <reference field="35" count="0" defaultSubtotal="1"/>
        </references>
      </pivotArea>
    </format>
    <format dxfId="2942">
      <pivotArea dataOnly="0" labelOnly="1" outline="0" fieldPosition="0">
        <references count="2">
          <reference field="4294967294" count="1" selected="0">
            <x v="3"/>
          </reference>
          <reference field="35" count="1" defaultSubtotal="1">
            <x v="0"/>
          </reference>
        </references>
      </pivotArea>
    </format>
    <format dxfId="2943">
      <pivotArea dataOnly="0" labelOnly="1" outline="0" fieldPosition="0">
        <references count="2">
          <reference field="4294967294" count="1" selected="0">
            <x v="4"/>
          </reference>
          <reference field="35" count="0" defaultSubtotal="1"/>
        </references>
      </pivotArea>
    </format>
    <format dxfId="2944">
      <pivotArea dataOnly="0" labelOnly="1" outline="0" fieldPosition="0">
        <references count="2">
          <reference field="4294967294" count="1" selected="0">
            <x v="5"/>
          </reference>
          <reference field="35" count="0" defaultSubtotal="1"/>
        </references>
      </pivotArea>
    </format>
    <format dxfId="2945">
      <pivotArea dataOnly="0" labelOnly="1" outline="0" fieldPosition="0">
        <references count="2">
          <reference field="4294967294" count="1" selected="0">
            <x v="0"/>
          </reference>
          <reference field="35" count="0" defaultSubtotal="1"/>
        </references>
      </pivotArea>
    </format>
    <format dxfId="2946">
      <pivotArea dataOnly="0" labelOnly="1" outline="0" fieldPosition="0">
        <references count="2">
          <reference field="4294967294" count="1" selected="0">
            <x v="1"/>
          </reference>
          <reference field="35" count="0" defaultSubtotal="1"/>
        </references>
      </pivotArea>
    </format>
    <format dxfId="2947">
      <pivotArea dataOnly="0" labelOnly="1" outline="0" fieldPosition="0">
        <references count="2">
          <reference field="4294967294" count="1" selected="0">
            <x v="2"/>
          </reference>
          <reference field="35" count="0" defaultSubtotal="1"/>
        </references>
      </pivotArea>
    </format>
    <format dxfId="2948">
      <pivotArea dataOnly="0" labelOnly="1" outline="0" fieldPosition="0">
        <references count="2">
          <reference field="4294967294" count="1" selected="0">
            <x v="3"/>
          </reference>
          <reference field="35" count="0" defaultSubtotal="1"/>
        </references>
      </pivotArea>
    </format>
    <format dxfId="2949">
      <pivotArea dataOnly="0" labelOnly="1" outline="0" fieldPosition="0">
        <references count="2">
          <reference field="4294967294" count="1" selected="0">
            <x v="4"/>
          </reference>
          <reference field="35" count="1" defaultSubtotal="1">
            <x v="0"/>
          </reference>
        </references>
      </pivotArea>
    </format>
    <format dxfId="2950">
      <pivotArea dataOnly="0" labelOnly="1" outline="0" fieldPosition="0">
        <references count="2">
          <reference field="4294967294" count="1" selected="0">
            <x v="5"/>
          </reference>
          <reference field="35" count="0" defaultSubtotal="1"/>
        </references>
      </pivotArea>
    </format>
    <format dxfId="2951">
      <pivotArea dataOnly="0" labelOnly="1" outline="0" fieldPosition="0">
        <references count="2">
          <reference field="4294967294" count="1" selected="0">
            <x v="0"/>
          </reference>
          <reference field="35" count="0" defaultSubtotal="1"/>
        </references>
      </pivotArea>
    </format>
    <format dxfId="2952">
      <pivotArea dataOnly="0" labelOnly="1" outline="0" fieldPosition="0">
        <references count="2">
          <reference field="4294967294" count="1" selected="0">
            <x v="1"/>
          </reference>
          <reference field="35" count="0" defaultSubtotal="1"/>
        </references>
      </pivotArea>
    </format>
    <format dxfId="2953">
      <pivotArea dataOnly="0" labelOnly="1" outline="0" fieldPosition="0">
        <references count="2">
          <reference field="4294967294" count="1" selected="0">
            <x v="2"/>
          </reference>
          <reference field="35" count="0" defaultSubtotal="1"/>
        </references>
      </pivotArea>
    </format>
    <format dxfId="2954">
      <pivotArea dataOnly="0" labelOnly="1" outline="0" fieldPosition="0">
        <references count="2">
          <reference field="4294967294" count="1" selected="0">
            <x v="3"/>
          </reference>
          <reference field="35" count="0" defaultSubtotal="1"/>
        </references>
      </pivotArea>
    </format>
    <format dxfId="2955">
      <pivotArea dataOnly="0" labelOnly="1" outline="0" fieldPosition="0">
        <references count="2">
          <reference field="4294967294" count="1" selected="0">
            <x v="4"/>
          </reference>
          <reference field="35" count="0" defaultSubtotal="1"/>
        </references>
      </pivotArea>
    </format>
    <format dxfId="2956">
      <pivotArea dataOnly="0" labelOnly="1" outline="0" fieldPosition="0">
        <references count="2">
          <reference field="4294967294" count="1" selected="0">
            <x v="5"/>
          </reference>
          <reference field="35" count="1" defaultSubtotal="1">
            <x v="0"/>
          </reference>
        </references>
      </pivotArea>
    </format>
    <format dxfId="2957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958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959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960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961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962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963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964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965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966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967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968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969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970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971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972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973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974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975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976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977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978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979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980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981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982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983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984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985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986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987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988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989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990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2991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2992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2993">
      <pivotArea dataOnly="0" labelOnly="1" outline="0" fieldPosition="0">
        <references count="3">
          <reference field="4294967294" count="1" selected="0">
            <x v="0"/>
          </reference>
          <reference field="33" count="1" defaultSubtotal="1">
            <x v="0"/>
          </reference>
          <reference field="35" count="1" selected="0">
            <x v="0"/>
          </reference>
        </references>
      </pivotArea>
    </format>
    <format dxfId="2994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2995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2996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2997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2998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2999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000">
      <pivotArea dataOnly="0" labelOnly="1" outline="0" fieldPosition="0">
        <references count="3">
          <reference field="4294967294" count="1" selected="0">
            <x v="1"/>
          </reference>
          <reference field="33" count="1" defaultSubtotal="1">
            <x v="0"/>
          </reference>
          <reference field="35" count="1" selected="0">
            <x v="0"/>
          </reference>
        </references>
      </pivotArea>
    </format>
    <format dxfId="3001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002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003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004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005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006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007">
      <pivotArea dataOnly="0" labelOnly="1" outline="0" fieldPosition="0">
        <references count="3">
          <reference field="4294967294" count="1" selected="0">
            <x v="2"/>
          </reference>
          <reference field="33" count="1" defaultSubtotal="1">
            <x v="0"/>
          </reference>
          <reference field="35" count="1" selected="0">
            <x v="0"/>
          </reference>
        </references>
      </pivotArea>
    </format>
    <format dxfId="3008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009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010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011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012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013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014">
      <pivotArea dataOnly="0" labelOnly="1" outline="0" fieldPosition="0">
        <references count="3">
          <reference field="4294967294" count="1" selected="0">
            <x v="3"/>
          </reference>
          <reference field="33" count="1" defaultSubtotal="1">
            <x v="0"/>
          </reference>
          <reference field="35" count="1" selected="0">
            <x v="0"/>
          </reference>
        </references>
      </pivotArea>
    </format>
    <format dxfId="3015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016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017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018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019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020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021">
      <pivotArea dataOnly="0" labelOnly="1" outline="0" fieldPosition="0">
        <references count="3">
          <reference field="4294967294" count="1" selected="0">
            <x v="4"/>
          </reference>
          <reference field="33" count="1" defaultSubtotal="1">
            <x v="0"/>
          </reference>
          <reference field="35" count="1" selected="0">
            <x v="0"/>
          </reference>
        </references>
      </pivotArea>
    </format>
    <format dxfId="3022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023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024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025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026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027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028">
      <pivotArea dataOnly="0" labelOnly="1" outline="0" fieldPosition="0">
        <references count="3">
          <reference field="4294967294" count="1" selected="0">
            <x v="5"/>
          </reference>
          <reference field="33" count="1" defaultSubtotal="1">
            <x v="0"/>
          </reference>
          <reference field="35" count="1" selected="0">
            <x v="0"/>
          </reference>
        </references>
      </pivotArea>
    </format>
    <format dxfId="3029">
      <pivotArea dataOnly="0" labelOnly="1" outline="0" fieldPosition="0">
        <references count="3">
          <reference field="4294967294" count="1" selected="0">
            <x v="0"/>
          </reference>
          <reference field="33" count="1" defaultSubtotal="1">
            <x v="2"/>
          </reference>
          <reference field="35" count="1" selected="0">
            <x v="0"/>
          </reference>
        </references>
      </pivotArea>
    </format>
    <format dxfId="3030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031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032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033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034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035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036">
      <pivotArea dataOnly="0" labelOnly="1" outline="0" fieldPosition="0">
        <references count="3">
          <reference field="4294967294" count="1" selected="0">
            <x v="1"/>
          </reference>
          <reference field="33" count="1" defaultSubtotal="1">
            <x v="2"/>
          </reference>
          <reference field="35" count="1" selected="0">
            <x v="0"/>
          </reference>
        </references>
      </pivotArea>
    </format>
    <format dxfId="3037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038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039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040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041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042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043">
      <pivotArea dataOnly="0" labelOnly="1" outline="0" fieldPosition="0">
        <references count="3">
          <reference field="4294967294" count="1" selected="0">
            <x v="2"/>
          </reference>
          <reference field="33" count="1" defaultSubtotal="1">
            <x v="2"/>
          </reference>
          <reference field="35" count="1" selected="0">
            <x v="0"/>
          </reference>
        </references>
      </pivotArea>
    </format>
    <format dxfId="3044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045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046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047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048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049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050">
      <pivotArea dataOnly="0" labelOnly="1" outline="0" fieldPosition="0">
        <references count="3">
          <reference field="4294967294" count="1" selected="0">
            <x v="3"/>
          </reference>
          <reference field="33" count="1" defaultSubtotal="1">
            <x v="2"/>
          </reference>
          <reference field="35" count="1" selected="0">
            <x v="0"/>
          </reference>
        </references>
      </pivotArea>
    </format>
    <format dxfId="3051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052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053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054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055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056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057">
      <pivotArea dataOnly="0" labelOnly="1" outline="0" fieldPosition="0">
        <references count="3">
          <reference field="4294967294" count="1" selected="0">
            <x v="4"/>
          </reference>
          <reference field="33" count="1" defaultSubtotal="1">
            <x v="2"/>
          </reference>
          <reference field="35" count="1" selected="0">
            <x v="0"/>
          </reference>
        </references>
      </pivotArea>
    </format>
    <format dxfId="3058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059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060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061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062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063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064">
      <pivotArea dataOnly="0" labelOnly="1" outline="0" fieldPosition="0">
        <references count="3">
          <reference field="4294967294" count="1" selected="0">
            <x v="5"/>
          </reference>
          <reference field="33" count="1" defaultSubtotal="1">
            <x v="2"/>
          </reference>
          <reference field="35" count="1" selected="0">
            <x v="0"/>
          </reference>
        </references>
      </pivotArea>
    </format>
    <format dxfId="3065">
      <pivotArea dataOnly="0" labelOnly="1" outline="0" fieldPosition="0">
        <references count="3">
          <reference field="4294967294" count="1" selected="0">
            <x v="0"/>
          </reference>
          <reference field="33" count="1" defaultSubtotal="1">
            <x v="3"/>
          </reference>
          <reference field="35" count="1" selected="0">
            <x v="0"/>
          </reference>
        </references>
      </pivotArea>
    </format>
    <format dxfId="3066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067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068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069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070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071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072">
      <pivotArea dataOnly="0" labelOnly="1" outline="0" fieldPosition="0">
        <references count="3">
          <reference field="4294967294" count="1" selected="0">
            <x v="1"/>
          </reference>
          <reference field="33" count="1" defaultSubtotal="1">
            <x v="3"/>
          </reference>
          <reference field="35" count="1" selected="0">
            <x v="0"/>
          </reference>
        </references>
      </pivotArea>
    </format>
    <format dxfId="3073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074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075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076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077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078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079">
      <pivotArea dataOnly="0" labelOnly="1" outline="0" fieldPosition="0">
        <references count="3">
          <reference field="4294967294" count="1" selected="0">
            <x v="2"/>
          </reference>
          <reference field="33" count="1" defaultSubtotal="1">
            <x v="3"/>
          </reference>
          <reference field="35" count="1" selected="0">
            <x v="0"/>
          </reference>
        </references>
      </pivotArea>
    </format>
    <format dxfId="3080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081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082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083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084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085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086">
      <pivotArea dataOnly="0" labelOnly="1" outline="0" fieldPosition="0">
        <references count="3">
          <reference field="4294967294" count="1" selected="0">
            <x v="3"/>
          </reference>
          <reference field="33" count="1" defaultSubtotal="1">
            <x v="3"/>
          </reference>
          <reference field="35" count="1" selected="0">
            <x v="0"/>
          </reference>
        </references>
      </pivotArea>
    </format>
    <format dxfId="3087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088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089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090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091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092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093">
      <pivotArea dataOnly="0" labelOnly="1" outline="0" fieldPosition="0">
        <references count="3">
          <reference field="4294967294" count="1" selected="0">
            <x v="4"/>
          </reference>
          <reference field="33" count="1" defaultSubtotal="1">
            <x v="3"/>
          </reference>
          <reference field="35" count="1" selected="0">
            <x v="0"/>
          </reference>
        </references>
      </pivotArea>
    </format>
    <format dxfId="3094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095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096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097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098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099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100">
      <pivotArea dataOnly="0" labelOnly="1" outline="0" fieldPosition="0">
        <references count="3">
          <reference field="4294967294" count="1" selected="0">
            <x v="5"/>
          </reference>
          <reference field="33" count="1" defaultSubtotal="1">
            <x v="3"/>
          </reference>
          <reference field="35" count="1" selected="0">
            <x v="0"/>
          </reference>
        </references>
      </pivotArea>
    </format>
    <format dxfId="3101">
      <pivotArea dataOnly="0" labelOnly="1" outline="0" fieldPosition="0">
        <references count="3">
          <reference field="4294967294" count="1" selected="0">
            <x v="0"/>
          </reference>
          <reference field="33" count="1" defaultSubtotal="1">
            <x v="4"/>
          </reference>
          <reference field="35" count="1" selected="0">
            <x v="0"/>
          </reference>
        </references>
      </pivotArea>
    </format>
    <format dxfId="3102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103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104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105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106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107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108">
      <pivotArea dataOnly="0" labelOnly="1" outline="0" fieldPosition="0">
        <references count="3">
          <reference field="4294967294" count="1" selected="0">
            <x v="1"/>
          </reference>
          <reference field="33" count="1" defaultSubtotal="1">
            <x v="4"/>
          </reference>
          <reference field="35" count="1" selected="0">
            <x v="0"/>
          </reference>
        </references>
      </pivotArea>
    </format>
    <format dxfId="3109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110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111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112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113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114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115">
      <pivotArea dataOnly="0" labelOnly="1" outline="0" fieldPosition="0">
        <references count="3">
          <reference field="4294967294" count="1" selected="0">
            <x v="2"/>
          </reference>
          <reference field="33" count="1" defaultSubtotal="1">
            <x v="4"/>
          </reference>
          <reference field="35" count="1" selected="0">
            <x v="0"/>
          </reference>
        </references>
      </pivotArea>
    </format>
    <format dxfId="3116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117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118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119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120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121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122">
      <pivotArea dataOnly="0" labelOnly="1" outline="0" fieldPosition="0">
        <references count="3">
          <reference field="4294967294" count="1" selected="0">
            <x v="3"/>
          </reference>
          <reference field="33" count="1" defaultSubtotal="1">
            <x v="4"/>
          </reference>
          <reference field="35" count="1" selected="0">
            <x v="0"/>
          </reference>
        </references>
      </pivotArea>
    </format>
    <format dxfId="3123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124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125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126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127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128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129">
      <pivotArea dataOnly="0" labelOnly="1" outline="0" fieldPosition="0">
        <references count="3">
          <reference field="4294967294" count="1" selected="0">
            <x v="4"/>
          </reference>
          <reference field="33" count="1" defaultSubtotal="1">
            <x v="4"/>
          </reference>
          <reference field="35" count="1" selected="0">
            <x v="0"/>
          </reference>
        </references>
      </pivotArea>
    </format>
    <format dxfId="3130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131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132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133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134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135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136">
      <pivotArea dataOnly="0" labelOnly="1" outline="0" fieldPosition="0">
        <references count="3">
          <reference field="4294967294" count="1" selected="0">
            <x v="5"/>
          </reference>
          <reference field="33" count="1" defaultSubtotal="1">
            <x v="4"/>
          </reference>
          <reference field="35" count="1" selected="0">
            <x v="0"/>
          </reference>
        </references>
      </pivotArea>
    </format>
    <format dxfId="3137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0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3138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3139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2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3140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3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3141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4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3142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5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3143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6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3144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7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3145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8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3146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9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3147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0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3148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1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3149">
      <pivotArea field="12" type="button" dataOnly="0" labelOnly="1" outline="0" fieldPosition="0"/>
    </format>
    <format dxfId="3150">
      <pivotArea field="18" type="button" dataOnly="0" labelOnly="1" outline="0" fieldPosition="0"/>
    </format>
    <format dxfId="3151">
      <pivotArea field="17" type="button" dataOnly="0" labelOnly="1" outline="0" fieldPosition="0"/>
    </format>
    <format dxfId="3152">
      <pivotArea dataOnly="0" labelOnly="1" outline="0" fieldPosition="0">
        <references count="2">
          <reference field="4294967294" count="1" selected="0">
            <x v="0"/>
          </reference>
          <reference field="35" count="1" defaultSubtotal="1">
            <x v="0"/>
          </reference>
        </references>
      </pivotArea>
    </format>
    <format dxfId="3153">
      <pivotArea dataOnly="0" labelOnly="1" outline="0" fieldPosition="0">
        <references count="2">
          <reference field="4294967294" count="1" selected="0">
            <x v="1"/>
          </reference>
          <reference field="35" count="0" defaultSubtotal="1"/>
        </references>
      </pivotArea>
    </format>
    <format dxfId="3154">
      <pivotArea dataOnly="0" labelOnly="1" outline="0" fieldPosition="0">
        <references count="2">
          <reference field="4294967294" count="1" selected="0">
            <x v="2"/>
          </reference>
          <reference field="35" count="0" defaultSubtotal="1"/>
        </references>
      </pivotArea>
    </format>
    <format dxfId="3155">
      <pivotArea dataOnly="0" labelOnly="1" outline="0" fieldPosition="0">
        <references count="2">
          <reference field="4294967294" count="1" selected="0">
            <x v="3"/>
          </reference>
          <reference field="35" count="0" defaultSubtotal="1"/>
        </references>
      </pivotArea>
    </format>
    <format dxfId="3156">
      <pivotArea dataOnly="0" labelOnly="1" outline="0" fieldPosition="0">
        <references count="2">
          <reference field="4294967294" count="1" selected="0">
            <x v="4"/>
          </reference>
          <reference field="35" count="0" defaultSubtotal="1"/>
        </references>
      </pivotArea>
    </format>
    <format dxfId="3157">
      <pivotArea dataOnly="0" labelOnly="1" outline="0" fieldPosition="0">
        <references count="2">
          <reference field="4294967294" count="1" selected="0">
            <x v="5"/>
          </reference>
          <reference field="35" count="0" defaultSubtotal="1"/>
        </references>
      </pivotArea>
    </format>
    <format dxfId="3158">
      <pivotArea dataOnly="0" labelOnly="1" outline="0" fieldPosition="0">
        <references count="2">
          <reference field="4294967294" count="1" selected="0">
            <x v="0"/>
          </reference>
          <reference field="35" count="0" defaultSubtotal="1"/>
        </references>
      </pivotArea>
    </format>
    <format dxfId="3159">
      <pivotArea dataOnly="0" labelOnly="1" outline="0" fieldPosition="0">
        <references count="2">
          <reference field="4294967294" count="1" selected="0">
            <x v="1"/>
          </reference>
          <reference field="35" count="1" defaultSubtotal="1">
            <x v="0"/>
          </reference>
        </references>
      </pivotArea>
    </format>
    <format dxfId="3160">
      <pivotArea dataOnly="0" labelOnly="1" outline="0" fieldPosition="0">
        <references count="2">
          <reference field="4294967294" count="1" selected="0">
            <x v="2"/>
          </reference>
          <reference field="35" count="0" defaultSubtotal="1"/>
        </references>
      </pivotArea>
    </format>
    <format dxfId="3161">
      <pivotArea dataOnly="0" labelOnly="1" outline="0" fieldPosition="0">
        <references count="2">
          <reference field="4294967294" count="1" selected="0">
            <x v="3"/>
          </reference>
          <reference field="35" count="0" defaultSubtotal="1"/>
        </references>
      </pivotArea>
    </format>
    <format dxfId="3162">
      <pivotArea dataOnly="0" labelOnly="1" outline="0" fieldPosition="0">
        <references count="2">
          <reference field="4294967294" count="1" selected="0">
            <x v="4"/>
          </reference>
          <reference field="35" count="0" defaultSubtotal="1"/>
        </references>
      </pivotArea>
    </format>
    <format dxfId="3163">
      <pivotArea dataOnly="0" labelOnly="1" outline="0" fieldPosition="0">
        <references count="2">
          <reference field="4294967294" count="1" selected="0">
            <x v="5"/>
          </reference>
          <reference field="35" count="0" defaultSubtotal="1"/>
        </references>
      </pivotArea>
    </format>
    <format dxfId="3164">
      <pivotArea dataOnly="0" labelOnly="1" outline="0" fieldPosition="0">
        <references count="2">
          <reference field="4294967294" count="1" selected="0">
            <x v="0"/>
          </reference>
          <reference field="35" count="0" defaultSubtotal="1"/>
        </references>
      </pivotArea>
    </format>
    <format dxfId="3165">
      <pivotArea dataOnly="0" labelOnly="1" outline="0" fieldPosition="0">
        <references count="2">
          <reference field="4294967294" count="1" selected="0">
            <x v="1"/>
          </reference>
          <reference field="35" count="0" defaultSubtotal="1"/>
        </references>
      </pivotArea>
    </format>
    <format dxfId="3166">
      <pivotArea dataOnly="0" labelOnly="1" outline="0" fieldPosition="0">
        <references count="2">
          <reference field="4294967294" count="1" selected="0">
            <x v="2"/>
          </reference>
          <reference field="35" count="1" defaultSubtotal="1">
            <x v="0"/>
          </reference>
        </references>
      </pivotArea>
    </format>
    <format dxfId="3167">
      <pivotArea dataOnly="0" labelOnly="1" outline="0" fieldPosition="0">
        <references count="2">
          <reference field="4294967294" count="1" selected="0">
            <x v="3"/>
          </reference>
          <reference field="35" count="0" defaultSubtotal="1"/>
        </references>
      </pivotArea>
    </format>
    <format dxfId="3168">
      <pivotArea dataOnly="0" labelOnly="1" outline="0" fieldPosition="0">
        <references count="2">
          <reference field="4294967294" count="1" selected="0">
            <x v="4"/>
          </reference>
          <reference field="35" count="0" defaultSubtotal="1"/>
        </references>
      </pivotArea>
    </format>
    <format dxfId="3169">
      <pivotArea dataOnly="0" labelOnly="1" outline="0" fieldPosition="0">
        <references count="2">
          <reference field="4294967294" count="1" selected="0">
            <x v="5"/>
          </reference>
          <reference field="35" count="0" defaultSubtotal="1"/>
        </references>
      </pivotArea>
    </format>
    <format dxfId="3170">
      <pivotArea dataOnly="0" labelOnly="1" outline="0" fieldPosition="0">
        <references count="2">
          <reference field="4294967294" count="1" selected="0">
            <x v="0"/>
          </reference>
          <reference field="35" count="0" defaultSubtotal="1"/>
        </references>
      </pivotArea>
    </format>
    <format dxfId="3171">
      <pivotArea dataOnly="0" labelOnly="1" outline="0" fieldPosition="0">
        <references count="2">
          <reference field="4294967294" count="1" selected="0">
            <x v="1"/>
          </reference>
          <reference field="35" count="0" defaultSubtotal="1"/>
        </references>
      </pivotArea>
    </format>
    <format dxfId="3172">
      <pivotArea dataOnly="0" labelOnly="1" outline="0" fieldPosition="0">
        <references count="2">
          <reference field="4294967294" count="1" selected="0">
            <x v="2"/>
          </reference>
          <reference field="35" count="0" defaultSubtotal="1"/>
        </references>
      </pivotArea>
    </format>
    <format dxfId="3173">
      <pivotArea dataOnly="0" labelOnly="1" outline="0" fieldPosition="0">
        <references count="2">
          <reference field="4294967294" count="1" selected="0">
            <x v="3"/>
          </reference>
          <reference field="35" count="1" defaultSubtotal="1">
            <x v="0"/>
          </reference>
        </references>
      </pivotArea>
    </format>
    <format dxfId="3174">
      <pivotArea dataOnly="0" labelOnly="1" outline="0" fieldPosition="0">
        <references count="2">
          <reference field="4294967294" count="1" selected="0">
            <x v="4"/>
          </reference>
          <reference field="35" count="0" defaultSubtotal="1"/>
        </references>
      </pivotArea>
    </format>
    <format dxfId="3175">
      <pivotArea dataOnly="0" labelOnly="1" outline="0" fieldPosition="0">
        <references count="2">
          <reference field="4294967294" count="1" selected="0">
            <x v="5"/>
          </reference>
          <reference field="35" count="0" defaultSubtotal="1"/>
        </references>
      </pivotArea>
    </format>
    <format dxfId="3176">
      <pivotArea dataOnly="0" labelOnly="1" outline="0" fieldPosition="0">
        <references count="2">
          <reference field="4294967294" count="1" selected="0">
            <x v="0"/>
          </reference>
          <reference field="35" count="0" defaultSubtotal="1"/>
        </references>
      </pivotArea>
    </format>
    <format dxfId="3177">
      <pivotArea dataOnly="0" labelOnly="1" outline="0" fieldPosition="0">
        <references count="2">
          <reference field="4294967294" count="1" selected="0">
            <x v="1"/>
          </reference>
          <reference field="35" count="0" defaultSubtotal="1"/>
        </references>
      </pivotArea>
    </format>
    <format dxfId="3178">
      <pivotArea dataOnly="0" labelOnly="1" outline="0" fieldPosition="0">
        <references count="2">
          <reference field="4294967294" count="1" selected="0">
            <x v="2"/>
          </reference>
          <reference field="35" count="0" defaultSubtotal="1"/>
        </references>
      </pivotArea>
    </format>
    <format dxfId="3179">
      <pivotArea dataOnly="0" labelOnly="1" outline="0" fieldPosition="0">
        <references count="2">
          <reference field="4294967294" count="1" selected="0">
            <x v="3"/>
          </reference>
          <reference field="35" count="0" defaultSubtotal="1"/>
        </references>
      </pivotArea>
    </format>
    <format dxfId="3180">
      <pivotArea dataOnly="0" labelOnly="1" outline="0" fieldPosition="0">
        <references count="2">
          <reference field="4294967294" count="1" selected="0">
            <x v="4"/>
          </reference>
          <reference field="35" count="1" defaultSubtotal="1">
            <x v="0"/>
          </reference>
        </references>
      </pivotArea>
    </format>
    <format dxfId="3181">
      <pivotArea dataOnly="0" labelOnly="1" outline="0" fieldPosition="0">
        <references count="2">
          <reference field="4294967294" count="1" selected="0">
            <x v="5"/>
          </reference>
          <reference field="35" count="0" defaultSubtotal="1"/>
        </references>
      </pivotArea>
    </format>
    <format dxfId="3182">
      <pivotArea dataOnly="0" labelOnly="1" outline="0" fieldPosition="0">
        <references count="2">
          <reference field="4294967294" count="1" selected="0">
            <x v="0"/>
          </reference>
          <reference field="35" count="0" defaultSubtotal="1"/>
        </references>
      </pivotArea>
    </format>
    <format dxfId="3183">
      <pivotArea dataOnly="0" labelOnly="1" outline="0" fieldPosition="0">
        <references count="2">
          <reference field="4294967294" count="1" selected="0">
            <x v="1"/>
          </reference>
          <reference field="35" count="0" defaultSubtotal="1"/>
        </references>
      </pivotArea>
    </format>
    <format dxfId="3184">
      <pivotArea dataOnly="0" labelOnly="1" outline="0" fieldPosition="0">
        <references count="2">
          <reference field="4294967294" count="1" selected="0">
            <x v="2"/>
          </reference>
          <reference field="35" count="0" defaultSubtotal="1"/>
        </references>
      </pivotArea>
    </format>
    <format dxfId="3185">
      <pivotArea dataOnly="0" labelOnly="1" outline="0" fieldPosition="0">
        <references count="2">
          <reference field="4294967294" count="1" selected="0">
            <x v="3"/>
          </reference>
          <reference field="35" count="0" defaultSubtotal="1"/>
        </references>
      </pivotArea>
    </format>
    <format dxfId="3186">
      <pivotArea dataOnly="0" labelOnly="1" outline="0" fieldPosition="0">
        <references count="2">
          <reference field="4294967294" count="1" selected="0">
            <x v="4"/>
          </reference>
          <reference field="35" count="0" defaultSubtotal="1"/>
        </references>
      </pivotArea>
    </format>
    <format dxfId="3187">
      <pivotArea dataOnly="0" labelOnly="1" outline="0" fieldPosition="0">
        <references count="2">
          <reference field="4294967294" count="1" selected="0">
            <x v="5"/>
          </reference>
          <reference field="35" count="1" defaultSubtotal="1">
            <x v="0"/>
          </reference>
        </references>
      </pivotArea>
    </format>
    <format dxfId="3188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189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190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191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192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193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194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195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196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197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198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199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200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201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202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203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204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205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206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207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208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209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210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211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212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213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214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215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216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217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218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219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220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221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222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223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224">
      <pivotArea dataOnly="0" labelOnly="1" outline="0" fieldPosition="0">
        <references count="3">
          <reference field="4294967294" count="1" selected="0">
            <x v="0"/>
          </reference>
          <reference field="33" count="1" defaultSubtotal="1">
            <x v="0"/>
          </reference>
          <reference field="35" count="1" selected="0">
            <x v="0"/>
          </reference>
        </references>
      </pivotArea>
    </format>
    <format dxfId="3225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226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227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228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229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230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231">
      <pivotArea dataOnly="0" labelOnly="1" outline="0" fieldPosition="0">
        <references count="3">
          <reference field="4294967294" count="1" selected="0">
            <x v="1"/>
          </reference>
          <reference field="33" count="1" defaultSubtotal="1">
            <x v="0"/>
          </reference>
          <reference field="35" count="1" selected="0">
            <x v="0"/>
          </reference>
        </references>
      </pivotArea>
    </format>
    <format dxfId="3232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233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234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235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236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237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238">
      <pivotArea dataOnly="0" labelOnly="1" outline="0" fieldPosition="0">
        <references count="3">
          <reference field="4294967294" count="1" selected="0">
            <x v="2"/>
          </reference>
          <reference field="33" count="1" defaultSubtotal="1">
            <x v="0"/>
          </reference>
          <reference field="35" count="1" selected="0">
            <x v="0"/>
          </reference>
        </references>
      </pivotArea>
    </format>
    <format dxfId="3239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240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241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242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243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244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245">
      <pivotArea dataOnly="0" labelOnly="1" outline="0" fieldPosition="0">
        <references count="3">
          <reference field="4294967294" count="1" selected="0">
            <x v="3"/>
          </reference>
          <reference field="33" count="1" defaultSubtotal="1">
            <x v="0"/>
          </reference>
          <reference field="35" count="1" selected="0">
            <x v="0"/>
          </reference>
        </references>
      </pivotArea>
    </format>
    <format dxfId="3246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247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248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249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250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251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252">
      <pivotArea dataOnly="0" labelOnly="1" outline="0" fieldPosition="0">
        <references count="3">
          <reference field="4294967294" count="1" selected="0">
            <x v="4"/>
          </reference>
          <reference field="33" count="1" defaultSubtotal="1">
            <x v="0"/>
          </reference>
          <reference field="35" count="1" selected="0">
            <x v="0"/>
          </reference>
        </references>
      </pivotArea>
    </format>
    <format dxfId="3253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254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255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256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257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258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259">
      <pivotArea dataOnly="0" labelOnly="1" outline="0" fieldPosition="0">
        <references count="3">
          <reference field="4294967294" count="1" selected="0">
            <x v="5"/>
          </reference>
          <reference field="33" count="1" defaultSubtotal="1">
            <x v="0"/>
          </reference>
          <reference field="35" count="1" selected="0">
            <x v="0"/>
          </reference>
        </references>
      </pivotArea>
    </format>
    <format dxfId="3260">
      <pivotArea dataOnly="0" labelOnly="1" outline="0" fieldPosition="0">
        <references count="3">
          <reference field="4294967294" count="1" selected="0">
            <x v="0"/>
          </reference>
          <reference field="33" count="1" defaultSubtotal="1">
            <x v="2"/>
          </reference>
          <reference field="35" count="1" selected="0">
            <x v="0"/>
          </reference>
        </references>
      </pivotArea>
    </format>
    <format dxfId="3261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262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263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264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265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266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267">
      <pivotArea dataOnly="0" labelOnly="1" outline="0" fieldPosition="0">
        <references count="3">
          <reference field="4294967294" count="1" selected="0">
            <x v="1"/>
          </reference>
          <reference field="33" count="1" defaultSubtotal="1">
            <x v="2"/>
          </reference>
          <reference field="35" count="1" selected="0">
            <x v="0"/>
          </reference>
        </references>
      </pivotArea>
    </format>
    <format dxfId="3268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269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270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271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272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273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274">
      <pivotArea dataOnly="0" labelOnly="1" outline="0" fieldPosition="0">
        <references count="3">
          <reference field="4294967294" count="1" selected="0">
            <x v="2"/>
          </reference>
          <reference field="33" count="1" defaultSubtotal="1">
            <x v="2"/>
          </reference>
          <reference field="35" count="1" selected="0">
            <x v="0"/>
          </reference>
        </references>
      </pivotArea>
    </format>
    <format dxfId="3275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276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277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278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279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280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281">
      <pivotArea dataOnly="0" labelOnly="1" outline="0" fieldPosition="0">
        <references count="3">
          <reference field="4294967294" count="1" selected="0">
            <x v="3"/>
          </reference>
          <reference field="33" count="1" defaultSubtotal="1">
            <x v="2"/>
          </reference>
          <reference field="35" count="1" selected="0">
            <x v="0"/>
          </reference>
        </references>
      </pivotArea>
    </format>
    <format dxfId="3282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283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284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285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286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287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288">
      <pivotArea dataOnly="0" labelOnly="1" outline="0" fieldPosition="0">
        <references count="3">
          <reference field="4294967294" count="1" selected="0">
            <x v="4"/>
          </reference>
          <reference field="33" count="1" defaultSubtotal="1">
            <x v="2"/>
          </reference>
          <reference field="35" count="1" selected="0">
            <x v="0"/>
          </reference>
        </references>
      </pivotArea>
    </format>
    <format dxfId="3289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290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291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292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293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294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295">
      <pivotArea dataOnly="0" labelOnly="1" outline="0" fieldPosition="0">
        <references count="3">
          <reference field="4294967294" count="1" selected="0">
            <x v="5"/>
          </reference>
          <reference field="33" count="1" defaultSubtotal="1">
            <x v="2"/>
          </reference>
          <reference field="35" count="1" selected="0">
            <x v="0"/>
          </reference>
        </references>
      </pivotArea>
    </format>
    <format dxfId="3296">
      <pivotArea dataOnly="0" labelOnly="1" outline="0" fieldPosition="0">
        <references count="3">
          <reference field="4294967294" count="1" selected="0">
            <x v="0"/>
          </reference>
          <reference field="33" count="1" defaultSubtotal="1">
            <x v="3"/>
          </reference>
          <reference field="35" count="1" selected="0">
            <x v="0"/>
          </reference>
        </references>
      </pivotArea>
    </format>
    <format dxfId="3297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298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299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300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301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302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303">
      <pivotArea dataOnly="0" labelOnly="1" outline="0" fieldPosition="0">
        <references count="3">
          <reference field="4294967294" count="1" selected="0">
            <x v="1"/>
          </reference>
          <reference field="33" count="1" defaultSubtotal="1">
            <x v="3"/>
          </reference>
          <reference field="35" count="1" selected="0">
            <x v="0"/>
          </reference>
        </references>
      </pivotArea>
    </format>
    <format dxfId="3304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305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306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307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308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309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310">
      <pivotArea dataOnly="0" labelOnly="1" outline="0" fieldPosition="0">
        <references count="3">
          <reference field="4294967294" count="1" selected="0">
            <x v="2"/>
          </reference>
          <reference field="33" count="1" defaultSubtotal="1">
            <x v="3"/>
          </reference>
          <reference field="35" count="1" selected="0">
            <x v="0"/>
          </reference>
        </references>
      </pivotArea>
    </format>
    <format dxfId="3311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312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313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314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315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316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317">
      <pivotArea dataOnly="0" labelOnly="1" outline="0" fieldPosition="0">
        <references count="3">
          <reference field="4294967294" count="1" selected="0">
            <x v="3"/>
          </reference>
          <reference field="33" count="1" defaultSubtotal="1">
            <x v="3"/>
          </reference>
          <reference field="35" count="1" selected="0">
            <x v="0"/>
          </reference>
        </references>
      </pivotArea>
    </format>
    <format dxfId="3318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319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320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321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322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323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324">
      <pivotArea dataOnly="0" labelOnly="1" outline="0" fieldPosition="0">
        <references count="3">
          <reference field="4294967294" count="1" selected="0">
            <x v="4"/>
          </reference>
          <reference field="33" count="1" defaultSubtotal="1">
            <x v="3"/>
          </reference>
          <reference field="35" count="1" selected="0">
            <x v="0"/>
          </reference>
        </references>
      </pivotArea>
    </format>
    <format dxfId="3325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326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327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328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329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330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331">
      <pivotArea dataOnly="0" labelOnly="1" outline="0" fieldPosition="0">
        <references count="3">
          <reference field="4294967294" count="1" selected="0">
            <x v="5"/>
          </reference>
          <reference field="33" count="1" defaultSubtotal="1">
            <x v="3"/>
          </reference>
          <reference field="35" count="1" selected="0">
            <x v="0"/>
          </reference>
        </references>
      </pivotArea>
    </format>
    <format dxfId="3332">
      <pivotArea dataOnly="0" labelOnly="1" outline="0" fieldPosition="0">
        <references count="3">
          <reference field="4294967294" count="1" selected="0">
            <x v="0"/>
          </reference>
          <reference field="33" count="1" defaultSubtotal="1">
            <x v="4"/>
          </reference>
          <reference field="35" count="1" selected="0">
            <x v="0"/>
          </reference>
        </references>
      </pivotArea>
    </format>
    <format dxfId="3333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334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335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336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337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338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339">
      <pivotArea dataOnly="0" labelOnly="1" outline="0" fieldPosition="0">
        <references count="3">
          <reference field="4294967294" count="1" selected="0">
            <x v="1"/>
          </reference>
          <reference field="33" count="1" defaultSubtotal="1">
            <x v="4"/>
          </reference>
          <reference field="35" count="1" selected="0">
            <x v="0"/>
          </reference>
        </references>
      </pivotArea>
    </format>
    <format dxfId="3340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341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342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343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344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345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346">
      <pivotArea dataOnly="0" labelOnly="1" outline="0" fieldPosition="0">
        <references count="3">
          <reference field="4294967294" count="1" selected="0">
            <x v="2"/>
          </reference>
          <reference field="33" count="1" defaultSubtotal="1">
            <x v="4"/>
          </reference>
          <reference field="35" count="1" selected="0">
            <x v="0"/>
          </reference>
        </references>
      </pivotArea>
    </format>
    <format dxfId="3347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348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349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350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351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352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353">
      <pivotArea dataOnly="0" labelOnly="1" outline="0" fieldPosition="0">
        <references count="3">
          <reference field="4294967294" count="1" selected="0">
            <x v="3"/>
          </reference>
          <reference field="33" count="1" defaultSubtotal="1">
            <x v="4"/>
          </reference>
          <reference field="35" count="1" selected="0">
            <x v="0"/>
          </reference>
        </references>
      </pivotArea>
    </format>
    <format dxfId="3354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355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356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357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358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359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360">
      <pivotArea dataOnly="0" labelOnly="1" outline="0" fieldPosition="0">
        <references count="3">
          <reference field="4294967294" count="1" selected="0">
            <x v="4"/>
          </reference>
          <reference field="33" count="1" defaultSubtotal="1">
            <x v="4"/>
          </reference>
          <reference field="35" count="1" selected="0">
            <x v="0"/>
          </reference>
        </references>
      </pivotArea>
    </format>
    <format dxfId="3361">
      <pivotArea dataOnly="0" labelOnly="1" outline="0" fieldPosition="0">
        <references count="3">
          <reference field="4294967294" count="1" selected="0">
            <x v="5"/>
          </reference>
          <reference field="33" count="0" defaultSubtotal="1"/>
          <reference field="35" count="1" selected="0">
            <x v="0"/>
          </reference>
        </references>
      </pivotArea>
    </format>
    <format dxfId="3362">
      <pivotArea dataOnly="0" labelOnly="1" outline="0" fieldPosition="0">
        <references count="3">
          <reference field="4294967294" count="1" selected="0">
            <x v="0"/>
          </reference>
          <reference field="33" count="0" defaultSubtotal="1"/>
          <reference field="35" count="1" selected="0">
            <x v="0"/>
          </reference>
        </references>
      </pivotArea>
    </format>
    <format dxfId="3363">
      <pivotArea dataOnly="0" labelOnly="1" outline="0" fieldPosition="0">
        <references count="3">
          <reference field="4294967294" count="1" selected="0">
            <x v="1"/>
          </reference>
          <reference field="33" count="0" defaultSubtotal="1"/>
          <reference field="35" count="1" selected="0">
            <x v="0"/>
          </reference>
        </references>
      </pivotArea>
    </format>
    <format dxfId="3364">
      <pivotArea dataOnly="0" labelOnly="1" outline="0" fieldPosition="0">
        <references count="3">
          <reference field="4294967294" count="1" selected="0">
            <x v="2"/>
          </reference>
          <reference field="33" count="0" defaultSubtotal="1"/>
          <reference field="35" count="1" selected="0">
            <x v="0"/>
          </reference>
        </references>
      </pivotArea>
    </format>
    <format dxfId="3365">
      <pivotArea dataOnly="0" labelOnly="1" outline="0" fieldPosition="0">
        <references count="3">
          <reference field="4294967294" count="1" selected="0">
            <x v="3"/>
          </reference>
          <reference field="33" count="0" defaultSubtotal="1"/>
          <reference field="35" count="1" selected="0">
            <x v="0"/>
          </reference>
        </references>
      </pivotArea>
    </format>
    <format dxfId="3366">
      <pivotArea dataOnly="0" labelOnly="1" outline="0" fieldPosition="0">
        <references count="3">
          <reference field="4294967294" count="1" selected="0">
            <x v="4"/>
          </reference>
          <reference field="33" count="0" defaultSubtotal="1"/>
          <reference field="35" count="1" selected="0">
            <x v="0"/>
          </reference>
        </references>
      </pivotArea>
    </format>
    <format dxfId="3367">
      <pivotArea dataOnly="0" labelOnly="1" outline="0" fieldPosition="0">
        <references count="3">
          <reference field="4294967294" count="1" selected="0">
            <x v="5"/>
          </reference>
          <reference field="33" count="1" defaultSubtotal="1">
            <x v="4"/>
          </reference>
          <reference field="35" count="1" selected="0">
            <x v="0"/>
          </reference>
        </references>
      </pivotArea>
    </format>
    <format dxfId="3368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0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3369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3370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2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3371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3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3372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4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3373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5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3374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6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3375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7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3376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8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3377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9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3378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0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3379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1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3380">
      <pivotArea type="all" dataOnly="0" outline="0" fieldPosition="0"/>
    </format>
    <format dxfId="3381">
      <pivotArea outline="0" collapsedLevelsAreSubtotals="1" fieldPosition="0"/>
    </format>
    <format dxfId="3382">
      <pivotArea type="origin" dataOnly="0" labelOnly="1" outline="0" fieldPosition="0"/>
    </format>
    <format dxfId="3383">
      <pivotArea field="35" type="button" dataOnly="0" labelOnly="1" outline="0" fieldPosition="0"/>
    </format>
    <format dxfId="3384">
      <pivotArea field="33" type="button" dataOnly="0" labelOnly="1" outline="0" fieldPosition="0"/>
    </format>
    <format dxfId="3385">
      <pivotArea field="32" type="button" dataOnly="0" labelOnly="1" outline="0" fieldPosition="0"/>
    </format>
    <format dxfId="3386">
      <pivotArea field="-2" type="button" dataOnly="0" labelOnly="1" outline="0" fieldPosition="0"/>
    </format>
    <format dxfId="3387">
      <pivotArea type="topRight" dataOnly="0" labelOnly="1" outline="0" fieldPosition="0"/>
    </format>
    <format dxfId="3388">
      <pivotArea field="12" type="button" dataOnly="0" labelOnly="1" outline="0" fieldPosition="0"/>
    </format>
    <format dxfId="3389">
      <pivotArea field="18" type="button" dataOnly="0" labelOnly="1" outline="0" fieldPosition="0"/>
    </format>
    <format dxfId="3390">
      <pivotArea field="17" type="button" dataOnly="0" labelOnly="1" outline="0" fieldPosition="0"/>
    </format>
    <format dxfId="3391">
      <pivotArea dataOnly="0" labelOnly="1" outline="0" fieldPosition="0">
        <references count="1">
          <reference field="12" count="0"/>
        </references>
      </pivotArea>
    </format>
    <format dxfId="3392">
      <pivotArea dataOnly="0" labelOnly="1" grandRow="1" outline="0" fieldPosition="0"/>
    </format>
    <format dxfId="3393">
      <pivotArea dataOnly="0" labelOnly="1" outline="0" fieldPosition="0">
        <references count="2">
          <reference field="12" count="1" selected="0">
            <x v="0"/>
          </reference>
          <reference field="18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394">
      <pivotArea dataOnly="0" labelOnly="1" outline="0" fieldPosition="0">
        <references count="2">
          <reference field="12" count="1" selected="0">
            <x v="1"/>
          </reference>
          <reference field="18" count="7">
            <x v="11"/>
            <x v="12"/>
            <x v="13"/>
            <x v="14"/>
            <x v="15"/>
            <x v="16"/>
            <x v="25"/>
          </reference>
        </references>
      </pivotArea>
    </format>
    <format dxfId="3395">
      <pivotArea dataOnly="0" labelOnly="1" outline="0" fieldPosition="0">
        <references count="2">
          <reference field="12" count="1" selected="0">
            <x v="2"/>
          </reference>
          <reference field="18" count="1">
            <x v="26"/>
          </reference>
        </references>
      </pivotArea>
    </format>
    <format dxfId="3396">
      <pivotArea dataOnly="0" labelOnly="1" outline="0" fieldPosition="0">
        <references count="2">
          <reference field="12" count="1" selected="0">
            <x v="3"/>
          </reference>
          <reference field="18" count="4">
            <x v="18"/>
            <x v="19"/>
            <x v="20"/>
            <x v="21"/>
          </reference>
        </references>
      </pivotArea>
    </format>
    <format dxfId="3397">
      <pivotArea dataOnly="0" labelOnly="1" outline="0" fieldPosition="0">
        <references count="2">
          <reference field="12" count="1" selected="0">
            <x v="4"/>
          </reference>
          <reference field="18" count="2">
            <x v="22"/>
            <x v="24"/>
          </reference>
        </references>
      </pivotArea>
    </format>
    <format dxfId="3398">
      <pivotArea dataOnly="0" labelOnly="1" outline="0" fieldPosition="0">
        <references count="2">
          <reference field="12" count="1" selected="0">
            <x v="5"/>
          </reference>
          <reference field="18" count="1">
            <x v="23"/>
          </reference>
        </references>
      </pivotArea>
    </format>
    <format dxfId="3399">
      <pivotArea dataOnly="0" labelOnly="1" outline="0" fieldPosition="0">
        <references count="3">
          <reference field="12" count="1" selected="0">
            <x v="0"/>
          </reference>
          <reference field="17" count="1">
            <x v="1"/>
          </reference>
          <reference field="18" count="1" selected="0">
            <x v="1"/>
          </reference>
        </references>
      </pivotArea>
    </format>
    <format dxfId="3400">
      <pivotArea dataOnly="0" labelOnly="1" outline="0" fieldPosition="0">
        <references count="3">
          <reference field="12" count="1" selected="0">
            <x v="0"/>
          </reference>
          <reference field="17" count="3">
            <x v="2"/>
            <x v="9"/>
            <x v="10"/>
          </reference>
          <reference field="18" count="1" selected="0">
            <x v="2"/>
          </reference>
        </references>
      </pivotArea>
    </format>
    <format dxfId="3401">
      <pivotArea dataOnly="0" labelOnly="1" outline="0" fieldPosition="0">
        <references count="3">
          <reference field="12" count="1" selected="0">
            <x v="0"/>
          </reference>
          <reference field="17" count="2">
            <x v="3"/>
            <x v="4"/>
          </reference>
          <reference field="18" count="1" selected="0">
            <x v="3"/>
          </reference>
        </references>
      </pivotArea>
    </format>
    <format dxfId="3402">
      <pivotArea dataOnly="0" labelOnly="1" outline="0" fieldPosition="0">
        <references count="3">
          <reference field="12" count="1" selected="0">
            <x v="0"/>
          </reference>
          <reference field="17" count="2">
            <x v="5"/>
            <x v="6"/>
          </reference>
          <reference field="18" count="1" selected="0">
            <x v="4"/>
          </reference>
        </references>
      </pivotArea>
    </format>
    <format dxfId="3403">
      <pivotArea dataOnly="0" labelOnly="1" outline="0" fieldPosition="0">
        <references count="3">
          <reference field="12" count="1" selected="0">
            <x v="0"/>
          </reference>
          <reference field="17" count="2">
            <x v="7"/>
            <x v="8"/>
          </reference>
          <reference field="18" count="1" selected="0">
            <x v="5"/>
          </reference>
        </references>
      </pivotArea>
    </format>
    <format dxfId="3404">
      <pivotArea dataOnly="0" labelOnly="1" outline="0" fieldPosition="0">
        <references count="3">
          <reference field="12" count="1" selected="0">
            <x v="0"/>
          </reference>
          <reference field="17" count="4">
            <x v="11"/>
            <x v="12"/>
            <x v="13"/>
            <x v="17"/>
          </reference>
          <reference field="18" count="1" selected="0">
            <x v="6"/>
          </reference>
        </references>
      </pivotArea>
    </format>
    <format dxfId="3405">
      <pivotArea dataOnly="0" labelOnly="1" outline="0" fieldPosition="0">
        <references count="3">
          <reference field="12" count="1" selected="0">
            <x v="0"/>
          </reference>
          <reference field="17" count="3">
            <x v="14"/>
            <x v="15"/>
            <x v="16"/>
          </reference>
          <reference field="18" count="1" selected="0">
            <x v="7"/>
          </reference>
        </references>
      </pivotArea>
    </format>
    <format dxfId="3406">
      <pivotArea dataOnly="0" labelOnly="1" outline="0" fieldPosition="0">
        <references count="3">
          <reference field="12" count="1" selected="0">
            <x v="0"/>
          </reference>
          <reference field="17" count="2">
            <x v="18"/>
            <x v="19"/>
          </reference>
          <reference field="18" count="1" selected="0">
            <x v="8"/>
          </reference>
        </references>
      </pivotArea>
    </format>
    <format dxfId="3407">
      <pivotArea dataOnly="0" labelOnly="1" outline="0" fieldPosition="0">
        <references count="3">
          <reference field="12" count="1" selected="0">
            <x v="0"/>
          </reference>
          <reference field="17" count="2">
            <x v="20"/>
            <x v="21"/>
          </reference>
          <reference field="18" count="1" selected="0">
            <x v="9"/>
          </reference>
        </references>
      </pivotArea>
    </format>
    <format dxfId="3408">
      <pivotArea dataOnly="0" labelOnly="1" outline="0" fieldPosition="0">
        <references count="3">
          <reference field="12" count="1" selected="0">
            <x v="0"/>
          </reference>
          <reference field="17" count="6">
            <x v="22"/>
            <x v="23"/>
            <x v="24"/>
            <x v="25"/>
            <x v="26"/>
            <x v="27"/>
          </reference>
          <reference field="18" count="1" selected="0">
            <x v="10"/>
          </reference>
        </references>
      </pivotArea>
    </format>
    <format dxfId="3409">
      <pivotArea dataOnly="0" labelOnly="1" outline="0" fieldPosition="0">
        <references count="3">
          <reference field="12" count="1" selected="0">
            <x v="1"/>
          </reference>
          <reference field="17" count="4">
            <x v="28"/>
            <x v="37"/>
            <x v="41"/>
            <x v="45"/>
          </reference>
          <reference field="18" count="1" selected="0">
            <x v="11"/>
          </reference>
        </references>
      </pivotArea>
    </format>
    <format dxfId="3410">
      <pivotArea dataOnly="0" labelOnly="1" outline="0" fieldPosition="0">
        <references count="3">
          <reference field="12" count="1" selected="0">
            <x v="1"/>
          </reference>
          <reference field="17" count="3">
            <x v="29"/>
            <x v="42"/>
            <x v="46"/>
          </reference>
          <reference field="18" count="1" selected="0">
            <x v="12"/>
          </reference>
        </references>
      </pivotArea>
    </format>
    <format dxfId="3411">
      <pivotArea dataOnly="0" labelOnly="1" outline="0" fieldPosition="0">
        <references count="3">
          <reference field="12" count="1" selected="0">
            <x v="1"/>
          </reference>
          <reference field="17" count="9">
            <x v="31"/>
            <x v="32"/>
            <x v="33"/>
            <x v="34"/>
            <x v="35"/>
            <x v="38"/>
            <x v="39"/>
            <x v="43"/>
            <x v="47"/>
          </reference>
          <reference field="18" count="1" selected="0">
            <x v="13"/>
          </reference>
        </references>
      </pivotArea>
    </format>
    <format dxfId="3412">
      <pivotArea dataOnly="0" labelOnly="1" outline="0" fieldPosition="0">
        <references count="3">
          <reference field="12" count="1" selected="0">
            <x v="1"/>
          </reference>
          <reference field="17" count="1">
            <x v="31"/>
          </reference>
          <reference field="18" count="1" selected="0">
            <x v="14"/>
          </reference>
        </references>
      </pivotArea>
    </format>
    <format dxfId="3413">
      <pivotArea dataOnly="0" labelOnly="1" outline="0" fieldPosition="0">
        <references count="3">
          <reference field="12" count="1" selected="0">
            <x v="1"/>
          </reference>
          <reference field="17" count="6">
            <x v="36"/>
            <x v="40"/>
            <x v="44"/>
            <x v="48"/>
            <x v="52"/>
            <x v="53"/>
          </reference>
          <reference field="18" count="1" selected="0">
            <x v="15"/>
          </reference>
        </references>
      </pivotArea>
    </format>
    <format dxfId="3414">
      <pivotArea dataOnly="0" labelOnly="1" outline="0" fieldPosition="0">
        <references count="3">
          <reference field="12" count="1" selected="0">
            <x v="1"/>
          </reference>
          <reference field="17" count="3">
            <x v="49"/>
            <x v="50"/>
            <x v="51"/>
          </reference>
          <reference field="18" count="1" selected="0">
            <x v="16"/>
          </reference>
        </references>
      </pivotArea>
    </format>
    <format dxfId="3415">
      <pivotArea dataOnly="0" labelOnly="1" outline="0" fieldPosition="0">
        <references count="3">
          <reference field="12" count="1" selected="0">
            <x v="1"/>
          </reference>
          <reference field="17" count="1">
            <x v="75"/>
          </reference>
          <reference field="18" count="1" selected="0">
            <x v="25"/>
          </reference>
        </references>
      </pivotArea>
    </format>
    <format dxfId="3416">
      <pivotArea dataOnly="0" labelOnly="1" outline="0" fieldPosition="0">
        <references count="3">
          <reference field="12" count="1" selected="0">
            <x v="2"/>
          </reference>
          <reference field="17" count="1">
            <x v="77"/>
          </reference>
          <reference field="18" count="1" selected="0">
            <x v="26"/>
          </reference>
        </references>
      </pivotArea>
    </format>
    <format dxfId="3417">
      <pivotArea dataOnly="0" labelOnly="1" outline="0" fieldPosition="0">
        <references count="3">
          <reference field="12" count="1" selected="0">
            <x v="3"/>
          </reference>
          <reference field="17" count="6">
            <x v="55"/>
            <x v="56"/>
            <x v="57"/>
            <x v="58"/>
            <x v="59"/>
            <x v="60"/>
          </reference>
          <reference field="18" count="1" selected="0">
            <x v="18"/>
          </reference>
        </references>
      </pivotArea>
    </format>
    <format dxfId="3418">
      <pivotArea dataOnly="0" labelOnly="1" outline="0" fieldPosition="0">
        <references count="3">
          <reference field="12" count="1" selected="0">
            <x v="3"/>
          </reference>
          <reference field="17" count="2">
            <x v="61"/>
            <x v="64"/>
          </reference>
          <reference field="18" count="1" selected="0">
            <x v="19"/>
          </reference>
        </references>
      </pivotArea>
    </format>
    <format dxfId="3419">
      <pivotArea dataOnly="0" labelOnly="1" outline="0" fieldPosition="0">
        <references count="3">
          <reference field="12" count="1" selected="0">
            <x v="3"/>
          </reference>
          <reference field="17" count="2">
            <x v="62"/>
            <x v="65"/>
          </reference>
          <reference field="18" count="1" selected="0">
            <x v="20"/>
          </reference>
        </references>
      </pivotArea>
    </format>
    <format dxfId="3420">
      <pivotArea dataOnly="0" labelOnly="1" outline="0" fieldPosition="0">
        <references count="3">
          <reference field="12" count="1" selected="0">
            <x v="3"/>
          </reference>
          <reference field="17" count="1">
            <x v="63"/>
          </reference>
          <reference field="18" count="1" selected="0">
            <x v="21"/>
          </reference>
        </references>
      </pivotArea>
    </format>
    <format dxfId="3421">
      <pivotArea dataOnly="0" labelOnly="1" outline="0" fieldPosition="0">
        <references count="3">
          <reference field="12" count="1" selected="0">
            <x v="4"/>
          </reference>
          <reference field="17" count="2">
            <x v="66"/>
            <x v="67"/>
          </reference>
          <reference field="18" count="1" selected="0">
            <x v="22"/>
          </reference>
        </references>
      </pivotArea>
    </format>
    <format dxfId="3422">
      <pivotArea dataOnly="0" labelOnly="1" outline="0" fieldPosition="0">
        <references count="3">
          <reference field="12" count="1" selected="0">
            <x v="4"/>
          </reference>
          <reference field="17" count="2">
            <x v="72"/>
            <x v="73"/>
          </reference>
          <reference field="18" count="1" selected="0">
            <x v="24"/>
          </reference>
        </references>
      </pivotArea>
    </format>
    <format dxfId="3423">
      <pivotArea dataOnly="0" labelOnly="1" outline="0" fieldPosition="0">
        <references count="3">
          <reference field="12" count="1" selected="0">
            <x v="5"/>
          </reference>
          <reference field="17" count="4">
            <x v="68"/>
            <x v="69"/>
            <x v="70"/>
            <x v="71"/>
          </reference>
          <reference field="18" count="1" selected="0">
            <x v="23"/>
          </reference>
        </references>
      </pivotArea>
    </format>
    <format dxfId="3424">
      <pivotArea dataOnly="0" labelOnly="1" outline="0" fieldPosition="0">
        <references count="1">
          <reference field="35" count="1">
            <x v="0"/>
          </reference>
        </references>
      </pivotArea>
    </format>
    <format dxfId="3425">
      <pivotArea dataOnly="0" labelOnly="1" outline="0" fieldPosition="0">
        <references count="2">
          <reference field="4294967294" count="1" selected="0">
            <x v="0"/>
          </reference>
          <reference field="35" count="1" defaultSubtotal="1">
            <x v="0"/>
          </reference>
        </references>
      </pivotArea>
    </format>
    <format dxfId="3426">
      <pivotArea dataOnly="0" labelOnly="1" outline="0" fieldPosition="0">
        <references count="2">
          <reference field="4294967294" count="1" selected="0">
            <x v="1"/>
          </reference>
          <reference field="35" count="1" defaultSubtotal="1">
            <x v="0"/>
          </reference>
        </references>
      </pivotArea>
    </format>
    <format dxfId="3427">
      <pivotArea dataOnly="0" labelOnly="1" outline="0" fieldPosition="0">
        <references count="2">
          <reference field="4294967294" count="1" selected="0">
            <x v="2"/>
          </reference>
          <reference field="35" count="1" defaultSubtotal="1">
            <x v="0"/>
          </reference>
        </references>
      </pivotArea>
    </format>
    <format dxfId="3428">
      <pivotArea dataOnly="0" labelOnly="1" outline="0" fieldPosition="0">
        <references count="2">
          <reference field="4294967294" count="1" selected="0">
            <x v="3"/>
          </reference>
          <reference field="35" count="1" defaultSubtotal="1">
            <x v="0"/>
          </reference>
        </references>
      </pivotArea>
    </format>
    <format dxfId="3429">
      <pivotArea dataOnly="0" labelOnly="1" outline="0" fieldPosition="0">
        <references count="2">
          <reference field="4294967294" count="1" selected="0">
            <x v="4"/>
          </reference>
          <reference field="35" count="1" defaultSubtotal="1">
            <x v="0"/>
          </reference>
        </references>
      </pivotArea>
    </format>
    <format dxfId="3430">
      <pivotArea dataOnly="0" labelOnly="1" outline="0" fieldPosition="0">
        <references count="2">
          <reference field="4294967294" count="1" selected="0">
            <x v="5"/>
          </reference>
          <reference field="35" count="1" defaultSubtotal="1">
            <x v="0"/>
          </reference>
        </references>
      </pivotArea>
    </format>
    <format dxfId="3431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432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433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434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435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436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437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438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439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440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441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442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443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444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445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446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447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448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449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450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451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452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453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454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455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456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457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458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459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460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461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462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463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464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465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466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467">
      <pivotArea dataOnly="0" labelOnly="1" outline="0" fieldPosition="0">
        <references count="2">
          <reference field="33" count="4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3468">
      <pivotArea dataOnly="0" labelOnly="1" outline="0" fieldPosition="0">
        <references count="3">
          <reference field="4294967294" count="1" selected="0">
            <x v="0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3469">
      <pivotArea dataOnly="0" labelOnly="1" outline="0" fieldPosition="0">
        <references count="3">
          <reference field="4294967294" count="1" selected="0">
            <x v="1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3470">
      <pivotArea dataOnly="0" labelOnly="1" outline="0" fieldPosition="0">
        <references count="3">
          <reference field="4294967294" count="1" selected="0">
            <x v="2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3471">
      <pivotArea dataOnly="0" labelOnly="1" outline="0" fieldPosition="0">
        <references count="3">
          <reference field="4294967294" count="1" selected="0">
            <x v="3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3472">
      <pivotArea dataOnly="0" labelOnly="1" outline="0" fieldPosition="0">
        <references count="3">
          <reference field="4294967294" count="1" selected="0">
            <x v="4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3473">
      <pivotArea dataOnly="0" labelOnly="1" outline="0" fieldPosition="0">
        <references count="3">
          <reference field="4294967294" count="1" selected="0">
            <x v="5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3474">
      <pivotArea dataOnly="0" labelOnly="1" outline="0" fieldPosition="0">
        <references count="3">
          <reference field="32" count="3">
            <x v="0"/>
            <x v="1"/>
            <x v="2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3475">
      <pivotArea dataOnly="0" labelOnly="1" outline="0" fieldPosition="0">
        <references count="3">
          <reference field="32" count="3">
            <x v="3"/>
            <x v="4"/>
            <x v="5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3476">
      <pivotArea dataOnly="0" labelOnly="1" outline="0" fieldPosition="0">
        <references count="3">
          <reference field="32" count="3">
            <x v="6"/>
            <x v="7"/>
            <x v="8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3477">
      <pivotArea dataOnly="0" labelOnly="1" outline="0" fieldPosition="0">
        <references count="3">
          <reference field="32" count="3">
            <x v="9"/>
            <x v="10"/>
            <x v="11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3478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0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3479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3480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2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3481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3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3482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4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3483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5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3484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6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3485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7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3486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8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3487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9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3488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0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3489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1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3490">
      <pivotArea outline="0" collapsedLevelsAreSubtotals="1" fieldPosition="0"/>
    </format>
    <format dxfId="3491">
      <pivotArea outline="0" collapsedLevelsAreSubtotals="1" fieldPosition="0"/>
    </format>
    <format dxfId="3492">
      <pivotArea outline="0" collapsedLevelsAreSubtotals="1" fieldPosition="0"/>
    </format>
    <format dxfId="3493">
      <pivotArea type="all" dataOnly="0" outline="0" fieldPosition="0"/>
    </format>
    <format dxfId="3494">
      <pivotArea outline="0" collapsedLevelsAreSubtotals="1" fieldPosition="0"/>
    </format>
    <format dxfId="3495">
      <pivotArea type="origin" dataOnly="0" labelOnly="1" outline="0" fieldPosition="0"/>
    </format>
    <format dxfId="3496">
      <pivotArea field="35" type="button" dataOnly="0" labelOnly="1" outline="0" fieldPosition="0"/>
    </format>
    <format dxfId="3497">
      <pivotArea field="33" type="button" dataOnly="0" labelOnly="1" outline="0" fieldPosition="0"/>
    </format>
    <format dxfId="3498">
      <pivotArea field="32" type="button" dataOnly="0" labelOnly="1" outline="0" fieldPosition="0"/>
    </format>
    <format dxfId="3499">
      <pivotArea field="-2" type="button" dataOnly="0" labelOnly="1" outline="0" fieldPosition="0"/>
    </format>
    <format dxfId="3500">
      <pivotArea type="topRight" dataOnly="0" labelOnly="1" outline="0" fieldPosition="0"/>
    </format>
    <format dxfId="3501">
      <pivotArea field="12" type="button" dataOnly="0" labelOnly="1" outline="0" fieldPosition="0"/>
    </format>
    <format dxfId="3502">
      <pivotArea field="18" type="button" dataOnly="0" labelOnly="1" outline="0" fieldPosition="0"/>
    </format>
    <format dxfId="3503">
      <pivotArea field="17" type="button" dataOnly="0" labelOnly="1" outline="0" fieldPosition="0"/>
    </format>
    <format dxfId="3504">
      <pivotArea dataOnly="0" labelOnly="1" outline="0" fieldPosition="0">
        <references count="1">
          <reference field="12" count="0"/>
        </references>
      </pivotArea>
    </format>
    <format dxfId="3505">
      <pivotArea dataOnly="0" labelOnly="1" grandRow="1" outline="0" fieldPosition="0"/>
    </format>
    <format dxfId="3506">
      <pivotArea dataOnly="0" labelOnly="1" outline="0" fieldPosition="0">
        <references count="2">
          <reference field="12" count="1" selected="0">
            <x v="0"/>
          </reference>
          <reference field="18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507">
      <pivotArea dataOnly="0" labelOnly="1" outline="0" fieldPosition="0">
        <references count="2">
          <reference field="12" count="1" selected="0">
            <x v="1"/>
          </reference>
          <reference field="18" count="7">
            <x v="11"/>
            <x v="12"/>
            <x v="13"/>
            <x v="14"/>
            <x v="15"/>
            <x v="16"/>
            <x v="25"/>
          </reference>
        </references>
      </pivotArea>
    </format>
    <format dxfId="3508">
      <pivotArea dataOnly="0" labelOnly="1" outline="0" fieldPosition="0">
        <references count="2">
          <reference field="12" count="1" selected="0">
            <x v="2"/>
          </reference>
          <reference field="18" count="1">
            <x v="26"/>
          </reference>
        </references>
      </pivotArea>
    </format>
    <format dxfId="3509">
      <pivotArea dataOnly="0" labelOnly="1" outline="0" fieldPosition="0">
        <references count="2">
          <reference field="12" count="1" selected="0">
            <x v="3"/>
          </reference>
          <reference field="18" count="4">
            <x v="18"/>
            <x v="19"/>
            <x v="20"/>
            <x v="21"/>
          </reference>
        </references>
      </pivotArea>
    </format>
    <format dxfId="3510">
      <pivotArea dataOnly="0" labelOnly="1" outline="0" fieldPosition="0">
        <references count="2">
          <reference field="12" count="1" selected="0">
            <x v="4"/>
          </reference>
          <reference field="18" count="2">
            <x v="22"/>
            <x v="24"/>
          </reference>
        </references>
      </pivotArea>
    </format>
    <format dxfId="3511">
      <pivotArea dataOnly="0" labelOnly="1" outline="0" fieldPosition="0">
        <references count="2">
          <reference field="12" count="1" selected="0">
            <x v="5"/>
          </reference>
          <reference field="18" count="1">
            <x v="23"/>
          </reference>
        </references>
      </pivotArea>
    </format>
    <format dxfId="3512">
      <pivotArea dataOnly="0" labelOnly="1" outline="0" fieldPosition="0">
        <references count="3">
          <reference field="12" count="1" selected="0">
            <x v="0"/>
          </reference>
          <reference field="17" count="1">
            <x v="1"/>
          </reference>
          <reference field="18" count="1" selected="0">
            <x v="1"/>
          </reference>
        </references>
      </pivotArea>
    </format>
    <format dxfId="3513">
      <pivotArea dataOnly="0" labelOnly="1" outline="0" fieldPosition="0">
        <references count="3">
          <reference field="12" count="1" selected="0">
            <x v="0"/>
          </reference>
          <reference field="17" count="3">
            <x v="2"/>
            <x v="9"/>
            <x v="10"/>
          </reference>
          <reference field="18" count="1" selected="0">
            <x v="2"/>
          </reference>
        </references>
      </pivotArea>
    </format>
    <format dxfId="3514">
      <pivotArea dataOnly="0" labelOnly="1" outline="0" fieldPosition="0">
        <references count="3">
          <reference field="12" count="1" selected="0">
            <x v="0"/>
          </reference>
          <reference field="17" count="2">
            <x v="3"/>
            <x v="4"/>
          </reference>
          <reference field="18" count="1" selected="0">
            <x v="3"/>
          </reference>
        </references>
      </pivotArea>
    </format>
    <format dxfId="3515">
      <pivotArea dataOnly="0" labelOnly="1" outline="0" fieldPosition="0">
        <references count="3">
          <reference field="12" count="1" selected="0">
            <x v="0"/>
          </reference>
          <reference field="17" count="2">
            <x v="5"/>
            <x v="6"/>
          </reference>
          <reference field="18" count="1" selected="0">
            <x v="4"/>
          </reference>
        </references>
      </pivotArea>
    </format>
    <format dxfId="3516">
      <pivotArea dataOnly="0" labelOnly="1" outline="0" fieldPosition="0">
        <references count="3">
          <reference field="12" count="1" selected="0">
            <x v="0"/>
          </reference>
          <reference field="17" count="2">
            <x v="7"/>
            <x v="8"/>
          </reference>
          <reference field="18" count="1" selected="0">
            <x v="5"/>
          </reference>
        </references>
      </pivotArea>
    </format>
    <format dxfId="3517">
      <pivotArea dataOnly="0" labelOnly="1" outline="0" fieldPosition="0">
        <references count="3">
          <reference field="12" count="1" selected="0">
            <x v="0"/>
          </reference>
          <reference field="17" count="4">
            <x v="11"/>
            <x v="12"/>
            <x v="13"/>
            <x v="17"/>
          </reference>
          <reference field="18" count="1" selected="0">
            <x v="6"/>
          </reference>
        </references>
      </pivotArea>
    </format>
    <format dxfId="3518">
      <pivotArea dataOnly="0" labelOnly="1" outline="0" fieldPosition="0">
        <references count="3">
          <reference field="12" count="1" selected="0">
            <x v="0"/>
          </reference>
          <reference field="17" count="3">
            <x v="14"/>
            <x v="15"/>
            <x v="16"/>
          </reference>
          <reference field="18" count="1" selected="0">
            <x v="7"/>
          </reference>
        </references>
      </pivotArea>
    </format>
    <format dxfId="3519">
      <pivotArea dataOnly="0" labelOnly="1" outline="0" fieldPosition="0">
        <references count="3">
          <reference field="12" count="1" selected="0">
            <x v="0"/>
          </reference>
          <reference field="17" count="2">
            <x v="18"/>
            <x v="19"/>
          </reference>
          <reference field="18" count="1" selected="0">
            <x v="8"/>
          </reference>
        </references>
      </pivotArea>
    </format>
    <format dxfId="3520">
      <pivotArea dataOnly="0" labelOnly="1" outline="0" fieldPosition="0">
        <references count="3">
          <reference field="12" count="1" selected="0">
            <x v="0"/>
          </reference>
          <reference field="17" count="2">
            <x v="20"/>
            <x v="21"/>
          </reference>
          <reference field="18" count="1" selected="0">
            <x v="9"/>
          </reference>
        </references>
      </pivotArea>
    </format>
    <format dxfId="3521">
      <pivotArea dataOnly="0" labelOnly="1" outline="0" fieldPosition="0">
        <references count="3">
          <reference field="12" count="1" selected="0">
            <x v="0"/>
          </reference>
          <reference field="17" count="6">
            <x v="22"/>
            <x v="23"/>
            <x v="24"/>
            <x v="25"/>
            <x v="26"/>
            <x v="27"/>
          </reference>
          <reference field="18" count="1" selected="0">
            <x v="10"/>
          </reference>
        </references>
      </pivotArea>
    </format>
    <format dxfId="3522">
      <pivotArea dataOnly="0" labelOnly="1" outline="0" fieldPosition="0">
        <references count="3">
          <reference field="12" count="1" selected="0">
            <x v="1"/>
          </reference>
          <reference field="17" count="4">
            <x v="28"/>
            <x v="37"/>
            <x v="41"/>
            <x v="45"/>
          </reference>
          <reference field="18" count="1" selected="0">
            <x v="11"/>
          </reference>
        </references>
      </pivotArea>
    </format>
    <format dxfId="3523">
      <pivotArea dataOnly="0" labelOnly="1" outline="0" fieldPosition="0">
        <references count="3">
          <reference field="12" count="1" selected="0">
            <x v="1"/>
          </reference>
          <reference field="17" count="3">
            <x v="29"/>
            <x v="42"/>
            <x v="46"/>
          </reference>
          <reference field="18" count="1" selected="0">
            <x v="12"/>
          </reference>
        </references>
      </pivotArea>
    </format>
    <format dxfId="3524">
      <pivotArea dataOnly="0" labelOnly="1" outline="0" fieldPosition="0">
        <references count="3">
          <reference field="12" count="1" selected="0">
            <x v="1"/>
          </reference>
          <reference field="17" count="9">
            <x v="31"/>
            <x v="32"/>
            <x v="33"/>
            <x v="34"/>
            <x v="35"/>
            <x v="38"/>
            <x v="39"/>
            <x v="43"/>
            <x v="47"/>
          </reference>
          <reference field="18" count="1" selected="0">
            <x v="13"/>
          </reference>
        </references>
      </pivotArea>
    </format>
    <format dxfId="3525">
      <pivotArea dataOnly="0" labelOnly="1" outline="0" fieldPosition="0">
        <references count="3">
          <reference field="12" count="1" selected="0">
            <x v="1"/>
          </reference>
          <reference field="17" count="1">
            <x v="31"/>
          </reference>
          <reference field="18" count="1" selected="0">
            <x v="14"/>
          </reference>
        </references>
      </pivotArea>
    </format>
    <format dxfId="3526">
      <pivotArea dataOnly="0" labelOnly="1" outline="0" fieldPosition="0">
        <references count="3">
          <reference field="12" count="1" selected="0">
            <x v="1"/>
          </reference>
          <reference field="17" count="6">
            <x v="36"/>
            <x v="40"/>
            <x v="44"/>
            <x v="48"/>
            <x v="52"/>
            <x v="53"/>
          </reference>
          <reference field="18" count="1" selected="0">
            <x v="15"/>
          </reference>
        </references>
      </pivotArea>
    </format>
    <format dxfId="3527">
      <pivotArea dataOnly="0" labelOnly="1" outline="0" fieldPosition="0">
        <references count="3">
          <reference field="12" count="1" selected="0">
            <x v="1"/>
          </reference>
          <reference field="17" count="3">
            <x v="49"/>
            <x v="50"/>
            <x v="51"/>
          </reference>
          <reference field="18" count="1" selected="0">
            <x v="16"/>
          </reference>
        </references>
      </pivotArea>
    </format>
    <format dxfId="3528">
      <pivotArea dataOnly="0" labelOnly="1" outline="0" fieldPosition="0">
        <references count="3">
          <reference field="12" count="1" selected="0">
            <x v="1"/>
          </reference>
          <reference field="17" count="1">
            <x v="75"/>
          </reference>
          <reference field="18" count="1" selected="0">
            <x v="25"/>
          </reference>
        </references>
      </pivotArea>
    </format>
    <format dxfId="3529">
      <pivotArea dataOnly="0" labelOnly="1" outline="0" fieldPosition="0">
        <references count="3">
          <reference field="12" count="1" selected="0">
            <x v="2"/>
          </reference>
          <reference field="17" count="1">
            <x v="77"/>
          </reference>
          <reference field="18" count="1" selected="0">
            <x v="26"/>
          </reference>
        </references>
      </pivotArea>
    </format>
    <format dxfId="3530">
      <pivotArea dataOnly="0" labelOnly="1" outline="0" fieldPosition="0">
        <references count="3">
          <reference field="12" count="1" selected="0">
            <x v="3"/>
          </reference>
          <reference field="17" count="6">
            <x v="55"/>
            <x v="56"/>
            <x v="57"/>
            <x v="58"/>
            <x v="59"/>
            <x v="60"/>
          </reference>
          <reference field="18" count="1" selected="0">
            <x v="18"/>
          </reference>
        </references>
      </pivotArea>
    </format>
    <format dxfId="3531">
      <pivotArea dataOnly="0" labelOnly="1" outline="0" fieldPosition="0">
        <references count="3">
          <reference field="12" count="1" selected="0">
            <x v="3"/>
          </reference>
          <reference field="17" count="2">
            <x v="61"/>
            <x v="64"/>
          </reference>
          <reference field="18" count="1" selected="0">
            <x v="19"/>
          </reference>
        </references>
      </pivotArea>
    </format>
    <format dxfId="3532">
      <pivotArea dataOnly="0" labelOnly="1" outline="0" fieldPosition="0">
        <references count="3">
          <reference field="12" count="1" selected="0">
            <x v="3"/>
          </reference>
          <reference field="17" count="2">
            <x v="62"/>
            <x v="65"/>
          </reference>
          <reference field="18" count="1" selected="0">
            <x v="20"/>
          </reference>
        </references>
      </pivotArea>
    </format>
    <format dxfId="3533">
      <pivotArea dataOnly="0" labelOnly="1" outline="0" fieldPosition="0">
        <references count="3">
          <reference field="12" count="1" selected="0">
            <x v="3"/>
          </reference>
          <reference field="17" count="1">
            <x v="63"/>
          </reference>
          <reference field="18" count="1" selected="0">
            <x v="21"/>
          </reference>
        </references>
      </pivotArea>
    </format>
    <format dxfId="3534">
      <pivotArea dataOnly="0" labelOnly="1" outline="0" fieldPosition="0">
        <references count="3">
          <reference field="12" count="1" selected="0">
            <x v="4"/>
          </reference>
          <reference field="17" count="2">
            <x v="66"/>
            <x v="67"/>
          </reference>
          <reference field="18" count="1" selected="0">
            <x v="22"/>
          </reference>
        </references>
      </pivotArea>
    </format>
    <format dxfId="3535">
      <pivotArea dataOnly="0" labelOnly="1" outline="0" fieldPosition="0">
        <references count="3">
          <reference field="12" count="1" selected="0">
            <x v="4"/>
          </reference>
          <reference field="17" count="2">
            <x v="72"/>
            <x v="73"/>
          </reference>
          <reference field="18" count="1" selected="0">
            <x v="24"/>
          </reference>
        </references>
      </pivotArea>
    </format>
    <format dxfId="3536">
      <pivotArea dataOnly="0" labelOnly="1" outline="0" fieldPosition="0">
        <references count="3">
          <reference field="12" count="1" selected="0">
            <x v="5"/>
          </reference>
          <reference field="17" count="4">
            <x v="68"/>
            <x v="69"/>
            <x v="70"/>
            <x v="71"/>
          </reference>
          <reference field="18" count="1" selected="0">
            <x v="23"/>
          </reference>
        </references>
      </pivotArea>
    </format>
    <format dxfId="3537">
      <pivotArea dataOnly="0" labelOnly="1" outline="0" fieldPosition="0">
        <references count="1">
          <reference field="35" count="1">
            <x v="0"/>
          </reference>
        </references>
      </pivotArea>
    </format>
    <format dxfId="3538">
      <pivotArea dataOnly="0" labelOnly="1" outline="0" fieldPosition="0">
        <references count="2">
          <reference field="4294967294" count="1" selected="0">
            <x v="0"/>
          </reference>
          <reference field="35" count="1" defaultSubtotal="1">
            <x v="0"/>
          </reference>
        </references>
      </pivotArea>
    </format>
    <format dxfId="3539">
      <pivotArea dataOnly="0" labelOnly="1" outline="0" fieldPosition="0">
        <references count="2">
          <reference field="4294967294" count="1" selected="0">
            <x v="1"/>
          </reference>
          <reference field="35" count="1" defaultSubtotal="1">
            <x v="0"/>
          </reference>
        </references>
      </pivotArea>
    </format>
    <format dxfId="3540">
      <pivotArea dataOnly="0" labelOnly="1" outline="0" fieldPosition="0">
        <references count="2">
          <reference field="4294967294" count="1" selected="0">
            <x v="2"/>
          </reference>
          <reference field="35" count="1" defaultSubtotal="1">
            <x v="0"/>
          </reference>
        </references>
      </pivotArea>
    </format>
    <format dxfId="3541">
      <pivotArea dataOnly="0" labelOnly="1" outline="0" fieldPosition="0">
        <references count="2">
          <reference field="4294967294" count="1" selected="0">
            <x v="3"/>
          </reference>
          <reference field="35" count="1" defaultSubtotal="1">
            <x v="0"/>
          </reference>
        </references>
      </pivotArea>
    </format>
    <format dxfId="3542">
      <pivotArea dataOnly="0" labelOnly="1" outline="0" fieldPosition="0">
        <references count="2">
          <reference field="4294967294" count="1" selected="0">
            <x v="4"/>
          </reference>
          <reference field="35" count="1" defaultSubtotal="1">
            <x v="0"/>
          </reference>
        </references>
      </pivotArea>
    </format>
    <format dxfId="3543">
      <pivotArea dataOnly="0" labelOnly="1" outline="0" fieldPosition="0">
        <references count="2">
          <reference field="4294967294" count="1" selected="0">
            <x v="5"/>
          </reference>
          <reference field="35" count="1" defaultSubtotal="1">
            <x v="0"/>
          </reference>
        </references>
      </pivotArea>
    </format>
    <format dxfId="3544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545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546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547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548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549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550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551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552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553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554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555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556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557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558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559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560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561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562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563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564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565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566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567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568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569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570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571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572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573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574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575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576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577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578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579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580">
      <pivotArea dataOnly="0" labelOnly="1" outline="0" fieldPosition="0">
        <references count="2">
          <reference field="33" count="4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3581">
      <pivotArea dataOnly="0" labelOnly="1" outline="0" fieldPosition="0">
        <references count="3">
          <reference field="4294967294" count="1" selected="0">
            <x v="0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3582">
      <pivotArea dataOnly="0" labelOnly="1" outline="0" fieldPosition="0">
        <references count="3">
          <reference field="4294967294" count="1" selected="0">
            <x v="1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3583">
      <pivotArea dataOnly="0" labelOnly="1" outline="0" fieldPosition="0">
        <references count="3">
          <reference field="4294967294" count="1" selected="0">
            <x v="2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3584">
      <pivotArea dataOnly="0" labelOnly="1" outline="0" fieldPosition="0">
        <references count="3">
          <reference field="4294967294" count="1" selected="0">
            <x v="3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3585">
      <pivotArea dataOnly="0" labelOnly="1" outline="0" fieldPosition="0">
        <references count="3">
          <reference field="4294967294" count="1" selected="0">
            <x v="4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3586">
      <pivotArea dataOnly="0" labelOnly="1" outline="0" fieldPosition="0">
        <references count="3">
          <reference field="4294967294" count="1" selected="0">
            <x v="5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3587">
      <pivotArea dataOnly="0" labelOnly="1" outline="0" fieldPosition="0">
        <references count="3">
          <reference field="32" count="3">
            <x v="0"/>
            <x v="1"/>
            <x v="2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3588">
      <pivotArea dataOnly="0" labelOnly="1" outline="0" fieldPosition="0">
        <references count="3">
          <reference field="32" count="3">
            <x v="3"/>
            <x v="4"/>
            <x v="5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3589">
      <pivotArea dataOnly="0" labelOnly="1" outline="0" fieldPosition="0">
        <references count="3">
          <reference field="32" count="3">
            <x v="6"/>
            <x v="7"/>
            <x v="8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3590">
      <pivotArea dataOnly="0" labelOnly="1" outline="0" fieldPosition="0">
        <references count="3">
          <reference field="32" count="3">
            <x v="9"/>
            <x v="10"/>
            <x v="11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3591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0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3592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3593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2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3594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3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3595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4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3596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5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3597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6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3598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7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3599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8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3600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9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3601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0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3602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1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3603">
      <pivotArea type="all" dataOnly="0" outline="0" fieldPosition="0"/>
    </format>
    <format dxfId="3604">
      <pivotArea outline="0" collapsedLevelsAreSubtotals="1" fieldPosition="0"/>
    </format>
    <format dxfId="3605">
      <pivotArea type="origin" dataOnly="0" labelOnly="1" outline="0" fieldPosition="0"/>
    </format>
    <format dxfId="3606">
      <pivotArea field="35" type="button" dataOnly="0" labelOnly="1" outline="0" fieldPosition="0"/>
    </format>
    <format dxfId="3607">
      <pivotArea field="33" type="button" dataOnly="0" labelOnly="1" outline="0" fieldPosition="0"/>
    </format>
    <format dxfId="3608">
      <pivotArea field="32" type="button" dataOnly="0" labelOnly="1" outline="0" fieldPosition="0"/>
    </format>
    <format dxfId="3609">
      <pivotArea field="-2" type="button" dataOnly="0" labelOnly="1" outline="0" fieldPosition="0"/>
    </format>
    <format dxfId="3610">
      <pivotArea type="topRight" dataOnly="0" labelOnly="1" outline="0" fieldPosition="0"/>
    </format>
    <format dxfId="3611">
      <pivotArea field="12" type="button" dataOnly="0" labelOnly="1" outline="0" fieldPosition="0"/>
    </format>
    <format dxfId="3612">
      <pivotArea field="18" type="button" dataOnly="0" labelOnly="1" outline="0" fieldPosition="0"/>
    </format>
    <format dxfId="3613">
      <pivotArea field="17" type="button" dataOnly="0" labelOnly="1" outline="0" fieldPosition="0"/>
    </format>
    <format dxfId="3614">
      <pivotArea dataOnly="0" labelOnly="1" outline="0" fieldPosition="0">
        <references count="1">
          <reference field="12" count="0"/>
        </references>
      </pivotArea>
    </format>
    <format dxfId="3615">
      <pivotArea dataOnly="0" labelOnly="1" grandRow="1" outline="0" fieldPosition="0"/>
    </format>
    <format dxfId="3616">
      <pivotArea dataOnly="0" labelOnly="1" outline="0" fieldPosition="0">
        <references count="2">
          <reference field="12" count="1" selected="0">
            <x v="0"/>
          </reference>
          <reference field="18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617">
      <pivotArea dataOnly="0" labelOnly="1" outline="0" fieldPosition="0">
        <references count="2">
          <reference field="12" count="1" selected="0">
            <x v="1"/>
          </reference>
          <reference field="18" count="7">
            <x v="11"/>
            <x v="12"/>
            <x v="13"/>
            <x v="14"/>
            <x v="15"/>
            <x v="16"/>
            <x v="25"/>
          </reference>
        </references>
      </pivotArea>
    </format>
    <format dxfId="3618">
      <pivotArea dataOnly="0" labelOnly="1" outline="0" fieldPosition="0">
        <references count="2">
          <reference field="12" count="1" selected="0">
            <x v="2"/>
          </reference>
          <reference field="18" count="1">
            <x v="26"/>
          </reference>
        </references>
      </pivotArea>
    </format>
    <format dxfId="3619">
      <pivotArea dataOnly="0" labelOnly="1" outline="0" fieldPosition="0">
        <references count="2">
          <reference field="12" count="1" selected="0">
            <x v="3"/>
          </reference>
          <reference field="18" count="4">
            <x v="18"/>
            <x v="19"/>
            <x v="20"/>
            <x v="21"/>
          </reference>
        </references>
      </pivotArea>
    </format>
    <format dxfId="3620">
      <pivotArea dataOnly="0" labelOnly="1" outline="0" fieldPosition="0">
        <references count="2">
          <reference field="12" count="1" selected="0">
            <x v="4"/>
          </reference>
          <reference field="18" count="2">
            <x v="22"/>
            <x v="24"/>
          </reference>
        </references>
      </pivotArea>
    </format>
    <format dxfId="3621">
      <pivotArea dataOnly="0" labelOnly="1" outline="0" fieldPosition="0">
        <references count="2">
          <reference field="12" count="1" selected="0">
            <x v="5"/>
          </reference>
          <reference field="18" count="1">
            <x v="23"/>
          </reference>
        </references>
      </pivotArea>
    </format>
    <format dxfId="3622">
      <pivotArea dataOnly="0" labelOnly="1" outline="0" fieldPosition="0">
        <references count="3">
          <reference field="12" count="1" selected="0">
            <x v="0"/>
          </reference>
          <reference field="17" count="1">
            <x v="1"/>
          </reference>
          <reference field="18" count="1" selected="0">
            <x v="1"/>
          </reference>
        </references>
      </pivotArea>
    </format>
    <format dxfId="3623">
      <pivotArea dataOnly="0" labelOnly="1" outline="0" fieldPosition="0">
        <references count="3">
          <reference field="12" count="1" selected="0">
            <x v="0"/>
          </reference>
          <reference field="17" count="3">
            <x v="2"/>
            <x v="9"/>
            <x v="10"/>
          </reference>
          <reference field="18" count="1" selected="0">
            <x v="2"/>
          </reference>
        </references>
      </pivotArea>
    </format>
    <format dxfId="3624">
      <pivotArea dataOnly="0" labelOnly="1" outline="0" fieldPosition="0">
        <references count="3">
          <reference field="12" count="1" selected="0">
            <x v="0"/>
          </reference>
          <reference field="17" count="2">
            <x v="3"/>
            <x v="4"/>
          </reference>
          <reference field="18" count="1" selected="0">
            <x v="3"/>
          </reference>
        </references>
      </pivotArea>
    </format>
    <format dxfId="3625">
      <pivotArea dataOnly="0" labelOnly="1" outline="0" fieldPosition="0">
        <references count="3">
          <reference field="12" count="1" selected="0">
            <x v="0"/>
          </reference>
          <reference field="17" count="2">
            <x v="5"/>
            <x v="6"/>
          </reference>
          <reference field="18" count="1" selected="0">
            <x v="4"/>
          </reference>
        </references>
      </pivotArea>
    </format>
    <format dxfId="3626">
      <pivotArea dataOnly="0" labelOnly="1" outline="0" fieldPosition="0">
        <references count="3">
          <reference field="12" count="1" selected="0">
            <x v="0"/>
          </reference>
          <reference field="17" count="2">
            <x v="7"/>
            <x v="8"/>
          </reference>
          <reference field="18" count="1" selected="0">
            <x v="5"/>
          </reference>
        </references>
      </pivotArea>
    </format>
    <format dxfId="3627">
      <pivotArea dataOnly="0" labelOnly="1" outline="0" fieldPosition="0">
        <references count="3">
          <reference field="12" count="1" selected="0">
            <x v="0"/>
          </reference>
          <reference field="17" count="4">
            <x v="11"/>
            <x v="12"/>
            <x v="13"/>
            <x v="17"/>
          </reference>
          <reference field="18" count="1" selected="0">
            <x v="6"/>
          </reference>
        </references>
      </pivotArea>
    </format>
    <format dxfId="3628">
      <pivotArea dataOnly="0" labelOnly="1" outline="0" fieldPosition="0">
        <references count="3">
          <reference field="12" count="1" selected="0">
            <x v="0"/>
          </reference>
          <reference field="17" count="3">
            <x v="14"/>
            <x v="15"/>
            <x v="16"/>
          </reference>
          <reference field="18" count="1" selected="0">
            <x v="7"/>
          </reference>
        </references>
      </pivotArea>
    </format>
    <format dxfId="3629">
      <pivotArea dataOnly="0" labelOnly="1" outline="0" fieldPosition="0">
        <references count="3">
          <reference field="12" count="1" selected="0">
            <x v="0"/>
          </reference>
          <reference field="17" count="2">
            <x v="18"/>
            <x v="19"/>
          </reference>
          <reference field="18" count="1" selected="0">
            <x v="8"/>
          </reference>
        </references>
      </pivotArea>
    </format>
    <format dxfId="3630">
      <pivotArea dataOnly="0" labelOnly="1" outline="0" fieldPosition="0">
        <references count="3">
          <reference field="12" count="1" selected="0">
            <x v="0"/>
          </reference>
          <reference field="17" count="2">
            <x v="20"/>
            <x v="21"/>
          </reference>
          <reference field="18" count="1" selected="0">
            <x v="9"/>
          </reference>
        </references>
      </pivotArea>
    </format>
    <format dxfId="3631">
      <pivotArea dataOnly="0" labelOnly="1" outline="0" fieldPosition="0">
        <references count="3">
          <reference field="12" count="1" selected="0">
            <x v="0"/>
          </reference>
          <reference field="17" count="6">
            <x v="22"/>
            <x v="23"/>
            <x v="24"/>
            <x v="25"/>
            <x v="26"/>
            <x v="27"/>
          </reference>
          <reference field="18" count="1" selected="0">
            <x v="10"/>
          </reference>
        </references>
      </pivotArea>
    </format>
    <format dxfId="3632">
      <pivotArea dataOnly="0" labelOnly="1" outline="0" fieldPosition="0">
        <references count="3">
          <reference field="12" count="1" selected="0">
            <x v="1"/>
          </reference>
          <reference field="17" count="4">
            <x v="28"/>
            <x v="37"/>
            <x v="41"/>
            <x v="45"/>
          </reference>
          <reference field="18" count="1" selected="0">
            <x v="11"/>
          </reference>
        </references>
      </pivotArea>
    </format>
    <format dxfId="3633">
      <pivotArea dataOnly="0" labelOnly="1" outline="0" fieldPosition="0">
        <references count="3">
          <reference field="12" count="1" selected="0">
            <x v="1"/>
          </reference>
          <reference field="17" count="3">
            <x v="29"/>
            <x v="42"/>
            <x v="46"/>
          </reference>
          <reference field="18" count="1" selected="0">
            <x v="12"/>
          </reference>
        </references>
      </pivotArea>
    </format>
    <format dxfId="3634">
      <pivotArea dataOnly="0" labelOnly="1" outline="0" fieldPosition="0">
        <references count="3">
          <reference field="12" count="1" selected="0">
            <x v="1"/>
          </reference>
          <reference field="17" count="9">
            <x v="31"/>
            <x v="32"/>
            <x v="33"/>
            <x v="34"/>
            <x v="35"/>
            <x v="38"/>
            <x v="39"/>
            <x v="43"/>
            <x v="47"/>
          </reference>
          <reference field="18" count="1" selected="0">
            <x v="13"/>
          </reference>
        </references>
      </pivotArea>
    </format>
    <format dxfId="3635">
      <pivotArea dataOnly="0" labelOnly="1" outline="0" fieldPosition="0">
        <references count="3">
          <reference field="12" count="1" selected="0">
            <x v="1"/>
          </reference>
          <reference field="17" count="1">
            <x v="31"/>
          </reference>
          <reference field="18" count="1" selected="0">
            <x v="14"/>
          </reference>
        </references>
      </pivotArea>
    </format>
    <format dxfId="3636">
      <pivotArea dataOnly="0" labelOnly="1" outline="0" fieldPosition="0">
        <references count="3">
          <reference field="12" count="1" selected="0">
            <x v="1"/>
          </reference>
          <reference field="17" count="6">
            <x v="36"/>
            <x v="40"/>
            <x v="44"/>
            <x v="48"/>
            <x v="52"/>
            <x v="53"/>
          </reference>
          <reference field="18" count="1" selected="0">
            <x v="15"/>
          </reference>
        </references>
      </pivotArea>
    </format>
    <format dxfId="3637">
      <pivotArea dataOnly="0" labelOnly="1" outline="0" fieldPosition="0">
        <references count="3">
          <reference field="12" count="1" selected="0">
            <x v="1"/>
          </reference>
          <reference field="17" count="3">
            <x v="49"/>
            <x v="50"/>
            <x v="51"/>
          </reference>
          <reference field="18" count="1" selected="0">
            <x v="16"/>
          </reference>
        </references>
      </pivotArea>
    </format>
    <format dxfId="3638">
      <pivotArea dataOnly="0" labelOnly="1" outline="0" fieldPosition="0">
        <references count="3">
          <reference field="12" count="1" selected="0">
            <x v="1"/>
          </reference>
          <reference field="17" count="1">
            <x v="75"/>
          </reference>
          <reference field="18" count="1" selected="0">
            <x v="25"/>
          </reference>
        </references>
      </pivotArea>
    </format>
    <format dxfId="3639">
      <pivotArea dataOnly="0" labelOnly="1" outline="0" fieldPosition="0">
        <references count="3">
          <reference field="12" count="1" selected="0">
            <x v="2"/>
          </reference>
          <reference field="17" count="1">
            <x v="77"/>
          </reference>
          <reference field="18" count="1" selected="0">
            <x v="26"/>
          </reference>
        </references>
      </pivotArea>
    </format>
    <format dxfId="3640">
      <pivotArea dataOnly="0" labelOnly="1" outline="0" fieldPosition="0">
        <references count="3">
          <reference field="12" count="1" selected="0">
            <x v="3"/>
          </reference>
          <reference field="17" count="6">
            <x v="55"/>
            <x v="56"/>
            <x v="57"/>
            <x v="58"/>
            <x v="59"/>
            <x v="60"/>
          </reference>
          <reference field="18" count="1" selected="0">
            <x v="18"/>
          </reference>
        </references>
      </pivotArea>
    </format>
    <format dxfId="3641">
      <pivotArea dataOnly="0" labelOnly="1" outline="0" fieldPosition="0">
        <references count="3">
          <reference field="12" count="1" selected="0">
            <x v="3"/>
          </reference>
          <reference field="17" count="2">
            <x v="61"/>
            <x v="64"/>
          </reference>
          <reference field="18" count="1" selected="0">
            <x v="19"/>
          </reference>
        </references>
      </pivotArea>
    </format>
    <format dxfId="3642">
      <pivotArea dataOnly="0" labelOnly="1" outline="0" fieldPosition="0">
        <references count="3">
          <reference field="12" count="1" selected="0">
            <x v="3"/>
          </reference>
          <reference field="17" count="2">
            <x v="62"/>
            <x v="65"/>
          </reference>
          <reference field="18" count="1" selected="0">
            <x v="20"/>
          </reference>
        </references>
      </pivotArea>
    </format>
    <format dxfId="3643">
      <pivotArea dataOnly="0" labelOnly="1" outline="0" fieldPosition="0">
        <references count="3">
          <reference field="12" count="1" selected="0">
            <x v="3"/>
          </reference>
          <reference field="17" count="1">
            <x v="63"/>
          </reference>
          <reference field="18" count="1" selected="0">
            <x v="21"/>
          </reference>
        </references>
      </pivotArea>
    </format>
    <format dxfId="3644">
      <pivotArea dataOnly="0" labelOnly="1" outline="0" fieldPosition="0">
        <references count="3">
          <reference field="12" count="1" selected="0">
            <x v="4"/>
          </reference>
          <reference field="17" count="2">
            <x v="66"/>
            <x v="67"/>
          </reference>
          <reference field="18" count="1" selected="0">
            <x v="22"/>
          </reference>
        </references>
      </pivotArea>
    </format>
    <format dxfId="3645">
      <pivotArea dataOnly="0" labelOnly="1" outline="0" fieldPosition="0">
        <references count="3">
          <reference field="12" count="1" selected="0">
            <x v="4"/>
          </reference>
          <reference field="17" count="2">
            <x v="72"/>
            <x v="73"/>
          </reference>
          <reference field="18" count="1" selected="0">
            <x v="24"/>
          </reference>
        </references>
      </pivotArea>
    </format>
    <format dxfId="3646">
      <pivotArea dataOnly="0" labelOnly="1" outline="0" fieldPosition="0">
        <references count="3">
          <reference field="12" count="1" selected="0">
            <x v="5"/>
          </reference>
          <reference field="17" count="4">
            <x v="68"/>
            <x v="69"/>
            <x v="70"/>
            <x v="71"/>
          </reference>
          <reference field="18" count="1" selected="0">
            <x v="23"/>
          </reference>
        </references>
      </pivotArea>
    </format>
    <format dxfId="3647">
      <pivotArea dataOnly="0" labelOnly="1" outline="0" fieldPosition="0">
        <references count="1">
          <reference field="35" count="1">
            <x v="0"/>
          </reference>
        </references>
      </pivotArea>
    </format>
    <format dxfId="3648">
      <pivotArea dataOnly="0" labelOnly="1" outline="0" fieldPosition="0">
        <references count="2">
          <reference field="4294967294" count="1" selected="0">
            <x v="0"/>
          </reference>
          <reference field="35" count="1" defaultSubtotal="1">
            <x v="0"/>
          </reference>
        </references>
      </pivotArea>
    </format>
    <format dxfId="3649">
      <pivotArea dataOnly="0" labelOnly="1" outline="0" fieldPosition="0">
        <references count="2">
          <reference field="4294967294" count="1" selected="0">
            <x v="1"/>
          </reference>
          <reference field="35" count="1" defaultSubtotal="1">
            <x v="0"/>
          </reference>
        </references>
      </pivotArea>
    </format>
    <format dxfId="3650">
      <pivotArea dataOnly="0" labelOnly="1" outline="0" fieldPosition="0">
        <references count="2">
          <reference field="4294967294" count="1" selected="0">
            <x v="2"/>
          </reference>
          <reference field="35" count="1" defaultSubtotal="1">
            <x v="0"/>
          </reference>
        </references>
      </pivotArea>
    </format>
    <format dxfId="3651">
      <pivotArea dataOnly="0" labelOnly="1" outline="0" fieldPosition="0">
        <references count="2">
          <reference field="4294967294" count="1" selected="0">
            <x v="3"/>
          </reference>
          <reference field="35" count="1" defaultSubtotal="1">
            <x v="0"/>
          </reference>
        </references>
      </pivotArea>
    </format>
    <format dxfId="3652">
      <pivotArea dataOnly="0" labelOnly="1" outline="0" fieldPosition="0">
        <references count="2">
          <reference field="4294967294" count="1" selected="0">
            <x v="4"/>
          </reference>
          <reference field="35" count="1" defaultSubtotal="1">
            <x v="0"/>
          </reference>
        </references>
      </pivotArea>
    </format>
    <format dxfId="3653">
      <pivotArea dataOnly="0" labelOnly="1" outline="0" fieldPosition="0">
        <references count="2">
          <reference field="4294967294" count="1" selected="0">
            <x v="5"/>
          </reference>
          <reference field="35" count="1" defaultSubtotal="1">
            <x v="0"/>
          </reference>
        </references>
      </pivotArea>
    </format>
    <format dxfId="3654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655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656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657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658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659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660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661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662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663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664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665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666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667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668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669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670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671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672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673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674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675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676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677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678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679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680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681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682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683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684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685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686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687">
      <pivotArea dataOnly="0" labelOnly="1" grandCol="1" outline="0" fieldPosition="0">
        <references count="1">
          <reference field="4294967294" count="1" selected="0">
            <x v="3"/>
          </reference>
        </references>
      </pivotArea>
    </format>
    <format dxfId="3688">
      <pivotArea dataOnly="0" labelOnly="1" grandCol="1" outline="0" fieldPosition="0">
        <references count="1">
          <reference field="4294967294" count="1" selected="0">
            <x v="4"/>
          </reference>
        </references>
      </pivotArea>
    </format>
    <format dxfId="3689">
      <pivotArea dataOnly="0" labelOnly="1" grandCol="1" outline="0" fieldPosition="0">
        <references count="1">
          <reference field="4294967294" count="1" selected="0">
            <x v="5"/>
          </reference>
        </references>
      </pivotArea>
    </format>
    <format dxfId="3690">
      <pivotArea dataOnly="0" labelOnly="1" outline="0" fieldPosition="0">
        <references count="2">
          <reference field="33" count="4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3691">
      <pivotArea dataOnly="0" labelOnly="1" outline="0" fieldPosition="0">
        <references count="3">
          <reference field="4294967294" count="1" selected="0">
            <x v="0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3692">
      <pivotArea dataOnly="0" labelOnly="1" outline="0" fieldPosition="0">
        <references count="3">
          <reference field="4294967294" count="1" selected="0">
            <x v="1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3693">
      <pivotArea dataOnly="0" labelOnly="1" outline="0" fieldPosition="0">
        <references count="3">
          <reference field="4294967294" count="1" selected="0">
            <x v="2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3694">
      <pivotArea dataOnly="0" labelOnly="1" outline="0" fieldPosition="0">
        <references count="3">
          <reference field="4294967294" count="1" selected="0">
            <x v="3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3695">
      <pivotArea dataOnly="0" labelOnly="1" outline="0" fieldPosition="0">
        <references count="3">
          <reference field="4294967294" count="1" selected="0">
            <x v="4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3696">
      <pivotArea dataOnly="0" labelOnly="1" outline="0" fieldPosition="0">
        <references count="3">
          <reference field="4294967294" count="1" selected="0">
            <x v="5"/>
          </reference>
          <reference field="33" count="4" defaultSubtotal="1">
            <x v="0"/>
            <x v="2"/>
            <x v="3"/>
            <x v="4"/>
          </reference>
          <reference field="35" count="1" selected="0">
            <x v="0"/>
          </reference>
        </references>
      </pivotArea>
    </format>
    <format dxfId="3697">
      <pivotArea dataOnly="0" labelOnly="1" outline="0" fieldPosition="0">
        <references count="3">
          <reference field="32" count="3">
            <x v="0"/>
            <x v="1"/>
            <x v="2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3698">
      <pivotArea dataOnly="0" labelOnly="1" outline="0" fieldPosition="0">
        <references count="3">
          <reference field="32" count="3">
            <x v="3"/>
            <x v="4"/>
            <x v="5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3699">
      <pivotArea dataOnly="0" labelOnly="1" outline="0" fieldPosition="0">
        <references count="3">
          <reference field="32" count="3">
            <x v="6"/>
            <x v="7"/>
            <x v="8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3700">
      <pivotArea dataOnly="0" labelOnly="1" outline="0" fieldPosition="0">
        <references count="3">
          <reference field="32" count="3">
            <x v="9"/>
            <x v="10"/>
            <x v="11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3701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0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3702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3703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2"/>
          </reference>
          <reference field="33" count="1" selected="0">
            <x v="0"/>
          </reference>
          <reference field="35" count="1" selected="0">
            <x v="0"/>
          </reference>
        </references>
      </pivotArea>
    </format>
    <format dxfId="3704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3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3705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4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3706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5"/>
          </reference>
          <reference field="33" count="1" selected="0">
            <x v="2"/>
          </reference>
          <reference field="35" count="1" selected="0">
            <x v="0"/>
          </reference>
        </references>
      </pivotArea>
    </format>
    <format dxfId="3707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6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3708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7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3709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8"/>
          </reference>
          <reference field="33" count="1" selected="0">
            <x v="3"/>
          </reference>
          <reference field="35" count="1" selected="0">
            <x v="0"/>
          </reference>
        </references>
      </pivotArea>
    </format>
    <format dxfId="3710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9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3711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0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3712">
      <pivotArea dataOnly="0" labelOnly="1" outline="0" fieldPosition="0">
        <references count="4">
          <reference field="4294967294" count="6">
            <x v="0"/>
            <x v="1"/>
            <x v="2"/>
            <x v="3"/>
            <x v="4"/>
            <x v="5"/>
          </reference>
          <reference field="32" count="1" selected="0">
            <x v="11"/>
          </reference>
          <reference field="33" count="1" selected="0">
            <x v="4"/>
          </reference>
          <reference field="35" count="1" selected="0">
            <x v="0"/>
          </reference>
        </references>
      </pivotArea>
    </format>
    <format dxfId="3713">
      <pivotArea dataOnly="0" labelOnly="1" outline="0" fieldPosition="0">
        <references count="1">
          <reference field="1" count="0"/>
        </references>
      </pivotArea>
    </format>
    <format dxfId="3714">
      <pivotArea dataOnly="0" labelOnly="1" outline="0" fieldPosition="0">
        <references count="1">
          <reference field="1" count="0"/>
        </references>
      </pivotArea>
    </format>
  </formats>
  <pivotTableStyleInfo name="PivotStyleMedium11 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1" dataPosition="1" autoFormatId="1" applyNumberFormats="0" applyBorderFormats="0" applyFontFormats="0" applyPatternFormats="0" applyAlignmentFormats="0" applyWidthHeightFormats="1" dataCaption="Values" updatedVersion="8" minRefreshableVersion="3" createdVersion="4" mergeItem="1" colGrandTotals="0" compact="0" indent="127" outline="1" compactData="0" outlineData="1" showDrill="1" multipleFieldFilters="0">
  <location ref="A5:L110" firstHeaderRow="1" firstDataRow="3" firstDataCol="3"/>
  <pivotFields count="41">
    <pivotField compact="0" showAll="0"/>
    <pivotField axis="axisCol" compact="0" showAll="0">
      <items count="4">
        <item x="2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8">
        <item x="0"/>
        <item x="1"/>
        <item x="2"/>
        <item m="1" x="6"/>
        <item x="3"/>
        <item x="4"/>
        <item x="5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78">
        <item m="1" x="7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m="1" x="7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74"/>
        <item x="34"/>
        <item m="1" x="75"/>
        <item x="71"/>
        <item x="72"/>
        <item t="default"/>
      </items>
    </pivotField>
    <pivotField axis="axisRow" compact="0" showAll="0">
      <items count="25"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1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dataField="1"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3">
    <field x="6"/>
    <field x="12"/>
    <field x="11"/>
  </rowFields>
  <rowItems count="103">
    <i>
      <x/>
    </i>
    <i r="1">
      <x v="1"/>
    </i>
    <i r="2">
      <x v="1"/>
    </i>
    <i r="1">
      <x v="2"/>
    </i>
    <i r="2">
      <x v="2"/>
    </i>
    <i r="2">
      <x v="9"/>
    </i>
    <i r="2">
      <x v="10"/>
    </i>
    <i r="1">
      <x v="3"/>
    </i>
    <i r="2">
      <x v="3"/>
    </i>
    <i r="2">
      <x v="4"/>
    </i>
    <i r="1">
      <x v="4"/>
    </i>
    <i r="2">
      <x v="5"/>
    </i>
    <i r="2">
      <x v="6"/>
    </i>
    <i r="1">
      <x v="5"/>
    </i>
    <i r="2">
      <x v="7"/>
    </i>
    <i r="2">
      <x v="8"/>
    </i>
    <i r="1">
      <x v="6"/>
    </i>
    <i r="2">
      <x v="11"/>
    </i>
    <i r="2">
      <x v="12"/>
    </i>
    <i r="2">
      <x v="13"/>
    </i>
    <i r="2">
      <x v="17"/>
    </i>
    <i r="1">
      <x v="7"/>
    </i>
    <i r="2">
      <x v="14"/>
    </i>
    <i r="2">
      <x v="15"/>
    </i>
    <i r="2">
      <x v="16"/>
    </i>
    <i r="1">
      <x v="8"/>
    </i>
    <i r="2">
      <x v="18"/>
    </i>
    <i r="2">
      <x v="19"/>
    </i>
    <i r="1">
      <x v="9"/>
    </i>
    <i r="2">
      <x v="20"/>
    </i>
    <i r="2">
      <x v="21"/>
    </i>
    <i r="1">
      <x v="10"/>
    </i>
    <i r="2">
      <x v="22"/>
    </i>
    <i r="2">
      <x v="23"/>
    </i>
    <i r="2">
      <x v="24"/>
    </i>
    <i r="2">
      <x v="25"/>
    </i>
    <i r="2">
      <x v="26"/>
    </i>
    <i r="2">
      <x v="27"/>
    </i>
    <i>
      <x v="1"/>
    </i>
    <i r="1">
      <x v="11"/>
    </i>
    <i r="2">
      <x v="28"/>
    </i>
    <i r="2">
      <x v="37"/>
    </i>
    <i r="2">
      <x v="41"/>
    </i>
    <i r="2">
      <x v="45"/>
    </i>
    <i r="1">
      <x v="12"/>
    </i>
    <i r="2">
      <x v="29"/>
    </i>
    <i r="2">
      <x v="42"/>
    </i>
    <i r="2">
      <x v="46"/>
    </i>
    <i r="1">
      <x v="13"/>
    </i>
    <i r="2">
      <x v="30"/>
    </i>
    <i r="2">
      <x v="31"/>
    </i>
    <i r="2">
      <x v="32"/>
    </i>
    <i r="2">
      <x v="33"/>
    </i>
    <i r="2">
      <x v="34"/>
    </i>
    <i r="2">
      <x v="38"/>
    </i>
    <i r="2">
      <x v="39"/>
    </i>
    <i r="2">
      <x v="43"/>
    </i>
    <i r="2">
      <x v="47"/>
    </i>
    <i r="1">
      <x v="14"/>
    </i>
    <i r="2">
      <x v="36"/>
    </i>
    <i r="2">
      <x v="40"/>
    </i>
    <i r="2">
      <x v="44"/>
    </i>
    <i r="2">
      <x v="48"/>
    </i>
    <i r="2">
      <x v="52"/>
    </i>
    <i r="2">
      <x v="53"/>
    </i>
    <i r="1">
      <x v="15"/>
    </i>
    <i r="2">
      <x v="49"/>
    </i>
    <i r="2">
      <x v="50"/>
    </i>
    <i r="2">
      <x v="51"/>
    </i>
    <i r="1">
      <x v="23"/>
    </i>
    <i r="2">
      <x v="73"/>
    </i>
    <i>
      <x v="2"/>
    </i>
    <i r="1">
      <x v="16"/>
    </i>
    <i r="2">
      <x v="54"/>
    </i>
    <i>
      <x v="4"/>
    </i>
    <i r="1">
      <x v="17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18"/>
    </i>
    <i r="2">
      <x v="61"/>
    </i>
    <i r="2">
      <x v="64"/>
    </i>
    <i r="2">
      <x v="76"/>
    </i>
    <i r="1">
      <x v="19"/>
    </i>
    <i r="2">
      <x v="62"/>
    </i>
    <i r="2">
      <x v="65"/>
    </i>
    <i r="2">
      <x v="75"/>
    </i>
    <i r="1">
      <x v="20"/>
    </i>
    <i r="2">
      <x v="63"/>
    </i>
    <i>
      <x v="5"/>
    </i>
    <i r="1">
      <x v="21"/>
    </i>
    <i r="2">
      <x v="66"/>
    </i>
    <i r="2">
      <x v="67"/>
    </i>
    <i>
      <x v="6"/>
    </i>
    <i r="1">
      <x v="22"/>
    </i>
    <i r="2">
      <x v="68"/>
    </i>
    <i r="2">
      <x v="69"/>
    </i>
    <i r="2">
      <x v="70"/>
    </i>
    <i r="2">
      <x v="71"/>
    </i>
    <i t="grand">
      <x/>
    </i>
  </rowItems>
  <colFields count="2">
    <field x="1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</colItems>
  <dataFields count="3">
    <dataField name="MOOE" fld="29" baseField="11" baseItem="0"/>
    <dataField name="CO" fld="30" baseField="11" baseItem="0"/>
    <dataField name="TOTAL" fld="31" baseField="11" baseItem="0" numFmtId="179"/>
  </dataFields>
  <formats count="26">
    <format dxfId="3715">
      <pivotArea outline="0" collapsedLevelsAreSubtotals="1" fieldPosition="0"/>
    </format>
    <format dxfId="3716">
      <pivotArea field="1" type="button" dataOnly="0" labelOnly="1" outline="0" fieldPosition="0"/>
    </format>
    <format dxfId="3717">
      <pivotArea type="topRight" dataOnly="0" labelOnly="1" outline="0" fieldPosition="0"/>
    </format>
    <format dxfId="3718">
      <pivotArea dataOnly="0" labelOnly="1" fieldPosition="0">
        <references count="1">
          <reference field="1" count="0"/>
        </references>
      </pivotArea>
    </format>
    <format dxfId="3719">
      <pivotArea type="origin" dataOnly="0" labelOnly="1" outline="0" fieldPosition="0"/>
    </format>
    <format dxfId="3720">
      <pivotArea field="6" type="button" dataOnly="0" labelOnly="1" outline="0" fieldPosition="0"/>
    </format>
    <format dxfId="3721">
      <pivotArea field="12" type="button" dataOnly="0" labelOnly="1" outline="0" fieldPosition="0"/>
    </format>
    <format dxfId="3722">
      <pivotArea field="11" type="button" dataOnly="0" labelOnly="1" outline="0" fieldPosition="0"/>
    </format>
    <format dxfId="3723">
      <pivotArea field="1" type="button" dataOnly="0" labelOnly="1" outline="0" fieldPosition="0"/>
    </format>
    <format dxfId="3724">
      <pivotArea field="-2" type="button" dataOnly="0" labelOnly="1" outline="0" fieldPosition="0"/>
    </format>
    <format dxfId="3725">
      <pivotArea type="topRight" dataOnly="0" labelOnly="1" outline="0" fieldPosition="0"/>
    </format>
    <format dxfId="3726">
      <pivotArea dataOnly="0" labelOnly="1" outline="0" fieldPosition="0">
        <references count="1">
          <reference field="1" count="0"/>
        </references>
      </pivotArea>
    </format>
    <format dxfId="372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372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372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3730">
      <pivotArea type="origin" dataOnly="0" labelOnly="1" outline="0" fieldPosition="0"/>
    </format>
    <format dxfId="3731">
      <pivotArea field="6" type="button" dataOnly="0" labelOnly="1" outline="0" fieldPosition="0"/>
    </format>
    <format dxfId="3732">
      <pivotArea field="12" type="button" dataOnly="0" labelOnly="1" outline="0" fieldPosition="0"/>
    </format>
    <format dxfId="3733">
      <pivotArea field="11" type="button" dataOnly="0" labelOnly="1" outline="0" fieldPosition="0"/>
    </format>
    <format dxfId="3734">
      <pivotArea field="1" type="button" dataOnly="0" labelOnly="1" outline="0" fieldPosition="0"/>
    </format>
    <format dxfId="3735">
      <pivotArea field="-2" type="button" dataOnly="0" labelOnly="1" outline="0" fieldPosition="0"/>
    </format>
    <format dxfId="3736">
      <pivotArea type="topRight" dataOnly="0" labelOnly="1" outline="0" fieldPosition="0"/>
    </format>
    <format dxfId="3737">
      <pivotArea dataOnly="0" labelOnly="1" outline="0" fieldPosition="0">
        <references count="1">
          <reference field="1" count="0"/>
        </references>
      </pivotArea>
    </format>
    <format dxfId="373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373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374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</formats>
  <pivotTableStyleInfo name="PivotStyleMedium1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dataPosition="1" autoFormatId="1" applyNumberFormats="0" applyBorderFormats="0" applyFontFormats="0" applyPatternFormats="0" applyAlignmentFormats="0" applyWidthHeightFormats="1" dataCaption="Values" updatedVersion="8" minRefreshableVersion="3" createdVersion="4" mergeItem="1" rowGrandTotals="0" colGrandTotals="0" compact="0" indent="127" compactData="0" showDrill="1" multipleFieldFilters="0">
  <location ref="A7:K226" firstHeaderRow="1" firstDataRow="3" firstDataCol="3"/>
  <pivotFields count="65">
    <pivotField compact="0" outline="0" subtotalTop="0" showAll="0"/>
    <pivotField axis="axisCol" compact="0" outline="0" subtotalTop="0" multipleItemSelectionAllowed="1" showAll="0">
      <items count="3">
        <item x="1"/>
        <item x="0"/>
        <item t="default"/>
      </items>
    </pivotField>
    <pivotField compact="0" outline="0" subtotalTop="0" showAll="0"/>
    <pivotField compact="0" outline="0" subtotalTop="0" showAll="0"/>
    <pivotField axis="axisRow" compact="0" outline="0" subtotalTop="0" showAll="0">
      <items count="8">
        <item x="0"/>
        <item x="1"/>
        <item m="1" x="5"/>
        <item x="2"/>
        <item x="3"/>
        <item m="1" x="6"/>
        <item x="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9">
        <item x="0"/>
        <item x="1"/>
        <item x="2"/>
        <item x="3"/>
        <item x="4"/>
        <item x="5"/>
        <item m="1" x="7"/>
        <item m="1" x="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81">
        <item m="1" x="7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m="1" x="75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76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7"/>
        <item x="69"/>
        <item x="70"/>
        <item x="71"/>
        <item x="72"/>
        <item x="66"/>
        <item x="68"/>
        <item m="1" x="77"/>
        <item x="29"/>
        <item m="1" x="78"/>
        <item x="53"/>
        <item x="73"/>
        <item x="74"/>
        <item t="default"/>
      </items>
    </pivotField>
    <pivotField compact="0" outline="0" subtotalTop="0" showAll="0">
      <items count="28"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m="1" x="26"/>
        <item x="18"/>
        <item x="19"/>
        <item x="20"/>
        <item x="21"/>
        <item x="22"/>
        <item x="24"/>
        <item x="23"/>
        <item x="12"/>
        <item x="1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>
      <items count="17">
        <item x="11"/>
        <item x="7"/>
        <item x="8"/>
        <item x="9"/>
        <item x="4"/>
        <item x="0"/>
        <item x="1"/>
        <item x="5"/>
        <item x="6"/>
        <item x="2"/>
        <item x="3"/>
        <item x="10"/>
        <item m="1" x="13"/>
        <item m="1" x="14"/>
        <item m="1" x="15"/>
        <item x="12"/>
        <item t="default"/>
      </items>
    </pivotField>
    <pivotField compact="0" outline="0" subtotalTop="0" showAll="0">
      <items count="7">
        <item x="3"/>
        <item m="1" x="5"/>
        <item x="0"/>
        <item x="1"/>
        <item x="2"/>
        <item x="4"/>
        <item t="default"/>
      </items>
    </pivotField>
    <pivotField compact="0" outline="0" subtotalTop="0" showAll="0"/>
    <pivotField compact="0" outline="0" subtotalTop="0" showAll="0">
      <items count="4">
        <item x="0"/>
        <item m="1" x="2"/>
        <item x="1"/>
        <item t="default"/>
      </items>
    </pivotField>
    <pivotField dataField="1"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dataField="1" compact="0" outline="0" subtotalTop="0" numFmtId="2" showAll="0"/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</pivotFields>
  <rowFields count="3">
    <field x="12"/>
    <field x="17"/>
    <field x="4"/>
  </rowFields>
  <rowItems count="217">
    <i>
      <x/>
      <x v="1"/>
      <x/>
    </i>
    <i r="2">
      <x v="1"/>
    </i>
    <i r="2">
      <x v="3"/>
    </i>
    <i r="2">
      <x v="4"/>
    </i>
    <i r="2">
      <x v="6"/>
    </i>
    <i t="default" r="1">
      <x v="1"/>
    </i>
    <i r="1">
      <x v="2"/>
      <x v="6"/>
    </i>
    <i t="default" r="1">
      <x v="2"/>
    </i>
    <i r="1">
      <x v="3"/>
      <x/>
    </i>
    <i r="2">
      <x v="1"/>
    </i>
    <i t="default" r="1">
      <x v="3"/>
    </i>
    <i r="1">
      <x v="4"/>
      <x/>
    </i>
    <i r="2">
      <x v="1"/>
    </i>
    <i t="default" r="1">
      <x v="4"/>
    </i>
    <i r="1">
      <x v="5"/>
      <x/>
    </i>
    <i r="2">
      <x v="1"/>
    </i>
    <i t="default" r="1">
      <x v="5"/>
    </i>
    <i r="1">
      <x v="6"/>
      <x/>
    </i>
    <i r="2">
      <x v="1"/>
    </i>
    <i t="default" r="1">
      <x v="6"/>
    </i>
    <i r="1">
      <x v="7"/>
      <x/>
    </i>
    <i r="2">
      <x v="1"/>
    </i>
    <i r="2">
      <x v="3"/>
    </i>
    <i r="2">
      <x v="4"/>
    </i>
    <i t="default" r="1">
      <x v="7"/>
    </i>
    <i r="1">
      <x v="8"/>
      <x/>
    </i>
    <i r="2">
      <x v="1"/>
    </i>
    <i r="2">
      <x v="3"/>
    </i>
    <i r="2">
      <x v="4"/>
    </i>
    <i t="default" r="1">
      <x v="8"/>
    </i>
    <i r="1">
      <x v="9"/>
      <x v="6"/>
    </i>
    <i t="default" r="1">
      <x v="9"/>
    </i>
    <i r="1">
      <x v="10"/>
      <x v="6"/>
    </i>
    <i t="default" r="1">
      <x v="10"/>
    </i>
    <i r="1">
      <x v="11"/>
      <x v="6"/>
    </i>
    <i t="default" r="1">
      <x v="11"/>
    </i>
    <i r="1">
      <x v="12"/>
      <x v="6"/>
    </i>
    <i t="default" r="1">
      <x v="12"/>
    </i>
    <i r="1">
      <x v="13"/>
      <x v="6"/>
    </i>
    <i t="default" r="1">
      <x v="13"/>
    </i>
    <i r="1">
      <x v="14"/>
      <x/>
    </i>
    <i r="2">
      <x v="1"/>
    </i>
    <i r="2">
      <x v="3"/>
    </i>
    <i r="2">
      <x v="4"/>
    </i>
    <i r="2">
      <x v="6"/>
    </i>
    <i t="default" r="1">
      <x v="14"/>
    </i>
    <i r="1">
      <x v="15"/>
      <x/>
    </i>
    <i r="2">
      <x v="1"/>
    </i>
    <i r="2">
      <x v="3"/>
    </i>
    <i r="2">
      <x v="4"/>
    </i>
    <i t="default" r="1">
      <x v="15"/>
    </i>
    <i r="1">
      <x v="16"/>
      <x/>
    </i>
    <i r="2">
      <x v="1"/>
    </i>
    <i r="2">
      <x v="3"/>
    </i>
    <i r="2">
      <x v="4"/>
    </i>
    <i t="default" r="1">
      <x v="16"/>
    </i>
    <i r="1">
      <x v="17"/>
      <x v="6"/>
    </i>
    <i t="default" r="1">
      <x v="17"/>
    </i>
    <i r="1">
      <x v="18"/>
      <x v="1"/>
    </i>
    <i t="default" r="1">
      <x v="18"/>
    </i>
    <i r="1">
      <x v="19"/>
      <x v="1"/>
    </i>
    <i t="default" r="1">
      <x v="19"/>
    </i>
    <i r="1">
      <x v="20"/>
      <x v="1"/>
    </i>
    <i r="2">
      <x v="6"/>
    </i>
    <i t="default" r="1">
      <x v="20"/>
    </i>
    <i r="1">
      <x v="21"/>
      <x v="1"/>
    </i>
    <i t="default" r="1">
      <x v="21"/>
    </i>
    <i r="1">
      <x v="22"/>
      <x v="6"/>
    </i>
    <i t="default" r="1">
      <x v="22"/>
    </i>
    <i r="1">
      <x v="23"/>
      <x v="6"/>
    </i>
    <i t="default" r="1">
      <x v="23"/>
    </i>
    <i r="1">
      <x v="24"/>
      <x v="6"/>
    </i>
    <i t="default" r="1">
      <x v="24"/>
    </i>
    <i r="1">
      <x v="25"/>
      <x v="6"/>
    </i>
    <i t="default" r="1">
      <x v="25"/>
    </i>
    <i r="1">
      <x v="26"/>
      <x v="6"/>
    </i>
    <i t="default" r="1">
      <x v="26"/>
    </i>
    <i r="1">
      <x v="27"/>
      <x v="6"/>
    </i>
    <i t="default" r="1">
      <x v="27"/>
    </i>
    <i t="default">
      <x/>
    </i>
    <i>
      <x v="1"/>
      <x v="28"/>
      <x v="4"/>
    </i>
    <i r="2">
      <x v="6"/>
    </i>
    <i t="default" r="1">
      <x v="28"/>
    </i>
    <i r="1">
      <x v="29"/>
      <x v="6"/>
    </i>
    <i t="default" r="1">
      <x v="29"/>
    </i>
    <i r="1">
      <x v="31"/>
      <x v="6"/>
    </i>
    <i t="default" r="1">
      <x v="31"/>
    </i>
    <i r="1">
      <x v="32"/>
      <x v="6"/>
    </i>
    <i t="default" r="1">
      <x v="32"/>
    </i>
    <i r="1">
      <x v="33"/>
      <x v="6"/>
    </i>
    <i t="default" r="1">
      <x v="33"/>
    </i>
    <i r="1">
      <x v="34"/>
      <x v="6"/>
    </i>
    <i t="default" r="1">
      <x v="34"/>
    </i>
    <i r="1">
      <x v="35"/>
      <x v="6"/>
    </i>
    <i t="default" r="1">
      <x v="35"/>
    </i>
    <i r="1">
      <x v="36"/>
      <x v="6"/>
    </i>
    <i t="default" r="1">
      <x v="36"/>
    </i>
    <i r="1">
      <x v="37"/>
      <x/>
    </i>
    <i t="default" r="1">
      <x v="37"/>
    </i>
    <i r="1">
      <x v="38"/>
      <x v="6"/>
    </i>
    <i t="default" r="1">
      <x v="38"/>
    </i>
    <i r="1">
      <x v="39"/>
      <x v="6"/>
    </i>
    <i t="default" r="1">
      <x v="39"/>
    </i>
    <i r="1">
      <x v="40"/>
      <x v="6"/>
    </i>
    <i t="default" r="1">
      <x v="40"/>
    </i>
    <i r="1">
      <x v="41"/>
      <x v="1"/>
    </i>
    <i t="default" r="1">
      <x v="41"/>
    </i>
    <i r="1">
      <x v="42"/>
      <x v="1"/>
    </i>
    <i r="2">
      <x v="6"/>
    </i>
    <i t="default" r="1">
      <x v="42"/>
    </i>
    <i r="1">
      <x v="43"/>
      <x v="6"/>
    </i>
    <i t="default" r="1">
      <x v="43"/>
    </i>
    <i r="1">
      <x v="44"/>
      <x v="6"/>
    </i>
    <i t="default" r="1">
      <x v="44"/>
    </i>
    <i r="1">
      <x v="45"/>
      <x v="1"/>
    </i>
    <i t="default" r="1">
      <x v="45"/>
    </i>
    <i r="1">
      <x v="46"/>
      <x v="1"/>
    </i>
    <i r="2">
      <x v="6"/>
    </i>
    <i t="default" r="1">
      <x v="46"/>
    </i>
    <i r="1">
      <x v="47"/>
      <x v="6"/>
    </i>
    <i t="default" r="1">
      <x v="47"/>
    </i>
    <i r="1">
      <x v="48"/>
      <x v="6"/>
    </i>
    <i t="default" r="1">
      <x v="48"/>
    </i>
    <i r="1">
      <x v="49"/>
      <x/>
    </i>
    <i r="2">
      <x v="1"/>
    </i>
    <i r="2">
      <x v="3"/>
    </i>
    <i r="2">
      <x v="4"/>
    </i>
    <i t="default" r="1">
      <x v="49"/>
    </i>
    <i r="1">
      <x v="50"/>
      <x/>
    </i>
    <i r="2">
      <x v="1"/>
    </i>
    <i r="2">
      <x v="4"/>
    </i>
    <i t="default" r="1">
      <x v="50"/>
    </i>
    <i r="1">
      <x v="51"/>
      <x/>
    </i>
    <i r="2">
      <x v="1"/>
    </i>
    <i r="2">
      <x v="3"/>
    </i>
    <i r="2">
      <x v="4"/>
    </i>
    <i t="default" r="1">
      <x v="51"/>
    </i>
    <i r="1">
      <x v="52"/>
      <x v="6"/>
    </i>
    <i t="default" r="1">
      <x v="52"/>
    </i>
    <i r="1">
      <x v="53"/>
      <x v="6"/>
    </i>
    <i t="default" r="1">
      <x v="53"/>
    </i>
    <i r="1">
      <x v="75"/>
      <x v="6"/>
    </i>
    <i t="default" r="1">
      <x v="75"/>
    </i>
    <i t="default">
      <x v="1"/>
    </i>
    <i>
      <x v="2"/>
      <x v="77"/>
      <x v="6"/>
    </i>
    <i t="default" r="1">
      <x v="77"/>
    </i>
    <i t="default">
      <x v="2"/>
    </i>
    <i>
      <x v="3"/>
      <x v="55"/>
      <x/>
    </i>
    <i r="2">
      <x v="1"/>
    </i>
    <i r="2">
      <x v="4"/>
    </i>
    <i t="default" r="1">
      <x v="55"/>
    </i>
    <i r="1">
      <x v="56"/>
      <x/>
    </i>
    <i r="2">
      <x v="1"/>
    </i>
    <i r="2">
      <x v="4"/>
    </i>
    <i t="default" r="1">
      <x v="56"/>
    </i>
    <i r="1">
      <x v="57"/>
      <x/>
    </i>
    <i r="2">
      <x v="1"/>
    </i>
    <i r="2">
      <x v="4"/>
    </i>
    <i t="default" r="1">
      <x v="57"/>
    </i>
    <i r="1">
      <x v="58"/>
      <x/>
    </i>
    <i r="2">
      <x v="1"/>
    </i>
    <i r="2">
      <x v="3"/>
    </i>
    <i r="2">
      <x v="4"/>
    </i>
    <i t="default" r="1">
      <x v="58"/>
    </i>
    <i r="1">
      <x v="59"/>
      <x/>
    </i>
    <i t="default" r="1">
      <x v="59"/>
    </i>
    <i r="1">
      <x v="60"/>
      <x/>
    </i>
    <i r="2">
      <x v="1"/>
    </i>
    <i r="2">
      <x v="4"/>
    </i>
    <i t="default" r="1">
      <x v="60"/>
    </i>
    <i r="1">
      <x v="61"/>
      <x/>
    </i>
    <i r="2">
      <x v="1"/>
    </i>
    <i r="2">
      <x v="3"/>
    </i>
    <i r="2">
      <x v="4"/>
    </i>
    <i t="default" r="1">
      <x v="61"/>
    </i>
    <i r="1">
      <x v="62"/>
      <x/>
    </i>
    <i r="2">
      <x v="1"/>
    </i>
    <i t="default" r="1">
      <x v="62"/>
    </i>
    <i r="1">
      <x v="63"/>
      <x v="1"/>
    </i>
    <i r="2">
      <x v="4"/>
    </i>
    <i t="default" r="1">
      <x v="63"/>
    </i>
    <i r="1">
      <x v="64"/>
      <x v="1"/>
    </i>
    <i t="default" r="1">
      <x v="64"/>
    </i>
    <i r="1">
      <x v="65"/>
      <x v="1"/>
    </i>
    <i t="default" r="1">
      <x v="65"/>
    </i>
    <i r="1">
      <x v="78"/>
      <x/>
    </i>
    <i r="2">
      <x v="1"/>
    </i>
    <i t="default" r="1">
      <x v="78"/>
    </i>
    <i r="1">
      <x v="79"/>
      <x v="1"/>
    </i>
    <i t="default" r="1">
      <x v="79"/>
    </i>
    <i t="default">
      <x v="3"/>
    </i>
    <i>
      <x v="4"/>
      <x v="66"/>
      <x/>
    </i>
    <i r="2">
      <x v="1"/>
    </i>
    <i r="2">
      <x v="4"/>
    </i>
    <i t="default" r="1">
      <x v="66"/>
    </i>
    <i r="1">
      <x v="67"/>
      <x/>
    </i>
    <i r="2">
      <x v="1"/>
    </i>
    <i r="2">
      <x v="4"/>
    </i>
    <i t="default" r="1">
      <x v="67"/>
    </i>
    <i r="1">
      <x v="72"/>
      <x/>
    </i>
    <i r="2">
      <x v="1"/>
    </i>
    <i r="2">
      <x v="4"/>
    </i>
    <i t="default" r="1">
      <x v="72"/>
    </i>
    <i r="1">
      <x v="73"/>
      <x/>
    </i>
    <i r="2">
      <x v="1"/>
    </i>
    <i r="2">
      <x v="4"/>
    </i>
    <i t="default" r="1">
      <x v="73"/>
    </i>
    <i t="default">
      <x v="4"/>
    </i>
    <i>
      <x v="5"/>
      <x v="68"/>
      <x v="6"/>
    </i>
    <i t="default" r="1">
      <x v="68"/>
    </i>
    <i r="1">
      <x v="69"/>
      <x v="6"/>
    </i>
    <i t="default" r="1">
      <x v="69"/>
    </i>
    <i r="1">
      <x v="70"/>
      <x v="6"/>
    </i>
    <i t="default" r="1">
      <x v="70"/>
    </i>
    <i r="1">
      <x v="71"/>
      <x v="6"/>
    </i>
    <i t="default" r="1">
      <x v="71"/>
    </i>
    <i t="default">
      <x v="5"/>
    </i>
  </rowItems>
  <colFields count="2">
    <field x="1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dataFields count="4">
    <dataField name="PHYSICAL TARGET" fld="36" baseField="12" baseItem="2"/>
    <dataField name="GROUP BENEF" fld="44" baseField="12" baseItem="2"/>
    <dataField name="Sum of TOTAL INDIV" fld="40" baseField="0" baseItem="0"/>
    <dataField name="ALLOCATION (Php'000)" fld="39" baseField="12" baseItem="0"/>
  </dataFields>
  <formats count="53">
    <format dxfId="3741">
      <pivotArea field="12" type="button" dataOnly="0" labelOnly="1" outline="0" fieldPosition="0"/>
    </format>
    <format dxfId="3742">
      <pivotArea field="18" type="button" dataOnly="0" labelOnly="1" outline="0" fieldPosition="0"/>
    </format>
    <format dxfId="3743">
      <pivotArea field="17" type="button" dataOnly="0" labelOnly="1" outline="0" fieldPosition="0"/>
    </format>
    <format dxfId="3744">
      <pivotArea field="12" type="button" dataOnly="0" labelOnly="1" outline="0" fieldPosition="0"/>
    </format>
    <format dxfId="3745">
      <pivotArea field="18" type="button" dataOnly="0" labelOnly="1" outline="0" fieldPosition="0"/>
    </format>
    <format dxfId="3746">
      <pivotArea field="17" type="button" dataOnly="0" labelOnly="1" outline="0" fieldPosition="0"/>
    </format>
    <format dxfId="3747">
      <pivotArea type="all" dataOnly="0" outline="0" fieldPosition="0"/>
    </format>
    <format dxfId="3748">
      <pivotArea type="origin" dataOnly="0" labelOnly="1" outline="0" fieldPosition="0"/>
    </format>
    <format dxfId="3749">
      <pivotArea field="12" type="button" dataOnly="0" labelOnly="1" outline="0" fieldPosition="0"/>
    </format>
    <format dxfId="3750">
      <pivotArea field="18" type="button" dataOnly="0" labelOnly="1" outline="0" fieldPosition="0"/>
    </format>
    <format dxfId="3751">
      <pivotArea field="17" type="button" dataOnly="0" labelOnly="1" outline="0" fieldPosition="0"/>
    </format>
    <format dxfId="3752">
      <pivotArea field="35" type="button" dataOnly="0" labelOnly="1" outline="0" fieldPosition="0"/>
    </format>
    <format dxfId="3753">
      <pivotArea field="33" type="button" dataOnly="0" labelOnly="1" outline="0" fieldPosition="0"/>
    </format>
    <format dxfId="3754">
      <pivotArea field="32" type="button" dataOnly="0" labelOnly="1" outline="0" fieldPosition="0"/>
    </format>
    <format dxfId="3755">
      <pivotArea field="-2" type="button" dataOnly="0" labelOnly="1" outline="0" fieldPosition="0"/>
    </format>
    <format dxfId="3756">
      <pivotArea type="topRight" dataOnly="0" labelOnly="1" outline="0" fieldPosition="0"/>
    </format>
    <format dxfId="3757">
      <pivotArea type="origin" dataOnly="0" labelOnly="1" outline="0" fieldPosition="0"/>
    </format>
    <format dxfId="3758">
      <pivotArea field="12" type="button" dataOnly="0" labelOnly="1" outline="0" fieldPosition="0"/>
    </format>
    <format dxfId="3759">
      <pivotArea field="18" type="button" dataOnly="0" labelOnly="1" outline="0" fieldPosition="0"/>
    </format>
    <format dxfId="3760">
      <pivotArea field="17" type="button" dataOnly="0" labelOnly="1" outline="0" fieldPosition="0"/>
    </format>
    <format dxfId="3761">
      <pivotArea field="35" type="button" dataOnly="0" labelOnly="1" outline="0" fieldPosition="0"/>
    </format>
    <format dxfId="3762">
      <pivotArea field="33" type="button" dataOnly="0" labelOnly="1" outline="0" fieldPosition="0"/>
    </format>
    <format dxfId="3763">
      <pivotArea field="32" type="button" dataOnly="0" labelOnly="1" outline="0" fieldPosition="0"/>
    </format>
    <format dxfId="3764">
      <pivotArea field="-2" type="button" dataOnly="0" labelOnly="1" outline="0" fieldPosition="0"/>
    </format>
    <format dxfId="3765">
      <pivotArea type="topRight" dataOnly="0" labelOnly="1" outline="0" fieldPosition="0"/>
    </format>
    <format dxfId="3766">
      <pivotArea dataOnly="0" labelOnly="1" outline="0" fieldPosition="0"/>
    </format>
    <format dxfId="3767">
      <pivotArea field="12" type="button" dataOnly="0" labelOnly="1" outline="0" fieldPosition="0"/>
    </format>
    <format dxfId="3768">
      <pivotArea field="18" type="button" dataOnly="0" labelOnly="1" outline="0" fieldPosition="0"/>
    </format>
    <format dxfId="3769">
      <pivotArea field="17" type="button" dataOnly="0" labelOnly="1" outline="0" fieldPosition="0"/>
    </format>
    <format dxfId="3770">
      <pivotArea dataOnly="0" labelOnly="1" outline="0" fieldPosition="0"/>
    </format>
    <format dxfId="3771">
      <pivotArea field="12" type="button" dataOnly="0" labelOnly="1" outline="0" fieldPosition="0"/>
    </format>
    <format dxfId="3772">
      <pivotArea field="18" type="button" dataOnly="0" labelOnly="1" outline="0" fieldPosition="0"/>
    </format>
    <format dxfId="3773">
      <pivotArea field="17" type="button" dataOnly="0" labelOnly="1" outline="0" fieldPosition="0"/>
    </format>
    <format dxfId="3774">
      <pivotArea dataOnly="0" labelOnly="1" outline="0" fieldPosition="0"/>
    </format>
    <format dxfId="3775">
      <pivotArea type="all" dataOnly="0" outline="0" fieldPosition="0"/>
    </format>
    <format dxfId="3776">
      <pivotArea type="all" dataOnly="0" outline="0" fieldPosition="0"/>
    </format>
    <format dxfId="3777">
      <pivotArea field="12" type="button" dataOnly="0" labelOnly="1" outline="0" fieldPosition="0"/>
    </format>
    <format dxfId="3778">
      <pivotArea field="18" type="button" dataOnly="0" labelOnly="1" outline="0" fieldPosition="0"/>
    </format>
    <format dxfId="3779">
      <pivotArea field="17" type="button" dataOnly="0" labelOnly="1" outline="0" fieldPosition="0"/>
    </format>
    <format dxfId="3780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3781">
      <pivotArea field="12" type="button" dataOnly="0" labelOnly="1" outline="0" fieldPosition="0"/>
    </format>
    <format dxfId="3782">
      <pivotArea field="18" type="button" dataOnly="0" labelOnly="1" outline="0" fieldPosition="0"/>
    </format>
    <format dxfId="3783">
      <pivotArea field="17" type="button" dataOnly="0" labelOnly="1" outline="0" fieldPosition="0"/>
    </format>
    <format dxfId="3784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3785">
      <pivotArea field="12" type="button" dataOnly="0" labelOnly="1" outline="0" fieldPosition="0"/>
    </format>
    <format dxfId="3786">
      <pivotArea field="18" type="button" dataOnly="0" labelOnly="1" outline="0" fieldPosition="0"/>
    </format>
    <format dxfId="3787">
      <pivotArea field="17" type="button" dataOnly="0" labelOnly="1" outline="0" fieldPosition="0"/>
    </format>
    <format dxfId="3788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3789">
      <pivotArea outline="0" collapsedLevelsAreSubtotals="1" fieldPosition="0"/>
    </format>
    <format dxfId="3790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3791">
      <pivotArea field="4" type="button" dataOnly="0" labelOnly="1" outline="0" fieldPosition="0"/>
    </format>
    <format dxfId="3792">
      <pivotArea dataOnly="0" outline="0" fieldPosition="0">
        <references count="1">
          <reference field="17" count="0" defaultSubtotal="1"/>
        </references>
      </pivotArea>
    </format>
    <format dxfId="3793">
      <pivotArea dataOnly="0" outline="0" fieldPosition="0">
        <references count="1">
          <reference field="17" count="0" defaultSubtotal="1"/>
        </references>
      </pivotArea>
    </format>
  </formats>
  <pivotTableStyleInfo name="PivotStyleMedium1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4" mergeItem="1" compact="0" indent="127" outline="1" compactData="0" outlineData="1" showDrill="1" multipleFieldFilters="0">
  <location ref="A7:D113" firstHeaderRow="1" firstDataRow="1" firstDataCol="3" rowPageCount="1" colPageCount="1"/>
  <pivotFields count="65">
    <pivotField compact="0" showAll="0"/>
    <pivotField axis="axisPage" compact="0" multipleItemSelectionAllowed="1" showAll="0">
      <items count="3">
        <item x="0"/>
        <item h="1"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9">
        <item x="0"/>
        <item x="1"/>
        <item x="2"/>
        <item x="3"/>
        <item x="4"/>
        <item x="5"/>
        <item m="1" x="7"/>
        <item m="1" x="6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81">
        <item m="1" x="7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m="1" x="75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76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7"/>
        <item x="69"/>
        <item x="70"/>
        <item x="71"/>
        <item x="72"/>
        <item x="66"/>
        <item x="68"/>
        <item m="1" x="77"/>
        <item x="29"/>
        <item m="1" x="78"/>
        <item x="53"/>
        <item x="73"/>
        <item x="74"/>
        <item t="default"/>
      </items>
    </pivotField>
    <pivotField axis="axisRow" compact="0" defaultSubtotal="0" showAll="0">
      <items count="27"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m="1" x="26"/>
        <item x="18"/>
        <item x="19"/>
        <item x="20"/>
        <item x="21"/>
        <item x="22"/>
        <item x="24"/>
        <item x="23"/>
        <item x="12"/>
        <item x="17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7">
        <item x="11"/>
        <item x="7"/>
        <item x="8"/>
        <item x="9"/>
        <item x="4"/>
        <item x="0"/>
        <item x="1"/>
        <item x="5"/>
        <item x="6"/>
        <item x="2"/>
        <item x="3"/>
        <item x="10"/>
        <item m="1" x="13"/>
        <item m="1" x="14"/>
        <item m="1" x="15"/>
        <item x="12"/>
        <item t="default"/>
      </items>
    </pivotField>
    <pivotField compact="0" showAll="0">
      <items count="7">
        <item x="3"/>
        <item m="1" x="5"/>
        <item x="0"/>
        <item x="1"/>
        <item x="2"/>
        <item x="4"/>
        <item t="default"/>
      </items>
    </pivotField>
    <pivotField compact="0" showAll="0"/>
    <pivotField compact="0" showAll="0">
      <items count="4">
        <item x="0"/>
        <item m="1" x="2"/>
        <item x="1"/>
        <item t="default"/>
      </items>
    </pivotField>
    <pivotField compact="0" defaultSubtotal="0" showAll="0"/>
    <pivotField compact="0" showAll="0"/>
    <pivotField compact="0" showAll="0"/>
    <pivotField dataField="1" compact="0" showAll="0"/>
    <pivotField compact="0" numFmtId="2" showAll="0"/>
    <pivotField compact="0" showAll="0"/>
    <pivotField compact="0" showAll="0"/>
    <pivotField compact="0" showAll="0"/>
    <pivotField compact="0" showAll="0"/>
    <pivotField compact="0" defaultSubtotal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3">
    <field x="12"/>
    <field x="18"/>
    <field x="17"/>
  </rowFields>
  <rowItems count="106">
    <i>
      <x/>
    </i>
    <i r="1">
      <x v="1"/>
    </i>
    <i r="2">
      <x v="1"/>
    </i>
    <i r="1">
      <x v="2"/>
    </i>
    <i r="2">
      <x v="2"/>
    </i>
    <i r="2">
      <x v="9"/>
    </i>
    <i r="2">
      <x v="10"/>
    </i>
    <i r="1">
      <x v="3"/>
    </i>
    <i r="2">
      <x v="3"/>
    </i>
    <i r="2">
      <x v="4"/>
    </i>
    <i r="1">
      <x v="4"/>
    </i>
    <i r="2">
      <x v="5"/>
    </i>
    <i r="2">
      <x v="6"/>
    </i>
    <i r="1">
      <x v="5"/>
    </i>
    <i r="2">
      <x v="7"/>
    </i>
    <i r="2">
      <x v="8"/>
    </i>
    <i r="1">
      <x v="6"/>
    </i>
    <i r="2">
      <x v="11"/>
    </i>
    <i r="2">
      <x v="12"/>
    </i>
    <i r="2">
      <x v="13"/>
    </i>
    <i r="2">
      <x v="17"/>
    </i>
    <i r="1">
      <x v="7"/>
    </i>
    <i r="2">
      <x v="14"/>
    </i>
    <i r="2">
      <x v="15"/>
    </i>
    <i r="2">
      <x v="16"/>
    </i>
    <i r="1">
      <x v="8"/>
    </i>
    <i r="2">
      <x v="18"/>
    </i>
    <i r="2">
      <x v="19"/>
    </i>
    <i r="1">
      <x v="9"/>
    </i>
    <i r="2">
      <x v="20"/>
    </i>
    <i r="2">
      <x v="21"/>
    </i>
    <i r="1">
      <x v="10"/>
    </i>
    <i r="2">
      <x v="22"/>
    </i>
    <i r="2">
      <x v="23"/>
    </i>
    <i r="2">
      <x v="24"/>
    </i>
    <i r="2">
      <x v="25"/>
    </i>
    <i r="2">
      <x v="26"/>
    </i>
    <i r="2">
      <x v="27"/>
    </i>
    <i>
      <x v="1"/>
    </i>
    <i r="1">
      <x v="11"/>
    </i>
    <i r="2">
      <x v="28"/>
    </i>
    <i r="2">
      <x v="37"/>
    </i>
    <i r="2">
      <x v="41"/>
    </i>
    <i r="2">
      <x v="45"/>
    </i>
    <i r="1">
      <x v="12"/>
    </i>
    <i r="2">
      <x v="29"/>
    </i>
    <i r="2">
      <x v="42"/>
    </i>
    <i r="2">
      <x v="46"/>
    </i>
    <i r="1">
      <x v="13"/>
    </i>
    <i r="2">
      <x v="31"/>
    </i>
    <i r="2">
      <x v="32"/>
    </i>
    <i r="2">
      <x v="33"/>
    </i>
    <i r="2">
      <x v="34"/>
    </i>
    <i r="2">
      <x v="35"/>
    </i>
    <i r="2">
      <x v="38"/>
    </i>
    <i r="2">
      <x v="39"/>
    </i>
    <i r="2">
      <x v="43"/>
    </i>
    <i r="2">
      <x v="47"/>
    </i>
    <i r="1">
      <x v="14"/>
    </i>
    <i r="2">
      <x v="31"/>
    </i>
    <i r="1">
      <x v="15"/>
    </i>
    <i r="2">
      <x v="36"/>
    </i>
    <i r="2">
      <x v="40"/>
    </i>
    <i r="2">
      <x v="44"/>
    </i>
    <i r="2">
      <x v="48"/>
    </i>
    <i r="2">
      <x v="52"/>
    </i>
    <i r="2">
      <x v="53"/>
    </i>
    <i r="1">
      <x v="16"/>
    </i>
    <i r="2">
      <x v="49"/>
    </i>
    <i r="2">
      <x v="50"/>
    </i>
    <i r="2">
      <x v="51"/>
    </i>
    <i r="1">
      <x v="25"/>
    </i>
    <i r="2">
      <x v="75"/>
    </i>
    <i>
      <x v="2"/>
    </i>
    <i r="1">
      <x v="26"/>
    </i>
    <i r="2">
      <x v="77"/>
    </i>
    <i>
      <x v="3"/>
    </i>
    <i r="1">
      <x v="18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19"/>
    </i>
    <i r="2">
      <x v="61"/>
    </i>
    <i r="2">
      <x v="64"/>
    </i>
    <i r="1">
      <x v="20"/>
    </i>
    <i r="2">
      <x v="62"/>
    </i>
    <i r="2">
      <x v="65"/>
    </i>
    <i r="1">
      <x v="21"/>
    </i>
    <i r="2">
      <x v="63"/>
    </i>
    <i>
      <x v="4"/>
    </i>
    <i r="1">
      <x v="22"/>
    </i>
    <i r="2">
      <x v="66"/>
    </i>
    <i r="2">
      <x v="67"/>
    </i>
    <i r="1">
      <x v="24"/>
    </i>
    <i r="2">
      <x v="72"/>
    </i>
    <i r="2">
      <x v="73"/>
    </i>
    <i>
      <x v="5"/>
    </i>
    <i r="1">
      <x v="23"/>
    </i>
    <i r="2">
      <x v="68"/>
    </i>
    <i r="2">
      <x v="69"/>
    </i>
    <i r="2">
      <x v="70"/>
    </i>
    <i r="2">
      <x v="71"/>
    </i>
    <i t="grand">
      <x/>
    </i>
  </rowItems>
  <colItems count="1">
    <i/>
  </colItems>
  <pageFields count="1">
    <pageField fld="1"/>
  </pageFields>
  <dataFields count="1">
    <dataField name="ALLOCATION (Php'000)" fld="39" baseField="12" baseItem="0"/>
  </dataFields>
  <formats count="36">
    <format dxfId="3794">
      <pivotArea field="12" type="button" dataOnly="0" labelOnly="1" outline="0" fieldPosition="0"/>
    </format>
    <format dxfId="3795">
      <pivotArea field="18" type="button" dataOnly="0" labelOnly="1" outline="0" fieldPosition="0"/>
    </format>
    <format dxfId="3796">
      <pivotArea field="17" type="button" dataOnly="0" labelOnly="1" outline="0" fieldPosition="0"/>
    </format>
    <format dxfId="3797">
      <pivotArea field="12" type="button" dataOnly="0" labelOnly="1" outline="0" fieldPosition="0"/>
    </format>
    <format dxfId="3798">
      <pivotArea field="18" type="button" dataOnly="0" labelOnly="1" outline="0" fieldPosition="0"/>
    </format>
    <format dxfId="3799">
      <pivotArea field="17" type="button" dataOnly="0" labelOnly="1" outline="0" fieldPosition="0"/>
    </format>
    <format dxfId="3800">
      <pivotArea type="all" dataOnly="0" outline="0" fieldPosition="0"/>
    </format>
    <format dxfId="3801">
      <pivotArea type="origin" dataOnly="0" labelOnly="1" outline="0" fieldPosition="0"/>
    </format>
    <format dxfId="3802">
      <pivotArea field="12" type="button" dataOnly="0" labelOnly="1" outline="0" fieldPosition="0"/>
    </format>
    <format dxfId="3803">
      <pivotArea field="18" type="button" dataOnly="0" labelOnly="1" outline="0" fieldPosition="0"/>
    </format>
    <format dxfId="3804">
      <pivotArea field="17" type="button" dataOnly="0" labelOnly="1" outline="0" fieldPosition="0"/>
    </format>
    <format dxfId="3805">
      <pivotArea field="35" type="button" dataOnly="0" labelOnly="1" outline="0" fieldPosition="0"/>
    </format>
    <format dxfId="3806">
      <pivotArea field="33" type="button" dataOnly="0" labelOnly="1" outline="0" fieldPosition="0"/>
    </format>
    <format dxfId="3807">
      <pivotArea field="32" type="button" dataOnly="0" labelOnly="1" outline="0" fieldPosition="0"/>
    </format>
    <format dxfId="3808">
      <pivotArea field="-2" type="button" dataOnly="0" labelOnly="1" outline="0" fieldPosition="0"/>
    </format>
    <format dxfId="3809">
      <pivotArea type="topRight" dataOnly="0" labelOnly="1" outline="0" fieldPosition="0"/>
    </format>
    <format dxfId="3810">
      <pivotArea type="origin" dataOnly="0" labelOnly="1" outline="0" fieldPosition="0"/>
    </format>
    <format dxfId="3811">
      <pivotArea field="12" type="button" dataOnly="0" labelOnly="1" outline="0" fieldPosition="0"/>
    </format>
    <format dxfId="3812">
      <pivotArea field="18" type="button" dataOnly="0" labelOnly="1" outline="0" fieldPosition="0"/>
    </format>
    <format dxfId="3813">
      <pivotArea field="17" type="button" dataOnly="0" labelOnly="1" outline="0" fieldPosition="0"/>
    </format>
    <format dxfId="3814">
      <pivotArea field="35" type="button" dataOnly="0" labelOnly="1" outline="0" fieldPosition="0"/>
    </format>
    <format dxfId="3815">
      <pivotArea field="33" type="button" dataOnly="0" labelOnly="1" outline="0" fieldPosition="0"/>
    </format>
    <format dxfId="3816">
      <pivotArea field="32" type="button" dataOnly="0" labelOnly="1" outline="0" fieldPosition="0"/>
    </format>
    <format dxfId="3817">
      <pivotArea field="-2" type="button" dataOnly="0" labelOnly="1" outline="0" fieldPosition="0"/>
    </format>
    <format dxfId="3818">
      <pivotArea type="topRight" dataOnly="0" labelOnly="1" outline="0" fieldPosition="0"/>
    </format>
    <format dxfId="3819">
      <pivotArea dataOnly="0" labelOnly="1" outline="0" fieldPosition="0"/>
    </format>
    <format dxfId="3820">
      <pivotArea field="12" type="button" dataOnly="0" labelOnly="1" outline="0" fieldPosition="0"/>
    </format>
    <format dxfId="3821">
      <pivotArea field="18" type="button" dataOnly="0" labelOnly="1" outline="0" fieldPosition="0"/>
    </format>
    <format dxfId="3822">
      <pivotArea field="17" type="button" dataOnly="0" labelOnly="1" outline="0" fieldPosition="0"/>
    </format>
    <format dxfId="3823">
      <pivotArea dataOnly="0" labelOnly="1" outline="0" fieldPosition="0"/>
    </format>
    <format dxfId="3824">
      <pivotArea field="12" type="button" dataOnly="0" labelOnly="1" outline="0" fieldPosition="0"/>
    </format>
    <format dxfId="3825">
      <pivotArea field="18" type="button" dataOnly="0" labelOnly="1" outline="0" fieldPosition="0"/>
    </format>
    <format dxfId="3826">
      <pivotArea field="17" type="button" dataOnly="0" labelOnly="1" outline="0" fieldPosition="0"/>
    </format>
    <format dxfId="3827">
      <pivotArea dataOnly="0" labelOnly="1" outline="0" fieldPosition="0"/>
    </format>
    <format dxfId="3828">
      <pivotArea type="all" dataOnly="0" outline="0" fieldPosition="0"/>
    </format>
    <format dxfId="3829">
      <pivotArea type="all" dataOnly="0" outline="0" fieldPosition="0"/>
    </format>
  </formats>
  <pivotTableStyleInfo name="PivotStyleMedium1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8" minRefreshableVersion="3" createdVersion="4" colGrandTotals="0" compact="0" indent="0" outline="1" compactData="0" outlineData="1" showDrill="1" multipleFieldFilters="0">
  <location ref="I6:N317" firstHeaderRow="1" firstDataRow="2" firstDataCol="4"/>
  <pivotFields count="41">
    <pivotField compact="0" showAll="0"/>
    <pivotField axis="axisCol" compact="0" showAll="0">
      <items count="4">
        <item x="0"/>
        <item x="1"/>
        <item h="1" x="2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8">
        <item x="0"/>
        <item x="1"/>
        <item x="2"/>
        <item m="1" x="6"/>
        <item x="3"/>
        <item x="4"/>
        <item x="5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78">
        <item m="1" x="7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m="1" x="7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74"/>
        <item x="34"/>
        <item m="1" x="75"/>
        <item x="71"/>
        <item x="72"/>
        <item t="default"/>
      </items>
    </pivotField>
    <pivotField axis="axisRow" compact="0" showAll="0">
      <items count="25"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1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7">
        <item x="8"/>
        <item x="3"/>
        <item x="0"/>
        <item x="1"/>
        <item x="9"/>
        <item x="4"/>
        <item x="2"/>
        <item x="5"/>
        <item x="6"/>
        <item x="7"/>
        <item x="10"/>
        <item x="11"/>
        <item x="13"/>
        <item x="12"/>
        <item x="14"/>
        <item x="1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4">
    <field x="6"/>
    <field x="12"/>
    <field x="11"/>
    <field x="25"/>
  </rowFields>
  <rowItems count="310">
    <i>
      <x/>
    </i>
    <i r="1">
      <x v="1"/>
    </i>
    <i r="2">
      <x v="1"/>
    </i>
    <i r="3">
      <x v="2"/>
    </i>
    <i r="3">
      <x v="4"/>
    </i>
    <i r="1">
      <x v="2"/>
    </i>
    <i r="2">
      <x v="2"/>
    </i>
    <i r="3">
      <x v="2"/>
    </i>
    <i r="3">
      <x v="4"/>
    </i>
    <i r="2">
      <x v="9"/>
    </i>
    <i r="3">
      <x v="2"/>
    </i>
    <i r="3">
      <x v="4"/>
    </i>
    <i r="2">
      <x v="10"/>
    </i>
    <i r="3">
      <x v="3"/>
    </i>
    <i r="3">
      <x v="6"/>
    </i>
    <i r="1">
      <x v="3"/>
    </i>
    <i r="2">
      <x v="3"/>
    </i>
    <i r="3">
      <x v="2"/>
    </i>
    <i r="3">
      <x v="7"/>
    </i>
    <i r="2">
      <x v="4"/>
    </i>
    <i r="3">
      <x v="3"/>
    </i>
    <i r="3">
      <x v="6"/>
    </i>
    <i r="3">
      <x v="10"/>
    </i>
    <i r="1">
      <x v="4"/>
    </i>
    <i r="2">
      <x v="5"/>
    </i>
    <i r="3">
      <x v="2"/>
    </i>
    <i r="3">
      <x v="6"/>
    </i>
    <i r="2">
      <x v="6"/>
    </i>
    <i r="3">
      <x v="2"/>
    </i>
    <i r="3">
      <x v="6"/>
    </i>
    <i r="3">
      <x v="10"/>
    </i>
    <i r="1">
      <x v="5"/>
    </i>
    <i r="2">
      <x v="7"/>
    </i>
    <i r="3">
      <x v="3"/>
    </i>
    <i r="3">
      <x v="7"/>
    </i>
    <i r="2">
      <x v="8"/>
    </i>
    <i r="3">
      <x v="2"/>
    </i>
    <i r="3">
      <x v="6"/>
    </i>
    <i r="3">
      <x v="10"/>
    </i>
    <i r="1">
      <x v="6"/>
    </i>
    <i r="2">
      <x v="11"/>
    </i>
    <i r="3">
      <x v="2"/>
    </i>
    <i r="3">
      <x v="5"/>
    </i>
    <i r="2">
      <x v="12"/>
    </i>
    <i r="3">
      <x v="2"/>
    </i>
    <i r="3">
      <x v="5"/>
    </i>
    <i r="2">
      <x v="13"/>
    </i>
    <i r="3">
      <x v="2"/>
    </i>
    <i r="3">
      <x v="5"/>
    </i>
    <i r="2">
      <x v="17"/>
    </i>
    <i r="3">
      <x v="2"/>
    </i>
    <i r="3">
      <x v="6"/>
    </i>
    <i r="1">
      <x v="7"/>
    </i>
    <i r="2">
      <x v="14"/>
    </i>
    <i r="3">
      <x v="2"/>
    </i>
    <i r="3">
      <x v="4"/>
    </i>
    <i r="2">
      <x v="15"/>
    </i>
    <i r="3">
      <x v="2"/>
    </i>
    <i r="3">
      <x v="6"/>
    </i>
    <i r="2">
      <x v="16"/>
    </i>
    <i r="3">
      <x v="2"/>
    </i>
    <i r="3">
      <x v="6"/>
    </i>
    <i r="3">
      <x v="10"/>
    </i>
    <i r="1">
      <x v="8"/>
    </i>
    <i r="2">
      <x v="18"/>
    </i>
    <i r="3">
      <x v="2"/>
    </i>
    <i r="3">
      <x v="6"/>
    </i>
    <i r="2">
      <x v="19"/>
    </i>
    <i r="3">
      <x v="2"/>
    </i>
    <i r="3">
      <x v="6"/>
    </i>
    <i r="3">
      <x v="10"/>
    </i>
    <i r="1">
      <x v="9"/>
    </i>
    <i r="2">
      <x v="20"/>
    </i>
    <i r="3">
      <x v="1"/>
    </i>
    <i r="3">
      <x v="4"/>
    </i>
    <i r="2">
      <x v="21"/>
    </i>
    <i r="3">
      <x v="1"/>
    </i>
    <i r="3">
      <x v="4"/>
    </i>
    <i r="1">
      <x v="10"/>
    </i>
    <i r="2">
      <x v="22"/>
    </i>
    <i r="3">
      <x v="3"/>
    </i>
    <i r="3">
      <x v="7"/>
    </i>
    <i r="2">
      <x v="23"/>
    </i>
    <i r="3">
      <x v="3"/>
    </i>
    <i r="3">
      <x v="7"/>
    </i>
    <i r="2">
      <x v="24"/>
    </i>
    <i r="3">
      <x v="3"/>
    </i>
    <i r="3">
      <x v="7"/>
    </i>
    <i r="2">
      <x v="25"/>
    </i>
    <i r="3">
      <x v="3"/>
    </i>
    <i r="3">
      <x v="7"/>
    </i>
    <i r="2">
      <x v="26"/>
    </i>
    <i r="3">
      <x v="5"/>
    </i>
    <i r="3">
      <x v="8"/>
    </i>
    <i r="2">
      <x v="27"/>
    </i>
    <i r="3">
      <x v="5"/>
    </i>
    <i r="3">
      <x v="9"/>
    </i>
    <i>
      <x v="1"/>
    </i>
    <i r="1">
      <x v="11"/>
    </i>
    <i r="2">
      <x v="28"/>
    </i>
    <i r="3">
      <x v="2"/>
    </i>
    <i r="3">
      <x v="6"/>
    </i>
    <i r="2">
      <x v="37"/>
    </i>
    <i r="3">
      <x v="2"/>
    </i>
    <i r="3">
      <x v="7"/>
    </i>
    <i r="2">
      <x v="41"/>
    </i>
    <i r="3">
      <x v="2"/>
    </i>
    <i r="3">
      <x v="10"/>
    </i>
    <i r="2">
      <x v="45"/>
    </i>
    <i r="3">
      <x v="1"/>
    </i>
    <i r="3">
      <x v="3"/>
    </i>
    <i r="1">
      <x v="12"/>
    </i>
    <i r="2">
      <x v="29"/>
    </i>
    <i r="3">
      <x v="2"/>
    </i>
    <i r="3">
      <x v="6"/>
    </i>
    <i r="2">
      <x v="42"/>
    </i>
    <i r="3">
      <x v="2"/>
    </i>
    <i r="3">
      <x v="10"/>
    </i>
    <i r="2">
      <x v="46"/>
    </i>
    <i r="3">
      <x v="1"/>
    </i>
    <i r="3">
      <x v="3"/>
    </i>
    <i r="1">
      <x v="13"/>
    </i>
    <i r="2">
      <x v="30"/>
    </i>
    <i r="3">
      <x v="2"/>
    </i>
    <i r="3">
      <x v="4"/>
    </i>
    <i r="2">
      <x v="31"/>
    </i>
    <i r="3">
      <x v="2"/>
    </i>
    <i r="3">
      <x v="4"/>
    </i>
    <i r="2">
      <x v="32"/>
    </i>
    <i r="3">
      <x v="2"/>
    </i>
    <i r="3">
      <x v="4"/>
    </i>
    <i r="2">
      <x v="33"/>
    </i>
    <i r="3">
      <x v="2"/>
    </i>
    <i r="3">
      <x v="5"/>
    </i>
    <i r="3">
      <x v="10"/>
    </i>
    <i r="2">
      <x v="34"/>
    </i>
    <i r="3">
      <x v="7"/>
    </i>
    <i r="3">
      <x v="8"/>
    </i>
    <i r="3">
      <x v="9"/>
    </i>
    <i r="3">
      <x v="10"/>
    </i>
    <i r="2">
      <x v="38"/>
    </i>
    <i r="3">
      <x v="2"/>
    </i>
    <i r="3">
      <x v="4"/>
    </i>
    <i r="2">
      <x v="39"/>
    </i>
    <i r="3">
      <x v="2"/>
    </i>
    <i r="3">
      <x v="4"/>
    </i>
    <i r="2">
      <x v="43"/>
    </i>
    <i r="3">
      <x v="2"/>
    </i>
    <i r="3">
      <x v="10"/>
    </i>
    <i r="2">
      <x v="47"/>
    </i>
    <i r="3">
      <x v="1"/>
    </i>
    <i r="3">
      <x v="4"/>
    </i>
    <i r="1">
      <x v="14"/>
    </i>
    <i r="2">
      <x v="36"/>
    </i>
    <i r="3">
      <x v="2"/>
    </i>
    <i r="3">
      <x v="6"/>
    </i>
    <i r="2">
      <x v="40"/>
    </i>
    <i r="3">
      <x v="2"/>
    </i>
    <i r="3">
      <x v="6"/>
    </i>
    <i r="2">
      <x v="44"/>
    </i>
    <i r="3">
      <x v="2"/>
    </i>
    <i r="3">
      <x v="7"/>
    </i>
    <i r="2">
      <x v="48"/>
    </i>
    <i r="3">
      <x v="1"/>
    </i>
    <i r="3">
      <x v="3"/>
    </i>
    <i r="2">
      <x v="5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53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1">
      <x v="15"/>
    </i>
    <i r="2">
      <x v="49"/>
    </i>
    <i r="3">
      <x v="2"/>
    </i>
    <i r="3">
      <x v="3"/>
    </i>
    <i r="3">
      <x v="7"/>
    </i>
    <i r="2">
      <x v="50"/>
    </i>
    <i r="3">
      <x v="2"/>
    </i>
    <i r="3">
      <x v="3"/>
    </i>
    <i r="3">
      <x v="7"/>
    </i>
    <i r="2">
      <x v="51"/>
    </i>
    <i r="3">
      <x v="2"/>
    </i>
    <i r="3">
      <x v="3"/>
    </i>
    <i r="3">
      <x v="7"/>
    </i>
    <i r="1">
      <x v="23"/>
    </i>
    <i r="2">
      <x v="73"/>
    </i>
    <i r="3">
      <x v="9"/>
    </i>
    <i r="3">
      <x v="10"/>
    </i>
    <i>
      <x v="2"/>
    </i>
    <i r="1">
      <x v="16"/>
    </i>
    <i r="2">
      <x v="54"/>
    </i>
    <i r="3">
      <x v="2"/>
    </i>
    <i r="3">
      <x v="3"/>
    </i>
    <i r="3">
      <x v="5"/>
    </i>
    <i r="3">
      <x v="6"/>
    </i>
    <i r="3">
      <x v="8"/>
    </i>
    <i r="3">
      <x v="9"/>
    </i>
    <i>
      <x v="4"/>
    </i>
    <i r="1">
      <x v="17"/>
    </i>
    <i r="2">
      <x v="55"/>
    </i>
    <i r="3">
      <x v="5"/>
    </i>
    <i r="3">
      <x v="9"/>
    </i>
    <i r="2">
      <x v="56"/>
    </i>
    <i r="3">
      <x v="2"/>
    </i>
    <i r="3">
      <x v="8"/>
    </i>
    <i r="2">
      <x v="57"/>
    </i>
    <i r="3">
      <x v="2"/>
    </i>
    <i r="3">
      <x v="8"/>
    </i>
    <i r="2">
      <x v="58"/>
    </i>
    <i r="3">
      <x v="2"/>
    </i>
    <i r="3">
      <x v="8"/>
    </i>
    <i r="2">
      <x v="59"/>
    </i>
    <i r="3">
      <x v="2"/>
    </i>
    <i r="3">
      <x v="8"/>
    </i>
    <i r="2">
      <x v="60"/>
    </i>
    <i r="3">
      <x v="5"/>
    </i>
    <i r="3">
      <x v="9"/>
    </i>
    <i r="1">
      <x v="18"/>
    </i>
    <i r="2">
      <x v="61"/>
    </i>
    <i r="3">
      <x v="5"/>
    </i>
    <i r="3">
      <x v="9"/>
    </i>
    <i r="2">
      <x v="64"/>
    </i>
    <i r="3">
      <x v="2"/>
    </i>
    <i r="3">
      <x v="8"/>
    </i>
    <i r="1">
      <x v="19"/>
    </i>
    <i r="2">
      <x v="62"/>
    </i>
    <i r="3">
      <x v="3"/>
    </i>
    <i r="3">
      <x v="9"/>
    </i>
    <i r="2">
      <x v="65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1">
      <x v="20"/>
    </i>
    <i r="2">
      <x v="63"/>
    </i>
    <i r="3">
      <x v="5"/>
    </i>
    <i r="3">
      <x v="10"/>
    </i>
    <i>
      <x v="5"/>
    </i>
    <i r="1">
      <x v="21"/>
    </i>
    <i r="2">
      <x v="66"/>
    </i>
    <i r="3">
      <x v="3"/>
    </i>
    <i r="3">
      <x v="8"/>
    </i>
    <i r="2">
      <x v="67"/>
    </i>
    <i r="3">
      <x v="3"/>
    </i>
    <i r="3">
      <x v="10"/>
    </i>
    <i>
      <x v="6"/>
    </i>
    <i r="1">
      <x v="22"/>
    </i>
    <i r="2">
      <x v="68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69"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70"/>
    </i>
    <i r="3">
      <x v="4"/>
    </i>
    <i r="3">
      <x v="5"/>
    </i>
    <i r="2">
      <x v="71"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t="grand">
      <x/>
    </i>
  </rowItems>
  <colFields count="1">
    <field x="1"/>
  </colFields>
  <colItems count="2">
    <i>
      <x/>
    </i>
    <i>
      <x v="1"/>
    </i>
  </colItems>
  <dataFields count="1">
    <dataField name="Sum of TOTAL (Php '000)" fld="31" baseField="0" baseItem="0" numFmtId="179"/>
  </dataFields>
  <formats count="13">
    <format dxfId="3830">
      <pivotArea outline="0" collapsedLevelsAreSubtotals="1" fieldPosition="0"/>
    </format>
    <format dxfId="3831">
      <pivotArea field="1" type="button" dataOnly="0" labelOnly="1" outline="0" fieldPosition="0"/>
    </format>
    <format dxfId="3832">
      <pivotArea type="topRight" dataOnly="0" labelOnly="1" outline="0" fieldPosition="0"/>
    </format>
    <format dxfId="3833">
      <pivotArea dataOnly="0" labelOnly="1" fieldPosition="0">
        <references count="1">
          <reference field="1" count="0"/>
        </references>
      </pivotArea>
    </format>
    <format dxfId="3834">
      <pivotArea field="6" type="button" dataOnly="0" labelOnly="1" outline="0" fieldPosition="0"/>
    </format>
    <format dxfId="3835">
      <pivotArea field="12" type="button" dataOnly="0" labelOnly="1" outline="0" fieldPosition="0"/>
    </format>
    <format dxfId="3836">
      <pivotArea field="11" type="button" dataOnly="0" labelOnly="1" outline="0" fieldPosition="0"/>
    </format>
    <format dxfId="3837">
      <pivotArea dataOnly="0" labelOnly="1" outline="0" fieldPosition="0">
        <references count="1">
          <reference field="1" count="0"/>
        </references>
      </pivotArea>
    </format>
    <format dxfId="3838">
      <pivotArea field="6" type="button" dataOnly="0" labelOnly="1" outline="0" fieldPosition="0"/>
    </format>
    <format dxfId="3839">
      <pivotArea field="12" type="button" dataOnly="0" labelOnly="1" outline="0" fieldPosition="0"/>
    </format>
    <format dxfId="3840">
      <pivotArea field="11" type="button" dataOnly="0" labelOnly="1" outline="0" fieldPosition="0"/>
    </format>
    <format dxfId="3841">
      <pivotArea dataOnly="0" labelOnly="1" outline="0" fieldPosition="0">
        <references count="1">
          <reference field="1" count="0"/>
        </references>
      </pivotArea>
    </format>
    <format dxfId="3842">
      <pivotArea type="all" dataOnly="0" outline="0" fieldPosition="0"/>
    </format>
  </formats>
  <pivotTableStyleInfo name="PivotStyleMedium1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6" name="Table37" displayName="Table37" ref="A1:AO321" totalsRowShown="0">
  <autoFilter xmlns:etc="http://www.wps.cn/officeDocument/2017/etCustomData" ref="A1:AO321" etc:filterBottomFollowUsedRange="0"/>
  <tableColumns count="41">
    <tableColumn id="1" name="GROUP" dataDxfId="3846">
      <calculatedColumnFormula>VLOOKUP(Table37[[#This Row],[OU]],OU!$A$15:$B$34,2,FALSE)</calculatedColumnFormula>
    </tableColumn>
    <tableColumn id="2" name="PRPOPOSAL/BEDS" dataDxfId="3847"/>
    <tableColumn id="3" name="OU" dataDxfId="3848"/>
    <tableColumn id="9" name="SPECIFIC COMMODITY" dataDxfId="3849"/>
    <tableColumn id="10" name="COMMODITY" dataDxfId="3850">
      <calculatedColumnFormula>VLOOKUP(Table37[[#This Row],[SPECIFIC COMMODITY]],TAGS!$W$48:$X$53,2,FALSE)</calculatedColumnFormula>
    </tableColumn>
    <tableColumn id="11" name="PREXC PROGRAM" dataDxfId="3851">
      <calculatedColumnFormula>VLOOKUP(Table37[[#This Row],[PREXC SUB-PROGRAM]],Table5[],2,FALSE)</calculatedColumnFormula>
    </tableColumn>
    <tableColumn id="12" name="PREXC SUB-PROGRAM" dataDxfId="3852">
      <calculatedColumnFormula>VLOOKUP(Table37[[#This Row],[COMMODITY PREXC SUB-PROGRAM]],TAGS!$U$54:$V$76,2,FALSE)</calculatedColumnFormula>
    </tableColumn>
    <tableColumn id="13" name="COMMODITY PREXC SUB-PROGRAM" dataDxfId="3853"/>
    <tableColumn id="14" name="PI LEVEL 1" dataDxfId="3854">
      <calculatedColumnFormula>VLOOKUP(Table37[[#This Row],[PI LEVEL 3]],'PI LEVEL'!A:C,3,FALSE)</calculatedColumnFormula>
    </tableColumn>
    <tableColumn id="15" name="PI LEVEL 2" dataDxfId="3855">
      <calculatedColumnFormula>VLOOKUP(Table37[[#This Row],[PI LEVEL 3]],Table53729[[Performance Indicator Level 3]:[Performance Indicator Level 1]],2,FALSE)</calculatedColumnFormula>
    </tableColumn>
    <tableColumn id="16" name="PI LEVEL 3" dataDxfId="3856">
      <calculatedColumnFormula>VLOOKUP(Table37[[#This Row],[ACTIVITY]],TAGS!B:P,2,FALSE)</calculatedColumnFormula>
    </tableColumn>
    <tableColumn id="17" name="ACTIVITY" dataDxfId="3857"/>
    <tableColumn id="18" name="STRATEGY" dataDxfId="3858">
      <calculatedColumnFormula>VLOOKUP(Table37[[#This Row],[ACTIVITY]],TAGS!$B:$P,4,FALSE)</calculatedColumnFormula>
    </tableColumn>
    <tableColumn id="59" name="BRIEFER SUMMARY" dataDxfId="3859">
      <calculatedColumnFormula>VLOOKUP(Table37[[#This Row],[ACTIVITY]],TAGS!$B:$P,5,FALSE)</calculatedColumnFormula>
    </tableColumn>
    <tableColumn id="19" name="BRIEFER/PPT SUMMARY" dataDxfId="3860">
      <calculatedColumnFormula>VLOOKUP(Table37[[#This Row],[ACTIVITY]],TAGS!$B:$P,6,FALSE)</calculatedColumnFormula>
    </tableColumn>
    <tableColumn id="20" name="TAG-CLIMATE CHANGE" dataDxfId="3861">
      <calculatedColumnFormula>VLOOKUP(Table37[[#This Row],[ACTIVITY]],TAGS!$B:$P,7,FALSE)</calculatedColumnFormula>
    </tableColumn>
    <tableColumn id="21" name="TAG-SENATE" dataDxfId="3862">
      <calculatedColumnFormula>VLOOKUP(Table37[[#This Row],[ACTIVITY]],TAGS!$B:$P,8,FALSE)</calculatedColumnFormula>
    </tableColumn>
    <tableColumn id="61" name="TAG-PIP" dataDxfId="3863">
      <calculatedColumnFormula>VLOOKUP(Table37[[#This Row],[ACTIVITY]],TAGS!$B:$P,10,FALSE)</calculatedColumnFormula>
    </tableColumn>
    <tableColumn id="62" name="TAG-PICS" dataDxfId="3864">
      <calculatedColumnFormula>VLOOKUP(Table37[[#This Row],[ACTIVITY]],TAGS!$B:$P,11,FALSE)</calculatedColumnFormula>
    </tableColumn>
    <tableColumn id="63" name="8 PARADIGM" dataDxfId="3865">
      <calculatedColumnFormula>VLOOKUP(Table37[[#This Row],[ACTIVITY]],TAGS!$B:$P,12,FALSE)</calculatedColumnFormula>
    </tableColumn>
    <tableColumn id="22" name="ONE DA" dataDxfId="3866">
      <calculatedColumnFormula>VLOOKUP(Table37[[#This Row],[ACTIVITY]],TAGS!$B:$P,13,FALSE)</calculatedColumnFormula>
    </tableColumn>
    <tableColumn id="23" name="SEC LAUREL" dataDxfId="3867">
      <calculatedColumnFormula>VLOOKUP(Table37[[#This Row],[ACTIVITY]],TAGS!$B:$P,14,FALSE)</calculatedColumnFormula>
    </tableColumn>
    <tableColumn id="24" name="TYPE OF PROJECT" dataDxfId="3868">
      <calculatedColumnFormula>VLOOKUP(Table37[[#This Row],[ACTIVITY]],TAGS!$B:$P,15,FALSE)</calculatedColumnFormula>
    </tableColumn>
    <tableColumn id="25" name="INDICATOR TYPE" dataDxfId="3869">
      <calculatedColumnFormula>VLOOKUP(Table37[[#This Row],[PI LEVEL 3]],'PI LEVEL'!$A:$G,7,FALSE)</calculatedColumnFormula>
    </tableColumn>
    <tableColumn id="60" name="TAG-GAD" dataDxfId="3870"/>
    <tableColumn id="27" name="MONTH" dataDxfId="3871"/>
    <tableColumn id="28" name="QUARTER" dataDxfId="3872">
      <calculatedColumnFormula>VLOOKUP(Table37[[#This Row],[MONTH]],TAGS!$W$67:$Y$81,2,FALSE)</calculatedColumnFormula>
    </tableColumn>
    <tableColumn id="29" name="SEMESTER" dataDxfId="3873">
      <calculatedColumnFormula>VLOOKUP(Table37[[#This Row],[MONTH]],TAGS!$W$67:$Y$81,3,FALSE)</calculatedColumnFormula>
    </tableColumn>
    <tableColumn id="5" name="YEAR" dataDxfId="3874">
      <calculatedColumnFormula>VLOOKUP(Table37[[#This Row],[MONTH]],TAGS!$W$67:$Z$81,4,FALSE)</calculatedColumnFormula>
    </tableColumn>
    <tableColumn id="30" name="MOOE (Php '000)" dataDxfId="3875"/>
    <tableColumn id="31" name="CO (Php '000)" dataDxfId="3876"/>
    <tableColumn id="32" name="TOTAL (Php '000)" dataDxfId="3877">
      <calculatedColumnFormula>SUM(Table37[[#This Row],[MOOE (Php ''000)]:[CO (Php ''000)]])</calculatedColumnFormula>
    </tableColumn>
    <tableColumn id="39" name="blank prop/beds" dataDxfId="3878">
      <calculatedColumnFormula>ISBLANK(Table37[[#This Row],[PRPOPOSAL/BEDS]])</calculatedColumnFormula>
    </tableColumn>
    <tableColumn id="40" name="blank ou" dataDxfId="3879">
      <calculatedColumnFormula>ISBLANK(Table37[[#This Row],[OU]])</calculatedColumnFormula>
    </tableColumn>
    <tableColumn id="41" name="blank specific commodity" dataDxfId="3880">
      <calculatedColumnFormula>ISBLANK(Table37[[#This Row],[SPECIFIC COMMODITY]])</calculatedColumnFormula>
    </tableColumn>
    <tableColumn id="42" name="blank commodity subprogram" dataDxfId="3881">
      <calculatedColumnFormula>ISBLANK(Table37[[#This Row],[COMMODITY PREXC SUB-PROGRAM]])</calculatedColumnFormula>
    </tableColumn>
    <tableColumn id="43" name="blank activity" dataDxfId="3882">
      <calculatedColumnFormula>ISBLANK(Table37[[#This Row],[ACTIVITY]])</calculatedColumnFormula>
    </tableColumn>
    <tableColumn id="44" name="blank GAD" dataDxfId="3883">
      <calculatedColumnFormula>ISBLANK(Table37[[#This Row],[TAG-GAD]])</calculatedColumnFormula>
    </tableColumn>
    <tableColumn id="45" name="blank month" dataDxfId="3884">
      <calculatedColumnFormula>ISBLANK(Table37[[#This Row],[MONTH]])</calculatedColumnFormula>
    </tableColumn>
    <tableColumn id="46" name="blank MOOE" dataDxfId="3885">
      <calculatedColumnFormula>ISBLANK(Table37[[#This Row],[MOOE (Php ''000)]])</calculatedColumnFormula>
    </tableColumn>
    <tableColumn id="47" name="blank CO" dataDxfId="3886">
      <calculatedColumnFormula>ISBLANK(Table37[[#This Row],[CO (Php ''000)]])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BM685" totalsRowShown="0">
  <autoFilter xmlns:etc="http://www.wps.cn/officeDocument/2017/etCustomData" ref="A1:BM685" etc:filterBottomFollowUsedRange="0"/>
  <tableColumns count="65">
    <tableColumn id="1" name="GROUP" dataDxfId="3888">
      <calculatedColumnFormula>VLOOKUP(Table3[[#This Row],[OU]],OU!$A$15:$B$34,2,FALSE)</calculatedColumnFormula>
    </tableColumn>
    <tableColumn id="2" name="PRPOPOSAL/BEDS" dataDxfId="3889"/>
    <tableColumn id="3" name="OU" dataDxfId="3890"/>
    <tableColumn id="38" name="CLUSTER BENEFICIARY" dataDxfId="3891"/>
    <tableColumn id="4" name="PROVINCE" dataDxfId="3892"/>
    <tableColumn id="5" name="MUNICIPALITY" dataDxfId="3893"/>
    <tableColumn id="6" name="DISTRICT" dataDxfId="3894">
      <calculatedColumnFormula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calculatedColumnFormula>
    </tableColumn>
    <tableColumn id="7" name="PSGC" dataDxfId="3895">
      <calculatedColumnFormula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calculatedColumnFormula>
    </tableColumn>
    <tableColumn id="8" name="INCOME CLASS" dataDxfId="3896">
      <calculatedColumnFormula>VLOOKUP(Table3[[#This Row],[PSGC]],DISTRICT!$D:$G,4,FALSE)</calculatedColumnFormula>
    </tableColumn>
    <tableColumn id="9" name="SPECIFIC COMMODITY" dataDxfId="3897"/>
    <tableColumn id="10" name="COMMODITY" dataDxfId="3898">
      <calculatedColumnFormula>VLOOKUP(Table3[[#This Row],[SPECIFIC COMMODITY]],TAGS!$W$48:$X$53,2,FALSE)</calculatedColumnFormula>
    </tableColumn>
    <tableColumn id="11" name="PREXC PROGRAM" dataDxfId="3899">
      <calculatedColumnFormula>VLOOKUP(Table3[[#This Row],[PREXC SUB-PROGRAM]],Table5[],2,FALSE)</calculatedColumnFormula>
    </tableColumn>
    <tableColumn id="12" name="PREXC SUB-PROGRAM" dataDxfId="3900">
      <calculatedColumnFormula>VLOOKUP(Table3[[#This Row],[COMMODITY PREXC SUB-PROGRAM]],TAGS!$U$54:$V$76,2,FALSE)</calculatedColumnFormula>
    </tableColumn>
    <tableColumn id="13" name="COMMODITY PREXC SUB-PROGRAM" dataDxfId="3901"/>
    <tableColumn id="14" name="PI LEVEL 1" dataDxfId="3902">
      <calculatedColumnFormula>VLOOKUP(Table3[[#This Row],[PI LEVEL 3]],'PI LEVEL'!A:C,3,FALSE)</calculatedColumnFormula>
    </tableColumn>
    <tableColumn id="15" name="PI LEVEL 2" dataDxfId="3903">
      <calculatedColumnFormula>VLOOKUP(Table3[[#This Row],[PI LEVEL 3]],Table53729[[Performance Indicator Level 3]:[Performance Indicator Level 1]],2,FALSE)</calculatedColumnFormula>
    </tableColumn>
    <tableColumn id="16" name="PI LEVEL 3" dataDxfId="3904">
      <calculatedColumnFormula>VLOOKUP(Table3[[#This Row],[ACTIVITY]],TAGS!B:P,2,FALSE)</calculatedColumnFormula>
    </tableColumn>
    <tableColumn id="17" name="ACTIVITY" dataDxfId="3905"/>
    <tableColumn id="18" name="STRATEGY" dataDxfId="3906">
      <calculatedColumnFormula>VLOOKUP(Table3[[#This Row],[ACTIVITY]],TAGS!$B:$P,4,FALSE)</calculatedColumnFormula>
    </tableColumn>
    <tableColumn id="59" name="BRIEFER SUMMARY" dataDxfId="3907">
      <calculatedColumnFormula>VLOOKUP(Table3[[#This Row],[ACTIVITY]],TAGS!$B:$P,5,FALSE)</calculatedColumnFormula>
    </tableColumn>
    <tableColumn id="19" name="BRIEFER/PPT SUMMARY" dataDxfId="3908">
      <calculatedColumnFormula>VLOOKUP(Table3[[#This Row],[ACTIVITY]],TAGS!$B:$P,6,FALSE)</calculatedColumnFormula>
    </tableColumn>
    <tableColumn id="20" name="TAG-CLIMATE CHANGE" dataDxfId="3909">
      <calculatedColumnFormula>VLOOKUP(Table3[[#This Row],[ACTIVITY]],TAGS!$B:$P,7,FALSE)</calculatedColumnFormula>
    </tableColumn>
    <tableColumn id="21" name="TAG-SENATE" dataDxfId="3910">
      <calculatedColumnFormula>VLOOKUP(Table3[[#This Row],[ACTIVITY]],TAGS!$B:$P,8,FALSE)</calculatedColumnFormula>
    </tableColumn>
    <tableColumn id="61" name="TAG-PIP" dataDxfId="3911">
      <calculatedColumnFormula>VLOOKUP(Table3[[#This Row],[ACTIVITY]],TAGS!$B:$P,10,FALSE)</calculatedColumnFormula>
    </tableColumn>
    <tableColumn id="62" name="TAG-PICS" dataDxfId="3912">
      <calculatedColumnFormula>VLOOKUP(Table3[[#This Row],[ACTIVITY]],TAGS!$B:$P,11,FALSE)</calculatedColumnFormula>
    </tableColumn>
    <tableColumn id="63" name="8 PARADIGM" dataDxfId="3913">
      <calculatedColumnFormula>VLOOKUP(Table3[[#This Row],[ACTIVITY]],TAGS!$B:$P,12,FALSE)</calculatedColumnFormula>
    </tableColumn>
    <tableColumn id="22" name="ONE DA" dataDxfId="3914">
      <calculatedColumnFormula>VLOOKUP(Table3[[#This Row],[ACTIVITY]],TAGS!$B:$P,13,FALSE)</calculatedColumnFormula>
    </tableColumn>
    <tableColumn id="23" name="SEC LAUREL" dataDxfId="3915">
      <calculatedColumnFormula>VLOOKUP(Table3[[#This Row],[ACTIVITY]],TAGS!$B:$P,14,FALSE)</calculatedColumnFormula>
    </tableColumn>
    <tableColumn id="24" name="TYPE OF PROJECT" dataDxfId="3916">
      <calculatedColumnFormula>VLOOKUP(Table3[[#This Row],[ACTIVITY]],TAGS!$B:$P,15,FALSE)</calculatedColumnFormula>
    </tableColumn>
    <tableColumn id="25" name="INDICATOR TYPE" dataDxfId="3917">
      <calculatedColumnFormula>VLOOKUP(Table3[[#This Row],[PI LEVEL 3]],'PI LEVEL'!$A:$G,7,FALSE)</calculatedColumnFormula>
    </tableColumn>
    <tableColumn id="60" name="TAG-GAD" dataDxfId="3918"/>
    <tableColumn id="26" name="UNIT OF MEASURE" dataDxfId="3919">
      <calculatedColumnFormula>VLOOKUP(Table3[[#This Row],[ACTIVITY]],TAGS!$B:$P,3,FALSE)</calculatedColumnFormula>
    </tableColumn>
    <tableColumn id="27" name="MONTH" dataDxfId="3920"/>
    <tableColumn id="28" name="QUARTER" dataDxfId="3921">
      <calculatedColumnFormula>VLOOKUP(Table3[[#This Row],[MONTH]],TAGS!$W$67:$Y$81,2,FALSE)</calculatedColumnFormula>
    </tableColumn>
    <tableColumn id="29" name="SEMESTER" dataDxfId="3922">
      <calculatedColumnFormula>VLOOKUP(Table3[[#This Row],[MONTH]],TAGS!$W$67:$Y$81,3,FALSE)</calculatedColumnFormula>
    </tableColumn>
    <tableColumn id="64" name="YEAR" dataDxfId="3923">
      <calculatedColumnFormula>VLOOKUP(Table3[[#This Row],[MONTH]],TAGS!$W$67:$Z$81,4,FALSE)</calculatedColumnFormula>
    </tableColumn>
    <tableColumn id="30" name="TARGET" dataDxfId="3924"/>
    <tableColumn id="39" name="NEEDS AREA COVERED" dataDxfId="3925">
      <calculatedColumnFormula>VLOOKUP(Table3[[#This Row],[ACTIVITY]],TAGS!$B:$R,16,FALSE)</calculatedColumnFormula>
    </tableColumn>
    <tableColumn id="31" name="AREA COVERED (HA)" dataDxfId="3926">
      <calculatedColumnFormula>Table3[[#This Row],[TARGET]]/20</calculatedColumnFormula>
    </tableColumn>
    <tableColumn id="32" name="TOTAL AMOUNT (Php'000)" dataDxfId="3927"/>
    <tableColumn id="33" name="TOTAL INDIV" dataDxfId="3928">
      <calculatedColumnFormula>SUM(Table3[[#This Row],[MALE BENEFICIARIES]:[FEMALE BENEFICIARIES]])</calculatedColumnFormula>
    </tableColumn>
    <tableColumn id="34" name="AEW BENEFICIARIES" dataDxfId="3929"/>
    <tableColumn id="35" name="MALE BENEFICIARIES" dataDxfId="3930"/>
    <tableColumn id="36" name="FEMALE BENEFICIARIES" dataDxfId="3931"/>
    <tableColumn id="37" name="GROUP BENEFICIARIES" dataDxfId="3932"/>
    <tableColumn id="65" name="NEEDS GROUP BENEF" dataDxfId="3933">
      <calculatedColumnFormula>VLOOKUP(Table3[[#This Row],[ACTIVITY]],TAGS!$B:$R,17,FALSE)</calculatedColumnFormula>
    </tableColumn>
    <tableColumn id="40" name="blank prop/beds" dataDxfId="3934"/>
    <tableColumn id="41" name="blank ou" dataDxfId="3935"/>
    <tableColumn id="42" name="blank prov" dataDxfId="3936"/>
    <tableColumn id="43" name="blank municipality" dataDxfId="3937"/>
    <tableColumn id="44" name="blankspecificcommodity" dataDxfId="3938"/>
    <tableColumn id="45" name="blank prexc" dataDxfId="3939"/>
    <tableColumn id="46" name="blank activity" dataDxfId="3940"/>
    <tableColumn id="47" name="blank GAD" dataDxfId="3941"/>
    <tableColumn id="48" name="blank TARGET" dataDxfId="3942"/>
    <tableColumn id="49" name="blank AREA" dataDxfId="3943"/>
    <tableColumn id="50" name="blank amount" dataDxfId="3944"/>
    <tableColumn id="51" name="blank indiv" dataDxfId="3945"/>
    <tableColumn id="52" name="blank aew" dataDxfId="3946"/>
    <tableColumn id="53" name="blank male" dataDxfId="3947"/>
    <tableColumn id="54" name="blank female" dataDxfId="3948"/>
    <tableColumn id="55" name="blank GROUP" dataDxfId="3949"/>
    <tableColumn id="56" name="blank MONTH" dataDxfId="3950"/>
    <tableColumn id="57" name="blank cluster" dataDxfId="3951"/>
    <tableColumn id="58" name="blank obli/disb" dataDxfId="395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1" name="Table53729" displayName="Table53729" ref="A1:G746" totalsRowShown="0">
  <autoFilter xmlns:etc="http://www.wps.cn/officeDocument/2017/etCustomData" ref="A1:G746" etc:filterBottomFollowUsedRange="0"/>
  <tableColumns count="7">
    <tableColumn id="1" name="Performance Indicator Level 3" dataDxfId="3953"/>
    <tableColumn id="2" name="Performance Indicator Level 2" dataDxfId="3954"/>
    <tableColumn id="3" name="Performance Indicator Level 1" dataDxfId="3955"/>
    <tableColumn id="4" name="Units" dataDxfId="3956"/>
    <tableColumn id="5" name="Sub-Program" dataDxfId="3957"/>
    <tableColumn id="6" name="Client" dataDxfId="3958"/>
    <tableColumn id="7" name="Indicator Type" dataDxfId="3959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R462" totalsRowShown="0">
  <autoFilter xmlns:etc="http://www.wps.cn/officeDocument/2017/etCustomData" ref="A1:R462" etc:filterBottomFollowUsedRange="0"/>
  <tableColumns count="18">
    <tableColumn id="1" name="PAP" dataDxfId="3961"/>
    <tableColumn id="2" name="ACTIVITY ID" dataDxfId="3962"/>
    <tableColumn id="3" name="PI LEVEL 3" dataDxfId="3963"/>
    <tableColumn id="4" name="UNIT OF MEASURE" dataDxfId="3964"/>
    <tableColumn id="5" name="STRATEGY" dataDxfId="3965"/>
    <tableColumn id="6" name="BRIEFER SUMMARY" dataDxfId="3966"/>
    <tableColumn id="7" name="BRIEFER/PPT SUMMARY" dataDxfId="3967"/>
    <tableColumn id="8" name="TAG-CLIMATE CHANGE" dataDxfId="3968"/>
    <tableColumn id="9" name="TAG-SENATE" dataDxfId="3969"/>
    <tableColumn id="10" name="TAG-GAD" dataDxfId="3970"/>
    <tableColumn id="11" name="TAG-PIP" dataDxfId="3971"/>
    <tableColumn id="12" name="TAG-PICS" dataDxfId="3972"/>
    <tableColumn id="13" name="8 PARADIGM" dataDxfId="3973"/>
    <tableColumn id="14" name="ONE DA" dataDxfId="3974"/>
    <tableColumn id="15" name="SEC LAUREL" dataDxfId="3975"/>
    <tableColumn id="16" name="TYPE OF PROJECT" dataDxfId="3976"/>
    <tableColumn id="18" name="NEEDS AREA COVERED" dataDxfId="3977"/>
    <tableColumn id="19" name="FOR GROUP BENEF" dataDxfId="3978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A2:AB8" totalsRowShown="0">
  <autoFilter xmlns:etc="http://www.wps.cn/officeDocument/2017/etCustomData" ref="AA2:AB8" etc:filterBottomFollowUsedRange="0"/>
  <tableColumns count="2">
    <tableColumn id="1" name="PREXC SUB-PROGRAM" dataDxfId="3979"/>
    <tableColumn id="2" name="PREXC PROGRAM" dataDxfId="398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DX372"/>
  <sheetViews>
    <sheetView zoomScale="70" zoomScaleNormal="70" workbookViewId="0">
      <pane xSplit="4" ySplit="9" topLeftCell="E66" activePane="bottomRight" state="frozen"/>
      <selection/>
      <selection pane="topRight"/>
      <selection pane="bottomLeft"/>
      <selection pane="bottomRight" activeCell="J83" sqref="J83"/>
    </sheetView>
  </sheetViews>
  <sheetFormatPr defaultColWidth="8.85714285714286" defaultRowHeight="15"/>
  <cols>
    <col min="1" max="1" width="31.1428571428571" style="73" customWidth="1"/>
    <col min="2" max="2" width="16.8571428571429" style="73" customWidth="1"/>
    <col min="3" max="3" width="16.8571428571429" style="171" customWidth="1"/>
    <col min="4" max="4" width="53.5714285714286" style="172" customWidth="1"/>
    <col min="5" max="10" width="15.5714285714286" style="92" customWidth="1"/>
    <col min="11" max="12" width="15.5714285714286" style="73" customWidth="1"/>
    <col min="13" max="128" width="14.4285714285714" style="73" customWidth="1"/>
    <col min="129" max="16384" width="8.85714285714286" style="73"/>
  </cols>
  <sheetData>
    <row r="1" spans="2:2">
      <c r="B1" s="93" t="s">
        <v>0</v>
      </c>
    </row>
    <row r="2" spans="2:2">
      <c r="B2" s="93" t="s">
        <v>1</v>
      </c>
    </row>
    <row r="3" spans="2:4">
      <c r="B3" s="93" t="s">
        <v>2</v>
      </c>
      <c r="D3" s="173"/>
    </row>
    <row r="4" spans="2:3">
      <c r="B4" s="93" t="s">
        <v>3</v>
      </c>
      <c r="C4" s="171" t="str">
        <f>'CAPTURE SHEET - PHYSICAL'!C2</f>
        <v>RFOII</v>
      </c>
    </row>
    <row r="5" spans="2:3">
      <c r="B5" s="95" t="s">
        <v>4</v>
      </c>
      <c r="C5" s="174" t="s">
        <v>5</v>
      </c>
    </row>
    <row r="6" spans="1:24">
      <c r="A6" s="73">
        <v>1</v>
      </c>
      <c r="B6" s="73">
        <v>2</v>
      </c>
      <c r="C6" s="73">
        <v>3</v>
      </c>
      <c r="D6" s="172">
        <v>4</v>
      </c>
      <c r="E6" s="73">
        <v>5</v>
      </c>
      <c r="F6" s="73">
        <v>6</v>
      </c>
      <c r="G6" s="73">
        <v>7</v>
      </c>
      <c r="H6" s="73">
        <v>8</v>
      </c>
      <c r="I6" s="73">
        <v>9</v>
      </c>
      <c r="J6" s="73">
        <v>10</v>
      </c>
      <c r="K6" s="73">
        <v>11</v>
      </c>
      <c r="L6" s="73">
        <v>12</v>
      </c>
      <c r="M6" s="73">
        <v>13</v>
      </c>
      <c r="N6" s="73">
        <v>14</v>
      </c>
      <c r="O6" s="73">
        <v>15</v>
      </c>
      <c r="P6" s="73">
        <v>16</v>
      </c>
      <c r="Q6" s="73">
        <v>17</v>
      </c>
      <c r="R6" s="73">
        <v>18</v>
      </c>
      <c r="S6" s="73">
        <v>19</v>
      </c>
      <c r="T6" s="73">
        <v>20</v>
      </c>
      <c r="U6" s="73">
        <v>21</v>
      </c>
      <c r="V6" s="73">
        <v>22</v>
      </c>
      <c r="W6" s="73">
        <v>23</v>
      </c>
      <c r="X6" s="73">
        <v>24</v>
      </c>
    </row>
    <row r="7" s="90" customFormat="1" ht="39.6" customHeight="1" spans="2:128">
      <c r="B7" s="77"/>
      <c r="C7" s="77"/>
      <c r="D7" s="77"/>
      <c r="E7" s="77" t="s">
        <v>6</v>
      </c>
      <c r="F7" s="77" t="s">
        <v>7</v>
      </c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/>
      <c r="Z7"/>
      <c r="AA7"/>
      <c r="AB7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J7" s="109"/>
      <c r="CK7" s="109"/>
      <c r="CL7" s="109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  <c r="DQ7" s="109"/>
      <c r="DR7" s="109"/>
      <c r="DS7" s="109"/>
      <c r="DT7" s="109"/>
      <c r="DU7" s="109"/>
      <c r="DV7" s="109"/>
      <c r="DW7" s="109"/>
      <c r="DX7" s="109"/>
    </row>
    <row r="8" s="91" customFormat="1" ht="15.75" spans="2:128">
      <c r="B8" s="81"/>
      <c r="C8" s="81"/>
      <c r="D8" s="81"/>
      <c r="E8" s="102" t="s">
        <v>8</v>
      </c>
      <c r="F8" s="97" t="s">
        <v>8</v>
      </c>
      <c r="G8" s="97" t="s">
        <v>8</v>
      </c>
      <c r="H8" s="97" t="s">
        <v>8</v>
      </c>
      <c r="I8" s="97" t="s">
        <v>8</v>
      </c>
      <c r="J8" s="102" t="s">
        <v>9</v>
      </c>
      <c r="K8" s="97" t="s">
        <v>9</v>
      </c>
      <c r="L8" s="97" t="s">
        <v>9</v>
      </c>
      <c r="M8" s="97" t="s">
        <v>9</v>
      </c>
      <c r="N8" s="97" t="s">
        <v>9</v>
      </c>
      <c r="O8" s="102" t="s">
        <v>10</v>
      </c>
      <c r="P8" s="97" t="s">
        <v>10</v>
      </c>
      <c r="Q8" s="97" t="s">
        <v>10</v>
      </c>
      <c r="R8" s="97" t="s">
        <v>10</v>
      </c>
      <c r="S8" s="97" t="s">
        <v>10</v>
      </c>
      <c r="T8" s="102" t="s">
        <v>11</v>
      </c>
      <c r="U8" s="97" t="s">
        <v>11</v>
      </c>
      <c r="V8" s="97" t="s">
        <v>11</v>
      </c>
      <c r="W8" s="97" t="s">
        <v>11</v>
      </c>
      <c r="X8" s="97" t="s">
        <v>11</v>
      </c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</row>
    <row r="9" s="90" customFormat="1" ht="25.35" customHeight="1" spans="2:128">
      <c r="B9" s="91" t="s">
        <v>12</v>
      </c>
      <c r="C9" s="97" t="s">
        <v>13</v>
      </c>
      <c r="D9" s="91" t="s">
        <v>14</v>
      </c>
      <c r="E9" s="103" t="s">
        <v>15</v>
      </c>
      <c r="F9" s="103" t="s">
        <v>16</v>
      </c>
      <c r="G9" s="102" t="s">
        <v>17</v>
      </c>
      <c r="H9" s="102" t="s">
        <v>18</v>
      </c>
      <c r="I9" s="103" t="s">
        <v>19</v>
      </c>
      <c r="J9" s="103" t="s">
        <v>15</v>
      </c>
      <c r="K9" s="103" t="s">
        <v>16</v>
      </c>
      <c r="L9" s="102" t="s">
        <v>17</v>
      </c>
      <c r="M9" s="102" t="s">
        <v>18</v>
      </c>
      <c r="N9" s="103" t="s">
        <v>19</v>
      </c>
      <c r="O9" s="103" t="s">
        <v>15</v>
      </c>
      <c r="P9" s="103" t="s">
        <v>16</v>
      </c>
      <c r="Q9" s="102" t="s">
        <v>17</v>
      </c>
      <c r="R9" s="102" t="s">
        <v>18</v>
      </c>
      <c r="S9" s="103" t="s">
        <v>19</v>
      </c>
      <c r="T9" s="103" t="s">
        <v>15</v>
      </c>
      <c r="U9" s="103" t="s">
        <v>16</v>
      </c>
      <c r="V9" s="102" t="s">
        <v>17</v>
      </c>
      <c r="W9" s="102" t="s">
        <v>18</v>
      </c>
      <c r="X9" s="103" t="s">
        <v>19</v>
      </c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</row>
    <row r="10" s="90" customFormat="1" ht="15.75" spans="1:128">
      <c r="A10" s="175" t="s">
        <v>20</v>
      </c>
      <c r="B10" s="97" t="s">
        <v>21</v>
      </c>
      <c r="C10" s="97"/>
      <c r="D10" s="97"/>
      <c r="E10" s="98">
        <v>3500</v>
      </c>
      <c r="F10" s="98">
        <v>2</v>
      </c>
      <c r="G10" s="98"/>
      <c r="H10" s="98"/>
      <c r="I10" s="98">
        <v>163</v>
      </c>
      <c r="J10" s="98">
        <v>1465794</v>
      </c>
      <c r="K10" s="98">
        <v>29</v>
      </c>
      <c r="L10" s="98"/>
      <c r="M10" s="98"/>
      <c r="N10" s="98">
        <v>268793</v>
      </c>
      <c r="O10" s="98">
        <v>8596967</v>
      </c>
      <c r="P10" s="98">
        <v>202</v>
      </c>
      <c r="Q10" s="98"/>
      <c r="R10" s="98"/>
      <c r="S10" s="98">
        <v>508173.25</v>
      </c>
      <c r="T10" s="98">
        <v>835951</v>
      </c>
      <c r="U10" s="98">
        <v>22</v>
      </c>
      <c r="V10" s="98"/>
      <c r="W10" s="98"/>
      <c r="X10" s="98">
        <v>11310.75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</row>
    <row r="11" s="90" customFormat="1" ht="15.75" spans="1:128">
      <c r="A11" s="175" t="s">
        <v>22</v>
      </c>
      <c r="B11" s="97" t="s">
        <v>21</v>
      </c>
      <c r="C11" s="97" t="s">
        <v>22</v>
      </c>
      <c r="D11" s="97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</row>
    <row r="12" ht="15.75" spans="1:128">
      <c r="A12" s="175" t="s">
        <v>23</v>
      </c>
      <c r="B12" s="97" t="s">
        <v>21</v>
      </c>
      <c r="C12" s="97" t="s">
        <v>22</v>
      </c>
      <c r="D12" s="97" t="s">
        <v>24</v>
      </c>
      <c r="E12" s="98"/>
      <c r="F12" s="98"/>
      <c r="G12" s="98"/>
      <c r="H12" s="98"/>
      <c r="I12" s="98"/>
      <c r="J12" s="98">
        <v>3000</v>
      </c>
      <c r="K12" s="98">
        <v>8</v>
      </c>
      <c r="L12" s="98"/>
      <c r="M12" s="98"/>
      <c r="N12" s="98">
        <v>150.5</v>
      </c>
      <c r="O12" s="98">
        <v>1000</v>
      </c>
      <c r="P12" s="98">
        <v>2</v>
      </c>
      <c r="Q12" s="98"/>
      <c r="R12" s="98"/>
      <c r="S12" s="98">
        <v>50.5</v>
      </c>
      <c r="T12" s="98">
        <v>2000</v>
      </c>
      <c r="U12" s="98"/>
      <c r="V12" s="98"/>
      <c r="W12" s="98"/>
      <c r="X12" s="98">
        <v>100</v>
      </c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</row>
    <row r="13" ht="15.75" spans="1:128">
      <c r="A13" s="175" t="s">
        <v>25</v>
      </c>
      <c r="B13" s="97" t="s">
        <v>21</v>
      </c>
      <c r="C13" s="97" t="s">
        <v>22</v>
      </c>
      <c r="D13" s="97" t="s">
        <v>26</v>
      </c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>
        <v>9000</v>
      </c>
      <c r="P13" s="98">
        <v>2</v>
      </c>
      <c r="Q13" s="98"/>
      <c r="R13" s="98"/>
      <c r="S13" s="98">
        <v>6000</v>
      </c>
      <c r="T13" s="98"/>
      <c r="U13" s="98"/>
      <c r="V13" s="98"/>
      <c r="W13" s="98"/>
      <c r="X13" s="98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</row>
    <row r="14" ht="15.75" spans="1:128">
      <c r="A14" s="175" t="s">
        <v>27</v>
      </c>
      <c r="B14" s="97" t="s">
        <v>21</v>
      </c>
      <c r="C14" s="97" t="s">
        <v>22</v>
      </c>
      <c r="D14" s="97" t="s">
        <v>28</v>
      </c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>
        <v>275000</v>
      </c>
      <c r="P14" s="98">
        <v>2</v>
      </c>
      <c r="Q14" s="98"/>
      <c r="R14" s="98"/>
      <c r="S14" s="98">
        <v>12375</v>
      </c>
      <c r="T14" s="98"/>
      <c r="U14" s="98"/>
      <c r="V14" s="98"/>
      <c r="W14" s="98"/>
      <c r="X14" s="98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</row>
    <row r="15" ht="15.75" spans="1:128">
      <c r="A15" s="175" t="s">
        <v>29</v>
      </c>
      <c r="B15" s="97" t="s">
        <v>21</v>
      </c>
      <c r="C15" s="97" t="s">
        <v>22</v>
      </c>
      <c r="D15" s="97" t="s">
        <v>30</v>
      </c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>
        <v>2000</v>
      </c>
      <c r="P15" s="98">
        <v>2</v>
      </c>
      <c r="Q15" s="98"/>
      <c r="R15" s="98"/>
      <c r="S15" s="98">
        <v>1360</v>
      </c>
      <c r="T15" s="98"/>
      <c r="U15" s="98"/>
      <c r="V15" s="98"/>
      <c r="W15" s="98"/>
      <c r="X15" s="98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</row>
    <row r="16" ht="15.75" spans="1:128">
      <c r="A16" s="175" t="s">
        <v>31</v>
      </c>
      <c r="B16" s="97" t="s">
        <v>21</v>
      </c>
      <c r="C16" s="97" t="s">
        <v>22</v>
      </c>
      <c r="D16" s="97" t="s">
        <v>32</v>
      </c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>
        <v>250000</v>
      </c>
      <c r="P16" s="98">
        <v>2</v>
      </c>
      <c r="Q16" s="98"/>
      <c r="R16" s="98"/>
      <c r="S16" s="98">
        <v>5000</v>
      </c>
      <c r="T16" s="98"/>
      <c r="U16" s="98"/>
      <c r="V16" s="98"/>
      <c r="W16" s="98"/>
      <c r="X16" s="98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</row>
    <row r="17" ht="15.75" spans="1:128">
      <c r="A17" s="175" t="s">
        <v>33</v>
      </c>
      <c r="B17" s="97" t="s">
        <v>21</v>
      </c>
      <c r="C17" s="97" t="s">
        <v>22</v>
      </c>
      <c r="D17" s="97" t="s">
        <v>34</v>
      </c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>
        <v>125010</v>
      </c>
      <c r="P17" s="98">
        <v>25</v>
      </c>
      <c r="Q17" s="98"/>
      <c r="R17" s="98"/>
      <c r="S17" s="98">
        <v>83340</v>
      </c>
      <c r="T17" s="98"/>
      <c r="U17" s="98"/>
      <c r="V17" s="98"/>
      <c r="W17" s="98"/>
      <c r="X17" s="98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</row>
    <row r="18" ht="15.75" spans="1:128">
      <c r="A18" s="175" t="s">
        <v>35</v>
      </c>
      <c r="B18" s="97" t="s">
        <v>21</v>
      </c>
      <c r="C18" s="97" t="s">
        <v>22</v>
      </c>
      <c r="D18" s="97" t="s">
        <v>36</v>
      </c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>
        <v>694500</v>
      </c>
      <c r="P18" s="98">
        <v>25</v>
      </c>
      <c r="Q18" s="98"/>
      <c r="R18" s="98"/>
      <c r="S18" s="98">
        <v>31252.5</v>
      </c>
      <c r="T18" s="98"/>
      <c r="U18" s="98"/>
      <c r="V18" s="98"/>
      <c r="W18" s="98"/>
      <c r="X18" s="9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</row>
    <row r="19" ht="15.75" spans="1:128">
      <c r="A19" s="175" t="s">
        <v>37</v>
      </c>
      <c r="B19" s="97" t="s">
        <v>21</v>
      </c>
      <c r="C19" s="97" t="s">
        <v>22</v>
      </c>
      <c r="D19" s="97" t="s">
        <v>38</v>
      </c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>
        <v>130000</v>
      </c>
      <c r="P19" s="98">
        <v>3</v>
      </c>
      <c r="Q19" s="98"/>
      <c r="R19" s="98"/>
      <c r="S19" s="98">
        <v>130</v>
      </c>
      <c r="T19" s="98"/>
      <c r="U19" s="98"/>
      <c r="V19" s="98"/>
      <c r="W19" s="98"/>
      <c r="X19" s="98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</row>
    <row r="20" ht="15.75" spans="1:128">
      <c r="A20" s="175" t="s">
        <v>39</v>
      </c>
      <c r="B20" s="97" t="s">
        <v>21</v>
      </c>
      <c r="C20" s="97" t="s">
        <v>22</v>
      </c>
      <c r="D20" s="97" t="s">
        <v>40</v>
      </c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>
        <v>240000</v>
      </c>
      <c r="P20" s="98">
        <v>2</v>
      </c>
      <c r="Q20" s="98"/>
      <c r="R20" s="98"/>
      <c r="S20" s="98">
        <v>360</v>
      </c>
      <c r="T20" s="98"/>
      <c r="U20" s="98"/>
      <c r="V20" s="98"/>
      <c r="W20" s="98"/>
      <c r="X20" s="98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</row>
    <row r="21" ht="15.75" spans="1:128">
      <c r="A21" s="175" t="s">
        <v>41</v>
      </c>
      <c r="B21" s="97" t="s">
        <v>21</v>
      </c>
      <c r="C21" s="97" t="s">
        <v>22</v>
      </c>
      <c r="D21" s="97" t="s">
        <v>42</v>
      </c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>
        <v>3700</v>
      </c>
      <c r="P21" s="98">
        <v>5</v>
      </c>
      <c r="Q21" s="98"/>
      <c r="R21" s="98"/>
      <c r="S21" s="98">
        <v>166.5</v>
      </c>
      <c r="T21" s="98"/>
      <c r="U21" s="98"/>
      <c r="V21" s="98"/>
      <c r="W21" s="98"/>
      <c r="X21" s="98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</row>
    <row r="22" ht="15.75" spans="1:128">
      <c r="A22" s="175" t="s">
        <v>43</v>
      </c>
      <c r="B22" s="97" t="s">
        <v>21</v>
      </c>
      <c r="C22" s="97" t="s">
        <v>43</v>
      </c>
      <c r="D22" s="97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</row>
    <row r="23" ht="15.75" spans="1:128">
      <c r="A23" s="175" t="s">
        <v>44</v>
      </c>
      <c r="B23" s="97" t="s">
        <v>21</v>
      </c>
      <c r="C23" s="97" t="s">
        <v>43</v>
      </c>
      <c r="D23" s="97" t="s">
        <v>24</v>
      </c>
      <c r="E23" s="98"/>
      <c r="F23" s="98"/>
      <c r="G23" s="98"/>
      <c r="H23" s="98"/>
      <c r="I23" s="98"/>
      <c r="J23" s="98">
        <v>4000</v>
      </c>
      <c r="K23" s="98">
        <v>13</v>
      </c>
      <c r="L23" s="98"/>
      <c r="M23" s="98"/>
      <c r="N23" s="98">
        <v>201</v>
      </c>
      <c r="O23" s="98"/>
      <c r="P23" s="98"/>
      <c r="Q23" s="98"/>
      <c r="R23" s="98"/>
      <c r="S23" s="98"/>
      <c r="T23" s="98">
        <v>4000</v>
      </c>
      <c r="U23" s="98">
        <v>4</v>
      </c>
      <c r="V23" s="98"/>
      <c r="W23" s="98"/>
      <c r="X23" s="98">
        <v>201</v>
      </c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</row>
    <row r="24" ht="15.75" spans="1:128">
      <c r="A24" s="175" t="s">
        <v>45</v>
      </c>
      <c r="B24" s="97" t="s">
        <v>21</v>
      </c>
      <c r="C24" s="97" t="s">
        <v>43</v>
      </c>
      <c r="D24" s="97" t="s">
        <v>26</v>
      </c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>
        <v>9000</v>
      </c>
      <c r="P24" s="98">
        <v>2</v>
      </c>
      <c r="Q24" s="98"/>
      <c r="R24" s="98"/>
      <c r="S24" s="98">
        <v>6000</v>
      </c>
      <c r="T24" s="98"/>
      <c r="U24" s="98"/>
      <c r="V24" s="98"/>
      <c r="W24" s="98"/>
      <c r="X24" s="98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</row>
    <row r="25" ht="15.75" spans="1:128">
      <c r="A25" s="175" t="s">
        <v>46</v>
      </c>
      <c r="B25" s="97" t="s">
        <v>21</v>
      </c>
      <c r="C25" s="97" t="s">
        <v>43</v>
      </c>
      <c r="D25" s="97" t="s">
        <v>28</v>
      </c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>
        <v>275000</v>
      </c>
      <c r="P25" s="98">
        <v>2</v>
      </c>
      <c r="Q25" s="98"/>
      <c r="R25" s="98"/>
      <c r="S25" s="98">
        <v>12375</v>
      </c>
      <c r="T25" s="98"/>
      <c r="U25" s="98"/>
      <c r="V25" s="98"/>
      <c r="W25" s="98"/>
      <c r="X25" s="98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</row>
    <row r="26" ht="15.75" spans="1:128">
      <c r="A26" s="175" t="s">
        <v>47</v>
      </c>
      <c r="B26" s="97" t="s">
        <v>21</v>
      </c>
      <c r="C26" s="97" t="s">
        <v>43</v>
      </c>
      <c r="D26" s="97" t="s">
        <v>30</v>
      </c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>
        <v>2000</v>
      </c>
      <c r="P26" s="98">
        <v>2</v>
      </c>
      <c r="Q26" s="98"/>
      <c r="R26" s="98"/>
      <c r="S26" s="98">
        <v>1360</v>
      </c>
      <c r="T26" s="98"/>
      <c r="U26" s="98"/>
      <c r="V26" s="98"/>
      <c r="W26" s="98"/>
      <c r="X26" s="98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</row>
    <row r="27" ht="15.75" spans="1:128">
      <c r="A27" s="175" t="s">
        <v>48</v>
      </c>
      <c r="B27" s="97" t="s">
        <v>21</v>
      </c>
      <c r="C27" s="97" t="s">
        <v>43</v>
      </c>
      <c r="D27" s="97" t="s">
        <v>32</v>
      </c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>
        <v>250000</v>
      </c>
      <c r="P27" s="98">
        <v>2</v>
      </c>
      <c r="Q27" s="98"/>
      <c r="R27" s="98"/>
      <c r="S27" s="98">
        <v>5000</v>
      </c>
      <c r="T27" s="98"/>
      <c r="U27" s="98"/>
      <c r="V27" s="98"/>
      <c r="W27" s="98"/>
      <c r="X27" s="98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</row>
    <row r="28" ht="15.75" spans="1:128">
      <c r="A28" s="175" t="s">
        <v>49</v>
      </c>
      <c r="B28" s="97" t="s">
        <v>21</v>
      </c>
      <c r="C28" s="97" t="s">
        <v>43</v>
      </c>
      <c r="D28" s="97" t="s">
        <v>34</v>
      </c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>
        <v>301140</v>
      </c>
      <c r="P28" s="98">
        <v>35</v>
      </c>
      <c r="Q28" s="98"/>
      <c r="R28" s="98"/>
      <c r="S28" s="98">
        <v>200760</v>
      </c>
      <c r="T28" s="98"/>
      <c r="U28" s="98"/>
      <c r="V28" s="98"/>
      <c r="W28" s="98"/>
      <c r="X28" s="9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</row>
    <row r="29" ht="15.75" spans="1:128">
      <c r="A29" s="175" t="s">
        <v>50</v>
      </c>
      <c r="B29" s="97" t="s">
        <v>21</v>
      </c>
      <c r="C29" s="97" t="s">
        <v>43</v>
      </c>
      <c r="D29" s="97" t="s">
        <v>36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>
        <v>1673000</v>
      </c>
      <c r="P29" s="98">
        <v>35</v>
      </c>
      <c r="Q29" s="98"/>
      <c r="R29" s="98"/>
      <c r="S29" s="98">
        <v>75285</v>
      </c>
      <c r="T29" s="98"/>
      <c r="U29" s="98"/>
      <c r="V29" s="98"/>
      <c r="W29" s="98"/>
      <c r="X29" s="98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</row>
    <row r="30" ht="15.75" spans="1:128">
      <c r="A30" s="175" t="s">
        <v>51</v>
      </c>
      <c r="B30" s="97" t="s">
        <v>21</v>
      </c>
      <c r="C30" s="97" t="s">
        <v>43</v>
      </c>
      <c r="D30" s="97" t="s">
        <v>38</v>
      </c>
      <c r="E30" s="98"/>
      <c r="F30" s="98"/>
      <c r="G30" s="98"/>
      <c r="H30" s="98"/>
      <c r="I30" s="98"/>
      <c r="J30" s="98">
        <v>255000</v>
      </c>
      <c r="K30" s="98">
        <v>2</v>
      </c>
      <c r="L30" s="98"/>
      <c r="M30" s="98"/>
      <c r="N30" s="98">
        <v>255</v>
      </c>
      <c r="O30" s="98">
        <v>200000</v>
      </c>
      <c r="P30" s="98">
        <v>1</v>
      </c>
      <c r="Q30" s="98"/>
      <c r="R30" s="98"/>
      <c r="S30" s="98">
        <v>200</v>
      </c>
      <c r="T30" s="98"/>
      <c r="U30" s="98"/>
      <c r="V30" s="98"/>
      <c r="W30" s="98"/>
      <c r="X30" s="98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</row>
    <row r="31" ht="15.75" spans="1:28">
      <c r="A31" s="175" t="s">
        <v>52</v>
      </c>
      <c r="B31" s="97" t="s">
        <v>21</v>
      </c>
      <c r="C31" s="97" t="s">
        <v>43</v>
      </c>
      <c r="D31" s="97" t="s">
        <v>40</v>
      </c>
      <c r="E31" s="98"/>
      <c r="F31" s="98"/>
      <c r="G31" s="98"/>
      <c r="H31" s="98"/>
      <c r="I31" s="98"/>
      <c r="J31" s="98">
        <v>730000</v>
      </c>
      <c r="K31" s="98">
        <v>2</v>
      </c>
      <c r="L31" s="98"/>
      <c r="M31" s="98"/>
      <c r="N31" s="98">
        <v>1095</v>
      </c>
      <c r="O31" s="98">
        <v>2450000</v>
      </c>
      <c r="P31" s="98">
        <v>6</v>
      </c>
      <c r="Q31" s="98"/>
      <c r="R31" s="98"/>
      <c r="S31" s="98">
        <v>3675</v>
      </c>
      <c r="T31" s="98">
        <v>500000</v>
      </c>
      <c r="U31" s="98">
        <v>1</v>
      </c>
      <c r="V31" s="98"/>
      <c r="W31" s="98"/>
      <c r="X31" s="98">
        <v>750</v>
      </c>
      <c r="Y31"/>
      <c r="Z31"/>
      <c r="AA31"/>
      <c r="AB31"/>
    </row>
    <row r="32" ht="15.75" spans="1:28">
      <c r="A32" s="175" t="s">
        <v>53</v>
      </c>
      <c r="B32" s="97" t="s">
        <v>21</v>
      </c>
      <c r="C32" s="97" t="s">
        <v>43</v>
      </c>
      <c r="D32" s="97" t="s">
        <v>42</v>
      </c>
      <c r="E32" s="98"/>
      <c r="F32" s="98"/>
      <c r="G32" s="98"/>
      <c r="H32" s="98"/>
      <c r="I32" s="98"/>
      <c r="J32" s="98">
        <v>9900</v>
      </c>
      <c r="K32" s="98">
        <v>4</v>
      </c>
      <c r="L32" s="98"/>
      <c r="M32" s="98"/>
      <c r="N32" s="98">
        <v>445.5</v>
      </c>
      <c r="O32" s="98">
        <v>26500</v>
      </c>
      <c r="P32" s="98">
        <v>7</v>
      </c>
      <c r="Q32" s="98"/>
      <c r="R32" s="98"/>
      <c r="S32" s="98">
        <v>1192.5</v>
      </c>
      <c r="T32" s="98">
        <v>5000</v>
      </c>
      <c r="U32" s="98">
        <v>1</v>
      </c>
      <c r="V32" s="98"/>
      <c r="W32" s="98"/>
      <c r="X32" s="98">
        <v>225</v>
      </c>
      <c r="Y32"/>
      <c r="Z32"/>
      <c r="AA32"/>
      <c r="AB32"/>
    </row>
    <row r="33" ht="15.75" spans="1:28">
      <c r="A33" s="175" t="s">
        <v>54</v>
      </c>
      <c r="B33" s="97" t="s">
        <v>21</v>
      </c>
      <c r="C33" s="97" t="s">
        <v>43</v>
      </c>
      <c r="D33" s="97" t="s">
        <v>55</v>
      </c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>
        <v>20000</v>
      </c>
      <c r="U33" s="98">
        <v>1</v>
      </c>
      <c r="V33" s="98"/>
      <c r="W33" s="98"/>
      <c r="X33" s="98">
        <v>1750</v>
      </c>
      <c r="Y33"/>
      <c r="Z33"/>
      <c r="AA33"/>
      <c r="AB33"/>
    </row>
    <row r="34" ht="15.75" spans="1:28">
      <c r="A34" s="175" t="s">
        <v>56</v>
      </c>
      <c r="B34" s="97" t="s">
        <v>21</v>
      </c>
      <c r="C34" s="97" t="s">
        <v>43</v>
      </c>
      <c r="D34" s="97" t="s">
        <v>57</v>
      </c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>
        <v>100000</v>
      </c>
      <c r="U34" s="98">
        <v>1</v>
      </c>
      <c r="V34" s="98"/>
      <c r="W34" s="98"/>
      <c r="X34" s="98">
        <v>4500</v>
      </c>
      <c r="Y34"/>
      <c r="Z34"/>
      <c r="AA34"/>
      <c r="AB34"/>
    </row>
    <row r="35" ht="15.75" spans="1:28">
      <c r="A35" s="175" t="s">
        <v>58</v>
      </c>
      <c r="B35" s="97" t="s">
        <v>21</v>
      </c>
      <c r="C35" s="97" t="s">
        <v>43</v>
      </c>
      <c r="D35" s="97" t="s">
        <v>59</v>
      </c>
      <c r="E35" s="98">
        <v>1000</v>
      </c>
      <c r="F35" s="98">
        <v>1</v>
      </c>
      <c r="G35" s="98"/>
      <c r="H35" s="98"/>
      <c r="I35" s="98">
        <v>50</v>
      </c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/>
      <c r="Z35"/>
      <c r="AA35"/>
      <c r="AB35"/>
    </row>
    <row r="36" ht="15.75" spans="1:28">
      <c r="A36" s="175" t="s">
        <v>60</v>
      </c>
      <c r="B36" s="97" t="s">
        <v>21</v>
      </c>
      <c r="C36" s="97" t="s">
        <v>43</v>
      </c>
      <c r="D36" s="97" t="s">
        <v>61</v>
      </c>
      <c r="E36" s="98">
        <v>2500</v>
      </c>
      <c r="F36" s="98">
        <v>1</v>
      </c>
      <c r="G36" s="98"/>
      <c r="H36" s="98"/>
      <c r="I36" s="98">
        <v>113</v>
      </c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/>
      <c r="Z36"/>
      <c r="AA36"/>
      <c r="AB36"/>
    </row>
    <row r="37" ht="15.75" spans="1:28">
      <c r="A37" s="175" t="s">
        <v>62</v>
      </c>
      <c r="B37" s="97" t="s">
        <v>21</v>
      </c>
      <c r="C37" s="97" t="s">
        <v>63</v>
      </c>
      <c r="D37" s="97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/>
      <c r="Z37"/>
      <c r="AA37"/>
      <c r="AB37"/>
    </row>
    <row r="38" ht="15.75" spans="1:28">
      <c r="A38" s="175" t="s">
        <v>64</v>
      </c>
      <c r="B38" s="97" t="s">
        <v>21</v>
      </c>
      <c r="C38" s="97" t="s">
        <v>63</v>
      </c>
      <c r="D38" s="97" t="s">
        <v>24</v>
      </c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>
        <v>4000</v>
      </c>
      <c r="U38" s="98">
        <v>6</v>
      </c>
      <c r="V38" s="98"/>
      <c r="W38" s="98"/>
      <c r="X38" s="98">
        <v>201</v>
      </c>
      <c r="Y38"/>
      <c r="Z38"/>
      <c r="AA38"/>
      <c r="AB38"/>
    </row>
    <row r="39" ht="15.75" spans="1:28">
      <c r="A39" s="175" t="s">
        <v>65</v>
      </c>
      <c r="B39" s="97" t="s">
        <v>21</v>
      </c>
      <c r="C39" s="97" t="s">
        <v>63</v>
      </c>
      <c r="D39" s="97" t="s">
        <v>34</v>
      </c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>
        <v>16200</v>
      </c>
      <c r="P39" s="98">
        <v>10</v>
      </c>
      <c r="Q39" s="98"/>
      <c r="R39" s="98"/>
      <c r="S39" s="98">
        <v>10800</v>
      </c>
      <c r="T39" s="98"/>
      <c r="U39" s="98"/>
      <c r="V39" s="98"/>
      <c r="W39" s="98"/>
      <c r="X39" s="98"/>
      <c r="Y39"/>
      <c r="Z39"/>
      <c r="AA39"/>
      <c r="AB39"/>
    </row>
    <row r="40" ht="15.75" spans="1:28">
      <c r="A40" s="175" t="s">
        <v>66</v>
      </c>
      <c r="B40" s="97" t="s">
        <v>21</v>
      </c>
      <c r="C40" s="97" t="s">
        <v>63</v>
      </c>
      <c r="D40" s="97" t="s">
        <v>36</v>
      </c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>
        <v>90000</v>
      </c>
      <c r="P40" s="98">
        <v>10</v>
      </c>
      <c r="Q40" s="98"/>
      <c r="R40" s="98"/>
      <c r="S40" s="98">
        <v>4050</v>
      </c>
      <c r="T40" s="98"/>
      <c r="U40" s="98"/>
      <c r="V40" s="98"/>
      <c r="W40" s="98"/>
      <c r="X40" s="98"/>
      <c r="Y40"/>
      <c r="Z40"/>
      <c r="AA40"/>
      <c r="AB40"/>
    </row>
    <row r="41" ht="15.75" spans="1:28">
      <c r="A41" s="175" t="s">
        <v>67</v>
      </c>
      <c r="B41" s="97" t="s">
        <v>21</v>
      </c>
      <c r="C41" s="97" t="s">
        <v>63</v>
      </c>
      <c r="D41" s="97" t="s">
        <v>38</v>
      </c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>
        <v>195000</v>
      </c>
      <c r="U41" s="98">
        <v>1</v>
      </c>
      <c r="V41" s="98"/>
      <c r="W41" s="98"/>
      <c r="X41" s="98">
        <v>195</v>
      </c>
      <c r="Y41"/>
      <c r="Z41"/>
      <c r="AA41"/>
      <c r="AB41"/>
    </row>
    <row r="42" ht="15.75" spans="1:28">
      <c r="A42" s="175" t="s">
        <v>68</v>
      </c>
      <c r="B42" s="97" t="s">
        <v>21</v>
      </c>
      <c r="C42" s="97" t="s">
        <v>63</v>
      </c>
      <c r="D42" s="97" t="s">
        <v>40</v>
      </c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>
        <v>100000</v>
      </c>
      <c r="P42" s="98">
        <v>1</v>
      </c>
      <c r="Q42" s="98"/>
      <c r="R42" s="98"/>
      <c r="S42" s="98">
        <v>150</v>
      </c>
      <c r="T42" s="98"/>
      <c r="U42" s="98"/>
      <c r="V42" s="98"/>
      <c r="W42" s="98"/>
      <c r="X42" s="98"/>
      <c r="Y42"/>
      <c r="Z42"/>
      <c r="AA42"/>
      <c r="AB42"/>
    </row>
    <row r="43" ht="15.75" spans="1:28">
      <c r="A43" s="175" t="s">
        <v>69</v>
      </c>
      <c r="B43" s="97" t="s">
        <v>21</v>
      </c>
      <c r="C43" s="97" t="s">
        <v>63</v>
      </c>
      <c r="D43" s="97" t="s">
        <v>42</v>
      </c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>
        <v>1000</v>
      </c>
      <c r="P43" s="98">
        <v>1</v>
      </c>
      <c r="Q43" s="98"/>
      <c r="R43" s="98"/>
      <c r="S43" s="98">
        <v>45</v>
      </c>
      <c r="T43" s="98">
        <v>1950</v>
      </c>
      <c r="U43" s="98">
        <v>1</v>
      </c>
      <c r="V43" s="98"/>
      <c r="W43" s="98"/>
      <c r="X43" s="98">
        <v>87.75</v>
      </c>
      <c r="Y43"/>
      <c r="Z43"/>
      <c r="AA43"/>
      <c r="AB43"/>
    </row>
    <row r="44" ht="15.75" spans="1:28">
      <c r="A44" s="175" t="s">
        <v>70</v>
      </c>
      <c r="B44" s="97" t="s">
        <v>21</v>
      </c>
      <c r="C44" s="97" t="s">
        <v>70</v>
      </c>
      <c r="D44" s="97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/>
      <c r="Z44"/>
      <c r="AA44"/>
      <c r="AB44"/>
    </row>
    <row r="45" ht="15.75" spans="1:28">
      <c r="A45" s="175" t="s">
        <v>71</v>
      </c>
      <c r="B45" s="97" t="s">
        <v>21</v>
      </c>
      <c r="C45" s="97" t="s">
        <v>70</v>
      </c>
      <c r="D45" s="97" t="s">
        <v>24</v>
      </c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>
        <v>4000</v>
      </c>
      <c r="U45" s="98">
        <v>6</v>
      </c>
      <c r="V45" s="98"/>
      <c r="W45" s="98"/>
      <c r="X45" s="98">
        <v>201</v>
      </c>
      <c r="Y45"/>
      <c r="Z45"/>
      <c r="AA45"/>
      <c r="AB45"/>
    </row>
    <row r="46" ht="15.75" spans="1:28">
      <c r="A46" s="175" t="s">
        <v>72</v>
      </c>
      <c r="B46" s="97" t="s">
        <v>21</v>
      </c>
      <c r="C46" s="97" t="s">
        <v>70</v>
      </c>
      <c r="D46" s="97" t="s">
        <v>34</v>
      </c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>
        <v>43650</v>
      </c>
      <c r="P46" s="98">
        <v>6</v>
      </c>
      <c r="Q46" s="98"/>
      <c r="R46" s="98"/>
      <c r="S46" s="98">
        <v>29100</v>
      </c>
      <c r="T46" s="98"/>
      <c r="U46" s="98"/>
      <c r="V46" s="98"/>
      <c r="W46" s="98"/>
      <c r="X46" s="98"/>
      <c r="Y46"/>
      <c r="Z46"/>
      <c r="AA46"/>
      <c r="AB46"/>
    </row>
    <row r="47" ht="15.75" spans="1:28">
      <c r="A47" s="175" t="s">
        <v>73</v>
      </c>
      <c r="B47" s="97" t="s">
        <v>21</v>
      </c>
      <c r="C47" s="97" t="s">
        <v>70</v>
      </c>
      <c r="D47" s="97" t="s">
        <v>36</v>
      </c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>
        <v>242500</v>
      </c>
      <c r="P47" s="98">
        <v>6</v>
      </c>
      <c r="Q47" s="98"/>
      <c r="R47" s="98"/>
      <c r="S47" s="98">
        <v>10912.5</v>
      </c>
      <c r="T47" s="98"/>
      <c r="U47" s="98"/>
      <c r="V47" s="98"/>
      <c r="W47" s="98"/>
      <c r="X47" s="98"/>
      <c r="Y47"/>
      <c r="Z47"/>
      <c r="AA47"/>
      <c r="AB47"/>
    </row>
    <row r="48" ht="15.75" spans="1:28">
      <c r="A48" s="175" t="s">
        <v>74</v>
      </c>
      <c r="B48" s="97" t="s">
        <v>21</v>
      </c>
      <c r="C48" s="97" t="s">
        <v>70</v>
      </c>
      <c r="D48" s="97" t="s">
        <v>38</v>
      </c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>
        <v>195000</v>
      </c>
      <c r="P48" s="98">
        <v>1</v>
      </c>
      <c r="Q48" s="98"/>
      <c r="R48" s="98"/>
      <c r="S48" s="98">
        <v>195</v>
      </c>
      <c r="T48" s="98"/>
      <c r="U48" s="98"/>
      <c r="V48" s="98"/>
      <c r="W48" s="98"/>
      <c r="X48" s="98"/>
      <c r="Y48"/>
      <c r="Z48"/>
      <c r="AA48"/>
      <c r="AB48"/>
    </row>
    <row r="49" ht="15.75" spans="1:28">
      <c r="A49" s="175" t="s">
        <v>75</v>
      </c>
      <c r="B49" s="97" t="s">
        <v>21</v>
      </c>
      <c r="C49" s="97" t="s">
        <v>70</v>
      </c>
      <c r="D49" s="97" t="s">
        <v>40</v>
      </c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>
        <v>980000</v>
      </c>
      <c r="P49" s="98">
        <v>2</v>
      </c>
      <c r="Q49" s="98"/>
      <c r="R49" s="98"/>
      <c r="S49" s="98">
        <v>1470</v>
      </c>
      <c r="T49" s="98"/>
      <c r="U49" s="98"/>
      <c r="V49" s="98"/>
      <c r="W49" s="98"/>
      <c r="X49" s="98"/>
      <c r="Y49"/>
      <c r="Z49"/>
      <c r="AA49"/>
      <c r="AB49"/>
    </row>
    <row r="50" ht="15.75" spans="1:28">
      <c r="A50" s="175" t="s">
        <v>76</v>
      </c>
      <c r="B50" s="97" t="s">
        <v>21</v>
      </c>
      <c r="C50" s="97" t="s">
        <v>70</v>
      </c>
      <c r="D50" s="97" t="s">
        <v>42</v>
      </c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>
        <v>11750</v>
      </c>
      <c r="P50" s="98">
        <v>3</v>
      </c>
      <c r="Q50" s="98"/>
      <c r="R50" s="98"/>
      <c r="S50" s="98">
        <v>528.75</v>
      </c>
      <c r="T50" s="98"/>
      <c r="U50" s="98"/>
      <c r="V50" s="98"/>
      <c r="W50" s="98"/>
      <c r="X50" s="98"/>
      <c r="Y50"/>
      <c r="Z50"/>
      <c r="AA50"/>
      <c r="AB50"/>
    </row>
    <row r="51" ht="15.75" spans="1:28">
      <c r="A51" s="175" t="s">
        <v>77</v>
      </c>
      <c r="B51" s="97" t="s">
        <v>21</v>
      </c>
      <c r="C51" s="97" t="s">
        <v>78</v>
      </c>
      <c r="D51" s="97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/>
      <c r="Z51"/>
      <c r="AA51"/>
      <c r="AB51"/>
    </row>
    <row r="52" ht="15.75" spans="1:28">
      <c r="A52" s="175" t="s">
        <v>79</v>
      </c>
      <c r="B52" s="97" t="s">
        <v>21</v>
      </c>
      <c r="C52" s="97" t="s">
        <v>78</v>
      </c>
      <c r="D52" s="97" t="s">
        <v>80</v>
      </c>
      <c r="E52" s="98"/>
      <c r="F52" s="98"/>
      <c r="G52" s="98"/>
      <c r="H52" s="98"/>
      <c r="I52" s="98"/>
      <c r="J52" s="98">
        <v>15000</v>
      </c>
      <c r="K52" s="98"/>
      <c r="L52" s="98"/>
      <c r="M52" s="98"/>
      <c r="N52" s="98">
        <v>1500</v>
      </c>
      <c r="O52" s="98"/>
      <c r="P52" s="98"/>
      <c r="Q52" s="98"/>
      <c r="R52" s="98"/>
      <c r="S52" s="98"/>
      <c r="T52" s="98"/>
      <c r="U52" s="98"/>
      <c r="V52" s="98"/>
      <c r="W52" s="98"/>
      <c r="X52" s="98"/>
      <c r="Y52"/>
      <c r="Z52"/>
      <c r="AA52"/>
      <c r="AB52"/>
    </row>
    <row r="53" ht="15.75" spans="1:28">
      <c r="A53" s="175" t="s">
        <v>81</v>
      </c>
      <c r="B53" s="97" t="s">
        <v>21</v>
      </c>
      <c r="C53" s="97" t="s">
        <v>78</v>
      </c>
      <c r="D53" s="97" t="s">
        <v>82</v>
      </c>
      <c r="E53" s="98"/>
      <c r="F53" s="98"/>
      <c r="G53" s="98"/>
      <c r="H53" s="98"/>
      <c r="I53" s="98"/>
      <c r="J53" s="98">
        <v>3000</v>
      </c>
      <c r="K53" s="98"/>
      <c r="L53" s="98"/>
      <c r="M53" s="98"/>
      <c r="N53" s="98">
        <v>300</v>
      </c>
      <c r="O53" s="98"/>
      <c r="P53" s="98"/>
      <c r="Q53" s="98"/>
      <c r="R53" s="98"/>
      <c r="S53" s="98"/>
      <c r="T53" s="98"/>
      <c r="U53" s="98"/>
      <c r="V53" s="98"/>
      <c r="W53" s="98"/>
      <c r="X53" s="98"/>
      <c r="Y53"/>
      <c r="Z53"/>
      <c r="AA53"/>
      <c r="AB53"/>
    </row>
    <row r="54" ht="15.75" spans="1:28">
      <c r="A54" s="175" t="s">
        <v>83</v>
      </c>
      <c r="B54" s="97" t="s">
        <v>21</v>
      </c>
      <c r="C54" s="97" t="s">
        <v>78</v>
      </c>
      <c r="D54" s="97" t="s">
        <v>84</v>
      </c>
      <c r="E54" s="98"/>
      <c r="F54" s="98"/>
      <c r="G54" s="98"/>
      <c r="H54" s="98"/>
      <c r="I54" s="98"/>
      <c r="J54" s="98">
        <v>375894</v>
      </c>
      <c r="K54" s="98"/>
      <c r="L54" s="98"/>
      <c r="M54" s="98"/>
      <c r="N54" s="98">
        <v>250596</v>
      </c>
      <c r="O54" s="98"/>
      <c r="P54" s="98"/>
      <c r="Q54" s="98"/>
      <c r="R54" s="98"/>
      <c r="S54" s="98"/>
      <c r="T54" s="98"/>
      <c r="U54" s="98"/>
      <c r="V54" s="98"/>
      <c r="W54" s="98"/>
      <c r="X54" s="98"/>
      <c r="Y54"/>
      <c r="Z54"/>
      <c r="AA54"/>
      <c r="AB54"/>
    </row>
    <row r="55" ht="15.75" spans="1:28">
      <c r="A55" s="175" t="s">
        <v>85</v>
      </c>
      <c r="B55" s="97" t="s">
        <v>21</v>
      </c>
      <c r="C55" s="97" t="s">
        <v>78</v>
      </c>
      <c r="D55" s="97" t="s">
        <v>86</v>
      </c>
      <c r="E55" s="98"/>
      <c r="F55" s="98"/>
      <c r="G55" s="98"/>
      <c r="H55" s="98"/>
      <c r="I55" s="98"/>
      <c r="J55" s="98">
        <v>5000</v>
      </c>
      <c r="K55" s="98"/>
      <c r="L55" s="98"/>
      <c r="M55" s="98"/>
      <c r="N55" s="98">
        <v>6000</v>
      </c>
      <c r="O55" s="98"/>
      <c r="P55" s="98"/>
      <c r="Q55" s="98"/>
      <c r="R55" s="98"/>
      <c r="S55" s="98"/>
      <c r="T55" s="98"/>
      <c r="U55" s="98"/>
      <c r="V55" s="98"/>
      <c r="W55" s="98"/>
      <c r="X55" s="98"/>
      <c r="Y55"/>
      <c r="Z55"/>
      <c r="AA55"/>
      <c r="AB55"/>
    </row>
    <row r="56" ht="15.75" spans="1:28">
      <c r="A56" s="175" t="s">
        <v>87</v>
      </c>
      <c r="B56" s="97" t="s">
        <v>21</v>
      </c>
      <c r="C56" s="97" t="s">
        <v>78</v>
      </c>
      <c r="D56" s="97" t="s">
        <v>88</v>
      </c>
      <c r="E56" s="98"/>
      <c r="F56" s="98"/>
      <c r="G56" s="98"/>
      <c r="H56" s="98"/>
      <c r="I56" s="98"/>
      <c r="J56" s="98">
        <v>50000</v>
      </c>
      <c r="K56" s="98"/>
      <c r="L56" s="98"/>
      <c r="M56" s="98"/>
      <c r="N56" s="98">
        <v>1500</v>
      </c>
      <c r="O56" s="98"/>
      <c r="P56" s="98"/>
      <c r="Q56" s="98"/>
      <c r="R56" s="98"/>
      <c r="S56" s="98"/>
      <c r="T56" s="98"/>
      <c r="U56" s="98"/>
      <c r="V56" s="98"/>
      <c r="W56" s="98"/>
      <c r="X56" s="98"/>
      <c r="Y56"/>
      <c r="Z56"/>
      <c r="AA56"/>
      <c r="AB56"/>
    </row>
    <row r="57" ht="15.75" spans="1:28">
      <c r="A57" s="175" t="s">
        <v>89</v>
      </c>
      <c r="B57" s="97" t="s">
        <v>21</v>
      </c>
      <c r="C57" s="97" t="s">
        <v>78</v>
      </c>
      <c r="D57" s="97" t="s">
        <v>90</v>
      </c>
      <c r="E57" s="98"/>
      <c r="F57" s="98"/>
      <c r="G57" s="98"/>
      <c r="H57" s="98"/>
      <c r="I57" s="98"/>
      <c r="J57" s="98">
        <v>5000</v>
      </c>
      <c r="K57" s="98"/>
      <c r="L57" s="98"/>
      <c r="M57" s="98"/>
      <c r="N57" s="98">
        <v>2750</v>
      </c>
      <c r="O57" s="98"/>
      <c r="P57" s="98"/>
      <c r="Q57" s="98"/>
      <c r="R57" s="98"/>
      <c r="S57" s="98"/>
      <c r="T57" s="98"/>
      <c r="U57" s="98"/>
      <c r="V57" s="98"/>
      <c r="W57" s="98"/>
      <c r="X57" s="98"/>
      <c r="Y57"/>
      <c r="Z57"/>
      <c r="AA57"/>
      <c r="AB57"/>
    </row>
    <row r="58" ht="15.75" spans="1:28">
      <c r="A58" s="175" t="s">
        <v>91</v>
      </c>
      <c r="B58" s="97" t="s">
        <v>21</v>
      </c>
      <c r="C58" s="97" t="s">
        <v>78</v>
      </c>
      <c r="D58" s="97" t="s">
        <v>92</v>
      </c>
      <c r="E58" s="98"/>
      <c r="F58" s="98"/>
      <c r="G58" s="98"/>
      <c r="H58" s="98"/>
      <c r="I58" s="98"/>
      <c r="J58" s="98">
        <v>10000</v>
      </c>
      <c r="K58" s="98"/>
      <c r="L58" s="98"/>
      <c r="M58" s="98"/>
      <c r="N58" s="98">
        <v>4000</v>
      </c>
      <c r="O58" s="98"/>
      <c r="P58" s="98"/>
      <c r="Q58" s="98"/>
      <c r="R58" s="98"/>
      <c r="S58" s="98"/>
      <c r="T58" s="98"/>
      <c r="U58" s="98"/>
      <c r="V58" s="98"/>
      <c r="W58" s="98"/>
      <c r="X58" s="98"/>
      <c r="Y58"/>
      <c r="Z58"/>
      <c r="AA58"/>
      <c r="AB58"/>
    </row>
    <row r="59" ht="15.75" spans="1:28">
      <c r="A59" s="175" t="s">
        <v>93</v>
      </c>
      <c r="B59" s="97" t="s">
        <v>21</v>
      </c>
      <c r="C59" s="97" t="s">
        <v>78</v>
      </c>
      <c r="D59" s="97" t="s">
        <v>94</v>
      </c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>
        <v>4</v>
      </c>
      <c r="P59" s="98"/>
      <c r="Q59" s="98"/>
      <c r="R59" s="98"/>
      <c r="S59" s="98">
        <v>1200</v>
      </c>
      <c r="T59" s="98"/>
      <c r="U59" s="98"/>
      <c r="V59" s="98"/>
      <c r="W59" s="98"/>
      <c r="X59" s="98"/>
      <c r="Y59"/>
      <c r="Z59"/>
      <c r="AA59"/>
      <c r="AB59"/>
    </row>
    <row r="60" ht="15.75" spans="1:28">
      <c r="A60" s="175" t="s">
        <v>95</v>
      </c>
      <c r="B60" s="97" t="s">
        <v>21</v>
      </c>
      <c r="C60" s="97" t="s">
        <v>78</v>
      </c>
      <c r="D60" s="97" t="s">
        <v>96</v>
      </c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>
        <v>4</v>
      </c>
      <c r="P60" s="98"/>
      <c r="Q60" s="98"/>
      <c r="R60" s="98"/>
      <c r="S60" s="98">
        <v>240</v>
      </c>
      <c r="T60" s="98"/>
      <c r="U60" s="98"/>
      <c r="V60" s="98"/>
      <c r="W60" s="98"/>
      <c r="X60" s="98"/>
      <c r="Y60"/>
      <c r="Z60"/>
      <c r="AA60"/>
      <c r="AB60"/>
    </row>
    <row r="61" ht="15.75" spans="1:28">
      <c r="A61" s="175" t="s">
        <v>97</v>
      </c>
      <c r="B61" s="97" t="s">
        <v>21</v>
      </c>
      <c r="C61" s="97" t="s">
        <v>78</v>
      </c>
      <c r="D61" s="97" t="s">
        <v>98</v>
      </c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>
        <v>4</v>
      </c>
      <c r="P61" s="98"/>
      <c r="Q61" s="98"/>
      <c r="R61" s="98"/>
      <c r="S61" s="98">
        <v>1200</v>
      </c>
      <c r="T61" s="98"/>
      <c r="U61" s="98"/>
      <c r="V61" s="98"/>
      <c r="W61" s="98"/>
      <c r="X61" s="98"/>
      <c r="Y61"/>
      <c r="Z61"/>
      <c r="AA61"/>
      <c r="AB61"/>
    </row>
    <row r="62" ht="15.75" spans="1:28">
      <c r="A62" s="175" t="s">
        <v>99</v>
      </c>
      <c r="B62" s="97" t="s">
        <v>21</v>
      </c>
      <c r="C62" s="97" t="s">
        <v>78</v>
      </c>
      <c r="D62" s="97" t="s">
        <v>100</v>
      </c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>
        <v>4</v>
      </c>
      <c r="P62" s="98"/>
      <c r="Q62" s="98"/>
      <c r="R62" s="98"/>
      <c r="S62" s="98">
        <v>300</v>
      </c>
      <c r="T62" s="98"/>
      <c r="U62" s="98"/>
      <c r="V62" s="98"/>
      <c r="W62" s="98"/>
      <c r="X62" s="98"/>
      <c r="Y62"/>
      <c r="Z62"/>
      <c r="AA62"/>
      <c r="AB62"/>
    </row>
    <row r="63" ht="15.75" spans="1:28">
      <c r="A63" s="175" t="s">
        <v>101</v>
      </c>
      <c r="B63" s="97" t="s">
        <v>21</v>
      </c>
      <c r="C63" s="97" t="s">
        <v>78</v>
      </c>
      <c r="D63" s="97" t="s">
        <v>102</v>
      </c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>
        <v>1</v>
      </c>
      <c r="P63" s="98"/>
      <c r="Q63" s="98"/>
      <c r="R63" s="98"/>
      <c r="S63" s="98">
        <v>2100</v>
      </c>
      <c r="T63" s="98"/>
      <c r="U63" s="98"/>
      <c r="V63" s="98"/>
      <c r="W63" s="98"/>
      <c r="X63" s="98"/>
      <c r="Y63"/>
      <c r="Z63"/>
      <c r="AA63"/>
      <c r="AB63"/>
    </row>
    <row r="64" ht="15.75" spans="1:28">
      <c r="A64" s="175" t="s">
        <v>103</v>
      </c>
      <c r="B64" s="97" t="s">
        <v>21</v>
      </c>
      <c r="C64" s="97" t="s">
        <v>78</v>
      </c>
      <c r="D64" s="97" t="s">
        <v>104</v>
      </c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>
        <v>1</v>
      </c>
      <c r="U64" s="98"/>
      <c r="V64" s="98"/>
      <c r="W64" s="98"/>
      <c r="X64" s="98">
        <v>3100</v>
      </c>
      <c r="Y64"/>
      <c r="Z64"/>
      <c r="AA64"/>
      <c r="AB64"/>
    </row>
    <row r="65" ht="15.75" spans="1:28">
      <c r="A65" s="175" t="s">
        <v>20</v>
      </c>
      <c r="B65" s="97" t="s">
        <v>105</v>
      </c>
      <c r="C65" s="97"/>
      <c r="D65" s="97"/>
      <c r="E65" s="98">
        <v>210</v>
      </c>
      <c r="F65" s="98"/>
      <c r="G65" s="98">
        <v>30</v>
      </c>
      <c r="H65" s="98">
        <v>120</v>
      </c>
      <c r="I65" s="98">
        <v>975</v>
      </c>
      <c r="J65" s="98">
        <v>3024</v>
      </c>
      <c r="K65" s="98"/>
      <c r="L65" s="98">
        <v>246</v>
      </c>
      <c r="M65" s="98">
        <v>264</v>
      </c>
      <c r="N65" s="98">
        <v>5285</v>
      </c>
      <c r="O65" s="98">
        <v>6214</v>
      </c>
      <c r="P65" s="98"/>
      <c r="Q65" s="98">
        <v>108</v>
      </c>
      <c r="R65" s="98">
        <v>252</v>
      </c>
      <c r="S65" s="98">
        <v>1550</v>
      </c>
      <c r="T65" s="98">
        <v>2194</v>
      </c>
      <c r="U65" s="98"/>
      <c r="V65" s="98">
        <v>12</v>
      </c>
      <c r="W65" s="98">
        <v>78</v>
      </c>
      <c r="X65" s="98">
        <v>9346</v>
      </c>
      <c r="Y65"/>
      <c r="Z65"/>
      <c r="AA65"/>
      <c r="AB65"/>
    </row>
    <row r="66" ht="15.75" spans="1:28">
      <c r="A66" s="175" t="s">
        <v>22</v>
      </c>
      <c r="B66" s="97" t="s">
        <v>105</v>
      </c>
      <c r="C66" s="97" t="s">
        <v>22</v>
      </c>
      <c r="D66" s="97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/>
      <c r="Z66"/>
      <c r="AA66"/>
      <c r="AB66"/>
    </row>
    <row r="67" ht="15.75" spans="1:28">
      <c r="A67" s="175" t="s">
        <v>106</v>
      </c>
      <c r="B67" s="97" t="s">
        <v>105</v>
      </c>
      <c r="C67" s="97" t="s">
        <v>22</v>
      </c>
      <c r="D67" s="97" t="s">
        <v>107</v>
      </c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>
        <v>1</v>
      </c>
      <c r="P67" s="98"/>
      <c r="Q67" s="98"/>
      <c r="R67" s="98"/>
      <c r="S67" s="98">
        <v>650</v>
      </c>
      <c r="T67" s="98"/>
      <c r="U67" s="98"/>
      <c r="V67" s="98"/>
      <c r="W67" s="98"/>
      <c r="X67" s="98"/>
      <c r="Y67"/>
      <c r="Z67"/>
      <c r="AA67"/>
      <c r="AB67"/>
    </row>
    <row r="68" ht="15.75" spans="1:28">
      <c r="A68" s="175" t="s">
        <v>108</v>
      </c>
      <c r="B68" s="97" t="s">
        <v>105</v>
      </c>
      <c r="C68" s="97" t="s">
        <v>22</v>
      </c>
      <c r="D68" s="97" t="s">
        <v>109</v>
      </c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>
        <v>1</v>
      </c>
      <c r="U68" s="98"/>
      <c r="V68" s="98"/>
      <c r="W68" s="98"/>
      <c r="X68" s="98">
        <v>48</v>
      </c>
      <c r="Y68"/>
      <c r="Z68"/>
      <c r="AA68"/>
      <c r="AB68"/>
    </row>
    <row r="69" ht="15.75" spans="1:28">
      <c r="A69" s="175" t="s">
        <v>110</v>
      </c>
      <c r="B69" s="97" t="s">
        <v>105</v>
      </c>
      <c r="C69" s="97" t="s">
        <v>22</v>
      </c>
      <c r="D69" s="97" t="s">
        <v>111</v>
      </c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>
        <v>3</v>
      </c>
      <c r="U69" s="98"/>
      <c r="V69" s="98"/>
      <c r="W69" s="98"/>
      <c r="X69" s="98">
        <v>144</v>
      </c>
      <c r="Y69"/>
      <c r="Z69"/>
      <c r="AA69"/>
      <c r="AB69"/>
    </row>
    <row r="70" ht="15.75" spans="1:28">
      <c r="A70" s="175" t="s">
        <v>112</v>
      </c>
      <c r="B70" s="97" t="s">
        <v>105</v>
      </c>
      <c r="C70" s="97" t="s">
        <v>22</v>
      </c>
      <c r="D70" s="97" t="s">
        <v>113</v>
      </c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>
        <v>53</v>
      </c>
      <c r="U70" s="98"/>
      <c r="V70" s="98"/>
      <c r="W70" s="98"/>
      <c r="X70" s="98">
        <v>2226</v>
      </c>
      <c r="Y70"/>
      <c r="Z70"/>
      <c r="AA70"/>
      <c r="AB70"/>
    </row>
    <row r="71" ht="15.75" spans="1:28">
      <c r="A71" s="175" t="s">
        <v>43</v>
      </c>
      <c r="B71" s="97" t="s">
        <v>105</v>
      </c>
      <c r="C71" s="97" t="s">
        <v>43</v>
      </c>
      <c r="D71" s="97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/>
      <c r="Z71"/>
      <c r="AA71"/>
      <c r="AB71"/>
    </row>
    <row r="72" ht="15.75" spans="1:28">
      <c r="A72" s="175" t="s">
        <v>114</v>
      </c>
      <c r="B72" s="97" t="s">
        <v>105</v>
      </c>
      <c r="C72" s="97" t="s">
        <v>43</v>
      </c>
      <c r="D72" s="97" t="s">
        <v>115</v>
      </c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>
        <v>1</v>
      </c>
      <c r="U72" s="98"/>
      <c r="V72" s="98"/>
      <c r="W72" s="98"/>
      <c r="X72" s="98">
        <v>280</v>
      </c>
      <c r="Y72"/>
      <c r="Z72"/>
      <c r="AA72"/>
      <c r="AB72"/>
    </row>
    <row r="73" ht="15.75" spans="1:28">
      <c r="A73" s="175" t="s">
        <v>116</v>
      </c>
      <c r="B73" s="97" t="s">
        <v>105</v>
      </c>
      <c r="C73" s="97" t="s">
        <v>43</v>
      </c>
      <c r="D73" s="97" t="s">
        <v>117</v>
      </c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>
        <v>4</v>
      </c>
      <c r="U73" s="98"/>
      <c r="V73" s="98"/>
      <c r="W73" s="98"/>
      <c r="X73" s="98">
        <v>160</v>
      </c>
      <c r="Y73"/>
      <c r="Z73"/>
      <c r="AA73"/>
      <c r="AB73"/>
    </row>
    <row r="74" ht="15.75" spans="1:28">
      <c r="A74" s="175" t="s">
        <v>118</v>
      </c>
      <c r="B74" s="97" t="s">
        <v>105</v>
      </c>
      <c r="C74" s="97" t="s">
        <v>43</v>
      </c>
      <c r="D74" s="97" t="s">
        <v>119</v>
      </c>
      <c r="E74" s="98">
        <v>1</v>
      </c>
      <c r="F74" s="98"/>
      <c r="G74" s="98"/>
      <c r="H74" s="98"/>
      <c r="I74" s="98">
        <v>330</v>
      </c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/>
      <c r="Z74"/>
      <c r="AA74"/>
      <c r="AB74"/>
    </row>
    <row r="75" ht="15.75" spans="1:28">
      <c r="A75" s="175" t="s">
        <v>120</v>
      </c>
      <c r="B75" s="97" t="s">
        <v>105</v>
      </c>
      <c r="C75" s="97" t="s">
        <v>43</v>
      </c>
      <c r="D75" s="97" t="s">
        <v>121</v>
      </c>
      <c r="E75" s="98">
        <v>1</v>
      </c>
      <c r="F75" s="98"/>
      <c r="G75" s="98"/>
      <c r="H75" s="98"/>
      <c r="I75" s="98">
        <v>200</v>
      </c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/>
      <c r="Z75"/>
      <c r="AA75"/>
      <c r="AB75"/>
    </row>
    <row r="76" ht="15.75" spans="1:28">
      <c r="A76" s="175" t="s">
        <v>122</v>
      </c>
      <c r="B76" s="97" t="s">
        <v>105</v>
      </c>
      <c r="C76" s="97" t="s">
        <v>43</v>
      </c>
      <c r="D76" s="97" t="s">
        <v>109</v>
      </c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>
        <v>1</v>
      </c>
      <c r="U76" s="98"/>
      <c r="V76" s="98"/>
      <c r="W76" s="98"/>
      <c r="X76" s="98">
        <v>48</v>
      </c>
      <c r="Y76"/>
      <c r="Z76"/>
      <c r="AA76"/>
      <c r="AB76"/>
    </row>
    <row r="77" ht="15.75" spans="1:28">
      <c r="A77" s="175" t="s">
        <v>123</v>
      </c>
      <c r="B77" s="97" t="s">
        <v>105</v>
      </c>
      <c r="C77" s="97" t="s">
        <v>43</v>
      </c>
      <c r="D77" s="97" t="s">
        <v>111</v>
      </c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>
        <v>8</v>
      </c>
      <c r="U77" s="98"/>
      <c r="V77" s="98"/>
      <c r="W77" s="98"/>
      <c r="X77" s="98">
        <v>384</v>
      </c>
      <c r="Y77"/>
      <c r="Z77"/>
      <c r="AA77"/>
      <c r="AB77"/>
    </row>
    <row r="78" ht="15.75" spans="1:28">
      <c r="A78" s="175" t="s">
        <v>124</v>
      </c>
      <c r="B78" s="97" t="s">
        <v>105</v>
      </c>
      <c r="C78" s="97" t="s">
        <v>43</v>
      </c>
      <c r="D78" s="97" t="s">
        <v>113</v>
      </c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>
        <v>63</v>
      </c>
      <c r="U78" s="98"/>
      <c r="V78" s="98"/>
      <c r="W78" s="98"/>
      <c r="X78" s="98">
        <v>2646</v>
      </c>
      <c r="Y78"/>
      <c r="Z78"/>
      <c r="AA78"/>
      <c r="AB78"/>
    </row>
    <row r="79" ht="15.75" spans="1:28">
      <c r="A79" s="175" t="s">
        <v>62</v>
      </c>
      <c r="B79" s="97" t="s">
        <v>105</v>
      </c>
      <c r="C79" s="97" t="s">
        <v>63</v>
      </c>
      <c r="D79" s="97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/>
      <c r="Z79"/>
      <c r="AA79"/>
      <c r="AB79"/>
    </row>
    <row r="80" ht="15.75" spans="1:28">
      <c r="A80" s="175" t="s">
        <v>125</v>
      </c>
      <c r="B80" s="97" t="s">
        <v>105</v>
      </c>
      <c r="C80" s="97" t="s">
        <v>63</v>
      </c>
      <c r="D80" s="97" t="s">
        <v>109</v>
      </c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>
        <v>1</v>
      </c>
      <c r="U80" s="98"/>
      <c r="V80" s="98"/>
      <c r="W80" s="98"/>
      <c r="X80" s="98">
        <v>48</v>
      </c>
      <c r="Y80"/>
      <c r="Z80"/>
      <c r="AA80"/>
      <c r="AB80"/>
    </row>
    <row r="81" ht="15.75" spans="1:28">
      <c r="A81" s="175" t="s">
        <v>126</v>
      </c>
      <c r="B81" s="97" t="s">
        <v>105</v>
      </c>
      <c r="C81" s="97" t="s">
        <v>63</v>
      </c>
      <c r="D81" s="97" t="s">
        <v>113</v>
      </c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>
        <v>22</v>
      </c>
      <c r="U81" s="98"/>
      <c r="V81" s="98"/>
      <c r="W81" s="98"/>
      <c r="X81" s="98">
        <v>924</v>
      </c>
      <c r="Y81"/>
      <c r="Z81"/>
      <c r="AA81"/>
      <c r="AB81"/>
    </row>
    <row r="82" ht="15.75" spans="1:28">
      <c r="A82" s="175" t="s">
        <v>70</v>
      </c>
      <c r="B82" s="97" t="s">
        <v>105</v>
      </c>
      <c r="C82" s="97" t="s">
        <v>70</v>
      </c>
      <c r="D82" s="97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/>
      <c r="Z82"/>
      <c r="AA82"/>
      <c r="AB82"/>
    </row>
    <row r="83" ht="15.75" spans="1:28">
      <c r="A83" s="175" t="s">
        <v>127</v>
      </c>
      <c r="B83" s="97" t="s">
        <v>105</v>
      </c>
      <c r="C83" s="97" t="s">
        <v>70</v>
      </c>
      <c r="D83" s="97" t="s">
        <v>128</v>
      </c>
      <c r="E83" s="98"/>
      <c r="F83" s="98"/>
      <c r="G83" s="98"/>
      <c r="H83" s="98"/>
      <c r="I83" s="98"/>
      <c r="J83" s="98">
        <v>1</v>
      </c>
      <c r="K83" s="98"/>
      <c r="L83" s="98"/>
      <c r="M83" s="98"/>
      <c r="N83" s="98">
        <v>3000</v>
      </c>
      <c r="O83" s="98"/>
      <c r="P83" s="98"/>
      <c r="Q83" s="98"/>
      <c r="R83" s="98"/>
      <c r="S83" s="98"/>
      <c r="T83" s="98"/>
      <c r="U83" s="98"/>
      <c r="V83" s="98"/>
      <c r="W83" s="98"/>
      <c r="X83" s="98"/>
      <c r="Y83"/>
      <c r="Z83"/>
      <c r="AA83"/>
      <c r="AB83"/>
    </row>
    <row r="84" ht="15.75" spans="1:28">
      <c r="A84" s="175" t="s">
        <v>129</v>
      </c>
      <c r="B84" s="97" t="s">
        <v>105</v>
      </c>
      <c r="C84" s="97" t="s">
        <v>70</v>
      </c>
      <c r="D84" s="97" t="s">
        <v>109</v>
      </c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>
        <v>1</v>
      </c>
      <c r="U84" s="98"/>
      <c r="V84" s="98"/>
      <c r="W84" s="98"/>
      <c r="X84" s="98">
        <v>48</v>
      </c>
      <c r="Y84"/>
      <c r="Z84"/>
      <c r="AA84"/>
      <c r="AB84"/>
    </row>
    <row r="85" ht="15.75" spans="1:28">
      <c r="A85" s="175" t="s">
        <v>130</v>
      </c>
      <c r="B85" s="97" t="s">
        <v>105</v>
      </c>
      <c r="C85" s="97" t="s">
        <v>70</v>
      </c>
      <c r="D85" s="97" t="s">
        <v>111</v>
      </c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>
        <v>1</v>
      </c>
      <c r="U85" s="98"/>
      <c r="V85" s="98"/>
      <c r="W85" s="98"/>
      <c r="X85" s="98">
        <v>48</v>
      </c>
      <c r="Y85"/>
      <c r="Z85"/>
      <c r="AA85"/>
      <c r="AB85"/>
    </row>
    <row r="86" ht="15.75" spans="1:28">
      <c r="A86" s="175" t="s">
        <v>131</v>
      </c>
      <c r="B86" s="97" t="s">
        <v>105</v>
      </c>
      <c r="C86" s="97" t="s">
        <v>70</v>
      </c>
      <c r="D86" s="97" t="s">
        <v>113</v>
      </c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>
        <v>31</v>
      </c>
      <c r="U86" s="98"/>
      <c r="V86" s="98"/>
      <c r="W86" s="98"/>
      <c r="X86" s="98">
        <v>1302</v>
      </c>
      <c r="Y86"/>
      <c r="Z86"/>
      <c r="AA86"/>
      <c r="AB86"/>
    </row>
    <row r="87" ht="15.75" spans="1:28">
      <c r="A87" s="175" t="s">
        <v>77</v>
      </c>
      <c r="B87" s="97" t="s">
        <v>105</v>
      </c>
      <c r="C87" s="97" t="s">
        <v>78</v>
      </c>
      <c r="D87" s="97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/>
      <c r="Z87"/>
      <c r="AA87"/>
      <c r="AB87"/>
    </row>
    <row r="88" ht="15.75" spans="1:28">
      <c r="A88" s="175" t="s">
        <v>132</v>
      </c>
      <c r="B88" s="97" t="s">
        <v>105</v>
      </c>
      <c r="C88" s="97" t="s">
        <v>78</v>
      </c>
      <c r="D88" s="97" t="s">
        <v>133</v>
      </c>
      <c r="E88" s="98"/>
      <c r="F88" s="98"/>
      <c r="G88" s="98"/>
      <c r="H88" s="98"/>
      <c r="I88" s="98"/>
      <c r="J88" s="98">
        <v>1</v>
      </c>
      <c r="K88" s="98"/>
      <c r="L88" s="98"/>
      <c r="M88" s="98"/>
      <c r="N88" s="98">
        <v>1000</v>
      </c>
      <c r="O88" s="98"/>
      <c r="P88" s="98"/>
      <c r="Q88" s="98"/>
      <c r="R88" s="98"/>
      <c r="S88" s="98"/>
      <c r="T88" s="98"/>
      <c r="U88" s="98"/>
      <c r="V88" s="98"/>
      <c r="W88" s="98"/>
      <c r="X88" s="98"/>
      <c r="Y88"/>
      <c r="Z88"/>
      <c r="AA88"/>
      <c r="AB88"/>
    </row>
    <row r="89" ht="15.75" spans="1:28">
      <c r="A89" s="175" t="s">
        <v>134</v>
      </c>
      <c r="B89" s="97" t="s">
        <v>105</v>
      </c>
      <c r="C89" s="97" t="s">
        <v>78</v>
      </c>
      <c r="D89" s="97" t="s">
        <v>135</v>
      </c>
      <c r="E89" s="98">
        <v>1</v>
      </c>
      <c r="F89" s="98"/>
      <c r="G89" s="98">
        <v>6</v>
      </c>
      <c r="H89" s="98">
        <v>24</v>
      </c>
      <c r="I89" s="98">
        <v>35</v>
      </c>
      <c r="J89" s="98">
        <v>3</v>
      </c>
      <c r="K89" s="98"/>
      <c r="L89" s="98">
        <v>18</v>
      </c>
      <c r="M89" s="98">
        <v>72</v>
      </c>
      <c r="N89" s="98">
        <v>105</v>
      </c>
      <c r="O89" s="98">
        <v>2</v>
      </c>
      <c r="P89" s="98"/>
      <c r="Q89" s="98">
        <v>12</v>
      </c>
      <c r="R89" s="98">
        <v>48</v>
      </c>
      <c r="S89" s="98">
        <v>70</v>
      </c>
      <c r="T89" s="98"/>
      <c r="U89" s="98"/>
      <c r="V89" s="98"/>
      <c r="W89" s="98"/>
      <c r="X89" s="98"/>
      <c r="Y89"/>
      <c r="Z89"/>
      <c r="AA89"/>
      <c r="AB89"/>
    </row>
    <row r="90" ht="15.75" spans="1:28">
      <c r="A90" s="175" t="s">
        <v>136</v>
      </c>
      <c r="B90" s="97" t="s">
        <v>105</v>
      </c>
      <c r="C90" s="97" t="s">
        <v>78</v>
      </c>
      <c r="D90" s="97" t="s">
        <v>137</v>
      </c>
      <c r="E90" s="98"/>
      <c r="F90" s="98"/>
      <c r="G90" s="98"/>
      <c r="H90" s="98"/>
      <c r="I90" s="98"/>
      <c r="J90" s="98">
        <v>3</v>
      </c>
      <c r="K90" s="98"/>
      <c r="L90" s="98">
        <v>90</v>
      </c>
      <c r="M90" s="98"/>
      <c r="N90" s="98">
        <v>150</v>
      </c>
      <c r="O90" s="98">
        <v>1</v>
      </c>
      <c r="P90" s="98"/>
      <c r="Q90" s="98">
        <v>30</v>
      </c>
      <c r="R90" s="98"/>
      <c r="S90" s="98">
        <v>50</v>
      </c>
      <c r="T90" s="98"/>
      <c r="U90" s="98"/>
      <c r="V90" s="98"/>
      <c r="W90" s="98"/>
      <c r="X90" s="98"/>
      <c r="Y90"/>
      <c r="Z90"/>
      <c r="AA90"/>
      <c r="AB90"/>
    </row>
    <row r="91" ht="15.75" spans="1:28">
      <c r="A91" s="175" t="s">
        <v>138</v>
      </c>
      <c r="B91" s="97" t="s">
        <v>105</v>
      </c>
      <c r="C91" s="97" t="s">
        <v>78</v>
      </c>
      <c r="D91" s="97" t="s">
        <v>139</v>
      </c>
      <c r="E91" s="98"/>
      <c r="F91" s="98"/>
      <c r="G91" s="98"/>
      <c r="H91" s="98"/>
      <c r="I91" s="98"/>
      <c r="J91" s="98">
        <v>3</v>
      </c>
      <c r="K91" s="98"/>
      <c r="L91" s="98">
        <v>18</v>
      </c>
      <c r="M91" s="98">
        <v>72</v>
      </c>
      <c r="N91" s="98">
        <v>105</v>
      </c>
      <c r="O91" s="98">
        <v>1</v>
      </c>
      <c r="P91" s="98"/>
      <c r="Q91" s="98">
        <v>6</v>
      </c>
      <c r="R91" s="98">
        <v>24</v>
      </c>
      <c r="S91" s="98">
        <v>35</v>
      </c>
      <c r="T91" s="98"/>
      <c r="U91" s="98"/>
      <c r="V91" s="98"/>
      <c r="W91" s="98"/>
      <c r="X91" s="98"/>
      <c r="Y91"/>
      <c r="Z91"/>
      <c r="AA91"/>
      <c r="AB91"/>
    </row>
    <row r="92" ht="15.75" spans="1:28">
      <c r="A92" s="175" t="s">
        <v>140</v>
      </c>
      <c r="B92" s="97" t="s">
        <v>105</v>
      </c>
      <c r="C92" s="97" t="s">
        <v>78</v>
      </c>
      <c r="D92" s="97" t="s">
        <v>141</v>
      </c>
      <c r="E92" s="98"/>
      <c r="F92" s="98"/>
      <c r="G92" s="98"/>
      <c r="H92" s="98"/>
      <c r="I92" s="98"/>
      <c r="J92" s="98">
        <v>2</v>
      </c>
      <c r="K92" s="98"/>
      <c r="L92" s="98">
        <v>12</v>
      </c>
      <c r="M92" s="98">
        <v>48</v>
      </c>
      <c r="N92" s="98">
        <v>200</v>
      </c>
      <c r="O92" s="98"/>
      <c r="P92" s="98"/>
      <c r="Q92" s="98"/>
      <c r="R92" s="98"/>
      <c r="S92" s="98"/>
      <c r="T92" s="98">
        <v>2</v>
      </c>
      <c r="U92" s="98"/>
      <c r="V92" s="98">
        <v>12</v>
      </c>
      <c r="W92" s="98">
        <v>48</v>
      </c>
      <c r="X92" s="98">
        <v>200</v>
      </c>
      <c r="Y92"/>
      <c r="Z92"/>
      <c r="AA92"/>
      <c r="AB92"/>
    </row>
    <row r="93" ht="15.75" spans="1:28">
      <c r="A93" s="175" t="s">
        <v>142</v>
      </c>
      <c r="B93" s="97" t="s">
        <v>105</v>
      </c>
      <c r="C93" s="97" t="s">
        <v>78</v>
      </c>
      <c r="D93" s="97" t="s">
        <v>143</v>
      </c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>
        <v>2</v>
      </c>
      <c r="P93" s="98"/>
      <c r="Q93" s="98"/>
      <c r="R93" s="98">
        <v>60</v>
      </c>
      <c r="S93" s="98">
        <v>200</v>
      </c>
      <c r="T93" s="98">
        <v>1</v>
      </c>
      <c r="U93" s="98"/>
      <c r="V93" s="98"/>
      <c r="W93" s="98">
        <v>30</v>
      </c>
      <c r="X93" s="98">
        <v>100</v>
      </c>
      <c r="Y93"/>
      <c r="Z93"/>
      <c r="AA93"/>
      <c r="AB93"/>
    </row>
    <row r="94" ht="15.75" spans="1:28">
      <c r="A94" s="175" t="s">
        <v>144</v>
      </c>
      <c r="B94" s="97" t="s">
        <v>105</v>
      </c>
      <c r="C94" s="97" t="s">
        <v>78</v>
      </c>
      <c r="D94" s="97" t="s">
        <v>145</v>
      </c>
      <c r="E94" s="98"/>
      <c r="F94" s="98"/>
      <c r="G94" s="98"/>
      <c r="H94" s="98"/>
      <c r="I94" s="98"/>
      <c r="J94" s="98">
        <v>3000</v>
      </c>
      <c r="K94" s="98"/>
      <c r="L94" s="98"/>
      <c r="M94" s="98"/>
      <c r="N94" s="98">
        <v>99.9999999999999</v>
      </c>
      <c r="O94" s="98">
        <v>3000</v>
      </c>
      <c r="P94" s="98"/>
      <c r="Q94" s="98"/>
      <c r="R94" s="98"/>
      <c r="S94" s="98">
        <v>99.9999999999999</v>
      </c>
      <c r="T94" s="98"/>
      <c r="U94" s="98"/>
      <c r="V94" s="98"/>
      <c r="W94" s="98"/>
      <c r="X94" s="98"/>
      <c r="Y94"/>
      <c r="Z94"/>
      <c r="AA94"/>
      <c r="AB94"/>
    </row>
    <row r="95" ht="15.75" spans="1:28">
      <c r="A95" s="175" t="s">
        <v>146</v>
      </c>
      <c r="B95" s="97" t="s">
        <v>105</v>
      </c>
      <c r="C95" s="97" t="s">
        <v>78</v>
      </c>
      <c r="D95" s="97" t="s">
        <v>147</v>
      </c>
      <c r="E95" s="98"/>
      <c r="F95" s="98"/>
      <c r="G95" s="98"/>
      <c r="H95" s="98"/>
      <c r="I95" s="98"/>
      <c r="J95" s="98">
        <v>3</v>
      </c>
      <c r="K95" s="98"/>
      <c r="L95" s="98">
        <v>90</v>
      </c>
      <c r="M95" s="98"/>
      <c r="N95" s="98">
        <v>150</v>
      </c>
      <c r="O95" s="98">
        <v>1</v>
      </c>
      <c r="P95" s="98"/>
      <c r="Q95" s="98">
        <v>30</v>
      </c>
      <c r="R95" s="98"/>
      <c r="S95" s="98">
        <v>50</v>
      </c>
      <c r="T95" s="98"/>
      <c r="U95" s="98"/>
      <c r="V95" s="98"/>
      <c r="W95" s="98"/>
      <c r="X95" s="98"/>
      <c r="Y95"/>
      <c r="Z95"/>
      <c r="AA95"/>
      <c r="AB95"/>
    </row>
    <row r="96" ht="15.75" spans="1:28">
      <c r="A96" s="175" t="s">
        <v>148</v>
      </c>
      <c r="B96" s="97" t="s">
        <v>105</v>
      </c>
      <c r="C96" s="97" t="s">
        <v>78</v>
      </c>
      <c r="D96" s="97" t="s">
        <v>149</v>
      </c>
      <c r="E96" s="98"/>
      <c r="F96" s="98"/>
      <c r="G96" s="98"/>
      <c r="H96" s="98"/>
      <c r="I96" s="98"/>
      <c r="J96" s="98">
        <v>3</v>
      </c>
      <c r="K96" s="98"/>
      <c r="L96" s="98">
        <v>18</v>
      </c>
      <c r="M96" s="98">
        <v>72</v>
      </c>
      <c r="N96" s="98">
        <v>105</v>
      </c>
      <c r="O96" s="98">
        <v>1</v>
      </c>
      <c r="P96" s="98"/>
      <c r="Q96" s="98">
        <v>6</v>
      </c>
      <c r="R96" s="98">
        <v>24</v>
      </c>
      <c r="S96" s="98">
        <v>35</v>
      </c>
      <c r="T96" s="98"/>
      <c r="U96" s="98"/>
      <c r="V96" s="98"/>
      <c r="W96" s="98"/>
      <c r="X96" s="98"/>
      <c r="Y96"/>
      <c r="Z96"/>
      <c r="AA96"/>
      <c r="AB96"/>
    </row>
    <row r="97" ht="15.75" spans="1:28">
      <c r="A97" s="175" t="s">
        <v>150</v>
      </c>
      <c r="B97" s="97" t="s">
        <v>105</v>
      </c>
      <c r="C97" s="97" t="s">
        <v>78</v>
      </c>
      <c r="D97" s="97" t="s">
        <v>151</v>
      </c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>
        <v>3000</v>
      </c>
      <c r="P97" s="98"/>
      <c r="Q97" s="98"/>
      <c r="R97" s="98"/>
      <c r="S97" s="98">
        <v>90</v>
      </c>
      <c r="T97" s="98">
        <v>2000</v>
      </c>
      <c r="U97" s="98"/>
      <c r="V97" s="98"/>
      <c r="W97" s="98"/>
      <c r="X97" s="98">
        <v>60</v>
      </c>
      <c r="Y97"/>
      <c r="Z97"/>
      <c r="AA97"/>
      <c r="AB97"/>
    </row>
    <row r="98" ht="15.75" spans="1:28">
      <c r="A98" s="175" t="s">
        <v>152</v>
      </c>
      <c r="B98" s="97" t="s">
        <v>105</v>
      </c>
      <c r="C98" s="97" t="s">
        <v>78</v>
      </c>
      <c r="D98" s="97" t="s">
        <v>153</v>
      </c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>
        <v>4</v>
      </c>
      <c r="P98" s="98"/>
      <c r="Q98" s="98">
        <v>24</v>
      </c>
      <c r="R98" s="98">
        <v>96</v>
      </c>
      <c r="S98" s="98">
        <v>140</v>
      </c>
      <c r="T98" s="98"/>
      <c r="U98" s="98"/>
      <c r="V98" s="98"/>
      <c r="W98" s="98"/>
      <c r="X98" s="98"/>
      <c r="Y98"/>
      <c r="Z98"/>
      <c r="AA98"/>
      <c r="AB98"/>
    </row>
    <row r="99" ht="15.75" spans="1:28">
      <c r="A99" s="175" t="s">
        <v>154</v>
      </c>
      <c r="B99" s="97" t="s">
        <v>105</v>
      </c>
      <c r="C99" s="97" t="s">
        <v>78</v>
      </c>
      <c r="D99" s="97" t="s">
        <v>155</v>
      </c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>
        <v>200</v>
      </c>
      <c r="P99" s="98"/>
      <c r="Q99" s="98"/>
      <c r="R99" s="98"/>
      <c r="S99" s="98">
        <v>50</v>
      </c>
      <c r="T99" s="98"/>
      <c r="U99" s="98"/>
      <c r="V99" s="98"/>
      <c r="W99" s="98"/>
      <c r="X99" s="98"/>
      <c r="Y99"/>
      <c r="Z99"/>
      <c r="AA99"/>
      <c r="AB99"/>
    </row>
    <row r="100" ht="15.75" spans="1:28">
      <c r="A100" s="175" t="s">
        <v>156</v>
      </c>
      <c r="B100" s="97" t="s">
        <v>105</v>
      </c>
      <c r="C100" s="97" t="s">
        <v>78</v>
      </c>
      <c r="D100" s="97" t="s">
        <v>157</v>
      </c>
      <c r="E100" s="98">
        <v>4</v>
      </c>
      <c r="F100" s="98"/>
      <c r="G100" s="98">
        <v>24</v>
      </c>
      <c r="H100" s="98">
        <v>96</v>
      </c>
      <c r="I100" s="98">
        <v>140</v>
      </c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/>
      <c r="Z100"/>
      <c r="AA100"/>
      <c r="AB100"/>
    </row>
    <row r="101" ht="15.75" spans="1:28">
      <c r="A101" s="175" t="s">
        <v>158</v>
      </c>
      <c r="B101" s="97" t="s">
        <v>105</v>
      </c>
      <c r="C101" s="97" t="s">
        <v>78</v>
      </c>
      <c r="D101" s="97" t="s">
        <v>159</v>
      </c>
      <c r="E101" s="98">
        <v>200</v>
      </c>
      <c r="F101" s="98"/>
      <c r="G101" s="98"/>
      <c r="H101" s="98"/>
      <c r="I101" s="98">
        <v>50</v>
      </c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/>
      <c r="Z101"/>
      <c r="AA101"/>
      <c r="AB101"/>
    </row>
    <row r="102" ht="15.75" spans="1:28">
      <c r="A102" s="175" t="s">
        <v>160</v>
      </c>
      <c r="B102" s="97" t="s">
        <v>105</v>
      </c>
      <c r="C102" s="97" t="s">
        <v>78</v>
      </c>
      <c r="D102" s="97" t="s">
        <v>161</v>
      </c>
      <c r="E102" s="98">
        <v>2</v>
      </c>
      <c r="F102" s="98"/>
      <c r="G102" s="98"/>
      <c r="H102" s="98"/>
      <c r="I102" s="98">
        <v>140</v>
      </c>
      <c r="J102" s="98">
        <v>3</v>
      </c>
      <c r="K102" s="98"/>
      <c r="L102" s="98"/>
      <c r="M102" s="98"/>
      <c r="N102" s="98">
        <v>210</v>
      </c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/>
      <c r="Z102"/>
      <c r="AA102"/>
      <c r="AB102"/>
    </row>
    <row r="103" ht="15.75" spans="1:28">
      <c r="A103" s="175" t="s">
        <v>162</v>
      </c>
      <c r="B103" s="97" t="s">
        <v>105</v>
      </c>
      <c r="C103" s="97" t="s">
        <v>78</v>
      </c>
      <c r="D103" s="97" t="s">
        <v>163</v>
      </c>
      <c r="E103" s="98">
        <v>1</v>
      </c>
      <c r="F103" s="98"/>
      <c r="G103" s="98"/>
      <c r="H103" s="98"/>
      <c r="I103" s="98">
        <v>80</v>
      </c>
      <c r="J103" s="98">
        <v>2</v>
      </c>
      <c r="K103" s="98"/>
      <c r="L103" s="98"/>
      <c r="M103" s="98"/>
      <c r="N103" s="98">
        <v>160</v>
      </c>
      <c r="O103" s="98">
        <v>1</v>
      </c>
      <c r="P103" s="98"/>
      <c r="Q103" s="98"/>
      <c r="R103" s="98"/>
      <c r="S103" s="98">
        <v>80</v>
      </c>
      <c r="T103" s="98">
        <v>1</v>
      </c>
      <c r="U103" s="98"/>
      <c r="V103" s="98"/>
      <c r="W103" s="98"/>
      <c r="X103" s="98">
        <v>80</v>
      </c>
      <c r="Y103"/>
      <c r="Z103"/>
      <c r="AA103"/>
      <c r="AB103"/>
    </row>
    <row r="104" ht="15.75" spans="1:28">
      <c r="A104" s="175" t="s">
        <v>164</v>
      </c>
      <c r="B104" s="97" t="s">
        <v>105</v>
      </c>
      <c r="C104" s="97" t="s">
        <v>78</v>
      </c>
      <c r="D104" s="97" t="s">
        <v>165</v>
      </c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>
        <v>600</v>
      </c>
      <c r="Y104"/>
      <c r="Z104"/>
      <c r="AA104"/>
      <c r="AB104"/>
    </row>
    <row r="105" ht="15.75" spans="1:28">
      <c r="A105" s="175" t="s">
        <v>20</v>
      </c>
      <c r="B105" s="97" t="s">
        <v>166</v>
      </c>
      <c r="C105" s="97"/>
      <c r="D105" s="97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>
        <v>1</v>
      </c>
      <c r="U105" s="98"/>
      <c r="V105" s="98"/>
      <c r="W105" s="98"/>
      <c r="X105" s="98">
        <v>5500</v>
      </c>
      <c r="Y105"/>
      <c r="Z105"/>
      <c r="AA105"/>
      <c r="AB105"/>
    </row>
    <row r="106" ht="15.75" spans="1:28">
      <c r="A106" s="175" t="s">
        <v>77</v>
      </c>
      <c r="B106" s="97" t="s">
        <v>166</v>
      </c>
      <c r="C106" s="97" t="s">
        <v>78</v>
      </c>
      <c r="D106" s="97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/>
      <c r="Z106"/>
      <c r="AA106"/>
      <c r="AB106"/>
    </row>
    <row r="107" ht="15.75" spans="1:28">
      <c r="A107" s="175" t="s">
        <v>167</v>
      </c>
      <c r="B107" s="97" t="s">
        <v>166</v>
      </c>
      <c r="C107" s="97" t="s">
        <v>78</v>
      </c>
      <c r="D107" s="97" t="s">
        <v>168</v>
      </c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>
        <v>1</v>
      </c>
      <c r="U107" s="98"/>
      <c r="V107" s="98"/>
      <c r="W107" s="98"/>
      <c r="X107" s="98">
        <v>5500</v>
      </c>
      <c r="Y107"/>
      <c r="Z107"/>
      <c r="AA107"/>
      <c r="AB107"/>
    </row>
    <row r="108" ht="15.75" spans="1:28">
      <c r="A108" s="175" t="s">
        <v>20</v>
      </c>
      <c r="B108" s="97" t="s">
        <v>169</v>
      </c>
      <c r="C108" s="97"/>
      <c r="D108" s="97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>
        <v>84</v>
      </c>
      <c r="P108" s="98">
        <v>27</v>
      </c>
      <c r="Q108" s="98"/>
      <c r="R108" s="98"/>
      <c r="S108" s="98">
        <v>25200</v>
      </c>
      <c r="T108" s="98">
        <v>34</v>
      </c>
      <c r="U108" s="98">
        <v>34</v>
      </c>
      <c r="V108" s="98"/>
      <c r="W108" s="98"/>
      <c r="X108" s="98">
        <v>97400</v>
      </c>
      <c r="Y108"/>
      <c r="Z108"/>
      <c r="AA108"/>
      <c r="AB108"/>
    </row>
    <row r="109" ht="15.75" spans="1:28">
      <c r="A109" s="175" t="s">
        <v>22</v>
      </c>
      <c r="B109" s="97" t="s">
        <v>169</v>
      </c>
      <c r="C109" s="97" t="s">
        <v>22</v>
      </c>
      <c r="D109" s="97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/>
      <c r="Z109"/>
      <c r="AA109"/>
      <c r="AB109"/>
    </row>
    <row r="110" ht="15.75" spans="1:28">
      <c r="A110" s="175" t="s">
        <v>170</v>
      </c>
      <c r="B110" s="97" t="s">
        <v>169</v>
      </c>
      <c r="C110" s="97" t="s">
        <v>22</v>
      </c>
      <c r="D110" s="97" t="s">
        <v>171</v>
      </c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>
        <v>3</v>
      </c>
      <c r="U110" s="98">
        <v>3</v>
      </c>
      <c r="V110" s="98"/>
      <c r="W110" s="98"/>
      <c r="X110" s="98">
        <v>9300</v>
      </c>
      <c r="Y110"/>
      <c r="Z110"/>
      <c r="AA110"/>
      <c r="AB110"/>
    </row>
    <row r="111" ht="15.75" spans="1:28">
      <c r="A111" s="175" t="s">
        <v>172</v>
      </c>
      <c r="B111" s="97" t="s">
        <v>169</v>
      </c>
      <c r="C111" s="97" t="s">
        <v>22</v>
      </c>
      <c r="D111" s="97" t="s">
        <v>173</v>
      </c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>
        <v>1</v>
      </c>
      <c r="P111" s="98">
        <v>1</v>
      </c>
      <c r="Q111" s="98"/>
      <c r="R111" s="98"/>
      <c r="S111" s="98">
        <v>800</v>
      </c>
      <c r="T111" s="98"/>
      <c r="U111" s="98"/>
      <c r="V111" s="98"/>
      <c r="W111" s="98"/>
      <c r="X111" s="98"/>
      <c r="Y111"/>
      <c r="Z111"/>
      <c r="AA111"/>
      <c r="AB111"/>
    </row>
    <row r="112" ht="15.75" spans="1:28">
      <c r="A112" s="175" t="s">
        <v>174</v>
      </c>
      <c r="B112" s="97" t="s">
        <v>169</v>
      </c>
      <c r="C112" s="97" t="s">
        <v>22</v>
      </c>
      <c r="D112" s="97" t="s">
        <v>175</v>
      </c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>
        <v>3</v>
      </c>
      <c r="P112" s="98">
        <v>3</v>
      </c>
      <c r="Q112" s="98"/>
      <c r="R112" s="98"/>
      <c r="S112" s="98">
        <v>600</v>
      </c>
      <c r="T112" s="98"/>
      <c r="U112" s="98"/>
      <c r="V112" s="98"/>
      <c r="W112" s="98"/>
      <c r="X112" s="98"/>
      <c r="Y112"/>
      <c r="Z112"/>
      <c r="AA112"/>
      <c r="AB112"/>
    </row>
    <row r="113" ht="15.75" spans="1:28">
      <c r="A113" s="175" t="s">
        <v>176</v>
      </c>
      <c r="B113" s="97" t="s">
        <v>169</v>
      </c>
      <c r="C113" s="97" t="s">
        <v>22</v>
      </c>
      <c r="D113" s="97" t="s">
        <v>177</v>
      </c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>
        <v>15</v>
      </c>
      <c r="P113" s="98">
        <v>3</v>
      </c>
      <c r="Q113" s="98"/>
      <c r="R113" s="98"/>
      <c r="S113" s="98">
        <v>4500</v>
      </c>
      <c r="T113" s="98"/>
      <c r="U113" s="98"/>
      <c r="V113" s="98"/>
      <c r="W113" s="98"/>
      <c r="X113" s="98"/>
      <c r="Y113"/>
      <c r="Z113"/>
      <c r="AA113"/>
      <c r="AB113"/>
    </row>
    <row r="114" ht="15.75" spans="1:28">
      <c r="A114" s="175" t="s">
        <v>178</v>
      </c>
      <c r="B114" s="97" t="s">
        <v>169</v>
      </c>
      <c r="C114" s="97" t="s">
        <v>22</v>
      </c>
      <c r="D114" s="97" t="s">
        <v>179</v>
      </c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>
        <v>1</v>
      </c>
      <c r="P114" s="98">
        <v>1</v>
      </c>
      <c r="Q114" s="98"/>
      <c r="R114" s="98"/>
      <c r="S114" s="98">
        <v>1800</v>
      </c>
      <c r="T114" s="98"/>
      <c r="U114" s="98"/>
      <c r="V114" s="98"/>
      <c r="W114" s="98"/>
      <c r="X114" s="98"/>
      <c r="Y114"/>
      <c r="Z114"/>
      <c r="AA114"/>
      <c r="AB114"/>
    </row>
    <row r="115" ht="15.75" spans="1:28">
      <c r="A115" s="175" t="s">
        <v>180</v>
      </c>
      <c r="B115" s="97" t="s">
        <v>169</v>
      </c>
      <c r="C115" s="97" t="s">
        <v>22</v>
      </c>
      <c r="D115" s="97" t="s">
        <v>181</v>
      </c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>
        <v>3</v>
      </c>
      <c r="U115" s="98">
        <v>3</v>
      </c>
      <c r="V115" s="98"/>
      <c r="W115" s="98"/>
      <c r="X115" s="98">
        <v>6300</v>
      </c>
      <c r="Y115"/>
      <c r="Z115"/>
      <c r="AA115"/>
      <c r="AB115"/>
    </row>
    <row r="116" ht="15.75" spans="1:28">
      <c r="A116" s="175" t="s">
        <v>182</v>
      </c>
      <c r="B116" s="97" t="s">
        <v>169</v>
      </c>
      <c r="C116" s="97" t="s">
        <v>22</v>
      </c>
      <c r="D116" s="97" t="s">
        <v>183</v>
      </c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>
        <v>1</v>
      </c>
      <c r="U116" s="98">
        <v>1</v>
      </c>
      <c r="V116" s="98"/>
      <c r="W116" s="98"/>
      <c r="X116" s="98">
        <v>2200</v>
      </c>
      <c r="Y116"/>
      <c r="Z116"/>
      <c r="AA116"/>
      <c r="AB116"/>
    </row>
    <row r="117" ht="15.75" spans="1:28">
      <c r="A117" s="175" t="s">
        <v>184</v>
      </c>
      <c r="B117" s="97" t="s">
        <v>169</v>
      </c>
      <c r="C117" s="97" t="s">
        <v>22</v>
      </c>
      <c r="D117" s="97" t="s">
        <v>185</v>
      </c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>
        <v>1</v>
      </c>
      <c r="U117" s="98">
        <v>1</v>
      </c>
      <c r="V117" s="98"/>
      <c r="W117" s="98"/>
      <c r="X117" s="98">
        <v>2200</v>
      </c>
      <c r="Y117"/>
      <c r="Z117"/>
      <c r="AA117"/>
      <c r="AB117"/>
    </row>
    <row r="118" ht="15.75" spans="1:28">
      <c r="A118" s="175" t="s">
        <v>43</v>
      </c>
      <c r="B118" s="97" t="s">
        <v>169</v>
      </c>
      <c r="C118" s="97" t="s">
        <v>43</v>
      </c>
      <c r="D118" s="97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/>
      <c r="Z118"/>
      <c r="AA118"/>
      <c r="AB118"/>
    </row>
    <row r="119" ht="15.75" spans="1:28">
      <c r="A119" s="175" t="s">
        <v>186</v>
      </c>
      <c r="B119" s="97" t="s">
        <v>169</v>
      </c>
      <c r="C119" s="97" t="s">
        <v>43</v>
      </c>
      <c r="D119" s="97" t="s">
        <v>171</v>
      </c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>
        <v>6</v>
      </c>
      <c r="U119" s="98">
        <v>6</v>
      </c>
      <c r="V119" s="98"/>
      <c r="W119" s="98"/>
      <c r="X119" s="98">
        <v>20500</v>
      </c>
      <c r="Y119"/>
      <c r="Z119"/>
      <c r="AA119"/>
      <c r="AB119"/>
    </row>
    <row r="120" ht="15.75" spans="1:28">
      <c r="A120" s="175" t="s">
        <v>187</v>
      </c>
      <c r="B120" s="97" t="s">
        <v>169</v>
      </c>
      <c r="C120" s="97" t="s">
        <v>43</v>
      </c>
      <c r="D120" s="97" t="s">
        <v>173</v>
      </c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>
        <v>1</v>
      </c>
      <c r="P120" s="98">
        <v>1</v>
      </c>
      <c r="Q120" s="98"/>
      <c r="R120" s="98"/>
      <c r="S120" s="98">
        <v>800</v>
      </c>
      <c r="T120" s="98"/>
      <c r="U120" s="98"/>
      <c r="V120" s="98"/>
      <c r="W120" s="98"/>
      <c r="X120" s="98"/>
      <c r="Y120"/>
      <c r="Z120"/>
      <c r="AA120"/>
      <c r="AB120"/>
    </row>
    <row r="121" ht="15.75" spans="1:28">
      <c r="A121" s="175" t="s">
        <v>188</v>
      </c>
      <c r="B121" s="97" t="s">
        <v>169</v>
      </c>
      <c r="C121" s="97" t="s">
        <v>43</v>
      </c>
      <c r="D121" s="97" t="s">
        <v>175</v>
      </c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>
        <v>5</v>
      </c>
      <c r="P121" s="98">
        <v>5</v>
      </c>
      <c r="Q121" s="98"/>
      <c r="R121" s="98"/>
      <c r="S121" s="98">
        <v>1000</v>
      </c>
      <c r="T121" s="98"/>
      <c r="U121" s="98"/>
      <c r="V121" s="98"/>
      <c r="W121" s="98"/>
      <c r="X121" s="98"/>
      <c r="Y121"/>
      <c r="Z121"/>
      <c r="AA121"/>
      <c r="AB121"/>
    </row>
    <row r="122" ht="15.75" spans="1:28">
      <c r="A122" s="175" t="s">
        <v>189</v>
      </c>
      <c r="B122" s="97" t="s">
        <v>169</v>
      </c>
      <c r="C122" s="97" t="s">
        <v>43</v>
      </c>
      <c r="D122" s="97" t="s">
        <v>177</v>
      </c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>
        <v>20</v>
      </c>
      <c r="P122" s="98">
        <v>4</v>
      </c>
      <c r="Q122" s="98"/>
      <c r="R122" s="98"/>
      <c r="S122" s="98">
        <v>6000</v>
      </c>
      <c r="T122" s="98"/>
      <c r="U122" s="98"/>
      <c r="V122" s="98"/>
      <c r="W122" s="98"/>
      <c r="X122" s="98"/>
      <c r="Y122"/>
      <c r="Z122"/>
      <c r="AA122"/>
      <c r="AB122"/>
    </row>
    <row r="123" ht="15.75" spans="1:28">
      <c r="A123" s="175" t="s">
        <v>190</v>
      </c>
      <c r="B123" s="97" t="s">
        <v>169</v>
      </c>
      <c r="C123" s="97" t="s">
        <v>43</v>
      </c>
      <c r="D123" s="97" t="s">
        <v>181</v>
      </c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>
        <v>5</v>
      </c>
      <c r="U123" s="98">
        <v>5</v>
      </c>
      <c r="V123" s="98"/>
      <c r="W123" s="98"/>
      <c r="X123" s="98">
        <v>10500</v>
      </c>
      <c r="Y123"/>
      <c r="Z123"/>
      <c r="AA123"/>
      <c r="AB123"/>
    </row>
    <row r="124" ht="15.75" spans="1:28">
      <c r="A124" s="175" t="s">
        <v>191</v>
      </c>
      <c r="B124" s="97" t="s">
        <v>169</v>
      </c>
      <c r="C124" s="97" t="s">
        <v>43</v>
      </c>
      <c r="D124" s="97" t="s">
        <v>183</v>
      </c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>
        <v>2</v>
      </c>
      <c r="U124" s="98">
        <v>2</v>
      </c>
      <c r="V124" s="98"/>
      <c r="W124" s="98"/>
      <c r="X124" s="98">
        <v>4400</v>
      </c>
      <c r="Y124"/>
      <c r="Z124"/>
      <c r="AA124"/>
      <c r="AB124"/>
    </row>
    <row r="125" ht="15.75" spans="1:28">
      <c r="A125" s="175" t="s">
        <v>192</v>
      </c>
      <c r="B125" s="97" t="s">
        <v>169</v>
      </c>
      <c r="C125" s="97" t="s">
        <v>43</v>
      </c>
      <c r="D125" s="97" t="s">
        <v>185</v>
      </c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>
        <v>1</v>
      </c>
      <c r="U125" s="98">
        <v>1</v>
      </c>
      <c r="V125" s="98"/>
      <c r="W125" s="98"/>
      <c r="X125" s="98">
        <v>2200</v>
      </c>
      <c r="Y125"/>
      <c r="Z125"/>
      <c r="AA125"/>
      <c r="AB125"/>
    </row>
    <row r="126" ht="15.75" spans="1:28">
      <c r="A126" s="175" t="s">
        <v>193</v>
      </c>
      <c r="B126" s="97" t="s">
        <v>169</v>
      </c>
      <c r="C126" s="97" t="s">
        <v>43</v>
      </c>
      <c r="D126" s="97" t="s">
        <v>194</v>
      </c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>
        <v>2</v>
      </c>
      <c r="U126" s="98">
        <v>2</v>
      </c>
      <c r="V126" s="98"/>
      <c r="W126" s="98"/>
      <c r="X126" s="98">
        <v>2000</v>
      </c>
      <c r="Y126"/>
      <c r="Z126"/>
      <c r="AA126"/>
      <c r="AB126"/>
    </row>
    <row r="127" ht="15.75" spans="1:28">
      <c r="A127" s="175" t="s">
        <v>195</v>
      </c>
      <c r="B127" s="97" t="s">
        <v>169</v>
      </c>
      <c r="C127" s="97" t="s">
        <v>43</v>
      </c>
      <c r="D127" s="97" t="s">
        <v>196</v>
      </c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>
        <v>20</v>
      </c>
      <c r="P127" s="98">
        <v>3</v>
      </c>
      <c r="Q127" s="98"/>
      <c r="R127" s="98"/>
      <c r="S127" s="98">
        <v>4000</v>
      </c>
      <c r="T127" s="98"/>
      <c r="U127" s="98"/>
      <c r="V127" s="98"/>
      <c r="W127" s="98"/>
      <c r="X127" s="98"/>
      <c r="Y127"/>
      <c r="Z127"/>
      <c r="AA127"/>
      <c r="AB127"/>
    </row>
    <row r="128" ht="15.75" spans="1:28">
      <c r="A128" s="175" t="s">
        <v>197</v>
      </c>
      <c r="B128" s="97" t="s">
        <v>169</v>
      </c>
      <c r="C128" s="97" t="s">
        <v>43</v>
      </c>
      <c r="D128" s="97" t="s">
        <v>198</v>
      </c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>
        <v>1</v>
      </c>
      <c r="U128" s="98">
        <v>1</v>
      </c>
      <c r="V128" s="98"/>
      <c r="W128" s="98"/>
      <c r="X128" s="98">
        <v>20000</v>
      </c>
      <c r="Y128"/>
      <c r="Z128"/>
      <c r="AA128"/>
      <c r="AB128"/>
    </row>
    <row r="129" ht="15.75" spans="1:28">
      <c r="A129" s="175" t="s">
        <v>62</v>
      </c>
      <c r="B129" s="97" t="s">
        <v>169</v>
      </c>
      <c r="C129" s="97" t="s">
        <v>63</v>
      </c>
      <c r="D129" s="97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/>
      <c r="Z129"/>
      <c r="AA129"/>
      <c r="AB129"/>
    </row>
    <row r="130" ht="15.75" spans="1:28">
      <c r="A130" s="175" t="s">
        <v>199</v>
      </c>
      <c r="B130" s="97" t="s">
        <v>169</v>
      </c>
      <c r="C130" s="97" t="s">
        <v>63</v>
      </c>
      <c r="D130" s="97" t="s">
        <v>177</v>
      </c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>
        <v>5</v>
      </c>
      <c r="P130" s="98">
        <v>1</v>
      </c>
      <c r="Q130" s="98"/>
      <c r="R130" s="98"/>
      <c r="S130" s="98">
        <v>1500</v>
      </c>
      <c r="T130" s="98"/>
      <c r="U130" s="98"/>
      <c r="V130" s="98"/>
      <c r="W130" s="98"/>
      <c r="X130" s="98"/>
      <c r="Y130"/>
      <c r="Z130"/>
      <c r="AA130"/>
      <c r="AB130"/>
    </row>
    <row r="131" ht="15.75" spans="1:28">
      <c r="A131" s="175" t="s">
        <v>200</v>
      </c>
      <c r="B131" s="97" t="s">
        <v>169</v>
      </c>
      <c r="C131" s="97" t="s">
        <v>63</v>
      </c>
      <c r="D131" s="97" t="s">
        <v>183</v>
      </c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>
        <v>1</v>
      </c>
      <c r="U131" s="98">
        <v>1</v>
      </c>
      <c r="V131" s="98"/>
      <c r="W131" s="98"/>
      <c r="X131" s="98">
        <v>2200</v>
      </c>
      <c r="Y131"/>
      <c r="Z131"/>
      <c r="AA131"/>
      <c r="AB131"/>
    </row>
    <row r="132" ht="15.75" spans="1:28">
      <c r="A132" s="175" t="s">
        <v>70</v>
      </c>
      <c r="B132" s="97" t="s">
        <v>169</v>
      </c>
      <c r="C132" s="97" t="s">
        <v>70</v>
      </c>
      <c r="D132" s="97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/>
      <c r="Z132"/>
      <c r="AA132"/>
      <c r="AB132"/>
    </row>
    <row r="133" ht="15.75" spans="1:28">
      <c r="A133" s="175" t="s">
        <v>201</v>
      </c>
      <c r="B133" s="97" t="s">
        <v>169</v>
      </c>
      <c r="C133" s="97" t="s">
        <v>70</v>
      </c>
      <c r="D133" s="97" t="s">
        <v>171</v>
      </c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>
        <v>2</v>
      </c>
      <c r="U133" s="98">
        <v>2</v>
      </c>
      <c r="V133" s="98"/>
      <c r="W133" s="98"/>
      <c r="X133" s="98">
        <v>6200</v>
      </c>
      <c r="Y133"/>
      <c r="Z133"/>
      <c r="AA133"/>
      <c r="AB133"/>
    </row>
    <row r="134" ht="15.75" spans="1:28">
      <c r="A134" s="175" t="s">
        <v>202</v>
      </c>
      <c r="B134" s="97" t="s">
        <v>169</v>
      </c>
      <c r="C134" s="97" t="s">
        <v>70</v>
      </c>
      <c r="D134" s="97" t="s">
        <v>173</v>
      </c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>
        <v>1</v>
      </c>
      <c r="P134" s="98">
        <v>1</v>
      </c>
      <c r="Q134" s="98"/>
      <c r="R134" s="98"/>
      <c r="S134" s="98">
        <v>800</v>
      </c>
      <c r="T134" s="98"/>
      <c r="U134" s="98"/>
      <c r="V134" s="98"/>
      <c r="W134" s="98"/>
      <c r="X134" s="98"/>
      <c r="Y134"/>
      <c r="Z134"/>
      <c r="AA134"/>
      <c r="AB134"/>
    </row>
    <row r="135" ht="15.75" spans="1:28">
      <c r="A135" s="175" t="s">
        <v>203</v>
      </c>
      <c r="B135" s="97" t="s">
        <v>169</v>
      </c>
      <c r="C135" s="97" t="s">
        <v>70</v>
      </c>
      <c r="D135" s="97" t="s">
        <v>175</v>
      </c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>
        <v>2</v>
      </c>
      <c r="P135" s="98">
        <v>2</v>
      </c>
      <c r="Q135" s="98"/>
      <c r="R135" s="98"/>
      <c r="S135" s="98">
        <v>400</v>
      </c>
      <c r="T135" s="98"/>
      <c r="U135" s="98"/>
      <c r="V135" s="98"/>
      <c r="W135" s="98"/>
      <c r="X135" s="98"/>
      <c r="Y135"/>
      <c r="Z135"/>
      <c r="AA135"/>
      <c r="AB135"/>
    </row>
    <row r="136" ht="15.75" spans="1:28">
      <c r="A136" s="175" t="s">
        <v>204</v>
      </c>
      <c r="B136" s="97" t="s">
        <v>169</v>
      </c>
      <c r="C136" s="97" t="s">
        <v>70</v>
      </c>
      <c r="D136" s="97" t="s">
        <v>177</v>
      </c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>
        <v>10</v>
      </c>
      <c r="P136" s="98">
        <v>2</v>
      </c>
      <c r="Q136" s="98"/>
      <c r="R136" s="98"/>
      <c r="S136" s="98">
        <v>3000</v>
      </c>
      <c r="T136" s="98"/>
      <c r="U136" s="98"/>
      <c r="V136" s="98"/>
      <c r="W136" s="98"/>
      <c r="X136" s="98"/>
      <c r="Y136"/>
      <c r="Z136"/>
      <c r="AA136"/>
      <c r="AB136"/>
    </row>
    <row r="137" ht="15.75" spans="1:28">
      <c r="A137" s="175" t="s">
        <v>205</v>
      </c>
      <c r="B137" s="97" t="s">
        <v>169</v>
      </c>
      <c r="C137" s="97" t="s">
        <v>70</v>
      </c>
      <c r="D137" s="97" t="s">
        <v>181</v>
      </c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>
        <v>2</v>
      </c>
      <c r="U137" s="98">
        <v>2</v>
      </c>
      <c r="V137" s="98"/>
      <c r="W137" s="98"/>
      <c r="X137" s="98">
        <v>4200</v>
      </c>
      <c r="Y137"/>
      <c r="Z137"/>
      <c r="AA137"/>
      <c r="AB137"/>
    </row>
    <row r="138" ht="15.75" spans="1:28">
      <c r="A138" s="175" t="s">
        <v>206</v>
      </c>
      <c r="B138" s="97" t="s">
        <v>169</v>
      </c>
      <c r="C138" s="97" t="s">
        <v>70</v>
      </c>
      <c r="D138" s="97" t="s">
        <v>183</v>
      </c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>
        <v>1</v>
      </c>
      <c r="U138" s="98">
        <v>1</v>
      </c>
      <c r="V138" s="98"/>
      <c r="W138" s="98"/>
      <c r="X138" s="98">
        <v>2200</v>
      </c>
      <c r="Y138"/>
      <c r="Z138"/>
      <c r="AA138"/>
      <c r="AB138"/>
    </row>
    <row r="139" ht="15.75" spans="1:28">
      <c r="A139" s="175" t="s">
        <v>207</v>
      </c>
      <c r="B139" s="97" t="s">
        <v>169</v>
      </c>
      <c r="C139" s="97" t="s">
        <v>70</v>
      </c>
      <c r="D139" s="97" t="s">
        <v>194</v>
      </c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>
        <v>3</v>
      </c>
      <c r="U139" s="98">
        <v>3</v>
      </c>
      <c r="V139" s="98"/>
      <c r="W139" s="98"/>
      <c r="X139" s="98">
        <v>3000</v>
      </c>
      <c r="Y139"/>
      <c r="Z139"/>
      <c r="AA139"/>
      <c r="AB139"/>
    </row>
    <row r="140" ht="15.75" spans="1:28">
      <c r="A140" s="175" t="s">
        <v>20</v>
      </c>
      <c r="B140" s="97" t="s">
        <v>208</v>
      </c>
      <c r="C140" s="97"/>
      <c r="D140" s="97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>
        <v>800</v>
      </c>
      <c r="P140" s="98">
        <v>20</v>
      </c>
      <c r="Q140" s="98"/>
      <c r="R140" s="98"/>
      <c r="S140" s="98">
        <v>20000</v>
      </c>
      <c r="T140" s="98">
        <v>215</v>
      </c>
      <c r="U140" s="98">
        <v>10</v>
      </c>
      <c r="V140" s="98"/>
      <c r="W140" s="98"/>
      <c r="X140" s="98">
        <v>15000</v>
      </c>
      <c r="Y140"/>
      <c r="Z140"/>
      <c r="AA140"/>
      <c r="AB140"/>
    </row>
    <row r="141" ht="15.75" spans="1:28">
      <c r="A141" s="175" t="s">
        <v>22</v>
      </c>
      <c r="B141" s="97" t="s">
        <v>208</v>
      </c>
      <c r="C141" s="97" t="s">
        <v>22</v>
      </c>
      <c r="D141" s="97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/>
      <c r="Z141"/>
      <c r="AA141"/>
      <c r="AB141"/>
    </row>
    <row r="142" ht="15.75" spans="1:28">
      <c r="A142" s="175" t="s">
        <v>209</v>
      </c>
      <c r="B142" s="97" t="s">
        <v>208</v>
      </c>
      <c r="C142" s="97" t="s">
        <v>22</v>
      </c>
      <c r="D142" s="97" t="s">
        <v>210</v>
      </c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>
        <v>100</v>
      </c>
      <c r="P142" s="98">
        <v>10</v>
      </c>
      <c r="Q142" s="98"/>
      <c r="R142" s="98"/>
      <c r="S142" s="98">
        <v>10000</v>
      </c>
      <c r="T142" s="98"/>
      <c r="U142" s="98"/>
      <c r="V142" s="98"/>
      <c r="W142" s="98"/>
      <c r="X142" s="98"/>
      <c r="Y142"/>
      <c r="Z142"/>
      <c r="AA142"/>
      <c r="AB142"/>
    </row>
    <row r="143" ht="15.75" spans="1:28">
      <c r="A143" s="175" t="s">
        <v>211</v>
      </c>
      <c r="B143" s="97" t="s">
        <v>208</v>
      </c>
      <c r="C143" s="97" t="s">
        <v>22</v>
      </c>
      <c r="D143" s="97" t="s">
        <v>212</v>
      </c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>
        <v>2</v>
      </c>
      <c r="U143" s="98">
        <v>2</v>
      </c>
      <c r="V143" s="98"/>
      <c r="W143" s="98"/>
      <c r="X143" s="98">
        <v>4000</v>
      </c>
      <c r="Y143"/>
      <c r="Z143"/>
      <c r="AA143"/>
      <c r="AB143"/>
    </row>
    <row r="144" ht="15.75" spans="1:28">
      <c r="A144" s="175" t="s">
        <v>213</v>
      </c>
      <c r="B144" s="97" t="s">
        <v>208</v>
      </c>
      <c r="C144" s="97" t="s">
        <v>22</v>
      </c>
      <c r="D144" s="97" t="s">
        <v>214</v>
      </c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>
        <v>300</v>
      </c>
      <c r="P144" s="98"/>
      <c r="Q144" s="98"/>
      <c r="R144" s="98"/>
      <c r="S144" s="98"/>
      <c r="T144" s="98"/>
      <c r="U144" s="98"/>
      <c r="V144" s="98"/>
      <c r="W144" s="98"/>
      <c r="X144" s="98"/>
      <c r="Y144"/>
      <c r="Z144"/>
      <c r="AA144"/>
      <c r="AB144"/>
    </row>
    <row r="145" ht="15.75" spans="1:28">
      <c r="A145" s="175" t="s">
        <v>215</v>
      </c>
      <c r="B145" s="97" t="s">
        <v>208</v>
      </c>
      <c r="C145" s="97" t="s">
        <v>22</v>
      </c>
      <c r="D145" s="97" t="s">
        <v>216</v>
      </c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>
        <v>4</v>
      </c>
      <c r="U145" s="98"/>
      <c r="V145" s="98"/>
      <c r="W145" s="98"/>
      <c r="X145" s="98"/>
      <c r="Y145"/>
      <c r="Z145"/>
      <c r="AA145"/>
      <c r="AB145"/>
    </row>
    <row r="146" ht="15.75" spans="1:28">
      <c r="A146" s="175" t="s">
        <v>43</v>
      </c>
      <c r="B146" s="97" t="s">
        <v>208</v>
      </c>
      <c r="C146" s="97" t="s">
        <v>43</v>
      </c>
      <c r="D146" s="97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/>
      <c r="Z146"/>
      <c r="AA146"/>
      <c r="AB146"/>
    </row>
    <row r="147" ht="15.75" spans="1:28">
      <c r="A147" s="175" t="s">
        <v>217</v>
      </c>
      <c r="B147" s="97" t="s">
        <v>208</v>
      </c>
      <c r="C147" s="97" t="s">
        <v>43</v>
      </c>
      <c r="D147" s="97" t="s">
        <v>210</v>
      </c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>
        <v>100</v>
      </c>
      <c r="P147" s="98">
        <v>10</v>
      </c>
      <c r="Q147" s="98"/>
      <c r="R147" s="98"/>
      <c r="S147" s="98">
        <v>10000</v>
      </c>
      <c r="T147" s="98">
        <v>20</v>
      </c>
      <c r="U147" s="98">
        <v>2</v>
      </c>
      <c r="V147" s="98"/>
      <c r="W147" s="98"/>
      <c r="X147" s="98">
        <v>2000</v>
      </c>
      <c r="Y147"/>
      <c r="Z147"/>
      <c r="AA147"/>
      <c r="AB147"/>
    </row>
    <row r="148" ht="15.75" spans="1:28">
      <c r="A148" s="175" t="s">
        <v>218</v>
      </c>
      <c r="B148" s="97" t="s">
        <v>208</v>
      </c>
      <c r="C148" s="97" t="s">
        <v>43</v>
      </c>
      <c r="D148" s="97" t="s">
        <v>212</v>
      </c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>
        <v>2</v>
      </c>
      <c r="U148" s="98">
        <v>2</v>
      </c>
      <c r="V148" s="98"/>
      <c r="W148" s="98"/>
      <c r="X148" s="98">
        <v>4000</v>
      </c>
      <c r="Y148"/>
      <c r="Z148"/>
      <c r="AA148"/>
      <c r="AB148"/>
    </row>
    <row r="149" ht="15.75" spans="1:28">
      <c r="A149" s="175" t="s">
        <v>219</v>
      </c>
      <c r="B149" s="97" t="s">
        <v>208</v>
      </c>
      <c r="C149" s="97" t="s">
        <v>43</v>
      </c>
      <c r="D149" s="97" t="s">
        <v>214</v>
      </c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>
        <v>300</v>
      </c>
      <c r="P149" s="98"/>
      <c r="Q149" s="98"/>
      <c r="R149" s="98"/>
      <c r="S149" s="98"/>
      <c r="T149" s="98">
        <v>60</v>
      </c>
      <c r="U149" s="98"/>
      <c r="V149" s="98"/>
      <c r="W149" s="98"/>
      <c r="X149" s="98"/>
      <c r="Y149"/>
      <c r="Z149"/>
      <c r="AA149"/>
      <c r="AB149"/>
    </row>
    <row r="150" ht="15.75" spans="1:28">
      <c r="A150" s="175" t="s">
        <v>220</v>
      </c>
      <c r="B150" s="97" t="s">
        <v>208</v>
      </c>
      <c r="C150" s="97" t="s">
        <v>43</v>
      </c>
      <c r="D150" s="97" t="s">
        <v>216</v>
      </c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>
        <v>4</v>
      </c>
      <c r="U150" s="98"/>
      <c r="V150" s="98"/>
      <c r="W150" s="98"/>
      <c r="X150" s="98"/>
      <c r="Y150"/>
      <c r="Z150"/>
      <c r="AA150"/>
      <c r="AB150"/>
    </row>
    <row r="151" ht="15.75" spans="1:28">
      <c r="A151" s="175" t="s">
        <v>70</v>
      </c>
      <c r="B151" s="97" t="s">
        <v>208</v>
      </c>
      <c r="C151" s="97" t="s">
        <v>70</v>
      </c>
      <c r="D151" s="97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/>
      <c r="Z151"/>
      <c r="AA151"/>
      <c r="AB151"/>
    </row>
    <row r="152" ht="15.75" spans="1:28">
      <c r="A152" s="175" t="s">
        <v>221</v>
      </c>
      <c r="B152" s="97" t="s">
        <v>208</v>
      </c>
      <c r="C152" s="97" t="s">
        <v>70</v>
      </c>
      <c r="D152" s="97" t="s">
        <v>210</v>
      </c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>
        <v>30</v>
      </c>
      <c r="U152" s="98">
        <v>3</v>
      </c>
      <c r="V152" s="98"/>
      <c r="W152" s="98"/>
      <c r="X152" s="98">
        <v>3000</v>
      </c>
      <c r="Y152"/>
      <c r="Z152"/>
      <c r="AA152"/>
      <c r="AB152"/>
    </row>
    <row r="153" ht="15.75" spans="1:28">
      <c r="A153" s="175" t="s">
        <v>222</v>
      </c>
      <c r="B153" s="97" t="s">
        <v>208</v>
      </c>
      <c r="C153" s="97" t="s">
        <v>70</v>
      </c>
      <c r="D153" s="97" t="s">
        <v>212</v>
      </c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>
        <v>1</v>
      </c>
      <c r="U153" s="98">
        <v>1</v>
      </c>
      <c r="V153" s="98"/>
      <c r="W153" s="98"/>
      <c r="X153" s="98">
        <v>2000</v>
      </c>
      <c r="Y153"/>
      <c r="Z153"/>
      <c r="AA153"/>
      <c r="AB153"/>
    </row>
    <row r="154" ht="15.75" spans="1:28">
      <c r="A154" s="175" t="s">
        <v>223</v>
      </c>
      <c r="B154" s="97" t="s">
        <v>208</v>
      </c>
      <c r="C154" s="97" t="s">
        <v>70</v>
      </c>
      <c r="D154" s="97" t="s">
        <v>214</v>
      </c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>
        <v>90</v>
      </c>
      <c r="U154" s="98"/>
      <c r="V154" s="98"/>
      <c r="W154" s="98"/>
      <c r="X154" s="98"/>
      <c r="Y154"/>
      <c r="Z154"/>
      <c r="AA154"/>
      <c r="AB154"/>
    </row>
    <row r="155" ht="15.75" spans="1:28">
      <c r="A155" s="175" t="s">
        <v>224</v>
      </c>
      <c r="B155" s="97" t="s">
        <v>208</v>
      </c>
      <c r="C155" s="97" t="s">
        <v>70</v>
      </c>
      <c r="D155" s="97" t="s">
        <v>216</v>
      </c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>
        <v>2</v>
      </c>
      <c r="U155" s="98"/>
      <c r="V155" s="98"/>
      <c r="W155" s="98"/>
      <c r="X155" s="98"/>
      <c r="Y155"/>
      <c r="Z155"/>
      <c r="AA155"/>
      <c r="AB155"/>
    </row>
    <row r="156" ht="15.75" spans="1:28">
      <c r="A156" s="175" t="s">
        <v>20</v>
      </c>
      <c r="B156" s="97" t="s">
        <v>225</v>
      </c>
      <c r="C156" s="97"/>
      <c r="D156" s="97"/>
      <c r="E156" s="98">
        <v>198</v>
      </c>
      <c r="F156" s="98"/>
      <c r="G156" s="98"/>
      <c r="H156" s="98"/>
      <c r="I156" s="98">
        <v>9000</v>
      </c>
      <c r="J156" s="98">
        <v>199</v>
      </c>
      <c r="K156" s="98"/>
      <c r="L156" s="98"/>
      <c r="M156" s="98"/>
      <c r="N156" s="98">
        <v>9600</v>
      </c>
      <c r="O156" s="98">
        <v>198</v>
      </c>
      <c r="P156" s="98"/>
      <c r="Q156" s="98"/>
      <c r="R156" s="98"/>
      <c r="S156" s="98">
        <v>8900</v>
      </c>
      <c r="T156" s="98">
        <v>198</v>
      </c>
      <c r="U156" s="98"/>
      <c r="V156" s="98"/>
      <c r="W156" s="98"/>
      <c r="X156" s="98">
        <v>9009</v>
      </c>
      <c r="Y156"/>
      <c r="Z156"/>
      <c r="AA156"/>
      <c r="AB156"/>
    </row>
    <row r="157" ht="15.75" spans="1:28">
      <c r="A157" s="175" t="s">
        <v>77</v>
      </c>
      <c r="B157" s="97" t="s">
        <v>225</v>
      </c>
      <c r="C157" s="97" t="s">
        <v>78</v>
      </c>
      <c r="D157" s="97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/>
      <c r="Z157"/>
      <c r="AA157"/>
      <c r="AB157"/>
    </row>
    <row r="158" ht="15.75" spans="1:28">
      <c r="A158" s="175" t="s">
        <v>226</v>
      </c>
      <c r="B158" s="97" t="s">
        <v>225</v>
      </c>
      <c r="C158" s="97" t="s">
        <v>78</v>
      </c>
      <c r="D158" s="97" t="s">
        <v>227</v>
      </c>
      <c r="E158" s="98">
        <v>180</v>
      </c>
      <c r="F158" s="98"/>
      <c r="G158" s="98"/>
      <c r="H158" s="98"/>
      <c r="I158" s="98">
        <v>3750</v>
      </c>
      <c r="J158" s="98">
        <v>180</v>
      </c>
      <c r="K158" s="98"/>
      <c r="L158" s="98"/>
      <c r="M158" s="98"/>
      <c r="N158" s="98">
        <v>3750</v>
      </c>
      <c r="O158" s="98">
        <v>180</v>
      </c>
      <c r="P158" s="98"/>
      <c r="Q158" s="98"/>
      <c r="R158" s="98"/>
      <c r="S158" s="98">
        <v>3750</v>
      </c>
      <c r="T158" s="98">
        <v>180</v>
      </c>
      <c r="U158" s="98"/>
      <c r="V158" s="98"/>
      <c r="W158" s="98"/>
      <c r="X158" s="98">
        <v>3750</v>
      </c>
      <c r="Y158"/>
      <c r="Z158"/>
      <c r="AA158"/>
      <c r="AB158"/>
    </row>
    <row r="159" ht="15.75" spans="1:28">
      <c r="A159" s="175" t="s">
        <v>228</v>
      </c>
      <c r="B159" s="97" t="s">
        <v>225</v>
      </c>
      <c r="C159" s="97" t="s">
        <v>78</v>
      </c>
      <c r="D159" s="97" t="s">
        <v>229</v>
      </c>
      <c r="E159" s="98">
        <v>3</v>
      </c>
      <c r="F159" s="98"/>
      <c r="G159" s="98"/>
      <c r="H159" s="98"/>
      <c r="I159" s="98">
        <v>950</v>
      </c>
      <c r="J159" s="98">
        <v>3</v>
      </c>
      <c r="K159" s="98"/>
      <c r="L159" s="98"/>
      <c r="M159" s="98"/>
      <c r="N159" s="98">
        <v>1050</v>
      </c>
      <c r="O159" s="98">
        <v>3</v>
      </c>
      <c r="P159" s="98"/>
      <c r="Q159" s="98"/>
      <c r="R159" s="98"/>
      <c r="S159" s="98">
        <v>950</v>
      </c>
      <c r="T159" s="98">
        <v>3</v>
      </c>
      <c r="U159" s="98"/>
      <c r="V159" s="98"/>
      <c r="W159" s="98"/>
      <c r="X159" s="98">
        <v>1050</v>
      </c>
      <c r="Y159"/>
      <c r="Z159"/>
      <c r="AA159"/>
      <c r="AB159"/>
    </row>
    <row r="160" ht="15.75" spans="1:28">
      <c r="A160" s="175" t="s">
        <v>230</v>
      </c>
      <c r="B160" s="97" t="s">
        <v>225</v>
      </c>
      <c r="C160" s="97" t="s">
        <v>78</v>
      </c>
      <c r="D160" s="97" t="s">
        <v>231</v>
      </c>
      <c r="E160" s="98"/>
      <c r="F160" s="98"/>
      <c r="G160" s="98"/>
      <c r="H160" s="98"/>
      <c r="I160" s="98"/>
      <c r="J160" s="98">
        <v>1</v>
      </c>
      <c r="K160" s="98"/>
      <c r="L160" s="98"/>
      <c r="M160" s="98"/>
      <c r="N160" s="98">
        <v>500</v>
      </c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/>
      <c r="Z160"/>
      <c r="AA160"/>
      <c r="AB160"/>
    </row>
    <row r="161" ht="15.75" spans="1:28">
      <c r="A161" s="175" t="s">
        <v>232</v>
      </c>
      <c r="B161" s="100" t="s">
        <v>225</v>
      </c>
      <c r="C161" s="100" t="s">
        <v>78</v>
      </c>
      <c r="D161" s="100" t="s">
        <v>233</v>
      </c>
      <c r="E161" s="111">
        <v>15</v>
      </c>
      <c r="F161" s="111"/>
      <c r="G161" s="111"/>
      <c r="H161" s="111"/>
      <c r="I161" s="111">
        <v>4300</v>
      </c>
      <c r="J161" s="111">
        <v>15</v>
      </c>
      <c r="K161" s="111"/>
      <c r="L161" s="111"/>
      <c r="M161" s="111"/>
      <c r="N161" s="111">
        <v>4300</v>
      </c>
      <c r="O161" s="111">
        <v>15</v>
      </c>
      <c r="P161" s="111"/>
      <c r="Q161" s="111"/>
      <c r="R161" s="111"/>
      <c r="S161" s="111">
        <v>4200</v>
      </c>
      <c r="T161" s="111">
        <v>15</v>
      </c>
      <c r="U161" s="111"/>
      <c r="V161" s="111"/>
      <c r="W161" s="111"/>
      <c r="X161" s="111">
        <v>4209</v>
      </c>
      <c r="Y161"/>
      <c r="Z161"/>
      <c r="AA161"/>
      <c r="AB161"/>
    </row>
    <row r="162" spans="2:28">
      <c r="B162"/>
      <c r="C162"/>
      <c r="D162" s="176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2:28">
      <c r="B163"/>
      <c r="C163"/>
      <c r="D163" s="176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2:28">
      <c r="B164"/>
      <c r="C164"/>
      <c r="D164" s="176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</row>
    <row r="165" spans="2:28">
      <c r="B165"/>
      <c r="C165"/>
      <c r="D165" s="176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2:28">
      <c r="B166"/>
      <c r="C166"/>
      <c r="D166" s="17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2:28">
      <c r="B167"/>
      <c r="C167"/>
      <c r="D167" s="176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2:28">
      <c r="B168"/>
      <c r="C168"/>
      <c r="D168" s="176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2:28">
      <c r="B169"/>
      <c r="C169"/>
      <c r="D169" s="176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2:28">
      <c r="B170"/>
      <c r="C170"/>
      <c r="D170" s="176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2:28">
      <c r="B171"/>
      <c r="C171"/>
      <c r="D171" s="176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2:28">
      <c r="B172"/>
      <c r="C172"/>
      <c r="D172" s="176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2:28">
      <c r="B173"/>
      <c r="C173"/>
      <c r="D173" s="176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2:28">
      <c r="B174"/>
      <c r="C174"/>
      <c r="D174" s="176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2:28">
      <c r="B175"/>
      <c r="C175"/>
      <c r="D175" s="176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2:28">
      <c r="B176"/>
      <c r="C176"/>
      <c r="D176" s="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2:28">
      <c r="B177"/>
      <c r="C177"/>
      <c r="D177" s="176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2:28">
      <c r="B178"/>
      <c r="C178"/>
      <c r="D178" s="176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2:28">
      <c r="B179"/>
      <c r="C179"/>
      <c r="D179" s="176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2:28">
      <c r="B180"/>
      <c r="C180"/>
      <c r="D180" s="176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2:28">
      <c r="B181"/>
      <c r="C181"/>
      <c r="D181" s="176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2:28">
      <c r="B182"/>
      <c r="C182"/>
      <c r="D182" s="176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2:28">
      <c r="B183"/>
      <c r="C183"/>
      <c r="D183" s="176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2:28">
      <c r="B184"/>
      <c r="C184"/>
      <c r="D184" s="176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2:28">
      <c r="B185"/>
      <c r="C185"/>
      <c r="D185" s="176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2:28">
      <c r="B186"/>
      <c r="C186"/>
      <c r="D186" s="17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2:28">
      <c r="B187"/>
      <c r="C187"/>
      <c r="D187" s="176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2:28">
      <c r="B188"/>
      <c r="C188"/>
      <c r="D188" s="176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2:28">
      <c r="B189"/>
      <c r="C189"/>
      <c r="D189" s="176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2:28">
      <c r="B190"/>
      <c r="C190"/>
      <c r="D190" s="176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2:28">
      <c r="B191"/>
      <c r="C191"/>
      <c r="D191" s="176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2:28">
      <c r="B192"/>
      <c r="C192"/>
      <c r="D192" s="176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2:28">
      <c r="B193"/>
      <c r="C193"/>
      <c r="D193" s="176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2:28">
      <c r="B194"/>
      <c r="C194"/>
      <c r="D194" s="176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2:28">
      <c r="B195"/>
      <c r="C195"/>
      <c r="D195" s="176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2:28">
      <c r="B196"/>
      <c r="C196"/>
      <c r="D196" s="17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2:28">
      <c r="B197"/>
      <c r="C197"/>
      <c r="D197" s="176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2:28">
      <c r="B198"/>
      <c r="C198"/>
      <c r="D198" s="176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2:28">
      <c r="B199"/>
      <c r="C199"/>
      <c r="D199" s="176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2:28">
      <c r="B200"/>
      <c r="C200"/>
      <c r="D200" s="176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2:28">
      <c r="B201"/>
      <c r="C201"/>
      <c r="D201" s="176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2:28">
      <c r="B202"/>
      <c r="C202"/>
      <c r="D202" s="176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spans="2:28">
      <c r="B203"/>
      <c r="C203"/>
      <c r="D203" s="176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</row>
    <row r="204" spans="2:28">
      <c r="B204"/>
      <c r="C204"/>
      <c r="D204" s="176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2:28">
      <c r="B205"/>
      <c r="C205"/>
      <c r="D205" s="176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spans="2:28">
      <c r="B206"/>
      <c r="C206"/>
      <c r="D206" s="17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2:28">
      <c r="B207"/>
      <c r="C207"/>
      <c r="D207" s="176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2:28">
      <c r="B208"/>
      <c r="C208"/>
      <c r="D208" s="176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2:28">
      <c r="B209"/>
      <c r="C209"/>
      <c r="D209" s="176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2:28">
      <c r="B210"/>
      <c r="C210"/>
      <c r="D210" s="176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2:28">
      <c r="B211"/>
      <c r="C211"/>
      <c r="D211" s="176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2:28">
      <c r="B212"/>
      <c r="C212"/>
      <c r="D212" s="176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2:28">
      <c r="B213"/>
      <c r="C213"/>
      <c r="D213" s="176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2:28">
      <c r="B214"/>
      <c r="C214"/>
      <c r="D214" s="176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 spans="2:28">
      <c r="B215"/>
      <c r="C215"/>
      <c r="D215" s="176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spans="2:13">
      <c r="B216"/>
      <c r="C216" s="117"/>
      <c r="D216" s="176"/>
      <c r="E216"/>
      <c r="F216"/>
      <c r="G216"/>
      <c r="H216"/>
      <c r="I216"/>
      <c r="J216"/>
      <c r="K216"/>
      <c r="L216"/>
      <c r="M216"/>
    </row>
    <row r="217" spans="2:13">
      <c r="B217"/>
      <c r="C217" s="117"/>
      <c r="D217" s="176"/>
      <c r="E217"/>
      <c r="F217"/>
      <c r="G217"/>
      <c r="H217"/>
      <c r="I217"/>
      <c r="J217"/>
      <c r="K217"/>
      <c r="L217"/>
      <c r="M217"/>
    </row>
    <row r="218" spans="2:13">
      <c r="B218"/>
      <c r="C218" s="117"/>
      <c r="D218" s="176"/>
      <c r="E218"/>
      <c r="F218"/>
      <c r="G218"/>
      <c r="H218"/>
      <c r="I218"/>
      <c r="J218"/>
      <c r="K218"/>
      <c r="L218"/>
      <c r="M218"/>
    </row>
    <row r="219" spans="2:13">
      <c r="B219"/>
      <c r="C219" s="117"/>
      <c r="D219" s="176"/>
      <c r="E219"/>
      <c r="F219"/>
      <c r="G219"/>
      <c r="H219"/>
      <c r="I219"/>
      <c r="J219"/>
      <c r="K219"/>
      <c r="L219"/>
      <c r="M219"/>
    </row>
    <row r="220" spans="2:13">
      <c r="B220"/>
      <c r="C220" s="117"/>
      <c r="D220" s="176"/>
      <c r="E220"/>
      <c r="F220"/>
      <c r="G220"/>
      <c r="H220"/>
      <c r="I220"/>
      <c r="J220"/>
      <c r="K220"/>
      <c r="L220"/>
      <c r="M220"/>
    </row>
    <row r="221" spans="2:13">
      <c r="B221"/>
      <c r="C221" s="117"/>
      <c r="D221" s="176"/>
      <c r="E221"/>
      <c r="F221"/>
      <c r="G221"/>
      <c r="H221"/>
      <c r="I221"/>
      <c r="J221"/>
      <c r="K221"/>
      <c r="L221"/>
      <c r="M221"/>
    </row>
    <row r="222" spans="2:13">
      <c r="B222"/>
      <c r="C222" s="117"/>
      <c r="D222" s="176"/>
      <c r="E222"/>
      <c r="F222"/>
      <c r="G222"/>
      <c r="H222"/>
      <c r="I222"/>
      <c r="J222"/>
      <c r="K222"/>
      <c r="L222"/>
      <c r="M222"/>
    </row>
    <row r="223" spans="2:13">
      <c r="B223"/>
      <c r="C223" s="117"/>
      <c r="D223" s="176"/>
      <c r="E223"/>
      <c r="F223"/>
      <c r="G223"/>
      <c r="H223"/>
      <c r="I223"/>
      <c r="J223"/>
      <c r="K223"/>
      <c r="L223"/>
      <c r="M223"/>
    </row>
    <row r="224" spans="2:13">
      <c r="B224"/>
      <c r="C224" s="117"/>
      <c r="D224" s="176"/>
      <c r="E224"/>
      <c r="F224"/>
      <c r="G224"/>
      <c r="H224"/>
      <c r="I224"/>
      <c r="J224"/>
      <c r="K224"/>
      <c r="L224"/>
      <c r="M224"/>
    </row>
    <row r="225" spans="2:13">
      <c r="B225"/>
      <c r="C225" s="117"/>
      <c r="D225" s="176"/>
      <c r="E225"/>
      <c r="F225"/>
      <c r="G225"/>
      <c r="H225"/>
      <c r="I225"/>
      <c r="J225"/>
      <c r="K225"/>
      <c r="L225"/>
      <c r="M225"/>
    </row>
    <row r="226" spans="2:13">
      <c r="B226"/>
      <c r="C226" s="117"/>
      <c r="D226" s="176"/>
      <c r="E226"/>
      <c r="F226"/>
      <c r="G226"/>
      <c r="H226"/>
      <c r="I226"/>
      <c r="J226"/>
      <c r="K226"/>
      <c r="L226"/>
      <c r="M226"/>
    </row>
    <row r="227" spans="2:13">
      <c r="B227"/>
      <c r="C227" s="117"/>
      <c r="D227" s="176"/>
      <c r="E227"/>
      <c r="F227"/>
      <c r="G227"/>
      <c r="H227"/>
      <c r="I227"/>
      <c r="J227"/>
      <c r="K227"/>
      <c r="L227"/>
      <c r="M227"/>
    </row>
    <row r="228" spans="2:13">
      <c r="B228"/>
      <c r="C228" s="117"/>
      <c r="D228" s="176"/>
      <c r="E228"/>
      <c r="F228"/>
      <c r="G228"/>
      <c r="H228"/>
      <c r="I228"/>
      <c r="J228"/>
      <c r="K228"/>
      <c r="L228"/>
      <c r="M228"/>
    </row>
    <row r="229" spans="2:13">
      <c r="B229"/>
      <c r="C229" s="117"/>
      <c r="D229" s="176"/>
      <c r="E229"/>
      <c r="F229"/>
      <c r="G229"/>
      <c r="H229"/>
      <c r="I229"/>
      <c r="J229"/>
      <c r="K229"/>
      <c r="L229"/>
      <c r="M229"/>
    </row>
    <row r="230" spans="2:13">
      <c r="B230"/>
      <c r="C230" s="117"/>
      <c r="D230" s="176"/>
      <c r="E230"/>
      <c r="F230"/>
      <c r="G230"/>
      <c r="H230"/>
      <c r="I230"/>
      <c r="J230"/>
      <c r="K230"/>
      <c r="L230"/>
      <c r="M230"/>
    </row>
    <row r="231" spans="2:13">
      <c r="B231"/>
      <c r="C231" s="117"/>
      <c r="D231" s="176"/>
      <c r="E231"/>
      <c r="F231"/>
      <c r="G231"/>
      <c r="H231"/>
      <c r="I231"/>
      <c r="J231"/>
      <c r="K231"/>
      <c r="L231"/>
      <c r="M231"/>
    </row>
    <row r="232" spans="2:13">
      <c r="B232"/>
      <c r="C232" s="117"/>
      <c r="D232" s="176"/>
      <c r="E232"/>
      <c r="F232"/>
      <c r="G232"/>
      <c r="H232"/>
      <c r="I232"/>
      <c r="J232"/>
      <c r="K232"/>
      <c r="L232"/>
      <c r="M232"/>
    </row>
    <row r="233" spans="2:13">
      <c r="B233"/>
      <c r="C233" s="117"/>
      <c r="D233" s="176"/>
      <c r="E233"/>
      <c r="F233"/>
      <c r="G233"/>
      <c r="H233"/>
      <c r="I233"/>
      <c r="J233"/>
      <c r="K233"/>
      <c r="L233"/>
      <c r="M233"/>
    </row>
    <row r="234" spans="2:13">
      <c r="B234"/>
      <c r="C234" s="117"/>
      <c r="D234" s="176"/>
      <c r="E234"/>
      <c r="F234"/>
      <c r="G234"/>
      <c r="H234"/>
      <c r="I234"/>
      <c r="J234"/>
      <c r="K234"/>
      <c r="L234"/>
      <c r="M234"/>
    </row>
    <row r="235" spans="2:13">
      <c r="B235"/>
      <c r="C235" s="117"/>
      <c r="D235" s="176"/>
      <c r="E235"/>
      <c r="F235"/>
      <c r="G235"/>
      <c r="H235"/>
      <c r="I235"/>
      <c r="J235"/>
      <c r="K235"/>
      <c r="L235"/>
      <c r="M235"/>
    </row>
    <row r="236" spans="2:13">
      <c r="B236"/>
      <c r="C236" s="117"/>
      <c r="D236" s="176"/>
      <c r="E236"/>
      <c r="F236"/>
      <c r="G236"/>
      <c r="H236"/>
      <c r="I236"/>
      <c r="J236"/>
      <c r="K236"/>
      <c r="L236"/>
      <c r="M236"/>
    </row>
    <row r="237" spans="2:13">
      <c r="B237"/>
      <c r="C237" s="117"/>
      <c r="D237" s="176"/>
      <c r="E237"/>
      <c r="F237"/>
      <c r="G237"/>
      <c r="H237"/>
      <c r="I237"/>
      <c r="J237"/>
      <c r="K237"/>
      <c r="L237"/>
      <c r="M237"/>
    </row>
    <row r="238" spans="2:13">
      <c r="B238"/>
      <c r="C238" s="117"/>
      <c r="D238" s="176"/>
      <c r="E238"/>
      <c r="F238"/>
      <c r="G238"/>
      <c r="H238"/>
      <c r="I238"/>
      <c r="J238"/>
      <c r="K238"/>
      <c r="L238"/>
      <c r="M238"/>
    </row>
    <row r="239" spans="2:13">
      <c r="B239"/>
      <c r="C239" s="117"/>
      <c r="D239" s="176"/>
      <c r="E239"/>
      <c r="F239"/>
      <c r="G239"/>
      <c r="H239"/>
      <c r="I239"/>
      <c r="J239"/>
      <c r="K239"/>
      <c r="L239"/>
      <c r="M239"/>
    </row>
    <row r="240" spans="2:13">
      <c r="B240"/>
      <c r="C240" s="117"/>
      <c r="D240" s="176"/>
      <c r="E240"/>
      <c r="F240"/>
      <c r="G240"/>
      <c r="H240"/>
      <c r="I240"/>
      <c r="J240"/>
      <c r="K240"/>
      <c r="L240"/>
      <c r="M240"/>
    </row>
    <row r="241" spans="2:13">
      <c r="B241"/>
      <c r="C241" s="117"/>
      <c r="D241" s="176"/>
      <c r="E241"/>
      <c r="F241"/>
      <c r="G241"/>
      <c r="H241"/>
      <c r="I241"/>
      <c r="J241"/>
      <c r="K241"/>
      <c r="L241"/>
      <c r="M241"/>
    </row>
    <row r="242" spans="2:13">
      <c r="B242"/>
      <c r="C242" s="117"/>
      <c r="D242" s="176"/>
      <c r="E242"/>
      <c r="F242"/>
      <c r="G242"/>
      <c r="H242"/>
      <c r="I242"/>
      <c r="J242"/>
      <c r="K242"/>
      <c r="L242"/>
      <c r="M242"/>
    </row>
    <row r="243" spans="2:13">
      <c r="B243"/>
      <c r="C243" s="117"/>
      <c r="D243" s="176"/>
      <c r="E243"/>
      <c r="F243"/>
      <c r="G243"/>
      <c r="H243"/>
      <c r="I243"/>
      <c r="J243"/>
      <c r="K243"/>
      <c r="L243"/>
      <c r="M243"/>
    </row>
    <row r="244" spans="2:13">
      <c r="B244"/>
      <c r="C244" s="117"/>
      <c r="D244" s="176"/>
      <c r="E244"/>
      <c r="F244"/>
      <c r="G244"/>
      <c r="H244"/>
      <c r="I244"/>
      <c r="J244"/>
      <c r="K244"/>
      <c r="L244"/>
      <c r="M244"/>
    </row>
    <row r="245" spans="2:13">
      <c r="B245"/>
      <c r="C245" s="117"/>
      <c r="D245" s="176"/>
      <c r="E245"/>
      <c r="F245"/>
      <c r="G245"/>
      <c r="H245"/>
      <c r="I245"/>
      <c r="J245"/>
      <c r="K245"/>
      <c r="L245"/>
      <c r="M245"/>
    </row>
    <row r="246" spans="2:13">
      <c r="B246"/>
      <c r="C246" s="117"/>
      <c r="D246" s="176"/>
      <c r="E246"/>
      <c r="F246"/>
      <c r="G246"/>
      <c r="H246"/>
      <c r="I246"/>
      <c r="J246"/>
      <c r="K246"/>
      <c r="L246"/>
      <c r="M246"/>
    </row>
    <row r="247" spans="2:13">
      <c r="B247"/>
      <c r="C247" s="117"/>
      <c r="D247" s="176"/>
      <c r="E247"/>
      <c r="F247"/>
      <c r="G247"/>
      <c r="H247"/>
      <c r="I247"/>
      <c r="J247"/>
      <c r="K247"/>
      <c r="L247"/>
      <c r="M247"/>
    </row>
    <row r="248" spans="2:13">
      <c r="B248"/>
      <c r="C248" s="117"/>
      <c r="D248" s="176"/>
      <c r="E248"/>
      <c r="F248"/>
      <c r="G248"/>
      <c r="H248"/>
      <c r="I248"/>
      <c r="J248"/>
      <c r="K248"/>
      <c r="L248"/>
      <c r="M248"/>
    </row>
    <row r="249" spans="2:13">
      <c r="B249"/>
      <c r="C249" s="117"/>
      <c r="D249" s="176"/>
      <c r="E249"/>
      <c r="F249"/>
      <c r="G249"/>
      <c r="H249"/>
      <c r="I249"/>
      <c r="J249"/>
      <c r="K249"/>
      <c r="L249"/>
      <c r="M249"/>
    </row>
    <row r="250" spans="2:13">
      <c r="B250"/>
      <c r="C250" s="117"/>
      <c r="D250" s="176"/>
      <c r="E250"/>
      <c r="F250"/>
      <c r="G250"/>
      <c r="H250"/>
      <c r="I250"/>
      <c r="J250"/>
      <c r="K250"/>
      <c r="L250"/>
      <c r="M250"/>
    </row>
    <row r="251" spans="2:13">
      <c r="B251"/>
      <c r="C251" s="117"/>
      <c r="D251" s="176"/>
      <c r="E251"/>
      <c r="F251"/>
      <c r="G251"/>
      <c r="H251"/>
      <c r="I251"/>
      <c r="J251"/>
      <c r="K251"/>
      <c r="L251"/>
      <c r="M251"/>
    </row>
    <row r="252" spans="2:13">
      <c r="B252"/>
      <c r="C252" s="117"/>
      <c r="D252" s="176"/>
      <c r="E252"/>
      <c r="F252"/>
      <c r="G252"/>
      <c r="H252"/>
      <c r="I252"/>
      <c r="J252"/>
      <c r="K252"/>
      <c r="L252"/>
      <c r="M252"/>
    </row>
    <row r="253" spans="2:13">
      <c r="B253"/>
      <c r="C253" s="117"/>
      <c r="D253" s="176"/>
      <c r="E253"/>
      <c r="F253"/>
      <c r="G253"/>
      <c r="H253"/>
      <c r="I253"/>
      <c r="J253"/>
      <c r="K253"/>
      <c r="L253"/>
      <c r="M253"/>
    </row>
    <row r="254" spans="2:13">
      <c r="B254"/>
      <c r="C254" s="117"/>
      <c r="D254" s="176"/>
      <c r="E254"/>
      <c r="F254"/>
      <c r="G254"/>
      <c r="H254"/>
      <c r="I254"/>
      <c r="J254"/>
      <c r="K254"/>
      <c r="L254"/>
      <c r="M254"/>
    </row>
    <row r="255" spans="2:13">
      <c r="B255"/>
      <c r="C255" s="117"/>
      <c r="D255" s="176"/>
      <c r="E255"/>
      <c r="F255"/>
      <c r="G255"/>
      <c r="H255"/>
      <c r="I255"/>
      <c r="J255"/>
      <c r="K255"/>
      <c r="L255"/>
      <c r="M255"/>
    </row>
    <row r="256" spans="2:13">
      <c r="B256"/>
      <c r="C256" s="117"/>
      <c r="D256" s="176"/>
      <c r="E256"/>
      <c r="F256"/>
      <c r="G256"/>
      <c r="H256"/>
      <c r="I256"/>
      <c r="J256"/>
      <c r="K256"/>
      <c r="L256"/>
      <c r="M256"/>
    </row>
    <row r="257" spans="2:13">
      <c r="B257"/>
      <c r="C257" s="117"/>
      <c r="D257" s="176"/>
      <c r="E257"/>
      <c r="F257"/>
      <c r="G257"/>
      <c r="H257"/>
      <c r="I257"/>
      <c r="J257"/>
      <c r="K257"/>
      <c r="L257"/>
      <c r="M257"/>
    </row>
    <row r="258" spans="2:13">
      <c r="B258"/>
      <c r="C258" s="117"/>
      <c r="D258" s="176"/>
      <c r="E258"/>
      <c r="F258"/>
      <c r="G258"/>
      <c r="H258"/>
      <c r="I258"/>
      <c r="J258"/>
      <c r="K258"/>
      <c r="L258"/>
      <c r="M258"/>
    </row>
    <row r="259" spans="2:13">
      <c r="B259"/>
      <c r="C259" s="117"/>
      <c r="D259" s="176"/>
      <c r="E259"/>
      <c r="F259"/>
      <c r="G259"/>
      <c r="H259"/>
      <c r="I259"/>
      <c r="J259"/>
      <c r="K259"/>
      <c r="L259"/>
      <c r="M259"/>
    </row>
    <row r="260" spans="2:13">
      <c r="B260"/>
      <c r="C260" s="117"/>
      <c r="D260" s="176"/>
      <c r="E260"/>
      <c r="F260"/>
      <c r="G260"/>
      <c r="H260"/>
      <c r="I260"/>
      <c r="J260"/>
      <c r="K260"/>
      <c r="L260"/>
      <c r="M260"/>
    </row>
    <row r="261" spans="2:13">
      <c r="B261"/>
      <c r="C261" s="117"/>
      <c r="D261" s="176"/>
      <c r="E261"/>
      <c r="F261"/>
      <c r="G261"/>
      <c r="H261"/>
      <c r="I261"/>
      <c r="J261"/>
      <c r="K261"/>
      <c r="L261"/>
      <c r="M261"/>
    </row>
    <row r="262" spans="2:13">
      <c r="B262"/>
      <c r="C262" s="117"/>
      <c r="D262" s="176"/>
      <c r="E262"/>
      <c r="F262"/>
      <c r="G262"/>
      <c r="H262"/>
      <c r="I262"/>
      <c r="J262"/>
      <c r="K262"/>
      <c r="L262"/>
      <c r="M262"/>
    </row>
    <row r="263" spans="2:13">
      <c r="B263"/>
      <c r="C263" s="117"/>
      <c r="D263" s="176"/>
      <c r="E263"/>
      <c r="F263"/>
      <c r="G263"/>
      <c r="H263"/>
      <c r="I263"/>
      <c r="J263"/>
      <c r="K263"/>
      <c r="L263"/>
      <c r="M263"/>
    </row>
    <row r="264" spans="2:13">
      <c r="B264"/>
      <c r="C264" s="117"/>
      <c r="D264" s="176"/>
      <c r="E264"/>
      <c r="F264"/>
      <c r="G264"/>
      <c r="H264"/>
      <c r="I264"/>
      <c r="J264"/>
      <c r="K264"/>
      <c r="L264"/>
      <c r="M264"/>
    </row>
    <row r="265" spans="2:13">
      <c r="B265"/>
      <c r="C265" s="117"/>
      <c r="D265" s="176"/>
      <c r="E265"/>
      <c r="F265"/>
      <c r="G265"/>
      <c r="H265"/>
      <c r="I265"/>
      <c r="J265"/>
      <c r="K265"/>
      <c r="L265"/>
      <c r="M265"/>
    </row>
    <row r="266" spans="2:13">
      <c r="B266"/>
      <c r="C266" s="117"/>
      <c r="D266" s="176"/>
      <c r="E266"/>
      <c r="F266"/>
      <c r="G266"/>
      <c r="H266"/>
      <c r="I266"/>
      <c r="J266"/>
      <c r="K266"/>
      <c r="L266"/>
      <c r="M266"/>
    </row>
    <row r="267" spans="2:13">
      <c r="B267"/>
      <c r="C267" s="117"/>
      <c r="D267" s="176"/>
      <c r="E267"/>
      <c r="F267"/>
      <c r="G267"/>
      <c r="H267"/>
      <c r="I267"/>
      <c r="J267"/>
      <c r="K267"/>
      <c r="L267"/>
      <c r="M267"/>
    </row>
    <row r="268" spans="2:13">
      <c r="B268"/>
      <c r="C268" s="117"/>
      <c r="D268" s="176"/>
      <c r="E268"/>
      <c r="F268"/>
      <c r="G268"/>
      <c r="H268"/>
      <c r="I268"/>
      <c r="J268"/>
      <c r="K268"/>
      <c r="L268"/>
      <c r="M268"/>
    </row>
    <row r="269" spans="2:13">
      <c r="B269"/>
      <c r="C269" s="117"/>
      <c r="D269" s="176"/>
      <c r="E269"/>
      <c r="F269"/>
      <c r="G269"/>
      <c r="H269"/>
      <c r="I269"/>
      <c r="J269"/>
      <c r="K269"/>
      <c r="L269"/>
      <c r="M269"/>
    </row>
    <row r="270" spans="2:13">
      <c r="B270"/>
      <c r="C270" s="117"/>
      <c r="D270" s="176"/>
      <c r="E270"/>
      <c r="F270"/>
      <c r="G270"/>
      <c r="H270"/>
      <c r="I270"/>
      <c r="J270"/>
      <c r="K270"/>
      <c r="L270"/>
      <c r="M270"/>
    </row>
    <row r="271" spans="2:13">
      <c r="B271"/>
      <c r="C271" s="117"/>
      <c r="D271" s="176"/>
      <c r="E271"/>
      <c r="F271"/>
      <c r="G271"/>
      <c r="H271"/>
      <c r="I271"/>
      <c r="J271"/>
      <c r="K271"/>
      <c r="L271"/>
      <c r="M271"/>
    </row>
    <row r="272" spans="2:13">
      <c r="B272"/>
      <c r="C272" s="117"/>
      <c r="D272" s="176"/>
      <c r="E272"/>
      <c r="F272"/>
      <c r="G272"/>
      <c r="H272"/>
      <c r="I272"/>
      <c r="J272"/>
      <c r="K272"/>
      <c r="L272"/>
      <c r="M272"/>
    </row>
    <row r="273" spans="2:13">
      <c r="B273"/>
      <c r="C273" s="117"/>
      <c r="D273" s="176"/>
      <c r="E273"/>
      <c r="F273"/>
      <c r="G273"/>
      <c r="H273"/>
      <c r="I273"/>
      <c r="J273"/>
      <c r="K273"/>
      <c r="L273"/>
      <c r="M273"/>
    </row>
    <row r="274" spans="2:13">
      <c r="B274"/>
      <c r="C274" s="117"/>
      <c r="D274" s="176"/>
      <c r="E274"/>
      <c r="F274"/>
      <c r="G274"/>
      <c r="H274"/>
      <c r="I274"/>
      <c r="J274"/>
      <c r="K274"/>
      <c r="L274"/>
      <c r="M274"/>
    </row>
    <row r="275" spans="2:13">
      <c r="B275"/>
      <c r="C275" s="117"/>
      <c r="D275" s="176"/>
      <c r="E275"/>
      <c r="F275"/>
      <c r="G275"/>
      <c r="H275"/>
      <c r="I275"/>
      <c r="J275"/>
      <c r="K275"/>
      <c r="L275"/>
      <c r="M275"/>
    </row>
    <row r="276" spans="2:13">
      <c r="B276"/>
      <c r="C276" s="117"/>
      <c r="D276" s="176"/>
      <c r="E276"/>
      <c r="F276"/>
      <c r="G276"/>
      <c r="H276"/>
      <c r="I276"/>
      <c r="J276"/>
      <c r="K276"/>
      <c r="L276"/>
      <c r="M276"/>
    </row>
    <row r="277" spans="2:13">
      <c r="B277"/>
      <c r="C277" s="117"/>
      <c r="D277" s="176"/>
      <c r="E277"/>
      <c r="F277"/>
      <c r="G277"/>
      <c r="H277"/>
      <c r="I277"/>
      <c r="J277"/>
      <c r="K277"/>
      <c r="L277"/>
      <c r="M277"/>
    </row>
    <row r="278" spans="2:13">
      <c r="B278"/>
      <c r="C278" s="117"/>
      <c r="D278" s="176"/>
      <c r="E278"/>
      <c r="F278"/>
      <c r="G278"/>
      <c r="H278"/>
      <c r="I278"/>
      <c r="J278"/>
      <c r="K278"/>
      <c r="L278"/>
      <c r="M278"/>
    </row>
    <row r="279" spans="2:13">
      <c r="B279"/>
      <c r="C279" s="117"/>
      <c r="D279" s="176"/>
      <c r="E279"/>
      <c r="F279"/>
      <c r="G279"/>
      <c r="H279"/>
      <c r="I279"/>
      <c r="J279"/>
      <c r="K279"/>
      <c r="L279"/>
      <c r="M279"/>
    </row>
    <row r="280" spans="2:13">
      <c r="B280"/>
      <c r="C280" s="117"/>
      <c r="D280" s="176"/>
      <c r="E280"/>
      <c r="F280"/>
      <c r="G280"/>
      <c r="H280"/>
      <c r="I280"/>
      <c r="J280"/>
      <c r="K280"/>
      <c r="L280"/>
      <c r="M280"/>
    </row>
    <row r="281" spans="2:13">
      <c r="B281"/>
      <c r="C281" s="117"/>
      <c r="D281" s="176"/>
      <c r="E281"/>
      <c r="F281"/>
      <c r="G281"/>
      <c r="H281"/>
      <c r="I281"/>
      <c r="J281"/>
      <c r="K281"/>
      <c r="L281"/>
      <c r="M281"/>
    </row>
    <row r="282" spans="2:13">
      <c r="B282"/>
      <c r="C282" s="117"/>
      <c r="D282" s="176"/>
      <c r="E282"/>
      <c r="F282"/>
      <c r="G282"/>
      <c r="H282"/>
      <c r="I282"/>
      <c r="J282"/>
      <c r="K282"/>
      <c r="L282"/>
      <c r="M282"/>
    </row>
    <row r="283" spans="2:13">
      <c r="B283"/>
      <c r="C283" s="117"/>
      <c r="D283" s="176"/>
      <c r="E283"/>
      <c r="F283"/>
      <c r="G283"/>
      <c r="H283"/>
      <c r="I283"/>
      <c r="J283"/>
      <c r="K283"/>
      <c r="L283"/>
      <c r="M283"/>
    </row>
    <row r="284" spans="2:13">
      <c r="B284"/>
      <c r="C284" s="117"/>
      <c r="D284" s="176"/>
      <c r="E284"/>
      <c r="F284"/>
      <c r="G284"/>
      <c r="H284"/>
      <c r="I284"/>
      <c r="J284"/>
      <c r="K284"/>
      <c r="L284"/>
      <c r="M284"/>
    </row>
    <row r="285" spans="2:13">
      <c r="B285"/>
      <c r="C285" s="117"/>
      <c r="D285" s="176"/>
      <c r="E285"/>
      <c r="F285"/>
      <c r="G285"/>
      <c r="H285"/>
      <c r="I285"/>
      <c r="J285"/>
      <c r="K285"/>
      <c r="L285"/>
      <c r="M285"/>
    </row>
    <row r="286" spans="2:13">
      <c r="B286"/>
      <c r="C286" s="117"/>
      <c r="D286" s="176"/>
      <c r="E286"/>
      <c r="F286"/>
      <c r="G286"/>
      <c r="H286"/>
      <c r="I286"/>
      <c r="J286"/>
      <c r="K286"/>
      <c r="L286"/>
      <c r="M286"/>
    </row>
    <row r="287" spans="2:13">
      <c r="B287"/>
      <c r="C287" s="117"/>
      <c r="D287" s="176"/>
      <c r="E287"/>
      <c r="F287"/>
      <c r="G287"/>
      <c r="H287"/>
      <c r="I287"/>
      <c r="J287"/>
      <c r="K287"/>
      <c r="L287"/>
      <c r="M287"/>
    </row>
    <row r="288" spans="2:13">
      <c r="B288"/>
      <c r="C288" s="117"/>
      <c r="D288" s="176"/>
      <c r="E288"/>
      <c r="F288"/>
      <c r="G288"/>
      <c r="H288"/>
      <c r="I288"/>
      <c r="J288"/>
      <c r="K288"/>
      <c r="L288"/>
      <c r="M288"/>
    </row>
    <row r="289" spans="2:13">
      <c r="B289"/>
      <c r="C289" s="117"/>
      <c r="D289" s="176"/>
      <c r="E289"/>
      <c r="F289"/>
      <c r="G289"/>
      <c r="H289"/>
      <c r="I289"/>
      <c r="J289"/>
      <c r="K289"/>
      <c r="L289"/>
      <c r="M289"/>
    </row>
    <row r="290" spans="2:13">
      <c r="B290"/>
      <c r="C290" s="117"/>
      <c r="D290" s="176"/>
      <c r="E290"/>
      <c r="F290"/>
      <c r="G290"/>
      <c r="H290"/>
      <c r="I290"/>
      <c r="J290"/>
      <c r="K290"/>
      <c r="L290"/>
      <c r="M290"/>
    </row>
    <row r="291" spans="2:13">
      <c r="B291"/>
      <c r="C291" s="117"/>
      <c r="D291" s="176"/>
      <c r="E291"/>
      <c r="F291"/>
      <c r="G291"/>
      <c r="H291"/>
      <c r="I291"/>
      <c r="J291"/>
      <c r="K291"/>
      <c r="L291"/>
      <c r="M291"/>
    </row>
    <row r="292" spans="2:13">
      <c r="B292"/>
      <c r="C292" s="117"/>
      <c r="D292" s="176"/>
      <c r="E292"/>
      <c r="F292"/>
      <c r="G292"/>
      <c r="H292"/>
      <c r="I292"/>
      <c r="J292"/>
      <c r="K292"/>
      <c r="L292"/>
      <c r="M292"/>
    </row>
    <row r="293" spans="2:13">
      <c r="B293"/>
      <c r="C293" s="117"/>
      <c r="D293" s="176"/>
      <c r="E293"/>
      <c r="F293"/>
      <c r="G293"/>
      <c r="H293"/>
      <c r="I293"/>
      <c r="J293"/>
      <c r="K293"/>
      <c r="L293"/>
      <c r="M293"/>
    </row>
    <row r="294" spans="2:13">
      <c r="B294"/>
      <c r="C294" s="117"/>
      <c r="D294" s="176"/>
      <c r="E294"/>
      <c r="F294"/>
      <c r="G294"/>
      <c r="H294"/>
      <c r="I294"/>
      <c r="J294"/>
      <c r="K294"/>
      <c r="L294"/>
      <c r="M294"/>
    </row>
    <row r="295" spans="2:13">
      <c r="B295"/>
      <c r="C295" s="117"/>
      <c r="D295" s="176"/>
      <c r="E295"/>
      <c r="F295"/>
      <c r="G295"/>
      <c r="H295"/>
      <c r="I295"/>
      <c r="J295"/>
      <c r="K295"/>
      <c r="L295"/>
      <c r="M295"/>
    </row>
    <row r="296" spans="2:13">
      <c r="B296"/>
      <c r="C296" s="117"/>
      <c r="D296" s="176"/>
      <c r="E296"/>
      <c r="F296"/>
      <c r="G296"/>
      <c r="H296"/>
      <c r="I296"/>
      <c r="J296"/>
      <c r="K296"/>
      <c r="L296"/>
      <c r="M296"/>
    </row>
    <row r="297" spans="2:13">
      <c r="B297"/>
      <c r="C297" s="117"/>
      <c r="D297" s="176"/>
      <c r="E297"/>
      <c r="F297"/>
      <c r="G297"/>
      <c r="H297"/>
      <c r="I297"/>
      <c r="J297"/>
      <c r="K297"/>
      <c r="L297"/>
      <c r="M297"/>
    </row>
    <row r="298" spans="2:13">
      <c r="B298"/>
      <c r="C298" s="117"/>
      <c r="D298" s="176"/>
      <c r="E298"/>
      <c r="F298"/>
      <c r="G298"/>
      <c r="H298"/>
      <c r="I298"/>
      <c r="J298"/>
      <c r="K298"/>
      <c r="L298"/>
      <c r="M298"/>
    </row>
    <row r="299" spans="2:13">
      <c r="B299"/>
      <c r="C299" s="117"/>
      <c r="D299" s="176"/>
      <c r="E299"/>
      <c r="F299"/>
      <c r="G299"/>
      <c r="H299"/>
      <c r="I299"/>
      <c r="J299"/>
      <c r="K299"/>
      <c r="L299"/>
      <c r="M299"/>
    </row>
    <row r="300" spans="2:13">
      <c r="B300"/>
      <c r="C300" s="117"/>
      <c r="D300" s="176"/>
      <c r="E300"/>
      <c r="F300"/>
      <c r="G300"/>
      <c r="H300"/>
      <c r="I300"/>
      <c r="J300"/>
      <c r="K300"/>
      <c r="L300"/>
      <c r="M300"/>
    </row>
    <row r="301" spans="2:13">
      <c r="B301"/>
      <c r="C301" s="117"/>
      <c r="D301" s="176"/>
      <c r="E301"/>
      <c r="F301"/>
      <c r="G301"/>
      <c r="H301"/>
      <c r="I301"/>
      <c r="J301"/>
      <c r="K301"/>
      <c r="L301"/>
      <c r="M301"/>
    </row>
    <row r="302" spans="2:13">
      <c r="B302"/>
      <c r="C302" s="117"/>
      <c r="D302" s="176"/>
      <c r="E302"/>
      <c r="F302"/>
      <c r="G302"/>
      <c r="H302"/>
      <c r="I302"/>
      <c r="J302"/>
      <c r="K302"/>
      <c r="L302"/>
      <c r="M302"/>
    </row>
    <row r="303" spans="2:13">
      <c r="B303"/>
      <c r="C303" s="117"/>
      <c r="D303" s="176"/>
      <c r="E303"/>
      <c r="F303"/>
      <c r="G303"/>
      <c r="H303"/>
      <c r="I303"/>
      <c r="J303"/>
      <c r="K303"/>
      <c r="L303"/>
      <c r="M303"/>
    </row>
    <row r="304" spans="2:13">
      <c r="B304"/>
      <c r="C304" s="117"/>
      <c r="D304" s="176"/>
      <c r="E304"/>
      <c r="F304"/>
      <c r="G304"/>
      <c r="H304"/>
      <c r="I304"/>
      <c r="J304"/>
      <c r="K304"/>
      <c r="L304"/>
      <c r="M304"/>
    </row>
    <row r="305" spans="2:13">
      <c r="B305"/>
      <c r="C305" s="117"/>
      <c r="D305" s="176"/>
      <c r="E305"/>
      <c r="F305"/>
      <c r="G305"/>
      <c r="H305"/>
      <c r="I305"/>
      <c r="J305"/>
      <c r="K305"/>
      <c r="L305"/>
      <c r="M305"/>
    </row>
    <row r="306" spans="2:13">
      <c r="B306"/>
      <c r="C306" s="117"/>
      <c r="D306" s="176"/>
      <c r="E306"/>
      <c r="F306"/>
      <c r="G306"/>
      <c r="H306"/>
      <c r="I306"/>
      <c r="J306"/>
      <c r="K306"/>
      <c r="L306"/>
      <c r="M306"/>
    </row>
    <row r="307" spans="2:13">
      <c r="B307"/>
      <c r="C307" s="117"/>
      <c r="D307" s="176"/>
      <c r="E307"/>
      <c r="F307"/>
      <c r="G307"/>
      <c r="H307"/>
      <c r="I307"/>
      <c r="J307"/>
      <c r="K307"/>
      <c r="L307"/>
      <c r="M307"/>
    </row>
    <row r="308" spans="2:13">
      <c r="B308"/>
      <c r="C308" s="117"/>
      <c r="D308" s="176"/>
      <c r="E308"/>
      <c r="F308"/>
      <c r="G308"/>
      <c r="H308"/>
      <c r="I308"/>
      <c r="J308"/>
      <c r="K308"/>
      <c r="L308"/>
      <c r="M308"/>
    </row>
    <row r="309" spans="2:13">
      <c r="B309"/>
      <c r="C309" s="117"/>
      <c r="D309" s="176"/>
      <c r="E309"/>
      <c r="F309"/>
      <c r="G309"/>
      <c r="H309"/>
      <c r="I309"/>
      <c r="J309"/>
      <c r="K309"/>
      <c r="L309"/>
      <c r="M309"/>
    </row>
    <row r="310" spans="2:13">
      <c r="B310"/>
      <c r="C310" s="117"/>
      <c r="D310" s="176"/>
      <c r="E310"/>
      <c r="F310"/>
      <c r="G310"/>
      <c r="H310"/>
      <c r="I310"/>
      <c r="J310"/>
      <c r="K310"/>
      <c r="L310"/>
      <c r="M310"/>
    </row>
    <row r="311" spans="2:13">
      <c r="B311"/>
      <c r="C311" s="117"/>
      <c r="D311" s="176"/>
      <c r="E311"/>
      <c r="F311"/>
      <c r="G311"/>
      <c r="H311"/>
      <c r="I311"/>
      <c r="J311"/>
      <c r="K311"/>
      <c r="L311"/>
      <c r="M311"/>
    </row>
    <row r="312" spans="2:13">
      <c r="B312"/>
      <c r="C312" s="117"/>
      <c r="D312" s="176"/>
      <c r="E312"/>
      <c r="F312"/>
      <c r="G312"/>
      <c r="H312"/>
      <c r="I312"/>
      <c r="J312"/>
      <c r="K312"/>
      <c r="L312"/>
      <c r="M312"/>
    </row>
    <row r="313" spans="2:13">
      <c r="B313"/>
      <c r="C313" s="117"/>
      <c r="D313" s="176"/>
      <c r="E313"/>
      <c r="F313"/>
      <c r="G313"/>
      <c r="H313"/>
      <c r="I313"/>
      <c r="J313"/>
      <c r="K313"/>
      <c r="L313"/>
      <c r="M313"/>
    </row>
    <row r="314" spans="2:13">
      <c r="B314"/>
      <c r="C314" s="117"/>
      <c r="D314" s="176"/>
      <c r="E314"/>
      <c r="F314"/>
      <c r="G314"/>
      <c r="H314"/>
      <c r="I314"/>
      <c r="J314"/>
      <c r="K314"/>
      <c r="L314"/>
      <c r="M314"/>
    </row>
    <row r="315" spans="2:13">
      <c r="B315"/>
      <c r="C315" s="117"/>
      <c r="D315" s="176"/>
      <c r="E315"/>
      <c r="F315"/>
      <c r="G315"/>
      <c r="H315"/>
      <c r="I315"/>
      <c r="J315"/>
      <c r="K315"/>
      <c r="L315"/>
      <c r="M315"/>
    </row>
    <row r="316" spans="2:13">
      <c r="B316"/>
      <c r="C316" s="117"/>
      <c r="D316" s="176"/>
      <c r="E316"/>
      <c r="F316"/>
      <c r="G316"/>
      <c r="H316"/>
      <c r="I316"/>
      <c r="J316"/>
      <c r="K316"/>
      <c r="L316"/>
      <c r="M316"/>
    </row>
    <row r="317" spans="2:13">
      <c r="B317"/>
      <c r="C317" s="117"/>
      <c r="D317" s="176"/>
      <c r="E317"/>
      <c r="F317"/>
      <c r="G317"/>
      <c r="H317"/>
      <c r="I317"/>
      <c r="J317"/>
      <c r="K317"/>
      <c r="L317"/>
      <c r="M317"/>
    </row>
    <row r="318" spans="2:13">
      <c r="B318"/>
      <c r="C318" s="117"/>
      <c r="D318" s="176"/>
      <c r="E318"/>
      <c r="F318"/>
      <c r="G318"/>
      <c r="H318"/>
      <c r="I318"/>
      <c r="J318"/>
      <c r="K318"/>
      <c r="L318"/>
      <c r="M318"/>
    </row>
    <row r="319" spans="2:13">
      <c r="B319"/>
      <c r="C319" s="117"/>
      <c r="D319" s="176"/>
      <c r="E319"/>
      <c r="F319"/>
      <c r="G319"/>
      <c r="H319"/>
      <c r="I319"/>
      <c r="J319"/>
      <c r="K319"/>
      <c r="L319"/>
      <c r="M319"/>
    </row>
    <row r="320" spans="2:13">
      <c r="B320"/>
      <c r="C320" s="117"/>
      <c r="D320" s="176"/>
      <c r="E320"/>
      <c r="F320"/>
      <c r="G320"/>
      <c r="H320"/>
      <c r="I320"/>
      <c r="J320"/>
      <c r="K320"/>
      <c r="L320"/>
      <c r="M320"/>
    </row>
    <row r="321" spans="2:13">
      <c r="B321"/>
      <c r="C321" s="117"/>
      <c r="D321" s="176"/>
      <c r="E321"/>
      <c r="F321"/>
      <c r="G321"/>
      <c r="H321"/>
      <c r="I321"/>
      <c r="J321"/>
      <c r="K321"/>
      <c r="L321"/>
      <c r="M321"/>
    </row>
    <row r="322" spans="2:13">
      <c r="B322"/>
      <c r="C322" s="117"/>
      <c r="D322" s="176"/>
      <c r="E322"/>
      <c r="F322"/>
      <c r="G322"/>
      <c r="H322"/>
      <c r="I322"/>
      <c r="J322"/>
      <c r="K322"/>
      <c r="L322"/>
      <c r="M322"/>
    </row>
    <row r="323" spans="2:13">
      <c r="B323"/>
      <c r="C323" s="117"/>
      <c r="D323" s="176"/>
      <c r="E323"/>
      <c r="F323"/>
      <c r="G323"/>
      <c r="H323"/>
      <c r="I323"/>
      <c r="J323"/>
      <c r="K323"/>
      <c r="L323"/>
      <c r="M323"/>
    </row>
    <row r="324" spans="2:13">
      <c r="B324"/>
      <c r="C324" s="117"/>
      <c r="D324" s="176"/>
      <c r="E324"/>
      <c r="F324"/>
      <c r="G324"/>
      <c r="H324"/>
      <c r="I324"/>
      <c r="J324"/>
      <c r="K324"/>
      <c r="L324"/>
      <c r="M324"/>
    </row>
    <row r="325" spans="2:13">
      <c r="B325"/>
      <c r="C325" s="117"/>
      <c r="D325" s="176"/>
      <c r="E325"/>
      <c r="F325"/>
      <c r="G325"/>
      <c r="H325"/>
      <c r="I325"/>
      <c r="J325"/>
      <c r="K325"/>
      <c r="L325"/>
      <c r="M325"/>
    </row>
    <row r="326" spans="2:13">
      <c r="B326"/>
      <c r="C326" s="117"/>
      <c r="D326" s="176"/>
      <c r="E326"/>
      <c r="F326"/>
      <c r="G326"/>
      <c r="H326"/>
      <c r="I326"/>
      <c r="J326"/>
      <c r="K326"/>
      <c r="L326"/>
      <c r="M326"/>
    </row>
    <row r="327" spans="2:13">
      <c r="B327"/>
      <c r="C327" s="117"/>
      <c r="D327" s="176"/>
      <c r="E327"/>
      <c r="F327"/>
      <c r="G327"/>
      <c r="H327"/>
      <c r="I327"/>
      <c r="J327"/>
      <c r="K327"/>
      <c r="L327"/>
      <c r="M327"/>
    </row>
    <row r="328" spans="2:13">
      <c r="B328"/>
      <c r="C328" s="117"/>
      <c r="D328" s="176"/>
      <c r="E328"/>
      <c r="F328"/>
      <c r="G328"/>
      <c r="H328"/>
      <c r="I328"/>
      <c r="J328"/>
      <c r="K328"/>
      <c r="L328"/>
      <c r="M328"/>
    </row>
    <row r="329" spans="2:13">
      <c r="B329"/>
      <c r="C329" s="117"/>
      <c r="D329" s="176"/>
      <c r="E329"/>
      <c r="F329"/>
      <c r="G329"/>
      <c r="H329"/>
      <c r="I329"/>
      <c r="J329"/>
      <c r="K329"/>
      <c r="L329"/>
      <c r="M329"/>
    </row>
    <row r="330" spans="2:13">
      <c r="B330"/>
      <c r="C330" s="117"/>
      <c r="D330" s="176"/>
      <c r="E330"/>
      <c r="F330"/>
      <c r="G330"/>
      <c r="H330"/>
      <c r="I330"/>
      <c r="J330"/>
      <c r="K330"/>
      <c r="L330"/>
      <c r="M330"/>
    </row>
    <row r="331" spans="2:13">
      <c r="B331"/>
      <c r="C331" s="117"/>
      <c r="D331" s="176"/>
      <c r="E331"/>
      <c r="F331"/>
      <c r="G331"/>
      <c r="H331"/>
      <c r="I331"/>
      <c r="J331"/>
      <c r="K331"/>
      <c r="L331"/>
      <c r="M331"/>
    </row>
    <row r="332" spans="2:13">
      <c r="B332"/>
      <c r="C332" s="117"/>
      <c r="D332" s="176"/>
      <c r="E332"/>
      <c r="F332"/>
      <c r="G332"/>
      <c r="H332"/>
      <c r="I332"/>
      <c r="J332"/>
      <c r="K332"/>
      <c r="L332"/>
      <c r="M332"/>
    </row>
    <row r="333" spans="2:13">
      <c r="B333"/>
      <c r="C333" s="117"/>
      <c r="D333" s="176"/>
      <c r="E333"/>
      <c r="F333"/>
      <c r="G333"/>
      <c r="H333"/>
      <c r="I333"/>
      <c r="J333"/>
      <c r="K333"/>
      <c r="L333"/>
      <c r="M333"/>
    </row>
    <row r="334" spans="2:13">
      <c r="B334"/>
      <c r="C334" s="117"/>
      <c r="D334" s="176"/>
      <c r="E334"/>
      <c r="F334"/>
      <c r="G334"/>
      <c r="H334"/>
      <c r="I334"/>
      <c r="J334"/>
      <c r="K334"/>
      <c r="L334"/>
      <c r="M334"/>
    </row>
    <row r="335" spans="2:13">
      <c r="B335"/>
      <c r="C335" s="117"/>
      <c r="D335" s="176"/>
      <c r="E335"/>
      <c r="F335"/>
      <c r="G335"/>
      <c r="H335"/>
      <c r="I335"/>
      <c r="J335"/>
      <c r="K335"/>
      <c r="L335"/>
      <c r="M335"/>
    </row>
    <row r="336" spans="2:13">
      <c r="B336"/>
      <c r="C336" s="117"/>
      <c r="D336" s="176"/>
      <c r="E336"/>
      <c r="F336"/>
      <c r="G336"/>
      <c r="H336"/>
      <c r="I336"/>
      <c r="J336"/>
      <c r="K336"/>
      <c r="L336"/>
      <c r="M336"/>
    </row>
    <row r="337" spans="2:13">
      <c r="B337"/>
      <c r="C337" s="117"/>
      <c r="D337" s="176"/>
      <c r="E337"/>
      <c r="F337"/>
      <c r="G337"/>
      <c r="H337"/>
      <c r="I337"/>
      <c r="J337"/>
      <c r="K337"/>
      <c r="L337"/>
      <c r="M337"/>
    </row>
    <row r="338" spans="2:13">
      <c r="B338"/>
      <c r="C338" s="117"/>
      <c r="D338" s="176"/>
      <c r="E338"/>
      <c r="F338"/>
      <c r="G338"/>
      <c r="H338"/>
      <c r="I338"/>
      <c r="J338"/>
      <c r="K338"/>
      <c r="L338"/>
      <c r="M338"/>
    </row>
    <row r="339" spans="2:13">
      <c r="B339"/>
      <c r="C339" s="117"/>
      <c r="D339" s="176"/>
      <c r="E339"/>
      <c r="F339"/>
      <c r="G339"/>
      <c r="H339"/>
      <c r="I339"/>
      <c r="J339"/>
      <c r="K339"/>
      <c r="L339"/>
      <c r="M339"/>
    </row>
    <row r="340" spans="2:13">
      <c r="B340"/>
      <c r="C340" s="117"/>
      <c r="D340" s="176"/>
      <c r="E340"/>
      <c r="F340"/>
      <c r="G340"/>
      <c r="H340"/>
      <c r="I340"/>
      <c r="J340"/>
      <c r="K340"/>
      <c r="L340"/>
      <c r="M340"/>
    </row>
    <row r="341" spans="2:13">
      <c r="B341"/>
      <c r="C341" s="117"/>
      <c r="D341" s="176"/>
      <c r="E341"/>
      <c r="F341"/>
      <c r="G341"/>
      <c r="H341"/>
      <c r="I341"/>
      <c r="J341"/>
      <c r="K341"/>
      <c r="L341"/>
      <c r="M341"/>
    </row>
    <row r="342" spans="2:13">
      <c r="B342"/>
      <c r="C342" s="117"/>
      <c r="D342" s="176"/>
      <c r="E342"/>
      <c r="F342"/>
      <c r="G342"/>
      <c r="H342"/>
      <c r="I342"/>
      <c r="J342"/>
      <c r="K342"/>
      <c r="L342"/>
      <c r="M342"/>
    </row>
    <row r="343" spans="2:13">
      <c r="B343"/>
      <c r="C343" s="117"/>
      <c r="D343" s="176"/>
      <c r="E343"/>
      <c r="F343"/>
      <c r="G343"/>
      <c r="H343"/>
      <c r="I343"/>
      <c r="J343"/>
      <c r="K343"/>
      <c r="L343"/>
      <c r="M343"/>
    </row>
    <row r="344" spans="2:13">
      <c r="B344"/>
      <c r="C344" s="117"/>
      <c r="D344" s="176"/>
      <c r="E344"/>
      <c r="F344"/>
      <c r="G344"/>
      <c r="H344"/>
      <c r="I344"/>
      <c r="J344"/>
      <c r="K344"/>
      <c r="L344"/>
      <c r="M344"/>
    </row>
    <row r="345" spans="2:13">
      <c r="B345"/>
      <c r="C345" s="117"/>
      <c r="D345" s="176"/>
      <c r="E345"/>
      <c r="F345"/>
      <c r="G345"/>
      <c r="H345"/>
      <c r="I345"/>
      <c r="J345"/>
      <c r="K345"/>
      <c r="L345"/>
      <c r="M345"/>
    </row>
    <row r="346" spans="2:13">
      <c r="B346"/>
      <c r="C346" s="117"/>
      <c r="D346" s="176"/>
      <c r="E346"/>
      <c r="F346"/>
      <c r="G346"/>
      <c r="H346"/>
      <c r="I346"/>
      <c r="J346"/>
      <c r="K346"/>
      <c r="L346"/>
      <c r="M346"/>
    </row>
    <row r="347" spans="2:13">
      <c r="B347"/>
      <c r="C347" s="117"/>
      <c r="D347" s="176"/>
      <c r="E347"/>
      <c r="F347"/>
      <c r="G347"/>
      <c r="H347"/>
      <c r="I347"/>
      <c r="J347"/>
      <c r="K347"/>
      <c r="L347"/>
      <c r="M347"/>
    </row>
    <row r="348" spans="2:13">
      <c r="B348"/>
      <c r="C348" s="117"/>
      <c r="D348" s="176"/>
      <c r="E348"/>
      <c r="F348"/>
      <c r="G348"/>
      <c r="H348"/>
      <c r="I348"/>
      <c r="J348"/>
      <c r="K348"/>
      <c r="L348"/>
      <c r="M348"/>
    </row>
    <row r="349" spans="2:13">
      <c r="B349"/>
      <c r="C349" s="117"/>
      <c r="D349" s="176"/>
      <c r="E349"/>
      <c r="F349"/>
      <c r="G349"/>
      <c r="H349"/>
      <c r="I349"/>
      <c r="J349"/>
      <c r="K349"/>
      <c r="L349"/>
      <c r="M349"/>
    </row>
    <row r="350" spans="2:13">
      <c r="B350"/>
      <c r="C350" s="117"/>
      <c r="D350" s="176"/>
      <c r="E350"/>
      <c r="F350"/>
      <c r="G350"/>
      <c r="H350"/>
      <c r="I350"/>
      <c r="J350"/>
      <c r="K350"/>
      <c r="L350"/>
      <c r="M350"/>
    </row>
    <row r="351" spans="2:13">
      <c r="B351"/>
      <c r="C351" s="117"/>
      <c r="D351" s="176"/>
      <c r="E351"/>
      <c r="F351"/>
      <c r="G351"/>
      <c r="H351"/>
      <c r="I351"/>
      <c r="J351"/>
      <c r="K351"/>
      <c r="L351"/>
      <c r="M351"/>
    </row>
    <row r="352" spans="2:13">
      <c r="B352"/>
      <c r="C352" s="117"/>
      <c r="D352" s="176"/>
      <c r="E352"/>
      <c r="F352"/>
      <c r="G352"/>
      <c r="H352"/>
      <c r="I352"/>
      <c r="J352"/>
      <c r="K352"/>
      <c r="L352"/>
      <c r="M352"/>
    </row>
    <row r="353" spans="2:13">
      <c r="B353"/>
      <c r="C353" s="117"/>
      <c r="D353" s="176"/>
      <c r="E353"/>
      <c r="F353"/>
      <c r="G353"/>
      <c r="H353"/>
      <c r="I353"/>
      <c r="J353"/>
      <c r="K353"/>
      <c r="L353"/>
      <c r="M353"/>
    </row>
    <row r="354" spans="2:13">
      <c r="B354"/>
      <c r="C354" s="117"/>
      <c r="D354" s="176"/>
      <c r="E354"/>
      <c r="F354"/>
      <c r="G354"/>
      <c r="H354"/>
      <c r="I354"/>
      <c r="J354"/>
      <c r="K354"/>
      <c r="L354"/>
      <c r="M354"/>
    </row>
    <row r="355" spans="2:13">
      <c r="B355"/>
      <c r="C355" s="117"/>
      <c r="D355" s="176"/>
      <c r="E355"/>
      <c r="F355"/>
      <c r="G355"/>
      <c r="H355"/>
      <c r="I355"/>
      <c r="J355"/>
      <c r="K355"/>
      <c r="L355"/>
      <c r="M355"/>
    </row>
    <row r="356" spans="2:13">
      <c r="B356"/>
      <c r="C356" s="117"/>
      <c r="D356" s="176"/>
      <c r="E356"/>
      <c r="F356"/>
      <c r="G356"/>
      <c r="H356"/>
      <c r="I356"/>
      <c r="J356"/>
      <c r="K356"/>
      <c r="L356"/>
      <c r="M356"/>
    </row>
    <row r="357" spans="2:13">
      <c r="B357"/>
      <c r="C357" s="117"/>
      <c r="D357" s="176"/>
      <c r="E357"/>
      <c r="F357"/>
      <c r="G357"/>
      <c r="H357"/>
      <c r="I357"/>
      <c r="J357"/>
      <c r="K357"/>
      <c r="L357"/>
      <c r="M357"/>
    </row>
    <row r="358" spans="2:13">
      <c r="B358"/>
      <c r="C358" s="117"/>
      <c r="D358" s="176"/>
      <c r="E358"/>
      <c r="F358"/>
      <c r="G358"/>
      <c r="H358"/>
      <c r="I358"/>
      <c r="J358"/>
      <c r="K358"/>
      <c r="L358"/>
      <c r="M358"/>
    </row>
    <row r="359" spans="2:13">
      <c r="B359"/>
      <c r="C359" s="117"/>
      <c r="D359" s="176"/>
      <c r="E359"/>
      <c r="F359"/>
      <c r="G359"/>
      <c r="H359"/>
      <c r="I359"/>
      <c r="J359"/>
      <c r="K359"/>
      <c r="L359"/>
      <c r="M359"/>
    </row>
    <row r="360" spans="2:13">
      <c r="B360"/>
      <c r="C360" s="117"/>
      <c r="D360" s="176"/>
      <c r="E360"/>
      <c r="F360"/>
      <c r="G360"/>
      <c r="H360"/>
      <c r="I360"/>
      <c r="J360"/>
      <c r="K360"/>
      <c r="L360"/>
      <c r="M360"/>
    </row>
    <row r="361" spans="2:13">
      <c r="B361"/>
      <c r="C361" s="117"/>
      <c r="D361" s="176"/>
      <c r="E361"/>
      <c r="F361"/>
      <c r="G361"/>
      <c r="H361"/>
      <c r="I361"/>
      <c r="J361"/>
      <c r="K361"/>
      <c r="L361"/>
      <c r="M361"/>
    </row>
    <row r="362" spans="2:13">
      <c r="B362"/>
      <c r="C362" s="117"/>
      <c r="D362" s="176"/>
      <c r="E362"/>
      <c r="F362"/>
      <c r="G362"/>
      <c r="H362"/>
      <c r="I362"/>
      <c r="J362"/>
      <c r="K362"/>
      <c r="L362"/>
      <c r="M362"/>
    </row>
    <row r="363" spans="2:13">
      <c r="B363"/>
      <c r="C363" s="117"/>
      <c r="D363" s="176"/>
      <c r="E363"/>
      <c r="F363"/>
      <c r="G363"/>
      <c r="H363"/>
      <c r="I363"/>
      <c r="J363"/>
      <c r="K363"/>
      <c r="L363"/>
      <c r="M363"/>
    </row>
    <row r="364" spans="2:13">
      <c r="B364"/>
      <c r="C364" s="117"/>
      <c r="D364" s="176"/>
      <c r="E364"/>
      <c r="F364"/>
      <c r="G364"/>
      <c r="H364"/>
      <c r="I364"/>
      <c r="J364"/>
      <c r="K364"/>
      <c r="L364"/>
      <c r="M364"/>
    </row>
    <row r="365" spans="2:13">
      <c r="B365"/>
      <c r="C365" s="117"/>
      <c r="D365" s="176"/>
      <c r="E365"/>
      <c r="F365"/>
      <c r="G365"/>
      <c r="H365"/>
      <c r="I365"/>
      <c r="J365"/>
      <c r="K365"/>
      <c r="L365"/>
      <c r="M365"/>
    </row>
    <row r="366" spans="2:13">
      <c r="B366"/>
      <c r="C366" s="117"/>
      <c r="D366" s="176"/>
      <c r="E366"/>
      <c r="F366"/>
      <c r="G366"/>
      <c r="H366"/>
      <c r="I366"/>
      <c r="J366"/>
      <c r="K366"/>
      <c r="L366"/>
      <c r="M366"/>
    </row>
    <row r="367" spans="2:13">
      <c r="B367"/>
      <c r="C367" s="117"/>
      <c r="D367" s="176"/>
      <c r="E367"/>
      <c r="F367"/>
      <c r="G367"/>
      <c r="H367"/>
      <c r="I367"/>
      <c r="J367"/>
      <c r="K367"/>
      <c r="L367"/>
      <c r="M367"/>
    </row>
    <row r="368" spans="2:13">
      <c r="B368"/>
      <c r="C368" s="117"/>
      <c r="D368" s="176"/>
      <c r="E368"/>
      <c r="F368"/>
      <c r="G368"/>
      <c r="H368"/>
      <c r="I368"/>
      <c r="J368"/>
      <c r="K368"/>
      <c r="L368"/>
      <c r="M368"/>
    </row>
    <row r="369" spans="2:13">
      <c r="B369"/>
      <c r="C369" s="117"/>
      <c r="D369" s="176"/>
      <c r="E369"/>
      <c r="F369"/>
      <c r="G369"/>
      <c r="H369"/>
      <c r="I369"/>
      <c r="J369"/>
      <c r="K369"/>
      <c r="L369"/>
      <c r="M369"/>
    </row>
    <row r="370" spans="2:13">
      <c r="B370"/>
      <c r="C370" s="117"/>
      <c r="D370" s="176"/>
      <c r="E370"/>
      <c r="F370"/>
      <c r="G370"/>
      <c r="H370"/>
      <c r="I370"/>
      <c r="J370"/>
      <c r="K370"/>
      <c r="L370"/>
      <c r="M370"/>
    </row>
    <row r="371" spans="2:13">
      <c r="B371"/>
      <c r="C371" s="117"/>
      <c r="D371" s="176"/>
      <c r="E371"/>
      <c r="F371"/>
      <c r="G371"/>
      <c r="H371"/>
      <c r="I371"/>
      <c r="J371"/>
      <c r="K371"/>
      <c r="L371"/>
      <c r="M371"/>
    </row>
    <row r="372" spans="2:13">
      <c r="B372"/>
      <c r="C372" s="117"/>
      <c r="D372" s="176"/>
      <c r="E372"/>
      <c r="F372"/>
      <c r="G372"/>
      <c r="H372"/>
      <c r="I372"/>
      <c r="J372"/>
      <c r="K372"/>
      <c r="L372"/>
      <c r="M372"/>
    </row>
  </sheetData>
  <mergeCells count="4">
    <mergeCell ref="E8:I8"/>
    <mergeCell ref="J8:N8"/>
    <mergeCell ref="O8:S8"/>
    <mergeCell ref="T8:X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B50"/>
  <sheetViews>
    <sheetView zoomScale="85" zoomScaleNormal="85" workbookViewId="0">
      <selection activeCell="B45" sqref="B45"/>
    </sheetView>
  </sheetViews>
  <sheetFormatPr defaultColWidth="9" defaultRowHeight="15" outlineLevelCol="1"/>
  <cols>
    <col min="1" max="1" width="35.4285714285714" customWidth="1"/>
    <col min="2" max="2" width="112.857142857143" customWidth="1"/>
  </cols>
  <sheetData>
    <row r="1" s="163" customFormat="1" ht="21" spans="1:2">
      <c r="A1" s="165" t="s">
        <v>234</v>
      </c>
      <c r="B1" s="166"/>
    </row>
    <row r="2" s="164" customFormat="1" ht="15.75" spans="1:2">
      <c r="A2" s="167" t="s">
        <v>235</v>
      </c>
      <c r="B2" s="167" t="s">
        <v>236</v>
      </c>
    </row>
    <row r="3" spans="1:2">
      <c r="A3" s="168" t="s">
        <v>4</v>
      </c>
      <c r="B3" t="s">
        <v>237</v>
      </c>
    </row>
    <row r="4" spans="1:2">
      <c r="A4" s="168" t="s">
        <v>238</v>
      </c>
      <c r="B4" t="s">
        <v>239</v>
      </c>
    </row>
    <row r="5" spans="1:2">
      <c r="A5" s="168" t="s">
        <v>240</v>
      </c>
      <c r="B5" t="s">
        <v>241</v>
      </c>
    </row>
    <row r="6" spans="1:2">
      <c r="A6" s="168" t="s">
        <v>242</v>
      </c>
      <c r="B6" t="s">
        <v>243</v>
      </c>
    </row>
    <row r="7" spans="1:2">
      <c r="A7" s="168" t="s">
        <v>14</v>
      </c>
      <c r="B7" t="s">
        <v>244</v>
      </c>
    </row>
    <row r="8" spans="1:2">
      <c r="A8" s="168" t="s">
        <v>245</v>
      </c>
      <c r="B8" t="s">
        <v>246</v>
      </c>
    </row>
    <row r="9" spans="1:2">
      <c r="A9" s="168" t="s">
        <v>247</v>
      </c>
      <c r="B9" t="s">
        <v>248</v>
      </c>
    </row>
    <row r="10" spans="1:2">
      <c r="A10" s="168" t="s">
        <v>249</v>
      </c>
      <c r="B10" t="s">
        <v>250</v>
      </c>
    </row>
    <row r="11" spans="1:2">
      <c r="A11" s="168" t="s">
        <v>251</v>
      </c>
      <c r="B11" t="s">
        <v>252</v>
      </c>
    </row>
    <row r="12" spans="1:1">
      <c r="A12" s="47"/>
    </row>
    <row r="13" spans="1:1">
      <c r="A13" s="47"/>
    </row>
    <row r="14" s="163" customFormat="1" ht="21" spans="1:2">
      <c r="A14" s="165" t="s">
        <v>253</v>
      </c>
      <c r="B14" s="166"/>
    </row>
    <row r="15" ht="18.75" spans="1:1">
      <c r="A15" s="169" t="s">
        <v>254</v>
      </c>
    </row>
    <row r="16" s="164" customFormat="1" ht="15.75" spans="1:2">
      <c r="A16" s="167" t="s">
        <v>235</v>
      </c>
      <c r="B16" s="167" t="s">
        <v>236</v>
      </c>
    </row>
    <row r="17" spans="1:2">
      <c r="A17" s="168" t="s">
        <v>4</v>
      </c>
      <c r="B17" t="s">
        <v>255</v>
      </c>
    </row>
    <row r="18" spans="1:2">
      <c r="A18" s="168" t="s">
        <v>238</v>
      </c>
      <c r="B18" t="s">
        <v>256</v>
      </c>
    </row>
    <row r="19" spans="1:2">
      <c r="A19" s="168" t="s">
        <v>257</v>
      </c>
      <c r="B19" t="s">
        <v>258</v>
      </c>
    </row>
    <row r="20" spans="1:2">
      <c r="A20" s="168" t="s">
        <v>13</v>
      </c>
      <c r="B20" t="s">
        <v>259</v>
      </c>
    </row>
    <row r="21" spans="1:2">
      <c r="A21" s="168" t="s">
        <v>260</v>
      </c>
      <c r="B21" t="s">
        <v>261</v>
      </c>
    </row>
    <row r="22" spans="1:2">
      <c r="A22" s="168" t="s">
        <v>240</v>
      </c>
      <c r="B22" t="s">
        <v>241</v>
      </c>
    </row>
    <row r="23" spans="1:2">
      <c r="A23" s="168" t="s">
        <v>242</v>
      </c>
      <c r="B23" t="s">
        <v>243</v>
      </c>
    </row>
    <row r="24" spans="1:2">
      <c r="A24" s="168" t="s">
        <v>14</v>
      </c>
      <c r="B24" t="s">
        <v>244</v>
      </c>
    </row>
    <row r="25" spans="1:2">
      <c r="A25" s="168" t="s">
        <v>262</v>
      </c>
      <c r="B25" t="s">
        <v>246</v>
      </c>
    </row>
    <row r="26" spans="1:2">
      <c r="A26" s="168" t="s">
        <v>247</v>
      </c>
      <c r="B26" t="s">
        <v>263</v>
      </c>
    </row>
    <row r="27" spans="1:2">
      <c r="A27" s="168" t="s">
        <v>264</v>
      </c>
      <c r="B27" t="s">
        <v>265</v>
      </c>
    </row>
    <row r="28" spans="1:2">
      <c r="A28" s="168" t="s">
        <v>266</v>
      </c>
      <c r="B28" t="s">
        <v>267</v>
      </c>
    </row>
    <row r="29" spans="1:2">
      <c r="A29" s="168" t="s">
        <v>268</v>
      </c>
      <c r="B29" t="s">
        <v>269</v>
      </c>
    </row>
    <row r="30" spans="1:2">
      <c r="A30" s="168" t="s">
        <v>270</v>
      </c>
      <c r="B30" t="s">
        <v>271</v>
      </c>
    </row>
    <row r="31" spans="1:2">
      <c r="A31" s="168" t="s">
        <v>272</v>
      </c>
      <c r="B31" t="s">
        <v>273</v>
      </c>
    </row>
    <row r="32" spans="1:2">
      <c r="A32" s="168" t="s">
        <v>274</v>
      </c>
      <c r="B32" t="s">
        <v>275</v>
      </c>
    </row>
    <row r="33" spans="1:2">
      <c r="A33" s="168" t="s">
        <v>276</v>
      </c>
      <c r="B33" t="s">
        <v>277</v>
      </c>
    </row>
    <row r="34" spans="1:2">
      <c r="A34" s="168" t="s">
        <v>278</v>
      </c>
      <c r="B34" t="s">
        <v>279</v>
      </c>
    </row>
    <row r="37" ht="21" spans="1:2">
      <c r="A37" s="165" t="s">
        <v>280</v>
      </c>
      <c r="B37" s="170"/>
    </row>
    <row r="38" spans="1:1">
      <c r="A38" t="s">
        <v>281</v>
      </c>
    </row>
    <row r="39" spans="1:1">
      <c r="A39" t="s">
        <v>282</v>
      </c>
    </row>
    <row r="40" spans="1:1">
      <c r="A40" t="s">
        <v>283</v>
      </c>
    </row>
    <row r="42" ht="21" spans="1:2">
      <c r="A42" s="165" t="s">
        <v>284</v>
      </c>
      <c r="B42" s="170"/>
    </row>
    <row r="43" spans="1:1">
      <c r="A43" t="s">
        <v>285</v>
      </c>
    </row>
    <row r="44" spans="1:1">
      <c r="A44" t="s">
        <v>286</v>
      </c>
    </row>
    <row r="45" spans="1:1">
      <c r="A45" t="s">
        <v>282</v>
      </c>
    </row>
    <row r="46" spans="1:1">
      <c r="A46" t="s">
        <v>287</v>
      </c>
    </row>
    <row r="47" spans="1:1">
      <c r="A47" t="s">
        <v>288</v>
      </c>
    </row>
    <row r="48" spans="1:1">
      <c r="A48" t="s">
        <v>289</v>
      </c>
    </row>
    <row r="49" spans="1:1">
      <c r="A49" t="s">
        <v>290</v>
      </c>
    </row>
    <row r="50" spans="1:1">
      <c r="A50" t="s">
        <v>291</v>
      </c>
    </row>
  </sheetData>
  <conditionalFormatting sqref="A3">
    <cfRule type="containsText" dxfId="3843" priority="3" operator="between" text="BED 3 - DISBURSEMENT">
      <formula>NOT(ISERROR(SEARCH("BED 3 - DISBURSEMENT",A3)))</formula>
    </cfRule>
    <cfRule type="containsText" dxfId="3844" priority="4" operator="between" text="BED 1 - OBLIGATION">
      <formula>NOT(ISERROR(SEARCH("BED 1 - OBLIGATION",A3)))</formula>
    </cfRule>
    <cfRule type="containsText" dxfId="3845" priority="5" operator="between" text="PROPOSAL">
      <formula>NOT(ISERROR(SEARCH("PROPOSAL",A3)))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</sheetPr>
  <dimension ref="A1:DS119"/>
  <sheetViews>
    <sheetView view="pageBreakPreview" zoomScale="90" zoomScaleNormal="70" workbookViewId="0">
      <pane xSplit="3" ySplit="10" topLeftCell="D104" activePane="bottomRight" state="frozen"/>
      <selection/>
      <selection pane="topRight"/>
      <selection pane="bottomLeft"/>
      <selection pane="bottomRight" activeCell="A113" sqref="A113:A118"/>
    </sheetView>
  </sheetViews>
  <sheetFormatPr defaultColWidth="8.85714285714286" defaultRowHeight="15.75"/>
  <cols>
    <col min="1" max="1" width="13.4285714285714" style="156" customWidth="1"/>
    <col min="2" max="2" width="12.1428571428571" style="156" customWidth="1"/>
    <col min="3" max="3" width="32.5714285714286" style="147" customWidth="1"/>
    <col min="4" max="4" width="10" style="155" customWidth="1"/>
    <col min="5" max="5" width="4.42857142857143" style="155" customWidth="1"/>
    <col min="6" max="6" width="8.42857142857143" style="155" customWidth="1"/>
    <col min="7" max="7" width="11.1428571428571" style="155" customWidth="1"/>
    <col min="8" max="8" width="4.28571428571429" style="155" customWidth="1"/>
    <col min="9" max="9" width="11.4285714285714" style="155" customWidth="1"/>
    <col min="10" max="10" width="11" style="155" customWidth="1"/>
    <col min="11" max="11" width="10" style="155" customWidth="1"/>
    <col min="12" max="12" width="11" style="155" customWidth="1"/>
    <col min="13" max="13" width="12.2857142857143" style="155" customWidth="1"/>
    <col min="14" max="14" width="10.7142857142857" style="155" customWidth="1"/>
    <col min="15" max="15" width="11.7142857142857" style="155" customWidth="1"/>
    <col min="16" max="16" width="12.5714285714286" style="155" customWidth="1"/>
    <col min="17" max="17" width="11.2857142857143" style="155" customWidth="1"/>
    <col min="18" max="18" width="11.8571428571429" style="155" customWidth="1"/>
    <col min="19" max="19" width="10.4285714285714" style="155" customWidth="1"/>
    <col min="20" max="20" width="6.28571428571429" style="155" customWidth="1"/>
    <col min="21" max="21" width="10.5714285714286" style="155" customWidth="1"/>
    <col min="22" max="23" width="11.4285714285714" style="155" customWidth="1"/>
    <col min="24" max="24" width="11.8571428571429" style="155" customWidth="1"/>
    <col min="25" max="25" width="12.1428571428571" style="155" customWidth="1"/>
    <col min="26" max="26" width="12.7142857142857" style="155" customWidth="1"/>
    <col min="27" max="27" width="12.2857142857143" style="155" customWidth="1"/>
    <col min="28" max="28" width="11.1428571428571" style="155" customWidth="1"/>
    <col min="29" max="29" width="7.42857142857143" style="155" customWidth="1"/>
    <col min="30" max="30" width="11.4285714285714" style="155" customWidth="1"/>
    <col min="31" max="31" width="10.7142857142857" style="155" customWidth="1"/>
    <col min="32" max="32" width="6.71428571428571" style="155" customWidth="1"/>
    <col min="33" max="33" width="9.28571428571429" style="155" customWidth="1"/>
    <col min="34" max="34" width="10.2857142857143" style="155" customWidth="1"/>
    <col min="35" max="35" width="10.8571428571429" style="155" customWidth="1"/>
    <col min="36" max="36" width="11.4285714285714" style="155" customWidth="1"/>
    <col min="37" max="37" width="11.7142857142857" style="155" customWidth="1"/>
    <col min="38" max="38" width="10.8571428571429" style="155" customWidth="1"/>
    <col min="39" max="39" width="10.2857142857143" style="155" customWidth="1"/>
    <col min="40" max="40" width="9.85714285714286" style="155" customWidth="1"/>
    <col min="41" max="41" width="4.42857142857143" style="155" customWidth="1"/>
    <col min="42" max="42" width="10.4285714285714" style="155" customWidth="1"/>
    <col min="43" max="43" width="8.57142857142857" style="155" customWidth="1"/>
    <col min="44" max="44" width="4.85714285714286" style="155" customWidth="1"/>
    <col min="45" max="45" width="8.14285714285714" style="155" customWidth="1"/>
    <col min="46" max="46" width="9" style="155" customWidth="1"/>
    <col min="47" max="47" width="5.28571428571429" style="155" customWidth="1"/>
    <col min="48" max="48" width="8.85714285714286" style="155" customWidth="1"/>
    <col min="49" max="49" width="10.1428571428571" style="155" customWidth="1"/>
    <col min="50" max="50" width="7" style="155" customWidth="1"/>
    <col min="51" max="51" width="9.71428571428571" style="155" customWidth="1"/>
    <col min="52" max="52" width="11.5714285714286" style="155" customWidth="1"/>
    <col min="53" max="53" width="11" style="155" customWidth="1"/>
    <col min="54" max="54" width="12.2857142857143" style="155" customWidth="1"/>
    <col min="55" max="55" width="12.1428571428571" style="155" customWidth="1"/>
    <col min="56" max="56" width="11.7142857142857" style="155" customWidth="1"/>
    <col min="57" max="57" width="13.2857142857143" style="155" customWidth="1"/>
    <col min="58" max="63" width="15.5714285714286" style="155" hidden="1" customWidth="1"/>
    <col min="64" max="66" width="21" style="155" hidden="1" customWidth="1"/>
    <col min="67" max="78" width="15.5714285714286" style="155" hidden="1" customWidth="1"/>
    <col min="79" max="81" width="21.1428571428571" style="155" hidden="1" customWidth="1"/>
    <col min="82" max="96" width="15.5714285714286" style="155" hidden="1" customWidth="1"/>
    <col min="97" max="99" width="21" style="155" hidden="1" customWidth="1"/>
    <col min="100" max="105" width="15.5714285714286" style="155" hidden="1" customWidth="1"/>
    <col min="106" max="108" width="21.1428571428571" style="155" hidden="1" customWidth="1"/>
    <col min="109" max="109" width="27.1428571428571" style="156" hidden="1" customWidth="1"/>
    <col min="110" max="110" width="24" style="156" hidden="1" customWidth="1"/>
    <col min="111" max="111" width="27.1428571428571" style="156" hidden="1" customWidth="1"/>
    <col min="112" max="123" width="8.85714285714286" style="156" hidden="1" customWidth="1"/>
    <col min="124" max="16384" width="8.85714285714286" style="156"/>
  </cols>
  <sheetData>
    <row r="1" spans="1:1">
      <c r="A1" s="123" t="s">
        <v>292</v>
      </c>
    </row>
    <row r="2" spans="1:1">
      <c r="A2" s="123" t="s">
        <v>293</v>
      </c>
    </row>
    <row r="3" spans="1:1">
      <c r="A3" s="157" t="s">
        <v>294</v>
      </c>
    </row>
    <row r="5" s="146" customFormat="1" spans="1:123">
      <c r="A5" s="132"/>
      <c r="B5" s="132"/>
      <c r="C5" s="148"/>
      <c r="D5" s="128" t="s">
        <v>295</v>
      </c>
      <c r="E5" s="128" t="s">
        <v>296</v>
      </c>
      <c r="F5" s="128" t="s">
        <v>6</v>
      </c>
      <c r="G5" s="128" t="s">
        <v>247</v>
      </c>
      <c r="H5" s="128" t="s">
        <v>7</v>
      </c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2"/>
      <c r="BD5" s="152"/>
      <c r="BE5" s="152"/>
      <c r="BF5" s="152"/>
      <c r="BG5" s="152"/>
      <c r="BH5" s="152"/>
      <c r="BI5" s="152"/>
      <c r="BJ5" s="152"/>
      <c r="BK5" s="152"/>
      <c r="BL5" s="152"/>
      <c r="BM5" s="152"/>
      <c r="BN5" s="152"/>
      <c r="BO5" s="152"/>
      <c r="BP5" s="152"/>
      <c r="BQ5" s="152"/>
      <c r="BR5" s="152"/>
      <c r="BS5" s="152"/>
      <c r="BT5" s="152"/>
      <c r="BU5" s="152"/>
      <c r="BV5" s="152"/>
      <c r="BW5" s="152"/>
      <c r="BX5" s="152"/>
      <c r="BY5" s="152"/>
      <c r="BZ5" s="152"/>
      <c r="CA5" s="152"/>
      <c r="CB5" s="152"/>
      <c r="CC5" s="152"/>
      <c r="CD5" s="152"/>
      <c r="CE5" s="152"/>
      <c r="CF5" s="152"/>
      <c r="CG5" s="152"/>
      <c r="CH5" s="152"/>
      <c r="CI5" s="152"/>
      <c r="CJ5" s="152"/>
      <c r="CK5" s="152"/>
      <c r="CL5" s="152"/>
      <c r="CM5" s="152"/>
      <c r="CN5" s="152"/>
      <c r="CO5" s="152"/>
      <c r="CP5" s="152"/>
      <c r="CQ5" s="152"/>
      <c r="CR5" s="152"/>
      <c r="CS5" s="152"/>
      <c r="CT5" s="152"/>
      <c r="CU5" s="152"/>
      <c r="CV5" s="152"/>
      <c r="CW5" s="152"/>
      <c r="CX5" s="152"/>
      <c r="CY5" s="152"/>
      <c r="CZ5" s="152"/>
      <c r="DA5" s="152"/>
      <c r="DB5" s="152"/>
      <c r="DC5" s="152"/>
      <c r="DD5" s="152"/>
      <c r="DE5" s="152"/>
      <c r="DF5" s="152"/>
      <c r="DG5" s="152"/>
      <c r="DH5" s="152"/>
      <c r="DI5" s="152"/>
      <c r="DJ5" s="152"/>
      <c r="DK5" s="152"/>
      <c r="DL5" s="152"/>
      <c r="DM5" s="152"/>
      <c r="DN5" s="152"/>
      <c r="DO5" s="152"/>
      <c r="DP5" s="152"/>
      <c r="DQ5" s="152"/>
      <c r="DR5" s="152"/>
      <c r="DS5" s="152"/>
    </row>
    <row r="6" s="119" customFormat="1" spans="1:123">
      <c r="A6" s="132"/>
      <c r="B6" s="132"/>
      <c r="C6" s="148"/>
      <c r="D6" s="149" t="s">
        <v>297</v>
      </c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0"/>
      <c r="AO6" s="150"/>
      <c r="AP6" s="150"/>
      <c r="AQ6" s="150"/>
      <c r="AR6" s="150"/>
      <c r="AS6" s="150"/>
      <c r="AT6" s="150"/>
      <c r="AU6" s="150"/>
      <c r="AV6" s="150"/>
      <c r="AW6" s="150"/>
      <c r="AX6" s="150"/>
      <c r="AY6" s="150"/>
      <c r="AZ6" s="150"/>
      <c r="BA6" s="150"/>
      <c r="BB6" s="150"/>
      <c r="BC6" s="149" t="s">
        <v>298</v>
      </c>
      <c r="BD6" s="149" t="s">
        <v>299</v>
      </c>
      <c r="BE6" s="149" t="s">
        <v>300</v>
      </c>
      <c r="BF6" s="149" t="s">
        <v>301</v>
      </c>
      <c r="BG6" s="150"/>
      <c r="BH6" s="150"/>
      <c r="BI6" s="150"/>
      <c r="BJ6" s="150"/>
      <c r="BK6" s="150"/>
      <c r="BL6" s="150"/>
      <c r="BM6" s="150"/>
      <c r="BN6" s="150"/>
      <c r="BO6" s="150"/>
      <c r="BP6" s="150"/>
      <c r="BQ6" s="150"/>
      <c r="BR6" s="150"/>
      <c r="BS6" s="150"/>
      <c r="BT6" s="150"/>
      <c r="BU6" s="150"/>
      <c r="BV6" s="150"/>
      <c r="BW6" s="150"/>
      <c r="BX6" s="150"/>
      <c r="BY6" s="150"/>
      <c r="BZ6" s="150"/>
      <c r="CA6" s="150"/>
      <c r="CB6" s="150"/>
      <c r="CC6" s="150"/>
      <c r="CD6" s="150"/>
      <c r="CE6" s="150"/>
      <c r="CF6" s="150"/>
      <c r="CG6" s="150"/>
      <c r="CH6" s="150"/>
      <c r="CI6" s="150"/>
      <c r="CJ6" s="150"/>
      <c r="CK6" s="150"/>
      <c r="CL6" s="150"/>
      <c r="CM6" s="150"/>
      <c r="CN6" s="150"/>
      <c r="CO6" s="150"/>
      <c r="CP6" s="150"/>
      <c r="CQ6" s="150"/>
      <c r="CR6" s="150"/>
      <c r="CS6" s="150"/>
      <c r="CT6" s="150"/>
      <c r="CU6" s="150"/>
      <c r="CV6" s="150"/>
      <c r="CW6" s="150"/>
      <c r="CX6" s="150"/>
      <c r="CY6" s="150"/>
      <c r="CZ6" s="150"/>
      <c r="DA6" s="150"/>
      <c r="DB6" s="150"/>
      <c r="DC6" s="150"/>
      <c r="DD6" s="150"/>
      <c r="DE6" s="150"/>
      <c r="DF6" s="150"/>
      <c r="DG6" s="150"/>
      <c r="DH6" s="150"/>
      <c r="DI6" s="150"/>
      <c r="DJ6" s="150"/>
      <c r="DK6" s="150"/>
      <c r="DL6" s="150"/>
      <c r="DM6" s="150"/>
      <c r="DN6" s="150"/>
      <c r="DO6" s="150"/>
      <c r="DP6" s="150"/>
      <c r="DQ6" s="131" t="s">
        <v>302</v>
      </c>
      <c r="DR6" s="131" t="s">
        <v>303</v>
      </c>
      <c r="DS6" s="131" t="s">
        <v>304</v>
      </c>
    </row>
    <row r="7" s="119" customFormat="1" hidden="1" spans="1:123">
      <c r="A7" s="132"/>
      <c r="B7" s="132"/>
      <c r="C7" s="148"/>
      <c r="D7" s="149">
        <v>2025</v>
      </c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49" t="s">
        <v>305</v>
      </c>
      <c r="BA7" s="149" t="s">
        <v>306</v>
      </c>
      <c r="BB7" s="149" t="s">
        <v>307</v>
      </c>
      <c r="BC7" s="150"/>
      <c r="BD7" s="150"/>
      <c r="BE7" s="150"/>
      <c r="BF7" s="149">
        <v>2025</v>
      </c>
      <c r="BG7" s="150"/>
      <c r="BH7" s="150"/>
      <c r="BI7" s="150"/>
      <c r="BJ7" s="150"/>
      <c r="BK7" s="150"/>
      <c r="BL7" s="150"/>
      <c r="BM7" s="150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  <c r="CJ7" s="150"/>
      <c r="CK7" s="150"/>
      <c r="CL7" s="150"/>
      <c r="CM7" s="150"/>
      <c r="CN7" s="150"/>
      <c r="CO7" s="150"/>
      <c r="CP7" s="150"/>
      <c r="CQ7" s="150"/>
      <c r="CR7" s="150"/>
      <c r="CS7" s="150"/>
      <c r="CT7" s="150"/>
      <c r="CU7" s="150"/>
      <c r="CV7" s="150"/>
      <c r="CW7" s="150"/>
      <c r="CX7" s="150"/>
      <c r="CY7" s="149" t="s">
        <v>305</v>
      </c>
      <c r="CZ7" s="149" t="s">
        <v>306</v>
      </c>
      <c r="DA7" s="149" t="s">
        <v>307</v>
      </c>
      <c r="DB7" s="149">
        <v>2026</v>
      </c>
      <c r="DC7" s="150"/>
      <c r="DD7" s="150"/>
      <c r="DE7" s="150"/>
      <c r="DF7" s="150"/>
      <c r="DG7" s="150"/>
      <c r="DH7" s="150"/>
      <c r="DI7" s="150"/>
      <c r="DJ7" s="150"/>
      <c r="DK7" s="150"/>
      <c r="DL7" s="150"/>
      <c r="DM7" s="150"/>
      <c r="DN7" s="149" t="s">
        <v>308</v>
      </c>
      <c r="DO7" s="149" t="s">
        <v>309</v>
      </c>
      <c r="DP7" s="149" t="s">
        <v>310</v>
      </c>
      <c r="DQ7" s="132"/>
      <c r="DR7" s="132"/>
      <c r="DS7" s="132"/>
    </row>
    <row r="8" s="119" customFormat="1" spans="1:123">
      <c r="A8" s="132"/>
      <c r="B8" s="132"/>
      <c r="C8" s="148"/>
      <c r="D8" s="149" t="s">
        <v>8</v>
      </c>
      <c r="E8" s="150"/>
      <c r="F8" s="150"/>
      <c r="G8" s="150"/>
      <c r="H8" s="150"/>
      <c r="I8" s="150"/>
      <c r="J8" s="150"/>
      <c r="K8" s="150"/>
      <c r="L8" s="150"/>
      <c r="M8" s="149" t="s">
        <v>311</v>
      </c>
      <c r="N8" s="149" t="s">
        <v>312</v>
      </c>
      <c r="O8" s="149" t="s">
        <v>313</v>
      </c>
      <c r="P8" s="149" t="s">
        <v>9</v>
      </c>
      <c r="Q8" s="150"/>
      <c r="R8" s="150"/>
      <c r="S8" s="150"/>
      <c r="T8" s="150"/>
      <c r="U8" s="150"/>
      <c r="V8" s="150"/>
      <c r="W8" s="150"/>
      <c r="X8" s="150"/>
      <c r="Y8" s="149" t="s">
        <v>314</v>
      </c>
      <c r="Z8" s="149" t="s">
        <v>315</v>
      </c>
      <c r="AA8" s="149" t="s">
        <v>316</v>
      </c>
      <c r="AB8" s="149" t="s">
        <v>10</v>
      </c>
      <c r="AC8" s="150"/>
      <c r="AD8" s="150"/>
      <c r="AE8" s="150"/>
      <c r="AF8" s="150"/>
      <c r="AG8" s="150"/>
      <c r="AH8" s="150"/>
      <c r="AI8" s="150"/>
      <c r="AJ8" s="150"/>
      <c r="AK8" s="149" t="s">
        <v>317</v>
      </c>
      <c r="AL8" s="149" t="s">
        <v>318</v>
      </c>
      <c r="AM8" s="149" t="s">
        <v>319</v>
      </c>
      <c r="AN8" s="149" t="s">
        <v>11</v>
      </c>
      <c r="AO8" s="150"/>
      <c r="AP8" s="150"/>
      <c r="AQ8" s="150"/>
      <c r="AR8" s="150"/>
      <c r="AS8" s="150"/>
      <c r="AT8" s="150"/>
      <c r="AU8" s="150"/>
      <c r="AV8" s="150"/>
      <c r="AW8" s="149" t="s">
        <v>320</v>
      </c>
      <c r="AX8" s="149" t="s">
        <v>321</v>
      </c>
      <c r="AY8" s="149" t="s">
        <v>322</v>
      </c>
      <c r="AZ8" s="150"/>
      <c r="BA8" s="150"/>
      <c r="BB8" s="150"/>
      <c r="BC8" s="150"/>
      <c r="BD8" s="150"/>
      <c r="BE8" s="150"/>
      <c r="BF8" s="149" t="s">
        <v>8</v>
      </c>
      <c r="BG8" s="150"/>
      <c r="BH8" s="150"/>
      <c r="BI8" s="150"/>
      <c r="BJ8" s="150"/>
      <c r="BK8" s="150"/>
      <c r="BL8" s="149" t="s">
        <v>311</v>
      </c>
      <c r="BM8" s="149" t="s">
        <v>312</v>
      </c>
      <c r="BN8" s="149" t="s">
        <v>313</v>
      </c>
      <c r="BO8" s="149" t="s">
        <v>9</v>
      </c>
      <c r="BP8" s="150"/>
      <c r="BQ8" s="150"/>
      <c r="BR8" s="150"/>
      <c r="BS8" s="150"/>
      <c r="BT8" s="150"/>
      <c r="BU8" s="150"/>
      <c r="BV8" s="150"/>
      <c r="BW8" s="150"/>
      <c r="BX8" s="149" t="s">
        <v>314</v>
      </c>
      <c r="BY8" s="149" t="s">
        <v>315</v>
      </c>
      <c r="BZ8" s="149" t="s">
        <v>316</v>
      </c>
      <c r="CA8" s="149" t="s">
        <v>10</v>
      </c>
      <c r="CB8" s="150"/>
      <c r="CC8" s="150"/>
      <c r="CD8" s="150"/>
      <c r="CE8" s="150"/>
      <c r="CF8" s="150"/>
      <c r="CG8" s="150"/>
      <c r="CH8" s="150"/>
      <c r="CI8" s="150"/>
      <c r="CJ8" s="149" t="s">
        <v>317</v>
      </c>
      <c r="CK8" s="149" t="s">
        <v>318</v>
      </c>
      <c r="CL8" s="149" t="s">
        <v>319</v>
      </c>
      <c r="CM8" s="149" t="s">
        <v>11</v>
      </c>
      <c r="CN8" s="150"/>
      <c r="CO8" s="150"/>
      <c r="CP8" s="150"/>
      <c r="CQ8" s="150"/>
      <c r="CR8" s="150"/>
      <c r="CS8" s="150"/>
      <c r="CT8" s="150"/>
      <c r="CU8" s="150"/>
      <c r="CV8" s="149" t="s">
        <v>320</v>
      </c>
      <c r="CW8" s="149" t="s">
        <v>321</v>
      </c>
      <c r="CX8" s="149" t="s">
        <v>322</v>
      </c>
      <c r="CY8" s="150"/>
      <c r="CZ8" s="150"/>
      <c r="DA8" s="150"/>
      <c r="DB8" s="149" t="s">
        <v>323</v>
      </c>
      <c r="DC8" s="150"/>
      <c r="DD8" s="150"/>
      <c r="DE8" s="150"/>
      <c r="DF8" s="150"/>
      <c r="DG8" s="150"/>
      <c r="DH8" s="150"/>
      <c r="DI8" s="150"/>
      <c r="DJ8" s="150"/>
      <c r="DK8" s="149" t="s">
        <v>324</v>
      </c>
      <c r="DL8" s="149" t="s">
        <v>325</v>
      </c>
      <c r="DM8" s="149" t="s">
        <v>326</v>
      </c>
      <c r="DN8" s="150"/>
      <c r="DO8" s="150"/>
      <c r="DP8" s="150"/>
      <c r="DQ8" s="132"/>
      <c r="DR8" s="132"/>
      <c r="DS8" s="132"/>
    </row>
    <row r="9" s="119" customFormat="1" spans="1:123">
      <c r="A9" s="132"/>
      <c r="B9" s="132"/>
      <c r="C9" s="148"/>
      <c r="D9" s="149" t="s">
        <v>327</v>
      </c>
      <c r="E9" s="150"/>
      <c r="F9" s="150"/>
      <c r="G9" s="149" t="s">
        <v>328</v>
      </c>
      <c r="H9" s="150"/>
      <c r="I9" s="150"/>
      <c r="J9" s="149" t="s">
        <v>329</v>
      </c>
      <c r="K9" s="150"/>
      <c r="L9" s="150"/>
      <c r="M9" s="150"/>
      <c r="N9" s="150"/>
      <c r="O9" s="150"/>
      <c r="P9" s="149" t="s">
        <v>330</v>
      </c>
      <c r="Q9" s="150"/>
      <c r="R9" s="150"/>
      <c r="S9" s="149" t="s">
        <v>331</v>
      </c>
      <c r="T9" s="150"/>
      <c r="U9" s="150"/>
      <c r="V9" s="149" t="s">
        <v>332</v>
      </c>
      <c r="W9" s="150"/>
      <c r="X9" s="150"/>
      <c r="Y9" s="150"/>
      <c r="Z9" s="150"/>
      <c r="AA9" s="150"/>
      <c r="AB9" s="149" t="s">
        <v>333</v>
      </c>
      <c r="AC9" s="150"/>
      <c r="AD9" s="150"/>
      <c r="AE9" s="149" t="s">
        <v>334</v>
      </c>
      <c r="AF9" s="150"/>
      <c r="AG9" s="150"/>
      <c r="AH9" s="149" t="s">
        <v>335</v>
      </c>
      <c r="AI9" s="150"/>
      <c r="AJ9" s="150"/>
      <c r="AK9" s="150"/>
      <c r="AL9" s="150"/>
      <c r="AM9" s="150"/>
      <c r="AN9" s="149" t="s">
        <v>336</v>
      </c>
      <c r="AO9" s="150"/>
      <c r="AP9" s="150"/>
      <c r="AQ9" s="149" t="s">
        <v>337</v>
      </c>
      <c r="AR9" s="150"/>
      <c r="AS9" s="150"/>
      <c r="AT9" s="149" t="s">
        <v>338</v>
      </c>
      <c r="AU9" s="150"/>
      <c r="AV9" s="150"/>
      <c r="AW9" s="150"/>
      <c r="AX9" s="150"/>
      <c r="AY9" s="150"/>
      <c r="AZ9" s="150"/>
      <c r="BA9" s="150"/>
      <c r="BB9" s="150"/>
      <c r="BC9" s="150"/>
      <c r="BD9" s="150"/>
      <c r="BE9" s="150"/>
      <c r="BF9" s="131" t="s">
        <v>328</v>
      </c>
      <c r="BG9" s="128"/>
      <c r="BH9" s="128"/>
      <c r="BI9" s="131" t="s">
        <v>329</v>
      </c>
      <c r="BJ9" s="128"/>
      <c r="BK9" s="128"/>
      <c r="BL9" s="150"/>
      <c r="BM9" s="150"/>
      <c r="BN9" s="150"/>
      <c r="BO9" s="149" t="s">
        <v>330</v>
      </c>
      <c r="BP9" s="150"/>
      <c r="BQ9" s="150"/>
      <c r="BR9" s="131" t="s">
        <v>331</v>
      </c>
      <c r="BS9" s="128"/>
      <c r="BT9" s="128"/>
      <c r="BU9" s="131" t="s">
        <v>332</v>
      </c>
      <c r="BV9" s="128"/>
      <c r="BW9" s="128"/>
      <c r="BX9" s="150"/>
      <c r="BY9" s="150"/>
      <c r="BZ9" s="150"/>
      <c r="CA9" s="149" t="s">
        <v>333</v>
      </c>
      <c r="CB9" s="150"/>
      <c r="CC9" s="150"/>
      <c r="CD9" s="131" t="s">
        <v>334</v>
      </c>
      <c r="CE9" s="128"/>
      <c r="CF9" s="128"/>
      <c r="CG9" s="131" t="s">
        <v>335</v>
      </c>
      <c r="CH9" s="128"/>
      <c r="CI9" s="128"/>
      <c r="CJ9" s="150"/>
      <c r="CK9" s="150"/>
      <c r="CL9" s="150"/>
      <c r="CM9" s="131" t="s">
        <v>336</v>
      </c>
      <c r="CN9" s="128"/>
      <c r="CO9" s="128"/>
      <c r="CP9" s="149" t="s">
        <v>337</v>
      </c>
      <c r="CQ9" s="150"/>
      <c r="CR9" s="150"/>
      <c r="CS9" s="131" t="s">
        <v>338</v>
      </c>
      <c r="CT9" s="128"/>
      <c r="CU9" s="128"/>
      <c r="CV9" s="150"/>
      <c r="CW9" s="150"/>
      <c r="CX9" s="150"/>
      <c r="CY9" s="150"/>
      <c r="CZ9" s="150"/>
      <c r="DA9" s="150"/>
      <c r="DB9" s="131" t="s">
        <v>339</v>
      </c>
      <c r="DC9" s="128"/>
      <c r="DD9" s="128"/>
      <c r="DE9" s="149" t="s">
        <v>340</v>
      </c>
      <c r="DF9" s="150"/>
      <c r="DG9" s="150"/>
      <c r="DH9" s="131" t="s">
        <v>341</v>
      </c>
      <c r="DI9" s="128"/>
      <c r="DJ9" s="128"/>
      <c r="DK9" s="150"/>
      <c r="DL9" s="150"/>
      <c r="DM9" s="150"/>
      <c r="DN9" s="150"/>
      <c r="DO9" s="150"/>
      <c r="DP9" s="150"/>
      <c r="DQ9" s="132"/>
      <c r="DR9" s="132"/>
      <c r="DS9" s="132"/>
    </row>
    <row r="10" s="119" customFormat="1" ht="31.5" spans="1:123">
      <c r="A10" s="131" t="s">
        <v>12</v>
      </c>
      <c r="B10" s="132" t="s">
        <v>342</v>
      </c>
      <c r="C10" s="148" t="s">
        <v>14</v>
      </c>
      <c r="D10" s="149" t="s">
        <v>343</v>
      </c>
      <c r="E10" s="149" t="s">
        <v>344</v>
      </c>
      <c r="F10" s="149" t="s">
        <v>345</v>
      </c>
      <c r="G10" s="149" t="s">
        <v>343</v>
      </c>
      <c r="H10" s="149" t="s">
        <v>344</v>
      </c>
      <c r="I10" s="149" t="s">
        <v>345</v>
      </c>
      <c r="J10" s="149" t="s">
        <v>343</v>
      </c>
      <c r="K10" s="149" t="s">
        <v>344</v>
      </c>
      <c r="L10" s="149" t="s">
        <v>345</v>
      </c>
      <c r="M10" s="150"/>
      <c r="N10" s="150"/>
      <c r="O10" s="150"/>
      <c r="P10" s="149" t="s">
        <v>343</v>
      </c>
      <c r="Q10" s="149" t="s">
        <v>344</v>
      </c>
      <c r="R10" s="149" t="s">
        <v>345</v>
      </c>
      <c r="S10" s="149" t="s">
        <v>343</v>
      </c>
      <c r="T10" s="149" t="s">
        <v>344</v>
      </c>
      <c r="U10" s="149" t="s">
        <v>345</v>
      </c>
      <c r="V10" s="149" t="s">
        <v>343</v>
      </c>
      <c r="W10" s="149" t="s">
        <v>344</v>
      </c>
      <c r="X10" s="149" t="s">
        <v>345</v>
      </c>
      <c r="Y10" s="150"/>
      <c r="Z10" s="150"/>
      <c r="AA10" s="150"/>
      <c r="AB10" s="149" t="s">
        <v>343</v>
      </c>
      <c r="AC10" s="149" t="s">
        <v>344</v>
      </c>
      <c r="AD10" s="149" t="s">
        <v>345</v>
      </c>
      <c r="AE10" s="149" t="s">
        <v>343</v>
      </c>
      <c r="AF10" s="149" t="s">
        <v>344</v>
      </c>
      <c r="AG10" s="149" t="s">
        <v>345</v>
      </c>
      <c r="AH10" s="149" t="s">
        <v>343</v>
      </c>
      <c r="AI10" s="149" t="s">
        <v>344</v>
      </c>
      <c r="AJ10" s="149" t="s">
        <v>345</v>
      </c>
      <c r="AK10" s="150"/>
      <c r="AL10" s="150"/>
      <c r="AM10" s="150"/>
      <c r="AN10" s="149" t="s">
        <v>343</v>
      </c>
      <c r="AO10" s="149" t="s">
        <v>344</v>
      </c>
      <c r="AP10" s="149" t="s">
        <v>345</v>
      </c>
      <c r="AQ10" s="149" t="s">
        <v>343</v>
      </c>
      <c r="AR10" s="149" t="s">
        <v>344</v>
      </c>
      <c r="AS10" s="149" t="s">
        <v>345</v>
      </c>
      <c r="AT10" s="149" t="s">
        <v>343</v>
      </c>
      <c r="AU10" s="149" t="s">
        <v>344</v>
      </c>
      <c r="AV10" s="149" t="s">
        <v>345</v>
      </c>
      <c r="AW10" s="150"/>
      <c r="AX10" s="150"/>
      <c r="AY10" s="150"/>
      <c r="AZ10" s="150"/>
      <c r="BA10" s="150"/>
      <c r="BB10" s="150"/>
      <c r="BC10" s="150"/>
      <c r="BD10" s="150"/>
      <c r="BE10" s="150"/>
      <c r="BF10" s="131" t="s">
        <v>343</v>
      </c>
      <c r="BG10" s="131" t="s">
        <v>344</v>
      </c>
      <c r="BH10" s="131" t="s">
        <v>345</v>
      </c>
      <c r="BI10" s="131" t="s">
        <v>343</v>
      </c>
      <c r="BJ10" s="131" t="s">
        <v>344</v>
      </c>
      <c r="BK10" s="131" t="s">
        <v>345</v>
      </c>
      <c r="BL10" s="150"/>
      <c r="BM10" s="150"/>
      <c r="BN10" s="150"/>
      <c r="BO10" s="149" t="s">
        <v>343</v>
      </c>
      <c r="BP10" s="149" t="s">
        <v>344</v>
      </c>
      <c r="BQ10" s="149" t="s">
        <v>345</v>
      </c>
      <c r="BR10" s="131" t="s">
        <v>343</v>
      </c>
      <c r="BS10" s="131" t="s">
        <v>344</v>
      </c>
      <c r="BT10" s="131" t="s">
        <v>345</v>
      </c>
      <c r="BU10" s="131" t="s">
        <v>343</v>
      </c>
      <c r="BV10" s="131" t="s">
        <v>344</v>
      </c>
      <c r="BW10" s="131" t="s">
        <v>345</v>
      </c>
      <c r="BX10" s="150"/>
      <c r="BY10" s="150"/>
      <c r="BZ10" s="150"/>
      <c r="CA10" s="149" t="s">
        <v>343</v>
      </c>
      <c r="CB10" s="149" t="s">
        <v>344</v>
      </c>
      <c r="CC10" s="149" t="s">
        <v>345</v>
      </c>
      <c r="CD10" s="131" t="s">
        <v>343</v>
      </c>
      <c r="CE10" s="131" t="s">
        <v>344</v>
      </c>
      <c r="CF10" s="131" t="s">
        <v>345</v>
      </c>
      <c r="CG10" s="131" t="s">
        <v>343</v>
      </c>
      <c r="CH10" s="131" t="s">
        <v>344</v>
      </c>
      <c r="CI10" s="131" t="s">
        <v>345</v>
      </c>
      <c r="CJ10" s="150"/>
      <c r="CK10" s="150"/>
      <c r="CL10" s="150"/>
      <c r="CM10" s="131" t="s">
        <v>343</v>
      </c>
      <c r="CN10" s="131" t="s">
        <v>344</v>
      </c>
      <c r="CO10" s="131" t="s">
        <v>345</v>
      </c>
      <c r="CP10" s="149" t="s">
        <v>343</v>
      </c>
      <c r="CQ10" s="149" t="s">
        <v>344</v>
      </c>
      <c r="CR10" s="149" t="s">
        <v>345</v>
      </c>
      <c r="CS10" s="131" t="s">
        <v>343</v>
      </c>
      <c r="CT10" s="131" t="s">
        <v>344</v>
      </c>
      <c r="CU10" s="131" t="s">
        <v>345</v>
      </c>
      <c r="CV10" s="150"/>
      <c r="CW10" s="150"/>
      <c r="CX10" s="150"/>
      <c r="CY10" s="150"/>
      <c r="CZ10" s="150"/>
      <c r="DA10" s="150"/>
      <c r="DB10" s="131" t="s">
        <v>343</v>
      </c>
      <c r="DC10" s="131" t="s">
        <v>344</v>
      </c>
      <c r="DD10" s="131" t="s">
        <v>345</v>
      </c>
      <c r="DE10" s="149" t="s">
        <v>343</v>
      </c>
      <c r="DF10" s="149" t="s">
        <v>344</v>
      </c>
      <c r="DG10" s="149" t="s">
        <v>345</v>
      </c>
      <c r="DH10" s="131" t="s">
        <v>343</v>
      </c>
      <c r="DI10" s="131" t="s">
        <v>344</v>
      </c>
      <c r="DJ10" s="131" t="s">
        <v>345</v>
      </c>
      <c r="DK10" s="150"/>
      <c r="DL10" s="150"/>
      <c r="DM10" s="150"/>
      <c r="DN10" s="150"/>
      <c r="DO10" s="150"/>
      <c r="DP10" s="150"/>
      <c r="DQ10" s="132"/>
      <c r="DR10" s="132"/>
      <c r="DS10" s="132"/>
    </row>
    <row r="11" spans="1:123">
      <c r="A11" s="128" t="s">
        <v>21</v>
      </c>
      <c r="B11" s="128"/>
      <c r="C11" s="14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158"/>
      <c r="AT11" s="158"/>
      <c r="AU11" s="158"/>
      <c r="AV11" s="158"/>
      <c r="AW11" s="158"/>
      <c r="AX11" s="158"/>
      <c r="AY11" s="158"/>
      <c r="AZ11" s="159"/>
      <c r="BA11" s="159"/>
      <c r="BB11" s="159"/>
      <c r="BC11" s="159"/>
      <c r="BD11" s="159"/>
      <c r="BE11" s="159"/>
      <c r="BF11" s="160"/>
      <c r="BG11" s="160"/>
      <c r="BH11" s="160"/>
      <c r="BI11" s="160"/>
      <c r="BJ11" s="160"/>
      <c r="BK11" s="160"/>
      <c r="BL11" s="161"/>
      <c r="BM11" s="161"/>
      <c r="BN11" s="161"/>
      <c r="BO11" s="160"/>
      <c r="BP11" s="160"/>
      <c r="BQ11" s="160"/>
      <c r="BR11" s="160"/>
      <c r="BS11" s="160"/>
      <c r="BT11" s="160"/>
      <c r="BU11" s="160"/>
      <c r="BV11" s="160"/>
      <c r="BW11" s="160"/>
      <c r="BX11" s="161"/>
      <c r="BY11" s="161"/>
      <c r="BZ11" s="161"/>
      <c r="CA11" s="160"/>
      <c r="CB11" s="160"/>
      <c r="CC11" s="160"/>
      <c r="CD11" s="160"/>
      <c r="CE11" s="160"/>
      <c r="CF11" s="160"/>
      <c r="CG11" s="160"/>
      <c r="CH11" s="160"/>
      <c r="CI11" s="160"/>
      <c r="CJ11" s="161"/>
      <c r="CK11" s="161"/>
      <c r="CL11" s="161"/>
      <c r="CM11" s="160"/>
      <c r="CN11" s="160"/>
      <c r="CO11" s="160"/>
      <c r="CP11" s="160"/>
      <c r="CQ11" s="160"/>
      <c r="CR11" s="160"/>
      <c r="CS11" s="160"/>
      <c r="CT11" s="160"/>
      <c r="CU11" s="160"/>
      <c r="CV11" s="161"/>
      <c r="CW11" s="161"/>
      <c r="CX11" s="161"/>
      <c r="CY11" s="161"/>
      <c r="CZ11" s="161"/>
      <c r="DA11" s="161"/>
      <c r="DB11" s="160"/>
      <c r="DC11" s="160"/>
      <c r="DD11" s="160"/>
      <c r="DE11" s="160"/>
      <c r="DF11" s="160"/>
      <c r="DG11" s="160"/>
      <c r="DH11" s="160"/>
      <c r="DI11" s="160"/>
      <c r="DJ11" s="160"/>
      <c r="DK11" s="161"/>
      <c r="DL11" s="161"/>
      <c r="DM11" s="161"/>
      <c r="DN11" s="161"/>
      <c r="DO11" s="161"/>
      <c r="DP11" s="161"/>
      <c r="DQ11" s="160"/>
      <c r="DR11" s="160"/>
      <c r="DS11" s="160"/>
    </row>
    <row r="12" spans="1:123">
      <c r="A12" s="128"/>
      <c r="B12" s="128" t="s">
        <v>346</v>
      </c>
      <c r="C12" s="14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9"/>
      <c r="BA12" s="159"/>
      <c r="BB12" s="159"/>
      <c r="BC12" s="159"/>
      <c r="BD12" s="159"/>
      <c r="BE12" s="159"/>
      <c r="BF12" s="160"/>
      <c r="BG12" s="160"/>
      <c r="BH12" s="160"/>
      <c r="BI12" s="160"/>
      <c r="BJ12" s="160"/>
      <c r="BK12" s="160"/>
      <c r="BL12" s="161"/>
      <c r="BM12" s="161"/>
      <c r="BN12" s="161"/>
      <c r="BO12" s="160"/>
      <c r="BP12" s="160"/>
      <c r="BQ12" s="160"/>
      <c r="BR12" s="160"/>
      <c r="BS12" s="160"/>
      <c r="BT12" s="160"/>
      <c r="BU12" s="160"/>
      <c r="BV12" s="160"/>
      <c r="BW12" s="160"/>
      <c r="BX12" s="161"/>
      <c r="BY12" s="161"/>
      <c r="BZ12" s="161"/>
      <c r="CA12" s="160"/>
      <c r="CB12" s="160"/>
      <c r="CC12" s="160"/>
      <c r="CD12" s="160"/>
      <c r="CE12" s="160"/>
      <c r="CF12" s="160"/>
      <c r="CG12" s="160"/>
      <c r="CH12" s="160"/>
      <c r="CI12" s="160"/>
      <c r="CJ12" s="161"/>
      <c r="CK12" s="161"/>
      <c r="CL12" s="161"/>
      <c r="CM12" s="160"/>
      <c r="CN12" s="160"/>
      <c r="CO12" s="160"/>
      <c r="CP12" s="160"/>
      <c r="CQ12" s="160"/>
      <c r="CR12" s="160"/>
      <c r="CS12" s="160"/>
      <c r="CT12" s="160"/>
      <c r="CU12" s="160"/>
      <c r="CV12" s="161"/>
      <c r="CW12" s="161"/>
      <c r="CX12" s="161"/>
      <c r="CY12" s="161"/>
      <c r="CZ12" s="161"/>
      <c r="DA12" s="161"/>
      <c r="DB12" s="160"/>
      <c r="DC12" s="160"/>
      <c r="DD12" s="160"/>
      <c r="DE12" s="160"/>
      <c r="DF12" s="160"/>
      <c r="DG12" s="160"/>
      <c r="DH12" s="160"/>
      <c r="DI12" s="160"/>
      <c r="DJ12" s="160"/>
      <c r="DK12" s="161"/>
      <c r="DL12" s="161"/>
      <c r="DM12" s="161"/>
      <c r="DN12" s="161"/>
      <c r="DO12" s="161"/>
      <c r="DP12" s="161"/>
      <c r="DQ12" s="160"/>
      <c r="DR12" s="160"/>
      <c r="DS12" s="160"/>
    </row>
    <row r="13" ht="31.5" spans="1:123">
      <c r="A13" s="128"/>
      <c r="B13" s="128"/>
      <c r="C13" s="148" t="s">
        <v>24</v>
      </c>
      <c r="D13" s="158"/>
      <c r="E13" s="158"/>
      <c r="F13" s="158"/>
      <c r="G13" s="158"/>
      <c r="H13" s="158"/>
      <c r="I13" s="158"/>
      <c r="J13" s="158">
        <v>1105</v>
      </c>
      <c r="K13" s="158"/>
      <c r="L13" s="158">
        <v>1105</v>
      </c>
      <c r="M13" s="158">
        <v>1105</v>
      </c>
      <c r="N13" s="158"/>
      <c r="O13" s="158">
        <v>1105</v>
      </c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8"/>
      <c r="AU13" s="158"/>
      <c r="AV13" s="158"/>
      <c r="AW13" s="158"/>
      <c r="AX13" s="158"/>
      <c r="AY13" s="158"/>
      <c r="AZ13" s="159">
        <v>1105</v>
      </c>
      <c r="BA13" s="159"/>
      <c r="BB13" s="159">
        <v>1105</v>
      </c>
      <c r="BC13" s="159">
        <v>1105</v>
      </c>
      <c r="BD13" s="159"/>
      <c r="BE13" s="159">
        <v>1105</v>
      </c>
      <c r="BF13" s="160"/>
      <c r="BG13" s="160"/>
      <c r="BH13" s="160"/>
      <c r="BI13" s="160"/>
      <c r="BJ13" s="160"/>
      <c r="BK13" s="160"/>
      <c r="BL13" s="161"/>
      <c r="BM13" s="161"/>
      <c r="BN13" s="161"/>
      <c r="BO13" s="160"/>
      <c r="BP13" s="160"/>
      <c r="BQ13" s="160"/>
      <c r="BR13" s="160">
        <v>1105</v>
      </c>
      <c r="BS13" s="160"/>
      <c r="BT13" s="160">
        <v>1105</v>
      </c>
      <c r="BU13" s="160"/>
      <c r="BV13" s="160"/>
      <c r="BW13" s="160"/>
      <c r="BX13" s="161">
        <v>1105</v>
      </c>
      <c r="BY13" s="161"/>
      <c r="BZ13" s="161">
        <v>1105</v>
      </c>
      <c r="CA13" s="160"/>
      <c r="CB13" s="160"/>
      <c r="CC13" s="160"/>
      <c r="CD13" s="160"/>
      <c r="CE13" s="160"/>
      <c r="CF13" s="160"/>
      <c r="CG13" s="160"/>
      <c r="CH13" s="160"/>
      <c r="CI13" s="160"/>
      <c r="CJ13" s="161"/>
      <c r="CK13" s="161"/>
      <c r="CL13" s="161"/>
      <c r="CM13" s="160"/>
      <c r="CN13" s="160"/>
      <c r="CO13" s="160"/>
      <c r="CP13" s="160"/>
      <c r="CQ13" s="160"/>
      <c r="CR13" s="160"/>
      <c r="CS13" s="160"/>
      <c r="CT13" s="160"/>
      <c r="CU13" s="160"/>
      <c r="CV13" s="161"/>
      <c r="CW13" s="161"/>
      <c r="CX13" s="161"/>
      <c r="CY13" s="161">
        <v>1105</v>
      </c>
      <c r="CZ13" s="161"/>
      <c r="DA13" s="161">
        <v>1105</v>
      </c>
      <c r="DB13" s="160"/>
      <c r="DC13" s="160"/>
      <c r="DD13" s="160"/>
      <c r="DE13" s="160"/>
      <c r="DF13" s="160"/>
      <c r="DG13" s="160"/>
      <c r="DH13" s="160"/>
      <c r="DI13" s="160"/>
      <c r="DJ13" s="160"/>
      <c r="DK13" s="161"/>
      <c r="DL13" s="161"/>
      <c r="DM13" s="161"/>
      <c r="DN13" s="161"/>
      <c r="DO13" s="161"/>
      <c r="DP13" s="161"/>
      <c r="DQ13" s="160">
        <v>1105</v>
      </c>
      <c r="DR13" s="160"/>
      <c r="DS13" s="160">
        <v>1105</v>
      </c>
    </row>
    <row r="14" spans="1:123">
      <c r="A14" s="128"/>
      <c r="B14" s="128" t="s">
        <v>347</v>
      </c>
      <c r="C14" s="14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58"/>
      <c r="AX14" s="158"/>
      <c r="AY14" s="158"/>
      <c r="AZ14" s="159"/>
      <c r="BA14" s="159"/>
      <c r="BB14" s="159"/>
      <c r="BC14" s="159"/>
      <c r="BD14" s="159"/>
      <c r="BE14" s="159"/>
      <c r="BF14" s="160"/>
      <c r="BG14" s="160"/>
      <c r="BH14" s="160"/>
      <c r="BI14" s="160"/>
      <c r="BJ14" s="160"/>
      <c r="BK14" s="160"/>
      <c r="BL14" s="161"/>
      <c r="BM14" s="161"/>
      <c r="BN14" s="161"/>
      <c r="BO14" s="160"/>
      <c r="BP14" s="160"/>
      <c r="BQ14" s="160"/>
      <c r="BR14" s="160"/>
      <c r="BS14" s="160"/>
      <c r="BT14" s="160"/>
      <c r="BU14" s="160"/>
      <c r="BV14" s="160"/>
      <c r="BW14" s="160"/>
      <c r="BX14" s="161"/>
      <c r="BY14" s="161"/>
      <c r="BZ14" s="161"/>
      <c r="CA14" s="160"/>
      <c r="CB14" s="160"/>
      <c r="CC14" s="160"/>
      <c r="CD14" s="160"/>
      <c r="CE14" s="160"/>
      <c r="CF14" s="160"/>
      <c r="CG14" s="160"/>
      <c r="CH14" s="160"/>
      <c r="CI14" s="160"/>
      <c r="CJ14" s="161"/>
      <c r="CK14" s="161"/>
      <c r="CL14" s="161"/>
      <c r="CM14" s="160"/>
      <c r="CN14" s="160"/>
      <c r="CO14" s="160"/>
      <c r="CP14" s="160"/>
      <c r="CQ14" s="160"/>
      <c r="CR14" s="160"/>
      <c r="CS14" s="160"/>
      <c r="CT14" s="160"/>
      <c r="CU14" s="160"/>
      <c r="CV14" s="161"/>
      <c r="CW14" s="161"/>
      <c r="CX14" s="161"/>
      <c r="CY14" s="161"/>
      <c r="CZ14" s="161"/>
      <c r="DA14" s="161"/>
      <c r="DB14" s="160"/>
      <c r="DC14" s="160"/>
      <c r="DD14" s="160"/>
      <c r="DE14" s="160"/>
      <c r="DF14" s="160"/>
      <c r="DG14" s="160"/>
      <c r="DH14" s="160"/>
      <c r="DI14" s="160"/>
      <c r="DJ14" s="160"/>
      <c r="DK14" s="161"/>
      <c r="DL14" s="161"/>
      <c r="DM14" s="161"/>
      <c r="DN14" s="161"/>
      <c r="DO14" s="161"/>
      <c r="DP14" s="161"/>
      <c r="DQ14" s="160"/>
      <c r="DR14" s="160"/>
      <c r="DS14" s="160"/>
    </row>
    <row r="15" ht="31.5" spans="1:123">
      <c r="A15" s="128"/>
      <c r="B15" s="128"/>
      <c r="C15" s="148" t="s">
        <v>80</v>
      </c>
      <c r="D15" s="158"/>
      <c r="E15" s="158"/>
      <c r="F15" s="158"/>
      <c r="G15" s="158"/>
      <c r="H15" s="158"/>
      <c r="I15" s="158"/>
      <c r="J15" s="158">
        <v>1500</v>
      </c>
      <c r="K15" s="158"/>
      <c r="L15" s="158">
        <v>1500</v>
      </c>
      <c r="M15" s="158">
        <v>1500</v>
      </c>
      <c r="N15" s="158"/>
      <c r="O15" s="158">
        <v>1500</v>
      </c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  <c r="AQ15" s="158"/>
      <c r="AR15" s="158"/>
      <c r="AS15" s="158"/>
      <c r="AT15" s="158"/>
      <c r="AU15" s="158"/>
      <c r="AV15" s="158"/>
      <c r="AW15" s="158"/>
      <c r="AX15" s="158"/>
      <c r="AY15" s="158"/>
      <c r="AZ15" s="159">
        <v>1500</v>
      </c>
      <c r="BA15" s="159"/>
      <c r="BB15" s="159">
        <v>1500</v>
      </c>
      <c r="BC15" s="159">
        <v>1500</v>
      </c>
      <c r="BD15" s="159"/>
      <c r="BE15" s="159">
        <v>1500</v>
      </c>
      <c r="BF15" s="160"/>
      <c r="BG15" s="160"/>
      <c r="BH15" s="160"/>
      <c r="BI15" s="160"/>
      <c r="BJ15" s="160"/>
      <c r="BK15" s="160"/>
      <c r="BL15" s="161"/>
      <c r="BM15" s="161"/>
      <c r="BN15" s="161"/>
      <c r="BO15" s="160"/>
      <c r="BP15" s="160"/>
      <c r="BQ15" s="160"/>
      <c r="BR15" s="160">
        <v>1500</v>
      </c>
      <c r="BS15" s="160"/>
      <c r="BT15" s="160">
        <v>1500</v>
      </c>
      <c r="BU15" s="160"/>
      <c r="BV15" s="160"/>
      <c r="BW15" s="160"/>
      <c r="BX15" s="161">
        <v>1500</v>
      </c>
      <c r="BY15" s="161"/>
      <c r="BZ15" s="161">
        <v>1500</v>
      </c>
      <c r="CA15" s="160"/>
      <c r="CB15" s="160"/>
      <c r="CC15" s="160"/>
      <c r="CD15" s="160"/>
      <c r="CE15" s="160"/>
      <c r="CF15" s="160"/>
      <c r="CG15" s="160"/>
      <c r="CH15" s="160"/>
      <c r="CI15" s="160"/>
      <c r="CJ15" s="161"/>
      <c r="CK15" s="161"/>
      <c r="CL15" s="161"/>
      <c r="CM15" s="160"/>
      <c r="CN15" s="160"/>
      <c r="CO15" s="160"/>
      <c r="CP15" s="160"/>
      <c r="CQ15" s="160"/>
      <c r="CR15" s="160"/>
      <c r="CS15" s="160"/>
      <c r="CT15" s="160"/>
      <c r="CU15" s="160"/>
      <c r="CV15" s="161"/>
      <c r="CW15" s="161"/>
      <c r="CX15" s="161"/>
      <c r="CY15" s="161">
        <v>1500</v>
      </c>
      <c r="CZ15" s="161"/>
      <c r="DA15" s="161">
        <v>1500</v>
      </c>
      <c r="DB15" s="160"/>
      <c r="DC15" s="160"/>
      <c r="DD15" s="160"/>
      <c r="DE15" s="160"/>
      <c r="DF15" s="160"/>
      <c r="DG15" s="160"/>
      <c r="DH15" s="160"/>
      <c r="DI15" s="160"/>
      <c r="DJ15" s="160"/>
      <c r="DK15" s="161"/>
      <c r="DL15" s="161"/>
      <c r="DM15" s="161"/>
      <c r="DN15" s="161"/>
      <c r="DO15" s="161"/>
      <c r="DP15" s="161"/>
      <c r="DQ15" s="160">
        <v>1500</v>
      </c>
      <c r="DR15" s="160"/>
      <c r="DS15" s="160">
        <v>1500</v>
      </c>
    </row>
    <row r="16" ht="31.5" spans="1:123">
      <c r="A16" s="128"/>
      <c r="B16" s="128"/>
      <c r="C16" s="148" t="s">
        <v>82</v>
      </c>
      <c r="D16" s="158"/>
      <c r="E16" s="158"/>
      <c r="F16" s="158"/>
      <c r="G16" s="158"/>
      <c r="H16" s="158"/>
      <c r="I16" s="158"/>
      <c r="J16" s="158">
        <v>300</v>
      </c>
      <c r="K16" s="158"/>
      <c r="L16" s="158">
        <v>300</v>
      </c>
      <c r="M16" s="158">
        <v>300</v>
      </c>
      <c r="N16" s="158"/>
      <c r="O16" s="158">
        <v>300</v>
      </c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8"/>
      <c r="AX16" s="158"/>
      <c r="AY16" s="158"/>
      <c r="AZ16" s="159">
        <v>300</v>
      </c>
      <c r="BA16" s="159"/>
      <c r="BB16" s="159">
        <v>300</v>
      </c>
      <c r="BC16" s="159">
        <v>300</v>
      </c>
      <c r="BD16" s="159"/>
      <c r="BE16" s="159">
        <v>300</v>
      </c>
      <c r="BF16" s="160"/>
      <c r="BG16" s="160"/>
      <c r="BH16" s="160"/>
      <c r="BI16" s="160"/>
      <c r="BJ16" s="160"/>
      <c r="BK16" s="160"/>
      <c r="BL16" s="161"/>
      <c r="BM16" s="161"/>
      <c r="BN16" s="161"/>
      <c r="BO16" s="160"/>
      <c r="BP16" s="160"/>
      <c r="BQ16" s="160"/>
      <c r="BR16" s="160">
        <v>300</v>
      </c>
      <c r="BS16" s="160"/>
      <c r="BT16" s="160">
        <v>300</v>
      </c>
      <c r="BU16" s="160"/>
      <c r="BV16" s="160"/>
      <c r="BW16" s="160"/>
      <c r="BX16" s="161">
        <v>300</v>
      </c>
      <c r="BY16" s="161"/>
      <c r="BZ16" s="161">
        <v>300</v>
      </c>
      <c r="CA16" s="160"/>
      <c r="CB16" s="160"/>
      <c r="CC16" s="160"/>
      <c r="CD16" s="160"/>
      <c r="CE16" s="160"/>
      <c r="CF16" s="160"/>
      <c r="CG16" s="160"/>
      <c r="CH16" s="160"/>
      <c r="CI16" s="160"/>
      <c r="CJ16" s="161"/>
      <c r="CK16" s="161"/>
      <c r="CL16" s="161"/>
      <c r="CM16" s="160"/>
      <c r="CN16" s="160"/>
      <c r="CO16" s="160"/>
      <c r="CP16" s="160"/>
      <c r="CQ16" s="160"/>
      <c r="CR16" s="160"/>
      <c r="CS16" s="160"/>
      <c r="CT16" s="160"/>
      <c r="CU16" s="160"/>
      <c r="CV16" s="161"/>
      <c r="CW16" s="161"/>
      <c r="CX16" s="161"/>
      <c r="CY16" s="161">
        <v>300</v>
      </c>
      <c r="CZ16" s="161"/>
      <c r="DA16" s="161">
        <v>300</v>
      </c>
      <c r="DB16" s="160"/>
      <c r="DC16" s="160"/>
      <c r="DD16" s="160"/>
      <c r="DE16" s="160"/>
      <c r="DF16" s="160"/>
      <c r="DG16" s="160"/>
      <c r="DH16" s="160"/>
      <c r="DI16" s="160"/>
      <c r="DJ16" s="160"/>
      <c r="DK16" s="161"/>
      <c r="DL16" s="161"/>
      <c r="DM16" s="161"/>
      <c r="DN16" s="161"/>
      <c r="DO16" s="161"/>
      <c r="DP16" s="161"/>
      <c r="DQ16" s="160">
        <v>300</v>
      </c>
      <c r="DR16" s="160"/>
      <c r="DS16" s="160">
        <v>300</v>
      </c>
    </row>
    <row r="17" ht="31.5" spans="1:123">
      <c r="A17" s="128"/>
      <c r="B17" s="128"/>
      <c r="C17" s="148" t="s">
        <v>84</v>
      </c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>
        <v>250596</v>
      </c>
      <c r="Q17" s="158"/>
      <c r="R17" s="158">
        <v>250596</v>
      </c>
      <c r="S17" s="158"/>
      <c r="T17" s="158"/>
      <c r="U17" s="158"/>
      <c r="V17" s="158"/>
      <c r="W17" s="158"/>
      <c r="X17" s="158"/>
      <c r="Y17" s="158">
        <v>250596</v>
      </c>
      <c r="Z17" s="158"/>
      <c r="AA17" s="158">
        <v>250596</v>
      </c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8"/>
      <c r="AW17" s="158"/>
      <c r="AX17" s="158"/>
      <c r="AY17" s="158"/>
      <c r="AZ17" s="159">
        <v>250596</v>
      </c>
      <c r="BA17" s="159"/>
      <c r="BB17" s="159">
        <v>250596</v>
      </c>
      <c r="BC17" s="159">
        <v>250596</v>
      </c>
      <c r="BD17" s="159"/>
      <c r="BE17" s="159">
        <v>250596</v>
      </c>
      <c r="BF17" s="160"/>
      <c r="BG17" s="160"/>
      <c r="BH17" s="160"/>
      <c r="BI17" s="160"/>
      <c r="BJ17" s="160"/>
      <c r="BK17" s="160"/>
      <c r="BL17" s="161"/>
      <c r="BM17" s="161"/>
      <c r="BN17" s="161"/>
      <c r="BO17" s="160"/>
      <c r="BP17" s="160"/>
      <c r="BQ17" s="160"/>
      <c r="BR17" s="160"/>
      <c r="BS17" s="160"/>
      <c r="BT17" s="160"/>
      <c r="BU17" s="160"/>
      <c r="BV17" s="160"/>
      <c r="BW17" s="160"/>
      <c r="BX17" s="161"/>
      <c r="BY17" s="161"/>
      <c r="BZ17" s="161"/>
      <c r="CA17" s="160">
        <v>250596</v>
      </c>
      <c r="CB17" s="160"/>
      <c r="CC17" s="160">
        <v>250596</v>
      </c>
      <c r="CD17" s="160"/>
      <c r="CE17" s="160"/>
      <c r="CF17" s="160"/>
      <c r="CG17" s="160"/>
      <c r="CH17" s="160"/>
      <c r="CI17" s="160"/>
      <c r="CJ17" s="161">
        <v>250596</v>
      </c>
      <c r="CK17" s="161"/>
      <c r="CL17" s="161">
        <v>250596</v>
      </c>
      <c r="CM17" s="160"/>
      <c r="CN17" s="160"/>
      <c r="CO17" s="160"/>
      <c r="CP17" s="160"/>
      <c r="CQ17" s="160"/>
      <c r="CR17" s="160"/>
      <c r="CS17" s="160"/>
      <c r="CT17" s="160"/>
      <c r="CU17" s="160"/>
      <c r="CV17" s="161"/>
      <c r="CW17" s="161"/>
      <c r="CX17" s="161"/>
      <c r="CY17" s="161">
        <v>250596</v>
      </c>
      <c r="CZ17" s="161"/>
      <c r="DA17" s="161">
        <v>250596</v>
      </c>
      <c r="DB17" s="160"/>
      <c r="DC17" s="160"/>
      <c r="DD17" s="160"/>
      <c r="DE17" s="160"/>
      <c r="DF17" s="160"/>
      <c r="DG17" s="160"/>
      <c r="DH17" s="160"/>
      <c r="DI17" s="160"/>
      <c r="DJ17" s="160"/>
      <c r="DK17" s="161"/>
      <c r="DL17" s="161"/>
      <c r="DM17" s="161"/>
      <c r="DN17" s="161"/>
      <c r="DO17" s="161"/>
      <c r="DP17" s="161"/>
      <c r="DQ17" s="160">
        <v>250596</v>
      </c>
      <c r="DR17" s="160"/>
      <c r="DS17" s="160">
        <v>250596</v>
      </c>
    </row>
    <row r="18" spans="1:123">
      <c r="A18" s="128"/>
      <c r="B18" s="128" t="s">
        <v>348</v>
      </c>
      <c r="C18" s="148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58"/>
      <c r="AX18" s="158"/>
      <c r="AY18" s="158"/>
      <c r="AZ18" s="159"/>
      <c r="BA18" s="159"/>
      <c r="BB18" s="159"/>
      <c r="BC18" s="159"/>
      <c r="BD18" s="159"/>
      <c r="BE18" s="159"/>
      <c r="BF18" s="160"/>
      <c r="BG18" s="160"/>
      <c r="BH18" s="160"/>
      <c r="BI18" s="160"/>
      <c r="BJ18" s="160"/>
      <c r="BK18" s="160"/>
      <c r="BL18" s="161"/>
      <c r="BM18" s="161"/>
      <c r="BN18" s="161"/>
      <c r="BO18" s="160"/>
      <c r="BP18" s="160"/>
      <c r="BQ18" s="160"/>
      <c r="BR18" s="160"/>
      <c r="BS18" s="160"/>
      <c r="BT18" s="160"/>
      <c r="BU18" s="160"/>
      <c r="BV18" s="160"/>
      <c r="BW18" s="160"/>
      <c r="BX18" s="161"/>
      <c r="BY18" s="161"/>
      <c r="BZ18" s="161"/>
      <c r="CA18" s="160"/>
      <c r="CB18" s="160"/>
      <c r="CC18" s="160"/>
      <c r="CD18" s="160"/>
      <c r="CE18" s="160"/>
      <c r="CF18" s="160"/>
      <c r="CG18" s="160"/>
      <c r="CH18" s="160"/>
      <c r="CI18" s="160"/>
      <c r="CJ18" s="161"/>
      <c r="CK18" s="161"/>
      <c r="CL18" s="161"/>
      <c r="CM18" s="160"/>
      <c r="CN18" s="160"/>
      <c r="CO18" s="160"/>
      <c r="CP18" s="160"/>
      <c r="CQ18" s="160"/>
      <c r="CR18" s="160"/>
      <c r="CS18" s="160"/>
      <c r="CT18" s="160"/>
      <c r="CU18" s="160"/>
      <c r="CV18" s="161"/>
      <c r="CW18" s="161"/>
      <c r="CX18" s="161"/>
      <c r="CY18" s="161"/>
      <c r="CZ18" s="161"/>
      <c r="DA18" s="161"/>
      <c r="DB18" s="160"/>
      <c r="DC18" s="160"/>
      <c r="DD18" s="160"/>
      <c r="DE18" s="160"/>
      <c r="DF18" s="160"/>
      <c r="DG18" s="160"/>
      <c r="DH18" s="160"/>
      <c r="DI18" s="160"/>
      <c r="DJ18" s="160"/>
      <c r="DK18" s="161"/>
      <c r="DL18" s="161"/>
      <c r="DM18" s="161"/>
      <c r="DN18" s="161"/>
      <c r="DO18" s="161"/>
      <c r="DP18" s="161"/>
      <c r="DQ18" s="160"/>
      <c r="DR18" s="160"/>
      <c r="DS18" s="160"/>
    </row>
    <row r="19" spans="1:123">
      <c r="A19" s="128"/>
      <c r="B19" s="128"/>
      <c r="C19" s="148" t="s">
        <v>26</v>
      </c>
      <c r="D19" s="158"/>
      <c r="E19" s="158"/>
      <c r="F19" s="158"/>
      <c r="G19" s="158"/>
      <c r="H19" s="158"/>
      <c r="I19" s="158"/>
      <c r="J19" s="158">
        <v>12000</v>
      </c>
      <c r="K19" s="158"/>
      <c r="L19" s="158">
        <v>12000</v>
      </c>
      <c r="M19" s="158">
        <v>12000</v>
      </c>
      <c r="N19" s="158"/>
      <c r="O19" s="158">
        <v>12000</v>
      </c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8"/>
      <c r="AW19" s="158"/>
      <c r="AX19" s="158"/>
      <c r="AY19" s="158"/>
      <c r="AZ19" s="159">
        <v>12000</v>
      </c>
      <c r="BA19" s="159"/>
      <c r="BB19" s="159">
        <v>12000</v>
      </c>
      <c r="BC19" s="159">
        <v>12000</v>
      </c>
      <c r="BD19" s="159"/>
      <c r="BE19" s="159">
        <v>12000</v>
      </c>
      <c r="BF19" s="160"/>
      <c r="BG19" s="160"/>
      <c r="BH19" s="160"/>
      <c r="BI19" s="160"/>
      <c r="BJ19" s="160"/>
      <c r="BK19" s="160"/>
      <c r="BL19" s="161"/>
      <c r="BM19" s="161"/>
      <c r="BN19" s="161"/>
      <c r="BO19" s="160"/>
      <c r="BP19" s="160"/>
      <c r="BQ19" s="160"/>
      <c r="BR19" s="160"/>
      <c r="BS19" s="160"/>
      <c r="BT19" s="160"/>
      <c r="BU19" s="160"/>
      <c r="BV19" s="160"/>
      <c r="BW19" s="160"/>
      <c r="BX19" s="161"/>
      <c r="BY19" s="161"/>
      <c r="BZ19" s="161"/>
      <c r="CA19" s="160"/>
      <c r="CB19" s="160"/>
      <c r="CC19" s="160"/>
      <c r="CD19" s="160">
        <v>12000</v>
      </c>
      <c r="CE19" s="160"/>
      <c r="CF19" s="160">
        <v>12000</v>
      </c>
      <c r="CG19" s="160"/>
      <c r="CH19" s="160"/>
      <c r="CI19" s="160"/>
      <c r="CJ19" s="161">
        <v>12000</v>
      </c>
      <c r="CK19" s="161"/>
      <c r="CL19" s="161">
        <v>12000</v>
      </c>
      <c r="CM19" s="160"/>
      <c r="CN19" s="160"/>
      <c r="CO19" s="160"/>
      <c r="CP19" s="160"/>
      <c r="CQ19" s="160"/>
      <c r="CR19" s="160"/>
      <c r="CS19" s="160"/>
      <c r="CT19" s="160"/>
      <c r="CU19" s="160"/>
      <c r="CV19" s="161"/>
      <c r="CW19" s="161"/>
      <c r="CX19" s="161"/>
      <c r="CY19" s="161">
        <v>12000</v>
      </c>
      <c r="CZ19" s="161"/>
      <c r="DA19" s="161">
        <v>12000</v>
      </c>
      <c r="DB19" s="160"/>
      <c r="DC19" s="160"/>
      <c r="DD19" s="160"/>
      <c r="DE19" s="160"/>
      <c r="DF19" s="160"/>
      <c r="DG19" s="160"/>
      <c r="DH19" s="160"/>
      <c r="DI19" s="160"/>
      <c r="DJ19" s="160"/>
      <c r="DK19" s="161"/>
      <c r="DL19" s="161"/>
      <c r="DM19" s="161"/>
      <c r="DN19" s="161"/>
      <c r="DO19" s="161"/>
      <c r="DP19" s="161"/>
      <c r="DQ19" s="160">
        <v>12000</v>
      </c>
      <c r="DR19" s="160"/>
      <c r="DS19" s="160">
        <v>12000</v>
      </c>
    </row>
    <row r="20" ht="31.5" spans="1:123">
      <c r="A20" s="128"/>
      <c r="B20" s="128"/>
      <c r="C20" s="148" t="s">
        <v>28</v>
      </c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>
        <v>17600</v>
      </c>
      <c r="Q20" s="158"/>
      <c r="R20" s="158">
        <v>17600</v>
      </c>
      <c r="S20" s="158"/>
      <c r="T20" s="158"/>
      <c r="U20" s="158"/>
      <c r="V20" s="158"/>
      <c r="W20" s="158"/>
      <c r="X20" s="158"/>
      <c r="Y20" s="158">
        <v>17600</v>
      </c>
      <c r="Z20" s="158"/>
      <c r="AA20" s="158">
        <v>17600</v>
      </c>
      <c r="AB20" s="158">
        <v>7150</v>
      </c>
      <c r="AC20" s="158"/>
      <c r="AD20" s="158">
        <v>7150</v>
      </c>
      <c r="AE20" s="158"/>
      <c r="AF20" s="158"/>
      <c r="AG20" s="158"/>
      <c r="AH20" s="158"/>
      <c r="AI20" s="158"/>
      <c r="AJ20" s="158"/>
      <c r="AK20" s="158">
        <v>7150</v>
      </c>
      <c r="AL20" s="158"/>
      <c r="AM20" s="158">
        <v>7150</v>
      </c>
      <c r="AN20" s="158"/>
      <c r="AO20" s="158"/>
      <c r="AP20" s="158"/>
      <c r="AQ20" s="158"/>
      <c r="AR20" s="158"/>
      <c r="AS20" s="158"/>
      <c r="AT20" s="158"/>
      <c r="AU20" s="158"/>
      <c r="AV20" s="158"/>
      <c r="AW20" s="158"/>
      <c r="AX20" s="158"/>
      <c r="AY20" s="158"/>
      <c r="AZ20" s="159">
        <v>24750</v>
      </c>
      <c r="BA20" s="159"/>
      <c r="BB20" s="159">
        <v>24750</v>
      </c>
      <c r="BC20" s="159">
        <v>24750</v>
      </c>
      <c r="BD20" s="159"/>
      <c r="BE20" s="159">
        <v>24750</v>
      </c>
      <c r="BF20" s="160"/>
      <c r="BG20" s="160"/>
      <c r="BH20" s="160"/>
      <c r="BI20" s="160"/>
      <c r="BJ20" s="160"/>
      <c r="BK20" s="160"/>
      <c r="BL20" s="161"/>
      <c r="BM20" s="161"/>
      <c r="BN20" s="161"/>
      <c r="BO20" s="160"/>
      <c r="BP20" s="160"/>
      <c r="BQ20" s="160"/>
      <c r="BR20" s="160"/>
      <c r="BS20" s="160"/>
      <c r="BT20" s="160"/>
      <c r="BU20" s="160"/>
      <c r="BV20" s="160"/>
      <c r="BW20" s="160"/>
      <c r="BX20" s="161"/>
      <c r="BY20" s="161"/>
      <c r="BZ20" s="161"/>
      <c r="CA20" s="160">
        <v>17600</v>
      </c>
      <c r="CB20" s="160"/>
      <c r="CC20" s="160">
        <v>17600</v>
      </c>
      <c r="CD20" s="160"/>
      <c r="CE20" s="160"/>
      <c r="CF20" s="160"/>
      <c r="CG20" s="160"/>
      <c r="CH20" s="160"/>
      <c r="CI20" s="160"/>
      <c r="CJ20" s="161">
        <v>17600</v>
      </c>
      <c r="CK20" s="161"/>
      <c r="CL20" s="161">
        <v>17600</v>
      </c>
      <c r="CM20" s="160"/>
      <c r="CN20" s="160"/>
      <c r="CO20" s="160"/>
      <c r="CP20" s="160">
        <v>7150</v>
      </c>
      <c r="CQ20" s="160"/>
      <c r="CR20" s="160">
        <v>7150</v>
      </c>
      <c r="CS20" s="160"/>
      <c r="CT20" s="160"/>
      <c r="CU20" s="160"/>
      <c r="CV20" s="161">
        <v>7150</v>
      </c>
      <c r="CW20" s="161"/>
      <c r="CX20" s="161">
        <v>7150</v>
      </c>
      <c r="CY20" s="161">
        <v>24750</v>
      </c>
      <c r="CZ20" s="161"/>
      <c r="DA20" s="161">
        <v>24750</v>
      </c>
      <c r="DB20" s="160"/>
      <c r="DC20" s="160"/>
      <c r="DD20" s="160"/>
      <c r="DE20" s="160"/>
      <c r="DF20" s="160"/>
      <c r="DG20" s="160"/>
      <c r="DH20" s="160"/>
      <c r="DI20" s="160"/>
      <c r="DJ20" s="160"/>
      <c r="DK20" s="161"/>
      <c r="DL20" s="161"/>
      <c r="DM20" s="161"/>
      <c r="DN20" s="161"/>
      <c r="DO20" s="161"/>
      <c r="DP20" s="161"/>
      <c r="DQ20" s="160">
        <v>24750</v>
      </c>
      <c r="DR20" s="160"/>
      <c r="DS20" s="160">
        <v>24750</v>
      </c>
    </row>
    <row r="21" spans="1:123">
      <c r="A21" s="128"/>
      <c r="B21" s="128" t="s">
        <v>349</v>
      </c>
      <c r="C21" s="14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8"/>
      <c r="AW21" s="158"/>
      <c r="AX21" s="158"/>
      <c r="AY21" s="158"/>
      <c r="AZ21" s="159"/>
      <c r="BA21" s="159"/>
      <c r="BB21" s="159"/>
      <c r="BC21" s="159"/>
      <c r="BD21" s="159"/>
      <c r="BE21" s="159"/>
      <c r="BF21" s="160"/>
      <c r="BG21" s="160"/>
      <c r="BH21" s="160"/>
      <c r="BI21" s="160"/>
      <c r="BJ21" s="160"/>
      <c r="BK21" s="160"/>
      <c r="BL21" s="161"/>
      <c r="BM21" s="161"/>
      <c r="BN21" s="161"/>
      <c r="BO21" s="160"/>
      <c r="BP21" s="160"/>
      <c r="BQ21" s="160"/>
      <c r="BR21" s="160"/>
      <c r="BS21" s="160"/>
      <c r="BT21" s="160"/>
      <c r="BU21" s="160"/>
      <c r="BV21" s="160"/>
      <c r="BW21" s="160"/>
      <c r="BX21" s="161"/>
      <c r="BY21" s="161"/>
      <c r="BZ21" s="161"/>
      <c r="CA21" s="160"/>
      <c r="CB21" s="160"/>
      <c r="CC21" s="160"/>
      <c r="CD21" s="160"/>
      <c r="CE21" s="160"/>
      <c r="CF21" s="160"/>
      <c r="CG21" s="160"/>
      <c r="CH21" s="160"/>
      <c r="CI21" s="160"/>
      <c r="CJ21" s="161"/>
      <c r="CK21" s="161"/>
      <c r="CL21" s="161"/>
      <c r="CM21" s="160"/>
      <c r="CN21" s="160"/>
      <c r="CO21" s="160"/>
      <c r="CP21" s="160"/>
      <c r="CQ21" s="160"/>
      <c r="CR21" s="160"/>
      <c r="CS21" s="160"/>
      <c r="CT21" s="160"/>
      <c r="CU21" s="160"/>
      <c r="CV21" s="161"/>
      <c r="CW21" s="161"/>
      <c r="CX21" s="161"/>
      <c r="CY21" s="161"/>
      <c r="CZ21" s="161"/>
      <c r="DA21" s="161"/>
      <c r="DB21" s="160"/>
      <c r="DC21" s="160"/>
      <c r="DD21" s="160"/>
      <c r="DE21" s="160"/>
      <c r="DF21" s="160"/>
      <c r="DG21" s="160"/>
      <c r="DH21" s="160"/>
      <c r="DI21" s="160"/>
      <c r="DJ21" s="160"/>
      <c r="DK21" s="161"/>
      <c r="DL21" s="161"/>
      <c r="DM21" s="161"/>
      <c r="DN21" s="161"/>
      <c r="DO21" s="161"/>
      <c r="DP21" s="161"/>
      <c r="DQ21" s="160"/>
      <c r="DR21" s="160"/>
      <c r="DS21" s="160"/>
    </row>
    <row r="22" spans="1:123">
      <c r="A22" s="128"/>
      <c r="B22" s="128"/>
      <c r="C22" s="148" t="s">
        <v>30</v>
      </c>
      <c r="D22" s="158"/>
      <c r="E22" s="158"/>
      <c r="F22" s="158"/>
      <c r="G22" s="158"/>
      <c r="H22" s="158"/>
      <c r="I22" s="158"/>
      <c r="J22" s="158">
        <v>2720</v>
      </c>
      <c r="K22" s="158"/>
      <c r="L22" s="158">
        <v>2720</v>
      </c>
      <c r="M22" s="158">
        <v>2720</v>
      </c>
      <c r="N22" s="158"/>
      <c r="O22" s="158">
        <v>2720</v>
      </c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  <c r="AH22" s="158"/>
      <c r="AI22" s="158"/>
      <c r="AJ22" s="158"/>
      <c r="AK22" s="158"/>
      <c r="AL22" s="158"/>
      <c r="AM22" s="158"/>
      <c r="AN22" s="158"/>
      <c r="AO22" s="158"/>
      <c r="AP22" s="158"/>
      <c r="AQ22" s="158"/>
      <c r="AR22" s="158"/>
      <c r="AS22" s="158"/>
      <c r="AT22" s="158"/>
      <c r="AU22" s="158"/>
      <c r="AV22" s="158"/>
      <c r="AW22" s="158"/>
      <c r="AX22" s="158"/>
      <c r="AY22" s="158"/>
      <c r="AZ22" s="159">
        <v>2720</v>
      </c>
      <c r="BA22" s="159"/>
      <c r="BB22" s="159">
        <v>2720</v>
      </c>
      <c r="BC22" s="159">
        <v>2720</v>
      </c>
      <c r="BD22" s="159"/>
      <c r="BE22" s="159">
        <v>2720</v>
      </c>
      <c r="BF22" s="160"/>
      <c r="BG22" s="160"/>
      <c r="BH22" s="160"/>
      <c r="BI22" s="160"/>
      <c r="BJ22" s="160"/>
      <c r="BK22" s="160"/>
      <c r="BL22" s="161"/>
      <c r="BM22" s="161"/>
      <c r="BN22" s="161"/>
      <c r="BO22" s="160"/>
      <c r="BP22" s="160"/>
      <c r="BQ22" s="160"/>
      <c r="BR22" s="160"/>
      <c r="BS22" s="160"/>
      <c r="BT22" s="160"/>
      <c r="BU22" s="160"/>
      <c r="BV22" s="160"/>
      <c r="BW22" s="160"/>
      <c r="BX22" s="161"/>
      <c r="BY22" s="161"/>
      <c r="BZ22" s="161"/>
      <c r="CA22" s="160">
        <v>2720</v>
      </c>
      <c r="CB22" s="160"/>
      <c r="CC22" s="160">
        <v>2720</v>
      </c>
      <c r="CD22" s="160"/>
      <c r="CE22" s="160"/>
      <c r="CF22" s="160"/>
      <c r="CG22" s="160"/>
      <c r="CH22" s="160"/>
      <c r="CI22" s="160"/>
      <c r="CJ22" s="161">
        <v>2720</v>
      </c>
      <c r="CK22" s="161"/>
      <c r="CL22" s="161">
        <v>2720</v>
      </c>
      <c r="CM22" s="160"/>
      <c r="CN22" s="160"/>
      <c r="CO22" s="160"/>
      <c r="CP22" s="160"/>
      <c r="CQ22" s="160"/>
      <c r="CR22" s="160"/>
      <c r="CS22" s="160"/>
      <c r="CT22" s="160"/>
      <c r="CU22" s="160"/>
      <c r="CV22" s="161"/>
      <c r="CW22" s="161"/>
      <c r="CX22" s="161"/>
      <c r="CY22" s="161">
        <v>2720</v>
      </c>
      <c r="CZ22" s="161"/>
      <c r="DA22" s="161">
        <v>2720</v>
      </c>
      <c r="DB22" s="160"/>
      <c r="DC22" s="160"/>
      <c r="DD22" s="160"/>
      <c r="DE22" s="160"/>
      <c r="DF22" s="160"/>
      <c r="DG22" s="160"/>
      <c r="DH22" s="160"/>
      <c r="DI22" s="160"/>
      <c r="DJ22" s="160"/>
      <c r="DK22" s="161"/>
      <c r="DL22" s="161"/>
      <c r="DM22" s="161"/>
      <c r="DN22" s="161"/>
      <c r="DO22" s="161"/>
      <c r="DP22" s="161"/>
      <c r="DQ22" s="160">
        <v>2720</v>
      </c>
      <c r="DR22" s="160"/>
      <c r="DS22" s="160">
        <v>2720</v>
      </c>
    </row>
    <row r="23" spans="1:123">
      <c r="A23" s="128"/>
      <c r="B23" s="128"/>
      <c r="C23" s="148" t="s">
        <v>32</v>
      </c>
      <c r="D23" s="158"/>
      <c r="E23" s="158"/>
      <c r="F23" s="158"/>
      <c r="G23" s="158"/>
      <c r="H23" s="158"/>
      <c r="I23" s="158"/>
      <c r="J23" s="158">
        <v>7000</v>
      </c>
      <c r="K23" s="158"/>
      <c r="L23" s="158">
        <v>7000</v>
      </c>
      <c r="M23" s="158">
        <v>7000</v>
      </c>
      <c r="N23" s="158"/>
      <c r="O23" s="158">
        <v>7000</v>
      </c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>
        <v>3000</v>
      </c>
      <c r="AC23" s="158"/>
      <c r="AD23" s="158">
        <v>3000</v>
      </c>
      <c r="AE23" s="158"/>
      <c r="AF23" s="158"/>
      <c r="AG23" s="158"/>
      <c r="AH23" s="158"/>
      <c r="AI23" s="158"/>
      <c r="AJ23" s="158"/>
      <c r="AK23" s="158">
        <v>3000</v>
      </c>
      <c r="AL23" s="158"/>
      <c r="AM23" s="158">
        <v>3000</v>
      </c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9">
        <v>10000</v>
      </c>
      <c r="BA23" s="159"/>
      <c r="BB23" s="159">
        <v>10000</v>
      </c>
      <c r="BC23" s="159">
        <v>10000</v>
      </c>
      <c r="BD23" s="159"/>
      <c r="BE23" s="159">
        <v>10000</v>
      </c>
      <c r="BF23" s="160"/>
      <c r="BG23" s="160"/>
      <c r="BH23" s="160"/>
      <c r="BI23" s="160"/>
      <c r="BJ23" s="160"/>
      <c r="BK23" s="160"/>
      <c r="BL23" s="161"/>
      <c r="BM23" s="161"/>
      <c r="BN23" s="161"/>
      <c r="BO23" s="160"/>
      <c r="BP23" s="160"/>
      <c r="BQ23" s="160"/>
      <c r="BR23" s="160"/>
      <c r="BS23" s="160"/>
      <c r="BT23" s="160"/>
      <c r="BU23" s="160"/>
      <c r="BV23" s="160"/>
      <c r="BW23" s="160"/>
      <c r="BX23" s="161"/>
      <c r="BY23" s="161"/>
      <c r="BZ23" s="161"/>
      <c r="CA23" s="160">
        <v>7000</v>
      </c>
      <c r="CB23" s="160"/>
      <c r="CC23" s="160">
        <v>7000</v>
      </c>
      <c r="CD23" s="160"/>
      <c r="CE23" s="160"/>
      <c r="CF23" s="160"/>
      <c r="CG23" s="160"/>
      <c r="CH23" s="160"/>
      <c r="CI23" s="160"/>
      <c r="CJ23" s="161">
        <v>7000</v>
      </c>
      <c r="CK23" s="161"/>
      <c r="CL23" s="161">
        <v>7000</v>
      </c>
      <c r="CM23" s="160"/>
      <c r="CN23" s="160"/>
      <c r="CO23" s="160"/>
      <c r="CP23" s="160">
        <v>3000</v>
      </c>
      <c r="CQ23" s="160"/>
      <c r="CR23" s="160">
        <v>3000</v>
      </c>
      <c r="CS23" s="160"/>
      <c r="CT23" s="160"/>
      <c r="CU23" s="160"/>
      <c r="CV23" s="161">
        <v>3000</v>
      </c>
      <c r="CW23" s="161"/>
      <c r="CX23" s="161">
        <v>3000</v>
      </c>
      <c r="CY23" s="161">
        <v>10000</v>
      </c>
      <c r="CZ23" s="161"/>
      <c r="DA23" s="161">
        <v>10000</v>
      </c>
      <c r="DB23" s="160"/>
      <c r="DC23" s="160"/>
      <c r="DD23" s="160"/>
      <c r="DE23" s="160"/>
      <c r="DF23" s="160"/>
      <c r="DG23" s="160"/>
      <c r="DH23" s="160"/>
      <c r="DI23" s="160"/>
      <c r="DJ23" s="160"/>
      <c r="DK23" s="161"/>
      <c r="DL23" s="161"/>
      <c r="DM23" s="161"/>
      <c r="DN23" s="161"/>
      <c r="DO23" s="161"/>
      <c r="DP23" s="161"/>
      <c r="DQ23" s="160">
        <v>10000</v>
      </c>
      <c r="DR23" s="160"/>
      <c r="DS23" s="160">
        <v>10000</v>
      </c>
    </row>
    <row r="24" spans="1:123">
      <c r="A24" s="128"/>
      <c r="B24" s="128" t="s">
        <v>350</v>
      </c>
      <c r="C24" s="14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  <c r="AF24" s="158"/>
      <c r="AG24" s="158"/>
      <c r="AH24" s="158"/>
      <c r="AI24" s="158"/>
      <c r="AJ24" s="158"/>
      <c r="AK24" s="158"/>
      <c r="AL24" s="158"/>
      <c r="AM24" s="158"/>
      <c r="AN24" s="158"/>
      <c r="AO24" s="158"/>
      <c r="AP24" s="158"/>
      <c r="AQ24" s="158"/>
      <c r="AR24" s="158"/>
      <c r="AS24" s="158"/>
      <c r="AT24" s="158"/>
      <c r="AU24" s="158"/>
      <c r="AV24" s="158"/>
      <c r="AW24" s="158"/>
      <c r="AX24" s="158"/>
      <c r="AY24" s="158"/>
      <c r="AZ24" s="159"/>
      <c r="BA24" s="159"/>
      <c r="BB24" s="159"/>
      <c r="BC24" s="159"/>
      <c r="BD24" s="159"/>
      <c r="BE24" s="159"/>
      <c r="BF24" s="160"/>
      <c r="BG24" s="160"/>
      <c r="BH24" s="160"/>
      <c r="BI24" s="160"/>
      <c r="BJ24" s="160"/>
      <c r="BK24" s="160"/>
      <c r="BL24" s="161"/>
      <c r="BM24" s="161"/>
      <c r="BN24" s="161"/>
      <c r="BO24" s="160"/>
      <c r="BP24" s="160"/>
      <c r="BQ24" s="160"/>
      <c r="BR24" s="160"/>
      <c r="BS24" s="160"/>
      <c r="BT24" s="160"/>
      <c r="BU24" s="160"/>
      <c r="BV24" s="160"/>
      <c r="BW24" s="160"/>
      <c r="BX24" s="161"/>
      <c r="BY24" s="161"/>
      <c r="BZ24" s="161"/>
      <c r="CA24" s="160"/>
      <c r="CB24" s="160"/>
      <c r="CC24" s="160"/>
      <c r="CD24" s="160"/>
      <c r="CE24" s="160"/>
      <c r="CF24" s="160"/>
      <c r="CG24" s="160"/>
      <c r="CH24" s="160"/>
      <c r="CI24" s="160"/>
      <c r="CJ24" s="161"/>
      <c r="CK24" s="161"/>
      <c r="CL24" s="161"/>
      <c r="CM24" s="160"/>
      <c r="CN24" s="160"/>
      <c r="CO24" s="160"/>
      <c r="CP24" s="160"/>
      <c r="CQ24" s="160"/>
      <c r="CR24" s="160"/>
      <c r="CS24" s="160"/>
      <c r="CT24" s="160"/>
      <c r="CU24" s="160"/>
      <c r="CV24" s="161"/>
      <c r="CW24" s="161"/>
      <c r="CX24" s="161"/>
      <c r="CY24" s="161"/>
      <c r="CZ24" s="161"/>
      <c r="DA24" s="161"/>
      <c r="DB24" s="160"/>
      <c r="DC24" s="160"/>
      <c r="DD24" s="160"/>
      <c r="DE24" s="160"/>
      <c r="DF24" s="160"/>
      <c r="DG24" s="160"/>
      <c r="DH24" s="160"/>
      <c r="DI24" s="160"/>
      <c r="DJ24" s="160"/>
      <c r="DK24" s="161"/>
      <c r="DL24" s="161"/>
      <c r="DM24" s="161"/>
      <c r="DN24" s="161"/>
      <c r="DO24" s="161"/>
      <c r="DP24" s="161"/>
      <c r="DQ24" s="160"/>
      <c r="DR24" s="160"/>
      <c r="DS24" s="160"/>
    </row>
    <row r="25" spans="1:123">
      <c r="A25" s="128"/>
      <c r="B25" s="128"/>
      <c r="C25" s="148" t="s">
        <v>34</v>
      </c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>
        <v>324000</v>
      </c>
      <c r="Q25" s="158"/>
      <c r="R25" s="158">
        <v>324000</v>
      </c>
      <c r="S25" s="158"/>
      <c r="T25" s="158"/>
      <c r="U25" s="158"/>
      <c r="V25" s="158"/>
      <c r="W25" s="158"/>
      <c r="X25" s="158"/>
      <c r="Y25" s="158">
        <v>324000</v>
      </c>
      <c r="Z25" s="158"/>
      <c r="AA25" s="158">
        <v>324000</v>
      </c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  <c r="AL25" s="158"/>
      <c r="AM25" s="158"/>
      <c r="AN25" s="158"/>
      <c r="AO25" s="158"/>
      <c r="AP25" s="158"/>
      <c r="AQ25" s="158"/>
      <c r="AR25" s="158"/>
      <c r="AS25" s="158"/>
      <c r="AT25" s="158"/>
      <c r="AU25" s="158"/>
      <c r="AV25" s="158"/>
      <c r="AW25" s="158"/>
      <c r="AX25" s="158"/>
      <c r="AY25" s="158"/>
      <c r="AZ25" s="159">
        <v>324000</v>
      </c>
      <c r="BA25" s="159"/>
      <c r="BB25" s="159">
        <v>324000</v>
      </c>
      <c r="BC25" s="159">
        <v>324000</v>
      </c>
      <c r="BD25" s="159"/>
      <c r="BE25" s="159">
        <v>324000</v>
      </c>
      <c r="BF25" s="160"/>
      <c r="BG25" s="160"/>
      <c r="BH25" s="160"/>
      <c r="BI25" s="160"/>
      <c r="BJ25" s="160"/>
      <c r="BK25" s="160"/>
      <c r="BL25" s="161"/>
      <c r="BM25" s="161"/>
      <c r="BN25" s="161"/>
      <c r="BO25" s="160"/>
      <c r="BP25" s="160"/>
      <c r="BQ25" s="160"/>
      <c r="BR25" s="160"/>
      <c r="BS25" s="160"/>
      <c r="BT25" s="160"/>
      <c r="BU25" s="160"/>
      <c r="BV25" s="160"/>
      <c r="BW25" s="160"/>
      <c r="BX25" s="161"/>
      <c r="BY25" s="161"/>
      <c r="BZ25" s="161"/>
      <c r="CA25" s="160"/>
      <c r="CB25" s="160"/>
      <c r="CC25" s="160"/>
      <c r="CD25" s="160">
        <v>324000</v>
      </c>
      <c r="CE25" s="160"/>
      <c r="CF25" s="160">
        <v>324000</v>
      </c>
      <c r="CG25" s="160"/>
      <c r="CH25" s="160"/>
      <c r="CI25" s="160"/>
      <c r="CJ25" s="161">
        <v>324000</v>
      </c>
      <c r="CK25" s="161"/>
      <c r="CL25" s="161">
        <v>324000</v>
      </c>
      <c r="CM25" s="160"/>
      <c r="CN25" s="160"/>
      <c r="CO25" s="160"/>
      <c r="CP25" s="160"/>
      <c r="CQ25" s="160"/>
      <c r="CR25" s="160"/>
      <c r="CS25" s="160"/>
      <c r="CT25" s="160"/>
      <c r="CU25" s="160"/>
      <c r="CV25" s="161"/>
      <c r="CW25" s="161"/>
      <c r="CX25" s="161"/>
      <c r="CY25" s="161">
        <v>324000</v>
      </c>
      <c r="CZ25" s="161"/>
      <c r="DA25" s="161">
        <v>324000</v>
      </c>
      <c r="DB25" s="160"/>
      <c r="DC25" s="160"/>
      <c r="DD25" s="160"/>
      <c r="DE25" s="160"/>
      <c r="DF25" s="160"/>
      <c r="DG25" s="160"/>
      <c r="DH25" s="160"/>
      <c r="DI25" s="160"/>
      <c r="DJ25" s="160"/>
      <c r="DK25" s="161"/>
      <c r="DL25" s="161"/>
      <c r="DM25" s="161"/>
      <c r="DN25" s="161"/>
      <c r="DO25" s="161"/>
      <c r="DP25" s="161"/>
      <c r="DQ25" s="160">
        <v>324000</v>
      </c>
      <c r="DR25" s="160"/>
      <c r="DS25" s="160">
        <v>324000</v>
      </c>
    </row>
    <row r="26" ht="31.5" spans="1:123">
      <c r="A26" s="128"/>
      <c r="B26" s="128"/>
      <c r="C26" s="148" t="s">
        <v>36</v>
      </c>
      <c r="D26" s="158"/>
      <c r="E26" s="158"/>
      <c r="F26" s="158"/>
      <c r="G26" s="158"/>
      <c r="H26" s="158"/>
      <c r="I26" s="158"/>
      <c r="J26" s="158">
        <v>86400</v>
      </c>
      <c r="K26" s="158"/>
      <c r="L26" s="158">
        <v>86400</v>
      </c>
      <c r="M26" s="158">
        <v>86400</v>
      </c>
      <c r="N26" s="158"/>
      <c r="O26" s="158">
        <v>86400</v>
      </c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58">
        <v>35100</v>
      </c>
      <c r="AC26" s="158"/>
      <c r="AD26" s="158">
        <v>35100</v>
      </c>
      <c r="AE26" s="158"/>
      <c r="AF26" s="158"/>
      <c r="AG26" s="158"/>
      <c r="AH26" s="158"/>
      <c r="AI26" s="158"/>
      <c r="AJ26" s="158"/>
      <c r="AK26" s="158">
        <v>35100</v>
      </c>
      <c r="AL26" s="158"/>
      <c r="AM26" s="158">
        <v>35100</v>
      </c>
      <c r="AN26" s="158"/>
      <c r="AO26" s="158"/>
      <c r="AP26" s="158"/>
      <c r="AQ26" s="158"/>
      <c r="AR26" s="158"/>
      <c r="AS26" s="158"/>
      <c r="AT26" s="158"/>
      <c r="AU26" s="158"/>
      <c r="AV26" s="158"/>
      <c r="AW26" s="158"/>
      <c r="AX26" s="158"/>
      <c r="AY26" s="158"/>
      <c r="AZ26" s="159">
        <v>121500</v>
      </c>
      <c r="BA26" s="159"/>
      <c r="BB26" s="159">
        <v>121500</v>
      </c>
      <c r="BC26" s="159">
        <v>121500</v>
      </c>
      <c r="BD26" s="159"/>
      <c r="BE26" s="159">
        <v>121500</v>
      </c>
      <c r="BF26" s="160"/>
      <c r="BG26" s="160"/>
      <c r="BH26" s="160"/>
      <c r="BI26" s="160"/>
      <c r="BJ26" s="160"/>
      <c r="BK26" s="160"/>
      <c r="BL26" s="161"/>
      <c r="BM26" s="161"/>
      <c r="BN26" s="161"/>
      <c r="BO26" s="160"/>
      <c r="BP26" s="160"/>
      <c r="BQ26" s="160"/>
      <c r="BR26" s="160"/>
      <c r="BS26" s="160"/>
      <c r="BT26" s="160"/>
      <c r="BU26" s="160"/>
      <c r="BV26" s="160"/>
      <c r="BW26" s="160"/>
      <c r="BX26" s="161"/>
      <c r="BY26" s="161"/>
      <c r="BZ26" s="161"/>
      <c r="CA26" s="160">
        <v>86400</v>
      </c>
      <c r="CB26" s="160"/>
      <c r="CC26" s="160">
        <v>86400</v>
      </c>
      <c r="CD26" s="160"/>
      <c r="CE26" s="160"/>
      <c r="CF26" s="160"/>
      <c r="CG26" s="160"/>
      <c r="CH26" s="160"/>
      <c r="CI26" s="160"/>
      <c r="CJ26" s="161">
        <v>86400</v>
      </c>
      <c r="CK26" s="161"/>
      <c r="CL26" s="161">
        <v>86400</v>
      </c>
      <c r="CM26" s="160"/>
      <c r="CN26" s="160"/>
      <c r="CO26" s="160"/>
      <c r="CP26" s="160">
        <v>35100</v>
      </c>
      <c r="CQ26" s="160"/>
      <c r="CR26" s="160">
        <v>35100</v>
      </c>
      <c r="CS26" s="160"/>
      <c r="CT26" s="160"/>
      <c r="CU26" s="160"/>
      <c r="CV26" s="161">
        <v>35100</v>
      </c>
      <c r="CW26" s="161"/>
      <c r="CX26" s="161">
        <v>35100</v>
      </c>
      <c r="CY26" s="161">
        <v>121500</v>
      </c>
      <c r="CZ26" s="161"/>
      <c r="DA26" s="161">
        <v>121500</v>
      </c>
      <c r="DB26" s="160"/>
      <c r="DC26" s="160"/>
      <c r="DD26" s="160"/>
      <c r="DE26" s="160"/>
      <c r="DF26" s="160"/>
      <c r="DG26" s="160"/>
      <c r="DH26" s="160"/>
      <c r="DI26" s="160"/>
      <c r="DJ26" s="160"/>
      <c r="DK26" s="161"/>
      <c r="DL26" s="161"/>
      <c r="DM26" s="161"/>
      <c r="DN26" s="161"/>
      <c r="DO26" s="161"/>
      <c r="DP26" s="161"/>
      <c r="DQ26" s="160">
        <v>121500</v>
      </c>
      <c r="DR26" s="160"/>
      <c r="DS26" s="160">
        <v>121500</v>
      </c>
    </row>
    <row r="27" spans="1:123">
      <c r="A27" s="128"/>
      <c r="B27" s="128" t="s">
        <v>351</v>
      </c>
      <c r="C27" s="148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 s="158"/>
      <c r="AS27" s="158"/>
      <c r="AT27" s="158"/>
      <c r="AU27" s="158"/>
      <c r="AV27" s="158"/>
      <c r="AW27" s="158"/>
      <c r="AX27" s="158"/>
      <c r="AY27" s="158"/>
      <c r="AZ27" s="159"/>
      <c r="BA27" s="159"/>
      <c r="BB27" s="159"/>
      <c r="BC27" s="159"/>
      <c r="BD27" s="159"/>
      <c r="BE27" s="159"/>
      <c r="BF27" s="160"/>
      <c r="BG27" s="160"/>
      <c r="BH27" s="160"/>
      <c r="BI27" s="160"/>
      <c r="BJ27" s="160"/>
      <c r="BK27" s="160"/>
      <c r="BL27" s="161"/>
      <c r="BM27" s="161"/>
      <c r="BN27" s="161"/>
      <c r="BO27" s="160"/>
      <c r="BP27" s="160"/>
      <c r="BQ27" s="160"/>
      <c r="BR27" s="160"/>
      <c r="BS27" s="160"/>
      <c r="BT27" s="160"/>
      <c r="BU27" s="160"/>
      <c r="BV27" s="160"/>
      <c r="BW27" s="160"/>
      <c r="BX27" s="161"/>
      <c r="BY27" s="161"/>
      <c r="BZ27" s="161"/>
      <c r="CA27" s="160"/>
      <c r="CB27" s="160"/>
      <c r="CC27" s="160"/>
      <c r="CD27" s="160"/>
      <c r="CE27" s="160"/>
      <c r="CF27" s="160"/>
      <c r="CG27" s="160"/>
      <c r="CH27" s="160"/>
      <c r="CI27" s="160"/>
      <c r="CJ27" s="161"/>
      <c r="CK27" s="161"/>
      <c r="CL27" s="161"/>
      <c r="CM27" s="160"/>
      <c r="CN27" s="160"/>
      <c r="CO27" s="160"/>
      <c r="CP27" s="160"/>
      <c r="CQ27" s="160"/>
      <c r="CR27" s="160"/>
      <c r="CS27" s="160"/>
      <c r="CT27" s="160"/>
      <c r="CU27" s="160"/>
      <c r="CV27" s="161"/>
      <c r="CW27" s="161"/>
      <c r="CX27" s="161"/>
      <c r="CY27" s="161"/>
      <c r="CZ27" s="161"/>
      <c r="DA27" s="161"/>
      <c r="DB27" s="160"/>
      <c r="DC27" s="160"/>
      <c r="DD27" s="160"/>
      <c r="DE27" s="160"/>
      <c r="DF27" s="160"/>
      <c r="DG27" s="160"/>
      <c r="DH27" s="160"/>
      <c r="DI27" s="160"/>
      <c r="DJ27" s="160"/>
      <c r="DK27" s="161"/>
      <c r="DL27" s="161"/>
      <c r="DM27" s="161"/>
      <c r="DN27" s="161"/>
      <c r="DO27" s="161"/>
      <c r="DP27" s="161"/>
      <c r="DQ27" s="160"/>
      <c r="DR27" s="160"/>
      <c r="DS27" s="160"/>
    </row>
    <row r="28" ht="31.5" spans="1:123">
      <c r="A28" s="128"/>
      <c r="B28" s="128"/>
      <c r="C28" s="148" t="s">
        <v>86</v>
      </c>
      <c r="D28" s="158"/>
      <c r="E28" s="158"/>
      <c r="F28" s="158"/>
      <c r="G28" s="158"/>
      <c r="H28" s="158"/>
      <c r="I28" s="158"/>
      <c r="J28" s="158">
        <v>6000</v>
      </c>
      <c r="K28" s="158"/>
      <c r="L28" s="158">
        <v>6000</v>
      </c>
      <c r="M28" s="158">
        <v>6000</v>
      </c>
      <c r="N28" s="158"/>
      <c r="O28" s="158">
        <v>6000</v>
      </c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 s="158"/>
      <c r="AS28" s="158"/>
      <c r="AT28" s="158"/>
      <c r="AU28" s="158"/>
      <c r="AV28" s="158"/>
      <c r="AW28" s="158"/>
      <c r="AX28" s="158"/>
      <c r="AY28" s="158"/>
      <c r="AZ28" s="159">
        <v>6000</v>
      </c>
      <c r="BA28" s="159"/>
      <c r="BB28" s="159">
        <v>6000</v>
      </c>
      <c r="BC28" s="159">
        <v>6000</v>
      </c>
      <c r="BD28" s="159"/>
      <c r="BE28" s="159">
        <v>6000</v>
      </c>
      <c r="BF28" s="160"/>
      <c r="BG28" s="160"/>
      <c r="BH28" s="160"/>
      <c r="BI28" s="160"/>
      <c r="BJ28" s="160"/>
      <c r="BK28" s="160"/>
      <c r="BL28" s="161"/>
      <c r="BM28" s="161"/>
      <c r="BN28" s="161"/>
      <c r="BO28" s="160"/>
      <c r="BP28" s="160"/>
      <c r="BQ28" s="160"/>
      <c r="BR28" s="160"/>
      <c r="BS28" s="160"/>
      <c r="BT28" s="160"/>
      <c r="BU28" s="160">
        <v>6000</v>
      </c>
      <c r="BV28" s="160"/>
      <c r="BW28" s="160">
        <v>6000</v>
      </c>
      <c r="BX28" s="161">
        <v>6000</v>
      </c>
      <c r="BY28" s="161"/>
      <c r="BZ28" s="161">
        <v>6000</v>
      </c>
      <c r="CA28" s="160"/>
      <c r="CB28" s="160"/>
      <c r="CC28" s="160"/>
      <c r="CD28" s="160"/>
      <c r="CE28" s="160"/>
      <c r="CF28" s="160"/>
      <c r="CG28" s="160"/>
      <c r="CH28" s="160"/>
      <c r="CI28" s="160"/>
      <c r="CJ28" s="161"/>
      <c r="CK28" s="161"/>
      <c r="CL28" s="161"/>
      <c r="CM28" s="160"/>
      <c r="CN28" s="160"/>
      <c r="CO28" s="160"/>
      <c r="CP28" s="160"/>
      <c r="CQ28" s="160"/>
      <c r="CR28" s="160"/>
      <c r="CS28" s="160"/>
      <c r="CT28" s="160"/>
      <c r="CU28" s="160"/>
      <c r="CV28" s="161"/>
      <c r="CW28" s="161"/>
      <c r="CX28" s="161"/>
      <c r="CY28" s="161">
        <v>6000</v>
      </c>
      <c r="CZ28" s="161"/>
      <c r="DA28" s="161">
        <v>6000</v>
      </c>
      <c r="DB28" s="160"/>
      <c r="DC28" s="160"/>
      <c r="DD28" s="160"/>
      <c r="DE28" s="160"/>
      <c r="DF28" s="160"/>
      <c r="DG28" s="160"/>
      <c r="DH28" s="160"/>
      <c r="DI28" s="160"/>
      <c r="DJ28" s="160"/>
      <c r="DK28" s="161"/>
      <c r="DL28" s="161"/>
      <c r="DM28" s="161"/>
      <c r="DN28" s="161"/>
      <c r="DO28" s="161"/>
      <c r="DP28" s="161"/>
      <c r="DQ28" s="160">
        <v>6000</v>
      </c>
      <c r="DR28" s="160"/>
      <c r="DS28" s="160">
        <v>6000</v>
      </c>
    </row>
    <row r="29" ht="31.5" spans="1:123">
      <c r="A29" s="128"/>
      <c r="B29" s="128"/>
      <c r="C29" s="148" t="s">
        <v>88</v>
      </c>
      <c r="D29" s="158"/>
      <c r="E29" s="158"/>
      <c r="F29" s="158"/>
      <c r="G29" s="158"/>
      <c r="H29" s="158"/>
      <c r="I29" s="158"/>
      <c r="J29" s="158">
        <v>1500</v>
      </c>
      <c r="K29" s="158"/>
      <c r="L29" s="158">
        <v>1500</v>
      </c>
      <c r="M29" s="158">
        <v>1500</v>
      </c>
      <c r="N29" s="158"/>
      <c r="O29" s="158">
        <v>1500</v>
      </c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8"/>
      <c r="AX29" s="158"/>
      <c r="AY29" s="158"/>
      <c r="AZ29" s="159">
        <v>1500</v>
      </c>
      <c r="BA29" s="159"/>
      <c r="BB29" s="159">
        <v>1500</v>
      </c>
      <c r="BC29" s="159">
        <v>1500</v>
      </c>
      <c r="BD29" s="159"/>
      <c r="BE29" s="159">
        <v>1500</v>
      </c>
      <c r="BF29" s="160"/>
      <c r="BG29" s="160"/>
      <c r="BH29" s="160"/>
      <c r="BI29" s="160"/>
      <c r="BJ29" s="160"/>
      <c r="BK29" s="160"/>
      <c r="BL29" s="161"/>
      <c r="BM29" s="161"/>
      <c r="BN29" s="161"/>
      <c r="BO29" s="160"/>
      <c r="BP29" s="160"/>
      <c r="BQ29" s="160"/>
      <c r="BR29" s="160"/>
      <c r="BS29" s="160"/>
      <c r="BT29" s="160"/>
      <c r="BU29" s="160">
        <v>1500</v>
      </c>
      <c r="BV29" s="160"/>
      <c r="BW29" s="160">
        <v>1500</v>
      </c>
      <c r="BX29" s="161">
        <v>1500</v>
      </c>
      <c r="BY29" s="161"/>
      <c r="BZ29" s="161">
        <v>1500</v>
      </c>
      <c r="CA29" s="160"/>
      <c r="CB29" s="160"/>
      <c r="CC29" s="160"/>
      <c r="CD29" s="160"/>
      <c r="CE29" s="160"/>
      <c r="CF29" s="160"/>
      <c r="CG29" s="160"/>
      <c r="CH29" s="160"/>
      <c r="CI29" s="160"/>
      <c r="CJ29" s="161"/>
      <c r="CK29" s="161"/>
      <c r="CL29" s="161"/>
      <c r="CM29" s="160"/>
      <c r="CN29" s="160"/>
      <c r="CO29" s="160"/>
      <c r="CP29" s="160"/>
      <c r="CQ29" s="160"/>
      <c r="CR29" s="160"/>
      <c r="CS29" s="160"/>
      <c r="CT29" s="160"/>
      <c r="CU29" s="160"/>
      <c r="CV29" s="161"/>
      <c r="CW29" s="161"/>
      <c r="CX29" s="161"/>
      <c r="CY29" s="161">
        <v>1500</v>
      </c>
      <c r="CZ29" s="161"/>
      <c r="DA29" s="161">
        <v>1500</v>
      </c>
      <c r="DB29" s="160"/>
      <c r="DC29" s="160"/>
      <c r="DD29" s="160"/>
      <c r="DE29" s="160"/>
      <c r="DF29" s="160"/>
      <c r="DG29" s="160"/>
      <c r="DH29" s="160"/>
      <c r="DI29" s="160"/>
      <c r="DJ29" s="160"/>
      <c r="DK29" s="161"/>
      <c r="DL29" s="161"/>
      <c r="DM29" s="161"/>
      <c r="DN29" s="161"/>
      <c r="DO29" s="161"/>
      <c r="DP29" s="161"/>
      <c r="DQ29" s="160">
        <v>1500</v>
      </c>
      <c r="DR29" s="160"/>
      <c r="DS29" s="160">
        <v>1500</v>
      </c>
    </row>
    <row r="30" ht="31.5" spans="1:123">
      <c r="A30" s="128"/>
      <c r="B30" s="128"/>
      <c r="C30" s="148" t="s">
        <v>90</v>
      </c>
      <c r="D30" s="158"/>
      <c r="E30" s="158"/>
      <c r="F30" s="158"/>
      <c r="G30" s="158"/>
      <c r="H30" s="158"/>
      <c r="I30" s="158"/>
      <c r="J30" s="158">
        <v>2750</v>
      </c>
      <c r="K30" s="158"/>
      <c r="L30" s="158">
        <v>2750</v>
      </c>
      <c r="M30" s="158">
        <v>2750</v>
      </c>
      <c r="N30" s="158"/>
      <c r="O30" s="158">
        <v>2750</v>
      </c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 s="158"/>
      <c r="AS30" s="158"/>
      <c r="AT30" s="158"/>
      <c r="AU30" s="158"/>
      <c r="AV30" s="158"/>
      <c r="AW30" s="158"/>
      <c r="AX30" s="158"/>
      <c r="AY30" s="158"/>
      <c r="AZ30" s="159">
        <v>2750</v>
      </c>
      <c r="BA30" s="159"/>
      <c r="BB30" s="159">
        <v>2750</v>
      </c>
      <c r="BC30" s="159">
        <v>2750</v>
      </c>
      <c r="BD30" s="159"/>
      <c r="BE30" s="159">
        <v>2750</v>
      </c>
      <c r="BF30" s="160"/>
      <c r="BG30" s="160"/>
      <c r="BH30" s="160"/>
      <c r="BI30" s="160"/>
      <c r="BJ30" s="160"/>
      <c r="BK30" s="160"/>
      <c r="BL30" s="161"/>
      <c r="BM30" s="161"/>
      <c r="BN30" s="161"/>
      <c r="BO30" s="160"/>
      <c r="BP30" s="160"/>
      <c r="BQ30" s="160"/>
      <c r="BR30" s="160"/>
      <c r="BS30" s="160"/>
      <c r="BT30" s="160"/>
      <c r="BU30" s="160">
        <v>2750</v>
      </c>
      <c r="BV30" s="160"/>
      <c r="BW30" s="160">
        <v>2750</v>
      </c>
      <c r="BX30" s="161">
        <v>2750</v>
      </c>
      <c r="BY30" s="161"/>
      <c r="BZ30" s="161">
        <v>2750</v>
      </c>
      <c r="CA30" s="160"/>
      <c r="CB30" s="160"/>
      <c r="CC30" s="160"/>
      <c r="CD30" s="160"/>
      <c r="CE30" s="160"/>
      <c r="CF30" s="160"/>
      <c r="CG30" s="160"/>
      <c r="CH30" s="160"/>
      <c r="CI30" s="160"/>
      <c r="CJ30" s="161"/>
      <c r="CK30" s="161"/>
      <c r="CL30" s="161"/>
      <c r="CM30" s="160"/>
      <c r="CN30" s="160"/>
      <c r="CO30" s="160"/>
      <c r="CP30" s="160"/>
      <c r="CQ30" s="160"/>
      <c r="CR30" s="160"/>
      <c r="CS30" s="160"/>
      <c r="CT30" s="160"/>
      <c r="CU30" s="160"/>
      <c r="CV30" s="161"/>
      <c r="CW30" s="161"/>
      <c r="CX30" s="161"/>
      <c r="CY30" s="161">
        <v>2750</v>
      </c>
      <c r="CZ30" s="161"/>
      <c r="DA30" s="161">
        <v>2750</v>
      </c>
      <c r="DB30" s="160"/>
      <c r="DC30" s="160"/>
      <c r="DD30" s="160"/>
      <c r="DE30" s="160"/>
      <c r="DF30" s="160"/>
      <c r="DG30" s="160"/>
      <c r="DH30" s="160"/>
      <c r="DI30" s="160"/>
      <c r="DJ30" s="160"/>
      <c r="DK30" s="161"/>
      <c r="DL30" s="161"/>
      <c r="DM30" s="161"/>
      <c r="DN30" s="161"/>
      <c r="DO30" s="161"/>
      <c r="DP30" s="161"/>
      <c r="DQ30" s="160">
        <v>2750</v>
      </c>
      <c r="DR30" s="160"/>
      <c r="DS30" s="160">
        <v>2750</v>
      </c>
    </row>
    <row r="31" ht="31.5" spans="1:123">
      <c r="A31" s="128"/>
      <c r="B31" s="128"/>
      <c r="C31" s="148" t="s">
        <v>92</v>
      </c>
      <c r="D31" s="158"/>
      <c r="E31" s="158"/>
      <c r="F31" s="158"/>
      <c r="G31" s="158"/>
      <c r="H31" s="158"/>
      <c r="I31" s="158"/>
      <c r="J31" s="158">
        <v>4000</v>
      </c>
      <c r="K31" s="158"/>
      <c r="L31" s="158">
        <v>4000</v>
      </c>
      <c r="M31" s="158">
        <v>4000</v>
      </c>
      <c r="N31" s="158"/>
      <c r="O31" s="158">
        <v>4000</v>
      </c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 s="158"/>
      <c r="AU31" s="158"/>
      <c r="AV31" s="158"/>
      <c r="AW31" s="158"/>
      <c r="AX31" s="158"/>
      <c r="AY31" s="158"/>
      <c r="AZ31" s="159">
        <v>4000</v>
      </c>
      <c r="BA31" s="159"/>
      <c r="BB31" s="159">
        <v>4000</v>
      </c>
      <c r="BC31" s="159">
        <v>4000</v>
      </c>
      <c r="BD31" s="159"/>
      <c r="BE31" s="159">
        <v>4000</v>
      </c>
      <c r="BF31" s="160"/>
      <c r="BG31" s="160"/>
      <c r="BH31" s="160"/>
      <c r="BI31" s="160"/>
      <c r="BJ31" s="160"/>
      <c r="BK31" s="160"/>
      <c r="BL31" s="161"/>
      <c r="BM31" s="161"/>
      <c r="BN31" s="161"/>
      <c r="BO31" s="160"/>
      <c r="BP31" s="160"/>
      <c r="BQ31" s="160"/>
      <c r="BR31" s="160"/>
      <c r="BS31" s="160"/>
      <c r="BT31" s="160"/>
      <c r="BU31" s="160"/>
      <c r="BV31" s="160"/>
      <c r="BW31" s="160"/>
      <c r="BX31" s="161"/>
      <c r="BY31" s="161"/>
      <c r="BZ31" s="161"/>
      <c r="CA31" s="160">
        <v>4000</v>
      </c>
      <c r="CB31" s="160"/>
      <c r="CC31" s="160">
        <v>4000</v>
      </c>
      <c r="CD31" s="160"/>
      <c r="CE31" s="160"/>
      <c r="CF31" s="160"/>
      <c r="CG31" s="160"/>
      <c r="CH31" s="160"/>
      <c r="CI31" s="160"/>
      <c r="CJ31" s="161">
        <v>4000</v>
      </c>
      <c r="CK31" s="161"/>
      <c r="CL31" s="161">
        <v>4000</v>
      </c>
      <c r="CM31" s="160"/>
      <c r="CN31" s="160"/>
      <c r="CO31" s="160"/>
      <c r="CP31" s="160"/>
      <c r="CQ31" s="160"/>
      <c r="CR31" s="160"/>
      <c r="CS31" s="160"/>
      <c r="CT31" s="160"/>
      <c r="CU31" s="160"/>
      <c r="CV31" s="161"/>
      <c r="CW31" s="161"/>
      <c r="CX31" s="161"/>
      <c r="CY31" s="161">
        <v>4000</v>
      </c>
      <c r="CZ31" s="161"/>
      <c r="DA31" s="161">
        <v>4000</v>
      </c>
      <c r="DB31" s="160"/>
      <c r="DC31" s="160"/>
      <c r="DD31" s="160"/>
      <c r="DE31" s="160"/>
      <c r="DF31" s="160"/>
      <c r="DG31" s="160"/>
      <c r="DH31" s="160"/>
      <c r="DI31" s="160"/>
      <c r="DJ31" s="160"/>
      <c r="DK31" s="161"/>
      <c r="DL31" s="161"/>
      <c r="DM31" s="161"/>
      <c r="DN31" s="161"/>
      <c r="DO31" s="161"/>
      <c r="DP31" s="161"/>
      <c r="DQ31" s="160">
        <v>4000</v>
      </c>
      <c r="DR31" s="160"/>
      <c r="DS31" s="160">
        <v>4000</v>
      </c>
    </row>
    <row r="32" spans="1:123">
      <c r="A32" s="128"/>
      <c r="B32" s="128" t="s">
        <v>352</v>
      </c>
      <c r="C32" s="14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 s="158"/>
      <c r="AU32" s="158"/>
      <c r="AV32" s="158"/>
      <c r="AW32" s="158"/>
      <c r="AX32" s="158"/>
      <c r="AY32" s="158"/>
      <c r="AZ32" s="159"/>
      <c r="BA32" s="159"/>
      <c r="BB32" s="159"/>
      <c r="BC32" s="159"/>
      <c r="BD32" s="159"/>
      <c r="BE32" s="159"/>
      <c r="BF32" s="160"/>
      <c r="BG32" s="160"/>
      <c r="BH32" s="160"/>
      <c r="BI32" s="160"/>
      <c r="BJ32" s="160"/>
      <c r="BK32" s="160"/>
      <c r="BL32" s="161"/>
      <c r="BM32" s="161"/>
      <c r="BN32" s="161"/>
      <c r="BO32" s="160"/>
      <c r="BP32" s="160"/>
      <c r="BQ32" s="160"/>
      <c r="BR32" s="160"/>
      <c r="BS32" s="160"/>
      <c r="BT32" s="160"/>
      <c r="BU32" s="160"/>
      <c r="BV32" s="160"/>
      <c r="BW32" s="160"/>
      <c r="BX32" s="161"/>
      <c r="BY32" s="161"/>
      <c r="BZ32" s="161"/>
      <c r="CA32" s="160"/>
      <c r="CB32" s="160"/>
      <c r="CC32" s="160"/>
      <c r="CD32" s="160"/>
      <c r="CE32" s="160"/>
      <c r="CF32" s="160"/>
      <c r="CG32" s="160"/>
      <c r="CH32" s="160"/>
      <c r="CI32" s="160"/>
      <c r="CJ32" s="161"/>
      <c r="CK32" s="161"/>
      <c r="CL32" s="161"/>
      <c r="CM32" s="160"/>
      <c r="CN32" s="160"/>
      <c r="CO32" s="160"/>
      <c r="CP32" s="160"/>
      <c r="CQ32" s="160"/>
      <c r="CR32" s="160"/>
      <c r="CS32" s="160"/>
      <c r="CT32" s="160"/>
      <c r="CU32" s="160"/>
      <c r="CV32" s="161"/>
      <c r="CW32" s="161"/>
      <c r="CX32" s="161"/>
      <c r="CY32" s="161"/>
      <c r="CZ32" s="161"/>
      <c r="DA32" s="161"/>
      <c r="DB32" s="160"/>
      <c r="DC32" s="160"/>
      <c r="DD32" s="160"/>
      <c r="DE32" s="160"/>
      <c r="DF32" s="160"/>
      <c r="DG32" s="160"/>
      <c r="DH32" s="160"/>
      <c r="DI32" s="160"/>
      <c r="DJ32" s="160"/>
      <c r="DK32" s="161"/>
      <c r="DL32" s="161"/>
      <c r="DM32" s="161"/>
      <c r="DN32" s="161"/>
      <c r="DO32" s="161"/>
      <c r="DP32" s="161"/>
      <c r="DQ32" s="160"/>
      <c r="DR32" s="160"/>
      <c r="DS32" s="160"/>
    </row>
    <row r="33" spans="1:123">
      <c r="A33" s="128"/>
      <c r="B33" s="128"/>
      <c r="C33" s="148" t="s">
        <v>38</v>
      </c>
      <c r="D33" s="158"/>
      <c r="E33" s="158"/>
      <c r="F33" s="158"/>
      <c r="G33" s="158"/>
      <c r="H33" s="158"/>
      <c r="I33" s="158"/>
      <c r="J33" s="158">
        <v>975</v>
      </c>
      <c r="K33" s="158"/>
      <c r="L33" s="158">
        <v>975</v>
      </c>
      <c r="M33" s="158">
        <v>975</v>
      </c>
      <c r="N33" s="158"/>
      <c r="O33" s="158">
        <v>975</v>
      </c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/>
      <c r="AV33" s="158"/>
      <c r="AW33" s="158"/>
      <c r="AX33" s="158"/>
      <c r="AY33" s="158"/>
      <c r="AZ33" s="159">
        <v>975</v>
      </c>
      <c r="BA33" s="159"/>
      <c r="BB33" s="159">
        <v>975</v>
      </c>
      <c r="BC33" s="159">
        <v>975</v>
      </c>
      <c r="BD33" s="159"/>
      <c r="BE33" s="159">
        <v>975</v>
      </c>
      <c r="BF33" s="160"/>
      <c r="BG33" s="160"/>
      <c r="BH33" s="160"/>
      <c r="BI33" s="160"/>
      <c r="BJ33" s="160"/>
      <c r="BK33" s="160"/>
      <c r="BL33" s="161"/>
      <c r="BM33" s="161"/>
      <c r="BN33" s="161"/>
      <c r="BO33" s="160"/>
      <c r="BP33" s="160"/>
      <c r="BQ33" s="160"/>
      <c r="BR33" s="160">
        <v>975</v>
      </c>
      <c r="BS33" s="160"/>
      <c r="BT33" s="160">
        <v>975</v>
      </c>
      <c r="BU33" s="160"/>
      <c r="BV33" s="160"/>
      <c r="BW33" s="160"/>
      <c r="BX33" s="161">
        <v>975</v>
      </c>
      <c r="BY33" s="161"/>
      <c r="BZ33" s="161">
        <v>975</v>
      </c>
      <c r="CA33" s="160"/>
      <c r="CB33" s="160"/>
      <c r="CC33" s="160"/>
      <c r="CD33" s="160"/>
      <c r="CE33" s="160"/>
      <c r="CF33" s="160"/>
      <c r="CG33" s="160"/>
      <c r="CH33" s="160"/>
      <c r="CI33" s="160"/>
      <c r="CJ33" s="161"/>
      <c r="CK33" s="161"/>
      <c r="CL33" s="161"/>
      <c r="CM33" s="160"/>
      <c r="CN33" s="160"/>
      <c r="CO33" s="160"/>
      <c r="CP33" s="160"/>
      <c r="CQ33" s="160"/>
      <c r="CR33" s="160"/>
      <c r="CS33" s="160"/>
      <c r="CT33" s="160"/>
      <c r="CU33" s="160"/>
      <c r="CV33" s="161"/>
      <c r="CW33" s="161"/>
      <c r="CX33" s="161"/>
      <c r="CY33" s="161">
        <v>975</v>
      </c>
      <c r="CZ33" s="161"/>
      <c r="DA33" s="161">
        <v>975</v>
      </c>
      <c r="DB33" s="160"/>
      <c r="DC33" s="160"/>
      <c r="DD33" s="160"/>
      <c r="DE33" s="160"/>
      <c r="DF33" s="160"/>
      <c r="DG33" s="160"/>
      <c r="DH33" s="160"/>
      <c r="DI33" s="160"/>
      <c r="DJ33" s="160"/>
      <c r="DK33" s="161"/>
      <c r="DL33" s="161"/>
      <c r="DM33" s="161"/>
      <c r="DN33" s="161"/>
      <c r="DO33" s="161"/>
      <c r="DP33" s="161"/>
      <c r="DQ33" s="160">
        <v>975</v>
      </c>
      <c r="DR33" s="160"/>
      <c r="DS33" s="160">
        <v>975</v>
      </c>
    </row>
    <row r="34" spans="1:123">
      <c r="A34" s="128"/>
      <c r="B34" s="128"/>
      <c r="C34" s="148" t="s">
        <v>40</v>
      </c>
      <c r="D34" s="158"/>
      <c r="E34" s="158"/>
      <c r="F34" s="158"/>
      <c r="G34" s="158"/>
      <c r="H34" s="158"/>
      <c r="I34" s="158"/>
      <c r="J34" s="158">
        <v>7500</v>
      </c>
      <c r="K34" s="158"/>
      <c r="L34" s="158">
        <v>7500</v>
      </c>
      <c r="M34" s="158">
        <v>7500</v>
      </c>
      <c r="N34" s="158"/>
      <c r="O34" s="158">
        <v>7500</v>
      </c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158"/>
      <c r="AZ34" s="159">
        <v>7500</v>
      </c>
      <c r="BA34" s="159"/>
      <c r="BB34" s="159">
        <v>7500</v>
      </c>
      <c r="BC34" s="159">
        <v>7500</v>
      </c>
      <c r="BD34" s="159"/>
      <c r="BE34" s="159">
        <v>7500</v>
      </c>
      <c r="BF34" s="160"/>
      <c r="BG34" s="160"/>
      <c r="BH34" s="160"/>
      <c r="BI34" s="160"/>
      <c r="BJ34" s="160"/>
      <c r="BK34" s="160"/>
      <c r="BL34" s="161"/>
      <c r="BM34" s="161"/>
      <c r="BN34" s="161"/>
      <c r="BO34" s="160"/>
      <c r="BP34" s="160"/>
      <c r="BQ34" s="160"/>
      <c r="BR34" s="160"/>
      <c r="BS34" s="160"/>
      <c r="BT34" s="160"/>
      <c r="BU34" s="160"/>
      <c r="BV34" s="160"/>
      <c r="BW34" s="160"/>
      <c r="BX34" s="161"/>
      <c r="BY34" s="161"/>
      <c r="BZ34" s="161"/>
      <c r="CA34" s="160">
        <v>7500</v>
      </c>
      <c r="CB34" s="160"/>
      <c r="CC34" s="160">
        <v>7500</v>
      </c>
      <c r="CD34" s="160"/>
      <c r="CE34" s="160"/>
      <c r="CF34" s="160"/>
      <c r="CG34" s="160"/>
      <c r="CH34" s="160"/>
      <c r="CI34" s="160"/>
      <c r="CJ34" s="161">
        <v>7500</v>
      </c>
      <c r="CK34" s="161"/>
      <c r="CL34" s="161">
        <v>7500</v>
      </c>
      <c r="CM34" s="160"/>
      <c r="CN34" s="160"/>
      <c r="CO34" s="160"/>
      <c r="CP34" s="160"/>
      <c r="CQ34" s="160"/>
      <c r="CR34" s="160"/>
      <c r="CS34" s="160"/>
      <c r="CT34" s="160"/>
      <c r="CU34" s="160"/>
      <c r="CV34" s="161"/>
      <c r="CW34" s="161"/>
      <c r="CX34" s="161"/>
      <c r="CY34" s="161">
        <v>7500</v>
      </c>
      <c r="CZ34" s="161"/>
      <c r="DA34" s="161">
        <v>7500</v>
      </c>
      <c r="DB34" s="160"/>
      <c r="DC34" s="160"/>
      <c r="DD34" s="160"/>
      <c r="DE34" s="160"/>
      <c r="DF34" s="160"/>
      <c r="DG34" s="160"/>
      <c r="DH34" s="160"/>
      <c r="DI34" s="160"/>
      <c r="DJ34" s="160"/>
      <c r="DK34" s="161"/>
      <c r="DL34" s="161"/>
      <c r="DM34" s="161"/>
      <c r="DN34" s="161"/>
      <c r="DO34" s="161"/>
      <c r="DP34" s="161"/>
      <c r="DQ34" s="160">
        <v>7500</v>
      </c>
      <c r="DR34" s="160"/>
      <c r="DS34" s="160">
        <v>7500</v>
      </c>
    </row>
    <row r="35" spans="1:123">
      <c r="A35" s="128"/>
      <c r="B35" s="128"/>
      <c r="C35" s="148" t="s">
        <v>42</v>
      </c>
      <c r="D35" s="158"/>
      <c r="E35" s="158"/>
      <c r="F35" s="158"/>
      <c r="G35" s="158"/>
      <c r="H35" s="158"/>
      <c r="I35" s="158"/>
      <c r="J35" s="158">
        <v>1913.6</v>
      </c>
      <c r="K35" s="158"/>
      <c r="L35" s="158">
        <v>1913.6</v>
      </c>
      <c r="M35" s="158">
        <v>1913.6</v>
      </c>
      <c r="N35" s="158"/>
      <c r="O35" s="158">
        <v>1913.6</v>
      </c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>
        <v>777.4</v>
      </c>
      <c r="AC35" s="158"/>
      <c r="AD35" s="158">
        <v>777.4</v>
      </c>
      <c r="AE35" s="158"/>
      <c r="AF35" s="158"/>
      <c r="AG35" s="158"/>
      <c r="AH35" s="158"/>
      <c r="AI35" s="158"/>
      <c r="AJ35" s="158"/>
      <c r="AK35" s="158">
        <v>777.4</v>
      </c>
      <c r="AL35" s="158"/>
      <c r="AM35" s="158">
        <v>777.4</v>
      </c>
      <c r="AN35" s="158"/>
      <c r="AO35" s="158"/>
      <c r="AP35" s="158"/>
      <c r="AQ35" s="158"/>
      <c r="AR35" s="158"/>
      <c r="AS35" s="158"/>
      <c r="AT35" s="158"/>
      <c r="AU35" s="158"/>
      <c r="AV35" s="158"/>
      <c r="AW35" s="158"/>
      <c r="AX35" s="158"/>
      <c r="AY35" s="158"/>
      <c r="AZ35" s="159">
        <v>2691</v>
      </c>
      <c r="BA35" s="159"/>
      <c r="BB35" s="159">
        <v>2691</v>
      </c>
      <c r="BC35" s="159">
        <v>2691</v>
      </c>
      <c r="BD35" s="159"/>
      <c r="BE35" s="159">
        <v>2691</v>
      </c>
      <c r="BF35" s="160"/>
      <c r="BG35" s="160"/>
      <c r="BH35" s="160"/>
      <c r="BI35" s="160"/>
      <c r="BJ35" s="160"/>
      <c r="BK35" s="160"/>
      <c r="BL35" s="161"/>
      <c r="BM35" s="161"/>
      <c r="BN35" s="161"/>
      <c r="BO35" s="160"/>
      <c r="BP35" s="160"/>
      <c r="BQ35" s="160"/>
      <c r="BR35" s="160"/>
      <c r="BS35" s="160"/>
      <c r="BT35" s="160"/>
      <c r="BU35" s="160"/>
      <c r="BV35" s="160"/>
      <c r="BW35" s="160"/>
      <c r="BX35" s="161"/>
      <c r="BY35" s="161"/>
      <c r="BZ35" s="161"/>
      <c r="CA35" s="160">
        <v>1913.6</v>
      </c>
      <c r="CB35" s="160"/>
      <c r="CC35" s="160">
        <v>1913.6</v>
      </c>
      <c r="CD35" s="160"/>
      <c r="CE35" s="160"/>
      <c r="CF35" s="160"/>
      <c r="CG35" s="160"/>
      <c r="CH35" s="160"/>
      <c r="CI35" s="160"/>
      <c r="CJ35" s="161">
        <v>1913.6</v>
      </c>
      <c r="CK35" s="161"/>
      <c r="CL35" s="161">
        <v>1913.6</v>
      </c>
      <c r="CM35" s="160"/>
      <c r="CN35" s="160"/>
      <c r="CO35" s="160"/>
      <c r="CP35" s="160">
        <v>777.4</v>
      </c>
      <c r="CQ35" s="160"/>
      <c r="CR35" s="160">
        <v>777.4</v>
      </c>
      <c r="CS35" s="160"/>
      <c r="CT35" s="160"/>
      <c r="CU35" s="160"/>
      <c r="CV35" s="161">
        <v>777.4</v>
      </c>
      <c r="CW35" s="161"/>
      <c r="CX35" s="161">
        <v>777.4</v>
      </c>
      <c r="CY35" s="161">
        <v>2691</v>
      </c>
      <c r="CZ35" s="161"/>
      <c r="DA35" s="161">
        <v>2691</v>
      </c>
      <c r="DB35" s="160"/>
      <c r="DC35" s="160"/>
      <c r="DD35" s="160"/>
      <c r="DE35" s="160"/>
      <c r="DF35" s="160"/>
      <c r="DG35" s="160"/>
      <c r="DH35" s="160"/>
      <c r="DI35" s="160"/>
      <c r="DJ35" s="160"/>
      <c r="DK35" s="161"/>
      <c r="DL35" s="161"/>
      <c r="DM35" s="161"/>
      <c r="DN35" s="161"/>
      <c r="DO35" s="161"/>
      <c r="DP35" s="161"/>
      <c r="DQ35" s="160">
        <v>2691</v>
      </c>
      <c r="DR35" s="160"/>
      <c r="DS35" s="160">
        <v>2691</v>
      </c>
    </row>
    <row r="36" spans="1:123">
      <c r="A36" s="128"/>
      <c r="B36" s="128" t="s">
        <v>353</v>
      </c>
      <c r="C36" s="14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158"/>
      <c r="AS36" s="158"/>
      <c r="AT36" s="158"/>
      <c r="AU36" s="158"/>
      <c r="AV36" s="158"/>
      <c r="AW36" s="158"/>
      <c r="AX36" s="158"/>
      <c r="AY36" s="158"/>
      <c r="AZ36" s="159"/>
      <c r="BA36" s="159"/>
      <c r="BB36" s="159"/>
      <c r="BC36" s="159"/>
      <c r="BD36" s="159"/>
      <c r="BE36" s="159"/>
      <c r="BF36" s="160"/>
      <c r="BG36" s="160"/>
      <c r="BH36" s="160"/>
      <c r="BI36" s="160"/>
      <c r="BJ36" s="160"/>
      <c r="BK36" s="160"/>
      <c r="BL36" s="161"/>
      <c r="BM36" s="161"/>
      <c r="BN36" s="161"/>
      <c r="BO36" s="160"/>
      <c r="BP36" s="160"/>
      <c r="BQ36" s="160"/>
      <c r="BR36" s="160"/>
      <c r="BS36" s="160"/>
      <c r="BT36" s="160"/>
      <c r="BU36" s="160"/>
      <c r="BV36" s="160"/>
      <c r="BW36" s="160"/>
      <c r="BX36" s="161"/>
      <c r="BY36" s="161"/>
      <c r="BZ36" s="161"/>
      <c r="CA36" s="160"/>
      <c r="CB36" s="160"/>
      <c r="CC36" s="160"/>
      <c r="CD36" s="160"/>
      <c r="CE36" s="160"/>
      <c r="CF36" s="160"/>
      <c r="CG36" s="160"/>
      <c r="CH36" s="160"/>
      <c r="CI36" s="160"/>
      <c r="CJ36" s="161"/>
      <c r="CK36" s="161"/>
      <c r="CL36" s="161"/>
      <c r="CM36" s="160"/>
      <c r="CN36" s="160"/>
      <c r="CO36" s="160"/>
      <c r="CP36" s="160"/>
      <c r="CQ36" s="160"/>
      <c r="CR36" s="160"/>
      <c r="CS36" s="160"/>
      <c r="CT36" s="160"/>
      <c r="CU36" s="160"/>
      <c r="CV36" s="161"/>
      <c r="CW36" s="161"/>
      <c r="CX36" s="161"/>
      <c r="CY36" s="161"/>
      <c r="CZ36" s="161"/>
      <c r="DA36" s="161"/>
      <c r="DB36" s="160"/>
      <c r="DC36" s="160"/>
      <c r="DD36" s="160"/>
      <c r="DE36" s="160"/>
      <c r="DF36" s="160"/>
      <c r="DG36" s="160"/>
      <c r="DH36" s="160"/>
      <c r="DI36" s="160"/>
      <c r="DJ36" s="160"/>
      <c r="DK36" s="161"/>
      <c r="DL36" s="161"/>
      <c r="DM36" s="161"/>
      <c r="DN36" s="161"/>
      <c r="DO36" s="161"/>
      <c r="DP36" s="161"/>
      <c r="DQ36" s="160"/>
      <c r="DR36" s="160"/>
      <c r="DS36" s="160"/>
    </row>
    <row r="37" spans="1:123">
      <c r="A37" s="128"/>
      <c r="B37" s="128"/>
      <c r="C37" s="148" t="s">
        <v>55</v>
      </c>
      <c r="D37" s="158"/>
      <c r="E37" s="158"/>
      <c r="F37" s="158"/>
      <c r="G37" s="158"/>
      <c r="H37" s="158"/>
      <c r="I37" s="158"/>
      <c r="J37" s="158">
        <v>1750</v>
      </c>
      <c r="K37" s="158"/>
      <c r="L37" s="158">
        <v>1750</v>
      </c>
      <c r="M37" s="158">
        <v>1750</v>
      </c>
      <c r="N37" s="158"/>
      <c r="O37" s="158">
        <v>1750</v>
      </c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9">
        <v>1750</v>
      </c>
      <c r="BA37" s="159"/>
      <c r="BB37" s="159">
        <v>1750</v>
      </c>
      <c r="BC37" s="159">
        <v>1750</v>
      </c>
      <c r="BD37" s="159"/>
      <c r="BE37" s="159">
        <v>1750</v>
      </c>
      <c r="BF37" s="160"/>
      <c r="BG37" s="160"/>
      <c r="BH37" s="160"/>
      <c r="BI37" s="160"/>
      <c r="BJ37" s="160"/>
      <c r="BK37" s="160"/>
      <c r="BL37" s="161"/>
      <c r="BM37" s="161"/>
      <c r="BN37" s="161"/>
      <c r="BO37" s="160"/>
      <c r="BP37" s="160"/>
      <c r="BQ37" s="160"/>
      <c r="BR37" s="160"/>
      <c r="BS37" s="160"/>
      <c r="BT37" s="160"/>
      <c r="BU37" s="160"/>
      <c r="BV37" s="160"/>
      <c r="BW37" s="160"/>
      <c r="BX37" s="161"/>
      <c r="BY37" s="161"/>
      <c r="BZ37" s="161"/>
      <c r="CA37" s="160">
        <v>1750</v>
      </c>
      <c r="CB37" s="160"/>
      <c r="CC37" s="160">
        <v>1750</v>
      </c>
      <c r="CD37" s="160"/>
      <c r="CE37" s="160"/>
      <c r="CF37" s="160"/>
      <c r="CG37" s="160"/>
      <c r="CH37" s="160"/>
      <c r="CI37" s="160"/>
      <c r="CJ37" s="161">
        <v>1750</v>
      </c>
      <c r="CK37" s="161"/>
      <c r="CL37" s="161">
        <v>1750</v>
      </c>
      <c r="CM37" s="160"/>
      <c r="CN37" s="160"/>
      <c r="CO37" s="160"/>
      <c r="CP37" s="160"/>
      <c r="CQ37" s="160"/>
      <c r="CR37" s="160"/>
      <c r="CS37" s="160"/>
      <c r="CT37" s="160"/>
      <c r="CU37" s="160"/>
      <c r="CV37" s="161"/>
      <c r="CW37" s="161"/>
      <c r="CX37" s="161"/>
      <c r="CY37" s="161">
        <v>1750</v>
      </c>
      <c r="CZ37" s="161"/>
      <c r="DA37" s="161">
        <v>1750</v>
      </c>
      <c r="DB37" s="160"/>
      <c r="DC37" s="160"/>
      <c r="DD37" s="160"/>
      <c r="DE37" s="160"/>
      <c r="DF37" s="160"/>
      <c r="DG37" s="160"/>
      <c r="DH37" s="160"/>
      <c r="DI37" s="160"/>
      <c r="DJ37" s="160"/>
      <c r="DK37" s="161"/>
      <c r="DL37" s="161"/>
      <c r="DM37" s="161"/>
      <c r="DN37" s="161"/>
      <c r="DO37" s="161"/>
      <c r="DP37" s="161"/>
      <c r="DQ37" s="160">
        <v>1750</v>
      </c>
      <c r="DR37" s="160"/>
      <c r="DS37" s="160">
        <v>1750</v>
      </c>
    </row>
    <row r="38" spans="1:123">
      <c r="A38" s="128"/>
      <c r="B38" s="128"/>
      <c r="C38" s="148" t="s">
        <v>57</v>
      </c>
      <c r="D38" s="158"/>
      <c r="E38" s="158"/>
      <c r="F38" s="158"/>
      <c r="G38" s="158"/>
      <c r="H38" s="158"/>
      <c r="I38" s="158"/>
      <c r="J38" s="158">
        <v>3800</v>
      </c>
      <c r="K38" s="158"/>
      <c r="L38" s="158">
        <v>3800</v>
      </c>
      <c r="M38" s="158">
        <v>3800</v>
      </c>
      <c r="N38" s="158"/>
      <c r="O38" s="158">
        <v>3800</v>
      </c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>
        <v>700</v>
      </c>
      <c r="AC38" s="158"/>
      <c r="AD38" s="158">
        <v>700</v>
      </c>
      <c r="AE38" s="158"/>
      <c r="AF38" s="158"/>
      <c r="AG38" s="158"/>
      <c r="AH38" s="158"/>
      <c r="AI38" s="158"/>
      <c r="AJ38" s="158"/>
      <c r="AK38" s="158">
        <v>700</v>
      </c>
      <c r="AL38" s="158"/>
      <c r="AM38" s="158">
        <v>700</v>
      </c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9">
        <v>4500</v>
      </c>
      <c r="BA38" s="159"/>
      <c r="BB38" s="159">
        <v>4500</v>
      </c>
      <c r="BC38" s="159">
        <v>4500</v>
      </c>
      <c r="BD38" s="159"/>
      <c r="BE38" s="159">
        <v>4500</v>
      </c>
      <c r="BF38" s="160"/>
      <c r="BG38" s="160"/>
      <c r="BH38" s="160"/>
      <c r="BI38" s="160"/>
      <c r="BJ38" s="160"/>
      <c r="BK38" s="160"/>
      <c r="BL38" s="161"/>
      <c r="BM38" s="161"/>
      <c r="BN38" s="161"/>
      <c r="BO38" s="160"/>
      <c r="BP38" s="160"/>
      <c r="BQ38" s="160"/>
      <c r="BR38" s="160"/>
      <c r="BS38" s="160"/>
      <c r="BT38" s="160"/>
      <c r="BU38" s="160"/>
      <c r="BV38" s="160"/>
      <c r="BW38" s="160"/>
      <c r="BX38" s="161"/>
      <c r="BY38" s="161"/>
      <c r="BZ38" s="161"/>
      <c r="CA38" s="160">
        <v>3800</v>
      </c>
      <c r="CB38" s="160"/>
      <c r="CC38" s="160">
        <v>3800</v>
      </c>
      <c r="CD38" s="160"/>
      <c r="CE38" s="160"/>
      <c r="CF38" s="160"/>
      <c r="CG38" s="160"/>
      <c r="CH38" s="160"/>
      <c r="CI38" s="160"/>
      <c r="CJ38" s="161">
        <v>3800</v>
      </c>
      <c r="CK38" s="161"/>
      <c r="CL38" s="161">
        <v>3800</v>
      </c>
      <c r="CM38" s="160"/>
      <c r="CN38" s="160"/>
      <c r="CO38" s="160"/>
      <c r="CP38" s="160">
        <v>700</v>
      </c>
      <c r="CQ38" s="160"/>
      <c r="CR38" s="160">
        <v>700</v>
      </c>
      <c r="CS38" s="160"/>
      <c r="CT38" s="160"/>
      <c r="CU38" s="160"/>
      <c r="CV38" s="161">
        <v>700</v>
      </c>
      <c r="CW38" s="161"/>
      <c r="CX38" s="161">
        <v>700</v>
      </c>
      <c r="CY38" s="161">
        <v>4500</v>
      </c>
      <c r="CZ38" s="161"/>
      <c r="DA38" s="161">
        <v>4500</v>
      </c>
      <c r="DB38" s="160"/>
      <c r="DC38" s="160"/>
      <c r="DD38" s="160"/>
      <c r="DE38" s="160"/>
      <c r="DF38" s="160"/>
      <c r="DG38" s="160"/>
      <c r="DH38" s="160"/>
      <c r="DI38" s="160"/>
      <c r="DJ38" s="160"/>
      <c r="DK38" s="161"/>
      <c r="DL38" s="161"/>
      <c r="DM38" s="161"/>
      <c r="DN38" s="161"/>
      <c r="DO38" s="161"/>
      <c r="DP38" s="161"/>
      <c r="DQ38" s="160">
        <v>4500</v>
      </c>
      <c r="DR38" s="160"/>
      <c r="DS38" s="160">
        <v>4500</v>
      </c>
    </row>
    <row r="39" spans="1:123">
      <c r="A39" s="128"/>
      <c r="B39" s="128" t="s">
        <v>354</v>
      </c>
      <c r="C39" s="14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 s="158"/>
      <c r="AU39" s="158"/>
      <c r="AV39" s="158"/>
      <c r="AW39" s="158"/>
      <c r="AX39" s="158"/>
      <c r="AY39" s="158"/>
      <c r="AZ39" s="159"/>
      <c r="BA39" s="159"/>
      <c r="BB39" s="159"/>
      <c r="BC39" s="159"/>
      <c r="BD39" s="159"/>
      <c r="BE39" s="159"/>
      <c r="BF39" s="160"/>
      <c r="BG39" s="160"/>
      <c r="BH39" s="160"/>
      <c r="BI39" s="160"/>
      <c r="BJ39" s="160"/>
      <c r="BK39" s="160"/>
      <c r="BL39" s="161"/>
      <c r="BM39" s="161"/>
      <c r="BN39" s="161"/>
      <c r="BO39" s="160"/>
      <c r="BP39" s="160"/>
      <c r="BQ39" s="160"/>
      <c r="BR39" s="160"/>
      <c r="BS39" s="160"/>
      <c r="BT39" s="160"/>
      <c r="BU39" s="160"/>
      <c r="BV39" s="160"/>
      <c r="BW39" s="160"/>
      <c r="BX39" s="161"/>
      <c r="BY39" s="161"/>
      <c r="BZ39" s="161"/>
      <c r="CA39" s="160"/>
      <c r="CB39" s="160"/>
      <c r="CC39" s="160"/>
      <c r="CD39" s="160"/>
      <c r="CE39" s="160"/>
      <c r="CF39" s="160"/>
      <c r="CG39" s="160"/>
      <c r="CH39" s="160"/>
      <c r="CI39" s="160"/>
      <c r="CJ39" s="161"/>
      <c r="CK39" s="161"/>
      <c r="CL39" s="161"/>
      <c r="CM39" s="160"/>
      <c r="CN39" s="160"/>
      <c r="CO39" s="160"/>
      <c r="CP39" s="160"/>
      <c r="CQ39" s="160"/>
      <c r="CR39" s="160"/>
      <c r="CS39" s="160"/>
      <c r="CT39" s="160"/>
      <c r="CU39" s="160"/>
      <c r="CV39" s="161"/>
      <c r="CW39" s="161"/>
      <c r="CX39" s="161"/>
      <c r="CY39" s="161"/>
      <c r="CZ39" s="161"/>
      <c r="DA39" s="161"/>
      <c r="DB39" s="160"/>
      <c r="DC39" s="160"/>
      <c r="DD39" s="160"/>
      <c r="DE39" s="160"/>
      <c r="DF39" s="160"/>
      <c r="DG39" s="160"/>
      <c r="DH39" s="160"/>
      <c r="DI39" s="160"/>
      <c r="DJ39" s="160"/>
      <c r="DK39" s="161"/>
      <c r="DL39" s="161"/>
      <c r="DM39" s="161"/>
      <c r="DN39" s="161"/>
      <c r="DO39" s="161"/>
      <c r="DP39" s="161"/>
      <c r="DQ39" s="160"/>
      <c r="DR39" s="160"/>
      <c r="DS39" s="160"/>
    </row>
    <row r="40" spans="1:123">
      <c r="A40" s="128"/>
      <c r="B40" s="128"/>
      <c r="C40" s="148" t="s">
        <v>59</v>
      </c>
      <c r="D40" s="158"/>
      <c r="E40" s="158"/>
      <c r="F40" s="158"/>
      <c r="G40" s="158">
        <v>50</v>
      </c>
      <c r="H40" s="158"/>
      <c r="I40" s="158">
        <v>50</v>
      </c>
      <c r="J40" s="158"/>
      <c r="K40" s="158"/>
      <c r="L40" s="158"/>
      <c r="M40" s="158">
        <v>50</v>
      </c>
      <c r="N40" s="158"/>
      <c r="O40" s="158">
        <v>50</v>
      </c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8"/>
      <c r="AX40" s="158"/>
      <c r="AY40" s="158"/>
      <c r="AZ40" s="159">
        <v>50</v>
      </c>
      <c r="BA40" s="159"/>
      <c r="BB40" s="159">
        <v>50</v>
      </c>
      <c r="BC40" s="159">
        <v>50</v>
      </c>
      <c r="BD40" s="159"/>
      <c r="BE40" s="159">
        <v>50</v>
      </c>
      <c r="BF40" s="160"/>
      <c r="BG40" s="160"/>
      <c r="BH40" s="160"/>
      <c r="BI40" s="160"/>
      <c r="BJ40" s="160"/>
      <c r="BK40" s="160"/>
      <c r="BL40" s="161"/>
      <c r="BM40" s="161"/>
      <c r="BN40" s="161"/>
      <c r="BO40" s="160"/>
      <c r="BP40" s="160"/>
      <c r="BQ40" s="160"/>
      <c r="BR40" s="160">
        <v>50</v>
      </c>
      <c r="BS40" s="160"/>
      <c r="BT40" s="160">
        <v>50</v>
      </c>
      <c r="BU40" s="160"/>
      <c r="BV40" s="160"/>
      <c r="BW40" s="160"/>
      <c r="BX40" s="161">
        <v>50</v>
      </c>
      <c r="BY40" s="161"/>
      <c r="BZ40" s="161">
        <v>50</v>
      </c>
      <c r="CA40" s="160"/>
      <c r="CB40" s="160"/>
      <c r="CC40" s="160"/>
      <c r="CD40" s="160"/>
      <c r="CE40" s="160"/>
      <c r="CF40" s="160"/>
      <c r="CG40" s="160"/>
      <c r="CH40" s="160"/>
      <c r="CI40" s="160"/>
      <c r="CJ40" s="161"/>
      <c r="CK40" s="161"/>
      <c r="CL40" s="161"/>
      <c r="CM40" s="160"/>
      <c r="CN40" s="160"/>
      <c r="CO40" s="160"/>
      <c r="CP40" s="160"/>
      <c r="CQ40" s="160"/>
      <c r="CR40" s="160"/>
      <c r="CS40" s="160"/>
      <c r="CT40" s="160"/>
      <c r="CU40" s="160"/>
      <c r="CV40" s="161"/>
      <c r="CW40" s="161"/>
      <c r="CX40" s="161"/>
      <c r="CY40" s="161">
        <v>50</v>
      </c>
      <c r="CZ40" s="161"/>
      <c r="DA40" s="161">
        <v>50</v>
      </c>
      <c r="DB40" s="160"/>
      <c r="DC40" s="160"/>
      <c r="DD40" s="160"/>
      <c r="DE40" s="160"/>
      <c r="DF40" s="160"/>
      <c r="DG40" s="160"/>
      <c r="DH40" s="160"/>
      <c r="DI40" s="160"/>
      <c r="DJ40" s="160"/>
      <c r="DK40" s="161"/>
      <c r="DL40" s="161"/>
      <c r="DM40" s="161"/>
      <c r="DN40" s="161"/>
      <c r="DO40" s="161"/>
      <c r="DP40" s="161"/>
      <c r="DQ40" s="160">
        <v>50</v>
      </c>
      <c r="DR40" s="160"/>
      <c r="DS40" s="160">
        <v>50</v>
      </c>
    </row>
    <row r="41" spans="1:123">
      <c r="A41" s="128"/>
      <c r="B41" s="128"/>
      <c r="C41" s="148" t="s">
        <v>61</v>
      </c>
      <c r="D41" s="158"/>
      <c r="E41" s="158"/>
      <c r="F41" s="158"/>
      <c r="G41" s="158">
        <v>113</v>
      </c>
      <c r="H41" s="158"/>
      <c r="I41" s="158">
        <v>113</v>
      </c>
      <c r="J41" s="158"/>
      <c r="K41" s="158"/>
      <c r="L41" s="158"/>
      <c r="M41" s="158">
        <v>113</v>
      </c>
      <c r="N41" s="158"/>
      <c r="O41" s="158">
        <v>113</v>
      </c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158"/>
      <c r="AT41" s="158"/>
      <c r="AU41" s="158"/>
      <c r="AV41" s="158"/>
      <c r="AW41" s="158"/>
      <c r="AX41" s="158"/>
      <c r="AY41" s="158"/>
      <c r="AZ41" s="159">
        <v>113</v>
      </c>
      <c r="BA41" s="159"/>
      <c r="BB41" s="159">
        <v>113</v>
      </c>
      <c r="BC41" s="159">
        <v>113</v>
      </c>
      <c r="BD41" s="159"/>
      <c r="BE41" s="159">
        <v>113</v>
      </c>
      <c r="BF41" s="160"/>
      <c r="BG41" s="160"/>
      <c r="BH41" s="160"/>
      <c r="BI41" s="160"/>
      <c r="BJ41" s="160"/>
      <c r="BK41" s="160"/>
      <c r="BL41" s="161"/>
      <c r="BM41" s="161"/>
      <c r="BN41" s="161"/>
      <c r="BO41" s="160"/>
      <c r="BP41" s="160"/>
      <c r="BQ41" s="160"/>
      <c r="BR41" s="160">
        <v>113</v>
      </c>
      <c r="BS41" s="160"/>
      <c r="BT41" s="160">
        <v>113</v>
      </c>
      <c r="BU41" s="160"/>
      <c r="BV41" s="160"/>
      <c r="BW41" s="160"/>
      <c r="BX41" s="161">
        <v>113</v>
      </c>
      <c r="BY41" s="161"/>
      <c r="BZ41" s="161">
        <v>113</v>
      </c>
      <c r="CA41" s="160"/>
      <c r="CB41" s="160"/>
      <c r="CC41" s="160"/>
      <c r="CD41" s="160"/>
      <c r="CE41" s="160"/>
      <c r="CF41" s="160"/>
      <c r="CG41" s="160"/>
      <c r="CH41" s="160"/>
      <c r="CI41" s="160"/>
      <c r="CJ41" s="161"/>
      <c r="CK41" s="161"/>
      <c r="CL41" s="161"/>
      <c r="CM41" s="160"/>
      <c r="CN41" s="160"/>
      <c r="CO41" s="160"/>
      <c r="CP41" s="160"/>
      <c r="CQ41" s="160"/>
      <c r="CR41" s="160"/>
      <c r="CS41" s="160"/>
      <c r="CT41" s="160"/>
      <c r="CU41" s="160"/>
      <c r="CV41" s="161"/>
      <c r="CW41" s="161"/>
      <c r="CX41" s="161"/>
      <c r="CY41" s="161">
        <v>113</v>
      </c>
      <c r="CZ41" s="161"/>
      <c r="DA41" s="161">
        <v>113</v>
      </c>
      <c r="DB41" s="160"/>
      <c r="DC41" s="160"/>
      <c r="DD41" s="160"/>
      <c r="DE41" s="160"/>
      <c r="DF41" s="160"/>
      <c r="DG41" s="160"/>
      <c r="DH41" s="160"/>
      <c r="DI41" s="160"/>
      <c r="DJ41" s="160"/>
      <c r="DK41" s="161"/>
      <c r="DL41" s="161"/>
      <c r="DM41" s="161"/>
      <c r="DN41" s="161"/>
      <c r="DO41" s="161"/>
      <c r="DP41" s="161"/>
      <c r="DQ41" s="160">
        <v>113</v>
      </c>
      <c r="DR41" s="160"/>
      <c r="DS41" s="160">
        <v>113</v>
      </c>
    </row>
    <row r="42" spans="1:123">
      <c r="A42" s="128"/>
      <c r="B42" s="128" t="s">
        <v>355</v>
      </c>
      <c r="C42" s="14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 s="158"/>
      <c r="AU42" s="158"/>
      <c r="AV42" s="158"/>
      <c r="AW42" s="158"/>
      <c r="AX42" s="158"/>
      <c r="AY42" s="158"/>
      <c r="AZ42" s="159"/>
      <c r="BA42" s="159"/>
      <c r="BB42" s="159"/>
      <c r="BC42" s="159"/>
      <c r="BD42" s="159"/>
      <c r="BE42" s="159"/>
      <c r="BF42" s="160"/>
      <c r="BG42" s="160"/>
      <c r="BH42" s="160"/>
      <c r="BI42" s="160"/>
      <c r="BJ42" s="160"/>
      <c r="BK42" s="160"/>
      <c r="BL42" s="161"/>
      <c r="BM42" s="161"/>
      <c r="BN42" s="161"/>
      <c r="BO42" s="160"/>
      <c r="BP42" s="160"/>
      <c r="BQ42" s="160"/>
      <c r="BR42" s="160"/>
      <c r="BS42" s="160"/>
      <c r="BT42" s="160"/>
      <c r="BU42" s="160"/>
      <c r="BV42" s="160"/>
      <c r="BW42" s="160"/>
      <c r="BX42" s="161"/>
      <c r="BY42" s="161"/>
      <c r="BZ42" s="161"/>
      <c r="CA42" s="160"/>
      <c r="CB42" s="160"/>
      <c r="CC42" s="160"/>
      <c r="CD42" s="160"/>
      <c r="CE42" s="160"/>
      <c r="CF42" s="160"/>
      <c r="CG42" s="160"/>
      <c r="CH42" s="160"/>
      <c r="CI42" s="160"/>
      <c r="CJ42" s="161"/>
      <c r="CK42" s="161"/>
      <c r="CL42" s="161"/>
      <c r="CM42" s="160"/>
      <c r="CN42" s="160"/>
      <c r="CO42" s="160"/>
      <c r="CP42" s="160"/>
      <c r="CQ42" s="160"/>
      <c r="CR42" s="160"/>
      <c r="CS42" s="160"/>
      <c r="CT42" s="160"/>
      <c r="CU42" s="160"/>
      <c r="CV42" s="161"/>
      <c r="CW42" s="161"/>
      <c r="CX42" s="161"/>
      <c r="CY42" s="161"/>
      <c r="CZ42" s="161"/>
      <c r="DA42" s="161"/>
      <c r="DB42" s="160"/>
      <c r="DC42" s="160"/>
      <c r="DD42" s="160"/>
      <c r="DE42" s="160"/>
      <c r="DF42" s="160"/>
      <c r="DG42" s="160"/>
      <c r="DH42" s="160"/>
      <c r="DI42" s="160"/>
      <c r="DJ42" s="160"/>
      <c r="DK42" s="161"/>
      <c r="DL42" s="161"/>
      <c r="DM42" s="161"/>
      <c r="DN42" s="161"/>
      <c r="DO42" s="161"/>
      <c r="DP42" s="161"/>
      <c r="DQ42" s="160"/>
      <c r="DR42" s="160"/>
      <c r="DS42" s="160"/>
    </row>
    <row r="43" ht="31.5" spans="1:123">
      <c r="A43" s="128"/>
      <c r="B43" s="128"/>
      <c r="C43" s="148" t="s">
        <v>94</v>
      </c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>
        <v>1200</v>
      </c>
      <c r="R43" s="158">
        <v>1200</v>
      </c>
      <c r="S43" s="158"/>
      <c r="T43" s="158"/>
      <c r="U43" s="158"/>
      <c r="V43" s="158"/>
      <c r="W43" s="158"/>
      <c r="X43" s="158"/>
      <c r="Y43" s="158"/>
      <c r="Z43" s="158">
        <v>1200</v>
      </c>
      <c r="AA43" s="158">
        <v>1200</v>
      </c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 s="158"/>
      <c r="AU43" s="158"/>
      <c r="AV43" s="158"/>
      <c r="AW43" s="158"/>
      <c r="AX43" s="158"/>
      <c r="AY43" s="158"/>
      <c r="AZ43" s="159"/>
      <c r="BA43" s="159">
        <v>1200</v>
      </c>
      <c r="BB43" s="159">
        <v>1200</v>
      </c>
      <c r="BC43" s="159"/>
      <c r="BD43" s="159">
        <v>1200</v>
      </c>
      <c r="BE43" s="159">
        <v>1200</v>
      </c>
      <c r="BF43" s="160"/>
      <c r="BG43" s="160"/>
      <c r="BH43" s="160"/>
      <c r="BI43" s="160"/>
      <c r="BJ43" s="160"/>
      <c r="BK43" s="160"/>
      <c r="BL43" s="161"/>
      <c r="BM43" s="161"/>
      <c r="BN43" s="161"/>
      <c r="BO43" s="160"/>
      <c r="BP43" s="160"/>
      <c r="BQ43" s="160"/>
      <c r="BR43" s="160"/>
      <c r="BS43" s="160"/>
      <c r="BT43" s="160"/>
      <c r="BU43" s="160"/>
      <c r="BV43" s="160"/>
      <c r="BW43" s="160"/>
      <c r="BX43" s="161"/>
      <c r="BY43" s="161"/>
      <c r="BZ43" s="161"/>
      <c r="CA43" s="160"/>
      <c r="CB43" s="160"/>
      <c r="CC43" s="160"/>
      <c r="CD43" s="160"/>
      <c r="CE43" s="160">
        <v>1200</v>
      </c>
      <c r="CF43" s="160">
        <v>1200</v>
      </c>
      <c r="CG43" s="160"/>
      <c r="CH43" s="160"/>
      <c r="CI43" s="160"/>
      <c r="CJ43" s="161"/>
      <c r="CK43" s="161">
        <v>1200</v>
      </c>
      <c r="CL43" s="161">
        <v>1200</v>
      </c>
      <c r="CM43" s="160"/>
      <c r="CN43" s="160"/>
      <c r="CO43" s="160"/>
      <c r="CP43" s="160"/>
      <c r="CQ43" s="160"/>
      <c r="CR43" s="160"/>
      <c r="CS43" s="160"/>
      <c r="CT43" s="160"/>
      <c r="CU43" s="160"/>
      <c r="CV43" s="161"/>
      <c r="CW43" s="161"/>
      <c r="CX43" s="161"/>
      <c r="CY43" s="161"/>
      <c r="CZ43" s="161">
        <v>1200</v>
      </c>
      <c r="DA43" s="161">
        <v>1200</v>
      </c>
      <c r="DB43" s="160"/>
      <c r="DC43" s="160"/>
      <c r="DD43" s="160"/>
      <c r="DE43" s="160"/>
      <c r="DF43" s="160"/>
      <c r="DG43" s="160"/>
      <c r="DH43" s="160"/>
      <c r="DI43" s="160"/>
      <c r="DJ43" s="160"/>
      <c r="DK43" s="161"/>
      <c r="DL43" s="161"/>
      <c r="DM43" s="161"/>
      <c r="DN43" s="161"/>
      <c r="DO43" s="161"/>
      <c r="DP43" s="161"/>
      <c r="DQ43" s="160"/>
      <c r="DR43" s="160">
        <v>1200</v>
      </c>
      <c r="DS43" s="160">
        <v>1200</v>
      </c>
    </row>
    <row r="44" spans="1:123">
      <c r="A44" s="128"/>
      <c r="B44" s="128"/>
      <c r="C44" s="148" t="s">
        <v>96</v>
      </c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>
        <v>240</v>
      </c>
      <c r="R44" s="158">
        <v>240</v>
      </c>
      <c r="S44" s="158"/>
      <c r="T44" s="158"/>
      <c r="U44" s="158"/>
      <c r="V44" s="158"/>
      <c r="W44" s="158"/>
      <c r="X44" s="158"/>
      <c r="Y44" s="158"/>
      <c r="Z44" s="158">
        <v>240</v>
      </c>
      <c r="AA44" s="158">
        <v>240</v>
      </c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158"/>
      <c r="AS44" s="158"/>
      <c r="AT44" s="158"/>
      <c r="AU44" s="158"/>
      <c r="AV44" s="158"/>
      <c r="AW44" s="158"/>
      <c r="AX44" s="158"/>
      <c r="AY44" s="158"/>
      <c r="AZ44" s="159"/>
      <c r="BA44" s="159">
        <v>240</v>
      </c>
      <c r="BB44" s="159">
        <v>240</v>
      </c>
      <c r="BC44" s="159"/>
      <c r="BD44" s="159">
        <v>240</v>
      </c>
      <c r="BE44" s="159">
        <v>240</v>
      </c>
      <c r="BF44" s="160"/>
      <c r="BG44" s="160"/>
      <c r="BH44" s="160"/>
      <c r="BI44" s="160"/>
      <c r="BJ44" s="160"/>
      <c r="BK44" s="160"/>
      <c r="BL44" s="161"/>
      <c r="BM44" s="161"/>
      <c r="BN44" s="161"/>
      <c r="BO44" s="160"/>
      <c r="BP44" s="160"/>
      <c r="BQ44" s="160"/>
      <c r="BR44" s="160"/>
      <c r="BS44" s="160"/>
      <c r="BT44" s="160"/>
      <c r="BU44" s="160"/>
      <c r="BV44" s="160"/>
      <c r="BW44" s="160"/>
      <c r="BX44" s="161"/>
      <c r="BY44" s="161"/>
      <c r="BZ44" s="161"/>
      <c r="CA44" s="160"/>
      <c r="CB44" s="160"/>
      <c r="CC44" s="160"/>
      <c r="CD44" s="160"/>
      <c r="CE44" s="160">
        <v>240</v>
      </c>
      <c r="CF44" s="160">
        <v>240</v>
      </c>
      <c r="CG44" s="160"/>
      <c r="CH44" s="160"/>
      <c r="CI44" s="160"/>
      <c r="CJ44" s="161"/>
      <c r="CK44" s="161">
        <v>240</v>
      </c>
      <c r="CL44" s="161">
        <v>240</v>
      </c>
      <c r="CM44" s="160"/>
      <c r="CN44" s="160"/>
      <c r="CO44" s="160"/>
      <c r="CP44" s="160"/>
      <c r="CQ44" s="160"/>
      <c r="CR44" s="160"/>
      <c r="CS44" s="160"/>
      <c r="CT44" s="160"/>
      <c r="CU44" s="160"/>
      <c r="CV44" s="161"/>
      <c r="CW44" s="161"/>
      <c r="CX44" s="161"/>
      <c r="CY44" s="161"/>
      <c r="CZ44" s="161">
        <v>240</v>
      </c>
      <c r="DA44" s="161">
        <v>240</v>
      </c>
      <c r="DB44" s="160"/>
      <c r="DC44" s="160"/>
      <c r="DD44" s="160"/>
      <c r="DE44" s="160"/>
      <c r="DF44" s="160"/>
      <c r="DG44" s="160"/>
      <c r="DH44" s="160"/>
      <c r="DI44" s="160"/>
      <c r="DJ44" s="160"/>
      <c r="DK44" s="161"/>
      <c r="DL44" s="161"/>
      <c r="DM44" s="161"/>
      <c r="DN44" s="161"/>
      <c r="DO44" s="161"/>
      <c r="DP44" s="161"/>
      <c r="DQ44" s="160"/>
      <c r="DR44" s="160">
        <v>240</v>
      </c>
      <c r="DS44" s="160">
        <v>240</v>
      </c>
    </row>
    <row r="45" spans="1:123">
      <c r="A45" s="128"/>
      <c r="B45" s="128"/>
      <c r="C45" s="148" t="s">
        <v>98</v>
      </c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>
        <v>1200</v>
      </c>
      <c r="R45" s="158">
        <v>1200</v>
      </c>
      <c r="S45" s="158"/>
      <c r="T45" s="158"/>
      <c r="U45" s="158"/>
      <c r="V45" s="158"/>
      <c r="W45" s="158"/>
      <c r="X45" s="158"/>
      <c r="Y45" s="158"/>
      <c r="Z45" s="158">
        <v>1200</v>
      </c>
      <c r="AA45" s="158">
        <v>1200</v>
      </c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 s="158"/>
      <c r="AU45" s="158"/>
      <c r="AV45" s="158"/>
      <c r="AW45" s="158"/>
      <c r="AX45" s="158"/>
      <c r="AY45" s="158"/>
      <c r="AZ45" s="159"/>
      <c r="BA45" s="159">
        <v>1200</v>
      </c>
      <c r="BB45" s="159">
        <v>1200</v>
      </c>
      <c r="BC45" s="159"/>
      <c r="BD45" s="159">
        <v>1200</v>
      </c>
      <c r="BE45" s="159">
        <v>1200</v>
      </c>
      <c r="BF45" s="160"/>
      <c r="BG45" s="160"/>
      <c r="BH45" s="160"/>
      <c r="BI45" s="160"/>
      <c r="BJ45" s="160"/>
      <c r="BK45" s="160"/>
      <c r="BL45" s="161"/>
      <c r="BM45" s="161"/>
      <c r="BN45" s="161"/>
      <c r="BO45" s="160"/>
      <c r="BP45" s="160"/>
      <c r="BQ45" s="160"/>
      <c r="BR45" s="160"/>
      <c r="BS45" s="160"/>
      <c r="BT45" s="160"/>
      <c r="BU45" s="160"/>
      <c r="BV45" s="160"/>
      <c r="BW45" s="160"/>
      <c r="BX45" s="161"/>
      <c r="BY45" s="161"/>
      <c r="BZ45" s="161"/>
      <c r="CA45" s="160"/>
      <c r="CB45" s="160"/>
      <c r="CC45" s="160"/>
      <c r="CD45" s="160"/>
      <c r="CE45" s="160">
        <v>1200</v>
      </c>
      <c r="CF45" s="160">
        <v>1200</v>
      </c>
      <c r="CG45" s="160"/>
      <c r="CH45" s="160"/>
      <c r="CI45" s="160"/>
      <c r="CJ45" s="161"/>
      <c r="CK45" s="161">
        <v>1200</v>
      </c>
      <c r="CL45" s="161">
        <v>1200</v>
      </c>
      <c r="CM45" s="160"/>
      <c r="CN45" s="160"/>
      <c r="CO45" s="160"/>
      <c r="CP45" s="160"/>
      <c r="CQ45" s="160"/>
      <c r="CR45" s="160"/>
      <c r="CS45" s="160"/>
      <c r="CT45" s="160"/>
      <c r="CU45" s="160"/>
      <c r="CV45" s="161"/>
      <c r="CW45" s="161"/>
      <c r="CX45" s="161"/>
      <c r="CY45" s="161"/>
      <c r="CZ45" s="161">
        <v>1200</v>
      </c>
      <c r="DA45" s="161">
        <v>1200</v>
      </c>
      <c r="DB45" s="160"/>
      <c r="DC45" s="160"/>
      <c r="DD45" s="160"/>
      <c r="DE45" s="160"/>
      <c r="DF45" s="160"/>
      <c r="DG45" s="160"/>
      <c r="DH45" s="160"/>
      <c r="DI45" s="160"/>
      <c r="DJ45" s="160"/>
      <c r="DK45" s="161"/>
      <c r="DL45" s="161"/>
      <c r="DM45" s="161"/>
      <c r="DN45" s="161"/>
      <c r="DO45" s="161"/>
      <c r="DP45" s="161"/>
      <c r="DQ45" s="160"/>
      <c r="DR45" s="160">
        <v>1200</v>
      </c>
      <c r="DS45" s="160">
        <v>1200</v>
      </c>
    </row>
    <row r="46" spans="1:123">
      <c r="A46" s="128"/>
      <c r="B46" s="128"/>
      <c r="C46" s="148" t="s">
        <v>100</v>
      </c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>
        <v>300</v>
      </c>
      <c r="R46" s="158">
        <v>300</v>
      </c>
      <c r="S46" s="158"/>
      <c r="T46" s="158"/>
      <c r="U46" s="158"/>
      <c r="V46" s="158"/>
      <c r="W46" s="158"/>
      <c r="X46" s="158"/>
      <c r="Y46" s="158"/>
      <c r="Z46" s="158">
        <v>300</v>
      </c>
      <c r="AA46" s="158">
        <v>300</v>
      </c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9"/>
      <c r="BA46" s="159">
        <v>300</v>
      </c>
      <c r="BB46" s="159">
        <v>300</v>
      </c>
      <c r="BC46" s="159"/>
      <c r="BD46" s="159">
        <v>300</v>
      </c>
      <c r="BE46" s="159">
        <v>300</v>
      </c>
      <c r="BF46" s="160"/>
      <c r="BG46" s="160"/>
      <c r="BH46" s="160"/>
      <c r="BI46" s="160"/>
      <c r="BJ46" s="160"/>
      <c r="BK46" s="160"/>
      <c r="BL46" s="161"/>
      <c r="BM46" s="161"/>
      <c r="BN46" s="161"/>
      <c r="BO46" s="160"/>
      <c r="BP46" s="160"/>
      <c r="BQ46" s="160"/>
      <c r="BR46" s="160"/>
      <c r="BS46" s="160"/>
      <c r="BT46" s="160"/>
      <c r="BU46" s="160"/>
      <c r="BV46" s="160"/>
      <c r="BW46" s="160"/>
      <c r="BX46" s="161"/>
      <c r="BY46" s="161"/>
      <c r="BZ46" s="161"/>
      <c r="CA46" s="160"/>
      <c r="CB46" s="160"/>
      <c r="CC46" s="160"/>
      <c r="CD46" s="160"/>
      <c r="CE46" s="160">
        <v>300</v>
      </c>
      <c r="CF46" s="160">
        <v>300</v>
      </c>
      <c r="CG46" s="160"/>
      <c r="CH46" s="160"/>
      <c r="CI46" s="160"/>
      <c r="CJ46" s="161"/>
      <c r="CK46" s="161">
        <v>300</v>
      </c>
      <c r="CL46" s="161">
        <v>300</v>
      </c>
      <c r="CM46" s="160"/>
      <c r="CN46" s="160"/>
      <c r="CO46" s="160"/>
      <c r="CP46" s="160"/>
      <c r="CQ46" s="160"/>
      <c r="CR46" s="160"/>
      <c r="CS46" s="160"/>
      <c r="CT46" s="160"/>
      <c r="CU46" s="160"/>
      <c r="CV46" s="161"/>
      <c r="CW46" s="161"/>
      <c r="CX46" s="161"/>
      <c r="CY46" s="161"/>
      <c r="CZ46" s="161">
        <v>300</v>
      </c>
      <c r="DA46" s="161">
        <v>300</v>
      </c>
      <c r="DB46" s="160"/>
      <c r="DC46" s="160"/>
      <c r="DD46" s="160"/>
      <c r="DE46" s="160"/>
      <c r="DF46" s="160"/>
      <c r="DG46" s="160"/>
      <c r="DH46" s="160"/>
      <c r="DI46" s="160"/>
      <c r="DJ46" s="160"/>
      <c r="DK46" s="161"/>
      <c r="DL46" s="161"/>
      <c r="DM46" s="161"/>
      <c r="DN46" s="161"/>
      <c r="DO46" s="161"/>
      <c r="DP46" s="161"/>
      <c r="DQ46" s="160"/>
      <c r="DR46" s="160">
        <v>300</v>
      </c>
      <c r="DS46" s="160">
        <v>300</v>
      </c>
    </row>
    <row r="47" spans="1:123">
      <c r="A47" s="128"/>
      <c r="B47" s="128"/>
      <c r="C47" s="148" t="s">
        <v>102</v>
      </c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>
        <v>2100</v>
      </c>
      <c r="X47" s="158">
        <v>2100</v>
      </c>
      <c r="Y47" s="158"/>
      <c r="Z47" s="158">
        <v>2100</v>
      </c>
      <c r="AA47" s="158">
        <v>2100</v>
      </c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8"/>
      <c r="AX47" s="158"/>
      <c r="AY47" s="158"/>
      <c r="AZ47" s="159"/>
      <c r="BA47" s="159">
        <v>2100</v>
      </c>
      <c r="BB47" s="159">
        <v>2100</v>
      </c>
      <c r="BC47" s="159"/>
      <c r="BD47" s="159">
        <v>2100</v>
      </c>
      <c r="BE47" s="159">
        <v>2100</v>
      </c>
      <c r="BF47" s="160"/>
      <c r="BG47" s="160"/>
      <c r="BH47" s="160"/>
      <c r="BI47" s="160"/>
      <c r="BJ47" s="160"/>
      <c r="BK47" s="160"/>
      <c r="BL47" s="161"/>
      <c r="BM47" s="161"/>
      <c r="BN47" s="161"/>
      <c r="BO47" s="160"/>
      <c r="BP47" s="160"/>
      <c r="BQ47" s="160"/>
      <c r="BR47" s="160"/>
      <c r="BS47" s="160"/>
      <c r="BT47" s="160"/>
      <c r="BU47" s="160"/>
      <c r="BV47" s="160"/>
      <c r="BW47" s="160"/>
      <c r="BX47" s="161"/>
      <c r="BY47" s="161"/>
      <c r="BZ47" s="161"/>
      <c r="CA47" s="160"/>
      <c r="CB47" s="160"/>
      <c r="CC47" s="160"/>
      <c r="CD47" s="160"/>
      <c r="CE47" s="160"/>
      <c r="CF47" s="160"/>
      <c r="CG47" s="160"/>
      <c r="CH47" s="160">
        <v>2100</v>
      </c>
      <c r="CI47" s="160">
        <v>2100</v>
      </c>
      <c r="CJ47" s="161"/>
      <c r="CK47" s="161">
        <v>2100</v>
      </c>
      <c r="CL47" s="161">
        <v>2100</v>
      </c>
      <c r="CM47" s="160"/>
      <c r="CN47" s="160"/>
      <c r="CO47" s="160"/>
      <c r="CP47" s="160"/>
      <c r="CQ47" s="160"/>
      <c r="CR47" s="160"/>
      <c r="CS47" s="160"/>
      <c r="CT47" s="160"/>
      <c r="CU47" s="160"/>
      <c r="CV47" s="161"/>
      <c r="CW47" s="161"/>
      <c r="CX47" s="161"/>
      <c r="CY47" s="161"/>
      <c r="CZ47" s="161">
        <v>2100</v>
      </c>
      <c r="DA47" s="161">
        <v>2100</v>
      </c>
      <c r="DB47" s="160"/>
      <c r="DC47" s="160"/>
      <c r="DD47" s="160"/>
      <c r="DE47" s="160"/>
      <c r="DF47" s="160"/>
      <c r="DG47" s="160"/>
      <c r="DH47" s="160"/>
      <c r="DI47" s="160"/>
      <c r="DJ47" s="160"/>
      <c r="DK47" s="161"/>
      <c r="DL47" s="161"/>
      <c r="DM47" s="161"/>
      <c r="DN47" s="161"/>
      <c r="DO47" s="161"/>
      <c r="DP47" s="161"/>
      <c r="DQ47" s="160"/>
      <c r="DR47" s="160">
        <v>2100</v>
      </c>
      <c r="DS47" s="160">
        <v>2100</v>
      </c>
    </row>
    <row r="48" ht="31.5" spans="1:123">
      <c r="A48" s="128"/>
      <c r="B48" s="128"/>
      <c r="C48" s="148" t="s">
        <v>104</v>
      </c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>
        <v>3100</v>
      </c>
      <c r="X48" s="158">
        <v>3100</v>
      </c>
      <c r="Y48" s="158"/>
      <c r="Z48" s="158">
        <v>3100</v>
      </c>
      <c r="AA48" s="158">
        <v>3100</v>
      </c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8"/>
      <c r="AX48" s="158"/>
      <c r="AY48" s="158"/>
      <c r="AZ48" s="159"/>
      <c r="BA48" s="159">
        <v>3100</v>
      </c>
      <c r="BB48" s="159">
        <v>3100</v>
      </c>
      <c r="BC48" s="159"/>
      <c r="BD48" s="159">
        <v>3100</v>
      </c>
      <c r="BE48" s="159">
        <v>3100</v>
      </c>
      <c r="BF48" s="160"/>
      <c r="BG48" s="160"/>
      <c r="BH48" s="160"/>
      <c r="BI48" s="160"/>
      <c r="BJ48" s="160"/>
      <c r="BK48" s="160"/>
      <c r="BL48" s="161"/>
      <c r="BM48" s="161"/>
      <c r="BN48" s="161"/>
      <c r="BO48" s="160"/>
      <c r="BP48" s="160"/>
      <c r="BQ48" s="160"/>
      <c r="BR48" s="160"/>
      <c r="BS48" s="160"/>
      <c r="BT48" s="160"/>
      <c r="BU48" s="160"/>
      <c r="BV48" s="160"/>
      <c r="BW48" s="160"/>
      <c r="BX48" s="161"/>
      <c r="BY48" s="161"/>
      <c r="BZ48" s="161"/>
      <c r="CA48" s="160"/>
      <c r="CB48" s="160"/>
      <c r="CC48" s="160"/>
      <c r="CD48" s="160"/>
      <c r="CE48" s="160"/>
      <c r="CF48" s="160"/>
      <c r="CG48" s="160"/>
      <c r="CH48" s="160"/>
      <c r="CI48" s="160"/>
      <c r="CJ48" s="161"/>
      <c r="CK48" s="161"/>
      <c r="CL48" s="161"/>
      <c r="CM48" s="160"/>
      <c r="CN48" s="160">
        <v>3100</v>
      </c>
      <c r="CO48" s="160">
        <v>3100</v>
      </c>
      <c r="CP48" s="160"/>
      <c r="CQ48" s="160"/>
      <c r="CR48" s="160"/>
      <c r="CS48" s="160"/>
      <c r="CT48" s="160"/>
      <c r="CU48" s="160"/>
      <c r="CV48" s="161"/>
      <c r="CW48" s="161">
        <v>3100</v>
      </c>
      <c r="CX48" s="161">
        <v>3100</v>
      </c>
      <c r="CY48" s="161"/>
      <c r="CZ48" s="161">
        <v>3100</v>
      </c>
      <c r="DA48" s="161">
        <v>3100</v>
      </c>
      <c r="DB48" s="160"/>
      <c r="DC48" s="160"/>
      <c r="DD48" s="160"/>
      <c r="DE48" s="160"/>
      <c r="DF48" s="160"/>
      <c r="DG48" s="160"/>
      <c r="DH48" s="160"/>
      <c r="DI48" s="160"/>
      <c r="DJ48" s="160"/>
      <c r="DK48" s="161"/>
      <c r="DL48" s="161"/>
      <c r="DM48" s="161"/>
      <c r="DN48" s="161"/>
      <c r="DO48" s="161"/>
      <c r="DP48" s="161"/>
      <c r="DQ48" s="160"/>
      <c r="DR48" s="160">
        <v>3100</v>
      </c>
      <c r="DS48" s="160">
        <v>3100</v>
      </c>
    </row>
    <row r="49" spans="1:123">
      <c r="A49" s="128" t="s">
        <v>105</v>
      </c>
      <c r="B49" s="128"/>
      <c r="C49" s="14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9"/>
      <c r="BA49" s="159"/>
      <c r="BB49" s="159"/>
      <c r="BC49" s="159"/>
      <c r="BD49" s="159"/>
      <c r="BE49" s="159"/>
      <c r="BF49" s="160"/>
      <c r="BG49" s="160"/>
      <c r="BH49" s="160"/>
      <c r="BI49" s="160"/>
      <c r="BJ49" s="160"/>
      <c r="BK49" s="160"/>
      <c r="BL49" s="161"/>
      <c r="BM49" s="161"/>
      <c r="BN49" s="161"/>
      <c r="BO49" s="160"/>
      <c r="BP49" s="160"/>
      <c r="BQ49" s="160"/>
      <c r="BR49" s="160"/>
      <c r="BS49" s="160"/>
      <c r="BT49" s="160"/>
      <c r="BU49" s="160"/>
      <c r="BV49" s="160"/>
      <c r="BW49" s="160"/>
      <c r="BX49" s="161"/>
      <c r="BY49" s="161"/>
      <c r="BZ49" s="161"/>
      <c r="CA49" s="160"/>
      <c r="CB49" s="160"/>
      <c r="CC49" s="160"/>
      <c r="CD49" s="160"/>
      <c r="CE49" s="160"/>
      <c r="CF49" s="160"/>
      <c r="CG49" s="160"/>
      <c r="CH49" s="160"/>
      <c r="CI49" s="160"/>
      <c r="CJ49" s="161"/>
      <c r="CK49" s="161"/>
      <c r="CL49" s="161"/>
      <c r="CM49" s="160"/>
      <c r="CN49" s="160"/>
      <c r="CO49" s="160"/>
      <c r="CP49" s="160"/>
      <c r="CQ49" s="160"/>
      <c r="CR49" s="160"/>
      <c r="CS49" s="160"/>
      <c r="CT49" s="160"/>
      <c r="CU49" s="160"/>
      <c r="CV49" s="161"/>
      <c r="CW49" s="161"/>
      <c r="CX49" s="161"/>
      <c r="CY49" s="161"/>
      <c r="CZ49" s="161"/>
      <c r="DA49" s="161"/>
      <c r="DB49" s="160"/>
      <c r="DC49" s="160"/>
      <c r="DD49" s="160"/>
      <c r="DE49" s="160"/>
      <c r="DF49" s="160"/>
      <c r="DG49" s="160"/>
      <c r="DH49" s="160"/>
      <c r="DI49" s="160"/>
      <c r="DJ49" s="160"/>
      <c r="DK49" s="161"/>
      <c r="DL49" s="161"/>
      <c r="DM49" s="161"/>
      <c r="DN49" s="161"/>
      <c r="DO49" s="161"/>
      <c r="DP49" s="161"/>
      <c r="DQ49" s="160"/>
      <c r="DR49" s="160"/>
      <c r="DS49" s="160"/>
    </row>
    <row r="50" spans="1:123">
      <c r="A50" s="128"/>
      <c r="B50" s="128" t="s">
        <v>356</v>
      </c>
      <c r="C50" s="14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8"/>
      <c r="AQ50" s="158"/>
      <c r="AR50" s="158"/>
      <c r="AS50" s="158"/>
      <c r="AT50" s="158"/>
      <c r="AU50" s="158"/>
      <c r="AV50" s="158"/>
      <c r="AW50" s="158"/>
      <c r="AX50" s="158"/>
      <c r="AY50" s="158"/>
      <c r="AZ50" s="159"/>
      <c r="BA50" s="159"/>
      <c r="BB50" s="159"/>
      <c r="BC50" s="159"/>
      <c r="BD50" s="159"/>
      <c r="BE50" s="159"/>
      <c r="BF50" s="160"/>
      <c r="BG50" s="160"/>
      <c r="BH50" s="160"/>
      <c r="BI50" s="160"/>
      <c r="BJ50" s="160"/>
      <c r="BK50" s="160"/>
      <c r="BL50" s="161"/>
      <c r="BM50" s="161"/>
      <c r="BN50" s="161"/>
      <c r="BO50" s="160"/>
      <c r="BP50" s="160"/>
      <c r="BQ50" s="160"/>
      <c r="BR50" s="160"/>
      <c r="BS50" s="160"/>
      <c r="BT50" s="160"/>
      <c r="BU50" s="160"/>
      <c r="BV50" s="160"/>
      <c r="BW50" s="160"/>
      <c r="BX50" s="161"/>
      <c r="BY50" s="161"/>
      <c r="BZ50" s="161"/>
      <c r="CA50" s="160"/>
      <c r="CB50" s="160"/>
      <c r="CC50" s="160"/>
      <c r="CD50" s="160"/>
      <c r="CE50" s="160"/>
      <c r="CF50" s="160"/>
      <c r="CG50" s="160"/>
      <c r="CH50" s="160"/>
      <c r="CI50" s="160"/>
      <c r="CJ50" s="161"/>
      <c r="CK50" s="161"/>
      <c r="CL50" s="161"/>
      <c r="CM50" s="160"/>
      <c r="CN50" s="160"/>
      <c r="CO50" s="160"/>
      <c r="CP50" s="160"/>
      <c r="CQ50" s="160"/>
      <c r="CR50" s="160"/>
      <c r="CS50" s="160"/>
      <c r="CT50" s="160"/>
      <c r="CU50" s="160"/>
      <c r="CV50" s="161"/>
      <c r="CW50" s="161"/>
      <c r="CX50" s="161"/>
      <c r="CY50" s="161"/>
      <c r="CZ50" s="161"/>
      <c r="DA50" s="161"/>
      <c r="DB50" s="160"/>
      <c r="DC50" s="160"/>
      <c r="DD50" s="160"/>
      <c r="DE50" s="160"/>
      <c r="DF50" s="160"/>
      <c r="DG50" s="160"/>
      <c r="DH50" s="160"/>
      <c r="DI50" s="160"/>
      <c r="DJ50" s="160"/>
      <c r="DK50" s="161"/>
      <c r="DL50" s="161"/>
      <c r="DM50" s="161"/>
      <c r="DN50" s="161"/>
      <c r="DO50" s="161"/>
      <c r="DP50" s="161"/>
      <c r="DQ50" s="160"/>
      <c r="DR50" s="160"/>
      <c r="DS50" s="160"/>
    </row>
    <row r="51" ht="47.25" spans="1:123">
      <c r="A51" s="128"/>
      <c r="B51" s="128"/>
      <c r="C51" s="148" t="s">
        <v>128</v>
      </c>
      <c r="D51" s="158"/>
      <c r="E51" s="158"/>
      <c r="F51" s="158"/>
      <c r="G51" s="158"/>
      <c r="H51" s="158"/>
      <c r="I51" s="158"/>
      <c r="J51" s="158">
        <v>3000</v>
      </c>
      <c r="K51" s="158"/>
      <c r="L51" s="158">
        <v>3000</v>
      </c>
      <c r="M51" s="158">
        <v>3000</v>
      </c>
      <c r="N51" s="158"/>
      <c r="O51" s="158">
        <v>3000</v>
      </c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8"/>
      <c r="AQ51" s="158"/>
      <c r="AR51" s="158"/>
      <c r="AS51" s="158"/>
      <c r="AT51" s="158"/>
      <c r="AU51" s="158"/>
      <c r="AV51" s="158"/>
      <c r="AW51" s="158"/>
      <c r="AX51" s="158"/>
      <c r="AY51" s="158"/>
      <c r="AZ51" s="159">
        <v>3000</v>
      </c>
      <c r="BA51" s="159"/>
      <c r="BB51" s="159">
        <v>3000</v>
      </c>
      <c r="BC51" s="159">
        <v>3000</v>
      </c>
      <c r="BD51" s="159"/>
      <c r="BE51" s="159">
        <v>3000</v>
      </c>
      <c r="BF51" s="160"/>
      <c r="BG51" s="160"/>
      <c r="BH51" s="160"/>
      <c r="BI51" s="160"/>
      <c r="BJ51" s="160"/>
      <c r="BK51" s="160"/>
      <c r="BL51" s="161"/>
      <c r="BM51" s="161"/>
      <c r="BN51" s="161"/>
      <c r="BO51" s="160"/>
      <c r="BP51" s="160"/>
      <c r="BQ51" s="160"/>
      <c r="BR51" s="160"/>
      <c r="BS51" s="160"/>
      <c r="BT51" s="160"/>
      <c r="BU51" s="160"/>
      <c r="BV51" s="160"/>
      <c r="BW51" s="160"/>
      <c r="BX51" s="161"/>
      <c r="BY51" s="161"/>
      <c r="BZ51" s="161"/>
      <c r="CA51" s="160">
        <v>3000</v>
      </c>
      <c r="CB51" s="160"/>
      <c r="CC51" s="160">
        <v>3000</v>
      </c>
      <c r="CD51" s="160"/>
      <c r="CE51" s="160"/>
      <c r="CF51" s="160"/>
      <c r="CG51" s="160"/>
      <c r="CH51" s="160"/>
      <c r="CI51" s="160"/>
      <c r="CJ51" s="161">
        <v>3000</v>
      </c>
      <c r="CK51" s="161"/>
      <c r="CL51" s="161">
        <v>3000</v>
      </c>
      <c r="CM51" s="160"/>
      <c r="CN51" s="160"/>
      <c r="CO51" s="160"/>
      <c r="CP51" s="160"/>
      <c r="CQ51" s="160"/>
      <c r="CR51" s="160"/>
      <c r="CS51" s="160"/>
      <c r="CT51" s="160"/>
      <c r="CU51" s="160"/>
      <c r="CV51" s="161"/>
      <c r="CW51" s="161"/>
      <c r="CX51" s="161"/>
      <c r="CY51" s="161">
        <v>3000</v>
      </c>
      <c r="CZ51" s="161"/>
      <c r="DA51" s="161">
        <v>3000</v>
      </c>
      <c r="DB51" s="160"/>
      <c r="DC51" s="160"/>
      <c r="DD51" s="160"/>
      <c r="DE51" s="160"/>
      <c r="DF51" s="160"/>
      <c r="DG51" s="160"/>
      <c r="DH51" s="160"/>
      <c r="DI51" s="160"/>
      <c r="DJ51" s="160"/>
      <c r="DK51" s="161"/>
      <c r="DL51" s="161"/>
      <c r="DM51" s="161"/>
      <c r="DN51" s="161"/>
      <c r="DO51" s="161"/>
      <c r="DP51" s="161"/>
      <c r="DQ51" s="160">
        <v>3000</v>
      </c>
      <c r="DR51" s="160"/>
      <c r="DS51" s="160">
        <v>3000</v>
      </c>
    </row>
    <row r="52" spans="1:123">
      <c r="A52" s="128"/>
      <c r="B52" s="128"/>
      <c r="C52" s="148" t="s">
        <v>107</v>
      </c>
      <c r="D52" s="158"/>
      <c r="E52" s="158"/>
      <c r="F52" s="158"/>
      <c r="G52" s="158"/>
      <c r="H52" s="158"/>
      <c r="I52" s="158"/>
      <c r="J52" s="158">
        <v>650</v>
      </c>
      <c r="K52" s="158"/>
      <c r="L52" s="158">
        <v>650</v>
      </c>
      <c r="M52" s="158">
        <v>650</v>
      </c>
      <c r="N52" s="158"/>
      <c r="O52" s="158">
        <v>650</v>
      </c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8"/>
      <c r="AP52" s="158"/>
      <c r="AQ52" s="158"/>
      <c r="AR52" s="158"/>
      <c r="AS52" s="158"/>
      <c r="AT52" s="158"/>
      <c r="AU52" s="158"/>
      <c r="AV52" s="158"/>
      <c r="AW52" s="158"/>
      <c r="AX52" s="158"/>
      <c r="AY52" s="158"/>
      <c r="AZ52" s="159">
        <v>650</v>
      </c>
      <c r="BA52" s="159"/>
      <c r="BB52" s="159">
        <v>650</v>
      </c>
      <c r="BC52" s="159">
        <v>650</v>
      </c>
      <c r="BD52" s="159"/>
      <c r="BE52" s="159">
        <v>650</v>
      </c>
      <c r="BF52" s="160"/>
      <c r="BG52" s="160"/>
      <c r="BH52" s="160"/>
      <c r="BI52" s="160"/>
      <c r="BJ52" s="160"/>
      <c r="BK52" s="160"/>
      <c r="BL52" s="161"/>
      <c r="BM52" s="161"/>
      <c r="BN52" s="161"/>
      <c r="BO52" s="160"/>
      <c r="BP52" s="160"/>
      <c r="BQ52" s="160"/>
      <c r="BR52" s="160"/>
      <c r="BS52" s="160"/>
      <c r="BT52" s="160"/>
      <c r="BU52" s="160"/>
      <c r="BV52" s="160"/>
      <c r="BW52" s="160"/>
      <c r="BX52" s="161"/>
      <c r="BY52" s="161"/>
      <c r="BZ52" s="161"/>
      <c r="CA52" s="160"/>
      <c r="CB52" s="160"/>
      <c r="CC52" s="160"/>
      <c r="CD52" s="160">
        <v>650</v>
      </c>
      <c r="CE52" s="160"/>
      <c r="CF52" s="160">
        <v>650</v>
      </c>
      <c r="CG52" s="160"/>
      <c r="CH52" s="160"/>
      <c r="CI52" s="160"/>
      <c r="CJ52" s="161">
        <v>650</v>
      </c>
      <c r="CK52" s="161"/>
      <c r="CL52" s="161">
        <v>650</v>
      </c>
      <c r="CM52" s="160"/>
      <c r="CN52" s="160"/>
      <c r="CO52" s="160"/>
      <c r="CP52" s="160"/>
      <c r="CQ52" s="160"/>
      <c r="CR52" s="160"/>
      <c r="CS52" s="160"/>
      <c r="CT52" s="160"/>
      <c r="CU52" s="160"/>
      <c r="CV52" s="161"/>
      <c r="CW52" s="161"/>
      <c r="CX52" s="161"/>
      <c r="CY52" s="161">
        <v>650</v>
      </c>
      <c r="CZ52" s="161"/>
      <c r="DA52" s="161">
        <v>650</v>
      </c>
      <c r="DB52" s="160"/>
      <c r="DC52" s="160"/>
      <c r="DD52" s="160"/>
      <c r="DE52" s="160"/>
      <c r="DF52" s="160"/>
      <c r="DG52" s="160"/>
      <c r="DH52" s="160"/>
      <c r="DI52" s="160"/>
      <c r="DJ52" s="160"/>
      <c r="DK52" s="161"/>
      <c r="DL52" s="161"/>
      <c r="DM52" s="161"/>
      <c r="DN52" s="161"/>
      <c r="DO52" s="161"/>
      <c r="DP52" s="161"/>
      <c r="DQ52" s="160">
        <v>650</v>
      </c>
      <c r="DR52" s="160"/>
      <c r="DS52" s="160">
        <v>650</v>
      </c>
    </row>
    <row r="53" spans="1:123">
      <c r="A53" s="128"/>
      <c r="B53" s="128"/>
      <c r="C53" s="148" t="s">
        <v>115</v>
      </c>
      <c r="D53" s="158"/>
      <c r="E53" s="158"/>
      <c r="F53" s="158"/>
      <c r="G53" s="158"/>
      <c r="H53" s="158"/>
      <c r="I53" s="158"/>
      <c r="J53" s="158">
        <v>280</v>
      </c>
      <c r="K53" s="158"/>
      <c r="L53" s="158">
        <v>280</v>
      </c>
      <c r="M53" s="158">
        <v>280</v>
      </c>
      <c r="N53" s="158"/>
      <c r="O53" s="158">
        <v>280</v>
      </c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58"/>
      <c r="AQ53" s="158"/>
      <c r="AR53" s="158"/>
      <c r="AS53" s="158"/>
      <c r="AT53" s="158"/>
      <c r="AU53" s="158"/>
      <c r="AV53" s="158"/>
      <c r="AW53" s="158"/>
      <c r="AX53" s="158"/>
      <c r="AY53" s="158"/>
      <c r="AZ53" s="159">
        <v>280</v>
      </c>
      <c r="BA53" s="159"/>
      <c r="BB53" s="159">
        <v>280</v>
      </c>
      <c r="BC53" s="159">
        <v>280</v>
      </c>
      <c r="BD53" s="159"/>
      <c r="BE53" s="159">
        <v>280</v>
      </c>
      <c r="BF53" s="160"/>
      <c r="BG53" s="160"/>
      <c r="BH53" s="160"/>
      <c r="BI53" s="160"/>
      <c r="BJ53" s="160"/>
      <c r="BK53" s="160"/>
      <c r="BL53" s="161"/>
      <c r="BM53" s="161"/>
      <c r="BN53" s="161"/>
      <c r="BO53" s="160"/>
      <c r="BP53" s="160"/>
      <c r="BQ53" s="160"/>
      <c r="BR53" s="160"/>
      <c r="BS53" s="160"/>
      <c r="BT53" s="160"/>
      <c r="BU53" s="160"/>
      <c r="BV53" s="160"/>
      <c r="BW53" s="160"/>
      <c r="BX53" s="161"/>
      <c r="BY53" s="161"/>
      <c r="BZ53" s="161"/>
      <c r="CA53" s="160"/>
      <c r="CB53" s="160"/>
      <c r="CC53" s="160"/>
      <c r="CD53" s="160"/>
      <c r="CE53" s="160"/>
      <c r="CF53" s="160"/>
      <c r="CG53" s="160"/>
      <c r="CH53" s="160"/>
      <c r="CI53" s="160"/>
      <c r="CJ53" s="161"/>
      <c r="CK53" s="161"/>
      <c r="CL53" s="161"/>
      <c r="CM53" s="160"/>
      <c r="CN53" s="160"/>
      <c r="CO53" s="160"/>
      <c r="CP53" s="160">
        <v>280</v>
      </c>
      <c r="CQ53" s="160"/>
      <c r="CR53" s="160">
        <v>280</v>
      </c>
      <c r="CS53" s="160"/>
      <c r="CT53" s="160"/>
      <c r="CU53" s="160"/>
      <c r="CV53" s="161">
        <v>280</v>
      </c>
      <c r="CW53" s="161"/>
      <c r="CX53" s="161">
        <v>280</v>
      </c>
      <c r="CY53" s="161">
        <v>280</v>
      </c>
      <c r="CZ53" s="161"/>
      <c r="DA53" s="161">
        <v>280</v>
      </c>
      <c r="DB53" s="160"/>
      <c r="DC53" s="160"/>
      <c r="DD53" s="160"/>
      <c r="DE53" s="160"/>
      <c r="DF53" s="160"/>
      <c r="DG53" s="160"/>
      <c r="DH53" s="160"/>
      <c r="DI53" s="160"/>
      <c r="DJ53" s="160"/>
      <c r="DK53" s="161"/>
      <c r="DL53" s="161"/>
      <c r="DM53" s="161"/>
      <c r="DN53" s="161"/>
      <c r="DO53" s="161"/>
      <c r="DP53" s="161"/>
      <c r="DQ53" s="160">
        <v>280</v>
      </c>
      <c r="DR53" s="160"/>
      <c r="DS53" s="160">
        <v>280</v>
      </c>
    </row>
    <row r="54" spans="1:123">
      <c r="A54" s="128"/>
      <c r="B54" s="128"/>
      <c r="C54" s="148" t="s">
        <v>119</v>
      </c>
      <c r="D54" s="158"/>
      <c r="E54" s="158"/>
      <c r="F54" s="158"/>
      <c r="G54" s="158">
        <v>330</v>
      </c>
      <c r="H54" s="158"/>
      <c r="I54" s="158">
        <v>330</v>
      </c>
      <c r="J54" s="158"/>
      <c r="K54" s="158"/>
      <c r="L54" s="158"/>
      <c r="M54" s="158">
        <v>330</v>
      </c>
      <c r="N54" s="158"/>
      <c r="O54" s="158">
        <v>330</v>
      </c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  <c r="AN54" s="158"/>
      <c r="AO54" s="158"/>
      <c r="AP54" s="158"/>
      <c r="AQ54" s="158"/>
      <c r="AR54" s="158"/>
      <c r="AS54" s="158"/>
      <c r="AT54" s="158"/>
      <c r="AU54" s="158"/>
      <c r="AV54" s="158"/>
      <c r="AW54" s="158"/>
      <c r="AX54" s="158"/>
      <c r="AY54" s="158"/>
      <c r="AZ54" s="159">
        <v>330</v>
      </c>
      <c r="BA54" s="159"/>
      <c r="BB54" s="159">
        <v>330</v>
      </c>
      <c r="BC54" s="159">
        <v>330</v>
      </c>
      <c r="BD54" s="159"/>
      <c r="BE54" s="159">
        <v>330</v>
      </c>
      <c r="BF54" s="160"/>
      <c r="BG54" s="160"/>
      <c r="BH54" s="160"/>
      <c r="BI54" s="160"/>
      <c r="BJ54" s="160"/>
      <c r="BK54" s="160"/>
      <c r="BL54" s="161"/>
      <c r="BM54" s="161"/>
      <c r="BN54" s="161"/>
      <c r="BO54" s="160">
        <v>330</v>
      </c>
      <c r="BP54" s="160"/>
      <c r="BQ54" s="160">
        <v>330</v>
      </c>
      <c r="BR54" s="160"/>
      <c r="BS54" s="160"/>
      <c r="BT54" s="160"/>
      <c r="BU54" s="160"/>
      <c r="BV54" s="160"/>
      <c r="BW54" s="160"/>
      <c r="BX54" s="161">
        <v>330</v>
      </c>
      <c r="BY54" s="161"/>
      <c r="BZ54" s="161">
        <v>330</v>
      </c>
      <c r="CA54" s="160"/>
      <c r="CB54" s="160"/>
      <c r="CC54" s="160"/>
      <c r="CD54" s="160"/>
      <c r="CE54" s="160"/>
      <c r="CF54" s="160"/>
      <c r="CG54" s="160"/>
      <c r="CH54" s="160"/>
      <c r="CI54" s="160"/>
      <c r="CJ54" s="161"/>
      <c r="CK54" s="161"/>
      <c r="CL54" s="161"/>
      <c r="CM54" s="160"/>
      <c r="CN54" s="160"/>
      <c r="CO54" s="160"/>
      <c r="CP54" s="160"/>
      <c r="CQ54" s="160"/>
      <c r="CR54" s="160"/>
      <c r="CS54" s="160"/>
      <c r="CT54" s="160"/>
      <c r="CU54" s="160"/>
      <c r="CV54" s="161"/>
      <c r="CW54" s="161"/>
      <c r="CX54" s="161"/>
      <c r="CY54" s="161">
        <v>330</v>
      </c>
      <c r="CZ54" s="161"/>
      <c r="DA54" s="161">
        <v>330</v>
      </c>
      <c r="DB54" s="160"/>
      <c r="DC54" s="160"/>
      <c r="DD54" s="160"/>
      <c r="DE54" s="160"/>
      <c r="DF54" s="160"/>
      <c r="DG54" s="160"/>
      <c r="DH54" s="160"/>
      <c r="DI54" s="160"/>
      <c r="DJ54" s="160"/>
      <c r="DK54" s="161"/>
      <c r="DL54" s="161"/>
      <c r="DM54" s="161"/>
      <c r="DN54" s="161"/>
      <c r="DO54" s="161"/>
      <c r="DP54" s="161"/>
      <c r="DQ54" s="160">
        <v>330</v>
      </c>
      <c r="DR54" s="160"/>
      <c r="DS54" s="160">
        <v>330</v>
      </c>
    </row>
    <row r="55" spans="1:123">
      <c r="A55" s="128"/>
      <c r="B55" s="128" t="s">
        <v>357</v>
      </c>
      <c r="C55" s="14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8"/>
      <c r="AV55" s="158"/>
      <c r="AW55" s="158"/>
      <c r="AX55" s="158"/>
      <c r="AY55" s="158"/>
      <c r="AZ55" s="159"/>
      <c r="BA55" s="159"/>
      <c r="BB55" s="159"/>
      <c r="BC55" s="159"/>
      <c r="BD55" s="159"/>
      <c r="BE55" s="159"/>
      <c r="BF55" s="160"/>
      <c r="BG55" s="160"/>
      <c r="BH55" s="160"/>
      <c r="BI55" s="160"/>
      <c r="BJ55" s="160"/>
      <c r="BK55" s="160"/>
      <c r="BL55" s="161"/>
      <c r="BM55" s="161"/>
      <c r="BN55" s="161"/>
      <c r="BO55" s="160"/>
      <c r="BP55" s="160"/>
      <c r="BQ55" s="160"/>
      <c r="BR55" s="160"/>
      <c r="BS55" s="160"/>
      <c r="BT55" s="160"/>
      <c r="BU55" s="160"/>
      <c r="BV55" s="160"/>
      <c r="BW55" s="160"/>
      <c r="BX55" s="161"/>
      <c r="BY55" s="161"/>
      <c r="BZ55" s="161"/>
      <c r="CA55" s="160"/>
      <c r="CB55" s="160"/>
      <c r="CC55" s="160"/>
      <c r="CD55" s="160"/>
      <c r="CE55" s="160"/>
      <c r="CF55" s="160"/>
      <c r="CG55" s="160"/>
      <c r="CH55" s="160"/>
      <c r="CI55" s="160"/>
      <c r="CJ55" s="161"/>
      <c r="CK55" s="161"/>
      <c r="CL55" s="161"/>
      <c r="CM55" s="160"/>
      <c r="CN55" s="160"/>
      <c r="CO55" s="160"/>
      <c r="CP55" s="160"/>
      <c r="CQ55" s="160"/>
      <c r="CR55" s="160"/>
      <c r="CS55" s="160"/>
      <c r="CT55" s="160"/>
      <c r="CU55" s="160"/>
      <c r="CV55" s="161"/>
      <c r="CW55" s="161"/>
      <c r="CX55" s="161"/>
      <c r="CY55" s="161"/>
      <c r="CZ55" s="161"/>
      <c r="DA55" s="161"/>
      <c r="DB55" s="160"/>
      <c r="DC55" s="160"/>
      <c r="DD55" s="160"/>
      <c r="DE55" s="160"/>
      <c r="DF55" s="160"/>
      <c r="DG55" s="160"/>
      <c r="DH55" s="160"/>
      <c r="DI55" s="160"/>
      <c r="DJ55" s="160"/>
      <c r="DK55" s="161"/>
      <c r="DL55" s="161"/>
      <c r="DM55" s="161"/>
      <c r="DN55" s="161"/>
      <c r="DO55" s="161"/>
      <c r="DP55" s="161"/>
      <c r="DQ55" s="160"/>
      <c r="DR55" s="160"/>
      <c r="DS55" s="160"/>
    </row>
    <row r="56" spans="1:123">
      <c r="A56" s="128"/>
      <c r="B56" s="128"/>
      <c r="C56" s="148" t="s">
        <v>133</v>
      </c>
      <c r="D56" s="158"/>
      <c r="E56" s="158"/>
      <c r="F56" s="158"/>
      <c r="G56" s="158"/>
      <c r="H56" s="158"/>
      <c r="I56" s="158"/>
      <c r="J56" s="158">
        <v>1000</v>
      </c>
      <c r="K56" s="158"/>
      <c r="L56" s="158">
        <v>1000</v>
      </c>
      <c r="M56" s="158">
        <v>1000</v>
      </c>
      <c r="N56" s="158"/>
      <c r="O56" s="158">
        <v>1000</v>
      </c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  <c r="AM56" s="158"/>
      <c r="AN56" s="158"/>
      <c r="AO56" s="158"/>
      <c r="AP56" s="158"/>
      <c r="AQ56" s="158"/>
      <c r="AR56" s="158"/>
      <c r="AS56" s="158"/>
      <c r="AT56" s="158"/>
      <c r="AU56" s="158"/>
      <c r="AV56" s="158"/>
      <c r="AW56" s="158"/>
      <c r="AX56" s="158"/>
      <c r="AY56" s="158"/>
      <c r="AZ56" s="159">
        <v>1000</v>
      </c>
      <c r="BA56" s="159"/>
      <c r="BB56" s="159">
        <v>1000</v>
      </c>
      <c r="BC56" s="159">
        <v>1000</v>
      </c>
      <c r="BD56" s="159"/>
      <c r="BE56" s="159">
        <v>1000</v>
      </c>
      <c r="BF56" s="160"/>
      <c r="BG56" s="160"/>
      <c r="BH56" s="160"/>
      <c r="BI56" s="160"/>
      <c r="BJ56" s="160"/>
      <c r="BK56" s="160"/>
      <c r="BL56" s="161"/>
      <c r="BM56" s="161"/>
      <c r="BN56" s="161"/>
      <c r="BO56" s="160"/>
      <c r="BP56" s="160"/>
      <c r="BQ56" s="160"/>
      <c r="BR56" s="160"/>
      <c r="BS56" s="160"/>
      <c r="BT56" s="160"/>
      <c r="BU56" s="160"/>
      <c r="BV56" s="160"/>
      <c r="BW56" s="160"/>
      <c r="BX56" s="161"/>
      <c r="BY56" s="161"/>
      <c r="BZ56" s="161"/>
      <c r="CA56" s="160">
        <v>1000</v>
      </c>
      <c r="CB56" s="160"/>
      <c r="CC56" s="160">
        <v>1000</v>
      </c>
      <c r="CD56" s="160"/>
      <c r="CE56" s="160"/>
      <c r="CF56" s="160"/>
      <c r="CG56" s="160"/>
      <c r="CH56" s="160"/>
      <c r="CI56" s="160"/>
      <c r="CJ56" s="161">
        <v>1000</v>
      </c>
      <c r="CK56" s="161"/>
      <c r="CL56" s="161">
        <v>1000</v>
      </c>
      <c r="CM56" s="160"/>
      <c r="CN56" s="160"/>
      <c r="CO56" s="160"/>
      <c r="CP56" s="160"/>
      <c r="CQ56" s="160"/>
      <c r="CR56" s="160"/>
      <c r="CS56" s="160"/>
      <c r="CT56" s="160"/>
      <c r="CU56" s="160"/>
      <c r="CV56" s="161"/>
      <c r="CW56" s="161"/>
      <c r="CX56" s="161"/>
      <c r="CY56" s="161">
        <v>1000</v>
      </c>
      <c r="CZ56" s="161"/>
      <c r="DA56" s="161">
        <v>1000</v>
      </c>
      <c r="DB56" s="160"/>
      <c r="DC56" s="160"/>
      <c r="DD56" s="160"/>
      <c r="DE56" s="160"/>
      <c r="DF56" s="160"/>
      <c r="DG56" s="160"/>
      <c r="DH56" s="160"/>
      <c r="DI56" s="160"/>
      <c r="DJ56" s="160"/>
      <c r="DK56" s="161"/>
      <c r="DL56" s="161"/>
      <c r="DM56" s="161"/>
      <c r="DN56" s="161"/>
      <c r="DO56" s="161"/>
      <c r="DP56" s="161"/>
      <c r="DQ56" s="160">
        <v>1000</v>
      </c>
      <c r="DR56" s="160"/>
      <c r="DS56" s="160">
        <v>1000</v>
      </c>
    </row>
    <row r="57" spans="1:123">
      <c r="A57" s="128"/>
      <c r="B57" s="128"/>
      <c r="C57" s="148" t="s">
        <v>117</v>
      </c>
      <c r="D57" s="158"/>
      <c r="E57" s="158"/>
      <c r="F57" s="158"/>
      <c r="G57" s="158"/>
      <c r="H57" s="158"/>
      <c r="I57" s="158"/>
      <c r="J57" s="158">
        <v>160</v>
      </c>
      <c r="K57" s="158"/>
      <c r="L57" s="158">
        <v>160</v>
      </c>
      <c r="M57" s="158">
        <v>160</v>
      </c>
      <c r="N57" s="158"/>
      <c r="O57" s="158">
        <v>160</v>
      </c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  <c r="AM57" s="158"/>
      <c r="AN57" s="158"/>
      <c r="AO57" s="158"/>
      <c r="AP57" s="158"/>
      <c r="AQ57" s="158"/>
      <c r="AR57" s="158"/>
      <c r="AS57" s="158"/>
      <c r="AT57" s="158"/>
      <c r="AU57" s="158"/>
      <c r="AV57" s="158"/>
      <c r="AW57" s="158"/>
      <c r="AX57" s="158"/>
      <c r="AY57" s="158"/>
      <c r="AZ57" s="159">
        <v>160</v>
      </c>
      <c r="BA57" s="159"/>
      <c r="BB57" s="159">
        <v>160</v>
      </c>
      <c r="BC57" s="159">
        <v>160</v>
      </c>
      <c r="BD57" s="159"/>
      <c r="BE57" s="159">
        <v>160</v>
      </c>
      <c r="BF57" s="160"/>
      <c r="BG57" s="160"/>
      <c r="BH57" s="160"/>
      <c r="BI57" s="160"/>
      <c r="BJ57" s="160"/>
      <c r="BK57" s="160"/>
      <c r="BL57" s="161"/>
      <c r="BM57" s="161"/>
      <c r="BN57" s="161"/>
      <c r="BO57" s="160"/>
      <c r="BP57" s="160"/>
      <c r="BQ57" s="160"/>
      <c r="BR57" s="160"/>
      <c r="BS57" s="160"/>
      <c r="BT57" s="160"/>
      <c r="BU57" s="160"/>
      <c r="BV57" s="160"/>
      <c r="BW57" s="160"/>
      <c r="BX57" s="161"/>
      <c r="BY57" s="161"/>
      <c r="BZ57" s="161"/>
      <c r="CA57" s="160"/>
      <c r="CB57" s="160"/>
      <c r="CC57" s="160"/>
      <c r="CD57" s="160"/>
      <c r="CE57" s="160"/>
      <c r="CF57" s="160"/>
      <c r="CG57" s="160"/>
      <c r="CH57" s="160"/>
      <c r="CI57" s="160"/>
      <c r="CJ57" s="161"/>
      <c r="CK57" s="161"/>
      <c r="CL57" s="161"/>
      <c r="CM57" s="160"/>
      <c r="CN57" s="160"/>
      <c r="CO57" s="160"/>
      <c r="CP57" s="160">
        <v>160</v>
      </c>
      <c r="CQ57" s="160"/>
      <c r="CR57" s="160">
        <v>160</v>
      </c>
      <c r="CS57" s="160"/>
      <c r="CT57" s="160"/>
      <c r="CU57" s="160"/>
      <c r="CV57" s="161">
        <v>160</v>
      </c>
      <c r="CW57" s="161"/>
      <c r="CX57" s="161">
        <v>160</v>
      </c>
      <c r="CY57" s="161">
        <v>160</v>
      </c>
      <c r="CZ57" s="161"/>
      <c r="DA57" s="161">
        <v>160</v>
      </c>
      <c r="DB57" s="160"/>
      <c r="DC57" s="160"/>
      <c r="DD57" s="160"/>
      <c r="DE57" s="160"/>
      <c r="DF57" s="160"/>
      <c r="DG57" s="160"/>
      <c r="DH57" s="160"/>
      <c r="DI57" s="160"/>
      <c r="DJ57" s="160"/>
      <c r="DK57" s="161"/>
      <c r="DL57" s="161"/>
      <c r="DM57" s="161"/>
      <c r="DN57" s="161"/>
      <c r="DO57" s="161"/>
      <c r="DP57" s="161"/>
      <c r="DQ57" s="160">
        <v>160</v>
      </c>
      <c r="DR57" s="160"/>
      <c r="DS57" s="160">
        <v>160</v>
      </c>
    </row>
    <row r="58" spans="1:123">
      <c r="A58" s="128"/>
      <c r="B58" s="128"/>
      <c r="C58" s="148" t="s">
        <v>121</v>
      </c>
      <c r="D58" s="158"/>
      <c r="E58" s="158"/>
      <c r="F58" s="158"/>
      <c r="G58" s="158">
        <v>200</v>
      </c>
      <c r="H58" s="158"/>
      <c r="I58" s="158">
        <v>200</v>
      </c>
      <c r="J58" s="158"/>
      <c r="K58" s="158"/>
      <c r="L58" s="158"/>
      <c r="M58" s="158">
        <v>200</v>
      </c>
      <c r="N58" s="158"/>
      <c r="O58" s="158">
        <v>200</v>
      </c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  <c r="AM58" s="158"/>
      <c r="AN58" s="158"/>
      <c r="AO58" s="158"/>
      <c r="AP58" s="158"/>
      <c r="AQ58" s="158"/>
      <c r="AR58" s="158"/>
      <c r="AS58" s="158"/>
      <c r="AT58" s="158"/>
      <c r="AU58" s="158"/>
      <c r="AV58" s="158"/>
      <c r="AW58" s="158"/>
      <c r="AX58" s="158"/>
      <c r="AY58" s="158"/>
      <c r="AZ58" s="159">
        <v>200</v>
      </c>
      <c r="BA58" s="159"/>
      <c r="BB58" s="159">
        <v>200</v>
      </c>
      <c r="BC58" s="159">
        <v>200</v>
      </c>
      <c r="BD58" s="159"/>
      <c r="BE58" s="159">
        <v>200</v>
      </c>
      <c r="BF58" s="160"/>
      <c r="BG58" s="160"/>
      <c r="BH58" s="160"/>
      <c r="BI58" s="160"/>
      <c r="BJ58" s="160"/>
      <c r="BK58" s="160"/>
      <c r="BL58" s="161"/>
      <c r="BM58" s="161"/>
      <c r="BN58" s="161"/>
      <c r="BO58" s="160">
        <v>200</v>
      </c>
      <c r="BP58" s="160"/>
      <c r="BQ58" s="160">
        <v>200</v>
      </c>
      <c r="BR58" s="160"/>
      <c r="BS58" s="160"/>
      <c r="BT58" s="160"/>
      <c r="BU58" s="160"/>
      <c r="BV58" s="160"/>
      <c r="BW58" s="160"/>
      <c r="BX58" s="161">
        <v>200</v>
      </c>
      <c r="BY58" s="161"/>
      <c r="BZ58" s="161">
        <v>200</v>
      </c>
      <c r="CA58" s="160"/>
      <c r="CB58" s="160"/>
      <c r="CC58" s="160"/>
      <c r="CD58" s="160"/>
      <c r="CE58" s="160"/>
      <c r="CF58" s="160"/>
      <c r="CG58" s="160"/>
      <c r="CH58" s="160"/>
      <c r="CI58" s="160"/>
      <c r="CJ58" s="161"/>
      <c r="CK58" s="161"/>
      <c r="CL58" s="161"/>
      <c r="CM58" s="160"/>
      <c r="CN58" s="160"/>
      <c r="CO58" s="160"/>
      <c r="CP58" s="160"/>
      <c r="CQ58" s="160"/>
      <c r="CR58" s="160"/>
      <c r="CS58" s="160"/>
      <c r="CT58" s="160"/>
      <c r="CU58" s="160"/>
      <c r="CV58" s="161"/>
      <c r="CW58" s="161"/>
      <c r="CX58" s="161"/>
      <c r="CY58" s="161">
        <v>200</v>
      </c>
      <c r="CZ58" s="161"/>
      <c r="DA58" s="161">
        <v>200</v>
      </c>
      <c r="DB58" s="160"/>
      <c r="DC58" s="160"/>
      <c r="DD58" s="160"/>
      <c r="DE58" s="160"/>
      <c r="DF58" s="160"/>
      <c r="DG58" s="160"/>
      <c r="DH58" s="160"/>
      <c r="DI58" s="160"/>
      <c r="DJ58" s="160"/>
      <c r="DK58" s="161"/>
      <c r="DL58" s="161"/>
      <c r="DM58" s="161"/>
      <c r="DN58" s="161"/>
      <c r="DO58" s="161"/>
      <c r="DP58" s="161"/>
      <c r="DQ58" s="160">
        <v>200</v>
      </c>
      <c r="DR58" s="160"/>
      <c r="DS58" s="160">
        <v>200</v>
      </c>
    </row>
    <row r="59" spans="1:123">
      <c r="A59" s="128"/>
      <c r="B59" s="128" t="s">
        <v>358</v>
      </c>
      <c r="C59" s="14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58"/>
      <c r="AO59" s="158"/>
      <c r="AP59" s="158"/>
      <c r="AQ59" s="158"/>
      <c r="AR59" s="158"/>
      <c r="AS59" s="158"/>
      <c r="AT59" s="158"/>
      <c r="AU59" s="158"/>
      <c r="AV59" s="158"/>
      <c r="AW59" s="158"/>
      <c r="AX59" s="158"/>
      <c r="AY59" s="158"/>
      <c r="AZ59" s="159"/>
      <c r="BA59" s="159"/>
      <c r="BB59" s="159"/>
      <c r="BC59" s="159"/>
      <c r="BD59" s="159"/>
      <c r="BE59" s="159"/>
      <c r="BF59" s="160"/>
      <c r="BG59" s="160"/>
      <c r="BH59" s="160"/>
      <c r="BI59" s="160"/>
      <c r="BJ59" s="160"/>
      <c r="BK59" s="160"/>
      <c r="BL59" s="161"/>
      <c r="BM59" s="161"/>
      <c r="BN59" s="161"/>
      <c r="BO59" s="160"/>
      <c r="BP59" s="160"/>
      <c r="BQ59" s="160"/>
      <c r="BR59" s="160"/>
      <c r="BS59" s="160"/>
      <c r="BT59" s="160"/>
      <c r="BU59" s="160"/>
      <c r="BV59" s="160"/>
      <c r="BW59" s="160"/>
      <c r="BX59" s="161"/>
      <c r="BY59" s="161"/>
      <c r="BZ59" s="161"/>
      <c r="CA59" s="160"/>
      <c r="CB59" s="160"/>
      <c r="CC59" s="160"/>
      <c r="CD59" s="160"/>
      <c r="CE59" s="160"/>
      <c r="CF59" s="160"/>
      <c r="CG59" s="160"/>
      <c r="CH59" s="160"/>
      <c r="CI59" s="160"/>
      <c r="CJ59" s="161"/>
      <c r="CK59" s="161"/>
      <c r="CL59" s="161"/>
      <c r="CM59" s="160"/>
      <c r="CN59" s="160"/>
      <c r="CO59" s="160"/>
      <c r="CP59" s="160"/>
      <c r="CQ59" s="160"/>
      <c r="CR59" s="160"/>
      <c r="CS59" s="160"/>
      <c r="CT59" s="160"/>
      <c r="CU59" s="160"/>
      <c r="CV59" s="161"/>
      <c r="CW59" s="161"/>
      <c r="CX59" s="161"/>
      <c r="CY59" s="161"/>
      <c r="CZ59" s="161"/>
      <c r="DA59" s="161"/>
      <c r="DB59" s="160"/>
      <c r="DC59" s="160"/>
      <c r="DD59" s="160"/>
      <c r="DE59" s="160"/>
      <c r="DF59" s="160"/>
      <c r="DG59" s="160"/>
      <c r="DH59" s="160"/>
      <c r="DI59" s="160"/>
      <c r="DJ59" s="160"/>
      <c r="DK59" s="161"/>
      <c r="DL59" s="161"/>
      <c r="DM59" s="161"/>
      <c r="DN59" s="161"/>
      <c r="DO59" s="161"/>
      <c r="DP59" s="161"/>
      <c r="DQ59" s="160"/>
      <c r="DR59" s="160"/>
      <c r="DS59" s="160"/>
    </row>
    <row r="60" ht="31.5" spans="1:123">
      <c r="A60" s="128"/>
      <c r="B60" s="128"/>
      <c r="C60" s="148" t="s">
        <v>135</v>
      </c>
      <c r="D60" s="158"/>
      <c r="E60" s="158"/>
      <c r="F60" s="158"/>
      <c r="G60" s="158"/>
      <c r="H60" s="158"/>
      <c r="I60" s="158"/>
      <c r="J60" s="158">
        <v>210</v>
      </c>
      <c r="K60" s="158"/>
      <c r="L60" s="158">
        <v>210</v>
      </c>
      <c r="M60" s="158">
        <v>210</v>
      </c>
      <c r="N60" s="158"/>
      <c r="O60" s="158">
        <v>210</v>
      </c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  <c r="AM60" s="158"/>
      <c r="AN60" s="158"/>
      <c r="AO60" s="158"/>
      <c r="AP60" s="158"/>
      <c r="AQ60" s="158"/>
      <c r="AR60" s="158"/>
      <c r="AS60" s="158"/>
      <c r="AT60" s="158"/>
      <c r="AU60" s="158"/>
      <c r="AV60" s="158"/>
      <c r="AW60" s="158"/>
      <c r="AX60" s="158"/>
      <c r="AY60" s="158"/>
      <c r="AZ60" s="159">
        <v>210</v>
      </c>
      <c r="BA60" s="159"/>
      <c r="BB60" s="159">
        <v>210</v>
      </c>
      <c r="BC60" s="159">
        <v>210</v>
      </c>
      <c r="BD60" s="159"/>
      <c r="BE60" s="159">
        <v>210</v>
      </c>
      <c r="BF60" s="160"/>
      <c r="BG60" s="160"/>
      <c r="BH60" s="160"/>
      <c r="BI60" s="160"/>
      <c r="BJ60" s="160"/>
      <c r="BK60" s="160"/>
      <c r="BL60" s="161"/>
      <c r="BM60" s="161"/>
      <c r="BN60" s="161"/>
      <c r="BO60" s="160"/>
      <c r="BP60" s="160"/>
      <c r="BQ60" s="160"/>
      <c r="BR60" s="160">
        <v>210</v>
      </c>
      <c r="BS60" s="160"/>
      <c r="BT60" s="160">
        <v>210</v>
      </c>
      <c r="BU60" s="160"/>
      <c r="BV60" s="160"/>
      <c r="BW60" s="160"/>
      <c r="BX60" s="161">
        <v>210</v>
      </c>
      <c r="BY60" s="161"/>
      <c r="BZ60" s="161">
        <v>210</v>
      </c>
      <c r="CA60" s="160"/>
      <c r="CB60" s="160"/>
      <c r="CC60" s="160"/>
      <c r="CD60" s="160"/>
      <c r="CE60" s="160"/>
      <c r="CF60" s="160"/>
      <c r="CG60" s="160"/>
      <c r="CH60" s="160"/>
      <c r="CI60" s="160"/>
      <c r="CJ60" s="161"/>
      <c r="CK60" s="161"/>
      <c r="CL60" s="161"/>
      <c r="CM60" s="160"/>
      <c r="CN60" s="160"/>
      <c r="CO60" s="160"/>
      <c r="CP60" s="160"/>
      <c r="CQ60" s="160"/>
      <c r="CR60" s="160"/>
      <c r="CS60" s="160"/>
      <c r="CT60" s="160"/>
      <c r="CU60" s="160"/>
      <c r="CV60" s="161"/>
      <c r="CW60" s="161"/>
      <c r="CX60" s="161"/>
      <c r="CY60" s="161">
        <v>210</v>
      </c>
      <c r="CZ60" s="161"/>
      <c r="DA60" s="161">
        <v>210</v>
      </c>
      <c r="DB60" s="160"/>
      <c r="DC60" s="160"/>
      <c r="DD60" s="160"/>
      <c r="DE60" s="160"/>
      <c r="DF60" s="160"/>
      <c r="DG60" s="160"/>
      <c r="DH60" s="160"/>
      <c r="DI60" s="160"/>
      <c r="DJ60" s="160"/>
      <c r="DK60" s="161"/>
      <c r="DL60" s="161"/>
      <c r="DM60" s="161"/>
      <c r="DN60" s="161"/>
      <c r="DO60" s="161"/>
      <c r="DP60" s="161"/>
      <c r="DQ60" s="160">
        <v>210</v>
      </c>
      <c r="DR60" s="160"/>
      <c r="DS60" s="160">
        <v>210</v>
      </c>
    </row>
    <row r="61" ht="31.5" spans="1:123">
      <c r="A61" s="128"/>
      <c r="B61" s="128"/>
      <c r="C61" s="148" t="s">
        <v>137</v>
      </c>
      <c r="D61" s="158"/>
      <c r="E61" s="158"/>
      <c r="F61" s="158"/>
      <c r="G61" s="158"/>
      <c r="H61" s="158"/>
      <c r="I61" s="158"/>
      <c r="J61" s="158">
        <v>200</v>
      </c>
      <c r="K61" s="158"/>
      <c r="L61" s="158">
        <v>200</v>
      </c>
      <c r="M61" s="158">
        <v>200</v>
      </c>
      <c r="N61" s="158"/>
      <c r="O61" s="158">
        <v>200</v>
      </c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158"/>
      <c r="AL61" s="158"/>
      <c r="AM61" s="158"/>
      <c r="AN61" s="158"/>
      <c r="AO61" s="158"/>
      <c r="AP61" s="158"/>
      <c r="AQ61" s="158"/>
      <c r="AR61" s="158"/>
      <c r="AS61" s="158"/>
      <c r="AT61" s="158"/>
      <c r="AU61" s="158"/>
      <c r="AV61" s="158"/>
      <c r="AW61" s="158"/>
      <c r="AX61" s="158"/>
      <c r="AY61" s="158"/>
      <c r="AZ61" s="159">
        <v>200</v>
      </c>
      <c r="BA61" s="159"/>
      <c r="BB61" s="159">
        <v>200</v>
      </c>
      <c r="BC61" s="159">
        <v>200</v>
      </c>
      <c r="BD61" s="159"/>
      <c r="BE61" s="159">
        <v>200</v>
      </c>
      <c r="BF61" s="160"/>
      <c r="BG61" s="160"/>
      <c r="BH61" s="160"/>
      <c r="BI61" s="160"/>
      <c r="BJ61" s="160"/>
      <c r="BK61" s="160"/>
      <c r="BL61" s="161"/>
      <c r="BM61" s="161"/>
      <c r="BN61" s="161"/>
      <c r="BO61" s="160"/>
      <c r="BP61" s="160"/>
      <c r="BQ61" s="160"/>
      <c r="BR61" s="160">
        <v>200</v>
      </c>
      <c r="BS61" s="160"/>
      <c r="BT61" s="160">
        <v>200</v>
      </c>
      <c r="BU61" s="160"/>
      <c r="BV61" s="160"/>
      <c r="BW61" s="160"/>
      <c r="BX61" s="161">
        <v>200</v>
      </c>
      <c r="BY61" s="161"/>
      <c r="BZ61" s="161">
        <v>200</v>
      </c>
      <c r="CA61" s="160"/>
      <c r="CB61" s="160"/>
      <c r="CC61" s="160"/>
      <c r="CD61" s="160"/>
      <c r="CE61" s="160"/>
      <c r="CF61" s="160"/>
      <c r="CG61" s="160"/>
      <c r="CH61" s="160"/>
      <c r="CI61" s="160"/>
      <c r="CJ61" s="161"/>
      <c r="CK61" s="161"/>
      <c r="CL61" s="161"/>
      <c r="CM61" s="160"/>
      <c r="CN61" s="160"/>
      <c r="CO61" s="160"/>
      <c r="CP61" s="160"/>
      <c r="CQ61" s="160"/>
      <c r="CR61" s="160"/>
      <c r="CS61" s="160"/>
      <c r="CT61" s="160"/>
      <c r="CU61" s="160"/>
      <c r="CV61" s="161"/>
      <c r="CW61" s="161"/>
      <c r="CX61" s="161"/>
      <c r="CY61" s="161">
        <v>200</v>
      </c>
      <c r="CZ61" s="161"/>
      <c r="DA61" s="161">
        <v>200</v>
      </c>
      <c r="DB61" s="160"/>
      <c r="DC61" s="160"/>
      <c r="DD61" s="160"/>
      <c r="DE61" s="160"/>
      <c r="DF61" s="160"/>
      <c r="DG61" s="160"/>
      <c r="DH61" s="160"/>
      <c r="DI61" s="160"/>
      <c r="DJ61" s="160"/>
      <c r="DK61" s="161"/>
      <c r="DL61" s="161"/>
      <c r="DM61" s="161"/>
      <c r="DN61" s="161"/>
      <c r="DO61" s="161"/>
      <c r="DP61" s="161"/>
      <c r="DQ61" s="160">
        <v>200</v>
      </c>
      <c r="DR61" s="160"/>
      <c r="DS61" s="160">
        <v>200</v>
      </c>
    </row>
    <row r="62" ht="31.5" spans="1:123">
      <c r="A62" s="128"/>
      <c r="B62" s="128"/>
      <c r="C62" s="148" t="s">
        <v>139</v>
      </c>
      <c r="D62" s="158"/>
      <c r="E62" s="158"/>
      <c r="F62" s="158"/>
      <c r="G62" s="158"/>
      <c r="H62" s="158"/>
      <c r="I62" s="158"/>
      <c r="J62" s="158">
        <v>140</v>
      </c>
      <c r="K62" s="158"/>
      <c r="L62" s="158">
        <v>140</v>
      </c>
      <c r="M62" s="158">
        <v>140</v>
      </c>
      <c r="N62" s="158"/>
      <c r="O62" s="158">
        <v>140</v>
      </c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  <c r="AL62" s="158"/>
      <c r="AM62" s="158"/>
      <c r="AN62" s="158"/>
      <c r="AO62" s="158"/>
      <c r="AP62" s="158"/>
      <c r="AQ62" s="158"/>
      <c r="AR62" s="158"/>
      <c r="AS62" s="158"/>
      <c r="AT62" s="158"/>
      <c r="AU62" s="158"/>
      <c r="AV62" s="158"/>
      <c r="AW62" s="158"/>
      <c r="AX62" s="158"/>
      <c r="AY62" s="158"/>
      <c r="AZ62" s="159">
        <v>140</v>
      </c>
      <c r="BA62" s="159"/>
      <c r="BB62" s="159">
        <v>140</v>
      </c>
      <c r="BC62" s="159">
        <v>140</v>
      </c>
      <c r="BD62" s="159"/>
      <c r="BE62" s="159">
        <v>140</v>
      </c>
      <c r="BF62" s="160"/>
      <c r="BG62" s="160"/>
      <c r="BH62" s="160"/>
      <c r="BI62" s="160"/>
      <c r="BJ62" s="160"/>
      <c r="BK62" s="160"/>
      <c r="BL62" s="161"/>
      <c r="BM62" s="161"/>
      <c r="BN62" s="161"/>
      <c r="BO62" s="160"/>
      <c r="BP62" s="160"/>
      <c r="BQ62" s="160"/>
      <c r="BR62" s="160">
        <v>140</v>
      </c>
      <c r="BS62" s="160"/>
      <c r="BT62" s="160">
        <v>140</v>
      </c>
      <c r="BU62" s="160"/>
      <c r="BV62" s="160"/>
      <c r="BW62" s="160"/>
      <c r="BX62" s="161">
        <v>140</v>
      </c>
      <c r="BY62" s="161"/>
      <c r="BZ62" s="161">
        <v>140</v>
      </c>
      <c r="CA62" s="160"/>
      <c r="CB62" s="160"/>
      <c r="CC62" s="160"/>
      <c r="CD62" s="160"/>
      <c r="CE62" s="160"/>
      <c r="CF62" s="160"/>
      <c r="CG62" s="160"/>
      <c r="CH62" s="160"/>
      <c r="CI62" s="160"/>
      <c r="CJ62" s="161"/>
      <c r="CK62" s="161"/>
      <c r="CL62" s="161"/>
      <c r="CM62" s="160"/>
      <c r="CN62" s="160"/>
      <c r="CO62" s="160"/>
      <c r="CP62" s="160"/>
      <c r="CQ62" s="160"/>
      <c r="CR62" s="160"/>
      <c r="CS62" s="160"/>
      <c r="CT62" s="160"/>
      <c r="CU62" s="160"/>
      <c r="CV62" s="161"/>
      <c r="CW62" s="161"/>
      <c r="CX62" s="161"/>
      <c r="CY62" s="161">
        <v>140</v>
      </c>
      <c r="CZ62" s="161"/>
      <c r="DA62" s="161">
        <v>140</v>
      </c>
      <c r="DB62" s="160"/>
      <c r="DC62" s="160"/>
      <c r="DD62" s="160"/>
      <c r="DE62" s="160"/>
      <c r="DF62" s="160"/>
      <c r="DG62" s="160"/>
      <c r="DH62" s="160"/>
      <c r="DI62" s="160"/>
      <c r="DJ62" s="160"/>
      <c r="DK62" s="161"/>
      <c r="DL62" s="161"/>
      <c r="DM62" s="161"/>
      <c r="DN62" s="161"/>
      <c r="DO62" s="161"/>
      <c r="DP62" s="161"/>
      <c r="DQ62" s="160">
        <v>140</v>
      </c>
      <c r="DR62" s="160"/>
      <c r="DS62" s="160">
        <v>140</v>
      </c>
    </row>
    <row r="63" ht="31.5" spans="1:123">
      <c r="A63" s="128"/>
      <c r="B63" s="128"/>
      <c r="C63" s="148" t="s">
        <v>141</v>
      </c>
      <c r="D63" s="158"/>
      <c r="E63" s="158"/>
      <c r="F63" s="158"/>
      <c r="G63" s="158"/>
      <c r="H63" s="158"/>
      <c r="I63" s="158"/>
      <c r="J63" s="158">
        <v>400</v>
      </c>
      <c r="K63" s="158"/>
      <c r="L63" s="158">
        <v>400</v>
      </c>
      <c r="M63" s="158">
        <v>400</v>
      </c>
      <c r="N63" s="158"/>
      <c r="O63" s="158">
        <v>400</v>
      </c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  <c r="AK63" s="158"/>
      <c r="AL63" s="158"/>
      <c r="AM63" s="158"/>
      <c r="AN63" s="158"/>
      <c r="AO63" s="158"/>
      <c r="AP63" s="158"/>
      <c r="AQ63" s="158"/>
      <c r="AR63" s="158"/>
      <c r="AS63" s="158"/>
      <c r="AT63" s="158"/>
      <c r="AU63" s="158"/>
      <c r="AV63" s="158"/>
      <c r="AW63" s="158"/>
      <c r="AX63" s="158"/>
      <c r="AY63" s="158"/>
      <c r="AZ63" s="159">
        <v>400</v>
      </c>
      <c r="BA63" s="159"/>
      <c r="BB63" s="159">
        <v>400</v>
      </c>
      <c r="BC63" s="159">
        <v>400</v>
      </c>
      <c r="BD63" s="159"/>
      <c r="BE63" s="159">
        <v>400</v>
      </c>
      <c r="BF63" s="160"/>
      <c r="BG63" s="160"/>
      <c r="BH63" s="160"/>
      <c r="BI63" s="160"/>
      <c r="BJ63" s="160"/>
      <c r="BK63" s="160"/>
      <c r="BL63" s="161"/>
      <c r="BM63" s="161"/>
      <c r="BN63" s="161"/>
      <c r="BO63" s="160"/>
      <c r="BP63" s="160"/>
      <c r="BQ63" s="160"/>
      <c r="BR63" s="160"/>
      <c r="BS63" s="160"/>
      <c r="BT63" s="160"/>
      <c r="BU63" s="160">
        <v>200</v>
      </c>
      <c r="BV63" s="160"/>
      <c r="BW63" s="160">
        <v>200</v>
      </c>
      <c r="BX63" s="161">
        <v>200</v>
      </c>
      <c r="BY63" s="161"/>
      <c r="BZ63" s="161">
        <v>200</v>
      </c>
      <c r="CA63" s="160"/>
      <c r="CB63" s="160"/>
      <c r="CC63" s="160"/>
      <c r="CD63" s="160"/>
      <c r="CE63" s="160"/>
      <c r="CF63" s="160"/>
      <c r="CG63" s="160"/>
      <c r="CH63" s="160"/>
      <c r="CI63" s="160"/>
      <c r="CJ63" s="161"/>
      <c r="CK63" s="161"/>
      <c r="CL63" s="161"/>
      <c r="CM63" s="160"/>
      <c r="CN63" s="160"/>
      <c r="CO63" s="160"/>
      <c r="CP63" s="160">
        <v>200</v>
      </c>
      <c r="CQ63" s="160"/>
      <c r="CR63" s="160">
        <v>200</v>
      </c>
      <c r="CS63" s="160"/>
      <c r="CT63" s="160"/>
      <c r="CU63" s="160"/>
      <c r="CV63" s="161">
        <v>200</v>
      </c>
      <c r="CW63" s="161"/>
      <c r="CX63" s="161">
        <v>200</v>
      </c>
      <c r="CY63" s="161">
        <v>400</v>
      </c>
      <c r="CZ63" s="161"/>
      <c r="DA63" s="161">
        <v>400</v>
      </c>
      <c r="DB63" s="160"/>
      <c r="DC63" s="160"/>
      <c r="DD63" s="160"/>
      <c r="DE63" s="160"/>
      <c r="DF63" s="160"/>
      <c r="DG63" s="160"/>
      <c r="DH63" s="160"/>
      <c r="DI63" s="160"/>
      <c r="DJ63" s="160"/>
      <c r="DK63" s="161"/>
      <c r="DL63" s="161"/>
      <c r="DM63" s="161"/>
      <c r="DN63" s="161"/>
      <c r="DO63" s="161"/>
      <c r="DP63" s="161"/>
      <c r="DQ63" s="160">
        <v>400</v>
      </c>
      <c r="DR63" s="160"/>
      <c r="DS63" s="160">
        <v>400</v>
      </c>
    </row>
    <row r="64" ht="47.25" spans="1:123">
      <c r="A64" s="128"/>
      <c r="B64" s="128"/>
      <c r="C64" s="148" t="s">
        <v>143</v>
      </c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>
        <v>100</v>
      </c>
      <c r="AF64" s="158"/>
      <c r="AG64" s="158">
        <v>100</v>
      </c>
      <c r="AH64" s="158">
        <v>100</v>
      </c>
      <c r="AI64" s="158"/>
      <c r="AJ64" s="158">
        <v>100</v>
      </c>
      <c r="AK64" s="158">
        <v>200</v>
      </c>
      <c r="AL64" s="158"/>
      <c r="AM64" s="158">
        <v>200</v>
      </c>
      <c r="AN64" s="158">
        <v>100</v>
      </c>
      <c r="AO64" s="158"/>
      <c r="AP64" s="158">
        <v>100</v>
      </c>
      <c r="AQ64" s="158"/>
      <c r="AR64" s="158"/>
      <c r="AS64" s="158"/>
      <c r="AT64" s="158"/>
      <c r="AU64" s="158"/>
      <c r="AV64" s="158"/>
      <c r="AW64" s="158">
        <v>100</v>
      </c>
      <c r="AX64" s="158"/>
      <c r="AY64" s="158">
        <v>100</v>
      </c>
      <c r="AZ64" s="159">
        <v>300</v>
      </c>
      <c r="BA64" s="159"/>
      <c r="BB64" s="159">
        <v>300</v>
      </c>
      <c r="BC64" s="159">
        <v>300</v>
      </c>
      <c r="BD64" s="159"/>
      <c r="BE64" s="159">
        <v>300</v>
      </c>
      <c r="BF64" s="160"/>
      <c r="BG64" s="160"/>
      <c r="BH64" s="160"/>
      <c r="BI64" s="160"/>
      <c r="BJ64" s="160"/>
      <c r="BK64" s="160"/>
      <c r="BL64" s="161"/>
      <c r="BM64" s="161"/>
      <c r="BN64" s="161"/>
      <c r="BO64" s="160"/>
      <c r="BP64" s="160"/>
      <c r="BQ64" s="160"/>
      <c r="BR64" s="160"/>
      <c r="BS64" s="160"/>
      <c r="BT64" s="160"/>
      <c r="BU64" s="160"/>
      <c r="BV64" s="160"/>
      <c r="BW64" s="160"/>
      <c r="BX64" s="161"/>
      <c r="BY64" s="161"/>
      <c r="BZ64" s="161"/>
      <c r="CA64" s="160"/>
      <c r="CB64" s="160"/>
      <c r="CC64" s="160"/>
      <c r="CD64" s="160"/>
      <c r="CE64" s="160"/>
      <c r="CF64" s="160"/>
      <c r="CG64" s="160">
        <v>100</v>
      </c>
      <c r="CH64" s="160"/>
      <c r="CI64" s="160">
        <v>100</v>
      </c>
      <c r="CJ64" s="161">
        <v>100</v>
      </c>
      <c r="CK64" s="161"/>
      <c r="CL64" s="161">
        <v>100</v>
      </c>
      <c r="CM64" s="160">
        <v>100</v>
      </c>
      <c r="CN64" s="160"/>
      <c r="CO64" s="160">
        <v>100</v>
      </c>
      <c r="CP64" s="160">
        <v>100</v>
      </c>
      <c r="CQ64" s="160"/>
      <c r="CR64" s="160">
        <v>100</v>
      </c>
      <c r="CS64" s="160"/>
      <c r="CT64" s="160"/>
      <c r="CU64" s="160"/>
      <c r="CV64" s="161">
        <v>200</v>
      </c>
      <c r="CW64" s="161"/>
      <c r="CX64" s="161">
        <v>200</v>
      </c>
      <c r="CY64" s="161">
        <v>300</v>
      </c>
      <c r="CZ64" s="161"/>
      <c r="DA64" s="161">
        <v>300</v>
      </c>
      <c r="DB64" s="160"/>
      <c r="DC64" s="160"/>
      <c r="DD64" s="160"/>
      <c r="DE64" s="160"/>
      <c r="DF64" s="160"/>
      <c r="DG64" s="160"/>
      <c r="DH64" s="160"/>
      <c r="DI64" s="160"/>
      <c r="DJ64" s="160"/>
      <c r="DK64" s="161"/>
      <c r="DL64" s="161"/>
      <c r="DM64" s="161"/>
      <c r="DN64" s="161"/>
      <c r="DO64" s="161"/>
      <c r="DP64" s="161"/>
      <c r="DQ64" s="160">
        <v>300</v>
      </c>
      <c r="DR64" s="160"/>
      <c r="DS64" s="160">
        <v>300</v>
      </c>
    </row>
    <row r="65" ht="31.5" spans="1:123">
      <c r="A65" s="128"/>
      <c r="B65" s="128"/>
      <c r="C65" s="148" t="s">
        <v>147</v>
      </c>
      <c r="D65" s="158"/>
      <c r="E65" s="158"/>
      <c r="F65" s="158"/>
      <c r="G65" s="158"/>
      <c r="H65" s="158"/>
      <c r="I65" s="158"/>
      <c r="J65" s="158">
        <v>200</v>
      </c>
      <c r="K65" s="158"/>
      <c r="L65" s="158">
        <v>200</v>
      </c>
      <c r="M65" s="158">
        <v>200</v>
      </c>
      <c r="N65" s="158"/>
      <c r="O65" s="158">
        <v>200</v>
      </c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  <c r="AX65" s="158"/>
      <c r="AY65" s="158"/>
      <c r="AZ65" s="159">
        <v>200</v>
      </c>
      <c r="BA65" s="159"/>
      <c r="BB65" s="159">
        <v>200</v>
      </c>
      <c r="BC65" s="159">
        <v>200</v>
      </c>
      <c r="BD65" s="159"/>
      <c r="BE65" s="159">
        <v>200</v>
      </c>
      <c r="BF65" s="160"/>
      <c r="BG65" s="160"/>
      <c r="BH65" s="160"/>
      <c r="BI65" s="160"/>
      <c r="BJ65" s="160"/>
      <c r="BK65" s="160"/>
      <c r="BL65" s="161"/>
      <c r="BM65" s="161"/>
      <c r="BN65" s="161"/>
      <c r="BO65" s="160"/>
      <c r="BP65" s="160"/>
      <c r="BQ65" s="160"/>
      <c r="BR65" s="160">
        <v>200</v>
      </c>
      <c r="BS65" s="160"/>
      <c r="BT65" s="160">
        <v>200</v>
      </c>
      <c r="BU65" s="160"/>
      <c r="BV65" s="160"/>
      <c r="BW65" s="160"/>
      <c r="BX65" s="161">
        <v>200</v>
      </c>
      <c r="BY65" s="161"/>
      <c r="BZ65" s="161">
        <v>200</v>
      </c>
      <c r="CA65" s="160"/>
      <c r="CB65" s="160"/>
      <c r="CC65" s="160"/>
      <c r="CD65" s="160"/>
      <c r="CE65" s="160"/>
      <c r="CF65" s="160"/>
      <c r="CG65" s="160"/>
      <c r="CH65" s="160"/>
      <c r="CI65" s="160"/>
      <c r="CJ65" s="161"/>
      <c r="CK65" s="161"/>
      <c r="CL65" s="161"/>
      <c r="CM65" s="160"/>
      <c r="CN65" s="160"/>
      <c r="CO65" s="160"/>
      <c r="CP65" s="160"/>
      <c r="CQ65" s="160"/>
      <c r="CR65" s="160"/>
      <c r="CS65" s="160"/>
      <c r="CT65" s="160"/>
      <c r="CU65" s="160"/>
      <c r="CV65" s="161"/>
      <c r="CW65" s="161"/>
      <c r="CX65" s="161"/>
      <c r="CY65" s="161">
        <v>200</v>
      </c>
      <c r="CZ65" s="161"/>
      <c r="DA65" s="161">
        <v>200</v>
      </c>
      <c r="DB65" s="160"/>
      <c r="DC65" s="160"/>
      <c r="DD65" s="160"/>
      <c r="DE65" s="160"/>
      <c r="DF65" s="160"/>
      <c r="DG65" s="160"/>
      <c r="DH65" s="160"/>
      <c r="DI65" s="160"/>
      <c r="DJ65" s="160"/>
      <c r="DK65" s="161"/>
      <c r="DL65" s="161"/>
      <c r="DM65" s="161"/>
      <c r="DN65" s="161"/>
      <c r="DO65" s="161"/>
      <c r="DP65" s="161"/>
      <c r="DQ65" s="160">
        <v>200</v>
      </c>
      <c r="DR65" s="160"/>
      <c r="DS65" s="160">
        <v>200</v>
      </c>
    </row>
    <row r="66" ht="31.5" spans="1:123">
      <c r="A66" s="128"/>
      <c r="B66" s="128"/>
      <c r="C66" s="148" t="s">
        <v>149</v>
      </c>
      <c r="D66" s="158"/>
      <c r="E66" s="158"/>
      <c r="F66" s="158"/>
      <c r="G66" s="158"/>
      <c r="H66" s="158"/>
      <c r="I66" s="158"/>
      <c r="J66" s="158">
        <v>140</v>
      </c>
      <c r="K66" s="158"/>
      <c r="L66" s="158">
        <v>140</v>
      </c>
      <c r="M66" s="158">
        <v>140</v>
      </c>
      <c r="N66" s="158"/>
      <c r="O66" s="158">
        <v>140</v>
      </c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  <c r="AM66" s="158"/>
      <c r="AN66" s="158"/>
      <c r="AO66" s="158"/>
      <c r="AP66" s="158"/>
      <c r="AQ66" s="158"/>
      <c r="AR66" s="158"/>
      <c r="AS66" s="158"/>
      <c r="AT66" s="158"/>
      <c r="AU66" s="158"/>
      <c r="AV66" s="158"/>
      <c r="AW66" s="158"/>
      <c r="AX66" s="158"/>
      <c r="AY66" s="158"/>
      <c r="AZ66" s="159">
        <v>140</v>
      </c>
      <c r="BA66" s="159"/>
      <c r="BB66" s="159">
        <v>140</v>
      </c>
      <c r="BC66" s="159">
        <v>140</v>
      </c>
      <c r="BD66" s="159"/>
      <c r="BE66" s="159">
        <v>140</v>
      </c>
      <c r="BF66" s="160"/>
      <c r="BG66" s="160"/>
      <c r="BH66" s="160"/>
      <c r="BI66" s="160"/>
      <c r="BJ66" s="160"/>
      <c r="BK66" s="160"/>
      <c r="BL66" s="161"/>
      <c r="BM66" s="161"/>
      <c r="BN66" s="161"/>
      <c r="BO66" s="160"/>
      <c r="BP66" s="160"/>
      <c r="BQ66" s="160"/>
      <c r="BR66" s="160">
        <v>140</v>
      </c>
      <c r="BS66" s="160"/>
      <c r="BT66" s="160">
        <v>140</v>
      </c>
      <c r="BU66" s="160"/>
      <c r="BV66" s="160"/>
      <c r="BW66" s="160"/>
      <c r="BX66" s="161">
        <v>140</v>
      </c>
      <c r="BY66" s="161"/>
      <c r="BZ66" s="161">
        <v>140</v>
      </c>
      <c r="CA66" s="160"/>
      <c r="CB66" s="160"/>
      <c r="CC66" s="160"/>
      <c r="CD66" s="160"/>
      <c r="CE66" s="160"/>
      <c r="CF66" s="160"/>
      <c r="CG66" s="160"/>
      <c r="CH66" s="160"/>
      <c r="CI66" s="160"/>
      <c r="CJ66" s="161"/>
      <c r="CK66" s="161"/>
      <c r="CL66" s="161"/>
      <c r="CM66" s="160"/>
      <c r="CN66" s="160"/>
      <c r="CO66" s="160"/>
      <c r="CP66" s="160"/>
      <c r="CQ66" s="160"/>
      <c r="CR66" s="160"/>
      <c r="CS66" s="160"/>
      <c r="CT66" s="160"/>
      <c r="CU66" s="160"/>
      <c r="CV66" s="161"/>
      <c r="CW66" s="161"/>
      <c r="CX66" s="161"/>
      <c r="CY66" s="161">
        <v>140</v>
      </c>
      <c r="CZ66" s="161"/>
      <c r="DA66" s="161">
        <v>140</v>
      </c>
      <c r="DB66" s="160"/>
      <c r="DC66" s="160"/>
      <c r="DD66" s="160"/>
      <c r="DE66" s="160"/>
      <c r="DF66" s="160"/>
      <c r="DG66" s="160"/>
      <c r="DH66" s="160"/>
      <c r="DI66" s="160"/>
      <c r="DJ66" s="160"/>
      <c r="DK66" s="161"/>
      <c r="DL66" s="161"/>
      <c r="DM66" s="161"/>
      <c r="DN66" s="161"/>
      <c r="DO66" s="161"/>
      <c r="DP66" s="161"/>
      <c r="DQ66" s="160">
        <v>140</v>
      </c>
      <c r="DR66" s="160"/>
      <c r="DS66" s="160">
        <v>140</v>
      </c>
    </row>
    <row r="67" ht="31.5" spans="1:123">
      <c r="A67" s="128"/>
      <c r="B67" s="128"/>
      <c r="C67" s="148" t="s">
        <v>153</v>
      </c>
      <c r="D67" s="158"/>
      <c r="E67" s="158"/>
      <c r="F67" s="158"/>
      <c r="G67" s="158"/>
      <c r="H67" s="158"/>
      <c r="I67" s="158"/>
      <c r="J67" s="158">
        <v>140</v>
      </c>
      <c r="K67" s="158"/>
      <c r="L67" s="158">
        <v>140</v>
      </c>
      <c r="M67" s="158">
        <v>140</v>
      </c>
      <c r="N67" s="158"/>
      <c r="O67" s="158">
        <v>140</v>
      </c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  <c r="AM67" s="158"/>
      <c r="AN67" s="158"/>
      <c r="AO67" s="158"/>
      <c r="AP67" s="158"/>
      <c r="AQ67" s="158"/>
      <c r="AR67" s="158"/>
      <c r="AS67" s="158"/>
      <c r="AT67" s="158"/>
      <c r="AU67" s="158"/>
      <c r="AV67" s="158"/>
      <c r="AW67" s="158"/>
      <c r="AX67" s="158"/>
      <c r="AY67" s="158"/>
      <c r="AZ67" s="159">
        <v>140</v>
      </c>
      <c r="BA67" s="159"/>
      <c r="BB67" s="159">
        <v>140</v>
      </c>
      <c r="BC67" s="159">
        <v>140</v>
      </c>
      <c r="BD67" s="159"/>
      <c r="BE67" s="159">
        <v>140</v>
      </c>
      <c r="BF67" s="160"/>
      <c r="BG67" s="160"/>
      <c r="BH67" s="160"/>
      <c r="BI67" s="160"/>
      <c r="BJ67" s="160"/>
      <c r="BK67" s="160"/>
      <c r="BL67" s="161"/>
      <c r="BM67" s="161"/>
      <c r="BN67" s="161"/>
      <c r="BO67" s="160"/>
      <c r="BP67" s="160"/>
      <c r="BQ67" s="160"/>
      <c r="BR67" s="160"/>
      <c r="BS67" s="160"/>
      <c r="BT67" s="160"/>
      <c r="BU67" s="160"/>
      <c r="BV67" s="160"/>
      <c r="BW67" s="160"/>
      <c r="BX67" s="161"/>
      <c r="BY67" s="161"/>
      <c r="BZ67" s="161"/>
      <c r="CA67" s="160"/>
      <c r="CB67" s="160"/>
      <c r="CC67" s="160"/>
      <c r="CD67" s="160"/>
      <c r="CE67" s="160"/>
      <c r="CF67" s="160"/>
      <c r="CG67" s="160"/>
      <c r="CH67" s="160"/>
      <c r="CI67" s="160"/>
      <c r="CJ67" s="161"/>
      <c r="CK67" s="161"/>
      <c r="CL67" s="161"/>
      <c r="CM67" s="160"/>
      <c r="CN67" s="160"/>
      <c r="CO67" s="160"/>
      <c r="CP67" s="160">
        <v>140</v>
      </c>
      <c r="CQ67" s="160"/>
      <c r="CR67" s="160">
        <v>140</v>
      </c>
      <c r="CS67" s="160"/>
      <c r="CT67" s="160"/>
      <c r="CU67" s="160"/>
      <c r="CV67" s="161">
        <v>140</v>
      </c>
      <c r="CW67" s="161"/>
      <c r="CX67" s="161">
        <v>140</v>
      </c>
      <c r="CY67" s="161">
        <v>140</v>
      </c>
      <c r="CZ67" s="161"/>
      <c r="DA67" s="161">
        <v>140</v>
      </c>
      <c r="DB67" s="160"/>
      <c r="DC67" s="160"/>
      <c r="DD67" s="160"/>
      <c r="DE67" s="160"/>
      <c r="DF67" s="160"/>
      <c r="DG67" s="160"/>
      <c r="DH67" s="160"/>
      <c r="DI67" s="160"/>
      <c r="DJ67" s="160"/>
      <c r="DK67" s="161"/>
      <c r="DL67" s="161"/>
      <c r="DM67" s="161"/>
      <c r="DN67" s="161"/>
      <c r="DO67" s="161"/>
      <c r="DP67" s="161"/>
      <c r="DQ67" s="160">
        <v>140</v>
      </c>
      <c r="DR67" s="160"/>
      <c r="DS67" s="160">
        <v>140</v>
      </c>
    </row>
    <row r="68" ht="31.5" spans="1:123">
      <c r="A68" s="128"/>
      <c r="B68" s="128"/>
      <c r="C68" s="148" t="s">
        <v>157</v>
      </c>
      <c r="D68" s="158"/>
      <c r="E68" s="158"/>
      <c r="F68" s="158"/>
      <c r="G68" s="158">
        <v>140</v>
      </c>
      <c r="H68" s="158"/>
      <c r="I68" s="158">
        <v>140</v>
      </c>
      <c r="J68" s="158"/>
      <c r="K68" s="158"/>
      <c r="L68" s="158"/>
      <c r="M68" s="158">
        <v>140</v>
      </c>
      <c r="N68" s="158"/>
      <c r="O68" s="158">
        <v>140</v>
      </c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  <c r="AM68" s="158"/>
      <c r="AN68" s="158"/>
      <c r="AO68" s="158"/>
      <c r="AP68" s="158"/>
      <c r="AQ68" s="158"/>
      <c r="AR68" s="158"/>
      <c r="AS68" s="158"/>
      <c r="AT68" s="158"/>
      <c r="AU68" s="158"/>
      <c r="AV68" s="158"/>
      <c r="AW68" s="158"/>
      <c r="AX68" s="158"/>
      <c r="AY68" s="158"/>
      <c r="AZ68" s="159">
        <v>140</v>
      </c>
      <c r="BA68" s="159"/>
      <c r="BB68" s="159">
        <v>140</v>
      </c>
      <c r="BC68" s="159">
        <v>140</v>
      </c>
      <c r="BD68" s="159"/>
      <c r="BE68" s="159">
        <v>140</v>
      </c>
      <c r="BF68" s="160"/>
      <c r="BG68" s="160"/>
      <c r="BH68" s="160"/>
      <c r="BI68" s="160"/>
      <c r="BJ68" s="160"/>
      <c r="BK68" s="160"/>
      <c r="BL68" s="161"/>
      <c r="BM68" s="161"/>
      <c r="BN68" s="161"/>
      <c r="BO68" s="160"/>
      <c r="BP68" s="160"/>
      <c r="BQ68" s="160"/>
      <c r="BR68" s="160">
        <v>140</v>
      </c>
      <c r="BS68" s="160"/>
      <c r="BT68" s="160">
        <v>140</v>
      </c>
      <c r="BU68" s="160"/>
      <c r="BV68" s="160"/>
      <c r="BW68" s="160"/>
      <c r="BX68" s="161">
        <v>140</v>
      </c>
      <c r="BY68" s="161"/>
      <c r="BZ68" s="161">
        <v>140</v>
      </c>
      <c r="CA68" s="160"/>
      <c r="CB68" s="160"/>
      <c r="CC68" s="160"/>
      <c r="CD68" s="160"/>
      <c r="CE68" s="160"/>
      <c r="CF68" s="160"/>
      <c r="CG68" s="160"/>
      <c r="CH68" s="160"/>
      <c r="CI68" s="160"/>
      <c r="CJ68" s="161"/>
      <c r="CK68" s="161"/>
      <c r="CL68" s="161"/>
      <c r="CM68" s="160"/>
      <c r="CN68" s="160"/>
      <c r="CO68" s="160"/>
      <c r="CP68" s="160"/>
      <c r="CQ68" s="160"/>
      <c r="CR68" s="160"/>
      <c r="CS68" s="160"/>
      <c r="CT68" s="160"/>
      <c r="CU68" s="160"/>
      <c r="CV68" s="161"/>
      <c r="CW68" s="161"/>
      <c r="CX68" s="161"/>
      <c r="CY68" s="161">
        <v>140</v>
      </c>
      <c r="CZ68" s="161"/>
      <c r="DA68" s="161">
        <v>140</v>
      </c>
      <c r="DB68" s="160"/>
      <c r="DC68" s="160"/>
      <c r="DD68" s="160"/>
      <c r="DE68" s="160"/>
      <c r="DF68" s="160"/>
      <c r="DG68" s="160"/>
      <c r="DH68" s="160"/>
      <c r="DI68" s="160"/>
      <c r="DJ68" s="160"/>
      <c r="DK68" s="161"/>
      <c r="DL68" s="161"/>
      <c r="DM68" s="161"/>
      <c r="DN68" s="161"/>
      <c r="DO68" s="161"/>
      <c r="DP68" s="161"/>
      <c r="DQ68" s="160">
        <v>140</v>
      </c>
      <c r="DR68" s="160"/>
      <c r="DS68" s="160">
        <v>140</v>
      </c>
    </row>
    <row r="69" spans="1:123">
      <c r="A69" s="128"/>
      <c r="B69" s="128" t="s">
        <v>359</v>
      </c>
      <c r="C69" s="14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  <c r="AM69" s="158"/>
      <c r="AN69" s="158"/>
      <c r="AO69" s="158"/>
      <c r="AP69" s="158"/>
      <c r="AQ69" s="158"/>
      <c r="AR69" s="158"/>
      <c r="AS69" s="158"/>
      <c r="AT69" s="158"/>
      <c r="AU69" s="158"/>
      <c r="AV69" s="158"/>
      <c r="AW69" s="158"/>
      <c r="AX69" s="158"/>
      <c r="AY69" s="158"/>
      <c r="AZ69" s="159"/>
      <c r="BA69" s="159"/>
      <c r="BB69" s="159"/>
      <c r="BC69" s="159"/>
      <c r="BD69" s="159"/>
      <c r="BE69" s="159"/>
      <c r="BF69" s="160"/>
      <c r="BG69" s="160"/>
      <c r="BH69" s="160"/>
      <c r="BI69" s="160"/>
      <c r="BJ69" s="160"/>
      <c r="BK69" s="160"/>
      <c r="BL69" s="161"/>
      <c r="BM69" s="161"/>
      <c r="BN69" s="161"/>
      <c r="BO69" s="160"/>
      <c r="BP69" s="160"/>
      <c r="BQ69" s="160"/>
      <c r="BR69" s="160"/>
      <c r="BS69" s="160"/>
      <c r="BT69" s="160"/>
      <c r="BU69" s="160"/>
      <c r="BV69" s="160"/>
      <c r="BW69" s="160"/>
      <c r="BX69" s="161"/>
      <c r="BY69" s="161"/>
      <c r="BZ69" s="161"/>
      <c r="CA69" s="160"/>
      <c r="CB69" s="160"/>
      <c r="CC69" s="160"/>
      <c r="CD69" s="160"/>
      <c r="CE69" s="160"/>
      <c r="CF69" s="160"/>
      <c r="CG69" s="160"/>
      <c r="CH69" s="160"/>
      <c r="CI69" s="160"/>
      <c r="CJ69" s="161"/>
      <c r="CK69" s="161"/>
      <c r="CL69" s="161"/>
      <c r="CM69" s="160"/>
      <c r="CN69" s="160"/>
      <c r="CO69" s="160"/>
      <c r="CP69" s="160"/>
      <c r="CQ69" s="160"/>
      <c r="CR69" s="160"/>
      <c r="CS69" s="160"/>
      <c r="CT69" s="160"/>
      <c r="CU69" s="160"/>
      <c r="CV69" s="161"/>
      <c r="CW69" s="161"/>
      <c r="CX69" s="161"/>
      <c r="CY69" s="161"/>
      <c r="CZ69" s="161"/>
      <c r="DA69" s="161"/>
      <c r="DB69" s="160"/>
      <c r="DC69" s="160"/>
      <c r="DD69" s="160"/>
      <c r="DE69" s="160"/>
      <c r="DF69" s="160"/>
      <c r="DG69" s="160"/>
      <c r="DH69" s="160"/>
      <c r="DI69" s="160"/>
      <c r="DJ69" s="160"/>
      <c r="DK69" s="161"/>
      <c r="DL69" s="161"/>
      <c r="DM69" s="161"/>
      <c r="DN69" s="161"/>
      <c r="DO69" s="161"/>
      <c r="DP69" s="161"/>
      <c r="DQ69" s="160"/>
      <c r="DR69" s="160"/>
      <c r="DS69" s="160"/>
    </row>
    <row r="70" ht="31.5" spans="1:123">
      <c r="A70" s="128"/>
      <c r="B70" s="128"/>
      <c r="C70" s="148" t="s">
        <v>145</v>
      </c>
      <c r="D70" s="158"/>
      <c r="E70" s="158"/>
      <c r="F70" s="158"/>
      <c r="G70" s="158"/>
      <c r="H70" s="158"/>
      <c r="I70" s="158"/>
      <c r="J70" s="158">
        <v>200</v>
      </c>
      <c r="K70" s="158"/>
      <c r="L70" s="158">
        <v>200</v>
      </c>
      <c r="M70" s="158">
        <v>200</v>
      </c>
      <c r="N70" s="158"/>
      <c r="O70" s="158">
        <v>200</v>
      </c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  <c r="AM70" s="158"/>
      <c r="AN70" s="158"/>
      <c r="AO70" s="158"/>
      <c r="AP70" s="158"/>
      <c r="AQ70" s="158"/>
      <c r="AR70" s="158"/>
      <c r="AS70" s="158"/>
      <c r="AT70" s="158"/>
      <c r="AU70" s="158"/>
      <c r="AV70" s="158"/>
      <c r="AW70" s="158"/>
      <c r="AX70" s="158"/>
      <c r="AY70" s="158"/>
      <c r="AZ70" s="159">
        <v>200</v>
      </c>
      <c r="BA70" s="159"/>
      <c r="BB70" s="159">
        <v>200</v>
      </c>
      <c r="BC70" s="159">
        <v>200</v>
      </c>
      <c r="BD70" s="159"/>
      <c r="BE70" s="159">
        <v>200</v>
      </c>
      <c r="BF70" s="160"/>
      <c r="BG70" s="160"/>
      <c r="BH70" s="160"/>
      <c r="BI70" s="160"/>
      <c r="BJ70" s="160"/>
      <c r="BK70" s="160"/>
      <c r="BL70" s="161"/>
      <c r="BM70" s="161"/>
      <c r="BN70" s="161"/>
      <c r="BO70" s="160"/>
      <c r="BP70" s="160"/>
      <c r="BQ70" s="160"/>
      <c r="BR70" s="160"/>
      <c r="BS70" s="160"/>
      <c r="BT70" s="160"/>
      <c r="BU70" s="160"/>
      <c r="BV70" s="160"/>
      <c r="BW70" s="160"/>
      <c r="BX70" s="161"/>
      <c r="BY70" s="161"/>
      <c r="BZ70" s="161"/>
      <c r="CA70" s="160">
        <v>200</v>
      </c>
      <c r="CB70" s="160"/>
      <c r="CC70" s="160">
        <v>200</v>
      </c>
      <c r="CD70" s="160"/>
      <c r="CE70" s="160"/>
      <c r="CF70" s="160"/>
      <c r="CG70" s="160"/>
      <c r="CH70" s="160"/>
      <c r="CI70" s="160"/>
      <c r="CJ70" s="161">
        <v>200</v>
      </c>
      <c r="CK70" s="161"/>
      <c r="CL70" s="161">
        <v>200</v>
      </c>
      <c r="CM70" s="160"/>
      <c r="CN70" s="160"/>
      <c r="CO70" s="160"/>
      <c r="CP70" s="160"/>
      <c r="CQ70" s="160"/>
      <c r="CR70" s="160"/>
      <c r="CS70" s="160"/>
      <c r="CT70" s="160"/>
      <c r="CU70" s="160"/>
      <c r="CV70" s="161"/>
      <c r="CW70" s="161"/>
      <c r="CX70" s="161"/>
      <c r="CY70" s="161">
        <v>200</v>
      </c>
      <c r="CZ70" s="161"/>
      <c r="DA70" s="161">
        <v>200</v>
      </c>
      <c r="DB70" s="160"/>
      <c r="DC70" s="160"/>
      <c r="DD70" s="160"/>
      <c r="DE70" s="160"/>
      <c r="DF70" s="160"/>
      <c r="DG70" s="160"/>
      <c r="DH70" s="160"/>
      <c r="DI70" s="160"/>
      <c r="DJ70" s="160"/>
      <c r="DK70" s="161"/>
      <c r="DL70" s="161"/>
      <c r="DM70" s="161"/>
      <c r="DN70" s="161"/>
      <c r="DO70" s="161"/>
      <c r="DP70" s="161"/>
      <c r="DQ70" s="160">
        <v>200</v>
      </c>
      <c r="DR70" s="160"/>
      <c r="DS70" s="160">
        <v>200</v>
      </c>
    </row>
    <row r="71" ht="31.5" spans="1:123">
      <c r="A71" s="128"/>
      <c r="B71" s="128"/>
      <c r="C71" s="148" t="s">
        <v>151</v>
      </c>
      <c r="D71" s="158"/>
      <c r="E71" s="158"/>
      <c r="F71" s="158"/>
      <c r="G71" s="158"/>
      <c r="H71" s="158"/>
      <c r="I71" s="158"/>
      <c r="J71" s="158">
        <v>150</v>
      </c>
      <c r="K71" s="158"/>
      <c r="L71" s="158">
        <v>150</v>
      </c>
      <c r="M71" s="158">
        <v>150</v>
      </c>
      <c r="N71" s="158"/>
      <c r="O71" s="158">
        <v>150</v>
      </c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  <c r="AM71" s="158"/>
      <c r="AN71" s="158"/>
      <c r="AO71" s="158"/>
      <c r="AP71" s="158"/>
      <c r="AQ71" s="158"/>
      <c r="AR71" s="158"/>
      <c r="AS71" s="158"/>
      <c r="AT71" s="158"/>
      <c r="AU71" s="158"/>
      <c r="AV71" s="158"/>
      <c r="AW71" s="158"/>
      <c r="AX71" s="158"/>
      <c r="AY71" s="158"/>
      <c r="AZ71" s="159">
        <v>150</v>
      </c>
      <c r="BA71" s="159"/>
      <c r="BB71" s="159">
        <v>150</v>
      </c>
      <c r="BC71" s="159">
        <v>150</v>
      </c>
      <c r="BD71" s="159"/>
      <c r="BE71" s="159">
        <v>150</v>
      </c>
      <c r="BF71" s="160"/>
      <c r="BG71" s="160"/>
      <c r="BH71" s="160"/>
      <c r="BI71" s="160"/>
      <c r="BJ71" s="160"/>
      <c r="BK71" s="160"/>
      <c r="BL71" s="161"/>
      <c r="BM71" s="161"/>
      <c r="BN71" s="161"/>
      <c r="BO71" s="160"/>
      <c r="BP71" s="160"/>
      <c r="BQ71" s="160"/>
      <c r="BR71" s="160"/>
      <c r="BS71" s="160"/>
      <c r="BT71" s="160"/>
      <c r="BU71" s="160"/>
      <c r="BV71" s="160"/>
      <c r="BW71" s="160"/>
      <c r="BX71" s="161"/>
      <c r="BY71" s="161"/>
      <c r="BZ71" s="161"/>
      <c r="CA71" s="160">
        <v>150</v>
      </c>
      <c r="CB71" s="160"/>
      <c r="CC71" s="160">
        <v>150</v>
      </c>
      <c r="CD71" s="160"/>
      <c r="CE71" s="160"/>
      <c r="CF71" s="160"/>
      <c r="CG71" s="160"/>
      <c r="CH71" s="160"/>
      <c r="CI71" s="160"/>
      <c r="CJ71" s="161">
        <v>150</v>
      </c>
      <c r="CK71" s="161"/>
      <c r="CL71" s="161">
        <v>150</v>
      </c>
      <c r="CM71" s="160"/>
      <c r="CN71" s="160"/>
      <c r="CO71" s="160"/>
      <c r="CP71" s="160"/>
      <c r="CQ71" s="160"/>
      <c r="CR71" s="160"/>
      <c r="CS71" s="160"/>
      <c r="CT71" s="160"/>
      <c r="CU71" s="160"/>
      <c r="CV71" s="161"/>
      <c r="CW71" s="161"/>
      <c r="CX71" s="161"/>
      <c r="CY71" s="161">
        <v>150</v>
      </c>
      <c r="CZ71" s="161"/>
      <c r="DA71" s="161">
        <v>150</v>
      </c>
      <c r="DB71" s="160"/>
      <c r="DC71" s="160"/>
      <c r="DD71" s="160"/>
      <c r="DE71" s="160"/>
      <c r="DF71" s="160"/>
      <c r="DG71" s="160"/>
      <c r="DH71" s="160"/>
      <c r="DI71" s="160"/>
      <c r="DJ71" s="160"/>
      <c r="DK71" s="161"/>
      <c r="DL71" s="161"/>
      <c r="DM71" s="161"/>
      <c r="DN71" s="161"/>
      <c r="DO71" s="161"/>
      <c r="DP71" s="161"/>
      <c r="DQ71" s="160">
        <v>150</v>
      </c>
      <c r="DR71" s="160"/>
      <c r="DS71" s="160">
        <v>150</v>
      </c>
    </row>
    <row r="72" ht="31.5" spans="1:123">
      <c r="A72" s="128"/>
      <c r="B72" s="128"/>
      <c r="C72" s="148" t="s">
        <v>155</v>
      </c>
      <c r="D72" s="158"/>
      <c r="E72" s="158"/>
      <c r="F72" s="158"/>
      <c r="G72" s="158"/>
      <c r="H72" s="158"/>
      <c r="I72" s="158"/>
      <c r="J72" s="158">
        <v>50</v>
      </c>
      <c r="K72" s="158"/>
      <c r="L72" s="158">
        <v>50</v>
      </c>
      <c r="M72" s="158">
        <v>50</v>
      </c>
      <c r="N72" s="158"/>
      <c r="O72" s="158">
        <v>50</v>
      </c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  <c r="AM72" s="158"/>
      <c r="AN72" s="158"/>
      <c r="AO72" s="158"/>
      <c r="AP72" s="158"/>
      <c r="AQ72" s="158"/>
      <c r="AR72" s="158"/>
      <c r="AS72" s="158"/>
      <c r="AT72" s="158"/>
      <c r="AU72" s="158"/>
      <c r="AV72" s="158"/>
      <c r="AW72" s="158"/>
      <c r="AX72" s="158"/>
      <c r="AY72" s="158"/>
      <c r="AZ72" s="159">
        <v>50</v>
      </c>
      <c r="BA72" s="159"/>
      <c r="BB72" s="159">
        <v>50</v>
      </c>
      <c r="BC72" s="159">
        <v>50</v>
      </c>
      <c r="BD72" s="159"/>
      <c r="BE72" s="159">
        <v>50</v>
      </c>
      <c r="BF72" s="160"/>
      <c r="BG72" s="160"/>
      <c r="BH72" s="160"/>
      <c r="BI72" s="160"/>
      <c r="BJ72" s="160"/>
      <c r="BK72" s="160"/>
      <c r="BL72" s="161"/>
      <c r="BM72" s="161"/>
      <c r="BN72" s="161"/>
      <c r="BO72" s="160"/>
      <c r="BP72" s="160"/>
      <c r="BQ72" s="160"/>
      <c r="BR72" s="160"/>
      <c r="BS72" s="160"/>
      <c r="BT72" s="160"/>
      <c r="BU72" s="160"/>
      <c r="BV72" s="160"/>
      <c r="BW72" s="160"/>
      <c r="BX72" s="161"/>
      <c r="BY72" s="161"/>
      <c r="BZ72" s="161"/>
      <c r="CA72" s="160"/>
      <c r="CB72" s="160"/>
      <c r="CC72" s="160"/>
      <c r="CD72" s="160">
        <v>50</v>
      </c>
      <c r="CE72" s="160"/>
      <c r="CF72" s="160">
        <v>50</v>
      </c>
      <c r="CG72" s="160"/>
      <c r="CH72" s="160"/>
      <c r="CI72" s="160"/>
      <c r="CJ72" s="161">
        <v>50</v>
      </c>
      <c r="CK72" s="161"/>
      <c r="CL72" s="161">
        <v>50</v>
      </c>
      <c r="CM72" s="160"/>
      <c r="CN72" s="160"/>
      <c r="CO72" s="160"/>
      <c r="CP72" s="160"/>
      <c r="CQ72" s="160"/>
      <c r="CR72" s="160"/>
      <c r="CS72" s="160"/>
      <c r="CT72" s="160"/>
      <c r="CU72" s="160"/>
      <c r="CV72" s="161"/>
      <c r="CW72" s="161"/>
      <c r="CX72" s="161"/>
      <c r="CY72" s="161">
        <v>50</v>
      </c>
      <c r="CZ72" s="161"/>
      <c r="DA72" s="161">
        <v>50</v>
      </c>
      <c r="DB72" s="160"/>
      <c r="DC72" s="160"/>
      <c r="DD72" s="160"/>
      <c r="DE72" s="160"/>
      <c r="DF72" s="160"/>
      <c r="DG72" s="160"/>
      <c r="DH72" s="160"/>
      <c r="DI72" s="160"/>
      <c r="DJ72" s="160"/>
      <c r="DK72" s="161"/>
      <c r="DL72" s="161"/>
      <c r="DM72" s="161"/>
      <c r="DN72" s="161"/>
      <c r="DO72" s="161"/>
      <c r="DP72" s="161"/>
      <c r="DQ72" s="160">
        <v>50</v>
      </c>
      <c r="DR72" s="160"/>
      <c r="DS72" s="160">
        <v>50</v>
      </c>
    </row>
    <row r="73" ht="31.5" spans="1:123">
      <c r="A73" s="128"/>
      <c r="B73" s="128"/>
      <c r="C73" s="148" t="s">
        <v>159</v>
      </c>
      <c r="D73" s="158"/>
      <c r="E73" s="158"/>
      <c r="F73" s="158"/>
      <c r="G73" s="158">
        <v>50</v>
      </c>
      <c r="H73" s="158"/>
      <c r="I73" s="158">
        <v>50</v>
      </c>
      <c r="J73" s="158"/>
      <c r="K73" s="158"/>
      <c r="L73" s="158"/>
      <c r="M73" s="158">
        <v>50</v>
      </c>
      <c r="N73" s="158"/>
      <c r="O73" s="158">
        <v>50</v>
      </c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  <c r="AN73" s="158"/>
      <c r="AO73" s="158"/>
      <c r="AP73" s="158"/>
      <c r="AQ73" s="158"/>
      <c r="AR73" s="158"/>
      <c r="AS73" s="158"/>
      <c r="AT73" s="158"/>
      <c r="AU73" s="158"/>
      <c r="AV73" s="158"/>
      <c r="AW73" s="158"/>
      <c r="AX73" s="158"/>
      <c r="AY73" s="158"/>
      <c r="AZ73" s="159">
        <v>50</v>
      </c>
      <c r="BA73" s="159"/>
      <c r="BB73" s="159">
        <v>50</v>
      </c>
      <c r="BC73" s="159">
        <v>50</v>
      </c>
      <c r="BD73" s="159"/>
      <c r="BE73" s="159">
        <v>50</v>
      </c>
      <c r="BF73" s="160"/>
      <c r="BG73" s="160"/>
      <c r="BH73" s="160"/>
      <c r="BI73" s="160"/>
      <c r="BJ73" s="160"/>
      <c r="BK73" s="160"/>
      <c r="BL73" s="161"/>
      <c r="BM73" s="161"/>
      <c r="BN73" s="161"/>
      <c r="BO73" s="160">
        <v>50</v>
      </c>
      <c r="BP73" s="160"/>
      <c r="BQ73" s="160">
        <v>50</v>
      </c>
      <c r="BR73" s="160"/>
      <c r="BS73" s="160"/>
      <c r="BT73" s="160"/>
      <c r="BU73" s="160"/>
      <c r="BV73" s="160"/>
      <c r="BW73" s="160"/>
      <c r="BX73" s="161">
        <v>50</v>
      </c>
      <c r="BY73" s="161"/>
      <c r="BZ73" s="161">
        <v>50</v>
      </c>
      <c r="CA73" s="160"/>
      <c r="CB73" s="160"/>
      <c r="CC73" s="160"/>
      <c r="CD73" s="160"/>
      <c r="CE73" s="160"/>
      <c r="CF73" s="160"/>
      <c r="CG73" s="160"/>
      <c r="CH73" s="160"/>
      <c r="CI73" s="160"/>
      <c r="CJ73" s="161"/>
      <c r="CK73" s="161"/>
      <c r="CL73" s="161"/>
      <c r="CM73" s="160"/>
      <c r="CN73" s="160"/>
      <c r="CO73" s="160"/>
      <c r="CP73" s="160"/>
      <c r="CQ73" s="160"/>
      <c r="CR73" s="160"/>
      <c r="CS73" s="160"/>
      <c r="CT73" s="160"/>
      <c r="CU73" s="160"/>
      <c r="CV73" s="161"/>
      <c r="CW73" s="161"/>
      <c r="CX73" s="161"/>
      <c r="CY73" s="161">
        <v>50</v>
      </c>
      <c r="CZ73" s="161"/>
      <c r="DA73" s="161">
        <v>50</v>
      </c>
      <c r="DB73" s="160"/>
      <c r="DC73" s="160"/>
      <c r="DD73" s="160"/>
      <c r="DE73" s="160"/>
      <c r="DF73" s="160"/>
      <c r="DG73" s="160"/>
      <c r="DH73" s="160"/>
      <c r="DI73" s="160"/>
      <c r="DJ73" s="160"/>
      <c r="DK73" s="161"/>
      <c r="DL73" s="161"/>
      <c r="DM73" s="161"/>
      <c r="DN73" s="161"/>
      <c r="DO73" s="161"/>
      <c r="DP73" s="161"/>
      <c r="DQ73" s="160">
        <v>50</v>
      </c>
      <c r="DR73" s="160"/>
      <c r="DS73" s="160">
        <v>50</v>
      </c>
    </row>
    <row r="74" ht="31.5" spans="1:123">
      <c r="A74" s="128"/>
      <c r="B74" s="128"/>
      <c r="C74" s="148" t="s">
        <v>161</v>
      </c>
      <c r="D74" s="158"/>
      <c r="E74" s="158"/>
      <c r="F74" s="158"/>
      <c r="G74" s="158">
        <v>350</v>
      </c>
      <c r="H74" s="158"/>
      <c r="I74" s="158">
        <v>350</v>
      </c>
      <c r="J74" s="158"/>
      <c r="K74" s="158"/>
      <c r="L74" s="158"/>
      <c r="M74" s="158">
        <v>350</v>
      </c>
      <c r="N74" s="158"/>
      <c r="O74" s="158">
        <v>350</v>
      </c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  <c r="AM74" s="158"/>
      <c r="AN74" s="158"/>
      <c r="AO74" s="158"/>
      <c r="AP74" s="158"/>
      <c r="AQ74" s="158"/>
      <c r="AR74" s="158"/>
      <c r="AS74" s="158"/>
      <c r="AT74" s="158"/>
      <c r="AU74" s="158"/>
      <c r="AV74" s="158"/>
      <c r="AW74" s="158"/>
      <c r="AX74" s="158"/>
      <c r="AY74" s="158"/>
      <c r="AZ74" s="159">
        <v>350</v>
      </c>
      <c r="BA74" s="159"/>
      <c r="BB74" s="159">
        <v>350</v>
      </c>
      <c r="BC74" s="159">
        <v>350</v>
      </c>
      <c r="BD74" s="159"/>
      <c r="BE74" s="159">
        <v>350</v>
      </c>
      <c r="BF74" s="160">
        <v>32</v>
      </c>
      <c r="BG74" s="160"/>
      <c r="BH74" s="160">
        <v>32</v>
      </c>
      <c r="BI74" s="160">
        <v>32</v>
      </c>
      <c r="BJ74" s="160"/>
      <c r="BK74" s="160">
        <v>32</v>
      </c>
      <c r="BL74" s="161">
        <v>64</v>
      </c>
      <c r="BM74" s="161"/>
      <c r="BN74" s="161">
        <v>64</v>
      </c>
      <c r="BO74" s="160">
        <v>32</v>
      </c>
      <c r="BP74" s="160"/>
      <c r="BQ74" s="160">
        <v>32</v>
      </c>
      <c r="BR74" s="160">
        <v>32</v>
      </c>
      <c r="BS74" s="160"/>
      <c r="BT74" s="160">
        <v>32</v>
      </c>
      <c r="BU74" s="160">
        <v>32</v>
      </c>
      <c r="BV74" s="160"/>
      <c r="BW74" s="160">
        <v>32</v>
      </c>
      <c r="BX74" s="161">
        <v>96</v>
      </c>
      <c r="BY74" s="161"/>
      <c r="BZ74" s="161">
        <v>96</v>
      </c>
      <c r="CA74" s="160">
        <v>32</v>
      </c>
      <c r="CB74" s="160"/>
      <c r="CC74" s="160">
        <v>32</v>
      </c>
      <c r="CD74" s="160">
        <v>32</v>
      </c>
      <c r="CE74" s="160"/>
      <c r="CF74" s="160">
        <v>32</v>
      </c>
      <c r="CG74" s="160">
        <v>32</v>
      </c>
      <c r="CH74" s="160"/>
      <c r="CI74" s="160">
        <v>32</v>
      </c>
      <c r="CJ74" s="161">
        <v>96</v>
      </c>
      <c r="CK74" s="161"/>
      <c r="CL74" s="161">
        <v>96</v>
      </c>
      <c r="CM74" s="160">
        <v>32</v>
      </c>
      <c r="CN74" s="160"/>
      <c r="CO74" s="160">
        <v>32</v>
      </c>
      <c r="CP74" s="160">
        <v>32</v>
      </c>
      <c r="CQ74" s="160"/>
      <c r="CR74" s="160">
        <v>32</v>
      </c>
      <c r="CS74" s="160">
        <v>30</v>
      </c>
      <c r="CT74" s="160"/>
      <c r="CU74" s="160">
        <v>30</v>
      </c>
      <c r="CV74" s="161">
        <v>94</v>
      </c>
      <c r="CW74" s="161"/>
      <c r="CX74" s="161">
        <v>94</v>
      </c>
      <c r="CY74" s="161">
        <v>350</v>
      </c>
      <c r="CZ74" s="161"/>
      <c r="DA74" s="161">
        <v>350</v>
      </c>
      <c r="DB74" s="160"/>
      <c r="DC74" s="160"/>
      <c r="DD74" s="160"/>
      <c r="DE74" s="160"/>
      <c r="DF74" s="160"/>
      <c r="DG74" s="160"/>
      <c r="DH74" s="160"/>
      <c r="DI74" s="160"/>
      <c r="DJ74" s="160"/>
      <c r="DK74" s="161"/>
      <c r="DL74" s="161"/>
      <c r="DM74" s="161"/>
      <c r="DN74" s="161"/>
      <c r="DO74" s="161"/>
      <c r="DP74" s="161"/>
      <c r="DQ74" s="160">
        <v>350</v>
      </c>
      <c r="DR74" s="160"/>
      <c r="DS74" s="160">
        <v>350</v>
      </c>
    </row>
    <row r="75" ht="31.5" spans="1:123">
      <c r="A75" s="128"/>
      <c r="B75" s="128"/>
      <c r="C75" s="148" t="s">
        <v>163</v>
      </c>
      <c r="D75" s="158"/>
      <c r="E75" s="158"/>
      <c r="F75" s="158"/>
      <c r="G75" s="158">
        <v>400</v>
      </c>
      <c r="H75" s="158"/>
      <c r="I75" s="158">
        <v>400</v>
      </c>
      <c r="J75" s="158"/>
      <c r="K75" s="158"/>
      <c r="L75" s="158"/>
      <c r="M75" s="158">
        <v>400</v>
      </c>
      <c r="N75" s="158"/>
      <c r="O75" s="158">
        <v>400</v>
      </c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  <c r="AN75" s="158"/>
      <c r="AO75" s="158"/>
      <c r="AP75" s="158"/>
      <c r="AQ75" s="158"/>
      <c r="AR75" s="158"/>
      <c r="AS75" s="158"/>
      <c r="AT75" s="158"/>
      <c r="AU75" s="158"/>
      <c r="AV75" s="158"/>
      <c r="AW75" s="158"/>
      <c r="AX75" s="158"/>
      <c r="AY75" s="158"/>
      <c r="AZ75" s="159">
        <v>400</v>
      </c>
      <c r="BA75" s="159"/>
      <c r="BB75" s="159">
        <v>400</v>
      </c>
      <c r="BC75" s="159">
        <v>400</v>
      </c>
      <c r="BD75" s="159"/>
      <c r="BE75" s="159">
        <v>400</v>
      </c>
      <c r="BF75" s="160">
        <v>36</v>
      </c>
      <c r="BG75" s="160"/>
      <c r="BH75" s="160">
        <v>36</v>
      </c>
      <c r="BI75" s="160">
        <v>36</v>
      </c>
      <c r="BJ75" s="160"/>
      <c r="BK75" s="160">
        <v>36</v>
      </c>
      <c r="BL75" s="161">
        <v>72</v>
      </c>
      <c r="BM75" s="161"/>
      <c r="BN75" s="161">
        <v>72</v>
      </c>
      <c r="BO75" s="160">
        <v>36</v>
      </c>
      <c r="BP75" s="160"/>
      <c r="BQ75" s="160">
        <v>36</v>
      </c>
      <c r="BR75" s="160">
        <v>36</v>
      </c>
      <c r="BS75" s="160"/>
      <c r="BT75" s="160">
        <v>36</v>
      </c>
      <c r="BU75" s="160">
        <v>36</v>
      </c>
      <c r="BV75" s="160"/>
      <c r="BW75" s="160">
        <v>36</v>
      </c>
      <c r="BX75" s="161">
        <v>108</v>
      </c>
      <c r="BY75" s="161"/>
      <c r="BZ75" s="161">
        <v>108</v>
      </c>
      <c r="CA75" s="160">
        <v>36</v>
      </c>
      <c r="CB75" s="160"/>
      <c r="CC75" s="160">
        <v>36</v>
      </c>
      <c r="CD75" s="160">
        <v>36</v>
      </c>
      <c r="CE75" s="160"/>
      <c r="CF75" s="160">
        <v>36</v>
      </c>
      <c r="CG75" s="160">
        <v>36</v>
      </c>
      <c r="CH75" s="160"/>
      <c r="CI75" s="160">
        <v>36</v>
      </c>
      <c r="CJ75" s="161">
        <v>108</v>
      </c>
      <c r="CK75" s="161"/>
      <c r="CL75" s="161">
        <v>108</v>
      </c>
      <c r="CM75" s="160">
        <v>36</v>
      </c>
      <c r="CN75" s="160"/>
      <c r="CO75" s="160">
        <v>36</v>
      </c>
      <c r="CP75" s="160">
        <v>36</v>
      </c>
      <c r="CQ75" s="160"/>
      <c r="CR75" s="160">
        <v>36</v>
      </c>
      <c r="CS75" s="160">
        <v>40</v>
      </c>
      <c r="CT75" s="160"/>
      <c r="CU75" s="160">
        <v>40</v>
      </c>
      <c r="CV75" s="161">
        <v>112</v>
      </c>
      <c r="CW75" s="161"/>
      <c r="CX75" s="161">
        <v>112</v>
      </c>
      <c r="CY75" s="161">
        <v>400</v>
      </c>
      <c r="CZ75" s="161"/>
      <c r="DA75" s="161">
        <v>400</v>
      </c>
      <c r="DB75" s="160"/>
      <c r="DC75" s="160"/>
      <c r="DD75" s="160"/>
      <c r="DE75" s="160"/>
      <c r="DF75" s="160"/>
      <c r="DG75" s="160"/>
      <c r="DH75" s="160"/>
      <c r="DI75" s="160"/>
      <c r="DJ75" s="160"/>
      <c r="DK75" s="161"/>
      <c r="DL75" s="161"/>
      <c r="DM75" s="161"/>
      <c r="DN75" s="161"/>
      <c r="DO75" s="161"/>
      <c r="DP75" s="161"/>
      <c r="DQ75" s="160">
        <v>400</v>
      </c>
      <c r="DR75" s="160"/>
      <c r="DS75" s="160">
        <v>400</v>
      </c>
    </row>
    <row r="76" spans="1:123">
      <c r="A76" s="128"/>
      <c r="B76" s="128" t="s">
        <v>360</v>
      </c>
      <c r="C76" s="14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8"/>
      <c r="AQ76" s="158"/>
      <c r="AR76" s="158"/>
      <c r="AS76" s="158"/>
      <c r="AT76" s="158"/>
      <c r="AU76" s="158"/>
      <c r="AV76" s="158"/>
      <c r="AW76" s="158"/>
      <c r="AX76" s="158"/>
      <c r="AY76" s="158"/>
      <c r="AZ76" s="159"/>
      <c r="BA76" s="159"/>
      <c r="BB76" s="159"/>
      <c r="BC76" s="159"/>
      <c r="BD76" s="159"/>
      <c r="BE76" s="159"/>
      <c r="BF76" s="160"/>
      <c r="BG76" s="160"/>
      <c r="BH76" s="160"/>
      <c r="BI76" s="160"/>
      <c r="BJ76" s="160"/>
      <c r="BK76" s="160"/>
      <c r="BL76" s="161"/>
      <c r="BM76" s="161"/>
      <c r="BN76" s="161"/>
      <c r="BO76" s="160"/>
      <c r="BP76" s="160"/>
      <c r="BQ76" s="160"/>
      <c r="BR76" s="160"/>
      <c r="BS76" s="160"/>
      <c r="BT76" s="160"/>
      <c r="BU76" s="160"/>
      <c r="BV76" s="160"/>
      <c r="BW76" s="160"/>
      <c r="BX76" s="161"/>
      <c r="BY76" s="161"/>
      <c r="BZ76" s="161"/>
      <c r="CA76" s="160"/>
      <c r="CB76" s="160"/>
      <c r="CC76" s="160"/>
      <c r="CD76" s="160"/>
      <c r="CE76" s="160"/>
      <c r="CF76" s="160"/>
      <c r="CG76" s="160"/>
      <c r="CH76" s="160"/>
      <c r="CI76" s="160"/>
      <c r="CJ76" s="161"/>
      <c r="CK76" s="161"/>
      <c r="CL76" s="161"/>
      <c r="CM76" s="160"/>
      <c r="CN76" s="160"/>
      <c r="CO76" s="160"/>
      <c r="CP76" s="160"/>
      <c r="CQ76" s="160"/>
      <c r="CR76" s="160"/>
      <c r="CS76" s="160"/>
      <c r="CT76" s="160"/>
      <c r="CU76" s="160"/>
      <c r="CV76" s="161"/>
      <c r="CW76" s="161"/>
      <c r="CX76" s="161"/>
      <c r="CY76" s="161"/>
      <c r="CZ76" s="161"/>
      <c r="DA76" s="161"/>
      <c r="DB76" s="160"/>
      <c r="DC76" s="160"/>
      <c r="DD76" s="160"/>
      <c r="DE76" s="160"/>
      <c r="DF76" s="160"/>
      <c r="DG76" s="160"/>
      <c r="DH76" s="160"/>
      <c r="DI76" s="160"/>
      <c r="DJ76" s="160"/>
      <c r="DK76" s="161"/>
      <c r="DL76" s="161"/>
      <c r="DM76" s="161"/>
      <c r="DN76" s="161"/>
      <c r="DO76" s="161"/>
      <c r="DP76" s="161"/>
      <c r="DQ76" s="160"/>
      <c r="DR76" s="160"/>
      <c r="DS76" s="160"/>
    </row>
    <row r="77" ht="31.5" spans="1:123">
      <c r="A77" s="128"/>
      <c r="B77" s="128"/>
      <c r="C77" s="148" t="s">
        <v>109</v>
      </c>
      <c r="D77" s="158"/>
      <c r="E77" s="158"/>
      <c r="F77" s="158"/>
      <c r="G77" s="158"/>
      <c r="H77" s="158"/>
      <c r="I77" s="158"/>
      <c r="J77" s="158">
        <v>192</v>
      </c>
      <c r="K77" s="158"/>
      <c r="L77" s="158">
        <v>192</v>
      </c>
      <c r="M77" s="158">
        <v>192</v>
      </c>
      <c r="N77" s="158"/>
      <c r="O77" s="158">
        <v>192</v>
      </c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8"/>
      <c r="AP77" s="158"/>
      <c r="AQ77" s="158"/>
      <c r="AR77" s="158"/>
      <c r="AS77" s="158"/>
      <c r="AT77" s="158"/>
      <c r="AU77" s="158"/>
      <c r="AV77" s="158"/>
      <c r="AW77" s="158"/>
      <c r="AX77" s="158"/>
      <c r="AY77" s="158"/>
      <c r="AZ77" s="159">
        <v>192</v>
      </c>
      <c r="BA77" s="159"/>
      <c r="BB77" s="159">
        <v>192</v>
      </c>
      <c r="BC77" s="159">
        <v>192</v>
      </c>
      <c r="BD77" s="159"/>
      <c r="BE77" s="159">
        <v>192</v>
      </c>
      <c r="BF77" s="160"/>
      <c r="BG77" s="160"/>
      <c r="BH77" s="160"/>
      <c r="BI77" s="160"/>
      <c r="BJ77" s="160"/>
      <c r="BK77" s="160"/>
      <c r="BL77" s="161"/>
      <c r="BM77" s="161"/>
      <c r="BN77" s="161"/>
      <c r="BO77" s="160">
        <v>96</v>
      </c>
      <c r="BP77" s="160"/>
      <c r="BQ77" s="160">
        <v>96</v>
      </c>
      <c r="BR77" s="160"/>
      <c r="BS77" s="160"/>
      <c r="BT77" s="160"/>
      <c r="BU77" s="160"/>
      <c r="BV77" s="160"/>
      <c r="BW77" s="160"/>
      <c r="BX77" s="161">
        <v>96</v>
      </c>
      <c r="BY77" s="161"/>
      <c r="BZ77" s="161">
        <v>96</v>
      </c>
      <c r="CA77" s="160"/>
      <c r="CB77" s="160"/>
      <c r="CC77" s="160"/>
      <c r="CD77" s="160">
        <v>96</v>
      </c>
      <c r="CE77" s="160"/>
      <c r="CF77" s="160">
        <v>96</v>
      </c>
      <c r="CG77" s="160"/>
      <c r="CH77" s="160"/>
      <c r="CI77" s="160"/>
      <c r="CJ77" s="161">
        <v>96</v>
      </c>
      <c r="CK77" s="161"/>
      <c r="CL77" s="161">
        <v>96</v>
      </c>
      <c r="CM77" s="160"/>
      <c r="CN77" s="160"/>
      <c r="CO77" s="160"/>
      <c r="CP77" s="160"/>
      <c r="CQ77" s="160"/>
      <c r="CR77" s="160"/>
      <c r="CS77" s="160"/>
      <c r="CT77" s="160"/>
      <c r="CU77" s="160"/>
      <c r="CV77" s="161"/>
      <c r="CW77" s="161"/>
      <c r="CX77" s="161"/>
      <c r="CY77" s="161">
        <v>192</v>
      </c>
      <c r="CZ77" s="161"/>
      <c r="DA77" s="161">
        <v>192</v>
      </c>
      <c r="DB77" s="160"/>
      <c r="DC77" s="160"/>
      <c r="DD77" s="160"/>
      <c r="DE77" s="160"/>
      <c r="DF77" s="160"/>
      <c r="DG77" s="160"/>
      <c r="DH77" s="160"/>
      <c r="DI77" s="160"/>
      <c r="DJ77" s="160"/>
      <c r="DK77" s="161"/>
      <c r="DL77" s="161"/>
      <c r="DM77" s="161"/>
      <c r="DN77" s="161"/>
      <c r="DO77" s="161"/>
      <c r="DP77" s="161"/>
      <c r="DQ77" s="160">
        <v>192</v>
      </c>
      <c r="DR77" s="160"/>
      <c r="DS77" s="160">
        <v>192</v>
      </c>
    </row>
    <row r="78" ht="31.5" spans="1:123">
      <c r="A78" s="128"/>
      <c r="B78" s="128"/>
      <c r="C78" s="148" t="s">
        <v>111</v>
      </c>
      <c r="D78" s="158"/>
      <c r="E78" s="158"/>
      <c r="F78" s="158"/>
      <c r="G78" s="158"/>
      <c r="H78" s="158"/>
      <c r="I78" s="158"/>
      <c r="J78" s="158">
        <v>576</v>
      </c>
      <c r="K78" s="158"/>
      <c r="L78" s="158">
        <v>576</v>
      </c>
      <c r="M78" s="158">
        <v>576</v>
      </c>
      <c r="N78" s="158"/>
      <c r="O78" s="158">
        <v>576</v>
      </c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  <c r="AN78" s="158"/>
      <c r="AO78" s="158"/>
      <c r="AP78" s="158"/>
      <c r="AQ78" s="158"/>
      <c r="AR78" s="158"/>
      <c r="AS78" s="158"/>
      <c r="AT78" s="158"/>
      <c r="AU78" s="158"/>
      <c r="AV78" s="158"/>
      <c r="AW78" s="158"/>
      <c r="AX78" s="158"/>
      <c r="AY78" s="158"/>
      <c r="AZ78" s="159">
        <v>576</v>
      </c>
      <c r="BA78" s="159"/>
      <c r="BB78" s="159">
        <v>576</v>
      </c>
      <c r="BC78" s="159">
        <v>576</v>
      </c>
      <c r="BD78" s="159"/>
      <c r="BE78" s="159">
        <v>576</v>
      </c>
      <c r="BF78" s="160"/>
      <c r="BG78" s="160"/>
      <c r="BH78" s="160"/>
      <c r="BI78" s="160"/>
      <c r="BJ78" s="160"/>
      <c r="BK78" s="160"/>
      <c r="BL78" s="161"/>
      <c r="BM78" s="161"/>
      <c r="BN78" s="161"/>
      <c r="BO78" s="160">
        <v>288</v>
      </c>
      <c r="BP78" s="160"/>
      <c r="BQ78" s="160">
        <v>288</v>
      </c>
      <c r="BR78" s="160"/>
      <c r="BS78" s="160"/>
      <c r="BT78" s="160"/>
      <c r="BU78" s="160"/>
      <c r="BV78" s="160"/>
      <c r="BW78" s="160"/>
      <c r="BX78" s="161">
        <v>288</v>
      </c>
      <c r="BY78" s="161"/>
      <c r="BZ78" s="161">
        <v>288</v>
      </c>
      <c r="CA78" s="160"/>
      <c r="CB78" s="160"/>
      <c r="CC78" s="160"/>
      <c r="CD78" s="160">
        <v>288</v>
      </c>
      <c r="CE78" s="160"/>
      <c r="CF78" s="160">
        <v>288</v>
      </c>
      <c r="CG78" s="160"/>
      <c r="CH78" s="160"/>
      <c r="CI78" s="160"/>
      <c r="CJ78" s="161">
        <v>288</v>
      </c>
      <c r="CK78" s="161"/>
      <c r="CL78" s="161">
        <v>288</v>
      </c>
      <c r="CM78" s="160"/>
      <c r="CN78" s="160"/>
      <c r="CO78" s="160"/>
      <c r="CP78" s="160"/>
      <c r="CQ78" s="160"/>
      <c r="CR78" s="160"/>
      <c r="CS78" s="160"/>
      <c r="CT78" s="160"/>
      <c r="CU78" s="160"/>
      <c r="CV78" s="161"/>
      <c r="CW78" s="161"/>
      <c r="CX78" s="161"/>
      <c r="CY78" s="161">
        <v>576</v>
      </c>
      <c r="CZ78" s="161"/>
      <c r="DA78" s="161">
        <v>576</v>
      </c>
      <c r="DB78" s="160"/>
      <c r="DC78" s="160"/>
      <c r="DD78" s="160"/>
      <c r="DE78" s="160"/>
      <c r="DF78" s="160"/>
      <c r="DG78" s="160"/>
      <c r="DH78" s="160"/>
      <c r="DI78" s="160"/>
      <c r="DJ78" s="160"/>
      <c r="DK78" s="161"/>
      <c r="DL78" s="161"/>
      <c r="DM78" s="161"/>
      <c r="DN78" s="161"/>
      <c r="DO78" s="161"/>
      <c r="DP78" s="161"/>
      <c r="DQ78" s="160">
        <v>576</v>
      </c>
      <c r="DR78" s="160"/>
      <c r="DS78" s="160">
        <v>576</v>
      </c>
    </row>
    <row r="79" ht="47.25" spans="1:123">
      <c r="A79" s="128"/>
      <c r="B79" s="128"/>
      <c r="C79" s="148" t="s">
        <v>113</v>
      </c>
      <c r="D79" s="158"/>
      <c r="E79" s="158"/>
      <c r="F79" s="158"/>
      <c r="G79" s="158"/>
      <c r="H79" s="158"/>
      <c r="I79" s="158"/>
      <c r="J79" s="158">
        <v>7098</v>
      </c>
      <c r="K79" s="158"/>
      <c r="L79" s="158">
        <v>7098</v>
      </c>
      <c r="M79" s="158">
        <v>7098</v>
      </c>
      <c r="N79" s="158"/>
      <c r="O79" s="158">
        <v>7098</v>
      </c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  <c r="AL79" s="158"/>
      <c r="AM79" s="158"/>
      <c r="AN79" s="158"/>
      <c r="AO79" s="158"/>
      <c r="AP79" s="158"/>
      <c r="AQ79" s="158"/>
      <c r="AR79" s="158"/>
      <c r="AS79" s="158"/>
      <c r="AT79" s="158"/>
      <c r="AU79" s="158"/>
      <c r="AV79" s="158"/>
      <c r="AW79" s="158"/>
      <c r="AX79" s="158"/>
      <c r="AY79" s="158"/>
      <c r="AZ79" s="159">
        <v>7098</v>
      </c>
      <c r="BA79" s="159"/>
      <c r="BB79" s="159">
        <v>7098</v>
      </c>
      <c r="BC79" s="159">
        <v>7098</v>
      </c>
      <c r="BD79" s="159"/>
      <c r="BE79" s="159">
        <v>7098</v>
      </c>
      <c r="BF79" s="160"/>
      <c r="BG79" s="160"/>
      <c r="BH79" s="160"/>
      <c r="BI79" s="160"/>
      <c r="BJ79" s="160"/>
      <c r="BK79" s="160"/>
      <c r="BL79" s="161"/>
      <c r="BM79" s="161"/>
      <c r="BN79" s="161"/>
      <c r="BO79" s="160">
        <v>3549</v>
      </c>
      <c r="BP79" s="160"/>
      <c r="BQ79" s="160">
        <v>3549</v>
      </c>
      <c r="BR79" s="160"/>
      <c r="BS79" s="160"/>
      <c r="BT79" s="160"/>
      <c r="BU79" s="160"/>
      <c r="BV79" s="160"/>
      <c r="BW79" s="160"/>
      <c r="BX79" s="161">
        <v>3549</v>
      </c>
      <c r="BY79" s="161"/>
      <c r="BZ79" s="161">
        <v>3549</v>
      </c>
      <c r="CA79" s="160"/>
      <c r="CB79" s="160"/>
      <c r="CC79" s="160"/>
      <c r="CD79" s="160">
        <v>3549</v>
      </c>
      <c r="CE79" s="160"/>
      <c r="CF79" s="160">
        <v>3549</v>
      </c>
      <c r="CG79" s="160"/>
      <c r="CH79" s="160"/>
      <c r="CI79" s="160"/>
      <c r="CJ79" s="161">
        <v>3549</v>
      </c>
      <c r="CK79" s="161"/>
      <c r="CL79" s="161">
        <v>3549</v>
      </c>
      <c r="CM79" s="160"/>
      <c r="CN79" s="160"/>
      <c r="CO79" s="160"/>
      <c r="CP79" s="160"/>
      <c r="CQ79" s="160"/>
      <c r="CR79" s="160"/>
      <c r="CS79" s="160"/>
      <c r="CT79" s="160"/>
      <c r="CU79" s="160"/>
      <c r="CV79" s="161"/>
      <c r="CW79" s="161"/>
      <c r="CX79" s="161"/>
      <c r="CY79" s="161">
        <v>7098</v>
      </c>
      <c r="CZ79" s="161"/>
      <c r="DA79" s="161">
        <v>7098</v>
      </c>
      <c r="DB79" s="160"/>
      <c r="DC79" s="160"/>
      <c r="DD79" s="160"/>
      <c r="DE79" s="160"/>
      <c r="DF79" s="160"/>
      <c r="DG79" s="160"/>
      <c r="DH79" s="160"/>
      <c r="DI79" s="160"/>
      <c r="DJ79" s="160"/>
      <c r="DK79" s="161"/>
      <c r="DL79" s="161"/>
      <c r="DM79" s="161"/>
      <c r="DN79" s="161"/>
      <c r="DO79" s="161"/>
      <c r="DP79" s="161"/>
      <c r="DQ79" s="160">
        <v>7098</v>
      </c>
      <c r="DR79" s="160"/>
      <c r="DS79" s="160">
        <v>7098</v>
      </c>
    </row>
    <row r="80" spans="1:123">
      <c r="A80" s="128"/>
      <c r="B80" s="128" t="s">
        <v>361</v>
      </c>
      <c r="C80" s="14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  <c r="AM80" s="158"/>
      <c r="AN80" s="158"/>
      <c r="AO80" s="158"/>
      <c r="AP80" s="158"/>
      <c r="AQ80" s="158"/>
      <c r="AR80" s="158"/>
      <c r="AS80" s="158"/>
      <c r="AT80" s="158"/>
      <c r="AU80" s="158"/>
      <c r="AV80" s="158"/>
      <c r="AW80" s="158"/>
      <c r="AX80" s="158"/>
      <c r="AY80" s="158"/>
      <c r="AZ80" s="159"/>
      <c r="BA80" s="159"/>
      <c r="BB80" s="159"/>
      <c r="BC80" s="159"/>
      <c r="BD80" s="159"/>
      <c r="BE80" s="159"/>
      <c r="BF80" s="160"/>
      <c r="BG80" s="160"/>
      <c r="BH80" s="160"/>
      <c r="BI80" s="160"/>
      <c r="BJ80" s="160"/>
      <c r="BK80" s="160"/>
      <c r="BL80" s="161"/>
      <c r="BM80" s="161"/>
      <c r="BN80" s="161"/>
      <c r="BO80" s="160"/>
      <c r="BP80" s="160"/>
      <c r="BQ80" s="160"/>
      <c r="BR80" s="160"/>
      <c r="BS80" s="160"/>
      <c r="BT80" s="160"/>
      <c r="BU80" s="160"/>
      <c r="BV80" s="160"/>
      <c r="BW80" s="160"/>
      <c r="BX80" s="161"/>
      <c r="BY80" s="161"/>
      <c r="BZ80" s="161"/>
      <c r="CA80" s="160"/>
      <c r="CB80" s="160"/>
      <c r="CC80" s="160"/>
      <c r="CD80" s="160"/>
      <c r="CE80" s="160"/>
      <c r="CF80" s="160"/>
      <c r="CG80" s="160"/>
      <c r="CH80" s="160"/>
      <c r="CI80" s="160"/>
      <c r="CJ80" s="161"/>
      <c r="CK80" s="161"/>
      <c r="CL80" s="161"/>
      <c r="CM80" s="160"/>
      <c r="CN80" s="160"/>
      <c r="CO80" s="160"/>
      <c r="CP80" s="160"/>
      <c r="CQ80" s="160"/>
      <c r="CR80" s="160"/>
      <c r="CS80" s="160"/>
      <c r="CT80" s="160"/>
      <c r="CU80" s="160"/>
      <c r="CV80" s="161"/>
      <c r="CW80" s="161"/>
      <c r="CX80" s="161"/>
      <c r="CY80" s="161"/>
      <c r="CZ80" s="161"/>
      <c r="DA80" s="161"/>
      <c r="DB80" s="160"/>
      <c r="DC80" s="160"/>
      <c r="DD80" s="160"/>
      <c r="DE80" s="160"/>
      <c r="DF80" s="160"/>
      <c r="DG80" s="160"/>
      <c r="DH80" s="160"/>
      <c r="DI80" s="160"/>
      <c r="DJ80" s="160"/>
      <c r="DK80" s="161"/>
      <c r="DL80" s="161"/>
      <c r="DM80" s="161"/>
      <c r="DN80" s="161"/>
      <c r="DO80" s="161"/>
      <c r="DP80" s="161"/>
      <c r="DQ80" s="160"/>
      <c r="DR80" s="160"/>
      <c r="DS80" s="160"/>
    </row>
    <row r="81" spans="1:123">
      <c r="A81" s="128"/>
      <c r="B81" s="128"/>
      <c r="C81" s="148" t="s">
        <v>165</v>
      </c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58"/>
      <c r="AG81" s="158"/>
      <c r="AH81" s="158"/>
      <c r="AI81" s="158"/>
      <c r="AJ81" s="158"/>
      <c r="AK81" s="158"/>
      <c r="AL81" s="158"/>
      <c r="AM81" s="158"/>
      <c r="AN81" s="158">
        <v>600</v>
      </c>
      <c r="AO81" s="158"/>
      <c r="AP81" s="158">
        <v>600</v>
      </c>
      <c r="AQ81" s="158"/>
      <c r="AR81" s="158"/>
      <c r="AS81" s="158"/>
      <c r="AT81" s="158"/>
      <c r="AU81" s="158"/>
      <c r="AV81" s="158"/>
      <c r="AW81" s="158">
        <v>600</v>
      </c>
      <c r="AX81" s="158"/>
      <c r="AY81" s="158">
        <v>600</v>
      </c>
      <c r="AZ81" s="159">
        <v>600</v>
      </c>
      <c r="BA81" s="159"/>
      <c r="BB81" s="159">
        <v>600</v>
      </c>
      <c r="BC81" s="159">
        <v>600</v>
      </c>
      <c r="BD81" s="159"/>
      <c r="BE81" s="159">
        <v>600</v>
      </c>
      <c r="BF81" s="160"/>
      <c r="BG81" s="160"/>
      <c r="BH81" s="160"/>
      <c r="BI81" s="160"/>
      <c r="BJ81" s="160"/>
      <c r="BK81" s="160"/>
      <c r="BL81" s="161"/>
      <c r="BM81" s="161"/>
      <c r="BN81" s="161"/>
      <c r="BO81" s="160"/>
      <c r="BP81" s="160"/>
      <c r="BQ81" s="160"/>
      <c r="BR81" s="160"/>
      <c r="BS81" s="160"/>
      <c r="BT81" s="160"/>
      <c r="BU81" s="160"/>
      <c r="BV81" s="160"/>
      <c r="BW81" s="160"/>
      <c r="BX81" s="161"/>
      <c r="BY81" s="161"/>
      <c r="BZ81" s="161"/>
      <c r="CA81" s="160"/>
      <c r="CB81" s="160"/>
      <c r="CC81" s="160"/>
      <c r="CD81" s="160"/>
      <c r="CE81" s="160"/>
      <c r="CF81" s="160"/>
      <c r="CG81" s="160"/>
      <c r="CH81" s="160"/>
      <c r="CI81" s="160"/>
      <c r="CJ81" s="161"/>
      <c r="CK81" s="161"/>
      <c r="CL81" s="161"/>
      <c r="CM81" s="160"/>
      <c r="CN81" s="160"/>
      <c r="CO81" s="160"/>
      <c r="CP81" s="160">
        <v>600</v>
      </c>
      <c r="CQ81" s="160"/>
      <c r="CR81" s="160">
        <v>600</v>
      </c>
      <c r="CS81" s="160"/>
      <c r="CT81" s="160"/>
      <c r="CU81" s="160"/>
      <c r="CV81" s="161">
        <v>600</v>
      </c>
      <c r="CW81" s="161"/>
      <c r="CX81" s="161">
        <v>600</v>
      </c>
      <c r="CY81" s="161">
        <v>600</v>
      </c>
      <c r="CZ81" s="161"/>
      <c r="DA81" s="161">
        <v>600</v>
      </c>
      <c r="DB81" s="160"/>
      <c r="DC81" s="160"/>
      <c r="DD81" s="160"/>
      <c r="DE81" s="160"/>
      <c r="DF81" s="160"/>
      <c r="DG81" s="160"/>
      <c r="DH81" s="160"/>
      <c r="DI81" s="160"/>
      <c r="DJ81" s="160"/>
      <c r="DK81" s="161"/>
      <c r="DL81" s="161"/>
      <c r="DM81" s="161"/>
      <c r="DN81" s="161"/>
      <c r="DO81" s="161"/>
      <c r="DP81" s="161"/>
      <c r="DQ81" s="160">
        <v>600</v>
      </c>
      <c r="DR81" s="160"/>
      <c r="DS81" s="160">
        <v>600</v>
      </c>
    </row>
    <row r="82" spans="1:123">
      <c r="A82" s="128" t="s">
        <v>166</v>
      </c>
      <c r="B82" s="128"/>
      <c r="C82" s="14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  <c r="AQ82" s="158"/>
      <c r="AR82" s="158"/>
      <c r="AS82" s="158"/>
      <c r="AT82" s="158"/>
      <c r="AU82" s="158"/>
      <c r="AV82" s="158"/>
      <c r="AW82" s="158"/>
      <c r="AX82" s="158"/>
      <c r="AY82" s="158"/>
      <c r="AZ82" s="159"/>
      <c r="BA82" s="159"/>
      <c r="BB82" s="159"/>
      <c r="BC82" s="159"/>
      <c r="BD82" s="159"/>
      <c r="BE82" s="159"/>
      <c r="BF82" s="160"/>
      <c r="BG82" s="160"/>
      <c r="BH82" s="160"/>
      <c r="BI82" s="160"/>
      <c r="BJ82" s="160"/>
      <c r="BK82" s="160"/>
      <c r="BL82" s="161"/>
      <c r="BM82" s="161"/>
      <c r="BN82" s="161"/>
      <c r="BO82" s="160"/>
      <c r="BP82" s="160"/>
      <c r="BQ82" s="160"/>
      <c r="BR82" s="160"/>
      <c r="BS82" s="160"/>
      <c r="BT82" s="160"/>
      <c r="BU82" s="160"/>
      <c r="BV82" s="160"/>
      <c r="BW82" s="160"/>
      <c r="BX82" s="161"/>
      <c r="BY82" s="161"/>
      <c r="BZ82" s="161"/>
      <c r="CA82" s="160"/>
      <c r="CB82" s="160"/>
      <c r="CC82" s="160"/>
      <c r="CD82" s="160"/>
      <c r="CE82" s="160"/>
      <c r="CF82" s="160"/>
      <c r="CG82" s="160"/>
      <c r="CH82" s="160"/>
      <c r="CI82" s="160"/>
      <c r="CJ82" s="161"/>
      <c r="CK82" s="161"/>
      <c r="CL82" s="161"/>
      <c r="CM82" s="160"/>
      <c r="CN82" s="160"/>
      <c r="CO82" s="160"/>
      <c r="CP82" s="160"/>
      <c r="CQ82" s="160"/>
      <c r="CR82" s="160"/>
      <c r="CS82" s="160"/>
      <c r="CT82" s="160"/>
      <c r="CU82" s="160"/>
      <c r="CV82" s="161"/>
      <c r="CW82" s="161"/>
      <c r="CX82" s="161"/>
      <c r="CY82" s="161"/>
      <c r="CZ82" s="161"/>
      <c r="DA82" s="161"/>
      <c r="DB82" s="160"/>
      <c r="DC82" s="160"/>
      <c r="DD82" s="160"/>
      <c r="DE82" s="160"/>
      <c r="DF82" s="160"/>
      <c r="DG82" s="160"/>
      <c r="DH82" s="160"/>
      <c r="DI82" s="160"/>
      <c r="DJ82" s="160"/>
      <c r="DK82" s="161"/>
      <c r="DL82" s="161"/>
      <c r="DM82" s="161"/>
      <c r="DN82" s="161"/>
      <c r="DO82" s="161"/>
      <c r="DP82" s="161"/>
      <c r="DQ82" s="160"/>
      <c r="DR82" s="160"/>
      <c r="DS82" s="160"/>
    </row>
    <row r="83" spans="1:123">
      <c r="A83" s="128"/>
      <c r="B83" s="128" t="s">
        <v>362</v>
      </c>
      <c r="C83" s="14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  <c r="AQ83" s="158"/>
      <c r="AR83" s="158"/>
      <c r="AS83" s="158"/>
      <c r="AT83" s="158"/>
      <c r="AU83" s="158"/>
      <c r="AV83" s="158"/>
      <c r="AW83" s="158"/>
      <c r="AX83" s="158"/>
      <c r="AY83" s="158"/>
      <c r="AZ83" s="159"/>
      <c r="BA83" s="159"/>
      <c r="BB83" s="159"/>
      <c r="BC83" s="159"/>
      <c r="BD83" s="159"/>
      <c r="BE83" s="159"/>
      <c r="BF83" s="160"/>
      <c r="BG83" s="160"/>
      <c r="BH83" s="160"/>
      <c r="BI83" s="160"/>
      <c r="BJ83" s="160"/>
      <c r="BK83" s="160"/>
      <c r="BL83" s="161"/>
      <c r="BM83" s="161"/>
      <c r="BN83" s="161"/>
      <c r="BO83" s="160"/>
      <c r="BP83" s="160"/>
      <c r="BQ83" s="160"/>
      <c r="BR83" s="160"/>
      <c r="BS83" s="160"/>
      <c r="BT83" s="160"/>
      <c r="BU83" s="160"/>
      <c r="BV83" s="160"/>
      <c r="BW83" s="160"/>
      <c r="BX83" s="161"/>
      <c r="BY83" s="161"/>
      <c r="BZ83" s="161"/>
      <c r="CA83" s="160"/>
      <c r="CB83" s="160"/>
      <c r="CC83" s="160"/>
      <c r="CD83" s="160"/>
      <c r="CE83" s="160"/>
      <c r="CF83" s="160"/>
      <c r="CG83" s="160"/>
      <c r="CH83" s="160"/>
      <c r="CI83" s="160"/>
      <c r="CJ83" s="161"/>
      <c r="CK83" s="161"/>
      <c r="CL83" s="161"/>
      <c r="CM83" s="160"/>
      <c r="CN83" s="160"/>
      <c r="CO83" s="160"/>
      <c r="CP83" s="160"/>
      <c r="CQ83" s="160"/>
      <c r="CR83" s="160"/>
      <c r="CS83" s="160"/>
      <c r="CT83" s="160"/>
      <c r="CU83" s="160"/>
      <c r="CV83" s="161"/>
      <c r="CW83" s="161"/>
      <c r="CX83" s="161"/>
      <c r="CY83" s="161"/>
      <c r="CZ83" s="161"/>
      <c r="DA83" s="161"/>
      <c r="DB83" s="160"/>
      <c r="DC83" s="160"/>
      <c r="DD83" s="160"/>
      <c r="DE83" s="160"/>
      <c r="DF83" s="160"/>
      <c r="DG83" s="160"/>
      <c r="DH83" s="160"/>
      <c r="DI83" s="160"/>
      <c r="DJ83" s="160"/>
      <c r="DK83" s="161"/>
      <c r="DL83" s="161"/>
      <c r="DM83" s="161"/>
      <c r="DN83" s="161"/>
      <c r="DO83" s="161"/>
      <c r="DP83" s="161"/>
      <c r="DQ83" s="160"/>
      <c r="DR83" s="160"/>
      <c r="DS83" s="160"/>
    </row>
    <row r="84" ht="31.5" spans="1:123">
      <c r="A84" s="128"/>
      <c r="B84" s="128"/>
      <c r="C84" s="148" t="s">
        <v>168</v>
      </c>
      <c r="D84" s="158"/>
      <c r="E84" s="158"/>
      <c r="F84" s="158"/>
      <c r="G84" s="158"/>
      <c r="H84" s="158"/>
      <c r="I84" s="158"/>
      <c r="J84" s="158">
        <v>4500</v>
      </c>
      <c r="K84" s="158"/>
      <c r="L84" s="158">
        <v>4500</v>
      </c>
      <c r="M84" s="158">
        <v>4500</v>
      </c>
      <c r="N84" s="158"/>
      <c r="O84" s="158">
        <v>4500</v>
      </c>
      <c r="P84" s="158"/>
      <c r="Q84" s="158"/>
      <c r="R84" s="158"/>
      <c r="S84" s="158"/>
      <c r="T84" s="158"/>
      <c r="U84" s="158"/>
      <c r="V84" s="158">
        <v>450</v>
      </c>
      <c r="W84" s="158"/>
      <c r="X84" s="158">
        <v>450</v>
      </c>
      <c r="Y84" s="158">
        <v>450</v>
      </c>
      <c r="Z84" s="158"/>
      <c r="AA84" s="158">
        <v>450</v>
      </c>
      <c r="AB84" s="158"/>
      <c r="AC84" s="158"/>
      <c r="AD84" s="158"/>
      <c r="AE84" s="158"/>
      <c r="AF84" s="158"/>
      <c r="AG84" s="158"/>
      <c r="AH84" s="158">
        <v>550</v>
      </c>
      <c r="AI84" s="158"/>
      <c r="AJ84" s="158">
        <v>550</v>
      </c>
      <c r="AK84" s="158">
        <v>550</v>
      </c>
      <c r="AL84" s="158"/>
      <c r="AM84" s="158">
        <v>550</v>
      </c>
      <c r="AN84" s="158"/>
      <c r="AO84" s="158"/>
      <c r="AP84" s="158"/>
      <c r="AQ84" s="158"/>
      <c r="AR84" s="158"/>
      <c r="AS84" s="158"/>
      <c r="AT84" s="158"/>
      <c r="AU84" s="158"/>
      <c r="AV84" s="158"/>
      <c r="AW84" s="158"/>
      <c r="AX84" s="158"/>
      <c r="AY84" s="158"/>
      <c r="AZ84" s="159">
        <v>5500</v>
      </c>
      <c r="BA84" s="159"/>
      <c r="BB84" s="159">
        <v>5500</v>
      </c>
      <c r="BC84" s="159">
        <v>5500</v>
      </c>
      <c r="BD84" s="159"/>
      <c r="BE84" s="159">
        <v>5500</v>
      </c>
      <c r="BF84" s="160"/>
      <c r="BG84" s="160"/>
      <c r="BH84" s="160"/>
      <c r="BI84" s="160"/>
      <c r="BJ84" s="160"/>
      <c r="BK84" s="160"/>
      <c r="BL84" s="161"/>
      <c r="BM84" s="161"/>
      <c r="BN84" s="161"/>
      <c r="BO84" s="160">
        <v>4500</v>
      </c>
      <c r="BP84" s="160"/>
      <c r="BQ84" s="160">
        <v>4500</v>
      </c>
      <c r="BR84" s="160"/>
      <c r="BS84" s="160"/>
      <c r="BT84" s="160"/>
      <c r="BU84" s="160"/>
      <c r="BV84" s="160"/>
      <c r="BW84" s="160"/>
      <c r="BX84" s="161">
        <v>4500</v>
      </c>
      <c r="BY84" s="161"/>
      <c r="BZ84" s="161">
        <v>4500</v>
      </c>
      <c r="CA84" s="160">
        <v>450</v>
      </c>
      <c r="CB84" s="160"/>
      <c r="CC84" s="160">
        <v>450</v>
      </c>
      <c r="CD84" s="160"/>
      <c r="CE84" s="160"/>
      <c r="CF84" s="160"/>
      <c r="CG84" s="160"/>
      <c r="CH84" s="160"/>
      <c r="CI84" s="160"/>
      <c r="CJ84" s="161">
        <v>450</v>
      </c>
      <c r="CK84" s="161"/>
      <c r="CL84" s="161">
        <v>450</v>
      </c>
      <c r="CM84" s="160">
        <v>550</v>
      </c>
      <c r="CN84" s="160"/>
      <c r="CO84" s="160">
        <v>550</v>
      </c>
      <c r="CP84" s="160"/>
      <c r="CQ84" s="160"/>
      <c r="CR84" s="160"/>
      <c r="CS84" s="160"/>
      <c r="CT84" s="160"/>
      <c r="CU84" s="160"/>
      <c r="CV84" s="161">
        <v>550</v>
      </c>
      <c r="CW84" s="161"/>
      <c r="CX84" s="161">
        <v>550</v>
      </c>
      <c r="CY84" s="161">
        <v>5500</v>
      </c>
      <c r="CZ84" s="161"/>
      <c r="DA84" s="161">
        <v>5500</v>
      </c>
      <c r="DB84" s="160"/>
      <c r="DC84" s="160"/>
      <c r="DD84" s="160"/>
      <c r="DE84" s="160"/>
      <c r="DF84" s="160"/>
      <c r="DG84" s="160"/>
      <c r="DH84" s="160"/>
      <c r="DI84" s="160"/>
      <c r="DJ84" s="160"/>
      <c r="DK84" s="161"/>
      <c r="DL84" s="161"/>
      <c r="DM84" s="161"/>
      <c r="DN84" s="161"/>
      <c r="DO84" s="161"/>
      <c r="DP84" s="161"/>
      <c r="DQ84" s="160">
        <v>5500</v>
      </c>
      <c r="DR84" s="160"/>
      <c r="DS84" s="160">
        <v>5500</v>
      </c>
    </row>
    <row r="85" spans="1:123">
      <c r="A85" s="128" t="s">
        <v>169</v>
      </c>
      <c r="B85" s="128"/>
      <c r="C85" s="14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  <c r="AM85" s="158"/>
      <c r="AN85" s="158"/>
      <c r="AO85" s="158"/>
      <c r="AP85" s="158"/>
      <c r="AQ85" s="158"/>
      <c r="AR85" s="158"/>
      <c r="AS85" s="158"/>
      <c r="AT85" s="158"/>
      <c r="AU85" s="158"/>
      <c r="AV85" s="158"/>
      <c r="AW85" s="158"/>
      <c r="AX85" s="158"/>
      <c r="AY85" s="158"/>
      <c r="AZ85" s="159"/>
      <c r="BA85" s="159"/>
      <c r="BB85" s="159"/>
      <c r="BC85" s="159"/>
      <c r="BD85" s="159"/>
      <c r="BE85" s="159"/>
      <c r="BF85" s="160"/>
      <c r="BG85" s="160"/>
      <c r="BH85" s="160"/>
      <c r="BI85" s="160"/>
      <c r="BJ85" s="160"/>
      <c r="BK85" s="160"/>
      <c r="BL85" s="161"/>
      <c r="BM85" s="161"/>
      <c r="BN85" s="161"/>
      <c r="BO85" s="160"/>
      <c r="BP85" s="160"/>
      <c r="BQ85" s="160"/>
      <c r="BR85" s="160"/>
      <c r="BS85" s="160"/>
      <c r="BT85" s="160"/>
      <c r="BU85" s="160"/>
      <c r="BV85" s="160"/>
      <c r="BW85" s="160"/>
      <c r="BX85" s="161"/>
      <c r="BY85" s="161"/>
      <c r="BZ85" s="161"/>
      <c r="CA85" s="160"/>
      <c r="CB85" s="160"/>
      <c r="CC85" s="160"/>
      <c r="CD85" s="160"/>
      <c r="CE85" s="160"/>
      <c r="CF85" s="160"/>
      <c r="CG85" s="160"/>
      <c r="CH85" s="160"/>
      <c r="CI85" s="160"/>
      <c r="CJ85" s="161"/>
      <c r="CK85" s="161"/>
      <c r="CL85" s="161"/>
      <c r="CM85" s="160"/>
      <c r="CN85" s="160"/>
      <c r="CO85" s="160"/>
      <c r="CP85" s="160"/>
      <c r="CQ85" s="160"/>
      <c r="CR85" s="160"/>
      <c r="CS85" s="160"/>
      <c r="CT85" s="160"/>
      <c r="CU85" s="160"/>
      <c r="CV85" s="161"/>
      <c r="CW85" s="161"/>
      <c r="CX85" s="161"/>
      <c r="CY85" s="161"/>
      <c r="CZ85" s="161"/>
      <c r="DA85" s="161"/>
      <c r="DB85" s="160"/>
      <c r="DC85" s="160"/>
      <c r="DD85" s="160"/>
      <c r="DE85" s="160"/>
      <c r="DF85" s="160"/>
      <c r="DG85" s="160"/>
      <c r="DH85" s="160"/>
      <c r="DI85" s="160"/>
      <c r="DJ85" s="160"/>
      <c r="DK85" s="161"/>
      <c r="DL85" s="161"/>
      <c r="DM85" s="161"/>
      <c r="DN85" s="161"/>
      <c r="DO85" s="161"/>
      <c r="DP85" s="161"/>
      <c r="DQ85" s="160"/>
      <c r="DR85" s="160"/>
      <c r="DS85" s="160"/>
    </row>
    <row r="86" spans="1:123">
      <c r="A86" s="128"/>
      <c r="B86" s="128" t="s">
        <v>363</v>
      </c>
      <c r="C86" s="14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  <c r="AK86" s="158"/>
      <c r="AL86" s="158"/>
      <c r="AM86" s="158"/>
      <c r="AN86" s="158"/>
      <c r="AO86" s="158"/>
      <c r="AP86" s="158"/>
      <c r="AQ86" s="158"/>
      <c r="AR86" s="158"/>
      <c r="AS86" s="158"/>
      <c r="AT86" s="158"/>
      <c r="AU86" s="158"/>
      <c r="AV86" s="158"/>
      <c r="AW86" s="158"/>
      <c r="AX86" s="158"/>
      <c r="AY86" s="158"/>
      <c r="AZ86" s="159"/>
      <c r="BA86" s="159"/>
      <c r="BB86" s="159"/>
      <c r="BC86" s="159"/>
      <c r="BD86" s="159"/>
      <c r="BE86" s="159"/>
      <c r="BF86" s="160"/>
      <c r="BG86" s="160"/>
      <c r="BH86" s="160"/>
      <c r="BI86" s="160"/>
      <c r="BJ86" s="160"/>
      <c r="BK86" s="160"/>
      <c r="BL86" s="161"/>
      <c r="BM86" s="161"/>
      <c r="BN86" s="161"/>
      <c r="BO86" s="160"/>
      <c r="BP86" s="160"/>
      <c r="BQ86" s="160"/>
      <c r="BR86" s="160"/>
      <c r="BS86" s="160"/>
      <c r="BT86" s="160"/>
      <c r="BU86" s="160"/>
      <c r="BV86" s="160"/>
      <c r="BW86" s="160"/>
      <c r="BX86" s="161"/>
      <c r="BY86" s="161"/>
      <c r="BZ86" s="161"/>
      <c r="CA86" s="160"/>
      <c r="CB86" s="160"/>
      <c r="CC86" s="160"/>
      <c r="CD86" s="160"/>
      <c r="CE86" s="160"/>
      <c r="CF86" s="160"/>
      <c r="CG86" s="160"/>
      <c r="CH86" s="160"/>
      <c r="CI86" s="160"/>
      <c r="CJ86" s="161"/>
      <c r="CK86" s="161"/>
      <c r="CL86" s="161"/>
      <c r="CM86" s="160"/>
      <c r="CN86" s="160"/>
      <c r="CO86" s="160"/>
      <c r="CP86" s="160"/>
      <c r="CQ86" s="160"/>
      <c r="CR86" s="160"/>
      <c r="CS86" s="160"/>
      <c r="CT86" s="160"/>
      <c r="CU86" s="160"/>
      <c r="CV86" s="161"/>
      <c r="CW86" s="161"/>
      <c r="CX86" s="161"/>
      <c r="CY86" s="161"/>
      <c r="CZ86" s="161"/>
      <c r="DA86" s="161"/>
      <c r="DB86" s="160"/>
      <c r="DC86" s="160"/>
      <c r="DD86" s="160"/>
      <c r="DE86" s="160"/>
      <c r="DF86" s="160"/>
      <c r="DG86" s="160"/>
      <c r="DH86" s="160"/>
      <c r="DI86" s="160"/>
      <c r="DJ86" s="160"/>
      <c r="DK86" s="161"/>
      <c r="DL86" s="161"/>
      <c r="DM86" s="161"/>
      <c r="DN86" s="161"/>
      <c r="DO86" s="161"/>
      <c r="DP86" s="161"/>
      <c r="DQ86" s="160"/>
      <c r="DR86" s="160"/>
      <c r="DS86" s="160"/>
    </row>
    <row r="87" ht="31.5" spans="1:123">
      <c r="A87" s="128"/>
      <c r="B87" s="128"/>
      <c r="C87" s="148" t="s">
        <v>171</v>
      </c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>
        <v>36000</v>
      </c>
      <c r="X87" s="158">
        <v>36000</v>
      </c>
      <c r="Y87" s="158"/>
      <c r="Z87" s="158">
        <v>36000</v>
      </c>
      <c r="AA87" s="158">
        <v>36000</v>
      </c>
      <c r="AB87" s="158"/>
      <c r="AC87" s="158"/>
      <c r="AD87" s="158"/>
      <c r="AE87" s="158"/>
      <c r="AF87" s="158"/>
      <c r="AG87" s="158"/>
      <c r="AH87" s="158"/>
      <c r="AI87" s="158"/>
      <c r="AJ87" s="158"/>
      <c r="AK87" s="158"/>
      <c r="AL87" s="158"/>
      <c r="AM87" s="158"/>
      <c r="AN87" s="158"/>
      <c r="AO87" s="158"/>
      <c r="AP87" s="158"/>
      <c r="AQ87" s="158"/>
      <c r="AR87" s="158"/>
      <c r="AS87" s="158"/>
      <c r="AT87" s="158"/>
      <c r="AU87" s="158"/>
      <c r="AV87" s="158"/>
      <c r="AW87" s="158"/>
      <c r="AX87" s="158"/>
      <c r="AY87" s="158"/>
      <c r="AZ87" s="159"/>
      <c r="BA87" s="159">
        <v>36000</v>
      </c>
      <c r="BB87" s="159">
        <v>36000</v>
      </c>
      <c r="BC87" s="159"/>
      <c r="BD87" s="159">
        <v>36000</v>
      </c>
      <c r="BE87" s="159">
        <v>36000</v>
      </c>
      <c r="BF87" s="160"/>
      <c r="BG87" s="160"/>
      <c r="BH87" s="160"/>
      <c r="BI87" s="160"/>
      <c r="BJ87" s="160"/>
      <c r="BK87" s="160"/>
      <c r="BL87" s="161"/>
      <c r="BM87" s="161"/>
      <c r="BN87" s="161"/>
      <c r="BO87" s="160"/>
      <c r="BP87" s="160"/>
      <c r="BQ87" s="160"/>
      <c r="BR87" s="160"/>
      <c r="BS87" s="160"/>
      <c r="BT87" s="160"/>
      <c r="BU87" s="160"/>
      <c r="BV87" s="160"/>
      <c r="BW87" s="160"/>
      <c r="BX87" s="161"/>
      <c r="BY87" s="161"/>
      <c r="BZ87" s="161"/>
      <c r="CA87" s="160"/>
      <c r="CB87" s="160"/>
      <c r="CC87" s="160"/>
      <c r="CD87" s="160"/>
      <c r="CE87" s="160"/>
      <c r="CF87" s="160"/>
      <c r="CG87" s="160"/>
      <c r="CH87" s="160"/>
      <c r="CI87" s="160"/>
      <c r="CJ87" s="161"/>
      <c r="CK87" s="161"/>
      <c r="CL87" s="161"/>
      <c r="CM87" s="160"/>
      <c r="CN87" s="160">
        <v>36000</v>
      </c>
      <c r="CO87" s="160">
        <v>36000</v>
      </c>
      <c r="CP87" s="160"/>
      <c r="CQ87" s="160"/>
      <c r="CR87" s="160"/>
      <c r="CS87" s="160"/>
      <c r="CT87" s="160"/>
      <c r="CU87" s="160"/>
      <c r="CV87" s="161"/>
      <c r="CW87" s="161">
        <v>36000</v>
      </c>
      <c r="CX87" s="161">
        <v>36000</v>
      </c>
      <c r="CY87" s="161"/>
      <c r="CZ87" s="161">
        <v>36000</v>
      </c>
      <c r="DA87" s="161">
        <v>36000</v>
      </c>
      <c r="DB87" s="160"/>
      <c r="DC87" s="160"/>
      <c r="DD87" s="160"/>
      <c r="DE87" s="160"/>
      <c r="DF87" s="160"/>
      <c r="DG87" s="160"/>
      <c r="DH87" s="160"/>
      <c r="DI87" s="160"/>
      <c r="DJ87" s="160"/>
      <c r="DK87" s="161"/>
      <c r="DL87" s="161"/>
      <c r="DM87" s="161"/>
      <c r="DN87" s="161"/>
      <c r="DO87" s="161"/>
      <c r="DP87" s="161"/>
      <c r="DQ87" s="160"/>
      <c r="DR87" s="160">
        <v>36000</v>
      </c>
      <c r="DS87" s="160">
        <v>36000</v>
      </c>
    </row>
    <row r="88" ht="31.5" spans="1:123">
      <c r="A88" s="128"/>
      <c r="B88" s="128"/>
      <c r="C88" s="148" t="s">
        <v>173</v>
      </c>
      <c r="D88" s="158"/>
      <c r="E88" s="158"/>
      <c r="F88" s="158"/>
      <c r="G88" s="158"/>
      <c r="H88" s="158"/>
      <c r="I88" s="158"/>
      <c r="J88" s="158"/>
      <c r="K88" s="158">
        <v>2400</v>
      </c>
      <c r="L88" s="158">
        <v>2400</v>
      </c>
      <c r="M88" s="158"/>
      <c r="N88" s="158">
        <v>2400</v>
      </c>
      <c r="O88" s="158">
        <v>2400</v>
      </c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8"/>
      <c r="AK88" s="158"/>
      <c r="AL88" s="158"/>
      <c r="AM88" s="158"/>
      <c r="AN88" s="158"/>
      <c r="AO88" s="158"/>
      <c r="AP88" s="158"/>
      <c r="AQ88" s="158"/>
      <c r="AR88" s="158"/>
      <c r="AS88" s="158"/>
      <c r="AT88" s="158"/>
      <c r="AU88" s="158"/>
      <c r="AV88" s="158"/>
      <c r="AW88" s="158"/>
      <c r="AX88" s="158"/>
      <c r="AY88" s="158"/>
      <c r="AZ88" s="159"/>
      <c r="BA88" s="159">
        <v>2400</v>
      </c>
      <c r="BB88" s="159">
        <v>2400</v>
      </c>
      <c r="BC88" s="159"/>
      <c r="BD88" s="159">
        <v>2400</v>
      </c>
      <c r="BE88" s="159">
        <v>2400</v>
      </c>
      <c r="BF88" s="160"/>
      <c r="BG88" s="160"/>
      <c r="BH88" s="160"/>
      <c r="BI88" s="160"/>
      <c r="BJ88" s="160"/>
      <c r="BK88" s="160"/>
      <c r="BL88" s="161"/>
      <c r="BM88" s="161"/>
      <c r="BN88" s="161"/>
      <c r="BO88" s="160"/>
      <c r="BP88" s="160"/>
      <c r="BQ88" s="160"/>
      <c r="BR88" s="160"/>
      <c r="BS88" s="160"/>
      <c r="BT88" s="160"/>
      <c r="BU88" s="160"/>
      <c r="BV88" s="160"/>
      <c r="BW88" s="160"/>
      <c r="BX88" s="161"/>
      <c r="BY88" s="161"/>
      <c r="BZ88" s="161"/>
      <c r="CA88" s="160"/>
      <c r="CB88" s="160"/>
      <c r="CC88" s="160"/>
      <c r="CD88" s="160"/>
      <c r="CE88" s="160"/>
      <c r="CF88" s="160"/>
      <c r="CG88" s="160"/>
      <c r="CH88" s="160">
        <v>2400</v>
      </c>
      <c r="CI88" s="160">
        <v>2400</v>
      </c>
      <c r="CJ88" s="161"/>
      <c r="CK88" s="161">
        <v>2400</v>
      </c>
      <c r="CL88" s="161">
        <v>2400</v>
      </c>
      <c r="CM88" s="160"/>
      <c r="CN88" s="160"/>
      <c r="CO88" s="160"/>
      <c r="CP88" s="160"/>
      <c r="CQ88" s="160"/>
      <c r="CR88" s="160"/>
      <c r="CS88" s="160"/>
      <c r="CT88" s="160"/>
      <c r="CU88" s="160"/>
      <c r="CV88" s="161"/>
      <c r="CW88" s="161"/>
      <c r="CX88" s="161"/>
      <c r="CY88" s="161"/>
      <c r="CZ88" s="161">
        <v>2400</v>
      </c>
      <c r="DA88" s="161">
        <v>2400</v>
      </c>
      <c r="DB88" s="160"/>
      <c r="DC88" s="160"/>
      <c r="DD88" s="160"/>
      <c r="DE88" s="160"/>
      <c r="DF88" s="160"/>
      <c r="DG88" s="160"/>
      <c r="DH88" s="160"/>
      <c r="DI88" s="160"/>
      <c r="DJ88" s="160"/>
      <c r="DK88" s="161"/>
      <c r="DL88" s="161"/>
      <c r="DM88" s="161"/>
      <c r="DN88" s="161"/>
      <c r="DO88" s="161"/>
      <c r="DP88" s="161"/>
      <c r="DQ88" s="160"/>
      <c r="DR88" s="160">
        <v>2400</v>
      </c>
      <c r="DS88" s="160">
        <v>2400</v>
      </c>
    </row>
    <row r="89" ht="31.5" spans="1:123">
      <c r="A89" s="128"/>
      <c r="B89" s="128"/>
      <c r="C89" s="148" t="s">
        <v>175</v>
      </c>
      <c r="D89" s="158"/>
      <c r="E89" s="158"/>
      <c r="F89" s="158"/>
      <c r="G89" s="158"/>
      <c r="H89" s="158"/>
      <c r="I89" s="158"/>
      <c r="J89" s="158"/>
      <c r="K89" s="158">
        <v>2000</v>
      </c>
      <c r="L89" s="158">
        <v>2000</v>
      </c>
      <c r="M89" s="158"/>
      <c r="N89" s="158">
        <v>2000</v>
      </c>
      <c r="O89" s="158">
        <v>2000</v>
      </c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  <c r="AA89" s="158"/>
      <c r="AB89" s="158"/>
      <c r="AC89" s="158"/>
      <c r="AD89" s="158"/>
      <c r="AE89" s="158"/>
      <c r="AF89" s="158"/>
      <c r="AG89" s="158"/>
      <c r="AH89" s="158"/>
      <c r="AI89" s="158"/>
      <c r="AJ89" s="158"/>
      <c r="AK89" s="158"/>
      <c r="AL89" s="158"/>
      <c r="AM89" s="158"/>
      <c r="AN89" s="158"/>
      <c r="AO89" s="158"/>
      <c r="AP89" s="158"/>
      <c r="AQ89" s="158"/>
      <c r="AR89" s="158"/>
      <c r="AS89" s="158"/>
      <c r="AT89" s="158"/>
      <c r="AU89" s="158"/>
      <c r="AV89" s="158"/>
      <c r="AW89" s="158"/>
      <c r="AX89" s="158"/>
      <c r="AY89" s="158"/>
      <c r="AZ89" s="159"/>
      <c r="BA89" s="159">
        <v>2000</v>
      </c>
      <c r="BB89" s="159">
        <v>2000</v>
      </c>
      <c r="BC89" s="159"/>
      <c r="BD89" s="159">
        <v>2000</v>
      </c>
      <c r="BE89" s="159">
        <v>2000</v>
      </c>
      <c r="BF89" s="160"/>
      <c r="BG89" s="160"/>
      <c r="BH89" s="160"/>
      <c r="BI89" s="160"/>
      <c r="BJ89" s="160"/>
      <c r="BK89" s="160"/>
      <c r="BL89" s="161"/>
      <c r="BM89" s="161"/>
      <c r="BN89" s="161"/>
      <c r="BO89" s="160"/>
      <c r="BP89" s="160"/>
      <c r="BQ89" s="160"/>
      <c r="BR89" s="160"/>
      <c r="BS89" s="160"/>
      <c r="BT89" s="160"/>
      <c r="BU89" s="160"/>
      <c r="BV89" s="160"/>
      <c r="BW89" s="160"/>
      <c r="BX89" s="161"/>
      <c r="BY89" s="161"/>
      <c r="BZ89" s="161"/>
      <c r="CA89" s="160"/>
      <c r="CB89" s="160"/>
      <c r="CC89" s="160"/>
      <c r="CD89" s="160"/>
      <c r="CE89" s="160"/>
      <c r="CF89" s="160"/>
      <c r="CG89" s="160"/>
      <c r="CH89" s="160">
        <v>2000</v>
      </c>
      <c r="CI89" s="160">
        <v>2000</v>
      </c>
      <c r="CJ89" s="161"/>
      <c r="CK89" s="161">
        <v>2000</v>
      </c>
      <c r="CL89" s="161">
        <v>2000</v>
      </c>
      <c r="CM89" s="160"/>
      <c r="CN89" s="160"/>
      <c r="CO89" s="160"/>
      <c r="CP89" s="160"/>
      <c r="CQ89" s="160"/>
      <c r="CR89" s="160"/>
      <c r="CS89" s="160"/>
      <c r="CT89" s="160"/>
      <c r="CU89" s="160"/>
      <c r="CV89" s="161"/>
      <c r="CW89" s="161"/>
      <c r="CX89" s="161"/>
      <c r="CY89" s="161"/>
      <c r="CZ89" s="161">
        <v>2000</v>
      </c>
      <c r="DA89" s="161">
        <v>2000</v>
      </c>
      <c r="DB89" s="160"/>
      <c r="DC89" s="160"/>
      <c r="DD89" s="160"/>
      <c r="DE89" s="160"/>
      <c r="DF89" s="160"/>
      <c r="DG89" s="160"/>
      <c r="DH89" s="160"/>
      <c r="DI89" s="160"/>
      <c r="DJ89" s="160"/>
      <c r="DK89" s="161"/>
      <c r="DL89" s="161"/>
      <c r="DM89" s="161"/>
      <c r="DN89" s="161"/>
      <c r="DO89" s="161"/>
      <c r="DP89" s="161"/>
      <c r="DQ89" s="160"/>
      <c r="DR89" s="160">
        <v>2000</v>
      </c>
      <c r="DS89" s="160">
        <v>2000</v>
      </c>
    </row>
    <row r="90" ht="31.5" spans="1:123">
      <c r="A90" s="128"/>
      <c r="B90" s="128"/>
      <c r="C90" s="148" t="s">
        <v>179</v>
      </c>
      <c r="D90" s="158"/>
      <c r="E90" s="158"/>
      <c r="F90" s="158"/>
      <c r="G90" s="158"/>
      <c r="H90" s="158"/>
      <c r="I90" s="158"/>
      <c r="J90" s="158"/>
      <c r="K90" s="158">
        <v>1800</v>
      </c>
      <c r="L90" s="158">
        <v>1800</v>
      </c>
      <c r="M90" s="158"/>
      <c r="N90" s="158">
        <v>1800</v>
      </c>
      <c r="O90" s="158">
        <v>1800</v>
      </c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  <c r="AA90" s="158"/>
      <c r="AB90" s="158"/>
      <c r="AC90" s="158"/>
      <c r="AD90" s="158"/>
      <c r="AE90" s="158"/>
      <c r="AF90" s="158"/>
      <c r="AG90" s="158"/>
      <c r="AH90" s="158"/>
      <c r="AI90" s="158"/>
      <c r="AJ90" s="158"/>
      <c r="AK90" s="158"/>
      <c r="AL90" s="158"/>
      <c r="AM90" s="158"/>
      <c r="AN90" s="158"/>
      <c r="AO90" s="158"/>
      <c r="AP90" s="158"/>
      <c r="AQ90" s="158"/>
      <c r="AR90" s="158"/>
      <c r="AS90" s="158"/>
      <c r="AT90" s="158"/>
      <c r="AU90" s="158"/>
      <c r="AV90" s="158"/>
      <c r="AW90" s="158"/>
      <c r="AX90" s="158"/>
      <c r="AY90" s="158"/>
      <c r="AZ90" s="159"/>
      <c r="BA90" s="159">
        <v>1800</v>
      </c>
      <c r="BB90" s="159">
        <v>1800</v>
      </c>
      <c r="BC90" s="159"/>
      <c r="BD90" s="159">
        <v>1800</v>
      </c>
      <c r="BE90" s="159">
        <v>1800</v>
      </c>
      <c r="BF90" s="160"/>
      <c r="BG90" s="160"/>
      <c r="BH90" s="160"/>
      <c r="BI90" s="160"/>
      <c r="BJ90" s="160"/>
      <c r="BK90" s="160"/>
      <c r="BL90" s="161"/>
      <c r="BM90" s="161"/>
      <c r="BN90" s="161"/>
      <c r="BO90" s="160"/>
      <c r="BP90" s="160"/>
      <c r="BQ90" s="160"/>
      <c r="BR90" s="160"/>
      <c r="BS90" s="160"/>
      <c r="BT90" s="160"/>
      <c r="BU90" s="160"/>
      <c r="BV90" s="160"/>
      <c r="BW90" s="160"/>
      <c r="BX90" s="161"/>
      <c r="BY90" s="161"/>
      <c r="BZ90" s="161"/>
      <c r="CA90" s="160"/>
      <c r="CB90" s="160"/>
      <c r="CC90" s="160"/>
      <c r="CD90" s="160"/>
      <c r="CE90" s="160"/>
      <c r="CF90" s="160"/>
      <c r="CG90" s="160"/>
      <c r="CH90" s="160">
        <v>1800</v>
      </c>
      <c r="CI90" s="160">
        <v>1800</v>
      </c>
      <c r="CJ90" s="161"/>
      <c r="CK90" s="161">
        <v>1800</v>
      </c>
      <c r="CL90" s="161">
        <v>1800</v>
      </c>
      <c r="CM90" s="160"/>
      <c r="CN90" s="160"/>
      <c r="CO90" s="160"/>
      <c r="CP90" s="160"/>
      <c r="CQ90" s="160"/>
      <c r="CR90" s="160"/>
      <c r="CS90" s="160"/>
      <c r="CT90" s="160"/>
      <c r="CU90" s="160"/>
      <c r="CV90" s="161"/>
      <c r="CW90" s="161"/>
      <c r="CX90" s="161"/>
      <c r="CY90" s="161"/>
      <c r="CZ90" s="161">
        <v>1800</v>
      </c>
      <c r="DA90" s="161">
        <v>1800</v>
      </c>
      <c r="DB90" s="160"/>
      <c r="DC90" s="160"/>
      <c r="DD90" s="160"/>
      <c r="DE90" s="160"/>
      <c r="DF90" s="160"/>
      <c r="DG90" s="160"/>
      <c r="DH90" s="160"/>
      <c r="DI90" s="160"/>
      <c r="DJ90" s="160"/>
      <c r="DK90" s="161"/>
      <c r="DL90" s="161"/>
      <c r="DM90" s="161"/>
      <c r="DN90" s="161"/>
      <c r="DO90" s="161"/>
      <c r="DP90" s="161"/>
      <c r="DQ90" s="160"/>
      <c r="DR90" s="160">
        <v>1800</v>
      </c>
      <c r="DS90" s="160">
        <v>1800</v>
      </c>
    </row>
    <row r="91" spans="1:123">
      <c r="A91" s="128"/>
      <c r="B91" s="128"/>
      <c r="C91" s="148" t="s">
        <v>177</v>
      </c>
      <c r="D91" s="158"/>
      <c r="E91" s="158"/>
      <c r="F91" s="158"/>
      <c r="G91" s="158"/>
      <c r="H91" s="158"/>
      <c r="I91" s="158"/>
      <c r="J91" s="158"/>
      <c r="K91" s="158">
        <v>15000</v>
      </c>
      <c r="L91" s="158">
        <v>15000</v>
      </c>
      <c r="M91" s="158"/>
      <c r="N91" s="158">
        <v>15000</v>
      </c>
      <c r="O91" s="158">
        <v>15000</v>
      </c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  <c r="AM91" s="158"/>
      <c r="AN91" s="158"/>
      <c r="AO91" s="158"/>
      <c r="AP91" s="158"/>
      <c r="AQ91" s="158"/>
      <c r="AR91" s="158"/>
      <c r="AS91" s="158"/>
      <c r="AT91" s="158"/>
      <c r="AU91" s="158"/>
      <c r="AV91" s="158"/>
      <c r="AW91" s="158"/>
      <c r="AX91" s="158"/>
      <c r="AY91" s="158"/>
      <c r="AZ91" s="159"/>
      <c r="BA91" s="159">
        <v>15000</v>
      </c>
      <c r="BB91" s="159">
        <v>15000</v>
      </c>
      <c r="BC91" s="159"/>
      <c r="BD91" s="159">
        <v>15000</v>
      </c>
      <c r="BE91" s="159">
        <v>15000</v>
      </c>
      <c r="BF91" s="160"/>
      <c r="BG91" s="160"/>
      <c r="BH91" s="160"/>
      <c r="BI91" s="160"/>
      <c r="BJ91" s="160"/>
      <c r="BK91" s="160"/>
      <c r="BL91" s="161"/>
      <c r="BM91" s="161"/>
      <c r="BN91" s="161"/>
      <c r="BO91" s="160"/>
      <c r="BP91" s="160"/>
      <c r="BQ91" s="160"/>
      <c r="BR91" s="160"/>
      <c r="BS91" s="160"/>
      <c r="BT91" s="160"/>
      <c r="BU91" s="160"/>
      <c r="BV91" s="160"/>
      <c r="BW91" s="160"/>
      <c r="BX91" s="161"/>
      <c r="BY91" s="161"/>
      <c r="BZ91" s="161"/>
      <c r="CA91" s="160"/>
      <c r="CB91" s="160"/>
      <c r="CC91" s="160"/>
      <c r="CD91" s="160"/>
      <c r="CE91" s="160"/>
      <c r="CF91" s="160"/>
      <c r="CG91" s="160"/>
      <c r="CH91" s="160">
        <v>15000</v>
      </c>
      <c r="CI91" s="160">
        <v>15000</v>
      </c>
      <c r="CJ91" s="161"/>
      <c r="CK91" s="161">
        <v>15000</v>
      </c>
      <c r="CL91" s="161">
        <v>15000</v>
      </c>
      <c r="CM91" s="160"/>
      <c r="CN91" s="160"/>
      <c r="CO91" s="160"/>
      <c r="CP91" s="160"/>
      <c r="CQ91" s="160"/>
      <c r="CR91" s="160"/>
      <c r="CS91" s="160"/>
      <c r="CT91" s="160"/>
      <c r="CU91" s="160"/>
      <c r="CV91" s="161"/>
      <c r="CW91" s="161"/>
      <c r="CX91" s="161"/>
      <c r="CY91" s="161"/>
      <c r="CZ91" s="161">
        <v>15000</v>
      </c>
      <c r="DA91" s="161">
        <v>15000</v>
      </c>
      <c r="DB91" s="160"/>
      <c r="DC91" s="160"/>
      <c r="DD91" s="160"/>
      <c r="DE91" s="160"/>
      <c r="DF91" s="160"/>
      <c r="DG91" s="160"/>
      <c r="DH91" s="160"/>
      <c r="DI91" s="160"/>
      <c r="DJ91" s="160"/>
      <c r="DK91" s="161"/>
      <c r="DL91" s="161"/>
      <c r="DM91" s="161"/>
      <c r="DN91" s="161"/>
      <c r="DO91" s="161"/>
      <c r="DP91" s="161"/>
      <c r="DQ91" s="160"/>
      <c r="DR91" s="160">
        <v>15000</v>
      </c>
      <c r="DS91" s="160">
        <v>15000</v>
      </c>
    </row>
    <row r="92" ht="31.5" spans="1:123">
      <c r="A92" s="128"/>
      <c r="B92" s="128"/>
      <c r="C92" s="148" t="s">
        <v>181</v>
      </c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>
        <v>21000</v>
      </c>
      <c r="X92" s="158">
        <v>21000</v>
      </c>
      <c r="Y92" s="158"/>
      <c r="Z92" s="158">
        <v>21000</v>
      </c>
      <c r="AA92" s="158">
        <v>21000</v>
      </c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  <c r="AM92" s="158"/>
      <c r="AN92" s="158"/>
      <c r="AO92" s="158"/>
      <c r="AP92" s="158"/>
      <c r="AQ92" s="158"/>
      <c r="AR92" s="158"/>
      <c r="AS92" s="158"/>
      <c r="AT92" s="158"/>
      <c r="AU92" s="158"/>
      <c r="AV92" s="158"/>
      <c r="AW92" s="158"/>
      <c r="AX92" s="158"/>
      <c r="AY92" s="158"/>
      <c r="AZ92" s="159"/>
      <c r="BA92" s="159">
        <v>21000</v>
      </c>
      <c r="BB92" s="159">
        <v>21000</v>
      </c>
      <c r="BC92" s="159"/>
      <c r="BD92" s="159">
        <v>21000</v>
      </c>
      <c r="BE92" s="159">
        <v>21000</v>
      </c>
      <c r="BF92" s="160"/>
      <c r="BG92" s="160"/>
      <c r="BH92" s="160"/>
      <c r="BI92" s="160"/>
      <c r="BJ92" s="160"/>
      <c r="BK92" s="160"/>
      <c r="BL92" s="161"/>
      <c r="BM92" s="161"/>
      <c r="BN92" s="161"/>
      <c r="BO92" s="160"/>
      <c r="BP92" s="160"/>
      <c r="BQ92" s="160"/>
      <c r="BR92" s="160"/>
      <c r="BS92" s="160"/>
      <c r="BT92" s="160"/>
      <c r="BU92" s="160"/>
      <c r="BV92" s="160"/>
      <c r="BW92" s="160"/>
      <c r="BX92" s="161"/>
      <c r="BY92" s="161"/>
      <c r="BZ92" s="161"/>
      <c r="CA92" s="160"/>
      <c r="CB92" s="160"/>
      <c r="CC92" s="160"/>
      <c r="CD92" s="160"/>
      <c r="CE92" s="160"/>
      <c r="CF92" s="160"/>
      <c r="CG92" s="160"/>
      <c r="CH92" s="160"/>
      <c r="CI92" s="160"/>
      <c r="CJ92" s="161"/>
      <c r="CK92" s="161"/>
      <c r="CL92" s="161"/>
      <c r="CM92" s="160"/>
      <c r="CN92" s="160">
        <v>21000</v>
      </c>
      <c r="CO92" s="160">
        <v>21000</v>
      </c>
      <c r="CP92" s="160"/>
      <c r="CQ92" s="160"/>
      <c r="CR92" s="160"/>
      <c r="CS92" s="160"/>
      <c r="CT92" s="160"/>
      <c r="CU92" s="160"/>
      <c r="CV92" s="161"/>
      <c r="CW92" s="161">
        <v>21000</v>
      </c>
      <c r="CX92" s="161">
        <v>21000</v>
      </c>
      <c r="CY92" s="161"/>
      <c r="CZ92" s="161">
        <v>21000</v>
      </c>
      <c r="DA92" s="161">
        <v>21000</v>
      </c>
      <c r="DB92" s="160"/>
      <c r="DC92" s="160"/>
      <c r="DD92" s="160"/>
      <c r="DE92" s="160"/>
      <c r="DF92" s="160"/>
      <c r="DG92" s="160"/>
      <c r="DH92" s="160"/>
      <c r="DI92" s="160"/>
      <c r="DJ92" s="160"/>
      <c r="DK92" s="161"/>
      <c r="DL92" s="161"/>
      <c r="DM92" s="161"/>
      <c r="DN92" s="161"/>
      <c r="DO92" s="161"/>
      <c r="DP92" s="161"/>
      <c r="DQ92" s="160"/>
      <c r="DR92" s="160">
        <v>21000</v>
      </c>
      <c r="DS92" s="160">
        <v>21000</v>
      </c>
    </row>
    <row r="93" spans="1:123">
      <c r="A93" s="128"/>
      <c r="B93" s="128" t="s">
        <v>364</v>
      </c>
      <c r="C93" s="14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  <c r="AM93" s="158"/>
      <c r="AN93" s="158"/>
      <c r="AO93" s="158"/>
      <c r="AP93" s="158"/>
      <c r="AQ93" s="158"/>
      <c r="AR93" s="158"/>
      <c r="AS93" s="158"/>
      <c r="AT93" s="158"/>
      <c r="AU93" s="158"/>
      <c r="AV93" s="158"/>
      <c r="AW93" s="158"/>
      <c r="AX93" s="158"/>
      <c r="AY93" s="158"/>
      <c r="AZ93" s="159"/>
      <c r="BA93" s="159"/>
      <c r="BB93" s="159"/>
      <c r="BC93" s="159"/>
      <c r="BD93" s="159"/>
      <c r="BE93" s="159"/>
      <c r="BF93" s="160"/>
      <c r="BG93" s="160"/>
      <c r="BH93" s="160"/>
      <c r="BI93" s="160"/>
      <c r="BJ93" s="160"/>
      <c r="BK93" s="160"/>
      <c r="BL93" s="161"/>
      <c r="BM93" s="161"/>
      <c r="BN93" s="161"/>
      <c r="BO93" s="160"/>
      <c r="BP93" s="160"/>
      <c r="BQ93" s="160"/>
      <c r="BR93" s="160"/>
      <c r="BS93" s="160"/>
      <c r="BT93" s="160"/>
      <c r="BU93" s="160"/>
      <c r="BV93" s="160"/>
      <c r="BW93" s="160"/>
      <c r="BX93" s="161"/>
      <c r="BY93" s="161"/>
      <c r="BZ93" s="161"/>
      <c r="CA93" s="160"/>
      <c r="CB93" s="160"/>
      <c r="CC93" s="160"/>
      <c r="CD93" s="160"/>
      <c r="CE93" s="160"/>
      <c r="CF93" s="160"/>
      <c r="CG93" s="160"/>
      <c r="CH93" s="160"/>
      <c r="CI93" s="160"/>
      <c r="CJ93" s="161"/>
      <c r="CK93" s="161"/>
      <c r="CL93" s="161"/>
      <c r="CM93" s="160"/>
      <c r="CN93" s="160"/>
      <c r="CO93" s="160"/>
      <c r="CP93" s="160"/>
      <c r="CQ93" s="160"/>
      <c r="CR93" s="160"/>
      <c r="CS93" s="160"/>
      <c r="CT93" s="160"/>
      <c r="CU93" s="160"/>
      <c r="CV93" s="161"/>
      <c r="CW93" s="161"/>
      <c r="CX93" s="161"/>
      <c r="CY93" s="161"/>
      <c r="CZ93" s="161"/>
      <c r="DA93" s="161"/>
      <c r="DB93" s="160"/>
      <c r="DC93" s="160"/>
      <c r="DD93" s="160"/>
      <c r="DE93" s="160"/>
      <c r="DF93" s="160"/>
      <c r="DG93" s="160"/>
      <c r="DH93" s="160"/>
      <c r="DI93" s="160"/>
      <c r="DJ93" s="160"/>
      <c r="DK93" s="161"/>
      <c r="DL93" s="161"/>
      <c r="DM93" s="161"/>
      <c r="DN93" s="161"/>
      <c r="DO93" s="161"/>
      <c r="DP93" s="161"/>
      <c r="DQ93" s="160"/>
      <c r="DR93" s="160"/>
      <c r="DS93" s="160"/>
    </row>
    <row r="94" ht="47.25" spans="1:123">
      <c r="A94" s="128"/>
      <c r="B94" s="128"/>
      <c r="C94" s="148" t="s">
        <v>183</v>
      </c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>
        <v>11000</v>
      </c>
      <c r="X94" s="158">
        <v>11000</v>
      </c>
      <c r="Y94" s="158"/>
      <c r="Z94" s="158">
        <v>11000</v>
      </c>
      <c r="AA94" s="158">
        <v>11000</v>
      </c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  <c r="AM94" s="158"/>
      <c r="AN94" s="158"/>
      <c r="AO94" s="158"/>
      <c r="AP94" s="158"/>
      <c r="AQ94" s="158"/>
      <c r="AR94" s="158"/>
      <c r="AS94" s="158"/>
      <c r="AT94" s="158"/>
      <c r="AU94" s="158"/>
      <c r="AV94" s="158"/>
      <c r="AW94" s="158"/>
      <c r="AX94" s="158"/>
      <c r="AY94" s="158"/>
      <c r="AZ94" s="159"/>
      <c r="BA94" s="159">
        <v>11000</v>
      </c>
      <c r="BB94" s="159">
        <v>11000</v>
      </c>
      <c r="BC94" s="159"/>
      <c r="BD94" s="159">
        <v>11000</v>
      </c>
      <c r="BE94" s="159">
        <v>11000</v>
      </c>
      <c r="BF94" s="160"/>
      <c r="BG94" s="160"/>
      <c r="BH94" s="160"/>
      <c r="BI94" s="160"/>
      <c r="BJ94" s="160"/>
      <c r="BK94" s="160"/>
      <c r="BL94" s="161"/>
      <c r="BM94" s="161"/>
      <c r="BN94" s="161"/>
      <c r="BO94" s="160"/>
      <c r="BP94" s="160"/>
      <c r="BQ94" s="160"/>
      <c r="BR94" s="160"/>
      <c r="BS94" s="160"/>
      <c r="BT94" s="160"/>
      <c r="BU94" s="160"/>
      <c r="BV94" s="160"/>
      <c r="BW94" s="160"/>
      <c r="BX94" s="161"/>
      <c r="BY94" s="161"/>
      <c r="BZ94" s="161"/>
      <c r="CA94" s="160"/>
      <c r="CB94" s="160"/>
      <c r="CC94" s="160"/>
      <c r="CD94" s="160"/>
      <c r="CE94" s="160"/>
      <c r="CF94" s="160"/>
      <c r="CG94" s="160"/>
      <c r="CH94" s="160"/>
      <c r="CI94" s="160"/>
      <c r="CJ94" s="161"/>
      <c r="CK94" s="161"/>
      <c r="CL94" s="161"/>
      <c r="CM94" s="160"/>
      <c r="CN94" s="160">
        <v>11000</v>
      </c>
      <c r="CO94" s="160">
        <v>11000</v>
      </c>
      <c r="CP94" s="160"/>
      <c r="CQ94" s="160"/>
      <c r="CR94" s="160"/>
      <c r="CS94" s="160"/>
      <c r="CT94" s="160"/>
      <c r="CU94" s="160"/>
      <c r="CV94" s="161"/>
      <c r="CW94" s="161">
        <v>11000</v>
      </c>
      <c r="CX94" s="161">
        <v>11000</v>
      </c>
      <c r="CY94" s="161"/>
      <c r="CZ94" s="161">
        <v>11000</v>
      </c>
      <c r="DA94" s="161">
        <v>11000</v>
      </c>
      <c r="DB94" s="160"/>
      <c r="DC94" s="160"/>
      <c r="DD94" s="160"/>
      <c r="DE94" s="160"/>
      <c r="DF94" s="160"/>
      <c r="DG94" s="160"/>
      <c r="DH94" s="160"/>
      <c r="DI94" s="160"/>
      <c r="DJ94" s="160"/>
      <c r="DK94" s="161"/>
      <c r="DL94" s="161"/>
      <c r="DM94" s="161"/>
      <c r="DN94" s="161"/>
      <c r="DO94" s="161"/>
      <c r="DP94" s="161"/>
      <c r="DQ94" s="160"/>
      <c r="DR94" s="160">
        <v>11000</v>
      </c>
      <c r="DS94" s="160">
        <v>11000</v>
      </c>
    </row>
    <row r="95" ht="31.5" spans="1:123">
      <c r="A95" s="128"/>
      <c r="B95" s="128"/>
      <c r="C95" s="148" t="s">
        <v>196</v>
      </c>
      <c r="D95" s="158"/>
      <c r="E95" s="158"/>
      <c r="F95" s="158"/>
      <c r="G95" s="158"/>
      <c r="H95" s="158"/>
      <c r="I95" s="158"/>
      <c r="J95" s="158"/>
      <c r="K95" s="158">
        <v>4000</v>
      </c>
      <c r="L95" s="158">
        <v>4000</v>
      </c>
      <c r="M95" s="158"/>
      <c r="N95" s="158">
        <v>4000</v>
      </c>
      <c r="O95" s="158">
        <v>4000</v>
      </c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  <c r="AM95" s="158"/>
      <c r="AN95" s="158"/>
      <c r="AO95" s="158"/>
      <c r="AP95" s="158"/>
      <c r="AQ95" s="158"/>
      <c r="AR95" s="158"/>
      <c r="AS95" s="158"/>
      <c r="AT95" s="158"/>
      <c r="AU95" s="158"/>
      <c r="AV95" s="158"/>
      <c r="AW95" s="158"/>
      <c r="AX95" s="158"/>
      <c r="AY95" s="158"/>
      <c r="AZ95" s="159"/>
      <c r="BA95" s="159">
        <v>4000</v>
      </c>
      <c r="BB95" s="159">
        <v>4000</v>
      </c>
      <c r="BC95" s="159"/>
      <c r="BD95" s="159">
        <v>4000</v>
      </c>
      <c r="BE95" s="159">
        <v>4000</v>
      </c>
      <c r="BF95" s="160"/>
      <c r="BG95" s="160"/>
      <c r="BH95" s="160"/>
      <c r="BI95" s="160"/>
      <c r="BJ95" s="160"/>
      <c r="BK95" s="160"/>
      <c r="BL95" s="161"/>
      <c r="BM95" s="161"/>
      <c r="BN95" s="161"/>
      <c r="BO95" s="160"/>
      <c r="BP95" s="160"/>
      <c r="BQ95" s="160"/>
      <c r="BR95" s="160"/>
      <c r="BS95" s="160"/>
      <c r="BT95" s="160"/>
      <c r="BU95" s="160"/>
      <c r="BV95" s="160"/>
      <c r="BW95" s="160"/>
      <c r="BX95" s="161"/>
      <c r="BY95" s="161"/>
      <c r="BZ95" s="161"/>
      <c r="CA95" s="160"/>
      <c r="CB95" s="160"/>
      <c r="CC95" s="160"/>
      <c r="CD95" s="160"/>
      <c r="CE95" s="160"/>
      <c r="CF95" s="160"/>
      <c r="CG95" s="160"/>
      <c r="CH95" s="160">
        <v>4000</v>
      </c>
      <c r="CI95" s="160">
        <v>4000</v>
      </c>
      <c r="CJ95" s="161"/>
      <c r="CK95" s="161">
        <v>4000</v>
      </c>
      <c r="CL95" s="161">
        <v>4000</v>
      </c>
      <c r="CM95" s="160"/>
      <c r="CN95" s="160"/>
      <c r="CO95" s="160"/>
      <c r="CP95" s="160"/>
      <c r="CQ95" s="160"/>
      <c r="CR95" s="160"/>
      <c r="CS95" s="160"/>
      <c r="CT95" s="160"/>
      <c r="CU95" s="160"/>
      <c r="CV95" s="161"/>
      <c r="CW95" s="161"/>
      <c r="CX95" s="161"/>
      <c r="CY95" s="161"/>
      <c r="CZ95" s="161">
        <v>4000</v>
      </c>
      <c r="DA95" s="161">
        <v>4000</v>
      </c>
      <c r="DB95" s="160"/>
      <c r="DC95" s="160"/>
      <c r="DD95" s="160"/>
      <c r="DE95" s="160"/>
      <c r="DF95" s="160"/>
      <c r="DG95" s="160"/>
      <c r="DH95" s="160"/>
      <c r="DI95" s="160"/>
      <c r="DJ95" s="160"/>
      <c r="DK95" s="161"/>
      <c r="DL95" s="161"/>
      <c r="DM95" s="161"/>
      <c r="DN95" s="161"/>
      <c r="DO95" s="161"/>
      <c r="DP95" s="161"/>
      <c r="DQ95" s="160"/>
      <c r="DR95" s="160">
        <v>4000</v>
      </c>
      <c r="DS95" s="160">
        <v>4000</v>
      </c>
    </row>
    <row r="96" spans="1:123">
      <c r="A96" s="128"/>
      <c r="B96" s="128" t="s">
        <v>365</v>
      </c>
      <c r="C96" s="148"/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  <c r="AL96" s="158"/>
      <c r="AM96" s="158"/>
      <c r="AN96" s="158"/>
      <c r="AO96" s="158"/>
      <c r="AP96" s="158"/>
      <c r="AQ96" s="158"/>
      <c r="AR96" s="158"/>
      <c r="AS96" s="158"/>
      <c r="AT96" s="158"/>
      <c r="AU96" s="158"/>
      <c r="AV96" s="158"/>
      <c r="AW96" s="158"/>
      <c r="AX96" s="158"/>
      <c r="AY96" s="158"/>
      <c r="AZ96" s="159"/>
      <c r="BA96" s="159"/>
      <c r="BB96" s="159"/>
      <c r="BC96" s="159"/>
      <c r="BD96" s="159"/>
      <c r="BE96" s="159"/>
      <c r="BF96" s="160"/>
      <c r="BG96" s="160"/>
      <c r="BH96" s="160"/>
      <c r="BI96" s="160"/>
      <c r="BJ96" s="160"/>
      <c r="BK96" s="160"/>
      <c r="BL96" s="161"/>
      <c r="BM96" s="161"/>
      <c r="BN96" s="161"/>
      <c r="BO96" s="160"/>
      <c r="BP96" s="160"/>
      <c r="BQ96" s="160"/>
      <c r="BR96" s="160"/>
      <c r="BS96" s="160"/>
      <c r="BT96" s="160"/>
      <c r="BU96" s="160"/>
      <c r="BV96" s="160"/>
      <c r="BW96" s="160"/>
      <c r="BX96" s="161"/>
      <c r="BY96" s="161"/>
      <c r="BZ96" s="161"/>
      <c r="CA96" s="160"/>
      <c r="CB96" s="160"/>
      <c r="CC96" s="160"/>
      <c r="CD96" s="160"/>
      <c r="CE96" s="160"/>
      <c r="CF96" s="160"/>
      <c r="CG96" s="160"/>
      <c r="CH96" s="160"/>
      <c r="CI96" s="160"/>
      <c r="CJ96" s="161"/>
      <c r="CK96" s="161"/>
      <c r="CL96" s="161"/>
      <c r="CM96" s="160"/>
      <c r="CN96" s="160"/>
      <c r="CO96" s="160"/>
      <c r="CP96" s="160"/>
      <c r="CQ96" s="160"/>
      <c r="CR96" s="160"/>
      <c r="CS96" s="160"/>
      <c r="CT96" s="160"/>
      <c r="CU96" s="160"/>
      <c r="CV96" s="161"/>
      <c r="CW96" s="161"/>
      <c r="CX96" s="161"/>
      <c r="CY96" s="161"/>
      <c r="CZ96" s="161"/>
      <c r="DA96" s="161"/>
      <c r="DB96" s="160"/>
      <c r="DC96" s="160"/>
      <c r="DD96" s="160"/>
      <c r="DE96" s="160"/>
      <c r="DF96" s="160"/>
      <c r="DG96" s="160"/>
      <c r="DH96" s="160"/>
      <c r="DI96" s="160"/>
      <c r="DJ96" s="160"/>
      <c r="DK96" s="161"/>
      <c r="DL96" s="161"/>
      <c r="DM96" s="161"/>
      <c r="DN96" s="161"/>
      <c r="DO96" s="161"/>
      <c r="DP96" s="161"/>
      <c r="DQ96" s="160"/>
      <c r="DR96" s="160"/>
      <c r="DS96" s="160"/>
    </row>
    <row r="97" spans="1:123">
      <c r="A97" s="128"/>
      <c r="B97" s="128"/>
      <c r="C97" s="148" t="s">
        <v>185</v>
      </c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>
        <v>4400</v>
      </c>
      <c r="R97" s="158">
        <v>4400</v>
      </c>
      <c r="S97" s="158"/>
      <c r="T97" s="158"/>
      <c r="U97" s="158"/>
      <c r="V97" s="158"/>
      <c r="W97" s="158"/>
      <c r="X97" s="158"/>
      <c r="Y97" s="158"/>
      <c r="Z97" s="158">
        <v>4400</v>
      </c>
      <c r="AA97" s="158">
        <v>4400</v>
      </c>
      <c r="AB97" s="158"/>
      <c r="AC97" s="158"/>
      <c r="AD97" s="158"/>
      <c r="AE97" s="158"/>
      <c r="AF97" s="158"/>
      <c r="AG97" s="158"/>
      <c r="AH97" s="158"/>
      <c r="AI97" s="158"/>
      <c r="AJ97" s="158"/>
      <c r="AK97" s="158"/>
      <c r="AL97" s="158"/>
      <c r="AM97" s="158"/>
      <c r="AN97" s="158"/>
      <c r="AO97" s="158"/>
      <c r="AP97" s="158"/>
      <c r="AQ97" s="158"/>
      <c r="AR97" s="158"/>
      <c r="AS97" s="158"/>
      <c r="AT97" s="158"/>
      <c r="AU97" s="158"/>
      <c r="AV97" s="158"/>
      <c r="AW97" s="158"/>
      <c r="AX97" s="158"/>
      <c r="AY97" s="158"/>
      <c r="AZ97" s="159"/>
      <c r="BA97" s="159">
        <v>4400</v>
      </c>
      <c r="BB97" s="159">
        <v>4400</v>
      </c>
      <c r="BC97" s="159"/>
      <c r="BD97" s="159">
        <v>4400</v>
      </c>
      <c r="BE97" s="159">
        <v>4400</v>
      </c>
      <c r="BF97" s="160"/>
      <c r="BG97" s="160"/>
      <c r="BH97" s="160"/>
      <c r="BI97" s="160"/>
      <c r="BJ97" s="160"/>
      <c r="BK97" s="160"/>
      <c r="BL97" s="161"/>
      <c r="BM97" s="161"/>
      <c r="BN97" s="161"/>
      <c r="BO97" s="160"/>
      <c r="BP97" s="160"/>
      <c r="BQ97" s="160"/>
      <c r="BR97" s="160"/>
      <c r="BS97" s="160"/>
      <c r="BT97" s="160"/>
      <c r="BU97" s="160"/>
      <c r="BV97" s="160"/>
      <c r="BW97" s="160"/>
      <c r="BX97" s="161"/>
      <c r="BY97" s="161"/>
      <c r="BZ97" s="161"/>
      <c r="CA97" s="160"/>
      <c r="CB97" s="160"/>
      <c r="CC97" s="160"/>
      <c r="CD97" s="160"/>
      <c r="CE97" s="160"/>
      <c r="CF97" s="160"/>
      <c r="CG97" s="160"/>
      <c r="CH97" s="160"/>
      <c r="CI97" s="160"/>
      <c r="CJ97" s="161"/>
      <c r="CK97" s="161"/>
      <c r="CL97" s="161"/>
      <c r="CM97" s="160"/>
      <c r="CN97" s="160">
        <v>4400</v>
      </c>
      <c r="CO97" s="160">
        <v>4400</v>
      </c>
      <c r="CP97" s="160"/>
      <c r="CQ97" s="160"/>
      <c r="CR97" s="160"/>
      <c r="CS97" s="160"/>
      <c r="CT97" s="160"/>
      <c r="CU97" s="160"/>
      <c r="CV97" s="161"/>
      <c r="CW97" s="161">
        <v>4400</v>
      </c>
      <c r="CX97" s="161">
        <v>4400</v>
      </c>
      <c r="CY97" s="161"/>
      <c r="CZ97" s="161">
        <v>4400</v>
      </c>
      <c r="DA97" s="161">
        <v>4400</v>
      </c>
      <c r="DB97" s="160"/>
      <c r="DC97" s="160"/>
      <c r="DD97" s="160"/>
      <c r="DE97" s="160"/>
      <c r="DF97" s="160"/>
      <c r="DG97" s="160"/>
      <c r="DH97" s="160"/>
      <c r="DI97" s="160"/>
      <c r="DJ97" s="160"/>
      <c r="DK97" s="161"/>
      <c r="DL97" s="161"/>
      <c r="DM97" s="161"/>
      <c r="DN97" s="161"/>
      <c r="DO97" s="161"/>
      <c r="DP97" s="161"/>
      <c r="DQ97" s="160"/>
      <c r="DR97" s="160">
        <v>4400</v>
      </c>
      <c r="DS97" s="160">
        <v>4400</v>
      </c>
    </row>
    <row r="98" ht="31.5" spans="1:123">
      <c r="A98" s="128"/>
      <c r="B98" s="128"/>
      <c r="C98" s="148" t="s">
        <v>198</v>
      </c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>
        <v>20000</v>
      </c>
      <c r="AJ98" s="158">
        <v>20000</v>
      </c>
      <c r="AK98" s="158"/>
      <c r="AL98" s="158">
        <v>20000</v>
      </c>
      <c r="AM98" s="158">
        <v>20000</v>
      </c>
      <c r="AN98" s="158"/>
      <c r="AO98" s="158"/>
      <c r="AP98" s="158"/>
      <c r="AQ98" s="158"/>
      <c r="AR98" s="158"/>
      <c r="AS98" s="158"/>
      <c r="AT98" s="158"/>
      <c r="AU98" s="158"/>
      <c r="AV98" s="158"/>
      <c r="AW98" s="158"/>
      <c r="AX98" s="158"/>
      <c r="AY98" s="158"/>
      <c r="AZ98" s="159"/>
      <c r="BA98" s="159">
        <v>20000</v>
      </c>
      <c r="BB98" s="159">
        <v>20000</v>
      </c>
      <c r="BC98" s="159"/>
      <c r="BD98" s="159">
        <v>20000</v>
      </c>
      <c r="BE98" s="159">
        <v>20000</v>
      </c>
      <c r="BF98" s="160"/>
      <c r="BG98" s="160"/>
      <c r="BH98" s="160"/>
      <c r="BI98" s="160"/>
      <c r="BJ98" s="160"/>
      <c r="BK98" s="160"/>
      <c r="BL98" s="161"/>
      <c r="BM98" s="161"/>
      <c r="BN98" s="161"/>
      <c r="BO98" s="160"/>
      <c r="BP98" s="160"/>
      <c r="BQ98" s="160"/>
      <c r="BR98" s="160"/>
      <c r="BS98" s="160"/>
      <c r="BT98" s="160"/>
      <c r="BU98" s="160"/>
      <c r="BV98" s="160"/>
      <c r="BW98" s="160"/>
      <c r="BX98" s="161"/>
      <c r="BY98" s="161"/>
      <c r="BZ98" s="161"/>
      <c r="CA98" s="160"/>
      <c r="CB98" s="160"/>
      <c r="CC98" s="160"/>
      <c r="CD98" s="160"/>
      <c r="CE98" s="160"/>
      <c r="CF98" s="160"/>
      <c r="CG98" s="160"/>
      <c r="CH98" s="160"/>
      <c r="CI98" s="160"/>
      <c r="CJ98" s="161"/>
      <c r="CK98" s="161"/>
      <c r="CL98" s="161"/>
      <c r="CM98" s="160"/>
      <c r="CN98" s="160">
        <v>3000</v>
      </c>
      <c r="CO98" s="160">
        <v>3000</v>
      </c>
      <c r="CP98" s="160"/>
      <c r="CQ98" s="160">
        <v>4000</v>
      </c>
      <c r="CR98" s="160">
        <v>4000</v>
      </c>
      <c r="CS98" s="160"/>
      <c r="CT98" s="160">
        <v>4000</v>
      </c>
      <c r="CU98" s="160">
        <v>4000</v>
      </c>
      <c r="CV98" s="161"/>
      <c r="CW98" s="161">
        <v>11000</v>
      </c>
      <c r="CX98" s="161">
        <v>11000</v>
      </c>
      <c r="CY98" s="161"/>
      <c r="CZ98" s="161">
        <v>11000</v>
      </c>
      <c r="DA98" s="161">
        <v>11000</v>
      </c>
      <c r="DB98" s="160"/>
      <c r="DC98" s="160">
        <v>4000</v>
      </c>
      <c r="DD98" s="160">
        <v>4000</v>
      </c>
      <c r="DE98" s="160"/>
      <c r="DF98" s="160">
        <v>4000</v>
      </c>
      <c r="DG98" s="160">
        <v>4000</v>
      </c>
      <c r="DH98" s="160"/>
      <c r="DI98" s="160">
        <v>1000</v>
      </c>
      <c r="DJ98" s="160">
        <v>1000</v>
      </c>
      <c r="DK98" s="161"/>
      <c r="DL98" s="161">
        <v>9000</v>
      </c>
      <c r="DM98" s="161">
        <v>9000</v>
      </c>
      <c r="DN98" s="161"/>
      <c r="DO98" s="161">
        <v>9000</v>
      </c>
      <c r="DP98" s="161">
        <v>9000</v>
      </c>
      <c r="DQ98" s="160"/>
      <c r="DR98" s="160">
        <v>20000</v>
      </c>
      <c r="DS98" s="160">
        <v>20000</v>
      </c>
    </row>
    <row r="99" spans="1:123">
      <c r="A99" s="128"/>
      <c r="B99" s="128" t="s">
        <v>366</v>
      </c>
      <c r="C99" s="14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  <c r="AM99" s="158"/>
      <c r="AN99" s="158"/>
      <c r="AO99" s="158"/>
      <c r="AP99" s="158"/>
      <c r="AQ99" s="158"/>
      <c r="AR99" s="158"/>
      <c r="AS99" s="158"/>
      <c r="AT99" s="158"/>
      <c r="AU99" s="158"/>
      <c r="AV99" s="158"/>
      <c r="AW99" s="158"/>
      <c r="AX99" s="158"/>
      <c r="AY99" s="158"/>
      <c r="AZ99" s="159"/>
      <c r="BA99" s="159"/>
      <c r="BB99" s="159"/>
      <c r="BC99" s="159"/>
      <c r="BD99" s="159"/>
      <c r="BE99" s="159"/>
      <c r="BF99" s="160"/>
      <c r="BG99" s="160"/>
      <c r="BH99" s="160"/>
      <c r="BI99" s="160"/>
      <c r="BJ99" s="160"/>
      <c r="BK99" s="160"/>
      <c r="BL99" s="161"/>
      <c r="BM99" s="161"/>
      <c r="BN99" s="161"/>
      <c r="BO99" s="160"/>
      <c r="BP99" s="160"/>
      <c r="BQ99" s="160"/>
      <c r="BR99" s="160"/>
      <c r="BS99" s="160"/>
      <c r="BT99" s="160"/>
      <c r="BU99" s="160"/>
      <c r="BV99" s="160"/>
      <c r="BW99" s="160"/>
      <c r="BX99" s="161"/>
      <c r="BY99" s="161"/>
      <c r="BZ99" s="161"/>
      <c r="CA99" s="160"/>
      <c r="CB99" s="160"/>
      <c r="CC99" s="160"/>
      <c r="CD99" s="160"/>
      <c r="CE99" s="160"/>
      <c r="CF99" s="160"/>
      <c r="CG99" s="160"/>
      <c r="CH99" s="160"/>
      <c r="CI99" s="160"/>
      <c r="CJ99" s="161"/>
      <c r="CK99" s="161"/>
      <c r="CL99" s="161"/>
      <c r="CM99" s="160"/>
      <c r="CN99" s="160"/>
      <c r="CO99" s="160"/>
      <c r="CP99" s="160"/>
      <c r="CQ99" s="160"/>
      <c r="CR99" s="160"/>
      <c r="CS99" s="160"/>
      <c r="CT99" s="160"/>
      <c r="CU99" s="160"/>
      <c r="CV99" s="161"/>
      <c r="CW99" s="161"/>
      <c r="CX99" s="161"/>
      <c r="CY99" s="161"/>
      <c r="CZ99" s="161"/>
      <c r="DA99" s="161"/>
      <c r="DB99" s="160"/>
      <c r="DC99" s="160"/>
      <c r="DD99" s="160"/>
      <c r="DE99" s="160"/>
      <c r="DF99" s="160"/>
      <c r="DG99" s="160"/>
      <c r="DH99" s="160"/>
      <c r="DI99" s="160"/>
      <c r="DJ99" s="160"/>
      <c r="DK99" s="161"/>
      <c r="DL99" s="161"/>
      <c r="DM99" s="161"/>
      <c r="DN99" s="161"/>
      <c r="DO99" s="161"/>
      <c r="DP99" s="161"/>
      <c r="DQ99" s="160"/>
      <c r="DR99" s="160"/>
      <c r="DS99" s="160"/>
    </row>
    <row r="100" ht="31.5" spans="1:123">
      <c r="A100" s="128"/>
      <c r="B100" s="128"/>
      <c r="C100" s="148" t="s">
        <v>194</v>
      </c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>
        <v>5000</v>
      </c>
      <c r="X100" s="158">
        <v>5000</v>
      </c>
      <c r="Y100" s="158"/>
      <c r="Z100" s="158">
        <v>5000</v>
      </c>
      <c r="AA100" s="158">
        <v>5000</v>
      </c>
      <c r="AB100" s="158"/>
      <c r="AC100" s="158"/>
      <c r="AD100" s="158"/>
      <c r="AE100" s="158"/>
      <c r="AF100" s="158"/>
      <c r="AG100" s="158"/>
      <c r="AH100" s="158"/>
      <c r="AI100" s="158"/>
      <c r="AJ100" s="158"/>
      <c r="AK100" s="158"/>
      <c r="AL100" s="158"/>
      <c r="AM100" s="158"/>
      <c r="AN100" s="158"/>
      <c r="AO100" s="158"/>
      <c r="AP100" s="158"/>
      <c r="AQ100" s="158"/>
      <c r="AR100" s="158"/>
      <c r="AS100" s="158"/>
      <c r="AT100" s="158"/>
      <c r="AU100" s="158"/>
      <c r="AV100" s="158"/>
      <c r="AW100" s="158"/>
      <c r="AX100" s="158"/>
      <c r="AY100" s="158"/>
      <c r="AZ100" s="159"/>
      <c r="BA100" s="159">
        <v>5000</v>
      </c>
      <c r="BB100" s="159">
        <v>5000</v>
      </c>
      <c r="BC100" s="159"/>
      <c r="BD100" s="159">
        <v>5000</v>
      </c>
      <c r="BE100" s="159">
        <v>5000</v>
      </c>
      <c r="BF100" s="160"/>
      <c r="BG100" s="160"/>
      <c r="BH100" s="160"/>
      <c r="BI100" s="160"/>
      <c r="BJ100" s="160"/>
      <c r="BK100" s="160"/>
      <c r="BL100" s="161"/>
      <c r="BM100" s="161"/>
      <c r="BN100" s="161"/>
      <c r="BO100" s="160"/>
      <c r="BP100" s="160"/>
      <c r="BQ100" s="160"/>
      <c r="BR100" s="160"/>
      <c r="BS100" s="160"/>
      <c r="BT100" s="160"/>
      <c r="BU100" s="160"/>
      <c r="BV100" s="160"/>
      <c r="BW100" s="160"/>
      <c r="BX100" s="161"/>
      <c r="BY100" s="161"/>
      <c r="BZ100" s="161"/>
      <c r="CA100" s="160"/>
      <c r="CB100" s="160"/>
      <c r="CC100" s="160"/>
      <c r="CD100" s="160"/>
      <c r="CE100" s="160"/>
      <c r="CF100" s="160"/>
      <c r="CG100" s="160"/>
      <c r="CH100" s="160"/>
      <c r="CI100" s="160"/>
      <c r="CJ100" s="161"/>
      <c r="CK100" s="161"/>
      <c r="CL100" s="161"/>
      <c r="CM100" s="160"/>
      <c r="CN100" s="160"/>
      <c r="CO100" s="160"/>
      <c r="CP100" s="160"/>
      <c r="CQ100" s="160">
        <v>5000</v>
      </c>
      <c r="CR100" s="160">
        <v>5000</v>
      </c>
      <c r="CS100" s="160"/>
      <c r="CT100" s="160"/>
      <c r="CU100" s="160"/>
      <c r="CV100" s="161"/>
      <c r="CW100" s="161">
        <v>5000</v>
      </c>
      <c r="CX100" s="161">
        <v>5000</v>
      </c>
      <c r="CY100" s="161"/>
      <c r="CZ100" s="161">
        <v>5000</v>
      </c>
      <c r="DA100" s="161">
        <v>5000</v>
      </c>
      <c r="DB100" s="160"/>
      <c r="DC100" s="160"/>
      <c r="DD100" s="160"/>
      <c r="DE100" s="160"/>
      <c r="DF100" s="160"/>
      <c r="DG100" s="160"/>
      <c r="DH100" s="160"/>
      <c r="DI100" s="160"/>
      <c r="DJ100" s="160"/>
      <c r="DK100" s="161"/>
      <c r="DL100" s="161"/>
      <c r="DM100" s="161"/>
      <c r="DN100" s="161"/>
      <c r="DO100" s="161"/>
      <c r="DP100" s="161"/>
      <c r="DQ100" s="160"/>
      <c r="DR100" s="160">
        <v>5000</v>
      </c>
      <c r="DS100" s="160">
        <v>5000</v>
      </c>
    </row>
    <row r="101" spans="1:123">
      <c r="A101" s="128" t="s">
        <v>208</v>
      </c>
      <c r="B101" s="128"/>
      <c r="C101" s="14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  <c r="AL101" s="158"/>
      <c r="AM101" s="158"/>
      <c r="AN101" s="158"/>
      <c r="AO101" s="158"/>
      <c r="AP101" s="158"/>
      <c r="AQ101" s="158"/>
      <c r="AR101" s="158"/>
      <c r="AS101" s="158"/>
      <c r="AT101" s="158"/>
      <c r="AU101" s="158"/>
      <c r="AV101" s="158"/>
      <c r="AW101" s="158"/>
      <c r="AX101" s="158"/>
      <c r="AY101" s="158"/>
      <c r="AZ101" s="159"/>
      <c r="BA101" s="159"/>
      <c r="BB101" s="159"/>
      <c r="BC101" s="159"/>
      <c r="BD101" s="159"/>
      <c r="BE101" s="159"/>
      <c r="BF101" s="160"/>
      <c r="BG101" s="160"/>
      <c r="BH101" s="160"/>
      <c r="BI101" s="160"/>
      <c r="BJ101" s="160"/>
      <c r="BK101" s="160"/>
      <c r="BL101" s="161"/>
      <c r="BM101" s="161"/>
      <c r="BN101" s="161"/>
      <c r="BO101" s="160"/>
      <c r="BP101" s="160"/>
      <c r="BQ101" s="160"/>
      <c r="BR101" s="160"/>
      <c r="BS101" s="160"/>
      <c r="BT101" s="160"/>
      <c r="BU101" s="160"/>
      <c r="BV101" s="160"/>
      <c r="BW101" s="160"/>
      <c r="BX101" s="161"/>
      <c r="BY101" s="161"/>
      <c r="BZ101" s="161"/>
      <c r="CA101" s="160"/>
      <c r="CB101" s="160"/>
      <c r="CC101" s="160"/>
      <c r="CD101" s="160"/>
      <c r="CE101" s="160"/>
      <c r="CF101" s="160"/>
      <c r="CG101" s="160"/>
      <c r="CH101" s="160"/>
      <c r="CI101" s="160"/>
      <c r="CJ101" s="161"/>
      <c r="CK101" s="161"/>
      <c r="CL101" s="161"/>
      <c r="CM101" s="160"/>
      <c r="CN101" s="160"/>
      <c r="CO101" s="160"/>
      <c r="CP101" s="160"/>
      <c r="CQ101" s="160"/>
      <c r="CR101" s="160"/>
      <c r="CS101" s="160"/>
      <c r="CT101" s="160"/>
      <c r="CU101" s="160"/>
      <c r="CV101" s="161"/>
      <c r="CW101" s="161"/>
      <c r="CX101" s="161"/>
      <c r="CY101" s="161"/>
      <c r="CZ101" s="161"/>
      <c r="DA101" s="161"/>
      <c r="DB101" s="160"/>
      <c r="DC101" s="160"/>
      <c r="DD101" s="160"/>
      <c r="DE101" s="160"/>
      <c r="DF101" s="160"/>
      <c r="DG101" s="160"/>
      <c r="DH101" s="160"/>
      <c r="DI101" s="160"/>
      <c r="DJ101" s="160"/>
      <c r="DK101" s="161"/>
      <c r="DL101" s="161"/>
      <c r="DM101" s="161"/>
      <c r="DN101" s="161"/>
      <c r="DO101" s="161"/>
      <c r="DP101" s="161"/>
      <c r="DQ101" s="160"/>
      <c r="DR101" s="160"/>
      <c r="DS101" s="160"/>
    </row>
    <row r="102" spans="1:123">
      <c r="A102" s="128"/>
      <c r="B102" s="128" t="s">
        <v>367</v>
      </c>
      <c r="C102" s="14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  <c r="AM102" s="158"/>
      <c r="AN102" s="158"/>
      <c r="AO102" s="158"/>
      <c r="AP102" s="158"/>
      <c r="AQ102" s="158"/>
      <c r="AR102" s="158"/>
      <c r="AS102" s="158"/>
      <c r="AT102" s="158"/>
      <c r="AU102" s="158"/>
      <c r="AV102" s="158"/>
      <c r="AW102" s="158"/>
      <c r="AX102" s="158"/>
      <c r="AY102" s="158"/>
      <c r="AZ102" s="159"/>
      <c r="BA102" s="159"/>
      <c r="BB102" s="159"/>
      <c r="BC102" s="159"/>
      <c r="BD102" s="159"/>
      <c r="BE102" s="159"/>
      <c r="BF102" s="160"/>
      <c r="BG102" s="160"/>
      <c r="BH102" s="160"/>
      <c r="BI102" s="160"/>
      <c r="BJ102" s="160"/>
      <c r="BK102" s="160"/>
      <c r="BL102" s="161"/>
      <c r="BM102" s="161"/>
      <c r="BN102" s="161"/>
      <c r="BO102" s="160"/>
      <c r="BP102" s="160"/>
      <c r="BQ102" s="160"/>
      <c r="BR102" s="160"/>
      <c r="BS102" s="160"/>
      <c r="BT102" s="160"/>
      <c r="BU102" s="160"/>
      <c r="BV102" s="160"/>
      <c r="BW102" s="160"/>
      <c r="BX102" s="161"/>
      <c r="BY102" s="161"/>
      <c r="BZ102" s="161"/>
      <c r="CA102" s="160"/>
      <c r="CB102" s="160"/>
      <c r="CC102" s="160"/>
      <c r="CD102" s="160"/>
      <c r="CE102" s="160"/>
      <c r="CF102" s="160"/>
      <c r="CG102" s="160"/>
      <c r="CH102" s="160"/>
      <c r="CI102" s="160"/>
      <c r="CJ102" s="161"/>
      <c r="CK102" s="161"/>
      <c r="CL102" s="161"/>
      <c r="CM102" s="160"/>
      <c r="CN102" s="160"/>
      <c r="CO102" s="160"/>
      <c r="CP102" s="160"/>
      <c r="CQ102" s="160"/>
      <c r="CR102" s="160"/>
      <c r="CS102" s="160"/>
      <c r="CT102" s="160"/>
      <c r="CU102" s="160"/>
      <c r="CV102" s="161"/>
      <c r="CW102" s="161"/>
      <c r="CX102" s="161"/>
      <c r="CY102" s="161"/>
      <c r="CZ102" s="161"/>
      <c r="DA102" s="161"/>
      <c r="DB102" s="160"/>
      <c r="DC102" s="160"/>
      <c r="DD102" s="160"/>
      <c r="DE102" s="160"/>
      <c r="DF102" s="160"/>
      <c r="DG102" s="160"/>
      <c r="DH102" s="160"/>
      <c r="DI102" s="160"/>
      <c r="DJ102" s="160"/>
      <c r="DK102" s="161"/>
      <c r="DL102" s="161"/>
      <c r="DM102" s="161"/>
      <c r="DN102" s="161"/>
      <c r="DO102" s="161"/>
      <c r="DP102" s="161"/>
      <c r="DQ102" s="160"/>
      <c r="DR102" s="160"/>
      <c r="DS102" s="160"/>
    </row>
    <row r="103" spans="1:123">
      <c r="A103" s="128"/>
      <c r="B103" s="128"/>
      <c r="C103" s="148" t="s">
        <v>210</v>
      </c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>
        <v>25000</v>
      </c>
      <c r="R103" s="158">
        <v>25000</v>
      </c>
      <c r="S103" s="158"/>
      <c r="T103" s="158"/>
      <c r="U103" s="158"/>
      <c r="V103" s="158"/>
      <c r="W103" s="158"/>
      <c r="X103" s="158"/>
      <c r="Y103" s="158"/>
      <c r="Z103" s="158">
        <v>25000</v>
      </c>
      <c r="AA103" s="158">
        <v>25000</v>
      </c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8"/>
      <c r="AQ103" s="158"/>
      <c r="AR103" s="158"/>
      <c r="AS103" s="158"/>
      <c r="AT103" s="158"/>
      <c r="AU103" s="158"/>
      <c r="AV103" s="158"/>
      <c r="AW103" s="158"/>
      <c r="AX103" s="158"/>
      <c r="AY103" s="158"/>
      <c r="AZ103" s="159"/>
      <c r="BA103" s="159">
        <v>25000</v>
      </c>
      <c r="BB103" s="159">
        <v>25000</v>
      </c>
      <c r="BC103" s="159"/>
      <c r="BD103" s="159">
        <v>25000</v>
      </c>
      <c r="BE103" s="159">
        <v>25000</v>
      </c>
      <c r="BF103" s="160"/>
      <c r="BG103" s="160"/>
      <c r="BH103" s="160"/>
      <c r="BI103" s="160"/>
      <c r="BJ103" s="160"/>
      <c r="BK103" s="160"/>
      <c r="BL103" s="161"/>
      <c r="BM103" s="161"/>
      <c r="BN103" s="161"/>
      <c r="BO103" s="160"/>
      <c r="BP103" s="160"/>
      <c r="BQ103" s="160"/>
      <c r="BR103" s="160"/>
      <c r="BS103" s="160"/>
      <c r="BT103" s="160"/>
      <c r="BU103" s="160"/>
      <c r="BV103" s="160"/>
      <c r="BW103" s="160"/>
      <c r="BX103" s="161"/>
      <c r="BY103" s="161"/>
      <c r="BZ103" s="161"/>
      <c r="CA103" s="160"/>
      <c r="CB103" s="160"/>
      <c r="CC103" s="160"/>
      <c r="CD103" s="160"/>
      <c r="CE103" s="160"/>
      <c r="CF103" s="160"/>
      <c r="CG103" s="160"/>
      <c r="CH103" s="160">
        <v>25000</v>
      </c>
      <c r="CI103" s="160">
        <v>25000</v>
      </c>
      <c r="CJ103" s="161"/>
      <c r="CK103" s="161">
        <v>25000</v>
      </c>
      <c r="CL103" s="161">
        <v>25000</v>
      </c>
      <c r="CM103" s="160"/>
      <c r="CN103" s="160"/>
      <c r="CO103" s="160"/>
      <c r="CP103" s="160"/>
      <c r="CQ103" s="160"/>
      <c r="CR103" s="160"/>
      <c r="CS103" s="160"/>
      <c r="CT103" s="160"/>
      <c r="CU103" s="160"/>
      <c r="CV103" s="161"/>
      <c r="CW103" s="161"/>
      <c r="CX103" s="161"/>
      <c r="CY103" s="161"/>
      <c r="CZ103" s="161">
        <v>25000</v>
      </c>
      <c r="DA103" s="161">
        <v>25000</v>
      </c>
      <c r="DB103" s="160"/>
      <c r="DC103" s="160"/>
      <c r="DD103" s="160"/>
      <c r="DE103" s="160"/>
      <c r="DF103" s="160"/>
      <c r="DG103" s="160"/>
      <c r="DH103" s="160"/>
      <c r="DI103" s="160"/>
      <c r="DJ103" s="160"/>
      <c r="DK103" s="161"/>
      <c r="DL103" s="161"/>
      <c r="DM103" s="161"/>
      <c r="DN103" s="161"/>
      <c r="DO103" s="161"/>
      <c r="DP103" s="161"/>
      <c r="DQ103" s="160"/>
      <c r="DR103" s="160">
        <v>25000</v>
      </c>
      <c r="DS103" s="160">
        <v>25000</v>
      </c>
    </row>
    <row r="104" ht="31.5" spans="1:123">
      <c r="A104" s="128"/>
      <c r="B104" s="128"/>
      <c r="C104" s="148" t="s">
        <v>212</v>
      </c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>
        <v>10000</v>
      </c>
      <c r="R104" s="158">
        <v>10000</v>
      </c>
      <c r="S104" s="158"/>
      <c r="T104" s="158"/>
      <c r="U104" s="158"/>
      <c r="V104" s="158"/>
      <c r="W104" s="158"/>
      <c r="X104" s="158"/>
      <c r="Y104" s="158"/>
      <c r="Z104" s="158">
        <v>10000</v>
      </c>
      <c r="AA104" s="158">
        <v>10000</v>
      </c>
      <c r="AB104" s="158"/>
      <c r="AC104" s="158"/>
      <c r="AD104" s="158"/>
      <c r="AE104" s="158"/>
      <c r="AF104" s="158"/>
      <c r="AG104" s="158"/>
      <c r="AH104" s="158"/>
      <c r="AI104" s="158"/>
      <c r="AJ104" s="158"/>
      <c r="AK104" s="158"/>
      <c r="AL104" s="158"/>
      <c r="AM104" s="158"/>
      <c r="AN104" s="158"/>
      <c r="AO104" s="158"/>
      <c r="AP104" s="158"/>
      <c r="AQ104" s="158"/>
      <c r="AR104" s="158"/>
      <c r="AS104" s="158"/>
      <c r="AT104" s="158"/>
      <c r="AU104" s="158"/>
      <c r="AV104" s="158"/>
      <c r="AW104" s="158"/>
      <c r="AX104" s="158"/>
      <c r="AY104" s="158"/>
      <c r="AZ104" s="159"/>
      <c r="BA104" s="159">
        <v>10000</v>
      </c>
      <c r="BB104" s="159">
        <v>10000</v>
      </c>
      <c r="BC104" s="159"/>
      <c r="BD104" s="159">
        <v>10000</v>
      </c>
      <c r="BE104" s="159">
        <v>10000</v>
      </c>
      <c r="BF104" s="160"/>
      <c r="BG104" s="160"/>
      <c r="BH104" s="160"/>
      <c r="BI104" s="160"/>
      <c r="BJ104" s="160"/>
      <c r="BK104" s="160"/>
      <c r="BL104" s="161"/>
      <c r="BM104" s="161"/>
      <c r="BN104" s="161"/>
      <c r="BO104" s="160"/>
      <c r="BP104" s="160"/>
      <c r="BQ104" s="160"/>
      <c r="BR104" s="160"/>
      <c r="BS104" s="160"/>
      <c r="BT104" s="160"/>
      <c r="BU104" s="160"/>
      <c r="BV104" s="160"/>
      <c r="BW104" s="160"/>
      <c r="BX104" s="161"/>
      <c r="BY104" s="161"/>
      <c r="BZ104" s="161"/>
      <c r="CA104" s="160"/>
      <c r="CB104" s="160"/>
      <c r="CC104" s="160"/>
      <c r="CD104" s="160"/>
      <c r="CE104" s="160"/>
      <c r="CF104" s="160"/>
      <c r="CG104" s="160"/>
      <c r="CH104" s="160"/>
      <c r="CI104" s="160"/>
      <c r="CJ104" s="161"/>
      <c r="CK104" s="161"/>
      <c r="CL104" s="161"/>
      <c r="CM104" s="160"/>
      <c r="CN104" s="160"/>
      <c r="CO104" s="160"/>
      <c r="CP104" s="160"/>
      <c r="CQ104" s="160">
        <v>10000</v>
      </c>
      <c r="CR104" s="160">
        <v>10000</v>
      </c>
      <c r="CS104" s="160"/>
      <c r="CT104" s="160"/>
      <c r="CU104" s="160"/>
      <c r="CV104" s="161"/>
      <c r="CW104" s="161">
        <v>10000</v>
      </c>
      <c r="CX104" s="161">
        <v>10000</v>
      </c>
      <c r="CY104" s="161"/>
      <c r="CZ104" s="161">
        <v>10000</v>
      </c>
      <c r="DA104" s="161">
        <v>10000</v>
      </c>
      <c r="DB104" s="160"/>
      <c r="DC104" s="160"/>
      <c r="DD104" s="160"/>
      <c r="DE104" s="160"/>
      <c r="DF104" s="160"/>
      <c r="DG104" s="160"/>
      <c r="DH104" s="160"/>
      <c r="DI104" s="160"/>
      <c r="DJ104" s="160"/>
      <c r="DK104" s="161"/>
      <c r="DL104" s="161"/>
      <c r="DM104" s="161"/>
      <c r="DN104" s="161"/>
      <c r="DO104" s="161"/>
      <c r="DP104" s="161"/>
      <c r="DQ104" s="160"/>
      <c r="DR104" s="160">
        <v>10000</v>
      </c>
      <c r="DS104" s="160">
        <v>10000</v>
      </c>
    </row>
    <row r="105" spans="1:123">
      <c r="A105" s="128" t="s">
        <v>225</v>
      </c>
      <c r="B105" s="128"/>
      <c r="C105" s="14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  <c r="AG105" s="158"/>
      <c r="AH105" s="158"/>
      <c r="AI105" s="158"/>
      <c r="AJ105" s="158"/>
      <c r="AK105" s="158"/>
      <c r="AL105" s="158"/>
      <c r="AM105" s="158"/>
      <c r="AN105" s="158"/>
      <c r="AO105" s="158"/>
      <c r="AP105" s="158"/>
      <c r="AQ105" s="158"/>
      <c r="AR105" s="158"/>
      <c r="AS105" s="158"/>
      <c r="AT105" s="158"/>
      <c r="AU105" s="158"/>
      <c r="AV105" s="158"/>
      <c r="AW105" s="158"/>
      <c r="AX105" s="158"/>
      <c r="AY105" s="158"/>
      <c r="AZ105" s="159"/>
      <c r="BA105" s="159"/>
      <c r="BB105" s="159"/>
      <c r="BC105" s="159"/>
      <c r="BD105" s="159"/>
      <c r="BE105" s="159"/>
      <c r="BF105" s="160"/>
      <c r="BG105" s="160"/>
      <c r="BH105" s="160"/>
      <c r="BI105" s="160"/>
      <c r="BJ105" s="160"/>
      <c r="BK105" s="160"/>
      <c r="BL105" s="161"/>
      <c r="BM105" s="161"/>
      <c r="BN105" s="161"/>
      <c r="BO105" s="160"/>
      <c r="BP105" s="160"/>
      <c r="BQ105" s="160"/>
      <c r="BR105" s="160"/>
      <c r="BS105" s="160"/>
      <c r="BT105" s="160"/>
      <c r="BU105" s="160"/>
      <c r="BV105" s="160"/>
      <c r="BW105" s="160"/>
      <c r="BX105" s="161"/>
      <c r="BY105" s="161"/>
      <c r="BZ105" s="161"/>
      <c r="CA105" s="160"/>
      <c r="CB105" s="160"/>
      <c r="CC105" s="160"/>
      <c r="CD105" s="160"/>
      <c r="CE105" s="160"/>
      <c r="CF105" s="160"/>
      <c r="CG105" s="160"/>
      <c r="CH105" s="160"/>
      <c r="CI105" s="160"/>
      <c r="CJ105" s="161"/>
      <c r="CK105" s="161"/>
      <c r="CL105" s="161"/>
      <c r="CM105" s="160"/>
      <c r="CN105" s="160"/>
      <c r="CO105" s="160"/>
      <c r="CP105" s="160"/>
      <c r="CQ105" s="160"/>
      <c r="CR105" s="160"/>
      <c r="CS105" s="160"/>
      <c r="CT105" s="160"/>
      <c r="CU105" s="160"/>
      <c r="CV105" s="161"/>
      <c r="CW105" s="161"/>
      <c r="CX105" s="161"/>
      <c r="CY105" s="161"/>
      <c r="CZ105" s="161"/>
      <c r="DA105" s="161"/>
      <c r="DB105" s="160"/>
      <c r="DC105" s="160"/>
      <c r="DD105" s="160"/>
      <c r="DE105" s="160"/>
      <c r="DF105" s="160"/>
      <c r="DG105" s="160"/>
      <c r="DH105" s="160"/>
      <c r="DI105" s="160"/>
      <c r="DJ105" s="160"/>
      <c r="DK105" s="161"/>
      <c r="DL105" s="161"/>
      <c r="DM105" s="161"/>
      <c r="DN105" s="161"/>
      <c r="DO105" s="161"/>
      <c r="DP105" s="161"/>
      <c r="DQ105" s="160"/>
      <c r="DR105" s="160"/>
      <c r="DS105" s="160"/>
    </row>
    <row r="106" spans="1:123">
      <c r="A106" s="128"/>
      <c r="B106" s="128" t="s">
        <v>225</v>
      </c>
      <c r="C106" s="14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  <c r="AG106" s="158"/>
      <c r="AH106" s="158"/>
      <c r="AI106" s="158"/>
      <c r="AJ106" s="158"/>
      <c r="AK106" s="158"/>
      <c r="AL106" s="158"/>
      <c r="AM106" s="158"/>
      <c r="AN106" s="158"/>
      <c r="AO106" s="158"/>
      <c r="AP106" s="158"/>
      <c r="AQ106" s="158"/>
      <c r="AR106" s="158"/>
      <c r="AS106" s="158"/>
      <c r="AT106" s="158"/>
      <c r="AU106" s="158"/>
      <c r="AV106" s="158"/>
      <c r="AW106" s="158"/>
      <c r="AX106" s="158"/>
      <c r="AY106" s="158"/>
      <c r="AZ106" s="159"/>
      <c r="BA106" s="159"/>
      <c r="BB106" s="159"/>
      <c r="BC106" s="159"/>
      <c r="BD106" s="159"/>
      <c r="BE106" s="159"/>
      <c r="BF106" s="160"/>
      <c r="BG106" s="160"/>
      <c r="BH106" s="160"/>
      <c r="BI106" s="160"/>
      <c r="BJ106" s="160"/>
      <c r="BK106" s="160"/>
      <c r="BL106" s="161"/>
      <c r="BM106" s="161"/>
      <c r="BN106" s="161"/>
      <c r="BO106" s="160"/>
      <c r="BP106" s="160"/>
      <c r="BQ106" s="160"/>
      <c r="BR106" s="160"/>
      <c r="BS106" s="160"/>
      <c r="BT106" s="160"/>
      <c r="BU106" s="160"/>
      <c r="BV106" s="160"/>
      <c r="BW106" s="160"/>
      <c r="BX106" s="161"/>
      <c r="BY106" s="161"/>
      <c r="BZ106" s="161"/>
      <c r="CA106" s="160"/>
      <c r="CB106" s="160"/>
      <c r="CC106" s="160"/>
      <c r="CD106" s="160"/>
      <c r="CE106" s="160"/>
      <c r="CF106" s="160"/>
      <c r="CG106" s="160"/>
      <c r="CH106" s="160"/>
      <c r="CI106" s="160"/>
      <c r="CJ106" s="161"/>
      <c r="CK106" s="161"/>
      <c r="CL106" s="161"/>
      <c r="CM106" s="160"/>
      <c r="CN106" s="160"/>
      <c r="CO106" s="160"/>
      <c r="CP106" s="160"/>
      <c r="CQ106" s="160"/>
      <c r="CR106" s="160"/>
      <c r="CS106" s="160"/>
      <c r="CT106" s="160"/>
      <c r="CU106" s="160"/>
      <c r="CV106" s="161"/>
      <c r="CW106" s="161"/>
      <c r="CX106" s="161"/>
      <c r="CY106" s="161"/>
      <c r="CZ106" s="161"/>
      <c r="DA106" s="161"/>
      <c r="DB106" s="160"/>
      <c r="DC106" s="160"/>
      <c r="DD106" s="160"/>
      <c r="DE106" s="160"/>
      <c r="DF106" s="160"/>
      <c r="DG106" s="160"/>
      <c r="DH106" s="160"/>
      <c r="DI106" s="160"/>
      <c r="DJ106" s="160"/>
      <c r="DK106" s="161"/>
      <c r="DL106" s="161"/>
      <c r="DM106" s="161"/>
      <c r="DN106" s="161"/>
      <c r="DO106" s="161"/>
      <c r="DP106" s="161"/>
      <c r="DQ106" s="160"/>
      <c r="DR106" s="160"/>
      <c r="DS106" s="160"/>
    </row>
    <row r="107" spans="1:123">
      <c r="A107" s="128"/>
      <c r="B107" s="128"/>
      <c r="C107" s="148" t="s">
        <v>227</v>
      </c>
      <c r="D107" s="158"/>
      <c r="E107" s="158"/>
      <c r="F107" s="158"/>
      <c r="G107" s="158">
        <v>7500</v>
      </c>
      <c r="H107" s="158"/>
      <c r="I107" s="158">
        <v>7500</v>
      </c>
      <c r="J107" s="158"/>
      <c r="K107" s="158"/>
      <c r="L107" s="158"/>
      <c r="M107" s="158">
        <v>7500</v>
      </c>
      <c r="N107" s="158"/>
      <c r="O107" s="158">
        <v>7500</v>
      </c>
      <c r="P107" s="158"/>
      <c r="Q107" s="158"/>
      <c r="R107" s="158"/>
      <c r="S107" s="158"/>
      <c r="T107" s="158"/>
      <c r="U107" s="158"/>
      <c r="V107" s="158">
        <v>7500</v>
      </c>
      <c r="W107" s="158"/>
      <c r="X107" s="158">
        <v>7500</v>
      </c>
      <c r="Y107" s="158">
        <v>7500</v>
      </c>
      <c r="Z107" s="158"/>
      <c r="AA107" s="158">
        <v>7500</v>
      </c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  <c r="AQ107" s="158"/>
      <c r="AR107" s="158"/>
      <c r="AS107" s="158"/>
      <c r="AT107" s="158"/>
      <c r="AU107" s="158"/>
      <c r="AV107" s="158"/>
      <c r="AW107" s="158"/>
      <c r="AX107" s="158"/>
      <c r="AY107" s="158"/>
      <c r="AZ107" s="159">
        <v>15000</v>
      </c>
      <c r="BA107" s="159"/>
      <c r="BB107" s="159">
        <v>15000</v>
      </c>
      <c r="BC107" s="159">
        <v>15000</v>
      </c>
      <c r="BD107" s="159"/>
      <c r="BE107" s="159">
        <v>15000</v>
      </c>
      <c r="BF107" s="160">
        <v>1250</v>
      </c>
      <c r="BG107" s="160"/>
      <c r="BH107" s="160">
        <v>1250</v>
      </c>
      <c r="BI107" s="160">
        <v>1250</v>
      </c>
      <c r="BJ107" s="160"/>
      <c r="BK107" s="160">
        <v>1250</v>
      </c>
      <c r="BL107" s="161">
        <v>2500</v>
      </c>
      <c r="BM107" s="161"/>
      <c r="BN107" s="161">
        <v>2500</v>
      </c>
      <c r="BO107" s="160">
        <v>1250</v>
      </c>
      <c r="BP107" s="160"/>
      <c r="BQ107" s="160">
        <v>1250</v>
      </c>
      <c r="BR107" s="160">
        <v>1250</v>
      </c>
      <c r="BS107" s="160"/>
      <c r="BT107" s="160">
        <v>1250</v>
      </c>
      <c r="BU107" s="160">
        <v>1250</v>
      </c>
      <c r="BV107" s="160"/>
      <c r="BW107" s="160">
        <v>1250</v>
      </c>
      <c r="BX107" s="161">
        <v>3750</v>
      </c>
      <c r="BY107" s="161"/>
      <c r="BZ107" s="161">
        <v>3750</v>
      </c>
      <c r="CA107" s="160">
        <v>1250</v>
      </c>
      <c r="CB107" s="160"/>
      <c r="CC107" s="160">
        <v>1250</v>
      </c>
      <c r="CD107" s="160">
        <v>1250</v>
      </c>
      <c r="CE107" s="160"/>
      <c r="CF107" s="160">
        <v>1250</v>
      </c>
      <c r="CG107" s="160">
        <v>1250</v>
      </c>
      <c r="CH107" s="160"/>
      <c r="CI107" s="160">
        <v>1250</v>
      </c>
      <c r="CJ107" s="161">
        <v>3750</v>
      </c>
      <c r="CK107" s="161"/>
      <c r="CL107" s="161">
        <v>3750</v>
      </c>
      <c r="CM107" s="160">
        <v>1250</v>
      </c>
      <c r="CN107" s="160"/>
      <c r="CO107" s="160">
        <v>1250</v>
      </c>
      <c r="CP107" s="160">
        <v>1250</v>
      </c>
      <c r="CQ107" s="160"/>
      <c r="CR107" s="160">
        <v>1250</v>
      </c>
      <c r="CS107" s="160">
        <v>2500</v>
      </c>
      <c r="CT107" s="160"/>
      <c r="CU107" s="160">
        <v>2500</v>
      </c>
      <c r="CV107" s="161">
        <v>5000</v>
      </c>
      <c r="CW107" s="161"/>
      <c r="CX107" s="161">
        <v>5000</v>
      </c>
      <c r="CY107" s="161">
        <v>15000</v>
      </c>
      <c r="CZ107" s="161"/>
      <c r="DA107" s="161">
        <v>15000</v>
      </c>
      <c r="DB107" s="160"/>
      <c r="DC107" s="160"/>
      <c r="DD107" s="160"/>
      <c r="DE107" s="160"/>
      <c r="DF107" s="160"/>
      <c r="DG107" s="160"/>
      <c r="DH107" s="160"/>
      <c r="DI107" s="160"/>
      <c r="DJ107" s="160"/>
      <c r="DK107" s="161"/>
      <c r="DL107" s="161"/>
      <c r="DM107" s="161"/>
      <c r="DN107" s="161"/>
      <c r="DO107" s="161"/>
      <c r="DP107" s="161"/>
      <c r="DQ107" s="160">
        <v>15000</v>
      </c>
      <c r="DR107" s="160"/>
      <c r="DS107" s="160">
        <v>15000</v>
      </c>
    </row>
    <row r="108" spans="1:123">
      <c r="A108" s="128"/>
      <c r="B108" s="128"/>
      <c r="C108" s="148" t="s">
        <v>229</v>
      </c>
      <c r="D108" s="158">
        <v>50</v>
      </c>
      <c r="E108" s="158"/>
      <c r="F108" s="158">
        <v>50</v>
      </c>
      <c r="G108" s="158">
        <v>325</v>
      </c>
      <c r="H108" s="158"/>
      <c r="I108" s="158">
        <v>325</v>
      </c>
      <c r="J108" s="158">
        <v>600</v>
      </c>
      <c r="K108" s="158"/>
      <c r="L108" s="158">
        <v>600</v>
      </c>
      <c r="M108" s="158">
        <v>975</v>
      </c>
      <c r="N108" s="158"/>
      <c r="O108" s="158">
        <v>975</v>
      </c>
      <c r="P108" s="158">
        <v>325</v>
      </c>
      <c r="Q108" s="158"/>
      <c r="R108" s="158">
        <v>325</v>
      </c>
      <c r="S108" s="158">
        <v>325</v>
      </c>
      <c r="T108" s="158"/>
      <c r="U108" s="158">
        <v>325</v>
      </c>
      <c r="V108" s="158">
        <v>300</v>
      </c>
      <c r="W108" s="158"/>
      <c r="X108" s="158">
        <v>300</v>
      </c>
      <c r="Y108" s="158">
        <v>950</v>
      </c>
      <c r="Z108" s="158"/>
      <c r="AA108" s="158">
        <v>950</v>
      </c>
      <c r="AB108" s="158">
        <v>325</v>
      </c>
      <c r="AC108" s="158"/>
      <c r="AD108" s="158">
        <v>325</v>
      </c>
      <c r="AE108" s="158">
        <v>325</v>
      </c>
      <c r="AF108" s="158"/>
      <c r="AG108" s="158">
        <v>325</v>
      </c>
      <c r="AH108" s="158">
        <v>325</v>
      </c>
      <c r="AI108" s="158"/>
      <c r="AJ108" s="158">
        <v>325</v>
      </c>
      <c r="AK108" s="158">
        <v>975</v>
      </c>
      <c r="AL108" s="158"/>
      <c r="AM108" s="158">
        <v>975</v>
      </c>
      <c r="AN108" s="158">
        <v>325</v>
      </c>
      <c r="AO108" s="158"/>
      <c r="AP108" s="158">
        <v>325</v>
      </c>
      <c r="AQ108" s="158">
        <v>325</v>
      </c>
      <c r="AR108" s="158"/>
      <c r="AS108" s="158">
        <v>325</v>
      </c>
      <c r="AT108" s="158">
        <v>450</v>
      </c>
      <c r="AU108" s="158"/>
      <c r="AV108" s="158">
        <v>450</v>
      </c>
      <c r="AW108" s="158">
        <v>1100</v>
      </c>
      <c r="AX108" s="158"/>
      <c r="AY108" s="158">
        <v>1100</v>
      </c>
      <c r="AZ108" s="159">
        <v>4000</v>
      </c>
      <c r="BA108" s="159"/>
      <c r="BB108" s="159">
        <v>4000</v>
      </c>
      <c r="BC108" s="159">
        <v>4000</v>
      </c>
      <c r="BD108" s="159"/>
      <c r="BE108" s="159">
        <v>4000</v>
      </c>
      <c r="BF108" s="160">
        <v>50</v>
      </c>
      <c r="BG108" s="160"/>
      <c r="BH108" s="160">
        <v>50</v>
      </c>
      <c r="BI108" s="160">
        <v>325</v>
      </c>
      <c r="BJ108" s="160"/>
      <c r="BK108" s="160">
        <v>325</v>
      </c>
      <c r="BL108" s="161">
        <v>375</v>
      </c>
      <c r="BM108" s="161"/>
      <c r="BN108" s="161">
        <v>375</v>
      </c>
      <c r="BO108" s="160">
        <v>600</v>
      </c>
      <c r="BP108" s="160"/>
      <c r="BQ108" s="160">
        <v>600</v>
      </c>
      <c r="BR108" s="160">
        <v>325</v>
      </c>
      <c r="BS108" s="160"/>
      <c r="BT108" s="160">
        <v>325</v>
      </c>
      <c r="BU108" s="160">
        <v>325</v>
      </c>
      <c r="BV108" s="160"/>
      <c r="BW108" s="160">
        <v>325</v>
      </c>
      <c r="BX108" s="161">
        <v>1250</v>
      </c>
      <c r="BY108" s="161"/>
      <c r="BZ108" s="161">
        <v>1250</v>
      </c>
      <c r="CA108" s="160">
        <v>300</v>
      </c>
      <c r="CB108" s="160"/>
      <c r="CC108" s="160">
        <v>300</v>
      </c>
      <c r="CD108" s="160">
        <v>325</v>
      </c>
      <c r="CE108" s="160"/>
      <c r="CF108" s="160">
        <v>325</v>
      </c>
      <c r="CG108" s="160">
        <v>325</v>
      </c>
      <c r="CH108" s="160"/>
      <c r="CI108" s="160">
        <v>325</v>
      </c>
      <c r="CJ108" s="161">
        <v>950</v>
      </c>
      <c r="CK108" s="161"/>
      <c r="CL108" s="161">
        <v>950</v>
      </c>
      <c r="CM108" s="160">
        <v>325</v>
      </c>
      <c r="CN108" s="160"/>
      <c r="CO108" s="160">
        <v>325</v>
      </c>
      <c r="CP108" s="160">
        <v>325</v>
      </c>
      <c r="CQ108" s="160"/>
      <c r="CR108" s="160">
        <v>325</v>
      </c>
      <c r="CS108" s="160">
        <v>775</v>
      </c>
      <c r="CT108" s="160"/>
      <c r="CU108" s="160">
        <v>775</v>
      </c>
      <c r="CV108" s="161">
        <v>1425</v>
      </c>
      <c r="CW108" s="161"/>
      <c r="CX108" s="161">
        <v>1425</v>
      </c>
      <c r="CY108" s="161">
        <v>4000</v>
      </c>
      <c r="CZ108" s="161"/>
      <c r="DA108" s="161">
        <v>4000</v>
      </c>
      <c r="DB108" s="160"/>
      <c r="DC108" s="160"/>
      <c r="DD108" s="160"/>
      <c r="DE108" s="160"/>
      <c r="DF108" s="160"/>
      <c r="DG108" s="160"/>
      <c r="DH108" s="160"/>
      <c r="DI108" s="160"/>
      <c r="DJ108" s="160"/>
      <c r="DK108" s="161"/>
      <c r="DL108" s="161"/>
      <c r="DM108" s="161"/>
      <c r="DN108" s="161"/>
      <c r="DO108" s="161"/>
      <c r="DP108" s="161"/>
      <c r="DQ108" s="160">
        <v>4000</v>
      </c>
      <c r="DR108" s="160"/>
      <c r="DS108" s="160">
        <v>4000</v>
      </c>
    </row>
    <row r="109" ht="49.5" customHeight="1" spans="1:123">
      <c r="A109" s="128"/>
      <c r="B109" s="162"/>
      <c r="C109" s="148" t="s">
        <v>231</v>
      </c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>
        <v>500</v>
      </c>
      <c r="T109" s="158"/>
      <c r="U109" s="158">
        <v>500</v>
      </c>
      <c r="V109" s="158"/>
      <c r="W109" s="158"/>
      <c r="X109" s="158"/>
      <c r="Y109" s="158">
        <v>500</v>
      </c>
      <c r="Z109" s="158"/>
      <c r="AA109" s="158">
        <v>500</v>
      </c>
      <c r="AB109" s="158"/>
      <c r="AC109" s="158"/>
      <c r="AD109" s="158"/>
      <c r="AE109" s="158"/>
      <c r="AF109" s="158"/>
      <c r="AG109" s="158"/>
      <c r="AH109" s="158"/>
      <c r="AI109" s="158"/>
      <c r="AJ109" s="158"/>
      <c r="AK109" s="158"/>
      <c r="AL109" s="158"/>
      <c r="AM109" s="158"/>
      <c r="AN109" s="158"/>
      <c r="AO109" s="158"/>
      <c r="AP109" s="158"/>
      <c r="AQ109" s="158"/>
      <c r="AR109" s="158"/>
      <c r="AS109" s="158"/>
      <c r="AT109" s="158"/>
      <c r="AU109" s="158"/>
      <c r="AV109" s="158"/>
      <c r="AW109" s="158"/>
      <c r="AX109" s="158"/>
      <c r="AY109" s="158"/>
      <c r="AZ109" s="159">
        <v>500</v>
      </c>
      <c r="BA109" s="159"/>
      <c r="BB109" s="159">
        <v>500</v>
      </c>
      <c r="BC109" s="159">
        <v>500</v>
      </c>
      <c r="BD109" s="159"/>
      <c r="BE109" s="159">
        <v>500</v>
      </c>
      <c r="BF109" s="160"/>
      <c r="BG109" s="160"/>
      <c r="BH109" s="160"/>
      <c r="BI109" s="160"/>
      <c r="BJ109" s="160"/>
      <c r="BK109" s="160"/>
      <c r="BL109" s="161"/>
      <c r="BM109" s="161"/>
      <c r="BN109" s="161"/>
      <c r="BO109" s="160"/>
      <c r="BP109" s="160"/>
      <c r="BQ109" s="160"/>
      <c r="BR109" s="160"/>
      <c r="BS109" s="160"/>
      <c r="BT109" s="160"/>
      <c r="BU109" s="160">
        <v>500</v>
      </c>
      <c r="BV109" s="160"/>
      <c r="BW109" s="160">
        <v>500</v>
      </c>
      <c r="BX109" s="161">
        <v>500</v>
      </c>
      <c r="BY109" s="161"/>
      <c r="BZ109" s="161">
        <v>500</v>
      </c>
      <c r="CA109" s="160"/>
      <c r="CB109" s="160"/>
      <c r="CC109" s="160"/>
      <c r="CD109" s="160"/>
      <c r="CE109" s="160"/>
      <c r="CF109" s="160"/>
      <c r="CG109" s="160"/>
      <c r="CH109" s="160"/>
      <c r="CI109" s="160"/>
      <c r="CJ109" s="161"/>
      <c r="CK109" s="161"/>
      <c r="CL109" s="161"/>
      <c r="CM109" s="160"/>
      <c r="CN109" s="160"/>
      <c r="CO109" s="160"/>
      <c r="CP109" s="160"/>
      <c r="CQ109" s="160"/>
      <c r="CR109" s="160"/>
      <c r="CS109" s="160"/>
      <c r="CT109" s="160"/>
      <c r="CU109" s="160"/>
      <c r="CV109" s="161"/>
      <c r="CW109" s="161"/>
      <c r="CX109" s="161"/>
      <c r="CY109" s="161">
        <v>500</v>
      </c>
      <c r="CZ109" s="161"/>
      <c r="DA109" s="161">
        <v>500</v>
      </c>
      <c r="DB109" s="160"/>
      <c r="DC109" s="160"/>
      <c r="DD109" s="160"/>
      <c r="DE109" s="160"/>
      <c r="DF109" s="160"/>
      <c r="DG109" s="160"/>
      <c r="DH109" s="160"/>
      <c r="DI109" s="160"/>
      <c r="DJ109" s="160"/>
      <c r="DK109" s="161"/>
      <c r="DL109" s="161"/>
      <c r="DM109" s="161"/>
      <c r="DN109" s="161"/>
      <c r="DO109" s="161"/>
      <c r="DP109" s="161"/>
      <c r="DQ109" s="160">
        <v>500</v>
      </c>
      <c r="DR109" s="160"/>
      <c r="DS109" s="160">
        <v>500</v>
      </c>
    </row>
    <row r="110" spans="1:123">
      <c r="A110" s="128"/>
      <c r="B110" s="128"/>
      <c r="C110" s="148" t="s">
        <v>233</v>
      </c>
      <c r="D110" s="158">
        <v>50</v>
      </c>
      <c r="E110" s="158"/>
      <c r="F110" s="158">
        <v>50</v>
      </c>
      <c r="G110" s="158">
        <v>4000</v>
      </c>
      <c r="H110" s="158"/>
      <c r="I110" s="158">
        <v>4000</v>
      </c>
      <c r="J110" s="158">
        <v>4000</v>
      </c>
      <c r="K110" s="158"/>
      <c r="L110" s="158">
        <v>4000</v>
      </c>
      <c r="M110" s="158">
        <v>8050</v>
      </c>
      <c r="N110" s="158"/>
      <c r="O110" s="158">
        <v>8050</v>
      </c>
      <c r="P110" s="158">
        <v>3000</v>
      </c>
      <c r="Q110" s="158"/>
      <c r="R110" s="158">
        <v>3000</v>
      </c>
      <c r="S110" s="158">
        <v>1000</v>
      </c>
      <c r="T110" s="158"/>
      <c r="U110" s="158">
        <v>1000</v>
      </c>
      <c r="V110" s="158">
        <v>2000</v>
      </c>
      <c r="W110" s="158"/>
      <c r="X110" s="158">
        <v>2000</v>
      </c>
      <c r="Y110" s="158">
        <v>6000</v>
      </c>
      <c r="Z110" s="158"/>
      <c r="AA110" s="158">
        <v>6000</v>
      </c>
      <c r="AB110" s="158">
        <v>2000</v>
      </c>
      <c r="AC110" s="158"/>
      <c r="AD110" s="158">
        <v>2000</v>
      </c>
      <c r="AE110" s="158">
        <v>250</v>
      </c>
      <c r="AF110" s="158"/>
      <c r="AG110" s="158">
        <v>250</v>
      </c>
      <c r="AH110" s="158">
        <v>250</v>
      </c>
      <c r="AI110" s="158"/>
      <c r="AJ110" s="158">
        <v>250</v>
      </c>
      <c r="AK110" s="158">
        <v>2500</v>
      </c>
      <c r="AL110" s="158"/>
      <c r="AM110" s="158">
        <v>2500</v>
      </c>
      <c r="AN110" s="158">
        <v>100</v>
      </c>
      <c r="AO110" s="158"/>
      <c r="AP110" s="158">
        <v>100</v>
      </c>
      <c r="AQ110" s="158">
        <v>100</v>
      </c>
      <c r="AR110" s="158"/>
      <c r="AS110" s="158">
        <v>100</v>
      </c>
      <c r="AT110" s="158">
        <v>259</v>
      </c>
      <c r="AU110" s="158"/>
      <c r="AV110" s="158">
        <v>259</v>
      </c>
      <c r="AW110" s="158">
        <v>459</v>
      </c>
      <c r="AX110" s="158"/>
      <c r="AY110" s="158">
        <v>459</v>
      </c>
      <c r="AZ110" s="159">
        <v>17009</v>
      </c>
      <c r="BA110" s="159"/>
      <c r="BB110" s="159">
        <v>17009</v>
      </c>
      <c r="BC110" s="159">
        <v>17009</v>
      </c>
      <c r="BD110" s="159"/>
      <c r="BE110" s="159">
        <v>17009</v>
      </c>
      <c r="BF110" s="160">
        <v>50</v>
      </c>
      <c r="BG110" s="160"/>
      <c r="BH110" s="160">
        <v>50</v>
      </c>
      <c r="BI110" s="160">
        <v>4000</v>
      </c>
      <c r="BJ110" s="160"/>
      <c r="BK110" s="160">
        <v>4000</v>
      </c>
      <c r="BL110" s="161">
        <v>4050</v>
      </c>
      <c r="BM110" s="161"/>
      <c r="BN110" s="161">
        <v>4050</v>
      </c>
      <c r="BO110" s="160">
        <v>4000</v>
      </c>
      <c r="BP110" s="160"/>
      <c r="BQ110" s="160">
        <v>4000</v>
      </c>
      <c r="BR110" s="160">
        <v>3000</v>
      </c>
      <c r="BS110" s="160"/>
      <c r="BT110" s="160">
        <v>3000</v>
      </c>
      <c r="BU110" s="160">
        <v>1000</v>
      </c>
      <c r="BV110" s="160"/>
      <c r="BW110" s="160">
        <v>1000</v>
      </c>
      <c r="BX110" s="161">
        <v>8000</v>
      </c>
      <c r="BY110" s="161"/>
      <c r="BZ110" s="161">
        <v>8000</v>
      </c>
      <c r="CA110" s="160">
        <v>2000</v>
      </c>
      <c r="CB110" s="160"/>
      <c r="CC110" s="160">
        <v>2000</v>
      </c>
      <c r="CD110" s="160">
        <v>2000</v>
      </c>
      <c r="CE110" s="160"/>
      <c r="CF110" s="160">
        <v>2000</v>
      </c>
      <c r="CG110" s="160">
        <v>250</v>
      </c>
      <c r="CH110" s="160"/>
      <c r="CI110" s="160">
        <v>250</v>
      </c>
      <c r="CJ110" s="161">
        <v>4250</v>
      </c>
      <c r="CK110" s="161"/>
      <c r="CL110" s="161">
        <v>4250</v>
      </c>
      <c r="CM110" s="160">
        <v>250</v>
      </c>
      <c r="CN110" s="160"/>
      <c r="CO110" s="160">
        <v>250</v>
      </c>
      <c r="CP110" s="160">
        <v>100</v>
      </c>
      <c r="CQ110" s="160"/>
      <c r="CR110" s="160">
        <v>100</v>
      </c>
      <c r="CS110" s="160">
        <v>359</v>
      </c>
      <c r="CT110" s="160"/>
      <c r="CU110" s="160">
        <v>359</v>
      </c>
      <c r="CV110" s="161">
        <v>709</v>
      </c>
      <c r="CW110" s="161"/>
      <c r="CX110" s="161">
        <v>709</v>
      </c>
      <c r="CY110" s="161">
        <v>17009</v>
      </c>
      <c r="CZ110" s="161"/>
      <c r="DA110" s="161">
        <v>17009</v>
      </c>
      <c r="DB110" s="160"/>
      <c r="DC110" s="160"/>
      <c r="DD110" s="160"/>
      <c r="DE110" s="160"/>
      <c r="DF110" s="160"/>
      <c r="DG110" s="160"/>
      <c r="DH110" s="160"/>
      <c r="DI110" s="160"/>
      <c r="DJ110" s="160"/>
      <c r="DK110" s="161"/>
      <c r="DL110" s="161"/>
      <c r="DM110" s="161"/>
      <c r="DN110" s="161"/>
      <c r="DO110" s="161"/>
      <c r="DP110" s="161"/>
      <c r="DQ110" s="160">
        <v>17009</v>
      </c>
      <c r="DR110" s="160"/>
      <c r="DS110" s="160">
        <v>17009</v>
      </c>
    </row>
    <row r="111" spans="1:123">
      <c r="A111" s="128" t="s">
        <v>368</v>
      </c>
      <c r="B111" s="128"/>
      <c r="C111" s="148"/>
      <c r="D111" s="158">
        <v>100</v>
      </c>
      <c r="E111" s="158"/>
      <c r="F111" s="158">
        <v>100</v>
      </c>
      <c r="G111" s="158">
        <v>13458</v>
      </c>
      <c r="H111" s="158"/>
      <c r="I111" s="158">
        <v>13458</v>
      </c>
      <c r="J111" s="158">
        <v>165099.6</v>
      </c>
      <c r="K111" s="158">
        <v>25200</v>
      </c>
      <c r="L111" s="158">
        <v>190299.6</v>
      </c>
      <c r="M111" s="158">
        <v>178657.6</v>
      </c>
      <c r="N111" s="158">
        <v>25200</v>
      </c>
      <c r="O111" s="158">
        <v>203857.6</v>
      </c>
      <c r="P111" s="158">
        <v>595521</v>
      </c>
      <c r="Q111" s="158">
        <v>42340</v>
      </c>
      <c r="R111" s="158">
        <v>637861</v>
      </c>
      <c r="S111" s="158">
        <v>1825</v>
      </c>
      <c r="T111" s="158"/>
      <c r="U111" s="158">
        <v>1825</v>
      </c>
      <c r="V111" s="158">
        <v>10250</v>
      </c>
      <c r="W111" s="158">
        <v>78200</v>
      </c>
      <c r="X111" s="158">
        <v>88450</v>
      </c>
      <c r="Y111" s="158">
        <v>607596</v>
      </c>
      <c r="Z111" s="158">
        <v>120540</v>
      </c>
      <c r="AA111" s="158">
        <v>728136</v>
      </c>
      <c r="AB111" s="158">
        <v>49052.4</v>
      </c>
      <c r="AC111" s="158"/>
      <c r="AD111" s="158">
        <v>49052.4</v>
      </c>
      <c r="AE111" s="158">
        <v>675</v>
      </c>
      <c r="AF111" s="158"/>
      <c r="AG111" s="158">
        <v>675</v>
      </c>
      <c r="AH111" s="158">
        <v>1225</v>
      </c>
      <c r="AI111" s="158">
        <v>20000</v>
      </c>
      <c r="AJ111" s="158">
        <v>21225</v>
      </c>
      <c r="AK111" s="158">
        <v>50952.4</v>
      </c>
      <c r="AL111" s="158">
        <v>20000</v>
      </c>
      <c r="AM111" s="158">
        <v>70952.4</v>
      </c>
      <c r="AN111" s="158">
        <v>1125</v>
      </c>
      <c r="AO111" s="158"/>
      <c r="AP111" s="158">
        <v>1125</v>
      </c>
      <c r="AQ111" s="158">
        <v>425</v>
      </c>
      <c r="AR111" s="158"/>
      <c r="AS111" s="158">
        <v>425</v>
      </c>
      <c r="AT111" s="158">
        <v>709</v>
      </c>
      <c r="AU111" s="158"/>
      <c r="AV111" s="158">
        <v>709</v>
      </c>
      <c r="AW111" s="158">
        <v>2259</v>
      </c>
      <c r="AX111" s="158"/>
      <c r="AY111" s="158">
        <v>2259</v>
      </c>
      <c r="AZ111" s="159">
        <v>839465</v>
      </c>
      <c r="BA111" s="159">
        <v>165740</v>
      </c>
      <c r="BB111" s="159">
        <v>1005205</v>
      </c>
      <c r="BC111" s="159">
        <v>839465</v>
      </c>
      <c r="BD111" s="159">
        <v>165740</v>
      </c>
      <c r="BE111" s="159">
        <v>1005205</v>
      </c>
      <c r="BF111" s="160">
        <v>1418</v>
      </c>
      <c r="BG111" s="160"/>
      <c r="BH111" s="160">
        <v>1418</v>
      </c>
      <c r="BI111" s="160">
        <v>5643</v>
      </c>
      <c r="BJ111" s="160"/>
      <c r="BK111" s="160">
        <v>5643</v>
      </c>
      <c r="BL111" s="161">
        <v>7061</v>
      </c>
      <c r="BM111" s="161"/>
      <c r="BN111" s="161">
        <v>7061</v>
      </c>
      <c r="BO111" s="160">
        <v>14931</v>
      </c>
      <c r="BP111" s="160"/>
      <c r="BQ111" s="160">
        <v>14931</v>
      </c>
      <c r="BR111" s="160">
        <v>9716</v>
      </c>
      <c r="BS111" s="160"/>
      <c r="BT111" s="160">
        <v>9716</v>
      </c>
      <c r="BU111" s="160">
        <v>13593</v>
      </c>
      <c r="BV111" s="160"/>
      <c r="BW111" s="160">
        <v>13593</v>
      </c>
      <c r="BX111" s="161">
        <v>38240</v>
      </c>
      <c r="BY111" s="161"/>
      <c r="BZ111" s="161">
        <v>38240</v>
      </c>
      <c r="CA111" s="160">
        <v>391697.6</v>
      </c>
      <c r="CB111" s="160"/>
      <c r="CC111" s="160">
        <v>391697.6</v>
      </c>
      <c r="CD111" s="160">
        <v>344276</v>
      </c>
      <c r="CE111" s="160">
        <v>2940</v>
      </c>
      <c r="CF111" s="160">
        <v>347216</v>
      </c>
      <c r="CG111" s="160">
        <v>1993</v>
      </c>
      <c r="CH111" s="160">
        <v>52300</v>
      </c>
      <c r="CI111" s="160">
        <v>54293</v>
      </c>
      <c r="CJ111" s="161">
        <v>737966.6</v>
      </c>
      <c r="CK111" s="161">
        <v>55240</v>
      </c>
      <c r="CL111" s="161">
        <v>793206.6</v>
      </c>
      <c r="CM111" s="160">
        <v>2543</v>
      </c>
      <c r="CN111" s="160">
        <v>78500</v>
      </c>
      <c r="CO111" s="160">
        <v>81043</v>
      </c>
      <c r="CP111" s="160">
        <v>49950.4</v>
      </c>
      <c r="CQ111" s="160">
        <v>19000</v>
      </c>
      <c r="CR111" s="160">
        <v>68950.4</v>
      </c>
      <c r="CS111" s="160">
        <v>3704</v>
      </c>
      <c r="CT111" s="160">
        <v>4000</v>
      </c>
      <c r="CU111" s="160">
        <v>7704</v>
      </c>
      <c r="CV111" s="161">
        <v>56197.4</v>
      </c>
      <c r="CW111" s="161">
        <v>101500</v>
      </c>
      <c r="CX111" s="161">
        <v>157697.4</v>
      </c>
      <c r="CY111" s="161">
        <v>839465</v>
      </c>
      <c r="CZ111" s="161">
        <v>156740</v>
      </c>
      <c r="DA111" s="161">
        <v>996205</v>
      </c>
      <c r="DB111" s="160"/>
      <c r="DC111" s="160">
        <v>4000</v>
      </c>
      <c r="DD111" s="160">
        <v>4000</v>
      </c>
      <c r="DE111" s="160"/>
      <c r="DF111" s="160">
        <v>4000</v>
      </c>
      <c r="DG111" s="160">
        <v>4000</v>
      </c>
      <c r="DH111" s="160"/>
      <c r="DI111" s="160">
        <v>1000</v>
      </c>
      <c r="DJ111" s="160">
        <v>1000</v>
      </c>
      <c r="DK111" s="161"/>
      <c r="DL111" s="161">
        <v>9000</v>
      </c>
      <c r="DM111" s="161">
        <v>9000</v>
      </c>
      <c r="DN111" s="161"/>
      <c r="DO111" s="161">
        <v>9000</v>
      </c>
      <c r="DP111" s="161">
        <v>9000</v>
      </c>
      <c r="DQ111" s="160">
        <v>839465</v>
      </c>
      <c r="DR111" s="160">
        <v>165740</v>
      </c>
      <c r="DS111" s="160">
        <v>1005205</v>
      </c>
    </row>
    <row r="113" spans="1:55">
      <c r="A113" s="139" t="s">
        <v>369</v>
      </c>
      <c r="AB113" s="141" t="s">
        <v>370</v>
      </c>
      <c r="AM113" s="141" t="s">
        <v>371</v>
      </c>
      <c r="AN113" s="141"/>
      <c r="AO113" s="141"/>
      <c r="AP113" s="141"/>
      <c r="AQ113" s="141"/>
      <c r="AR113" s="141"/>
      <c r="AS113" s="141"/>
      <c r="AX113" s="141" t="s">
        <v>372</v>
      </c>
      <c r="BC113" s="141" t="s">
        <v>373</v>
      </c>
    </row>
    <row r="114" spans="1:55">
      <c r="A114" s="139"/>
      <c r="AB114" s="141"/>
      <c r="AM114" s="141"/>
      <c r="AN114" s="141"/>
      <c r="AO114" s="141"/>
      <c r="AP114" s="141"/>
      <c r="AQ114" s="141"/>
      <c r="AR114" s="141"/>
      <c r="AS114" s="141"/>
      <c r="AX114" s="141"/>
      <c r="BC114" s="141"/>
    </row>
    <row r="115" spans="1:55">
      <c r="A115" s="139"/>
      <c r="AB115" s="141"/>
      <c r="AM115" s="141"/>
      <c r="AN115" s="141"/>
      <c r="AO115" s="141"/>
      <c r="AP115" s="141"/>
      <c r="AQ115" s="141"/>
      <c r="AR115" s="141"/>
      <c r="AS115" s="141"/>
      <c r="AX115" s="141"/>
      <c r="BC115" s="141"/>
    </row>
    <row r="116" spans="1:55">
      <c r="A116" s="139"/>
      <c r="AB116" s="141"/>
      <c r="AM116" s="141"/>
      <c r="AN116" s="141"/>
      <c r="AO116" s="141"/>
      <c r="AP116" s="141"/>
      <c r="AQ116" s="141"/>
      <c r="AR116" s="141"/>
      <c r="AS116" s="141"/>
      <c r="AX116" s="141"/>
      <c r="BC116" s="141"/>
    </row>
    <row r="117" spans="1:55">
      <c r="A117" s="140" t="s">
        <v>374</v>
      </c>
      <c r="AB117" s="143" t="s">
        <v>375</v>
      </c>
      <c r="AM117" s="143" t="s">
        <v>376</v>
      </c>
      <c r="AN117" s="143"/>
      <c r="AO117" s="143"/>
      <c r="AP117" s="143"/>
      <c r="AQ117" s="143"/>
      <c r="AR117" s="143" t="s">
        <v>377</v>
      </c>
      <c r="AS117" s="143"/>
      <c r="AX117" s="143" t="s">
        <v>378</v>
      </c>
      <c r="BC117" s="143" t="s">
        <v>379</v>
      </c>
    </row>
    <row r="118" spans="1:55">
      <c r="A118" s="139" t="s">
        <v>380</v>
      </c>
      <c r="AB118" s="141" t="s">
        <v>381</v>
      </c>
      <c r="AM118" s="141" t="s">
        <v>382</v>
      </c>
      <c r="AN118" s="141"/>
      <c r="AO118" s="141"/>
      <c r="AP118" s="141"/>
      <c r="AQ118" s="141"/>
      <c r="AR118" s="141" t="s">
        <v>383</v>
      </c>
      <c r="AS118" s="141"/>
      <c r="AX118" s="141" t="s">
        <v>384</v>
      </c>
      <c r="BC118" s="141" t="s">
        <v>385</v>
      </c>
    </row>
    <row r="119" spans="28:39">
      <c r="AB119" s="144" t="s">
        <v>386</v>
      </c>
      <c r="AM119" s="144" t="s">
        <v>387</v>
      </c>
    </row>
  </sheetData>
  <mergeCells count="82">
    <mergeCell ref="D6:BB6"/>
    <mergeCell ref="BF6:DP6"/>
    <mergeCell ref="D7:AY7"/>
    <mergeCell ref="BF7:CX7"/>
    <mergeCell ref="DB7:DM7"/>
    <mergeCell ref="D8:L8"/>
    <mergeCell ref="P8:X8"/>
    <mergeCell ref="AB8:AJ8"/>
    <mergeCell ref="AN8:AV8"/>
    <mergeCell ref="BF8:BK8"/>
    <mergeCell ref="BO8:BW8"/>
    <mergeCell ref="CA8:CI8"/>
    <mergeCell ref="CM8:CU8"/>
    <mergeCell ref="DB8:DJ8"/>
    <mergeCell ref="D9:F9"/>
    <mergeCell ref="G9:I9"/>
    <mergeCell ref="J9:L9"/>
    <mergeCell ref="P9:R9"/>
    <mergeCell ref="S9:U9"/>
    <mergeCell ref="V9:X9"/>
    <mergeCell ref="AB9:AD9"/>
    <mergeCell ref="AE9:AG9"/>
    <mergeCell ref="AH9:AJ9"/>
    <mergeCell ref="AN9:AP9"/>
    <mergeCell ref="AQ9:AS9"/>
    <mergeCell ref="AT9:AV9"/>
    <mergeCell ref="BF9:BH9"/>
    <mergeCell ref="BI9:BK9"/>
    <mergeCell ref="BO9:BQ9"/>
    <mergeCell ref="BR9:BT9"/>
    <mergeCell ref="BU9:BW9"/>
    <mergeCell ref="CA9:CC9"/>
    <mergeCell ref="CD9:CF9"/>
    <mergeCell ref="CG9:CI9"/>
    <mergeCell ref="CM9:CO9"/>
    <mergeCell ref="CP9:CR9"/>
    <mergeCell ref="CS9:CU9"/>
    <mergeCell ref="DB9:DD9"/>
    <mergeCell ref="DE9:DG9"/>
    <mergeCell ref="DH9:DJ9"/>
    <mergeCell ref="M8:M10"/>
    <mergeCell ref="N8:N10"/>
    <mergeCell ref="O8:O10"/>
    <mergeCell ref="Y8:Y10"/>
    <mergeCell ref="Z8:Z10"/>
    <mergeCell ref="AA8:AA10"/>
    <mergeCell ref="AK8:AK10"/>
    <mergeCell ref="AL8:AL10"/>
    <mergeCell ref="AM8:AM10"/>
    <mergeCell ref="AW8:AW10"/>
    <mergeCell ref="AX8:AX10"/>
    <mergeCell ref="AY8:AY10"/>
    <mergeCell ref="AZ7:AZ10"/>
    <mergeCell ref="BA7:BA10"/>
    <mergeCell ref="BB7:BB10"/>
    <mergeCell ref="BC6:BC10"/>
    <mergeCell ref="BD6:BD10"/>
    <mergeCell ref="BE6:BE10"/>
    <mergeCell ref="BL8:BL10"/>
    <mergeCell ref="BM8:BM10"/>
    <mergeCell ref="BN8:BN10"/>
    <mergeCell ref="BX8:BX10"/>
    <mergeCell ref="BY8:BY10"/>
    <mergeCell ref="BZ8:BZ10"/>
    <mergeCell ref="CJ8:CJ10"/>
    <mergeCell ref="CK8:CK10"/>
    <mergeCell ref="CL8:CL10"/>
    <mergeCell ref="CV8:CV10"/>
    <mergeCell ref="CW8:CW10"/>
    <mergeCell ref="CX8:CX10"/>
    <mergeCell ref="CY7:CY10"/>
    <mergeCell ref="CZ7:CZ10"/>
    <mergeCell ref="DA7:DA10"/>
    <mergeCell ref="DK8:DK10"/>
    <mergeCell ref="DL8:DL10"/>
    <mergeCell ref="DM8:DM10"/>
    <mergeCell ref="DN7:DN10"/>
    <mergeCell ref="DO7:DO10"/>
    <mergeCell ref="DP7:DP10"/>
    <mergeCell ref="DQ6:DQ10"/>
    <mergeCell ref="DR6:DR10"/>
    <mergeCell ref="DS6:DS10"/>
  </mergeCells>
  <pageMargins left="0.708661417322835" right="0.708661417322835" top="0.748031496062992" bottom="0.748031496062992" header="0.31496062992126" footer="0.31496062992126"/>
  <pageSetup paperSize="8" scale="55" orientation="landscape"/>
  <headerFooter/>
  <rowBreaks count="1" manualBreakCount="1">
    <brk id="66" max="56" man="1"/>
  </rowBreaks>
  <colBreaks count="1" manualBreakCount="1">
    <brk id="27" max="1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</sheetPr>
  <dimension ref="A1:DS119"/>
  <sheetViews>
    <sheetView view="pageBreakPreview" zoomScale="90" zoomScaleNormal="70" workbookViewId="0">
      <pane xSplit="3" ySplit="10" topLeftCell="CK11" activePane="bottomRight" state="frozen"/>
      <selection/>
      <selection pane="topRight"/>
      <selection pane="bottomLeft"/>
      <selection pane="bottomRight" activeCell="DK113" sqref="DK113:DK118"/>
    </sheetView>
  </sheetViews>
  <sheetFormatPr defaultColWidth="8.85714285714286" defaultRowHeight="15.75"/>
  <cols>
    <col min="1" max="1" width="11.7142857142857" style="146" customWidth="1"/>
    <col min="2" max="2" width="12.4285714285714" style="146" customWidth="1"/>
    <col min="3" max="3" width="29.8571428571429" style="147" customWidth="1"/>
    <col min="4" max="4" width="10" style="142" hidden="1" customWidth="1"/>
    <col min="5" max="5" width="7.14285714285714" style="142" hidden="1" customWidth="1"/>
    <col min="6" max="6" width="8.42857142857143" style="142" hidden="1" customWidth="1"/>
    <col min="7" max="7" width="11.1428571428571" style="142" hidden="1" customWidth="1"/>
    <col min="8" max="8" width="5.71428571428571" style="142" hidden="1" customWidth="1"/>
    <col min="9" max="9" width="11.4285714285714" style="142" hidden="1" customWidth="1"/>
    <col min="10" max="10" width="12.7142857142857" style="142" hidden="1" customWidth="1"/>
    <col min="11" max="11" width="11.2857142857143" style="142" hidden="1" customWidth="1"/>
    <col min="12" max="12" width="12.1428571428571" style="142" hidden="1" customWidth="1"/>
    <col min="13" max="13" width="12.2857142857143" style="142" hidden="1" customWidth="1"/>
    <col min="14" max="14" width="10.7142857142857" style="142" hidden="1" customWidth="1"/>
    <col min="15" max="15" width="11.7142857142857" style="142" hidden="1" customWidth="1"/>
    <col min="16" max="16" width="12.5714285714286" style="142" hidden="1" customWidth="1"/>
    <col min="17" max="17" width="11.2857142857143" style="142" hidden="1" customWidth="1"/>
    <col min="18" max="18" width="11.8571428571429" style="142" hidden="1" customWidth="1"/>
    <col min="19" max="19" width="10.4285714285714" style="142" hidden="1" customWidth="1"/>
    <col min="20" max="20" width="6.28571428571429" style="142" hidden="1" customWidth="1"/>
    <col min="21" max="21" width="10.5714285714286" style="142" hidden="1" customWidth="1"/>
    <col min="22" max="23" width="11.4285714285714" style="142" hidden="1" customWidth="1"/>
    <col min="24" max="24" width="11.8571428571429" style="142" hidden="1" customWidth="1"/>
    <col min="25" max="25" width="12.1428571428571" style="142" hidden="1" customWidth="1"/>
    <col min="26" max="26" width="12.7142857142857" style="142" hidden="1" customWidth="1"/>
    <col min="27" max="27" width="12.2857142857143" style="142" hidden="1" customWidth="1"/>
    <col min="28" max="28" width="11.1428571428571" style="142" hidden="1" customWidth="1"/>
    <col min="29" max="29" width="7.42857142857143" style="142" hidden="1" customWidth="1"/>
    <col min="30" max="30" width="11.4285714285714" style="142" hidden="1" customWidth="1"/>
    <col min="31" max="31" width="10.7142857142857" style="142" hidden="1" customWidth="1"/>
    <col min="32" max="32" width="6.71428571428571" style="142" hidden="1" customWidth="1"/>
    <col min="33" max="33" width="9.28571428571429" style="142" hidden="1" customWidth="1"/>
    <col min="34" max="34" width="10.2857142857143" style="142" hidden="1" customWidth="1"/>
    <col min="35" max="35" width="10.8571428571429" style="142" hidden="1" customWidth="1"/>
    <col min="36" max="36" width="11.4285714285714" style="142" hidden="1" customWidth="1"/>
    <col min="37" max="37" width="11.7142857142857" style="142" hidden="1" customWidth="1"/>
    <col min="38" max="38" width="11.8571428571429" style="142" hidden="1" customWidth="1"/>
    <col min="39" max="39" width="11.7142857142857" style="142" hidden="1" customWidth="1"/>
    <col min="40" max="40" width="9.85714285714286" style="142" hidden="1" customWidth="1"/>
    <col min="41" max="41" width="7" style="142" hidden="1" customWidth="1"/>
    <col min="42" max="42" width="10.4285714285714" style="142" hidden="1" customWidth="1"/>
    <col min="43" max="43" width="8.57142857142857" style="142" hidden="1" customWidth="1"/>
    <col min="44" max="44" width="5.85714285714286" style="142" hidden="1" customWidth="1"/>
    <col min="45" max="45" width="10.4285714285714" style="142" hidden="1" customWidth="1"/>
    <col min="46" max="46" width="9" style="142" hidden="1" customWidth="1"/>
    <col min="47" max="47" width="5.28571428571429" style="142" hidden="1" customWidth="1"/>
    <col min="48" max="48" width="8.85714285714286" style="142" hidden="1" customWidth="1"/>
    <col min="49" max="49" width="10.8571428571429" style="142" hidden="1" customWidth="1"/>
    <col min="50" max="50" width="7" style="142" hidden="1" customWidth="1"/>
    <col min="51" max="51" width="9.71428571428571" style="142" hidden="1" customWidth="1"/>
    <col min="52" max="52" width="11.5714285714286" style="142" hidden="1" customWidth="1"/>
    <col min="53" max="53" width="11" style="142" hidden="1" customWidth="1"/>
    <col min="54" max="54" width="12.2857142857143" style="142" hidden="1" customWidth="1"/>
    <col min="55" max="55" width="12.1428571428571" style="142" hidden="1" customWidth="1"/>
    <col min="56" max="56" width="11.7142857142857" style="142" hidden="1" customWidth="1"/>
    <col min="57" max="57" width="13.2857142857143" style="142" hidden="1" customWidth="1"/>
    <col min="58" max="58" width="9.14285714285714" style="142" customWidth="1"/>
    <col min="59" max="59" width="4.71428571428571" style="142" customWidth="1"/>
    <col min="60" max="60" width="9.28571428571429" style="142" customWidth="1"/>
    <col min="61" max="61" width="9" style="142" customWidth="1"/>
    <col min="62" max="62" width="4" style="142" customWidth="1"/>
    <col min="63" max="63" width="9" style="142" customWidth="1"/>
    <col min="64" max="64" width="9.42857142857143" style="142" customWidth="1"/>
    <col min="65" max="65" width="6.14285714285714" style="142" customWidth="1"/>
    <col min="66" max="66" width="9.14285714285714" style="142" customWidth="1"/>
    <col min="67" max="67" width="10.2857142857143" style="142" customWidth="1"/>
    <col min="68" max="68" width="5.14285714285714" style="142" customWidth="1"/>
    <col min="69" max="69" width="9.85714285714286" style="142" customWidth="1"/>
    <col min="70" max="70" width="9.28571428571429" style="142" customWidth="1"/>
    <col min="71" max="71" width="5.28571428571429" style="142" customWidth="1"/>
    <col min="72" max="72" width="9" style="142" customWidth="1"/>
    <col min="73" max="73" width="9.85714285714286" style="142" customWidth="1"/>
    <col min="74" max="74" width="5" style="142" customWidth="1"/>
    <col min="75" max="75" width="9.71428571428571" style="142" customWidth="1"/>
    <col min="76" max="76" width="9.85714285714286" style="142" customWidth="1"/>
    <col min="77" max="77" width="7" style="142" customWidth="1"/>
    <col min="78" max="78" width="10" style="142" customWidth="1"/>
    <col min="79" max="79" width="11.1428571428571" style="142" customWidth="1"/>
    <col min="80" max="80" width="4.28571428571429" style="142" customWidth="1"/>
    <col min="81" max="82" width="11.2857142857143" style="142" customWidth="1"/>
    <col min="83" max="83" width="9.28571428571429" style="142" customWidth="1"/>
    <col min="84" max="84" width="11.2857142857143" style="142" customWidth="1"/>
    <col min="85" max="85" width="9.28571428571429" style="142" customWidth="1"/>
    <col min="86" max="87" width="10.2857142857143" style="142" customWidth="1"/>
    <col min="88" max="88" width="10.8571428571429" style="142" customWidth="1"/>
    <col min="89" max="89" width="10.4285714285714" style="142" customWidth="1"/>
    <col min="90" max="90" width="11.1428571428571" style="142" customWidth="1"/>
    <col min="91" max="91" width="9.28571428571429" style="142" customWidth="1"/>
    <col min="92" max="96" width="10.2857142857143" style="142" customWidth="1"/>
    <col min="97" max="99" width="9.28571428571429" style="142" customWidth="1"/>
    <col min="100" max="100" width="10.2857142857143" style="142" customWidth="1"/>
    <col min="101" max="101" width="10.7142857142857" style="142" customWidth="1"/>
    <col min="102" max="102" width="11" style="142" customWidth="1"/>
    <col min="103" max="103" width="11.5714285714286" style="142" customWidth="1"/>
    <col min="104" max="105" width="10.7142857142857" style="142" customWidth="1"/>
    <col min="106" max="106" width="6.71428571428571" style="142" customWidth="1"/>
    <col min="107" max="108" width="9.28571428571429" style="142" customWidth="1"/>
    <col min="109" max="109" width="7.28571428571429" style="146" customWidth="1"/>
    <col min="110" max="110" width="8.85714285714286" style="146" customWidth="1"/>
    <col min="111" max="111" width="9.28571428571429" style="146" customWidth="1"/>
    <col min="112" max="112" width="7.14285714285714" style="146" customWidth="1"/>
    <col min="113" max="113" width="9.28571428571429" style="146" customWidth="1"/>
    <col min="114" max="114" width="8.85714285714286" style="146" customWidth="1"/>
    <col min="115" max="115" width="6.85714285714286" style="146" customWidth="1"/>
    <col min="116" max="117" width="8.85714285714286" style="146" customWidth="1"/>
    <col min="118" max="118" width="7.14285714285714" style="146" customWidth="1"/>
    <col min="119" max="120" width="8.85714285714286" style="146" customWidth="1"/>
    <col min="121" max="122" width="10.8571428571429" style="146" customWidth="1"/>
    <col min="123" max="123" width="12.7142857142857" style="146" customWidth="1"/>
    <col min="124" max="16384" width="8.85714285714286" style="146"/>
  </cols>
  <sheetData>
    <row r="1" spans="1:1">
      <c r="A1" s="123" t="s">
        <v>292</v>
      </c>
    </row>
    <row r="2" spans="1:1">
      <c r="A2" s="123" t="s">
        <v>293</v>
      </c>
    </row>
    <row r="3" spans="1:1">
      <c r="A3" s="140" t="s">
        <v>388</v>
      </c>
    </row>
    <row r="5" spans="1:123">
      <c r="A5" s="132"/>
      <c r="B5" s="132"/>
      <c r="C5" s="148"/>
      <c r="D5" s="132" t="s">
        <v>295</v>
      </c>
      <c r="E5" s="132" t="s">
        <v>296</v>
      </c>
      <c r="F5" s="132" t="s">
        <v>6</v>
      </c>
      <c r="G5" s="132" t="s">
        <v>247</v>
      </c>
      <c r="H5" s="132" t="s">
        <v>7</v>
      </c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2"/>
      <c r="BD5" s="152"/>
      <c r="BE5" s="152"/>
      <c r="BF5" s="152"/>
      <c r="BG5" s="152"/>
      <c r="BH5" s="152"/>
      <c r="BI5" s="152"/>
      <c r="BJ5" s="152"/>
      <c r="BK5" s="152"/>
      <c r="BL5" s="152"/>
      <c r="BM5" s="152"/>
      <c r="BN5" s="152"/>
      <c r="BO5" s="152"/>
      <c r="BP5" s="152"/>
      <c r="BQ5" s="152"/>
      <c r="BR5" s="152"/>
      <c r="BS5" s="152"/>
      <c r="BT5" s="152"/>
      <c r="BU5" s="152"/>
      <c r="BV5" s="152"/>
      <c r="BW5" s="152"/>
      <c r="BX5" s="152"/>
      <c r="BY5" s="152"/>
      <c r="BZ5" s="152"/>
      <c r="CA5" s="152"/>
      <c r="CB5" s="152"/>
      <c r="CC5" s="152"/>
      <c r="CD5" s="152"/>
      <c r="CE5" s="152"/>
      <c r="CF5" s="152"/>
      <c r="CG5" s="152"/>
      <c r="CH5" s="152"/>
      <c r="CI5" s="152"/>
      <c r="CJ5" s="152"/>
      <c r="CK5" s="152"/>
      <c r="CL5" s="152"/>
      <c r="CM5" s="152"/>
      <c r="CN5" s="152"/>
      <c r="CO5" s="152"/>
      <c r="CP5" s="152"/>
      <c r="CQ5" s="152"/>
      <c r="CR5" s="152"/>
      <c r="CS5" s="152"/>
      <c r="CT5" s="152"/>
      <c r="CU5" s="152"/>
      <c r="CV5" s="152"/>
      <c r="CW5" s="152"/>
      <c r="CX5" s="152"/>
      <c r="CY5" s="152"/>
      <c r="CZ5" s="152"/>
      <c r="DA5" s="152"/>
      <c r="DB5" s="152"/>
      <c r="DC5" s="152"/>
      <c r="DD5" s="152"/>
      <c r="DE5" s="152"/>
      <c r="DF5" s="152"/>
      <c r="DG5" s="152"/>
      <c r="DH5" s="152"/>
      <c r="DI5" s="152"/>
      <c r="DJ5" s="152"/>
      <c r="DK5" s="152"/>
      <c r="DL5" s="152"/>
      <c r="DM5" s="152"/>
      <c r="DN5" s="152"/>
      <c r="DO5" s="152"/>
      <c r="DP5" s="152"/>
      <c r="DQ5" s="152"/>
      <c r="DR5" s="152"/>
      <c r="DS5" s="152"/>
    </row>
    <row r="6" s="119" customFormat="1" spans="1:123">
      <c r="A6" s="132"/>
      <c r="B6" s="132"/>
      <c r="C6" s="148"/>
      <c r="D6" s="149" t="s">
        <v>297</v>
      </c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0"/>
      <c r="AO6" s="150"/>
      <c r="AP6" s="150"/>
      <c r="AQ6" s="150"/>
      <c r="AR6" s="150"/>
      <c r="AS6" s="150"/>
      <c r="AT6" s="150"/>
      <c r="AU6" s="150"/>
      <c r="AV6" s="150"/>
      <c r="AW6" s="150"/>
      <c r="AX6" s="150"/>
      <c r="AY6" s="150"/>
      <c r="AZ6" s="150"/>
      <c r="BA6" s="150"/>
      <c r="BB6" s="150"/>
      <c r="BC6" s="149" t="s">
        <v>298</v>
      </c>
      <c r="BD6" s="149" t="s">
        <v>299</v>
      </c>
      <c r="BE6" s="149" t="s">
        <v>300</v>
      </c>
      <c r="BF6" s="149" t="s">
        <v>301</v>
      </c>
      <c r="BG6" s="150"/>
      <c r="BH6" s="150"/>
      <c r="BI6" s="150"/>
      <c r="BJ6" s="150"/>
      <c r="BK6" s="150"/>
      <c r="BL6" s="150"/>
      <c r="BM6" s="150"/>
      <c r="BN6" s="150"/>
      <c r="BO6" s="150"/>
      <c r="BP6" s="150"/>
      <c r="BQ6" s="150"/>
      <c r="BR6" s="150"/>
      <c r="BS6" s="150"/>
      <c r="BT6" s="150"/>
      <c r="BU6" s="150"/>
      <c r="BV6" s="150"/>
      <c r="BW6" s="150"/>
      <c r="BX6" s="150"/>
      <c r="BY6" s="150"/>
      <c r="BZ6" s="150"/>
      <c r="CA6" s="150"/>
      <c r="CB6" s="150"/>
      <c r="CC6" s="150"/>
      <c r="CD6" s="150"/>
      <c r="CE6" s="150"/>
      <c r="CF6" s="150"/>
      <c r="CG6" s="150"/>
      <c r="CH6" s="150"/>
      <c r="CI6" s="150"/>
      <c r="CJ6" s="150"/>
      <c r="CK6" s="150"/>
      <c r="CL6" s="150"/>
      <c r="CM6" s="150"/>
      <c r="CN6" s="150"/>
      <c r="CO6" s="150"/>
      <c r="CP6" s="150"/>
      <c r="CQ6" s="150"/>
      <c r="CR6" s="150"/>
      <c r="CS6" s="150"/>
      <c r="CT6" s="150"/>
      <c r="CU6" s="150"/>
      <c r="CV6" s="150"/>
      <c r="CW6" s="150"/>
      <c r="CX6" s="150"/>
      <c r="CY6" s="150"/>
      <c r="CZ6" s="150"/>
      <c r="DA6" s="150"/>
      <c r="DB6" s="150"/>
      <c r="DC6" s="150"/>
      <c r="DD6" s="150"/>
      <c r="DE6" s="150"/>
      <c r="DF6" s="150"/>
      <c r="DG6" s="150"/>
      <c r="DH6" s="150"/>
      <c r="DI6" s="150"/>
      <c r="DJ6" s="150"/>
      <c r="DK6" s="150"/>
      <c r="DL6" s="150"/>
      <c r="DM6" s="150"/>
      <c r="DN6" s="150"/>
      <c r="DO6" s="150"/>
      <c r="DP6" s="150"/>
      <c r="DQ6" s="131" t="s">
        <v>302</v>
      </c>
      <c r="DR6" s="131" t="s">
        <v>303</v>
      </c>
      <c r="DS6" s="131" t="s">
        <v>304</v>
      </c>
    </row>
    <row r="7" s="119" customFormat="1" hidden="1" spans="1:123">
      <c r="A7" s="132"/>
      <c r="B7" s="132"/>
      <c r="C7" s="148"/>
      <c r="D7" s="149">
        <v>2025</v>
      </c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49" t="s">
        <v>305</v>
      </c>
      <c r="BA7" s="149" t="s">
        <v>306</v>
      </c>
      <c r="BB7" s="149" t="s">
        <v>307</v>
      </c>
      <c r="BC7" s="150"/>
      <c r="BD7" s="150"/>
      <c r="BE7" s="150"/>
      <c r="BF7" s="149">
        <v>2025</v>
      </c>
      <c r="BG7" s="150"/>
      <c r="BH7" s="150"/>
      <c r="BI7" s="150"/>
      <c r="BJ7" s="150"/>
      <c r="BK7" s="150"/>
      <c r="BL7" s="150"/>
      <c r="BM7" s="150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  <c r="CJ7" s="150"/>
      <c r="CK7" s="150"/>
      <c r="CL7" s="150"/>
      <c r="CM7" s="150"/>
      <c r="CN7" s="150"/>
      <c r="CO7" s="150"/>
      <c r="CP7" s="150"/>
      <c r="CQ7" s="150"/>
      <c r="CR7" s="150"/>
      <c r="CS7" s="150"/>
      <c r="CT7" s="150"/>
      <c r="CU7" s="150"/>
      <c r="CV7" s="150"/>
      <c r="CW7" s="150"/>
      <c r="CX7" s="150"/>
      <c r="CY7" s="149" t="s">
        <v>305</v>
      </c>
      <c r="CZ7" s="149" t="s">
        <v>306</v>
      </c>
      <c r="DA7" s="149" t="s">
        <v>307</v>
      </c>
      <c r="DB7" s="149">
        <v>2026</v>
      </c>
      <c r="DC7" s="150"/>
      <c r="DD7" s="150"/>
      <c r="DE7" s="150"/>
      <c r="DF7" s="150"/>
      <c r="DG7" s="150"/>
      <c r="DH7" s="150"/>
      <c r="DI7" s="150"/>
      <c r="DJ7" s="150"/>
      <c r="DK7" s="150"/>
      <c r="DL7" s="150"/>
      <c r="DM7" s="150"/>
      <c r="DN7" s="149" t="s">
        <v>308</v>
      </c>
      <c r="DO7" s="149" t="s">
        <v>309</v>
      </c>
      <c r="DP7" s="149" t="s">
        <v>310</v>
      </c>
      <c r="DQ7" s="132"/>
      <c r="DR7" s="132"/>
      <c r="DS7" s="132"/>
    </row>
    <row r="8" s="119" customFormat="1" spans="1:123">
      <c r="A8" s="132"/>
      <c r="B8" s="132"/>
      <c r="C8" s="148"/>
      <c r="D8" s="149" t="s">
        <v>8</v>
      </c>
      <c r="E8" s="150"/>
      <c r="F8" s="150"/>
      <c r="G8" s="150"/>
      <c r="H8" s="150"/>
      <c r="I8" s="150"/>
      <c r="J8" s="150"/>
      <c r="K8" s="150"/>
      <c r="L8" s="150"/>
      <c r="M8" s="149" t="s">
        <v>311</v>
      </c>
      <c r="N8" s="149" t="s">
        <v>312</v>
      </c>
      <c r="O8" s="149" t="s">
        <v>313</v>
      </c>
      <c r="P8" s="149" t="s">
        <v>9</v>
      </c>
      <c r="Q8" s="150"/>
      <c r="R8" s="150"/>
      <c r="S8" s="150"/>
      <c r="T8" s="150"/>
      <c r="U8" s="150"/>
      <c r="V8" s="150"/>
      <c r="W8" s="150"/>
      <c r="X8" s="150"/>
      <c r="Y8" s="149" t="s">
        <v>314</v>
      </c>
      <c r="Z8" s="149" t="s">
        <v>315</v>
      </c>
      <c r="AA8" s="149" t="s">
        <v>316</v>
      </c>
      <c r="AB8" s="149" t="s">
        <v>10</v>
      </c>
      <c r="AC8" s="150"/>
      <c r="AD8" s="150"/>
      <c r="AE8" s="150"/>
      <c r="AF8" s="150"/>
      <c r="AG8" s="150"/>
      <c r="AH8" s="150"/>
      <c r="AI8" s="150"/>
      <c r="AJ8" s="150"/>
      <c r="AK8" s="149" t="s">
        <v>317</v>
      </c>
      <c r="AL8" s="149" t="s">
        <v>318</v>
      </c>
      <c r="AM8" s="149" t="s">
        <v>319</v>
      </c>
      <c r="AN8" s="149" t="s">
        <v>11</v>
      </c>
      <c r="AO8" s="150"/>
      <c r="AP8" s="150"/>
      <c r="AQ8" s="150"/>
      <c r="AR8" s="150"/>
      <c r="AS8" s="150"/>
      <c r="AT8" s="150"/>
      <c r="AU8" s="150"/>
      <c r="AV8" s="150"/>
      <c r="AW8" s="149" t="s">
        <v>320</v>
      </c>
      <c r="AX8" s="149" t="s">
        <v>321</v>
      </c>
      <c r="AY8" s="149" t="s">
        <v>322</v>
      </c>
      <c r="AZ8" s="150"/>
      <c r="BA8" s="150"/>
      <c r="BB8" s="150"/>
      <c r="BC8" s="150"/>
      <c r="BD8" s="150"/>
      <c r="BE8" s="150"/>
      <c r="BF8" s="149" t="s">
        <v>8</v>
      </c>
      <c r="BG8" s="150"/>
      <c r="BH8" s="150"/>
      <c r="BI8" s="150"/>
      <c r="BJ8" s="150"/>
      <c r="BK8" s="150"/>
      <c r="BL8" s="149" t="s">
        <v>311</v>
      </c>
      <c r="BM8" s="149" t="s">
        <v>312</v>
      </c>
      <c r="BN8" s="149" t="s">
        <v>313</v>
      </c>
      <c r="BO8" s="149" t="s">
        <v>9</v>
      </c>
      <c r="BP8" s="150"/>
      <c r="BQ8" s="150"/>
      <c r="BR8" s="150"/>
      <c r="BS8" s="150"/>
      <c r="BT8" s="150"/>
      <c r="BU8" s="150"/>
      <c r="BV8" s="150"/>
      <c r="BW8" s="150"/>
      <c r="BX8" s="149" t="s">
        <v>314</v>
      </c>
      <c r="BY8" s="149" t="s">
        <v>315</v>
      </c>
      <c r="BZ8" s="149" t="s">
        <v>316</v>
      </c>
      <c r="CA8" s="149" t="s">
        <v>10</v>
      </c>
      <c r="CB8" s="150"/>
      <c r="CC8" s="150"/>
      <c r="CD8" s="150"/>
      <c r="CE8" s="150"/>
      <c r="CF8" s="150"/>
      <c r="CG8" s="150"/>
      <c r="CH8" s="150"/>
      <c r="CI8" s="150"/>
      <c r="CJ8" s="149" t="s">
        <v>317</v>
      </c>
      <c r="CK8" s="149" t="s">
        <v>318</v>
      </c>
      <c r="CL8" s="149" t="s">
        <v>319</v>
      </c>
      <c r="CM8" s="149" t="s">
        <v>11</v>
      </c>
      <c r="CN8" s="150"/>
      <c r="CO8" s="150"/>
      <c r="CP8" s="150"/>
      <c r="CQ8" s="150"/>
      <c r="CR8" s="150"/>
      <c r="CS8" s="150"/>
      <c r="CT8" s="150"/>
      <c r="CU8" s="150"/>
      <c r="CV8" s="149" t="s">
        <v>320</v>
      </c>
      <c r="CW8" s="149" t="s">
        <v>321</v>
      </c>
      <c r="CX8" s="149" t="s">
        <v>322</v>
      </c>
      <c r="CY8" s="150"/>
      <c r="CZ8" s="150"/>
      <c r="DA8" s="150"/>
      <c r="DB8" s="149" t="s">
        <v>323</v>
      </c>
      <c r="DC8" s="150"/>
      <c r="DD8" s="150"/>
      <c r="DE8" s="150"/>
      <c r="DF8" s="150"/>
      <c r="DG8" s="150"/>
      <c r="DH8" s="150"/>
      <c r="DI8" s="150"/>
      <c r="DJ8" s="150"/>
      <c r="DK8" s="149" t="s">
        <v>324</v>
      </c>
      <c r="DL8" s="149" t="s">
        <v>325</v>
      </c>
      <c r="DM8" s="149" t="s">
        <v>326</v>
      </c>
      <c r="DN8" s="150"/>
      <c r="DO8" s="150"/>
      <c r="DP8" s="150"/>
      <c r="DQ8" s="132"/>
      <c r="DR8" s="132"/>
      <c r="DS8" s="132"/>
    </row>
    <row r="9" s="119" customFormat="1" spans="1:123">
      <c r="A9" s="132"/>
      <c r="B9" s="132"/>
      <c r="C9" s="148"/>
      <c r="D9" s="149" t="s">
        <v>327</v>
      </c>
      <c r="E9" s="150"/>
      <c r="F9" s="150"/>
      <c r="G9" s="149" t="s">
        <v>328</v>
      </c>
      <c r="H9" s="150"/>
      <c r="I9" s="150"/>
      <c r="J9" s="149" t="s">
        <v>329</v>
      </c>
      <c r="K9" s="150"/>
      <c r="L9" s="150"/>
      <c r="M9" s="150"/>
      <c r="N9" s="150"/>
      <c r="O9" s="150"/>
      <c r="P9" s="149" t="s">
        <v>330</v>
      </c>
      <c r="Q9" s="150"/>
      <c r="R9" s="150"/>
      <c r="S9" s="149" t="s">
        <v>331</v>
      </c>
      <c r="T9" s="150"/>
      <c r="U9" s="150"/>
      <c r="V9" s="149" t="s">
        <v>332</v>
      </c>
      <c r="W9" s="150"/>
      <c r="X9" s="150"/>
      <c r="Y9" s="150"/>
      <c r="Z9" s="150"/>
      <c r="AA9" s="150"/>
      <c r="AB9" s="149" t="s">
        <v>333</v>
      </c>
      <c r="AC9" s="150"/>
      <c r="AD9" s="150"/>
      <c r="AE9" s="149" t="s">
        <v>334</v>
      </c>
      <c r="AF9" s="150"/>
      <c r="AG9" s="150"/>
      <c r="AH9" s="149" t="s">
        <v>335</v>
      </c>
      <c r="AI9" s="150"/>
      <c r="AJ9" s="150"/>
      <c r="AK9" s="150"/>
      <c r="AL9" s="150"/>
      <c r="AM9" s="150"/>
      <c r="AN9" s="149" t="s">
        <v>336</v>
      </c>
      <c r="AO9" s="150"/>
      <c r="AP9" s="150"/>
      <c r="AQ9" s="149" t="s">
        <v>337</v>
      </c>
      <c r="AR9" s="150"/>
      <c r="AS9" s="150"/>
      <c r="AT9" s="149" t="s">
        <v>338</v>
      </c>
      <c r="AU9" s="150"/>
      <c r="AV9" s="150"/>
      <c r="AW9" s="150"/>
      <c r="AX9" s="150"/>
      <c r="AY9" s="150"/>
      <c r="AZ9" s="150"/>
      <c r="BA9" s="150"/>
      <c r="BB9" s="150"/>
      <c r="BC9" s="150"/>
      <c r="BD9" s="150"/>
      <c r="BE9" s="150"/>
      <c r="BF9" s="131" t="s">
        <v>328</v>
      </c>
      <c r="BG9" s="132"/>
      <c r="BH9" s="132"/>
      <c r="BI9" s="131" t="s">
        <v>329</v>
      </c>
      <c r="BJ9" s="132"/>
      <c r="BK9" s="132"/>
      <c r="BL9" s="150"/>
      <c r="BM9" s="150"/>
      <c r="BN9" s="150"/>
      <c r="BO9" s="149" t="s">
        <v>330</v>
      </c>
      <c r="BP9" s="150"/>
      <c r="BQ9" s="150"/>
      <c r="BR9" s="131" t="s">
        <v>331</v>
      </c>
      <c r="BS9" s="132"/>
      <c r="BT9" s="132"/>
      <c r="BU9" s="131" t="s">
        <v>332</v>
      </c>
      <c r="BV9" s="132"/>
      <c r="BW9" s="132"/>
      <c r="BX9" s="150"/>
      <c r="BY9" s="150"/>
      <c r="BZ9" s="150"/>
      <c r="CA9" s="149" t="s">
        <v>333</v>
      </c>
      <c r="CB9" s="150"/>
      <c r="CC9" s="150"/>
      <c r="CD9" s="131" t="s">
        <v>334</v>
      </c>
      <c r="CE9" s="132"/>
      <c r="CF9" s="132"/>
      <c r="CG9" s="131" t="s">
        <v>335</v>
      </c>
      <c r="CH9" s="132"/>
      <c r="CI9" s="132"/>
      <c r="CJ9" s="150"/>
      <c r="CK9" s="150"/>
      <c r="CL9" s="150"/>
      <c r="CM9" s="131" t="s">
        <v>336</v>
      </c>
      <c r="CN9" s="132"/>
      <c r="CO9" s="132"/>
      <c r="CP9" s="149" t="s">
        <v>337</v>
      </c>
      <c r="CQ9" s="150"/>
      <c r="CR9" s="150"/>
      <c r="CS9" s="131" t="s">
        <v>338</v>
      </c>
      <c r="CT9" s="132"/>
      <c r="CU9" s="132"/>
      <c r="CV9" s="150"/>
      <c r="CW9" s="150"/>
      <c r="CX9" s="150"/>
      <c r="CY9" s="150"/>
      <c r="CZ9" s="150"/>
      <c r="DA9" s="150"/>
      <c r="DB9" s="131" t="s">
        <v>339</v>
      </c>
      <c r="DC9" s="132"/>
      <c r="DD9" s="132"/>
      <c r="DE9" s="149" t="s">
        <v>340</v>
      </c>
      <c r="DF9" s="150"/>
      <c r="DG9" s="150"/>
      <c r="DH9" s="131" t="s">
        <v>341</v>
      </c>
      <c r="DI9" s="132"/>
      <c r="DJ9" s="132"/>
      <c r="DK9" s="150"/>
      <c r="DL9" s="150"/>
      <c r="DM9" s="150"/>
      <c r="DN9" s="150"/>
      <c r="DO9" s="150"/>
      <c r="DP9" s="150"/>
      <c r="DQ9" s="132"/>
      <c r="DR9" s="132"/>
      <c r="DS9" s="132"/>
    </row>
    <row r="10" s="119" customFormat="1" ht="47.25" spans="1:123">
      <c r="A10" s="131" t="s">
        <v>12</v>
      </c>
      <c r="B10" s="132" t="s">
        <v>342</v>
      </c>
      <c r="C10" s="148" t="s">
        <v>14</v>
      </c>
      <c r="D10" s="149" t="s">
        <v>343</v>
      </c>
      <c r="E10" s="149" t="s">
        <v>344</v>
      </c>
      <c r="F10" s="149" t="s">
        <v>345</v>
      </c>
      <c r="G10" s="149" t="s">
        <v>343</v>
      </c>
      <c r="H10" s="149" t="s">
        <v>344</v>
      </c>
      <c r="I10" s="149" t="s">
        <v>345</v>
      </c>
      <c r="J10" s="149" t="s">
        <v>343</v>
      </c>
      <c r="K10" s="149" t="s">
        <v>344</v>
      </c>
      <c r="L10" s="149" t="s">
        <v>345</v>
      </c>
      <c r="M10" s="150"/>
      <c r="N10" s="150"/>
      <c r="O10" s="150"/>
      <c r="P10" s="149" t="s">
        <v>343</v>
      </c>
      <c r="Q10" s="149" t="s">
        <v>344</v>
      </c>
      <c r="R10" s="149" t="s">
        <v>345</v>
      </c>
      <c r="S10" s="149" t="s">
        <v>343</v>
      </c>
      <c r="T10" s="149" t="s">
        <v>344</v>
      </c>
      <c r="U10" s="149" t="s">
        <v>345</v>
      </c>
      <c r="V10" s="149" t="s">
        <v>343</v>
      </c>
      <c r="W10" s="149" t="s">
        <v>344</v>
      </c>
      <c r="X10" s="149" t="s">
        <v>345</v>
      </c>
      <c r="Y10" s="150"/>
      <c r="Z10" s="150"/>
      <c r="AA10" s="150"/>
      <c r="AB10" s="149" t="s">
        <v>343</v>
      </c>
      <c r="AC10" s="149" t="s">
        <v>344</v>
      </c>
      <c r="AD10" s="149" t="s">
        <v>345</v>
      </c>
      <c r="AE10" s="149" t="s">
        <v>343</v>
      </c>
      <c r="AF10" s="149" t="s">
        <v>344</v>
      </c>
      <c r="AG10" s="149" t="s">
        <v>345</v>
      </c>
      <c r="AH10" s="149" t="s">
        <v>343</v>
      </c>
      <c r="AI10" s="149" t="s">
        <v>344</v>
      </c>
      <c r="AJ10" s="149" t="s">
        <v>345</v>
      </c>
      <c r="AK10" s="150"/>
      <c r="AL10" s="150"/>
      <c r="AM10" s="150"/>
      <c r="AN10" s="149" t="s">
        <v>343</v>
      </c>
      <c r="AO10" s="149" t="s">
        <v>344</v>
      </c>
      <c r="AP10" s="149" t="s">
        <v>345</v>
      </c>
      <c r="AQ10" s="149" t="s">
        <v>343</v>
      </c>
      <c r="AR10" s="149" t="s">
        <v>344</v>
      </c>
      <c r="AS10" s="149" t="s">
        <v>345</v>
      </c>
      <c r="AT10" s="149" t="s">
        <v>343</v>
      </c>
      <c r="AU10" s="149" t="s">
        <v>344</v>
      </c>
      <c r="AV10" s="149" t="s">
        <v>345</v>
      </c>
      <c r="AW10" s="150"/>
      <c r="AX10" s="150"/>
      <c r="AY10" s="150"/>
      <c r="AZ10" s="150"/>
      <c r="BA10" s="150"/>
      <c r="BB10" s="150"/>
      <c r="BC10" s="150"/>
      <c r="BD10" s="150"/>
      <c r="BE10" s="150"/>
      <c r="BF10" s="131" t="s">
        <v>343</v>
      </c>
      <c r="BG10" s="131" t="s">
        <v>344</v>
      </c>
      <c r="BH10" s="131" t="s">
        <v>345</v>
      </c>
      <c r="BI10" s="131" t="s">
        <v>343</v>
      </c>
      <c r="BJ10" s="131" t="s">
        <v>344</v>
      </c>
      <c r="BK10" s="131" t="s">
        <v>345</v>
      </c>
      <c r="BL10" s="150"/>
      <c r="BM10" s="150"/>
      <c r="BN10" s="150"/>
      <c r="BO10" s="149" t="s">
        <v>343</v>
      </c>
      <c r="BP10" s="149" t="s">
        <v>344</v>
      </c>
      <c r="BQ10" s="149" t="s">
        <v>345</v>
      </c>
      <c r="BR10" s="131" t="s">
        <v>343</v>
      </c>
      <c r="BS10" s="131" t="s">
        <v>344</v>
      </c>
      <c r="BT10" s="131" t="s">
        <v>345</v>
      </c>
      <c r="BU10" s="131" t="s">
        <v>343</v>
      </c>
      <c r="BV10" s="131" t="s">
        <v>344</v>
      </c>
      <c r="BW10" s="131" t="s">
        <v>345</v>
      </c>
      <c r="BX10" s="150"/>
      <c r="BY10" s="150"/>
      <c r="BZ10" s="150"/>
      <c r="CA10" s="149" t="s">
        <v>343</v>
      </c>
      <c r="CB10" s="149" t="s">
        <v>344</v>
      </c>
      <c r="CC10" s="149" t="s">
        <v>345</v>
      </c>
      <c r="CD10" s="131" t="s">
        <v>343</v>
      </c>
      <c r="CE10" s="131" t="s">
        <v>344</v>
      </c>
      <c r="CF10" s="131" t="s">
        <v>345</v>
      </c>
      <c r="CG10" s="131" t="s">
        <v>343</v>
      </c>
      <c r="CH10" s="131" t="s">
        <v>344</v>
      </c>
      <c r="CI10" s="131" t="s">
        <v>345</v>
      </c>
      <c r="CJ10" s="150"/>
      <c r="CK10" s="150"/>
      <c r="CL10" s="150"/>
      <c r="CM10" s="131" t="s">
        <v>343</v>
      </c>
      <c r="CN10" s="131" t="s">
        <v>344</v>
      </c>
      <c r="CO10" s="131" t="s">
        <v>345</v>
      </c>
      <c r="CP10" s="149" t="s">
        <v>343</v>
      </c>
      <c r="CQ10" s="149" t="s">
        <v>344</v>
      </c>
      <c r="CR10" s="149" t="s">
        <v>345</v>
      </c>
      <c r="CS10" s="131" t="s">
        <v>343</v>
      </c>
      <c r="CT10" s="131" t="s">
        <v>344</v>
      </c>
      <c r="CU10" s="131" t="s">
        <v>345</v>
      </c>
      <c r="CV10" s="150"/>
      <c r="CW10" s="150"/>
      <c r="CX10" s="150"/>
      <c r="CY10" s="150"/>
      <c r="CZ10" s="150"/>
      <c r="DA10" s="150"/>
      <c r="DB10" s="131" t="s">
        <v>343</v>
      </c>
      <c r="DC10" s="131" t="s">
        <v>344</v>
      </c>
      <c r="DD10" s="131" t="s">
        <v>345</v>
      </c>
      <c r="DE10" s="149" t="s">
        <v>343</v>
      </c>
      <c r="DF10" s="149" t="s">
        <v>344</v>
      </c>
      <c r="DG10" s="149" t="s">
        <v>345</v>
      </c>
      <c r="DH10" s="131" t="s">
        <v>343</v>
      </c>
      <c r="DI10" s="131" t="s">
        <v>344</v>
      </c>
      <c r="DJ10" s="131" t="s">
        <v>345</v>
      </c>
      <c r="DK10" s="150"/>
      <c r="DL10" s="150"/>
      <c r="DM10" s="150"/>
      <c r="DN10" s="150"/>
      <c r="DO10" s="150"/>
      <c r="DP10" s="150"/>
      <c r="DQ10" s="132"/>
      <c r="DR10" s="132"/>
      <c r="DS10" s="132"/>
    </row>
    <row r="11" spans="1:123">
      <c r="A11" s="132" t="s">
        <v>21</v>
      </c>
      <c r="B11" s="132"/>
      <c r="C11" s="148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3"/>
      <c r="BA11" s="153"/>
      <c r="BB11" s="153"/>
      <c r="BC11" s="153"/>
      <c r="BD11" s="153"/>
      <c r="BE11" s="153"/>
      <c r="BF11" s="151"/>
      <c r="BG11" s="151"/>
      <c r="BH11" s="151"/>
      <c r="BI11" s="151"/>
      <c r="BJ11" s="151"/>
      <c r="BK11" s="151"/>
      <c r="BL11" s="153"/>
      <c r="BM11" s="153"/>
      <c r="BN11" s="153"/>
      <c r="BO11" s="151"/>
      <c r="BP11" s="151"/>
      <c r="BQ11" s="151"/>
      <c r="BR11" s="151"/>
      <c r="BS11" s="151"/>
      <c r="BT11" s="151"/>
      <c r="BU11" s="151"/>
      <c r="BV11" s="151"/>
      <c r="BW11" s="151"/>
      <c r="BX11" s="153"/>
      <c r="BY11" s="153"/>
      <c r="BZ11" s="153"/>
      <c r="CA11" s="151"/>
      <c r="CB11" s="151"/>
      <c r="CC11" s="151"/>
      <c r="CD11" s="151"/>
      <c r="CE11" s="151"/>
      <c r="CF11" s="151"/>
      <c r="CG11" s="151"/>
      <c r="CH11" s="151"/>
      <c r="CI11" s="151"/>
      <c r="CJ11" s="153"/>
      <c r="CK11" s="153"/>
      <c r="CL11" s="153"/>
      <c r="CM11" s="151"/>
      <c r="CN11" s="151"/>
      <c r="CO11" s="151"/>
      <c r="CP11" s="151"/>
      <c r="CQ11" s="151"/>
      <c r="CR11" s="151"/>
      <c r="CS11" s="151"/>
      <c r="CT11" s="151"/>
      <c r="CU11" s="151"/>
      <c r="CV11" s="153"/>
      <c r="CW11" s="153"/>
      <c r="CX11" s="153"/>
      <c r="CY11" s="153"/>
      <c r="CZ11" s="153"/>
      <c r="DA11" s="153"/>
      <c r="DB11" s="151"/>
      <c r="DC11" s="151"/>
      <c r="DD11" s="151"/>
      <c r="DE11" s="151"/>
      <c r="DF11" s="151"/>
      <c r="DG11" s="151"/>
      <c r="DH11" s="151"/>
      <c r="DI11" s="151"/>
      <c r="DJ11" s="151"/>
      <c r="DK11" s="153"/>
      <c r="DL11" s="153"/>
      <c r="DM11" s="153"/>
      <c r="DN11" s="153"/>
      <c r="DO11" s="153"/>
      <c r="DP11" s="153"/>
      <c r="DQ11" s="151"/>
      <c r="DR11" s="151"/>
      <c r="DS11" s="151"/>
    </row>
    <row r="12" spans="1:123">
      <c r="A12" s="132"/>
      <c r="B12" s="132" t="s">
        <v>346</v>
      </c>
      <c r="C12" s="148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 s="151"/>
      <c r="AW12" s="151"/>
      <c r="AX12" s="151"/>
      <c r="AY12" s="151"/>
      <c r="AZ12" s="153"/>
      <c r="BA12" s="153"/>
      <c r="BB12" s="153"/>
      <c r="BC12" s="153"/>
      <c r="BD12" s="153"/>
      <c r="BE12" s="153"/>
      <c r="BF12" s="151"/>
      <c r="BG12" s="151"/>
      <c r="BH12" s="151"/>
      <c r="BI12" s="151"/>
      <c r="BJ12" s="151"/>
      <c r="BK12" s="151"/>
      <c r="BL12" s="153"/>
      <c r="BM12" s="153"/>
      <c r="BN12" s="153"/>
      <c r="BO12" s="151"/>
      <c r="BP12" s="151"/>
      <c r="BQ12" s="151"/>
      <c r="BR12" s="151"/>
      <c r="BS12" s="151"/>
      <c r="BT12" s="151"/>
      <c r="BU12" s="151"/>
      <c r="BV12" s="151"/>
      <c r="BW12" s="151"/>
      <c r="BX12" s="153"/>
      <c r="BY12" s="153"/>
      <c r="BZ12" s="153"/>
      <c r="CA12" s="151"/>
      <c r="CB12" s="151"/>
      <c r="CC12" s="151"/>
      <c r="CD12" s="151"/>
      <c r="CE12" s="151"/>
      <c r="CF12" s="151"/>
      <c r="CG12" s="151"/>
      <c r="CH12" s="151"/>
      <c r="CI12" s="151"/>
      <c r="CJ12" s="153"/>
      <c r="CK12" s="153"/>
      <c r="CL12" s="153"/>
      <c r="CM12" s="151"/>
      <c r="CN12" s="151"/>
      <c r="CO12" s="151"/>
      <c r="CP12" s="151"/>
      <c r="CQ12" s="151"/>
      <c r="CR12" s="151"/>
      <c r="CS12" s="151"/>
      <c r="CT12" s="151"/>
      <c r="CU12" s="151"/>
      <c r="CV12" s="153"/>
      <c r="CW12" s="153"/>
      <c r="CX12" s="153"/>
      <c r="CY12" s="153"/>
      <c r="CZ12" s="153"/>
      <c r="DA12" s="153"/>
      <c r="DB12" s="151"/>
      <c r="DC12" s="151"/>
      <c r="DD12" s="151"/>
      <c r="DE12" s="151"/>
      <c r="DF12" s="151"/>
      <c r="DG12" s="151"/>
      <c r="DH12" s="151"/>
      <c r="DI12" s="151"/>
      <c r="DJ12" s="151"/>
      <c r="DK12" s="153"/>
      <c r="DL12" s="153"/>
      <c r="DM12" s="153"/>
      <c r="DN12" s="153"/>
      <c r="DO12" s="153"/>
      <c r="DP12" s="153"/>
      <c r="DQ12" s="151"/>
      <c r="DR12" s="151"/>
      <c r="DS12" s="151"/>
    </row>
    <row r="13" ht="31.5" spans="1:123">
      <c r="A13" s="132"/>
      <c r="B13" s="132"/>
      <c r="C13" s="148" t="s">
        <v>24</v>
      </c>
      <c r="D13" s="151"/>
      <c r="E13" s="151"/>
      <c r="F13" s="151"/>
      <c r="G13" s="151"/>
      <c r="H13" s="151"/>
      <c r="I13" s="151"/>
      <c r="J13" s="151">
        <v>1105</v>
      </c>
      <c r="K13" s="151"/>
      <c r="L13" s="151">
        <v>1105</v>
      </c>
      <c r="M13" s="151">
        <v>1105</v>
      </c>
      <c r="N13" s="151"/>
      <c r="O13" s="151">
        <v>1105</v>
      </c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  <c r="AS13" s="151"/>
      <c r="AT13" s="151"/>
      <c r="AU13" s="151"/>
      <c r="AV13" s="151"/>
      <c r="AW13" s="151"/>
      <c r="AX13" s="151"/>
      <c r="AY13" s="151"/>
      <c r="AZ13" s="153">
        <v>1105</v>
      </c>
      <c r="BA13" s="153"/>
      <c r="BB13" s="153">
        <v>1105</v>
      </c>
      <c r="BC13" s="153">
        <v>1105</v>
      </c>
      <c r="BD13" s="153"/>
      <c r="BE13" s="153">
        <v>1105</v>
      </c>
      <c r="BF13" s="151"/>
      <c r="BG13" s="151"/>
      <c r="BH13" s="151"/>
      <c r="BI13" s="151"/>
      <c r="BJ13" s="151"/>
      <c r="BK13" s="151"/>
      <c r="BL13" s="153"/>
      <c r="BM13" s="153"/>
      <c r="BN13" s="153"/>
      <c r="BO13" s="151"/>
      <c r="BP13" s="151"/>
      <c r="BQ13" s="151"/>
      <c r="BR13" s="151">
        <v>1105</v>
      </c>
      <c r="BS13" s="151"/>
      <c r="BT13" s="151">
        <v>1105</v>
      </c>
      <c r="BU13" s="151"/>
      <c r="BV13" s="151"/>
      <c r="BW13" s="151"/>
      <c r="BX13" s="153">
        <v>1105</v>
      </c>
      <c r="BY13" s="153"/>
      <c r="BZ13" s="153">
        <v>1105</v>
      </c>
      <c r="CA13" s="151"/>
      <c r="CB13" s="151"/>
      <c r="CC13" s="151"/>
      <c r="CD13" s="151"/>
      <c r="CE13" s="151"/>
      <c r="CF13" s="151"/>
      <c r="CG13" s="151"/>
      <c r="CH13" s="151"/>
      <c r="CI13" s="151"/>
      <c r="CJ13" s="153"/>
      <c r="CK13" s="153"/>
      <c r="CL13" s="153"/>
      <c r="CM13" s="151"/>
      <c r="CN13" s="151"/>
      <c r="CO13" s="151"/>
      <c r="CP13" s="151"/>
      <c r="CQ13" s="151"/>
      <c r="CR13" s="151"/>
      <c r="CS13" s="151"/>
      <c r="CT13" s="151"/>
      <c r="CU13" s="151"/>
      <c r="CV13" s="153"/>
      <c r="CW13" s="153"/>
      <c r="CX13" s="153"/>
      <c r="CY13" s="153">
        <v>1105</v>
      </c>
      <c r="CZ13" s="153"/>
      <c r="DA13" s="153">
        <v>1105</v>
      </c>
      <c r="DB13" s="151"/>
      <c r="DC13" s="151"/>
      <c r="DD13" s="151"/>
      <c r="DE13" s="151"/>
      <c r="DF13" s="151"/>
      <c r="DG13" s="151"/>
      <c r="DH13" s="151"/>
      <c r="DI13" s="151"/>
      <c r="DJ13" s="151"/>
      <c r="DK13" s="153"/>
      <c r="DL13" s="153"/>
      <c r="DM13" s="153"/>
      <c r="DN13" s="153"/>
      <c r="DO13" s="153"/>
      <c r="DP13" s="153"/>
      <c r="DQ13" s="151">
        <v>1105</v>
      </c>
      <c r="DR13" s="151"/>
      <c r="DS13" s="151">
        <v>1105</v>
      </c>
    </row>
    <row r="14" spans="1:123">
      <c r="A14" s="132"/>
      <c r="B14" s="132" t="s">
        <v>347</v>
      </c>
      <c r="C14" s="148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1"/>
      <c r="AU14" s="151"/>
      <c r="AV14" s="151"/>
      <c r="AW14" s="151"/>
      <c r="AX14" s="151"/>
      <c r="AY14" s="151"/>
      <c r="AZ14" s="153"/>
      <c r="BA14" s="153"/>
      <c r="BB14" s="153"/>
      <c r="BC14" s="153"/>
      <c r="BD14" s="153"/>
      <c r="BE14" s="153"/>
      <c r="BF14" s="151"/>
      <c r="BG14" s="151"/>
      <c r="BH14" s="151"/>
      <c r="BI14" s="151"/>
      <c r="BJ14" s="151"/>
      <c r="BK14" s="151"/>
      <c r="BL14" s="153"/>
      <c r="BM14" s="153"/>
      <c r="BN14" s="153"/>
      <c r="BO14" s="151"/>
      <c r="BP14" s="151"/>
      <c r="BQ14" s="151"/>
      <c r="BR14" s="151"/>
      <c r="BS14" s="151"/>
      <c r="BT14" s="151"/>
      <c r="BU14" s="151"/>
      <c r="BV14" s="151"/>
      <c r="BW14" s="151"/>
      <c r="BX14" s="153"/>
      <c r="BY14" s="153"/>
      <c r="BZ14" s="153"/>
      <c r="CA14" s="151"/>
      <c r="CB14" s="151"/>
      <c r="CC14" s="151"/>
      <c r="CD14" s="151"/>
      <c r="CE14" s="151"/>
      <c r="CF14" s="151"/>
      <c r="CG14" s="151"/>
      <c r="CH14" s="151"/>
      <c r="CI14" s="151"/>
      <c r="CJ14" s="153"/>
      <c r="CK14" s="153"/>
      <c r="CL14" s="153"/>
      <c r="CM14" s="151"/>
      <c r="CN14" s="151"/>
      <c r="CO14" s="151"/>
      <c r="CP14" s="151"/>
      <c r="CQ14" s="151"/>
      <c r="CR14" s="151"/>
      <c r="CS14" s="151"/>
      <c r="CT14" s="151"/>
      <c r="CU14" s="151"/>
      <c r="CV14" s="153"/>
      <c r="CW14" s="153"/>
      <c r="CX14" s="153"/>
      <c r="CY14" s="153"/>
      <c r="CZ14" s="153"/>
      <c r="DA14" s="153"/>
      <c r="DB14" s="151"/>
      <c r="DC14" s="151"/>
      <c r="DD14" s="151"/>
      <c r="DE14" s="151"/>
      <c r="DF14" s="151"/>
      <c r="DG14" s="151"/>
      <c r="DH14" s="151"/>
      <c r="DI14" s="151"/>
      <c r="DJ14" s="151"/>
      <c r="DK14" s="153"/>
      <c r="DL14" s="153"/>
      <c r="DM14" s="153"/>
      <c r="DN14" s="153"/>
      <c r="DO14" s="153"/>
      <c r="DP14" s="153"/>
      <c r="DQ14" s="151"/>
      <c r="DR14" s="151"/>
      <c r="DS14" s="151"/>
    </row>
    <row r="15" ht="31.5" spans="1:123">
      <c r="A15" s="132"/>
      <c r="B15" s="132"/>
      <c r="C15" s="148" t="s">
        <v>80</v>
      </c>
      <c r="D15" s="151"/>
      <c r="E15" s="151"/>
      <c r="F15" s="151"/>
      <c r="G15" s="151"/>
      <c r="H15" s="151"/>
      <c r="I15" s="151"/>
      <c r="J15" s="151">
        <v>1500</v>
      </c>
      <c r="K15" s="151"/>
      <c r="L15" s="151">
        <v>1500</v>
      </c>
      <c r="M15" s="151">
        <v>1500</v>
      </c>
      <c r="N15" s="151"/>
      <c r="O15" s="151">
        <v>1500</v>
      </c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3">
        <v>1500</v>
      </c>
      <c r="BA15" s="153"/>
      <c r="BB15" s="153">
        <v>1500</v>
      </c>
      <c r="BC15" s="153">
        <v>1500</v>
      </c>
      <c r="BD15" s="153"/>
      <c r="BE15" s="153">
        <v>1500</v>
      </c>
      <c r="BF15" s="151"/>
      <c r="BG15" s="151"/>
      <c r="BH15" s="151"/>
      <c r="BI15" s="151"/>
      <c r="BJ15" s="151"/>
      <c r="BK15" s="151"/>
      <c r="BL15" s="153"/>
      <c r="BM15" s="153"/>
      <c r="BN15" s="153"/>
      <c r="BO15" s="151"/>
      <c r="BP15" s="151"/>
      <c r="BQ15" s="151"/>
      <c r="BR15" s="151">
        <v>1500</v>
      </c>
      <c r="BS15" s="151"/>
      <c r="BT15" s="151">
        <v>1500</v>
      </c>
      <c r="BU15" s="151"/>
      <c r="BV15" s="151"/>
      <c r="BW15" s="151"/>
      <c r="BX15" s="153">
        <v>1500</v>
      </c>
      <c r="BY15" s="153"/>
      <c r="BZ15" s="153">
        <v>1500</v>
      </c>
      <c r="CA15" s="151"/>
      <c r="CB15" s="151"/>
      <c r="CC15" s="151"/>
      <c r="CD15" s="151"/>
      <c r="CE15" s="151"/>
      <c r="CF15" s="151"/>
      <c r="CG15" s="151"/>
      <c r="CH15" s="151"/>
      <c r="CI15" s="151"/>
      <c r="CJ15" s="153"/>
      <c r="CK15" s="153"/>
      <c r="CL15" s="153"/>
      <c r="CM15" s="151"/>
      <c r="CN15" s="151"/>
      <c r="CO15" s="151"/>
      <c r="CP15" s="151"/>
      <c r="CQ15" s="151"/>
      <c r="CR15" s="151"/>
      <c r="CS15" s="151"/>
      <c r="CT15" s="151"/>
      <c r="CU15" s="151"/>
      <c r="CV15" s="153"/>
      <c r="CW15" s="153"/>
      <c r="CX15" s="153"/>
      <c r="CY15" s="153">
        <v>1500</v>
      </c>
      <c r="CZ15" s="153"/>
      <c r="DA15" s="153">
        <v>1500</v>
      </c>
      <c r="DB15" s="151"/>
      <c r="DC15" s="151"/>
      <c r="DD15" s="151"/>
      <c r="DE15" s="151"/>
      <c r="DF15" s="151"/>
      <c r="DG15" s="151"/>
      <c r="DH15" s="151"/>
      <c r="DI15" s="151"/>
      <c r="DJ15" s="151"/>
      <c r="DK15" s="153"/>
      <c r="DL15" s="153"/>
      <c r="DM15" s="153"/>
      <c r="DN15" s="153"/>
      <c r="DO15" s="153"/>
      <c r="DP15" s="153"/>
      <c r="DQ15" s="151">
        <v>1500</v>
      </c>
      <c r="DR15" s="151"/>
      <c r="DS15" s="151">
        <v>1500</v>
      </c>
    </row>
    <row r="16" ht="31.5" spans="1:123">
      <c r="A16" s="132"/>
      <c r="B16" s="132"/>
      <c r="C16" s="148" t="s">
        <v>82</v>
      </c>
      <c r="D16" s="151"/>
      <c r="E16" s="151"/>
      <c r="F16" s="151"/>
      <c r="G16" s="151"/>
      <c r="H16" s="151"/>
      <c r="I16" s="151"/>
      <c r="J16" s="151">
        <v>300</v>
      </c>
      <c r="K16" s="151"/>
      <c r="L16" s="151">
        <v>300</v>
      </c>
      <c r="M16" s="151">
        <v>300</v>
      </c>
      <c r="N16" s="151"/>
      <c r="O16" s="151">
        <v>300</v>
      </c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3">
        <v>300</v>
      </c>
      <c r="BA16" s="153"/>
      <c r="BB16" s="153">
        <v>300</v>
      </c>
      <c r="BC16" s="153">
        <v>300</v>
      </c>
      <c r="BD16" s="153"/>
      <c r="BE16" s="153">
        <v>300</v>
      </c>
      <c r="BF16" s="151"/>
      <c r="BG16" s="151"/>
      <c r="BH16" s="151"/>
      <c r="BI16" s="151"/>
      <c r="BJ16" s="151"/>
      <c r="BK16" s="151"/>
      <c r="BL16" s="153"/>
      <c r="BM16" s="153"/>
      <c r="BN16" s="153"/>
      <c r="BO16" s="151"/>
      <c r="BP16" s="151"/>
      <c r="BQ16" s="151"/>
      <c r="BR16" s="151">
        <v>300</v>
      </c>
      <c r="BS16" s="151"/>
      <c r="BT16" s="151">
        <v>300</v>
      </c>
      <c r="BU16" s="151"/>
      <c r="BV16" s="151"/>
      <c r="BW16" s="151"/>
      <c r="BX16" s="153">
        <v>300</v>
      </c>
      <c r="BY16" s="153"/>
      <c r="BZ16" s="153">
        <v>300</v>
      </c>
      <c r="CA16" s="151"/>
      <c r="CB16" s="151"/>
      <c r="CC16" s="151"/>
      <c r="CD16" s="151"/>
      <c r="CE16" s="151"/>
      <c r="CF16" s="151"/>
      <c r="CG16" s="151"/>
      <c r="CH16" s="151"/>
      <c r="CI16" s="151"/>
      <c r="CJ16" s="153"/>
      <c r="CK16" s="153"/>
      <c r="CL16" s="153"/>
      <c r="CM16" s="151"/>
      <c r="CN16" s="151"/>
      <c r="CO16" s="151"/>
      <c r="CP16" s="151"/>
      <c r="CQ16" s="151"/>
      <c r="CR16" s="151"/>
      <c r="CS16" s="151"/>
      <c r="CT16" s="151"/>
      <c r="CU16" s="151"/>
      <c r="CV16" s="153"/>
      <c r="CW16" s="153"/>
      <c r="CX16" s="153"/>
      <c r="CY16" s="153">
        <v>300</v>
      </c>
      <c r="CZ16" s="153"/>
      <c r="DA16" s="153">
        <v>300</v>
      </c>
      <c r="DB16" s="151"/>
      <c r="DC16" s="151"/>
      <c r="DD16" s="151"/>
      <c r="DE16" s="151"/>
      <c r="DF16" s="151"/>
      <c r="DG16" s="151"/>
      <c r="DH16" s="151"/>
      <c r="DI16" s="151"/>
      <c r="DJ16" s="151"/>
      <c r="DK16" s="153"/>
      <c r="DL16" s="153"/>
      <c r="DM16" s="153"/>
      <c r="DN16" s="153"/>
      <c r="DO16" s="153"/>
      <c r="DP16" s="153"/>
      <c r="DQ16" s="151">
        <v>300</v>
      </c>
      <c r="DR16" s="151"/>
      <c r="DS16" s="151">
        <v>300</v>
      </c>
    </row>
    <row r="17" ht="31.5" spans="1:123">
      <c r="A17" s="132"/>
      <c r="B17" s="132"/>
      <c r="C17" s="148" t="s">
        <v>84</v>
      </c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>
        <v>250596</v>
      </c>
      <c r="Q17" s="151"/>
      <c r="R17" s="151">
        <v>250596</v>
      </c>
      <c r="S17" s="151"/>
      <c r="T17" s="151"/>
      <c r="U17" s="151"/>
      <c r="V17" s="151"/>
      <c r="W17" s="151"/>
      <c r="X17" s="151"/>
      <c r="Y17" s="151">
        <v>250596</v>
      </c>
      <c r="Z17" s="151"/>
      <c r="AA17" s="151">
        <v>250596</v>
      </c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 s="151"/>
      <c r="AW17" s="151"/>
      <c r="AX17" s="151"/>
      <c r="AY17" s="151"/>
      <c r="AZ17" s="153">
        <v>250596</v>
      </c>
      <c r="BA17" s="153"/>
      <c r="BB17" s="153">
        <v>250596</v>
      </c>
      <c r="BC17" s="153">
        <v>250596</v>
      </c>
      <c r="BD17" s="153"/>
      <c r="BE17" s="153">
        <v>250596</v>
      </c>
      <c r="BF17" s="151"/>
      <c r="BG17" s="151"/>
      <c r="BH17" s="151"/>
      <c r="BI17" s="151"/>
      <c r="BJ17" s="151"/>
      <c r="BK17" s="151"/>
      <c r="BL17" s="153"/>
      <c r="BM17" s="153"/>
      <c r="BN17" s="153"/>
      <c r="BO17" s="151"/>
      <c r="BP17" s="151"/>
      <c r="BQ17" s="151"/>
      <c r="BR17" s="151"/>
      <c r="BS17" s="151"/>
      <c r="BT17" s="151"/>
      <c r="BU17" s="151"/>
      <c r="BV17" s="151"/>
      <c r="BW17" s="151"/>
      <c r="BX17" s="153"/>
      <c r="BY17" s="153"/>
      <c r="BZ17" s="153"/>
      <c r="CA17" s="151">
        <v>250596</v>
      </c>
      <c r="CB17" s="151"/>
      <c r="CC17" s="151">
        <v>250596</v>
      </c>
      <c r="CD17" s="151"/>
      <c r="CE17" s="151"/>
      <c r="CF17" s="151"/>
      <c r="CG17" s="151"/>
      <c r="CH17" s="151"/>
      <c r="CI17" s="151"/>
      <c r="CJ17" s="153">
        <v>250596</v>
      </c>
      <c r="CK17" s="153"/>
      <c r="CL17" s="153">
        <v>250596</v>
      </c>
      <c r="CM17" s="151"/>
      <c r="CN17" s="151"/>
      <c r="CO17" s="151"/>
      <c r="CP17" s="151"/>
      <c r="CQ17" s="151"/>
      <c r="CR17" s="151"/>
      <c r="CS17" s="151"/>
      <c r="CT17" s="151"/>
      <c r="CU17" s="151"/>
      <c r="CV17" s="153"/>
      <c r="CW17" s="153"/>
      <c r="CX17" s="153"/>
      <c r="CY17" s="153">
        <v>250596</v>
      </c>
      <c r="CZ17" s="153"/>
      <c r="DA17" s="153">
        <v>250596</v>
      </c>
      <c r="DB17" s="151"/>
      <c r="DC17" s="151"/>
      <c r="DD17" s="151"/>
      <c r="DE17" s="151"/>
      <c r="DF17" s="151"/>
      <c r="DG17" s="151"/>
      <c r="DH17" s="151"/>
      <c r="DI17" s="151"/>
      <c r="DJ17" s="151"/>
      <c r="DK17" s="153"/>
      <c r="DL17" s="153"/>
      <c r="DM17" s="153"/>
      <c r="DN17" s="153"/>
      <c r="DO17" s="153"/>
      <c r="DP17" s="153"/>
      <c r="DQ17" s="151">
        <v>250596</v>
      </c>
      <c r="DR17" s="151"/>
      <c r="DS17" s="151">
        <v>250596</v>
      </c>
    </row>
    <row r="18" spans="1:123">
      <c r="A18" s="132"/>
      <c r="B18" s="132" t="s">
        <v>348</v>
      </c>
      <c r="C18" s="148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1"/>
      <c r="AX18" s="151"/>
      <c r="AY18" s="151"/>
      <c r="AZ18" s="153"/>
      <c r="BA18" s="153"/>
      <c r="BB18" s="153"/>
      <c r="BC18" s="153"/>
      <c r="BD18" s="153"/>
      <c r="BE18" s="153"/>
      <c r="BF18" s="151"/>
      <c r="BG18" s="151"/>
      <c r="BH18" s="151"/>
      <c r="BI18" s="151"/>
      <c r="BJ18" s="151"/>
      <c r="BK18" s="151"/>
      <c r="BL18" s="153"/>
      <c r="BM18" s="153"/>
      <c r="BN18" s="153"/>
      <c r="BO18" s="151"/>
      <c r="BP18" s="151"/>
      <c r="BQ18" s="151"/>
      <c r="BR18" s="151"/>
      <c r="BS18" s="151"/>
      <c r="BT18" s="151"/>
      <c r="BU18" s="151"/>
      <c r="BV18" s="151"/>
      <c r="BW18" s="151"/>
      <c r="BX18" s="153"/>
      <c r="BY18" s="153"/>
      <c r="BZ18" s="153"/>
      <c r="CA18" s="151"/>
      <c r="CB18" s="151"/>
      <c r="CC18" s="151"/>
      <c r="CD18" s="151"/>
      <c r="CE18" s="151"/>
      <c r="CF18" s="151"/>
      <c r="CG18" s="151"/>
      <c r="CH18" s="151"/>
      <c r="CI18" s="151"/>
      <c r="CJ18" s="153"/>
      <c r="CK18" s="153"/>
      <c r="CL18" s="153"/>
      <c r="CM18" s="151"/>
      <c r="CN18" s="151"/>
      <c r="CO18" s="151"/>
      <c r="CP18" s="151"/>
      <c r="CQ18" s="151"/>
      <c r="CR18" s="151"/>
      <c r="CS18" s="151"/>
      <c r="CT18" s="151"/>
      <c r="CU18" s="151"/>
      <c r="CV18" s="153"/>
      <c r="CW18" s="153"/>
      <c r="CX18" s="153"/>
      <c r="CY18" s="153"/>
      <c r="CZ18" s="153"/>
      <c r="DA18" s="153"/>
      <c r="DB18" s="151"/>
      <c r="DC18" s="151"/>
      <c r="DD18" s="151"/>
      <c r="DE18" s="151"/>
      <c r="DF18" s="151"/>
      <c r="DG18" s="151"/>
      <c r="DH18" s="151"/>
      <c r="DI18" s="151"/>
      <c r="DJ18" s="151"/>
      <c r="DK18" s="153"/>
      <c r="DL18" s="153"/>
      <c r="DM18" s="153"/>
      <c r="DN18" s="153"/>
      <c r="DO18" s="153"/>
      <c r="DP18" s="153"/>
      <c r="DQ18" s="151"/>
      <c r="DR18" s="151"/>
      <c r="DS18" s="151"/>
    </row>
    <row r="19" spans="1:123">
      <c r="A19" s="132"/>
      <c r="B19" s="132"/>
      <c r="C19" s="148" t="s">
        <v>26</v>
      </c>
      <c r="D19" s="151"/>
      <c r="E19" s="151"/>
      <c r="F19" s="151"/>
      <c r="G19" s="151"/>
      <c r="H19" s="151"/>
      <c r="I19" s="151"/>
      <c r="J19" s="151">
        <v>12000</v>
      </c>
      <c r="K19" s="151"/>
      <c r="L19" s="151">
        <v>12000</v>
      </c>
      <c r="M19" s="151">
        <v>12000</v>
      </c>
      <c r="N19" s="151"/>
      <c r="O19" s="151">
        <v>12000</v>
      </c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1"/>
      <c r="AU19" s="151"/>
      <c r="AV19" s="151"/>
      <c r="AW19" s="151"/>
      <c r="AX19" s="151"/>
      <c r="AY19" s="151"/>
      <c r="AZ19" s="153">
        <v>12000</v>
      </c>
      <c r="BA19" s="153"/>
      <c r="BB19" s="153">
        <v>12000</v>
      </c>
      <c r="BC19" s="153">
        <v>12000</v>
      </c>
      <c r="BD19" s="153"/>
      <c r="BE19" s="153">
        <v>12000</v>
      </c>
      <c r="BF19" s="151"/>
      <c r="BG19" s="151"/>
      <c r="BH19" s="151"/>
      <c r="BI19" s="151"/>
      <c r="BJ19" s="151"/>
      <c r="BK19" s="151"/>
      <c r="BL19" s="153"/>
      <c r="BM19" s="153"/>
      <c r="BN19" s="153"/>
      <c r="BO19" s="151"/>
      <c r="BP19" s="151"/>
      <c r="BQ19" s="151"/>
      <c r="BR19" s="151"/>
      <c r="BS19" s="151"/>
      <c r="BT19" s="151"/>
      <c r="BU19" s="151"/>
      <c r="BV19" s="151"/>
      <c r="BW19" s="151"/>
      <c r="BX19" s="153"/>
      <c r="BY19" s="153"/>
      <c r="BZ19" s="153"/>
      <c r="CA19" s="151"/>
      <c r="CB19" s="151"/>
      <c r="CC19" s="151"/>
      <c r="CD19" s="151">
        <v>12000</v>
      </c>
      <c r="CE19" s="151"/>
      <c r="CF19" s="151">
        <v>12000</v>
      </c>
      <c r="CG19" s="151"/>
      <c r="CH19" s="151"/>
      <c r="CI19" s="151"/>
      <c r="CJ19" s="153">
        <v>12000</v>
      </c>
      <c r="CK19" s="153"/>
      <c r="CL19" s="153">
        <v>12000</v>
      </c>
      <c r="CM19" s="151"/>
      <c r="CN19" s="151"/>
      <c r="CO19" s="151"/>
      <c r="CP19" s="151"/>
      <c r="CQ19" s="151"/>
      <c r="CR19" s="151"/>
      <c r="CS19" s="151"/>
      <c r="CT19" s="151"/>
      <c r="CU19" s="151"/>
      <c r="CV19" s="153"/>
      <c r="CW19" s="153"/>
      <c r="CX19" s="153"/>
      <c r="CY19" s="153">
        <v>12000</v>
      </c>
      <c r="CZ19" s="153"/>
      <c r="DA19" s="153">
        <v>12000</v>
      </c>
      <c r="DB19" s="151"/>
      <c r="DC19" s="151"/>
      <c r="DD19" s="151"/>
      <c r="DE19" s="151"/>
      <c r="DF19" s="151"/>
      <c r="DG19" s="151"/>
      <c r="DH19" s="151"/>
      <c r="DI19" s="151"/>
      <c r="DJ19" s="151"/>
      <c r="DK19" s="153"/>
      <c r="DL19" s="153"/>
      <c r="DM19" s="153"/>
      <c r="DN19" s="153"/>
      <c r="DO19" s="153"/>
      <c r="DP19" s="153"/>
      <c r="DQ19" s="151">
        <v>12000</v>
      </c>
      <c r="DR19" s="151"/>
      <c r="DS19" s="151">
        <v>12000</v>
      </c>
    </row>
    <row r="20" ht="31.5" spans="1:123">
      <c r="A20" s="132"/>
      <c r="B20" s="132"/>
      <c r="C20" s="148" t="s">
        <v>28</v>
      </c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>
        <v>17600</v>
      </c>
      <c r="Q20" s="151"/>
      <c r="R20" s="151">
        <v>17600</v>
      </c>
      <c r="S20" s="151"/>
      <c r="T20" s="151"/>
      <c r="U20" s="151"/>
      <c r="V20" s="151"/>
      <c r="W20" s="151"/>
      <c r="X20" s="151"/>
      <c r="Y20" s="151">
        <v>17600</v>
      </c>
      <c r="Z20" s="151"/>
      <c r="AA20" s="151">
        <v>17600</v>
      </c>
      <c r="AB20" s="151">
        <v>7150</v>
      </c>
      <c r="AC20" s="151"/>
      <c r="AD20" s="151">
        <v>7150</v>
      </c>
      <c r="AE20" s="151"/>
      <c r="AF20" s="151"/>
      <c r="AG20" s="151"/>
      <c r="AH20" s="151"/>
      <c r="AI20" s="151"/>
      <c r="AJ20" s="151"/>
      <c r="AK20" s="151">
        <v>7150</v>
      </c>
      <c r="AL20" s="151"/>
      <c r="AM20" s="151">
        <v>7150</v>
      </c>
      <c r="AN20" s="151"/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153">
        <v>24750</v>
      </c>
      <c r="BA20" s="153"/>
      <c r="BB20" s="153">
        <v>24750</v>
      </c>
      <c r="BC20" s="153">
        <v>24750</v>
      </c>
      <c r="BD20" s="153"/>
      <c r="BE20" s="153">
        <v>24750</v>
      </c>
      <c r="BF20" s="151"/>
      <c r="BG20" s="151"/>
      <c r="BH20" s="151"/>
      <c r="BI20" s="151"/>
      <c r="BJ20" s="151"/>
      <c r="BK20" s="151"/>
      <c r="BL20" s="153"/>
      <c r="BM20" s="153"/>
      <c r="BN20" s="153"/>
      <c r="BO20" s="151"/>
      <c r="BP20" s="151"/>
      <c r="BQ20" s="151"/>
      <c r="BR20" s="151"/>
      <c r="BS20" s="151"/>
      <c r="BT20" s="151"/>
      <c r="BU20" s="151"/>
      <c r="BV20" s="151"/>
      <c r="BW20" s="151"/>
      <c r="BX20" s="153"/>
      <c r="BY20" s="153"/>
      <c r="BZ20" s="153"/>
      <c r="CA20" s="151">
        <v>17600</v>
      </c>
      <c r="CB20" s="151"/>
      <c r="CC20" s="151">
        <v>17600</v>
      </c>
      <c r="CD20" s="151"/>
      <c r="CE20" s="151"/>
      <c r="CF20" s="151"/>
      <c r="CG20" s="151"/>
      <c r="CH20" s="151"/>
      <c r="CI20" s="151"/>
      <c r="CJ20" s="153">
        <v>17600</v>
      </c>
      <c r="CK20" s="153"/>
      <c r="CL20" s="153">
        <v>17600</v>
      </c>
      <c r="CM20" s="151"/>
      <c r="CN20" s="151"/>
      <c r="CO20" s="151"/>
      <c r="CP20" s="151">
        <v>7150</v>
      </c>
      <c r="CQ20" s="151"/>
      <c r="CR20" s="151">
        <v>7150</v>
      </c>
      <c r="CS20" s="151"/>
      <c r="CT20" s="151"/>
      <c r="CU20" s="151"/>
      <c r="CV20" s="153">
        <v>7150</v>
      </c>
      <c r="CW20" s="153"/>
      <c r="CX20" s="153">
        <v>7150</v>
      </c>
      <c r="CY20" s="153">
        <v>24750</v>
      </c>
      <c r="CZ20" s="153"/>
      <c r="DA20" s="153">
        <v>24750</v>
      </c>
      <c r="DB20" s="151"/>
      <c r="DC20" s="151"/>
      <c r="DD20" s="151"/>
      <c r="DE20" s="151"/>
      <c r="DF20" s="151"/>
      <c r="DG20" s="151"/>
      <c r="DH20" s="151"/>
      <c r="DI20" s="151"/>
      <c r="DJ20" s="151"/>
      <c r="DK20" s="153"/>
      <c r="DL20" s="153"/>
      <c r="DM20" s="153"/>
      <c r="DN20" s="153"/>
      <c r="DO20" s="153"/>
      <c r="DP20" s="153"/>
      <c r="DQ20" s="151">
        <v>24750</v>
      </c>
      <c r="DR20" s="151"/>
      <c r="DS20" s="151">
        <v>24750</v>
      </c>
    </row>
    <row r="21" spans="1:123">
      <c r="A21" s="132"/>
      <c r="B21" s="132" t="s">
        <v>349</v>
      </c>
      <c r="C21" s="148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1"/>
      <c r="AW21" s="151"/>
      <c r="AX21" s="151"/>
      <c r="AY21" s="151"/>
      <c r="AZ21" s="153"/>
      <c r="BA21" s="153"/>
      <c r="BB21" s="153"/>
      <c r="BC21" s="153"/>
      <c r="BD21" s="153"/>
      <c r="BE21" s="153"/>
      <c r="BF21" s="151"/>
      <c r="BG21" s="151"/>
      <c r="BH21" s="151"/>
      <c r="BI21" s="151"/>
      <c r="BJ21" s="151"/>
      <c r="BK21" s="151"/>
      <c r="BL21" s="153"/>
      <c r="BM21" s="153"/>
      <c r="BN21" s="153"/>
      <c r="BO21" s="151"/>
      <c r="BP21" s="151"/>
      <c r="BQ21" s="151"/>
      <c r="BR21" s="151"/>
      <c r="BS21" s="151"/>
      <c r="BT21" s="151"/>
      <c r="BU21" s="151"/>
      <c r="BV21" s="151"/>
      <c r="BW21" s="151"/>
      <c r="BX21" s="153"/>
      <c r="BY21" s="153"/>
      <c r="BZ21" s="153"/>
      <c r="CA21" s="151"/>
      <c r="CB21" s="151"/>
      <c r="CC21" s="151"/>
      <c r="CD21" s="151"/>
      <c r="CE21" s="151"/>
      <c r="CF21" s="151"/>
      <c r="CG21" s="151"/>
      <c r="CH21" s="151"/>
      <c r="CI21" s="151"/>
      <c r="CJ21" s="153"/>
      <c r="CK21" s="153"/>
      <c r="CL21" s="153"/>
      <c r="CM21" s="151"/>
      <c r="CN21" s="151"/>
      <c r="CO21" s="151"/>
      <c r="CP21" s="151"/>
      <c r="CQ21" s="151"/>
      <c r="CR21" s="151"/>
      <c r="CS21" s="151"/>
      <c r="CT21" s="151"/>
      <c r="CU21" s="151"/>
      <c r="CV21" s="153"/>
      <c r="CW21" s="153"/>
      <c r="CX21" s="153"/>
      <c r="CY21" s="153"/>
      <c r="CZ21" s="153"/>
      <c r="DA21" s="153"/>
      <c r="DB21" s="151"/>
      <c r="DC21" s="151"/>
      <c r="DD21" s="151"/>
      <c r="DE21" s="151"/>
      <c r="DF21" s="151"/>
      <c r="DG21" s="151"/>
      <c r="DH21" s="151"/>
      <c r="DI21" s="151"/>
      <c r="DJ21" s="151"/>
      <c r="DK21" s="153"/>
      <c r="DL21" s="153"/>
      <c r="DM21" s="153"/>
      <c r="DN21" s="153"/>
      <c r="DO21" s="153"/>
      <c r="DP21" s="153"/>
      <c r="DQ21" s="151"/>
      <c r="DR21" s="151"/>
      <c r="DS21" s="151"/>
    </row>
    <row r="22" spans="1:123">
      <c r="A22" s="132"/>
      <c r="B22" s="132"/>
      <c r="C22" s="148" t="s">
        <v>30</v>
      </c>
      <c r="D22" s="151"/>
      <c r="E22" s="151"/>
      <c r="F22" s="151"/>
      <c r="G22" s="151"/>
      <c r="H22" s="151"/>
      <c r="I22" s="151"/>
      <c r="J22" s="151">
        <v>2720</v>
      </c>
      <c r="K22" s="151"/>
      <c r="L22" s="151">
        <v>2720</v>
      </c>
      <c r="M22" s="151">
        <v>2720</v>
      </c>
      <c r="N22" s="151"/>
      <c r="O22" s="151">
        <v>2720</v>
      </c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  <c r="AU22" s="151"/>
      <c r="AV22" s="151"/>
      <c r="AW22" s="151"/>
      <c r="AX22" s="151"/>
      <c r="AY22" s="151"/>
      <c r="AZ22" s="153">
        <v>2720</v>
      </c>
      <c r="BA22" s="153"/>
      <c r="BB22" s="153">
        <v>2720</v>
      </c>
      <c r="BC22" s="153">
        <v>2720</v>
      </c>
      <c r="BD22" s="153"/>
      <c r="BE22" s="153">
        <v>2720</v>
      </c>
      <c r="BF22" s="151"/>
      <c r="BG22" s="151"/>
      <c r="BH22" s="151"/>
      <c r="BI22" s="151"/>
      <c r="BJ22" s="151"/>
      <c r="BK22" s="151"/>
      <c r="BL22" s="153"/>
      <c r="BM22" s="153"/>
      <c r="BN22" s="153"/>
      <c r="BO22" s="151"/>
      <c r="BP22" s="151"/>
      <c r="BQ22" s="151"/>
      <c r="BR22" s="151"/>
      <c r="BS22" s="151"/>
      <c r="BT22" s="151"/>
      <c r="BU22" s="151"/>
      <c r="BV22" s="151"/>
      <c r="BW22" s="151"/>
      <c r="BX22" s="153"/>
      <c r="BY22" s="153"/>
      <c r="BZ22" s="153"/>
      <c r="CA22" s="151">
        <v>2720</v>
      </c>
      <c r="CB22" s="151"/>
      <c r="CC22" s="151">
        <v>2720</v>
      </c>
      <c r="CD22" s="151"/>
      <c r="CE22" s="151"/>
      <c r="CF22" s="151"/>
      <c r="CG22" s="151"/>
      <c r="CH22" s="151"/>
      <c r="CI22" s="151"/>
      <c r="CJ22" s="153">
        <v>2720</v>
      </c>
      <c r="CK22" s="153"/>
      <c r="CL22" s="153">
        <v>2720</v>
      </c>
      <c r="CM22" s="151"/>
      <c r="CN22" s="151"/>
      <c r="CO22" s="151"/>
      <c r="CP22" s="151"/>
      <c r="CQ22" s="151"/>
      <c r="CR22" s="151"/>
      <c r="CS22" s="151"/>
      <c r="CT22" s="151"/>
      <c r="CU22" s="151"/>
      <c r="CV22" s="153"/>
      <c r="CW22" s="153"/>
      <c r="CX22" s="153"/>
      <c r="CY22" s="153">
        <v>2720</v>
      </c>
      <c r="CZ22" s="153"/>
      <c r="DA22" s="153">
        <v>2720</v>
      </c>
      <c r="DB22" s="151"/>
      <c r="DC22" s="151"/>
      <c r="DD22" s="151"/>
      <c r="DE22" s="151"/>
      <c r="DF22" s="151"/>
      <c r="DG22" s="151"/>
      <c r="DH22" s="151"/>
      <c r="DI22" s="151"/>
      <c r="DJ22" s="151"/>
      <c r="DK22" s="153"/>
      <c r="DL22" s="153"/>
      <c r="DM22" s="153"/>
      <c r="DN22" s="153"/>
      <c r="DO22" s="153"/>
      <c r="DP22" s="153"/>
      <c r="DQ22" s="151">
        <v>2720</v>
      </c>
      <c r="DR22" s="151"/>
      <c r="DS22" s="151">
        <v>2720</v>
      </c>
    </row>
    <row r="23" spans="1:123">
      <c r="A23" s="132"/>
      <c r="B23" s="132"/>
      <c r="C23" s="148" t="s">
        <v>32</v>
      </c>
      <c r="D23" s="151"/>
      <c r="E23" s="151"/>
      <c r="F23" s="151"/>
      <c r="G23" s="151"/>
      <c r="H23" s="151"/>
      <c r="I23" s="151"/>
      <c r="J23" s="151">
        <v>7000</v>
      </c>
      <c r="K23" s="151"/>
      <c r="L23" s="151">
        <v>7000</v>
      </c>
      <c r="M23" s="151">
        <v>7000</v>
      </c>
      <c r="N23" s="151"/>
      <c r="O23" s="151">
        <v>7000</v>
      </c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>
        <v>3000</v>
      </c>
      <c r="AC23" s="151"/>
      <c r="AD23" s="151">
        <v>3000</v>
      </c>
      <c r="AE23" s="151"/>
      <c r="AF23" s="151"/>
      <c r="AG23" s="151"/>
      <c r="AH23" s="151"/>
      <c r="AI23" s="151"/>
      <c r="AJ23" s="151"/>
      <c r="AK23" s="151">
        <v>3000</v>
      </c>
      <c r="AL23" s="151"/>
      <c r="AM23" s="151">
        <v>3000</v>
      </c>
      <c r="AN23" s="151"/>
      <c r="AO23" s="151"/>
      <c r="AP23" s="151"/>
      <c r="AQ23" s="151"/>
      <c r="AR23" s="151"/>
      <c r="AS23" s="151"/>
      <c r="AT23" s="151"/>
      <c r="AU23" s="151"/>
      <c r="AV23" s="151"/>
      <c r="AW23" s="151"/>
      <c r="AX23" s="151"/>
      <c r="AY23" s="151"/>
      <c r="AZ23" s="153">
        <v>10000</v>
      </c>
      <c r="BA23" s="153"/>
      <c r="BB23" s="153">
        <v>10000</v>
      </c>
      <c r="BC23" s="153">
        <v>10000</v>
      </c>
      <c r="BD23" s="153"/>
      <c r="BE23" s="153">
        <v>10000</v>
      </c>
      <c r="BF23" s="151"/>
      <c r="BG23" s="151"/>
      <c r="BH23" s="151"/>
      <c r="BI23" s="151"/>
      <c r="BJ23" s="151"/>
      <c r="BK23" s="151"/>
      <c r="BL23" s="153"/>
      <c r="BM23" s="153"/>
      <c r="BN23" s="153"/>
      <c r="BO23" s="151"/>
      <c r="BP23" s="151"/>
      <c r="BQ23" s="151"/>
      <c r="BR23" s="151"/>
      <c r="BS23" s="151"/>
      <c r="BT23" s="151"/>
      <c r="BU23" s="151"/>
      <c r="BV23" s="151"/>
      <c r="BW23" s="151"/>
      <c r="BX23" s="153"/>
      <c r="BY23" s="153"/>
      <c r="BZ23" s="153"/>
      <c r="CA23" s="151">
        <v>7000</v>
      </c>
      <c r="CB23" s="151"/>
      <c r="CC23" s="151">
        <v>7000</v>
      </c>
      <c r="CD23" s="151"/>
      <c r="CE23" s="151"/>
      <c r="CF23" s="151"/>
      <c r="CG23" s="151"/>
      <c r="CH23" s="151"/>
      <c r="CI23" s="151"/>
      <c r="CJ23" s="153">
        <v>7000</v>
      </c>
      <c r="CK23" s="153"/>
      <c r="CL23" s="153">
        <v>7000</v>
      </c>
      <c r="CM23" s="151"/>
      <c r="CN23" s="151"/>
      <c r="CO23" s="151"/>
      <c r="CP23" s="151">
        <v>3000</v>
      </c>
      <c r="CQ23" s="151"/>
      <c r="CR23" s="151">
        <v>3000</v>
      </c>
      <c r="CS23" s="151"/>
      <c r="CT23" s="151"/>
      <c r="CU23" s="151"/>
      <c r="CV23" s="153">
        <v>3000</v>
      </c>
      <c r="CW23" s="153"/>
      <c r="CX23" s="153">
        <v>3000</v>
      </c>
      <c r="CY23" s="153">
        <v>10000</v>
      </c>
      <c r="CZ23" s="153"/>
      <c r="DA23" s="153">
        <v>10000</v>
      </c>
      <c r="DB23" s="151"/>
      <c r="DC23" s="151"/>
      <c r="DD23" s="151"/>
      <c r="DE23" s="151"/>
      <c r="DF23" s="151"/>
      <c r="DG23" s="151"/>
      <c r="DH23" s="151"/>
      <c r="DI23" s="151"/>
      <c r="DJ23" s="151"/>
      <c r="DK23" s="153"/>
      <c r="DL23" s="153"/>
      <c r="DM23" s="153"/>
      <c r="DN23" s="153"/>
      <c r="DO23" s="153"/>
      <c r="DP23" s="153"/>
      <c r="DQ23" s="151">
        <v>10000</v>
      </c>
      <c r="DR23" s="151"/>
      <c r="DS23" s="151">
        <v>10000</v>
      </c>
    </row>
    <row r="24" spans="1:123">
      <c r="A24" s="132"/>
      <c r="B24" s="132" t="s">
        <v>350</v>
      </c>
      <c r="C24" s="148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3"/>
      <c r="BA24" s="153"/>
      <c r="BB24" s="153"/>
      <c r="BC24" s="153"/>
      <c r="BD24" s="153"/>
      <c r="BE24" s="153"/>
      <c r="BF24" s="151"/>
      <c r="BG24" s="151"/>
      <c r="BH24" s="151"/>
      <c r="BI24" s="151"/>
      <c r="BJ24" s="151"/>
      <c r="BK24" s="151"/>
      <c r="BL24" s="153"/>
      <c r="BM24" s="153"/>
      <c r="BN24" s="153"/>
      <c r="BO24" s="151"/>
      <c r="BP24" s="151"/>
      <c r="BQ24" s="151"/>
      <c r="BR24" s="151"/>
      <c r="BS24" s="151"/>
      <c r="BT24" s="151"/>
      <c r="BU24" s="151"/>
      <c r="BV24" s="151"/>
      <c r="BW24" s="151"/>
      <c r="BX24" s="153"/>
      <c r="BY24" s="153"/>
      <c r="BZ24" s="153"/>
      <c r="CA24" s="151"/>
      <c r="CB24" s="151"/>
      <c r="CC24" s="151"/>
      <c r="CD24" s="151"/>
      <c r="CE24" s="151"/>
      <c r="CF24" s="151"/>
      <c r="CG24" s="151"/>
      <c r="CH24" s="151"/>
      <c r="CI24" s="151"/>
      <c r="CJ24" s="153"/>
      <c r="CK24" s="153"/>
      <c r="CL24" s="153"/>
      <c r="CM24" s="151"/>
      <c r="CN24" s="151"/>
      <c r="CO24" s="151"/>
      <c r="CP24" s="151"/>
      <c r="CQ24" s="151"/>
      <c r="CR24" s="151"/>
      <c r="CS24" s="151"/>
      <c r="CT24" s="151"/>
      <c r="CU24" s="151"/>
      <c r="CV24" s="153"/>
      <c r="CW24" s="153"/>
      <c r="CX24" s="153"/>
      <c r="CY24" s="153"/>
      <c r="CZ24" s="153"/>
      <c r="DA24" s="153"/>
      <c r="DB24" s="151"/>
      <c r="DC24" s="151"/>
      <c r="DD24" s="151"/>
      <c r="DE24" s="151"/>
      <c r="DF24" s="151"/>
      <c r="DG24" s="151"/>
      <c r="DH24" s="151"/>
      <c r="DI24" s="151"/>
      <c r="DJ24" s="151"/>
      <c r="DK24" s="153"/>
      <c r="DL24" s="153"/>
      <c r="DM24" s="153"/>
      <c r="DN24" s="153"/>
      <c r="DO24" s="153"/>
      <c r="DP24" s="153"/>
      <c r="DQ24" s="151"/>
      <c r="DR24" s="151"/>
      <c r="DS24" s="151"/>
    </row>
    <row r="25" ht="31.5" spans="1:123">
      <c r="A25" s="132"/>
      <c r="B25" s="132"/>
      <c r="C25" s="148" t="s">
        <v>34</v>
      </c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>
        <v>324000</v>
      </c>
      <c r="Q25" s="151"/>
      <c r="R25" s="151">
        <v>324000</v>
      </c>
      <c r="S25" s="151"/>
      <c r="T25" s="151"/>
      <c r="U25" s="151"/>
      <c r="V25" s="151"/>
      <c r="W25" s="151"/>
      <c r="X25" s="151"/>
      <c r="Y25" s="151">
        <v>324000</v>
      </c>
      <c r="Z25" s="151"/>
      <c r="AA25" s="151">
        <v>324000</v>
      </c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3">
        <v>324000</v>
      </c>
      <c r="BA25" s="153"/>
      <c r="BB25" s="153">
        <v>324000</v>
      </c>
      <c r="BC25" s="153">
        <v>324000</v>
      </c>
      <c r="BD25" s="153"/>
      <c r="BE25" s="153">
        <v>324000</v>
      </c>
      <c r="BF25" s="151"/>
      <c r="BG25" s="151"/>
      <c r="BH25" s="151"/>
      <c r="BI25" s="151"/>
      <c r="BJ25" s="151"/>
      <c r="BK25" s="151"/>
      <c r="BL25" s="153"/>
      <c r="BM25" s="153"/>
      <c r="BN25" s="153"/>
      <c r="BO25" s="151"/>
      <c r="BP25" s="151"/>
      <c r="BQ25" s="151"/>
      <c r="BR25" s="151"/>
      <c r="BS25" s="151"/>
      <c r="BT25" s="151"/>
      <c r="BU25" s="151"/>
      <c r="BV25" s="151"/>
      <c r="BW25" s="151"/>
      <c r="BX25" s="153"/>
      <c r="BY25" s="153"/>
      <c r="BZ25" s="153"/>
      <c r="CA25" s="151"/>
      <c r="CB25" s="151"/>
      <c r="CC25" s="151"/>
      <c r="CD25" s="151">
        <v>324000</v>
      </c>
      <c r="CE25" s="151"/>
      <c r="CF25" s="151">
        <v>324000</v>
      </c>
      <c r="CG25" s="151"/>
      <c r="CH25" s="151"/>
      <c r="CI25" s="151"/>
      <c r="CJ25" s="153">
        <v>324000</v>
      </c>
      <c r="CK25" s="153"/>
      <c r="CL25" s="153">
        <v>324000</v>
      </c>
      <c r="CM25" s="151"/>
      <c r="CN25" s="151"/>
      <c r="CO25" s="151"/>
      <c r="CP25" s="151"/>
      <c r="CQ25" s="151"/>
      <c r="CR25" s="151"/>
      <c r="CS25" s="151"/>
      <c r="CT25" s="151"/>
      <c r="CU25" s="151"/>
      <c r="CV25" s="153"/>
      <c r="CW25" s="153"/>
      <c r="CX25" s="153"/>
      <c r="CY25" s="153">
        <v>324000</v>
      </c>
      <c r="CZ25" s="153"/>
      <c r="DA25" s="153">
        <v>324000</v>
      </c>
      <c r="DB25" s="151"/>
      <c r="DC25" s="151"/>
      <c r="DD25" s="151"/>
      <c r="DE25" s="151"/>
      <c r="DF25" s="151"/>
      <c r="DG25" s="151"/>
      <c r="DH25" s="151"/>
      <c r="DI25" s="151"/>
      <c r="DJ25" s="151"/>
      <c r="DK25" s="153"/>
      <c r="DL25" s="153"/>
      <c r="DM25" s="153"/>
      <c r="DN25" s="153"/>
      <c r="DO25" s="153"/>
      <c r="DP25" s="153"/>
      <c r="DQ25" s="151">
        <v>324000</v>
      </c>
      <c r="DR25" s="151"/>
      <c r="DS25" s="151">
        <v>324000</v>
      </c>
    </row>
    <row r="26" ht="31.5" spans="1:123">
      <c r="A26" s="132"/>
      <c r="B26" s="132"/>
      <c r="C26" s="148" t="s">
        <v>36</v>
      </c>
      <c r="D26" s="151"/>
      <c r="E26" s="151"/>
      <c r="F26" s="151"/>
      <c r="G26" s="151"/>
      <c r="H26" s="151"/>
      <c r="I26" s="151"/>
      <c r="J26" s="151">
        <v>86400</v>
      </c>
      <c r="K26" s="151"/>
      <c r="L26" s="151">
        <v>86400</v>
      </c>
      <c r="M26" s="151">
        <v>86400</v>
      </c>
      <c r="N26" s="151"/>
      <c r="O26" s="151">
        <v>86400</v>
      </c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>
        <v>35100</v>
      </c>
      <c r="AC26" s="151"/>
      <c r="AD26" s="151">
        <v>35100</v>
      </c>
      <c r="AE26" s="151"/>
      <c r="AF26" s="151"/>
      <c r="AG26" s="151"/>
      <c r="AH26" s="151"/>
      <c r="AI26" s="151"/>
      <c r="AJ26" s="151"/>
      <c r="AK26" s="151">
        <v>35100</v>
      </c>
      <c r="AL26" s="151"/>
      <c r="AM26" s="151">
        <v>35100</v>
      </c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3">
        <v>121500</v>
      </c>
      <c r="BA26" s="153"/>
      <c r="BB26" s="153">
        <v>121500</v>
      </c>
      <c r="BC26" s="153">
        <v>121500</v>
      </c>
      <c r="BD26" s="153"/>
      <c r="BE26" s="153">
        <v>121500</v>
      </c>
      <c r="BF26" s="151"/>
      <c r="BG26" s="151"/>
      <c r="BH26" s="151"/>
      <c r="BI26" s="151"/>
      <c r="BJ26" s="151"/>
      <c r="BK26" s="151"/>
      <c r="BL26" s="153"/>
      <c r="BM26" s="153"/>
      <c r="BN26" s="153"/>
      <c r="BO26" s="151"/>
      <c r="BP26" s="151"/>
      <c r="BQ26" s="151"/>
      <c r="BR26" s="151"/>
      <c r="BS26" s="151"/>
      <c r="BT26" s="151"/>
      <c r="BU26" s="151"/>
      <c r="BV26" s="151"/>
      <c r="BW26" s="151"/>
      <c r="BX26" s="153"/>
      <c r="BY26" s="153"/>
      <c r="BZ26" s="153"/>
      <c r="CA26" s="151">
        <v>86400</v>
      </c>
      <c r="CB26" s="151"/>
      <c r="CC26" s="151">
        <v>86400</v>
      </c>
      <c r="CD26" s="151"/>
      <c r="CE26" s="151"/>
      <c r="CF26" s="151"/>
      <c r="CG26" s="151"/>
      <c r="CH26" s="151"/>
      <c r="CI26" s="151"/>
      <c r="CJ26" s="153">
        <v>86400</v>
      </c>
      <c r="CK26" s="153"/>
      <c r="CL26" s="153">
        <v>86400</v>
      </c>
      <c r="CM26" s="151"/>
      <c r="CN26" s="151"/>
      <c r="CO26" s="151"/>
      <c r="CP26" s="151">
        <v>35100</v>
      </c>
      <c r="CQ26" s="151"/>
      <c r="CR26" s="151">
        <v>35100</v>
      </c>
      <c r="CS26" s="151"/>
      <c r="CT26" s="151"/>
      <c r="CU26" s="151"/>
      <c r="CV26" s="153">
        <v>35100</v>
      </c>
      <c r="CW26" s="153"/>
      <c r="CX26" s="153">
        <v>35100</v>
      </c>
      <c r="CY26" s="153">
        <v>121500</v>
      </c>
      <c r="CZ26" s="153"/>
      <c r="DA26" s="153">
        <v>121500</v>
      </c>
      <c r="DB26" s="151"/>
      <c r="DC26" s="151"/>
      <c r="DD26" s="151"/>
      <c r="DE26" s="151"/>
      <c r="DF26" s="151"/>
      <c r="DG26" s="151"/>
      <c r="DH26" s="151"/>
      <c r="DI26" s="151"/>
      <c r="DJ26" s="151"/>
      <c r="DK26" s="153"/>
      <c r="DL26" s="153"/>
      <c r="DM26" s="153"/>
      <c r="DN26" s="153"/>
      <c r="DO26" s="153"/>
      <c r="DP26" s="153"/>
      <c r="DQ26" s="151">
        <v>121500</v>
      </c>
      <c r="DR26" s="151"/>
      <c r="DS26" s="151">
        <v>121500</v>
      </c>
    </row>
    <row r="27" spans="1:123">
      <c r="A27" s="132"/>
      <c r="B27" s="132" t="s">
        <v>351</v>
      </c>
      <c r="C27" s="148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3"/>
      <c r="BA27" s="153"/>
      <c r="BB27" s="153"/>
      <c r="BC27" s="153"/>
      <c r="BD27" s="153"/>
      <c r="BE27" s="153"/>
      <c r="BF27" s="151"/>
      <c r="BG27" s="151"/>
      <c r="BH27" s="151"/>
      <c r="BI27" s="151"/>
      <c r="BJ27" s="151"/>
      <c r="BK27" s="151"/>
      <c r="BL27" s="153"/>
      <c r="BM27" s="153"/>
      <c r="BN27" s="153"/>
      <c r="BO27" s="151"/>
      <c r="BP27" s="151"/>
      <c r="BQ27" s="151"/>
      <c r="BR27" s="151"/>
      <c r="BS27" s="151"/>
      <c r="BT27" s="151"/>
      <c r="BU27" s="151"/>
      <c r="BV27" s="151"/>
      <c r="BW27" s="151"/>
      <c r="BX27" s="153"/>
      <c r="BY27" s="153"/>
      <c r="BZ27" s="153"/>
      <c r="CA27" s="151"/>
      <c r="CB27" s="151"/>
      <c r="CC27" s="151"/>
      <c r="CD27" s="151"/>
      <c r="CE27" s="151"/>
      <c r="CF27" s="151"/>
      <c r="CG27" s="151"/>
      <c r="CH27" s="151"/>
      <c r="CI27" s="151"/>
      <c r="CJ27" s="153"/>
      <c r="CK27" s="153"/>
      <c r="CL27" s="153"/>
      <c r="CM27" s="151"/>
      <c r="CN27" s="151"/>
      <c r="CO27" s="151"/>
      <c r="CP27" s="151"/>
      <c r="CQ27" s="151"/>
      <c r="CR27" s="151"/>
      <c r="CS27" s="151"/>
      <c r="CT27" s="151"/>
      <c r="CU27" s="151"/>
      <c r="CV27" s="153"/>
      <c r="CW27" s="153"/>
      <c r="CX27" s="153"/>
      <c r="CY27" s="153"/>
      <c r="CZ27" s="153"/>
      <c r="DA27" s="153"/>
      <c r="DB27" s="151"/>
      <c r="DC27" s="151"/>
      <c r="DD27" s="151"/>
      <c r="DE27" s="151"/>
      <c r="DF27" s="151"/>
      <c r="DG27" s="151"/>
      <c r="DH27" s="151"/>
      <c r="DI27" s="151"/>
      <c r="DJ27" s="151"/>
      <c r="DK27" s="153"/>
      <c r="DL27" s="153"/>
      <c r="DM27" s="153"/>
      <c r="DN27" s="153"/>
      <c r="DO27" s="153"/>
      <c r="DP27" s="153"/>
      <c r="DQ27" s="151"/>
      <c r="DR27" s="151"/>
      <c r="DS27" s="151"/>
    </row>
    <row r="28" ht="31.5" spans="1:123">
      <c r="A28" s="132"/>
      <c r="B28" s="132"/>
      <c r="C28" s="148" t="s">
        <v>86</v>
      </c>
      <c r="D28" s="151"/>
      <c r="E28" s="151"/>
      <c r="F28" s="151"/>
      <c r="G28" s="151"/>
      <c r="H28" s="151"/>
      <c r="I28" s="151"/>
      <c r="J28" s="151">
        <v>6000</v>
      </c>
      <c r="K28" s="151"/>
      <c r="L28" s="151">
        <v>6000</v>
      </c>
      <c r="M28" s="151">
        <v>6000</v>
      </c>
      <c r="N28" s="151"/>
      <c r="O28" s="151">
        <v>6000</v>
      </c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3">
        <v>6000</v>
      </c>
      <c r="BA28" s="153"/>
      <c r="BB28" s="153">
        <v>6000</v>
      </c>
      <c r="BC28" s="153">
        <v>6000</v>
      </c>
      <c r="BD28" s="153"/>
      <c r="BE28" s="153">
        <v>6000</v>
      </c>
      <c r="BF28" s="151"/>
      <c r="BG28" s="151"/>
      <c r="BH28" s="151"/>
      <c r="BI28" s="151"/>
      <c r="BJ28" s="151"/>
      <c r="BK28" s="151"/>
      <c r="BL28" s="153"/>
      <c r="BM28" s="153"/>
      <c r="BN28" s="153"/>
      <c r="BO28" s="151"/>
      <c r="BP28" s="151"/>
      <c r="BQ28" s="151"/>
      <c r="BR28" s="151"/>
      <c r="BS28" s="151"/>
      <c r="BT28" s="151"/>
      <c r="BU28" s="151">
        <v>6000</v>
      </c>
      <c r="BV28" s="151"/>
      <c r="BW28" s="151">
        <v>6000</v>
      </c>
      <c r="BX28" s="153">
        <v>6000</v>
      </c>
      <c r="BY28" s="153"/>
      <c r="BZ28" s="153">
        <v>6000</v>
      </c>
      <c r="CA28" s="151"/>
      <c r="CB28" s="151"/>
      <c r="CC28" s="151"/>
      <c r="CD28" s="151"/>
      <c r="CE28" s="151"/>
      <c r="CF28" s="151"/>
      <c r="CG28" s="151"/>
      <c r="CH28" s="151"/>
      <c r="CI28" s="151"/>
      <c r="CJ28" s="153"/>
      <c r="CK28" s="153"/>
      <c r="CL28" s="153"/>
      <c r="CM28" s="151"/>
      <c r="CN28" s="151"/>
      <c r="CO28" s="151"/>
      <c r="CP28" s="151"/>
      <c r="CQ28" s="151"/>
      <c r="CR28" s="151"/>
      <c r="CS28" s="151"/>
      <c r="CT28" s="151"/>
      <c r="CU28" s="151"/>
      <c r="CV28" s="153"/>
      <c r="CW28" s="153"/>
      <c r="CX28" s="153"/>
      <c r="CY28" s="153">
        <v>6000</v>
      </c>
      <c r="CZ28" s="153"/>
      <c r="DA28" s="153">
        <v>6000</v>
      </c>
      <c r="DB28" s="151"/>
      <c r="DC28" s="151"/>
      <c r="DD28" s="151"/>
      <c r="DE28" s="151"/>
      <c r="DF28" s="151"/>
      <c r="DG28" s="151"/>
      <c r="DH28" s="151"/>
      <c r="DI28" s="151"/>
      <c r="DJ28" s="151"/>
      <c r="DK28" s="153"/>
      <c r="DL28" s="153"/>
      <c r="DM28" s="153"/>
      <c r="DN28" s="153"/>
      <c r="DO28" s="153"/>
      <c r="DP28" s="153"/>
      <c r="DQ28" s="151">
        <v>6000</v>
      </c>
      <c r="DR28" s="151"/>
      <c r="DS28" s="151">
        <v>6000</v>
      </c>
    </row>
    <row r="29" ht="31.5" spans="1:123">
      <c r="A29" s="132"/>
      <c r="B29" s="132"/>
      <c r="C29" s="148" t="s">
        <v>88</v>
      </c>
      <c r="D29" s="151"/>
      <c r="E29" s="151"/>
      <c r="F29" s="151"/>
      <c r="G29" s="151"/>
      <c r="H29" s="151"/>
      <c r="I29" s="151"/>
      <c r="J29" s="151">
        <v>1500</v>
      </c>
      <c r="K29" s="151"/>
      <c r="L29" s="151">
        <v>1500</v>
      </c>
      <c r="M29" s="151">
        <v>1500</v>
      </c>
      <c r="N29" s="151"/>
      <c r="O29" s="151">
        <v>1500</v>
      </c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1"/>
      <c r="AX29" s="151"/>
      <c r="AY29" s="151"/>
      <c r="AZ29" s="153">
        <v>1500</v>
      </c>
      <c r="BA29" s="153"/>
      <c r="BB29" s="153">
        <v>1500</v>
      </c>
      <c r="BC29" s="153">
        <v>1500</v>
      </c>
      <c r="BD29" s="153"/>
      <c r="BE29" s="153">
        <v>1500</v>
      </c>
      <c r="BF29" s="151"/>
      <c r="BG29" s="151"/>
      <c r="BH29" s="151"/>
      <c r="BI29" s="151"/>
      <c r="BJ29" s="151"/>
      <c r="BK29" s="151"/>
      <c r="BL29" s="153"/>
      <c r="BM29" s="153"/>
      <c r="BN29" s="153"/>
      <c r="BO29" s="151"/>
      <c r="BP29" s="151"/>
      <c r="BQ29" s="151"/>
      <c r="BR29" s="151"/>
      <c r="BS29" s="151"/>
      <c r="BT29" s="151"/>
      <c r="BU29" s="151">
        <v>1500</v>
      </c>
      <c r="BV29" s="151"/>
      <c r="BW29" s="151">
        <v>1500</v>
      </c>
      <c r="BX29" s="153">
        <v>1500</v>
      </c>
      <c r="BY29" s="153"/>
      <c r="BZ29" s="153">
        <v>1500</v>
      </c>
      <c r="CA29" s="151"/>
      <c r="CB29" s="151"/>
      <c r="CC29" s="151"/>
      <c r="CD29" s="151"/>
      <c r="CE29" s="151"/>
      <c r="CF29" s="151"/>
      <c r="CG29" s="151"/>
      <c r="CH29" s="151"/>
      <c r="CI29" s="151"/>
      <c r="CJ29" s="153"/>
      <c r="CK29" s="153"/>
      <c r="CL29" s="153"/>
      <c r="CM29" s="151"/>
      <c r="CN29" s="151"/>
      <c r="CO29" s="151"/>
      <c r="CP29" s="151"/>
      <c r="CQ29" s="151"/>
      <c r="CR29" s="151"/>
      <c r="CS29" s="151"/>
      <c r="CT29" s="151"/>
      <c r="CU29" s="151"/>
      <c r="CV29" s="153"/>
      <c r="CW29" s="153"/>
      <c r="CX29" s="153"/>
      <c r="CY29" s="153">
        <v>1500</v>
      </c>
      <c r="CZ29" s="153"/>
      <c r="DA29" s="153">
        <v>1500</v>
      </c>
      <c r="DB29" s="151"/>
      <c r="DC29" s="151"/>
      <c r="DD29" s="151"/>
      <c r="DE29" s="151"/>
      <c r="DF29" s="151"/>
      <c r="DG29" s="151"/>
      <c r="DH29" s="151"/>
      <c r="DI29" s="151"/>
      <c r="DJ29" s="151"/>
      <c r="DK29" s="153"/>
      <c r="DL29" s="153"/>
      <c r="DM29" s="153"/>
      <c r="DN29" s="153"/>
      <c r="DO29" s="153"/>
      <c r="DP29" s="153"/>
      <c r="DQ29" s="151">
        <v>1500</v>
      </c>
      <c r="DR29" s="151"/>
      <c r="DS29" s="151">
        <v>1500</v>
      </c>
    </row>
    <row r="30" ht="31.5" spans="1:123">
      <c r="A30" s="132"/>
      <c r="B30" s="132"/>
      <c r="C30" s="148" t="s">
        <v>90</v>
      </c>
      <c r="D30" s="151"/>
      <c r="E30" s="151"/>
      <c r="F30" s="151"/>
      <c r="G30" s="151"/>
      <c r="H30" s="151"/>
      <c r="I30" s="151"/>
      <c r="J30" s="151">
        <v>2750</v>
      </c>
      <c r="K30" s="151"/>
      <c r="L30" s="151">
        <v>2750</v>
      </c>
      <c r="M30" s="151">
        <v>2750</v>
      </c>
      <c r="N30" s="151"/>
      <c r="O30" s="151">
        <v>2750</v>
      </c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1"/>
      <c r="AU30" s="151"/>
      <c r="AV30" s="151"/>
      <c r="AW30" s="151"/>
      <c r="AX30" s="151"/>
      <c r="AY30" s="151"/>
      <c r="AZ30" s="153">
        <v>2750</v>
      </c>
      <c r="BA30" s="153"/>
      <c r="BB30" s="153">
        <v>2750</v>
      </c>
      <c r="BC30" s="153">
        <v>2750</v>
      </c>
      <c r="BD30" s="153"/>
      <c r="BE30" s="153">
        <v>2750</v>
      </c>
      <c r="BF30" s="151"/>
      <c r="BG30" s="151"/>
      <c r="BH30" s="151"/>
      <c r="BI30" s="151"/>
      <c r="BJ30" s="151"/>
      <c r="BK30" s="151"/>
      <c r="BL30" s="153"/>
      <c r="BM30" s="153"/>
      <c r="BN30" s="153"/>
      <c r="BO30" s="151"/>
      <c r="BP30" s="151"/>
      <c r="BQ30" s="151"/>
      <c r="BR30" s="151"/>
      <c r="BS30" s="151"/>
      <c r="BT30" s="151"/>
      <c r="BU30" s="151">
        <v>2750</v>
      </c>
      <c r="BV30" s="151"/>
      <c r="BW30" s="151">
        <v>2750</v>
      </c>
      <c r="BX30" s="153">
        <v>2750</v>
      </c>
      <c r="BY30" s="153"/>
      <c r="BZ30" s="153">
        <v>2750</v>
      </c>
      <c r="CA30" s="151"/>
      <c r="CB30" s="151"/>
      <c r="CC30" s="151"/>
      <c r="CD30" s="151"/>
      <c r="CE30" s="151"/>
      <c r="CF30" s="151"/>
      <c r="CG30" s="151"/>
      <c r="CH30" s="151"/>
      <c r="CI30" s="151"/>
      <c r="CJ30" s="153"/>
      <c r="CK30" s="153"/>
      <c r="CL30" s="153"/>
      <c r="CM30" s="151"/>
      <c r="CN30" s="151"/>
      <c r="CO30" s="151"/>
      <c r="CP30" s="151"/>
      <c r="CQ30" s="151"/>
      <c r="CR30" s="151"/>
      <c r="CS30" s="151"/>
      <c r="CT30" s="151"/>
      <c r="CU30" s="151"/>
      <c r="CV30" s="153"/>
      <c r="CW30" s="153"/>
      <c r="CX30" s="153"/>
      <c r="CY30" s="153">
        <v>2750</v>
      </c>
      <c r="CZ30" s="153"/>
      <c r="DA30" s="153">
        <v>2750</v>
      </c>
      <c r="DB30" s="151"/>
      <c r="DC30" s="151"/>
      <c r="DD30" s="151"/>
      <c r="DE30" s="151"/>
      <c r="DF30" s="151"/>
      <c r="DG30" s="151"/>
      <c r="DH30" s="151"/>
      <c r="DI30" s="151"/>
      <c r="DJ30" s="151"/>
      <c r="DK30" s="153"/>
      <c r="DL30" s="153"/>
      <c r="DM30" s="153"/>
      <c r="DN30" s="153"/>
      <c r="DO30" s="153"/>
      <c r="DP30" s="153"/>
      <c r="DQ30" s="151">
        <v>2750</v>
      </c>
      <c r="DR30" s="151"/>
      <c r="DS30" s="151">
        <v>2750</v>
      </c>
    </row>
    <row r="31" ht="31.5" spans="1:123">
      <c r="A31" s="132"/>
      <c r="B31" s="132"/>
      <c r="C31" s="148" t="s">
        <v>92</v>
      </c>
      <c r="D31" s="151"/>
      <c r="E31" s="151"/>
      <c r="F31" s="151"/>
      <c r="G31" s="151"/>
      <c r="H31" s="151"/>
      <c r="I31" s="151"/>
      <c r="J31" s="151">
        <v>4000</v>
      </c>
      <c r="K31" s="151"/>
      <c r="L31" s="151">
        <v>4000</v>
      </c>
      <c r="M31" s="151">
        <v>4000</v>
      </c>
      <c r="N31" s="151"/>
      <c r="O31" s="151">
        <v>4000</v>
      </c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/>
      <c r="AY31" s="151"/>
      <c r="AZ31" s="153">
        <v>4000</v>
      </c>
      <c r="BA31" s="153"/>
      <c r="BB31" s="153">
        <v>4000</v>
      </c>
      <c r="BC31" s="153">
        <v>4000</v>
      </c>
      <c r="BD31" s="153"/>
      <c r="BE31" s="153">
        <v>4000</v>
      </c>
      <c r="BF31" s="151"/>
      <c r="BG31" s="151"/>
      <c r="BH31" s="151"/>
      <c r="BI31" s="151"/>
      <c r="BJ31" s="151"/>
      <c r="BK31" s="151"/>
      <c r="BL31" s="153"/>
      <c r="BM31" s="153"/>
      <c r="BN31" s="153"/>
      <c r="BO31" s="151"/>
      <c r="BP31" s="151"/>
      <c r="BQ31" s="151"/>
      <c r="BR31" s="151"/>
      <c r="BS31" s="151"/>
      <c r="BT31" s="151"/>
      <c r="BU31" s="151"/>
      <c r="BV31" s="151"/>
      <c r="BW31" s="151"/>
      <c r="BX31" s="153"/>
      <c r="BY31" s="153"/>
      <c r="BZ31" s="153"/>
      <c r="CA31" s="151">
        <v>4000</v>
      </c>
      <c r="CB31" s="151"/>
      <c r="CC31" s="151">
        <v>4000</v>
      </c>
      <c r="CD31" s="151"/>
      <c r="CE31" s="151"/>
      <c r="CF31" s="151"/>
      <c r="CG31" s="151"/>
      <c r="CH31" s="151"/>
      <c r="CI31" s="151"/>
      <c r="CJ31" s="153">
        <v>4000</v>
      </c>
      <c r="CK31" s="153"/>
      <c r="CL31" s="153">
        <v>4000</v>
      </c>
      <c r="CM31" s="151"/>
      <c r="CN31" s="151"/>
      <c r="CO31" s="151"/>
      <c r="CP31" s="151"/>
      <c r="CQ31" s="151"/>
      <c r="CR31" s="151"/>
      <c r="CS31" s="151"/>
      <c r="CT31" s="151"/>
      <c r="CU31" s="151"/>
      <c r="CV31" s="153"/>
      <c r="CW31" s="153"/>
      <c r="CX31" s="153"/>
      <c r="CY31" s="153">
        <v>4000</v>
      </c>
      <c r="CZ31" s="153"/>
      <c r="DA31" s="153">
        <v>4000</v>
      </c>
      <c r="DB31" s="151"/>
      <c r="DC31" s="151"/>
      <c r="DD31" s="151"/>
      <c r="DE31" s="151"/>
      <c r="DF31" s="151"/>
      <c r="DG31" s="151"/>
      <c r="DH31" s="151"/>
      <c r="DI31" s="151"/>
      <c r="DJ31" s="151"/>
      <c r="DK31" s="153"/>
      <c r="DL31" s="153"/>
      <c r="DM31" s="153"/>
      <c r="DN31" s="153"/>
      <c r="DO31" s="153"/>
      <c r="DP31" s="153"/>
      <c r="DQ31" s="151">
        <v>4000</v>
      </c>
      <c r="DR31" s="151"/>
      <c r="DS31" s="151">
        <v>4000</v>
      </c>
    </row>
    <row r="32" spans="1:123">
      <c r="A32" s="132"/>
      <c r="B32" s="132" t="s">
        <v>352</v>
      </c>
      <c r="C32" s="148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3"/>
      <c r="BA32" s="153"/>
      <c r="BB32" s="153"/>
      <c r="BC32" s="153"/>
      <c r="BD32" s="153"/>
      <c r="BE32" s="153"/>
      <c r="BF32" s="151"/>
      <c r="BG32" s="151"/>
      <c r="BH32" s="151"/>
      <c r="BI32" s="151"/>
      <c r="BJ32" s="151"/>
      <c r="BK32" s="151"/>
      <c r="BL32" s="153"/>
      <c r="BM32" s="153"/>
      <c r="BN32" s="153"/>
      <c r="BO32" s="151"/>
      <c r="BP32" s="151"/>
      <c r="BQ32" s="151"/>
      <c r="BR32" s="151"/>
      <c r="BS32" s="151"/>
      <c r="BT32" s="151"/>
      <c r="BU32" s="151"/>
      <c r="BV32" s="151"/>
      <c r="BW32" s="151"/>
      <c r="BX32" s="153"/>
      <c r="BY32" s="153"/>
      <c r="BZ32" s="153"/>
      <c r="CA32" s="151"/>
      <c r="CB32" s="151"/>
      <c r="CC32" s="151"/>
      <c r="CD32" s="151"/>
      <c r="CE32" s="151"/>
      <c r="CF32" s="151"/>
      <c r="CG32" s="151"/>
      <c r="CH32" s="151"/>
      <c r="CI32" s="151"/>
      <c r="CJ32" s="153"/>
      <c r="CK32" s="153"/>
      <c r="CL32" s="153"/>
      <c r="CM32" s="151"/>
      <c r="CN32" s="151"/>
      <c r="CO32" s="151"/>
      <c r="CP32" s="151"/>
      <c r="CQ32" s="151"/>
      <c r="CR32" s="151"/>
      <c r="CS32" s="151"/>
      <c r="CT32" s="151"/>
      <c r="CU32" s="151"/>
      <c r="CV32" s="153"/>
      <c r="CW32" s="153"/>
      <c r="CX32" s="153"/>
      <c r="CY32" s="153"/>
      <c r="CZ32" s="153"/>
      <c r="DA32" s="153"/>
      <c r="DB32" s="151"/>
      <c r="DC32" s="151"/>
      <c r="DD32" s="151"/>
      <c r="DE32" s="151"/>
      <c r="DF32" s="151"/>
      <c r="DG32" s="151"/>
      <c r="DH32" s="151"/>
      <c r="DI32" s="151"/>
      <c r="DJ32" s="151"/>
      <c r="DK32" s="153"/>
      <c r="DL32" s="153"/>
      <c r="DM32" s="153"/>
      <c r="DN32" s="153"/>
      <c r="DO32" s="153"/>
      <c r="DP32" s="153"/>
      <c r="DQ32" s="151"/>
      <c r="DR32" s="151"/>
      <c r="DS32" s="151"/>
    </row>
    <row r="33" ht="31.5" spans="1:123">
      <c r="A33" s="132"/>
      <c r="B33" s="132"/>
      <c r="C33" s="148" t="s">
        <v>38</v>
      </c>
      <c r="D33" s="151"/>
      <c r="E33" s="151"/>
      <c r="F33" s="151"/>
      <c r="G33" s="151"/>
      <c r="H33" s="151"/>
      <c r="I33" s="151"/>
      <c r="J33" s="151">
        <v>975</v>
      </c>
      <c r="K33" s="151"/>
      <c r="L33" s="151">
        <v>975</v>
      </c>
      <c r="M33" s="151">
        <v>975</v>
      </c>
      <c r="N33" s="151"/>
      <c r="O33" s="151">
        <v>975</v>
      </c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3">
        <v>975</v>
      </c>
      <c r="BA33" s="153"/>
      <c r="BB33" s="153">
        <v>975</v>
      </c>
      <c r="BC33" s="153">
        <v>975</v>
      </c>
      <c r="BD33" s="153"/>
      <c r="BE33" s="153">
        <v>975</v>
      </c>
      <c r="BF33" s="151"/>
      <c r="BG33" s="151"/>
      <c r="BH33" s="151"/>
      <c r="BI33" s="151"/>
      <c r="BJ33" s="151"/>
      <c r="BK33" s="151"/>
      <c r="BL33" s="153"/>
      <c r="BM33" s="153"/>
      <c r="BN33" s="153"/>
      <c r="BO33" s="151"/>
      <c r="BP33" s="151"/>
      <c r="BQ33" s="151"/>
      <c r="BR33" s="151">
        <v>975</v>
      </c>
      <c r="BS33" s="151"/>
      <c r="BT33" s="151">
        <v>975</v>
      </c>
      <c r="BU33" s="151"/>
      <c r="BV33" s="151"/>
      <c r="BW33" s="151"/>
      <c r="BX33" s="153">
        <v>975</v>
      </c>
      <c r="BY33" s="153"/>
      <c r="BZ33" s="153">
        <v>975</v>
      </c>
      <c r="CA33" s="151"/>
      <c r="CB33" s="151"/>
      <c r="CC33" s="151"/>
      <c r="CD33" s="151"/>
      <c r="CE33" s="151"/>
      <c r="CF33" s="151"/>
      <c r="CG33" s="151"/>
      <c r="CH33" s="151"/>
      <c r="CI33" s="151"/>
      <c r="CJ33" s="153"/>
      <c r="CK33" s="153"/>
      <c r="CL33" s="153"/>
      <c r="CM33" s="151"/>
      <c r="CN33" s="151"/>
      <c r="CO33" s="151"/>
      <c r="CP33" s="151"/>
      <c r="CQ33" s="151"/>
      <c r="CR33" s="151"/>
      <c r="CS33" s="151"/>
      <c r="CT33" s="151"/>
      <c r="CU33" s="151"/>
      <c r="CV33" s="153"/>
      <c r="CW33" s="153"/>
      <c r="CX33" s="153"/>
      <c r="CY33" s="153">
        <v>975</v>
      </c>
      <c r="CZ33" s="153"/>
      <c r="DA33" s="153">
        <v>975</v>
      </c>
      <c r="DB33" s="151"/>
      <c r="DC33" s="151"/>
      <c r="DD33" s="151"/>
      <c r="DE33" s="151"/>
      <c r="DF33" s="151"/>
      <c r="DG33" s="151"/>
      <c r="DH33" s="151"/>
      <c r="DI33" s="151"/>
      <c r="DJ33" s="151"/>
      <c r="DK33" s="153"/>
      <c r="DL33" s="153"/>
      <c r="DM33" s="153"/>
      <c r="DN33" s="153"/>
      <c r="DO33" s="153"/>
      <c r="DP33" s="153"/>
      <c r="DQ33" s="151">
        <v>975</v>
      </c>
      <c r="DR33" s="151"/>
      <c r="DS33" s="151">
        <v>975</v>
      </c>
    </row>
    <row r="34" ht="31.5" spans="1:123">
      <c r="A34" s="132"/>
      <c r="B34" s="132"/>
      <c r="C34" s="148" t="s">
        <v>40</v>
      </c>
      <c r="D34" s="151"/>
      <c r="E34" s="151"/>
      <c r="F34" s="151"/>
      <c r="G34" s="151"/>
      <c r="H34" s="151"/>
      <c r="I34" s="151"/>
      <c r="J34" s="151">
        <v>7500</v>
      </c>
      <c r="K34" s="151"/>
      <c r="L34" s="151">
        <v>7500</v>
      </c>
      <c r="M34" s="151">
        <v>7500</v>
      </c>
      <c r="N34" s="151"/>
      <c r="O34" s="151">
        <v>7500</v>
      </c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3">
        <v>7500</v>
      </c>
      <c r="BA34" s="153"/>
      <c r="BB34" s="153">
        <v>7500</v>
      </c>
      <c r="BC34" s="153">
        <v>7500</v>
      </c>
      <c r="BD34" s="153"/>
      <c r="BE34" s="153">
        <v>7500</v>
      </c>
      <c r="BF34" s="151"/>
      <c r="BG34" s="151"/>
      <c r="BH34" s="151"/>
      <c r="BI34" s="151"/>
      <c r="BJ34" s="151"/>
      <c r="BK34" s="151"/>
      <c r="BL34" s="153"/>
      <c r="BM34" s="153"/>
      <c r="BN34" s="153"/>
      <c r="BO34" s="151"/>
      <c r="BP34" s="151"/>
      <c r="BQ34" s="151"/>
      <c r="BR34" s="151"/>
      <c r="BS34" s="151"/>
      <c r="BT34" s="151"/>
      <c r="BU34" s="151"/>
      <c r="BV34" s="151"/>
      <c r="BW34" s="151"/>
      <c r="BX34" s="153"/>
      <c r="BY34" s="153"/>
      <c r="BZ34" s="153"/>
      <c r="CA34" s="151">
        <v>7500</v>
      </c>
      <c r="CB34" s="151"/>
      <c r="CC34" s="151">
        <v>7500</v>
      </c>
      <c r="CD34" s="151"/>
      <c r="CE34" s="151"/>
      <c r="CF34" s="151"/>
      <c r="CG34" s="151"/>
      <c r="CH34" s="151"/>
      <c r="CI34" s="151"/>
      <c r="CJ34" s="153">
        <v>7500</v>
      </c>
      <c r="CK34" s="153"/>
      <c r="CL34" s="153">
        <v>7500</v>
      </c>
      <c r="CM34" s="151"/>
      <c r="CN34" s="151"/>
      <c r="CO34" s="151"/>
      <c r="CP34" s="151"/>
      <c r="CQ34" s="151"/>
      <c r="CR34" s="151"/>
      <c r="CS34" s="151"/>
      <c r="CT34" s="151"/>
      <c r="CU34" s="151"/>
      <c r="CV34" s="153"/>
      <c r="CW34" s="153"/>
      <c r="CX34" s="153"/>
      <c r="CY34" s="153">
        <v>7500</v>
      </c>
      <c r="CZ34" s="153"/>
      <c r="DA34" s="153">
        <v>7500</v>
      </c>
      <c r="DB34" s="151"/>
      <c r="DC34" s="151"/>
      <c r="DD34" s="151"/>
      <c r="DE34" s="151"/>
      <c r="DF34" s="151"/>
      <c r="DG34" s="151"/>
      <c r="DH34" s="151"/>
      <c r="DI34" s="151"/>
      <c r="DJ34" s="151"/>
      <c r="DK34" s="153"/>
      <c r="DL34" s="153"/>
      <c r="DM34" s="153"/>
      <c r="DN34" s="153"/>
      <c r="DO34" s="153"/>
      <c r="DP34" s="153"/>
      <c r="DQ34" s="151">
        <v>7500</v>
      </c>
      <c r="DR34" s="151"/>
      <c r="DS34" s="151">
        <v>7500</v>
      </c>
    </row>
    <row r="35" spans="1:123">
      <c r="A35" s="132"/>
      <c r="B35" s="132"/>
      <c r="C35" s="148" t="s">
        <v>42</v>
      </c>
      <c r="D35" s="151"/>
      <c r="E35" s="151"/>
      <c r="F35" s="151"/>
      <c r="G35" s="151"/>
      <c r="H35" s="151"/>
      <c r="I35" s="151"/>
      <c r="J35" s="151">
        <v>1913.6</v>
      </c>
      <c r="K35" s="151"/>
      <c r="L35" s="151">
        <v>1913.6</v>
      </c>
      <c r="M35" s="151">
        <v>1913.6</v>
      </c>
      <c r="N35" s="151"/>
      <c r="O35" s="151">
        <v>1913.6</v>
      </c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>
        <v>777.4</v>
      </c>
      <c r="AC35" s="151"/>
      <c r="AD35" s="151">
        <v>777.4</v>
      </c>
      <c r="AE35" s="151"/>
      <c r="AF35" s="151"/>
      <c r="AG35" s="151"/>
      <c r="AH35" s="151"/>
      <c r="AI35" s="151"/>
      <c r="AJ35" s="151"/>
      <c r="AK35" s="151">
        <v>777.4</v>
      </c>
      <c r="AL35" s="151"/>
      <c r="AM35" s="151">
        <v>777.4</v>
      </c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3">
        <v>2691</v>
      </c>
      <c r="BA35" s="153"/>
      <c r="BB35" s="153">
        <v>2691</v>
      </c>
      <c r="BC35" s="153">
        <v>2691</v>
      </c>
      <c r="BD35" s="153"/>
      <c r="BE35" s="153">
        <v>2691</v>
      </c>
      <c r="BF35" s="151"/>
      <c r="BG35" s="151"/>
      <c r="BH35" s="151"/>
      <c r="BI35" s="151"/>
      <c r="BJ35" s="151"/>
      <c r="BK35" s="151"/>
      <c r="BL35" s="153"/>
      <c r="BM35" s="153"/>
      <c r="BN35" s="153"/>
      <c r="BO35" s="151"/>
      <c r="BP35" s="151"/>
      <c r="BQ35" s="151"/>
      <c r="BR35" s="151"/>
      <c r="BS35" s="151"/>
      <c r="BT35" s="151"/>
      <c r="BU35" s="151"/>
      <c r="BV35" s="151"/>
      <c r="BW35" s="151"/>
      <c r="BX35" s="153"/>
      <c r="BY35" s="153"/>
      <c r="BZ35" s="153"/>
      <c r="CA35" s="151">
        <v>1913.6</v>
      </c>
      <c r="CB35" s="151"/>
      <c r="CC35" s="151">
        <v>1913.6</v>
      </c>
      <c r="CD35" s="151"/>
      <c r="CE35" s="151"/>
      <c r="CF35" s="151"/>
      <c r="CG35" s="151"/>
      <c r="CH35" s="151"/>
      <c r="CI35" s="151"/>
      <c r="CJ35" s="153">
        <v>1913.6</v>
      </c>
      <c r="CK35" s="153"/>
      <c r="CL35" s="153">
        <v>1913.6</v>
      </c>
      <c r="CM35" s="151"/>
      <c r="CN35" s="151"/>
      <c r="CO35" s="151"/>
      <c r="CP35" s="151">
        <v>777.4</v>
      </c>
      <c r="CQ35" s="151"/>
      <c r="CR35" s="151">
        <v>777.4</v>
      </c>
      <c r="CS35" s="151"/>
      <c r="CT35" s="151"/>
      <c r="CU35" s="151"/>
      <c r="CV35" s="153">
        <v>777.4</v>
      </c>
      <c r="CW35" s="153"/>
      <c r="CX35" s="153">
        <v>777.4</v>
      </c>
      <c r="CY35" s="153">
        <v>2691</v>
      </c>
      <c r="CZ35" s="153"/>
      <c r="DA35" s="153">
        <v>2691</v>
      </c>
      <c r="DB35" s="151"/>
      <c r="DC35" s="151"/>
      <c r="DD35" s="151"/>
      <c r="DE35" s="151"/>
      <c r="DF35" s="151"/>
      <c r="DG35" s="151"/>
      <c r="DH35" s="151"/>
      <c r="DI35" s="151"/>
      <c r="DJ35" s="151"/>
      <c r="DK35" s="153"/>
      <c r="DL35" s="153"/>
      <c r="DM35" s="153"/>
      <c r="DN35" s="153"/>
      <c r="DO35" s="153"/>
      <c r="DP35" s="153"/>
      <c r="DQ35" s="151">
        <v>2691</v>
      </c>
      <c r="DR35" s="151"/>
      <c r="DS35" s="151">
        <v>2691</v>
      </c>
    </row>
    <row r="36" spans="1:123">
      <c r="A36" s="132"/>
      <c r="B36" s="132" t="s">
        <v>353</v>
      </c>
      <c r="C36" s="148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1"/>
      <c r="AX36" s="151"/>
      <c r="AY36" s="151"/>
      <c r="AZ36" s="153"/>
      <c r="BA36" s="153"/>
      <c r="BB36" s="153"/>
      <c r="BC36" s="153"/>
      <c r="BD36" s="153"/>
      <c r="BE36" s="153"/>
      <c r="BF36" s="151"/>
      <c r="BG36" s="151"/>
      <c r="BH36" s="151"/>
      <c r="BI36" s="151"/>
      <c r="BJ36" s="151"/>
      <c r="BK36" s="151"/>
      <c r="BL36" s="153"/>
      <c r="BM36" s="153"/>
      <c r="BN36" s="153"/>
      <c r="BO36" s="151"/>
      <c r="BP36" s="151"/>
      <c r="BQ36" s="151"/>
      <c r="BR36" s="151"/>
      <c r="BS36" s="151"/>
      <c r="BT36" s="151"/>
      <c r="BU36" s="151"/>
      <c r="BV36" s="151"/>
      <c r="BW36" s="151"/>
      <c r="BX36" s="153"/>
      <c r="BY36" s="153"/>
      <c r="BZ36" s="153"/>
      <c r="CA36" s="151"/>
      <c r="CB36" s="151"/>
      <c r="CC36" s="151"/>
      <c r="CD36" s="151"/>
      <c r="CE36" s="151"/>
      <c r="CF36" s="151"/>
      <c r="CG36" s="151"/>
      <c r="CH36" s="151"/>
      <c r="CI36" s="151"/>
      <c r="CJ36" s="153"/>
      <c r="CK36" s="153"/>
      <c r="CL36" s="153"/>
      <c r="CM36" s="151"/>
      <c r="CN36" s="151"/>
      <c r="CO36" s="151"/>
      <c r="CP36" s="151"/>
      <c r="CQ36" s="151"/>
      <c r="CR36" s="151"/>
      <c r="CS36" s="151"/>
      <c r="CT36" s="151"/>
      <c r="CU36" s="151"/>
      <c r="CV36" s="153"/>
      <c r="CW36" s="153"/>
      <c r="CX36" s="153"/>
      <c r="CY36" s="153"/>
      <c r="CZ36" s="153"/>
      <c r="DA36" s="153"/>
      <c r="DB36" s="151"/>
      <c r="DC36" s="151"/>
      <c r="DD36" s="151"/>
      <c r="DE36" s="151"/>
      <c r="DF36" s="151"/>
      <c r="DG36" s="151"/>
      <c r="DH36" s="151"/>
      <c r="DI36" s="151"/>
      <c r="DJ36" s="151"/>
      <c r="DK36" s="153"/>
      <c r="DL36" s="153"/>
      <c r="DM36" s="153"/>
      <c r="DN36" s="153"/>
      <c r="DO36" s="153"/>
      <c r="DP36" s="153"/>
      <c r="DQ36" s="151"/>
      <c r="DR36" s="151"/>
      <c r="DS36" s="151"/>
    </row>
    <row r="37" spans="1:123">
      <c r="A37" s="132"/>
      <c r="B37" s="132"/>
      <c r="C37" s="148" t="s">
        <v>55</v>
      </c>
      <c r="D37" s="151"/>
      <c r="E37" s="151"/>
      <c r="F37" s="151"/>
      <c r="G37" s="151"/>
      <c r="H37" s="151"/>
      <c r="I37" s="151"/>
      <c r="J37" s="151">
        <v>1750</v>
      </c>
      <c r="K37" s="151"/>
      <c r="L37" s="151">
        <v>1750</v>
      </c>
      <c r="M37" s="151">
        <v>1750</v>
      </c>
      <c r="N37" s="151"/>
      <c r="O37" s="151">
        <v>1750</v>
      </c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151"/>
      <c r="AU37" s="151"/>
      <c r="AV37" s="151"/>
      <c r="AW37" s="151"/>
      <c r="AX37" s="151"/>
      <c r="AY37" s="151"/>
      <c r="AZ37" s="153">
        <v>1750</v>
      </c>
      <c r="BA37" s="153"/>
      <c r="BB37" s="153">
        <v>1750</v>
      </c>
      <c r="BC37" s="153">
        <v>1750</v>
      </c>
      <c r="BD37" s="153"/>
      <c r="BE37" s="153">
        <v>1750</v>
      </c>
      <c r="BF37" s="151"/>
      <c r="BG37" s="151"/>
      <c r="BH37" s="151"/>
      <c r="BI37" s="151"/>
      <c r="BJ37" s="151"/>
      <c r="BK37" s="151"/>
      <c r="BL37" s="153"/>
      <c r="BM37" s="153"/>
      <c r="BN37" s="153"/>
      <c r="BO37" s="151"/>
      <c r="BP37" s="151"/>
      <c r="BQ37" s="151"/>
      <c r="BR37" s="151"/>
      <c r="BS37" s="151"/>
      <c r="BT37" s="151"/>
      <c r="BU37" s="151"/>
      <c r="BV37" s="151"/>
      <c r="BW37" s="151"/>
      <c r="BX37" s="153"/>
      <c r="BY37" s="153"/>
      <c r="BZ37" s="153"/>
      <c r="CA37" s="151">
        <v>1750</v>
      </c>
      <c r="CB37" s="151"/>
      <c r="CC37" s="151">
        <v>1750</v>
      </c>
      <c r="CD37" s="151"/>
      <c r="CE37" s="151"/>
      <c r="CF37" s="151"/>
      <c r="CG37" s="151"/>
      <c r="CH37" s="151"/>
      <c r="CI37" s="151"/>
      <c r="CJ37" s="153">
        <v>1750</v>
      </c>
      <c r="CK37" s="153"/>
      <c r="CL37" s="153">
        <v>1750</v>
      </c>
      <c r="CM37" s="151"/>
      <c r="CN37" s="151"/>
      <c r="CO37" s="151"/>
      <c r="CP37" s="151"/>
      <c r="CQ37" s="151"/>
      <c r="CR37" s="151"/>
      <c r="CS37" s="151"/>
      <c r="CT37" s="151"/>
      <c r="CU37" s="151"/>
      <c r="CV37" s="153"/>
      <c r="CW37" s="153"/>
      <c r="CX37" s="153"/>
      <c r="CY37" s="153">
        <v>1750</v>
      </c>
      <c r="CZ37" s="153"/>
      <c r="DA37" s="153">
        <v>1750</v>
      </c>
      <c r="DB37" s="151"/>
      <c r="DC37" s="151"/>
      <c r="DD37" s="151"/>
      <c r="DE37" s="151"/>
      <c r="DF37" s="151"/>
      <c r="DG37" s="151"/>
      <c r="DH37" s="151"/>
      <c r="DI37" s="151"/>
      <c r="DJ37" s="151"/>
      <c r="DK37" s="153"/>
      <c r="DL37" s="153"/>
      <c r="DM37" s="153"/>
      <c r="DN37" s="153"/>
      <c r="DO37" s="153"/>
      <c r="DP37" s="153"/>
      <c r="DQ37" s="151">
        <v>1750</v>
      </c>
      <c r="DR37" s="151"/>
      <c r="DS37" s="151">
        <v>1750</v>
      </c>
    </row>
    <row r="38" spans="1:123">
      <c r="A38" s="132"/>
      <c r="B38" s="132"/>
      <c r="C38" s="148" t="s">
        <v>57</v>
      </c>
      <c r="D38" s="151"/>
      <c r="E38" s="151"/>
      <c r="F38" s="151"/>
      <c r="G38" s="151"/>
      <c r="H38" s="151"/>
      <c r="I38" s="151"/>
      <c r="J38" s="151">
        <v>3800</v>
      </c>
      <c r="K38" s="151"/>
      <c r="L38" s="151">
        <v>3800</v>
      </c>
      <c r="M38" s="151">
        <v>3800</v>
      </c>
      <c r="N38" s="151"/>
      <c r="O38" s="151">
        <v>3800</v>
      </c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>
        <v>700</v>
      </c>
      <c r="AC38" s="151"/>
      <c r="AD38" s="151">
        <v>700</v>
      </c>
      <c r="AE38" s="151"/>
      <c r="AF38" s="151"/>
      <c r="AG38" s="151"/>
      <c r="AH38" s="151"/>
      <c r="AI38" s="151"/>
      <c r="AJ38" s="151"/>
      <c r="AK38" s="151">
        <v>700</v>
      </c>
      <c r="AL38" s="151"/>
      <c r="AM38" s="151">
        <v>700</v>
      </c>
      <c r="AN38" s="151"/>
      <c r="AO38" s="151"/>
      <c r="AP38" s="151"/>
      <c r="AQ38" s="151"/>
      <c r="AR38" s="151"/>
      <c r="AS38" s="151"/>
      <c r="AT38" s="151"/>
      <c r="AU38" s="151"/>
      <c r="AV38" s="151"/>
      <c r="AW38" s="151"/>
      <c r="AX38" s="151"/>
      <c r="AY38" s="151"/>
      <c r="AZ38" s="153">
        <v>4500</v>
      </c>
      <c r="BA38" s="153"/>
      <c r="BB38" s="153">
        <v>4500</v>
      </c>
      <c r="BC38" s="153">
        <v>4500</v>
      </c>
      <c r="BD38" s="153"/>
      <c r="BE38" s="153">
        <v>4500</v>
      </c>
      <c r="BF38" s="151"/>
      <c r="BG38" s="151"/>
      <c r="BH38" s="151"/>
      <c r="BI38" s="151"/>
      <c r="BJ38" s="151"/>
      <c r="BK38" s="151"/>
      <c r="BL38" s="153"/>
      <c r="BM38" s="153"/>
      <c r="BN38" s="153"/>
      <c r="BO38" s="151"/>
      <c r="BP38" s="151"/>
      <c r="BQ38" s="151"/>
      <c r="BR38" s="151"/>
      <c r="BS38" s="151"/>
      <c r="BT38" s="151"/>
      <c r="BU38" s="151"/>
      <c r="BV38" s="151"/>
      <c r="BW38" s="151"/>
      <c r="BX38" s="153"/>
      <c r="BY38" s="153"/>
      <c r="BZ38" s="153"/>
      <c r="CA38" s="151">
        <v>3800</v>
      </c>
      <c r="CB38" s="151"/>
      <c r="CC38" s="151">
        <v>3800</v>
      </c>
      <c r="CD38" s="151"/>
      <c r="CE38" s="151"/>
      <c r="CF38" s="151"/>
      <c r="CG38" s="151"/>
      <c r="CH38" s="151"/>
      <c r="CI38" s="151"/>
      <c r="CJ38" s="153">
        <v>3800</v>
      </c>
      <c r="CK38" s="153"/>
      <c r="CL38" s="153">
        <v>3800</v>
      </c>
      <c r="CM38" s="151"/>
      <c r="CN38" s="151"/>
      <c r="CO38" s="151"/>
      <c r="CP38" s="151">
        <v>700</v>
      </c>
      <c r="CQ38" s="151"/>
      <c r="CR38" s="151">
        <v>700</v>
      </c>
      <c r="CS38" s="151"/>
      <c r="CT38" s="151"/>
      <c r="CU38" s="151"/>
      <c r="CV38" s="153">
        <v>700</v>
      </c>
      <c r="CW38" s="153"/>
      <c r="CX38" s="153">
        <v>700</v>
      </c>
      <c r="CY38" s="153">
        <v>4500</v>
      </c>
      <c r="CZ38" s="153"/>
      <c r="DA38" s="153">
        <v>4500</v>
      </c>
      <c r="DB38" s="151"/>
      <c r="DC38" s="151"/>
      <c r="DD38" s="151"/>
      <c r="DE38" s="151"/>
      <c r="DF38" s="151"/>
      <c r="DG38" s="151"/>
      <c r="DH38" s="151"/>
      <c r="DI38" s="151"/>
      <c r="DJ38" s="151"/>
      <c r="DK38" s="153"/>
      <c r="DL38" s="153"/>
      <c r="DM38" s="153"/>
      <c r="DN38" s="153"/>
      <c r="DO38" s="153"/>
      <c r="DP38" s="153"/>
      <c r="DQ38" s="151">
        <v>4500</v>
      </c>
      <c r="DR38" s="151"/>
      <c r="DS38" s="151">
        <v>4500</v>
      </c>
    </row>
    <row r="39" spans="1:123">
      <c r="A39" s="132"/>
      <c r="B39" s="132" t="s">
        <v>354</v>
      </c>
      <c r="C39" s="148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1"/>
      <c r="AL39" s="151"/>
      <c r="AM39" s="151"/>
      <c r="AN39" s="151"/>
      <c r="AO39" s="151"/>
      <c r="AP39" s="151"/>
      <c r="AQ39" s="151"/>
      <c r="AR39" s="151"/>
      <c r="AS39" s="151"/>
      <c r="AT39" s="151"/>
      <c r="AU39" s="151"/>
      <c r="AV39" s="151"/>
      <c r="AW39" s="151"/>
      <c r="AX39" s="151"/>
      <c r="AY39" s="151"/>
      <c r="AZ39" s="153"/>
      <c r="BA39" s="153"/>
      <c r="BB39" s="153"/>
      <c r="BC39" s="153"/>
      <c r="BD39" s="153"/>
      <c r="BE39" s="153"/>
      <c r="BF39" s="151"/>
      <c r="BG39" s="151"/>
      <c r="BH39" s="151"/>
      <c r="BI39" s="151"/>
      <c r="BJ39" s="151"/>
      <c r="BK39" s="151"/>
      <c r="BL39" s="153"/>
      <c r="BM39" s="153"/>
      <c r="BN39" s="153"/>
      <c r="BO39" s="151"/>
      <c r="BP39" s="151"/>
      <c r="BQ39" s="151"/>
      <c r="BR39" s="151"/>
      <c r="BS39" s="151"/>
      <c r="BT39" s="151"/>
      <c r="BU39" s="151"/>
      <c r="BV39" s="151"/>
      <c r="BW39" s="151"/>
      <c r="BX39" s="153"/>
      <c r="BY39" s="153"/>
      <c r="BZ39" s="153"/>
      <c r="CA39" s="151"/>
      <c r="CB39" s="151"/>
      <c r="CC39" s="151"/>
      <c r="CD39" s="151"/>
      <c r="CE39" s="151"/>
      <c r="CF39" s="151"/>
      <c r="CG39" s="151"/>
      <c r="CH39" s="151"/>
      <c r="CI39" s="151"/>
      <c r="CJ39" s="153"/>
      <c r="CK39" s="153"/>
      <c r="CL39" s="153"/>
      <c r="CM39" s="151"/>
      <c r="CN39" s="151"/>
      <c r="CO39" s="151"/>
      <c r="CP39" s="151"/>
      <c r="CQ39" s="151"/>
      <c r="CR39" s="151"/>
      <c r="CS39" s="151"/>
      <c r="CT39" s="151"/>
      <c r="CU39" s="151"/>
      <c r="CV39" s="153"/>
      <c r="CW39" s="153"/>
      <c r="CX39" s="153"/>
      <c r="CY39" s="153"/>
      <c r="CZ39" s="153"/>
      <c r="DA39" s="153"/>
      <c r="DB39" s="151"/>
      <c r="DC39" s="151"/>
      <c r="DD39" s="151"/>
      <c r="DE39" s="151"/>
      <c r="DF39" s="151"/>
      <c r="DG39" s="151"/>
      <c r="DH39" s="151"/>
      <c r="DI39" s="151"/>
      <c r="DJ39" s="151"/>
      <c r="DK39" s="153"/>
      <c r="DL39" s="153"/>
      <c r="DM39" s="153"/>
      <c r="DN39" s="153"/>
      <c r="DO39" s="153"/>
      <c r="DP39" s="153"/>
      <c r="DQ39" s="151"/>
      <c r="DR39" s="151"/>
      <c r="DS39" s="151"/>
    </row>
    <row r="40" spans="1:123">
      <c r="A40" s="132"/>
      <c r="B40" s="132"/>
      <c r="C40" s="148" t="s">
        <v>59</v>
      </c>
      <c r="D40" s="151"/>
      <c r="E40" s="151"/>
      <c r="F40" s="151"/>
      <c r="G40" s="151">
        <v>50</v>
      </c>
      <c r="H40" s="151"/>
      <c r="I40" s="151">
        <v>50</v>
      </c>
      <c r="J40" s="151"/>
      <c r="K40" s="151"/>
      <c r="L40" s="151"/>
      <c r="M40" s="151">
        <v>50</v>
      </c>
      <c r="N40" s="151"/>
      <c r="O40" s="151">
        <v>50</v>
      </c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151"/>
      <c r="AS40" s="151"/>
      <c r="AT40" s="151"/>
      <c r="AU40" s="151"/>
      <c r="AV40" s="151"/>
      <c r="AW40" s="151"/>
      <c r="AX40" s="151"/>
      <c r="AY40" s="151"/>
      <c r="AZ40" s="153">
        <v>50</v>
      </c>
      <c r="BA40" s="153"/>
      <c r="BB40" s="153">
        <v>50</v>
      </c>
      <c r="BC40" s="153">
        <v>50</v>
      </c>
      <c r="BD40" s="153"/>
      <c r="BE40" s="153">
        <v>50</v>
      </c>
      <c r="BF40" s="151"/>
      <c r="BG40" s="151"/>
      <c r="BH40" s="151"/>
      <c r="BI40" s="151"/>
      <c r="BJ40" s="151"/>
      <c r="BK40" s="151"/>
      <c r="BL40" s="153"/>
      <c r="BM40" s="153"/>
      <c r="BN40" s="153"/>
      <c r="BO40" s="151"/>
      <c r="BP40" s="151"/>
      <c r="BQ40" s="151"/>
      <c r="BR40" s="151">
        <v>50</v>
      </c>
      <c r="BS40" s="151"/>
      <c r="BT40" s="151">
        <v>50</v>
      </c>
      <c r="BU40" s="151"/>
      <c r="BV40" s="151"/>
      <c r="BW40" s="151"/>
      <c r="BX40" s="153">
        <v>50</v>
      </c>
      <c r="BY40" s="153"/>
      <c r="BZ40" s="153">
        <v>50</v>
      </c>
      <c r="CA40" s="151"/>
      <c r="CB40" s="151"/>
      <c r="CC40" s="151"/>
      <c r="CD40" s="151"/>
      <c r="CE40" s="151"/>
      <c r="CF40" s="151"/>
      <c r="CG40" s="151"/>
      <c r="CH40" s="151"/>
      <c r="CI40" s="151"/>
      <c r="CJ40" s="153"/>
      <c r="CK40" s="153"/>
      <c r="CL40" s="153"/>
      <c r="CM40" s="151"/>
      <c r="CN40" s="151"/>
      <c r="CO40" s="151"/>
      <c r="CP40" s="151"/>
      <c r="CQ40" s="151"/>
      <c r="CR40" s="151"/>
      <c r="CS40" s="151"/>
      <c r="CT40" s="151"/>
      <c r="CU40" s="151"/>
      <c r="CV40" s="153"/>
      <c r="CW40" s="153"/>
      <c r="CX40" s="153"/>
      <c r="CY40" s="153">
        <v>50</v>
      </c>
      <c r="CZ40" s="153"/>
      <c r="DA40" s="153">
        <v>50</v>
      </c>
      <c r="DB40" s="151"/>
      <c r="DC40" s="151"/>
      <c r="DD40" s="151"/>
      <c r="DE40" s="151"/>
      <c r="DF40" s="151"/>
      <c r="DG40" s="151"/>
      <c r="DH40" s="151"/>
      <c r="DI40" s="151"/>
      <c r="DJ40" s="151"/>
      <c r="DK40" s="153"/>
      <c r="DL40" s="153"/>
      <c r="DM40" s="153"/>
      <c r="DN40" s="153"/>
      <c r="DO40" s="153"/>
      <c r="DP40" s="153"/>
      <c r="DQ40" s="151">
        <v>50</v>
      </c>
      <c r="DR40" s="151"/>
      <c r="DS40" s="151">
        <v>50</v>
      </c>
    </row>
    <row r="41" spans="1:123">
      <c r="A41" s="132"/>
      <c r="B41" s="132"/>
      <c r="C41" s="148" t="s">
        <v>61</v>
      </c>
      <c r="D41" s="151"/>
      <c r="E41" s="151"/>
      <c r="F41" s="151"/>
      <c r="G41" s="151">
        <v>113</v>
      </c>
      <c r="H41" s="151"/>
      <c r="I41" s="151">
        <v>113</v>
      </c>
      <c r="J41" s="151"/>
      <c r="K41" s="151"/>
      <c r="L41" s="151"/>
      <c r="M41" s="151">
        <v>113</v>
      </c>
      <c r="N41" s="151"/>
      <c r="O41" s="151">
        <v>113</v>
      </c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1"/>
      <c r="AX41" s="151"/>
      <c r="AY41" s="151"/>
      <c r="AZ41" s="153">
        <v>113</v>
      </c>
      <c r="BA41" s="153"/>
      <c r="BB41" s="153">
        <v>113</v>
      </c>
      <c r="BC41" s="153">
        <v>113</v>
      </c>
      <c r="BD41" s="153"/>
      <c r="BE41" s="153">
        <v>113</v>
      </c>
      <c r="BF41" s="151"/>
      <c r="BG41" s="151"/>
      <c r="BH41" s="151"/>
      <c r="BI41" s="151"/>
      <c r="BJ41" s="151"/>
      <c r="BK41" s="151"/>
      <c r="BL41" s="153"/>
      <c r="BM41" s="153"/>
      <c r="BN41" s="153"/>
      <c r="BO41" s="151"/>
      <c r="BP41" s="151"/>
      <c r="BQ41" s="151"/>
      <c r="BR41" s="151">
        <v>113</v>
      </c>
      <c r="BS41" s="151"/>
      <c r="BT41" s="151">
        <v>113</v>
      </c>
      <c r="BU41" s="151"/>
      <c r="BV41" s="151"/>
      <c r="BW41" s="151"/>
      <c r="BX41" s="153">
        <v>113</v>
      </c>
      <c r="BY41" s="153"/>
      <c r="BZ41" s="153">
        <v>113</v>
      </c>
      <c r="CA41" s="151"/>
      <c r="CB41" s="151"/>
      <c r="CC41" s="151"/>
      <c r="CD41" s="151"/>
      <c r="CE41" s="151"/>
      <c r="CF41" s="151"/>
      <c r="CG41" s="151"/>
      <c r="CH41" s="151"/>
      <c r="CI41" s="151"/>
      <c r="CJ41" s="153"/>
      <c r="CK41" s="153"/>
      <c r="CL41" s="153"/>
      <c r="CM41" s="151"/>
      <c r="CN41" s="151"/>
      <c r="CO41" s="151"/>
      <c r="CP41" s="151"/>
      <c r="CQ41" s="151"/>
      <c r="CR41" s="151"/>
      <c r="CS41" s="151"/>
      <c r="CT41" s="151"/>
      <c r="CU41" s="151"/>
      <c r="CV41" s="153"/>
      <c r="CW41" s="153"/>
      <c r="CX41" s="153"/>
      <c r="CY41" s="153">
        <v>113</v>
      </c>
      <c r="CZ41" s="153"/>
      <c r="DA41" s="153">
        <v>113</v>
      </c>
      <c r="DB41" s="151"/>
      <c r="DC41" s="151"/>
      <c r="DD41" s="151"/>
      <c r="DE41" s="151"/>
      <c r="DF41" s="151"/>
      <c r="DG41" s="151"/>
      <c r="DH41" s="151"/>
      <c r="DI41" s="151"/>
      <c r="DJ41" s="151"/>
      <c r="DK41" s="153"/>
      <c r="DL41" s="153"/>
      <c r="DM41" s="153"/>
      <c r="DN41" s="153"/>
      <c r="DO41" s="153"/>
      <c r="DP41" s="153"/>
      <c r="DQ41" s="151">
        <v>113</v>
      </c>
      <c r="DR41" s="151"/>
      <c r="DS41" s="151">
        <v>113</v>
      </c>
    </row>
    <row r="42" spans="1:123">
      <c r="A42" s="132"/>
      <c r="B42" s="132" t="s">
        <v>355</v>
      </c>
      <c r="C42" s="148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  <c r="AJ42" s="151"/>
      <c r="AK42" s="151"/>
      <c r="AL42" s="151"/>
      <c r="AM42" s="151"/>
      <c r="AN42" s="151"/>
      <c r="AO42" s="151"/>
      <c r="AP42" s="151"/>
      <c r="AQ42" s="151"/>
      <c r="AR42" s="151"/>
      <c r="AS42" s="151"/>
      <c r="AT42" s="151"/>
      <c r="AU42" s="151"/>
      <c r="AV42" s="151"/>
      <c r="AW42" s="151"/>
      <c r="AX42" s="151"/>
      <c r="AY42" s="151"/>
      <c r="AZ42" s="153"/>
      <c r="BA42" s="153"/>
      <c r="BB42" s="153"/>
      <c r="BC42" s="153"/>
      <c r="BD42" s="153"/>
      <c r="BE42" s="153"/>
      <c r="BF42" s="151"/>
      <c r="BG42" s="151"/>
      <c r="BH42" s="151"/>
      <c r="BI42" s="151"/>
      <c r="BJ42" s="151"/>
      <c r="BK42" s="151"/>
      <c r="BL42" s="153"/>
      <c r="BM42" s="153"/>
      <c r="BN42" s="153"/>
      <c r="BO42" s="151"/>
      <c r="BP42" s="151"/>
      <c r="BQ42" s="151"/>
      <c r="BR42" s="151"/>
      <c r="BS42" s="151"/>
      <c r="BT42" s="151"/>
      <c r="BU42" s="151"/>
      <c r="BV42" s="151"/>
      <c r="BW42" s="151"/>
      <c r="BX42" s="153"/>
      <c r="BY42" s="153"/>
      <c r="BZ42" s="153"/>
      <c r="CA42" s="151"/>
      <c r="CB42" s="151"/>
      <c r="CC42" s="151"/>
      <c r="CD42" s="151"/>
      <c r="CE42" s="151"/>
      <c r="CF42" s="151"/>
      <c r="CG42" s="151"/>
      <c r="CH42" s="151"/>
      <c r="CI42" s="151"/>
      <c r="CJ42" s="153"/>
      <c r="CK42" s="153"/>
      <c r="CL42" s="153"/>
      <c r="CM42" s="151"/>
      <c r="CN42" s="151"/>
      <c r="CO42" s="151"/>
      <c r="CP42" s="151"/>
      <c r="CQ42" s="151"/>
      <c r="CR42" s="151"/>
      <c r="CS42" s="151"/>
      <c r="CT42" s="151"/>
      <c r="CU42" s="151"/>
      <c r="CV42" s="153"/>
      <c r="CW42" s="153"/>
      <c r="CX42" s="153"/>
      <c r="CY42" s="153"/>
      <c r="CZ42" s="153"/>
      <c r="DA42" s="153"/>
      <c r="DB42" s="151"/>
      <c r="DC42" s="151"/>
      <c r="DD42" s="151"/>
      <c r="DE42" s="151"/>
      <c r="DF42" s="151"/>
      <c r="DG42" s="151"/>
      <c r="DH42" s="151"/>
      <c r="DI42" s="151"/>
      <c r="DJ42" s="151"/>
      <c r="DK42" s="153"/>
      <c r="DL42" s="153"/>
      <c r="DM42" s="153"/>
      <c r="DN42" s="153"/>
      <c r="DO42" s="153"/>
      <c r="DP42" s="153"/>
      <c r="DQ42" s="151"/>
      <c r="DR42" s="151"/>
      <c r="DS42" s="151"/>
    </row>
    <row r="43" ht="31.5" spans="1:123">
      <c r="A43" s="132"/>
      <c r="B43" s="132"/>
      <c r="C43" s="148" t="s">
        <v>94</v>
      </c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>
        <v>1200</v>
      </c>
      <c r="R43" s="151">
        <v>1200</v>
      </c>
      <c r="S43" s="151"/>
      <c r="T43" s="151"/>
      <c r="U43" s="151"/>
      <c r="V43" s="151"/>
      <c r="W43" s="151"/>
      <c r="X43" s="151"/>
      <c r="Y43" s="151"/>
      <c r="Z43" s="151">
        <v>1200</v>
      </c>
      <c r="AA43" s="151">
        <v>1200</v>
      </c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1"/>
      <c r="AX43" s="151"/>
      <c r="AY43" s="151"/>
      <c r="AZ43" s="153"/>
      <c r="BA43" s="153">
        <v>1200</v>
      </c>
      <c r="BB43" s="153">
        <v>1200</v>
      </c>
      <c r="BC43" s="153"/>
      <c r="BD43" s="153">
        <v>1200</v>
      </c>
      <c r="BE43" s="153">
        <v>1200</v>
      </c>
      <c r="BF43" s="151"/>
      <c r="BG43" s="151"/>
      <c r="BH43" s="151"/>
      <c r="BI43" s="151"/>
      <c r="BJ43" s="151"/>
      <c r="BK43" s="151"/>
      <c r="BL43" s="153"/>
      <c r="BM43" s="153"/>
      <c r="BN43" s="153"/>
      <c r="BO43" s="151"/>
      <c r="BP43" s="151"/>
      <c r="BQ43" s="151"/>
      <c r="BR43" s="151"/>
      <c r="BS43" s="151"/>
      <c r="BT43" s="151"/>
      <c r="BU43" s="151"/>
      <c r="BV43" s="151"/>
      <c r="BW43" s="151"/>
      <c r="BX43" s="153"/>
      <c r="BY43" s="153"/>
      <c r="BZ43" s="153"/>
      <c r="CA43" s="151"/>
      <c r="CB43" s="151"/>
      <c r="CC43" s="151"/>
      <c r="CD43" s="151"/>
      <c r="CE43" s="151">
        <v>1200</v>
      </c>
      <c r="CF43" s="151">
        <v>1200</v>
      </c>
      <c r="CG43" s="151"/>
      <c r="CH43" s="151"/>
      <c r="CI43" s="151"/>
      <c r="CJ43" s="153"/>
      <c r="CK43" s="153">
        <v>1200</v>
      </c>
      <c r="CL43" s="153">
        <v>1200</v>
      </c>
      <c r="CM43" s="151"/>
      <c r="CN43" s="151"/>
      <c r="CO43" s="151"/>
      <c r="CP43" s="151"/>
      <c r="CQ43" s="151"/>
      <c r="CR43" s="151"/>
      <c r="CS43" s="151"/>
      <c r="CT43" s="151"/>
      <c r="CU43" s="151"/>
      <c r="CV43" s="153"/>
      <c r="CW43" s="153"/>
      <c r="CX43" s="153"/>
      <c r="CY43" s="153"/>
      <c r="CZ43" s="153">
        <v>1200</v>
      </c>
      <c r="DA43" s="153">
        <v>1200</v>
      </c>
      <c r="DB43" s="151"/>
      <c r="DC43" s="151"/>
      <c r="DD43" s="151"/>
      <c r="DE43" s="151"/>
      <c r="DF43" s="151"/>
      <c r="DG43" s="151"/>
      <c r="DH43" s="151"/>
      <c r="DI43" s="151"/>
      <c r="DJ43" s="151"/>
      <c r="DK43" s="153"/>
      <c r="DL43" s="153"/>
      <c r="DM43" s="153"/>
      <c r="DN43" s="153"/>
      <c r="DO43" s="153"/>
      <c r="DP43" s="153"/>
      <c r="DQ43" s="151"/>
      <c r="DR43" s="151">
        <v>1200</v>
      </c>
      <c r="DS43" s="151">
        <v>1200</v>
      </c>
    </row>
    <row r="44" spans="1:123">
      <c r="A44" s="132"/>
      <c r="B44" s="132"/>
      <c r="C44" s="148" t="s">
        <v>96</v>
      </c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>
        <v>240</v>
      </c>
      <c r="R44" s="151">
        <v>240</v>
      </c>
      <c r="S44" s="151"/>
      <c r="T44" s="151"/>
      <c r="U44" s="151"/>
      <c r="V44" s="151"/>
      <c r="W44" s="151"/>
      <c r="X44" s="151"/>
      <c r="Y44" s="151"/>
      <c r="Z44" s="151">
        <v>240</v>
      </c>
      <c r="AA44" s="151">
        <v>240</v>
      </c>
      <c r="AB44" s="151"/>
      <c r="AC44" s="151"/>
      <c r="AD44" s="151"/>
      <c r="AE44" s="151"/>
      <c r="AF44" s="151"/>
      <c r="AG44" s="151"/>
      <c r="AH44" s="151"/>
      <c r="AI44" s="151"/>
      <c r="AJ44" s="151"/>
      <c r="AK44" s="151"/>
      <c r="AL44" s="151"/>
      <c r="AM44" s="151"/>
      <c r="AN44" s="151"/>
      <c r="AO44" s="151"/>
      <c r="AP44" s="151"/>
      <c r="AQ44" s="151"/>
      <c r="AR44" s="151"/>
      <c r="AS44" s="151"/>
      <c r="AT44" s="151"/>
      <c r="AU44" s="151"/>
      <c r="AV44" s="151"/>
      <c r="AW44" s="151"/>
      <c r="AX44" s="151"/>
      <c r="AY44" s="151"/>
      <c r="AZ44" s="153"/>
      <c r="BA44" s="153">
        <v>240</v>
      </c>
      <c r="BB44" s="153">
        <v>240</v>
      </c>
      <c r="BC44" s="153"/>
      <c r="BD44" s="153">
        <v>240</v>
      </c>
      <c r="BE44" s="153">
        <v>240</v>
      </c>
      <c r="BF44" s="151"/>
      <c r="BG44" s="151"/>
      <c r="BH44" s="151"/>
      <c r="BI44" s="151"/>
      <c r="BJ44" s="151"/>
      <c r="BK44" s="151"/>
      <c r="BL44" s="153"/>
      <c r="BM44" s="153"/>
      <c r="BN44" s="153"/>
      <c r="BO44" s="151"/>
      <c r="BP44" s="151"/>
      <c r="BQ44" s="151"/>
      <c r="BR44" s="151"/>
      <c r="BS44" s="151"/>
      <c r="BT44" s="151"/>
      <c r="BU44" s="151"/>
      <c r="BV44" s="151"/>
      <c r="BW44" s="151"/>
      <c r="BX44" s="153"/>
      <c r="BY44" s="153"/>
      <c r="BZ44" s="153"/>
      <c r="CA44" s="151"/>
      <c r="CB44" s="151"/>
      <c r="CC44" s="151"/>
      <c r="CD44" s="151"/>
      <c r="CE44" s="151">
        <v>240</v>
      </c>
      <c r="CF44" s="151">
        <v>240</v>
      </c>
      <c r="CG44" s="151"/>
      <c r="CH44" s="151"/>
      <c r="CI44" s="151"/>
      <c r="CJ44" s="153"/>
      <c r="CK44" s="153">
        <v>240</v>
      </c>
      <c r="CL44" s="153">
        <v>240</v>
      </c>
      <c r="CM44" s="151"/>
      <c r="CN44" s="151"/>
      <c r="CO44" s="151"/>
      <c r="CP44" s="151"/>
      <c r="CQ44" s="151"/>
      <c r="CR44" s="151"/>
      <c r="CS44" s="151"/>
      <c r="CT44" s="151"/>
      <c r="CU44" s="151"/>
      <c r="CV44" s="153"/>
      <c r="CW44" s="153"/>
      <c r="CX44" s="153"/>
      <c r="CY44" s="153"/>
      <c r="CZ44" s="153">
        <v>240</v>
      </c>
      <c r="DA44" s="153">
        <v>240</v>
      </c>
      <c r="DB44" s="151"/>
      <c r="DC44" s="151"/>
      <c r="DD44" s="151"/>
      <c r="DE44" s="151"/>
      <c r="DF44" s="151"/>
      <c r="DG44" s="151"/>
      <c r="DH44" s="151"/>
      <c r="DI44" s="151"/>
      <c r="DJ44" s="151"/>
      <c r="DK44" s="153"/>
      <c r="DL44" s="153"/>
      <c r="DM44" s="153"/>
      <c r="DN44" s="153"/>
      <c r="DO44" s="153"/>
      <c r="DP44" s="153"/>
      <c r="DQ44" s="151"/>
      <c r="DR44" s="151">
        <v>240</v>
      </c>
      <c r="DS44" s="151">
        <v>240</v>
      </c>
    </row>
    <row r="45" spans="1:123">
      <c r="A45" s="132"/>
      <c r="B45" s="132"/>
      <c r="C45" s="148" t="s">
        <v>98</v>
      </c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>
        <v>1200</v>
      </c>
      <c r="R45" s="151">
        <v>1200</v>
      </c>
      <c r="S45" s="151"/>
      <c r="T45" s="151"/>
      <c r="U45" s="151"/>
      <c r="V45" s="151"/>
      <c r="W45" s="151"/>
      <c r="X45" s="151"/>
      <c r="Y45" s="151"/>
      <c r="Z45" s="151">
        <v>1200</v>
      </c>
      <c r="AA45" s="151">
        <v>1200</v>
      </c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151"/>
      <c r="AS45" s="151"/>
      <c r="AT45" s="151"/>
      <c r="AU45" s="151"/>
      <c r="AV45" s="151"/>
      <c r="AW45" s="151"/>
      <c r="AX45" s="151"/>
      <c r="AY45" s="151"/>
      <c r="AZ45" s="153"/>
      <c r="BA45" s="153">
        <v>1200</v>
      </c>
      <c r="BB45" s="153">
        <v>1200</v>
      </c>
      <c r="BC45" s="153"/>
      <c r="BD45" s="153">
        <v>1200</v>
      </c>
      <c r="BE45" s="153">
        <v>1200</v>
      </c>
      <c r="BF45" s="151"/>
      <c r="BG45" s="151"/>
      <c r="BH45" s="151"/>
      <c r="BI45" s="151"/>
      <c r="BJ45" s="151"/>
      <c r="BK45" s="151"/>
      <c r="BL45" s="153"/>
      <c r="BM45" s="153"/>
      <c r="BN45" s="153"/>
      <c r="BO45" s="151"/>
      <c r="BP45" s="151"/>
      <c r="BQ45" s="151"/>
      <c r="BR45" s="151"/>
      <c r="BS45" s="151"/>
      <c r="BT45" s="151"/>
      <c r="BU45" s="151"/>
      <c r="BV45" s="151"/>
      <c r="BW45" s="151"/>
      <c r="BX45" s="153"/>
      <c r="BY45" s="153"/>
      <c r="BZ45" s="153"/>
      <c r="CA45" s="151"/>
      <c r="CB45" s="151"/>
      <c r="CC45" s="151"/>
      <c r="CD45" s="151"/>
      <c r="CE45" s="151">
        <v>1200</v>
      </c>
      <c r="CF45" s="151">
        <v>1200</v>
      </c>
      <c r="CG45" s="151"/>
      <c r="CH45" s="151"/>
      <c r="CI45" s="151"/>
      <c r="CJ45" s="153"/>
      <c r="CK45" s="153">
        <v>1200</v>
      </c>
      <c r="CL45" s="153">
        <v>1200</v>
      </c>
      <c r="CM45" s="151"/>
      <c r="CN45" s="151"/>
      <c r="CO45" s="151"/>
      <c r="CP45" s="151"/>
      <c r="CQ45" s="151"/>
      <c r="CR45" s="151"/>
      <c r="CS45" s="151"/>
      <c r="CT45" s="151"/>
      <c r="CU45" s="151"/>
      <c r="CV45" s="153"/>
      <c r="CW45" s="153"/>
      <c r="CX45" s="153"/>
      <c r="CY45" s="153"/>
      <c r="CZ45" s="153">
        <v>1200</v>
      </c>
      <c r="DA45" s="153">
        <v>1200</v>
      </c>
      <c r="DB45" s="151"/>
      <c r="DC45" s="151"/>
      <c r="DD45" s="151"/>
      <c r="DE45" s="151"/>
      <c r="DF45" s="151"/>
      <c r="DG45" s="151"/>
      <c r="DH45" s="151"/>
      <c r="DI45" s="151"/>
      <c r="DJ45" s="151"/>
      <c r="DK45" s="153"/>
      <c r="DL45" s="153"/>
      <c r="DM45" s="153"/>
      <c r="DN45" s="153"/>
      <c r="DO45" s="153"/>
      <c r="DP45" s="153"/>
      <c r="DQ45" s="151"/>
      <c r="DR45" s="151">
        <v>1200</v>
      </c>
      <c r="DS45" s="151">
        <v>1200</v>
      </c>
    </row>
    <row r="46" spans="1:123">
      <c r="A46" s="132"/>
      <c r="B46" s="132"/>
      <c r="C46" s="148" t="s">
        <v>100</v>
      </c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>
        <v>300</v>
      </c>
      <c r="R46" s="151">
        <v>300</v>
      </c>
      <c r="S46" s="151"/>
      <c r="T46" s="151"/>
      <c r="U46" s="151"/>
      <c r="V46" s="151"/>
      <c r="W46" s="151"/>
      <c r="X46" s="151"/>
      <c r="Y46" s="151"/>
      <c r="Z46" s="151">
        <v>300</v>
      </c>
      <c r="AA46" s="151">
        <v>300</v>
      </c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  <c r="AN46" s="151"/>
      <c r="AO46" s="151"/>
      <c r="AP46" s="151"/>
      <c r="AQ46" s="151"/>
      <c r="AR46" s="151"/>
      <c r="AS46" s="151"/>
      <c r="AT46" s="151"/>
      <c r="AU46" s="151"/>
      <c r="AV46" s="151"/>
      <c r="AW46" s="151"/>
      <c r="AX46" s="151"/>
      <c r="AY46" s="151"/>
      <c r="AZ46" s="153"/>
      <c r="BA46" s="153">
        <v>300</v>
      </c>
      <c r="BB46" s="153">
        <v>300</v>
      </c>
      <c r="BC46" s="153"/>
      <c r="BD46" s="153">
        <v>300</v>
      </c>
      <c r="BE46" s="153">
        <v>300</v>
      </c>
      <c r="BF46" s="151"/>
      <c r="BG46" s="151"/>
      <c r="BH46" s="151"/>
      <c r="BI46" s="151"/>
      <c r="BJ46" s="151"/>
      <c r="BK46" s="151"/>
      <c r="BL46" s="153"/>
      <c r="BM46" s="153"/>
      <c r="BN46" s="153"/>
      <c r="BO46" s="151"/>
      <c r="BP46" s="151"/>
      <c r="BQ46" s="151"/>
      <c r="BR46" s="151"/>
      <c r="BS46" s="151"/>
      <c r="BT46" s="151"/>
      <c r="BU46" s="151"/>
      <c r="BV46" s="151"/>
      <c r="BW46" s="151"/>
      <c r="BX46" s="153"/>
      <c r="BY46" s="153"/>
      <c r="BZ46" s="153"/>
      <c r="CA46" s="151"/>
      <c r="CB46" s="151"/>
      <c r="CC46" s="151"/>
      <c r="CD46" s="151"/>
      <c r="CE46" s="151">
        <v>300</v>
      </c>
      <c r="CF46" s="151">
        <v>300</v>
      </c>
      <c r="CG46" s="151"/>
      <c r="CH46" s="151"/>
      <c r="CI46" s="151"/>
      <c r="CJ46" s="153"/>
      <c r="CK46" s="153">
        <v>300</v>
      </c>
      <c r="CL46" s="153">
        <v>300</v>
      </c>
      <c r="CM46" s="151"/>
      <c r="CN46" s="151"/>
      <c r="CO46" s="151"/>
      <c r="CP46" s="151"/>
      <c r="CQ46" s="151"/>
      <c r="CR46" s="151"/>
      <c r="CS46" s="151"/>
      <c r="CT46" s="151"/>
      <c r="CU46" s="151"/>
      <c r="CV46" s="153"/>
      <c r="CW46" s="153"/>
      <c r="CX46" s="153"/>
      <c r="CY46" s="153"/>
      <c r="CZ46" s="153">
        <v>300</v>
      </c>
      <c r="DA46" s="153">
        <v>300</v>
      </c>
      <c r="DB46" s="151"/>
      <c r="DC46" s="151"/>
      <c r="DD46" s="151"/>
      <c r="DE46" s="151"/>
      <c r="DF46" s="151"/>
      <c r="DG46" s="151"/>
      <c r="DH46" s="151"/>
      <c r="DI46" s="151"/>
      <c r="DJ46" s="151"/>
      <c r="DK46" s="153"/>
      <c r="DL46" s="153"/>
      <c r="DM46" s="153"/>
      <c r="DN46" s="153"/>
      <c r="DO46" s="153"/>
      <c r="DP46" s="153"/>
      <c r="DQ46" s="151"/>
      <c r="DR46" s="151">
        <v>300</v>
      </c>
      <c r="DS46" s="151">
        <v>300</v>
      </c>
    </row>
    <row r="47" spans="1:123">
      <c r="A47" s="132"/>
      <c r="B47" s="132"/>
      <c r="C47" s="148" t="s">
        <v>102</v>
      </c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>
        <v>2100</v>
      </c>
      <c r="X47" s="151">
        <v>2100</v>
      </c>
      <c r="Y47" s="151"/>
      <c r="Z47" s="151">
        <v>2100</v>
      </c>
      <c r="AA47" s="151">
        <v>2100</v>
      </c>
      <c r="AB47" s="151"/>
      <c r="AC47" s="151"/>
      <c r="AD47" s="151"/>
      <c r="AE47" s="151"/>
      <c r="AF47" s="151"/>
      <c r="AG47" s="151"/>
      <c r="AH47" s="151"/>
      <c r="AI47" s="151"/>
      <c r="AJ47" s="151"/>
      <c r="AK47" s="151"/>
      <c r="AL47" s="151"/>
      <c r="AM47" s="151"/>
      <c r="AN47" s="151"/>
      <c r="AO47" s="151"/>
      <c r="AP47" s="151"/>
      <c r="AQ47" s="151"/>
      <c r="AR47" s="151"/>
      <c r="AS47" s="151"/>
      <c r="AT47" s="151"/>
      <c r="AU47" s="151"/>
      <c r="AV47" s="151"/>
      <c r="AW47" s="151"/>
      <c r="AX47" s="151"/>
      <c r="AY47" s="151"/>
      <c r="AZ47" s="153"/>
      <c r="BA47" s="153">
        <v>2100</v>
      </c>
      <c r="BB47" s="153">
        <v>2100</v>
      </c>
      <c r="BC47" s="153"/>
      <c r="BD47" s="153">
        <v>2100</v>
      </c>
      <c r="BE47" s="153">
        <v>2100</v>
      </c>
      <c r="BF47" s="151"/>
      <c r="BG47" s="151"/>
      <c r="BH47" s="151"/>
      <c r="BI47" s="151"/>
      <c r="BJ47" s="151"/>
      <c r="BK47" s="151"/>
      <c r="BL47" s="153"/>
      <c r="BM47" s="153"/>
      <c r="BN47" s="153"/>
      <c r="BO47" s="151"/>
      <c r="BP47" s="151"/>
      <c r="BQ47" s="151"/>
      <c r="BR47" s="151"/>
      <c r="BS47" s="151"/>
      <c r="BT47" s="151"/>
      <c r="BU47" s="151"/>
      <c r="BV47" s="151"/>
      <c r="BW47" s="151"/>
      <c r="BX47" s="153"/>
      <c r="BY47" s="153"/>
      <c r="BZ47" s="153"/>
      <c r="CA47" s="151"/>
      <c r="CB47" s="151"/>
      <c r="CC47" s="151"/>
      <c r="CD47" s="151"/>
      <c r="CE47" s="151"/>
      <c r="CF47" s="151"/>
      <c r="CG47" s="151"/>
      <c r="CH47" s="151">
        <v>2100</v>
      </c>
      <c r="CI47" s="151">
        <v>2100</v>
      </c>
      <c r="CJ47" s="153"/>
      <c r="CK47" s="153">
        <v>2100</v>
      </c>
      <c r="CL47" s="153">
        <v>2100</v>
      </c>
      <c r="CM47" s="151"/>
      <c r="CN47" s="151"/>
      <c r="CO47" s="151"/>
      <c r="CP47" s="151"/>
      <c r="CQ47" s="151"/>
      <c r="CR47" s="151"/>
      <c r="CS47" s="151"/>
      <c r="CT47" s="151"/>
      <c r="CU47" s="151"/>
      <c r="CV47" s="153"/>
      <c r="CW47" s="153"/>
      <c r="CX47" s="153"/>
      <c r="CY47" s="153"/>
      <c r="CZ47" s="153">
        <v>2100</v>
      </c>
      <c r="DA47" s="153">
        <v>2100</v>
      </c>
      <c r="DB47" s="151"/>
      <c r="DC47" s="151"/>
      <c r="DD47" s="151"/>
      <c r="DE47" s="151"/>
      <c r="DF47" s="151"/>
      <c r="DG47" s="151"/>
      <c r="DH47" s="151"/>
      <c r="DI47" s="151"/>
      <c r="DJ47" s="151"/>
      <c r="DK47" s="153"/>
      <c r="DL47" s="153"/>
      <c r="DM47" s="153"/>
      <c r="DN47" s="153"/>
      <c r="DO47" s="153"/>
      <c r="DP47" s="153"/>
      <c r="DQ47" s="151"/>
      <c r="DR47" s="151">
        <v>2100</v>
      </c>
      <c r="DS47" s="151">
        <v>2100</v>
      </c>
    </row>
    <row r="48" ht="31.5" spans="1:123">
      <c r="A48" s="132"/>
      <c r="B48" s="132"/>
      <c r="C48" s="148" t="s">
        <v>104</v>
      </c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>
        <v>3100</v>
      </c>
      <c r="X48" s="151">
        <v>3100</v>
      </c>
      <c r="Y48" s="151"/>
      <c r="Z48" s="151">
        <v>3100</v>
      </c>
      <c r="AA48" s="151">
        <v>3100</v>
      </c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 s="151"/>
      <c r="AW48" s="151"/>
      <c r="AX48" s="151"/>
      <c r="AY48" s="151"/>
      <c r="AZ48" s="153"/>
      <c r="BA48" s="153">
        <v>3100</v>
      </c>
      <c r="BB48" s="153">
        <v>3100</v>
      </c>
      <c r="BC48" s="153"/>
      <c r="BD48" s="153">
        <v>3100</v>
      </c>
      <c r="BE48" s="153">
        <v>3100</v>
      </c>
      <c r="BF48" s="151"/>
      <c r="BG48" s="151"/>
      <c r="BH48" s="151"/>
      <c r="BI48" s="151"/>
      <c r="BJ48" s="151"/>
      <c r="BK48" s="151"/>
      <c r="BL48" s="153"/>
      <c r="BM48" s="153"/>
      <c r="BN48" s="153"/>
      <c r="BO48" s="151"/>
      <c r="BP48" s="151"/>
      <c r="BQ48" s="151"/>
      <c r="BR48" s="151"/>
      <c r="BS48" s="151"/>
      <c r="BT48" s="151"/>
      <c r="BU48" s="151"/>
      <c r="BV48" s="151"/>
      <c r="BW48" s="151"/>
      <c r="BX48" s="153"/>
      <c r="BY48" s="153"/>
      <c r="BZ48" s="153"/>
      <c r="CA48" s="151"/>
      <c r="CB48" s="151"/>
      <c r="CC48" s="151"/>
      <c r="CD48" s="151"/>
      <c r="CE48" s="151"/>
      <c r="CF48" s="151"/>
      <c r="CG48" s="151"/>
      <c r="CH48" s="151"/>
      <c r="CI48" s="151"/>
      <c r="CJ48" s="153"/>
      <c r="CK48" s="153"/>
      <c r="CL48" s="153"/>
      <c r="CM48" s="151"/>
      <c r="CN48" s="151">
        <v>3100</v>
      </c>
      <c r="CO48" s="151">
        <v>3100</v>
      </c>
      <c r="CP48" s="151"/>
      <c r="CQ48" s="151"/>
      <c r="CR48" s="151"/>
      <c r="CS48" s="151"/>
      <c r="CT48" s="151"/>
      <c r="CU48" s="151"/>
      <c r="CV48" s="153"/>
      <c r="CW48" s="153">
        <v>3100</v>
      </c>
      <c r="CX48" s="153">
        <v>3100</v>
      </c>
      <c r="CY48" s="153"/>
      <c r="CZ48" s="153">
        <v>3100</v>
      </c>
      <c r="DA48" s="153">
        <v>3100</v>
      </c>
      <c r="DB48" s="151"/>
      <c r="DC48" s="151"/>
      <c r="DD48" s="151"/>
      <c r="DE48" s="151"/>
      <c r="DF48" s="151"/>
      <c r="DG48" s="151"/>
      <c r="DH48" s="151"/>
      <c r="DI48" s="151"/>
      <c r="DJ48" s="151"/>
      <c r="DK48" s="153"/>
      <c r="DL48" s="153"/>
      <c r="DM48" s="153"/>
      <c r="DN48" s="153"/>
      <c r="DO48" s="153"/>
      <c r="DP48" s="153"/>
      <c r="DQ48" s="151"/>
      <c r="DR48" s="151">
        <v>3100</v>
      </c>
      <c r="DS48" s="151">
        <v>3100</v>
      </c>
    </row>
    <row r="49" spans="1:123">
      <c r="A49" s="132" t="s">
        <v>105</v>
      </c>
      <c r="B49" s="132"/>
      <c r="C49" s="148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1"/>
      <c r="AQ49" s="151"/>
      <c r="AR49" s="151"/>
      <c r="AS49" s="151"/>
      <c r="AT49" s="151"/>
      <c r="AU49" s="151"/>
      <c r="AV49" s="151"/>
      <c r="AW49" s="151"/>
      <c r="AX49" s="151"/>
      <c r="AY49" s="151"/>
      <c r="AZ49" s="153"/>
      <c r="BA49" s="153"/>
      <c r="BB49" s="153"/>
      <c r="BC49" s="153"/>
      <c r="BD49" s="153"/>
      <c r="BE49" s="153"/>
      <c r="BF49" s="151"/>
      <c r="BG49" s="151"/>
      <c r="BH49" s="151"/>
      <c r="BI49" s="151"/>
      <c r="BJ49" s="151"/>
      <c r="BK49" s="151"/>
      <c r="BL49" s="153"/>
      <c r="BM49" s="153"/>
      <c r="BN49" s="153"/>
      <c r="BO49" s="151"/>
      <c r="BP49" s="151"/>
      <c r="BQ49" s="151"/>
      <c r="BR49" s="151"/>
      <c r="BS49" s="151"/>
      <c r="BT49" s="151"/>
      <c r="BU49" s="151"/>
      <c r="BV49" s="151"/>
      <c r="BW49" s="151"/>
      <c r="BX49" s="153"/>
      <c r="BY49" s="153"/>
      <c r="BZ49" s="153"/>
      <c r="CA49" s="151"/>
      <c r="CB49" s="151"/>
      <c r="CC49" s="151"/>
      <c r="CD49" s="151"/>
      <c r="CE49" s="151"/>
      <c r="CF49" s="151"/>
      <c r="CG49" s="151"/>
      <c r="CH49" s="151"/>
      <c r="CI49" s="151"/>
      <c r="CJ49" s="153"/>
      <c r="CK49" s="153"/>
      <c r="CL49" s="153"/>
      <c r="CM49" s="151"/>
      <c r="CN49" s="151"/>
      <c r="CO49" s="151"/>
      <c r="CP49" s="151"/>
      <c r="CQ49" s="151"/>
      <c r="CR49" s="151"/>
      <c r="CS49" s="151"/>
      <c r="CT49" s="151"/>
      <c r="CU49" s="151"/>
      <c r="CV49" s="153"/>
      <c r="CW49" s="153"/>
      <c r="CX49" s="153"/>
      <c r="CY49" s="153"/>
      <c r="CZ49" s="153"/>
      <c r="DA49" s="153"/>
      <c r="DB49" s="151"/>
      <c r="DC49" s="151"/>
      <c r="DD49" s="151"/>
      <c r="DE49" s="151"/>
      <c r="DF49" s="151"/>
      <c r="DG49" s="151"/>
      <c r="DH49" s="151"/>
      <c r="DI49" s="151"/>
      <c r="DJ49" s="151"/>
      <c r="DK49" s="153"/>
      <c r="DL49" s="153"/>
      <c r="DM49" s="153"/>
      <c r="DN49" s="153"/>
      <c r="DO49" s="153"/>
      <c r="DP49" s="153"/>
      <c r="DQ49" s="151"/>
      <c r="DR49" s="151"/>
      <c r="DS49" s="151"/>
    </row>
    <row r="50" spans="1:123">
      <c r="A50" s="132"/>
      <c r="B50" s="132" t="s">
        <v>356</v>
      </c>
      <c r="C50" s="148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/>
      <c r="AV50" s="151"/>
      <c r="AW50" s="151"/>
      <c r="AX50" s="151"/>
      <c r="AY50" s="151"/>
      <c r="AZ50" s="153"/>
      <c r="BA50" s="153"/>
      <c r="BB50" s="153"/>
      <c r="BC50" s="153"/>
      <c r="BD50" s="153"/>
      <c r="BE50" s="153"/>
      <c r="BF50" s="151"/>
      <c r="BG50" s="151"/>
      <c r="BH50" s="151"/>
      <c r="BI50" s="151"/>
      <c r="BJ50" s="151"/>
      <c r="BK50" s="151"/>
      <c r="BL50" s="153"/>
      <c r="BM50" s="153"/>
      <c r="BN50" s="153"/>
      <c r="BO50" s="151"/>
      <c r="BP50" s="151"/>
      <c r="BQ50" s="151"/>
      <c r="BR50" s="151"/>
      <c r="BS50" s="151"/>
      <c r="BT50" s="151"/>
      <c r="BU50" s="151"/>
      <c r="BV50" s="151"/>
      <c r="BW50" s="151"/>
      <c r="BX50" s="153"/>
      <c r="BY50" s="153"/>
      <c r="BZ50" s="153"/>
      <c r="CA50" s="151"/>
      <c r="CB50" s="151"/>
      <c r="CC50" s="151"/>
      <c r="CD50" s="151"/>
      <c r="CE50" s="151"/>
      <c r="CF50" s="151"/>
      <c r="CG50" s="151"/>
      <c r="CH50" s="151"/>
      <c r="CI50" s="151"/>
      <c r="CJ50" s="153"/>
      <c r="CK50" s="153"/>
      <c r="CL50" s="153"/>
      <c r="CM50" s="151"/>
      <c r="CN50" s="151"/>
      <c r="CO50" s="151"/>
      <c r="CP50" s="151"/>
      <c r="CQ50" s="151"/>
      <c r="CR50" s="151"/>
      <c r="CS50" s="151"/>
      <c r="CT50" s="151"/>
      <c r="CU50" s="151"/>
      <c r="CV50" s="153"/>
      <c r="CW50" s="153"/>
      <c r="CX50" s="153"/>
      <c r="CY50" s="153"/>
      <c r="CZ50" s="153"/>
      <c r="DA50" s="153"/>
      <c r="DB50" s="151"/>
      <c r="DC50" s="151"/>
      <c r="DD50" s="151"/>
      <c r="DE50" s="151"/>
      <c r="DF50" s="151"/>
      <c r="DG50" s="151"/>
      <c r="DH50" s="151"/>
      <c r="DI50" s="151"/>
      <c r="DJ50" s="151"/>
      <c r="DK50" s="153"/>
      <c r="DL50" s="153"/>
      <c r="DM50" s="153"/>
      <c r="DN50" s="153"/>
      <c r="DO50" s="153"/>
      <c r="DP50" s="153"/>
      <c r="DQ50" s="151"/>
      <c r="DR50" s="151"/>
      <c r="DS50" s="151"/>
    </row>
    <row r="51" ht="47.25" spans="1:123">
      <c r="A51" s="132"/>
      <c r="B51" s="132"/>
      <c r="C51" s="148" t="s">
        <v>128</v>
      </c>
      <c r="D51" s="151"/>
      <c r="E51" s="151"/>
      <c r="F51" s="151"/>
      <c r="G51" s="151"/>
      <c r="H51" s="151"/>
      <c r="I51" s="151"/>
      <c r="J51" s="151">
        <v>3000</v>
      </c>
      <c r="K51" s="151"/>
      <c r="L51" s="151">
        <v>3000</v>
      </c>
      <c r="M51" s="151">
        <v>3000</v>
      </c>
      <c r="N51" s="151"/>
      <c r="O51" s="151">
        <v>3000</v>
      </c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  <c r="AJ51" s="151"/>
      <c r="AK51" s="151"/>
      <c r="AL51" s="151"/>
      <c r="AM51" s="151"/>
      <c r="AN51" s="151"/>
      <c r="AO51" s="151"/>
      <c r="AP51" s="151"/>
      <c r="AQ51" s="151"/>
      <c r="AR51" s="151"/>
      <c r="AS51" s="151"/>
      <c r="AT51" s="151"/>
      <c r="AU51" s="151"/>
      <c r="AV51" s="151"/>
      <c r="AW51" s="151"/>
      <c r="AX51" s="151"/>
      <c r="AY51" s="151"/>
      <c r="AZ51" s="153">
        <v>3000</v>
      </c>
      <c r="BA51" s="153"/>
      <c r="BB51" s="153">
        <v>3000</v>
      </c>
      <c r="BC51" s="153">
        <v>3000</v>
      </c>
      <c r="BD51" s="153"/>
      <c r="BE51" s="153">
        <v>3000</v>
      </c>
      <c r="BF51" s="151"/>
      <c r="BG51" s="151"/>
      <c r="BH51" s="151"/>
      <c r="BI51" s="151"/>
      <c r="BJ51" s="151"/>
      <c r="BK51" s="151"/>
      <c r="BL51" s="153"/>
      <c r="BM51" s="153"/>
      <c r="BN51" s="153"/>
      <c r="BO51" s="151"/>
      <c r="BP51" s="151"/>
      <c r="BQ51" s="151"/>
      <c r="BR51" s="151"/>
      <c r="BS51" s="151"/>
      <c r="BT51" s="151"/>
      <c r="BU51" s="151"/>
      <c r="BV51" s="151"/>
      <c r="BW51" s="151"/>
      <c r="BX51" s="153"/>
      <c r="BY51" s="153"/>
      <c r="BZ51" s="153"/>
      <c r="CA51" s="151">
        <v>3000</v>
      </c>
      <c r="CB51" s="151"/>
      <c r="CC51" s="151">
        <v>3000</v>
      </c>
      <c r="CD51" s="151"/>
      <c r="CE51" s="151"/>
      <c r="CF51" s="151"/>
      <c r="CG51" s="151"/>
      <c r="CH51" s="151"/>
      <c r="CI51" s="151"/>
      <c r="CJ51" s="153">
        <v>3000</v>
      </c>
      <c r="CK51" s="153"/>
      <c r="CL51" s="153">
        <v>3000</v>
      </c>
      <c r="CM51" s="151"/>
      <c r="CN51" s="151"/>
      <c r="CO51" s="151"/>
      <c r="CP51" s="151"/>
      <c r="CQ51" s="151"/>
      <c r="CR51" s="151"/>
      <c r="CS51" s="151"/>
      <c r="CT51" s="151"/>
      <c r="CU51" s="151"/>
      <c r="CV51" s="153"/>
      <c r="CW51" s="153"/>
      <c r="CX51" s="153"/>
      <c r="CY51" s="153">
        <v>3000</v>
      </c>
      <c r="CZ51" s="153"/>
      <c r="DA51" s="153">
        <v>3000</v>
      </c>
      <c r="DB51" s="151"/>
      <c r="DC51" s="151"/>
      <c r="DD51" s="151"/>
      <c r="DE51" s="151"/>
      <c r="DF51" s="151"/>
      <c r="DG51" s="151"/>
      <c r="DH51" s="151"/>
      <c r="DI51" s="151"/>
      <c r="DJ51" s="151"/>
      <c r="DK51" s="153"/>
      <c r="DL51" s="153"/>
      <c r="DM51" s="153"/>
      <c r="DN51" s="153"/>
      <c r="DO51" s="153"/>
      <c r="DP51" s="153"/>
      <c r="DQ51" s="151">
        <v>3000</v>
      </c>
      <c r="DR51" s="151"/>
      <c r="DS51" s="151">
        <v>3000</v>
      </c>
    </row>
    <row r="52" spans="1:123">
      <c r="A52" s="132"/>
      <c r="B52" s="132"/>
      <c r="C52" s="148" t="s">
        <v>107</v>
      </c>
      <c r="D52" s="151"/>
      <c r="E52" s="151"/>
      <c r="F52" s="151"/>
      <c r="G52" s="151"/>
      <c r="H52" s="151"/>
      <c r="I52" s="151"/>
      <c r="J52" s="151">
        <v>650</v>
      </c>
      <c r="K52" s="151"/>
      <c r="L52" s="151">
        <v>650</v>
      </c>
      <c r="M52" s="151">
        <v>650</v>
      </c>
      <c r="N52" s="151"/>
      <c r="O52" s="151">
        <v>650</v>
      </c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  <c r="AJ52" s="151"/>
      <c r="AK52" s="151"/>
      <c r="AL52" s="151"/>
      <c r="AM52" s="151"/>
      <c r="AN52" s="151"/>
      <c r="AO52" s="151"/>
      <c r="AP52" s="151"/>
      <c r="AQ52" s="151"/>
      <c r="AR52" s="151"/>
      <c r="AS52" s="151"/>
      <c r="AT52" s="151"/>
      <c r="AU52" s="151"/>
      <c r="AV52" s="151"/>
      <c r="AW52" s="151"/>
      <c r="AX52" s="151"/>
      <c r="AY52" s="151"/>
      <c r="AZ52" s="153">
        <v>650</v>
      </c>
      <c r="BA52" s="153"/>
      <c r="BB52" s="153">
        <v>650</v>
      </c>
      <c r="BC52" s="153">
        <v>650</v>
      </c>
      <c r="BD52" s="153"/>
      <c r="BE52" s="153">
        <v>650</v>
      </c>
      <c r="BF52" s="151"/>
      <c r="BG52" s="151"/>
      <c r="BH52" s="151"/>
      <c r="BI52" s="151"/>
      <c r="BJ52" s="151"/>
      <c r="BK52" s="151"/>
      <c r="BL52" s="153"/>
      <c r="BM52" s="153"/>
      <c r="BN52" s="153"/>
      <c r="BO52" s="151"/>
      <c r="BP52" s="151"/>
      <c r="BQ52" s="151"/>
      <c r="BR52" s="151"/>
      <c r="BS52" s="151"/>
      <c r="BT52" s="151"/>
      <c r="BU52" s="151"/>
      <c r="BV52" s="151"/>
      <c r="BW52" s="151"/>
      <c r="BX52" s="153"/>
      <c r="BY52" s="153"/>
      <c r="BZ52" s="153"/>
      <c r="CA52" s="151"/>
      <c r="CB52" s="151"/>
      <c r="CC52" s="151"/>
      <c r="CD52" s="151">
        <v>650</v>
      </c>
      <c r="CE52" s="151"/>
      <c r="CF52" s="151">
        <v>650</v>
      </c>
      <c r="CG52" s="151"/>
      <c r="CH52" s="151"/>
      <c r="CI52" s="151"/>
      <c r="CJ52" s="153">
        <v>650</v>
      </c>
      <c r="CK52" s="153"/>
      <c r="CL52" s="153">
        <v>650</v>
      </c>
      <c r="CM52" s="151"/>
      <c r="CN52" s="151"/>
      <c r="CO52" s="151"/>
      <c r="CP52" s="151"/>
      <c r="CQ52" s="151"/>
      <c r="CR52" s="151"/>
      <c r="CS52" s="151"/>
      <c r="CT52" s="151"/>
      <c r="CU52" s="151"/>
      <c r="CV52" s="153"/>
      <c r="CW52" s="153"/>
      <c r="CX52" s="153"/>
      <c r="CY52" s="153">
        <v>650</v>
      </c>
      <c r="CZ52" s="153"/>
      <c r="DA52" s="153">
        <v>650</v>
      </c>
      <c r="DB52" s="151"/>
      <c r="DC52" s="151"/>
      <c r="DD52" s="151"/>
      <c r="DE52" s="151"/>
      <c r="DF52" s="151"/>
      <c r="DG52" s="151"/>
      <c r="DH52" s="151"/>
      <c r="DI52" s="151"/>
      <c r="DJ52" s="151"/>
      <c r="DK52" s="153"/>
      <c r="DL52" s="153"/>
      <c r="DM52" s="153"/>
      <c r="DN52" s="153"/>
      <c r="DO52" s="153"/>
      <c r="DP52" s="153"/>
      <c r="DQ52" s="151">
        <v>650</v>
      </c>
      <c r="DR52" s="151"/>
      <c r="DS52" s="151">
        <v>650</v>
      </c>
    </row>
    <row r="53" spans="1:123">
      <c r="A53" s="132"/>
      <c r="B53" s="132"/>
      <c r="C53" s="148" t="s">
        <v>115</v>
      </c>
      <c r="D53" s="151"/>
      <c r="E53" s="151"/>
      <c r="F53" s="151"/>
      <c r="G53" s="151"/>
      <c r="H53" s="151"/>
      <c r="I53" s="151"/>
      <c r="J53" s="151">
        <v>280</v>
      </c>
      <c r="K53" s="151"/>
      <c r="L53" s="151">
        <v>280</v>
      </c>
      <c r="M53" s="151">
        <v>280</v>
      </c>
      <c r="N53" s="151"/>
      <c r="O53" s="151">
        <v>280</v>
      </c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1"/>
      <c r="AS53" s="151"/>
      <c r="AT53" s="151"/>
      <c r="AU53" s="151"/>
      <c r="AV53" s="151"/>
      <c r="AW53" s="151"/>
      <c r="AX53" s="151"/>
      <c r="AY53" s="151"/>
      <c r="AZ53" s="153">
        <v>280</v>
      </c>
      <c r="BA53" s="153"/>
      <c r="BB53" s="153">
        <v>280</v>
      </c>
      <c r="BC53" s="153">
        <v>280</v>
      </c>
      <c r="BD53" s="153"/>
      <c r="BE53" s="153">
        <v>280</v>
      </c>
      <c r="BF53" s="151"/>
      <c r="BG53" s="151"/>
      <c r="BH53" s="151"/>
      <c r="BI53" s="151"/>
      <c r="BJ53" s="151"/>
      <c r="BK53" s="151"/>
      <c r="BL53" s="153"/>
      <c r="BM53" s="153"/>
      <c r="BN53" s="153"/>
      <c r="BO53" s="151"/>
      <c r="BP53" s="151"/>
      <c r="BQ53" s="151"/>
      <c r="BR53" s="151"/>
      <c r="BS53" s="151"/>
      <c r="BT53" s="151"/>
      <c r="BU53" s="151"/>
      <c r="BV53" s="151"/>
      <c r="BW53" s="151"/>
      <c r="BX53" s="153"/>
      <c r="BY53" s="153"/>
      <c r="BZ53" s="153"/>
      <c r="CA53" s="151"/>
      <c r="CB53" s="151"/>
      <c r="CC53" s="151"/>
      <c r="CD53" s="151"/>
      <c r="CE53" s="151"/>
      <c r="CF53" s="151"/>
      <c r="CG53" s="151"/>
      <c r="CH53" s="151"/>
      <c r="CI53" s="151"/>
      <c r="CJ53" s="153"/>
      <c r="CK53" s="153"/>
      <c r="CL53" s="153"/>
      <c r="CM53" s="151"/>
      <c r="CN53" s="151"/>
      <c r="CO53" s="151"/>
      <c r="CP53" s="151">
        <v>280</v>
      </c>
      <c r="CQ53" s="151"/>
      <c r="CR53" s="151">
        <v>280</v>
      </c>
      <c r="CS53" s="151"/>
      <c r="CT53" s="151"/>
      <c r="CU53" s="151"/>
      <c r="CV53" s="153">
        <v>280</v>
      </c>
      <c r="CW53" s="153"/>
      <c r="CX53" s="153">
        <v>280</v>
      </c>
      <c r="CY53" s="153">
        <v>280</v>
      </c>
      <c r="CZ53" s="153"/>
      <c r="DA53" s="153">
        <v>280</v>
      </c>
      <c r="DB53" s="151"/>
      <c r="DC53" s="151"/>
      <c r="DD53" s="151"/>
      <c r="DE53" s="151"/>
      <c r="DF53" s="151"/>
      <c r="DG53" s="151"/>
      <c r="DH53" s="151"/>
      <c r="DI53" s="151"/>
      <c r="DJ53" s="151"/>
      <c r="DK53" s="153"/>
      <c r="DL53" s="153"/>
      <c r="DM53" s="153"/>
      <c r="DN53" s="153"/>
      <c r="DO53" s="153"/>
      <c r="DP53" s="153"/>
      <c r="DQ53" s="151">
        <v>280</v>
      </c>
      <c r="DR53" s="151"/>
      <c r="DS53" s="151">
        <v>280</v>
      </c>
    </row>
    <row r="54" spans="1:123">
      <c r="A54" s="132"/>
      <c r="B54" s="132"/>
      <c r="C54" s="148" t="s">
        <v>119</v>
      </c>
      <c r="D54" s="151"/>
      <c r="E54" s="151"/>
      <c r="F54" s="151"/>
      <c r="G54" s="151">
        <v>330</v>
      </c>
      <c r="H54" s="151"/>
      <c r="I54" s="151">
        <v>330</v>
      </c>
      <c r="J54" s="151"/>
      <c r="K54" s="151"/>
      <c r="L54" s="151"/>
      <c r="M54" s="151">
        <v>330</v>
      </c>
      <c r="N54" s="151"/>
      <c r="O54" s="151">
        <v>330</v>
      </c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  <c r="AR54" s="151"/>
      <c r="AS54" s="151"/>
      <c r="AT54" s="151"/>
      <c r="AU54" s="151"/>
      <c r="AV54" s="151"/>
      <c r="AW54" s="151"/>
      <c r="AX54" s="151"/>
      <c r="AY54" s="151"/>
      <c r="AZ54" s="153">
        <v>330</v>
      </c>
      <c r="BA54" s="153"/>
      <c r="BB54" s="153">
        <v>330</v>
      </c>
      <c r="BC54" s="153">
        <v>330</v>
      </c>
      <c r="BD54" s="153"/>
      <c r="BE54" s="153">
        <v>330</v>
      </c>
      <c r="BF54" s="151"/>
      <c r="BG54" s="151"/>
      <c r="BH54" s="151"/>
      <c r="BI54" s="151"/>
      <c r="BJ54" s="151"/>
      <c r="BK54" s="151"/>
      <c r="BL54" s="153"/>
      <c r="BM54" s="153"/>
      <c r="BN54" s="153"/>
      <c r="BO54" s="151">
        <v>330</v>
      </c>
      <c r="BP54" s="151"/>
      <c r="BQ54" s="151">
        <v>330</v>
      </c>
      <c r="BR54" s="151"/>
      <c r="BS54" s="151"/>
      <c r="BT54" s="151"/>
      <c r="BU54" s="151"/>
      <c r="BV54" s="151"/>
      <c r="BW54" s="151"/>
      <c r="BX54" s="153">
        <v>330</v>
      </c>
      <c r="BY54" s="153"/>
      <c r="BZ54" s="153">
        <v>330</v>
      </c>
      <c r="CA54" s="151"/>
      <c r="CB54" s="151"/>
      <c r="CC54" s="151"/>
      <c r="CD54" s="151"/>
      <c r="CE54" s="151"/>
      <c r="CF54" s="151"/>
      <c r="CG54" s="151"/>
      <c r="CH54" s="151"/>
      <c r="CI54" s="151"/>
      <c r="CJ54" s="153"/>
      <c r="CK54" s="153"/>
      <c r="CL54" s="153"/>
      <c r="CM54" s="151"/>
      <c r="CN54" s="151"/>
      <c r="CO54" s="151"/>
      <c r="CP54" s="151"/>
      <c r="CQ54" s="151"/>
      <c r="CR54" s="151"/>
      <c r="CS54" s="151"/>
      <c r="CT54" s="151"/>
      <c r="CU54" s="151"/>
      <c r="CV54" s="153"/>
      <c r="CW54" s="153"/>
      <c r="CX54" s="153"/>
      <c r="CY54" s="153">
        <v>330</v>
      </c>
      <c r="CZ54" s="153"/>
      <c r="DA54" s="153">
        <v>330</v>
      </c>
      <c r="DB54" s="151"/>
      <c r="DC54" s="151"/>
      <c r="DD54" s="151"/>
      <c r="DE54" s="151"/>
      <c r="DF54" s="151"/>
      <c r="DG54" s="151"/>
      <c r="DH54" s="151"/>
      <c r="DI54" s="151"/>
      <c r="DJ54" s="151"/>
      <c r="DK54" s="153"/>
      <c r="DL54" s="153"/>
      <c r="DM54" s="153"/>
      <c r="DN54" s="153"/>
      <c r="DO54" s="153"/>
      <c r="DP54" s="153"/>
      <c r="DQ54" s="151">
        <v>330</v>
      </c>
      <c r="DR54" s="151"/>
      <c r="DS54" s="151">
        <v>330</v>
      </c>
    </row>
    <row r="55" spans="1:123">
      <c r="A55" s="132"/>
      <c r="B55" s="132" t="s">
        <v>357</v>
      </c>
      <c r="C55" s="148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/>
      <c r="AS55" s="151"/>
      <c r="AT55" s="151"/>
      <c r="AU55" s="151"/>
      <c r="AV55" s="151"/>
      <c r="AW55" s="151"/>
      <c r="AX55" s="151"/>
      <c r="AY55" s="151"/>
      <c r="AZ55" s="153"/>
      <c r="BA55" s="153"/>
      <c r="BB55" s="153"/>
      <c r="BC55" s="153"/>
      <c r="BD55" s="153"/>
      <c r="BE55" s="153"/>
      <c r="BF55" s="151"/>
      <c r="BG55" s="151"/>
      <c r="BH55" s="151"/>
      <c r="BI55" s="151"/>
      <c r="BJ55" s="151"/>
      <c r="BK55" s="151"/>
      <c r="BL55" s="153"/>
      <c r="BM55" s="153"/>
      <c r="BN55" s="153"/>
      <c r="BO55" s="151"/>
      <c r="BP55" s="151"/>
      <c r="BQ55" s="151"/>
      <c r="BR55" s="151"/>
      <c r="BS55" s="151"/>
      <c r="BT55" s="151"/>
      <c r="BU55" s="151"/>
      <c r="BV55" s="151"/>
      <c r="BW55" s="151"/>
      <c r="BX55" s="153"/>
      <c r="BY55" s="153"/>
      <c r="BZ55" s="153"/>
      <c r="CA55" s="151"/>
      <c r="CB55" s="151"/>
      <c r="CC55" s="151"/>
      <c r="CD55" s="151"/>
      <c r="CE55" s="151"/>
      <c r="CF55" s="151"/>
      <c r="CG55" s="151"/>
      <c r="CH55" s="151"/>
      <c r="CI55" s="151"/>
      <c r="CJ55" s="153"/>
      <c r="CK55" s="153"/>
      <c r="CL55" s="153"/>
      <c r="CM55" s="151"/>
      <c r="CN55" s="151"/>
      <c r="CO55" s="151"/>
      <c r="CP55" s="151"/>
      <c r="CQ55" s="151"/>
      <c r="CR55" s="151"/>
      <c r="CS55" s="151"/>
      <c r="CT55" s="151"/>
      <c r="CU55" s="151"/>
      <c r="CV55" s="153"/>
      <c r="CW55" s="153"/>
      <c r="CX55" s="153"/>
      <c r="CY55" s="153"/>
      <c r="CZ55" s="153"/>
      <c r="DA55" s="153"/>
      <c r="DB55" s="151"/>
      <c r="DC55" s="151"/>
      <c r="DD55" s="151"/>
      <c r="DE55" s="151"/>
      <c r="DF55" s="151"/>
      <c r="DG55" s="151"/>
      <c r="DH55" s="151"/>
      <c r="DI55" s="151"/>
      <c r="DJ55" s="151"/>
      <c r="DK55" s="153"/>
      <c r="DL55" s="153"/>
      <c r="DM55" s="153"/>
      <c r="DN55" s="153"/>
      <c r="DO55" s="153"/>
      <c r="DP55" s="153"/>
      <c r="DQ55" s="151"/>
      <c r="DR55" s="151"/>
      <c r="DS55" s="151"/>
    </row>
    <row r="56" spans="1:123">
      <c r="A56" s="132"/>
      <c r="B56" s="132"/>
      <c r="C56" s="148" t="s">
        <v>133</v>
      </c>
      <c r="D56" s="151"/>
      <c r="E56" s="151"/>
      <c r="F56" s="151"/>
      <c r="G56" s="151"/>
      <c r="H56" s="151"/>
      <c r="I56" s="151"/>
      <c r="J56" s="151">
        <v>1000</v>
      </c>
      <c r="K56" s="151"/>
      <c r="L56" s="151">
        <v>1000</v>
      </c>
      <c r="M56" s="151">
        <v>1000</v>
      </c>
      <c r="N56" s="151"/>
      <c r="O56" s="151">
        <v>1000</v>
      </c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  <c r="AK56" s="151"/>
      <c r="AL56" s="151"/>
      <c r="AM56" s="151"/>
      <c r="AN56" s="151"/>
      <c r="AO56" s="151"/>
      <c r="AP56" s="151"/>
      <c r="AQ56" s="151"/>
      <c r="AR56" s="151"/>
      <c r="AS56" s="151"/>
      <c r="AT56" s="151"/>
      <c r="AU56" s="151"/>
      <c r="AV56" s="151"/>
      <c r="AW56" s="151"/>
      <c r="AX56" s="151"/>
      <c r="AY56" s="151"/>
      <c r="AZ56" s="153">
        <v>1000</v>
      </c>
      <c r="BA56" s="153"/>
      <c r="BB56" s="153">
        <v>1000</v>
      </c>
      <c r="BC56" s="153">
        <v>1000</v>
      </c>
      <c r="BD56" s="153"/>
      <c r="BE56" s="153">
        <v>1000</v>
      </c>
      <c r="BF56" s="151"/>
      <c r="BG56" s="151"/>
      <c r="BH56" s="151"/>
      <c r="BI56" s="151"/>
      <c r="BJ56" s="151"/>
      <c r="BK56" s="151"/>
      <c r="BL56" s="153"/>
      <c r="BM56" s="153"/>
      <c r="BN56" s="153"/>
      <c r="BO56" s="151"/>
      <c r="BP56" s="151"/>
      <c r="BQ56" s="151"/>
      <c r="BR56" s="151"/>
      <c r="BS56" s="151"/>
      <c r="BT56" s="151"/>
      <c r="BU56" s="151"/>
      <c r="BV56" s="151"/>
      <c r="BW56" s="151"/>
      <c r="BX56" s="153"/>
      <c r="BY56" s="153"/>
      <c r="BZ56" s="153"/>
      <c r="CA56" s="151">
        <v>1000</v>
      </c>
      <c r="CB56" s="151"/>
      <c r="CC56" s="151">
        <v>1000</v>
      </c>
      <c r="CD56" s="151"/>
      <c r="CE56" s="151"/>
      <c r="CF56" s="151"/>
      <c r="CG56" s="151"/>
      <c r="CH56" s="151"/>
      <c r="CI56" s="151"/>
      <c r="CJ56" s="153">
        <v>1000</v>
      </c>
      <c r="CK56" s="153"/>
      <c r="CL56" s="153">
        <v>1000</v>
      </c>
      <c r="CM56" s="151"/>
      <c r="CN56" s="151"/>
      <c r="CO56" s="151"/>
      <c r="CP56" s="151"/>
      <c r="CQ56" s="151"/>
      <c r="CR56" s="151"/>
      <c r="CS56" s="151"/>
      <c r="CT56" s="151"/>
      <c r="CU56" s="151"/>
      <c r="CV56" s="153"/>
      <c r="CW56" s="153"/>
      <c r="CX56" s="153"/>
      <c r="CY56" s="153">
        <v>1000</v>
      </c>
      <c r="CZ56" s="153"/>
      <c r="DA56" s="153">
        <v>1000</v>
      </c>
      <c r="DB56" s="151"/>
      <c r="DC56" s="151"/>
      <c r="DD56" s="151"/>
      <c r="DE56" s="151"/>
      <c r="DF56" s="151"/>
      <c r="DG56" s="151"/>
      <c r="DH56" s="151"/>
      <c r="DI56" s="151"/>
      <c r="DJ56" s="151"/>
      <c r="DK56" s="153"/>
      <c r="DL56" s="153"/>
      <c r="DM56" s="153"/>
      <c r="DN56" s="153"/>
      <c r="DO56" s="153"/>
      <c r="DP56" s="153"/>
      <c r="DQ56" s="151">
        <v>1000</v>
      </c>
      <c r="DR56" s="151"/>
      <c r="DS56" s="151">
        <v>1000</v>
      </c>
    </row>
    <row r="57" spans="1:123">
      <c r="A57" s="132"/>
      <c r="B57" s="132"/>
      <c r="C57" s="148" t="s">
        <v>117</v>
      </c>
      <c r="D57" s="151"/>
      <c r="E57" s="151"/>
      <c r="F57" s="151"/>
      <c r="G57" s="151"/>
      <c r="H57" s="151"/>
      <c r="I57" s="151"/>
      <c r="J57" s="151">
        <v>160</v>
      </c>
      <c r="K57" s="151"/>
      <c r="L57" s="151">
        <v>160</v>
      </c>
      <c r="M57" s="151">
        <v>160</v>
      </c>
      <c r="N57" s="151"/>
      <c r="O57" s="151">
        <v>160</v>
      </c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  <c r="AS57" s="151"/>
      <c r="AT57" s="151"/>
      <c r="AU57" s="151"/>
      <c r="AV57" s="151"/>
      <c r="AW57" s="151"/>
      <c r="AX57" s="151"/>
      <c r="AY57" s="151"/>
      <c r="AZ57" s="153">
        <v>160</v>
      </c>
      <c r="BA57" s="153"/>
      <c r="BB57" s="153">
        <v>160</v>
      </c>
      <c r="BC57" s="153">
        <v>160</v>
      </c>
      <c r="BD57" s="153"/>
      <c r="BE57" s="153">
        <v>160</v>
      </c>
      <c r="BF57" s="151"/>
      <c r="BG57" s="151"/>
      <c r="BH57" s="151"/>
      <c r="BI57" s="151"/>
      <c r="BJ57" s="151"/>
      <c r="BK57" s="151"/>
      <c r="BL57" s="153"/>
      <c r="BM57" s="153"/>
      <c r="BN57" s="153"/>
      <c r="BO57" s="151"/>
      <c r="BP57" s="151"/>
      <c r="BQ57" s="151"/>
      <c r="BR57" s="151"/>
      <c r="BS57" s="151"/>
      <c r="BT57" s="151"/>
      <c r="BU57" s="151"/>
      <c r="BV57" s="151"/>
      <c r="BW57" s="151"/>
      <c r="BX57" s="153"/>
      <c r="BY57" s="153"/>
      <c r="BZ57" s="153"/>
      <c r="CA57" s="151"/>
      <c r="CB57" s="151"/>
      <c r="CC57" s="151"/>
      <c r="CD57" s="151"/>
      <c r="CE57" s="151"/>
      <c r="CF57" s="151"/>
      <c r="CG57" s="151"/>
      <c r="CH57" s="151"/>
      <c r="CI57" s="151"/>
      <c r="CJ57" s="153"/>
      <c r="CK57" s="153"/>
      <c r="CL57" s="153"/>
      <c r="CM57" s="151"/>
      <c r="CN57" s="151"/>
      <c r="CO57" s="151"/>
      <c r="CP57" s="151">
        <v>160</v>
      </c>
      <c r="CQ57" s="151"/>
      <c r="CR57" s="151">
        <v>160</v>
      </c>
      <c r="CS57" s="151"/>
      <c r="CT57" s="151"/>
      <c r="CU57" s="151"/>
      <c r="CV57" s="153">
        <v>160</v>
      </c>
      <c r="CW57" s="153"/>
      <c r="CX57" s="153">
        <v>160</v>
      </c>
      <c r="CY57" s="153">
        <v>160</v>
      </c>
      <c r="CZ57" s="153"/>
      <c r="DA57" s="153">
        <v>160</v>
      </c>
      <c r="DB57" s="151"/>
      <c r="DC57" s="151"/>
      <c r="DD57" s="151"/>
      <c r="DE57" s="151"/>
      <c r="DF57" s="151"/>
      <c r="DG57" s="151"/>
      <c r="DH57" s="151"/>
      <c r="DI57" s="151"/>
      <c r="DJ57" s="151"/>
      <c r="DK57" s="153"/>
      <c r="DL57" s="153"/>
      <c r="DM57" s="153"/>
      <c r="DN57" s="153"/>
      <c r="DO57" s="153"/>
      <c r="DP57" s="153"/>
      <c r="DQ57" s="151">
        <v>160</v>
      </c>
      <c r="DR57" s="151"/>
      <c r="DS57" s="151">
        <v>160</v>
      </c>
    </row>
    <row r="58" spans="1:123">
      <c r="A58" s="132"/>
      <c r="B58" s="132"/>
      <c r="C58" s="148" t="s">
        <v>121</v>
      </c>
      <c r="D58" s="151"/>
      <c r="E58" s="151"/>
      <c r="F58" s="151"/>
      <c r="G58" s="151">
        <v>200</v>
      </c>
      <c r="H58" s="151"/>
      <c r="I58" s="151">
        <v>200</v>
      </c>
      <c r="J58" s="151"/>
      <c r="K58" s="151"/>
      <c r="L58" s="151"/>
      <c r="M58" s="151">
        <v>200</v>
      </c>
      <c r="N58" s="151"/>
      <c r="O58" s="151">
        <v>200</v>
      </c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AT58" s="151"/>
      <c r="AU58" s="151"/>
      <c r="AV58" s="151"/>
      <c r="AW58" s="151"/>
      <c r="AX58" s="151"/>
      <c r="AY58" s="151"/>
      <c r="AZ58" s="153">
        <v>200</v>
      </c>
      <c r="BA58" s="153"/>
      <c r="BB58" s="153">
        <v>200</v>
      </c>
      <c r="BC58" s="153">
        <v>200</v>
      </c>
      <c r="BD58" s="153"/>
      <c r="BE58" s="153">
        <v>200</v>
      </c>
      <c r="BF58" s="151"/>
      <c r="BG58" s="151"/>
      <c r="BH58" s="151"/>
      <c r="BI58" s="151"/>
      <c r="BJ58" s="151"/>
      <c r="BK58" s="151"/>
      <c r="BL58" s="153"/>
      <c r="BM58" s="153"/>
      <c r="BN58" s="153"/>
      <c r="BO58" s="151">
        <v>200</v>
      </c>
      <c r="BP58" s="151"/>
      <c r="BQ58" s="151">
        <v>200</v>
      </c>
      <c r="BR58" s="151"/>
      <c r="BS58" s="151"/>
      <c r="BT58" s="151"/>
      <c r="BU58" s="151"/>
      <c r="BV58" s="151"/>
      <c r="BW58" s="151"/>
      <c r="BX58" s="153">
        <v>200</v>
      </c>
      <c r="BY58" s="153"/>
      <c r="BZ58" s="153">
        <v>200</v>
      </c>
      <c r="CA58" s="151"/>
      <c r="CB58" s="151"/>
      <c r="CC58" s="151"/>
      <c r="CD58" s="151"/>
      <c r="CE58" s="151"/>
      <c r="CF58" s="151"/>
      <c r="CG58" s="151"/>
      <c r="CH58" s="151"/>
      <c r="CI58" s="151"/>
      <c r="CJ58" s="153"/>
      <c r="CK58" s="153"/>
      <c r="CL58" s="153"/>
      <c r="CM58" s="151"/>
      <c r="CN58" s="151"/>
      <c r="CO58" s="151"/>
      <c r="CP58" s="151"/>
      <c r="CQ58" s="151"/>
      <c r="CR58" s="151"/>
      <c r="CS58" s="151"/>
      <c r="CT58" s="151"/>
      <c r="CU58" s="151"/>
      <c r="CV58" s="153"/>
      <c r="CW58" s="153"/>
      <c r="CX58" s="153"/>
      <c r="CY58" s="153">
        <v>200</v>
      </c>
      <c r="CZ58" s="153"/>
      <c r="DA58" s="153">
        <v>200</v>
      </c>
      <c r="DB58" s="151"/>
      <c r="DC58" s="151"/>
      <c r="DD58" s="151"/>
      <c r="DE58" s="151"/>
      <c r="DF58" s="151"/>
      <c r="DG58" s="151"/>
      <c r="DH58" s="151"/>
      <c r="DI58" s="151"/>
      <c r="DJ58" s="151"/>
      <c r="DK58" s="153"/>
      <c r="DL58" s="153"/>
      <c r="DM58" s="153"/>
      <c r="DN58" s="153"/>
      <c r="DO58" s="153"/>
      <c r="DP58" s="153"/>
      <c r="DQ58" s="151">
        <v>200</v>
      </c>
      <c r="DR58" s="151"/>
      <c r="DS58" s="151">
        <v>200</v>
      </c>
    </row>
    <row r="59" spans="1:123">
      <c r="A59" s="132"/>
      <c r="B59" s="132" t="s">
        <v>358</v>
      </c>
      <c r="C59" s="148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51"/>
      <c r="AI59" s="151"/>
      <c r="AJ59" s="151"/>
      <c r="AK59" s="151"/>
      <c r="AL59" s="151"/>
      <c r="AM59" s="151"/>
      <c r="AN59" s="151"/>
      <c r="AO59" s="151"/>
      <c r="AP59" s="151"/>
      <c r="AQ59" s="151"/>
      <c r="AR59" s="151"/>
      <c r="AS59" s="151"/>
      <c r="AT59" s="151"/>
      <c r="AU59" s="151"/>
      <c r="AV59" s="151"/>
      <c r="AW59" s="151"/>
      <c r="AX59" s="151"/>
      <c r="AY59" s="151"/>
      <c r="AZ59" s="153"/>
      <c r="BA59" s="153"/>
      <c r="BB59" s="153"/>
      <c r="BC59" s="153"/>
      <c r="BD59" s="153"/>
      <c r="BE59" s="153"/>
      <c r="BF59" s="151"/>
      <c r="BG59" s="151"/>
      <c r="BH59" s="151"/>
      <c r="BI59" s="151"/>
      <c r="BJ59" s="151"/>
      <c r="BK59" s="151"/>
      <c r="BL59" s="153"/>
      <c r="BM59" s="153"/>
      <c r="BN59" s="153"/>
      <c r="BO59" s="151"/>
      <c r="BP59" s="151"/>
      <c r="BQ59" s="151"/>
      <c r="BR59" s="151"/>
      <c r="BS59" s="151"/>
      <c r="BT59" s="151"/>
      <c r="BU59" s="151"/>
      <c r="BV59" s="151"/>
      <c r="BW59" s="151"/>
      <c r="BX59" s="153"/>
      <c r="BY59" s="153"/>
      <c r="BZ59" s="153"/>
      <c r="CA59" s="151"/>
      <c r="CB59" s="151"/>
      <c r="CC59" s="151"/>
      <c r="CD59" s="151"/>
      <c r="CE59" s="151"/>
      <c r="CF59" s="151"/>
      <c r="CG59" s="151"/>
      <c r="CH59" s="151"/>
      <c r="CI59" s="151"/>
      <c r="CJ59" s="153"/>
      <c r="CK59" s="153"/>
      <c r="CL59" s="153"/>
      <c r="CM59" s="151"/>
      <c r="CN59" s="151"/>
      <c r="CO59" s="151"/>
      <c r="CP59" s="151"/>
      <c r="CQ59" s="151"/>
      <c r="CR59" s="151"/>
      <c r="CS59" s="151"/>
      <c r="CT59" s="151"/>
      <c r="CU59" s="151"/>
      <c r="CV59" s="153"/>
      <c r="CW59" s="153"/>
      <c r="CX59" s="153"/>
      <c r="CY59" s="153"/>
      <c r="CZ59" s="153"/>
      <c r="DA59" s="153"/>
      <c r="DB59" s="151"/>
      <c r="DC59" s="151"/>
      <c r="DD59" s="151"/>
      <c r="DE59" s="151"/>
      <c r="DF59" s="151"/>
      <c r="DG59" s="151"/>
      <c r="DH59" s="151"/>
      <c r="DI59" s="151"/>
      <c r="DJ59" s="151"/>
      <c r="DK59" s="153"/>
      <c r="DL59" s="153"/>
      <c r="DM59" s="153"/>
      <c r="DN59" s="153"/>
      <c r="DO59" s="153"/>
      <c r="DP59" s="153"/>
      <c r="DQ59" s="151"/>
      <c r="DR59" s="151"/>
      <c r="DS59" s="151"/>
    </row>
    <row r="60" ht="31.5" spans="1:123">
      <c r="A60" s="132"/>
      <c r="B60" s="132"/>
      <c r="C60" s="148" t="s">
        <v>135</v>
      </c>
      <c r="D60" s="151"/>
      <c r="E60" s="151"/>
      <c r="F60" s="151"/>
      <c r="G60" s="151"/>
      <c r="H60" s="151"/>
      <c r="I60" s="151"/>
      <c r="J60" s="151">
        <v>210</v>
      </c>
      <c r="K60" s="151"/>
      <c r="L60" s="151">
        <v>210</v>
      </c>
      <c r="M60" s="151">
        <v>210</v>
      </c>
      <c r="N60" s="151"/>
      <c r="O60" s="151">
        <v>210</v>
      </c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  <c r="AH60" s="151"/>
      <c r="AI60" s="151"/>
      <c r="AJ60" s="151"/>
      <c r="AK60" s="151"/>
      <c r="AL60" s="151"/>
      <c r="AM60" s="151"/>
      <c r="AN60" s="151"/>
      <c r="AO60" s="151"/>
      <c r="AP60" s="151"/>
      <c r="AQ60" s="151"/>
      <c r="AR60" s="151"/>
      <c r="AS60" s="151"/>
      <c r="AT60" s="151"/>
      <c r="AU60" s="151"/>
      <c r="AV60" s="151"/>
      <c r="AW60" s="151"/>
      <c r="AX60" s="151"/>
      <c r="AY60" s="151"/>
      <c r="AZ60" s="153">
        <v>210</v>
      </c>
      <c r="BA60" s="153"/>
      <c r="BB60" s="153">
        <v>210</v>
      </c>
      <c r="BC60" s="153">
        <v>210</v>
      </c>
      <c r="BD60" s="153"/>
      <c r="BE60" s="153">
        <v>210</v>
      </c>
      <c r="BF60" s="151"/>
      <c r="BG60" s="151"/>
      <c r="BH60" s="151"/>
      <c r="BI60" s="151"/>
      <c r="BJ60" s="151"/>
      <c r="BK60" s="151"/>
      <c r="BL60" s="153"/>
      <c r="BM60" s="153"/>
      <c r="BN60" s="153"/>
      <c r="BO60" s="151"/>
      <c r="BP60" s="151"/>
      <c r="BQ60" s="151"/>
      <c r="BR60" s="151">
        <v>210</v>
      </c>
      <c r="BS60" s="151"/>
      <c r="BT60" s="151">
        <v>210</v>
      </c>
      <c r="BU60" s="151"/>
      <c r="BV60" s="151"/>
      <c r="BW60" s="151"/>
      <c r="BX60" s="153">
        <v>210</v>
      </c>
      <c r="BY60" s="153"/>
      <c r="BZ60" s="153">
        <v>210</v>
      </c>
      <c r="CA60" s="151"/>
      <c r="CB60" s="151"/>
      <c r="CC60" s="151"/>
      <c r="CD60" s="151"/>
      <c r="CE60" s="151"/>
      <c r="CF60" s="151"/>
      <c r="CG60" s="151"/>
      <c r="CH60" s="151"/>
      <c r="CI60" s="151"/>
      <c r="CJ60" s="153"/>
      <c r="CK60" s="153"/>
      <c r="CL60" s="153"/>
      <c r="CM60" s="151"/>
      <c r="CN60" s="151"/>
      <c r="CO60" s="151"/>
      <c r="CP60" s="151"/>
      <c r="CQ60" s="151"/>
      <c r="CR60" s="151"/>
      <c r="CS60" s="151"/>
      <c r="CT60" s="151"/>
      <c r="CU60" s="151"/>
      <c r="CV60" s="153"/>
      <c r="CW60" s="153"/>
      <c r="CX60" s="153"/>
      <c r="CY60" s="153">
        <v>210</v>
      </c>
      <c r="CZ60" s="153"/>
      <c r="DA60" s="153">
        <v>210</v>
      </c>
      <c r="DB60" s="151"/>
      <c r="DC60" s="151"/>
      <c r="DD60" s="151"/>
      <c r="DE60" s="151"/>
      <c r="DF60" s="151"/>
      <c r="DG60" s="151"/>
      <c r="DH60" s="151"/>
      <c r="DI60" s="151"/>
      <c r="DJ60" s="151"/>
      <c r="DK60" s="153"/>
      <c r="DL60" s="153"/>
      <c r="DM60" s="153"/>
      <c r="DN60" s="153"/>
      <c r="DO60" s="153"/>
      <c r="DP60" s="153"/>
      <c r="DQ60" s="151">
        <v>210</v>
      </c>
      <c r="DR60" s="151"/>
      <c r="DS60" s="151">
        <v>210</v>
      </c>
    </row>
    <row r="61" ht="31.5" spans="1:123">
      <c r="A61" s="132"/>
      <c r="B61" s="132"/>
      <c r="C61" s="148" t="s">
        <v>137</v>
      </c>
      <c r="D61" s="151"/>
      <c r="E61" s="151"/>
      <c r="F61" s="151"/>
      <c r="G61" s="151"/>
      <c r="H61" s="151"/>
      <c r="I61" s="151"/>
      <c r="J61" s="151">
        <v>200</v>
      </c>
      <c r="K61" s="151"/>
      <c r="L61" s="151">
        <v>200</v>
      </c>
      <c r="M61" s="151">
        <v>200</v>
      </c>
      <c r="N61" s="151"/>
      <c r="O61" s="151">
        <v>200</v>
      </c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1"/>
      <c r="AU61" s="151"/>
      <c r="AV61" s="151"/>
      <c r="AW61" s="151"/>
      <c r="AX61" s="151"/>
      <c r="AY61" s="151"/>
      <c r="AZ61" s="153">
        <v>200</v>
      </c>
      <c r="BA61" s="153"/>
      <c r="BB61" s="153">
        <v>200</v>
      </c>
      <c r="BC61" s="153">
        <v>200</v>
      </c>
      <c r="BD61" s="153"/>
      <c r="BE61" s="153">
        <v>200</v>
      </c>
      <c r="BF61" s="151"/>
      <c r="BG61" s="151"/>
      <c r="BH61" s="151"/>
      <c r="BI61" s="151"/>
      <c r="BJ61" s="151"/>
      <c r="BK61" s="151"/>
      <c r="BL61" s="153"/>
      <c r="BM61" s="153"/>
      <c r="BN61" s="153"/>
      <c r="BO61" s="151"/>
      <c r="BP61" s="151"/>
      <c r="BQ61" s="151"/>
      <c r="BR61" s="151">
        <v>200</v>
      </c>
      <c r="BS61" s="151"/>
      <c r="BT61" s="151">
        <v>200</v>
      </c>
      <c r="BU61" s="151"/>
      <c r="BV61" s="151"/>
      <c r="BW61" s="151"/>
      <c r="BX61" s="153">
        <v>200</v>
      </c>
      <c r="BY61" s="153"/>
      <c r="BZ61" s="153">
        <v>200</v>
      </c>
      <c r="CA61" s="151"/>
      <c r="CB61" s="151"/>
      <c r="CC61" s="151"/>
      <c r="CD61" s="151"/>
      <c r="CE61" s="151"/>
      <c r="CF61" s="151"/>
      <c r="CG61" s="151"/>
      <c r="CH61" s="151"/>
      <c r="CI61" s="151"/>
      <c r="CJ61" s="153"/>
      <c r="CK61" s="153"/>
      <c r="CL61" s="153"/>
      <c r="CM61" s="151"/>
      <c r="CN61" s="151"/>
      <c r="CO61" s="151"/>
      <c r="CP61" s="151"/>
      <c r="CQ61" s="151"/>
      <c r="CR61" s="151"/>
      <c r="CS61" s="151"/>
      <c r="CT61" s="151"/>
      <c r="CU61" s="151"/>
      <c r="CV61" s="153"/>
      <c r="CW61" s="153"/>
      <c r="CX61" s="153"/>
      <c r="CY61" s="153">
        <v>200</v>
      </c>
      <c r="CZ61" s="153"/>
      <c r="DA61" s="153">
        <v>200</v>
      </c>
      <c r="DB61" s="151"/>
      <c r="DC61" s="151"/>
      <c r="DD61" s="151"/>
      <c r="DE61" s="151"/>
      <c r="DF61" s="151"/>
      <c r="DG61" s="151"/>
      <c r="DH61" s="151"/>
      <c r="DI61" s="151"/>
      <c r="DJ61" s="151"/>
      <c r="DK61" s="153"/>
      <c r="DL61" s="153"/>
      <c r="DM61" s="153"/>
      <c r="DN61" s="153"/>
      <c r="DO61" s="153"/>
      <c r="DP61" s="153"/>
      <c r="DQ61" s="151">
        <v>200</v>
      </c>
      <c r="DR61" s="151"/>
      <c r="DS61" s="151">
        <v>200</v>
      </c>
    </row>
    <row r="62" ht="31.5" spans="1:123">
      <c r="A62" s="132"/>
      <c r="B62" s="132"/>
      <c r="C62" s="148" t="s">
        <v>139</v>
      </c>
      <c r="D62" s="151"/>
      <c r="E62" s="151"/>
      <c r="F62" s="151"/>
      <c r="G62" s="151"/>
      <c r="H62" s="151"/>
      <c r="I62" s="151"/>
      <c r="J62" s="151">
        <v>140</v>
      </c>
      <c r="K62" s="151"/>
      <c r="L62" s="151">
        <v>140</v>
      </c>
      <c r="M62" s="151">
        <v>140</v>
      </c>
      <c r="N62" s="151"/>
      <c r="O62" s="151">
        <v>140</v>
      </c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1"/>
      <c r="AV62" s="151"/>
      <c r="AW62" s="151"/>
      <c r="AX62" s="151"/>
      <c r="AY62" s="151"/>
      <c r="AZ62" s="153">
        <v>140</v>
      </c>
      <c r="BA62" s="153"/>
      <c r="BB62" s="153">
        <v>140</v>
      </c>
      <c r="BC62" s="153">
        <v>140</v>
      </c>
      <c r="BD62" s="153"/>
      <c r="BE62" s="153">
        <v>140</v>
      </c>
      <c r="BF62" s="151"/>
      <c r="BG62" s="151"/>
      <c r="BH62" s="151"/>
      <c r="BI62" s="151"/>
      <c r="BJ62" s="151"/>
      <c r="BK62" s="151"/>
      <c r="BL62" s="153"/>
      <c r="BM62" s="153"/>
      <c r="BN62" s="153"/>
      <c r="BO62" s="151"/>
      <c r="BP62" s="151"/>
      <c r="BQ62" s="151"/>
      <c r="BR62" s="151">
        <v>140</v>
      </c>
      <c r="BS62" s="151"/>
      <c r="BT62" s="151">
        <v>140</v>
      </c>
      <c r="BU62" s="151"/>
      <c r="BV62" s="151"/>
      <c r="BW62" s="151"/>
      <c r="BX62" s="153">
        <v>140</v>
      </c>
      <c r="BY62" s="153"/>
      <c r="BZ62" s="153">
        <v>140</v>
      </c>
      <c r="CA62" s="151"/>
      <c r="CB62" s="151"/>
      <c r="CC62" s="151"/>
      <c r="CD62" s="151"/>
      <c r="CE62" s="151"/>
      <c r="CF62" s="151"/>
      <c r="CG62" s="151"/>
      <c r="CH62" s="151"/>
      <c r="CI62" s="151"/>
      <c r="CJ62" s="153"/>
      <c r="CK62" s="153"/>
      <c r="CL62" s="153"/>
      <c r="CM62" s="151"/>
      <c r="CN62" s="151"/>
      <c r="CO62" s="151"/>
      <c r="CP62" s="151"/>
      <c r="CQ62" s="151"/>
      <c r="CR62" s="151"/>
      <c r="CS62" s="151"/>
      <c r="CT62" s="151"/>
      <c r="CU62" s="151"/>
      <c r="CV62" s="153"/>
      <c r="CW62" s="153"/>
      <c r="CX62" s="153"/>
      <c r="CY62" s="153">
        <v>140</v>
      </c>
      <c r="CZ62" s="153"/>
      <c r="DA62" s="153">
        <v>140</v>
      </c>
      <c r="DB62" s="151"/>
      <c r="DC62" s="151"/>
      <c r="DD62" s="151"/>
      <c r="DE62" s="151"/>
      <c r="DF62" s="151"/>
      <c r="DG62" s="151"/>
      <c r="DH62" s="151"/>
      <c r="DI62" s="151"/>
      <c r="DJ62" s="151"/>
      <c r="DK62" s="153"/>
      <c r="DL62" s="153"/>
      <c r="DM62" s="153"/>
      <c r="DN62" s="153"/>
      <c r="DO62" s="153"/>
      <c r="DP62" s="153"/>
      <c r="DQ62" s="151">
        <v>140</v>
      </c>
      <c r="DR62" s="151"/>
      <c r="DS62" s="151">
        <v>140</v>
      </c>
    </row>
    <row r="63" ht="47.25" spans="1:123">
      <c r="A63" s="132"/>
      <c r="B63" s="132"/>
      <c r="C63" s="148" t="s">
        <v>141</v>
      </c>
      <c r="D63" s="151"/>
      <c r="E63" s="151"/>
      <c r="F63" s="151"/>
      <c r="G63" s="151"/>
      <c r="H63" s="151"/>
      <c r="I63" s="151"/>
      <c r="J63" s="151">
        <v>400</v>
      </c>
      <c r="K63" s="151"/>
      <c r="L63" s="151">
        <v>400</v>
      </c>
      <c r="M63" s="151">
        <v>400</v>
      </c>
      <c r="N63" s="151"/>
      <c r="O63" s="151">
        <v>400</v>
      </c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  <c r="AO63" s="151"/>
      <c r="AP63" s="151"/>
      <c r="AQ63" s="151"/>
      <c r="AR63" s="151"/>
      <c r="AS63" s="151"/>
      <c r="AT63" s="151"/>
      <c r="AU63" s="151"/>
      <c r="AV63" s="151"/>
      <c r="AW63" s="151"/>
      <c r="AX63" s="151"/>
      <c r="AY63" s="151"/>
      <c r="AZ63" s="153">
        <v>400</v>
      </c>
      <c r="BA63" s="153"/>
      <c r="BB63" s="153">
        <v>400</v>
      </c>
      <c r="BC63" s="153">
        <v>400</v>
      </c>
      <c r="BD63" s="153"/>
      <c r="BE63" s="153">
        <v>400</v>
      </c>
      <c r="BF63" s="151"/>
      <c r="BG63" s="151"/>
      <c r="BH63" s="151"/>
      <c r="BI63" s="151"/>
      <c r="BJ63" s="151"/>
      <c r="BK63" s="151"/>
      <c r="BL63" s="153"/>
      <c r="BM63" s="153"/>
      <c r="BN63" s="153"/>
      <c r="BO63" s="151"/>
      <c r="BP63" s="151"/>
      <c r="BQ63" s="151"/>
      <c r="BR63" s="151"/>
      <c r="BS63" s="151"/>
      <c r="BT63" s="151"/>
      <c r="BU63" s="151">
        <v>200</v>
      </c>
      <c r="BV63" s="151"/>
      <c r="BW63" s="151">
        <v>200</v>
      </c>
      <c r="BX63" s="153">
        <v>200</v>
      </c>
      <c r="BY63" s="153"/>
      <c r="BZ63" s="153">
        <v>200</v>
      </c>
      <c r="CA63" s="151"/>
      <c r="CB63" s="151"/>
      <c r="CC63" s="151"/>
      <c r="CD63" s="151"/>
      <c r="CE63" s="151"/>
      <c r="CF63" s="151"/>
      <c r="CG63" s="151"/>
      <c r="CH63" s="151"/>
      <c r="CI63" s="151"/>
      <c r="CJ63" s="153"/>
      <c r="CK63" s="153"/>
      <c r="CL63" s="153"/>
      <c r="CM63" s="151"/>
      <c r="CN63" s="151"/>
      <c r="CO63" s="151"/>
      <c r="CP63" s="151">
        <v>200</v>
      </c>
      <c r="CQ63" s="151"/>
      <c r="CR63" s="151">
        <v>200</v>
      </c>
      <c r="CS63" s="151"/>
      <c r="CT63" s="151"/>
      <c r="CU63" s="151"/>
      <c r="CV63" s="153">
        <v>200</v>
      </c>
      <c r="CW63" s="153"/>
      <c r="CX63" s="153">
        <v>200</v>
      </c>
      <c r="CY63" s="153">
        <v>400</v>
      </c>
      <c r="CZ63" s="153"/>
      <c r="DA63" s="153">
        <v>400</v>
      </c>
      <c r="DB63" s="151"/>
      <c r="DC63" s="151"/>
      <c r="DD63" s="151"/>
      <c r="DE63" s="151"/>
      <c r="DF63" s="151"/>
      <c r="DG63" s="151"/>
      <c r="DH63" s="151"/>
      <c r="DI63" s="151"/>
      <c r="DJ63" s="151"/>
      <c r="DK63" s="153"/>
      <c r="DL63" s="153"/>
      <c r="DM63" s="153"/>
      <c r="DN63" s="153"/>
      <c r="DO63" s="153"/>
      <c r="DP63" s="153"/>
      <c r="DQ63" s="151">
        <v>400</v>
      </c>
      <c r="DR63" s="151"/>
      <c r="DS63" s="151">
        <v>400</v>
      </c>
    </row>
    <row r="64" ht="63" spans="1:123">
      <c r="A64" s="132"/>
      <c r="B64" s="132"/>
      <c r="C64" s="148" t="s">
        <v>143</v>
      </c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  <c r="AB64" s="151"/>
      <c r="AC64" s="151"/>
      <c r="AD64" s="151"/>
      <c r="AE64" s="151">
        <v>100</v>
      </c>
      <c r="AF64" s="151"/>
      <c r="AG64" s="151">
        <v>100</v>
      </c>
      <c r="AH64" s="151">
        <v>100</v>
      </c>
      <c r="AI64" s="151"/>
      <c r="AJ64" s="151">
        <v>100</v>
      </c>
      <c r="AK64" s="151">
        <v>200</v>
      </c>
      <c r="AL64" s="151"/>
      <c r="AM64" s="151">
        <v>200</v>
      </c>
      <c r="AN64" s="151">
        <v>100</v>
      </c>
      <c r="AO64" s="151"/>
      <c r="AP64" s="151">
        <v>100</v>
      </c>
      <c r="AQ64" s="151"/>
      <c r="AR64" s="151"/>
      <c r="AS64" s="151"/>
      <c r="AT64" s="151"/>
      <c r="AU64" s="151"/>
      <c r="AV64" s="151"/>
      <c r="AW64" s="151">
        <v>100</v>
      </c>
      <c r="AX64" s="151"/>
      <c r="AY64" s="151">
        <v>100</v>
      </c>
      <c r="AZ64" s="153">
        <v>300</v>
      </c>
      <c r="BA64" s="153"/>
      <c r="BB64" s="153">
        <v>300</v>
      </c>
      <c r="BC64" s="153">
        <v>300</v>
      </c>
      <c r="BD64" s="153"/>
      <c r="BE64" s="153">
        <v>300</v>
      </c>
      <c r="BF64" s="151"/>
      <c r="BG64" s="151"/>
      <c r="BH64" s="151"/>
      <c r="BI64" s="151"/>
      <c r="BJ64" s="151"/>
      <c r="BK64" s="151"/>
      <c r="BL64" s="153"/>
      <c r="BM64" s="153"/>
      <c r="BN64" s="153"/>
      <c r="BO64" s="151"/>
      <c r="BP64" s="151"/>
      <c r="BQ64" s="151"/>
      <c r="BR64" s="151"/>
      <c r="BS64" s="151"/>
      <c r="BT64" s="151"/>
      <c r="BU64" s="151"/>
      <c r="BV64" s="151"/>
      <c r="BW64" s="151"/>
      <c r="BX64" s="153"/>
      <c r="BY64" s="153"/>
      <c r="BZ64" s="153"/>
      <c r="CA64" s="151"/>
      <c r="CB64" s="151"/>
      <c r="CC64" s="151"/>
      <c r="CD64" s="151"/>
      <c r="CE64" s="151"/>
      <c r="CF64" s="151"/>
      <c r="CG64" s="151">
        <v>100</v>
      </c>
      <c r="CH64" s="151"/>
      <c r="CI64" s="151">
        <v>100</v>
      </c>
      <c r="CJ64" s="153">
        <v>100</v>
      </c>
      <c r="CK64" s="153"/>
      <c r="CL64" s="153">
        <v>100</v>
      </c>
      <c r="CM64" s="151">
        <v>100</v>
      </c>
      <c r="CN64" s="151"/>
      <c r="CO64" s="151">
        <v>100</v>
      </c>
      <c r="CP64" s="151">
        <v>100</v>
      </c>
      <c r="CQ64" s="151"/>
      <c r="CR64" s="151">
        <v>100</v>
      </c>
      <c r="CS64" s="151"/>
      <c r="CT64" s="151"/>
      <c r="CU64" s="151"/>
      <c r="CV64" s="153">
        <v>200</v>
      </c>
      <c r="CW64" s="153"/>
      <c r="CX64" s="153">
        <v>200</v>
      </c>
      <c r="CY64" s="153">
        <v>300</v>
      </c>
      <c r="CZ64" s="153"/>
      <c r="DA64" s="153">
        <v>300</v>
      </c>
      <c r="DB64" s="151"/>
      <c r="DC64" s="151"/>
      <c r="DD64" s="151"/>
      <c r="DE64" s="151"/>
      <c r="DF64" s="151"/>
      <c r="DG64" s="151"/>
      <c r="DH64" s="151"/>
      <c r="DI64" s="151"/>
      <c r="DJ64" s="151"/>
      <c r="DK64" s="153"/>
      <c r="DL64" s="153"/>
      <c r="DM64" s="153"/>
      <c r="DN64" s="153"/>
      <c r="DO64" s="153"/>
      <c r="DP64" s="153"/>
      <c r="DQ64" s="151">
        <v>300</v>
      </c>
      <c r="DR64" s="151"/>
      <c r="DS64" s="151">
        <v>300</v>
      </c>
    </row>
    <row r="65" ht="31.5" spans="1:123">
      <c r="A65" s="132"/>
      <c r="B65" s="132"/>
      <c r="C65" s="148" t="s">
        <v>147</v>
      </c>
      <c r="D65" s="151"/>
      <c r="E65" s="151"/>
      <c r="F65" s="151"/>
      <c r="G65" s="151"/>
      <c r="H65" s="151"/>
      <c r="I65" s="151"/>
      <c r="J65" s="151">
        <v>200</v>
      </c>
      <c r="K65" s="151"/>
      <c r="L65" s="151">
        <v>200</v>
      </c>
      <c r="M65" s="151">
        <v>200</v>
      </c>
      <c r="N65" s="151"/>
      <c r="O65" s="151">
        <v>200</v>
      </c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  <c r="AH65" s="151"/>
      <c r="AI65" s="151"/>
      <c r="AJ65" s="151"/>
      <c r="AK65" s="151"/>
      <c r="AL65" s="151"/>
      <c r="AM65" s="151"/>
      <c r="AN65" s="151"/>
      <c r="AO65" s="151"/>
      <c r="AP65" s="151"/>
      <c r="AQ65" s="151"/>
      <c r="AR65" s="151"/>
      <c r="AS65" s="151"/>
      <c r="AT65" s="151"/>
      <c r="AU65" s="151"/>
      <c r="AV65" s="151"/>
      <c r="AW65" s="151"/>
      <c r="AX65" s="151"/>
      <c r="AY65" s="151"/>
      <c r="AZ65" s="153">
        <v>200</v>
      </c>
      <c r="BA65" s="153"/>
      <c r="BB65" s="153">
        <v>200</v>
      </c>
      <c r="BC65" s="153">
        <v>200</v>
      </c>
      <c r="BD65" s="153"/>
      <c r="BE65" s="153">
        <v>200</v>
      </c>
      <c r="BF65" s="151"/>
      <c r="BG65" s="151"/>
      <c r="BH65" s="151"/>
      <c r="BI65" s="151"/>
      <c r="BJ65" s="151"/>
      <c r="BK65" s="151"/>
      <c r="BL65" s="153"/>
      <c r="BM65" s="153"/>
      <c r="BN65" s="153"/>
      <c r="BO65" s="151"/>
      <c r="BP65" s="151"/>
      <c r="BQ65" s="151"/>
      <c r="BR65" s="151">
        <v>200</v>
      </c>
      <c r="BS65" s="151"/>
      <c r="BT65" s="151">
        <v>200</v>
      </c>
      <c r="BU65" s="151"/>
      <c r="BV65" s="151"/>
      <c r="BW65" s="151"/>
      <c r="BX65" s="153">
        <v>200</v>
      </c>
      <c r="BY65" s="153"/>
      <c r="BZ65" s="153">
        <v>200</v>
      </c>
      <c r="CA65" s="151"/>
      <c r="CB65" s="151"/>
      <c r="CC65" s="151"/>
      <c r="CD65" s="151"/>
      <c r="CE65" s="151"/>
      <c r="CF65" s="151"/>
      <c r="CG65" s="151"/>
      <c r="CH65" s="151"/>
      <c r="CI65" s="151"/>
      <c r="CJ65" s="153"/>
      <c r="CK65" s="153"/>
      <c r="CL65" s="153"/>
      <c r="CM65" s="151"/>
      <c r="CN65" s="151"/>
      <c r="CO65" s="151"/>
      <c r="CP65" s="151"/>
      <c r="CQ65" s="151"/>
      <c r="CR65" s="151"/>
      <c r="CS65" s="151"/>
      <c r="CT65" s="151"/>
      <c r="CU65" s="151"/>
      <c r="CV65" s="153"/>
      <c r="CW65" s="153"/>
      <c r="CX65" s="153"/>
      <c r="CY65" s="153">
        <v>200</v>
      </c>
      <c r="CZ65" s="153"/>
      <c r="DA65" s="153">
        <v>200</v>
      </c>
      <c r="DB65" s="151"/>
      <c r="DC65" s="151"/>
      <c r="DD65" s="151"/>
      <c r="DE65" s="151"/>
      <c r="DF65" s="151"/>
      <c r="DG65" s="151"/>
      <c r="DH65" s="151"/>
      <c r="DI65" s="151"/>
      <c r="DJ65" s="151"/>
      <c r="DK65" s="153"/>
      <c r="DL65" s="153"/>
      <c r="DM65" s="153"/>
      <c r="DN65" s="153"/>
      <c r="DO65" s="153"/>
      <c r="DP65" s="153"/>
      <c r="DQ65" s="151">
        <v>200</v>
      </c>
      <c r="DR65" s="151"/>
      <c r="DS65" s="151">
        <v>200</v>
      </c>
    </row>
    <row r="66" ht="31.5" spans="1:123">
      <c r="A66" s="132"/>
      <c r="B66" s="132"/>
      <c r="C66" s="148" t="s">
        <v>149</v>
      </c>
      <c r="D66" s="151"/>
      <c r="E66" s="151"/>
      <c r="F66" s="151"/>
      <c r="G66" s="151"/>
      <c r="H66" s="151"/>
      <c r="I66" s="151"/>
      <c r="J66" s="151">
        <v>140</v>
      </c>
      <c r="K66" s="151"/>
      <c r="L66" s="151">
        <v>140</v>
      </c>
      <c r="M66" s="151">
        <v>140</v>
      </c>
      <c r="N66" s="151"/>
      <c r="O66" s="151">
        <v>140</v>
      </c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151"/>
      <c r="AC66" s="151"/>
      <c r="AD66" s="151"/>
      <c r="AE66" s="151"/>
      <c r="AF66" s="151"/>
      <c r="AG66" s="151"/>
      <c r="AH66" s="151"/>
      <c r="AI66" s="151"/>
      <c r="AJ66" s="151"/>
      <c r="AK66" s="151"/>
      <c r="AL66" s="151"/>
      <c r="AM66" s="151"/>
      <c r="AN66" s="151"/>
      <c r="AO66" s="151"/>
      <c r="AP66" s="151"/>
      <c r="AQ66" s="151"/>
      <c r="AR66" s="151"/>
      <c r="AS66" s="151"/>
      <c r="AT66" s="151"/>
      <c r="AU66" s="151"/>
      <c r="AV66" s="151"/>
      <c r="AW66" s="151"/>
      <c r="AX66" s="151"/>
      <c r="AY66" s="151"/>
      <c r="AZ66" s="153">
        <v>140</v>
      </c>
      <c r="BA66" s="153"/>
      <c r="BB66" s="153">
        <v>140</v>
      </c>
      <c r="BC66" s="153">
        <v>140</v>
      </c>
      <c r="BD66" s="153"/>
      <c r="BE66" s="153">
        <v>140</v>
      </c>
      <c r="BF66" s="151"/>
      <c r="BG66" s="151"/>
      <c r="BH66" s="151"/>
      <c r="BI66" s="151"/>
      <c r="BJ66" s="151"/>
      <c r="BK66" s="151"/>
      <c r="BL66" s="153"/>
      <c r="BM66" s="153"/>
      <c r="BN66" s="153"/>
      <c r="BO66" s="151"/>
      <c r="BP66" s="151"/>
      <c r="BQ66" s="151"/>
      <c r="BR66" s="151">
        <v>140</v>
      </c>
      <c r="BS66" s="151"/>
      <c r="BT66" s="151">
        <v>140</v>
      </c>
      <c r="BU66" s="151"/>
      <c r="BV66" s="151"/>
      <c r="BW66" s="151"/>
      <c r="BX66" s="153">
        <v>140</v>
      </c>
      <c r="BY66" s="153"/>
      <c r="BZ66" s="153">
        <v>140</v>
      </c>
      <c r="CA66" s="151"/>
      <c r="CB66" s="151"/>
      <c r="CC66" s="151"/>
      <c r="CD66" s="151"/>
      <c r="CE66" s="151"/>
      <c r="CF66" s="151"/>
      <c r="CG66" s="151"/>
      <c r="CH66" s="151"/>
      <c r="CI66" s="151"/>
      <c r="CJ66" s="153"/>
      <c r="CK66" s="153"/>
      <c r="CL66" s="153"/>
      <c r="CM66" s="151"/>
      <c r="CN66" s="151"/>
      <c r="CO66" s="151"/>
      <c r="CP66" s="151"/>
      <c r="CQ66" s="151"/>
      <c r="CR66" s="151"/>
      <c r="CS66" s="151"/>
      <c r="CT66" s="151"/>
      <c r="CU66" s="151"/>
      <c r="CV66" s="153"/>
      <c r="CW66" s="153"/>
      <c r="CX66" s="153"/>
      <c r="CY66" s="153">
        <v>140</v>
      </c>
      <c r="CZ66" s="153"/>
      <c r="DA66" s="153">
        <v>140</v>
      </c>
      <c r="DB66" s="151"/>
      <c r="DC66" s="151"/>
      <c r="DD66" s="151"/>
      <c r="DE66" s="151"/>
      <c r="DF66" s="151"/>
      <c r="DG66" s="151"/>
      <c r="DH66" s="151"/>
      <c r="DI66" s="151"/>
      <c r="DJ66" s="151"/>
      <c r="DK66" s="153"/>
      <c r="DL66" s="153"/>
      <c r="DM66" s="153"/>
      <c r="DN66" s="153"/>
      <c r="DO66" s="153"/>
      <c r="DP66" s="153"/>
      <c r="DQ66" s="151">
        <v>140</v>
      </c>
      <c r="DR66" s="151"/>
      <c r="DS66" s="151">
        <v>140</v>
      </c>
    </row>
    <row r="67" ht="31.5" spans="1:123">
      <c r="A67" s="132"/>
      <c r="B67" s="132"/>
      <c r="C67" s="148" t="s">
        <v>153</v>
      </c>
      <c r="D67" s="151"/>
      <c r="E67" s="151"/>
      <c r="F67" s="151"/>
      <c r="G67" s="151"/>
      <c r="H67" s="151"/>
      <c r="I67" s="151"/>
      <c r="J67" s="151">
        <v>140</v>
      </c>
      <c r="K67" s="151"/>
      <c r="L67" s="151">
        <v>140</v>
      </c>
      <c r="M67" s="151">
        <v>140</v>
      </c>
      <c r="N67" s="151"/>
      <c r="O67" s="151">
        <v>140</v>
      </c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E67" s="151"/>
      <c r="AF67" s="151"/>
      <c r="AG67" s="151"/>
      <c r="AH67" s="151"/>
      <c r="AI67" s="151"/>
      <c r="AJ67" s="151"/>
      <c r="AK67" s="151"/>
      <c r="AL67" s="151"/>
      <c r="AM67" s="151"/>
      <c r="AN67" s="151"/>
      <c r="AO67" s="151"/>
      <c r="AP67" s="151"/>
      <c r="AQ67" s="151"/>
      <c r="AR67" s="151"/>
      <c r="AS67" s="151"/>
      <c r="AT67" s="151"/>
      <c r="AU67" s="151"/>
      <c r="AV67" s="151"/>
      <c r="AW67" s="151"/>
      <c r="AX67" s="151"/>
      <c r="AY67" s="151"/>
      <c r="AZ67" s="153">
        <v>140</v>
      </c>
      <c r="BA67" s="153"/>
      <c r="BB67" s="153">
        <v>140</v>
      </c>
      <c r="BC67" s="153">
        <v>140</v>
      </c>
      <c r="BD67" s="153"/>
      <c r="BE67" s="153">
        <v>140</v>
      </c>
      <c r="BF67" s="151"/>
      <c r="BG67" s="151"/>
      <c r="BH67" s="151"/>
      <c r="BI67" s="151"/>
      <c r="BJ67" s="151"/>
      <c r="BK67" s="151"/>
      <c r="BL67" s="153"/>
      <c r="BM67" s="153"/>
      <c r="BN67" s="153"/>
      <c r="BO67" s="151"/>
      <c r="BP67" s="151"/>
      <c r="BQ67" s="151"/>
      <c r="BR67" s="151"/>
      <c r="BS67" s="151"/>
      <c r="BT67" s="151"/>
      <c r="BU67" s="151"/>
      <c r="BV67" s="151"/>
      <c r="BW67" s="151"/>
      <c r="BX67" s="153"/>
      <c r="BY67" s="153"/>
      <c r="BZ67" s="153"/>
      <c r="CA67" s="151"/>
      <c r="CB67" s="151"/>
      <c r="CC67" s="151"/>
      <c r="CD67" s="151"/>
      <c r="CE67" s="151"/>
      <c r="CF67" s="151"/>
      <c r="CG67" s="151"/>
      <c r="CH67" s="151"/>
      <c r="CI67" s="151"/>
      <c r="CJ67" s="153"/>
      <c r="CK67" s="153"/>
      <c r="CL67" s="153"/>
      <c r="CM67" s="151"/>
      <c r="CN67" s="151"/>
      <c r="CO67" s="151"/>
      <c r="CP67" s="151">
        <v>140</v>
      </c>
      <c r="CQ67" s="151"/>
      <c r="CR67" s="151">
        <v>140</v>
      </c>
      <c r="CS67" s="151"/>
      <c r="CT67" s="151"/>
      <c r="CU67" s="151"/>
      <c r="CV67" s="153">
        <v>140</v>
      </c>
      <c r="CW67" s="153"/>
      <c r="CX67" s="153">
        <v>140</v>
      </c>
      <c r="CY67" s="153">
        <v>140</v>
      </c>
      <c r="CZ67" s="153"/>
      <c r="DA67" s="153">
        <v>140</v>
      </c>
      <c r="DB67" s="151"/>
      <c r="DC67" s="151"/>
      <c r="DD67" s="151"/>
      <c r="DE67" s="151"/>
      <c r="DF67" s="151"/>
      <c r="DG67" s="151"/>
      <c r="DH67" s="151"/>
      <c r="DI67" s="151"/>
      <c r="DJ67" s="151"/>
      <c r="DK67" s="153"/>
      <c r="DL67" s="153"/>
      <c r="DM67" s="153"/>
      <c r="DN67" s="153"/>
      <c r="DO67" s="153"/>
      <c r="DP67" s="153"/>
      <c r="DQ67" s="151">
        <v>140</v>
      </c>
      <c r="DR67" s="151"/>
      <c r="DS67" s="151">
        <v>140</v>
      </c>
    </row>
    <row r="68" ht="31.5" spans="1:123">
      <c r="A68" s="132"/>
      <c r="B68" s="132"/>
      <c r="C68" s="148" t="s">
        <v>157</v>
      </c>
      <c r="D68" s="151"/>
      <c r="E68" s="151"/>
      <c r="F68" s="151"/>
      <c r="G68" s="151">
        <v>140</v>
      </c>
      <c r="H68" s="151"/>
      <c r="I68" s="151">
        <v>140</v>
      </c>
      <c r="J68" s="151"/>
      <c r="K68" s="151"/>
      <c r="L68" s="151"/>
      <c r="M68" s="151">
        <v>140</v>
      </c>
      <c r="N68" s="151"/>
      <c r="O68" s="151">
        <v>140</v>
      </c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  <c r="AB68" s="151"/>
      <c r="AC68" s="151"/>
      <c r="AD68" s="151"/>
      <c r="AE68" s="151"/>
      <c r="AF68" s="151"/>
      <c r="AG68" s="151"/>
      <c r="AH68" s="151"/>
      <c r="AI68" s="151"/>
      <c r="AJ68" s="151"/>
      <c r="AK68" s="151"/>
      <c r="AL68" s="151"/>
      <c r="AM68" s="151"/>
      <c r="AN68" s="151"/>
      <c r="AO68" s="151"/>
      <c r="AP68" s="151"/>
      <c r="AQ68" s="151"/>
      <c r="AR68" s="151"/>
      <c r="AS68" s="151"/>
      <c r="AT68" s="151"/>
      <c r="AU68" s="151"/>
      <c r="AV68" s="151"/>
      <c r="AW68" s="151"/>
      <c r="AX68" s="151"/>
      <c r="AY68" s="151"/>
      <c r="AZ68" s="153">
        <v>140</v>
      </c>
      <c r="BA68" s="153"/>
      <c r="BB68" s="153">
        <v>140</v>
      </c>
      <c r="BC68" s="153">
        <v>140</v>
      </c>
      <c r="BD68" s="153"/>
      <c r="BE68" s="153">
        <v>140</v>
      </c>
      <c r="BF68" s="151"/>
      <c r="BG68" s="151"/>
      <c r="BH68" s="151"/>
      <c r="BI68" s="151"/>
      <c r="BJ68" s="151"/>
      <c r="BK68" s="151"/>
      <c r="BL68" s="153"/>
      <c r="BM68" s="153"/>
      <c r="BN68" s="153"/>
      <c r="BO68" s="151"/>
      <c r="BP68" s="151"/>
      <c r="BQ68" s="151"/>
      <c r="BR68" s="151">
        <v>140</v>
      </c>
      <c r="BS68" s="151"/>
      <c r="BT68" s="151">
        <v>140</v>
      </c>
      <c r="BU68" s="151"/>
      <c r="BV68" s="151"/>
      <c r="BW68" s="151"/>
      <c r="BX68" s="153">
        <v>140</v>
      </c>
      <c r="BY68" s="153"/>
      <c r="BZ68" s="153">
        <v>140</v>
      </c>
      <c r="CA68" s="151"/>
      <c r="CB68" s="151"/>
      <c r="CC68" s="151"/>
      <c r="CD68" s="151"/>
      <c r="CE68" s="151"/>
      <c r="CF68" s="151"/>
      <c r="CG68" s="151"/>
      <c r="CH68" s="151"/>
      <c r="CI68" s="151"/>
      <c r="CJ68" s="153"/>
      <c r="CK68" s="153"/>
      <c r="CL68" s="153"/>
      <c r="CM68" s="151"/>
      <c r="CN68" s="151"/>
      <c r="CO68" s="151"/>
      <c r="CP68" s="151"/>
      <c r="CQ68" s="151"/>
      <c r="CR68" s="151"/>
      <c r="CS68" s="151"/>
      <c r="CT68" s="151"/>
      <c r="CU68" s="151"/>
      <c r="CV68" s="153"/>
      <c r="CW68" s="153"/>
      <c r="CX68" s="153"/>
      <c r="CY68" s="153">
        <v>140</v>
      </c>
      <c r="CZ68" s="153"/>
      <c r="DA68" s="153">
        <v>140</v>
      </c>
      <c r="DB68" s="151"/>
      <c r="DC68" s="151"/>
      <c r="DD68" s="151"/>
      <c r="DE68" s="151"/>
      <c r="DF68" s="151"/>
      <c r="DG68" s="151"/>
      <c r="DH68" s="151"/>
      <c r="DI68" s="151"/>
      <c r="DJ68" s="151"/>
      <c r="DK68" s="153"/>
      <c r="DL68" s="153"/>
      <c r="DM68" s="153"/>
      <c r="DN68" s="153"/>
      <c r="DO68" s="153"/>
      <c r="DP68" s="153"/>
      <c r="DQ68" s="151">
        <v>140</v>
      </c>
      <c r="DR68" s="151"/>
      <c r="DS68" s="151">
        <v>140</v>
      </c>
    </row>
    <row r="69" spans="1:123">
      <c r="A69" s="132"/>
      <c r="B69" s="132" t="s">
        <v>359</v>
      </c>
      <c r="C69" s="148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1"/>
      <c r="AE69" s="151"/>
      <c r="AF69" s="151"/>
      <c r="AG69" s="151"/>
      <c r="AH69" s="151"/>
      <c r="AI69" s="151"/>
      <c r="AJ69" s="151"/>
      <c r="AK69" s="151"/>
      <c r="AL69" s="151"/>
      <c r="AM69" s="151"/>
      <c r="AN69" s="151"/>
      <c r="AO69" s="151"/>
      <c r="AP69" s="151"/>
      <c r="AQ69" s="151"/>
      <c r="AR69" s="151"/>
      <c r="AS69" s="151"/>
      <c r="AT69" s="151"/>
      <c r="AU69" s="151"/>
      <c r="AV69" s="151"/>
      <c r="AW69" s="151"/>
      <c r="AX69" s="151"/>
      <c r="AY69" s="151"/>
      <c r="AZ69" s="153"/>
      <c r="BA69" s="153"/>
      <c r="BB69" s="153"/>
      <c r="BC69" s="153"/>
      <c r="BD69" s="153"/>
      <c r="BE69" s="153"/>
      <c r="BF69" s="151"/>
      <c r="BG69" s="151"/>
      <c r="BH69" s="151"/>
      <c r="BI69" s="151"/>
      <c r="BJ69" s="151"/>
      <c r="BK69" s="151"/>
      <c r="BL69" s="153"/>
      <c r="BM69" s="153"/>
      <c r="BN69" s="153"/>
      <c r="BO69" s="151"/>
      <c r="BP69" s="151"/>
      <c r="BQ69" s="151"/>
      <c r="BR69" s="151"/>
      <c r="BS69" s="151"/>
      <c r="BT69" s="151"/>
      <c r="BU69" s="151"/>
      <c r="BV69" s="151"/>
      <c r="BW69" s="151"/>
      <c r="BX69" s="153"/>
      <c r="BY69" s="153"/>
      <c r="BZ69" s="153"/>
      <c r="CA69" s="151"/>
      <c r="CB69" s="151"/>
      <c r="CC69" s="151"/>
      <c r="CD69" s="151"/>
      <c r="CE69" s="151"/>
      <c r="CF69" s="151"/>
      <c r="CG69" s="151"/>
      <c r="CH69" s="151"/>
      <c r="CI69" s="151"/>
      <c r="CJ69" s="153"/>
      <c r="CK69" s="153"/>
      <c r="CL69" s="153"/>
      <c r="CM69" s="151"/>
      <c r="CN69" s="151"/>
      <c r="CO69" s="151"/>
      <c r="CP69" s="151"/>
      <c r="CQ69" s="151"/>
      <c r="CR69" s="151"/>
      <c r="CS69" s="151"/>
      <c r="CT69" s="151"/>
      <c r="CU69" s="151"/>
      <c r="CV69" s="153"/>
      <c r="CW69" s="153"/>
      <c r="CX69" s="153"/>
      <c r="CY69" s="153"/>
      <c r="CZ69" s="153"/>
      <c r="DA69" s="153"/>
      <c r="DB69" s="151"/>
      <c r="DC69" s="151"/>
      <c r="DD69" s="151"/>
      <c r="DE69" s="151"/>
      <c r="DF69" s="151"/>
      <c r="DG69" s="151"/>
      <c r="DH69" s="151"/>
      <c r="DI69" s="151"/>
      <c r="DJ69" s="151"/>
      <c r="DK69" s="153"/>
      <c r="DL69" s="153"/>
      <c r="DM69" s="153"/>
      <c r="DN69" s="153"/>
      <c r="DO69" s="153"/>
      <c r="DP69" s="153"/>
      <c r="DQ69" s="151"/>
      <c r="DR69" s="151"/>
      <c r="DS69" s="151"/>
    </row>
    <row r="70" ht="47.25" spans="1:123">
      <c r="A70" s="132"/>
      <c r="B70" s="132"/>
      <c r="C70" s="148" t="s">
        <v>145</v>
      </c>
      <c r="D70" s="151"/>
      <c r="E70" s="151"/>
      <c r="F70" s="151"/>
      <c r="G70" s="151"/>
      <c r="H70" s="151"/>
      <c r="I70" s="151"/>
      <c r="J70" s="151">
        <v>200</v>
      </c>
      <c r="K70" s="151"/>
      <c r="L70" s="151">
        <v>200</v>
      </c>
      <c r="M70" s="151">
        <v>200</v>
      </c>
      <c r="N70" s="151"/>
      <c r="O70" s="151">
        <v>200</v>
      </c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151"/>
      <c r="AC70" s="151"/>
      <c r="AD70" s="151"/>
      <c r="AE70" s="151"/>
      <c r="AF70" s="151"/>
      <c r="AG70" s="151"/>
      <c r="AH70" s="151"/>
      <c r="AI70" s="151"/>
      <c r="AJ70" s="151"/>
      <c r="AK70" s="151"/>
      <c r="AL70" s="151"/>
      <c r="AM70" s="151"/>
      <c r="AN70" s="151"/>
      <c r="AO70" s="151"/>
      <c r="AP70" s="151"/>
      <c r="AQ70" s="151"/>
      <c r="AR70" s="151"/>
      <c r="AS70" s="151"/>
      <c r="AT70" s="151"/>
      <c r="AU70" s="151"/>
      <c r="AV70" s="151"/>
      <c r="AW70" s="151"/>
      <c r="AX70" s="151"/>
      <c r="AY70" s="151"/>
      <c r="AZ70" s="153">
        <v>200</v>
      </c>
      <c r="BA70" s="153"/>
      <c r="BB70" s="153">
        <v>200</v>
      </c>
      <c r="BC70" s="153">
        <v>200</v>
      </c>
      <c r="BD70" s="153"/>
      <c r="BE70" s="153">
        <v>200</v>
      </c>
      <c r="BF70" s="151"/>
      <c r="BG70" s="151"/>
      <c r="BH70" s="151"/>
      <c r="BI70" s="151"/>
      <c r="BJ70" s="151"/>
      <c r="BK70" s="151"/>
      <c r="BL70" s="153"/>
      <c r="BM70" s="153"/>
      <c r="BN70" s="153"/>
      <c r="BO70" s="151"/>
      <c r="BP70" s="151"/>
      <c r="BQ70" s="151"/>
      <c r="BR70" s="151"/>
      <c r="BS70" s="151"/>
      <c r="BT70" s="151"/>
      <c r="BU70" s="151"/>
      <c r="BV70" s="151"/>
      <c r="BW70" s="151"/>
      <c r="BX70" s="153"/>
      <c r="BY70" s="153"/>
      <c r="BZ70" s="153"/>
      <c r="CA70" s="151">
        <v>200</v>
      </c>
      <c r="CB70" s="151"/>
      <c r="CC70" s="151">
        <v>200</v>
      </c>
      <c r="CD70" s="151"/>
      <c r="CE70" s="151"/>
      <c r="CF70" s="151"/>
      <c r="CG70" s="151"/>
      <c r="CH70" s="151"/>
      <c r="CI70" s="151"/>
      <c r="CJ70" s="153">
        <v>200</v>
      </c>
      <c r="CK70" s="153"/>
      <c r="CL70" s="153">
        <v>200</v>
      </c>
      <c r="CM70" s="151"/>
      <c r="CN70" s="151"/>
      <c r="CO70" s="151"/>
      <c r="CP70" s="151"/>
      <c r="CQ70" s="151"/>
      <c r="CR70" s="151"/>
      <c r="CS70" s="151"/>
      <c r="CT70" s="151"/>
      <c r="CU70" s="151"/>
      <c r="CV70" s="153"/>
      <c r="CW70" s="153"/>
      <c r="CX70" s="153"/>
      <c r="CY70" s="153">
        <v>200</v>
      </c>
      <c r="CZ70" s="153"/>
      <c r="DA70" s="153">
        <v>200</v>
      </c>
      <c r="DB70" s="151"/>
      <c r="DC70" s="151"/>
      <c r="DD70" s="151"/>
      <c r="DE70" s="151"/>
      <c r="DF70" s="151"/>
      <c r="DG70" s="151"/>
      <c r="DH70" s="151"/>
      <c r="DI70" s="151"/>
      <c r="DJ70" s="151"/>
      <c r="DK70" s="153"/>
      <c r="DL70" s="153"/>
      <c r="DM70" s="153"/>
      <c r="DN70" s="153"/>
      <c r="DO70" s="153"/>
      <c r="DP70" s="153"/>
      <c r="DQ70" s="151">
        <v>200</v>
      </c>
      <c r="DR70" s="151"/>
      <c r="DS70" s="151">
        <v>200</v>
      </c>
    </row>
    <row r="71" ht="31.5" spans="1:123">
      <c r="A71" s="132"/>
      <c r="B71" s="132"/>
      <c r="C71" s="148" t="s">
        <v>151</v>
      </c>
      <c r="D71" s="151"/>
      <c r="E71" s="151"/>
      <c r="F71" s="151"/>
      <c r="G71" s="151"/>
      <c r="H71" s="151"/>
      <c r="I71" s="151"/>
      <c r="J71" s="151">
        <v>150</v>
      </c>
      <c r="K71" s="151"/>
      <c r="L71" s="151">
        <v>150</v>
      </c>
      <c r="M71" s="151">
        <v>150</v>
      </c>
      <c r="N71" s="151"/>
      <c r="O71" s="151">
        <v>150</v>
      </c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  <c r="AR71" s="151"/>
      <c r="AS71" s="151"/>
      <c r="AT71" s="151"/>
      <c r="AU71" s="151"/>
      <c r="AV71" s="151"/>
      <c r="AW71" s="151"/>
      <c r="AX71" s="151"/>
      <c r="AY71" s="151"/>
      <c r="AZ71" s="153">
        <v>150</v>
      </c>
      <c r="BA71" s="153"/>
      <c r="BB71" s="153">
        <v>150</v>
      </c>
      <c r="BC71" s="153">
        <v>150</v>
      </c>
      <c r="BD71" s="153"/>
      <c r="BE71" s="153">
        <v>150</v>
      </c>
      <c r="BF71" s="151"/>
      <c r="BG71" s="151"/>
      <c r="BH71" s="151"/>
      <c r="BI71" s="151"/>
      <c r="BJ71" s="151"/>
      <c r="BK71" s="151"/>
      <c r="BL71" s="153"/>
      <c r="BM71" s="153"/>
      <c r="BN71" s="153"/>
      <c r="BO71" s="151"/>
      <c r="BP71" s="151"/>
      <c r="BQ71" s="151"/>
      <c r="BR71" s="151"/>
      <c r="BS71" s="151"/>
      <c r="BT71" s="151"/>
      <c r="BU71" s="151"/>
      <c r="BV71" s="151"/>
      <c r="BW71" s="151"/>
      <c r="BX71" s="153"/>
      <c r="BY71" s="153"/>
      <c r="BZ71" s="153"/>
      <c r="CA71" s="151">
        <v>150</v>
      </c>
      <c r="CB71" s="151"/>
      <c r="CC71" s="151">
        <v>150</v>
      </c>
      <c r="CD71" s="151"/>
      <c r="CE71" s="151"/>
      <c r="CF71" s="151"/>
      <c r="CG71" s="151"/>
      <c r="CH71" s="151"/>
      <c r="CI71" s="151"/>
      <c r="CJ71" s="153">
        <v>150</v>
      </c>
      <c r="CK71" s="153"/>
      <c r="CL71" s="153">
        <v>150</v>
      </c>
      <c r="CM71" s="151"/>
      <c r="CN71" s="151"/>
      <c r="CO71" s="151"/>
      <c r="CP71" s="151"/>
      <c r="CQ71" s="151"/>
      <c r="CR71" s="151"/>
      <c r="CS71" s="151"/>
      <c r="CT71" s="151"/>
      <c r="CU71" s="151"/>
      <c r="CV71" s="153"/>
      <c r="CW71" s="153"/>
      <c r="CX71" s="153"/>
      <c r="CY71" s="153">
        <v>150</v>
      </c>
      <c r="CZ71" s="153"/>
      <c r="DA71" s="153">
        <v>150</v>
      </c>
      <c r="DB71" s="151"/>
      <c r="DC71" s="151"/>
      <c r="DD71" s="151"/>
      <c r="DE71" s="151"/>
      <c r="DF71" s="151"/>
      <c r="DG71" s="151"/>
      <c r="DH71" s="151"/>
      <c r="DI71" s="151"/>
      <c r="DJ71" s="151"/>
      <c r="DK71" s="153"/>
      <c r="DL71" s="153"/>
      <c r="DM71" s="153"/>
      <c r="DN71" s="153"/>
      <c r="DO71" s="153"/>
      <c r="DP71" s="153"/>
      <c r="DQ71" s="151">
        <v>150</v>
      </c>
      <c r="DR71" s="151"/>
      <c r="DS71" s="151">
        <v>150</v>
      </c>
    </row>
    <row r="72" ht="47.25" spans="1:123">
      <c r="A72" s="132"/>
      <c r="B72" s="132"/>
      <c r="C72" s="148" t="s">
        <v>155</v>
      </c>
      <c r="D72" s="151"/>
      <c r="E72" s="151"/>
      <c r="F72" s="151"/>
      <c r="G72" s="151"/>
      <c r="H72" s="151"/>
      <c r="I72" s="151"/>
      <c r="J72" s="151">
        <v>50</v>
      </c>
      <c r="K72" s="151"/>
      <c r="L72" s="151">
        <v>50</v>
      </c>
      <c r="M72" s="151">
        <v>50</v>
      </c>
      <c r="N72" s="151"/>
      <c r="O72" s="151">
        <v>50</v>
      </c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  <c r="AR72" s="151"/>
      <c r="AS72" s="151"/>
      <c r="AT72" s="151"/>
      <c r="AU72" s="151"/>
      <c r="AV72" s="151"/>
      <c r="AW72" s="151"/>
      <c r="AX72" s="151"/>
      <c r="AY72" s="151"/>
      <c r="AZ72" s="153">
        <v>50</v>
      </c>
      <c r="BA72" s="153"/>
      <c r="BB72" s="153">
        <v>50</v>
      </c>
      <c r="BC72" s="153">
        <v>50</v>
      </c>
      <c r="BD72" s="153"/>
      <c r="BE72" s="153">
        <v>50</v>
      </c>
      <c r="BF72" s="151"/>
      <c r="BG72" s="151"/>
      <c r="BH72" s="151"/>
      <c r="BI72" s="151"/>
      <c r="BJ72" s="151"/>
      <c r="BK72" s="151"/>
      <c r="BL72" s="153"/>
      <c r="BM72" s="153"/>
      <c r="BN72" s="153"/>
      <c r="BO72" s="151"/>
      <c r="BP72" s="151"/>
      <c r="BQ72" s="151"/>
      <c r="BR72" s="151"/>
      <c r="BS72" s="151"/>
      <c r="BT72" s="151"/>
      <c r="BU72" s="151"/>
      <c r="BV72" s="151"/>
      <c r="BW72" s="151"/>
      <c r="BX72" s="153"/>
      <c r="BY72" s="153"/>
      <c r="BZ72" s="153"/>
      <c r="CA72" s="151"/>
      <c r="CB72" s="151"/>
      <c r="CC72" s="151"/>
      <c r="CD72" s="151">
        <v>50</v>
      </c>
      <c r="CE72" s="151"/>
      <c r="CF72" s="151">
        <v>50</v>
      </c>
      <c r="CG72" s="151"/>
      <c r="CH72" s="151"/>
      <c r="CI72" s="151"/>
      <c r="CJ72" s="153">
        <v>50</v>
      </c>
      <c r="CK72" s="153"/>
      <c r="CL72" s="153">
        <v>50</v>
      </c>
      <c r="CM72" s="151"/>
      <c r="CN72" s="151"/>
      <c r="CO72" s="151"/>
      <c r="CP72" s="151"/>
      <c r="CQ72" s="151"/>
      <c r="CR72" s="151"/>
      <c r="CS72" s="151"/>
      <c r="CT72" s="151"/>
      <c r="CU72" s="151"/>
      <c r="CV72" s="153"/>
      <c r="CW72" s="153"/>
      <c r="CX72" s="153"/>
      <c r="CY72" s="153">
        <v>50</v>
      </c>
      <c r="CZ72" s="153"/>
      <c r="DA72" s="153">
        <v>50</v>
      </c>
      <c r="DB72" s="151"/>
      <c r="DC72" s="151"/>
      <c r="DD72" s="151"/>
      <c r="DE72" s="151"/>
      <c r="DF72" s="151"/>
      <c r="DG72" s="151"/>
      <c r="DH72" s="151"/>
      <c r="DI72" s="151"/>
      <c r="DJ72" s="151"/>
      <c r="DK72" s="153"/>
      <c r="DL72" s="153"/>
      <c r="DM72" s="153"/>
      <c r="DN72" s="153"/>
      <c r="DO72" s="153"/>
      <c r="DP72" s="153"/>
      <c r="DQ72" s="151">
        <v>50</v>
      </c>
      <c r="DR72" s="151"/>
      <c r="DS72" s="151">
        <v>50</v>
      </c>
    </row>
    <row r="73" ht="47.25" spans="1:123">
      <c r="A73" s="132"/>
      <c r="B73" s="132"/>
      <c r="C73" s="148" t="s">
        <v>159</v>
      </c>
      <c r="D73" s="151"/>
      <c r="E73" s="151"/>
      <c r="F73" s="151"/>
      <c r="G73" s="151">
        <v>50</v>
      </c>
      <c r="H73" s="151"/>
      <c r="I73" s="151">
        <v>50</v>
      </c>
      <c r="J73" s="151"/>
      <c r="K73" s="151"/>
      <c r="L73" s="151"/>
      <c r="M73" s="151">
        <v>50</v>
      </c>
      <c r="N73" s="151"/>
      <c r="O73" s="151">
        <v>50</v>
      </c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  <c r="AR73" s="151"/>
      <c r="AS73" s="151"/>
      <c r="AT73" s="151"/>
      <c r="AU73" s="151"/>
      <c r="AV73" s="151"/>
      <c r="AW73" s="151"/>
      <c r="AX73" s="151"/>
      <c r="AY73" s="151"/>
      <c r="AZ73" s="153">
        <v>50</v>
      </c>
      <c r="BA73" s="153"/>
      <c r="BB73" s="153">
        <v>50</v>
      </c>
      <c r="BC73" s="153">
        <v>50</v>
      </c>
      <c r="BD73" s="153"/>
      <c r="BE73" s="153">
        <v>50</v>
      </c>
      <c r="BF73" s="151"/>
      <c r="BG73" s="151"/>
      <c r="BH73" s="151"/>
      <c r="BI73" s="151"/>
      <c r="BJ73" s="151"/>
      <c r="BK73" s="151"/>
      <c r="BL73" s="153"/>
      <c r="BM73" s="153"/>
      <c r="BN73" s="153"/>
      <c r="BO73" s="151">
        <v>50</v>
      </c>
      <c r="BP73" s="151"/>
      <c r="BQ73" s="151">
        <v>50</v>
      </c>
      <c r="BR73" s="151"/>
      <c r="BS73" s="151"/>
      <c r="BT73" s="151"/>
      <c r="BU73" s="151"/>
      <c r="BV73" s="151"/>
      <c r="BW73" s="151"/>
      <c r="BX73" s="153">
        <v>50</v>
      </c>
      <c r="BY73" s="153"/>
      <c r="BZ73" s="153">
        <v>50</v>
      </c>
      <c r="CA73" s="151"/>
      <c r="CB73" s="151"/>
      <c r="CC73" s="151"/>
      <c r="CD73" s="151"/>
      <c r="CE73" s="151"/>
      <c r="CF73" s="151"/>
      <c r="CG73" s="151"/>
      <c r="CH73" s="151"/>
      <c r="CI73" s="151"/>
      <c r="CJ73" s="153"/>
      <c r="CK73" s="153"/>
      <c r="CL73" s="153"/>
      <c r="CM73" s="151"/>
      <c r="CN73" s="151"/>
      <c r="CO73" s="151"/>
      <c r="CP73" s="151"/>
      <c r="CQ73" s="151"/>
      <c r="CR73" s="151"/>
      <c r="CS73" s="151"/>
      <c r="CT73" s="151"/>
      <c r="CU73" s="151"/>
      <c r="CV73" s="153"/>
      <c r="CW73" s="153"/>
      <c r="CX73" s="153"/>
      <c r="CY73" s="153">
        <v>50</v>
      </c>
      <c r="CZ73" s="153"/>
      <c r="DA73" s="153">
        <v>50</v>
      </c>
      <c r="DB73" s="151"/>
      <c r="DC73" s="151"/>
      <c r="DD73" s="151"/>
      <c r="DE73" s="151"/>
      <c r="DF73" s="151"/>
      <c r="DG73" s="151"/>
      <c r="DH73" s="151"/>
      <c r="DI73" s="151"/>
      <c r="DJ73" s="151"/>
      <c r="DK73" s="153"/>
      <c r="DL73" s="153"/>
      <c r="DM73" s="153"/>
      <c r="DN73" s="153"/>
      <c r="DO73" s="153"/>
      <c r="DP73" s="153"/>
      <c r="DQ73" s="151">
        <v>50</v>
      </c>
      <c r="DR73" s="151"/>
      <c r="DS73" s="151">
        <v>50</v>
      </c>
    </row>
    <row r="74" ht="31.5" spans="1:123">
      <c r="A74" s="132"/>
      <c r="B74" s="132"/>
      <c r="C74" s="148" t="s">
        <v>161</v>
      </c>
      <c r="D74" s="151"/>
      <c r="E74" s="151"/>
      <c r="F74" s="151"/>
      <c r="G74" s="151">
        <v>350</v>
      </c>
      <c r="H74" s="151"/>
      <c r="I74" s="151">
        <v>350</v>
      </c>
      <c r="J74" s="151"/>
      <c r="K74" s="151"/>
      <c r="L74" s="151"/>
      <c r="M74" s="151">
        <v>350</v>
      </c>
      <c r="N74" s="151"/>
      <c r="O74" s="151">
        <v>350</v>
      </c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  <c r="AR74" s="151"/>
      <c r="AS74" s="151"/>
      <c r="AT74" s="151"/>
      <c r="AU74" s="151"/>
      <c r="AV74" s="151"/>
      <c r="AW74" s="151"/>
      <c r="AX74" s="151"/>
      <c r="AY74" s="151"/>
      <c r="AZ74" s="153">
        <v>350</v>
      </c>
      <c r="BA74" s="153"/>
      <c r="BB74" s="153">
        <v>350</v>
      </c>
      <c r="BC74" s="153">
        <v>350</v>
      </c>
      <c r="BD74" s="153"/>
      <c r="BE74" s="153">
        <v>350</v>
      </c>
      <c r="BF74" s="151">
        <v>32</v>
      </c>
      <c r="BG74" s="151"/>
      <c r="BH74" s="151">
        <v>32</v>
      </c>
      <c r="BI74" s="151">
        <v>32</v>
      </c>
      <c r="BJ74" s="151"/>
      <c r="BK74" s="151">
        <v>32</v>
      </c>
      <c r="BL74" s="153">
        <v>64</v>
      </c>
      <c r="BM74" s="153"/>
      <c r="BN74" s="153">
        <v>64</v>
      </c>
      <c r="BO74" s="151">
        <v>32</v>
      </c>
      <c r="BP74" s="151"/>
      <c r="BQ74" s="151">
        <v>32</v>
      </c>
      <c r="BR74" s="151">
        <v>32</v>
      </c>
      <c r="BS74" s="151"/>
      <c r="BT74" s="151">
        <v>32</v>
      </c>
      <c r="BU74" s="151">
        <v>32</v>
      </c>
      <c r="BV74" s="151"/>
      <c r="BW74" s="151">
        <v>32</v>
      </c>
      <c r="BX74" s="153">
        <v>96</v>
      </c>
      <c r="BY74" s="153"/>
      <c r="BZ74" s="153">
        <v>96</v>
      </c>
      <c r="CA74" s="151">
        <v>32</v>
      </c>
      <c r="CB74" s="151"/>
      <c r="CC74" s="151">
        <v>32</v>
      </c>
      <c r="CD74" s="151">
        <v>32</v>
      </c>
      <c r="CE74" s="151"/>
      <c r="CF74" s="151">
        <v>32</v>
      </c>
      <c r="CG74" s="151">
        <v>32</v>
      </c>
      <c r="CH74" s="151"/>
      <c r="CI74" s="151">
        <v>32</v>
      </c>
      <c r="CJ74" s="153">
        <v>96</v>
      </c>
      <c r="CK74" s="153"/>
      <c r="CL74" s="153">
        <v>96</v>
      </c>
      <c r="CM74" s="151">
        <v>32</v>
      </c>
      <c r="CN74" s="151"/>
      <c r="CO74" s="151">
        <v>32</v>
      </c>
      <c r="CP74" s="151">
        <v>32</v>
      </c>
      <c r="CQ74" s="151"/>
      <c r="CR74" s="151">
        <v>32</v>
      </c>
      <c r="CS74" s="151">
        <v>30</v>
      </c>
      <c r="CT74" s="151"/>
      <c r="CU74" s="151">
        <v>30</v>
      </c>
      <c r="CV74" s="153">
        <v>94</v>
      </c>
      <c r="CW74" s="153"/>
      <c r="CX74" s="153">
        <v>94</v>
      </c>
      <c r="CY74" s="153">
        <v>350</v>
      </c>
      <c r="CZ74" s="153"/>
      <c r="DA74" s="153">
        <v>350</v>
      </c>
      <c r="DB74" s="151"/>
      <c r="DC74" s="151"/>
      <c r="DD74" s="151"/>
      <c r="DE74" s="151"/>
      <c r="DF74" s="151"/>
      <c r="DG74" s="151"/>
      <c r="DH74" s="151"/>
      <c r="DI74" s="151"/>
      <c r="DJ74" s="151"/>
      <c r="DK74" s="153"/>
      <c r="DL74" s="153"/>
      <c r="DM74" s="153"/>
      <c r="DN74" s="153"/>
      <c r="DO74" s="153"/>
      <c r="DP74" s="153"/>
      <c r="DQ74" s="151">
        <v>350</v>
      </c>
      <c r="DR74" s="151"/>
      <c r="DS74" s="151">
        <v>350</v>
      </c>
    </row>
    <row r="75" ht="31.5" spans="1:123">
      <c r="A75" s="132"/>
      <c r="B75" s="132"/>
      <c r="C75" s="148" t="s">
        <v>163</v>
      </c>
      <c r="D75" s="151"/>
      <c r="E75" s="151"/>
      <c r="F75" s="151"/>
      <c r="G75" s="151">
        <v>400</v>
      </c>
      <c r="H75" s="151"/>
      <c r="I75" s="151">
        <v>400</v>
      </c>
      <c r="J75" s="151"/>
      <c r="K75" s="151"/>
      <c r="L75" s="151"/>
      <c r="M75" s="151">
        <v>400</v>
      </c>
      <c r="N75" s="151"/>
      <c r="O75" s="151">
        <v>400</v>
      </c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  <c r="AB75" s="151"/>
      <c r="AC75" s="151"/>
      <c r="AD75" s="151"/>
      <c r="AE75" s="151"/>
      <c r="AF75" s="151"/>
      <c r="AG75" s="151"/>
      <c r="AH75" s="151"/>
      <c r="AI75" s="151"/>
      <c r="AJ75" s="151"/>
      <c r="AK75" s="151"/>
      <c r="AL75" s="151"/>
      <c r="AM75" s="151"/>
      <c r="AN75" s="151"/>
      <c r="AO75" s="151"/>
      <c r="AP75" s="151"/>
      <c r="AQ75" s="151"/>
      <c r="AR75" s="151"/>
      <c r="AS75" s="151"/>
      <c r="AT75" s="151"/>
      <c r="AU75" s="151"/>
      <c r="AV75" s="151"/>
      <c r="AW75" s="151"/>
      <c r="AX75" s="151"/>
      <c r="AY75" s="151"/>
      <c r="AZ75" s="153">
        <v>400</v>
      </c>
      <c r="BA75" s="153"/>
      <c r="BB75" s="153">
        <v>400</v>
      </c>
      <c r="BC75" s="153">
        <v>400</v>
      </c>
      <c r="BD75" s="153"/>
      <c r="BE75" s="153">
        <v>400</v>
      </c>
      <c r="BF75" s="151">
        <v>36</v>
      </c>
      <c r="BG75" s="151"/>
      <c r="BH75" s="151">
        <v>36</v>
      </c>
      <c r="BI75" s="151">
        <v>36</v>
      </c>
      <c r="BJ75" s="151"/>
      <c r="BK75" s="151">
        <v>36</v>
      </c>
      <c r="BL75" s="153">
        <v>72</v>
      </c>
      <c r="BM75" s="153"/>
      <c r="BN75" s="153">
        <v>72</v>
      </c>
      <c r="BO75" s="151">
        <v>36</v>
      </c>
      <c r="BP75" s="151"/>
      <c r="BQ75" s="151">
        <v>36</v>
      </c>
      <c r="BR75" s="151">
        <v>36</v>
      </c>
      <c r="BS75" s="151"/>
      <c r="BT75" s="151">
        <v>36</v>
      </c>
      <c r="BU75" s="151">
        <v>36</v>
      </c>
      <c r="BV75" s="151"/>
      <c r="BW75" s="151">
        <v>36</v>
      </c>
      <c r="BX75" s="153">
        <v>108</v>
      </c>
      <c r="BY75" s="153"/>
      <c r="BZ75" s="153">
        <v>108</v>
      </c>
      <c r="CA75" s="151">
        <v>36</v>
      </c>
      <c r="CB75" s="151"/>
      <c r="CC75" s="151">
        <v>36</v>
      </c>
      <c r="CD75" s="151">
        <v>36</v>
      </c>
      <c r="CE75" s="151"/>
      <c r="CF75" s="151">
        <v>36</v>
      </c>
      <c r="CG75" s="151">
        <v>36</v>
      </c>
      <c r="CH75" s="151"/>
      <c r="CI75" s="151">
        <v>36</v>
      </c>
      <c r="CJ75" s="153">
        <v>108</v>
      </c>
      <c r="CK75" s="153"/>
      <c r="CL75" s="153">
        <v>108</v>
      </c>
      <c r="CM75" s="151">
        <v>36</v>
      </c>
      <c r="CN75" s="151"/>
      <c r="CO75" s="151">
        <v>36</v>
      </c>
      <c r="CP75" s="151">
        <v>36</v>
      </c>
      <c r="CQ75" s="151"/>
      <c r="CR75" s="151">
        <v>36</v>
      </c>
      <c r="CS75" s="151">
        <v>40</v>
      </c>
      <c r="CT75" s="151"/>
      <c r="CU75" s="151">
        <v>40</v>
      </c>
      <c r="CV75" s="153">
        <v>112</v>
      </c>
      <c r="CW75" s="153"/>
      <c r="CX75" s="153">
        <v>112</v>
      </c>
      <c r="CY75" s="153">
        <v>400</v>
      </c>
      <c r="CZ75" s="153"/>
      <c r="DA75" s="153">
        <v>400</v>
      </c>
      <c r="DB75" s="151"/>
      <c r="DC75" s="151"/>
      <c r="DD75" s="151"/>
      <c r="DE75" s="151"/>
      <c r="DF75" s="151"/>
      <c r="DG75" s="151"/>
      <c r="DH75" s="151"/>
      <c r="DI75" s="151"/>
      <c r="DJ75" s="151"/>
      <c r="DK75" s="153"/>
      <c r="DL75" s="153"/>
      <c r="DM75" s="153"/>
      <c r="DN75" s="153"/>
      <c r="DO75" s="153"/>
      <c r="DP75" s="153"/>
      <c r="DQ75" s="151">
        <v>400</v>
      </c>
      <c r="DR75" s="151"/>
      <c r="DS75" s="151">
        <v>400</v>
      </c>
    </row>
    <row r="76" spans="1:123">
      <c r="A76" s="132"/>
      <c r="B76" s="132" t="s">
        <v>360</v>
      </c>
      <c r="C76" s="148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151"/>
      <c r="AC76" s="151"/>
      <c r="AD76" s="151"/>
      <c r="AE76" s="151"/>
      <c r="AF76" s="151"/>
      <c r="AG76" s="151"/>
      <c r="AH76" s="151"/>
      <c r="AI76" s="151"/>
      <c r="AJ76" s="151"/>
      <c r="AK76" s="151"/>
      <c r="AL76" s="151"/>
      <c r="AM76" s="151"/>
      <c r="AN76" s="151"/>
      <c r="AO76" s="151"/>
      <c r="AP76" s="151"/>
      <c r="AQ76" s="151"/>
      <c r="AR76" s="151"/>
      <c r="AS76" s="151"/>
      <c r="AT76" s="151"/>
      <c r="AU76" s="151"/>
      <c r="AV76" s="151"/>
      <c r="AW76" s="151"/>
      <c r="AX76" s="151"/>
      <c r="AY76" s="151"/>
      <c r="AZ76" s="153"/>
      <c r="BA76" s="153"/>
      <c r="BB76" s="153"/>
      <c r="BC76" s="153"/>
      <c r="BD76" s="153"/>
      <c r="BE76" s="153"/>
      <c r="BF76" s="151"/>
      <c r="BG76" s="151"/>
      <c r="BH76" s="151"/>
      <c r="BI76" s="151"/>
      <c r="BJ76" s="151"/>
      <c r="BK76" s="151"/>
      <c r="BL76" s="153"/>
      <c r="BM76" s="153"/>
      <c r="BN76" s="153"/>
      <c r="BO76" s="151"/>
      <c r="BP76" s="151"/>
      <c r="BQ76" s="151"/>
      <c r="BR76" s="151"/>
      <c r="BS76" s="151"/>
      <c r="BT76" s="151"/>
      <c r="BU76" s="151"/>
      <c r="BV76" s="151"/>
      <c r="BW76" s="151"/>
      <c r="BX76" s="153"/>
      <c r="BY76" s="153"/>
      <c r="BZ76" s="153"/>
      <c r="CA76" s="151"/>
      <c r="CB76" s="151"/>
      <c r="CC76" s="151"/>
      <c r="CD76" s="151"/>
      <c r="CE76" s="151"/>
      <c r="CF76" s="151"/>
      <c r="CG76" s="151"/>
      <c r="CH76" s="151"/>
      <c r="CI76" s="151"/>
      <c r="CJ76" s="153"/>
      <c r="CK76" s="153"/>
      <c r="CL76" s="153"/>
      <c r="CM76" s="151"/>
      <c r="CN76" s="151"/>
      <c r="CO76" s="151"/>
      <c r="CP76" s="151"/>
      <c r="CQ76" s="151"/>
      <c r="CR76" s="151"/>
      <c r="CS76" s="151"/>
      <c r="CT76" s="151"/>
      <c r="CU76" s="151"/>
      <c r="CV76" s="153"/>
      <c r="CW76" s="153"/>
      <c r="CX76" s="153"/>
      <c r="CY76" s="153"/>
      <c r="CZ76" s="153"/>
      <c r="DA76" s="153"/>
      <c r="DB76" s="151"/>
      <c r="DC76" s="151"/>
      <c r="DD76" s="151"/>
      <c r="DE76" s="151"/>
      <c r="DF76" s="151"/>
      <c r="DG76" s="151"/>
      <c r="DH76" s="151"/>
      <c r="DI76" s="151"/>
      <c r="DJ76" s="151"/>
      <c r="DK76" s="153"/>
      <c r="DL76" s="153"/>
      <c r="DM76" s="153"/>
      <c r="DN76" s="153"/>
      <c r="DO76" s="153"/>
      <c r="DP76" s="153"/>
      <c r="DQ76" s="151"/>
      <c r="DR76" s="151"/>
      <c r="DS76" s="151"/>
    </row>
    <row r="77" ht="47.25" spans="1:123">
      <c r="A77" s="132"/>
      <c r="B77" s="132"/>
      <c r="C77" s="148" t="s">
        <v>109</v>
      </c>
      <c r="D77" s="151"/>
      <c r="E77" s="151"/>
      <c r="F77" s="151"/>
      <c r="G77" s="151"/>
      <c r="H77" s="151"/>
      <c r="I77" s="151"/>
      <c r="J77" s="151">
        <v>192</v>
      </c>
      <c r="K77" s="151"/>
      <c r="L77" s="151">
        <v>192</v>
      </c>
      <c r="M77" s="151">
        <v>192</v>
      </c>
      <c r="N77" s="151"/>
      <c r="O77" s="151">
        <v>192</v>
      </c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  <c r="AB77" s="151"/>
      <c r="AC77" s="151"/>
      <c r="AD77" s="151"/>
      <c r="AE77" s="151"/>
      <c r="AF77" s="151"/>
      <c r="AG77" s="151"/>
      <c r="AH77" s="151"/>
      <c r="AI77" s="151"/>
      <c r="AJ77" s="151"/>
      <c r="AK77" s="151"/>
      <c r="AL77" s="151"/>
      <c r="AM77" s="151"/>
      <c r="AN77" s="151"/>
      <c r="AO77" s="151"/>
      <c r="AP77" s="151"/>
      <c r="AQ77" s="151"/>
      <c r="AR77" s="151"/>
      <c r="AS77" s="151"/>
      <c r="AT77" s="151"/>
      <c r="AU77" s="151"/>
      <c r="AV77" s="151"/>
      <c r="AW77" s="151"/>
      <c r="AX77" s="151"/>
      <c r="AY77" s="151"/>
      <c r="AZ77" s="153">
        <v>192</v>
      </c>
      <c r="BA77" s="153"/>
      <c r="BB77" s="153">
        <v>192</v>
      </c>
      <c r="BC77" s="153">
        <v>192</v>
      </c>
      <c r="BD77" s="153"/>
      <c r="BE77" s="153">
        <v>192</v>
      </c>
      <c r="BF77" s="151"/>
      <c r="BG77" s="151"/>
      <c r="BH77" s="151"/>
      <c r="BI77" s="151"/>
      <c r="BJ77" s="151"/>
      <c r="BK77" s="151"/>
      <c r="BL77" s="153"/>
      <c r="BM77" s="153"/>
      <c r="BN77" s="153"/>
      <c r="BO77" s="151">
        <v>96</v>
      </c>
      <c r="BP77" s="151"/>
      <c r="BQ77" s="151">
        <v>96</v>
      </c>
      <c r="BR77" s="151"/>
      <c r="BS77" s="151"/>
      <c r="BT77" s="151"/>
      <c r="BU77" s="151"/>
      <c r="BV77" s="151"/>
      <c r="BW77" s="151"/>
      <c r="BX77" s="153">
        <v>96</v>
      </c>
      <c r="BY77" s="153"/>
      <c r="BZ77" s="153">
        <v>96</v>
      </c>
      <c r="CA77" s="151"/>
      <c r="CB77" s="151"/>
      <c r="CC77" s="151"/>
      <c r="CD77" s="151">
        <v>96</v>
      </c>
      <c r="CE77" s="151"/>
      <c r="CF77" s="151">
        <v>96</v>
      </c>
      <c r="CG77" s="151"/>
      <c r="CH77" s="151"/>
      <c r="CI77" s="151"/>
      <c r="CJ77" s="153">
        <v>96</v>
      </c>
      <c r="CK77" s="153"/>
      <c r="CL77" s="153">
        <v>96</v>
      </c>
      <c r="CM77" s="151"/>
      <c r="CN77" s="151"/>
      <c r="CO77" s="151"/>
      <c r="CP77" s="151"/>
      <c r="CQ77" s="151"/>
      <c r="CR77" s="151"/>
      <c r="CS77" s="151"/>
      <c r="CT77" s="151"/>
      <c r="CU77" s="151"/>
      <c r="CV77" s="153"/>
      <c r="CW77" s="153"/>
      <c r="CX77" s="153"/>
      <c r="CY77" s="153">
        <v>192</v>
      </c>
      <c r="CZ77" s="153"/>
      <c r="DA77" s="153">
        <v>192</v>
      </c>
      <c r="DB77" s="151"/>
      <c r="DC77" s="151"/>
      <c r="DD77" s="151"/>
      <c r="DE77" s="151"/>
      <c r="DF77" s="151"/>
      <c r="DG77" s="151"/>
      <c r="DH77" s="151"/>
      <c r="DI77" s="151"/>
      <c r="DJ77" s="151"/>
      <c r="DK77" s="153"/>
      <c r="DL77" s="153"/>
      <c r="DM77" s="153"/>
      <c r="DN77" s="153"/>
      <c r="DO77" s="153"/>
      <c r="DP77" s="153"/>
      <c r="DQ77" s="151">
        <v>192</v>
      </c>
      <c r="DR77" s="151"/>
      <c r="DS77" s="151">
        <v>192</v>
      </c>
    </row>
    <row r="78" ht="47.25" spans="1:123">
      <c r="A78" s="132"/>
      <c r="B78" s="132"/>
      <c r="C78" s="148" t="s">
        <v>111</v>
      </c>
      <c r="D78" s="151"/>
      <c r="E78" s="151"/>
      <c r="F78" s="151"/>
      <c r="G78" s="151"/>
      <c r="H78" s="151"/>
      <c r="I78" s="151"/>
      <c r="J78" s="151">
        <v>576</v>
      </c>
      <c r="K78" s="151"/>
      <c r="L78" s="151">
        <v>576</v>
      </c>
      <c r="M78" s="151">
        <v>576</v>
      </c>
      <c r="N78" s="151"/>
      <c r="O78" s="151">
        <v>576</v>
      </c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  <c r="AB78" s="151"/>
      <c r="AC78" s="151"/>
      <c r="AD78" s="151"/>
      <c r="AE78" s="151"/>
      <c r="AF78" s="151"/>
      <c r="AG78" s="151"/>
      <c r="AH78" s="151"/>
      <c r="AI78" s="151"/>
      <c r="AJ78" s="151"/>
      <c r="AK78" s="151"/>
      <c r="AL78" s="151"/>
      <c r="AM78" s="151"/>
      <c r="AN78" s="151"/>
      <c r="AO78" s="151"/>
      <c r="AP78" s="151"/>
      <c r="AQ78" s="151"/>
      <c r="AR78" s="151"/>
      <c r="AS78" s="151"/>
      <c r="AT78" s="151"/>
      <c r="AU78" s="151"/>
      <c r="AV78" s="151"/>
      <c r="AW78" s="151"/>
      <c r="AX78" s="151"/>
      <c r="AY78" s="151"/>
      <c r="AZ78" s="153">
        <v>576</v>
      </c>
      <c r="BA78" s="153"/>
      <c r="BB78" s="153">
        <v>576</v>
      </c>
      <c r="BC78" s="153">
        <v>576</v>
      </c>
      <c r="BD78" s="153"/>
      <c r="BE78" s="153">
        <v>576</v>
      </c>
      <c r="BF78" s="151"/>
      <c r="BG78" s="151"/>
      <c r="BH78" s="151"/>
      <c r="BI78" s="151"/>
      <c r="BJ78" s="151"/>
      <c r="BK78" s="151"/>
      <c r="BL78" s="153"/>
      <c r="BM78" s="153"/>
      <c r="BN78" s="153"/>
      <c r="BO78" s="151">
        <v>288</v>
      </c>
      <c r="BP78" s="151"/>
      <c r="BQ78" s="151">
        <v>288</v>
      </c>
      <c r="BR78" s="151"/>
      <c r="BS78" s="151"/>
      <c r="BT78" s="151"/>
      <c r="BU78" s="151"/>
      <c r="BV78" s="151"/>
      <c r="BW78" s="151"/>
      <c r="BX78" s="153">
        <v>288</v>
      </c>
      <c r="BY78" s="153"/>
      <c r="BZ78" s="153">
        <v>288</v>
      </c>
      <c r="CA78" s="151"/>
      <c r="CB78" s="151"/>
      <c r="CC78" s="151"/>
      <c r="CD78" s="151">
        <v>288</v>
      </c>
      <c r="CE78" s="151"/>
      <c r="CF78" s="151">
        <v>288</v>
      </c>
      <c r="CG78" s="151"/>
      <c r="CH78" s="151"/>
      <c r="CI78" s="151"/>
      <c r="CJ78" s="153">
        <v>288</v>
      </c>
      <c r="CK78" s="153"/>
      <c r="CL78" s="153">
        <v>288</v>
      </c>
      <c r="CM78" s="151"/>
      <c r="CN78" s="151"/>
      <c r="CO78" s="151"/>
      <c r="CP78" s="151"/>
      <c r="CQ78" s="151"/>
      <c r="CR78" s="151"/>
      <c r="CS78" s="151"/>
      <c r="CT78" s="151"/>
      <c r="CU78" s="151"/>
      <c r="CV78" s="153"/>
      <c r="CW78" s="153"/>
      <c r="CX78" s="153"/>
      <c r="CY78" s="153">
        <v>576</v>
      </c>
      <c r="CZ78" s="153"/>
      <c r="DA78" s="153">
        <v>576</v>
      </c>
      <c r="DB78" s="151"/>
      <c r="DC78" s="151"/>
      <c r="DD78" s="151"/>
      <c r="DE78" s="151"/>
      <c r="DF78" s="151"/>
      <c r="DG78" s="151"/>
      <c r="DH78" s="151"/>
      <c r="DI78" s="151"/>
      <c r="DJ78" s="151"/>
      <c r="DK78" s="153"/>
      <c r="DL78" s="153"/>
      <c r="DM78" s="153"/>
      <c r="DN78" s="153"/>
      <c r="DO78" s="153"/>
      <c r="DP78" s="153"/>
      <c r="DQ78" s="151">
        <v>576</v>
      </c>
      <c r="DR78" s="151"/>
      <c r="DS78" s="151">
        <v>576</v>
      </c>
    </row>
    <row r="79" ht="47.25" spans="1:123">
      <c r="A79" s="132"/>
      <c r="B79" s="132"/>
      <c r="C79" s="148" t="s">
        <v>113</v>
      </c>
      <c r="D79" s="151"/>
      <c r="E79" s="151"/>
      <c r="F79" s="151"/>
      <c r="G79" s="151"/>
      <c r="H79" s="151"/>
      <c r="I79" s="151"/>
      <c r="J79" s="151">
        <v>7098</v>
      </c>
      <c r="K79" s="151"/>
      <c r="L79" s="151">
        <v>7098</v>
      </c>
      <c r="M79" s="151">
        <v>7098</v>
      </c>
      <c r="N79" s="151"/>
      <c r="O79" s="151">
        <v>7098</v>
      </c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  <c r="AA79" s="151"/>
      <c r="AB79" s="151"/>
      <c r="AC79" s="151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/>
      <c r="AQ79" s="151"/>
      <c r="AR79" s="151"/>
      <c r="AS79" s="151"/>
      <c r="AT79" s="151"/>
      <c r="AU79" s="151"/>
      <c r="AV79" s="151"/>
      <c r="AW79" s="151"/>
      <c r="AX79" s="151"/>
      <c r="AY79" s="151"/>
      <c r="AZ79" s="153">
        <v>7098</v>
      </c>
      <c r="BA79" s="153"/>
      <c r="BB79" s="153">
        <v>7098</v>
      </c>
      <c r="BC79" s="153">
        <v>7098</v>
      </c>
      <c r="BD79" s="153"/>
      <c r="BE79" s="153">
        <v>7098</v>
      </c>
      <c r="BF79" s="151"/>
      <c r="BG79" s="151"/>
      <c r="BH79" s="151"/>
      <c r="BI79" s="151"/>
      <c r="BJ79" s="151"/>
      <c r="BK79" s="151"/>
      <c r="BL79" s="153"/>
      <c r="BM79" s="153"/>
      <c r="BN79" s="153"/>
      <c r="BO79" s="151">
        <v>3549</v>
      </c>
      <c r="BP79" s="151"/>
      <c r="BQ79" s="151">
        <v>3549</v>
      </c>
      <c r="BR79" s="151"/>
      <c r="BS79" s="151"/>
      <c r="BT79" s="151"/>
      <c r="BU79" s="151"/>
      <c r="BV79" s="151"/>
      <c r="BW79" s="151"/>
      <c r="BX79" s="153">
        <v>3549</v>
      </c>
      <c r="BY79" s="153"/>
      <c r="BZ79" s="153">
        <v>3549</v>
      </c>
      <c r="CA79" s="151"/>
      <c r="CB79" s="151"/>
      <c r="CC79" s="151"/>
      <c r="CD79" s="151">
        <v>3549</v>
      </c>
      <c r="CE79" s="151"/>
      <c r="CF79" s="151">
        <v>3549</v>
      </c>
      <c r="CG79" s="151"/>
      <c r="CH79" s="151"/>
      <c r="CI79" s="151"/>
      <c r="CJ79" s="153">
        <v>3549</v>
      </c>
      <c r="CK79" s="153"/>
      <c r="CL79" s="153">
        <v>3549</v>
      </c>
      <c r="CM79" s="151"/>
      <c r="CN79" s="151"/>
      <c r="CO79" s="151"/>
      <c r="CP79" s="151"/>
      <c r="CQ79" s="151"/>
      <c r="CR79" s="151"/>
      <c r="CS79" s="151"/>
      <c r="CT79" s="151"/>
      <c r="CU79" s="151"/>
      <c r="CV79" s="153"/>
      <c r="CW79" s="153"/>
      <c r="CX79" s="153"/>
      <c r="CY79" s="153">
        <v>7098</v>
      </c>
      <c r="CZ79" s="153"/>
      <c r="DA79" s="153">
        <v>7098</v>
      </c>
      <c r="DB79" s="151"/>
      <c r="DC79" s="151"/>
      <c r="DD79" s="151"/>
      <c r="DE79" s="151"/>
      <c r="DF79" s="151"/>
      <c r="DG79" s="151"/>
      <c r="DH79" s="151"/>
      <c r="DI79" s="151"/>
      <c r="DJ79" s="151"/>
      <c r="DK79" s="153"/>
      <c r="DL79" s="153"/>
      <c r="DM79" s="153"/>
      <c r="DN79" s="153"/>
      <c r="DO79" s="153"/>
      <c r="DP79" s="153"/>
      <c r="DQ79" s="151">
        <v>7098</v>
      </c>
      <c r="DR79" s="151"/>
      <c r="DS79" s="151">
        <v>7098</v>
      </c>
    </row>
    <row r="80" spans="1:123">
      <c r="A80" s="132"/>
      <c r="B80" s="132" t="s">
        <v>361</v>
      </c>
      <c r="C80" s="148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  <c r="AB80" s="151"/>
      <c r="AC80" s="151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151"/>
      <c r="AT80" s="151"/>
      <c r="AU80" s="151"/>
      <c r="AV80" s="151"/>
      <c r="AW80" s="151"/>
      <c r="AX80" s="151"/>
      <c r="AY80" s="151"/>
      <c r="AZ80" s="153"/>
      <c r="BA80" s="153"/>
      <c r="BB80" s="153"/>
      <c r="BC80" s="153"/>
      <c r="BD80" s="153"/>
      <c r="BE80" s="153"/>
      <c r="BF80" s="151"/>
      <c r="BG80" s="151"/>
      <c r="BH80" s="151"/>
      <c r="BI80" s="151"/>
      <c r="BJ80" s="151"/>
      <c r="BK80" s="151"/>
      <c r="BL80" s="153"/>
      <c r="BM80" s="153"/>
      <c r="BN80" s="153"/>
      <c r="BO80" s="151"/>
      <c r="BP80" s="151"/>
      <c r="BQ80" s="151"/>
      <c r="BR80" s="151"/>
      <c r="BS80" s="151"/>
      <c r="BT80" s="151"/>
      <c r="BU80" s="151"/>
      <c r="BV80" s="151"/>
      <c r="BW80" s="151"/>
      <c r="BX80" s="153"/>
      <c r="BY80" s="153"/>
      <c r="BZ80" s="153"/>
      <c r="CA80" s="151"/>
      <c r="CB80" s="151"/>
      <c r="CC80" s="151"/>
      <c r="CD80" s="151"/>
      <c r="CE80" s="151"/>
      <c r="CF80" s="151"/>
      <c r="CG80" s="151"/>
      <c r="CH80" s="151"/>
      <c r="CI80" s="151"/>
      <c r="CJ80" s="153"/>
      <c r="CK80" s="153"/>
      <c r="CL80" s="153"/>
      <c r="CM80" s="151"/>
      <c r="CN80" s="151"/>
      <c r="CO80" s="151"/>
      <c r="CP80" s="151"/>
      <c r="CQ80" s="151"/>
      <c r="CR80" s="151"/>
      <c r="CS80" s="151"/>
      <c r="CT80" s="151"/>
      <c r="CU80" s="151"/>
      <c r="CV80" s="153"/>
      <c r="CW80" s="153"/>
      <c r="CX80" s="153"/>
      <c r="CY80" s="153"/>
      <c r="CZ80" s="153"/>
      <c r="DA80" s="153"/>
      <c r="DB80" s="151"/>
      <c r="DC80" s="151"/>
      <c r="DD80" s="151"/>
      <c r="DE80" s="151"/>
      <c r="DF80" s="151"/>
      <c r="DG80" s="151"/>
      <c r="DH80" s="151"/>
      <c r="DI80" s="151"/>
      <c r="DJ80" s="151"/>
      <c r="DK80" s="153"/>
      <c r="DL80" s="153"/>
      <c r="DM80" s="153"/>
      <c r="DN80" s="153"/>
      <c r="DO80" s="153"/>
      <c r="DP80" s="153"/>
      <c r="DQ80" s="151"/>
      <c r="DR80" s="151"/>
      <c r="DS80" s="151"/>
    </row>
    <row r="81" spans="1:123">
      <c r="A81" s="132"/>
      <c r="B81" s="132"/>
      <c r="C81" s="148" t="s">
        <v>165</v>
      </c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  <c r="AB81" s="151"/>
      <c r="AC81" s="151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>
        <v>600</v>
      </c>
      <c r="AO81" s="151"/>
      <c r="AP81" s="151">
        <v>600</v>
      </c>
      <c r="AQ81" s="151"/>
      <c r="AR81" s="151"/>
      <c r="AS81" s="151"/>
      <c r="AT81" s="151"/>
      <c r="AU81" s="151"/>
      <c r="AV81" s="151"/>
      <c r="AW81" s="151">
        <v>600</v>
      </c>
      <c r="AX81" s="151"/>
      <c r="AY81" s="151">
        <v>600</v>
      </c>
      <c r="AZ81" s="153">
        <v>600</v>
      </c>
      <c r="BA81" s="153"/>
      <c r="BB81" s="153">
        <v>600</v>
      </c>
      <c r="BC81" s="153">
        <v>600</v>
      </c>
      <c r="BD81" s="153"/>
      <c r="BE81" s="153">
        <v>600</v>
      </c>
      <c r="BF81" s="151"/>
      <c r="BG81" s="151"/>
      <c r="BH81" s="151"/>
      <c r="BI81" s="151"/>
      <c r="BJ81" s="151"/>
      <c r="BK81" s="151"/>
      <c r="BL81" s="153"/>
      <c r="BM81" s="153"/>
      <c r="BN81" s="153"/>
      <c r="BO81" s="151"/>
      <c r="BP81" s="151"/>
      <c r="BQ81" s="151"/>
      <c r="BR81" s="151"/>
      <c r="BS81" s="151"/>
      <c r="BT81" s="151"/>
      <c r="BU81" s="151"/>
      <c r="BV81" s="151"/>
      <c r="BW81" s="151"/>
      <c r="BX81" s="153"/>
      <c r="BY81" s="153"/>
      <c r="BZ81" s="153"/>
      <c r="CA81" s="151"/>
      <c r="CB81" s="151"/>
      <c r="CC81" s="151"/>
      <c r="CD81" s="151"/>
      <c r="CE81" s="151"/>
      <c r="CF81" s="151"/>
      <c r="CG81" s="151"/>
      <c r="CH81" s="151"/>
      <c r="CI81" s="151"/>
      <c r="CJ81" s="153"/>
      <c r="CK81" s="153"/>
      <c r="CL81" s="153"/>
      <c r="CM81" s="151"/>
      <c r="CN81" s="151"/>
      <c r="CO81" s="151"/>
      <c r="CP81" s="151">
        <v>600</v>
      </c>
      <c r="CQ81" s="151"/>
      <c r="CR81" s="151">
        <v>600</v>
      </c>
      <c r="CS81" s="151"/>
      <c r="CT81" s="151"/>
      <c r="CU81" s="151"/>
      <c r="CV81" s="153">
        <v>600</v>
      </c>
      <c r="CW81" s="153"/>
      <c r="CX81" s="153">
        <v>600</v>
      </c>
      <c r="CY81" s="153">
        <v>600</v>
      </c>
      <c r="CZ81" s="153"/>
      <c r="DA81" s="153">
        <v>600</v>
      </c>
      <c r="DB81" s="151"/>
      <c r="DC81" s="151"/>
      <c r="DD81" s="151"/>
      <c r="DE81" s="151"/>
      <c r="DF81" s="151"/>
      <c r="DG81" s="151"/>
      <c r="DH81" s="151"/>
      <c r="DI81" s="151"/>
      <c r="DJ81" s="151"/>
      <c r="DK81" s="153"/>
      <c r="DL81" s="153"/>
      <c r="DM81" s="153"/>
      <c r="DN81" s="153"/>
      <c r="DO81" s="153"/>
      <c r="DP81" s="153"/>
      <c r="DQ81" s="151">
        <v>600</v>
      </c>
      <c r="DR81" s="151"/>
      <c r="DS81" s="151">
        <v>600</v>
      </c>
    </row>
    <row r="82" spans="1:123">
      <c r="A82" s="132" t="s">
        <v>166</v>
      </c>
      <c r="B82" s="132"/>
      <c r="C82" s="148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  <c r="AA82" s="151"/>
      <c r="AB82" s="151"/>
      <c r="AC82" s="151"/>
      <c r="AD82" s="151"/>
      <c r="AE82" s="151"/>
      <c r="AF82" s="151"/>
      <c r="AG82" s="151"/>
      <c r="AH82" s="151"/>
      <c r="AI82" s="151"/>
      <c r="AJ82" s="151"/>
      <c r="AK82" s="151"/>
      <c r="AL82" s="151"/>
      <c r="AM82" s="151"/>
      <c r="AN82" s="151"/>
      <c r="AO82" s="151"/>
      <c r="AP82" s="151"/>
      <c r="AQ82" s="151"/>
      <c r="AR82" s="151"/>
      <c r="AS82" s="151"/>
      <c r="AT82" s="151"/>
      <c r="AU82" s="151"/>
      <c r="AV82" s="151"/>
      <c r="AW82" s="151"/>
      <c r="AX82" s="151"/>
      <c r="AY82" s="151"/>
      <c r="AZ82" s="153"/>
      <c r="BA82" s="153"/>
      <c r="BB82" s="153"/>
      <c r="BC82" s="153"/>
      <c r="BD82" s="153"/>
      <c r="BE82" s="153"/>
      <c r="BF82" s="151"/>
      <c r="BG82" s="151"/>
      <c r="BH82" s="151"/>
      <c r="BI82" s="151"/>
      <c r="BJ82" s="151"/>
      <c r="BK82" s="151"/>
      <c r="BL82" s="153"/>
      <c r="BM82" s="153"/>
      <c r="BN82" s="153"/>
      <c r="BO82" s="151"/>
      <c r="BP82" s="151"/>
      <c r="BQ82" s="151"/>
      <c r="BR82" s="151"/>
      <c r="BS82" s="151"/>
      <c r="BT82" s="151"/>
      <c r="BU82" s="151"/>
      <c r="BV82" s="151"/>
      <c r="BW82" s="151"/>
      <c r="BX82" s="153"/>
      <c r="BY82" s="153"/>
      <c r="BZ82" s="153"/>
      <c r="CA82" s="151"/>
      <c r="CB82" s="151"/>
      <c r="CC82" s="151"/>
      <c r="CD82" s="151"/>
      <c r="CE82" s="151"/>
      <c r="CF82" s="151"/>
      <c r="CG82" s="151"/>
      <c r="CH82" s="151"/>
      <c r="CI82" s="151"/>
      <c r="CJ82" s="153"/>
      <c r="CK82" s="153"/>
      <c r="CL82" s="153"/>
      <c r="CM82" s="151"/>
      <c r="CN82" s="151"/>
      <c r="CO82" s="151"/>
      <c r="CP82" s="151"/>
      <c r="CQ82" s="151"/>
      <c r="CR82" s="151"/>
      <c r="CS82" s="151"/>
      <c r="CT82" s="151"/>
      <c r="CU82" s="151"/>
      <c r="CV82" s="153"/>
      <c r="CW82" s="153"/>
      <c r="CX82" s="153"/>
      <c r="CY82" s="153"/>
      <c r="CZ82" s="153"/>
      <c r="DA82" s="153"/>
      <c r="DB82" s="151"/>
      <c r="DC82" s="151"/>
      <c r="DD82" s="151"/>
      <c r="DE82" s="151"/>
      <c r="DF82" s="151"/>
      <c r="DG82" s="151"/>
      <c r="DH82" s="151"/>
      <c r="DI82" s="151"/>
      <c r="DJ82" s="151"/>
      <c r="DK82" s="153"/>
      <c r="DL82" s="153"/>
      <c r="DM82" s="153"/>
      <c r="DN82" s="153"/>
      <c r="DO82" s="153"/>
      <c r="DP82" s="153"/>
      <c r="DQ82" s="151"/>
      <c r="DR82" s="151"/>
      <c r="DS82" s="151"/>
    </row>
    <row r="83" spans="1:123">
      <c r="A83" s="132"/>
      <c r="B83" s="132" t="s">
        <v>362</v>
      </c>
      <c r="C83" s="148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  <c r="AA83" s="151"/>
      <c r="AB83" s="151"/>
      <c r="AC83" s="151"/>
      <c r="AD83" s="151"/>
      <c r="AE83" s="151"/>
      <c r="AF83" s="151"/>
      <c r="AG83" s="151"/>
      <c r="AH83" s="151"/>
      <c r="AI83" s="151"/>
      <c r="AJ83" s="151"/>
      <c r="AK83" s="151"/>
      <c r="AL83" s="151"/>
      <c r="AM83" s="151"/>
      <c r="AN83" s="151"/>
      <c r="AO83" s="151"/>
      <c r="AP83" s="151"/>
      <c r="AQ83" s="151"/>
      <c r="AR83" s="151"/>
      <c r="AS83" s="151"/>
      <c r="AT83" s="151"/>
      <c r="AU83" s="151"/>
      <c r="AV83" s="151"/>
      <c r="AW83" s="151"/>
      <c r="AX83" s="151"/>
      <c r="AY83" s="151"/>
      <c r="AZ83" s="153"/>
      <c r="BA83" s="153"/>
      <c r="BB83" s="153"/>
      <c r="BC83" s="153"/>
      <c r="BD83" s="153"/>
      <c r="BE83" s="153"/>
      <c r="BF83" s="151"/>
      <c r="BG83" s="151"/>
      <c r="BH83" s="151"/>
      <c r="BI83" s="151"/>
      <c r="BJ83" s="151"/>
      <c r="BK83" s="151"/>
      <c r="BL83" s="153"/>
      <c r="BM83" s="153"/>
      <c r="BN83" s="153"/>
      <c r="BO83" s="151"/>
      <c r="BP83" s="151"/>
      <c r="BQ83" s="151"/>
      <c r="BR83" s="151"/>
      <c r="BS83" s="151"/>
      <c r="BT83" s="151"/>
      <c r="BU83" s="151"/>
      <c r="BV83" s="151"/>
      <c r="BW83" s="151"/>
      <c r="BX83" s="153"/>
      <c r="BY83" s="153"/>
      <c r="BZ83" s="153"/>
      <c r="CA83" s="151"/>
      <c r="CB83" s="151"/>
      <c r="CC83" s="151"/>
      <c r="CD83" s="151"/>
      <c r="CE83" s="151"/>
      <c r="CF83" s="151"/>
      <c r="CG83" s="151"/>
      <c r="CH83" s="151"/>
      <c r="CI83" s="151"/>
      <c r="CJ83" s="153"/>
      <c r="CK83" s="153"/>
      <c r="CL83" s="153"/>
      <c r="CM83" s="151"/>
      <c r="CN83" s="151"/>
      <c r="CO83" s="151"/>
      <c r="CP83" s="151"/>
      <c r="CQ83" s="151"/>
      <c r="CR83" s="151"/>
      <c r="CS83" s="151"/>
      <c r="CT83" s="151"/>
      <c r="CU83" s="151"/>
      <c r="CV83" s="153"/>
      <c r="CW83" s="153"/>
      <c r="CX83" s="153"/>
      <c r="CY83" s="153"/>
      <c r="CZ83" s="153"/>
      <c r="DA83" s="153"/>
      <c r="DB83" s="151"/>
      <c r="DC83" s="151"/>
      <c r="DD83" s="151"/>
      <c r="DE83" s="151"/>
      <c r="DF83" s="151"/>
      <c r="DG83" s="151"/>
      <c r="DH83" s="151"/>
      <c r="DI83" s="151"/>
      <c r="DJ83" s="151"/>
      <c r="DK83" s="153"/>
      <c r="DL83" s="153"/>
      <c r="DM83" s="153"/>
      <c r="DN83" s="153"/>
      <c r="DO83" s="153"/>
      <c r="DP83" s="153"/>
      <c r="DQ83" s="151"/>
      <c r="DR83" s="151"/>
      <c r="DS83" s="151"/>
    </row>
    <row r="84" ht="31.5" spans="1:123">
      <c r="A84" s="132"/>
      <c r="B84" s="132"/>
      <c r="C84" s="148" t="s">
        <v>168</v>
      </c>
      <c r="D84" s="151"/>
      <c r="E84" s="151"/>
      <c r="F84" s="151"/>
      <c r="G84" s="151"/>
      <c r="H84" s="151"/>
      <c r="I84" s="151"/>
      <c r="J84" s="151">
        <v>4500</v>
      </c>
      <c r="K84" s="151"/>
      <c r="L84" s="151">
        <v>4500</v>
      </c>
      <c r="M84" s="151">
        <v>4500</v>
      </c>
      <c r="N84" s="151"/>
      <c r="O84" s="151">
        <v>4500</v>
      </c>
      <c r="P84" s="151"/>
      <c r="Q84" s="151"/>
      <c r="R84" s="151"/>
      <c r="S84" s="151"/>
      <c r="T84" s="151"/>
      <c r="U84" s="151"/>
      <c r="V84" s="151">
        <v>450</v>
      </c>
      <c r="W84" s="151"/>
      <c r="X84" s="151">
        <v>450</v>
      </c>
      <c r="Y84" s="151">
        <v>450</v>
      </c>
      <c r="Z84" s="151"/>
      <c r="AA84" s="151">
        <v>450</v>
      </c>
      <c r="AB84" s="151"/>
      <c r="AC84" s="151"/>
      <c r="AD84" s="151"/>
      <c r="AE84" s="151"/>
      <c r="AF84" s="151"/>
      <c r="AG84" s="151"/>
      <c r="AH84" s="151">
        <v>550</v>
      </c>
      <c r="AI84" s="151"/>
      <c r="AJ84" s="151">
        <v>550</v>
      </c>
      <c r="AK84" s="151">
        <v>550</v>
      </c>
      <c r="AL84" s="151"/>
      <c r="AM84" s="151">
        <v>550</v>
      </c>
      <c r="AN84" s="151"/>
      <c r="AO84" s="151"/>
      <c r="AP84" s="151"/>
      <c r="AQ84" s="151"/>
      <c r="AR84" s="151"/>
      <c r="AS84" s="151"/>
      <c r="AT84" s="151"/>
      <c r="AU84" s="151"/>
      <c r="AV84" s="151"/>
      <c r="AW84" s="151"/>
      <c r="AX84" s="151"/>
      <c r="AY84" s="151"/>
      <c r="AZ84" s="153">
        <v>5500</v>
      </c>
      <c r="BA84" s="153"/>
      <c r="BB84" s="153">
        <v>5500</v>
      </c>
      <c r="BC84" s="153">
        <v>5500</v>
      </c>
      <c r="BD84" s="153"/>
      <c r="BE84" s="153">
        <v>5500</v>
      </c>
      <c r="BF84" s="151"/>
      <c r="BG84" s="151"/>
      <c r="BH84" s="151"/>
      <c r="BI84" s="151"/>
      <c r="BJ84" s="151"/>
      <c r="BK84" s="151"/>
      <c r="BL84" s="153"/>
      <c r="BM84" s="153"/>
      <c r="BN84" s="153"/>
      <c r="BO84" s="151">
        <v>4500</v>
      </c>
      <c r="BP84" s="151"/>
      <c r="BQ84" s="151">
        <v>4500</v>
      </c>
      <c r="BR84" s="151"/>
      <c r="BS84" s="151"/>
      <c r="BT84" s="151"/>
      <c r="BU84" s="151"/>
      <c r="BV84" s="151"/>
      <c r="BW84" s="151"/>
      <c r="BX84" s="153">
        <v>4500</v>
      </c>
      <c r="BY84" s="153"/>
      <c r="BZ84" s="153">
        <v>4500</v>
      </c>
      <c r="CA84" s="151">
        <v>450</v>
      </c>
      <c r="CB84" s="151"/>
      <c r="CC84" s="151">
        <v>450</v>
      </c>
      <c r="CD84" s="151"/>
      <c r="CE84" s="151"/>
      <c r="CF84" s="151"/>
      <c r="CG84" s="151"/>
      <c r="CH84" s="151"/>
      <c r="CI84" s="151"/>
      <c r="CJ84" s="153">
        <v>450</v>
      </c>
      <c r="CK84" s="153"/>
      <c r="CL84" s="153">
        <v>450</v>
      </c>
      <c r="CM84" s="151">
        <v>550</v>
      </c>
      <c r="CN84" s="151"/>
      <c r="CO84" s="151">
        <v>550</v>
      </c>
      <c r="CP84" s="151"/>
      <c r="CQ84" s="151"/>
      <c r="CR84" s="151"/>
      <c r="CS84" s="151"/>
      <c r="CT84" s="151"/>
      <c r="CU84" s="151"/>
      <c r="CV84" s="153">
        <v>550</v>
      </c>
      <c r="CW84" s="153"/>
      <c r="CX84" s="153">
        <v>550</v>
      </c>
      <c r="CY84" s="153">
        <v>5500</v>
      </c>
      <c r="CZ84" s="153"/>
      <c r="DA84" s="153">
        <v>5500</v>
      </c>
      <c r="DB84" s="151"/>
      <c r="DC84" s="151"/>
      <c r="DD84" s="151"/>
      <c r="DE84" s="151"/>
      <c r="DF84" s="151"/>
      <c r="DG84" s="151"/>
      <c r="DH84" s="151"/>
      <c r="DI84" s="151"/>
      <c r="DJ84" s="151"/>
      <c r="DK84" s="153"/>
      <c r="DL84" s="153"/>
      <c r="DM84" s="153"/>
      <c r="DN84" s="153"/>
      <c r="DO84" s="153"/>
      <c r="DP84" s="153"/>
      <c r="DQ84" s="151">
        <v>5500</v>
      </c>
      <c r="DR84" s="151"/>
      <c r="DS84" s="151">
        <v>5500</v>
      </c>
    </row>
    <row r="85" spans="1:123">
      <c r="A85" s="132" t="s">
        <v>169</v>
      </c>
      <c r="B85" s="132"/>
      <c r="C85" s="148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  <c r="AA85" s="151"/>
      <c r="AB85" s="151"/>
      <c r="AC85" s="151"/>
      <c r="AD85" s="151"/>
      <c r="AE85" s="151"/>
      <c r="AF85" s="151"/>
      <c r="AG85" s="151"/>
      <c r="AH85" s="151"/>
      <c r="AI85" s="151"/>
      <c r="AJ85" s="151"/>
      <c r="AK85" s="151"/>
      <c r="AL85" s="151"/>
      <c r="AM85" s="151"/>
      <c r="AN85" s="151"/>
      <c r="AO85" s="151"/>
      <c r="AP85" s="151"/>
      <c r="AQ85" s="151"/>
      <c r="AR85" s="151"/>
      <c r="AS85" s="151"/>
      <c r="AT85" s="151"/>
      <c r="AU85" s="151"/>
      <c r="AV85" s="151"/>
      <c r="AW85" s="151"/>
      <c r="AX85" s="151"/>
      <c r="AY85" s="151"/>
      <c r="AZ85" s="153"/>
      <c r="BA85" s="153"/>
      <c r="BB85" s="153"/>
      <c r="BC85" s="153"/>
      <c r="BD85" s="153"/>
      <c r="BE85" s="153"/>
      <c r="BF85" s="151"/>
      <c r="BG85" s="151"/>
      <c r="BH85" s="151"/>
      <c r="BI85" s="151"/>
      <c r="BJ85" s="151"/>
      <c r="BK85" s="151"/>
      <c r="BL85" s="153"/>
      <c r="BM85" s="153"/>
      <c r="BN85" s="153"/>
      <c r="BO85" s="151"/>
      <c r="BP85" s="151"/>
      <c r="BQ85" s="151"/>
      <c r="BR85" s="151"/>
      <c r="BS85" s="151"/>
      <c r="BT85" s="151"/>
      <c r="BU85" s="151"/>
      <c r="BV85" s="151"/>
      <c r="BW85" s="151"/>
      <c r="BX85" s="153"/>
      <c r="BY85" s="153"/>
      <c r="BZ85" s="153"/>
      <c r="CA85" s="151"/>
      <c r="CB85" s="151"/>
      <c r="CC85" s="151"/>
      <c r="CD85" s="151"/>
      <c r="CE85" s="151"/>
      <c r="CF85" s="151"/>
      <c r="CG85" s="151"/>
      <c r="CH85" s="151"/>
      <c r="CI85" s="151"/>
      <c r="CJ85" s="153"/>
      <c r="CK85" s="153"/>
      <c r="CL85" s="153"/>
      <c r="CM85" s="151"/>
      <c r="CN85" s="151"/>
      <c r="CO85" s="151"/>
      <c r="CP85" s="151"/>
      <c r="CQ85" s="151"/>
      <c r="CR85" s="151"/>
      <c r="CS85" s="151"/>
      <c r="CT85" s="151"/>
      <c r="CU85" s="151"/>
      <c r="CV85" s="153"/>
      <c r="CW85" s="153"/>
      <c r="CX85" s="153"/>
      <c r="CY85" s="153"/>
      <c r="CZ85" s="153"/>
      <c r="DA85" s="153"/>
      <c r="DB85" s="151"/>
      <c r="DC85" s="151"/>
      <c r="DD85" s="151"/>
      <c r="DE85" s="151"/>
      <c r="DF85" s="151"/>
      <c r="DG85" s="151"/>
      <c r="DH85" s="151"/>
      <c r="DI85" s="151"/>
      <c r="DJ85" s="151"/>
      <c r="DK85" s="153"/>
      <c r="DL85" s="153"/>
      <c r="DM85" s="153"/>
      <c r="DN85" s="153"/>
      <c r="DO85" s="153"/>
      <c r="DP85" s="153"/>
      <c r="DQ85" s="151"/>
      <c r="DR85" s="151"/>
      <c r="DS85" s="151"/>
    </row>
    <row r="86" spans="1:123">
      <c r="A86" s="132"/>
      <c r="B86" s="132" t="s">
        <v>363</v>
      </c>
      <c r="C86" s="148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  <c r="AA86" s="151"/>
      <c r="AB86" s="151"/>
      <c r="AC86" s="151"/>
      <c r="AD86" s="151"/>
      <c r="AE86" s="151"/>
      <c r="AF86" s="151"/>
      <c r="AG86" s="151"/>
      <c r="AH86" s="151"/>
      <c r="AI86" s="151"/>
      <c r="AJ86" s="151"/>
      <c r="AK86" s="151"/>
      <c r="AL86" s="151"/>
      <c r="AM86" s="151"/>
      <c r="AN86" s="151"/>
      <c r="AO86" s="151"/>
      <c r="AP86" s="151"/>
      <c r="AQ86" s="151"/>
      <c r="AR86" s="151"/>
      <c r="AS86" s="151"/>
      <c r="AT86" s="151"/>
      <c r="AU86" s="151"/>
      <c r="AV86" s="151"/>
      <c r="AW86" s="151"/>
      <c r="AX86" s="151"/>
      <c r="AY86" s="151"/>
      <c r="AZ86" s="153"/>
      <c r="BA86" s="153"/>
      <c r="BB86" s="153"/>
      <c r="BC86" s="153"/>
      <c r="BD86" s="153"/>
      <c r="BE86" s="153"/>
      <c r="BF86" s="151"/>
      <c r="BG86" s="151"/>
      <c r="BH86" s="151"/>
      <c r="BI86" s="151"/>
      <c r="BJ86" s="151"/>
      <c r="BK86" s="151"/>
      <c r="BL86" s="153"/>
      <c r="BM86" s="153"/>
      <c r="BN86" s="153"/>
      <c r="BO86" s="151"/>
      <c r="BP86" s="151"/>
      <c r="BQ86" s="151"/>
      <c r="BR86" s="151"/>
      <c r="BS86" s="151"/>
      <c r="BT86" s="151"/>
      <c r="BU86" s="151"/>
      <c r="BV86" s="151"/>
      <c r="BW86" s="151"/>
      <c r="BX86" s="153"/>
      <c r="BY86" s="153"/>
      <c r="BZ86" s="153"/>
      <c r="CA86" s="151"/>
      <c r="CB86" s="151"/>
      <c r="CC86" s="151"/>
      <c r="CD86" s="151"/>
      <c r="CE86" s="151"/>
      <c r="CF86" s="151"/>
      <c r="CG86" s="151"/>
      <c r="CH86" s="151"/>
      <c r="CI86" s="151"/>
      <c r="CJ86" s="153"/>
      <c r="CK86" s="153"/>
      <c r="CL86" s="153"/>
      <c r="CM86" s="151"/>
      <c r="CN86" s="151"/>
      <c r="CO86" s="151"/>
      <c r="CP86" s="151"/>
      <c r="CQ86" s="151"/>
      <c r="CR86" s="151"/>
      <c r="CS86" s="151"/>
      <c r="CT86" s="151"/>
      <c r="CU86" s="151"/>
      <c r="CV86" s="153"/>
      <c r="CW86" s="153"/>
      <c r="CX86" s="153"/>
      <c r="CY86" s="153"/>
      <c r="CZ86" s="153"/>
      <c r="DA86" s="153"/>
      <c r="DB86" s="151"/>
      <c r="DC86" s="151"/>
      <c r="DD86" s="151"/>
      <c r="DE86" s="151"/>
      <c r="DF86" s="151"/>
      <c r="DG86" s="151"/>
      <c r="DH86" s="151"/>
      <c r="DI86" s="151"/>
      <c r="DJ86" s="151"/>
      <c r="DK86" s="153"/>
      <c r="DL86" s="153"/>
      <c r="DM86" s="153"/>
      <c r="DN86" s="153"/>
      <c r="DO86" s="153"/>
      <c r="DP86" s="153"/>
      <c r="DQ86" s="151"/>
      <c r="DR86" s="151"/>
      <c r="DS86" s="151"/>
    </row>
    <row r="87" ht="31.5" spans="1:123">
      <c r="A87" s="132"/>
      <c r="B87" s="132"/>
      <c r="C87" s="148" t="s">
        <v>171</v>
      </c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>
        <v>36000</v>
      </c>
      <c r="X87" s="151">
        <v>36000</v>
      </c>
      <c r="Y87" s="151"/>
      <c r="Z87" s="151">
        <v>36000</v>
      </c>
      <c r="AA87" s="151">
        <v>36000</v>
      </c>
      <c r="AB87" s="151"/>
      <c r="AC87" s="151"/>
      <c r="AD87" s="151"/>
      <c r="AE87" s="151"/>
      <c r="AF87" s="151"/>
      <c r="AG87" s="151"/>
      <c r="AH87" s="151"/>
      <c r="AI87" s="151"/>
      <c r="AJ87" s="151"/>
      <c r="AK87" s="151"/>
      <c r="AL87" s="151"/>
      <c r="AM87" s="151"/>
      <c r="AN87" s="151"/>
      <c r="AO87" s="151"/>
      <c r="AP87" s="151"/>
      <c r="AQ87" s="151"/>
      <c r="AR87" s="151"/>
      <c r="AS87" s="151"/>
      <c r="AT87" s="151"/>
      <c r="AU87" s="151"/>
      <c r="AV87" s="151"/>
      <c r="AW87" s="151"/>
      <c r="AX87" s="151"/>
      <c r="AY87" s="151"/>
      <c r="AZ87" s="153"/>
      <c r="BA87" s="153">
        <v>36000</v>
      </c>
      <c r="BB87" s="153">
        <v>36000</v>
      </c>
      <c r="BC87" s="153"/>
      <c r="BD87" s="153">
        <v>36000</v>
      </c>
      <c r="BE87" s="153">
        <v>36000</v>
      </c>
      <c r="BF87" s="151"/>
      <c r="BG87" s="151"/>
      <c r="BH87" s="151"/>
      <c r="BI87" s="151"/>
      <c r="BJ87" s="151"/>
      <c r="BK87" s="151"/>
      <c r="BL87" s="153"/>
      <c r="BM87" s="153"/>
      <c r="BN87" s="153"/>
      <c r="BO87" s="151"/>
      <c r="BP87" s="151"/>
      <c r="BQ87" s="151"/>
      <c r="BR87" s="151"/>
      <c r="BS87" s="151"/>
      <c r="BT87" s="151"/>
      <c r="BU87" s="151"/>
      <c r="BV87" s="151"/>
      <c r="BW87" s="151"/>
      <c r="BX87" s="153"/>
      <c r="BY87" s="153"/>
      <c r="BZ87" s="153"/>
      <c r="CA87" s="151"/>
      <c r="CB87" s="151"/>
      <c r="CC87" s="151"/>
      <c r="CD87" s="151"/>
      <c r="CE87" s="151"/>
      <c r="CF87" s="151"/>
      <c r="CG87" s="151"/>
      <c r="CH87" s="151"/>
      <c r="CI87" s="151"/>
      <c r="CJ87" s="153"/>
      <c r="CK87" s="153"/>
      <c r="CL87" s="153"/>
      <c r="CM87" s="151"/>
      <c r="CN87" s="151">
        <v>36000</v>
      </c>
      <c r="CO87" s="151">
        <v>36000</v>
      </c>
      <c r="CP87" s="151"/>
      <c r="CQ87" s="151"/>
      <c r="CR87" s="151"/>
      <c r="CS87" s="151"/>
      <c r="CT87" s="151"/>
      <c r="CU87" s="151"/>
      <c r="CV87" s="153"/>
      <c r="CW87" s="153">
        <v>36000</v>
      </c>
      <c r="CX87" s="153">
        <v>36000</v>
      </c>
      <c r="CY87" s="153"/>
      <c r="CZ87" s="153">
        <v>36000</v>
      </c>
      <c r="DA87" s="153">
        <v>36000</v>
      </c>
      <c r="DB87" s="151"/>
      <c r="DC87" s="151"/>
      <c r="DD87" s="151"/>
      <c r="DE87" s="151"/>
      <c r="DF87" s="151"/>
      <c r="DG87" s="151"/>
      <c r="DH87" s="151"/>
      <c r="DI87" s="151"/>
      <c r="DJ87" s="151"/>
      <c r="DK87" s="153"/>
      <c r="DL87" s="153"/>
      <c r="DM87" s="153"/>
      <c r="DN87" s="153"/>
      <c r="DO87" s="153"/>
      <c r="DP87" s="153"/>
      <c r="DQ87" s="151"/>
      <c r="DR87" s="151">
        <v>36000</v>
      </c>
      <c r="DS87" s="151">
        <v>36000</v>
      </c>
    </row>
    <row r="88" ht="31.5" spans="1:123">
      <c r="A88" s="132"/>
      <c r="B88" s="132"/>
      <c r="C88" s="148" t="s">
        <v>173</v>
      </c>
      <c r="D88" s="151"/>
      <c r="E88" s="151"/>
      <c r="F88" s="151"/>
      <c r="G88" s="151"/>
      <c r="H88" s="151"/>
      <c r="I88" s="151"/>
      <c r="J88" s="151"/>
      <c r="K88" s="151">
        <v>2400</v>
      </c>
      <c r="L88" s="151">
        <v>2400</v>
      </c>
      <c r="M88" s="151"/>
      <c r="N88" s="151">
        <v>2400</v>
      </c>
      <c r="O88" s="151">
        <v>2400</v>
      </c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  <c r="AA88" s="151"/>
      <c r="AB88" s="151"/>
      <c r="AC88" s="151"/>
      <c r="AD88" s="151"/>
      <c r="AE88" s="151"/>
      <c r="AF88" s="151"/>
      <c r="AG88" s="151"/>
      <c r="AH88" s="151"/>
      <c r="AI88" s="151"/>
      <c r="AJ88" s="151"/>
      <c r="AK88" s="151"/>
      <c r="AL88" s="151"/>
      <c r="AM88" s="151"/>
      <c r="AN88" s="151"/>
      <c r="AO88" s="151"/>
      <c r="AP88" s="151"/>
      <c r="AQ88" s="151"/>
      <c r="AR88" s="151"/>
      <c r="AS88" s="151"/>
      <c r="AT88" s="151"/>
      <c r="AU88" s="151"/>
      <c r="AV88" s="151"/>
      <c r="AW88" s="151"/>
      <c r="AX88" s="151"/>
      <c r="AY88" s="151"/>
      <c r="AZ88" s="153"/>
      <c r="BA88" s="153">
        <v>2400</v>
      </c>
      <c r="BB88" s="153">
        <v>2400</v>
      </c>
      <c r="BC88" s="153"/>
      <c r="BD88" s="153">
        <v>2400</v>
      </c>
      <c r="BE88" s="153">
        <v>2400</v>
      </c>
      <c r="BF88" s="151"/>
      <c r="BG88" s="151"/>
      <c r="BH88" s="151"/>
      <c r="BI88" s="151"/>
      <c r="BJ88" s="151"/>
      <c r="BK88" s="151"/>
      <c r="BL88" s="153"/>
      <c r="BM88" s="153"/>
      <c r="BN88" s="153"/>
      <c r="BO88" s="151"/>
      <c r="BP88" s="151"/>
      <c r="BQ88" s="151"/>
      <c r="BR88" s="151"/>
      <c r="BS88" s="151"/>
      <c r="BT88" s="151"/>
      <c r="BU88" s="151"/>
      <c r="BV88" s="151"/>
      <c r="BW88" s="151"/>
      <c r="BX88" s="153"/>
      <c r="BY88" s="153"/>
      <c r="BZ88" s="153"/>
      <c r="CA88" s="151"/>
      <c r="CB88" s="151"/>
      <c r="CC88" s="151"/>
      <c r="CD88" s="151"/>
      <c r="CE88" s="151"/>
      <c r="CF88" s="151"/>
      <c r="CG88" s="151"/>
      <c r="CH88" s="151">
        <v>2400</v>
      </c>
      <c r="CI88" s="151">
        <v>2400</v>
      </c>
      <c r="CJ88" s="153"/>
      <c r="CK88" s="153">
        <v>2400</v>
      </c>
      <c r="CL88" s="153">
        <v>2400</v>
      </c>
      <c r="CM88" s="151"/>
      <c r="CN88" s="151"/>
      <c r="CO88" s="151"/>
      <c r="CP88" s="151"/>
      <c r="CQ88" s="151"/>
      <c r="CR88" s="151"/>
      <c r="CS88" s="151"/>
      <c r="CT88" s="151"/>
      <c r="CU88" s="151"/>
      <c r="CV88" s="153"/>
      <c r="CW88" s="153"/>
      <c r="CX88" s="153"/>
      <c r="CY88" s="153"/>
      <c r="CZ88" s="153">
        <v>2400</v>
      </c>
      <c r="DA88" s="153">
        <v>2400</v>
      </c>
      <c r="DB88" s="151"/>
      <c r="DC88" s="151"/>
      <c r="DD88" s="151"/>
      <c r="DE88" s="151"/>
      <c r="DF88" s="151"/>
      <c r="DG88" s="151"/>
      <c r="DH88" s="151"/>
      <c r="DI88" s="151"/>
      <c r="DJ88" s="151"/>
      <c r="DK88" s="153"/>
      <c r="DL88" s="153"/>
      <c r="DM88" s="153"/>
      <c r="DN88" s="153"/>
      <c r="DO88" s="153"/>
      <c r="DP88" s="153"/>
      <c r="DQ88" s="151"/>
      <c r="DR88" s="151">
        <v>2400</v>
      </c>
      <c r="DS88" s="151">
        <v>2400</v>
      </c>
    </row>
    <row r="89" ht="31.5" spans="1:123">
      <c r="A89" s="132"/>
      <c r="B89" s="132"/>
      <c r="C89" s="148" t="s">
        <v>175</v>
      </c>
      <c r="D89" s="151"/>
      <c r="E89" s="151"/>
      <c r="F89" s="151"/>
      <c r="G89" s="151"/>
      <c r="H89" s="151"/>
      <c r="I89" s="151"/>
      <c r="J89" s="151"/>
      <c r="K89" s="151">
        <v>2000</v>
      </c>
      <c r="L89" s="151">
        <v>2000</v>
      </c>
      <c r="M89" s="151"/>
      <c r="N89" s="151">
        <v>2000</v>
      </c>
      <c r="O89" s="151">
        <v>2000</v>
      </c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  <c r="AC89" s="151"/>
      <c r="AD89" s="151"/>
      <c r="AE89" s="151"/>
      <c r="AF89" s="151"/>
      <c r="AG89" s="151"/>
      <c r="AH89" s="151"/>
      <c r="AI89" s="151"/>
      <c r="AJ89" s="151"/>
      <c r="AK89" s="151"/>
      <c r="AL89" s="151"/>
      <c r="AM89" s="151"/>
      <c r="AN89" s="151"/>
      <c r="AO89" s="151"/>
      <c r="AP89" s="151"/>
      <c r="AQ89" s="151"/>
      <c r="AR89" s="151"/>
      <c r="AS89" s="151"/>
      <c r="AT89" s="151"/>
      <c r="AU89" s="151"/>
      <c r="AV89" s="151"/>
      <c r="AW89" s="151"/>
      <c r="AX89" s="151"/>
      <c r="AY89" s="151"/>
      <c r="AZ89" s="153"/>
      <c r="BA89" s="153">
        <v>2000</v>
      </c>
      <c r="BB89" s="153">
        <v>2000</v>
      </c>
      <c r="BC89" s="153"/>
      <c r="BD89" s="153">
        <v>2000</v>
      </c>
      <c r="BE89" s="153">
        <v>2000</v>
      </c>
      <c r="BF89" s="151"/>
      <c r="BG89" s="151"/>
      <c r="BH89" s="151"/>
      <c r="BI89" s="151"/>
      <c r="BJ89" s="151"/>
      <c r="BK89" s="151"/>
      <c r="BL89" s="153"/>
      <c r="BM89" s="153"/>
      <c r="BN89" s="153"/>
      <c r="BO89" s="151"/>
      <c r="BP89" s="151"/>
      <c r="BQ89" s="151"/>
      <c r="BR89" s="151"/>
      <c r="BS89" s="151"/>
      <c r="BT89" s="151"/>
      <c r="BU89" s="151"/>
      <c r="BV89" s="151"/>
      <c r="BW89" s="151"/>
      <c r="BX89" s="153"/>
      <c r="BY89" s="153"/>
      <c r="BZ89" s="153"/>
      <c r="CA89" s="151"/>
      <c r="CB89" s="151"/>
      <c r="CC89" s="151"/>
      <c r="CD89" s="151"/>
      <c r="CE89" s="151"/>
      <c r="CF89" s="151"/>
      <c r="CG89" s="151"/>
      <c r="CH89" s="151">
        <v>2000</v>
      </c>
      <c r="CI89" s="151">
        <v>2000</v>
      </c>
      <c r="CJ89" s="153"/>
      <c r="CK89" s="153">
        <v>2000</v>
      </c>
      <c r="CL89" s="153">
        <v>2000</v>
      </c>
      <c r="CM89" s="151"/>
      <c r="CN89" s="151"/>
      <c r="CO89" s="151"/>
      <c r="CP89" s="151"/>
      <c r="CQ89" s="151"/>
      <c r="CR89" s="151"/>
      <c r="CS89" s="151"/>
      <c r="CT89" s="151"/>
      <c r="CU89" s="151"/>
      <c r="CV89" s="153"/>
      <c r="CW89" s="153"/>
      <c r="CX89" s="153"/>
      <c r="CY89" s="153"/>
      <c r="CZ89" s="153">
        <v>2000</v>
      </c>
      <c r="DA89" s="153">
        <v>2000</v>
      </c>
      <c r="DB89" s="151"/>
      <c r="DC89" s="151"/>
      <c r="DD89" s="151"/>
      <c r="DE89" s="151"/>
      <c r="DF89" s="151"/>
      <c r="DG89" s="151"/>
      <c r="DH89" s="151"/>
      <c r="DI89" s="151"/>
      <c r="DJ89" s="151"/>
      <c r="DK89" s="153"/>
      <c r="DL89" s="153"/>
      <c r="DM89" s="153"/>
      <c r="DN89" s="153"/>
      <c r="DO89" s="153"/>
      <c r="DP89" s="153"/>
      <c r="DQ89" s="151"/>
      <c r="DR89" s="151">
        <v>2000</v>
      </c>
      <c r="DS89" s="151">
        <v>2000</v>
      </c>
    </row>
    <row r="90" ht="31.5" spans="1:123">
      <c r="A90" s="132"/>
      <c r="B90" s="132"/>
      <c r="C90" s="148" t="s">
        <v>179</v>
      </c>
      <c r="D90" s="151"/>
      <c r="E90" s="151"/>
      <c r="F90" s="151"/>
      <c r="G90" s="151"/>
      <c r="H90" s="151"/>
      <c r="I90" s="151"/>
      <c r="J90" s="151"/>
      <c r="K90" s="151">
        <v>1800</v>
      </c>
      <c r="L90" s="151">
        <v>1800</v>
      </c>
      <c r="M90" s="151"/>
      <c r="N90" s="151">
        <v>1800</v>
      </c>
      <c r="O90" s="151">
        <v>1800</v>
      </c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  <c r="AA90" s="151"/>
      <c r="AB90" s="151"/>
      <c r="AC90" s="151"/>
      <c r="AD90" s="151"/>
      <c r="AE90" s="151"/>
      <c r="AF90" s="151"/>
      <c r="AG90" s="151"/>
      <c r="AH90" s="151"/>
      <c r="AI90" s="151"/>
      <c r="AJ90" s="151"/>
      <c r="AK90" s="151"/>
      <c r="AL90" s="151"/>
      <c r="AM90" s="151"/>
      <c r="AN90" s="151"/>
      <c r="AO90" s="151"/>
      <c r="AP90" s="151"/>
      <c r="AQ90" s="151"/>
      <c r="AR90" s="151"/>
      <c r="AS90" s="151"/>
      <c r="AT90" s="151"/>
      <c r="AU90" s="151"/>
      <c r="AV90" s="151"/>
      <c r="AW90" s="151"/>
      <c r="AX90" s="151"/>
      <c r="AY90" s="151"/>
      <c r="AZ90" s="153"/>
      <c r="BA90" s="153">
        <v>1800</v>
      </c>
      <c r="BB90" s="153">
        <v>1800</v>
      </c>
      <c r="BC90" s="153"/>
      <c r="BD90" s="153">
        <v>1800</v>
      </c>
      <c r="BE90" s="153">
        <v>1800</v>
      </c>
      <c r="BF90" s="151"/>
      <c r="BG90" s="151"/>
      <c r="BH90" s="151"/>
      <c r="BI90" s="151"/>
      <c r="BJ90" s="151"/>
      <c r="BK90" s="151"/>
      <c r="BL90" s="153"/>
      <c r="BM90" s="153"/>
      <c r="BN90" s="153"/>
      <c r="BO90" s="151"/>
      <c r="BP90" s="151"/>
      <c r="BQ90" s="151"/>
      <c r="BR90" s="151"/>
      <c r="BS90" s="151"/>
      <c r="BT90" s="151"/>
      <c r="BU90" s="151"/>
      <c r="BV90" s="151"/>
      <c r="BW90" s="151"/>
      <c r="BX90" s="153"/>
      <c r="BY90" s="153"/>
      <c r="BZ90" s="153"/>
      <c r="CA90" s="151"/>
      <c r="CB90" s="151"/>
      <c r="CC90" s="151"/>
      <c r="CD90" s="151"/>
      <c r="CE90" s="151"/>
      <c r="CF90" s="151"/>
      <c r="CG90" s="151"/>
      <c r="CH90" s="151">
        <v>1800</v>
      </c>
      <c r="CI90" s="151">
        <v>1800</v>
      </c>
      <c r="CJ90" s="153"/>
      <c r="CK90" s="153">
        <v>1800</v>
      </c>
      <c r="CL90" s="153">
        <v>1800</v>
      </c>
      <c r="CM90" s="151"/>
      <c r="CN90" s="151"/>
      <c r="CO90" s="151"/>
      <c r="CP90" s="151"/>
      <c r="CQ90" s="151"/>
      <c r="CR90" s="151"/>
      <c r="CS90" s="151"/>
      <c r="CT90" s="151"/>
      <c r="CU90" s="151"/>
      <c r="CV90" s="153"/>
      <c r="CW90" s="153"/>
      <c r="CX90" s="153"/>
      <c r="CY90" s="153"/>
      <c r="CZ90" s="153">
        <v>1800</v>
      </c>
      <c r="DA90" s="153">
        <v>1800</v>
      </c>
      <c r="DB90" s="151"/>
      <c r="DC90" s="151"/>
      <c r="DD90" s="151"/>
      <c r="DE90" s="151"/>
      <c r="DF90" s="151"/>
      <c r="DG90" s="151"/>
      <c r="DH90" s="151"/>
      <c r="DI90" s="151"/>
      <c r="DJ90" s="151"/>
      <c r="DK90" s="153"/>
      <c r="DL90" s="153"/>
      <c r="DM90" s="153"/>
      <c r="DN90" s="153"/>
      <c r="DO90" s="153"/>
      <c r="DP90" s="153"/>
      <c r="DQ90" s="151"/>
      <c r="DR90" s="151">
        <v>1800</v>
      </c>
      <c r="DS90" s="151">
        <v>1800</v>
      </c>
    </row>
    <row r="91" ht="31.5" spans="1:123">
      <c r="A91" s="132"/>
      <c r="B91" s="132"/>
      <c r="C91" s="148" t="s">
        <v>177</v>
      </c>
      <c r="D91" s="151"/>
      <c r="E91" s="151"/>
      <c r="F91" s="151"/>
      <c r="G91" s="151"/>
      <c r="H91" s="151"/>
      <c r="I91" s="151"/>
      <c r="J91" s="151"/>
      <c r="K91" s="151">
        <v>15000</v>
      </c>
      <c r="L91" s="151">
        <v>15000</v>
      </c>
      <c r="M91" s="151"/>
      <c r="N91" s="151">
        <v>15000</v>
      </c>
      <c r="O91" s="151">
        <v>15000</v>
      </c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  <c r="AB91" s="151"/>
      <c r="AC91" s="151"/>
      <c r="AD91" s="151"/>
      <c r="AE91" s="151"/>
      <c r="AF91" s="151"/>
      <c r="AG91" s="151"/>
      <c r="AH91" s="151"/>
      <c r="AI91" s="151"/>
      <c r="AJ91" s="151"/>
      <c r="AK91" s="151"/>
      <c r="AL91" s="151"/>
      <c r="AM91" s="151"/>
      <c r="AN91" s="151"/>
      <c r="AO91" s="151"/>
      <c r="AP91" s="151"/>
      <c r="AQ91" s="151"/>
      <c r="AR91" s="151"/>
      <c r="AS91" s="151"/>
      <c r="AT91" s="151"/>
      <c r="AU91" s="151"/>
      <c r="AV91" s="151"/>
      <c r="AW91" s="151"/>
      <c r="AX91" s="151"/>
      <c r="AY91" s="151"/>
      <c r="AZ91" s="153"/>
      <c r="BA91" s="153">
        <v>15000</v>
      </c>
      <c r="BB91" s="153">
        <v>15000</v>
      </c>
      <c r="BC91" s="153"/>
      <c r="BD91" s="153">
        <v>15000</v>
      </c>
      <c r="BE91" s="153">
        <v>15000</v>
      </c>
      <c r="BF91" s="151"/>
      <c r="BG91" s="151"/>
      <c r="BH91" s="151"/>
      <c r="BI91" s="151"/>
      <c r="BJ91" s="151"/>
      <c r="BK91" s="151"/>
      <c r="BL91" s="153"/>
      <c r="BM91" s="153"/>
      <c r="BN91" s="153"/>
      <c r="BO91" s="151"/>
      <c r="BP91" s="151"/>
      <c r="BQ91" s="151"/>
      <c r="BR91" s="151"/>
      <c r="BS91" s="151"/>
      <c r="BT91" s="151"/>
      <c r="BU91" s="151"/>
      <c r="BV91" s="151"/>
      <c r="BW91" s="151"/>
      <c r="BX91" s="153"/>
      <c r="BY91" s="153"/>
      <c r="BZ91" s="153"/>
      <c r="CA91" s="151"/>
      <c r="CB91" s="151"/>
      <c r="CC91" s="151"/>
      <c r="CD91" s="151"/>
      <c r="CE91" s="151"/>
      <c r="CF91" s="151"/>
      <c r="CG91" s="151"/>
      <c r="CH91" s="151">
        <v>15000</v>
      </c>
      <c r="CI91" s="151">
        <v>15000</v>
      </c>
      <c r="CJ91" s="153"/>
      <c r="CK91" s="153">
        <v>15000</v>
      </c>
      <c r="CL91" s="153">
        <v>15000</v>
      </c>
      <c r="CM91" s="151"/>
      <c r="CN91" s="151"/>
      <c r="CO91" s="151"/>
      <c r="CP91" s="151"/>
      <c r="CQ91" s="151"/>
      <c r="CR91" s="151"/>
      <c r="CS91" s="151"/>
      <c r="CT91" s="151"/>
      <c r="CU91" s="151"/>
      <c r="CV91" s="153"/>
      <c r="CW91" s="153"/>
      <c r="CX91" s="153"/>
      <c r="CY91" s="153"/>
      <c r="CZ91" s="153">
        <v>15000</v>
      </c>
      <c r="DA91" s="153">
        <v>15000</v>
      </c>
      <c r="DB91" s="151"/>
      <c r="DC91" s="151"/>
      <c r="DD91" s="151"/>
      <c r="DE91" s="151"/>
      <c r="DF91" s="151"/>
      <c r="DG91" s="151"/>
      <c r="DH91" s="151"/>
      <c r="DI91" s="151"/>
      <c r="DJ91" s="151"/>
      <c r="DK91" s="153"/>
      <c r="DL91" s="153"/>
      <c r="DM91" s="153"/>
      <c r="DN91" s="153"/>
      <c r="DO91" s="153"/>
      <c r="DP91" s="153"/>
      <c r="DQ91" s="151"/>
      <c r="DR91" s="151">
        <v>15000</v>
      </c>
      <c r="DS91" s="151">
        <v>15000</v>
      </c>
    </row>
    <row r="92" ht="31.5" spans="1:123">
      <c r="A92" s="132"/>
      <c r="B92" s="132"/>
      <c r="C92" s="148" t="s">
        <v>181</v>
      </c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>
        <v>21000</v>
      </c>
      <c r="X92" s="151">
        <v>21000</v>
      </c>
      <c r="Y92" s="151"/>
      <c r="Z92" s="151">
        <v>21000</v>
      </c>
      <c r="AA92" s="151">
        <v>21000</v>
      </c>
      <c r="AB92" s="151"/>
      <c r="AC92" s="151"/>
      <c r="AD92" s="151"/>
      <c r="AE92" s="151"/>
      <c r="AF92" s="151"/>
      <c r="AG92" s="151"/>
      <c r="AH92" s="151"/>
      <c r="AI92" s="151"/>
      <c r="AJ92" s="151"/>
      <c r="AK92" s="151"/>
      <c r="AL92" s="151"/>
      <c r="AM92" s="151"/>
      <c r="AN92" s="151"/>
      <c r="AO92" s="151"/>
      <c r="AP92" s="151"/>
      <c r="AQ92" s="151"/>
      <c r="AR92" s="151"/>
      <c r="AS92" s="151"/>
      <c r="AT92" s="151"/>
      <c r="AU92" s="151"/>
      <c r="AV92" s="151"/>
      <c r="AW92" s="151"/>
      <c r="AX92" s="151"/>
      <c r="AY92" s="151"/>
      <c r="AZ92" s="153"/>
      <c r="BA92" s="153">
        <v>21000</v>
      </c>
      <c r="BB92" s="153">
        <v>21000</v>
      </c>
      <c r="BC92" s="153"/>
      <c r="BD92" s="153">
        <v>21000</v>
      </c>
      <c r="BE92" s="153">
        <v>21000</v>
      </c>
      <c r="BF92" s="151"/>
      <c r="BG92" s="151"/>
      <c r="BH92" s="151"/>
      <c r="BI92" s="151"/>
      <c r="BJ92" s="151"/>
      <c r="BK92" s="151"/>
      <c r="BL92" s="153"/>
      <c r="BM92" s="153"/>
      <c r="BN92" s="153"/>
      <c r="BO92" s="151"/>
      <c r="BP92" s="151"/>
      <c r="BQ92" s="151"/>
      <c r="BR92" s="151"/>
      <c r="BS92" s="151"/>
      <c r="BT92" s="151"/>
      <c r="BU92" s="151"/>
      <c r="BV92" s="151"/>
      <c r="BW92" s="151"/>
      <c r="BX92" s="153"/>
      <c r="BY92" s="153"/>
      <c r="BZ92" s="153"/>
      <c r="CA92" s="151"/>
      <c r="CB92" s="151"/>
      <c r="CC92" s="151"/>
      <c r="CD92" s="151"/>
      <c r="CE92" s="151"/>
      <c r="CF92" s="151"/>
      <c r="CG92" s="151"/>
      <c r="CH92" s="151"/>
      <c r="CI92" s="151"/>
      <c r="CJ92" s="153"/>
      <c r="CK92" s="153"/>
      <c r="CL92" s="153"/>
      <c r="CM92" s="151"/>
      <c r="CN92" s="151">
        <v>21000</v>
      </c>
      <c r="CO92" s="151">
        <v>21000</v>
      </c>
      <c r="CP92" s="151"/>
      <c r="CQ92" s="151"/>
      <c r="CR92" s="151"/>
      <c r="CS92" s="151"/>
      <c r="CT92" s="151"/>
      <c r="CU92" s="151"/>
      <c r="CV92" s="153"/>
      <c r="CW92" s="153">
        <v>21000</v>
      </c>
      <c r="CX92" s="153">
        <v>21000</v>
      </c>
      <c r="CY92" s="153"/>
      <c r="CZ92" s="153">
        <v>21000</v>
      </c>
      <c r="DA92" s="153">
        <v>21000</v>
      </c>
      <c r="DB92" s="151"/>
      <c r="DC92" s="151"/>
      <c r="DD92" s="151"/>
      <c r="DE92" s="151"/>
      <c r="DF92" s="151"/>
      <c r="DG92" s="151"/>
      <c r="DH92" s="151"/>
      <c r="DI92" s="151"/>
      <c r="DJ92" s="151"/>
      <c r="DK92" s="153"/>
      <c r="DL92" s="153"/>
      <c r="DM92" s="153"/>
      <c r="DN92" s="153"/>
      <c r="DO92" s="153"/>
      <c r="DP92" s="153"/>
      <c r="DQ92" s="151"/>
      <c r="DR92" s="151">
        <v>21000</v>
      </c>
      <c r="DS92" s="151">
        <v>21000</v>
      </c>
    </row>
    <row r="93" spans="1:123">
      <c r="A93" s="132"/>
      <c r="B93" s="132" t="s">
        <v>364</v>
      </c>
      <c r="C93" s="148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  <c r="AA93" s="151"/>
      <c r="AB93" s="151"/>
      <c r="AC93" s="151"/>
      <c r="AD93" s="151"/>
      <c r="AE93" s="151"/>
      <c r="AF93" s="151"/>
      <c r="AG93" s="151"/>
      <c r="AH93" s="151"/>
      <c r="AI93" s="151"/>
      <c r="AJ93" s="151"/>
      <c r="AK93" s="151"/>
      <c r="AL93" s="151"/>
      <c r="AM93" s="151"/>
      <c r="AN93" s="151"/>
      <c r="AO93" s="151"/>
      <c r="AP93" s="151"/>
      <c r="AQ93" s="151"/>
      <c r="AR93" s="151"/>
      <c r="AS93" s="151"/>
      <c r="AT93" s="151"/>
      <c r="AU93" s="151"/>
      <c r="AV93" s="151"/>
      <c r="AW93" s="151"/>
      <c r="AX93" s="151"/>
      <c r="AY93" s="151"/>
      <c r="AZ93" s="153"/>
      <c r="BA93" s="153"/>
      <c r="BB93" s="153"/>
      <c r="BC93" s="153"/>
      <c r="BD93" s="153"/>
      <c r="BE93" s="153"/>
      <c r="BF93" s="151"/>
      <c r="BG93" s="151"/>
      <c r="BH93" s="151"/>
      <c r="BI93" s="151"/>
      <c r="BJ93" s="151"/>
      <c r="BK93" s="151"/>
      <c r="BL93" s="153"/>
      <c r="BM93" s="153"/>
      <c r="BN93" s="153"/>
      <c r="BO93" s="151"/>
      <c r="BP93" s="151"/>
      <c r="BQ93" s="151"/>
      <c r="BR93" s="151"/>
      <c r="BS93" s="151"/>
      <c r="BT93" s="151"/>
      <c r="BU93" s="151"/>
      <c r="BV93" s="151"/>
      <c r="BW93" s="151"/>
      <c r="BX93" s="153"/>
      <c r="BY93" s="153"/>
      <c r="BZ93" s="153"/>
      <c r="CA93" s="151"/>
      <c r="CB93" s="151"/>
      <c r="CC93" s="151"/>
      <c r="CD93" s="151"/>
      <c r="CE93" s="151"/>
      <c r="CF93" s="151"/>
      <c r="CG93" s="151"/>
      <c r="CH93" s="151"/>
      <c r="CI93" s="151"/>
      <c r="CJ93" s="153"/>
      <c r="CK93" s="153"/>
      <c r="CL93" s="153"/>
      <c r="CM93" s="151"/>
      <c r="CN93" s="151"/>
      <c r="CO93" s="151"/>
      <c r="CP93" s="151"/>
      <c r="CQ93" s="151"/>
      <c r="CR93" s="151"/>
      <c r="CS93" s="151"/>
      <c r="CT93" s="151"/>
      <c r="CU93" s="151"/>
      <c r="CV93" s="153"/>
      <c r="CW93" s="153"/>
      <c r="CX93" s="153"/>
      <c r="CY93" s="153"/>
      <c r="CZ93" s="153"/>
      <c r="DA93" s="153"/>
      <c r="DB93" s="151"/>
      <c r="DC93" s="151"/>
      <c r="DD93" s="151"/>
      <c r="DE93" s="151"/>
      <c r="DF93" s="151"/>
      <c r="DG93" s="151"/>
      <c r="DH93" s="151"/>
      <c r="DI93" s="151"/>
      <c r="DJ93" s="151"/>
      <c r="DK93" s="153"/>
      <c r="DL93" s="153"/>
      <c r="DM93" s="153"/>
      <c r="DN93" s="153"/>
      <c r="DO93" s="153"/>
      <c r="DP93" s="153"/>
      <c r="DQ93" s="151"/>
      <c r="DR93" s="151"/>
      <c r="DS93" s="151"/>
    </row>
    <row r="94" ht="47.25" spans="1:123">
      <c r="A94" s="132"/>
      <c r="B94" s="132"/>
      <c r="C94" s="148" t="s">
        <v>183</v>
      </c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>
        <v>11000</v>
      </c>
      <c r="X94" s="151">
        <v>11000</v>
      </c>
      <c r="Y94" s="151"/>
      <c r="Z94" s="151">
        <v>11000</v>
      </c>
      <c r="AA94" s="151">
        <v>11000</v>
      </c>
      <c r="AB94" s="151"/>
      <c r="AC94" s="151"/>
      <c r="AD94" s="151"/>
      <c r="AE94" s="151"/>
      <c r="AF94" s="151"/>
      <c r="AG94" s="151"/>
      <c r="AH94" s="151"/>
      <c r="AI94" s="151"/>
      <c r="AJ94" s="151"/>
      <c r="AK94" s="151"/>
      <c r="AL94" s="151"/>
      <c r="AM94" s="151"/>
      <c r="AN94" s="151"/>
      <c r="AO94" s="151"/>
      <c r="AP94" s="151"/>
      <c r="AQ94" s="151"/>
      <c r="AR94" s="151"/>
      <c r="AS94" s="151"/>
      <c r="AT94" s="151"/>
      <c r="AU94" s="151"/>
      <c r="AV94" s="151"/>
      <c r="AW94" s="151"/>
      <c r="AX94" s="151"/>
      <c r="AY94" s="151"/>
      <c r="AZ94" s="153"/>
      <c r="BA94" s="153">
        <v>11000</v>
      </c>
      <c r="BB94" s="153">
        <v>11000</v>
      </c>
      <c r="BC94" s="153"/>
      <c r="BD94" s="153">
        <v>11000</v>
      </c>
      <c r="BE94" s="153">
        <v>11000</v>
      </c>
      <c r="BF94" s="151"/>
      <c r="BG94" s="151"/>
      <c r="BH94" s="151"/>
      <c r="BI94" s="151"/>
      <c r="BJ94" s="151"/>
      <c r="BK94" s="151"/>
      <c r="BL94" s="153"/>
      <c r="BM94" s="153"/>
      <c r="BN94" s="153"/>
      <c r="BO94" s="151"/>
      <c r="BP94" s="151"/>
      <c r="BQ94" s="151"/>
      <c r="BR94" s="151"/>
      <c r="BS94" s="151"/>
      <c r="BT94" s="151"/>
      <c r="BU94" s="151"/>
      <c r="BV94" s="151"/>
      <c r="BW94" s="151"/>
      <c r="BX94" s="153"/>
      <c r="BY94" s="153"/>
      <c r="BZ94" s="153"/>
      <c r="CA94" s="151"/>
      <c r="CB94" s="151"/>
      <c r="CC94" s="151"/>
      <c r="CD94" s="151"/>
      <c r="CE94" s="151"/>
      <c r="CF94" s="151"/>
      <c r="CG94" s="151"/>
      <c r="CH94" s="151"/>
      <c r="CI94" s="151"/>
      <c r="CJ94" s="153"/>
      <c r="CK94" s="153"/>
      <c r="CL94" s="153"/>
      <c r="CM94" s="151"/>
      <c r="CN94" s="151">
        <v>11000</v>
      </c>
      <c r="CO94" s="151">
        <v>11000</v>
      </c>
      <c r="CP94" s="151"/>
      <c r="CQ94" s="151"/>
      <c r="CR94" s="151"/>
      <c r="CS94" s="151"/>
      <c r="CT94" s="151"/>
      <c r="CU94" s="151"/>
      <c r="CV94" s="153"/>
      <c r="CW94" s="153">
        <v>11000</v>
      </c>
      <c r="CX94" s="153">
        <v>11000</v>
      </c>
      <c r="CY94" s="153"/>
      <c r="CZ94" s="153">
        <v>11000</v>
      </c>
      <c r="DA94" s="153">
        <v>11000</v>
      </c>
      <c r="DB94" s="151"/>
      <c r="DC94" s="151"/>
      <c r="DD94" s="151"/>
      <c r="DE94" s="151"/>
      <c r="DF94" s="151"/>
      <c r="DG94" s="151"/>
      <c r="DH94" s="151"/>
      <c r="DI94" s="151"/>
      <c r="DJ94" s="151"/>
      <c r="DK94" s="153"/>
      <c r="DL94" s="153"/>
      <c r="DM94" s="153"/>
      <c r="DN94" s="153"/>
      <c r="DO94" s="153"/>
      <c r="DP94" s="153"/>
      <c r="DQ94" s="151"/>
      <c r="DR94" s="151">
        <v>11000</v>
      </c>
      <c r="DS94" s="151">
        <v>11000</v>
      </c>
    </row>
    <row r="95" ht="31.5" spans="1:123">
      <c r="A95" s="132"/>
      <c r="B95" s="132"/>
      <c r="C95" s="148" t="s">
        <v>196</v>
      </c>
      <c r="D95" s="151"/>
      <c r="E95" s="151"/>
      <c r="F95" s="151"/>
      <c r="G95" s="151"/>
      <c r="H95" s="151"/>
      <c r="I95" s="151"/>
      <c r="J95" s="151"/>
      <c r="K95" s="151">
        <v>4000</v>
      </c>
      <c r="L95" s="151">
        <v>4000</v>
      </c>
      <c r="M95" s="151"/>
      <c r="N95" s="151">
        <v>4000</v>
      </c>
      <c r="O95" s="151">
        <v>4000</v>
      </c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  <c r="AA95" s="151"/>
      <c r="AB95" s="151"/>
      <c r="AC95" s="151"/>
      <c r="AD95" s="151"/>
      <c r="AE95" s="151"/>
      <c r="AF95" s="151"/>
      <c r="AG95" s="151"/>
      <c r="AH95" s="151"/>
      <c r="AI95" s="151"/>
      <c r="AJ95" s="151"/>
      <c r="AK95" s="151"/>
      <c r="AL95" s="151"/>
      <c r="AM95" s="151"/>
      <c r="AN95" s="151"/>
      <c r="AO95" s="151"/>
      <c r="AP95" s="151"/>
      <c r="AQ95" s="151"/>
      <c r="AR95" s="151"/>
      <c r="AS95" s="151"/>
      <c r="AT95" s="151"/>
      <c r="AU95" s="151"/>
      <c r="AV95" s="151"/>
      <c r="AW95" s="151"/>
      <c r="AX95" s="151"/>
      <c r="AY95" s="151"/>
      <c r="AZ95" s="153"/>
      <c r="BA95" s="153">
        <v>4000</v>
      </c>
      <c r="BB95" s="153">
        <v>4000</v>
      </c>
      <c r="BC95" s="153"/>
      <c r="BD95" s="153">
        <v>4000</v>
      </c>
      <c r="BE95" s="153">
        <v>4000</v>
      </c>
      <c r="BF95" s="151"/>
      <c r="BG95" s="151"/>
      <c r="BH95" s="151"/>
      <c r="BI95" s="151"/>
      <c r="BJ95" s="151"/>
      <c r="BK95" s="151"/>
      <c r="BL95" s="153"/>
      <c r="BM95" s="153"/>
      <c r="BN95" s="153"/>
      <c r="BO95" s="151"/>
      <c r="BP95" s="151"/>
      <c r="BQ95" s="151"/>
      <c r="BR95" s="151"/>
      <c r="BS95" s="151"/>
      <c r="BT95" s="151"/>
      <c r="BU95" s="151"/>
      <c r="BV95" s="151"/>
      <c r="BW95" s="151"/>
      <c r="BX95" s="153"/>
      <c r="BY95" s="153"/>
      <c r="BZ95" s="153"/>
      <c r="CA95" s="151"/>
      <c r="CB95" s="151"/>
      <c r="CC95" s="151"/>
      <c r="CD95" s="151"/>
      <c r="CE95" s="151"/>
      <c r="CF95" s="151"/>
      <c r="CG95" s="151"/>
      <c r="CH95" s="151">
        <v>4000</v>
      </c>
      <c r="CI95" s="151">
        <v>4000</v>
      </c>
      <c r="CJ95" s="153"/>
      <c r="CK95" s="153">
        <v>4000</v>
      </c>
      <c r="CL95" s="153">
        <v>4000</v>
      </c>
      <c r="CM95" s="151"/>
      <c r="CN95" s="151"/>
      <c r="CO95" s="151"/>
      <c r="CP95" s="151"/>
      <c r="CQ95" s="151"/>
      <c r="CR95" s="151"/>
      <c r="CS95" s="151"/>
      <c r="CT95" s="151"/>
      <c r="CU95" s="151"/>
      <c r="CV95" s="153"/>
      <c r="CW95" s="153"/>
      <c r="CX95" s="153"/>
      <c r="CY95" s="153"/>
      <c r="CZ95" s="153">
        <v>4000</v>
      </c>
      <c r="DA95" s="153">
        <v>4000</v>
      </c>
      <c r="DB95" s="151"/>
      <c r="DC95" s="151"/>
      <c r="DD95" s="151"/>
      <c r="DE95" s="151"/>
      <c r="DF95" s="151"/>
      <c r="DG95" s="151"/>
      <c r="DH95" s="151"/>
      <c r="DI95" s="151"/>
      <c r="DJ95" s="151"/>
      <c r="DK95" s="153"/>
      <c r="DL95" s="153"/>
      <c r="DM95" s="153"/>
      <c r="DN95" s="153"/>
      <c r="DO95" s="153"/>
      <c r="DP95" s="153"/>
      <c r="DQ95" s="151"/>
      <c r="DR95" s="151">
        <v>4000</v>
      </c>
      <c r="DS95" s="151">
        <v>4000</v>
      </c>
    </row>
    <row r="96" spans="1:123">
      <c r="A96" s="132"/>
      <c r="B96" s="132" t="s">
        <v>365</v>
      </c>
      <c r="C96" s="148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  <c r="AA96" s="151"/>
      <c r="AB96" s="151"/>
      <c r="AC96" s="151"/>
      <c r="AD96" s="151"/>
      <c r="AE96" s="151"/>
      <c r="AF96" s="151"/>
      <c r="AG96" s="151"/>
      <c r="AH96" s="151"/>
      <c r="AI96" s="151"/>
      <c r="AJ96" s="151"/>
      <c r="AK96" s="151"/>
      <c r="AL96" s="151"/>
      <c r="AM96" s="151"/>
      <c r="AN96" s="151"/>
      <c r="AO96" s="151"/>
      <c r="AP96" s="151"/>
      <c r="AQ96" s="151"/>
      <c r="AR96" s="151"/>
      <c r="AS96" s="151"/>
      <c r="AT96" s="151"/>
      <c r="AU96" s="151"/>
      <c r="AV96" s="151"/>
      <c r="AW96" s="151"/>
      <c r="AX96" s="151"/>
      <c r="AY96" s="151"/>
      <c r="AZ96" s="153"/>
      <c r="BA96" s="153"/>
      <c r="BB96" s="153"/>
      <c r="BC96" s="153"/>
      <c r="BD96" s="153"/>
      <c r="BE96" s="153"/>
      <c r="BF96" s="151"/>
      <c r="BG96" s="151"/>
      <c r="BH96" s="151"/>
      <c r="BI96" s="151"/>
      <c r="BJ96" s="151"/>
      <c r="BK96" s="151"/>
      <c r="BL96" s="153"/>
      <c r="BM96" s="153"/>
      <c r="BN96" s="153"/>
      <c r="BO96" s="151"/>
      <c r="BP96" s="151"/>
      <c r="BQ96" s="151"/>
      <c r="BR96" s="151"/>
      <c r="BS96" s="151"/>
      <c r="BT96" s="151"/>
      <c r="BU96" s="151"/>
      <c r="BV96" s="151"/>
      <c r="BW96" s="151"/>
      <c r="BX96" s="153"/>
      <c r="BY96" s="153"/>
      <c r="BZ96" s="153"/>
      <c r="CA96" s="151"/>
      <c r="CB96" s="151"/>
      <c r="CC96" s="151"/>
      <c r="CD96" s="151"/>
      <c r="CE96" s="151"/>
      <c r="CF96" s="151"/>
      <c r="CG96" s="151"/>
      <c r="CH96" s="151"/>
      <c r="CI96" s="151"/>
      <c r="CJ96" s="153"/>
      <c r="CK96" s="153"/>
      <c r="CL96" s="153"/>
      <c r="CM96" s="151"/>
      <c r="CN96" s="151"/>
      <c r="CO96" s="151"/>
      <c r="CP96" s="151"/>
      <c r="CQ96" s="151"/>
      <c r="CR96" s="151"/>
      <c r="CS96" s="151"/>
      <c r="CT96" s="151"/>
      <c r="CU96" s="151"/>
      <c r="CV96" s="153"/>
      <c r="CW96" s="153"/>
      <c r="CX96" s="153"/>
      <c r="CY96" s="153"/>
      <c r="CZ96" s="153"/>
      <c r="DA96" s="153"/>
      <c r="DB96" s="151"/>
      <c r="DC96" s="151"/>
      <c r="DD96" s="151"/>
      <c r="DE96" s="151"/>
      <c r="DF96" s="151"/>
      <c r="DG96" s="151"/>
      <c r="DH96" s="151"/>
      <c r="DI96" s="151"/>
      <c r="DJ96" s="151"/>
      <c r="DK96" s="153"/>
      <c r="DL96" s="153"/>
      <c r="DM96" s="153"/>
      <c r="DN96" s="153"/>
      <c r="DO96" s="153"/>
      <c r="DP96" s="153"/>
      <c r="DQ96" s="151"/>
      <c r="DR96" s="151"/>
      <c r="DS96" s="151"/>
    </row>
    <row r="97" ht="31.5" spans="1:123">
      <c r="A97" s="132"/>
      <c r="B97" s="132"/>
      <c r="C97" s="148" t="s">
        <v>185</v>
      </c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>
        <v>4400</v>
      </c>
      <c r="R97" s="151">
        <v>4400</v>
      </c>
      <c r="S97" s="151"/>
      <c r="T97" s="151"/>
      <c r="U97" s="151"/>
      <c r="V97" s="151"/>
      <c r="W97" s="151"/>
      <c r="X97" s="151"/>
      <c r="Y97" s="151"/>
      <c r="Z97" s="151">
        <v>4400</v>
      </c>
      <c r="AA97" s="151">
        <v>4400</v>
      </c>
      <c r="AB97" s="151"/>
      <c r="AC97" s="151"/>
      <c r="AD97" s="151"/>
      <c r="AE97" s="151"/>
      <c r="AF97" s="151"/>
      <c r="AG97" s="151"/>
      <c r="AH97" s="151"/>
      <c r="AI97" s="151"/>
      <c r="AJ97" s="151"/>
      <c r="AK97" s="151"/>
      <c r="AL97" s="151"/>
      <c r="AM97" s="151"/>
      <c r="AN97" s="151"/>
      <c r="AO97" s="151"/>
      <c r="AP97" s="151"/>
      <c r="AQ97" s="151"/>
      <c r="AR97" s="151"/>
      <c r="AS97" s="151"/>
      <c r="AT97" s="151"/>
      <c r="AU97" s="151"/>
      <c r="AV97" s="151"/>
      <c r="AW97" s="151"/>
      <c r="AX97" s="151"/>
      <c r="AY97" s="151"/>
      <c r="AZ97" s="153"/>
      <c r="BA97" s="153">
        <v>4400</v>
      </c>
      <c r="BB97" s="153">
        <v>4400</v>
      </c>
      <c r="BC97" s="153"/>
      <c r="BD97" s="153">
        <v>4400</v>
      </c>
      <c r="BE97" s="153">
        <v>4400</v>
      </c>
      <c r="BF97" s="151"/>
      <c r="BG97" s="151"/>
      <c r="BH97" s="151"/>
      <c r="BI97" s="151"/>
      <c r="BJ97" s="151"/>
      <c r="BK97" s="151"/>
      <c r="BL97" s="153"/>
      <c r="BM97" s="153"/>
      <c r="BN97" s="153"/>
      <c r="BO97" s="151"/>
      <c r="BP97" s="151"/>
      <c r="BQ97" s="151"/>
      <c r="BR97" s="151"/>
      <c r="BS97" s="151"/>
      <c r="BT97" s="151"/>
      <c r="BU97" s="151"/>
      <c r="BV97" s="151"/>
      <c r="BW97" s="151"/>
      <c r="BX97" s="153"/>
      <c r="BY97" s="153"/>
      <c r="BZ97" s="153"/>
      <c r="CA97" s="151"/>
      <c r="CB97" s="151"/>
      <c r="CC97" s="151"/>
      <c r="CD97" s="151"/>
      <c r="CE97" s="151"/>
      <c r="CF97" s="151"/>
      <c r="CG97" s="151"/>
      <c r="CH97" s="151"/>
      <c r="CI97" s="151"/>
      <c r="CJ97" s="153"/>
      <c r="CK97" s="153"/>
      <c r="CL97" s="153"/>
      <c r="CM97" s="151"/>
      <c r="CN97" s="151">
        <v>4400</v>
      </c>
      <c r="CO97" s="151">
        <v>4400</v>
      </c>
      <c r="CP97" s="151"/>
      <c r="CQ97" s="151"/>
      <c r="CR97" s="151"/>
      <c r="CS97" s="151"/>
      <c r="CT97" s="151"/>
      <c r="CU97" s="151"/>
      <c r="CV97" s="153"/>
      <c r="CW97" s="153">
        <v>4400</v>
      </c>
      <c r="CX97" s="153">
        <v>4400</v>
      </c>
      <c r="CY97" s="153"/>
      <c r="CZ97" s="153">
        <v>4400</v>
      </c>
      <c r="DA97" s="153">
        <v>4400</v>
      </c>
      <c r="DB97" s="151"/>
      <c r="DC97" s="151"/>
      <c r="DD97" s="151"/>
      <c r="DE97" s="151"/>
      <c r="DF97" s="151"/>
      <c r="DG97" s="151"/>
      <c r="DH97" s="151"/>
      <c r="DI97" s="151"/>
      <c r="DJ97" s="151"/>
      <c r="DK97" s="153"/>
      <c r="DL97" s="153"/>
      <c r="DM97" s="153"/>
      <c r="DN97" s="153"/>
      <c r="DO97" s="153"/>
      <c r="DP97" s="153"/>
      <c r="DQ97" s="151"/>
      <c r="DR97" s="151">
        <v>4400</v>
      </c>
      <c r="DS97" s="151">
        <v>4400</v>
      </c>
    </row>
    <row r="98" ht="31.5" spans="1:123">
      <c r="A98" s="132"/>
      <c r="B98" s="132"/>
      <c r="C98" s="148" t="s">
        <v>198</v>
      </c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  <c r="AB98" s="151"/>
      <c r="AC98" s="151"/>
      <c r="AD98" s="151"/>
      <c r="AE98" s="151"/>
      <c r="AF98" s="151"/>
      <c r="AG98" s="151"/>
      <c r="AH98" s="151"/>
      <c r="AI98" s="151">
        <v>20000</v>
      </c>
      <c r="AJ98" s="151">
        <v>20000</v>
      </c>
      <c r="AK98" s="151"/>
      <c r="AL98" s="151">
        <v>20000</v>
      </c>
      <c r="AM98" s="151">
        <v>20000</v>
      </c>
      <c r="AN98" s="151"/>
      <c r="AO98" s="151"/>
      <c r="AP98" s="151"/>
      <c r="AQ98" s="151"/>
      <c r="AR98" s="151"/>
      <c r="AS98" s="151"/>
      <c r="AT98" s="151"/>
      <c r="AU98" s="151"/>
      <c r="AV98" s="151"/>
      <c r="AW98" s="151"/>
      <c r="AX98" s="151"/>
      <c r="AY98" s="151"/>
      <c r="AZ98" s="153"/>
      <c r="BA98" s="153">
        <v>20000</v>
      </c>
      <c r="BB98" s="153">
        <v>20000</v>
      </c>
      <c r="BC98" s="153"/>
      <c r="BD98" s="153">
        <v>20000</v>
      </c>
      <c r="BE98" s="153">
        <v>20000</v>
      </c>
      <c r="BF98" s="151"/>
      <c r="BG98" s="151"/>
      <c r="BH98" s="151"/>
      <c r="BI98" s="151"/>
      <c r="BJ98" s="151"/>
      <c r="BK98" s="151"/>
      <c r="BL98" s="153"/>
      <c r="BM98" s="153"/>
      <c r="BN98" s="153"/>
      <c r="BO98" s="151"/>
      <c r="BP98" s="151"/>
      <c r="BQ98" s="151"/>
      <c r="BR98" s="151"/>
      <c r="BS98" s="151"/>
      <c r="BT98" s="151"/>
      <c r="BU98" s="151"/>
      <c r="BV98" s="151"/>
      <c r="BW98" s="151"/>
      <c r="BX98" s="153"/>
      <c r="BY98" s="153"/>
      <c r="BZ98" s="153"/>
      <c r="CA98" s="151"/>
      <c r="CB98" s="151"/>
      <c r="CC98" s="151"/>
      <c r="CD98" s="151"/>
      <c r="CE98" s="151"/>
      <c r="CF98" s="151"/>
      <c r="CG98" s="151"/>
      <c r="CH98" s="151"/>
      <c r="CI98" s="151"/>
      <c r="CJ98" s="153"/>
      <c r="CK98" s="153"/>
      <c r="CL98" s="153"/>
      <c r="CM98" s="151"/>
      <c r="CN98" s="151">
        <v>3000</v>
      </c>
      <c r="CO98" s="151">
        <v>3000</v>
      </c>
      <c r="CP98" s="151"/>
      <c r="CQ98" s="151">
        <v>4000</v>
      </c>
      <c r="CR98" s="151">
        <v>4000</v>
      </c>
      <c r="CS98" s="151"/>
      <c r="CT98" s="151">
        <v>4000</v>
      </c>
      <c r="CU98" s="151">
        <v>4000</v>
      </c>
      <c r="CV98" s="153"/>
      <c r="CW98" s="153">
        <v>11000</v>
      </c>
      <c r="CX98" s="153">
        <v>11000</v>
      </c>
      <c r="CY98" s="153"/>
      <c r="CZ98" s="153">
        <v>11000</v>
      </c>
      <c r="DA98" s="153">
        <v>11000</v>
      </c>
      <c r="DB98" s="151"/>
      <c r="DC98" s="151">
        <v>4000</v>
      </c>
      <c r="DD98" s="151">
        <v>4000</v>
      </c>
      <c r="DE98" s="151"/>
      <c r="DF98" s="151">
        <v>4000</v>
      </c>
      <c r="DG98" s="151">
        <v>4000</v>
      </c>
      <c r="DH98" s="151"/>
      <c r="DI98" s="151">
        <v>1000</v>
      </c>
      <c r="DJ98" s="151">
        <v>1000</v>
      </c>
      <c r="DK98" s="153"/>
      <c r="DL98" s="153">
        <v>9000</v>
      </c>
      <c r="DM98" s="153">
        <v>9000</v>
      </c>
      <c r="DN98" s="153"/>
      <c r="DO98" s="153">
        <v>9000</v>
      </c>
      <c r="DP98" s="153">
        <v>9000</v>
      </c>
      <c r="DQ98" s="151"/>
      <c r="DR98" s="151">
        <v>20000</v>
      </c>
      <c r="DS98" s="151">
        <v>20000</v>
      </c>
    </row>
    <row r="99" spans="1:123">
      <c r="A99" s="132"/>
      <c r="B99" s="132" t="s">
        <v>366</v>
      </c>
      <c r="C99" s="148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  <c r="AB99" s="151"/>
      <c r="AC99" s="151"/>
      <c r="AD99" s="151"/>
      <c r="AE99" s="151"/>
      <c r="AF99" s="151"/>
      <c r="AG99" s="151"/>
      <c r="AH99" s="151"/>
      <c r="AI99" s="151"/>
      <c r="AJ99" s="151"/>
      <c r="AK99" s="151"/>
      <c r="AL99" s="151"/>
      <c r="AM99" s="151"/>
      <c r="AN99" s="151"/>
      <c r="AO99" s="151"/>
      <c r="AP99" s="151"/>
      <c r="AQ99" s="151"/>
      <c r="AR99" s="151"/>
      <c r="AS99" s="151"/>
      <c r="AT99" s="151"/>
      <c r="AU99" s="151"/>
      <c r="AV99" s="151"/>
      <c r="AW99" s="151"/>
      <c r="AX99" s="151"/>
      <c r="AY99" s="151"/>
      <c r="AZ99" s="153"/>
      <c r="BA99" s="153"/>
      <c r="BB99" s="153"/>
      <c r="BC99" s="153"/>
      <c r="BD99" s="153"/>
      <c r="BE99" s="153"/>
      <c r="BF99" s="151"/>
      <c r="BG99" s="151"/>
      <c r="BH99" s="151"/>
      <c r="BI99" s="151"/>
      <c r="BJ99" s="151"/>
      <c r="BK99" s="151"/>
      <c r="BL99" s="153"/>
      <c r="BM99" s="153"/>
      <c r="BN99" s="153"/>
      <c r="BO99" s="151"/>
      <c r="BP99" s="151"/>
      <c r="BQ99" s="151"/>
      <c r="BR99" s="151"/>
      <c r="BS99" s="151"/>
      <c r="BT99" s="151"/>
      <c r="BU99" s="151"/>
      <c r="BV99" s="151"/>
      <c r="BW99" s="151"/>
      <c r="BX99" s="153"/>
      <c r="BY99" s="153"/>
      <c r="BZ99" s="153"/>
      <c r="CA99" s="151"/>
      <c r="CB99" s="151"/>
      <c r="CC99" s="151"/>
      <c r="CD99" s="151"/>
      <c r="CE99" s="151"/>
      <c r="CF99" s="151"/>
      <c r="CG99" s="151"/>
      <c r="CH99" s="151"/>
      <c r="CI99" s="151"/>
      <c r="CJ99" s="153"/>
      <c r="CK99" s="153"/>
      <c r="CL99" s="153"/>
      <c r="CM99" s="151"/>
      <c r="CN99" s="151"/>
      <c r="CO99" s="151"/>
      <c r="CP99" s="151"/>
      <c r="CQ99" s="151"/>
      <c r="CR99" s="151"/>
      <c r="CS99" s="151"/>
      <c r="CT99" s="151"/>
      <c r="CU99" s="151"/>
      <c r="CV99" s="153"/>
      <c r="CW99" s="153"/>
      <c r="CX99" s="153"/>
      <c r="CY99" s="153"/>
      <c r="CZ99" s="153"/>
      <c r="DA99" s="153"/>
      <c r="DB99" s="151"/>
      <c r="DC99" s="151"/>
      <c r="DD99" s="151"/>
      <c r="DE99" s="151"/>
      <c r="DF99" s="151"/>
      <c r="DG99" s="151"/>
      <c r="DH99" s="151"/>
      <c r="DI99" s="151"/>
      <c r="DJ99" s="151"/>
      <c r="DK99" s="153"/>
      <c r="DL99" s="153"/>
      <c r="DM99" s="153"/>
      <c r="DN99" s="153"/>
      <c r="DO99" s="153"/>
      <c r="DP99" s="153"/>
      <c r="DQ99" s="151"/>
      <c r="DR99" s="151"/>
      <c r="DS99" s="151"/>
    </row>
    <row r="100" ht="31.5" spans="1:123">
      <c r="A100" s="132"/>
      <c r="B100" s="132"/>
      <c r="C100" s="148" t="s">
        <v>194</v>
      </c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>
        <v>5000</v>
      </c>
      <c r="X100" s="151">
        <v>5000</v>
      </c>
      <c r="Y100" s="151"/>
      <c r="Z100" s="151">
        <v>5000</v>
      </c>
      <c r="AA100" s="151">
        <v>5000</v>
      </c>
      <c r="AB100" s="151"/>
      <c r="AC100" s="151"/>
      <c r="AD100" s="151"/>
      <c r="AE100" s="151"/>
      <c r="AF100" s="151"/>
      <c r="AG100" s="151"/>
      <c r="AH100" s="151"/>
      <c r="AI100" s="151"/>
      <c r="AJ100" s="151"/>
      <c r="AK100" s="151"/>
      <c r="AL100" s="151"/>
      <c r="AM100" s="151"/>
      <c r="AN100" s="151"/>
      <c r="AO100" s="151"/>
      <c r="AP100" s="151"/>
      <c r="AQ100" s="151"/>
      <c r="AR100" s="151"/>
      <c r="AS100" s="151"/>
      <c r="AT100" s="151"/>
      <c r="AU100" s="151"/>
      <c r="AV100" s="151"/>
      <c r="AW100" s="151"/>
      <c r="AX100" s="151"/>
      <c r="AY100" s="151"/>
      <c r="AZ100" s="153"/>
      <c r="BA100" s="153">
        <v>5000</v>
      </c>
      <c r="BB100" s="153">
        <v>5000</v>
      </c>
      <c r="BC100" s="153"/>
      <c r="BD100" s="153">
        <v>5000</v>
      </c>
      <c r="BE100" s="153">
        <v>5000</v>
      </c>
      <c r="BF100" s="151"/>
      <c r="BG100" s="151"/>
      <c r="BH100" s="151"/>
      <c r="BI100" s="151"/>
      <c r="BJ100" s="151"/>
      <c r="BK100" s="151"/>
      <c r="BL100" s="153"/>
      <c r="BM100" s="153"/>
      <c r="BN100" s="153"/>
      <c r="BO100" s="151"/>
      <c r="BP100" s="151"/>
      <c r="BQ100" s="151"/>
      <c r="BR100" s="151"/>
      <c r="BS100" s="151"/>
      <c r="BT100" s="151"/>
      <c r="BU100" s="151"/>
      <c r="BV100" s="151"/>
      <c r="BW100" s="151"/>
      <c r="BX100" s="153"/>
      <c r="BY100" s="153"/>
      <c r="BZ100" s="153"/>
      <c r="CA100" s="151"/>
      <c r="CB100" s="151"/>
      <c r="CC100" s="151"/>
      <c r="CD100" s="151"/>
      <c r="CE100" s="151"/>
      <c r="CF100" s="151"/>
      <c r="CG100" s="151"/>
      <c r="CH100" s="151"/>
      <c r="CI100" s="151"/>
      <c r="CJ100" s="153"/>
      <c r="CK100" s="153"/>
      <c r="CL100" s="153"/>
      <c r="CM100" s="151"/>
      <c r="CN100" s="151"/>
      <c r="CO100" s="151"/>
      <c r="CP100" s="151"/>
      <c r="CQ100" s="151">
        <v>5000</v>
      </c>
      <c r="CR100" s="151">
        <v>5000</v>
      </c>
      <c r="CS100" s="151"/>
      <c r="CT100" s="151"/>
      <c r="CU100" s="151"/>
      <c r="CV100" s="153"/>
      <c r="CW100" s="153">
        <v>5000</v>
      </c>
      <c r="CX100" s="153">
        <v>5000</v>
      </c>
      <c r="CY100" s="153"/>
      <c r="CZ100" s="153">
        <v>5000</v>
      </c>
      <c r="DA100" s="153">
        <v>5000</v>
      </c>
      <c r="DB100" s="151"/>
      <c r="DC100" s="151"/>
      <c r="DD100" s="151"/>
      <c r="DE100" s="151"/>
      <c r="DF100" s="151"/>
      <c r="DG100" s="151"/>
      <c r="DH100" s="151"/>
      <c r="DI100" s="151"/>
      <c r="DJ100" s="151"/>
      <c r="DK100" s="153"/>
      <c r="DL100" s="153"/>
      <c r="DM100" s="153"/>
      <c r="DN100" s="153"/>
      <c r="DO100" s="153"/>
      <c r="DP100" s="153"/>
      <c r="DQ100" s="151"/>
      <c r="DR100" s="151">
        <v>5000</v>
      </c>
      <c r="DS100" s="151">
        <v>5000</v>
      </c>
    </row>
    <row r="101" spans="1:123">
      <c r="A101" s="132" t="s">
        <v>208</v>
      </c>
      <c r="B101" s="132"/>
      <c r="C101" s="148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  <c r="AB101" s="151"/>
      <c r="AC101" s="151"/>
      <c r="AD101" s="151"/>
      <c r="AE101" s="151"/>
      <c r="AF101" s="151"/>
      <c r="AG101" s="151"/>
      <c r="AH101" s="151"/>
      <c r="AI101" s="151"/>
      <c r="AJ101" s="151"/>
      <c r="AK101" s="151"/>
      <c r="AL101" s="151"/>
      <c r="AM101" s="151"/>
      <c r="AN101" s="151"/>
      <c r="AO101" s="151"/>
      <c r="AP101" s="151"/>
      <c r="AQ101" s="151"/>
      <c r="AR101" s="151"/>
      <c r="AS101" s="151"/>
      <c r="AT101" s="151"/>
      <c r="AU101" s="151"/>
      <c r="AV101" s="151"/>
      <c r="AW101" s="151"/>
      <c r="AX101" s="151"/>
      <c r="AY101" s="151"/>
      <c r="AZ101" s="153"/>
      <c r="BA101" s="153"/>
      <c r="BB101" s="153"/>
      <c r="BC101" s="153"/>
      <c r="BD101" s="153"/>
      <c r="BE101" s="153"/>
      <c r="BF101" s="151"/>
      <c r="BG101" s="151"/>
      <c r="BH101" s="151"/>
      <c r="BI101" s="151"/>
      <c r="BJ101" s="151"/>
      <c r="BK101" s="151"/>
      <c r="BL101" s="153"/>
      <c r="BM101" s="153"/>
      <c r="BN101" s="153"/>
      <c r="BO101" s="151"/>
      <c r="BP101" s="151"/>
      <c r="BQ101" s="151"/>
      <c r="BR101" s="151"/>
      <c r="BS101" s="151"/>
      <c r="BT101" s="151"/>
      <c r="BU101" s="151"/>
      <c r="BV101" s="151"/>
      <c r="BW101" s="151"/>
      <c r="BX101" s="153"/>
      <c r="BY101" s="153"/>
      <c r="BZ101" s="153"/>
      <c r="CA101" s="151"/>
      <c r="CB101" s="151"/>
      <c r="CC101" s="151"/>
      <c r="CD101" s="151"/>
      <c r="CE101" s="151"/>
      <c r="CF101" s="151"/>
      <c r="CG101" s="151"/>
      <c r="CH101" s="151"/>
      <c r="CI101" s="151"/>
      <c r="CJ101" s="153"/>
      <c r="CK101" s="153"/>
      <c r="CL101" s="153"/>
      <c r="CM101" s="151"/>
      <c r="CN101" s="151"/>
      <c r="CO101" s="151"/>
      <c r="CP101" s="151"/>
      <c r="CQ101" s="151"/>
      <c r="CR101" s="151"/>
      <c r="CS101" s="151"/>
      <c r="CT101" s="151"/>
      <c r="CU101" s="151"/>
      <c r="CV101" s="153"/>
      <c r="CW101" s="153"/>
      <c r="CX101" s="153"/>
      <c r="CY101" s="153"/>
      <c r="CZ101" s="153"/>
      <c r="DA101" s="153"/>
      <c r="DB101" s="151"/>
      <c r="DC101" s="151"/>
      <c r="DD101" s="151"/>
      <c r="DE101" s="151"/>
      <c r="DF101" s="151"/>
      <c r="DG101" s="151"/>
      <c r="DH101" s="151"/>
      <c r="DI101" s="151"/>
      <c r="DJ101" s="151"/>
      <c r="DK101" s="153"/>
      <c r="DL101" s="153"/>
      <c r="DM101" s="153"/>
      <c r="DN101" s="153"/>
      <c r="DO101" s="153"/>
      <c r="DP101" s="153"/>
      <c r="DQ101" s="151"/>
      <c r="DR101" s="151"/>
      <c r="DS101" s="151"/>
    </row>
    <row r="102" spans="1:123">
      <c r="A102" s="132"/>
      <c r="B102" s="132" t="s">
        <v>367</v>
      </c>
      <c r="C102" s="148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  <c r="AB102" s="151"/>
      <c r="AC102" s="151"/>
      <c r="AD102" s="151"/>
      <c r="AE102" s="151"/>
      <c r="AF102" s="151"/>
      <c r="AG102" s="151"/>
      <c r="AH102" s="151"/>
      <c r="AI102" s="151"/>
      <c r="AJ102" s="151"/>
      <c r="AK102" s="151"/>
      <c r="AL102" s="151"/>
      <c r="AM102" s="151"/>
      <c r="AN102" s="151"/>
      <c r="AO102" s="151"/>
      <c r="AP102" s="151"/>
      <c r="AQ102" s="151"/>
      <c r="AR102" s="151"/>
      <c r="AS102" s="151"/>
      <c r="AT102" s="151"/>
      <c r="AU102" s="151"/>
      <c r="AV102" s="151"/>
      <c r="AW102" s="151"/>
      <c r="AX102" s="151"/>
      <c r="AY102" s="151"/>
      <c r="AZ102" s="153"/>
      <c r="BA102" s="153"/>
      <c r="BB102" s="153"/>
      <c r="BC102" s="153"/>
      <c r="BD102" s="153"/>
      <c r="BE102" s="153"/>
      <c r="BF102" s="151"/>
      <c r="BG102" s="151"/>
      <c r="BH102" s="151"/>
      <c r="BI102" s="151"/>
      <c r="BJ102" s="151"/>
      <c r="BK102" s="151"/>
      <c r="BL102" s="153"/>
      <c r="BM102" s="153"/>
      <c r="BN102" s="153"/>
      <c r="BO102" s="151"/>
      <c r="BP102" s="151"/>
      <c r="BQ102" s="151"/>
      <c r="BR102" s="151"/>
      <c r="BS102" s="151"/>
      <c r="BT102" s="151"/>
      <c r="BU102" s="151"/>
      <c r="BV102" s="151"/>
      <c r="BW102" s="151"/>
      <c r="BX102" s="153"/>
      <c r="BY102" s="153"/>
      <c r="BZ102" s="153"/>
      <c r="CA102" s="151"/>
      <c r="CB102" s="151"/>
      <c r="CC102" s="151"/>
      <c r="CD102" s="151"/>
      <c r="CE102" s="151"/>
      <c r="CF102" s="151"/>
      <c r="CG102" s="151"/>
      <c r="CH102" s="151"/>
      <c r="CI102" s="151"/>
      <c r="CJ102" s="153"/>
      <c r="CK102" s="153"/>
      <c r="CL102" s="153"/>
      <c r="CM102" s="151"/>
      <c r="CN102" s="151"/>
      <c r="CO102" s="151"/>
      <c r="CP102" s="151"/>
      <c r="CQ102" s="151"/>
      <c r="CR102" s="151"/>
      <c r="CS102" s="151"/>
      <c r="CT102" s="151"/>
      <c r="CU102" s="151"/>
      <c r="CV102" s="153"/>
      <c r="CW102" s="153"/>
      <c r="CX102" s="153"/>
      <c r="CY102" s="153"/>
      <c r="CZ102" s="153"/>
      <c r="DA102" s="153"/>
      <c r="DB102" s="151"/>
      <c r="DC102" s="151"/>
      <c r="DD102" s="151"/>
      <c r="DE102" s="151"/>
      <c r="DF102" s="151"/>
      <c r="DG102" s="151"/>
      <c r="DH102" s="151"/>
      <c r="DI102" s="151"/>
      <c r="DJ102" s="151"/>
      <c r="DK102" s="153"/>
      <c r="DL102" s="153"/>
      <c r="DM102" s="153"/>
      <c r="DN102" s="153"/>
      <c r="DO102" s="153"/>
      <c r="DP102" s="153"/>
      <c r="DQ102" s="151"/>
      <c r="DR102" s="151"/>
      <c r="DS102" s="151"/>
    </row>
    <row r="103" spans="1:123">
      <c r="A103" s="132"/>
      <c r="B103" s="132"/>
      <c r="C103" s="148" t="s">
        <v>210</v>
      </c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>
        <v>25000</v>
      </c>
      <c r="R103" s="151">
        <v>25000</v>
      </c>
      <c r="S103" s="151"/>
      <c r="T103" s="151"/>
      <c r="U103" s="151"/>
      <c r="V103" s="151"/>
      <c r="W103" s="151"/>
      <c r="X103" s="151"/>
      <c r="Y103" s="151"/>
      <c r="Z103" s="151">
        <v>25000</v>
      </c>
      <c r="AA103" s="151">
        <v>25000</v>
      </c>
      <c r="AB103" s="151"/>
      <c r="AC103" s="151"/>
      <c r="AD103" s="151"/>
      <c r="AE103" s="151"/>
      <c r="AF103" s="151"/>
      <c r="AG103" s="151"/>
      <c r="AH103" s="151"/>
      <c r="AI103" s="151"/>
      <c r="AJ103" s="151"/>
      <c r="AK103" s="151"/>
      <c r="AL103" s="151"/>
      <c r="AM103" s="151"/>
      <c r="AN103" s="151"/>
      <c r="AO103" s="151"/>
      <c r="AP103" s="151"/>
      <c r="AQ103" s="151"/>
      <c r="AR103" s="151"/>
      <c r="AS103" s="151"/>
      <c r="AT103" s="151"/>
      <c r="AU103" s="151"/>
      <c r="AV103" s="151"/>
      <c r="AW103" s="151"/>
      <c r="AX103" s="151"/>
      <c r="AY103" s="151"/>
      <c r="AZ103" s="153"/>
      <c r="BA103" s="153">
        <v>25000</v>
      </c>
      <c r="BB103" s="153">
        <v>25000</v>
      </c>
      <c r="BC103" s="153"/>
      <c r="BD103" s="153">
        <v>25000</v>
      </c>
      <c r="BE103" s="153">
        <v>25000</v>
      </c>
      <c r="BF103" s="151"/>
      <c r="BG103" s="151"/>
      <c r="BH103" s="151"/>
      <c r="BI103" s="151"/>
      <c r="BJ103" s="151"/>
      <c r="BK103" s="151"/>
      <c r="BL103" s="153"/>
      <c r="BM103" s="153"/>
      <c r="BN103" s="153"/>
      <c r="BO103" s="151"/>
      <c r="BP103" s="151"/>
      <c r="BQ103" s="151"/>
      <c r="BR103" s="151"/>
      <c r="BS103" s="151"/>
      <c r="BT103" s="151"/>
      <c r="BU103" s="151"/>
      <c r="BV103" s="151"/>
      <c r="BW103" s="151"/>
      <c r="BX103" s="153"/>
      <c r="BY103" s="153"/>
      <c r="BZ103" s="153"/>
      <c r="CA103" s="151"/>
      <c r="CB103" s="151"/>
      <c r="CC103" s="151"/>
      <c r="CD103" s="151"/>
      <c r="CE103" s="151"/>
      <c r="CF103" s="151"/>
      <c r="CG103" s="151"/>
      <c r="CH103" s="151">
        <v>25000</v>
      </c>
      <c r="CI103" s="151">
        <v>25000</v>
      </c>
      <c r="CJ103" s="153"/>
      <c r="CK103" s="153">
        <v>25000</v>
      </c>
      <c r="CL103" s="153">
        <v>25000</v>
      </c>
      <c r="CM103" s="151"/>
      <c r="CN103" s="151"/>
      <c r="CO103" s="151"/>
      <c r="CP103" s="151"/>
      <c r="CQ103" s="151"/>
      <c r="CR103" s="151"/>
      <c r="CS103" s="151"/>
      <c r="CT103" s="151"/>
      <c r="CU103" s="151"/>
      <c r="CV103" s="153"/>
      <c r="CW103" s="153"/>
      <c r="CX103" s="153"/>
      <c r="CY103" s="153"/>
      <c r="CZ103" s="153">
        <v>25000</v>
      </c>
      <c r="DA103" s="153">
        <v>25000</v>
      </c>
      <c r="DB103" s="151"/>
      <c r="DC103" s="151"/>
      <c r="DD103" s="151"/>
      <c r="DE103" s="151"/>
      <c r="DF103" s="151"/>
      <c r="DG103" s="151"/>
      <c r="DH103" s="151"/>
      <c r="DI103" s="151"/>
      <c r="DJ103" s="151"/>
      <c r="DK103" s="153"/>
      <c r="DL103" s="153"/>
      <c r="DM103" s="153"/>
      <c r="DN103" s="153"/>
      <c r="DO103" s="153"/>
      <c r="DP103" s="153"/>
      <c r="DQ103" s="151"/>
      <c r="DR103" s="151">
        <v>25000</v>
      </c>
      <c r="DS103" s="151">
        <v>25000</v>
      </c>
    </row>
    <row r="104" ht="31.5" spans="1:123">
      <c r="A104" s="132"/>
      <c r="B104" s="132"/>
      <c r="C104" s="148" t="s">
        <v>212</v>
      </c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>
        <v>10000</v>
      </c>
      <c r="R104" s="151">
        <v>10000</v>
      </c>
      <c r="S104" s="151"/>
      <c r="T104" s="151"/>
      <c r="U104" s="151"/>
      <c r="V104" s="151"/>
      <c r="W104" s="151"/>
      <c r="X104" s="151"/>
      <c r="Y104" s="151"/>
      <c r="Z104" s="151">
        <v>10000</v>
      </c>
      <c r="AA104" s="151">
        <v>10000</v>
      </c>
      <c r="AB104" s="151"/>
      <c r="AC104" s="151"/>
      <c r="AD104" s="151"/>
      <c r="AE104" s="151"/>
      <c r="AF104" s="151"/>
      <c r="AG104" s="151"/>
      <c r="AH104" s="151"/>
      <c r="AI104" s="151"/>
      <c r="AJ104" s="151"/>
      <c r="AK104" s="151"/>
      <c r="AL104" s="151"/>
      <c r="AM104" s="151"/>
      <c r="AN104" s="151"/>
      <c r="AO104" s="151"/>
      <c r="AP104" s="151"/>
      <c r="AQ104" s="151"/>
      <c r="AR104" s="151"/>
      <c r="AS104" s="151"/>
      <c r="AT104" s="151"/>
      <c r="AU104" s="151"/>
      <c r="AV104" s="151"/>
      <c r="AW104" s="151"/>
      <c r="AX104" s="151"/>
      <c r="AY104" s="151"/>
      <c r="AZ104" s="153"/>
      <c r="BA104" s="153">
        <v>10000</v>
      </c>
      <c r="BB104" s="153">
        <v>10000</v>
      </c>
      <c r="BC104" s="153"/>
      <c r="BD104" s="153">
        <v>10000</v>
      </c>
      <c r="BE104" s="153">
        <v>10000</v>
      </c>
      <c r="BF104" s="151"/>
      <c r="BG104" s="151"/>
      <c r="BH104" s="151"/>
      <c r="BI104" s="151"/>
      <c r="BJ104" s="151"/>
      <c r="BK104" s="151"/>
      <c r="BL104" s="153"/>
      <c r="BM104" s="153"/>
      <c r="BN104" s="153"/>
      <c r="BO104" s="151"/>
      <c r="BP104" s="151"/>
      <c r="BQ104" s="151"/>
      <c r="BR104" s="151"/>
      <c r="BS104" s="151"/>
      <c r="BT104" s="151"/>
      <c r="BU104" s="151"/>
      <c r="BV104" s="151"/>
      <c r="BW104" s="151"/>
      <c r="BX104" s="153"/>
      <c r="BY104" s="153"/>
      <c r="BZ104" s="153"/>
      <c r="CA104" s="151"/>
      <c r="CB104" s="151"/>
      <c r="CC104" s="151"/>
      <c r="CD104" s="151"/>
      <c r="CE104" s="151"/>
      <c r="CF104" s="151"/>
      <c r="CG104" s="151"/>
      <c r="CH104" s="151"/>
      <c r="CI104" s="151"/>
      <c r="CJ104" s="153"/>
      <c r="CK104" s="153"/>
      <c r="CL104" s="153"/>
      <c r="CM104" s="151"/>
      <c r="CN104" s="151"/>
      <c r="CO104" s="151"/>
      <c r="CP104" s="151"/>
      <c r="CQ104" s="151">
        <v>10000</v>
      </c>
      <c r="CR104" s="151">
        <v>10000</v>
      </c>
      <c r="CS104" s="151"/>
      <c r="CT104" s="151"/>
      <c r="CU104" s="151"/>
      <c r="CV104" s="153"/>
      <c r="CW104" s="153">
        <v>10000</v>
      </c>
      <c r="CX104" s="153">
        <v>10000</v>
      </c>
      <c r="CY104" s="153"/>
      <c r="CZ104" s="153">
        <v>10000</v>
      </c>
      <c r="DA104" s="153">
        <v>10000</v>
      </c>
      <c r="DB104" s="151"/>
      <c r="DC104" s="151"/>
      <c r="DD104" s="151"/>
      <c r="DE104" s="151"/>
      <c r="DF104" s="151"/>
      <c r="DG104" s="151"/>
      <c r="DH104" s="151"/>
      <c r="DI104" s="151"/>
      <c r="DJ104" s="151"/>
      <c r="DK104" s="153"/>
      <c r="DL104" s="153"/>
      <c r="DM104" s="153"/>
      <c r="DN104" s="153"/>
      <c r="DO104" s="153"/>
      <c r="DP104" s="153"/>
      <c r="DQ104" s="151"/>
      <c r="DR104" s="151">
        <v>10000</v>
      </c>
      <c r="DS104" s="151">
        <v>10000</v>
      </c>
    </row>
    <row r="105" spans="1:123">
      <c r="A105" s="132" t="s">
        <v>225</v>
      </c>
      <c r="B105" s="132"/>
      <c r="C105" s="148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  <c r="AB105" s="151"/>
      <c r="AC105" s="151"/>
      <c r="AD105" s="151"/>
      <c r="AE105" s="151"/>
      <c r="AF105" s="151"/>
      <c r="AG105" s="151"/>
      <c r="AH105" s="151"/>
      <c r="AI105" s="151"/>
      <c r="AJ105" s="151"/>
      <c r="AK105" s="151"/>
      <c r="AL105" s="151"/>
      <c r="AM105" s="151"/>
      <c r="AN105" s="151"/>
      <c r="AO105" s="151"/>
      <c r="AP105" s="151"/>
      <c r="AQ105" s="151"/>
      <c r="AR105" s="151"/>
      <c r="AS105" s="151"/>
      <c r="AT105" s="151"/>
      <c r="AU105" s="151"/>
      <c r="AV105" s="151"/>
      <c r="AW105" s="151"/>
      <c r="AX105" s="151"/>
      <c r="AY105" s="151"/>
      <c r="AZ105" s="153"/>
      <c r="BA105" s="153"/>
      <c r="BB105" s="153"/>
      <c r="BC105" s="153"/>
      <c r="BD105" s="153"/>
      <c r="BE105" s="153"/>
      <c r="BF105" s="151"/>
      <c r="BG105" s="151"/>
      <c r="BH105" s="151"/>
      <c r="BI105" s="151"/>
      <c r="BJ105" s="151"/>
      <c r="BK105" s="151"/>
      <c r="BL105" s="153"/>
      <c r="BM105" s="153"/>
      <c r="BN105" s="153"/>
      <c r="BO105" s="151"/>
      <c r="BP105" s="151"/>
      <c r="BQ105" s="151"/>
      <c r="BR105" s="151"/>
      <c r="BS105" s="151"/>
      <c r="BT105" s="151"/>
      <c r="BU105" s="151"/>
      <c r="BV105" s="151"/>
      <c r="BW105" s="151"/>
      <c r="BX105" s="153"/>
      <c r="BY105" s="153"/>
      <c r="BZ105" s="153"/>
      <c r="CA105" s="151"/>
      <c r="CB105" s="151"/>
      <c r="CC105" s="151"/>
      <c r="CD105" s="151"/>
      <c r="CE105" s="151"/>
      <c r="CF105" s="151"/>
      <c r="CG105" s="151"/>
      <c r="CH105" s="151"/>
      <c r="CI105" s="151"/>
      <c r="CJ105" s="153"/>
      <c r="CK105" s="153"/>
      <c r="CL105" s="153"/>
      <c r="CM105" s="151"/>
      <c r="CN105" s="151"/>
      <c r="CO105" s="151"/>
      <c r="CP105" s="151"/>
      <c r="CQ105" s="151"/>
      <c r="CR105" s="151"/>
      <c r="CS105" s="151"/>
      <c r="CT105" s="151"/>
      <c r="CU105" s="151"/>
      <c r="CV105" s="153"/>
      <c r="CW105" s="153"/>
      <c r="CX105" s="153"/>
      <c r="CY105" s="153"/>
      <c r="CZ105" s="153"/>
      <c r="DA105" s="153"/>
      <c r="DB105" s="151"/>
      <c r="DC105" s="151"/>
      <c r="DD105" s="151"/>
      <c r="DE105" s="151"/>
      <c r="DF105" s="151"/>
      <c r="DG105" s="151"/>
      <c r="DH105" s="151"/>
      <c r="DI105" s="151"/>
      <c r="DJ105" s="151"/>
      <c r="DK105" s="153"/>
      <c r="DL105" s="153"/>
      <c r="DM105" s="153"/>
      <c r="DN105" s="153"/>
      <c r="DO105" s="153"/>
      <c r="DP105" s="153"/>
      <c r="DQ105" s="151"/>
      <c r="DR105" s="151"/>
      <c r="DS105" s="151"/>
    </row>
    <row r="106" spans="1:123">
      <c r="A106" s="132"/>
      <c r="B106" s="132" t="s">
        <v>225</v>
      </c>
      <c r="C106" s="148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  <c r="AB106" s="151"/>
      <c r="AC106" s="151"/>
      <c r="AD106" s="151"/>
      <c r="AE106" s="151"/>
      <c r="AF106" s="151"/>
      <c r="AG106" s="151"/>
      <c r="AH106" s="151"/>
      <c r="AI106" s="151"/>
      <c r="AJ106" s="151"/>
      <c r="AK106" s="151"/>
      <c r="AL106" s="151"/>
      <c r="AM106" s="151"/>
      <c r="AN106" s="151"/>
      <c r="AO106" s="151"/>
      <c r="AP106" s="151"/>
      <c r="AQ106" s="151"/>
      <c r="AR106" s="151"/>
      <c r="AS106" s="151"/>
      <c r="AT106" s="151"/>
      <c r="AU106" s="151"/>
      <c r="AV106" s="151"/>
      <c r="AW106" s="151"/>
      <c r="AX106" s="151"/>
      <c r="AY106" s="151"/>
      <c r="AZ106" s="153"/>
      <c r="BA106" s="153"/>
      <c r="BB106" s="153"/>
      <c r="BC106" s="153"/>
      <c r="BD106" s="153"/>
      <c r="BE106" s="153"/>
      <c r="BF106" s="151"/>
      <c r="BG106" s="151"/>
      <c r="BH106" s="151"/>
      <c r="BI106" s="151"/>
      <c r="BJ106" s="151"/>
      <c r="BK106" s="151"/>
      <c r="BL106" s="153"/>
      <c r="BM106" s="153"/>
      <c r="BN106" s="153"/>
      <c r="BO106" s="151"/>
      <c r="BP106" s="151"/>
      <c r="BQ106" s="151"/>
      <c r="BR106" s="151"/>
      <c r="BS106" s="151"/>
      <c r="BT106" s="151"/>
      <c r="BU106" s="151"/>
      <c r="BV106" s="151"/>
      <c r="BW106" s="151"/>
      <c r="BX106" s="153"/>
      <c r="BY106" s="153"/>
      <c r="BZ106" s="153"/>
      <c r="CA106" s="151"/>
      <c r="CB106" s="151"/>
      <c r="CC106" s="151"/>
      <c r="CD106" s="151"/>
      <c r="CE106" s="151"/>
      <c r="CF106" s="151"/>
      <c r="CG106" s="151"/>
      <c r="CH106" s="151"/>
      <c r="CI106" s="151"/>
      <c r="CJ106" s="153"/>
      <c r="CK106" s="153"/>
      <c r="CL106" s="153"/>
      <c r="CM106" s="151"/>
      <c r="CN106" s="151"/>
      <c r="CO106" s="151"/>
      <c r="CP106" s="151"/>
      <c r="CQ106" s="151"/>
      <c r="CR106" s="151"/>
      <c r="CS106" s="151"/>
      <c r="CT106" s="151"/>
      <c r="CU106" s="151"/>
      <c r="CV106" s="153"/>
      <c r="CW106" s="153"/>
      <c r="CX106" s="153"/>
      <c r="CY106" s="153"/>
      <c r="CZ106" s="153"/>
      <c r="DA106" s="153"/>
      <c r="DB106" s="151"/>
      <c r="DC106" s="151"/>
      <c r="DD106" s="151"/>
      <c r="DE106" s="151"/>
      <c r="DF106" s="151"/>
      <c r="DG106" s="151"/>
      <c r="DH106" s="151"/>
      <c r="DI106" s="151"/>
      <c r="DJ106" s="151"/>
      <c r="DK106" s="153"/>
      <c r="DL106" s="153"/>
      <c r="DM106" s="153"/>
      <c r="DN106" s="153"/>
      <c r="DO106" s="153"/>
      <c r="DP106" s="153"/>
      <c r="DQ106" s="151"/>
      <c r="DR106" s="151"/>
      <c r="DS106" s="151"/>
    </row>
    <row r="107" spans="1:123">
      <c r="A107" s="132"/>
      <c r="B107" s="132"/>
      <c r="C107" s="148" t="s">
        <v>227</v>
      </c>
      <c r="D107" s="151"/>
      <c r="E107" s="151"/>
      <c r="F107" s="151"/>
      <c r="G107" s="151">
        <v>7500</v>
      </c>
      <c r="H107" s="151"/>
      <c r="I107" s="151">
        <v>7500</v>
      </c>
      <c r="J107" s="151"/>
      <c r="K107" s="151"/>
      <c r="L107" s="151"/>
      <c r="M107" s="151">
        <v>7500</v>
      </c>
      <c r="N107" s="151"/>
      <c r="O107" s="151">
        <v>7500</v>
      </c>
      <c r="P107" s="151"/>
      <c r="Q107" s="151"/>
      <c r="R107" s="151"/>
      <c r="S107" s="151"/>
      <c r="T107" s="151"/>
      <c r="U107" s="151"/>
      <c r="V107" s="151">
        <v>7500</v>
      </c>
      <c r="W107" s="151"/>
      <c r="X107" s="151">
        <v>7500</v>
      </c>
      <c r="Y107" s="151">
        <v>7500</v>
      </c>
      <c r="Z107" s="151"/>
      <c r="AA107" s="151">
        <v>7500</v>
      </c>
      <c r="AB107" s="151"/>
      <c r="AC107" s="151"/>
      <c r="AD107" s="151"/>
      <c r="AE107" s="151"/>
      <c r="AF107" s="151"/>
      <c r="AG107" s="151"/>
      <c r="AH107" s="151"/>
      <c r="AI107" s="151"/>
      <c r="AJ107" s="151"/>
      <c r="AK107" s="151"/>
      <c r="AL107" s="151"/>
      <c r="AM107" s="151"/>
      <c r="AN107" s="151"/>
      <c r="AO107" s="151"/>
      <c r="AP107" s="151"/>
      <c r="AQ107" s="151"/>
      <c r="AR107" s="151"/>
      <c r="AS107" s="151"/>
      <c r="AT107" s="151"/>
      <c r="AU107" s="151"/>
      <c r="AV107" s="151"/>
      <c r="AW107" s="151"/>
      <c r="AX107" s="151"/>
      <c r="AY107" s="151"/>
      <c r="AZ107" s="153">
        <v>15000</v>
      </c>
      <c r="BA107" s="153"/>
      <c r="BB107" s="153">
        <v>15000</v>
      </c>
      <c r="BC107" s="153">
        <v>15000</v>
      </c>
      <c r="BD107" s="153"/>
      <c r="BE107" s="153">
        <v>15000</v>
      </c>
      <c r="BF107" s="151">
        <v>1250</v>
      </c>
      <c r="BG107" s="151"/>
      <c r="BH107" s="151">
        <v>1250</v>
      </c>
      <c r="BI107" s="151">
        <v>1250</v>
      </c>
      <c r="BJ107" s="151"/>
      <c r="BK107" s="151">
        <v>1250</v>
      </c>
      <c r="BL107" s="153">
        <v>2500</v>
      </c>
      <c r="BM107" s="153"/>
      <c r="BN107" s="153">
        <v>2500</v>
      </c>
      <c r="BO107" s="151">
        <v>1250</v>
      </c>
      <c r="BP107" s="151"/>
      <c r="BQ107" s="151">
        <v>1250</v>
      </c>
      <c r="BR107" s="151">
        <v>1250</v>
      </c>
      <c r="BS107" s="151"/>
      <c r="BT107" s="151">
        <v>1250</v>
      </c>
      <c r="BU107" s="151">
        <v>1250</v>
      </c>
      <c r="BV107" s="151"/>
      <c r="BW107" s="151">
        <v>1250</v>
      </c>
      <c r="BX107" s="153">
        <v>3750</v>
      </c>
      <c r="BY107" s="153"/>
      <c r="BZ107" s="153">
        <v>3750</v>
      </c>
      <c r="CA107" s="151">
        <v>1250</v>
      </c>
      <c r="CB107" s="151"/>
      <c r="CC107" s="151">
        <v>1250</v>
      </c>
      <c r="CD107" s="151">
        <v>1250</v>
      </c>
      <c r="CE107" s="151"/>
      <c r="CF107" s="151">
        <v>1250</v>
      </c>
      <c r="CG107" s="151">
        <v>1250</v>
      </c>
      <c r="CH107" s="151"/>
      <c r="CI107" s="151">
        <v>1250</v>
      </c>
      <c r="CJ107" s="153">
        <v>3750</v>
      </c>
      <c r="CK107" s="153"/>
      <c r="CL107" s="153">
        <v>3750</v>
      </c>
      <c r="CM107" s="151">
        <v>1250</v>
      </c>
      <c r="CN107" s="151"/>
      <c r="CO107" s="151">
        <v>1250</v>
      </c>
      <c r="CP107" s="151">
        <v>1250</v>
      </c>
      <c r="CQ107" s="151"/>
      <c r="CR107" s="151">
        <v>1250</v>
      </c>
      <c r="CS107" s="151">
        <v>2500</v>
      </c>
      <c r="CT107" s="151"/>
      <c r="CU107" s="151">
        <v>2500</v>
      </c>
      <c r="CV107" s="153">
        <v>5000</v>
      </c>
      <c r="CW107" s="153"/>
      <c r="CX107" s="153">
        <v>5000</v>
      </c>
      <c r="CY107" s="153">
        <v>15000</v>
      </c>
      <c r="CZ107" s="153"/>
      <c r="DA107" s="153">
        <v>15000</v>
      </c>
      <c r="DB107" s="151"/>
      <c r="DC107" s="151"/>
      <c r="DD107" s="151"/>
      <c r="DE107" s="151"/>
      <c r="DF107" s="151"/>
      <c r="DG107" s="151"/>
      <c r="DH107" s="151"/>
      <c r="DI107" s="151"/>
      <c r="DJ107" s="151"/>
      <c r="DK107" s="153"/>
      <c r="DL107" s="153"/>
      <c r="DM107" s="153"/>
      <c r="DN107" s="153"/>
      <c r="DO107" s="153"/>
      <c r="DP107" s="153"/>
      <c r="DQ107" s="151">
        <v>15000</v>
      </c>
      <c r="DR107" s="151"/>
      <c r="DS107" s="151">
        <v>15000</v>
      </c>
    </row>
    <row r="108" spans="1:123">
      <c r="A108" s="132"/>
      <c r="B108" s="132"/>
      <c r="C108" s="148" t="s">
        <v>229</v>
      </c>
      <c r="D108" s="151">
        <v>50</v>
      </c>
      <c r="E108" s="151"/>
      <c r="F108" s="151">
        <v>50</v>
      </c>
      <c r="G108" s="151">
        <v>325</v>
      </c>
      <c r="H108" s="151"/>
      <c r="I108" s="151">
        <v>325</v>
      </c>
      <c r="J108" s="151">
        <v>600</v>
      </c>
      <c r="K108" s="151"/>
      <c r="L108" s="151">
        <v>600</v>
      </c>
      <c r="M108" s="151">
        <v>975</v>
      </c>
      <c r="N108" s="151"/>
      <c r="O108" s="151">
        <v>975</v>
      </c>
      <c r="P108" s="151">
        <v>325</v>
      </c>
      <c r="Q108" s="151"/>
      <c r="R108" s="151">
        <v>325</v>
      </c>
      <c r="S108" s="151">
        <v>325</v>
      </c>
      <c r="T108" s="151"/>
      <c r="U108" s="151">
        <v>325</v>
      </c>
      <c r="V108" s="151">
        <v>300</v>
      </c>
      <c r="W108" s="151"/>
      <c r="X108" s="151">
        <v>300</v>
      </c>
      <c r="Y108" s="151">
        <v>950</v>
      </c>
      <c r="Z108" s="151"/>
      <c r="AA108" s="151">
        <v>950</v>
      </c>
      <c r="AB108" s="151">
        <v>325</v>
      </c>
      <c r="AC108" s="151"/>
      <c r="AD108" s="151">
        <v>325</v>
      </c>
      <c r="AE108" s="151">
        <v>325</v>
      </c>
      <c r="AF108" s="151"/>
      <c r="AG108" s="151">
        <v>325</v>
      </c>
      <c r="AH108" s="151">
        <v>325</v>
      </c>
      <c r="AI108" s="151"/>
      <c r="AJ108" s="151">
        <v>325</v>
      </c>
      <c r="AK108" s="151">
        <v>975</v>
      </c>
      <c r="AL108" s="151"/>
      <c r="AM108" s="151">
        <v>975</v>
      </c>
      <c r="AN108" s="151">
        <v>325</v>
      </c>
      <c r="AO108" s="151"/>
      <c r="AP108" s="151">
        <v>325</v>
      </c>
      <c r="AQ108" s="151">
        <v>325</v>
      </c>
      <c r="AR108" s="151"/>
      <c r="AS108" s="151">
        <v>325</v>
      </c>
      <c r="AT108" s="151">
        <v>450</v>
      </c>
      <c r="AU108" s="151"/>
      <c r="AV108" s="151">
        <v>450</v>
      </c>
      <c r="AW108" s="151">
        <v>1100</v>
      </c>
      <c r="AX108" s="151"/>
      <c r="AY108" s="151">
        <v>1100</v>
      </c>
      <c r="AZ108" s="153">
        <v>4000</v>
      </c>
      <c r="BA108" s="153"/>
      <c r="BB108" s="153">
        <v>4000</v>
      </c>
      <c r="BC108" s="153">
        <v>4000</v>
      </c>
      <c r="BD108" s="153"/>
      <c r="BE108" s="153">
        <v>4000</v>
      </c>
      <c r="BF108" s="151">
        <v>50</v>
      </c>
      <c r="BG108" s="151"/>
      <c r="BH108" s="151">
        <v>50</v>
      </c>
      <c r="BI108" s="151">
        <v>325</v>
      </c>
      <c r="BJ108" s="151"/>
      <c r="BK108" s="151">
        <v>325</v>
      </c>
      <c r="BL108" s="153">
        <v>375</v>
      </c>
      <c r="BM108" s="153"/>
      <c r="BN108" s="153">
        <v>375</v>
      </c>
      <c r="BO108" s="151">
        <v>600</v>
      </c>
      <c r="BP108" s="151"/>
      <c r="BQ108" s="151">
        <v>600</v>
      </c>
      <c r="BR108" s="151">
        <v>325</v>
      </c>
      <c r="BS108" s="151"/>
      <c r="BT108" s="151">
        <v>325</v>
      </c>
      <c r="BU108" s="151">
        <v>325</v>
      </c>
      <c r="BV108" s="151"/>
      <c r="BW108" s="151">
        <v>325</v>
      </c>
      <c r="BX108" s="153">
        <v>1250</v>
      </c>
      <c r="BY108" s="153"/>
      <c r="BZ108" s="153">
        <v>1250</v>
      </c>
      <c r="CA108" s="151">
        <v>300</v>
      </c>
      <c r="CB108" s="151"/>
      <c r="CC108" s="151">
        <v>300</v>
      </c>
      <c r="CD108" s="151">
        <v>325</v>
      </c>
      <c r="CE108" s="151"/>
      <c r="CF108" s="151">
        <v>325</v>
      </c>
      <c r="CG108" s="151">
        <v>325</v>
      </c>
      <c r="CH108" s="151"/>
      <c r="CI108" s="151">
        <v>325</v>
      </c>
      <c r="CJ108" s="153">
        <v>950</v>
      </c>
      <c r="CK108" s="153"/>
      <c r="CL108" s="153">
        <v>950</v>
      </c>
      <c r="CM108" s="151">
        <v>325</v>
      </c>
      <c r="CN108" s="151"/>
      <c r="CO108" s="151">
        <v>325</v>
      </c>
      <c r="CP108" s="151">
        <v>325</v>
      </c>
      <c r="CQ108" s="151"/>
      <c r="CR108" s="151">
        <v>325</v>
      </c>
      <c r="CS108" s="151">
        <v>775</v>
      </c>
      <c r="CT108" s="151"/>
      <c r="CU108" s="151">
        <v>775</v>
      </c>
      <c r="CV108" s="153">
        <v>1425</v>
      </c>
      <c r="CW108" s="153"/>
      <c r="CX108" s="153">
        <v>1425</v>
      </c>
      <c r="CY108" s="153">
        <v>4000</v>
      </c>
      <c r="CZ108" s="153"/>
      <c r="DA108" s="153">
        <v>4000</v>
      </c>
      <c r="DB108" s="151"/>
      <c r="DC108" s="151"/>
      <c r="DD108" s="151"/>
      <c r="DE108" s="151"/>
      <c r="DF108" s="151"/>
      <c r="DG108" s="151"/>
      <c r="DH108" s="151"/>
      <c r="DI108" s="151"/>
      <c r="DJ108" s="151"/>
      <c r="DK108" s="153"/>
      <c r="DL108" s="153"/>
      <c r="DM108" s="153"/>
      <c r="DN108" s="153"/>
      <c r="DO108" s="153"/>
      <c r="DP108" s="153"/>
      <c r="DQ108" s="151">
        <v>4000</v>
      </c>
      <c r="DR108" s="151"/>
      <c r="DS108" s="151">
        <v>4000</v>
      </c>
    </row>
    <row r="109" ht="63" spans="1:123">
      <c r="A109" s="132"/>
      <c r="B109" s="154"/>
      <c r="C109" s="148" t="s">
        <v>231</v>
      </c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>
        <v>500</v>
      </c>
      <c r="T109" s="151"/>
      <c r="U109" s="151">
        <v>500</v>
      </c>
      <c r="V109" s="151"/>
      <c r="W109" s="151"/>
      <c r="X109" s="151"/>
      <c r="Y109" s="151">
        <v>500</v>
      </c>
      <c r="Z109" s="151"/>
      <c r="AA109" s="151">
        <v>500</v>
      </c>
      <c r="AB109" s="151"/>
      <c r="AC109" s="151"/>
      <c r="AD109" s="151"/>
      <c r="AE109" s="151"/>
      <c r="AF109" s="151"/>
      <c r="AG109" s="151"/>
      <c r="AH109" s="151"/>
      <c r="AI109" s="151"/>
      <c r="AJ109" s="151"/>
      <c r="AK109" s="151"/>
      <c r="AL109" s="151"/>
      <c r="AM109" s="151"/>
      <c r="AN109" s="151"/>
      <c r="AO109" s="151"/>
      <c r="AP109" s="151"/>
      <c r="AQ109" s="151"/>
      <c r="AR109" s="151"/>
      <c r="AS109" s="151"/>
      <c r="AT109" s="151"/>
      <c r="AU109" s="151"/>
      <c r="AV109" s="151"/>
      <c r="AW109" s="151"/>
      <c r="AX109" s="151"/>
      <c r="AY109" s="151"/>
      <c r="AZ109" s="153">
        <v>500</v>
      </c>
      <c r="BA109" s="153"/>
      <c r="BB109" s="153">
        <v>500</v>
      </c>
      <c r="BC109" s="153">
        <v>500</v>
      </c>
      <c r="BD109" s="153"/>
      <c r="BE109" s="153">
        <v>500</v>
      </c>
      <c r="BF109" s="151"/>
      <c r="BG109" s="151"/>
      <c r="BH109" s="151"/>
      <c r="BI109" s="151"/>
      <c r="BJ109" s="151"/>
      <c r="BK109" s="151"/>
      <c r="BL109" s="153"/>
      <c r="BM109" s="153"/>
      <c r="BN109" s="153"/>
      <c r="BO109" s="151"/>
      <c r="BP109" s="151"/>
      <c r="BQ109" s="151"/>
      <c r="BR109" s="151"/>
      <c r="BS109" s="151"/>
      <c r="BT109" s="151"/>
      <c r="BU109" s="151">
        <v>500</v>
      </c>
      <c r="BV109" s="151"/>
      <c r="BW109" s="151">
        <v>500</v>
      </c>
      <c r="BX109" s="153">
        <v>500</v>
      </c>
      <c r="BY109" s="153"/>
      <c r="BZ109" s="153">
        <v>500</v>
      </c>
      <c r="CA109" s="151"/>
      <c r="CB109" s="151"/>
      <c r="CC109" s="151"/>
      <c r="CD109" s="151"/>
      <c r="CE109" s="151"/>
      <c r="CF109" s="151"/>
      <c r="CG109" s="151"/>
      <c r="CH109" s="151"/>
      <c r="CI109" s="151"/>
      <c r="CJ109" s="153"/>
      <c r="CK109" s="153"/>
      <c r="CL109" s="153"/>
      <c r="CM109" s="151"/>
      <c r="CN109" s="151"/>
      <c r="CO109" s="151"/>
      <c r="CP109" s="151"/>
      <c r="CQ109" s="151"/>
      <c r="CR109" s="151"/>
      <c r="CS109" s="151"/>
      <c r="CT109" s="151"/>
      <c r="CU109" s="151"/>
      <c r="CV109" s="153"/>
      <c r="CW109" s="153"/>
      <c r="CX109" s="153"/>
      <c r="CY109" s="153">
        <v>500</v>
      </c>
      <c r="CZ109" s="153"/>
      <c r="DA109" s="153">
        <v>500</v>
      </c>
      <c r="DB109" s="151"/>
      <c r="DC109" s="151"/>
      <c r="DD109" s="151"/>
      <c r="DE109" s="151"/>
      <c r="DF109" s="151"/>
      <c r="DG109" s="151"/>
      <c r="DH109" s="151"/>
      <c r="DI109" s="151"/>
      <c r="DJ109" s="151"/>
      <c r="DK109" s="153"/>
      <c r="DL109" s="153"/>
      <c r="DM109" s="153"/>
      <c r="DN109" s="153"/>
      <c r="DO109" s="153"/>
      <c r="DP109" s="153"/>
      <c r="DQ109" s="151">
        <v>500</v>
      </c>
      <c r="DR109" s="151"/>
      <c r="DS109" s="151">
        <v>500</v>
      </c>
    </row>
    <row r="110" spans="1:123">
      <c r="A110" s="132"/>
      <c r="B110" s="132"/>
      <c r="C110" s="148" t="s">
        <v>233</v>
      </c>
      <c r="D110" s="151">
        <v>50</v>
      </c>
      <c r="E110" s="151"/>
      <c r="F110" s="151">
        <v>50</v>
      </c>
      <c r="G110" s="151">
        <v>4000</v>
      </c>
      <c r="H110" s="151"/>
      <c r="I110" s="151">
        <v>4000</v>
      </c>
      <c r="J110" s="151">
        <v>4000</v>
      </c>
      <c r="K110" s="151"/>
      <c r="L110" s="151">
        <v>4000</v>
      </c>
      <c r="M110" s="151">
        <v>8050</v>
      </c>
      <c r="N110" s="151"/>
      <c r="O110" s="151">
        <v>8050</v>
      </c>
      <c r="P110" s="151">
        <v>3000</v>
      </c>
      <c r="Q110" s="151"/>
      <c r="R110" s="151">
        <v>3000</v>
      </c>
      <c r="S110" s="151">
        <v>1000</v>
      </c>
      <c r="T110" s="151"/>
      <c r="U110" s="151">
        <v>1000</v>
      </c>
      <c r="V110" s="151">
        <v>2000</v>
      </c>
      <c r="W110" s="151"/>
      <c r="X110" s="151">
        <v>2000</v>
      </c>
      <c r="Y110" s="151">
        <v>6000</v>
      </c>
      <c r="Z110" s="151"/>
      <c r="AA110" s="151">
        <v>6000</v>
      </c>
      <c r="AB110" s="151">
        <v>2000</v>
      </c>
      <c r="AC110" s="151"/>
      <c r="AD110" s="151">
        <v>2000</v>
      </c>
      <c r="AE110" s="151">
        <v>250</v>
      </c>
      <c r="AF110" s="151"/>
      <c r="AG110" s="151">
        <v>250</v>
      </c>
      <c r="AH110" s="151">
        <v>250</v>
      </c>
      <c r="AI110" s="151"/>
      <c r="AJ110" s="151">
        <v>250</v>
      </c>
      <c r="AK110" s="151">
        <v>2500</v>
      </c>
      <c r="AL110" s="151"/>
      <c r="AM110" s="151">
        <v>2500</v>
      </c>
      <c r="AN110" s="151">
        <v>100</v>
      </c>
      <c r="AO110" s="151"/>
      <c r="AP110" s="151">
        <v>100</v>
      </c>
      <c r="AQ110" s="151">
        <v>100</v>
      </c>
      <c r="AR110" s="151"/>
      <c r="AS110" s="151">
        <v>100</v>
      </c>
      <c r="AT110" s="151">
        <v>259</v>
      </c>
      <c r="AU110" s="151"/>
      <c r="AV110" s="151">
        <v>259</v>
      </c>
      <c r="AW110" s="151">
        <v>459</v>
      </c>
      <c r="AX110" s="151"/>
      <c r="AY110" s="151">
        <v>459</v>
      </c>
      <c r="AZ110" s="153">
        <v>17009</v>
      </c>
      <c r="BA110" s="153"/>
      <c r="BB110" s="153">
        <v>17009</v>
      </c>
      <c r="BC110" s="153">
        <v>17009</v>
      </c>
      <c r="BD110" s="153"/>
      <c r="BE110" s="153">
        <v>17009</v>
      </c>
      <c r="BF110" s="151">
        <v>50</v>
      </c>
      <c r="BG110" s="151"/>
      <c r="BH110" s="151">
        <v>50</v>
      </c>
      <c r="BI110" s="151">
        <v>4000</v>
      </c>
      <c r="BJ110" s="151"/>
      <c r="BK110" s="151">
        <v>4000</v>
      </c>
      <c r="BL110" s="153">
        <v>4050</v>
      </c>
      <c r="BM110" s="153"/>
      <c r="BN110" s="153">
        <v>4050</v>
      </c>
      <c r="BO110" s="151">
        <v>4000</v>
      </c>
      <c r="BP110" s="151"/>
      <c r="BQ110" s="151">
        <v>4000</v>
      </c>
      <c r="BR110" s="151">
        <v>3000</v>
      </c>
      <c r="BS110" s="151"/>
      <c r="BT110" s="151">
        <v>3000</v>
      </c>
      <c r="BU110" s="151">
        <v>1000</v>
      </c>
      <c r="BV110" s="151"/>
      <c r="BW110" s="151">
        <v>1000</v>
      </c>
      <c r="BX110" s="153">
        <v>8000</v>
      </c>
      <c r="BY110" s="153"/>
      <c r="BZ110" s="153">
        <v>8000</v>
      </c>
      <c r="CA110" s="151">
        <v>2000</v>
      </c>
      <c r="CB110" s="151"/>
      <c r="CC110" s="151">
        <v>2000</v>
      </c>
      <c r="CD110" s="151">
        <v>2000</v>
      </c>
      <c r="CE110" s="151"/>
      <c r="CF110" s="151">
        <v>2000</v>
      </c>
      <c r="CG110" s="151">
        <v>250</v>
      </c>
      <c r="CH110" s="151"/>
      <c r="CI110" s="151">
        <v>250</v>
      </c>
      <c r="CJ110" s="153">
        <v>4250</v>
      </c>
      <c r="CK110" s="153"/>
      <c r="CL110" s="153">
        <v>4250</v>
      </c>
      <c r="CM110" s="151">
        <v>250</v>
      </c>
      <c r="CN110" s="151"/>
      <c r="CO110" s="151">
        <v>250</v>
      </c>
      <c r="CP110" s="151">
        <v>100</v>
      </c>
      <c r="CQ110" s="151"/>
      <c r="CR110" s="151">
        <v>100</v>
      </c>
      <c r="CS110" s="151">
        <v>359</v>
      </c>
      <c r="CT110" s="151"/>
      <c r="CU110" s="151">
        <v>359</v>
      </c>
      <c r="CV110" s="153">
        <v>709</v>
      </c>
      <c r="CW110" s="153"/>
      <c r="CX110" s="153">
        <v>709</v>
      </c>
      <c r="CY110" s="153">
        <v>17009</v>
      </c>
      <c r="CZ110" s="153"/>
      <c r="DA110" s="153">
        <v>17009</v>
      </c>
      <c r="DB110" s="151"/>
      <c r="DC110" s="151"/>
      <c r="DD110" s="151"/>
      <c r="DE110" s="151"/>
      <c r="DF110" s="151"/>
      <c r="DG110" s="151"/>
      <c r="DH110" s="151"/>
      <c r="DI110" s="151"/>
      <c r="DJ110" s="151"/>
      <c r="DK110" s="153"/>
      <c r="DL110" s="153"/>
      <c r="DM110" s="153"/>
      <c r="DN110" s="153"/>
      <c r="DO110" s="153"/>
      <c r="DP110" s="153"/>
      <c r="DQ110" s="151">
        <v>17009</v>
      </c>
      <c r="DR110" s="151"/>
      <c r="DS110" s="151">
        <v>17009</v>
      </c>
    </row>
    <row r="111" spans="1:123">
      <c r="A111" s="132" t="s">
        <v>368</v>
      </c>
      <c r="B111" s="132"/>
      <c r="C111" s="148"/>
      <c r="D111" s="151">
        <v>100</v>
      </c>
      <c r="E111" s="151"/>
      <c r="F111" s="151">
        <v>100</v>
      </c>
      <c r="G111" s="151">
        <v>13458</v>
      </c>
      <c r="H111" s="151"/>
      <c r="I111" s="151">
        <v>13458</v>
      </c>
      <c r="J111" s="151">
        <v>165099.6</v>
      </c>
      <c r="K111" s="151">
        <v>25200</v>
      </c>
      <c r="L111" s="151">
        <v>190299.6</v>
      </c>
      <c r="M111" s="151">
        <v>178657.6</v>
      </c>
      <c r="N111" s="151">
        <v>25200</v>
      </c>
      <c r="O111" s="151">
        <v>203857.6</v>
      </c>
      <c r="P111" s="151">
        <v>595521</v>
      </c>
      <c r="Q111" s="151">
        <v>42340</v>
      </c>
      <c r="R111" s="151">
        <v>637861</v>
      </c>
      <c r="S111" s="151">
        <v>1825</v>
      </c>
      <c r="T111" s="151"/>
      <c r="U111" s="151">
        <v>1825</v>
      </c>
      <c r="V111" s="151">
        <v>10250</v>
      </c>
      <c r="W111" s="151">
        <v>78200</v>
      </c>
      <c r="X111" s="151">
        <v>88450</v>
      </c>
      <c r="Y111" s="151">
        <v>607596</v>
      </c>
      <c r="Z111" s="151">
        <v>120540</v>
      </c>
      <c r="AA111" s="151">
        <v>728136</v>
      </c>
      <c r="AB111" s="151">
        <v>49052.4</v>
      </c>
      <c r="AC111" s="151"/>
      <c r="AD111" s="151">
        <v>49052.4</v>
      </c>
      <c r="AE111" s="151">
        <v>675</v>
      </c>
      <c r="AF111" s="151"/>
      <c r="AG111" s="151">
        <v>675</v>
      </c>
      <c r="AH111" s="151">
        <v>1225</v>
      </c>
      <c r="AI111" s="151">
        <v>20000</v>
      </c>
      <c r="AJ111" s="151">
        <v>21225</v>
      </c>
      <c r="AK111" s="151">
        <v>50952.4</v>
      </c>
      <c r="AL111" s="151">
        <v>20000</v>
      </c>
      <c r="AM111" s="151">
        <v>70952.4</v>
      </c>
      <c r="AN111" s="151">
        <v>1125</v>
      </c>
      <c r="AO111" s="151"/>
      <c r="AP111" s="151">
        <v>1125</v>
      </c>
      <c r="AQ111" s="151">
        <v>425</v>
      </c>
      <c r="AR111" s="151"/>
      <c r="AS111" s="151">
        <v>425</v>
      </c>
      <c r="AT111" s="151">
        <v>709</v>
      </c>
      <c r="AU111" s="151"/>
      <c r="AV111" s="151">
        <v>709</v>
      </c>
      <c r="AW111" s="151">
        <v>2259</v>
      </c>
      <c r="AX111" s="151"/>
      <c r="AY111" s="151">
        <v>2259</v>
      </c>
      <c r="AZ111" s="153">
        <v>839465</v>
      </c>
      <c r="BA111" s="153">
        <v>165740</v>
      </c>
      <c r="BB111" s="153">
        <v>1005205</v>
      </c>
      <c r="BC111" s="153">
        <v>839465</v>
      </c>
      <c r="BD111" s="153">
        <v>165740</v>
      </c>
      <c r="BE111" s="153">
        <v>1005205</v>
      </c>
      <c r="BF111" s="151">
        <v>1418</v>
      </c>
      <c r="BG111" s="151"/>
      <c r="BH111" s="151">
        <v>1418</v>
      </c>
      <c r="BI111" s="151">
        <v>5643</v>
      </c>
      <c r="BJ111" s="151"/>
      <c r="BK111" s="151">
        <v>5643</v>
      </c>
      <c r="BL111" s="153">
        <v>7061</v>
      </c>
      <c r="BM111" s="153"/>
      <c r="BN111" s="153">
        <v>7061</v>
      </c>
      <c r="BO111" s="151">
        <v>14931</v>
      </c>
      <c r="BP111" s="151"/>
      <c r="BQ111" s="151">
        <v>14931</v>
      </c>
      <c r="BR111" s="151">
        <v>9716</v>
      </c>
      <c r="BS111" s="151"/>
      <c r="BT111" s="151">
        <v>9716</v>
      </c>
      <c r="BU111" s="151">
        <v>13593</v>
      </c>
      <c r="BV111" s="151"/>
      <c r="BW111" s="151">
        <v>13593</v>
      </c>
      <c r="BX111" s="153">
        <v>38240</v>
      </c>
      <c r="BY111" s="153"/>
      <c r="BZ111" s="153">
        <v>38240</v>
      </c>
      <c r="CA111" s="151">
        <v>391697.6</v>
      </c>
      <c r="CB111" s="151"/>
      <c r="CC111" s="151">
        <v>391697.6</v>
      </c>
      <c r="CD111" s="151">
        <v>344276</v>
      </c>
      <c r="CE111" s="151">
        <v>2940</v>
      </c>
      <c r="CF111" s="151">
        <v>347216</v>
      </c>
      <c r="CG111" s="151">
        <v>1993</v>
      </c>
      <c r="CH111" s="151">
        <v>52300</v>
      </c>
      <c r="CI111" s="151">
        <v>54293</v>
      </c>
      <c r="CJ111" s="153">
        <v>737966.6</v>
      </c>
      <c r="CK111" s="153">
        <v>55240</v>
      </c>
      <c r="CL111" s="153">
        <v>793206.6</v>
      </c>
      <c r="CM111" s="151">
        <v>2543</v>
      </c>
      <c r="CN111" s="151">
        <v>78500</v>
      </c>
      <c r="CO111" s="151">
        <v>81043</v>
      </c>
      <c r="CP111" s="151">
        <v>49950.4</v>
      </c>
      <c r="CQ111" s="151">
        <v>19000</v>
      </c>
      <c r="CR111" s="151">
        <v>68950.4</v>
      </c>
      <c r="CS111" s="151">
        <v>3704</v>
      </c>
      <c r="CT111" s="151">
        <v>4000</v>
      </c>
      <c r="CU111" s="151">
        <v>7704</v>
      </c>
      <c r="CV111" s="153">
        <v>56197.4</v>
      </c>
      <c r="CW111" s="153">
        <v>101500</v>
      </c>
      <c r="CX111" s="153">
        <v>157697.4</v>
      </c>
      <c r="CY111" s="153">
        <v>839465</v>
      </c>
      <c r="CZ111" s="153">
        <v>156740</v>
      </c>
      <c r="DA111" s="153">
        <v>996205</v>
      </c>
      <c r="DB111" s="151"/>
      <c r="DC111" s="151">
        <v>4000</v>
      </c>
      <c r="DD111" s="151">
        <v>4000</v>
      </c>
      <c r="DE111" s="151"/>
      <c r="DF111" s="151">
        <v>4000</v>
      </c>
      <c r="DG111" s="151">
        <v>4000</v>
      </c>
      <c r="DH111" s="151"/>
      <c r="DI111" s="151">
        <v>1000</v>
      </c>
      <c r="DJ111" s="151">
        <v>1000</v>
      </c>
      <c r="DK111" s="153"/>
      <c r="DL111" s="153">
        <v>9000</v>
      </c>
      <c r="DM111" s="153">
        <v>9000</v>
      </c>
      <c r="DN111" s="153"/>
      <c r="DO111" s="153">
        <v>9000</v>
      </c>
      <c r="DP111" s="153">
        <v>9000</v>
      </c>
      <c r="DQ111" s="151">
        <v>839465</v>
      </c>
      <c r="DR111" s="151">
        <v>165740</v>
      </c>
      <c r="DS111" s="151">
        <v>1005205</v>
      </c>
    </row>
    <row r="113" s="142" customFormat="1" spans="1:115">
      <c r="A113" s="139" t="s">
        <v>369</v>
      </c>
      <c r="B113" s="146"/>
      <c r="C113" s="147"/>
      <c r="AB113" s="141" t="s">
        <v>370</v>
      </c>
      <c r="AM113" s="141" t="s">
        <v>371</v>
      </c>
      <c r="AN113" s="141"/>
      <c r="AO113" s="141"/>
      <c r="AP113" s="141"/>
      <c r="AQ113" s="141"/>
      <c r="AR113" s="141"/>
      <c r="AS113" s="141"/>
      <c r="AX113" s="141" t="s">
        <v>372</v>
      </c>
      <c r="BC113" s="141" t="s">
        <v>373</v>
      </c>
      <c r="CM113" s="141" t="s">
        <v>370</v>
      </c>
      <c r="CS113" s="141" t="s">
        <v>371</v>
      </c>
      <c r="CT113" s="141"/>
      <c r="CU113" s="141"/>
      <c r="CV113" s="141"/>
      <c r="CW113" s="141"/>
      <c r="CX113" s="141"/>
      <c r="CY113" s="141"/>
      <c r="CZ113" s="155"/>
      <c r="DA113" s="155"/>
      <c r="DB113" s="155"/>
      <c r="DC113" s="155"/>
      <c r="DD113" s="141" t="s">
        <v>372</v>
      </c>
      <c r="DE113" s="155"/>
      <c r="DF113" s="155"/>
      <c r="DG113" s="155"/>
      <c r="DH113" s="155"/>
      <c r="DK113" s="141" t="s">
        <v>373</v>
      </c>
    </row>
    <row r="114" s="142" customFormat="1" spans="1:115">
      <c r="A114" s="139"/>
      <c r="B114" s="146"/>
      <c r="C114" s="147"/>
      <c r="AB114" s="141"/>
      <c r="AM114" s="141"/>
      <c r="AN114" s="141"/>
      <c r="AO114" s="141"/>
      <c r="AP114" s="141"/>
      <c r="AQ114" s="141"/>
      <c r="AR114" s="141"/>
      <c r="AS114" s="141"/>
      <c r="AX114" s="141"/>
      <c r="BC114" s="141"/>
      <c r="CM114" s="141"/>
      <c r="CS114" s="141"/>
      <c r="CT114" s="141"/>
      <c r="CU114" s="141"/>
      <c r="CV114" s="141"/>
      <c r="CW114" s="141"/>
      <c r="CX114" s="141"/>
      <c r="CY114" s="141"/>
      <c r="CZ114" s="155"/>
      <c r="DA114" s="155"/>
      <c r="DB114" s="155"/>
      <c r="DC114" s="155"/>
      <c r="DD114" s="141"/>
      <c r="DE114" s="155"/>
      <c r="DF114" s="155"/>
      <c r="DG114" s="155"/>
      <c r="DH114" s="155"/>
      <c r="DK114" s="141"/>
    </row>
    <row r="115" s="142" customFormat="1" spans="1:115">
      <c r="A115" s="139"/>
      <c r="B115" s="146"/>
      <c r="C115" s="147"/>
      <c r="AB115" s="141"/>
      <c r="AM115" s="141"/>
      <c r="AN115" s="141"/>
      <c r="AO115" s="141"/>
      <c r="AP115" s="141"/>
      <c r="AQ115" s="141"/>
      <c r="AR115" s="141"/>
      <c r="AS115" s="141"/>
      <c r="AX115" s="141"/>
      <c r="BC115" s="141"/>
      <c r="CM115" s="141"/>
      <c r="CS115" s="141"/>
      <c r="CT115" s="141"/>
      <c r="CU115" s="141"/>
      <c r="CV115" s="141"/>
      <c r="CW115" s="141"/>
      <c r="CX115" s="141"/>
      <c r="CY115" s="141"/>
      <c r="CZ115" s="155"/>
      <c r="DA115" s="155"/>
      <c r="DB115" s="155"/>
      <c r="DC115" s="155"/>
      <c r="DD115" s="141"/>
      <c r="DE115" s="155"/>
      <c r="DF115" s="155"/>
      <c r="DG115" s="155"/>
      <c r="DH115" s="155"/>
      <c r="DK115" s="141"/>
    </row>
    <row r="116" s="142" customFormat="1" spans="1:115">
      <c r="A116" s="139"/>
      <c r="B116" s="146"/>
      <c r="C116" s="147"/>
      <c r="AB116" s="141"/>
      <c r="AM116" s="141"/>
      <c r="AN116" s="141"/>
      <c r="AO116" s="141"/>
      <c r="AP116" s="141"/>
      <c r="AQ116" s="141"/>
      <c r="AR116" s="141"/>
      <c r="AS116" s="141"/>
      <c r="AX116" s="141"/>
      <c r="BC116" s="141"/>
      <c r="CM116" s="141"/>
      <c r="CS116" s="141"/>
      <c r="CT116" s="141"/>
      <c r="CU116" s="141"/>
      <c r="CV116" s="141"/>
      <c r="CW116" s="141"/>
      <c r="CX116" s="141"/>
      <c r="CY116" s="141"/>
      <c r="CZ116" s="155"/>
      <c r="DA116" s="155"/>
      <c r="DB116" s="155"/>
      <c r="DC116" s="155"/>
      <c r="DD116" s="141"/>
      <c r="DE116" s="155"/>
      <c r="DF116" s="155"/>
      <c r="DG116" s="155"/>
      <c r="DH116" s="155"/>
      <c r="DK116" s="141"/>
    </row>
    <row r="117" s="142" customFormat="1" spans="1:115">
      <c r="A117" s="140" t="s">
        <v>374</v>
      </c>
      <c r="B117" s="146"/>
      <c r="C117" s="147"/>
      <c r="AB117" s="143" t="s">
        <v>375</v>
      </c>
      <c r="AM117" s="143" t="s">
        <v>376</v>
      </c>
      <c r="AN117" s="143"/>
      <c r="AO117" s="143"/>
      <c r="AP117" s="143"/>
      <c r="AQ117" s="143"/>
      <c r="AR117" s="143" t="s">
        <v>389</v>
      </c>
      <c r="AS117" s="143"/>
      <c r="AX117" s="143" t="s">
        <v>378</v>
      </c>
      <c r="BC117" s="143" t="s">
        <v>379</v>
      </c>
      <c r="CM117" s="143" t="s">
        <v>375</v>
      </c>
      <c r="CS117" s="143" t="s">
        <v>376</v>
      </c>
      <c r="CT117" s="143"/>
      <c r="CU117" s="143"/>
      <c r="CV117" s="143"/>
      <c r="CW117" s="143"/>
      <c r="CX117" s="143" t="s">
        <v>389</v>
      </c>
      <c r="CY117" s="143"/>
      <c r="CZ117" s="155"/>
      <c r="DA117" s="155"/>
      <c r="DB117" s="155"/>
      <c r="DC117" s="155"/>
      <c r="DD117" s="143" t="s">
        <v>378</v>
      </c>
      <c r="DE117" s="155"/>
      <c r="DF117" s="155"/>
      <c r="DG117" s="155"/>
      <c r="DH117" s="155"/>
      <c r="DK117" s="143" t="s">
        <v>379</v>
      </c>
    </row>
    <row r="118" s="142" customFormat="1" spans="1:115">
      <c r="A118" s="139" t="s">
        <v>380</v>
      </c>
      <c r="B118" s="146"/>
      <c r="C118" s="147"/>
      <c r="AB118" s="141" t="s">
        <v>381</v>
      </c>
      <c r="AM118" s="141" t="s">
        <v>382</v>
      </c>
      <c r="AN118" s="141"/>
      <c r="AO118" s="141"/>
      <c r="AP118" s="141"/>
      <c r="AQ118" s="141"/>
      <c r="AR118" s="141" t="s">
        <v>390</v>
      </c>
      <c r="AS118" s="141"/>
      <c r="AX118" s="141" t="s">
        <v>384</v>
      </c>
      <c r="BC118" s="141" t="s">
        <v>385</v>
      </c>
      <c r="CM118" s="141" t="s">
        <v>381</v>
      </c>
      <c r="CS118" s="141" t="s">
        <v>382</v>
      </c>
      <c r="CT118" s="141"/>
      <c r="CU118" s="141"/>
      <c r="CV118" s="141"/>
      <c r="CW118" s="141"/>
      <c r="CX118" s="141" t="s">
        <v>390</v>
      </c>
      <c r="CY118" s="141"/>
      <c r="CZ118" s="155"/>
      <c r="DA118" s="155"/>
      <c r="DB118" s="155"/>
      <c r="DC118" s="155"/>
      <c r="DD118" s="141" t="s">
        <v>384</v>
      </c>
      <c r="DE118" s="155"/>
      <c r="DF118" s="155"/>
      <c r="DG118" s="155"/>
      <c r="DH118" s="155"/>
      <c r="DK118" s="141" t="s">
        <v>385</v>
      </c>
    </row>
    <row r="119" s="142" customFormat="1" spans="1:113">
      <c r="A119" s="146"/>
      <c r="B119" s="146"/>
      <c r="C119" s="147"/>
      <c r="AB119" s="141" t="s">
        <v>386</v>
      </c>
      <c r="AM119" s="141" t="s">
        <v>387</v>
      </c>
      <c r="CM119" s="144" t="s">
        <v>386</v>
      </c>
      <c r="CS119" s="144" t="s">
        <v>387</v>
      </c>
      <c r="CT119" s="155"/>
      <c r="CU119" s="155"/>
      <c r="CV119" s="155"/>
      <c r="CW119" s="155"/>
      <c r="CX119" s="155"/>
      <c r="CY119" s="155"/>
      <c r="CZ119" s="155"/>
      <c r="DA119" s="155"/>
      <c r="DB119" s="155"/>
      <c r="DC119" s="155"/>
      <c r="DD119" s="155"/>
      <c r="DE119" s="155"/>
      <c r="DF119" s="155"/>
      <c r="DG119" s="155"/>
      <c r="DH119" s="155"/>
      <c r="DI119" s="155"/>
    </row>
  </sheetData>
  <mergeCells count="82">
    <mergeCell ref="D6:BB6"/>
    <mergeCell ref="BF6:DP6"/>
    <mergeCell ref="D7:AY7"/>
    <mergeCell ref="BF7:CX7"/>
    <mergeCell ref="DB7:DM7"/>
    <mergeCell ref="D8:L8"/>
    <mergeCell ref="P8:X8"/>
    <mergeCell ref="AB8:AJ8"/>
    <mergeCell ref="AN8:AV8"/>
    <mergeCell ref="BF8:BK8"/>
    <mergeCell ref="BO8:BW8"/>
    <mergeCell ref="CA8:CI8"/>
    <mergeCell ref="CM8:CU8"/>
    <mergeCell ref="DB8:DJ8"/>
    <mergeCell ref="D9:F9"/>
    <mergeCell ref="G9:I9"/>
    <mergeCell ref="J9:L9"/>
    <mergeCell ref="P9:R9"/>
    <mergeCell ref="S9:U9"/>
    <mergeCell ref="V9:X9"/>
    <mergeCell ref="AB9:AD9"/>
    <mergeCell ref="AE9:AG9"/>
    <mergeCell ref="AH9:AJ9"/>
    <mergeCell ref="AN9:AP9"/>
    <mergeCell ref="AQ9:AS9"/>
    <mergeCell ref="AT9:AV9"/>
    <mergeCell ref="BF9:BH9"/>
    <mergeCell ref="BI9:BK9"/>
    <mergeCell ref="BO9:BQ9"/>
    <mergeCell ref="BR9:BT9"/>
    <mergeCell ref="BU9:BW9"/>
    <mergeCell ref="CA9:CC9"/>
    <mergeCell ref="CD9:CF9"/>
    <mergeCell ref="CG9:CI9"/>
    <mergeCell ref="CM9:CO9"/>
    <mergeCell ref="CP9:CR9"/>
    <mergeCell ref="CS9:CU9"/>
    <mergeCell ref="DB9:DD9"/>
    <mergeCell ref="DE9:DG9"/>
    <mergeCell ref="DH9:DJ9"/>
    <mergeCell ref="M8:M10"/>
    <mergeCell ref="N8:N10"/>
    <mergeCell ref="O8:O10"/>
    <mergeCell ref="Y8:Y10"/>
    <mergeCell ref="Z8:Z10"/>
    <mergeCell ref="AA8:AA10"/>
    <mergeCell ref="AK8:AK10"/>
    <mergeCell ref="AL8:AL10"/>
    <mergeCell ref="AM8:AM10"/>
    <mergeCell ref="AW8:AW10"/>
    <mergeCell ref="AX8:AX10"/>
    <mergeCell ref="AY8:AY10"/>
    <mergeCell ref="AZ7:AZ10"/>
    <mergeCell ref="BA7:BA10"/>
    <mergeCell ref="BB7:BB10"/>
    <mergeCell ref="BC6:BC10"/>
    <mergeCell ref="BD6:BD10"/>
    <mergeCell ref="BE6:BE10"/>
    <mergeCell ref="BL8:BL10"/>
    <mergeCell ref="BM8:BM10"/>
    <mergeCell ref="BN8:BN10"/>
    <mergeCell ref="BX8:BX10"/>
    <mergeCell ref="BY8:BY10"/>
    <mergeCell ref="BZ8:BZ10"/>
    <mergeCell ref="CJ8:CJ10"/>
    <mergeCell ref="CK8:CK10"/>
    <mergeCell ref="CL8:CL10"/>
    <mergeCell ref="CV8:CV10"/>
    <mergeCell ref="CW8:CW10"/>
    <mergeCell ref="CX8:CX10"/>
    <mergeCell ref="CY7:CY10"/>
    <mergeCell ref="CZ7:CZ10"/>
    <mergeCell ref="DA7:DA10"/>
    <mergeCell ref="DK8:DK10"/>
    <mergeCell ref="DL8:DL10"/>
    <mergeCell ref="DM8:DM10"/>
    <mergeCell ref="DN7:DN10"/>
    <mergeCell ref="DO7:DO10"/>
    <mergeCell ref="DP7:DP10"/>
    <mergeCell ref="DQ6:DQ10"/>
    <mergeCell ref="DR6:DR10"/>
    <mergeCell ref="DS6:DS10"/>
  </mergeCells>
  <pageMargins left="0.708661417322835" right="0.708661417322835" top="0.748031496062992" bottom="0.748031496062992" header="0.31496062992126" footer="0.31496062992126"/>
  <pageSetup paperSize="8" scale="50" orientation="landscape"/>
  <headerFooter/>
  <rowBreaks count="1" manualBreakCount="1">
    <brk id="66" max="122" man="1"/>
  </rowBreaks>
  <colBreaks count="2" manualBreakCount="2">
    <brk id="27" max="118" man="1"/>
    <brk id="90" max="118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</sheetPr>
  <dimension ref="A1:FC125"/>
  <sheetViews>
    <sheetView view="pageBreakPreview" zoomScale="70" zoomScaleNormal="70" workbookViewId="0">
      <pane xSplit="3" ySplit="11" topLeftCell="D12" activePane="bottomRight" state="frozen"/>
      <selection/>
      <selection pane="topRight"/>
      <selection pane="bottomLeft"/>
      <selection pane="bottomRight" activeCell="A119" sqref="A119:A124"/>
    </sheetView>
  </sheetViews>
  <sheetFormatPr defaultColWidth="8.85714285714286" defaultRowHeight="15.75"/>
  <cols>
    <col min="1" max="1" width="14.1428571428571" style="121" customWidth="1"/>
    <col min="2" max="2" width="25.1428571428571" style="122" customWidth="1"/>
    <col min="3" max="3" width="36" style="122" customWidth="1"/>
    <col min="4" max="4" width="11.1428571428571" style="121" customWidth="1"/>
    <col min="5" max="6" width="9" style="121" customWidth="1"/>
    <col min="7" max="7" width="14.4285714285714" style="121" hidden="1" customWidth="1"/>
    <col min="8" max="8" width="8.71428571428571" style="121" customWidth="1"/>
    <col min="9" max="9" width="10.2857142857143" style="121" hidden="1" customWidth="1"/>
    <col min="10" max="10" width="11.1428571428571" style="121" customWidth="1"/>
    <col min="11" max="11" width="9.57142857142857" style="121" customWidth="1"/>
    <col min="12" max="12" width="11.4285714285714" style="121" customWidth="1"/>
    <col min="13" max="13" width="14.4285714285714" style="121" hidden="1" customWidth="1"/>
    <col min="14" max="15" width="9.14285714285714" style="121" customWidth="1"/>
    <col min="16" max="16" width="12" style="121" customWidth="1"/>
    <col min="17" max="17" width="10.5714285714286" style="121" customWidth="1"/>
    <col min="18" max="18" width="11.5714285714286" style="121" customWidth="1"/>
    <col min="19" max="19" width="14.4285714285714" style="121" hidden="1" customWidth="1"/>
    <col min="20" max="20" width="9.71428571428571" style="121" customWidth="1"/>
    <col min="21" max="21" width="10.2857142857143" style="121" hidden="1" customWidth="1"/>
    <col min="22" max="22" width="13" style="121" customWidth="1"/>
    <col min="23" max="23" width="8.85714285714286" style="121" customWidth="1"/>
    <col min="24" max="24" width="10.4285714285714" style="121" customWidth="1"/>
    <col min="25" max="25" width="14.4285714285714" style="121" hidden="1" customWidth="1"/>
    <col min="26" max="26" width="9" style="121" customWidth="1"/>
    <col min="27" max="27" width="8.71428571428571" style="121" customWidth="1"/>
    <col min="28" max="28" width="11.4285714285714" style="121" customWidth="1"/>
    <col min="29" max="29" width="8.57142857142857" style="121" customWidth="1"/>
    <col min="30" max="30" width="9.85714285714286" style="121" customWidth="1"/>
    <col min="31" max="31" width="14.4285714285714" style="121" hidden="1" customWidth="1"/>
    <col min="32" max="32" width="8.14285714285714" style="121" customWidth="1"/>
    <col min="33" max="33" width="9.71428571428571" style="121" hidden="1" customWidth="1"/>
    <col min="34" max="34" width="11.7142857142857" style="121" customWidth="1"/>
    <col min="35" max="35" width="7.85714285714286" style="121" customWidth="1"/>
    <col min="36" max="36" width="9.57142857142857" style="121" customWidth="1"/>
    <col min="37" max="37" width="14.4285714285714" style="121" hidden="1" customWidth="1"/>
    <col min="38" max="38" width="8.57142857142857" style="121" customWidth="1"/>
    <col min="39" max="39" width="9.71428571428571" style="121" hidden="1" customWidth="1"/>
    <col min="40" max="40" width="12" style="121" customWidth="1"/>
    <col min="41" max="41" width="8.28571428571429" style="121" customWidth="1"/>
    <col min="42" max="42" width="10.5714285714286" style="121" customWidth="1"/>
    <col min="43" max="43" width="14.4285714285714" style="121" hidden="1" customWidth="1"/>
    <col min="44" max="44" width="8.14285714285714" style="121" customWidth="1"/>
    <col min="45" max="45" width="8.57142857142857" style="121" customWidth="1"/>
    <col min="46" max="46" width="11.5714285714286" style="121" customWidth="1"/>
    <col min="47" max="47" width="10.7142857142857" style="121" customWidth="1"/>
    <col min="48" max="48" width="11" style="121" customWidth="1"/>
    <col min="49" max="49" width="14.4285714285714" style="121" hidden="1" customWidth="1"/>
    <col min="50" max="51" width="10.7142857142857" style="121" customWidth="1"/>
    <col min="52" max="52" width="11.5714285714286" style="121" customWidth="1"/>
    <col min="53" max="53" width="9.71428571428571" style="121" customWidth="1"/>
    <col min="54" max="54" width="11.1428571428571" style="121" customWidth="1"/>
    <col min="55" max="55" width="14.4285714285714" style="121" hidden="1" customWidth="1"/>
    <col min="56" max="56" width="9.14285714285714" style="121" customWidth="1"/>
    <col min="57" max="57" width="9.71428571428571" style="121" customWidth="1"/>
    <col min="58" max="58" width="12.1428571428571" style="121" customWidth="1"/>
    <col min="59" max="59" width="9.28571428571429" style="121" customWidth="1"/>
    <col min="60" max="60" width="11.4285714285714" style="121" customWidth="1"/>
    <col min="61" max="61" width="14.4285714285714" style="121" hidden="1" customWidth="1"/>
    <col min="62" max="62" width="8.57142857142857" style="121" customWidth="1"/>
    <col min="63" max="63" width="9.42857142857143" style="121" customWidth="1"/>
    <col min="64" max="64" width="11.7142857142857" style="121" customWidth="1"/>
    <col min="65" max="65" width="10" style="121" customWidth="1"/>
    <col min="66" max="66" width="9.71428571428571" style="121" customWidth="1"/>
    <col min="67" max="67" width="14.4285714285714" style="121" hidden="1" customWidth="1"/>
    <col min="68" max="68" width="8.85714285714286" style="121" customWidth="1"/>
    <col min="69" max="69" width="9.42857142857143" style="121" customWidth="1"/>
    <col min="70" max="70" width="11.7142857142857" style="121" customWidth="1"/>
    <col min="71" max="71" width="10" style="121" customWidth="1"/>
    <col min="72" max="72" width="10.2857142857143" style="121" customWidth="1"/>
    <col min="73" max="73" width="8.57142857142857" style="121" hidden="1" customWidth="1"/>
    <col min="74" max="74" width="9.28571428571429" style="121" customWidth="1"/>
    <col min="75" max="75" width="10.7142857142857" style="121" customWidth="1"/>
    <col min="76" max="76" width="11.7142857142857" style="121" customWidth="1"/>
    <col min="77" max="77" width="9.71428571428571" style="121" customWidth="1"/>
    <col min="78" max="78" width="10.2857142857143" style="121" customWidth="1"/>
    <col min="79" max="79" width="14.4285714285714" style="121" hidden="1" customWidth="1"/>
    <col min="80" max="80" width="8.42857142857143" style="121" customWidth="1"/>
    <col min="81" max="81" width="9.57142857142857" style="121" customWidth="1"/>
    <col min="82" max="82" width="11.7142857142857" style="121" customWidth="1"/>
    <col min="83" max="83" width="9.14285714285714" style="121" customWidth="1"/>
    <col min="84" max="84" width="10.1428571428571" style="121" customWidth="1"/>
    <col min="85" max="85" width="14.4285714285714" style="121" hidden="1" customWidth="1"/>
    <col min="86" max="86" width="9.14285714285714" style="121" customWidth="1"/>
    <col min="87" max="87" width="9.57142857142857" style="121" customWidth="1"/>
    <col min="88" max="88" width="11.4285714285714" style="121" customWidth="1"/>
    <col min="89" max="89" width="9.28571428571429" style="121" customWidth="1"/>
    <col min="90" max="90" width="9.85714285714286" style="121" customWidth="1"/>
    <col min="91" max="91" width="14.4285714285714" style="121" hidden="1" customWidth="1"/>
    <col min="92" max="92" width="7.71428571428571" style="121" customWidth="1"/>
    <col min="93" max="94" width="10.7142857142857" style="121" customWidth="1"/>
    <col min="95" max="95" width="10.2857142857143" style="121" customWidth="1"/>
    <col min="96" max="96" width="11" style="121" customWidth="1"/>
    <col min="97" max="97" width="14.4285714285714" style="121" hidden="1" customWidth="1"/>
    <col min="98" max="98" width="10.2857142857143" style="121" customWidth="1"/>
    <col min="99" max="99" width="11" style="121" customWidth="1"/>
    <col min="100" max="100" width="14.4285714285714" style="121" customWidth="1"/>
    <col min="101" max="102" width="10.2857142857143" style="121" customWidth="1"/>
    <col min="103" max="103" width="14.4285714285714" style="121" hidden="1" customWidth="1"/>
    <col min="104" max="105" width="10.7142857142857" style="121" customWidth="1"/>
    <col min="106" max="106" width="11.7142857142857" style="121" customWidth="1"/>
    <col min="107" max="107" width="11" style="121" customWidth="1"/>
    <col min="108" max="108" width="10.5714285714286" style="121" customWidth="1"/>
    <col min="109" max="109" width="14.4285714285714" style="121" hidden="1" customWidth="1"/>
    <col min="110" max="110" width="9.71428571428571" style="121" customWidth="1"/>
    <col min="111" max="111" width="10.5714285714286" style="121" customWidth="1"/>
    <col min="112" max="141" width="14.4285714285714" style="121" customWidth="1"/>
    <col min="142" max="16384" width="8.85714285714286" style="121"/>
  </cols>
  <sheetData>
    <row r="1" spans="1:1">
      <c r="A1" s="123" t="s">
        <v>292</v>
      </c>
    </row>
    <row r="2" spans="1:1">
      <c r="A2" s="123" t="s">
        <v>293</v>
      </c>
    </row>
    <row r="3" spans="1:3">
      <c r="A3" s="124" t="s">
        <v>2</v>
      </c>
      <c r="C3" s="125"/>
    </row>
    <row r="4" hidden="1" spans="1:3">
      <c r="A4" s="124" t="s">
        <v>391</v>
      </c>
      <c r="B4" s="122" t="str">
        <f>'CAPTURE SHEET - PHYSICAL'!C2</f>
        <v>RFOII</v>
      </c>
      <c r="C4" s="125"/>
    </row>
    <row r="5" hidden="1" spans="1:2">
      <c r="A5" s="126" t="s">
        <v>4</v>
      </c>
      <c r="B5" s="127" t="s">
        <v>5</v>
      </c>
    </row>
    <row r="7" s="118" customFormat="1" spans="1:159">
      <c r="A7" s="128"/>
      <c r="B7" s="129"/>
      <c r="C7" s="129"/>
      <c r="D7" s="130" t="s">
        <v>296</v>
      </c>
      <c r="E7" s="130" t="s">
        <v>6</v>
      </c>
      <c r="F7" s="130" t="s">
        <v>247</v>
      </c>
      <c r="G7" s="130" t="s">
        <v>7</v>
      </c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128"/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8"/>
      <c r="BK7" s="128"/>
      <c r="BL7" s="128"/>
      <c r="BM7" s="128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  <c r="CJ7" s="128"/>
      <c r="CK7" s="128"/>
      <c r="CL7" s="128"/>
      <c r="CM7" s="128"/>
      <c r="CN7" s="128"/>
      <c r="CO7" s="128"/>
      <c r="CP7" s="128"/>
      <c r="CQ7" s="128"/>
      <c r="CR7" s="128"/>
      <c r="CS7" s="128"/>
      <c r="CT7" s="128"/>
      <c r="CU7" s="128"/>
      <c r="CV7" s="128"/>
      <c r="CW7" s="128"/>
      <c r="CX7" s="128"/>
      <c r="CY7" s="128"/>
      <c r="CZ7" s="128"/>
      <c r="DA7" s="128"/>
      <c r="DB7" s="128"/>
      <c r="DC7" s="128"/>
      <c r="DD7" s="128"/>
      <c r="DE7" s="128"/>
      <c r="DF7" s="128"/>
      <c r="DG7" s="128"/>
      <c r="DH7" s="136"/>
      <c r="DI7" s="136"/>
      <c r="DJ7" s="136"/>
      <c r="DK7" s="136"/>
      <c r="DL7" s="136"/>
      <c r="DM7" s="136"/>
      <c r="DN7" s="136"/>
      <c r="DO7" s="136"/>
      <c r="DP7" s="136"/>
      <c r="DQ7" s="136"/>
      <c r="DR7" s="136"/>
      <c r="DS7" s="136"/>
      <c r="DT7" s="136"/>
      <c r="DU7" s="136"/>
      <c r="DV7" s="136"/>
      <c r="DW7" s="136"/>
      <c r="DX7" s="136"/>
      <c r="DY7" s="136"/>
      <c r="DZ7" s="136"/>
      <c r="EA7" s="136"/>
      <c r="EB7" s="136"/>
      <c r="EC7" s="136"/>
      <c r="ED7" s="136"/>
      <c r="EE7" s="136"/>
      <c r="EF7" s="136"/>
      <c r="EG7" s="136"/>
      <c r="EH7" s="136"/>
      <c r="EI7" s="136"/>
      <c r="EJ7" s="136"/>
      <c r="EK7" s="136"/>
      <c r="EL7" s="136"/>
      <c r="EM7" s="136"/>
      <c r="EN7" s="136"/>
      <c r="EO7" s="136"/>
      <c r="EP7" s="136"/>
      <c r="EQ7" s="136"/>
      <c r="ER7" s="136"/>
      <c r="ES7" s="136"/>
      <c r="ET7" s="136"/>
      <c r="EU7" s="136"/>
      <c r="EV7" s="136"/>
      <c r="EW7" s="136"/>
      <c r="EX7" s="136"/>
      <c r="EY7" s="136"/>
      <c r="EZ7" s="136"/>
      <c r="FA7" s="136"/>
      <c r="FB7" s="136"/>
      <c r="FC7" s="136"/>
    </row>
    <row r="8" s="119" customFormat="1" hidden="1" spans="1:159">
      <c r="A8" s="128"/>
      <c r="B8" s="129"/>
      <c r="C8" s="129"/>
      <c r="D8" s="131">
        <v>2025</v>
      </c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2"/>
      <c r="BD8" s="132"/>
      <c r="BE8" s="132"/>
      <c r="BF8" s="132"/>
      <c r="BG8" s="132"/>
      <c r="BH8" s="132"/>
      <c r="BI8" s="132"/>
      <c r="BJ8" s="132"/>
      <c r="BK8" s="132"/>
      <c r="BL8" s="132"/>
      <c r="BM8" s="132"/>
      <c r="BN8" s="132"/>
      <c r="BO8" s="132"/>
      <c r="BP8" s="132"/>
      <c r="BQ8" s="132"/>
      <c r="BR8" s="132"/>
      <c r="BS8" s="132"/>
      <c r="BT8" s="132"/>
      <c r="BU8" s="132"/>
      <c r="BV8" s="132"/>
      <c r="BW8" s="132"/>
      <c r="BX8" s="132"/>
      <c r="BY8" s="132"/>
      <c r="BZ8" s="132"/>
      <c r="CA8" s="132"/>
      <c r="CB8" s="132"/>
      <c r="CC8" s="132"/>
      <c r="CD8" s="132"/>
      <c r="CE8" s="132"/>
      <c r="CF8" s="132"/>
      <c r="CG8" s="132"/>
      <c r="CH8" s="132"/>
      <c r="CI8" s="132"/>
      <c r="CJ8" s="132"/>
      <c r="CK8" s="132"/>
      <c r="CL8" s="132"/>
      <c r="CM8" s="132"/>
      <c r="CN8" s="132"/>
      <c r="CO8" s="132"/>
      <c r="CP8" s="132"/>
      <c r="CQ8" s="132"/>
      <c r="CR8" s="132"/>
      <c r="CS8" s="132"/>
      <c r="CT8" s="132"/>
      <c r="CU8" s="132"/>
      <c r="CV8" s="131" t="s">
        <v>392</v>
      </c>
      <c r="CW8" s="131" t="s">
        <v>393</v>
      </c>
      <c r="CX8" s="131" t="s">
        <v>394</v>
      </c>
      <c r="CY8" s="131" t="s">
        <v>395</v>
      </c>
      <c r="CZ8" s="131" t="s">
        <v>396</v>
      </c>
      <c r="DA8" s="131" t="s">
        <v>397</v>
      </c>
      <c r="DB8" s="131" t="s">
        <v>398</v>
      </c>
      <c r="DC8" s="131" t="s">
        <v>399</v>
      </c>
      <c r="DD8" s="131" t="s">
        <v>400</v>
      </c>
      <c r="DE8" s="131" t="s">
        <v>401</v>
      </c>
      <c r="DF8" s="131" t="s">
        <v>402</v>
      </c>
      <c r="DG8" s="131" t="s">
        <v>403</v>
      </c>
      <c r="DH8" s="136"/>
      <c r="DI8" s="136"/>
      <c r="DJ8" s="136"/>
      <c r="DK8" s="136"/>
      <c r="DL8" s="136"/>
      <c r="DM8" s="136"/>
      <c r="DN8" s="136"/>
      <c r="DO8" s="136"/>
      <c r="DP8" s="136"/>
      <c r="DQ8" s="136"/>
      <c r="DR8" s="136"/>
      <c r="DS8" s="136"/>
      <c r="DT8" s="136"/>
      <c r="DU8" s="136"/>
      <c r="DV8" s="136"/>
      <c r="DW8" s="136"/>
      <c r="DX8" s="136"/>
      <c r="DY8" s="136"/>
      <c r="DZ8" s="136"/>
      <c r="EA8" s="136"/>
      <c r="EB8" s="136"/>
      <c r="EC8" s="136"/>
      <c r="ED8" s="136"/>
      <c r="EE8" s="136"/>
      <c r="EF8" s="136"/>
      <c r="EG8" s="136"/>
      <c r="EH8" s="136"/>
      <c r="EI8" s="136"/>
      <c r="EJ8" s="136"/>
      <c r="EK8" s="136"/>
      <c r="EL8" s="136"/>
      <c r="EM8" s="136"/>
      <c r="EN8" s="136"/>
      <c r="EO8" s="136"/>
      <c r="EP8" s="136"/>
      <c r="EQ8" s="136"/>
      <c r="ER8" s="136"/>
      <c r="ES8" s="136"/>
      <c r="ET8" s="136"/>
      <c r="EU8" s="136"/>
      <c r="EV8" s="136"/>
      <c r="EW8" s="136"/>
      <c r="EX8" s="136"/>
      <c r="EY8" s="136"/>
      <c r="EZ8" s="136"/>
      <c r="FA8" s="136"/>
      <c r="FB8" s="136"/>
      <c r="FC8" s="136"/>
    </row>
    <row r="9" s="120" customFormat="1" spans="1:159">
      <c r="A9" s="128"/>
      <c r="B9" s="129"/>
      <c r="C9" s="129"/>
      <c r="D9" s="131" t="s">
        <v>8</v>
      </c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1" t="s">
        <v>404</v>
      </c>
      <c r="W9" s="131" t="s">
        <v>405</v>
      </c>
      <c r="X9" s="131" t="s">
        <v>406</v>
      </c>
      <c r="Y9" s="131" t="s">
        <v>407</v>
      </c>
      <c r="Z9" s="131" t="s">
        <v>408</v>
      </c>
      <c r="AA9" s="131" t="s">
        <v>409</v>
      </c>
      <c r="AB9" s="131" t="s">
        <v>9</v>
      </c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1" t="s">
        <v>410</v>
      </c>
      <c r="AU9" s="131" t="s">
        <v>411</v>
      </c>
      <c r="AV9" s="131" t="s">
        <v>412</v>
      </c>
      <c r="AW9" s="131" t="s">
        <v>413</v>
      </c>
      <c r="AX9" s="131" t="s">
        <v>414</v>
      </c>
      <c r="AY9" s="131" t="s">
        <v>415</v>
      </c>
      <c r="AZ9" s="131" t="s">
        <v>10</v>
      </c>
      <c r="BA9" s="132"/>
      <c r="BB9" s="132"/>
      <c r="BC9" s="132"/>
      <c r="BD9" s="132"/>
      <c r="BE9" s="132"/>
      <c r="BF9" s="132"/>
      <c r="BG9" s="132"/>
      <c r="BH9" s="132"/>
      <c r="BI9" s="132"/>
      <c r="BJ9" s="132"/>
      <c r="BK9" s="132"/>
      <c r="BL9" s="132"/>
      <c r="BM9" s="132"/>
      <c r="BN9" s="132"/>
      <c r="BO9" s="132"/>
      <c r="BP9" s="132"/>
      <c r="BQ9" s="132"/>
      <c r="BR9" s="131" t="s">
        <v>416</v>
      </c>
      <c r="BS9" s="131" t="s">
        <v>417</v>
      </c>
      <c r="BT9" s="131" t="s">
        <v>418</v>
      </c>
      <c r="BU9" s="131" t="s">
        <v>419</v>
      </c>
      <c r="BV9" s="131" t="s">
        <v>420</v>
      </c>
      <c r="BW9" s="131" t="s">
        <v>421</v>
      </c>
      <c r="BX9" s="131" t="s">
        <v>11</v>
      </c>
      <c r="BY9" s="132"/>
      <c r="BZ9" s="132"/>
      <c r="CA9" s="132"/>
      <c r="CB9" s="132"/>
      <c r="CC9" s="132"/>
      <c r="CD9" s="132"/>
      <c r="CE9" s="132"/>
      <c r="CF9" s="132"/>
      <c r="CG9" s="132"/>
      <c r="CH9" s="132"/>
      <c r="CI9" s="132"/>
      <c r="CJ9" s="132"/>
      <c r="CK9" s="132"/>
      <c r="CL9" s="132"/>
      <c r="CM9" s="132"/>
      <c r="CN9" s="132"/>
      <c r="CO9" s="132"/>
      <c r="CP9" s="131" t="s">
        <v>422</v>
      </c>
      <c r="CQ9" s="131" t="s">
        <v>423</v>
      </c>
      <c r="CR9" s="131" t="s">
        <v>424</v>
      </c>
      <c r="CS9" s="131" t="s">
        <v>425</v>
      </c>
      <c r="CT9" s="131" t="s">
        <v>426</v>
      </c>
      <c r="CU9" s="131" t="s">
        <v>427</v>
      </c>
      <c r="CV9" s="132"/>
      <c r="CW9" s="132"/>
      <c r="CX9" s="132"/>
      <c r="CY9" s="132"/>
      <c r="CZ9" s="132"/>
      <c r="DA9" s="132"/>
      <c r="DB9" s="132"/>
      <c r="DC9" s="132"/>
      <c r="DD9" s="132"/>
      <c r="DE9" s="132"/>
      <c r="DF9" s="132"/>
      <c r="DG9" s="132"/>
      <c r="DH9" s="136"/>
      <c r="DI9" s="136"/>
      <c r="DJ9" s="136"/>
      <c r="DK9" s="136"/>
      <c r="DL9" s="136"/>
      <c r="DM9" s="136"/>
      <c r="DN9" s="136"/>
      <c r="DO9" s="136"/>
      <c r="DP9" s="136"/>
      <c r="DQ9" s="136"/>
      <c r="DR9" s="136"/>
      <c r="DS9" s="136"/>
      <c r="DT9" s="136"/>
      <c r="DU9" s="136"/>
      <c r="DV9" s="136"/>
      <c r="DW9" s="136"/>
      <c r="DX9" s="136"/>
      <c r="DY9" s="136"/>
      <c r="DZ9" s="136"/>
      <c r="EA9" s="136"/>
      <c r="EB9" s="136"/>
      <c r="EC9" s="136"/>
      <c r="ED9" s="136"/>
      <c r="EE9" s="136"/>
      <c r="EF9" s="136"/>
      <c r="EG9" s="136"/>
      <c r="EH9" s="136"/>
      <c r="EI9" s="136"/>
      <c r="EJ9" s="136"/>
      <c r="EK9" s="136"/>
      <c r="EL9" s="136"/>
      <c r="EM9" s="136"/>
      <c r="EN9" s="136"/>
      <c r="EO9" s="136"/>
      <c r="EP9" s="136"/>
      <c r="EQ9" s="136"/>
      <c r="ER9" s="136"/>
      <c r="ES9" s="136"/>
      <c r="ET9" s="136"/>
      <c r="EU9" s="136"/>
      <c r="EV9" s="136"/>
      <c r="EW9" s="136"/>
      <c r="EX9" s="136"/>
      <c r="EY9" s="136"/>
      <c r="EZ9" s="136"/>
      <c r="FA9" s="136"/>
      <c r="FB9" s="136"/>
      <c r="FC9" s="136"/>
    </row>
    <row r="10" s="120" customFormat="1" spans="1:159">
      <c r="A10" s="128"/>
      <c r="B10" s="129"/>
      <c r="C10" s="129"/>
      <c r="D10" s="131" t="s">
        <v>327</v>
      </c>
      <c r="E10" s="132"/>
      <c r="F10" s="132"/>
      <c r="G10" s="132"/>
      <c r="H10" s="132"/>
      <c r="I10" s="132"/>
      <c r="J10" s="131" t="s">
        <v>328</v>
      </c>
      <c r="K10" s="132"/>
      <c r="L10" s="132"/>
      <c r="M10" s="132"/>
      <c r="N10" s="132"/>
      <c r="O10" s="132"/>
      <c r="P10" s="131" t="s">
        <v>329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1" t="s">
        <v>330</v>
      </c>
      <c r="AC10" s="132"/>
      <c r="AD10" s="132"/>
      <c r="AE10" s="132"/>
      <c r="AF10" s="132"/>
      <c r="AG10" s="132"/>
      <c r="AH10" s="131" t="s">
        <v>331</v>
      </c>
      <c r="AI10" s="132"/>
      <c r="AJ10" s="132"/>
      <c r="AK10" s="132"/>
      <c r="AL10" s="132"/>
      <c r="AM10" s="132"/>
      <c r="AN10" s="131" t="s">
        <v>332</v>
      </c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  <c r="AZ10" s="131" t="s">
        <v>333</v>
      </c>
      <c r="BA10" s="132"/>
      <c r="BB10" s="132"/>
      <c r="BC10" s="132"/>
      <c r="BD10" s="132"/>
      <c r="BE10" s="132"/>
      <c r="BF10" s="131" t="s">
        <v>334</v>
      </c>
      <c r="BG10" s="132"/>
      <c r="BH10" s="132"/>
      <c r="BI10" s="132"/>
      <c r="BJ10" s="132"/>
      <c r="BK10" s="132"/>
      <c r="BL10" s="131" t="s">
        <v>335</v>
      </c>
      <c r="BM10" s="132"/>
      <c r="BN10" s="132"/>
      <c r="BO10" s="132"/>
      <c r="BP10" s="132"/>
      <c r="BQ10" s="132"/>
      <c r="BR10" s="132"/>
      <c r="BS10" s="132"/>
      <c r="BT10" s="132"/>
      <c r="BU10" s="132"/>
      <c r="BV10" s="132"/>
      <c r="BW10" s="132"/>
      <c r="BX10" s="131" t="s">
        <v>336</v>
      </c>
      <c r="BY10" s="132"/>
      <c r="BZ10" s="132"/>
      <c r="CA10" s="132"/>
      <c r="CB10" s="132"/>
      <c r="CC10" s="132"/>
      <c r="CD10" s="131" t="s">
        <v>337</v>
      </c>
      <c r="CE10" s="132"/>
      <c r="CF10" s="132"/>
      <c r="CG10" s="132"/>
      <c r="CH10" s="132"/>
      <c r="CI10" s="132"/>
      <c r="CJ10" s="131" t="s">
        <v>338</v>
      </c>
      <c r="CK10" s="132"/>
      <c r="CL10" s="132"/>
      <c r="CM10" s="132"/>
      <c r="CN10" s="132"/>
      <c r="CO10" s="132"/>
      <c r="CP10" s="132"/>
      <c r="CQ10" s="132"/>
      <c r="CR10" s="132"/>
      <c r="CS10" s="132"/>
      <c r="CT10" s="132"/>
      <c r="CU10" s="132"/>
      <c r="CV10" s="132"/>
      <c r="CW10" s="132"/>
      <c r="CX10" s="132"/>
      <c r="CY10" s="132"/>
      <c r="CZ10" s="132"/>
      <c r="DA10" s="132"/>
      <c r="DB10" s="132"/>
      <c r="DC10" s="132"/>
      <c r="DD10" s="132"/>
      <c r="DE10" s="132"/>
      <c r="DF10" s="132"/>
      <c r="DG10" s="132"/>
      <c r="DH10" s="136"/>
      <c r="DI10" s="136"/>
      <c r="DJ10" s="136"/>
      <c r="DK10" s="136"/>
      <c r="DL10" s="136"/>
      <c r="DM10" s="136"/>
      <c r="DN10" s="136"/>
      <c r="DO10" s="136"/>
      <c r="DP10" s="136"/>
      <c r="DQ10" s="136"/>
      <c r="DR10" s="136"/>
      <c r="DS10" s="136"/>
      <c r="DT10" s="136"/>
      <c r="DU10" s="136"/>
      <c r="DV10" s="136"/>
      <c r="DW10" s="136"/>
      <c r="DX10" s="136"/>
      <c r="DY10" s="136"/>
      <c r="DZ10" s="136"/>
      <c r="EA10" s="136"/>
      <c r="EB10" s="136"/>
      <c r="EC10" s="136"/>
      <c r="ED10" s="136"/>
      <c r="EE10" s="136"/>
      <c r="EF10" s="136"/>
      <c r="EG10" s="136"/>
      <c r="EH10" s="136"/>
      <c r="EI10" s="136"/>
      <c r="EJ10" s="136"/>
      <c r="EK10" s="136"/>
      <c r="EL10" s="136"/>
      <c r="EM10" s="136"/>
      <c r="EN10" s="136"/>
      <c r="EO10" s="136"/>
      <c r="EP10" s="136"/>
      <c r="EQ10" s="136"/>
      <c r="ER10" s="136"/>
      <c r="ES10" s="136"/>
      <c r="ET10" s="136"/>
      <c r="EU10" s="136"/>
      <c r="EV10" s="136"/>
      <c r="EW10" s="136"/>
      <c r="EX10" s="136"/>
      <c r="EY10" s="136"/>
      <c r="EZ10" s="136"/>
      <c r="FA10" s="136"/>
      <c r="FB10" s="136"/>
      <c r="FC10" s="136"/>
    </row>
    <row r="11" s="120" customFormat="1" ht="31.5" spans="1:159">
      <c r="A11" s="133" t="s">
        <v>12</v>
      </c>
      <c r="B11" s="133" t="s">
        <v>342</v>
      </c>
      <c r="C11" s="133" t="s">
        <v>14</v>
      </c>
      <c r="D11" s="131" t="s">
        <v>15</v>
      </c>
      <c r="E11" s="131" t="s">
        <v>428</v>
      </c>
      <c r="F11" s="131" t="s">
        <v>429</v>
      </c>
      <c r="G11" s="131" t="s">
        <v>430</v>
      </c>
      <c r="H11" s="131" t="s">
        <v>431</v>
      </c>
      <c r="I11" s="131" t="s">
        <v>16</v>
      </c>
      <c r="J11" s="131" t="s">
        <v>15</v>
      </c>
      <c r="K11" s="131" t="s">
        <v>428</v>
      </c>
      <c r="L11" s="131" t="s">
        <v>429</v>
      </c>
      <c r="M11" s="131" t="s">
        <v>430</v>
      </c>
      <c r="N11" s="131" t="s">
        <v>431</v>
      </c>
      <c r="O11" s="131" t="s">
        <v>16</v>
      </c>
      <c r="P11" s="131" t="s">
        <v>15</v>
      </c>
      <c r="Q11" s="131" t="s">
        <v>428</v>
      </c>
      <c r="R11" s="131" t="s">
        <v>429</v>
      </c>
      <c r="S11" s="131" t="s">
        <v>430</v>
      </c>
      <c r="T11" s="131" t="s">
        <v>431</v>
      </c>
      <c r="U11" s="131" t="s">
        <v>16</v>
      </c>
      <c r="V11" s="132"/>
      <c r="W11" s="132"/>
      <c r="X11" s="132"/>
      <c r="Y11" s="132"/>
      <c r="Z11" s="132"/>
      <c r="AA11" s="132"/>
      <c r="AB11" s="131" t="s">
        <v>15</v>
      </c>
      <c r="AC11" s="131" t="s">
        <v>428</v>
      </c>
      <c r="AD11" s="131" t="s">
        <v>429</v>
      </c>
      <c r="AE11" s="131" t="s">
        <v>430</v>
      </c>
      <c r="AF11" s="131" t="s">
        <v>431</v>
      </c>
      <c r="AG11" s="131" t="s">
        <v>16</v>
      </c>
      <c r="AH11" s="131" t="s">
        <v>15</v>
      </c>
      <c r="AI11" s="131" t="s">
        <v>428</v>
      </c>
      <c r="AJ11" s="131" t="s">
        <v>429</v>
      </c>
      <c r="AK11" s="131" t="s">
        <v>430</v>
      </c>
      <c r="AL11" s="131" t="s">
        <v>431</v>
      </c>
      <c r="AM11" s="131" t="s">
        <v>16</v>
      </c>
      <c r="AN11" s="131" t="s">
        <v>15</v>
      </c>
      <c r="AO11" s="131" t="s">
        <v>428</v>
      </c>
      <c r="AP11" s="131" t="s">
        <v>429</v>
      </c>
      <c r="AQ11" s="131" t="s">
        <v>430</v>
      </c>
      <c r="AR11" s="131" t="s">
        <v>431</v>
      </c>
      <c r="AS11" s="131" t="s">
        <v>16</v>
      </c>
      <c r="AT11" s="132"/>
      <c r="AU11" s="132"/>
      <c r="AV11" s="132"/>
      <c r="AW11" s="132"/>
      <c r="AX11" s="132"/>
      <c r="AY11" s="132"/>
      <c r="AZ11" s="131" t="s">
        <v>15</v>
      </c>
      <c r="BA11" s="131" t="s">
        <v>428</v>
      </c>
      <c r="BB11" s="131" t="s">
        <v>429</v>
      </c>
      <c r="BC11" s="131" t="s">
        <v>430</v>
      </c>
      <c r="BD11" s="131" t="s">
        <v>431</v>
      </c>
      <c r="BE11" s="131" t="s">
        <v>16</v>
      </c>
      <c r="BF11" s="131" t="s">
        <v>15</v>
      </c>
      <c r="BG11" s="131" t="s">
        <v>428</v>
      </c>
      <c r="BH11" s="131" t="s">
        <v>429</v>
      </c>
      <c r="BI11" s="131" t="s">
        <v>430</v>
      </c>
      <c r="BJ11" s="131" t="s">
        <v>431</v>
      </c>
      <c r="BK11" s="131" t="s">
        <v>16</v>
      </c>
      <c r="BL11" s="131" t="s">
        <v>15</v>
      </c>
      <c r="BM11" s="131" t="s">
        <v>428</v>
      </c>
      <c r="BN11" s="131" t="s">
        <v>429</v>
      </c>
      <c r="BO11" s="131" t="s">
        <v>430</v>
      </c>
      <c r="BP11" s="131" t="s">
        <v>431</v>
      </c>
      <c r="BQ11" s="131" t="s">
        <v>16</v>
      </c>
      <c r="BR11" s="132"/>
      <c r="BS11" s="132"/>
      <c r="BT11" s="132"/>
      <c r="BU11" s="132"/>
      <c r="BV11" s="132"/>
      <c r="BW11" s="132"/>
      <c r="BX11" s="131" t="s">
        <v>15</v>
      </c>
      <c r="BY11" s="131" t="s">
        <v>428</v>
      </c>
      <c r="BZ11" s="131" t="s">
        <v>429</v>
      </c>
      <c r="CA11" s="131" t="s">
        <v>430</v>
      </c>
      <c r="CB11" s="131" t="s">
        <v>431</v>
      </c>
      <c r="CC11" s="131" t="s">
        <v>16</v>
      </c>
      <c r="CD11" s="131" t="s">
        <v>15</v>
      </c>
      <c r="CE11" s="131" t="s">
        <v>428</v>
      </c>
      <c r="CF11" s="131" t="s">
        <v>429</v>
      </c>
      <c r="CG11" s="131" t="s">
        <v>430</v>
      </c>
      <c r="CH11" s="131" t="s">
        <v>431</v>
      </c>
      <c r="CI11" s="131" t="s">
        <v>16</v>
      </c>
      <c r="CJ11" s="131" t="s">
        <v>15</v>
      </c>
      <c r="CK11" s="131" t="s">
        <v>428</v>
      </c>
      <c r="CL11" s="131" t="s">
        <v>429</v>
      </c>
      <c r="CM11" s="131" t="s">
        <v>430</v>
      </c>
      <c r="CN11" s="131" t="s">
        <v>431</v>
      </c>
      <c r="CO11" s="131" t="s">
        <v>16</v>
      </c>
      <c r="CP11" s="132"/>
      <c r="CQ11" s="132"/>
      <c r="CR11" s="132"/>
      <c r="CS11" s="132"/>
      <c r="CT11" s="132"/>
      <c r="CU11" s="132"/>
      <c r="CV11" s="132"/>
      <c r="CW11" s="132"/>
      <c r="CX11" s="132"/>
      <c r="CY11" s="132"/>
      <c r="CZ11" s="132"/>
      <c r="DA11" s="132"/>
      <c r="DB11" s="132"/>
      <c r="DC11" s="132"/>
      <c r="DD11" s="132"/>
      <c r="DE11" s="132"/>
      <c r="DF11" s="132"/>
      <c r="DG11" s="132"/>
      <c r="DH11" s="137"/>
      <c r="DI11" s="137"/>
      <c r="DJ11" s="137"/>
      <c r="DK11" s="137"/>
      <c r="DL11" s="137"/>
      <c r="DM11" s="137"/>
      <c r="DN11" s="137"/>
      <c r="DO11" s="137"/>
      <c r="DP11" s="137"/>
      <c r="DQ11" s="137"/>
      <c r="DR11" s="137"/>
      <c r="DS11" s="137"/>
      <c r="DT11" s="137"/>
      <c r="DU11" s="137"/>
      <c r="DV11" s="137"/>
      <c r="DW11" s="137"/>
      <c r="DX11" s="137"/>
      <c r="DY11" s="137"/>
      <c r="DZ11" s="137"/>
      <c r="EA11" s="137"/>
      <c r="EB11" s="137"/>
      <c r="EC11" s="137"/>
      <c r="ED11" s="137"/>
      <c r="EE11" s="137"/>
      <c r="EF11" s="137"/>
      <c r="EG11" s="137"/>
      <c r="EH11" s="137"/>
      <c r="EI11" s="137"/>
      <c r="EJ11" s="137"/>
      <c r="EK11" s="137"/>
      <c r="EL11" s="137"/>
      <c r="EM11" s="137"/>
      <c r="EN11" s="137"/>
      <c r="EO11" s="137"/>
      <c r="EP11" s="137"/>
      <c r="EQ11" s="137"/>
      <c r="ER11" s="137"/>
      <c r="ES11" s="137"/>
      <c r="ET11" s="137"/>
      <c r="EU11" s="137"/>
      <c r="EV11" s="137"/>
      <c r="EW11" s="137"/>
      <c r="EX11" s="137"/>
      <c r="EY11" s="137"/>
      <c r="EZ11" s="137"/>
      <c r="FA11" s="137"/>
      <c r="FB11" s="137"/>
      <c r="FC11" s="137"/>
    </row>
    <row r="12" spans="1:159">
      <c r="A12" s="130" t="s">
        <v>21</v>
      </c>
      <c r="B12" s="134"/>
      <c r="C12" s="134"/>
      <c r="D12" s="135"/>
      <c r="E12" s="135"/>
      <c r="F12" s="135"/>
      <c r="G12" s="135"/>
      <c r="H12" s="135"/>
      <c r="I12" s="135"/>
      <c r="J12" s="135">
        <v>3500</v>
      </c>
      <c r="K12" s="135"/>
      <c r="L12" s="135"/>
      <c r="M12" s="135"/>
      <c r="N12" s="135">
        <v>0</v>
      </c>
      <c r="O12" s="135">
        <v>2</v>
      </c>
      <c r="P12" s="135"/>
      <c r="Q12" s="135"/>
      <c r="R12" s="135"/>
      <c r="S12" s="135"/>
      <c r="T12" s="135"/>
      <c r="U12" s="135"/>
      <c r="V12" s="135">
        <v>3500</v>
      </c>
      <c r="W12" s="135"/>
      <c r="X12" s="135"/>
      <c r="Y12" s="135"/>
      <c r="Z12" s="135">
        <v>0</v>
      </c>
      <c r="AA12" s="135">
        <v>2</v>
      </c>
      <c r="AB12" s="135"/>
      <c r="AC12" s="135"/>
      <c r="AD12" s="135"/>
      <c r="AE12" s="135"/>
      <c r="AF12" s="135"/>
      <c r="AG12" s="135"/>
      <c r="AH12" s="135">
        <v>88000</v>
      </c>
      <c r="AI12" s="135"/>
      <c r="AJ12" s="135"/>
      <c r="AK12" s="135"/>
      <c r="AL12" s="135">
        <v>0</v>
      </c>
      <c r="AM12" s="135"/>
      <c r="AN12" s="135">
        <v>1377794</v>
      </c>
      <c r="AO12" s="135"/>
      <c r="AP12" s="135"/>
      <c r="AQ12" s="135"/>
      <c r="AR12" s="135">
        <v>0</v>
      </c>
      <c r="AS12" s="135">
        <v>29</v>
      </c>
      <c r="AT12" s="135">
        <v>1465794</v>
      </c>
      <c r="AU12" s="135"/>
      <c r="AV12" s="135"/>
      <c r="AW12" s="135"/>
      <c r="AX12" s="135">
        <v>0</v>
      </c>
      <c r="AY12" s="135">
        <v>29</v>
      </c>
      <c r="AZ12" s="135">
        <v>2083016</v>
      </c>
      <c r="BA12" s="135"/>
      <c r="BB12" s="135"/>
      <c r="BC12" s="135"/>
      <c r="BD12" s="135">
        <v>0</v>
      </c>
      <c r="BE12" s="135">
        <v>24</v>
      </c>
      <c r="BF12" s="135">
        <v>4220601</v>
      </c>
      <c r="BG12" s="135"/>
      <c r="BH12" s="135"/>
      <c r="BI12" s="135"/>
      <c r="BJ12" s="135">
        <v>0</v>
      </c>
      <c r="BK12" s="135">
        <v>163</v>
      </c>
      <c r="BL12" s="135">
        <v>2293350</v>
      </c>
      <c r="BM12" s="135"/>
      <c r="BN12" s="135"/>
      <c r="BO12" s="135"/>
      <c r="BP12" s="135">
        <v>0</v>
      </c>
      <c r="BQ12" s="135">
        <v>15</v>
      </c>
      <c r="BR12" s="135">
        <v>8596967</v>
      </c>
      <c r="BS12" s="135"/>
      <c r="BT12" s="135"/>
      <c r="BU12" s="135"/>
      <c r="BV12" s="135">
        <v>0</v>
      </c>
      <c r="BW12" s="135">
        <v>202</v>
      </c>
      <c r="BX12" s="135">
        <v>511001</v>
      </c>
      <c r="BY12" s="135"/>
      <c r="BZ12" s="135"/>
      <c r="CA12" s="135"/>
      <c r="CB12" s="135">
        <v>0</v>
      </c>
      <c r="CC12" s="135">
        <v>6</v>
      </c>
      <c r="CD12" s="135">
        <v>324950</v>
      </c>
      <c r="CE12" s="135"/>
      <c r="CF12" s="135"/>
      <c r="CG12" s="135"/>
      <c r="CH12" s="135">
        <v>0</v>
      </c>
      <c r="CI12" s="135">
        <v>16</v>
      </c>
      <c r="CJ12" s="135"/>
      <c r="CK12" s="135"/>
      <c r="CL12" s="135"/>
      <c r="CM12" s="135"/>
      <c r="CN12" s="135"/>
      <c r="CO12" s="135"/>
      <c r="CP12" s="135">
        <v>835951</v>
      </c>
      <c r="CQ12" s="135"/>
      <c r="CR12" s="135"/>
      <c r="CS12" s="135"/>
      <c r="CT12" s="135">
        <v>0</v>
      </c>
      <c r="CU12" s="135">
        <v>22</v>
      </c>
      <c r="CV12" s="135">
        <v>10902212</v>
      </c>
      <c r="CW12" s="135"/>
      <c r="CX12" s="135"/>
      <c r="CY12" s="135"/>
      <c r="CZ12" s="135">
        <v>0</v>
      </c>
      <c r="DA12" s="135">
        <v>255</v>
      </c>
      <c r="DB12" s="135">
        <v>10902212</v>
      </c>
      <c r="DC12" s="135"/>
      <c r="DD12" s="135"/>
      <c r="DE12" s="135"/>
      <c r="DF12" s="135">
        <v>0</v>
      </c>
      <c r="DG12" s="135">
        <v>255</v>
      </c>
      <c r="DH12" s="136"/>
      <c r="DI12" s="136"/>
      <c r="DJ12" s="136"/>
      <c r="DK12" s="136"/>
      <c r="DL12" s="136"/>
      <c r="DM12" s="136"/>
      <c r="DN12" s="136"/>
      <c r="DO12" s="136"/>
      <c r="DP12" s="136"/>
      <c r="DQ12" s="136"/>
      <c r="DR12" s="136"/>
      <c r="DS12" s="136"/>
      <c r="DT12" s="136"/>
      <c r="DU12" s="136"/>
      <c r="DV12" s="136"/>
      <c r="DW12" s="136"/>
      <c r="DX12" s="136"/>
      <c r="DY12" s="136"/>
      <c r="DZ12" s="136"/>
      <c r="EA12" s="136"/>
      <c r="EB12" s="136"/>
      <c r="EC12" s="136"/>
      <c r="ED12" s="136"/>
      <c r="EE12" s="136"/>
      <c r="EF12" s="136"/>
      <c r="EG12" s="136"/>
      <c r="EH12" s="136"/>
      <c r="EI12" s="136"/>
      <c r="EJ12" s="136"/>
      <c r="EK12" s="136"/>
      <c r="EL12" s="136"/>
      <c r="EM12" s="136"/>
      <c r="EN12" s="136"/>
      <c r="EO12" s="136"/>
      <c r="EP12" s="136"/>
      <c r="EQ12" s="136"/>
      <c r="ER12" s="136"/>
      <c r="ES12" s="136"/>
      <c r="ET12" s="136"/>
      <c r="EU12" s="136"/>
      <c r="EV12" s="136"/>
      <c r="EW12" s="136"/>
      <c r="EX12" s="136"/>
      <c r="EY12" s="136"/>
      <c r="EZ12" s="136"/>
      <c r="FA12" s="136"/>
      <c r="FB12" s="136"/>
      <c r="FC12" s="136"/>
    </row>
    <row r="13" spans="1:159">
      <c r="A13" s="130"/>
      <c r="B13" s="134" t="s">
        <v>346</v>
      </c>
      <c r="C13" s="134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5"/>
      <c r="BP13" s="135"/>
      <c r="BQ13" s="135"/>
      <c r="BR13" s="135"/>
      <c r="BS13" s="135"/>
      <c r="BT13" s="135"/>
      <c r="BU13" s="135"/>
      <c r="BV13" s="135"/>
      <c r="BW13" s="135"/>
      <c r="BX13" s="135"/>
      <c r="BY13" s="135"/>
      <c r="BZ13" s="135"/>
      <c r="CA13" s="135"/>
      <c r="CB13" s="135"/>
      <c r="CC13" s="135"/>
      <c r="CD13" s="135"/>
      <c r="CE13" s="135"/>
      <c r="CF13" s="135"/>
      <c r="CG13" s="135"/>
      <c r="CH13" s="135"/>
      <c r="CI13" s="135"/>
      <c r="CJ13" s="135"/>
      <c r="CK13" s="135"/>
      <c r="CL13" s="135"/>
      <c r="CM13" s="135"/>
      <c r="CN13" s="135"/>
      <c r="CO13" s="135"/>
      <c r="CP13" s="135"/>
      <c r="CQ13" s="135"/>
      <c r="CR13" s="135"/>
      <c r="CS13" s="135"/>
      <c r="CT13" s="135"/>
      <c r="CU13" s="135"/>
      <c r="CV13" s="135"/>
      <c r="CW13" s="135"/>
      <c r="CX13" s="135"/>
      <c r="CY13" s="135"/>
      <c r="CZ13" s="135"/>
      <c r="DA13" s="135"/>
      <c r="DB13" s="135"/>
      <c r="DC13" s="135"/>
      <c r="DD13" s="135"/>
      <c r="DE13" s="135"/>
      <c r="DF13" s="135"/>
      <c r="DG13" s="135"/>
      <c r="DH13" s="136"/>
      <c r="DI13" s="136"/>
      <c r="DJ13" s="136"/>
      <c r="DK13" s="136"/>
      <c r="DL13" s="136"/>
      <c r="DM13" s="136"/>
      <c r="DN13" s="136"/>
      <c r="DO13" s="136"/>
      <c r="DP13" s="136"/>
      <c r="DQ13" s="136"/>
      <c r="DR13" s="136"/>
      <c r="DS13" s="136"/>
      <c r="DT13" s="136"/>
      <c r="DU13" s="136"/>
      <c r="DV13" s="136"/>
      <c r="DW13" s="136"/>
      <c r="DX13" s="136"/>
      <c r="DY13" s="136"/>
      <c r="DZ13" s="136"/>
      <c r="EA13" s="136"/>
      <c r="EB13" s="136"/>
      <c r="EC13" s="136"/>
      <c r="ED13" s="136"/>
      <c r="EE13" s="136"/>
      <c r="EF13" s="136"/>
      <c r="EG13" s="136"/>
      <c r="EH13" s="136"/>
      <c r="EI13" s="136"/>
      <c r="EJ13" s="136"/>
      <c r="EK13" s="136"/>
      <c r="EL13" s="136"/>
      <c r="EM13" s="136"/>
      <c r="EN13" s="136"/>
      <c r="EO13" s="136"/>
      <c r="EP13" s="136"/>
      <c r="EQ13" s="136"/>
      <c r="ER13" s="136"/>
      <c r="ES13" s="136"/>
      <c r="ET13" s="136"/>
      <c r="EU13" s="136"/>
      <c r="EV13" s="136"/>
      <c r="EW13" s="136"/>
      <c r="EX13" s="136"/>
      <c r="EY13" s="136"/>
      <c r="EZ13" s="136"/>
      <c r="FA13" s="136"/>
      <c r="FB13" s="136"/>
      <c r="FC13" s="136"/>
    </row>
    <row r="14" ht="31.5" spans="1:159">
      <c r="A14" s="130"/>
      <c r="B14" s="134"/>
      <c r="C14" s="134" t="s">
        <v>24</v>
      </c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>
        <v>7000</v>
      </c>
      <c r="AO14" s="135"/>
      <c r="AP14" s="135"/>
      <c r="AQ14" s="135"/>
      <c r="AR14" s="135">
        <v>0</v>
      </c>
      <c r="AS14" s="135">
        <v>21</v>
      </c>
      <c r="AT14" s="135">
        <v>7000</v>
      </c>
      <c r="AU14" s="135"/>
      <c r="AV14" s="135"/>
      <c r="AW14" s="135"/>
      <c r="AX14" s="135">
        <v>0</v>
      </c>
      <c r="AY14" s="135">
        <v>21</v>
      </c>
      <c r="AZ14" s="135">
        <v>1000</v>
      </c>
      <c r="BA14" s="135"/>
      <c r="BB14" s="135"/>
      <c r="BC14" s="135"/>
      <c r="BD14" s="135">
        <v>0</v>
      </c>
      <c r="BE14" s="135">
        <v>2</v>
      </c>
      <c r="BF14" s="135"/>
      <c r="BG14" s="135"/>
      <c r="BH14" s="135"/>
      <c r="BI14" s="135"/>
      <c r="BJ14" s="135"/>
      <c r="BK14" s="135"/>
      <c r="BL14" s="135"/>
      <c r="BM14" s="135"/>
      <c r="BN14" s="135"/>
      <c r="BO14" s="135"/>
      <c r="BP14" s="135"/>
      <c r="BQ14" s="135"/>
      <c r="BR14" s="135">
        <v>1000</v>
      </c>
      <c r="BS14" s="135"/>
      <c r="BT14" s="135"/>
      <c r="BU14" s="135"/>
      <c r="BV14" s="135">
        <v>0</v>
      </c>
      <c r="BW14" s="135">
        <v>2</v>
      </c>
      <c r="BX14" s="135">
        <v>6000</v>
      </c>
      <c r="BY14" s="135"/>
      <c r="BZ14" s="135"/>
      <c r="CA14" s="135"/>
      <c r="CB14" s="135">
        <v>0</v>
      </c>
      <c r="CC14" s="135">
        <v>4</v>
      </c>
      <c r="CD14" s="135">
        <v>8000</v>
      </c>
      <c r="CE14" s="135"/>
      <c r="CF14" s="135"/>
      <c r="CG14" s="135"/>
      <c r="CH14" s="135">
        <v>0</v>
      </c>
      <c r="CI14" s="135">
        <v>12</v>
      </c>
      <c r="CJ14" s="135"/>
      <c r="CK14" s="135"/>
      <c r="CL14" s="135"/>
      <c r="CM14" s="135"/>
      <c r="CN14" s="135"/>
      <c r="CO14" s="135"/>
      <c r="CP14" s="135">
        <v>14000</v>
      </c>
      <c r="CQ14" s="135"/>
      <c r="CR14" s="135"/>
      <c r="CS14" s="135"/>
      <c r="CT14" s="135">
        <v>0</v>
      </c>
      <c r="CU14" s="135">
        <v>16</v>
      </c>
      <c r="CV14" s="135">
        <v>22000</v>
      </c>
      <c r="CW14" s="135"/>
      <c r="CX14" s="135"/>
      <c r="CY14" s="135"/>
      <c r="CZ14" s="135">
        <v>0</v>
      </c>
      <c r="DA14" s="135">
        <v>39</v>
      </c>
      <c r="DB14" s="135">
        <v>22000</v>
      </c>
      <c r="DC14" s="135"/>
      <c r="DD14" s="135"/>
      <c r="DE14" s="135"/>
      <c r="DF14" s="135">
        <v>0</v>
      </c>
      <c r="DG14" s="135">
        <v>39</v>
      </c>
      <c r="DH14" s="136"/>
      <c r="DI14" s="136"/>
      <c r="DJ14" s="136"/>
      <c r="DK14" s="136"/>
      <c r="DL14" s="136"/>
      <c r="DM14" s="136"/>
      <c r="DN14" s="136"/>
      <c r="DO14" s="136"/>
      <c r="DP14" s="136"/>
      <c r="DQ14" s="136"/>
      <c r="DR14" s="136"/>
      <c r="DS14" s="136"/>
      <c r="DT14" s="136"/>
      <c r="DU14" s="136"/>
      <c r="DV14" s="136"/>
      <c r="DW14" s="136"/>
      <c r="DX14" s="136"/>
      <c r="DY14" s="136"/>
      <c r="DZ14" s="136"/>
      <c r="EA14" s="136"/>
      <c r="EB14" s="136"/>
      <c r="EC14" s="136"/>
      <c r="ED14" s="136"/>
      <c r="EE14" s="136"/>
      <c r="EF14" s="136"/>
      <c r="EG14" s="136"/>
      <c r="EH14" s="136"/>
      <c r="EI14" s="136"/>
      <c r="EJ14" s="136"/>
      <c r="EK14" s="136"/>
      <c r="EL14" s="136"/>
      <c r="EM14" s="136"/>
      <c r="EN14" s="136"/>
      <c r="EO14" s="136"/>
      <c r="EP14" s="136"/>
      <c r="EQ14" s="136"/>
      <c r="ER14" s="136"/>
      <c r="ES14" s="136"/>
      <c r="ET14" s="136"/>
      <c r="EU14" s="136"/>
      <c r="EV14" s="136"/>
      <c r="EW14" s="136"/>
      <c r="EX14" s="136"/>
      <c r="EY14" s="136"/>
      <c r="EZ14" s="136"/>
      <c r="FA14" s="136"/>
      <c r="FB14" s="136"/>
      <c r="FC14" s="136"/>
    </row>
    <row r="15" spans="1:159">
      <c r="A15" s="130"/>
      <c r="B15" s="134" t="s">
        <v>347</v>
      </c>
      <c r="C15" s="134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135"/>
      <c r="AV15" s="135"/>
      <c r="AW15" s="135"/>
      <c r="AX15" s="135"/>
      <c r="AY15" s="135"/>
      <c r="AZ15" s="135"/>
      <c r="BA15" s="135"/>
      <c r="BB15" s="135"/>
      <c r="BC15" s="135"/>
      <c r="BD15" s="135"/>
      <c r="BE15" s="135"/>
      <c r="BF15" s="135"/>
      <c r="BG15" s="135"/>
      <c r="BH15" s="135"/>
      <c r="BI15" s="135"/>
      <c r="BJ15" s="135"/>
      <c r="BK15" s="135"/>
      <c r="BL15" s="135"/>
      <c r="BM15" s="135"/>
      <c r="BN15" s="135"/>
      <c r="BO15" s="135"/>
      <c r="BP15" s="135"/>
      <c r="BQ15" s="135"/>
      <c r="BR15" s="135"/>
      <c r="BS15" s="135"/>
      <c r="BT15" s="135"/>
      <c r="BU15" s="135"/>
      <c r="BV15" s="135"/>
      <c r="BW15" s="135"/>
      <c r="BX15" s="135"/>
      <c r="BY15" s="135"/>
      <c r="BZ15" s="135"/>
      <c r="CA15" s="135"/>
      <c r="CB15" s="135"/>
      <c r="CC15" s="135"/>
      <c r="CD15" s="135"/>
      <c r="CE15" s="135"/>
      <c r="CF15" s="135"/>
      <c r="CG15" s="135"/>
      <c r="CH15" s="135"/>
      <c r="CI15" s="135"/>
      <c r="CJ15" s="135"/>
      <c r="CK15" s="135"/>
      <c r="CL15" s="135"/>
      <c r="CM15" s="135"/>
      <c r="CN15" s="135"/>
      <c r="CO15" s="135"/>
      <c r="CP15" s="135"/>
      <c r="CQ15" s="135"/>
      <c r="CR15" s="135"/>
      <c r="CS15" s="135"/>
      <c r="CT15" s="135"/>
      <c r="CU15" s="135"/>
      <c r="CV15" s="135"/>
      <c r="CW15" s="135"/>
      <c r="CX15" s="135"/>
      <c r="CY15" s="135"/>
      <c r="CZ15" s="135"/>
      <c r="DA15" s="135"/>
      <c r="DB15" s="135"/>
      <c r="DC15" s="135"/>
      <c r="DD15" s="135"/>
      <c r="DE15" s="135"/>
      <c r="DF15" s="135"/>
      <c r="DG15" s="135"/>
      <c r="DH15" s="136"/>
      <c r="DI15" s="136"/>
      <c r="DJ15" s="136"/>
      <c r="DK15" s="136"/>
      <c r="DL15" s="136"/>
      <c r="DM15" s="136"/>
      <c r="DN15" s="136"/>
      <c r="DO15" s="136"/>
      <c r="DP15" s="136"/>
      <c r="DQ15" s="136"/>
      <c r="DR15" s="136"/>
      <c r="DS15" s="136"/>
      <c r="DT15" s="136"/>
      <c r="DU15" s="136"/>
      <c r="DV15" s="136"/>
      <c r="DW15" s="136"/>
      <c r="DX15" s="136"/>
      <c r="DY15" s="136"/>
      <c r="DZ15" s="136"/>
      <c r="EA15" s="136"/>
      <c r="EB15" s="136"/>
      <c r="EC15" s="136"/>
      <c r="ED15" s="136"/>
      <c r="EE15" s="136"/>
      <c r="EF15" s="136"/>
      <c r="EG15" s="136"/>
      <c r="EH15" s="136"/>
      <c r="EI15" s="136"/>
      <c r="EJ15" s="136"/>
      <c r="EK15" s="136"/>
      <c r="EL15" s="136"/>
      <c r="EM15" s="136"/>
      <c r="EN15" s="136"/>
      <c r="EO15" s="136"/>
      <c r="EP15" s="136"/>
      <c r="EQ15" s="136"/>
      <c r="ER15" s="136"/>
      <c r="ES15" s="136"/>
      <c r="ET15" s="136"/>
      <c r="EU15" s="136"/>
      <c r="EV15" s="136"/>
      <c r="EW15" s="136"/>
      <c r="EX15" s="136"/>
      <c r="EY15" s="136"/>
      <c r="EZ15" s="136"/>
      <c r="FA15" s="136"/>
      <c r="FB15" s="136"/>
      <c r="FC15" s="136"/>
    </row>
    <row r="16" spans="1:159">
      <c r="A16" s="130"/>
      <c r="B16" s="134"/>
      <c r="C16" s="134" t="s">
        <v>80</v>
      </c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>
        <v>15000</v>
      </c>
      <c r="AI16" s="135"/>
      <c r="AJ16" s="135"/>
      <c r="AK16" s="135"/>
      <c r="AL16" s="135">
        <v>0</v>
      </c>
      <c r="AM16" s="135"/>
      <c r="AN16" s="135"/>
      <c r="AO16" s="135"/>
      <c r="AP16" s="135"/>
      <c r="AQ16" s="135"/>
      <c r="AR16" s="135"/>
      <c r="AS16" s="135"/>
      <c r="AT16" s="135">
        <v>15000</v>
      </c>
      <c r="AU16" s="135"/>
      <c r="AV16" s="135"/>
      <c r="AW16" s="135"/>
      <c r="AX16" s="135">
        <v>0</v>
      </c>
      <c r="AY16" s="135"/>
      <c r="AZ16" s="135"/>
      <c r="BA16" s="135"/>
      <c r="BB16" s="135"/>
      <c r="BC16" s="135"/>
      <c r="BD16" s="135"/>
      <c r="BE16" s="135"/>
      <c r="BF16" s="135"/>
      <c r="BG16" s="135"/>
      <c r="BH16" s="135"/>
      <c r="BI16" s="135"/>
      <c r="BJ16" s="135"/>
      <c r="BK16" s="135"/>
      <c r="BL16" s="135"/>
      <c r="BM16" s="135"/>
      <c r="BN16" s="135"/>
      <c r="BO16" s="135"/>
      <c r="BP16" s="135"/>
      <c r="BQ16" s="135"/>
      <c r="BR16" s="135"/>
      <c r="BS16" s="135"/>
      <c r="BT16" s="135"/>
      <c r="BU16" s="135"/>
      <c r="BV16" s="135"/>
      <c r="BW16" s="135"/>
      <c r="BX16" s="135"/>
      <c r="BY16" s="135"/>
      <c r="BZ16" s="135"/>
      <c r="CA16" s="135"/>
      <c r="CB16" s="135"/>
      <c r="CC16" s="135"/>
      <c r="CD16" s="135"/>
      <c r="CE16" s="135"/>
      <c r="CF16" s="135"/>
      <c r="CG16" s="135"/>
      <c r="CH16" s="135"/>
      <c r="CI16" s="135"/>
      <c r="CJ16" s="135"/>
      <c r="CK16" s="135"/>
      <c r="CL16" s="135"/>
      <c r="CM16" s="135"/>
      <c r="CN16" s="135"/>
      <c r="CO16" s="135"/>
      <c r="CP16" s="135"/>
      <c r="CQ16" s="135"/>
      <c r="CR16" s="135"/>
      <c r="CS16" s="135"/>
      <c r="CT16" s="135"/>
      <c r="CU16" s="135"/>
      <c r="CV16" s="135">
        <v>15000</v>
      </c>
      <c r="CW16" s="135"/>
      <c r="CX16" s="135"/>
      <c r="CY16" s="135"/>
      <c r="CZ16" s="135">
        <v>0</v>
      </c>
      <c r="DA16" s="135"/>
      <c r="DB16" s="135">
        <v>15000</v>
      </c>
      <c r="DC16" s="135"/>
      <c r="DD16" s="135"/>
      <c r="DE16" s="135"/>
      <c r="DF16" s="135">
        <v>0</v>
      </c>
      <c r="DG16" s="135"/>
      <c r="DH16" s="136"/>
      <c r="DI16" s="136"/>
      <c r="DJ16" s="136"/>
      <c r="DK16" s="136"/>
      <c r="DL16" s="136"/>
      <c r="DM16" s="136"/>
      <c r="DN16" s="136"/>
      <c r="DO16" s="136"/>
      <c r="DP16" s="136"/>
      <c r="DQ16" s="136"/>
      <c r="DR16" s="136"/>
      <c r="DS16" s="136"/>
      <c r="DT16" s="136"/>
      <c r="DU16" s="136"/>
      <c r="DV16" s="136"/>
      <c r="DW16" s="136"/>
      <c r="DX16" s="136"/>
      <c r="DY16" s="136"/>
      <c r="DZ16" s="136"/>
      <c r="EA16" s="136"/>
      <c r="EB16" s="136"/>
      <c r="EC16" s="136"/>
      <c r="ED16" s="136"/>
      <c r="EE16" s="136"/>
      <c r="EF16" s="136"/>
      <c r="EG16" s="136"/>
      <c r="EH16" s="136"/>
      <c r="EI16" s="136"/>
      <c r="EJ16" s="136"/>
      <c r="EK16" s="136"/>
      <c r="EL16" s="136"/>
      <c r="EM16" s="136"/>
      <c r="EN16" s="136"/>
      <c r="EO16" s="136"/>
      <c r="EP16" s="136"/>
      <c r="EQ16" s="136"/>
      <c r="ER16" s="136"/>
      <c r="ES16" s="136"/>
      <c r="ET16" s="136"/>
      <c r="EU16" s="136"/>
      <c r="EV16" s="136"/>
      <c r="EW16" s="136"/>
      <c r="EX16" s="136"/>
      <c r="EY16" s="136"/>
      <c r="EZ16" s="136"/>
      <c r="FA16" s="136"/>
      <c r="FB16" s="136"/>
      <c r="FC16" s="136"/>
    </row>
    <row r="17" ht="31.5" spans="1:159">
      <c r="A17" s="130"/>
      <c r="B17" s="134"/>
      <c r="C17" s="134" t="s">
        <v>82</v>
      </c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>
        <v>3000</v>
      </c>
      <c r="AI17" s="135"/>
      <c r="AJ17" s="135"/>
      <c r="AK17" s="135"/>
      <c r="AL17" s="135">
        <v>0</v>
      </c>
      <c r="AM17" s="135"/>
      <c r="AN17" s="135"/>
      <c r="AO17" s="135"/>
      <c r="AP17" s="135"/>
      <c r="AQ17" s="135"/>
      <c r="AR17" s="135"/>
      <c r="AS17" s="135"/>
      <c r="AT17" s="135">
        <v>3000</v>
      </c>
      <c r="AU17" s="135"/>
      <c r="AV17" s="135"/>
      <c r="AW17" s="135"/>
      <c r="AX17" s="135">
        <v>0</v>
      </c>
      <c r="AY17" s="135"/>
      <c r="AZ17" s="135"/>
      <c r="BA17" s="135"/>
      <c r="BB17" s="135"/>
      <c r="BC17" s="135"/>
      <c r="BD17" s="135"/>
      <c r="BE17" s="135"/>
      <c r="BF17" s="135"/>
      <c r="BG17" s="135"/>
      <c r="BH17" s="135"/>
      <c r="BI17" s="135"/>
      <c r="BJ17" s="135"/>
      <c r="BK17" s="135"/>
      <c r="BL17" s="135"/>
      <c r="BM17" s="135"/>
      <c r="BN17" s="135"/>
      <c r="BO17" s="135"/>
      <c r="BP17" s="135"/>
      <c r="BQ17" s="135"/>
      <c r="BR17" s="135"/>
      <c r="BS17" s="135"/>
      <c r="BT17" s="135"/>
      <c r="BU17" s="135"/>
      <c r="BV17" s="135"/>
      <c r="BW17" s="135"/>
      <c r="BX17" s="135"/>
      <c r="BY17" s="135"/>
      <c r="BZ17" s="135"/>
      <c r="CA17" s="135"/>
      <c r="CB17" s="135"/>
      <c r="CC17" s="135"/>
      <c r="CD17" s="135"/>
      <c r="CE17" s="135"/>
      <c r="CF17" s="135"/>
      <c r="CG17" s="135"/>
      <c r="CH17" s="135"/>
      <c r="CI17" s="135"/>
      <c r="CJ17" s="135"/>
      <c r="CK17" s="135"/>
      <c r="CL17" s="135"/>
      <c r="CM17" s="135"/>
      <c r="CN17" s="135"/>
      <c r="CO17" s="135"/>
      <c r="CP17" s="135"/>
      <c r="CQ17" s="135"/>
      <c r="CR17" s="135"/>
      <c r="CS17" s="135"/>
      <c r="CT17" s="135"/>
      <c r="CU17" s="135"/>
      <c r="CV17" s="135">
        <v>3000</v>
      </c>
      <c r="CW17" s="135"/>
      <c r="CX17" s="135"/>
      <c r="CY17" s="135"/>
      <c r="CZ17" s="135">
        <v>0</v>
      </c>
      <c r="DA17" s="135"/>
      <c r="DB17" s="135">
        <v>3000</v>
      </c>
      <c r="DC17" s="135"/>
      <c r="DD17" s="135"/>
      <c r="DE17" s="135"/>
      <c r="DF17" s="135">
        <v>0</v>
      </c>
      <c r="DG17" s="135"/>
      <c r="DH17" s="136"/>
      <c r="DI17" s="136"/>
      <c r="DJ17" s="136"/>
      <c r="DK17" s="136"/>
      <c r="DL17" s="136"/>
      <c r="DM17" s="136"/>
      <c r="DN17" s="136"/>
      <c r="DO17" s="136"/>
      <c r="DP17" s="136"/>
      <c r="DQ17" s="136"/>
      <c r="DR17" s="136"/>
      <c r="DS17" s="136"/>
      <c r="DT17" s="136"/>
      <c r="DU17" s="136"/>
      <c r="DV17" s="136"/>
      <c r="DW17" s="136"/>
      <c r="DX17" s="136"/>
      <c r="DY17" s="136"/>
      <c r="DZ17" s="136"/>
      <c r="EA17" s="136"/>
      <c r="EB17" s="136"/>
      <c r="EC17" s="136"/>
      <c r="ED17" s="136"/>
      <c r="EE17" s="136"/>
      <c r="EF17" s="136"/>
      <c r="EG17" s="136"/>
      <c r="EH17" s="136"/>
      <c r="EI17" s="136"/>
      <c r="EJ17" s="136"/>
      <c r="EK17" s="136"/>
      <c r="EL17" s="136"/>
      <c r="EM17" s="136"/>
      <c r="EN17" s="136"/>
      <c r="EO17" s="136"/>
      <c r="EP17" s="136"/>
      <c r="EQ17" s="136"/>
      <c r="ER17" s="136"/>
      <c r="ES17" s="136"/>
      <c r="ET17" s="136"/>
      <c r="EU17" s="136"/>
      <c r="EV17" s="136"/>
      <c r="EW17" s="136"/>
      <c r="EX17" s="136"/>
      <c r="EY17" s="136"/>
      <c r="EZ17" s="136"/>
      <c r="FA17" s="136"/>
      <c r="FB17" s="136"/>
      <c r="FC17" s="136"/>
    </row>
    <row r="18" ht="31.5" spans="1:159">
      <c r="A18" s="130"/>
      <c r="B18" s="134"/>
      <c r="C18" s="134" t="s">
        <v>84</v>
      </c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>
        <v>375894</v>
      </c>
      <c r="AO18" s="135"/>
      <c r="AP18" s="135"/>
      <c r="AQ18" s="135"/>
      <c r="AR18" s="135">
        <v>0</v>
      </c>
      <c r="AS18" s="135"/>
      <c r="AT18" s="135">
        <v>375894</v>
      </c>
      <c r="AU18" s="135"/>
      <c r="AV18" s="135"/>
      <c r="AW18" s="135"/>
      <c r="AX18" s="135">
        <v>0</v>
      </c>
      <c r="AY18" s="135"/>
      <c r="AZ18" s="135"/>
      <c r="BA18" s="135"/>
      <c r="BB18" s="135"/>
      <c r="BC18" s="135"/>
      <c r="BD18" s="135"/>
      <c r="BE18" s="135"/>
      <c r="BF18" s="135"/>
      <c r="BG18" s="135"/>
      <c r="BH18" s="135"/>
      <c r="BI18" s="135"/>
      <c r="BJ18" s="135"/>
      <c r="BK18" s="135"/>
      <c r="BL18" s="135"/>
      <c r="BM18" s="135"/>
      <c r="BN18" s="135"/>
      <c r="BO18" s="135"/>
      <c r="BP18" s="135"/>
      <c r="BQ18" s="135"/>
      <c r="BR18" s="135"/>
      <c r="BS18" s="135"/>
      <c r="BT18" s="135"/>
      <c r="BU18" s="135"/>
      <c r="BV18" s="135"/>
      <c r="BW18" s="135"/>
      <c r="BX18" s="135"/>
      <c r="BY18" s="135"/>
      <c r="BZ18" s="135"/>
      <c r="CA18" s="135"/>
      <c r="CB18" s="135"/>
      <c r="CC18" s="135"/>
      <c r="CD18" s="135"/>
      <c r="CE18" s="135"/>
      <c r="CF18" s="135"/>
      <c r="CG18" s="135"/>
      <c r="CH18" s="135"/>
      <c r="CI18" s="135"/>
      <c r="CJ18" s="135"/>
      <c r="CK18" s="135"/>
      <c r="CL18" s="135"/>
      <c r="CM18" s="135"/>
      <c r="CN18" s="135"/>
      <c r="CO18" s="135"/>
      <c r="CP18" s="135"/>
      <c r="CQ18" s="135"/>
      <c r="CR18" s="135"/>
      <c r="CS18" s="135"/>
      <c r="CT18" s="135"/>
      <c r="CU18" s="135"/>
      <c r="CV18" s="135">
        <v>375894</v>
      </c>
      <c r="CW18" s="135"/>
      <c r="CX18" s="135"/>
      <c r="CY18" s="135"/>
      <c r="CZ18" s="135">
        <v>0</v>
      </c>
      <c r="DA18" s="135"/>
      <c r="DB18" s="135">
        <v>375894</v>
      </c>
      <c r="DC18" s="135"/>
      <c r="DD18" s="135"/>
      <c r="DE18" s="135"/>
      <c r="DF18" s="135">
        <v>0</v>
      </c>
      <c r="DG18" s="135"/>
      <c r="DH18" s="136"/>
      <c r="DI18" s="136"/>
      <c r="DJ18" s="136"/>
      <c r="DK18" s="136"/>
      <c r="DL18" s="136"/>
      <c r="DM18" s="136"/>
      <c r="DN18" s="136"/>
      <c r="DO18" s="136"/>
      <c r="DP18" s="136"/>
      <c r="DQ18" s="136"/>
      <c r="DR18" s="136"/>
      <c r="DS18" s="136"/>
      <c r="DT18" s="136"/>
      <c r="DU18" s="136"/>
      <c r="DV18" s="136"/>
      <c r="DW18" s="136"/>
      <c r="DX18" s="136"/>
      <c r="DY18" s="136"/>
      <c r="DZ18" s="136"/>
      <c r="EA18" s="136"/>
      <c r="EB18" s="136"/>
      <c r="EC18" s="136"/>
      <c r="ED18" s="136"/>
      <c r="EE18" s="136"/>
      <c r="EF18" s="136"/>
      <c r="EG18" s="136"/>
      <c r="EH18" s="136"/>
      <c r="EI18" s="136"/>
      <c r="EJ18" s="136"/>
      <c r="EK18" s="136"/>
      <c r="EL18" s="136"/>
      <c r="EM18" s="136"/>
      <c r="EN18" s="136"/>
      <c r="EO18" s="136"/>
      <c r="EP18" s="136"/>
      <c r="EQ18" s="136"/>
      <c r="ER18" s="136"/>
      <c r="ES18" s="136"/>
      <c r="ET18" s="136"/>
      <c r="EU18" s="136"/>
      <c r="EV18" s="136"/>
      <c r="EW18" s="136"/>
      <c r="EX18" s="136"/>
      <c r="EY18" s="136"/>
      <c r="EZ18" s="136"/>
      <c r="FA18" s="136"/>
      <c r="FB18" s="136"/>
      <c r="FC18" s="136"/>
    </row>
    <row r="19" ht="31.5" spans="1:159">
      <c r="A19" s="130"/>
      <c r="B19" s="134" t="s">
        <v>348</v>
      </c>
      <c r="C19" s="134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5"/>
      <c r="AX19" s="135"/>
      <c r="AY19" s="135"/>
      <c r="AZ19" s="135"/>
      <c r="BA19" s="135"/>
      <c r="BB19" s="135"/>
      <c r="BC19" s="135"/>
      <c r="BD19" s="135"/>
      <c r="BE19" s="135"/>
      <c r="BF19" s="135"/>
      <c r="BG19" s="135"/>
      <c r="BH19" s="135"/>
      <c r="BI19" s="135"/>
      <c r="BJ19" s="135"/>
      <c r="BK19" s="135"/>
      <c r="BL19" s="135"/>
      <c r="BM19" s="135"/>
      <c r="BN19" s="135"/>
      <c r="BO19" s="135"/>
      <c r="BP19" s="135"/>
      <c r="BQ19" s="135"/>
      <c r="BR19" s="135"/>
      <c r="BS19" s="135"/>
      <c r="BT19" s="135"/>
      <c r="BU19" s="135"/>
      <c r="BV19" s="135"/>
      <c r="BW19" s="135"/>
      <c r="BX19" s="135"/>
      <c r="BY19" s="135"/>
      <c r="BZ19" s="135"/>
      <c r="CA19" s="135"/>
      <c r="CB19" s="135"/>
      <c r="CC19" s="135"/>
      <c r="CD19" s="135"/>
      <c r="CE19" s="135"/>
      <c r="CF19" s="135"/>
      <c r="CG19" s="135"/>
      <c r="CH19" s="135"/>
      <c r="CI19" s="135"/>
      <c r="CJ19" s="135"/>
      <c r="CK19" s="135"/>
      <c r="CL19" s="135"/>
      <c r="CM19" s="135"/>
      <c r="CN19" s="135"/>
      <c r="CO19" s="135"/>
      <c r="CP19" s="135"/>
      <c r="CQ19" s="135"/>
      <c r="CR19" s="135"/>
      <c r="CS19" s="135"/>
      <c r="CT19" s="135"/>
      <c r="CU19" s="135"/>
      <c r="CV19" s="135"/>
      <c r="CW19" s="135"/>
      <c r="CX19" s="135"/>
      <c r="CY19" s="135"/>
      <c r="CZ19" s="135"/>
      <c r="DA19" s="135"/>
      <c r="DB19" s="135"/>
      <c r="DC19" s="135"/>
      <c r="DD19" s="135"/>
      <c r="DE19" s="135"/>
      <c r="DF19" s="135"/>
      <c r="DG19" s="135"/>
      <c r="DH19" s="136"/>
      <c r="DI19" s="136"/>
      <c r="DJ19" s="136"/>
      <c r="DK19" s="136"/>
      <c r="DL19" s="136"/>
      <c r="DM19" s="136"/>
      <c r="DN19" s="136"/>
      <c r="DO19" s="136"/>
      <c r="DP19" s="136"/>
      <c r="DQ19" s="136"/>
      <c r="DR19" s="136"/>
      <c r="DS19" s="136"/>
      <c r="DT19" s="136"/>
      <c r="DU19" s="136"/>
      <c r="DV19" s="136"/>
      <c r="DW19" s="136"/>
      <c r="DX19" s="136"/>
      <c r="DY19" s="136"/>
      <c r="DZ19" s="136"/>
      <c r="EA19" s="136"/>
      <c r="EB19" s="136"/>
      <c r="EC19" s="136"/>
      <c r="ED19" s="136"/>
      <c r="EE19" s="136"/>
      <c r="EF19" s="136"/>
      <c r="EG19" s="136"/>
      <c r="EH19" s="136"/>
      <c r="EI19" s="136"/>
      <c r="EJ19" s="136"/>
      <c r="EK19" s="136"/>
      <c r="EL19" s="136"/>
      <c r="EM19" s="136"/>
      <c r="EN19" s="136"/>
      <c r="EO19" s="136"/>
      <c r="EP19" s="136"/>
      <c r="EQ19" s="136"/>
      <c r="ER19" s="136"/>
      <c r="ES19" s="136"/>
      <c r="ET19" s="136"/>
      <c r="EU19" s="136"/>
      <c r="EV19" s="136"/>
      <c r="EW19" s="136"/>
      <c r="EX19" s="136"/>
      <c r="EY19" s="136"/>
      <c r="EZ19" s="136"/>
      <c r="FA19" s="136"/>
      <c r="FB19" s="136"/>
      <c r="FC19" s="136"/>
    </row>
    <row r="20" spans="1:159">
      <c r="A20" s="130"/>
      <c r="B20" s="134"/>
      <c r="C20" s="134" t="s">
        <v>26</v>
      </c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>
        <v>18000</v>
      </c>
      <c r="BA20" s="135"/>
      <c r="BB20" s="135"/>
      <c r="BC20" s="135"/>
      <c r="BD20" s="135">
        <v>0</v>
      </c>
      <c r="BE20" s="135">
        <v>4</v>
      </c>
      <c r="BF20" s="135"/>
      <c r="BG20" s="135"/>
      <c r="BH20" s="135"/>
      <c r="BI20" s="135"/>
      <c r="BJ20" s="135"/>
      <c r="BK20" s="135"/>
      <c r="BL20" s="135"/>
      <c r="BM20" s="135"/>
      <c r="BN20" s="135"/>
      <c r="BO20" s="135"/>
      <c r="BP20" s="135"/>
      <c r="BQ20" s="135"/>
      <c r="BR20" s="135">
        <v>18000</v>
      </c>
      <c r="BS20" s="135"/>
      <c r="BT20" s="135"/>
      <c r="BU20" s="135"/>
      <c r="BV20" s="135">
        <v>0</v>
      </c>
      <c r="BW20" s="135">
        <v>4</v>
      </c>
      <c r="BX20" s="135"/>
      <c r="BY20" s="135"/>
      <c r="BZ20" s="135"/>
      <c r="CA20" s="135"/>
      <c r="CB20" s="135"/>
      <c r="CC20" s="135"/>
      <c r="CD20" s="135"/>
      <c r="CE20" s="135"/>
      <c r="CF20" s="135"/>
      <c r="CG20" s="135"/>
      <c r="CH20" s="135"/>
      <c r="CI20" s="135"/>
      <c r="CJ20" s="135"/>
      <c r="CK20" s="135"/>
      <c r="CL20" s="135"/>
      <c r="CM20" s="135"/>
      <c r="CN20" s="135"/>
      <c r="CO20" s="135"/>
      <c r="CP20" s="135"/>
      <c r="CQ20" s="135"/>
      <c r="CR20" s="135"/>
      <c r="CS20" s="135"/>
      <c r="CT20" s="135"/>
      <c r="CU20" s="135"/>
      <c r="CV20" s="135">
        <v>18000</v>
      </c>
      <c r="CW20" s="135"/>
      <c r="CX20" s="135"/>
      <c r="CY20" s="135"/>
      <c r="CZ20" s="135">
        <v>0</v>
      </c>
      <c r="DA20" s="135">
        <v>4</v>
      </c>
      <c r="DB20" s="135">
        <v>18000</v>
      </c>
      <c r="DC20" s="135"/>
      <c r="DD20" s="135"/>
      <c r="DE20" s="135"/>
      <c r="DF20" s="135">
        <v>0</v>
      </c>
      <c r="DG20" s="135">
        <v>4</v>
      </c>
      <c r="DH20" s="136"/>
      <c r="DI20" s="136"/>
      <c r="DJ20" s="136"/>
      <c r="DK20" s="136"/>
      <c r="DL20" s="136"/>
      <c r="DM20" s="136"/>
      <c r="DN20" s="136"/>
      <c r="DO20" s="136"/>
      <c r="DP20" s="136"/>
      <c r="DQ20" s="136"/>
      <c r="DR20" s="136"/>
      <c r="DS20" s="136"/>
      <c r="DT20" s="136"/>
      <c r="DU20" s="136"/>
      <c r="DV20" s="136"/>
      <c r="DW20" s="136"/>
      <c r="DX20" s="136"/>
      <c r="DY20" s="136"/>
      <c r="DZ20" s="136"/>
      <c r="EA20" s="136"/>
      <c r="EB20" s="136"/>
      <c r="EC20" s="136"/>
      <c r="ED20" s="136"/>
      <c r="EE20" s="136"/>
      <c r="EF20" s="136"/>
      <c r="EG20" s="136"/>
      <c r="EH20" s="136"/>
      <c r="EI20" s="136"/>
      <c r="EJ20" s="136"/>
      <c r="EK20" s="136"/>
      <c r="EL20" s="136"/>
      <c r="EM20" s="136"/>
      <c r="EN20" s="136"/>
      <c r="EO20" s="136"/>
      <c r="EP20" s="136"/>
      <c r="EQ20" s="136"/>
      <c r="ER20" s="136"/>
      <c r="ES20" s="136"/>
      <c r="ET20" s="136"/>
      <c r="EU20" s="136"/>
      <c r="EV20" s="136"/>
      <c r="EW20" s="136"/>
      <c r="EX20" s="136"/>
      <c r="EY20" s="136"/>
      <c r="EZ20" s="136"/>
      <c r="FA20" s="136"/>
      <c r="FB20" s="136"/>
      <c r="FC20" s="136"/>
    </row>
    <row r="21" spans="1:159">
      <c r="A21" s="130"/>
      <c r="B21" s="134"/>
      <c r="C21" s="134" t="s">
        <v>28</v>
      </c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/>
      <c r="AO21" s="135"/>
      <c r="AP21" s="135"/>
      <c r="AQ21" s="135"/>
      <c r="AR21" s="135"/>
      <c r="AS21" s="135"/>
      <c r="AT21" s="135"/>
      <c r="AU21" s="135"/>
      <c r="AV21" s="135"/>
      <c r="AW21" s="135"/>
      <c r="AX21" s="135"/>
      <c r="AY21" s="135"/>
      <c r="AZ21" s="135">
        <v>550000</v>
      </c>
      <c r="BA21" s="135"/>
      <c r="BB21" s="135"/>
      <c r="BC21" s="135"/>
      <c r="BD21" s="135">
        <v>0</v>
      </c>
      <c r="BE21" s="135">
        <v>4</v>
      </c>
      <c r="BF21" s="135"/>
      <c r="BG21" s="135"/>
      <c r="BH21" s="135"/>
      <c r="BI21" s="135"/>
      <c r="BJ21" s="135"/>
      <c r="BK21" s="135"/>
      <c r="BL21" s="135"/>
      <c r="BM21" s="135"/>
      <c r="BN21" s="135"/>
      <c r="BO21" s="135"/>
      <c r="BP21" s="135"/>
      <c r="BQ21" s="135"/>
      <c r="BR21" s="135">
        <v>550000</v>
      </c>
      <c r="BS21" s="135"/>
      <c r="BT21" s="135"/>
      <c r="BU21" s="135"/>
      <c r="BV21" s="135">
        <v>0</v>
      </c>
      <c r="BW21" s="135">
        <v>4</v>
      </c>
      <c r="BX21" s="135"/>
      <c r="BY21" s="135"/>
      <c r="BZ21" s="135"/>
      <c r="CA21" s="135"/>
      <c r="CB21" s="135"/>
      <c r="CC21" s="135"/>
      <c r="CD21" s="135"/>
      <c r="CE21" s="135"/>
      <c r="CF21" s="135"/>
      <c r="CG21" s="135"/>
      <c r="CH21" s="135"/>
      <c r="CI21" s="135"/>
      <c r="CJ21" s="135"/>
      <c r="CK21" s="135"/>
      <c r="CL21" s="135"/>
      <c r="CM21" s="135"/>
      <c r="CN21" s="135"/>
      <c r="CO21" s="135"/>
      <c r="CP21" s="135"/>
      <c r="CQ21" s="135"/>
      <c r="CR21" s="135"/>
      <c r="CS21" s="135"/>
      <c r="CT21" s="135"/>
      <c r="CU21" s="135"/>
      <c r="CV21" s="135">
        <v>550000</v>
      </c>
      <c r="CW21" s="135"/>
      <c r="CX21" s="135"/>
      <c r="CY21" s="135"/>
      <c r="CZ21" s="135">
        <v>0</v>
      </c>
      <c r="DA21" s="135">
        <v>4</v>
      </c>
      <c r="DB21" s="135">
        <v>550000</v>
      </c>
      <c r="DC21" s="135"/>
      <c r="DD21" s="135"/>
      <c r="DE21" s="135"/>
      <c r="DF21" s="135">
        <v>0</v>
      </c>
      <c r="DG21" s="135">
        <v>4</v>
      </c>
      <c r="DH21" s="136"/>
      <c r="DI21" s="136"/>
      <c r="DJ21" s="136"/>
      <c r="DK21" s="136"/>
      <c r="DL21" s="136"/>
      <c r="DM21" s="136"/>
      <c r="DN21" s="136"/>
      <c r="DO21" s="136"/>
      <c r="DP21" s="136"/>
      <c r="DQ21" s="136"/>
      <c r="DR21" s="136"/>
      <c r="DS21" s="136"/>
      <c r="DT21" s="136"/>
      <c r="DU21" s="136"/>
      <c r="DV21" s="136"/>
      <c r="DW21" s="136"/>
      <c r="DX21" s="136"/>
      <c r="DY21" s="136"/>
      <c r="DZ21" s="136"/>
      <c r="EA21" s="136"/>
      <c r="EB21" s="136"/>
      <c r="EC21" s="136"/>
      <c r="ED21" s="136"/>
      <c r="EE21" s="136"/>
      <c r="EF21" s="136"/>
      <c r="EG21" s="136"/>
      <c r="EH21" s="136"/>
      <c r="EI21" s="136"/>
      <c r="EJ21" s="136"/>
      <c r="EK21" s="136"/>
      <c r="EL21" s="136"/>
      <c r="EM21" s="136"/>
      <c r="EN21" s="136"/>
      <c r="EO21" s="136"/>
      <c r="EP21" s="136"/>
      <c r="EQ21" s="136"/>
      <c r="ER21" s="136"/>
      <c r="ES21" s="136"/>
      <c r="ET21" s="136"/>
      <c r="EU21" s="136"/>
      <c r="EV21" s="136"/>
      <c r="EW21" s="136"/>
      <c r="EX21" s="136"/>
      <c r="EY21" s="136"/>
      <c r="EZ21" s="136"/>
      <c r="FA21" s="136"/>
      <c r="FB21" s="136"/>
      <c r="FC21" s="136"/>
    </row>
    <row r="22" spans="1:159">
      <c r="A22" s="130"/>
      <c r="B22" s="134" t="s">
        <v>349</v>
      </c>
      <c r="C22" s="134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5"/>
      <c r="AQ22" s="135"/>
      <c r="AR22" s="135"/>
      <c r="AS22" s="135"/>
      <c r="AT22" s="135"/>
      <c r="AU22" s="135"/>
      <c r="AV22" s="135"/>
      <c r="AW22" s="135"/>
      <c r="AX22" s="135"/>
      <c r="AY22" s="135"/>
      <c r="AZ22" s="135"/>
      <c r="BA22" s="135"/>
      <c r="BB22" s="135"/>
      <c r="BC22" s="135"/>
      <c r="BD22" s="135"/>
      <c r="BE22" s="135"/>
      <c r="BF22" s="135"/>
      <c r="BG22" s="135"/>
      <c r="BH22" s="135"/>
      <c r="BI22" s="135"/>
      <c r="BJ22" s="135"/>
      <c r="BK22" s="135"/>
      <c r="BL22" s="135"/>
      <c r="BM22" s="135"/>
      <c r="BN22" s="135"/>
      <c r="BO22" s="135"/>
      <c r="BP22" s="135"/>
      <c r="BQ22" s="135"/>
      <c r="BR22" s="135"/>
      <c r="BS22" s="135"/>
      <c r="BT22" s="135"/>
      <c r="BU22" s="135"/>
      <c r="BV22" s="135"/>
      <c r="BW22" s="135"/>
      <c r="BX22" s="135"/>
      <c r="BY22" s="135"/>
      <c r="BZ22" s="135"/>
      <c r="CA22" s="135"/>
      <c r="CB22" s="135"/>
      <c r="CC22" s="135"/>
      <c r="CD22" s="135"/>
      <c r="CE22" s="135"/>
      <c r="CF22" s="135"/>
      <c r="CG22" s="135"/>
      <c r="CH22" s="135"/>
      <c r="CI22" s="135"/>
      <c r="CJ22" s="135"/>
      <c r="CK22" s="135"/>
      <c r="CL22" s="135"/>
      <c r="CM22" s="135"/>
      <c r="CN22" s="135"/>
      <c r="CO22" s="135"/>
      <c r="CP22" s="135"/>
      <c r="CQ22" s="135"/>
      <c r="CR22" s="135"/>
      <c r="CS22" s="135"/>
      <c r="CT22" s="135"/>
      <c r="CU22" s="135"/>
      <c r="CV22" s="135"/>
      <c r="CW22" s="135"/>
      <c r="CX22" s="135"/>
      <c r="CY22" s="135"/>
      <c r="CZ22" s="135"/>
      <c r="DA22" s="135"/>
      <c r="DB22" s="135"/>
      <c r="DC22" s="135"/>
      <c r="DD22" s="135"/>
      <c r="DE22" s="135"/>
      <c r="DF22" s="135"/>
      <c r="DG22" s="135"/>
      <c r="DH22" s="136"/>
      <c r="DI22" s="136"/>
      <c r="DJ22" s="136"/>
      <c r="DK22" s="136"/>
      <c r="DL22" s="136"/>
      <c r="DM22" s="136"/>
      <c r="DN22" s="136"/>
      <c r="DO22" s="136"/>
      <c r="DP22" s="136"/>
      <c r="DQ22" s="136"/>
      <c r="DR22" s="136"/>
      <c r="DS22" s="136"/>
      <c r="DT22" s="136"/>
      <c r="DU22" s="136"/>
      <c r="DV22" s="136"/>
      <c r="DW22" s="136"/>
      <c r="DX22" s="136"/>
      <c r="DY22" s="136"/>
      <c r="DZ22" s="136"/>
      <c r="EA22" s="136"/>
      <c r="EB22" s="136"/>
      <c r="EC22" s="136"/>
      <c r="ED22" s="136"/>
      <c r="EE22" s="136"/>
      <c r="EF22" s="136"/>
      <c r="EG22" s="136"/>
      <c r="EH22" s="136"/>
      <c r="EI22" s="136"/>
      <c r="EJ22" s="136"/>
      <c r="EK22" s="136"/>
      <c r="EL22" s="136"/>
      <c r="EM22" s="136"/>
      <c r="EN22" s="136"/>
      <c r="EO22" s="136"/>
      <c r="EP22" s="136"/>
      <c r="EQ22" s="136"/>
      <c r="ER22" s="136"/>
      <c r="ES22" s="136"/>
      <c r="ET22" s="136"/>
      <c r="EU22" s="136"/>
      <c r="EV22" s="136"/>
      <c r="EW22" s="136"/>
      <c r="EX22" s="136"/>
      <c r="EY22" s="136"/>
      <c r="EZ22" s="136"/>
      <c r="FA22" s="136"/>
      <c r="FB22" s="136"/>
      <c r="FC22" s="136"/>
    </row>
    <row r="23" spans="1:159">
      <c r="A23" s="130"/>
      <c r="B23" s="134"/>
      <c r="C23" s="134" t="s">
        <v>30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135"/>
      <c r="AQ23" s="135"/>
      <c r="AR23" s="135"/>
      <c r="AS23" s="135"/>
      <c r="AT23" s="135"/>
      <c r="AU23" s="135"/>
      <c r="AV23" s="135"/>
      <c r="AW23" s="135"/>
      <c r="AX23" s="135"/>
      <c r="AY23" s="135"/>
      <c r="AZ23" s="135">
        <v>4000</v>
      </c>
      <c r="BA23" s="135"/>
      <c r="BB23" s="135"/>
      <c r="BC23" s="135"/>
      <c r="BD23" s="135">
        <v>0</v>
      </c>
      <c r="BE23" s="135">
        <v>4</v>
      </c>
      <c r="BF23" s="135"/>
      <c r="BG23" s="135"/>
      <c r="BH23" s="135"/>
      <c r="BI23" s="135"/>
      <c r="BJ23" s="135"/>
      <c r="BK23" s="135"/>
      <c r="BL23" s="135"/>
      <c r="BM23" s="135"/>
      <c r="BN23" s="135"/>
      <c r="BO23" s="135"/>
      <c r="BP23" s="135"/>
      <c r="BQ23" s="135"/>
      <c r="BR23" s="135">
        <v>4000</v>
      </c>
      <c r="BS23" s="135"/>
      <c r="BT23" s="135"/>
      <c r="BU23" s="135"/>
      <c r="BV23" s="135">
        <v>0</v>
      </c>
      <c r="BW23" s="135">
        <v>4</v>
      </c>
      <c r="BX23" s="135"/>
      <c r="BY23" s="135"/>
      <c r="BZ23" s="135"/>
      <c r="CA23" s="135"/>
      <c r="CB23" s="135"/>
      <c r="CC23" s="135"/>
      <c r="CD23" s="135"/>
      <c r="CE23" s="135"/>
      <c r="CF23" s="135"/>
      <c r="CG23" s="135"/>
      <c r="CH23" s="135"/>
      <c r="CI23" s="135"/>
      <c r="CJ23" s="135"/>
      <c r="CK23" s="135"/>
      <c r="CL23" s="135"/>
      <c r="CM23" s="135"/>
      <c r="CN23" s="135"/>
      <c r="CO23" s="135"/>
      <c r="CP23" s="135"/>
      <c r="CQ23" s="135"/>
      <c r="CR23" s="135"/>
      <c r="CS23" s="135"/>
      <c r="CT23" s="135"/>
      <c r="CU23" s="135"/>
      <c r="CV23" s="135">
        <v>4000</v>
      </c>
      <c r="CW23" s="135"/>
      <c r="CX23" s="135"/>
      <c r="CY23" s="135"/>
      <c r="CZ23" s="135">
        <v>0</v>
      </c>
      <c r="DA23" s="135">
        <v>4</v>
      </c>
      <c r="DB23" s="135">
        <v>4000</v>
      </c>
      <c r="DC23" s="135"/>
      <c r="DD23" s="135"/>
      <c r="DE23" s="135"/>
      <c r="DF23" s="135">
        <v>0</v>
      </c>
      <c r="DG23" s="135">
        <v>4</v>
      </c>
      <c r="DH23" s="136"/>
      <c r="DI23" s="136"/>
      <c r="DJ23" s="136"/>
      <c r="DK23" s="136"/>
      <c r="DL23" s="136"/>
      <c r="DM23" s="136"/>
      <c r="DN23" s="136"/>
      <c r="DO23" s="136"/>
      <c r="DP23" s="136"/>
      <c r="DQ23" s="136"/>
      <c r="DR23" s="136"/>
      <c r="DS23" s="136"/>
      <c r="DT23" s="136"/>
      <c r="DU23" s="136"/>
      <c r="DV23" s="136"/>
      <c r="DW23" s="136"/>
      <c r="DX23" s="136"/>
      <c r="DY23" s="136"/>
      <c r="DZ23" s="136"/>
      <c r="EA23" s="136"/>
      <c r="EB23" s="136"/>
      <c r="EC23" s="136"/>
      <c r="ED23" s="136"/>
      <c r="EE23" s="136"/>
      <c r="EF23" s="136"/>
      <c r="EG23" s="136"/>
      <c r="EH23" s="136"/>
      <c r="EI23" s="136"/>
      <c r="EJ23" s="136"/>
      <c r="EK23" s="136"/>
      <c r="EL23" s="136"/>
      <c r="EM23" s="136"/>
      <c r="EN23" s="136"/>
      <c r="EO23" s="136"/>
      <c r="EP23" s="136"/>
      <c r="EQ23" s="136"/>
      <c r="ER23" s="136"/>
      <c r="ES23" s="136"/>
      <c r="ET23" s="136"/>
      <c r="EU23" s="136"/>
      <c r="EV23" s="136"/>
      <c r="EW23" s="136"/>
      <c r="EX23" s="136"/>
      <c r="EY23" s="136"/>
      <c r="EZ23" s="136"/>
      <c r="FA23" s="136"/>
      <c r="FB23" s="136"/>
      <c r="FC23" s="136"/>
    </row>
    <row r="24" spans="1:159">
      <c r="A24" s="130"/>
      <c r="B24" s="134"/>
      <c r="C24" s="134" t="s">
        <v>32</v>
      </c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5"/>
      <c r="AO24" s="135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35">
        <v>500000</v>
      </c>
      <c r="BA24" s="135"/>
      <c r="BB24" s="135"/>
      <c r="BC24" s="135"/>
      <c r="BD24" s="135">
        <v>0</v>
      </c>
      <c r="BE24" s="135">
        <v>4</v>
      </c>
      <c r="BF24" s="135"/>
      <c r="BG24" s="135"/>
      <c r="BH24" s="135"/>
      <c r="BI24" s="135"/>
      <c r="BJ24" s="135"/>
      <c r="BK24" s="135"/>
      <c r="BL24" s="135"/>
      <c r="BM24" s="135"/>
      <c r="BN24" s="135"/>
      <c r="BO24" s="135"/>
      <c r="BP24" s="135"/>
      <c r="BQ24" s="135"/>
      <c r="BR24" s="135">
        <v>500000</v>
      </c>
      <c r="BS24" s="135"/>
      <c r="BT24" s="135"/>
      <c r="BU24" s="135"/>
      <c r="BV24" s="135">
        <v>0</v>
      </c>
      <c r="BW24" s="135">
        <v>4</v>
      </c>
      <c r="BX24" s="135"/>
      <c r="BY24" s="135"/>
      <c r="BZ24" s="135"/>
      <c r="CA24" s="135"/>
      <c r="CB24" s="135"/>
      <c r="CC24" s="135"/>
      <c r="CD24" s="135"/>
      <c r="CE24" s="135"/>
      <c r="CF24" s="135"/>
      <c r="CG24" s="135"/>
      <c r="CH24" s="135"/>
      <c r="CI24" s="135"/>
      <c r="CJ24" s="135"/>
      <c r="CK24" s="135"/>
      <c r="CL24" s="135"/>
      <c r="CM24" s="135"/>
      <c r="CN24" s="135"/>
      <c r="CO24" s="135"/>
      <c r="CP24" s="135"/>
      <c r="CQ24" s="135"/>
      <c r="CR24" s="135"/>
      <c r="CS24" s="135"/>
      <c r="CT24" s="135"/>
      <c r="CU24" s="135"/>
      <c r="CV24" s="135">
        <v>500000</v>
      </c>
      <c r="CW24" s="135"/>
      <c r="CX24" s="135"/>
      <c r="CY24" s="135"/>
      <c r="CZ24" s="135">
        <v>0</v>
      </c>
      <c r="DA24" s="135">
        <v>4</v>
      </c>
      <c r="DB24" s="135">
        <v>500000</v>
      </c>
      <c r="DC24" s="135"/>
      <c r="DD24" s="135"/>
      <c r="DE24" s="135"/>
      <c r="DF24" s="135">
        <v>0</v>
      </c>
      <c r="DG24" s="135">
        <v>4</v>
      </c>
      <c r="DH24" s="136"/>
      <c r="DI24" s="136"/>
      <c r="DJ24" s="136"/>
      <c r="DK24" s="136"/>
      <c r="DL24" s="136"/>
      <c r="DM24" s="136"/>
      <c r="DN24" s="136"/>
      <c r="DO24" s="136"/>
      <c r="DP24" s="136"/>
      <c r="DQ24" s="136"/>
      <c r="DR24" s="136"/>
      <c r="DS24" s="136"/>
      <c r="DT24" s="136"/>
      <c r="DU24" s="136"/>
      <c r="DV24" s="136"/>
      <c r="DW24" s="136"/>
      <c r="DX24" s="136"/>
      <c r="DY24" s="136"/>
      <c r="DZ24" s="136"/>
      <c r="EA24" s="136"/>
      <c r="EB24" s="136"/>
      <c r="EC24" s="136"/>
      <c r="ED24" s="136"/>
      <c r="EE24" s="136"/>
      <c r="EF24" s="136"/>
      <c r="EG24" s="136"/>
      <c r="EH24" s="136"/>
      <c r="EI24" s="136"/>
      <c r="EJ24" s="136"/>
      <c r="EK24" s="136"/>
      <c r="EL24" s="136"/>
      <c r="EM24" s="136"/>
      <c r="EN24" s="136"/>
      <c r="EO24" s="136"/>
      <c r="EP24" s="136"/>
      <c r="EQ24" s="136"/>
      <c r="ER24" s="136"/>
      <c r="ES24" s="136"/>
      <c r="ET24" s="136"/>
      <c r="EU24" s="136"/>
      <c r="EV24" s="136"/>
      <c r="EW24" s="136"/>
      <c r="EX24" s="136"/>
      <c r="EY24" s="136"/>
      <c r="EZ24" s="136"/>
      <c r="FA24" s="136"/>
      <c r="FB24" s="136"/>
      <c r="FC24" s="136"/>
    </row>
    <row r="25" ht="31.5" spans="1:159">
      <c r="A25" s="130"/>
      <c r="B25" s="134" t="s">
        <v>350</v>
      </c>
      <c r="C25" s="134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135"/>
      <c r="BD25" s="135"/>
      <c r="BE25" s="135"/>
      <c r="BF25" s="135"/>
      <c r="BG25" s="135"/>
      <c r="BH25" s="135"/>
      <c r="BI25" s="135"/>
      <c r="BJ25" s="135"/>
      <c r="BK25" s="135"/>
      <c r="BL25" s="135"/>
      <c r="BM25" s="135"/>
      <c r="BN25" s="135"/>
      <c r="BO25" s="135"/>
      <c r="BP25" s="135"/>
      <c r="BQ25" s="135"/>
      <c r="BR25" s="135"/>
      <c r="BS25" s="135"/>
      <c r="BT25" s="135"/>
      <c r="BU25" s="135"/>
      <c r="BV25" s="135"/>
      <c r="BW25" s="135"/>
      <c r="BX25" s="135"/>
      <c r="BY25" s="135"/>
      <c r="BZ25" s="135"/>
      <c r="CA25" s="135"/>
      <c r="CB25" s="135"/>
      <c r="CC25" s="135"/>
      <c r="CD25" s="135"/>
      <c r="CE25" s="135"/>
      <c r="CF25" s="135"/>
      <c r="CG25" s="135"/>
      <c r="CH25" s="135"/>
      <c r="CI25" s="135"/>
      <c r="CJ25" s="135"/>
      <c r="CK25" s="135"/>
      <c r="CL25" s="135"/>
      <c r="CM25" s="135"/>
      <c r="CN25" s="135"/>
      <c r="CO25" s="135"/>
      <c r="CP25" s="135"/>
      <c r="CQ25" s="135"/>
      <c r="CR25" s="135"/>
      <c r="CS25" s="135"/>
      <c r="CT25" s="135"/>
      <c r="CU25" s="135"/>
      <c r="CV25" s="135"/>
      <c r="CW25" s="135"/>
      <c r="CX25" s="135"/>
      <c r="CY25" s="135"/>
      <c r="CZ25" s="135"/>
      <c r="DA25" s="135"/>
      <c r="DB25" s="135"/>
      <c r="DC25" s="135"/>
      <c r="DD25" s="135"/>
      <c r="DE25" s="135"/>
      <c r="DF25" s="135"/>
      <c r="DG25" s="135"/>
      <c r="DH25" s="136"/>
      <c r="DI25" s="136"/>
      <c r="DJ25" s="136"/>
      <c r="DK25" s="136"/>
      <c r="DL25" s="136"/>
      <c r="DM25" s="136"/>
      <c r="DN25" s="136"/>
      <c r="DO25" s="136"/>
      <c r="DP25" s="136"/>
      <c r="DQ25" s="136"/>
      <c r="DR25" s="136"/>
      <c r="DS25" s="136"/>
      <c r="DT25" s="136"/>
      <c r="DU25" s="136"/>
      <c r="DV25" s="136"/>
      <c r="DW25" s="136"/>
      <c r="DX25" s="136"/>
      <c r="DY25" s="136"/>
      <c r="DZ25" s="136"/>
      <c r="EA25" s="136"/>
      <c r="EB25" s="136"/>
      <c r="EC25" s="136"/>
      <c r="ED25" s="136"/>
      <c r="EE25" s="136"/>
      <c r="EF25" s="136"/>
      <c r="EG25" s="136"/>
      <c r="EH25" s="136"/>
      <c r="EI25" s="136"/>
      <c r="EJ25" s="136"/>
      <c r="EK25" s="136"/>
      <c r="EL25" s="136"/>
      <c r="EM25" s="136"/>
      <c r="EN25" s="136"/>
      <c r="EO25" s="136"/>
      <c r="EP25" s="136"/>
      <c r="EQ25" s="136"/>
      <c r="ER25" s="136"/>
      <c r="ES25" s="136"/>
      <c r="ET25" s="136"/>
      <c r="EU25" s="136"/>
      <c r="EV25" s="136"/>
      <c r="EW25" s="136"/>
      <c r="EX25" s="136"/>
      <c r="EY25" s="136"/>
      <c r="EZ25" s="136"/>
      <c r="FA25" s="136"/>
      <c r="FB25" s="136"/>
      <c r="FC25" s="136"/>
    </row>
    <row r="26" spans="1:159">
      <c r="A26" s="130"/>
      <c r="B26" s="134"/>
      <c r="C26" s="134" t="s">
        <v>34</v>
      </c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5"/>
      <c r="AV26" s="135"/>
      <c r="AW26" s="135"/>
      <c r="AX26" s="135"/>
      <c r="AY26" s="135"/>
      <c r="AZ26" s="135"/>
      <c r="BA26" s="135"/>
      <c r="BB26" s="135"/>
      <c r="BC26" s="135"/>
      <c r="BD26" s="135"/>
      <c r="BE26" s="135"/>
      <c r="BF26" s="135">
        <v>486000</v>
      </c>
      <c r="BG26" s="135"/>
      <c r="BH26" s="135"/>
      <c r="BI26" s="135"/>
      <c r="BJ26" s="135">
        <v>0</v>
      </c>
      <c r="BK26" s="135">
        <v>76</v>
      </c>
      <c r="BL26" s="135"/>
      <c r="BM26" s="135"/>
      <c r="BN26" s="135"/>
      <c r="BO26" s="135"/>
      <c r="BP26" s="135"/>
      <c r="BQ26" s="135"/>
      <c r="BR26" s="135">
        <v>486000</v>
      </c>
      <c r="BS26" s="135"/>
      <c r="BT26" s="135"/>
      <c r="BU26" s="135"/>
      <c r="BV26" s="135">
        <v>0</v>
      </c>
      <c r="BW26" s="135">
        <v>76</v>
      </c>
      <c r="BX26" s="135"/>
      <c r="BY26" s="135"/>
      <c r="BZ26" s="135"/>
      <c r="CA26" s="135"/>
      <c r="CB26" s="135"/>
      <c r="CC26" s="135"/>
      <c r="CD26" s="135"/>
      <c r="CE26" s="135"/>
      <c r="CF26" s="135"/>
      <c r="CG26" s="135"/>
      <c r="CH26" s="135"/>
      <c r="CI26" s="135"/>
      <c r="CJ26" s="135"/>
      <c r="CK26" s="135"/>
      <c r="CL26" s="135"/>
      <c r="CM26" s="135"/>
      <c r="CN26" s="135"/>
      <c r="CO26" s="135"/>
      <c r="CP26" s="135"/>
      <c r="CQ26" s="135"/>
      <c r="CR26" s="135"/>
      <c r="CS26" s="135"/>
      <c r="CT26" s="135"/>
      <c r="CU26" s="135"/>
      <c r="CV26" s="135">
        <v>486000</v>
      </c>
      <c r="CW26" s="135"/>
      <c r="CX26" s="135"/>
      <c r="CY26" s="135"/>
      <c r="CZ26" s="135">
        <v>0</v>
      </c>
      <c r="DA26" s="135">
        <v>76</v>
      </c>
      <c r="DB26" s="135">
        <v>486000</v>
      </c>
      <c r="DC26" s="135"/>
      <c r="DD26" s="135"/>
      <c r="DE26" s="135"/>
      <c r="DF26" s="135">
        <v>0</v>
      </c>
      <c r="DG26" s="135">
        <v>76</v>
      </c>
      <c r="DH26" s="136"/>
      <c r="DI26" s="136"/>
      <c r="DJ26" s="136"/>
      <c r="DK26" s="136"/>
      <c r="DL26" s="136"/>
      <c r="DM26" s="136"/>
      <c r="DN26" s="136"/>
      <c r="DO26" s="136"/>
      <c r="DP26" s="136"/>
      <c r="DQ26" s="136"/>
      <c r="DR26" s="136"/>
      <c r="DS26" s="136"/>
      <c r="DT26" s="136"/>
      <c r="DU26" s="136"/>
      <c r="DV26" s="136"/>
      <c r="DW26" s="136"/>
      <c r="DX26" s="136"/>
      <c r="DY26" s="136"/>
      <c r="DZ26" s="136"/>
      <c r="EA26" s="136"/>
      <c r="EB26" s="136"/>
      <c r="EC26" s="136"/>
      <c r="ED26" s="136"/>
      <c r="EE26" s="136"/>
      <c r="EF26" s="136"/>
      <c r="EG26" s="136"/>
      <c r="EH26" s="136"/>
      <c r="EI26" s="136"/>
      <c r="EJ26" s="136"/>
      <c r="EK26" s="136"/>
      <c r="EL26" s="136"/>
      <c r="EM26" s="136"/>
      <c r="EN26" s="136"/>
      <c r="EO26" s="136"/>
      <c r="EP26" s="136"/>
      <c r="EQ26" s="136"/>
      <c r="ER26" s="136"/>
      <c r="ES26" s="136"/>
      <c r="ET26" s="136"/>
      <c r="EU26" s="136"/>
      <c r="EV26" s="136"/>
      <c r="EW26" s="136"/>
      <c r="EX26" s="136"/>
      <c r="EY26" s="136"/>
      <c r="EZ26" s="136"/>
      <c r="FA26" s="136"/>
      <c r="FB26" s="136"/>
      <c r="FC26" s="136"/>
    </row>
    <row r="27" ht="31.5" spans="1:159">
      <c r="A27" s="130"/>
      <c r="B27" s="134"/>
      <c r="C27" s="134" t="s">
        <v>36</v>
      </c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5"/>
      <c r="AV27" s="135"/>
      <c r="AW27" s="135"/>
      <c r="AX27" s="135"/>
      <c r="AY27" s="135"/>
      <c r="AZ27" s="135"/>
      <c r="BA27" s="135"/>
      <c r="BB27" s="135"/>
      <c r="BC27" s="135"/>
      <c r="BD27" s="135"/>
      <c r="BE27" s="135"/>
      <c r="BF27" s="135">
        <v>2700000</v>
      </c>
      <c r="BG27" s="135"/>
      <c r="BH27" s="135"/>
      <c r="BI27" s="135"/>
      <c r="BJ27" s="135">
        <v>0</v>
      </c>
      <c r="BK27" s="135">
        <v>76</v>
      </c>
      <c r="BL27" s="135"/>
      <c r="BM27" s="135"/>
      <c r="BN27" s="135"/>
      <c r="BO27" s="135"/>
      <c r="BP27" s="135"/>
      <c r="BQ27" s="135"/>
      <c r="BR27" s="135">
        <v>2700000</v>
      </c>
      <c r="BS27" s="135"/>
      <c r="BT27" s="135"/>
      <c r="BU27" s="135"/>
      <c r="BV27" s="135">
        <v>0</v>
      </c>
      <c r="BW27" s="135">
        <v>76</v>
      </c>
      <c r="BX27" s="135"/>
      <c r="BY27" s="135"/>
      <c r="BZ27" s="135"/>
      <c r="CA27" s="135"/>
      <c r="CB27" s="135"/>
      <c r="CC27" s="135"/>
      <c r="CD27" s="135"/>
      <c r="CE27" s="135"/>
      <c r="CF27" s="135"/>
      <c r="CG27" s="135"/>
      <c r="CH27" s="135"/>
      <c r="CI27" s="135"/>
      <c r="CJ27" s="135"/>
      <c r="CK27" s="135"/>
      <c r="CL27" s="135"/>
      <c r="CM27" s="135"/>
      <c r="CN27" s="135"/>
      <c r="CO27" s="135"/>
      <c r="CP27" s="135"/>
      <c r="CQ27" s="135"/>
      <c r="CR27" s="135"/>
      <c r="CS27" s="135"/>
      <c r="CT27" s="135"/>
      <c r="CU27" s="135"/>
      <c r="CV27" s="135">
        <v>2700000</v>
      </c>
      <c r="CW27" s="135"/>
      <c r="CX27" s="135"/>
      <c r="CY27" s="135"/>
      <c r="CZ27" s="135">
        <v>0</v>
      </c>
      <c r="DA27" s="135">
        <v>76</v>
      </c>
      <c r="DB27" s="135">
        <v>2700000</v>
      </c>
      <c r="DC27" s="135"/>
      <c r="DD27" s="135"/>
      <c r="DE27" s="135"/>
      <c r="DF27" s="135">
        <v>0</v>
      </c>
      <c r="DG27" s="135">
        <v>76</v>
      </c>
      <c r="DH27" s="136"/>
      <c r="DI27" s="136"/>
      <c r="DJ27" s="136"/>
      <c r="DK27" s="136"/>
      <c r="DL27" s="136"/>
      <c r="DM27" s="136"/>
      <c r="DN27" s="136"/>
      <c r="DO27" s="136"/>
      <c r="DP27" s="136"/>
      <c r="DQ27" s="136"/>
      <c r="DR27" s="136"/>
      <c r="DS27" s="136"/>
      <c r="DT27" s="136"/>
      <c r="DU27" s="136"/>
      <c r="DV27" s="136"/>
      <c r="DW27" s="136"/>
      <c r="DX27" s="136"/>
      <c r="DY27" s="136"/>
      <c r="DZ27" s="136"/>
      <c r="EA27" s="136"/>
      <c r="EB27" s="136"/>
      <c r="EC27" s="136"/>
      <c r="ED27" s="136"/>
      <c r="EE27" s="136"/>
      <c r="EF27" s="136"/>
      <c r="EG27" s="136"/>
      <c r="EH27" s="136"/>
      <c r="EI27" s="136"/>
      <c r="EJ27" s="136"/>
      <c r="EK27" s="136"/>
      <c r="EL27" s="136"/>
      <c r="EM27" s="136"/>
      <c r="EN27" s="136"/>
      <c r="EO27" s="136"/>
      <c r="EP27" s="136"/>
      <c r="EQ27" s="136"/>
      <c r="ER27" s="136"/>
      <c r="ES27" s="136"/>
      <c r="ET27" s="136"/>
      <c r="EU27" s="136"/>
      <c r="EV27" s="136"/>
      <c r="EW27" s="136"/>
      <c r="EX27" s="136"/>
      <c r="EY27" s="136"/>
      <c r="EZ27" s="136"/>
      <c r="FA27" s="136"/>
      <c r="FB27" s="136"/>
      <c r="FC27" s="136"/>
    </row>
    <row r="28" ht="31.5" spans="1:159">
      <c r="A28" s="130"/>
      <c r="B28" s="134" t="s">
        <v>351</v>
      </c>
      <c r="C28" s="134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5"/>
      <c r="AV28" s="135"/>
      <c r="AW28" s="135"/>
      <c r="AX28" s="135"/>
      <c r="AY28" s="135"/>
      <c r="AZ28" s="135"/>
      <c r="BA28" s="135"/>
      <c r="BB28" s="135"/>
      <c r="BC28" s="135"/>
      <c r="BD28" s="135"/>
      <c r="BE28" s="135"/>
      <c r="BF28" s="135"/>
      <c r="BG28" s="135"/>
      <c r="BH28" s="135"/>
      <c r="BI28" s="135"/>
      <c r="BJ28" s="135"/>
      <c r="BK28" s="135"/>
      <c r="BL28" s="135"/>
      <c r="BM28" s="135"/>
      <c r="BN28" s="135"/>
      <c r="BO28" s="135"/>
      <c r="BP28" s="135"/>
      <c r="BQ28" s="135"/>
      <c r="BR28" s="135"/>
      <c r="BS28" s="135"/>
      <c r="BT28" s="135"/>
      <c r="BU28" s="135"/>
      <c r="BV28" s="135"/>
      <c r="BW28" s="135"/>
      <c r="BX28" s="135"/>
      <c r="BY28" s="135"/>
      <c r="BZ28" s="135"/>
      <c r="CA28" s="135"/>
      <c r="CB28" s="135"/>
      <c r="CC28" s="135"/>
      <c r="CD28" s="135"/>
      <c r="CE28" s="135"/>
      <c r="CF28" s="135"/>
      <c r="CG28" s="135"/>
      <c r="CH28" s="135"/>
      <c r="CI28" s="135"/>
      <c r="CJ28" s="135"/>
      <c r="CK28" s="135"/>
      <c r="CL28" s="135"/>
      <c r="CM28" s="135"/>
      <c r="CN28" s="135"/>
      <c r="CO28" s="135"/>
      <c r="CP28" s="135"/>
      <c r="CQ28" s="135"/>
      <c r="CR28" s="135"/>
      <c r="CS28" s="135"/>
      <c r="CT28" s="135"/>
      <c r="CU28" s="135"/>
      <c r="CV28" s="135"/>
      <c r="CW28" s="135"/>
      <c r="CX28" s="135"/>
      <c r="CY28" s="135"/>
      <c r="CZ28" s="135"/>
      <c r="DA28" s="135"/>
      <c r="DB28" s="135"/>
      <c r="DC28" s="135"/>
      <c r="DD28" s="135"/>
      <c r="DE28" s="135"/>
      <c r="DF28" s="135"/>
      <c r="DG28" s="135"/>
      <c r="DH28" s="136"/>
      <c r="DI28" s="136"/>
      <c r="DJ28" s="136"/>
      <c r="DK28" s="136"/>
      <c r="DL28" s="136"/>
      <c r="DM28" s="136"/>
      <c r="DN28" s="136"/>
      <c r="DO28" s="136"/>
      <c r="DP28" s="136"/>
      <c r="DQ28" s="136"/>
      <c r="DR28" s="136"/>
      <c r="DS28" s="136"/>
      <c r="DT28" s="136"/>
      <c r="DU28" s="136"/>
      <c r="DV28" s="136"/>
      <c r="DW28" s="136"/>
      <c r="DX28" s="136"/>
      <c r="DY28" s="136"/>
      <c r="DZ28" s="136"/>
      <c r="EA28" s="136"/>
      <c r="EB28" s="136"/>
      <c r="EC28" s="136"/>
      <c r="ED28" s="136"/>
      <c r="EE28" s="136"/>
      <c r="EF28" s="136"/>
      <c r="EG28" s="136"/>
      <c r="EH28" s="136"/>
      <c r="EI28" s="136"/>
      <c r="EJ28" s="136"/>
      <c r="EK28" s="136"/>
      <c r="EL28" s="136"/>
      <c r="EM28" s="136"/>
      <c r="EN28" s="136"/>
      <c r="EO28" s="136"/>
      <c r="EP28" s="136"/>
      <c r="EQ28" s="136"/>
      <c r="ER28" s="136"/>
      <c r="ES28" s="136"/>
      <c r="ET28" s="136"/>
      <c r="EU28" s="136"/>
      <c r="EV28" s="136"/>
      <c r="EW28" s="136"/>
      <c r="EX28" s="136"/>
      <c r="EY28" s="136"/>
      <c r="EZ28" s="136"/>
      <c r="FA28" s="136"/>
      <c r="FB28" s="136"/>
      <c r="FC28" s="136"/>
    </row>
    <row r="29" ht="31.5" spans="1:159">
      <c r="A29" s="130"/>
      <c r="B29" s="134"/>
      <c r="C29" s="134" t="s">
        <v>86</v>
      </c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>
        <v>5000</v>
      </c>
      <c r="AI29" s="135"/>
      <c r="AJ29" s="135"/>
      <c r="AK29" s="135"/>
      <c r="AL29" s="135">
        <v>0</v>
      </c>
      <c r="AM29" s="135"/>
      <c r="AN29" s="135"/>
      <c r="AO29" s="135"/>
      <c r="AP29" s="135"/>
      <c r="AQ29" s="135"/>
      <c r="AR29" s="135"/>
      <c r="AS29" s="135"/>
      <c r="AT29" s="135">
        <v>5000</v>
      </c>
      <c r="AU29" s="135"/>
      <c r="AV29" s="135"/>
      <c r="AW29" s="135"/>
      <c r="AX29" s="135">
        <v>0</v>
      </c>
      <c r="AY29" s="135"/>
      <c r="AZ29" s="135"/>
      <c r="BA29" s="135"/>
      <c r="BB29" s="135"/>
      <c r="BC29" s="135"/>
      <c r="BD29" s="135"/>
      <c r="BE29" s="135"/>
      <c r="BF29" s="135"/>
      <c r="BG29" s="135"/>
      <c r="BH29" s="135"/>
      <c r="BI29" s="135"/>
      <c r="BJ29" s="135"/>
      <c r="BK29" s="135"/>
      <c r="BL29" s="135"/>
      <c r="BM29" s="135"/>
      <c r="BN29" s="135"/>
      <c r="BO29" s="135"/>
      <c r="BP29" s="135"/>
      <c r="BQ29" s="135"/>
      <c r="BR29" s="135"/>
      <c r="BS29" s="135"/>
      <c r="BT29" s="135"/>
      <c r="BU29" s="135"/>
      <c r="BV29" s="135"/>
      <c r="BW29" s="135"/>
      <c r="BX29" s="135"/>
      <c r="BY29" s="135"/>
      <c r="BZ29" s="135"/>
      <c r="CA29" s="135"/>
      <c r="CB29" s="135"/>
      <c r="CC29" s="135"/>
      <c r="CD29" s="135"/>
      <c r="CE29" s="135"/>
      <c r="CF29" s="135"/>
      <c r="CG29" s="135"/>
      <c r="CH29" s="135"/>
      <c r="CI29" s="135"/>
      <c r="CJ29" s="135"/>
      <c r="CK29" s="135"/>
      <c r="CL29" s="135"/>
      <c r="CM29" s="135"/>
      <c r="CN29" s="135"/>
      <c r="CO29" s="135"/>
      <c r="CP29" s="135"/>
      <c r="CQ29" s="135"/>
      <c r="CR29" s="135"/>
      <c r="CS29" s="135"/>
      <c r="CT29" s="135"/>
      <c r="CU29" s="135"/>
      <c r="CV29" s="135">
        <v>5000</v>
      </c>
      <c r="CW29" s="135"/>
      <c r="CX29" s="135"/>
      <c r="CY29" s="135"/>
      <c r="CZ29" s="135">
        <v>0</v>
      </c>
      <c r="DA29" s="135"/>
      <c r="DB29" s="135">
        <v>5000</v>
      </c>
      <c r="DC29" s="135"/>
      <c r="DD29" s="135"/>
      <c r="DE29" s="135"/>
      <c r="DF29" s="135">
        <v>0</v>
      </c>
      <c r="DG29" s="135"/>
      <c r="DH29" s="136"/>
      <c r="DI29" s="136"/>
      <c r="DJ29" s="136"/>
      <c r="DK29" s="136"/>
      <c r="DL29" s="136"/>
      <c r="DM29" s="136"/>
      <c r="DN29" s="136"/>
      <c r="DO29" s="136"/>
      <c r="DP29" s="136"/>
      <c r="DQ29" s="136"/>
      <c r="DR29" s="136"/>
      <c r="DS29" s="136"/>
      <c r="DT29" s="136"/>
      <c r="DU29" s="136"/>
      <c r="DV29" s="136"/>
      <c r="DW29" s="136"/>
      <c r="DX29" s="136"/>
      <c r="DY29" s="136"/>
      <c r="DZ29" s="136"/>
      <c r="EA29" s="136"/>
      <c r="EB29" s="136"/>
      <c r="EC29" s="136"/>
      <c r="ED29" s="136"/>
      <c r="EE29" s="136"/>
      <c r="EF29" s="136"/>
      <c r="EG29" s="136"/>
      <c r="EH29" s="136"/>
      <c r="EI29" s="136"/>
      <c r="EJ29" s="136"/>
      <c r="EK29" s="136"/>
      <c r="EL29" s="136"/>
      <c r="EM29" s="136"/>
      <c r="EN29" s="136"/>
      <c r="EO29" s="136"/>
      <c r="EP29" s="136"/>
      <c r="EQ29" s="136"/>
      <c r="ER29" s="136"/>
      <c r="ES29" s="136"/>
      <c r="ET29" s="136"/>
      <c r="EU29" s="136"/>
      <c r="EV29" s="136"/>
      <c r="EW29" s="136"/>
      <c r="EX29" s="136"/>
      <c r="EY29" s="136"/>
      <c r="EZ29" s="136"/>
      <c r="FA29" s="136"/>
      <c r="FB29" s="136"/>
      <c r="FC29" s="136"/>
    </row>
    <row r="30" ht="31.5" spans="1:159">
      <c r="A30" s="130"/>
      <c r="B30" s="134"/>
      <c r="C30" s="134" t="s">
        <v>88</v>
      </c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>
        <v>50000</v>
      </c>
      <c r="AI30" s="135"/>
      <c r="AJ30" s="135"/>
      <c r="AK30" s="135"/>
      <c r="AL30" s="135">
        <v>0</v>
      </c>
      <c r="AM30" s="135"/>
      <c r="AN30" s="135"/>
      <c r="AO30" s="135"/>
      <c r="AP30" s="135"/>
      <c r="AQ30" s="135"/>
      <c r="AR30" s="135"/>
      <c r="AS30" s="135"/>
      <c r="AT30" s="135">
        <v>50000</v>
      </c>
      <c r="AU30" s="135"/>
      <c r="AV30" s="135"/>
      <c r="AW30" s="135"/>
      <c r="AX30" s="135">
        <v>0</v>
      </c>
      <c r="AY30" s="135"/>
      <c r="AZ30" s="135"/>
      <c r="BA30" s="135"/>
      <c r="BB30" s="135"/>
      <c r="BC30" s="135"/>
      <c r="BD30" s="135"/>
      <c r="BE30" s="135"/>
      <c r="BF30" s="135"/>
      <c r="BG30" s="135"/>
      <c r="BH30" s="135"/>
      <c r="BI30" s="135"/>
      <c r="BJ30" s="135"/>
      <c r="BK30" s="135"/>
      <c r="BL30" s="135"/>
      <c r="BM30" s="135"/>
      <c r="BN30" s="135"/>
      <c r="BO30" s="135"/>
      <c r="BP30" s="135"/>
      <c r="BQ30" s="135"/>
      <c r="BR30" s="135"/>
      <c r="BS30" s="135"/>
      <c r="BT30" s="135"/>
      <c r="BU30" s="135"/>
      <c r="BV30" s="135"/>
      <c r="BW30" s="135"/>
      <c r="BX30" s="135"/>
      <c r="BY30" s="135"/>
      <c r="BZ30" s="135"/>
      <c r="CA30" s="135"/>
      <c r="CB30" s="135"/>
      <c r="CC30" s="135"/>
      <c r="CD30" s="135"/>
      <c r="CE30" s="135"/>
      <c r="CF30" s="135"/>
      <c r="CG30" s="135"/>
      <c r="CH30" s="135"/>
      <c r="CI30" s="135"/>
      <c r="CJ30" s="135"/>
      <c r="CK30" s="135"/>
      <c r="CL30" s="135"/>
      <c r="CM30" s="135"/>
      <c r="CN30" s="135"/>
      <c r="CO30" s="135"/>
      <c r="CP30" s="135"/>
      <c r="CQ30" s="135"/>
      <c r="CR30" s="135"/>
      <c r="CS30" s="135"/>
      <c r="CT30" s="135"/>
      <c r="CU30" s="135"/>
      <c r="CV30" s="135">
        <v>50000</v>
      </c>
      <c r="CW30" s="135"/>
      <c r="CX30" s="135"/>
      <c r="CY30" s="135"/>
      <c r="CZ30" s="135">
        <v>0</v>
      </c>
      <c r="DA30" s="135"/>
      <c r="DB30" s="135">
        <v>50000</v>
      </c>
      <c r="DC30" s="135"/>
      <c r="DD30" s="135"/>
      <c r="DE30" s="135"/>
      <c r="DF30" s="135">
        <v>0</v>
      </c>
      <c r="DG30" s="135"/>
      <c r="DH30" s="136"/>
      <c r="DI30" s="136"/>
      <c r="DJ30" s="136"/>
      <c r="DK30" s="136"/>
      <c r="DL30" s="136"/>
      <c r="DM30" s="136"/>
      <c r="DN30" s="136"/>
      <c r="DO30" s="136"/>
      <c r="DP30" s="136"/>
      <c r="DQ30" s="136"/>
      <c r="DR30" s="136"/>
      <c r="DS30" s="136"/>
      <c r="DT30" s="136"/>
      <c r="DU30" s="136"/>
      <c r="DV30" s="136"/>
      <c r="DW30" s="136"/>
      <c r="DX30" s="136"/>
      <c r="DY30" s="136"/>
      <c r="DZ30" s="136"/>
      <c r="EA30" s="136"/>
      <c r="EB30" s="136"/>
      <c r="EC30" s="136"/>
      <c r="ED30" s="136"/>
      <c r="EE30" s="136"/>
      <c r="EF30" s="136"/>
      <c r="EG30" s="136"/>
      <c r="EH30" s="136"/>
      <c r="EI30" s="136"/>
      <c r="EJ30" s="136"/>
      <c r="EK30" s="136"/>
      <c r="EL30" s="136"/>
      <c r="EM30" s="136"/>
      <c r="EN30" s="136"/>
      <c r="EO30" s="136"/>
      <c r="EP30" s="136"/>
      <c r="EQ30" s="136"/>
      <c r="ER30" s="136"/>
      <c r="ES30" s="136"/>
      <c r="ET30" s="136"/>
      <c r="EU30" s="136"/>
      <c r="EV30" s="136"/>
      <c r="EW30" s="136"/>
      <c r="EX30" s="136"/>
      <c r="EY30" s="136"/>
      <c r="EZ30" s="136"/>
      <c r="FA30" s="136"/>
      <c r="FB30" s="136"/>
      <c r="FC30" s="136"/>
    </row>
    <row r="31" ht="31.5" spans="1:159">
      <c r="A31" s="130"/>
      <c r="B31" s="134"/>
      <c r="C31" s="134" t="s">
        <v>90</v>
      </c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>
        <v>5000</v>
      </c>
      <c r="AI31" s="135"/>
      <c r="AJ31" s="135"/>
      <c r="AK31" s="135"/>
      <c r="AL31" s="135">
        <v>0</v>
      </c>
      <c r="AM31" s="135"/>
      <c r="AN31" s="135"/>
      <c r="AO31" s="135"/>
      <c r="AP31" s="135"/>
      <c r="AQ31" s="135"/>
      <c r="AR31" s="135"/>
      <c r="AS31" s="135"/>
      <c r="AT31" s="135">
        <v>5000</v>
      </c>
      <c r="AU31" s="135"/>
      <c r="AV31" s="135"/>
      <c r="AW31" s="135"/>
      <c r="AX31" s="135">
        <v>0</v>
      </c>
      <c r="AY31" s="135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/>
      <c r="BJ31" s="135"/>
      <c r="BK31" s="135"/>
      <c r="BL31" s="135"/>
      <c r="BM31" s="135"/>
      <c r="BN31" s="135"/>
      <c r="BO31" s="135"/>
      <c r="BP31" s="135"/>
      <c r="BQ31" s="135"/>
      <c r="BR31" s="135"/>
      <c r="BS31" s="135"/>
      <c r="BT31" s="135"/>
      <c r="BU31" s="135"/>
      <c r="BV31" s="135"/>
      <c r="BW31" s="135"/>
      <c r="BX31" s="135"/>
      <c r="BY31" s="135"/>
      <c r="BZ31" s="135"/>
      <c r="CA31" s="135"/>
      <c r="CB31" s="135"/>
      <c r="CC31" s="135"/>
      <c r="CD31" s="135"/>
      <c r="CE31" s="135"/>
      <c r="CF31" s="135"/>
      <c r="CG31" s="135"/>
      <c r="CH31" s="135"/>
      <c r="CI31" s="135"/>
      <c r="CJ31" s="135"/>
      <c r="CK31" s="135"/>
      <c r="CL31" s="135"/>
      <c r="CM31" s="135"/>
      <c r="CN31" s="135"/>
      <c r="CO31" s="135"/>
      <c r="CP31" s="135"/>
      <c r="CQ31" s="135"/>
      <c r="CR31" s="135"/>
      <c r="CS31" s="135"/>
      <c r="CT31" s="135"/>
      <c r="CU31" s="135"/>
      <c r="CV31" s="135">
        <v>5000</v>
      </c>
      <c r="CW31" s="135"/>
      <c r="CX31" s="135"/>
      <c r="CY31" s="135"/>
      <c r="CZ31" s="135">
        <v>0</v>
      </c>
      <c r="DA31" s="135"/>
      <c r="DB31" s="135">
        <v>5000</v>
      </c>
      <c r="DC31" s="135"/>
      <c r="DD31" s="135"/>
      <c r="DE31" s="135"/>
      <c r="DF31" s="135">
        <v>0</v>
      </c>
      <c r="DG31" s="135"/>
      <c r="DH31" s="136"/>
      <c r="DI31" s="136"/>
      <c r="DJ31" s="136"/>
      <c r="DK31" s="136"/>
      <c r="DL31" s="136"/>
      <c r="DM31" s="136"/>
      <c r="DN31" s="136"/>
      <c r="DO31" s="136"/>
      <c r="DP31" s="136"/>
      <c r="DQ31" s="136"/>
      <c r="DR31" s="136"/>
      <c r="DS31" s="136"/>
      <c r="DT31" s="136"/>
      <c r="DU31" s="136"/>
      <c r="DV31" s="136"/>
      <c r="DW31" s="136"/>
      <c r="DX31" s="136"/>
      <c r="DY31" s="136"/>
      <c r="DZ31" s="136"/>
      <c r="EA31" s="136"/>
      <c r="EB31" s="136"/>
      <c r="EC31" s="136"/>
      <c r="ED31" s="136"/>
      <c r="EE31" s="136"/>
      <c r="EF31" s="136"/>
      <c r="EG31" s="136"/>
      <c r="EH31" s="136"/>
      <c r="EI31" s="136"/>
      <c r="EJ31" s="136"/>
      <c r="EK31" s="136"/>
      <c r="EL31" s="136"/>
      <c r="EM31" s="136"/>
      <c r="EN31" s="136"/>
      <c r="EO31" s="136"/>
      <c r="EP31" s="136"/>
      <c r="EQ31" s="136"/>
      <c r="ER31" s="136"/>
      <c r="ES31" s="136"/>
      <c r="ET31" s="136"/>
      <c r="EU31" s="136"/>
      <c r="EV31" s="136"/>
      <c r="EW31" s="136"/>
      <c r="EX31" s="136"/>
      <c r="EY31" s="136"/>
      <c r="EZ31" s="136"/>
      <c r="FA31" s="136"/>
      <c r="FB31" s="136"/>
      <c r="FC31" s="136"/>
    </row>
    <row r="32" ht="31.5" spans="1:159">
      <c r="A32" s="130"/>
      <c r="B32" s="134"/>
      <c r="C32" s="134" t="s">
        <v>92</v>
      </c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>
        <v>10000</v>
      </c>
      <c r="AI32" s="135"/>
      <c r="AJ32" s="135"/>
      <c r="AK32" s="135"/>
      <c r="AL32" s="135">
        <v>0</v>
      </c>
      <c r="AM32" s="135"/>
      <c r="AN32" s="135"/>
      <c r="AO32" s="135"/>
      <c r="AP32" s="135"/>
      <c r="AQ32" s="135"/>
      <c r="AR32" s="135"/>
      <c r="AS32" s="135"/>
      <c r="AT32" s="135">
        <v>10000</v>
      </c>
      <c r="AU32" s="135"/>
      <c r="AV32" s="135"/>
      <c r="AW32" s="135"/>
      <c r="AX32" s="135">
        <v>0</v>
      </c>
      <c r="AY32" s="135"/>
      <c r="AZ32" s="135"/>
      <c r="BA32" s="135"/>
      <c r="BB32" s="135"/>
      <c r="BC32" s="135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  <c r="BO32" s="135"/>
      <c r="BP32" s="135"/>
      <c r="BQ32" s="135"/>
      <c r="BR32" s="135"/>
      <c r="BS32" s="135"/>
      <c r="BT32" s="135"/>
      <c r="BU32" s="135"/>
      <c r="BV32" s="135"/>
      <c r="BW32" s="135"/>
      <c r="BX32" s="135"/>
      <c r="BY32" s="135"/>
      <c r="BZ32" s="135"/>
      <c r="CA32" s="135"/>
      <c r="CB32" s="135"/>
      <c r="CC32" s="135"/>
      <c r="CD32" s="135"/>
      <c r="CE32" s="135"/>
      <c r="CF32" s="135"/>
      <c r="CG32" s="135"/>
      <c r="CH32" s="135"/>
      <c r="CI32" s="135"/>
      <c r="CJ32" s="135"/>
      <c r="CK32" s="135"/>
      <c r="CL32" s="135"/>
      <c r="CM32" s="135"/>
      <c r="CN32" s="135"/>
      <c r="CO32" s="135"/>
      <c r="CP32" s="135"/>
      <c r="CQ32" s="135"/>
      <c r="CR32" s="135"/>
      <c r="CS32" s="135"/>
      <c r="CT32" s="135"/>
      <c r="CU32" s="135"/>
      <c r="CV32" s="135">
        <v>10000</v>
      </c>
      <c r="CW32" s="135"/>
      <c r="CX32" s="135"/>
      <c r="CY32" s="135"/>
      <c r="CZ32" s="135">
        <v>0</v>
      </c>
      <c r="DA32" s="135"/>
      <c r="DB32" s="135">
        <v>10000</v>
      </c>
      <c r="DC32" s="135"/>
      <c r="DD32" s="135"/>
      <c r="DE32" s="135"/>
      <c r="DF32" s="135">
        <v>0</v>
      </c>
      <c r="DG32" s="135"/>
      <c r="DH32" s="136"/>
      <c r="DI32" s="136"/>
      <c r="DJ32" s="136"/>
      <c r="DK32" s="136"/>
      <c r="DL32" s="136"/>
      <c r="DM32" s="136"/>
      <c r="DN32" s="136"/>
      <c r="DO32" s="136"/>
      <c r="DP32" s="136"/>
      <c r="DQ32" s="136"/>
      <c r="DR32" s="136"/>
      <c r="DS32" s="136"/>
      <c r="DT32" s="136"/>
      <c r="DU32" s="136"/>
      <c r="DV32" s="136"/>
      <c r="DW32" s="136"/>
      <c r="DX32" s="136"/>
      <c r="DY32" s="136"/>
      <c r="DZ32" s="136"/>
      <c r="EA32" s="136"/>
      <c r="EB32" s="136"/>
      <c r="EC32" s="136"/>
      <c r="ED32" s="136"/>
      <c r="EE32" s="136"/>
      <c r="EF32" s="136"/>
      <c r="EG32" s="136"/>
      <c r="EH32" s="136"/>
      <c r="EI32" s="136"/>
      <c r="EJ32" s="136"/>
      <c r="EK32" s="136"/>
      <c r="EL32" s="136"/>
      <c r="EM32" s="136"/>
      <c r="EN32" s="136"/>
      <c r="EO32" s="136"/>
      <c r="EP32" s="136"/>
      <c r="EQ32" s="136"/>
      <c r="ER32" s="136"/>
      <c r="ES32" s="136"/>
      <c r="ET32" s="136"/>
      <c r="EU32" s="136"/>
      <c r="EV32" s="136"/>
      <c r="EW32" s="136"/>
      <c r="EX32" s="136"/>
      <c r="EY32" s="136"/>
      <c r="EZ32" s="136"/>
      <c r="FA32" s="136"/>
      <c r="FB32" s="136"/>
      <c r="FC32" s="136"/>
    </row>
    <row r="33" ht="31.5" spans="1:159">
      <c r="A33" s="130"/>
      <c r="B33" s="134" t="s">
        <v>352</v>
      </c>
      <c r="C33" s="134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5"/>
      <c r="AX33" s="135"/>
      <c r="AY33" s="135"/>
      <c r="AZ33" s="135"/>
      <c r="BA33" s="135"/>
      <c r="BB33" s="135"/>
      <c r="BC33" s="135"/>
      <c r="BD33" s="135"/>
      <c r="BE33" s="135"/>
      <c r="BF33" s="135"/>
      <c r="BG33" s="135"/>
      <c r="BH33" s="135"/>
      <c r="BI33" s="135"/>
      <c r="BJ33" s="135"/>
      <c r="BK33" s="135"/>
      <c r="BL33" s="135"/>
      <c r="BM33" s="135"/>
      <c r="BN33" s="135"/>
      <c r="BO33" s="135"/>
      <c r="BP33" s="135"/>
      <c r="BQ33" s="135"/>
      <c r="BR33" s="135"/>
      <c r="BS33" s="135"/>
      <c r="BT33" s="135"/>
      <c r="BU33" s="135"/>
      <c r="BV33" s="135"/>
      <c r="BW33" s="135"/>
      <c r="BX33" s="135"/>
      <c r="BY33" s="135"/>
      <c r="BZ33" s="135"/>
      <c r="CA33" s="135"/>
      <c r="CB33" s="135"/>
      <c r="CC33" s="135"/>
      <c r="CD33" s="135"/>
      <c r="CE33" s="135"/>
      <c r="CF33" s="135"/>
      <c r="CG33" s="135"/>
      <c r="CH33" s="135"/>
      <c r="CI33" s="135"/>
      <c r="CJ33" s="135"/>
      <c r="CK33" s="135"/>
      <c r="CL33" s="135"/>
      <c r="CM33" s="135"/>
      <c r="CN33" s="135"/>
      <c r="CO33" s="135"/>
      <c r="CP33" s="135"/>
      <c r="CQ33" s="135"/>
      <c r="CR33" s="135"/>
      <c r="CS33" s="135"/>
      <c r="CT33" s="135"/>
      <c r="CU33" s="135"/>
      <c r="CV33" s="135"/>
      <c r="CW33" s="135"/>
      <c r="CX33" s="135"/>
      <c r="CY33" s="135"/>
      <c r="CZ33" s="135"/>
      <c r="DA33" s="135"/>
      <c r="DB33" s="135"/>
      <c r="DC33" s="135"/>
      <c r="DD33" s="135"/>
      <c r="DE33" s="135"/>
      <c r="DF33" s="135"/>
      <c r="DG33" s="135"/>
      <c r="DH33" s="136"/>
      <c r="DI33" s="136"/>
      <c r="DJ33" s="136"/>
      <c r="DK33" s="136"/>
      <c r="DL33" s="136"/>
      <c r="DM33" s="136"/>
      <c r="DN33" s="136"/>
      <c r="DO33" s="136"/>
      <c r="DP33" s="136"/>
      <c r="DQ33" s="136"/>
      <c r="DR33" s="136"/>
      <c r="DS33" s="136"/>
      <c r="DT33" s="136"/>
      <c r="DU33" s="136"/>
      <c r="DV33" s="136"/>
      <c r="DW33" s="136"/>
      <c r="DX33" s="136"/>
      <c r="DY33" s="136"/>
      <c r="DZ33" s="136"/>
      <c r="EA33" s="136"/>
      <c r="EB33" s="136"/>
      <c r="EC33" s="136"/>
      <c r="ED33" s="136"/>
      <c r="EE33" s="136"/>
      <c r="EF33" s="136"/>
      <c r="EG33" s="136"/>
      <c r="EH33" s="136"/>
      <c r="EI33" s="136"/>
      <c r="EJ33" s="136"/>
      <c r="EK33" s="136"/>
      <c r="EL33" s="136"/>
      <c r="EM33" s="136"/>
      <c r="EN33" s="136"/>
      <c r="EO33" s="136"/>
      <c r="EP33" s="136"/>
      <c r="EQ33" s="136"/>
      <c r="ER33" s="136"/>
      <c r="ES33" s="136"/>
      <c r="ET33" s="136"/>
      <c r="EU33" s="136"/>
      <c r="EV33" s="136"/>
      <c r="EW33" s="136"/>
      <c r="EX33" s="136"/>
      <c r="EY33" s="136"/>
      <c r="EZ33" s="136"/>
      <c r="FA33" s="136"/>
      <c r="FB33" s="136"/>
      <c r="FC33" s="136"/>
    </row>
    <row r="34" spans="1:147">
      <c r="A34" s="130"/>
      <c r="B34" s="134"/>
      <c r="C34" s="134" t="s">
        <v>38</v>
      </c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35"/>
      <c r="AN34" s="135">
        <v>255000</v>
      </c>
      <c r="AO34" s="135"/>
      <c r="AP34" s="135"/>
      <c r="AQ34" s="135"/>
      <c r="AR34" s="135">
        <v>0</v>
      </c>
      <c r="AS34" s="135">
        <v>2</v>
      </c>
      <c r="AT34" s="135">
        <v>255000</v>
      </c>
      <c r="AU34" s="135"/>
      <c r="AV34" s="135"/>
      <c r="AW34" s="135"/>
      <c r="AX34" s="135">
        <v>0</v>
      </c>
      <c r="AY34" s="135">
        <v>2</v>
      </c>
      <c r="AZ34" s="135">
        <v>200000</v>
      </c>
      <c r="BA34" s="135"/>
      <c r="BB34" s="135"/>
      <c r="BC34" s="135"/>
      <c r="BD34" s="135">
        <v>0</v>
      </c>
      <c r="BE34" s="135">
        <v>1</v>
      </c>
      <c r="BF34" s="135">
        <v>325000</v>
      </c>
      <c r="BG34" s="135"/>
      <c r="BH34" s="135"/>
      <c r="BI34" s="135"/>
      <c r="BJ34" s="135">
        <v>0</v>
      </c>
      <c r="BK34" s="135">
        <v>4</v>
      </c>
      <c r="BL34" s="135"/>
      <c r="BM34" s="135"/>
      <c r="BN34" s="135"/>
      <c r="BO34" s="135"/>
      <c r="BP34" s="135"/>
      <c r="BQ34" s="135"/>
      <c r="BR34" s="135">
        <v>525000</v>
      </c>
      <c r="BS34" s="135"/>
      <c r="BT34" s="135"/>
      <c r="BU34" s="135"/>
      <c r="BV34" s="135">
        <v>0</v>
      </c>
      <c r="BW34" s="135">
        <v>5</v>
      </c>
      <c r="BX34" s="135"/>
      <c r="BY34" s="135"/>
      <c r="BZ34" s="135"/>
      <c r="CA34" s="135"/>
      <c r="CB34" s="135"/>
      <c r="CC34" s="135"/>
      <c r="CD34" s="135">
        <v>195000</v>
      </c>
      <c r="CE34" s="135"/>
      <c r="CF34" s="135"/>
      <c r="CG34" s="135"/>
      <c r="CH34" s="135">
        <v>0</v>
      </c>
      <c r="CI34" s="135">
        <v>1</v>
      </c>
      <c r="CJ34" s="135"/>
      <c r="CK34" s="135"/>
      <c r="CL34" s="135"/>
      <c r="CM34" s="135"/>
      <c r="CN34" s="135"/>
      <c r="CO34" s="135"/>
      <c r="CP34" s="135">
        <v>195000</v>
      </c>
      <c r="CQ34" s="135"/>
      <c r="CR34" s="135"/>
      <c r="CS34" s="135"/>
      <c r="CT34" s="135">
        <v>0</v>
      </c>
      <c r="CU34" s="135">
        <v>1</v>
      </c>
      <c r="CV34" s="135">
        <v>975000</v>
      </c>
      <c r="CW34" s="135"/>
      <c r="CX34" s="135"/>
      <c r="CY34" s="135"/>
      <c r="CZ34" s="135">
        <v>0</v>
      </c>
      <c r="DA34" s="135">
        <v>8</v>
      </c>
      <c r="DB34" s="135">
        <v>975000</v>
      </c>
      <c r="DC34" s="135"/>
      <c r="DD34" s="135"/>
      <c r="DE34" s="135"/>
      <c r="DF34" s="135">
        <v>0</v>
      </c>
      <c r="DG34" s="135">
        <v>8</v>
      </c>
      <c r="DH34" s="136"/>
      <c r="DI34" s="136"/>
      <c r="DJ34" s="136"/>
      <c r="DK34" s="136"/>
      <c r="DL34" s="136"/>
      <c r="DM34" s="136"/>
      <c r="DN34" s="136"/>
      <c r="DO34" s="136"/>
      <c r="DP34" s="136"/>
      <c r="DQ34" s="136"/>
      <c r="DR34" s="136"/>
      <c r="DS34" s="136"/>
      <c r="DT34" s="136"/>
      <c r="DU34" s="136"/>
      <c r="DV34" s="136"/>
      <c r="DW34" s="136"/>
      <c r="DX34" s="136"/>
      <c r="DY34" s="136"/>
      <c r="DZ34" s="136"/>
      <c r="EA34" s="136"/>
      <c r="EB34" s="136"/>
      <c r="EC34" s="136"/>
      <c r="ED34" s="136"/>
      <c r="EE34" s="136"/>
      <c r="EF34" s="136"/>
      <c r="EG34" s="136"/>
      <c r="EH34" s="136"/>
      <c r="EI34" s="136"/>
      <c r="EJ34" s="136"/>
      <c r="EK34" s="136"/>
      <c r="EL34" s="136"/>
      <c r="EM34" s="136"/>
      <c r="EN34" s="136"/>
      <c r="EO34" s="136"/>
      <c r="EP34" s="136"/>
      <c r="EQ34" s="136"/>
    </row>
    <row r="35" spans="1:147">
      <c r="A35" s="130"/>
      <c r="B35" s="134"/>
      <c r="C35" s="134" t="s">
        <v>40</v>
      </c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>
        <v>730000</v>
      </c>
      <c r="AO35" s="135"/>
      <c r="AP35" s="135"/>
      <c r="AQ35" s="135"/>
      <c r="AR35" s="135">
        <v>0</v>
      </c>
      <c r="AS35" s="135">
        <v>2</v>
      </c>
      <c r="AT35" s="135">
        <v>730000</v>
      </c>
      <c r="AU35" s="135"/>
      <c r="AV35" s="135"/>
      <c r="AW35" s="135"/>
      <c r="AX35" s="135">
        <v>0</v>
      </c>
      <c r="AY35" s="135">
        <v>2</v>
      </c>
      <c r="AZ35" s="135">
        <v>800000</v>
      </c>
      <c r="BA35" s="135"/>
      <c r="BB35" s="135"/>
      <c r="BC35" s="135"/>
      <c r="BD35" s="135">
        <v>0</v>
      </c>
      <c r="BE35" s="135">
        <v>2</v>
      </c>
      <c r="BF35" s="135">
        <v>700000</v>
      </c>
      <c r="BG35" s="135"/>
      <c r="BH35" s="135"/>
      <c r="BI35" s="135"/>
      <c r="BJ35" s="135">
        <v>0</v>
      </c>
      <c r="BK35" s="135">
        <v>2</v>
      </c>
      <c r="BL35" s="135">
        <v>2270000</v>
      </c>
      <c r="BM35" s="135"/>
      <c r="BN35" s="135"/>
      <c r="BO35" s="135"/>
      <c r="BP35" s="135">
        <v>0</v>
      </c>
      <c r="BQ35" s="135">
        <v>7</v>
      </c>
      <c r="BR35" s="135">
        <v>3770000</v>
      </c>
      <c r="BS35" s="135"/>
      <c r="BT35" s="135"/>
      <c r="BU35" s="135"/>
      <c r="BV35" s="135">
        <v>0</v>
      </c>
      <c r="BW35" s="135">
        <v>11</v>
      </c>
      <c r="BX35" s="135">
        <v>500000</v>
      </c>
      <c r="BY35" s="135"/>
      <c r="BZ35" s="135"/>
      <c r="CA35" s="135"/>
      <c r="CB35" s="135">
        <v>0</v>
      </c>
      <c r="CC35" s="135">
        <v>1</v>
      </c>
      <c r="CD35" s="135"/>
      <c r="CE35" s="135"/>
      <c r="CF35" s="135"/>
      <c r="CG35" s="135"/>
      <c r="CH35" s="135"/>
      <c r="CI35" s="135"/>
      <c r="CJ35" s="135"/>
      <c r="CK35" s="135"/>
      <c r="CL35" s="135"/>
      <c r="CM35" s="135"/>
      <c r="CN35" s="135"/>
      <c r="CO35" s="135"/>
      <c r="CP35" s="135">
        <v>500000</v>
      </c>
      <c r="CQ35" s="135"/>
      <c r="CR35" s="135"/>
      <c r="CS35" s="135"/>
      <c r="CT35" s="135">
        <v>0</v>
      </c>
      <c r="CU35" s="135">
        <v>1</v>
      </c>
      <c r="CV35" s="135">
        <v>5000000</v>
      </c>
      <c r="CW35" s="135"/>
      <c r="CX35" s="135"/>
      <c r="CY35" s="135"/>
      <c r="CZ35" s="135">
        <v>0</v>
      </c>
      <c r="DA35" s="135">
        <v>14</v>
      </c>
      <c r="DB35" s="135">
        <v>5000000</v>
      </c>
      <c r="DC35" s="135"/>
      <c r="DD35" s="135"/>
      <c r="DE35" s="135"/>
      <c r="DF35" s="135">
        <v>0</v>
      </c>
      <c r="DG35" s="135">
        <v>14</v>
      </c>
      <c r="DH35" s="136"/>
      <c r="DI35" s="136"/>
      <c r="DJ35" s="136"/>
      <c r="DK35" s="136"/>
      <c r="DL35" s="136"/>
      <c r="DM35" s="136"/>
      <c r="DN35" s="136"/>
      <c r="DO35" s="136"/>
      <c r="DP35" s="136"/>
      <c r="DQ35" s="136"/>
      <c r="DR35" s="136"/>
      <c r="DS35" s="136"/>
      <c r="DT35" s="136"/>
      <c r="DU35" s="136"/>
      <c r="DV35" s="136"/>
      <c r="DW35" s="136"/>
      <c r="DX35" s="136"/>
      <c r="DY35" s="136"/>
      <c r="DZ35" s="136"/>
      <c r="EA35" s="136"/>
      <c r="EB35" s="136"/>
      <c r="EC35" s="136"/>
      <c r="ED35" s="136"/>
      <c r="EE35" s="136"/>
      <c r="EF35" s="136"/>
      <c r="EG35" s="136"/>
      <c r="EH35" s="136"/>
      <c r="EI35" s="136"/>
      <c r="EJ35" s="136"/>
      <c r="EK35" s="136"/>
      <c r="EL35" s="136"/>
      <c r="EM35" s="136"/>
      <c r="EN35" s="136"/>
      <c r="EO35" s="136"/>
      <c r="EP35" s="136"/>
      <c r="EQ35" s="136"/>
    </row>
    <row r="36" spans="1:147">
      <c r="A36" s="130"/>
      <c r="B36" s="134"/>
      <c r="C36" s="134" t="s">
        <v>42</v>
      </c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>
        <v>9900</v>
      </c>
      <c r="AO36" s="135"/>
      <c r="AP36" s="135"/>
      <c r="AQ36" s="135"/>
      <c r="AR36" s="135">
        <v>0</v>
      </c>
      <c r="AS36" s="135">
        <v>4</v>
      </c>
      <c r="AT36" s="135">
        <v>9900</v>
      </c>
      <c r="AU36" s="135"/>
      <c r="AV36" s="135"/>
      <c r="AW36" s="135"/>
      <c r="AX36" s="135">
        <v>0</v>
      </c>
      <c r="AY36" s="135">
        <v>4</v>
      </c>
      <c r="AZ36" s="135">
        <v>10000</v>
      </c>
      <c r="BA36" s="135"/>
      <c r="BB36" s="135"/>
      <c r="BC36" s="135"/>
      <c r="BD36" s="135">
        <v>0</v>
      </c>
      <c r="BE36" s="135">
        <v>3</v>
      </c>
      <c r="BF36" s="135">
        <v>9600</v>
      </c>
      <c r="BG36" s="135"/>
      <c r="BH36" s="135"/>
      <c r="BI36" s="135"/>
      <c r="BJ36" s="135">
        <v>0</v>
      </c>
      <c r="BK36" s="135">
        <v>5</v>
      </c>
      <c r="BL36" s="135">
        <v>23350</v>
      </c>
      <c r="BM36" s="135"/>
      <c r="BN36" s="135"/>
      <c r="BO36" s="135"/>
      <c r="BP36" s="135">
        <v>0</v>
      </c>
      <c r="BQ36" s="135">
        <v>8</v>
      </c>
      <c r="BR36" s="135">
        <v>42950</v>
      </c>
      <c r="BS36" s="135"/>
      <c r="BT36" s="135"/>
      <c r="BU36" s="135"/>
      <c r="BV36" s="135">
        <v>0</v>
      </c>
      <c r="BW36" s="135">
        <v>16</v>
      </c>
      <c r="BX36" s="135">
        <v>5000</v>
      </c>
      <c r="BY36" s="135"/>
      <c r="BZ36" s="135"/>
      <c r="CA36" s="135"/>
      <c r="CB36" s="135">
        <v>0</v>
      </c>
      <c r="CC36" s="135">
        <v>1</v>
      </c>
      <c r="CD36" s="135">
        <v>1950</v>
      </c>
      <c r="CE36" s="135"/>
      <c r="CF36" s="135"/>
      <c r="CG36" s="135"/>
      <c r="CH36" s="135">
        <v>0</v>
      </c>
      <c r="CI36" s="135">
        <v>1</v>
      </c>
      <c r="CJ36" s="135"/>
      <c r="CK36" s="135"/>
      <c r="CL36" s="135"/>
      <c r="CM36" s="135"/>
      <c r="CN36" s="135"/>
      <c r="CO36" s="135"/>
      <c r="CP36" s="135">
        <v>6950</v>
      </c>
      <c r="CQ36" s="135"/>
      <c r="CR36" s="135"/>
      <c r="CS36" s="135"/>
      <c r="CT36" s="135">
        <v>0</v>
      </c>
      <c r="CU36" s="135">
        <v>2</v>
      </c>
      <c r="CV36" s="135">
        <v>59800</v>
      </c>
      <c r="CW36" s="135"/>
      <c r="CX36" s="135"/>
      <c r="CY36" s="135"/>
      <c r="CZ36" s="135">
        <v>0</v>
      </c>
      <c r="DA36" s="135">
        <v>22</v>
      </c>
      <c r="DB36" s="135">
        <v>59800</v>
      </c>
      <c r="DC36" s="135"/>
      <c r="DD36" s="135"/>
      <c r="DE36" s="135"/>
      <c r="DF36" s="135">
        <v>0</v>
      </c>
      <c r="DG36" s="135">
        <v>22</v>
      </c>
      <c r="DH36" s="136"/>
      <c r="DI36" s="136"/>
      <c r="DJ36" s="136"/>
      <c r="DK36" s="136"/>
      <c r="DL36" s="136"/>
      <c r="DM36" s="136"/>
      <c r="DN36" s="136"/>
      <c r="DO36" s="136"/>
      <c r="DP36" s="136"/>
      <c r="DQ36" s="136"/>
      <c r="DR36" s="136"/>
      <c r="DS36" s="136"/>
      <c r="DT36" s="136"/>
      <c r="DU36" s="136"/>
      <c r="DV36" s="136"/>
      <c r="DW36" s="136"/>
      <c r="DX36" s="136"/>
      <c r="DY36" s="136"/>
      <c r="DZ36" s="136"/>
      <c r="EA36" s="136"/>
      <c r="EB36" s="136"/>
      <c r="EC36" s="136"/>
      <c r="ED36" s="136"/>
      <c r="EE36" s="136"/>
      <c r="EF36" s="136"/>
      <c r="EG36" s="136"/>
      <c r="EH36" s="136"/>
      <c r="EI36" s="136"/>
      <c r="EJ36" s="136"/>
      <c r="EK36" s="136"/>
      <c r="EL36" s="136"/>
      <c r="EM36" s="136"/>
      <c r="EN36" s="136"/>
      <c r="EO36" s="136"/>
      <c r="EP36" s="136"/>
      <c r="EQ36" s="136"/>
    </row>
    <row r="37" ht="31.5" spans="1:147">
      <c r="A37" s="130"/>
      <c r="B37" s="134" t="s">
        <v>353</v>
      </c>
      <c r="C37" s="134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  <c r="BZ37" s="135"/>
      <c r="CA37" s="135"/>
      <c r="CB37" s="135"/>
      <c r="CC37" s="135"/>
      <c r="CD37" s="135"/>
      <c r="CE37" s="135"/>
      <c r="CF37" s="135"/>
      <c r="CG37" s="135"/>
      <c r="CH37" s="135"/>
      <c r="CI37" s="135"/>
      <c r="CJ37" s="135"/>
      <c r="CK37" s="135"/>
      <c r="CL37" s="135"/>
      <c r="CM37" s="135"/>
      <c r="CN37" s="135"/>
      <c r="CO37" s="135"/>
      <c r="CP37" s="135"/>
      <c r="CQ37" s="135"/>
      <c r="CR37" s="135"/>
      <c r="CS37" s="135"/>
      <c r="CT37" s="135"/>
      <c r="CU37" s="135"/>
      <c r="CV37" s="135"/>
      <c r="CW37" s="135"/>
      <c r="CX37" s="135"/>
      <c r="CY37" s="135"/>
      <c r="CZ37" s="135"/>
      <c r="DA37" s="135"/>
      <c r="DB37" s="135"/>
      <c r="DC37" s="135"/>
      <c r="DD37" s="135"/>
      <c r="DE37" s="135"/>
      <c r="DF37" s="135"/>
      <c r="DG37" s="135"/>
      <c r="DH37" s="136"/>
      <c r="DI37" s="136"/>
      <c r="DJ37" s="136"/>
      <c r="DK37" s="136"/>
      <c r="DL37" s="136"/>
      <c r="DM37" s="136"/>
      <c r="DN37" s="136"/>
      <c r="DO37" s="136"/>
      <c r="DP37" s="136"/>
      <c r="DQ37" s="136"/>
      <c r="DR37" s="136"/>
      <c r="DS37" s="136"/>
      <c r="DT37" s="136"/>
      <c r="DU37" s="136"/>
      <c r="DV37" s="136"/>
      <c r="DW37" s="136"/>
      <c r="DX37" s="136"/>
      <c r="DY37" s="136"/>
      <c r="DZ37" s="136"/>
      <c r="EA37" s="136"/>
      <c r="EB37" s="136"/>
      <c r="EC37" s="136"/>
      <c r="ED37" s="136"/>
      <c r="EE37" s="136"/>
      <c r="EF37" s="136"/>
      <c r="EG37" s="136"/>
      <c r="EH37" s="136"/>
      <c r="EI37" s="136"/>
      <c r="EJ37" s="136"/>
      <c r="EK37" s="136"/>
      <c r="EL37" s="136"/>
      <c r="EM37" s="136"/>
      <c r="EN37" s="136"/>
      <c r="EO37" s="136"/>
      <c r="EP37" s="136"/>
      <c r="EQ37" s="136"/>
    </row>
    <row r="38" spans="1:147">
      <c r="A38" s="130"/>
      <c r="B38" s="134"/>
      <c r="C38" s="134" t="s">
        <v>55</v>
      </c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  <c r="BV38" s="135"/>
      <c r="BW38" s="135"/>
      <c r="BX38" s="135"/>
      <c r="BY38" s="135"/>
      <c r="BZ38" s="135"/>
      <c r="CA38" s="135"/>
      <c r="CB38" s="135"/>
      <c r="CC38" s="135"/>
      <c r="CD38" s="135">
        <v>20000</v>
      </c>
      <c r="CE38" s="135"/>
      <c r="CF38" s="135"/>
      <c r="CG38" s="135"/>
      <c r="CH38" s="135">
        <v>0</v>
      </c>
      <c r="CI38" s="135">
        <v>1</v>
      </c>
      <c r="CJ38" s="135"/>
      <c r="CK38" s="135"/>
      <c r="CL38" s="135"/>
      <c r="CM38" s="135"/>
      <c r="CN38" s="135"/>
      <c r="CO38" s="135"/>
      <c r="CP38" s="135">
        <v>20000</v>
      </c>
      <c r="CQ38" s="135"/>
      <c r="CR38" s="135"/>
      <c r="CS38" s="135"/>
      <c r="CT38" s="135">
        <v>0</v>
      </c>
      <c r="CU38" s="135">
        <v>1</v>
      </c>
      <c r="CV38" s="135">
        <v>20000</v>
      </c>
      <c r="CW38" s="135"/>
      <c r="CX38" s="135"/>
      <c r="CY38" s="135"/>
      <c r="CZ38" s="135">
        <v>0</v>
      </c>
      <c r="DA38" s="135">
        <v>1</v>
      </c>
      <c r="DB38" s="135">
        <v>20000</v>
      </c>
      <c r="DC38" s="135"/>
      <c r="DD38" s="135"/>
      <c r="DE38" s="135"/>
      <c r="DF38" s="135">
        <v>0</v>
      </c>
      <c r="DG38" s="135">
        <v>1</v>
      </c>
      <c r="DH38" s="136"/>
      <c r="DI38" s="136"/>
      <c r="DJ38" s="136"/>
      <c r="DK38" s="136"/>
      <c r="DL38" s="136"/>
      <c r="DM38" s="136"/>
      <c r="DN38" s="136"/>
      <c r="DO38" s="136"/>
      <c r="DP38" s="136"/>
      <c r="DQ38" s="136"/>
      <c r="DR38" s="136"/>
      <c r="DS38" s="136"/>
      <c r="DT38" s="136"/>
      <c r="DU38" s="136"/>
      <c r="DV38" s="136"/>
      <c r="DW38" s="136"/>
      <c r="DX38" s="136"/>
      <c r="DY38" s="136"/>
      <c r="DZ38" s="136"/>
      <c r="EA38" s="136"/>
      <c r="EB38" s="136"/>
      <c r="EC38" s="136"/>
      <c r="ED38" s="136"/>
      <c r="EE38" s="136"/>
      <c r="EF38" s="136"/>
      <c r="EG38" s="136"/>
      <c r="EH38" s="136"/>
      <c r="EI38" s="136"/>
      <c r="EJ38" s="136"/>
      <c r="EK38" s="136"/>
      <c r="EL38" s="136"/>
      <c r="EM38" s="136"/>
      <c r="EN38" s="136"/>
      <c r="EO38" s="136"/>
      <c r="EP38" s="136"/>
      <c r="EQ38" s="136"/>
    </row>
    <row r="39" spans="1:147">
      <c r="A39" s="130"/>
      <c r="B39" s="134"/>
      <c r="C39" s="134" t="s">
        <v>57</v>
      </c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5"/>
      <c r="BC39" s="135"/>
      <c r="BD39" s="135"/>
      <c r="BE39" s="135"/>
      <c r="BF39" s="135"/>
      <c r="BG39" s="135"/>
      <c r="BH39" s="135"/>
      <c r="BI39" s="135"/>
      <c r="BJ39" s="135"/>
      <c r="BK39" s="135"/>
      <c r="BL39" s="135"/>
      <c r="BM39" s="135"/>
      <c r="BN39" s="135"/>
      <c r="BO39" s="135"/>
      <c r="BP39" s="135"/>
      <c r="BQ39" s="135"/>
      <c r="BR39" s="135"/>
      <c r="BS39" s="135"/>
      <c r="BT39" s="135"/>
      <c r="BU39" s="135"/>
      <c r="BV39" s="135"/>
      <c r="BW39" s="135"/>
      <c r="BX39" s="135"/>
      <c r="BY39" s="135"/>
      <c r="BZ39" s="135"/>
      <c r="CA39" s="135"/>
      <c r="CB39" s="135"/>
      <c r="CC39" s="135"/>
      <c r="CD39" s="135">
        <v>100000</v>
      </c>
      <c r="CE39" s="135"/>
      <c r="CF39" s="135"/>
      <c r="CG39" s="135"/>
      <c r="CH39" s="135">
        <v>0</v>
      </c>
      <c r="CI39" s="135">
        <v>1</v>
      </c>
      <c r="CJ39" s="135"/>
      <c r="CK39" s="135"/>
      <c r="CL39" s="135"/>
      <c r="CM39" s="135"/>
      <c r="CN39" s="135"/>
      <c r="CO39" s="135"/>
      <c r="CP39" s="135">
        <v>100000</v>
      </c>
      <c r="CQ39" s="135"/>
      <c r="CR39" s="135"/>
      <c r="CS39" s="135"/>
      <c r="CT39" s="135">
        <v>0</v>
      </c>
      <c r="CU39" s="135">
        <v>1</v>
      </c>
      <c r="CV39" s="135">
        <v>100000</v>
      </c>
      <c r="CW39" s="135"/>
      <c r="CX39" s="135"/>
      <c r="CY39" s="135"/>
      <c r="CZ39" s="135">
        <v>0</v>
      </c>
      <c r="DA39" s="135">
        <v>1</v>
      </c>
      <c r="DB39" s="135">
        <v>100000</v>
      </c>
      <c r="DC39" s="135"/>
      <c r="DD39" s="135"/>
      <c r="DE39" s="135"/>
      <c r="DF39" s="135">
        <v>0</v>
      </c>
      <c r="DG39" s="135">
        <v>1</v>
      </c>
      <c r="DH39" s="136"/>
      <c r="DI39" s="136"/>
      <c r="DJ39" s="136"/>
      <c r="DK39" s="136"/>
      <c r="DL39" s="136"/>
      <c r="DM39" s="136"/>
      <c r="DN39" s="136"/>
      <c r="DO39" s="136"/>
      <c r="DP39" s="136"/>
      <c r="DQ39" s="136"/>
      <c r="DR39" s="136"/>
      <c r="DS39" s="136"/>
      <c r="DT39" s="136"/>
      <c r="DU39" s="136"/>
      <c r="DV39" s="136"/>
      <c r="DW39" s="136"/>
      <c r="DX39" s="136"/>
      <c r="DY39" s="136"/>
      <c r="DZ39" s="136"/>
      <c r="EA39" s="136"/>
      <c r="EB39" s="136"/>
      <c r="EC39" s="136"/>
      <c r="ED39" s="136"/>
      <c r="EE39" s="136"/>
      <c r="EF39" s="136"/>
      <c r="EG39" s="136"/>
      <c r="EH39" s="136"/>
      <c r="EI39" s="136"/>
      <c r="EJ39" s="136"/>
      <c r="EK39" s="136"/>
      <c r="EL39" s="136"/>
      <c r="EM39" s="136"/>
      <c r="EN39" s="136"/>
      <c r="EO39" s="136"/>
      <c r="EP39" s="136"/>
      <c r="EQ39" s="136"/>
    </row>
    <row r="40" ht="31.5" spans="1:147">
      <c r="A40" s="130"/>
      <c r="B40" s="134" t="s">
        <v>354</v>
      </c>
      <c r="C40" s="13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  <c r="BN40" s="135"/>
      <c r="BO40" s="135"/>
      <c r="BP40" s="135"/>
      <c r="BQ40" s="135"/>
      <c r="BR40" s="135"/>
      <c r="BS40" s="135"/>
      <c r="BT40" s="135"/>
      <c r="BU40" s="135"/>
      <c r="BV40" s="135"/>
      <c r="BW40" s="135"/>
      <c r="BX40" s="135"/>
      <c r="BY40" s="135"/>
      <c r="BZ40" s="135"/>
      <c r="CA40" s="135"/>
      <c r="CB40" s="135"/>
      <c r="CC40" s="135"/>
      <c r="CD40" s="135"/>
      <c r="CE40" s="135"/>
      <c r="CF40" s="135"/>
      <c r="CG40" s="135"/>
      <c r="CH40" s="135"/>
      <c r="CI40" s="135"/>
      <c r="CJ40" s="135"/>
      <c r="CK40" s="135"/>
      <c r="CL40" s="135"/>
      <c r="CM40" s="135"/>
      <c r="CN40" s="135"/>
      <c r="CO40" s="135"/>
      <c r="CP40" s="135"/>
      <c r="CQ40" s="135"/>
      <c r="CR40" s="135"/>
      <c r="CS40" s="135"/>
      <c r="CT40" s="135"/>
      <c r="CU40" s="135"/>
      <c r="CV40" s="135"/>
      <c r="CW40" s="135"/>
      <c r="CX40" s="135"/>
      <c r="CY40" s="135"/>
      <c r="CZ40" s="135"/>
      <c r="DA40" s="135"/>
      <c r="DB40" s="135"/>
      <c r="DC40" s="135"/>
      <c r="DD40" s="135"/>
      <c r="DE40" s="135"/>
      <c r="DF40" s="135"/>
      <c r="DG40" s="135"/>
      <c r="DH40" s="136"/>
      <c r="DI40" s="136"/>
      <c r="DJ40" s="136"/>
      <c r="DK40" s="136"/>
      <c r="DL40" s="136"/>
      <c r="DM40" s="136"/>
      <c r="DN40" s="136"/>
      <c r="DO40" s="136"/>
      <c r="DP40" s="136"/>
      <c r="DQ40" s="136"/>
      <c r="DR40" s="136"/>
      <c r="DS40" s="136"/>
      <c r="DT40" s="136"/>
      <c r="DU40" s="136"/>
      <c r="DV40" s="136"/>
      <c r="DW40" s="136"/>
      <c r="DX40" s="136"/>
      <c r="DY40" s="136"/>
      <c r="DZ40" s="136"/>
      <c r="EA40" s="136"/>
      <c r="EB40" s="136"/>
      <c r="EC40" s="136"/>
      <c r="ED40" s="136"/>
      <c r="EE40" s="136"/>
      <c r="EF40" s="136"/>
      <c r="EG40" s="136"/>
      <c r="EH40" s="136"/>
      <c r="EI40" s="136"/>
      <c r="EJ40" s="136"/>
      <c r="EK40" s="136"/>
      <c r="EL40" s="136"/>
      <c r="EM40" s="136"/>
      <c r="EN40" s="136"/>
      <c r="EO40" s="136"/>
      <c r="EP40" s="136"/>
      <c r="EQ40" s="136"/>
    </row>
    <row r="41" spans="1:147">
      <c r="A41" s="130"/>
      <c r="B41" s="134"/>
      <c r="C41" s="134" t="s">
        <v>59</v>
      </c>
      <c r="D41" s="135"/>
      <c r="E41" s="135"/>
      <c r="F41" s="135"/>
      <c r="G41" s="135"/>
      <c r="H41" s="135"/>
      <c r="I41" s="135"/>
      <c r="J41" s="135">
        <v>1000</v>
      </c>
      <c r="K41" s="135"/>
      <c r="L41" s="135"/>
      <c r="M41" s="135"/>
      <c r="N41" s="135">
        <v>0</v>
      </c>
      <c r="O41" s="135">
        <v>1</v>
      </c>
      <c r="P41" s="135"/>
      <c r="Q41" s="135"/>
      <c r="R41" s="135"/>
      <c r="S41" s="135"/>
      <c r="T41" s="135"/>
      <c r="U41" s="135"/>
      <c r="V41" s="135">
        <v>1000</v>
      </c>
      <c r="W41" s="135"/>
      <c r="X41" s="135"/>
      <c r="Y41" s="135"/>
      <c r="Z41" s="135">
        <v>0</v>
      </c>
      <c r="AA41" s="135">
        <v>1</v>
      </c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5"/>
      <c r="BC41" s="135"/>
      <c r="BD41" s="135"/>
      <c r="BE41" s="135"/>
      <c r="BF41" s="135"/>
      <c r="BG41" s="135"/>
      <c r="BH41" s="135"/>
      <c r="BI41" s="135"/>
      <c r="BJ41" s="135"/>
      <c r="BK41" s="135"/>
      <c r="BL41" s="135"/>
      <c r="BM41" s="135"/>
      <c r="BN41" s="135"/>
      <c r="BO41" s="135"/>
      <c r="BP41" s="135"/>
      <c r="BQ41" s="135"/>
      <c r="BR41" s="135"/>
      <c r="BS41" s="135"/>
      <c r="BT41" s="135"/>
      <c r="BU41" s="135"/>
      <c r="BV41" s="135"/>
      <c r="BW41" s="135"/>
      <c r="BX41" s="135"/>
      <c r="BY41" s="135"/>
      <c r="BZ41" s="135"/>
      <c r="CA41" s="135"/>
      <c r="CB41" s="135"/>
      <c r="CC41" s="135"/>
      <c r="CD41" s="135"/>
      <c r="CE41" s="135"/>
      <c r="CF41" s="135"/>
      <c r="CG41" s="135"/>
      <c r="CH41" s="135"/>
      <c r="CI41" s="135"/>
      <c r="CJ41" s="135"/>
      <c r="CK41" s="135"/>
      <c r="CL41" s="135"/>
      <c r="CM41" s="135"/>
      <c r="CN41" s="135"/>
      <c r="CO41" s="135"/>
      <c r="CP41" s="135"/>
      <c r="CQ41" s="135"/>
      <c r="CR41" s="135"/>
      <c r="CS41" s="135"/>
      <c r="CT41" s="135"/>
      <c r="CU41" s="135"/>
      <c r="CV41" s="135">
        <v>1000</v>
      </c>
      <c r="CW41" s="135"/>
      <c r="CX41" s="135"/>
      <c r="CY41" s="135"/>
      <c r="CZ41" s="135">
        <v>0</v>
      </c>
      <c r="DA41" s="135">
        <v>1</v>
      </c>
      <c r="DB41" s="135">
        <v>1000</v>
      </c>
      <c r="DC41" s="135"/>
      <c r="DD41" s="135"/>
      <c r="DE41" s="135"/>
      <c r="DF41" s="135">
        <v>0</v>
      </c>
      <c r="DG41" s="135">
        <v>1</v>
      </c>
      <c r="DH41" s="136"/>
      <c r="DI41" s="136"/>
      <c r="DJ41" s="136"/>
      <c r="DK41" s="136"/>
      <c r="DL41" s="136"/>
      <c r="DM41" s="136"/>
      <c r="DN41" s="136"/>
      <c r="DO41" s="136"/>
      <c r="DP41" s="136"/>
      <c r="DQ41" s="136"/>
      <c r="DR41" s="136"/>
      <c r="DS41" s="136"/>
      <c r="DT41" s="136"/>
      <c r="DU41" s="136"/>
      <c r="DV41" s="136"/>
      <c r="DW41" s="136"/>
      <c r="DX41" s="136"/>
      <c r="DY41" s="136"/>
      <c r="DZ41" s="136"/>
      <c r="EA41" s="136"/>
      <c r="EB41" s="136"/>
      <c r="EC41" s="136"/>
      <c r="ED41" s="136"/>
      <c r="EE41" s="136"/>
      <c r="EF41" s="136"/>
      <c r="EG41" s="136"/>
      <c r="EH41" s="136"/>
      <c r="EI41" s="136"/>
      <c r="EJ41" s="136"/>
      <c r="EK41" s="136"/>
      <c r="EL41" s="136"/>
      <c r="EM41" s="136"/>
      <c r="EN41" s="136"/>
      <c r="EO41" s="136"/>
      <c r="EP41" s="136"/>
      <c r="EQ41" s="136"/>
    </row>
    <row r="42" spans="1:147">
      <c r="A42" s="130"/>
      <c r="B42" s="134"/>
      <c r="C42" s="134" t="s">
        <v>61</v>
      </c>
      <c r="D42" s="135"/>
      <c r="E42" s="135"/>
      <c r="F42" s="135"/>
      <c r="G42" s="135"/>
      <c r="H42" s="135"/>
      <c r="I42" s="135"/>
      <c r="J42" s="135">
        <v>2500</v>
      </c>
      <c r="K42" s="135"/>
      <c r="L42" s="135"/>
      <c r="M42" s="135"/>
      <c r="N42" s="135">
        <v>0</v>
      </c>
      <c r="O42" s="135">
        <v>1</v>
      </c>
      <c r="P42" s="135"/>
      <c r="Q42" s="135"/>
      <c r="R42" s="135"/>
      <c r="S42" s="135"/>
      <c r="T42" s="135"/>
      <c r="U42" s="135"/>
      <c r="V42" s="135">
        <v>2500</v>
      </c>
      <c r="W42" s="135"/>
      <c r="X42" s="135"/>
      <c r="Y42" s="135"/>
      <c r="Z42" s="135">
        <v>0</v>
      </c>
      <c r="AA42" s="135">
        <v>1</v>
      </c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5"/>
      <c r="BC42" s="135"/>
      <c r="BD42" s="135"/>
      <c r="BE42" s="135"/>
      <c r="BF42" s="135"/>
      <c r="BG42" s="135"/>
      <c r="BH42" s="135"/>
      <c r="BI42" s="135"/>
      <c r="BJ42" s="135"/>
      <c r="BK42" s="135"/>
      <c r="BL42" s="135"/>
      <c r="BM42" s="135"/>
      <c r="BN42" s="135"/>
      <c r="BO42" s="135"/>
      <c r="BP42" s="135"/>
      <c r="BQ42" s="135"/>
      <c r="BR42" s="135"/>
      <c r="BS42" s="135"/>
      <c r="BT42" s="135"/>
      <c r="BU42" s="135"/>
      <c r="BV42" s="135"/>
      <c r="BW42" s="135"/>
      <c r="BX42" s="135"/>
      <c r="BY42" s="135"/>
      <c r="BZ42" s="135"/>
      <c r="CA42" s="135"/>
      <c r="CB42" s="135"/>
      <c r="CC42" s="135"/>
      <c r="CD42" s="135"/>
      <c r="CE42" s="135"/>
      <c r="CF42" s="135"/>
      <c r="CG42" s="135"/>
      <c r="CH42" s="135"/>
      <c r="CI42" s="135"/>
      <c r="CJ42" s="135"/>
      <c r="CK42" s="135"/>
      <c r="CL42" s="135"/>
      <c r="CM42" s="135"/>
      <c r="CN42" s="135"/>
      <c r="CO42" s="135"/>
      <c r="CP42" s="135"/>
      <c r="CQ42" s="135"/>
      <c r="CR42" s="135"/>
      <c r="CS42" s="135"/>
      <c r="CT42" s="135"/>
      <c r="CU42" s="135"/>
      <c r="CV42" s="135">
        <v>2500</v>
      </c>
      <c r="CW42" s="135"/>
      <c r="CX42" s="135"/>
      <c r="CY42" s="135"/>
      <c r="CZ42" s="135">
        <v>0</v>
      </c>
      <c r="DA42" s="135">
        <v>1</v>
      </c>
      <c r="DB42" s="135">
        <v>2500</v>
      </c>
      <c r="DC42" s="135"/>
      <c r="DD42" s="135"/>
      <c r="DE42" s="135"/>
      <c r="DF42" s="135">
        <v>0</v>
      </c>
      <c r="DG42" s="135">
        <v>1</v>
      </c>
      <c r="DH42" s="136"/>
      <c r="DI42" s="136"/>
      <c r="DJ42" s="136"/>
      <c r="DK42" s="136"/>
      <c r="DL42" s="136"/>
      <c r="DM42" s="136"/>
      <c r="DN42" s="136"/>
      <c r="DO42" s="136"/>
      <c r="DP42" s="136"/>
      <c r="DQ42" s="136"/>
      <c r="DR42" s="136"/>
      <c r="DS42" s="136"/>
      <c r="DT42" s="136"/>
      <c r="DU42" s="136"/>
      <c r="DV42" s="136"/>
      <c r="DW42" s="136"/>
      <c r="DX42" s="136"/>
      <c r="DY42" s="136"/>
      <c r="DZ42" s="136"/>
      <c r="EA42" s="136"/>
      <c r="EB42" s="136"/>
      <c r="EC42" s="136"/>
      <c r="ED42" s="136"/>
      <c r="EE42" s="136"/>
      <c r="EF42" s="136"/>
      <c r="EG42" s="136"/>
      <c r="EH42" s="136"/>
      <c r="EI42" s="136"/>
      <c r="EJ42" s="136"/>
      <c r="EK42" s="136"/>
      <c r="EL42" s="136"/>
      <c r="EM42" s="136"/>
      <c r="EN42" s="136"/>
      <c r="EO42" s="136"/>
      <c r="EP42" s="136"/>
      <c r="EQ42" s="136"/>
    </row>
    <row r="43" spans="1:147">
      <c r="A43" s="130"/>
      <c r="B43" s="134" t="s">
        <v>355</v>
      </c>
      <c r="C43" s="134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/>
      <c r="BJ43" s="135"/>
      <c r="BK43" s="135"/>
      <c r="BL43" s="135"/>
      <c r="BM43" s="135"/>
      <c r="BN43" s="135"/>
      <c r="BO43" s="135"/>
      <c r="BP43" s="135"/>
      <c r="BQ43" s="135"/>
      <c r="BR43" s="135"/>
      <c r="BS43" s="135"/>
      <c r="BT43" s="135"/>
      <c r="BU43" s="135"/>
      <c r="BV43" s="135"/>
      <c r="BW43" s="135"/>
      <c r="BX43" s="135"/>
      <c r="BY43" s="135"/>
      <c r="BZ43" s="135"/>
      <c r="CA43" s="135"/>
      <c r="CB43" s="135"/>
      <c r="CC43" s="135"/>
      <c r="CD43" s="135"/>
      <c r="CE43" s="135"/>
      <c r="CF43" s="135"/>
      <c r="CG43" s="135"/>
      <c r="CH43" s="135"/>
      <c r="CI43" s="135"/>
      <c r="CJ43" s="135"/>
      <c r="CK43" s="135"/>
      <c r="CL43" s="135"/>
      <c r="CM43" s="135"/>
      <c r="CN43" s="135"/>
      <c r="CO43" s="135"/>
      <c r="CP43" s="135"/>
      <c r="CQ43" s="135"/>
      <c r="CR43" s="135"/>
      <c r="CS43" s="135"/>
      <c r="CT43" s="135"/>
      <c r="CU43" s="135"/>
      <c r="CV43" s="135"/>
      <c r="CW43" s="135"/>
      <c r="CX43" s="135"/>
      <c r="CY43" s="135"/>
      <c r="CZ43" s="135"/>
      <c r="DA43" s="135"/>
      <c r="DB43" s="135"/>
      <c r="DC43" s="135"/>
      <c r="DD43" s="135"/>
      <c r="DE43" s="135"/>
      <c r="DF43" s="135"/>
      <c r="DG43" s="135"/>
      <c r="DH43" s="136"/>
      <c r="DI43" s="136"/>
      <c r="DJ43" s="136"/>
      <c r="DK43" s="136"/>
      <c r="DL43" s="136"/>
      <c r="DM43" s="136"/>
      <c r="DN43" s="136"/>
      <c r="DO43" s="136"/>
      <c r="DP43" s="136"/>
      <c r="DQ43" s="136"/>
      <c r="DR43" s="136"/>
      <c r="DS43" s="136"/>
      <c r="DT43" s="136"/>
      <c r="DU43" s="136"/>
      <c r="DV43" s="136"/>
      <c r="DW43" s="136"/>
      <c r="DX43" s="136"/>
      <c r="DY43" s="136"/>
      <c r="DZ43" s="136"/>
      <c r="EA43" s="136"/>
      <c r="EB43" s="136"/>
      <c r="EC43" s="136"/>
      <c r="ED43" s="136"/>
      <c r="EE43" s="136"/>
      <c r="EF43" s="136"/>
      <c r="EG43" s="136"/>
      <c r="EH43" s="136"/>
      <c r="EI43" s="136"/>
      <c r="EJ43" s="136"/>
      <c r="EK43" s="136"/>
      <c r="EL43" s="136"/>
      <c r="EM43" s="136"/>
      <c r="EN43" s="136"/>
      <c r="EO43" s="136"/>
      <c r="EP43" s="136"/>
      <c r="EQ43" s="136"/>
    </row>
    <row r="44" ht="31.5" spans="1:147">
      <c r="A44" s="130"/>
      <c r="B44" s="134"/>
      <c r="C44" s="134" t="s">
        <v>94</v>
      </c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>
        <v>4</v>
      </c>
      <c r="BA44" s="135"/>
      <c r="BB44" s="135"/>
      <c r="BC44" s="135"/>
      <c r="BD44" s="135">
        <v>0</v>
      </c>
      <c r="BE44" s="135"/>
      <c r="BF44" s="135"/>
      <c r="BG44" s="135"/>
      <c r="BH44" s="135"/>
      <c r="BI44" s="135"/>
      <c r="BJ44" s="135"/>
      <c r="BK44" s="135"/>
      <c r="BL44" s="135"/>
      <c r="BM44" s="135"/>
      <c r="BN44" s="135"/>
      <c r="BO44" s="135"/>
      <c r="BP44" s="135"/>
      <c r="BQ44" s="135"/>
      <c r="BR44" s="135">
        <v>4</v>
      </c>
      <c r="BS44" s="135"/>
      <c r="BT44" s="135"/>
      <c r="BU44" s="135"/>
      <c r="BV44" s="135">
        <v>0</v>
      </c>
      <c r="BW44" s="135"/>
      <c r="BX44" s="135"/>
      <c r="BY44" s="135"/>
      <c r="BZ44" s="135"/>
      <c r="CA44" s="135"/>
      <c r="CB44" s="135"/>
      <c r="CC44" s="135"/>
      <c r="CD44" s="135"/>
      <c r="CE44" s="135"/>
      <c r="CF44" s="135"/>
      <c r="CG44" s="135"/>
      <c r="CH44" s="135"/>
      <c r="CI44" s="135"/>
      <c r="CJ44" s="135"/>
      <c r="CK44" s="135"/>
      <c r="CL44" s="135"/>
      <c r="CM44" s="135"/>
      <c r="CN44" s="135"/>
      <c r="CO44" s="135"/>
      <c r="CP44" s="135"/>
      <c r="CQ44" s="135"/>
      <c r="CR44" s="135"/>
      <c r="CS44" s="135"/>
      <c r="CT44" s="135"/>
      <c r="CU44" s="135"/>
      <c r="CV44" s="135">
        <v>4</v>
      </c>
      <c r="CW44" s="135"/>
      <c r="CX44" s="135"/>
      <c r="CY44" s="135"/>
      <c r="CZ44" s="135">
        <v>0</v>
      </c>
      <c r="DA44" s="135"/>
      <c r="DB44" s="135">
        <v>4</v>
      </c>
      <c r="DC44" s="135"/>
      <c r="DD44" s="135"/>
      <c r="DE44" s="135"/>
      <c r="DF44" s="135">
        <v>0</v>
      </c>
      <c r="DG44" s="135"/>
      <c r="DH44" s="136"/>
      <c r="DI44" s="136"/>
      <c r="DJ44" s="136"/>
      <c r="DK44" s="136"/>
      <c r="DL44" s="136"/>
      <c r="DM44" s="136"/>
      <c r="DN44" s="136"/>
      <c r="DO44" s="136"/>
      <c r="DP44" s="136"/>
      <c r="DQ44" s="136"/>
      <c r="DR44" s="136"/>
      <c r="DS44" s="136"/>
      <c r="DT44" s="136"/>
      <c r="DU44" s="136"/>
      <c r="DV44" s="136"/>
      <c r="DW44" s="136"/>
      <c r="DX44" s="136"/>
      <c r="DY44" s="136"/>
      <c r="DZ44" s="136"/>
      <c r="EA44" s="136"/>
      <c r="EB44" s="136"/>
      <c r="EC44" s="136"/>
      <c r="ED44" s="136"/>
      <c r="EE44" s="136"/>
      <c r="EF44" s="136"/>
      <c r="EG44" s="136"/>
      <c r="EH44" s="136"/>
      <c r="EI44" s="136"/>
      <c r="EJ44" s="136"/>
      <c r="EK44" s="136"/>
      <c r="EL44" s="136"/>
      <c r="EM44" s="136"/>
      <c r="EN44" s="136"/>
      <c r="EO44" s="136"/>
      <c r="EP44" s="136"/>
      <c r="EQ44" s="136"/>
    </row>
    <row r="45" spans="1:147">
      <c r="A45" s="130"/>
      <c r="B45" s="134"/>
      <c r="C45" s="134" t="s">
        <v>96</v>
      </c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>
        <v>4</v>
      </c>
      <c r="BA45" s="135"/>
      <c r="BB45" s="135"/>
      <c r="BC45" s="135"/>
      <c r="BD45" s="135">
        <v>0</v>
      </c>
      <c r="BE45" s="135"/>
      <c r="BF45" s="135"/>
      <c r="BG45" s="135"/>
      <c r="BH45" s="135"/>
      <c r="BI45" s="135"/>
      <c r="BJ45" s="135"/>
      <c r="BK45" s="135"/>
      <c r="BL45" s="135"/>
      <c r="BM45" s="135"/>
      <c r="BN45" s="135"/>
      <c r="BO45" s="135"/>
      <c r="BP45" s="135"/>
      <c r="BQ45" s="135"/>
      <c r="BR45" s="135">
        <v>4</v>
      </c>
      <c r="BS45" s="135"/>
      <c r="BT45" s="135"/>
      <c r="BU45" s="135"/>
      <c r="BV45" s="135">
        <v>0</v>
      </c>
      <c r="BW45" s="135"/>
      <c r="BX45" s="135"/>
      <c r="BY45" s="135"/>
      <c r="BZ45" s="135"/>
      <c r="CA45" s="135"/>
      <c r="CB45" s="135"/>
      <c r="CC45" s="135"/>
      <c r="CD45" s="135"/>
      <c r="CE45" s="135"/>
      <c r="CF45" s="135"/>
      <c r="CG45" s="135"/>
      <c r="CH45" s="135"/>
      <c r="CI45" s="135"/>
      <c r="CJ45" s="135"/>
      <c r="CK45" s="135"/>
      <c r="CL45" s="135"/>
      <c r="CM45" s="135"/>
      <c r="CN45" s="135"/>
      <c r="CO45" s="135"/>
      <c r="CP45" s="135"/>
      <c r="CQ45" s="135"/>
      <c r="CR45" s="135"/>
      <c r="CS45" s="135"/>
      <c r="CT45" s="135"/>
      <c r="CU45" s="135"/>
      <c r="CV45" s="135">
        <v>4</v>
      </c>
      <c r="CW45" s="135"/>
      <c r="CX45" s="135"/>
      <c r="CY45" s="135"/>
      <c r="CZ45" s="135">
        <v>0</v>
      </c>
      <c r="DA45" s="135"/>
      <c r="DB45" s="135">
        <v>4</v>
      </c>
      <c r="DC45" s="135"/>
      <c r="DD45" s="135"/>
      <c r="DE45" s="135"/>
      <c r="DF45" s="135">
        <v>0</v>
      </c>
      <c r="DG45" s="135"/>
      <c r="DH45" s="136"/>
      <c r="DI45" s="136"/>
      <c r="DJ45" s="136"/>
      <c r="DK45" s="136"/>
      <c r="DL45" s="136"/>
      <c r="DM45" s="136"/>
      <c r="DN45" s="136"/>
      <c r="DO45" s="136"/>
      <c r="DP45" s="136"/>
      <c r="DQ45" s="136"/>
      <c r="DR45" s="136"/>
      <c r="DS45" s="136"/>
      <c r="DT45" s="136"/>
      <c r="DU45" s="136"/>
      <c r="DV45" s="136"/>
      <c r="DW45" s="136"/>
      <c r="DX45" s="136"/>
      <c r="DY45" s="136"/>
      <c r="DZ45" s="136"/>
      <c r="EA45" s="136"/>
      <c r="EB45" s="136"/>
      <c r="EC45" s="136"/>
      <c r="ED45" s="136"/>
      <c r="EE45" s="136"/>
      <c r="EF45" s="136"/>
      <c r="EG45" s="136"/>
      <c r="EH45" s="136"/>
      <c r="EI45" s="136"/>
      <c r="EJ45" s="136"/>
      <c r="EK45" s="136"/>
      <c r="EL45" s="136"/>
      <c r="EM45" s="136"/>
      <c r="EN45" s="136"/>
      <c r="EO45" s="136"/>
      <c r="EP45" s="136"/>
      <c r="EQ45" s="136"/>
    </row>
    <row r="46" spans="1:147">
      <c r="A46" s="130"/>
      <c r="B46" s="134"/>
      <c r="C46" s="134" t="s">
        <v>98</v>
      </c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>
        <v>4</v>
      </c>
      <c r="BA46" s="135"/>
      <c r="BB46" s="135"/>
      <c r="BC46" s="135"/>
      <c r="BD46" s="135">
        <v>0</v>
      </c>
      <c r="BE46" s="135"/>
      <c r="BF46" s="135"/>
      <c r="BG46" s="135"/>
      <c r="BH46" s="135"/>
      <c r="BI46" s="135"/>
      <c r="BJ46" s="135"/>
      <c r="BK46" s="135"/>
      <c r="BL46" s="135"/>
      <c r="BM46" s="135"/>
      <c r="BN46" s="135"/>
      <c r="BO46" s="135"/>
      <c r="BP46" s="135"/>
      <c r="BQ46" s="135"/>
      <c r="BR46" s="135">
        <v>4</v>
      </c>
      <c r="BS46" s="135"/>
      <c r="BT46" s="135"/>
      <c r="BU46" s="135"/>
      <c r="BV46" s="135">
        <v>0</v>
      </c>
      <c r="BW46" s="135"/>
      <c r="BX46" s="135"/>
      <c r="BY46" s="135"/>
      <c r="BZ46" s="135"/>
      <c r="CA46" s="135"/>
      <c r="CB46" s="135"/>
      <c r="CC46" s="135"/>
      <c r="CD46" s="135"/>
      <c r="CE46" s="135"/>
      <c r="CF46" s="135"/>
      <c r="CG46" s="135"/>
      <c r="CH46" s="135"/>
      <c r="CI46" s="135"/>
      <c r="CJ46" s="135"/>
      <c r="CK46" s="135"/>
      <c r="CL46" s="135"/>
      <c r="CM46" s="135"/>
      <c r="CN46" s="135"/>
      <c r="CO46" s="135"/>
      <c r="CP46" s="135"/>
      <c r="CQ46" s="135"/>
      <c r="CR46" s="135"/>
      <c r="CS46" s="135"/>
      <c r="CT46" s="135"/>
      <c r="CU46" s="135"/>
      <c r="CV46" s="135">
        <v>4</v>
      </c>
      <c r="CW46" s="135"/>
      <c r="CX46" s="135"/>
      <c r="CY46" s="135"/>
      <c r="CZ46" s="135">
        <v>0</v>
      </c>
      <c r="DA46" s="135"/>
      <c r="DB46" s="135">
        <v>4</v>
      </c>
      <c r="DC46" s="135"/>
      <c r="DD46" s="135"/>
      <c r="DE46" s="135"/>
      <c r="DF46" s="135">
        <v>0</v>
      </c>
      <c r="DG46" s="135"/>
      <c r="DH46" s="136"/>
      <c r="DI46" s="136"/>
      <c r="DJ46" s="136"/>
      <c r="DK46" s="136"/>
      <c r="DL46" s="136"/>
      <c r="DM46" s="136"/>
      <c r="DN46" s="136"/>
      <c r="DO46" s="136"/>
      <c r="DP46" s="136"/>
      <c r="DQ46" s="136"/>
      <c r="DR46" s="136"/>
      <c r="DS46" s="136"/>
      <c r="DT46" s="136"/>
      <c r="DU46" s="136"/>
      <c r="DV46" s="136"/>
      <c r="DW46" s="136"/>
      <c r="DX46" s="136"/>
      <c r="DY46" s="136"/>
      <c r="DZ46" s="136"/>
      <c r="EA46" s="136"/>
      <c r="EB46" s="136"/>
      <c r="EC46" s="136"/>
      <c r="ED46" s="136"/>
      <c r="EE46" s="136"/>
      <c r="EF46" s="136"/>
      <c r="EG46" s="136"/>
      <c r="EH46" s="136"/>
      <c r="EI46" s="136"/>
      <c r="EJ46" s="136"/>
      <c r="EK46" s="136"/>
      <c r="EL46" s="136"/>
      <c r="EM46" s="136"/>
      <c r="EN46" s="136"/>
      <c r="EO46" s="136"/>
      <c r="EP46" s="136"/>
      <c r="EQ46" s="136"/>
    </row>
    <row r="47" spans="1:147">
      <c r="A47" s="130"/>
      <c r="B47" s="134"/>
      <c r="C47" s="134" t="s">
        <v>100</v>
      </c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>
        <v>4</v>
      </c>
      <c r="BA47" s="135"/>
      <c r="BB47" s="135"/>
      <c r="BC47" s="135"/>
      <c r="BD47" s="135">
        <v>0</v>
      </c>
      <c r="BE47" s="135"/>
      <c r="BF47" s="135"/>
      <c r="BG47" s="135"/>
      <c r="BH47" s="135"/>
      <c r="BI47" s="135"/>
      <c r="BJ47" s="135"/>
      <c r="BK47" s="135"/>
      <c r="BL47" s="135"/>
      <c r="BM47" s="135"/>
      <c r="BN47" s="135"/>
      <c r="BO47" s="135"/>
      <c r="BP47" s="135"/>
      <c r="BQ47" s="135"/>
      <c r="BR47" s="135">
        <v>4</v>
      </c>
      <c r="BS47" s="135"/>
      <c r="BT47" s="135"/>
      <c r="BU47" s="135"/>
      <c r="BV47" s="135">
        <v>0</v>
      </c>
      <c r="BW47" s="135"/>
      <c r="BX47" s="135"/>
      <c r="BY47" s="135"/>
      <c r="BZ47" s="135"/>
      <c r="CA47" s="135"/>
      <c r="CB47" s="135"/>
      <c r="CC47" s="135"/>
      <c r="CD47" s="135"/>
      <c r="CE47" s="135"/>
      <c r="CF47" s="135"/>
      <c r="CG47" s="135"/>
      <c r="CH47" s="135"/>
      <c r="CI47" s="135"/>
      <c r="CJ47" s="135"/>
      <c r="CK47" s="135"/>
      <c r="CL47" s="135"/>
      <c r="CM47" s="135"/>
      <c r="CN47" s="135"/>
      <c r="CO47" s="135"/>
      <c r="CP47" s="135"/>
      <c r="CQ47" s="135"/>
      <c r="CR47" s="135"/>
      <c r="CS47" s="135"/>
      <c r="CT47" s="135"/>
      <c r="CU47" s="135"/>
      <c r="CV47" s="135">
        <v>4</v>
      </c>
      <c r="CW47" s="135"/>
      <c r="CX47" s="135"/>
      <c r="CY47" s="135"/>
      <c r="CZ47" s="135">
        <v>0</v>
      </c>
      <c r="DA47" s="135"/>
      <c r="DB47" s="135">
        <v>4</v>
      </c>
      <c r="DC47" s="135"/>
      <c r="DD47" s="135"/>
      <c r="DE47" s="135"/>
      <c r="DF47" s="135">
        <v>0</v>
      </c>
      <c r="DG47" s="135"/>
      <c r="DH47" s="136"/>
      <c r="DI47" s="136"/>
      <c r="DJ47" s="136"/>
      <c r="DK47" s="136"/>
      <c r="DL47" s="136"/>
      <c r="DM47" s="136"/>
      <c r="DN47" s="136"/>
      <c r="DO47" s="136"/>
      <c r="DP47" s="136"/>
      <c r="DQ47" s="136"/>
      <c r="DR47" s="136"/>
      <c r="DS47" s="136"/>
      <c r="DT47" s="136"/>
      <c r="DU47" s="136"/>
      <c r="DV47" s="136"/>
      <c r="DW47" s="136"/>
      <c r="DX47" s="136"/>
      <c r="DY47" s="136"/>
      <c r="DZ47" s="136"/>
      <c r="EA47" s="136"/>
      <c r="EB47" s="136"/>
      <c r="EC47" s="136"/>
      <c r="ED47" s="136"/>
      <c r="EE47" s="136"/>
      <c r="EF47" s="136"/>
      <c r="EG47" s="136"/>
      <c r="EH47" s="136"/>
      <c r="EI47" s="136"/>
      <c r="EJ47" s="136"/>
      <c r="EK47" s="136"/>
      <c r="EL47" s="136"/>
      <c r="EM47" s="136"/>
      <c r="EN47" s="136"/>
      <c r="EO47" s="136"/>
      <c r="EP47" s="136"/>
      <c r="EQ47" s="136"/>
    </row>
    <row r="48" spans="1:147">
      <c r="A48" s="130"/>
      <c r="B48" s="134"/>
      <c r="C48" s="134" t="s">
        <v>102</v>
      </c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5"/>
      <c r="BC48" s="135"/>
      <c r="BD48" s="135"/>
      <c r="BE48" s="135"/>
      <c r="BF48" s="135">
        <v>1</v>
      </c>
      <c r="BG48" s="135"/>
      <c r="BH48" s="135"/>
      <c r="BI48" s="135"/>
      <c r="BJ48" s="135">
        <v>0</v>
      </c>
      <c r="BK48" s="135"/>
      <c r="BL48" s="135"/>
      <c r="BM48" s="135"/>
      <c r="BN48" s="135"/>
      <c r="BO48" s="135"/>
      <c r="BP48" s="135"/>
      <c r="BQ48" s="135"/>
      <c r="BR48" s="135">
        <v>1</v>
      </c>
      <c r="BS48" s="135"/>
      <c r="BT48" s="135"/>
      <c r="BU48" s="135"/>
      <c r="BV48" s="135">
        <v>0</v>
      </c>
      <c r="BW48" s="135"/>
      <c r="BX48" s="135"/>
      <c r="BY48" s="135"/>
      <c r="BZ48" s="135"/>
      <c r="CA48" s="135"/>
      <c r="CB48" s="135"/>
      <c r="CC48" s="135"/>
      <c r="CD48" s="135"/>
      <c r="CE48" s="135"/>
      <c r="CF48" s="135"/>
      <c r="CG48" s="135"/>
      <c r="CH48" s="135"/>
      <c r="CI48" s="135"/>
      <c r="CJ48" s="135"/>
      <c r="CK48" s="135"/>
      <c r="CL48" s="135"/>
      <c r="CM48" s="135"/>
      <c r="CN48" s="135"/>
      <c r="CO48" s="135"/>
      <c r="CP48" s="135"/>
      <c r="CQ48" s="135"/>
      <c r="CR48" s="135"/>
      <c r="CS48" s="135"/>
      <c r="CT48" s="135"/>
      <c r="CU48" s="135"/>
      <c r="CV48" s="135">
        <v>1</v>
      </c>
      <c r="CW48" s="135"/>
      <c r="CX48" s="135"/>
      <c r="CY48" s="135"/>
      <c r="CZ48" s="135">
        <v>0</v>
      </c>
      <c r="DA48" s="135"/>
      <c r="DB48" s="135">
        <v>1</v>
      </c>
      <c r="DC48" s="135"/>
      <c r="DD48" s="135"/>
      <c r="DE48" s="135"/>
      <c r="DF48" s="135">
        <v>0</v>
      </c>
      <c r="DG48" s="135"/>
      <c r="DH48" s="136"/>
      <c r="DI48" s="136"/>
      <c r="DJ48" s="136"/>
      <c r="DK48" s="136"/>
      <c r="DL48" s="136"/>
      <c r="DM48" s="136"/>
      <c r="DN48" s="136"/>
      <c r="DO48" s="136"/>
      <c r="DP48" s="136"/>
      <c r="DQ48" s="136"/>
      <c r="DR48" s="136"/>
      <c r="DS48" s="136"/>
      <c r="DT48" s="136"/>
      <c r="DU48" s="136"/>
      <c r="DV48" s="136"/>
      <c r="DW48" s="136"/>
      <c r="DX48" s="136"/>
      <c r="DY48" s="136"/>
      <c r="DZ48" s="136"/>
      <c r="EA48" s="136"/>
      <c r="EB48" s="136"/>
      <c r="EC48" s="136"/>
      <c r="ED48" s="136"/>
      <c r="EE48" s="136"/>
      <c r="EF48" s="136"/>
      <c r="EG48" s="136"/>
      <c r="EH48" s="136"/>
      <c r="EI48" s="136"/>
      <c r="EJ48" s="136"/>
      <c r="EK48" s="136"/>
      <c r="EL48" s="136"/>
      <c r="EM48" s="136"/>
      <c r="EN48" s="136"/>
      <c r="EO48" s="136"/>
      <c r="EP48" s="136"/>
      <c r="EQ48" s="136"/>
    </row>
    <row r="49" ht="31.5" spans="1:147">
      <c r="A49" s="130"/>
      <c r="B49" s="134"/>
      <c r="C49" s="134" t="s">
        <v>104</v>
      </c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5"/>
      <c r="BC49" s="135"/>
      <c r="BD49" s="135"/>
      <c r="BE49" s="135"/>
      <c r="BF49" s="135"/>
      <c r="BG49" s="135"/>
      <c r="BH49" s="135"/>
      <c r="BI49" s="135"/>
      <c r="BJ49" s="135"/>
      <c r="BK49" s="135"/>
      <c r="BL49" s="135"/>
      <c r="BM49" s="135"/>
      <c r="BN49" s="135"/>
      <c r="BO49" s="135"/>
      <c r="BP49" s="135"/>
      <c r="BQ49" s="135"/>
      <c r="BR49" s="135"/>
      <c r="BS49" s="135"/>
      <c r="BT49" s="135"/>
      <c r="BU49" s="135"/>
      <c r="BV49" s="135"/>
      <c r="BW49" s="135"/>
      <c r="BX49" s="135">
        <v>1</v>
      </c>
      <c r="BY49" s="135"/>
      <c r="BZ49" s="135"/>
      <c r="CA49" s="135"/>
      <c r="CB49" s="135">
        <v>0</v>
      </c>
      <c r="CC49" s="135"/>
      <c r="CD49" s="135"/>
      <c r="CE49" s="135"/>
      <c r="CF49" s="135"/>
      <c r="CG49" s="135"/>
      <c r="CH49" s="135"/>
      <c r="CI49" s="135"/>
      <c r="CJ49" s="135"/>
      <c r="CK49" s="135"/>
      <c r="CL49" s="135"/>
      <c r="CM49" s="135"/>
      <c r="CN49" s="135"/>
      <c r="CO49" s="135"/>
      <c r="CP49" s="135">
        <v>1</v>
      </c>
      <c r="CQ49" s="135"/>
      <c r="CR49" s="135"/>
      <c r="CS49" s="135"/>
      <c r="CT49" s="135">
        <v>0</v>
      </c>
      <c r="CU49" s="135"/>
      <c r="CV49" s="135">
        <v>1</v>
      </c>
      <c r="CW49" s="135"/>
      <c r="CX49" s="135"/>
      <c r="CY49" s="135"/>
      <c r="CZ49" s="135">
        <v>0</v>
      </c>
      <c r="DA49" s="135"/>
      <c r="DB49" s="135">
        <v>1</v>
      </c>
      <c r="DC49" s="135"/>
      <c r="DD49" s="135"/>
      <c r="DE49" s="135"/>
      <c r="DF49" s="135">
        <v>0</v>
      </c>
      <c r="DG49" s="135"/>
      <c r="DH49" s="136"/>
      <c r="DI49" s="136"/>
      <c r="DJ49" s="136"/>
      <c r="DK49" s="136"/>
      <c r="DL49" s="136"/>
      <c r="DM49" s="136"/>
      <c r="DN49" s="136"/>
      <c r="DO49" s="136"/>
      <c r="DP49" s="136"/>
      <c r="DQ49" s="136"/>
      <c r="DR49" s="136"/>
      <c r="DS49" s="136"/>
      <c r="DT49" s="136"/>
      <c r="DU49" s="136"/>
      <c r="DV49" s="136"/>
      <c r="DW49" s="136"/>
      <c r="DX49" s="136"/>
      <c r="DY49" s="136"/>
      <c r="DZ49" s="136"/>
      <c r="EA49" s="136"/>
      <c r="EB49" s="136"/>
      <c r="EC49" s="136"/>
      <c r="ED49" s="136"/>
      <c r="EE49" s="136"/>
      <c r="EF49" s="136"/>
      <c r="EG49" s="136"/>
      <c r="EH49" s="136"/>
      <c r="EI49" s="136"/>
      <c r="EJ49" s="136"/>
      <c r="EK49" s="136"/>
      <c r="EL49" s="136"/>
      <c r="EM49" s="136"/>
      <c r="EN49" s="136"/>
      <c r="EO49" s="136"/>
      <c r="EP49" s="136"/>
      <c r="EQ49" s="136"/>
    </row>
    <row r="50" spans="1:147">
      <c r="A50" s="130" t="s">
        <v>105</v>
      </c>
      <c r="B50" s="134"/>
      <c r="C50" s="134"/>
      <c r="D50" s="135"/>
      <c r="E50" s="135"/>
      <c r="F50" s="135"/>
      <c r="G50" s="135"/>
      <c r="H50" s="135"/>
      <c r="I50" s="135"/>
      <c r="J50" s="135">
        <v>206</v>
      </c>
      <c r="K50" s="135">
        <v>48</v>
      </c>
      <c r="L50" s="135">
        <v>12</v>
      </c>
      <c r="M50" s="135"/>
      <c r="N50" s="135">
        <v>60</v>
      </c>
      <c r="O50" s="135"/>
      <c r="P50" s="135">
        <v>4</v>
      </c>
      <c r="Q50" s="135">
        <v>72</v>
      </c>
      <c r="R50" s="135">
        <v>18</v>
      </c>
      <c r="S50" s="135"/>
      <c r="T50" s="135">
        <v>90</v>
      </c>
      <c r="U50" s="135"/>
      <c r="V50" s="135">
        <v>210</v>
      </c>
      <c r="W50" s="135">
        <v>120</v>
      </c>
      <c r="X50" s="135">
        <v>30</v>
      </c>
      <c r="Y50" s="135"/>
      <c r="Z50" s="135">
        <v>150</v>
      </c>
      <c r="AA50" s="135"/>
      <c r="AB50" s="135">
        <v>1007</v>
      </c>
      <c r="AC50" s="135">
        <v>72</v>
      </c>
      <c r="AD50" s="135">
        <v>78</v>
      </c>
      <c r="AE50" s="135"/>
      <c r="AF50" s="135">
        <v>150</v>
      </c>
      <c r="AG50" s="135"/>
      <c r="AH50" s="135">
        <v>1008</v>
      </c>
      <c r="AI50" s="135">
        <v>120</v>
      </c>
      <c r="AJ50" s="135">
        <v>90</v>
      </c>
      <c r="AK50" s="135"/>
      <c r="AL50" s="135">
        <v>210</v>
      </c>
      <c r="AM50" s="135"/>
      <c r="AN50" s="135">
        <v>1009</v>
      </c>
      <c r="AO50" s="135">
        <v>72</v>
      </c>
      <c r="AP50" s="135">
        <v>78</v>
      </c>
      <c r="AQ50" s="135"/>
      <c r="AR50" s="135">
        <v>150</v>
      </c>
      <c r="AS50" s="135"/>
      <c r="AT50" s="135">
        <v>3024</v>
      </c>
      <c r="AU50" s="135">
        <v>264</v>
      </c>
      <c r="AV50" s="135">
        <v>246</v>
      </c>
      <c r="AW50" s="135"/>
      <c r="AX50" s="135">
        <v>510</v>
      </c>
      <c r="AY50" s="135"/>
      <c r="AZ50" s="135">
        <v>2207</v>
      </c>
      <c r="BA50" s="135">
        <v>96</v>
      </c>
      <c r="BB50" s="135">
        <v>84</v>
      </c>
      <c r="BC50" s="135"/>
      <c r="BD50" s="135">
        <v>180</v>
      </c>
      <c r="BE50" s="135"/>
      <c r="BF50" s="135">
        <v>2004</v>
      </c>
      <c r="BG50" s="135">
        <v>78</v>
      </c>
      <c r="BH50" s="135">
        <v>12</v>
      </c>
      <c r="BI50" s="135"/>
      <c r="BJ50" s="135">
        <v>90</v>
      </c>
      <c r="BK50" s="135"/>
      <c r="BL50" s="135">
        <v>2003</v>
      </c>
      <c r="BM50" s="135">
        <v>78</v>
      </c>
      <c r="BN50" s="135">
        <v>12</v>
      </c>
      <c r="BO50" s="135"/>
      <c r="BP50" s="135">
        <v>90</v>
      </c>
      <c r="BQ50" s="135"/>
      <c r="BR50" s="135">
        <v>6214</v>
      </c>
      <c r="BS50" s="135">
        <v>252</v>
      </c>
      <c r="BT50" s="135">
        <v>108</v>
      </c>
      <c r="BU50" s="135"/>
      <c r="BV50" s="135">
        <v>360</v>
      </c>
      <c r="BW50" s="135"/>
      <c r="BX50" s="135">
        <v>1004</v>
      </c>
      <c r="BY50" s="135">
        <v>78</v>
      </c>
      <c r="BZ50" s="135">
        <v>12</v>
      </c>
      <c r="CA50" s="135"/>
      <c r="CB50" s="135">
        <v>90</v>
      </c>
      <c r="CC50" s="135"/>
      <c r="CD50" s="135">
        <v>1005</v>
      </c>
      <c r="CE50" s="135"/>
      <c r="CF50" s="135"/>
      <c r="CG50" s="135"/>
      <c r="CH50" s="135">
        <v>0</v>
      </c>
      <c r="CI50" s="135"/>
      <c r="CJ50" s="135">
        <v>185</v>
      </c>
      <c r="CK50" s="135"/>
      <c r="CL50" s="135"/>
      <c r="CM50" s="135"/>
      <c r="CN50" s="135">
        <v>0</v>
      </c>
      <c r="CO50" s="135"/>
      <c r="CP50" s="135">
        <v>2194</v>
      </c>
      <c r="CQ50" s="135">
        <v>78</v>
      </c>
      <c r="CR50" s="135">
        <v>12</v>
      </c>
      <c r="CS50" s="135"/>
      <c r="CT50" s="135">
        <v>90</v>
      </c>
      <c r="CU50" s="135"/>
      <c r="CV50" s="135">
        <v>11642</v>
      </c>
      <c r="CW50" s="135">
        <v>714</v>
      </c>
      <c r="CX50" s="135">
        <v>396</v>
      </c>
      <c r="CY50" s="135"/>
      <c r="CZ50" s="135">
        <v>1110</v>
      </c>
      <c r="DA50" s="135"/>
      <c r="DB50" s="135">
        <v>11642</v>
      </c>
      <c r="DC50" s="135">
        <v>714</v>
      </c>
      <c r="DD50" s="135">
        <v>396</v>
      </c>
      <c r="DE50" s="135"/>
      <c r="DF50" s="135">
        <v>1110</v>
      </c>
      <c r="DG50" s="135"/>
      <c r="DH50" s="136"/>
      <c r="DI50" s="136"/>
      <c r="DJ50" s="136"/>
      <c r="DK50" s="136"/>
      <c r="DL50" s="136"/>
      <c r="DM50" s="136"/>
      <c r="DN50" s="136"/>
      <c r="DO50" s="136"/>
      <c r="DP50" s="136"/>
      <c r="DQ50" s="136"/>
      <c r="DR50" s="136"/>
      <c r="DS50" s="136"/>
      <c r="DT50" s="136"/>
      <c r="DU50" s="136"/>
      <c r="DV50" s="136"/>
      <c r="DW50" s="136"/>
      <c r="DX50" s="136"/>
      <c r="DY50" s="136"/>
      <c r="DZ50" s="136"/>
      <c r="EA50" s="136"/>
      <c r="EB50" s="136"/>
      <c r="EC50" s="136"/>
      <c r="ED50" s="136"/>
      <c r="EE50" s="136"/>
      <c r="EF50" s="136"/>
      <c r="EG50" s="136"/>
      <c r="EH50" s="136"/>
      <c r="EI50" s="136"/>
      <c r="EJ50" s="136"/>
      <c r="EK50" s="136"/>
      <c r="EL50" s="136"/>
      <c r="EM50" s="136"/>
      <c r="EN50" s="136"/>
      <c r="EO50" s="136"/>
      <c r="EP50" s="136"/>
      <c r="EQ50" s="136"/>
    </row>
    <row r="51" spans="1:147">
      <c r="A51" s="130"/>
      <c r="B51" s="134" t="s">
        <v>356</v>
      </c>
      <c r="C51" s="134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5"/>
      <c r="BC51" s="135"/>
      <c r="BD51" s="135"/>
      <c r="BE51" s="135"/>
      <c r="BF51" s="135"/>
      <c r="BG51" s="135"/>
      <c r="BH51" s="135"/>
      <c r="BI51" s="135"/>
      <c r="BJ51" s="135"/>
      <c r="BK51" s="135"/>
      <c r="BL51" s="135"/>
      <c r="BM51" s="135"/>
      <c r="BN51" s="135"/>
      <c r="BO51" s="135"/>
      <c r="BP51" s="135"/>
      <c r="BQ51" s="135"/>
      <c r="BR51" s="135"/>
      <c r="BS51" s="135"/>
      <c r="BT51" s="135"/>
      <c r="BU51" s="135"/>
      <c r="BV51" s="135"/>
      <c r="BW51" s="135"/>
      <c r="BX51" s="135"/>
      <c r="BY51" s="135"/>
      <c r="BZ51" s="135"/>
      <c r="CA51" s="135"/>
      <c r="CB51" s="135"/>
      <c r="CC51" s="135"/>
      <c r="CD51" s="135"/>
      <c r="CE51" s="135"/>
      <c r="CF51" s="135"/>
      <c r="CG51" s="135"/>
      <c r="CH51" s="135"/>
      <c r="CI51" s="135"/>
      <c r="CJ51" s="135"/>
      <c r="CK51" s="135"/>
      <c r="CL51" s="135"/>
      <c r="CM51" s="135"/>
      <c r="CN51" s="135"/>
      <c r="CO51" s="135"/>
      <c r="CP51" s="135"/>
      <c r="CQ51" s="135"/>
      <c r="CR51" s="135"/>
      <c r="CS51" s="135"/>
      <c r="CT51" s="135"/>
      <c r="CU51" s="135"/>
      <c r="CV51" s="135"/>
      <c r="CW51" s="135"/>
      <c r="CX51" s="135"/>
      <c r="CY51" s="135"/>
      <c r="CZ51" s="135"/>
      <c r="DA51" s="135"/>
      <c r="DB51" s="135"/>
      <c r="DC51" s="135"/>
      <c r="DD51" s="135"/>
      <c r="DE51" s="135"/>
      <c r="DF51" s="135"/>
      <c r="DG51" s="135"/>
      <c r="DH51" s="136"/>
      <c r="DI51" s="136"/>
      <c r="DJ51" s="136"/>
      <c r="DK51" s="136"/>
      <c r="DL51" s="136"/>
      <c r="DM51" s="136"/>
      <c r="DN51" s="136"/>
      <c r="DO51" s="136"/>
      <c r="DP51" s="136"/>
      <c r="DQ51" s="136"/>
      <c r="DR51" s="136"/>
      <c r="DS51" s="136"/>
      <c r="DT51" s="136"/>
      <c r="DU51" s="136"/>
      <c r="DV51" s="136"/>
      <c r="DW51" s="136"/>
      <c r="DX51" s="136"/>
      <c r="DY51" s="136"/>
      <c r="DZ51" s="136"/>
      <c r="EA51" s="136"/>
      <c r="EB51" s="136"/>
      <c r="EC51" s="136"/>
      <c r="ED51" s="136"/>
      <c r="EE51" s="136"/>
      <c r="EF51" s="136"/>
      <c r="EG51" s="136"/>
      <c r="EH51" s="136"/>
      <c r="EI51" s="136"/>
      <c r="EJ51" s="136"/>
      <c r="EK51" s="136"/>
      <c r="EL51" s="136"/>
      <c r="EM51" s="136"/>
      <c r="EN51" s="136"/>
      <c r="EO51" s="136"/>
      <c r="EP51" s="136"/>
      <c r="EQ51" s="136"/>
    </row>
    <row r="52" ht="31.5" spans="1:147">
      <c r="A52" s="130"/>
      <c r="B52" s="134"/>
      <c r="C52" s="134" t="s">
        <v>128</v>
      </c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>
        <v>1</v>
      </c>
      <c r="AO52" s="135"/>
      <c r="AP52" s="135"/>
      <c r="AQ52" s="135"/>
      <c r="AR52" s="135">
        <v>0</v>
      </c>
      <c r="AS52" s="135"/>
      <c r="AT52" s="135">
        <v>1</v>
      </c>
      <c r="AU52" s="135"/>
      <c r="AV52" s="135"/>
      <c r="AW52" s="135"/>
      <c r="AX52" s="135">
        <v>0</v>
      </c>
      <c r="AY52" s="135"/>
      <c r="AZ52" s="135"/>
      <c r="BA52" s="135"/>
      <c r="BB52" s="135"/>
      <c r="BC52" s="135"/>
      <c r="BD52" s="135"/>
      <c r="BE52" s="135"/>
      <c r="BF52" s="135"/>
      <c r="BG52" s="135"/>
      <c r="BH52" s="135"/>
      <c r="BI52" s="135"/>
      <c r="BJ52" s="135"/>
      <c r="BK52" s="135"/>
      <c r="BL52" s="135"/>
      <c r="BM52" s="135"/>
      <c r="BN52" s="135"/>
      <c r="BO52" s="135"/>
      <c r="BP52" s="135"/>
      <c r="BQ52" s="135"/>
      <c r="BR52" s="135"/>
      <c r="BS52" s="135"/>
      <c r="BT52" s="135"/>
      <c r="BU52" s="135"/>
      <c r="BV52" s="135"/>
      <c r="BW52" s="135"/>
      <c r="BX52" s="135"/>
      <c r="BY52" s="135"/>
      <c r="BZ52" s="135"/>
      <c r="CA52" s="135"/>
      <c r="CB52" s="135"/>
      <c r="CC52" s="135"/>
      <c r="CD52" s="135"/>
      <c r="CE52" s="135"/>
      <c r="CF52" s="135"/>
      <c r="CG52" s="135"/>
      <c r="CH52" s="135"/>
      <c r="CI52" s="135"/>
      <c r="CJ52" s="135"/>
      <c r="CK52" s="135"/>
      <c r="CL52" s="135"/>
      <c r="CM52" s="135"/>
      <c r="CN52" s="135"/>
      <c r="CO52" s="135"/>
      <c r="CP52" s="135"/>
      <c r="CQ52" s="135"/>
      <c r="CR52" s="135"/>
      <c r="CS52" s="135"/>
      <c r="CT52" s="135"/>
      <c r="CU52" s="135"/>
      <c r="CV52" s="135">
        <v>1</v>
      </c>
      <c r="CW52" s="135"/>
      <c r="CX52" s="135"/>
      <c r="CY52" s="135"/>
      <c r="CZ52" s="135">
        <v>0</v>
      </c>
      <c r="DA52" s="135"/>
      <c r="DB52" s="135">
        <v>1</v>
      </c>
      <c r="DC52" s="135"/>
      <c r="DD52" s="135"/>
      <c r="DE52" s="135"/>
      <c r="DF52" s="135">
        <v>0</v>
      </c>
      <c r="DG52" s="135"/>
      <c r="DH52" s="136"/>
      <c r="DI52" s="136"/>
      <c r="DJ52" s="136"/>
      <c r="DK52" s="136"/>
      <c r="DL52" s="136"/>
      <c r="DM52" s="136"/>
      <c r="DN52" s="136"/>
      <c r="DO52" s="136"/>
      <c r="DP52" s="136"/>
      <c r="DQ52" s="136"/>
      <c r="DR52" s="136"/>
      <c r="DS52" s="136"/>
      <c r="DT52" s="136"/>
      <c r="DU52" s="136"/>
      <c r="DV52" s="136"/>
      <c r="DW52" s="136"/>
      <c r="DX52" s="136"/>
      <c r="DY52" s="136"/>
      <c r="DZ52" s="136"/>
      <c r="EA52" s="136"/>
      <c r="EB52" s="136"/>
      <c r="EC52" s="136"/>
      <c r="ED52" s="136"/>
      <c r="EE52" s="136"/>
      <c r="EF52" s="136"/>
      <c r="EG52" s="136"/>
      <c r="EH52" s="136"/>
      <c r="EI52" s="136"/>
      <c r="EJ52" s="136"/>
      <c r="EK52" s="136"/>
      <c r="EL52" s="136"/>
      <c r="EM52" s="136"/>
      <c r="EN52" s="136"/>
      <c r="EO52" s="136"/>
      <c r="EP52" s="136"/>
      <c r="EQ52" s="136"/>
    </row>
    <row r="53" spans="1:147">
      <c r="A53" s="130"/>
      <c r="B53" s="134"/>
      <c r="C53" s="134" t="s">
        <v>107</v>
      </c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>
        <v>1</v>
      </c>
      <c r="BA53" s="135"/>
      <c r="BB53" s="135"/>
      <c r="BC53" s="135"/>
      <c r="BD53" s="135">
        <v>0</v>
      </c>
      <c r="BE53" s="135"/>
      <c r="BF53" s="135"/>
      <c r="BG53" s="135"/>
      <c r="BH53" s="135"/>
      <c r="BI53" s="135"/>
      <c r="BJ53" s="135"/>
      <c r="BK53" s="135"/>
      <c r="BL53" s="135"/>
      <c r="BM53" s="135"/>
      <c r="BN53" s="135"/>
      <c r="BO53" s="135"/>
      <c r="BP53" s="135"/>
      <c r="BQ53" s="135"/>
      <c r="BR53" s="135">
        <v>1</v>
      </c>
      <c r="BS53" s="135"/>
      <c r="BT53" s="135"/>
      <c r="BU53" s="135"/>
      <c r="BV53" s="135">
        <v>0</v>
      </c>
      <c r="BW53" s="135"/>
      <c r="BX53" s="135"/>
      <c r="BY53" s="135"/>
      <c r="BZ53" s="135"/>
      <c r="CA53" s="135"/>
      <c r="CB53" s="135"/>
      <c r="CC53" s="135"/>
      <c r="CD53" s="135"/>
      <c r="CE53" s="135"/>
      <c r="CF53" s="135"/>
      <c r="CG53" s="135"/>
      <c r="CH53" s="135"/>
      <c r="CI53" s="135"/>
      <c r="CJ53" s="135"/>
      <c r="CK53" s="135"/>
      <c r="CL53" s="135"/>
      <c r="CM53" s="135"/>
      <c r="CN53" s="135"/>
      <c r="CO53" s="135"/>
      <c r="CP53" s="135"/>
      <c r="CQ53" s="135"/>
      <c r="CR53" s="135"/>
      <c r="CS53" s="135"/>
      <c r="CT53" s="135"/>
      <c r="CU53" s="135"/>
      <c r="CV53" s="135">
        <v>1</v>
      </c>
      <c r="CW53" s="135"/>
      <c r="CX53" s="135"/>
      <c r="CY53" s="135"/>
      <c r="CZ53" s="135">
        <v>0</v>
      </c>
      <c r="DA53" s="135"/>
      <c r="DB53" s="135">
        <v>1</v>
      </c>
      <c r="DC53" s="135"/>
      <c r="DD53" s="135"/>
      <c r="DE53" s="135"/>
      <c r="DF53" s="135">
        <v>0</v>
      </c>
      <c r="DG53" s="135"/>
      <c r="DH53" s="136"/>
      <c r="DI53" s="136"/>
      <c r="DJ53" s="136"/>
      <c r="DK53" s="136"/>
      <c r="DL53" s="136"/>
      <c r="DM53" s="136"/>
      <c r="DN53" s="136"/>
      <c r="DO53" s="136"/>
      <c r="DP53" s="136"/>
      <c r="DQ53" s="136"/>
      <c r="DR53" s="136"/>
      <c r="DS53" s="136"/>
      <c r="DT53" s="136"/>
      <c r="DU53" s="136"/>
      <c r="DV53" s="136"/>
      <c r="DW53" s="136"/>
      <c r="DX53" s="136"/>
      <c r="DY53" s="136"/>
      <c r="DZ53" s="136"/>
      <c r="EA53" s="136"/>
      <c r="EB53" s="136"/>
      <c r="EC53" s="136"/>
      <c r="ED53" s="136"/>
      <c r="EE53" s="136"/>
      <c r="EF53" s="136"/>
      <c r="EG53" s="136"/>
      <c r="EH53" s="136"/>
      <c r="EI53" s="136"/>
      <c r="EJ53" s="136"/>
      <c r="EK53" s="136"/>
      <c r="EL53" s="136"/>
      <c r="EM53" s="136"/>
      <c r="EN53" s="136"/>
      <c r="EO53" s="136"/>
      <c r="EP53" s="136"/>
      <c r="EQ53" s="136"/>
    </row>
    <row r="54" spans="1:147">
      <c r="A54" s="130"/>
      <c r="B54" s="134"/>
      <c r="C54" s="134" t="s">
        <v>115</v>
      </c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5"/>
      <c r="BC54" s="135"/>
      <c r="BD54" s="135"/>
      <c r="BE54" s="135"/>
      <c r="BF54" s="135"/>
      <c r="BG54" s="135"/>
      <c r="BH54" s="135"/>
      <c r="BI54" s="135"/>
      <c r="BJ54" s="135"/>
      <c r="BK54" s="135"/>
      <c r="BL54" s="135"/>
      <c r="BM54" s="135"/>
      <c r="BN54" s="135"/>
      <c r="BO54" s="135"/>
      <c r="BP54" s="135"/>
      <c r="BQ54" s="135"/>
      <c r="BR54" s="135"/>
      <c r="BS54" s="135"/>
      <c r="BT54" s="135"/>
      <c r="BU54" s="135"/>
      <c r="BV54" s="135"/>
      <c r="BW54" s="135"/>
      <c r="BX54" s="135"/>
      <c r="BY54" s="135"/>
      <c r="BZ54" s="135"/>
      <c r="CA54" s="135"/>
      <c r="CB54" s="135"/>
      <c r="CC54" s="135"/>
      <c r="CD54" s="135">
        <v>1</v>
      </c>
      <c r="CE54" s="135"/>
      <c r="CF54" s="135"/>
      <c r="CG54" s="135"/>
      <c r="CH54" s="135">
        <v>0</v>
      </c>
      <c r="CI54" s="135"/>
      <c r="CJ54" s="135"/>
      <c r="CK54" s="135"/>
      <c r="CL54" s="135"/>
      <c r="CM54" s="135"/>
      <c r="CN54" s="135"/>
      <c r="CO54" s="135"/>
      <c r="CP54" s="135">
        <v>1</v>
      </c>
      <c r="CQ54" s="135"/>
      <c r="CR54" s="135"/>
      <c r="CS54" s="135"/>
      <c r="CT54" s="135">
        <v>0</v>
      </c>
      <c r="CU54" s="135"/>
      <c r="CV54" s="135">
        <v>1</v>
      </c>
      <c r="CW54" s="135"/>
      <c r="CX54" s="135"/>
      <c r="CY54" s="135"/>
      <c r="CZ54" s="135">
        <v>0</v>
      </c>
      <c r="DA54" s="135"/>
      <c r="DB54" s="135">
        <v>1</v>
      </c>
      <c r="DC54" s="135"/>
      <c r="DD54" s="135"/>
      <c r="DE54" s="135"/>
      <c r="DF54" s="135">
        <v>0</v>
      </c>
      <c r="DG54" s="135"/>
      <c r="DH54" s="136"/>
      <c r="DI54" s="136"/>
      <c r="DJ54" s="136"/>
      <c r="DK54" s="136"/>
      <c r="DL54" s="136"/>
      <c r="DM54" s="136"/>
      <c r="DN54" s="136"/>
      <c r="DO54" s="136"/>
      <c r="DP54" s="136"/>
      <c r="DQ54" s="136"/>
      <c r="DR54" s="136"/>
      <c r="DS54" s="136"/>
      <c r="DT54" s="136"/>
      <c r="DU54" s="136"/>
      <c r="DV54" s="136"/>
      <c r="DW54" s="136"/>
      <c r="DX54" s="136"/>
      <c r="DY54" s="136"/>
      <c r="DZ54" s="136"/>
      <c r="EA54" s="136"/>
      <c r="EB54" s="136"/>
      <c r="EC54" s="136"/>
      <c r="ED54" s="136"/>
      <c r="EE54" s="136"/>
      <c r="EF54" s="136"/>
      <c r="EG54" s="136"/>
      <c r="EH54" s="136"/>
      <c r="EI54" s="136"/>
      <c r="EJ54" s="136"/>
      <c r="EK54" s="136"/>
      <c r="EL54" s="136"/>
      <c r="EM54" s="136"/>
      <c r="EN54" s="136"/>
      <c r="EO54" s="136"/>
      <c r="EP54" s="136"/>
      <c r="EQ54" s="136"/>
    </row>
    <row r="55" spans="1:147">
      <c r="A55" s="130"/>
      <c r="B55" s="134"/>
      <c r="C55" s="134" t="s">
        <v>119</v>
      </c>
      <c r="D55" s="135"/>
      <c r="E55" s="135"/>
      <c r="F55" s="135"/>
      <c r="G55" s="135"/>
      <c r="H55" s="135"/>
      <c r="I55" s="135"/>
      <c r="J55" s="135">
        <v>1</v>
      </c>
      <c r="K55" s="135"/>
      <c r="L55" s="135"/>
      <c r="M55" s="135"/>
      <c r="N55" s="135">
        <v>0</v>
      </c>
      <c r="O55" s="135"/>
      <c r="P55" s="135"/>
      <c r="Q55" s="135"/>
      <c r="R55" s="135"/>
      <c r="S55" s="135"/>
      <c r="T55" s="135"/>
      <c r="U55" s="135"/>
      <c r="V55" s="135">
        <v>1</v>
      </c>
      <c r="W55" s="135"/>
      <c r="X55" s="135"/>
      <c r="Y55" s="135"/>
      <c r="Z55" s="135">
        <v>0</v>
      </c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5"/>
      <c r="BC55" s="135"/>
      <c r="BD55" s="135"/>
      <c r="BE55" s="135"/>
      <c r="BF55" s="135"/>
      <c r="BG55" s="135"/>
      <c r="BH55" s="135"/>
      <c r="BI55" s="135"/>
      <c r="BJ55" s="135"/>
      <c r="BK55" s="135"/>
      <c r="BL55" s="135"/>
      <c r="BM55" s="135"/>
      <c r="BN55" s="135"/>
      <c r="BO55" s="135"/>
      <c r="BP55" s="135"/>
      <c r="BQ55" s="135"/>
      <c r="BR55" s="135"/>
      <c r="BS55" s="135"/>
      <c r="BT55" s="135"/>
      <c r="BU55" s="135"/>
      <c r="BV55" s="135"/>
      <c r="BW55" s="135"/>
      <c r="BX55" s="135"/>
      <c r="BY55" s="135"/>
      <c r="BZ55" s="135"/>
      <c r="CA55" s="135"/>
      <c r="CB55" s="135"/>
      <c r="CC55" s="135"/>
      <c r="CD55" s="135"/>
      <c r="CE55" s="135"/>
      <c r="CF55" s="135"/>
      <c r="CG55" s="135"/>
      <c r="CH55" s="135"/>
      <c r="CI55" s="135"/>
      <c r="CJ55" s="135"/>
      <c r="CK55" s="135"/>
      <c r="CL55" s="135"/>
      <c r="CM55" s="135"/>
      <c r="CN55" s="135"/>
      <c r="CO55" s="135"/>
      <c r="CP55" s="135"/>
      <c r="CQ55" s="135"/>
      <c r="CR55" s="135"/>
      <c r="CS55" s="135"/>
      <c r="CT55" s="135"/>
      <c r="CU55" s="135"/>
      <c r="CV55" s="135">
        <v>1</v>
      </c>
      <c r="CW55" s="135"/>
      <c r="CX55" s="135"/>
      <c r="CY55" s="135"/>
      <c r="CZ55" s="135">
        <v>0</v>
      </c>
      <c r="DA55" s="135"/>
      <c r="DB55" s="135">
        <v>1</v>
      </c>
      <c r="DC55" s="135"/>
      <c r="DD55" s="135"/>
      <c r="DE55" s="135"/>
      <c r="DF55" s="135">
        <v>0</v>
      </c>
      <c r="DG55" s="135"/>
      <c r="DH55" s="136"/>
      <c r="DI55" s="136"/>
      <c r="DJ55" s="136"/>
      <c r="DK55" s="136"/>
      <c r="DL55" s="136"/>
      <c r="DM55" s="136"/>
      <c r="DN55" s="136"/>
      <c r="DO55" s="136"/>
      <c r="DP55" s="136"/>
      <c r="DQ55" s="136"/>
      <c r="DR55" s="136"/>
      <c r="DS55" s="136"/>
      <c r="DT55" s="136"/>
      <c r="DU55" s="136"/>
      <c r="DV55" s="136"/>
      <c r="DW55" s="136"/>
      <c r="DX55" s="136"/>
      <c r="DY55" s="136"/>
      <c r="DZ55" s="136"/>
      <c r="EA55" s="136"/>
      <c r="EB55" s="136"/>
      <c r="EC55" s="136"/>
      <c r="ED55" s="136"/>
      <c r="EE55" s="136"/>
      <c r="EF55" s="136"/>
      <c r="EG55" s="136"/>
      <c r="EH55" s="136"/>
      <c r="EI55" s="136"/>
      <c r="EJ55" s="136"/>
      <c r="EK55" s="136"/>
      <c r="EL55" s="136"/>
      <c r="EM55" s="136"/>
      <c r="EN55" s="136"/>
      <c r="EO55" s="136"/>
      <c r="EP55" s="136"/>
      <c r="EQ55" s="136"/>
    </row>
    <row r="56" spans="1:147">
      <c r="A56" s="130"/>
      <c r="B56" s="134" t="s">
        <v>357</v>
      </c>
      <c r="C56" s="134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5"/>
      <c r="BC56" s="135"/>
      <c r="BD56" s="135"/>
      <c r="BE56" s="135"/>
      <c r="BF56" s="135"/>
      <c r="BG56" s="135"/>
      <c r="BH56" s="135"/>
      <c r="BI56" s="135"/>
      <c r="BJ56" s="135"/>
      <c r="BK56" s="135"/>
      <c r="BL56" s="135"/>
      <c r="BM56" s="135"/>
      <c r="BN56" s="135"/>
      <c r="BO56" s="135"/>
      <c r="BP56" s="135"/>
      <c r="BQ56" s="135"/>
      <c r="BR56" s="135"/>
      <c r="BS56" s="135"/>
      <c r="BT56" s="135"/>
      <c r="BU56" s="135"/>
      <c r="BV56" s="135"/>
      <c r="BW56" s="135"/>
      <c r="BX56" s="135"/>
      <c r="BY56" s="135"/>
      <c r="BZ56" s="135"/>
      <c r="CA56" s="135"/>
      <c r="CB56" s="135"/>
      <c r="CC56" s="135"/>
      <c r="CD56" s="135"/>
      <c r="CE56" s="135"/>
      <c r="CF56" s="135"/>
      <c r="CG56" s="135"/>
      <c r="CH56" s="135"/>
      <c r="CI56" s="135"/>
      <c r="CJ56" s="135"/>
      <c r="CK56" s="135"/>
      <c r="CL56" s="135"/>
      <c r="CM56" s="135"/>
      <c r="CN56" s="135"/>
      <c r="CO56" s="135"/>
      <c r="CP56" s="135"/>
      <c r="CQ56" s="135"/>
      <c r="CR56" s="135"/>
      <c r="CS56" s="135"/>
      <c r="CT56" s="135"/>
      <c r="CU56" s="135"/>
      <c r="CV56" s="135"/>
      <c r="CW56" s="135"/>
      <c r="CX56" s="135"/>
      <c r="CY56" s="135"/>
      <c r="CZ56" s="135"/>
      <c r="DA56" s="135"/>
      <c r="DB56" s="135"/>
      <c r="DC56" s="135"/>
      <c r="DD56" s="135"/>
      <c r="DE56" s="135"/>
      <c r="DF56" s="135"/>
      <c r="DG56" s="135"/>
      <c r="DH56" s="136"/>
      <c r="DI56" s="136"/>
      <c r="DJ56" s="136"/>
      <c r="DK56" s="136"/>
      <c r="DL56" s="136"/>
      <c r="DM56" s="136"/>
      <c r="DN56" s="136"/>
      <c r="DO56" s="136"/>
      <c r="DP56" s="136"/>
      <c r="DQ56" s="136"/>
      <c r="DR56" s="136"/>
      <c r="DS56" s="136"/>
      <c r="DT56" s="136"/>
      <c r="DU56" s="136"/>
      <c r="DV56" s="136"/>
      <c r="DW56" s="136"/>
      <c r="DX56" s="136"/>
      <c r="DY56" s="136"/>
      <c r="DZ56" s="136"/>
      <c r="EA56" s="136"/>
      <c r="EB56" s="136"/>
      <c r="EC56" s="136"/>
      <c r="ED56" s="136"/>
      <c r="EE56" s="136"/>
      <c r="EF56" s="136"/>
      <c r="EG56" s="136"/>
      <c r="EH56" s="136"/>
      <c r="EI56" s="136"/>
      <c r="EJ56" s="136"/>
      <c r="EK56" s="136"/>
      <c r="EL56" s="136"/>
      <c r="EM56" s="136"/>
      <c r="EN56" s="136"/>
      <c r="EO56" s="136"/>
      <c r="EP56" s="136"/>
      <c r="EQ56" s="136"/>
    </row>
    <row r="57" spans="1:147">
      <c r="A57" s="130"/>
      <c r="B57" s="134"/>
      <c r="C57" s="134" t="s">
        <v>133</v>
      </c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>
        <v>1</v>
      </c>
      <c r="AO57" s="135"/>
      <c r="AP57" s="135"/>
      <c r="AQ57" s="135"/>
      <c r="AR57" s="135">
        <v>0</v>
      </c>
      <c r="AS57" s="135"/>
      <c r="AT57" s="135">
        <v>1</v>
      </c>
      <c r="AU57" s="135"/>
      <c r="AV57" s="135"/>
      <c r="AW57" s="135"/>
      <c r="AX57" s="135">
        <v>0</v>
      </c>
      <c r="AY57" s="135"/>
      <c r="AZ57" s="135"/>
      <c r="BA57" s="135"/>
      <c r="BB57" s="135"/>
      <c r="BC57" s="135"/>
      <c r="BD57" s="135"/>
      <c r="BE57" s="135"/>
      <c r="BF57" s="135"/>
      <c r="BG57" s="135"/>
      <c r="BH57" s="135"/>
      <c r="BI57" s="135"/>
      <c r="BJ57" s="135"/>
      <c r="BK57" s="135"/>
      <c r="BL57" s="135"/>
      <c r="BM57" s="135"/>
      <c r="BN57" s="135"/>
      <c r="BO57" s="135"/>
      <c r="BP57" s="135"/>
      <c r="BQ57" s="135"/>
      <c r="BR57" s="135"/>
      <c r="BS57" s="135"/>
      <c r="BT57" s="135"/>
      <c r="BU57" s="135"/>
      <c r="BV57" s="135"/>
      <c r="BW57" s="135"/>
      <c r="BX57" s="135"/>
      <c r="BY57" s="135"/>
      <c r="BZ57" s="135"/>
      <c r="CA57" s="135"/>
      <c r="CB57" s="135"/>
      <c r="CC57" s="135"/>
      <c r="CD57" s="135"/>
      <c r="CE57" s="135"/>
      <c r="CF57" s="135"/>
      <c r="CG57" s="135"/>
      <c r="CH57" s="135"/>
      <c r="CI57" s="135"/>
      <c r="CJ57" s="135"/>
      <c r="CK57" s="135"/>
      <c r="CL57" s="135"/>
      <c r="CM57" s="135"/>
      <c r="CN57" s="135"/>
      <c r="CO57" s="135"/>
      <c r="CP57" s="135"/>
      <c r="CQ57" s="135"/>
      <c r="CR57" s="135"/>
      <c r="CS57" s="135"/>
      <c r="CT57" s="135"/>
      <c r="CU57" s="135"/>
      <c r="CV57" s="135">
        <v>1</v>
      </c>
      <c r="CW57" s="135"/>
      <c r="CX57" s="135"/>
      <c r="CY57" s="135"/>
      <c r="CZ57" s="135">
        <v>0</v>
      </c>
      <c r="DA57" s="135"/>
      <c r="DB57" s="135">
        <v>1</v>
      </c>
      <c r="DC57" s="135"/>
      <c r="DD57" s="135"/>
      <c r="DE57" s="135"/>
      <c r="DF57" s="135">
        <v>0</v>
      </c>
      <c r="DG57" s="135"/>
      <c r="DH57" s="136"/>
      <c r="DI57" s="136"/>
      <c r="DJ57" s="136"/>
      <c r="DK57" s="136"/>
      <c r="DL57" s="136"/>
      <c r="DM57" s="136"/>
      <c r="DN57" s="136"/>
      <c r="DO57" s="136"/>
      <c r="DP57" s="136"/>
      <c r="DQ57" s="136"/>
      <c r="DR57" s="136"/>
      <c r="DS57" s="136"/>
      <c r="DT57" s="136"/>
      <c r="DU57" s="136"/>
      <c r="DV57" s="136"/>
      <c r="DW57" s="136"/>
      <c r="DX57" s="136"/>
      <c r="DY57" s="136"/>
      <c r="DZ57" s="136"/>
      <c r="EA57" s="136"/>
      <c r="EB57" s="136"/>
      <c r="EC57" s="136"/>
      <c r="ED57" s="136"/>
      <c r="EE57" s="136"/>
      <c r="EF57" s="136"/>
      <c r="EG57" s="136"/>
      <c r="EH57" s="136"/>
      <c r="EI57" s="136"/>
      <c r="EJ57" s="136"/>
      <c r="EK57" s="136"/>
      <c r="EL57" s="136"/>
      <c r="EM57" s="136"/>
      <c r="EN57" s="136"/>
      <c r="EO57" s="136"/>
      <c r="EP57" s="136"/>
      <c r="EQ57" s="136"/>
    </row>
    <row r="58" spans="1:147">
      <c r="A58" s="130"/>
      <c r="B58" s="134"/>
      <c r="C58" s="134" t="s">
        <v>117</v>
      </c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5"/>
      <c r="AN58" s="135"/>
      <c r="AO58" s="135"/>
      <c r="AP58" s="135"/>
      <c r="AQ58" s="135"/>
      <c r="AR58" s="135"/>
      <c r="AS58" s="135"/>
      <c r="AT58" s="135"/>
      <c r="AU58" s="135"/>
      <c r="AV58" s="135"/>
      <c r="AW58" s="135"/>
      <c r="AX58" s="135"/>
      <c r="AY58" s="135"/>
      <c r="AZ58" s="135"/>
      <c r="BA58" s="135"/>
      <c r="BB58" s="135"/>
      <c r="BC58" s="135"/>
      <c r="BD58" s="135"/>
      <c r="BE58" s="135"/>
      <c r="BF58" s="135"/>
      <c r="BG58" s="135"/>
      <c r="BH58" s="135"/>
      <c r="BI58" s="135"/>
      <c r="BJ58" s="135"/>
      <c r="BK58" s="135"/>
      <c r="BL58" s="135"/>
      <c r="BM58" s="135"/>
      <c r="BN58" s="135"/>
      <c r="BO58" s="135"/>
      <c r="BP58" s="135"/>
      <c r="BQ58" s="135"/>
      <c r="BR58" s="135"/>
      <c r="BS58" s="135"/>
      <c r="BT58" s="135"/>
      <c r="BU58" s="135"/>
      <c r="BV58" s="135"/>
      <c r="BW58" s="135"/>
      <c r="BX58" s="135"/>
      <c r="BY58" s="135"/>
      <c r="BZ58" s="135"/>
      <c r="CA58" s="135"/>
      <c r="CB58" s="135"/>
      <c r="CC58" s="135"/>
      <c r="CD58" s="135">
        <v>4</v>
      </c>
      <c r="CE58" s="135"/>
      <c r="CF58" s="135"/>
      <c r="CG58" s="135"/>
      <c r="CH58" s="135">
        <v>0</v>
      </c>
      <c r="CI58" s="135"/>
      <c r="CJ58" s="135"/>
      <c r="CK58" s="135"/>
      <c r="CL58" s="135"/>
      <c r="CM58" s="135"/>
      <c r="CN58" s="135"/>
      <c r="CO58" s="135"/>
      <c r="CP58" s="135">
        <v>4</v>
      </c>
      <c r="CQ58" s="135"/>
      <c r="CR58" s="135"/>
      <c r="CS58" s="135"/>
      <c r="CT58" s="135">
        <v>0</v>
      </c>
      <c r="CU58" s="135"/>
      <c r="CV58" s="135">
        <v>4</v>
      </c>
      <c r="CW58" s="135"/>
      <c r="CX58" s="135"/>
      <c r="CY58" s="135"/>
      <c r="CZ58" s="135">
        <v>0</v>
      </c>
      <c r="DA58" s="135"/>
      <c r="DB58" s="135">
        <v>4</v>
      </c>
      <c r="DC58" s="135"/>
      <c r="DD58" s="135"/>
      <c r="DE58" s="135"/>
      <c r="DF58" s="135">
        <v>0</v>
      </c>
      <c r="DG58" s="135"/>
      <c r="DH58" s="136"/>
      <c r="DI58" s="136"/>
      <c r="DJ58" s="136"/>
      <c r="DK58" s="136"/>
      <c r="DL58" s="136"/>
      <c r="DM58" s="136"/>
      <c r="DN58" s="136"/>
      <c r="DO58" s="136"/>
      <c r="DP58" s="136"/>
      <c r="DQ58" s="136"/>
      <c r="DR58" s="136"/>
      <c r="DS58" s="136"/>
      <c r="DT58" s="136"/>
      <c r="DU58" s="136"/>
      <c r="DV58" s="136"/>
      <c r="DW58" s="136"/>
      <c r="DX58" s="136"/>
      <c r="DY58" s="136"/>
      <c r="DZ58" s="136"/>
      <c r="EA58" s="136"/>
      <c r="EB58" s="136"/>
      <c r="EC58" s="136"/>
      <c r="ED58" s="136"/>
      <c r="EE58" s="136"/>
      <c r="EF58" s="136"/>
      <c r="EG58" s="136"/>
      <c r="EH58" s="136"/>
      <c r="EI58" s="136"/>
      <c r="EJ58" s="136"/>
      <c r="EK58" s="136"/>
      <c r="EL58" s="136"/>
      <c r="EM58" s="136"/>
      <c r="EN58" s="136"/>
      <c r="EO58" s="136"/>
      <c r="EP58" s="136"/>
      <c r="EQ58" s="136"/>
    </row>
    <row r="59" spans="1:147">
      <c r="A59" s="130"/>
      <c r="B59" s="134"/>
      <c r="C59" s="134" t="s">
        <v>121</v>
      </c>
      <c r="D59" s="135"/>
      <c r="E59" s="135"/>
      <c r="F59" s="135"/>
      <c r="G59" s="135"/>
      <c r="H59" s="135"/>
      <c r="I59" s="135"/>
      <c r="J59" s="135">
        <v>1</v>
      </c>
      <c r="K59" s="135"/>
      <c r="L59" s="135"/>
      <c r="M59" s="135"/>
      <c r="N59" s="135">
        <v>0</v>
      </c>
      <c r="O59" s="135"/>
      <c r="P59" s="135"/>
      <c r="Q59" s="135"/>
      <c r="R59" s="135"/>
      <c r="S59" s="135"/>
      <c r="T59" s="135"/>
      <c r="U59" s="135"/>
      <c r="V59" s="135">
        <v>1</v>
      </c>
      <c r="W59" s="135"/>
      <c r="X59" s="135"/>
      <c r="Y59" s="135"/>
      <c r="Z59" s="135">
        <v>0</v>
      </c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  <c r="AM59" s="135"/>
      <c r="AN59" s="135"/>
      <c r="AO59" s="135"/>
      <c r="AP59" s="135"/>
      <c r="AQ59" s="135"/>
      <c r="AR59" s="135"/>
      <c r="AS59" s="135"/>
      <c r="AT59" s="135"/>
      <c r="AU59" s="135"/>
      <c r="AV59" s="135"/>
      <c r="AW59" s="135"/>
      <c r="AX59" s="135"/>
      <c r="AY59" s="135"/>
      <c r="AZ59" s="135"/>
      <c r="BA59" s="135"/>
      <c r="BB59" s="135"/>
      <c r="BC59" s="135"/>
      <c r="BD59" s="135"/>
      <c r="BE59" s="135"/>
      <c r="BF59" s="135"/>
      <c r="BG59" s="135"/>
      <c r="BH59" s="135"/>
      <c r="BI59" s="135"/>
      <c r="BJ59" s="135"/>
      <c r="BK59" s="135"/>
      <c r="BL59" s="135"/>
      <c r="BM59" s="135"/>
      <c r="BN59" s="135"/>
      <c r="BO59" s="135"/>
      <c r="BP59" s="135"/>
      <c r="BQ59" s="135"/>
      <c r="BR59" s="135"/>
      <c r="BS59" s="135"/>
      <c r="BT59" s="135"/>
      <c r="BU59" s="135"/>
      <c r="BV59" s="135"/>
      <c r="BW59" s="135"/>
      <c r="BX59" s="135"/>
      <c r="BY59" s="135"/>
      <c r="BZ59" s="135"/>
      <c r="CA59" s="135"/>
      <c r="CB59" s="135"/>
      <c r="CC59" s="135"/>
      <c r="CD59" s="135"/>
      <c r="CE59" s="135"/>
      <c r="CF59" s="135"/>
      <c r="CG59" s="135"/>
      <c r="CH59" s="135"/>
      <c r="CI59" s="135"/>
      <c r="CJ59" s="135"/>
      <c r="CK59" s="135"/>
      <c r="CL59" s="135"/>
      <c r="CM59" s="135"/>
      <c r="CN59" s="135"/>
      <c r="CO59" s="135"/>
      <c r="CP59" s="135"/>
      <c r="CQ59" s="135"/>
      <c r="CR59" s="135"/>
      <c r="CS59" s="135"/>
      <c r="CT59" s="135"/>
      <c r="CU59" s="135"/>
      <c r="CV59" s="135">
        <v>1</v>
      </c>
      <c r="CW59" s="135"/>
      <c r="CX59" s="135"/>
      <c r="CY59" s="135"/>
      <c r="CZ59" s="135">
        <v>0</v>
      </c>
      <c r="DA59" s="135"/>
      <c r="DB59" s="135">
        <v>1</v>
      </c>
      <c r="DC59" s="135"/>
      <c r="DD59" s="135"/>
      <c r="DE59" s="135"/>
      <c r="DF59" s="135">
        <v>0</v>
      </c>
      <c r="DG59" s="135"/>
      <c r="DH59" s="136"/>
      <c r="DI59" s="136"/>
      <c r="DJ59" s="136"/>
      <c r="DK59" s="136"/>
      <c r="DL59" s="136"/>
      <c r="DM59" s="136"/>
      <c r="DN59" s="136"/>
      <c r="DO59" s="136"/>
      <c r="DP59" s="136"/>
      <c r="DQ59" s="136"/>
      <c r="DR59" s="136"/>
      <c r="DS59" s="136"/>
      <c r="DT59" s="136"/>
      <c r="DU59" s="136"/>
      <c r="DV59" s="136"/>
      <c r="DW59" s="136"/>
      <c r="DX59" s="136"/>
      <c r="DY59" s="136"/>
      <c r="DZ59" s="136"/>
      <c r="EA59" s="136"/>
      <c r="EB59" s="136"/>
      <c r="EC59" s="136"/>
      <c r="ED59" s="136"/>
      <c r="EE59" s="136"/>
      <c r="EF59" s="136"/>
      <c r="EG59" s="136"/>
      <c r="EH59" s="136"/>
      <c r="EI59" s="136"/>
      <c r="EJ59" s="136"/>
      <c r="EK59" s="136"/>
      <c r="EL59" s="136"/>
      <c r="EM59" s="136"/>
      <c r="EN59" s="136"/>
      <c r="EO59" s="136"/>
      <c r="EP59" s="136"/>
      <c r="EQ59" s="136"/>
    </row>
    <row r="60" spans="1:147">
      <c r="A60" s="130"/>
      <c r="B60" s="134" t="s">
        <v>358</v>
      </c>
      <c r="C60" s="134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5"/>
      <c r="AN60" s="135"/>
      <c r="AO60" s="135"/>
      <c r="AP60" s="135"/>
      <c r="AQ60" s="135"/>
      <c r="AR60" s="135"/>
      <c r="AS60" s="135"/>
      <c r="AT60" s="135"/>
      <c r="AU60" s="135"/>
      <c r="AV60" s="135"/>
      <c r="AW60" s="135"/>
      <c r="AX60" s="135"/>
      <c r="AY60" s="135"/>
      <c r="AZ60" s="135"/>
      <c r="BA60" s="135"/>
      <c r="BB60" s="135"/>
      <c r="BC60" s="135"/>
      <c r="BD60" s="135"/>
      <c r="BE60" s="135"/>
      <c r="BF60" s="135"/>
      <c r="BG60" s="135"/>
      <c r="BH60" s="135"/>
      <c r="BI60" s="135"/>
      <c r="BJ60" s="135"/>
      <c r="BK60" s="135"/>
      <c r="BL60" s="135"/>
      <c r="BM60" s="135"/>
      <c r="BN60" s="135"/>
      <c r="BO60" s="135"/>
      <c r="BP60" s="135"/>
      <c r="BQ60" s="135"/>
      <c r="BR60" s="135"/>
      <c r="BS60" s="135"/>
      <c r="BT60" s="135"/>
      <c r="BU60" s="135"/>
      <c r="BV60" s="135"/>
      <c r="BW60" s="135"/>
      <c r="BX60" s="135"/>
      <c r="BY60" s="135"/>
      <c r="BZ60" s="135"/>
      <c r="CA60" s="135"/>
      <c r="CB60" s="135"/>
      <c r="CC60" s="135"/>
      <c r="CD60" s="135"/>
      <c r="CE60" s="135"/>
      <c r="CF60" s="135"/>
      <c r="CG60" s="135"/>
      <c r="CH60" s="135"/>
      <c r="CI60" s="135"/>
      <c r="CJ60" s="135"/>
      <c r="CK60" s="135"/>
      <c r="CL60" s="135"/>
      <c r="CM60" s="135"/>
      <c r="CN60" s="135"/>
      <c r="CO60" s="135"/>
      <c r="CP60" s="135"/>
      <c r="CQ60" s="135"/>
      <c r="CR60" s="135"/>
      <c r="CS60" s="135"/>
      <c r="CT60" s="135"/>
      <c r="CU60" s="135"/>
      <c r="CV60" s="135"/>
      <c r="CW60" s="135"/>
      <c r="CX60" s="135"/>
      <c r="CY60" s="135"/>
      <c r="CZ60" s="135"/>
      <c r="DA60" s="135"/>
      <c r="DB60" s="135"/>
      <c r="DC60" s="135"/>
      <c r="DD60" s="135"/>
      <c r="DE60" s="135"/>
      <c r="DF60" s="135"/>
      <c r="DG60" s="135"/>
      <c r="DH60" s="136"/>
      <c r="DI60" s="136"/>
      <c r="DJ60" s="136"/>
      <c r="DK60" s="136"/>
      <c r="DL60" s="136"/>
      <c r="DM60" s="136"/>
      <c r="DN60" s="136"/>
      <c r="DO60" s="136"/>
      <c r="DP60" s="136"/>
      <c r="DQ60" s="136"/>
      <c r="DR60" s="136"/>
      <c r="DS60" s="136"/>
      <c r="DT60" s="136"/>
      <c r="DU60" s="136"/>
      <c r="DV60" s="136"/>
      <c r="DW60" s="136"/>
      <c r="DX60" s="136"/>
      <c r="DY60" s="136"/>
      <c r="DZ60" s="136"/>
      <c r="EA60" s="136"/>
      <c r="EB60" s="136"/>
      <c r="EC60" s="136"/>
      <c r="ED60" s="136"/>
      <c r="EE60" s="136"/>
      <c r="EF60" s="136"/>
      <c r="EG60" s="136"/>
      <c r="EH60" s="136"/>
      <c r="EI60" s="136"/>
      <c r="EJ60" s="136"/>
      <c r="EK60" s="136"/>
      <c r="EL60" s="136"/>
      <c r="EM60" s="136"/>
      <c r="EN60" s="136"/>
      <c r="EO60" s="136"/>
      <c r="EP60" s="136"/>
      <c r="EQ60" s="136"/>
    </row>
    <row r="61" ht="31.5" spans="1:147">
      <c r="A61" s="130"/>
      <c r="B61" s="134"/>
      <c r="C61" s="134" t="s">
        <v>135</v>
      </c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>
        <v>1</v>
      </c>
      <c r="Q61" s="135">
        <v>24</v>
      </c>
      <c r="R61" s="135">
        <v>6</v>
      </c>
      <c r="S61" s="135"/>
      <c r="T61" s="135">
        <v>30</v>
      </c>
      <c r="U61" s="135"/>
      <c r="V61" s="135">
        <v>1</v>
      </c>
      <c r="W61" s="135">
        <v>24</v>
      </c>
      <c r="X61" s="135">
        <v>6</v>
      </c>
      <c r="Y61" s="135"/>
      <c r="Z61" s="135">
        <v>30</v>
      </c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  <c r="AM61" s="135"/>
      <c r="AN61" s="135">
        <v>1</v>
      </c>
      <c r="AO61" s="135">
        <v>24</v>
      </c>
      <c r="AP61" s="135">
        <v>6</v>
      </c>
      <c r="AQ61" s="135"/>
      <c r="AR61" s="135">
        <v>30</v>
      </c>
      <c r="AS61" s="135"/>
      <c r="AT61" s="135">
        <v>1</v>
      </c>
      <c r="AU61" s="135">
        <v>24</v>
      </c>
      <c r="AV61" s="135">
        <v>6</v>
      </c>
      <c r="AW61" s="135"/>
      <c r="AX61" s="135">
        <v>30</v>
      </c>
      <c r="AY61" s="135"/>
      <c r="AZ61" s="135">
        <v>1</v>
      </c>
      <c r="BA61" s="135">
        <v>24</v>
      </c>
      <c r="BB61" s="135">
        <v>6</v>
      </c>
      <c r="BC61" s="135"/>
      <c r="BD61" s="135">
        <v>30</v>
      </c>
      <c r="BE61" s="135"/>
      <c r="BF61" s="135">
        <v>1</v>
      </c>
      <c r="BG61" s="135">
        <v>24</v>
      </c>
      <c r="BH61" s="135">
        <v>6</v>
      </c>
      <c r="BI61" s="135"/>
      <c r="BJ61" s="135">
        <v>30</v>
      </c>
      <c r="BK61" s="135"/>
      <c r="BL61" s="135"/>
      <c r="BM61" s="135"/>
      <c r="BN61" s="135"/>
      <c r="BO61" s="135"/>
      <c r="BP61" s="135"/>
      <c r="BQ61" s="135"/>
      <c r="BR61" s="135">
        <v>2</v>
      </c>
      <c r="BS61" s="135">
        <v>48</v>
      </c>
      <c r="BT61" s="135">
        <v>12</v>
      </c>
      <c r="BU61" s="135"/>
      <c r="BV61" s="135">
        <v>60</v>
      </c>
      <c r="BW61" s="135"/>
      <c r="BX61" s="135"/>
      <c r="BY61" s="135"/>
      <c r="BZ61" s="135"/>
      <c r="CA61" s="135"/>
      <c r="CB61" s="135"/>
      <c r="CC61" s="135"/>
      <c r="CD61" s="135"/>
      <c r="CE61" s="135"/>
      <c r="CF61" s="135"/>
      <c r="CG61" s="135"/>
      <c r="CH61" s="135"/>
      <c r="CI61" s="135"/>
      <c r="CJ61" s="135"/>
      <c r="CK61" s="135"/>
      <c r="CL61" s="135"/>
      <c r="CM61" s="135"/>
      <c r="CN61" s="135"/>
      <c r="CO61" s="135"/>
      <c r="CP61" s="135"/>
      <c r="CQ61" s="135"/>
      <c r="CR61" s="135"/>
      <c r="CS61" s="135"/>
      <c r="CT61" s="135"/>
      <c r="CU61" s="135"/>
      <c r="CV61" s="135">
        <v>4</v>
      </c>
      <c r="CW61" s="135">
        <v>96</v>
      </c>
      <c r="CX61" s="135">
        <v>24</v>
      </c>
      <c r="CY61" s="135"/>
      <c r="CZ61" s="135">
        <v>120</v>
      </c>
      <c r="DA61" s="135"/>
      <c r="DB61" s="135">
        <v>4</v>
      </c>
      <c r="DC61" s="135">
        <v>96</v>
      </c>
      <c r="DD61" s="135">
        <v>24</v>
      </c>
      <c r="DE61" s="135"/>
      <c r="DF61" s="135">
        <v>120</v>
      </c>
      <c r="DG61" s="135"/>
      <c r="DH61" s="136"/>
      <c r="DI61" s="136"/>
      <c r="DJ61" s="136"/>
      <c r="DK61" s="136"/>
      <c r="DL61" s="136"/>
      <c r="DM61" s="136"/>
      <c r="DN61" s="136"/>
      <c r="DO61" s="136"/>
      <c r="DP61" s="136"/>
      <c r="DQ61" s="136"/>
      <c r="DR61" s="136"/>
      <c r="DS61" s="136"/>
      <c r="DT61" s="136"/>
      <c r="DU61" s="136"/>
      <c r="DV61" s="136"/>
      <c r="DW61" s="136"/>
      <c r="DX61" s="136"/>
      <c r="DY61" s="136"/>
      <c r="DZ61" s="136"/>
      <c r="EA61" s="136"/>
      <c r="EB61" s="136"/>
      <c r="EC61" s="136"/>
      <c r="ED61" s="136"/>
      <c r="EE61" s="136"/>
      <c r="EF61" s="136"/>
      <c r="EG61" s="136"/>
      <c r="EH61" s="136"/>
      <c r="EI61" s="136"/>
      <c r="EJ61" s="136"/>
      <c r="EK61" s="136"/>
      <c r="EL61" s="136"/>
      <c r="EM61" s="136"/>
      <c r="EN61" s="136"/>
      <c r="EO61" s="136"/>
      <c r="EP61" s="136"/>
      <c r="EQ61" s="136"/>
    </row>
    <row r="62" ht="31.5" spans="1:147">
      <c r="A62" s="130"/>
      <c r="B62" s="134"/>
      <c r="C62" s="134" t="s">
        <v>137</v>
      </c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>
        <v>1</v>
      </c>
      <c r="AC62" s="135"/>
      <c r="AD62" s="135">
        <v>30</v>
      </c>
      <c r="AE62" s="135"/>
      <c r="AF62" s="135">
        <v>30</v>
      </c>
      <c r="AG62" s="135"/>
      <c r="AH62" s="135">
        <v>1</v>
      </c>
      <c r="AI62" s="135"/>
      <c r="AJ62" s="135">
        <v>30</v>
      </c>
      <c r="AK62" s="135"/>
      <c r="AL62" s="135">
        <v>30</v>
      </c>
      <c r="AM62" s="135"/>
      <c r="AN62" s="135">
        <v>1</v>
      </c>
      <c r="AO62" s="135"/>
      <c r="AP62" s="135">
        <v>30</v>
      </c>
      <c r="AQ62" s="135"/>
      <c r="AR62" s="135">
        <v>30</v>
      </c>
      <c r="AS62" s="135"/>
      <c r="AT62" s="135">
        <v>3</v>
      </c>
      <c r="AU62" s="135"/>
      <c r="AV62" s="135">
        <v>90</v>
      </c>
      <c r="AW62" s="135"/>
      <c r="AX62" s="135">
        <v>90</v>
      </c>
      <c r="AY62" s="135"/>
      <c r="AZ62" s="135">
        <v>1</v>
      </c>
      <c r="BA62" s="135"/>
      <c r="BB62" s="135">
        <v>30</v>
      </c>
      <c r="BC62" s="135"/>
      <c r="BD62" s="135">
        <v>30</v>
      </c>
      <c r="BE62" s="135"/>
      <c r="BF62" s="135"/>
      <c r="BG62" s="135"/>
      <c r="BH62" s="135"/>
      <c r="BI62" s="135"/>
      <c r="BJ62" s="135"/>
      <c r="BK62" s="135"/>
      <c r="BL62" s="135"/>
      <c r="BM62" s="135"/>
      <c r="BN62" s="135"/>
      <c r="BO62" s="135"/>
      <c r="BP62" s="135"/>
      <c r="BQ62" s="135"/>
      <c r="BR62" s="135">
        <v>1</v>
      </c>
      <c r="BS62" s="135"/>
      <c r="BT62" s="135">
        <v>30</v>
      </c>
      <c r="BU62" s="135"/>
      <c r="BV62" s="135">
        <v>30</v>
      </c>
      <c r="BW62" s="135"/>
      <c r="BX62" s="135"/>
      <c r="BY62" s="135"/>
      <c r="BZ62" s="135"/>
      <c r="CA62" s="135"/>
      <c r="CB62" s="135"/>
      <c r="CC62" s="135"/>
      <c r="CD62" s="135"/>
      <c r="CE62" s="135"/>
      <c r="CF62" s="135"/>
      <c r="CG62" s="135"/>
      <c r="CH62" s="135"/>
      <c r="CI62" s="135"/>
      <c r="CJ62" s="135"/>
      <c r="CK62" s="135"/>
      <c r="CL62" s="135"/>
      <c r="CM62" s="135"/>
      <c r="CN62" s="135"/>
      <c r="CO62" s="135"/>
      <c r="CP62" s="135"/>
      <c r="CQ62" s="135"/>
      <c r="CR62" s="135"/>
      <c r="CS62" s="135"/>
      <c r="CT62" s="135"/>
      <c r="CU62" s="135"/>
      <c r="CV62" s="135">
        <v>4</v>
      </c>
      <c r="CW62" s="135"/>
      <c r="CX62" s="135">
        <v>120</v>
      </c>
      <c r="CY62" s="135"/>
      <c r="CZ62" s="135">
        <v>120</v>
      </c>
      <c r="DA62" s="135"/>
      <c r="DB62" s="135">
        <v>4</v>
      </c>
      <c r="DC62" s="135"/>
      <c r="DD62" s="135">
        <v>120</v>
      </c>
      <c r="DE62" s="135"/>
      <c r="DF62" s="135">
        <v>120</v>
      </c>
      <c r="DG62" s="135"/>
      <c r="DH62" s="136"/>
      <c r="DI62" s="136"/>
      <c r="DJ62" s="136"/>
      <c r="DK62" s="136"/>
      <c r="DL62" s="136"/>
      <c r="DM62" s="136"/>
      <c r="DN62" s="136"/>
      <c r="DO62" s="136"/>
      <c r="DP62" s="136"/>
      <c r="DQ62" s="136"/>
      <c r="DR62" s="136"/>
      <c r="DS62" s="136"/>
      <c r="DT62" s="136"/>
      <c r="DU62" s="136"/>
      <c r="DV62" s="136"/>
      <c r="DW62" s="136"/>
      <c r="DX62" s="136"/>
      <c r="DY62" s="136"/>
      <c r="DZ62" s="136"/>
      <c r="EA62" s="136"/>
      <c r="EB62" s="136"/>
      <c r="EC62" s="136"/>
      <c r="ED62" s="136"/>
      <c r="EE62" s="136"/>
      <c r="EF62" s="136"/>
      <c r="EG62" s="136"/>
      <c r="EH62" s="136"/>
      <c r="EI62" s="136"/>
      <c r="EJ62" s="136"/>
      <c r="EK62" s="136"/>
      <c r="EL62" s="136"/>
      <c r="EM62" s="136"/>
      <c r="EN62" s="136"/>
      <c r="EO62" s="136"/>
      <c r="EP62" s="136"/>
      <c r="EQ62" s="136"/>
    </row>
    <row r="63" ht="31.5" spans="1:147">
      <c r="A63" s="130"/>
      <c r="B63" s="134"/>
      <c r="C63" s="134" t="s">
        <v>139</v>
      </c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>
        <v>1</v>
      </c>
      <c r="AC63" s="135">
        <v>24</v>
      </c>
      <c r="AD63" s="135">
        <v>6</v>
      </c>
      <c r="AE63" s="135"/>
      <c r="AF63" s="135">
        <v>30</v>
      </c>
      <c r="AG63" s="135"/>
      <c r="AH63" s="135">
        <v>1</v>
      </c>
      <c r="AI63" s="135">
        <v>24</v>
      </c>
      <c r="AJ63" s="135">
        <v>6</v>
      </c>
      <c r="AK63" s="135"/>
      <c r="AL63" s="135">
        <v>30</v>
      </c>
      <c r="AM63" s="135"/>
      <c r="AN63" s="135">
        <v>1</v>
      </c>
      <c r="AO63" s="135">
        <v>24</v>
      </c>
      <c r="AP63" s="135">
        <v>6</v>
      </c>
      <c r="AQ63" s="135"/>
      <c r="AR63" s="135">
        <v>30</v>
      </c>
      <c r="AS63" s="135"/>
      <c r="AT63" s="135">
        <v>3</v>
      </c>
      <c r="AU63" s="135">
        <v>72</v>
      </c>
      <c r="AV63" s="135">
        <v>18</v>
      </c>
      <c r="AW63" s="135"/>
      <c r="AX63" s="135">
        <v>90</v>
      </c>
      <c r="AY63" s="135"/>
      <c r="AZ63" s="135">
        <v>1</v>
      </c>
      <c r="BA63" s="135">
        <v>24</v>
      </c>
      <c r="BB63" s="135">
        <v>6</v>
      </c>
      <c r="BC63" s="135"/>
      <c r="BD63" s="135">
        <v>30</v>
      </c>
      <c r="BE63" s="135"/>
      <c r="BF63" s="135"/>
      <c r="BG63" s="135"/>
      <c r="BH63" s="135"/>
      <c r="BI63" s="135"/>
      <c r="BJ63" s="135"/>
      <c r="BK63" s="135"/>
      <c r="BL63" s="135"/>
      <c r="BM63" s="135"/>
      <c r="BN63" s="135"/>
      <c r="BO63" s="135"/>
      <c r="BP63" s="135"/>
      <c r="BQ63" s="135"/>
      <c r="BR63" s="135">
        <v>1</v>
      </c>
      <c r="BS63" s="135">
        <v>24</v>
      </c>
      <c r="BT63" s="135">
        <v>6</v>
      </c>
      <c r="BU63" s="135"/>
      <c r="BV63" s="135">
        <v>30</v>
      </c>
      <c r="BW63" s="135"/>
      <c r="BX63" s="135"/>
      <c r="BY63" s="135"/>
      <c r="BZ63" s="135"/>
      <c r="CA63" s="135"/>
      <c r="CB63" s="135"/>
      <c r="CC63" s="135"/>
      <c r="CD63" s="135"/>
      <c r="CE63" s="135"/>
      <c r="CF63" s="135"/>
      <c r="CG63" s="135"/>
      <c r="CH63" s="135"/>
      <c r="CI63" s="135"/>
      <c r="CJ63" s="135"/>
      <c r="CK63" s="135"/>
      <c r="CL63" s="135"/>
      <c r="CM63" s="135"/>
      <c r="CN63" s="135"/>
      <c r="CO63" s="135"/>
      <c r="CP63" s="135"/>
      <c r="CQ63" s="135"/>
      <c r="CR63" s="135"/>
      <c r="CS63" s="135"/>
      <c r="CT63" s="135"/>
      <c r="CU63" s="135"/>
      <c r="CV63" s="135">
        <v>4</v>
      </c>
      <c r="CW63" s="135">
        <v>96</v>
      </c>
      <c r="CX63" s="135">
        <v>24</v>
      </c>
      <c r="CY63" s="135"/>
      <c r="CZ63" s="135">
        <v>120</v>
      </c>
      <c r="DA63" s="135"/>
      <c r="DB63" s="135">
        <v>4</v>
      </c>
      <c r="DC63" s="135">
        <v>96</v>
      </c>
      <c r="DD63" s="135">
        <v>24</v>
      </c>
      <c r="DE63" s="135"/>
      <c r="DF63" s="135">
        <v>120</v>
      </c>
      <c r="DG63" s="135"/>
      <c r="DH63" s="136"/>
      <c r="DI63" s="136"/>
      <c r="DJ63" s="136"/>
      <c r="DK63" s="136"/>
      <c r="DL63" s="136"/>
      <c r="DM63" s="136"/>
      <c r="DN63" s="136"/>
      <c r="DO63" s="136"/>
      <c r="DP63" s="136"/>
      <c r="DQ63" s="136"/>
      <c r="DR63" s="136"/>
      <c r="DS63" s="136"/>
      <c r="DT63" s="136"/>
      <c r="DU63" s="136"/>
      <c r="DV63" s="136"/>
      <c r="DW63" s="136"/>
      <c r="DX63" s="136"/>
      <c r="DY63" s="136"/>
      <c r="DZ63" s="136"/>
      <c r="EA63" s="136"/>
      <c r="EB63" s="136"/>
      <c r="EC63" s="136"/>
      <c r="ED63" s="136"/>
      <c r="EE63" s="136"/>
      <c r="EF63" s="136"/>
      <c r="EG63" s="136"/>
      <c r="EH63" s="136"/>
      <c r="EI63" s="136"/>
      <c r="EJ63" s="136"/>
      <c r="EK63" s="136"/>
      <c r="EL63" s="136"/>
      <c r="EM63" s="136"/>
      <c r="EN63" s="136"/>
      <c r="EO63" s="136"/>
      <c r="EP63" s="136"/>
      <c r="EQ63" s="136"/>
    </row>
    <row r="64" ht="31.5" spans="1:147">
      <c r="A64" s="130"/>
      <c r="B64" s="134"/>
      <c r="C64" s="134" t="s">
        <v>141</v>
      </c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>
        <v>2</v>
      </c>
      <c r="AI64" s="135">
        <v>48</v>
      </c>
      <c r="AJ64" s="135">
        <v>12</v>
      </c>
      <c r="AK64" s="135"/>
      <c r="AL64" s="135">
        <v>60</v>
      </c>
      <c r="AM64" s="135"/>
      <c r="AN64" s="135"/>
      <c r="AO64" s="135"/>
      <c r="AP64" s="135"/>
      <c r="AQ64" s="135"/>
      <c r="AR64" s="135"/>
      <c r="AS64" s="135"/>
      <c r="AT64" s="135">
        <v>2</v>
      </c>
      <c r="AU64" s="135">
        <v>48</v>
      </c>
      <c r="AV64" s="135">
        <v>12</v>
      </c>
      <c r="AW64" s="135"/>
      <c r="AX64" s="135">
        <v>60</v>
      </c>
      <c r="AY64" s="135"/>
      <c r="AZ64" s="135"/>
      <c r="BA64" s="135"/>
      <c r="BB64" s="135"/>
      <c r="BC64" s="135"/>
      <c r="BD64" s="135"/>
      <c r="BE64" s="135"/>
      <c r="BF64" s="135"/>
      <c r="BG64" s="135"/>
      <c r="BH64" s="135"/>
      <c r="BI64" s="135"/>
      <c r="BJ64" s="135"/>
      <c r="BK64" s="135"/>
      <c r="BL64" s="135"/>
      <c r="BM64" s="135"/>
      <c r="BN64" s="135"/>
      <c r="BO64" s="135"/>
      <c r="BP64" s="135"/>
      <c r="BQ64" s="135"/>
      <c r="BR64" s="135"/>
      <c r="BS64" s="135"/>
      <c r="BT64" s="135"/>
      <c r="BU64" s="135"/>
      <c r="BV64" s="135"/>
      <c r="BW64" s="135"/>
      <c r="BX64" s="135">
        <v>2</v>
      </c>
      <c r="BY64" s="135">
        <v>48</v>
      </c>
      <c r="BZ64" s="135">
        <v>12</v>
      </c>
      <c r="CA64" s="135"/>
      <c r="CB64" s="135">
        <v>60</v>
      </c>
      <c r="CC64" s="135"/>
      <c r="CD64" s="135"/>
      <c r="CE64" s="135"/>
      <c r="CF64" s="135"/>
      <c r="CG64" s="135"/>
      <c r="CH64" s="135"/>
      <c r="CI64" s="135"/>
      <c r="CJ64" s="135"/>
      <c r="CK64" s="135"/>
      <c r="CL64" s="135"/>
      <c r="CM64" s="135"/>
      <c r="CN64" s="135"/>
      <c r="CO64" s="135"/>
      <c r="CP64" s="135">
        <v>2</v>
      </c>
      <c r="CQ64" s="135">
        <v>48</v>
      </c>
      <c r="CR64" s="135">
        <v>12</v>
      </c>
      <c r="CS64" s="135"/>
      <c r="CT64" s="135">
        <v>60</v>
      </c>
      <c r="CU64" s="135"/>
      <c r="CV64" s="135">
        <v>4</v>
      </c>
      <c r="CW64" s="135">
        <v>96</v>
      </c>
      <c r="CX64" s="135">
        <v>24</v>
      </c>
      <c r="CY64" s="135"/>
      <c r="CZ64" s="135">
        <v>120</v>
      </c>
      <c r="DA64" s="135"/>
      <c r="DB64" s="135">
        <v>4</v>
      </c>
      <c r="DC64" s="135">
        <v>96</v>
      </c>
      <c r="DD64" s="135">
        <v>24</v>
      </c>
      <c r="DE64" s="135"/>
      <c r="DF64" s="135">
        <v>120</v>
      </c>
      <c r="DG64" s="135"/>
      <c r="DH64" s="136"/>
      <c r="DI64" s="136"/>
      <c r="DJ64" s="136"/>
      <c r="DK64" s="136"/>
      <c r="DL64" s="136"/>
      <c r="DM64" s="136"/>
      <c r="DN64" s="136"/>
      <c r="DO64" s="136"/>
      <c r="DP64" s="136"/>
      <c r="DQ64" s="136"/>
      <c r="DR64" s="136"/>
      <c r="DS64" s="136"/>
      <c r="DT64" s="136"/>
      <c r="DU64" s="136"/>
      <c r="DV64" s="136"/>
      <c r="DW64" s="136"/>
      <c r="DX64" s="136"/>
      <c r="DY64" s="136"/>
      <c r="DZ64" s="136"/>
      <c r="EA64" s="136"/>
      <c r="EB64" s="136"/>
      <c r="EC64" s="136"/>
      <c r="ED64" s="136"/>
      <c r="EE64" s="136"/>
      <c r="EF64" s="136"/>
      <c r="EG64" s="136"/>
      <c r="EH64" s="136"/>
      <c r="EI64" s="136"/>
      <c r="EJ64" s="136"/>
      <c r="EK64" s="136"/>
      <c r="EL64" s="136"/>
      <c r="EM64" s="136"/>
      <c r="EN64" s="136"/>
      <c r="EO64" s="136"/>
      <c r="EP64" s="136"/>
      <c r="EQ64" s="136"/>
    </row>
    <row r="65" ht="47.25" spans="1:147">
      <c r="A65" s="130"/>
      <c r="B65" s="134"/>
      <c r="C65" s="134" t="s">
        <v>143</v>
      </c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5"/>
      <c r="AN65" s="135"/>
      <c r="AO65" s="135"/>
      <c r="AP65" s="135"/>
      <c r="AQ65" s="135"/>
      <c r="AR65" s="135"/>
      <c r="AS65" s="135"/>
      <c r="AT65" s="135"/>
      <c r="AU65" s="135"/>
      <c r="AV65" s="135"/>
      <c r="AW65" s="135"/>
      <c r="AX65" s="135"/>
      <c r="AY65" s="135"/>
      <c r="AZ65" s="135"/>
      <c r="BA65" s="135"/>
      <c r="BB65" s="135"/>
      <c r="BC65" s="135"/>
      <c r="BD65" s="135"/>
      <c r="BE65" s="135"/>
      <c r="BF65" s="135">
        <v>1</v>
      </c>
      <c r="BG65" s="135">
        <v>30</v>
      </c>
      <c r="BH65" s="135"/>
      <c r="BI65" s="135"/>
      <c r="BJ65" s="135">
        <v>30</v>
      </c>
      <c r="BK65" s="135"/>
      <c r="BL65" s="135">
        <v>1</v>
      </c>
      <c r="BM65" s="135">
        <v>30</v>
      </c>
      <c r="BN65" s="135"/>
      <c r="BO65" s="135"/>
      <c r="BP65" s="135">
        <v>30</v>
      </c>
      <c r="BQ65" s="135"/>
      <c r="BR65" s="135">
        <v>2</v>
      </c>
      <c r="BS65" s="135">
        <v>60</v>
      </c>
      <c r="BT65" s="135"/>
      <c r="BU65" s="135"/>
      <c r="BV65" s="135">
        <v>60</v>
      </c>
      <c r="BW65" s="135"/>
      <c r="BX65" s="135">
        <v>1</v>
      </c>
      <c r="BY65" s="135">
        <v>30</v>
      </c>
      <c r="BZ65" s="135"/>
      <c r="CA65" s="135"/>
      <c r="CB65" s="135">
        <v>30</v>
      </c>
      <c r="CC65" s="135"/>
      <c r="CD65" s="135"/>
      <c r="CE65" s="135"/>
      <c r="CF65" s="135"/>
      <c r="CG65" s="135"/>
      <c r="CH65" s="135"/>
      <c r="CI65" s="135"/>
      <c r="CJ65" s="135"/>
      <c r="CK65" s="135"/>
      <c r="CL65" s="135"/>
      <c r="CM65" s="135"/>
      <c r="CN65" s="135"/>
      <c r="CO65" s="135"/>
      <c r="CP65" s="135">
        <v>1</v>
      </c>
      <c r="CQ65" s="135">
        <v>30</v>
      </c>
      <c r="CR65" s="135"/>
      <c r="CS65" s="135"/>
      <c r="CT65" s="135">
        <v>30</v>
      </c>
      <c r="CU65" s="135"/>
      <c r="CV65" s="135">
        <v>3</v>
      </c>
      <c r="CW65" s="135">
        <v>90</v>
      </c>
      <c r="CX65" s="135"/>
      <c r="CY65" s="135"/>
      <c r="CZ65" s="135">
        <v>90</v>
      </c>
      <c r="DA65" s="135"/>
      <c r="DB65" s="135">
        <v>3</v>
      </c>
      <c r="DC65" s="135">
        <v>90</v>
      </c>
      <c r="DD65" s="135"/>
      <c r="DE65" s="135"/>
      <c r="DF65" s="135">
        <v>90</v>
      </c>
      <c r="DG65" s="135"/>
      <c r="DH65" s="136"/>
      <c r="DI65" s="136"/>
      <c r="DJ65" s="136"/>
      <c r="DK65" s="136"/>
      <c r="DL65" s="136"/>
      <c r="DM65" s="136"/>
      <c r="DN65" s="136"/>
      <c r="DO65" s="136"/>
      <c r="DP65" s="136"/>
      <c r="DQ65" s="136"/>
      <c r="DR65" s="136"/>
      <c r="DS65" s="136"/>
      <c r="DT65" s="136"/>
      <c r="DU65" s="136"/>
      <c r="DV65" s="136"/>
      <c r="DW65" s="136"/>
      <c r="DX65" s="136"/>
      <c r="DY65" s="136"/>
      <c r="DZ65" s="136"/>
      <c r="EA65" s="136"/>
      <c r="EB65" s="136"/>
      <c r="EC65" s="136"/>
      <c r="ED65" s="136"/>
      <c r="EE65" s="136"/>
      <c r="EF65" s="136"/>
      <c r="EG65" s="136"/>
      <c r="EH65" s="136"/>
      <c r="EI65" s="136"/>
      <c r="EJ65" s="136"/>
      <c r="EK65" s="136"/>
      <c r="EL65" s="136"/>
      <c r="EM65" s="136"/>
      <c r="EN65" s="136"/>
      <c r="EO65" s="136"/>
      <c r="EP65" s="136"/>
      <c r="EQ65" s="136"/>
    </row>
    <row r="66" ht="31.5" spans="1:147">
      <c r="A66" s="130"/>
      <c r="B66" s="134"/>
      <c r="C66" s="134" t="s">
        <v>147</v>
      </c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>
        <v>1</v>
      </c>
      <c r="AC66" s="135"/>
      <c r="AD66" s="135">
        <v>30</v>
      </c>
      <c r="AE66" s="135"/>
      <c r="AF66" s="135">
        <v>30</v>
      </c>
      <c r="AG66" s="135"/>
      <c r="AH66" s="135">
        <v>1</v>
      </c>
      <c r="AI66" s="135"/>
      <c r="AJ66" s="135">
        <v>30</v>
      </c>
      <c r="AK66" s="135"/>
      <c r="AL66" s="135">
        <v>30</v>
      </c>
      <c r="AM66" s="135"/>
      <c r="AN66" s="135">
        <v>1</v>
      </c>
      <c r="AO66" s="135"/>
      <c r="AP66" s="135">
        <v>30</v>
      </c>
      <c r="AQ66" s="135"/>
      <c r="AR66" s="135">
        <v>30</v>
      </c>
      <c r="AS66" s="135"/>
      <c r="AT66" s="135">
        <v>3</v>
      </c>
      <c r="AU66" s="135"/>
      <c r="AV66" s="135">
        <v>90</v>
      </c>
      <c r="AW66" s="135"/>
      <c r="AX66" s="135">
        <v>90</v>
      </c>
      <c r="AY66" s="135"/>
      <c r="AZ66" s="135">
        <v>1</v>
      </c>
      <c r="BA66" s="135"/>
      <c r="BB66" s="135">
        <v>30</v>
      </c>
      <c r="BC66" s="135"/>
      <c r="BD66" s="135">
        <v>30</v>
      </c>
      <c r="BE66" s="135"/>
      <c r="BF66" s="135"/>
      <c r="BG66" s="135"/>
      <c r="BH66" s="135"/>
      <c r="BI66" s="135"/>
      <c r="BJ66" s="135"/>
      <c r="BK66" s="135"/>
      <c r="BL66" s="135"/>
      <c r="BM66" s="135"/>
      <c r="BN66" s="135"/>
      <c r="BO66" s="135"/>
      <c r="BP66" s="135"/>
      <c r="BQ66" s="135"/>
      <c r="BR66" s="135">
        <v>1</v>
      </c>
      <c r="BS66" s="135"/>
      <c r="BT66" s="135">
        <v>30</v>
      </c>
      <c r="BU66" s="135"/>
      <c r="BV66" s="135">
        <v>30</v>
      </c>
      <c r="BW66" s="135"/>
      <c r="BX66" s="135"/>
      <c r="BY66" s="135"/>
      <c r="BZ66" s="135"/>
      <c r="CA66" s="135"/>
      <c r="CB66" s="135"/>
      <c r="CC66" s="135"/>
      <c r="CD66" s="135"/>
      <c r="CE66" s="135"/>
      <c r="CF66" s="135"/>
      <c r="CG66" s="135"/>
      <c r="CH66" s="135"/>
      <c r="CI66" s="135"/>
      <c r="CJ66" s="135"/>
      <c r="CK66" s="135"/>
      <c r="CL66" s="135"/>
      <c r="CM66" s="135"/>
      <c r="CN66" s="135"/>
      <c r="CO66" s="135"/>
      <c r="CP66" s="135"/>
      <c r="CQ66" s="135"/>
      <c r="CR66" s="135"/>
      <c r="CS66" s="135"/>
      <c r="CT66" s="135"/>
      <c r="CU66" s="135"/>
      <c r="CV66" s="135">
        <v>4</v>
      </c>
      <c r="CW66" s="135"/>
      <c r="CX66" s="135">
        <v>120</v>
      </c>
      <c r="CY66" s="135"/>
      <c r="CZ66" s="135">
        <v>120</v>
      </c>
      <c r="DA66" s="135"/>
      <c r="DB66" s="135">
        <v>4</v>
      </c>
      <c r="DC66" s="135"/>
      <c r="DD66" s="135">
        <v>120</v>
      </c>
      <c r="DE66" s="135"/>
      <c r="DF66" s="135">
        <v>120</v>
      </c>
      <c r="DG66" s="135"/>
      <c r="DH66" s="136"/>
      <c r="DI66" s="136"/>
      <c r="DJ66" s="136"/>
      <c r="DK66" s="136"/>
      <c r="DL66" s="136"/>
      <c r="DM66" s="136"/>
      <c r="DN66" s="136"/>
      <c r="DO66" s="136"/>
      <c r="DP66" s="136"/>
      <c r="DQ66" s="136"/>
      <c r="DR66" s="136"/>
      <c r="DS66" s="136"/>
      <c r="DT66" s="136"/>
      <c r="DU66" s="136"/>
      <c r="DV66" s="136"/>
      <c r="DW66" s="136"/>
      <c r="DX66" s="136"/>
      <c r="DY66" s="136"/>
      <c r="DZ66" s="136"/>
      <c r="EA66" s="136"/>
      <c r="EB66" s="136"/>
      <c r="EC66" s="136"/>
      <c r="ED66" s="136"/>
      <c r="EE66" s="136"/>
      <c r="EF66" s="136"/>
      <c r="EG66" s="136"/>
      <c r="EH66" s="136"/>
      <c r="EI66" s="136"/>
      <c r="EJ66" s="136"/>
      <c r="EK66" s="136"/>
      <c r="EL66" s="136"/>
      <c r="EM66" s="136"/>
      <c r="EN66" s="136"/>
      <c r="EO66" s="136"/>
      <c r="EP66" s="136"/>
      <c r="EQ66" s="136"/>
    </row>
    <row r="67" ht="31.5" spans="1:147">
      <c r="A67" s="130"/>
      <c r="B67" s="134"/>
      <c r="C67" s="134" t="s">
        <v>149</v>
      </c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>
        <v>1</v>
      </c>
      <c r="AC67" s="135">
        <v>24</v>
      </c>
      <c r="AD67" s="135">
        <v>6</v>
      </c>
      <c r="AE67" s="135"/>
      <c r="AF67" s="135">
        <v>30</v>
      </c>
      <c r="AG67" s="135"/>
      <c r="AH67" s="135">
        <v>1</v>
      </c>
      <c r="AI67" s="135">
        <v>24</v>
      </c>
      <c r="AJ67" s="135">
        <v>6</v>
      </c>
      <c r="AK67" s="135"/>
      <c r="AL67" s="135">
        <v>30</v>
      </c>
      <c r="AM67" s="135"/>
      <c r="AN67" s="135">
        <v>1</v>
      </c>
      <c r="AO67" s="135">
        <v>24</v>
      </c>
      <c r="AP67" s="135">
        <v>6</v>
      </c>
      <c r="AQ67" s="135"/>
      <c r="AR67" s="135">
        <v>30</v>
      </c>
      <c r="AS67" s="135"/>
      <c r="AT67" s="135">
        <v>3</v>
      </c>
      <c r="AU67" s="135">
        <v>72</v>
      </c>
      <c r="AV67" s="135">
        <v>18</v>
      </c>
      <c r="AW67" s="135"/>
      <c r="AX67" s="135">
        <v>90</v>
      </c>
      <c r="AY67" s="135"/>
      <c r="AZ67" s="135">
        <v>1</v>
      </c>
      <c r="BA67" s="135">
        <v>24</v>
      </c>
      <c r="BB67" s="135">
        <v>6</v>
      </c>
      <c r="BC67" s="135"/>
      <c r="BD67" s="135">
        <v>30</v>
      </c>
      <c r="BE67" s="135"/>
      <c r="BF67" s="135"/>
      <c r="BG67" s="135"/>
      <c r="BH67" s="135"/>
      <c r="BI67" s="135"/>
      <c r="BJ67" s="135"/>
      <c r="BK67" s="135"/>
      <c r="BL67" s="135"/>
      <c r="BM67" s="135"/>
      <c r="BN67" s="135"/>
      <c r="BO67" s="135"/>
      <c r="BP67" s="135"/>
      <c r="BQ67" s="135"/>
      <c r="BR67" s="135">
        <v>1</v>
      </c>
      <c r="BS67" s="135">
        <v>24</v>
      </c>
      <c r="BT67" s="135">
        <v>6</v>
      </c>
      <c r="BU67" s="135"/>
      <c r="BV67" s="135">
        <v>30</v>
      </c>
      <c r="BW67" s="135"/>
      <c r="BX67" s="135"/>
      <c r="BY67" s="135"/>
      <c r="BZ67" s="135"/>
      <c r="CA67" s="135"/>
      <c r="CB67" s="135"/>
      <c r="CC67" s="135"/>
      <c r="CD67" s="135"/>
      <c r="CE67" s="135"/>
      <c r="CF67" s="135"/>
      <c r="CG67" s="135"/>
      <c r="CH67" s="135"/>
      <c r="CI67" s="135"/>
      <c r="CJ67" s="135"/>
      <c r="CK67" s="135"/>
      <c r="CL67" s="135"/>
      <c r="CM67" s="135"/>
      <c r="CN67" s="135"/>
      <c r="CO67" s="135"/>
      <c r="CP67" s="135"/>
      <c r="CQ67" s="135"/>
      <c r="CR67" s="135"/>
      <c r="CS67" s="135"/>
      <c r="CT67" s="135"/>
      <c r="CU67" s="135"/>
      <c r="CV67" s="135">
        <v>4</v>
      </c>
      <c r="CW67" s="135">
        <v>96</v>
      </c>
      <c r="CX67" s="135">
        <v>24</v>
      </c>
      <c r="CY67" s="135"/>
      <c r="CZ67" s="135">
        <v>120</v>
      </c>
      <c r="DA67" s="135"/>
      <c r="DB67" s="135">
        <v>4</v>
      </c>
      <c r="DC67" s="135">
        <v>96</v>
      </c>
      <c r="DD67" s="135">
        <v>24</v>
      </c>
      <c r="DE67" s="135"/>
      <c r="DF67" s="135">
        <v>120</v>
      </c>
      <c r="DG67" s="135"/>
      <c r="DH67" s="136"/>
      <c r="DI67" s="136"/>
      <c r="DJ67" s="136"/>
      <c r="DK67" s="136"/>
      <c r="DL67" s="136"/>
      <c r="DM67" s="136"/>
      <c r="DN67" s="136"/>
      <c r="DO67" s="136"/>
      <c r="DP67" s="136"/>
      <c r="DQ67" s="136"/>
      <c r="DR67" s="136"/>
      <c r="DS67" s="136"/>
      <c r="DT67" s="136"/>
      <c r="DU67" s="136"/>
      <c r="DV67" s="136"/>
      <c r="DW67" s="136"/>
      <c r="DX67" s="136"/>
      <c r="DY67" s="136"/>
      <c r="DZ67" s="136"/>
      <c r="EA67" s="136"/>
      <c r="EB67" s="136"/>
      <c r="EC67" s="136"/>
      <c r="ED67" s="136"/>
      <c r="EE67" s="136"/>
      <c r="EF67" s="136"/>
      <c r="EG67" s="136"/>
      <c r="EH67" s="136"/>
      <c r="EI67" s="136"/>
      <c r="EJ67" s="136"/>
      <c r="EK67" s="136"/>
      <c r="EL67" s="136"/>
      <c r="EM67" s="136"/>
      <c r="EN67" s="136"/>
      <c r="EO67" s="136"/>
      <c r="EP67" s="136"/>
      <c r="EQ67" s="136"/>
    </row>
    <row r="68" ht="31.5" spans="1:147">
      <c r="A68" s="130"/>
      <c r="B68" s="134"/>
      <c r="C68" s="134" t="s">
        <v>153</v>
      </c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135"/>
      <c r="AP68" s="135"/>
      <c r="AQ68" s="135"/>
      <c r="AR68" s="135"/>
      <c r="AS68" s="135"/>
      <c r="AT68" s="135"/>
      <c r="AU68" s="135"/>
      <c r="AV68" s="135"/>
      <c r="AW68" s="135"/>
      <c r="AX68" s="135"/>
      <c r="AY68" s="135"/>
      <c r="AZ68" s="135">
        <v>1</v>
      </c>
      <c r="BA68" s="135">
        <v>24</v>
      </c>
      <c r="BB68" s="135">
        <v>6</v>
      </c>
      <c r="BC68" s="135"/>
      <c r="BD68" s="135">
        <v>30</v>
      </c>
      <c r="BE68" s="135"/>
      <c r="BF68" s="135">
        <v>1</v>
      </c>
      <c r="BG68" s="135">
        <v>24</v>
      </c>
      <c r="BH68" s="135">
        <v>6</v>
      </c>
      <c r="BI68" s="135"/>
      <c r="BJ68" s="135">
        <v>30</v>
      </c>
      <c r="BK68" s="135"/>
      <c r="BL68" s="135">
        <v>2</v>
      </c>
      <c r="BM68" s="135">
        <v>48</v>
      </c>
      <c r="BN68" s="135">
        <v>12</v>
      </c>
      <c r="BO68" s="135"/>
      <c r="BP68" s="135">
        <v>60</v>
      </c>
      <c r="BQ68" s="135"/>
      <c r="BR68" s="135">
        <v>4</v>
      </c>
      <c r="BS68" s="135">
        <v>96</v>
      </c>
      <c r="BT68" s="135">
        <v>24</v>
      </c>
      <c r="BU68" s="135"/>
      <c r="BV68" s="135">
        <v>120</v>
      </c>
      <c r="BW68" s="135"/>
      <c r="BX68" s="135"/>
      <c r="BY68" s="135"/>
      <c r="BZ68" s="135"/>
      <c r="CA68" s="135"/>
      <c r="CB68" s="135"/>
      <c r="CC68" s="135"/>
      <c r="CD68" s="135"/>
      <c r="CE68" s="135"/>
      <c r="CF68" s="135"/>
      <c r="CG68" s="135"/>
      <c r="CH68" s="135"/>
      <c r="CI68" s="135"/>
      <c r="CJ68" s="135"/>
      <c r="CK68" s="135"/>
      <c r="CL68" s="135"/>
      <c r="CM68" s="135"/>
      <c r="CN68" s="135"/>
      <c r="CO68" s="135"/>
      <c r="CP68" s="135"/>
      <c r="CQ68" s="135"/>
      <c r="CR68" s="135"/>
      <c r="CS68" s="135"/>
      <c r="CT68" s="135"/>
      <c r="CU68" s="135"/>
      <c r="CV68" s="135">
        <v>4</v>
      </c>
      <c r="CW68" s="135">
        <v>96</v>
      </c>
      <c r="CX68" s="135">
        <v>24</v>
      </c>
      <c r="CY68" s="135"/>
      <c r="CZ68" s="135">
        <v>120</v>
      </c>
      <c r="DA68" s="135"/>
      <c r="DB68" s="135">
        <v>4</v>
      </c>
      <c r="DC68" s="135">
        <v>96</v>
      </c>
      <c r="DD68" s="135">
        <v>24</v>
      </c>
      <c r="DE68" s="135"/>
      <c r="DF68" s="135">
        <v>120</v>
      </c>
      <c r="DG68" s="135"/>
      <c r="DH68" s="136"/>
      <c r="DI68" s="136"/>
      <c r="DJ68" s="136"/>
      <c r="DK68" s="136"/>
      <c r="DL68" s="136"/>
      <c r="DM68" s="136"/>
      <c r="DN68" s="136"/>
      <c r="DO68" s="136"/>
      <c r="DP68" s="136"/>
      <c r="DQ68" s="136"/>
      <c r="DR68" s="136"/>
      <c r="DS68" s="136"/>
      <c r="DT68" s="136"/>
      <c r="DU68" s="136"/>
      <c r="DV68" s="136"/>
      <c r="DW68" s="136"/>
      <c r="DX68" s="136"/>
      <c r="DY68" s="136"/>
      <c r="DZ68" s="136"/>
      <c r="EA68" s="136"/>
      <c r="EB68" s="136"/>
      <c r="EC68" s="136"/>
      <c r="ED68" s="136"/>
      <c r="EE68" s="136"/>
      <c r="EF68" s="136"/>
      <c r="EG68" s="136"/>
      <c r="EH68" s="136"/>
      <c r="EI68" s="136"/>
      <c r="EJ68" s="136"/>
      <c r="EK68" s="136"/>
      <c r="EL68" s="136"/>
      <c r="EM68" s="136"/>
      <c r="EN68" s="136"/>
      <c r="EO68" s="136"/>
      <c r="EP68" s="136"/>
      <c r="EQ68" s="136"/>
    </row>
    <row r="69" ht="31.5" spans="1:147">
      <c r="A69" s="130"/>
      <c r="B69" s="134"/>
      <c r="C69" s="134" t="s">
        <v>157</v>
      </c>
      <c r="D69" s="135"/>
      <c r="E69" s="135"/>
      <c r="F69" s="135"/>
      <c r="G69" s="135"/>
      <c r="H69" s="135"/>
      <c r="I69" s="135"/>
      <c r="J69" s="135">
        <v>2</v>
      </c>
      <c r="K69" s="135">
        <v>48</v>
      </c>
      <c r="L69" s="135">
        <v>12</v>
      </c>
      <c r="M69" s="135"/>
      <c r="N69" s="135">
        <v>60</v>
      </c>
      <c r="O69" s="135"/>
      <c r="P69" s="135">
        <v>2</v>
      </c>
      <c r="Q69" s="135">
        <v>48</v>
      </c>
      <c r="R69" s="135">
        <v>12</v>
      </c>
      <c r="S69" s="135"/>
      <c r="T69" s="135">
        <v>60</v>
      </c>
      <c r="U69" s="135"/>
      <c r="V69" s="135">
        <v>4</v>
      </c>
      <c r="W69" s="135">
        <v>96</v>
      </c>
      <c r="X69" s="135">
        <v>24</v>
      </c>
      <c r="Y69" s="135"/>
      <c r="Z69" s="135">
        <v>120</v>
      </c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/>
      <c r="AL69" s="135"/>
      <c r="AM69" s="135"/>
      <c r="AN69" s="135"/>
      <c r="AO69" s="135"/>
      <c r="AP69" s="135"/>
      <c r="AQ69" s="135"/>
      <c r="AR69" s="135"/>
      <c r="AS69" s="135"/>
      <c r="AT69" s="135"/>
      <c r="AU69" s="135"/>
      <c r="AV69" s="135"/>
      <c r="AW69" s="135"/>
      <c r="AX69" s="135"/>
      <c r="AY69" s="135"/>
      <c r="AZ69" s="135"/>
      <c r="BA69" s="135"/>
      <c r="BB69" s="135"/>
      <c r="BC69" s="135"/>
      <c r="BD69" s="135"/>
      <c r="BE69" s="135"/>
      <c r="BF69" s="135"/>
      <c r="BG69" s="135"/>
      <c r="BH69" s="135"/>
      <c r="BI69" s="135"/>
      <c r="BJ69" s="135"/>
      <c r="BK69" s="135"/>
      <c r="BL69" s="135"/>
      <c r="BM69" s="135"/>
      <c r="BN69" s="135"/>
      <c r="BO69" s="135"/>
      <c r="BP69" s="135"/>
      <c r="BQ69" s="135"/>
      <c r="BR69" s="135"/>
      <c r="BS69" s="135"/>
      <c r="BT69" s="135"/>
      <c r="BU69" s="135"/>
      <c r="BV69" s="135"/>
      <c r="BW69" s="135"/>
      <c r="BX69" s="135"/>
      <c r="BY69" s="135"/>
      <c r="BZ69" s="135"/>
      <c r="CA69" s="135"/>
      <c r="CB69" s="135"/>
      <c r="CC69" s="135"/>
      <c r="CD69" s="135"/>
      <c r="CE69" s="135"/>
      <c r="CF69" s="135"/>
      <c r="CG69" s="135"/>
      <c r="CH69" s="135"/>
      <c r="CI69" s="135"/>
      <c r="CJ69" s="135"/>
      <c r="CK69" s="135"/>
      <c r="CL69" s="135"/>
      <c r="CM69" s="135"/>
      <c r="CN69" s="135"/>
      <c r="CO69" s="135"/>
      <c r="CP69" s="135"/>
      <c r="CQ69" s="135"/>
      <c r="CR69" s="135"/>
      <c r="CS69" s="135"/>
      <c r="CT69" s="135"/>
      <c r="CU69" s="135"/>
      <c r="CV69" s="135">
        <v>4</v>
      </c>
      <c r="CW69" s="135">
        <v>96</v>
      </c>
      <c r="CX69" s="135">
        <v>24</v>
      </c>
      <c r="CY69" s="135"/>
      <c r="CZ69" s="135">
        <v>120</v>
      </c>
      <c r="DA69" s="135"/>
      <c r="DB69" s="135">
        <v>4</v>
      </c>
      <c r="DC69" s="135">
        <v>96</v>
      </c>
      <c r="DD69" s="135">
        <v>24</v>
      </c>
      <c r="DE69" s="135"/>
      <c r="DF69" s="135">
        <v>120</v>
      </c>
      <c r="DG69" s="135"/>
      <c r="DH69" s="136"/>
      <c r="DI69" s="136"/>
      <c r="DJ69" s="136"/>
      <c r="DK69" s="136"/>
      <c r="DL69" s="136"/>
      <c r="DM69" s="136"/>
      <c r="DN69" s="136"/>
      <c r="DO69" s="136"/>
      <c r="DP69" s="136"/>
      <c r="DQ69" s="136"/>
      <c r="DR69" s="136"/>
      <c r="DS69" s="136"/>
      <c r="DT69" s="136"/>
      <c r="DU69" s="136"/>
      <c r="DV69" s="136"/>
      <c r="DW69" s="136"/>
      <c r="DX69" s="136"/>
      <c r="DY69" s="136"/>
      <c r="DZ69" s="136"/>
      <c r="EA69" s="136"/>
      <c r="EB69" s="136"/>
      <c r="EC69" s="136"/>
      <c r="ED69" s="136"/>
      <c r="EE69" s="136"/>
      <c r="EF69" s="136"/>
      <c r="EG69" s="136"/>
      <c r="EH69" s="136"/>
      <c r="EI69" s="136"/>
      <c r="EJ69" s="136"/>
      <c r="EK69" s="136"/>
      <c r="EL69" s="136"/>
      <c r="EM69" s="136"/>
      <c r="EN69" s="136"/>
      <c r="EO69" s="136"/>
      <c r="EP69" s="136"/>
      <c r="EQ69" s="136"/>
    </row>
    <row r="70" spans="1:147">
      <c r="A70" s="130"/>
      <c r="B70" s="134" t="s">
        <v>432</v>
      </c>
      <c r="C70" s="134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/>
      <c r="AL70" s="135"/>
      <c r="AM70" s="135"/>
      <c r="AN70" s="135"/>
      <c r="AO70" s="135"/>
      <c r="AP70" s="135"/>
      <c r="AQ70" s="135"/>
      <c r="AR70" s="135"/>
      <c r="AS70" s="135"/>
      <c r="AT70" s="135"/>
      <c r="AU70" s="135"/>
      <c r="AV70" s="135"/>
      <c r="AW70" s="135"/>
      <c r="AX70" s="135"/>
      <c r="AY70" s="135"/>
      <c r="AZ70" s="135"/>
      <c r="BA70" s="135"/>
      <c r="BB70" s="135"/>
      <c r="BC70" s="135"/>
      <c r="BD70" s="135"/>
      <c r="BE70" s="135"/>
      <c r="BF70" s="135"/>
      <c r="BG70" s="135"/>
      <c r="BH70" s="135"/>
      <c r="BI70" s="135"/>
      <c r="BJ70" s="135"/>
      <c r="BK70" s="135"/>
      <c r="BL70" s="135"/>
      <c r="BM70" s="135"/>
      <c r="BN70" s="135"/>
      <c r="BO70" s="135"/>
      <c r="BP70" s="135"/>
      <c r="BQ70" s="135"/>
      <c r="BR70" s="135"/>
      <c r="BS70" s="135"/>
      <c r="BT70" s="135"/>
      <c r="BU70" s="135"/>
      <c r="BV70" s="135"/>
      <c r="BW70" s="135"/>
      <c r="BX70" s="135"/>
      <c r="BY70" s="135"/>
      <c r="BZ70" s="135"/>
      <c r="CA70" s="135"/>
      <c r="CB70" s="135"/>
      <c r="CC70" s="135"/>
      <c r="CD70" s="135"/>
      <c r="CE70" s="135"/>
      <c r="CF70" s="135"/>
      <c r="CG70" s="135"/>
      <c r="CH70" s="135"/>
      <c r="CI70" s="135"/>
      <c r="CJ70" s="135"/>
      <c r="CK70" s="135"/>
      <c r="CL70" s="135"/>
      <c r="CM70" s="135"/>
      <c r="CN70" s="135"/>
      <c r="CO70" s="135"/>
      <c r="CP70" s="135"/>
      <c r="CQ70" s="135"/>
      <c r="CR70" s="135"/>
      <c r="CS70" s="135"/>
      <c r="CT70" s="135"/>
      <c r="CU70" s="135"/>
      <c r="CV70" s="135"/>
      <c r="CW70" s="135"/>
      <c r="CX70" s="135"/>
      <c r="CY70" s="135"/>
      <c r="CZ70" s="135"/>
      <c r="DA70" s="135"/>
      <c r="DB70" s="135"/>
      <c r="DC70" s="135"/>
      <c r="DD70" s="135"/>
      <c r="DE70" s="135"/>
      <c r="DF70" s="135"/>
      <c r="DG70" s="135"/>
      <c r="DH70" s="136"/>
      <c r="DI70" s="136"/>
      <c r="DJ70" s="136"/>
      <c r="DK70" s="136"/>
      <c r="DL70" s="136"/>
      <c r="DM70" s="136"/>
      <c r="DN70" s="136"/>
      <c r="DO70" s="136"/>
      <c r="DP70" s="136"/>
      <c r="DQ70" s="136"/>
      <c r="DR70" s="136"/>
      <c r="DS70" s="136"/>
      <c r="DT70" s="136"/>
      <c r="DU70" s="136"/>
      <c r="DV70" s="136"/>
      <c r="DW70" s="136"/>
      <c r="DX70" s="136"/>
      <c r="DY70" s="136"/>
      <c r="DZ70" s="136"/>
      <c r="EA70" s="136"/>
      <c r="EB70" s="136"/>
      <c r="EC70" s="136"/>
      <c r="ED70" s="136"/>
      <c r="EE70" s="136"/>
      <c r="EF70" s="136"/>
      <c r="EG70" s="136"/>
      <c r="EH70" s="136"/>
      <c r="EI70" s="136"/>
      <c r="EJ70" s="136"/>
      <c r="EK70" s="136"/>
      <c r="EL70" s="136"/>
      <c r="EM70" s="136"/>
      <c r="EN70" s="136"/>
      <c r="EO70" s="136"/>
      <c r="EP70" s="136"/>
      <c r="EQ70" s="136"/>
    </row>
    <row r="71" ht="31.5" spans="1:147">
      <c r="A71" s="130"/>
      <c r="B71" s="134"/>
      <c r="C71" s="134" t="s">
        <v>135</v>
      </c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>
        <v>1</v>
      </c>
      <c r="AC71" s="135">
        <v>24</v>
      </c>
      <c r="AD71" s="135">
        <v>6</v>
      </c>
      <c r="AE71" s="135"/>
      <c r="AF71" s="135">
        <v>30</v>
      </c>
      <c r="AG71" s="135"/>
      <c r="AH71" s="135">
        <v>1</v>
      </c>
      <c r="AI71" s="135">
        <v>24</v>
      </c>
      <c r="AJ71" s="135">
        <v>6</v>
      </c>
      <c r="AK71" s="135"/>
      <c r="AL71" s="135">
        <v>30</v>
      </c>
      <c r="AM71" s="135"/>
      <c r="AN71" s="135"/>
      <c r="AO71" s="135"/>
      <c r="AP71" s="135"/>
      <c r="AQ71" s="135"/>
      <c r="AR71" s="135"/>
      <c r="AS71" s="135"/>
      <c r="AT71" s="135">
        <v>2</v>
      </c>
      <c r="AU71" s="135">
        <v>48</v>
      </c>
      <c r="AV71" s="135">
        <v>12</v>
      </c>
      <c r="AW71" s="135"/>
      <c r="AX71" s="135">
        <v>60</v>
      </c>
      <c r="AY71" s="135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/>
      <c r="BJ71" s="135"/>
      <c r="BK71" s="135"/>
      <c r="BL71" s="135"/>
      <c r="BM71" s="135"/>
      <c r="BN71" s="135"/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5"/>
      <c r="CB71" s="135"/>
      <c r="CC71" s="135"/>
      <c r="CD71" s="135"/>
      <c r="CE71" s="135"/>
      <c r="CF71" s="135"/>
      <c r="CG71" s="135"/>
      <c r="CH71" s="135"/>
      <c r="CI71" s="135"/>
      <c r="CJ71" s="135"/>
      <c r="CK71" s="135"/>
      <c r="CL71" s="135"/>
      <c r="CM71" s="135"/>
      <c r="CN71" s="135"/>
      <c r="CO71" s="135"/>
      <c r="CP71" s="135"/>
      <c r="CQ71" s="135"/>
      <c r="CR71" s="135"/>
      <c r="CS71" s="135"/>
      <c r="CT71" s="135"/>
      <c r="CU71" s="135"/>
      <c r="CV71" s="135">
        <v>2</v>
      </c>
      <c r="CW71" s="135">
        <v>48</v>
      </c>
      <c r="CX71" s="135">
        <v>12</v>
      </c>
      <c r="CY71" s="135"/>
      <c r="CZ71" s="135">
        <v>60</v>
      </c>
      <c r="DA71" s="135"/>
      <c r="DB71" s="135">
        <v>2</v>
      </c>
      <c r="DC71" s="135">
        <v>48</v>
      </c>
      <c r="DD71" s="135">
        <v>12</v>
      </c>
      <c r="DE71" s="135"/>
      <c r="DF71" s="135">
        <v>60</v>
      </c>
      <c r="DG71" s="135"/>
      <c r="DH71" s="136"/>
      <c r="DI71" s="136"/>
      <c r="DJ71" s="136"/>
      <c r="DK71" s="136"/>
      <c r="DL71" s="136"/>
      <c r="DM71" s="136"/>
      <c r="DN71" s="136"/>
      <c r="DO71" s="136"/>
      <c r="DP71" s="136"/>
      <c r="DQ71" s="136"/>
      <c r="DR71" s="136"/>
      <c r="DS71" s="136"/>
      <c r="DT71" s="136"/>
      <c r="DU71" s="136"/>
      <c r="DV71" s="136"/>
      <c r="DW71" s="136"/>
      <c r="DX71" s="136"/>
      <c r="DY71" s="136"/>
      <c r="DZ71" s="136"/>
      <c r="EA71" s="136"/>
      <c r="EB71" s="136"/>
      <c r="EC71" s="136"/>
      <c r="ED71" s="136"/>
      <c r="EE71" s="136"/>
      <c r="EF71" s="136"/>
      <c r="EG71" s="136"/>
      <c r="EH71" s="136"/>
      <c r="EI71" s="136"/>
      <c r="EJ71" s="136"/>
      <c r="EK71" s="136"/>
      <c r="EL71" s="136"/>
      <c r="EM71" s="136"/>
      <c r="EN71" s="136"/>
      <c r="EO71" s="136"/>
      <c r="EP71" s="136"/>
      <c r="EQ71" s="136"/>
    </row>
    <row r="72" ht="31.5" spans="1:147">
      <c r="A72" s="130"/>
      <c r="B72" s="134" t="s">
        <v>359</v>
      </c>
      <c r="C72" s="134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  <c r="BI72" s="135"/>
      <c r="BJ72" s="135"/>
      <c r="BK72" s="135"/>
      <c r="BL72" s="135"/>
      <c r="BM72" s="135"/>
      <c r="BN72" s="135"/>
      <c r="BO72" s="135"/>
      <c r="BP72" s="135"/>
      <c r="BQ72" s="135"/>
      <c r="BR72" s="135"/>
      <c r="BS72" s="135"/>
      <c r="BT72" s="135"/>
      <c r="BU72" s="135"/>
      <c r="BV72" s="135"/>
      <c r="BW72" s="135"/>
      <c r="BX72" s="135"/>
      <c r="BY72" s="135"/>
      <c r="BZ72" s="135"/>
      <c r="CA72" s="135"/>
      <c r="CB72" s="135"/>
      <c r="CC72" s="135"/>
      <c r="CD72" s="135"/>
      <c r="CE72" s="135"/>
      <c r="CF72" s="135"/>
      <c r="CG72" s="135"/>
      <c r="CH72" s="135"/>
      <c r="CI72" s="135"/>
      <c r="CJ72" s="135"/>
      <c r="CK72" s="135"/>
      <c r="CL72" s="135"/>
      <c r="CM72" s="135"/>
      <c r="CN72" s="135"/>
      <c r="CO72" s="135"/>
      <c r="CP72" s="135"/>
      <c r="CQ72" s="135"/>
      <c r="CR72" s="135"/>
      <c r="CS72" s="135"/>
      <c r="CT72" s="135"/>
      <c r="CU72" s="135"/>
      <c r="CV72" s="135"/>
      <c r="CW72" s="135"/>
      <c r="CX72" s="135"/>
      <c r="CY72" s="135"/>
      <c r="CZ72" s="135"/>
      <c r="DA72" s="135"/>
      <c r="DB72" s="135"/>
      <c r="DC72" s="135"/>
      <c r="DD72" s="135"/>
      <c r="DE72" s="135"/>
      <c r="DF72" s="135"/>
      <c r="DG72" s="135"/>
      <c r="DH72" s="136"/>
      <c r="DI72" s="136"/>
      <c r="DJ72" s="136"/>
      <c r="DK72" s="136"/>
      <c r="DL72" s="136"/>
      <c r="DM72" s="136"/>
      <c r="DN72" s="136"/>
      <c r="DO72" s="136"/>
      <c r="DP72" s="136"/>
      <c r="DQ72" s="136"/>
      <c r="DR72" s="136"/>
      <c r="DS72" s="136"/>
      <c r="DT72" s="136"/>
      <c r="DU72" s="136"/>
      <c r="DV72" s="136"/>
      <c r="DW72" s="136"/>
      <c r="DX72" s="136"/>
      <c r="DY72" s="136"/>
      <c r="DZ72" s="136"/>
      <c r="EA72" s="136"/>
      <c r="EB72" s="136"/>
      <c r="EC72" s="136"/>
      <c r="ED72" s="136"/>
      <c r="EE72" s="136"/>
      <c r="EF72" s="136"/>
      <c r="EG72" s="136"/>
      <c r="EH72" s="136"/>
      <c r="EI72" s="136"/>
      <c r="EJ72" s="136"/>
      <c r="EK72" s="136"/>
      <c r="EL72" s="136"/>
      <c r="EM72" s="136"/>
      <c r="EN72" s="136"/>
      <c r="EO72" s="136"/>
      <c r="EP72" s="136"/>
      <c r="EQ72" s="136"/>
    </row>
    <row r="73" ht="31.5" spans="1:147">
      <c r="A73" s="130"/>
      <c r="B73" s="134"/>
      <c r="C73" s="134" t="s">
        <v>145</v>
      </c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>
        <v>1000</v>
      </c>
      <c r="AC73" s="135"/>
      <c r="AD73" s="135"/>
      <c r="AE73" s="135"/>
      <c r="AF73" s="135">
        <v>0</v>
      </c>
      <c r="AG73" s="135"/>
      <c r="AH73" s="135">
        <v>1000</v>
      </c>
      <c r="AI73" s="135"/>
      <c r="AJ73" s="135"/>
      <c r="AK73" s="135"/>
      <c r="AL73" s="135">
        <v>0</v>
      </c>
      <c r="AM73" s="135"/>
      <c r="AN73" s="135">
        <v>1000</v>
      </c>
      <c r="AO73" s="135"/>
      <c r="AP73" s="135"/>
      <c r="AQ73" s="135"/>
      <c r="AR73" s="135">
        <v>0</v>
      </c>
      <c r="AS73" s="135"/>
      <c r="AT73" s="135">
        <v>3000</v>
      </c>
      <c r="AU73" s="135"/>
      <c r="AV73" s="135"/>
      <c r="AW73" s="135"/>
      <c r="AX73" s="135">
        <v>0</v>
      </c>
      <c r="AY73" s="135"/>
      <c r="AZ73" s="135">
        <v>1000</v>
      </c>
      <c r="BA73" s="135"/>
      <c r="BB73" s="135"/>
      <c r="BC73" s="135"/>
      <c r="BD73" s="135">
        <v>0</v>
      </c>
      <c r="BE73" s="135"/>
      <c r="BF73" s="135">
        <v>1000</v>
      </c>
      <c r="BG73" s="135"/>
      <c r="BH73" s="135"/>
      <c r="BI73" s="135"/>
      <c r="BJ73" s="135">
        <v>0</v>
      </c>
      <c r="BK73" s="135"/>
      <c r="BL73" s="135">
        <v>1000</v>
      </c>
      <c r="BM73" s="135"/>
      <c r="BN73" s="135"/>
      <c r="BO73" s="135"/>
      <c r="BP73" s="135">
        <v>0</v>
      </c>
      <c r="BQ73" s="135"/>
      <c r="BR73" s="135">
        <v>3000</v>
      </c>
      <c r="BS73" s="135"/>
      <c r="BT73" s="135"/>
      <c r="BU73" s="135"/>
      <c r="BV73" s="135">
        <v>0</v>
      </c>
      <c r="BW73" s="135"/>
      <c r="BX73" s="135"/>
      <c r="BY73" s="135"/>
      <c r="BZ73" s="135"/>
      <c r="CA73" s="135"/>
      <c r="CB73" s="135"/>
      <c r="CC73" s="135"/>
      <c r="CD73" s="135"/>
      <c r="CE73" s="135"/>
      <c r="CF73" s="135"/>
      <c r="CG73" s="135"/>
      <c r="CH73" s="135"/>
      <c r="CI73" s="135"/>
      <c r="CJ73" s="135"/>
      <c r="CK73" s="135"/>
      <c r="CL73" s="135"/>
      <c r="CM73" s="135"/>
      <c r="CN73" s="135"/>
      <c r="CO73" s="135"/>
      <c r="CP73" s="135"/>
      <c r="CQ73" s="135"/>
      <c r="CR73" s="135"/>
      <c r="CS73" s="135"/>
      <c r="CT73" s="135"/>
      <c r="CU73" s="135"/>
      <c r="CV73" s="135">
        <v>6000</v>
      </c>
      <c r="CW73" s="135"/>
      <c r="CX73" s="135"/>
      <c r="CY73" s="135"/>
      <c r="CZ73" s="135">
        <v>0</v>
      </c>
      <c r="DA73" s="135"/>
      <c r="DB73" s="135">
        <v>6000</v>
      </c>
      <c r="DC73" s="135"/>
      <c r="DD73" s="135"/>
      <c r="DE73" s="135"/>
      <c r="DF73" s="135">
        <v>0</v>
      </c>
      <c r="DG73" s="135"/>
      <c r="DH73" s="136"/>
      <c r="DI73" s="136"/>
      <c r="DJ73" s="136"/>
      <c r="DK73" s="136"/>
      <c r="DL73" s="136"/>
      <c r="DM73" s="136"/>
      <c r="DN73" s="136"/>
      <c r="DO73" s="136"/>
      <c r="DP73" s="136"/>
      <c r="DQ73" s="136"/>
      <c r="DR73" s="136"/>
      <c r="DS73" s="136"/>
      <c r="DT73" s="136"/>
      <c r="DU73" s="136"/>
      <c r="DV73" s="136"/>
      <c r="DW73" s="136"/>
      <c r="DX73" s="136"/>
      <c r="DY73" s="136"/>
      <c r="DZ73" s="136"/>
      <c r="EA73" s="136"/>
      <c r="EB73" s="136"/>
      <c r="EC73" s="136"/>
      <c r="ED73" s="136"/>
      <c r="EE73" s="136"/>
      <c r="EF73" s="136"/>
      <c r="EG73" s="136"/>
      <c r="EH73" s="136"/>
      <c r="EI73" s="136"/>
      <c r="EJ73" s="136"/>
      <c r="EK73" s="136"/>
      <c r="EL73" s="136"/>
      <c r="EM73" s="136"/>
      <c r="EN73" s="136"/>
      <c r="EO73" s="136"/>
      <c r="EP73" s="136"/>
      <c r="EQ73" s="136"/>
    </row>
    <row r="74" ht="31.5" spans="1:147">
      <c r="A74" s="130"/>
      <c r="B74" s="134"/>
      <c r="C74" s="134" t="s">
        <v>151</v>
      </c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  <c r="AM74" s="135"/>
      <c r="AN74" s="135"/>
      <c r="AO74" s="135"/>
      <c r="AP74" s="135"/>
      <c r="AQ74" s="135"/>
      <c r="AR74" s="135"/>
      <c r="AS74" s="135"/>
      <c r="AT74" s="135"/>
      <c r="AU74" s="135"/>
      <c r="AV74" s="135"/>
      <c r="AW74" s="135"/>
      <c r="AX74" s="135"/>
      <c r="AY74" s="135"/>
      <c r="AZ74" s="135">
        <v>1000</v>
      </c>
      <c r="BA74" s="135"/>
      <c r="BB74" s="135"/>
      <c r="BC74" s="135"/>
      <c r="BD74" s="135">
        <v>0</v>
      </c>
      <c r="BE74" s="135"/>
      <c r="BF74" s="135">
        <v>1000</v>
      </c>
      <c r="BG74" s="135"/>
      <c r="BH74" s="135"/>
      <c r="BI74" s="135"/>
      <c r="BJ74" s="135">
        <v>0</v>
      </c>
      <c r="BK74" s="135"/>
      <c r="BL74" s="135">
        <v>1000</v>
      </c>
      <c r="BM74" s="135"/>
      <c r="BN74" s="135"/>
      <c r="BO74" s="135"/>
      <c r="BP74" s="135">
        <v>0</v>
      </c>
      <c r="BQ74" s="135"/>
      <c r="BR74" s="135">
        <v>3000</v>
      </c>
      <c r="BS74" s="135"/>
      <c r="BT74" s="135"/>
      <c r="BU74" s="135"/>
      <c r="BV74" s="135">
        <v>0</v>
      </c>
      <c r="BW74" s="135"/>
      <c r="BX74" s="135">
        <v>1000</v>
      </c>
      <c r="BY74" s="135"/>
      <c r="BZ74" s="135"/>
      <c r="CA74" s="135"/>
      <c r="CB74" s="135">
        <v>0</v>
      </c>
      <c r="CC74" s="135"/>
      <c r="CD74" s="135">
        <v>1000</v>
      </c>
      <c r="CE74" s="135"/>
      <c r="CF74" s="135"/>
      <c r="CG74" s="135"/>
      <c r="CH74" s="135">
        <v>0</v>
      </c>
      <c r="CI74" s="135"/>
      <c r="CJ74" s="135"/>
      <c r="CK74" s="135"/>
      <c r="CL74" s="135"/>
      <c r="CM74" s="135"/>
      <c r="CN74" s="135"/>
      <c r="CO74" s="135"/>
      <c r="CP74" s="135">
        <v>2000</v>
      </c>
      <c r="CQ74" s="135"/>
      <c r="CR74" s="135"/>
      <c r="CS74" s="135"/>
      <c r="CT74" s="135">
        <v>0</v>
      </c>
      <c r="CU74" s="135"/>
      <c r="CV74" s="135">
        <v>5000</v>
      </c>
      <c r="CW74" s="135"/>
      <c r="CX74" s="135"/>
      <c r="CY74" s="135"/>
      <c r="CZ74" s="135">
        <v>0</v>
      </c>
      <c r="DA74" s="135"/>
      <c r="DB74" s="135">
        <v>5000</v>
      </c>
      <c r="DC74" s="135"/>
      <c r="DD74" s="135"/>
      <c r="DE74" s="135"/>
      <c r="DF74" s="135">
        <v>0</v>
      </c>
      <c r="DG74" s="135"/>
      <c r="DH74" s="136"/>
      <c r="DI74" s="136"/>
      <c r="DJ74" s="136"/>
      <c r="DK74" s="136"/>
      <c r="DL74" s="136"/>
      <c r="DM74" s="136"/>
      <c r="DN74" s="136"/>
      <c r="DO74" s="136"/>
      <c r="DP74" s="136"/>
      <c r="DQ74" s="136"/>
      <c r="DR74" s="136"/>
      <c r="DS74" s="136"/>
      <c r="DT74" s="136"/>
      <c r="DU74" s="136"/>
      <c r="DV74" s="136"/>
      <c r="DW74" s="136"/>
      <c r="DX74" s="136"/>
      <c r="DY74" s="136"/>
      <c r="DZ74" s="136"/>
      <c r="EA74" s="136"/>
      <c r="EB74" s="136"/>
      <c r="EC74" s="136"/>
      <c r="ED74" s="136"/>
      <c r="EE74" s="136"/>
      <c r="EF74" s="136"/>
      <c r="EG74" s="136"/>
      <c r="EH74" s="136"/>
      <c r="EI74" s="136"/>
      <c r="EJ74" s="136"/>
      <c r="EK74" s="136"/>
      <c r="EL74" s="136"/>
      <c r="EM74" s="136"/>
      <c r="EN74" s="136"/>
      <c r="EO74" s="136"/>
      <c r="EP74" s="136"/>
      <c r="EQ74" s="136"/>
    </row>
    <row r="75" ht="31.5" spans="1:147">
      <c r="A75" s="130"/>
      <c r="B75" s="134"/>
      <c r="C75" s="134" t="s">
        <v>155</v>
      </c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  <c r="AK75" s="135"/>
      <c r="AL75" s="135"/>
      <c r="AM75" s="135"/>
      <c r="AN75" s="135"/>
      <c r="AO75" s="135"/>
      <c r="AP75" s="135"/>
      <c r="AQ75" s="135"/>
      <c r="AR75" s="135"/>
      <c r="AS75" s="135"/>
      <c r="AT75" s="135"/>
      <c r="AU75" s="135"/>
      <c r="AV75" s="135"/>
      <c r="AW75" s="135"/>
      <c r="AX75" s="135"/>
      <c r="AY75" s="135"/>
      <c r="AZ75" s="135">
        <v>200</v>
      </c>
      <c r="BA75" s="135"/>
      <c r="BB75" s="135"/>
      <c r="BC75" s="135"/>
      <c r="BD75" s="135">
        <v>0</v>
      </c>
      <c r="BE75" s="135"/>
      <c r="BF75" s="135"/>
      <c r="BG75" s="135"/>
      <c r="BH75" s="135"/>
      <c r="BI75" s="135"/>
      <c r="BJ75" s="135"/>
      <c r="BK75" s="135"/>
      <c r="BL75" s="135"/>
      <c r="BM75" s="135"/>
      <c r="BN75" s="135"/>
      <c r="BO75" s="135"/>
      <c r="BP75" s="135"/>
      <c r="BQ75" s="135"/>
      <c r="BR75" s="135">
        <v>200</v>
      </c>
      <c r="BS75" s="135"/>
      <c r="BT75" s="135"/>
      <c r="BU75" s="135"/>
      <c r="BV75" s="135">
        <v>0</v>
      </c>
      <c r="BW75" s="135"/>
      <c r="BX75" s="135"/>
      <c r="BY75" s="135"/>
      <c r="BZ75" s="135"/>
      <c r="CA75" s="135"/>
      <c r="CB75" s="135"/>
      <c r="CC75" s="135"/>
      <c r="CD75" s="135"/>
      <c r="CE75" s="135"/>
      <c r="CF75" s="135"/>
      <c r="CG75" s="135"/>
      <c r="CH75" s="135"/>
      <c r="CI75" s="135"/>
      <c r="CJ75" s="135"/>
      <c r="CK75" s="135"/>
      <c r="CL75" s="135"/>
      <c r="CM75" s="135"/>
      <c r="CN75" s="135"/>
      <c r="CO75" s="135"/>
      <c r="CP75" s="135"/>
      <c r="CQ75" s="135"/>
      <c r="CR75" s="135"/>
      <c r="CS75" s="135"/>
      <c r="CT75" s="135"/>
      <c r="CU75" s="135"/>
      <c r="CV75" s="135">
        <v>200</v>
      </c>
      <c r="CW75" s="135"/>
      <c r="CX75" s="135"/>
      <c r="CY75" s="135"/>
      <c r="CZ75" s="135">
        <v>0</v>
      </c>
      <c r="DA75" s="135"/>
      <c r="DB75" s="135">
        <v>200</v>
      </c>
      <c r="DC75" s="135"/>
      <c r="DD75" s="135"/>
      <c r="DE75" s="135"/>
      <c r="DF75" s="135">
        <v>0</v>
      </c>
      <c r="DG75" s="135"/>
      <c r="DH75" s="136"/>
      <c r="DI75" s="136"/>
      <c r="DJ75" s="136"/>
      <c r="DK75" s="136"/>
      <c r="DL75" s="136"/>
      <c r="DM75" s="136"/>
      <c r="DN75" s="136"/>
      <c r="DO75" s="136"/>
      <c r="DP75" s="136"/>
      <c r="DQ75" s="136"/>
      <c r="DR75" s="136"/>
      <c r="DS75" s="136"/>
      <c r="DT75" s="136"/>
      <c r="DU75" s="136"/>
      <c r="DV75" s="136"/>
      <c r="DW75" s="136"/>
      <c r="DX75" s="136"/>
      <c r="DY75" s="136"/>
      <c r="DZ75" s="136"/>
      <c r="EA75" s="136"/>
      <c r="EB75" s="136"/>
      <c r="EC75" s="136"/>
      <c r="ED75" s="136"/>
      <c r="EE75" s="136"/>
      <c r="EF75" s="136"/>
      <c r="EG75" s="136"/>
      <c r="EH75" s="136"/>
      <c r="EI75" s="136"/>
      <c r="EJ75" s="136"/>
      <c r="EK75" s="136"/>
      <c r="EL75" s="136"/>
      <c r="EM75" s="136"/>
      <c r="EN75" s="136"/>
      <c r="EO75" s="136"/>
      <c r="EP75" s="136"/>
      <c r="EQ75" s="136"/>
    </row>
    <row r="76" ht="31.5" spans="1:147">
      <c r="A76" s="130"/>
      <c r="B76" s="134"/>
      <c r="C76" s="134" t="s">
        <v>159</v>
      </c>
      <c r="D76" s="135"/>
      <c r="E76" s="135"/>
      <c r="F76" s="135"/>
      <c r="G76" s="135"/>
      <c r="H76" s="135"/>
      <c r="I76" s="135"/>
      <c r="J76" s="135">
        <v>200</v>
      </c>
      <c r="K76" s="135"/>
      <c r="L76" s="135"/>
      <c r="M76" s="135"/>
      <c r="N76" s="135">
        <v>0</v>
      </c>
      <c r="O76" s="135"/>
      <c r="P76" s="135"/>
      <c r="Q76" s="135"/>
      <c r="R76" s="135"/>
      <c r="S76" s="135"/>
      <c r="T76" s="135"/>
      <c r="U76" s="135"/>
      <c r="V76" s="135">
        <v>200</v>
      </c>
      <c r="W76" s="135"/>
      <c r="X76" s="135"/>
      <c r="Y76" s="135"/>
      <c r="Z76" s="135">
        <v>0</v>
      </c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  <c r="AK76" s="135"/>
      <c r="AL76" s="135"/>
      <c r="AM76" s="135"/>
      <c r="AN76" s="135"/>
      <c r="AO76" s="135"/>
      <c r="AP76" s="135"/>
      <c r="AQ76" s="135"/>
      <c r="AR76" s="135"/>
      <c r="AS76" s="135"/>
      <c r="AT76" s="135"/>
      <c r="AU76" s="135"/>
      <c r="AV76" s="135"/>
      <c r="AW76" s="135"/>
      <c r="AX76" s="135"/>
      <c r="AY76" s="135"/>
      <c r="AZ76" s="135"/>
      <c r="BA76" s="135"/>
      <c r="BB76" s="135"/>
      <c r="BC76" s="135"/>
      <c r="BD76" s="135"/>
      <c r="BE76" s="135"/>
      <c r="BF76" s="135"/>
      <c r="BG76" s="135"/>
      <c r="BH76" s="135"/>
      <c r="BI76" s="135"/>
      <c r="BJ76" s="135"/>
      <c r="BK76" s="135"/>
      <c r="BL76" s="135"/>
      <c r="BM76" s="135"/>
      <c r="BN76" s="135"/>
      <c r="BO76" s="135"/>
      <c r="BP76" s="135"/>
      <c r="BQ76" s="135"/>
      <c r="BR76" s="135"/>
      <c r="BS76" s="135"/>
      <c r="BT76" s="135"/>
      <c r="BU76" s="135"/>
      <c r="BV76" s="135"/>
      <c r="BW76" s="135"/>
      <c r="BX76" s="135"/>
      <c r="BY76" s="135"/>
      <c r="BZ76" s="135"/>
      <c r="CA76" s="135"/>
      <c r="CB76" s="135"/>
      <c r="CC76" s="135"/>
      <c r="CD76" s="135"/>
      <c r="CE76" s="135"/>
      <c r="CF76" s="135"/>
      <c r="CG76" s="135"/>
      <c r="CH76" s="135"/>
      <c r="CI76" s="135"/>
      <c r="CJ76" s="135"/>
      <c r="CK76" s="135"/>
      <c r="CL76" s="135"/>
      <c r="CM76" s="135"/>
      <c r="CN76" s="135"/>
      <c r="CO76" s="135"/>
      <c r="CP76" s="135"/>
      <c r="CQ76" s="135"/>
      <c r="CR76" s="135"/>
      <c r="CS76" s="135"/>
      <c r="CT76" s="135"/>
      <c r="CU76" s="135"/>
      <c r="CV76" s="135">
        <v>200</v>
      </c>
      <c r="CW76" s="135"/>
      <c r="CX76" s="135"/>
      <c r="CY76" s="135"/>
      <c r="CZ76" s="135">
        <v>0</v>
      </c>
      <c r="DA76" s="135"/>
      <c r="DB76" s="135">
        <v>200</v>
      </c>
      <c r="DC76" s="135"/>
      <c r="DD76" s="135"/>
      <c r="DE76" s="135"/>
      <c r="DF76" s="135">
        <v>0</v>
      </c>
      <c r="DG76" s="135"/>
      <c r="DH76" s="136"/>
      <c r="DI76" s="136"/>
      <c r="DJ76" s="136"/>
      <c r="DK76" s="136"/>
      <c r="DL76" s="136"/>
      <c r="DM76" s="136"/>
      <c r="DN76" s="136"/>
      <c r="DO76" s="136"/>
      <c r="DP76" s="136"/>
      <c r="DQ76" s="136"/>
      <c r="DR76" s="136"/>
      <c r="DS76" s="136"/>
      <c r="DT76" s="136"/>
      <c r="DU76" s="136"/>
      <c r="DV76" s="136"/>
      <c r="DW76" s="136"/>
      <c r="DX76" s="136"/>
      <c r="DY76" s="136"/>
      <c r="DZ76" s="136"/>
      <c r="EA76" s="136"/>
      <c r="EB76" s="136"/>
      <c r="EC76" s="136"/>
      <c r="ED76" s="136"/>
      <c r="EE76" s="136"/>
      <c r="EF76" s="136"/>
      <c r="EG76" s="136"/>
      <c r="EH76" s="136"/>
      <c r="EI76" s="136"/>
      <c r="EJ76" s="136"/>
      <c r="EK76" s="136"/>
      <c r="EL76" s="136"/>
      <c r="EM76" s="136"/>
      <c r="EN76" s="136"/>
      <c r="EO76" s="136"/>
      <c r="EP76" s="136"/>
      <c r="EQ76" s="136"/>
    </row>
    <row r="77" ht="31.5" spans="1:147">
      <c r="A77" s="130"/>
      <c r="B77" s="134"/>
      <c r="C77" s="134" t="s">
        <v>161</v>
      </c>
      <c r="D77" s="135"/>
      <c r="E77" s="135"/>
      <c r="F77" s="135"/>
      <c r="G77" s="135"/>
      <c r="H77" s="135"/>
      <c r="I77" s="135"/>
      <c r="J77" s="135">
        <v>1</v>
      </c>
      <c r="K77" s="135"/>
      <c r="L77" s="135"/>
      <c r="M77" s="135"/>
      <c r="N77" s="135">
        <v>0</v>
      </c>
      <c r="O77" s="135"/>
      <c r="P77" s="135">
        <v>1</v>
      </c>
      <c r="Q77" s="135"/>
      <c r="R77" s="135"/>
      <c r="S77" s="135"/>
      <c r="T77" s="135">
        <v>0</v>
      </c>
      <c r="U77" s="135"/>
      <c r="V77" s="135">
        <v>2</v>
      </c>
      <c r="W77" s="135"/>
      <c r="X77" s="135"/>
      <c r="Y77" s="135"/>
      <c r="Z77" s="135">
        <v>0</v>
      </c>
      <c r="AA77" s="135"/>
      <c r="AB77" s="135">
        <v>1</v>
      </c>
      <c r="AC77" s="135"/>
      <c r="AD77" s="135"/>
      <c r="AE77" s="135"/>
      <c r="AF77" s="135">
        <v>0</v>
      </c>
      <c r="AG77" s="135"/>
      <c r="AH77" s="135">
        <v>1</v>
      </c>
      <c r="AI77" s="135"/>
      <c r="AJ77" s="135"/>
      <c r="AK77" s="135"/>
      <c r="AL77" s="135">
        <v>0</v>
      </c>
      <c r="AM77" s="135"/>
      <c r="AN77" s="135">
        <v>1</v>
      </c>
      <c r="AO77" s="135"/>
      <c r="AP77" s="135"/>
      <c r="AQ77" s="135"/>
      <c r="AR77" s="135">
        <v>0</v>
      </c>
      <c r="AS77" s="135"/>
      <c r="AT77" s="135">
        <v>3</v>
      </c>
      <c r="AU77" s="135"/>
      <c r="AV77" s="135"/>
      <c r="AW77" s="135"/>
      <c r="AX77" s="135">
        <v>0</v>
      </c>
      <c r="AY77" s="135"/>
      <c r="AZ77" s="135"/>
      <c r="BA77" s="135"/>
      <c r="BB77" s="135"/>
      <c r="BC77" s="135"/>
      <c r="BD77" s="135"/>
      <c r="BE77" s="135"/>
      <c r="BF77" s="135"/>
      <c r="BG77" s="135"/>
      <c r="BH77" s="135"/>
      <c r="BI77" s="135"/>
      <c r="BJ77" s="135"/>
      <c r="BK77" s="135"/>
      <c r="BL77" s="135"/>
      <c r="BM77" s="135"/>
      <c r="BN77" s="135"/>
      <c r="BO77" s="135"/>
      <c r="BP77" s="135"/>
      <c r="BQ77" s="135"/>
      <c r="BR77" s="135"/>
      <c r="BS77" s="135"/>
      <c r="BT77" s="135"/>
      <c r="BU77" s="135"/>
      <c r="BV77" s="135"/>
      <c r="BW77" s="135"/>
      <c r="BX77" s="135"/>
      <c r="BY77" s="135"/>
      <c r="BZ77" s="135"/>
      <c r="CA77" s="135"/>
      <c r="CB77" s="135"/>
      <c r="CC77" s="135"/>
      <c r="CD77" s="135"/>
      <c r="CE77" s="135"/>
      <c r="CF77" s="135"/>
      <c r="CG77" s="135"/>
      <c r="CH77" s="135"/>
      <c r="CI77" s="135"/>
      <c r="CJ77" s="135"/>
      <c r="CK77" s="135"/>
      <c r="CL77" s="135"/>
      <c r="CM77" s="135"/>
      <c r="CN77" s="135"/>
      <c r="CO77" s="135"/>
      <c r="CP77" s="135"/>
      <c r="CQ77" s="135"/>
      <c r="CR77" s="135"/>
      <c r="CS77" s="135"/>
      <c r="CT77" s="135"/>
      <c r="CU77" s="135"/>
      <c r="CV77" s="135">
        <v>5</v>
      </c>
      <c r="CW77" s="135"/>
      <c r="CX77" s="135"/>
      <c r="CY77" s="135"/>
      <c r="CZ77" s="135">
        <v>0</v>
      </c>
      <c r="DA77" s="135"/>
      <c r="DB77" s="135">
        <v>5</v>
      </c>
      <c r="DC77" s="135"/>
      <c r="DD77" s="135"/>
      <c r="DE77" s="135"/>
      <c r="DF77" s="135">
        <v>0</v>
      </c>
      <c r="DG77" s="135"/>
      <c r="DH77" s="136"/>
      <c r="DI77" s="136"/>
      <c r="DJ77" s="136"/>
      <c r="DK77" s="136"/>
      <c r="DL77" s="136"/>
      <c r="DM77" s="136"/>
      <c r="DN77" s="136"/>
      <c r="DO77" s="136"/>
      <c r="DP77" s="136"/>
      <c r="DQ77" s="136"/>
      <c r="DR77" s="136"/>
      <c r="DS77" s="136"/>
      <c r="DT77" s="136"/>
      <c r="DU77" s="136"/>
      <c r="DV77" s="136"/>
      <c r="DW77" s="136"/>
      <c r="DX77" s="136"/>
      <c r="DY77" s="136"/>
      <c r="DZ77" s="136"/>
      <c r="EA77" s="136"/>
      <c r="EB77" s="136"/>
      <c r="EC77" s="136"/>
      <c r="ED77" s="136"/>
      <c r="EE77" s="136"/>
      <c r="EF77" s="136"/>
      <c r="EG77" s="136"/>
      <c r="EH77" s="136"/>
      <c r="EI77" s="136"/>
      <c r="EJ77" s="136"/>
      <c r="EK77" s="136"/>
      <c r="EL77" s="136"/>
      <c r="EM77" s="136"/>
      <c r="EN77" s="136"/>
      <c r="EO77" s="136"/>
      <c r="EP77" s="136"/>
      <c r="EQ77" s="136"/>
    </row>
    <row r="78" ht="31.5" spans="1:147">
      <c r="A78" s="130"/>
      <c r="B78" s="134"/>
      <c r="C78" s="134" t="s">
        <v>163</v>
      </c>
      <c r="D78" s="135"/>
      <c r="E78" s="135"/>
      <c r="F78" s="135"/>
      <c r="G78" s="135"/>
      <c r="H78" s="135"/>
      <c r="I78" s="135"/>
      <c r="J78" s="135">
        <v>1</v>
      </c>
      <c r="K78" s="135"/>
      <c r="L78" s="135"/>
      <c r="M78" s="135"/>
      <c r="N78" s="135">
        <v>0</v>
      </c>
      <c r="O78" s="135"/>
      <c r="P78" s="135"/>
      <c r="Q78" s="135"/>
      <c r="R78" s="135"/>
      <c r="S78" s="135"/>
      <c r="T78" s="135"/>
      <c r="U78" s="135"/>
      <c r="V78" s="135">
        <v>1</v>
      </c>
      <c r="W78" s="135"/>
      <c r="X78" s="135"/>
      <c r="Y78" s="135"/>
      <c r="Z78" s="135">
        <v>0</v>
      </c>
      <c r="AA78" s="135"/>
      <c r="AB78" s="135">
        <v>1</v>
      </c>
      <c r="AC78" s="135"/>
      <c r="AD78" s="135"/>
      <c r="AE78" s="135"/>
      <c r="AF78" s="135">
        <v>0</v>
      </c>
      <c r="AG78" s="135"/>
      <c r="AH78" s="135"/>
      <c r="AI78" s="135"/>
      <c r="AJ78" s="135"/>
      <c r="AK78" s="135"/>
      <c r="AL78" s="135"/>
      <c r="AM78" s="135"/>
      <c r="AN78" s="135">
        <v>1</v>
      </c>
      <c r="AO78" s="135"/>
      <c r="AP78" s="135"/>
      <c r="AQ78" s="135"/>
      <c r="AR78" s="135">
        <v>0</v>
      </c>
      <c r="AS78" s="135"/>
      <c r="AT78" s="135">
        <v>2</v>
      </c>
      <c r="AU78" s="135"/>
      <c r="AV78" s="135"/>
      <c r="AW78" s="135"/>
      <c r="AX78" s="135">
        <v>0</v>
      </c>
      <c r="AY78" s="135"/>
      <c r="AZ78" s="135"/>
      <c r="BA78" s="135"/>
      <c r="BB78" s="135"/>
      <c r="BC78" s="135"/>
      <c r="BD78" s="135"/>
      <c r="BE78" s="135"/>
      <c r="BF78" s="135">
        <v>1</v>
      </c>
      <c r="BG78" s="135"/>
      <c r="BH78" s="135"/>
      <c r="BI78" s="135"/>
      <c r="BJ78" s="135">
        <v>0</v>
      </c>
      <c r="BK78" s="135"/>
      <c r="BL78" s="135"/>
      <c r="BM78" s="135"/>
      <c r="BN78" s="135"/>
      <c r="BO78" s="135"/>
      <c r="BP78" s="135"/>
      <c r="BQ78" s="135"/>
      <c r="BR78" s="135">
        <v>1</v>
      </c>
      <c r="BS78" s="135"/>
      <c r="BT78" s="135"/>
      <c r="BU78" s="135"/>
      <c r="BV78" s="135">
        <v>0</v>
      </c>
      <c r="BW78" s="135"/>
      <c r="BX78" s="135">
        <v>1</v>
      </c>
      <c r="BY78" s="135"/>
      <c r="BZ78" s="135"/>
      <c r="CA78" s="135"/>
      <c r="CB78" s="135">
        <v>0</v>
      </c>
      <c r="CC78" s="135"/>
      <c r="CD78" s="135"/>
      <c r="CE78" s="135"/>
      <c r="CF78" s="135"/>
      <c r="CG78" s="135"/>
      <c r="CH78" s="135"/>
      <c r="CI78" s="135"/>
      <c r="CJ78" s="135"/>
      <c r="CK78" s="135"/>
      <c r="CL78" s="135"/>
      <c r="CM78" s="135"/>
      <c r="CN78" s="135"/>
      <c r="CO78" s="135"/>
      <c r="CP78" s="135">
        <v>1</v>
      </c>
      <c r="CQ78" s="135"/>
      <c r="CR78" s="135"/>
      <c r="CS78" s="135"/>
      <c r="CT78" s="135">
        <v>0</v>
      </c>
      <c r="CU78" s="135"/>
      <c r="CV78" s="135">
        <v>5</v>
      </c>
      <c r="CW78" s="135"/>
      <c r="CX78" s="135"/>
      <c r="CY78" s="135"/>
      <c r="CZ78" s="135">
        <v>0</v>
      </c>
      <c r="DA78" s="135"/>
      <c r="DB78" s="135">
        <v>5</v>
      </c>
      <c r="DC78" s="135"/>
      <c r="DD78" s="135"/>
      <c r="DE78" s="135"/>
      <c r="DF78" s="135">
        <v>0</v>
      </c>
      <c r="DG78" s="135"/>
      <c r="DH78" s="136"/>
      <c r="DI78" s="136"/>
      <c r="DJ78" s="136"/>
      <c r="DK78" s="136"/>
      <c r="DL78" s="136"/>
      <c r="DM78" s="136"/>
      <c r="DN78" s="136"/>
      <c r="DO78" s="136"/>
      <c r="DP78" s="136"/>
      <c r="DQ78" s="136"/>
      <c r="DR78" s="136"/>
      <c r="DS78" s="136"/>
      <c r="DT78" s="136"/>
      <c r="DU78" s="136"/>
      <c r="DV78" s="136"/>
      <c r="DW78" s="136"/>
      <c r="DX78" s="136"/>
      <c r="DY78" s="136"/>
      <c r="DZ78" s="136"/>
      <c r="EA78" s="136"/>
      <c r="EB78" s="136"/>
      <c r="EC78" s="136"/>
      <c r="ED78" s="136"/>
      <c r="EE78" s="136"/>
      <c r="EF78" s="136"/>
      <c r="EG78" s="136"/>
      <c r="EH78" s="136"/>
      <c r="EI78" s="136"/>
      <c r="EJ78" s="136"/>
      <c r="EK78" s="136"/>
      <c r="EL78" s="136"/>
      <c r="EM78" s="136"/>
      <c r="EN78" s="136"/>
      <c r="EO78" s="136"/>
      <c r="EP78" s="136"/>
      <c r="EQ78" s="136"/>
    </row>
    <row r="79" ht="31.5" spans="1:147">
      <c r="A79" s="130"/>
      <c r="B79" s="134" t="s">
        <v>360</v>
      </c>
      <c r="C79" s="134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  <c r="AM79" s="135"/>
      <c r="AN79" s="135"/>
      <c r="AO79" s="135"/>
      <c r="AP79" s="135"/>
      <c r="AQ79" s="135"/>
      <c r="AR79" s="135"/>
      <c r="AS79" s="135"/>
      <c r="AT79" s="135"/>
      <c r="AU79" s="135"/>
      <c r="AV79" s="135"/>
      <c r="AW79" s="135"/>
      <c r="AX79" s="135"/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/>
      <c r="BJ79" s="135"/>
      <c r="BK79" s="135"/>
      <c r="BL79" s="135"/>
      <c r="BM79" s="135"/>
      <c r="BN79" s="135"/>
      <c r="BO79" s="135"/>
      <c r="BP79" s="135"/>
      <c r="BQ79" s="135"/>
      <c r="BR79" s="135"/>
      <c r="BS79" s="135"/>
      <c r="BT79" s="135"/>
      <c r="BU79" s="135"/>
      <c r="BV79" s="135"/>
      <c r="BW79" s="135"/>
      <c r="BX79" s="135"/>
      <c r="BY79" s="135"/>
      <c r="BZ79" s="135"/>
      <c r="CA79" s="135"/>
      <c r="CB79" s="135"/>
      <c r="CC79" s="135"/>
      <c r="CD79" s="135"/>
      <c r="CE79" s="135"/>
      <c r="CF79" s="135"/>
      <c r="CG79" s="135"/>
      <c r="CH79" s="135"/>
      <c r="CI79" s="135"/>
      <c r="CJ79" s="135"/>
      <c r="CK79" s="135"/>
      <c r="CL79" s="135"/>
      <c r="CM79" s="135"/>
      <c r="CN79" s="135"/>
      <c r="CO79" s="135"/>
      <c r="CP79" s="135"/>
      <c r="CQ79" s="135"/>
      <c r="CR79" s="135"/>
      <c r="CS79" s="135"/>
      <c r="CT79" s="135"/>
      <c r="CU79" s="135"/>
      <c r="CV79" s="135"/>
      <c r="CW79" s="135"/>
      <c r="CX79" s="135"/>
      <c r="CY79" s="135"/>
      <c r="CZ79" s="135"/>
      <c r="DA79" s="135"/>
      <c r="DB79" s="135"/>
      <c r="DC79" s="135"/>
      <c r="DD79" s="135"/>
      <c r="DE79" s="135"/>
      <c r="DF79" s="135"/>
      <c r="DG79" s="135"/>
      <c r="DH79" s="136"/>
      <c r="DI79" s="136"/>
      <c r="DJ79" s="136"/>
      <c r="DK79" s="136"/>
      <c r="DL79" s="136"/>
      <c r="DM79" s="136"/>
      <c r="DN79" s="136"/>
      <c r="DO79" s="136"/>
      <c r="DP79" s="136"/>
      <c r="DQ79" s="136"/>
      <c r="DR79" s="136"/>
      <c r="DS79" s="136"/>
      <c r="DT79" s="136"/>
      <c r="DU79" s="136"/>
      <c r="DV79" s="136"/>
      <c r="DW79" s="136"/>
      <c r="DX79" s="136"/>
      <c r="DY79" s="136"/>
      <c r="DZ79" s="136"/>
      <c r="EA79" s="136"/>
      <c r="EB79" s="136"/>
      <c r="EC79" s="136"/>
      <c r="ED79" s="136"/>
      <c r="EE79" s="136"/>
      <c r="EF79" s="136"/>
      <c r="EG79" s="136"/>
      <c r="EH79" s="136"/>
      <c r="EI79" s="136"/>
      <c r="EJ79" s="136"/>
      <c r="EK79" s="136"/>
      <c r="EL79" s="136"/>
      <c r="EM79" s="136"/>
      <c r="EN79" s="136"/>
      <c r="EO79" s="136"/>
      <c r="EP79" s="136"/>
      <c r="EQ79" s="136"/>
    </row>
    <row r="80" ht="31.5" spans="1:147">
      <c r="A80" s="130"/>
      <c r="B80" s="134"/>
      <c r="C80" s="134" t="s">
        <v>109</v>
      </c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35"/>
      <c r="AL80" s="135"/>
      <c r="AM80" s="135"/>
      <c r="AN80" s="135"/>
      <c r="AO80" s="135"/>
      <c r="AP80" s="135"/>
      <c r="AQ80" s="135"/>
      <c r="AR80" s="135"/>
      <c r="AS80" s="135"/>
      <c r="AT80" s="135"/>
      <c r="AU80" s="135"/>
      <c r="AV80" s="135"/>
      <c r="AW80" s="135"/>
      <c r="AX80" s="135"/>
      <c r="AY80" s="135"/>
      <c r="AZ80" s="135"/>
      <c r="BA80" s="135"/>
      <c r="BB80" s="135"/>
      <c r="BC80" s="135"/>
      <c r="BD80" s="135"/>
      <c r="BE80" s="135"/>
      <c r="BF80" s="135"/>
      <c r="BG80" s="135"/>
      <c r="BH80" s="135"/>
      <c r="BI80" s="135"/>
      <c r="BJ80" s="135"/>
      <c r="BK80" s="135"/>
      <c r="BL80" s="135"/>
      <c r="BM80" s="135"/>
      <c r="BN80" s="135"/>
      <c r="BO80" s="135"/>
      <c r="BP80" s="135"/>
      <c r="BQ80" s="135"/>
      <c r="BR80" s="135"/>
      <c r="BS80" s="135"/>
      <c r="BT80" s="135"/>
      <c r="BU80" s="135"/>
      <c r="BV80" s="135"/>
      <c r="BW80" s="135"/>
      <c r="BX80" s="135"/>
      <c r="BY80" s="135"/>
      <c r="BZ80" s="135"/>
      <c r="CA80" s="135"/>
      <c r="CB80" s="135"/>
      <c r="CC80" s="135"/>
      <c r="CD80" s="135"/>
      <c r="CE80" s="135"/>
      <c r="CF80" s="135"/>
      <c r="CG80" s="135"/>
      <c r="CH80" s="135"/>
      <c r="CI80" s="135"/>
      <c r="CJ80" s="135">
        <v>4</v>
      </c>
      <c r="CK80" s="135"/>
      <c r="CL80" s="135"/>
      <c r="CM80" s="135"/>
      <c r="CN80" s="135">
        <v>0</v>
      </c>
      <c r="CO80" s="135"/>
      <c r="CP80" s="135">
        <v>4</v>
      </c>
      <c r="CQ80" s="135"/>
      <c r="CR80" s="135"/>
      <c r="CS80" s="135"/>
      <c r="CT80" s="135">
        <v>0</v>
      </c>
      <c r="CU80" s="135"/>
      <c r="CV80" s="135">
        <v>4</v>
      </c>
      <c r="CW80" s="135"/>
      <c r="CX80" s="135"/>
      <c r="CY80" s="135"/>
      <c r="CZ80" s="135">
        <v>0</v>
      </c>
      <c r="DA80" s="135"/>
      <c r="DB80" s="135">
        <v>4</v>
      </c>
      <c r="DC80" s="135"/>
      <c r="DD80" s="135"/>
      <c r="DE80" s="135"/>
      <c r="DF80" s="135">
        <v>0</v>
      </c>
      <c r="DG80" s="135"/>
      <c r="DH80" s="136"/>
      <c r="DI80" s="136"/>
      <c r="DJ80" s="136"/>
      <c r="DK80" s="136"/>
      <c r="DL80" s="136"/>
      <c r="DM80" s="136"/>
      <c r="DN80" s="136"/>
      <c r="DO80" s="136"/>
      <c r="DP80" s="136"/>
      <c r="DQ80" s="136"/>
      <c r="DR80" s="136"/>
      <c r="DS80" s="136"/>
      <c r="DT80" s="136"/>
      <c r="DU80" s="136"/>
      <c r="DV80" s="136"/>
      <c r="DW80" s="136"/>
      <c r="DX80" s="136"/>
      <c r="DY80" s="136"/>
      <c r="DZ80" s="136"/>
      <c r="EA80" s="136"/>
      <c r="EB80" s="136"/>
      <c r="EC80" s="136"/>
      <c r="ED80" s="136"/>
      <c r="EE80" s="136"/>
      <c r="EF80" s="136"/>
      <c r="EG80" s="136"/>
      <c r="EH80" s="136"/>
      <c r="EI80" s="136"/>
      <c r="EJ80" s="136"/>
      <c r="EK80" s="136"/>
      <c r="EL80" s="136"/>
      <c r="EM80" s="136"/>
      <c r="EN80" s="136"/>
      <c r="EO80" s="136"/>
      <c r="EP80" s="136"/>
      <c r="EQ80" s="136"/>
    </row>
    <row r="81" ht="31.5" spans="1:147">
      <c r="A81" s="130"/>
      <c r="B81" s="134"/>
      <c r="C81" s="134" t="s">
        <v>111</v>
      </c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35"/>
      <c r="AL81" s="135"/>
      <c r="AM81" s="135"/>
      <c r="AN81" s="135"/>
      <c r="AO81" s="135"/>
      <c r="AP81" s="135"/>
      <c r="AQ81" s="135"/>
      <c r="AR81" s="135"/>
      <c r="AS81" s="135"/>
      <c r="AT81" s="135"/>
      <c r="AU81" s="135"/>
      <c r="AV81" s="135"/>
      <c r="AW81" s="135"/>
      <c r="AX81" s="135"/>
      <c r="AY81" s="135"/>
      <c r="AZ81" s="135"/>
      <c r="BA81" s="135"/>
      <c r="BB81" s="135"/>
      <c r="BC81" s="135"/>
      <c r="BD81" s="135"/>
      <c r="BE81" s="135"/>
      <c r="BF81" s="135"/>
      <c r="BG81" s="135"/>
      <c r="BH81" s="135"/>
      <c r="BI81" s="135"/>
      <c r="BJ81" s="135"/>
      <c r="BK81" s="135"/>
      <c r="BL81" s="135"/>
      <c r="BM81" s="135"/>
      <c r="BN81" s="135"/>
      <c r="BO81" s="135"/>
      <c r="BP81" s="135"/>
      <c r="BQ81" s="135"/>
      <c r="BR81" s="135"/>
      <c r="BS81" s="135"/>
      <c r="BT81" s="135"/>
      <c r="BU81" s="135"/>
      <c r="BV81" s="135"/>
      <c r="BW81" s="135"/>
      <c r="BX81" s="135"/>
      <c r="BY81" s="135"/>
      <c r="BZ81" s="135"/>
      <c r="CA81" s="135"/>
      <c r="CB81" s="135"/>
      <c r="CC81" s="135"/>
      <c r="CD81" s="135"/>
      <c r="CE81" s="135"/>
      <c r="CF81" s="135"/>
      <c r="CG81" s="135"/>
      <c r="CH81" s="135"/>
      <c r="CI81" s="135"/>
      <c r="CJ81" s="135">
        <v>12</v>
      </c>
      <c r="CK81" s="135"/>
      <c r="CL81" s="135"/>
      <c r="CM81" s="135"/>
      <c r="CN81" s="135">
        <v>0</v>
      </c>
      <c r="CO81" s="135"/>
      <c r="CP81" s="135">
        <v>12</v>
      </c>
      <c r="CQ81" s="135"/>
      <c r="CR81" s="135"/>
      <c r="CS81" s="135"/>
      <c r="CT81" s="135">
        <v>0</v>
      </c>
      <c r="CU81" s="135"/>
      <c r="CV81" s="135">
        <v>12</v>
      </c>
      <c r="CW81" s="135"/>
      <c r="CX81" s="135"/>
      <c r="CY81" s="135"/>
      <c r="CZ81" s="135">
        <v>0</v>
      </c>
      <c r="DA81" s="135"/>
      <c r="DB81" s="135">
        <v>12</v>
      </c>
      <c r="DC81" s="135"/>
      <c r="DD81" s="135"/>
      <c r="DE81" s="135"/>
      <c r="DF81" s="135">
        <v>0</v>
      </c>
      <c r="DG81" s="135"/>
      <c r="DH81" s="136"/>
      <c r="DI81" s="136"/>
      <c r="DJ81" s="136"/>
      <c r="DK81" s="136"/>
      <c r="DL81" s="136"/>
      <c r="DM81" s="136"/>
      <c r="DN81" s="136"/>
      <c r="DO81" s="136"/>
      <c r="DP81" s="136"/>
      <c r="DQ81" s="136"/>
      <c r="DR81" s="136"/>
      <c r="DS81" s="136"/>
      <c r="DT81" s="136"/>
      <c r="DU81" s="136"/>
      <c r="DV81" s="136"/>
      <c r="DW81" s="136"/>
      <c r="DX81" s="136"/>
      <c r="DY81" s="136"/>
      <c r="DZ81" s="136"/>
      <c r="EA81" s="136"/>
      <c r="EB81" s="136"/>
      <c r="EC81" s="136"/>
      <c r="ED81" s="136"/>
      <c r="EE81" s="136"/>
      <c r="EF81" s="136"/>
      <c r="EG81" s="136"/>
      <c r="EH81" s="136"/>
      <c r="EI81" s="136"/>
      <c r="EJ81" s="136"/>
      <c r="EK81" s="136"/>
      <c r="EL81" s="136"/>
      <c r="EM81" s="136"/>
      <c r="EN81" s="136"/>
      <c r="EO81" s="136"/>
      <c r="EP81" s="136"/>
      <c r="EQ81" s="136"/>
    </row>
    <row r="82" ht="31.5" spans="1:147">
      <c r="A82" s="130"/>
      <c r="B82" s="134"/>
      <c r="C82" s="134" t="s">
        <v>113</v>
      </c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  <c r="AK82" s="135"/>
      <c r="AL82" s="135"/>
      <c r="AM82" s="135"/>
      <c r="AN82" s="135"/>
      <c r="AO82" s="135"/>
      <c r="AP82" s="135"/>
      <c r="AQ82" s="135"/>
      <c r="AR82" s="135"/>
      <c r="AS82" s="135"/>
      <c r="AT82" s="135"/>
      <c r="AU82" s="135"/>
      <c r="AV82" s="135"/>
      <c r="AW82" s="135"/>
      <c r="AX82" s="135"/>
      <c r="AY82" s="135"/>
      <c r="AZ82" s="135"/>
      <c r="BA82" s="135"/>
      <c r="BB82" s="135"/>
      <c r="BC82" s="135"/>
      <c r="BD82" s="135"/>
      <c r="BE82" s="135"/>
      <c r="BF82" s="135"/>
      <c r="BG82" s="135"/>
      <c r="BH82" s="135"/>
      <c r="BI82" s="135"/>
      <c r="BJ82" s="135"/>
      <c r="BK82" s="135"/>
      <c r="BL82" s="135"/>
      <c r="BM82" s="135"/>
      <c r="BN82" s="135"/>
      <c r="BO82" s="135"/>
      <c r="BP82" s="135"/>
      <c r="BQ82" s="135"/>
      <c r="BR82" s="135"/>
      <c r="BS82" s="135"/>
      <c r="BT82" s="135"/>
      <c r="BU82" s="135"/>
      <c r="BV82" s="135"/>
      <c r="BW82" s="135"/>
      <c r="BX82" s="135"/>
      <c r="BY82" s="135"/>
      <c r="BZ82" s="135"/>
      <c r="CA82" s="135"/>
      <c r="CB82" s="135"/>
      <c r="CC82" s="135"/>
      <c r="CD82" s="135"/>
      <c r="CE82" s="135"/>
      <c r="CF82" s="135"/>
      <c r="CG82" s="135"/>
      <c r="CH82" s="135"/>
      <c r="CI82" s="135"/>
      <c r="CJ82" s="135">
        <v>169</v>
      </c>
      <c r="CK82" s="135"/>
      <c r="CL82" s="135"/>
      <c r="CM82" s="135"/>
      <c r="CN82" s="135">
        <v>0</v>
      </c>
      <c r="CO82" s="135"/>
      <c r="CP82" s="135">
        <v>169</v>
      </c>
      <c r="CQ82" s="135"/>
      <c r="CR82" s="135"/>
      <c r="CS82" s="135"/>
      <c r="CT82" s="135">
        <v>0</v>
      </c>
      <c r="CU82" s="135"/>
      <c r="CV82" s="135">
        <v>169</v>
      </c>
      <c r="CW82" s="135"/>
      <c r="CX82" s="135"/>
      <c r="CY82" s="135"/>
      <c r="CZ82" s="135">
        <v>0</v>
      </c>
      <c r="DA82" s="135"/>
      <c r="DB82" s="135">
        <v>169</v>
      </c>
      <c r="DC82" s="135"/>
      <c r="DD82" s="135"/>
      <c r="DE82" s="135"/>
      <c r="DF82" s="135">
        <v>0</v>
      </c>
      <c r="DG82" s="135"/>
      <c r="DH82" s="136"/>
      <c r="DI82" s="136"/>
      <c r="DJ82" s="136"/>
      <c r="DK82" s="136"/>
      <c r="DL82" s="136"/>
      <c r="DM82" s="136"/>
      <c r="DN82" s="136"/>
      <c r="DO82" s="136"/>
      <c r="DP82" s="136"/>
      <c r="DQ82" s="136"/>
      <c r="DR82" s="136"/>
      <c r="DS82" s="136"/>
      <c r="DT82" s="136"/>
      <c r="DU82" s="136"/>
      <c r="DV82" s="136"/>
      <c r="DW82" s="136"/>
      <c r="DX82" s="136"/>
      <c r="DY82" s="136"/>
      <c r="DZ82" s="136"/>
      <c r="EA82" s="136"/>
      <c r="EB82" s="136"/>
      <c r="EC82" s="136"/>
      <c r="ED82" s="136"/>
      <c r="EE82" s="136"/>
      <c r="EF82" s="136"/>
      <c r="EG82" s="136"/>
      <c r="EH82" s="136"/>
      <c r="EI82" s="136"/>
      <c r="EJ82" s="136"/>
      <c r="EK82" s="136"/>
      <c r="EL82" s="136"/>
      <c r="EM82" s="136"/>
      <c r="EN82" s="136"/>
      <c r="EO82" s="136"/>
      <c r="EP82" s="136"/>
      <c r="EQ82" s="136"/>
    </row>
    <row r="83" spans="1:147">
      <c r="A83" s="130"/>
      <c r="B83" s="134" t="s">
        <v>361</v>
      </c>
      <c r="C83" s="134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  <c r="AK83" s="135"/>
      <c r="AL83" s="135"/>
      <c r="AM83" s="135"/>
      <c r="AN83" s="135"/>
      <c r="AO83" s="135"/>
      <c r="AP83" s="135"/>
      <c r="AQ83" s="135"/>
      <c r="AR83" s="135"/>
      <c r="AS83" s="135"/>
      <c r="AT83" s="135"/>
      <c r="AU83" s="135"/>
      <c r="AV83" s="135"/>
      <c r="AW83" s="135"/>
      <c r="AX83" s="135"/>
      <c r="AY83" s="135"/>
      <c r="AZ83" s="135"/>
      <c r="BA83" s="135"/>
      <c r="BB83" s="135"/>
      <c r="BC83" s="135"/>
      <c r="BD83" s="135"/>
      <c r="BE83" s="135"/>
      <c r="BF83" s="135"/>
      <c r="BG83" s="135"/>
      <c r="BH83" s="135"/>
      <c r="BI83" s="135"/>
      <c r="BJ83" s="135"/>
      <c r="BK83" s="135"/>
      <c r="BL83" s="135"/>
      <c r="BM83" s="135"/>
      <c r="BN83" s="135"/>
      <c r="BO83" s="135"/>
      <c r="BP83" s="135"/>
      <c r="BQ83" s="135"/>
      <c r="BR83" s="135"/>
      <c r="BS83" s="135"/>
      <c r="BT83" s="135"/>
      <c r="BU83" s="135"/>
      <c r="BV83" s="135"/>
      <c r="BW83" s="135"/>
      <c r="BX83" s="135"/>
      <c r="BY83" s="135"/>
      <c r="BZ83" s="135"/>
      <c r="CA83" s="135"/>
      <c r="CB83" s="135"/>
      <c r="CC83" s="135"/>
      <c r="CD83" s="135"/>
      <c r="CE83" s="135"/>
      <c r="CF83" s="135"/>
      <c r="CG83" s="135"/>
      <c r="CH83" s="135"/>
      <c r="CI83" s="135"/>
      <c r="CJ83" s="135"/>
      <c r="CK83" s="135"/>
      <c r="CL83" s="135"/>
      <c r="CM83" s="135"/>
      <c r="CN83" s="135"/>
      <c r="CO83" s="135"/>
      <c r="CP83" s="135"/>
      <c r="CQ83" s="135"/>
      <c r="CR83" s="135"/>
      <c r="CS83" s="135"/>
      <c r="CT83" s="135"/>
      <c r="CU83" s="135"/>
      <c r="CV83" s="135"/>
      <c r="CW83" s="135"/>
      <c r="CX83" s="135"/>
      <c r="CY83" s="135"/>
      <c r="CZ83" s="135"/>
      <c r="DA83" s="135"/>
      <c r="DB83" s="135"/>
      <c r="DC83" s="135"/>
      <c r="DD83" s="135"/>
      <c r="DE83" s="135"/>
      <c r="DF83" s="135"/>
      <c r="DG83" s="135"/>
      <c r="DH83" s="136"/>
      <c r="DI83" s="136"/>
      <c r="DJ83" s="136"/>
      <c r="DK83" s="136"/>
      <c r="DL83" s="136"/>
      <c r="DM83" s="136"/>
      <c r="DN83" s="136"/>
      <c r="DO83" s="136"/>
      <c r="DP83" s="136"/>
      <c r="DQ83" s="136"/>
      <c r="DR83" s="136"/>
      <c r="DS83" s="136"/>
      <c r="DT83" s="136"/>
      <c r="DU83" s="136"/>
      <c r="DV83" s="136"/>
      <c r="DW83" s="136"/>
      <c r="DX83" s="136"/>
      <c r="DY83" s="136"/>
      <c r="DZ83" s="136"/>
      <c r="EA83" s="136"/>
      <c r="EB83" s="136"/>
      <c r="EC83" s="136"/>
      <c r="ED83" s="136"/>
      <c r="EE83" s="136"/>
      <c r="EF83" s="136"/>
      <c r="EG83" s="136"/>
      <c r="EH83" s="136"/>
      <c r="EI83" s="136"/>
      <c r="EJ83" s="136"/>
      <c r="EK83" s="136"/>
      <c r="EL83" s="136"/>
      <c r="EM83" s="136"/>
      <c r="EN83" s="136"/>
      <c r="EO83" s="136"/>
      <c r="EP83" s="136"/>
      <c r="EQ83" s="136"/>
    </row>
    <row r="84" spans="1:147">
      <c r="A84" s="130"/>
      <c r="B84" s="134"/>
      <c r="C84" s="134" t="s">
        <v>165</v>
      </c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35"/>
      <c r="AL84" s="135"/>
      <c r="AM84" s="135"/>
      <c r="AN84" s="135"/>
      <c r="AO84" s="135"/>
      <c r="AP84" s="135"/>
      <c r="AQ84" s="135"/>
      <c r="AR84" s="135"/>
      <c r="AS84" s="135"/>
      <c r="AT84" s="135"/>
      <c r="AU84" s="135"/>
      <c r="AV84" s="135"/>
      <c r="AW84" s="135"/>
      <c r="AX84" s="135"/>
      <c r="AY84" s="135"/>
      <c r="AZ84" s="135"/>
      <c r="BA84" s="135"/>
      <c r="BB84" s="135"/>
      <c r="BC84" s="135"/>
      <c r="BD84" s="135"/>
      <c r="BE84" s="135"/>
      <c r="BF84" s="135"/>
      <c r="BG84" s="135"/>
      <c r="BH84" s="135"/>
      <c r="BI84" s="135"/>
      <c r="BJ84" s="135"/>
      <c r="BK84" s="135"/>
      <c r="BL84" s="135"/>
      <c r="BM84" s="135"/>
      <c r="BN84" s="135"/>
      <c r="BO84" s="135"/>
      <c r="BP84" s="135"/>
      <c r="BQ84" s="135"/>
      <c r="BR84" s="135"/>
      <c r="BS84" s="135"/>
      <c r="BT84" s="135"/>
      <c r="BU84" s="135"/>
      <c r="BV84" s="135"/>
      <c r="BW84" s="135"/>
      <c r="BX84" s="135"/>
      <c r="BY84" s="135"/>
      <c r="BZ84" s="135"/>
      <c r="CA84" s="135"/>
      <c r="CB84" s="135">
        <v>0</v>
      </c>
      <c r="CC84" s="135"/>
      <c r="CD84" s="135"/>
      <c r="CE84" s="135"/>
      <c r="CF84" s="135"/>
      <c r="CG84" s="135"/>
      <c r="CH84" s="135"/>
      <c r="CI84" s="135"/>
      <c r="CJ84" s="135"/>
      <c r="CK84" s="135"/>
      <c r="CL84" s="135"/>
      <c r="CM84" s="135"/>
      <c r="CN84" s="135"/>
      <c r="CO84" s="135"/>
      <c r="CP84" s="135"/>
      <c r="CQ84" s="135"/>
      <c r="CR84" s="135"/>
      <c r="CS84" s="135"/>
      <c r="CT84" s="135">
        <v>0</v>
      </c>
      <c r="CU84" s="135"/>
      <c r="CV84" s="135"/>
      <c r="CW84" s="135"/>
      <c r="CX84" s="135"/>
      <c r="CY84" s="135"/>
      <c r="CZ84" s="135">
        <v>0</v>
      </c>
      <c r="DA84" s="135"/>
      <c r="DB84" s="135"/>
      <c r="DC84" s="135"/>
      <c r="DD84" s="135"/>
      <c r="DE84" s="135"/>
      <c r="DF84" s="135">
        <v>0</v>
      </c>
      <c r="DG84" s="135"/>
      <c r="DH84" s="136"/>
      <c r="DI84" s="136"/>
      <c r="DJ84" s="136"/>
      <c r="DK84" s="136"/>
      <c r="DL84" s="136"/>
      <c r="DM84" s="136"/>
      <c r="DN84" s="136"/>
      <c r="DO84" s="136"/>
      <c r="DP84" s="136"/>
      <c r="DQ84" s="136"/>
      <c r="DR84" s="136"/>
      <c r="DS84" s="136"/>
      <c r="DT84" s="136"/>
      <c r="DU84" s="136"/>
      <c r="DV84" s="136"/>
      <c r="DW84" s="136"/>
      <c r="DX84" s="136"/>
      <c r="DY84" s="136"/>
      <c r="DZ84" s="136"/>
      <c r="EA84" s="136"/>
      <c r="EB84" s="136"/>
      <c r="EC84" s="136"/>
      <c r="ED84" s="136"/>
      <c r="EE84" s="136"/>
      <c r="EF84" s="136"/>
      <c r="EG84" s="136"/>
      <c r="EH84" s="136"/>
      <c r="EI84" s="136"/>
      <c r="EJ84" s="136"/>
      <c r="EK84" s="136"/>
      <c r="EL84" s="136"/>
      <c r="EM84" s="136"/>
      <c r="EN84" s="136"/>
      <c r="EO84" s="136"/>
      <c r="EP84" s="136"/>
      <c r="EQ84" s="136"/>
    </row>
    <row r="85" spans="1:147">
      <c r="A85" s="130" t="s">
        <v>166</v>
      </c>
      <c r="B85" s="134"/>
      <c r="C85" s="134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  <c r="AM85" s="135"/>
      <c r="AN85" s="135"/>
      <c r="AO85" s="135"/>
      <c r="AP85" s="135"/>
      <c r="AQ85" s="135"/>
      <c r="AR85" s="135"/>
      <c r="AS85" s="135"/>
      <c r="AT85" s="135"/>
      <c r="AU85" s="135"/>
      <c r="AV85" s="135"/>
      <c r="AW85" s="135"/>
      <c r="AX85" s="135"/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/>
      <c r="BJ85" s="135"/>
      <c r="BK85" s="135"/>
      <c r="BL85" s="135"/>
      <c r="BM85" s="135"/>
      <c r="BN85" s="135"/>
      <c r="BO85" s="135"/>
      <c r="BP85" s="135"/>
      <c r="BQ85" s="135"/>
      <c r="BR85" s="135"/>
      <c r="BS85" s="135"/>
      <c r="BT85" s="135"/>
      <c r="BU85" s="135"/>
      <c r="BV85" s="135"/>
      <c r="BW85" s="135"/>
      <c r="BX85" s="135"/>
      <c r="BY85" s="135"/>
      <c r="BZ85" s="135"/>
      <c r="CA85" s="135"/>
      <c r="CB85" s="135"/>
      <c r="CC85" s="135"/>
      <c r="CD85" s="135"/>
      <c r="CE85" s="135"/>
      <c r="CF85" s="135"/>
      <c r="CG85" s="135"/>
      <c r="CH85" s="135"/>
      <c r="CI85" s="135"/>
      <c r="CJ85" s="135">
        <v>1</v>
      </c>
      <c r="CK85" s="135"/>
      <c r="CL85" s="135"/>
      <c r="CM85" s="135"/>
      <c r="CN85" s="135">
        <v>0</v>
      </c>
      <c r="CO85" s="135"/>
      <c r="CP85" s="135">
        <v>1</v>
      </c>
      <c r="CQ85" s="135"/>
      <c r="CR85" s="135"/>
      <c r="CS85" s="135"/>
      <c r="CT85" s="135">
        <v>0</v>
      </c>
      <c r="CU85" s="135"/>
      <c r="CV85" s="135">
        <v>1</v>
      </c>
      <c r="CW85" s="135"/>
      <c r="CX85" s="135"/>
      <c r="CY85" s="135"/>
      <c r="CZ85" s="135">
        <v>0</v>
      </c>
      <c r="DA85" s="135"/>
      <c r="DB85" s="135">
        <v>1</v>
      </c>
      <c r="DC85" s="135"/>
      <c r="DD85" s="135"/>
      <c r="DE85" s="135"/>
      <c r="DF85" s="135">
        <v>0</v>
      </c>
      <c r="DG85" s="135"/>
      <c r="DH85" s="136"/>
      <c r="DI85" s="136"/>
      <c r="DJ85" s="136"/>
      <c r="DK85" s="136"/>
      <c r="DL85" s="136"/>
      <c r="DM85" s="136"/>
      <c r="DN85" s="136"/>
      <c r="DO85" s="136"/>
      <c r="DP85" s="136"/>
      <c r="DQ85" s="136"/>
      <c r="DR85" s="136"/>
      <c r="DS85" s="136"/>
      <c r="DT85" s="136"/>
      <c r="DU85" s="136"/>
      <c r="DV85" s="136"/>
      <c r="DW85" s="136"/>
      <c r="DX85" s="136"/>
      <c r="DY85" s="136"/>
      <c r="DZ85" s="136"/>
      <c r="EA85" s="136"/>
      <c r="EB85" s="136"/>
      <c r="EC85" s="136"/>
      <c r="ED85" s="136"/>
      <c r="EE85" s="136"/>
      <c r="EF85" s="136"/>
      <c r="EG85" s="136"/>
      <c r="EH85" s="136"/>
      <c r="EI85" s="136"/>
      <c r="EJ85" s="136"/>
      <c r="EK85" s="136"/>
      <c r="EL85" s="136"/>
      <c r="EM85" s="136"/>
      <c r="EN85" s="136"/>
      <c r="EO85" s="136"/>
      <c r="EP85" s="136"/>
      <c r="EQ85" s="136"/>
    </row>
    <row r="86" spans="1:147">
      <c r="A86" s="130"/>
      <c r="B86" s="134" t="s">
        <v>362</v>
      </c>
      <c r="C86" s="134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  <c r="AL86" s="135"/>
      <c r="AM86" s="135"/>
      <c r="AN86" s="135"/>
      <c r="AO86" s="135"/>
      <c r="AP86" s="135"/>
      <c r="AQ86" s="135"/>
      <c r="AR86" s="135"/>
      <c r="AS86" s="135"/>
      <c r="AT86" s="135"/>
      <c r="AU86" s="135"/>
      <c r="AV86" s="135"/>
      <c r="AW86" s="135"/>
      <c r="AX86" s="135"/>
      <c r="AY86" s="135"/>
      <c r="AZ86" s="135"/>
      <c r="BA86" s="135"/>
      <c r="BB86" s="135"/>
      <c r="BC86" s="135"/>
      <c r="BD86" s="135"/>
      <c r="BE86" s="135"/>
      <c r="BF86" s="135"/>
      <c r="BG86" s="135"/>
      <c r="BH86" s="135"/>
      <c r="BI86" s="135"/>
      <c r="BJ86" s="135"/>
      <c r="BK86" s="135"/>
      <c r="BL86" s="135"/>
      <c r="BM86" s="135"/>
      <c r="BN86" s="135"/>
      <c r="BO86" s="135"/>
      <c r="BP86" s="135"/>
      <c r="BQ86" s="135"/>
      <c r="BR86" s="135"/>
      <c r="BS86" s="135"/>
      <c r="BT86" s="135"/>
      <c r="BU86" s="135"/>
      <c r="BV86" s="135"/>
      <c r="BW86" s="135"/>
      <c r="BX86" s="135"/>
      <c r="BY86" s="135"/>
      <c r="BZ86" s="135"/>
      <c r="CA86" s="135"/>
      <c r="CB86" s="135"/>
      <c r="CC86" s="135"/>
      <c r="CD86" s="135"/>
      <c r="CE86" s="135"/>
      <c r="CF86" s="135"/>
      <c r="CG86" s="135"/>
      <c r="CH86" s="135"/>
      <c r="CI86" s="135"/>
      <c r="CJ86" s="135"/>
      <c r="CK86" s="135"/>
      <c r="CL86" s="135"/>
      <c r="CM86" s="135"/>
      <c r="CN86" s="135"/>
      <c r="CO86" s="135"/>
      <c r="CP86" s="135"/>
      <c r="CQ86" s="135"/>
      <c r="CR86" s="135"/>
      <c r="CS86" s="135"/>
      <c r="CT86" s="135"/>
      <c r="CU86" s="135"/>
      <c r="CV86" s="135"/>
      <c r="CW86" s="135"/>
      <c r="CX86" s="135"/>
      <c r="CY86" s="135"/>
      <c r="CZ86" s="135"/>
      <c r="DA86" s="135"/>
      <c r="DB86" s="135"/>
      <c r="DC86" s="135"/>
      <c r="DD86" s="135"/>
      <c r="DE86" s="135"/>
      <c r="DF86" s="135"/>
      <c r="DG86" s="135"/>
      <c r="DH86" s="136"/>
      <c r="DI86" s="136"/>
      <c r="DJ86" s="136"/>
      <c r="DK86" s="136"/>
      <c r="DL86" s="136"/>
      <c r="DM86" s="136"/>
      <c r="DN86" s="136"/>
      <c r="DO86" s="136"/>
      <c r="DP86" s="136"/>
      <c r="DQ86" s="136"/>
      <c r="DR86" s="136"/>
      <c r="DS86" s="136"/>
      <c r="DT86" s="136"/>
      <c r="DU86" s="136"/>
      <c r="DV86" s="136"/>
      <c r="DW86" s="136"/>
      <c r="DX86" s="136"/>
      <c r="DY86" s="136"/>
      <c r="DZ86" s="136"/>
      <c r="EA86" s="136"/>
      <c r="EB86" s="136"/>
      <c r="EC86" s="136"/>
      <c r="ED86" s="136"/>
      <c r="EE86" s="136"/>
      <c r="EF86" s="136"/>
      <c r="EG86" s="136"/>
      <c r="EH86" s="136"/>
      <c r="EI86" s="136"/>
      <c r="EJ86" s="136"/>
      <c r="EK86" s="136"/>
      <c r="EL86" s="136"/>
      <c r="EM86" s="136"/>
      <c r="EN86" s="136"/>
      <c r="EO86" s="136"/>
      <c r="EP86" s="136"/>
      <c r="EQ86" s="136"/>
    </row>
    <row r="87" ht="31.5" spans="1:147">
      <c r="A87" s="130"/>
      <c r="B87" s="134"/>
      <c r="C87" s="134" t="s">
        <v>168</v>
      </c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  <c r="AL87" s="135"/>
      <c r="AM87" s="135"/>
      <c r="AN87" s="135"/>
      <c r="AO87" s="135"/>
      <c r="AP87" s="135"/>
      <c r="AQ87" s="135"/>
      <c r="AR87" s="135"/>
      <c r="AS87" s="135"/>
      <c r="AT87" s="135"/>
      <c r="AU87" s="135"/>
      <c r="AV87" s="135"/>
      <c r="AW87" s="135"/>
      <c r="AX87" s="135"/>
      <c r="AY87" s="135"/>
      <c r="AZ87" s="135"/>
      <c r="BA87" s="135"/>
      <c r="BB87" s="135"/>
      <c r="BC87" s="135"/>
      <c r="BD87" s="135"/>
      <c r="BE87" s="135"/>
      <c r="BF87" s="135"/>
      <c r="BG87" s="135"/>
      <c r="BH87" s="135"/>
      <c r="BI87" s="135"/>
      <c r="BJ87" s="135"/>
      <c r="BK87" s="135"/>
      <c r="BL87" s="135"/>
      <c r="BM87" s="135"/>
      <c r="BN87" s="135"/>
      <c r="BO87" s="135"/>
      <c r="BP87" s="135"/>
      <c r="BQ87" s="135"/>
      <c r="BR87" s="135"/>
      <c r="BS87" s="135"/>
      <c r="BT87" s="135"/>
      <c r="BU87" s="135"/>
      <c r="BV87" s="135"/>
      <c r="BW87" s="135"/>
      <c r="BX87" s="135"/>
      <c r="BY87" s="135"/>
      <c r="BZ87" s="135"/>
      <c r="CA87" s="135"/>
      <c r="CB87" s="135"/>
      <c r="CC87" s="135"/>
      <c r="CD87" s="135"/>
      <c r="CE87" s="135"/>
      <c r="CF87" s="135"/>
      <c r="CG87" s="135"/>
      <c r="CH87" s="135"/>
      <c r="CI87" s="135"/>
      <c r="CJ87" s="135">
        <v>1</v>
      </c>
      <c r="CK87" s="135"/>
      <c r="CL87" s="135"/>
      <c r="CM87" s="135"/>
      <c r="CN87" s="135">
        <v>0</v>
      </c>
      <c r="CO87" s="135"/>
      <c r="CP87" s="135">
        <v>1</v>
      </c>
      <c r="CQ87" s="135"/>
      <c r="CR87" s="135"/>
      <c r="CS87" s="135"/>
      <c r="CT87" s="135">
        <v>0</v>
      </c>
      <c r="CU87" s="135"/>
      <c r="CV87" s="135">
        <v>1</v>
      </c>
      <c r="CW87" s="135"/>
      <c r="CX87" s="135"/>
      <c r="CY87" s="135"/>
      <c r="CZ87" s="135">
        <v>0</v>
      </c>
      <c r="DA87" s="135"/>
      <c r="DB87" s="135">
        <v>1</v>
      </c>
      <c r="DC87" s="135"/>
      <c r="DD87" s="135"/>
      <c r="DE87" s="135"/>
      <c r="DF87" s="135">
        <v>0</v>
      </c>
      <c r="DG87" s="135"/>
      <c r="DH87" s="136"/>
      <c r="DI87" s="136"/>
      <c r="DJ87" s="136"/>
      <c r="DK87" s="136"/>
      <c r="DL87" s="136"/>
      <c r="DM87" s="136"/>
      <c r="DN87" s="136"/>
      <c r="DO87" s="136"/>
      <c r="DP87" s="136"/>
      <c r="DQ87" s="136"/>
      <c r="DR87" s="136"/>
      <c r="DS87" s="136"/>
      <c r="DT87" s="136"/>
      <c r="DU87" s="136"/>
      <c r="DV87" s="136"/>
      <c r="DW87" s="136"/>
      <c r="DX87" s="136"/>
      <c r="DY87" s="136"/>
      <c r="DZ87" s="136"/>
      <c r="EA87" s="136"/>
      <c r="EB87" s="136"/>
      <c r="EC87" s="136"/>
      <c r="ED87" s="136"/>
      <c r="EE87" s="136"/>
      <c r="EF87" s="136"/>
      <c r="EG87" s="136"/>
      <c r="EH87" s="136"/>
      <c r="EI87" s="136"/>
      <c r="EJ87" s="136"/>
      <c r="EK87" s="136"/>
      <c r="EL87" s="136"/>
      <c r="EM87" s="136"/>
      <c r="EN87" s="136"/>
      <c r="EO87" s="136"/>
      <c r="EP87" s="136"/>
      <c r="EQ87" s="136"/>
    </row>
    <row r="88" spans="1:147">
      <c r="A88" s="130" t="s">
        <v>169</v>
      </c>
      <c r="B88" s="134"/>
      <c r="C88" s="134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  <c r="AM88" s="135"/>
      <c r="AN88" s="135"/>
      <c r="AO88" s="135"/>
      <c r="AP88" s="135"/>
      <c r="AQ88" s="135"/>
      <c r="AR88" s="135"/>
      <c r="AS88" s="135"/>
      <c r="AT88" s="135"/>
      <c r="AU88" s="135"/>
      <c r="AV88" s="135"/>
      <c r="AW88" s="135"/>
      <c r="AX88" s="135"/>
      <c r="AY88" s="135"/>
      <c r="AZ88" s="135"/>
      <c r="BA88" s="135"/>
      <c r="BB88" s="135"/>
      <c r="BC88" s="135"/>
      <c r="BD88" s="135"/>
      <c r="BE88" s="135"/>
      <c r="BF88" s="135"/>
      <c r="BG88" s="135"/>
      <c r="BH88" s="135"/>
      <c r="BI88" s="135"/>
      <c r="BJ88" s="135"/>
      <c r="BK88" s="135"/>
      <c r="BL88" s="135">
        <v>84</v>
      </c>
      <c r="BM88" s="135"/>
      <c r="BN88" s="135"/>
      <c r="BO88" s="135"/>
      <c r="BP88" s="135">
        <v>0</v>
      </c>
      <c r="BQ88" s="135">
        <v>27</v>
      </c>
      <c r="BR88" s="135">
        <v>84</v>
      </c>
      <c r="BS88" s="135"/>
      <c r="BT88" s="135"/>
      <c r="BU88" s="135"/>
      <c r="BV88" s="135">
        <v>0</v>
      </c>
      <c r="BW88" s="135">
        <v>27</v>
      </c>
      <c r="BX88" s="135">
        <v>31</v>
      </c>
      <c r="BY88" s="135"/>
      <c r="BZ88" s="135"/>
      <c r="CA88" s="135"/>
      <c r="CB88" s="135">
        <v>0</v>
      </c>
      <c r="CC88" s="135">
        <v>31</v>
      </c>
      <c r="CD88" s="135">
        <v>2</v>
      </c>
      <c r="CE88" s="135"/>
      <c r="CF88" s="135"/>
      <c r="CG88" s="135"/>
      <c r="CH88" s="135">
        <v>0</v>
      </c>
      <c r="CI88" s="135">
        <v>2</v>
      </c>
      <c r="CJ88" s="135">
        <v>1</v>
      </c>
      <c r="CK88" s="135"/>
      <c r="CL88" s="135"/>
      <c r="CM88" s="135"/>
      <c r="CN88" s="135">
        <v>0</v>
      </c>
      <c r="CO88" s="135">
        <v>1</v>
      </c>
      <c r="CP88" s="135">
        <v>34</v>
      </c>
      <c r="CQ88" s="135"/>
      <c r="CR88" s="135"/>
      <c r="CS88" s="135"/>
      <c r="CT88" s="135">
        <v>0</v>
      </c>
      <c r="CU88" s="135">
        <v>34</v>
      </c>
      <c r="CV88" s="135">
        <v>118</v>
      </c>
      <c r="CW88" s="135"/>
      <c r="CX88" s="135"/>
      <c r="CY88" s="135"/>
      <c r="CZ88" s="135">
        <v>0</v>
      </c>
      <c r="DA88" s="135">
        <v>61</v>
      </c>
      <c r="DB88" s="135">
        <v>118</v>
      </c>
      <c r="DC88" s="135"/>
      <c r="DD88" s="135"/>
      <c r="DE88" s="135"/>
      <c r="DF88" s="135">
        <v>0</v>
      </c>
      <c r="DG88" s="135">
        <v>61</v>
      </c>
      <c r="DH88" s="136"/>
      <c r="DI88" s="136"/>
      <c r="DJ88" s="136"/>
      <c r="DK88" s="136"/>
      <c r="DL88" s="136"/>
      <c r="DM88" s="136"/>
      <c r="DN88" s="136"/>
      <c r="DO88" s="136"/>
      <c r="DP88" s="136"/>
      <c r="DQ88" s="136"/>
      <c r="DR88" s="136"/>
      <c r="DS88" s="136"/>
      <c r="DT88" s="136"/>
      <c r="DU88" s="136"/>
      <c r="DV88" s="136"/>
      <c r="DW88" s="136"/>
      <c r="DX88" s="136"/>
      <c r="DY88" s="136"/>
      <c r="DZ88" s="136"/>
      <c r="EA88" s="136"/>
      <c r="EB88" s="136"/>
      <c r="EC88" s="136"/>
      <c r="ED88" s="136"/>
      <c r="EE88" s="136"/>
      <c r="EF88" s="136"/>
      <c r="EG88" s="136"/>
      <c r="EH88" s="136"/>
      <c r="EI88" s="136"/>
      <c r="EJ88" s="136"/>
      <c r="EK88" s="136"/>
      <c r="EL88" s="136"/>
      <c r="EM88" s="136"/>
      <c r="EN88" s="136"/>
      <c r="EO88" s="136"/>
      <c r="EP88" s="136"/>
      <c r="EQ88" s="136"/>
    </row>
    <row r="89" ht="31.5" spans="1:147">
      <c r="A89" s="130"/>
      <c r="B89" s="134" t="s">
        <v>363</v>
      </c>
      <c r="C89" s="134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  <c r="AK89" s="135"/>
      <c r="AL89" s="135"/>
      <c r="AM89" s="135"/>
      <c r="AN89" s="135"/>
      <c r="AO89" s="135"/>
      <c r="AP89" s="135"/>
      <c r="AQ89" s="135"/>
      <c r="AR89" s="135"/>
      <c r="AS89" s="135"/>
      <c r="AT89" s="135"/>
      <c r="AU89" s="135"/>
      <c r="AV89" s="135"/>
      <c r="AW89" s="135"/>
      <c r="AX89" s="135"/>
      <c r="AY89" s="135"/>
      <c r="AZ89" s="135"/>
      <c r="BA89" s="135"/>
      <c r="BB89" s="135"/>
      <c r="BC89" s="135"/>
      <c r="BD89" s="135"/>
      <c r="BE89" s="135"/>
      <c r="BF89" s="135"/>
      <c r="BG89" s="135"/>
      <c r="BH89" s="135"/>
      <c r="BI89" s="135"/>
      <c r="BJ89" s="135"/>
      <c r="BK89" s="135"/>
      <c r="BL89" s="135"/>
      <c r="BM89" s="135"/>
      <c r="BN89" s="135"/>
      <c r="BO89" s="135"/>
      <c r="BP89" s="135"/>
      <c r="BQ89" s="135"/>
      <c r="BR89" s="135"/>
      <c r="BS89" s="135"/>
      <c r="BT89" s="135"/>
      <c r="BU89" s="135"/>
      <c r="BV89" s="135"/>
      <c r="BW89" s="135"/>
      <c r="BX89" s="135"/>
      <c r="BY89" s="135"/>
      <c r="BZ89" s="135"/>
      <c r="CA89" s="135"/>
      <c r="CB89" s="135"/>
      <c r="CC89" s="135"/>
      <c r="CD89" s="135"/>
      <c r="CE89" s="135"/>
      <c r="CF89" s="135"/>
      <c r="CG89" s="135"/>
      <c r="CH89" s="135"/>
      <c r="CI89" s="135"/>
      <c r="CJ89" s="135"/>
      <c r="CK89" s="135"/>
      <c r="CL89" s="135"/>
      <c r="CM89" s="135"/>
      <c r="CN89" s="135"/>
      <c r="CO89" s="135"/>
      <c r="CP89" s="135"/>
      <c r="CQ89" s="135"/>
      <c r="CR89" s="135"/>
      <c r="CS89" s="135"/>
      <c r="CT89" s="135"/>
      <c r="CU89" s="135"/>
      <c r="CV89" s="135"/>
      <c r="CW89" s="135"/>
      <c r="CX89" s="135"/>
      <c r="CY89" s="135"/>
      <c r="CZ89" s="135"/>
      <c r="DA89" s="135"/>
      <c r="DB89" s="135"/>
      <c r="DC89" s="135"/>
      <c r="DD89" s="135"/>
      <c r="DE89" s="135"/>
      <c r="DF89" s="135"/>
      <c r="DG89" s="135"/>
      <c r="DH89" s="136"/>
      <c r="DI89" s="136"/>
      <c r="DJ89" s="136"/>
      <c r="DK89" s="136"/>
      <c r="DL89" s="136"/>
      <c r="DM89" s="136"/>
      <c r="DN89" s="136"/>
      <c r="DO89" s="136"/>
      <c r="DP89" s="136"/>
      <c r="DQ89" s="136"/>
      <c r="DR89" s="136"/>
      <c r="DS89" s="136"/>
      <c r="DT89" s="136"/>
      <c r="DU89" s="136"/>
      <c r="DV89" s="136"/>
      <c r="DW89" s="136"/>
      <c r="DX89" s="136"/>
      <c r="DY89" s="136"/>
      <c r="DZ89" s="136"/>
      <c r="EA89" s="136"/>
      <c r="EB89" s="136"/>
      <c r="EC89" s="136"/>
      <c r="ED89" s="136"/>
      <c r="EE89" s="136"/>
      <c r="EF89" s="136"/>
      <c r="EG89" s="136"/>
      <c r="EH89" s="136"/>
      <c r="EI89" s="136"/>
      <c r="EJ89" s="136"/>
      <c r="EK89" s="136"/>
      <c r="EL89" s="136"/>
      <c r="EM89" s="136"/>
      <c r="EN89" s="136"/>
      <c r="EO89" s="136"/>
      <c r="EP89" s="136"/>
      <c r="EQ89" s="136"/>
    </row>
    <row r="90" ht="31.5" spans="1:147">
      <c r="A90" s="130"/>
      <c r="B90" s="134"/>
      <c r="C90" s="134" t="s">
        <v>171</v>
      </c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35"/>
      <c r="AL90" s="135"/>
      <c r="AM90" s="135"/>
      <c r="AN90" s="135"/>
      <c r="AO90" s="135"/>
      <c r="AP90" s="135"/>
      <c r="AQ90" s="135"/>
      <c r="AR90" s="135"/>
      <c r="AS90" s="135"/>
      <c r="AT90" s="135"/>
      <c r="AU90" s="135"/>
      <c r="AV90" s="135"/>
      <c r="AW90" s="135"/>
      <c r="AX90" s="135"/>
      <c r="AY90" s="135"/>
      <c r="AZ90" s="135"/>
      <c r="BA90" s="135"/>
      <c r="BB90" s="135"/>
      <c r="BC90" s="135"/>
      <c r="BD90" s="135"/>
      <c r="BE90" s="135"/>
      <c r="BF90" s="135"/>
      <c r="BG90" s="135"/>
      <c r="BH90" s="135"/>
      <c r="BI90" s="135"/>
      <c r="BJ90" s="135"/>
      <c r="BK90" s="135"/>
      <c r="BL90" s="135"/>
      <c r="BM90" s="135"/>
      <c r="BN90" s="135"/>
      <c r="BO90" s="135"/>
      <c r="BP90" s="135"/>
      <c r="BQ90" s="135"/>
      <c r="BR90" s="135"/>
      <c r="BS90" s="135"/>
      <c r="BT90" s="135"/>
      <c r="BU90" s="135"/>
      <c r="BV90" s="135"/>
      <c r="BW90" s="135"/>
      <c r="BX90" s="135">
        <v>11</v>
      </c>
      <c r="BY90" s="135"/>
      <c r="BZ90" s="135"/>
      <c r="CA90" s="135"/>
      <c r="CB90" s="135">
        <v>0</v>
      </c>
      <c r="CC90" s="135">
        <v>11</v>
      </c>
      <c r="CD90" s="135"/>
      <c r="CE90" s="135"/>
      <c r="CF90" s="135"/>
      <c r="CG90" s="135"/>
      <c r="CH90" s="135"/>
      <c r="CI90" s="135"/>
      <c r="CJ90" s="135"/>
      <c r="CK90" s="135"/>
      <c r="CL90" s="135"/>
      <c r="CM90" s="135"/>
      <c r="CN90" s="135"/>
      <c r="CO90" s="135"/>
      <c r="CP90" s="135">
        <v>11</v>
      </c>
      <c r="CQ90" s="135"/>
      <c r="CR90" s="135"/>
      <c r="CS90" s="135"/>
      <c r="CT90" s="135">
        <v>0</v>
      </c>
      <c r="CU90" s="135">
        <v>11</v>
      </c>
      <c r="CV90" s="135">
        <v>11</v>
      </c>
      <c r="CW90" s="135"/>
      <c r="CX90" s="135"/>
      <c r="CY90" s="135"/>
      <c r="CZ90" s="135">
        <v>0</v>
      </c>
      <c r="DA90" s="135">
        <v>11</v>
      </c>
      <c r="DB90" s="135">
        <v>11</v>
      </c>
      <c r="DC90" s="135"/>
      <c r="DD90" s="135"/>
      <c r="DE90" s="135"/>
      <c r="DF90" s="135">
        <v>0</v>
      </c>
      <c r="DG90" s="135">
        <v>11</v>
      </c>
      <c r="DH90" s="136"/>
      <c r="DI90" s="136"/>
      <c r="DJ90" s="136"/>
      <c r="DK90" s="136"/>
      <c r="DL90" s="136"/>
      <c r="DM90" s="136"/>
      <c r="DN90" s="136"/>
      <c r="DO90" s="136"/>
      <c r="DP90" s="136"/>
      <c r="DQ90" s="136"/>
      <c r="DR90" s="136"/>
      <c r="DS90" s="136"/>
      <c r="DT90" s="136"/>
      <c r="DU90" s="136"/>
      <c r="DV90" s="136"/>
      <c r="DW90" s="136"/>
      <c r="DX90" s="136"/>
      <c r="DY90" s="136"/>
      <c r="DZ90" s="136"/>
      <c r="EA90" s="136"/>
      <c r="EB90" s="136"/>
      <c r="EC90" s="136"/>
      <c r="ED90" s="136"/>
      <c r="EE90" s="136"/>
      <c r="EF90" s="136"/>
      <c r="EG90" s="136"/>
      <c r="EH90" s="136"/>
      <c r="EI90" s="136"/>
      <c r="EJ90" s="136"/>
      <c r="EK90" s="136"/>
      <c r="EL90" s="136"/>
      <c r="EM90" s="136"/>
      <c r="EN90" s="136"/>
      <c r="EO90" s="136"/>
      <c r="EP90" s="136"/>
      <c r="EQ90" s="136"/>
    </row>
    <row r="91" ht="31.5" spans="1:147">
      <c r="A91" s="130"/>
      <c r="B91" s="134"/>
      <c r="C91" s="134" t="s">
        <v>173</v>
      </c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5"/>
      <c r="AL91" s="135"/>
      <c r="AM91" s="135"/>
      <c r="AN91" s="135"/>
      <c r="AO91" s="135"/>
      <c r="AP91" s="135"/>
      <c r="AQ91" s="135"/>
      <c r="AR91" s="135"/>
      <c r="AS91" s="135"/>
      <c r="AT91" s="135"/>
      <c r="AU91" s="135"/>
      <c r="AV91" s="135"/>
      <c r="AW91" s="135"/>
      <c r="AX91" s="135"/>
      <c r="AY91" s="135"/>
      <c r="AZ91" s="135"/>
      <c r="BA91" s="135"/>
      <c r="BB91" s="135"/>
      <c r="BC91" s="135"/>
      <c r="BD91" s="135"/>
      <c r="BE91" s="135"/>
      <c r="BF91" s="135"/>
      <c r="BG91" s="135"/>
      <c r="BH91" s="135"/>
      <c r="BI91" s="135"/>
      <c r="BJ91" s="135"/>
      <c r="BK91" s="135"/>
      <c r="BL91" s="135">
        <v>3</v>
      </c>
      <c r="BM91" s="135"/>
      <c r="BN91" s="135"/>
      <c r="BO91" s="135"/>
      <c r="BP91" s="135">
        <v>0</v>
      </c>
      <c r="BQ91" s="135">
        <v>3</v>
      </c>
      <c r="BR91" s="135">
        <v>3</v>
      </c>
      <c r="BS91" s="135"/>
      <c r="BT91" s="135"/>
      <c r="BU91" s="135"/>
      <c r="BV91" s="135">
        <v>0</v>
      </c>
      <c r="BW91" s="135">
        <v>3</v>
      </c>
      <c r="BX91" s="135"/>
      <c r="BY91" s="135"/>
      <c r="BZ91" s="135"/>
      <c r="CA91" s="135"/>
      <c r="CB91" s="135"/>
      <c r="CC91" s="135"/>
      <c r="CD91" s="135"/>
      <c r="CE91" s="135"/>
      <c r="CF91" s="135"/>
      <c r="CG91" s="135"/>
      <c r="CH91" s="135"/>
      <c r="CI91" s="135"/>
      <c r="CJ91" s="135"/>
      <c r="CK91" s="135"/>
      <c r="CL91" s="135"/>
      <c r="CM91" s="135"/>
      <c r="CN91" s="135"/>
      <c r="CO91" s="135"/>
      <c r="CP91" s="135"/>
      <c r="CQ91" s="135"/>
      <c r="CR91" s="135"/>
      <c r="CS91" s="135"/>
      <c r="CT91" s="135"/>
      <c r="CU91" s="135"/>
      <c r="CV91" s="135">
        <v>3</v>
      </c>
      <c r="CW91" s="135"/>
      <c r="CX91" s="135"/>
      <c r="CY91" s="135"/>
      <c r="CZ91" s="135">
        <v>0</v>
      </c>
      <c r="DA91" s="135">
        <v>3</v>
      </c>
      <c r="DB91" s="135">
        <v>3</v>
      </c>
      <c r="DC91" s="135"/>
      <c r="DD91" s="135"/>
      <c r="DE91" s="135"/>
      <c r="DF91" s="135">
        <v>0</v>
      </c>
      <c r="DG91" s="135">
        <v>3</v>
      </c>
      <c r="DH91" s="136"/>
      <c r="DI91" s="136"/>
      <c r="DJ91" s="136"/>
      <c r="DK91" s="136"/>
      <c r="DL91" s="136"/>
      <c r="DM91" s="136"/>
      <c r="DN91" s="136"/>
      <c r="DO91" s="136"/>
      <c r="DP91" s="136"/>
      <c r="DQ91" s="136"/>
      <c r="DR91" s="136"/>
      <c r="DS91" s="136"/>
      <c r="DT91" s="136"/>
      <c r="DU91" s="136"/>
      <c r="DV91" s="136"/>
      <c r="DW91" s="136"/>
      <c r="DX91" s="136"/>
      <c r="DY91" s="136"/>
      <c r="DZ91" s="136"/>
      <c r="EA91" s="136"/>
      <c r="EB91" s="136"/>
      <c r="EC91" s="136"/>
      <c r="ED91" s="136"/>
      <c r="EE91" s="136"/>
      <c r="EF91" s="136"/>
      <c r="EG91" s="136"/>
      <c r="EH91" s="136"/>
      <c r="EI91" s="136"/>
      <c r="EJ91" s="136"/>
      <c r="EK91" s="136"/>
      <c r="EL91" s="136"/>
      <c r="EM91" s="136"/>
      <c r="EN91" s="136"/>
      <c r="EO91" s="136"/>
      <c r="EP91" s="136"/>
      <c r="EQ91" s="136"/>
    </row>
    <row r="92" ht="31.5" spans="1:147">
      <c r="A92" s="130"/>
      <c r="B92" s="134"/>
      <c r="C92" s="134" t="s">
        <v>175</v>
      </c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  <c r="AK92" s="135"/>
      <c r="AL92" s="135"/>
      <c r="AM92" s="135"/>
      <c r="AN92" s="135"/>
      <c r="AO92" s="135"/>
      <c r="AP92" s="135"/>
      <c r="AQ92" s="135"/>
      <c r="AR92" s="135"/>
      <c r="AS92" s="135"/>
      <c r="AT92" s="135"/>
      <c r="AU92" s="135"/>
      <c r="AV92" s="135"/>
      <c r="AW92" s="135"/>
      <c r="AX92" s="135"/>
      <c r="AY92" s="135"/>
      <c r="AZ92" s="135"/>
      <c r="BA92" s="135"/>
      <c r="BB92" s="135"/>
      <c r="BC92" s="135"/>
      <c r="BD92" s="135"/>
      <c r="BE92" s="135"/>
      <c r="BF92" s="135"/>
      <c r="BG92" s="135"/>
      <c r="BH92" s="135"/>
      <c r="BI92" s="135"/>
      <c r="BJ92" s="135"/>
      <c r="BK92" s="135"/>
      <c r="BL92" s="135">
        <v>10</v>
      </c>
      <c r="BM92" s="135"/>
      <c r="BN92" s="135"/>
      <c r="BO92" s="135"/>
      <c r="BP92" s="135">
        <v>0</v>
      </c>
      <c r="BQ92" s="135">
        <v>10</v>
      </c>
      <c r="BR92" s="135">
        <v>10</v>
      </c>
      <c r="BS92" s="135"/>
      <c r="BT92" s="135"/>
      <c r="BU92" s="135"/>
      <c r="BV92" s="135">
        <v>0</v>
      </c>
      <c r="BW92" s="135">
        <v>10</v>
      </c>
      <c r="BX92" s="135"/>
      <c r="BY92" s="135"/>
      <c r="BZ92" s="135"/>
      <c r="CA92" s="135"/>
      <c r="CB92" s="135"/>
      <c r="CC92" s="135"/>
      <c r="CD92" s="135"/>
      <c r="CE92" s="135"/>
      <c r="CF92" s="135"/>
      <c r="CG92" s="135"/>
      <c r="CH92" s="135"/>
      <c r="CI92" s="135"/>
      <c r="CJ92" s="135"/>
      <c r="CK92" s="135"/>
      <c r="CL92" s="135"/>
      <c r="CM92" s="135"/>
      <c r="CN92" s="135"/>
      <c r="CO92" s="135"/>
      <c r="CP92" s="135"/>
      <c r="CQ92" s="135"/>
      <c r="CR92" s="135"/>
      <c r="CS92" s="135"/>
      <c r="CT92" s="135"/>
      <c r="CU92" s="135"/>
      <c r="CV92" s="135">
        <v>10</v>
      </c>
      <c r="CW92" s="135"/>
      <c r="CX92" s="135"/>
      <c r="CY92" s="135"/>
      <c r="CZ92" s="135">
        <v>0</v>
      </c>
      <c r="DA92" s="135">
        <v>10</v>
      </c>
      <c r="DB92" s="135">
        <v>10</v>
      </c>
      <c r="DC92" s="135"/>
      <c r="DD92" s="135"/>
      <c r="DE92" s="135"/>
      <c r="DF92" s="135">
        <v>0</v>
      </c>
      <c r="DG92" s="135">
        <v>10</v>
      </c>
      <c r="DH92" s="136"/>
      <c r="DI92" s="136"/>
      <c r="DJ92" s="136"/>
      <c r="DK92" s="136"/>
      <c r="DL92" s="136"/>
      <c r="DM92" s="136"/>
      <c r="DN92" s="136"/>
      <c r="DO92" s="136"/>
      <c r="DP92" s="136"/>
      <c r="DQ92" s="136"/>
      <c r="DR92" s="136"/>
      <c r="DS92" s="136"/>
      <c r="DT92" s="136"/>
      <c r="DU92" s="136"/>
      <c r="DV92" s="136"/>
      <c r="DW92" s="136"/>
      <c r="DX92" s="136"/>
      <c r="DY92" s="136"/>
      <c r="DZ92" s="136"/>
      <c r="EA92" s="136"/>
      <c r="EB92" s="136"/>
      <c r="EC92" s="136"/>
      <c r="ED92" s="136"/>
      <c r="EE92" s="136"/>
      <c r="EF92" s="136"/>
      <c r="EG92" s="136"/>
      <c r="EH92" s="136"/>
      <c r="EI92" s="136"/>
      <c r="EJ92" s="136"/>
      <c r="EK92" s="136"/>
      <c r="EL92" s="136"/>
      <c r="EM92" s="136"/>
      <c r="EN92" s="136"/>
      <c r="EO92" s="136"/>
      <c r="EP92" s="136"/>
      <c r="EQ92" s="136"/>
    </row>
    <row r="93" spans="1:147">
      <c r="A93" s="130"/>
      <c r="B93" s="134"/>
      <c r="C93" s="134" t="s">
        <v>177</v>
      </c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35"/>
      <c r="AL93" s="135"/>
      <c r="AM93" s="135"/>
      <c r="AN93" s="135"/>
      <c r="AO93" s="135"/>
      <c r="AP93" s="135"/>
      <c r="AQ93" s="135"/>
      <c r="AR93" s="135"/>
      <c r="AS93" s="135"/>
      <c r="AT93" s="135"/>
      <c r="AU93" s="135"/>
      <c r="AV93" s="135"/>
      <c r="AW93" s="135"/>
      <c r="AX93" s="135"/>
      <c r="AY93" s="135"/>
      <c r="AZ93" s="135"/>
      <c r="BA93" s="135"/>
      <c r="BB93" s="135"/>
      <c r="BC93" s="135"/>
      <c r="BD93" s="135"/>
      <c r="BE93" s="135"/>
      <c r="BF93" s="135"/>
      <c r="BG93" s="135"/>
      <c r="BH93" s="135"/>
      <c r="BI93" s="135"/>
      <c r="BJ93" s="135"/>
      <c r="BK93" s="135"/>
      <c r="BL93" s="135">
        <v>50</v>
      </c>
      <c r="BM93" s="135"/>
      <c r="BN93" s="135"/>
      <c r="BO93" s="135"/>
      <c r="BP93" s="135">
        <v>0</v>
      </c>
      <c r="BQ93" s="135">
        <v>10</v>
      </c>
      <c r="BR93" s="135">
        <v>50</v>
      </c>
      <c r="BS93" s="135"/>
      <c r="BT93" s="135"/>
      <c r="BU93" s="135"/>
      <c r="BV93" s="135">
        <v>0</v>
      </c>
      <c r="BW93" s="135">
        <v>10</v>
      </c>
      <c r="BX93" s="135"/>
      <c r="BY93" s="135"/>
      <c r="BZ93" s="135"/>
      <c r="CA93" s="135"/>
      <c r="CB93" s="135"/>
      <c r="CC93" s="135"/>
      <c r="CD93" s="135"/>
      <c r="CE93" s="135"/>
      <c r="CF93" s="135"/>
      <c r="CG93" s="135"/>
      <c r="CH93" s="135"/>
      <c r="CI93" s="135"/>
      <c r="CJ93" s="135"/>
      <c r="CK93" s="135"/>
      <c r="CL93" s="135"/>
      <c r="CM93" s="135"/>
      <c r="CN93" s="135"/>
      <c r="CO93" s="135"/>
      <c r="CP93" s="135"/>
      <c r="CQ93" s="135"/>
      <c r="CR93" s="135"/>
      <c r="CS93" s="135"/>
      <c r="CT93" s="135"/>
      <c r="CU93" s="135"/>
      <c r="CV93" s="135">
        <v>50</v>
      </c>
      <c r="CW93" s="135"/>
      <c r="CX93" s="135"/>
      <c r="CY93" s="135"/>
      <c r="CZ93" s="135">
        <v>0</v>
      </c>
      <c r="DA93" s="135">
        <v>10</v>
      </c>
      <c r="DB93" s="135">
        <v>50</v>
      </c>
      <c r="DC93" s="135"/>
      <c r="DD93" s="135"/>
      <c r="DE93" s="135"/>
      <c r="DF93" s="135">
        <v>0</v>
      </c>
      <c r="DG93" s="135">
        <v>10</v>
      </c>
      <c r="DH93" s="136"/>
      <c r="DI93" s="136"/>
      <c r="DJ93" s="136"/>
      <c r="DK93" s="136"/>
      <c r="DL93" s="136"/>
      <c r="DM93" s="136"/>
      <c r="DN93" s="136"/>
      <c r="DO93" s="136"/>
      <c r="DP93" s="136"/>
      <c r="DQ93" s="136"/>
      <c r="DR93" s="136"/>
      <c r="DS93" s="136"/>
      <c r="DT93" s="136"/>
      <c r="DU93" s="136"/>
      <c r="DV93" s="136"/>
      <c r="DW93" s="136"/>
      <c r="DX93" s="136"/>
      <c r="DY93" s="136"/>
      <c r="DZ93" s="136"/>
      <c r="EA93" s="136"/>
      <c r="EB93" s="136"/>
      <c r="EC93" s="136"/>
      <c r="ED93" s="136"/>
      <c r="EE93" s="136"/>
      <c r="EF93" s="136"/>
      <c r="EG93" s="136"/>
      <c r="EH93" s="136"/>
      <c r="EI93" s="136"/>
      <c r="EJ93" s="136"/>
      <c r="EK93" s="136"/>
      <c r="EL93" s="136"/>
      <c r="EM93" s="136"/>
      <c r="EN93" s="136"/>
      <c r="EO93" s="136"/>
      <c r="EP93" s="136"/>
      <c r="EQ93" s="136"/>
    </row>
    <row r="94" ht="31.5" spans="1:147">
      <c r="A94" s="130"/>
      <c r="B94" s="134"/>
      <c r="C94" s="134" t="s">
        <v>179</v>
      </c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  <c r="AK94" s="135"/>
      <c r="AL94" s="135"/>
      <c r="AM94" s="135"/>
      <c r="AN94" s="135"/>
      <c r="AO94" s="135"/>
      <c r="AP94" s="135"/>
      <c r="AQ94" s="135"/>
      <c r="AR94" s="135"/>
      <c r="AS94" s="135"/>
      <c r="AT94" s="135"/>
      <c r="AU94" s="135"/>
      <c r="AV94" s="135"/>
      <c r="AW94" s="135"/>
      <c r="AX94" s="135"/>
      <c r="AY94" s="135"/>
      <c r="AZ94" s="135"/>
      <c r="BA94" s="135"/>
      <c r="BB94" s="135"/>
      <c r="BC94" s="135"/>
      <c r="BD94" s="135"/>
      <c r="BE94" s="135"/>
      <c r="BF94" s="135"/>
      <c r="BG94" s="135"/>
      <c r="BH94" s="135"/>
      <c r="BI94" s="135"/>
      <c r="BJ94" s="135"/>
      <c r="BK94" s="135"/>
      <c r="BL94" s="135">
        <v>1</v>
      </c>
      <c r="BM94" s="135"/>
      <c r="BN94" s="135"/>
      <c r="BO94" s="135"/>
      <c r="BP94" s="135">
        <v>0</v>
      </c>
      <c r="BQ94" s="135">
        <v>1</v>
      </c>
      <c r="BR94" s="135">
        <v>1</v>
      </c>
      <c r="BS94" s="135"/>
      <c r="BT94" s="135"/>
      <c r="BU94" s="135"/>
      <c r="BV94" s="135">
        <v>0</v>
      </c>
      <c r="BW94" s="135">
        <v>1</v>
      </c>
      <c r="BX94" s="135"/>
      <c r="BY94" s="135"/>
      <c r="BZ94" s="135"/>
      <c r="CA94" s="135"/>
      <c r="CB94" s="135"/>
      <c r="CC94" s="135"/>
      <c r="CD94" s="135"/>
      <c r="CE94" s="135"/>
      <c r="CF94" s="135"/>
      <c r="CG94" s="135"/>
      <c r="CH94" s="135"/>
      <c r="CI94" s="135"/>
      <c r="CJ94" s="135"/>
      <c r="CK94" s="135"/>
      <c r="CL94" s="135"/>
      <c r="CM94" s="135"/>
      <c r="CN94" s="135"/>
      <c r="CO94" s="135"/>
      <c r="CP94" s="135"/>
      <c r="CQ94" s="135"/>
      <c r="CR94" s="135"/>
      <c r="CS94" s="135"/>
      <c r="CT94" s="135"/>
      <c r="CU94" s="135"/>
      <c r="CV94" s="135">
        <v>1</v>
      </c>
      <c r="CW94" s="135"/>
      <c r="CX94" s="135"/>
      <c r="CY94" s="135"/>
      <c r="CZ94" s="135">
        <v>0</v>
      </c>
      <c r="DA94" s="135">
        <v>1</v>
      </c>
      <c r="DB94" s="135">
        <v>1</v>
      </c>
      <c r="DC94" s="135"/>
      <c r="DD94" s="135"/>
      <c r="DE94" s="135"/>
      <c r="DF94" s="135">
        <v>0</v>
      </c>
      <c r="DG94" s="135">
        <v>1</v>
      </c>
      <c r="DH94" s="136"/>
      <c r="DI94" s="136"/>
      <c r="DJ94" s="136"/>
      <c r="DK94" s="136"/>
      <c r="DL94" s="136"/>
      <c r="DM94" s="136"/>
      <c r="DN94" s="136"/>
      <c r="DO94" s="136"/>
      <c r="DP94" s="136"/>
      <c r="DQ94" s="136"/>
      <c r="DR94" s="136"/>
      <c r="DS94" s="136"/>
      <c r="DT94" s="136"/>
      <c r="DU94" s="136"/>
      <c r="DV94" s="136"/>
      <c r="DW94" s="136"/>
      <c r="DX94" s="136"/>
      <c r="DY94" s="136"/>
      <c r="DZ94" s="136"/>
      <c r="EA94" s="136"/>
      <c r="EB94" s="136"/>
      <c r="EC94" s="136"/>
      <c r="ED94" s="136"/>
      <c r="EE94" s="136"/>
      <c r="EF94" s="136"/>
      <c r="EG94" s="136"/>
      <c r="EH94" s="136"/>
      <c r="EI94" s="136"/>
      <c r="EJ94" s="136"/>
      <c r="EK94" s="136"/>
      <c r="EL94" s="136"/>
      <c r="EM94" s="136"/>
      <c r="EN94" s="136"/>
      <c r="EO94" s="136"/>
      <c r="EP94" s="136"/>
      <c r="EQ94" s="136"/>
    </row>
    <row r="95" spans="1:147">
      <c r="A95" s="130"/>
      <c r="B95" s="134"/>
      <c r="C95" s="134" t="s">
        <v>181</v>
      </c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  <c r="AK95" s="135"/>
      <c r="AL95" s="135"/>
      <c r="AM95" s="135"/>
      <c r="AN95" s="135"/>
      <c r="AO95" s="135"/>
      <c r="AP95" s="135"/>
      <c r="AQ95" s="135"/>
      <c r="AR95" s="135"/>
      <c r="AS95" s="135"/>
      <c r="AT95" s="135"/>
      <c r="AU95" s="135"/>
      <c r="AV95" s="135"/>
      <c r="AW95" s="135"/>
      <c r="AX95" s="135"/>
      <c r="AY95" s="135"/>
      <c r="AZ95" s="135"/>
      <c r="BA95" s="135"/>
      <c r="BB95" s="135"/>
      <c r="BC95" s="135"/>
      <c r="BD95" s="135"/>
      <c r="BE95" s="135"/>
      <c r="BF95" s="135"/>
      <c r="BG95" s="135"/>
      <c r="BH95" s="135"/>
      <c r="BI95" s="135"/>
      <c r="BJ95" s="135"/>
      <c r="BK95" s="135"/>
      <c r="BL95" s="135"/>
      <c r="BM95" s="135"/>
      <c r="BN95" s="135"/>
      <c r="BO95" s="135"/>
      <c r="BP95" s="135"/>
      <c r="BQ95" s="135"/>
      <c r="BR95" s="135"/>
      <c r="BS95" s="135"/>
      <c r="BT95" s="135"/>
      <c r="BU95" s="135"/>
      <c r="BV95" s="135"/>
      <c r="BW95" s="135"/>
      <c r="BX95" s="135">
        <v>10</v>
      </c>
      <c r="BY95" s="135"/>
      <c r="BZ95" s="135"/>
      <c r="CA95" s="135"/>
      <c r="CB95" s="135">
        <v>0</v>
      </c>
      <c r="CC95" s="135">
        <v>10</v>
      </c>
      <c r="CD95" s="135"/>
      <c r="CE95" s="135"/>
      <c r="CF95" s="135"/>
      <c r="CG95" s="135"/>
      <c r="CH95" s="135"/>
      <c r="CI95" s="135"/>
      <c r="CJ95" s="135"/>
      <c r="CK95" s="135"/>
      <c r="CL95" s="135"/>
      <c r="CM95" s="135"/>
      <c r="CN95" s="135"/>
      <c r="CO95" s="135"/>
      <c r="CP95" s="135">
        <v>10</v>
      </c>
      <c r="CQ95" s="135"/>
      <c r="CR95" s="135"/>
      <c r="CS95" s="135"/>
      <c r="CT95" s="135">
        <v>0</v>
      </c>
      <c r="CU95" s="135">
        <v>10</v>
      </c>
      <c r="CV95" s="135">
        <v>10</v>
      </c>
      <c r="CW95" s="135"/>
      <c r="CX95" s="135"/>
      <c r="CY95" s="135"/>
      <c r="CZ95" s="135">
        <v>0</v>
      </c>
      <c r="DA95" s="135">
        <v>10</v>
      </c>
      <c r="DB95" s="135">
        <v>10</v>
      </c>
      <c r="DC95" s="135"/>
      <c r="DD95" s="135"/>
      <c r="DE95" s="135"/>
      <c r="DF95" s="135">
        <v>0</v>
      </c>
      <c r="DG95" s="135">
        <v>10</v>
      </c>
      <c r="DH95" s="136"/>
      <c r="DI95" s="136"/>
      <c r="DJ95" s="136"/>
      <c r="DK95" s="136"/>
      <c r="DL95" s="136"/>
      <c r="DM95" s="136"/>
      <c r="DN95" s="136"/>
      <c r="DO95" s="136"/>
      <c r="DP95" s="136"/>
      <c r="DQ95" s="136"/>
      <c r="DR95" s="136"/>
      <c r="DS95" s="136"/>
      <c r="DT95" s="136"/>
      <c r="DU95" s="136"/>
      <c r="DV95" s="136"/>
      <c r="DW95" s="136"/>
      <c r="DX95" s="136"/>
      <c r="DY95" s="136"/>
      <c r="DZ95" s="136"/>
      <c r="EA95" s="136"/>
      <c r="EB95" s="136"/>
      <c r="EC95" s="136"/>
      <c r="ED95" s="136"/>
      <c r="EE95" s="136"/>
      <c r="EF95" s="136"/>
      <c r="EG95" s="136"/>
      <c r="EH95" s="136"/>
      <c r="EI95" s="136"/>
      <c r="EJ95" s="136"/>
      <c r="EK95" s="136"/>
      <c r="EL95" s="136"/>
      <c r="EM95" s="136"/>
      <c r="EN95" s="136"/>
      <c r="EO95" s="136"/>
      <c r="EP95" s="136"/>
      <c r="EQ95" s="136"/>
    </row>
    <row r="96" ht="31.5" spans="1:147">
      <c r="A96" s="130"/>
      <c r="B96" s="134" t="s">
        <v>364</v>
      </c>
      <c r="C96" s="134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  <c r="AK96" s="135"/>
      <c r="AL96" s="135"/>
      <c r="AM96" s="135"/>
      <c r="AN96" s="135"/>
      <c r="AO96" s="135"/>
      <c r="AP96" s="135"/>
      <c r="AQ96" s="135"/>
      <c r="AR96" s="135"/>
      <c r="AS96" s="135"/>
      <c r="AT96" s="135"/>
      <c r="AU96" s="135"/>
      <c r="AV96" s="135"/>
      <c r="AW96" s="135"/>
      <c r="AX96" s="135"/>
      <c r="AY96" s="135"/>
      <c r="AZ96" s="135"/>
      <c r="BA96" s="135"/>
      <c r="BB96" s="135"/>
      <c r="BC96" s="135"/>
      <c r="BD96" s="135"/>
      <c r="BE96" s="135"/>
      <c r="BF96" s="135"/>
      <c r="BG96" s="135"/>
      <c r="BH96" s="135"/>
      <c r="BI96" s="135"/>
      <c r="BJ96" s="135"/>
      <c r="BK96" s="135"/>
      <c r="BL96" s="135"/>
      <c r="BM96" s="135"/>
      <c r="BN96" s="135"/>
      <c r="BO96" s="135"/>
      <c r="BP96" s="135"/>
      <c r="BQ96" s="135"/>
      <c r="BR96" s="135"/>
      <c r="BS96" s="135"/>
      <c r="BT96" s="135"/>
      <c r="BU96" s="135"/>
      <c r="BV96" s="135"/>
      <c r="BW96" s="135"/>
      <c r="BX96" s="135"/>
      <c r="BY96" s="135"/>
      <c r="BZ96" s="135"/>
      <c r="CA96" s="135"/>
      <c r="CB96" s="135"/>
      <c r="CC96" s="135"/>
      <c r="CD96" s="135"/>
      <c r="CE96" s="135"/>
      <c r="CF96" s="135"/>
      <c r="CG96" s="135"/>
      <c r="CH96" s="135"/>
      <c r="CI96" s="135"/>
      <c r="CJ96" s="135"/>
      <c r="CK96" s="135"/>
      <c r="CL96" s="135"/>
      <c r="CM96" s="135"/>
      <c r="CN96" s="135"/>
      <c r="CO96" s="135"/>
      <c r="CP96" s="135"/>
      <c r="CQ96" s="135"/>
      <c r="CR96" s="135"/>
      <c r="CS96" s="135"/>
      <c r="CT96" s="135"/>
      <c r="CU96" s="135"/>
      <c r="CV96" s="135"/>
      <c r="CW96" s="135"/>
      <c r="CX96" s="135"/>
      <c r="CY96" s="135"/>
      <c r="CZ96" s="135"/>
      <c r="DA96" s="135"/>
      <c r="DB96" s="135"/>
      <c r="DC96" s="135"/>
      <c r="DD96" s="135"/>
      <c r="DE96" s="135"/>
      <c r="DF96" s="135"/>
      <c r="DG96" s="135"/>
      <c r="DH96" s="136"/>
      <c r="DI96" s="136"/>
      <c r="DJ96" s="136"/>
      <c r="DK96" s="136"/>
      <c r="DL96" s="136"/>
      <c r="DM96" s="136"/>
      <c r="DN96" s="136"/>
      <c r="DO96" s="136"/>
      <c r="DP96" s="136"/>
      <c r="DQ96" s="136"/>
      <c r="DR96" s="136"/>
      <c r="DS96" s="136"/>
      <c r="DT96" s="136"/>
      <c r="DU96" s="136"/>
      <c r="DV96" s="136"/>
      <c r="DW96" s="136"/>
      <c r="DX96" s="136"/>
      <c r="DY96" s="136"/>
      <c r="DZ96" s="136"/>
      <c r="EA96" s="136"/>
      <c r="EB96" s="136"/>
      <c r="EC96" s="136"/>
      <c r="ED96" s="136"/>
      <c r="EE96" s="136"/>
      <c r="EF96" s="136"/>
      <c r="EG96" s="136"/>
      <c r="EH96" s="136"/>
      <c r="EI96" s="136"/>
      <c r="EJ96" s="136"/>
      <c r="EK96" s="136"/>
      <c r="EL96" s="136"/>
      <c r="EM96" s="136"/>
      <c r="EN96" s="136"/>
      <c r="EO96" s="136"/>
      <c r="EP96" s="136"/>
      <c r="EQ96" s="136"/>
    </row>
    <row r="97" ht="31.5" spans="1:147">
      <c r="A97" s="130"/>
      <c r="B97" s="134"/>
      <c r="C97" s="134" t="s">
        <v>183</v>
      </c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135"/>
      <c r="AL97" s="135"/>
      <c r="AM97" s="135"/>
      <c r="AN97" s="135"/>
      <c r="AO97" s="135"/>
      <c r="AP97" s="135"/>
      <c r="AQ97" s="135"/>
      <c r="AR97" s="135"/>
      <c r="AS97" s="135"/>
      <c r="AT97" s="135"/>
      <c r="AU97" s="135"/>
      <c r="AV97" s="135"/>
      <c r="AW97" s="135"/>
      <c r="AX97" s="135"/>
      <c r="AY97" s="135"/>
      <c r="AZ97" s="135"/>
      <c r="BA97" s="135"/>
      <c r="BB97" s="135"/>
      <c r="BC97" s="135"/>
      <c r="BD97" s="135"/>
      <c r="BE97" s="135"/>
      <c r="BF97" s="135"/>
      <c r="BG97" s="135"/>
      <c r="BH97" s="135"/>
      <c r="BI97" s="135"/>
      <c r="BJ97" s="135"/>
      <c r="BK97" s="135"/>
      <c r="BL97" s="135"/>
      <c r="BM97" s="135"/>
      <c r="BN97" s="135"/>
      <c r="BO97" s="135"/>
      <c r="BP97" s="135"/>
      <c r="BQ97" s="135"/>
      <c r="BR97" s="135"/>
      <c r="BS97" s="135"/>
      <c r="BT97" s="135"/>
      <c r="BU97" s="135"/>
      <c r="BV97" s="135"/>
      <c r="BW97" s="135"/>
      <c r="BX97" s="135">
        <v>5</v>
      </c>
      <c r="BY97" s="135"/>
      <c r="BZ97" s="135"/>
      <c r="CA97" s="135"/>
      <c r="CB97" s="135">
        <v>0</v>
      </c>
      <c r="CC97" s="135">
        <v>5</v>
      </c>
      <c r="CD97" s="135"/>
      <c r="CE97" s="135"/>
      <c r="CF97" s="135"/>
      <c r="CG97" s="135"/>
      <c r="CH97" s="135"/>
      <c r="CI97" s="135"/>
      <c r="CJ97" s="135"/>
      <c r="CK97" s="135"/>
      <c r="CL97" s="135"/>
      <c r="CM97" s="135"/>
      <c r="CN97" s="135"/>
      <c r="CO97" s="135"/>
      <c r="CP97" s="135">
        <v>5</v>
      </c>
      <c r="CQ97" s="135"/>
      <c r="CR97" s="135"/>
      <c r="CS97" s="135"/>
      <c r="CT97" s="135">
        <v>0</v>
      </c>
      <c r="CU97" s="135">
        <v>5</v>
      </c>
      <c r="CV97" s="135">
        <v>5</v>
      </c>
      <c r="CW97" s="135"/>
      <c r="CX97" s="135"/>
      <c r="CY97" s="135"/>
      <c r="CZ97" s="135">
        <v>0</v>
      </c>
      <c r="DA97" s="135">
        <v>5</v>
      </c>
      <c r="DB97" s="135">
        <v>5</v>
      </c>
      <c r="DC97" s="135"/>
      <c r="DD97" s="135"/>
      <c r="DE97" s="135"/>
      <c r="DF97" s="135">
        <v>0</v>
      </c>
      <c r="DG97" s="135">
        <v>5</v>
      </c>
      <c r="DH97" s="136"/>
      <c r="DI97" s="136"/>
      <c r="DJ97" s="136"/>
      <c r="DK97" s="136"/>
      <c r="DL97" s="136"/>
      <c r="DM97" s="136"/>
      <c r="DN97" s="136"/>
      <c r="DO97" s="136"/>
      <c r="DP97" s="136"/>
      <c r="DQ97" s="136"/>
      <c r="DR97" s="136"/>
      <c r="DS97" s="136"/>
      <c r="DT97" s="136"/>
      <c r="DU97" s="136"/>
      <c r="DV97" s="136"/>
      <c r="DW97" s="136"/>
      <c r="DX97" s="136"/>
      <c r="DY97" s="136"/>
      <c r="DZ97" s="136"/>
      <c r="EA97" s="136"/>
      <c r="EB97" s="136"/>
      <c r="EC97" s="136"/>
      <c r="ED97" s="136"/>
      <c r="EE97" s="136"/>
      <c r="EF97" s="136"/>
      <c r="EG97" s="136"/>
      <c r="EH97" s="136"/>
      <c r="EI97" s="136"/>
      <c r="EJ97" s="136"/>
      <c r="EK97" s="136"/>
      <c r="EL97" s="136"/>
      <c r="EM97" s="136"/>
      <c r="EN97" s="136"/>
      <c r="EO97" s="136"/>
      <c r="EP97" s="136"/>
      <c r="EQ97" s="136"/>
    </row>
    <row r="98" spans="1:147">
      <c r="A98" s="130"/>
      <c r="B98" s="134"/>
      <c r="C98" s="134" t="s">
        <v>196</v>
      </c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  <c r="BA98" s="135"/>
      <c r="BB98" s="135"/>
      <c r="BC98" s="135"/>
      <c r="BD98" s="135"/>
      <c r="BE98" s="135"/>
      <c r="BF98" s="135"/>
      <c r="BG98" s="135"/>
      <c r="BH98" s="135"/>
      <c r="BI98" s="135"/>
      <c r="BJ98" s="135"/>
      <c r="BK98" s="135"/>
      <c r="BL98" s="135">
        <v>20</v>
      </c>
      <c r="BM98" s="135"/>
      <c r="BN98" s="135"/>
      <c r="BO98" s="135"/>
      <c r="BP98" s="135">
        <v>0</v>
      </c>
      <c r="BQ98" s="135">
        <v>3</v>
      </c>
      <c r="BR98" s="135">
        <v>20</v>
      </c>
      <c r="BS98" s="135"/>
      <c r="BT98" s="135"/>
      <c r="BU98" s="135"/>
      <c r="BV98" s="135">
        <v>0</v>
      </c>
      <c r="BW98" s="135">
        <v>3</v>
      </c>
      <c r="BX98" s="135"/>
      <c r="BY98" s="135"/>
      <c r="BZ98" s="135"/>
      <c r="CA98" s="135"/>
      <c r="CB98" s="135"/>
      <c r="CC98" s="135"/>
      <c r="CD98" s="135"/>
      <c r="CE98" s="135"/>
      <c r="CF98" s="135"/>
      <c r="CG98" s="135"/>
      <c r="CH98" s="135"/>
      <c r="CI98" s="135"/>
      <c r="CJ98" s="135"/>
      <c r="CK98" s="135"/>
      <c r="CL98" s="135"/>
      <c r="CM98" s="135"/>
      <c r="CN98" s="135"/>
      <c r="CO98" s="135"/>
      <c r="CP98" s="135"/>
      <c r="CQ98" s="135"/>
      <c r="CR98" s="135"/>
      <c r="CS98" s="135"/>
      <c r="CT98" s="135"/>
      <c r="CU98" s="135"/>
      <c r="CV98" s="135">
        <v>20</v>
      </c>
      <c r="CW98" s="135"/>
      <c r="CX98" s="135"/>
      <c r="CY98" s="135"/>
      <c r="CZ98" s="135">
        <v>0</v>
      </c>
      <c r="DA98" s="135">
        <v>3</v>
      </c>
      <c r="DB98" s="135">
        <v>20</v>
      </c>
      <c r="DC98" s="135"/>
      <c r="DD98" s="135"/>
      <c r="DE98" s="135"/>
      <c r="DF98" s="135">
        <v>0</v>
      </c>
      <c r="DG98" s="135">
        <v>3</v>
      </c>
      <c r="DH98" s="136"/>
      <c r="DI98" s="136"/>
      <c r="DJ98" s="136"/>
      <c r="DK98" s="136"/>
      <c r="DL98" s="136"/>
      <c r="DM98" s="136"/>
      <c r="DN98" s="136"/>
      <c r="DO98" s="136"/>
      <c r="DP98" s="136"/>
      <c r="DQ98" s="136"/>
      <c r="DR98" s="136"/>
      <c r="DS98" s="136"/>
      <c r="DT98" s="136"/>
      <c r="DU98" s="136"/>
      <c r="DV98" s="136"/>
      <c r="DW98" s="136"/>
      <c r="DX98" s="136"/>
      <c r="DY98" s="136"/>
      <c r="DZ98" s="136"/>
      <c r="EA98" s="136"/>
      <c r="EB98" s="136"/>
      <c r="EC98" s="136"/>
      <c r="ED98" s="136"/>
      <c r="EE98" s="136"/>
      <c r="EF98" s="136"/>
      <c r="EG98" s="136"/>
      <c r="EH98" s="136"/>
      <c r="EI98" s="136"/>
      <c r="EJ98" s="136"/>
      <c r="EK98" s="136"/>
      <c r="EL98" s="136"/>
      <c r="EM98" s="136"/>
      <c r="EN98" s="136"/>
      <c r="EO98" s="136"/>
      <c r="EP98" s="136"/>
      <c r="EQ98" s="136"/>
    </row>
    <row r="99" ht="31.5" spans="1:147">
      <c r="A99" s="130"/>
      <c r="B99" s="134" t="s">
        <v>365</v>
      </c>
      <c r="C99" s="134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  <c r="BA99" s="135"/>
      <c r="BB99" s="135"/>
      <c r="BC99" s="135"/>
      <c r="BD99" s="135"/>
      <c r="BE99" s="135"/>
      <c r="BF99" s="135"/>
      <c r="BG99" s="135"/>
      <c r="BH99" s="135"/>
      <c r="BI99" s="135"/>
      <c r="BJ99" s="135"/>
      <c r="BK99" s="135"/>
      <c r="BL99" s="135"/>
      <c r="BM99" s="135"/>
      <c r="BN99" s="135"/>
      <c r="BO99" s="135"/>
      <c r="BP99" s="135"/>
      <c r="BQ99" s="135"/>
      <c r="BR99" s="135"/>
      <c r="BS99" s="135"/>
      <c r="BT99" s="135"/>
      <c r="BU99" s="135"/>
      <c r="BV99" s="135"/>
      <c r="BW99" s="135"/>
      <c r="BX99" s="135"/>
      <c r="BY99" s="135"/>
      <c r="BZ99" s="135"/>
      <c r="CA99" s="135"/>
      <c r="CB99" s="135"/>
      <c r="CC99" s="135"/>
      <c r="CD99" s="135"/>
      <c r="CE99" s="135"/>
      <c r="CF99" s="135"/>
      <c r="CG99" s="135"/>
      <c r="CH99" s="135"/>
      <c r="CI99" s="135"/>
      <c r="CJ99" s="135"/>
      <c r="CK99" s="135"/>
      <c r="CL99" s="135"/>
      <c r="CM99" s="135"/>
      <c r="CN99" s="135"/>
      <c r="CO99" s="135"/>
      <c r="CP99" s="135"/>
      <c r="CQ99" s="135"/>
      <c r="CR99" s="135"/>
      <c r="CS99" s="135"/>
      <c r="CT99" s="135"/>
      <c r="CU99" s="135"/>
      <c r="CV99" s="135"/>
      <c r="CW99" s="135"/>
      <c r="CX99" s="135"/>
      <c r="CY99" s="135"/>
      <c r="CZ99" s="135"/>
      <c r="DA99" s="135"/>
      <c r="DB99" s="135"/>
      <c r="DC99" s="135"/>
      <c r="DD99" s="135"/>
      <c r="DE99" s="135"/>
      <c r="DF99" s="135"/>
      <c r="DG99" s="135"/>
      <c r="DH99" s="136"/>
      <c r="DI99" s="136"/>
      <c r="DJ99" s="136"/>
      <c r="DK99" s="136"/>
      <c r="DL99" s="136"/>
      <c r="DM99" s="136"/>
      <c r="DN99" s="136"/>
      <c r="DO99" s="136"/>
      <c r="DP99" s="136"/>
      <c r="DQ99" s="136"/>
      <c r="DR99" s="136"/>
      <c r="DS99" s="136"/>
      <c r="DT99" s="136"/>
      <c r="DU99" s="136"/>
      <c r="DV99" s="136"/>
      <c r="DW99" s="136"/>
      <c r="DX99" s="136"/>
      <c r="DY99" s="136"/>
      <c r="DZ99" s="136"/>
      <c r="EA99" s="136"/>
      <c r="EB99" s="136"/>
      <c r="EC99" s="136"/>
      <c r="ED99" s="136"/>
      <c r="EE99" s="136"/>
      <c r="EF99" s="136"/>
      <c r="EG99" s="136"/>
      <c r="EH99" s="136"/>
      <c r="EI99" s="136"/>
      <c r="EJ99" s="136"/>
      <c r="EK99" s="136"/>
      <c r="EL99" s="136"/>
      <c r="EM99" s="136"/>
      <c r="EN99" s="136"/>
      <c r="EO99" s="136"/>
      <c r="EP99" s="136"/>
      <c r="EQ99" s="136"/>
    </row>
    <row r="100" spans="1:147">
      <c r="A100" s="130"/>
      <c r="B100" s="134"/>
      <c r="C100" s="134" t="s">
        <v>185</v>
      </c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  <c r="BA100" s="135"/>
      <c r="BB100" s="135"/>
      <c r="BC100" s="135"/>
      <c r="BD100" s="135"/>
      <c r="BE100" s="135"/>
      <c r="BF100" s="135"/>
      <c r="BG100" s="135"/>
      <c r="BH100" s="135"/>
      <c r="BI100" s="135"/>
      <c r="BJ100" s="135"/>
      <c r="BK100" s="135"/>
      <c r="BL100" s="135"/>
      <c r="BM100" s="135"/>
      <c r="BN100" s="135"/>
      <c r="BO100" s="135"/>
      <c r="BP100" s="135"/>
      <c r="BQ100" s="135"/>
      <c r="BR100" s="135"/>
      <c r="BS100" s="135"/>
      <c r="BT100" s="135"/>
      <c r="BU100" s="135"/>
      <c r="BV100" s="135"/>
      <c r="BW100" s="135"/>
      <c r="BX100" s="135">
        <v>2</v>
      </c>
      <c r="BY100" s="135"/>
      <c r="BZ100" s="135"/>
      <c r="CA100" s="135"/>
      <c r="CB100" s="135">
        <v>0</v>
      </c>
      <c r="CC100" s="135">
        <v>2</v>
      </c>
      <c r="CD100" s="135"/>
      <c r="CE100" s="135"/>
      <c r="CF100" s="135"/>
      <c r="CG100" s="135"/>
      <c r="CH100" s="135"/>
      <c r="CI100" s="135"/>
      <c r="CJ100" s="135"/>
      <c r="CK100" s="135"/>
      <c r="CL100" s="135"/>
      <c r="CM100" s="135"/>
      <c r="CN100" s="135"/>
      <c r="CO100" s="135"/>
      <c r="CP100" s="135">
        <v>2</v>
      </c>
      <c r="CQ100" s="135"/>
      <c r="CR100" s="135"/>
      <c r="CS100" s="135"/>
      <c r="CT100" s="135">
        <v>0</v>
      </c>
      <c r="CU100" s="135">
        <v>2</v>
      </c>
      <c r="CV100" s="135">
        <v>2</v>
      </c>
      <c r="CW100" s="135"/>
      <c r="CX100" s="135"/>
      <c r="CY100" s="135"/>
      <c r="CZ100" s="135">
        <v>0</v>
      </c>
      <c r="DA100" s="135">
        <v>2</v>
      </c>
      <c r="DB100" s="135">
        <v>2</v>
      </c>
      <c r="DC100" s="135"/>
      <c r="DD100" s="135"/>
      <c r="DE100" s="135"/>
      <c r="DF100" s="135">
        <v>0</v>
      </c>
      <c r="DG100" s="135">
        <v>2</v>
      </c>
      <c r="DH100" s="136"/>
      <c r="DI100" s="136"/>
      <c r="DJ100" s="136"/>
      <c r="DK100" s="136"/>
      <c r="DL100" s="136"/>
      <c r="DM100" s="136"/>
      <c r="DN100" s="136"/>
      <c r="DO100" s="136"/>
      <c r="DP100" s="136"/>
      <c r="DQ100" s="136"/>
      <c r="DR100" s="136"/>
      <c r="DS100" s="136"/>
      <c r="DT100" s="136"/>
      <c r="DU100" s="136"/>
      <c r="DV100" s="136"/>
      <c r="DW100" s="136"/>
      <c r="DX100" s="136"/>
      <c r="DY100" s="136"/>
      <c r="DZ100" s="136"/>
      <c r="EA100" s="136"/>
      <c r="EB100" s="136"/>
      <c r="EC100" s="136"/>
      <c r="ED100" s="136"/>
      <c r="EE100" s="136"/>
      <c r="EF100" s="136"/>
      <c r="EG100" s="136"/>
      <c r="EH100" s="136"/>
      <c r="EI100" s="136"/>
      <c r="EJ100" s="136"/>
      <c r="EK100" s="136"/>
      <c r="EL100" s="136"/>
      <c r="EM100" s="136"/>
      <c r="EN100" s="136"/>
      <c r="EO100" s="136"/>
      <c r="EP100" s="136"/>
      <c r="EQ100" s="136"/>
    </row>
    <row r="101" ht="31.5" spans="1:147">
      <c r="A101" s="130"/>
      <c r="B101" s="134"/>
      <c r="C101" s="134" t="s">
        <v>198</v>
      </c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  <c r="BA101" s="135"/>
      <c r="BB101" s="135"/>
      <c r="BC101" s="135"/>
      <c r="BD101" s="135"/>
      <c r="BE101" s="135"/>
      <c r="BF101" s="135"/>
      <c r="BG101" s="135"/>
      <c r="BH101" s="135"/>
      <c r="BI101" s="135"/>
      <c r="BJ101" s="135"/>
      <c r="BK101" s="135"/>
      <c r="BL101" s="135"/>
      <c r="BM101" s="135"/>
      <c r="BN101" s="135"/>
      <c r="BO101" s="135"/>
      <c r="BP101" s="135"/>
      <c r="BQ101" s="135"/>
      <c r="BR101" s="135"/>
      <c r="BS101" s="135"/>
      <c r="BT101" s="135"/>
      <c r="BU101" s="135"/>
      <c r="BV101" s="135"/>
      <c r="BW101" s="135"/>
      <c r="BX101" s="135"/>
      <c r="BY101" s="135"/>
      <c r="BZ101" s="135"/>
      <c r="CA101" s="135"/>
      <c r="CB101" s="135"/>
      <c r="CC101" s="135"/>
      <c r="CD101" s="135"/>
      <c r="CE101" s="135"/>
      <c r="CF101" s="135"/>
      <c r="CG101" s="135"/>
      <c r="CH101" s="135"/>
      <c r="CI101" s="135"/>
      <c r="CJ101" s="135">
        <v>1</v>
      </c>
      <c r="CK101" s="135"/>
      <c r="CL101" s="135"/>
      <c r="CM101" s="135"/>
      <c r="CN101" s="135">
        <v>0</v>
      </c>
      <c r="CO101" s="135">
        <v>1</v>
      </c>
      <c r="CP101" s="135">
        <v>1</v>
      </c>
      <c r="CQ101" s="135"/>
      <c r="CR101" s="135"/>
      <c r="CS101" s="135"/>
      <c r="CT101" s="135">
        <v>0</v>
      </c>
      <c r="CU101" s="135">
        <v>1</v>
      </c>
      <c r="CV101" s="135">
        <v>1</v>
      </c>
      <c r="CW101" s="135"/>
      <c r="CX101" s="135"/>
      <c r="CY101" s="135"/>
      <c r="CZ101" s="135">
        <v>0</v>
      </c>
      <c r="DA101" s="135">
        <v>1</v>
      </c>
      <c r="DB101" s="135">
        <v>1</v>
      </c>
      <c r="DC101" s="135"/>
      <c r="DD101" s="135"/>
      <c r="DE101" s="135"/>
      <c r="DF101" s="135">
        <v>0</v>
      </c>
      <c r="DG101" s="135">
        <v>1</v>
      </c>
      <c r="DH101" s="136"/>
      <c r="DI101" s="136"/>
      <c r="DJ101" s="136"/>
      <c r="DK101" s="136"/>
      <c r="DL101" s="136"/>
      <c r="DM101" s="136"/>
      <c r="DN101" s="136"/>
      <c r="DO101" s="136"/>
      <c r="DP101" s="136"/>
      <c r="DQ101" s="136"/>
      <c r="DR101" s="136"/>
      <c r="DS101" s="136"/>
      <c r="DT101" s="136"/>
      <c r="DU101" s="136"/>
      <c r="DV101" s="136"/>
      <c r="DW101" s="136"/>
      <c r="DX101" s="136"/>
      <c r="DY101" s="136"/>
      <c r="DZ101" s="136"/>
      <c r="EA101" s="136"/>
      <c r="EB101" s="136"/>
      <c r="EC101" s="136"/>
      <c r="ED101" s="136"/>
      <c r="EE101" s="136"/>
      <c r="EF101" s="136"/>
      <c r="EG101" s="136"/>
      <c r="EH101" s="136"/>
      <c r="EI101" s="136"/>
      <c r="EJ101" s="136"/>
      <c r="EK101" s="136"/>
      <c r="EL101" s="136"/>
      <c r="EM101" s="136"/>
      <c r="EN101" s="136"/>
      <c r="EO101" s="136"/>
      <c r="EP101" s="136"/>
      <c r="EQ101" s="136"/>
    </row>
    <row r="102" spans="1:147">
      <c r="A102" s="130"/>
      <c r="B102" s="134" t="s">
        <v>366</v>
      </c>
      <c r="C102" s="134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  <c r="BA102" s="135"/>
      <c r="BB102" s="135"/>
      <c r="BC102" s="135"/>
      <c r="BD102" s="135"/>
      <c r="BE102" s="135"/>
      <c r="BF102" s="135"/>
      <c r="BG102" s="135"/>
      <c r="BH102" s="135"/>
      <c r="BI102" s="135"/>
      <c r="BJ102" s="135"/>
      <c r="BK102" s="135"/>
      <c r="BL102" s="135"/>
      <c r="BM102" s="135"/>
      <c r="BN102" s="135"/>
      <c r="BO102" s="135"/>
      <c r="BP102" s="135"/>
      <c r="BQ102" s="135"/>
      <c r="BR102" s="135"/>
      <c r="BS102" s="135"/>
      <c r="BT102" s="135"/>
      <c r="BU102" s="135"/>
      <c r="BV102" s="135"/>
      <c r="BW102" s="135"/>
      <c r="BX102" s="135"/>
      <c r="BY102" s="135"/>
      <c r="BZ102" s="135"/>
      <c r="CA102" s="135"/>
      <c r="CB102" s="135"/>
      <c r="CC102" s="135"/>
      <c r="CD102" s="135"/>
      <c r="CE102" s="135"/>
      <c r="CF102" s="135"/>
      <c r="CG102" s="135"/>
      <c r="CH102" s="135"/>
      <c r="CI102" s="135"/>
      <c r="CJ102" s="135"/>
      <c r="CK102" s="135"/>
      <c r="CL102" s="135"/>
      <c r="CM102" s="135"/>
      <c r="CN102" s="135"/>
      <c r="CO102" s="135"/>
      <c r="CP102" s="135"/>
      <c r="CQ102" s="135"/>
      <c r="CR102" s="135"/>
      <c r="CS102" s="135"/>
      <c r="CT102" s="135"/>
      <c r="CU102" s="135"/>
      <c r="CV102" s="135"/>
      <c r="CW102" s="135"/>
      <c r="CX102" s="135"/>
      <c r="CY102" s="135"/>
      <c r="CZ102" s="135"/>
      <c r="DA102" s="135"/>
      <c r="DB102" s="135"/>
      <c r="DC102" s="135"/>
      <c r="DD102" s="135"/>
      <c r="DE102" s="135"/>
      <c r="DF102" s="135"/>
      <c r="DG102" s="135"/>
      <c r="DH102" s="136"/>
      <c r="DI102" s="136"/>
      <c r="DJ102" s="136"/>
      <c r="DK102" s="136"/>
      <c r="DL102" s="136"/>
      <c r="DM102" s="136"/>
      <c r="DN102" s="136"/>
      <c r="DO102" s="136"/>
      <c r="DP102" s="136"/>
      <c r="DQ102" s="136"/>
      <c r="DR102" s="136"/>
      <c r="DS102" s="136"/>
      <c r="DT102" s="136"/>
      <c r="DU102" s="136"/>
      <c r="DV102" s="136"/>
      <c r="DW102" s="136"/>
      <c r="DX102" s="136"/>
      <c r="DY102" s="136"/>
      <c r="DZ102" s="136"/>
      <c r="EA102" s="136"/>
      <c r="EB102" s="136"/>
      <c r="EC102" s="136"/>
      <c r="ED102" s="136"/>
      <c r="EE102" s="136"/>
      <c r="EF102" s="136"/>
      <c r="EG102" s="136"/>
      <c r="EH102" s="136"/>
      <c r="EI102" s="136"/>
      <c r="EJ102" s="136"/>
      <c r="EK102" s="136"/>
      <c r="EL102" s="136"/>
      <c r="EM102" s="136"/>
      <c r="EN102" s="136"/>
      <c r="EO102" s="136"/>
      <c r="EP102" s="136"/>
      <c r="EQ102" s="136"/>
    </row>
    <row r="103" ht="31.5" spans="1:147">
      <c r="A103" s="130"/>
      <c r="B103" s="134"/>
      <c r="C103" s="134" t="s">
        <v>194</v>
      </c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  <c r="BA103" s="135"/>
      <c r="BB103" s="135"/>
      <c r="BC103" s="135"/>
      <c r="BD103" s="135"/>
      <c r="BE103" s="135"/>
      <c r="BF103" s="135"/>
      <c r="BG103" s="135"/>
      <c r="BH103" s="135"/>
      <c r="BI103" s="135"/>
      <c r="BJ103" s="135"/>
      <c r="BK103" s="135"/>
      <c r="BL103" s="135"/>
      <c r="BM103" s="135"/>
      <c r="BN103" s="135"/>
      <c r="BO103" s="135"/>
      <c r="BP103" s="135"/>
      <c r="BQ103" s="135"/>
      <c r="BR103" s="135"/>
      <c r="BS103" s="135"/>
      <c r="BT103" s="135"/>
      <c r="BU103" s="135"/>
      <c r="BV103" s="135"/>
      <c r="BW103" s="135"/>
      <c r="BX103" s="135">
        <v>3</v>
      </c>
      <c r="BY103" s="135"/>
      <c r="BZ103" s="135"/>
      <c r="CA103" s="135"/>
      <c r="CB103" s="135">
        <v>0</v>
      </c>
      <c r="CC103" s="135">
        <v>3</v>
      </c>
      <c r="CD103" s="135">
        <v>2</v>
      </c>
      <c r="CE103" s="135"/>
      <c r="CF103" s="135"/>
      <c r="CG103" s="135"/>
      <c r="CH103" s="135">
        <v>0</v>
      </c>
      <c r="CI103" s="135">
        <v>2</v>
      </c>
      <c r="CJ103" s="135"/>
      <c r="CK103" s="135"/>
      <c r="CL103" s="135"/>
      <c r="CM103" s="135"/>
      <c r="CN103" s="135"/>
      <c r="CO103" s="135"/>
      <c r="CP103" s="135">
        <v>5</v>
      </c>
      <c r="CQ103" s="135"/>
      <c r="CR103" s="135"/>
      <c r="CS103" s="135"/>
      <c r="CT103" s="135">
        <v>0</v>
      </c>
      <c r="CU103" s="135">
        <v>5</v>
      </c>
      <c r="CV103" s="135">
        <v>5</v>
      </c>
      <c r="CW103" s="135"/>
      <c r="CX103" s="135"/>
      <c r="CY103" s="135"/>
      <c r="CZ103" s="135">
        <v>0</v>
      </c>
      <c r="DA103" s="135">
        <v>5</v>
      </c>
      <c r="DB103" s="135">
        <v>5</v>
      </c>
      <c r="DC103" s="135"/>
      <c r="DD103" s="135"/>
      <c r="DE103" s="135"/>
      <c r="DF103" s="135">
        <v>0</v>
      </c>
      <c r="DG103" s="135">
        <v>5</v>
      </c>
      <c r="DH103" s="136"/>
      <c r="DI103" s="136"/>
      <c r="DJ103" s="136"/>
      <c r="DK103" s="136"/>
      <c r="DL103" s="136"/>
      <c r="DM103" s="136"/>
      <c r="DN103" s="136"/>
      <c r="DO103" s="136"/>
      <c r="DP103" s="136"/>
      <c r="DQ103" s="136"/>
      <c r="DR103" s="136"/>
      <c r="DS103" s="136"/>
      <c r="DT103" s="136"/>
      <c r="DU103" s="136"/>
      <c r="DV103" s="136"/>
      <c r="DW103" s="136"/>
      <c r="DX103" s="136"/>
      <c r="DY103" s="136"/>
      <c r="DZ103" s="136"/>
      <c r="EA103" s="136"/>
      <c r="EB103" s="136"/>
      <c r="EC103" s="136"/>
      <c r="ED103" s="136"/>
      <c r="EE103" s="136"/>
      <c r="EF103" s="136"/>
      <c r="EG103" s="136"/>
      <c r="EH103" s="136"/>
      <c r="EI103" s="136"/>
      <c r="EJ103" s="136"/>
      <c r="EK103" s="136"/>
      <c r="EL103" s="136"/>
      <c r="EM103" s="136"/>
      <c r="EN103" s="136"/>
      <c r="EO103" s="136"/>
      <c r="EP103" s="136"/>
      <c r="EQ103" s="136"/>
    </row>
    <row r="104" spans="1:147">
      <c r="A104" s="130" t="s">
        <v>208</v>
      </c>
      <c r="B104" s="134"/>
      <c r="C104" s="134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  <c r="BA104" s="135"/>
      <c r="BB104" s="135"/>
      <c r="BC104" s="135"/>
      <c r="BD104" s="135"/>
      <c r="BE104" s="135"/>
      <c r="BF104" s="135">
        <v>400</v>
      </c>
      <c r="BG104" s="135"/>
      <c r="BH104" s="135"/>
      <c r="BI104" s="135"/>
      <c r="BJ104" s="135">
        <v>0</v>
      </c>
      <c r="BK104" s="135">
        <v>10</v>
      </c>
      <c r="BL104" s="135">
        <v>400</v>
      </c>
      <c r="BM104" s="135"/>
      <c r="BN104" s="135"/>
      <c r="BO104" s="135"/>
      <c r="BP104" s="135">
        <v>0</v>
      </c>
      <c r="BQ104" s="135">
        <v>10</v>
      </c>
      <c r="BR104" s="135">
        <v>800</v>
      </c>
      <c r="BS104" s="135"/>
      <c r="BT104" s="135"/>
      <c r="BU104" s="135"/>
      <c r="BV104" s="135">
        <v>0</v>
      </c>
      <c r="BW104" s="135">
        <v>20</v>
      </c>
      <c r="BX104" s="135">
        <v>206</v>
      </c>
      <c r="BY104" s="135"/>
      <c r="BZ104" s="135"/>
      <c r="CA104" s="135"/>
      <c r="CB104" s="135">
        <v>0</v>
      </c>
      <c r="CC104" s="135">
        <v>7</v>
      </c>
      <c r="CD104" s="135">
        <v>9</v>
      </c>
      <c r="CE104" s="135"/>
      <c r="CF104" s="135"/>
      <c r="CG104" s="135"/>
      <c r="CH104" s="135">
        <v>0</v>
      </c>
      <c r="CI104" s="135">
        <v>3</v>
      </c>
      <c r="CJ104" s="135"/>
      <c r="CK104" s="135"/>
      <c r="CL104" s="135"/>
      <c r="CM104" s="135"/>
      <c r="CN104" s="135"/>
      <c r="CO104" s="135"/>
      <c r="CP104" s="135">
        <v>215</v>
      </c>
      <c r="CQ104" s="135"/>
      <c r="CR104" s="135"/>
      <c r="CS104" s="135"/>
      <c r="CT104" s="135">
        <v>0</v>
      </c>
      <c r="CU104" s="135">
        <v>10</v>
      </c>
      <c r="CV104" s="135">
        <v>1015</v>
      </c>
      <c r="CW104" s="135"/>
      <c r="CX104" s="135"/>
      <c r="CY104" s="135"/>
      <c r="CZ104" s="135">
        <v>0</v>
      </c>
      <c r="DA104" s="135">
        <v>30</v>
      </c>
      <c r="DB104" s="135">
        <v>1015</v>
      </c>
      <c r="DC104" s="135"/>
      <c r="DD104" s="135"/>
      <c r="DE104" s="135"/>
      <c r="DF104" s="135">
        <v>0</v>
      </c>
      <c r="DG104" s="135">
        <v>30</v>
      </c>
      <c r="DH104" s="136"/>
      <c r="DI104" s="136"/>
      <c r="DJ104" s="136"/>
      <c r="DK104" s="136"/>
      <c r="DL104" s="136"/>
      <c r="DM104" s="136"/>
      <c r="DN104" s="136"/>
      <c r="DO104" s="136"/>
      <c r="DP104" s="136"/>
      <c r="DQ104" s="136"/>
      <c r="DR104" s="136"/>
      <c r="DS104" s="136"/>
      <c r="DT104" s="136"/>
      <c r="DU104" s="136"/>
      <c r="DV104" s="136"/>
      <c r="DW104" s="136"/>
      <c r="DX104" s="136"/>
      <c r="DY104" s="136"/>
      <c r="DZ104" s="136"/>
      <c r="EA104" s="136"/>
      <c r="EB104" s="136"/>
      <c r="EC104" s="136"/>
      <c r="ED104" s="136"/>
      <c r="EE104" s="136"/>
      <c r="EF104" s="136"/>
      <c r="EG104" s="136"/>
      <c r="EH104" s="136"/>
      <c r="EI104" s="136"/>
      <c r="EJ104" s="136"/>
      <c r="EK104" s="136"/>
      <c r="EL104" s="136"/>
      <c r="EM104" s="136"/>
      <c r="EN104" s="136"/>
      <c r="EO104" s="136"/>
      <c r="EP104" s="136"/>
      <c r="EQ104" s="136"/>
    </row>
    <row r="105" ht="31.5" spans="1:147">
      <c r="A105" s="130"/>
      <c r="B105" s="134" t="s">
        <v>367</v>
      </c>
      <c r="C105" s="134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  <c r="BA105" s="135"/>
      <c r="BB105" s="135"/>
      <c r="BC105" s="135"/>
      <c r="BD105" s="135"/>
      <c r="BE105" s="135"/>
      <c r="BF105" s="135"/>
      <c r="BG105" s="135"/>
      <c r="BH105" s="135"/>
      <c r="BI105" s="135"/>
      <c r="BJ105" s="135"/>
      <c r="BK105" s="135"/>
      <c r="BL105" s="135"/>
      <c r="BM105" s="135"/>
      <c r="BN105" s="135"/>
      <c r="BO105" s="135"/>
      <c r="BP105" s="135"/>
      <c r="BQ105" s="135"/>
      <c r="BR105" s="135"/>
      <c r="BS105" s="135"/>
      <c r="BT105" s="135"/>
      <c r="BU105" s="135"/>
      <c r="BV105" s="135"/>
      <c r="BW105" s="135"/>
      <c r="BX105" s="135"/>
      <c r="BY105" s="135"/>
      <c r="BZ105" s="135"/>
      <c r="CA105" s="135"/>
      <c r="CB105" s="135"/>
      <c r="CC105" s="135"/>
      <c r="CD105" s="135"/>
      <c r="CE105" s="135"/>
      <c r="CF105" s="135"/>
      <c r="CG105" s="135"/>
      <c r="CH105" s="135"/>
      <c r="CI105" s="135"/>
      <c r="CJ105" s="135"/>
      <c r="CK105" s="135"/>
      <c r="CL105" s="135"/>
      <c r="CM105" s="135"/>
      <c r="CN105" s="135"/>
      <c r="CO105" s="135"/>
      <c r="CP105" s="135"/>
      <c r="CQ105" s="135"/>
      <c r="CR105" s="135"/>
      <c r="CS105" s="135"/>
      <c r="CT105" s="135"/>
      <c r="CU105" s="135"/>
      <c r="CV105" s="135"/>
      <c r="CW105" s="135"/>
      <c r="CX105" s="135"/>
      <c r="CY105" s="135"/>
      <c r="CZ105" s="135"/>
      <c r="DA105" s="135"/>
      <c r="DB105" s="135"/>
      <c r="DC105" s="135"/>
      <c r="DD105" s="135"/>
      <c r="DE105" s="135"/>
      <c r="DF105" s="135"/>
      <c r="DG105" s="135"/>
      <c r="DH105" s="136"/>
      <c r="DI105" s="136"/>
      <c r="DJ105" s="136"/>
      <c r="DK105" s="136"/>
      <c r="DL105" s="136"/>
      <c r="DM105" s="136"/>
      <c r="DN105" s="136"/>
      <c r="DO105" s="136"/>
      <c r="DP105" s="136"/>
      <c r="DQ105" s="136"/>
      <c r="DR105" s="136"/>
      <c r="DS105" s="136"/>
      <c r="DT105" s="136"/>
      <c r="DU105" s="136"/>
      <c r="DV105" s="136"/>
      <c r="DW105" s="136"/>
      <c r="DX105" s="136"/>
      <c r="DY105" s="136"/>
      <c r="DZ105" s="136"/>
      <c r="EA105" s="136"/>
      <c r="EB105" s="136"/>
      <c r="EC105" s="136"/>
      <c r="ED105" s="136"/>
      <c r="EE105" s="136"/>
      <c r="EF105" s="136"/>
      <c r="EG105" s="136"/>
      <c r="EH105" s="136"/>
      <c r="EI105" s="136"/>
      <c r="EJ105" s="136"/>
      <c r="EK105" s="136"/>
      <c r="EL105" s="136"/>
      <c r="EM105" s="136"/>
      <c r="EN105" s="136"/>
      <c r="EO105" s="136"/>
      <c r="EP105" s="136"/>
      <c r="EQ105" s="136"/>
    </row>
    <row r="106" spans="1:147">
      <c r="A106" s="130"/>
      <c r="B106" s="134"/>
      <c r="C106" s="134" t="s">
        <v>210</v>
      </c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  <c r="BA106" s="135"/>
      <c r="BB106" s="135"/>
      <c r="BC106" s="135"/>
      <c r="BD106" s="135"/>
      <c r="BE106" s="135"/>
      <c r="BF106" s="135">
        <v>100</v>
      </c>
      <c r="BG106" s="135"/>
      <c r="BH106" s="135"/>
      <c r="BI106" s="135"/>
      <c r="BJ106" s="135">
        <v>0</v>
      </c>
      <c r="BK106" s="135">
        <v>10</v>
      </c>
      <c r="BL106" s="135">
        <v>100</v>
      </c>
      <c r="BM106" s="135"/>
      <c r="BN106" s="135"/>
      <c r="BO106" s="135"/>
      <c r="BP106" s="135">
        <v>0</v>
      </c>
      <c r="BQ106" s="135">
        <v>10</v>
      </c>
      <c r="BR106" s="135">
        <v>200</v>
      </c>
      <c r="BS106" s="135"/>
      <c r="BT106" s="135"/>
      <c r="BU106" s="135"/>
      <c r="BV106" s="135">
        <v>0</v>
      </c>
      <c r="BW106" s="135">
        <v>20</v>
      </c>
      <c r="BX106" s="135">
        <v>50</v>
      </c>
      <c r="BY106" s="135"/>
      <c r="BZ106" s="135"/>
      <c r="CA106" s="135"/>
      <c r="CB106" s="135">
        <v>0</v>
      </c>
      <c r="CC106" s="135">
        <v>5</v>
      </c>
      <c r="CD106" s="135"/>
      <c r="CE106" s="135"/>
      <c r="CF106" s="135"/>
      <c r="CG106" s="135"/>
      <c r="CH106" s="135"/>
      <c r="CI106" s="135"/>
      <c r="CJ106" s="135"/>
      <c r="CK106" s="135"/>
      <c r="CL106" s="135"/>
      <c r="CM106" s="135"/>
      <c r="CN106" s="135"/>
      <c r="CO106" s="135"/>
      <c r="CP106" s="135">
        <v>50</v>
      </c>
      <c r="CQ106" s="135"/>
      <c r="CR106" s="135"/>
      <c r="CS106" s="135"/>
      <c r="CT106" s="135">
        <v>0</v>
      </c>
      <c r="CU106" s="135">
        <v>5</v>
      </c>
      <c r="CV106" s="135">
        <v>250</v>
      </c>
      <c r="CW106" s="135"/>
      <c r="CX106" s="135"/>
      <c r="CY106" s="135"/>
      <c r="CZ106" s="135">
        <v>0</v>
      </c>
      <c r="DA106" s="135">
        <v>25</v>
      </c>
      <c r="DB106" s="135">
        <v>250</v>
      </c>
      <c r="DC106" s="135"/>
      <c r="DD106" s="135"/>
      <c r="DE106" s="135"/>
      <c r="DF106" s="135">
        <v>0</v>
      </c>
      <c r="DG106" s="135">
        <v>25</v>
      </c>
      <c r="DH106" s="136"/>
      <c r="DI106" s="136"/>
      <c r="DJ106" s="136"/>
      <c r="DK106" s="136"/>
      <c r="DL106" s="136"/>
      <c r="DM106" s="136"/>
      <c r="DN106" s="136"/>
      <c r="DO106" s="136"/>
      <c r="DP106" s="136"/>
      <c r="DQ106" s="136"/>
      <c r="DR106" s="136"/>
      <c r="DS106" s="136"/>
      <c r="DT106" s="136"/>
      <c r="DU106" s="136"/>
      <c r="DV106" s="136"/>
      <c r="DW106" s="136"/>
      <c r="DX106" s="136"/>
      <c r="DY106" s="136"/>
      <c r="DZ106" s="136"/>
      <c r="EA106" s="136"/>
      <c r="EB106" s="136"/>
      <c r="EC106" s="136"/>
      <c r="ED106" s="136"/>
      <c r="EE106" s="136"/>
      <c r="EF106" s="136"/>
      <c r="EG106" s="136"/>
      <c r="EH106" s="136"/>
      <c r="EI106" s="136"/>
      <c r="EJ106" s="136"/>
      <c r="EK106" s="136"/>
      <c r="EL106" s="136"/>
      <c r="EM106" s="136"/>
      <c r="EN106" s="136"/>
      <c r="EO106" s="136"/>
      <c r="EP106" s="136"/>
      <c r="EQ106" s="136"/>
    </row>
    <row r="107" ht="31.5" spans="1:147">
      <c r="A107" s="130"/>
      <c r="B107" s="134"/>
      <c r="C107" s="134" t="s">
        <v>212</v>
      </c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  <c r="BA107" s="135"/>
      <c r="BB107" s="135"/>
      <c r="BC107" s="135"/>
      <c r="BD107" s="135"/>
      <c r="BE107" s="135"/>
      <c r="BF107" s="135"/>
      <c r="BG107" s="135"/>
      <c r="BH107" s="135"/>
      <c r="BI107" s="135"/>
      <c r="BJ107" s="135"/>
      <c r="BK107" s="135"/>
      <c r="BL107" s="135"/>
      <c r="BM107" s="135"/>
      <c r="BN107" s="135"/>
      <c r="BO107" s="135"/>
      <c r="BP107" s="135"/>
      <c r="BQ107" s="135"/>
      <c r="BR107" s="135"/>
      <c r="BS107" s="135"/>
      <c r="BT107" s="135"/>
      <c r="BU107" s="135"/>
      <c r="BV107" s="135"/>
      <c r="BW107" s="135"/>
      <c r="BX107" s="135">
        <v>2</v>
      </c>
      <c r="BY107" s="135"/>
      <c r="BZ107" s="135"/>
      <c r="CA107" s="135"/>
      <c r="CB107" s="135">
        <v>0</v>
      </c>
      <c r="CC107" s="135">
        <v>2</v>
      </c>
      <c r="CD107" s="135">
        <v>3</v>
      </c>
      <c r="CE107" s="135"/>
      <c r="CF107" s="135"/>
      <c r="CG107" s="135"/>
      <c r="CH107" s="135">
        <v>0</v>
      </c>
      <c r="CI107" s="135">
        <v>3</v>
      </c>
      <c r="CJ107" s="135"/>
      <c r="CK107" s="135"/>
      <c r="CL107" s="135"/>
      <c r="CM107" s="135"/>
      <c r="CN107" s="135"/>
      <c r="CO107" s="135"/>
      <c r="CP107" s="135">
        <v>5</v>
      </c>
      <c r="CQ107" s="135"/>
      <c r="CR107" s="135"/>
      <c r="CS107" s="135"/>
      <c r="CT107" s="135">
        <v>0</v>
      </c>
      <c r="CU107" s="135">
        <v>5</v>
      </c>
      <c r="CV107" s="135">
        <v>5</v>
      </c>
      <c r="CW107" s="135"/>
      <c r="CX107" s="135"/>
      <c r="CY107" s="135"/>
      <c r="CZ107" s="135">
        <v>0</v>
      </c>
      <c r="DA107" s="135">
        <v>5</v>
      </c>
      <c r="DB107" s="135">
        <v>5</v>
      </c>
      <c r="DC107" s="135"/>
      <c r="DD107" s="135"/>
      <c r="DE107" s="135"/>
      <c r="DF107" s="135">
        <v>0</v>
      </c>
      <c r="DG107" s="135">
        <v>5</v>
      </c>
      <c r="DH107" s="136"/>
      <c r="DI107" s="136"/>
      <c r="DJ107" s="136"/>
      <c r="DK107" s="136"/>
      <c r="DL107" s="136"/>
      <c r="DM107" s="136"/>
      <c r="DN107" s="136"/>
      <c r="DO107" s="136"/>
      <c r="DP107" s="136"/>
      <c r="DQ107" s="136"/>
      <c r="DR107" s="136"/>
      <c r="DS107" s="136"/>
      <c r="DT107" s="136"/>
      <c r="DU107" s="136"/>
      <c r="DV107" s="136"/>
      <c r="DW107" s="136"/>
      <c r="DX107" s="136"/>
      <c r="DY107" s="136"/>
      <c r="DZ107" s="136"/>
      <c r="EA107" s="136"/>
      <c r="EB107" s="136"/>
      <c r="EC107" s="136"/>
      <c r="ED107" s="136"/>
      <c r="EE107" s="136"/>
      <c r="EF107" s="136"/>
      <c r="EG107" s="136"/>
      <c r="EH107" s="136"/>
      <c r="EI107" s="136"/>
      <c r="EJ107" s="136"/>
      <c r="EK107" s="136"/>
      <c r="EL107" s="136"/>
      <c r="EM107" s="136"/>
      <c r="EN107" s="136"/>
      <c r="EO107" s="136"/>
      <c r="EP107" s="136"/>
      <c r="EQ107" s="136"/>
    </row>
    <row r="108" spans="1:147">
      <c r="A108" s="130"/>
      <c r="B108" s="134" t="s">
        <v>433</v>
      </c>
      <c r="C108" s="134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  <c r="BA108" s="135"/>
      <c r="BB108" s="135"/>
      <c r="BC108" s="135"/>
      <c r="BD108" s="135"/>
      <c r="BE108" s="135"/>
      <c r="BF108" s="135"/>
      <c r="BG108" s="135"/>
      <c r="BH108" s="135"/>
      <c r="BI108" s="135"/>
      <c r="BJ108" s="135"/>
      <c r="BK108" s="135"/>
      <c r="BL108" s="135"/>
      <c r="BM108" s="135"/>
      <c r="BN108" s="135"/>
      <c r="BO108" s="135"/>
      <c r="BP108" s="135"/>
      <c r="BQ108" s="135"/>
      <c r="BR108" s="135"/>
      <c r="BS108" s="135"/>
      <c r="BT108" s="135"/>
      <c r="BU108" s="135"/>
      <c r="BV108" s="135"/>
      <c r="BW108" s="135"/>
      <c r="BX108" s="135"/>
      <c r="BY108" s="135"/>
      <c r="BZ108" s="135"/>
      <c r="CA108" s="135"/>
      <c r="CB108" s="135"/>
      <c r="CC108" s="135"/>
      <c r="CD108" s="135"/>
      <c r="CE108" s="135"/>
      <c r="CF108" s="135"/>
      <c r="CG108" s="135"/>
      <c r="CH108" s="135"/>
      <c r="CI108" s="135"/>
      <c r="CJ108" s="135"/>
      <c r="CK108" s="135"/>
      <c r="CL108" s="135"/>
      <c r="CM108" s="135"/>
      <c r="CN108" s="135"/>
      <c r="CO108" s="135"/>
      <c r="CP108" s="135"/>
      <c r="CQ108" s="135"/>
      <c r="CR108" s="135"/>
      <c r="CS108" s="135"/>
      <c r="CT108" s="135"/>
      <c r="CU108" s="135"/>
      <c r="CV108" s="135"/>
      <c r="CW108" s="135"/>
      <c r="CX108" s="135"/>
      <c r="CY108" s="135"/>
      <c r="CZ108" s="135"/>
      <c r="DA108" s="135"/>
      <c r="DB108" s="135"/>
      <c r="DC108" s="135"/>
      <c r="DD108" s="135"/>
      <c r="DE108" s="135"/>
      <c r="DF108" s="135"/>
      <c r="DG108" s="135"/>
      <c r="DH108" s="136"/>
      <c r="DI108" s="136"/>
      <c r="DJ108" s="136"/>
      <c r="DK108" s="136"/>
      <c r="DL108" s="136"/>
      <c r="DM108" s="136"/>
      <c r="DN108" s="136"/>
      <c r="DO108" s="136"/>
      <c r="DP108" s="136"/>
      <c r="DQ108" s="136"/>
      <c r="DR108" s="136"/>
      <c r="DS108" s="136"/>
      <c r="DT108" s="136"/>
      <c r="DU108" s="136"/>
      <c r="DV108" s="136"/>
      <c r="DW108" s="136"/>
      <c r="DX108" s="136"/>
      <c r="DY108" s="136"/>
      <c r="DZ108" s="136"/>
      <c r="EA108" s="136"/>
      <c r="EB108" s="136"/>
      <c r="EC108" s="136"/>
      <c r="ED108" s="136"/>
      <c r="EE108" s="136"/>
      <c r="EF108" s="136"/>
      <c r="EG108" s="136"/>
      <c r="EH108" s="136"/>
      <c r="EI108" s="136"/>
      <c r="EJ108" s="136"/>
      <c r="EK108" s="136"/>
      <c r="EL108" s="136"/>
      <c r="EM108" s="136"/>
      <c r="EN108" s="136"/>
      <c r="EO108" s="136"/>
      <c r="EP108" s="136"/>
      <c r="EQ108" s="136"/>
    </row>
    <row r="109" spans="1:147">
      <c r="A109" s="130"/>
      <c r="B109" s="134"/>
      <c r="C109" s="134" t="s">
        <v>214</v>
      </c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  <c r="BA109" s="135"/>
      <c r="BB109" s="135"/>
      <c r="BC109" s="135"/>
      <c r="BD109" s="135"/>
      <c r="BE109" s="135"/>
      <c r="BF109" s="135">
        <v>300</v>
      </c>
      <c r="BG109" s="135"/>
      <c r="BH109" s="135"/>
      <c r="BI109" s="135"/>
      <c r="BJ109" s="135">
        <v>0</v>
      </c>
      <c r="BK109" s="135"/>
      <c r="BL109" s="135">
        <v>300</v>
      </c>
      <c r="BM109" s="135"/>
      <c r="BN109" s="135"/>
      <c r="BO109" s="135"/>
      <c r="BP109" s="135">
        <v>0</v>
      </c>
      <c r="BQ109" s="135"/>
      <c r="BR109" s="135">
        <v>600</v>
      </c>
      <c r="BS109" s="135"/>
      <c r="BT109" s="135"/>
      <c r="BU109" s="135"/>
      <c r="BV109" s="135">
        <v>0</v>
      </c>
      <c r="BW109" s="135"/>
      <c r="BX109" s="135">
        <v>150</v>
      </c>
      <c r="BY109" s="135"/>
      <c r="BZ109" s="135"/>
      <c r="CA109" s="135"/>
      <c r="CB109" s="135">
        <v>0</v>
      </c>
      <c r="CC109" s="135"/>
      <c r="CD109" s="135"/>
      <c r="CE109" s="135"/>
      <c r="CF109" s="135"/>
      <c r="CG109" s="135"/>
      <c r="CH109" s="135"/>
      <c r="CI109" s="135"/>
      <c r="CJ109" s="135"/>
      <c r="CK109" s="135"/>
      <c r="CL109" s="135"/>
      <c r="CM109" s="135"/>
      <c r="CN109" s="135"/>
      <c r="CO109" s="135"/>
      <c r="CP109" s="135">
        <v>150</v>
      </c>
      <c r="CQ109" s="135"/>
      <c r="CR109" s="135"/>
      <c r="CS109" s="135"/>
      <c r="CT109" s="135">
        <v>0</v>
      </c>
      <c r="CU109" s="135"/>
      <c r="CV109" s="135">
        <v>750</v>
      </c>
      <c r="CW109" s="135"/>
      <c r="CX109" s="135"/>
      <c r="CY109" s="135"/>
      <c r="CZ109" s="135">
        <v>0</v>
      </c>
      <c r="DA109" s="135"/>
      <c r="DB109" s="135">
        <v>750</v>
      </c>
      <c r="DC109" s="135"/>
      <c r="DD109" s="135"/>
      <c r="DE109" s="135"/>
      <c r="DF109" s="135">
        <v>0</v>
      </c>
      <c r="DG109" s="135"/>
      <c r="DH109" s="136"/>
      <c r="DI109" s="136"/>
      <c r="DJ109" s="136"/>
      <c r="DK109" s="136"/>
      <c r="DL109" s="136"/>
      <c r="DM109" s="136"/>
      <c r="DN109" s="136"/>
      <c r="DO109" s="136"/>
      <c r="DP109" s="136"/>
      <c r="DQ109" s="136"/>
      <c r="DR109" s="136"/>
      <c r="DS109" s="136"/>
      <c r="DT109" s="136"/>
      <c r="DU109" s="136"/>
      <c r="DV109" s="136"/>
      <c r="DW109" s="136"/>
      <c r="DX109" s="136"/>
      <c r="DY109" s="136"/>
      <c r="DZ109" s="136"/>
      <c r="EA109" s="136"/>
      <c r="EB109" s="136"/>
      <c r="EC109" s="136"/>
      <c r="ED109" s="136"/>
      <c r="EE109" s="136"/>
      <c r="EF109" s="136"/>
      <c r="EG109" s="136"/>
      <c r="EH109" s="136"/>
      <c r="EI109" s="136"/>
      <c r="EJ109" s="136"/>
      <c r="EK109" s="136"/>
      <c r="EL109" s="136"/>
      <c r="EM109" s="136"/>
      <c r="EN109" s="136"/>
      <c r="EO109" s="136"/>
      <c r="EP109" s="136"/>
      <c r="EQ109" s="136"/>
    </row>
    <row r="110" ht="31.5" spans="1:147">
      <c r="A110" s="130"/>
      <c r="B110" s="134"/>
      <c r="C110" s="134" t="s">
        <v>216</v>
      </c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135"/>
      <c r="AK110" s="135"/>
      <c r="AL110" s="135"/>
      <c r="AM110" s="135"/>
      <c r="AN110" s="135"/>
      <c r="AO110" s="135"/>
      <c r="AP110" s="135"/>
      <c r="AQ110" s="135"/>
      <c r="AR110" s="135"/>
      <c r="AS110" s="135"/>
      <c r="AT110" s="135"/>
      <c r="AU110" s="135"/>
      <c r="AV110" s="135"/>
      <c r="AW110" s="135"/>
      <c r="AX110" s="135"/>
      <c r="AY110" s="135"/>
      <c r="AZ110" s="135"/>
      <c r="BA110" s="135"/>
      <c r="BB110" s="135"/>
      <c r="BC110" s="135"/>
      <c r="BD110" s="135"/>
      <c r="BE110" s="135"/>
      <c r="BF110" s="135"/>
      <c r="BG110" s="135"/>
      <c r="BH110" s="135"/>
      <c r="BI110" s="135"/>
      <c r="BJ110" s="135"/>
      <c r="BK110" s="135"/>
      <c r="BL110" s="135"/>
      <c r="BM110" s="135"/>
      <c r="BN110" s="135"/>
      <c r="BO110" s="135"/>
      <c r="BP110" s="135"/>
      <c r="BQ110" s="135"/>
      <c r="BR110" s="135"/>
      <c r="BS110" s="135"/>
      <c r="BT110" s="135"/>
      <c r="BU110" s="135"/>
      <c r="BV110" s="135"/>
      <c r="BW110" s="135"/>
      <c r="BX110" s="135">
        <v>4</v>
      </c>
      <c r="BY110" s="135"/>
      <c r="BZ110" s="135"/>
      <c r="CA110" s="135"/>
      <c r="CB110" s="135">
        <v>0</v>
      </c>
      <c r="CC110" s="135"/>
      <c r="CD110" s="135">
        <v>6</v>
      </c>
      <c r="CE110" s="135"/>
      <c r="CF110" s="135"/>
      <c r="CG110" s="135"/>
      <c r="CH110" s="135">
        <v>0</v>
      </c>
      <c r="CI110" s="135"/>
      <c r="CJ110" s="135"/>
      <c r="CK110" s="135"/>
      <c r="CL110" s="135"/>
      <c r="CM110" s="135"/>
      <c r="CN110" s="135"/>
      <c r="CO110" s="135"/>
      <c r="CP110" s="135">
        <v>10</v>
      </c>
      <c r="CQ110" s="135"/>
      <c r="CR110" s="135"/>
      <c r="CS110" s="135"/>
      <c r="CT110" s="135">
        <v>0</v>
      </c>
      <c r="CU110" s="135"/>
      <c r="CV110" s="135">
        <v>10</v>
      </c>
      <c r="CW110" s="135"/>
      <c r="CX110" s="135"/>
      <c r="CY110" s="135"/>
      <c r="CZ110" s="135">
        <v>0</v>
      </c>
      <c r="DA110" s="135"/>
      <c r="DB110" s="135">
        <v>10</v>
      </c>
      <c r="DC110" s="135"/>
      <c r="DD110" s="135"/>
      <c r="DE110" s="135"/>
      <c r="DF110" s="135">
        <v>0</v>
      </c>
      <c r="DG110" s="135"/>
      <c r="DH110" s="136"/>
      <c r="DI110" s="136"/>
      <c r="DJ110" s="136"/>
      <c r="DK110" s="136"/>
      <c r="DL110" s="136"/>
      <c r="DM110" s="136"/>
      <c r="DN110" s="136"/>
      <c r="DO110" s="136"/>
      <c r="DP110" s="136"/>
      <c r="DQ110" s="136"/>
      <c r="DR110" s="136"/>
      <c r="DS110" s="136"/>
      <c r="DT110" s="136"/>
      <c r="DU110" s="136"/>
      <c r="DV110" s="136"/>
      <c r="DW110" s="136"/>
      <c r="DX110" s="136"/>
      <c r="DY110" s="136"/>
      <c r="DZ110" s="136"/>
      <c r="EA110" s="136"/>
      <c r="EB110" s="136"/>
      <c r="EC110" s="136"/>
      <c r="ED110" s="136"/>
      <c r="EE110" s="136"/>
      <c r="EF110" s="136"/>
      <c r="EG110" s="136"/>
      <c r="EH110" s="136"/>
      <c r="EI110" s="136"/>
      <c r="EJ110" s="136"/>
      <c r="EK110" s="136"/>
      <c r="EL110" s="136"/>
      <c r="EM110" s="136"/>
      <c r="EN110" s="136"/>
      <c r="EO110" s="136"/>
      <c r="EP110" s="136"/>
      <c r="EQ110" s="136"/>
    </row>
    <row r="111" spans="1:147">
      <c r="A111" s="130" t="s">
        <v>225</v>
      </c>
      <c r="B111" s="134"/>
      <c r="C111" s="134"/>
      <c r="D111" s="135">
        <v>66</v>
      </c>
      <c r="E111" s="135"/>
      <c r="F111" s="135"/>
      <c r="G111" s="135"/>
      <c r="H111" s="135">
        <v>0</v>
      </c>
      <c r="I111" s="135"/>
      <c r="J111" s="135">
        <v>66</v>
      </c>
      <c r="K111" s="135"/>
      <c r="L111" s="135"/>
      <c r="M111" s="135"/>
      <c r="N111" s="135">
        <v>0</v>
      </c>
      <c r="O111" s="135"/>
      <c r="P111" s="135">
        <v>66</v>
      </c>
      <c r="Q111" s="135"/>
      <c r="R111" s="135"/>
      <c r="S111" s="135"/>
      <c r="T111" s="135">
        <v>0</v>
      </c>
      <c r="U111" s="135"/>
      <c r="V111" s="135">
        <v>198</v>
      </c>
      <c r="W111" s="135"/>
      <c r="X111" s="135"/>
      <c r="Y111" s="135"/>
      <c r="Z111" s="135">
        <v>0</v>
      </c>
      <c r="AA111" s="135"/>
      <c r="AB111" s="135">
        <v>66</v>
      </c>
      <c r="AC111" s="135"/>
      <c r="AD111" s="135"/>
      <c r="AE111" s="135"/>
      <c r="AF111" s="135">
        <v>0</v>
      </c>
      <c r="AG111" s="135"/>
      <c r="AH111" s="135">
        <v>66</v>
      </c>
      <c r="AI111" s="135"/>
      <c r="AJ111" s="135"/>
      <c r="AK111" s="135"/>
      <c r="AL111" s="135">
        <v>0</v>
      </c>
      <c r="AM111" s="135"/>
      <c r="AN111" s="135">
        <v>67</v>
      </c>
      <c r="AO111" s="135"/>
      <c r="AP111" s="135"/>
      <c r="AQ111" s="135"/>
      <c r="AR111" s="135">
        <v>0</v>
      </c>
      <c r="AS111" s="135"/>
      <c r="AT111" s="135">
        <v>199</v>
      </c>
      <c r="AU111" s="135"/>
      <c r="AV111" s="135"/>
      <c r="AW111" s="135"/>
      <c r="AX111" s="135">
        <v>0</v>
      </c>
      <c r="AY111" s="135"/>
      <c r="AZ111" s="135">
        <v>66</v>
      </c>
      <c r="BA111" s="135"/>
      <c r="BB111" s="135"/>
      <c r="BC111" s="135"/>
      <c r="BD111" s="135">
        <v>0</v>
      </c>
      <c r="BE111" s="135"/>
      <c r="BF111" s="135">
        <v>66</v>
      </c>
      <c r="BG111" s="135"/>
      <c r="BH111" s="135"/>
      <c r="BI111" s="135"/>
      <c r="BJ111" s="135">
        <v>0</v>
      </c>
      <c r="BK111" s="135"/>
      <c r="BL111" s="135">
        <v>66</v>
      </c>
      <c r="BM111" s="135"/>
      <c r="BN111" s="135"/>
      <c r="BO111" s="135"/>
      <c r="BP111" s="135">
        <v>0</v>
      </c>
      <c r="BQ111" s="135"/>
      <c r="BR111" s="135">
        <v>198</v>
      </c>
      <c r="BS111" s="135"/>
      <c r="BT111" s="135"/>
      <c r="BU111" s="135"/>
      <c r="BV111" s="135">
        <v>0</v>
      </c>
      <c r="BW111" s="135"/>
      <c r="BX111" s="135">
        <v>66</v>
      </c>
      <c r="BY111" s="135"/>
      <c r="BZ111" s="135"/>
      <c r="CA111" s="135"/>
      <c r="CB111" s="135">
        <v>0</v>
      </c>
      <c r="CC111" s="135"/>
      <c r="CD111" s="135">
        <v>66</v>
      </c>
      <c r="CE111" s="135"/>
      <c r="CF111" s="135"/>
      <c r="CG111" s="135"/>
      <c r="CH111" s="135">
        <v>0</v>
      </c>
      <c r="CI111" s="135"/>
      <c r="CJ111" s="135">
        <v>66</v>
      </c>
      <c r="CK111" s="135"/>
      <c r="CL111" s="135"/>
      <c r="CM111" s="135"/>
      <c r="CN111" s="135">
        <v>0</v>
      </c>
      <c r="CO111" s="135"/>
      <c r="CP111" s="135">
        <v>198</v>
      </c>
      <c r="CQ111" s="135"/>
      <c r="CR111" s="135"/>
      <c r="CS111" s="135"/>
      <c r="CT111" s="135">
        <v>0</v>
      </c>
      <c r="CU111" s="135"/>
      <c r="CV111" s="135">
        <v>793</v>
      </c>
      <c r="CW111" s="135"/>
      <c r="CX111" s="135"/>
      <c r="CY111" s="135"/>
      <c r="CZ111" s="135">
        <v>0</v>
      </c>
      <c r="DA111" s="135"/>
      <c r="DB111" s="135">
        <v>793</v>
      </c>
      <c r="DC111" s="135"/>
      <c r="DD111" s="135"/>
      <c r="DE111" s="135"/>
      <c r="DF111" s="135">
        <v>0</v>
      </c>
      <c r="DG111" s="135"/>
      <c r="DH111" s="136"/>
      <c r="DI111" s="136"/>
      <c r="DJ111" s="136"/>
      <c r="DK111" s="136"/>
      <c r="DL111" s="136"/>
      <c r="DM111" s="136"/>
      <c r="DN111" s="136"/>
      <c r="DO111" s="136"/>
      <c r="DP111" s="136"/>
      <c r="DQ111" s="136"/>
      <c r="DR111" s="136"/>
      <c r="DS111" s="136"/>
      <c r="DT111" s="136"/>
      <c r="DU111" s="136"/>
      <c r="DV111" s="136"/>
      <c r="DW111" s="136"/>
      <c r="DX111" s="136"/>
      <c r="DY111" s="136"/>
      <c r="DZ111" s="136"/>
      <c r="EA111" s="136"/>
      <c r="EB111" s="136"/>
      <c r="EC111" s="136"/>
      <c r="ED111" s="136"/>
      <c r="EE111" s="136"/>
      <c r="EF111" s="136"/>
      <c r="EG111" s="136"/>
      <c r="EH111" s="136"/>
      <c r="EI111" s="136"/>
      <c r="EJ111" s="136"/>
      <c r="EK111" s="136"/>
      <c r="EL111" s="136"/>
      <c r="EM111" s="136"/>
      <c r="EN111" s="136"/>
      <c r="EO111" s="136"/>
      <c r="EP111" s="136"/>
      <c r="EQ111" s="136"/>
    </row>
    <row r="112" spans="1:147">
      <c r="A112" s="130"/>
      <c r="B112" s="134" t="s">
        <v>225</v>
      </c>
      <c r="C112" s="134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35"/>
      <c r="AJ112" s="135"/>
      <c r="AK112" s="135"/>
      <c r="AL112" s="135"/>
      <c r="AM112" s="135"/>
      <c r="AN112" s="135"/>
      <c r="AO112" s="135"/>
      <c r="AP112" s="135"/>
      <c r="AQ112" s="135"/>
      <c r="AR112" s="135"/>
      <c r="AS112" s="135"/>
      <c r="AT112" s="135"/>
      <c r="AU112" s="135"/>
      <c r="AV112" s="135"/>
      <c r="AW112" s="135"/>
      <c r="AX112" s="135"/>
      <c r="AY112" s="135"/>
      <c r="AZ112" s="135"/>
      <c r="BA112" s="135"/>
      <c r="BB112" s="135"/>
      <c r="BC112" s="135"/>
      <c r="BD112" s="135"/>
      <c r="BE112" s="135"/>
      <c r="BF112" s="135"/>
      <c r="BG112" s="135"/>
      <c r="BH112" s="135"/>
      <c r="BI112" s="135"/>
      <c r="BJ112" s="135"/>
      <c r="BK112" s="135"/>
      <c r="BL112" s="135"/>
      <c r="BM112" s="135"/>
      <c r="BN112" s="135"/>
      <c r="BO112" s="135"/>
      <c r="BP112" s="135"/>
      <c r="BQ112" s="135"/>
      <c r="BR112" s="135"/>
      <c r="BS112" s="135"/>
      <c r="BT112" s="135"/>
      <c r="BU112" s="135"/>
      <c r="BV112" s="135"/>
      <c r="BW112" s="135"/>
      <c r="BX112" s="135"/>
      <c r="BY112" s="135"/>
      <c r="BZ112" s="135"/>
      <c r="CA112" s="135"/>
      <c r="CB112" s="135"/>
      <c r="CC112" s="135"/>
      <c r="CD112" s="135"/>
      <c r="CE112" s="135"/>
      <c r="CF112" s="135"/>
      <c r="CG112" s="135"/>
      <c r="CH112" s="135"/>
      <c r="CI112" s="135"/>
      <c r="CJ112" s="135"/>
      <c r="CK112" s="135"/>
      <c r="CL112" s="135"/>
      <c r="CM112" s="135"/>
      <c r="CN112" s="135"/>
      <c r="CO112" s="135"/>
      <c r="CP112" s="135"/>
      <c r="CQ112" s="135"/>
      <c r="CR112" s="135"/>
      <c r="CS112" s="135"/>
      <c r="CT112" s="135"/>
      <c r="CU112" s="135"/>
      <c r="CV112" s="135"/>
      <c r="CW112" s="135"/>
      <c r="CX112" s="135"/>
      <c r="CY112" s="135"/>
      <c r="CZ112" s="135"/>
      <c r="DA112" s="135"/>
      <c r="DB112" s="135"/>
      <c r="DC112" s="135"/>
      <c r="DD112" s="135"/>
      <c r="DE112" s="135"/>
      <c r="DF112" s="135"/>
      <c r="DG112" s="135"/>
      <c r="DH112" s="136"/>
      <c r="DI112" s="136"/>
      <c r="DJ112" s="136"/>
      <c r="DK112" s="136"/>
      <c r="DL112" s="136"/>
      <c r="DM112" s="136"/>
      <c r="DN112" s="136"/>
      <c r="DO112" s="136"/>
      <c r="DP112" s="136"/>
      <c r="DQ112" s="136"/>
      <c r="DR112" s="136"/>
      <c r="DS112" s="136"/>
      <c r="DT112" s="136"/>
      <c r="DU112" s="136"/>
      <c r="DV112" s="136"/>
      <c r="DW112" s="136"/>
      <c r="DX112" s="136"/>
      <c r="DY112" s="136"/>
      <c r="DZ112" s="136"/>
      <c r="EA112" s="136"/>
      <c r="EB112" s="136"/>
      <c r="EC112" s="136"/>
      <c r="ED112" s="136"/>
      <c r="EE112" s="136"/>
      <c r="EF112" s="136"/>
      <c r="EG112" s="136"/>
      <c r="EH112" s="136"/>
      <c r="EI112" s="136"/>
      <c r="EJ112" s="136"/>
      <c r="EK112" s="136"/>
      <c r="EL112" s="136"/>
      <c r="EM112" s="136"/>
      <c r="EN112" s="136"/>
      <c r="EO112" s="136"/>
      <c r="EP112" s="136"/>
      <c r="EQ112" s="136"/>
    </row>
    <row r="113" spans="1:147">
      <c r="A113" s="130"/>
      <c r="B113" s="134"/>
      <c r="C113" s="134" t="s">
        <v>227</v>
      </c>
      <c r="D113" s="135">
        <v>60</v>
      </c>
      <c r="E113" s="135"/>
      <c r="F113" s="135"/>
      <c r="G113" s="135"/>
      <c r="H113" s="135">
        <v>0</v>
      </c>
      <c r="I113" s="135"/>
      <c r="J113" s="135">
        <v>60</v>
      </c>
      <c r="K113" s="135"/>
      <c r="L113" s="135"/>
      <c r="M113" s="135"/>
      <c r="N113" s="135">
        <v>0</v>
      </c>
      <c r="O113" s="135"/>
      <c r="P113" s="135">
        <v>60</v>
      </c>
      <c r="Q113" s="135"/>
      <c r="R113" s="135"/>
      <c r="S113" s="135"/>
      <c r="T113" s="135">
        <v>0</v>
      </c>
      <c r="U113" s="135"/>
      <c r="V113" s="135">
        <v>180</v>
      </c>
      <c r="W113" s="135"/>
      <c r="X113" s="135"/>
      <c r="Y113" s="135"/>
      <c r="Z113" s="135">
        <v>0</v>
      </c>
      <c r="AA113" s="135"/>
      <c r="AB113" s="135">
        <v>60</v>
      </c>
      <c r="AC113" s="135"/>
      <c r="AD113" s="135"/>
      <c r="AE113" s="135"/>
      <c r="AF113" s="135">
        <v>0</v>
      </c>
      <c r="AG113" s="135"/>
      <c r="AH113" s="135">
        <v>60</v>
      </c>
      <c r="AI113" s="135"/>
      <c r="AJ113" s="135"/>
      <c r="AK113" s="135"/>
      <c r="AL113" s="135">
        <v>0</v>
      </c>
      <c r="AM113" s="135"/>
      <c r="AN113" s="135">
        <v>60</v>
      </c>
      <c r="AO113" s="135"/>
      <c r="AP113" s="135"/>
      <c r="AQ113" s="135"/>
      <c r="AR113" s="135">
        <v>0</v>
      </c>
      <c r="AS113" s="135"/>
      <c r="AT113" s="135">
        <v>180</v>
      </c>
      <c r="AU113" s="135"/>
      <c r="AV113" s="135"/>
      <c r="AW113" s="135"/>
      <c r="AX113" s="135">
        <v>0</v>
      </c>
      <c r="AY113" s="135"/>
      <c r="AZ113" s="135">
        <v>60</v>
      </c>
      <c r="BA113" s="135"/>
      <c r="BB113" s="135"/>
      <c r="BC113" s="135"/>
      <c r="BD113" s="135">
        <v>0</v>
      </c>
      <c r="BE113" s="135"/>
      <c r="BF113" s="135">
        <v>60</v>
      </c>
      <c r="BG113" s="135"/>
      <c r="BH113" s="135"/>
      <c r="BI113" s="135"/>
      <c r="BJ113" s="135">
        <v>0</v>
      </c>
      <c r="BK113" s="135"/>
      <c r="BL113" s="135">
        <v>60</v>
      </c>
      <c r="BM113" s="135"/>
      <c r="BN113" s="135"/>
      <c r="BO113" s="135"/>
      <c r="BP113" s="135">
        <v>0</v>
      </c>
      <c r="BQ113" s="135"/>
      <c r="BR113" s="135">
        <v>180</v>
      </c>
      <c r="BS113" s="135"/>
      <c r="BT113" s="135"/>
      <c r="BU113" s="135"/>
      <c r="BV113" s="135">
        <v>0</v>
      </c>
      <c r="BW113" s="135"/>
      <c r="BX113" s="135">
        <v>60</v>
      </c>
      <c r="BY113" s="135"/>
      <c r="BZ113" s="135"/>
      <c r="CA113" s="135"/>
      <c r="CB113" s="135">
        <v>0</v>
      </c>
      <c r="CC113" s="135"/>
      <c r="CD113" s="135">
        <v>60</v>
      </c>
      <c r="CE113" s="135"/>
      <c r="CF113" s="135"/>
      <c r="CG113" s="135"/>
      <c r="CH113" s="135">
        <v>0</v>
      </c>
      <c r="CI113" s="135"/>
      <c r="CJ113" s="135">
        <v>60</v>
      </c>
      <c r="CK113" s="135"/>
      <c r="CL113" s="135"/>
      <c r="CM113" s="135"/>
      <c r="CN113" s="135">
        <v>0</v>
      </c>
      <c r="CO113" s="135"/>
      <c r="CP113" s="135">
        <v>180</v>
      </c>
      <c r="CQ113" s="135"/>
      <c r="CR113" s="135"/>
      <c r="CS113" s="135"/>
      <c r="CT113" s="135">
        <v>0</v>
      </c>
      <c r="CU113" s="135"/>
      <c r="CV113" s="135">
        <v>720</v>
      </c>
      <c r="CW113" s="135"/>
      <c r="CX113" s="135"/>
      <c r="CY113" s="135"/>
      <c r="CZ113" s="135">
        <v>0</v>
      </c>
      <c r="DA113" s="135"/>
      <c r="DB113" s="135">
        <v>720</v>
      </c>
      <c r="DC113" s="135"/>
      <c r="DD113" s="135"/>
      <c r="DE113" s="135"/>
      <c r="DF113" s="135">
        <v>0</v>
      </c>
      <c r="DG113" s="135"/>
      <c r="DH113" s="136"/>
      <c r="DI113" s="136"/>
      <c r="DJ113" s="136"/>
      <c r="DK113" s="136"/>
      <c r="DL113" s="136"/>
      <c r="DM113" s="136"/>
      <c r="DN113" s="136"/>
      <c r="DO113" s="136"/>
      <c r="DP113" s="136"/>
      <c r="DQ113" s="136"/>
      <c r="DR113" s="136"/>
      <c r="DS113" s="136"/>
      <c r="DT113" s="136"/>
      <c r="DU113" s="136"/>
      <c r="DV113" s="136"/>
      <c r="DW113" s="136"/>
      <c r="DX113" s="136"/>
      <c r="DY113" s="136"/>
      <c r="DZ113" s="136"/>
      <c r="EA113" s="136"/>
      <c r="EB113" s="136"/>
      <c r="EC113" s="136"/>
      <c r="ED113" s="136"/>
      <c r="EE113" s="136"/>
      <c r="EF113" s="136"/>
      <c r="EG113" s="136"/>
      <c r="EH113" s="136"/>
      <c r="EI113" s="136"/>
      <c r="EJ113" s="136"/>
      <c r="EK113" s="136"/>
      <c r="EL113" s="136"/>
      <c r="EM113" s="136"/>
      <c r="EN113" s="136"/>
      <c r="EO113" s="136"/>
      <c r="EP113" s="136"/>
      <c r="EQ113" s="136"/>
    </row>
    <row r="114" spans="1:147">
      <c r="A114" s="130"/>
      <c r="B114" s="134"/>
      <c r="C114" s="134" t="s">
        <v>229</v>
      </c>
      <c r="D114" s="135">
        <v>1</v>
      </c>
      <c r="E114" s="135"/>
      <c r="F114" s="135"/>
      <c r="G114" s="135"/>
      <c r="H114" s="135">
        <v>0</v>
      </c>
      <c r="I114" s="135"/>
      <c r="J114" s="135">
        <v>1</v>
      </c>
      <c r="K114" s="135"/>
      <c r="L114" s="135"/>
      <c r="M114" s="135"/>
      <c r="N114" s="135">
        <v>0</v>
      </c>
      <c r="O114" s="135"/>
      <c r="P114" s="135">
        <v>1</v>
      </c>
      <c r="Q114" s="135"/>
      <c r="R114" s="135"/>
      <c r="S114" s="135"/>
      <c r="T114" s="135">
        <v>0</v>
      </c>
      <c r="U114" s="135"/>
      <c r="V114" s="135">
        <v>3</v>
      </c>
      <c r="W114" s="135"/>
      <c r="X114" s="135"/>
      <c r="Y114" s="135"/>
      <c r="Z114" s="135">
        <v>0</v>
      </c>
      <c r="AA114" s="135"/>
      <c r="AB114" s="135">
        <v>1</v>
      </c>
      <c r="AC114" s="135"/>
      <c r="AD114" s="135"/>
      <c r="AE114" s="135"/>
      <c r="AF114" s="135">
        <v>0</v>
      </c>
      <c r="AG114" s="135"/>
      <c r="AH114" s="135">
        <v>1</v>
      </c>
      <c r="AI114" s="135"/>
      <c r="AJ114" s="135"/>
      <c r="AK114" s="135"/>
      <c r="AL114" s="135">
        <v>0</v>
      </c>
      <c r="AM114" s="135"/>
      <c r="AN114" s="135">
        <v>1</v>
      </c>
      <c r="AO114" s="135"/>
      <c r="AP114" s="135"/>
      <c r="AQ114" s="135"/>
      <c r="AR114" s="135">
        <v>0</v>
      </c>
      <c r="AS114" s="135"/>
      <c r="AT114" s="135">
        <v>3</v>
      </c>
      <c r="AU114" s="135"/>
      <c r="AV114" s="135"/>
      <c r="AW114" s="135"/>
      <c r="AX114" s="135">
        <v>0</v>
      </c>
      <c r="AY114" s="135"/>
      <c r="AZ114" s="135">
        <v>1</v>
      </c>
      <c r="BA114" s="135"/>
      <c r="BB114" s="135"/>
      <c r="BC114" s="135"/>
      <c r="BD114" s="135">
        <v>0</v>
      </c>
      <c r="BE114" s="135"/>
      <c r="BF114" s="135">
        <v>1</v>
      </c>
      <c r="BG114" s="135"/>
      <c r="BH114" s="135"/>
      <c r="BI114" s="135"/>
      <c r="BJ114" s="135">
        <v>0</v>
      </c>
      <c r="BK114" s="135"/>
      <c r="BL114" s="135">
        <v>1</v>
      </c>
      <c r="BM114" s="135"/>
      <c r="BN114" s="135"/>
      <c r="BO114" s="135"/>
      <c r="BP114" s="135">
        <v>0</v>
      </c>
      <c r="BQ114" s="135"/>
      <c r="BR114" s="135">
        <v>3</v>
      </c>
      <c r="BS114" s="135"/>
      <c r="BT114" s="135"/>
      <c r="BU114" s="135"/>
      <c r="BV114" s="135">
        <v>0</v>
      </c>
      <c r="BW114" s="135"/>
      <c r="BX114" s="135">
        <v>1</v>
      </c>
      <c r="BY114" s="135"/>
      <c r="BZ114" s="135"/>
      <c r="CA114" s="135"/>
      <c r="CB114" s="135">
        <v>0</v>
      </c>
      <c r="CC114" s="135"/>
      <c r="CD114" s="135">
        <v>1</v>
      </c>
      <c r="CE114" s="135"/>
      <c r="CF114" s="135"/>
      <c r="CG114" s="135"/>
      <c r="CH114" s="135">
        <v>0</v>
      </c>
      <c r="CI114" s="135"/>
      <c r="CJ114" s="135">
        <v>1</v>
      </c>
      <c r="CK114" s="135"/>
      <c r="CL114" s="135"/>
      <c r="CM114" s="135"/>
      <c r="CN114" s="135">
        <v>0</v>
      </c>
      <c r="CO114" s="135"/>
      <c r="CP114" s="135">
        <v>3</v>
      </c>
      <c r="CQ114" s="135"/>
      <c r="CR114" s="135"/>
      <c r="CS114" s="135"/>
      <c r="CT114" s="135">
        <v>0</v>
      </c>
      <c r="CU114" s="135"/>
      <c r="CV114" s="135">
        <v>12</v>
      </c>
      <c r="CW114" s="135"/>
      <c r="CX114" s="135"/>
      <c r="CY114" s="135"/>
      <c r="CZ114" s="135">
        <v>0</v>
      </c>
      <c r="DA114" s="135"/>
      <c r="DB114" s="135">
        <v>12</v>
      </c>
      <c r="DC114" s="135"/>
      <c r="DD114" s="135"/>
      <c r="DE114" s="135"/>
      <c r="DF114" s="135">
        <v>0</v>
      </c>
      <c r="DG114" s="135"/>
      <c r="DH114" s="136"/>
      <c r="DI114" s="136"/>
      <c r="DJ114" s="136"/>
      <c r="DK114" s="136"/>
      <c r="DL114" s="136"/>
      <c r="DM114" s="136"/>
      <c r="DN114" s="136"/>
      <c r="DO114" s="136"/>
      <c r="DP114" s="136"/>
      <c r="DQ114" s="136"/>
      <c r="DR114" s="136"/>
      <c r="DS114" s="136"/>
      <c r="DT114" s="136"/>
      <c r="DU114" s="136"/>
      <c r="DV114" s="136"/>
      <c r="DW114" s="136"/>
      <c r="DX114" s="136"/>
      <c r="DY114" s="136"/>
      <c r="DZ114" s="136"/>
      <c r="EA114" s="136"/>
      <c r="EB114" s="136"/>
      <c r="EC114" s="136"/>
      <c r="ED114" s="136"/>
      <c r="EE114" s="136"/>
      <c r="EF114" s="136"/>
      <c r="EG114" s="136"/>
      <c r="EH114" s="136"/>
      <c r="EI114" s="136"/>
      <c r="EJ114" s="136"/>
      <c r="EK114" s="136"/>
      <c r="EL114" s="136"/>
      <c r="EM114" s="136"/>
      <c r="EN114" s="136"/>
      <c r="EO114" s="136"/>
      <c r="EP114" s="136"/>
      <c r="EQ114" s="136"/>
    </row>
    <row r="115" ht="63" spans="1:147">
      <c r="A115" s="130"/>
      <c r="B115" s="134"/>
      <c r="C115" s="134" t="s">
        <v>231</v>
      </c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35"/>
      <c r="AK115" s="135"/>
      <c r="AL115" s="135"/>
      <c r="AM115" s="135"/>
      <c r="AN115" s="135">
        <v>1</v>
      </c>
      <c r="AO115" s="135"/>
      <c r="AP115" s="135"/>
      <c r="AQ115" s="135"/>
      <c r="AR115" s="135">
        <v>0</v>
      </c>
      <c r="AS115" s="135"/>
      <c r="AT115" s="135">
        <v>1</v>
      </c>
      <c r="AU115" s="135"/>
      <c r="AV115" s="135"/>
      <c r="AW115" s="135"/>
      <c r="AX115" s="135">
        <v>0</v>
      </c>
      <c r="AY115" s="135"/>
      <c r="AZ115" s="135"/>
      <c r="BA115" s="135"/>
      <c r="BB115" s="135"/>
      <c r="BC115" s="135"/>
      <c r="BD115" s="135"/>
      <c r="BE115" s="135"/>
      <c r="BF115" s="135"/>
      <c r="BG115" s="135"/>
      <c r="BH115" s="135"/>
      <c r="BI115" s="135"/>
      <c r="BJ115" s="135"/>
      <c r="BK115" s="135"/>
      <c r="BL115" s="135"/>
      <c r="BM115" s="135"/>
      <c r="BN115" s="135"/>
      <c r="BO115" s="135"/>
      <c r="BP115" s="135"/>
      <c r="BQ115" s="135"/>
      <c r="BR115" s="135"/>
      <c r="BS115" s="135"/>
      <c r="BT115" s="135"/>
      <c r="BU115" s="135"/>
      <c r="BV115" s="135"/>
      <c r="BW115" s="135"/>
      <c r="BX115" s="135"/>
      <c r="BY115" s="135"/>
      <c r="BZ115" s="135"/>
      <c r="CA115" s="135"/>
      <c r="CB115" s="135"/>
      <c r="CC115" s="135"/>
      <c r="CD115" s="135"/>
      <c r="CE115" s="135"/>
      <c r="CF115" s="135"/>
      <c r="CG115" s="135"/>
      <c r="CH115" s="135"/>
      <c r="CI115" s="135"/>
      <c r="CJ115" s="135"/>
      <c r="CK115" s="135"/>
      <c r="CL115" s="135"/>
      <c r="CM115" s="135"/>
      <c r="CN115" s="135"/>
      <c r="CO115" s="135"/>
      <c r="CP115" s="135"/>
      <c r="CQ115" s="135"/>
      <c r="CR115" s="135"/>
      <c r="CS115" s="135"/>
      <c r="CT115" s="135"/>
      <c r="CU115" s="135"/>
      <c r="CV115" s="135">
        <v>1</v>
      </c>
      <c r="CW115" s="135"/>
      <c r="CX115" s="135"/>
      <c r="CY115" s="135"/>
      <c r="CZ115" s="135">
        <v>0</v>
      </c>
      <c r="DA115" s="135"/>
      <c r="DB115" s="135">
        <v>1</v>
      </c>
      <c r="DC115" s="135"/>
      <c r="DD115" s="135"/>
      <c r="DE115" s="135"/>
      <c r="DF115" s="135">
        <v>0</v>
      </c>
      <c r="DG115" s="135"/>
      <c r="DH115" s="136"/>
      <c r="DI115" s="136"/>
      <c r="DJ115" s="136"/>
      <c r="DK115" s="136"/>
      <c r="DL115" s="136"/>
      <c r="DM115" s="136"/>
      <c r="DN115" s="136"/>
      <c r="DO115" s="136"/>
      <c r="DP115" s="136"/>
      <c r="DQ115" s="136"/>
      <c r="DR115" s="136"/>
      <c r="DS115" s="136"/>
      <c r="DT115" s="136"/>
      <c r="DU115" s="136"/>
      <c r="DV115" s="136"/>
      <c r="DW115" s="136"/>
      <c r="DX115" s="136"/>
      <c r="DY115" s="136"/>
      <c r="DZ115" s="136"/>
      <c r="EA115" s="136"/>
      <c r="EB115" s="136"/>
      <c r="EC115" s="136"/>
      <c r="ED115" s="136"/>
      <c r="EE115" s="136"/>
      <c r="EF115" s="136"/>
      <c r="EG115" s="136"/>
      <c r="EH115" s="136"/>
      <c r="EI115" s="136"/>
      <c r="EJ115" s="136"/>
      <c r="EK115" s="136"/>
      <c r="EL115" s="136"/>
      <c r="EM115" s="136"/>
      <c r="EN115" s="136"/>
      <c r="EO115" s="136"/>
      <c r="EP115" s="136"/>
      <c r="EQ115" s="136"/>
    </row>
    <row r="116" spans="1:147">
      <c r="A116" s="130"/>
      <c r="B116" s="134"/>
      <c r="C116" s="134" t="s">
        <v>233</v>
      </c>
      <c r="D116" s="135">
        <v>5</v>
      </c>
      <c r="E116" s="135"/>
      <c r="F116" s="135"/>
      <c r="G116" s="135"/>
      <c r="H116" s="135">
        <v>0</v>
      </c>
      <c r="I116" s="135"/>
      <c r="J116" s="135">
        <v>5</v>
      </c>
      <c r="K116" s="135"/>
      <c r="L116" s="135"/>
      <c r="M116" s="135"/>
      <c r="N116" s="135">
        <v>0</v>
      </c>
      <c r="O116" s="135"/>
      <c r="P116" s="135">
        <v>5</v>
      </c>
      <c r="Q116" s="135"/>
      <c r="R116" s="135"/>
      <c r="S116" s="135"/>
      <c r="T116" s="135">
        <v>0</v>
      </c>
      <c r="U116" s="135"/>
      <c r="V116" s="135">
        <v>15</v>
      </c>
      <c r="W116" s="135"/>
      <c r="X116" s="135"/>
      <c r="Y116" s="135"/>
      <c r="Z116" s="135">
        <v>0</v>
      </c>
      <c r="AA116" s="135"/>
      <c r="AB116" s="135">
        <v>5</v>
      </c>
      <c r="AC116" s="135"/>
      <c r="AD116" s="135"/>
      <c r="AE116" s="135"/>
      <c r="AF116" s="135">
        <v>0</v>
      </c>
      <c r="AG116" s="135"/>
      <c r="AH116" s="135">
        <v>5</v>
      </c>
      <c r="AI116" s="135"/>
      <c r="AJ116" s="135"/>
      <c r="AK116" s="135"/>
      <c r="AL116" s="135">
        <v>0</v>
      </c>
      <c r="AM116" s="135"/>
      <c r="AN116" s="135">
        <v>5</v>
      </c>
      <c r="AO116" s="135"/>
      <c r="AP116" s="135"/>
      <c r="AQ116" s="135"/>
      <c r="AR116" s="135">
        <v>0</v>
      </c>
      <c r="AS116" s="135"/>
      <c r="AT116" s="135">
        <v>15</v>
      </c>
      <c r="AU116" s="135"/>
      <c r="AV116" s="135"/>
      <c r="AW116" s="135"/>
      <c r="AX116" s="135">
        <v>0</v>
      </c>
      <c r="AY116" s="135"/>
      <c r="AZ116" s="135">
        <v>5</v>
      </c>
      <c r="BA116" s="135"/>
      <c r="BB116" s="135"/>
      <c r="BC116" s="135"/>
      <c r="BD116" s="135">
        <v>0</v>
      </c>
      <c r="BE116" s="135"/>
      <c r="BF116" s="135">
        <v>5</v>
      </c>
      <c r="BG116" s="135"/>
      <c r="BH116" s="135"/>
      <c r="BI116" s="135"/>
      <c r="BJ116" s="135">
        <v>0</v>
      </c>
      <c r="BK116" s="135"/>
      <c r="BL116" s="135">
        <v>5</v>
      </c>
      <c r="BM116" s="135"/>
      <c r="BN116" s="135"/>
      <c r="BO116" s="135"/>
      <c r="BP116" s="135">
        <v>0</v>
      </c>
      <c r="BQ116" s="135"/>
      <c r="BR116" s="135">
        <v>15</v>
      </c>
      <c r="BS116" s="135"/>
      <c r="BT116" s="135"/>
      <c r="BU116" s="135"/>
      <c r="BV116" s="135">
        <v>0</v>
      </c>
      <c r="BW116" s="135"/>
      <c r="BX116" s="135">
        <v>5</v>
      </c>
      <c r="BY116" s="135"/>
      <c r="BZ116" s="135"/>
      <c r="CA116" s="135"/>
      <c r="CB116" s="135">
        <v>0</v>
      </c>
      <c r="CC116" s="135"/>
      <c r="CD116" s="135">
        <v>5</v>
      </c>
      <c r="CE116" s="135"/>
      <c r="CF116" s="135"/>
      <c r="CG116" s="135"/>
      <c r="CH116" s="135">
        <v>0</v>
      </c>
      <c r="CI116" s="135"/>
      <c r="CJ116" s="135">
        <v>5</v>
      </c>
      <c r="CK116" s="135"/>
      <c r="CL116" s="135"/>
      <c r="CM116" s="135"/>
      <c r="CN116" s="135">
        <v>0</v>
      </c>
      <c r="CO116" s="135"/>
      <c r="CP116" s="135">
        <v>15</v>
      </c>
      <c r="CQ116" s="135"/>
      <c r="CR116" s="135"/>
      <c r="CS116" s="135"/>
      <c r="CT116" s="135">
        <v>0</v>
      </c>
      <c r="CU116" s="135"/>
      <c r="CV116" s="135">
        <v>60</v>
      </c>
      <c r="CW116" s="135"/>
      <c r="CX116" s="135"/>
      <c r="CY116" s="135"/>
      <c r="CZ116" s="135">
        <v>0</v>
      </c>
      <c r="DA116" s="135"/>
      <c r="DB116" s="135">
        <v>60</v>
      </c>
      <c r="DC116" s="135"/>
      <c r="DD116" s="135"/>
      <c r="DE116" s="135"/>
      <c r="DF116" s="135">
        <v>0</v>
      </c>
      <c r="DG116" s="135"/>
      <c r="DH116" s="136"/>
      <c r="DI116" s="136"/>
      <c r="DJ116" s="136"/>
      <c r="DK116" s="136"/>
      <c r="DL116" s="136"/>
      <c r="DM116" s="136"/>
      <c r="DN116" s="136"/>
      <c r="DO116" s="136"/>
      <c r="DP116" s="136"/>
      <c r="DQ116" s="136"/>
      <c r="DR116" s="136"/>
      <c r="DS116" s="136"/>
      <c r="DT116" s="136"/>
      <c r="DU116" s="136"/>
      <c r="DV116" s="136"/>
      <c r="DW116" s="136"/>
      <c r="DX116" s="136"/>
      <c r="DY116" s="136"/>
      <c r="DZ116" s="136"/>
      <c r="EA116" s="136"/>
      <c r="EB116" s="136"/>
      <c r="EC116" s="136"/>
      <c r="ED116" s="136"/>
      <c r="EE116" s="136"/>
      <c r="EF116" s="136"/>
      <c r="EG116" s="136"/>
      <c r="EH116" s="136"/>
      <c r="EI116" s="136"/>
      <c r="EJ116" s="136"/>
      <c r="EK116" s="136"/>
      <c r="EL116" s="136"/>
      <c r="EM116" s="136"/>
      <c r="EN116" s="136"/>
      <c r="EO116" s="136"/>
      <c r="EP116" s="136"/>
      <c r="EQ116" s="136"/>
    </row>
    <row r="117" spans="1:147">
      <c r="A117" s="130" t="s">
        <v>368</v>
      </c>
      <c r="B117" s="134"/>
      <c r="C117" s="134"/>
      <c r="D117" s="135">
        <v>66</v>
      </c>
      <c r="E117" s="135"/>
      <c r="F117" s="135"/>
      <c r="G117" s="135"/>
      <c r="H117" s="135">
        <v>0</v>
      </c>
      <c r="I117" s="135"/>
      <c r="J117" s="135">
        <v>3772</v>
      </c>
      <c r="K117" s="135">
        <v>48</v>
      </c>
      <c r="L117" s="135">
        <v>12</v>
      </c>
      <c r="M117" s="135"/>
      <c r="N117" s="135">
        <v>60</v>
      </c>
      <c r="O117" s="135">
        <v>2</v>
      </c>
      <c r="P117" s="135">
        <v>70</v>
      </c>
      <c r="Q117" s="135">
        <v>72</v>
      </c>
      <c r="R117" s="135">
        <v>18</v>
      </c>
      <c r="S117" s="135"/>
      <c r="T117" s="135">
        <v>90</v>
      </c>
      <c r="U117" s="135"/>
      <c r="V117" s="135">
        <v>3908</v>
      </c>
      <c r="W117" s="135">
        <v>120</v>
      </c>
      <c r="X117" s="135">
        <v>30</v>
      </c>
      <c r="Y117" s="135"/>
      <c r="Z117" s="135">
        <v>150</v>
      </c>
      <c r="AA117" s="135">
        <v>2</v>
      </c>
      <c r="AB117" s="135">
        <v>1073</v>
      </c>
      <c r="AC117" s="135">
        <v>72</v>
      </c>
      <c r="AD117" s="135">
        <v>78</v>
      </c>
      <c r="AE117" s="135"/>
      <c r="AF117" s="135">
        <v>150</v>
      </c>
      <c r="AG117" s="135"/>
      <c r="AH117" s="135">
        <v>89074</v>
      </c>
      <c r="AI117" s="135">
        <v>120</v>
      </c>
      <c r="AJ117" s="135">
        <v>90</v>
      </c>
      <c r="AK117" s="135"/>
      <c r="AL117" s="135">
        <v>210</v>
      </c>
      <c r="AM117" s="135"/>
      <c r="AN117" s="135">
        <v>1378870</v>
      </c>
      <c r="AO117" s="135">
        <v>72</v>
      </c>
      <c r="AP117" s="135">
        <v>78</v>
      </c>
      <c r="AQ117" s="135"/>
      <c r="AR117" s="135">
        <v>150</v>
      </c>
      <c r="AS117" s="135">
        <v>29</v>
      </c>
      <c r="AT117" s="135">
        <v>1469017</v>
      </c>
      <c r="AU117" s="135">
        <v>264</v>
      </c>
      <c r="AV117" s="135">
        <v>246</v>
      </c>
      <c r="AW117" s="135"/>
      <c r="AX117" s="135">
        <v>510</v>
      </c>
      <c r="AY117" s="135">
        <v>29</v>
      </c>
      <c r="AZ117" s="135">
        <v>2085289</v>
      </c>
      <c r="BA117" s="135">
        <v>96</v>
      </c>
      <c r="BB117" s="135">
        <v>84</v>
      </c>
      <c r="BC117" s="135"/>
      <c r="BD117" s="135">
        <v>180</v>
      </c>
      <c r="BE117" s="135">
        <v>24</v>
      </c>
      <c r="BF117" s="135">
        <v>4223071</v>
      </c>
      <c r="BG117" s="135">
        <v>78</v>
      </c>
      <c r="BH117" s="135">
        <v>12</v>
      </c>
      <c r="BI117" s="135"/>
      <c r="BJ117" s="135">
        <v>90</v>
      </c>
      <c r="BK117" s="135">
        <v>173</v>
      </c>
      <c r="BL117" s="135">
        <v>2295903</v>
      </c>
      <c r="BM117" s="135">
        <v>78</v>
      </c>
      <c r="BN117" s="135">
        <v>12</v>
      </c>
      <c r="BO117" s="135"/>
      <c r="BP117" s="135">
        <v>90</v>
      </c>
      <c r="BQ117" s="135">
        <v>52</v>
      </c>
      <c r="BR117" s="135">
        <v>8604263</v>
      </c>
      <c r="BS117" s="135">
        <v>252</v>
      </c>
      <c r="BT117" s="135">
        <v>108</v>
      </c>
      <c r="BU117" s="135"/>
      <c r="BV117" s="135">
        <v>360</v>
      </c>
      <c r="BW117" s="135">
        <v>249</v>
      </c>
      <c r="BX117" s="135">
        <v>512308</v>
      </c>
      <c r="BY117" s="135">
        <v>78</v>
      </c>
      <c r="BZ117" s="135">
        <v>12</v>
      </c>
      <c r="CA117" s="135"/>
      <c r="CB117" s="135">
        <v>90</v>
      </c>
      <c r="CC117" s="135">
        <v>44</v>
      </c>
      <c r="CD117" s="135">
        <v>326032</v>
      </c>
      <c r="CE117" s="135"/>
      <c r="CF117" s="135"/>
      <c r="CG117" s="135"/>
      <c r="CH117" s="135">
        <v>0</v>
      </c>
      <c r="CI117" s="135">
        <v>21</v>
      </c>
      <c r="CJ117" s="135">
        <v>253</v>
      </c>
      <c r="CK117" s="135"/>
      <c r="CL117" s="135"/>
      <c r="CM117" s="135"/>
      <c r="CN117" s="135">
        <v>0</v>
      </c>
      <c r="CO117" s="135">
        <v>1</v>
      </c>
      <c r="CP117" s="135">
        <v>838593</v>
      </c>
      <c r="CQ117" s="135">
        <v>78</v>
      </c>
      <c r="CR117" s="135">
        <v>12</v>
      </c>
      <c r="CS117" s="135"/>
      <c r="CT117" s="135">
        <v>90</v>
      </c>
      <c r="CU117" s="135">
        <v>66</v>
      </c>
      <c r="CV117" s="135">
        <v>10915781</v>
      </c>
      <c r="CW117" s="135">
        <v>714</v>
      </c>
      <c r="CX117" s="135">
        <v>396</v>
      </c>
      <c r="CY117" s="135"/>
      <c r="CZ117" s="135">
        <v>1110</v>
      </c>
      <c r="DA117" s="135">
        <v>346</v>
      </c>
      <c r="DB117" s="135">
        <v>10915781</v>
      </c>
      <c r="DC117" s="135">
        <v>714</v>
      </c>
      <c r="DD117" s="135">
        <v>396</v>
      </c>
      <c r="DE117" s="135"/>
      <c r="DF117" s="135">
        <v>1110</v>
      </c>
      <c r="DG117" s="135">
        <v>346</v>
      </c>
      <c r="DH117" s="136"/>
      <c r="DI117" s="136"/>
      <c r="DJ117" s="136"/>
      <c r="DK117" s="136"/>
      <c r="DL117" s="136"/>
      <c r="DM117" s="136"/>
      <c r="DN117" s="136"/>
      <c r="DO117" s="136"/>
      <c r="DP117" s="136"/>
      <c r="DQ117" s="136"/>
      <c r="DR117" s="136"/>
      <c r="DS117" s="136"/>
      <c r="DT117" s="136"/>
      <c r="DU117" s="136"/>
      <c r="DV117" s="136"/>
      <c r="DW117" s="136"/>
      <c r="DX117" s="136"/>
      <c r="DY117" s="136"/>
      <c r="DZ117" s="136"/>
      <c r="EA117" s="136"/>
      <c r="EB117" s="136"/>
      <c r="EC117" s="136"/>
      <c r="ED117" s="136"/>
      <c r="EE117" s="136"/>
      <c r="EF117" s="136"/>
      <c r="EG117" s="136"/>
      <c r="EH117" s="136"/>
      <c r="EI117" s="136"/>
      <c r="EJ117" s="136"/>
      <c r="EK117" s="136"/>
      <c r="EL117" s="136"/>
      <c r="EM117" s="136"/>
      <c r="EN117" s="136"/>
      <c r="EO117" s="136"/>
      <c r="EP117" s="136"/>
      <c r="EQ117" s="136"/>
    </row>
    <row r="118" spans="1:147">
      <c r="A118" s="136"/>
      <c r="B118" s="138"/>
      <c r="C118" s="138"/>
      <c r="D118" s="136"/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  <c r="AS118" s="136"/>
      <c r="AT118" s="136"/>
      <c r="AU118" s="136"/>
      <c r="AV118" s="136"/>
      <c r="AW118" s="136"/>
      <c r="AX118" s="136"/>
      <c r="AY118" s="136"/>
      <c r="AZ118" s="136"/>
      <c r="BA118" s="136"/>
      <c r="BB118" s="136"/>
      <c r="BC118" s="136"/>
      <c r="BD118" s="136"/>
      <c r="BE118" s="136"/>
      <c r="BF118" s="136"/>
      <c r="BG118" s="136"/>
      <c r="BH118" s="136"/>
      <c r="BI118" s="136"/>
      <c r="BJ118" s="136"/>
      <c r="BK118" s="136"/>
      <c r="BL118" s="136"/>
      <c r="BM118" s="136"/>
      <c r="BN118" s="136"/>
      <c r="BO118" s="136"/>
      <c r="BP118" s="136"/>
      <c r="BQ118" s="136"/>
      <c r="BR118" s="136"/>
      <c r="BS118" s="136"/>
      <c r="BT118" s="136"/>
      <c r="BU118" s="136"/>
      <c r="BV118" s="136"/>
      <c r="BW118" s="136"/>
      <c r="BX118" s="136"/>
      <c r="BY118" s="136"/>
      <c r="BZ118" s="136"/>
      <c r="CA118" s="136"/>
      <c r="CB118" s="136"/>
      <c r="CC118" s="136"/>
      <c r="CD118" s="136"/>
      <c r="CE118" s="136"/>
      <c r="CF118" s="136"/>
      <c r="CG118" s="136"/>
      <c r="CH118" s="136"/>
      <c r="CI118" s="136"/>
      <c r="CJ118" s="136"/>
      <c r="CK118" s="136"/>
      <c r="CL118" s="136"/>
      <c r="CM118" s="136"/>
      <c r="CN118" s="136"/>
      <c r="CO118" s="136"/>
      <c r="CP118" s="136"/>
      <c r="CQ118" s="136"/>
      <c r="CR118" s="136"/>
      <c r="CS118" s="136"/>
      <c r="CT118" s="136"/>
      <c r="CU118" s="136"/>
      <c r="CV118" s="136"/>
      <c r="CW118" s="136"/>
      <c r="CX118" s="136"/>
      <c r="CY118" s="136"/>
      <c r="CZ118" s="136"/>
      <c r="DA118" s="136"/>
      <c r="DB118" s="136"/>
      <c r="DC118" s="136"/>
      <c r="DD118" s="136"/>
      <c r="DE118" s="136"/>
      <c r="DF118" s="136"/>
      <c r="DG118" s="136"/>
      <c r="DH118" s="136"/>
      <c r="DI118" s="136"/>
      <c r="DJ118" s="136"/>
      <c r="DK118" s="136"/>
      <c r="DL118" s="136"/>
      <c r="DM118" s="136"/>
      <c r="DN118" s="136"/>
      <c r="DO118" s="136"/>
      <c r="DP118" s="136"/>
      <c r="DQ118" s="136"/>
      <c r="DR118" s="136"/>
      <c r="DS118" s="136"/>
      <c r="DT118" s="136"/>
      <c r="DU118" s="136"/>
      <c r="DV118" s="136"/>
      <c r="DW118" s="136"/>
      <c r="DX118" s="136"/>
      <c r="DY118" s="136"/>
      <c r="DZ118" s="136"/>
      <c r="EA118" s="136"/>
      <c r="EB118" s="136"/>
      <c r="EC118" s="136"/>
      <c r="ED118" s="136"/>
      <c r="EE118" s="136"/>
      <c r="EF118" s="136"/>
      <c r="EG118" s="136"/>
      <c r="EH118" s="136"/>
      <c r="EI118" s="136"/>
      <c r="EJ118" s="136"/>
      <c r="EK118" s="136"/>
      <c r="EL118" s="136"/>
      <c r="EM118" s="136"/>
      <c r="EN118" s="136"/>
      <c r="EO118" s="136"/>
      <c r="EP118" s="136"/>
      <c r="EQ118" s="136"/>
    </row>
    <row r="119" spans="1:147">
      <c r="A119" s="139" t="s">
        <v>369</v>
      </c>
      <c r="B119" s="138"/>
      <c r="C119" s="138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136"/>
      <c r="AS119" s="136"/>
      <c r="AT119" s="136"/>
      <c r="AU119" s="136"/>
      <c r="AV119" s="136"/>
      <c r="AW119" s="136"/>
      <c r="AX119" s="136"/>
      <c r="AY119" s="136"/>
      <c r="AZ119" s="136"/>
      <c r="BA119" s="136"/>
      <c r="BB119" s="136"/>
      <c r="BC119" s="136"/>
      <c r="BD119" s="136"/>
      <c r="BE119" s="136"/>
      <c r="BF119" s="136"/>
      <c r="BG119" s="136"/>
      <c r="BH119" s="136"/>
      <c r="BI119" s="136"/>
      <c r="BJ119" s="136"/>
      <c r="BK119" s="136"/>
      <c r="BL119" s="136"/>
      <c r="BM119" s="136"/>
      <c r="BN119" s="136"/>
      <c r="BO119" s="136"/>
      <c r="BP119" s="136"/>
      <c r="BQ119" s="136"/>
      <c r="BR119" s="136"/>
      <c r="BS119" s="136"/>
      <c r="BT119" s="136"/>
      <c r="BU119" s="136"/>
      <c r="BV119" s="136"/>
      <c r="BW119" s="136"/>
      <c r="BX119" s="136"/>
      <c r="BY119" s="136"/>
      <c r="BZ119" s="136"/>
      <c r="CA119" s="136"/>
      <c r="CB119" s="136"/>
      <c r="CC119" s="136"/>
      <c r="CD119" s="141" t="s">
        <v>370</v>
      </c>
      <c r="CE119" s="142"/>
      <c r="CF119" s="142"/>
      <c r="CG119" s="142"/>
      <c r="CH119" s="142"/>
      <c r="CI119" s="142"/>
      <c r="CJ119" s="141" t="s">
        <v>371</v>
      </c>
      <c r="CK119" s="136"/>
      <c r="CL119" s="136"/>
      <c r="CM119" s="136"/>
      <c r="CN119" s="136"/>
      <c r="CO119" s="136"/>
      <c r="CP119" s="136"/>
      <c r="CQ119" s="136"/>
      <c r="CR119" s="136"/>
      <c r="CS119" s="136"/>
      <c r="CT119" s="136"/>
      <c r="CU119" s="136"/>
      <c r="CV119" s="141" t="s">
        <v>372</v>
      </c>
      <c r="CW119" s="136"/>
      <c r="CX119" s="136"/>
      <c r="CY119" s="136"/>
      <c r="CZ119" s="136"/>
      <c r="DA119" s="136"/>
      <c r="DB119" s="141" t="s">
        <v>373</v>
      </c>
      <c r="DC119" s="136"/>
      <c r="DD119" s="136"/>
      <c r="DE119" s="136"/>
      <c r="DF119" s="136"/>
      <c r="DG119" s="136"/>
      <c r="DH119" s="136"/>
      <c r="DI119" s="136"/>
      <c r="DJ119" s="136"/>
      <c r="DK119" s="136"/>
      <c r="DL119" s="136"/>
      <c r="DM119" s="136"/>
      <c r="DN119" s="136"/>
      <c r="DO119" s="136"/>
      <c r="DP119" s="136"/>
      <c r="DQ119" s="136"/>
      <c r="DR119" s="136"/>
      <c r="DS119" s="136"/>
      <c r="DT119" s="136"/>
      <c r="DU119" s="136"/>
      <c r="DV119" s="136"/>
      <c r="DW119" s="136"/>
      <c r="DX119" s="136"/>
      <c r="DY119" s="136"/>
      <c r="DZ119" s="136"/>
      <c r="EA119" s="136"/>
      <c r="EB119" s="136"/>
      <c r="EC119" s="136"/>
      <c r="ED119" s="136"/>
      <c r="EE119" s="136"/>
      <c r="EF119" s="136"/>
      <c r="EG119" s="136"/>
      <c r="EH119" s="136"/>
      <c r="EI119" s="136"/>
      <c r="EJ119" s="136"/>
      <c r="EK119" s="136"/>
      <c r="EL119" s="136"/>
      <c r="EM119" s="136"/>
      <c r="EN119" s="136"/>
      <c r="EO119" s="136"/>
      <c r="EP119" s="136"/>
      <c r="EQ119" s="136"/>
    </row>
    <row r="120" spans="1:147">
      <c r="A120" s="139"/>
      <c r="B120" s="138"/>
      <c r="C120" s="138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136"/>
      <c r="AS120" s="136"/>
      <c r="AT120" s="136"/>
      <c r="AU120" s="136"/>
      <c r="AV120" s="136"/>
      <c r="AW120" s="136"/>
      <c r="AX120" s="136"/>
      <c r="AY120" s="136"/>
      <c r="AZ120" s="136"/>
      <c r="BA120" s="136"/>
      <c r="BB120" s="136"/>
      <c r="BC120" s="136"/>
      <c r="BD120" s="136"/>
      <c r="BE120" s="136"/>
      <c r="BF120" s="136"/>
      <c r="BG120" s="136"/>
      <c r="BH120" s="136"/>
      <c r="BI120" s="136"/>
      <c r="BJ120" s="136"/>
      <c r="BK120" s="136"/>
      <c r="BL120" s="136"/>
      <c r="BM120" s="136"/>
      <c r="BN120" s="136"/>
      <c r="BO120" s="136"/>
      <c r="BP120" s="136"/>
      <c r="BQ120" s="136"/>
      <c r="BR120" s="136"/>
      <c r="BS120" s="136"/>
      <c r="BT120" s="136"/>
      <c r="BU120" s="136"/>
      <c r="BV120" s="136"/>
      <c r="BW120" s="136"/>
      <c r="BX120" s="136"/>
      <c r="BY120" s="136"/>
      <c r="BZ120" s="136"/>
      <c r="CA120" s="136"/>
      <c r="CB120" s="136"/>
      <c r="CC120" s="136"/>
      <c r="CD120" s="141"/>
      <c r="CE120" s="142"/>
      <c r="CF120" s="142"/>
      <c r="CG120" s="142"/>
      <c r="CH120" s="142"/>
      <c r="CI120" s="142"/>
      <c r="CJ120" s="141"/>
      <c r="CK120" s="136"/>
      <c r="CL120" s="136"/>
      <c r="CM120" s="136"/>
      <c r="CN120" s="136"/>
      <c r="CO120" s="136"/>
      <c r="CP120" s="136"/>
      <c r="CQ120" s="136"/>
      <c r="CR120" s="136"/>
      <c r="CS120" s="136"/>
      <c r="CT120" s="136"/>
      <c r="CU120" s="136"/>
      <c r="CV120" s="141"/>
      <c r="CW120" s="136"/>
      <c r="CX120" s="136"/>
      <c r="CY120" s="136"/>
      <c r="CZ120" s="136"/>
      <c r="DA120" s="136"/>
      <c r="DB120" s="141"/>
      <c r="DC120" s="136"/>
      <c r="DD120" s="136"/>
      <c r="DE120" s="136"/>
      <c r="DF120" s="136"/>
      <c r="DG120" s="136"/>
      <c r="DH120" s="136"/>
      <c r="DI120" s="136"/>
      <c r="DJ120" s="136"/>
      <c r="DK120" s="136"/>
      <c r="DL120" s="136"/>
      <c r="DM120" s="136"/>
      <c r="DN120" s="136"/>
      <c r="DO120" s="136"/>
      <c r="DP120" s="136"/>
      <c r="DQ120" s="136"/>
      <c r="DR120" s="136"/>
      <c r="DS120" s="136"/>
      <c r="DT120" s="136"/>
      <c r="DU120" s="136"/>
      <c r="DV120" s="136"/>
      <c r="DW120" s="136"/>
      <c r="DX120" s="136"/>
      <c r="DY120" s="136"/>
      <c r="DZ120" s="136"/>
      <c r="EA120" s="136"/>
      <c r="EB120" s="136"/>
      <c r="EC120" s="136"/>
      <c r="ED120" s="136"/>
      <c r="EE120" s="136"/>
      <c r="EF120" s="136"/>
      <c r="EG120" s="136"/>
      <c r="EH120" s="136"/>
      <c r="EI120" s="136"/>
      <c r="EJ120" s="136"/>
      <c r="EK120" s="136"/>
      <c r="EL120" s="136"/>
      <c r="EM120" s="136"/>
      <c r="EN120" s="136"/>
      <c r="EO120" s="136"/>
      <c r="EP120" s="136"/>
      <c r="EQ120" s="136"/>
    </row>
    <row r="121" spans="1:147">
      <c r="A121" s="139"/>
      <c r="B121" s="138"/>
      <c r="C121" s="138"/>
      <c r="D121" s="136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136"/>
      <c r="AS121" s="136"/>
      <c r="AT121" s="136"/>
      <c r="AU121" s="136"/>
      <c r="AV121" s="136"/>
      <c r="AW121" s="136"/>
      <c r="AX121" s="136"/>
      <c r="AY121" s="136"/>
      <c r="AZ121" s="136"/>
      <c r="BA121" s="136"/>
      <c r="BB121" s="136"/>
      <c r="BC121" s="136"/>
      <c r="BD121" s="136"/>
      <c r="BE121" s="136"/>
      <c r="BF121" s="136"/>
      <c r="BG121" s="136"/>
      <c r="BH121" s="136"/>
      <c r="BI121" s="136"/>
      <c r="BJ121" s="136"/>
      <c r="BK121" s="136"/>
      <c r="BL121" s="136"/>
      <c r="BM121" s="136"/>
      <c r="BN121" s="136"/>
      <c r="BO121" s="136"/>
      <c r="BP121" s="136"/>
      <c r="BQ121" s="136"/>
      <c r="BR121" s="136"/>
      <c r="BS121" s="136"/>
      <c r="BT121" s="136"/>
      <c r="BU121" s="136"/>
      <c r="BV121" s="136"/>
      <c r="BW121" s="136"/>
      <c r="BX121" s="136"/>
      <c r="BY121" s="136"/>
      <c r="BZ121" s="136"/>
      <c r="CA121" s="136"/>
      <c r="CB121" s="136"/>
      <c r="CC121" s="136"/>
      <c r="CD121" s="141"/>
      <c r="CE121" s="142"/>
      <c r="CF121" s="142"/>
      <c r="CG121" s="142"/>
      <c r="CH121" s="142"/>
      <c r="CI121" s="142"/>
      <c r="CJ121" s="141"/>
      <c r="CK121" s="136"/>
      <c r="CL121" s="136"/>
      <c r="CM121" s="136"/>
      <c r="CN121" s="136"/>
      <c r="CO121" s="136"/>
      <c r="CP121" s="136"/>
      <c r="CQ121" s="136"/>
      <c r="CR121" s="136"/>
      <c r="CS121" s="136"/>
      <c r="CT121" s="136"/>
      <c r="CU121" s="136"/>
      <c r="CV121" s="141"/>
      <c r="CW121" s="136"/>
      <c r="CX121" s="136"/>
      <c r="CY121" s="136"/>
      <c r="CZ121" s="136"/>
      <c r="DA121" s="136"/>
      <c r="DB121" s="141"/>
      <c r="DC121" s="136"/>
      <c r="DD121" s="136"/>
      <c r="DE121" s="136"/>
      <c r="DF121" s="136"/>
      <c r="DG121" s="136"/>
      <c r="DH121" s="136"/>
      <c r="DI121" s="136"/>
      <c r="DJ121" s="136"/>
      <c r="DK121" s="136"/>
      <c r="DL121" s="136"/>
      <c r="DM121" s="136"/>
      <c r="DN121" s="136"/>
      <c r="DO121" s="136"/>
      <c r="DP121" s="136"/>
      <c r="DQ121" s="136"/>
      <c r="DR121" s="136"/>
      <c r="DS121" s="136"/>
      <c r="DT121" s="136"/>
      <c r="DU121" s="136"/>
      <c r="DV121" s="136"/>
      <c r="DW121" s="136"/>
      <c r="DX121" s="136"/>
      <c r="DY121" s="136"/>
      <c r="DZ121" s="136"/>
      <c r="EA121" s="136"/>
      <c r="EB121" s="136"/>
      <c r="EC121" s="136"/>
      <c r="ED121" s="136"/>
      <c r="EE121" s="136"/>
      <c r="EF121" s="136"/>
      <c r="EG121" s="136"/>
      <c r="EH121" s="136"/>
      <c r="EI121" s="136"/>
      <c r="EJ121" s="136"/>
      <c r="EK121" s="136"/>
      <c r="EL121" s="136"/>
      <c r="EM121" s="136"/>
      <c r="EN121" s="136"/>
      <c r="EO121" s="136"/>
      <c r="EP121" s="136"/>
      <c r="EQ121" s="136"/>
    </row>
    <row r="122" spans="1:147">
      <c r="A122" s="139"/>
      <c r="B122" s="138"/>
      <c r="C122" s="138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  <c r="AS122" s="136"/>
      <c r="AT122" s="136"/>
      <c r="AU122" s="136"/>
      <c r="AV122" s="136"/>
      <c r="AW122" s="136"/>
      <c r="AX122" s="136"/>
      <c r="AY122" s="136"/>
      <c r="AZ122" s="136"/>
      <c r="BA122" s="136"/>
      <c r="BB122" s="136"/>
      <c r="BC122" s="136"/>
      <c r="BD122" s="136"/>
      <c r="BE122" s="136"/>
      <c r="BF122" s="136"/>
      <c r="BG122" s="136"/>
      <c r="BH122" s="136"/>
      <c r="BI122" s="136"/>
      <c r="BJ122" s="136"/>
      <c r="BK122" s="136"/>
      <c r="BL122" s="136"/>
      <c r="BM122" s="136"/>
      <c r="BN122" s="136"/>
      <c r="BO122" s="136"/>
      <c r="BP122" s="136"/>
      <c r="BQ122" s="136"/>
      <c r="BR122" s="136"/>
      <c r="BS122" s="136"/>
      <c r="BT122" s="136"/>
      <c r="BU122" s="136"/>
      <c r="BV122" s="136"/>
      <c r="BW122" s="136"/>
      <c r="BX122" s="136"/>
      <c r="BY122" s="136"/>
      <c r="BZ122" s="136"/>
      <c r="CA122" s="136"/>
      <c r="CB122" s="136"/>
      <c r="CC122" s="136"/>
      <c r="CD122" s="141"/>
      <c r="CE122" s="142"/>
      <c r="CF122" s="142"/>
      <c r="CG122" s="142"/>
      <c r="CH122" s="142"/>
      <c r="CI122" s="142"/>
      <c r="CJ122" s="141"/>
      <c r="CK122" s="136"/>
      <c r="CL122" s="136"/>
      <c r="CM122" s="136"/>
      <c r="CN122" s="136"/>
      <c r="CO122" s="136"/>
      <c r="CP122" s="136"/>
      <c r="CQ122" s="136"/>
      <c r="CR122" s="136"/>
      <c r="CS122" s="136"/>
      <c r="CT122" s="136"/>
      <c r="CU122" s="136"/>
      <c r="CV122" s="141"/>
      <c r="CW122" s="136"/>
      <c r="CX122" s="136"/>
      <c r="CY122" s="136"/>
      <c r="CZ122" s="136"/>
      <c r="DA122" s="136"/>
      <c r="DB122" s="141"/>
      <c r="DC122" s="136"/>
      <c r="DD122" s="136"/>
      <c r="DE122" s="136"/>
      <c r="DF122" s="136"/>
      <c r="DG122" s="136"/>
      <c r="DH122" s="136"/>
      <c r="DI122" s="136"/>
      <c r="DJ122" s="136"/>
      <c r="DK122" s="136"/>
      <c r="DL122" s="136"/>
      <c r="DM122" s="136"/>
      <c r="DN122" s="136"/>
      <c r="DO122" s="136"/>
      <c r="DP122" s="136"/>
      <c r="DQ122" s="136"/>
      <c r="DR122" s="136"/>
      <c r="DS122" s="136"/>
      <c r="DT122" s="136"/>
      <c r="DU122" s="136"/>
      <c r="DV122" s="136"/>
      <c r="DW122" s="136"/>
      <c r="DX122" s="136"/>
      <c r="DY122" s="136"/>
      <c r="DZ122" s="136"/>
      <c r="EA122" s="136"/>
      <c r="EB122" s="136"/>
      <c r="EC122" s="136"/>
      <c r="ED122" s="136"/>
      <c r="EE122" s="136"/>
      <c r="EF122" s="136"/>
      <c r="EG122" s="136"/>
      <c r="EH122" s="136"/>
      <c r="EI122" s="136"/>
      <c r="EJ122" s="136"/>
      <c r="EK122" s="136"/>
      <c r="EL122" s="136"/>
      <c r="EM122" s="136"/>
      <c r="EN122" s="136"/>
      <c r="EO122" s="136"/>
      <c r="EP122" s="136"/>
      <c r="EQ122" s="136"/>
    </row>
    <row r="123" spans="1:147">
      <c r="A123" s="140" t="s">
        <v>374</v>
      </c>
      <c r="B123" s="138"/>
      <c r="C123" s="138"/>
      <c r="D123" s="136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  <c r="AS123" s="136"/>
      <c r="AT123" s="136"/>
      <c r="AU123" s="136"/>
      <c r="AV123" s="136"/>
      <c r="AW123" s="136"/>
      <c r="AX123" s="136"/>
      <c r="AY123" s="136"/>
      <c r="AZ123" s="136"/>
      <c r="BA123" s="136"/>
      <c r="BB123" s="136"/>
      <c r="BC123" s="136"/>
      <c r="BD123" s="136"/>
      <c r="BE123" s="136"/>
      <c r="BF123" s="136"/>
      <c r="BG123" s="136"/>
      <c r="BH123" s="136"/>
      <c r="BI123" s="136"/>
      <c r="BJ123" s="136"/>
      <c r="BK123" s="136"/>
      <c r="BL123" s="136"/>
      <c r="BM123" s="136"/>
      <c r="BN123" s="136"/>
      <c r="BO123" s="136"/>
      <c r="BP123" s="136"/>
      <c r="BQ123" s="136"/>
      <c r="BR123" s="136"/>
      <c r="BS123" s="136"/>
      <c r="BT123" s="136"/>
      <c r="BU123" s="136"/>
      <c r="BV123" s="136"/>
      <c r="BW123" s="136"/>
      <c r="BX123" s="136"/>
      <c r="BY123" s="136"/>
      <c r="BZ123" s="136"/>
      <c r="CA123" s="136"/>
      <c r="CB123" s="136"/>
      <c r="CC123" s="136"/>
      <c r="CD123" s="143" t="s">
        <v>375</v>
      </c>
      <c r="CE123" s="142"/>
      <c r="CF123" s="142"/>
      <c r="CG123" s="142"/>
      <c r="CH123" s="142"/>
      <c r="CI123" s="142"/>
      <c r="CJ123" s="143" t="s">
        <v>376</v>
      </c>
      <c r="CK123" s="136"/>
      <c r="CL123" s="136"/>
      <c r="CM123" s="136"/>
      <c r="CN123" s="136"/>
      <c r="CO123" s="136"/>
      <c r="CP123" s="145" t="s">
        <v>434</v>
      </c>
      <c r="CQ123" s="136"/>
      <c r="CR123" s="136"/>
      <c r="CS123" s="136"/>
      <c r="CT123" s="136"/>
      <c r="CU123" s="136"/>
      <c r="CV123" s="143" t="s">
        <v>378</v>
      </c>
      <c r="CW123" s="136"/>
      <c r="CX123" s="136"/>
      <c r="CY123" s="136"/>
      <c r="CZ123" s="136"/>
      <c r="DA123" s="136"/>
      <c r="DB123" s="143" t="s">
        <v>379</v>
      </c>
      <c r="DC123" s="136"/>
      <c r="DD123" s="136"/>
      <c r="DE123" s="136"/>
      <c r="DF123" s="136"/>
      <c r="DG123" s="136"/>
      <c r="DH123" s="136"/>
      <c r="DI123" s="136"/>
      <c r="DJ123" s="136"/>
      <c r="DK123" s="136"/>
      <c r="DL123" s="136"/>
      <c r="DM123" s="136"/>
      <c r="DN123" s="136"/>
      <c r="DO123" s="136"/>
      <c r="DP123" s="136"/>
      <c r="DQ123" s="136"/>
      <c r="DR123" s="136"/>
      <c r="DS123" s="136"/>
      <c r="DT123" s="136"/>
      <c r="DU123" s="136"/>
      <c r="DV123" s="136"/>
      <c r="DW123" s="136"/>
      <c r="DX123" s="136"/>
      <c r="DY123" s="136"/>
      <c r="DZ123" s="136"/>
      <c r="EA123" s="136"/>
      <c r="EB123" s="136"/>
      <c r="EC123" s="136"/>
      <c r="ED123" s="136"/>
      <c r="EE123" s="136"/>
      <c r="EF123" s="136"/>
      <c r="EG123" s="136"/>
      <c r="EH123" s="136"/>
      <c r="EI123" s="136"/>
      <c r="EJ123" s="136"/>
      <c r="EK123" s="136"/>
      <c r="EL123" s="136"/>
      <c r="EM123" s="136"/>
      <c r="EN123" s="136"/>
      <c r="EO123" s="136"/>
      <c r="EP123" s="136"/>
      <c r="EQ123" s="136"/>
    </row>
    <row r="124" spans="1:147">
      <c r="A124" s="139" t="s">
        <v>380</v>
      </c>
      <c r="B124" s="138"/>
      <c r="C124" s="138"/>
      <c r="D124" s="136"/>
      <c r="E124" s="136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136"/>
      <c r="AV124" s="136"/>
      <c r="AW124" s="136"/>
      <c r="AX124" s="136"/>
      <c r="AY124" s="136"/>
      <c r="AZ124" s="136"/>
      <c r="BA124" s="136"/>
      <c r="BB124" s="136"/>
      <c r="BC124" s="136"/>
      <c r="BD124" s="136"/>
      <c r="BE124" s="136"/>
      <c r="BF124" s="136"/>
      <c r="BG124" s="136"/>
      <c r="BH124" s="136"/>
      <c r="BI124" s="136"/>
      <c r="BJ124" s="136"/>
      <c r="BK124" s="136"/>
      <c r="BL124" s="136"/>
      <c r="BM124" s="136"/>
      <c r="BN124" s="136"/>
      <c r="BO124" s="136"/>
      <c r="BP124" s="136"/>
      <c r="BQ124" s="136"/>
      <c r="BR124" s="136"/>
      <c r="BS124" s="136"/>
      <c r="BT124" s="136"/>
      <c r="BU124" s="136"/>
      <c r="BV124" s="136"/>
      <c r="BW124" s="136"/>
      <c r="BX124" s="136"/>
      <c r="BY124" s="136"/>
      <c r="BZ124" s="136"/>
      <c r="CA124" s="136"/>
      <c r="CB124" s="136"/>
      <c r="CC124" s="136"/>
      <c r="CD124" s="141" t="s">
        <v>381</v>
      </c>
      <c r="CE124" s="142"/>
      <c r="CF124" s="142"/>
      <c r="CG124" s="142"/>
      <c r="CH124" s="142"/>
      <c r="CI124" s="142"/>
      <c r="CJ124" s="141" t="s">
        <v>382</v>
      </c>
      <c r="CK124" s="136"/>
      <c r="CL124" s="136"/>
      <c r="CM124" s="136"/>
      <c r="CN124" s="136"/>
      <c r="CO124" s="136"/>
      <c r="CP124" s="136" t="s">
        <v>435</v>
      </c>
      <c r="CQ124" s="136"/>
      <c r="CR124" s="136"/>
      <c r="CS124" s="136"/>
      <c r="CT124" s="136"/>
      <c r="CU124" s="136"/>
      <c r="CV124" s="141" t="s">
        <v>384</v>
      </c>
      <c r="CW124" s="136"/>
      <c r="CX124" s="136"/>
      <c r="CY124" s="136"/>
      <c r="CZ124" s="136"/>
      <c r="DA124" s="136"/>
      <c r="DB124" s="141" t="s">
        <v>385</v>
      </c>
      <c r="DC124" s="136"/>
      <c r="DD124" s="136"/>
      <c r="DE124" s="136"/>
      <c r="DF124" s="136"/>
      <c r="DG124" s="136"/>
      <c r="DH124" s="136"/>
      <c r="DI124" s="136"/>
      <c r="DJ124" s="136"/>
      <c r="DK124" s="136"/>
      <c r="DL124" s="136"/>
      <c r="DM124" s="136"/>
      <c r="DN124" s="136"/>
      <c r="DO124" s="136"/>
      <c r="DP124" s="136"/>
      <c r="DQ124" s="136"/>
      <c r="DR124" s="136"/>
      <c r="DS124" s="136"/>
      <c r="DT124" s="136"/>
      <c r="DU124" s="136"/>
      <c r="DV124" s="136"/>
      <c r="DW124" s="136"/>
      <c r="DX124" s="136"/>
      <c r="DY124" s="136"/>
      <c r="DZ124" s="136"/>
      <c r="EA124" s="136"/>
      <c r="EB124" s="136"/>
      <c r="EC124" s="136"/>
      <c r="ED124" s="136"/>
      <c r="EE124" s="136"/>
      <c r="EF124" s="136"/>
      <c r="EG124" s="136"/>
      <c r="EH124" s="136"/>
      <c r="EI124" s="136"/>
      <c r="EJ124" s="136"/>
      <c r="EK124" s="136"/>
      <c r="EL124" s="136"/>
      <c r="EM124" s="136"/>
      <c r="EN124" s="136"/>
      <c r="EO124" s="136"/>
      <c r="EP124" s="136"/>
      <c r="EQ124" s="136"/>
    </row>
    <row r="125" spans="82:88">
      <c r="CD125" s="144" t="s">
        <v>386</v>
      </c>
      <c r="CE125" s="142"/>
      <c r="CF125" s="142"/>
      <c r="CG125" s="142"/>
      <c r="CH125" s="142"/>
      <c r="CI125" s="142"/>
      <c r="CJ125" s="144" t="s">
        <v>387</v>
      </c>
    </row>
  </sheetData>
  <mergeCells count="53">
    <mergeCell ref="D8:CU8"/>
    <mergeCell ref="D9:U9"/>
    <mergeCell ref="AB9:AS9"/>
    <mergeCell ref="AZ9:BQ9"/>
    <mergeCell ref="BX9:CO9"/>
    <mergeCell ref="D10:I10"/>
    <mergeCell ref="J10:O10"/>
    <mergeCell ref="P10:U10"/>
    <mergeCell ref="AB10:AG10"/>
    <mergeCell ref="AH10:AM10"/>
    <mergeCell ref="AN10:AS10"/>
    <mergeCell ref="AZ10:BE10"/>
    <mergeCell ref="BF10:BK10"/>
    <mergeCell ref="BL10:BQ10"/>
    <mergeCell ref="BX10:CC10"/>
    <mergeCell ref="CD10:CI10"/>
    <mergeCell ref="CJ10:CO10"/>
    <mergeCell ref="V9:V11"/>
    <mergeCell ref="W9:W11"/>
    <mergeCell ref="X9:X11"/>
    <mergeCell ref="Y9:Y11"/>
    <mergeCell ref="Z9:Z11"/>
    <mergeCell ref="AA9:AA11"/>
    <mergeCell ref="AT9:AT11"/>
    <mergeCell ref="AU9:AU11"/>
    <mergeCell ref="AV9:AV11"/>
    <mergeCell ref="AW9:AW11"/>
    <mergeCell ref="AX9:AX11"/>
    <mergeCell ref="AY9:AY11"/>
    <mergeCell ref="BR9:BR11"/>
    <mergeCell ref="BS9:BS11"/>
    <mergeCell ref="BT9:BT11"/>
    <mergeCell ref="BU9:BU11"/>
    <mergeCell ref="BV9:BV11"/>
    <mergeCell ref="BW9:BW11"/>
    <mergeCell ref="CP9:CP11"/>
    <mergeCell ref="CQ9:CQ11"/>
    <mergeCell ref="CR9:CR11"/>
    <mergeCell ref="CS9:CS11"/>
    <mergeCell ref="CT9:CT11"/>
    <mergeCell ref="CU9:CU11"/>
    <mergeCell ref="CV8:CV11"/>
    <mergeCell ref="CW8:CW11"/>
    <mergeCell ref="CX8:CX11"/>
    <mergeCell ref="CY8:CY11"/>
    <mergeCell ref="CZ8:CZ11"/>
    <mergeCell ref="DA8:DA11"/>
    <mergeCell ref="DB8:DB11"/>
    <mergeCell ref="DC8:DC11"/>
    <mergeCell ref="DD8:DD11"/>
    <mergeCell ref="DE8:DE11"/>
    <mergeCell ref="DF8:DF11"/>
    <mergeCell ref="DG8:DG11"/>
  </mergeCells>
  <pageMargins left="0.708661417322835" right="0.708661417322835" top="0.748031496062992" bottom="0.748031496062992" header="0.31496062992126" footer="0.31496062992126"/>
  <pageSetup paperSize="8" scale="50" orientation="landscape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5:EA115"/>
  <sheetViews>
    <sheetView zoomScale="60" zoomScaleNormal="60" workbookViewId="0">
      <pane xSplit="1" ySplit="10" topLeftCell="B81" activePane="bottomRight" state="frozen"/>
      <selection/>
      <selection pane="topRight"/>
      <selection pane="bottomLeft"/>
      <selection pane="bottomRight" activeCell="C1" sqref="C$1:C$1048576"/>
    </sheetView>
  </sheetViews>
  <sheetFormatPr defaultColWidth="8.85714285714286" defaultRowHeight="15"/>
  <cols>
    <col min="1" max="1" width="30.4285714285714" style="73" customWidth="1"/>
    <col min="2" max="2" width="27.8571428571429" style="113" customWidth="1"/>
    <col min="3" max="3" width="20.4285714285714" style="114" customWidth="1"/>
    <col min="4" max="12" width="16.1428571428571" style="73" customWidth="1"/>
    <col min="13" max="131" width="14.4285714285714" style="73" customWidth="1"/>
    <col min="132" max="16384" width="8.85714285714286" style="73"/>
  </cols>
  <sheetData>
    <row r="5" s="112" customFormat="1" spans="1:12">
      <c r="A5" s="46"/>
      <c r="B5" s="46"/>
      <c r="C5" s="115"/>
      <c r="D5" s="99" t="s">
        <v>4</v>
      </c>
      <c r="E5" s="46" t="s">
        <v>7</v>
      </c>
      <c r="F5" s="99"/>
      <c r="G5" s="99"/>
      <c r="H5" s="99"/>
      <c r="I5" s="99"/>
      <c r="J5" s="99"/>
      <c r="K5" s="99"/>
      <c r="L5" s="99"/>
    </row>
    <row r="6" s="90" customFormat="1" ht="39.6" customHeight="1" spans="1:131">
      <c r="A6" s="46"/>
      <c r="B6" s="46"/>
      <c r="C6" s="115"/>
      <c r="D6" s="116" t="s">
        <v>436</v>
      </c>
      <c r="E6" s="99"/>
      <c r="F6" s="99"/>
      <c r="G6" s="116" t="s">
        <v>297</v>
      </c>
      <c r="H6" s="99"/>
      <c r="I6" s="99"/>
      <c r="J6" s="116" t="s">
        <v>301</v>
      </c>
      <c r="K6" s="99"/>
      <c r="L6" s="99"/>
      <c r="M6" s="46"/>
      <c r="N6" s="46" t="s">
        <v>437</v>
      </c>
      <c r="O6" s="46"/>
      <c r="P6" s="46"/>
      <c r="Q6" s="46"/>
      <c r="R6" s="46" t="s">
        <v>438</v>
      </c>
      <c r="S6" s="46"/>
      <c r="T6" s="46"/>
      <c r="U6" s="46"/>
      <c r="V6" s="46" t="s">
        <v>439</v>
      </c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</row>
    <row r="7" s="91" customFormat="1" ht="15.75" spans="1:131">
      <c r="A7" s="46" t="s">
        <v>12</v>
      </c>
      <c r="B7" s="46" t="s">
        <v>342</v>
      </c>
      <c r="C7" s="115" t="s">
        <v>14</v>
      </c>
      <c r="D7" s="102" t="s">
        <v>343</v>
      </c>
      <c r="E7" s="102" t="s">
        <v>344</v>
      </c>
      <c r="F7" s="102" t="s">
        <v>345</v>
      </c>
      <c r="G7" s="102" t="s">
        <v>343</v>
      </c>
      <c r="H7" s="102" t="s">
        <v>344</v>
      </c>
      <c r="I7" s="102" t="s">
        <v>345</v>
      </c>
      <c r="J7" s="102" t="s">
        <v>343</v>
      </c>
      <c r="K7" s="102" t="s">
        <v>344</v>
      </c>
      <c r="L7" s="102" t="s">
        <v>345</v>
      </c>
      <c r="M7" s="46"/>
      <c r="N7" s="108" t="s">
        <v>343</v>
      </c>
      <c r="O7" s="108" t="s">
        <v>344</v>
      </c>
      <c r="P7" s="108" t="s">
        <v>345</v>
      </c>
      <c r="Q7" s="46"/>
      <c r="R7" s="108" t="s">
        <v>343</v>
      </c>
      <c r="S7" s="108" t="s">
        <v>344</v>
      </c>
      <c r="T7" s="108" t="s">
        <v>345</v>
      </c>
      <c r="U7" s="46"/>
      <c r="V7" s="108" t="s">
        <v>343</v>
      </c>
      <c r="W7" s="108" t="s">
        <v>344</v>
      </c>
      <c r="X7" s="108" t="s">
        <v>345</v>
      </c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</row>
    <row r="8" s="90" customFormat="1" ht="15.75" spans="1:131">
      <c r="A8" s="97" t="s">
        <v>21</v>
      </c>
      <c r="B8" s="97"/>
      <c r="C8" s="117"/>
      <c r="D8" s="98">
        <v>780300</v>
      </c>
      <c r="E8" s="98">
        <v>8140</v>
      </c>
      <c r="F8" s="98">
        <v>788440</v>
      </c>
      <c r="G8" s="98">
        <v>780300</v>
      </c>
      <c r="H8" s="98">
        <v>8140</v>
      </c>
      <c r="I8" s="98">
        <v>788440</v>
      </c>
      <c r="J8" s="98">
        <v>780300</v>
      </c>
      <c r="K8" s="98">
        <v>8140</v>
      </c>
      <c r="L8" s="98">
        <v>788440</v>
      </c>
      <c r="M8"/>
      <c r="N8" s="98">
        <f>+D8-G8</f>
        <v>0</v>
      </c>
      <c r="O8" s="98">
        <f t="shared" ref="O8:P8" si="0">+E8-H8</f>
        <v>0</v>
      </c>
      <c r="P8" s="98">
        <f t="shared" si="0"/>
        <v>0</v>
      </c>
      <c r="Q8"/>
      <c r="R8" s="98">
        <f>+D8-J8</f>
        <v>0</v>
      </c>
      <c r="S8" s="98">
        <f t="shared" ref="S8:T8" si="1">+E8-K8</f>
        <v>0</v>
      </c>
      <c r="T8" s="98">
        <f t="shared" si="1"/>
        <v>0</v>
      </c>
      <c r="U8"/>
      <c r="V8" s="98">
        <f>+G8-J8</f>
        <v>0</v>
      </c>
      <c r="W8" s="98">
        <f t="shared" ref="W8:X8" si="2">+H8-K8</f>
        <v>0</v>
      </c>
      <c r="X8" s="98">
        <f t="shared" si="2"/>
        <v>0</v>
      </c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</row>
    <row r="9" s="90" customFormat="1" ht="15.75" spans="1:131">
      <c r="A9" s="97"/>
      <c r="B9" s="97" t="s">
        <v>346</v>
      </c>
      <c r="C9" s="117"/>
      <c r="D9" s="98">
        <v>1106</v>
      </c>
      <c r="E9" s="98"/>
      <c r="F9" s="98">
        <v>1106</v>
      </c>
      <c r="G9" s="98">
        <v>1105</v>
      </c>
      <c r="H9" s="98"/>
      <c r="I9" s="98">
        <v>1105</v>
      </c>
      <c r="J9" s="98">
        <v>1105</v>
      </c>
      <c r="K9" s="98"/>
      <c r="L9" s="98">
        <v>1105</v>
      </c>
      <c r="M9"/>
      <c r="N9" s="98">
        <f t="shared" ref="N9:N72" si="3">+D9-G9</f>
        <v>1</v>
      </c>
      <c r="O9" s="98">
        <f t="shared" ref="O9:O72" si="4">+E9-H9</f>
        <v>0</v>
      </c>
      <c r="P9" s="98">
        <f t="shared" ref="P9:P72" si="5">+F9-I9</f>
        <v>1</v>
      </c>
      <c r="Q9"/>
      <c r="R9" s="98">
        <f t="shared" ref="R9:R72" si="6">+D9-J9</f>
        <v>1</v>
      </c>
      <c r="S9" s="98">
        <f t="shared" ref="S9:S72" si="7">+E9-K9</f>
        <v>0</v>
      </c>
      <c r="T9" s="98">
        <f t="shared" ref="T9:T72" si="8">+F9-L9</f>
        <v>1</v>
      </c>
      <c r="U9"/>
      <c r="V9" s="98">
        <f t="shared" ref="V9:V72" si="9">+G9-J9</f>
        <v>0</v>
      </c>
      <c r="W9" s="98">
        <f t="shared" ref="W9:W72" si="10">+H9-K9</f>
        <v>0</v>
      </c>
      <c r="X9" s="98">
        <f t="shared" ref="X9:X72" si="11">+I9-L9</f>
        <v>0</v>
      </c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</row>
    <row r="10" s="90" customFormat="1" ht="15.75" spans="1:131">
      <c r="A10" s="97"/>
      <c r="B10" s="97"/>
      <c r="C10" s="117" t="s">
        <v>24</v>
      </c>
      <c r="D10" s="98">
        <v>1106</v>
      </c>
      <c r="E10" s="98"/>
      <c r="F10" s="98">
        <v>1106</v>
      </c>
      <c r="G10" s="98">
        <v>1105</v>
      </c>
      <c r="H10" s="98"/>
      <c r="I10" s="98">
        <v>1105</v>
      </c>
      <c r="J10" s="98">
        <v>1105</v>
      </c>
      <c r="K10" s="98"/>
      <c r="L10" s="98">
        <v>1105</v>
      </c>
      <c r="M10"/>
      <c r="N10" s="98">
        <f t="shared" si="3"/>
        <v>1</v>
      </c>
      <c r="O10" s="98">
        <f t="shared" si="4"/>
        <v>0</v>
      </c>
      <c r="P10" s="98">
        <f t="shared" si="5"/>
        <v>1</v>
      </c>
      <c r="Q10"/>
      <c r="R10" s="98">
        <f t="shared" si="6"/>
        <v>1</v>
      </c>
      <c r="S10" s="98">
        <f t="shared" si="7"/>
        <v>0</v>
      </c>
      <c r="T10" s="98">
        <f t="shared" si="8"/>
        <v>1</v>
      </c>
      <c r="U10"/>
      <c r="V10" s="98">
        <f t="shared" si="9"/>
        <v>0</v>
      </c>
      <c r="W10" s="98">
        <f t="shared" si="10"/>
        <v>0</v>
      </c>
      <c r="X10" s="98">
        <f t="shared" si="11"/>
        <v>0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</row>
    <row r="11" spans="1:131">
      <c r="A11" s="97"/>
      <c r="B11" s="97" t="s">
        <v>347</v>
      </c>
      <c r="C11" s="117"/>
      <c r="D11" s="98">
        <v>252396</v>
      </c>
      <c r="E11" s="98"/>
      <c r="F11" s="98">
        <v>252396</v>
      </c>
      <c r="G11" s="98">
        <v>252396</v>
      </c>
      <c r="H11" s="98"/>
      <c r="I11" s="98">
        <v>252396</v>
      </c>
      <c r="J11" s="98">
        <v>252396</v>
      </c>
      <c r="K11" s="98"/>
      <c r="L11" s="98">
        <v>252396</v>
      </c>
      <c r="M11"/>
      <c r="N11" s="98">
        <f t="shared" si="3"/>
        <v>0</v>
      </c>
      <c r="O11" s="98">
        <f t="shared" si="4"/>
        <v>0</v>
      </c>
      <c r="P11" s="98">
        <f t="shared" si="5"/>
        <v>0</v>
      </c>
      <c r="Q11"/>
      <c r="R11" s="98">
        <f t="shared" si="6"/>
        <v>0</v>
      </c>
      <c r="S11" s="98">
        <f t="shared" si="7"/>
        <v>0</v>
      </c>
      <c r="T11" s="98">
        <f t="shared" si="8"/>
        <v>0</v>
      </c>
      <c r="U11"/>
      <c r="V11" s="98">
        <f t="shared" si="9"/>
        <v>0</v>
      </c>
      <c r="W11" s="98">
        <f t="shared" si="10"/>
        <v>0</v>
      </c>
      <c r="X11" s="98">
        <f t="shared" si="11"/>
        <v>0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</row>
    <row r="12" spans="1:131">
      <c r="A12" s="97"/>
      <c r="B12" s="97"/>
      <c r="C12" s="117" t="s">
        <v>80</v>
      </c>
      <c r="D12" s="98">
        <v>1500</v>
      </c>
      <c r="E12" s="98"/>
      <c r="F12" s="98">
        <v>1500</v>
      </c>
      <c r="G12" s="98">
        <v>1500</v>
      </c>
      <c r="H12" s="98"/>
      <c r="I12" s="98">
        <v>1500</v>
      </c>
      <c r="J12" s="98">
        <v>1500</v>
      </c>
      <c r="K12" s="98"/>
      <c r="L12" s="98">
        <v>1500</v>
      </c>
      <c r="M12"/>
      <c r="N12" s="98">
        <f t="shared" si="3"/>
        <v>0</v>
      </c>
      <c r="O12" s="98">
        <f t="shared" si="4"/>
        <v>0</v>
      </c>
      <c r="P12" s="98">
        <f t="shared" si="5"/>
        <v>0</v>
      </c>
      <c r="Q12"/>
      <c r="R12" s="98">
        <f t="shared" si="6"/>
        <v>0</v>
      </c>
      <c r="S12" s="98">
        <f t="shared" si="7"/>
        <v>0</v>
      </c>
      <c r="T12" s="98">
        <f t="shared" si="8"/>
        <v>0</v>
      </c>
      <c r="U12"/>
      <c r="V12" s="98">
        <f t="shared" si="9"/>
        <v>0</v>
      </c>
      <c r="W12" s="98">
        <f t="shared" si="10"/>
        <v>0</v>
      </c>
      <c r="X12" s="98">
        <f t="shared" si="11"/>
        <v>0</v>
      </c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</row>
    <row r="13" spans="1:131">
      <c r="A13" s="97"/>
      <c r="B13" s="97"/>
      <c r="C13" s="117" t="s">
        <v>82</v>
      </c>
      <c r="D13" s="98">
        <v>300</v>
      </c>
      <c r="E13" s="98"/>
      <c r="F13" s="98">
        <v>300</v>
      </c>
      <c r="G13" s="98">
        <v>300</v>
      </c>
      <c r="H13" s="98"/>
      <c r="I13" s="98">
        <v>300</v>
      </c>
      <c r="J13" s="98">
        <v>300</v>
      </c>
      <c r="K13" s="98"/>
      <c r="L13" s="98">
        <v>300</v>
      </c>
      <c r="M13"/>
      <c r="N13" s="98">
        <f t="shared" si="3"/>
        <v>0</v>
      </c>
      <c r="O13" s="98">
        <f t="shared" si="4"/>
        <v>0</v>
      </c>
      <c r="P13" s="98">
        <f t="shared" si="5"/>
        <v>0</v>
      </c>
      <c r="Q13"/>
      <c r="R13" s="98">
        <f t="shared" si="6"/>
        <v>0</v>
      </c>
      <c r="S13" s="98">
        <f t="shared" si="7"/>
        <v>0</v>
      </c>
      <c r="T13" s="98">
        <f t="shared" si="8"/>
        <v>0</v>
      </c>
      <c r="U13"/>
      <c r="V13" s="98">
        <f t="shared" si="9"/>
        <v>0</v>
      </c>
      <c r="W13" s="98">
        <f t="shared" si="10"/>
        <v>0</v>
      </c>
      <c r="X13" s="98">
        <f t="shared" si="11"/>
        <v>0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</row>
    <row r="14" spans="1:131">
      <c r="A14" s="97"/>
      <c r="B14" s="97"/>
      <c r="C14" s="117" t="s">
        <v>84</v>
      </c>
      <c r="D14" s="98">
        <v>250596</v>
      </c>
      <c r="E14" s="98"/>
      <c r="F14" s="98">
        <v>250596</v>
      </c>
      <c r="G14" s="98">
        <v>250596</v>
      </c>
      <c r="H14" s="98"/>
      <c r="I14" s="98">
        <v>250596</v>
      </c>
      <c r="J14" s="98">
        <v>250596</v>
      </c>
      <c r="K14" s="98"/>
      <c r="L14" s="98">
        <v>250596</v>
      </c>
      <c r="M14"/>
      <c r="N14" s="98">
        <f t="shared" si="3"/>
        <v>0</v>
      </c>
      <c r="O14" s="98">
        <f t="shared" si="4"/>
        <v>0</v>
      </c>
      <c r="P14" s="98">
        <f t="shared" si="5"/>
        <v>0</v>
      </c>
      <c r="Q14"/>
      <c r="R14" s="98">
        <f t="shared" si="6"/>
        <v>0</v>
      </c>
      <c r="S14" s="98">
        <f t="shared" si="7"/>
        <v>0</v>
      </c>
      <c r="T14" s="98">
        <f t="shared" si="8"/>
        <v>0</v>
      </c>
      <c r="U14"/>
      <c r="V14" s="98">
        <f t="shared" si="9"/>
        <v>0</v>
      </c>
      <c r="W14" s="98">
        <f t="shared" si="10"/>
        <v>0</v>
      </c>
      <c r="X14" s="98">
        <f t="shared" si="11"/>
        <v>0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</row>
    <row r="15" spans="1:131">
      <c r="A15" s="97"/>
      <c r="B15" s="97" t="s">
        <v>348</v>
      </c>
      <c r="C15" s="117"/>
      <c r="D15" s="98">
        <v>36750</v>
      </c>
      <c r="E15" s="98"/>
      <c r="F15" s="98">
        <v>36750</v>
      </c>
      <c r="G15" s="98">
        <v>36750</v>
      </c>
      <c r="H15" s="98"/>
      <c r="I15" s="98">
        <v>36750</v>
      </c>
      <c r="J15" s="98">
        <v>36750</v>
      </c>
      <c r="K15" s="98"/>
      <c r="L15" s="98">
        <v>36750</v>
      </c>
      <c r="M15"/>
      <c r="N15" s="98">
        <f t="shared" si="3"/>
        <v>0</v>
      </c>
      <c r="O15" s="98">
        <f t="shared" si="4"/>
        <v>0</v>
      </c>
      <c r="P15" s="98">
        <f t="shared" si="5"/>
        <v>0</v>
      </c>
      <c r="Q15"/>
      <c r="R15" s="98">
        <f t="shared" si="6"/>
        <v>0</v>
      </c>
      <c r="S15" s="98">
        <f t="shared" si="7"/>
        <v>0</v>
      </c>
      <c r="T15" s="98">
        <f t="shared" si="8"/>
        <v>0</v>
      </c>
      <c r="U15"/>
      <c r="V15" s="98">
        <f t="shared" si="9"/>
        <v>0</v>
      </c>
      <c r="W15" s="98">
        <f t="shared" si="10"/>
        <v>0</v>
      </c>
      <c r="X15" s="98">
        <f t="shared" si="11"/>
        <v>0</v>
      </c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</row>
    <row r="16" spans="1:131">
      <c r="A16" s="97"/>
      <c r="B16" s="97"/>
      <c r="C16" s="117" t="s">
        <v>26</v>
      </c>
      <c r="D16" s="98">
        <v>12000</v>
      </c>
      <c r="E16" s="98"/>
      <c r="F16" s="98">
        <v>12000</v>
      </c>
      <c r="G16" s="98">
        <v>12000</v>
      </c>
      <c r="H16" s="98"/>
      <c r="I16" s="98">
        <v>12000</v>
      </c>
      <c r="J16" s="98">
        <v>12000</v>
      </c>
      <c r="K16" s="98"/>
      <c r="L16" s="98">
        <v>12000</v>
      </c>
      <c r="M16"/>
      <c r="N16" s="98">
        <f t="shared" si="3"/>
        <v>0</v>
      </c>
      <c r="O16" s="98">
        <f t="shared" si="4"/>
        <v>0</v>
      </c>
      <c r="P16" s="98">
        <f t="shared" si="5"/>
        <v>0</v>
      </c>
      <c r="Q16"/>
      <c r="R16" s="98">
        <f t="shared" si="6"/>
        <v>0</v>
      </c>
      <c r="S16" s="98">
        <f t="shared" si="7"/>
        <v>0</v>
      </c>
      <c r="T16" s="98">
        <f t="shared" si="8"/>
        <v>0</v>
      </c>
      <c r="U16"/>
      <c r="V16" s="98">
        <f t="shared" si="9"/>
        <v>0</v>
      </c>
      <c r="W16" s="98">
        <f t="shared" si="10"/>
        <v>0</v>
      </c>
      <c r="X16" s="98">
        <f t="shared" si="11"/>
        <v>0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</row>
    <row r="17" spans="1:131">
      <c r="A17" s="97"/>
      <c r="B17" s="97"/>
      <c r="C17" s="117" t="s">
        <v>28</v>
      </c>
      <c r="D17" s="98">
        <v>24750</v>
      </c>
      <c r="E17" s="98"/>
      <c r="F17" s="98">
        <v>24750</v>
      </c>
      <c r="G17" s="98">
        <v>24750</v>
      </c>
      <c r="H17" s="98"/>
      <c r="I17" s="98">
        <v>24750</v>
      </c>
      <c r="J17" s="98">
        <v>24750</v>
      </c>
      <c r="K17" s="98"/>
      <c r="L17" s="98">
        <v>24750</v>
      </c>
      <c r="M17"/>
      <c r="N17" s="98">
        <f t="shared" si="3"/>
        <v>0</v>
      </c>
      <c r="O17" s="98">
        <f t="shared" si="4"/>
        <v>0</v>
      </c>
      <c r="P17" s="98">
        <f t="shared" si="5"/>
        <v>0</v>
      </c>
      <c r="Q17"/>
      <c r="R17" s="98">
        <f t="shared" si="6"/>
        <v>0</v>
      </c>
      <c r="S17" s="98">
        <f t="shared" si="7"/>
        <v>0</v>
      </c>
      <c r="T17" s="98">
        <f t="shared" si="8"/>
        <v>0</v>
      </c>
      <c r="U17"/>
      <c r="V17" s="98">
        <f t="shared" si="9"/>
        <v>0</v>
      </c>
      <c r="W17" s="98">
        <f t="shared" si="10"/>
        <v>0</v>
      </c>
      <c r="X17" s="98">
        <f t="shared" si="11"/>
        <v>0</v>
      </c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</row>
    <row r="18" spans="1:131">
      <c r="A18" s="97"/>
      <c r="B18" s="97" t="s">
        <v>349</v>
      </c>
      <c r="C18" s="117"/>
      <c r="D18" s="98">
        <v>12720</v>
      </c>
      <c r="E18" s="98"/>
      <c r="F18" s="98">
        <v>12720</v>
      </c>
      <c r="G18" s="98">
        <v>12720</v>
      </c>
      <c r="H18" s="98"/>
      <c r="I18" s="98">
        <v>12720</v>
      </c>
      <c r="J18" s="98">
        <v>12720</v>
      </c>
      <c r="K18" s="98"/>
      <c r="L18" s="98">
        <v>12720</v>
      </c>
      <c r="M18"/>
      <c r="N18" s="98">
        <f t="shared" si="3"/>
        <v>0</v>
      </c>
      <c r="O18" s="98">
        <f t="shared" si="4"/>
        <v>0</v>
      </c>
      <c r="P18" s="98">
        <f t="shared" si="5"/>
        <v>0</v>
      </c>
      <c r="Q18"/>
      <c r="R18" s="98">
        <f t="shared" si="6"/>
        <v>0</v>
      </c>
      <c r="S18" s="98">
        <f t="shared" si="7"/>
        <v>0</v>
      </c>
      <c r="T18" s="98">
        <f t="shared" si="8"/>
        <v>0</v>
      </c>
      <c r="U18"/>
      <c r="V18" s="98">
        <f t="shared" si="9"/>
        <v>0</v>
      </c>
      <c r="W18" s="98">
        <f t="shared" si="10"/>
        <v>0</v>
      </c>
      <c r="X18" s="98">
        <f t="shared" si="11"/>
        <v>0</v>
      </c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</row>
    <row r="19" spans="1:131">
      <c r="A19" s="97"/>
      <c r="B19" s="97"/>
      <c r="C19" s="117" t="s">
        <v>30</v>
      </c>
      <c r="D19" s="98">
        <v>2720</v>
      </c>
      <c r="E19" s="98"/>
      <c r="F19" s="98">
        <v>2720</v>
      </c>
      <c r="G19" s="98">
        <v>2720</v>
      </c>
      <c r="H19" s="98"/>
      <c r="I19" s="98">
        <v>2720</v>
      </c>
      <c r="J19" s="98">
        <v>2720</v>
      </c>
      <c r="K19" s="98"/>
      <c r="L19" s="98">
        <v>2720</v>
      </c>
      <c r="M19"/>
      <c r="N19" s="98">
        <f t="shared" si="3"/>
        <v>0</v>
      </c>
      <c r="O19" s="98">
        <f t="shared" si="4"/>
        <v>0</v>
      </c>
      <c r="P19" s="98">
        <f t="shared" si="5"/>
        <v>0</v>
      </c>
      <c r="Q19"/>
      <c r="R19" s="98">
        <f t="shared" si="6"/>
        <v>0</v>
      </c>
      <c r="S19" s="98">
        <f t="shared" si="7"/>
        <v>0</v>
      </c>
      <c r="T19" s="98">
        <f t="shared" si="8"/>
        <v>0</v>
      </c>
      <c r="U19"/>
      <c r="V19" s="98">
        <f t="shared" si="9"/>
        <v>0</v>
      </c>
      <c r="W19" s="98">
        <f t="shared" si="10"/>
        <v>0</v>
      </c>
      <c r="X19" s="98">
        <f t="shared" si="11"/>
        <v>0</v>
      </c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</row>
    <row r="20" spans="1:131">
      <c r="A20" s="97"/>
      <c r="B20" s="97"/>
      <c r="C20" s="117" t="s">
        <v>32</v>
      </c>
      <c r="D20" s="98">
        <v>10000</v>
      </c>
      <c r="E20" s="98"/>
      <c r="F20" s="98">
        <v>10000</v>
      </c>
      <c r="G20" s="98">
        <v>10000</v>
      </c>
      <c r="H20" s="98"/>
      <c r="I20" s="98">
        <v>10000</v>
      </c>
      <c r="J20" s="98">
        <v>10000</v>
      </c>
      <c r="K20" s="98"/>
      <c r="L20" s="98">
        <v>10000</v>
      </c>
      <c r="M20"/>
      <c r="N20" s="98">
        <f t="shared" si="3"/>
        <v>0</v>
      </c>
      <c r="O20" s="98">
        <f t="shared" si="4"/>
        <v>0</v>
      </c>
      <c r="P20" s="98">
        <f t="shared" si="5"/>
        <v>0</v>
      </c>
      <c r="Q20"/>
      <c r="R20" s="98">
        <f t="shared" si="6"/>
        <v>0</v>
      </c>
      <c r="S20" s="98">
        <f t="shared" si="7"/>
        <v>0</v>
      </c>
      <c r="T20" s="98">
        <f t="shared" si="8"/>
        <v>0</v>
      </c>
      <c r="U20"/>
      <c r="V20" s="98">
        <f t="shared" si="9"/>
        <v>0</v>
      </c>
      <c r="W20" s="98">
        <f t="shared" si="10"/>
        <v>0</v>
      </c>
      <c r="X20" s="98">
        <f t="shared" si="11"/>
        <v>0</v>
      </c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</row>
    <row r="21" spans="1:131">
      <c r="A21" s="97"/>
      <c r="B21" s="97" t="s">
        <v>350</v>
      </c>
      <c r="C21" s="117"/>
      <c r="D21" s="98">
        <v>445500</v>
      </c>
      <c r="E21" s="98"/>
      <c r="F21" s="98">
        <v>445500</v>
      </c>
      <c r="G21" s="98">
        <v>445500</v>
      </c>
      <c r="H21" s="98"/>
      <c r="I21" s="98">
        <v>445500</v>
      </c>
      <c r="J21" s="98">
        <v>445500</v>
      </c>
      <c r="K21" s="98"/>
      <c r="L21" s="98">
        <v>445500</v>
      </c>
      <c r="M21"/>
      <c r="N21" s="98">
        <f t="shared" si="3"/>
        <v>0</v>
      </c>
      <c r="O21" s="98">
        <f t="shared" si="4"/>
        <v>0</v>
      </c>
      <c r="P21" s="98">
        <f t="shared" si="5"/>
        <v>0</v>
      </c>
      <c r="Q21"/>
      <c r="R21" s="98">
        <f t="shared" si="6"/>
        <v>0</v>
      </c>
      <c r="S21" s="98">
        <f t="shared" si="7"/>
        <v>0</v>
      </c>
      <c r="T21" s="98">
        <f t="shared" si="8"/>
        <v>0</v>
      </c>
      <c r="U21"/>
      <c r="V21" s="98">
        <f t="shared" si="9"/>
        <v>0</v>
      </c>
      <c r="W21" s="98">
        <f t="shared" si="10"/>
        <v>0</v>
      </c>
      <c r="X21" s="98">
        <f t="shared" si="11"/>
        <v>0</v>
      </c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</row>
    <row r="22" spans="1:131">
      <c r="A22" s="97"/>
      <c r="B22" s="97"/>
      <c r="C22" s="117" t="s">
        <v>34</v>
      </c>
      <c r="D22" s="98">
        <v>324000</v>
      </c>
      <c r="E22" s="98"/>
      <c r="F22" s="98">
        <v>324000</v>
      </c>
      <c r="G22" s="98">
        <v>324000</v>
      </c>
      <c r="H22" s="98"/>
      <c r="I22" s="98">
        <v>324000</v>
      </c>
      <c r="J22" s="98">
        <v>324000</v>
      </c>
      <c r="K22" s="98"/>
      <c r="L22" s="98">
        <v>324000</v>
      </c>
      <c r="M22"/>
      <c r="N22" s="98">
        <f t="shared" si="3"/>
        <v>0</v>
      </c>
      <c r="O22" s="98">
        <f t="shared" si="4"/>
        <v>0</v>
      </c>
      <c r="P22" s="98">
        <f t="shared" si="5"/>
        <v>0</v>
      </c>
      <c r="Q22"/>
      <c r="R22" s="98">
        <f t="shared" si="6"/>
        <v>0</v>
      </c>
      <c r="S22" s="98">
        <f t="shared" si="7"/>
        <v>0</v>
      </c>
      <c r="T22" s="98">
        <f t="shared" si="8"/>
        <v>0</v>
      </c>
      <c r="U22"/>
      <c r="V22" s="98">
        <f t="shared" si="9"/>
        <v>0</v>
      </c>
      <c r="W22" s="98">
        <f t="shared" si="10"/>
        <v>0</v>
      </c>
      <c r="X22" s="98">
        <f t="shared" si="11"/>
        <v>0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</row>
    <row r="23" spans="1:131">
      <c r="A23" s="97"/>
      <c r="B23" s="97"/>
      <c r="C23" s="117" t="s">
        <v>36</v>
      </c>
      <c r="D23" s="98">
        <v>121500</v>
      </c>
      <c r="E23" s="98"/>
      <c r="F23" s="98">
        <v>121500</v>
      </c>
      <c r="G23" s="98">
        <v>121500</v>
      </c>
      <c r="H23" s="98"/>
      <c r="I23" s="98">
        <v>121500</v>
      </c>
      <c r="J23" s="98">
        <v>121500</v>
      </c>
      <c r="K23" s="98"/>
      <c r="L23" s="98">
        <v>121500</v>
      </c>
      <c r="M23"/>
      <c r="N23" s="98">
        <f t="shared" si="3"/>
        <v>0</v>
      </c>
      <c r="O23" s="98">
        <f t="shared" si="4"/>
        <v>0</v>
      </c>
      <c r="P23" s="98">
        <f t="shared" si="5"/>
        <v>0</v>
      </c>
      <c r="Q23"/>
      <c r="R23" s="98">
        <f t="shared" si="6"/>
        <v>0</v>
      </c>
      <c r="S23" s="98">
        <f t="shared" si="7"/>
        <v>0</v>
      </c>
      <c r="T23" s="98">
        <f t="shared" si="8"/>
        <v>0</v>
      </c>
      <c r="U23"/>
      <c r="V23" s="98">
        <f t="shared" si="9"/>
        <v>0</v>
      </c>
      <c r="W23" s="98">
        <f t="shared" si="10"/>
        <v>0</v>
      </c>
      <c r="X23" s="98">
        <f t="shared" si="11"/>
        <v>0</v>
      </c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</row>
    <row r="24" spans="1:131">
      <c r="A24" s="97"/>
      <c r="B24" s="97" t="s">
        <v>351</v>
      </c>
      <c r="C24" s="117"/>
      <c r="D24" s="98">
        <v>14250</v>
      </c>
      <c r="E24" s="98"/>
      <c r="F24" s="98">
        <v>14250</v>
      </c>
      <c r="G24" s="98">
        <v>14250</v>
      </c>
      <c r="H24" s="98"/>
      <c r="I24" s="98">
        <v>14250</v>
      </c>
      <c r="J24" s="98">
        <v>14250</v>
      </c>
      <c r="K24" s="98"/>
      <c r="L24" s="98">
        <v>14250</v>
      </c>
      <c r="M24"/>
      <c r="N24" s="98">
        <f t="shared" si="3"/>
        <v>0</v>
      </c>
      <c r="O24" s="98">
        <f t="shared" si="4"/>
        <v>0</v>
      </c>
      <c r="P24" s="98">
        <f t="shared" si="5"/>
        <v>0</v>
      </c>
      <c r="Q24"/>
      <c r="R24" s="98">
        <f t="shared" si="6"/>
        <v>0</v>
      </c>
      <c r="S24" s="98">
        <f t="shared" si="7"/>
        <v>0</v>
      </c>
      <c r="T24" s="98">
        <f t="shared" si="8"/>
        <v>0</v>
      </c>
      <c r="U24"/>
      <c r="V24" s="98">
        <f t="shared" si="9"/>
        <v>0</v>
      </c>
      <c r="W24" s="98">
        <f t="shared" si="10"/>
        <v>0</v>
      </c>
      <c r="X24" s="98">
        <f t="shared" si="11"/>
        <v>0</v>
      </c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</row>
    <row r="25" spans="1:131">
      <c r="A25" s="97"/>
      <c r="B25" s="97"/>
      <c r="C25" s="117" t="s">
        <v>86</v>
      </c>
      <c r="D25" s="98">
        <v>6000</v>
      </c>
      <c r="E25" s="98"/>
      <c r="F25" s="98">
        <v>6000</v>
      </c>
      <c r="G25" s="98">
        <v>6000</v>
      </c>
      <c r="H25" s="98"/>
      <c r="I25" s="98">
        <v>6000</v>
      </c>
      <c r="J25" s="98">
        <v>6000</v>
      </c>
      <c r="K25" s="98"/>
      <c r="L25" s="98">
        <v>6000</v>
      </c>
      <c r="M25"/>
      <c r="N25" s="98">
        <f t="shared" si="3"/>
        <v>0</v>
      </c>
      <c r="O25" s="98">
        <f t="shared" si="4"/>
        <v>0</v>
      </c>
      <c r="P25" s="98">
        <f t="shared" si="5"/>
        <v>0</v>
      </c>
      <c r="Q25"/>
      <c r="R25" s="98">
        <f t="shared" si="6"/>
        <v>0</v>
      </c>
      <c r="S25" s="98">
        <f t="shared" si="7"/>
        <v>0</v>
      </c>
      <c r="T25" s="98">
        <f t="shared" si="8"/>
        <v>0</v>
      </c>
      <c r="U25"/>
      <c r="V25" s="98">
        <f t="shared" si="9"/>
        <v>0</v>
      </c>
      <c r="W25" s="98">
        <f t="shared" si="10"/>
        <v>0</v>
      </c>
      <c r="X25" s="98">
        <f t="shared" si="11"/>
        <v>0</v>
      </c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</row>
    <row r="26" spans="1:131">
      <c r="A26" s="97"/>
      <c r="B26" s="97"/>
      <c r="C26" s="117" t="s">
        <v>88</v>
      </c>
      <c r="D26" s="98">
        <v>1500</v>
      </c>
      <c r="E26" s="98"/>
      <c r="F26" s="98">
        <v>1500</v>
      </c>
      <c r="G26" s="98">
        <v>1500</v>
      </c>
      <c r="H26" s="98"/>
      <c r="I26" s="98">
        <v>1500</v>
      </c>
      <c r="J26" s="98">
        <v>1500</v>
      </c>
      <c r="K26" s="98"/>
      <c r="L26" s="98">
        <v>1500</v>
      </c>
      <c r="M26"/>
      <c r="N26" s="98">
        <f t="shared" si="3"/>
        <v>0</v>
      </c>
      <c r="O26" s="98">
        <f t="shared" si="4"/>
        <v>0</v>
      </c>
      <c r="P26" s="98">
        <f t="shared" si="5"/>
        <v>0</v>
      </c>
      <c r="Q26"/>
      <c r="R26" s="98">
        <f t="shared" si="6"/>
        <v>0</v>
      </c>
      <c r="S26" s="98">
        <f t="shared" si="7"/>
        <v>0</v>
      </c>
      <c r="T26" s="98">
        <f t="shared" si="8"/>
        <v>0</v>
      </c>
      <c r="U26"/>
      <c r="V26" s="98">
        <f t="shared" si="9"/>
        <v>0</v>
      </c>
      <c r="W26" s="98">
        <f t="shared" si="10"/>
        <v>0</v>
      </c>
      <c r="X26" s="98">
        <f t="shared" si="11"/>
        <v>0</v>
      </c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</row>
    <row r="27" spans="1:131">
      <c r="A27" s="97"/>
      <c r="B27" s="97"/>
      <c r="C27" s="117" t="s">
        <v>90</v>
      </c>
      <c r="D27" s="98">
        <v>2750</v>
      </c>
      <c r="E27" s="98"/>
      <c r="F27" s="98">
        <v>2750</v>
      </c>
      <c r="G27" s="98">
        <v>2750</v>
      </c>
      <c r="H27" s="98"/>
      <c r="I27" s="98">
        <v>2750</v>
      </c>
      <c r="J27" s="98">
        <v>2750</v>
      </c>
      <c r="K27" s="98"/>
      <c r="L27" s="98">
        <v>2750</v>
      </c>
      <c r="M27"/>
      <c r="N27" s="98">
        <f t="shared" si="3"/>
        <v>0</v>
      </c>
      <c r="O27" s="98">
        <f t="shared" si="4"/>
        <v>0</v>
      </c>
      <c r="P27" s="98">
        <f t="shared" si="5"/>
        <v>0</v>
      </c>
      <c r="Q27"/>
      <c r="R27" s="98">
        <f t="shared" si="6"/>
        <v>0</v>
      </c>
      <c r="S27" s="98">
        <f t="shared" si="7"/>
        <v>0</v>
      </c>
      <c r="T27" s="98">
        <f t="shared" si="8"/>
        <v>0</v>
      </c>
      <c r="U27"/>
      <c r="V27" s="98">
        <f t="shared" si="9"/>
        <v>0</v>
      </c>
      <c r="W27" s="98">
        <f t="shared" si="10"/>
        <v>0</v>
      </c>
      <c r="X27" s="98">
        <f t="shared" si="11"/>
        <v>0</v>
      </c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>
      <c r="A28" s="97"/>
      <c r="B28" s="97"/>
      <c r="C28" s="117" t="s">
        <v>92</v>
      </c>
      <c r="D28" s="98">
        <v>4000</v>
      </c>
      <c r="E28" s="98"/>
      <c r="F28" s="98">
        <v>4000</v>
      </c>
      <c r="G28" s="98">
        <v>4000</v>
      </c>
      <c r="H28" s="98"/>
      <c r="I28" s="98">
        <v>4000</v>
      </c>
      <c r="J28" s="98">
        <v>4000</v>
      </c>
      <c r="K28" s="98"/>
      <c r="L28" s="98">
        <v>4000</v>
      </c>
      <c r="M28"/>
      <c r="N28" s="98">
        <f t="shared" si="3"/>
        <v>0</v>
      </c>
      <c r="O28" s="98">
        <f t="shared" si="4"/>
        <v>0</v>
      </c>
      <c r="P28" s="98">
        <f t="shared" si="5"/>
        <v>0</v>
      </c>
      <c r="Q28"/>
      <c r="R28" s="98">
        <f t="shared" si="6"/>
        <v>0</v>
      </c>
      <c r="S28" s="98">
        <f t="shared" si="7"/>
        <v>0</v>
      </c>
      <c r="T28" s="98">
        <f t="shared" si="8"/>
        <v>0</v>
      </c>
      <c r="U28"/>
      <c r="V28" s="98">
        <f t="shared" si="9"/>
        <v>0</v>
      </c>
      <c r="W28" s="98">
        <f t="shared" si="10"/>
        <v>0</v>
      </c>
      <c r="X28" s="98">
        <f t="shared" si="11"/>
        <v>0</v>
      </c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</row>
    <row r="29" spans="1:131">
      <c r="A29" s="97"/>
      <c r="B29" s="97" t="s">
        <v>352</v>
      </c>
      <c r="C29" s="117"/>
      <c r="D29" s="98">
        <v>11166</v>
      </c>
      <c r="E29" s="98"/>
      <c r="F29" s="98">
        <v>11166</v>
      </c>
      <c r="G29" s="98">
        <v>11166</v>
      </c>
      <c r="H29" s="98"/>
      <c r="I29" s="98">
        <v>11166</v>
      </c>
      <c r="J29" s="98">
        <v>11166</v>
      </c>
      <c r="K29" s="98"/>
      <c r="L29" s="98">
        <v>11166</v>
      </c>
      <c r="M29"/>
      <c r="N29" s="98">
        <f t="shared" si="3"/>
        <v>0</v>
      </c>
      <c r="O29" s="98">
        <f t="shared" si="4"/>
        <v>0</v>
      </c>
      <c r="P29" s="98">
        <f t="shared" si="5"/>
        <v>0</v>
      </c>
      <c r="Q29"/>
      <c r="R29" s="98">
        <f t="shared" si="6"/>
        <v>0</v>
      </c>
      <c r="S29" s="98">
        <f t="shared" si="7"/>
        <v>0</v>
      </c>
      <c r="T29" s="98">
        <f t="shared" si="8"/>
        <v>0</v>
      </c>
      <c r="U29"/>
      <c r="V29" s="98">
        <f t="shared" si="9"/>
        <v>0</v>
      </c>
      <c r="W29" s="98">
        <f t="shared" si="10"/>
        <v>0</v>
      </c>
      <c r="X29" s="98">
        <f t="shared" si="11"/>
        <v>0</v>
      </c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</row>
    <row r="30" spans="1:24">
      <c r="A30" s="97"/>
      <c r="B30" s="97"/>
      <c r="C30" s="117" t="s">
        <v>38</v>
      </c>
      <c r="D30" s="98">
        <v>975</v>
      </c>
      <c r="E30" s="98"/>
      <c r="F30" s="98">
        <v>975</v>
      </c>
      <c r="G30" s="98">
        <v>975</v>
      </c>
      <c r="H30" s="98"/>
      <c r="I30" s="98">
        <v>975</v>
      </c>
      <c r="J30" s="98">
        <v>975</v>
      </c>
      <c r="K30" s="98"/>
      <c r="L30" s="98">
        <v>975</v>
      </c>
      <c r="N30" s="98">
        <f t="shared" si="3"/>
        <v>0</v>
      </c>
      <c r="O30" s="98">
        <f t="shared" si="4"/>
        <v>0</v>
      </c>
      <c r="P30" s="98">
        <f t="shared" si="5"/>
        <v>0</v>
      </c>
      <c r="Q30"/>
      <c r="R30" s="98">
        <f t="shared" si="6"/>
        <v>0</v>
      </c>
      <c r="S30" s="98">
        <f t="shared" si="7"/>
        <v>0</v>
      </c>
      <c r="T30" s="98">
        <f t="shared" si="8"/>
        <v>0</v>
      </c>
      <c r="U30"/>
      <c r="V30" s="98">
        <f t="shared" si="9"/>
        <v>0</v>
      </c>
      <c r="W30" s="98">
        <f t="shared" si="10"/>
        <v>0</v>
      </c>
      <c r="X30" s="98">
        <f t="shared" si="11"/>
        <v>0</v>
      </c>
    </row>
    <row r="31" spans="1:24">
      <c r="A31" s="97"/>
      <c r="B31" s="97"/>
      <c r="C31" s="117" t="s">
        <v>40</v>
      </c>
      <c r="D31" s="98">
        <v>7500</v>
      </c>
      <c r="E31" s="98"/>
      <c r="F31" s="98">
        <v>7500</v>
      </c>
      <c r="G31" s="98">
        <v>7500</v>
      </c>
      <c r="H31" s="98"/>
      <c r="I31" s="98">
        <v>7500</v>
      </c>
      <c r="J31" s="98">
        <v>7500</v>
      </c>
      <c r="K31" s="98"/>
      <c r="L31" s="98">
        <v>7500</v>
      </c>
      <c r="N31" s="98">
        <f t="shared" si="3"/>
        <v>0</v>
      </c>
      <c r="O31" s="98">
        <f t="shared" si="4"/>
        <v>0</v>
      </c>
      <c r="P31" s="98">
        <f t="shared" si="5"/>
        <v>0</v>
      </c>
      <c r="Q31"/>
      <c r="R31" s="98">
        <f t="shared" si="6"/>
        <v>0</v>
      </c>
      <c r="S31" s="98">
        <f t="shared" si="7"/>
        <v>0</v>
      </c>
      <c r="T31" s="98">
        <f t="shared" si="8"/>
        <v>0</v>
      </c>
      <c r="U31"/>
      <c r="V31" s="98">
        <f t="shared" si="9"/>
        <v>0</v>
      </c>
      <c r="W31" s="98">
        <f t="shared" si="10"/>
        <v>0</v>
      </c>
      <c r="X31" s="98">
        <f t="shared" si="11"/>
        <v>0</v>
      </c>
    </row>
    <row r="32" spans="1:24">
      <c r="A32" s="97"/>
      <c r="B32" s="97"/>
      <c r="C32" s="117" t="s">
        <v>42</v>
      </c>
      <c r="D32" s="98">
        <v>2691</v>
      </c>
      <c r="E32" s="98"/>
      <c r="F32" s="98">
        <v>2691</v>
      </c>
      <c r="G32" s="98">
        <v>2691</v>
      </c>
      <c r="H32" s="98"/>
      <c r="I32" s="98">
        <v>2691</v>
      </c>
      <c r="J32" s="98">
        <v>2691</v>
      </c>
      <c r="K32" s="98"/>
      <c r="L32" s="98">
        <v>2691</v>
      </c>
      <c r="N32" s="98">
        <f t="shared" si="3"/>
        <v>0</v>
      </c>
      <c r="O32" s="98">
        <f t="shared" si="4"/>
        <v>0</v>
      </c>
      <c r="P32" s="98">
        <f t="shared" si="5"/>
        <v>0</v>
      </c>
      <c r="Q32"/>
      <c r="R32" s="98">
        <f t="shared" si="6"/>
        <v>0</v>
      </c>
      <c r="S32" s="98">
        <f t="shared" si="7"/>
        <v>0</v>
      </c>
      <c r="T32" s="98">
        <f t="shared" si="8"/>
        <v>0</v>
      </c>
      <c r="U32"/>
      <c r="V32" s="98">
        <f t="shared" si="9"/>
        <v>0</v>
      </c>
      <c r="W32" s="98">
        <f t="shared" si="10"/>
        <v>0</v>
      </c>
      <c r="X32" s="98">
        <f t="shared" si="11"/>
        <v>0</v>
      </c>
    </row>
    <row r="33" spans="1:24">
      <c r="A33" s="97"/>
      <c r="B33" s="97" t="s">
        <v>353</v>
      </c>
      <c r="C33" s="117"/>
      <c r="D33" s="98">
        <v>6250</v>
      </c>
      <c r="E33" s="98"/>
      <c r="F33" s="98">
        <v>6250</v>
      </c>
      <c r="G33" s="98">
        <v>6250</v>
      </c>
      <c r="H33" s="98"/>
      <c r="I33" s="98">
        <v>6250</v>
      </c>
      <c r="J33" s="98">
        <v>6250</v>
      </c>
      <c r="K33" s="98"/>
      <c r="L33" s="98">
        <v>6250</v>
      </c>
      <c r="N33" s="98">
        <f t="shared" si="3"/>
        <v>0</v>
      </c>
      <c r="O33" s="98">
        <f t="shared" si="4"/>
        <v>0</v>
      </c>
      <c r="P33" s="98">
        <f t="shared" si="5"/>
        <v>0</v>
      </c>
      <c r="Q33"/>
      <c r="R33" s="98">
        <f t="shared" si="6"/>
        <v>0</v>
      </c>
      <c r="S33" s="98">
        <f t="shared" si="7"/>
        <v>0</v>
      </c>
      <c r="T33" s="98">
        <f t="shared" si="8"/>
        <v>0</v>
      </c>
      <c r="U33"/>
      <c r="V33" s="98">
        <f t="shared" si="9"/>
        <v>0</v>
      </c>
      <c r="W33" s="98">
        <f t="shared" si="10"/>
        <v>0</v>
      </c>
      <c r="X33" s="98">
        <f t="shared" si="11"/>
        <v>0</v>
      </c>
    </row>
    <row r="34" spans="1:24">
      <c r="A34" s="97"/>
      <c r="B34" s="97"/>
      <c r="C34" s="117" t="s">
        <v>55</v>
      </c>
      <c r="D34" s="98">
        <v>1750</v>
      </c>
      <c r="E34" s="98"/>
      <c r="F34" s="98">
        <v>1750</v>
      </c>
      <c r="G34" s="98">
        <v>1750</v>
      </c>
      <c r="H34" s="98"/>
      <c r="I34" s="98">
        <v>1750</v>
      </c>
      <c r="J34" s="98">
        <v>1750</v>
      </c>
      <c r="K34" s="98"/>
      <c r="L34" s="98">
        <v>1750</v>
      </c>
      <c r="N34" s="98">
        <f t="shared" si="3"/>
        <v>0</v>
      </c>
      <c r="O34" s="98">
        <f t="shared" si="4"/>
        <v>0</v>
      </c>
      <c r="P34" s="98">
        <f t="shared" si="5"/>
        <v>0</v>
      </c>
      <c r="Q34"/>
      <c r="R34" s="98">
        <f t="shared" si="6"/>
        <v>0</v>
      </c>
      <c r="S34" s="98">
        <f t="shared" si="7"/>
        <v>0</v>
      </c>
      <c r="T34" s="98">
        <f t="shared" si="8"/>
        <v>0</v>
      </c>
      <c r="U34"/>
      <c r="V34" s="98">
        <f t="shared" si="9"/>
        <v>0</v>
      </c>
      <c r="W34" s="98">
        <f t="shared" si="10"/>
        <v>0</v>
      </c>
      <c r="X34" s="98">
        <f t="shared" si="11"/>
        <v>0</v>
      </c>
    </row>
    <row r="35" spans="1:24">
      <c r="A35" s="97"/>
      <c r="B35" s="97"/>
      <c r="C35" s="117" t="s">
        <v>57</v>
      </c>
      <c r="D35" s="98">
        <v>4500</v>
      </c>
      <c r="E35" s="98"/>
      <c r="F35" s="98">
        <v>4500</v>
      </c>
      <c r="G35" s="98">
        <v>4500</v>
      </c>
      <c r="H35" s="98"/>
      <c r="I35" s="98">
        <v>4500</v>
      </c>
      <c r="J35" s="98">
        <v>4500</v>
      </c>
      <c r="K35" s="98"/>
      <c r="L35" s="98">
        <v>4500</v>
      </c>
      <c r="N35" s="98">
        <f t="shared" si="3"/>
        <v>0</v>
      </c>
      <c r="O35" s="98">
        <f t="shared" si="4"/>
        <v>0</v>
      </c>
      <c r="P35" s="98">
        <f t="shared" si="5"/>
        <v>0</v>
      </c>
      <c r="Q35"/>
      <c r="R35" s="98">
        <f t="shared" si="6"/>
        <v>0</v>
      </c>
      <c r="S35" s="98">
        <f t="shared" si="7"/>
        <v>0</v>
      </c>
      <c r="T35" s="98">
        <f t="shared" si="8"/>
        <v>0</v>
      </c>
      <c r="U35"/>
      <c r="V35" s="98">
        <f t="shared" si="9"/>
        <v>0</v>
      </c>
      <c r="W35" s="98">
        <f t="shared" si="10"/>
        <v>0</v>
      </c>
      <c r="X35" s="98">
        <f t="shared" si="11"/>
        <v>0</v>
      </c>
    </row>
    <row r="36" spans="1:24">
      <c r="A36" s="97"/>
      <c r="B36" s="97" t="s">
        <v>354</v>
      </c>
      <c r="C36" s="117"/>
      <c r="D36" s="98">
        <v>162</v>
      </c>
      <c r="E36" s="98"/>
      <c r="F36" s="98">
        <v>162</v>
      </c>
      <c r="G36" s="98">
        <v>163</v>
      </c>
      <c r="H36" s="98"/>
      <c r="I36" s="98">
        <v>163</v>
      </c>
      <c r="J36" s="98">
        <v>163</v>
      </c>
      <c r="K36" s="98"/>
      <c r="L36" s="98">
        <v>163</v>
      </c>
      <c r="N36" s="98">
        <f t="shared" si="3"/>
        <v>-1</v>
      </c>
      <c r="O36" s="98">
        <f t="shared" si="4"/>
        <v>0</v>
      </c>
      <c r="P36" s="98">
        <f t="shared" si="5"/>
        <v>-1</v>
      </c>
      <c r="Q36"/>
      <c r="R36" s="98">
        <f t="shared" si="6"/>
        <v>-1</v>
      </c>
      <c r="S36" s="98">
        <f t="shared" si="7"/>
        <v>0</v>
      </c>
      <c r="T36" s="98">
        <f t="shared" si="8"/>
        <v>-1</v>
      </c>
      <c r="U36"/>
      <c r="V36" s="98">
        <f t="shared" si="9"/>
        <v>0</v>
      </c>
      <c r="W36" s="98">
        <f t="shared" si="10"/>
        <v>0</v>
      </c>
      <c r="X36" s="98">
        <f t="shared" si="11"/>
        <v>0</v>
      </c>
    </row>
    <row r="37" spans="1:24">
      <c r="A37" s="97"/>
      <c r="B37" s="97"/>
      <c r="C37" s="117" t="s">
        <v>59</v>
      </c>
      <c r="D37" s="98">
        <v>50</v>
      </c>
      <c r="E37" s="98"/>
      <c r="F37" s="98">
        <v>50</v>
      </c>
      <c r="G37" s="98">
        <v>50</v>
      </c>
      <c r="H37" s="98"/>
      <c r="I37" s="98">
        <v>50</v>
      </c>
      <c r="J37" s="98">
        <v>50</v>
      </c>
      <c r="K37" s="98"/>
      <c r="L37" s="98">
        <v>50</v>
      </c>
      <c r="N37" s="98">
        <f t="shared" si="3"/>
        <v>0</v>
      </c>
      <c r="O37" s="98">
        <f t="shared" si="4"/>
        <v>0</v>
      </c>
      <c r="P37" s="98">
        <f t="shared" si="5"/>
        <v>0</v>
      </c>
      <c r="Q37"/>
      <c r="R37" s="98">
        <f t="shared" si="6"/>
        <v>0</v>
      </c>
      <c r="S37" s="98">
        <f t="shared" si="7"/>
        <v>0</v>
      </c>
      <c r="T37" s="98">
        <f t="shared" si="8"/>
        <v>0</v>
      </c>
      <c r="U37"/>
      <c r="V37" s="98">
        <f t="shared" si="9"/>
        <v>0</v>
      </c>
      <c r="W37" s="98">
        <f t="shared" si="10"/>
        <v>0</v>
      </c>
      <c r="X37" s="98">
        <f t="shared" si="11"/>
        <v>0</v>
      </c>
    </row>
    <row r="38" spans="1:24">
      <c r="A38" s="97"/>
      <c r="B38" s="97"/>
      <c r="C38" s="117" t="s">
        <v>61</v>
      </c>
      <c r="D38" s="98">
        <v>112</v>
      </c>
      <c r="E38" s="98"/>
      <c r="F38" s="98">
        <v>112</v>
      </c>
      <c r="G38" s="98">
        <v>113</v>
      </c>
      <c r="H38" s="98"/>
      <c r="I38" s="98">
        <v>113</v>
      </c>
      <c r="J38" s="98">
        <v>113</v>
      </c>
      <c r="K38" s="98"/>
      <c r="L38" s="98">
        <v>113</v>
      </c>
      <c r="N38" s="98">
        <f t="shared" si="3"/>
        <v>-1</v>
      </c>
      <c r="O38" s="98">
        <f t="shared" si="4"/>
        <v>0</v>
      </c>
      <c r="P38" s="98">
        <f t="shared" si="5"/>
        <v>-1</v>
      </c>
      <c r="Q38"/>
      <c r="R38" s="98">
        <f t="shared" si="6"/>
        <v>-1</v>
      </c>
      <c r="S38" s="98">
        <f t="shared" si="7"/>
        <v>0</v>
      </c>
      <c r="T38" s="98">
        <f t="shared" si="8"/>
        <v>-1</v>
      </c>
      <c r="U38"/>
      <c r="V38" s="98">
        <f t="shared" si="9"/>
        <v>0</v>
      </c>
      <c r="W38" s="98">
        <f t="shared" si="10"/>
        <v>0</v>
      </c>
      <c r="X38" s="98">
        <f t="shared" si="11"/>
        <v>0</v>
      </c>
    </row>
    <row r="39" spans="1:24">
      <c r="A39" s="97"/>
      <c r="B39" s="97" t="s">
        <v>355</v>
      </c>
      <c r="C39" s="117"/>
      <c r="D39" s="98"/>
      <c r="E39" s="98">
        <v>8140</v>
      </c>
      <c r="F39" s="98">
        <v>8140</v>
      </c>
      <c r="G39" s="98"/>
      <c r="H39" s="98">
        <v>8140</v>
      </c>
      <c r="I39" s="98">
        <v>8140</v>
      </c>
      <c r="J39" s="98"/>
      <c r="K39" s="98">
        <v>8140</v>
      </c>
      <c r="L39" s="98">
        <v>8140</v>
      </c>
      <c r="N39" s="98">
        <f t="shared" si="3"/>
        <v>0</v>
      </c>
      <c r="O39" s="98">
        <f t="shared" si="4"/>
        <v>0</v>
      </c>
      <c r="P39" s="98">
        <f t="shared" si="5"/>
        <v>0</v>
      </c>
      <c r="Q39"/>
      <c r="R39" s="98">
        <f t="shared" si="6"/>
        <v>0</v>
      </c>
      <c r="S39" s="98">
        <f t="shared" si="7"/>
        <v>0</v>
      </c>
      <c r="T39" s="98">
        <f t="shared" si="8"/>
        <v>0</v>
      </c>
      <c r="U39"/>
      <c r="V39" s="98">
        <f t="shared" si="9"/>
        <v>0</v>
      </c>
      <c r="W39" s="98">
        <f t="shared" si="10"/>
        <v>0</v>
      </c>
      <c r="X39" s="98">
        <f t="shared" si="11"/>
        <v>0</v>
      </c>
    </row>
    <row r="40" spans="1:24">
      <c r="A40" s="97"/>
      <c r="B40" s="97"/>
      <c r="C40" s="117" t="s">
        <v>94</v>
      </c>
      <c r="D40" s="98"/>
      <c r="E40" s="98">
        <v>1200</v>
      </c>
      <c r="F40" s="98">
        <v>1200</v>
      </c>
      <c r="G40" s="98"/>
      <c r="H40" s="98">
        <v>1200</v>
      </c>
      <c r="I40" s="98">
        <v>1200</v>
      </c>
      <c r="J40" s="98"/>
      <c r="K40" s="98">
        <v>1200</v>
      </c>
      <c r="L40" s="98">
        <v>1200</v>
      </c>
      <c r="N40" s="98">
        <f t="shared" si="3"/>
        <v>0</v>
      </c>
      <c r="O40" s="98">
        <f t="shared" si="4"/>
        <v>0</v>
      </c>
      <c r="P40" s="98">
        <f t="shared" si="5"/>
        <v>0</v>
      </c>
      <c r="Q40"/>
      <c r="R40" s="98">
        <f t="shared" si="6"/>
        <v>0</v>
      </c>
      <c r="S40" s="98">
        <f t="shared" si="7"/>
        <v>0</v>
      </c>
      <c r="T40" s="98">
        <f t="shared" si="8"/>
        <v>0</v>
      </c>
      <c r="U40"/>
      <c r="V40" s="98">
        <f t="shared" si="9"/>
        <v>0</v>
      </c>
      <c r="W40" s="98">
        <f t="shared" si="10"/>
        <v>0</v>
      </c>
      <c r="X40" s="98">
        <f t="shared" si="11"/>
        <v>0</v>
      </c>
    </row>
    <row r="41" spans="1:24">
      <c r="A41" s="97"/>
      <c r="B41" s="97"/>
      <c r="C41" s="117" t="s">
        <v>96</v>
      </c>
      <c r="D41" s="98"/>
      <c r="E41" s="98">
        <v>240</v>
      </c>
      <c r="F41" s="98">
        <v>240</v>
      </c>
      <c r="G41" s="98"/>
      <c r="H41" s="98">
        <v>240</v>
      </c>
      <c r="I41" s="98">
        <v>240</v>
      </c>
      <c r="J41" s="98"/>
      <c r="K41" s="98">
        <v>240</v>
      </c>
      <c r="L41" s="98">
        <v>240</v>
      </c>
      <c r="N41" s="98">
        <f t="shared" si="3"/>
        <v>0</v>
      </c>
      <c r="O41" s="98">
        <f t="shared" si="4"/>
        <v>0</v>
      </c>
      <c r="P41" s="98">
        <f t="shared" si="5"/>
        <v>0</v>
      </c>
      <c r="Q41"/>
      <c r="R41" s="98">
        <f t="shared" si="6"/>
        <v>0</v>
      </c>
      <c r="S41" s="98">
        <f t="shared" si="7"/>
        <v>0</v>
      </c>
      <c r="T41" s="98">
        <f t="shared" si="8"/>
        <v>0</v>
      </c>
      <c r="U41"/>
      <c r="V41" s="98">
        <f t="shared" si="9"/>
        <v>0</v>
      </c>
      <c r="W41" s="98">
        <f t="shared" si="10"/>
        <v>0</v>
      </c>
      <c r="X41" s="98">
        <f t="shared" si="11"/>
        <v>0</v>
      </c>
    </row>
    <row r="42" spans="1:24">
      <c r="A42" s="97"/>
      <c r="B42" s="97"/>
      <c r="C42" s="117" t="s">
        <v>98</v>
      </c>
      <c r="D42" s="98"/>
      <c r="E42" s="98">
        <v>1200</v>
      </c>
      <c r="F42" s="98">
        <v>1200</v>
      </c>
      <c r="G42" s="98"/>
      <c r="H42" s="98">
        <v>1200</v>
      </c>
      <c r="I42" s="98">
        <v>1200</v>
      </c>
      <c r="J42" s="98"/>
      <c r="K42" s="98">
        <v>1200</v>
      </c>
      <c r="L42" s="98">
        <v>1200</v>
      </c>
      <c r="N42" s="98">
        <f t="shared" si="3"/>
        <v>0</v>
      </c>
      <c r="O42" s="98">
        <f t="shared" si="4"/>
        <v>0</v>
      </c>
      <c r="P42" s="98">
        <f t="shared" si="5"/>
        <v>0</v>
      </c>
      <c r="Q42"/>
      <c r="R42" s="98">
        <f t="shared" si="6"/>
        <v>0</v>
      </c>
      <c r="S42" s="98">
        <f t="shared" si="7"/>
        <v>0</v>
      </c>
      <c r="T42" s="98">
        <f t="shared" si="8"/>
        <v>0</v>
      </c>
      <c r="U42"/>
      <c r="V42" s="98">
        <f t="shared" si="9"/>
        <v>0</v>
      </c>
      <c r="W42" s="98">
        <f t="shared" si="10"/>
        <v>0</v>
      </c>
      <c r="X42" s="98">
        <f t="shared" si="11"/>
        <v>0</v>
      </c>
    </row>
    <row r="43" spans="1:24">
      <c r="A43" s="97"/>
      <c r="B43" s="97"/>
      <c r="C43" s="117" t="s">
        <v>100</v>
      </c>
      <c r="D43" s="98"/>
      <c r="E43" s="98">
        <v>300</v>
      </c>
      <c r="F43" s="98">
        <v>300</v>
      </c>
      <c r="G43" s="98"/>
      <c r="H43" s="98">
        <v>300</v>
      </c>
      <c r="I43" s="98">
        <v>300</v>
      </c>
      <c r="J43" s="98"/>
      <c r="K43" s="98">
        <v>300</v>
      </c>
      <c r="L43" s="98">
        <v>300</v>
      </c>
      <c r="N43" s="98">
        <f t="shared" si="3"/>
        <v>0</v>
      </c>
      <c r="O43" s="98">
        <f t="shared" si="4"/>
        <v>0</v>
      </c>
      <c r="P43" s="98">
        <f t="shared" si="5"/>
        <v>0</v>
      </c>
      <c r="Q43"/>
      <c r="R43" s="98">
        <f t="shared" si="6"/>
        <v>0</v>
      </c>
      <c r="S43" s="98">
        <f t="shared" si="7"/>
        <v>0</v>
      </c>
      <c r="T43" s="98">
        <f t="shared" si="8"/>
        <v>0</v>
      </c>
      <c r="U43"/>
      <c r="V43" s="98">
        <f t="shared" si="9"/>
        <v>0</v>
      </c>
      <c r="W43" s="98">
        <f t="shared" si="10"/>
        <v>0</v>
      </c>
      <c r="X43" s="98">
        <f t="shared" si="11"/>
        <v>0</v>
      </c>
    </row>
    <row r="44" spans="1:24">
      <c r="A44" s="97"/>
      <c r="B44" s="97"/>
      <c r="C44" s="117" t="s">
        <v>102</v>
      </c>
      <c r="D44" s="98"/>
      <c r="E44" s="98">
        <v>2100</v>
      </c>
      <c r="F44" s="98">
        <v>2100</v>
      </c>
      <c r="G44" s="98"/>
      <c r="H44" s="98">
        <v>2100</v>
      </c>
      <c r="I44" s="98">
        <v>2100</v>
      </c>
      <c r="J44" s="98"/>
      <c r="K44" s="98">
        <v>2100</v>
      </c>
      <c r="L44" s="98">
        <v>2100</v>
      </c>
      <c r="N44" s="98">
        <f t="shared" si="3"/>
        <v>0</v>
      </c>
      <c r="O44" s="98">
        <f t="shared" si="4"/>
        <v>0</v>
      </c>
      <c r="P44" s="98">
        <f t="shared" si="5"/>
        <v>0</v>
      </c>
      <c r="Q44"/>
      <c r="R44" s="98">
        <f t="shared" si="6"/>
        <v>0</v>
      </c>
      <c r="S44" s="98">
        <f t="shared" si="7"/>
        <v>0</v>
      </c>
      <c r="T44" s="98">
        <f t="shared" si="8"/>
        <v>0</v>
      </c>
      <c r="U44"/>
      <c r="V44" s="98">
        <f t="shared" si="9"/>
        <v>0</v>
      </c>
      <c r="W44" s="98">
        <f t="shared" si="10"/>
        <v>0</v>
      </c>
      <c r="X44" s="98">
        <f t="shared" si="11"/>
        <v>0</v>
      </c>
    </row>
    <row r="45" spans="1:24">
      <c r="A45" s="97"/>
      <c r="B45" s="97"/>
      <c r="C45" s="117" t="s">
        <v>104</v>
      </c>
      <c r="D45" s="98"/>
      <c r="E45" s="98">
        <v>3100</v>
      </c>
      <c r="F45" s="98">
        <v>3100</v>
      </c>
      <c r="G45" s="98"/>
      <c r="H45" s="98">
        <v>3100</v>
      </c>
      <c r="I45" s="98">
        <v>3100</v>
      </c>
      <c r="J45" s="98"/>
      <c r="K45" s="98">
        <v>3100</v>
      </c>
      <c r="L45" s="98">
        <v>3100</v>
      </c>
      <c r="N45" s="98">
        <f t="shared" si="3"/>
        <v>0</v>
      </c>
      <c r="O45" s="98">
        <f t="shared" si="4"/>
        <v>0</v>
      </c>
      <c r="P45" s="98">
        <f t="shared" si="5"/>
        <v>0</v>
      </c>
      <c r="Q45"/>
      <c r="R45" s="98">
        <f t="shared" si="6"/>
        <v>0</v>
      </c>
      <c r="S45" s="98">
        <f t="shared" si="7"/>
        <v>0</v>
      </c>
      <c r="T45" s="98">
        <f t="shared" si="8"/>
        <v>0</v>
      </c>
      <c r="U45"/>
      <c r="V45" s="98">
        <f t="shared" si="9"/>
        <v>0</v>
      </c>
      <c r="W45" s="98">
        <f t="shared" si="10"/>
        <v>0</v>
      </c>
      <c r="X45" s="98">
        <f t="shared" si="11"/>
        <v>0</v>
      </c>
    </row>
    <row r="46" spans="1:24">
      <c r="A46" s="97" t="s">
        <v>105</v>
      </c>
      <c r="B46" s="97"/>
      <c r="C46" s="117"/>
      <c r="D46" s="98">
        <v>17156</v>
      </c>
      <c r="E46" s="98"/>
      <c r="F46" s="98">
        <v>17156</v>
      </c>
      <c r="G46" s="98">
        <v>17156</v>
      </c>
      <c r="H46" s="98"/>
      <c r="I46" s="98">
        <v>17156</v>
      </c>
      <c r="J46" s="98">
        <v>17156</v>
      </c>
      <c r="K46" s="98"/>
      <c r="L46" s="98">
        <v>17156</v>
      </c>
      <c r="N46" s="98">
        <f t="shared" si="3"/>
        <v>0</v>
      </c>
      <c r="O46" s="98">
        <f t="shared" si="4"/>
        <v>0</v>
      </c>
      <c r="P46" s="98">
        <f t="shared" si="5"/>
        <v>0</v>
      </c>
      <c r="Q46"/>
      <c r="R46" s="98">
        <f t="shared" si="6"/>
        <v>0</v>
      </c>
      <c r="S46" s="98">
        <f t="shared" si="7"/>
        <v>0</v>
      </c>
      <c r="T46" s="98">
        <f t="shared" si="8"/>
        <v>0</v>
      </c>
      <c r="U46"/>
      <c r="V46" s="98">
        <f t="shared" si="9"/>
        <v>0</v>
      </c>
      <c r="W46" s="98">
        <f t="shared" si="10"/>
        <v>0</v>
      </c>
      <c r="X46" s="98">
        <f t="shared" si="11"/>
        <v>0</v>
      </c>
    </row>
    <row r="47" spans="1:24">
      <c r="A47" s="97"/>
      <c r="B47" s="97" t="s">
        <v>356</v>
      </c>
      <c r="C47" s="117"/>
      <c r="D47" s="98">
        <v>4260</v>
      </c>
      <c r="E47" s="98"/>
      <c r="F47" s="98">
        <v>4260</v>
      </c>
      <c r="G47" s="98">
        <v>4260</v>
      </c>
      <c r="H47" s="98"/>
      <c r="I47" s="98">
        <v>4260</v>
      </c>
      <c r="J47" s="98">
        <v>4260</v>
      </c>
      <c r="K47" s="98"/>
      <c r="L47" s="98">
        <v>4260</v>
      </c>
      <c r="N47" s="98">
        <f t="shared" si="3"/>
        <v>0</v>
      </c>
      <c r="O47" s="98">
        <f t="shared" si="4"/>
        <v>0</v>
      </c>
      <c r="P47" s="98">
        <f t="shared" si="5"/>
        <v>0</v>
      </c>
      <c r="Q47"/>
      <c r="R47" s="98">
        <f t="shared" si="6"/>
        <v>0</v>
      </c>
      <c r="S47" s="98">
        <f t="shared" si="7"/>
        <v>0</v>
      </c>
      <c r="T47" s="98">
        <f t="shared" si="8"/>
        <v>0</v>
      </c>
      <c r="U47"/>
      <c r="V47" s="98">
        <f t="shared" si="9"/>
        <v>0</v>
      </c>
      <c r="W47" s="98">
        <f t="shared" si="10"/>
        <v>0</v>
      </c>
      <c r="X47" s="98">
        <f t="shared" si="11"/>
        <v>0</v>
      </c>
    </row>
    <row r="48" spans="1:24">
      <c r="A48" s="97"/>
      <c r="B48" s="97"/>
      <c r="C48" s="117" t="s">
        <v>128</v>
      </c>
      <c r="D48" s="98">
        <v>3000</v>
      </c>
      <c r="E48" s="98"/>
      <c r="F48" s="98">
        <v>3000</v>
      </c>
      <c r="G48" s="98">
        <v>3000</v>
      </c>
      <c r="H48" s="98"/>
      <c r="I48" s="98">
        <v>3000</v>
      </c>
      <c r="J48" s="98">
        <v>3000</v>
      </c>
      <c r="K48" s="98"/>
      <c r="L48" s="98">
        <v>3000</v>
      </c>
      <c r="N48" s="98">
        <f t="shared" si="3"/>
        <v>0</v>
      </c>
      <c r="O48" s="98">
        <f t="shared" si="4"/>
        <v>0</v>
      </c>
      <c r="P48" s="98">
        <f t="shared" si="5"/>
        <v>0</v>
      </c>
      <c r="Q48"/>
      <c r="R48" s="98">
        <f t="shared" si="6"/>
        <v>0</v>
      </c>
      <c r="S48" s="98">
        <f t="shared" si="7"/>
        <v>0</v>
      </c>
      <c r="T48" s="98">
        <f t="shared" si="8"/>
        <v>0</v>
      </c>
      <c r="U48"/>
      <c r="V48" s="98">
        <f t="shared" si="9"/>
        <v>0</v>
      </c>
      <c r="W48" s="98">
        <f t="shared" si="10"/>
        <v>0</v>
      </c>
      <c r="X48" s="98">
        <f t="shared" si="11"/>
        <v>0</v>
      </c>
    </row>
    <row r="49" spans="1:24">
      <c r="A49" s="97"/>
      <c r="B49" s="97"/>
      <c r="C49" s="117" t="s">
        <v>107</v>
      </c>
      <c r="D49" s="98">
        <v>650</v>
      </c>
      <c r="E49" s="98"/>
      <c r="F49" s="98">
        <v>650</v>
      </c>
      <c r="G49" s="98">
        <v>650</v>
      </c>
      <c r="H49" s="98"/>
      <c r="I49" s="98">
        <v>650</v>
      </c>
      <c r="J49" s="98">
        <v>650</v>
      </c>
      <c r="K49" s="98"/>
      <c r="L49" s="98">
        <v>650</v>
      </c>
      <c r="N49" s="98">
        <f t="shared" si="3"/>
        <v>0</v>
      </c>
      <c r="O49" s="98">
        <f t="shared" si="4"/>
        <v>0</v>
      </c>
      <c r="P49" s="98">
        <f t="shared" si="5"/>
        <v>0</v>
      </c>
      <c r="Q49"/>
      <c r="R49" s="98">
        <f t="shared" si="6"/>
        <v>0</v>
      </c>
      <c r="S49" s="98">
        <f t="shared" si="7"/>
        <v>0</v>
      </c>
      <c r="T49" s="98">
        <f t="shared" si="8"/>
        <v>0</v>
      </c>
      <c r="U49"/>
      <c r="V49" s="98">
        <f t="shared" si="9"/>
        <v>0</v>
      </c>
      <c r="W49" s="98">
        <f t="shared" si="10"/>
        <v>0</v>
      </c>
      <c r="X49" s="98">
        <f t="shared" si="11"/>
        <v>0</v>
      </c>
    </row>
    <row r="50" spans="1:24">
      <c r="A50" s="97"/>
      <c r="B50" s="97"/>
      <c r="C50" s="117" t="s">
        <v>115</v>
      </c>
      <c r="D50" s="98">
        <v>280</v>
      </c>
      <c r="E50" s="98"/>
      <c r="F50" s="98">
        <v>280</v>
      </c>
      <c r="G50" s="98">
        <v>280</v>
      </c>
      <c r="H50" s="98"/>
      <c r="I50" s="98">
        <v>280</v>
      </c>
      <c r="J50" s="98">
        <v>280</v>
      </c>
      <c r="K50" s="98"/>
      <c r="L50" s="98">
        <v>280</v>
      </c>
      <c r="N50" s="98">
        <f t="shared" si="3"/>
        <v>0</v>
      </c>
      <c r="O50" s="98">
        <f t="shared" si="4"/>
        <v>0</v>
      </c>
      <c r="P50" s="98">
        <f t="shared" si="5"/>
        <v>0</v>
      </c>
      <c r="Q50"/>
      <c r="R50" s="98">
        <f t="shared" si="6"/>
        <v>0</v>
      </c>
      <c r="S50" s="98">
        <f t="shared" si="7"/>
        <v>0</v>
      </c>
      <c r="T50" s="98">
        <f t="shared" si="8"/>
        <v>0</v>
      </c>
      <c r="U50"/>
      <c r="V50" s="98">
        <f t="shared" si="9"/>
        <v>0</v>
      </c>
      <c r="W50" s="98">
        <f t="shared" si="10"/>
        <v>0</v>
      </c>
      <c r="X50" s="98">
        <f t="shared" si="11"/>
        <v>0</v>
      </c>
    </row>
    <row r="51" spans="1:24">
      <c r="A51" s="97"/>
      <c r="B51" s="97"/>
      <c r="C51" s="117" t="s">
        <v>119</v>
      </c>
      <c r="D51" s="98">
        <v>330</v>
      </c>
      <c r="E51" s="98"/>
      <c r="F51" s="98">
        <v>330</v>
      </c>
      <c r="G51" s="98">
        <v>330</v>
      </c>
      <c r="H51" s="98"/>
      <c r="I51" s="98">
        <v>330</v>
      </c>
      <c r="J51" s="98">
        <v>330</v>
      </c>
      <c r="K51" s="98"/>
      <c r="L51" s="98">
        <v>330</v>
      </c>
      <c r="N51" s="98">
        <f t="shared" si="3"/>
        <v>0</v>
      </c>
      <c r="O51" s="98">
        <f t="shared" si="4"/>
        <v>0</v>
      </c>
      <c r="P51" s="98">
        <f t="shared" si="5"/>
        <v>0</v>
      </c>
      <c r="Q51"/>
      <c r="R51" s="98">
        <f t="shared" si="6"/>
        <v>0</v>
      </c>
      <c r="S51" s="98">
        <f t="shared" si="7"/>
        <v>0</v>
      </c>
      <c r="T51" s="98">
        <f t="shared" si="8"/>
        <v>0</v>
      </c>
      <c r="U51"/>
      <c r="V51" s="98">
        <f t="shared" si="9"/>
        <v>0</v>
      </c>
      <c r="W51" s="98">
        <f t="shared" si="10"/>
        <v>0</v>
      </c>
      <c r="X51" s="98">
        <f t="shared" si="11"/>
        <v>0</v>
      </c>
    </row>
    <row r="52" spans="1:24">
      <c r="A52" s="97"/>
      <c r="B52" s="97" t="s">
        <v>357</v>
      </c>
      <c r="C52" s="117"/>
      <c r="D52" s="98">
        <v>1360</v>
      </c>
      <c r="E52" s="98"/>
      <c r="F52" s="98">
        <v>1360</v>
      </c>
      <c r="G52" s="98">
        <v>1360</v>
      </c>
      <c r="H52" s="98"/>
      <c r="I52" s="98">
        <v>1360</v>
      </c>
      <c r="J52" s="98">
        <v>1360</v>
      </c>
      <c r="K52" s="98"/>
      <c r="L52" s="98">
        <v>1360</v>
      </c>
      <c r="N52" s="98">
        <f t="shared" si="3"/>
        <v>0</v>
      </c>
      <c r="O52" s="98">
        <f t="shared" si="4"/>
        <v>0</v>
      </c>
      <c r="P52" s="98">
        <f t="shared" si="5"/>
        <v>0</v>
      </c>
      <c r="Q52"/>
      <c r="R52" s="98">
        <f t="shared" si="6"/>
        <v>0</v>
      </c>
      <c r="S52" s="98">
        <f t="shared" si="7"/>
        <v>0</v>
      </c>
      <c r="T52" s="98">
        <f t="shared" si="8"/>
        <v>0</v>
      </c>
      <c r="U52"/>
      <c r="V52" s="98">
        <f t="shared" si="9"/>
        <v>0</v>
      </c>
      <c r="W52" s="98">
        <f t="shared" si="10"/>
        <v>0</v>
      </c>
      <c r="X52" s="98">
        <f t="shared" si="11"/>
        <v>0</v>
      </c>
    </row>
    <row r="53" spans="1:24">
      <c r="A53" s="97"/>
      <c r="B53" s="97"/>
      <c r="C53" s="117" t="s">
        <v>133</v>
      </c>
      <c r="D53" s="98">
        <v>1000</v>
      </c>
      <c r="E53" s="98"/>
      <c r="F53" s="98">
        <v>1000</v>
      </c>
      <c r="G53" s="98">
        <v>1000</v>
      </c>
      <c r="H53" s="98"/>
      <c r="I53" s="98">
        <v>1000</v>
      </c>
      <c r="J53" s="98">
        <v>1000</v>
      </c>
      <c r="K53" s="98"/>
      <c r="L53" s="98">
        <v>1000</v>
      </c>
      <c r="N53" s="98">
        <f t="shared" si="3"/>
        <v>0</v>
      </c>
      <c r="O53" s="98">
        <f t="shared" si="4"/>
        <v>0</v>
      </c>
      <c r="P53" s="98">
        <f t="shared" si="5"/>
        <v>0</v>
      </c>
      <c r="Q53"/>
      <c r="R53" s="98">
        <f t="shared" si="6"/>
        <v>0</v>
      </c>
      <c r="S53" s="98">
        <f t="shared" si="7"/>
        <v>0</v>
      </c>
      <c r="T53" s="98">
        <f t="shared" si="8"/>
        <v>0</v>
      </c>
      <c r="U53"/>
      <c r="V53" s="98">
        <f t="shared" si="9"/>
        <v>0</v>
      </c>
      <c r="W53" s="98">
        <f t="shared" si="10"/>
        <v>0</v>
      </c>
      <c r="X53" s="98">
        <f t="shared" si="11"/>
        <v>0</v>
      </c>
    </row>
    <row r="54" spans="1:24">
      <c r="A54" s="97"/>
      <c r="B54" s="97"/>
      <c r="C54" s="117" t="s">
        <v>117</v>
      </c>
      <c r="D54" s="98">
        <v>160</v>
      </c>
      <c r="E54" s="98"/>
      <c r="F54" s="98">
        <v>160</v>
      </c>
      <c r="G54" s="98">
        <v>160</v>
      </c>
      <c r="H54" s="98"/>
      <c r="I54" s="98">
        <v>160</v>
      </c>
      <c r="J54" s="98">
        <v>160</v>
      </c>
      <c r="K54" s="98"/>
      <c r="L54" s="98">
        <v>160</v>
      </c>
      <c r="N54" s="98">
        <f t="shared" si="3"/>
        <v>0</v>
      </c>
      <c r="O54" s="98">
        <f t="shared" si="4"/>
        <v>0</v>
      </c>
      <c r="P54" s="98">
        <f t="shared" si="5"/>
        <v>0</v>
      </c>
      <c r="Q54"/>
      <c r="R54" s="98">
        <f t="shared" si="6"/>
        <v>0</v>
      </c>
      <c r="S54" s="98">
        <f t="shared" si="7"/>
        <v>0</v>
      </c>
      <c r="T54" s="98">
        <f t="shared" si="8"/>
        <v>0</v>
      </c>
      <c r="U54"/>
      <c r="V54" s="98">
        <f t="shared" si="9"/>
        <v>0</v>
      </c>
      <c r="W54" s="98">
        <f t="shared" si="10"/>
        <v>0</v>
      </c>
      <c r="X54" s="98">
        <f t="shared" si="11"/>
        <v>0</v>
      </c>
    </row>
    <row r="55" spans="1:24">
      <c r="A55" s="97"/>
      <c r="B55" s="97"/>
      <c r="C55" s="117" t="s">
        <v>121</v>
      </c>
      <c r="D55" s="98">
        <v>200</v>
      </c>
      <c r="E55" s="98"/>
      <c r="F55" s="98">
        <v>200</v>
      </c>
      <c r="G55" s="98">
        <v>200</v>
      </c>
      <c r="H55" s="98"/>
      <c r="I55" s="98">
        <v>200</v>
      </c>
      <c r="J55" s="98">
        <v>200</v>
      </c>
      <c r="K55" s="98"/>
      <c r="L55" s="98">
        <v>200</v>
      </c>
      <c r="N55" s="98">
        <f t="shared" si="3"/>
        <v>0</v>
      </c>
      <c r="O55" s="98">
        <f t="shared" si="4"/>
        <v>0</v>
      </c>
      <c r="P55" s="98">
        <f t="shared" si="5"/>
        <v>0</v>
      </c>
      <c r="Q55"/>
      <c r="R55" s="98">
        <f t="shared" si="6"/>
        <v>0</v>
      </c>
      <c r="S55" s="98">
        <f t="shared" si="7"/>
        <v>0</v>
      </c>
      <c r="T55" s="98">
        <f t="shared" si="8"/>
        <v>0</v>
      </c>
      <c r="U55"/>
      <c r="V55" s="98">
        <f t="shared" si="9"/>
        <v>0</v>
      </c>
      <c r="W55" s="98">
        <f t="shared" si="10"/>
        <v>0</v>
      </c>
      <c r="X55" s="98">
        <f t="shared" si="11"/>
        <v>0</v>
      </c>
    </row>
    <row r="56" spans="1:24">
      <c r="A56" s="97"/>
      <c r="B56" s="97" t="s">
        <v>358</v>
      </c>
      <c r="C56" s="117"/>
      <c r="D56" s="98">
        <v>1870</v>
      </c>
      <c r="E56" s="98"/>
      <c r="F56" s="98">
        <v>1870</v>
      </c>
      <c r="G56" s="98">
        <v>1870</v>
      </c>
      <c r="H56" s="98"/>
      <c r="I56" s="98">
        <v>1870</v>
      </c>
      <c r="J56" s="98">
        <v>1870</v>
      </c>
      <c r="K56" s="98"/>
      <c r="L56" s="98">
        <v>1870</v>
      </c>
      <c r="N56" s="98">
        <f t="shared" si="3"/>
        <v>0</v>
      </c>
      <c r="O56" s="98">
        <f t="shared" si="4"/>
        <v>0</v>
      </c>
      <c r="P56" s="98">
        <f t="shared" si="5"/>
        <v>0</v>
      </c>
      <c r="Q56"/>
      <c r="R56" s="98">
        <f t="shared" si="6"/>
        <v>0</v>
      </c>
      <c r="S56" s="98">
        <f t="shared" si="7"/>
        <v>0</v>
      </c>
      <c r="T56" s="98">
        <f t="shared" si="8"/>
        <v>0</v>
      </c>
      <c r="U56"/>
      <c r="V56" s="98">
        <f t="shared" si="9"/>
        <v>0</v>
      </c>
      <c r="W56" s="98">
        <f t="shared" si="10"/>
        <v>0</v>
      </c>
      <c r="X56" s="98">
        <f t="shared" si="11"/>
        <v>0</v>
      </c>
    </row>
    <row r="57" spans="1:24">
      <c r="A57" s="97"/>
      <c r="B57" s="97"/>
      <c r="C57" s="117" t="s">
        <v>135</v>
      </c>
      <c r="D57" s="98">
        <v>210</v>
      </c>
      <c r="E57" s="98"/>
      <c r="F57" s="98">
        <v>210</v>
      </c>
      <c r="G57" s="98">
        <v>210</v>
      </c>
      <c r="H57" s="98"/>
      <c r="I57" s="98">
        <v>210</v>
      </c>
      <c r="J57" s="98">
        <v>210</v>
      </c>
      <c r="K57" s="98"/>
      <c r="L57" s="98">
        <v>210</v>
      </c>
      <c r="N57" s="98">
        <f t="shared" si="3"/>
        <v>0</v>
      </c>
      <c r="O57" s="98">
        <f t="shared" si="4"/>
        <v>0</v>
      </c>
      <c r="P57" s="98">
        <f t="shared" si="5"/>
        <v>0</v>
      </c>
      <c r="Q57"/>
      <c r="R57" s="98">
        <f t="shared" si="6"/>
        <v>0</v>
      </c>
      <c r="S57" s="98">
        <f t="shared" si="7"/>
        <v>0</v>
      </c>
      <c r="T57" s="98">
        <f t="shared" si="8"/>
        <v>0</v>
      </c>
      <c r="U57"/>
      <c r="V57" s="98">
        <f t="shared" si="9"/>
        <v>0</v>
      </c>
      <c r="W57" s="98">
        <f t="shared" si="10"/>
        <v>0</v>
      </c>
      <c r="X57" s="98">
        <f t="shared" si="11"/>
        <v>0</v>
      </c>
    </row>
    <row r="58" spans="1:24">
      <c r="A58" s="97"/>
      <c r="B58" s="97"/>
      <c r="C58" s="117" t="s">
        <v>137</v>
      </c>
      <c r="D58" s="98">
        <v>200</v>
      </c>
      <c r="E58" s="98"/>
      <c r="F58" s="98">
        <v>200</v>
      </c>
      <c r="G58" s="98">
        <v>200</v>
      </c>
      <c r="H58" s="98"/>
      <c r="I58" s="98">
        <v>200</v>
      </c>
      <c r="J58" s="98">
        <v>200</v>
      </c>
      <c r="K58" s="98"/>
      <c r="L58" s="98">
        <v>200</v>
      </c>
      <c r="N58" s="98">
        <f t="shared" si="3"/>
        <v>0</v>
      </c>
      <c r="O58" s="98">
        <f t="shared" si="4"/>
        <v>0</v>
      </c>
      <c r="P58" s="98">
        <f t="shared" si="5"/>
        <v>0</v>
      </c>
      <c r="Q58"/>
      <c r="R58" s="98">
        <f t="shared" si="6"/>
        <v>0</v>
      </c>
      <c r="S58" s="98">
        <f t="shared" si="7"/>
        <v>0</v>
      </c>
      <c r="T58" s="98">
        <f t="shared" si="8"/>
        <v>0</v>
      </c>
      <c r="U58"/>
      <c r="V58" s="98">
        <f t="shared" si="9"/>
        <v>0</v>
      </c>
      <c r="W58" s="98">
        <f t="shared" si="10"/>
        <v>0</v>
      </c>
      <c r="X58" s="98">
        <f t="shared" si="11"/>
        <v>0</v>
      </c>
    </row>
    <row r="59" spans="1:24">
      <c r="A59" s="97"/>
      <c r="B59" s="97"/>
      <c r="C59" s="117" t="s">
        <v>139</v>
      </c>
      <c r="D59" s="98">
        <v>140</v>
      </c>
      <c r="E59" s="98"/>
      <c r="F59" s="98">
        <v>140</v>
      </c>
      <c r="G59" s="98">
        <v>140</v>
      </c>
      <c r="H59" s="98"/>
      <c r="I59" s="98">
        <v>140</v>
      </c>
      <c r="J59" s="98">
        <v>140</v>
      </c>
      <c r="K59" s="98"/>
      <c r="L59" s="98">
        <v>140</v>
      </c>
      <c r="N59" s="98">
        <f t="shared" si="3"/>
        <v>0</v>
      </c>
      <c r="O59" s="98">
        <f t="shared" si="4"/>
        <v>0</v>
      </c>
      <c r="P59" s="98">
        <f t="shared" si="5"/>
        <v>0</v>
      </c>
      <c r="Q59"/>
      <c r="R59" s="98">
        <f t="shared" si="6"/>
        <v>0</v>
      </c>
      <c r="S59" s="98">
        <f t="shared" si="7"/>
        <v>0</v>
      </c>
      <c r="T59" s="98">
        <f t="shared" si="8"/>
        <v>0</v>
      </c>
      <c r="U59"/>
      <c r="V59" s="98">
        <f t="shared" si="9"/>
        <v>0</v>
      </c>
      <c r="W59" s="98">
        <f t="shared" si="10"/>
        <v>0</v>
      </c>
      <c r="X59" s="98">
        <f t="shared" si="11"/>
        <v>0</v>
      </c>
    </row>
    <row r="60" spans="1:24">
      <c r="A60" s="97"/>
      <c r="B60" s="97"/>
      <c r="C60" s="117" t="s">
        <v>141</v>
      </c>
      <c r="D60" s="98">
        <v>400</v>
      </c>
      <c r="E60" s="98"/>
      <c r="F60" s="98">
        <v>400</v>
      </c>
      <c r="G60" s="98">
        <v>400</v>
      </c>
      <c r="H60" s="98"/>
      <c r="I60" s="98">
        <v>400</v>
      </c>
      <c r="J60" s="98">
        <v>400</v>
      </c>
      <c r="K60" s="98"/>
      <c r="L60" s="98">
        <v>400</v>
      </c>
      <c r="N60" s="98">
        <f t="shared" si="3"/>
        <v>0</v>
      </c>
      <c r="O60" s="98">
        <f t="shared" si="4"/>
        <v>0</v>
      </c>
      <c r="P60" s="98">
        <f t="shared" si="5"/>
        <v>0</v>
      </c>
      <c r="Q60"/>
      <c r="R60" s="98">
        <f t="shared" si="6"/>
        <v>0</v>
      </c>
      <c r="S60" s="98">
        <f t="shared" si="7"/>
        <v>0</v>
      </c>
      <c r="T60" s="98">
        <f t="shared" si="8"/>
        <v>0</v>
      </c>
      <c r="U60"/>
      <c r="V60" s="98">
        <f t="shared" si="9"/>
        <v>0</v>
      </c>
      <c r="W60" s="98">
        <f t="shared" si="10"/>
        <v>0</v>
      </c>
      <c r="X60" s="98">
        <f t="shared" si="11"/>
        <v>0</v>
      </c>
    </row>
    <row r="61" spans="1:24">
      <c r="A61" s="97"/>
      <c r="B61" s="97"/>
      <c r="C61" s="117" t="s">
        <v>143</v>
      </c>
      <c r="D61" s="98">
        <v>300</v>
      </c>
      <c r="E61" s="98"/>
      <c r="F61" s="98">
        <v>300</v>
      </c>
      <c r="G61" s="98">
        <v>300</v>
      </c>
      <c r="H61" s="98"/>
      <c r="I61" s="98">
        <v>300</v>
      </c>
      <c r="J61" s="98">
        <v>300</v>
      </c>
      <c r="K61" s="98"/>
      <c r="L61" s="98">
        <v>300</v>
      </c>
      <c r="N61" s="98">
        <f t="shared" si="3"/>
        <v>0</v>
      </c>
      <c r="O61" s="98">
        <f t="shared" si="4"/>
        <v>0</v>
      </c>
      <c r="P61" s="98">
        <f t="shared" si="5"/>
        <v>0</v>
      </c>
      <c r="Q61"/>
      <c r="R61" s="98">
        <f t="shared" si="6"/>
        <v>0</v>
      </c>
      <c r="S61" s="98">
        <f t="shared" si="7"/>
        <v>0</v>
      </c>
      <c r="T61" s="98">
        <f t="shared" si="8"/>
        <v>0</v>
      </c>
      <c r="U61"/>
      <c r="V61" s="98">
        <f t="shared" si="9"/>
        <v>0</v>
      </c>
      <c r="W61" s="98">
        <f t="shared" si="10"/>
        <v>0</v>
      </c>
      <c r="X61" s="98">
        <f t="shared" si="11"/>
        <v>0</v>
      </c>
    </row>
    <row r="62" spans="1:24">
      <c r="A62" s="97"/>
      <c r="B62" s="97"/>
      <c r="C62" s="117" t="s">
        <v>147</v>
      </c>
      <c r="D62" s="98">
        <v>200</v>
      </c>
      <c r="E62" s="98"/>
      <c r="F62" s="98">
        <v>200</v>
      </c>
      <c r="G62" s="98">
        <v>200</v>
      </c>
      <c r="H62" s="98"/>
      <c r="I62" s="98">
        <v>200</v>
      </c>
      <c r="J62" s="98">
        <v>200</v>
      </c>
      <c r="K62" s="98"/>
      <c r="L62" s="98">
        <v>200</v>
      </c>
      <c r="N62" s="98">
        <f t="shared" si="3"/>
        <v>0</v>
      </c>
      <c r="O62" s="98">
        <f t="shared" si="4"/>
        <v>0</v>
      </c>
      <c r="P62" s="98">
        <f t="shared" si="5"/>
        <v>0</v>
      </c>
      <c r="Q62"/>
      <c r="R62" s="98">
        <f t="shared" si="6"/>
        <v>0</v>
      </c>
      <c r="S62" s="98">
        <f t="shared" si="7"/>
        <v>0</v>
      </c>
      <c r="T62" s="98">
        <f t="shared" si="8"/>
        <v>0</v>
      </c>
      <c r="U62"/>
      <c r="V62" s="98">
        <f t="shared" si="9"/>
        <v>0</v>
      </c>
      <c r="W62" s="98">
        <f t="shared" si="10"/>
        <v>0</v>
      </c>
      <c r="X62" s="98">
        <f t="shared" si="11"/>
        <v>0</v>
      </c>
    </row>
    <row r="63" spans="1:24">
      <c r="A63" s="97"/>
      <c r="B63" s="97"/>
      <c r="C63" s="117" t="s">
        <v>149</v>
      </c>
      <c r="D63" s="98">
        <v>140</v>
      </c>
      <c r="E63" s="98"/>
      <c r="F63" s="98">
        <v>140</v>
      </c>
      <c r="G63" s="98">
        <v>140</v>
      </c>
      <c r="H63" s="98"/>
      <c r="I63" s="98">
        <v>140</v>
      </c>
      <c r="J63" s="98">
        <v>140</v>
      </c>
      <c r="K63" s="98"/>
      <c r="L63" s="98">
        <v>140</v>
      </c>
      <c r="N63" s="98">
        <f t="shared" si="3"/>
        <v>0</v>
      </c>
      <c r="O63" s="98">
        <f t="shared" si="4"/>
        <v>0</v>
      </c>
      <c r="P63" s="98">
        <f t="shared" si="5"/>
        <v>0</v>
      </c>
      <c r="Q63"/>
      <c r="R63" s="98">
        <f t="shared" si="6"/>
        <v>0</v>
      </c>
      <c r="S63" s="98">
        <f t="shared" si="7"/>
        <v>0</v>
      </c>
      <c r="T63" s="98">
        <f t="shared" si="8"/>
        <v>0</v>
      </c>
      <c r="U63"/>
      <c r="V63" s="98">
        <f t="shared" si="9"/>
        <v>0</v>
      </c>
      <c r="W63" s="98">
        <f t="shared" si="10"/>
        <v>0</v>
      </c>
      <c r="X63" s="98">
        <f t="shared" si="11"/>
        <v>0</v>
      </c>
    </row>
    <row r="64" spans="1:24">
      <c r="A64" s="97"/>
      <c r="B64" s="97"/>
      <c r="C64" s="117" t="s">
        <v>153</v>
      </c>
      <c r="D64" s="98">
        <v>140</v>
      </c>
      <c r="E64" s="98"/>
      <c r="F64" s="98">
        <v>140</v>
      </c>
      <c r="G64" s="98">
        <v>140</v>
      </c>
      <c r="H64" s="98"/>
      <c r="I64" s="98">
        <v>140</v>
      </c>
      <c r="J64" s="98">
        <v>140</v>
      </c>
      <c r="K64" s="98"/>
      <c r="L64" s="98">
        <v>140</v>
      </c>
      <c r="N64" s="98">
        <f t="shared" si="3"/>
        <v>0</v>
      </c>
      <c r="O64" s="98">
        <f t="shared" si="4"/>
        <v>0</v>
      </c>
      <c r="P64" s="98">
        <f t="shared" si="5"/>
        <v>0</v>
      </c>
      <c r="Q64"/>
      <c r="R64" s="98">
        <f t="shared" si="6"/>
        <v>0</v>
      </c>
      <c r="S64" s="98">
        <f t="shared" si="7"/>
        <v>0</v>
      </c>
      <c r="T64" s="98">
        <f t="shared" si="8"/>
        <v>0</v>
      </c>
      <c r="U64"/>
      <c r="V64" s="98">
        <f t="shared" si="9"/>
        <v>0</v>
      </c>
      <c r="W64" s="98">
        <f t="shared" si="10"/>
        <v>0</v>
      </c>
      <c r="X64" s="98">
        <f t="shared" si="11"/>
        <v>0</v>
      </c>
    </row>
    <row r="65" spans="1:24">
      <c r="A65" s="97"/>
      <c r="B65" s="97"/>
      <c r="C65" s="117" t="s">
        <v>157</v>
      </c>
      <c r="D65" s="98">
        <v>140</v>
      </c>
      <c r="E65" s="98"/>
      <c r="F65" s="98">
        <v>140</v>
      </c>
      <c r="G65" s="98">
        <v>140</v>
      </c>
      <c r="H65" s="98"/>
      <c r="I65" s="98">
        <v>140</v>
      </c>
      <c r="J65" s="98">
        <v>140</v>
      </c>
      <c r="K65" s="98"/>
      <c r="L65" s="98">
        <v>140</v>
      </c>
      <c r="N65" s="98">
        <f t="shared" si="3"/>
        <v>0</v>
      </c>
      <c r="O65" s="98">
        <f t="shared" si="4"/>
        <v>0</v>
      </c>
      <c r="P65" s="98">
        <f t="shared" si="5"/>
        <v>0</v>
      </c>
      <c r="Q65"/>
      <c r="R65" s="98">
        <f t="shared" si="6"/>
        <v>0</v>
      </c>
      <c r="S65" s="98">
        <f t="shared" si="7"/>
        <v>0</v>
      </c>
      <c r="T65" s="98">
        <f t="shared" si="8"/>
        <v>0</v>
      </c>
      <c r="U65"/>
      <c r="V65" s="98">
        <f t="shared" si="9"/>
        <v>0</v>
      </c>
      <c r="W65" s="98">
        <f t="shared" si="10"/>
        <v>0</v>
      </c>
      <c r="X65" s="98">
        <f t="shared" si="11"/>
        <v>0</v>
      </c>
    </row>
    <row r="66" spans="1:24">
      <c r="A66" s="97"/>
      <c r="B66" s="97" t="s">
        <v>359</v>
      </c>
      <c r="C66" s="117"/>
      <c r="D66" s="98">
        <v>1200</v>
      </c>
      <c r="E66" s="98"/>
      <c r="F66" s="98">
        <v>1200</v>
      </c>
      <c r="G66" s="98">
        <v>1200</v>
      </c>
      <c r="H66" s="98"/>
      <c r="I66" s="98">
        <v>1200</v>
      </c>
      <c r="J66" s="98">
        <v>1200</v>
      </c>
      <c r="K66" s="98"/>
      <c r="L66" s="98">
        <v>1200</v>
      </c>
      <c r="N66" s="98">
        <f t="shared" si="3"/>
        <v>0</v>
      </c>
      <c r="O66" s="98">
        <f t="shared" si="4"/>
        <v>0</v>
      </c>
      <c r="P66" s="98">
        <f t="shared" si="5"/>
        <v>0</v>
      </c>
      <c r="Q66"/>
      <c r="R66" s="98">
        <f t="shared" si="6"/>
        <v>0</v>
      </c>
      <c r="S66" s="98">
        <f t="shared" si="7"/>
        <v>0</v>
      </c>
      <c r="T66" s="98">
        <f t="shared" si="8"/>
        <v>0</v>
      </c>
      <c r="U66"/>
      <c r="V66" s="98">
        <f t="shared" si="9"/>
        <v>0</v>
      </c>
      <c r="W66" s="98">
        <f t="shared" si="10"/>
        <v>0</v>
      </c>
      <c r="X66" s="98">
        <f t="shared" si="11"/>
        <v>0</v>
      </c>
    </row>
    <row r="67" spans="1:24">
      <c r="A67" s="97"/>
      <c r="B67" s="97"/>
      <c r="C67" s="117" t="s">
        <v>145</v>
      </c>
      <c r="D67" s="98">
        <v>200</v>
      </c>
      <c r="E67" s="98"/>
      <c r="F67" s="98">
        <v>200</v>
      </c>
      <c r="G67" s="98">
        <v>200</v>
      </c>
      <c r="H67" s="98"/>
      <c r="I67" s="98">
        <v>200</v>
      </c>
      <c r="J67" s="98">
        <v>200</v>
      </c>
      <c r="K67" s="98"/>
      <c r="L67" s="98">
        <v>200</v>
      </c>
      <c r="N67" s="98">
        <f t="shared" si="3"/>
        <v>0</v>
      </c>
      <c r="O67" s="98">
        <f t="shared" si="4"/>
        <v>0</v>
      </c>
      <c r="P67" s="98">
        <f t="shared" si="5"/>
        <v>0</v>
      </c>
      <c r="Q67"/>
      <c r="R67" s="98">
        <f t="shared" si="6"/>
        <v>0</v>
      </c>
      <c r="S67" s="98">
        <f t="shared" si="7"/>
        <v>0</v>
      </c>
      <c r="T67" s="98">
        <f t="shared" si="8"/>
        <v>0</v>
      </c>
      <c r="U67"/>
      <c r="V67" s="98">
        <f t="shared" si="9"/>
        <v>0</v>
      </c>
      <c r="W67" s="98">
        <f t="shared" si="10"/>
        <v>0</v>
      </c>
      <c r="X67" s="98">
        <f t="shared" si="11"/>
        <v>0</v>
      </c>
    </row>
    <row r="68" spans="1:24">
      <c r="A68" s="97"/>
      <c r="B68" s="97"/>
      <c r="C68" s="117" t="s">
        <v>151</v>
      </c>
      <c r="D68" s="98">
        <v>150</v>
      </c>
      <c r="E68" s="98"/>
      <c r="F68" s="98">
        <v>150</v>
      </c>
      <c r="G68" s="98">
        <v>150</v>
      </c>
      <c r="H68" s="98"/>
      <c r="I68" s="98">
        <v>150</v>
      </c>
      <c r="J68" s="98">
        <v>150</v>
      </c>
      <c r="K68" s="98"/>
      <c r="L68" s="98">
        <v>150</v>
      </c>
      <c r="N68" s="98">
        <f t="shared" si="3"/>
        <v>0</v>
      </c>
      <c r="O68" s="98">
        <f t="shared" si="4"/>
        <v>0</v>
      </c>
      <c r="P68" s="98">
        <f t="shared" si="5"/>
        <v>0</v>
      </c>
      <c r="Q68"/>
      <c r="R68" s="98">
        <f t="shared" si="6"/>
        <v>0</v>
      </c>
      <c r="S68" s="98">
        <f t="shared" si="7"/>
        <v>0</v>
      </c>
      <c r="T68" s="98">
        <f t="shared" si="8"/>
        <v>0</v>
      </c>
      <c r="U68"/>
      <c r="V68" s="98">
        <f t="shared" si="9"/>
        <v>0</v>
      </c>
      <c r="W68" s="98">
        <f t="shared" si="10"/>
        <v>0</v>
      </c>
      <c r="X68" s="98">
        <f t="shared" si="11"/>
        <v>0</v>
      </c>
    </row>
    <row r="69" spans="1:24">
      <c r="A69" s="97"/>
      <c r="B69" s="97"/>
      <c r="C69" s="117" t="s">
        <v>155</v>
      </c>
      <c r="D69" s="98">
        <v>50</v>
      </c>
      <c r="E69" s="98"/>
      <c r="F69" s="98">
        <v>50</v>
      </c>
      <c r="G69" s="98">
        <v>50</v>
      </c>
      <c r="H69" s="98"/>
      <c r="I69" s="98">
        <v>50</v>
      </c>
      <c r="J69" s="98">
        <v>50</v>
      </c>
      <c r="K69" s="98"/>
      <c r="L69" s="98">
        <v>50</v>
      </c>
      <c r="N69" s="98">
        <f t="shared" si="3"/>
        <v>0</v>
      </c>
      <c r="O69" s="98">
        <f t="shared" si="4"/>
        <v>0</v>
      </c>
      <c r="P69" s="98">
        <f t="shared" si="5"/>
        <v>0</v>
      </c>
      <c r="Q69"/>
      <c r="R69" s="98">
        <f t="shared" si="6"/>
        <v>0</v>
      </c>
      <c r="S69" s="98">
        <f t="shared" si="7"/>
        <v>0</v>
      </c>
      <c r="T69" s="98">
        <f t="shared" si="8"/>
        <v>0</v>
      </c>
      <c r="U69"/>
      <c r="V69" s="98">
        <f t="shared" si="9"/>
        <v>0</v>
      </c>
      <c r="W69" s="98">
        <f t="shared" si="10"/>
        <v>0</v>
      </c>
      <c r="X69" s="98">
        <f t="shared" si="11"/>
        <v>0</v>
      </c>
    </row>
    <row r="70" spans="1:24">
      <c r="A70" s="97"/>
      <c r="B70" s="97"/>
      <c r="C70" s="117" t="s">
        <v>159</v>
      </c>
      <c r="D70" s="98">
        <v>50</v>
      </c>
      <c r="E70" s="98"/>
      <c r="F70" s="98">
        <v>50</v>
      </c>
      <c r="G70" s="98">
        <v>50</v>
      </c>
      <c r="H70" s="98"/>
      <c r="I70" s="98">
        <v>50</v>
      </c>
      <c r="J70" s="98">
        <v>50</v>
      </c>
      <c r="K70" s="98"/>
      <c r="L70" s="98">
        <v>50</v>
      </c>
      <c r="N70" s="98">
        <f t="shared" si="3"/>
        <v>0</v>
      </c>
      <c r="O70" s="98">
        <f t="shared" si="4"/>
        <v>0</v>
      </c>
      <c r="P70" s="98">
        <f t="shared" si="5"/>
        <v>0</v>
      </c>
      <c r="Q70"/>
      <c r="R70" s="98">
        <f t="shared" si="6"/>
        <v>0</v>
      </c>
      <c r="S70" s="98">
        <f t="shared" si="7"/>
        <v>0</v>
      </c>
      <c r="T70" s="98">
        <f t="shared" si="8"/>
        <v>0</v>
      </c>
      <c r="U70"/>
      <c r="V70" s="98">
        <f t="shared" si="9"/>
        <v>0</v>
      </c>
      <c r="W70" s="98">
        <f t="shared" si="10"/>
        <v>0</v>
      </c>
      <c r="X70" s="98">
        <f t="shared" si="11"/>
        <v>0</v>
      </c>
    </row>
    <row r="71" spans="1:24">
      <c r="A71" s="97"/>
      <c r="B71" s="97"/>
      <c r="C71" s="117" t="s">
        <v>161</v>
      </c>
      <c r="D71" s="98">
        <v>350</v>
      </c>
      <c r="E71" s="98"/>
      <c r="F71" s="98">
        <v>350</v>
      </c>
      <c r="G71" s="98">
        <v>350</v>
      </c>
      <c r="H71" s="98"/>
      <c r="I71" s="98">
        <v>350</v>
      </c>
      <c r="J71" s="98">
        <v>350</v>
      </c>
      <c r="K71" s="98"/>
      <c r="L71" s="98">
        <v>350</v>
      </c>
      <c r="N71" s="98">
        <f t="shared" si="3"/>
        <v>0</v>
      </c>
      <c r="O71" s="98">
        <f t="shared" si="4"/>
        <v>0</v>
      </c>
      <c r="P71" s="98">
        <f t="shared" si="5"/>
        <v>0</v>
      </c>
      <c r="Q71"/>
      <c r="R71" s="98">
        <f t="shared" si="6"/>
        <v>0</v>
      </c>
      <c r="S71" s="98">
        <f t="shared" si="7"/>
        <v>0</v>
      </c>
      <c r="T71" s="98">
        <f t="shared" si="8"/>
        <v>0</v>
      </c>
      <c r="U71"/>
      <c r="V71" s="98">
        <f t="shared" si="9"/>
        <v>0</v>
      </c>
      <c r="W71" s="98">
        <f t="shared" si="10"/>
        <v>0</v>
      </c>
      <c r="X71" s="98">
        <f t="shared" si="11"/>
        <v>0</v>
      </c>
    </row>
    <row r="72" spans="1:24">
      <c r="A72" s="97"/>
      <c r="B72" s="97"/>
      <c r="C72" s="117" t="s">
        <v>163</v>
      </c>
      <c r="D72" s="98">
        <v>400</v>
      </c>
      <c r="E72" s="98"/>
      <c r="F72" s="98">
        <v>400</v>
      </c>
      <c r="G72" s="98">
        <v>400</v>
      </c>
      <c r="H72" s="98"/>
      <c r="I72" s="98">
        <v>400</v>
      </c>
      <c r="J72" s="98">
        <v>400</v>
      </c>
      <c r="K72" s="98"/>
      <c r="L72" s="98">
        <v>400</v>
      </c>
      <c r="N72" s="98">
        <f t="shared" si="3"/>
        <v>0</v>
      </c>
      <c r="O72" s="98">
        <f t="shared" si="4"/>
        <v>0</v>
      </c>
      <c r="P72" s="98">
        <f t="shared" si="5"/>
        <v>0</v>
      </c>
      <c r="Q72"/>
      <c r="R72" s="98">
        <f t="shared" si="6"/>
        <v>0</v>
      </c>
      <c r="S72" s="98">
        <f t="shared" si="7"/>
        <v>0</v>
      </c>
      <c r="T72" s="98">
        <f t="shared" si="8"/>
        <v>0</v>
      </c>
      <c r="U72"/>
      <c r="V72" s="98">
        <f t="shared" si="9"/>
        <v>0</v>
      </c>
      <c r="W72" s="98">
        <f t="shared" si="10"/>
        <v>0</v>
      </c>
      <c r="X72" s="98">
        <f t="shared" si="11"/>
        <v>0</v>
      </c>
    </row>
    <row r="73" spans="1:24">
      <c r="A73" s="97"/>
      <c r="B73" s="97" t="s">
        <v>360</v>
      </c>
      <c r="C73" s="117"/>
      <c r="D73" s="98">
        <v>7866</v>
      </c>
      <c r="E73" s="98"/>
      <c r="F73" s="98">
        <v>7866</v>
      </c>
      <c r="G73" s="98">
        <v>7866</v>
      </c>
      <c r="H73" s="98"/>
      <c r="I73" s="98">
        <v>7866</v>
      </c>
      <c r="J73" s="98">
        <v>7866</v>
      </c>
      <c r="K73" s="98"/>
      <c r="L73" s="98">
        <v>7866</v>
      </c>
      <c r="N73" s="98">
        <f t="shared" ref="N73:N112" si="12">+D73-G73</f>
        <v>0</v>
      </c>
      <c r="O73" s="98">
        <f t="shared" ref="O73:O112" si="13">+E73-H73</f>
        <v>0</v>
      </c>
      <c r="P73" s="98">
        <f t="shared" ref="P73:P112" si="14">+F73-I73</f>
        <v>0</v>
      </c>
      <c r="Q73"/>
      <c r="R73" s="98">
        <f t="shared" ref="R73:R112" si="15">+D73-J73</f>
        <v>0</v>
      </c>
      <c r="S73" s="98">
        <f t="shared" ref="S73:S112" si="16">+E73-K73</f>
        <v>0</v>
      </c>
      <c r="T73" s="98">
        <f t="shared" ref="T73:T112" si="17">+F73-L73</f>
        <v>0</v>
      </c>
      <c r="U73"/>
      <c r="V73" s="98">
        <f t="shared" ref="V73:V112" si="18">+G73-J73</f>
        <v>0</v>
      </c>
      <c r="W73" s="98">
        <f t="shared" ref="W73:W112" si="19">+H73-K73</f>
        <v>0</v>
      </c>
      <c r="X73" s="98">
        <f t="shared" ref="X73:X112" si="20">+I73-L73</f>
        <v>0</v>
      </c>
    </row>
    <row r="74" spans="1:24">
      <c r="A74" s="97"/>
      <c r="B74" s="97"/>
      <c r="C74" s="117" t="s">
        <v>109</v>
      </c>
      <c r="D74" s="98">
        <v>192</v>
      </c>
      <c r="E74" s="98"/>
      <c r="F74" s="98">
        <v>192</v>
      </c>
      <c r="G74" s="98">
        <v>192</v>
      </c>
      <c r="H74" s="98"/>
      <c r="I74" s="98">
        <v>192</v>
      </c>
      <c r="J74" s="98">
        <v>192</v>
      </c>
      <c r="K74" s="98"/>
      <c r="L74" s="98">
        <v>192</v>
      </c>
      <c r="N74" s="98">
        <f t="shared" si="12"/>
        <v>0</v>
      </c>
      <c r="O74" s="98">
        <f t="shared" si="13"/>
        <v>0</v>
      </c>
      <c r="P74" s="98">
        <f t="shared" si="14"/>
        <v>0</v>
      </c>
      <c r="Q74"/>
      <c r="R74" s="98">
        <f t="shared" si="15"/>
        <v>0</v>
      </c>
      <c r="S74" s="98">
        <f t="shared" si="16"/>
        <v>0</v>
      </c>
      <c r="T74" s="98">
        <f t="shared" si="17"/>
        <v>0</v>
      </c>
      <c r="U74"/>
      <c r="V74" s="98">
        <f t="shared" si="18"/>
        <v>0</v>
      </c>
      <c r="W74" s="98">
        <f t="shared" si="19"/>
        <v>0</v>
      </c>
      <c r="X74" s="98">
        <f t="shared" si="20"/>
        <v>0</v>
      </c>
    </row>
    <row r="75" spans="1:24">
      <c r="A75" s="97"/>
      <c r="B75" s="97"/>
      <c r="C75" s="117" t="s">
        <v>111</v>
      </c>
      <c r="D75" s="98">
        <v>576</v>
      </c>
      <c r="E75" s="98"/>
      <c r="F75" s="98">
        <v>576</v>
      </c>
      <c r="G75" s="98">
        <v>576</v>
      </c>
      <c r="H75" s="98"/>
      <c r="I75" s="98">
        <v>576</v>
      </c>
      <c r="J75" s="98">
        <v>576</v>
      </c>
      <c r="K75" s="98"/>
      <c r="L75" s="98">
        <v>576</v>
      </c>
      <c r="N75" s="98">
        <f t="shared" si="12"/>
        <v>0</v>
      </c>
      <c r="O75" s="98">
        <f t="shared" si="13"/>
        <v>0</v>
      </c>
      <c r="P75" s="98">
        <f t="shared" si="14"/>
        <v>0</v>
      </c>
      <c r="Q75"/>
      <c r="R75" s="98">
        <f t="shared" si="15"/>
        <v>0</v>
      </c>
      <c r="S75" s="98">
        <f t="shared" si="16"/>
        <v>0</v>
      </c>
      <c r="T75" s="98">
        <f t="shared" si="17"/>
        <v>0</v>
      </c>
      <c r="U75"/>
      <c r="V75" s="98">
        <f t="shared" si="18"/>
        <v>0</v>
      </c>
      <c r="W75" s="98">
        <f t="shared" si="19"/>
        <v>0</v>
      </c>
      <c r="X75" s="98">
        <f t="shared" si="20"/>
        <v>0</v>
      </c>
    </row>
    <row r="76" spans="1:24">
      <c r="A76" s="97"/>
      <c r="B76" s="97"/>
      <c r="C76" s="117" t="s">
        <v>113</v>
      </c>
      <c r="D76" s="98">
        <v>7098</v>
      </c>
      <c r="E76" s="98"/>
      <c r="F76" s="98">
        <v>7098</v>
      </c>
      <c r="G76" s="98">
        <v>7098</v>
      </c>
      <c r="H76" s="98"/>
      <c r="I76" s="98">
        <v>7098</v>
      </c>
      <c r="J76" s="98">
        <v>7098</v>
      </c>
      <c r="K76" s="98"/>
      <c r="L76" s="98">
        <v>7098</v>
      </c>
      <c r="N76" s="98">
        <f t="shared" si="12"/>
        <v>0</v>
      </c>
      <c r="O76" s="98">
        <f t="shared" si="13"/>
        <v>0</v>
      </c>
      <c r="P76" s="98">
        <f t="shared" si="14"/>
        <v>0</v>
      </c>
      <c r="Q76"/>
      <c r="R76" s="98">
        <f t="shared" si="15"/>
        <v>0</v>
      </c>
      <c r="S76" s="98">
        <f t="shared" si="16"/>
        <v>0</v>
      </c>
      <c r="T76" s="98">
        <f t="shared" si="17"/>
        <v>0</v>
      </c>
      <c r="U76"/>
      <c r="V76" s="98">
        <f t="shared" si="18"/>
        <v>0</v>
      </c>
      <c r="W76" s="98">
        <f t="shared" si="19"/>
        <v>0</v>
      </c>
      <c r="X76" s="98">
        <f t="shared" si="20"/>
        <v>0</v>
      </c>
    </row>
    <row r="77" spans="1:24">
      <c r="A77" s="97"/>
      <c r="B77" s="97" t="s">
        <v>361</v>
      </c>
      <c r="C77" s="117"/>
      <c r="D77" s="98">
        <v>600</v>
      </c>
      <c r="E77" s="98"/>
      <c r="F77" s="98">
        <v>600</v>
      </c>
      <c r="G77" s="98">
        <v>600</v>
      </c>
      <c r="H77" s="98"/>
      <c r="I77" s="98">
        <v>600</v>
      </c>
      <c r="J77" s="98">
        <v>600</v>
      </c>
      <c r="K77" s="98"/>
      <c r="L77" s="98">
        <v>600</v>
      </c>
      <c r="N77" s="98">
        <f t="shared" si="12"/>
        <v>0</v>
      </c>
      <c r="O77" s="98">
        <f t="shared" si="13"/>
        <v>0</v>
      </c>
      <c r="P77" s="98">
        <f t="shared" si="14"/>
        <v>0</v>
      </c>
      <c r="Q77"/>
      <c r="R77" s="98">
        <f t="shared" si="15"/>
        <v>0</v>
      </c>
      <c r="S77" s="98">
        <f t="shared" si="16"/>
        <v>0</v>
      </c>
      <c r="T77" s="98">
        <f t="shared" si="17"/>
        <v>0</v>
      </c>
      <c r="U77"/>
      <c r="V77" s="98">
        <f t="shared" si="18"/>
        <v>0</v>
      </c>
      <c r="W77" s="98">
        <f t="shared" si="19"/>
        <v>0</v>
      </c>
      <c r="X77" s="98">
        <f t="shared" si="20"/>
        <v>0</v>
      </c>
    </row>
    <row r="78" spans="1:24">
      <c r="A78" s="97"/>
      <c r="B78" s="97"/>
      <c r="C78" s="117" t="s">
        <v>165</v>
      </c>
      <c r="D78" s="98">
        <v>600</v>
      </c>
      <c r="E78" s="98"/>
      <c r="F78" s="98">
        <v>600</v>
      </c>
      <c r="G78" s="98">
        <v>600</v>
      </c>
      <c r="H78" s="98"/>
      <c r="I78" s="98">
        <v>600</v>
      </c>
      <c r="J78" s="98">
        <v>600</v>
      </c>
      <c r="K78" s="98"/>
      <c r="L78" s="98">
        <v>600</v>
      </c>
      <c r="N78" s="98">
        <f t="shared" si="12"/>
        <v>0</v>
      </c>
      <c r="O78" s="98">
        <f t="shared" si="13"/>
        <v>0</v>
      </c>
      <c r="P78" s="98">
        <f t="shared" si="14"/>
        <v>0</v>
      </c>
      <c r="Q78"/>
      <c r="R78" s="98">
        <f t="shared" si="15"/>
        <v>0</v>
      </c>
      <c r="S78" s="98">
        <f t="shared" si="16"/>
        <v>0</v>
      </c>
      <c r="T78" s="98">
        <f t="shared" si="17"/>
        <v>0</v>
      </c>
      <c r="U78"/>
      <c r="V78" s="98">
        <f t="shared" si="18"/>
        <v>0</v>
      </c>
      <c r="W78" s="98">
        <f t="shared" si="19"/>
        <v>0</v>
      </c>
      <c r="X78" s="98">
        <f t="shared" si="20"/>
        <v>0</v>
      </c>
    </row>
    <row r="79" spans="1:24">
      <c r="A79" s="97" t="s">
        <v>166</v>
      </c>
      <c r="B79" s="97"/>
      <c r="C79" s="117"/>
      <c r="D79" s="98">
        <v>5500</v>
      </c>
      <c r="E79" s="98"/>
      <c r="F79" s="98">
        <v>5500</v>
      </c>
      <c r="G79" s="98">
        <v>5500</v>
      </c>
      <c r="H79" s="98"/>
      <c r="I79" s="98">
        <v>5500</v>
      </c>
      <c r="J79" s="98">
        <v>5500</v>
      </c>
      <c r="K79" s="98"/>
      <c r="L79" s="98">
        <v>5500</v>
      </c>
      <c r="N79" s="98">
        <f t="shared" si="12"/>
        <v>0</v>
      </c>
      <c r="O79" s="98">
        <f t="shared" si="13"/>
        <v>0</v>
      </c>
      <c r="P79" s="98">
        <f t="shared" si="14"/>
        <v>0</v>
      </c>
      <c r="Q79"/>
      <c r="R79" s="98">
        <f t="shared" si="15"/>
        <v>0</v>
      </c>
      <c r="S79" s="98">
        <f t="shared" si="16"/>
        <v>0</v>
      </c>
      <c r="T79" s="98">
        <f t="shared" si="17"/>
        <v>0</v>
      </c>
      <c r="U79"/>
      <c r="V79" s="98">
        <f t="shared" si="18"/>
        <v>0</v>
      </c>
      <c r="W79" s="98">
        <f t="shared" si="19"/>
        <v>0</v>
      </c>
      <c r="X79" s="98">
        <f t="shared" si="20"/>
        <v>0</v>
      </c>
    </row>
    <row r="80" spans="1:24">
      <c r="A80" s="97"/>
      <c r="B80" s="97" t="s">
        <v>362</v>
      </c>
      <c r="C80" s="117"/>
      <c r="D80" s="98">
        <v>5500</v>
      </c>
      <c r="E80" s="98"/>
      <c r="F80" s="98">
        <v>5500</v>
      </c>
      <c r="G80" s="98">
        <v>5500</v>
      </c>
      <c r="H80" s="98"/>
      <c r="I80" s="98">
        <v>5500</v>
      </c>
      <c r="J80" s="98">
        <v>5500</v>
      </c>
      <c r="K80" s="98"/>
      <c r="L80" s="98">
        <v>5500</v>
      </c>
      <c r="N80" s="98">
        <f t="shared" si="12"/>
        <v>0</v>
      </c>
      <c r="O80" s="98">
        <f t="shared" si="13"/>
        <v>0</v>
      </c>
      <c r="P80" s="98">
        <f t="shared" si="14"/>
        <v>0</v>
      </c>
      <c r="Q80"/>
      <c r="R80" s="98">
        <f t="shared" si="15"/>
        <v>0</v>
      </c>
      <c r="S80" s="98">
        <f t="shared" si="16"/>
        <v>0</v>
      </c>
      <c r="T80" s="98">
        <f t="shared" si="17"/>
        <v>0</v>
      </c>
      <c r="U80"/>
      <c r="V80" s="98">
        <f t="shared" si="18"/>
        <v>0</v>
      </c>
      <c r="W80" s="98">
        <f t="shared" si="19"/>
        <v>0</v>
      </c>
      <c r="X80" s="98">
        <f t="shared" si="20"/>
        <v>0</v>
      </c>
    </row>
    <row r="81" spans="1:24">
      <c r="A81" s="97"/>
      <c r="B81" s="97"/>
      <c r="C81" s="117" t="s">
        <v>168</v>
      </c>
      <c r="D81" s="98">
        <v>5500</v>
      </c>
      <c r="E81" s="98"/>
      <c r="F81" s="98">
        <v>5500</v>
      </c>
      <c r="G81" s="98">
        <v>5500</v>
      </c>
      <c r="H81" s="98"/>
      <c r="I81" s="98">
        <v>5500</v>
      </c>
      <c r="J81" s="98">
        <v>5500</v>
      </c>
      <c r="K81" s="98"/>
      <c r="L81" s="98">
        <v>5500</v>
      </c>
      <c r="N81" s="98">
        <f t="shared" si="12"/>
        <v>0</v>
      </c>
      <c r="O81" s="98">
        <f t="shared" si="13"/>
        <v>0</v>
      </c>
      <c r="P81" s="98">
        <f t="shared" si="14"/>
        <v>0</v>
      </c>
      <c r="Q81"/>
      <c r="R81" s="98">
        <f t="shared" si="15"/>
        <v>0</v>
      </c>
      <c r="S81" s="98">
        <f t="shared" si="16"/>
        <v>0</v>
      </c>
      <c r="T81" s="98">
        <f t="shared" si="17"/>
        <v>0</v>
      </c>
      <c r="U81"/>
      <c r="V81" s="98">
        <f t="shared" si="18"/>
        <v>0</v>
      </c>
      <c r="W81" s="98">
        <f t="shared" si="19"/>
        <v>0</v>
      </c>
      <c r="X81" s="98">
        <f t="shared" si="20"/>
        <v>0</v>
      </c>
    </row>
    <row r="82" spans="1:24">
      <c r="A82" s="97" t="s">
        <v>169</v>
      </c>
      <c r="B82" s="97"/>
      <c r="C82" s="117"/>
      <c r="D82" s="98"/>
      <c r="E82" s="98">
        <v>122600</v>
      </c>
      <c r="F82" s="98">
        <v>122600</v>
      </c>
      <c r="G82" s="98"/>
      <c r="H82" s="98">
        <v>122600</v>
      </c>
      <c r="I82" s="98">
        <v>122600</v>
      </c>
      <c r="J82" s="98"/>
      <c r="K82" s="98">
        <v>122600</v>
      </c>
      <c r="L82" s="98">
        <v>122600</v>
      </c>
      <c r="N82" s="98">
        <f t="shared" si="12"/>
        <v>0</v>
      </c>
      <c r="O82" s="98">
        <f t="shared" si="13"/>
        <v>0</v>
      </c>
      <c r="P82" s="98">
        <f t="shared" si="14"/>
        <v>0</v>
      </c>
      <c r="Q82"/>
      <c r="R82" s="98">
        <f t="shared" si="15"/>
        <v>0</v>
      </c>
      <c r="S82" s="98">
        <f t="shared" si="16"/>
        <v>0</v>
      </c>
      <c r="T82" s="98">
        <f t="shared" si="17"/>
        <v>0</v>
      </c>
      <c r="U82"/>
      <c r="V82" s="98">
        <f t="shared" si="18"/>
        <v>0</v>
      </c>
      <c r="W82" s="98">
        <f t="shared" si="19"/>
        <v>0</v>
      </c>
      <c r="X82" s="98">
        <f t="shared" si="20"/>
        <v>0</v>
      </c>
    </row>
    <row r="83" spans="1:24">
      <c r="A83" s="97"/>
      <c r="B83" s="97" t="s">
        <v>363</v>
      </c>
      <c r="C83" s="117"/>
      <c r="D83" s="98"/>
      <c r="E83" s="98">
        <v>73200</v>
      </c>
      <c r="F83" s="98">
        <v>73200</v>
      </c>
      <c r="G83" s="98"/>
      <c r="H83" s="98">
        <v>78200</v>
      </c>
      <c r="I83" s="98">
        <v>78200</v>
      </c>
      <c r="J83" s="98"/>
      <c r="K83" s="98">
        <v>78200</v>
      </c>
      <c r="L83" s="98">
        <v>78200</v>
      </c>
      <c r="N83" s="98">
        <f t="shared" si="12"/>
        <v>0</v>
      </c>
      <c r="O83" s="98">
        <f t="shared" si="13"/>
        <v>-5000</v>
      </c>
      <c r="P83" s="98">
        <f t="shared" si="14"/>
        <v>-5000</v>
      </c>
      <c r="Q83"/>
      <c r="R83" s="98">
        <f t="shared" si="15"/>
        <v>0</v>
      </c>
      <c r="S83" s="98">
        <f t="shared" si="16"/>
        <v>-5000</v>
      </c>
      <c r="T83" s="98">
        <f t="shared" si="17"/>
        <v>-5000</v>
      </c>
      <c r="U83"/>
      <c r="V83" s="98">
        <f t="shared" si="18"/>
        <v>0</v>
      </c>
      <c r="W83" s="98">
        <f t="shared" si="19"/>
        <v>0</v>
      </c>
      <c r="X83" s="98">
        <f t="shared" si="20"/>
        <v>0</v>
      </c>
    </row>
    <row r="84" spans="1:24">
      <c r="A84" s="97"/>
      <c r="B84" s="97"/>
      <c r="C84" s="117" t="s">
        <v>171</v>
      </c>
      <c r="D84" s="98"/>
      <c r="E84" s="98">
        <v>31000</v>
      </c>
      <c r="F84" s="98">
        <v>31000</v>
      </c>
      <c r="G84" s="98"/>
      <c r="H84" s="98">
        <v>36000</v>
      </c>
      <c r="I84" s="98">
        <v>36000</v>
      </c>
      <c r="J84" s="98"/>
      <c r="K84" s="98">
        <v>36000</v>
      </c>
      <c r="L84" s="98">
        <v>36000</v>
      </c>
      <c r="N84" s="98">
        <f t="shared" si="12"/>
        <v>0</v>
      </c>
      <c r="O84" s="98">
        <f t="shared" si="13"/>
        <v>-5000</v>
      </c>
      <c r="P84" s="98">
        <f t="shared" si="14"/>
        <v>-5000</v>
      </c>
      <c r="Q84"/>
      <c r="R84" s="98">
        <f t="shared" si="15"/>
        <v>0</v>
      </c>
      <c r="S84" s="98">
        <f t="shared" si="16"/>
        <v>-5000</v>
      </c>
      <c r="T84" s="98">
        <f t="shared" si="17"/>
        <v>-5000</v>
      </c>
      <c r="U84"/>
      <c r="V84" s="98">
        <f t="shared" si="18"/>
        <v>0</v>
      </c>
      <c r="W84" s="98">
        <f t="shared" si="19"/>
        <v>0</v>
      </c>
      <c r="X84" s="98">
        <f t="shared" si="20"/>
        <v>0</v>
      </c>
    </row>
    <row r="85" spans="1:24">
      <c r="A85" s="97"/>
      <c r="B85" s="97"/>
      <c r="C85" s="117" t="s">
        <v>173</v>
      </c>
      <c r="D85" s="98"/>
      <c r="E85" s="98">
        <v>2400</v>
      </c>
      <c r="F85" s="98">
        <v>2400</v>
      </c>
      <c r="G85" s="98"/>
      <c r="H85" s="98">
        <v>2400</v>
      </c>
      <c r="I85" s="98">
        <v>2400</v>
      </c>
      <c r="J85" s="98"/>
      <c r="K85" s="98">
        <v>2400</v>
      </c>
      <c r="L85" s="98">
        <v>2400</v>
      </c>
      <c r="N85" s="98">
        <f t="shared" si="12"/>
        <v>0</v>
      </c>
      <c r="O85" s="98">
        <f t="shared" si="13"/>
        <v>0</v>
      </c>
      <c r="P85" s="98">
        <f t="shared" si="14"/>
        <v>0</v>
      </c>
      <c r="Q85"/>
      <c r="R85" s="98">
        <f t="shared" si="15"/>
        <v>0</v>
      </c>
      <c r="S85" s="98">
        <f t="shared" si="16"/>
        <v>0</v>
      </c>
      <c r="T85" s="98">
        <f t="shared" si="17"/>
        <v>0</v>
      </c>
      <c r="U85"/>
      <c r="V85" s="98">
        <f t="shared" si="18"/>
        <v>0</v>
      </c>
      <c r="W85" s="98">
        <f t="shared" si="19"/>
        <v>0</v>
      </c>
      <c r="X85" s="98">
        <f t="shared" si="20"/>
        <v>0</v>
      </c>
    </row>
    <row r="86" spans="1:24">
      <c r="A86" s="97"/>
      <c r="B86" s="97"/>
      <c r="C86" s="117" t="s">
        <v>175</v>
      </c>
      <c r="D86" s="98"/>
      <c r="E86" s="98">
        <v>2000</v>
      </c>
      <c r="F86" s="98">
        <v>2000</v>
      </c>
      <c r="G86" s="98"/>
      <c r="H86" s="98">
        <v>2000</v>
      </c>
      <c r="I86" s="98">
        <v>2000</v>
      </c>
      <c r="J86" s="98"/>
      <c r="K86" s="98">
        <v>2000</v>
      </c>
      <c r="L86" s="98">
        <v>2000</v>
      </c>
      <c r="N86" s="98">
        <f t="shared" si="12"/>
        <v>0</v>
      </c>
      <c r="O86" s="98">
        <f t="shared" si="13"/>
        <v>0</v>
      </c>
      <c r="P86" s="98">
        <f t="shared" si="14"/>
        <v>0</v>
      </c>
      <c r="Q86"/>
      <c r="R86" s="98">
        <f t="shared" si="15"/>
        <v>0</v>
      </c>
      <c r="S86" s="98">
        <f t="shared" si="16"/>
        <v>0</v>
      </c>
      <c r="T86" s="98">
        <f t="shared" si="17"/>
        <v>0</v>
      </c>
      <c r="U86"/>
      <c r="V86" s="98">
        <f t="shared" si="18"/>
        <v>0</v>
      </c>
      <c r="W86" s="98">
        <f t="shared" si="19"/>
        <v>0</v>
      </c>
      <c r="X86" s="98">
        <f t="shared" si="20"/>
        <v>0</v>
      </c>
    </row>
    <row r="87" spans="1:24">
      <c r="A87" s="97"/>
      <c r="B87" s="97"/>
      <c r="C87" s="117" t="s">
        <v>179</v>
      </c>
      <c r="D87" s="98"/>
      <c r="E87" s="98">
        <v>1800</v>
      </c>
      <c r="F87" s="98">
        <v>1800</v>
      </c>
      <c r="G87" s="98"/>
      <c r="H87" s="98">
        <v>1800</v>
      </c>
      <c r="I87" s="98">
        <v>1800</v>
      </c>
      <c r="J87" s="98"/>
      <c r="K87" s="98">
        <v>1800</v>
      </c>
      <c r="L87" s="98">
        <v>1800</v>
      </c>
      <c r="N87" s="98">
        <f t="shared" si="12"/>
        <v>0</v>
      </c>
      <c r="O87" s="98">
        <f t="shared" si="13"/>
        <v>0</v>
      </c>
      <c r="P87" s="98">
        <f t="shared" si="14"/>
        <v>0</v>
      </c>
      <c r="Q87"/>
      <c r="R87" s="98">
        <f t="shared" si="15"/>
        <v>0</v>
      </c>
      <c r="S87" s="98">
        <f t="shared" si="16"/>
        <v>0</v>
      </c>
      <c r="T87" s="98">
        <f t="shared" si="17"/>
        <v>0</v>
      </c>
      <c r="U87"/>
      <c r="V87" s="98">
        <f t="shared" si="18"/>
        <v>0</v>
      </c>
      <c r="W87" s="98">
        <f t="shared" si="19"/>
        <v>0</v>
      </c>
      <c r="X87" s="98">
        <f t="shared" si="20"/>
        <v>0</v>
      </c>
    </row>
    <row r="88" spans="1:24">
      <c r="A88" s="97"/>
      <c r="B88" s="97"/>
      <c r="C88" s="117" t="s">
        <v>177</v>
      </c>
      <c r="D88" s="98"/>
      <c r="E88" s="98">
        <v>15000</v>
      </c>
      <c r="F88" s="98">
        <v>15000</v>
      </c>
      <c r="G88" s="98"/>
      <c r="H88" s="98">
        <v>15000</v>
      </c>
      <c r="I88" s="98">
        <v>15000</v>
      </c>
      <c r="J88" s="98"/>
      <c r="K88" s="98">
        <v>15000</v>
      </c>
      <c r="L88" s="98">
        <v>15000</v>
      </c>
      <c r="N88" s="98">
        <f t="shared" si="12"/>
        <v>0</v>
      </c>
      <c r="O88" s="98">
        <f t="shared" si="13"/>
        <v>0</v>
      </c>
      <c r="P88" s="98">
        <f t="shared" si="14"/>
        <v>0</v>
      </c>
      <c r="Q88"/>
      <c r="R88" s="98">
        <f t="shared" si="15"/>
        <v>0</v>
      </c>
      <c r="S88" s="98">
        <f t="shared" si="16"/>
        <v>0</v>
      </c>
      <c r="T88" s="98">
        <f t="shared" si="17"/>
        <v>0</v>
      </c>
      <c r="U88"/>
      <c r="V88" s="98">
        <f t="shared" si="18"/>
        <v>0</v>
      </c>
      <c r="W88" s="98">
        <f t="shared" si="19"/>
        <v>0</v>
      </c>
      <c r="X88" s="98">
        <f t="shared" si="20"/>
        <v>0</v>
      </c>
    </row>
    <row r="89" spans="1:24">
      <c r="A89" s="97"/>
      <c r="B89" s="97"/>
      <c r="C89" s="117" t="s">
        <v>181</v>
      </c>
      <c r="D89" s="98"/>
      <c r="E89" s="98">
        <v>21000</v>
      </c>
      <c r="F89" s="98">
        <v>21000</v>
      </c>
      <c r="G89" s="98"/>
      <c r="H89" s="98">
        <v>21000</v>
      </c>
      <c r="I89" s="98">
        <v>21000</v>
      </c>
      <c r="J89" s="98"/>
      <c r="K89" s="98">
        <v>21000</v>
      </c>
      <c r="L89" s="98">
        <v>21000</v>
      </c>
      <c r="N89" s="98">
        <f t="shared" si="12"/>
        <v>0</v>
      </c>
      <c r="O89" s="98">
        <f t="shared" si="13"/>
        <v>0</v>
      </c>
      <c r="P89" s="98">
        <f t="shared" si="14"/>
        <v>0</v>
      </c>
      <c r="Q89"/>
      <c r="R89" s="98">
        <f t="shared" si="15"/>
        <v>0</v>
      </c>
      <c r="S89" s="98">
        <f t="shared" si="16"/>
        <v>0</v>
      </c>
      <c r="T89" s="98">
        <f t="shared" si="17"/>
        <v>0</v>
      </c>
      <c r="U89"/>
      <c r="V89" s="98">
        <f t="shared" si="18"/>
        <v>0</v>
      </c>
      <c r="W89" s="98">
        <f t="shared" si="19"/>
        <v>0</v>
      </c>
      <c r="X89" s="98">
        <f t="shared" si="20"/>
        <v>0</v>
      </c>
    </row>
    <row r="90" spans="1:24">
      <c r="A90" s="97"/>
      <c r="B90" s="97" t="s">
        <v>364</v>
      </c>
      <c r="C90" s="117"/>
      <c r="D90" s="98"/>
      <c r="E90" s="98">
        <v>20000</v>
      </c>
      <c r="F90" s="98">
        <v>20000</v>
      </c>
      <c r="G90" s="98"/>
      <c r="H90" s="98">
        <v>15000</v>
      </c>
      <c r="I90" s="98">
        <v>15000</v>
      </c>
      <c r="J90" s="98"/>
      <c r="K90" s="98">
        <v>15000</v>
      </c>
      <c r="L90" s="98">
        <v>15000</v>
      </c>
      <c r="N90" s="98">
        <f t="shared" si="12"/>
        <v>0</v>
      </c>
      <c r="O90" s="98">
        <f t="shared" si="13"/>
        <v>5000</v>
      </c>
      <c r="P90" s="98">
        <f t="shared" si="14"/>
        <v>5000</v>
      </c>
      <c r="Q90"/>
      <c r="R90" s="98">
        <f t="shared" si="15"/>
        <v>0</v>
      </c>
      <c r="S90" s="98">
        <f t="shared" si="16"/>
        <v>5000</v>
      </c>
      <c r="T90" s="98">
        <f t="shared" si="17"/>
        <v>5000</v>
      </c>
      <c r="U90"/>
      <c r="V90" s="98">
        <f t="shared" si="18"/>
        <v>0</v>
      </c>
      <c r="W90" s="98">
        <f t="shared" si="19"/>
        <v>0</v>
      </c>
      <c r="X90" s="98">
        <f t="shared" si="20"/>
        <v>0</v>
      </c>
    </row>
    <row r="91" spans="1:24">
      <c r="A91" s="97"/>
      <c r="B91" s="97"/>
      <c r="C91" s="117" t="s">
        <v>183</v>
      </c>
      <c r="D91" s="98"/>
      <c r="E91" s="98">
        <v>11000</v>
      </c>
      <c r="F91" s="98">
        <v>11000</v>
      </c>
      <c r="G91" s="98"/>
      <c r="H91" s="98">
        <v>11000</v>
      </c>
      <c r="I91" s="98">
        <v>11000</v>
      </c>
      <c r="J91" s="98"/>
      <c r="K91" s="98">
        <v>11000</v>
      </c>
      <c r="L91" s="98">
        <v>11000</v>
      </c>
      <c r="N91" s="98">
        <f t="shared" si="12"/>
        <v>0</v>
      </c>
      <c r="O91" s="98">
        <f t="shared" si="13"/>
        <v>0</v>
      </c>
      <c r="P91" s="98">
        <f t="shared" si="14"/>
        <v>0</v>
      </c>
      <c r="Q91"/>
      <c r="R91" s="98">
        <f t="shared" si="15"/>
        <v>0</v>
      </c>
      <c r="S91" s="98">
        <f t="shared" si="16"/>
        <v>0</v>
      </c>
      <c r="T91" s="98">
        <f t="shared" si="17"/>
        <v>0</v>
      </c>
      <c r="U91"/>
      <c r="V91" s="98">
        <f t="shared" si="18"/>
        <v>0</v>
      </c>
      <c r="W91" s="98">
        <f t="shared" si="19"/>
        <v>0</v>
      </c>
      <c r="X91" s="98">
        <f t="shared" si="20"/>
        <v>0</v>
      </c>
    </row>
    <row r="92" spans="1:24">
      <c r="A92" s="97"/>
      <c r="B92" s="97"/>
      <c r="C92" s="117" t="s">
        <v>196</v>
      </c>
      <c r="D92" s="98"/>
      <c r="E92" s="98">
        <v>4000</v>
      </c>
      <c r="F92" s="98">
        <v>4000</v>
      </c>
      <c r="G92" s="98"/>
      <c r="H92" s="98">
        <v>4000</v>
      </c>
      <c r="I92" s="98">
        <v>4000</v>
      </c>
      <c r="J92" s="98"/>
      <c r="K92" s="98">
        <v>4000</v>
      </c>
      <c r="L92" s="98">
        <v>4000</v>
      </c>
      <c r="N92" s="98">
        <f t="shared" si="12"/>
        <v>0</v>
      </c>
      <c r="O92" s="98">
        <f t="shared" si="13"/>
        <v>0</v>
      </c>
      <c r="P92" s="98">
        <f t="shared" si="14"/>
        <v>0</v>
      </c>
      <c r="Q92"/>
      <c r="R92" s="98">
        <f t="shared" si="15"/>
        <v>0</v>
      </c>
      <c r="S92" s="98">
        <f t="shared" si="16"/>
        <v>0</v>
      </c>
      <c r="T92" s="98">
        <f t="shared" si="17"/>
        <v>0</v>
      </c>
      <c r="U92"/>
      <c r="V92" s="98">
        <f t="shared" si="18"/>
        <v>0</v>
      </c>
      <c r="W92" s="98">
        <f t="shared" si="19"/>
        <v>0</v>
      </c>
      <c r="X92" s="98">
        <f t="shared" si="20"/>
        <v>0</v>
      </c>
    </row>
    <row r="93" spans="1:24">
      <c r="A93" s="97"/>
      <c r="B93" s="97"/>
      <c r="C93" s="117" t="s">
        <v>440</v>
      </c>
      <c r="D93" s="98"/>
      <c r="E93" s="98">
        <v>5000</v>
      </c>
      <c r="F93" s="98">
        <v>5000</v>
      </c>
      <c r="G93" s="98"/>
      <c r="H93" s="98"/>
      <c r="I93" s="98"/>
      <c r="J93" s="98"/>
      <c r="K93" s="98"/>
      <c r="L93" s="98"/>
      <c r="N93" s="98">
        <f t="shared" si="12"/>
        <v>0</v>
      </c>
      <c r="O93" s="98">
        <f t="shared" si="13"/>
        <v>5000</v>
      </c>
      <c r="P93" s="98">
        <f t="shared" si="14"/>
        <v>5000</v>
      </c>
      <c r="Q93"/>
      <c r="R93" s="98">
        <f t="shared" si="15"/>
        <v>0</v>
      </c>
      <c r="S93" s="98">
        <f t="shared" si="16"/>
        <v>5000</v>
      </c>
      <c r="T93" s="98">
        <f t="shared" si="17"/>
        <v>5000</v>
      </c>
      <c r="U93"/>
      <c r="V93" s="98">
        <f t="shared" si="18"/>
        <v>0</v>
      </c>
      <c r="W93" s="98">
        <f t="shared" si="19"/>
        <v>0</v>
      </c>
      <c r="X93" s="98">
        <f t="shared" si="20"/>
        <v>0</v>
      </c>
    </row>
    <row r="94" spans="1:24">
      <c r="A94" s="97"/>
      <c r="B94" s="97" t="s">
        <v>365</v>
      </c>
      <c r="C94" s="117"/>
      <c r="D94" s="98"/>
      <c r="E94" s="98">
        <v>24400</v>
      </c>
      <c r="F94" s="98">
        <v>24400</v>
      </c>
      <c r="G94" s="98"/>
      <c r="H94" s="98">
        <v>24400</v>
      </c>
      <c r="I94" s="98">
        <v>24400</v>
      </c>
      <c r="J94" s="98"/>
      <c r="K94" s="98">
        <v>24400</v>
      </c>
      <c r="L94" s="98">
        <v>24400</v>
      </c>
      <c r="N94" s="98">
        <f t="shared" si="12"/>
        <v>0</v>
      </c>
      <c r="O94" s="98">
        <f t="shared" si="13"/>
        <v>0</v>
      </c>
      <c r="P94" s="98">
        <f t="shared" si="14"/>
        <v>0</v>
      </c>
      <c r="Q94"/>
      <c r="R94" s="98">
        <f t="shared" si="15"/>
        <v>0</v>
      </c>
      <c r="S94" s="98">
        <f t="shared" si="16"/>
        <v>0</v>
      </c>
      <c r="T94" s="98">
        <f t="shared" si="17"/>
        <v>0</v>
      </c>
      <c r="U94"/>
      <c r="V94" s="98">
        <f t="shared" si="18"/>
        <v>0</v>
      </c>
      <c r="W94" s="98">
        <f t="shared" si="19"/>
        <v>0</v>
      </c>
      <c r="X94" s="98">
        <f t="shared" si="20"/>
        <v>0</v>
      </c>
    </row>
    <row r="95" spans="1:24">
      <c r="A95" s="97"/>
      <c r="B95" s="97"/>
      <c r="C95" s="117" t="s">
        <v>185</v>
      </c>
      <c r="D95" s="98"/>
      <c r="E95" s="98"/>
      <c r="F95" s="98"/>
      <c r="G95" s="98"/>
      <c r="H95" s="98">
        <v>4400</v>
      </c>
      <c r="I95" s="98">
        <v>4400</v>
      </c>
      <c r="J95" s="98"/>
      <c r="K95" s="98">
        <v>4400</v>
      </c>
      <c r="L95" s="98">
        <v>4400</v>
      </c>
      <c r="N95" s="98">
        <f t="shared" si="12"/>
        <v>0</v>
      </c>
      <c r="O95" s="98">
        <f t="shared" si="13"/>
        <v>-4400</v>
      </c>
      <c r="P95" s="98">
        <f t="shared" si="14"/>
        <v>-4400</v>
      </c>
      <c r="Q95"/>
      <c r="R95" s="98">
        <f t="shared" si="15"/>
        <v>0</v>
      </c>
      <c r="S95" s="98">
        <f t="shared" si="16"/>
        <v>-4400</v>
      </c>
      <c r="T95" s="98">
        <f t="shared" si="17"/>
        <v>-4400</v>
      </c>
      <c r="U95"/>
      <c r="V95" s="98">
        <f t="shared" si="18"/>
        <v>0</v>
      </c>
      <c r="W95" s="98">
        <f t="shared" si="19"/>
        <v>0</v>
      </c>
      <c r="X95" s="98">
        <f t="shared" si="20"/>
        <v>0</v>
      </c>
    </row>
    <row r="96" spans="1:24">
      <c r="A96" s="97"/>
      <c r="B96" s="97"/>
      <c r="C96" s="117" t="s">
        <v>198</v>
      </c>
      <c r="D96" s="98"/>
      <c r="E96" s="98">
        <v>20000</v>
      </c>
      <c r="F96" s="98">
        <v>20000</v>
      </c>
      <c r="G96" s="98"/>
      <c r="H96" s="98">
        <v>20000</v>
      </c>
      <c r="I96" s="98">
        <v>20000</v>
      </c>
      <c r="J96" s="98"/>
      <c r="K96" s="98">
        <v>20000</v>
      </c>
      <c r="L96" s="98">
        <v>20000</v>
      </c>
      <c r="N96" s="98">
        <f t="shared" si="12"/>
        <v>0</v>
      </c>
      <c r="O96" s="98">
        <f t="shared" si="13"/>
        <v>0</v>
      </c>
      <c r="P96" s="98">
        <f t="shared" si="14"/>
        <v>0</v>
      </c>
      <c r="Q96"/>
      <c r="R96" s="98">
        <f t="shared" si="15"/>
        <v>0</v>
      </c>
      <c r="S96" s="98">
        <f t="shared" si="16"/>
        <v>0</v>
      </c>
      <c r="T96" s="98">
        <f t="shared" si="17"/>
        <v>0</v>
      </c>
      <c r="U96"/>
      <c r="V96" s="98">
        <f t="shared" si="18"/>
        <v>0</v>
      </c>
      <c r="W96" s="98">
        <f t="shared" si="19"/>
        <v>0</v>
      </c>
      <c r="X96" s="98">
        <f t="shared" si="20"/>
        <v>0</v>
      </c>
    </row>
    <row r="97" spans="1:24">
      <c r="A97" s="97"/>
      <c r="B97" s="97"/>
      <c r="C97" s="117" t="s">
        <v>441</v>
      </c>
      <c r="D97" s="98"/>
      <c r="E97" s="98">
        <v>4400</v>
      </c>
      <c r="F97" s="98">
        <v>4400</v>
      </c>
      <c r="G97" s="98"/>
      <c r="H97" s="98"/>
      <c r="I97" s="98"/>
      <c r="J97" s="98"/>
      <c r="K97" s="98"/>
      <c r="L97" s="98"/>
      <c r="N97" s="98">
        <f t="shared" si="12"/>
        <v>0</v>
      </c>
      <c r="O97" s="98">
        <f t="shared" si="13"/>
        <v>4400</v>
      </c>
      <c r="P97" s="98">
        <f t="shared" si="14"/>
        <v>4400</v>
      </c>
      <c r="Q97"/>
      <c r="R97" s="98">
        <f t="shared" si="15"/>
        <v>0</v>
      </c>
      <c r="S97" s="98">
        <f t="shared" si="16"/>
        <v>4400</v>
      </c>
      <c r="T97" s="98">
        <f t="shared" si="17"/>
        <v>4400</v>
      </c>
      <c r="U97"/>
      <c r="V97" s="98">
        <f t="shared" si="18"/>
        <v>0</v>
      </c>
      <c r="W97" s="98">
        <f t="shared" si="19"/>
        <v>0</v>
      </c>
      <c r="X97" s="98">
        <f t="shared" si="20"/>
        <v>0</v>
      </c>
    </row>
    <row r="98" spans="1:24">
      <c r="A98" s="97"/>
      <c r="B98" s="97" t="s">
        <v>366</v>
      </c>
      <c r="C98" s="117"/>
      <c r="D98" s="98"/>
      <c r="E98" s="98">
        <v>5000</v>
      </c>
      <c r="F98" s="98">
        <v>5000</v>
      </c>
      <c r="G98" s="98"/>
      <c r="H98" s="98">
        <v>5000</v>
      </c>
      <c r="I98" s="98">
        <v>5000</v>
      </c>
      <c r="J98" s="98"/>
      <c r="K98" s="98">
        <v>5000</v>
      </c>
      <c r="L98" s="98">
        <v>5000</v>
      </c>
      <c r="N98" s="98">
        <f t="shared" si="12"/>
        <v>0</v>
      </c>
      <c r="O98" s="98">
        <f t="shared" si="13"/>
        <v>0</v>
      </c>
      <c r="P98" s="98">
        <f t="shared" si="14"/>
        <v>0</v>
      </c>
      <c r="Q98"/>
      <c r="R98" s="98">
        <f t="shared" si="15"/>
        <v>0</v>
      </c>
      <c r="S98" s="98">
        <f t="shared" si="16"/>
        <v>0</v>
      </c>
      <c r="T98" s="98">
        <f t="shared" si="17"/>
        <v>0</v>
      </c>
      <c r="U98"/>
      <c r="V98" s="98">
        <f t="shared" si="18"/>
        <v>0</v>
      </c>
      <c r="W98" s="98">
        <f t="shared" si="19"/>
        <v>0</v>
      </c>
      <c r="X98" s="98">
        <f t="shared" si="20"/>
        <v>0</v>
      </c>
    </row>
    <row r="99" spans="1:24">
      <c r="A99" s="97"/>
      <c r="B99" s="97"/>
      <c r="C99" s="117" t="s">
        <v>194</v>
      </c>
      <c r="D99" s="98"/>
      <c r="E99" s="98">
        <v>5000</v>
      </c>
      <c r="F99" s="98">
        <v>5000</v>
      </c>
      <c r="G99" s="98"/>
      <c r="H99" s="98">
        <v>5000</v>
      </c>
      <c r="I99" s="98">
        <v>5000</v>
      </c>
      <c r="J99" s="98"/>
      <c r="K99" s="98">
        <v>5000</v>
      </c>
      <c r="L99" s="98">
        <v>5000</v>
      </c>
      <c r="N99" s="98">
        <f t="shared" si="12"/>
        <v>0</v>
      </c>
      <c r="O99" s="98">
        <f t="shared" si="13"/>
        <v>0</v>
      </c>
      <c r="P99" s="98">
        <f t="shared" si="14"/>
        <v>0</v>
      </c>
      <c r="Q99"/>
      <c r="R99" s="98">
        <f t="shared" si="15"/>
        <v>0</v>
      </c>
      <c r="S99" s="98">
        <f t="shared" si="16"/>
        <v>0</v>
      </c>
      <c r="T99" s="98">
        <f t="shared" si="17"/>
        <v>0</v>
      </c>
      <c r="U99"/>
      <c r="V99" s="98">
        <f t="shared" si="18"/>
        <v>0</v>
      </c>
      <c r="W99" s="98">
        <f t="shared" si="19"/>
        <v>0</v>
      </c>
      <c r="X99" s="98">
        <f t="shared" si="20"/>
        <v>0</v>
      </c>
    </row>
    <row r="100" spans="1:24">
      <c r="A100" s="97" t="s">
        <v>208</v>
      </c>
      <c r="B100" s="97"/>
      <c r="C100" s="117"/>
      <c r="D100" s="98"/>
      <c r="E100" s="98">
        <v>35000</v>
      </c>
      <c r="F100" s="98">
        <v>35000</v>
      </c>
      <c r="G100" s="98"/>
      <c r="H100" s="98">
        <v>35000</v>
      </c>
      <c r="I100" s="98">
        <v>35000</v>
      </c>
      <c r="J100" s="98"/>
      <c r="K100" s="98">
        <v>35000</v>
      </c>
      <c r="L100" s="98">
        <v>35000</v>
      </c>
      <c r="N100" s="98">
        <f t="shared" si="12"/>
        <v>0</v>
      </c>
      <c r="O100" s="98">
        <f t="shared" si="13"/>
        <v>0</v>
      </c>
      <c r="P100" s="98">
        <f t="shared" si="14"/>
        <v>0</v>
      </c>
      <c r="Q100"/>
      <c r="R100" s="98">
        <f t="shared" si="15"/>
        <v>0</v>
      </c>
      <c r="S100" s="98">
        <f t="shared" si="16"/>
        <v>0</v>
      </c>
      <c r="T100" s="98">
        <f t="shared" si="17"/>
        <v>0</v>
      </c>
      <c r="U100"/>
      <c r="V100" s="98">
        <f t="shared" si="18"/>
        <v>0</v>
      </c>
      <c r="W100" s="98">
        <f t="shared" si="19"/>
        <v>0</v>
      </c>
      <c r="X100" s="98">
        <f t="shared" si="20"/>
        <v>0</v>
      </c>
    </row>
    <row r="101" spans="1:24">
      <c r="A101" s="97"/>
      <c r="B101" s="97" t="s">
        <v>367</v>
      </c>
      <c r="C101" s="117"/>
      <c r="D101" s="98"/>
      <c r="E101" s="98">
        <v>35000</v>
      </c>
      <c r="F101" s="98">
        <v>35000</v>
      </c>
      <c r="G101" s="98"/>
      <c r="H101" s="98">
        <v>35000</v>
      </c>
      <c r="I101" s="98">
        <v>35000</v>
      </c>
      <c r="J101" s="98"/>
      <c r="K101" s="98">
        <v>35000</v>
      </c>
      <c r="L101" s="98">
        <v>35000</v>
      </c>
      <c r="N101" s="98">
        <f t="shared" si="12"/>
        <v>0</v>
      </c>
      <c r="O101" s="98">
        <f t="shared" si="13"/>
        <v>0</v>
      </c>
      <c r="P101" s="98">
        <f t="shared" si="14"/>
        <v>0</v>
      </c>
      <c r="Q101"/>
      <c r="R101" s="98">
        <f t="shared" si="15"/>
        <v>0</v>
      </c>
      <c r="S101" s="98">
        <f t="shared" si="16"/>
        <v>0</v>
      </c>
      <c r="T101" s="98">
        <f t="shared" si="17"/>
        <v>0</v>
      </c>
      <c r="U101"/>
      <c r="V101" s="98">
        <f t="shared" si="18"/>
        <v>0</v>
      </c>
      <c r="W101" s="98">
        <f t="shared" si="19"/>
        <v>0</v>
      </c>
      <c r="X101" s="98">
        <f t="shared" si="20"/>
        <v>0</v>
      </c>
    </row>
    <row r="102" spans="1:24">
      <c r="A102" s="97"/>
      <c r="B102" s="97"/>
      <c r="C102" s="117" t="s">
        <v>210</v>
      </c>
      <c r="D102" s="98"/>
      <c r="E102" s="98">
        <v>25000</v>
      </c>
      <c r="F102" s="98">
        <v>25000</v>
      </c>
      <c r="G102" s="98"/>
      <c r="H102" s="98">
        <v>25000</v>
      </c>
      <c r="I102" s="98">
        <v>25000</v>
      </c>
      <c r="J102" s="98"/>
      <c r="K102" s="98">
        <v>25000</v>
      </c>
      <c r="L102" s="98">
        <v>25000</v>
      </c>
      <c r="N102" s="98">
        <f t="shared" si="12"/>
        <v>0</v>
      </c>
      <c r="O102" s="98">
        <f t="shared" si="13"/>
        <v>0</v>
      </c>
      <c r="P102" s="98">
        <f t="shared" si="14"/>
        <v>0</v>
      </c>
      <c r="Q102"/>
      <c r="R102" s="98">
        <f t="shared" si="15"/>
        <v>0</v>
      </c>
      <c r="S102" s="98">
        <f t="shared" si="16"/>
        <v>0</v>
      </c>
      <c r="T102" s="98">
        <f t="shared" si="17"/>
        <v>0</v>
      </c>
      <c r="U102"/>
      <c r="V102" s="98">
        <f t="shared" si="18"/>
        <v>0</v>
      </c>
      <c r="W102" s="98">
        <f t="shared" si="19"/>
        <v>0</v>
      </c>
      <c r="X102" s="98">
        <f t="shared" si="20"/>
        <v>0</v>
      </c>
    </row>
    <row r="103" spans="1:24">
      <c r="A103" s="97"/>
      <c r="B103" s="97"/>
      <c r="C103" s="117" t="s">
        <v>212</v>
      </c>
      <c r="D103" s="98"/>
      <c r="E103" s="98">
        <v>10000</v>
      </c>
      <c r="F103" s="98">
        <v>10000</v>
      </c>
      <c r="G103" s="98"/>
      <c r="H103" s="98">
        <v>10000</v>
      </c>
      <c r="I103" s="98">
        <v>10000</v>
      </c>
      <c r="J103" s="98"/>
      <c r="K103" s="98">
        <v>10000</v>
      </c>
      <c r="L103" s="98">
        <v>10000</v>
      </c>
      <c r="N103" s="98">
        <f t="shared" si="12"/>
        <v>0</v>
      </c>
      <c r="O103" s="98">
        <f t="shared" si="13"/>
        <v>0</v>
      </c>
      <c r="P103" s="98">
        <f t="shared" si="14"/>
        <v>0</v>
      </c>
      <c r="Q103"/>
      <c r="R103" s="98">
        <f t="shared" si="15"/>
        <v>0</v>
      </c>
      <c r="S103" s="98">
        <f t="shared" si="16"/>
        <v>0</v>
      </c>
      <c r="T103" s="98">
        <f t="shared" si="17"/>
        <v>0</v>
      </c>
      <c r="U103"/>
      <c r="V103" s="98">
        <f t="shared" si="18"/>
        <v>0</v>
      </c>
      <c r="W103" s="98">
        <f t="shared" si="19"/>
        <v>0</v>
      </c>
      <c r="X103" s="98">
        <f t="shared" si="20"/>
        <v>0</v>
      </c>
    </row>
    <row r="104" spans="1:24">
      <c r="A104" s="97" t="s">
        <v>225</v>
      </c>
      <c r="B104" s="97"/>
      <c r="C104" s="117"/>
      <c r="D104" s="98">
        <v>21509</v>
      </c>
      <c r="E104" s="98"/>
      <c r="F104" s="98">
        <v>21509</v>
      </c>
      <c r="G104" s="98">
        <v>36509</v>
      </c>
      <c r="H104" s="98"/>
      <c r="I104" s="98">
        <v>36509</v>
      </c>
      <c r="J104" s="98">
        <v>36509</v>
      </c>
      <c r="K104" s="98"/>
      <c r="L104" s="98">
        <v>36509</v>
      </c>
      <c r="N104" s="98">
        <f t="shared" si="12"/>
        <v>-15000</v>
      </c>
      <c r="O104" s="98">
        <f t="shared" si="13"/>
        <v>0</v>
      </c>
      <c r="P104" s="98">
        <f t="shared" si="14"/>
        <v>-15000</v>
      </c>
      <c r="Q104"/>
      <c r="R104" s="98">
        <f t="shared" si="15"/>
        <v>-15000</v>
      </c>
      <c r="S104" s="98">
        <f t="shared" si="16"/>
        <v>0</v>
      </c>
      <c r="T104" s="98">
        <f t="shared" si="17"/>
        <v>-15000</v>
      </c>
      <c r="U104"/>
      <c r="V104" s="98">
        <f t="shared" si="18"/>
        <v>0</v>
      </c>
      <c r="W104" s="98">
        <f t="shared" si="19"/>
        <v>0</v>
      </c>
      <c r="X104" s="98">
        <f t="shared" si="20"/>
        <v>0</v>
      </c>
    </row>
    <row r="105" spans="1:24">
      <c r="A105" s="97"/>
      <c r="B105" s="97" t="s">
        <v>225</v>
      </c>
      <c r="C105" s="117"/>
      <c r="D105" s="98">
        <v>21509</v>
      </c>
      <c r="E105" s="98"/>
      <c r="F105" s="98">
        <v>21509</v>
      </c>
      <c r="G105" s="98">
        <v>36509</v>
      </c>
      <c r="H105" s="98"/>
      <c r="I105" s="98">
        <v>36509</v>
      </c>
      <c r="J105" s="98">
        <v>36509</v>
      </c>
      <c r="K105" s="98"/>
      <c r="L105" s="98">
        <v>36509</v>
      </c>
      <c r="N105" s="98">
        <f t="shared" si="12"/>
        <v>-15000</v>
      </c>
      <c r="O105" s="98">
        <f t="shared" si="13"/>
        <v>0</v>
      </c>
      <c r="P105" s="98">
        <f t="shared" si="14"/>
        <v>-15000</v>
      </c>
      <c r="Q105"/>
      <c r="R105" s="98">
        <f t="shared" si="15"/>
        <v>-15000</v>
      </c>
      <c r="S105" s="98">
        <f t="shared" si="16"/>
        <v>0</v>
      </c>
      <c r="T105" s="98">
        <f t="shared" si="17"/>
        <v>-15000</v>
      </c>
      <c r="U105"/>
      <c r="V105" s="98">
        <f t="shared" si="18"/>
        <v>0</v>
      </c>
      <c r="W105" s="98">
        <f t="shared" si="19"/>
        <v>0</v>
      </c>
      <c r="X105" s="98">
        <f t="shared" si="20"/>
        <v>0</v>
      </c>
    </row>
    <row r="106" spans="1:24">
      <c r="A106" s="97"/>
      <c r="B106" s="97"/>
      <c r="C106" s="117" t="s">
        <v>227</v>
      </c>
      <c r="D106" s="98">
        <v>10000</v>
      </c>
      <c r="E106" s="98"/>
      <c r="F106" s="98">
        <v>10000</v>
      </c>
      <c r="G106" s="98">
        <v>15000</v>
      </c>
      <c r="H106" s="98"/>
      <c r="I106" s="98">
        <v>15000</v>
      </c>
      <c r="J106" s="98">
        <v>15000</v>
      </c>
      <c r="K106" s="98"/>
      <c r="L106" s="98">
        <v>15000</v>
      </c>
      <c r="N106" s="98">
        <f t="shared" si="12"/>
        <v>-5000</v>
      </c>
      <c r="O106" s="98">
        <f t="shared" si="13"/>
        <v>0</v>
      </c>
      <c r="P106" s="98">
        <f t="shared" si="14"/>
        <v>-5000</v>
      </c>
      <c r="Q106"/>
      <c r="R106" s="98">
        <f t="shared" si="15"/>
        <v>-5000</v>
      </c>
      <c r="S106" s="98">
        <f t="shared" si="16"/>
        <v>0</v>
      </c>
      <c r="T106" s="98">
        <f t="shared" si="17"/>
        <v>-5000</v>
      </c>
      <c r="U106"/>
      <c r="V106" s="98">
        <f t="shared" si="18"/>
        <v>0</v>
      </c>
      <c r="W106" s="98">
        <f t="shared" si="19"/>
        <v>0</v>
      </c>
      <c r="X106" s="98">
        <f t="shared" si="20"/>
        <v>0</v>
      </c>
    </row>
    <row r="107" spans="1:24">
      <c r="A107" s="97"/>
      <c r="B107" s="97"/>
      <c r="C107" s="117" t="s">
        <v>229</v>
      </c>
      <c r="D107" s="98">
        <v>2000</v>
      </c>
      <c r="E107" s="98"/>
      <c r="F107" s="98">
        <v>2000</v>
      </c>
      <c r="G107" s="98">
        <v>4000</v>
      </c>
      <c r="H107" s="98"/>
      <c r="I107" s="98">
        <v>4000</v>
      </c>
      <c r="J107" s="98">
        <v>4000</v>
      </c>
      <c r="K107" s="98"/>
      <c r="L107" s="98">
        <v>4000</v>
      </c>
      <c r="N107" s="98">
        <f t="shared" si="12"/>
        <v>-2000</v>
      </c>
      <c r="O107" s="98">
        <f t="shared" si="13"/>
        <v>0</v>
      </c>
      <c r="P107" s="98">
        <f t="shared" si="14"/>
        <v>-2000</v>
      </c>
      <c r="Q107"/>
      <c r="R107" s="98">
        <f t="shared" si="15"/>
        <v>-2000</v>
      </c>
      <c r="S107" s="98">
        <f t="shared" si="16"/>
        <v>0</v>
      </c>
      <c r="T107" s="98">
        <f t="shared" si="17"/>
        <v>-2000</v>
      </c>
      <c r="U107"/>
      <c r="V107" s="98">
        <f t="shared" si="18"/>
        <v>0</v>
      </c>
      <c r="W107" s="98">
        <f t="shared" si="19"/>
        <v>0</v>
      </c>
      <c r="X107" s="98">
        <f t="shared" si="20"/>
        <v>0</v>
      </c>
    </row>
    <row r="108" spans="1:24">
      <c r="A108" s="97"/>
      <c r="B108" s="97"/>
      <c r="C108" s="117" t="s">
        <v>231</v>
      </c>
      <c r="D108" s="98">
        <v>500</v>
      </c>
      <c r="E108" s="98"/>
      <c r="F108" s="98">
        <v>500</v>
      </c>
      <c r="G108" s="98">
        <v>500</v>
      </c>
      <c r="H108" s="98"/>
      <c r="I108" s="98">
        <v>500</v>
      </c>
      <c r="J108" s="98">
        <v>500</v>
      </c>
      <c r="K108" s="98"/>
      <c r="L108" s="98">
        <v>500</v>
      </c>
      <c r="N108" s="98">
        <f t="shared" si="12"/>
        <v>0</v>
      </c>
      <c r="O108" s="98">
        <f t="shared" si="13"/>
        <v>0</v>
      </c>
      <c r="P108" s="98">
        <f t="shared" si="14"/>
        <v>0</v>
      </c>
      <c r="Q108"/>
      <c r="R108" s="98">
        <f t="shared" si="15"/>
        <v>0</v>
      </c>
      <c r="S108" s="98">
        <f t="shared" si="16"/>
        <v>0</v>
      </c>
      <c r="T108" s="98">
        <f t="shared" si="17"/>
        <v>0</v>
      </c>
      <c r="U108"/>
      <c r="V108" s="98">
        <f t="shared" si="18"/>
        <v>0</v>
      </c>
      <c r="W108" s="98">
        <f t="shared" si="19"/>
        <v>0</v>
      </c>
      <c r="X108" s="98">
        <f t="shared" si="20"/>
        <v>0</v>
      </c>
    </row>
    <row r="109" spans="1:24">
      <c r="A109" s="97"/>
      <c r="B109" s="97"/>
      <c r="C109" s="117" t="s">
        <v>233</v>
      </c>
      <c r="D109" s="98">
        <v>9009</v>
      </c>
      <c r="E109" s="98"/>
      <c r="F109" s="98">
        <v>9009</v>
      </c>
      <c r="G109" s="98">
        <v>17009</v>
      </c>
      <c r="H109" s="98"/>
      <c r="I109" s="98">
        <v>17009</v>
      </c>
      <c r="J109" s="98">
        <v>17009</v>
      </c>
      <c r="K109" s="98"/>
      <c r="L109" s="98">
        <v>17009</v>
      </c>
      <c r="N109" s="98">
        <f t="shared" si="12"/>
        <v>-8000</v>
      </c>
      <c r="O109" s="98">
        <f t="shared" si="13"/>
        <v>0</v>
      </c>
      <c r="P109" s="98">
        <f t="shared" si="14"/>
        <v>-8000</v>
      </c>
      <c r="Q109"/>
      <c r="R109" s="98">
        <f t="shared" si="15"/>
        <v>-8000</v>
      </c>
      <c r="S109" s="98">
        <f t="shared" si="16"/>
        <v>0</v>
      </c>
      <c r="T109" s="98">
        <f t="shared" si="17"/>
        <v>-8000</v>
      </c>
      <c r="U109"/>
      <c r="V109" s="98">
        <f t="shared" si="18"/>
        <v>0</v>
      </c>
      <c r="W109" s="98">
        <f t="shared" si="19"/>
        <v>0</v>
      </c>
      <c r="X109" s="98">
        <f t="shared" si="20"/>
        <v>0</v>
      </c>
    </row>
    <row r="110" spans="1:24">
      <c r="A110" s="97" t="s">
        <v>368</v>
      </c>
      <c r="B110" s="97"/>
      <c r="C110" s="117"/>
      <c r="D110" s="98">
        <v>824465</v>
      </c>
      <c r="E110" s="98">
        <v>165740</v>
      </c>
      <c r="F110" s="98">
        <v>990205</v>
      </c>
      <c r="G110" s="98">
        <v>839465</v>
      </c>
      <c r="H110" s="98">
        <v>165740</v>
      </c>
      <c r="I110" s="98">
        <v>1005205</v>
      </c>
      <c r="J110" s="98">
        <v>839465</v>
      </c>
      <c r="K110" s="98">
        <v>165740</v>
      </c>
      <c r="L110" s="98">
        <v>1005205</v>
      </c>
      <c r="N110" s="98">
        <f t="shared" si="12"/>
        <v>-15000</v>
      </c>
      <c r="O110" s="98">
        <f t="shared" si="13"/>
        <v>0</v>
      </c>
      <c r="P110" s="98">
        <f t="shared" si="14"/>
        <v>-15000</v>
      </c>
      <c r="Q110"/>
      <c r="R110" s="98">
        <f t="shared" si="15"/>
        <v>-15000</v>
      </c>
      <c r="S110" s="98">
        <f t="shared" si="16"/>
        <v>0</v>
      </c>
      <c r="T110" s="98">
        <f t="shared" si="17"/>
        <v>-15000</v>
      </c>
      <c r="U110"/>
      <c r="V110" s="98">
        <f t="shared" si="18"/>
        <v>0</v>
      </c>
      <c r="W110" s="98">
        <f t="shared" si="19"/>
        <v>0</v>
      </c>
      <c r="X110" s="98">
        <f t="shared" si="20"/>
        <v>0</v>
      </c>
    </row>
    <row r="111" spans="1:24">
      <c r="A111"/>
      <c r="B111"/>
      <c r="C111" s="117"/>
      <c r="D111"/>
      <c r="E111"/>
      <c r="F111"/>
      <c r="G111"/>
      <c r="H111"/>
      <c r="I111"/>
      <c r="J111"/>
      <c r="K111"/>
      <c r="L111"/>
      <c r="N111" s="98">
        <f t="shared" si="12"/>
        <v>0</v>
      </c>
      <c r="O111" s="98">
        <f t="shared" si="13"/>
        <v>0</v>
      </c>
      <c r="P111" s="98">
        <f t="shared" si="14"/>
        <v>0</v>
      </c>
      <c r="Q111"/>
      <c r="R111" s="98">
        <f t="shared" si="15"/>
        <v>0</v>
      </c>
      <c r="S111" s="98">
        <f t="shared" si="16"/>
        <v>0</v>
      </c>
      <c r="T111" s="98">
        <f t="shared" si="17"/>
        <v>0</v>
      </c>
      <c r="U111"/>
      <c r="V111" s="98">
        <f t="shared" si="18"/>
        <v>0</v>
      </c>
      <c r="W111" s="98">
        <f t="shared" si="19"/>
        <v>0</v>
      </c>
      <c r="X111" s="98">
        <f t="shared" si="20"/>
        <v>0</v>
      </c>
    </row>
    <row r="112" spans="1:24">
      <c r="A112"/>
      <c r="B112"/>
      <c r="C112" s="117"/>
      <c r="D112"/>
      <c r="E112"/>
      <c r="F112"/>
      <c r="G112"/>
      <c r="H112"/>
      <c r="I112"/>
      <c r="J112"/>
      <c r="K112"/>
      <c r="L112"/>
      <c r="N112" s="98">
        <f t="shared" si="12"/>
        <v>0</v>
      </c>
      <c r="O112" s="98">
        <f t="shared" si="13"/>
        <v>0</v>
      </c>
      <c r="P112" s="98">
        <f t="shared" si="14"/>
        <v>0</v>
      </c>
      <c r="Q112"/>
      <c r="R112" s="98">
        <f t="shared" si="15"/>
        <v>0</v>
      </c>
      <c r="S112" s="98">
        <f t="shared" si="16"/>
        <v>0</v>
      </c>
      <c r="T112" s="98">
        <f t="shared" si="17"/>
        <v>0</v>
      </c>
      <c r="U112"/>
      <c r="V112" s="98">
        <f t="shared" si="18"/>
        <v>0</v>
      </c>
      <c r="W112" s="98">
        <f t="shared" si="19"/>
        <v>0</v>
      </c>
      <c r="X112" s="98">
        <f t="shared" si="20"/>
        <v>0</v>
      </c>
    </row>
    <row r="113" spans="1:12">
      <c r="A113"/>
      <c r="B113"/>
      <c r="C113" s="117"/>
      <c r="D113"/>
      <c r="E113"/>
      <c r="F113"/>
      <c r="G113"/>
      <c r="H113"/>
      <c r="I113"/>
      <c r="J113"/>
      <c r="K113"/>
      <c r="L113"/>
    </row>
    <row r="114" spans="1:12">
      <c r="A114"/>
      <c r="B114"/>
      <c r="C114" s="117"/>
      <c r="D114"/>
      <c r="E114"/>
      <c r="F114"/>
      <c r="G114"/>
      <c r="H114"/>
      <c r="I114"/>
      <c r="J114"/>
      <c r="K114"/>
      <c r="L114"/>
    </row>
    <row r="115" spans="1:12">
      <c r="A115"/>
      <c r="B115"/>
      <c r="C115" s="117"/>
      <c r="D115"/>
      <c r="E115"/>
      <c r="F115"/>
      <c r="G115"/>
      <c r="H115"/>
      <c r="I115"/>
      <c r="J115"/>
      <c r="K115"/>
      <c r="L115"/>
    </row>
  </sheetData>
  <mergeCells count="3">
    <mergeCell ref="D6:F6"/>
    <mergeCell ref="G6:I6"/>
    <mergeCell ref="J6:L6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EB372"/>
  <sheetViews>
    <sheetView zoomScale="70" zoomScaleNormal="70" workbookViewId="0">
      <pane xSplit="3" ySplit="9" topLeftCell="D10" activePane="bottomRight" state="frozen"/>
      <selection/>
      <selection pane="topRight"/>
      <selection pane="bottomLeft"/>
      <selection pane="bottomRight" activeCell="M69" sqref="M69"/>
    </sheetView>
  </sheetViews>
  <sheetFormatPr defaultColWidth="8.85714285714286" defaultRowHeight="15"/>
  <cols>
    <col min="1" max="1" width="21.4285714285714" style="73" customWidth="1"/>
    <col min="2" max="2" width="31" style="73" customWidth="1"/>
    <col min="3" max="3" width="23.5714285714286" style="73" customWidth="1"/>
    <col min="4" max="9" width="15.5714285714286" style="92" customWidth="1"/>
    <col min="10" max="11" width="15.5714285714286" style="73" customWidth="1"/>
    <col min="12" max="132" width="14.4285714285714" style="73" customWidth="1"/>
    <col min="133" max="16384" width="8.85714285714286" style="73"/>
  </cols>
  <sheetData>
    <row r="1" spans="1:1">
      <c r="A1" s="93" t="s">
        <v>0</v>
      </c>
    </row>
    <row r="2" spans="1:1">
      <c r="A2" s="93" t="s">
        <v>1</v>
      </c>
    </row>
    <row r="3" spans="1:3">
      <c r="A3" s="93" t="s">
        <v>2</v>
      </c>
      <c r="C3" s="94"/>
    </row>
    <row r="4" spans="1:2">
      <c r="A4" s="93" t="s">
        <v>3</v>
      </c>
      <c r="B4" s="73" t="str">
        <f>'CAPTURE SHEET - PHYSICAL'!C2</f>
        <v>RFOII</v>
      </c>
    </row>
    <row r="5" spans="1:2">
      <c r="A5"/>
      <c r="B5"/>
    </row>
    <row r="7" s="90" customFormat="1" ht="39.6" customHeight="1" spans="1:132">
      <c r="A7" s="77"/>
      <c r="B7" s="77"/>
      <c r="C7" s="77"/>
      <c r="D7" s="96" t="s">
        <v>4</v>
      </c>
      <c r="E7" s="77" t="s">
        <v>7</v>
      </c>
      <c r="F7" s="77"/>
      <c r="G7" s="77"/>
      <c r="H7" s="77"/>
      <c r="I7" s="77"/>
      <c r="J7" s="77"/>
      <c r="K7" s="77"/>
      <c r="L7"/>
      <c r="M7"/>
      <c r="N7"/>
      <c r="O7"/>
      <c r="P7"/>
      <c r="Q7"/>
      <c r="R7"/>
      <c r="S7"/>
      <c r="T7"/>
      <c r="U7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J7" s="109"/>
      <c r="CK7" s="109"/>
      <c r="CL7" s="109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  <c r="DQ7" s="109"/>
      <c r="DR7" s="109"/>
      <c r="DS7" s="109"/>
      <c r="DT7" s="109"/>
      <c r="DU7" s="109"/>
      <c r="DV7" s="109"/>
      <c r="DW7" s="109"/>
      <c r="DX7" s="109"/>
      <c r="DY7" s="109"/>
      <c r="DZ7" s="109"/>
      <c r="EA7" s="109"/>
      <c r="EB7" s="109"/>
    </row>
    <row r="8" s="91" customFormat="1" ht="15.75" spans="1:132">
      <c r="A8" s="81"/>
      <c r="B8" s="81"/>
      <c r="C8" s="81"/>
      <c r="D8" s="102" t="s">
        <v>436</v>
      </c>
      <c r="E8" s="97"/>
      <c r="F8" s="97"/>
      <c r="G8" s="97"/>
      <c r="H8" s="102" t="s">
        <v>5</v>
      </c>
      <c r="I8" s="97"/>
      <c r="J8" s="97"/>
      <c r="K8" s="97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</row>
    <row r="9" s="90" customFormat="1" ht="25.35" customHeight="1" spans="1:132">
      <c r="A9" s="91" t="s">
        <v>12</v>
      </c>
      <c r="B9" s="91" t="s">
        <v>14</v>
      </c>
      <c r="C9" s="97" t="s">
        <v>13</v>
      </c>
      <c r="D9" s="103" t="s">
        <v>15</v>
      </c>
      <c r="E9" s="103" t="s">
        <v>16</v>
      </c>
      <c r="F9" s="102" t="s">
        <v>442</v>
      </c>
      <c r="G9" s="103" t="s">
        <v>19</v>
      </c>
      <c r="H9" s="103" t="s">
        <v>15</v>
      </c>
      <c r="I9" s="103" t="s">
        <v>16</v>
      </c>
      <c r="J9" s="102" t="s">
        <v>442</v>
      </c>
      <c r="K9" s="103" t="s">
        <v>19</v>
      </c>
      <c r="L9"/>
      <c r="M9" s="107" t="s">
        <v>15</v>
      </c>
      <c r="N9" s="107" t="s">
        <v>16</v>
      </c>
      <c r="O9" s="108" t="s">
        <v>442</v>
      </c>
      <c r="P9" s="107" t="s">
        <v>19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</row>
    <row r="10" s="90" customFormat="1" ht="15.75" spans="1:132">
      <c r="A10" s="102" t="s">
        <v>21</v>
      </c>
      <c r="B10" s="102" t="s">
        <v>24</v>
      </c>
      <c r="C10" s="102" t="s">
        <v>22</v>
      </c>
      <c r="D10" s="98">
        <v>6000</v>
      </c>
      <c r="E10" s="98">
        <v>10</v>
      </c>
      <c r="F10" s="98"/>
      <c r="G10" s="98"/>
      <c r="H10" s="98">
        <v>6000</v>
      </c>
      <c r="I10" s="98">
        <v>10</v>
      </c>
      <c r="J10" s="98">
        <v>0</v>
      </c>
      <c r="K10" s="98">
        <v>301</v>
      </c>
      <c r="L10"/>
      <c r="M10" s="98">
        <f>+D10-H10</f>
        <v>0</v>
      </c>
      <c r="N10" s="98">
        <f t="shared" ref="N10:P10" si="0">+E10-I10</f>
        <v>0</v>
      </c>
      <c r="O10" s="98">
        <f t="shared" si="0"/>
        <v>0</v>
      </c>
      <c r="P10" s="98">
        <f t="shared" si="0"/>
        <v>-301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</row>
    <row r="11" s="90" customFormat="1" ht="15.75" spans="1:132">
      <c r="A11" s="97"/>
      <c r="B11" s="97"/>
      <c r="C11" s="102" t="s">
        <v>43</v>
      </c>
      <c r="D11" s="98">
        <v>8000</v>
      </c>
      <c r="E11" s="98">
        <v>17</v>
      </c>
      <c r="F11" s="98"/>
      <c r="G11" s="98"/>
      <c r="H11" s="98">
        <v>8000</v>
      </c>
      <c r="I11" s="98">
        <v>17</v>
      </c>
      <c r="J11" s="98">
        <v>0</v>
      </c>
      <c r="K11" s="98">
        <v>402</v>
      </c>
      <c r="L11"/>
      <c r="M11" s="98">
        <f t="shared" ref="M11:M74" si="1">+D11-H11</f>
        <v>0</v>
      </c>
      <c r="N11" s="98">
        <f t="shared" ref="N11:N74" si="2">+E11-I11</f>
        <v>0</v>
      </c>
      <c r="O11" s="98">
        <f t="shared" ref="O11:O74" si="3">+F11-J11</f>
        <v>0</v>
      </c>
      <c r="P11" s="98">
        <f t="shared" ref="P11:P74" si="4">+G11-K11</f>
        <v>-402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</row>
    <row r="12" spans="1:132">
      <c r="A12" s="97"/>
      <c r="B12" s="97"/>
      <c r="C12" s="102" t="s">
        <v>63</v>
      </c>
      <c r="D12" s="98">
        <v>4000</v>
      </c>
      <c r="E12" s="98">
        <v>6</v>
      </c>
      <c r="F12" s="98"/>
      <c r="G12" s="98"/>
      <c r="H12" s="98">
        <v>4000</v>
      </c>
      <c r="I12" s="98">
        <v>6</v>
      </c>
      <c r="J12" s="98">
        <v>0</v>
      </c>
      <c r="K12" s="98">
        <v>201</v>
      </c>
      <c r="L12"/>
      <c r="M12" s="98">
        <f t="shared" si="1"/>
        <v>0</v>
      </c>
      <c r="N12" s="98">
        <f t="shared" si="2"/>
        <v>0</v>
      </c>
      <c r="O12" s="98">
        <f t="shared" si="3"/>
        <v>0</v>
      </c>
      <c r="P12" s="98">
        <f t="shared" si="4"/>
        <v>-201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</row>
    <row r="13" spans="1:132">
      <c r="A13" s="97"/>
      <c r="B13" s="97"/>
      <c r="C13" s="102" t="s">
        <v>70</v>
      </c>
      <c r="D13" s="98">
        <v>4000</v>
      </c>
      <c r="E13" s="98">
        <v>6</v>
      </c>
      <c r="F13" s="98"/>
      <c r="G13" s="98"/>
      <c r="H13" s="98">
        <v>4000</v>
      </c>
      <c r="I13" s="98">
        <v>6</v>
      </c>
      <c r="J13" s="98">
        <v>0</v>
      </c>
      <c r="K13" s="98">
        <v>201</v>
      </c>
      <c r="L13"/>
      <c r="M13" s="98">
        <f t="shared" si="1"/>
        <v>0</v>
      </c>
      <c r="N13" s="98">
        <f t="shared" si="2"/>
        <v>0</v>
      </c>
      <c r="O13" s="98">
        <f t="shared" si="3"/>
        <v>0</v>
      </c>
      <c r="P13" s="98">
        <f t="shared" si="4"/>
        <v>-201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</row>
    <row r="14" spans="1:132">
      <c r="A14" s="97"/>
      <c r="B14" s="97"/>
      <c r="C14" s="102" t="s">
        <v>78</v>
      </c>
      <c r="D14" s="98"/>
      <c r="E14" s="98"/>
      <c r="F14" s="98"/>
      <c r="G14" s="98">
        <v>1106</v>
      </c>
      <c r="H14" s="98"/>
      <c r="I14" s="98"/>
      <c r="J14" s="98"/>
      <c r="K14" s="98"/>
      <c r="L14"/>
      <c r="M14" s="98">
        <f t="shared" si="1"/>
        <v>0</v>
      </c>
      <c r="N14" s="98">
        <f t="shared" si="2"/>
        <v>0</v>
      </c>
      <c r="O14" s="98">
        <f t="shared" si="3"/>
        <v>0</v>
      </c>
      <c r="P14" s="98">
        <f t="shared" si="4"/>
        <v>1106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</row>
    <row r="15" spans="1:132">
      <c r="A15" s="97"/>
      <c r="B15" s="104" t="s">
        <v>443</v>
      </c>
      <c r="C15" s="105"/>
      <c r="D15" s="106">
        <v>22000</v>
      </c>
      <c r="E15" s="106">
        <v>39</v>
      </c>
      <c r="F15" s="106"/>
      <c r="G15" s="106">
        <v>1106</v>
      </c>
      <c r="H15" s="106">
        <v>22000</v>
      </c>
      <c r="I15" s="106">
        <v>39</v>
      </c>
      <c r="J15" s="106">
        <v>0</v>
      </c>
      <c r="K15" s="106">
        <v>1105</v>
      </c>
      <c r="L15"/>
      <c r="M15" s="98">
        <f t="shared" si="1"/>
        <v>0</v>
      </c>
      <c r="N15" s="98">
        <f t="shared" si="2"/>
        <v>0</v>
      </c>
      <c r="O15" s="98">
        <f t="shared" si="3"/>
        <v>0</v>
      </c>
      <c r="P15" s="98">
        <f t="shared" si="4"/>
        <v>1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</row>
    <row r="16" ht="30" spans="1:132">
      <c r="A16" s="97"/>
      <c r="B16" s="102" t="s">
        <v>80</v>
      </c>
      <c r="C16" s="102" t="s">
        <v>78</v>
      </c>
      <c r="D16" s="98">
        <v>15000</v>
      </c>
      <c r="E16" s="98"/>
      <c r="F16" s="98"/>
      <c r="G16" s="98">
        <v>1500</v>
      </c>
      <c r="H16" s="98">
        <v>15000</v>
      </c>
      <c r="I16" s="98"/>
      <c r="J16" s="98">
        <v>0</v>
      </c>
      <c r="K16" s="98">
        <v>1500</v>
      </c>
      <c r="L16"/>
      <c r="M16" s="98">
        <f t="shared" si="1"/>
        <v>0</v>
      </c>
      <c r="N16" s="98">
        <f t="shared" si="2"/>
        <v>0</v>
      </c>
      <c r="O16" s="98">
        <f t="shared" si="3"/>
        <v>0</v>
      </c>
      <c r="P16" s="98">
        <f t="shared" si="4"/>
        <v>0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</row>
    <row r="17" spans="1:132">
      <c r="A17" s="97"/>
      <c r="B17" s="104" t="s">
        <v>444</v>
      </c>
      <c r="C17" s="105"/>
      <c r="D17" s="106">
        <v>15000</v>
      </c>
      <c r="E17" s="106"/>
      <c r="F17" s="106"/>
      <c r="G17" s="106">
        <v>1500</v>
      </c>
      <c r="H17" s="106">
        <v>15000</v>
      </c>
      <c r="I17" s="106"/>
      <c r="J17" s="106">
        <v>0</v>
      </c>
      <c r="K17" s="106">
        <v>1500</v>
      </c>
      <c r="L17"/>
      <c r="M17" s="98">
        <f t="shared" si="1"/>
        <v>0</v>
      </c>
      <c r="N17" s="98">
        <f t="shared" si="2"/>
        <v>0</v>
      </c>
      <c r="O17" s="98">
        <f t="shared" si="3"/>
        <v>0</v>
      </c>
      <c r="P17" s="98">
        <f t="shared" si="4"/>
        <v>0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</row>
    <row r="18" spans="1:132">
      <c r="A18" s="97"/>
      <c r="B18" s="102" t="s">
        <v>26</v>
      </c>
      <c r="C18" s="102" t="s">
        <v>22</v>
      </c>
      <c r="D18" s="98">
        <v>9000</v>
      </c>
      <c r="E18" s="98">
        <v>2</v>
      </c>
      <c r="F18" s="98"/>
      <c r="G18" s="98">
        <v>6000</v>
      </c>
      <c r="H18" s="98">
        <v>9000</v>
      </c>
      <c r="I18" s="98">
        <v>2</v>
      </c>
      <c r="J18" s="98">
        <v>0</v>
      </c>
      <c r="K18" s="98">
        <v>6000</v>
      </c>
      <c r="L18"/>
      <c r="M18" s="98">
        <f t="shared" si="1"/>
        <v>0</v>
      </c>
      <c r="N18" s="98">
        <f t="shared" si="2"/>
        <v>0</v>
      </c>
      <c r="O18" s="98">
        <f t="shared" si="3"/>
        <v>0</v>
      </c>
      <c r="P18" s="98">
        <f t="shared" si="4"/>
        <v>0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</row>
    <row r="19" spans="1:132">
      <c r="A19" s="97"/>
      <c r="B19" s="97"/>
      <c r="C19" s="102" t="s">
        <v>43</v>
      </c>
      <c r="D19" s="98">
        <v>9000</v>
      </c>
      <c r="E19" s="98">
        <v>2</v>
      </c>
      <c r="F19" s="98"/>
      <c r="G19" s="98">
        <v>6000</v>
      </c>
      <c r="H19" s="98">
        <v>9000</v>
      </c>
      <c r="I19" s="98">
        <v>2</v>
      </c>
      <c r="J19" s="98">
        <v>0</v>
      </c>
      <c r="K19" s="98">
        <v>6000</v>
      </c>
      <c r="L19"/>
      <c r="M19" s="98">
        <f t="shared" si="1"/>
        <v>0</v>
      </c>
      <c r="N19" s="98">
        <f t="shared" si="2"/>
        <v>0</v>
      </c>
      <c r="O19" s="98">
        <f t="shared" si="3"/>
        <v>0</v>
      </c>
      <c r="P19" s="98">
        <f t="shared" si="4"/>
        <v>0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</row>
    <row r="20" spans="1:132">
      <c r="A20" s="97"/>
      <c r="B20" s="104" t="s">
        <v>445</v>
      </c>
      <c r="C20" s="105"/>
      <c r="D20" s="106">
        <v>18000</v>
      </c>
      <c r="E20" s="106">
        <v>4</v>
      </c>
      <c r="F20" s="106"/>
      <c r="G20" s="106">
        <v>12000</v>
      </c>
      <c r="H20" s="106">
        <v>18000</v>
      </c>
      <c r="I20" s="106">
        <v>4</v>
      </c>
      <c r="J20" s="106">
        <v>0</v>
      </c>
      <c r="K20" s="106">
        <v>12000</v>
      </c>
      <c r="L20"/>
      <c r="M20" s="98">
        <f t="shared" si="1"/>
        <v>0</v>
      </c>
      <c r="N20" s="98">
        <f t="shared" si="2"/>
        <v>0</v>
      </c>
      <c r="O20" s="98">
        <f t="shared" si="3"/>
        <v>0</v>
      </c>
      <c r="P20" s="98">
        <f t="shared" si="4"/>
        <v>0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</row>
    <row r="21" spans="1:132">
      <c r="A21" s="97"/>
      <c r="B21" s="102" t="s">
        <v>28</v>
      </c>
      <c r="C21" s="102" t="s">
        <v>22</v>
      </c>
      <c r="D21" s="98">
        <v>275000</v>
      </c>
      <c r="E21" s="98">
        <v>2</v>
      </c>
      <c r="F21" s="98"/>
      <c r="G21" s="98">
        <v>12375</v>
      </c>
      <c r="H21" s="98">
        <v>275000</v>
      </c>
      <c r="I21" s="98">
        <v>2</v>
      </c>
      <c r="J21" s="98">
        <v>0</v>
      </c>
      <c r="K21" s="98">
        <v>12375</v>
      </c>
      <c r="L21"/>
      <c r="M21" s="98">
        <f t="shared" si="1"/>
        <v>0</v>
      </c>
      <c r="N21" s="98">
        <f t="shared" si="2"/>
        <v>0</v>
      </c>
      <c r="O21" s="98">
        <f t="shared" si="3"/>
        <v>0</v>
      </c>
      <c r="P21" s="98">
        <f t="shared" si="4"/>
        <v>0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</row>
    <row r="22" spans="1:132">
      <c r="A22" s="97"/>
      <c r="B22" s="97"/>
      <c r="C22" s="102" t="s">
        <v>43</v>
      </c>
      <c r="D22" s="98">
        <v>275000</v>
      </c>
      <c r="E22" s="98">
        <v>2</v>
      </c>
      <c r="F22" s="98"/>
      <c r="G22" s="98">
        <v>12375</v>
      </c>
      <c r="H22" s="98">
        <v>275000</v>
      </c>
      <c r="I22" s="98">
        <v>2</v>
      </c>
      <c r="J22" s="98">
        <v>0</v>
      </c>
      <c r="K22" s="98">
        <v>12375</v>
      </c>
      <c r="L22"/>
      <c r="M22" s="98">
        <f t="shared" si="1"/>
        <v>0</v>
      </c>
      <c r="N22" s="98">
        <f t="shared" si="2"/>
        <v>0</v>
      </c>
      <c r="O22" s="98">
        <f t="shared" si="3"/>
        <v>0</v>
      </c>
      <c r="P22" s="98">
        <f t="shared" si="4"/>
        <v>0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</row>
    <row r="23" spans="1:132">
      <c r="A23" s="97"/>
      <c r="B23" s="104" t="s">
        <v>446</v>
      </c>
      <c r="C23" s="105"/>
      <c r="D23" s="106">
        <v>550000</v>
      </c>
      <c r="E23" s="106">
        <v>4</v>
      </c>
      <c r="F23" s="106"/>
      <c r="G23" s="106">
        <v>24750</v>
      </c>
      <c r="H23" s="106">
        <v>550000</v>
      </c>
      <c r="I23" s="106">
        <v>4</v>
      </c>
      <c r="J23" s="106">
        <v>0</v>
      </c>
      <c r="K23" s="106">
        <v>24750</v>
      </c>
      <c r="L23"/>
      <c r="M23" s="98">
        <f t="shared" si="1"/>
        <v>0</v>
      </c>
      <c r="N23" s="98">
        <f t="shared" si="2"/>
        <v>0</v>
      </c>
      <c r="O23" s="98">
        <f t="shared" si="3"/>
        <v>0</v>
      </c>
      <c r="P23" s="98">
        <f t="shared" si="4"/>
        <v>0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</row>
    <row r="24" spans="1:132">
      <c r="A24" s="97"/>
      <c r="B24" s="102" t="s">
        <v>30</v>
      </c>
      <c r="C24" s="102" t="s">
        <v>22</v>
      </c>
      <c r="D24" s="98">
        <v>2000</v>
      </c>
      <c r="E24" s="98">
        <v>2</v>
      </c>
      <c r="F24" s="98"/>
      <c r="G24" s="98">
        <v>1360</v>
      </c>
      <c r="H24" s="98">
        <v>2000</v>
      </c>
      <c r="I24" s="98">
        <v>2</v>
      </c>
      <c r="J24" s="98">
        <v>0</v>
      </c>
      <c r="K24" s="98">
        <v>1360</v>
      </c>
      <c r="L24"/>
      <c r="M24" s="98">
        <f t="shared" si="1"/>
        <v>0</v>
      </c>
      <c r="N24" s="98">
        <f t="shared" si="2"/>
        <v>0</v>
      </c>
      <c r="O24" s="98">
        <f t="shared" si="3"/>
        <v>0</v>
      </c>
      <c r="P24" s="98">
        <f t="shared" si="4"/>
        <v>0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</row>
    <row r="25" spans="1:132">
      <c r="A25" s="97"/>
      <c r="B25" s="97"/>
      <c r="C25" s="102" t="s">
        <v>43</v>
      </c>
      <c r="D25" s="98">
        <v>2000</v>
      </c>
      <c r="E25" s="98">
        <v>2</v>
      </c>
      <c r="F25" s="98"/>
      <c r="G25" s="98">
        <v>1360</v>
      </c>
      <c r="H25" s="98">
        <v>2000</v>
      </c>
      <c r="I25" s="98">
        <v>2</v>
      </c>
      <c r="J25" s="98">
        <v>0</v>
      </c>
      <c r="K25" s="98">
        <v>1360</v>
      </c>
      <c r="L25"/>
      <c r="M25" s="98">
        <f t="shared" si="1"/>
        <v>0</v>
      </c>
      <c r="N25" s="98">
        <f t="shared" si="2"/>
        <v>0</v>
      </c>
      <c r="O25" s="98">
        <f t="shared" si="3"/>
        <v>0</v>
      </c>
      <c r="P25" s="98">
        <f t="shared" si="4"/>
        <v>0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</row>
    <row r="26" spans="1:132">
      <c r="A26" s="97"/>
      <c r="B26" s="104" t="s">
        <v>447</v>
      </c>
      <c r="C26" s="105"/>
      <c r="D26" s="106">
        <v>4000</v>
      </c>
      <c r="E26" s="106">
        <v>4</v>
      </c>
      <c r="F26" s="106"/>
      <c r="G26" s="106">
        <v>2720</v>
      </c>
      <c r="H26" s="106">
        <v>4000</v>
      </c>
      <c r="I26" s="106">
        <v>4</v>
      </c>
      <c r="J26" s="106">
        <v>0</v>
      </c>
      <c r="K26" s="106">
        <v>2720</v>
      </c>
      <c r="L26"/>
      <c r="M26" s="98">
        <f t="shared" si="1"/>
        <v>0</v>
      </c>
      <c r="N26" s="98">
        <f t="shared" si="2"/>
        <v>0</v>
      </c>
      <c r="O26" s="98">
        <f t="shared" si="3"/>
        <v>0</v>
      </c>
      <c r="P26" s="98">
        <f t="shared" si="4"/>
        <v>0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</row>
    <row r="27" spans="1:132">
      <c r="A27" s="97"/>
      <c r="B27" s="102" t="s">
        <v>32</v>
      </c>
      <c r="C27" s="102" t="s">
        <v>22</v>
      </c>
      <c r="D27" s="98">
        <v>250000</v>
      </c>
      <c r="E27" s="98">
        <v>2</v>
      </c>
      <c r="F27" s="98"/>
      <c r="G27" s="98">
        <v>5000</v>
      </c>
      <c r="H27" s="98">
        <v>250000</v>
      </c>
      <c r="I27" s="98">
        <v>2</v>
      </c>
      <c r="J27" s="98">
        <v>0</v>
      </c>
      <c r="K27" s="98">
        <v>5000</v>
      </c>
      <c r="L27"/>
      <c r="M27" s="98">
        <f t="shared" si="1"/>
        <v>0</v>
      </c>
      <c r="N27" s="98">
        <f t="shared" si="2"/>
        <v>0</v>
      </c>
      <c r="O27" s="98">
        <f t="shared" si="3"/>
        <v>0</v>
      </c>
      <c r="P27" s="98">
        <f t="shared" si="4"/>
        <v>0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</row>
    <row r="28" spans="1:132">
      <c r="A28" s="97"/>
      <c r="B28" s="97"/>
      <c r="C28" s="102" t="s">
        <v>43</v>
      </c>
      <c r="D28" s="98">
        <v>250000</v>
      </c>
      <c r="E28" s="98">
        <v>2</v>
      </c>
      <c r="F28" s="98"/>
      <c r="G28" s="98">
        <v>5000</v>
      </c>
      <c r="H28" s="98">
        <v>250000</v>
      </c>
      <c r="I28" s="98">
        <v>2</v>
      </c>
      <c r="J28" s="98">
        <v>0</v>
      </c>
      <c r="K28" s="98">
        <v>5000</v>
      </c>
      <c r="L28"/>
      <c r="M28" s="98">
        <f t="shared" si="1"/>
        <v>0</v>
      </c>
      <c r="N28" s="98">
        <f t="shared" si="2"/>
        <v>0</v>
      </c>
      <c r="O28" s="98">
        <f t="shared" si="3"/>
        <v>0</v>
      </c>
      <c r="P28" s="98">
        <f t="shared" si="4"/>
        <v>0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</row>
    <row r="29" spans="1:132">
      <c r="A29" s="97"/>
      <c r="B29" s="104" t="s">
        <v>448</v>
      </c>
      <c r="C29" s="105"/>
      <c r="D29" s="106">
        <v>500000</v>
      </c>
      <c r="E29" s="106">
        <v>4</v>
      </c>
      <c r="F29" s="106"/>
      <c r="G29" s="106">
        <v>10000</v>
      </c>
      <c r="H29" s="106">
        <v>500000</v>
      </c>
      <c r="I29" s="106">
        <v>4</v>
      </c>
      <c r="J29" s="106">
        <v>0</v>
      </c>
      <c r="K29" s="106">
        <v>10000</v>
      </c>
      <c r="L29"/>
      <c r="M29" s="98">
        <f t="shared" si="1"/>
        <v>0</v>
      </c>
      <c r="N29" s="98">
        <f t="shared" si="2"/>
        <v>0</v>
      </c>
      <c r="O29" s="98">
        <f t="shared" si="3"/>
        <v>0</v>
      </c>
      <c r="P29" s="98">
        <f t="shared" si="4"/>
        <v>0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</row>
    <row r="30" spans="1:132">
      <c r="A30" s="97"/>
      <c r="B30" s="102" t="s">
        <v>34</v>
      </c>
      <c r="C30" s="102" t="s">
        <v>22</v>
      </c>
      <c r="D30" s="98">
        <v>125010</v>
      </c>
      <c r="E30" s="98">
        <v>25</v>
      </c>
      <c r="F30" s="98"/>
      <c r="G30" s="98">
        <v>83340</v>
      </c>
      <c r="H30" s="98">
        <v>125010</v>
      </c>
      <c r="I30" s="98">
        <v>25</v>
      </c>
      <c r="J30" s="98">
        <v>0</v>
      </c>
      <c r="K30" s="98">
        <v>83340</v>
      </c>
      <c r="L30"/>
      <c r="M30" s="98">
        <f t="shared" si="1"/>
        <v>0</v>
      </c>
      <c r="N30" s="98">
        <f t="shared" si="2"/>
        <v>0</v>
      </c>
      <c r="O30" s="98">
        <f t="shared" si="3"/>
        <v>0</v>
      </c>
      <c r="P30" s="98">
        <f t="shared" si="4"/>
        <v>0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</row>
    <row r="31" spans="1:21">
      <c r="A31" s="97"/>
      <c r="B31" s="97"/>
      <c r="C31" s="102" t="s">
        <v>43</v>
      </c>
      <c r="D31" s="98">
        <v>301140</v>
      </c>
      <c r="E31" s="98">
        <v>35</v>
      </c>
      <c r="F31" s="98"/>
      <c r="G31" s="98">
        <v>200760</v>
      </c>
      <c r="H31" s="98">
        <v>301140</v>
      </c>
      <c r="I31" s="98">
        <v>35</v>
      </c>
      <c r="J31" s="98">
        <v>0</v>
      </c>
      <c r="K31" s="98">
        <v>200760</v>
      </c>
      <c r="L31"/>
      <c r="M31" s="98">
        <f t="shared" si="1"/>
        <v>0</v>
      </c>
      <c r="N31" s="98">
        <f t="shared" si="2"/>
        <v>0</v>
      </c>
      <c r="O31" s="98">
        <f t="shared" si="3"/>
        <v>0</v>
      </c>
      <c r="P31" s="98">
        <f t="shared" si="4"/>
        <v>0</v>
      </c>
      <c r="Q31"/>
      <c r="R31"/>
      <c r="S31"/>
      <c r="T31"/>
      <c r="U31"/>
    </row>
    <row r="32" spans="1:21">
      <c r="A32" s="97"/>
      <c r="B32" s="97"/>
      <c r="C32" s="102" t="s">
        <v>63</v>
      </c>
      <c r="D32" s="98">
        <v>16200</v>
      </c>
      <c r="E32" s="98">
        <v>9</v>
      </c>
      <c r="F32" s="98"/>
      <c r="G32" s="98">
        <v>10800</v>
      </c>
      <c r="H32" s="98">
        <v>16200</v>
      </c>
      <c r="I32" s="98">
        <v>10</v>
      </c>
      <c r="J32" s="98">
        <v>0</v>
      </c>
      <c r="K32" s="98">
        <v>10800</v>
      </c>
      <c r="L32"/>
      <c r="M32" s="98">
        <f t="shared" si="1"/>
        <v>0</v>
      </c>
      <c r="N32" s="98">
        <f t="shared" si="2"/>
        <v>-1</v>
      </c>
      <c r="O32" s="98">
        <f t="shared" si="3"/>
        <v>0</v>
      </c>
      <c r="P32" s="98">
        <f t="shared" si="4"/>
        <v>0</v>
      </c>
      <c r="Q32"/>
      <c r="R32"/>
      <c r="S32"/>
      <c r="T32"/>
      <c r="U32"/>
    </row>
    <row r="33" spans="1:21">
      <c r="A33" s="97"/>
      <c r="B33" s="97"/>
      <c r="C33" s="102" t="s">
        <v>70</v>
      </c>
      <c r="D33" s="98">
        <v>43650</v>
      </c>
      <c r="E33" s="98">
        <v>6</v>
      </c>
      <c r="F33" s="98"/>
      <c r="G33" s="98">
        <v>29100</v>
      </c>
      <c r="H33" s="98">
        <v>43650</v>
      </c>
      <c r="I33" s="98">
        <v>6</v>
      </c>
      <c r="J33" s="98">
        <v>0</v>
      </c>
      <c r="K33" s="98">
        <v>29100</v>
      </c>
      <c r="L33"/>
      <c r="M33" s="98">
        <f t="shared" si="1"/>
        <v>0</v>
      </c>
      <c r="N33" s="98">
        <f t="shared" si="2"/>
        <v>0</v>
      </c>
      <c r="O33" s="98">
        <f t="shared" si="3"/>
        <v>0</v>
      </c>
      <c r="P33" s="98">
        <f t="shared" si="4"/>
        <v>0</v>
      </c>
      <c r="Q33"/>
      <c r="R33"/>
      <c r="S33"/>
      <c r="T33"/>
      <c r="U33"/>
    </row>
    <row r="34" spans="1:21">
      <c r="A34" s="97"/>
      <c r="B34" s="104" t="s">
        <v>449</v>
      </c>
      <c r="C34" s="105"/>
      <c r="D34" s="106">
        <v>486000</v>
      </c>
      <c r="E34" s="106">
        <v>75</v>
      </c>
      <c r="F34" s="106"/>
      <c r="G34" s="106">
        <v>324000</v>
      </c>
      <c r="H34" s="106">
        <v>486000</v>
      </c>
      <c r="I34" s="106">
        <v>76</v>
      </c>
      <c r="J34" s="106">
        <v>0</v>
      </c>
      <c r="K34" s="106">
        <v>324000</v>
      </c>
      <c r="L34"/>
      <c r="M34" s="98">
        <f t="shared" si="1"/>
        <v>0</v>
      </c>
      <c r="N34" s="98">
        <f t="shared" si="2"/>
        <v>-1</v>
      </c>
      <c r="O34" s="98">
        <f t="shared" si="3"/>
        <v>0</v>
      </c>
      <c r="P34" s="98">
        <f t="shared" si="4"/>
        <v>0</v>
      </c>
      <c r="Q34"/>
      <c r="R34"/>
      <c r="S34"/>
      <c r="T34"/>
      <c r="U34"/>
    </row>
    <row r="35" spans="1:21">
      <c r="A35" s="97"/>
      <c r="B35" s="102" t="s">
        <v>36</v>
      </c>
      <c r="C35" s="102" t="s">
        <v>22</v>
      </c>
      <c r="D35" s="98">
        <v>694500</v>
      </c>
      <c r="E35" s="98">
        <v>25</v>
      </c>
      <c r="F35" s="98"/>
      <c r="G35" s="98">
        <v>31252.5</v>
      </c>
      <c r="H35" s="98">
        <v>694500</v>
      </c>
      <c r="I35" s="98">
        <v>25</v>
      </c>
      <c r="J35" s="98">
        <v>0</v>
      </c>
      <c r="K35" s="98">
        <v>31252.5</v>
      </c>
      <c r="L35"/>
      <c r="M35" s="98">
        <f t="shared" si="1"/>
        <v>0</v>
      </c>
      <c r="N35" s="98">
        <f t="shared" si="2"/>
        <v>0</v>
      </c>
      <c r="O35" s="98">
        <f t="shared" si="3"/>
        <v>0</v>
      </c>
      <c r="P35" s="98">
        <f t="shared" si="4"/>
        <v>0</v>
      </c>
      <c r="Q35"/>
      <c r="R35"/>
      <c r="S35"/>
      <c r="T35"/>
      <c r="U35"/>
    </row>
    <row r="36" spans="1:21">
      <c r="A36" s="97"/>
      <c r="B36" s="97"/>
      <c r="C36" s="102" t="s">
        <v>43</v>
      </c>
      <c r="D36" s="98">
        <v>1673000</v>
      </c>
      <c r="E36" s="98">
        <v>35</v>
      </c>
      <c r="F36" s="98"/>
      <c r="G36" s="98">
        <v>75285</v>
      </c>
      <c r="H36" s="98">
        <v>1673000</v>
      </c>
      <c r="I36" s="98">
        <v>35</v>
      </c>
      <c r="J36" s="98">
        <v>0</v>
      </c>
      <c r="K36" s="98">
        <v>75285</v>
      </c>
      <c r="L36"/>
      <c r="M36" s="98">
        <f t="shared" si="1"/>
        <v>0</v>
      </c>
      <c r="N36" s="98">
        <f t="shared" si="2"/>
        <v>0</v>
      </c>
      <c r="O36" s="98">
        <f t="shared" si="3"/>
        <v>0</v>
      </c>
      <c r="P36" s="98">
        <f t="shared" si="4"/>
        <v>0</v>
      </c>
      <c r="Q36"/>
      <c r="R36"/>
      <c r="S36"/>
      <c r="T36"/>
      <c r="U36"/>
    </row>
    <row r="37" spans="1:21">
      <c r="A37" s="97"/>
      <c r="B37" s="97"/>
      <c r="C37" s="102" t="s">
        <v>63</v>
      </c>
      <c r="D37" s="98">
        <v>90000</v>
      </c>
      <c r="E37" s="98">
        <v>9</v>
      </c>
      <c r="F37" s="98"/>
      <c r="G37" s="98">
        <v>4050</v>
      </c>
      <c r="H37" s="98">
        <v>90000</v>
      </c>
      <c r="I37" s="98">
        <v>10</v>
      </c>
      <c r="J37" s="98">
        <v>0</v>
      </c>
      <c r="K37" s="98">
        <v>4050</v>
      </c>
      <c r="L37"/>
      <c r="M37" s="98">
        <f t="shared" si="1"/>
        <v>0</v>
      </c>
      <c r="N37" s="98">
        <f t="shared" si="2"/>
        <v>-1</v>
      </c>
      <c r="O37" s="98">
        <f t="shared" si="3"/>
        <v>0</v>
      </c>
      <c r="P37" s="98">
        <f t="shared" si="4"/>
        <v>0</v>
      </c>
      <c r="Q37"/>
      <c r="R37"/>
      <c r="S37"/>
      <c r="T37"/>
      <c r="U37"/>
    </row>
    <row r="38" spans="1:21">
      <c r="A38" s="97"/>
      <c r="B38" s="97"/>
      <c r="C38" s="102" t="s">
        <v>70</v>
      </c>
      <c r="D38" s="98">
        <v>242500</v>
      </c>
      <c r="E38" s="98">
        <v>6</v>
      </c>
      <c r="F38" s="98"/>
      <c r="G38" s="98">
        <v>10912.5</v>
      </c>
      <c r="H38" s="98">
        <v>242500</v>
      </c>
      <c r="I38" s="98">
        <v>6</v>
      </c>
      <c r="J38" s="98">
        <v>0</v>
      </c>
      <c r="K38" s="98">
        <v>10912.5</v>
      </c>
      <c r="L38"/>
      <c r="M38" s="98">
        <f t="shared" si="1"/>
        <v>0</v>
      </c>
      <c r="N38" s="98">
        <f t="shared" si="2"/>
        <v>0</v>
      </c>
      <c r="O38" s="98">
        <f t="shared" si="3"/>
        <v>0</v>
      </c>
      <c r="P38" s="98">
        <f t="shared" si="4"/>
        <v>0</v>
      </c>
      <c r="Q38"/>
      <c r="R38"/>
      <c r="S38"/>
      <c r="T38"/>
      <c r="U38"/>
    </row>
    <row r="39" spans="1:21">
      <c r="A39" s="97"/>
      <c r="B39" s="104" t="s">
        <v>450</v>
      </c>
      <c r="C39" s="105"/>
      <c r="D39" s="106">
        <v>2700000</v>
      </c>
      <c r="E39" s="106">
        <v>75</v>
      </c>
      <c r="F39" s="106"/>
      <c r="G39" s="106">
        <v>121500</v>
      </c>
      <c r="H39" s="106">
        <v>2700000</v>
      </c>
      <c r="I39" s="106">
        <v>76</v>
      </c>
      <c r="J39" s="106">
        <v>0</v>
      </c>
      <c r="K39" s="106">
        <v>121500</v>
      </c>
      <c r="L39"/>
      <c r="M39" s="98">
        <f t="shared" si="1"/>
        <v>0</v>
      </c>
      <c r="N39" s="98">
        <f t="shared" si="2"/>
        <v>-1</v>
      </c>
      <c r="O39" s="98">
        <f t="shared" si="3"/>
        <v>0</v>
      </c>
      <c r="P39" s="98">
        <f t="shared" si="4"/>
        <v>0</v>
      </c>
      <c r="Q39"/>
      <c r="R39"/>
      <c r="S39"/>
      <c r="T39"/>
      <c r="U39"/>
    </row>
    <row r="40" ht="30" spans="1:21">
      <c r="A40" s="97"/>
      <c r="B40" s="102" t="s">
        <v>82</v>
      </c>
      <c r="C40" s="102" t="s">
        <v>78</v>
      </c>
      <c r="D40" s="98">
        <v>3000</v>
      </c>
      <c r="E40" s="98"/>
      <c r="F40" s="98"/>
      <c r="G40" s="98">
        <v>300</v>
      </c>
      <c r="H40" s="98">
        <v>3000</v>
      </c>
      <c r="I40" s="98"/>
      <c r="J40" s="98">
        <v>0</v>
      </c>
      <c r="K40" s="98">
        <v>300</v>
      </c>
      <c r="L40"/>
      <c r="M40" s="98">
        <f t="shared" si="1"/>
        <v>0</v>
      </c>
      <c r="N40" s="98">
        <f t="shared" si="2"/>
        <v>0</v>
      </c>
      <c r="O40" s="98">
        <f t="shared" si="3"/>
        <v>0</v>
      </c>
      <c r="P40" s="98">
        <f t="shared" si="4"/>
        <v>0</v>
      </c>
      <c r="Q40"/>
      <c r="R40"/>
      <c r="S40"/>
      <c r="T40"/>
      <c r="U40"/>
    </row>
    <row r="41" spans="1:21">
      <c r="A41" s="97"/>
      <c r="B41" s="104" t="s">
        <v>451</v>
      </c>
      <c r="C41" s="105"/>
      <c r="D41" s="106">
        <v>3000</v>
      </c>
      <c r="E41" s="106"/>
      <c r="F41" s="106"/>
      <c r="G41" s="106">
        <v>300</v>
      </c>
      <c r="H41" s="106">
        <v>3000</v>
      </c>
      <c r="I41" s="106"/>
      <c r="J41" s="106">
        <v>0</v>
      </c>
      <c r="K41" s="106">
        <v>300</v>
      </c>
      <c r="L41"/>
      <c r="M41" s="98">
        <f t="shared" si="1"/>
        <v>0</v>
      </c>
      <c r="N41" s="98">
        <f t="shared" si="2"/>
        <v>0</v>
      </c>
      <c r="O41" s="98">
        <f t="shared" si="3"/>
        <v>0</v>
      </c>
      <c r="P41" s="98">
        <f t="shared" si="4"/>
        <v>0</v>
      </c>
      <c r="Q41"/>
      <c r="R41"/>
      <c r="S41"/>
      <c r="T41"/>
      <c r="U41"/>
    </row>
    <row r="42" ht="30" spans="1:21">
      <c r="A42" s="97"/>
      <c r="B42" s="102" t="s">
        <v>84</v>
      </c>
      <c r="C42" s="102" t="s">
        <v>78</v>
      </c>
      <c r="D42" s="98">
        <v>375894</v>
      </c>
      <c r="E42" s="98"/>
      <c r="F42" s="98"/>
      <c r="G42" s="98">
        <v>250596</v>
      </c>
      <c r="H42" s="98">
        <v>375894</v>
      </c>
      <c r="I42" s="98"/>
      <c r="J42" s="98">
        <v>0</v>
      </c>
      <c r="K42" s="98">
        <v>250596</v>
      </c>
      <c r="L42"/>
      <c r="M42" s="98">
        <f t="shared" si="1"/>
        <v>0</v>
      </c>
      <c r="N42" s="98">
        <f t="shared" si="2"/>
        <v>0</v>
      </c>
      <c r="O42" s="98">
        <f t="shared" si="3"/>
        <v>0</v>
      </c>
      <c r="P42" s="98">
        <f t="shared" si="4"/>
        <v>0</v>
      </c>
      <c r="Q42"/>
      <c r="R42"/>
      <c r="S42"/>
      <c r="T42"/>
      <c r="U42"/>
    </row>
    <row r="43" spans="1:21">
      <c r="A43" s="97"/>
      <c r="B43" s="104" t="s">
        <v>452</v>
      </c>
      <c r="C43" s="105"/>
      <c r="D43" s="106">
        <v>375894</v>
      </c>
      <c r="E43" s="106"/>
      <c r="F43" s="106"/>
      <c r="G43" s="106">
        <v>250596</v>
      </c>
      <c r="H43" s="106">
        <v>375894</v>
      </c>
      <c r="I43" s="106"/>
      <c r="J43" s="106">
        <v>0</v>
      </c>
      <c r="K43" s="106">
        <v>250596</v>
      </c>
      <c r="L43"/>
      <c r="M43" s="98">
        <f t="shared" si="1"/>
        <v>0</v>
      </c>
      <c r="N43" s="98">
        <f t="shared" si="2"/>
        <v>0</v>
      </c>
      <c r="O43" s="98">
        <f t="shared" si="3"/>
        <v>0</v>
      </c>
      <c r="P43" s="98">
        <f t="shared" si="4"/>
        <v>0</v>
      </c>
      <c r="Q43"/>
      <c r="R43"/>
      <c r="S43"/>
      <c r="T43"/>
      <c r="U43"/>
    </row>
    <row r="44" ht="30" spans="1:21">
      <c r="A44" s="97"/>
      <c r="B44" s="102" t="s">
        <v>86</v>
      </c>
      <c r="C44" s="102" t="s">
        <v>78</v>
      </c>
      <c r="D44" s="98">
        <v>5000</v>
      </c>
      <c r="E44" s="98"/>
      <c r="F44" s="98"/>
      <c r="G44" s="98">
        <v>6000</v>
      </c>
      <c r="H44" s="98">
        <v>5000</v>
      </c>
      <c r="I44" s="98"/>
      <c r="J44" s="98">
        <v>0</v>
      </c>
      <c r="K44" s="98">
        <v>6000</v>
      </c>
      <c r="L44"/>
      <c r="M44" s="98">
        <f t="shared" si="1"/>
        <v>0</v>
      </c>
      <c r="N44" s="98">
        <f t="shared" si="2"/>
        <v>0</v>
      </c>
      <c r="O44" s="98">
        <f t="shared" si="3"/>
        <v>0</v>
      </c>
      <c r="P44" s="98">
        <f t="shared" si="4"/>
        <v>0</v>
      </c>
      <c r="Q44"/>
      <c r="R44"/>
      <c r="S44"/>
      <c r="T44"/>
      <c r="U44"/>
    </row>
    <row r="45" spans="1:21">
      <c r="A45" s="97"/>
      <c r="B45" s="104" t="s">
        <v>453</v>
      </c>
      <c r="C45" s="105"/>
      <c r="D45" s="106">
        <v>5000</v>
      </c>
      <c r="E45" s="106"/>
      <c r="F45" s="106"/>
      <c r="G45" s="106">
        <v>6000</v>
      </c>
      <c r="H45" s="106">
        <v>5000</v>
      </c>
      <c r="I45" s="106"/>
      <c r="J45" s="106">
        <v>0</v>
      </c>
      <c r="K45" s="106">
        <v>6000</v>
      </c>
      <c r="L45"/>
      <c r="M45" s="98">
        <f t="shared" si="1"/>
        <v>0</v>
      </c>
      <c r="N45" s="98">
        <f t="shared" si="2"/>
        <v>0</v>
      </c>
      <c r="O45" s="98">
        <f t="shared" si="3"/>
        <v>0</v>
      </c>
      <c r="P45" s="98">
        <f t="shared" si="4"/>
        <v>0</v>
      </c>
      <c r="Q45"/>
      <c r="R45"/>
      <c r="S45"/>
      <c r="T45"/>
      <c r="U45"/>
    </row>
    <row r="46" ht="30" spans="1:21">
      <c r="A46" s="97"/>
      <c r="B46" s="102" t="s">
        <v>88</v>
      </c>
      <c r="C46" s="102" t="s">
        <v>78</v>
      </c>
      <c r="D46" s="98">
        <v>50000</v>
      </c>
      <c r="E46" s="98"/>
      <c r="F46" s="98"/>
      <c r="G46" s="98">
        <v>1500</v>
      </c>
      <c r="H46" s="98">
        <v>50000</v>
      </c>
      <c r="I46" s="98"/>
      <c r="J46" s="98">
        <v>0</v>
      </c>
      <c r="K46" s="98">
        <v>1500</v>
      </c>
      <c r="L46"/>
      <c r="M46" s="98">
        <f t="shared" si="1"/>
        <v>0</v>
      </c>
      <c r="N46" s="98">
        <f t="shared" si="2"/>
        <v>0</v>
      </c>
      <c r="O46" s="98">
        <f t="shared" si="3"/>
        <v>0</v>
      </c>
      <c r="P46" s="98">
        <f t="shared" si="4"/>
        <v>0</v>
      </c>
      <c r="Q46"/>
      <c r="R46"/>
      <c r="S46"/>
      <c r="T46"/>
      <c r="U46"/>
    </row>
    <row r="47" spans="1:21">
      <c r="A47" s="97"/>
      <c r="B47" s="104" t="s">
        <v>454</v>
      </c>
      <c r="C47" s="105"/>
      <c r="D47" s="106">
        <v>50000</v>
      </c>
      <c r="E47" s="106"/>
      <c r="F47" s="106"/>
      <c r="G47" s="106">
        <v>1500</v>
      </c>
      <c r="H47" s="106">
        <v>50000</v>
      </c>
      <c r="I47" s="106"/>
      <c r="J47" s="106">
        <v>0</v>
      </c>
      <c r="K47" s="106">
        <v>1500</v>
      </c>
      <c r="L47"/>
      <c r="M47" s="98">
        <f t="shared" si="1"/>
        <v>0</v>
      </c>
      <c r="N47" s="98">
        <f t="shared" si="2"/>
        <v>0</v>
      </c>
      <c r="O47" s="98">
        <f t="shared" si="3"/>
        <v>0</v>
      </c>
      <c r="P47" s="98">
        <f t="shared" si="4"/>
        <v>0</v>
      </c>
      <c r="Q47"/>
      <c r="R47"/>
      <c r="S47"/>
      <c r="T47"/>
      <c r="U47"/>
    </row>
    <row r="48" ht="30" spans="1:21">
      <c r="A48" s="97"/>
      <c r="B48" s="102" t="s">
        <v>90</v>
      </c>
      <c r="C48" s="102" t="s">
        <v>78</v>
      </c>
      <c r="D48" s="98">
        <v>5000</v>
      </c>
      <c r="E48" s="98"/>
      <c r="F48" s="98"/>
      <c r="G48" s="98">
        <v>2750</v>
      </c>
      <c r="H48" s="98">
        <v>5000</v>
      </c>
      <c r="I48" s="98"/>
      <c r="J48" s="98">
        <v>0</v>
      </c>
      <c r="K48" s="98">
        <v>2750</v>
      </c>
      <c r="L48"/>
      <c r="M48" s="98">
        <f t="shared" si="1"/>
        <v>0</v>
      </c>
      <c r="N48" s="98">
        <f t="shared" si="2"/>
        <v>0</v>
      </c>
      <c r="O48" s="98">
        <f t="shared" si="3"/>
        <v>0</v>
      </c>
      <c r="P48" s="98">
        <f t="shared" si="4"/>
        <v>0</v>
      </c>
      <c r="Q48"/>
      <c r="R48"/>
      <c r="S48"/>
      <c r="T48"/>
      <c r="U48"/>
    </row>
    <row r="49" spans="1:21">
      <c r="A49" s="97"/>
      <c r="B49" s="104" t="s">
        <v>455</v>
      </c>
      <c r="C49" s="105"/>
      <c r="D49" s="106">
        <v>5000</v>
      </c>
      <c r="E49" s="106"/>
      <c r="F49" s="106"/>
      <c r="G49" s="106">
        <v>2750</v>
      </c>
      <c r="H49" s="106">
        <v>5000</v>
      </c>
      <c r="I49" s="106"/>
      <c r="J49" s="106">
        <v>0</v>
      </c>
      <c r="K49" s="106">
        <v>2750</v>
      </c>
      <c r="L49"/>
      <c r="M49" s="98">
        <f t="shared" si="1"/>
        <v>0</v>
      </c>
      <c r="N49" s="98">
        <f t="shared" si="2"/>
        <v>0</v>
      </c>
      <c r="O49" s="98">
        <f t="shared" si="3"/>
        <v>0</v>
      </c>
      <c r="P49" s="98">
        <f t="shared" si="4"/>
        <v>0</v>
      </c>
      <c r="Q49"/>
      <c r="R49"/>
      <c r="S49"/>
      <c r="T49"/>
      <c r="U49"/>
    </row>
    <row r="50" spans="1:21">
      <c r="A50" s="97"/>
      <c r="B50" s="102" t="s">
        <v>38</v>
      </c>
      <c r="C50" s="102" t="s">
        <v>22</v>
      </c>
      <c r="D50" s="98">
        <v>130000</v>
      </c>
      <c r="E50" s="98"/>
      <c r="F50" s="98">
        <v>13</v>
      </c>
      <c r="G50" s="98"/>
      <c r="H50" s="98">
        <v>130000</v>
      </c>
      <c r="I50" s="98">
        <v>3</v>
      </c>
      <c r="J50" s="98">
        <v>0</v>
      </c>
      <c r="K50" s="98">
        <v>130</v>
      </c>
      <c r="L50"/>
      <c r="M50" s="98">
        <f t="shared" si="1"/>
        <v>0</v>
      </c>
      <c r="N50" s="98">
        <f t="shared" si="2"/>
        <v>-3</v>
      </c>
      <c r="O50" s="98">
        <f t="shared" si="3"/>
        <v>13</v>
      </c>
      <c r="P50" s="98">
        <f t="shared" si="4"/>
        <v>-130</v>
      </c>
      <c r="Q50"/>
      <c r="R50"/>
      <c r="S50"/>
      <c r="T50"/>
      <c r="U50"/>
    </row>
    <row r="51" spans="1:21">
      <c r="A51" s="97"/>
      <c r="B51" s="97"/>
      <c r="C51" s="102" t="s">
        <v>43</v>
      </c>
      <c r="D51" s="98">
        <v>455000</v>
      </c>
      <c r="E51" s="98"/>
      <c r="F51" s="98">
        <v>45</v>
      </c>
      <c r="G51" s="98"/>
      <c r="H51" s="98">
        <v>455000</v>
      </c>
      <c r="I51" s="98">
        <v>3</v>
      </c>
      <c r="J51" s="98">
        <v>0</v>
      </c>
      <c r="K51" s="98">
        <v>455</v>
      </c>
      <c r="L51"/>
      <c r="M51" s="98">
        <f t="shared" si="1"/>
        <v>0</v>
      </c>
      <c r="N51" s="98">
        <f t="shared" si="2"/>
        <v>-3</v>
      </c>
      <c r="O51" s="98">
        <f t="shared" si="3"/>
        <v>45</v>
      </c>
      <c r="P51" s="98">
        <f t="shared" si="4"/>
        <v>-455</v>
      </c>
      <c r="Q51"/>
      <c r="R51"/>
      <c r="S51"/>
      <c r="T51"/>
      <c r="U51"/>
    </row>
    <row r="52" spans="1:21">
      <c r="A52" s="97"/>
      <c r="B52" s="97"/>
      <c r="C52" s="102" t="s">
        <v>63</v>
      </c>
      <c r="D52" s="98">
        <v>195000</v>
      </c>
      <c r="E52" s="98"/>
      <c r="F52" s="98">
        <v>15</v>
      </c>
      <c r="G52" s="98"/>
      <c r="H52" s="98">
        <v>195000</v>
      </c>
      <c r="I52" s="98">
        <v>1</v>
      </c>
      <c r="J52" s="98">
        <v>0</v>
      </c>
      <c r="K52" s="98">
        <v>195</v>
      </c>
      <c r="L52"/>
      <c r="M52" s="98">
        <f t="shared" si="1"/>
        <v>0</v>
      </c>
      <c r="N52" s="98">
        <f t="shared" si="2"/>
        <v>-1</v>
      </c>
      <c r="O52" s="98">
        <f t="shared" si="3"/>
        <v>15</v>
      </c>
      <c r="P52" s="98">
        <f t="shared" si="4"/>
        <v>-195</v>
      </c>
      <c r="Q52"/>
      <c r="R52"/>
      <c r="S52"/>
      <c r="T52"/>
      <c r="U52"/>
    </row>
    <row r="53" spans="1:21">
      <c r="A53" s="97"/>
      <c r="B53" s="97"/>
      <c r="C53" s="102" t="s">
        <v>70</v>
      </c>
      <c r="D53" s="98">
        <v>195000</v>
      </c>
      <c r="E53" s="98"/>
      <c r="F53" s="98">
        <v>15</v>
      </c>
      <c r="G53" s="98"/>
      <c r="H53" s="98">
        <v>195000</v>
      </c>
      <c r="I53" s="98">
        <v>1</v>
      </c>
      <c r="J53" s="98">
        <v>0</v>
      </c>
      <c r="K53" s="98">
        <v>195</v>
      </c>
      <c r="L53"/>
      <c r="M53" s="98">
        <f t="shared" si="1"/>
        <v>0</v>
      </c>
      <c r="N53" s="98">
        <f t="shared" si="2"/>
        <v>-1</v>
      </c>
      <c r="O53" s="98">
        <f t="shared" si="3"/>
        <v>15</v>
      </c>
      <c r="P53" s="98">
        <f t="shared" si="4"/>
        <v>-195</v>
      </c>
      <c r="Q53"/>
      <c r="R53"/>
      <c r="S53"/>
      <c r="T53"/>
      <c r="U53"/>
    </row>
    <row r="54" spans="1:21">
      <c r="A54" s="97"/>
      <c r="B54" s="97"/>
      <c r="C54" s="102" t="s">
        <v>78</v>
      </c>
      <c r="D54" s="98"/>
      <c r="E54" s="98"/>
      <c r="F54" s="98"/>
      <c r="G54" s="98">
        <v>975</v>
      </c>
      <c r="H54" s="98"/>
      <c r="I54" s="98"/>
      <c r="J54" s="98"/>
      <c r="K54" s="98"/>
      <c r="L54"/>
      <c r="M54" s="98">
        <f t="shared" si="1"/>
        <v>0</v>
      </c>
      <c r="N54" s="98">
        <f t="shared" si="2"/>
        <v>0</v>
      </c>
      <c r="O54" s="98">
        <f t="shared" si="3"/>
        <v>0</v>
      </c>
      <c r="P54" s="98">
        <f t="shared" si="4"/>
        <v>975</v>
      </c>
      <c r="Q54"/>
      <c r="R54"/>
      <c r="S54"/>
      <c r="T54"/>
      <c r="U54"/>
    </row>
    <row r="55" spans="1:21">
      <c r="A55" s="97"/>
      <c r="B55" s="104" t="s">
        <v>456</v>
      </c>
      <c r="C55" s="105"/>
      <c r="D55" s="106">
        <v>975000</v>
      </c>
      <c r="E55" s="106"/>
      <c r="F55" s="106">
        <v>88</v>
      </c>
      <c r="G55" s="106">
        <v>975</v>
      </c>
      <c r="H55" s="106">
        <v>975000</v>
      </c>
      <c r="I55" s="106">
        <v>8</v>
      </c>
      <c r="J55" s="106">
        <v>0</v>
      </c>
      <c r="K55" s="106">
        <v>975</v>
      </c>
      <c r="L55"/>
      <c r="M55" s="98">
        <f t="shared" si="1"/>
        <v>0</v>
      </c>
      <c r="N55" s="98">
        <f t="shared" si="2"/>
        <v>-8</v>
      </c>
      <c r="O55" s="98">
        <f t="shared" si="3"/>
        <v>88</v>
      </c>
      <c r="P55" s="98">
        <f t="shared" si="4"/>
        <v>0</v>
      </c>
      <c r="Q55"/>
      <c r="R55"/>
      <c r="S55"/>
      <c r="T55"/>
      <c r="U55"/>
    </row>
    <row r="56" spans="1:21">
      <c r="A56" s="97"/>
      <c r="B56" s="102" t="s">
        <v>40</v>
      </c>
      <c r="C56" s="102" t="s">
        <v>22</v>
      </c>
      <c r="D56" s="98">
        <v>240000</v>
      </c>
      <c r="E56" s="98"/>
      <c r="F56" s="98">
        <v>24</v>
      </c>
      <c r="G56" s="98">
        <v>360</v>
      </c>
      <c r="H56" s="98">
        <v>240000</v>
      </c>
      <c r="I56" s="98">
        <v>2</v>
      </c>
      <c r="J56" s="98">
        <v>0</v>
      </c>
      <c r="K56" s="98">
        <v>360</v>
      </c>
      <c r="L56"/>
      <c r="M56" s="98">
        <f t="shared" si="1"/>
        <v>0</v>
      </c>
      <c r="N56" s="98">
        <f t="shared" si="2"/>
        <v>-2</v>
      </c>
      <c r="O56" s="98">
        <f t="shared" si="3"/>
        <v>24</v>
      </c>
      <c r="P56" s="98">
        <f t="shared" si="4"/>
        <v>0</v>
      </c>
      <c r="Q56"/>
      <c r="R56"/>
      <c r="S56"/>
      <c r="T56"/>
      <c r="U56"/>
    </row>
    <row r="57" spans="1:21">
      <c r="A57" s="97"/>
      <c r="B57" s="97"/>
      <c r="C57" s="102" t="s">
        <v>43</v>
      </c>
      <c r="D57" s="98">
        <v>3680000</v>
      </c>
      <c r="E57" s="98"/>
      <c r="F57" s="98">
        <v>368</v>
      </c>
      <c r="G57" s="98">
        <v>5520</v>
      </c>
      <c r="H57" s="98">
        <v>3680000</v>
      </c>
      <c r="I57" s="98">
        <v>9</v>
      </c>
      <c r="J57" s="98">
        <v>0</v>
      </c>
      <c r="K57" s="98">
        <v>5520</v>
      </c>
      <c r="L57"/>
      <c r="M57" s="98">
        <f t="shared" si="1"/>
        <v>0</v>
      </c>
      <c r="N57" s="98">
        <f t="shared" si="2"/>
        <v>-9</v>
      </c>
      <c r="O57" s="98">
        <f t="shared" si="3"/>
        <v>368</v>
      </c>
      <c r="P57" s="98">
        <f t="shared" si="4"/>
        <v>0</v>
      </c>
      <c r="Q57"/>
      <c r="R57"/>
      <c r="S57"/>
      <c r="T57"/>
      <c r="U57"/>
    </row>
    <row r="58" spans="1:21">
      <c r="A58" s="97"/>
      <c r="B58" s="97"/>
      <c r="C58" s="102" t="s">
        <v>63</v>
      </c>
      <c r="D58" s="98">
        <v>100000</v>
      </c>
      <c r="E58" s="98"/>
      <c r="F58" s="98">
        <v>10</v>
      </c>
      <c r="G58" s="98">
        <v>150</v>
      </c>
      <c r="H58" s="98">
        <v>100000</v>
      </c>
      <c r="I58" s="98">
        <v>1</v>
      </c>
      <c r="J58" s="98">
        <v>0</v>
      </c>
      <c r="K58" s="98">
        <v>150</v>
      </c>
      <c r="L58"/>
      <c r="M58" s="98">
        <f t="shared" si="1"/>
        <v>0</v>
      </c>
      <c r="N58" s="98">
        <f t="shared" si="2"/>
        <v>-1</v>
      </c>
      <c r="O58" s="98">
        <f t="shared" si="3"/>
        <v>10</v>
      </c>
      <c r="P58" s="98">
        <f t="shared" si="4"/>
        <v>0</v>
      </c>
      <c r="Q58"/>
      <c r="R58"/>
      <c r="S58"/>
      <c r="T58"/>
      <c r="U58"/>
    </row>
    <row r="59" spans="1:21">
      <c r="A59" s="97"/>
      <c r="B59" s="97"/>
      <c r="C59" s="102" t="s">
        <v>70</v>
      </c>
      <c r="D59" s="98">
        <v>980000</v>
      </c>
      <c r="E59" s="98"/>
      <c r="F59" s="98">
        <v>98</v>
      </c>
      <c r="G59" s="98">
        <v>1470</v>
      </c>
      <c r="H59" s="98">
        <v>980000</v>
      </c>
      <c r="I59" s="98">
        <v>2</v>
      </c>
      <c r="J59" s="98">
        <v>0</v>
      </c>
      <c r="K59" s="98">
        <v>1470</v>
      </c>
      <c r="L59"/>
      <c r="M59" s="98">
        <f t="shared" si="1"/>
        <v>0</v>
      </c>
      <c r="N59" s="98">
        <f t="shared" si="2"/>
        <v>-2</v>
      </c>
      <c r="O59" s="98">
        <f t="shared" si="3"/>
        <v>98</v>
      </c>
      <c r="P59" s="98">
        <f t="shared" si="4"/>
        <v>0</v>
      </c>
      <c r="Q59"/>
      <c r="R59"/>
      <c r="S59"/>
      <c r="T59"/>
      <c r="U59"/>
    </row>
    <row r="60" spans="1:21">
      <c r="A60" s="97"/>
      <c r="B60" s="104" t="s">
        <v>457</v>
      </c>
      <c r="C60" s="105"/>
      <c r="D60" s="106">
        <v>5000000</v>
      </c>
      <c r="E60" s="106"/>
      <c r="F60" s="106">
        <v>500</v>
      </c>
      <c r="G60" s="106">
        <v>7500</v>
      </c>
      <c r="H60" s="106">
        <v>5000000</v>
      </c>
      <c r="I60" s="106">
        <v>14</v>
      </c>
      <c r="J60" s="106">
        <v>0</v>
      </c>
      <c r="K60" s="106">
        <v>7500</v>
      </c>
      <c r="L60"/>
      <c r="M60" s="98">
        <f t="shared" si="1"/>
        <v>0</v>
      </c>
      <c r="N60" s="98">
        <f t="shared" si="2"/>
        <v>-14</v>
      </c>
      <c r="O60" s="98">
        <f t="shared" si="3"/>
        <v>500</v>
      </c>
      <c r="P60" s="98">
        <f t="shared" si="4"/>
        <v>0</v>
      </c>
      <c r="Q60"/>
      <c r="R60"/>
      <c r="S60"/>
      <c r="T60"/>
      <c r="U60"/>
    </row>
    <row r="61" spans="1:21">
      <c r="A61" s="97"/>
      <c r="B61" s="102" t="s">
        <v>42</v>
      </c>
      <c r="C61" s="102" t="s">
        <v>22</v>
      </c>
      <c r="D61" s="98">
        <v>3700</v>
      </c>
      <c r="E61" s="98"/>
      <c r="F61" s="98">
        <v>37</v>
      </c>
      <c r="G61" s="98">
        <v>166.5</v>
      </c>
      <c r="H61" s="98">
        <v>3700</v>
      </c>
      <c r="I61" s="98">
        <v>5</v>
      </c>
      <c r="J61" s="98">
        <v>0</v>
      </c>
      <c r="K61" s="98">
        <v>166.5</v>
      </c>
      <c r="L61"/>
      <c r="M61" s="98">
        <f t="shared" si="1"/>
        <v>0</v>
      </c>
      <c r="N61" s="98">
        <f t="shared" si="2"/>
        <v>-5</v>
      </c>
      <c r="O61" s="98">
        <f t="shared" si="3"/>
        <v>37</v>
      </c>
      <c r="P61" s="98">
        <f t="shared" si="4"/>
        <v>0</v>
      </c>
      <c r="Q61"/>
      <c r="R61"/>
      <c r="S61"/>
      <c r="T61"/>
      <c r="U61"/>
    </row>
    <row r="62" spans="1:21">
      <c r="A62" s="97"/>
      <c r="B62" s="97"/>
      <c r="C62" s="102" t="s">
        <v>43</v>
      </c>
      <c r="D62" s="98">
        <v>41400</v>
      </c>
      <c r="E62" s="98"/>
      <c r="F62" s="98">
        <v>414</v>
      </c>
      <c r="G62" s="98">
        <v>1863</v>
      </c>
      <c r="H62" s="98">
        <v>41400</v>
      </c>
      <c r="I62" s="98">
        <v>12</v>
      </c>
      <c r="J62" s="98">
        <v>0</v>
      </c>
      <c r="K62" s="98">
        <v>1863</v>
      </c>
      <c r="L62"/>
      <c r="M62" s="98">
        <f t="shared" si="1"/>
        <v>0</v>
      </c>
      <c r="N62" s="98">
        <f t="shared" si="2"/>
        <v>-12</v>
      </c>
      <c r="O62" s="98">
        <f t="shared" si="3"/>
        <v>414</v>
      </c>
      <c r="P62" s="98">
        <f t="shared" si="4"/>
        <v>0</v>
      </c>
      <c r="Q62"/>
      <c r="R62"/>
      <c r="S62"/>
      <c r="T62"/>
      <c r="U62"/>
    </row>
    <row r="63" spans="1:21">
      <c r="A63" s="97"/>
      <c r="B63" s="97"/>
      <c r="C63" s="102" t="s">
        <v>63</v>
      </c>
      <c r="D63" s="98">
        <v>2950</v>
      </c>
      <c r="E63" s="98"/>
      <c r="F63" s="98">
        <v>30</v>
      </c>
      <c r="G63" s="98">
        <v>132.75</v>
      </c>
      <c r="H63" s="98">
        <v>2950</v>
      </c>
      <c r="I63" s="98">
        <v>2</v>
      </c>
      <c r="J63" s="98">
        <v>0</v>
      </c>
      <c r="K63" s="98">
        <v>132.75</v>
      </c>
      <c r="L63"/>
      <c r="M63" s="98">
        <f t="shared" si="1"/>
        <v>0</v>
      </c>
      <c r="N63" s="98">
        <f t="shared" si="2"/>
        <v>-2</v>
      </c>
      <c r="O63" s="98">
        <f t="shared" si="3"/>
        <v>30</v>
      </c>
      <c r="P63" s="98">
        <f t="shared" si="4"/>
        <v>0</v>
      </c>
      <c r="Q63"/>
      <c r="R63"/>
      <c r="S63"/>
      <c r="T63"/>
      <c r="U63"/>
    </row>
    <row r="64" spans="1:21">
      <c r="A64" s="97"/>
      <c r="B64" s="97"/>
      <c r="C64" s="102" t="s">
        <v>70</v>
      </c>
      <c r="D64" s="98">
        <v>11750</v>
      </c>
      <c r="E64" s="98"/>
      <c r="F64" s="98">
        <v>118</v>
      </c>
      <c r="G64" s="98">
        <v>528.75</v>
      </c>
      <c r="H64" s="98">
        <v>11750</v>
      </c>
      <c r="I64" s="98">
        <v>3</v>
      </c>
      <c r="J64" s="98">
        <v>0</v>
      </c>
      <c r="K64" s="98">
        <v>528.75</v>
      </c>
      <c r="L64"/>
      <c r="M64" s="98">
        <f t="shared" si="1"/>
        <v>0</v>
      </c>
      <c r="N64" s="98">
        <f t="shared" si="2"/>
        <v>-3</v>
      </c>
      <c r="O64" s="98">
        <f t="shared" si="3"/>
        <v>118</v>
      </c>
      <c r="P64" s="98">
        <f t="shared" si="4"/>
        <v>0</v>
      </c>
      <c r="Q64"/>
      <c r="R64"/>
      <c r="S64"/>
      <c r="T64"/>
      <c r="U64"/>
    </row>
    <row r="65" spans="1:21">
      <c r="A65" s="97"/>
      <c r="B65" s="104" t="s">
        <v>458</v>
      </c>
      <c r="C65" s="105"/>
      <c r="D65" s="106">
        <v>59800</v>
      </c>
      <c r="E65" s="106"/>
      <c r="F65" s="106">
        <v>599</v>
      </c>
      <c r="G65" s="106">
        <v>2691</v>
      </c>
      <c r="H65" s="106">
        <v>59800</v>
      </c>
      <c r="I65" s="106">
        <v>22</v>
      </c>
      <c r="J65" s="106">
        <v>0</v>
      </c>
      <c r="K65" s="106">
        <v>2691</v>
      </c>
      <c r="L65"/>
      <c r="M65" s="98">
        <f t="shared" si="1"/>
        <v>0</v>
      </c>
      <c r="N65" s="98">
        <f t="shared" si="2"/>
        <v>-22</v>
      </c>
      <c r="O65" s="98">
        <f t="shared" si="3"/>
        <v>599</v>
      </c>
      <c r="P65" s="98">
        <f t="shared" si="4"/>
        <v>0</v>
      </c>
      <c r="Q65"/>
      <c r="R65"/>
      <c r="S65"/>
      <c r="T65"/>
      <c r="U65"/>
    </row>
    <row r="66" ht="30" spans="1:21">
      <c r="A66" s="97"/>
      <c r="B66" s="102" t="s">
        <v>92</v>
      </c>
      <c r="C66" s="102" t="s">
        <v>78</v>
      </c>
      <c r="D66" s="98">
        <v>10000</v>
      </c>
      <c r="E66" s="98"/>
      <c r="F66" s="98"/>
      <c r="G66" s="98">
        <v>4000</v>
      </c>
      <c r="H66" s="98">
        <v>10000</v>
      </c>
      <c r="I66" s="98"/>
      <c r="J66" s="98">
        <v>0</v>
      </c>
      <c r="K66" s="98">
        <v>4000</v>
      </c>
      <c r="L66"/>
      <c r="M66" s="98">
        <f t="shared" si="1"/>
        <v>0</v>
      </c>
      <c r="N66" s="98">
        <f t="shared" si="2"/>
        <v>0</v>
      </c>
      <c r="O66" s="98">
        <f t="shared" si="3"/>
        <v>0</v>
      </c>
      <c r="P66" s="98">
        <f t="shared" si="4"/>
        <v>0</v>
      </c>
      <c r="Q66"/>
      <c r="R66"/>
      <c r="S66"/>
      <c r="T66"/>
      <c r="U66"/>
    </row>
    <row r="67" spans="1:21">
      <c r="A67" s="97"/>
      <c r="B67" s="104" t="s">
        <v>459</v>
      </c>
      <c r="C67" s="105"/>
      <c r="D67" s="106">
        <v>10000</v>
      </c>
      <c r="E67" s="106"/>
      <c r="F67" s="106"/>
      <c r="G67" s="106">
        <v>4000</v>
      </c>
      <c r="H67" s="106">
        <v>10000</v>
      </c>
      <c r="I67" s="106"/>
      <c r="J67" s="106">
        <v>0</v>
      </c>
      <c r="K67" s="106">
        <v>4000</v>
      </c>
      <c r="L67"/>
      <c r="M67" s="98">
        <f t="shared" si="1"/>
        <v>0</v>
      </c>
      <c r="N67" s="98">
        <f t="shared" si="2"/>
        <v>0</v>
      </c>
      <c r="O67" s="98">
        <f t="shared" si="3"/>
        <v>0</v>
      </c>
      <c r="P67" s="98">
        <f t="shared" si="4"/>
        <v>0</v>
      </c>
      <c r="Q67"/>
      <c r="R67"/>
      <c r="S67"/>
      <c r="T67"/>
      <c r="U67"/>
    </row>
    <row r="68" spans="1:21">
      <c r="A68" s="97"/>
      <c r="B68" s="102" t="s">
        <v>55</v>
      </c>
      <c r="C68" s="102" t="s">
        <v>43</v>
      </c>
      <c r="D68" s="98">
        <v>20000</v>
      </c>
      <c r="E68" s="98"/>
      <c r="F68" s="98">
        <v>1000</v>
      </c>
      <c r="G68" s="98">
        <v>1750</v>
      </c>
      <c r="H68" s="98">
        <v>20000</v>
      </c>
      <c r="I68" s="98">
        <v>1</v>
      </c>
      <c r="J68" s="98">
        <v>0</v>
      </c>
      <c r="K68" s="98">
        <v>1750</v>
      </c>
      <c r="L68"/>
      <c r="M68" s="98">
        <f t="shared" si="1"/>
        <v>0</v>
      </c>
      <c r="N68" s="98">
        <f t="shared" si="2"/>
        <v>-1</v>
      </c>
      <c r="O68" s="98">
        <f t="shared" si="3"/>
        <v>1000</v>
      </c>
      <c r="P68" s="98">
        <f t="shared" si="4"/>
        <v>0</v>
      </c>
      <c r="Q68"/>
      <c r="R68"/>
      <c r="S68"/>
      <c r="T68"/>
      <c r="U68"/>
    </row>
    <row r="69" spans="1:21">
      <c r="A69" s="97"/>
      <c r="B69" s="104" t="s">
        <v>460</v>
      </c>
      <c r="C69" s="105"/>
      <c r="D69" s="106">
        <v>20000</v>
      </c>
      <c r="E69" s="106"/>
      <c r="F69" s="106">
        <v>1000</v>
      </c>
      <c r="G69" s="106">
        <v>1750</v>
      </c>
      <c r="H69" s="106">
        <v>20000</v>
      </c>
      <c r="I69" s="106">
        <v>1</v>
      </c>
      <c r="J69" s="106">
        <v>0</v>
      </c>
      <c r="K69" s="106">
        <v>1750</v>
      </c>
      <c r="L69"/>
      <c r="M69" s="98">
        <f t="shared" si="1"/>
        <v>0</v>
      </c>
      <c r="N69" s="98">
        <f t="shared" si="2"/>
        <v>-1</v>
      </c>
      <c r="O69" s="98">
        <f t="shared" si="3"/>
        <v>1000</v>
      </c>
      <c r="P69" s="98">
        <f t="shared" si="4"/>
        <v>0</v>
      </c>
      <c r="Q69"/>
      <c r="R69"/>
      <c r="S69"/>
      <c r="T69"/>
      <c r="U69"/>
    </row>
    <row r="70" spans="1:21">
      <c r="A70" s="97"/>
      <c r="B70" s="102" t="s">
        <v>57</v>
      </c>
      <c r="C70" s="102" t="s">
        <v>43</v>
      </c>
      <c r="D70" s="98">
        <v>100000</v>
      </c>
      <c r="E70" s="98"/>
      <c r="F70" s="98">
        <v>1000</v>
      </c>
      <c r="G70" s="98">
        <v>4500</v>
      </c>
      <c r="H70" s="98">
        <v>100000</v>
      </c>
      <c r="I70" s="98">
        <v>1</v>
      </c>
      <c r="J70" s="98">
        <v>0</v>
      </c>
      <c r="K70" s="98">
        <v>4500</v>
      </c>
      <c r="L70"/>
      <c r="M70" s="98">
        <f t="shared" si="1"/>
        <v>0</v>
      </c>
      <c r="N70" s="98">
        <f t="shared" si="2"/>
        <v>-1</v>
      </c>
      <c r="O70" s="98">
        <f t="shared" si="3"/>
        <v>1000</v>
      </c>
      <c r="P70" s="98">
        <f t="shared" si="4"/>
        <v>0</v>
      </c>
      <c r="Q70"/>
      <c r="R70"/>
      <c r="S70"/>
      <c r="T70"/>
      <c r="U70"/>
    </row>
    <row r="71" spans="1:21">
      <c r="A71" s="97"/>
      <c r="B71" s="104" t="s">
        <v>461</v>
      </c>
      <c r="C71" s="105"/>
      <c r="D71" s="106">
        <v>100000</v>
      </c>
      <c r="E71" s="106"/>
      <c r="F71" s="106">
        <v>1000</v>
      </c>
      <c r="G71" s="106">
        <v>4500</v>
      </c>
      <c r="H71" s="106">
        <v>100000</v>
      </c>
      <c r="I71" s="106">
        <v>1</v>
      </c>
      <c r="J71" s="106">
        <v>0</v>
      </c>
      <c r="K71" s="106">
        <v>4500</v>
      </c>
      <c r="L71"/>
      <c r="M71" s="98">
        <f t="shared" si="1"/>
        <v>0</v>
      </c>
      <c r="N71" s="98">
        <f t="shared" si="2"/>
        <v>-1</v>
      </c>
      <c r="O71" s="98">
        <f t="shared" si="3"/>
        <v>1000</v>
      </c>
      <c r="P71" s="98">
        <f t="shared" si="4"/>
        <v>0</v>
      </c>
      <c r="Q71"/>
      <c r="R71"/>
      <c r="S71"/>
      <c r="T71"/>
      <c r="U71"/>
    </row>
    <row r="72" spans="1:21">
      <c r="A72" s="97"/>
      <c r="B72" s="102" t="s">
        <v>59</v>
      </c>
      <c r="C72" s="102" t="s">
        <v>43</v>
      </c>
      <c r="D72" s="98">
        <v>1000</v>
      </c>
      <c r="E72" s="98"/>
      <c r="F72" s="98">
        <v>25</v>
      </c>
      <c r="G72" s="98"/>
      <c r="H72" s="98">
        <v>1000</v>
      </c>
      <c r="I72" s="98">
        <v>1</v>
      </c>
      <c r="J72" s="98">
        <v>0</v>
      </c>
      <c r="K72" s="98">
        <v>50</v>
      </c>
      <c r="L72"/>
      <c r="M72" s="98">
        <f t="shared" si="1"/>
        <v>0</v>
      </c>
      <c r="N72" s="98">
        <f t="shared" si="2"/>
        <v>-1</v>
      </c>
      <c r="O72" s="98">
        <f t="shared" si="3"/>
        <v>25</v>
      </c>
      <c r="P72" s="98">
        <f t="shared" si="4"/>
        <v>-50</v>
      </c>
      <c r="Q72"/>
      <c r="R72"/>
      <c r="S72"/>
      <c r="T72"/>
      <c r="U72"/>
    </row>
    <row r="73" spans="1:21">
      <c r="A73" s="97"/>
      <c r="B73" s="97"/>
      <c r="C73" s="102" t="s">
        <v>78</v>
      </c>
      <c r="D73" s="98"/>
      <c r="E73" s="98"/>
      <c r="F73" s="98"/>
      <c r="G73" s="98">
        <v>50</v>
      </c>
      <c r="H73" s="98"/>
      <c r="I73" s="98"/>
      <c r="J73" s="98"/>
      <c r="K73" s="98"/>
      <c r="L73"/>
      <c r="M73" s="98">
        <f t="shared" si="1"/>
        <v>0</v>
      </c>
      <c r="N73" s="98">
        <f t="shared" si="2"/>
        <v>0</v>
      </c>
      <c r="O73" s="98">
        <f t="shared" si="3"/>
        <v>0</v>
      </c>
      <c r="P73" s="98">
        <f t="shared" si="4"/>
        <v>50</v>
      </c>
      <c r="Q73"/>
      <c r="R73"/>
      <c r="S73"/>
      <c r="T73"/>
      <c r="U73"/>
    </row>
    <row r="74" spans="1:21">
      <c r="A74" s="97"/>
      <c r="B74" s="104" t="s">
        <v>462</v>
      </c>
      <c r="C74" s="105"/>
      <c r="D74" s="106">
        <v>1000</v>
      </c>
      <c r="E74" s="106"/>
      <c r="F74" s="106">
        <v>25</v>
      </c>
      <c r="G74" s="106">
        <v>50</v>
      </c>
      <c r="H74" s="106">
        <v>1000</v>
      </c>
      <c r="I74" s="106">
        <v>1</v>
      </c>
      <c r="J74" s="106">
        <v>0</v>
      </c>
      <c r="K74" s="106">
        <v>50</v>
      </c>
      <c r="L74"/>
      <c r="M74" s="98">
        <f t="shared" si="1"/>
        <v>0</v>
      </c>
      <c r="N74" s="98">
        <f t="shared" si="2"/>
        <v>-1</v>
      </c>
      <c r="O74" s="98">
        <f t="shared" si="3"/>
        <v>25</v>
      </c>
      <c r="P74" s="98">
        <f t="shared" si="4"/>
        <v>0</v>
      </c>
      <c r="Q74"/>
      <c r="R74"/>
      <c r="S74"/>
      <c r="T74"/>
      <c r="U74"/>
    </row>
    <row r="75" spans="1:21">
      <c r="A75" s="97"/>
      <c r="B75" s="102" t="s">
        <v>61</v>
      </c>
      <c r="C75" s="102" t="s">
        <v>43</v>
      </c>
      <c r="D75" s="98">
        <v>2500</v>
      </c>
      <c r="E75" s="98"/>
      <c r="F75" s="98">
        <v>25</v>
      </c>
      <c r="G75" s="98">
        <v>112</v>
      </c>
      <c r="H75" s="98">
        <v>2500</v>
      </c>
      <c r="I75" s="98">
        <v>1</v>
      </c>
      <c r="J75" s="98">
        <v>0</v>
      </c>
      <c r="K75" s="98">
        <v>113</v>
      </c>
      <c r="L75"/>
      <c r="M75" s="98">
        <f t="shared" ref="M75:M138" si="5">+D75-H75</f>
        <v>0</v>
      </c>
      <c r="N75" s="98">
        <f t="shared" ref="N75:N138" si="6">+E75-I75</f>
        <v>-1</v>
      </c>
      <c r="O75" s="98">
        <f t="shared" ref="O75:O138" si="7">+F75-J75</f>
        <v>25</v>
      </c>
      <c r="P75" s="98">
        <f t="shared" ref="P75:P138" si="8">+G75-K75</f>
        <v>-1</v>
      </c>
      <c r="Q75"/>
      <c r="R75"/>
      <c r="S75"/>
      <c r="T75"/>
      <c r="U75"/>
    </row>
    <row r="76" spans="1:21">
      <c r="A76" s="97"/>
      <c r="B76" s="104" t="s">
        <v>463</v>
      </c>
      <c r="C76" s="105"/>
      <c r="D76" s="106">
        <v>2500</v>
      </c>
      <c r="E76" s="106"/>
      <c r="F76" s="106">
        <v>25</v>
      </c>
      <c r="G76" s="106">
        <v>112</v>
      </c>
      <c r="H76" s="106">
        <v>2500</v>
      </c>
      <c r="I76" s="106">
        <v>1</v>
      </c>
      <c r="J76" s="106">
        <v>0</v>
      </c>
      <c r="K76" s="106">
        <v>113</v>
      </c>
      <c r="L76"/>
      <c r="M76" s="98">
        <f t="shared" si="5"/>
        <v>0</v>
      </c>
      <c r="N76" s="98">
        <f t="shared" si="6"/>
        <v>-1</v>
      </c>
      <c r="O76" s="98">
        <f t="shared" si="7"/>
        <v>25</v>
      </c>
      <c r="P76" s="98">
        <f t="shared" si="8"/>
        <v>-1</v>
      </c>
      <c r="Q76"/>
      <c r="R76"/>
      <c r="S76"/>
      <c r="T76"/>
      <c r="U76"/>
    </row>
    <row r="77" ht="30" spans="1:21">
      <c r="A77" s="97"/>
      <c r="B77" s="102" t="s">
        <v>94</v>
      </c>
      <c r="C77" s="102" t="s">
        <v>78</v>
      </c>
      <c r="D77" s="98">
        <v>4</v>
      </c>
      <c r="E77" s="98"/>
      <c r="F77" s="98"/>
      <c r="G77" s="98">
        <v>1200</v>
      </c>
      <c r="H77" s="98">
        <v>4</v>
      </c>
      <c r="I77" s="98"/>
      <c r="J77" s="98">
        <v>0</v>
      </c>
      <c r="K77" s="98">
        <v>1200</v>
      </c>
      <c r="L77"/>
      <c r="M77" s="98">
        <f t="shared" si="5"/>
        <v>0</v>
      </c>
      <c r="N77" s="98">
        <f t="shared" si="6"/>
        <v>0</v>
      </c>
      <c r="O77" s="98">
        <f t="shared" si="7"/>
        <v>0</v>
      </c>
      <c r="P77" s="98">
        <f t="shared" si="8"/>
        <v>0</v>
      </c>
      <c r="Q77"/>
      <c r="R77"/>
      <c r="S77"/>
      <c r="T77"/>
      <c r="U77"/>
    </row>
    <row r="78" spans="1:21">
      <c r="A78" s="97"/>
      <c r="B78" s="104" t="s">
        <v>464</v>
      </c>
      <c r="C78" s="105"/>
      <c r="D78" s="106">
        <v>4</v>
      </c>
      <c r="E78" s="106"/>
      <c r="F78" s="106"/>
      <c r="G78" s="106">
        <v>1200</v>
      </c>
      <c r="H78" s="106">
        <v>4</v>
      </c>
      <c r="I78" s="106"/>
      <c r="J78" s="106">
        <v>0</v>
      </c>
      <c r="K78" s="106">
        <v>1200</v>
      </c>
      <c r="L78"/>
      <c r="M78" s="98">
        <f t="shared" si="5"/>
        <v>0</v>
      </c>
      <c r="N78" s="98">
        <f t="shared" si="6"/>
        <v>0</v>
      </c>
      <c r="O78" s="98">
        <f t="shared" si="7"/>
        <v>0</v>
      </c>
      <c r="P78" s="98">
        <f t="shared" si="8"/>
        <v>0</v>
      </c>
      <c r="Q78"/>
      <c r="R78"/>
      <c r="S78"/>
      <c r="T78"/>
      <c r="U78"/>
    </row>
    <row r="79" spans="1:21">
      <c r="A79" s="97"/>
      <c r="B79" s="102" t="s">
        <v>96</v>
      </c>
      <c r="C79" s="102" t="s">
        <v>78</v>
      </c>
      <c r="D79" s="98">
        <v>4</v>
      </c>
      <c r="E79" s="98"/>
      <c r="F79" s="98"/>
      <c r="G79" s="98">
        <v>240</v>
      </c>
      <c r="H79" s="98">
        <v>4</v>
      </c>
      <c r="I79" s="98"/>
      <c r="J79" s="98">
        <v>0</v>
      </c>
      <c r="K79" s="98">
        <v>240</v>
      </c>
      <c r="L79"/>
      <c r="M79" s="98">
        <f t="shared" si="5"/>
        <v>0</v>
      </c>
      <c r="N79" s="98">
        <f t="shared" si="6"/>
        <v>0</v>
      </c>
      <c r="O79" s="98">
        <f t="shared" si="7"/>
        <v>0</v>
      </c>
      <c r="P79" s="98">
        <f t="shared" si="8"/>
        <v>0</v>
      </c>
      <c r="Q79"/>
      <c r="R79"/>
      <c r="S79"/>
      <c r="T79"/>
      <c r="U79"/>
    </row>
    <row r="80" spans="1:21">
      <c r="A80" s="97"/>
      <c r="B80" s="104" t="s">
        <v>465</v>
      </c>
      <c r="C80" s="105"/>
      <c r="D80" s="106">
        <v>4</v>
      </c>
      <c r="E80" s="106"/>
      <c r="F80" s="106"/>
      <c r="G80" s="106">
        <v>240</v>
      </c>
      <c r="H80" s="106">
        <v>4</v>
      </c>
      <c r="I80" s="106"/>
      <c r="J80" s="106">
        <v>0</v>
      </c>
      <c r="K80" s="106">
        <v>240</v>
      </c>
      <c r="L80"/>
      <c r="M80" s="98">
        <f t="shared" si="5"/>
        <v>0</v>
      </c>
      <c r="N80" s="98">
        <f t="shared" si="6"/>
        <v>0</v>
      </c>
      <c r="O80" s="98">
        <f t="shared" si="7"/>
        <v>0</v>
      </c>
      <c r="P80" s="98">
        <f t="shared" si="8"/>
        <v>0</v>
      </c>
      <c r="Q80"/>
      <c r="R80"/>
      <c r="S80"/>
      <c r="T80"/>
      <c r="U80"/>
    </row>
    <row r="81" spans="1:21">
      <c r="A81" s="97"/>
      <c r="B81" s="102" t="s">
        <v>98</v>
      </c>
      <c r="C81" s="102" t="s">
        <v>78</v>
      </c>
      <c r="D81" s="98">
        <v>4</v>
      </c>
      <c r="E81" s="98"/>
      <c r="F81" s="98"/>
      <c r="G81" s="98">
        <v>1200</v>
      </c>
      <c r="H81" s="98">
        <v>4</v>
      </c>
      <c r="I81" s="98"/>
      <c r="J81" s="98">
        <v>0</v>
      </c>
      <c r="K81" s="98">
        <v>1200</v>
      </c>
      <c r="L81"/>
      <c r="M81" s="98">
        <f t="shared" si="5"/>
        <v>0</v>
      </c>
      <c r="N81" s="98">
        <f t="shared" si="6"/>
        <v>0</v>
      </c>
      <c r="O81" s="98">
        <f t="shared" si="7"/>
        <v>0</v>
      </c>
      <c r="P81" s="98">
        <f t="shared" si="8"/>
        <v>0</v>
      </c>
      <c r="Q81"/>
      <c r="R81"/>
      <c r="S81"/>
      <c r="T81"/>
      <c r="U81"/>
    </row>
    <row r="82" spans="1:21">
      <c r="A82" s="97"/>
      <c r="B82" s="104" t="s">
        <v>466</v>
      </c>
      <c r="C82" s="105"/>
      <c r="D82" s="106">
        <v>4</v>
      </c>
      <c r="E82" s="106"/>
      <c r="F82" s="106"/>
      <c r="G82" s="106">
        <v>1200</v>
      </c>
      <c r="H82" s="106">
        <v>4</v>
      </c>
      <c r="I82" s="106"/>
      <c r="J82" s="106">
        <v>0</v>
      </c>
      <c r="K82" s="106">
        <v>1200</v>
      </c>
      <c r="L82"/>
      <c r="M82" s="98">
        <f t="shared" si="5"/>
        <v>0</v>
      </c>
      <c r="N82" s="98">
        <f t="shared" si="6"/>
        <v>0</v>
      </c>
      <c r="O82" s="98">
        <f t="shared" si="7"/>
        <v>0</v>
      </c>
      <c r="P82" s="98">
        <f t="shared" si="8"/>
        <v>0</v>
      </c>
      <c r="Q82"/>
      <c r="R82"/>
      <c r="S82"/>
      <c r="T82"/>
      <c r="U82"/>
    </row>
    <row r="83" spans="1:21">
      <c r="A83" s="97"/>
      <c r="B83" s="102" t="s">
        <v>100</v>
      </c>
      <c r="C83" s="102" t="s">
        <v>78</v>
      </c>
      <c r="D83" s="98">
        <v>4</v>
      </c>
      <c r="E83" s="98"/>
      <c r="F83" s="98"/>
      <c r="G83" s="98">
        <v>300</v>
      </c>
      <c r="H83" s="98">
        <v>4</v>
      </c>
      <c r="I83" s="98"/>
      <c r="J83" s="98">
        <v>0</v>
      </c>
      <c r="K83" s="98">
        <v>300</v>
      </c>
      <c r="L83"/>
      <c r="M83" s="98">
        <f t="shared" si="5"/>
        <v>0</v>
      </c>
      <c r="N83" s="98">
        <f t="shared" si="6"/>
        <v>0</v>
      </c>
      <c r="O83" s="98">
        <f t="shared" si="7"/>
        <v>0</v>
      </c>
      <c r="P83" s="98">
        <f t="shared" si="8"/>
        <v>0</v>
      </c>
      <c r="Q83"/>
      <c r="R83"/>
      <c r="S83"/>
      <c r="T83"/>
      <c r="U83"/>
    </row>
    <row r="84" spans="1:21">
      <c r="A84" s="97"/>
      <c r="B84" s="104" t="s">
        <v>467</v>
      </c>
      <c r="C84" s="105"/>
      <c r="D84" s="106">
        <v>4</v>
      </c>
      <c r="E84" s="106"/>
      <c r="F84" s="106"/>
      <c r="G84" s="106">
        <v>300</v>
      </c>
      <c r="H84" s="106">
        <v>4</v>
      </c>
      <c r="I84" s="106"/>
      <c r="J84" s="106">
        <v>0</v>
      </c>
      <c r="K84" s="106">
        <v>300</v>
      </c>
      <c r="L84"/>
      <c r="M84" s="98">
        <f t="shared" si="5"/>
        <v>0</v>
      </c>
      <c r="N84" s="98">
        <f t="shared" si="6"/>
        <v>0</v>
      </c>
      <c r="O84" s="98">
        <f t="shared" si="7"/>
        <v>0</v>
      </c>
      <c r="P84" s="98">
        <f t="shared" si="8"/>
        <v>0</v>
      </c>
      <c r="Q84"/>
      <c r="R84"/>
      <c r="S84"/>
      <c r="T84"/>
      <c r="U84"/>
    </row>
    <row r="85" spans="1:21">
      <c r="A85" s="97"/>
      <c r="B85" s="102" t="s">
        <v>102</v>
      </c>
      <c r="C85" s="102" t="s">
        <v>78</v>
      </c>
      <c r="D85" s="98">
        <v>1</v>
      </c>
      <c r="E85" s="98"/>
      <c r="F85" s="98"/>
      <c r="G85" s="98">
        <v>2100</v>
      </c>
      <c r="H85" s="98">
        <v>1</v>
      </c>
      <c r="I85" s="98"/>
      <c r="J85" s="98">
        <v>0</v>
      </c>
      <c r="K85" s="98">
        <v>2100</v>
      </c>
      <c r="L85"/>
      <c r="M85" s="98">
        <f t="shared" si="5"/>
        <v>0</v>
      </c>
      <c r="N85" s="98">
        <f t="shared" si="6"/>
        <v>0</v>
      </c>
      <c r="O85" s="98">
        <f t="shared" si="7"/>
        <v>0</v>
      </c>
      <c r="P85" s="98">
        <f t="shared" si="8"/>
        <v>0</v>
      </c>
      <c r="Q85"/>
      <c r="R85"/>
      <c r="S85"/>
      <c r="T85"/>
      <c r="U85"/>
    </row>
    <row r="86" spans="1:21">
      <c r="A86" s="97"/>
      <c r="B86" s="104" t="s">
        <v>468</v>
      </c>
      <c r="C86" s="105"/>
      <c r="D86" s="106">
        <v>1</v>
      </c>
      <c r="E86" s="106"/>
      <c r="F86" s="106"/>
      <c r="G86" s="106">
        <v>2100</v>
      </c>
      <c r="H86" s="106">
        <v>1</v>
      </c>
      <c r="I86" s="106"/>
      <c r="J86" s="106">
        <v>0</v>
      </c>
      <c r="K86" s="106">
        <v>2100</v>
      </c>
      <c r="L86"/>
      <c r="M86" s="98">
        <f t="shared" si="5"/>
        <v>0</v>
      </c>
      <c r="N86" s="98">
        <f t="shared" si="6"/>
        <v>0</v>
      </c>
      <c r="O86" s="98">
        <f t="shared" si="7"/>
        <v>0</v>
      </c>
      <c r="P86" s="98">
        <f t="shared" si="8"/>
        <v>0</v>
      </c>
      <c r="Q86"/>
      <c r="R86"/>
      <c r="S86"/>
      <c r="T86"/>
      <c r="U86"/>
    </row>
    <row r="87" ht="30" spans="1:21">
      <c r="A87" s="97"/>
      <c r="B87" s="102" t="s">
        <v>104</v>
      </c>
      <c r="C87" s="102" t="s">
        <v>78</v>
      </c>
      <c r="D87" s="98">
        <v>1</v>
      </c>
      <c r="E87" s="98"/>
      <c r="F87" s="98"/>
      <c r="G87" s="98">
        <v>3100</v>
      </c>
      <c r="H87" s="98">
        <v>1</v>
      </c>
      <c r="I87" s="98"/>
      <c r="J87" s="98">
        <v>0</v>
      </c>
      <c r="K87" s="98">
        <v>3100</v>
      </c>
      <c r="L87"/>
      <c r="M87" s="98">
        <f t="shared" si="5"/>
        <v>0</v>
      </c>
      <c r="N87" s="98">
        <f t="shared" si="6"/>
        <v>0</v>
      </c>
      <c r="O87" s="98">
        <f t="shared" si="7"/>
        <v>0</v>
      </c>
      <c r="P87" s="98">
        <f t="shared" si="8"/>
        <v>0</v>
      </c>
      <c r="Q87"/>
      <c r="R87"/>
      <c r="S87"/>
      <c r="T87"/>
      <c r="U87"/>
    </row>
    <row r="88" spans="1:21">
      <c r="A88" s="97"/>
      <c r="B88" s="104" t="s">
        <v>469</v>
      </c>
      <c r="C88" s="105"/>
      <c r="D88" s="106">
        <v>1</v>
      </c>
      <c r="E88" s="106"/>
      <c r="F88" s="106"/>
      <c r="G88" s="106">
        <v>3100</v>
      </c>
      <c r="H88" s="106">
        <v>1</v>
      </c>
      <c r="I88" s="106"/>
      <c r="J88" s="106">
        <v>0</v>
      </c>
      <c r="K88" s="106">
        <v>3100</v>
      </c>
      <c r="L88"/>
      <c r="M88" s="98">
        <f t="shared" si="5"/>
        <v>0</v>
      </c>
      <c r="N88" s="98">
        <f t="shared" si="6"/>
        <v>0</v>
      </c>
      <c r="O88" s="98">
        <f t="shared" si="7"/>
        <v>0</v>
      </c>
      <c r="P88" s="98">
        <f t="shared" si="8"/>
        <v>0</v>
      </c>
      <c r="Q88"/>
      <c r="R88"/>
      <c r="S88"/>
      <c r="T88"/>
      <c r="U88"/>
    </row>
    <row r="89" spans="1:21">
      <c r="A89" s="102" t="s">
        <v>470</v>
      </c>
      <c r="B89" s="97"/>
      <c r="C89" s="97"/>
      <c r="D89" s="98">
        <v>10902212</v>
      </c>
      <c r="E89" s="98">
        <v>205</v>
      </c>
      <c r="F89" s="98">
        <v>3237</v>
      </c>
      <c r="G89" s="98">
        <v>788440</v>
      </c>
      <c r="H89" s="98">
        <v>10902212</v>
      </c>
      <c r="I89" s="98">
        <v>255</v>
      </c>
      <c r="J89" s="98">
        <v>0</v>
      </c>
      <c r="K89" s="98">
        <v>788440</v>
      </c>
      <c r="L89"/>
      <c r="M89" s="98">
        <f t="shared" si="5"/>
        <v>0</v>
      </c>
      <c r="N89" s="98">
        <f t="shared" si="6"/>
        <v>-50</v>
      </c>
      <c r="O89" s="98">
        <f t="shared" si="7"/>
        <v>3237</v>
      </c>
      <c r="P89" s="98">
        <f t="shared" si="8"/>
        <v>0</v>
      </c>
      <c r="Q89"/>
      <c r="R89"/>
      <c r="S89"/>
      <c r="T89"/>
      <c r="U89"/>
    </row>
    <row r="90" spans="1:21">
      <c r="A90" s="102" t="s">
        <v>105</v>
      </c>
      <c r="B90" s="102" t="s">
        <v>128</v>
      </c>
      <c r="C90" s="102" t="s">
        <v>70</v>
      </c>
      <c r="D90" s="98"/>
      <c r="E90" s="98"/>
      <c r="F90" s="98"/>
      <c r="G90" s="98"/>
      <c r="H90" s="98">
        <v>1</v>
      </c>
      <c r="I90" s="98"/>
      <c r="J90" s="98">
        <v>0</v>
      </c>
      <c r="K90" s="98">
        <v>3000</v>
      </c>
      <c r="L90"/>
      <c r="M90" s="98">
        <f t="shared" si="5"/>
        <v>-1</v>
      </c>
      <c r="N90" s="98">
        <f t="shared" si="6"/>
        <v>0</v>
      </c>
      <c r="O90" s="98">
        <f t="shared" si="7"/>
        <v>0</v>
      </c>
      <c r="P90" s="98">
        <f t="shared" si="8"/>
        <v>-3000</v>
      </c>
      <c r="Q90"/>
      <c r="R90"/>
      <c r="S90"/>
      <c r="T90"/>
      <c r="U90"/>
    </row>
    <row r="91" spans="1:21">
      <c r="A91" s="97"/>
      <c r="B91" s="97"/>
      <c r="C91" s="102" t="s">
        <v>78</v>
      </c>
      <c r="D91" s="98">
        <v>1</v>
      </c>
      <c r="E91" s="98"/>
      <c r="F91" s="98"/>
      <c r="G91" s="98">
        <v>3000</v>
      </c>
      <c r="H91" s="98"/>
      <c r="I91" s="98"/>
      <c r="J91" s="98"/>
      <c r="K91" s="98"/>
      <c r="L91"/>
      <c r="M91" s="98">
        <f t="shared" si="5"/>
        <v>1</v>
      </c>
      <c r="N91" s="98">
        <f t="shared" si="6"/>
        <v>0</v>
      </c>
      <c r="O91" s="98">
        <f t="shared" si="7"/>
        <v>0</v>
      </c>
      <c r="P91" s="98">
        <f t="shared" si="8"/>
        <v>3000</v>
      </c>
      <c r="Q91"/>
      <c r="R91"/>
      <c r="S91"/>
      <c r="T91"/>
      <c r="U91"/>
    </row>
    <row r="92" spans="1:21">
      <c r="A92" s="97"/>
      <c r="B92" s="104" t="s">
        <v>471</v>
      </c>
      <c r="C92" s="105"/>
      <c r="D92" s="106">
        <v>1</v>
      </c>
      <c r="E92" s="106"/>
      <c r="F92" s="106"/>
      <c r="G92" s="106">
        <v>3000</v>
      </c>
      <c r="H92" s="106">
        <v>1</v>
      </c>
      <c r="I92" s="106"/>
      <c r="J92" s="106">
        <v>0</v>
      </c>
      <c r="K92" s="106">
        <v>3000</v>
      </c>
      <c r="L92"/>
      <c r="M92" s="98">
        <f t="shared" si="5"/>
        <v>0</v>
      </c>
      <c r="N92" s="98">
        <f t="shared" si="6"/>
        <v>0</v>
      </c>
      <c r="O92" s="98">
        <f t="shared" si="7"/>
        <v>0</v>
      </c>
      <c r="P92" s="98">
        <f t="shared" si="8"/>
        <v>0</v>
      </c>
      <c r="Q92"/>
      <c r="R92"/>
      <c r="S92"/>
      <c r="T92"/>
      <c r="U92"/>
    </row>
    <row r="93" spans="1:21">
      <c r="A93" s="97"/>
      <c r="B93" s="102" t="s">
        <v>133</v>
      </c>
      <c r="C93" s="102" t="s">
        <v>78</v>
      </c>
      <c r="D93" s="98">
        <v>1</v>
      </c>
      <c r="E93" s="98"/>
      <c r="F93" s="98"/>
      <c r="G93" s="98">
        <v>1000</v>
      </c>
      <c r="H93" s="98">
        <v>1</v>
      </c>
      <c r="I93" s="98"/>
      <c r="J93" s="98">
        <v>0</v>
      </c>
      <c r="K93" s="98">
        <v>1000</v>
      </c>
      <c r="L93"/>
      <c r="M93" s="98">
        <f t="shared" si="5"/>
        <v>0</v>
      </c>
      <c r="N93" s="98">
        <f t="shared" si="6"/>
        <v>0</v>
      </c>
      <c r="O93" s="98">
        <f t="shared" si="7"/>
        <v>0</v>
      </c>
      <c r="P93" s="98">
        <f t="shared" si="8"/>
        <v>0</v>
      </c>
      <c r="Q93"/>
      <c r="R93"/>
      <c r="S93"/>
      <c r="T93"/>
      <c r="U93"/>
    </row>
    <row r="94" spans="1:21">
      <c r="A94" s="97"/>
      <c r="B94" s="104" t="s">
        <v>472</v>
      </c>
      <c r="C94" s="105"/>
      <c r="D94" s="106">
        <v>1</v>
      </c>
      <c r="E94" s="106"/>
      <c r="F94" s="106"/>
      <c r="G94" s="106">
        <v>1000</v>
      </c>
      <c r="H94" s="106">
        <v>1</v>
      </c>
      <c r="I94" s="106"/>
      <c r="J94" s="106">
        <v>0</v>
      </c>
      <c r="K94" s="106">
        <v>1000</v>
      </c>
      <c r="L94"/>
      <c r="M94" s="98">
        <f t="shared" si="5"/>
        <v>0</v>
      </c>
      <c r="N94" s="98">
        <f t="shared" si="6"/>
        <v>0</v>
      </c>
      <c r="O94" s="98">
        <f t="shared" si="7"/>
        <v>0</v>
      </c>
      <c r="P94" s="98">
        <f t="shared" si="8"/>
        <v>0</v>
      </c>
      <c r="Q94"/>
      <c r="R94"/>
      <c r="S94"/>
      <c r="T94"/>
      <c r="U94"/>
    </row>
    <row r="95" ht="30" spans="1:21">
      <c r="A95" s="97"/>
      <c r="B95" s="102" t="s">
        <v>135</v>
      </c>
      <c r="C95" s="102" t="s">
        <v>78</v>
      </c>
      <c r="D95" s="98">
        <v>6</v>
      </c>
      <c r="E95" s="98"/>
      <c r="F95" s="98">
        <v>180</v>
      </c>
      <c r="G95" s="98">
        <v>210</v>
      </c>
      <c r="H95" s="98">
        <v>6</v>
      </c>
      <c r="I95" s="98"/>
      <c r="J95" s="98">
        <v>180</v>
      </c>
      <c r="K95" s="98">
        <v>210</v>
      </c>
      <c r="L95"/>
      <c r="M95" s="98">
        <f t="shared" si="5"/>
        <v>0</v>
      </c>
      <c r="N95" s="98">
        <f t="shared" si="6"/>
        <v>0</v>
      </c>
      <c r="O95" s="98">
        <f t="shared" si="7"/>
        <v>0</v>
      </c>
      <c r="P95" s="98">
        <f t="shared" si="8"/>
        <v>0</v>
      </c>
      <c r="Q95"/>
      <c r="R95"/>
      <c r="S95"/>
      <c r="T95"/>
      <c r="U95"/>
    </row>
    <row r="96" spans="1:21">
      <c r="A96" s="97"/>
      <c r="B96" s="104" t="s">
        <v>473</v>
      </c>
      <c r="C96" s="105"/>
      <c r="D96" s="106">
        <v>6</v>
      </c>
      <c r="E96" s="106"/>
      <c r="F96" s="106">
        <v>180</v>
      </c>
      <c r="G96" s="106">
        <v>210</v>
      </c>
      <c r="H96" s="106">
        <v>6</v>
      </c>
      <c r="I96" s="106"/>
      <c r="J96" s="106">
        <v>180</v>
      </c>
      <c r="K96" s="106">
        <v>210</v>
      </c>
      <c r="L96"/>
      <c r="M96" s="98">
        <f t="shared" si="5"/>
        <v>0</v>
      </c>
      <c r="N96" s="98">
        <f t="shared" si="6"/>
        <v>0</v>
      </c>
      <c r="O96" s="98">
        <f t="shared" si="7"/>
        <v>0</v>
      </c>
      <c r="P96" s="98">
        <f t="shared" si="8"/>
        <v>0</v>
      </c>
      <c r="Q96"/>
      <c r="R96"/>
      <c r="S96"/>
      <c r="T96"/>
      <c r="U96"/>
    </row>
    <row r="97" ht="30" spans="1:21">
      <c r="A97" s="97"/>
      <c r="B97" s="102" t="s">
        <v>137</v>
      </c>
      <c r="C97" s="102" t="s">
        <v>78</v>
      </c>
      <c r="D97" s="98">
        <v>4</v>
      </c>
      <c r="E97" s="98"/>
      <c r="F97" s="98">
        <v>120</v>
      </c>
      <c r="G97" s="98">
        <v>200</v>
      </c>
      <c r="H97" s="98">
        <v>4</v>
      </c>
      <c r="I97" s="98"/>
      <c r="J97" s="98">
        <v>120</v>
      </c>
      <c r="K97" s="98">
        <v>200</v>
      </c>
      <c r="L97"/>
      <c r="M97" s="98">
        <f t="shared" si="5"/>
        <v>0</v>
      </c>
      <c r="N97" s="98">
        <f t="shared" si="6"/>
        <v>0</v>
      </c>
      <c r="O97" s="98">
        <f t="shared" si="7"/>
        <v>0</v>
      </c>
      <c r="P97" s="98">
        <f t="shared" si="8"/>
        <v>0</v>
      </c>
      <c r="Q97"/>
      <c r="R97"/>
      <c r="S97"/>
      <c r="T97"/>
      <c r="U97"/>
    </row>
    <row r="98" spans="1:21">
      <c r="A98" s="97"/>
      <c r="B98" s="104" t="s">
        <v>474</v>
      </c>
      <c r="C98" s="105"/>
      <c r="D98" s="106">
        <v>4</v>
      </c>
      <c r="E98" s="106"/>
      <c r="F98" s="106">
        <v>120</v>
      </c>
      <c r="G98" s="106">
        <v>200</v>
      </c>
      <c r="H98" s="106">
        <v>4</v>
      </c>
      <c r="I98" s="106"/>
      <c r="J98" s="106">
        <v>120</v>
      </c>
      <c r="K98" s="106">
        <v>200</v>
      </c>
      <c r="L98"/>
      <c r="M98" s="98">
        <f t="shared" si="5"/>
        <v>0</v>
      </c>
      <c r="N98" s="98">
        <f t="shared" si="6"/>
        <v>0</v>
      </c>
      <c r="O98" s="98">
        <f t="shared" si="7"/>
        <v>0</v>
      </c>
      <c r="P98" s="98">
        <f t="shared" si="8"/>
        <v>0</v>
      </c>
      <c r="Q98"/>
      <c r="R98"/>
      <c r="S98"/>
      <c r="T98"/>
      <c r="U98"/>
    </row>
    <row r="99" ht="30" spans="1:21">
      <c r="A99" s="97"/>
      <c r="B99" s="102" t="s">
        <v>139</v>
      </c>
      <c r="C99" s="102" t="s">
        <v>78</v>
      </c>
      <c r="D99" s="98">
        <v>4</v>
      </c>
      <c r="E99" s="98"/>
      <c r="F99" s="98">
        <v>120</v>
      </c>
      <c r="G99" s="98">
        <v>140</v>
      </c>
      <c r="H99" s="98">
        <v>4</v>
      </c>
      <c r="I99" s="98"/>
      <c r="J99" s="98">
        <v>120</v>
      </c>
      <c r="K99" s="98">
        <v>140</v>
      </c>
      <c r="L99"/>
      <c r="M99" s="98">
        <f t="shared" si="5"/>
        <v>0</v>
      </c>
      <c r="N99" s="98">
        <f t="shared" si="6"/>
        <v>0</v>
      </c>
      <c r="O99" s="98">
        <f t="shared" si="7"/>
        <v>0</v>
      </c>
      <c r="P99" s="98">
        <f t="shared" si="8"/>
        <v>0</v>
      </c>
      <c r="Q99"/>
      <c r="R99"/>
      <c r="S99"/>
      <c r="T99"/>
      <c r="U99"/>
    </row>
    <row r="100" spans="1:21">
      <c r="A100" s="97"/>
      <c r="B100" s="104" t="s">
        <v>475</v>
      </c>
      <c r="C100" s="105"/>
      <c r="D100" s="106">
        <v>4</v>
      </c>
      <c r="E100" s="106"/>
      <c r="F100" s="106">
        <v>120</v>
      </c>
      <c r="G100" s="106">
        <v>140</v>
      </c>
      <c r="H100" s="106">
        <v>4</v>
      </c>
      <c r="I100" s="106"/>
      <c r="J100" s="106">
        <v>120</v>
      </c>
      <c r="K100" s="106">
        <v>140</v>
      </c>
      <c r="L100"/>
      <c r="M100" s="98">
        <f t="shared" si="5"/>
        <v>0</v>
      </c>
      <c r="N100" s="98">
        <f t="shared" si="6"/>
        <v>0</v>
      </c>
      <c r="O100" s="98">
        <f t="shared" si="7"/>
        <v>0</v>
      </c>
      <c r="P100" s="98">
        <f t="shared" si="8"/>
        <v>0</v>
      </c>
      <c r="Q100"/>
      <c r="R100"/>
      <c r="S100"/>
      <c r="T100"/>
      <c r="U100"/>
    </row>
    <row r="101" ht="45" spans="1:21">
      <c r="A101" s="97"/>
      <c r="B101" s="102" t="s">
        <v>141</v>
      </c>
      <c r="C101" s="102" t="s">
        <v>78</v>
      </c>
      <c r="D101" s="98">
        <v>4</v>
      </c>
      <c r="E101" s="98"/>
      <c r="F101" s="98">
        <v>120</v>
      </c>
      <c r="G101" s="98">
        <v>400</v>
      </c>
      <c r="H101" s="98">
        <v>4</v>
      </c>
      <c r="I101" s="98"/>
      <c r="J101" s="98">
        <v>120</v>
      </c>
      <c r="K101" s="98">
        <v>400</v>
      </c>
      <c r="L101"/>
      <c r="M101" s="98">
        <f t="shared" si="5"/>
        <v>0</v>
      </c>
      <c r="N101" s="98">
        <f t="shared" si="6"/>
        <v>0</v>
      </c>
      <c r="O101" s="98">
        <f t="shared" si="7"/>
        <v>0</v>
      </c>
      <c r="P101" s="98">
        <f t="shared" si="8"/>
        <v>0</v>
      </c>
      <c r="Q101"/>
      <c r="R101"/>
      <c r="S101"/>
      <c r="T101"/>
      <c r="U101"/>
    </row>
    <row r="102" spans="1:21">
      <c r="A102" s="97"/>
      <c r="B102" s="104" t="s">
        <v>476</v>
      </c>
      <c r="C102" s="105"/>
      <c r="D102" s="106">
        <v>4</v>
      </c>
      <c r="E102" s="106"/>
      <c r="F102" s="106">
        <v>120</v>
      </c>
      <c r="G102" s="106">
        <v>400</v>
      </c>
      <c r="H102" s="106">
        <v>4</v>
      </c>
      <c r="I102" s="106"/>
      <c r="J102" s="106">
        <v>120</v>
      </c>
      <c r="K102" s="106">
        <v>400</v>
      </c>
      <c r="L102"/>
      <c r="M102" s="98">
        <f t="shared" si="5"/>
        <v>0</v>
      </c>
      <c r="N102" s="98">
        <f t="shared" si="6"/>
        <v>0</v>
      </c>
      <c r="O102" s="98">
        <f t="shared" si="7"/>
        <v>0</v>
      </c>
      <c r="P102" s="98">
        <f t="shared" si="8"/>
        <v>0</v>
      </c>
      <c r="Q102"/>
      <c r="R102"/>
      <c r="S102"/>
      <c r="T102"/>
      <c r="U102"/>
    </row>
    <row r="103" ht="60" spans="1:21">
      <c r="A103" s="97"/>
      <c r="B103" s="102" t="s">
        <v>143</v>
      </c>
      <c r="C103" s="102" t="s">
        <v>78</v>
      </c>
      <c r="D103" s="98">
        <v>3</v>
      </c>
      <c r="E103" s="98"/>
      <c r="F103" s="98">
        <v>90</v>
      </c>
      <c r="G103" s="98">
        <v>300</v>
      </c>
      <c r="H103" s="98">
        <v>3</v>
      </c>
      <c r="I103" s="98"/>
      <c r="J103" s="98">
        <v>90</v>
      </c>
      <c r="K103" s="98">
        <v>300</v>
      </c>
      <c r="L103"/>
      <c r="M103" s="98">
        <f t="shared" si="5"/>
        <v>0</v>
      </c>
      <c r="N103" s="98">
        <f t="shared" si="6"/>
        <v>0</v>
      </c>
      <c r="O103" s="98">
        <f t="shared" si="7"/>
        <v>0</v>
      </c>
      <c r="P103" s="98">
        <f t="shared" si="8"/>
        <v>0</v>
      </c>
      <c r="Q103"/>
      <c r="R103"/>
      <c r="S103"/>
      <c r="T103"/>
      <c r="U103"/>
    </row>
    <row r="104" spans="1:21">
      <c r="A104" s="97"/>
      <c r="B104" s="104" t="s">
        <v>477</v>
      </c>
      <c r="C104" s="105"/>
      <c r="D104" s="106">
        <v>3</v>
      </c>
      <c r="E104" s="106"/>
      <c r="F104" s="106">
        <v>90</v>
      </c>
      <c r="G104" s="106">
        <v>300</v>
      </c>
      <c r="H104" s="106">
        <v>3</v>
      </c>
      <c r="I104" s="106"/>
      <c r="J104" s="106">
        <v>90</v>
      </c>
      <c r="K104" s="106">
        <v>300</v>
      </c>
      <c r="L104"/>
      <c r="M104" s="98">
        <f t="shared" si="5"/>
        <v>0</v>
      </c>
      <c r="N104" s="98">
        <f t="shared" si="6"/>
        <v>0</v>
      </c>
      <c r="O104" s="98">
        <f t="shared" si="7"/>
        <v>0</v>
      </c>
      <c r="P104" s="98">
        <f t="shared" si="8"/>
        <v>0</v>
      </c>
      <c r="Q104"/>
      <c r="R104"/>
      <c r="S104"/>
      <c r="T104"/>
      <c r="U104"/>
    </row>
    <row r="105" ht="45" spans="1:21">
      <c r="A105" s="97"/>
      <c r="B105" s="102" t="s">
        <v>145</v>
      </c>
      <c r="C105" s="102" t="s">
        <v>78</v>
      </c>
      <c r="D105" s="98">
        <v>6000</v>
      </c>
      <c r="E105" s="98"/>
      <c r="F105" s="98"/>
      <c r="G105" s="98">
        <v>200</v>
      </c>
      <c r="H105" s="98">
        <v>6000</v>
      </c>
      <c r="I105" s="98"/>
      <c r="J105" s="98">
        <v>0</v>
      </c>
      <c r="K105" s="98">
        <v>200</v>
      </c>
      <c r="L105"/>
      <c r="M105" s="98">
        <f t="shared" si="5"/>
        <v>0</v>
      </c>
      <c r="N105" s="98">
        <f t="shared" si="6"/>
        <v>0</v>
      </c>
      <c r="O105" s="98">
        <f t="shared" si="7"/>
        <v>0</v>
      </c>
      <c r="P105" s="98">
        <f t="shared" si="8"/>
        <v>0</v>
      </c>
      <c r="Q105"/>
      <c r="R105"/>
      <c r="S105"/>
      <c r="T105"/>
      <c r="U105"/>
    </row>
    <row r="106" spans="1:21">
      <c r="A106" s="97"/>
      <c r="B106" s="104" t="s">
        <v>478</v>
      </c>
      <c r="C106" s="105"/>
      <c r="D106" s="106">
        <v>6000</v>
      </c>
      <c r="E106" s="106"/>
      <c r="F106" s="106"/>
      <c r="G106" s="106">
        <v>200</v>
      </c>
      <c r="H106" s="106">
        <v>6000</v>
      </c>
      <c r="I106" s="106"/>
      <c r="J106" s="106">
        <v>0</v>
      </c>
      <c r="K106" s="106">
        <v>200</v>
      </c>
      <c r="L106"/>
      <c r="M106" s="98">
        <f t="shared" si="5"/>
        <v>0</v>
      </c>
      <c r="N106" s="98">
        <f t="shared" si="6"/>
        <v>0</v>
      </c>
      <c r="O106" s="98">
        <f t="shared" si="7"/>
        <v>0</v>
      </c>
      <c r="P106" s="98">
        <f t="shared" si="8"/>
        <v>0</v>
      </c>
      <c r="Q106"/>
      <c r="R106"/>
      <c r="S106"/>
      <c r="T106"/>
      <c r="U106"/>
    </row>
    <row r="107" spans="1:21">
      <c r="A107" s="97"/>
      <c r="B107" s="102" t="s">
        <v>107</v>
      </c>
      <c r="C107" s="102" t="s">
        <v>22</v>
      </c>
      <c r="D107" s="98">
        <v>1</v>
      </c>
      <c r="E107" s="98"/>
      <c r="F107" s="98"/>
      <c r="G107" s="98">
        <v>650</v>
      </c>
      <c r="H107" s="98">
        <v>1</v>
      </c>
      <c r="I107" s="98"/>
      <c r="J107" s="98">
        <v>0</v>
      </c>
      <c r="K107" s="98">
        <v>650</v>
      </c>
      <c r="L107"/>
      <c r="M107" s="98">
        <f t="shared" si="5"/>
        <v>0</v>
      </c>
      <c r="N107" s="98">
        <f t="shared" si="6"/>
        <v>0</v>
      </c>
      <c r="O107" s="98">
        <f t="shared" si="7"/>
        <v>0</v>
      </c>
      <c r="P107" s="98">
        <f t="shared" si="8"/>
        <v>0</v>
      </c>
      <c r="Q107"/>
      <c r="R107"/>
      <c r="S107"/>
      <c r="T107"/>
      <c r="U107"/>
    </row>
    <row r="108" spans="1:21">
      <c r="A108" s="97"/>
      <c r="B108" s="104" t="s">
        <v>479</v>
      </c>
      <c r="C108" s="105"/>
      <c r="D108" s="106">
        <v>1</v>
      </c>
      <c r="E108" s="106"/>
      <c r="F108" s="106"/>
      <c r="G108" s="106">
        <v>650</v>
      </c>
      <c r="H108" s="106">
        <v>1</v>
      </c>
      <c r="I108" s="106"/>
      <c r="J108" s="106">
        <v>0</v>
      </c>
      <c r="K108" s="106">
        <v>650</v>
      </c>
      <c r="L108"/>
      <c r="M108" s="98">
        <f t="shared" si="5"/>
        <v>0</v>
      </c>
      <c r="N108" s="98">
        <f t="shared" si="6"/>
        <v>0</v>
      </c>
      <c r="O108" s="98">
        <f t="shared" si="7"/>
        <v>0</v>
      </c>
      <c r="P108" s="98">
        <f t="shared" si="8"/>
        <v>0</v>
      </c>
      <c r="Q108"/>
      <c r="R108"/>
      <c r="S108"/>
      <c r="T108"/>
      <c r="U108"/>
    </row>
    <row r="109" ht="30" spans="1:21">
      <c r="A109" s="97"/>
      <c r="B109" s="102" t="s">
        <v>147</v>
      </c>
      <c r="C109" s="102" t="s">
        <v>78</v>
      </c>
      <c r="D109" s="98">
        <v>4</v>
      </c>
      <c r="E109" s="98"/>
      <c r="F109" s="98">
        <v>120</v>
      </c>
      <c r="G109" s="98">
        <v>200</v>
      </c>
      <c r="H109" s="98">
        <v>4</v>
      </c>
      <c r="I109" s="98"/>
      <c r="J109" s="98">
        <v>120</v>
      </c>
      <c r="K109" s="98">
        <v>200</v>
      </c>
      <c r="L109"/>
      <c r="M109" s="98">
        <f t="shared" si="5"/>
        <v>0</v>
      </c>
      <c r="N109" s="98">
        <f t="shared" si="6"/>
        <v>0</v>
      </c>
      <c r="O109" s="98">
        <f t="shared" si="7"/>
        <v>0</v>
      </c>
      <c r="P109" s="98">
        <f t="shared" si="8"/>
        <v>0</v>
      </c>
      <c r="Q109"/>
      <c r="R109"/>
      <c r="S109"/>
      <c r="T109"/>
      <c r="U109"/>
    </row>
    <row r="110" spans="1:21">
      <c r="A110" s="97"/>
      <c r="B110" s="104" t="s">
        <v>480</v>
      </c>
      <c r="C110" s="105"/>
      <c r="D110" s="106">
        <v>4</v>
      </c>
      <c r="E110" s="106"/>
      <c r="F110" s="106">
        <v>120</v>
      </c>
      <c r="G110" s="106">
        <v>200</v>
      </c>
      <c r="H110" s="106">
        <v>4</v>
      </c>
      <c r="I110" s="106"/>
      <c r="J110" s="106">
        <v>120</v>
      </c>
      <c r="K110" s="106">
        <v>200</v>
      </c>
      <c r="L110"/>
      <c r="M110" s="98">
        <f t="shared" si="5"/>
        <v>0</v>
      </c>
      <c r="N110" s="98">
        <f t="shared" si="6"/>
        <v>0</v>
      </c>
      <c r="O110" s="98">
        <f t="shared" si="7"/>
        <v>0</v>
      </c>
      <c r="P110" s="98">
        <f t="shared" si="8"/>
        <v>0</v>
      </c>
      <c r="Q110"/>
      <c r="R110"/>
      <c r="S110"/>
      <c r="T110"/>
      <c r="U110"/>
    </row>
    <row r="111" ht="30" spans="1:21">
      <c r="A111" s="97"/>
      <c r="B111" s="102" t="s">
        <v>149</v>
      </c>
      <c r="C111" s="102" t="s">
        <v>78</v>
      </c>
      <c r="D111" s="98">
        <v>4</v>
      </c>
      <c r="E111" s="98"/>
      <c r="F111" s="98">
        <v>120</v>
      </c>
      <c r="G111" s="98">
        <v>140</v>
      </c>
      <c r="H111" s="98">
        <v>4</v>
      </c>
      <c r="I111" s="98"/>
      <c r="J111" s="98">
        <v>120</v>
      </c>
      <c r="K111" s="98">
        <v>140</v>
      </c>
      <c r="L111"/>
      <c r="M111" s="98">
        <f t="shared" si="5"/>
        <v>0</v>
      </c>
      <c r="N111" s="98">
        <f t="shared" si="6"/>
        <v>0</v>
      </c>
      <c r="O111" s="98">
        <f t="shared" si="7"/>
        <v>0</v>
      </c>
      <c r="P111" s="98">
        <f t="shared" si="8"/>
        <v>0</v>
      </c>
      <c r="Q111"/>
      <c r="R111"/>
      <c r="S111"/>
      <c r="T111"/>
      <c r="U111"/>
    </row>
    <row r="112" spans="1:21">
      <c r="A112" s="97"/>
      <c r="B112" s="104" t="s">
        <v>481</v>
      </c>
      <c r="C112" s="105"/>
      <c r="D112" s="106">
        <v>4</v>
      </c>
      <c r="E112" s="106"/>
      <c r="F112" s="106">
        <v>120</v>
      </c>
      <c r="G112" s="106">
        <v>140</v>
      </c>
      <c r="H112" s="106">
        <v>4</v>
      </c>
      <c r="I112" s="106"/>
      <c r="J112" s="106">
        <v>120</v>
      </c>
      <c r="K112" s="106">
        <v>140</v>
      </c>
      <c r="L112"/>
      <c r="M112" s="98">
        <f t="shared" si="5"/>
        <v>0</v>
      </c>
      <c r="N112" s="98">
        <f t="shared" si="6"/>
        <v>0</v>
      </c>
      <c r="O112" s="98">
        <f t="shared" si="7"/>
        <v>0</v>
      </c>
      <c r="P112" s="98">
        <f t="shared" si="8"/>
        <v>0</v>
      </c>
      <c r="Q112"/>
      <c r="R112"/>
      <c r="S112"/>
      <c r="T112"/>
      <c r="U112"/>
    </row>
    <row r="113" ht="30" spans="1:21">
      <c r="A113" s="97"/>
      <c r="B113" s="102" t="s">
        <v>151</v>
      </c>
      <c r="C113" s="102" t="s">
        <v>78</v>
      </c>
      <c r="D113" s="98">
        <v>5000</v>
      </c>
      <c r="E113" s="98"/>
      <c r="F113" s="98"/>
      <c r="G113" s="98">
        <v>150</v>
      </c>
      <c r="H113" s="98">
        <v>5000</v>
      </c>
      <c r="I113" s="98"/>
      <c r="J113" s="98">
        <v>0</v>
      </c>
      <c r="K113" s="98">
        <v>150</v>
      </c>
      <c r="L113"/>
      <c r="M113" s="98">
        <f t="shared" si="5"/>
        <v>0</v>
      </c>
      <c r="N113" s="98">
        <f t="shared" si="6"/>
        <v>0</v>
      </c>
      <c r="O113" s="98">
        <f t="shared" si="7"/>
        <v>0</v>
      </c>
      <c r="P113" s="98">
        <f t="shared" si="8"/>
        <v>0</v>
      </c>
      <c r="Q113"/>
      <c r="R113"/>
      <c r="S113"/>
      <c r="T113"/>
      <c r="U113"/>
    </row>
    <row r="114" spans="1:21">
      <c r="A114" s="97"/>
      <c r="B114" s="104" t="s">
        <v>482</v>
      </c>
      <c r="C114" s="105"/>
      <c r="D114" s="106">
        <v>5000</v>
      </c>
      <c r="E114" s="106"/>
      <c r="F114" s="106"/>
      <c r="G114" s="106">
        <v>150</v>
      </c>
      <c r="H114" s="106">
        <v>5000</v>
      </c>
      <c r="I114" s="106"/>
      <c r="J114" s="106">
        <v>0</v>
      </c>
      <c r="K114" s="106">
        <v>150</v>
      </c>
      <c r="L114"/>
      <c r="M114" s="98">
        <f t="shared" si="5"/>
        <v>0</v>
      </c>
      <c r="N114" s="98">
        <f t="shared" si="6"/>
        <v>0</v>
      </c>
      <c r="O114" s="98">
        <f t="shared" si="7"/>
        <v>0</v>
      </c>
      <c r="P114" s="98">
        <f t="shared" si="8"/>
        <v>0</v>
      </c>
      <c r="Q114"/>
      <c r="R114"/>
      <c r="S114"/>
      <c r="T114"/>
      <c r="U114"/>
    </row>
    <row r="115" spans="1:21">
      <c r="A115" s="97"/>
      <c r="B115" s="102" t="s">
        <v>115</v>
      </c>
      <c r="C115" s="102" t="s">
        <v>43</v>
      </c>
      <c r="D115" s="98">
        <v>1</v>
      </c>
      <c r="E115" s="98"/>
      <c r="F115" s="98"/>
      <c r="G115" s="98">
        <v>280</v>
      </c>
      <c r="H115" s="98">
        <v>1</v>
      </c>
      <c r="I115" s="98"/>
      <c r="J115" s="98">
        <v>0</v>
      </c>
      <c r="K115" s="98">
        <v>280</v>
      </c>
      <c r="L115"/>
      <c r="M115" s="98">
        <f t="shared" si="5"/>
        <v>0</v>
      </c>
      <c r="N115" s="98">
        <f t="shared" si="6"/>
        <v>0</v>
      </c>
      <c r="O115" s="98">
        <f t="shared" si="7"/>
        <v>0</v>
      </c>
      <c r="P115" s="98">
        <f t="shared" si="8"/>
        <v>0</v>
      </c>
      <c r="Q115"/>
      <c r="R115"/>
      <c r="S115"/>
      <c r="T115"/>
      <c r="U115"/>
    </row>
    <row r="116" spans="1:21">
      <c r="A116" s="97"/>
      <c r="B116" s="104" t="s">
        <v>483</v>
      </c>
      <c r="C116" s="105"/>
      <c r="D116" s="106">
        <v>1</v>
      </c>
      <c r="E116" s="106"/>
      <c r="F116" s="106"/>
      <c r="G116" s="106">
        <v>280</v>
      </c>
      <c r="H116" s="106">
        <v>1</v>
      </c>
      <c r="I116" s="106"/>
      <c r="J116" s="106">
        <v>0</v>
      </c>
      <c r="K116" s="106">
        <v>280</v>
      </c>
      <c r="L116"/>
      <c r="M116" s="98">
        <f t="shared" si="5"/>
        <v>0</v>
      </c>
      <c r="N116" s="98">
        <f t="shared" si="6"/>
        <v>0</v>
      </c>
      <c r="O116" s="98">
        <f t="shared" si="7"/>
        <v>0</v>
      </c>
      <c r="P116" s="98">
        <f t="shared" si="8"/>
        <v>0</v>
      </c>
      <c r="Q116"/>
      <c r="R116"/>
      <c r="S116"/>
      <c r="T116"/>
      <c r="U116"/>
    </row>
    <row r="117" spans="1:21">
      <c r="A117" s="97"/>
      <c r="B117" s="102" t="s">
        <v>117</v>
      </c>
      <c r="C117" s="102" t="s">
        <v>43</v>
      </c>
      <c r="D117" s="98">
        <v>4</v>
      </c>
      <c r="E117" s="98"/>
      <c r="F117" s="98"/>
      <c r="G117" s="98"/>
      <c r="H117" s="98">
        <v>4</v>
      </c>
      <c r="I117" s="98"/>
      <c r="J117" s="98">
        <v>0</v>
      </c>
      <c r="K117" s="98">
        <v>160</v>
      </c>
      <c r="L117"/>
      <c r="M117" s="98">
        <f t="shared" si="5"/>
        <v>0</v>
      </c>
      <c r="N117" s="98">
        <f t="shared" si="6"/>
        <v>0</v>
      </c>
      <c r="O117" s="98">
        <f t="shared" si="7"/>
        <v>0</v>
      </c>
      <c r="P117" s="98">
        <f t="shared" si="8"/>
        <v>-160</v>
      </c>
      <c r="Q117"/>
      <c r="R117"/>
      <c r="S117"/>
      <c r="T117"/>
      <c r="U117"/>
    </row>
    <row r="118" spans="1:21">
      <c r="A118" s="97"/>
      <c r="B118" s="97"/>
      <c r="C118" s="102" t="s">
        <v>78</v>
      </c>
      <c r="D118" s="98"/>
      <c r="E118" s="98"/>
      <c r="F118" s="98"/>
      <c r="G118" s="98">
        <v>160</v>
      </c>
      <c r="H118" s="98"/>
      <c r="I118" s="98"/>
      <c r="J118" s="98"/>
      <c r="K118" s="98"/>
      <c r="L118"/>
      <c r="M118" s="98">
        <f t="shared" si="5"/>
        <v>0</v>
      </c>
      <c r="N118" s="98">
        <f t="shared" si="6"/>
        <v>0</v>
      </c>
      <c r="O118" s="98">
        <f t="shared" si="7"/>
        <v>0</v>
      </c>
      <c r="P118" s="98">
        <f t="shared" si="8"/>
        <v>160</v>
      </c>
      <c r="Q118"/>
      <c r="R118"/>
      <c r="S118"/>
      <c r="T118"/>
      <c r="U118"/>
    </row>
    <row r="119" spans="1:21">
      <c r="A119" s="97"/>
      <c r="B119" s="104" t="s">
        <v>484</v>
      </c>
      <c r="C119" s="105"/>
      <c r="D119" s="106">
        <v>4</v>
      </c>
      <c r="E119" s="106"/>
      <c r="F119" s="106"/>
      <c r="G119" s="106">
        <v>160</v>
      </c>
      <c r="H119" s="106">
        <v>4</v>
      </c>
      <c r="I119" s="106"/>
      <c r="J119" s="106">
        <v>0</v>
      </c>
      <c r="K119" s="106">
        <v>160</v>
      </c>
      <c r="L119"/>
      <c r="M119" s="98">
        <f t="shared" si="5"/>
        <v>0</v>
      </c>
      <c r="N119" s="98">
        <f t="shared" si="6"/>
        <v>0</v>
      </c>
      <c r="O119" s="98">
        <f t="shared" si="7"/>
        <v>0</v>
      </c>
      <c r="P119" s="98">
        <f t="shared" si="8"/>
        <v>0</v>
      </c>
      <c r="Q119"/>
      <c r="R119"/>
      <c r="S119"/>
      <c r="T119"/>
      <c r="U119"/>
    </row>
    <row r="120" ht="30" spans="1:21">
      <c r="A120" s="97"/>
      <c r="B120" s="102" t="s">
        <v>153</v>
      </c>
      <c r="C120" s="102" t="s">
        <v>78</v>
      </c>
      <c r="D120" s="98">
        <v>4</v>
      </c>
      <c r="E120" s="98"/>
      <c r="F120" s="98">
        <v>120</v>
      </c>
      <c r="G120" s="98">
        <v>140</v>
      </c>
      <c r="H120" s="98">
        <v>4</v>
      </c>
      <c r="I120" s="98"/>
      <c r="J120" s="98">
        <v>120</v>
      </c>
      <c r="K120" s="98">
        <v>140</v>
      </c>
      <c r="L120"/>
      <c r="M120" s="98">
        <f t="shared" si="5"/>
        <v>0</v>
      </c>
      <c r="N120" s="98">
        <f t="shared" si="6"/>
        <v>0</v>
      </c>
      <c r="O120" s="98">
        <f t="shared" si="7"/>
        <v>0</v>
      </c>
      <c r="P120" s="98">
        <f t="shared" si="8"/>
        <v>0</v>
      </c>
      <c r="Q120"/>
      <c r="R120"/>
      <c r="S120"/>
      <c r="T120"/>
      <c r="U120"/>
    </row>
    <row r="121" spans="1:21">
      <c r="A121" s="97"/>
      <c r="B121" s="104" t="s">
        <v>485</v>
      </c>
      <c r="C121" s="105"/>
      <c r="D121" s="106">
        <v>4</v>
      </c>
      <c r="E121" s="106"/>
      <c r="F121" s="106">
        <v>120</v>
      </c>
      <c r="G121" s="106">
        <v>140</v>
      </c>
      <c r="H121" s="106">
        <v>4</v>
      </c>
      <c r="I121" s="106"/>
      <c r="J121" s="106">
        <v>120</v>
      </c>
      <c r="K121" s="106">
        <v>140</v>
      </c>
      <c r="L121"/>
      <c r="M121" s="98">
        <f t="shared" si="5"/>
        <v>0</v>
      </c>
      <c r="N121" s="98">
        <f t="shared" si="6"/>
        <v>0</v>
      </c>
      <c r="O121" s="98">
        <f t="shared" si="7"/>
        <v>0</v>
      </c>
      <c r="P121" s="98">
        <f t="shared" si="8"/>
        <v>0</v>
      </c>
      <c r="Q121"/>
      <c r="R121"/>
      <c r="S121"/>
      <c r="T121"/>
      <c r="U121"/>
    </row>
    <row r="122" ht="30" spans="1:21">
      <c r="A122" s="97"/>
      <c r="B122" s="102" t="s">
        <v>155</v>
      </c>
      <c r="C122" s="102" t="s">
        <v>78</v>
      </c>
      <c r="D122" s="98">
        <v>200</v>
      </c>
      <c r="E122" s="98"/>
      <c r="F122" s="98"/>
      <c r="G122" s="98">
        <v>50</v>
      </c>
      <c r="H122" s="98">
        <v>200</v>
      </c>
      <c r="I122" s="98"/>
      <c r="J122" s="98">
        <v>0</v>
      </c>
      <c r="K122" s="98">
        <v>50</v>
      </c>
      <c r="L122"/>
      <c r="M122" s="98">
        <f t="shared" si="5"/>
        <v>0</v>
      </c>
      <c r="N122" s="98">
        <f t="shared" si="6"/>
        <v>0</v>
      </c>
      <c r="O122" s="98">
        <f t="shared" si="7"/>
        <v>0</v>
      </c>
      <c r="P122" s="98">
        <f t="shared" si="8"/>
        <v>0</v>
      </c>
      <c r="Q122"/>
      <c r="R122"/>
      <c r="S122"/>
      <c r="T122"/>
      <c r="U122"/>
    </row>
    <row r="123" spans="1:21">
      <c r="A123" s="97"/>
      <c r="B123" s="104" t="s">
        <v>486</v>
      </c>
      <c r="C123" s="105"/>
      <c r="D123" s="106">
        <v>200</v>
      </c>
      <c r="E123" s="106"/>
      <c r="F123" s="106"/>
      <c r="G123" s="106">
        <v>50</v>
      </c>
      <c r="H123" s="106">
        <v>200</v>
      </c>
      <c r="I123" s="106"/>
      <c r="J123" s="106">
        <v>0</v>
      </c>
      <c r="K123" s="106">
        <v>50</v>
      </c>
      <c r="L123"/>
      <c r="M123" s="98">
        <f t="shared" si="5"/>
        <v>0</v>
      </c>
      <c r="N123" s="98">
        <f t="shared" si="6"/>
        <v>0</v>
      </c>
      <c r="O123" s="98">
        <f t="shared" si="7"/>
        <v>0</v>
      </c>
      <c r="P123" s="98">
        <f t="shared" si="8"/>
        <v>0</v>
      </c>
      <c r="Q123"/>
      <c r="R123"/>
      <c r="S123"/>
      <c r="T123"/>
      <c r="U123"/>
    </row>
    <row r="124" spans="1:21">
      <c r="A124" s="97"/>
      <c r="B124" s="102" t="s">
        <v>119</v>
      </c>
      <c r="C124" s="102" t="s">
        <v>43</v>
      </c>
      <c r="D124" s="98">
        <v>1</v>
      </c>
      <c r="E124" s="98"/>
      <c r="F124" s="98"/>
      <c r="G124" s="98">
        <v>330</v>
      </c>
      <c r="H124" s="98">
        <v>1</v>
      </c>
      <c r="I124" s="98"/>
      <c r="J124" s="98">
        <v>0</v>
      </c>
      <c r="K124" s="98">
        <v>330</v>
      </c>
      <c r="L124"/>
      <c r="M124" s="98">
        <f t="shared" si="5"/>
        <v>0</v>
      </c>
      <c r="N124" s="98">
        <f t="shared" si="6"/>
        <v>0</v>
      </c>
      <c r="O124" s="98">
        <f t="shared" si="7"/>
        <v>0</v>
      </c>
      <c r="P124" s="98">
        <f t="shared" si="8"/>
        <v>0</v>
      </c>
      <c r="Q124"/>
      <c r="R124"/>
      <c r="S124"/>
      <c r="T124"/>
      <c r="U124"/>
    </row>
    <row r="125" spans="1:21">
      <c r="A125" s="97"/>
      <c r="B125" s="104" t="s">
        <v>487</v>
      </c>
      <c r="C125" s="105"/>
      <c r="D125" s="106">
        <v>1</v>
      </c>
      <c r="E125" s="106"/>
      <c r="F125" s="106"/>
      <c r="G125" s="106">
        <v>330</v>
      </c>
      <c r="H125" s="106">
        <v>1</v>
      </c>
      <c r="I125" s="106"/>
      <c r="J125" s="106">
        <v>0</v>
      </c>
      <c r="K125" s="106">
        <v>330</v>
      </c>
      <c r="L125"/>
      <c r="M125" s="98">
        <f t="shared" si="5"/>
        <v>0</v>
      </c>
      <c r="N125" s="98">
        <f t="shared" si="6"/>
        <v>0</v>
      </c>
      <c r="O125" s="98">
        <f t="shared" si="7"/>
        <v>0</v>
      </c>
      <c r="P125" s="98">
        <f t="shared" si="8"/>
        <v>0</v>
      </c>
      <c r="Q125"/>
      <c r="R125"/>
      <c r="S125"/>
      <c r="T125"/>
      <c r="U125"/>
    </row>
    <row r="126" spans="1:21">
      <c r="A126" s="97"/>
      <c r="B126" s="102" t="s">
        <v>121</v>
      </c>
      <c r="C126" s="102" t="s">
        <v>43</v>
      </c>
      <c r="D126" s="98"/>
      <c r="E126" s="98"/>
      <c r="F126" s="98"/>
      <c r="G126" s="98"/>
      <c r="H126" s="98">
        <v>1</v>
      </c>
      <c r="I126" s="98"/>
      <c r="J126" s="98">
        <v>0</v>
      </c>
      <c r="K126" s="98">
        <v>200</v>
      </c>
      <c r="L126"/>
      <c r="M126" s="98">
        <f t="shared" si="5"/>
        <v>-1</v>
      </c>
      <c r="N126" s="98">
        <f t="shared" si="6"/>
        <v>0</v>
      </c>
      <c r="O126" s="98">
        <f t="shared" si="7"/>
        <v>0</v>
      </c>
      <c r="P126" s="98">
        <f t="shared" si="8"/>
        <v>-200</v>
      </c>
      <c r="Q126"/>
      <c r="R126"/>
      <c r="S126"/>
      <c r="T126"/>
      <c r="U126"/>
    </row>
    <row r="127" spans="1:21">
      <c r="A127" s="97"/>
      <c r="B127" s="97"/>
      <c r="C127" s="102" t="s">
        <v>78</v>
      </c>
      <c r="D127" s="98">
        <v>1</v>
      </c>
      <c r="E127" s="98"/>
      <c r="F127" s="98"/>
      <c r="G127" s="98">
        <v>200</v>
      </c>
      <c r="H127" s="98"/>
      <c r="I127" s="98"/>
      <c r="J127" s="98"/>
      <c r="K127" s="98"/>
      <c r="L127"/>
      <c r="M127" s="98">
        <f t="shared" si="5"/>
        <v>1</v>
      </c>
      <c r="N127" s="98">
        <f t="shared" si="6"/>
        <v>0</v>
      </c>
      <c r="O127" s="98">
        <f t="shared" si="7"/>
        <v>0</v>
      </c>
      <c r="P127" s="98">
        <f t="shared" si="8"/>
        <v>200</v>
      </c>
      <c r="Q127"/>
      <c r="R127"/>
      <c r="S127"/>
      <c r="T127"/>
      <c r="U127"/>
    </row>
    <row r="128" spans="1:21">
      <c r="A128" s="97"/>
      <c r="B128" s="104" t="s">
        <v>488</v>
      </c>
      <c r="C128" s="105"/>
      <c r="D128" s="106">
        <v>1</v>
      </c>
      <c r="E128" s="106"/>
      <c r="F128" s="106"/>
      <c r="G128" s="106">
        <v>200</v>
      </c>
      <c r="H128" s="106">
        <v>1</v>
      </c>
      <c r="I128" s="106"/>
      <c r="J128" s="106">
        <v>0</v>
      </c>
      <c r="K128" s="106">
        <v>200</v>
      </c>
      <c r="L128"/>
      <c r="M128" s="98">
        <f t="shared" si="5"/>
        <v>0</v>
      </c>
      <c r="N128" s="98">
        <f t="shared" si="6"/>
        <v>0</v>
      </c>
      <c r="O128" s="98">
        <f t="shared" si="7"/>
        <v>0</v>
      </c>
      <c r="P128" s="98">
        <f t="shared" si="8"/>
        <v>0</v>
      </c>
      <c r="Q128"/>
      <c r="R128"/>
      <c r="S128"/>
      <c r="T128"/>
      <c r="U128"/>
    </row>
    <row r="129" ht="30" spans="1:21">
      <c r="A129" s="97"/>
      <c r="B129" s="102" t="s">
        <v>157</v>
      </c>
      <c r="C129" s="102" t="s">
        <v>78</v>
      </c>
      <c r="D129" s="98">
        <v>4</v>
      </c>
      <c r="E129" s="98"/>
      <c r="F129" s="98">
        <v>120</v>
      </c>
      <c r="G129" s="98">
        <v>140</v>
      </c>
      <c r="H129" s="98">
        <v>4</v>
      </c>
      <c r="I129" s="98"/>
      <c r="J129" s="98">
        <v>120</v>
      </c>
      <c r="K129" s="98">
        <v>140</v>
      </c>
      <c r="L129"/>
      <c r="M129" s="98">
        <f t="shared" si="5"/>
        <v>0</v>
      </c>
      <c r="N129" s="98">
        <f t="shared" si="6"/>
        <v>0</v>
      </c>
      <c r="O129" s="98">
        <f t="shared" si="7"/>
        <v>0</v>
      </c>
      <c r="P129" s="98">
        <f t="shared" si="8"/>
        <v>0</v>
      </c>
      <c r="Q129"/>
      <c r="R129"/>
      <c r="S129"/>
      <c r="T129"/>
      <c r="U129"/>
    </row>
    <row r="130" spans="1:21">
      <c r="A130" s="97"/>
      <c r="B130" s="104" t="s">
        <v>489</v>
      </c>
      <c r="C130" s="105"/>
      <c r="D130" s="106">
        <v>4</v>
      </c>
      <c r="E130" s="106"/>
      <c r="F130" s="106">
        <v>120</v>
      </c>
      <c r="G130" s="106">
        <v>140</v>
      </c>
      <c r="H130" s="106">
        <v>4</v>
      </c>
      <c r="I130" s="106"/>
      <c r="J130" s="106">
        <v>120</v>
      </c>
      <c r="K130" s="106">
        <v>140</v>
      </c>
      <c r="L130"/>
      <c r="M130" s="98">
        <f t="shared" si="5"/>
        <v>0</v>
      </c>
      <c r="N130" s="98">
        <f t="shared" si="6"/>
        <v>0</v>
      </c>
      <c r="O130" s="98">
        <f t="shared" si="7"/>
        <v>0</v>
      </c>
      <c r="P130" s="98">
        <f t="shared" si="8"/>
        <v>0</v>
      </c>
      <c r="Q130"/>
      <c r="R130"/>
      <c r="S130"/>
      <c r="T130"/>
      <c r="U130"/>
    </row>
    <row r="131" ht="30" spans="1:21">
      <c r="A131" s="97"/>
      <c r="B131" s="102" t="s">
        <v>159</v>
      </c>
      <c r="C131" s="102" t="s">
        <v>78</v>
      </c>
      <c r="D131" s="98">
        <v>200</v>
      </c>
      <c r="E131" s="98"/>
      <c r="F131" s="98"/>
      <c r="G131" s="98">
        <v>50</v>
      </c>
      <c r="H131" s="98">
        <v>200</v>
      </c>
      <c r="I131" s="98"/>
      <c r="J131" s="98">
        <v>0</v>
      </c>
      <c r="K131" s="98">
        <v>50</v>
      </c>
      <c r="L131"/>
      <c r="M131" s="98">
        <f t="shared" si="5"/>
        <v>0</v>
      </c>
      <c r="N131" s="98">
        <f t="shared" si="6"/>
        <v>0</v>
      </c>
      <c r="O131" s="98">
        <f t="shared" si="7"/>
        <v>0</v>
      </c>
      <c r="P131" s="98">
        <f t="shared" si="8"/>
        <v>0</v>
      </c>
      <c r="Q131"/>
      <c r="R131"/>
      <c r="S131"/>
      <c r="T131"/>
      <c r="U131"/>
    </row>
    <row r="132" spans="1:21">
      <c r="A132" s="97"/>
      <c r="B132" s="104" t="s">
        <v>490</v>
      </c>
      <c r="C132" s="105"/>
      <c r="D132" s="106">
        <v>200</v>
      </c>
      <c r="E132" s="106"/>
      <c r="F132" s="106"/>
      <c r="G132" s="106">
        <v>50</v>
      </c>
      <c r="H132" s="106">
        <v>200</v>
      </c>
      <c r="I132" s="106"/>
      <c r="J132" s="106">
        <v>0</v>
      </c>
      <c r="K132" s="106">
        <v>50</v>
      </c>
      <c r="L132"/>
      <c r="M132" s="98">
        <f t="shared" si="5"/>
        <v>0</v>
      </c>
      <c r="N132" s="98">
        <f t="shared" si="6"/>
        <v>0</v>
      </c>
      <c r="O132" s="98">
        <f t="shared" si="7"/>
        <v>0</v>
      </c>
      <c r="P132" s="98">
        <f t="shared" si="8"/>
        <v>0</v>
      </c>
      <c r="Q132"/>
      <c r="R132"/>
      <c r="S132"/>
      <c r="T132"/>
      <c r="U132"/>
    </row>
    <row r="133" spans="1:16">
      <c r="A133" s="97"/>
      <c r="B133" s="102" t="s">
        <v>109</v>
      </c>
      <c r="C133" s="102" t="s">
        <v>22</v>
      </c>
      <c r="D133" s="98">
        <v>1</v>
      </c>
      <c r="E133" s="98"/>
      <c r="F133" s="98"/>
      <c r="G133" s="98">
        <v>48</v>
      </c>
      <c r="H133" s="98">
        <v>1</v>
      </c>
      <c r="I133" s="98"/>
      <c r="J133" s="98">
        <v>0</v>
      </c>
      <c r="K133" s="98">
        <v>48</v>
      </c>
      <c r="L133"/>
      <c r="M133" s="98">
        <f t="shared" si="5"/>
        <v>0</v>
      </c>
      <c r="N133" s="98">
        <f t="shared" si="6"/>
        <v>0</v>
      </c>
      <c r="O133" s="98">
        <f t="shared" si="7"/>
        <v>0</v>
      </c>
      <c r="P133" s="98">
        <f t="shared" si="8"/>
        <v>0</v>
      </c>
    </row>
    <row r="134" spans="1:16">
      <c r="A134" s="97"/>
      <c r="B134" s="97"/>
      <c r="C134" s="102" t="s">
        <v>43</v>
      </c>
      <c r="D134" s="98">
        <v>1</v>
      </c>
      <c r="E134" s="98"/>
      <c r="F134" s="98"/>
      <c r="G134" s="98">
        <v>48</v>
      </c>
      <c r="H134" s="98">
        <v>1</v>
      </c>
      <c r="I134" s="98"/>
      <c r="J134" s="98">
        <v>0</v>
      </c>
      <c r="K134" s="98">
        <v>48</v>
      </c>
      <c r="L134"/>
      <c r="M134" s="98">
        <f t="shared" si="5"/>
        <v>0</v>
      </c>
      <c r="N134" s="98">
        <f t="shared" si="6"/>
        <v>0</v>
      </c>
      <c r="O134" s="98">
        <f t="shared" si="7"/>
        <v>0</v>
      </c>
      <c r="P134" s="98">
        <f t="shared" si="8"/>
        <v>0</v>
      </c>
    </row>
    <row r="135" spans="1:16">
      <c r="A135" s="97"/>
      <c r="B135" s="97"/>
      <c r="C135" s="102" t="s">
        <v>63</v>
      </c>
      <c r="D135" s="98">
        <v>1</v>
      </c>
      <c r="E135" s="98"/>
      <c r="F135" s="98"/>
      <c r="G135" s="98">
        <v>48</v>
      </c>
      <c r="H135" s="98">
        <v>1</v>
      </c>
      <c r="I135" s="98"/>
      <c r="J135" s="98">
        <v>0</v>
      </c>
      <c r="K135" s="98">
        <v>48</v>
      </c>
      <c r="L135"/>
      <c r="M135" s="98">
        <f t="shared" si="5"/>
        <v>0</v>
      </c>
      <c r="N135" s="98">
        <f t="shared" si="6"/>
        <v>0</v>
      </c>
      <c r="O135" s="98">
        <f t="shared" si="7"/>
        <v>0</v>
      </c>
      <c r="P135" s="98">
        <f t="shared" si="8"/>
        <v>0</v>
      </c>
    </row>
    <row r="136" spans="1:16">
      <c r="A136" s="97"/>
      <c r="B136" s="97"/>
      <c r="C136" s="102" t="s">
        <v>70</v>
      </c>
      <c r="D136" s="98">
        <v>1</v>
      </c>
      <c r="E136" s="98"/>
      <c r="F136" s="98"/>
      <c r="G136" s="98">
        <v>48</v>
      </c>
      <c r="H136" s="98">
        <v>1</v>
      </c>
      <c r="I136" s="98"/>
      <c r="J136" s="98">
        <v>0</v>
      </c>
      <c r="K136" s="98">
        <v>48</v>
      </c>
      <c r="L136"/>
      <c r="M136" s="98">
        <f t="shared" si="5"/>
        <v>0</v>
      </c>
      <c r="N136" s="98">
        <f t="shared" si="6"/>
        <v>0</v>
      </c>
      <c r="O136" s="98">
        <f t="shared" si="7"/>
        <v>0</v>
      </c>
      <c r="P136" s="98">
        <f t="shared" si="8"/>
        <v>0</v>
      </c>
    </row>
    <row r="137" spans="1:16">
      <c r="A137" s="97"/>
      <c r="B137" s="104" t="s">
        <v>491</v>
      </c>
      <c r="C137" s="105"/>
      <c r="D137" s="106">
        <v>4</v>
      </c>
      <c r="E137" s="106"/>
      <c r="F137" s="106"/>
      <c r="G137" s="106">
        <v>192</v>
      </c>
      <c r="H137" s="106">
        <v>4</v>
      </c>
      <c r="I137" s="106"/>
      <c r="J137" s="106">
        <v>0</v>
      </c>
      <c r="K137" s="106">
        <v>192</v>
      </c>
      <c r="L137"/>
      <c r="M137" s="98">
        <f t="shared" si="5"/>
        <v>0</v>
      </c>
      <c r="N137" s="98">
        <f t="shared" si="6"/>
        <v>0</v>
      </c>
      <c r="O137" s="98">
        <f t="shared" si="7"/>
        <v>0</v>
      </c>
      <c r="P137" s="98">
        <f t="shared" si="8"/>
        <v>0</v>
      </c>
    </row>
    <row r="138" spans="1:16">
      <c r="A138" s="97"/>
      <c r="B138" s="102" t="s">
        <v>111</v>
      </c>
      <c r="C138" s="102" t="s">
        <v>22</v>
      </c>
      <c r="D138" s="98">
        <v>3</v>
      </c>
      <c r="E138" s="98"/>
      <c r="F138" s="98"/>
      <c r="G138" s="98">
        <v>144</v>
      </c>
      <c r="H138" s="98">
        <v>3</v>
      </c>
      <c r="I138" s="98"/>
      <c r="J138" s="98">
        <v>0</v>
      </c>
      <c r="K138" s="98">
        <v>144</v>
      </c>
      <c r="L138"/>
      <c r="M138" s="98">
        <f t="shared" si="5"/>
        <v>0</v>
      </c>
      <c r="N138" s="98">
        <f t="shared" si="6"/>
        <v>0</v>
      </c>
      <c r="O138" s="98">
        <f t="shared" si="7"/>
        <v>0</v>
      </c>
      <c r="P138" s="98">
        <f t="shared" si="8"/>
        <v>0</v>
      </c>
    </row>
    <row r="139" spans="1:16">
      <c r="A139" s="97"/>
      <c r="B139" s="97"/>
      <c r="C139" s="102" t="s">
        <v>43</v>
      </c>
      <c r="D139" s="98">
        <v>8</v>
      </c>
      <c r="E139" s="98"/>
      <c r="F139" s="98"/>
      <c r="G139" s="98">
        <v>384</v>
      </c>
      <c r="H139" s="98">
        <v>8</v>
      </c>
      <c r="I139" s="98"/>
      <c r="J139" s="98">
        <v>0</v>
      </c>
      <c r="K139" s="98">
        <v>384</v>
      </c>
      <c r="L139"/>
      <c r="M139" s="98">
        <f t="shared" ref="M139:M202" si="9">+D139-H139</f>
        <v>0</v>
      </c>
      <c r="N139" s="98">
        <f t="shared" ref="N139:N202" si="10">+E139-I139</f>
        <v>0</v>
      </c>
      <c r="O139" s="98">
        <f t="shared" ref="O139:O202" si="11">+F139-J139</f>
        <v>0</v>
      </c>
      <c r="P139" s="98">
        <f t="shared" ref="P139:P202" si="12">+G139-K139</f>
        <v>0</v>
      </c>
    </row>
    <row r="140" spans="1:16">
      <c r="A140" s="97"/>
      <c r="B140" s="97"/>
      <c r="C140" s="102" t="s">
        <v>70</v>
      </c>
      <c r="D140" s="98">
        <v>1</v>
      </c>
      <c r="E140" s="98"/>
      <c r="F140" s="98"/>
      <c r="G140" s="98">
        <v>48</v>
      </c>
      <c r="H140" s="98">
        <v>1</v>
      </c>
      <c r="I140" s="98"/>
      <c r="J140" s="98">
        <v>0</v>
      </c>
      <c r="K140" s="98">
        <v>48</v>
      </c>
      <c r="L140"/>
      <c r="M140" s="98">
        <f t="shared" si="9"/>
        <v>0</v>
      </c>
      <c r="N140" s="98">
        <f t="shared" si="10"/>
        <v>0</v>
      </c>
      <c r="O140" s="98">
        <f t="shared" si="11"/>
        <v>0</v>
      </c>
      <c r="P140" s="98">
        <f t="shared" si="12"/>
        <v>0</v>
      </c>
    </row>
    <row r="141" spans="1:16">
      <c r="A141" s="97"/>
      <c r="B141" s="104" t="s">
        <v>492</v>
      </c>
      <c r="C141" s="105"/>
      <c r="D141" s="106">
        <v>12</v>
      </c>
      <c r="E141" s="106"/>
      <c r="F141" s="106"/>
      <c r="G141" s="106">
        <v>576</v>
      </c>
      <c r="H141" s="106">
        <v>12</v>
      </c>
      <c r="I141" s="106"/>
      <c r="J141" s="106">
        <v>0</v>
      </c>
      <c r="K141" s="106">
        <v>576</v>
      </c>
      <c r="L141"/>
      <c r="M141" s="98">
        <f t="shared" si="9"/>
        <v>0</v>
      </c>
      <c r="N141" s="98">
        <f t="shared" si="10"/>
        <v>0</v>
      </c>
      <c r="O141" s="98">
        <f t="shared" si="11"/>
        <v>0</v>
      </c>
      <c r="P141" s="98">
        <f t="shared" si="12"/>
        <v>0</v>
      </c>
    </row>
    <row r="142" spans="1:16">
      <c r="A142" s="97"/>
      <c r="B142" s="102" t="s">
        <v>113</v>
      </c>
      <c r="C142" s="102" t="s">
        <v>22</v>
      </c>
      <c r="D142" s="98">
        <v>46</v>
      </c>
      <c r="E142" s="98"/>
      <c r="F142" s="98"/>
      <c r="G142" s="98">
        <v>1932</v>
      </c>
      <c r="H142" s="98">
        <v>53</v>
      </c>
      <c r="I142" s="98"/>
      <c r="J142" s="98">
        <v>0</v>
      </c>
      <c r="K142" s="98">
        <v>2226</v>
      </c>
      <c r="L142"/>
      <c r="M142" s="98">
        <f t="shared" si="9"/>
        <v>-7</v>
      </c>
      <c r="N142" s="98">
        <f t="shared" si="10"/>
        <v>0</v>
      </c>
      <c r="O142" s="98">
        <f t="shared" si="11"/>
        <v>0</v>
      </c>
      <c r="P142" s="98">
        <f t="shared" si="12"/>
        <v>-294</v>
      </c>
    </row>
    <row r="143" spans="1:16">
      <c r="A143" s="97"/>
      <c r="B143" s="97"/>
      <c r="C143" s="102" t="s">
        <v>43</v>
      </c>
      <c r="D143" s="98">
        <v>69</v>
      </c>
      <c r="E143" s="98"/>
      <c r="F143" s="98"/>
      <c r="G143" s="98">
        <v>2898</v>
      </c>
      <c r="H143" s="98">
        <v>63</v>
      </c>
      <c r="I143" s="98"/>
      <c r="J143" s="98">
        <v>0</v>
      </c>
      <c r="K143" s="98">
        <v>2646</v>
      </c>
      <c r="L143"/>
      <c r="M143" s="98">
        <f t="shared" si="9"/>
        <v>6</v>
      </c>
      <c r="N143" s="98">
        <f t="shared" si="10"/>
        <v>0</v>
      </c>
      <c r="O143" s="98">
        <f t="shared" si="11"/>
        <v>0</v>
      </c>
      <c r="P143" s="98">
        <f t="shared" si="12"/>
        <v>252</v>
      </c>
    </row>
    <row r="144" spans="1:16">
      <c r="A144" s="97"/>
      <c r="B144" s="97"/>
      <c r="C144" s="102" t="s">
        <v>63</v>
      </c>
      <c r="D144" s="98">
        <v>23</v>
      </c>
      <c r="E144" s="98"/>
      <c r="F144" s="98"/>
      <c r="G144" s="98">
        <v>966</v>
      </c>
      <c r="H144" s="98">
        <v>22</v>
      </c>
      <c r="I144" s="98"/>
      <c r="J144" s="98">
        <v>0</v>
      </c>
      <c r="K144" s="98">
        <v>924</v>
      </c>
      <c r="L144"/>
      <c r="M144" s="98">
        <f t="shared" si="9"/>
        <v>1</v>
      </c>
      <c r="N144" s="98">
        <f t="shared" si="10"/>
        <v>0</v>
      </c>
      <c r="O144" s="98">
        <f t="shared" si="11"/>
        <v>0</v>
      </c>
      <c r="P144" s="98">
        <f t="shared" si="12"/>
        <v>42</v>
      </c>
    </row>
    <row r="145" spans="1:16">
      <c r="A145" s="97"/>
      <c r="B145" s="97"/>
      <c r="C145" s="102" t="s">
        <v>70</v>
      </c>
      <c r="D145" s="98">
        <v>31</v>
      </c>
      <c r="E145" s="98"/>
      <c r="F145" s="98"/>
      <c r="G145" s="98">
        <v>1302</v>
      </c>
      <c r="H145" s="98">
        <v>31</v>
      </c>
      <c r="I145" s="98"/>
      <c r="J145" s="98">
        <v>0</v>
      </c>
      <c r="K145" s="98">
        <v>1302</v>
      </c>
      <c r="L145"/>
      <c r="M145" s="98">
        <f t="shared" si="9"/>
        <v>0</v>
      </c>
      <c r="N145" s="98">
        <f t="shared" si="10"/>
        <v>0</v>
      </c>
      <c r="O145" s="98">
        <f t="shared" si="11"/>
        <v>0</v>
      </c>
      <c r="P145" s="98">
        <f t="shared" si="12"/>
        <v>0</v>
      </c>
    </row>
    <row r="146" spans="1:16">
      <c r="A146" s="97"/>
      <c r="B146" s="104" t="s">
        <v>493</v>
      </c>
      <c r="C146" s="105"/>
      <c r="D146" s="106">
        <v>169</v>
      </c>
      <c r="E146" s="106"/>
      <c r="F146" s="106"/>
      <c r="G146" s="106">
        <v>7098</v>
      </c>
      <c r="H146" s="106">
        <v>169</v>
      </c>
      <c r="I146" s="106"/>
      <c r="J146" s="106">
        <v>0</v>
      </c>
      <c r="K146" s="106">
        <v>7098</v>
      </c>
      <c r="L146"/>
      <c r="M146" s="98">
        <f t="shared" si="9"/>
        <v>0</v>
      </c>
      <c r="N146" s="98">
        <f t="shared" si="10"/>
        <v>0</v>
      </c>
      <c r="O146" s="98">
        <f t="shared" si="11"/>
        <v>0</v>
      </c>
      <c r="P146" s="98">
        <f t="shared" si="12"/>
        <v>0</v>
      </c>
    </row>
    <row r="147" ht="30" spans="1:16">
      <c r="A147" s="97"/>
      <c r="B147" s="102" t="s">
        <v>161</v>
      </c>
      <c r="C147" s="102" t="s">
        <v>78</v>
      </c>
      <c r="D147" s="98">
        <v>5</v>
      </c>
      <c r="E147" s="98"/>
      <c r="F147" s="98"/>
      <c r="G147" s="98">
        <v>350</v>
      </c>
      <c r="H147" s="98">
        <v>5</v>
      </c>
      <c r="I147" s="98"/>
      <c r="J147" s="98">
        <v>0</v>
      </c>
      <c r="K147" s="98">
        <v>350</v>
      </c>
      <c r="L147"/>
      <c r="M147" s="98">
        <f t="shared" si="9"/>
        <v>0</v>
      </c>
      <c r="N147" s="98">
        <f t="shared" si="10"/>
        <v>0</v>
      </c>
      <c r="O147" s="98">
        <f t="shared" si="11"/>
        <v>0</v>
      </c>
      <c r="P147" s="98">
        <f t="shared" si="12"/>
        <v>0</v>
      </c>
    </row>
    <row r="148" spans="1:16">
      <c r="A148" s="97"/>
      <c r="B148" s="104" t="s">
        <v>494</v>
      </c>
      <c r="C148" s="105"/>
      <c r="D148" s="106">
        <v>5</v>
      </c>
      <c r="E148" s="106"/>
      <c r="F148" s="106"/>
      <c r="G148" s="106">
        <v>350</v>
      </c>
      <c r="H148" s="106">
        <v>5</v>
      </c>
      <c r="I148" s="106"/>
      <c r="J148" s="106">
        <v>0</v>
      </c>
      <c r="K148" s="106">
        <v>350</v>
      </c>
      <c r="L148"/>
      <c r="M148" s="98">
        <f t="shared" si="9"/>
        <v>0</v>
      </c>
      <c r="N148" s="98">
        <f t="shared" si="10"/>
        <v>0</v>
      </c>
      <c r="O148" s="98">
        <f t="shared" si="11"/>
        <v>0</v>
      </c>
      <c r="P148" s="98">
        <f t="shared" si="12"/>
        <v>0</v>
      </c>
    </row>
    <row r="149" ht="30" spans="1:16">
      <c r="A149" s="97"/>
      <c r="B149" s="102" t="s">
        <v>163</v>
      </c>
      <c r="C149" s="102" t="s">
        <v>78</v>
      </c>
      <c r="D149" s="98">
        <v>5</v>
      </c>
      <c r="E149" s="98"/>
      <c r="F149" s="98"/>
      <c r="G149" s="98">
        <v>400</v>
      </c>
      <c r="H149" s="98">
        <v>5</v>
      </c>
      <c r="I149" s="98"/>
      <c r="J149" s="98">
        <v>0</v>
      </c>
      <c r="K149" s="98">
        <v>400</v>
      </c>
      <c r="L149"/>
      <c r="M149" s="98">
        <f t="shared" si="9"/>
        <v>0</v>
      </c>
      <c r="N149" s="98">
        <f t="shared" si="10"/>
        <v>0</v>
      </c>
      <c r="O149" s="98">
        <f t="shared" si="11"/>
        <v>0</v>
      </c>
      <c r="P149" s="98">
        <f t="shared" si="12"/>
        <v>0</v>
      </c>
    </row>
    <row r="150" spans="1:16">
      <c r="A150" s="97"/>
      <c r="B150" s="104" t="s">
        <v>495</v>
      </c>
      <c r="C150" s="105"/>
      <c r="D150" s="106">
        <v>5</v>
      </c>
      <c r="E150" s="106"/>
      <c r="F150" s="106"/>
      <c r="G150" s="106">
        <v>400</v>
      </c>
      <c r="H150" s="106">
        <v>5</v>
      </c>
      <c r="I150" s="106"/>
      <c r="J150" s="106">
        <v>0</v>
      </c>
      <c r="K150" s="106">
        <v>400</v>
      </c>
      <c r="L150"/>
      <c r="M150" s="98">
        <f t="shared" si="9"/>
        <v>0</v>
      </c>
      <c r="N150" s="98">
        <f t="shared" si="10"/>
        <v>0</v>
      </c>
      <c r="O150" s="98">
        <f t="shared" si="11"/>
        <v>0</v>
      </c>
      <c r="P150" s="98">
        <f t="shared" si="12"/>
        <v>0</v>
      </c>
    </row>
    <row r="151" spans="1:16">
      <c r="A151" s="97"/>
      <c r="B151" s="102" t="s">
        <v>165</v>
      </c>
      <c r="C151" s="102" t="s">
        <v>78</v>
      </c>
      <c r="D151" s="98"/>
      <c r="E151" s="98"/>
      <c r="F151" s="98"/>
      <c r="G151" s="98">
        <v>600</v>
      </c>
      <c r="H151" s="98"/>
      <c r="I151" s="98"/>
      <c r="J151" s="98">
        <v>0</v>
      </c>
      <c r="K151" s="98">
        <v>600</v>
      </c>
      <c r="L151"/>
      <c r="M151" s="98">
        <f t="shared" si="9"/>
        <v>0</v>
      </c>
      <c r="N151" s="98">
        <f t="shared" si="10"/>
        <v>0</v>
      </c>
      <c r="O151" s="98">
        <f t="shared" si="11"/>
        <v>0</v>
      </c>
      <c r="P151" s="98">
        <f t="shared" si="12"/>
        <v>0</v>
      </c>
    </row>
    <row r="152" spans="1:16">
      <c r="A152" s="97"/>
      <c r="B152" s="104" t="s">
        <v>496</v>
      </c>
      <c r="C152" s="105"/>
      <c r="D152" s="106"/>
      <c r="E152" s="106"/>
      <c r="F152" s="106"/>
      <c r="G152" s="106">
        <v>600</v>
      </c>
      <c r="H152" s="106"/>
      <c r="I152" s="106"/>
      <c r="J152" s="106">
        <v>0</v>
      </c>
      <c r="K152" s="106">
        <v>600</v>
      </c>
      <c r="L152"/>
      <c r="M152" s="98">
        <f t="shared" si="9"/>
        <v>0</v>
      </c>
      <c r="N152" s="98">
        <f t="shared" si="10"/>
        <v>0</v>
      </c>
      <c r="O152" s="98">
        <f t="shared" si="11"/>
        <v>0</v>
      </c>
      <c r="P152" s="98">
        <f t="shared" si="12"/>
        <v>0</v>
      </c>
    </row>
    <row r="153" spans="1:16">
      <c r="A153" s="102" t="s">
        <v>497</v>
      </c>
      <c r="B153" s="97"/>
      <c r="C153" s="97"/>
      <c r="D153" s="98">
        <v>11642</v>
      </c>
      <c r="E153" s="98"/>
      <c r="F153" s="98">
        <v>1110</v>
      </c>
      <c r="G153" s="98">
        <v>17156</v>
      </c>
      <c r="H153" s="98">
        <v>11642</v>
      </c>
      <c r="I153" s="98"/>
      <c r="J153" s="98">
        <v>1110</v>
      </c>
      <c r="K153" s="98">
        <v>17156</v>
      </c>
      <c r="L153"/>
      <c r="M153" s="98">
        <f t="shared" si="9"/>
        <v>0</v>
      </c>
      <c r="N153" s="98">
        <f t="shared" si="10"/>
        <v>0</v>
      </c>
      <c r="O153" s="98">
        <f t="shared" si="11"/>
        <v>0</v>
      </c>
      <c r="P153" s="98">
        <f t="shared" si="12"/>
        <v>0</v>
      </c>
    </row>
    <row r="154" ht="30" spans="1:16">
      <c r="A154" s="102" t="s">
        <v>166</v>
      </c>
      <c r="B154" s="102" t="s">
        <v>168</v>
      </c>
      <c r="C154" s="102" t="s">
        <v>78</v>
      </c>
      <c r="D154" s="98">
        <v>1</v>
      </c>
      <c r="E154" s="98"/>
      <c r="F154" s="98"/>
      <c r="G154" s="98">
        <v>5500</v>
      </c>
      <c r="H154" s="98">
        <v>1</v>
      </c>
      <c r="I154" s="98"/>
      <c r="J154" s="98">
        <v>0</v>
      </c>
      <c r="K154" s="98">
        <v>5500</v>
      </c>
      <c r="L154"/>
      <c r="M154" s="98">
        <f t="shared" si="9"/>
        <v>0</v>
      </c>
      <c r="N154" s="98">
        <f t="shared" si="10"/>
        <v>0</v>
      </c>
      <c r="O154" s="98">
        <f t="shared" si="11"/>
        <v>0</v>
      </c>
      <c r="P154" s="98">
        <f t="shared" si="12"/>
        <v>0</v>
      </c>
    </row>
    <row r="155" spans="1:16">
      <c r="A155" s="97"/>
      <c r="B155" s="104" t="s">
        <v>498</v>
      </c>
      <c r="C155" s="105"/>
      <c r="D155" s="106">
        <v>1</v>
      </c>
      <c r="E155" s="106"/>
      <c r="F155" s="106"/>
      <c r="G155" s="106">
        <v>5500</v>
      </c>
      <c r="H155" s="106">
        <v>1</v>
      </c>
      <c r="I155" s="106"/>
      <c r="J155" s="106">
        <v>0</v>
      </c>
      <c r="K155" s="106">
        <v>5500</v>
      </c>
      <c r="L155"/>
      <c r="M155" s="98">
        <f t="shared" si="9"/>
        <v>0</v>
      </c>
      <c r="N155" s="98">
        <f t="shared" si="10"/>
        <v>0</v>
      </c>
      <c r="O155" s="98">
        <f t="shared" si="11"/>
        <v>0</v>
      </c>
      <c r="P155" s="98">
        <f t="shared" si="12"/>
        <v>0</v>
      </c>
    </row>
    <row r="156" spans="1:16">
      <c r="A156" s="102" t="s">
        <v>499</v>
      </c>
      <c r="B156" s="97"/>
      <c r="C156" s="97"/>
      <c r="D156" s="98">
        <v>1</v>
      </c>
      <c r="E156" s="98"/>
      <c r="F156" s="98"/>
      <c r="G156" s="98">
        <v>5500</v>
      </c>
      <c r="H156" s="98">
        <v>1</v>
      </c>
      <c r="I156" s="98"/>
      <c r="J156" s="98">
        <v>0</v>
      </c>
      <c r="K156" s="98">
        <v>5500</v>
      </c>
      <c r="L156"/>
      <c r="M156" s="98">
        <f t="shared" si="9"/>
        <v>0</v>
      </c>
      <c r="N156" s="98">
        <f t="shared" si="10"/>
        <v>0</v>
      </c>
      <c r="O156" s="98">
        <f t="shared" si="11"/>
        <v>0</v>
      </c>
      <c r="P156" s="98">
        <f t="shared" si="12"/>
        <v>0</v>
      </c>
    </row>
    <row r="157" spans="1:16">
      <c r="A157" s="102" t="s">
        <v>169</v>
      </c>
      <c r="B157" s="102" t="s">
        <v>171</v>
      </c>
      <c r="C157" s="102" t="s">
        <v>22</v>
      </c>
      <c r="D157" s="98">
        <v>3</v>
      </c>
      <c r="E157" s="98">
        <v>3</v>
      </c>
      <c r="F157" s="98"/>
      <c r="G157" s="98">
        <v>9300</v>
      </c>
      <c r="H157" s="98">
        <v>3</v>
      </c>
      <c r="I157" s="98">
        <v>3</v>
      </c>
      <c r="J157" s="98">
        <v>0</v>
      </c>
      <c r="K157" s="98">
        <v>9300</v>
      </c>
      <c r="L157"/>
      <c r="M157" s="98">
        <f t="shared" si="9"/>
        <v>0</v>
      </c>
      <c r="N157" s="98">
        <f t="shared" si="10"/>
        <v>0</v>
      </c>
      <c r="O157" s="98">
        <f t="shared" si="11"/>
        <v>0</v>
      </c>
      <c r="P157" s="98">
        <f t="shared" si="12"/>
        <v>0</v>
      </c>
    </row>
    <row r="158" spans="1:16">
      <c r="A158" s="97"/>
      <c r="B158" s="97"/>
      <c r="C158" s="102" t="s">
        <v>43</v>
      </c>
      <c r="D158" s="98">
        <v>5</v>
      </c>
      <c r="E158" s="98">
        <v>4</v>
      </c>
      <c r="F158" s="98"/>
      <c r="G158" s="98">
        <v>15500</v>
      </c>
      <c r="H158" s="98">
        <v>6</v>
      </c>
      <c r="I158" s="98">
        <v>6</v>
      </c>
      <c r="J158" s="98">
        <v>0</v>
      </c>
      <c r="K158" s="98">
        <v>20500</v>
      </c>
      <c r="L158"/>
      <c r="M158" s="98">
        <f t="shared" si="9"/>
        <v>-1</v>
      </c>
      <c r="N158" s="98">
        <f t="shared" si="10"/>
        <v>-2</v>
      </c>
      <c r="O158" s="98">
        <f t="shared" si="11"/>
        <v>0</v>
      </c>
      <c r="P158" s="98">
        <f t="shared" si="12"/>
        <v>-5000</v>
      </c>
    </row>
    <row r="159" spans="1:16">
      <c r="A159" s="97"/>
      <c r="B159" s="97"/>
      <c r="C159" s="102" t="s">
        <v>70</v>
      </c>
      <c r="D159" s="98">
        <v>2</v>
      </c>
      <c r="E159" s="98">
        <v>2</v>
      </c>
      <c r="F159" s="98"/>
      <c r="G159" s="98">
        <v>6200</v>
      </c>
      <c r="H159" s="98">
        <v>2</v>
      </c>
      <c r="I159" s="98">
        <v>2</v>
      </c>
      <c r="J159" s="98">
        <v>0</v>
      </c>
      <c r="K159" s="98">
        <v>6200</v>
      </c>
      <c r="L159"/>
      <c r="M159" s="98">
        <f t="shared" si="9"/>
        <v>0</v>
      </c>
      <c r="N159" s="98">
        <f t="shared" si="10"/>
        <v>0</v>
      </c>
      <c r="O159" s="98">
        <f t="shared" si="11"/>
        <v>0</v>
      </c>
      <c r="P159" s="98">
        <f t="shared" si="12"/>
        <v>0</v>
      </c>
    </row>
    <row r="160" spans="1:16">
      <c r="A160" s="97"/>
      <c r="B160" s="104" t="s">
        <v>500</v>
      </c>
      <c r="C160" s="105"/>
      <c r="D160" s="106">
        <v>10</v>
      </c>
      <c r="E160" s="106">
        <v>9</v>
      </c>
      <c r="F160" s="106"/>
      <c r="G160" s="106">
        <v>31000</v>
      </c>
      <c r="H160" s="106">
        <v>11</v>
      </c>
      <c r="I160" s="106">
        <v>11</v>
      </c>
      <c r="J160" s="106">
        <v>0</v>
      </c>
      <c r="K160" s="106">
        <v>36000</v>
      </c>
      <c r="L160"/>
      <c r="M160" s="98">
        <f t="shared" si="9"/>
        <v>-1</v>
      </c>
      <c r="N160" s="98">
        <f t="shared" si="10"/>
        <v>-2</v>
      </c>
      <c r="O160" s="98">
        <f t="shared" si="11"/>
        <v>0</v>
      </c>
      <c r="P160" s="98">
        <f t="shared" si="12"/>
        <v>-5000</v>
      </c>
    </row>
    <row r="161" spans="1:16">
      <c r="A161" s="97"/>
      <c r="B161" s="102" t="s">
        <v>173</v>
      </c>
      <c r="C161" s="102" t="s">
        <v>22</v>
      </c>
      <c r="D161" s="98">
        <v>1</v>
      </c>
      <c r="E161" s="98">
        <v>1</v>
      </c>
      <c r="F161" s="98"/>
      <c r="G161" s="98">
        <v>800</v>
      </c>
      <c r="H161" s="98">
        <v>1</v>
      </c>
      <c r="I161" s="98">
        <v>1</v>
      </c>
      <c r="J161" s="98">
        <v>0</v>
      </c>
      <c r="K161" s="98">
        <v>800</v>
      </c>
      <c r="L161"/>
      <c r="M161" s="98">
        <f t="shared" si="9"/>
        <v>0</v>
      </c>
      <c r="N161" s="98">
        <f t="shared" si="10"/>
        <v>0</v>
      </c>
      <c r="O161" s="98">
        <f t="shared" si="11"/>
        <v>0</v>
      </c>
      <c r="P161" s="98">
        <f t="shared" si="12"/>
        <v>0</v>
      </c>
    </row>
    <row r="162" spans="1:16">
      <c r="A162" s="97"/>
      <c r="B162" s="97"/>
      <c r="C162" s="102" t="s">
        <v>43</v>
      </c>
      <c r="D162" s="98">
        <v>1</v>
      </c>
      <c r="E162" s="98">
        <v>1</v>
      </c>
      <c r="F162" s="98"/>
      <c r="G162" s="98">
        <v>800</v>
      </c>
      <c r="H162" s="98">
        <v>1</v>
      </c>
      <c r="I162" s="98">
        <v>1</v>
      </c>
      <c r="J162" s="98">
        <v>0</v>
      </c>
      <c r="K162" s="98">
        <v>800</v>
      </c>
      <c r="L162"/>
      <c r="M162" s="98">
        <f t="shared" si="9"/>
        <v>0</v>
      </c>
      <c r="N162" s="98">
        <f t="shared" si="10"/>
        <v>0</v>
      </c>
      <c r="O162" s="98">
        <f t="shared" si="11"/>
        <v>0</v>
      </c>
      <c r="P162" s="98">
        <f t="shared" si="12"/>
        <v>0</v>
      </c>
    </row>
    <row r="163" spans="1:16">
      <c r="A163" s="97"/>
      <c r="B163" s="97"/>
      <c r="C163" s="102" t="s">
        <v>70</v>
      </c>
      <c r="D163" s="98">
        <v>1</v>
      </c>
      <c r="E163" s="98">
        <v>1</v>
      </c>
      <c r="F163" s="98"/>
      <c r="G163" s="98">
        <v>800</v>
      </c>
      <c r="H163" s="98">
        <v>1</v>
      </c>
      <c r="I163" s="98">
        <v>1</v>
      </c>
      <c r="J163" s="98">
        <v>0</v>
      </c>
      <c r="K163" s="98">
        <v>800</v>
      </c>
      <c r="L163"/>
      <c r="M163" s="98">
        <f t="shared" si="9"/>
        <v>0</v>
      </c>
      <c r="N163" s="98">
        <f t="shared" si="10"/>
        <v>0</v>
      </c>
      <c r="O163" s="98">
        <f t="shared" si="11"/>
        <v>0</v>
      </c>
      <c r="P163" s="98">
        <f t="shared" si="12"/>
        <v>0</v>
      </c>
    </row>
    <row r="164" spans="1:16">
      <c r="A164" s="97"/>
      <c r="B164" s="104" t="s">
        <v>501</v>
      </c>
      <c r="C164" s="105"/>
      <c r="D164" s="106">
        <v>3</v>
      </c>
      <c r="E164" s="106">
        <v>3</v>
      </c>
      <c r="F164" s="106"/>
      <c r="G164" s="106">
        <v>2400</v>
      </c>
      <c r="H164" s="106">
        <v>3</v>
      </c>
      <c r="I164" s="106">
        <v>3</v>
      </c>
      <c r="J164" s="106">
        <v>0</v>
      </c>
      <c r="K164" s="106">
        <v>2400</v>
      </c>
      <c r="L164"/>
      <c r="M164" s="98">
        <f t="shared" si="9"/>
        <v>0</v>
      </c>
      <c r="N164" s="98">
        <f t="shared" si="10"/>
        <v>0</v>
      </c>
      <c r="O164" s="98">
        <f t="shared" si="11"/>
        <v>0</v>
      </c>
      <c r="P164" s="98">
        <f t="shared" si="12"/>
        <v>0</v>
      </c>
    </row>
    <row r="165" spans="1:16">
      <c r="A165" s="97"/>
      <c r="B165" s="102" t="s">
        <v>175</v>
      </c>
      <c r="C165" s="102" t="s">
        <v>22</v>
      </c>
      <c r="D165" s="98">
        <v>3</v>
      </c>
      <c r="E165" s="98">
        <v>3</v>
      </c>
      <c r="F165" s="98"/>
      <c r="G165" s="98">
        <v>600</v>
      </c>
      <c r="H165" s="98">
        <v>3</v>
      </c>
      <c r="I165" s="98">
        <v>3</v>
      </c>
      <c r="J165" s="98">
        <v>0</v>
      </c>
      <c r="K165" s="98">
        <v>600</v>
      </c>
      <c r="L165"/>
      <c r="M165" s="98">
        <f t="shared" si="9"/>
        <v>0</v>
      </c>
      <c r="N165" s="98">
        <f t="shared" si="10"/>
        <v>0</v>
      </c>
      <c r="O165" s="98">
        <f t="shared" si="11"/>
        <v>0</v>
      </c>
      <c r="P165" s="98">
        <f t="shared" si="12"/>
        <v>0</v>
      </c>
    </row>
    <row r="166" spans="1:16">
      <c r="A166" s="97"/>
      <c r="B166" s="97"/>
      <c r="C166" s="102" t="s">
        <v>43</v>
      </c>
      <c r="D166" s="98">
        <v>5</v>
      </c>
      <c r="E166" s="98">
        <v>4</v>
      </c>
      <c r="F166" s="98"/>
      <c r="G166" s="98">
        <v>1000</v>
      </c>
      <c r="H166" s="98">
        <v>5</v>
      </c>
      <c r="I166" s="98">
        <v>5</v>
      </c>
      <c r="J166" s="98">
        <v>0</v>
      </c>
      <c r="K166" s="98">
        <v>1000</v>
      </c>
      <c r="L166"/>
      <c r="M166" s="98">
        <f t="shared" si="9"/>
        <v>0</v>
      </c>
      <c r="N166" s="98">
        <f t="shared" si="10"/>
        <v>-1</v>
      </c>
      <c r="O166" s="98">
        <f t="shared" si="11"/>
        <v>0</v>
      </c>
      <c r="P166" s="98">
        <f t="shared" si="12"/>
        <v>0</v>
      </c>
    </row>
    <row r="167" spans="1:16">
      <c r="A167" s="97"/>
      <c r="B167" s="97"/>
      <c r="C167" s="102" t="s">
        <v>70</v>
      </c>
      <c r="D167" s="98">
        <v>2</v>
      </c>
      <c r="E167" s="98">
        <v>2</v>
      </c>
      <c r="F167" s="98"/>
      <c r="G167" s="98">
        <v>400</v>
      </c>
      <c r="H167" s="98">
        <v>2</v>
      </c>
      <c r="I167" s="98">
        <v>2</v>
      </c>
      <c r="J167" s="98">
        <v>0</v>
      </c>
      <c r="K167" s="98">
        <v>400</v>
      </c>
      <c r="L167"/>
      <c r="M167" s="98">
        <f t="shared" si="9"/>
        <v>0</v>
      </c>
      <c r="N167" s="98">
        <f t="shared" si="10"/>
        <v>0</v>
      </c>
      <c r="O167" s="98">
        <f t="shared" si="11"/>
        <v>0</v>
      </c>
      <c r="P167" s="98">
        <f t="shared" si="12"/>
        <v>0</v>
      </c>
    </row>
    <row r="168" spans="1:16">
      <c r="A168" s="97"/>
      <c r="B168" s="104" t="s">
        <v>502</v>
      </c>
      <c r="C168" s="105"/>
      <c r="D168" s="106">
        <v>10</v>
      </c>
      <c r="E168" s="106">
        <v>9</v>
      </c>
      <c r="F168" s="106"/>
      <c r="G168" s="106">
        <v>2000</v>
      </c>
      <c r="H168" s="106">
        <v>10</v>
      </c>
      <c r="I168" s="106">
        <v>10</v>
      </c>
      <c r="J168" s="106">
        <v>0</v>
      </c>
      <c r="K168" s="106">
        <v>2000</v>
      </c>
      <c r="L168"/>
      <c r="M168" s="98">
        <f t="shared" si="9"/>
        <v>0</v>
      </c>
      <c r="N168" s="98">
        <f t="shared" si="10"/>
        <v>-1</v>
      </c>
      <c r="O168" s="98">
        <f t="shared" si="11"/>
        <v>0</v>
      </c>
      <c r="P168" s="98">
        <f t="shared" si="12"/>
        <v>0</v>
      </c>
    </row>
    <row r="169" spans="1:16">
      <c r="A169" s="97"/>
      <c r="B169" s="102" t="s">
        <v>177</v>
      </c>
      <c r="C169" s="102" t="s">
        <v>22</v>
      </c>
      <c r="D169" s="98">
        <v>15</v>
      </c>
      <c r="E169" s="98">
        <v>3</v>
      </c>
      <c r="F169" s="98"/>
      <c r="G169" s="98">
        <v>4500</v>
      </c>
      <c r="H169" s="98">
        <v>15</v>
      </c>
      <c r="I169" s="98">
        <v>3</v>
      </c>
      <c r="J169" s="98">
        <v>0</v>
      </c>
      <c r="K169" s="98">
        <v>4500</v>
      </c>
      <c r="L169"/>
      <c r="M169" s="98">
        <f t="shared" si="9"/>
        <v>0</v>
      </c>
      <c r="N169" s="98">
        <f t="shared" si="10"/>
        <v>0</v>
      </c>
      <c r="O169" s="98">
        <f t="shared" si="11"/>
        <v>0</v>
      </c>
      <c r="P169" s="98">
        <f t="shared" si="12"/>
        <v>0</v>
      </c>
    </row>
    <row r="170" spans="1:16">
      <c r="A170" s="97"/>
      <c r="B170" s="97"/>
      <c r="C170" s="102" t="s">
        <v>43</v>
      </c>
      <c r="D170" s="98">
        <v>20</v>
      </c>
      <c r="E170" s="98">
        <v>4</v>
      </c>
      <c r="F170" s="98"/>
      <c r="G170" s="98">
        <v>6000</v>
      </c>
      <c r="H170" s="98">
        <v>20</v>
      </c>
      <c r="I170" s="98">
        <v>4</v>
      </c>
      <c r="J170" s="98">
        <v>0</v>
      </c>
      <c r="K170" s="98">
        <v>6000</v>
      </c>
      <c r="L170"/>
      <c r="M170" s="98">
        <f t="shared" si="9"/>
        <v>0</v>
      </c>
      <c r="N170" s="98">
        <f t="shared" si="10"/>
        <v>0</v>
      </c>
      <c r="O170" s="98">
        <f t="shared" si="11"/>
        <v>0</v>
      </c>
      <c r="P170" s="98">
        <f t="shared" si="12"/>
        <v>0</v>
      </c>
    </row>
    <row r="171" spans="1:16">
      <c r="A171" s="97"/>
      <c r="B171" s="97"/>
      <c r="C171" s="102" t="s">
        <v>63</v>
      </c>
      <c r="D171" s="98">
        <v>5</v>
      </c>
      <c r="E171" s="98">
        <v>1</v>
      </c>
      <c r="F171" s="98"/>
      <c r="G171" s="98">
        <v>1500</v>
      </c>
      <c r="H171" s="98">
        <v>5</v>
      </c>
      <c r="I171" s="98">
        <v>1</v>
      </c>
      <c r="J171" s="98">
        <v>0</v>
      </c>
      <c r="K171" s="98">
        <v>1500</v>
      </c>
      <c r="L171"/>
      <c r="M171" s="98">
        <f t="shared" si="9"/>
        <v>0</v>
      </c>
      <c r="N171" s="98">
        <f t="shared" si="10"/>
        <v>0</v>
      </c>
      <c r="O171" s="98">
        <f t="shared" si="11"/>
        <v>0</v>
      </c>
      <c r="P171" s="98">
        <f t="shared" si="12"/>
        <v>0</v>
      </c>
    </row>
    <row r="172" spans="1:16">
      <c r="A172" s="97"/>
      <c r="B172" s="97"/>
      <c r="C172" s="102" t="s">
        <v>70</v>
      </c>
      <c r="D172" s="98">
        <v>10</v>
      </c>
      <c r="E172" s="98">
        <v>2</v>
      </c>
      <c r="F172" s="98"/>
      <c r="G172" s="98">
        <v>3000</v>
      </c>
      <c r="H172" s="98">
        <v>10</v>
      </c>
      <c r="I172" s="98">
        <v>2</v>
      </c>
      <c r="J172" s="98">
        <v>0</v>
      </c>
      <c r="K172" s="98">
        <v>3000</v>
      </c>
      <c r="L172"/>
      <c r="M172" s="98">
        <f t="shared" si="9"/>
        <v>0</v>
      </c>
      <c r="N172" s="98">
        <f t="shared" si="10"/>
        <v>0</v>
      </c>
      <c r="O172" s="98">
        <f t="shared" si="11"/>
        <v>0</v>
      </c>
      <c r="P172" s="98">
        <f t="shared" si="12"/>
        <v>0</v>
      </c>
    </row>
    <row r="173" spans="1:16">
      <c r="A173" s="97"/>
      <c r="B173" s="104" t="s">
        <v>503</v>
      </c>
      <c r="C173" s="105"/>
      <c r="D173" s="106">
        <v>50</v>
      </c>
      <c r="E173" s="106">
        <v>10</v>
      </c>
      <c r="F173" s="106"/>
      <c r="G173" s="106">
        <v>15000</v>
      </c>
      <c r="H173" s="106">
        <v>50</v>
      </c>
      <c r="I173" s="106">
        <v>10</v>
      </c>
      <c r="J173" s="106">
        <v>0</v>
      </c>
      <c r="K173" s="106">
        <v>15000</v>
      </c>
      <c r="L173"/>
      <c r="M173" s="98">
        <f t="shared" si="9"/>
        <v>0</v>
      </c>
      <c r="N173" s="98">
        <f t="shared" si="10"/>
        <v>0</v>
      </c>
      <c r="O173" s="98">
        <f t="shared" si="11"/>
        <v>0</v>
      </c>
      <c r="P173" s="98">
        <f t="shared" si="12"/>
        <v>0</v>
      </c>
    </row>
    <row r="174" ht="30" spans="1:16">
      <c r="A174" s="97"/>
      <c r="B174" s="102" t="s">
        <v>179</v>
      </c>
      <c r="C174" s="102" t="s">
        <v>22</v>
      </c>
      <c r="D174" s="98">
        <v>1</v>
      </c>
      <c r="E174" s="98">
        <v>1</v>
      </c>
      <c r="F174" s="98"/>
      <c r="G174" s="98">
        <v>1800</v>
      </c>
      <c r="H174" s="98">
        <v>1</v>
      </c>
      <c r="I174" s="98">
        <v>1</v>
      </c>
      <c r="J174" s="98">
        <v>0</v>
      </c>
      <c r="K174" s="98">
        <v>1800</v>
      </c>
      <c r="L174"/>
      <c r="M174" s="98">
        <f t="shared" si="9"/>
        <v>0</v>
      </c>
      <c r="N174" s="98">
        <f t="shared" si="10"/>
        <v>0</v>
      </c>
      <c r="O174" s="98">
        <f t="shared" si="11"/>
        <v>0</v>
      </c>
      <c r="P174" s="98">
        <f t="shared" si="12"/>
        <v>0</v>
      </c>
    </row>
    <row r="175" spans="1:16">
      <c r="A175" s="97"/>
      <c r="B175" s="104" t="s">
        <v>504</v>
      </c>
      <c r="C175" s="105"/>
      <c r="D175" s="106">
        <v>1</v>
      </c>
      <c r="E175" s="106">
        <v>1</v>
      </c>
      <c r="F175" s="106"/>
      <c r="G175" s="106">
        <v>1800</v>
      </c>
      <c r="H175" s="106">
        <v>1</v>
      </c>
      <c r="I175" s="106">
        <v>1</v>
      </c>
      <c r="J175" s="106">
        <v>0</v>
      </c>
      <c r="K175" s="106">
        <v>1800</v>
      </c>
      <c r="L175"/>
      <c r="M175" s="98">
        <f t="shared" si="9"/>
        <v>0</v>
      </c>
      <c r="N175" s="98">
        <f t="shared" si="10"/>
        <v>0</v>
      </c>
      <c r="O175" s="98">
        <f t="shared" si="11"/>
        <v>0</v>
      </c>
      <c r="P175" s="98">
        <f t="shared" si="12"/>
        <v>0</v>
      </c>
    </row>
    <row r="176" spans="1:16">
      <c r="A176" s="97"/>
      <c r="B176" s="102" t="s">
        <v>181</v>
      </c>
      <c r="C176" s="102" t="s">
        <v>22</v>
      </c>
      <c r="D176" s="98">
        <v>3</v>
      </c>
      <c r="E176" s="98">
        <v>3</v>
      </c>
      <c r="F176" s="98"/>
      <c r="G176" s="98">
        <v>6300</v>
      </c>
      <c r="H176" s="98">
        <v>3</v>
      </c>
      <c r="I176" s="98">
        <v>3</v>
      </c>
      <c r="J176" s="98">
        <v>0</v>
      </c>
      <c r="K176" s="98">
        <v>6300</v>
      </c>
      <c r="L176"/>
      <c r="M176" s="98">
        <f t="shared" si="9"/>
        <v>0</v>
      </c>
      <c r="N176" s="98">
        <f t="shared" si="10"/>
        <v>0</v>
      </c>
      <c r="O176" s="98">
        <f t="shared" si="11"/>
        <v>0</v>
      </c>
      <c r="P176" s="98">
        <f t="shared" si="12"/>
        <v>0</v>
      </c>
    </row>
    <row r="177" spans="1:16">
      <c r="A177" s="97"/>
      <c r="B177" s="97"/>
      <c r="C177" s="102" t="s">
        <v>43</v>
      </c>
      <c r="D177" s="98">
        <v>5</v>
      </c>
      <c r="E177" s="98">
        <v>5</v>
      </c>
      <c r="F177" s="98"/>
      <c r="G177" s="98">
        <v>10500</v>
      </c>
      <c r="H177" s="98">
        <v>5</v>
      </c>
      <c r="I177" s="98">
        <v>5</v>
      </c>
      <c r="J177" s="98">
        <v>0</v>
      </c>
      <c r="K177" s="98">
        <v>10500</v>
      </c>
      <c r="L177"/>
      <c r="M177" s="98">
        <f t="shared" si="9"/>
        <v>0</v>
      </c>
      <c r="N177" s="98">
        <f t="shared" si="10"/>
        <v>0</v>
      </c>
      <c r="O177" s="98">
        <f t="shared" si="11"/>
        <v>0</v>
      </c>
      <c r="P177" s="98">
        <f t="shared" si="12"/>
        <v>0</v>
      </c>
    </row>
    <row r="178" spans="1:16">
      <c r="A178" s="97"/>
      <c r="B178" s="97"/>
      <c r="C178" s="102" t="s">
        <v>70</v>
      </c>
      <c r="D178" s="98">
        <v>2</v>
      </c>
      <c r="E178" s="98">
        <v>2</v>
      </c>
      <c r="F178" s="98"/>
      <c r="G178" s="98">
        <v>4200</v>
      </c>
      <c r="H178" s="98">
        <v>2</v>
      </c>
      <c r="I178" s="98">
        <v>2</v>
      </c>
      <c r="J178" s="98">
        <v>0</v>
      </c>
      <c r="K178" s="98">
        <v>4200</v>
      </c>
      <c r="L178"/>
      <c r="M178" s="98">
        <f t="shared" si="9"/>
        <v>0</v>
      </c>
      <c r="N178" s="98">
        <f t="shared" si="10"/>
        <v>0</v>
      </c>
      <c r="O178" s="98">
        <f t="shared" si="11"/>
        <v>0</v>
      </c>
      <c r="P178" s="98">
        <f t="shared" si="12"/>
        <v>0</v>
      </c>
    </row>
    <row r="179" spans="1:16">
      <c r="A179" s="97"/>
      <c r="B179" s="104" t="s">
        <v>505</v>
      </c>
      <c r="C179" s="105"/>
      <c r="D179" s="106">
        <v>10</v>
      </c>
      <c r="E179" s="106">
        <v>10</v>
      </c>
      <c r="F179" s="106"/>
      <c r="G179" s="106">
        <v>21000</v>
      </c>
      <c r="H179" s="106">
        <v>10</v>
      </c>
      <c r="I179" s="106">
        <v>10</v>
      </c>
      <c r="J179" s="106">
        <v>0</v>
      </c>
      <c r="K179" s="106">
        <v>21000</v>
      </c>
      <c r="L179"/>
      <c r="M179" s="98">
        <f t="shared" si="9"/>
        <v>0</v>
      </c>
      <c r="N179" s="98">
        <f t="shared" si="10"/>
        <v>0</v>
      </c>
      <c r="O179" s="98">
        <f t="shared" si="11"/>
        <v>0</v>
      </c>
      <c r="P179" s="98">
        <f t="shared" si="12"/>
        <v>0</v>
      </c>
    </row>
    <row r="180" spans="1:16">
      <c r="A180" s="97"/>
      <c r="B180" s="102" t="s">
        <v>183</v>
      </c>
      <c r="C180" s="102" t="s">
        <v>22</v>
      </c>
      <c r="D180" s="98">
        <v>1</v>
      </c>
      <c r="E180" s="98">
        <v>1</v>
      </c>
      <c r="F180" s="98"/>
      <c r="G180" s="98">
        <v>2200</v>
      </c>
      <c r="H180" s="98">
        <v>1</v>
      </c>
      <c r="I180" s="98">
        <v>1</v>
      </c>
      <c r="J180" s="98">
        <v>0</v>
      </c>
      <c r="K180" s="98">
        <v>2200</v>
      </c>
      <c r="L180"/>
      <c r="M180" s="98">
        <f t="shared" si="9"/>
        <v>0</v>
      </c>
      <c r="N180" s="98">
        <f t="shared" si="10"/>
        <v>0</v>
      </c>
      <c r="O180" s="98">
        <f t="shared" si="11"/>
        <v>0</v>
      </c>
      <c r="P180" s="98">
        <f t="shared" si="12"/>
        <v>0</v>
      </c>
    </row>
    <row r="181" spans="1:16">
      <c r="A181" s="97"/>
      <c r="B181" s="97"/>
      <c r="C181" s="102" t="s">
        <v>43</v>
      </c>
      <c r="D181" s="98">
        <v>2</v>
      </c>
      <c r="E181" s="98">
        <v>2</v>
      </c>
      <c r="F181" s="98"/>
      <c r="G181" s="98">
        <v>4400</v>
      </c>
      <c r="H181" s="98">
        <v>2</v>
      </c>
      <c r="I181" s="98">
        <v>2</v>
      </c>
      <c r="J181" s="98">
        <v>0</v>
      </c>
      <c r="K181" s="98">
        <v>4400</v>
      </c>
      <c r="L181"/>
      <c r="M181" s="98">
        <f t="shared" si="9"/>
        <v>0</v>
      </c>
      <c r="N181" s="98">
        <f t="shared" si="10"/>
        <v>0</v>
      </c>
      <c r="O181" s="98">
        <f t="shared" si="11"/>
        <v>0</v>
      </c>
      <c r="P181" s="98">
        <f t="shared" si="12"/>
        <v>0</v>
      </c>
    </row>
    <row r="182" spans="1:16">
      <c r="A182" s="97"/>
      <c r="B182" s="97"/>
      <c r="C182" s="102" t="s">
        <v>63</v>
      </c>
      <c r="D182" s="98">
        <v>1</v>
      </c>
      <c r="E182" s="98">
        <v>1</v>
      </c>
      <c r="F182" s="98"/>
      <c r="G182" s="98">
        <v>2200</v>
      </c>
      <c r="H182" s="98">
        <v>1</v>
      </c>
      <c r="I182" s="98">
        <v>1</v>
      </c>
      <c r="J182" s="98">
        <v>0</v>
      </c>
      <c r="K182" s="98">
        <v>2200</v>
      </c>
      <c r="L182"/>
      <c r="M182" s="98">
        <f t="shared" si="9"/>
        <v>0</v>
      </c>
      <c r="N182" s="98">
        <f t="shared" si="10"/>
        <v>0</v>
      </c>
      <c r="O182" s="98">
        <f t="shared" si="11"/>
        <v>0</v>
      </c>
      <c r="P182" s="98">
        <f t="shared" si="12"/>
        <v>0</v>
      </c>
    </row>
    <row r="183" spans="1:16">
      <c r="A183" s="97"/>
      <c r="B183" s="97"/>
      <c r="C183" s="102" t="s">
        <v>70</v>
      </c>
      <c r="D183" s="98">
        <v>1</v>
      </c>
      <c r="E183" s="98">
        <v>1</v>
      </c>
      <c r="F183" s="98"/>
      <c r="G183" s="98">
        <v>2200</v>
      </c>
      <c r="H183" s="98">
        <v>1</v>
      </c>
      <c r="I183" s="98">
        <v>1</v>
      </c>
      <c r="J183" s="98">
        <v>0</v>
      </c>
      <c r="K183" s="98">
        <v>2200</v>
      </c>
      <c r="L183"/>
      <c r="M183" s="98">
        <f t="shared" si="9"/>
        <v>0</v>
      </c>
      <c r="N183" s="98">
        <f t="shared" si="10"/>
        <v>0</v>
      </c>
      <c r="O183" s="98">
        <f t="shared" si="11"/>
        <v>0</v>
      </c>
      <c r="P183" s="98">
        <f t="shared" si="12"/>
        <v>0</v>
      </c>
    </row>
    <row r="184" spans="1:16">
      <c r="A184" s="97"/>
      <c r="B184" s="104" t="s">
        <v>506</v>
      </c>
      <c r="C184" s="105"/>
      <c r="D184" s="106">
        <v>5</v>
      </c>
      <c r="E184" s="106">
        <v>5</v>
      </c>
      <c r="F184" s="106"/>
      <c r="G184" s="106">
        <v>11000</v>
      </c>
      <c r="H184" s="106">
        <v>5</v>
      </c>
      <c r="I184" s="106">
        <v>5</v>
      </c>
      <c r="J184" s="106">
        <v>0</v>
      </c>
      <c r="K184" s="106">
        <v>11000</v>
      </c>
      <c r="L184"/>
      <c r="M184" s="98">
        <f t="shared" si="9"/>
        <v>0</v>
      </c>
      <c r="N184" s="98">
        <f t="shared" si="10"/>
        <v>0</v>
      </c>
      <c r="O184" s="98">
        <f t="shared" si="11"/>
        <v>0</v>
      </c>
      <c r="P184" s="98">
        <f t="shared" si="12"/>
        <v>0</v>
      </c>
    </row>
    <row r="185" spans="1:16">
      <c r="A185" s="97"/>
      <c r="B185" s="102" t="s">
        <v>185</v>
      </c>
      <c r="C185" s="102" t="s">
        <v>22</v>
      </c>
      <c r="D185" s="98"/>
      <c r="E185" s="98"/>
      <c r="F185" s="98"/>
      <c r="G185" s="98"/>
      <c r="H185" s="98">
        <v>1</v>
      </c>
      <c r="I185" s="98">
        <v>1</v>
      </c>
      <c r="J185" s="98">
        <v>0</v>
      </c>
      <c r="K185" s="98">
        <v>2200</v>
      </c>
      <c r="L185"/>
      <c r="M185" s="98">
        <f t="shared" si="9"/>
        <v>-1</v>
      </c>
      <c r="N185" s="98">
        <f t="shared" si="10"/>
        <v>-1</v>
      </c>
      <c r="O185" s="98">
        <f t="shared" si="11"/>
        <v>0</v>
      </c>
      <c r="P185" s="98">
        <f t="shared" si="12"/>
        <v>-2200</v>
      </c>
    </row>
    <row r="186" spans="1:16">
      <c r="A186" s="97"/>
      <c r="B186" s="97"/>
      <c r="C186" s="102" t="s">
        <v>43</v>
      </c>
      <c r="D186" s="98"/>
      <c r="E186" s="98"/>
      <c r="F186" s="98"/>
      <c r="G186" s="98"/>
      <c r="H186" s="98">
        <v>1</v>
      </c>
      <c r="I186" s="98">
        <v>1</v>
      </c>
      <c r="J186" s="98">
        <v>0</v>
      </c>
      <c r="K186" s="98">
        <v>2200</v>
      </c>
      <c r="L186"/>
      <c r="M186" s="98">
        <f t="shared" si="9"/>
        <v>-1</v>
      </c>
      <c r="N186" s="98">
        <f t="shared" si="10"/>
        <v>-1</v>
      </c>
      <c r="O186" s="98">
        <f t="shared" si="11"/>
        <v>0</v>
      </c>
      <c r="P186" s="98">
        <f t="shared" si="12"/>
        <v>-2200</v>
      </c>
    </row>
    <row r="187" spans="1:16">
      <c r="A187" s="97"/>
      <c r="B187" s="104" t="s">
        <v>507</v>
      </c>
      <c r="C187" s="105"/>
      <c r="D187" s="106"/>
      <c r="E187" s="106"/>
      <c r="F187" s="106"/>
      <c r="G187" s="106"/>
      <c r="H187" s="106">
        <v>2</v>
      </c>
      <c r="I187" s="106">
        <v>2</v>
      </c>
      <c r="J187" s="106">
        <v>0</v>
      </c>
      <c r="K187" s="106">
        <v>4400</v>
      </c>
      <c r="L187"/>
      <c r="M187" s="98">
        <f t="shared" si="9"/>
        <v>-2</v>
      </c>
      <c r="N187" s="98">
        <f t="shared" si="10"/>
        <v>-2</v>
      </c>
      <c r="O187" s="98">
        <f t="shared" si="11"/>
        <v>0</v>
      </c>
      <c r="P187" s="98">
        <f t="shared" si="12"/>
        <v>-4400</v>
      </c>
    </row>
    <row r="188" spans="1:16">
      <c r="A188" s="97"/>
      <c r="B188" s="102" t="s">
        <v>194</v>
      </c>
      <c r="C188" s="102" t="s">
        <v>43</v>
      </c>
      <c r="D188" s="98">
        <v>2</v>
      </c>
      <c r="E188" s="98">
        <v>2</v>
      </c>
      <c r="F188" s="98"/>
      <c r="G188" s="98">
        <v>2000</v>
      </c>
      <c r="H188" s="98">
        <v>2</v>
      </c>
      <c r="I188" s="98">
        <v>2</v>
      </c>
      <c r="J188" s="98">
        <v>0</v>
      </c>
      <c r="K188" s="98">
        <v>2000</v>
      </c>
      <c r="L188"/>
      <c r="M188" s="98">
        <f t="shared" si="9"/>
        <v>0</v>
      </c>
      <c r="N188" s="98">
        <f t="shared" si="10"/>
        <v>0</v>
      </c>
      <c r="O188" s="98">
        <f t="shared" si="11"/>
        <v>0</v>
      </c>
      <c r="P188" s="98">
        <f t="shared" si="12"/>
        <v>0</v>
      </c>
    </row>
    <row r="189" spans="1:16">
      <c r="A189" s="97"/>
      <c r="B189" s="97"/>
      <c r="C189" s="102" t="s">
        <v>70</v>
      </c>
      <c r="D189" s="98">
        <v>3</v>
      </c>
      <c r="E189" s="98">
        <v>3</v>
      </c>
      <c r="F189" s="98"/>
      <c r="G189" s="98">
        <v>3000</v>
      </c>
      <c r="H189" s="98">
        <v>3</v>
      </c>
      <c r="I189" s="98">
        <v>3</v>
      </c>
      <c r="J189" s="98">
        <v>0</v>
      </c>
      <c r="K189" s="98">
        <v>3000</v>
      </c>
      <c r="L189"/>
      <c r="M189" s="98">
        <f t="shared" si="9"/>
        <v>0</v>
      </c>
      <c r="N189" s="98">
        <f t="shared" si="10"/>
        <v>0</v>
      </c>
      <c r="O189" s="98">
        <f t="shared" si="11"/>
        <v>0</v>
      </c>
      <c r="P189" s="98">
        <f t="shared" si="12"/>
        <v>0</v>
      </c>
    </row>
    <row r="190" spans="1:16">
      <c r="A190" s="97"/>
      <c r="B190" s="104" t="s">
        <v>508</v>
      </c>
      <c r="C190" s="105"/>
      <c r="D190" s="106">
        <v>5</v>
      </c>
      <c r="E190" s="106">
        <v>5</v>
      </c>
      <c r="F190" s="106"/>
      <c r="G190" s="106">
        <v>5000</v>
      </c>
      <c r="H190" s="106">
        <v>5</v>
      </c>
      <c r="I190" s="106">
        <v>5</v>
      </c>
      <c r="J190" s="106">
        <v>0</v>
      </c>
      <c r="K190" s="106">
        <v>5000</v>
      </c>
      <c r="L190"/>
      <c r="M190" s="98">
        <f t="shared" si="9"/>
        <v>0</v>
      </c>
      <c r="N190" s="98">
        <f t="shared" si="10"/>
        <v>0</v>
      </c>
      <c r="O190" s="98">
        <f t="shared" si="11"/>
        <v>0</v>
      </c>
      <c r="P190" s="98">
        <f t="shared" si="12"/>
        <v>0</v>
      </c>
    </row>
    <row r="191" ht="30" spans="1:16">
      <c r="A191" s="97"/>
      <c r="B191" s="102" t="s">
        <v>196</v>
      </c>
      <c r="C191" s="102" t="s">
        <v>43</v>
      </c>
      <c r="D191" s="98">
        <v>20</v>
      </c>
      <c r="E191" s="98">
        <v>3</v>
      </c>
      <c r="F191" s="98"/>
      <c r="G191" s="98">
        <v>4000</v>
      </c>
      <c r="H191" s="98">
        <v>20</v>
      </c>
      <c r="I191" s="98">
        <v>3</v>
      </c>
      <c r="J191" s="98">
        <v>0</v>
      </c>
      <c r="K191" s="98">
        <v>4000</v>
      </c>
      <c r="L191"/>
      <c r="M191" s="98">
        <f t="shared" si="9"/>
        <v>0</v>
      </c>
      <c r="N191" s="98">
        <f t="shared" si="10"/>
        <v>0</v>
      </c>
      <c r="O191" s="98">
        <f t="shared" si="11"/>
        <v>0</v>
      </c>
      <c r="P191" s="98">
        <f t="shared" si="12"/>
        <v>0</v>
      </c>
    </row>
    <row r="192" spans="1:16">
      <c r="A192" s="97"/>
      <c r="B192" s="104" t="s">
        <v>509</v>
      </c>
      <c r="C192" s="105"/>
      <c r="D192" s="106">
        <v>20</v>
      </c>
      <c r="E192" s="106">
        <v>3</v>
      </c>
      <c r="F192" s="106"/>
      <c r="G192" s="106">
        <v>4000</v>
      </c>
      <c r="H192" s="106">
        <v>20</v>
      </c>
      <c r="I192" s="106">
        <v>3</v>
      </c>
      <c r="J192" s="106">
        <v>0</v>
      </c>
      <c r="K192" s="106">
        <v>4000</v>
      </c>
      <c r="L192"/>
      <c r="M192" s="98">
        <f t="shared" si="9"/>
        <v>0</v>
      </c>
      <c r="N192" s="98">
        <f t="shared" si="10"/>
        <v>0</v>
      </c>
      <c r="O192" s="98">
        <f t="shared" si="11"/>
        <v>0</v>
      </c>
      <c r="P192" s="98">
        <f t="shared" si="12"/>
        <v>0</v>
      </c>
    </row>
    <row r="193" ht="30" spans="1:16">
      <c r="A193" s="97"/>
      <c r="B193" s="102" t="s">
        <v>198</v>
      </c>
      <c r="C193" s="102" t="s">
        <v>43</v>
      </c>
      <c r="D193" s="98">
        <v>1</v>
      </c>
      <c r="E193" s="98">
        <v>1</v>
      </c>
      <c r="F193" s="98"/>
      <c r="G193" s="98">
        <v>20000</v>
      </c>
      <c r="H193" s="98">
        <v>1</v>
      </c>
      <c r="I193" s="98">
        <v>1</v>
      </c>
      <c r="J193" s="98">
        <v>0</v>
      </c>
      <c r="K193" s="98">
        <v>20000</v>
      </c>
      <c r="L193"/>
      <c r="M193" s="98">
        <f t="shared" si="9"/>
        <v>0</v>
      </c>
      <c r="N193" s="98">
        <f t="shared" si="10"/>
        <v>0</v>
      </c>
      <c r="O193" s="98">
        <f t="shared" si="11"/>
        <v>0</v>
      </c>
      <c r="P193" s="98">
        <f t="shared" si="12"/>
        <v>0</v>
      </c>
    </row>
    <row r="194" spans="1:16">
      <c r="A194" s="97"/>
      <c r="B194" s="104" t="s">
        <v>510</v>
      </c>
      <c r="C194" s="105"/>
      <c r="D194" s="106">
        <v>1</v>
      </c>
      <c r="E194" s="106">
        <v>1</v>
      </c>
      <c r="F194" s="106"/>
      <c r="G194" s="106">
        <v>20000</v>
      </c>
      <c r="H194" s="106">
        <v>1</v>
      </c>
      <c r="I194" s="106">
        <v>1</v>
      </c>
      <c r="J194" s="106">
        <v>0</v>
      </c>
      <c r="K194" s="106">
        <v>20000</v>
      </c>
      <c r="L194"/>
      <c r="M194" s="98">
        <f t="shared" si="9"/>
        <v>0</v>
      </c>
      <c r="N194" s="98">
        <f t="shared" si="10"/>
        <v>0</v>
      </c>
      <c r="O194" s="98">
        <f t="shared" si="11"/>
        <v>0</v>
      </c>
      <c r="P194" s="98">
        <f t="shared" si="12"/>
        <v>0</v>
      </c>
    </row>
    <row r="195" spans="1:16">
      <c r="A195" s="97"/>
      <c r="B195" s="102" t="s">
        <v>441</v>
      </c>
      <c r="C195" s="102" t="s">
        <v>22</v>
      </c>
      <c r="D195" s="98">
        <v>1</v>
      </c>
      <c r="E195" s="98">
        <v>1</v>
      </c>
      <c r="F195" s="98"/>
      <c r="G195" s="98">
        <v>2200</v>
      </c>
      <c r="H195" s="98"/>
      <c r="I195" s="98"/>
      <c r="J195" s="98"/>
      <c r="K195" s="98"/>
      <c r="L195"/>
      <c r="M195" s="98">
        <f t="shared" si="9"/>
        <v>1</v>
      </c>
      <c r="N195" s="98">
        <f t="shared" si="10"/>
        <v>1</v>
      </c>
      <c r="O195" s="98">
        <f t="shared" si="11"/>
        <v>0</v>
      </c>
      <c r="P195" s="98">
        <f t="shared" si="12"/>
        <v>2200</v>
      </c>
    </row>
    <row r="196" spans="1:16">
      <c r="A196" s="97"/>
      <c r="B196" s="97"/>
      <c r="C196" s="102" t="s">
        <v>43</v>
      </c>
      <c r="D196" s="98">
        <v>1</v>
      </c>
      <c r="E196" s="98">
        <v>1</v>
      </c>
      <c r="F196" s="98"/>
      <c r="G196" s="98">
        <v>2200</v>
      </c>
      <c r="H196" s="98"/>
      <c r="I196" s="98"/>
      <c r="J196" s="98"/>
      <c r="K196" s="98"/>
      <c r="L196"/>
      <c r="M196" s="98">
        <f t="shared" si="9"/>
        <v>1</v>
      </c>
      <c r="N196" s="98">
        <f t="shared" si="10"/>
        <v>1</v>
      </c>
      <c r="O196" s="98">
        <f t="shared" si="11"/>
        <v>0</v>
      </c>
      <c r="P196" s="98">
        <f t="shared" si="12"/>
        <v>2200</v>
      </c>
    </row>
    <row r="197" spans="1:16">
      <c r="A197" s="97"/>
      <c r="B197" s="104" t="s">
        <v>511</v>
      </c>
      <c r="C197" s="105"/>
      <c r="D197" s="106">
        <v>2</v>
      </c>
      <c r="E197" s="106">
        <v>2</v>
      </c>
      <c r="F197" s="106"/>
      <c r="G197" s="106">
        <v>4400</v>
      </c>
      <c r="H197" s="106"/>
      <c r="I197" s="106"/>
      <c r="J197" s="106"/>
      <c r="K197" s="106"/>
      <c r="L197"/>
      <c r="M197" s="98">
        <f t="shared" si="9"/>
        <v>2</v>
      </c>
      <c r="N197" s="98">
        <f t="shared" si="10"/>
        <v>2</v>
      </c>
      <c r="O197" s="98">
        <f t="shared" si="11"/>
        <v>0</v>
      </c>
      <c r="P197" s="98">
        <f t="shared" si="12"/>
        <v>4400</v>
      </c>
    </row>
    <row r="198" ht="30" spans="1:16">
      <c r="A198" s="97"/>
      <c r="B198" s="102" t="s">
        <v>440</v>
      </c>
      <c r="C198" s="102" t="s">
        <v>43</v>
      </c>
      <c r="D198" s="98">
        <v>1</v>
      </c>
      <c r="E198" s="98">
        <v>1</v>
      </c>
      <c r="F198" s="98"/>
      <c r="G198" s="98">
        <v>5000</v>
      </c>
      <c r="H198" s="98"/>
      <c r="I198" s="98"/>
      <c r="J198" s="98"/>
      <c r="K198" s="98"/>
      <c r="L198"/>
      <c r="M198" s="98">
        <f t="shared" si="9"/>
        <v>1</v>
      </c>
      <c r="N198" s="98">
        <f t="shared" si="10"/>
        <v>1</v>
      </c>
      <c r="O198" s="98">
        <f t="shared" si="11"/>
        <v>0</v>
      </c>
      <c r="P198" s="98">
        <f t="shared" si="12"/>
        <v>5000</v>
      </c>
    </row>
    <row r="199" spans="1:16">
      <c r="A199" s="97"/>
      <c r="B199" s="104" t="s">
        <v>512</v>
      </c>
      <c r="C199" s="105"/>
      <c r="D199" s="106">
        <v>1</v>
      </c>
      <c r="E199" s="106">
        <v>1</v>
      </c>
      <c r="F199" s="106"/>
      <c r="G199" s="106">
        <v>5000</v>
      </c>
      <c r="H199" s="106"/>
      <c r="I199" s="106"/>
      <c r="J199" s="106"/>
      <c r="K199" s="106"/>
      <c r="L199"/>
      <c r="M199" s="98">
        <f t="shared" si="9"/>
        <v>1</v>
      </c>
      <c r="N199" s="98">
        <f t="shared" si="10"/>
        <v>1</v>
      </c>
      <c r="O199" s="98">
        <f t="shared" si="11"/>
        <v>0</v>
      </c>
      <c r="P199" s="98">
        <f t="shared" si="12"/>
        <v>5000</v>
      </c>
    </row>
    <row r="200" spans="1:16">
      <c r="A200" s="102" t="s">
        <v>513</v>
      </c>
      <c r="B200" s="97"/>
      <c r="C200" s="97"/>
      <c r="D200" s="98">
        <v>118</v>
      </c>
      <c r="E200" s="98">
        <v>59</v>
      </c>
      <c r="F200" s="98"/>
      <c r="G200" s="98">
        <v>122600</v>
      </c>
      <c r="H200" s="98">
        <v>118</v>
      </c>
      <c r="I200" s="98">
        <v>61</v>
      </c>
      <c r="J200" s="98">
        <v>0</v>
      </c>
      <c r="K200" s="98">
        <v>122600</v>
      </c>
      <c r="L200"/>
      <c r="M200" s="98">
        <f t="shared" si="9"/>
        <v>0</v>
      </c>
      <c r="N200" s="98">
        <f t="shared" si="10"/>
        <v>-2</v>
      </c>
      <c r="O200" s="98">
        <f t="shared" si="11"/>
        <v>0</v>
      </c>
      <c r="P200" s="98">
        <f t="shared" si="12"/>
        <v>0</v>
      </c>
    </row>
    <row r="201" spans="1:16">
      <c r="A201" s="102" t="s">
        <v>208</v>
      </c>
      <c r="B201" s="102" t="s">
        <v>210</v>
      </c>
      <c r="C201" s="102" t="s">
        <v>22</v>
      </c>
      <c r="D201" s="98">
        <v>100</v>
      </c>
      <c r="E201" s="98">
        <v>10</v>
      </c>
      <c r="F201" s="98"/>
      <c r="G201" s="98">
        <v>10000</v>
      </c>
      <c r="H201" s="98">
        <v>100</v>
      </c>
      <c r="I201" s="98">
        <v>10</v>
      </c>
      <c r="J201" s="98">
        <v>0</v>
      </c>
      <c r="K201" s="98">
        <v>10000</v>
      </c>
      <c r="L201"/>
      <c r="M201" s="98">
        <f t="shared" si="9"/>
        <v>0</v>
      </c>
      <c r="N201" s="98">
        <f t="shared" si="10"/>
        <v>0</v>
      </c>
      <c r="O201" s="98">
        <f t="shared" si="11"/>
        <v>0</v>
      </c>
      <c r="P201" s="98">
        <f t="shared" si="12"/>
        <v>0</v>
      </c>
    </row>
    <row r="202" spans="1:16">
      <c r="A202" s="97"/>
      <c r="B202" s="97"/>
      <c r="C202" s="102" t="s">
        <v>43</v>
      </c>
      <c r="D202" s="98">
        <v>120</v>
      </c>
      <c r="E202" s="98">
        <v>12</v>
      </c>
      <c r="F202" s="98"/>
      <c r="G202" s="98">
        <v>12000</v>
      </c>
      <c r="H202" s="98">
        <v>120</v>
      </c>
      <c r="I202" s="98">
        <v>12</v>
      </c>
      <c r="J202" s="98">
        <v>0</v>
      </c>
      <c r="K202" s="98">
        <v>12000</v>
      </c>
      <c r="L202"/>
      <c r="M202" s="98">
        <f t="shared" si="9"/>
        <v>0</v>
      </c>
      <c r="N202" s="98">
        <f t="shared" si="10"/>
        <v>0</v>
      </c>
      <c r="O202" s="98">
        <f t="shared" si="11"/>
        <v>0</v>
      </c>
      <c r="P202" s="98">
        <f t="shared" si="12"/>
        <v>0</v>
      </c>
    </row>
    <row r="203" spans="1:16">
      <c r="A203" s="97"/>
      <c r="B203" s="97"/>
      <c r="C203" s="102" t="s">
        <v>70</v>
      </c>
      <c r="D203" s="98">
        <v>30</v>
      </c>
      <c r="E203" s="98">
        <v>3</v>
      </c>
      <c r="F203" s="98"/>
      <c r="G203" s="98">
        <v>3000</v>
      </c>
      <c r="H203" s="98">
        <v>30</v>
      </c>
      <c r="I203" s="98">
        <v>3</v>
      </c>
      <c r="J203" s="98">
        <v>0</v>
      </c>
      <c r="K203" s="98">
        <v>3000</v>
      </c>
      <c r="L203"/>
      <c r="M203" s="98">
        <f t="shared" ref="M203:M230" si="13">+D203-H203</f>
        <v>0</v>
      </c>
      <c r="N203" s="98">
        <f t="shared" ref="N203:N230" si="14">+E203-I203</f>
        <v>0</v>
      </c>
      <c r="O203" s="98">
        <f t="shared" ref="O203:O230" si="15">+F203-J203</f>
        <v>0</v>
      </c>
      <c r="P203" s="98">
        <f t="shared" ref="P203:P230" si="16">+G203-K203</f>
        <v>0</v>
      </c>
    </row>
    <row r="204" spans="1:16">
      <c r="A204" s="97"/>
      <c r="B204" s="104" t="s">
        <v>514</v>
      </c>
      <c r="C204" s="105"/>
      <c r="D204" s="106">
        <v>250</v>
      </c>
      <c r="E204" s="106">
        <v>25</v>
      </c>
      <c r="F204" s="106"/>
      <c r="G204" s="106">
        <v>25000</v>
      </c>
      <c r="H204" s="106">
        <v>250</v>
      </c>
      <c r="I204" s="106">
        <v>25</v>
      </c>
      <c r="J204" s="106">
        <v>0</v>
      </c>
      <c r="K204" s="106">
        <v>25000</v>
      </c>
      <c r="L204"/>
      <c r="M204" s="98">
        <f t="shared" si="13"/>
        <v>0</v>
      </c>
      <c r="N204" s="98">
        <f t="shared" si="14"/>
        <v>0</v>
      </c>
      <c r="O204" s="98">
        <f t="shared" si="15"/>
        <v>0</v>
      </c>
      <c r="P204" s="98">
        <f t="shared" si="16"/>
        <v>0</v>
      </c>
    </row>
    <row r="205" spans="1:16">
      <c r="A205" s="97"/>
      <c r="B205" s="102" t="s">
        <v>212</v>
      </c>
      <c r="C205" s="102" t="s">
        <v>22</v>
      </c>
      <c r="D205" s="98">
        <v>2</v>
      </c>
      <c r="E205" s="98">
        <v>2</v>
      </c>
      <c r="F205" s="98"/>
      <c r="G205" s="98">
        <v>4000</v>
      </c>
      <c r="H205" s="98">
        <v>2</v>
      </c>
      <c r="I205" s="98">
        <v>2</v>
      </c>
      <c r="J205" s="98">
        <v>0</v>
      </c>
      <c r="K205" s="98">
        <v>4000</v>
      </c>
      <c r="L205"/>
      <c r="M205" s="98">
        <f t="shared" si="13"/>
        <v>0</v>
      </c>
      <c r="N205" s="98">
        <f t="shared" si="14"/>
        <v>0</v>
      </c>
      <c r="O205" s="98">
        <f t="shared" si="15"/>
        <v>0</v>
      </c>
      <c r="P205" s="98">
        <f t="shared" si="16"/>
        <v>0</v>
      </c>
    </row>
    <row r="206" spans="1:16">
      <c r="A206" s="97"/>
      <c r="B206" s="97"/>
      <c r="C206" s="102" t="s">
        <v>43</v>
      </c>
      <c r="D206" s="98">
        <v>2</v>
      </c>
      <c r="E206" s="98">
        <v>2</v>
      </c>
      <c r="F206" s="98"/>
      <c r="G206" s="98">
        <v>4000</v>
      </c>
      <c r="H206" s="98">
        <v>2</v>
      </c>
      <c r="I206" s="98">
        <v>2</v>
      </c>
      <c r="J206" s="98">
        <v>0</v>
      </c>
      <c r="K206" s="98">
        <v>4000</v>
      </c>
      <c r="L206"/>
      <c r="M206" s="98">
        <f t="shared" si="13"/>
        <v>0</v>
      </c>
      <c r="N206" s="98">
        <f t="shared" si="14"/>
        <v>0</v>
      </c>
      <c r="O206" s="98">
        <f t="shared" si="15"/>
        <v>0</v>
      </c>
      <c r="P206" s="98">
        <f t="shared" si="16"/>
        <v>0</v>
      </c>
    </row>
    <row r="207" spans="1:16">
      <c r="A207" s="97"/>
      <c r="B207" s="97"/>
      <c r="C207" s="102" t="s">
        <v>70</v>
      </c>
      <c r="D207" s="98">
        <v>1</v>
      </c>
      <c r="E207" s="98">
        <v>1</v>
      </c>
      <c r="F207" s="98"/>
      <c r="G207" s="98">
        <v>2000</v>
      </c>
      <c r="H207" s="98">
        <v>1</v>
      </c>
      <c r="I207" s="98">
        <v>1</v>
      </c>
      <c r="J207" s="98">
        <v>0</v>
      </c>
      <c r="K207" s="98">
        <v>2000</v>
      </c>
      <c r="L207"/>
      <c r="M207" s="98">
        <f t="shared" si="13"/>
        <v>0</v>
      </c>
      <c r="N207" s="98">
        <f t="shared" si="14"/>
        <v>0</v>
      </c>
      <c r="O207" s="98">
        <f t="shared" si="15"/>
        <v>0</v>
      </c>
      <c r="P207" s="98">
        <f t="shared" si="16"/>
        <v>0</v>
      </c>
    </row>
    <row r="208" spans="1:16">
      <c r="A208" s="97"/>
      <c r="B208" s="104" t="s">
        <v>515</v>
      </c>
      <c r="C208" s="105"/>
      <c r="D208" s="106">
        <v>5</v>
      </c>
      <c r="E208" s="106">
        <v>5</v>
      </c>
      <c r="F208" s="106"/>
      <c r="G208" s="106">
        <v>10000</v>
      </c>
      <c r="H208" s="106">
        <v>5</v>
      </c>
      <c r="I208" s="106">
        <v>5</v>
      </c>
      <c r="J208" s="106">
        <v>0</v>
      </c>
      <c r="K208" s="106">
        <v>10000</v>
      </c>
      <c r="L208"/>
      <c r="M208" s="98">
        <f t="shared" si="13"/>
        <v>0</v>
      </c>
      <c r="N208" s="98">
        <f t="shared" si="14"/>
        <v>0</v>
      </c>
      <c r="O208" s="98">
        <f t="shared" si="15"/>
        <v>0</v>
      </c>
      <c r="P208" s="98">
        <f t="shared" si="16"/>
        <v>0</v>
      </c>
    </row>
    <row r="209" spans="1:16">
      <c r="A209" s="97"/>
      <c r="B209" s="102" t="s">
        <v>214</v>
      </c>
      <c r="C209" s="102" t="s">
        <v>22</v>
      </c>
      <c r="D209" s="98">
        <v>300</v>
      </c>
      <c r="E209" s="98"/>
      <c r="F209" s="98"/>
      <c r="G209" s="98"/>
      <c r="H209" s="98">
        <v>300</v>
      </c>
      <c r="I209" s="98"/>
      <c r="J209" s="98">
        <v>0</v>
      </c>
      <c r="K209" s="98"/>
      <c r="L209"/>
      <c r="M209" s="98">
        <f t="shared" si="13"/>
        <v>0</v>
      </c>
      <c r="N209" s="98">
        <f t="shared" si="14"/>
        <v>0</v>
      </c>
      <c r="O209" s="98">
        <f t="shared" si="15"/>
        <v>0</v>
      </c>
      <c r="P209" s="98">
        <f t="shared" si="16"/>
        <v>0</v>
      </c>
    </row>
    <row r="210" spans="1:16">
      <c r="A210" s="97"/>
      <c r="B210" s="97"/>
      <c r="C210" s="102" t="s">
        <v>43</v>
      </c>
      <c r="D210" s="98">
        <v>360</v>
      </c>
      <c r="E210" s="98"/>
      <c r="F210" s="98"/>
      <c r="G210" s="98"/>
      <c r="H210" s="98">
        <v>360</v>
      </c>
      <c r="I210" s="98"/>
      <c r="J210" s="98">
        <v>0</v>
      </c>
      <c r="K210" s="98"/>
      <c r="L210"/>
      <c r="M210" s="98">
        <f t="shared" si="13"/>
        <v>0</v>
      </c>
      <c r="N210" s="98">
        <f t="shared" si="14"/>
        <v>0</v>
      </c>
      <c r="O210" s="98">
        <f t="shared" si="15"/>
        <v>0</v>
      </c>
      <c r="P210" s="98">
        <f t="shared" si="16"/>
        <v>0</v>
      </c>
    </row>
    <row r="211" spans="1:16">
      <c r="A211" s="97"/>
      <c r="B211" s="97"/>
      <c r="C211" s="102" t="s">
        <v>70</v>
      </c>
      <c r="D211" s="98">
        <v>90</v>
      </c>
      <c r="E211" s="98"/>
      <c r="F211" s="98"/>
      <c r="G211" s="98"/>
      <c r="H211" s="98">
        <v>90</v>
      </c>
      <c r="I211" s="98"/>
      <c r="J211" s="98">
        <v>0</v>
      </c>
      <c r="K211" s="98"/>
      <c r="L211"/>
      <c r="M211" s="98">
        <f t="shared" si="13"/>
        <v>0</v>
      </c>
      <c r="N211" s="98">
        <f t="shared" si="14"/>
        <v>0</v>
      </c>
      <c r="O211" s="98">
        <f t="shared" si="15"/>
        <v>0</v>
      </c>
      <c r="P211" s="98">
        <f t="shared" si="16"/>
        <v>0</v>
      </c>
    </row>
    <row r="212" spans="1:16">
      <c r="A212" s="97"/>
      <c r="B212" s="104" t="s">
        <v>516</v>
      </c>
      <c r="C212" s="105"/>
      <c r="D212" s="106">
        <v>750</v>
      </c>
      <c r="E212" s="106"/>
      <c r="F212" s="106"/>
      <c r="G212" s="106"/>
      <c r="H212" s="106">
        <v>750</v>
      </c>
      <c r="I212" s="106"/>
      <c r="J212" s="106">
        <v>0</v>
      </c>
      <c r="K212" s="106"/>
      <c r="L212"/>
      <c r="M212" s="98">
        <f t="shared" si="13"/>
        <v>0</v>
      </c>
      <c r="N212" s="98">
        <f t="shared" si="14"/>
        <v>0</v>
      </c>
      <c r="O212" s="98">
        <f t="shared" si="15"/>
        <v>0</v>
      </c>
      <c r="P212" s="98">
        <f t="shared" si="16"/>
        <v>0</v>
      </c>
    </row>
    <row r="213" spans="1:16">
      <c r="A213" s="97"/>
      <c r="B213" s="102" t="s">
        <v>216</v>
      </c>
      <c r="C213" s="102" t="s">
        <v>22</v>
      </c>
      <c r="D213" s="98">
        <v>4</v>
      </c>
      <c r="E213" s="98"/>
      <c r="F213" s="98"/>
      <c r="G213" s="98"/>
      <c r="H213" s="98">
        <v>4</v>
      </c>
      <c r="I213" s="98"/>
      <c r="J213" s="98">
        <v>0</v>
      </c>
      <c r="K213" s="98"/>
      <c r="L213"/>
      <c r="M213" s="98">
        <f t="shared" si="13"/>
        <v>0</v>
      </c>
      <c r="N213" s="98">
        <f t="shared" si="14"/>
        <v>0</v>
      </c>
      <c r="O213" s="98">
        <f t="shared" si="15"/>
        <v>0</v>
      </c>
      <c r="P213" s="98">
        <f t="shared" si="16"/>
        <v>0</v>
      </c>
    </row>
    <row r="214" spans="1:16">
      <c r="A214" s="97"/>
      <c r="B214" s="97"/>
      <c r="C214" s="102" t="s">
        <v>43</v>
      </c>
      <c r="D214" s="98">
        <v>4</v>
      </c>
      <c r="E214" s="98"/>
      <c r="F214" s="98"/>
      <c r="G214" s="98"/>
      <c r="H214" s="98">
        <v>4</v>
      </c>
      <c r="I214" s="98"/>
      <c r="J214" s="98">
        <v>0</v>
      </c>
      <c r="K214" s="98"/>
      <c r="L214"/>
      <c r="M214" s="98">
        <f t="shared" si="13"/>
        <v>0</v>
      </c>
      <c r="N214" s="98">
        <f t="shared" si="14"/>
        <v>0</v>
      </c>
      <c r="O214" s="98">
        <f t="shared" si="15"/>
        <v>0</v>
      </c>
      <c r="P214" s="98">
        <f t="shared" si="16"/>
        <v>0</v>
      </c>
    </row>
    <row r="215" spans="1:16">
      <c r="A215" s="97"/>
      <c r="B215" s="97"/>
      <c r="C215" s="102" t="s">
        <v>70</v>
      </c>
      <c r="D215" s="98">
        <v>2</v>
      </c>
      <c r="E215" s="98"/>
      <c r="F215" s="98"/>
      <c r="G215" s="98"/>
      <c r="H215" s="98">
        <v>2</v>
      </c>
      <c r="I215" s="98"/>
      <c r="J215" s="98">
        <v>0</v>
      </c>
      <c r="K215" s="98"/>
      <c r="L215"/>
      <c r="M215" s="98">
        <f t="shared" si="13"/>
        <v>0</v>
      </c>
      <c r="N215" s="98">
        <f t="shared" si="14"/>
        <v>0</v>
      </c>
      <c r="O215" s="98">
        <f t="shared" si="15"/>
        <v>0</v>
      </c>
      <c r="P215" s="98">
        <f t="shared" si="16"/>
        <v>0</v>
      </c>
    </row>
    <row r="216" spans="1:16">
      <c r="A216" s="97"/>
      <c r="B216" s="104" t="s">
        <v>517</v>
      </c>
      <c r="C216" s="105"/>
      <c r="D216" s="106">
        <v>10</v>
      </c>
      <c r="E216" s="106"/>
      <c r="F216" s="106"/>
      <c r="G216" s="106"/>
      <c r="H216" s="106">
        <v>10</v>
      </c>
      <c r="I216" s="106"/>
      <c r="J216" s="106">
        <v>0</v>
      </c>
      <c r="K216" s="106"/>
      <c r="L216"/>
      <c r="M216" s="98">
        <f t="shared" si="13"/>
        <v>0</v>
      </c>
      <c r="N216" s="98">
        <f t="shared" si="14"/>
        <v>0</v>
      </c>
      <c r="O216" s="98">
        <f t="shared" si="15"/>
        <v>0</v>
      </c>
      <c r="P216" s="98">
        <f t="shared" si="16"/>
        <v>0</v>
      </c>
    </row>
    <row r="217" spans="1:16">
      <c r="A217" s="102" t="s">
        <v>518</v>
      </c>
      <c r="B217" s="97"/>
      <c r="C217" s="97"/>
      <c r="D217" s="98">
        <v>1015</v>
      </c>
      <c r="E217" s="98">
        <v>30</v>
      </c>
      <c r="F217" s="98"/>
      <c r="G217" s="98">
        <v>35000</v>
      </c>
      <c r="H217" s="98">
        <v>1015</v>
      </c>
      <c r="I217" s="98">
        <v>30</v>
      </c>
      <c r="J217" s="98">
        <v>0</v>
      </c>
      <c r="K217" s="98">
        <v>35000</v>
      </c>
      <c r="L217"/>
      <c r="M217" s="98">
        <f t="shared" si="13"/>
        <v>0</v>
      </c>
      <c r="N217" s="98">
        <f t="shared" si="14"/>
        <v>0</v>
      </c>
      <c r="O217" s="98">
        <f t="shared" si="15"/>
        <v>0</v>
      </c>
      <c r="P217" s="98">
        <f t="shared" si="16"/>
        <v>0</v>
      </c>
    </row>
    <row r="218" spans="1:16">
      <c r="A218" s="102" t="s">
        <v>225</v>
      </c>
      <c r="B218" s="102" t="s">
        <v>227</v>
      </c>
      <c r="C218" s="102" t="s">
        <v>78</v>
      </c>
      <c r="D218" s="98">
        <v>40</v>
      </c>
      <c r="E218" s="98"/>
      <c r="F218" s="98"/>
      <c r="G218" s="98">
        <v>10000</v>
      </c>
      <c r="H218" s="98">
        <v>720</v>
      </c>
      <c r="I218" s="98"/>
      <c r="J218" s="98">
        <v>0</v>
      </c>
      <c r="K218" s="98">
        <v>15000</v>
      </c>
      <c r="L218"/>
      <c r="M218" s="98">
        <f t="shared" si="13"/>
        <v>-680</v>
      </c>
      <c r="N218" s="98">
        <f t="shared" si="14"/>
        <v>0</v>
      </c>
      <c r="O218" s="98">
        <f t="shared" si="15"/>
        <v>0</v>
      </c>
      <c r="P218" s="98">
        <f t="shared" si="16"/>
        <v>-5000</v>
      </c>
    </row>
    <row r="219" spans="1:16">
      <c r="A219" s="97"/>
      <c r="B219" s="104" t="s">
        <v>519</v>
      </c>
      <c r="C219" s="105"/>
      <c r="D219" s="106">
        <v>40</v>
      </c>
      <c r="E219" s="106"/>
      <c r="F219" s="106"/>
      <c r="G219" s="106">
        <v>10000</v>
      </c>
      <c r="H219" s="106">
        <v>720</v>
      </c>
      <c r="I219" s="106"/>
      <c r="J219" s="106">
        <v>0</v>
      </c>
      <c r="K219" s="106">
        <v>15000</v>
      </c>
      <c r="L219"/>
      <c r="M219" s="98">
        <f t="shared" si="13"/>
        <v>-680</v>
      </c>
      <c r="N219" s="98">
        <f t="shared" si="14"/>
        <v>0</v>
      </c>
      <c r="O219" s="98">
        <f t="shared" si="15"/>
        <v>0</v>
      </c>
      <c r="P219" s="98">
        <f t="shared" si="16"/>
        <v>-5000</v>
      </c>
    </row>
    <row r="220" spans="1:16">
      <c r="A220" s="97"/>
      <c r="B220" s="102" t="s">
        <v>229</v>
      </c>
      <c r="C220" s="102" t="s">
        <v>78</v>
      </c>
      <c r="D220" s="98">
        <v>12</v>
      </c>
      <c r="E220" s="98"/>
      <c r="F220" s="98"/>
      <c r="G220" s="98">
        <v>2000</v>
      </c>
      <c r="H220" s="98">
        <v>12</v>
      </c>
      <c r="I220" s="98"/>
      <c r="J220" s="98">
        <v>0</v>
      </c>
      <c r="K220" s="98">
        <v>4000</v>
      </c>
      <c r="L220"/>
      <c r="M220" s="98">
        <f t="shared" si="13"/>
        <v>0</v>
      </c>
      <c r="N220" s="98">
        <f t="shared" si="14"/>
        <v>0</v>
      </c>
      <c r="O220" s="98">
        <f t="shared" si="15"/>
        <v>0</v>
      </c>
      <c r="P220" s="98">
        <f t="shared" si="16"/>
        <v>-2000</v>
      </c>
    </row>
    <row r="221" spans="1:16">
      <c r="A221" s="97"/>
      <c r="B221" s="104" t="s">
        <v>520</v>
      </c>
      <c r="C221" s="105"/>
      <c r="D221" s="106">
        <v>12</v>
      </c>
      <c r="E221" s="106"/>
      <c r="F221" s="106"/>
      <c r="G221" s="106">
        <v>2000</v>
      </c>
      <c r="H221" s="106">
        <v>12</v>
      </c>
      <c r="I221" s="106"/>
      <c r="J221" s="106">
        <v>0</v>
      </c>
      <c r="K221" s="106">
        <v>4000</v>
      </c>
      <c r="L221"/>
      <c r="M221" s="98">
        <f t="shared" si="13"/>
        <v>0</v>
      </c>
      <c r="N221" s="98">
        <f t="shared" si="14"/>
        <v>0</v>
      </c>
      <c r="O221" s="98">
        <f t="shared" si="15"/>
        <v>0</v>
      </c>
      <c r="P221" s="98">
        <f t="shared" si="16"/>
        <v>-2000</v>
      </c>
    </row>
    <row r="222" ht="60" spans="1:16">
      <c r="A222" s="97"/>
      <c r="B222" s="102" t="s">
        <v>231</v>
      </c>
      <c r="C222" s="102" t="s">
        <v>78</v>
      </c>
      <c r="D222" s="98">
        <v>1</v>
      </c>
      <c r="E222" s="98"/>
      <c r="F222" s="98"/>
      <c r="G222" s="98">
        <v>500</v>
      </c>
      <c r="H222" s="98">
        <v>1</v>
      </c>
      <c r="I222" s="98"/>
      <c r="J222" s="98">
        <v>0</v>
      </c>
      <c r="K222" s="98">
        <v>500</v>
      </c>
      <c r="L222"/>
      <c r="M222" s="98">
        <f t="shared" si="13"/>
        <v>0</v>
      </c>
      <c r="N222" s="98">
        <f t="shared" si="14"/>
        <v>0</v>
      </c>
      <c r="O222" s="98">
        <f t="shared" si="15"/>
        <v>0</v>
      </c>
      <c r="P222" s="98">
        <f t="shared" si="16"/>
        <v>0</v>
      </c>
    </row>
    <row r="223" spans="1:16">
      <c r="A223" s="97"/>
      <c r="B223" s="104" t="s">
        <v>521</v>
      </c>
      <c r="C223" s="105"/>
      <c r="D223" s="106">
        <v>1</v>
      </c>
      <c r="E223" s="106"/>
      <c r="F223" s="106"/>
      <c r="G223" s="106">
        <v>500</v>
      </c>
      <c r="H223" s="106">
        <v>1</v>
      </c>
      <c r="I223" s="106"/>
      <c r="J223" s="106">
        <v>0</v>
      </c>
      <c r="K223" s="106">
        <v>500</v>
      </c>
      <c r="L223"/>
      <c r="M223" s="98">
        <f t="shared" si="13"/>
        <v>0</v>
      </c>
      <c r="N223" s="98">
        <f t="shared" si="14"/>
        <v>0</v>
      </c>
      <c r="O223" s="98">
        <f t="shared" si="15"/>
        <v>0</v>
      </c>
      <c r="P223" s="98">
        <f t="shared" si="16"/>
        <v>0</v>
      </c>
    </row>
    <row r="224" spans="1:16">
      <c r="A224" s="97"/>
      <c r="B224" s="102" t="s">
        <v>233</v>
      </c>
      <c r="C224" s="102" t="s">
        <v>78</v>
      </c>
      <c r="D224" s="98">
        <v>5</v>
      </c>
      <c r="E224" s="98"/>
      <c r="F224" s="98"/>
      <c r="G224" s="98">
        <v>9009</v>
      </c>
      <c r="H224" s="98">
        <v>60</v>
      </c>
      <c r="I224" s="98"/>
      <c r="J224" s="98">
        <v>0</v>
      </c>
      <c r="K224" s="98">
        <v>17009</v>
      </c>
      <c r="L224"/>
      <c r="M224" s="98">
        <f t="shared" si="13"/>
        <v>-55</v>
      </c>
      <c r="N224" s="98">
        <f t="shared" si="14"/>
        <v>0</v>
      </c>
      <c r="O224" s="98">
        <f t="shared" si="15"/>
        <v>0</v>
      </c>
      <c r="P224" s="98">
        <f t="shared" si="16"/>
        <v>-8000</v>
      </c>
    </row>
    <row r="225" spans="1:16">
      <c r="A225" s="97"/>
      <c r="B225" s="104" t="s">
        <v>522</v>
      </c>
      <c r="C225" s="105"/>
      <c r="D225" s="106">
        <v>5</v>
      </c>
      <c r="E225" s="106"/>
      <c r="F225" s="106"/>
      <c r="G225" s="106">
        <v>9009</v>
      </c>
      <c r="H225" s="106">
        <v>60</v>
      </c>
      <c r="I225" s="106"/>
      <c r="J225" s="106">
        <v>0</v>
      </c>
      <c r="K225" s="106">
        <v>17009</v>
      </c>
      <c r="L225"/>
      <c r="M225" s="98">
        <f t="shared" si="13"/>
        <v>-55</v>
      </c>
      <c r="N225" s="98">
        <f t="shared" si="14"/>
        <v>0</v>
      </c>
      <c r="O225" s="98">
        <f t="shared" si="15"/>
        <v>0</v>
      </c>
      <c r="P225" s="98">
        <f t="shared" si="16"/>
        <v>-8000</v>
      </c>
    </row>
    <row r="226" spans="1:16">
      <c r="A226" s="110" t="s">
        <v>523</v>
      </c>
      <c r="B226" s="100"/>
      <c r="C226" s="100"/>
      <c r="D226" s="111">
        <v>58</v>
      </c>
      <c r="E226" s="111"/>
      <c r="F226" s="111"/>
      <c r="G226" s="111">
        <v>21509</v>
      </c>
      <c r="H226" s="111">
        <v>793</v>
      </c>
      <c r="I226" s="111"/>
      <c r="J226" s="111">
        <v>0</v>
      </c>
      <c r="K226" s="111">
        <v>36509</v>
      </c>
      <c r="L226"/>
      <c r="M226" s="98">
        <f t="shared" si="13"/>
        <v>-735</v>
      </c>
      <c r="N226" s="98">
        <f t="shared" si="14"/>
        <v>0</v>
      </c>
      <c r="O226" s="98">
        <f t="shared" si="15"/>
        <v>0</v>
      </c>
      <c r="P226" s="98">
        <f t="shared" si="16"/>
        <v>-15000</v>
      </c>
    </row>
    <row r="227" spans="1:16">
      <c r="A227"/>
      <c r="B227"/>
      <c r="C227"/>
      <c r="D227"/>
      <c r="E227"/>
      <c r="F227"/>
      <c r="G227"/>
      <c r="H227"/>
      <c r="I227"/>
      <c r="J227"/>
      <c r="K227"/>
      <c r="L227"/>
      <c r="M227" s="98">
        <f t="shared" si="13"/>
        <v>0</v>
      </c>
      <c r="N227" s="98">
        <f t="shared" si="14"/>
        <v>0</v>
      </c>
      <c r="O227" s="98">
        <f t="shared" si="15"/>
        <v>0</v>
      </c>
      <c r="P227" s="98">
        <f t="shared" si="16"/>
        <v>0</v>
      </c>
    </row>
    <row r="228" spans="1:16">
      <c r="A228"/>
      <c r="B228"/>
      <c r="C228"/>
      <c r="D228"/>
      <c r="E228"/>
      <c r="F228"/>
      <c r="G228"/>
      <c r="H228"/>
      <c r="I228"/>
      <c r="J228"/>
      <c r="K228"/>
      <c r="L228"/>
      <c r="M228" s="98">
        <f t="shared" si="13"/>
        <v>0</v>
      </c>
      <c r="N228" s="98">
        <f t="shared" si="14"/>
        <v>0</v>
      </c>
      <c r="O228" s="98">
        <f t="shared" si="15"/>
        <v>0</v>
      </c>
      <c r="P228" s="98">
        <f t="shared" si="16"/>
        <v>0</v>
      </c>
    </row>
    <row r="229" spans="1:16">
      <c r="A229"/>
      <c r="B229"/>
      <c r="C229"/>
      <c r="D229"/>
      <c r="E229"/>
      <c r="F229"/>
      <c r="G229"/>
      <c r="H229"/>
      <c r="I229"/>
      <c r="J229"/>
      <c r="K229"/>
      <c r="L229"/>
      <c r="M229" s="98">
        <f t="shared" si="13"/>
        <v>0</v>
      </c>
      <c r="N229" s="98">
        <f t="shared" si="14"/>
        <v>0</v>
      </c>
      <c r="O229" s="98">
        <f t="shared" si="15"/>
        <v>0</v>
      </c>
      <c r="P229" s="98">
        <f t="shared" si="16"/>
        <v>0</v>
      </c>
    </row>
    <row r="230" spans="1:16">
      <c r="A230"/>
      <c r="B230"/>
      <c r="C230"/>
      <c r="D230"/>
      <c r="E230"/>
      <c r="F230"/>
      <c r="G230"/>
      <c r="H230"/>
      <c r="I230"/>
      <c r="J230"/>
      <c r="K230"/>
      <c r="L230"/>
      <c r="M230" s="98">
        <f t="shared" si="13"/>
        <v>0</v>
      </c>
      <c r="N230" s="98">
        <f t="shared" si="14"/>
        <v>0</v>
      </c>
      <c r="O230" s="98">
        <f t="shared" si="15"/>
        <v>0</v>
      </c>
      <c r="P230" s="98">
        <f t="shared" si="16"/>
        <v>0</v>
      </c>
    </row>
    <row r="231" spans="1:16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</row>
    <row r="232" spans="1:16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 spans="1:16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 spans="1:16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 spans="1:16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 spans="1:16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 spans="1:16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 spans="1:16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 spans="1:16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</row>
    <row r="240" spans="1:16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</row>
    <row r="241" spans="1:16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</row>
    <row r="242" spans="1:16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</row>
    <row r="243" spans="1:16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</row>
    <row r="244" spans="1:16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</row>
    <row r="245" spans="1:16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</row>
    <row r="246" spans="1:16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</row>
    <row r="247" spans="1:16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</row>
    <row r="248" spans="1:16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</row>
    <row r="249" spans="1:16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</row>
    <row r="250" spans="1:16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</row>
    <row r="251" spans="1:16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</row>
    <row r="252" spans="1:16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</row>
    <row r="253" spans="1:16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</row>
    <row r="254" spans="1:16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</row>
    <row r="255" spans="1:16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</row>
    <row r="256" spans="1:16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</row>
    <row r="257" spans="1:16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</row>
    <row r="258" spans="1:16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</row>
    <row r="259" spans="1:16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</row>
    <row r="260" spans="1:16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</row>
    <row r="261" spans="1:16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</row>
    <row r="262" spans="1:16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</row>
    <row r="263" spans="1:16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</row>
    <row r="264" spans="1:16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</row>
    <row r="265" spans="1:16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</row>
    <row r="266" spans="1:16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</row>
    <row r="267" spans="1:16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</row>
    <row r="268" spans="1:16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</row>
    <row r="269" spans="1:16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</row>
    <row r="270" spans="1:16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</row>
    <row r="271" spans="1:16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</row>
    <row r="272" spans="1:16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</row>
    <row r="273" spans="1:16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</row>
    <row r="274" spans="1:16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</row>
    <row r="275" spans="1:16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</row>
    <row r="276" spans="1:16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</row>
    <row r="277" spans="1:16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</row>
    <row r="278" spans="1:16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</row>
    <row r="279" spans="1:16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</row>
    <row r="280" spans="1:16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</row>
    <row r="281" spans="1:16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</row>
    <row r="282" spans="1:16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</row>
    <row r="283" spans="1:16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</row>
    <row r="284" spans="1:16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</row>
    <row r="285" spans="1:16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</row>
    <row r="286" spans="1:16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</row>
    <row r="287" spans="1:16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</row>
    <row r="288" spans="1:16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</row>
    <row r="289" spans="1:16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</row>
    <row r="290" spans="1:16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</row>
    <row r="291" spans="1:16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</row>
    <row r="292" spans="1:16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</row>
    <row r="293" spans="1:16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</row>
    <row r="294" spans="1:16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</row>
    <row r="295" spans="1:16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</row>
    <row r="296" spans="1:16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</row>
    <row r="297" spans="1:16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</row>
    <row r="298" spans="1:16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</row>
    <row r="299" spans="1:16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</row>
    <row r="300" spans="1:16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</row>
    <row r="301" spans="1:16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</row>
    <row r="302" spans="1:16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</row>
    <row r="303" spans="1:16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</row>
    <row r="304" spans="1:16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</row>
    <row r="305" spans="1:16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</row>
    <row r="306" spans="1:16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</row>
    <row r="307" spans="1:16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</row>
    <row r="308" spans="1:16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</row>
    <row r="309" spans="1:16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</row>
    <row r="310" spans="1:16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</row>
    <row r="311" spans="1:16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</row>
    <row r="312" spans="1:16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</row>
    <row r="313" spans="1:16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</row>
    <row r="314" spans="1:16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</row>
    <row r="315" spans="1:16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</row>
    <row r="316" spans="1:16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</row>
    <row r="317" spans="1:16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</row>
    <row r="318" spans="1:16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</row>
    <row r="319" spans="1:16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</row>
    <row r="320" spans="1:16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</row>
    <row r="321" spans="1:1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</row>
    <row r="322" spans="1:1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</row>
    <row r="323" spans="1:1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</row>
    <row r="324" spans="1:1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</row>
    <row r="325" spans="1:1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</row>
    <row r="326" spans="1:1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</row>
    <row r="327" spans="1:1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</row>
    <row r="328" spans="1:1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</row>
    <row r="329" spans="1:1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</row>
    <row r="330" spans="1:1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</row>
    <row r="331" spans="1:1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</row>
    <row r="332" spans="1:1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</row>
    <row r="333" spans="1:1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</row>
    <row r="334" spans="1:1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</row>
    <row r="335" spans="1:1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</row>
    <row r="336" spans="1:1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</row>
    <row r="337" spans="1:1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</row>
    <row r="338" spans="1:1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</row>
    <row r="339" spans="1:1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</row>
    <row r="340" spans="1:1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</row>
    <row r="341" spans="1:1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</row>
    <row r="342" spans="1:1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</row>
    <row r="343" spans="1:1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</row>
    <row r="344" spans="1:1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</row>
    <row r="345" spans="1:1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</row>
    <row r="346" spans="1:1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</row>
    <row r="347" spans="1:1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</row>
    <row r="348" spans="1:1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</row>
    <row r="349" spans="1:1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</row>
    <row r="350" spans="1:1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</row>
    <row r="351" spans="1:1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</row>
    <row r="352" spans="1:1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</row>
    <row r="353" spans="1:1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</row>
    <row r="354" spans="1:1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</row>
    <row r="355" spans="1:1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</row>
    <row r="356" spans="1:1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</row>
    <row r="357" spans="1:1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</row>
    <row r="358" spans="1:1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</row>
    <row r="359" spans="1:1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</row>
    <row r="360" spans="1:1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</row>
    <row r="361" spans="1:1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</row>
    <row r="362" spans="1:1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</row>
    <row r="363" spans="1:1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</row>
    <row r="364" spans="1:1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</row>
    <row r="365" spans="1:1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</row>
    <row r="366" spans="1:1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</row>
    <row r="367" spans="1:1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</row>
    <row r="368" spans="1:1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</row>
    <row r="369" spans="1:1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</row>
    <row r="370" spans="1:1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</row>
    <row r="371" spans="1:1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</row>
    <row r="372" spans="1:1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</row>
  </sheetData>
  <mergeCells count="119">
    <mergeCell ref="D8:G8"/>
    <mergeCell ref="H8:K8"/>
    <mergeCell ref="B15:C15"/>
    <mergeCell ref="B17:C17"/>
    <mergeCell ref="B20:C20"/>
    <mergeCell ref="B23:C23"/>
    <mergeCell ref="B26:C26"/>
    <mergeCell ref="B29:C29"/>
    <mergeCell ref="B34:C34"/>
    <mergeCell ref="B39:C39"/>
    <mergeCell ref="B41:C41"/>
    <mergeCell ref="B43:C43"/>
    <mergeCell ref="B45:C45"/>
    <mergeCell ref="B47:C47"/>
    <mergeCell ref="B49:C49"/>
    <mergeCell ref="B55:C55"/>
    <mergeCell ref="B60:C60"/>
    <mergeCell ref="B65:C65"/>
    <mergeCell ref="B67:C67"/>
    <mergeCell ref="B69:C69"/>
    <mergeCell ref="B71:C71"/>
    <mergeCell ref="B74:C74"/>
    <mergeCell ref="B76:C76"/>
    <mergeCell ref="B78:C78"/>
    <mergeCell ref="B80:C80"/>
    <mergeCell ref="B82:C82"/>
    <mergeCell ref="B84:C84"/>
    <mergeCell ref="B86:C86"/>
    <mergeCell ref="B88:C88"/>
    <mergeCell ref="A89:C89"/>
    <mergeCell ref="B92:C92"/>
    <mergeCell ref="B94:C94"/>
    <mergeCell ref="B96:C96"/>
    <mergeCell ref="B98:C98"/>
    <mergeCell ref="B100:C100"/>
    <mergeCell ref="B102:C102"/>
    <mergeCell ref="B104:C104"/>
    <mergeCell ref="B106:C106"/>
    <mergeCell ref="B108:C108"/>
    <mergeCell ref="B110:C110"/>
    <mergeCell ref="B112:C112"/>
    <mergeCell ref="B114:C114"/>
    <mergeCell ref="B116:C116"/>
    <mergeCell ref="B119:C119"/>
    <mergeCell ref="B121:C121"/>
    <mergeCell ref="B123:C123"/>
    <mergeCell ref="B125:C125"/>
    <mergeCell ref="B128:C128"/>
    <mergeCell ref="B130:C130"/>
    <mergeCell ref="B132:C132"/>
    <mergeCell ref="B137:C137"/>
    <mergeCell ref="B141:C141"/>
    <mergeCell ref="B146:C146"/>
    <mergeCell ref="B148:C148"/>
    <mergeCell ref="B150:C150"/>
    <mergeCell ref="B152:C152"/>
    <mergeCell ref="A153:C153"/>
    <mergeCell ref="B155:C155"/>
    <mergeCell ref="A156:C156"/>
    <mergeCell ref="B160:C160"/>
    <mergeCell ref="B164:C164"/>
    <mergeCell ref="B168:C168"/>
    <mergeCell ref="B173:C173"/>
    <mergeCell ref="B175:C175"/>
    <mergeCell ref="B179:C179"/>
    <mergeCell ref="B184:C184"/>
    <mergeCell ref="B187:C187"/>
    <mergeCell ref="B190:C190"/>
    <mergeCell ref="B192:C192"/>
    <mergeCell ref="B194:C194"/>
    <mergeCell ref="B197:C197"/>
    <mergeCell ref="B199:C199"/>
    <mergeCell ref="A200:C200"/>
    <mergeCell ref="B204:C204"/>
    <mergeCell ref="B208:C208"/>
    <mergeCell ref="B212:C212"/>
    <mergeCell ref="B216:C216"/>
    <mergeCell ref="A217:C217"/>
    <mergeCell ref="B219:C219"/>
    <mergeCell ref="B221:C221"/>
    <mergeCell ref="B223:C223"/>
    <mergeCell ref="B225:C225"/>
    <mergeCell ref="A226:C226"/>
    <mergeCell ref="A10:A88"/>
    <mergeCell ref="A90:A152"/>
    <mergeCell ref="A154:A155"/>
    <mergeCell ref="A157:A199"/>
    <mergeCell ref="A201:A216"/>
    <mergeCell ref="A218:A225"/>
    <mergeCell ref="B10:B14"/>
    <mergeCell ref="B18:B19"/>
    <mergeCell ref="B21:B22"/>
    <mergeCell ref="B24:B25"/>
    <mergeCell ref="B27:B28"/>
    <mergeCell ref="B30:B33"/>
    <mergeCell ref="B35:B38"/>
    <mergeCell ref="B50:B54"/>
    <mergeCell ref="B56:B59"/>
    <mergeCell ref="B61:B64"/>
    <mergeCell ref="B72:B73"/>
    <mergeCell ref="B90:B91"/>
    <mergeCell ref="B117:B118"/>
    <mergeCell ref="B126:B127"/>
    <mergeCell ref="B133:B136"/>
    <mergeCell ref="B138:B140"/>
    <mergeCell ref="B142:B145"/>
    <mergeCell ref="B157:B159"/>
    <mergeCell ref="B161:B163"/>
    <mergeCell ref="B165:B167"/>
    <mergeCell ref="B169:B172"/>
    <mergeCell ref="B176:B178"/>
    <mergeCell ref="B180:B183"/>
    <mergeCell ref="B185:B186"/>
    <mergeCell ref="B188:B189"/>
    <mergeCell ref="B195:B196"/>
    <mergeCell ref="B201:B203"/>
    <mergeCell ref="B205:B207"/>
    <mergeCell ref="B209:B211"/>
    <mergeCell ref="B213:B215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EI317"/>
  <sheetViews>
    <sheetView zoomScale="55" zoomScaleNormal="55" topLeftCell="A169" workbookViewId="0">
      <selection activeCell="P209" sqref="P209"/>
    </sheetView>
  </sheetViews>
  <sheetFormatPr defaultColWidth="8.85714285714286" defaultRowHeight="15"/>
  <cols>
    <col min="1" max="1" width="21.4285714285714" style="73" customWidth="1"/>
    <col min="2" max="2" width="31" style="73" customWidth="1"/>
    <col min="3" max="3" width="47.4285714285714" style="73" customWidth="1"/>
    <col min="4" max="4" width="28.8571428571429" style="73" customWidth="1"/>
    <col min="5" max="8" width="14.4285714285714" style="73" customWidth="1"/>
    <col min="9" max="9" width="30.4285714285714" style="73" customWidth="1"/>
    <col min="10" max="10" width="27.8571428571429" style="92" customWidth="1"/>
    <col min="11" max="11" width="20.4285714285714" style="92" customWidth="1"/>
    <col min="12" max="12" width="30.5714285714286" style="73" customWidth="1"/>
    <col min="13" max="13" width="32" style="73" customWidth="1"/>
    <col min="14" max="14" width="17.4285714285714" style="73" customWidth="1"/>
    <col min="15" max="139" width="14.4285714285714" style="73" customWidth="1"/>
    <col min="140" max="16384" width="8.85714285714286" style="73"/>
  </cols>
  <sheetData>
    <row r="1" spans="1:9">
      <c r="A1" s="93" t="s">
        <v>0</v>
      </c>
      <c r="I1" s="93" t="s">
        <v>0</v>
      </c>
    </row>
    <row r="2" spans="1:9">
      <c r="A2" s="93" t="s">
        <v>1</v>
      </c>
      <c r="I2" s="93" t="s">
        <v>1</v>
      </c>
    </row>
    <row r="3" spans="1:9">
      <c r="A3" s="93" t="s">
        <v>2</v>
      </c>
      <c r="C3" s="94"/>
      <c r="I3" s="93" t="s">
        <v>524</v>
      </c>
    </row>
    <row r="4" spans="1:9">
      <c r="A4" s="93" t="s">
        <v>3</v>
      </c>
      <c r="I4" s="93" t="s">
        <v>3</v>
      </c>
    </row>
    <row r="5" spans="1:9">
      <c r="A5" s="95" t="s">
        <v>4</v>
      </c>
      <c r="B5" s="95" t="s">
        <v>5</v>
      </c>
      <c r="I5" s="93"/>
    </row>
    <row r="6" spans="9:14">
      <c r="I6" t="s">
        <v>525</v>
      </c>
      <c r="J6"/>
      <c r="K6"/>
      <c r="L6"/>
      <c r="M6" s="98" t="s">
        <v>4</v>
      </c>
      <c r="N6" s="98"/>
    </row>
    <row r="7" s="90" customFormat="1" ht="39.6" customHeight="1" spans="1:139">
      <c r="A7" s="96" t="s">
        <v>12</v>
      </c>
      <c r="B7" s="96" t="s">
        <v>342</v>
      </c>
      <c r="C7" s="96" t="s">
        <v>14</v>
      </c>
      <c r="D7" s="77" t="s">
        <v>19</v>
      </c>
      <c r="E7" s="46"/>
      <c r="F7" s="46"/>
      <c r="G7" s="46"/>
      <c r="H7" s="46"/>
      <c r="I7" s="46" t="s">
        <v>12</v>
      </c>
      <c r="J7" s="46" t="s">
        <v>342</v>
      </c>
      <c r="K7" s="46" t="s">
        <v>14</v>
      </c>
      <c r="L7" t="s">
        <v>247</v>
      </c>
      <c r="M7" s="99" t="s">
        <v>297</v>
      </c>
      <c r="N7" s="99" t="s">
        <v>301</v>
      </c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</row>
    <row r="8" s="91" customFormat="1" ht="15.75" spans="1:139">
      <c r="A8" s="97" t="s">
        <v>21</v>
      </c>
      <c r="B8" s="97"/>
      <c r="C8" s="97"/>
      <c r="D8">
        <v>788440</v>
      </c>
      <c r="E8"/>
      <c r="F8"/>
      <c r="G8"/>
      <c r="H8"/>
      <c r="I8" t="s">
        <v>21</v>
      </c>
      <c r="J8"/>
      <c r="K8"/>
      <c r="L8"/>
      <c r="M8" s="98">
        <v>788440</v>
      </c>
      <c r="N8" s="98">
        <v>788440</v>
      </c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</row>
    <row r="9" s="90" customFormat="1" ht="15.75" spans="1:139">
      <c r="A9" s="97"/>
      <c r="B9" s="97" t="s">
        <v>346</v>
      </c>
      <c r="C9" s="97"/>
      <c r="D9"/>
      <c r="E9"/>
      <c r="F9"/>
      <c r="G9"/>
      <c r="H9"/>
      <c r="I9"/>
      <c r="J9" t="s">
        <v>346</v>
      </c>
      <c r="K9"/>
      <c r="L9"/>
      <c r="M9" s="98">
        <v>1105</v>
      </c>
      <c r="N9" s="98">
        <v>1105</v>
      </c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</row>
    <row r="10" s="90" customFormat="1" ht="15.75" spans="1:139">
      <c r="A10" s="97"/>
      <c r="B10" s="97"/>
      <c r="C10" s="97" t="s">
        <v>24</v>
      </c>
      <c r="D10">
        <v>1105</v>
      </c>
      <c r="E10"/>
      <c r="F10"/>
      <c r="G10"/>
      <c r="H10"/>
      <c r="I10"/>
      <c r="J10"/>
      <c r="K10" t="s">
        <v>24</v>
      </c>
      <c r="L10"/>
      <c r="M10" s="98">
        <v>1105</v>
      </c>
      <c r="N10" s="98">
        <v>1105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</row>
    <row r="11" s="90" customFormat="1" ht="15.75" spans="1:139">
      <c r="A11" s="97"/>
      <c r="B11" s="97" t="s">
        <v>347</v>
      </c>
      <c r="C11" s="97"/>
      <c r="D11"/>
      <c r="E11"/>
      <c r="F11"/>
      <c r="G11"/>
      <c r="H11"/>
      <c r="I11"/>
      <c r="J11"/>
      <c r="K11"/>
      <c r="L11" t="s">
        <v>329</v>
      </c>
      <c r="M11" s="98">
        <v>1105</v>
      </c>
      <c r="N11" s="98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</row>
    <row r="12" spans="1:139">
      <c r="A12" s="97"/>
      <c r="B12" s="97"/>
      <c r="C12" s="97" t="s">
        <v>80</v>
      </c>
      <c r="D12">
        <v>1500</v>
      </c>
      <c r="E12"/>
      <c r="F12"/>
      <c r="G12"/>
      <c r="H12"/>
      <c r="I12"/>
      <c r="J12"/>
      <c r="K12"/>
      <c r="L12" t="s">
        <v>331</v>
      </c>
      <c r="M12" s="98"/>
      <c r="N12" s="98">
        <v>1105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</row>
    <row r="13" spans="1:139">
      <c r="A13" s="97"/>
      <c r="B13" s="97"/>
      <c r="C13" s="97" t="s">
        <v>82</v>
      </c>
      <c r="D13">
        <v>300</v>
      </c>
      <c r="E13"/>
      <c r="F13"/>
      <c r="G13"/>
      <c r="H13"/>
      <c r="I13"/>
      <c r="J13" t="s">
        <v>347</v>
      </c>
      <c r="K13"/>
      <c r="L13"/>
      <c r="M13" s="98">
        <v>252396</v>
      </c>
      <c r="N13" s="98">
        <v>252396</v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</row>
    <row r="14" spans="1:139">
      <c r="A14" s="97"/>
      <c r="B14" s="97"/>
      <c r="C14" s="97" t="s">
        <v>84</v>
      </c>
      <c r="D14">
        <v>250596</v>
      </c>
      <c r="E14"/>
      <c r="F14"/>
      <c r="G14"/>
      <c r="H14"/>
      <c r="I14"/>
      <c r="J14"/>
      <c r="K14" t="s">
        <v>80</v>
      </c>
      <c r="L14"/>
      <c r="M14" s="98">
        <v>1500</v>
      </c>
      <c r="N14" s="98">
        <v>1500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</row>
    <row r="15" spans="1:139">
      <c r="A15" s="97"/>
      <c r="B15" s="97" t="s">
        <v>348</v>
      </c>
      <c r="C15" s="97"/>
      <c r="D15"/>
      <c r="E15"/>
      <c r="F15"/>
      <c r="G15"/>
      <c r="H15"/>
      <c r="I15"/>
      <c r="J15"/>
      <c r="K15"/>
      <c r="L15" t="s">
        <v>329</v>
      </c>
      <c r="M15" s="98">
        <v>1500</v>
      </c>
      <c r="N15" s="98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</row>
    <row r="16" spans="1:139">
      <c r="A16" s="97"/>
      <c r="B16" s="97"/>
      <c r="C16" s="97" t="s">
        <v>26</v>
      </c>
      <c r="D16">
        <v>12000</v>
      </c>
      <c r="E16"/>
      <c r="F16"/>
      <c r="G16"/>
      <c r="H16"/>
      <c r="I16"/>
      <c r="J16"/>
      <c r="K16"/>
      <c r="L16" t="s">
        <v>331</v>
      </c>
      <c r="M16" s="98"/>
      <c r="N16" s="98">
        <v>1500</v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</row>
    <row r="17" spans="1:139">
      <c r="A17" s="97"/>
      <c r="B17" s="97"/>
      <c r="C17" s="97" t="s">
        <v>28</v>
      </c>
      <c r="D17">
        <v>24750</v>
      </c>
      <c r="E17"/>
      <c r="F17"/>
      <c r="G17"/>
      <c r="H17"/>
      <c r="I17"/>
      <c r="J17"/>
      <c r="K17" t="s">
        <v>82</v>
      </c>
      <c r="L17"/>
      <c r="M17" s="98">
        <v>300</v>
      </c>
      <c r="N17" s="98">
        <v>300</v>
      </c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</row>
    <row r="18" spans="1:139">
      <c r="A18" s="97"/>
      <c r="B18" s="97" t="s">
        <v>349</v>
      </c>
      <c r="C18" s="97"/>
      <c r="D18"/>
      <c r="E18"/>
      <c r="F18"/>
      <c r="G18"/>
      <c r="H18"/>
      <c r="I18"/>
      <c r="J18"/>
      <c r="K18"/>
      <c r="L18" t="s">
        <v>329</v>
      </c>
      <c r="M18" s="98">
        <v>300</v>
      </c>
      <c r="N18" s="9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</row>
    <row r="19" spans="1:139">
      <c r="A19" s="97"/>
      <c r="B19" s="97"/>
      <c r="C19" s="97" t="s">
        <v>30</v>
      </c>
      <c r="D19">
        <v>2720</v>
      </c>
      <c r="E19"/>
      <c r="F19"/>
      <c r="G19"/>
      <c r="H19"/>
      <c r="I19"/>
      <c r="J19"/>
      <c r="K19"/>
      <c r="L19" t="s">
        <v>331</v>
      </c>
      <c r="M19" s="98"/>
      <c r="N19" s="98">
        <v>300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</row>
    <row r="20" spans="1:139">
      <c r="A20" s="97"/>
      <c r="B20" s="97"/>
      <c r="C20" s="97" t="s">
        <v>32</v>
      </c>
      <c r="D20">
        <v>10000</v>
      </c>
      <c r="E20"/>
      <c r="F20"/>
      <c r="G20"/>
      <c r="H20"/>
      <c r="I20"/>
      <c r="J20"/>
      <c r="K20" t="s">
        <v>84</v>
      </c>
      <c r="L20"/>
      <c r="M20" s="98">
        <v>250596</v>
      </c>
      <c r="N20" s="98">
        <v>250596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</row>
    <row r="21" spans="1:139">
      <c r="A21" s="97"/>
      <c r="B21" s="97" t="s">
        <v>350</v>
      </c>
      <c r="C21" s="97"/>
      <c r="D21"/>
      <c r="E21"/>
      <c r="F21"/>
      <c r="G21"/>
      <c r="H21"/>
      <c r="I21"/>
      <c r="J21"/>
      <c r="K21"/>
      <c r="L21" t="s">
        <v>330</v>
      </c>
      <c r="M21" s="98">
        <v>250596</v>
      </c>
      <c r="N21" s="98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</row>
    <row r="22" spans="1:139">
      <c r="A22" s="97"/>
      <c r="B22" s="97"/>
      <c r="C22" s="97" t="s">
        <v>34</v>
      </c>
      <c r="D22">
        <v>324000</v>
      </c>
      <c r="E22"/>
      <c r="F22"/>
      <c r="G22"/>
      <c r="H22"/>
      <c r="I22"/>
      <c r="J22"/>
      <c r="K22"/>
      <c r="L22" t="s">
        <v>333</v>
      </c>
      <c r="M22" s="98"/>
      <c r="N22" s="98">
        <v>250596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</row>
    <row r="23" spans="1:139">
      <c r="A23" s="97"/>
      <c r="B23" s="97"/>
      <c r="C23" s="97" t="s">
        <v>36</v>
      </c>
      <c r="D23">
        <v>121500</v>
      </c>
      <c r="E23"/>
      <c r="F23"/>
      <c r="G23"/>
      <c r="H23"/>
      <c r="I23"/>
      <c r="J23" t="s">
        <v>348</v>
      </c>
      <c r="K23"/>
      <c r="L23"/>
      <c r="M23" s="98">
        <v>36750</v>
      </c>
      <c r="N23" s="98">
        <v>36750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</row>
    <row r="24" spans="1:139">
      <c r="A24" s="97"/>
      <c r="B24" s="97" t="s">
        <v>351</v>
      </c>
      <c r="C24" s="97"/>
      <c r="D24"/>
      <c r="E24"/>
      <c r="F24"/>
      <c r="G24"/>
      <c r="H24"/>
      <c r="I24"/>
      <c r="J24"/>
      <c r="K24" t="s">
        <v>26</v>
      </c>
      <c r="L24"/>
      <c r="M24" s="98">
        <v>12000</v>
      </c>
      <c r="N24" s="98">
        <v>12000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</row>
    <row r="25" spans="1:139">
      <c r="A25" s="97"/>
      <c r="B25" s="97"/>
      <c r="C25" s="97" t="s">
        <v>86</v>
      </c>
      <c r="D25">
        <v>6000</v>
      </c>
      <c r="E25"/>
      <c r="F25"/>
      <c r="G25"/>
      <c r="H25"/>
      <c r="I25"/>
      <c r="J25"/>
      <c r="K25"/>
      <c r="L25" t="s">
        <v>329</v>
      </c>
      <c r="M25" s="98">
        <v>12000</v>
      </c>
      <c r="N25" s="98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</row>
    <row r="26" spans="1:139">
      <c r="A26" s="97"/>
      <c r="B26" s="97"/>
      <c r="C26" s="97" t="s">
        <v>88</v>
      </c>
      <c r="D26">
        <v>1500</v>
      </c>
      <c r="E26"/>
      <c r="F26"/>
      <c r="G26"/>
      <c r="H26"/>
      <c r="I26"/>
      <c r="J26"/>
      <c r="K26"/>
      <c r="L26" t="s">
        <v>334</v>
      </c>
      <c r="M26" s="98"/>
      <c r="N26" s="98">
        <v>12000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</row>
    <row r="27" spans="1:139">
      <c r="A27" s="97"/>
      <c r="B27" s="97"/>
      <c r="C27" s="97" t="s">
        <v>90</v>
      </c>
      <c r="D27">
        <v>2750</v>
      </c>
      <c r="E27"/>
      <c r="F27"/>
      <c r="G27"/>
      <c r="H27"/>
      <c r="I27"/>
      <c r="J27"/>
      <c r="K27" t="s">
        <v>28</v>
      </c>
      <c r="L27"/>
      <c r="M27" s="98">
        <v>24750</v>
      </c>
      <c r="N27" s="98">
        <v>24750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</row>
    <row r="28" spans="1:139">
      <c r="A28" s="97"/>
      <c r="B28" s="97"/>
      <c r="C28" s="97" t="s">
        <v>92</v>
      </c>
      <c r="D28">
        <v>4000</v>
      </c>
      <c r="E28"/>
      <c r="F28"/>
      <c r="G28"/>
      <c r="H28"/>
      <c r="I28"/>
      <c r="J28"/>
      <c r="K28"/>
      <c r="L28" t="s">
        <v>330</v>
      </c>
      <c r="M28" s="98">
        <v>17600</v>
      </c>
      <c r="N28" s="9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</row>
    <row r="29" spans="1:139">
      <c r="A29" s="97"/>
      <c r="B29" s="97" t="s">
        <v>352</v>
      </c>
      <c r="C29" s="97"/>
      <c r="D29"/>
      <c r="E29"/>
      <c r="F29"/>
      <c r="G29"/>
      <c r="H29"/>
      <c r="I29"/>
      <c r="J29"/>
      <c r="K29"/>
      <c r="L29" t="s">
        <v>333</v>
      </c>
      <c r="M29" s="98">
        <v>7150</v>
      </c>
      <c r="N29" s="98">
        <v>17600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</row>
    <row r="30" spans="1:139">
      <c r="A30" s="97"/>
      <c r="B30" s="97"/>
      <c r="C30" s="97" t="s">
        <v>38</v>
      </c>
      <c r="D30">
        <v>975</v>
      </c>
      <c r="E30"/>
      <c r="F30"/>
      <c r="G30"/>
      <c r="H30"/>
      <c r="I30"/>
      <c r="J30"/>
      <c r="K30"/>
      <c r="L30" t="s">
        <v>337</v>
      </c>
      <c r="M30" s="98"/>
      <c r="N30" s="98">
        <v>7150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</row>
    <row r="31" spans="1:14">
      <c r="A31" s="97"/>
      <c r="B31" s="97"/>
      <c r="C31" s="97" t="s">
        <v>40</v>
      </c>
      <c r="D31">
        <v>7500</v>
      </c>
      <c r="I31"/>
      <c r="J31" t="s">
        <v>349</v>
      </c>
      <c r="K31"/>
      <c r="L31"/>
      <c r="M31" s="98">
        <v>12720</v>
      </c>
      <c r="N31" s="98">
        <v>12720</v>
      </c>
    </row>
    <row r="32" spans="1:14">
      <c r="A32" s="97"/>
      <c r="B32" s="97"/>
      <c r="C32" s="97" t="s">
        <v>42</v>
      </c>
      <c r="D32">
        <v>2691</v>
      </c>
      <c r="I32"/>
      <c r="J32"/>
      <c r="K32" t="s">
        <v>30</v>
      </c>
      <c r="L32"/>
      <c r="M32" s="98">
        <v>2720</v>
      </c>
      <c r="N32" s="98">
        <v>2720</v>
      </c>
    </row>
    <row r="33" spans="1:14">
      <c r="A33" s="97"/>
      <c r="B33" s="97" t="s">
        <v>353</v>
      </c>
      <c r="C33" s="97"/>
      <c r="D33"/>
      <c r="I33"/>
      <c r="J33"/>
      <c r="K33"/>
      <c r="L33" t="s">
        <v>329</v>
      </c>
      <c r="M33" s="98">
        <v>2720</v>
      </c>
      <c r="N33" s="98"/>
    </row>
    <row r="34" spans="1:14">
      <c r="A34" s="97"/>
      <c r="B34" s="97"/>
      <c r="C34" s="97" t="s">
        <v>55</v>
      </c>
      <c r="D34">
        <v>1750</v>
      </c>
      <c r="I34"/>
      <c r="J34"/>
      <c r="K34"/>
      <c r="L34" t="s">
        <v>333</v>
      </c>
      <c r="M34" s="98"/>
      <c r="N34" s="98">
        <v>2720</v>
      </c>
    </row>
    <row r="35" spans="1:14">
      <c r="A35" s="97"/>
      <c r="B35" s="97"/>
      <c r="C35" s="97" t="s">
        <v>57</v>
      </c>
      <c r="D35">
        <v>4500</v>
      </c>
      <c r="I35"/>
      <c r="J35"/>
      <c r="K35" t="s">
        <v>32</v>
      </c>
      <c r="L35"/>
      <c r="M35" s="98">
        <v>10000</v>
      </c>
      <c r="N35" s="98">
        <v>10000</v>
      </c>
    </row>
    <row r="36" spans="1:14">
      <c r="A36" s="97"/>
      <c r="B36" s="97" t="s">
        <v>354</v>
      </c>
      <c r="C36" s="97"/>
      <c r="D36"/>
      <c r="I36"/>
      <c r="J36"/>
      <c r="K36"/>
      <c r="L36" t="s">
        <v>329</v>
      </c>
      <c r="M36" s="98">
        <v>7000</v>
      </c>
      <c r="N36" s="98"/>
    </row>
    <row r="37" spans="1:14">
      <c r="A37" s="97"/>
      <c r="B37" s="97"/>
      <c r="C37" s="97" t="s">
        <v>59</v>
      </c>
      <c r="D37">
        <v>50</v>
      </c>
      <c r="I37"/>
      <c r="J37"/>
      <c r="K37"/>
      <c r="L37" t="s">
        <v>333</v>
      </c>
      <c r="M37" s="98">
        <v>3000</v>
      </c>
      <c r="N37" s="98">
        <v>7000</v>
      </c>
    </row>
    <row r="38" spans="1:14">
      <c r="A38" s="97"/>
      <c r="B38" s="97"/>
      <c r="C38" s="97" t="s">
        <v>61</v>
      </c>
      <c r="D38">
        <v>113</v>
      </c>
      <c r="I38"/>
      <c r="J38"/>
      <c r="K38"/>
      <c r="L38" t="s">
        <v>337</v>
      </c>
      <c r="M38" s="98"/>
      <c r="N38" s="98">
        <v>3000</v>
      </c>
    </row>
    <row r="39" spans="1:14">
      <c r="A39" s="97"/>
      <c r="B39" s="97" t="s">
        <v>355</v>
      </c>
      <c r="C39" s="97"/>
      <c r="D39"/>
      <c r="I39"/>
      <c r="J39" t="s">
        <v>350</v>
      </c>
      <c r="K39"/>
      <c r="L39"/>
      <c r="M39" s="98">
        <v>445500</v>
      </c>
      <c r="N39" s="98">
        <v>445500</v>
      </c>
    </row>
    <row r="40" spans="1:14">
      <c r="A40" s="97"/>
      <c r="B40" s="97"/>
      <c r="C40" s="97" t="s">
        <v>94</v>
      </c>
      <c r="D40">
        <v>1200</v>
      </c>
      <c r="I40"/>
      <c r="J40"/>
      <c r="K40" t="s">
        <v>34</v>
      </c>
      <c r="L40"/>
      <c r="M40" s="98">
        <v>324000</v>
      </c>
      <c r="N40" s="98">
        <v>324000</v>
      </c>
    </row>
    <row r="41" spans="1:14">
      <c r="A41" s="97"/>
      <c r="B41" s="97"/>
      <c r="C41" s="97" t="s">
        <v>96</v>
      </c>
      <c r="D41">
        <v>240</v>
      </c>
      <c r="I41"/>
      <c r="J41"/>
      <c r="K41"/>
      <c r="L41" t="s">
        <v>330</v>
      </c>
      <c r="M41" s="98">
        <v>324000</v>
      </c>
      <c r="N41" s="98"/>
    </row>
    <row r="42" spans="1:14">
      <c r="A42" s="97"/>
      <c r="B42" s="97"/>
      <c r="C42" s="97" t="s">
        <v>98</v>
      </c>
      <c r="D42">
        <v>1200</v>
      </c>
      <c r="I42"/>
      <c r="J42"/>
      <c r="K42"/>
      <c r="L42" t="s">
        <v>334</v>
      </c>
      <c r="M42" s="98"/>
      <c r="N42" s="98">
        <v>324000</v>
      </c>
    </row>
    <row r="43" spans="1:14">
      <c r="A43" s="97"/>
      <c r="B43" s="97"/>
      <c r="C43" s="97" t="s">
        <v>100</v>
      </c>
      <c r="D43">
        <v>300</v>
      </c>
      <c r="I43"/>
      <c r="J43"/>
      <c r="K43" t="s">
        <v>36</v>
      </c>
      <c r="L43"/>
      <c r="M43" s="98">
        <v>121500</v>
      </c>
      <c r="N43" s="98">
        <v>121500</v>
      </c>
    </row>
    <row r="44" spans="1:14">
      <c r="A44" s="97"/>
      <c r="B44" s="97"/>
      <c r="C44" s="97" t="s">
        <v>102</v>
      </c>
      <c r="D44">
        <v>2100</v>
      </c>
      <c r="I44"/>
      <c r="J44"/>
      <c r="K44"/>
      <c r="L44" t="s">
        <v>329</v>
      </c>
      <c r="M44" s="98">
        <v>86400</v>
      </c>
      <c r="N44" s="98"/>
    </row>
    <row r="45" spans="1:14">
      <c r="A45" s="97"/>
      <c r="B45" s="97"/>
      <c r="C45" s="97" t="s">
        <v>104</v>
      </c>
      <c r="D45">
        <v>3100</v>
      </c>
      <c r="I45"/>
      <c r="J45"/>
      <c r="K45"/>
      <c r="L45" t="s">
        <v>333</v>
      </c>
      <c r="M45" s="98">
        <v>35100</v>
      </c>
      <c r="N45" s="98">
        <v>86400</v>
      </c>
    </row>
    <row r="46" spans="1:14">
      <c r="A46" s="97" t="s">
        <v>105</v>
      </c>
      <c r="B46" s="97"/>
      <c r="C46" s="97"/>
      <c r="D46">
        <v>17156</v>
      </c>
      <c r="I46"/>
      <c r="J46"/>
      <c r="K46"/>
      <c r="L46" t="s">
        <v>337</v>
      </c>
      <c r="M46" s="98"/>
      <c r="N46" s="98">
        <v>35100</v>
      </c>
    </row>
    <row r="47" spans="1:14">
      <c r="A47" s="97"/>
      <c r="B47" s="97" t="s">
        <v>356</v>
      </c>
      <c r="C47" s="97"/>
      <c r="D47"/>
      <c r="I47"/>
      <c r="J47" t="s">
        <v>351</v>
      </c>
      <c r="K47"/>
      <c r="L47"/>
      <c r="M47" s="98">
        <v>14250</v>
      </c>
      <c r="N47" s="98">
        <v>14250</v>
      </c>
    </row>
    <row r="48" spans="1:14">
      <c r="A48" s="97"/>
      <c r="B48" s="97"/>
      <c r="C48" s="97" t="s">
        <v>128</v>
      </c>
      <c r="D48">
        <v>3000</v>
      </c>
      <c r="I48"/>
      <c r="J48"/>
      <c r="K48" t="s">
        <v>86</v>
      </c>
      <c r="L48"/>
      <c r="M48" s="98">
        <v>6000</v>
      </c>
      <c r="N48" s="98">
        <v>6000</v>
      </c>
    </row>
    <row r="49" spans="1:14">
      <c r="A49" s="97"/>
      <c r="B49" s="97"/>
      <c r="C49" s="97" t="s">
        <v>107</v>
      </c>
      <c r="D49">
        <v>650</v>
      </c>
      <c r="I49"/>
      <c r="J49"/>
      <c r="K49"/>
      <c r="L49" t="s">
        <v>329</v>
      </c>
      <c r="M49" s="98">
        <v>6000</v>
      </c>
      <c r="N49" s="98"/>
    </row>
    <row r="50" spans="1:14">
      <c r="A50" s="97"/>
      <c r="B50" s="97"/>
      <c r="C50" s="97" t="s">
        <v>115</v>
      </c>
      <c r="D50">
        <v>280</v>
      </c>
      <c r="I50"/>
      <c r="J50"/>
      <c r="K50"/>
      <c r="L50" t="s">
        <v>332</v>
      </c>
      <c r="M50" s="98"/>
      <c r="N50" s="98">
        <v>6000</v>
      </c>
    </row>
    <row r="51" spans="1:14">
      <c r="A51" s="97"/>
      <c r="B51" s="97"/>
      <c r="C51" s="97" t="s">
        <v>119</v>
      </c>
      <c r="D51">
        <v>330</v>
      </c>
      <c r="I51"/>
      <c r="J51"/>
      <c r="K51" t="s">
        <v>88</v>
      </c>
      <c r="L51"/>
      <c r="M51" s="98">
        <v>1500</v>
      </c>
      <c r="N51" s="98">
        <v>1500</v>
      </c>
    </row>
    <row r="52" spans="1:14">
      <c r="A52" s="97"/>
      <c r="B52" s="97" t="s">
        <v>357</v>
      </c>
      <c r="C52" s="97"/>
      <c r="D52"/>
      <c r="I52"/>
      <c r="J52"/>
      <c r="K52"/>
      <c r="L52" t="s">
        <v>329</v>
      </c>
      <c r="M52" s="98">
        <v>1500</v>
      </c>
      <c r="N52" s="98"/>
    </row>
    <row r="53" spans="1:14">
      <c r="A53" s="97"/>
      <c r="B53" s="97"/>
      <c r="C53" s="97" t="s">
        <v>133</v>
      </c>
      <c r="D53">
        <v>1000</v>
      </c>
      <c r="I53"/>
      <c r="J53"/>
      <c r="K53"/>
      <c r="L53" t="s">
        <v>332</v>
      </c>
      <c r="M53" s="98"/>
      <c r="N53" s="98">
        <v>1500</v>
      </c>
    </row>
    <row r="54" spans="1:14">
      <c r="A54" s="97"/>
      <c r="B54" s="97"/>
      <c r="C54" s="97" t="s">
        <v>117</v>
      </c>
      <c r="D54">
        <v>160</v>
      </c>
      <c r="I54"/>
      <c r="J54"/>
      <c r="K54" t="s">
        <v>90</v>
      </c>
      <c r="L54"/>
      <c r="M54" s="98">
        <v>2750</v>
      </c>
      <c r="N54" s="98">
        <v>2750</v>
      </c>
    </row>
    <row r="55" spans="1:14">
      <c r="A55" s="97"/>
      <c r="B55" s="97"/>
      <c r="C55" s="97" t="s">
        <v>121</v>
      </c>
      <c r="D55">
        <v>200</v>
      </c>
      <c r="I55"/>
      <c r="J55"/>
      <c r="K55"/>
      <c r="L55" t="s">
        <v>329</v>
      </c>
      <c r="M55" s="98">
        <v>2750</v>
      </c>
      <c r="N55" s="98"/>
    </row>
    <row r="56" spans="1:14">
      <c r="A56" s="97"/>
      <c r="B56" s="97" t="s">
        <v>358</v>
      </c>
      <c r="C56" s="97"/>
      <c r="D56"/>
      <c r="I56"/>
      <c r="J56"/>
      <c r="K56"/>
      <c r="L56" t="s">
        <v>332</v>
      </c>
      <c r="M56" s="98"/>
      <c r="N56" s="98">
        <v>2750</v>
      </c>
    </row>
    <row r="57" spans="1:14">
      <c r="A57" s="97"/>
      <c r="B57" s="97"/>
      <c r="C57" s="97" t="s">
        <v>135</v>
      </c>
      <c r="D57">
        <v>140</v>
      </c>
      <c r="I57"/>
      <c r="J57"/>
      <c r="K57" t="s">
        <v>92</v>
      </c>
      <c r="L57"/>
      <c r="M57" s="98">
        <v>4000</v>
      </c>
      <c r="N57" s="98">
        <v>4000</v>
      </c>
    </row>
    <row r="58" spans="1:14">
      <c r="A58" s="97"/>
      <c r="B58" s="97"/>
      <c r="C58" s="97" t="s">
        <v>137</v>
      </c>
      <c r="D58">
        <v>200</v>
      </c>
      <c r="I58"/>
      <c r="J58"/>
      <c r="K58"/>
      <c r="L58" t="s">
        <v>329</v>
      </c>
      <c r="M58" s="98">
        <v>4000</v>
      </c>
      <c r="N58" s="98"/>
    </row>
    <row r="59" spans="1:14">
      <c r="A59" s="97"/>
      <c r="B59" s="97"/>
      <c r="C59" s="97" t="s">
        <v>139</v>
      </c>
      <c r="D59">
        <v>140</v>
      </c>
      <c r="I59"/>
      <c r="J59"/>
      <c r="K59"/>
      <c r="L59" t="s">
        <v>333</v>
      </c>
      <c r="M59" s="98"/>
      <c r="N59" s="98">
        <v>4000</v>
      </c>
    </row>
    <row r="60" spans="1:14">
      <c r="A60" s="97"/>
      <c r="B60" s="97"/>
      <c r="C60" s="97" t="s">
        <v>141</v>
      </c>
      <c r="D60">
        <v>400</v>
      </c>
      <c r="I60"/>
      <c r="J60" t="s">
        <v>352</v>
      </c>
      <c r="K60"/>
      <c r="L60"/>
      <c r="M60" s="98">
        <v>11166</v>
      </c>
      <c r="N60" s="98">
        <v>11166</v>
      </c>
    </row>
    <row r="61" spans="1:14">
      <c r="A61" s="97"/>
      <c r="B61" s="97"/>
      <c r="C61" s="97" t="s">
        <v>143</v>
      </c>
      <c r="D61">
        <v>300</v>
      </c>
      <c r="I61"/>
      <c r="J61"/>
      <c r="K61" t="s">
        <v>38</v>
      </c>
      <c r="L61"/>
      <c r="M61" s="98">
        <v>975</v>
      </c>
      <c r="N61" s="98">
        <v>975</v>
      </c>
    </row>
    <row r="62" spans="1:14">
      <c r="A62" s="97"/>
      <c r="B62" s="97"/>
      <c r="C62" s="97" t="s">
        <v>147</v>
      </c>
      <c r="D62">
        <v>200</v>
      </c>
      <c r="I62"/>
      <c r="J62"/>
      <c r="K62"/>
      <c r="L62" t="s">
        <v>329</v>
      </c>
      <c r="M62" s="98">
        <v>975</v>
      </c>
      <c r="N62" s="98"/>
    </row>
    <row r="63" spans="1:14">
      <c r="A63" s="97"/>
      <c r="B63" s="97"/>
      <c r="C63" s="97" t="s">
        <v>149</v>
      </c>
      <c r="D63">
        <v>140</v>
      </c>
      <c r="I63"/>
      <c r="J63"/>
      <c r="K63"/>
      <c r="L63" t="s">
        <v>331</v>
      </c>
      <c r="M63" s="98"/>
      <c r="N63" s="98">
        <v>975</v>
      </c>
    </row>
    <row r="64" spans="1:14">
      <c r="A64" s="97"/>
      <c r="B64" s="97"/>
      <c r="C64" s="97" t="s">
        <v>153</v>
      </c>
      <c r="D64">
        <v>140</v>
      </c>
      <c r="I64"/>
      <c r="J64"/>
      <c r="K64" t="s">
        <v>40</v>
      </c>
      <c r="L64"/>
      <c r="M64" s="98">
        <v>7500</v>
      </c>
      <c r="N64" s="98">
        <v>7500</v>
      </c>
    </row>
    <row r="65" spans="1:14">
      <c r="A65" s="97"/>
      <c r="B65" s="97"/>
      <c r="C65" s="97" t="s">
        <v>157</v>
      </c>
      <c r="D65">
        <v>140</v>
      </c>
      <c r="I65"/>
      <c r="J65"/>
      <c r="K65"/>
      <c r="L65" t="s">
        <v>329</v>
      </c>
      <c r="M65" s="98">
        <v>7500</v>
      </c>
      <c r="N65" s="98"/>
    </row>
    <row r="66" spans="1:14">
      <c r="A66" s="97"/>
      <c r="B66" s="97" t="s">
        <v>432</v>
      </c>
      <c r="C66" s="97"/>
      <c r="D66"/>
      <c r="I66"/>
      <c r="J66"/>
      <c r="K66"/>
      <c r="L66" t="s">
        <v>333</v>
      </c>
      <c r="M66" s="98"/>
      <c r="N66" s="98">
        <v>7500</v>
      </c>
    </row>
    <row r="67" spans="1:14">
      <c r="A67" s="97"/>
      <c r="B67" s="97"/>
      <c r="C67" s="97" t="s">
        <v>135</v>
      </c>
      <c r="D67">
        <v>70</v>
      </c>
      <c r="I67"/>
      <c r="J67"/>
      <c r="K67" t="s">
        <v>42</v>
      </c>
      <c r="L67"/>
      <c r="M67" s="98">
        <v>2691</v>
      </c>
      <c r="N67" s="98">
        <v>2691</v>
      </c>
    </row>
    <row r="68" spans="1:14">
      <c r="A68" s="97"/>
      <c r="B68" s="97" t="s">
        <v>359</v>
      </c>
      <c r="C68" s="97"/>
      <c r="D68"/>
      <c r="I68"/>
      <c r="J68"/>
      <c r="K68"/>
      <c r="L68" t="s">
        <v>329</v>
      </c>
      <c r="M68" s="98">
        <v>1913.6</v>
      </c>
      <c r="N68" s="98"/>
    </row>
    <row r="69" spans="1:14">
      <c r="A69" s="97"/>
      <c r="B69" s="97"/>
      <c r="C69" s="97" t="s">
        <v>145</v>
      </c>
      <c r="D69">
        <v>200</v>
      </c>
      <c r="I69"/>
      <c r="J69"/>
      <c r="K69"/>
      <c r="L69" t="s">
        <v>333</v>
      </c>
      <c r="M69" s="98">
        <v>777.4</v>
      </c>
      <c r="N69" s="98">
        <v>1913.6</v>
      </c>
    </row>
    <row r="70" spans="1:14">
      <c r="A70" s="97"/>
      <c r="B70" s="97"/>
      <c r="C70" s="97" t="s">
        <v>151</v>
      </c>
      <c r="D70">
        <v>150</v>
      </c>
      <c r="I70"/>
      <c r="J70"/>
      <c r="K70"/>
      <c r="L70" t="s">
        <v>337</v>
      </c>
      <c r="M70" s="98"/>
      <c r="N70" s="98">
        <v>777.4</v>
      </c>
    </row>
    <row r="71" spans="1:14">
      <c r="A71" s="97"/>
      <c r="B71" s="97"/>
      <c r="C71" s="97" t="s">
        <v>155</v>
      </c>
      <c r="D71">
        <v>50</v>
      </c>
      <c r="I71"/>
      <c r="J71" t="s">
        <v>353</v>
      </c>
      <c r="K71"/>
      <c r="L71"/>
      <c r="M71" s="98">
        <v>6250</v>
      </c>
      <c r="N71" s="98">
        <v>6250</v>
      </c>
    </row>
    <row r="72" spans="1:14">
      <c r="A72" s="97"/>
      <c r="B72" s="97"/>
      <c r="C72" s="97" t="s">
        <v>159</v>
      </c>
      <c r="D72">
        <v>50</v>
      </c>
      <c r="I72"/>
      <c r="J72"/>
      <c r="K72" t="s">
        <v>55</v>
      </c>
      <c r="L72"/>
      <c r="M72" s="98">
        <v>1750</v>
      </c>
      <c r="N72" s="98">
        <v>1750</v>
      </c>
    </row>
    <row r="73" spans="1:14">
      <c r="A73" s="97"/>
      <c r="B73" s="97"/>
      <c r="C73" s="97" t="s">
        <v>161</v>
      </c>
      <c r="D73">
        <v>350</v>
      </c>
      <c r="I73"/>
      <c r="J73"/>
      <c r="K73"/>
      <c r="L73" t="s">
        <v>329</v>
      </c>
      <c r="M73" s="98">
        <v>1750</v>
      </c>
      <c r="N73" s="98"/>
    </row>
    <row r="74" spans="1:14">
      <c r="A74" s="97"/>
      <c r="B74" s="97"/>
      <c r="C74" s="97" t="s">
        <v>163</v>
      </c>
      <c r="D74">
        <v>400</v>
      </c>
      <c r="I74"/>
      <c r="J74"/>
      <c r="K74"/>
      <c r="L74" t="s">
        <v>333</v>
      </c>
      <c r="M74" s="98"/>
      <c r="N74" s="98">
        <v>1750</v>
      </c>
    </row>
    <row r="75" spans="1:14">
      <c r="A75" s="97"/>
      <c r="B75" s="97" t="s">
        <v>360</v>
      </c>
      <c r="C75" s="97"/>
      <c r="D75"/>
      <c r="I75"/>
      <c r="J75"/>
      <c r="K75" t="s">
        <v>57</v>
      </c>
      <c r="L75"/>
      <c r="M75" s="98">
        <v>4500</v>
      </c>
      <c r="N75" s="98">
        <v>4500</v>
      </c>
    </row>
    <row r="76" spans="1:14">
      <c r="A76" s="97"/>
      <c r="B76" s="97"/>
      <c r="C76" s="97" t="s">
        <v>109</v>
      </c>
      <c r="D76">
        <v>192</v>
      </c>
      <c r="I76"/>
      <c r="J76"/>
      <c r="K76"/>
      <c r="L76" t="s">
        <v>329</v>
      </c>
      <c r="M76" s="98">
        <v>3800</v>
      </c>
      <c r="N76" s="98"/>
    </row>
    <row r="77" spans="1:14">
      <c r="A77" s="97"/>
      <c r="B77" s="97"/>
      <c r="C77" s="97" t="s">
        <v>111</v>
      </c>
      <c r="D77">
        <v>576</v>
      </c>
      <c r="I77"/>
      <c r="J77"/>
      <c r="K77"/>
      <c r="L77" t="s">
        <v>333</v>
      </c>
      <c r="M77" s="98">
        <v>700</v>
      </c>
      <c r="N77" s="98">
        <v>3800</v>
      </c>
    </row>
    <row r="78" spans="1:14">
      <c r="A78" s="97"/>
      <c r="B78" s="97"/>
      <c r="C78" s="97" t="s">
        <v>113</v>
      </c>
      <c r="D78">
        <v>7098</v>
      </c>
      <c r="I78"/>
      <c r="J78"/>
      <c r="K78"/>
      <c r="L78" t="s">
        <v>337</v>
      </c>
      <c r="M78" s="98"/>
      <c r="N78" s="98">
        <v>700</v>
      </c>
    </row>
    <row r="79" spans="1:14">
      <c r="A79" s="97"/>
      <c r="B79" s="97" t="s">
        <v>361</v>
      </c>
      <c r="C79" s="97"/>
      <c r="D79"/>
      <c r="I79"/>
      <c r="J79" t="s">
        <v>354</v>
      </c>
      <c r="K79"/>
      <c r="L79"/>
      <c r="M79" s="98">
        <v>163</v>
      </c>
      <c r="N79" s="98">
        <v>163</v>
      </c>
    </row>
    <row r="80" spans="1:14">
      <c r="A80" s="97"/>
      <c r="B80" s="97"/>
      <c r="C80" s="97" t="s">
        <v>165</v>
      </c>
      <c r="D80">
        <v>600</v>
      </c>
      <c r="I80"/>
      <c r="J80"/>
      <c r="K80" t="s">
        <v>59</v>
      </c>
      <c r="L80"/>
      <c r="M80" s="98">
        <v>50</v>
      </c>
      <c r="N80" s="98">
        <v>50</v>
      </c>
    </row>
    <row r="81" spans="1:14">
      <c r="A81" s="97" t="s">
        <v>166</v>
      </c>
      <c r="B81" s="97"/>
      <c r="C81" s="97"/>
      <c r="D81">
        <v>5500</v>
      </c>
      <c r="I81"/>
      <c r="J81"/>
      <c r="K81"/>
      <c r="L81" t="s">
        <v>328</v>
      </c>
      <c r="M81" s="98">
        <v>50</v>
      </c>
      <c r="N81" s="98"/>
    </row>
    <row r="82" spans="1:14">
      <c r="A82" s="97"/>
      <c r="B82" s="97" t="s">
        <v>362</v>
      </c>
      <c r="C82" s="97"/>
      <c r="D82"/>
      <c r="I82"/>
      <c r="J82"/>
      <c r="K82"/>
      <c r="L82" t="s">
        <v>331</v>
      </c>
      <c r="M82" s="98"/>
      <c r="N82" s="98">
        <v>50</v>
      </c>
    </row>
    <row r="83" spans="1:14">
      <c r="A83" s="97"/>
      <c r="B83" s="97"/>
      <c r="C83" s="97" t="s">
        <v>168</v>
      </c>
      <c r="D83">
        <v>5500</v>
      </c>
      <c r="I83"/>
      <c r="J83"/>
      <c r="K83" t="s">
        <v>61</v>
      </c>
      <c r="L83"/>
      <c r="M83" s="98">
        <v>113</v>
      </c>
      <c r="N83" s="98">
        <v>113</v>
      </c>
    </row>
    <row r="84" spans="1:14">
      <c r="A84" s="97" t="s">
        <v>169</v>
      </c>
      <c r="B84" s="97"/>
      <c r="C84" s="97"/>
      <c r="D84">
        <v>122600</v>
      </c>
      <c r="I84"/>
      <c r="J84"/>
      <c r="K84"/>
      <c r="L84" t="s">
        <v>328</v>
      </c>
      <c r="M84" s="98">
        <v>113</v>
      </c>
      <c r="N84" s="98"/>
    </row>
    <row r="85" spans="1:14">
      <c r="A85" s="97"/>
      <c r="B85" s="97" t="s">
        <v>363</v>
      </c>
      <c r="C85" s="97"/>
      <c r="D85"/>
      <c r="I85"/>
      <c r="J85"/>
      <c r="K85"/>
      <c r="L85" t="s">
        <v>331</v>
      </c>
      <c r="M85" s="98"/>
      <c r="N85" s="98">
        <v>113</v>
      </c>
    </row>
    <row r="86" spans="1:14">
      <c r="A86" s="97"/>
      <c r="B86" s="97"/>
      <c r="C86" s="97" t="s">
        <v>171</v>
      </c>
      <c r="D86">
        <v>36000</v>
      </c>
      <c r="I86"/>
      <c r="J86" t="s">
        <v>355</v>
      </c>
      <c r="K86"/>
      <c r="L86"/>
      <c r="M86" s="98">
        <v>8140</v>
      </c>
      <c r="N86" s="98">
        <v>8140</v>
      </c>
    </row>
    <row r="87" spans="1:14">
      <c r="A87" s="97"/>
      <c r="B87" s="97"/>
      <c r="C87" s="97" t="s">
        <v>173</v>
      </c>
      <c r="D87">
        <v>2400</v>
      </c>
      <c r="I87"/>
      <c r="J87"/>
      <c r="K87" t="s">
        <v>94</v>
      </c>
      <c r="L87"/>
      <c r="M87" s="98">
        <v>1200</v>
      </c>
      <c r="N87" s="98">
        <v>1200</v>
      </c>
    </row>
    <row r="88" spans="1:14">
      <c r="A88" s="97"/>
      <c r="B88" s="97"/>
      <c r="C88" s="97" t="s">
        <v>175</v>
      </c>
      <c r="D88">
        <v>2000</v>
      </c>
      <c r="I88"/>
      <c r="J88"/>
      <c r="K88"/>
      <c r="L88" t="s">
        <v>330</v>
      </c>
      <c r="M88" s="98">
        <v>1200</v>
      </c>
      <c r="N88" s="98"/>
    </row>
    <row r="89" spans="1:14">
      <c r="A89" s="97"/>
      <c r="B89" s="97"/>
      <c r="C89" s="97" t="s">
        <v>177</v>
      </c>
      <c r="D89">
        <v>15000</v>
      </c>
      <c r="I89"/>
      <c r="J89"/>
      <c r="K89"/>
      <c r="L89" t="s">
        <v>334</v>
      </c>
      <c r="M89" s="98"/>
      <c r="N89" s="98">
        <v>1200</v>
      </c>
    </row>
    <row r="90" spans="1:14">
      <c r="A90" s="97"/>
      <c r="B90" s="97"/>
      <c r="C90" s="97" t="s">
        <v>179</v>
      </c>
      <c r="D90">
        <v>1800</v>
      </c>
      <c r="I90"/>
      <c r="J90"/>
      <c r="K90" t="s">
        <v>96</v>
      </c>
      <c r="L90"/>
      <c r="M90" s="98">
        <v>240</v>
      </c>
      <c r="N90" s="98">
        <v>240</v>
      </c>
    </row>
    <row r="91" spans="1:14">
      <c r="A91" s="97"/>
      <c r="B91" s="97"/>
      <c r="C91" s="97" t="s">
        <v>181</v>
      </c>
      <c r="D91">
        <v>21000</v>
      </c>
      <c r="I91"/>
      <c r="J91"/>
      <c r="K91"/>
      <c r="L91" t="s">
        <v>330</v>
      </c>
      <c r="M91" s="98">
        <v>240</v>
      </c>
      <c r="N91" s="98"/>
    </row>
    <row r="92" spans="1:14">
      <c r="A92" s="97"/>
      <c r="B92" s="97" t="s">
        <v>364</v>
      </c>
      <c r="C92" s="97"/>
      <c r="D92"/>
      <c r="I92"/>
      <c r="J92"/>
      <c r="K92"/>
      <c r="L92" t="s">
        <v>334</v>
      </c>
      <c r="M92" s="98"/>
      <c r="N92" s="98">
        <v>240</v>
      </c>
    </row>
    <row r="93" spans="1:14">
      <c r="A93" s="97"/>
      <c r="B93" s="97"/>
      <c r="C93" s="97" t="s">
        <v>183</v>
      </c>
      <c r="D93">
        <v>11000</v>
      </c>
      <c r="I93"/>
      <c r="J93"/>
      <c r="K93" t="s">
        <v>98</v>
      </c>
      <c r="L93"/>
      <c r="M93" s="98">
        <v>1200</v>
      </c>
      <c r="N93" s="98">
        <v>1200</v>
      </c>
    </row>
    <row r="94" spans="1:14">
      <c r="A94" s="97"/>
      <c r="B94" s="97"/>
      <c r="C94" s="97" t="s">
        <v>196</v>
      </c>
      <c r="D94">
        <v>4000</v>
      </c>
      <c r="I94"/>
      <c r="J94"/>
      <c r="K94"/>
      <c r="L94" t="s">
        <v>330</v>
      </c>
      <c r="M94" s="98">
        <v>1200</v>
      </c>
      <c r="N94" s="98"/>
    </row>
    <row r="95" spans="1:14">
      <c r="A95" s="97"/>
      <c r="B95" s="97" t="s">
        <v>365</v>
      </c>
      <c r="C95" s="97"/>
      <c r="D95"/>
      <c r="I95"/>
      <c r="J95"/>
      <c r="K95"/>
      <c r="L95" t="s">
        <v>334</v>
      </c>
      <c r="M95" s="98"/>
      <c r="N95" s="98">
        <v>1200</v>
      </c>
    </row>
    <row r="96" spans="1:14">
      <c r="A96" s="97"/>
      <c r="B96" s="97"/>
      <c r="C96" s="97" t="s">
        <v>185</v>
      </c>
      <c r="D96">
        <v>4400</v>
      </c>
      <c r="I96"/>
      <c r="J96"/>
      <c r="K96" t="s">
        <v>100</v>
      </c>
      <c r="L96"/>
      <c r="M96" s="98">
        <v>300</v>
      </c>
      <c r="N96" s="98">
        <v>300</v>
      </c>
    </row>
    <row r="97" spans="1:14">
      <c r="A97" s="97"/>
      <c r="B97" s="97"/>
      <c r="C97" s="97" t="s">
        <v>198</v>
      </c>
      <c r="D97">
        <v>20000</v>
      </c>
      <c r="I97"/>
      <c r="J97"/>
      <c r="K97"/>
      <c r="L97" t="s">
        <v>330</v>
      </c>
      <c r="M97" s="98">
        <v>300</v>
      </c>
      <c r="N97" s="98"/>
    </row>
    <row r="98" spans="1:14">
      <c r="A98" s="97"/>
      <c r="B98" s="97" t="s">
        <v>366</v>
      </c>
      <c r="C98" s="97"/>
      <c r="D98"/>
      <c r="I98"/>
      <c r="J98"/>
      <c r="K98"/>
      <c r="L98" t="s">
        <v>334</v>
      </c>
      <c r="M98" s="98"/>
      <c r="N98" s="98">
        <v>300</v>
      </c>
    </row>
    <row r="99" spans="1:14">
      <c r="A99" s="97"/>
      <c r="B99" s="97"/>
      <c r="C99" s="97" t="s">
        <v>194</v>
      </c>
      <c r="D99">
        <v>5000</v>
      </c>
      <c r="I99"/>
      <c r="J99"/>
      <c r="K99" t="s">
        <v>102</v>
      </c>
      <c r="L99"/>
      <c r="M99" s="98">
        <v>2100</v>
      </c>
      <c r="N99" s="98">
        <v>2100</v>
      </c>
    </row>
    <row r="100" spans="1:14">
      <c r="A100" s="97" t="s">
        <v>208</v>
      </c>
      <c r="B100" s="97"/>
      <c r="C100" s="97"/>
      <c r="D100">
        <v>35000</v>
      </c>
      <c r="I100"/>
      <c r="J100"/>
      <c r="K100"/>
      <c r="L100" t="s">
        <v>332</v>
      </c>
      <c r="M100" s="98">
        <v>2100</v>
      </c>
      <c r="N100" s="98"/>
    </row>
    <row r="101" spans="1:14">
      <c r="A101" s="97"/>
      <c r="B101" s="97" t="s">
        <v>367</v>
      </c>
      <c r="C101" s="97"/>
      <c r="D101"/>
      <c r="I101"/>
      <c r="J101"/>
      <c r="K101"/>
      <c r="L101" t="s">
        <v>335</v>
      </c>
      <c r="M101" s="98"/>
      <c r="N101" s="98">
        <v>2100</v>
      </c>
    </row>
    <row r="102" spans="1:14">
      <c r="A102" s="97"/>
      <c r="B102" s="97"/>
      <c r="C102" s="97" t="s">
        <v>210</v>
      </c>
      <c r="D102">
        <v>25000</v>
      </c>
      <c r="I102"/>
      <c r="J102"/>
      <c r="K102" t="s">
        <v>104</v>
      </c>
      <c r="L102"/>
      <c r="M102" s="98">
        <v>3100</v>
      </c>
      <c r="N102" s="98">
        <v>3100</v>
      </c>
    </row>
    <row r="103" spans="1:14">
      <c r="A103" s="97"/>
      <c r="B103" s="97"/>
      <c r="C103" s="97" t="s">
        <v>212</v>
      </c>
      <c r="D103">
        <v>10000</v>
      </c>
      <c r="I103"/>
      <c r="J103"/>
      <c r="K103"/>
      <c r="L103" t="s">
        <v>332</v>
      </c>
      <c r="M103" s="98">
        <v>3100</v>
      </c>
      <c r="N103" s="98"/>
    </row>
    <row r="104" spans="1:14">
      <c r="A104" s="97"/>
      <c r="B104" s="97" t="s">
        <v>433</v>
      </c>
      <c r="C104" s="97"/>
      <c r="D104"/>
      <c r="I104"/>
      <c r="J104"/>
      <c r="K104"/>
      <c r="L104" t="s">
        <v>336</v>
      </c>
      <c r="M104" s="98"/>
      <c r="N104" s="98">
        <v>3100</v>
      </c>
    </row>
    <row r="105" spans="1:14">
      <c r="A105" s="97"/>
      <c r="B105" s="97"/>
      <c r="C105" s="97" t="s">
        <v>214</v>
      </c>
      <c r="D105"/>
      <c r="I105" t="s">
        <v>105</v>
      </c>
      <c r="J105"/>
      <c r="K105"/>
      <c r="L105"/>
      <c r="M105" s="98">
        <v>17156</v>
      </c>
      <c r="N105" s="98">
        <v>17156</v>
      </c>
    </row>
    <row r="106" spans="1:14">
      <c r="A106" s="97"/>
      <c r="B106" s="97"/>
      <c r="C106" s="97" t="s">
        <v>216</v>
      </c>
      <c r="D106"/>
      <c r="I106"/>
      <c r="J106" t="s">
        <v>356</v>
      </c>
      <c r="K106"/>
      <c r="L106"/>
      <c r="M106" s="98">
        <v>4260</v>
      </c>
      <c r="N106" s="98">
        <v>4260</v>
      </c>
    </row>
    <row r="107" spans="1:14">
      <c r="A107" s="97" t="s">
        <v>225</v>
      </c>
      <c r="B107" s="97"/>
      <c r="C107" s="97"/>
      <c r="D107">
        <v>36509</v>
      </c>
      <c r="I107"/>
      <c r="J107"/>
      <c r="K107" t="s">
        <v>128</v>
      </c>
      <c r="L107"/>
      <c r="M107" s="98">
        <v>3000</v>
      </c>
      <c r="N107" s="98">
        <v>3000</v>
      </c>
    </row>
    <row r="108" spans="1:14">
      <c r="A108" s="97"/>
      <c r="B108" s="97" t="s">
        <v>225</v>
      </c>
      <c r="C108" s="97"/>
      <c r="D108"/>
      <c r="I108"/>
      <c r="J108"/>
      <c r="K108"/>
      <c r="L108" t="s">
        <v>329</v>
      </c>
      <c r="M108" s="98">
        <v>3000</v>
      </c>
      <c r="N108" s="98"/>
    </row>
    <row r="109" spans="1:14">
      <c r="A109" s="97"/>
      <c r="B109" s="97"/>
      <c r="C109" s="97" t="s">
        <v>227</v>
      </c>
      <c r="D109">
        <v>15000</v>
      </c>
      <c r="I109"/>
      <c r="J109"/>
      <c r="K109"/>
      <c r="L109" t="s">
        <v>333</v>
      </c>
      <c r="M109" s="98"/>
      <c r="N109" s="98">
        <v>3000</v>
      </c>
    </row>
    <row r="110" spans="1:14">
      <c r="A110" s="97"/>
      <c r="B110" s="97"/>
      <c r="C110" s="97" t="s">
        <v>229</v>
      </c>
      <c r="D110">
        <v>4000</v>
      </c>
      <c r="I110"/>
      <c r="J110"/>
      <c r="K110" t="s">
        <v>107</v>
      </c>
      <c r="L110"/>
      <c r="M110" s="98">
        <v>650</v>
      </c>
      <c r="N110" s="98">
        <v>650</v>
      </c>
    </row>
    <row r="111" spans="1:14">
      <c r="A111" s="97"/>
      <c r="B111" s="97"/>
      <c r="C111" s="97" t="s">
        <v>231</v>
      </c>
      <c r="D111">
        <v>500</v>
      </c>
      <c r="I111"/>
      <c r="J111"/>
      <c r="K111"/>
      <c r="L111" t="s">
        <v>329</v>
      </c>
      <c r="M111" s="98">
        <v>650</v>
      </c>
      <c r="N111" s="98"/>
    </row>
    <row r="112" spans="1:14">
      <c r="A112" s="97"/>
      <c r="B112" s="97"/>
      <c r="C112" s="97" t="s">
        <v>233</v>
      </c>
      <c r="D112">
        <v>17009</v>
      </c>
      <c r="I112"/>
      <c r="J112"/>
      <c r="K112"/>
      <c r="L112" t="s">
        <v>334</v>
      </c>
      <c r="M112" s="98"/>
      <c r="N112" s="98">
        <v>650</v>
      </c>
    </row>
    <row r="113" spans="1:14">
      <c r="A113" s="100" t="s">
        <v>368</v>
      </c>
      <c r="B113" s="100"/>
      <c r="C113" s="100"/>
      <c r="D113" s="101">
        <v>1005205</v>
      </c>
      <c r="I113"/>
      <c r="J113"/>
      <c r="K113" t="s">
        <v>115</v>
      </c>
      <c r="L113"/>
      <c r="M113" s="98">
        <v>280</v>
      </c>
      <c r="N113" s="98">
        <v>280</v>
      </c>
    </row>
    <row r="114" spans="1:14">
      <c r="A114"/>
      <c r="B114"/>
      <c r="C114"/>
      <c r="D114"/>
      <c r="I114"/>
      <c r="J114"/>
      <c r="K114"/>
      <c r="L114" t="s">
        <v>329</v>
      </c>
      <c r="M114" s="98">
        <v>280</v>
      </c>
      <c r="N114" s="98"/>
    </row>
    <row r="115" spans="1:14">
      <c r="A115"/>
      <c r="B115"/>
      <c r="C115"/>
      <c r="D115"/>
      <c r="I115"/>
      <c r="J115"/>
      <c r="K115"/>
      <c r="L115" t="s">
        <v>337</v>
      </c>
      <c r="M115" s="98"/>
      <c r="N115" s="98">
        <v>280</v>
      </c>
    </row>
    <row r="116" spans="1:14">
      <c r="A116"/>
      <c r="B116"/>
      <c r="C116"/>
      <c r="D116"/>
      <c r="I116"/>
      <c r="J116"/>
      <c r="K116" t="s">
        <v>119</v>
      </c>
      <c r="L116"/>
      <c r="M116" s="98">
        <v>330</v>
      </c>
      <c r="N116" s="98">
        <v>330</v>
      </c>
    </row>
    <row r="117" spans="1:14">
      <c r="A117"/>
      <c r="B117"/>
      <c r="C117"/>
      <c r="D117"/>
      <c r="I117"/>
      <c r="J117"/>
      <c r="K117"/>
      <c r="L117" t="s">
        <v>328</v>
      </c>
      <c r="M117" s="98">
        <v>330</v>
      </c>
      <c r="N117" s="98"/>
    </row>
    <row r="118" spans="1:14">
      <c r="A118"/>
      <c r="B118"/>
      <c r="C118"/>
      <c r="D118"/>
      <c r="I118"/>
      <c r="J118"/>
      <c r="K118"/>
      <c r="L118" t="s">
        <v>330</v>
      </c>
      <c r="M118" s="98"/>
      <c r="N118" s="98">
        <v>330</v>
      </c>
    </row>
    <row r="119" spans="1:14">
      <c r="A119"/>
      <c r="B119"/>
      <c r="C119"/>
      <c r="D119"/>
      <c r="I119"/>
      <c r="J119" t="s">
        <v>357</v>
      </c>
      <c r="K119"/>
      <c r="L119"/>
      <c r="M119" s="98">
        <v>1360</v>
      </c>
      <c r="N119" s="98">
        <v>1360</v>
      </c>
    </row>
    <row r="120" spans="1:14">
      <c r="A120"/>
      <c r="B120"/>
      <c r="C120"/>
      <c r="D120"/>
      <c r="I120"/>
      <c r="J120"/>
      <c r="K120" t="s">
        <v>133</v>
      </c>
      <c r="L120"/>
      <c r="M120" s="98">
        <v>1000</v>
      </c>
      <c r="N120" s="98">
        <v>1000</v>
      </c>
    </row>
    <row r="121" spans="9:14">
      <c r="I121"/>
      <c r="J121"/>
      <c r="K121"/>
      <c r="L121" t="s">
        <v>329</v>
      </c>
      <c r="M121" s="98">
        <v>1000</v>
      </c>
      <c r="N121" s="98"/>
    </row>
    <row r="122" spans="9:14">
      <c r="I122"/>
      <c r="J122"/>
      <c r="K122"/>
      <c r="L122" t="s">
        <v>333</v>
      </c>
      <c r="M122" s="98"/>
      <c r="N122" s="98">
        <v>1000</v>
      </c>
    </row>
    <row r="123" spans="9:14">
      <c r="I123"/>
      <c r="J123"/>
      <c r="K123" t="s">
        <v>117</v>
      </c>
      <c r="L123"/>
      <c r="M123" s="98">
        <v>160</v>
      </c>
      <c r="N123" s="98">
        <v>160</v>
      </c>
    </row>
    <row r="124" spans="9:14">
      <c r="I124"/>
      <c r="J124"/>
      <c r="K124"/>
      <c r="L124" t="s">
        <v>329</v>
      </c>
      <c r="M124" s="98">
        <v>160</v>
      </c>
      <c r="N124" s="98"/>
    </row>
    <row r="125" spans="9:14">
      <c r="I125"/>
      <c r="J125"/>
      <c r="K125"/>
      <c r="L125" t="s">
        <v>337</v>
      </c>
      <c r="M125" s="98"/>
      <c r="N125" s="98">
        <v>160</v>
      </c>
    </row>
    <row r="126" spans="9:14">
      <c r="I126"/>
      <c r="J126"/>
      <c r="K126" t="s">
        <v>121</v>
      </c>
      <c r="L126"/>
      <c r="M126" s="98">
        <v>200</v>
      </c>
      <c r="N126" s="98">
        <v>200</v>
      </c>
    </row>
    <row r="127" spans="9:14">
      <c r="I127"/>
      <c r="J127"/>
      <c r="K127"/>
      <c r="L127" t="s">
        <v>328</v>
      </c>
      <c r="M127" s="98">
        <v>200</v>
      </c>
      <c r="N127" s="98"/>
    </row>
    <row r="128" spans="9:14">
      <c r="I128"/>
      <c r="J128"/>
      <c r="K128"/>
      <c r="L128" t="s">
        <v>330</v>
      </c>
      <c r="M128" s="98"/>
      <c r="N128" s="98">
        <v>200</v>
      </c>
    </row>
    <row r="129" spans="9:14">
      <c r="I129"/>
      <c r="J129" t="s">
        <v>358</v>
      </c>
      <c r="K129"/>
      <c r="L129"/>
      <c r="M129" s="98">
        <v>1870</v>
      </c>
      <c r="N129" s="98">
        <v>1870</v>
      </c>
    </row>
    <row r="130" spans="9:14">
      <c r="I130"/>
      <c r="J130"/>
      <c r="K130" t="s">
        <v>135</v>
      </c>
      <c r="L130"/>
      <c r="M130" s="98">
        <v>210</v>
      </c>
      <c r="N130" s="98">
        <v>210</v>
      </c>
    </row>
    <row r="131" spans="9:14">
      <c r="I131"/>
      <c r="J131"/>
      <c r="K131"/>
      <c r="L131" t="s">
        <v>329</v>
      </c>
      <c r="M131" s="98">
        <v>210</v>
      </c>
      <c r="N131" s="98"/>
    </row>
    <row r="132" spans="9:14">
      <c r="I132"/>
      <c r="J132"/>
      <c r="K132"/>
      <c r="L132" t="s">
        <v>331</v>
      </c>
      <c r="M132" s="98"/>
      <c r="N132" s="98">
        <v>210</v>
      </c>
    </row>
    <row r="133" spans="9:14">
      <c r="I133"/>
      <c r="J133"/>
      <c r="K133" t="s">
        <v>137</v>
      </c>
      <c r="L133"/>
      <c r="M133" s="98">
        <v>200</v>
      </c>
      <c r="N133" s="98">
        <v>200</v>
      </c>
    </row>
    <row r="134" spans="9:14">
      <c r="I134"/>
      <c r="J134"/>
      <c r="K134"/>
      <c r="L134" t="s">
        <v>329</v>
      </c>
      <c r="M134" s="98">
        <v>200</v>
      </c>
      <c r="N134" s="98"/>
    </row>
    <row r="135" spans="9:14">
      <c r="I135"/>
      <c r="J135"/>
      <c r="K135"/>
      <c r="L135" t="s">
        <v>331</v>
      </c>
      <c r="M135" s="98"/>
      <c r="N135" s="98">
        <v>200</v>
      </c>
    </row>
    <row r="136" spans="9:14">
      <c r="I136"/>
      <c r="J136"/>
      <c r="K136" t="s">
        <v>139</v>
      </c>
      <c r="L136"/>
      <c r="M136" s="98">
        <v>140</v>
      </c>
      <c r="N136" s="98">
        <v>140</v>
      </c>
    </row>
    <row r="137" spans="9:14">
      <c r="I137"/>
      <c r="J137"/>
      <c r="K137"/>
      <c r="L137" t="s">
        <v>329</v>
      </c>
      <c r="M137" s="98">
        <v>140</v>
      </c>
      <c r="N137" s="98"/>
    </row>
    <row r="138" spans="9:14">
      <c r="I138"/>
      <c r="J138"/>
      <c r="K138"/>
      <c r="L138" t="s">
        <v>331</v>
      </c>
      <c r="M138" s="98"/>
      <c r="N138" s="98">
        <v>140</v>
      </c>
    </row>
    <row r="139" spans="9:14">
      <c r="I139"/>
      <c r="J139"/>
      <c r="K139" t="s">
        <v>141</v>
      </c>
      <c r="L139"/>
      <c r="M139" s="98">
        <v>400</v>
      </c>
      <c r="N139" s="98">
        <v>400</v>
      </c>
    </row>
    <row r="140" spans="9:14">
      <c r="I140"/>
      <c r="J140"/>
      <c r="K140"/>
      <c r="L140" t="s">
        <v>329</v>
      </c>
      <c r="M140" s="98">
        <v>400</v>
      </c>
      <c r="N140" s="98"/>
    </row>
    <row r="141" spans="9:14">
      <c r="I141"/>
      <c r="J141"/>
      <c r="K141"/>
      <c r="L141" t="s">
        <v>332</v>
      </c>
      <c r="M141" s="98"/>
      <c r="N141" s="98">
        <v>200</v>
      </c>
    </row>
    <row r="142" spans="9:14">
      <c r="I142"/>
      <c r="J142"/>
      <c r="K142"/>
      <c r="L142" t="s">
        <v>337</v>
      </c>
      <c r="M142" s="98"/>
      <c r="N142" s="98">
        <v>200</v>
      </c>
    </row>
    <row r="143" spans="9:14">
      <c r="I143"/>
      <c r="J143"/>
      <c r="K143" t="s">
        <v>143</v>
      </c>
      <c r="L143"/>
      <c r="M143" s="98">
        <v>300</v>
      </c>
      <c r="N143" s="98">
        <v>300</v>
      </c>
    </row>
    <row r="144" spans="9:14">
      <c r="I144"/>
      <c r="J144"/>
      <c r="K144"/>
      <c r="L144" t="s">
        <v>334</v>
      </c>
      <c r="M144" s="98">
        <v>100</v>
      </c>
      <c r="N144" s="98"/>
    </row>
    <row r="145" spans="9:14">
      <c r="I145"/>
      <c r="J145"/>
      <c r="K145"/>
      <c r="L145" t="s">
        <v>335</v>
      </c>
      <c r="M145" s="98">
        <v>100</v>
      </c>
      <c r="N145" s="98">
        <v>100</v>
      </c>
    </row>
    <row r="146" spans="9:14">
      <c r="I146"/>
      <c r="J146"/>
      <c r="K146"/>
      <c r="L146" t="s">
        <v>336</v>
      </c>
      <c r="M146" s="98">
        <v>100</v>
      </c>
      <c r="N146" s="98">
        <v>100</v>
      </c>
    </row>
    <row r="147" spans="9:14">
      <c r="I147"/>
      <c r="J147"/>
      <c r="K147"/>
      <c r="L147" t="s">
        <v>337</v>
      </c>
      <c r="M147" s="98"/>
      <c r="N147" s="98">
        <v>100</v>
      </c>
    </row>
    <row r="148" spans="9:14">
      <c r="I148"/>
      <c r="J148"/>
      <c r="K148" t="s">
        <v>147</v>
      </c>
      <c r="L148"/>
      <c r="M148" s="98">
        <v>200</v>
      </c>
      <c r="N148" s="98">
        <v>200</v>
      </c>
    </row>
    <row r="149" spans="9:14">
      <c r="I149"/>
      <c r="J149"/>
      <c r="K149"/>
      <c r="L149" t="s">
        <v>329</v>
      </c>
      <c r="M149" s="98">
        <v>200</v>
      </c>
      <c r="N149" s="98"/>
    </row>
    <row r="150" spans="9:14">
      <c r="I150"/>
      <c r="J150"/>
      <c r="K150"/>
      <c r="L150" t="s">
        <v>331</v>
      </c>
      <c r="M150" s="98"/>
      <c r="N150" s="98">
        <v>200</v>
      </c>
    </row>
    <row r="151" spans="9:14">
      <c r="I151"/>
      <c r="J151"/>
      <c r="K151" t="s">
        <v>149</v>
      </c>
      <c r="L151"/>
      <c r="M151" s="98">
        <v>140</v>
      </c>
      <c r="N151" s="98">
        <v>140</v>
      </c>
    </row>
    <row r="152" spans="9:14">
      <c r="I152"/>
      <c r="J152"/>
      <c r="K152"/>
      <c r="L152" t="s">
        <v>329</v>
      </c>
      <c r="M152" s="98">
        <v>140</v>
      </c>
      <c r="N152" s="98"/>
    </row>
    <row r="153" spans="9:14">
      <c r="I153"/>
      <c r="J153"/>
      <c r="K153"/>
      <c r="L153" t="s">
        <v>331</v>
      </c>
      <c r="M153" s="98"/>
      <c r="N153" s="98">
        <v>140</v>
      </c>
    </row>
    <row r="154" spans="9:14">
      <c r="I154"/>
      <c r="J154"/>
      <c r="K154" t="s">
        <v>153</v>
      </c>
      <c r="L154"/>
      <c r="M154" s="98">
        <v>140</v>
      </c>
      <c r="N154" s="98">
        <v>140</v>
      </c>
    </row>
    <row r="155" spans="9:14">
      <c r="I155"/>
      <c r="J155"/>
      <c r="K155"/>
      <c r="L155" t="s">
        <v>329</v>
      </c>
      <c r="M155" s="98">
        <v>140</v>
      </c>
      <c r="N155" s="98"/>
    </row>
    <row r="156" spans="9:14">
      <c r="I156"/>
      <c r="J156"/>
      <c r="K156"/>
      <c r="L156" t="s">
        <v>337</v>
      </c>
      <c r="M156" s="98"/>
      <c r="N156" s="98">
        <v>140</v>
      </c>
    </row>
    <row r="157" spans="9:14">
      <c r="I157"/>
      <c r="J157"/>
      <c r="K157" t="s">
        <v>157</v>
      </c>
      <c r="L157"/>
      <c r="M157" s="98">
        <v>140</v>
      </c>
      <c r="N157" s="98">
        <v>140</v>
      </c>
    </row>
    <row r="158" spans="9:14">
      <c r="I158"/>
      <c r="J158"/>
      <c r="K158"/>
      <c r="L158" t="s">
        <v>328</v>
      </c>
      <c r="M158" s="98">
        <v>140</v>
      </c>
      <c r="N158" s="98"/>
    </row>
    <row r="159" spans="9:14">
      <c r="I159"/>
      <c r="J159"/>
      <c r="K159"/>
      <c r="L159" t="s">
        <v>331</v>
      </c>
      <c r="M159" s="98"/>
      <c r="N159" s="98">
        <v>140</v>
      </c>
    </row>
    <row r="160" spans="9:14">
      <c r="I160"/>
      <c r="J160" t="s">
        <v>359</v>
      </c>
      <c r="K160"/>
      <c r="L160"/>
      <c r="M160" s="98">
        <v>1200</v>
      </c>
      <c r="N160" s="98">
        <v>1200</v>
      </c>
    </row>
    <row r="161" spans="9:14">
      <c r="I161"/>
      <c r="J161"/>
      <c r="K161" t="s">
        <v>145</v>
      </c>
      <c r="L161"/>
      <c r="M161" s="98">
        <v>200</v>
      </c>
      <c r="N161" s="98">
        <v>200</v>
      </c>
    </row>
    <row r="162" spans="9:14">
      <c r="I162"/>
      <c r="J162"/>
      <c r="K162"/>
      <c r="L162" t="s">
        <v>329</v>
      </c>
      <c r="M162" s="98">
        <v>200</v>
      </c>
      <c r="N162" s="98"/>
    </row>
    <row r="163" spans="9:14">
      <c r="I163"/>
      <c r="J163"/>
      <c r="K163"/>
      <c r="L163" t="s">
        <v>333</v>
      </c>
      <c r="M163" s="98"/>
      <c r="N163" s="98">
        <v>200</v>
      </c>
    </row>
    <row r="164" spans="9:14">
      <c r="I164"/>
      <c r="J164"/>
      <c r="K164" t="s">
        <v>151</v>
      </c>
      <c r="L164"/>
      <c r="M164" s="98">
        <v>150</v>
      </c>
      <c r="N164" s="98">
        <v>150</v>
      </c>
    </row>
    <row r="165" spans="9:14">
      <c r="I165"/>
      <c r="J165"/>
      <c r="K165"/>
      <c r="L165" t="s">
        <v>329</v>
      </c>
      <c r="M165" s="98">
        <v>150</v>
      </c>
      <c r="N165" s="98"/>
    </row>
    <row r="166" spans="9:14">
      <c r="I166"/>
      <c r="J166"/>
      <c r="K166"/>
      <c r="L166" t="s">
        <v>333</v>
      </c>
      <c r="M166" s="98"/>
      <c r="N166" s="98">
        <v>150</v>
      </c>
    </row>
    <row r="167" spans="9:14">
      <c r="I167"/>
      <c r="J167"/>
      <c r="K167" t="s">
        <v>155</v>
      </c>
      <c r="L167"/>
      <c r="M167" s="98">
        <v>50</v>
      </c>
      <c r="N167" s="98">
        <v>50</v>
      </c>
    </row>
    <row r="168" spans="9:14">
      <c r="I168"/>
      <c r="J168"/>
      <c r="K168"/>
      <c r="L168" t="s">
        <v>329</v>
      </c>
      <c r="M168" s="98">
        <v>50</v>
      </c>
      <c r="N168" s="98"/>
    </row>
    <row r="169" spans="9:14">
      <c r="I169"/>
      <c r="J169"/>
      <c r="K169"/>
      <c r="L169" t="s">
        <v>334</v>
      </c>
      <c r="M169" s="98"/>
      <c r="N169" s="98">
        <v>50</v>
      </c>
    </row>
    <row r="170" spans="9:14">
      <c r="I170"/>
      <c r="J170"/>
      <c r="K170" t="s">
        <v>159</v>
      </c>
      <c r="L170"/>
      <c r="M170" s="98">
        <v>50</v>
      </c>
      <c r="N170" s="98">
        <v>50</v>
      </c>
    </row>
    <row r="171" spans="9:14">
      <c r="I171"/>
      <c r="J171"/>
      <c r="K171"/>
      <c r="L171" t="s">
        <v>328</v>
      </c>
      <c r="M171" s="98">
        <v>50</v>
      </c>
      <c r="N171" s="98"/>
    </row>
    <row r="172" spans="9:14">
      <c r="I172"/>
      <c r="J172"/>
      <c r="K172"/>
      <c r="L172" t="s">
        <v>330</v>
      </c>
      <c r="M172" s="98"/>
      <c r="N172" s="98">
        <v>50</v>
      </c>
    </row>
    <row r="173" spans="9:14">
      <c r="I173"/>
      <c r="J173"/>
      <c r="K173" t="s">
        <v>161</v>
      </c>
      <c r="L173"/>
      <c r="M173" s="98">
        <v>350</v>
      </c>
      <c r="N173" s="98">
        <v>350</v>
      </c>
    </row>
    <row r="174" spans="9:14">
      <c r="I174"/>
      <c r="J174"/>
      <c r="K174"/>
      <c r="L174" t="s">
        <v>328</v>
      </c>
      <c r="M174" s="98">
        <v>350</v>
      </c>
      <c r="N174" s="98">
        <v>32</v>
      </c>
    </row>
    <row r="175" spans="9:14">
      <c r="I175"/>
      <c r="J175"/>
      <c r="K175"/>
      <c r="L175" t="s">
        <v>329</v>
      </c>
      <c r="M175" s="98"/>
      <c r="N175" s="98">
        <v>32</v>
      </c>
    </row>
    <row r="176" spans="9:14">
      <c r="I176"/>
      <c r="J176"/>
      <c r="K176"/>
      <c r="L176" t="s">
        <v>330</v>
      </c>
      <c r="M176" s="98"/>
      <c r="N176" s="98">
        <v>32</v>
      </c>
    </row>
    <row r="177" spans="9:14">
      <c r="I177"/>
      <c r="J177"/>
      <c r="K177"/>
      <c r="L177" t="s">
        <v>331</v>
      </c>
      <c r="M177" s="98"/>
      <c r="N177" s="98">
        <v>32</v>
      </c>
    </row>
    <row r="178" spans="9:14">
      <c r="I178"/>
      <c r="J178"/>
      <c r="K178"/>
      <c r="L178" t="s">
        <v>332</v>
      </c>
      <c r="M178" s="98"/>
      <c r="N178" s="98">
        <v>32</v>
      </c>
    </row>
    <row r="179" spans="9:14">
      <c r="I179"/>
      <c r="J179"/>
      <c r="K179"/>
      <c r="L179" t="s">
        <v>333</v>
      </c>
      <c r="M179" s="98"/>
      <c r="N179" s="98">
        <v>32</v>
      </c>
    </row>
    <row r="180" spans="9:14">
      <c r="I180"/>
      <c r="J180"/>
      <c r="K180"/>
      <c r="L180" t="s">
        <v>334</v>
      </c>
      <c r="M180" s="98"/>
      <c r="N180" s="98">
        <v>32</v>
      </c>
    </row>
    <row r="181" spans="9:14">
      <c r="I181"/>
      <c r="J181"/>
      <c r="K181"/>
      <c r="L181" t="s">
        <v>335</v>
      </c>
      <c r="M181" s="98"/>
      <c r="N181" s="98">
        <v>32</v>
      </c>
    </row>
    <row r="182" spans="9:14">
      <c r="I182"/>
      <c r="J182"/>
      <c r="K182"/>
      <c r="L182" t="s">
        <v>336</v>
      </c>
      <c r="M182" s="98"/>
      <c r="N182" s="98">
        <v>32</v>
      </c>
    </row>
    <row r="183" spans="9:14">
      <c r="I183"/>
      <c r="J183"/>
      <c r="K183"/>
      <c r="L183" t="s">
        <v>337</v>
      </c>
      <c r="M183" s="98"/>
      <c r="N183" s="98">
        <v>32</v>
      </c>
    </row>
    <row r="184" spans="9:14">
      <c r="I184"/>
      <c r="J184"/>
      <c r="K184"/>
      <c r="L184" t="s">
        <v>338</v>
      </c>
      <c r="M184" s="98"/>
      <c r="N184" s="98">
        <v>30</v>
      </c>
    </row>
    <row r="185" spans="9:14">
      <c r="I185"/>
      <c r="J185"/>
      <c r="K185" t="s">
        <v>163</v>
      </c>
      <c r="L185"/>
      <c r="M185" s="98">
        <v>400</v>
      </c>
      <c r="N185" s="98">
        <v>400</v>
      </c>
    </row>
    <row r="186" spans="9:14">
      <c r="I186"/>
      <c r="J186"/>
      <c r="K186"/>
      <c r="L186" t="s">
        <v>328</v>
      </c>
      <c r="M186" s="98">
        <v>400</v>
      </c>
      <c r="N186" s="98">
        <v>36</v>
      </c>
    </row>
    <row r="187" spans="9:14">
      <c r="I187"/>
      <c r="J187"/>
      <c r="K187"/>
      <c r="L187" t="s">
        <v>329</v>
      </c>
      <c r="M187" s="98"/>
      <c r="N187" s="98">
        <v>36</v>
      </c>
    </row>
    <row r="188" spans="9:14">
      <c r="I188"/>
      <c r="J188"/>
      <c r="K188"/>
      <c r="L188" t="s">
        <v>330</v>
      </c>
      <c r="M188" s="98"/>
      <c r="N188" s="98">
        <v>36</v>
      </c>
    </row>
    <row r="189" spans="9:14">
      <c r="I189"/>
      <c r="J189"/>
      <c r="K189"/>
      <c r="L189" t="s">
        <v>331</v>
      </c>
      <c r="M189" s="98"/>
      <c r="N189" s="98">
        <v>36</v>
      </c>
    </row>
    <row r="190" spans="9:14">
      <c r="I190"/>
      <c r="J190"/>
      <c r="K190"/>
      <c r="L190" t="s">
        <v>332</v>
      </c>
      <c r="M190" s="98"/>
      <c r="N190" s="98">
        <v>36</v>
      </c>
    </row>
    <row r="191" spans="9:14">
      <c r="I191"/>
      <c r="J191"/>
      <c r="K191"/>
      <c r="L191" t="s">
        <v>333</v>
      </c>
      <c r="M191" s="98"/>
      <c r="N191" s="98">
        <v>36</v>
      </c>
    </row>
    <row r="192" spans="9:14">
      <c r="I192"/>
      <c r="J192"/>
      <c r="K192"/>
      <c r="L192" t="s">
        <v>334</v>
      </c>
      <c r="M192" s="98"/>
      <c r="N192" s="98">
        <v>36</v>
      </c>
    </row>
    <row r="193" spans="9:14">
      <c r="I193"/>
      <c r="J193"/>
      <c r="K193"/>
      <c r="L193" t="s">
        <v>335</v>
      </c>
      <c r="M193" s="98"/>
      <c r="N193" s="98">
        <v>36</v>
      </c>
    </row>
    <row r="194" spans="9:14">
      <c r="I194"/>
      <c r="J194"/>
      <c r="K194"/>
      <c r="L194" t="s">
        <v>336</v>
      </c>
      <c r="M194" s="98"/>
      <c r="N194" s="98">
        <v>36</v>
      </c>
    </row>
    <row r="195" spans="9:14">
      <c r="I195"/>
      <c r="J195"/>
      <c r="K195"/>
      <c r="L195" t="s">
        <v>337</v>
      </c>
      <c r="M195" s="98"/>
      <c r="N195" s="98">
        <v>36</v>
      </c>
    </row>
    <row r="196" spans="9:14">
      <c r="I196"/>
      <c r="J196"/>
      <c r="K196"/>
      <c r="L196" t="s">
        <v>338</v>
      </c>
      <c r="M196" s="98"/>
      <c r="N196" s="98">
        <v>40</v>
      </c>
    </row>
    <row r="197" spans="9:14">
      <c r="I197"/>
      <c r="J197" t="s">
        <v>360</v>
      </c>
      <c r="K197"/>
      <c r="L197"/>
      <c r="M197" s="98">
        <v>7866</v>
      </c>
      <c r="N197" s="98">
        <v>7866</v>
      </c>
    </row>
    <row r="198" spans="9:14">
      <c r="I198"/>
      <c r="J198"/>
      <c r="K198" t="s">
        <v>109</v>
      </c>
      <c r="L198"/>
      <c r="M198" s="98">
        <v>192</v>
      </c>
      <c r="N198" s="98">
        <v>192</v>
      </c>
    </row>
    <row r="199" spans="9:14">
      <c r="I199"/>
      <c r="J199"/>
      <c r="K199"/>
      <c r="L199" t="s">
        <v>329</v>
      </c>
      <c r="M199" s="98">
        <v>192</v>
      </c>
      <c r="N199" s="98"/>
    </row>
    <row r="200" spans="9:14">
      <c r="I200"/>
      <c r="J200"/>
      <c r="K200"/>
      <c r="L200" t="s">
        <v>330</v>
      </c>
      <c r="M200" s="98"/>
      <c r="N200" s="98">
        <v>96</v>
      </c>
    </row>
    <row r="201" spans="9:14">
      <c r="I201"/>
      <c r="J201"/>
      <c r="K201"/>
      <c r="L201" t="s">
        <v>334</v>
      </c>
      <c r="M201" s="98"/>
      <c r="N201" s="98">
        <v>96</v>
      </c>
    </row>
    <row r="202" spans="9:14">
      <c r="I202"/>
      <c r="J202"/>
      <c r="K202" t="s">
        <v>111</v>
      </c>
      <c r="L202"/>
      <c r="M202" s="98">
        <v>576</v>
      </c>
      <c r="N202" s="98">
        <v>576</v>
      </c>
    </row>
    <row r="203" spans="9:14">
      <c r="I203"/>
      <c r="J203"/>
      <c r="K203"/>
      <c r="L203" t="s">
        <v>329</v>
      </c>
      <c r="M203" s="98">
        <v>576</v>
      </c>
      <c r="N203" s="98"/>
    </row>
    <row r="204" spans="9:14">
      <c r="I204"/>
      <c r="J204"/>
      <c r="K204"/>
      <c r="L204" t="s">
        <v>330</v>
      </c>
      <c r="M204" s="98"/>
      <c r="N204" s="98">
        <v>288</v>
      </c>
    </row>
    <row r="205" spans="9:14">
      <c r="I205"/>
      <c r="J205"/>
      <c r="K205"/>
      <c r="L205" t="s">
        <v>334</v>
      </c>
      <c r="M205" s="98"/>
      <c r="N205" s="98">
        <v>288</v>
      </c>
    </row>
    <row r="206" spans="9:14">
      <c r="I206"/>
      <c r="J206"/>
      <c r="K206" t="s">
        <v>113</v>
      </c>
      <c r="L206"/>
      <c r="M206" s="98">
        <v>7098</v>
      </c>
      <c r="N206" s="98">
        <v>7098</v>
      </c>
    </row>
    <row r="207" spans="9:14">
      <c r="I207"/>
      <c r="J207"/>
      <c r="K207"/>
      <c r="L207" t="s">
        <v>329</v>
      </c>
      <c r="M207" s="98">
        <v>7098</v>
      </c>
      <c r="N207" s="98"/>
    </row>
    <row r="208" spans="9:14">
      <c r="I208"/>
      <c r="J208"/>
      <c r="K208"/>
      <c r="L208" t="s">
        <v>330</v>
      </c>
      <c r="M208" s="98"/>
      <c r="N208" s="98">
        <v>3549</v>
      </c>
    </row>
    <row r="209" spans="9:14">
      <c r="I209"/>
      <c r="J209"/>
      <c r="K209"/>
      <c r="L209" t="s">
        <v>334</v>
      </c>
      <c r="M209" s="98"/>
      <c r="N209" s="98">
        <v>3549</v>
      </c>
    </row>
    <row r="210" spans="9:14">
      <c r="I210"/>
      <c r="J210" t="s">
        <v>361</v>
      </c>
      <c r="K210"/>
      <c r="L210"/>
      <c r="M210" s="98">
        <v>600</v>
      </c>
      <c r="N210" s="98">
        <v>600</v>
      </c>
    </row>
    <row r="211" spans="9:14">
      <c r="I211"/>
      <c r="J211"/>
      <c r="K211" t="s">
        <v>165</v>
      </c>
      <c r="L211"/>
      <c r="M211" s="98">
        <v>600</v>
      </c>
      <c r="N211" s="98">
        <v>600</v>
      </c>
    </row>
    <row r="212" spans="9:14">
      <c r="I212"/>
      <c r="J212"/>
      <c r="K212"/>
      <c r="L212" t="s">
        <v>336</v>
      </c>
      <c r="M212" s="98">
        <v>600</v>
      </c>
      <c r="N212" s="98"/>
    </row>
    <row r="213" spans="9:14">
      <c r="I213"/>
      <c r="J213"/>
      <c r="K213"/>
      <c r="L213" t="s">
        <v>337</v>
      </c>
      <c r="M213" s="98"/>
      <c r="N213" s="98">
        <v>600</v>
      </c>
    </row>
    <row r="214" spans="9:14">
      <c r="I214" t="s">
        <v>166</v>
      </c>
      <c r="J214"/>
      <c r="K214"/>
      <c r="L214"/>
      <c r="M214" s="98">
        <v>5500</v>
      </c>
      <c r="N214" s="98">
        <v>5500</v>
      </c>
    </row>
    <row r="215" spans="9:14">
      <c r="I215"/>
      <c r="J215" t="s">
        <v>362</v>
      </c>
      <c r="K215"/>
      <c r="L215"/>
      <c r="M215" s="98">
        <v>5500</v>
      </c>
      <c r="N215" s="98">
        <v>5500</v>
      </c>
    </row>
    <row r="216" spans="9:14">
      <c r="I216"/>
      <c r="J216"/>
      <c r="K216" t="s">
        <v>168</v>
      </c>
      <c r="L216"/>
      <c r="M216" s="98">
        <v>5500</v>
      </c>
      <c r="N216" s="98">
        <v>5500</v>
      </c>
    </row>
    <row r="217" spans="9:14">
      <c r="I217"/>
      <c r="J217"/>
      <c r="K217"/>
      <c r="L217" t="s">
        <v>329</v>
      </c>
      <c r="M217" s="98">
        <v>4500</v>
      </c>
      <c r="N217" s="98"/>
    </row>
    <row r="218" spans="9:14">
      <c r="I218"/>
      <c r="J218"/>
      <c r="K218"/>
      <c r="L218" t="s">
        <v>330</v>
      </c>
      <c r="M218" s="98"/>
      <c r="N218" s="98">
        <v>4500</v>
      </c>
    </row>
    <row r="219" spans="9:14">
      <c r="I219"/>
      <c r="J219"/>
      <c r="K219"/>
      <c r="L219" t="s">
        <v>332</v>
      </c>
      <c r="M219" s="98">
        <v>450</v>
      </c>
      <c r="N219" s="98"/>
    </row>
    <row r="220" spans="9:14">
      <c r="I220"/>
      <c r="J220"/>
      <c r="K220"/>
      <c r="L220" t="s">
        <v>333</v>
      </c>
      <c r="M220" s="98"/>
      <c r="N220" s="98">
        <v>450</v>
      </c>
    </row>
    <row r="221" spans="9:14">
      <c r="I221"/>
      <c r="J221"/>
      <c r="K221"/>
      <c r="L221" t="s">
        <v>335</v>
      </c>
      <c r="M221" s="98">
        <v>550</v>
      </c>
      <c r="N221" s="98"/>
    </row>
    <row r="222" spans="9:14">
      <c r="I222"/>
      <c r="J222"/>
      <c r="K222"/>
      <c r="L222" t="s">
        <v>336</v>
      </c>
      <c r="M222" s="98"/>
      <c r="N222" s="98">
        <v>550</v>
      </c>
    </row>
    <row r="223" spans="9:14">
      <c r="I223" t="s">
        <v>169</v>
      </c>
      <c r="J223"/>
      <c r="K223"/>
      <c r="L223"/>
      <c r="M223" s="98">
        <v>122600</v>
      </c>
      <c r="N223" s="98">
        <v>122600</v>
      </c>
    </row>
    <row r="224" spans="9:14">
      <c r="I224"/>
      <c r="J224" t="s">
        <v>363</v>
      </c>
      <c r="K224"/>
      <c r="L224"/>
      <c r="M224" s="98">
        <v>78200</v>
      </c>
      <c r="N224" s="98">
        <v>78200</v>
      </c>
    </row>
    <row r="225" spans="9:14">
      <c r="I225"/>
      <c r="J225"/>
      <c r="K225" t="s">
        <v>171</v>
      </c>
      <c r="L225"/>
      <c r="M225" s="98">
        <v>36000</v>
      </c>
      <c r="N225" s="98">
        <v>36000</v>
      </c>
    </row>
    <row r="226" spans="9:14">
      <c r="I226"/>
      <c r="J226"/>
      <c r="K226"/>
      <c r="L226" t="s">
        <v>332</v>
      </c>
      <c r="M226" s="98">
        <v>36000</v>
      </c>
      <c r="N226" s="98"/>
    </row>
    <row r="227" spans="9:14">
      <c r="I227"/>
      <c r="J227"/>
      <c r="K227"/>
      <c r="L227" t="s">
        <v>336</v>
      </c>
      <c r="M227" s="98"/>
      <c r="N227" s="98">
        <v>36000</v>
      </c>
    </row>
    <row r="228" spans="9:14">
      <c r="I228"/>
      <c r="J228"/>
      <c r="K228" t="s">
        <v>173</v>
      </c>
      <c r="L228"/>
      <c r="M228" s="98">
        <v>2400</v>
      </c>
      <c r="N228" s="98">
        <v>2400</v>
      </c>
    </row>
    <row r="229" spans="9:14">
      <c r="I229"/>
      <c r="J229"/>
      <c r="K229"/>
      <c r="L229" t="s">
        <v>329</v>
      </c>
      <c r="M229" s="98">
        <v>2400</v>
      </c>
      <c r="N229" s="98"/>
    </row>
    <row r="230" spans="9:14">
      <c r="I230"/>
      <c r="J230"/>
      <c r="K230"/>
      <c r="L230" t="s">
        <v>335</v>
      </c>
      <c r="M230" s="98"/>
      <c r="N230" s="98">
        <v>2400</v>
      </c>
    </row>
    <row r="231" spans="9:14">
      <c r="I231"/>
      <c r="J231"/>
      <c r="K231" t="s">
        <v>175</v>
      </c>
      <c r="L231"/>
      <c r="M231" s="98">
        <v>2000</v>
      </c>
      <c r="N231" s="98">
        <v>2000</v>
      </c>
    </row>
    <row r="232" spans="9:14">
      <c r="I232"/>
      <c r="J232"/>
      <c r="K232"/>
      <c r="L232" t="s">
        <v>329</v>
      </c>
      <c r="M232" s="98">
        <v>2000</v>
      </c>
      <c r="N232" s="98"/>
    </row>
    <row r="233" spans="9:14">
      <c r="I233"/>
      <c r="J233"/>
      <c r="K233"/>
      <c r="L233" t="s">
        <v>335</v>
      </c>
      <c r="M233" s="98"/>
      <c r="N233" s="98">
        <v>2000</v>
      </c>
    </row>
    <row r="234" spans="9:14">
      <c r="I234"/>
      <c r="J234"/>
      <c r="K234" t="s">
        <v>179</v>
      </c>
      <c r="L234"/>
      <c r="M234" s="98">
        <v>1800</v>
      </c>
      <c r="N234" s="98">
        <v>1800</v>
      </c>
    </row>
    <row r="235" spans="9:14">
      <c r="I235"/>
      <c r="J235"/>
      <c r="K235"/>
      <c r="L235" t="s">
        <v>329</v>
      </c>
      <c r="M235" s="98">
        <v>1800</v>
      </c>
      <c r="N235" s="98"/>
    </row>
    <row r="236" spans="9:14">
      <c r="I236"/>
      <c r="J236"/>
      <c r="K236"/>
      <c r="L236" t="s">
        <v>335</v>
      </c>
      <c r="M236" s="98"/>
      <c r="N236" s="98">
        <v>1800</v>
      </c>
    </row>
    <row r="237" spans="9:14">
      <c r="I237"/>
      <c r="J237"/>
      <c r="K237" t="s">
        <v>177</v>
      </c>
      <c r="L237"/>
      <c r="M237" s="98">
        <v>15000</v>
      </c>
      <c r="N237" s="98">
        <v>15000</v>
      </c>
    </row>
    <row r="238" spans="9:14">
      <c r="I238"/>
      <c r="J238"/>
      <c r="K238"/>
      <c r="L238" t="s">
        <v>329</v>
      </c>
      <c r="M238" s="98">
        <v>15000</v>
      </c>
      <c r="N238" s="98"/>
    </row>
    <row r="239" spans="9:14">
      <c r="I239"/>
      <c r="J239"/>
      <c r="K239"/>
      <c r="L239" t="s">
        <v>335</v>
      </c>
      <c r="M239" s="98"/>
      <c r="N239" s="98">
        <v>15000</v>
      </c>
    </row>
    <row r="240" spans="9:14">
      <c r="I240"/>
      <c r="J240"/>
      <c r="K240" t="s">
        <v>181</v>
      </c>
      <c r="L240"/>
      <c r="M240" s="98">
        <v>21000</v>
      </c>
      <c r="N240" s="98">
        <v>21000</v>
      </c>
    </row>
    <row r="241" spans="9:14">
      <c r="I241"/>
      <c r="J241"/>
      <c r="K241"/>
      <c r="L241" t="s">
        <v>332</v>
      </c>
      <c r="M241" s="98">
        <v>21000</v>
      </c>
      <c r="N241" s="98"/>
    </row>
    <row r="242" spans="9:14">
      <c r="I242"/>
      <c r="J242"/>
      <c r="K242"/>
      <c r="L242" t="s">
        <v>336</v>
      </c>
      <c r="M242" s="98"/>
      <c r="N242" s="98">
        <v>21000</v>
      </c>
    </row>
    <row r="243" spans="9:14">
      <c r="I243"/>
      <c r="J243" t="s">
        <v>364</v>
      </c>
      <c r="K243"/>
      <c r="L243"/>
      <c r="M243" s="98">
        <v>15000</v>
      </c>
      <c r="N243" s="98">
        <v>15000</v>
      </c>
    </row>
    <row r="244" spans="9:14">
      <c r="I244"/>
      <c r="J244"/>
      <c r="K244" t="s">
        <v>183</v>
      </c>
      <c r="L244"/>
      <c r="M244" s="98">
        <v>11000</v>
      </c>
      <c r="N244" s="98">
        <v>11000</v>
      </c>
    </row>
    <row r="245" spans="9:14">
      <c r="I245"/>
      <c r="J245"/>
      <c r="K245"/>
      <c r="L245" t="s">
        <v>332</v>
      </c>
      <c r="M245" s="98">
        <v>11000</v>
      </c>
      <c r="N245" s="98"/>
    </row>
    <row r="246" spans="9:14">
      <c r="I246"/>
      <c r="J246"/>
      <c r="K246"/>
      <c r="L246" t="s">
        <v>336</v>
      </c>
      <c r="M246" s="98"/>
      <c r="N246" s="98">
        <v>11000</v>
      </c>
    </row>
    <row r="247" spans="9:14">
      <c r="I247"/>
      <c r="J247"/>
      <c r="K247" t="s">
        <v>196</v>
      </c>
      <c r="L247"/>
      <c r="M247" s="98">
        <v>4000</v>
      </c>
      <c r="N247" s="98">
        <v>4000</v>
      </c>
    </row>
    <row r="248" spans="9:14">
      <c r="I248"/>
      <c r="J248"/>
      <c r="K248"/>
      <c r="L248" t="s">
        <v>329</v>
      </c>
      <c r="M248" s="98">
        <v>4000</v>
      </c>
      <c r="N248" s="98"/>
    </row>
    <row r="249" spans="9:14">
      <c r="I249"/>
      <c r="J249"/>
      <c r="K249"/>
      <c r="L249" t="s">
        <v>335</v>
      </c>
      <c r="M249" s="98"/>
      <c r="N249" s="98">
        <v>4000</v>
      </c>
    </row>
    <row r="250" spans="9:14">
      <c r="I250"/>
      <c r="J250" t="s">
        <v>365</v>
      </c>
      <c r="K250"/>
      <c r="L250"/>
      <c r="M250" s="98">
        <v>24400</v>
      </c>
      <c r="N250" s="98">
        <v>24400</v>
      </c>
    </row>
    <row r="251" spans="9:14">
      <c r="I251"/>
      <c r="J251"/>
      <c r="K251" t="s">
        <v>185</v>
      </c>
      <c r="L251"/>
      <c r="M251" s="98">
        <v>4400</v>
      </c>
      <c r="N251" s="98">
        <v>4400</v>
      </c>
    </row>
    <row r="252" spans="9:14">
      <c r="I252"/>
      <c r="J252"/>
      <c r="K252"/>
      <c r="L252" t="s">
        <v>330</v>
      </c>
      <c r="M252" s="98">
        <v>4400</v>
      </c>
      <c r="N252" s="98"/>
    </row>
    <row r="253" spans="9:14">
      <c r="I253"/>
      <c r="J253"/>
      <c r="K253"/>
      <c r="L253" t="s">
        <v>336</v>
      </c>
      <c r="M253" s="98"/>
      <c r="N253" s="98">
        <v>4400</v>
      </c>
    </row>
    <row r="254" spans="9:14">
      <c r="I254"/>
      <c r="J254"/>
      <c r="K254" t="s">
        <v>198</v>
      </c>
      <c r="L254"/>
      <c r="M254" s="98">
        <v>20000</v>
      </c>
      <c r="N254" s="98">
        <v>20000</v>
      </c>
    </row>
    <row r="255" spans="9:14">
      <c r="I255"/>
      <c r="J255"/>
      <c r="K255"/>
      <c r="L255" t="s">
        <v>335</v>
      </c>
      <c r="M255" s="98">
        <v>20000</v>
      </c>
      <c r="N255" s="98"/>
    </row>
    <row r="256" spans="9:14">
      <c r="I256"/>
      <c r="J256"/>
      <c r="K256"/>
      <c r="L256" t="s">
        <v>336</v>
      </c>
      <c r="M256" s="98"/>
      <c r="N256" s="98">
        <v>3000</v>
      </c>
    </row>
    <row r="257" spans="9:14">
      <c r="I257"/>
      <c r="J257"/>
      <c r="K257"/>
      <c r="L257" t="s">
        <v>337</v>
      </c>
      <c r="M257" s="98"/>
      <c r="N257" s="98">
        <v>4000</v>
      </c>
    </row>
    <row r="258" spans="9:14">
      <c r="I258"/>
      <c r="J258"/>
      <c r="K258"/>
      <c r="L258" t="s">
        <v>338</v>
      </c>
      <c r="M258" s="98"/>
      <c r="N258" s="98">
        <v>4000</v>
      </c>
    </row>
    <row r="259" spans="9:14">
      <c r="I259"/>
      <c r="J259"/>
      <c r="K259"/>
      <c r="L259" t="s">
        <v>339</v>
      </c>
      <c r="M259" s="98"/>
      <c r="N259" s="98">
        <v>4000</v>
      </c>
    </row>
    <row r="260" spans="9:14">
      <c r="I260"/>
      <c r="J260"/>
      <c r="K260"/>
      <c r="L260" t="s">
        <v>340</v>
      </c>
      <c r="M260" s="98"/>
      <c r="N260" s="98">
        <v>4000</v>
      </c>
    </row>
    <row r="261" spans="9:14">
      <c r="I261"/>
      <c r="J261"/>
      <c r="K261"/>
      <c r="L261" t="s">
        <v>341</v>
      </c>
      <c r="M261" s="98"/>
      <c r="N261" s="98">
        <v>1000</v>
      </c>
    </row>
    <row r="262" spans="9:14">
      <c r="I262"/>
      <c r="J262" t="s">
        <v>366</v>
      </c>
      <c r="K262"/>
      <c r="L262"/>
      <c r="M262" s="98">
        <v>5000</v>
      </c>
      <c r="N262" s="98">
        <v>5000</v>
      </c>
    </row>
    <row r="263" spans="9:14">
      <c r="I263"/>
      <c r="J263"/>
      <c r="K263" t="s">
        <v>194</v>
      </c>
      <c r="L263"/>
      <c r="M263" s="98">
        <v>5000</v>
      </c>
      <c r="N263" s="98">
        <v>5000</v>
      </c>
    </row>
    <row r="264" spans="9:14">
      <c r="I264"/>
      <c r="J264"/>
      <c r="K264"/>
      <c r="L264" t="s">
        <v>332</v>
      </c>
      <c r="M264" s="98">
        <v>5000</v>
      </c>
      <c r="N264" s="98"/>
    </row>
    <row r="265" spans="9:14">
      <c r="I265"/>
      <c r="J265"/>
      <c r="K265"/>
      <c r="L265" t="s">
        <v>337</v>
      </c>
      <c r="M265" s="98"/>
      <c r="N265" s="98">
        <v>5000</v>
      </c>
    </row>
    <row r="266" spans="9:14">
      <c r="I266" t="s">
        <v>208</v>
      </c>
      <c r="J266"/>
      <c r="K266"/>
      <c r="L266"/>
      <c r="M266" s="98">
        <v>35000</v>
      </c>
      <c r="N266" s="98">
        <v>35000</v>
      </c>
    </row>
    <row r="267" spans="9:14">
      <c r="I267"/>
      <c r="J267" t="s">
        <v>367</v>
      </c>
      <c r="K267"/>
      <c r="L267"/>
      <c r="M267" s="98">
        <v>35000</v>
      </c>
      <c r="N267" s="98">
        <v>35000</v>
      </c>
    </row>
    <row r="268" spans="9:14">
      <c r="I268"/>
      <c r="J268"/>
      <c r="K268" t="s">
        <v>210</v>
      </c>
      <c r="L268"/>
      <c r="M268" s="98">
        <v>25000</v>
      </c>
      <c r="N268" s="98">
        <v>25000</v>
      </c>
    </row>
    <row r="269" spans="9:14">
      <c r="I269"/>
      <c r="J269"/>
      <c r="K269"/>
      <c r="L269" t="s">
        <v>330</v>
      </c>
      <c r="M269" s="98">
        <v>25000</v>
      </c>
      <c r="N269" s="98"/>
    </row>
    <row r="270" spans="9:14">
      <c r="I270"/>
      <c r="J270"/>
      <c r="K270"/>
      <c r="L270" t="s">
        <v>335</v>
      </c>
      <c r="M270" s="98"/>
      <c r="N270" s="98">
        <v>25000</v>
      </c>
    </row>
    <row r="271" spans="9:14">
      <c r="I271"/>
      <c r="J271"/>
      <c r="K271" t="s">
        <v>212</v>
      </c>
      <c r="L271"/>
      <c r="M271" s="98">
        <v>10000</v>
      </c>
      <c r="N271" s="98">
        <v>10000</v>
      </c>
    </row>
    <row r="272" spans="9:14">
      <c r="I272"/>
      <c r="J272"/>
      <c r="K272"/>
      <c r="L272" t="s">
        <v>330</v>
      </c>
      <c r="M272" s="98">
        <v>10000</v>
      </c>
      <c r="N272" s="98"/>
    </row>
    <row r="273" spans="9:14">
      <c r="I273"/>
      <c r="J273"/>
      <c r="K273"/>
      <c r="L273" t="s">
        <v>337</v>
      </c>
      <c r="M273" s="98"/>
      <c r="N273" s="98">
        <v>10000</v>
      </c>
    </row>
    <row r="274" spans="9:14">
      <c r="I274" t="s">
        <v>225</v>
      </c>
      <c r="J274"/>
      <c r="K274"/>
      <c r="L274"/>
      <c r="M274" s="98">
        <v>36509</v>
      </c>
      <c r="N274" s="98">
        <v>36509</v>
      </c>
    </row>
    <row r="275" spans="9:14">
      <c r="I275"/>
      <c r="J275" t="s">
        <v>225</v>
      </c>
      <c r="K275"/>
      <c r="L275"/>
      <c r="M275" s="98">
        <v>36509</v>
      </c>
      <c r="N275" s="98">
        <v>36509</v>
      </c>
    </row>
    <row r="276" spans="9:14">
      <c r="I276"/>
      <c r="J276"/>
      <c r="K276" t="s">
        <v>227</v>
      </c>
      <c r="L276"/>
      <c r="M276" s="98">
        <v>15000</v>
      </c>
      <c r="N276" s="98">
        <v>15000</v>
      </c>
    </row>
    <row r="277" spans="9:14">
      <c r="I277"/>
      <c r="J277"/>
      <c r="K277"/>
      <c r="L277" t="s">
        <v>328</v>
      </c>
      <c r="M277" s="98">
        <v>7500</v>
      </c>
      <c r="N277" s="98">
        <v>1250</v>
      </c>
    </row>
    <row r="278" spans="9:14">
      <c r="I278"/>
      <c r="J278"/>
      <c r="K278"/>
      <c r="L278" t="s">
        <v>329</v>
      </c>
      <c r="M278" s="98"/>
      <c r="N278" s="98">
        <v>1250</v>
      </c>
    </row>
    <row r="279" spans="9:14">
      <c r="I279"/>
      <c r="J279"/>
      <c r="K279"/>
      <c r="L279" t="s">
        <v>330</v>
      </c>
      <c r="M279" s="98"/>
      <c r="N279" s="98">
        <v>1250</v>
      </c>
    </row>
    <row r="280" spans="9:14">
      <c r="I280"/>
      <c r="J280"/>
      <c r="K280"/>
      <c r="L280" t="s">
        <v>331</v>
      </c>
      <c r="M280" s="98"/>
      <c r="N280" s="98">
        <v>1250</v>
      </c>
    </row>
    <row r="281" spans="9:14">
      <c r="I281"/>
      <c r="J281"/>
      <c r="K281"/>
      <c r="L281" t="s">
        <v>332</v>
      </c>
      <c r="M281" s="98">
        <v>7500</v>
      </c>
      <c r="N281" s="98">
        <v>1250</v>
      </c>
    </row>
    <row r="282" spans="9:14">
      <c r="I282"/>
      <c r="J282"/>
      <c r="K282"/>
      <c r="L282" t="s">
        <v>333</v>
      </c>
      <c r="M282" s="98"/>
      <c r="N282" s="98">
        <v>1250</v>
      </c>
    </row>
    <row r="283" spans="9:14">
      <c r="I283"/>
      <c r="J283"/>
      <c r="K283"/>
      <c r="L283" t="s">
        <v>334</v>
      </c>
      <c r="M283" s="98"/>
      <c r="N283" s="98">
        <v>1250</v>
      </c>
    </row>
    <row r="284" spans="9:14">
      <c r="I284"/>
      <c r="J284"/>
      <c r="K284"/>
      <c r="L284" t="s">
        <v>335</v>
      </c>
      <c r="M284" s="98"/>
      <c r="N284" s="98">
        <v>1250</v>
      </c>
    </row>
    <row r="285" spans="9:14">
      <c r="I285"/>
      <c r="J285"/>
      <c r="K285"/>
      <c r="L285" t="s">
        <v>336</v>
      </c>
      <c r="M285" s="98"/>
      <c r="N285" s="98">
        <v>1250</v>
      </c>
    </row>
    <row r="286" spans="9:14">
      <c r="I286"/>
      <c r="J286"/>
      <c r="K286"/>
      <c r="L286" t="s">
        <v>337</v>
      </c>
      <c r="M286" s="98"/>
      <c r="N286" s="98">
        <v>1250</v>
      </c>
    </row>
    <row r="287" spans="9:14">
      <c r="I287"/>
      <c r="J287"/>
      <c r="K287"/>
      <c r="L287" t="s">
        <v>338</v>
      </c>
      <c r="M287" s="98"/>
      <c r="N287" s="98">
        <v>2500</v>
      </c>
    </row>
    <row r="288" spans="9:14">
      <c r="I288"/>
      <c r="J288"/>
      <c r="K288" t="s">
        <v>229</v>
      </c>
      <c r="L288"/>
      <c r="M288" s="98">
        <v>4000</v>
      </c>
      <c r="N288" s="98">
        <v>4000</v>
      </c>
    </row>
    <row r="289" spans="9:14">
      <c r="I289"/>
      <c r="J289"/>
      <c r="K289"/>
      <c r="L289" t="s">
        <v>327</v>
      </c>
      <c r="M289" s="98">
        <v>50</v>
      </c>
      <c r="N289" s="98"/>
    </row>
    <row r="290" spans="9:14">
      <c r="I290"/>
      <c r="J290"/>
      <c r="K290"/>
      <c r="L290" t="s">
        <v>328</v>
      </c>
      <c r="M290" s="98">
        <v>325</v>
      </c>
      <c r="N290" s="98">
        <v>50</v>
      </c>
    </row>
    <row r="291" spans="9:14">
      <c r="I291"/>
      <c r="J291"/>
      <c r="K291"/>
      <c r="L291" t="s">
        <v>329</v>
      </c>
      <c r="M291" s="98">
        <v>600</v>
      </c>
      <c r="N291" s="98">
        <v>325</v>
      </c>
    </row>
    <row r="292" spans="9:14">
      <c r="I292"/>
      <c r="J292"/>
      <c r="K292"/>
      <c r="L292" t="s">
        <v>330</v>
      </c>
      <c r="M292" s="98">
        <v>325</v>
      </c>
      <c r="N292" s="98">
        <v>600</v>
      </c>
    </row>
    <row r="293" spans="9:14">
      <c r="I293"/>
      <c r="J293"/>
      <c r="K293"/>
      <c r="L293" t="s">
        <v>331</v>
      </c>
      <c r="M293" s="98">
        <v>325</v>
      </c>
      <c r="N293" s="98">
        <v>325</v>
      </c>
    </row>
    <row r="294" spans="9:14">
      <c r="I294"/>
      <c r="J294"/>
      <c r="K294"/>
      <c r="L294" t="s">
        <v>332</v>
      </c>
      <c r="M294" s="98">
        <v>300</v>
      </c>
      <c r="N294" s="98">
        <v>325</v>
      </c>
    </row>
    <row r="295" spans="9:14">
      <c r="I295"/>
      <c r="J295"/>
      <c r="K295"/>
      <c r="L295" t="s">
        <v>333</v>
      </c>
      <c r="M295" s="98">
        <v>325</v>
      </c>
      <c r="N295" s="98">
        <v>300</v>
      </c>
    </row>
    <row r="296" spans="9:14">
      <c r="I296"/>
      <c r="J296"/>
      <c r="K296"/>
      <c r="L296" t="s">
        <v>334</v>
      </c>
      <c r="M296" s="98">
        <v>325</v>
      </c>
      <c r="N296" s="98">
        <v>325</v>
      </c>
    </row>
    <row r="297" spans="9:14">
      <c r="I297"/>
      <c r="J297"/>
      <c r="K297"/>
      <c r="L297" t="s">
        <v>335</v>
      </c>
      <c r="M297" s="98">
        <v>325</v>
      </c>
      <c r="N297" s="98">
        <v>325</v>
      </c>
    </row>
    <row r="298" spans="9:14">
      <c r="I298"/>
      <c r="J298"/>
      <c r="K298"/>
      <c r="L298" t="s">
        <v>336</v>
      </c>
      <c r="M298" s="98">
        <v>325</v>
      </c>
      <c r="N298" s="98">
        <v>325</v>
      </c>
    </row>
    <row r="299" spans="9:14">
      <c r="I299"/>
      <c r="J299"/>
      <c r="K299"/>
      <c r="L299" t="s">
        <v>337</v>
      </c>
      <c r="M299" s="98">
        <v>325</v>
      </c>
      <c r="N299" s="98">
        <v>325</v>
      </c>
    </row>
    <row r="300" spans="9:14">
      <c r="I300"/>
      <c r="J300"/>
      <c r="K300"/>
      <c r="L300" t="s">
        <v>338</v>
      </c>
      <c r="M300" s="98">
        <v>450</v>
      </c>
      <c r="N300" s="98">
        <v>775</v>
      </c>
    </row>
    <row r="301" spans="9:14">
      <c r="I301"/>
      <c r="J301"/>
      <c r="K301" t="s">
        <v>231</v>
      </c>
      <c r="L301"/>
      <c r="M301" s="98">
        <v>500</v>
      </c>
      <c r="N301" s="98">
        <v>500</v>
      </c>
    </row>
    <row r="302" spans="9:14">
      <c r="I302"/>
      <c r="J302"/>
      <c r="K302"/>
      <c r="L302" t="s">
        <v>331</v>
      </c>
      <c r="M302" s="98">
        <v>500</v>
      </c>
      <c r="N302" s="98"/>
    </row>
    <row r="303" spans="9:14">
      <c r="I303"/>
      <c r="J303"/>
      <c r="K303"/>
      <c r="L303" t="s">
        <v>332</v>
      </c>
      <c r="M303" s="98"/>
      <c r="N303" s="98">
        <v>500</v>
      </c>
    </row>
    <row r="304" spans="9:14">
      <c r="I304"/>
      <c r="J304"/>
      <c r="K304" t="s">
        <v>233</v>
      </c>
      <c r="L304"/>
      <c r="M304" s="98">
        <v>17009</v>
      </c>
      <c r="N304" s="98">
        <v>17009</v>
      </c>
    </row>
    <row r="305" spans="9:14">
      <c r="I305"/>
      <c r="J305"/>
      <c r="K305"/>
      <c r="L305" t="s">
        <v>327</v>
      </c>
      <c r="M305" s="98">
        <v>50</v>
      </c>
      <c r="N305" s="98"/>
    </row>
    <row r="306" spans="9:14">
      <c r="I306"/>
      <c r="J306"/>
      <c r="K306"/>
      <c r="L306" t="s">
        <v>328</v>
      </c>
      <c r="M306" s="98">
        <v>4000</v>
      </c>
      <c r="N306" s="98">
        <v>50</v>
      </c>
    </row>
    <row r="307" spans="9:14">
      <c r="I307"/>
      <c r="J307"/>
      <c r="K307"/>
      <c r="L307" t="s">
        <v>329</v>
      </c>
      <c r="M307" s="98">
        <v>4000</v>
      </c>
      <c r="N307" s="98">
        <v>4000</v>
      </c>
    </row>
    <row r="308" spans="9:14">
      <c r="I308"/>
      <c r="J308"/>
      <c r="K308"/>
      <c r="L308" t="s">
        <v>330</v>
      </c>
      <c r="M308" s="98">
        <v>3000</v>
      </c>
      <c r="N308" s="98">
        <v>4000</v>
      </c>
    </row>
    <row r="309" spans="9:14">
      <c r="I309"/>
      <c r="J309"/>
      <c r="K309"/>
      <c r="L309" t="s">
        <v>331</v>
      </c>
      <c r="M309" s="98">
        <v>1000</v>
      </c>
      <c r="N309" s="98">
        <v>3000</v>
      </c>
    </row>
    <row r="310" spans="9:14">
      <c r="I310"/>
      <c r="J310"/>
      <c r="K310"/>
      <c r="L310" t="s">
        <v>332</v>
      </c>
      <c r="M310" s="98">
        <v>2000</v>
      </c>
      <c r="N310" s="98">
        <v>1000</v>
      </c>
    </row>
    <row r="311" spans="9:14">
      <c r="I311"/>
      <c r="J311"/>
      <c r="K311"/>
      <c r="L311" t="s">
        <v>333</v>
      </c>
      <c r="M311" s="98">
        <v>2000</v>
      </c>
      <c r="N311" s="98">
        <v>2000</v>
      </c>
    </row>
    <row r="312" spans="9:14">
      <c r="I312"/>
      <c r="J312"/>
      <c r="K312"/>
      <c r="L312" t="s">
        <v>334</v>
      </c>
      <c r="M312" s="98">
        <v>250</v>
      </c>
      <c r="N312" s="98">
        <v>2000</v>
      </c>
    </row>
    <row r="313" spans="9:14">
      <c r="I313"/>
      <c r="J313"/>
      <c r="K313"/>
      <c r="L313" t="s">
        <v>335</v>
      </c>
      <c r="M313" s="98">
        <v>250</v>
      </c>
      <c r="N313" s="98">
        <v>250</v>
      </c>
    </row>
    <row r="314" spans="9:14">
      <c r="I314"/>
      <c r="J314"/>
      <c r="K314"/>
      <c r="L314" t="s">
        <v>336</v>
      </c>
      <c r="M314" s="98">
        <v>100</v>
      </c>
      <c r="N314" s="98">
        <v>250</v>
      </c>
    </row>
    <row r="315" spans="9:14">
      <c r="I315"/>
      <c r="J315"/>
      <c r="K315"/>
      <c r="L315" t="s">
        <v>337</v>
      </c>
      <c r="M315" s="98">
        <v>100</v>
      </c>
      <c r="N315" s="98">
        <v>100</v>
      </c>
    </row>
    <row r="316" spans="9:14">
      <c r="I316"/>
      <c r="J316"/>
      <c r="K316"/>
      <c r="L316" t="s">
        <v>338</v>
      </c>
      <c r="M316" s="98">
        <v>259</v>
      </c>
      <c r="N316" s="98">
        <v>359</v>
      </c>
    </row>
    <row r="317" spans="9:14">
      <c r="I317" t="s">
        <v>368</v>
      </c>
      <c r="J317"/>
      <c r="K317"/>
      <c r="L317"/>
      <c r="M317" s="98">
        <v>1005205</v>
      </c>
      <c r="N317" s="98">
        <v>1005205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E261"/>
  <sheetViews>
    <sheetView workbookViewId="0">
      <selection activeCell="C13" sqref="C13"/>
    </sheetView>
  </sheetViews>
  <sheetFormatPr defaultColWidth="9" defaultRowHeight="15" outlineLevelCol="4"/>
  <cols>
    <col min="1" max="1" width="21.4285714285714" style="73" customWidth="1"/>
    <col min="2" max="2" width="31" style="73" customWidth="1"/>
    <col min="3" max="3" width="47.4285714285714" style="73" customWidth="1"/>
    <col min="4" max="4" width="22.8571428571429" style="74" customWidth="1"/>
  </cols>
  <sheetData>
    <row r="1" spans="1:1">
      <c r="A1" s="75" t="s">
        <v>0</v>
      </c>
    </row>
    <row r="2" spans="1:1">
      <c r="A2" s="75" t="s">
        <v>1</v>
      </c>
    </row>
    <row r="3" spans="1:3">
      <c r="A3" s="75" t="s">
        <v>2</v>
      </c>
      <c r="C3" s="76"/>
    </row>
    <row r="4" spans="1:2">
      <c r="A4" s="75" t="s">
        <v>3</v>
      </c>
      <c r="B4" s="73" t="str">
        <f>'[1]CAPTURE SHEET - PHYSICAL'!C2</f>
        <v>RFOII</v>
      </c>
    </row>
    <row r="5" spans="1:2">
      <c r="A5"/>
      <c r="B5"/>
    </row>
    <row r="7" ht="15.75" spans="1:3">
      <c r="A7" s="77"/>
      <c r="B7" s="78"/>
      <c r="C7" s="77"/>
    </row>
    <row r="8" ht="15.75" spans="1:3">
      <c r="A8" s="79" t="s">
        <v>526</v>
      </c>
      <c r="B8" s="80"/>
      <c r="C8" s="81"/>
    </row>
    <row r="9" ht="15.75" spans="1:4">
      <c r="A9" s="82" t="s">
        <v>12</v>
      </c>
      <c r="B9" s="83" t="s">
        <v>14</v>
      </c>
      <c r="C9" s="84" t="s">
        <v>13</v>
      </c>
      <c r="D9" s="85"/>
    </row>
    <row r="10" spans="1:4">
      <c r="A10" s="86" t="s">
        <v>21</v>
      </c>
      <c r="B10" s="85" t="s">
        <v>24</v>
      </c>
      <c r="C10" s="86" t="s">
        <v>22</v>
      </c>
      <c r="D10" s="85"/>
    </row>
    <row r="11" spans="1:4">
      <c r="A11" s="84" t="s">
        <v>21</v>
      </c>
      <c r="B11" s="87" t="s">
        <v>24</v>
      </c>
      <c r="C11" s="86" t="s">
        <v>43</v>
      </c>
      <c r="D11" s="85"/>
    </row>
    <row r="12" spans="1:4">
      <c r="A12" s="84" t="s">
        <v>21</v>
      </c>
      <c r="B12" s="87" t="s">
        <v>24</v>
      </c>
      <c r="C12" s="86" t="s">
        <v>63</v>
      </c>
      <c r="D12" s="85"/>
    </row>
    <row r="13" ht="30" spans="1:5">
      <c r="A13" s="84" t="s">
        <v>21</v>
      </c>
      <c r="B13" s="87" t="s">
        <v>24</v>
      </c>
      <c r="C13" s="86" t="s">
        <v>70</v>
      </c>
      <c r="D13" s="85" t="s">
        <v>527</v>
      </c>
      <c r="E13" t="s">
        <v>528</v>
      </c>
    </row>
    <row r="14" spans="1:4">
      <c r="A14" s="84" t="s">
        <v>21</v>
      </c>
      <c r="B14" s="87" t="s">
        <v>24</v>
      </c>
      <c r="C14" s="86" t="s">
        <v>78</v>
      </c>
      <c r="D14" s="85"/>
    </row>
    <row r="15" spans="1:4">
      <c r="A15" s="84" t="s">
        <v>21</v>
      </c>
      <c r="B15" s="88" t="s">
        <v>443</v>
      </c>
      <c r="C15" s="89"/>
      <c r="D15" s="85"/>
    </row>
    <row r="16" ht="30" spans="1:4">
      <c r="A16" s="84" t="s">
        <v>21</v>
      </c>
      <c r="B16" s="85" t="s">
        <v>80</v>
      </c>
      <c r="C16" s="86" t="s">
        <v>78</v>
      </c>
      <c r="D16" s="85"/>
    </row>
    <row r="17" spans="1:4">
      <c r="A17" s="84" t="s">
        <v>21</v>
      </c>
      <c r="B17" s="88" t="s">
        <v>444</v>
      </c>
      <c r="C17" s="89"/>
      <c r="D17" s="85"/>
    </row>
    <row r="18" spans="1:4">
      <c r="A18" s="84" t="s">
        <v>21</v>
      </c>
      <c r="B18" s="85" t="s">
        <v>26</v>
      </c>
      <c r="C18" s="86" t="s">
        <v>22</v>
      </c>
      <c r="D18" s="85"/>
    </row>
    <row r="19" spans="1:4">
      <c r="A19" s="84" t="s">
        <v>21</v>
      </c>
      <c r="B19" s="87" t="s">
        <v>26</v>
      </c>
      <c r="C19" s="86" t="s">
        <v>43</v>
      </c>
      <c r="D19" s="85"/>
    </row>
    <row r="20" spans="1:4">
      <c r="A20" s="84" t="s">
        <v>21</v>
      </c>
      <c r="B20" s="88" t="s">
        <v>445</v>
      </c>
      <c r="C20" s="89"/>
      <c r="D20" s="85"/>
    </row>
    <row r="21" spans="1:4">
      <c r="A21" s="84" t="s">
        <v>21</v>
      </c>
      <c r="B21" s="85" t="s">
        <v>28</v>
      </c>
      <c r="C21" s="86" t="s">
        <v>22</v>
      </c>
      <c r="D21" s="85"/>
    </row>
    <row r="22" spans="1:4">
      <c r="A22" s="84" t="s">
        <v>21</v>
      </c>
      <c r="B22" s="87" t="s">
        <v>28</v>
      </c>
      <c r="C22" s="86" t="s">
        <v>43</v>
      </c>
      <c r="D22" s="85"/>
    </row>
    <row r="23" spans="1:4">
      <c r="A23" s="84" t="s">
        <v>21</v>
      </c>
      <c r="B23" s="88" t="s">
        <v>446</v>
      </c>
      <c r="C23" s="89"/>
      <c r="D23" s="85"/>
    </row>
    <row r="24" spans="1:4">
      <c r="A24" s="84" t="s">
        <v>21</v>
      </c>
      <c r="B24" s="85" t="s">
        <v>30</v>
      </c>
      <c r="C24" s="86" t="s">
        <v>22</v>
      </c>
      <c r="D24" s="85"/>
    </row>
    <row r="25" spans="1:4">
      <c r="A25" s="84" t="s">
        <v>21</v>
      </c>
      <c r="B25" s="87" t="s">
        <v>30</v>
      </c>
      <c r="C25" s="86" t="s">
        <v>43</v>
      </c>
      <c r="D25" s="85"/>
    </row>
    <row r="26" spans="1:4">
      <c r="A26" s="84" t="s">
        <v>21</v>
      </c>
      <c r="B26" s="88" t="s">
        <v>447</v>
      </c>
      <c r="C26" s="89"/>
      <c r="D26" s="85"/>
    </row>
    <row r="27" spans="1:4">
      <c r="A27" s="84" t="s">
        <v>21</v>
      </c>
      <c r="B27" s="85" t="s">
        <v>32</v>
      </c>
      <c r="C27" s="86" t="s">
        <v>22</v>
      </c>
      <c r="D27" s="85"/>
    </row>
    <row r="28" spans="1:4">
      <c r="A28" s="84" t="s">
        <v>21</v>
      </c>
      <c r="B28" s="87" t="s">
        <v>32</v>
      </c>
      <c r="C28" s="86" t="s">
        <v>43</v>
      </c>
      <c r="D28" s="85"/>
    </row>
    <row r="29" spans="1:4">
      <c r="A29" s="84" t="s">
        <v>21</v>
      </c>
      <c r="B29" s="88" t="s">
        <v>448</v>
      </c>
      <c r="C29" s="89"/>
      <c r="D29" s="85"/>
    </row>
    <row r="30" spans="1:4">
      <c r="A30" s="84" t="s">
        <v>21</v>
      </c>
      <c r="B30" s="85" t="s">
        <v>34</v>
      </c>
      <c r="C30" s="86" t="s">
        <v>22</v>
      </c>
      <c r="D30" s="85"/>
    </row>
    <row r="31" spans="1:4">
      <c r="A31" s="84" t="s">
        <v>21</v>
      </c>
      <c r="B31" s="87" t="s">
        <v>34</v>
      </c>
      <c r="C31" s="86" t="s">
        <v>43</v>
      </c>
      <c r="D31" s="85"/>
    </row>
    <row r="32" spans="1:4">
      <c r="A32" s="84" t="s">
        <v>21</v>
      </c>
      <c r="B32" s="87" t="s">
        <v>34</v>
      </c>
      <c r="C32" s="86" t="s">
        <v>63</v>
      </c>
      <c r="D32" s="85"/>
    </row>
    <row r="33" spans="1:4">
      <c r="A33" s="84" t="s">
        <v>21</v>
      </c>
      <c r="B33" s="87" t="s">
        <v>34</v>
      </c>
      <c r="C33" s="86" t="s">
        <v>70</v>
      </c>
      <c r="D33" s="85"/>
    </row>
    <row r="34" spans="1:4">
      <c r="A34" s="84" t="s">
        <v>21</v>
      </c>
      <c r="B34" s="88" t="s">
        <v>449</v>
      </c>
      <c r="C34" s="89"/>
      <c r="D34" s="85"/>
    </row>
    <row r="35" spans="1:5">
      <c r="A35" s="84" t="s">
        <v>21</v>
      </c>
      <c r="B35" s="85" t="s">
        <v>36</v>
      </c>
      <c r="C35" s="86" t="s">
        <v>22</v>
      </c>
      <c r="D35" s="86" t="s">
        <v>529</v>
      </c>
      <c r="E35" t="s">
        <v>530</v>
      </c>
    </row>
    <row r="36" spans="1:4">
      <c r="A36" s="84" t="s">
        <v>21</v>
      </c>
      <c r="B36" s="87" t="s">
        <v>36</v>
      </c>
      <c r="C36" s="86" t="s">
        <v>43</v>
      </c>
      <c r="D36" s="86"/>
    </row>
    <row r="37" spans="1:4">
      <c r="A37" s="84" t="s">
        <v>21</v>
      </c>
      <c r="B37" s="87" t="s">
        <v>36</v>
      </c>
      <c r="C37" s="86" t="s">
        <v>63</v>
      </c>
      <c r="D37" s="86"/>
    </row>
    <row r="38" spans="1:4">
      <c r="A38" s="84" t="s">
        <v>21</v>
      </c>
      <c r="B38" s="87" t="s">
        <v>36</v>
      </c>
      <c r="C38" s="86" t="s">
        <v>70</v>
      </c>
      <c r="D38" s="86"/>
    </row>
    <row r="39" spans="1:4">
      <c r="A39" s="84" t="s">
        <v>21</v>
      </c>
      <c r="B39" s="88" t="s">
        <v>450</v>
      </c>
      <c r="C39" s="89"/>
      <c r="D39" s="86"/>
    </row>
    <row r="40" ht="30" spans="1:4">
      <c r="A40" s="84" t="s">
        <v>21</v>
      </c>
      <c r="B40" s="85" t="s">
        <v>82</v>
      </c>
      <c r="C40" s="86" t="s">
        <v>78</v>
      </c>
      <c r="D40" s="85"/>
    </row>
    <row r="41" spans="1:4">
      <c r="A41" s="84" t="s">
        <v>21</v>
      </c>
      <c r="B41" s="88" t="s">
        <v>451</v>
      </c>
      <c r="C41" s="89"/>
      <c r="D41" s="85"/>
    </row>
    <row r="42" ht="30" spans="1:4">
      <c r="A42" s="84" t="s">
        <v>21</v>
      </c>
      <c r="B42" s="85" t="s">
        <v>84</v>
      </c>
      <c r="C42" s="86" t="s">
        <v>78</v>
      </c>
      <c r="D42" s="85"/>
    </row>
    <row r="43" spans="1:4">
      <c r="A43" s="84" t="s">
        <v>21</v>
      </c>
      <c r="B43" s="88" t="s">
        <v>452</v>
      </c>
      <c r="C43" s="89"/>
      <c r="D43" s="85"/>
    </row>
    <row r="44" ht="30" spans="1:4">
      <c r="A44" s="84" t="s">
        <v>21</v>
      </c>
      <c r="B44" s="85" t="s">
        <v>86</v>
      </c>
      <c r="C44" s="86" t="s">
        <v>78</v>
      </c>
      <c r="D44" s="85"/>
    </row>
    <row r="45" spans="1:4">
      <c r="A45" s="84" t="s">
        <v>21</v>
      </c>
      <c r="B45" s="88" t="s">
        <v>453</v>
      </c>
      <c r="C45" s="89"/>
      <c r="D45" s="85"/>
    </row>
    <row r="46" ht="30" spans="1:4">
      <c r="A46" s="84" t="s">
        <v>21</v>
      </c>
      <c r="B46" s="85" t="s">
        <v>88</v>
      </c>
      <c r="C46" s="86" t="s">
        <v>78</v>
      </c>
      <c r="D46" s="85"/>
    </row>
    <row r="47" spans="1:4">
      <c r="A47" s="84" t="s">
        <v>21</v>
      </c>
      <c r="B47" s="88" t="s">
        <v>454</v>
      </c>
      <c r="C47" s="89"/>
      <c r="D47" s="85"/>
    </row>
    <row r="48" ht="30" spans="1:4">
      <c r="A48" s="84" t="s">
        <v>21</v>
      </c>
      <c r="B48" s="85" t="s">
        <v>90</v>
      </c>
      <c r="C48" s="86" t="s">
        <v>78</v>
      </c>
      <c r="D48" s="85"/>
    </row>
    <row r="49" spans="1:4">
      <c r="A49" s="84" t="s">
        <v>21</v>
      </c>
      <c r="B49" s="88" t="s">
        <v>455</v>
      </c>
      <c r="C49" s="89"/>
      <c r="D49" s="85"/>
    </row>
    <row r="50" spans="1:5">
      <c r="A50" s="84" t="s">
        <v>21</v>
      </c>
      <c r="B50" s="85" t="s">
        <v>38</v>
      </c>
      <c r="C50" s="86" t="s">
        <v>22</v>
      </c>
      <c r="D50" s="86" t="s">
        <v>529</v>
      </c>
      <c r="E50" t="s">
        <v>530</v>
      </c>
    </row>
    <row r="51" spans="1:4">
      <c r="A51" s="84" t="s">
        <v>21</v>
      </c>
      <c r="B51" s="87" t="s">
        <v>38</v>
      </c>
      <c r="C51" s="86" t="s">
        <v>43</v>
      </c>
      <c r="D51" s="86"/>
    </row>
    <row r="52" spans="1:4">
      <c r="A52" s="84" t="s">
        <v>21</v>
      </c>
      <c r="B52" s="87" t="s">
        <v>38</v>
      </c>
      <c r="C52" s="86" t="s">
        <v>63</v>
      </c>
      <c r="D52" s="86"/>
    </row>
    <row r="53" spans="1:4">
      <c r="A53" s="84" t="s">
        <v>21</v>
      </c>
      <c r="B53" s="87" t="s">
        <v>38</v>
      </c>
      <c r="C53" s="86" t="s">
        <v>70</v>
      </c>
      <c r="D53" s="86"/>
    </row>
    <row r="54" spans="1:4">
      <c r="A54" s="84" t="s">
        <v>21</v>
      </c>
      <c r="B54" s="87" t="s">
        <v>38</v>
      </c>
      <c r="C54" s="86" t="s">
        <v>78</v>
      </c>
      <c r="D54" s="86"/>
    </row>
    <row r="55" spans="1:4">
      <c r="A55" s="84" t="s">
        <v>21</v>
      </c>
      <c r="B55" s="88" t="s">
        <v>456</v>
      </c>
      <c r="C55" s="89"/>
      <c r="D55" s="85"/>
    </row>
    <row r="56" spans="1:5">
      <c r="A56" s="84" t="s">
        <v>21</v>
      </c>
      <c r="B56" s="85" t="s">
        <v>40</v>
      </c>
      <c r="C56" s="86" t="s">
        <v>22</v>
      </c>
      <c r="D56" s="86" t="s">
        <v>529</v>
      </c>
      <c r="E56" t="s">
        <v>530</v>
      </c>
    </row>
    <row r="57" spans="1:4">
      <c r="A57" s="84" t="s">
        <v>21</v>
      </c>
      <c r="B57" s="87" t="s">
        <v>40</v>
      </c>
      <c r="C57" s="86" t="s">
        <v>43</v>
      </c>
      <c r="D57" s="86"/>
    </row>
    <row r="58" spans="1:4">
      <c r="A58" s="84" t="s">
        <v>21</v>
      </c>
      <c r="B58" s="87" t="s">
        <v>40</v>
      </c>
      <c r="C58" s="86" t="s">
        <v>63</v>
      </c>
      <c r="D58" s="86"/>
    </row>
    <row r="59" spans="1:4">
      <c r="A59" s="84" t="s">
        <v>21</v>
      </c>
      <c r="B59" s="87" t="s">
        <v>40</v>
      </c>
      <c r="C59" s="86" t="s">
        <v>70</v>
      </c>
      <c r="D59" s="86"/>
    </row>
    <row r="60" spans="1:4">
      <c r="A60" s="84" t="s">
        <v>21</v>
      </c>
      <c r="B60" s="88" t="s">
        <v>457</v>
      </c>
      <c r="C60" s="89"/>
      <c r="D60" s="86"/>
    </row>
    <row r="61" spans="1:5">
      <c r="A61" s="84" t="s">
        <v>21</v>
      </c>
      <c r="B61" s="85" t="s">
        <v>42</v>
      </c>
      <c r="C61" s="86" t="s">
        <v>22</v>
      </c>
      <c r="D61" s="86" t="s">
        <v>529</v>
      </c>
      <c r="E61" t="s">
        <v>530</v>
      </c>
    </row>
    <row r="62" spans="1:4">
      <c r="A62" s="84" t="s">
        <v>21</v>
      </c>
      <c r="B62" s="87" t="s">
        <v>42</v>
      </c>
      <c r="C62" s="86" t="s">
        <v>43</v>
      </c>
      <c r="D62" s="86"/>
    </row>
    <row r="63" spans="1:4">
      <c r="A63" s="84" t="s">
        <v>21</v>
      </c>
      <c r="B63" s="87" t="s">
        <v>42</v>
      </c>
      <c r="C63" s="86" t="s">
        <v>63</v>
      </c>
      <c r="D63" s="86"/>
    </row>
    <row r="64" spans="1:4">
      <c r="A64" s="84" t="s">
        <v>21</v>
      </c>
      <c r="B64" s="87" t="s">
        <v>42</v>
      </c>
      <c r="C64" s="86" t="s">
        <v>70</v>
      </c>
      <c r="D64" s="86"/>
    </row>
    <row r="65" spans="1:4">
      <c r="A65" s="84" t="s">
        <v>21</v>
      </c>
      <c r="B65" s="88" t="s">
        <v>458</v>
      </c>
      <c r="C65" s="89"/>
      <c r="D65" s="86"/>
    </row>
    <row r="66" ht="30" spans="1:4">
      <c r="A66" s="84" t="s">
        <v>21</v>
      </c>
      <c r="B66" s="85" t="s">
        <v>92</v>
      </c>
      <c r="C66" s="86" t="s">
        <v>78</v>
      </c>
      <c r="D66" s="85"/>
    </row>
    <row r="67" spans="1:4">
      <c r="A67" s="84" t="s">
        <v>21</v>
      </c>
      <c r="B67" s="88" t="s">
        <v>459</v>
      </c>
      <c r="C67" s="89"/>
      <c r="D67" s="85"/>
    </row>
    <row r="68" ht="30" spans="1:5">
      <c r="A68" s="84" t="s">
        <v>21</v>
      </c>
      <c r="B68" s="85" t="s">
        <v>55</v>
      </c>
      <c r="C68" s="86" t="s">
        <v>43</v>
      </c>
      <c r="D68" s="85" t="s">
        <v>529</v>
      </c>
      <c r="E68" t="s">
        <v>530</v>
      </c>
    </row>
    <row r="69" spans="1:4">
      <c r="A69" s="84" t="s">
        <v>21</v>
      </c>
      <c r="B69" s="88" t="s">
        <v>460</v>
      </c>
      <c r="C69" s="89"/>
      <c r="D69" s="85"/>
    </row>
    <row r="70" ht="30" spans="1:5">
      <c r="A70" s="84" t="s">
        <v>21</v>
      </c>
      <c r="B70" s="85" t="s">
        <v>57</v>
      </c>
      <c r="C70" s="86" t="s">
        <v>43</v>
      </c>
      <c r="D70" s="85" t="s">
        <v>529</v>
      </c>
      <c r="E70" t="s">
        <v>530</v>
      </c>
    </row>
    <row r="71" spans="1:4">
      <c r="A71" s="84" t="s">
        <v>21</v>
      </c>
      <c r="B71" s="88" t="s">
        <v>461</v>
      </c>
      <c r="C71" s="89"/>
      <c r="D71" s="85"/>
    </row>
    <row r="72" ht="30" spans="1:5">
      <c r="A72" s="84" t="s">
        <v>21</v>
      </c>
      <c r="B72" s="85" t="s">
        <v>59</v>
      </c>
      <c r="C72" s="86" t="s">
        <v>43</v>
      </c>
      <c r="D72" s="85" t="s">
        <v>529</v>
      </c>
      <c r="E72" t="s">
        <v>530</v>
      </c>
    </row>
    <row r="73" spans="1:4">
      <c r="A73" s="84" t="s">
        <v>21</v>
      </c>
      <c r="B73" s="87" t="s">
        <v>59</v>
      </c>
      <c r="C73" s="86" t="s">
        <v>78</v>
      </c>
      <c r="D73" s="85"/>
    </row>
    <row r="74" spans="1:4">
      <c r="A74" s="84" t="s">
        <v>21</v>
      </c>
      <c r="B74" s="88" t="s">
        <v>462</v>
      </c>
      <c r="C74" s="89"/>
      <c r="D74" s="85"/>
    </row>
    <row r="75" ht="30" spans="1:5">
      <c r="A75" s="84" t="s">
        <v>21</v>
      </c>
      <c r="B75" s="85" t="s">
        <v>61</v>
      </c>
      <c r="C75" s="86" t="s">
        <v>43</v>
      </c>
      <c r="D75" s="85" t="s">
        <v>529</v>
      </c>
      <c r="E75" t="s">
        <v>530</v>
      </c>
    </row>
    <row r="76" spans="1:4">
      <c r="A76" s="84" t="s">
        <v>21</v>
      </c>
      <c r="B76" s="88" t="s">
        <v>463</v>
      </c>
      <c r="C76" s="89"/>
      <c r="D76" s="85"/>
    </row>
    <row r="77" ht="30" spans="1:4">
      <c r="A77" s="84" t="s">
        <v>21</v>
      </c>
      <c r="B77" s="85" t="s">
        <v>94</v>
      </c>
      <c r="C77" s="86" t="s">
        <v>78</v>
      </c>
      <c r="D77" s="85"/>
    </row>
    <row r="78" spans="1:4">
      <c r="A78" s="84" t="s">
        <v>21</v>
      </c>
      <c r="B78" s="88" t="s">
        <v>464</v>
      </c>
      <c r="C78" s="89"/>
      <c r="D78" s="85"/>
    </row>
    <row r="79" spans="1:4">
      <c r="A79" s="84" t="s">
        <v>21</v>
      </c>
      <c r="B79" s="85" t="s">
        <v>96</v>
      </c>
      <c r="C79" s="86" t="s">
        <v>78</v>
      </c>
      <c r="D79" s="85"/>
    </row>
    <row r="80" spans="1:4">
      <c r="A80" s="84" t="s">
        <v>21</v>
      </c>
      <c r="B80" s="88" t="s">
        <v>465</v>
      </c>
      <c r="C80" s="89"/>
      <c r="D80" s="85"/>
    </row>
    <row r="81" spans="1:4">
      <c r="A81" s="84" t="s">
        <v>21</v>
      </c>
      <c r="B81" s="85" t="s">
        <v>98</v>
      </c>
      <c r="C81" s="86" t="s">
        <v>78</v>
      </c>
      <c r="D81" s="85"/>
    </row>
    <row r="82" spans="1:4">
      <c r="A82" s="84" t="s">
        <v>21</v>
      </c>
      <c r="B82" s="88" t="s">
        <v>466</v>
      </c>
      <c r="C82" s="89"/>
      <c r="D82" s="85"/>
    </row>
    <row r="83" spans="1:4">
      <c r="A83" s="84" t="s">
        <v>21</v>
      </c>
      <c r="B83" s="85" t="s">
        <v>100</v>
      </c>
      <c r="C83" s="86" t="s">
        <v>78</v>
      </c>
      <c r="D83" s="85"/>
    </row>
    <row r="84" spans="1:4">
      <c r="A84" s="84" t="s">
        <v>21</v>
      </c>
      <c r="B84" s="88" t="s">
        <v>467</v>
      </c>
      <c r="C84" s="89"/>
      <c r="D84" s="85"/>
    </row>
    <row r="85" spans="1:4">
      <c r="A85" s="84" t="s">
        <v>21</v>
      </c>
      <c r="B85" s="85" t="s">
        <v>102</v>
      </c>
      <c r="C85" s="86" t="s">
        <v>78</v>
      </c>
      <c r="D85" s="85"/>
    </row>
    <row r="86" spans="1:4">
      <c r="A86" s="84" t="s">
        <v>21</v>
      </c>
      <c r="B86" s="88" t="s">
        <v>468</v>
      </c>
      <c r="C86" s="89"/>
      <c r="D86" s="85"/>
    </row>
    <row r="87" ht="30" spans="1:4">
      <c r="A87" s="84" t="s">
        <v>21</v>
      </c>
      <c r="B87" s="85" t="s">
        <v>104</v>
      </c>
      <c r="C87" s="86" t="s">
        <v>78</v>
      </c>
      <c r="D87" s="85"/>
    </row>
    <row r="88" spans="1:4">
      <c r="A88" s="84" t="s">
        <v>21</v>
      </c>
      <c r="B88" s="88" t="s">
        <v>469</v>
      </c>
      <c r="C88" s="89"/>
      <c r="D88" s="85"/>
    </row>
    <row r="89" spans="1:4">
      <c r="A89" s="86" t="s">
        <v>470</v>
      </c>
      <c r="B89" s="84"/>
      <c r="C89" s="84"/>
      <c r="D89" s="85"/>
    </row>
    <row r="90" ht="45" spans="1:4">
      <c r="A90" s="86" t="s">
        <v>105</v>
      </c>
      <c r="B90" s="85" t="s">
        <v>128</v>
      </c>
      <c r="C90" s="86" t="s">
        <v>70</v>
      </c>
      <c r="D90" s="85"/>
    </row>
    <row r="91" spans="1:4">
      <c r="A91" s="84" t="s">
        <v>105</v>
      </c>
      <c r="B91" s="88" t="s">
        <v>471</v>
      </c>
      <c r="C91" s="89"/>
      <c r="D91" s="85"/>
    </row>
    <row r="92" spans="1:4">
      <c r="A92" s="84" t="s">
        <v>105</v>
      </c>
      <c r="B92" s="85" t="s">
        <v>133</v>
      </c>
      <c r="C92" s="86" t="s">
        <v>78</v>
      </c>
      <c r="D92" s="85"/>
    </row>
    <row r="93" spans="1:4">
      <c r="A93" s="84" t="s">
        <v>105</v>
      </c>
      <c r="B93" s="88" t="s">
        <v>472</v>
      </c>
      <c r="C93" s="89"/>
      <c r="D93" s="85"/>
    </row>
    <row r="94" spans="1:4">
      <c r="A94" s="84" t="s">
        <v>105</v>
      </c>
      <c r="B94" s="85" t="s">
        <v>531</v>
      </c>
      <c r="C94" s="86" t="s">
        <v>78</v>
      </c>
      <c r="D94" s="85"/>
    </row>
    <row r="95" spans="1:4">
      <c r="A95" s="84" t="s">
        <v>105</v>
      </c>
      <c r="B95" s="88" t="s">
        <v>532</v>
      </c>
      <c r="C95" s="89"/>
      <c r="D95" s="85"/>
    </row>
    <row r="96" ht="30" spans="1:4">
      <c r="A96" s="84" t="s">
        <v>105</v>
      </c>
      <c r="B96" s="85" t="s">
        <v>135</v>
      </c>
      <c r="C96" s="86" t="s">
        <v>78</v>
      </c>
      <c r="D96" s="85"/>
    </row>
    <row r="97" spans="1:4">
      <c r="A97" s="84" t="s">
        <v>105</v>
      </c>
      <c r="B97" s="88" t="s">
        <v>473</v>
      </c>
      <c r="C97" s="89"/>
      <c r="D97" s="85"/>
    </row>
    <row r="98" ht="30" spans="1:4">
      <c r="A98" s="84" t="s">
        <v>105</v>
      </c>
      <c r="B98" s="85" t="s">
        <v>137</v>
      </c>
      <c r="C98" s="86" t="s">
        <v>78</v>
      </c>
      <c r="D98" s="85"/>
    </row>
    <row r="99" spans="1:4">
      <c r="A99" s="84" t="s">
        <v>105</v>
      </c>
      <c r="B99" s="88" t="s">
        <v>474</v>
      </c>
      <c r="C99" s="89"/>
      <c r="D99" s="85"/>
    </row>
    <row r="100" ht="30" spans="1:4">
      <c r="A100" s="84" t="s">
        <v>105</v>
      </c>
      <c r="B100" s="85" t="s">
        <v>139</v>
      </c>
      <c r="C100" s="86" t="s">
        <v>78</v>
      </c>
      <c r="D100" s="85"/>
    </row>
    <row r="101" spans="1:4">
      <c r="A101" s="84" t="s">
        <v>105</v>
      </c>
      <c r="B101" s="88" t="s">
        <v>475</v>
      </c>
      <c r="C101" s="89"/>
      <c r="D101" s="85"/>
    </row>
    <row r="102" ht="45" spans="1:4">
      <c r="A102" s="84" t="s">
        <v>105</v>
      </c>
      <c r="B102" s="85" t="s">
        <v>141</v>
      </c>
      <c r="C102" s="86" t="s">
        <v>78</v>
      </c>
      <c r="D102" s="85"/>
    </row>
    <row r="103" spans="1:4">
      <c r="A103" s="84" t="s">
        <v>105</v>
      </c>
      <c r="B103" s="88" t="s">
        <v>476</v>
      </c>
      <c r="C103" s="89"/>
      <c r="D103" s="85"/>
    </row>
    <row r="104" ht="60" spans="1:4">
      <c r="A104" s="84" t="s">
        <v>105</v>
      </c>
      <c r="B104" s="85" t="s">
        <v>143</v>
      </c>
      <c r="C104" s="86" t="s">
        <v>78</v>
      </c>
      <c r="D104" s="85"/>
    </row>
    <row r="105" spans="1:4">
      <c r="A105" s="84" t="s">
        <v>105</v>
      </c>
      <c r="B105" s="88" t="s">
        <v>477</v>
      </c>
      <c r="C105" s="89"/>
      <c r="D105" s="85"/>
    </row>
    <row r="106" ht="45" spans="1:4">
      <c r="A106" s="84" t="s">
        <v>105</v>
      </c>
      <c r="B106" s="85" t="s">
        <v>145</v>
      </c>
      <c r="C106" s="86" t="s">
        <v>78</v>
      </c>
      <c r="D106" s="85"/>
    </row>
    <row r="107" spans="1:4">
      <c r="A107" s="84" t="s">
        <v>105</v>
      </c>
      <c r="B107" s="88" t="s">
        <v>478</v>
      </c>
      <c r="C107" s="89"/>
      <c r="D107" s="85"/>
    </row>
    <row r="108" spans="1:4">
      <c r="A108" s="84" t="s">
        <v>105</v>
      </c>
      <c r="B108" s="85" t="s">
        <v>107</v>
      </c>
      <c r="C108" s="86" t="s">
        <v>22</v>
      </c>
      <c r="D108" s="85"/>
    </row>
    <row r="109" spans="1:4">
      <c r="A109" s="84" t="s">
        <v>105</v>
      </c>
      <c r="B109" s="88" t="s">
        <v>479</v>
      </c>
      <c r="C109" s="89"/>
      <c r="D109" s="85"/>
    </row>
    <row r="110" ht="30" spans="1:4">
      <c r="A110" s="84" t="s">
        <v>105</v>
      </c>
      <c r="B110" s="85" t="s">
        <v>147</v>
      </c>
      <c r="C110" s="86" t="s">
        <v>78</v>
      </c>
      <c r="D110" s="85"/>
    </row>
    <row r="111" spans="1:4">
      <c r="A111" s="84" t="s">
        <v>105</v>
      </c>
      <c r="B111" s="88" t="s">
        <v>480</v>
      </c>
      <c r="C111" s="89"/>
      <c r="D111" s="85"/>
    </row>
    <row r="112" ht="30" spans="1:4">
      <c r="A112" s="84" t="s">
        <v>105</v>
      </c>
      <c r="B112" s="85" t="s">
        <v>149</v>
      </c>
      <c r="C112" s="86" t="s">
        <v>78</v>
      </c>
      <c r="D112" s="85"/>
    </row>
    <row r="113" spans="1:4">
      <c r="A113" s="84" t="s">
        <v>105</v>
      </c>
      <c r="B113" s="88" t="s">
        <v>481</v>
      </c>
      <c r="C113" s="89"/>
      <c r="D113" s="85"/>
    </row>
    <row r="114" ht="30" spans="1:4">
      <c r="A114" s="84" t="s">
        <v>105</v>
      </c>
      <c r="B114" s="85" t="s">
        <v>151</v>
      </c>
      <c r="C114" s="86" t="s">
        <v>78</v>
      </c>
      <c r="D114" s="85"/>
    </row>
    <row r="115" spans="1:4">
      <c r="A115" s="84" t="s">
        <v>105</v>
      </c>
      <c r="B115" s="88" t="s">
        <v>482</v>
      </c>
      <c r="C115" s="89"/>
      <c r="D115" s="85"/>
    </row>
    <row r="116" spans="1:4">
      <c r="A116" s="84" t="s">
        <v>105</v>
      </c>
      <c r="B116" s="85" t="s">
        <v>115</v>
      </c>
      <c r="C116" s="86" t="s">
        <v>43</v>
      </c>
      <c r="D116" s="85"/>
    </row>
    <row r="117" spans="1:4">
      <c r="A117" s="84" t="s">
        <v>105</v>
      </c>
      <c r="B117" s="88" t="s">
        <v>483</v>
      </c>
      <c r="C117" s="89"/>
      <c r="D117" s="85"/>
    </row>
    <row r="118" spans="1:4">
      <c r="A118" s="84" t="s">
        <v>105</v>
      </c>
      <c r="B118" s="85" t="s">
        <v>117</v>
      </c>
      <c r="C118" s="86" t="s">
        <v>43</v>
      </c>
      <c r="D118" s="85"/>
    </row>
    <row r="119" spans="1:4">
      <c r="A119" s="84" t="s">
        <v>105</v>
      </c>
      <c r="B119" s="87" t="s">
        <v>117</v>
      </c>
      <c r="C119" s="86" t="s">
        <v>78</v>
      </c>
      <c r="D119" s="85"/>
    </row>
    <row r="120" spans="1:4">
      <c r="A120" s="84" t="s">
        <v>105</v>
      </c>
      <c r="B120" s="88" t="s">
        <v>484</v>
      </c>
      <c r="C120" s="89"/>
      <c r="D120" s="85"/>
    </row>
    <row r="121" ht="30" spans="1:4">
      <c r="A121" s="84" t="s">
        <v>105</v>
      </c>
      <c r="B121" s="85" t="s">
        <v>153</v>
      </c>
      <c r="C121" s="86" t="s">
        <v>78</v>
      </c>
      <c r="D121" s="85"/>
    </row>
    <row r="122" spans="1:4">
      <c r="A122" s="84" t="s">
        <v>105</v>
      </c>
      <c r="B122" s="88" t="s">
        <v>485</v>
      </c>
      <c r="C122" s="89"/>
      <c r="D122" s="85"/>
    </row>
    <row r="123" ht="30" spans="1:4">
      <c r="A123" s="84" t="s">
        <v>105</v>
      </c>
      <c r="B123" s="85" t="s">
        <v>155</v>
      </c>
      <c r="C123" s="86" t="s">
        <v>78</v>
      </c>
      <c r="D123" s="85"/>
    </row>
    <row r="124" spans="1:4">
      <c r="A124" s="84" t="s">
        <v>105</v>
      </c>
      <c r="B124" s="88" t="s">
        <v>486</v>
      </c>
      <c r="C124" s="89"/>
      <c r="D124" s="85"/>
    </row>
    <row r="125" spans="1:4">
      <c r="A125" s="84" t="s">
        <v>105</v>
      </c>
      <c r="B125" s="85" t="s">
        <v>119</v>
      </c>
      <c r="C125" s="86" t="s">
        <v>43</v>
      </c>
      <c r="D125" s="85"/>
    </row>
    <row r="126" spans="1:4">
      <c r="A126" s="84" t="s">
        <v>105</v>
      </c>
      <c r="B126" s="88" t="s">
        <v>487</v>
      </c>
      <c r="C126" s="89"/>
      <c r="D126" s="85"/>
    </row>
    <row r="127" spans="1:4">
      <c r="A127" s="84" t="s">
        <v>105</v>
      </c>
      <c r="B127" s="85" t="s">
        <v>121</v>
      </c>
      <c r="C127" s="86" t="s">
        <v>43</v>
      </c>
      <c r="D127" s="85"/>
    </row>
    <row r="128" spans="1:4">
      <c r="A128" s="84" t="s">
        <v>105</v>
      </c>
      <c r="B128" s="87" t="s">
        <v>121</v>
      </c>
      <c r="C128" s="86" t="s">
        <v>78</v>
      </c>
      <c r="D128" s="85"/>
    </row>
    <row r="129" spans="1:4">
      <c r="A129" s="84" t="s">
        <v>105</v>
      </c>
      <c r="B129" s="88" t="s">
        <v>488</v>
      </c>
      <c r="C129" s="89"/>
      <c r="D129" s="85"/>
    </row>
    <row r="130" ht="30" spans="1:5">
      <c r="A130" s="84" t="s">
        <v>105</v>
      </c>
      <c r="B130" s="85" t="s">
        <v>157</v>
      </c>
      <c r="C130" s="86" t="s">
        <v>78</v>
      </c>
      <c r="D130" s="85" t="s">
        <v>533</v>
      </c>
      <c r="E130" t="s">
        <v>530</v>
      </c>
    </row>
    <row r="131" spans="1:4">
      <c r="A131" s="84" t="s">
        <v>105</v>
      </c>
      <c r="B131" s="88" t="s">
        <v>489</v>
      </c>
      <c r="C131" s="89"/>
      <c r="D131" s="85"/>
    </row>
    <row r="132" ht="30" spans="1:4">
      <c r="A132" s="84" t="s">
        <v>105</v>
      </c>
      <c r="B132" s="85" t="s">
        <v>159</v>
      </c>
      <c r="C132" s="86" t="s">
        <v>78</v>
      </c>
      <c r="D132" s="85"/>
    </row>
    <row r="133" spans="1:4">
      <c r="A133" s="84" t="s">
        <v>105</v>
      </c>
      <c r="B133" s="88" t="s">
        <v>490</v>
      </c>
      <c r="C133" s="89"/>
      <c r="D133" s="85"/>
    </row>
    <row r="134" spans="1:4">
      <c r="A134" s="84" t="s">
        <v>105</v>
      </c>
      <c r="B134" s="85" t="s">
        <v>109</v>
      </c>
      <c r="C134" s="86" t="s">
        <v>22</v>
      </c>
      <c r="D134" s="86"/>
    </row>
    <row r="135" spans="1:4">
      <c r="A135" s="84" t="s">
        <v>105</v>
      </c>
      <c r="B135" s="87" t="s">
        <v>109</v>
      </c>
      <c r="C135" s="86" t="s">
        <v>43</v>
      </c>
      <c r="D135" s="86"/>
    </row>
    <row r="136" spans="1:4">
      <c r="A136" s="84" t="s">
        <v>105</v>
      </c>
      <c r="B136" s="87" t="s">
        <v>109</v>
      </c>
      <c r="C136" s="86" t="s">
        <v>63</v>
      </c>
      <c r="D136" s="86"/>
    </row>
    <row r="137" spans="1:4">
      <c r="A137" s="84" t="s">
        <v>105</v>
      </c>
      <c r="B137" s="87" t="s">
        <v>109</v>
      </c>
      <c r="C137" s="86" t="s">
        <v>70</v>
      </c>
      <c r="D137" s="86"/>
    </row>
    <row r="138" spans="1:4">
      <c r="A138" s="84" t="s">
        <v>105</v>
      </c>
      <c r="B138" s="88" t="s">
        <v>491</v>
      </c>
      <c r="C138" s="89"/>
      <c r="D138" s="85"/>
    </row>
    <row r="139" spans="1:4">
      <c r="A139" s="84" t="s">
        <v>105</v>
      </c>
      <c r="B139" s="85" t="s">
        <v>111</v>
      </c>
      <c r="C139" s="86" t="s">
        <v>22</v>
      </c>
      <c r="D139" s="85"/>
    </row>
    <row r="140" spans="1:4">
      <c r="A140" s="84" t="s">
        <v>105</v>
      </c>
      <c r="B140" s="87" t="s">
        <v>111</v>
      </c>
      <c r="C140" s="86" t="s">
        <v>43</v>
      </c>
      <c r="D140" s="85"/>
    </row>
    <row r="141" spans="1:4">
      <c r="A141" s="84" t="s">
        <v>105</v>
      </c>
      <c r="B141" s="87" t="s">
        <v>111</v>
      </c>
      <c r="C141" s="86" t="s">
        <v>70</v>
      </c>
      <c r="D141" s="85"/>
    </row>
    <row r="142" spans="1:4">
      <c r="A142" s="84" t="s">
        <v>105</v>
      </c>
      <c r="B142" s="88" t="s">
        <v>492</v>
      </c>
      <c r="C142" s="89"/>
      <c r="D142" s="85"/>
    </row>
    <row r="143" spans="1:4">
      <c r="A143" s="84" t="s">
        <v>105</v>
      </c>
      <c r="B143" s="85" t="s">
        <v>113</v>
      </c>
      <c r="C143" s="86" t="s">
        <v>22</v>
      </c>
      <c r="D143" s="85"/>
    </row>
    <row r="144" spans="1:4">
      <c r="A144" s="84" t="s">
        <v>105</v>
      </c>
      <c r="B144" s="87" t="s">
        <v>113</v>
      </c>
      <c r="C144" s="86" t="s">
        <v>43</v>
      </c>
      <c r="D144" s="85"/>
    </row>
    <row r="145" spans="1:4">
      <c r="A145" s="84" t="s">
        <v>105</v>
      </c>
      <c r="B145" s="87" t="s">
        <v>113</v>
      </c>
      <c r="C145" s="86" t="s">
        <v>63</v>
      </c>
      <c r="D145" s="85"/>
    </row>
    <row r="146" spans="1:4">
      <c r="A146" s="84" t="s">
        <v>105</v>
      </c>
      <c r="B146" s="87" t="s">
        <v>113</v>
      </c>
      <c r="C146" s="86" t="s">
        <v>70</v>
      </c>
      <c r="D146" s="85"/>
    </row>
    <row r="147" spans="1:4">
      <c r="A147" s="84" t="s">
        <v>105</v>
      </c>
      <c r="B147" s="88" t="s">
        <v>493</v>
      </c>
      <c r="C147" s="89"/>
      <c r="D147" s="85"/>
    </row>
    <row r="148" ht="30" spans="1:4">
      <c r="A148" s="84" t="s">
        <v>105</v>
      </c>
      <c r="B148" s="85" t="s">
        <v>161</v>
      </c>
      <c r="C148" s="86" t="s">
        <v>78</v>
      </c>
      <c r="D148" s="85"/>
    </row>
    <row r="149" spans="1:4">
      <c r="A149" s="84" t="s">
        <v>105</v>
      </c>
      <c r="B149" s="88" t="s">
        <v>494</v>
      </c>
      <c r="C149" s="89"/>
      <c r="D149" s="85"/>
    </row>
    <row r="150" ht="30" spans="1:4">
      <c r="A150" s="84" t="s">
        <v>105</v>
      </c>
      <c r="B150" s="85" t="s">
        <v>163</v>
      </c>
      <c r="C150" s="86" t="s">
        <v>78</v>
      </c>
      <c r="D150" s="85"/>
    </row>
    <row r="151" spans="1:4">
      <c r="A151" s="84" t="s">
        <v>105</v>
      </c>
      <c r="B151" s="88" t="s">
        <v>495</v>
      </c>
      <c r="C151" s="89"/>
      <c r="D151" s="85"/>
    </row>
    <row r="152" spans="1:4">
      <c r="A152" s="84" t="s">
        <v>105</v>
      </c>
      <c r="B152" s="85" t="s">
        <v>165</v>
      </c>
      <c r="C152" s="86" t="s">
        <v>78</v>
      </c>
      <c r="D152" s="85"/>
    </row>
    <row r="153" spans="1:4">
      <c r="A153" s="84" t="s">
        <v>105</v>
      </c>
      <c r="B153" s="88" t="s">
        <v>496</v>
      </c>
      <c r="C153" s="89"/>
      <c r="D153" s="85"/>
    </row>
    <row r="154" ht="45" spans="1:4">
      <c r="A154" s="84" t="s">
        <v>105</v>
      </c>
      <c r="B154" s="85" t="s">
        <v>534</v>
      </c>
      <c r="C154" s="86" t="s">
        <v>78</v>
      </c>
      <c r="D154" s="85"/>
    </row>
    <row r="155" spans="1:4">
      <c r="A155" s="84" t="s">
        <v>105</v>
      </c>
      <c r="B155" s="88" t="s">
        <v>535</v>
      </c>
      <c r="C155" s="89"/>
      <c r="D155" s="85"/>
    </row>
    <row r="156" spans="1:4">
      <c r="A156" s="86" t="s">
        <v>497</v>
      </c>
      <c r="B156" s="84"/>
      <c r="C156" s="84"/>
      <c r="D156" s="85"/>
    </row>
    <row r="157" ht="30" spans="1:4">
      <c r="A157" s="86" t="s">
        <v>166</v>
      </c>
      <c r="B157" s="85" t="s">
        <v>536</v>
      </c>
      <c r="C157" s="86" t="s">
        <v>78</v>
      </c>
      <c r="D157" s="85"/>
    </row>
    <row r="158" spans="1:4">
      <c r="A158" s="84" t="s">
        <v>166</v>
      </c>
      <c r="B158" s="88" t="s">
        <v>537</v>
      </c>
      <c r="C158" s="89"/>
      <c r="D158" s="85"/>
    </row>
    <row r="159" ht="30" spans="1:4">
      <c r="A159" s="84" t="s">
        <v>166</v>
      </c>
      <c r="B159" s="85" t="s">
        <v>168</v>
      </c>
      <c r="C159" s="86" t="s">
        <v>78</v>
      </c>
      <c r="D159" s="85"/>
    </row>
    <row r="160" spans="1:4">
      <c r="A160" s="84" t="s">
        <v>166</v>
      </c>
      <c r="B160" s="88" t="s">
        <v>498</v>
      </c>
      <c r="C160" s="89"/>
      <c r="D160" s="85"/>
    </row>
    <row r="161" spans="1:4">
      <c r="A161" s="86" t="s">
        <v>499</v>
      </c>
      <c r="B161" s="84"/>
      <c r="C161" s="84"/>
      <c r="D161" s="85"/>
    </row>
    <row r="162" spans="1:4">
      <c r="A162" s="86" t="s">
        <v>169</v>
      </c>
      <c r="B162" s="85" t="s">
        <v>171</v>
      </c>
      <c r="C162" s="86" t="s">
        <v>22</v>
      </c>
      <c r="D162" s="85"/>
    </row>
    <row r="163" spans="1:4">
      <c r="A163" s="84" t="s">
        <v>169</v>
      </c>
      <c r="B163" s="87" t="s">
        <v>171</v>
      </c>
      <c r="C163" s="86" t="s">
        <v>43</v>
      </c>
      <c r="D163" s="85"/>
    </row>
    <row r="164" spans="1:4">
      <c r="A164" s="84" t="s">
        <v>169</v>
      </c>
      <c r="B164" s="87" t="s">
        <v>171</v>
      </c>
      <c r="C164" s="86" t="s">
        <v>70</v>
      </c>
      <c r="D164" s="85"/>
    </row>
    <row r="165" spans="1:4">
      <c r="A165" s="84" t="s">
        <v>169</v>
      </c>
      <c r="B165" s="88" t="s">
        <v>500</v>
      </c>
      <c r="C165" s="89"/>
      <c r="D165" s="85"/>
    </row>
    <row r="166" spans="1:4">
      <c r="A166" s="84" t="s">
        <v>169</v>
      </c>
      <c r="B166" s="85" t="s">
        <v>173</v>
      </c>
      <c r="C166" s="86" t="s">
        <v>22</v>
      </c>
      <c r="D166" s="85"/>
    </row>
    <row r="167" spans="1:4">
      <c r="A167" s="84" t="s">
        <v>169</v>
      </c>
      <c r="B167" s="87" t="s">
        <v>173</v>
      </c>
      <c r="C167" s="86" t="s">
        <v>43</v>
      </c>
      <c r="D167" s="85"/>
    </row>
    <row r="168" spans="1:4">
      <c r="A168" s="84" t="s">
        <v>169</v>
      </c>
      <c r="B168" s="87" t="s">
        <v>173</v>
      </c>
      <c r="C168" s="86" t="s">
        <v>70</v>
      </c>
      <c r="D168" s="85"/>
    </row>
    <row r="169" spans="1:4">
      <c r="A169" s="84" t="s">
        <v>169</v>
      </c>
      <c r="B169" s="88" t="s">
        <v>501</v>
      </c>
      <c r="C169" s="89"/>
      <c r="D169" s="85"/>
    </row>
    <row r="170" spans="1:4">
      <c r="A170" s="84" t="s">
        <v>169</v>
      </c>
      <c r="B170" s="85" t="s">
        <v>175</v>
      </c>
      <c r="C170" s="86" t="s">
        <v>22</v>
      </c>
      <c r="D170" s="85"/>
    </row>
    <row r="171" spans="1:4">
      <c r="A171" s="84" t="s">
        <v>169</v>
      </c>
      <c r="B171" s="87" t="s">
        <v>175</v>
      </c>
      <c r="C171" s="86" t="s">
        <v>43</v>
      </c>
      <c r="D171" s="85"/>
    </row>
    <row r="172" spans="1:4">
      <c r="A172" s="84" t="s">
        <v>169</v>
      </c>
      <c r="B172" s="87" t="s">
        <v>175</v>
      </c>
      <c r="C172" s="86" t="s">
        <v>70</v>
      </c>
      <c r="D172" s="85"/>
    </row>
    <row r="173" spans="1:4">
      <c r="A173" s="84" t="s">
        <v>169</v>
      </c>
      <c r="B173" s="88" t="s">
        <v>502</v>
      </c>
      <c r="C173" s="89"/>
      <c r="D173" s="85"/>
    </row>
    <row r="174" spans="1:4">
      <c r="A174" s="84" t="s">
        <v>169</v>
      </c>
      <c r="B174" s="85" t="s">
        <v>177</v>
      </c>
      <c r="C174" s="86" t="s">
        <v>22</v>
      </c>
      <c r="D174" s="85"/>
    </row>
    <row r="175" spans="1:4">
      <c r="A175" s="84" t="s">
        <v>169</v>
      </c>
      <c r="B175" s="87" t="s">
        <v>177</v>
      </c>
      <c r="C175" s="86" t="s">
        <v>43</v>
      </c>
      <c r="D175" s="85"/>
    </row>
    <row r="176" spans="1:4">
      <c r="A176" s="84" t="s">
        <v>169</v>
      </c>
      <c r="B176" s="87" t="s">
        <v>177</v>
      </c>
      <c r="C176" s="86" t="s">
        <v>63</v>
      </c>
      <c r="D176" s="85"/>
    </row>
    <row r="177" spans="1:4">
      <c r="A177" s="84" t="s">
        <v>169</v>
      </c>
      <c r="B177" s="87" t="s">
        <v>177</v>
      </c>
      <c r="C177" s="86" t="s">
        <v>70</v>
      </c>
      <c r="D177" s="85"/>
    </row>
    <row r="178" spans="1:4">
      <c r="A178" s="84" t="s">
        <v>169</v>
      </c>
      <c r="B178" s="88" t="s">
        <v>503</v>
      </c>
      <c r="C178" s="89"/>
      <c r="D178" s="85"/>
    </row>
    <row r="179" ht="30" spans="1:4">
      <c r="A179" s="84" t="s">
        <v>169</v>
      </c>
      <c r="B179" s="85" t="s">
        <v>179</v>
      </c>
      <c r="C179" s="86" t="s">
        <v>22</v>
      </c>
      <c r="D179" s="85"/>
    </row>
    <row r="180" spans="1:4">
      <c r="A180" s="84" t="s">
        <v>169</v>
      </c>
      <c r="B180" s="88" t="s">
        <v>504</v>
      </c>
      <c r="C180" s="89"/>
      <c r="D180" s="85"/>
    </row>
    <row r="181" spans="1:4">
      <c r="A181" s="84" t="s">
        <v>169</v>
      </c>
      <c r="B181" s="85" t="s">
        <v>181</v>
      </c>
      <c r="C181" s="86" t="s">
        <v>22</v>
      </c>
      <c r="D181" s="85"/>
    </row>
    <row r="182" spans="1:4">
      <c r="A182" s="84" t="s">
        <v>169</v>
      </c>
      <c r="B182" s="87" t="s">
        <v>181</v>
      </c>
      <c r="C182" s="86" t="s">
        <v>43</v>
      </c>
      <c r="D182" s="85"/>
    </row>
    <row r="183" spans="1:4">
      <c r="A183" s="84" t="s">
        <v>169</v>
      </c>
      <c r="B183" s="87" t="s">
        <v>181</v>
      </c>
      <c r="C183" s="86" t="s">
        <v>70</v>
      </c>
      <c r="D183" s="85"/>
    </row>
    <row r="184" spans="1:4">
      <c r="A184" s="84" t="s">
        <v>169</v>
      </c>
      <c r="B184" s="88" t="s">
        <v>505</v>
      </c>
      <c r="C184" s="89"/>
      <c r="D184" s="85"/>
    </row>
    <row r="185" spans="1:4">
      <c r="A185" s="84" t="s">
        <v>169</v>
      </c>
      <c r="B185" s="85" t="s">
        <v>183</v>
      </c>
      <c r="C185" s="86" t="s">
        <v>22</v>
      </c>
      <c r="D185" s="85"/>
    </row>
    <row r="186" spans="1:4">
      <c r="A186" s="84" t="s">
        <v>169</v>
      </c>
      <c r="B186" s="87" t="s">
        <v>183</v>
      </c>
      <c r="C186" s="86" t="s">
        <v>43</v>
      </c>
      <c r="D186" s="85"/>
    </row>
    <row r="187" spans="1:4">
      <c r="A187" s="84" t="s">
        <v>169</v>
      </c>
      <c r="B187" s="87" t="s">
        <v>183</v>
      </c>
      <c r="C187" s="86" t="s">
        <v>63</v>
      </c>
      <c r="D187" s="85"/>
    </row>
    <row r="188" spans="1:4">
      <c r="A188" s="84" t="s">
        <v>169</v>
      </c>
      <c r="B188" s="87" t="s">
        <v>183</v>
      </c>
      <c r="C188" s="86" t="s">
        <v>70</v>
      </c>
      <c r="D188" s="85"/>
    </row>
    <row r="189" spans="1:4">
      <c r="A189" s="84" t="s">
        <v>169</v>
      </c>
      <c r="B189" s="88" t="s">
        <v>506</v>
      </c>
      <c r="C189" s="89"/>
      <c r="D189" s="85"/>
    </row>
    <row r="190" ht="45" spans="1:5">
      <c r="A190" s="84" t="s">
        <v>169</v>
      </c>
      <c r="B190" s="85" t="s">
        <v>185</v>
      </c>
      <c r="C190" s="86" t="s">
        <v>22</v>
      </c>
      <c r="D190" s="85" t="s">
        <v>538</v>
      </c>
      <c r="E190" t="s">
        <v>539</v>
      </c>
    </row>
    <row r="191" spans="1:4">
      <c r="A191" s="84" t="s">
        <v>169</v>
      </c>
      <c r="B191" s="87" t="s">
        <v>185</v>
      </c>
      <c r="C191" s="86" t="s">
        <v>43</v>
      </c>
      <c r="D191" s="85"/>
    </row>
    <row r="192" spans="1:4">
      <c r="A192" s="84" t="s">
        <v>169</v>
      </c>
      <c r="B192" s="88" t="s">
        <v>507</v>
      </c>
      <c r="C192" s="89"/>
      <c r="D192" s="85"/>
    </row>
    <row r="193" spans="1:4">
      <c r="A193" s="84" t="s">
        <v>169</v>
      </c>
      <c r="B193" s="85" t="s">
        <v>194</v>
      </c>
      <c r="C193" s="86" t="s">
        <v>43</v>
      </c>
      <c r="D193" s="85"/>
    </row>
    <row r="194" spans="1:4">
      <c r="A194" s="84" t="s">
        <v>169</v>
      </c>
      <c r="B194" s="87" t="s">
        <v>194</v>
      </c>
      <c r="C194" s="86" t="s">
        <v>70</v>
      </c>
      <c r="D194" s="85"/>
    </row>
    <row r="195" spans="1:4">
      <c r="A195" s="84" t="s">
        <v>169</v>
      </c>
      <c r="B195" s="88" t="s">
        <v>508</v>
      </c>
      <c r="C195" s="89"/>
      <c r="D195" s="85"/>
    </row>
    <row r="196" ht="30" spans="1:4">
      <c r="A196" s="84" t="s">
        <v>169</v>
      </c>
      <c r="B196" s="85" t="s">
        <v>196</v>
      </c>
      <c r="C196" s="86" t="s">
        <v>43</v>
      </c>
      <c r="D196" s="85"/>
    </row>
    <row r="197" spans="1:4">
      <c r="A197" s="84" t="s">
        <v>169</v>
      </c>
      <c r="B197" s="88" t="s">
        <v>509</v>
      </c>
      <c r="C197" s="89"/>
      <c r="D197" s="85"/>
    </row>
    <row r="198" ht="30" spans="1:4">
      <c r="A198" s="84" t="s">
        <v>169</v>
      </c>
      <c r="B198" s="85" t="s">
        <v>198</v>
      </c>
      <c r="C198" s="86" t="s">
        <v>43</v>
      </c>
      <c r="D198" s="85"/>
    </row>
    <row r="199" spans="1:4">
      <c r="A199" s="84" t="s">
        <v>169</v>
      </c>
      <c r="B199" s="88" t="s">
        <v>510</v>
      </c>
      <c r="C199" s="89"/>
      <c r="D199" s="85"/>
    </row>
    <row r="200" spans="1:4">
      <c r="A200" s="84" t="s">
        <v>169</v>
      </c>
      <c r="B200" s="85" t="s">
        <v>441</v>
      </c>
      <c r="C200" s="86" t="s">
        <v>22</v>
      </c>
      <c r="D200" s="85"/>
    </row>
    <row r="201" spans="1:4">
      <c r="A201" s="84" t="s">
        <v>169</v>
      </c>
      <c r="B201" s="87" t="s">
        <v>441</v>
      </c>
      <c r="C201" s="86" t="s">
        <v>43</v>
      </c>
      <c r="D201" s="85"/>
    </row>
    <row r="202" spans="1:4">
      <c r="A202" s="84" t="s">
        <v>169</v>
      </c>
      <c r="B202" s="88" t="s">
        <v>511</v>
      </c>
      <c r="C202" s="89"/>
      <c r="D202" s="85"/>
    </row>
    <row r="203" ht="60" spans="1:5">
      <c r="A203" s="84" t="s">
        <v>169</v>
      </c>
      <c r="B203" s="85" t="s">
        <v>440</v>
      </c>
      <c r="C203" s="86" t="s">
        <v>43</v>
      </c>
      <c r="D203" s="85" t="s">
        <v>540</v>
      </c>
      <c r="E203" s="48" t="s">
        <v>541</v>
      </c>
    </row>
    <row r="204" spans="1:4">
      <c r="A204" s="84" t="s">
        <v>169</v>
      </c>
      <c r="B204" s="88" t="s">
        <v>512</v>
      </c>
      <c r="C204" s="89"/>
      <c r="D204" s="85"/>
    </row>
    <row r="205" spans="1:4">
      <c r="A205" s="86" t="s">
        <v>513</v>
      </c>
      <c r="B205" s="84"/>
      <c r="C205" s="84"/>
      <c r="D205" s="85"/>
    </row>
    <row r="206" spans="1:5">
      <c r="A206" s="86" t="s">
        <v>208</v>
      </c>
      <c r="B206" s="85" t="s">
        <v>210</v>
      </c>
      <c r="C206" s="86" t="s">
        <v>22</v>
      </c>
      <c r="D206" s="86" t="s">
        <v>542</v>
      </c>
      <c r="E206" t="s">
        <v>528</v>
      </c>
    </row>
    <row r="207" spans="1:4">
      <c r="A207" s="84" t="s">
        <v>208</v>
      </c>
      <c r="B207" s="87" t="s">
        <v>210</v>
      </c>
      <c r="C207" s="86" t="s">
        <v>43</v>
      </c>
      <c r="D207" s="86"/>
    </row>
    <row r="208" spans="1:4">
      <c r="A208" s="84" t="s">
        <v>208</v>
      </c>
      <c r="B208" s="87" t="s">
        <v>210</v>
      </c>
      <c r="C208" s="86" t="s">
        <v>70</v>
      </c>
      <c r="D208" s="86"/>
    </row>
    <row r="209" spans="1:4">
      <c r="A209" s="84" t="s">
        <v>208</v>
      </c>
      <c r="B209" s="88" t="s">
        <v>514</v>
      </c>
      <c r="C209" s="89"/>
      <c r="D209" s="86"/>
    </row>
    <row r="210" spans="1:4">
      <c r="A210" s="84" t="s">
        <v>208</v>
      </c>
      <c r="B210" s="85" t="s">
        <v>212</v>
      </c>
      <c r="C210" s="86" t="s">
        <v>22</v>
      </c>
      <c r="D210" s="86"/>
    </row>
    <row r="211" spans="1:4">
      <c r="A211" s="84" t="s">
        <v>208</v>
      </c>
      <c r="B211" s="87" t="s">
        <v>212</v>
      </c>
      <c r="C211" s="86" t="s">
        <v>43</v>
      </c>
      <c r="D211" s="86"/>
    </row>
    <row r="212" spans="1:4">
      <c r="A212" s="84" t="s">
        <v>208</v>
      </c>
      <c r="B212" s="87" t="s">
        <v>212</v>
      </c>
      <c r="C212" s="86" t="s">
        <v>70</v>
      </c>
      <c r="D212" s="86"/>
    </row>
    <row r="213" spans="1:4">
      <c r="A213" s="84" t="s">
        <v>208</v>
      </c>
      <c r="B213" s="88" t="s">
        <v>515</v>
      </c>
      <c r="C213" s="89"/>
      <c r="D213" s="86"/>
    </row>
    <row r="214" spans="1:5">
      <c r="A214" s="84" t="s">
        <v>208</v>
      </c>
      <c r="B214" s="85" t="s">
        <v>214</v>
      </c>
      <c r="C214" s="86" t="s">
        <v>22</v>
      </c>
      <c r="D214" s="86" t="s">
        <v>543</v>
      </c>
      <c r="E214" t="s">
        <v>528</v>
      </c>
    </row>
    <row r="215" spans="1:4">
      <c r="A215" s="84" t="s">
        <v>208</v>
      </c>
      <c r="B215" s="87" t="s">
        <v>214</v>
      </c>
      <c r="C215" s="86" t="s">
        <v>43</v>
      </c>
      <c r="D215" s="86"/>
    </row>
    <row r="216" spans="1:4">
      <c r="A216" s="84" t="s">
        <v>208</v>
      </c>
      <c r="B216" s="87" t="s">
        <v>214</v>
      </c>
      <c r="C216" s="86" t="s">
        <v>70</v>
      </c>
      <c r="D216" s="86"/>
    </row>
    <row r="217" spans="1:4">
      <c r="A217" s="84" t="s">
        <v>208</v>
      </c>
      <c r="B217" s="88" t="s">
        <v>516</v>
      </c>
      <c r="C217" s="89"/>
      <c r="D217" s="86"/>
    </row>
    <row r="218" spans="1:4">
      <c r="A218" s="84" t="s">
        <v>208</v>
      </c>
      <c r="B218" s="85" t="s">
        <v>216</v>
      </c>
      <c r="C218" s="86" t="s">
        <v>22</v>
      </c>
      <c r="D218" s="86"/>
    </row>
    <row r="219" spans="1:4">
      <c r="A219" s="84" t="s">
        <v>208</v>
      </c>
      <c r="B219" s="87" t="s">
        <v>216</v>
      </c>
      <c r="C219" s="86" t="s">
        <v>43</v>
      </c>
      <c r="D219" s="86"/>
    </row>
    <row r="220" spans="1:4">
      <c r="A220" s="84" t="s">
        <v>208</v>
      </c>
      <c r="B220" s="87" t="s">
        <v>216</v>
      </c>
      <c r="C220" s="86" t="s">
        <v>70</v>
      </c>
      <c r="D220" s="86"/>
    </row>
    <row r="221" spans="1:4">
      <c r="A221" s="84" t="s">
        <v>208</v>
      </c>
      <c r="B221" s="88" t="s">
        <v>517</v>
      </c>
      <c r="C221" s="89"/>
      <c r="D221" s="86"/>
    </row>
    <row r="222" spans="1:4">
      <c r="A222" s="86" t="s">
        <v>518</v>
      </c>
      <c r="B222" s="84"/>
      <c r="C222" s="84"/>
      <c r="D222" s="85"/>
    </row>
    <row r="223" spans="1:5">
      <c r="A223" s="86" t="s">
        <v>225</v>
      </c>
      <c r="B223" s="85" t="s">
        <v>227</v>
      </c>
      <c r="C223" s="86" t="s">
        <v>78</v>
      </c>
      <c r="D223" s="86" t="s">
        <v>544</v>
      </c>
      <c r="E223" t="s">
        <v>545</v>
      </c>
    </row>
    <row r="224" spans="1:4">
      <c r="A224" s="84" t="s">
        <v>225</v>
      </c>
      <c r="B224" s="88" t="s">
        <v>519</v>
      </c>
      <c r="C224" s="89"/>
      <c r="D224" s="86"/>
    </row>
    <row r="225" spans="1:4">
      <c r="A225" s="84" t="s">
        <v>225</v>
      </c>
      <c r="B225" s="85" t="s">
        <v>229</v>
      </c>
      <c r="C225" s="86" t="s">
        <v>78</v>
      </c>
      <c r="D225" s="86"/>
    </row>
    <row r="226" spans="1:4">
      <c r="A226" s="84" t="s">
        <v>225</v>
      </c>
      <c r="B226" s="88" t="s">
        <v>520</v>
      </c>
      <c r="C226" s="89"/>
      <c r="D226" s="86"/>
    </row>
    <row r="227" ht="60" spans="1:4">
      <c r="A227" s="84" t="s">
        <v>225</v>
      </c>
      <c r="B227" s="85" t="s">
        <v>231</v>
      </c>
      <c r="C227" s="86" t="s">
        <v>78</v>
      </c>
      <c r="D227" s="86"/>
    </row>
    <row r="228" spans="1:4">
      <c r="A228" s="84" t="s">
        <v>225</v>
      </c>
      <c r="B228" s="88" t="s">
        <v>521</v>
      </c>
      <c r="C228" s="89"/>
      <c r="D228" s="86"/>
    </row>
    <row r="229" spans="1:4">
      <c r="A229" s="84" t="s">
        <v>225</v>
      </c>
      <c r="B229" s="85" t="s">
        <v>233</v>
      </c>
      <c r="C229" s="86" t="s">
        <v>78</v>
      </c>
      <c r="D229" s="86"/>
    </row>
    <row r="230" spans="1:4">
      <c r="A230" s="84" t="s">
        <v>225</v>
      </c>
      <c r="B230" s="88" t="s">
        <v>522</v>
      </c>
      <c r="C230" s="89"/>
      <c r="D230" s="86"/>
    </row>
    <row r="231" spans="1:4">
      <c r="A231" s="86" t="s">
        <v>523</v>
      </c>
      <c r="B231" s="84"/>
      <c r="C231" s="84"/>
      <c r="D231" s="86"/>
    </row>
    <row r="232" spans="1:4">
      <c r="A232" s="86" t="s">
        <v>368</v>
      </c>
      <c r="B232" s="84"/>
      <c r="C232" s="84"/>
      <c r="D232" s="85"/>
    </row>
    <row r="233" spans="1:3">
      <c r="A233"/>
      <c r="B233"/>
      <c r="C233"/>
    </row>
    <row r="234" spans="1:3">
      <c r="A234"/>
      <c r="B234"/>
      <c r="C234"/>
    </row>
    <row r="235" spans="1:3">
      <c r="A235"/>
      <c r="B235"/>
      <c r="C235"/>
    </row>
    <row r="236" spans="1:3">
      <c r="A236"/>
      <c r="B236"/>
      <c r="C236"/>
    </row>
    <row r="237" spans="1:3">
      <c r="A237"/>
      <c r="B237"/>
      <c r="C237"/>
    </row>
    <row r="238" spans="1:3">
      <c r="A238"/>
      <c r="B238"/>
      <c r="C238"/>
    </row>
    <row r="239" spans="1:3">
      <c r="A239"/>
      <c r="B239"/>
      <c r="C239"/>
    </row>
    <row r="240" spans="1:3">
      <c r="A240"/>
      <c r="B240"/>
      <c r="C240"/>
    </row>
    <row r="241" spans="1:3">
      <c r="A241"/>
      <c r="B241"/>
      <c r="C241"/>
    </row>
    <row r="242" spans="1:3">
      <c r="A242"/>
      <c r="B242"/>
      <c r="C242"/>
    </row>
    <row r="243" spans="1:3">
      <c r="A243"/>
      <c r="B243"/>
      <c r="C243"/>
    </row>
    <row r="244" spans="1:3">
      <c r="A244"/>
      <c r="B244"/>
      <c r="C244"/>
    </row>
    <row r="245" spans="1:3">
      <c r="A245"/>
      <c r="B245"/>
      <c r="C245"/>
    </row>
    <row r="246" spans="1:3">
      <c r="A246"/>
      <c r="B246"/>
      <c r="C246"/>
    </row>
    <row r="247" spans="1:3">
      <c r="A247"/>
      <c r="B247"/>
      <c r="C247"/>
    </row>
    <row r="248" spans="1:3">
      <c r="A248"/>
      <c r="B248"/>
      <c r="C248"/>
    </row>
    <row r="249" spans="1:3">
      <c r="A249"/>
      <c r="B249"/>
      <c r="C249"/>
    </row>
    <row r="250" spans="1:3">
      <c r="A250"/>
      <c r="B250"/>
      <c r="C250"/>
    </row>
    <row r="251" spans="1:3">
      <c r="A251"/>
      <c r="B251"/>
      <c r="C251"/>
    </row>
    <row r="252" spans="1:3">
      <c r="A252"/>
      <c r="B252"/>
      <c r="C252"/>
    </row>
    <row r="253" spans="1:3">
      <c r="A253"/>
      <c r="B253"/>
      <c r="C253"/>
    </row>
    <row r="254" spans="1:3">
      <c r="A254"/>
      <c r="B254"/>
      <c r="C254"/>
    </row>
    <row r="255" spans="1:3">
      <c r="A255"/>
      <c r="B255"/>
      <c r="C255"/>
    </row>
    <row r="256" spans="1:3">
      <c r="A256"/>
      <c r="B256"/>
      <c r="C256"/>
    </row>
    <row r="257" spans="1:3">
      <c r="A257"/>
      <c r="B257"/>
      <c r="C257"/>
    </row>
    <row r="258" spans="1:3">
      <c r="A258"/>
      <c r="B258"/>
      <c r="C258"/>
    </row>
    <row r="259" spans="1:3">
      <c r="A259"/>
      <c r="B259"/>
      <c r="C259"/>
    </row>
    <row r="260" spans="1:3">
      <c r="A260"/>
      <c r="B260"/>
      <c r="C260"/>
    </row>
    <row r="261" spans="1:3">
      <c r="A261"/>
      <c r="B261"/>
      <c r="C261"/>
    </row>
  </sheetData>
  <mergeCells count="128">
    <mergeCell ref="B15:C15"/>
    <mergeCell ref="B17:C17"/>
    <mergeCell ref="B20:C20"/>
    <mergeCell ref="B23:C23"/>
    <mergeCell ref="B26:C26"/>
    <mergeCell ref="B29:C29"/>
    <mergeCell ref="B34:C34"/>
    <mergeCell ref="B39:C39"/>
    <mergeCell ref="B41:C41"/>
    <mergeCell ref="B43:C43"/>
    <mergeCell ref="B45:C45"/>
    <mergeCell ref="B47:C47"/>
    <mergeCell ref="B49:C49"/>
    <mergeCell ref="B55:C55"/>
    <mergeCell ref="B60:C60"/>
    <mergeCell ref="B65:C65"/>
    <mergeCell ref="B67:C67"/>
    <mergeCell ref="B69:C69"/>
    <mergeCell ref="B71:C71"/>
    <mergeCell ref="B74:C74"/>
    <mergeCell ref="B76:C76"/>
    <mergeCell ref="B78:C78"/>
    <mergeCell ref="B80:C80"/>
    <mergeCell ref="B82:C82"/>
    <mergeCell ref="B84:C84"/>
    <mergeCell ref="B86:C86"/>
    <mergeCell ref="B88:C88"/>
    <mergeCell ref="A89:C89"/>
    <mergeCell ref="B91:C91"/>
    <mergeCell ref="B93:C93"/>
    <mergeCell ref="B95:C95"/>
    <mergeCell ref="B97:C97"/>
    <mergeCell ref="B99:C99"/>
    <mergeCell ref="B101:C101"/>
    <mergeCell ref="B103:C103"/>
    <mergeCell ref="B105:C105"/>
    <mergeCell ref="B107:C107"/>
    <mergeCell ref="B109:C109"/>
    <mergeCell ref="B111:C111"/>
    <mergeCell ref="B113:C113"/>
    <mergeCell ref="B115:C115"/>
    <mergeCell ref="B117:C117"/>
    <mergeCell ref="B120:C120"/>
    <mergeCell ref="B122:C122"/>
    <mergeCell ref="B124:C124"/>
    <mergeCell ref="B126:C126"/>
    <mergeCell ref="B129:C129"/>
    <mergeCell ref="B131:C131"/>
    <mergeCell ref="B133:C133"/>
    <mergeCell ref="B138:C138"/>
    <mergeCell ref="B142:C142"/>
    <mergeCell ref="B147:C147"/>
    <mergeCell ref="B149:C149"/>
    <mergeCell ref="B151:C151"/>
    <mergeCell ref="B153:C153"/>
    <mergeCell ref="B155:C155"/>
    <mergeCell ref="A156:C156"/>
    <mergeCell ref="B158:C158"/>
    <mergeCell ref="B160:C160"/>
    <mergeCell ref="A161:C161"/>
    <mergeCell ref="B165:C165"/>
    <mergeCell ref="B169:C169"/>
    <mergeCell ref="B173:C173"/>
    <mergeCell ref="B178:C178"/>
    <mergeCell ref="B180:C180"/>
    <mergeCell ref="B184:C184"/>
    <mergeCell ref="B189:C189"/>
    <mergeCell ref="B192:C192"/>
    <mergeCell ref="B195:C195"/>
    <mergeCell ref="B197:C197"/>
    <mergeCell ref="B199:C199"/>
    <mergeCell ref="B202:C202"/>
    <mergeCell ref="B204:C204"/>
    <mergeCell ref="A205:C205"/>
    <mergeCell ref="B209:C209"/>
    <mergeCell ref="B213:C213"/>
    <mergeCell ref="B217:C217"/>
    <mergeCell ref="B221:C221"/>
    <mergeCell ref="A222:C222"/>
    <mergeCell ref="B224:C224"/>
    <mergeCell ref="B226:C226"/>
    <mergeCell ref="B228:C228"/>
    <mergeCell ref="B230:C230"/>
    <mergeCell ref="A231:C231"/>
    <mergeCell ref="A232:C232"/>
    <mergeCell ref="A10:A88"/>
    <mergeCell ref="A90:A155"/>
    <mergeCell ref="A157:A160"/>
    <mergeCell ref="A162:A204"/>
    <mergeCell ref="A206:A221"/>
    <mergeCell ref="A223:A230"/>
    <mergeCell ref="B10:B14"/>
    <mergeCell ref="B18:B19"/>
    <mergeCell ref="B21:B22"/>
    <mergeCell ref="B24:B25"/>
    <mergeCell ref="B27:B28"/>
    <mergeCell ref="B30:B33"/>
    <mergeCell ref="B35:B38"/>
    <mergeCell ref="B50:B54"/>
    <mergeCell ref="B56:B59"/>
    <mergeCell ref="B61:B64"/>
    <mergeCell ref="B72:B73"/>
    <mergeCell ref="B118:B119"/>
    <mergeCell ref="B127:B128"/>
    <mergeCell ref="B134:B137"/>
    <mergeCell ref="B139:B141"/>
    <mergeCell ref="B143:B146"/>
    <mergeCell ref="B162:B164"/>
    <mergeCell ref="B166:B168"/>
    <mergeCell ref="B170:B172"/>
    <mergeCell ref="B174:B177"/>
    <mergeCell ref="B181:B183"/>
    <mergeCell ref="B185:B188"/>
    <mergeCell ref="B190:B191"/>
    <mergeCell ref="B193:B194"/>
    <mergeCell ref="B200:B201"/>
    <mergeCell ref="B206:B208"/>
    <mergeCell ref="B210:B212"/>
    <mergeCell ref="B214:B216"/>
    <mergeCell ref="B218:B220"/>
    <mergeCell ref="D35:D39"/>
    <mergeCell ref="D50:D54"/>
    <mergeCell ref="D56:D60"/>
    <mergeCell ref="D61:D65"/>
    <mergeCell ref="D134:D137"/>
    <mergeCell ref="D206:D213"/>
    <mergeCell ref="D214:D221"/>
    <mergeCell ref="D223:D23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A1:AO321"/>
  <sheetViews>
    <sheetView zoomScale="85" zoomScaleNormal="85" workbookViewId="0">
      <pane ySplit="1" topLeftCell="A41" activePane="bottomLeft" state="frozen"/>
      <selection/>
      <selection pane="bottomLeft" activeCell="A42" sqref="$A42:$XFD44"/>
    </sheetView>
  </sheetViews>
  <sheetFormatPr defaultColWidth="8.85714285714286" defaultRowHeight="15"/>
  <cols>
    <col min="1" max="1" width="9" customWidth="1"/>
    <col min="2" max="2" width="21.4285714285714" customWidth="1"/>
    <col min="3" max="3" width="9.57142857142857" customWidth="1"/>
    <col min="4" max="4" width="12.4285714285714" customWidth="1"/>
    <col min="5" max="5" width="13.1428571428571" hidden="1" customWidth="1" outlineLevel="1"/>
    <col min="6" max="6" width="22.8571428571429" hidden="1" customWidth="1" outlineLevel="1"/>
    <col min="7" max="7" width="21.8571428571429" hidden="1" customWidth="1" collapsed="1"/>
    <col min="8" max="8" width="19" customWidth="1"/>
    <col min="9" max="10" width="26.1428571428571" hidden="1" customWidth="1" outlineLevel="1"/>
    <col min="11" max="11" width="35.8571428571429" hidden="1" customWidth="1" collapsed="1"/>
    <col min="12" max="12" width="44.1428571428571" customWidth="1"/>
    <col min="13" max="14" width="19.4285714285714" hidden="1" customWidth="1" outlineLevel="1"/>
    <col min="15" max="15" width="15.8571428571429" hidden="1" customWidth="1" outlineLevel="1"/>
    <col min="16" max="16" width="20.8571428571429" hidden="1" customWidth="1" outlineLevel="1"/>
    <col min="17" max="17" width="13.5714285714286" hidden="1" customWidth="1" outlineLevel="1"/>
    <col min="18" max="18" width="8.85714285714286" hidden="1" customWidth="1" outlineLevel="1"/>
    <col min="19" max="19" width="11.4285714285714" hidden="1" customWidth="1" outlineLevel="1"/>
    <col min="20" max="21" width="13.5714285714286" hidden="1" customWidth="1" outlineLevel="1"/>
    <col min="22" max="22" width="22.8571428571429" hidden="1" customWidth="1" outlineLevel="1"/>
    <col min="23" max="23" width="17.1428571428571" hidden="1" customWidth="1" outlineLevel="1"/>
    <col min="24" max="24" width="10.8571428571429" hidden="1" customWidth="1" outlineLevel="1"/>
    <col min="25" max="25" width="11.1428571428571" customWidth="1" collapsed="1"/>
    <col min="26" max="26" width="10.8571428571429" customWidth="1"/>
    <col min="27" max="27" width="10" customWidth="1"/>
    <col min="28" max="29" width="15.1428571428571" hidden="1" customWidth="1"/>
    <col min="30" max="30" width="16" customWidth="1"/>
    <col min="31" max="31" width="13.4285714285714" customWidth="1"/>
    <col min="32" max="32" width="18.8571428571429" customWidth="1"/>
    <col min="33" max="33" width="18.1428571428571" hidden="1" customWidth="1" outlineLevel="1"/>
    <col min="34" max="34" width="11.1428571428571" hidden="1" customWidth="1" outlineLevel="1"/>
    <col min="35" max="35" width="24" hidden="1" customWidth="1" outlineLevel="1"/>
    <col min="36" max="36" width="28.4285714285714" hidden="1" customWidth="1" outlineLevel="1"/>
    <col min="37" max="37" width="13" hidden="1" customWidth="1" outlineLevel="1"/>
    <col min="38" max="41" width="16.4285714285714" hidden="1" customWidth="1" outlineLevel="1"/>
    <col min="42" max="42" width="8.85714285714286" collapsed="1"/>
  </cols>
  <sheetData>
    <row r="1" s="46" customFormat="1" spans="1:41">
      <c r="A1" s="50" t="s">
        <v>546</v>
      </c>
      <c r="B1" s="50" t="s">
        <v>4</v>
      </c>
      <c r="C1" s="50" t="s">
        <v>238</v>
      </c>
      <c r="D1" s="50" t="s">
        <v>240</v>
      </c>
      <c r="E1" s="50" t="s">
        <v>547</v>
      </c>
      <c r="F1" s="50" t="s">
        <v>548</v>
      </c>
      <c r="G1" s="50" t="s">
        <v>12</v>
      </c>
      <c r="H1" s="50" t="s">
        <v>242</v>
      </c>
      <c r="I1" s="50" t="s">
        <v>549</v>
      </c>
      <c r="J1" s="50" t="s">
        <v>550</v>
      </c>
      <c r="K1" s="50" t="s">
        <v>551</v>
      </c>
      <c r="L1" s="50" t="s">
        <v>14</v>
      </c>
      <c r="M1" s="50" t="s">
        <v>342</v>
      </c>
      <c r="N1" s="50" t="s">
        <v>552</v>
      </c>
      <c r="O1" s="50" t="s">
        <v>553</v>
      </c>
      <c r="P1" s="50" t="s">
        <v>554</v>
      </c>
      <c r="Q1" s="50" t="s">
        <v>555</v>
      </c>
      <c r="R1" s="50" t="s">
        <v>556</v>
      </c>
      <c r="S1" s="50" t="s">
        <v>557</v>
      </c>
      <c r="T1" s="50" t="s">
        <v>558</v>
      </c>
      <c r="U1" s="50" t="s">
        <v>559</v>
      </c>
      <c r="V1" s="50" t="s">
        <v>560</v>
      </c>
      <c r="W1" s="50" t="s">
        <v>561</v>
      </c>
      <c r="X1" s="50" t="s">
        <v>562</v>
      </c>
      <c r="Y1" s="50" t="s">
        <v>262</v>
      </c>
      <c r="Z1" s="50" t="s">
        <v>247</v>
      </c>
      <c r="AA1" s="50" t="s">
        <v>6</v>
      </c>
      <c r="AB1" s="50" t="s">
        <v>563</v>
      </c>
      <c r="AC1" s="50" t="s">
        <v>296</v>
      </c>
      <c r="AD1" s="50" t="s">
        <v>249</v>
      </c>
      <c r="AE1" s="50" t="s">
        <v>251</v>
      </c>
      <c r="AF1" s="50" t="s">
        <v>564</v>
      </c>
      <c r="AG1" s="50" t="s">
        <v>565</v>
      </c>
      <c r="AH1" s="50" t="s">
        <v>566</v>
      </c>
      <c r="AI1" s="50" t="s">
        <v>567</v>
      </c>
      <c r="AJ1" s="50" t="s">
        <v>568</v>
      </c>
      <c r="AK1" s="50" t="s">
        <v>569</v>
      </c>
      <c r="AL1" s="50" t="s">
        <v>570</v>
      </c>
      <c r="AM1" s="50" t="s">
        <v>571</v>
      </c>
      <c r="AN1" s="50" t="s">
        <v>572</v>
      </c>
      <c r="AO1" s="50" t="s">
        <v>573</v>
      </c>
    </row>
    <row r="2" s="47" customFormat="1" spans="1:41">
      <c r="A2" s="51" t="str">
        <f>VLOOKUP(Table37[[#This Row],[OU]],OU!$A$15:$B$34,2,FALSE)</f>
        <v>RFOs</v>
      </c>
      <c r="B2" s="47" t="s">
        <v>297</v>
      </c>
      <c r="C2" s="47" t="s">
        <v>574</v>
      </c>
      <c r="D2" s="47" t="s">
        <v>575</v>
      </c>
      <c r="E2" s="51" t="str">
        <f>VLOOKUP(Table37[[#This Row],[SPECIFIC COMMODITY]],TAGS!$W$48:$X$53,2,FALSE)</f>
        <v>Corn</v>
      </c>
      <c r="F2" s="51" t="str">
        <f>VLOOKUP(Table37[[#This Row],[PREXC SUB-PROGRAM]],Table5[],2,FALSE)</f>
        <v>TECHNICAL AND SUPPORT SERVICES PROGRAM</v>
      </c>
      <c r="G2" s="51" t="str">
        <f>VLOOKUP(Table37[[#This Row],[COMMODITY PREXC SUB-PROGRAM]],TAGS!$U$54:$V$76,2,FALSE)</f>
        <v>PSS</v>
      </c>
      <c r="H2" s="47" t="s">
        <v>576</v>
      </c>
      <c r="I2" s="51" t="str">
        <f>VLOOKUP(Table37[[#This Row],[PI LEVEL 3]],'PI LEVEL'!A:C,3,FALSE)</f>
        <v>Seeds distributed</v>
      </c>
      <c r="J2" s="51" t="str">
        <f>VLOOKUP(Table37[[#This Row],[PI LEVEL 3]],Table53729[[Performance Indicator Level 3]:[Performance Indicator Level 1]],2,FALSE)</f>
        <v>Corn Seeds distributed</v>
      </c>
      <c r="K2" s="51" t="str">
        <f>VLOOKUP(Table37[[#This Row],[ACTIVITY]],TAGS!B:P,2,FALSE)</f>
        <v>White Corn Seeds distributed</v>
      </c>
      <c r="L2" s="47" t="s">
        <v>24</v>
      </c>
      <c r="M2" s="51" t="str">
        <f>VLOOKUP(Table37[[#This Row],[ACTIVITY]],TAGS!$B:$P,4,FALSE)</f>
        <v>OPV Seed Production</v>
      </c>
      <c r="N2" s="51" t="str">
        <f>VLOOKUP(Table37[[#This Row],[ACTIVITY]],TAGS!$B:$P,5,FALSE)</f>
        <v>OPV Seed Production</v>
      </c>
      <c r="O2" s="51" t="str">
        <f>VLOOKUP(Table37[[#This Row],[ACTIVITY]],TAGS!$B:$P,6,FALSE)</f>
        <v>White corn seeds</v>
      </c>
      <c r="P2" s="51" t="str">
        <f>VLOOKUP(Table37[[#This Row],[ACTIVITY]],TAGS!$B:$P,7,FALSE)</f>
        <v>NO</v>
      </c>
      <c r="Q2" s="51" t="str">
        <f>VLOOKUP(Table37[[#This Row],[ACTIVITY]],TAGS!$B:$P,8,FALSE)</f>
        <v>PAP</v>
      </c>
      <c r="R2" s="51" t="str">
        <f>VLOOKUP(Table37[[#This Row],[ACTIVITY]],TAGS!$B:$P,10,FALSE)</f>
        <v>PIP</v>
      </c>
      <c r="S2" s="51" t="str">
        <f>VLOOKUP(Table37[[#This Row],[ACTIVITY]],TAGS!$B:$P,11,FALSE)</f>
        <v>PICS</v>
      </c>
      <c r="T2" s="51" t="str">
        <f>VLOOKUP(Table37[[#This Row],[ACTIVITY]],TAGS!$B:$P,12,FALSE)</f>
        <v>Consolidation</v>
      </c>
      <c r="U2" s="51" t="str">
        <f>VLOOKUP(Table37[[#This Row],[ACTIVITY]],TAGS!$B:$P,13,FALSE)</f>
        <v>1. Bayanihan Agri Cluster</v>
      </c>
      <c r="V2" s="51" t="str">
        <f>VLOOKUP(Table37[[#This Row],[ACTIVITY]],TAGS!$B:$P,14,FALSE)</f>
        <v>EXPAND AND IMPROVE AVAILABLE AGRI-FISHERY AREAS FOR INCREASED PRODUCTION</v>
      </c>
      <c r="W2" s="51" t="str">
        <f>VLOOKUP(Table37[[#This Row],[ACTIVITY]],TAGS!$B:$P,15,FALSE)</f>
        <v>Farm Inputs</v>
      </c>
      <c r="X2" s="51" t="str">
        <f>VLOOKUP(Table37[[#This Row],[PI LEVEL 3]],'PI LEVEL'!$A:$G,7,FALSE)</f>
        <v>DA-Level Output</v>
      </c>
      <c r="Y2" s="47" t="s">
        <v>577</v>
      </c>
      <c r="Z2" s="47" t="s">
        <v>329</v>
      </c>
      <c r="AA2" s="51" t="str">
        <f>VLOOKUP(Table37[[#This Row],[MONTH]],TAGS!$W$67:$Y$81,2,FALSE)</f>
        <v>1ST QTR</v>
      </c>
      <c r="AB2" s="51" t="str">
        <f>VLOOKUP(Table37[[#This Row],[MONTH]],TAGS!$W$67:$Y$81,3,FALSE)</f>
        <v>1ST SEMESTER</v>
      </c>
      <c r="AC2" s="51">
        <f>VLOOKUP(Table37[[#This Row],[MONTH]],TAGS!$W$67:$Z$81,4,FALSE)</f>
        <v>2025</v>
      </c>
      <c r="AD2" s="47">
        <v>505</v>
      </c>
      <c r="AF2" s="51">
        <f>SUM(Table37[[#This Row],[MOOE (Php ''000)]:[CO (Php ''000)]])</f>
        <v>505</v>
      </c>
      <c r="AG2" s="71" t="b">
        <f>ISBLANK(Table37[[#This Row],[PRPOPOSAL/BEDS]])</f>
        <v>0</v>
      </c>
      <c r="AH2" s="71" t="b">
        <f>ISBLANK(Table37[[#This Row],[OU]])</f>
        <v>0</v>
      </c>
      <c r="AI2" s="71" t="b">
        <f>ISBLANK(Table37[[#This Row],[SPECIFIC COMMODITY]])</f>
        <v>0</v>
      </c>
      <c r="AJ2" s="71" t="b">
        <f>ISBLANK(Table37[[#This Row],[COMMODITY PREXC SUB-PROGRAM]])</f>
        <v>0</v>
      </c>
      <c r="AK2" s="71" t="b">
        <f>ISBLANK(Table37[[#This Row],[ACTIVITY]])</f>
        <v>0</v>
      </c>
      <c r="AL2" s="71" t="b">
        <f>ISBLANK(Table37[[#This Row],[TAG-GAD]])</f>
        <v>0</v>
      </c>
      <c r="AM2" s="71" t="b">
        <f>ISBLANK(Table37[[#This Row],[MONTH]])</f>
        <v>0</v>
      </c>
      <c r="AN2" s="71" t="b">
        <f>ISBLANK(Table37[[#This Row],[MOOE (Php ''000)]])</f>
        <v>0</v>
      </c>
      <c r="AO2" s="71" t="b">
        <f>ISBLANK(Table37[[#This Row],[CO (Php ''000)]])</f>
        <v>1</v>
      </c>
    </row>
    <row r="3" spans="1:41">
      <c r="A3" s="51" t="str">
        <f>VLOOKUP(Table37[[#This Row],[OU]],OU!$A$15:$B$34,2,FALSE)</f>
        <v>RFOs</v>
      </c>
      <c r="B3" s="47" t="s">
        <v>297</v>
      </c>
      <c r="C3" s="47" t="s">
        <v>574</v>
      </c>
      <c r="D3" s="47" t="s">
        <v>575</v>
      </c>
      <c r="E3" s="51" t="str">
        <f>VLOOKUP(Table37[[#This Row],[SPECIFIC COMMODITY]],TAGS!$W$48:$X$53,2,FALSE)</f>
        <v>Corn</v>
      </c>
      <c r="F3" s="51" t="str">
        <f>VLOOKUP(Table37[[#This Row],[PREXC SUB-PROGRAM]],Table5[],2,FALSE)</f>
        <v>TECHNICAL AND SUPPORT SERVICES PROGRAM</v>
      </c>
      <c r="G3" s="51" t="str">
        <f>VLOOKUP(Table37[[#This Row],[COMMODITY PREXC SUB-PROGRAM]],TAGS!$U$54:$V$76,2,FALSE)</f>
        <v>PSS</v>
      </c>
      <c r="H3" s="47" t="s">
        <v>576</v>
      </c>
      <c r="I3" s="51" t="str">
        <f>VLOOKUP(Table37[[#This Row],[PI LEVEL 3]],'PI LEVEL'!A:C,3,FALSE)</f>
        <v>Seeds distributed</v>
      </c>
      <c r="J3" s="51" t="str">
        <f>VLOOKUP(Table37[[#This Row],[PI LEVEL 3]],Table53729[[Performance Indicator Level 3]:[Performance Indicator Level 1]],2,FALSE)</f>
        <v>Corn Seeds distributed</v>
      </c>
      <c r="K3" s="51" t="str">
        <f>VLOOKUP(Table37[[#This Row],[ACTIVITY]],TAGS!B:P,2,FALSE)</f>
        <v>White Corn Seeds distributed</v>
      </c>
      <c r="L3" s="47" t="s">
        <v>24</v>
      </c>
      <c r="M3" s="51" t="str">
        <f>VLOOKUP(Table37[[#This Row],[ACTIVITY]],TAGS!$B:$P,4,FALSE)</f>
        <v>OPV Seed Production</v>
      </c>
      <c r="N3" s="51" t="str">
        <f>VLOOKUP(Table37[[#This Row],[ACTIVITY]],TAGS!$B:$P,5,FALSE)</f>
        <v>OPV Seed Production</v>
      </c>
      <c r="O3" s="51" t="str">
        <f>VLOOKUP(Table37[[#This Row],[ACTIVITY]],TAGS!$B:$P,6,FALSE)</f>
        <v>White corn seeds</v>
      </c>
      <c r="P3" s="51" t="str">
        <f>VLOOKUP(Table37[[#This Row],[ACTIVITY]],TAGS!$B:$P,7,FALSE)</f>
        <v>NO</v>
      </c>
      <c r="Q3" s="51" t="str">
        <f>VLOOKUP(Table37[[#This Row],[ACTIVITY]],TAGS!$B:$P,8,FALSE)</f>
        <v>PAP</v>
      </c>
      <c r="R3" s="51" t="str">
        <f>VLOOKUP(Table37[[#This Row],[ACTIVITY]],TAGS!$B:$P,10,FALSE)</f>
        <v>PIP</v>
      </c>
      <c r="S3" s="51" t="str">
        <f>VLOOKUP(Table37[[#This Row],[ACTIVITY]],TAGS!$B:$P,11,FALSE)</f>
        <v>PICS</v>
      </c>
      <c r="T3" s="51" t="str">
        <f>VLOOKUP(Table37[[#This Row],[ACTIVITY]],TAGS!$B:$P,12,FALSE)</f>
        <v>Consolidation</v>
      </c>
      <c r="U3" s="51" t="str">
        <f>VLOOKUP(Table37[[#This Row],[ACTIVITY]],TAGS!$B:$P,13,FALSE)</f>
        <v>1. Bayanihan Agri Cluster</v>
      </c>
      <c r="V3" s="51" t="str">
        <f>VLOOKUP(Table37[[#This Row],[ACTIVITY]],TAGS!$B:$P,14,FALSE)</f>
        <v>EXPAND AND IMPROVE AVAILABLE AGRI-FISHERY AREAS FOR INCREASED PRODUCTION</v>
      </c>
      <c r="W3" s="51" t="str">
        <f>VLOOKUP(Table37[[#This Row],[ACTIVITY]],TAGS!$B:$P,15,FALSE)</f>
        <v>Farm Inputs</v>
      </c>
      <c r="X3" s="51" t="str">
        <f>VLOOKUP(Table37[[#This Row],[PI LEVEL 3]],'PI LEVEL'!$A:$G,7,FALSE)</f>
        <v>DA-Level Output</v>
      </c>
      <c r="Y3" s="47" t="s">
        <v>577</v>
      </c>
      <c r="Z3" s="47" t="s">
        <v>329</v>
      </c>
      <c r="AA3" s="51" t="str">
        <f>VLOOKUP(Table37[[#This Row],[MONTH]],TAGS!$W$67:$Y$81,2,FALSE)</f>
        <v>1ST QTR</v>
      </c>
      <c r="AB3" s="51" t="str">
        <f>VLOOKUP(Table37[[#This Row],[MONTH]],TAGS!$W$67:$Y$81,3,FALSE)</f>
        <v>1ST SEMESTER</v>
      </c>
      <c r="AC3" s="51">
        <f>VLOOKUP(Table37[[#This Row],[MONTH]],TAGS!$W$67:$Z$81,4,FALSE)</f>
        <v>2025</v>
      </c>
      <c r="AD3" s="47">
        <v>600</v>
      </c>
      <c r="AE3" s="47"/>
      <c r="AF3" s="51">
        <f>SUM(Table37[[#This Row],[MOOE (Php ''000)]:[CO (Php ''000)]])</f>
        <v>600</v>
      </c>
      <c r="AG3" s="71" t="b">
        <f>ISBLANK(Table37[[#This Row],[PRPOPOSAL/BEDS]])</f>
        <v>0</v>
      </c>
      <c r="AH3" s="71" t="b">
        <f>ISBLANK(Table37[[#This Row],[OU]])</f>
        <v>0</v>
      </c>
      <c r="AI3" s="71" t="b">
        <f>ISBLANK(Table37[[#This Row],[SPECIFIC COMMODITY]])</f>
        <v>0</v>
      </c>
      <c r="AJ3" s="71" t="b">
        <f>ISBLANK(Table37[[#This Row],[COMMODITY PREXC SUB-PROGRAM]])</f>
        <v>0</v>
      </c>
      <c r="AK3" s="71" t="b">
        <f>ISBLANK(Table37[[#This Row],[ACTIVITY]])</f>
        <v>0</v>
      </c>
      <c r="AL3" s="71" t="b">
        <f>ISBLANK(Table37[[#This Row],[TAG-GAD]])</f>
        <v>0</v>
      </c>
      <c r="AM3" s="71" t="b">
        <f>ISBLANK(Table37[[#This Row],[MONTH]])</f>
        <v>0</v>
      </c>
      <c r="AN3" s="71" t="b">
        <f>ISBLANK(Table37[[#This Row],[MOOE (Php ''000)]])</f>
        <v>0</v>
      </c>
      <c r="AO3" s="71" t="b">
        <f>ISBLANK(Table37[[#This Row],[CO (Php ''000)]])</f>
        <v>1</v>
      </c>
    </row>
    <row r="4" spans="1:41">
      <c r="A4" s="51" t="str">
        <f>VLOOKUP(Table37[[#This Row],[OU]],OU!$A$15:$B$34,2,FALSE)</f>
        <v>RFOs</v>
      </c>
      <c r="B4" s="47" t="s">
        <v>297</v>
      </c>
      <c r="C4" s="47" t="s">
        <v>574</v>
      </c>
      <c r="D4" s="47" t="s">
        <v>575</v>
      </c>
      <c r="E4" s="51" t="str">
        <f>VLOOKUP(Table37[[#This Row],[SPECIFIC COMMODITY]],TAGS!$W$48:$X$53,2,FALSE)</f>
        <v>Corn</v>
      </c>
      <c r="F4" s="51" t="str">
        <f>VLOOKUP(Table37[[#This Row],[PREXC SUB-PROGRAM]],Table5[],2,FALSE)</f>
        <v>TECHNICAL AND SUPPORT SERVICES PROGRAM</v>
      </c>
      <c r="G4" s="51" t="str">
        <f>VLOOKUP(Table37[[#This Row],[COMMODITY PREXC SUB-PROGRAM]],TAGS!$U$54:$V$76,2,FALSE)</f>
        <v>PSS</v>
      </c>
      <c r="H4" s="47" t="s">
        <v>576</v>
      </c>
      <c r="I4" s="51" t="str">
        <f>VLOOKUP(Table37[[#This Row],[PI LEVEL 3]],'PI LEVEL'!A:C,3,FALSE)</f>
        <v>Seeds reserved</v>
      </c>
      <c r="J4" s="51" t="str">
        <f>VLOOKUP(Table37[[#This Row],[PI LEVEL 3]],Table53729[[Performance Indicator Level 3]:[Performance Indicator Level 1]],2,FALSE)</f>
        <v>Corn Seeds reserved</v>
      </c>
      <c r="K4" s="51" t="str">
        <f>VLOOKUP(Table37[[#This Row],[ACTIVITY]],TAGS!B:P,2,FALSE)</f>
        <v>White Corn Seeds reserved</v>
      </c>
      <c r="L4" s="47" t="s">
        <v>80</v>
      </c>
      <c r="M4" s="51" t="str">
        <f>VLOOKUP(Table37[[#This Row],[ACTIVITY]],TAGS!$B:$P,4,FALSE)</f>
        <v>Corn Seed Reserve</v>
      </c>
      <c r="N4" s="51" t="str">
        <f>VLOOKUP(Table37[[#This Row],[ACTIVITY]],TAGS!$B:$P,5,FALSE)</f>
        <v>Corn Seed Reserve</v>
      </c>
      <c r="O4" s="51" t="str">
        <f>VLOOKUP(Table37[[#This Row],[ACTIVITY]],TAGS!$B:$P,6,FALSE)</f>
        <v>White corn seeds reserve</v>
      </c>
      <c r="P4" s="51" t="str">
        <f>VLOOKUP(Table37[[#This Row],[ACTIVITY]],TAGS!$B:$P,7,FALSE)</f>
        <v>YES</v>
      </c>
      <c r="Q4" s="51" t="str">
        <f>VLOOKUP(Table37[[#This Row],[ACTIVITY]],TAGS!$B:$P,8,FALSE)</f>
        <v>PAP</v>
      </c>
      <c r="R4" s="51" t="str">
        <f>VLOOKUP(Table37[[#This Row],[ACTIVITY]],TAGS!$B:$P,10,FALSE)</f>
        <v>PIP</v>
      </c>
      <c r="S4" s="51" t="str">
        <f>VLOOKUP(Table37[[#This Row],[ACTIVITY]],TAGS!$B:$P,11,FALSE)</f>
        <v>PICS</v>
      </c>
      <c r="T4" s="51" t="str">
        <f>VLOOKUP(Table37[[#This Row],[ACTIVITY]],TAGS!$B:$P,12,FALSE)</f>
        <v>Modernization</v>
      </c>
      <c r="U4" s="51" t="str">
        <f>VLOOKUP(Table37[[#This Row],[ACTIVITY]],TAGS!$B:$P,13,FALSE)</f>
        <v>9. Climate Change Adaptation &amp; Mitigation Measures</v>
      </c>
      <c r="V4" s="51" t="str">
        <f>VLOOKUP(Table37[[#This Row],[ACTIVITY]],TAGS!$B:$P,14,FALSE)</f>
        <v>EXPAND AND IMPROVE AVAILABLE AGRI-FISHERY AREAS FOR INCREASED PRODUCTION</v>
      </c>
      <c r="W4" s="51" t="str">
        <f>VLOOKUP(Table37[[#This Row],[ACTIVITY]],TAGS!$B:$P,15,FALSE)</f>
        <v>Seed Reserve</v>
      </c>
      <c r="X4" s="51" t="str">
        <f>VLOOKUP(Table37[[#This Row],[PI LEVEL 3]],'PI LEVEL'!$A:$G,7,FALSE)</f>
        <v>DA-Level Output</v>
      </c>
      <c r="Y4" s="47" t="s">
        <v>577</v>
      </c>
      <c r="Z4" s="47" t="s">
        <v>329</v>
      </c>
      <c r="AA4" s="51" t="str">
        <f>VLOOKUP(Table37[[#This Row],[MONTH]],TAGS!$W$67:$Y$81,2,FALSE)</f>
        <v>1ST QTR</v>
      </c>
      <c r="AB4" s="51" t="str">
        <f>VLOOKUP(Table37[[#This Row],[MONTH]],TAGS!$W$67:$Y$81,3,FALSE)</f>
        <v>1ST SEMESTER</v>
      </c>
      <c r="AC4" s="51">
        <f>VLOOKUP(Table37[[#This Row],[MONTH]],TAGS!$W$67:$Z$81,4,FALSE)</f>
        <v>2025</v>
      </c>
      <c r="AD4" s="47">
        <v>500</v>
      </c>
      <c r="AE4" s="47"/>
      <c r="AF4" s="51">
        <f>SUM(Table37[[#This Row],[MOOE (Php ''000)]:[CO (Php ''000)]])</f>
        <v>500</v>
      </c>
      <c r="AG4" s="71" t="b">
        <f>ISBLANK(Table37[[#This Row],[PRPOPOSAL/BEDS]])</f>
        <v>0</v>
      </c>
      <c r="AH4" s="71" t="b">
        <f>ISBLANK(Table37[[#This Row],[OU]])</f>
        <v>0</v>
      </c>
      <c r="AI4" s="71" t="b">
        <f>ISBLANK(Table37[[#This Row],[SPECIFIC COMMODITY]])</f>
        <v>0</v>
      </c>
      <c r="AJ4" s="71" t="b">
        <f>ISBLANK(Table37[[#This Row],[COMMODITY PREXC SUB-PROGRAM]])</f>
        <v>0</v>
      </c>
      <c r="AK4" s="71" t="b">
        <f>ISBLANK(Table37[[#This Row],[ACTIVITY]])</f>
        <v>0</v>
      </c>
      <c r="AL4" s="71" t="b">
        <f>ISBLANK(Table37[[#This Row],[TAG-GAD]])</f>
        <v>0</v>
      </c>
      <c r="AM4" s="71" t="b">
        <f>ISBLANK(Table37[[#This Row],[MONTH]])</f>
        <v>0</v>
      </c>
      <c r="AN4" s="71" t="b">
        <f>ISBLANK(Table37[[#This Row],[MOOE (Php ''000)]])</f>
        <v>0</v>
      </c>
      <c r="AO4" s="71" t="b">
        <f>ISBLANK(Table37[[#This Row],[CO (Php ''000)]])</f>
        <v>1</v>
      </c>
    </row>
    <row r="5" spans="1:41">
      <c r="A5" s="51" t="str">
        <f>VLOOKUP(Table37[[#This Row],[OU]],OU!$A$15:$B$34,2,FALSE)</f>
        <v>RFOs</v>
      </c>
      <c r="B5" s="47" t="s">
        <v>297</v>
      </c>
      <c r="C5" s="47" t="s">
        <v>574</v>
      </c>
      <c r="D5" s="47" t="s">
        <v>575</v>
      </c>
      <c r="E5" s="51" t="str">
        <f>VLOOKUP(Table37[[#This Row],[SPECIFIC COMMODITY]],TAGS!$W$48:$X$53,2,FALSE)</f>
        <v>Corn</v>
      </c>
      <c r="F5" s="51" t="str">
        <f>VLOOKUP(Table37[[#This Row],[PREXC SUB-PROGRAM]],Table5[],2,FALSE)</f>
        <v>TECHNICAL AND SUPPORT SERVICES PROGRAM</v>
      </c>
      <c r="G5" s="51" t="str">
        <f>VLOOKUP(Table37[[#This Row],[COMMODITY PREXC SUB-PROGRAM]],TAGS!$U$54:$V$76,2,FALSE)</f>
        <v>PSS</v>
      </c>
      <c r="H5" s="47" t="s">
        <v>576</v>
      </c>
      <c r="I5" s="51" t="str">
        <f>VLOOKUP(Table37[[#This Row],[PI LEVEL 3]],'PI LEVEL'!A:C,3,FALSE)</f>
        <v>Seeds reserved</v>
      </c>
      <c r="J5" s="51" t="str">
        <f>VLOOKUP(Table37[[#This Row],[PI LEVEL 3]],Table53729[[Performance Indicator Level 3]:[Performance Indicator Level 1]],2,FALSE)</f>
        <v>Corn Seeds reserved</v>
      </c>
      <c r="K5" s="51" t="str">
        <f>VLOOKUP(Table37[[#This Row],[ACTIVITY]],TAGS!B:P,2,FALSE)</f>
        <v>White Corn Seeds reserved</v>
      </c>
      <c r="L5" s="47" t="s">
        <v>80</v>
      </c>
      <c r="M5" s="51" t="str">
        <f>VLOOKUP(Table37[[#This Row],[ACTIVITY]],TAGS!$B:$P,4,FALSE)</f>
        <v>Corn Seed Reserve</v>
      </c>
      <c r="N5" s="51" t="str">
        <f>VLOOKUP(Table37[[#This Row],[ACTIVITY]],TAGS!$B:$P,5,FALSE)</f>
        <v>Corn Seed Reserve</v>
      </c>
      <c r="O5" s="51" t="str">
        <f>VLOOKUP(Table37[[#This Row],[ACTIVITY]],TAGS!$B:$P,6,FALSE)</f>
        <v>White corn seeds reserve</v>
      </c>
      <c r="P5" s="51" t="str">
        <f>VLOOKUP(Table37[[#This Row],[ACTIVITY]],TAGS!$B:$P,7,FALSE)</f>
        <v>YES</v>
      </c>
      <c r="Q5" s="51" t="str">
        <f>VLOOKUP(Table37[[#This Row],[ACTIVITY]],TAGS!$B:$P,8,FALSE)</f>
        <v>PAP</v>
      </c>
      <c r="R5" s="51" t="str">
        <f>VLOOKUP(Table37[[#This Row],[ACTIVITY]],TAGS!$B:$P,10,FALSE)</f>
        <v>PIP</v>
      </c>
      <c r="S5" s="51" t="str">
        <f>VLOOKUP(Table37[[#This Row],[ACTIVITY]],TAGS!$B:$P,11,FALSE)</f>
        <v>PICS</v>
      </c>
      <c r="T5" s="51" t="str">
        <f>VLOOKUP(Table37[[#This Row],[ACTIVITY]],TAGS!$B:$P,12,FALSE)</f>
        <v>Modernization</v>
      </c>
      <c r="U5" s="51" t="str">
        <f>VLOOKUP(Table37[[#This Row],[ACTIVITY]],TAGS!$B:$P,13,FALSE)</f>
        <v>9. Climate Change Adaptation &amp; Mitigation Measures</v>
      </c>
      <c r="V5" s="51" t="str">
        <f>VLOOKUP(Table37[[#This Row],[ACTIVITY]],TAGS!$B:$P,14,FALSE)</f>
        <v>EXPAND AND IMPROVE AVAILABLE AGRI-FISHERY AREAS FOR INCREASED PRODUCTION</v>
      </c>
      <c r="W5" s="51" t="str">
        <f>VLOOKUP(Table37[[#This Row],[ACTIVITY]],TAGS!$B:$P,15,FALSE)</f>
        <v>Seed Reserve</v>
      </c>
      <c r="X5" s="51" t="str">
        <f>VLOOKUP(Table37[[#This Row],[PI LEVEL 3]],'PI LEVEL'!$A:$G,7,FALSE)</f>
        <v>DA-Level Output</v>
      </c>
      <c r="Y5" s="47" t="s">
        <v>577</v>
      </c>
      <c r="Z5" s="47" t="s">
        <v>329</v>
      </c>
      <c r="AA5" s="51" t="str">
        <f>VLOOKUP(Table37[[#This Row],[MONTH]],TAGS!$W$67:$Y$81,2,FALSE)</f>
        <v>1ST QTR</v>
      </c>
      <c r="AB5" s="51" t="str">
        <f>VLOOKUP(Table37[[#This Row],[MONTH]],TAGS!$W$67:$Y$81,3,FALSE)</f>
        <v>1ST SEMESTER</v>
      </c>
      <c r="AC5" s="51">
        <f>VLOOKUP(Table37[[#This Row],[MONTH]],TAGS!$W$67:$Z$81,4,FALSE)</f>
        <v>2025</v>
      </c>
      <c r="AD5" s="47">
        <v>1000</v>
      </c>
      <c r="AE5" s="47"/>
      <c r="AF5" s="51">
        <f>SUM(Table37[[#This Row],[MOOE (Php ''000)]:[CO (Php ''000)]])</f>
        <v>1000</v>
      </c>
      <c r="AG5" s="71" t="b">
        <f>ISBLANK(Table37[[#This Row],[PRPOPOSAL/BEDS]])</f>
        <v>0</v>
      </c>
      <c r="AH5" s="71" t="b">
        <f>ISBLANK(Table37[[#This Row],[OU]])</f>
        <v>0</v>
      </c>
      <c r="AI5" s="71" t="b">
        <f>ISBLANK(Table37[[#This Row],[SPECIFIC COMMODITY]])</f>
        <v>0</v>
      </c>
      <c r="AJ5" s="71" t="b">
        <f>ISBLANK(Table37[[#This Row],[COMMODITY PREXC SUB-PROGRAM]])</f>
        <v>0</v>
      </c>
      <c r="AK5" s="71" t="b">
        <f>ISBLANK(Table37[[#This Row],[ACTIVITY]])</f>
        <v>0</v>
      </c>
      <c r="AL5" s="71" t="b">
        <f>ISBLANK(Table37[[#This Row],[TAG-GAD]])</f>
        <v>0</v>
      </c>
      <c r="AM5" s="71" t="b">
        <f>ISBLANK(Table37[[#This Row],[MONTH]])</f>
        <v>0</v>
      </c>
      <c r="AN5" s="71" t="b">
        <f>ISBLANK(Table37[[#This Row],[MOOE (Php ''000)]])</f>
        <v>0</v>
      </c>
      <c r="AO5" s="71" t="b">
        <f>ISBLANK(Table37[[#This Row],[CO (Php ''000)]])</f>
        <v>1</v>
      </c>
    </row>
    <row r="6" spans="1:41">
      <c r="A6" s="51" t="str">
        <f>VLOOKUP(Table37[[#This Row],[OU]],OU!$A$15:$B$34,2,FALSE)</f>
        <v>RFOs</v>
      </c>
      <c r="B6" s="47" t="s">
        <v>297</v>
      </c>
      <c r="C6" s="47" t="s">
        <v>574</v>
      </c>
      <c r="D6" s="47" t="s">
        <v>578</v>
      </c>
      <c r="E6" s="51" t="str">
        <f>VLOOKUP(Table37[[#This Row],[SPECIFIC COMMODITY]],TAGS!$W$48:$X$53,2,FALSE)</f>
        <v>Corn</v>
      </c>
      <c r="F6" s="51" t="str">
        <f>VLOOKUP(Table37[[#This Row],[PREXC SUB-PROGRAM]],Table5[],2,FALSE)</f>
        <v>TECHNICAL AND SUPPORT SERVICES PROGRAM</v>
      </c>
      <c r="G6" s="51" t="str">
        <f>VLOOKUP(Table37[[#This Row],[COMMODITY PREXC SUB-PROGRAM]],TAGS!$U$54:$V$76,2,FALSE)</f>
        <v>PSS</v>
      </c>
      <c r="H6" s="47" t="s">
        <v>576</v>
      </c>
      <c r="I6" s="51" t="str">
        <f>VLOOKUP(Table37[[#This Row],[PI LEVEL 3]],'PI LEVEL'!A:C,3,FALSE)</f>
        <v>Seeds distributed</v>
      </c>
      <c r="J6" s="51" t="str">
        <f>VLOOKUP(Table37[[#This Row],[PI LEVEL 3]],Table53729[[Performance Indicator Level 3]:[Performance Indicator Level 1]],2,FALSE)</f>
        <v>Corn Seeds distributed</v>
      </c>
      <c r="K6" s="51" t="str">
        <f>VLOOKUP(Table37[[#This Row],[ACTIVITY]],TAGS!B:P,2,FALSE)</f>
        <v>Yellow Corn Seeds distributed</v>
      </c>
      <c r="L6" s="47" t="s">
        <v>26</v>
      </c>
      <c r="M6" s="51" t="str">
        <f>VLOOKUP(Table37[[#This Row],[ACTIVITY]],TAGS!$B:$P,4,FALSE)</f>
        <v>Recommended Corn Production Technology</v>
      </c>
      <c r="N6" s="51" t="str">
        <f>VLOOKUP(Table37[[#This Row],[ACTIVITY]],TAGS!$B:$P,5,FALSE)</f>
        <v>Corn Seed Assistance</v>
      </c>
      <c r="O6" s="51" t="str">
        <f>VLOOKUP(Table37[[#This Row],[ACTIVITY]],TAGS!$B:$P,6,FALSE)</f>
        <v>Yellow corn seeds</v>
      </c>
      <c r="P6" s="51" t="str">
        <f>VLOOKUP(Table37[[#This Row],[ACTIVITY]],TAGS!$B:$P,7,FALSE)</f>
        <v>NO</v>
      </c>
      <c r="Q6" s="51" t="str">
        <f>VLOOKUP(Table37[[#This Row],[ACTIVITY]],TAGS!$B:$P,8,FALSE)</f>
        <v>PAP</v>
      </c>
      <c r="R6" s="51" t="str">
        <f>VLOOKUP(Table37[[#This Row],[ACTIVITY]],TAGS!$B:$P,10,FALSE)</f>
        <v>PIP</v>
      </c>
      <c r="S6" s="51" t="str">
        <f>VLOOKUP(Table37[[#This Row],[ACTIVITY]],TAGS!$B:$P,11,FALSE)</f>
        <v>PICS</v>
      </c>
      <c r="T6" s="51" t="str">
        <f>VLOOKUP(Table37[[#This Row],[ACTIVITY]],TAGS!$B:$P,12,FALSE)</f>
        <v>Consolidation</v>
      </c>
      <c r="U6" s="51" t="str">
        <f>VLOOKUP(Table37[[#This Row],[ACTIVITY]],TAGS!$B:$P,13,FALSE)</f>
        <v>1. Bayanihan Agri Cluster</v>
      </c>
      <c r="V6" s="51" t="str">
        <f>VLOOKUP(Table37[[#This Row],[ACTIVITY]],TAGS!$B:$P,14,FALSE)</f>
        <v>EXPAND AND IMPROVE AVAILABLE AGRI-FISHERY AREAS FOR INCREASED PRODUCTION</v>
      </c>
      <c r="W6" s="51" t="str">
        <f>VLOOKUP(Table37[[#This Row],[ACTIVITY]],TAGS!$B:$P,15,FALSE)</f>
        <v>Farm Inputs</v>
      </c>
      <c r="X6" s="51" t="str">
        <f>VLOOKUP(Table37[[#This Row],[PI LEVEL 3]],'PI LEVEL'!$A:$G,7,FALSE)</f>
        <v>DA-Level Output</v>
      </c>
      <c r="Y6" s="47" t="s">
        <v>577</v>
      </c>
      <c r="Z6" s="47" t="s">
        <v>329</v>
      </c>
      <c r="AA6" s="51" t="str">
        <f>VLOOKUP(Table37[[#This Row],[MONTH]],TAGS!$W$67:$Y$81,2,FALSE)</f>
        <v>1ST QTR</v>
      </c>
      <c r="AB6" s="51" t="str">
        <f>VLOOKUP(Table37[[#This Row],[MONTH]],TAGS!$W$67:$Y$81,3,FALSE)</f>
        <v>1ST SEMESTER</v>
      </c>
      <c r="AC6" s="51">
        <f>VLOOKUP(Table37[[#This Row],[MONTH]],TAGS!$W$67:$Z$81,4,FALSE)</f>
        <v>2025</v>
      </c>
      <c r="AD6" s="47">
        <v>12000</v>
      </c>
      <c r="AE6" s="47"/>
      <c r="AF6" s="51">
        <f>SUM(Table37[[#This Row],[MOOE (Php ''000)]:[CO (Php ''000)]])</f>
        <v>12000</v>
      </c>
      <c r="AG6" s="71" t="b">
        <f>ISBLANK(Table37[[#This Row],[PRPOPOSAL/BEDS]])</f>
        <v>0</v>
      </c>
      <c r="AH6" s="71" t="b">
        <f>ISBLANK(Table37[[#This Row],[OU]])</f>
        <v>0</v>
      </c>
      <c r="AI6" s="71" t="b">
        <f>ISBLANK(Table37[[#This Row],[SPECIFIC COMMODITY]])</f>
        <v>0</v>
      </c>
      <c r="AJ6" s="71" t="b">
        <f>ISBLANK(Table37[[#This Row],[COMMODITY PREXC SUB-PROGRAM]])</f>
        <v>0</v>
      </c>
      <c r="AK6" s="71" t="b">
        <f>ISBLANK(Table37[[#This Row],[ACTIVITY]])</f>
        <v>0</v>
      </c>
      <c r="AL6" s="71" t="b">
        <f>ISBLANK(Table37[[#This Row],[TAG-GAD]])</f>
        <v>0</v>
      </c>
      <c r="AM6" s="71" t="b">
        <f>ISBLANK(Table37[[#This Row],[MONTH]])</f>
        <v>0</v>
      </c>
      <c r="AN6" s="71" t="b">
        <f>ISBLANK(Table37[[#This Row],[MOOE (Php ''000)]])</f>
        <v>0</v>
      </c>
      <c r="AO6" s="71" t="b">
        <f>ISBLANK(Table37[[#This Row],[CO (Php ''000)]])</f>
        <v>1</v>
      </c>
    </row>
    <row r="7" spans="1:41">
      <c r="A7" s="51" t="str">
        <f>VLOOKUP(Table37[[#This Row],[OU]],OU!$A$15:$B$34,2,FALSE)</f>
        <v>RFOs</v>
      </c>
      <c r="B7" s="47" t="s">
        <v>297</v>
      </c>
      <c r="C7" s="47" t="s">
        <v>574</v>
      </c>
      <c r="D7" s="47" t="s">
        <v>578</v>
      </c>
      <c r="E7" s="51" t="str">
        <f>VLOOKUP(Table37[[#This Row],[SPECIFIC COMMODITY]],TAGS!$W$48:$X$53,2,FALSE)</f>
        <v>Corn</v>
      </c>
      <c r="F7" s="51" t="str">
        <f>VLOOKUP(Table37[[#This Row],[PREXC SUB-PROGRAM]],Table5[],2,FALSE)</f>
        <v>TECHNICAL AND SUPPORT SERVICES PROGRAM</v>
      </c>
      <c r="G7" s="51" t="str">
        <f>VLOOKUP(Table37[[#This Row],[COMMODITY PREXC SUB-PROGRAM]],TAGS!$U$54:$V$76,2,FALSE)</f>
        <v>PSS</v>
      </c>
      <c r="H7" s="47" t="s">
        <v>576</v>
      </c>
      <c r="I7" s="51" t="str">
        <f>VLOOKUP(Table37[[#This Row],[PI LEVEL 3]],'PI LEVEL'!A:C,3,FALSE)</f>
        <v>Fertilizers and other soil ammendment distributed</v>
      </c>
      <c r="J7" s="51" t="str">
        <f>VLOOKUP(Table37[[#This Row],[PI LEVEL 3]],Table53729[[Performance Indicator Level 3]:[Performance Indicator Level 1]],2,FALSE)</f>
        <v>Fertilizers distributed</v>
      </c>
      <c r="K7" s="51" t="str">
        <f>VLOOKUP(Table37[[#This Row],[ACTIVITY]],TAGS!B:P,2,FALSE)</f>
        <v>Inorganic fertilizer distributed</v>
      </c>
      <c r="L7" s="47" t="s">
        <v>28</v>
      </c>
      <c r="M7" s="51" t="str">
        <f>VLOOKUP(Table37[[#This Row],[ACTIVITY]],TAGS!$B:$P,4,FALSE)</f>
        <v>Recommended Corn Production Technology</v>
      </c>
      <c r="N7" s="51" t="str">
        <f>VLOOKUP(Table37[[#This Row],[ACTIVITY]],TAGS!$B:$P,5,FALSE)</f>
        <v>Soil Fertilization</v>
      </c>
      <c r="O7" s="51" t="str">
        <f>VLOOKUP(Table37[[#This Row],[ACTIVITY]],TAGS!$B:$P,6,FALSE)</f>
        <v>Inorganic fertilizer</v>
      </c>
      <c r="P7" s="51" t="str">
        <f>VLOOKUP(Table37[[#This Row],[ACTIVITY]],TAGS!$B:$P,7,FALSE)</f>
        <v>NO</v>
      </c>
      <c r="Q7" s="51" t="str">
        <f>VLOOKUP(Table37[[#This Row],[ACTIVITY]],TAGS!$B:$P,8,FALSE)</f>
        <v>PAP</v>
      </c>
      <c r="R7" s="51" t="str">
        <f>VLOOKUP(Table37[[#This Row],[ACTIVITY]],TAGS!$B:$P,10,FALSE)</f>
        <v>PIP</v>
      </c>
      <c r="S7" s="51" t="str">
        <f>VLOOKUP(Table37[[#This Row],[ACTIVITY]],TAGS!$B:$P,11,FALSE)</f>
        <v>PICS</v>
      </c>
      <c r="T7" s="51" t="str">
        <f>VLOOKUP(Table37[[#This Row],[ACTIVITY]],TAGS!$B:$P,12,FALSE)</f>
        <v>Consolidation</v>
      </c>
      <c r="U7" s="51" t="str">
        <f>VLOOKUP(Table37[[#This Row],[ACTIVITY]],TAGS!$B:$P,13,FALSE)</f>
        <v>1. Bayanihan Agri Cluster</v>
      </c>
      <c r="V7" s="51" t="str">
        <f>VLOOKUP(Table37[[#This Row],[ACTIVITY]],TAGS!$B:$P,14,FALSE)</f>
        <v>EXPAND AND IMPROVE AVAILABLE AGRI-FISHERY AREAS FOR INCREASED PRODUCTION</v>
      </c>
      <c r="W7" s="51" t="str">
        <f>VLOOKUP(Table37[[#This Row],[ACTIVITY]],TAGS!$B:$P,15,FALSE)</f>
        <v>Farm Inputs</v>
      </c>
      <c r="X7" s="51" t="str">
        <f>VLOOKUP(Table37[[#This Row],[PI LEVEL 3]],'PI LEVEL'!$A:$G,7,FALSE)</f>
        <v>DA-Level Output</v>
      </c>
      <c r="Y7" s="47" t="s">
        <v>577</v>
      </c>
      <c r="Z7" s="47" t="s">
        <v>330</v>
      </c>
      <c r="AA7" s="51" t="str">
        <f>VLOOKUP(Table37[[#This Row],[MONTH]],TAGS!$W$67:$Y$81,2,FALSE)</f>
        <v>2ND QTR</v>
      </c>
      <c r="AB7" s="51" t="str">
        <f>VLOOKUP(Table37[[#This Row],[MONTH]],TAGS!$W$67:$Y$81,3,FALSE)</f>
        <v>1ST SEMESTER</v>
      </c>
      <c r="AC7" s="51">
        <f>VLOOKUP(Table37[[#This Row],[MONTH]],TAGS!$W$67:$Z$81,4,FALSE)</f>
        <v>2025</v>
      </c>
      <c r="AD7" s="47">
        <v>17600</v>
      </c>
      <c r="AE7" s="47"/>
      <c r="AF7" s="51">
        <f>SUM(Table37[[#This Row],[MOOE (Php ''000)]:[CO (Php ''000)]])</f>
        <v>17600</v>
      </c>
      <c r="AG7" s="71" t="b">
        <f>ISBLANK(Table37[[#This Row],[PRPOPOSAL/BEDS]])</f>
        <v>0</v>
      </c>
      <c r="AH7" s="71" t="b">
        <f>ISBLANK(Table37[[#This Row],[OU]])</f>
        <v>0</v>
      </c>
      <c r="AI7" s="71" t="b">
        <f>ISBLANK(Table37[[#This Row],[SPECIFIC COMMODITY]])</f>
        <v>0</v>
      </c>
      <c r="AJ7" s="71" t="b">
        <f>ISBLANK(Table37[[#This Row],[COMMODITY PREXC SUB-PROGRAM]])</f>
        <v>0</v>
      </c>
      <c r="AK7" s="71" t="b">
        <f>ISBLANK(Table37[[#This Row],[ACTIVITY]])</f>
        <v>0</v>
      </c>
      <c r="AL7" s="71" t="b">
        <f>ISBLANK(Table37[[#This Row],[TAG-GAD]])</f>
        <v>0</v>
      </c>
      <c r="AM7" s="71" t="b">
        <f>ISBLANK(Table37[[#This Row],[MONTH]])</f>
        <v>0</v>
      </c>
      <c r="AN7" s="71" t="b">
        <f>ISBLANK(Table37[[#This Row],[MOOE (Php ''000)]])</f>
        <v>0</v>
      </c>
      <c r="AO7" s="71" t="b">
        <f>ISBLANK(Table37[[#This Row],[CO (Php ''000)]])</f>
        <v>1</v>
      </c>
    </row>
    <row r="8" spans="1:41">
      <c r="A8" s="51" t="str">
        <f>VLOOKUP(Table37[[#This Row],[OU]],OU!$A$15:$B$34,2,FALSE)</f>
        <v>RFOs</v>
      </c>
      <c r="B8" s="47" t="s">
        <v>297</v>
      </c>
      <c r="C8" s="47" t="s">
        <v>574</v>
      </c>
      <c r="D8" s="47" t="s">
        <v>578</v>
      </c>
      <c r="E8" s="51" t="str">
        <f>VLOOKUP(Table37[[#This Row],[SPECIFIC COMMODITY]],TAGS!$W$48:$X$53,2,FALSE)</f>
        <v>Corn</v>
      </c>
      <c r="F8" s="51" t="str">
        <f>VLOOKUP(Table37[[#This Row],[PREXC SUB-PROGRAM]],Table5[],2,FALSE)</f>
        <v>TECHNICAL AND SUPPORT SERVICES PROGRAM</v>
      </c>
      <c r="G8" s="51" t="str">
        <f>VLOOKUP(Table37[[#This Row],[COMMODITY PREXC SUB-PROGRAM]],TAGS!$U$54:$V$76,2,FALSE)</f>
        <v>PSS</v>
      </c>
      <c r="H8" s="47" t="s">
        <v>576</v>
      </c>
      <c r="I8" s="51" t="str">
        <f>VLOOKUP(Table37[[#This Row],[PI LEVEL 3]],'PI LEVEL'!A:C,3,FALSE)</f>
        <v>Fertilizers and other soil ammendment distributed</v>
      </c>
      <c r="J8" s="51" t="str">
        <f>VLOOKUP(Table37[[#This Row],[PI LEVEL 3]],Table53729[[Performance Indicator Level 3]:[Performance Indicator Level 1]],2,FALSE)</f>
        <v>Fertilizers distributed</v>
      </c>
      <c r="K8" s="51" t="str">
        <f>VLOOKUP(Table37[[#This Row],[ACTIVITY]],TAGS!B:P,2,FALSE)</f>
        <v>Inorganic fertilizer distributed</v>
      </c>
      <c r="L8" s="47" t="s">
        <v>28</v>
      </c>
      <c r="M8" s="51" t="str">
        <f>VLOOKUP(Table37[[#This Row],[ACTIVITY]],TAGS!$B:$P,4,FALSE)</f>
        <v>Recommended Corn Production Technology</v>
      </c>
      <c r="N8" s="51" t="str">
        <f>VLOOKUP(Table37[[#This Row],[ACTIVITY]],TAGS!$B:$P,5,FALSE)</f>
        <v>Soil Fertilization</v>
      </c>
      <c r="O8" s="51" t="str">
        <f>VLOOKUP(Table37[[#This Row],[ACTIVITY]],TAGS!$B:$P,6,FALSE)</f>
        <v>Inorganic fertilizer</v>
      </c>
      <c r="P8" s="51" t="str">
        <f>VLOOKUP(Table37[[#This Row],[ACTIVITY]],TAGS!$B:$P,7,FALSE)</f>
        <v>NO</v>
      </c>
      <c r="Q8" s="51" t="str">
        <f>VLOOKUP(Table37[[#This Row],[ACTIVITY]],TAGS!$B:$P,8,FALSE)</f>
        <v>PAP</v>
      </c>
      <c r="R8" s="51" t="str">
        <f>VLOOKUP(Table37[[#This Row],[ACTIVITY]],TAGS!$B:$P,10,FALSE)</f>
        <v>PIP</v>
      </c>
      <c r="S8" s="51" t="str">
        <f>VLOOKUP(Table37[[#This Row],[ACTIVITY]],TAGS!$B:$P,11,FALSE)</f>
        <v>PICS</v>
      </c>
      <c r="T8" s="51" t="str">
        <f>VLOOKUP(Table37[[#This Row],[ACTIVITY]],TAGS!$B:$P,12,FALSE)</f>
        <v>Consolidation</v>
      </c>
      <c r="U8" s="51" t="str">
        <f>VLOOKUP(Table37[[#This Row],[ACTIVITY]],TAGS!$B:$P,13,FALSE)</f>
        <v>1. Bayanihan Agri Cluster</v>
      </c>
      <c r="V8" s="51" t="str">
        <f>VLOOKUP(Table37[[#This Row],[ACTIVITY]],TAGS!$B:$P,14,FALSE)</f>
        <v>EXPAND AND IMPROVE AVAILABLE AGRI-FISHERY AREAS FOR INCREASED PRODUCTION</v>
      </c>
      <c r="W8" s="51" t="str">
        <f>VLOOKUP(Table37[[#This Row],[ACTIVITY]],TAGS!$B:$P,15,FALSE)</f>
        <v>Farm Inputs</v>
      </c>
      <c r="X8" s="51" t="str">
        <f>VLOOKUP(Table37[[#This Row],[PI LEVEL 3]],'PI LEVEL'!$A:$G,7,FALSE)</f>
        <v>DA-Level Output</v>
      </c>
      <c r="Y8" s="47" t="s">
        <v>577</v>
      </c>
      <c r="Z8" s="47" t="s">
        <v>333</v>
      </c>
      <c r="AA8" s="51" t="str">
        <f>VLOOKUP(Table37[[#This Row],[MONTH]],TAGS!$W$67:$Y$81,2,FALSE)</f>
        <v>3RD QTR</v>
      </c>
      <c r="AB8" s="51" t="str">
        <f>VLOOKUP(Table37[[#This Row],[MONTH]],TAGS!$W$67:$Y$81,3,FALSE)</f>
        <v>2ND SEMESTER</v>
      </c>
      <c r="AC8" s="51">
        <f>VLOOKUP(Table37[[#This Row],[MONTH]],TAGS!$W$67:$Z$81,4,FALSE)</f>
        <v>2025</v>
      </c>
      <c r="AD8" s="47">
        <v>7150</v>
      </c>
      <c r="AE8" s="47"/>
      <c r="AF8" s="51">
        <f>SUM(Table37[[#This Row],[MOOE (Php ''000)]:[CO (Php ''000)]])</f>
        <v>7150</v>
      </c>
      <c r="AG8" s="71" t="b">
        <f>ISBLANK(Table37[[#This Row],[PRPOPOSAL/BEDS]])</f>
        <v>0</v>
      </c>
      <c r="AH8" s="71" t="b">
        <f>ISBLANK(Table37[[#This Row],[OU]])</f>
        <v>0</v>
      </c>
      <c r="AI8" s="71" t="b">
        <f>ISBLANK(Table37[[#This Row],[SPECIFIC COMMODITY]])</f>
        <v>0</v>
      </c>
      <c r="AJ8" s="71" t="b">
        <f>ISBLANK(Table37[[#This Row],[COMMODITY PREXC SUB-PROGRAM]])</f>
        <v>0</v>
      </c>
      <c r="AK8" s="71" t="b">
        <f>ISBLANK(Table37[[#This Row],[ACTIVITY]])</f>
        <v>0</v>
      </c>
      <c r="AL8" s="71" t="b">
        <f>ISBLANK(Table37[[#This Row],[TAG-GAD]])</f>
        <v>0</v>
      </c>
      <c r="AM8" s="71" t="b">
        <f>ISBLANK(Table37[[#This Row],[MONTH]])</f>
        <v>0</v>
      </c>
      <c r="AN8" s="71" t="b">
        <f>ISBLANK(Table37[[#This Row],[MOOE (Php ''000)]])</f>
        <v>0</v>
      </c>
      <c r="AO8" s="71" t="b">
        <f>ISBLANK(Table37[[#This Row],[CO (Php ''000)]])</f>
        <v>1</v>
      </c>
    </row>
    <row r="9" spans="1:41">
      <c r="A9" s="51" t="str">
        <f>VLOOKUP(Table37[[#This Row],[OU]],OU!$A$15:$B$34,2,FALSE)</f>
        <v>RFOs</v>
      </c>
      <c r="B9" s="47" t="s">
        <v>297</v>
      </c>
      <c r="C9" s="47" t="s">
        <v>574</v>
      </c>
      <c r="D9" s="47" t="s">
        <v>578</v>
      </c>
      <c r="E9" s="51" t="str">
        <f>VLOOKUP(Table37[[#This Row],[SPECIFIC COMMODITY]],TAGS!$W$48:$X$53,2,FALSE)</f>
        <v>Corn</v>
      </c>
      <c r="F9" s="51" t="str">
        <f>VLOOKUP(Table37[[#This Row],[PREXC SUB-PROGRAM]],Table5[],2,FALSE)</f>
        <v>TECHNICAL AND SUPPORT SERVICES PROGRAM</v>
      </c>
      <c r="G9" s="51" t="str">
        <f>VLOOKUP(Table37[[#This Row],[COMMODITY PREXC SUB-PROGRAM]],TAGS!$U$54:$V$76,2,FALSE)</f>
        <v>PSS</v>
      </c>
      <c r="H9" s="47" t="s">
        <v>576</v>
      </c>
      <c r="I9" s="51" t="str">
        <f>VLOOKUP(Table37[[#This Row],[PI LEVEL 3]],'PI LEVEL'!A:C,3,FALSE)</f>
        <v>Fertilizers and other soil ammendment distributed</v>
      </c>
      <c r="J9" s="51" t="str">
        <f>VLOOKUP(Table37[[#This Row],[PI LEVEL 3]],Table53729[[Performance Indicator Level 3]:[Performance Indicator Level 1]],2,FALSE)</f>
        <v>Fertilizers distributed</v>
      </c>
      <c r="K9" s="51" t="str">
        <f>VLOOKUP(Table37[[#This Row],[ACTIVITY]],TAGS!B:P,2,FALSE)</f>
        <v>Biofertilizer distributed (pack)</v>
      </c>
      <c r="L9" s="47" t="s">
        <v>30</v>
      </c>
      <c r="M9" s="51" t="str">
        <f>VLOOKUP(Table37[[#This Row],[ACTIVITY]],TAGS!$B:$P,4,FALSE)</f>
        <v>Soil amendments</v>
      </c>
      <c r="N9" s="51" t="str">
        <f>VLOOKUP(Table37[[#This Row],[ACTIVITY]],TAGS!$B:$P,5,FALSE)</f>
        <v>Soil Fertilization</v>
      </c>
      <c r="O9" s="51" t="str">
        <f>VLOOKUP(Table37[[#This Row],[ACTIVITY]],TAGS!$B:$P,6,FALSE)</f>
        <v>Biofertilizer</v>
      </c>
      <c r="P9" s="51" t="str">
        <f>VLOOKUP(Table37[[#This Row],[ACTIVITY]],TAGS!$B:$P,7,FALSE)</f>
        <v>NO</v>
      </c>
      <c r="Q9" s="51" t="str">
        <f>VLOOKUP(Table37[[#This Row],[ACTIVITY]],TAGS!$B:$P,8,FALSE)</f>
        <v>PAP</v>
      </c>
      <c r="R9" s="51" t="str">
        <f>VLOOKUP(Table37[[#This Row],[ACTIVITY]],TAGS!$B:$P,10,FALSE)</f>
        <v>PIP</v>
      </c>
      <c r="S9" s="51" t="str">
        <f>VLOOKUP(Table37[[#This Row],[ACTIVITY]],TAGS!$B:$P,11,FALSE)</f>
        <v>PICS</v>
      </c>
      <c r="T9" s="51" t="str">
        <f>VLOOKUP(Table37[[#This Row],[ACTIVITY]],TAGS!$B:$P,12,FALSE)</f>
        <v>Consolidation</v>
      </c>
      <c r="U9" s="51" t="str">
        <f>VLOOKUP(Table37[[#This Row],[ACTIVITY]],TAGS!$B:$P,13,FALSE)</f>
        <v>1. Bayanihan Agri Cluster</v>
      </c>
      <c r="V9" s="51" t="str">
        <f>VLOOKUP(Table37[[#This Row],[ACTIVITY]],TAGS!$B:$P,14,FALSE)</f>
        <v>EXPAND AND IMPROVE AVAILABLE AGRI-FISHERY AREAS FOR INCREASED PRODUCTION</v>
      </c>
      <c r="W9" s="51" t="str">
        <f>VLOOKUP(Table37[[#This Row],[ACTIVITY]],TAGS!$B:$P,15,FALSE)</f>
        <v>Farm Inputs</v>
      </c>
      <c r="X9" s="51" t="str">
        <f>VLOOKUP(Table37[[#This Row],[PI LEVEL 3]],'PI LEVEL'!$A:$G,7,FALSE)</f>
        <v>DA-Level Output</v>
      </c>
      <c r="Y9" s="47" t="s">
        <v>577</v>
      </c>
      <c r="Z9" s="47" t="s">
        <v>329</v>
      </c>
      <c r="AA9" s="51" t="str">
        <f>VLOOKUP(Table37[[#This Row],[MONTH]],TAGS!$W$67:$Y$81,2,FALSE)</f>
        <v>1ST QTR</v>
      </c>
      <c r="AB9" s="51" t="str">
        <f>VLOOKUP(Table37[[#This Row],[MONTH]],TAGS!$W$67:$Y$81,3,FALSE)</f>
        <v>1ST SEMESTER</v>
      </c>
      <c r="AC9" s="51">
        <f>VLOOKUP(Table37[[#This Row],[MONTH]],TAGS!$W$67:$Z$81,4,FALSE)</f>
        <v>2025</v>
      </c>
      <c r="AD9" s="47">
        <v>2720</v>
      </c>
      <c r="AE9" s="47"/>
      <c r="AF9" s="51">
        <f>SUM(Table37[[#This Row],[MOOE (Php ''000)]:[CO (Php ''000)]])</f>
        <v>2720</v>
      </c>
      <c r="AG9" s="71" t="b">
        <f>ISBLANK(Table37[[#This Row],[PRPOPOSAL/BEDS]])</f>
        <v>0</v>
      </c>
      <c r="AH9" s="71" t="b">
        <f>ISBLANK(Table37[[#This Row],[OU]])</f>
        <v>0</v>
      </c>
      <c r="AI9" s="71" t="b">
        <f>ISBLANK(Table37[[#This Row],[SPECIFIC COMMODITY]])</f>
        <v>0</v>
      </c>
      <c r="AJ9" s="71" t="b">
        <f>ISBLANK(Table37[[#This Row],[COMMODITY PREXC SUB-PROGRAM]])</f>
        <v>0</v>
      </c>
      <c r="AK9" s="71" t="b">
        <f>ISBLANK(Table37[[#This Row],[ACTIVITY]])</f>
        <v>0</v>
      </c>
      <c r="AL9" s="71" t="b">
        <f>ISBLANK(Table37[[#This Row],[TAG-GAD]])</f>
        <v>0</v>
      </c>
      <c r="AM9" s="71" t="b">
        <f>ISBLANK(Table37[[#This Row],[MONTH]])</f>
        <v>0</v>
      </c>
      <c r="AN9" s="71" t="b">
        <f>ISBLANK(Table37[[#This Row],[MOOE (Php ''000)]])</f>
        <v>0</v>
      </c>
      <c r="AO9" s="71" t="b">
        <f>ISBLANK(Table37[[#This Row],[CO (Php ''000)]])</f>
        <v>1</v>
      </c>
    </row>
    <row r="10" spans="1:41">
      <c r="A10" s="51" t="str">
        <f>VLOOKUP(Table37[[#This Row],[OU]],OU!$A$15:$B$34,2,FALSE)</f>
        <v>RFOs</v>
      </c>
      <c r="B10" s="47" t="s">
        <v>297</v>
      </c>
      <c r="C10" s="47" t="s">
        <v>574</v>
      </c>
      <c r="D10" s="47" t="s">
        <v>578</v>
      </c>
      <c r="E10" s="51" t="str">
        <f>VLOOKUP(Table37[[#This Row],[SPECIFIC COMMODITY]],TAGS!$W$48:$X$53,2,FALSE)</f>
        <v>Corn</v>
      </c>
      <c r="F10" s="51" t="str">
        <f>VLOOKUP(Table37[[#This Row],[PREXC SUB-PROGRAM]],Table5[],2,FALSE)</f>
        <v>TECHNICAL AND SUPPORT SERVICES PROGRAM</v>
      </c>
      <c r="G10" s="51" t="str">
        <f>VLOOKUP(Table37[[#This Row],[COMMODITY PREXC SUB-PROGRAM]],TAGS!$U$54:$V$76,2,FALSE)</f>
        <v>PSS</v>
      </c>
      <c r="H10" s="47" t="s">
        <v>576</v>
      </c>
      <c r="I10" s="51" t="str">
        <f>VLOOKUP(Table37[[#This Row],[PI LEVEL 3]],'PI LEVEL'!A:C,3,FALSE)</f>
        <v>Fertilizers and other soil ammendment distributed</v>
      </c>
      <c r="J10" s="51" t="str">
        <f>VLOOKUP(Table37[[#This Row],[PI LEVEL 3]],Table53729[[Performance Indicator Level 3]:[Performance Indicator Level 1]],2,FALSE)</f>
        <v>Fertilizers distributed</v>
      </c>
      <c r="K10" s="51" t="str">
        <f>VLOOKUP(Table37[[#This Row],[ACTIVITY]],TAGS!B:P,2,FALSE)</f>
        <v>Organic fertilizer distributed</v>
      </c>
      <c r="L10" s="47" t="s">
        <v>32</v>
      </c>
      <c r="M10" s="51" t="str">
        <f>VLOOKUP(Table37[[#This Row],[ACTIVITY]],TAGS!$B:$P,4,FALSE)</f>
        <v>Soil amendments</v>
      </c>
      <c r="N10" s="51" t="str">
        <f>VLOOKUP(Table37[[#This Row],[ACTIVITY]],TAGS!$B:$P,5,FALSE)</f>
        <v>Soil Fertilization</v>
      </c>
      <c r="O10" s="51" t="str">
        <f>VLOOKUP(Table37[[#This Row],[ACTIVITY]],TAGS!$B:$P,6,FALSE)</f>
        <v>Soil ameliorant</v>
      </c>
      <c r="P10" s="51" t="str">
        <f>VLOOKUP(Table37[[#This Row],[ACTIVITY]],TAGS!$B:$P,7,FALSE)</f>
        <v>NO</v>
      </c>
      <c r="Q10" s="51" t="str">
        <f>VLOOKUP(Table37[[#This Row],[ACTIVITY]],TAGS!$B:$P,8,FALSE)</f>
        <v>PAP</v>
      </c>
      <c r="R10" s="51" t="str">
        <f>VLOOKUP(Table37[[#This Row],[ACTIVITY]],TAGS!$B:$P,10,FALSE)</f>
        <v>PIP</v>
      </c>
      <c r="S10" s="51" t="str">
        <f>VLOOKUP(Table37[[#This Row],[ACTIVITY]],TAGS!$B:$P,11,FALSE)</f>
        <v>PICS</v>
      </c>
      <c r="T10" s="51" t="str">
        <f>VLOOKUP(Table37[[#This Row],[ACTIVITY]],TAGS!$B:$P,12,FALSE)</f>
        <v>Consolidation</v>
      </c>
      <c r="U10" s="51" t="str">
        <f>VLOOKUP(Table37[[#This Row],[ACTIVITY]],TAGS!$B:$P,13,FALSE)</f>
        <v>1. Bayanihan Agri Cluster</v>
      </c>
      <c r="V10" s="51" t="str">
        <f>VLOOKUP(Table37[[#This Row],[ACTIVITY]],TAGS!$B:$P,14,FALSE)</f>
        <v>EXPAND AND IMPROVE AVAILABLE AGRI-FISHERY AREAS FOR INCREASED PRODUCTION</v>
      </c>
      <c r="W10" s="51" t="str">
        <f>VLOOKUP(Table37[[#This Row],[ACTIVITY]],TAGS!$B:$P,15,FALSE)</f>
        <v>Farm Inputs</v>
      </c>
      <c r="X10" s="51" t="str">
        <f>VLOOKUP(Table37[[#This Row],[PI LEVEL 3]],'PI LEVEL'!$A:$G,7,FALSE)</f>
        <v>DA-Level Output</v>
      </c>
      <c r="Y10" s="47" t="s">
        <v>577</v>
      </c>
      <c r="Z10" s="47" t="s">
        <v>329</v>
      </c>
      <c r="AA10" s="51" t="str">
        <f>VLOOKUP(Table37[[#This Row],[MONTH]],TAGS!$W$67:$Y$81,2,FALSE)</f>
        <v>1ST QTR</v>
      </c>
      <c r="AB10" s="51" t="str">
        <f>VLOOKUP(Table37[[#This Row],[MONTH]],TAGS!$W$67:$Y$81,3,FALSE)</f>
        <v>1ST SEMESTER</v>
      </c>
      <c r="AC10" s="51">
        <f>VLOOKUP(Table37[[#This Row],[MONTH]],TAGS!$W$67:$Z$81,4,FALSE)</f>
        <v>2025</v>
      </c>
      <c r="AD10" s="47">
        <v>7000</v>
      </c>
      <c r="AE10" s="47"/>
      <c r="AF10" s="51">
        <f>SUM(Table37[[#This Row],[MOOE (Php ''000)]:[CO (Php ''000)]])</f>
        <v>7000</v>
      </c>
      <c r="AG10" s="71" t="b">
        <f>ISBLANK(Table37[[#This Row],[PRPOPOSAL/BEDS]])</f>
        <v>0</v>
      </c>
      <c r="AH10" s="71" t="b">
        <f>ISBLANK(Table37[[#This Row],[OU]])</f>
        <v>0</v>
      </c>
      <c r="AI10" s="71" t="b">
        <f>ISBLANK(Table37[[#This Row],[SPECIFIC COMMODITY]])</f>
        <v>0</v>
      </c>
      <c r="AJ10" s="71" t="b">
        <f>ISBLANK(Table37[[#This Row],[COMMODITY PREXC SUB-PROGRAM]])</f>
        <v>0</v>
      </c>
      <c r="AK10" s="71" t="b">
        <f>ISBLANK(Table37[[#This Row],[ACTIVITY]])</f>
        <v>0</v>
      </c>
      <c r="AL10" s="71" t="b">
        <f>ISBLANK(Table37[[#This Row],[TAG-GAD]])</f>
        <v>0</v>
      </c>
      <c r="AM10" s="71" t="b">
        <f>ISBLANK(Table37[[#This Row],[MONTH]])</f>
        <v>0</v>
      </c>
      <c r="AN10" s="71" t="b">
        <f>ISBLANK(Table37[[#This Row],[MOOE (Php ''000)]])</f>
        <v>0</v>
      </c>
      <c r="AO10" s="71" t="b">
        <f>ISBLANK(Table37[[#This Row],[CO (Php ''000)]])</f>
        <v>1</v>
      </c>
    </row>
    <row r="11" spans="1:41">
      <c r="A11" s="51" t="str">
        <f>VLOOKUP(Table37[[#This Row],[OU]],OU!$A$15:$B$34,2,FALSE)</f>
        <v>RFOs</v>
      </c>
      <c r="B11" s="47" t="s">
        <v>297</v>
      </c>
      <c r="C11" s="47" t="s">
        <v>574</v>
      </c>
      <c r="D11" s="47" t="s">
        <v>578</v>
      </c>
      <c r="E11" s="51" t="str">
        <f>VLOOKUP(Table37[[#This Row],[SPECIFIC COMMODITY]],TAGS!$W$48:$X$53,2,FALSE)</f>
        <v>Corn</v>
      </c>
      <c r="F11" s="51" t="str">
        <f>VLOOKUP(Table37[[#This Row],[PREXC SUB-PROGRAM]],Table5[],2,FALSE)</f>
        <v>TECHNICAL AND SUPPORT SERVICES PROGRAM</v>
      </c>
      <c r="G11" s="51" t="str">
        <f>VLOOKUP(Table37[[#This Row],[COMMODITY PREXC SUB-PROGRAM]],TAGS!$U$54:$V$76,2,FALSE)</f>
        <v>PSS</v>
      </c>
      <c r="H11" s="47" t="s">
        <v>576</v>
      </c>
      <c r="I11" s="51" t="str">
        <f>VLOOKUP(Table37[[#This Row],[PI LEVEL 3]],'PI LEVEL'!A:C,3,FALSE)</f>
        <v>Fertilizers and other soil ammendment distributed</v>
      </c>
      <c r="J11" s="51" t="str">
        <f>VLOOKUP(Table37[[#This Row],[PI LEVEL 3]],Table53729[[Performance Indicator Level 3]:[Performance Indicator Level 1]],2,FALSE)</f>
        <v>Fertilizers distributed</v>
      </c>
      <c r="K11" s="51" t="str">
        <f>VLOOKUP(Table37[[#This Row],[ACTIVITY]],TAGS!B:P,2,FALSE)</f>
        <v>Organic fertilizer distributed</v>
      </c>
      <c r="L11" s="47" t="s">
        <v>32</v>
      </c>
      <c r="M11" s="51" t="str">
        <f>VLOOKUP(Table37[[#This Row],[ACTIVITY]],TAGS!$B:$P,4,FALSE)</f>
        <v>Soil amendments</v>
      </c>
      <c r="N11" s="51" t="str">
        <f>VLOOKUP(Table37[[#This Row],[ACTIVITY]],TAGS!$B:$P,5,FALSE)</f>
        <v>Soil Fertilization</v>
      </c>
      <c r="O11" s="51" t="str">
        <f>VLOOKUP(Table37[[#This Row],[ACTIVITY]],TAGS!$B:$P,6,FALSE)</f>
        <v>Soil ameliorant</v>
      </c>
      <c r="P11" s="51" t="str">
        <f>VLOOKUP(Table37[[#This Row],[ACTIVITY]],TAGS!$B:$P,7,FALSE)</f>
        <v>NO</v>
      </c>
      <c r="Q11" s="51" t="str">
        <f>VLOOKUP(Table37[[#This Row],[ACTIVITY]],TAGS!$B:$P,8,FALSE)</f>
        <v>PAP</v>
      </c>
      <c r="R11" s="51" t="str">
        <f>VLOOKUP(Table37[[#This Row],[ACTIVITY]],TAGS!$B:$P,10,FALSE)</f>
        <v>PIP</v>
      </c>
      <c r="S11" s="51" t="str">
        <f>VLOOKUP(Table37[[#This Row],[ACTIVITY]],TAGS!$B:$P,11,FALSE)</f>
        <v>PICS</v>
      </c>
      <c r="T11" s="51" t="str">
        <f>VLOOKUP(Table37[[#This Row],[ACTIVITY]],TAGS!$B:$P,12,FALSE)</f>
        <v>Consolidation</v>
      </c>
      <c r="U11" s="51" t="str">
        <f>VLOOKUP(Table37[[#This Row],[ACTIVITY]],TAGS!$B:$P,13,FALSE)</f>
        <v>1. Bayanihan Agri Cluster</v>
      </c>
      <c r="V11" s="51" t="str">
        <f>VLOOKUP(Table37[[#This Row],[ACTIVITY]],TAGS!$B:$P,14,FALSE)</f>
        <v>EXPAND AND IMPROVE AVAILABLE AGRI-FISHERY AREAS FOR INCREASED PRODUCTION</v>
      </c>
      <c r="W11" s="51" t="str">
        <f>VLOOKUP(Table37[[#This Row],[ACTIVITY]],TAGS!$B:$P,15,FALSE)</f>
        <v>Farm Inputs</v>
      </c>
      <c r="X11" s="51" t="str">
        <f>VLOOKUP(Table37[[#This Row],[PI LEVEL 3]],'PI LEVEL'!$A:$G,7,FALSE)</f>
        <v>DA-Level Output</v>
      </c>
      <c r="Y11" s="47" t="s">
        <v>577</v>
      </c>
      <c r="Z11" s="47" t="s">
        <v>333</v>
      </c>
      <c r="AA11" s="51" t="str">
        <f>VLOOKUP(Table37[[#This Row],[MONTH]],TAGS!$W$67:$Y$81,2,FALSE)</f>
        <v>3RD QTR</v>
      </c>
      <c r="AB11" s="51" t="str">
        <f>VLOOKUP(Table37[[#This Row],[MONTH]],TAGS!$W$67:$Y$81,3,FALSE)</f>
        <v>2ND SEMESTER</v>
      </c>
      <c r="AC11" s="51">
        <f>VLOOKUP(Table37[[#This Row],[MONTH]],TAGS!$W$67:$Z$81,4,FALSE)</f>
        <v>2025</v>
      </c>
      <c r="AD11" s="47">
        <v>3000</v>
      </c>
      <c r="AE11" s="47"/>
      <c r="AF11" s="51">
        <f>SUM(Table37[[#This Row],[MOOE (Php ''000)]:[CO (Php ''000)]])</f>
        <v>3000</v>
      </c>
      <c r="AG11" s="71" t="b">
        <f>ISBLANK(Table37[[#This Row],[PRPOPOSAL/BEDS]])</f>
        <v>0</v>
      </c>
      <c r="AH11" s="71" t="b">
        <f>ISBLANK(Table37[[#This Row],[OU]])</f>
        <v>0</v>
      </c>
      <c r="AI11" s="71" t="b">
        <f>ISBLANK(Table37[[#This Row],[SPECIFIC COMMODITY]])</f>
        <v>0</v>
      </c>
      <c r="AJ11" s="71" t="b">
        <f>ISBLANK(Table37[[#This Row],[COMMODITY PREXC SUB-PROGRAM]])</f>
        <v>0</v>
      </c>
      <c r="AK11" s="71" t="b">
        <f>ISBLANK(Table37[[#This Row],[ACTIVITY]])</f>
        <v>0</v>
      </c>
      <c r="AL11" s="71" t="b">
        <f>ISBLANK(Table37[[#This Row],[TAG-GAD]])</f>
        <v>0</v>
      </c>
      <c r="AM11" s="71" t="b">
        <f>ISBLANK(Table37[[#This Row],[MONTH]])</f>
        <v>0</v>
      </c>
      <c r="AN11" s="71" t="b">
        <f>ISBLANK(Table37[[#This Row],[MOOE (Php ''000)]])</f>
        <v>0</v>
      </c>
      <c r="AO11" s="71" t="b">
        <f>ISBLANK(Table37[[#This Row],[CO (Php ''000)]])</f>
        <v>1</v>
      </c>
    </row>
    <row r="12" spans="1:41">
      <c r="A12" s="51" t="str">
        <f>VLOOKUP(Table37[[#This Row],[OU]],OU!$A$15:$B$34,2,FALSE)</f>
        <v>RFOs</v>
      </c>
      <c r="B12" s="47" t="s">
        <v>297</v>
      </c>
      <c r="C12" s="47" t="s">
        <v>574</v>
      </c>
      <c r="D12" s="47" t="s">
        <v>578</v>
      </c>
      <c r="E12" s="51" t="str">
        <f>VLOOKUP(Table37[[#This Row],[SPECIFIC COMMODITY]],TAGS!$W$48:$X$53,2,FALSE)</f>
        <v>Corn</v>
      </c>
      <c r="F12" s="51" t="str">
        <f>VLOOKUP(Table37[[#This Row],[PREXC SUB-PROGRAM]],Table5[],2,FALSE)</f>
        <v>TECHNICAL AND SUPPORT SERVICES PROGRAM</v>
      </c>
      <c r="G12" s="51" t="str">
        <f>VLOOKUP(Table37[[#This Row],[COMMODITY PREXC SUB-PROGRAM]],TAGS!$U$54:$V$76,2,FALSE)</f>
        <v>PSS</v>
      </c>
      <c r="H12" s="47" t="s">
        <v>576</v>
      </c>
      <c r="I12" s="51" t="str">
        <f>VLOOKUP(Table37[[#This Row],[PI LEVEL 3]],'PI LEVEL'!A:C,3,FALSE)</f>
        <v>Seeds distributed</v>
      </c>
      <c r="J12" s="51" t="str">
        <f>VLOOKUP(Table37[[#This Row],[PI LEVEL 3]],Table53729[[Performance Indicator Level 3]:[Performance Indicator Level 1]],2,FALSE)</f>
        <v>Corn Seeds distributed</v>
      </c>
      <c r="K12" s="51" t="str">
        <f>VLOOKUP(Table37[[#This Row],[ACTIVITY]],TAGS!B:P,2,FALSE)</f>
        <v>Yellow Corn Seeds distributed</v>
      </c>
      <c r="L12" s="47" t="s">
        <v>34</v>
      </c>
      <c r="M12" s="51" t="str">
        <f>VLOOKUP(Table37[[#This Row],[ACTIVITY]],TAGS!$B:$P,4,FALSE)</f>
        <v>Yellow Corn Production Enhancement Project</v>
      </c>
      <c r="N12" s="51" t="str">
        <f>VLOOKUP(Table37[[#This Row],[ACTIVITY]],TAGS!$B:$P,5,FALSE)</f>
        <v>Corn Seed Assistance</v>
      </c>
      <c r="O12" s="51" t="str">
        <f>VLOOKUP(Table37[[#This Row],[ACTIVITY]],TAGS!$B:$P,6,FALSE)</f>
        <v>Yellow corn seeds</v>
      </c>
      <c r="P12" s="51" t="str">
        <f>VLOOKUP(Table37[[#This Row],[ACTIVITY]],TAGS!$B:$P,7,FALSE)</f>
        <v>NO</v>
      </c>
      <c r="Q12" s="51" t="str">
        <f>VLOOKUP(Table37[[#This Row],[ACTIVITY]],TAGS!$B:$P,8,FALSE)</f>
        <v>PAP</v>
      </c>
      <c r="R12" s="51" t="str">
        <f>VLOOKUP(Table37[[#This Row],[ACTIVITY]],TAGS!$B:$P,10,FALSE)</f>
        <v>PIP</v>
      </c>
      <c r="S12" s="51" t="str">
        <f>VLOOKUP(Table37[[#This Row],[ACTIVITY]],TAGS!$B:$P,11,FALSE)</f>
        <v>PICS</v>
      </c>
      <c r="T12" s="51" t="str">
        <f>VLOOKUP(Table37[[#This Row],[ACTIVITY]],TAGS!$B:$P,12,FALSE)</f>
        <v>Consolidation</v>
      </c>
      <c r="U12" s="51" t="str">
        <f>VLOOKUP(Table37[[#This Row],[ACTIVITY]],TAGS!$B:$P,13,FALSE)</f>
        <v>1. Bayanihan Agri Cluster</v>
      </c>
      <c r="V12" s="51" t="str">
        <f>VLOOKUP(Table37[[#This Row],[ACTIVITY]],TAGS!$B:$P,14,FALSE)</f>
        <v>EXPAND AND IMPROVE AVAILABLE AGRI-FISHERY AREAS FOR INCREASED PRODUCTION</v>
      </c>
      <c r="W12" s="51" t="str">
        <f>VLOOKUP(Table37[[#This Row],[ACTIVITY]],TAGS!$B:$P,15,FALSE)</f>
        <v>Farm Inputs</v>
      </c>
      <c r="X12" s="51" t="str">
        <f>VLOOKUP(Table37[[#This Row],[PI LEVEL 3]],'PI LEVEL'!$A:$G,7,FALSE)</f>
        <v>DA-Level Output</v>
      </c>
      <c r="Y12" s="47" t="s">
        <v>577</v>
      </c>
      <c r="Z12" s="47" t="s">
        <v>330</v>
      </c>
      <c r="AA12" s="51" t="str">
        <f>VLOOKUP(Table37[[#This Row],[MONTH]],TAGS!$W$67:$Y$81,2,FALSE)</f>
        <v>2ND QTR</v>
      </c>
      <c r="AB12" s="51" t="str">
        <f>VLOOKUP(Table37[[#This Row],[MONTH]],TAGS!$W$67:$Y$81,3,FALSE)</f>
        <v>1ST SEMESTER</v>
      </c>
      <c r="AC12" s="51">
        <f>VLOOKUP(Table37[[#This Row],[MONTH]],TAGS!$W$67:$Z$81,4,FALSE)</f>
        <v>2025</v>
      </c>
      <c r="AD12" s="47">
        <v>324000</v>
      </c>
      <c r="AE12" s="47"/>
      <c r="AF12" s="51">
        <f>SUM(Table37[[#This Row],[MOOE (Php ''000)]:[CO (Php ''000)]])</f>
        <v>324000</v>
      </c>
      <c r="AG12" s="71" t="b">
        <f>ISBLANK(Table37[[#This Row],[PRPOPOSAL/BEDS]])</f>
        <v>0</v>
      </c>
      <c r="AH12" s="71" t="b">
        <f>ISBLANK(Table37[[#This Row],[OU]])</f>
        <v>0</v>
      </c>
      <c r="AI12" s="71" t="b">
        <f>ISBLANK(Table37[[#This Row],[SPECIFIC COMMODITY]])</f>
        <v>0</v>
      </c>
      <c r="AJ12" s="71" t="b">
        <f>ISBLANK(Table37[[#This Row],[COMMODITY PREXC SUB-PROGRAM]])</f>
        <v>0</v>
      </c>
      <c r="AK12" s="71" t="b">
        <f>ISBLANK(Table37[[#This Row],[ACTIVITY]])</f>
        <v>0</v>
      </c>
      <c r="AL12" s="71" t="b">
        <f>ISBLANK(Table37[[#This Row],[TAG-GAD]])</f>
        <v>0</v>
      </c>
      <c r="AM12" s="71" t="b">
        <f>ISBLANK(Table37[[#This Row],[MONTH]])</f>
        <v>0</v>
      </c>
      <c r="AN12" s="71" t="b">
        <f>ISBLANK(Table37[[#This Row],[MOOE (Php ''000)]])</f>
        <v>0</v>
      </c>
      <c r="AO12" s="71" t="b">
        <f>ISBLANK(Table37[[#This Row],[CO (Php ''000)]])</f>
        <v>1</v>
      </c>
    </row>
    <row r="13" spans="1:41">
      <c r="A13" s="51" t="str">
        <f>VLOOKUP(Table37[[#This Row],[OU]],OU!$A$15:$B$34,2,FALSE)</f>
        <v>RFOs</v>
      </c>
      <c r="B13" s="47" t="s">
        <v>297</v>
      </c>
      <c r="C13" s="47" t="s">
        <v>574</v>
      </c>
      <c r="D13" s="47" t="s">
        <v>578</v>
      </c>
      <c r="E13" s="51" t="str">
        <f>VLOOKUP(Table37[[#This Row],[SPECIFIC COMMODITY]],TAGS!$W$48:$X$53,2,FALSE)</f>
        <v>Corn</v>
      </c>
      <c r="F13" s="51" t="str">
        <f>VLOOKUP(Table37[[#This Row],[PREXC SUB-PROGRAM]],Table5[],2,FALSE)</f>
        <v>TECHNICAL AND SUPPORT SERVICES PROGRAM</v>
      </c>
      <c r="G13" s="51" t="str">
        <f>VLOOKUP(Table37[[#This Row],[COMMODITY PREXC SUB-PROGRAM]],TAGS!$U$54:$V$76,2,FALSE)</f>
        <v>PSS</v>
      </c>
      <c r="H13" s="47" t="s">
        <v>576</v>
      </c>
      <c r="I13" s="51" t="str">
        <f>VLOOKUP(Table37[[#This Row],[PI LEVEL 3]],'PI LEVEL'!A:C,3,FALSE)</f>
        <v>Fertilizers and other soil ammendment distributed</v>
      </c>
      <c r="J13" s="51" t="str">
        <f>VLOOKUP(Table37[[#This Row],[PI LEVEL 3]],Table53729[[Performance Indicator Level 3]:[Performance Indicator Level 1]],2,FALSE)</f>
        <v>Fertilizers distributed</v>
      </c>
      <c r="K13" s="51" t="str">
        <f>VLOOKUP(Table37[[#This Row],[ACTIVITY]],TAGS!B:P,2,FALSE)</f>
        <v>Inorganic fertilizer distributed</v>
      </c>
      <c r="L13" s="47" t="s">
        <v>36</v>
      </c>
      <c r="M13" s="51" t="str">
        <f>VLOOKUP(Table37[[#This Row],[ACTIVITY]],TAGS!$B:$P,4,FALSE)</f>
        <v>Yellow Corn Production Enhancement Project</v>
      </c>
      <c r="N13" s="51" t="str">
        <f>VLOOKUP(Table37[[#This Row],[ACTIVITY]],TAGS!$B:$P,5,FALSE)</f>
        <v>Soil Fertilization</v>
      </c>
      <c r="O13" s="51" t="str">
        <f>VLOOKUP(Table37[[#This Row],[ACTIVITY]],TAGS!$B:$P,6,FALSE)</f>
        <v>Inorganic fertilizer</v>
      </c>
      <c r="P13" s="51" t="str">
        <f>VLOOKUP(Table37[[#This Row],[ACTIVITY]],TAGS!$B:$P,7,FALSE)</f>
        <v>NO</v>
      </c>
      <c r="Q13" s="51" t="str">
        <f>VLOOKUP(Table37[[#This Row],[ACTIVITY]],TAGS!$B:$P,8,FALSE)</f>
        <v>PAP</v>
      </c>
      <c r="R13" s="51" t="str">
        <f>VLOOKUP(Table37[[#This Row],[ACTIVITY]],TAGS!$B:$P,10,FALSE)</f>
        <v>PIP</v>
      </c>
      <c r="S13" s="51" t="str">
        <f>VLOOKUP(Table37[[#This Row],[ACTIVITY]],TAGS!$B:$P,11,FALSE)</f>
        <v>PICS</v>
      </c>
      <c r="T13" s="51" t="str">
        <f>VLOOKUP(Table37[[#This Row],[ACTIVITY]],TAGS!$B:$P,12,FALSE)</f>
        <v>Consolidation</v>
      </c>
      <c r="U13" s="51" t="str">
        <f>VLOOKUP(Table37[[#This Row],[ACTIVITY]],TAGS!$B:$P,13,FALSE)</f>
        <v>1. Bayanihan Agri Cluster</v>
      </c>
      <c r="V13" s="51" t="str">
        <f>VLOOKUP(Table37[[#This Row],[ACTIVITY]],TAGS!$B:$P,14,FALSE)</f>
        <v>EXPAND AND IMPROVE AVAILABLE AGRI-FISHERY AREAS FOR INCREASED PRODUCTION</v>
      </c>
      <c r="W13" s="51" t="str">
        <f>VLOOKUP(Table37[[#This Row],[ACTIVITY]],TAGS!$B:$P,15,FALSE)</f>
        <v>Farm Inputs</v>
      </c>
      <c r="X13" s="51" t="str">
        <f>VLOOKUP(Table37[[#This Row],[PI LEVEL 3]],'PI LEVEL'!$A:$G,7,FALSE)</f>
        <v>DA-Level Output</v>
      </c>
      <c r="Y13" s="47" t="s">
        <v>577</v>
      </c>
      <c r="Z13" s="47" t="s">
        <v>329</v>
      </c>
      <c r="AA13" s="51" t="str">
        <f>VLOOKUP(Table37[[#This Row],[MONTH]],TAGS!$W$67:$Y$81,2,FALSE)</f>
        <v>1ST QTR</v>
      </c>
      <c r="AB13" s="51" t="str">
        <f>VLOOKUP(Table37[[#This Row],[MONTH]],TAGS!$W$67:$Y$81,3,FALSE)</f>
        <v>1ST SEMESTER</v>
      </c>
      <c r="AC13" s="51">
        <f>VLOOKUP(Table37[[#This Row],[MONTH]],TAGS!$W$67:$Z$81,4,FALSE)</f>
        <v>2025</v>
      </c>
      <c r="AD13" s="47">
        <v>86400</v>
      </c>
      <c r="AE13" s="47"/>
      <c r="AF13" s="51">
        <f>SUM(Table37[[#This Row],[MOOE (Php ''000)]:[CO (Php ''000)]])</f>
        <v>86400</v>
      </c>
      <c r="AG13" s="71" t="b">
        <f>ISBLANK(Table37[[#This Row],[PRPOPOSAL/BEDS]])</f>
        <v>0</v>
      </c>
      <c r="AH13" s="71" t="b">
        <f>ISBLANK(Table37[[#This Row],[OU]])</f>
        <v>0</v>
      </c>
      <c r="AI13" s="71" t="b">
        <f>ISBLANK(Table37[[#This Row],[SPECIFIC COMMODITY]])</f>
        <v>0</v>
      </c>
      <c r="AJ13" s="71" t="b">
        <f>ISBLANK(Table37[[#This Row],[COMMODITY PREXC SUB-PROGRAM]])</f>
        <v>0</v>
      </c>
      <c r="AK13" s="71" t="b">
        <f>ISBLANK(Table37[[#This Row],[ACTIVITY]])</f>
        <v>0</v>
      </c>
      <c r="AL13" s="71" t="b">
        <f>ISBLANK(Table37[[#This Row],[TAG-GAD]])</f>
        <v>0</v>
      </c>
      <c r="AM13" s="71" t="b">
        <f>ISBLANK(Table37[[#This Row],[MONTH]])</f>
        <v>0</v>
      </c>
      <c r="AN13" s="71" t="b">
        <f>ISBLANK(Table37[[#This Row],[MOOE (Php ''000)]])</f>
        <v>0</v>
      </c>
      <c r="AO13" s="71" t="b">
        <f>ISBLANK(Table37[[#This Row],[CO (Php ''000)]])</f>
        <v>1</v>
      </c>
    </row>
    <row r="14" spans="1:41">
      <c r="A14" s="51" t="str">
        <f>VLOOKUP(Table37[[#This Row],[OU]],OU!$A$15:$B$34,2,FALSE)</f>
        <v>RFOs</v>
      </c>
      <c r="B14" s="47" t="s">
        <v>297</v>
      </c>
      <c r="C14" s="47" t="s">
        <v>574</v>
      </c>
      <c r="D14" s="47" t="s">
        <v>578</v>
      </c>
      <c r="E14" s="51" t="str">
        <f>VLOOKUP(Table37[[#This Row],[SPECIFIC COMMODITY]],TAGS!$W$48:$X$53,2,FALSE)</f>
        <v>Corn</v>
      </c>
      <c r="F14" s="51" t="str">
        <f>VLOOKUP(Table37[[#This Row],[PREXC SUB-PROGRAM]],Table5[],2,FALSE)</f>
        <v>TECHNICAL AND SUPPORT SERVICES PROGRAM</v>
      </c>
      <c r="G14" s="51" t="str">
        <f>VLOOKUP(Table37[[#This Row],[COMMODITY PREXC SUB-PROGRAM]],TAGS!$U$54:$V$76,2,FALSE)</f>
        <v>PSS</v>
      </c>
      <c r="H14" s="47" t="s">
        <v>576</v>
      </c>
      <c r="I14" s="51" t="str">
        <f>VLOOKUP(Table37[[#This Row],[PI LEVEL 3]],'PI LEVEL'!A:C,3,FALSE)</f>
        <v>Fertilizers and other soil ammendment distributed</v>
      </c>
      <c r="J14" s="51" t="str">
        <f>VLOOKUP(Table37[[#This Row],[PI LEVEL 3]],Table53729[[Performance Indicator Level 3]:[Performance Indicator Level 1]],2,FALSE)</f>
        <v>Fertilizers distributed</v>
      </c>
      <c r="K14" s="51" t="str">
        <f>VLOOKUP(Table37[[#This Row],[ACTIVITY]],TAGS!B:P,2,FALSE)</f>
        <v>Inorganic fertilizer distributed</v>
      </c>
      <c r="L14" s="47" t="s">
        <v>36</v>
      </c>
      <c r="M14" s="51" t="str">
        <f>VLOOKUP(Table37[[#This Row],[ACTIVITY]],TAGS!$B:$P,4,FALSE)</f>
        <v>Yellow Corn Production Enhancement Project</v>
      </c>
      <c r="N14" s="51" t="str">
        <f>VLOOKUP(Table37[[#This Row],[ACTIVITY]],TAGS!$B:$P,5,FALSE)</f>
        <v>Soil Fertilization</v>
      </c>
      <c r="O14" s="51" t="str">
        <f>VLOOKUP(Table37[[#This Row],[ACTIVITY]],TAGS!$B:$P,6,FALSE)</f>
        <v>Inorganic fertilizer</v>
      </c>
      <c r="P14" s="51" t="str">
        <f>VLOOKUP(Table37[[#This Row],[ACTIVITY]],TAGS!$B:$P,7,FALSE)</f>
        <v>NO</v>
      </c>
      <c r="Q14" s="51" t="str">
        <f>VLOOKUP(Table37[[#This Row],[ACTIVITY]],TAGS!$B:$P,8,FALSE)</f>
        <v>PAP</v>
      </c>
      <c r="R14" s="51" t="str">
        <f>VLOOKUP(Table37[[#This Row],[ACTIVITY]],TAGS!$B:$P,10,FALSE)</f>
        <v>PIP</v>
      </c>
      <c r="S14" s="51" t="str">
        <f>VLOOKUP(Table37[[#This Row],[ACTIVITY]],TAGS!$B:$P,11,FALSE)</f>
        <v>PICS</v>
      </c>
      <c r="T14" s="51" t="str">
        <f>VLOOKUP(Table37[[#This Row],[ACTIVITY]],TAGS!$B:$P,12,FALSE)</f>
        <v>Consolidation</v>
      </c>
      <c r="U14" s="51" t="str">
        <f>VLOOKUP(Table37[[#This Row],[ACTIVITY]],TAGS!$B:$P,13,FALSE)</f>
        <v>1. Bayanihan Agri Cluster</v>
      </c>
      <c r="V14" s="51" t="str">
        <f>VLOOKUP(Table37[[#This Row],[ACTIVITY]],TAGS!$B:$P,14,FALSE)</f>
        <v>EXPAND AND IMPROVE AVAILABLE AGRI-FISHERY AREAS FOR INCREASED PRODUCTION</v>
      </c>
      <c r="W14" s="51" t="str">
        <f>VLOOKUP(Table37[[#This Row],[ACTIVITY]],TAGS!$B:$P,15,FALSE)</f>
        <v>Farm Inputs</v>
      </c>
      <c r="X14" s="51" t="str">
        <f>VLOOKUP(Table37[[#This Row],[PI LEVEL 3]],'PI LEVEL'!$A:$G,7,FALSE)</f>
        <v>DA-Level Output</v>
      </c>
      <c r="Y14" s="47" t="s">
        <v>577</v>
      </c>
      <c r="Z14" s="47" t="s">
        <v>333</v>
      </c>
      <c r="AA14" s="51" t="str">
        <f>VLOOKUP(Table37[[#This Row],[MONTH]],TAGS!$W$67:$Y$81,2,FALSE)</f>
        <v>3RD QTR</v>
      </c>
      <c r="AB14" s="51" t="str">
        <f>VLOOKUP(Table37[[#This Row],[MONTH]],TAGS!$W$67:$Y$81,3,FALSE)</f>
        <v>2ND SEMESTER</v>
      </c>
      <c r="AC14" s="51">
        <f>VLOOKUP(Table37[[#This Row],[MONTH]],TAGS!$W$67:$Z$81,4,FALSE)</f>
        <v>2025</v>
      </c>
      <c r="AD14" s="47">
        <v>35100</v>
      </c>
      <c r="AE14" s="47"/>
      <c r="AF14" s="51">
        <f>SUM(Table37[[#This Row],[MOOE (Php ''000)]:[CO (Php ''000)]])</f>
        <v>35100</v>
      </c>
      <c r="AG14" s="71" t="b">
        <f>ISBLANK(Table37[[#This Row],[PRPOPOSAL/BEDS]])</f>
        <v>0</v>
      </c>
      <c r="AH14" s="71" t="b">
        <f>ISBLANK(Table37[[#This Row],[OU]])</f>
        <v>0</v>
      </c>
      <c r="AI14" s="71" t="b">
        <f>ISBLANK(Table37[[#This Row],[SPECIFIC COMMODITY]])</f>
        <v>0</v>
      </c>
      <c r="AJ14" s="71" t="b">
        <f>ISBLANK(Table37[[#This Row],[COMMODITY PREXC SUB-PROGRAM]])</f>
        <v>0</v>
      </c>
      <c r="AK14" s="71" t="b">
        <f>ISBLANK(Table37[[#This Row],[ACTIVITY]])</f>
        <v>0</v>
      </c>
      <c r="AL14" s="71" t="b">
        <f>ISBLANK(Table37[[#This Row],[TAG-GAD]])</f>
        <v>0</v>
      </c>
      <c r="AM14" s="71" t="b">
        <f>ISBLANK(Table37[[#This Row],[MONTH]])</f>
        <v>0</v>
      </c>
      <c r="AN14" s="71" t="b">
        <f>ISBLANK(Table37[[#This Row],[MOOE (Php ''000)]])</f>
        <v>0</v>
      </c>
      <c r="AO14" s="71" t="b">
        <f>ISBLANK(Table37[[#This Row],[CO (Php ''000)]])</f>
        <v>1</v>
      </c>
    </row>
    <row r="15" spans="1:41">
      <c r="A15" s="51" t="str">
        <f>VLOOKUP(Table37[[#This Row],[OU]],OU!$A$15:$B$34,2,FALSE)</f>
        <v>RFOs</v>
      </c>
      <c r="B15" s="47" t="s">
        <v>297</v>
      </c>
      <c r="C15" s="47" t="s">
        <v>574</v>
      </c>
      <c r="D15" s="47" t="s">
        <v>578</v>
      </c>
      <c r="E15" s="51" t="str">
        <f>VLOOKUP(Table37[[#This Row],[SPECIFIC COMMODITY]],TAGS!$W$48:$X$53,2,FALSE)</f>
        <v>Corn</v>
      </c>
      <c r="F15" s="51" t="str">
        <f>VLOOKUP(Table37[[#This Row],[PREXC SUB-PROGRAM]],Table5[],2,FALSE)</f>
        <v>TECHNICAL AND SUPPORT SERVICES PROGRAM</v>
      </c>
      <c r="G15" s="51" t="str">
        <f>VLOOKUP(Table37[[#This Row],[COMMODITY PREXC SUB-PROGRAM]],TAGS!$U$54:$V$76,2,FALSE)</f>
        <v>PSS</v>
      </c>
      <c r="H15" s="47" t="s">
        <v>576</v>
      </c>
      <c r="I15" s="51" t="str">
        <f>VLOOKUP(Table37[[#This Row],[PI LEVEL 3]],'PI LEVEL'!A:C,3,FALSE)</f>
        <v>Seeds reserved</v>
      </c>
      <c r="J15" s="51" t="str">
        <f>VLOOKUP(Table37[[#This Row],[PI LEVEL 3]],Table53729[[Performance Indicator Level 3]:[Performance Indicator Level 1]],2,FALSE)</f>
        <v>Corn Seeds reserved</v>
      </c>
      <c r="K15" s="51" t="str">
        <f>VLOOKUP(Table37[[#This Row],[ACTIVITY]],TAGS!B:P,2,FALSE)</f>
        <v>Yellow Corn Seeds reserved</v>
      </c>
      <c r="L15" s="47" t="s">
        <v>82</v>
      </c>
      <c r="M15" s="51" t="str">
        <f>VLOOKUP(Table37[[#This Row],[ACTIVITY]],TAGS!$B:$P,4,FALSE)</f>
        <v>Corn Seed Reserve</v>
      </c>
      <c r="N15" s="51" t="str">
        <f>VLOOKUP(Table37[[#This Row],[ACTIVITY]],TAGS!$B:$P,5,FALSE)</f>
        <v>Corn Seed Reserve</v>
      </c>
      <c r="O15" s="51" t="str">
        <f>VLOOKUP(Table37[[#This Row],[ACTIVITY]],TAGS!$B:$P,6,FALSE)</f>
        <v>Yellow corn seeds reserve</v>
      </c>
      <c r="P15" s="51" t="str">
        <f>VLOOKUP(Table37[[#This Row],[ACTIVITY]],TAGS!$B:$P,7,FALSE)</f>
        <v>YES</v>
      </c>
      <c r="Q15" s="51" t="str">
        <f>VLOOKUP(Table37[[#This Row],[ACTIVITY]],TAGS!$B:$P,8,FALSE)</f>
        <v>PAP</v>
      </c>
      <c r="R15" s="51" t="str">
        <f>VLOOKUP(Table37[[#This Row],[ACTIVITY]],TAGS!$B:$P,10,FALSE)</f>
        <v>PIP</v>
      </c>
      <c r="S15" s="51" t="str">
        <f>VLOOKUP(Table37[[#This Row],[ACTIVITY]],TAGS!$B:$P,11,FALSE)</f>
        <v>PICS</v>
      </c>
      <c r="T15" s="51" t="str">
        <f>VLOOKUP(Table37[[#This Row],[ACTIVITY]],TAGS!$B:$P,12,FALSE)</f>
        <v>Modernization</v>
      </c>
      <c r="U15" s="51" t="str">
        <f>VLOOKUP(Table37[[#This Row],[ACTIVITY]],TAGS!$B:$P,13,FALSE)</f>
        <v>9. Climate Change Adaptation &amp; Mitigation Measures</v>
      </c>
      <c r="V15" s="51" t="str">
        <f>VLOOKUP(Table37[[#This Row],[ACTIVITY]],TAGS!$B:$P,14,FALSE)</f>
        <v>EXPAND AND IMPROVE AVAILABLE AGRI-FISHERY AREAS FOR INCREASED PRODUCTION</v>
      </c>
      <c r="W15" s="51" t="str">
        <f>VLOOKUP(Table37[[#This Row],[ACTIVITY]],TAGS!$B:$P,15,FALSE)</f>
        <v>Seed Reserve</v>
      </c>
      <c r="X15" s="51" t="str">
        <f>VLOOKUP(Table37[[#This Row],[PI LEVEL 3]],'PI LEVEL'!$A:$G,7,FALSE)</f>
        <v>DA-Level Output</v>
      </c>
      <c r="Y15" s="47" t="s">
        <v>577</v>
      </c>
      <c r="Z15" s="47" t="s">
        <v>329</v>
      </c>
      <c r="AA15" s="51" t="str">
        <f>VLOOKUP(Table37[[#This Row],[MONTH]],TAGS!$W$67:$Y$81,2,FALSE)</f>
        <v>1ST QTR</v>
      </c>
      <c r="AB15" s="51" t="str">
        <f>VLOOKUP(Table37[[#This Row],[MONTH]],TAGS!$W$67:$Y$81,3,FALSE)</f>
        <v>1ST SEMESTER</v>
      </c>
      <c r="AC15" s="51">
        <f>VLOOKUP(Table37[[#This Row],[MONTH]],TAGS!$W$67:$Z$81,4,FALSE)</f>
        <v>2025</v>
      </c>
      <c r="AD15" s="47">
        <v>300</v>
      </c>
      <c r="AE15" s="47"/>
      <c r="AF15" s="51">
        <f>SUM(Table37[[#This Row],[MOOE (Php ''000)]:[CO (Php ''000)]])</f>
        <v>300</v>
      </c>
      <c r="AG15" s="71" t="b">
        <f>ISBLANK(Table37[[#This Row],[PRPOPOSAL/BEDS]])</f>
        <v>0</v>
      </c>
      <c r="AH15" s="71" t="b">
        <f>ISBLANK(Table37[[#This Row],[OU]])</f>
        <v>0</v>
      </c>
      <c r="AI15" s="71" t="b">
        <f>ISBLANK(Table37[[#This Row],[SPECIFIC COMMODITY]])</f>
        <v>0</v>
      </c>
      <c r="AJ15" s="71" t="b">
        <f>ISBLANK(Table37[[#This Row],[COMMODITY PREXC SUB-PROGRAM]])</f>
        <v>0</v>
      </c>
      <c r="AK15" s="71" t="b">
        <f>ISBLANK(Table37[[#This Row],[ACTIVITY]])</f>
        <v>0</v>
      </c>
      <c r="AL15" s="71" t="b">
        <f>ISBLANK(Table37[[#This Row],[TAG-GAD]])</f>
        <v>0</v>
      </c>
      <c r="AM15" s="71" t="b">
        <f>ISBLANK(Table37[[#This Row],[MONTH]])</f>
        <v>0</v>
      </c>
      <c r="AN15" s="71" t="b">
        <f>ISBLANK(Table37[[#This Row],[MOOE (Php ''000)]])</f>
        <v>0</v>
      </c>
      <c r="AO15" s="71" t="b">
        <f>ISBLANK(Table37[[#This Row],[CO (Php ''000)]])</f>
        <v>1</v>
      </c>
    </row>
    <row r="16" spans="1:41">
      <c r="A16" s="51" t="str">
        <f>VLOOKUP(Table37[[#This Row],[OU]],OU!$A$15:$B$34,2,FALSE)</f>
        <v>RFOs</v>
      </c>
      <c r="B16" s="47" t="s">
        <v>297</v>
      </c>
      <c r="C16" s="47" t="s">
        <v>574</v>
      </c>
      <c r="D16" s="47" t="s">
        <v>578</v>
      </c>
      <c r="E16" s="51" t="str">
        <f>VLOOKUP(Table37[[#This Row],[SPECIFIC COMMODITY]],TAGS!$W$48:$X$53,2,FALSE)</f>
        <v>Corn</v>
      </c>
      <c r="F16" s="51" t="str">
        <f>VLOOKUP(Table37[[#This Row],[PREXC SUB-PROGRAM]],Table5[],2,FALSE)</f>
        <v>TECHNICAL AND SUPPORT SERVICES PROGRAM</v>
      </c>
      <c r="G16" s="51" t="str">
        <f>VLOOKUP(Table37[[#This Row],[COMMODITY PREXC SUB-PROGRAM]],TAGS!$U$54:$V$76,2,FALSE)</f>
        <v>PSS</v>
      </c>
      <c r="H16" s="47" t="s">
        <v>576</v>
      </c>
      <c r="I16" s="51" t="str">
        <f>VLOOKUP(Table37[[#This Row],[PI LEVEL 3]],'PI LEVEL'!A:C,3,FALSE)</f>
        <v>Seeds reserved</v>
      </c>
      <c r="J16" s="51" t="str">
        <f>VLOOKUP(Table37[[#This Row],[PI LEVEL 3]],Table53729[[Performance Indicator Level 3]:[Performance Indicator Level 1]],2,FALSE)</f>
        <v>Corn Seeds reserved</v>
      </c>
      <c r="K16" s="51" t="str">
        <f>VLOOKUP(Table37[[#This Row],[ACTIVITY]],TAGS!B:P,2,FALSE)</f>
        <v>Yellow Corn Seeds reserved</v>
      </c>
      <c r="L16" s="47" t="s">
        <v>84</v>
      </c>
      <c r="M16" s="51" t="str">
        <f>VLOOKUP(Table37[[#This Row],[ACTIVITY]],TAGS!$B:$P,4,FALSE)</f>
        <v>Corn Seed Reserve</v>
      </c>
      <c r="N16" s="51" t="str">
        <f>VLOOKUP(Table37[[#This Row],[ACTIVITY]],TAGS!$B:$P,5,FALSE)</f>
        <v>Corn Seed Reserve</v>
      </c>
      <c r="O16" s="51" t="str">
        <f>VLOOKUP(Table37[[#This Row],[ACTIVITY]],TAGS!$B:$P,6,FALSE)</f>
        <v>Yellow corn seeds reserve</v>
      </c>
      <c r="P16" s="51" t="str">
        <f>VLOOKUP(Table37[[#This Row],[ACTIVITY]],TAGS!$B:$P,7,FALSE)</f>
        <v>YES</v>
      </c>
      <c r="Q16" s="51" t="str">
        <f>VLOOKUP(Table37[[#This Row],[ACTIVITY]],TAGS!$B:$P,8,FALSE)</f>
        <v>PAP</v>
      </c>
      <c r="R16" s="51" t="str">
        <f>VLOOKUP(Table37[[#This Row],[ACTIVITY]],TAGS!$B:$P,10,FALSE)</f>
        <v>PIP</v>
      </c>
      <c r="S16" s="51" t="str">
        <f>VLOOKUP(Table37[[#This Row],[ACTIVITY]],TAGS!$B:$P,11,FALSE)</f>
        <v>PICS</v>
      </c>
      <c r="T16" s="51" t="str">
        <f>VLOOKUP(Table37[[#This Row],[ACTIVITY]],TAGS!$B:$P,12,FALSE)</f>
        <v>Modernization</v>
      </c>
      <c r="U16" s="51" t="str">
        <f>VLOOKUP(Table37[[#This Row],[ACTIVITY]],TAGS!$B:$P,13,FALSE)</f>
        <v>9. Climate Change Adaptation &amp; Mitigation Measures</v>
      </c>
      <c r="V16" s="51" t="str">
        <f>VLOOKUP(Table37[[#This Row],[ACTIVITY]],TAGS!$B:$P,14,FALSE)</f>
        <v>EXPAND AND IMPROVE AVAILABLE AGRI-FISHERY AREAS FOR INCREASED PRODUCTION</v>
      </c>
      <c r="W16" s="51" t="str">
        <f>VLOOKUP(Table37[[#This Row],[ACTIVITY]],TAGS!$B:$P,15,FALSE)</f>
        <v>Seed Reserve</v>
      </c>
      <c r="X16" s="51" t="str">
        <f>VLOOKUP(Table37[[#This Row],[PI LEVEL 3]],'PI LEVEL'!$A:$G,7,FALSE)</f>
        <v>DA-Level Output</v>
      </c>
      <c r="Y16" s="47" t="s">
        <v>577</v>
      </c>
      <c r="Z16" s="47" t="s">
        <v>330</v>
      </c>
      <c r="AA16" s="51" t="str">
        <f>VLOOKUP(Table37[[#This Row],[MONTH]],TAGS!$W$67:$Y$81,2,FALSE)</f>
        <v>2ND QTR</v>
      </c>
      <c r="AB16" s="51" t="str">
        <f>VLOOKUP(Table37[[#This Row],[MONTH]],TAGS!$W$67:$Y$81,3,FALSE)</f>
        <v>1ST SEMESTER</v>
      </c>
      <c r="AC16" s="51">
        <f>VLOOKUP(Table37[[#This Row],[MONTH]],TAGS!$W$67:$Z$81,4,FALSE)</f>
        <v>2025</v>
      </c>
      <c r="AD16" s="47">
        <v>250596</v>
      </c>
      <c r="AE16" s="47"/>
      <c r="AF16" s="51">
        <f>SUM(Table37[[#This Row],[MOOE (Php ''000)]:[CO (Php ''000)]])</f>
        <v>250596</v>
      </c>
      <c r="AG16" s="71" t="b">
        <f>ISBLANK(Table37[[#This Row],[PRPOPOSAL/BEDS]])</f>
        <v>0</v>
      </c>
      <c r="AH16" s="71" t="b">
        <f>ISBLANK(Table37[[#This Row],[OU]])</f>
        <v>0</v>
      </c>
      <c r="AI16" s="71" t="b">
        <f>ISBLANK(Table37[[#This Row],[SPECIFIC COMMODITY]])</f>
        <v>0</v>
      </c>
      <c r="AJ16" s="71" t="b">
        <f>ISBLANK(Table37[[#This Row],[COMMODITY PREXC SUB-PROGRAM]])</f>
        <v>0</v>
      </c>
      <c r="AK16" s="71" t="b">
        <f>ISBLANK(Table37[[#This Row],[ACTIVITY]])</f>
        <v>0</v>
      </c>
      <c r="AL16" s="71" t="b">
        <f>ISBLANK(Table37[[#This Row],[TAG-GAD]])</f>
        <v>0</v>
      </c>
      <c r="AM16" s="71" t="b">
        <f>ISBLANK(Table37[[#This Row],[MONTH]])</f>
        <v>0</v>
      </c>
      <c r="AN16" s="71" t="b">
        <f>ISBLANK(Table37[[#This Row],[MOOE (Php ''000)]])</f>
        <v>0</v>
      </c>
      <c r="AO16" s="71" t="b">
        <f>ISBLANK(Table37[[#This Row],[CO (Php ''000)]])</f>
        <v>1</v>
      </c>
    </row>
    <row r="17" spans="1:41">
      <c r="A17" s="51" t="str">
        <f>VLOOKUP(Table37[[#This Row],[OU]],OU!$A$15:$B$34,2,FALSE)</f>
        <v>RFOs</v>
      </c>
      <c r="B17" s="47" t="s">
        <v>297</v>
      </c>
      <c r="C17" s="47" t="s">
        <v>574</v>
      </c>
      <c r="D17" s="47" t="s">
        <v>578</v>
      </c>
      <c r="E17" s="51" t="str">
        <f>VLOOKUP(Table37[[#This Row],[SPECIFIC COMMODITY]],TAGS!$W$48:$X$53,2,FALSE)</f>
        <v>Corn</v>
      </c>
      <c r="F17" s="51" t="str">
        <f>VLOOKUP(Table37[[#This Row],[PREXC SUB-PROGRAM]],Table5[],2,FALSE)</f>
        <v>TECHNICAL AND SUPPORT SERVICES PROGRAM</v>
      </c>
      <c r="G17" s="51" t="str">
        <f>VLOOKUP(Table37[[#This Row],[COMMODITY PREXC SUB-PROGRAM]],TAGS!$U$54:$V$76,2,FALSE)</f>
        <v>PSS</v>
      </c>
      <c r="H17" s="47" t="s">
        <v>576</v>
      </c>
      <c r="I17" s="51" t="str">
        <f>VLOOKUP(Table37[[#This Row],[PI LEVEL 3]],'PI LEVEL'!A:C,3,FALSE)</f>
        <v>Agri-chemicals reserved</v>
      </c>
      <c r="J17" s="51" t="str">
        <f>VLOOKUP(Table37[[#This Row],[PI LEVEL 3]],Table53729[[Performance Indicator Level 3]:[Performance Indicator Level 1]],2,FALSE)</f>
        <v>Agri-chemicals reserved</v>
      </c>
      <c r="K17" s="51" t="str">
        <f>VLOOKUP(Table37[[#This Row],[ACTIVITY]],TAGS!B:P,2,FALSE)</f>
        <v>Agri-chemicals reserved (liter)</v>
      </c>
      <c r="L17" s="47" t="s">
        <v>86</v>
      </c>
      <c r="M17" s="51" t="str">
        <f>VLOOKUP(Table37[[#This Row],[ACTIVITY]],TAGS!$B:$P,4,FALSE)</f>
        <v>Pest and Disease Management</v>
      </c>
      <c r="N17" s="51" t="str">
        <f>VLOOKUP(Table37[[#This Row],[ACTIVITY]],TAGS!$B:$P,5,FALSE)</f>
        <v>Agricultural Chemicals</v>
      </c>
      <c r="O17" s="51" t="str">
        <f>VLOOKUP(Table37[[#This Row],[ACTIVITY]],TAGS!$B:$P,6,FALSE)</f>
        <v>Insecticide (liquid)</v>
      </c>
      <c r="P17" s="51" t="str">
        <f>VLOOKUP(Table37[[#This Row],[ACTIVITY]],TAGS!$B:$P,7,FALSE)</f>
        <v>NO</v>
      </c>
      <c r="Q17" s="51" t="str">
        <f>VLOOKUP(Table37[[#This Row],[ACTIVITY]],TAGS!$B:$P,8,FALSE)</f>
        <v>PAP</v>
      </c>
      <c r="R17" s="51" t="str">
        <f>VLOOKUP(Table37[[#This Row],[ACTIVITY]],TAGS!$B:$P,10,FALSE)</f>
        <v>PIP</v>
      </c>
      <c r="S17" s="51" t="str">
        <f>VLOOKUP(Table37[[#This Row],[ACTIVITY]],TAGS!$B:$P,11,FALSE)</f>
        <v>PICS</v>
      </c>
      <c r="T17" s="51" t="str">
        <f>VLOOKUP(Table37[[#This Row],[ACTIVITY]],TAGS!$B:$P,12,FALSE)</f>
        <v>Modernization</v>
      </c>
      <c r="U17" s="51" t="str">
        <f>VLOOKUP(Table37[[#This Row],[ACTIVITY]],TAGS!$B:$P,13,FALSE)</f>
        <v>9. Climate Change Adaptation &amp; Mitigation Measures</v>
      </c>
      <c r="V17" s="51" t="str">
        <f>VLOOKUP(Table37[[#This Row],[ACTIVITY]],TAGS!$B:$P,14,FALSE)</f>
        <v>EXPAND AND IMPROVE AVAILABLE AGRI-FISHERY AREAS FOR INCREASED PRODUCTION</v>
      </c>
      <c r="W17" s="51" t="str">
        <f>VLOOKUP(Table37[[#This Row],[ACTIVITY]],TAGS!$B:$P,15,FALSE)</f>
        <v>Agrichemicals</v>
      </c>
      <c r="X17" s="51" t="str">
        <f>VLOOKUP(Table37[[#This Row],[PI LEVEL 3]],'PI LEVEL'!$A:$G,7,FALSE)</f>
        <v>DA-Level Output</v>
      </c>
      <c r="Y17" s="47" t="s">
        <v>577</v>
      </c>
      <c r="Z17" s="47" t="s">
        <v>329</v>
      </c>
      <c r="AA17" s="51" t="str">
        <f>VLOOKUP(Table37[[#This Row],[MONTH]],TAGS!$W$67:$Y$81,2,FALSE)</f>
        <v>1ST QTR</v>
      </c>
      <c r="AB17" s="51" t="str">
        <f>VLOOKUP(Table37[[#This Row],[MONTH]],TAGS!$W$67:$Y$81,3,FALSE)</f>
        <v>1ST SEMESTER</v>
      </c>
      <c r="AC17" s="51">
        <f>VLOOKUP(Table37[[#This Row],[MONTH]],TAGS!$W$67:$Z$81,4,FALSE)</f>
        <v>2025</v>
      </c>
      <c r="AD17" s="47">
        <v>6000</v>
      </c>
      <c r="AE17" s="47"/>
      <c r="AF17" s="51">
        <f>SUM(Table37[[#This Row],[MOOE (Php ''000)]:[CO (Php ''000)]])</f>
        <v>6000</v>
      </c>
      <c r="AG17" s="71" t="b">
        <f>ISBLANK(Table37[[#This Row],[PRPOPOSAL/BEDS]])</f>
        <v>0</v>
      </c>
      <c r="AH17" s="71" t="b">
        <f>ISBLANK(Table37[[#This Row],[OU]])</f>
        <v>0</v>
      </c>
      <c r="AI17" s="71" t="b">
        <f>ISBLANK(Table37[[#This Row],[SPECIFIC COMMODITY]])</f>
        <v>0</v>
      </c>
      <c r="AJ17" s="71" t="b">
        <f>ISBLANK(Table37[[#This Row],[COMMODITY PREXC SUB-PROGRAM]])</f>
        <v>0</v>
      </c>
      <c r="AK17" s="71" t="b">
        <f>ISBLANK(Table37[[#This Row],[ACTIVITY]])</f>
        <v>0</v>
      </c>
      <c r="AL17" s="71" t="b">
        <f>ISBLANK(Table37[[#This Row],[TAG-GAD]])</f>
        <v>0</v>
      </c>
      <c r="AM17" s="71" t="b">
        <f>ISBLANK(Table37[[#This Row],[MONTH]])</f>
        <v>0</v>
      </c>
      <c r="AN17" s="71" t="b">
        <f>ISBLANK(Table37[[#This Row],[MOOE (Php ''000)]])</f>
        <v>0</v>
      </c>
      <c r="AO17" s="71" t="b">
        <f>ISBLANK(Table37[[#This Row],[CO (Php ''000)]])</f>
        <v>1</v>
      </c>
    </row>
    <row r="18" spans="1:41">
      <c r="A18" s="51" t="str">
        <f>VLOOKUP(Table37[[#This Row],[OU]],OU!$A$15:$B$34,2,FALSE)</f>
        <v>RFOs</v>
      </c>
      <c r="B18" s="47" t="s">
        <v>297</v>
      </c>
      <c r="C18" s="47" t="s">
        <v>574</v>
      </c>
      <c r="D18" s="47" t="s">
        <v>578</v>
      </c>
      <c r="E18" s="51" t="str">
        <f>VLOOKUP(Table37[[#This Row],[SPECIFIC COMMODITY]],TAGS!$W$48:$X$53,2,FALSE)</f>
        <v>Corn</v>
      </c>
      <c r="F18" s="51" t="str">
        <f>VLOOKUP(Table37[[#This Row],[PREXC SUB-PROGRAM]],Table5[],2,FALSE)</f>
        <v>TECHNICAL AND SUPPORT SERVICES PROGRAM</v>
      </c>
      <c r="G18" s="51" t="str">
        <f>VLOOKUP(Table37[[#This Row],[COMMODITY PREXC SUB-PROGRAM]],TAGS!$U$54:$V$76,2,FALSE)</f>
        <v>PSS</v>
      </c>
      <c r="H18" s="47" t="s">
        <v>576</v>
      </c>
      <c r="I18" s="51" t="str">
        <f>VLOOKUP(Table37[[#This Row],[PI LEVEL 3]],'PI LEVEL'!A:C,3,FALSE)</f>
        <v>Agri-chemicals reserved</v>
      </c>
      <c r="J18" s="51" t="str">
        <f>VLOOKUP(Table37[[#This Row],[PI LEVEL 3]],Table53729[[Performance Indicator Level 3]:[Performance Indicator Level 1]],2,FALSE)</f>
        <v>Agri-chemicals reserved</v>
      </c>
      <c r="K18" s="51" t="str">
        <f>VLOOKUP(Table37[[#This Row],[ACTIVITY]],TAGS!B:P,2,FALSE)</f>
        <v>Agri-chemicals reserved (kg)</v>
      </c>
      <c r="L18" s="47" t="s">
        <v>88</v>
      </c>
      <c r="M18" s="51" t="str">
        <f>VLOOKUP(Table37[[#This Row],[ACTIVITY]],TAGS!$B:$P,4,FALSE)</f>
        <v>Pest and Disease Management</v>
      </c>
      <c r="N18" s="51" t="str">
        <f>VLOOKUP(Table37[[#This Row],[ACTIVITY]],TAGS!$B:$P,5,FALSE)</f>
        <v>Agricultural Chemicals</v>
      </c>
      <c r="O18" s="51" t="str">
        <f>VLOOKUP(Table37[[#This Row],[ACTIVITY]],TAGS!$B:$P,6,FALSE)</f>
        <v>Rodenticides</v>
      </c>
      <c r="P18" s="51" t="str">
        <f>VLOOKUP(Table37[[#This Row],[ACTIVITY]],TAGS!$B:$P,7,FALSE)</f>
        <v>NO</v>
      </c>
      <c r="Q18" s="51" t="str">
        <f>VLOOKUP(Table37[[#This Row],[ACTIVITY]],TAGS!$B:$P,8,FALSE)</f>
        <v>PAP</v>
      </c>
      <c r="R18" s="51" t="str">
        <f>VLOOKUP(Table37[[#This Row],[ACTIVITY]],TAGS!$B:$P,10,FALSE)</f>
        <v>PIP</v>
      </c>
      <c r="S18" s="51" t="str">
        <f>VLOOKUP(Table37[[#This Row],[ACTIVITY]],TAGS!$B:$P,11,FALSE)</f>
        <v>PICS</v>
      </c>
      <c r="T18" s="51" t="str">
        <f>VLOOKUP(Table37[[#This Row],[ACTIVITY]],TAGS!$B:$P,12,FALSE)</f>
        <v>Modernization</v>
      </c>
      <c r="U18" s="51" t="str">
        <f>VLOOKUP(Table37[[#This Row],[ACTIVITY]],TAGS!$B:$P,13,FALSE)</f>
        <v>9. Climate Change Adaptation &amp; Mitigation Measures</v>
      </c>
      <c r="V18" s="51" t="str">
        <f>VLOOKUP(Table37[[#This Row],[ACTIVITY]],TAGS!$B:$P,14,FALSE)</f>
        <v>EXPAND AND IMPROVE AVAILABLE AGRI-FISHERY AREAS FOR INCREASED PRODUCTION</v>
      </c>
      <c r="W18" s="51" t="str">
        <f>VLOOKUP(Table37[[#This Row],[ACTIVITY]],TAGS!$B:$P,15,FALSE)</f>
        <v>Agrichemicals</v>
      </c>
      <c r="X18" s="51" t="str">
        <f>VLOOKUP(Table37[[#This Row],[PI LEVEL 3]],'PI LEVEL'!$A:$G,7,FALSE)</f>
        <v>DA-Level Output</v>
      </c>
      <c r="Y18" s="47" t="s">
        <v>577</v>
      </c>
      <c r="Z18" s="47" t="s">
        <v>329</v>
      </c>
      <c r="AA18" s="51" t="str">
        <f>VLOOKUP(Table37[[#This Row],[MONTH]],TAGS!$W$67:$Y$81,2,FALSE)</f>
        <v>1ST QTR</v>
      </c>
      <c r="AB18" s="51" t="str">
        <f>VLOOKUP(Table37[[#This Row],[MONTH]],TAGS!$W$67:$Y$81,3,FALSE)</f>
        <v>1ST SEMESTER</v>
      </c>
      <c r="AC18" s="51">
        <f>VLOOKUP(Table37[[#This Row],[MONTH]],TAGS!$W$67:$Z$81,4,FALSE)</f>
        <v>2025</v>
      </c>
      <c r="AD18" s="47">
        <v>1500</v>
      </c>
      <c r="AE18" s="47"/>
      <c r="AF18" s="51">
        <f>SUM(Table37[[#This Row],[MOOE (Php ''000)]:[CO (Php ''000)]])</f>
        <v>1500</v>
      </c>
      <c r="AG18" s="71" t="b">
        <f>ISBLANK(Table37[[#This Row],[PRPOPOSAL/BEDS]])</f>
        <v>0</v>
      </c>
      <c r="AH18" s="71" t="b">
        <f>ISBLANK(Table37[[#This Row],[OU]])</f>
        <v>0</v>
      </c>
      <c r="AI18" s="71" t="b">
        <f>ISBLANK(Table37[[#This Row],[SPECIFIC COMMODITY]])</f>
        <v>0</v>
      </c>
      <c r="AJ18" s="71" t="b">
        <f>ISBLANK(Table37[[#This Row],[COMMODITY PREXC SUB-PROGRAM]])</f>
        <v>0</v>
      </c>
      <c r="AK18" s="71" t="b">
        <f>ISBLANK(Table37[[#This Row],[ACTIVITY]])</f>
        <v>0</v>
      </c>
      <c r="AL18" s="71" t="b">
        <f>ISBLANK(Table37[[#This Row],[TAG-GAD]])</f>
        <v>0</v>
      </c>
      <c r="AM18" s="71" t="b">
        <f>ISBLANK(Table37[[#This Row],[MONTH]])</f>
        <v>0</v>
      </c>
      <c r="AN18" s="71" t="b">
        <f>ISBLANK(Table37[[#This Row],[MOOE (Php ''000)]])</f>
        <v>0</v>
      </c>
      <c r="AO18" s="71" t="b">
        <f>ISBLANK(Table37[[#This Row],[CO (Php ''000)]])</f>
        <v>1</v>
      </c>
    </row>
    <row r="19" spans="1:41">
      <c r="A19" s="51" t="str">
        <f>VLOOKUP(Table37[[#This Row],[OU]],OU!$A$15:$B$34,2,FALSE)</f>
        <v>RFOs</v>
      </c>
      <c r="B19" s="47" t="s">
        <v>297</v>
      </c>
      <c r="C19" s="47" t="s">
        <v>574</v>
      </c>
      <c r="D19" s="47" t="s">
        <v>578</v>
      </c>
      <c r="E19" s="51" t="str">
        <f>VLOOKUP(Table37[[#This Row],[SPECIFIC COMMODITY]],TAGS!$W$48:$X$53,2,FALSE)</f>
        <v>Corn</v>
      </c>
      <c r="F19" s="51" t="str">
        <f>VLOOKUP(Table37[[#This Row],[PREXC SUB-PROGRAM]],Table5[],2,FALSE)</f>
        <v>TECHNICAL AND SUPPORT SERVICES PROGRAM</v>
      </c>
      <c r="G19" s="51" t="str">
        <f>VLOOKUP(Table37[[#This Row],[COMMODITY PREXC SUB-PROGRAM]],TAGS!$U$54:$V$76,2,FALSE)</f>
        <v>PSS</v>
      </c>
      <c r="H19" s="47" t="s">
        <v>576</v>
      </c>
      <c r="I19" s="51" t="str">
        <f>VLOOKUP(Table37[[#This Row],[PI LEVEL 3]],'PI LEVEL'!A:C,3,FALSE)</f>
        <v>Agri-chemicals reserved</v>
      </c>
      <c r="J19" s="51" t="str">
        <f>VLOOKUP(Table37[[#This Row],[PI LEVEL 3]],Table53729[[Performance Indicator Level 3]:[Performance Indicator Level 1]],2,FALSE)</f>
        <v>Agri-chemicals reserved</v>
      </c>
      <c r="K19" s="51" t="str">
        <f>VLOOKUP(Table37[[#This Row],[ACTIVITY]],TAGS!B:P,2,FALSE)</f>
        <v>Agri-chemicals reserved (pc)</v>
      </c>
      <c r="L19" s="47" t="s">
        <v>90</v>
      </c>
      <c r="M19" s="51" t="str">
        <f>VLOOKUP(Table37[[#This Row],[ACTIVITY]],TAGS!$B:$P,4,FALSE)</f>
        <v>Pest and Disease Management</v>
      </c>
      <c r="N19" s="51" t="str">
        <f>VLOOKUP(Table37[[#This Row],[ACTIVITY]],TAGS!$B:$P,5,FALSE)</f>
        <v>Agricultural Chemicals</v>
      </c>
      <c r="O19" s="51" t="str">
        <f>VLOOKUP(Table37[[#This Row],[ACTIVITY]],TAGS!$B:$P,6,FALSE)</f>
        <v>Pheromone lure</v>
      </c>
      <c r="P19" s="51" t="str">
        <f>VLOOKUP(Table37[[#This Row],[ACTIVITY]],TAGS!$B:$P,7,FALSE)</f>
        <v>NO</v>
      </c>
      <c r="Q19" s="51" t="str">
        <f>VLOOKUP(Table37[[#This Row],[ACTIVITY]],TAGS!$B:$P,8,FALSE)</f>
        <v>PAP</v>
      </c>
      <c r="R19" s="51" t="str">
        <f>VLOOKUP(Table37[[#This Row],[ACTIVITY]],TAGS!$B:$P,10,FALSE)</f>
        <v>PIP</v>
      </c>
      <c r="S19" s="51" t="str">
        <f>VLOOKUP(Table37[[#This Row],[ACTIVITY]],TAGS!$B:$P,11,FALSE)</f>
        <v>PICS</v>
      </c>
      <c r="T19" s="51" t="str">
        <f>VLOOKUP(Table37[[#This Row],[ACTIVITY]],TAGS!$B:$P,12,FALSE)</f>
        <v>Modernization</v>
      </c>
      <c r="U19" s="51" t="str">
        <f>VLOOKUP(Table37[[#This Row],[ACTIVITY]],TAGS!$B:$P,13,FALSE)</f>
        <v>9. Climate Change Adaptation &amp; Mitigation Measures</v>
      </c>
      <c r="V19" s="51" t="str">
        <f>VLOOKUP(Table37[[#This Row],[ACTIVITY]],TAGS!$B:$P,14,FALSE)</f>
        <v>EXPAND AND IMPROVE AVAILABLE AGRI-FISHERY AREAS FOR INCREASED PRODUCTION</v>
      </c>
      <c r="W19" s="51" t="str">
        <f>VLOOKUP(Table37[[#This Row],[ACTIVITY]],TAGS!$B:$P,15,FALSE)</f>
        <v>Agrichemicals</v>
      </c>
      <c r="X19" s="51" t="str">
        <f>VLOOKUP(Table37[[#This Row],[PI LEVEL 3]],'PI LEVEL'!$A:$G,7,FALSE)</f>
        <v>DA-Level Output</v>
      </c>
      <c r="Y19" s="47" t="s">
        <v>577</v>
      </c>
      <c r="Z19" s="47" t="s">
        <v>329</v>
      </c>
      <c r="AA19" s="51" t="str">
        <f>VLOOKUP(Table37[[#This Row],[MONTH]],TAGS!$W$67:$Y$81,2,FALSE)</f>
        <v>1ST QTR</v>
      </c>
      <c r="AB19" s="51" t="str">
        <f>VLOOKUP(Table37[[#This Row],[MONTH]],TAGS!$W$67:$Y$81,3,FALSE)</f>
        <v>1ST SEMESTER</v>
      </c>
      <c r="AC19" s="51">
        <f>VLOOKUP(Table37[[#This Row],[MONTH]],TAGS!$W$67:$Z$81,4,FALSE)</f>
        <v>2025</v>
      </c>
      <c r="AD19" s="47">
        <v>2750</v>
      </c>
      <c r="AE19" s="47"/>
      <c r="AF19" s="51">
        <f>SUM(Table37[[#This Row],[MOOE (Php ''000)]:[CO (Php ''000)]])</f>
        <v>2750</v>
      </c>
      <c r="AG19" s="71" t="b">
        <f>ISBLANK(Table37[[#This Row],[PRPOPOSAL/BEDS]])</f>
        <v>0</v>
      </c>
      <c r="AH19" s="71" t="b">
        <f>ISBLANK(Table37[[#This Row],[OU]])</f>
        <v>0</v>
      </c>
      <c r="AI19" s="71" t="b">
        <f>ISBLANK(Table37[[#This Row],[SPECIFIC COMMODITY]])</f>
        <v>0</v>
      </c>
      <c r="AJ19" s="71" t="b">
        <f>ISBLANK(Table37[[#This Row],[COMMODITY PREXC SUB-PROGRAM]])</f>
        <v>0</v>
      </c>
      <c r="AK19" s="71" t="b">
        <f>ISBLANK(Table37[[#This Row],[ACTIVITY]])</f>
        <v>0</v>
      </c>
      <c r="AL19" s="71" t="b">
        <f>ISBLANK(Table37[[#This Row],[TAG-GAD]])</f>
        <v>0</v>
      </c>
      <c r="AM19" s="71" t="b">
        <f>ISBLANK(Table37[[#This Row],[MONTH]])</f>
        <v>0</v>
      </c>
      <c r="AN19" s="71" t="b">
        <f>ISBLANK(Table37[[#This Row],[MOOE (Php ''000)]])</f>
        <v>0</v>
      </c>
      <c r="AO19" s="71" t="b">
        <f>ISBLANK(Table37[[#This Row],[CO (Php ''000)]])</f>
        <v>1</v>
      </c>
    </row>
    <row r="20" spans="1:41">
      <c r="A20" s="51" t="str">
        <f>VLOOKUP(Table37[[#This Row],[OU]],OU!$A$15:$B$34,2,FALSE)</f>
        <v>RFOs</v>
      </c>
      <c r="B20" s="47" t="s">
        <v>297</v>
      </c>
      <c r="C20" s="47" t="s">
        <v>574</v>
      </c>
      <c r="D20" s="47" t="s">
        <v>579</v>
      </c>
      <c r="E20" s="51" t="str">
        <f>VLOOKUP(Table37[[#This Row],[SPECIFIC COMMODITY]],TAGS!$W$48:$X$53,2,FALSE)</f>
        <v>Cassava</v>
      </c>
      <c r="F20" s="51" t="str">
        <f>VLOOKUP(Table37[[#This Row],[PREXC SUB-PROGRAM]],Table5[],2,FALSE)</f>
        <v>TECHNICAL AND SUPPORT SERVICES PROGRAM</v>
      </c>
      <c r="G20" s="51" t="str">
        <f>VLOOKUP(Table37[[#This Row],[COMMODITY PREXC SUB-PROGRAM]],TAGS!$U$54:$V$76,2,FALSE)</f>
        <v>PSS</v>
      </c>
      <c r="H20" s="47" t="s">
        <v>580</v>
      </c>
      <c r="I20" s="51" t="str">
        <f>VLOOKUP(Table37[[#This Row],[PI LEVEL 3]],'PI LEVEL'!A:C,3,FALSE)</f>
        <v>Planting material distributed</v>
      </c>
      <c r="J20" s="51" t="str">
        <f>VLOOKUP(Table37[[#This Row],[PI LEVEL 3]],Table53729[[Performance Indicator Level 3]:[Performance Indicator Level 1]],2,FALSE)</f>
        <v>Planting material distributed</v>
      </c>
      <c r="K20" s="51" t="str">
        <f>VLOOKUP(Table37[[#This Row],[ACTIVITY]],TAGS!B:P,2,FALSE)</f>
        <v>Cassava cutting distributed</v>
      </c>
      <c r="L20" s="47" t="s">
        <v>38</v>
      </c>
      <c r="M20" s="51" t="str">
        <f>VLOOKUP(Table37[[#This Row],[ACTIVITY]],TAGS!$B:$P,4,FALSE)</f>
        <v>Cassava Production Enhancement Project</v>
      </c>
      <c r="N20" s="51" t="str">
        <f>VLOOKUP(Table37[[#This Row],[ACTIVITY]],TAGS!$B:$P,5,FALSE)</f>
        <v>Cassava cuttings</v>
      </c>
      <c r="O20" s="51" t="str">
        <f>VLOOKUP(Table37[[#This Row],[ACTIVITY]],TAGS!$B:$P,6,FALSE)</f>
        <v>Cassava seed pieces</v>
      </c>
      <c r="P20" s="51" t="str">
        <f>VLOOKUP(Table37[[#This Row],[ACTIVITY]],TAGS!$B:$P,7,FALSE)</f>
        <v>NO</v>
      </c>
      <c r="Q20" s="51" t="str">
        <f>VLOOKUP(Table37[[#This Row],[ACTIVITY]],TAGS!$B:$P,8,FALSE)</f>
        <v>PAP</v>
      </c>
      <c r="R20" s="51" t="str">
        <f>VLOOKUP(Table37[[#This Row],[ACTIVITY]],TAGS!$B:$P,10,FALSE)</f>
        <v>PIP</v>
      </c>
      <c r="S20" s="51" t="str">
        <f>VLOOKUP(Table37[[#This Row],[ACTIVITY]],TAGS!$B:$P,11,FALSE)</f>
        <v>PICS</v>
      </c>
      <c r="T20" s="51" t="str">
        <f>VLOOKUP(Table37[[#This Row],[ACTIVITY]],TAGS!$B:$P,12,FALSE)</f>
        <v>Consolidation</v>
      </c>
      <c r="U20" s="51" t="str">
        <f>VLOOKUP(Table37[[#This Row],[ACTIVITY]],TAGS!$B:$P,13,FALSE)</f>
        <v>1. Bayanihan Agri Cluster</v>
      </c>
      <c r="V20" s="51" t="str">
        <f>VLOOKUP(Table37[[#This Row],[ACTIVITY]],TAGS!$B:$P,14,FALSE)</f>
        <v>EXPAND AND IMPROVE AVAILABLE AGRI-FISHERY AREAS FOR INCREASED PRODUCTION</v>
      </c>
      <c r="W20" s="51" t="str">
        <f>VLOOKUP(Table37[[#This Row],[ACTIVITY]],TAGS!$B:$P,15,FALSE)</f>
        <v>Farm Inputs</v>
      </c>
      <c r="X20" s="51" t="str">
        <f>VLOOKUP(Table37[[#This Row],[PI LEVEL 3]],'PI LEVEL'!$A:$G,7,FALSE)</f>
        <v>DA-Level Output</v>
      </c>
      <c r="Y20" s="47" t="s">
        <v>577</v>
      </c>
      <c r="Z20" s="47" t="s">
        <v>329</v>
      </c>
      <c r="AA20" s="51" t="str">
        <f>VLOOKUP(Table37[[#This Row],[MONTH]],TAGS!$W$67:$Y$81,2,FALSE)</f>
        <v>1ST QTR</v>
      </c>
      <c r="AB20" s="51" t="str">
        <f>VLOOKUP(Table37[[#This Row],[MONTH]],TAGS!$W$67:$Y$81,3,FALSE)</f>
        <v>1ST SEMESTER</v>
      </c>
      <c r="AC20" s="51">
        <f>VLOOKUP(Table37[[#This Row],[MONTH]],TAGS!$W$67:$Z$81,4,FALSE)</f>
        <v>2025</v>
      </c>
      <c r="AD20" s="47">
        <v>975</v>
      </c>
      <c r="AE20" s="47"/>
      <c r="AF20" s="51">
        <f>SUM(Table37[[#This Row],[MOOE (Php ''000)]:[CO (Php ''000)]])</f>
        <v>975</v>
      </c>
      <c r="AG20" s="71" t="b">
        <f>ISBLANK(Table37[[#This Row],[PRPOPOSAL/BEDS]])</f>
        <v>0</v>
      </c>
      <c r="AH20" s="71" t="b">
        <f>ISBLANK(Table37[[#This Row],[OU]])</f>
        <v>0</v>
      </c>
      <c r="AI20" s="71" t="b">
        <f>ISBLANK(Table37[[#This Row],[SPECIFIC COMMODITY]])</f>
        <v>0</v>
      </c>
      <c r="AJ20" s="71" t="b">
        <f>ISBLANK(Table37[[#This Row],[COMMODITY PREXC SUB-PROGRAM]])</f>
        <v>0</v>
      </c>
      <c r="AK20" s="71" t="b">
        <f>ISBLANK(Table37[[#This Row],[ACTIVITY]])</f>
        <v>0</v>
      </c>
      <c r="AL20" s="71" t="b">
        <f>ISBLANK(Table37[[#This Row],[TAG-GAD]])</f>
        <v>0</v>
      </c>
      <c r="AM20" s="71" t="b">
        <f>ISBLANK(Table37[[#This Row],[MONTH]])</f>
        <v>0</v>
      </c>
      <c r="AN20" s="71" t="b">
        <f>ISBLANK(Table37[[#This Row],[MOOE (Php ''000)]])</f>
        <v>0</v>
      </c>
      <c r="AO20" s="71" t="b">
        <f>ISBLANK(Table37[[#This Row],[CO (Php ''000)]])</f>
        <v>1</v>
      </c>
    </row>
    <row r="21" spans="1:41">
      <c r="A21" s="51" t="str">
        <f>VLOOKUP(Table37[[#This Row],[OU]],OU!$A$15:$B$34,2,FALSE)</f>
        <v>RFOs</v>
      </c>
      <c r="B21" s="47" t="s">
        <v>297</v>
      </c>
      <c r="C21" s="47" t="s">
        <v>574</v>
      </c>
      <c r="D21" s="47" t="s">
        <v>579</v>
      </c>
      <c r="E21" s="51" t="str">
        <f>VLOOKUP(Table37[[#This Row],[SPECIFIC COMMODITY]],TAGS!$W$48:$X$53,2,FALSE)</f>
        <v>Cassava</v>
      </c>
      <c r="F21" s="51" t="str">
        <f>VLOOKUP(Table37[[#This Row],[PREXC SUB-PROGRAM]],Table5[],2,FALSE)</f>
        <v>TECHNICAL AND SUPPORT SERVICES PROGRAM</v>
      </c>
      <c r="G21" s="51" t="str">
        <f>VLOOKUP(Table37[[#This Row],[COMMODITY PREXC SUB-PROGRAM]],TAGS!$U$54:$V$76,2,FALSE)</f>
        <v>PSS</v>
      </c>
      <c r="H21" s="47" t="s">
        <v>580</v>
      </c>
      <c r="I21" s="51" t="str">
        <f>VLOOKUP(Table37[[#This Row],[PI LEVEL 3]],'PI LEVEL'!A:C,3,FALSE)</f>
        <v>Planting material distributed</v>
      </c>
      <c r="J21" s="51" t="str">
        <f>VLOOKUP(Table37[[#This Row],[PI LEVEL 3]],Table53729[[Performance Indicator Level 3]:[Performance Indicator Level 1]],2,FALSE)</f>
        <v>Planting material distributed</v>
      </c>
      <c r="K21" s="51" t="str">
        <f>VLOOKUP(Table37[[#This Row],[ACTIVITY]],TAGS!B:P,2,FALSE)</f>
        <v>Cassava cutting distributed</v>
      </c>
      <c r="L21" s="47" t="s">
        <v>40</v>
      </c>
      <c r="M21" s="51" t="str">
        <f>VLOOKUP(Table37[[#This Row],[ACTIVITY]],TAGS!$B:$P,4,FALSE)</f>
        <v>Cassava Production Enhancement Project</v>
      </c>
      <c r="N21" s="51" t="str">
        <f>VLOOKUP(Table37[[#This Row],[ACTIVITY]],TAGS!$B:$P,5,FALSE)</f>
        <v>Cassava cuttings</v>
      </c>
      <c r="O21" s="51" t="str">
        <f>VLOOKUP(Table37[[#This Row],[ACTIVITY]],TAGS!$B:$P,6,FALSE)</f>
        <v>Cassava seed pieces</v>
      </c>
      <c r="P21" s="51" t="str">
        <f>VLOOKUP(Table37[[#This Row],[ACTIVITY]],TAGS!$B:$P,7,FALSE)</f>
        <v>NO</v>
      </c>
      <c r="Q21" s="51" t="str">
        <f>VLOOKUP(Table37[[#This Row],[ACTIVITY]],TAGS!$B:$P,8,FALSE)</f>
        <v>PAP</v>
      </c>
      <c r="R21" s="51" t="str">
        <f>VLOOKUP(Table37[[#This Row],[ACTIVITY]],TAGS!$B:$P,10,FALSE)</f>
        <v>PIP</v>
      </c>
      <c r="S21" s="51" t="str">
        <f>VLOOKUP(Table37[[#This Row],[ACTIVITY]],TAGS!$B:$P,11,FALSE)</f>
        <v>PICS</v>
      </c>
      <c r="T21" s="51" t="str">
        <f>VLOOKUP(Table37[[#This Row],[ACTIVITY]],TAGS!$B:$P,12,FALSE)</f>
        <v>Consolidation</v>
      </c>
      <c r="U21" s="51" t="str">
        <f>VLOOKUP(Table37[[#This Row],[ACTIVITY]],TAGS!$B:$P,13,FALSE)</f>
        <v>1. Bayanihan Agri Cluster</v>
      </c>
      <c r="V21" s="51" t="str">
        <f>VLOOKUP(Table37[[#This Row],[ACTIVITY]],TAGS!$B:$P,14,FALSE)</f>
        <v>EXPAND AND IMPROVE AVAILABLE AGRI-FISHERY AREAS FOR INCREASED PRODUCTION</v>
      </c>
      <c r="W21" s="51" t="str">
        <f>VLOOKUP(Table37[[#This Row],[ACTIVITY]],TAGS!$B:$P,15,FALSE)</f>
        <v>Farm Inputs</v>
      </c>
      <c r="X21" s="51" t="str">
        <f>VLOOKUP(Table37[[#This Row],[PI LEVEL 3]],'PI LEVEL'!$A:$G,7,FALSE)</f>
        <v>DA-Level Output</v>
      </c>
      <c r="Y21" s="47" t="s">
        <v>577</v>
      </c>
      <c r="Z21" s="47" t="s">
        <v>329</v>
      </c>
      <c r="AA21" s="51" t="str">
        <f>VLOOKUP(Table37[[#This Row],[MONTH]],TAGS!$W$67:$Y$81,2,FALSE)</f>
        <v>1ST QTR</v>
      </c>
      <c r="AB21" s="51" t="str">
        <f>VLOOKUP(Table37[[#This Row],[MONTH]],TAGS!$W$67:$Y$81,3,FALSE)</f>
        <v>1ST SEMESTER</v>
      </c>
      <c r="AC21" s="51">
        <f>VLOOKUP(Table37[[#This Row],[MONTH]],TAGS!$W$67:$Z$81,4,FALSE)</f>
        <v>2025</v>
      </c>
      <c r="AD21" s="47">
        <v>7500</v>
      </c>
      <c r="AE21" s="47"/>
      <c r="AF21" s="51">
        <f>SUM(Table37[[#This Row],[MOOE (Php ''000)]:[CO (Php ''000)]])</f>
        <v>7500</v>
      </c>
      <c r="AG21" s="71" t="b">
        <f>ISBLANK(Table37[[#This Row],[PRPOPOSAL/BEDS]])</f>
        <v>0</v>
      </c>
      <c r="AH21" s="71" t="b">
        <f>ISBLANK(Table37[[#This Row],[OU]])</f>
        <v>0</v>
      </c>
      <c r="AI21" s="71" t="b">
        <f>ISBLANK(Table37[[#This Row],[SPECIFIC COMMODITY]])</f>
        <v>0</v>
      </c>
      <c r="AJ21" s="71" t="b">
        <f>ISBLANK(Table37[[#This Row],[COMMODITY PREXC SUB-PROGRAM]])</f>
        <v>0</v>
      </c>
      <c r="AK21" s="71" t="b">
        <f>ISBLANK(Table37[[#This Row],[ACTIVITY]])</f>
        <v>0</v>
      </c>
      <c r="AL21" s="71" t="b">
        <f>ISBLANK(Table37[[#This Row],[TAG-GAD]])</f>
        <v>0</v>
      </c>
      <c r="AM21" s="71" t="b">
        <f>ISBLANK(Table37[[#This Row],[MONTH]])</f>
        <v>0</v>
      </c>
      <c r="AN21" s="71" t="b">
        <f>ISBLANK(Table37[[#This Row],[MOOE (Php ''000)]])</f>
        <v>0</v>
      </c>
      <c r="AO21" s="71" t="b">
        <f>ISBLANK(Table37[[#This Row],[CO (Php ''000)]])</f>
        <v>1</v>
      </c>
    </row>
    <row r="22" spans="1:41">
      <c r="A22" s="51" t="str">
        <f>VLOOKUP(Table37[[#This Row],[OU]],OU!$A$15:$B$34,2,FALSE)</f>
        <v>RFOs</v>
      </c>
      <c r="B22" s="47" t="s">
        <v>297</v>
      </c>
      <c r="C22" s="47" t="s">
        <v>574</v>
      </c>
      <c r="D22" s="47" t="s">
        <v>579</v>
      </c>
      <c r="E22" s="51" t="str">
        <f>VLOOKUP(Table37[[#This Row],[SPECIFIC COMMODITY]],TAGS!$W$48:$X$53,2,FALSE)</f>
        <v>Cassava</v>
      </c>
      <c r="F22" s="51" t="str">
        <f>VLOOKUP(Table37[[#This Row],[PREXC SUB-PROGRAM]],Table5[],2,FALSE)</f>
        <v>TECHNICAL AND SUPPORT SERVICES PROGRAM</v>
      </c>
      <c r="G22" s="51" t="str">
        <f>VLOOKUP(Table37[[#This Row],[COMMODITY PREXC SUB-PROGRAM]],TAGS!$U$54:$V$76,2,FALSE)</f>
        <v>PSS</v>
      </c>
      <c r="H22" s="47" t="s">
        <v>580</v>
      </c>
      <c r="I22" s="51" t="str">
        <f>VLOOKUP(Table37[[#This Row],[PI LEVEL 3]],'PI LEVEL'!A:C,3,FALSE)</f>
        <v>Fertilizers and other soil ammendment distributed</v>
      </c>
      <c r="J22" s="51" t="str">
        <f>VLOOKUP(Table37[[#This Row],[PI LEVEL 3]],Table53729[[Performance Indicator Level 3]:[Performance Indicator Level 1]],2,FALSE)</f>
        <v>Fertilizers distributed</v>
      </c>
      <c r="K22" s="51" t="str">
        <f>VLOOKUP(Table37[[#This Row],[ACTIVITY]],TAGS!B:P,2,FALSE)</f>
        <v>Inorganic fertilizer distributed</v>
      </c>
      <c r="L22" s="47" t="s">
        <v>42</v>
      </c>
      <c r="M22" s="51" t="str">
        <f>VLOOKUP(Table37[[#This Row],[ACTIVITY]],TAGS!$B:$P,4,FALSE)</f>
        <v>Cassava Production Enhancement Project</v>
      </c>
      <c r="N22" s="51" t="str">
        <f>VLOOKUP(Table37[[#This Row],[ACTIVITY]],TAGS!$B:$P,5,FALSE)</f>
        <v>Soil Fertilization</v>
      </c>
      <c r="O22" s="51" t="str">
        <f>VLOOKUP(Table37[[#This Row],[ACTIVITY]],TAGS!$B:$P,6,FALSE)</f>
        <v>Inorganic fertilizer</v>
      </c>
      <c r="P22" s="51" t="str">
        <f>VLOOKUP(Table37[[#This Row],[ACTIVITY]],TAGS!$B:$P,7,FALSE)</f>
        <v>NO</v>
      </c>
      <c r="Q22" s="51" t="str">
        <f>VLOOKUP(Table37[[#This Row],[ACTIVITY]],TAGS!$B:$P,8,FALSE)</f>
        <v>PAP</v>
      </c>
      <c r="R22" s="51" t="str">
        <f>VLOOKUP(Table37[[#This Row],[ACTIVITY]],TAGS!$B:$P,10,FALSE)</f>
        <v>PIP</v>
      </c>
      <c r="S22" s="51" t="str">
        <f>VLOOKUP(Table37[[#This Row],[ACTIVITY]],TAGS!$B:$P,11,FALSE)</f>
        <v>PICS</v>
      </c>
      <c r="T22" s="51" t="str">
        <f>VLOOKUP(Table37[[#This Row],[ACTIVITY]],TAGS!$B:$P,12,FALSE)</f>
        <v>Consolidation</v>
      </c>
      <c r="U22" s="51" t="str">
        <f>VLOOKUP(Table37[[#This Row],[ACTIVITY]],TAGS!$B:$P,13,FALSE)</f>
        <v>1. Bayanihan Agri Cluster</v>
      </c>
      <c r="V22" s="51" t="str">
        <f>VLOOKUP(Table37[[#This Row],[ACTIVITY]],TAGS!$B:$P,14,FALSE)</f>
        <v>EXPAND AND IMPROVE AVAILABLE AGRI-FISHERY AREAS FOR INCREASED PRODUCTION</v>
      </c>
      <c r="W22" s="51" t="str">
        <f>VLOOKUP(Table37[[#This Row],[ACTIVITY]],TAGS!$B:$P,15,FALSE)</f>
        <v>Farm Inputs</v>
      </c>
      <c r="X22" s="51" t="str">
        <f>VLOOKUP(Table37[[#This Row],[PI LEVEL 3]],'PI LEVEL'!$A:$G,7,FALSE)</f>
        <v>DA-Level Output</v>
      </c>
      <c r="Y22" s="47" t="s">
        <v>577</v>
      </c>
      <c r="Z22" s="47" t="s">
        <v>329</v>
      </c>
      <c r="AA22" s="51" t="str">
        <f>VLOOKUP(Table37[[#This Row],[MONTH]],TAGS!$W$67:$Y$81,2,FALSE)</f>
        <v>1ST QTR</v>
      </c>
      <c r="AB22" s="51" t="str">
        <f>VLOOKUP(Table37[[#This Row],[MONTH]],TAGS!$W$67:$Y$81,3,FALSE)</f>
        <v>1ST SEMESTER</v>
      </c>
      <c r="AC22" s="51">
        <f>VLOOKUP(Table37[[#This Row],[MONTH]],TAGS!$W$67:$Z$81,4,FALSE)</f>
        <v>2025</v>
      </c>
      <c r="AD22" s="47">
        <v>1914</v>
      </c>
      <c r="AE22" s="47"/>
      <c r="AF22" s="51">
        <f>SUM(Table37[[#This Row],[MOOE (Php ''000)]:[CO (Php ''000)]])</f>
        <v>1914</v>
      </c>
      <c r="AG22" s="71" t="b">
        <f>ISBLANK(Table37[[#This Row],[PRPOPOSAL/BEDS]])</f>
        <v>0</v>
      </c>
      <c r="AH22" s="71" t="b">
        <f>ISBLANK(Table37[[#This Row],[OU]])</f>
        <v>0</v>
      </c>
      <c r="AI22" s="71" t="b">
        <f>ISBLANK(Table37[[#This Row],[SPECIFIC COMMODITY]])</f>
        <v>0</v>
      </c>
      <c r="AJ22" s="71" t="b">
        <f>ISBLANK(Table37[[#This Row],[COMMODITY PREXC SUB-PROGRAM]])</f>
        <v>0</v>
      </c>
      <c r="AK22" s="71" t="b">
        <f>ISBLANK(Table37[[#This Row],[ACTIVITY]])</f>
        <v>0</v>
      </c>
      <c r="AL22" s="71" t="b">
        <f>ISBLANK(Table37[[#This Row],[TAG-GAD]])</f>
        <v>0</v>
      </c>
      <c r="AM22" s="71" t="b">
        <f>ISBLANK(Table37[[#This Row],[MONTH]])</f>
        <v>0</v>
      </c>
      <c r="AN22" s="71" t="b">
        <f>ISBLANK(Table37[[#This Row],[MOOE (Php ''000)]])</f>
        <v>0</v>
      </c>
      <c r="AO22" s="71" t="b">
        <f>ISBLANK(Table37[[#This Row],[CO (Php ''000)]])</f>
        <v>1</v>
      </c>
    </row>
    <row r="23" spans="1:41">
      <c r="A23" s="51" t="str">
        <f>VLOOKUP(Table37[[#This Row],[OU]],OU!$A$15:$B$34,2,FALSE)</f>
        <v>RFOs</v>
      </c>
      <c r="B23" s="47" t="s">
        <v>297</v>
      </c>
      <c r="C23" s="47" t="s">
        <v>574</v>
      </c>
      <c r="D23" s="47" t="s">
        <v>579</v>
      </c>
      <c r="E23" s="51" t="str">
        <f>VLOOKUP(Table37[[#This Row],[SPECIFIC COMMODITY]],TAGS!$W$48:$X$53,2,FALSE)</f>
        <v>Cassava</v>
      </c>
      <c r="F23" s="51" t="str">
        <f>VLOOKUP(Table37[[#This Row],[PREXC SUB-PROGRAM]],Table5[],2,FALSE)</f>
        <v>TECHNICAL AND SUPPORT SERVICES PROGRAM</v>
      </c>
      <c r="G23" s="51" t="str">
        <f>VLOOKUP(Table37[[#This Row],[COMMODITY PREXC SUB-PROGRAM]],TAGS!$U$54:$V$76,2,FALSE)</f>
        <v>PSS</v>
      </c>
      <c r="H23" s="47" t="s">
        <v>580</v>
      </c>
      <c r="I23" s="51" t="str">
        <f>VLOOKUP(Table37[[#This Row],[PI LEVEL 3]],'PI LEVEL'!A:C,3,FALSE)</f>
        <v>Fertilizers and other soil ammendment distributed</v>
      </c>
      <c r="J23" s="51" t="str">
        <f>VLOOKUP(Table37[[#This Row],[PI LEVEL 3]],Table53729[[Performance Indicator Level 3]:[Performance Indicator Level 1]],2,FALSE)</f>
        <v>Fertilizers distributed</v>
      </c>
      <c r="K23" s="51" t="str">
        <f>VLOOKUP(Table37[[#This Row],[ACTIVITY]],TAGS!B:P,2,FALSE)</f>
        <v>Inorganic fertilizer distributed</v>
      </c>
      <c r="L23" s="47" t="s">
        <v>42</v>
      </c>
      <c r="M23" s="51" t="str">
        <f>VLOOKUP(Table37[[#This Row],[ACTIVITY]],TAGS!$B:$P,4,FALSE)</f>
        <v>Cassava Production Enhancement Project</v>
      </c>
      <c r="N23" s="51" t="str">
        <f>VLOOKUP(Table37[[#This Row],[ACTIVITY]],TAGS!$B:$P,5,FALSE)</f>
        <v>Soil Fertilization</v>
      </c>
      <c r="O23" s="51" t="str">
        <f>VLOOKUP(Table37[[#This Row],[ACTIVITY]],TAGS!$B:$P,6,FALSE)</f>
        <v>Inorganic fertilizer</v>
      </c>
      <c r="P23" s="51" t="str">
        <f>VLOOKUP(Table37[[#This Row],[ACTIVITY]],TAGS!$B:$P,7,FALSE)</f>
        <v>NO</v>
      </c>
      <c r="Q23" s="51" t="str">
        <f>VLOOKUP(Table37[[#This Row],[ACTIVITY]],TAGS!$B:$P,8,FALSE)</f>
        <v>PAP</v>
      </c>
      <c r="R23" s="51" t="str">
        <f>VLOOKUP(Table37[[#This Row],[ACTIVITY]],TAGS!$B:$P,10,FALSE)</f>
        <v>PIP</v>
      </c>
      <c r="S23" s="51" t="str">
        <f>VLOOKUP(Table37[[#This Row],[ACTIVITY]],TAGS!$B:$P,11,FALSE)</f>
        <v>PICS</v>
      </c>
      <c r="T23" s="51" t="str">
        <f>VLOOKUP(Table37[[#This Row],[ACTIVITY]],TAGS!$B:$P,12,FALSE)</f>
        <v>Consolidation</v>
      </c>
      <c r="U23" s="51" t="str">
        <f>VLOOKUP(Table37[[#This Row],[ACTIVITY]],TAGS!$B:$P,13,FALSE)</f>
        <v>1. Bayanihan Agri Cluster</v>
      </c>
      <c r="V23" s="51" t="str">
        <f>VLOOKUP(Table37[[#This Row],[ACTIVITY]],TAGS!$B:$P,14,FALSE)</f>
        <v>EXPAND AND IMPROVE AVAILABLE AGRI-FISHERY AREAS FOR INCREASED PRODUCTION</v>
      </c>
      <c r="W23" s="51" t="str">
        <f>VLOOKUP(Table37[[#This Row],[ACTIVITY]],TAGS!$B:$P,15,FALSE)</f>
        <v>Farm Inputs</v>
      </c>
      <c r="X23" s="51" t="str">
        <f>VLOOKUP(Table37[[#This Row],[PI LEVEL 3]],'PI LEVEL'!$A:$G,7,FALSE)</f>
        <v>DA-Level Output</v>
      </c>
      <c r="Y23" s="47" t="s">
        <v>577</v>
      </c>
      <c r="Z23" s="47" t="s">
        <v>333</v>
      </c>
      <c r="AA23" s="51" t="str">
        <f>VLOOKUP(Table37[[#This Row],[MONTH]],TAGS!$W$67:$Y$81,2,FALSE)</f>
        <v>3RD QTR</v>
      </c>
      <c r="AB23" s="51" t="str">
        <f>VLOOKUP(Table37[[#This Row],[MONTH]],TAGS!$W$67:$Y$81,3,FALSE)</f>
        <v>2ND SEMESTER</v>
      </c>
      <c r="AC23" s="51">
        <f>VLOOKUP(Table37[[#This Row],[MONTH]],TAGS!$W$67:$Z$81,4,FALSE)</f>
        <v>2025</v>
      </c>
      <c r="AD23" s="47">
        <v>777</v>
      </c>
      <c r="AE23" s="47"/>
      <c r="AF23" s="51">
        <f>SUM(Table37[[#This Row],[MOOE (Php ''000)]:[CO (Php ''000)]])</f>
        <v>777</v>
      </c>
      <c r="AG23" s="71" t="b">
        <f>ISBLANK(Table37[[#This Row],[PRPOPOSAL/BEDS]])</f>
        <v>0</v>
      </c>
      <c r="AH23" s="71" t="b">
        <f>ISBLANK(Table37[[#This Row],[OU]])</f>
        <v>0</v>
      </c>
      <c r="AI23" s="71" t="b">
        <f>ISBLANK(Table37[[#This Row],[SPECIFIC COMMODITY]])</f>
        <v>0</v>
      </c>
      <c r="AJ23" s="71" t="b">
        <f>ISBLANK(Table37[[#This Row],[COMMODITY PREXC SUB-PROGRAM]])</f>
        <v>0</v>
      </c>
      <c r="AK23" s="71" t="b">
        <f>ISBLANK(Table37[[#This Row],[ACTIVITY]])</f>
        <v>0</v>
      </c>
      <c r="AL23" s="71" t="b">
        <f>ISBLANK(Table37[[#This Row],[TAG-GAD]])</f>
        <v>0</v>
      </c>
      <c r="AM23" s="71" t="b">
        <f>ISBLANK(Table37[[#This Row],[MONTH]])</f>
        <v>0</v>
      </c>
      <c r="AN23" s="71" t="b">
        <f>ISBLANK(Table37[[#This Row],[MOOE (Php ''000)]])</f>
        <v>0</v>
      </c>
      <c r="AO23" s="71" t="b">
        <f>ISBLANK(Table37[[#This Row],[CO (Php ''000)]])</f>
        <v>1</v>
      </c>
    </row>
    <row r="24" spans="1:41">
      <c r="A24" s="51" t="str">
        <f>VLOOKUP(Table37[[#This Row],[OU]],OU!$A$15:$B$34,2,FALSE)</f>
        <v>RFOs</v>
      </c>
      <c r="B24" s="47" t="s">
        <v>297</v>
      </c>
      <c r="C24" s="47" t="s">
        <v>574</v>
      </c>
      <c r="D24" s="47" t="s">
        <v>579</v>
      </c>
      <c r="E24" s="51" t="str">
        <f>VLOOKUP(Table37[[#This Row],[SPECIFIC COMMODITY]],TAGS!$W$48:$X$53,2,FALSE)</f>
        <v>Cassava</v>
      </c>
      <c r="F24" s="51" t="str">
        <f>VLOOKUP(Table37[[#This Row],[PREXC SUB-PROGRAM]],Table5[],2,FALSE)</f>
        <v>TECHNICAL AND SUPPORT SERVICES PROGRAM</v>
      </c>
      <c r="G24" s="51" t="str">
        <f>VLOOKUP(Table37[[#This Row],[COMMODITY PREXC SUB-PROGRAM]],TAGS!$U$54:$V$76,2,FALSE)</f>
        <v>PSS</v>
      </c>
      <c r="H24" s="47" t="s">
        <v>580</v>
      </c>
      <c r="I24" s="51" t="str">
        <f>VLOOKUP(Table37[[#This Row],[PI LEVEL 3]],'PI LEVEL'!A:C,3,FALSE)</f>
        <v>Agri-chemicals reserved</v>
      </c>
      <c r="J24" s="51" t="str">
        <f>VLOOKUP(Table37[[#This Row],[PI LEVEL 3]],Table53729[[Performance Indicator Level 3]:[Performance Indicator Level 1]],2,FALSE)</f>
        <v>Agri-chemicals reserved</v>
      </c>
      <c r="K24" s="51" t="str">
        <f>VLOOKUP(Table37[[#This Row],[ACTIVITY]],TAGS!B:P,2,FALSE)</f>
        <v>Agri-chemicals reserved (pc)</v>
      </c>
      <c r="L24" s="47" t="s">
        <v>92</v>
      </c>
      <c r="M24" s="51" t="str">
        <f>VLOOKUP(Table37[[#This Row],[ACTIVITY]],TAGS!$B:$P,4,FALSE)</f>
        <v>Pest and Disease Management</v>
      </c>
      <c r="N24" s="51" t="str">
        <f>VLOOKUP(Table37[[#This Row],[ACTIVITY]],TAGS!$B:$P,5,FALSE)</f>
        <v>Agricultural Chemicals</v>
      </c>
      <c r="O24" s="51" t="str">
        <f>VLOOKUP(Table37[[#This Row],[ACTIVITY]],TAGS!$B:$P,6,FALSE)</f>
        <v>Streptomycin</v>
      </c>
      <c r="P24" s="51" t="str">
        <f>VLOOKUP(Table37[[#This Row],[ACTIVITY]],TAGS!$B:$P,7,FALSE)</f>
        <v>NO</v>
      </c>
      <c r="Q24" s="51" t="str">
        <f>VLOOKUP(Table37[[#This Row],[ACTIVITY]],TAGS!$B:$P,8,FALSE)</f>
        <v>PAP</v>
      </c>
      <c r="R24" s="51" t="str">
        <f>VLOOKUP(Table37[[#This Row],[ACTIVITY]],TAGS!$B:$P,10,FALSE)</f>
        <v>PIP</v>
      </c>
      <c r="S24" s="51" t="str">
        <f>VLOOKUP(Table37[[#This Row],[ACTIVITY]],TAGS!$B:$P,11,FALSE)</f>
        <v>PICS</v>
      </c>
      <c r="T24" s="51" t="str">
        <f>VLOOKUP(Table37[[#This Row],[ACTIVITY]],TAGS!$B:$P,12,FALSE)</f>
        <v>Modernization</v>
      </c>
      <c r="U24" s="51" t="str">
        <f>VLOOKUP(Table37[[#This Row],[ACTIVITY]],TAGS!$B:$P,13,FALSE)</f>
        <v>9. Climate Change Adaptation &amp; Mitigation Measures</v>
      </c>
      <c r="V24" s="51" t="str">
        <f>VLOOKUP(Table37[[#This Row],[ACTIVITY]],TAGS!$B:$P,14,FALSE)</f>
        <v>EXPAND AND IMPROVE AVAILABLE AGRI-FISHERY AREAS FOR INCREASED PRODUCTION</v>
      </c>
      <c r="W24" s="51" t="str">
        <f>VLOOKUP(Table37[[#This Row],[ACTIVITY]],TAGS!$B:$P,15,FALSE)</f>
        <v>Agrichemicals</v>
      </c>
      <c r="X24" s="51" t="str">
        <f>VLOOKUP(Table37[[#This Row],[PI LEVEL 3]],'PI LEVEL'!$A:$G,7,FALSE)</f>
        <v>DA-Level Output</v>
      </c>
      <c r="Y24" s="47" t="s">
        <v>577</v>
      </c>
      <c r="Z24" s="47" t="s">
        <v>329</v>
      </c>
      <c r="AA24" s="51" t="str">
        <f>VLOOKUP(Table37[[#This Row],[MONTH]],TAGS!$W$67:$Y$81,2,FALSE)</f>
        <v>1ST QTR</v>
      </c>
      <c r="AB24" s="51" t="str">
        <f>VLOOKUP(Table37[[#This Row],[MONTH]],TAGS!$W$67:$Y$81,3,FALSE)</f>
        <v>1ST SEMESTER</v>
      </c>
      <c r="AC24" s="51">
        <f>VLOOKUP(Table37[[#This Row],[MONTH]],TAGS!$W$67:$Z$81,4,FALSE)</f>
        <v>2025</v>
      </c>
      <c r="AD24" s="47">
        <v>4000</v>
      </c>
      <c r="AE24" s="47"/>
      <c r="AF24" s="51">
        <f>SUM(Table37[[#This Row],[MOOE (Php ''000)]:[CO (Php ''000)]])</f>
        <v>4000</v>
      </c>
      <c r="AG24" s="71" t="b">
        <f>ISBLANK(Table37[[#This Row],[PRPOPOSAL/BEDS]])</f>
        <v>0</v>
      </c>
      <c r="AH24" s="71" t="b">
        <f>ISBLANK(Table37[[#This Row],[OU]])</f>
        <v>0</v>
      </c>
      <c r="AI24" s="71" t="b">
        <f>ISBLANK(Table37[[#This Row],[SPECIFIC COMMODITY]])</f>
        <v>0</v>
      </c>
      <c r="AJ24" s="71" t="b">
        <f>ISBLANK(Table37[[#This Row],[COMMODITY PREXC SUB-PROGRAM]])</f>
        <v>0</v>
      </c>
      <c r="AK24" s="71" t="b">
        <f>ISBLANK(Table37[[#This Row],[ACTIVITY]])</f>
        <v>0</v>
      </c>
      <c r="AL24" s="71" t="b">
        <f>ISBLANK(Table37[[#This Row],[TAG-GAD]])</f>
        <v>0</v>
      </c>
      <c r="AM24" s="71" t="b">
        <f>ISBLANK(Table37[[#This Row],[MONTH]])</f>
        <v>0</v>
      </c>
      <c r="AN24" s="71" t="b">
        <f>ISBLANK(Table37[[#This Row],[MOOE (Php ''000)]])</f>
        <v>0</v>
      </c>
      <c r="AO24" s="71" t="b">
        <f>ISBLANK(Table37[[#This Row],[CO (Php ''000)]])</f>
        <v>1</v>
      </c>
    </row>
    <row r="25" spans="1:41">
      <c r="A25" s="51" t="str">
        <f>VLOOKUP(Table37[[#This Row],[OU]],OU!$A$15:$B$34,2,FALSE)</f>
        <v>RFOs</v>
      </c>
      <c r="B25" s="47" t="s">
        <v>297</v>
      </c>
      <c r="C25" s="47" t="s">
        <v>574</v>
      </c>
      <c r="D25" s="47" t="s">
        <v>581</v>
      </c>
      <c r="E25" s="51" t="str">
        <f>VLOOKUP(Table37[[#This Row],[SPECIFIC COMMODITY]],TAGS!$W$48:$X$53,2,FALSE)</f>
        <v>Sorghum</v>
      </c>
      <c r="F25" s="51" t="str">
        <f>VLOOKUP(Table37[[#This Row],[PREXC SUB-PROGRAM]],Table5[],2,FALSE)</f>
        <v>TECHNICAL AND SUPPORT SERVICES PROGRAM</v>
      </c>
      <c r="G25" s="51" t="str">
        <f>VLOOKUP(Table37[[#This Row],[COMMODITY PREXC SUB-PROGRAM]],TAGS!$U$54:$V$76,2,FALSE)</f>
        <v>PSS</v>
      </c>
      <c r="H25" s="47" t="s">
        <v>582</v>
      </c>
      <c r="I25" s="51" t="str">
        <f>VLOOKUP(Table37[[#This Row],[PI LEVEL 3]],'PI LEVEL'!A:C,3,FALSE)</f>
        <v>Seeds distributed</v>
      </c>
      <c r="J25" s="51" t="str">
        <f>VLOOKUP(Table37[[#This Row],[PI LEVEL 3]],Table53729[[Performance Indicator Level 3]:[Performance Indicator Level 1]],2,FALSE)</f>
        <v>Other Seeds distributed</v>
      </c>
      <c r="K25" s="51" t="str">
        <f>VLOOKUP(Table37[[#This Row],[ACTIVITY]],TAGS!B:P,2,FALSE)</f>
        <v>Sorghum Seeds distributed</v>
      </c>
      <c r="L25" s="47" t="s">
        <v>55</v>
      </c>
      <c r="M25" s="51" t="str">
        <f>VLOOKUP(Table37[[#This Row],[ACTIVITY]],TAGS!$B:$P,4,FALSE)</f>
        <v>Sorghum Production Enhancement Project</v>
      </c>
      <c r="N25" s="51" t="str">
        <f>VLOOKUP(Table37[[#This Row],[ACTIVITY]],TAGS!$B:$P,5,FALSE)</f>
        <v>Sorghum Seed Assistance</v>
      </c>
      <c r="O25" s="51" t="str">
        <f>VLOOKUP(Table37[[#This Row],[ACTIVITY]],TAGS!$B:$P,6,FALSE)</f>
        <v>Sorghum seeds</v>
      </c>
      <c r="P25" s="51" t="str">
        <f>VLOOKUP(Table37[[#This Row],[ACTIVITY]],TAGS!$B:$P,7,FALSE)</f>
        <v>NO</v>
      </c>
      <c r="Q25" s="51" t="str">
        <f>VLOOKUP(Table37[[#This Row],[ACTIVITY]],TAGS!$B:$P,8,FALSE)</f>
        <v>PAP</v>
      </c>
      <c r="R25" s="51" t="str">
        <f>VLOOKUP(Table37[[#This Row],[ACTIVITY]],TAGS!$B:$P,10,FALSE)</f>
        <v>PIP</v>
      </c>
      <c r="S25" s="51" t="str">
        <f>VLOOKUP(Table37[[#This Row],[ACTIVITY]],TAGS!$B:$P,11,FALSE)</f>
        <v>PICS</v>
      </c>
      <c r="T25" s="51" t="str">
        <f>VLOOKUP(Table37[[#This Row],[ACTIVITY]],TAGS!$B:$P,12,FALSE)</f>
        <v>Consolidation</v>
      </c>
      <c r="U25" s="51" t="str">
        <f>VLOOKUP(Table37[[#This Row],[ACTIVITY]],TAGS!$B:$P,13,FALSE)</f>
        <v>1. Bayanihan Agri Cluster</v>
      </c>
      <c r="V25" s="51" t="str">
        <f>VLOOKUP(Table37[[#This Row],[ACTIVITY]],TAGS!$B:$P,14,FALSE)</f>
        <v>EXPAND AND IMPROVE AVAILABLE AGRI-FISHERY AREAS FOR INCREASED PRODUCTION</v>
      </c>
      <c r="W25" s="51" t="str">
        <f>VLOOKUP(Table37[[#This Row],[ACTIVITY]],TAGS!$B:$P,15,FALSE)</f>
        <v>Farm Inputs</v>
      </c>
      <c r="X25" s="51" t="str">
        <f>VLOOKUP(Table37[[#This Row],[PI LEVEL 3]],'PI LEVEL'!$A:$G,7,FALSE)</f>
        <v>DA-Level Output</v>
      </c>
      <c r="Y25" s="47" t="s">
        <v>577</v>
      </c>
      <c r="Z25" s="47" t="s">
        <v>329</v>
      </c>
      <c r="AA25" s="51" t="str">
        <f>VLOOKUP(Table37[[#This Row],[MONTH]],TAGS!$W$67:$Y$81,2,FALSE)</f>
        <v>1ST QTR</v>
      </c>
      <c r="AB25" s="51" t="str">
        <f>VLOOKUP(Table37[[#This Row],[MONTH]],TAGS!$W$67:$Y$81,3,FALSE)</f>
        <v>1ST SEMESTER</v>
      </c>
      <c r="AC25" s="51">
        <f>VLOOKUP(Table37[[#This Row],[MONTH]],TAGS!$W$67:$Z$81,4,FALSE)</f>
        <v>2025</v>
      </c>
      <c r="AD25" s="47">
        <v>1750</v>
      </c>
      <c r="AE25" s="47"/>
      <c r="AF25" s="51">
        <f>SUM(Table37[[#This Row],[MOOE (Php ''000)]:[CO (Php ''000)]])</f>
        <v>1750</v>
      </c>
      <c r="AG25" s="71" t="b">
        <f>ISBLANK(Table37[[#This Row],[PRPOPOSAL/BEDS]])</f>
        <v>0</v>
      </c>
      <c r="AH25" s="71" t="b">
        <f>ISBLANK(Table37[[#This Row],[OU]])</f>
        <v>0</v>
      </c>
      <c r="AI25" s="71" t="b">
        <f>ISBLANK(Table37[[#This Row],[SPECIFIC COMMODITY]])</f>
        <v>0</v>
      </c>
      <c r="AJ25" s="71" t="b">
        <f>ISBLANK(Table37[[#This Row],[COMMODITY PREXC SUB-PROGRAM]])</f>
        <v>0</v>
      </c>
      <c r="AK25" s="71" t="b">
        <f>ISBLANK(Table37[[#This Row],[ACTIVITY]])</f>
        <v>0</v>
      </c>
      <c r="AL25" s="71" t="b">
        <f>ISBLANK(Table37[[#This Row],[TAG-GAD]])</f>
        <v>0</v>
      </c>
      <c r="AM25" s="71" t="b">
        <f>ISBLANK(Table37[[#This Row],[MONTH]])</f>
        <v>0</v>
      </c>
      <c r="AN25" s="71" t="b">
        <f>ISBLANK(Table37[[#This Row],[MOOE (Php ''000)]])</f>
        <v>0</v>
      </c>
      <c r="AO25" s="71" t="b">
        <f>ISBLANK(Table37[[#This Row],[CO (Php ''000)]])</f>
        <v>1</v>
      </c>
    </row>
    <row r="26" spans="1:41">
      <c r="A26" s="51" t="str">
        <f>VLOOKUP(Table37[[#This Row],[OU]],OU!$A$15:$B$34,2,FALSE)</f>
        <v>RFOs</v>
      </c>
      <c r="B26" s="47" t="s">
        <v>297</v>
      </c>
      <c r="C26" s="47" t="s">
        <v>574</v>
      </c>
      <c r="D26" s="47" t="s">
        <v>581</v>
      </c>
      <c r="E26" s="51" t="str">
        <f>VLOOKUP(Table37[[#This Row],[SPECIFIC COMMODITY]],TAGS!$W$48:$X$53,2,FALSE)</f>
        <v>Sorghum</v>
      </c>
      <c r="F26" s="51" t="str">
        <f>VLOOKUP(Table37[[#This Row],[PREXC SUB-PROGRAM]],Table5[],2,FALSE)</f>
        <v>TECHNICAL AND SUPPORT SERVICES PROGRAM</v>
      </c>
      <c r="G26" s="51" t="str">
        <f>VLOOKUP(Table37[[#This Row],[COMMODITY PREXC SUB-PROGRAM]],TAGS!$U$54:$V$76,2,FALSE)</f>
        <v>PSS</v>
      </c>
      <c r="H26" s="47" t="s">
        <v>582</v>
      </c>
      <c r="I26" s="51" t="str">
        <f>VLOOKUP(Table37[[#This Row],[PI LEVEL 3]],'PI LEVEL'!A:C,3,FALSE)</f>
        <v>Fertilizers and other soil ammendment distributed</v>
      </c>
      <c r="J26" s="51" t="str">
        <f>VLOOKUP(Table37[[#This Row],[PI LEVEL 3]],Table53729[[Performance Indicator Level 3]:[Performance Indicator Level 1]],2,FALSE)</f>
        <v>Fertilizers distributed</v>
      </c>
      <c r="K26" s="51" t="str">
        <f>VLOOKUP(Table37[[#This Row],[ACTIVITY]],TAGS!B:P,2,FALSE)</f>
        <v>Inorganic fertilizer distributed</v>
      </c>
      <c r="L26" s="47" t="s">
        <v>57</v>
      </c>
      <c r="M26" s="51" t="str">
        <f>VLOOKUP(Table37[[#This Row],[ACTIVITY]],TAGS!$B:$P,4,FALSE)</f>
        <v>Sorghum Production Enhancement Project</v>
      </c>
      <c r="N26" s="51" t="str">
        <f>VLOOKUP(Table37[[#This Row],[ACTIVITY]],TAGS!$B:$P,5,FALSE)</f>
        <v>Soil Fertilization</v>
      </c>
      <c r="O26" s="51" t="str">
        <f>VLOOKUP(Table37[[#This Row],[ACTIVITY]],TAGS!$B:$P,6,FALSE)</f>
        <v>Inorganic fertilizer</v>
      </c>
      <c r="P26" s="51" t="str">
        <f>VLOOKUP(Table37[[#This Row],[ACTIVITY]],TAGS!$B:$P,7,FALSE)</f>
        <v>NO</v>
      </c>
      <c r="Q26" s="51" t="str">
        <f>VLOOKUP(Table37[[#This Row],[ACTIVITY]],TAGS!$B:$P,8,FALSE)</f>
        <v>PAP</v>
      </c>
      <c r="R26" s="51" t="str">
        <f>VLOOKUP(Table37[[#This Row],[ACTIVITY]],TAGS!$B:$P,10,FALSE)</f>
        <v>PIP</v>
      </c>
      <c r="S26" s="51" t="str">
        <f>VLOOKUP(Table37[[#This Row],[ACTIVITY]],TAGS!$B:$P,11,FALSE)</f>
        <v>PICS</v>
      </c>
      <c r="T26" s="51" t="str">
        <f>VLOOKUP(Table37[[#This Row],[ACTIVITY]],TAGS!$B:$P,12,FALSE)</f>
        <v>Consolidation</v>
      </c>
      <c r="U26" s="51" t="str">
        <f>VLOOKUP(Table37[[#This Row],[ACTIVITY]],TAGS!$B:$P,13,FALSE)</f>
        <v>1. Bayanihan Agri Cluster</v>
      </c>
      <c r="V26" s="51" t="str">
        <f>VLOOKUP(Table37[[#This Row],[ACTIVITY]],TAGS!$B:$P,14,FALSE)</f>
        <v>EXPAND AND IMPROVE AVAILABLE AGRI-FISHERY AREAS FOR INCREASED PRODUCTION</v>
      </c>
      <c r="W26" s="51" t="str">
        <f>VLOOKUP(Table37[[#This Row],[ACTIVITY]],TAGS!$B:$P,15,FALSE)</f>
        <v>Farm Inputs</v>
      </c>
      <c r="X26" s="51" t="str">
        <f>VLOOKUP(Table37[[#This Row],[PI LEVEL 3]],'PI LEVEL'!$A:$G,7,FALSE)</f>
        <v>DA-Level Output</v>
      </c>
      <c r="Y26" s="47" t="s">
        <v>577</v>
      </c>
      <c r="Z26" s="47" t="s">
        <v>329</v>
      </c>
      <c r="AA26" s="51" t="str">
        <f>VLOOKUP(Table37[[#This Row],[MONTH]],TAGS!$W$67:$Y$81,2,FALSE)</f>
        <v>1ST QTR</v>
      </c>
      <c r="AB26" s="51" t="str">
        <f>VLOOKUP(Table37[[#This Row],[MONTH]],TAGS!$W$67:$Y$81,3,FALSE)</f>
        <v>1ST SEMESTER</v>
      </c>
      <c r="AC26" s="51">
        <f>VLOOKUP(Table37[[#This Row],[MONTH]],TAGS!$W$67:$Z$81,4,FALSE)</f>
        <v>2025</v>
      </c>
      <c r="AD26" s="47">
        <v>3800</v>
      </c>
      <c r="AE26" s="47"/>
      <c r="AF26" s="51">
        <f>SUM(Table37[[#This Row],[MOOE (Php ''000)]:[CO (Php ''000)]])</f>
        <v>3800</v>
      </c>
      <c r="AG26" s="71" t="b">
        <f>ISBLANK(Table37[[#This Row],[PRPOPOSAL/BEDS]])</f>
        <v>0</v>
      </c>
      <c r="AH26" s="71" t="b">
        <f>ISBLANK(Table37[[#This Row],[OU]])</f>
        <v>0</v>
      </c>
      <c r="AI26" s="71" t="b">
        <f>ISBLANK(Table37[[#This Row],[SPECIFIC COMMODITY]])</f>
        <v>0</v>
      </c>
      <c r="AJ26" s="71" t="b">
        <f>ISBLANK(Table37[[#This Row],[COMMODITY PREXC SUB-PROGRAM]])</f>
        <v>0</v>
      </c>
      <c r="AK26" s="71" t="b">
        <f>ISBLANK(Table37[[#This Row],[ACTIVITY]])</f>
        <v>0</v>
      </c>
      <c r="AL26" s="71" t="b">
        <f>ISBLANK(Table37[[#This Row],[TAG-GAD]])</f>
        <v>0</v>
      </c>
      <c r="AM26" s="71" t="b">
        <f>ISBLANK(Table37[[#This Row],[MONTH]])</f>
        <v>0</v>
      </c>
      <c r="AN26" s="71" t="b">
        <f>ISBLANK(Table37[[#This Row],[MOOE (Php ''000)]])</f>
        <v>0</v>
      </c>
      <c r="AO26" s="71" t="b">
        <f>ISBLANK(Table37[[#This Row],[CO (Php ''000)]])</f>
        <v>1</v>
      </c>
    </row>
    <row r="27" spans="1:41">
      <c r="A27" s="51" t="str">
        <f>VLOOKUP(Table37[[#This Row],[OU]],OU!$A$15:$B$34,2,FALSE)</f>
        <v>RFOs</v>
      </c>
      <c r="B27" s="47" t="s">
        <v>297</v>
      </c>
      <c r="C27" s="47" t="s">
        <v>574</v>
      </c>
      <c r="D27" s="47" t="s">
        <v>581</v>
      </c>
      <c r="E27" s="51" t="str">
        <f>VLOOKUP(Table37[[#This Row],[SPECIFIC COMMODITY]],TAGS!$W$48:$X$53,2,FALSE)</f>
        <v>Sorghum</v>
      </c>
      <c r="F27" s="51" t="str">
        <f>VLOOKUP(Table37[[#This Row],[PREXC SUB-PROGRAM]],Table5[],2,FALSE)</f>
        <v>TECHNICAL AND SUPPORT SERVICES PROGRAM</v>
      </c>
      <c r="G27" s="51" t="str">
        <f>VLOOKUP(Table37[[#This Row],[COMMODITY PREXC SUB-PROGRAM]],TAGS!$U$54:$V$76,2,FALSE)</f>
        <v>PSS</v>
      </c>
      <c r="H27" s="47" t="s">
        <v>582</v>
      </c>
      <c r="I27" s="51" t="str">
        <f>VLOOKUP(Table37[[#This Row],[PI LEVEL 3]],'PI LEVEL'!A:C,3,FALSE)</f>
        <v>Fertilizers and other soil ammendment distributed</v>
      </c>
      <c r="J27" s="51" t="str">
        <f>VLOOKUP(Table37[[#This Row],[PI LEVEL 3]],Table53729[[Performance Indicator Level 3]:[Performance Indicator Level 1]],2,FALSE)</f>
        <v>Fertilizers distributed</v>
      </c>
      <c r="K27" s="51" t="str">
        <f>VLOOKUP(Table37[[#This Row],[ACTIVITY]],TAGS!B:P,2,FALSE)</f>
        <v>Inorganic fertilizer distributed</v>
      </c>
      <c r="L27" s="47" t="s">
        <v>57</v>
      </c>
      <c r="M27" s="51" t="str">
        <f>VLOOKUP(Table37[[#This Row],[ACTIVITY]],TAGS!$B:$P,4,FALSE)</f>
        <v>Sorghum Production Enhancement Project</v>
      </c>
      <c r="N27" s="51" t="str">
        <f>VLOOKUP(Table37[[#This Row],[ACTIVITY]],TAGS!$B:$P,5,FALSE)</f>
        <v>Soil Fertilization</v>
      </c>
      <c r="O27" s="51" t="str">
        <f>VLOOKUP(Table37[[#This Row],[ACTIVITY]],TAGS!$B:$P,6,FALSE)</f>
        <v>Inorganic fertilizer</v>
      </c>
      <c r="P27" s="51" t="str">
        <f>VLOOKUP(Table37[[#This Row],[ACTIVITY]],TAGS!$B:$P,7,FALSE)</f>
        <v>NO</v>
      </c>
      <c r="Q27" s="51" t="str">
        <f>VLOOKUP(Table37[[#This Row],[ACTIVITY]],TAGS!$B:$P,8,FALSE)</f>
        <v>PAP</v>
      </c>
      <c r="R27" s="51" t="str">
        <f>VLOOKUP(Table37[[#This Row],[ACTIVITY]],TAGS!$B:$P,10,FALSE)</f>
        <v>PIP</v>
      </c>
      <c r="S27" s="51" t="str">
        <f>VLOOKUP(Table37[[#This Row],[ACTIVITY]],TAGS!$B:$P,11,FALSE)</f>
        <v>PICS</v>
      </c>
      <c r="T27" s="51" t="str">
        <f>VLOOKUP(Table37[[#This Row],[ACTIVITY]],TAGS!$B:$P,12,FALSE)</f>
        <v>Consolidation</v>
      </c>
      <c r="U27" s="51" t="str">
        <f>VLOOKUP(Table37[[#This Row],[ACTIVITY]],TAGS!$B:$P,13,FALSE)</f>
        <v>1. Bayanihan Agri Cluster</v>
      </c>
      <c r="V27" s="51" t="str">
        <f>VLOOKUP(Table37[[#This Row],[ACTIVITY]],TAGS!$B:$P,14,FALSE)</f>
        <v>EXPAND AND IMPROVE AVAILABLE AGRI-FISHERY AREAS FOR INCREASED PRODUCTION</v>
      </c>
      <c r="W27" s="51" t="str">
        <f>VLOOKUP(Table37[[#This Row],[ACTIVITY]],TAGS!$B:$P,15,FALSE)</f>
        <v>Farm Inputs</v>
      </c>
      <c r="X27" s="51" t="str">
        <f>VLOOKUP(Table37[[#This Row],[PI LEVEL 3]],'PI LEVEL'!$A:$G,7,FALSE)</f>
        <v>DA-Level Output</v>
      </c>
      <c r="Y27" s="47" t="s">
        <v>577</v>
      </c>
      <c r="Z27" s="47" t="s">
        <v>333</v>
      </c>
      <c r="AA27" s="51" t="str">
        <f>VLOOKUP(Table37[[#This Row],[MONTH]],TAGS!$W$67:$Y$81,2,FALSE)</f>
        <v>3RD QTR</v>
      </c>
      <c r="AB27" s="51" t="str">
        <f>VLOOKUP(Table37[[#This Row],[MONTH]],TAGS!$W$67:$Y$81,3,FALSE)</f>
        <v>2ND SEMESTER</v>
      </c>
      <c r="AC27" s="51">
        <f>VLOOKUP(Table37[[#This Row],[MONTH]],TAGS!$W$67:$Z$81,4,FALSE)</f>
        <v>2025</v>
      </c>
      <c r="AD27" s="47">
        <v>700</v>
      </c>
      <c r="AE27" s="47"/>
      <c r="AF27" s="51">
        <f>SUM(Table37[[#This Row],[MOOE (Php ''000)]:[CO (Php ''000)]])</f>
        <v>700</v>
      </c>
      <c r="AG27" s="71" t="b">
        <f>ISBLANK(Table37[[#This Row],[PRPOPOSAL/BEDS]])</f>
        <v>0</v>
      </c>
      <c r="AH27" s="71" t="b">
        <f>ISBLANK(Table37[[#This Row],[OU]])</f>
        <v>0</v>
      </c>
      <c r="AI27" s="71" t="b">
        <f>ISBLANK(Table37[[#This Row],[SPECIFIC COMMODITY]])</f>
        <v>0</v>
      </c>
      <c r="AJ27" s="71" t="b">
        <f>ISBLANK(Table37[[#This Row],[COMMODITY PREXC SUB-PROGRAM]])</f>
        <v>0</v>
      </c>
      <c r="AK27" s="71" t="b">
        <f>ISBLANK(Table37[[#This Row],[ACTIVITY]])</f>
        <v>0</v>
      </c>
      <c r="AL27" s="71" t="b">
        <f>ISBLANK(Table37[[#This Row],[TAG-GAD]])</f>
        <v>0</v>
      </c>
      <c r="AM27" s="71" t="b">
        <f>ISBLANK(Table37[[#This Row],[MONTH]])</f>
        <v>0</v>
      </c>
      <c r="AN27" s="71" t="b">
        <f>ISBLANK(Table37[[#This Row],[MOOE (Php ''000)]])</f>
        <v>0</v>
      </c>
      <c r="AO27" s="71" t="b">
        <f>ISBLANK(Table37[[#This Row],[CO (Php ''000)]])</f>
        <v>1</v>
      </c>
    </row>
    <row r="28" spans="1:41">
      <c r="A28" s="51" t="str">
        <f>VLOOKUP(Table37[[#This Row],[OU]],OU!$A$15:$B$34,2,FALSE)</f>
        <v>RFOs</v>
      </c>
      <c r="B28" s="47" t="s">
        <v>297</v>
      </c>
      <c r="C28" s="47" t="s">
        <v>574</v>
      </c>
      <c r="D28" s="47" t="s">
        <v>583</v>
      </c>
      <c r="E28" s="51" t="str">
        <f>VLOOKUP(Table37[[#This Row],[SPECIFIC COMMODITY]],TAGS!$W$48:$X$53,2,FALSE)</f>
        <v>Soybean</v>
      </c>
      <c r="F28" s="51" t="str">
        <f>VLOOKUP(Table37[[#This Row],[PREXC SUB-PROGRAM]],Table5[],2,FALSE)</f>
        <v>TECHNICAL AND SUPPORT SERVICES PROGRAM</v>
      </c>
      <c r="G28" s="51" t="str">
        <f>VLOOKUP(Table37[[#This Row],[COMMODITY PREXC SUB-PROGRAM]],TAGS!$U$54:$V$76,2,FALSE)</f>
        <v>PSS</v>
      </c>
      <c r="H28" s="47" t="s">
        <v>584</v>
      </c>
      <c r="I28" s="51" t="str">
        <f>VLOOKUP(Table37[[#This Row],[PI LEVEL 3]],'PI LEVEL'!A:C,3,FALSE)</f>
        <v>Seeds distributed</v>
      </c>
      <c r="J28" s="51" t="str">
        <f>VLOOKUP(Table37[[#This Row],[PI LEVEL 3]],Table53729[[Performance Indicator Level 3]:[Performance Indicator Level 1]],2,FALSE)</f>
        <v>Vegetable Seeds distributed</v>
      </c>
      <c r="K28" s="51" t="str">
        <f>VLOOKUP(Table37[[#This Row],[ACTIVITY]],TAGS!B:P,2,FALSE)</f>
        <v>Soybean Seeds distributed</v>
      </c>
      <c r="L28" s="47" t="s">
        <v>59</v>
      </c>
      <c r="M28" s="51" t="str">
        <f>VLOOKUP(Table37[[#This Row],[ACTIVITY]],TAGS!$B:$P,4,FALSE)</f>
        <v>Soybean Production Enhancement Project</v>
      </c>
      <c r="N28" s="51" t="str">
        <f>VLOOKUP(Table37[[#This Row],[ACTIVITY]],TAGS!$B:$P,5,FALSE)</f>
        <v>Soybean Seed Assistance</v>
      </c>
      <c r="O28" s="51" t="str">
        <f>VLOOKUP(Table37[[#This Row],[ACTIVITY]],TAGS!$B:$P,6,FALSE)</f>
        <v>Soybean seeds</v>
      </c>
      <c r="P28" s="51" t="str">
        <f>VLOOKUP(Table37[[#This Row],[ACTIVITY]],TAGS!$B:$P,7,FALSE)</f>
        <v>NO</v>
      </c>
      <c r="Q28" s="51" t="str">
        <f>VLOOKUP(Table37[[#This Row],[ACTIVITY]],TAGS!$B:$P,8,FALSE)</f>
        <v>PAP</v>
      </c>
      <c r="R28" s="51" t="str">
        <f>VLOOKUP(Table37[[#This Row],[ACTIVITY]],TAGS!$B:$P,10,FALSE)</f>
        <v>PIP</v>
      </c>
      <c r="S28" s="51" t="str">
        <f>VLOOKUP(Table37[[#This Row],[ACTIVITY]],TAGS!$B:$P,11,FALSE)</f>
        <v>PICS</v>
      </c>
      <c r="T28" s="51" t="str">
        <f>VLOOKUP(Table37[[#This Row],[ACTIVITY]],TAGS!$B:$P,12,FALSE)</f>
        <v>Consolidation</v>
      </c>
      <c r="U28" s="51" t="str">
        <f>VLOOKUP(Table37[[#This Row],[ACTIVITY]],TAGS!$B:$P,13,FALSE)</f>
        <v>1. Bayanihan Agri Cluster</v>
      </c>
      <c r="V28" s="51" t="str">
        <f>VLOOKUP(Table37[[#This Row],[ACTIVITY]],TAGS!$B:$P,14,FALSE)</f>
        <v>EXPAND AND IMPROVE AVAILABLE AGRI-FISHERY AREAS FOR INCREASED PRODUCTION</v>
      </c>
      <c r="W28" s="51" t="str">
        <f>VLOOKUP(Table37[[#This Row],[ACTIVITY]],TAGS!$B:$P,15,FALSE)</f>
        <v>Farm Inputs</v>
      </c>
      <c r="X28" s="51" t="str">
        <f>VLOOKUP(Table37[[#This Row],[PI LEVEL 3]],'PI LEVEL'!$A:$G,7,FALSE)</f>
        <v>DA-Level Output</v>
      </c>
      <c r="Y28" s="47" t="s">
        <v>577</v>
      </c>
      <c r="Z28" s="47" t="s">
        <v>328</v>
      </c>
      <c r="AA28" s="51" t="str">
        <f>VLOOKUP(Table37[[#This Row],[MONTH]],TAGS!$W$67:$Y$81,2,FALSE)</f>
        <v>1ST QTR</v>
      </c>
      <c r="AB28" s="51" t="str">
        <f>VLOOKUP(Table37[[#This Row],[MONTH]],TAGS!$W$67:$Y$81,3,FALSE)</f>
        <v>1ST SEMESTER</v>
      </c>
      <c r="AC28" s="51">
        <f>VLOOKUP(Table37[[#This Row],[MONTH]],TAGS!$W$67:$Z$81,4,FALSE)</f>
        <v>2025</v>
      </c>
      <c r="AD28" s="47">
        <v>50</v>
      </c>
      <c r="AE28" s="47"/>
      <c r="AF28" s="51">
        <f>SUM(Table37[[#This Row],[MOOE (Php ''000)]:[CO (Php ''000)]])</f>
        <v>50</v>
      </c>
      <c r="AG28" s="71" t="b">
        <f>ISBLANK(Table37[[#This Row],[PRPOPOSAL/BEDS]])</f>
        <v>0</v>
      </c>
      <c r="AH28" s="71" t="b">
        <f>ISBLANK(Table37[[#This Row],[OU]])</f>
        <v>0</v>
      </c>
      <c r="AI28" s="71" t="b">
        <f>ISBLANK(Table37[[#This Row],[SPECIFIC COMMODITY]])</f>
        <v>0</v>
      </c>
      <c r="AJ28" s="71" t="b">
        <f>ISBLANK(Table37[[#This Row],[COMMODITY PREXC SUB-PROGRAM]])</f>
        <v>0</v>
      </c>
      <c r="AK28" s="71" t="b">
        <f>ISBLANK(Table37[[#This Row],[ACTIVITY]])</f>
        <v>0</v>
      </c>
      <c r="AL28" s="71" t="b">
        <f>ISBLANK(Table37[[#This Row],[TAG-GAD]])</f>
        <v>0</v>
      </c>
      <c r="AM28" s="71" t="b">
        <f>ISBLANK(Table37[[#This Row],[MONTH]])</f>
        <v>0</v>
      </c>
      <c r="AN28" s="71" t="b">
        <f>ISBLANK(Table37[[#This Row],[MOOE (Php ''000)]])</f>
        <v>0</v>
      </c>
      <c r="AO28" s="71" t="b">
        <f>ISBLANK(Table37[[#This Row],[CO (Php ''000)]])</f>
        <v>1</v>
      </c>
    </row>
    <row r="29" spans="1:41">
      <c r="A29" s="51" t="str">
        <f>VLOOKUP(Table37[[#This Row],[OU]],OU!$A$15:$B$34,2,FALSE)</f>
        <v>RFOs</v>
      </c>
      <c r="B29" s="47" t="s">
        <v>297</v>
      </c>
      <c r="C29" s="47" t="s">
        <v>574</v>
      </c>
      <c r="D29" s="47" t="s">
        <v>583</v>
      </c>
      <c r="E29" s="51" t="str">
        <f>VLOOKUP(Table37[[#This Row],[SPECIFIC COMMODITY]],TAGS!$W$48:$X$53,2,FALSE)</f>
        <v>Soybean</v>
      </c>
      <c r="F29" s="51" t="str">
        <f>VLOOKUP(Table37[[#This Row],[PREXC SUB-PROGRAM]],Table5[],2,FALSE)</f>
        <v>TECHNICAL AND SUPPORT SERVICES PROGRAM</v>
      </c>
      <c r="G29" s="51" t="str">
        <f>VLOOKUP(Table37[[#This Row],[COMMODITY PREXC SUB-PROGRAM]],TAGS!$U$54:$V$76,2,FALSE)</f>
        <v>PSS</v>
      </c>
      <c r="H29" s="47" t="s">
        <v>584</v>
      </c>
      <c r="I29" s="51" t="str">
        <f>VLOOKUP(Table37[[#This Row],[PI LEVEL 3]],'PI LEVEL'!A:C,3,FALSE)</f>
        <v>Fertilizers and other soil ammendment distributed</v>
      </c>
      <c r="J29" s="51" t="str">
        <f>VLOOKUP(Table37[[#This Row],[PI LEVEL 3]],Table53729[[Performance Indicator Level 3]:[Performance Indicator Level 1]],2,FALSE)</f>
        <v>Fertilizers distributed</v>
      </c>
      <c r="K29" s="51" t="str">
        <f>VLOOKUP(Table37[[#This Row],[ACTIVITY]],TAGS!B:P,2,FALSE)</f>
        <v>Inorganic fertilizer distributed</v>
      </c>
      <c r="L29" s="47" t="s">
        <v>61</v>
      </c>
      <c r="M29" s="51" t="str">
        <f>VLOOKUP(Table37[[#This Row],[ACTIVITY]],TAGS!$B:$P,4,FALSE)</f>
        <v>Soybean Production Enhancement Project</v>
      </c>
      <c r="N29" s="51" t="str">
        <f>VLOOKUP(Table37[[#This Row],[ACTIVITY]],TAGS!$B:$P,5,FALSE)</f>
        <v>Soil Fertilization</v>
      </c>
      <c r="O29" s="51" t="str">
        <f>VLOOKUP(Table37[[#This Row],[ACTIVITY]],TAGS!$B:$P,6,FALSE)</f>
        <v>Inorganic fertilizer</v>
      </c>
      <c r="P29" s="51" t="str">
        <f>VLOOKUP(Table37[[#This Row],[ACTIVITY]],TAGS!$B:$P,7,FALSE)</f>
        <v>NO</v>
      </c>
      <c r="Q29" s="51" t="str">
        <f>VLOOKUP(Table37[[#This Row],[ACTIVITY]],TAGS!$B:$P,8,FALSE)</f>
        <v>PAP</v>
      </c>
      <c r="R29" s="51" t="str">
        <f>VLOOKUP(Table37[[#This Row],[ACTIVITY]],TAGS!$B:$P,10,FALSE)</f>
        <v>PIP</v>
      </c>
      <c r="S29" s="51" t="str">
        <f>VLOOKUP(Table37[[#This Row],[ACTIVITY]],TAGS!$B:$P,11,FALSE)</f>
        <v>PICS</v>
      </c>
      <c r="T29" s="51" t="str">
        <f>VLOOKUP(Table37[[#This Row],[ACTIVITY]],TAGS!$B:$P,12,FALSE)</f>
        <v>Consolidation</v>
      </c>
      <c r="U29" s="51" t="str">
        <f>VLOOKUP(Table37[[#This Row],[ACTIVITY]],TAGS!$B:$P,13,FALSE)</f>
        <v>1. Bayanihan Agri Cluster</v>
      </c>
      <c r="V29" s="51" t="str">
        <f>VLOOKUP(Table37[[#This Row],[ACTIVITY]],TAGS!$B:$P,14,FALSE)</f>
        <v>EXPAND AND IMPROVE AVAILABLE AGRI-FISHERY AREAS FOR INCREASED PRODUCTION</v>
      </c>
      <c r="W29" s="51" t="str">
        <f>VLOOKUP(Table37[[#This Row],[ACTIVITY]],TAGS!$B:$P,15,FALSE)</f>
        <v>Farm Inputs</v>
      </c>
      <c r="X29" s="51" t="str">
        <f>VLOOKUP(Table37[[#This Row],[PI LEVEL 3]],'PI LEVEL'!$A:$G,7,FALSE)</f>
        <v>DA-Level Output</v>
      </c>
      <c r="Y29" s="47" t="s">
        <v>577</v>
      </c>
      <c r="Z29" s="47" t="s">
        <v>328</v>
      </c>
      <c r="AA29" s="51" t="str">
        <f>VLOOKUP(Table37[[#This Row],[MONTH]],TAGS!$W$67:$Y$81,2,FALSE)</f>
        <v>1ST QTR</v>
      </c>
      <c r="AB29" s="51" t="str">
        <f>VLOOKUP(Table37[[#This Row],[MONTH]],TAGS!$W$67:$Y$81,3,FALSE)</f>
        <v>1ST SEMESTER</v>
      </c>
      <c r="AC29" s="51">
        <f>VLOOKUP(Table37[[#This Row],[MONTH]],TAGS!$W$67:$Z$81,4,FALSE)</f>
        <v>2025</v>
      </c>
      <c r="AD29" s="47">
        <v>113</v>
      </c>
      <c r="AE29" s="47"/>
      <c r="AF29" s="51">
        <f>SUM(Table37[[#This Row],[MOOE (Php ''000)]:[CO (Php ''000)]])</f>
        <v>113</v>
      </c>
      <c r="AG29" s="71" t="b">
        <f>ISBLANK(Table37[[#This Row],[PRPOPOSAL/BEDS]])</f>
        <v>0</v>
      </c>
      <c r="AH29" s="71" t="b">
        <f>ISBLANK(Table37[[#This Row],[OU]])</f>
        <v>0</v>
      </c>
      <c r="AI29" s="71" t="b">
        <f>ISBLANK(Table37[[#This Row],[SPECIFIC COMMODITY]])</f>
        <v>0</v>
      </c>
      <c r="AJ29" s="71" t="b">
        <f>ISBLANK(Table37[[#This Row],[COMMODITY PREXC SUB-PROGRAM]])</f>
        <v>0</v>
      </c>
      <c r="AK29" s="71" t="b">
        <f>ISBLANK(Table37[[#This Row],[ACTIVITY]])</f>
        <v>0</v>
      </c>
      <c r="AL29" s="71" t="b">
        <f>ISBLANK(Table37[[#This Row],[TAG-GAD]])</f>
        <v>0</v>
      </c>
      <c r="AM29" s="71" t="b">
        <f>ISBLANK(Table37[[#This Row],[MONTH]])</f>
        <v>0</v>
      </c>
      <c r="AN29" s="71" t="b">
        <f>ISBLANK(Table37[[#This Row],[MOOE (Php ''000)]])</f>
        <v>0</v>
      </c>
      <c r="AO29" s="71" t="b">
        <f>ISBLANK(Table37[[#This Row],[CO (Php ''000)]])</f>
        <v>1</v>
      </c>
    </row>
    <row r="30" spans="1:41">
      <c r="A30" s="51" t="str">
        <f>VLOOKUP(Table37[[#This Row],[OU]],OU!$A$15:$B$34,2,FALSE)</f>
        <v>RFOs</v>
      </c>
      <c r="B30" s="47" t="s">
        <v>297</v>
      </c>
      <c r="C30" s="47" t="s">
        <v>574</v>
      </c>
      <c r="D30" s="47" t="s">
        <v>585</v>
      </c>
      <c r="E30" s="51" t="str">
        <f>VLOOKUP(Table37[[#This Row],[SPECIFIC COMMODITY]],TAGS!$W$48:$X$53,2,FALSE)</f>
        <v>Multi_commodity</v>
      </c>
      <c r="F30" s="51" t="str">
        <f>VLOOKUP(Table37[[#This Row],[PREXC SUB-PROGRAM]],Table5[],2,FALSE)</f>
        <v>TECHNICAL AND SUPPORT SERVICES PROGRAM</v>
      </c>
      <c r="G30" s="51" t="str">
        <f>VLOOKUP(Table37[[#This Row],[COMMODITY PREXC SUB-PROGRAM]],TAGS!$U$54:$V$76,2,FALSE)</f>
        <v>PSS</v>
      </c>
      <c r="H30" s="47" t="s">
        <v>586</v>
      </c>
      <c r="I30" s="51" t="str">
        <f>VLOOKUP(Table37[[#This Row],[PI LEVEL 3]],'PI LEVEL'!A:C,3,FALSE)</f>
        <v>Farm machinery and equipment procured for stations</v>
      </c>
      <c r="J30" s="51" t="str">
        <f>VLOOKUP(Table37[[#This Row],[PI LEVEL 3]],Table53729[[Performance Indicator Level 3]:[Performance Indicator Level 1]],2,FALSE)</f>
        <v>Farm machinery and equipment procured for stations</v>
      </c>
      <c r="K30" s="51" t="str">
        <f>VLOOKUP(Table37[[#This Row],[ACTIVITY]],TAGS!B:P,2,FALSE)</f>
        <v>Production machinery and equipment procured for stations</v>
      </c>
      <c r="L30" s="47" t="s">
        <v>94</v>
      </c>
      <c r="M30" s="51" t="str">
        <f>VLOOKUP(Table37[[#This Row],[ACTIVITY]],TAGS!$B:$P,4,FALSE)</f>
        <v>DA Facilities Management</v>
      </c>
      <c r="N30" s="51" t="str">
        <f>VLOOKUP(Table37[[#This Row],[ACTIVITY]],TAGS!$B:$P,5,FALSE)</f>
        <v>Support to DA Stations</v>
      </c>
      <c r="O30" s="51" t="str">
        <f>VLOOKUP(Table37[[#This Row],[ACTIVITY]],TAGS!$B:$P,6,FALSE)</f>
        <v>Machinery &amp; Equipment for DA Stations</v>
      </c>
      <c r="P30" s="51" t="str">
        <f>VLOOKUP(Table37[[#This Row],[ACTIVITY]],TAGS!$B:$P,7,FALSE)</f>
        <v>NO</v>
      </c>
      <c r="Q30" s="51" t="str">
        <f>VLOOKUP(Table37[[#This Row],[ACTIVITY]],TAGS!$B:$P,8,FALSE)</f>
        <v>PAP</v>
      </c>
      <c r="R30" s="51" t="str">
        <f>VLOOKUP(Table37[[#This Row],[ACTIVITY]],TAGS!$B:$P,10,FALSE)</f>
        <v>PIP</v>
      </c>
      <c r="S30" s="51" t="str">
        <f>VLOOKUP(Table37[[#This Row],[ACTIVITY]],TAGS!$B:$P,11,FALSE)</f>
        <v>PICS</v>
      </c>
      <c r="T30" s="51" t="str">
        <f>VLOOKUP(Table37[[#This Row],[ACTIVITY]],TAGS!$B:$P,12,FALSE)</f>
        <v>Modernization</v>
      </c>
      <c r="U30" s="51" t="str">
        <f>VLOOKUP(Table37[[#This Row],[ACTIVITY]],TAGS!$B:$P,13,FALSE)</f>
        <v>8. Farm Mechanization and Farm Investments</v>
      </c>
      <c r="V30" s="51">
        <f>VLOOKUP(Table37[[#This Row],[ACTIVITY]],TAGS!$B:$P,14,FALSE)</f>
        <v>0</v>
      </c>
      <c r="W30" s="51" t="str">
        <f>VLOOKUP(Table37[[#This Row],[ACTIVITY]],TAGS!$B:$P,15,FALSE)</f>
        <v>DA Station</v>
      </c>
      <c r="X30" s="51" t="str">
        <f>VLOOKUP(Table37[[#This Row],[PI LEVEL 3]],'PI LEVEL'!$A:$G,7,FALSE)</f>
        <v>DA-Level Output</v>
      </c>
      <c r="Y30" s="47" t="s">
        <v>577</v>
      </c>
      <c r="Z30" s="47" t="s">
        <v>330</v>
      </c>
      <c r="AA30" s="51" t="str">
        <f>VLOOKUP(Table37[[#This Row],[MONTH]],TAGS!$W$67:$Y$81,2,FALSE)</f>
        <v>2ND QTR</v>
      </c>
      <c r="AB30" s="51" t="str">
        <f>VLOOKUP(Table37[[#This Row],[MONTH]],TAGS!$W$67:$Y$81,3,FALSE)</f>
        <v>1ST SEMESTER</v>
      </c>
      <c r="AC30" s="51">
        <f>VLOOKUP(Table37[[#This Row],[MONTH]],TAGS!$W$67:$Z$81,4,FALSE)</f>
        <v>2025</v>
      </c>
      <c r="AD30" s="47"/>
      <c r="AE30" s="47">
        <v>1200</v>
      </c>
      <c r="AF30" s="51">
        <f>SUM(Table37[[#This Row],[MOOE (Php ''000)]:[CO (Php ''000)]])</f>
        <v>1200</v>
      </c>
      <c r="AG30" s="71" t="b">
        <f>ISBLANK(Table37[[#This Row],[PRPOPOSAL/BEDS]])</f>
        <v>0</v>
      </c>
      <c r="AH30" s="71" t="b">
        <f>ISBLANK(Table37[[#This Row],[OU]])</f>
        <v>0</v>
      </c>
      <c r="AI30" s="71" t="b">
        <f>ISBLANK(Table37[[#This Row],[SPECIFIC COMMODITY]])</f>
        <v>0</v>
      </c>
      <c r="AJ30" s="71" t="b">
        <f>ISBLANK(Table37[[#This Row],[COMMODITY PREXC SUB-PROGRAM]])</f>
        <v>0</v>
      </c>
      <c r="AK30" s="71" t="b">
        <f>ISBLANK(Table37[[#This Row],[ACTIVITY]])</f>
        <v>0</v>
      </c>
      <c r="AL30" s="71" t="b">
        <f>ISBLANK(Table37[[#This Row],[TAG-GAD]])</f>
        <v>0</v>
      </c>
      <c r="AM30" s="71" t="b">
        <f>ISBLANK(Table37[[#This Row],[MONTH]])</f>
        <v>0</v>
      </c>
      <c r="AN30" s="71" t="b">
        <f>ISBLANK(Table37[[#This Row],[MOOE (Php ''000)]])</f>
        <v>1</v>
      </c>
      <c r="AO30" s="71" t="b">
        <f>ISBLANK(Table37[[#This Row],[CO (Php ''000)]])</f>
        <v>0</v>
      </c>
    </row>
    <row r="31" spans="1:41">
      <c r="A31" s="51" t="str">
        <f>VLOOKUP(Table37[[#This Row],[OU]],OU!$A$15:$B$34,2,FALSE)</f>
        <v>RFOs</v>
      </c>
      <c r="B31" s="47" t="s">
        <v>297</v>
      </c>
      <c r="C31" s="47" t="s">
        <v>574</v>
      </c>
      <c r="D31" s="47" t="s">
        <v>585</v>
      </c>
      <c r="E31" s="51" t="str">
        <f>VLOOKUP(Table37[[#This Row],[SPECIFIC COMMODITY]],TAGS!$W$48:$X$53,2,FALSE)</f>
        <v>Multi_commodity</v>
      </c>
      <c r="F31" s="51" t="str">
        <f>VLOOKUP(Table37[[#This Row],[PREXC SUB-PROGRAM]],Table5[],2,FALSE)</f>
        <v>TECHNICAL AND SUPPORT SERVICES PROGRAM</v>
      </c>
      <c r="G31" s="51" t="str">
        <f>VLOOKUP(Table37[[#This Row],[COMMODITY PREXC SUB-PROGRAM]],TAGS!$U$54:$V$76,2,FALSE)</f>
        <v>PSS</v>
      </c>
      <c r="H31" s="47" t="s">
        <v>586</v>
      </c>
      <c r="I31" s="51" t="str">
        <f>VLOOKUP(Table37[[#This Row],[PI LEVEL 3]],'PI LEVEL'!A:C,3,FALSE)</f>
        <v>Farm machinery and equipment procured for stations</v>
      </c>
      <c r="J31" s="51" t="str">
        <f>VLOOKUP(Table37[[#This Row],[PI LEVEL 3]],Table53729[[Performance Indicator Level 3]:[Performance Indicator Level 1]],2,FALSE)</f>
        <v>Farm machinery and equipment procured for stations</v>
      </c>
      <c r="K31" s="51" t="str">
        <f>VLOOKUP(Table37[[#This Row],[ACTIVITY]],TAGS!B:P,2,FALSE)</f>
        <v>Postharvest machinery and equipment procured for stations</v>
      </c>
      <c r="L31" s="47" t="s">
        <v>96</v>
      </c>
      <c r="M31" s="51" t="str">
        <f>VLOOKUP(Table37[[#This Row],[ACTIVITY]],TAGS!$B:$P,4,FALSE)</f>
        <v>DA Facilities Management</v>
      </c>
      <c r="N31" s="51" t="str">
        <f>VLOOKUP(Table37[[#This Row],[ACTIVITY]],TAGS!$B:$P,5,FALSE)</f>
        <v>Support to DA Stations</v>
      </c>
      <c r="O31" s="51" t="str">
        <f>VLOOKUP(Table37[[#This Row],[ACTIVITY]],TAGS!$B:$P,6,FALSE)</f>
        <v>Machinery &amp; Equipment for DA Stations</v>
      </c>
      <c r="P31" s="51" t="str">
        <f>VLOOKUP(Table37[[#This Row],[ACTIVITY]],TAGS!$B:$P,7,FALSE)</f>
        <v>NO</v>
      </c>
      <c r="Q31" s="51" t="str">
        <f>VLOOKUP(Table37[[#This Row],[ACTIVITY]],TAGS!$B:$P,8,FALSE)</f>
        <v>PAP</v>
      </c>
      <c r="R31" s="51" t="str">
        <f>VLOOKUP(Table37[[#This Row],[ACTIVITY]],TAGS!$B:$P,10,FALSE)</f>
        <v>PIP</v>
      </c>
      <c r="S31" s="51" t="str">
        <f>VLOOKUP(Table37[[#This Row],[ACTIVITY]],TAGS!$B:$P,11,FALSE)</f>
        <v>PICS</v>
      </c>
      <c r="T31" s="51" t="str">
        <f>VLOOKUP(Table37[[#This Row],[ACTIVITY]],TAGS!$B:$P,12,FALSE)</f>
        <v>Modernization</v>
      </c>
      <c r="U31" s="51" t="str">
        <f>VLOOKUP(Table37[[#This Row],[ACTIVITY]],TAGS!$B:$P,13,FALSE)</f>
        <v>8. Farm Mechanization and Farm Investments</v>
      </c>
      <c r="V31" s="51">
        <f>VLOOKUP(Table37[[#This Row],[ACTIVITY]],TAGS!$B:$P,14,FALSE)</f>
        <v>0</v>
      </c>
      <c r="W31" s="51" t="str">
        <f>VLOOKUP(Table37[[#This Row],[ACTIVITY]],TAGS!$B:$P,15,FALSE)</f>
        <v>DA Station</v>
      </c>
      <c r="X31" s="51" t="str">
        <f>VLOOKUP(Table37[[#This Row],[PI LEVEL 3]],'PI LEVEL'!$A:$G,7,FALSE)</f>
        <v>DA-Level Output</v>
      </c>
      <c r="Y31" s="47" t="s">
        <v>577</v>
      </c>
      <c r="Z31" s="47" t="s">
        <v>330</v>
      </c>
      <c r="AA31" s="51" t="str">
        <f>VLOOKUP(Table37[[#This Row],[MONTH]],TAGS!$W$67:$Y$81,2,FALSE)</f>
        <v>2ND QTR</v>
      </c>
      <c r="AB31" s="51" t="str">
        <f>VLOOKUP(Table37[[#This Row],[MONTH]],TAGS!$W$67:$Y$81,3,FALSE)</f>
        <v>1ST SEMESTER</v>
      </c>
      <c r="AC31" s="51">
        <f>VLOOKUP(Table37[[#This Row],[MONTH]],TAGS!$W$67:$Z$81,4,FALSE)</f>
        <v>2025</v>
      </c>
      <c r="AD31" s="47"/>
      <c r="AE31" s="47">
        <v>240</v>
      </c>
      <c r="AF31" s="51">
        <f>SUM(Table37[[#This Row],[MOOE (Php ''000)]:[CO (Php ''000)]])</f>
        <v>240</v>
      </c>
      <c r="AG31" s="71" t="b">
        <f>ISBLANK(Table37[[#This Row],[PRPOPOSAL/BEDS]])</f>
        <v>0</v>
      </c>
      <c r="AH31" s="71" t="b">
        <f>ISBLANK(Table37[[#This Row],[OU]])</f>
        <v>0</v>
      </c>
      <c r="AI31" s="71" t="b">
        <f>ISBLANK(Table37[[#This Row],[SPECIFIC COMMODITY]])</f>
        <v>0</v>
      </c>
      <c r="AJ31" s="71" t="b">
        <f>ISBLANK(Table37[[#This Row],[COMMODITY PREXC SUB-PROGRAM]])</f>
        <v>0</v>
      </c>
      <c r="AK31" s="71" t="b">
        <f>ISBLANK(Table37[[#This Row],[ACTIVITY]])</f>
        <v>0</v>
      </c>
      <c r="AL31" s="71" t="b">
        <f>ISBLANK(Table37[[#This Row],[TAG-GAD]])</f>
        <v>0</v>
      </c>
      <c r="AM31" s="71" t="b">
        <f>ISBLANK(Table37[[#This Row],[MONTH]])</f>
        <v>0</v>
      </c>
      <c r="AN31" s="71" t="b">
        <f>ISBLANK(Table37[[#This Row],[MOOE (Php ''000)]])</f>
        <v>1</v>
      </c>
      <c r="AO31" s="71" t="b">
        <f>ISBLANK(Table37[[#This Row],[CO (Php ''000)]])</f>
        <v>0</v>
      </c>
    </row>
    <row r="32" spans="1:41">
      <c r="A32" s="51" t="str">
        <f>VLOOKUP(Table37[[#This Row],[OU]],OU!$A$15:$B$34,2,FALSE)</f>
        <v>RFOs</v>
      </c>
      <c r="B32" s="47" t="s">
        <v>297</v>
      </c>
      <c r="C32" s="47" t="s">
        <v>574</v>
      </c>
      <c r="D32" s="47" t="s">
        <v>585</v>
      </c>
      <c r="E32" s="51" t="str">
        <f>VLOOKUP(Table37[[#This Row],[SPECIFIC COMMODITY]],TAGS!$W$48:$X$53,2,FALSE)</f>
        <v>Multi_commodity</v>
      </c>
      <c r="F32" s="51" t="str">
        <f>VLOOKUP(Table37[[#This Row],[PREXC SUB-PROGRAM]],Table5[],2,FALSE)</f>
        <v>TECHNICAL AND SUPPORT SERVICES PROGRAM</v>
      </c>
      <c r="G32" s="51" t="str">
        <f>VLOOKUP(Table37[[#This Row],[COMMODITY PREXC SUB-PROGRAM]],TAGS!$U$54:$V$76,2,FALSE)</f>
        <v>PSS</v>
      </c>
      <c r="H32" s="47" t="s">
        <v>586</v>
      </c>
      <c r="I32" s="51" t="str">
        <f>VLOOKUP(Table37[[#This Row],[PI LEVEL 3]],'PI LEVEL'!A:C,3,FALSE)</f>
        <v>Farm machinery and equipment procured for stations</v>
      </c>
      <c r="J32" s="51" t="str">
        <f>VLOOKUP(Table37[[#This Row],[PI LEVEL 3]],Table53729[[Performance Indicator Level 3]:[Performance Indicator Level 1]],2,FALSE)</f>
        <v>Farm machinery and equipment procured for stations</v>
      </c>
      <c r="K32" s="51" t="str">
        <f>VLOOKUP(Table37[[#This Row],[ACTIVITY]],TAGS!B:P,2,FALSE)</f>
        <v>Postharvest machinery and equipment procured for stations</v>
      </c>
      <c r="L32" s="47" t="s">
        <v>98</v>
      </c>
      <c r="M32" s="51" t="str">
        <f>VLOOKUP(Table37[[#This Row],[ACTIVITY]],TAGS!$B:$P,4,FALSE)</f>
        <v>DA Facilities Management</v>
      </c>
      <c r="N32" s="51" t="str">
        <f>VLOOKUP(Table37[[#This Row],[ACTIVITY]],TAGS!$B:$P,5,FALSE)</f>
        <v>Support to DA Stations</v>
      </c>
      <c r="O32" s="51" t="str">
        <f>VLOOKUP(Table37[[#This Row],[ACTIVITY]],TAGS!$B:$P,6,FALSE)</f>
        <v>Machinery &amp; Equipment for DA Stations</v>
      </c>
      <c r="P32" s="51" t="str">
        <f>VLOOKUP(Table37[[#This Row],[ACTIVITY]],TAGS!$B:$P,7,FALSE)</f>
        <v>NO</v>
      </c>
      <c r="Q32" s="51" t="str">
        <f>VLOOKUP(Table37[[#This Row],[ACTIVITY]],TAGS!$B:$P,8,FALSE)</f>
        <v>PAP</v>
      </c>
      <c r="R32" s="51" t="str">
        <f>VLOOKUP(Table37[[#This Row],[ACTIVITY]],TAGS!$B:$P,10,FALSE)</f>
        <v>PIP</v>
      </c>
      <c r="S32" s="51" t="str">
        <f>VLOOKUP(Table37[[#This Row],[ACTIVITY]],TAGS!$B:$P,11,FALSE)</f>
        <v>PICS</v>
      </c>
      <c r="T32" s="51" t="str">
        <f>VLOOKUP(Table37[[#This Row],[ACTIVITY]],TAGS!$B:$P,12,FALSE)</f>
        <v>Modernization</v>
      </c>
      <c r="U32" s="51" t="str">
        <f>VLOOKUP(Table37[[#This Row],[ACTIVITY]],TAGS!$B:$P,13,FALSE)</f>
        <v>8. Farm Mechanization and Farm Investments</v>
      </c>
      <c r="V32" s="51">
        <f>VLOOKUP(Table37[[#This Row],[ACTIVITY]],TAGS!$B:$P,14,FALSE)</f>
        <v>0</v>
      </c>
      <c r="W32" s="51" t="str">
        <f>VLOOKUP(Table37[[#This Row],[ACTIVITY]],TAGS!$B:$P,15,FALSE)</f>
        <v>DA Station</v>
      </c>
      <c r="X32" s="51" t="str">
        <f>VLOOKUP(Table37[[#This Row],[PI LEVEL 3]],'PI LEVEL'!$A:$G,7,FALSE)</f>
        <v>DA-Level Output</v>
      </c>
      <c r="Y32" s="47" t="s">
        <v>577</v>
      </c>
      <c r="Z32" s="47" t="s">
        <v>330</v>
      </c>
      <c r="AA32" s="51" t="str">
        <f>VLOOKUP(Table37[[#This Row],[MONTH]],TAGS!$W$67:$Y$81,2,FALSE)</f>
        <v>2ND QTR</v>
      </c>
      <c r="AB32" s="51" t="str">
        <f>VLOOKUP(Table37[[#This Row],[MONTH]],TAGS!$W$67:$Y$81,3,FALSE)</f>
        <v>1ST SEMESTER</v>
      </c>
      <c r="AC32" s="51">
        <f>VLOOKUP(Table37[[#This Row],[MONTH]],TAGS!$W$67:$Z$81,4,FALSE)</f>
        <v>2025</v>
      </c>
      <c r="AD32" s="47"/>
      <c r="AE32" s="47">
        <v>1200</v>
      </c>
      <c r="AF32" s="51">
        <f>SUM(Table37[[#This Row],[MOOE (Php ''000)]:[CO (Php ''000)]])</f>
        <v>1200</v>
      </c>
      <c r="AG32" s="71" t="b">
        <f>ISBLANK(Table37[[#This Row],[PRPOPOSAL/BEDS]])</f>
        <v>0</v>
      </c>
      <c r="AH32" s="71" t="b">
        <f>ISBLANK(Table37[[#This Row],[OU]])</f>
        <v>0</v>
      </c>
      <c r="AI32" s="71" t="b">
        <f>ISBLANK(Table37[[#This Row],[SPECIFIC COMMODITY]])</f>
        <v>0</v>
      </c>
      <c r="AJ32" s="71" t="b">
        <f>ISBLANK(Table37[[#This Row],[COMMODITY PREXC SUB-PROGRAM]])</f>
        <v>0</v>
      </c>
      <c r="AK32" s="71" t="b">
        <f>ISBLANK(Table37[[#This Row],[ACTIVITY]])</f>
        <v>0</v>
      </c>
      <c r="AL32" s="71" t="b">
        <f>ISBLANK(Table37[[#This Row],[TAG-GAD]])</f>
        <v>0</v>
      </c>
      <c r="AM32" s="71" t="b">
        <f>ISBLANK(Table37[[#This Row],[MONTH]])</f>
        <v>0</v>
      </c>
      <c r="AN32" s="71" t="b">
        <f>ISBLANK(Table37[[#This Row],[MOOE (Php ''000)]])</f>
        <v>1</v>
      </c>
      <c r="AO32" s="71" t="b">
        <f>ISBLANK(Table37[[#This Row],[CO (Php ''000)]])</f>
        <v>0</v>
      </c>
    </row>
    <row r="33" spans="1:41">
      <c r="A33" s="51" t="str">
        <f>VLOOKUP(Table37[[#This Row],[OU]],OU!$A$15:$B$34,2,FALSE)</f>
        <v>RFOs</v>
      </c>
      <c r="B33" s="47" t="s">
        <v>297</v>
      </c>
      <c r="C33" s="47" t="s">
        <v>574</v>
      </c>
      <c r="D33" s="47" t="s">
        <v>585</v>
      </c>
      <c r="E33" s="51" t="str">
        <f>VLOOKUP(Table37[[#This Row],[SPECIFIC COMMODITY]],TAGS!$W$48:$X$53,2,FALSE)</f>
        <v>Multi_commodity</v>
      </c>
      <c r="F33" s="51" t="str">
        <f>VLOOKUP(Table37[[#This Row],[PREXC SUB-PROGRAM]],Table5[],2,FALSE)</f>
        <v>TECHNICAL AND SUPPORT SERVICES PROGRAM</v>
      </c>
      <c r="G33" s="51" t="str">
        <f>VLOOKUP(Table37[[#This Row],[COMMODITY PREXC SUB-PROGRAM]],TAGS!$U$54:$V$76,2,FALSE)</f>
        <v>PSS</v>
      </c>
      <c r="H33" s="47" t="s">
        <v>586</v>
      </c>
      <c r="I33" s="51" t="str">
        <f>VLOOKUP(Table37[[#This Row],[PI LEVEL 3]],'PI LEVEL'!A:C,3,FALSE)</f>
        <v>Farm machinery and equipment procured for stations</v>
      </c>
      <c r="J33" s="51" t="str">
        <f>VLOOKUP(Table37[[#This Row],[PI LEVEL 3]],Table53729[[Performance Indicator Level 3]:[Performance Indicator Level 1]],2,FALSE)</f>
        <v>Farm machinery and equipment procured for stations</v>
      </c>
      <c r="K33" s="51" t="str">
        <f>VLOOKUP(Table37[[#This Row],[ACTIVITY]],TAGS!B:P,2,FALSE)</f>
        <v>Postharvest machinery and equipment procured for stations</v>
      </c>
      <c r="L33" s="47" t="s">
        <v>100</v>
      </c>
      <c r="M33" s="51" t="str">
        <f>VLOOKUP(Table37[[#This Row],[ACTIVITY]],TAGS!$B:$P,4,FALSE)</f>
        <v>DA Facilities Management</v>
      </c>
      <c r="N33" s="51" t="str">
        <f>VLOOKUP(Table37[[#This Row],[ACTIVITY]],TAGS!$B:$P,5,FALSE)</f>
        <v>Support to DA Stations</v>
      </c>
      <c r="O33" s="51" t="str">
        <f>VLOOKUP(Table37[[#This Row],[ACTIVITY]],TAGS!$B:$P,6,FALSE)</f>
        <v>Machinery &amp; Equipment for DA Stations</v>
      </c>
      <c r="P33" s="51" t="str">
        <f>VLOOKUP(Table37[[#This Row],[ACTIVITY]],TAGS!$B:$P,7,FALSE)</f>
        <v>NO</v>
      </c>
      <c r="Q33" s="51" t="str">
        <f>VLOOKUP(Table37[[#This Row],[ACTIVITY]],TAGS!$B:$P,8,FALSE)</f>
        <v>PAP</v>
      </c>
      <c r="R33" s="51" t="str">
        <f>VLOOKUP(Table37[[#This Row],[ACTIVITY]],TAGS!$B:$P,10,FALSE)</f>
        <v>PIP</v>
      </c>
      <c r="S33" s="51" t="str">
        <f>VLOOKUP(Table37[[#This Row],[ACTIVITY]],TAGS!$B:$P,11,FALSE)</f>
        <v>PICS</v>
      </c>
      <c r="T33" s="51" t="str">
        <f>VLOOKUP(Table37[[#This Row],[ACTIVITY]],TAGS!$B:$P,12,FALSE)</f>
        <v>Modernization</v>
      </c>
      <c r="U33" s="51" t="str">
        <f>VLOOKUP(Table37[[#This Row],[ACTIVITY]],TAGS!$B:$P,13,FALSE)</f>
        <v>8. Farm Mechanization and Farm Investments</v>
      </c>
      <c r="V33" s="51">
        <f>VLOOKUP(Table37[[#This Row],[ACTIVITY]],TAGS!$B:$P,14,FALSE)</f>
        <v>0</v>
      </c>
      <c r="W33" s="51" t="str">
        <f>VLOOKUP(Table37[[#This Row],[ACTIVITY]],TAGS!$B:$P,15,FALSE)</f>
        <v>DA Station</v>
      </c>
      <c r="X33" s="51" t="str">
        <f>VLOOKUP(Table37[[#This Row],[PI LEVEL 3]],'PI LEVEL'!$A:$G,7,FALSE)</f>
        <v>DA-Level Output</v>
      </c>
      <c r="Y33" s="47" t="s">
        <v>577</v>
      </c>
      <c r="Z33" s="47" t="s">
        <v>330</v>
      </c>
      <c r="AA33" s="51" t="str">
        <f>VLOOKUP(Table37[[#This Row],[MONTH]],TAGS!$W$67:$Y$81,2,FALSE)</f>
        <v>2ND QTR</v>
      </c>
      <c r="AB33" s="51" t="str">
        <f>VLOOKUP(Table37[[#This Row],[MONTH]],TAGS!$W$67:$Y$81,3,FALSE)</f>
        <v>1ST SEMESTER</v>
      </c>
      <c r="AC33" s="51">
        <f>VLOOKUP(Table37[[#This Row],[MONTH]],TAGS!$W$67:$Z$81,4,FALSE)</f>
        <v>2025</v>
      </c>
      <c r="AD33" s="47"/>
      <c r="AE33" s="47">
        <v>300</v>
      </c>
      <c r="AF33" s="51">
        <f>SUM(Table37[[#This Row],[MOOE (Php ''000)]:[CO (Php ''000)]])</f>
        <v>300</v>
      </c>
      <c r="AG33" s="71" t="b">
        <f>ISBLANK(Table37[[#This Row],[PRPOPOSAL/BEDS]])</f>
        <v>0</v>
      </c>
      <c r="AH33" s="71" t="b">
        <f>ISBLANK(Table37[[#This Row],[OU]])</f>
        <v>0</v>
      </c>
      <c r="AI33" s="71" t="b">
        <f>ISBLANK(Table37[[#This Row],[SPECIFIC COMMODITY]])</f>
        <v>0</v>
      </c>
      <c r="AJ33" s="71" t="b">
        <f>ISBLANK(Table37[[#This Row],[COMMODITY PREXC SUB-PROGRAM]])</f>
        <v>0</v>
      </c>
      <c r="AK33" s="71" t="b">
        <f>ISBLANK(Table37[[#This Row],[ACTIVITY]])</f>
        <v>0</v>
      </c>
      <c r="AL33" s="71" t="b">
        <f>ISBLANK(Table37[[#This Row],[TAG-GAD]])</f>
        <v>0</v>
      </c>
      <c r="AM33" s="71" t="b">
        <f>ISBLANK(Table37[[#This Row],[MONTH]])</f>
        <v>0</v>
      </c>
      <c r="AN33" s="71" t="b">
        <f>ISBLANK(Table37[[#This Row],[MOOE (Php ''000)]])</f>
        <v>1</v>
      </c>
      <c r="AO33" s="71" t="b">
        <f>ISBLANK(Table37[[#This Row],[CO (Php ''000)]])</f>
        <v>0</v>
      </c>
    </row>
    <row r="34" spans="1:41">
      <c r="A34" s="51" t="str">
        <f>VLOOKUP(Table37[[#This Row],[OU]],OU!$A$15:$B$34,2,FALSE)</f>
        <v>RFOs</v>
      </c>
      <c r="B34" s="47" t="s">
        <v>297</v>
      </c>
      <c r="C34" s="47" t="s">
        <v>574</v>
      </c>
      <c r="D34" s="47" t="s">
        <v>585</v>
      </c>
      <c r="E34" s="51" t="str">
        <f>VLOOKUP(Table37[[#This Row],[SPECIFIC COMMODITY]],TAGS!$W$48:$X$53,2,FALSE)</f>
        <v>Multi_commodity</v>
      </c>
      <c r="F34" s="51" t="str">
        <f>VLOOKUP(Table37[[#This Row],[PREXC SUB-PROGRAM]],Table5[],2,FALSE)</f>
        <v>TECHNICAL AND SUPPORT SERVICES PROGRAM</v>
      </c>
      <c r="G34" s="51" t="str">
        <f>VLOOKUP(Table37[[#This Row],[COMMODITY PREXC SUB-PROGRAM]],TAGS!$U$54:$V$76,2,FALSE)</f>
        <v>PSS</v>
      </c>
      <c r="H34" s="47" t="s">
        <v>586</v>
      </c>
      <c r="I34" s="51" t="str">
        <f>VLOOKUP(Table37[[#This Row],[PI LEVEL 3]],'PI LEVEL'!A:C,3,FALSE)</f>
        <v>Farm machinery and equipment procured for stations</v>
      </c>
      <c r="J34" s="51" t="str">
        <f>VLOOKUP(Table37[[#This Row],[PI LEVEL 3]],Table53729[[Performance Indicator Level 3]:[Performance Indicator Level 1]],2,FALSE)</f>
        <v>Farm machinery and equipment procured for stations</v>
      </c>
      <c r="K34" s="51" t="str">
        <f>VLOOKUP(Table37[[#This Row],[ACTIVITY]],TAGS!B:P,2,FALSE)</f>
        <v>Postharvest machinery and equipment procured for stations</v>
      </c>
      <c r="L34" s="47" t="s">
        <v>102</v>
      </c>
      <c r="M34" s="51" t="str">
        <f>VLOOKUP(Table37[[#This Row],[ACTIVITY]],TAGS!$B:$P,4,FALSE)</f>
        <v>DA Facilities Management</v>
      </c>
      <c r="N34" s="51" t="str">
        <f>VLOOKUP(Table37[[#This Row],[ACTIVITY]],TAGS!$B:$P,5,FALSE)</f>
        <v>Support to DA Stations</v>
      </c>
      <c r="O34" s="51" t="str">
        <f>VLOOKUP(Table37[[#This Row],[ACTIVITY]],TAGS!$B:$P,6,FALSE)</f>
        <v>Machinery &amp; Equipment for DA Stations</v>
      </c>
      <c r="P34" s="51" t="str">
        <f>VLOOKUP(Table37[[#This Row],[ACTIVITY]],TAGS!$B:$P,7,FALSE)</f>
        <v>NO</v>
      </c>
      <c r="Q34" s="51" t="str">
        <f>VLOOKUP(Table37[[#This Row],[ACTIVITY]],TAGS!$B:$P,8,FALSE)</f>
        <v>PAP</v>
      </c>
      <c r="R34" s="51" t="str">
        <f>VLOOKUP(Table37[[#This Row],[ACTIVITY]],TAGS!$B:$P,10,FALSE)</f>
        <v>PIP</v>
      </c>
      <c r="S34" s="51" t="str">
        <f>VLOOKUP(Table37[[#This Row],[ACTIVITY]],TAGS!$B:$P,11,FALSE)</f>
        <v>PICS</v>
      </c>
      <c r="T34" s="51" t="str">
        <f>VLOOKUP(Table37[[#This Row],[ACTIVITY]],TAGS!$B:$P,12,FALSE)</f>
        <v>Modernization</v>
      </c>
      <c r="U34" s="51" t="str">
        <f>VLOOKUP(Table37[[#This Row],[ACTIVITY]],TAGS!$B:$P,13,FALSE)</f>
        <v>8. Farm Mechanization and Farm Investments</v>
      </c>
      <c r="V34" s="51">
        <f>VLOOKUP(Table37[[#This Row],[ACTIVITY]],TAGS!$B:$P,14,FALSE)</f>
        <v>0</v>
      </c>
      <c r="W34" s="51" t="str">
        <f>VLOOKUP(Table37[[#This Row],[ACTIVITY]],TAGS!$B:$P,15,FALSE)</f>
        <v>DA Station</v>
      </c>
      <c r="X34" s="51" t="str">
        <f>VLOOKUP(Table37[[#This Row],[PI LEVEL 3]],'PI LEVEL'!$A:$G,7,FALSE)</f>
        <v>DA-Level Output</v>
      </c>
      <c r="Y34" s="47" t="s">
        <v>577</v>
      </c>
      <c r="Z34" s="47" t="s">
        <v>332</v>
      </c>
      <c r="AA34" s="51" t="str">
        <f>VLOOKUP(Table37[[#This Row],[MONTH]],TAGS!$W$67:$Y$81,2,FALSE)</f>
        <v>2ND QTR</v>
      </c>
      <c r="AB34" s="51" t="str">
        <f>VLOOKUP(Table37[[#This Row],[MONTH]],TAGS!$W$67:$Y$81,3,FALSE)</f>
        <v>1ST SEMESTER</v>
      </c>
      <c r="AC34" s="51">
        <f>VLOOKUP(Table37[[#This Row],[MONTH]],TAGS!$W$67:$Z$81,4,FALSE)</f>
        <v>2025</v>
      </c>
      <c r="AD34" s="47"/>
      <c r="AE34" s="47">
        <v>2100</v>
      </c>
      <c r="AF34" s="51">
        <f>SUM(Table37[[#This Row],[MOOE (Php ''000)]:[CO (Php ''000)]])</f>
        <v>2100</v>
      </c>
      <c r="AG34" s="71" t="b">
        <f>ISBLANK(Table37[[#This Row],[PRPOPOSAL/BEDS]])</f>
        <v>0</v>
      </c>
      <c r="AH34" s="71" t="b">
        <f>ISBLANK(Table37[[#This Row],[OU]])</f>
        <v>0</v>
      </c>
      <c r="AI34" s="71" t="b">
        <f>ISBLANK(Table37[[#This Row],[SPECIFIC COMMODITY]])</f>
        <v>0</v>
      </c>
      <c r="AJ34" s="71" t="b">
        <f>ISBLANK(Table37[[#This Row],[COMMODITY PREXC SUB-PROGRAM]])</f>
        <v>0</v>
      </c>
      <c r="AK34" s="71" t="b">
        <f>ISBLANK(Table37[[#This Row],[ACTIVITY]])</f>
        <v>0</v>
      </c>
      <c r="AL34" s="71" t="b">
        <f>ISBLANK(Table37[[#This Row],[TAG-GAD]])</f>
        <v>0</v>
      </c>
      <c r="AM34" s="71" t="b">
        <f>ISBLANK(Table37[[#This Row],[MONTH]])</f>
        <v>0</v>
      </c>
      <c r="AN34" s="71" t="b">
        <f>ISBLANK(Table37[[#This Row],[MOOE (Php ''000)]])</f>
        <v>1</v>
      </c>
      <c r="AO34" s="71" t="b">
        <f>ISBLANK(Table37[[#This Row],[CO (Php ''000)]])</f>
        <v>0</v>
      </c>
    </row>
    <row r="35" spans="1:41">
      <c r="A35" s="51" t="str">
        <f>VLOOKUP(Table37[[#This Row],[OU]],OU!$A$15:$B$34,2,FALSE)</f>
        <v>RFOs</v>
      </c>
      <c r="B35" s="47" t="s">
        <v>297</v>
      </c>
      <c r="C35" s="47" t="s">
        <v>574</v>
      </c>
      <c r="D35" s="47" t="s">
        <v>585</v>
      </c>
      <c r="E35" s="51" t="str">
        <f>VLOOKUP(Table37[[#This Row],[SPECIFIC COMMODITY]],TAGS!$W$48:$X$53,2,FALSE)</f>
        <v>Multi_commodity</v>
      </c>
      <c r="F35" s="51" t="str">
        <f>VLOOKUP(Table37[[#This Row],[PREXC SUB-PROGRAM]],Table5[],2,FALSE)</f>
        <v>TECHNICAL AND SUPPORT SERVICES PROGRAM</v>
      </c>
      <c r="G35" s="51" t="str">
        <f>VLOOKUP(Table37[[#This Row],[COMMODITY PREXC SUB-PROGRAM]],TAGS!$U$54:$V$76,2,FALSE)</f>
        <v>PSS</v>
      </c>
      <c r="H35" s="47" t="s">
        <v>586</v>
      </c>
      <c r="I35" s="51" t="str">
        <f>VLOOKUP(Table37[[#This Row],[PI LEVEL 3]],'PI LEVEL'!A:C,3,FALSE)</f>
        <v>Farm machinery and equipment procured for stations</v>
      </c>
      <c r="J35" s="51" t="str">
        <f>VLOOKUP(Table37[[#This Row],[PI LEVEL 3]],Table53729[[Performance Indicator Level 3]:[Performance Indicator Level 1]],2,FALSE)</f>
        <v>Farm machinery and equipment procured for stations</v>
      </c>
      <c r="K35" s="51" t="str">
        <f>VLOOKUP(Table37[[#This Row],[ACTIVITY]],TAGS!B:P,2,FALSE)</f>
        <v>Production machinery and equipment procured for stations</v>
      </c>
      <c r="L35" s="47" t="s">
        <v>104</v>
      </c>
      <c r="M35" s="51" t="str">
        <f>VLOOKUP(Table37[[#This Row],[ACTIVITY]],TAGS!$B:$P,4,FALSE)</f>
        <v>DA Facilities Management</v>
      </c>
      <c r="N35" s="51" t="str">
        <f>VLOOKUP(Table37[[#This Row],[ACTIVITY]],TAGS!$B:$P,5,FALSE)</f>
        <v>Support to DA Stations</v>
      </c>
      <c r="O35" s="51" t="str">
        <f>VLOOKUP(Table37[[#This Row],[ACTIVITY]],TAGS!$B:$P,6,FALSE)</f>
        <v>Machinery &amp; Equipment for DA Stations</v>
      </c>
      <c r="P35" s="51" t="str">
        <f>VLOOKUP(Table37[[#This Row],[ACTIVITY]],TAGS!$B:$P,7,FALSE)</f>
        <v>NO</v>
      </c>
      <c r="Q35" s="51" t="str">
        <f>VLOOKUP(Table37[[#This Row],[ACTIVITY]],TAGS!$B:$P,8,FALSE)</f>
        <v>PAP</v>
      </c>
      <c r="R35" s="51" t="str">
        <f>VLOOKUP(Table37[[#This Row],[ACTIVITY]],TAGS!$B:$P,10,FALSE)</f>
        <v>PIP</v>
      </c>
      <c r="S35" s="51" t="str">
        <f>VLOOKUP(Table37[[#This Row],[ACTIVITY]],TAGS!$B:$P,11,FALSE)</f>
        <v>PICS</v>
      </c>
      <c r="T35" s="51" t="str">
        <f>VLOOKUP(Table37[[#This Row],[ACTIVITY]],TAGS!$B:$P,12,FALSE)</f>
        <v>Modernization</v>
      </c>
      <c r="U35" s="51" t="str">
        <f>VLOOKUP(Table37[[#This Row],[ACTIVITY]],TAGS!$B:$P,13,FALSE)</f>
        <v>8. Farm Mechanization and Farm Investments</v>
      </c>
      <c r="V35" s="51">
        <f>VLOOKUP(Table37[[#This Row],[ACTIVITY]],TAGS!$B:$P,14,FALSE)</f>
        <v>0</v>
      </c>
      <c r="W35" s="51" t="str">
        <f>VLOOKUP(Table37[[#This Row],[ACTIVITY]],TAGS!$B:$P,15,FALSE)</f>
        <v>DA Station</v>
      </c>
      <c r="X35" s="51" t="str">
        <f>VLOOKUP(Table37[[#This Row],[PI LEVEL 3]],'PI LEVEL'!$A:$G,7,FALSE)</f>
        <v>DA-Level Output</v>
      </c>
      <c r="Y35" s="47" t="s">
        <v>577</v>
      </c>
      <c r="Z35" s="47" t="s">
        <v>332</v>
      </c>
      <c r="AA35" s="51" t="str">
        <f>VLOOKUP(Table37[[#This Row],[MONTH]],TAGS!$W$67:$Y$81,2,FALSE)</f>
        <v>2ND QTR</v>
      </c>
      <c r="AB35" s="51" t="str">
        <f>VLOOKUP(Table37[[#This Row],[MONTH]],TAGS!$W$67:$Y$81,3,FALSE)</f>
        <v>1ST SEMESTER</v>
      </c>
      <c r="AC35" s="51">
        <f>VLOOKUP(Table37[[#This Row],[MONTH]],TAGS!$W$67:$Z$81,4,FALSE)</f>
        <v>2025</v>
      </c>
      <c r="AD35" s="47"/>
      <c r="AE35" s="47">
        <v>3100</v>
      </c>
      <c r="AF35" s="51">
        <f>SUM(Table37[[#This Row],[MOOE (Php ''000)]:[CO (Php ''000)]])</f>
        <v>3100</v>
      </c>
      <c r="AG35" s="71" t="b">
        <f>ISBLANK(Table37[[#This Row],[PRPOPOSAL/BEDS]])</f>
        <v>0</v>
      </c>
      <c r="AH35" s="71" t="b">
        <f>ISBLANK(Table37[[#This Row],[OU]])</f>
        <v>0</v>
      </c>
      <c r="AI35" s="71" t="b">
        <f>ISBLANK(Table37[[#This Row],[SPECIFIC COMMODITY]])</f>
        <v>0</v>
      </c>
      <c r="AJ35" s="71" t="b">
        <f>ISBLANK(Table37[[#This Row],[COMMODITY PREXC SUB-PROGRAM]])</f>
        <v>0</v>
      </c>
      <c r="AK35" s="71" t="b">
        <f>ISBLANK(Table37[[#This Row],[ACTIVITY]])</f>
        <v>0</v>
      </c>
      <c r="AL35" s="71" t="b">
        <f>ISBLANK(Table37[[#This Row],[TAG-GAD]])</f>
        <v>0</v>
      </c>
      <c r="AM35" s="71" t="b">
        <f>ISBLANK(Table37[[#This Row],[MONTH]])</f>
        <v>0</v>
      </c>
      <c r="AN35" s="71" t="b">
        <f>ISBLANK(Table37[[#This Row],[MOOE (Php ''000)]])</f>
        <v>1</v>
      </c>
      <c r="AO35" s="71" t="b">
        <f>ISBLANK(Table37[[#This Row],[CO (Php ''000)]])</f>
        <v>0</v>
      </c>
    </row>
    <row r="36" spans="1:41">
      <c r="A36" s="51" t="str">
        <f>VLOOKUP(Table37[[#This Row],[OU]],OU!$A$15:$B$34,2,FALSE)</f>
        <v>RFOs</v>
      </c>
      <c r="B36" s="47" t="s">
        <v>297</v>
      </c>
      <c r="C36" s="47" t="s">
        <v>574</v>
      </c>
      <c r="D36" s="47" t="s">
        <v>578</v>
      </c>
      <c r="E36" s="51" t="str">
        <f>VLOOKUP(Table37[[#This Row],[SPECIFIC COMMODITY]],TAGS!$W$48:$X$53,2,FALSE)</f>
        <v>Corn</v>
      </c>
      <c r="F36" s="51" t="str">
        <f>VLOOKUP(Table37[[#This Row],[PREXC SUB-PROGRAM]],Table5[],2,FALSE)</f>
        <v>TECHNICAL AND SUPPORT SERVICES PROGRAM</v>
      </c>
      <c r="G36" s="51" t="str">
        <f>VLOOKUP(Table37[[#This Row],[COMMODITY PREXC SUB-PROGRAM]],TAGS!$U$54:$V$76,2,FALSE)</f>
        <v>ESETS</v>
      </c>
      <c r="H36" s="47" t="s">
        <v>587</v>
      </c>
      <c r="I36" s="51" t="str">
        <f>VLOOKUP(Table37[[#This Row],[PI LEVEL 3]],'PI LEVEL'!A:C,3,FALSE)</f>
        <v>Technology demonstrations established/maintained</v>
      </c>
      <c r="J36" s="51" t="str">
        <f>VLOOKUP(Table37[[#This Row],[PI LEVEL 3]],Table53729[[Performance Indicator Level 3]:[Performance Indicator Level 1]],2,FALSE)</f>
        <v>Model Farms established</v>
      </c>
      <c r="K36" s="51" t="str">
        <f>VLOOKUP(Table37[[#This Row],[ACTIVITY]],TAGS!B:P,2,FALSE)</f>
        <v>Model Farms established</v>
      </c>
      <c r="L36" s="47" t="s">
        <v>128</v>
      </c>
      <c r="M36" s="51" t="str">
        <f>VLOOKUP(Table37[[#This Row],[ACTIVITY]],TAGS!$B:$P,4,FALSE)</f>
        <v>Model Farm establishment</v>
      </c>
      <c r="N36" s="51" t="str">
        <f>VLOOKUP(Table37[[#This Row],[ACTIVITY]],TAGS!$B:$P,5,FALSE)</f>
        <v>Model farm</v>
      </c>
      <c r="O36" s="51" t="str">
        <f>VLOOKUP(Table37[[#This Row],[ACTIVITY]],TAGS!$B:$P,6,FALSE)</f>
        <v>Sustainable Land Resources Management Approach Site Establishment</v>
      </c>
      <c r="P36" s="51" t="str">
        <f>VLOOKUP(Table37[[#This Row],[ACTIVITY]],TAGS!$B:$P,7,FALSE)</f>
        <v>YES</v>
      </c>
      <c r="Q36" s="51" t="str">
        <f>VLOOKUP(Table37[[#This Row],[ACTIVITY]],TAGS!$B:$P,8,FALSE)</f>
        <v>PAP</v>
      </c>
      <c r="R36" s="51" t="str">
        <f>VLOOKUP(Table37[[#This Row],[ACTIVITY]],TAGS!$B:$P,10,FALSE)</f>
        <v>PIP</v>
      </c>
      <c r="S36" s="51" t="str">
        <f>VLOOKUP(Table37[[#This Row],[ACTIVITY]],TAGS!$B:$P,11,FALSE)</f>
        <v>PICS</v>
      </c>
      <c r="T36" s="51" t="str">
        <f>VLOOKUP(Table37[[#This Row],[ACTIVITY]],TAGS!$B:$P,12,FALSE)</f>
        <v>Consolidation</v>
      </c>
      <c r="U36" s="51" t="str">
        <f>VLOOKUP(Table37[[#This Row],[ACTIVITY]],TAGS!$B:$P,13,FALSE)</f>
        <v>1. Bayanihan Agri Cluster</v>
      </c>
      <c r="V36" s="51" t="str">
        <f>VLOOKUP(Table37[[#This Row],[ACTIVITY]],TAGS!$B:$P,14,FALSE)</f>
        <v>EXPAND AND IMPROVE AVAILABLE AGRI-FISHERY AREAS FOR INCREASED PRODUCTION</v>
      </c>
      <c r="W36" s="51" t="str">
        <f>VLOOKUP(Table37[[#This Row],[ACTIVITY]],TAGS!$B:$P,15,FALSE)</f>
        <v>Farm Inputs</v>
      </c>
      <c r="X36" s="51" t="str">
        <f>VLOOKUP(Table37[[#This Row],[PI LEVEL 3]],'PI LEVEL'!$A:$G,7,FALSE)</f>
        <v>DA-Level Output</v>
      </c>
      <c r="Y36" s="47" t="s">
        <v>577</v>
      </c>
      <c r="Z36" s="47" t="s">
        <v>329</v>
      </c>
      <c r="AA36" s="51" t="str">
        <f>VLOOKUP(Table37[[#This Row],[MONTH]],TAGS!$W$67:$Y$81,2,FALSE)</f>
        <v>1ST QTR</v>
      </c>
      <c r="AB36" s="51" t="str">
        <f>VLOOKUP(Table37[[#This Row],[MONTH]],TAGS!$W$67:$Y$81,3,FALSE)</f>
        <v>1ST SEMESTER</v>
      </c>
      <c r="AC36" s="51">
        <f>VLOOKUP(Table37[[#This Row],[MONTH]],TAGS!$W$67:$Z$81,4,FALSE)</f>
        <v>2025</v>
      </c>
      <c r="AD36" s="47">
        <v>3000</v>
      </c>
      <c r="AE36" s="47"/>
      <c r="AF36" s="51">
        <f>SUM(Table37[[#This Row],[MOOE (Php ''000)]:[CO (Php ''000)]])</f>
        <v>3000</v>
      </c>
      <c r="AG36" s="71" t="b">
        <f>ISBLANK(Table37[[#This Row],[PRPOPOSAL/BEDS]])</f>
        <v>0</v>
      </c>
      <c r="AH36" s="71" t="b">
        <f>ISBLANK(Table37[[#This Row],[OU]])</f>
        <v>0</v>
      </c>
      <c r="AI36" s="71" t="b">
        <f>ISBLANK(Table37[[#This Row],[SPECIFIC COMMODITY]])</f>
        <v>0</v>
      </c>
      <c r="AJ36" s="71" t="b">
        <f>ISBLANK(Table37[[#This Row],[COMMODITY PREXC SUB-PROGRAM]])</f>
        <v>0</v>
      </c>
      <c r="AK36" s="71" t="b">
        <f>ISBLANK(Table37[[#This Row],[ACTIVITY]])</f>
        <v>0</v>
      </c>
      <c r="AL36" s="71" t="b">
        <f>ISBLANK(Table37[[#This Row],[TAG-GAD]])</f>
        <v>0</v>
      </c>
      <c r="AM36" s="71" t="b">
        <f>ISBLANK(Table37[[#This Row],[MONTH]])</f>
        <v>0</v>
      </c>
      <c r="AN36" s="71" t="b">
        <f>ISBLANK(Table37[[#This Row],[MOOE (Php ''000)]])</f>
        <v>0</v>
      </c>
      <c r="AO36" s="71" t="b">
        <f>ISBLANK(Table37[[#This Row],[CO (Php ''000)]])</f>
        <v>1</v>
      </c>
    </row>
    <row r="37" spans="1:41">
      <c r="A37" s="51" t="str">
        <f>VLOOKUP(Table37[[#This Row],[OU]],OU!$A$15:$B$34,2,FALSE)</f>
        <v>RFOs</v>
      </c>
      <c r="B37" s="47" t="s">
        <v>297</v>
      </c>
      <c r="C37" s="47" t="s">
        <v>574</v>
      </c>
      <c r="D37" s="47" t="s">
        <v>578</v>
      </c>
      <c r="E37" s="51" t="str">
        <f>VLOOKUP(Table37[[#This Row],[SPECIFIC COMMODITY]],TAGS!$W$48:$X$53,2,FALSE)</f>
        <v>Corn</v>
      </c>
      <c r="F37" s="51" t="str">
        <f>VLOOKUP(Table37[[#This Row],[PREXC SUB-PROGRAM]],Table5[],2,FALSE)</f>
        <v>TECHNICAL AND SUPPORT SERVICES PROGRAM</v>
      </c>
      <c r="G37" s="51" t="str">
        <f>VLOOKUP(Table37[[#This Row],[COMMODITY PREXC SUB-PROGRAM]],TAGS!$U$54:$V$76,2,FALSE)</f>
        <v>ESETS</v>
      </c>
      <c r="H37" s="47" t="s">
        <v>587</v>
      </c>
      <c r="I37" s="51" t="str">
        <f>VLOOKUP(Table37[[#This Row],[PI LEVEL 3]],'PI LEVEL'!A:C,3,FALSE)</f>
        <v>Technology demonstrations established/maintained</v>
      </c>
      <c r="J37" s="51" t="str">
        <f>VLOOKUP(Table37[[#This Row],[PI LEVEL 3]],Table53729[[Performance Indicator Level 3]:[Performance Indicator Level 1]],2,FALSE)</f>
        <v>Techno demo established</v>
      </c>
      <c r="K37" s="51" t="str">
        <f>VLOOKUP(Table37[[#This Row],[ACTIVITY]],TAGS!B:P,2,FALSE)</f>
        <v>Techno demo established</v>
      </c>
      <c r="L37" s="47" t="s">
        <v>133</v>
      </c>
      <c r="M37" s="51" t="str">
        <f>VLOOKUP(Table37[[#This Row],[ACTIVITY]],TAGS!$B:$P,4,FALSE)</f>
        <v>Techno Demo establishment</v>
      </c>
      <c r="N37" s="51" t="str">
        <f>VLOOKUP(Table37[[#This Row],[ACTIVITY]],TAGS!$B:$P,5,FALSE)</f>
        <v>Techno Demo</v>
      </c>
      <c r="O37" s="51" t="str">
        <f>VLOOKUP(Table37[[#This Row],[ACTIVITY]],TAGS!$B:$P,6,FALSE)</f>
        <v>Corn Derby</v>
      </c>
      <c r="P37" s="51" t="str">
        <f>VLOOKUP(Table37[[#This Row],[ACTIVITY]],TAGS!$B:$P,7,FALSE)</f>
        <v>NO</v>
      </c>
      <c r="Q37" s="51" t="str">
        <f>VLOOKUP(Table37[[#This Row],[ACTIVITY]],TAGS!$B:$P,8,FALSE)</f>
        <v>PAP</v>
      </c>
      <c r="R37" s="51" t="str">
        <f>VLOOKUP(Table37[[#This Row],[ACTIVITY]],TAGS!$B:$P,10,FALSE)</f>
        <v>PIP</v>
      </c>
      <c r="S37" s="51" t="str">
        <f>VLOOKUP(Table37[[#This Row],[ACTIVITY]],TAGS!$B:$P,11,FALSE)</f>
        <v>PICS</v>
      </c>
      <c r="T37" s="51" t="str">
        <f>VLOOKUP(Table37[[#This Row],[ACTIVITY]],TAGS!$B:$P,12,FALSE)</f>
        <v>Consolidation</v>
      </c>
      <c r="U37" s="51" t="str">
        <f>VLOOKUP(Table37[[#This Row],[ACTIVITY]],TAGS!$B:$P,13,FALSE)</f>
        <v>1. Bayanihan Agri Cluster</v>
      </c>
      <c r="V37" s="51" t="str">
        <f>VLOOKUP(Table37[[#This Row],[ACTIVITY]],TAGS!$B:$P,14,FALSE)</f>
        <v>EXPAND AND IMPROVE AVAILABLE AGRI-FISHERY AREAS FOR INCREASED PRODUCTION</v>
      </c>
      <c r="W37" s="51" t="str">
        <f>VLOOKUP(Table37[[#This Row],[ACTIVITY]],TAGS!$B:$P,15,FALSE)</f>
        <v>Other Intervetions</v>
      </c>
      <c r="X37" s="51" t="str">
        <f>VLOOKUP(Table37[[#This Row],[PI LEVEL 3]],'PI LEVEL'!$A:$G,7,FALSE)</f>
        <v>DA-Level Output</v>
      </c>
      <c r="Y37" s="47" t="s">
        <v>577</v>
      </c>
      <c r="Z37" s="47" t="s">
        <v>329</v>
      </c>
      <c r="AA37" s="51" t="str">
        <f>VLOOKUP(Table37[[#This Row],[MONTH]],TAGS!$W$67:$Y$81,2,FALSE)</f>
        <v>1ST QTR</v>
      </c>
      <c r="AB37" s="51" t="str">
        <f>VLOOKUP(Table37[[#This Row],[MONTH]],TAGS!$W$67:$Y$81,3,FALSE)</f>
        <v>1ST SEMESTER</v>
      </c>
      <c r="AC37" s="51">
        <f>VLOOKUP(Table37[[#This Row],[MONTH]],TAGS!$W$67:$Z$81,4,FALSE)</f>
        <v>2025</v>
      </c>
      <c r="AD37" s="47">
        <v>1000</v>
      </c>
      <c r="AE37" s="47"/>
      <c r="AF37" s="51">
        <f>SUM(Table37[[#This Row],[MOOE (Php ''000)]:[CO (Php ''000)]])</f>
        <v>1000</v>
      </c>
      <c r="AG37" s="71" t="b">
        <f>ISBLANK(Table37[[#This Row],[PRPOPOSAL/BEDS]])</f>
        <v>0</v>
      </c>
      <c r="AH37" s="71" t="b">
        <f>ISBLANK(Table37[[#This Row],[OU]])</f>
        <v>0</v>
      </c>
      <c r="AI37" s="71" t="b">
        <f>ISBLANK(Table37[[#This Row],[SPECIFIC COMMODITY]])</f>
        <v>0</v>
      </c>
      <c r="AJ37" s="71" t="b">
        <f>ISBLANK(Table37[[#This Row],[COMMODITY PREXC SUB-PROGRAM]])</f>
        <v>0</v>
      </c>
      <c r="AK37" s="71" t="b">
        <f>ISBLANK(Table37[[#This Row],[ACTIVITY]])</f>
        <v>0</v>
      </c>
      <c r="AL37" s="71" t="b">
        <f>ISBLANK(Table37[[#This Row],[TAG-GAD]])</f>
        <v>0</v>
      </c>
      <c r="AM37" s="71" t="b">
        <f>ISBLANK(Table37[[#This Row],[MONTH]])</f>
        <v>0</v>
      </c>
      <c r="AN37" s="71" t="b">
        <f>ISBLANK(Table37[[#This Row],[MOOE (Php ''000)]])</f>
        <v>0</v>
      </c>
      <c r="AO37" s="71" t="b">
        <f>ISBLANK(Table37[[#This Row],[CO (Php ''000)]])</f>
        <v>1</v>
      </c>
    </row>
    <row r="38" spans="1:41">
      <c r="A38" s="51" t="str">
        <f>VLOOKUP(Table37[[#This Row],[OU]],OU!$A$15:$B$34,2,FALSE)</f>
        <v>RFOs</v>
      </c>
      <c r="B38" s="47" t="s">
        <v>297</v>
      </c>
      <c r="C38" s="47" t="s">
        <v>574</v>
      </c>
      <c r="D38" s="47" t="s">
        <v>578</v>
      </c>
      <c r="E38" s="51" t="str">
        <f>VLOOKUP(Table37[[#This Row],[SPECIFIC COMMODITY]],TAGS!$W$48:$X$53,2,FALSE)</f>
        <v>Corn</v>
      </c>
      <c r="F38" s="51" t="str">
        <f>VLOOKUP(Table37[[#This Row],[PREXC SUB-PROGRAM]],Table5[],2,FALSE)</f>
        <v>TECHNICAL AND SUPPORT SERVICES PROGRAM</v>
      </c>
      <c r="G38" s="51" t="str">
        <f>VLOOKUP(Table37[[#This Row],[COMMODITY PREXC SUB-PROGRAM]],TAGS!$U$54:$V$76,2,FALSE)</f>
        <v>ESETS</v>
      </c>
      <c r="H38" s="47" t="s">
        <v>587</v>
      </c>
      <c r="I38" s="51" t="str">
        <f>VLOOKUP(Table37[[#This Row],[PI LEVEL 3]],'PI LEVEL'!A:C,3,FALSE)</f>
        <v>Training conducted</v>
      </c>
      <c r="J38" s="51" t="str">
        <f>VLOOKUP(Table37[[#This Row],[PI LEVEL 3]],Table53729[[Performance Indicator Level 3]:[Performance Indicator Level 1]],2,FALSE)</f>
        <v>Other training conducted</v>
      </c>
      <c r="K38" s="51" t="str">
        <f>VLOOKUP(Table37[[#This Row],[ACTIVITY]],TAGS!B:P,2,FALSE)</f>
        <v>Other training conducted_Farmers/Fisherfolk/Other External Participants</v>
      </c>
      <c r="L38" s="47" t="s">
        <v>135</v>
      </c>
      <c r="M38" s="51" t="str">
        <f>VLOOKUP(Table37[[#This Row],[ACTIVITY]],TAGS!$B:$P,4,FALSE)</f>
        <v>Trainings</v>
      </c>
      <c r="N38" s="51" t="str">
        <f>VLOOKUP(Table37[[#This Row],[ACTIVITY]],TAGS!$B:$P,5,FALSE)</f>
        <v>Trainings</v>
      </c>
      <c r="O38" s="51" t="str">
        <f>VLOOKUP(Table37[[#This Row],[ACTIVITY]],TAGS!$B:$P,6,FALSE)</f>
        <v>Cluster Development training</v>
      </c>
      <c r="P38" s="51" t="str">
        <f>VLOOKUP(Table37[[#This Row],[ACTIVITY]],TAGS!$B:$P,7,FALSE)</f>
        <v>NO</v>
      </c>
      <c r="Q38" s="51" t="str">
        <f>VLOOKUP(Table37[[#This Row],[ACTIVITY]],TAGS!$B:$P,8,FALSE)</f>
        <v>PAP</v>
      </c>
      <c r="R38" s="51" t="str">
        <f>VLOOKUP(Table37[[#This Row],[ACTIVITY]],TAGS!$B:$P,10,FALSE)</f>
        <v>PIP</v>
      </c>
      <c r="S38" s="51" t="str">
        <f>VLOOKUP(Table37[[#This Row],[ACTIVITY]],TAGS!$B:$P,11,FALSE)</f>
        <v>PICS</v>
      </c>
      <c r="T38" s="51" t="str">
        <f>VLOOKUP(Table37[[#This Row],[ACTIVITY]],TAGS!$B:$P,12,FALSE)</f>
        <v>Consolidation</v>
      </c>
      <c r="U38" s="51" t="str">
        <f>VLOOKUP(Table37[[#This Row],[ACTIVITY]],TAGS!$B:$P,13,FALSE)</f>
        <v>1. Bayanihan Agri Cluster</v>
      </c>
      <c r="V38" s="51">
        <f>VLOOKUP(Table37[[#This Row],[ACTIVITY]],TAGS!$B:$P,14,FALSE)</f>
        <v>0</v>
      </c>
      <c r="W38" s="51" t="str">
        <f>VLOOKUP(Table37[[#This Row],[ACTIVITY]],TAGS!$B:$P,15,FALSE)</f>
        <v>Capacity Building</v>
      </c>
      <c r="X38" s="51" t="str">
        <f>VLOOKUP(Table37[[#This Row],[PI LEVEL 3]],'PI LEVEL'!$A:$G,7,FALSE)</f>
        <v>PREXC/DA-Level Output</v>
      </c>
      <c r="Y38" s="47" t="s">
        <v>577</v>
      </c>
      <c r="Z38" s="47" t="s">
        <v>329</v>
      </c>
      <c r="AA38" s="51" t="str">
        <f>VLOOKUP(Table37[[#This Row],[MONTH]],TAGS!$W$67:$Y$81,2,FALSE)</f>
        <v>1ST QTR</v>
      </c>
      <c r="AB38" s="51" t="str">
        <f>VLOOKUP(Table37[[#This Row],[MONTH]],TAGS!$W$67:$Y$81,3,FALSE)</f>
        <v>1ST SEMESTER</v>
      </c>
      <c r="AC38" s="51">
        <f>VLOOKUP(Table37[[#This Row],[MONTH]],TAGS!$W$67:$Z$81,4,FALSE)</f>
        <v>2025</v>
      </c>
      <c r="AD38" s="47">
        <v>210</v>
      </c>
      <c r="AE38" s="47"/>
      <c r="AF38" s="51">
        <f>SUM(Table37[[#This Row],[MOOE (Php ''000)]:[CO (Php ''000)]])</f>
        <v>210</v>
      </c>
      <c r="AG38" s="71" t="b">
        <f>ISBLANK(Table37[[#This Row],[PRPOPOSAL/BEDS]])</f>
        <v>0</v>
      </c>
      <c r="AH38" s="71" t="b">
        <f>ISBLANK(Table37[[#This Row],[OU]])</f>
        <v>0</v>
      </c>
      <c r="AI38" s="71" t="b">
        <f>ISBLANK(Table37[[#This Row],[SPECIFIC COMMODITY]])</f>
        <v>0</v>
      </c>
      <c r="AJ38" s="71" t="b">
        <f>ISBLANK(Table37[[#This Row],[COMMODITY PREXC SUB-PROGRAM]])</f>
        <v>0</v>
      </c>
      <c r="AK38" s="71" t="b">
        <f>ISBLANK(Table37[[#This Row],[ACTIVITY]])</f>
        <v>0</v>
      </c>
      <c r="AL38" s="71" t="b">
        <f>ISBLANK(Table37[[#This Row],[TAG-GAD]])</f>
        <v>0</v>
      </c>
      <c r="AM38" s="71" t="b">
        <f>ISBLANK(Table37[[#This Row],[MONTH]])</f>
        <v>0</v>
      </c>
      <c r="AN38" s="71" t="b">
        <f>ISBLANK(Table37[[#This Row],[MOOE (Php ''000)]])</f>
        <v>0</v>
      </c>
      <c r="AO38" s="71" t="b">
        <f>ISBLANK(Table37[[#This Row],[CO (Php ''000)]])</f>
        <v>1</v>
      </c>
    </row>
    <row r="39" spans="1:41">
      <c r="A39" s="51" t="str">
        <f>VLOOKUP(Table37[[#This Row],[OU]],OU!$A$15:$B$34,2,FALSE)</f>
        <v>RFOs</v>
      </c>
      <c r="B39" s="47" t="s">
        <v>297</v>
      </c>
      <c r="C39" s="47" t="s">
        <v>574</v>
      </c>
      <c r="D39" s="47" t="s">
        <v>578</v>
      </c>
      <c r="E39" s="51" t="str">
        <f>VLOOKUP(Table37[[#This Row],[SPECIFIC COMMODITY]],TAGS!$W$48:$X$53,2,FALSE)</f>
        <v>Corn</v>
      </c>
      <c r="F39" s="51" t="str">
        <f>VLOOKUP(Table37[[#This Row],[PREXC SUB-PROGRAM]],Table5[],2,FALSE)</f>
        <v>TECHNICAL AND SUPPORT SERVICES PROGRAM</v>
      </c>
      <c r="G39" s="51" t="str">
        <f>VLOOKUP(Table37[[#This Row],[COMMODITY PREXC SUB-PROGRAM]],TAGS!$U$54:$V$76,2,FALSE)</f>
        <v>ESETS</v>
      </c>
      <c r="H39" s="47" t="s">
        <v>587</v>
      </c>
      <c r="I39" s="51" t="str">
        <f>VLOOKUP(Table37[[#This Row],[PI LEVEL 3]],'PI LEVEL'!A:C,3,FALSE)</f>
        <v>Training conducted</v>
      </c>
      <c r="J39" s="51" t="str">
        <f>VLOOKUP(Table37[[#This Row],[PI LEVEL 3]],Table53729[[Performance Indicator Level 3]:[Performance Indicator Level 1]],2,FALSE)</f>
        <v>Other training conducted</v>
      </c>
      <c r="K39" s="51" t="str">
        <f>VLOOKUP(Table37[[#This Row],[ACTIVITY]],TAGS!B:P,2,FALSE)</f>
        <v>Other training conducted_Farmers/Fisherfolk/Other External Participants</v>
      </c>
      <c r="L39" s="47" t="s">
        <v>137</v>
      </c>
      <c r="M39" s="51" t="str">
        <f>VLOOKUP(Table37[[#This Row],[ACTIVITY]],TAGS!$B:$P,4,FALSE)</f>
        <v>Trainings</v>
      </c>
      <c r="N39" s="51" t="str">
        <f>VLOOKUP(Table37[[#This Row],[ACTIVITY]],TAGS!$B:$P,5,FALSE)</f>
        <v>Trainings</v>
      </c>
      <c r="O39" s="51" t="str">
        <f>VLOOKUP(Table37[[#This Row],[ACTIVITY]],TAGS!$B:$P,6,FALSE)</f>
        <v>Corn Livelihood training</v>
      </c>
      <c r="P39" s="51" t="str">
        <f>VLOOKUP(Table37[[#This Row],[ACTIVITY]],TAGS!$B:$P,7,FALSE)</f>
        <v>NO</v>
      </c>
      <c r="Q39" s="51" t="str">
        <f>VLOOKUP(Table37[[#This Row],[ACTIVITY]],TAGS!$B:$P,8,FALSE)</f>
        <v>PAP</v>
      </c>
      <c r="R39" s="51" t="str">
        <f>VLOOKUP(Table37[[#This Row],[ACTIVITY]],TAGS!$B:$P,10,FALSE)</f>
        <v>PIP</v>
      </c>
      <c r="S39" s="51" t="str">
        <f>VLOOKUP(Table37[[#This Row],[ACTIVITY]],TAGS!$B:$P,11,FALSE)</f>
        <v>PICS</v>
      </c>
      <c r="T39" s="51" t="str">
        <f>VLOOKUP(Table37[[#This Row],[ACTIVITY]],TAGS!$B:$P,12,FALSE)</f>
        <v>Consolidation</v>
      </c>
      <c r="U39" s="51" t="str">
        <f>VLOOKUP(Table37[[#This Row],[ACTIVITY]],TAGS!$B:$P,13,FALSE)</f>
        <v>1. Bayanihan Agri Cluster</v>
      </c>
      <c r="V39" s="51" t="str">
        <f>VLOOKUP(Table37[[#This Row],[ACTIVITY]],TAGS!$B:$P,14,FALSE)</f>
        <v>IMPROVE AND EXPAND LOCAL AND INTERNATIONAL MARKET ACCESS</v>
      </c>
      <c r="W39" s="51" t="str">
        <f>VLOOKUP(Table37[[#This Row],[ACTIVITY]],TAGS!$B:$P,15,FALSE)</f>
        <v>Capacity Building</v>
      </c>
      <c r="X39" s="51" t="str">
        <f>VLOOKUP(Table37[[#This Row],[PI LEVEL 3]],'PI LEVEL'!$A:$G,7,FALSE)</f>
        <v>PREXC/DA-Level Output</v>
      </c>
      <c r="Y39" s="47" t="s">
        <v>588</v>
      </c>
      <c r="Z39" s="47" t="s">
        <v>329</v>
      </c>
      <c r="AA39" s="51" t="str">
        <f>VLOOKUP(Table37[[#This Row],[MONTH]],TAGS!$W$67:$Y$81,2,FALSE)</f>
        <v>1ST QTR</v>
      </c>
      <c r="AB39" s="51" t="str">
        <f>VLOOKUP(Table37[[#This Row],[MONTH]],TAGS!$W$67:$Y$81,3,FALSE)</f>
        <v>1ST SEMESTER</v>
      </c>
      <c r="AC39" s="51">
        <f>VLOOKUP(Table37[[#This Row],[MONTH]],TAGS!$W$67:$Z$81,4,FALSE)</f>
        <v>2025</v>
      </c>
      <c r="AD39" s="47">
        <v>200</v>
      </c>
      <c r="AE39" s="47"/>
      <c r="AF39" s="51">
        <f>SUM(Table37[[#This Row],[MOOE (Php ''000)]:[CO (Php ''000)]])</f>
        <v>200</v>
      </c>
      <c r="AG39" s="71" t="b">
        <f>ISBLANK(Table37[[#This Row],[PRPOPOSAL/BEDS]])</f>
        <v>0</v>
      </c>
      <c r="AH39" s="71" t="b">
        <f>ISBLANK(Table37[[#This Row],[OU]])</f>
        <v>0</v>
      </c>
      <c r="AI39" s="71" t="b">
        <f>ISBLANK(Table37[[#This Row],[SPECIFIC COMMODITY]])</f>
        <v>0</v>
      </c>
      <c r="AJ39" s="71" t="b">
        <f>ISBLANK(Table37[[#This Row],[COMMODITY PREXC SUB-PROGRAM]])</f>
        <v>0</v>
      </c>
      <c r="AK39" s="71" t="b">
        <f>ISBLANK(Table37[[#This Row],[ACTIVITY]])</f>
        <v>0</v>
      </c>
      <c r="AL39" s="71" t="b">
        <f>ISBLANK(Table37[[#This Row],[TAG-GAD]])</f>
        <v>0</v>
      </c>
      <c r="AM39" s="71" t="b">
        <f>ISBLANK(Table37[[#This Row],[MONTH]])</f>
        <v>0</v>
      </c>
      <c r="AN39" s="71" t="b">
        <f>ISBLANK(Table37[[#This Row],[MOOE (Php ''000)]])</f>
        <v>0</v>
      </c>
      <c r="AO39" s="71" t="b">
        <f>ISBLANK(Table37[[#This Row],[CO (Php ''000)]])</f>
        <v>1</v>
      </c>
    </row>
    <row r="40" spans="1:41">
      <c r="A40" s="51" t="str">
        <f>VLOOKUP(Table37[[#This Row],[OU]],OU!$A$15:$B$34,2,FALSE)</f>
        <v>RFOs</v>
      </c>
      <c r="B40" s="47" t="s">
        <v>297</v>
      </c>
      <c r="C40" s="47" t="s">
        <v>574</v>
      </c>
      <c r="D40" s="47" t="s">
        <v>578</v>
      </c>
      <c r="E40" s="51" t="str">
        <f>VLOOKUP(Table37[[#This Row],[SPECIFIC COMMODITY]],TAGS!$W$48:$X$53,2,FALSE)</f>
        <v>Corn</v>
      </c>
      <c r="F40" s="51" t="str">
        <f>VLOOKUP(Table37[[#This Row],[PREXC SUB-PROGRAM]],Table5[],2,FALSE)</f>
        <v>TECHNICAL AND SUPPORT SERVICES PROGRAM</v>
      </c>
      <c r="G40" s="51" t="str">
        <f>VLOOKUP(Table37[[#This Row],[COMMODITY PREXC SUB-PROGRAM]],TAGS!$U$54:$V$76,2,FALSE)</f>
        <v>ESETS</v>
      </c>
      <c r="H40" s="47" t="s">
        <v>587</v>
      </c>
      <c r="I40" s="51" t="str">
        <f>VLOOKUP(Table37[[#This Row],[PI LEVEL 3]],'PI LEVEL'!A:C,3,FALSE)</f>
        <v>Training conducted</v>
      </c>
      <c r="J40" s="51" t="str">
        <f>VLOOKUP(Table37[[#This Row],[PI LEVEL 3]],Table53729[[Performance Indicator Level 3]:[Performance Indicator Level 1]],2,FALSE)</f>
        <v>Other training conducted</v>
      </c>
      <c r="K40" s="51" t="str">
        <f>VLOOKUP(Table37[[#This Row],[ACTIVITY]],TAGS!B:P,2,FALSE)</f>
        <v>Other training conducted_Farmers/Fisherfolk/Other External Participants</v>
      </c>
      <c r="L40" s="47" t="s">
        <v>139</v>
      </c>
      <c r="M40" s="51" t="str">
        <f>VLOOKUP(Table37[[#This Row],[ACTIVITY]],TAGS!$B:$P,4,FALSE)</f>
        <v>Trainings</v>
      </c>
      <c r="N40" s="51" t="str">
        <f>VLOOKUP(Table37[[#This Row],[ACTIVITY]],TAGS!$B:$P,5,FALSE)</f>
        <v>Trainings</v>
      </c>
      <c r="O40" s="51" t="str">
        <f>VLOOKUP(Table37[[#This Row],[ACTIVITY]],TAGS!$B:$P,6,FALSE)</f>
        <v>Corn Production Training</v>
      </c>
      <c r="P40" s="51" t="str">
        <f>VLOOKUP(Table37[[#This Row],[ACTIVITY]],TAGS!$B:$P,7,FALSE)</f>
        <v>NO</v>
      </c>
      <c r="Q40" s="51" t="str">
        <f>VLOOKUP(Table37[[#This Row],[ACTIVITY]],TAGS!$B:$P,8,FALSE)</f>
        <v>PAP</v>
      </c>
      <c r="R40" s="51" t="str">
        <f>VLOOKUP(Table37[[#This Row],[ACTIVITY]],TAGS!$B:$P,10,FALSE)</f>
        <v>PIP</v>
      </c>
      <c r="S40" s="51" t="str">
        <f>VLOOKUP(Table37[[#This Row],[ACTIVITY]],TAGS!$B:$P,11,FALSE)</f>
        <v>PICS</v>
      </c>
      <c r="T40" s="51" t="str">
        <f>VLOOKUP(Table37[[#This Row],[ACTIVITY]],TAGS!$B:$P,12,FALSE)</f>
        <v>Consolidation</v>
      </c>
      <c r="U40" s="51" t="str">
        <f>VLOOKUP(Table37[[#This Row],[ACTIVITY]],TAGS!$B:$P,13,FALSE)</f>
        <v>1. Bayanihan Agri Cluster</v>
      </c>
      <c r="V40" s="51" t="str">
        <f>VLOOKUP(Table37[[#This Row],[ACTIVITY]],TAGS!$B:$P,14,FALSE)</f>
        <v>EXPAND AND IMPROVE AVAILABLE AGRI-FISHERY AREAS FOR INCREASED PRODUCTION</v>
      </c>
      <c r="W40" s="51" t="str">
        <f>VLOOKUP(Table37[[#This Row],[ACTIVITY]],TAGS!$B:$P,15,FALSE)</f>
        <v>Capacity Building</v>
      </c>
      <c r="X40" s="51" t="str">
        <f>VLOOKUP(Table37[[#This Row],[PI LEVEL 3]],'PI LEVEL'!$A:$G,7,FALSE)</f>
        <v>PREXC/DA-Level Output</v>
      </c>
      <c r="Y40" s="47" t="s">
        <v>577</v>
      </c>
      <c r="Z40" s="47" t="s">
        <v>329</v>
      </c>
      <c r="AA40" s="51" t="str">
        <f>VLOOKUP(Table37[[#This Row],[MONTH]],TAGS!$W$67:$Y$81,2,FALSE)</f>
        <v>1ST QTR</v>
      </c>
      <c r="AB40" s="51" t="str">
        <f>VLOOKUP(Table37[[#This Row],[MONTH]],TAGS!$W$67:$Y$81,3,FALSE)</f>
        <v>1ST SEMESTER</v>
      </c>
      <c r="AC40" s="51">
        <f>VLOOKUP(Table37[[#This Row],[MONTH]],TAGS!$W$67:$Z$81,4,FALSE)</f>
        <v>2025</v>
      </c>
      <c r="AD40" s="47">
        <v>140</v>
      </c>
      <c r="AE40" s="47"/>
      <c r="AF40" s="51">
        <f>SUM(Table37[[#This Row],[MOOE (Php ''000)]:[CO (Php ''000)]])</f>
        <v>140</v>
      </c>
      <c r="AG40" s="71" t="b">
        <f>ISBLANK(Table37[[#This Row],[PRPOPOSAL/BEDS]])</f>
        <v>0</v>
      </c>
      <c r="AH40" s="71" t="b">
        <f>ISBLANK(Table37[[#This Row],[OU]])</f>
        <v>0</v>
      </c>
      <c r="AI40" s="71" t="b">
        <f>ISBLANK(Table37[[#This Row],[SPECIFIC COMMODITY]])</f>
        <v>0</v>
      </c>
      <c r="AJ40" s="71" t="b">
        <f>ISBLANK(Table37[[#This Row],[COMMODITY PREXC SUB-PROGRAM]])</f>
        <v>0</v>
      </c>
      <c r="AK40" s="71" t="b">
        <f>ISBLANK(Table37[[#This Row],[ACTIVITY]])</f>
        <v>0</v>
      </c>
      <c r="AL40" s="71" t="b">
        <f>ISBLANK(Table37[[#This Row],[TAG-GAD]])</f>
        <v>0</v>
      </c>
      <c r="AM40" s="71" t="b">
        <f>ISBLANK(Table37[[#This Row],[MONTH]])</f>
        <v>0</v>
      </c>
      <c r="AN40" s="71" t="b">
        <f>ISBLANK(Table37[[#This Row],[MOOE (Php ''000)]])</f>
        <v>0</v>
      </c>
      <c r="AO40" s="71" t="b">
        <f>ISBLANK(Table37[[#This Row],[CO (Php ''000)]])</f>
        <v>1</v>
      </c>
    </row>
    <row r="41" spans="1:41">
      <c r="A41" s="51" t="str">
        <f>VLOOKUP(Table37[[#This Row],[OU]],OU!$A$15:$B$34,2,FALSE)</f>
        <v>RFOs</v>
      </c>
      <c r="B41" s="47" t="s">
        <v>297</v>
      </c>
      <c r="C41" s="47" t="s">
        <v>574</v>
      </c>
      <c r="D41" s="47" t="s">
        <v>578</v>
      </c>
      <c r="E41" s="51" t="str">
        <f>VLOOKUP(Table37[[#This Row],[SPECIFIC COMMODITY]],TAGS!$W$48:$X$53,2,FALSE)</f>
        <v>Corn</v>
      </c>
      <c r="F41" s="51" t="str">
        <f>VLOOKUP(Table37[[#This Row],[PREXC SUB-PROGRAM]],Table5[],2,FALSE)</f>
        <v>TECHNICAL AND SUPPORT SERVICES PROGRAM</v>
      </c>
      <c r="G41" s="51" t="str">
        <f>VLOOKUP(Table37[[#This Row],[COMMODITY PREXC SUB-PROGRAM]],TAGS!$U$54:$V$76,2,FALSE)</f>
        <v>ESETS</v>
      </c>
      <c r="H41" s="47" t="s">
        <v>587</v>
      </c>
      <c r="I41" s="51" t="str">
        <f>VLOOKUP(Table37[[#This Row],[PI LEVEL 3]],'PI LEVEL'!A:C,3,FALSE)</f>
        <v>Training conducted</v>
      </c>
      <c r="J41" s="51" t="str">
        <f>VLOOKUP(Table37[[#This Row],[PI LEVEL 3]],Table53729[[Performance Indicator Level 3]:[Performance Indicator Level 1]],2,FALSE)</f>
        <v>Other training conducted</v>
      </c>
      <c r="K41" s="51" t="str">
        <f>VLOOKUP(Table37[[#This Row],[ACTIVITY]],TAGS!B:P,2,FALSE)</f>
        <v>Other training conducted_Farmers/Fisherfolk/Other External Participants</v>
      </c>
      <c r="L41" s="47" t="s">
        <v>141</v>
      </c>
      <c r="M41" s="51" t="str">
        <f>VLOOKUP(Table37[[#This Row],[ACTIVITY]],TAGS!$B:$P,4,FALSE)</f>
        <v>Trainings</v>
      </c>
      <c r="N41" s="51" t="str">
        <f>VLOOKUP(Table37[[#This Row],[ACTIVITY]],TAGS!$B:$P,5,FALSE)</f>
        <v>Trainings</v>
      </c>
      <c r="O41" s="51" t="str">
        <f>VLOOKUP(Table37[[#This Row],[ACTIVITY]],TAGS!$B:$P,6,FALSE)</f>
        <v>Integrated Pest Management Training</v>
      </c>
      <c r="P41" s="51" t="str">
        <f>VLOOKUP(Table37[[#This Row],[ACTIVITY]],TAGS!$B:$P,7,FALSE)</f>
        <v>NO</v>
      </c>
      <c r="Q41" s="51" t="str">
        <f>VLOOKUP(Table37[[#This Row],[ACTIVITY]],TAGS!$B:$P,8,FALSE)</f>
        <v>PAP</v>
      </c>
      <c r="R41" s="51" t="str">
        <f>VLOOKUP(Table37[[#This Row],[ACTIVITY]],TAGS!$B:$P,10,FALSE)</f>
        <v>PIP</v>
      </c>
      <c r="S41" s="51" t="str">
        <f>VLOOKUP(Table37[[#This Row],[ACTIVITY]],TAGS!$B:$P,11,FALSE)</f>
        <v>PICS</v>
      </c>
      <c r="T41" s="51" t="str">
        <f>VLOOKUP(Table37[[#This Row],[ACTIVITY]],TAGS!$B:$P,12,FALSE)</f>
        <v>Modernization</v>
      </c>
      <c r="U41" s="51" t="str">
        <f>VLOOKUP(Table37[[#This Row],[ACTIVITY]],TAGS!$B:$P,13,FALSE)</f>
        <v>9. Climate Change Adaptation &amp; Mitigation Measures</v>
      </c>
      <c r="V41" s="51" t="str">
        <f>VLOOKUP(Table37[[#This Row],[ACTIVITY]],TAGS!$B:$P,14,FALSE)</f>
        <v>EXPAND AND IMPROVE AVAILABLE AGRI-FISHERY AREAS FOR INCREASED PRODUCTION</v>
      </c>
      <c r="W41" s="51" t="str">
        <f>VLOOKUP(Table37[[#This Row],[ACTIVITY]],TAGS!$B:$P,15,FALSE)</f>
        <v>Capacity Building</v>
      </c>
      <c r="X41" s="51" t="str">
        <f>VLOOKUP(Table37[[#This Row],[PI LEVEL 3]],'PI LEVEL'!$A:$G,7,FALSE)</f>
        <v>PREXC/DA-Level Output</v>
      </c>
      <c r="Y41" s="47" t="s">
        <v>577</v>
      </c>
      <c r="Z41" s="47" t="s">
        <v>329</v>
      </c>
      <c r="AA41" s="51" t="str">
        <f>VLOOKUP(Table37[[#This Row],[MONTH]],TAGS!$W$67:$Y$81,2,FALSE)</f>
        <v>1ST QTR</v>
      </c>
      <c r="AB41" s="51" t="str">
        <f>VLOOKUP(Table37[[#This Row],[MONTH]],TAGS!$W$67:$Y$81,3,FALSE)</f>
        <v>1ST SEMESTER</v>
      </c>
      <c r="AC41" s="51">
        <f>VLOOKUP(Table37[[#This Row],[MONTH]],TAGS!$W$67:$Z$81,4,FALSE)</f>
        <v>2025</v>
      </c>
      <c r="AD41" s="47">
        <v>400</v>
      </c>
      <c r="AE41" s="47"/>
      <c r="AF41" s="51">
        <f>SUM(Table37[[#This Row],[MOOE (Php ''000)]:[CO (Php ''000)]])</f>
        <v>400</v>
      </c>
      <c r="AG41" s="71" t="b">
        <f>ISBLANK(Table37[[#This Row],[PRPOPOSAL/BEDS]])</f>
        <v>0</v>
      </c>
      <c r="AH41" s="71" t="b">
        <f>ISBLANK(Table37[[#This Row],[OU]])</f>
        <v>0</v>
      </c>
      <c r="AI41" s="71" t="b">
        <f>ISBLANK(Table37[[#This Row],[SPECIFIC COMMODITY]])</f>
        <v>0</v>
      </c>
      <c r="AJ41" s="71" t="b">
        <f>ISBLANK(Table37[[#This Row],[COMMODITY PREXC SUB-PROGRAM]])</f>
        <v>0</v>
      </c>
      <c r="AK41" s="71" t="b">
        <f>ISBLANK(Table37[[#This Row],[ACTIVITY]])</f>
        <v>0</v>
      </c>
      <c r="AL41" s="71" t="b">
        <f>ISBLANK(Table37[[#This Row],[TAG-GAD]])</f>
        <v>0</v>
      </c>
      <c r="AM41" s="71" t="b">
        <f>ISBLANK(Table37[[#This Row],[MONTH]])</f>
        <v>0</v>
      </c>
      <c r="AN41" s="71" t="b">
        <f>ISBLANK(Table37[[#This Row],[MOOE (Php ''000)]])</f>
        <v>0</v>
      </c>
      <c r="AO41" s="71" t="b">
        <f>ISBLANK(Table37[[#This Row],[CO (Php ''000)]])</f>
        <v>1</v>
      </c>
    </row>
    <row r="42" spans="1:41">
      <c r="A42" s="51" t="str">
        <f>VLOOKUP(Table37[[#This Row],[OU]],OU!$A$15:$B$34,2,FALSE)</f>
        <v>RFOs</v>
      </c>
      <c r="B42" s="47" t="s">
        <v>297</v>
      </c>
      <c r="C42" s="47" t="s">
        <v>574</v>
      </c>
      <c r="D42" s="47" t="s">
        <v>578</v>
      </c>
      <c r="E42" s="51" t="str">
        <f>VLOOKUP(Table37[[#This Row],[SPECIFIC COMMODITY]],TAGS!$W$48:$X$53,2,FALSE)</f>
        <v>Corn</v>
      </c>
      <c r="F42" s="51" t="str">
        <f>VLOOKUP(Table37[[#This Row],[PREXC SUB-PROGRAM]],Table5[],2,FALSE)</f>
        <v>TECHNICAL AND SUPPORT SERVICES PROGRAM</v>
      </c>
      <c r="G42" s="51" t="str">
        <f>VLOOKUP(Table37[[#This Row],[COMMODITY PREXC SUB-PROGRAM]],TAGS!$U$54:$V$76,2,FALSE)</f>
        <v>ESETS</v>
      </c>
      <c r="H42" s="47" t="s">
        <v>587</v>
      </c>
      <c r="I42" s="51" t="str">
        <f>VLOOKUP(Table37[[#This Row],[PI LEVEL 3]],'PI LEVEL'!A:C,3,FALSE)</f>
        <v>Training conducted</v>
      </c>
      <c r="J42" s="51" t="str">
        <f>VLOOKUP(Table37[[#This Row],[PI LEVEL 3]],Table53729[[Performance Indicator Level 3]:[Performance Indicator Level 1]],2,FALSE)</f>
        <v>Other training conducted</v>
      </c>
      <c r="K42" s="51" t="str">
        <f>VLOOKUP(Table37[[#This Row],[ACTIVITY]],TAGS!B:P,2,FALSE)</f>
        <v>Other training conducted_Farmers/Fisherfolk/Other External Participants</v>
      </c>
      <c r="L42" s="47" t="s">
        <v>143</v>
      </c>
      <c r="M42" s="51" t="str">
        <f>VLOOKUP(Table37[[#This Row],[ACTIVITY]],TAGS!$B:$P,4,FALSE)</f>
        <v>Trainings</v>
      </c>
      <c r="N42" s="51" t="str">
        <f>VLOOKUP(Table37[[#This Row],[ACTIVITY]],TAGS!$B:$P,5,FALSE)</f>
        <v>Trainings</v>
      </c>
      <c r="O42" s="51" t="str">
        <f>VLOOKUP(Table37[[#This Row],[ACTIVITY]],TAGS!$B:$P,6,FALSE)</f>
        <v>Training on Operation and Maintenance of Farm Machinery and Equipment</v>
      </c>
      <c r="P42" s="51" t="str">
        <f>VLOOKUP(Table37[[#This Row],[ACTIVITY]],TAGS!$B:$P,7,FALSE)</f>
        <v>NO</v>
      </c>
      <c r="Q42" s="51" t="str">
        <f>VLOOKUP(Table37[[#This Row],[ACTIVITY]],TAGS!$B:$P,8,FALSE)</f>
        <v>PAP</v>
      </c>
      <c r="R42" s="51" t="str">
        <f>VLOOKUP(Table37[[#This Row],[ACTIVITY]],TAGS!$B:$P,10,FALSE)</f>
        <v>PIP</v>
      </c>
      <c r="S42" s="51" t="str">
        <f>VLOOKUP(Table37[[#This Row],[ACTIVITY]],TAGS!$B:$P,11,FALSE)</f>
        <v>PICS</v>
      </c>
      <c r="T42" s="51" t="str">
        <f>VLOOKUP(Table37[[#This Row],[ACTIVITY]],TAGS!$B:$P,12,FALSE)</f>
        <v>Consolidation</v>
      </c>
      <c r="U42" s="51" t="str">
        <f>VLOOKUP(Table37[[#This Row],[ACTIVITY]],TAGS!$B:$P,13,FALSE)</f>
        <v>1. Bayanihan Agri Cluster</v>
      </c>
      <c r="V42" s="51" t="str">
        <f>VLOOKUP(Table37[[#This Row],[ACTIVITY]],TAGS!$B:$P,14,FALSE)</f>
        <v>DEVELOP AND IMPROVE POST-HARVEST SYSTEMS AND INFRASTRUCTURE</v>
      </c>
      <c r="W42" s="51" t="str">
        <f>VLOOKUP(Table37[[#This Row],[ACTIVITY]],TAGS!$B:$P,15,FALSE)</f>
        <v>Capacity Building</v>
      </c>
      <c r="X42" s="51" t="str">
        <f>VLOOKUP(Table37[[#This Row],[PI LEVEL 3]],'PI LEVEL'!$A:$G,7,FALSE)</f>
        <v>PREXC/DA-Level Output</v>
      </c>
      <c r="Y42" s="47" t="s">
        <v>577</v>
      </c>
      <c r="Z42" s="47" t="s">
        <v>334</v>
      </c>
      <c r="AA42" s="51" t="str">
        <f>VLOOKUP(Table37[[#This Row],[MONTH]],TAGS!$W$67:$Y$81,2,FALSE)</f>
        <v>3RD QTR</v>
      </c>
      <c r="AB42" s="51" t="str">
        <f>VLOOKUP(Table37[[#This Row],[MONTH]],TAGS!$W$67:$Y$81,3,FALSE)</f>
        <v>2ND SEMESTER</v>
      </c>
      <c r="AC42" s="51">
        <f>VLOOKUP(Table37[[#This Row],[MONTH]],TAGS!$W$67:$Z$81,4,FALSE)</f>
        <v>2025</v>
      </c>
      <c r="AD42" s="47">
        <v>100</v>
      </c>
      <c r="AE42" s="47"/>
      <c r="AF42" s="51">
        <f>SUM(Table37[[#This Row],[MOOE (Php ''000)]:[CO (Php ''000)]])</f>
        <v>100</v>
      </c>
      <c r="AG42" s="71" t="b">
        <f>ISBLANK(Table37[[#This Row],[PRPOPOSAL/BEDS]])</f>
        <v>0</v>
      </c>
      <c r="AH42" s="71" t="b">
        <f>ISBLANK(Table37[[#This Row],[OU]])</f>
        <v>0</v>
      </c>
      <c r="AI42" s="71" t="b">
        <f>ISBLANK(Table37[[#This Row],[SPECIFIC COMMODITY]])</f>
        <v>0</v>
      </c>
      <c r="AJ42" s="71" t="b">
        <f>ISBLANK(Table37[[#This Row],[COMMODITY PREXC SUB-PROGRAM]])</f>
        <v>0</v>
      </c>
      <c r="AK42" s="71" t="b">
        <f>ISBLANK(Table37[[#This Row],[ACTIVITY]])</f>
        <v>0</v>
      </c>
      <c r="AL42" s="71" t="b">
        <f>ISBLANK(Table37[[#This Row],[TAG-GAD]])</f>
        <v>0</v>
      </c>
      <c r="AM42" s="71" t="b">
        <f>ISBLANK(Table37[[#This Row],[MONTH]])</f>
        <v>0</v>
      </c>
      <c r="AN42" s="71" t="b">
        <f>ISBLANK(Table37[[#This Row],[MOOE (Php ''000)]])</f>
        <v>0</v>
      </c>
      <c r="AO42" s="71" t="b">
        <f>ISBLANK(Table37[[#This Row],[CO (Php ''000)]])</f>
        <v>1</v>
      </c>
    </row>
    <row r="43" spans="1:41">
      <c r="A43" s="51" t="str">
        <f>VLOOKUP(Table37[[#This Row],[OU]],OU!$A$15:$B$34,2,FALSE)</f>
        <v>RFOs</v>
      </c>
      <c r="B43" s="47" t="s">
        <v>297</v>
      </c>
      <c r="C43" s="47" t="s">
        <v>574</v>
      </c>
      <c r="D43" s="47" t="s">
        <v>578</v>
      </c>
      <c r="E43" s="51" t="str">
        <f>VLOOKUP(Table37[[#This Row],[SPECIFIC COMMODITY]],TAGS!$W$48:$X$53,2,FALSE)</f>
        <v>Corn</v>
      </c>
      <c r="F43" s="51" t="str">
        <f>VLOOKUP(Table37[[#This Row],[PREXC SUB-PROGRAM]],Table5[],2,FALSE)</f>
        <v>TECHNICAL AND SUPPORT SERVICES PROGRAM</v>
      </c>
      <c r="G43" s="51" t="str">
        <f>VLOOKUP(Table37[[#This Row],[COMMODITY PREXC SUB-PROGRAM]],TAGS!$U$54:$V$76,2,FALSE)</f>
        <v>ESETS</v>
      </c>
      <c r="H43" s="47" t="s">
        <v>587</v>
      </c>
      <c r="I43" s="51" t="str">
        <f>VLOOKUP(Table37[[#This Row],[PI LEVEL 3]],'PI LEVEL'!A:C,3,FALSE)</f>
        <v>Training conducted</v>
      </c>
      <c r="J43" s="51" t="str">
        <f>VLOOKUP(Table37[[#This Row],[PI LEVEL 3]],Table53729[[Performance Indicator Level 3]:[Performance Indicator Level 1]],2,FALSE)</f>
        <v>Other training conducted</v>
      </c>
      <c r="K43" s="51" t="str">
        <f>VLOOKUP(Table37[[#This Row],[ACTIVITY]],TAGS!B:P,2,FALSE)</f>
        <v>Other training conducted_Farmers/Fisherfolk/Other External Participants</v>
      </c>
      <c r="L43" s="47" t="s">
        <v>143</v>
      </c>
      <c r="M43" s="51" t="str">
        <f>VLOOKUP(Table37[[#This Row],[ACTIVITY]],TAGS!$B:$P,4,FALSE)</f>
        <v>Trainings</v>
      </c>
      <c r="N43" s="51" t="str">
        <f>VLOOKUP(Table37[[#This Row],[ACTIVITY]],TAGS!$B:$P,5,FALSE)</f>
        <v>Trainings</v>
      </c>
      <c r="O43" s="51" t="str">
        <f>VLOOKUP(Table37[[#This Row],[ACTIVITY]],TAGS!$B:$P,6,FALSE)</f>
        <v>Training on Operation and Maintenance of Farm Machinery and Equipment</v>
      </c>
      <c r="P43" s="51" t="str">
        <f>VLOOKUP(Table37[[#This Row],[ACTIVITY]],TAGS!$B:$P,7,FALSE)</f>
        <v>NO</v>
      </c>
      <c r="Q43" s="51" t="str">
        <f>VLOOKUP(Table37[[#This Row],[ACTIVITY]],TAGS!$B:$P,8,FALSE)</f>
        <v>PAP</v>
      </c>
      <c r="R43" s="51" t="str">
        <f>VLOOKUP(Table37[[#This Row],[ACTIVITY]],TAGS!$B:$P,10,FALSE)</f>
        <v>PIP</v>
      </c>
      <c r="S43" s="51" t="str">
        <f>VLOOKUP(Table37[[#This Row],[ACTIVITY]],TAGS!$B:$P,11,FALSE)</f>
        <v>PICS</v>
      </c>
      <c r="T43" s="51" t="str">
        <f>VLOOKUP(Table37[[#This Row],[ACTIVITY]],TAGS!$B:$P,12,FALSE)</f>
        <v>Consolidation</v>
      </c>
      <c r="U43" s="51" t="str">
        <f>VLOOKUP(Table37[[#This Row],[ACTIVITY]],TAGS!$B:$P,13,FALSE)</f>
        <v>1. Bayanihan Agri Cluster</v>
      </c>
      <c r="V43" s="51" t="str">
        <f>VLOOKUP(Table37[[#This Row],[ACTIVITY]],TAGS!$B:$P,14,FALSE)</f>
        <v>DEVELOP AND IMPROVE POST-HARVEST SYSTEMS AND INFRASTRUCTURE</v>
      </c>
      <c r="W43" s="51" t="str">
        <f>VLOOKUP(Table37[[#This Row],[ACTIVITY]],TAGS!$B:$P,15,FALSE)</f>
        <v>Capacity Building</v>
      </c>
      <c r="X43" s="51" t="str">
        <f>VLOOKUP(Table37[[#This Row],[PI LEVEL 3]],'PI LEVEL'!$A:$G,7,FALSE)</f>
        <v>PREXC/DA-Level Output</v>
      </c>
      <c r="Y43" s="47" t="s">
        <v>577</v>
      </c>
      <c r="Z43" s="47" t="s">
        <v>335</v>
      </c>
      <c r="AA43" s="51" t="str">
        <f>VLOOKUP(Table37[[#This Row],[MONTH]],TAGS!$W$67:$Y$81,2,FALSE)</f>
        <v>3RD QTR</v>
      </c>
      <c r="AB43" s="51" t="str">
        <f>VLOOKUP(Table37[[#This Row],[MONTH]],TAGS!$W$67:$Y$81,3,FALSE)</f>
        <v>2ND SEMESTER</v>
      </c>
      <c r="AC43" s="51">
        <f>VLOOKUP(Table37[[#This Row],[MONTH]],TAGS!$W$67:$Z$81,4,FALSE)</f>
        <v>2025</v>
      </c>
      <c r="AD43" s="47">
        <v>100</v>
      </c>
      <c r="AE43" s="47"/>
      <c r="AF43" s="51">
        <f>SUM(Table37[[#This Row],[MOOE (Php ''000)]:[CO (Php ''000)]])</f>
        <v>100</v>
      </c>
      <c r="AG43" s="71" t="b">
        <f>ISBLANK(Table37[[#This Row],[PRPOPOSAL/BEDS]])</f>
        <v>0</v>
      </c>
      <c r="AH43" s="71" t="b">
        <f>ISBLANK(Table37[[#This Row],[OU]])</f>
        <v>0</v>
      </c>
      <c r="AI43" s="71" t="b">
        <f>ISBLANK(Table37[[#This Row],[SPECIFIC COMMODITY]])</f>
        <v>0</v>
      </c>
      <c r="AJ43" s="71" t="b">
        <f>ISBLANK(Table37[[#This Row],[COMMODITY PREXC SUB-PROGRAM]])</f>
        <v>0</v>
      </c>
      <c r="AK43" s="71" t="b">
        <f>ISBLANK(Table37[[#This Row],[ACTIVITY]])</f>
        <v>0</v>
      </c>
      <c r="AL43" s="71" t="b">
        <f>ISBLANK(Table37[[#This Row],[TAG-GAD]])</f>
        <v>0</v>
      </c>
      <c r="AM43" s="71" t="b">
        <f>ISBLANK(Table37[[#This Row],[MONTH]])</f>
        <v>0</v>
      </c>
      <c r="AN43" s="71" t="b">
        <f>ISBLANK(Table37[[#This Row],[MOOE (Php ''000)]])</f>
        <v>0</v>
      </c>
      <c r="AO43" s="71" t="b">
        <f>ISBLANK(Table37[[#This Row],[CO (Php ''000)]])</f>
        <v>1</v>
      </c>
    </row>
    <row r="44" spans="1:41">
      <c r="A44" s="51" t="str">
        <f>VLOOKUP(Table37[[#This Row],[OU]],OU!$A$15:$B$34,2,FALSE)</f>
        <v>RFOs</v>
      </c>
      <c r="B44" s="47" t="s">
        <v>297</v>
      </c>
      <c r="C44" s="47" t="s">
        <v>574</v>
      </c>
      <c r="D44" s="47" t="s">
        <v>578</v>
      </c>
      <c r="E44" s="51" t="str">
        <f>VLOOKUP(Table37[[#This Row],[SPECIFIC COMMODITY]],TAGS!$W$48:$X$53,2,FALSE)</f>
        <v>Corn</v>
      </c>
      <c r="F44" s="51" t="str">
        <f>VLOOKUP(Table37[[#This Row],[PREXC SUB-PROGRAM]],Table5[],2,FALSE)</f>
        <v>TECHNICAL AND SUPPORT SERVICES PROGRAM</v>
      </c>
      <c r="G44" s="51" t="str">
        <f>VLOOKUP(Table37[[#This Row],[COMMODITY PREXC SUB-PROGRAM]],TAGS!$U$54:$V$76,2,FALSE)</f>
        <v>ESETS</v>
      </c>
      <c r="H44" s="47" t="s">
        <v>587</v>
      </c>
      <c r="I44" s="51" t="str">
        <f>VLOOKUP(Table37[[#This Row],[PI LEVEL 3]],'PI LEVEL'!A:C,3,FALSE)</f>
        <v>Training conducted</v>
      </c>
      <c r="J44" s="51" t="str">
        <f>VLOOKUP(Table37[[#This Row],[PI LEVEL 3]],Table53729[[Performance Indicator Level 3]:[Performance Indicator Level 1]],2,FALSE)</f>
        <v>Other training conducted</v>
      </c>
      <c r="K44" s="51" t="str">
        <f>VLOOKUP(Table37[[#This Row],[ACTIVITY]],TAGS!B:P,2,FALSE)</f>
        <v>Other training conducted_Farmers/Fisherfolk/Other External Participants</v>
      </c>
      <c r="L44" s="47" t="s">
        <v>143</v>
      </c>
      <c r="M44" s="51" t="str">
        <f>VLOOKUP(Table37[[#This Row],[ACTIVITY]],TAGS!$B:$P,4,FALSE)</f>
        <v>Trainings</v>
      </c>
      <c r="N44" s="51" t="str">
        <f>VLOOKUP(Table37[[#This Row],[ACTIVITY]],TAGS!$B:$P,5,FALSE)</f>
        <v>Trainings</v>
      </c>
      <c r="O44" s="51" t="str">
        <f>VLOOKUP(Table37[[#This Row],[ACTIVITY]],TAGS!$B:$P,6,FALSE)</f>
        <v>Training on Operation and Maintenance of Farm Machinery and Equipment</v>
      </c>
      <c r="P44" s="51" t="str">
        <f>VLOOKUP(Table37[[#This Row],[ACTIVITY]],TAGS!$B:$P,7,FALSE)</f>
        <v>NO</v>
      </c>
      <c r="Q44" s="51" t="str">
        <f>VLOOKUP(Table37[[#This Row],[ACTIVITY]],TAGS!$B:$P,8,FALSE)</f>
        <v>PAP</v>
      </c>
      <c r="R44" s="51" t="str">
        <f>VLOOKUP(Table37[[#This Row],[ACTIVITY]],TAGS!$B:$P,10,FALSE)</f>
        <v>PIP</v>
      </c>
      <c r="S44" s="51" t="str">
        <f>VLOOKUP(Table37[[#This Row],[ACTIVITY]],TAGS!$B:$P,11,FALSE)</f>
        <v>PICS</v>
      </c>
      <c r="T44" s="51" t="str">
        <f>VLOOKUP(Table37[[#This Row],[ACTIVITY]],TAGS!$B:$P,12,FALSE)</f>
        <v>Consolidation</v>
      </c>
      <c r="U44" s="51" t="str">
        <f>VLOOKUP(Table37[[#This Row],[ACTIVITY]],TAGS!$B:$P,13,FALSE)</f>
        <v>1. Bayanihan Agri Cluster</v>
      </c>
      <c r="V44" s="51" t="str">
        <f>VLOOKUP(Table37[[#This Row],[ACTIVITY]],TAGS!$B:$P,14,FALSE)</f>
        <v>DEVELOP AND IMPROVE POST-HARVEST SYSTEMS AND INFRASTRUCTURE</v>
      </c>
      <c r="W44" s="51" t="str">
        <f>VLOOKUP(Table37[[#This Row],[ACTIVITY]],TAGS!$B:$P,15,FALSE)</f>
        <v>Capacity Building</v>
      </c>
      <c r="X44" s="51" t="str">
        <f>VLOOKUP(Table37[[#This Row],[PI LEVEL 3]],'PI LEVEL'!$A:$G,7,FALSE)</f>
        <v>PREXC/DA-Level Output</v>
      </c>
      <c r="Y44" s="47" t="s">
        <v>577</v>
      </c>
      <c r="Z44" s="47" t="s">
        <v>336</v>
      </c>
      <c r="AA44" s="51" t="str">
        <f>VLOOKUP(Table37[[#This Row],[MONTH]],TAGS!$W$67:$Y$81,2,FALSE)</f>
        <v>4TH QTR</v>
      </c>
      <c r="AB44" s="51" t="str">
        <f>VLOOKUP(Table37[[#This Row],[MONTH]],TAGS!$W$67:$Y$81,3,FALSE)</f>
        <v>2ND SEMESTER</v>
      </c>
      <c r="AC44" s="51">
        <f>VLOOKUP(Table37[[#This Row],[MONTH]],TAGS!$W$67:$Z$81,4,FALSE)</f>
        <v>2025</v>
      </c>
      <c r="AD44" s="47">
        <v>100</v>
      </c>
      <c r="AE44" s="47"/>
      <c r="AF44" s="51">
        <f>SUM(Table37[[#This Row],[MOOE (Php ''000)]:[CO (Php ''000)]])</f>
        <v>100</v>
      </c>
      <c r="AG44" s="71" t="b">
        <f>ISBLANK(Table37[[#This Row],[PRPOPOSAL/BEDS]])</f>
        <v>0</v>
      </c>
      <c r="AH44" s="71" t="b">
        <f>ISBLANK(Table37[[#This Row],[OU]])</f>
        <v>0</v>
      </c>
      <c r="AI44" s="71" t="b">
        <f>ISBLANK(Table37[[#This Row],[SPECIFIC COMMODITY]])</f>
        <v>0</v>
      </c>
      <c r="AJ44" s="71" t="b">
        <f>ISBLANK(Table37[[#This Row],[COMMODITY PREXC SUB-PROGRAM]])</f>
        <v>0</v>
      </c>
      <c r="AK44" s="71" t="b">
        <f>ISBLANK(Table37[[#This Row],[ACTIVITY]])</f>
        <v>0</v>
      </c>
      <c r="AL44" s="71" t="b">
        <f>ISBLANK(Table37[[#This Row],[TAG-GAD]])</f>
        <v>0</v>
      </c>
      <c r="AM44" s="71" t="b">
        <f>ISBLANK(Table37[[#This Row],[MONTH]])</f>
        <v>0</v>
      </c>
      <c r="AN44" s="71" t="b">
        <f>ISBLANK(Table37[[#This Row],[MOOE (Php ''000)]])</f>
        <v>0</v>
      </c>
      <c r="AO44" s="71" t="b">
        <f>ISBLANK(Table37[[#This Row],[CO (Php ''000)]])</f>
        <v>1</v>
      </c>
    </row>
    <row r="45" spans="1:41">
      <c r="A45" s="51" t="str">
        <f>VLOOKUP(Table37[[#This Row],[OU]],OU!$A$15:$B$34,2,FALSE)</f>
        <v>RFOs</v>
      </c>
      <c r="B45" s="47" t="s">
        <v>297</v>
      </c>
      <c r="C45" s="47" t="s">
        <v>574</v>
      </c>
      <c r="D45" s="47" t="s">
        <v>578</v>
      </c>
      <c r="E45" s="51" t="str">
        <f>VLOOKUP(Table37[[#This Row],[SPECIFIC COMMODITY]],TAGS!$W$48:$X$53,2,FALSE)</f>
        <v>Corn</v>
      </c>
      <c r="F45" s="51" t="str">
        <f>VLOOKUP(Table37[[#This Row],[PREXC SUB-PROGRAM]],Table5[],2,FALSE)</f>
        <v>TECHNICAL AND SUPPORT SERVICES PROGRAM</v>
      </c>
      <c r="G45" s="51" t="str">
        <f>VLOOKUP(Table37[[#This Row],[COMMODITY PREXC SUB-PROGRAM]],TAGS!$U$54:$V$76,2,FALSE)</f>
        <v>ESETS</v>
      </c>
      <c r="H45" s="47" t="s">
        <v>587</v>
      </c>
      <c r="I45" s="51" t="str">
        <f>VLOOKUP(Table37[[#This Row],[PI LEVEL 3]],'PI LEVEL'!A:C,3,FALSE)</f>
        <v>Extension support activities conducted</v>
      </c>
      <c r="J45" s="51" t="str">
        <f>VLOOKUP(Table37[[#This Row],[PI LEVEL 3]],Table53729[[Performance Indicator Level 3]:[Performance Indicator Level 1]],2,FALSE)</f>
        <v>Extension support activities conducted</v>
      </c>
      <c r="K45" s="51" t="str">
        <f>VLOOKUP(Table37[[#This Row],[ACTIVITY]],TAGS!B:P,2,FALSE)</f>
        <v>Other extension support activities conducted</v>
      </c>
      <c r="L45" s="60" t="s">
        <v>165</v>
      </c>
      <c r="M45" s="51" t="str">
        <f>VLOOKUP(Table37[[#This Row],[ACTIVITY]],TAGS!$B:$P,4,FALSE)</f>
        <v>Special Events</v>
      </c>
      <c r="N45" s="51" t="str">
        <f>VLOOKUP(Table37[[#This Row],[ACTIVITY]],TAGS!$B:$P,5,FALSE)</f>
        <v>Special Events</v>
      </c>
      <c r="O45" s="51" t="str">
        <f>VLOOKUP(Table37[[#This Row],[ACTIVITY]],TAGS!$B:$P,6,FALSE)</f>
        <v>Corn and Cassava Congress</v>
      </c>
      <c r="P45" s="51" t="str">
        <f>VLOOKUP(Table37[[#This Row],[ACTIVITY]],TAGS!$B:$P,7,FALSE)</f>
        <v>NO</v>
      </c>
      <c r="Q45" s="51" t="str">
        <f>VLOOKUP(Table37[[#This Row],[ACTIVITY]],TAGS!$B:$P,8,FALSE)</f>
        <v>PAP</v>
      </c>
      <c r="R45" s="51" t="str">
        <f>VLOOKUP(Table37[[#This Row],[ACTIVITY]],TAGS!$B:$P,10,FALSE)</f>
        <v>PIP</v>
      </c>
      <c r="S45" s="51" t="str">
        <f>VLOOKUP(Table37[[#This Row],[ACTIVITY]],TAGS!$B:$P,11,FALSE)</f>
        <v>PICS</v>
      </c>
      <c r="T45" s="51" t="str">
        <f>VLOOKUP(Table37[[#This Row],[ACTIVITY]],TAGS!$B:$P,12,FALSE)</f>
        <v>Strategic Communication</v>
      </c>
      <c r="U45" s="51" t="str">
        <f>VLOOKUP(Table37[[#This Row],[ACTIVITY]],TAGS!$B:$P,13,FALSE)</f>
        <v>18. Strategic Communications​</v>
      </c>
      <c r="V45" s="51" t="str">
        <f>VLOOKUP(Table37[[#This Row],[ACTIVITY]],TAGS!$B:$P,14,FALSE)</f>
        <v>STRONG PARTNERSHIP WITH THE FARMERS, FISHERFOLK, PRIVATE SECTOR, AND OTHER STAKEHOLDERS</v>
      </c>
      <c r="W45" s="51" t="str">
        <f>VLOOKUP(Table37[[#This Row],[ACTIVITY]],TAGS!$B:$P,15,FALSE)</f>
        <v>Other Intervetions</v>
      </c>
      <c r="X45" s="51" t="str">
        <f>VLOOKUP(Table37[[#This Row],[PI LEVEL 3]],'PI LEVEL'!$A:$G,7,FALSE)</f>
        <v>DA-Level Output</v>
      </c>
      <c r="Y45" s="47" t="s">
        <v>577</v>
      </c>
      <c r="Z45" s="47" t="s">
        <v>336</v>
      </c>
      <c r="AA45" s="51" t="str">
        <f>VLOOKUP(Table37[[#This Row],[MONTH]],TAGS!$W$67:$Y$81,2,FALSE)</f>
        <v>4TH QTR</v>
      </c>
      <c r="AB45" s="51" t="str">
        <f>VLOOKUP(Table37[[#This Row],[MONTH]],TAGS!$W$67:$Y$81,3,FALSE)</f>
        <v>2ND SEMESTER</v>
      </c>
      <c r="AC45" s="51">
        <f>VLOOKUP(Table37[[#This Row],[MONTH]],TAGS!$W$67:$Z$81,4,FALSE)</f>
        <v>2025</v>
      </c>
      <c r="AD45" s="47">
        <v>600</v>
      </c>
      <c r="AE45" s="47"/>
      <c r="AF45" s="51">
        <f>SUM(Table37[[#This Row],[MOOE (Php ''000)]:[CO (Php ''000)]])</f>
        <v>600</v>
      </c>
      <c r="AG45" s="71" t="b">
        <f>ISBLANK(Table37[[#This Row],[PRPOPOSAL/BEDS]])</f>
        <v>0</v>
      </c>
      <c r="AH45" s="71" t="b">
        <f>ISBLANK(Table37[[#This Row],[OU]])</f>
        <v>0</v>
      </c>
      <c r="AI45" s="71" t="b">
        <f>ISBLANK(Table37[[#This Row],[SPECIFIC COMMODITY]])</f>
        <v>0</v>
      </c>
      <c r="AJ45" s="71" t="b">
        <f>ISBLANK(Table37[[#This Row],[COMMODITY PREXC SUB-PROGRAM]])</f>
        <v>0</v>
      </c>
      <c r="AK45" s="71" t="b">
        <f>ISBLANK(Table37[[#This Row],[ACTIVITY]])</f>
        <v>0</v>
      </c>
      <c r="AL45" s="71" t="b">
        <f>ISBLANK(Table37[[#This Row],[TAG-GAD]])</f>
        <v>0</v>
      </c>
      <c r="AM45" s="71" t="b">
        <f>ISBLANK(Table37[[#This Row],[MONTH]])</f>
        <v>0</v>
      </c>
      <c r="AN45" s="71" t="b">
        <f>ISBLANK(Table37[[#This Row],[MOOE (Php ''000)]])</f>
        <v>0</v>
      </c>
      <c r="AO45" s="71" t="b">
        <f>ISBLANK(Table37[[#This Row],[CO (Php ''000)]])</f>
        <v>1</v>
      </c>
    </row>
    <row r="46" spans="1:41">
      <c r="A46" s="51" t="str">
        <f>VLOOKUP(Table37[[#This Row],[OU]],OU!$A$15:$B$34,2,FALSE)</f>
        <v>RFOs</v>
      </c>
      <c r="B46" s="47" t="s">
        <v>297</v>
      </c>
      <c r="C46" s="47" t="s">
        <v>574</v>
      </c>
      <c r="D46" s="47" t="s">
        <v>578</v>
      </c>
      <c r="E46" s="51" t="str">
        <f>VLOOKUP(Table37[[#This Row],[SPECIFIC COMMODITY]],TAGS!$W$48:$X$53,2,FALSE)</f>
        <v>Corn</v>
      </c>
      <c r="F46" s="51" t="str">
        <f>VLOOKUP(Table37[[#This Row],[PREXC SUB-PROGRAM]],Table5[],2,FALSE)</f>
        <v>TECHNICAL AND SUPPORT SERVICES PROGRAM</v>
      </c>
      <c r="G46" s="51" t="str">
        <f>VLOOKUP(Table37[[#This Row],[COMMODITY PREXC SUB-PROGRAM]],TAGS!$U$54:$V$76,2,FALSE)</f>
        <v>ESETS</v>
      </c>
      <c r="H46" s="47" t="s">
        <v>587</v>
      </c>
      <c r="I46" s="51" t="str">
        <f>VLOOKUP(Table37[[#This Row],[PI LEVEL 3]],'PI LEVEL'!A:C,3,FALSE)</f>
        <v>Knowledge Products disseminated</v>
      </c>
      <c r="J46" s="51" t="str">
        <f>VLOOKUP(Table37[[#This Row],[PI LEVEL 3]],Table53729[[Performance Indicator Level 3]:[Performance Indicator Level 1]],2,FALSE)</f>
        <v>Knowledge Products disseminated</v>
      </c>
      <c r="K46" s="51" t="str">
        <f>VLOOKUP(Table37[[#This Row],[ACTIVITY]],TAGS!B:P,2,FALSE)</f>
        <v>Knowledge Products disseminated</v>
      </c>
      <c r="L46" s="47" t="s">
        <v>145</v>
      </c>
      <c r="M46" s="51" t="str">
        <f>VLOOKUP(Table37[[#This Row],[ACTIVITY]],TAGS!$B:$P,4,FALSE)</f>
        <v>Information, Education, and Communication Activities</v>
      </c>
      <c r="N46" s="51" t="str">
        <f>VLOOKUP(Table37[[#This Row],[ACTIVITY]],TAGS!$B:$P,5,FALSE)</f>
        <v>Information, Education, and Communication Activities</v>
      </c>
      <c r="O46" s="51" t="str">
        <f>VLOOKUP(Table37[[#This Row],[ACTIVITY]],TAGS!$B:$P,6,FALSE)</f>
        <v>IEC materials</v>
      </c>
      <c r="P46" s="51" t="str">
        <f>VLOOKUP(Table37[[#This Row],[ACTIVITY]],TAGS!$B:$P,7,FALSE)</f>
        <v>NO</v>
      </c>
      <c r="Q46" s="51" t="str">
        <f>VLOOKUP(Table37[[#This Row],[ACTIVITY]],TAGS!$B:$P,8,FALSE)</f>
        <v>PAP</v>
      </c>
      <c r="R46" s="51" t="str">
        <f>VLOOKUP(Table37[[#This Row],[ACTIVITY]],TAGS!$B:$P,10,FALSE)</f>
        <v>PIP</v>
      </c>
      <c r="S46" s="51" t="str">
        <f>VLOOKUP(Table37[[#This Row],[ACTIVITY]],TAGS!$B:$P,11,FALSE)</f>
        <v>PICS</v>
      </c>
      <c r="T46" s="51" t="str">
        <f>VLOOKUP(Table37[[#This Row],[ACTIVITY]],TAGS!$B:$P,12,FALSE)</f>
        <v>Strategic Communication</v>
      </c>
      <c r="U46" s="51" t="str">
        <f>VLOOKUP(Table37[[#This Row],[ACTIVITY]],TAGS!$B:$P,13,FALSE)</f>
        <v>18. Strategic Communications​</v>
      </c>
      <c r="V46" s="51">
        <f>VLOOKUP(Table37[[#This Row],[ACTIVITY]],TAGS!$B:$P,14,FALSE)</f>
        <v>0</v>
      </c>
      <c r="W46" s="51" t="str">
        <f>VLOOKUP(Table37[[#This Row],[ACTIVITY]],TAGS!$B:$P,15,FALSE)</f>
        <v>IEC</v>
      </c>
      <c r="X46" s="51" t="str">
        <f>VLOOKUP(Table37[[#This Row],[PI LEVEL 3]],'PI LEVEL'!$A:$G,7,FALSE)</f>
        <v>DA-Level Output</v>
      </c>
      <c r="Y46" s="47" t="s">
        <v>577</v>
      </c>
      <c r="Z46" s="47" t="s">
        <v>329</v>
      </c>
      <c r="AA46" s="51" t="str">
        <f>VLOOKUP(Table37[[#This Row],[MONTH]],TAGS!$W$67:$Y$81,2,FALSE)</f>
        <v>1ST QTR</v>
      </c>
      <c r="AB46" s="51" t="str">
        <f>VLOOKUP(Table37[[#This Row],[MONTH]],TAGS!$W$67:$Y$81,3,FALSE)</f>
        <v>1ST SEMESTER</v>
      </c>
      <c r="AC46" s="51">
        <f>VLOOKUP(Table37[[#This Row],[MONTH]],TAGS!$W$67:$Z$81,4,FALSE)</f>
        <v>2025</v>
      </c>
      <c r="AD46" s="47">
        <v>200</v>
      </c>
      <c r="AE46" s="47"/>
      <c r="AF46" s="51">
        <f>SUM(Table37[[#This Row],[MOOE (Php ''000)]:[CO (Php ''000)]])</f>
        <v>200</v>
      </c>
      <c r="AG46" s="71" t="b">
        <f>ISBLANK(Table37[[#This Row],[PRPOPOSAL/BEDS]])</f>
        <v>0</v>
      </c>
      <c r="AH46" s="71" t="b">
        <f>ISBLANK(Table37[[#This Row],[OU]])</f>
        <v>0</v>
      </c>
      <c r="AI46" s="71" t="b">
        <f>ISBLANK(Table37[[#This Row],[SPECIFIC COMMODITY]])</f>
        <v>0</v>
      </c>
      <c r="AJ46" s="71" t="b">
        <f>ISBLANK(Table37[[#This Row],[COMMODITY PREXC SUB-PROGRAM]])</f>
        <v>0</v>
      </c>
      <c r="AK46" s="71" t="b">
        <f>ISBLANK(Table37[[#This Row],[ACTIVITY]])</f>
        <v>0</v>
      </c>
      <c r="AL46" s="71" t="b">
        <f>ISBLANK(Table37[[#This Row],[TAG-GAD]])</f>
        <v>0</v>
      </c>
      <c r="AM46" s="71" t="b">
        <f>ISBLANK(Table37[[#This Row],[MONTH]])</f>
        <v>0</v>
      </c>
      <c r="AN46" s="71" t="b">
        <f>ISBLANK(Table37[[#This Row],[MOOE (Php ''000)]])</f>
        <v>0</v>
      </c>
      <c r="AO46" s="71" t="b">
        <f>ISBLANK(Table37[[#This Row],[CO (Php ''000)]])</f>
        <v>1</v>
      </c>
    </row>
    <row r="47" spans="1:41">
      <c r="A47" s="51" t="str">
        <f>VLOOKUP(Table37[[#This Row],[OU]],OU!$A$15:$B$34,2,FALSE)</f>
        <v>RFOs</v>
      </c>
      <c r="B47" s="47" t="s">
        <v>297</v>
      </c>
      <c r="C47" s="47" t="s">
        <v>574</v>
      </c>
      <c r="D47" s="47" t="s">
        <v>579</v>
      </c>
      <c r="E47" s="51" t="str">
        <f>VLOOKUP(Table37[[#This Row],[SPECIFIC COMMODITY]],TAGS!$W$48:$X$53,2,FALSE)</f>
        <v>Cassava</v>
      </c>
      <c r="F47" s="51" t="str">
        <f>VLOOKUP(Table37[[#This Row],[PREXC SUB-PROGRAM]],Table5[],2,FALSE)</f>
        <v>TECHNICAL AND SUPPORT SERVICES PROGRAM</v>
      </c>
      <c r="G47" s="51" t="str">
        <f>VLOOKUP(Table37[[#This Row],[COMMODITY PREXC SUB-PROGRAM]],TAGS!$U$54:$V$76,2,FALSE)</f>
        <v>ESETS</v>
      </c>
      <c r="H47" s="47" t="s">
        <v>589</v>
      </c>
      <c r="I47" s="51" t="str">
        <f>VLOOKUP(Table37[[#This Row],[PI LEVEL 3]],'PI LEVEL'!A:C,3,FALSE)</f>
        <v>Technology demonstrations established/maintained</v>
      </c>
      <c r="J47" s="51" t="str">
        <f>VLOOKUP(Table37[[#This Row],[PI LEVEL 3]],Table53729[[Performance Indicator Level 3]:[Performance Indicator Level 1]],2,FALSE)</f>
        <v>Model Farms established</v>
      </c>
      <c r="K47" s="51" t="str">
        <f>VLOOKUP(Table37[[#This Row],[ACTIVITY]],TAGS!B:P,2,FALSE)</f>
        <v>Model Farms established</v>
      </c>
      <c r="L47" s="47" t="s">
        <v>107</v>
      </c>
      <c r="M47" s="51" t="str">
        <f>VLOOKUP(Table37[[#This Row],[ACTIVITY]],TAGS!$B:$P,4,FALSE)</f>
        <v>Model Farm establishment</v>
      </c>
      <c r="N47" s="51" t="str">
        <f>VLOOKUP(Table37[[#This Row],[ACTIVITY]],TAGS!$B:$P,5,FALSE)</f>
        <v>Model farm</v>
      </c>
      <c r="O47" s="51" t="str">
        <f>VLOOKUP(Table37[[#This Row],[ACTIVITY]],TAGS!$B:$P,6,FALSE)</f>
        <v>Cassava model farm</v>
      </c>
      <c r="P47" s="51" t="str">
        <f>VLOOKUP(Table37[[#This Row],[ACTIVITY]],TAGS!$B:$P,7,FALSE)</f>
        <v>YES</v>
      </c>
      <c r="Q47" s="51" t="str">
        <f>VLOOKUP(Table37[[#This Row],[ACTIVITY]],TAGS!$B:$P,8,FALSE)</f>
        <v>PAP</v>
      </c>
      <c r="R47" s="51" t="str">
        <f>VLOOKUP(Table37[[#This Row],[ACTIVITY]],TAGS!$B:$P,10,FALSE)</f>
        <v>PIP</v>
      </c>
      <c r="S47" s="51" t="str">
        <f>VLOOKUP(Table37[[#This Row],[ACTIVITY]],TAGS!$B:$P,11,FALSE)</f>
        <v>PICS</v>
      </c>
      <c r="T47" s="51" t="str">
        <f>VLOOKUP(Table37[[#This Row],[ACTIVITY]],TAGS!$B:$P,12,FALSE)</f>
        <v>Consolidation</v>
      </c>
      <c r="U47" s="51" t="str">
        <f>VLOOKUP(Table37[[#This Row],[ACTIVITY]],TAGS!$B:$P,13,FALSE)</f>
        <v>1. Bayanihan Agri Cluster</v>
      </c>
      <c r="V47" s="51" t="str">
        <f>VLOOKUP(Table37[[#This Row],[ACTIVITY]],TAGS!$B:$P,14,FALSE)</f>
        <v>EXPAND AND IMPROVE AVAILABLE AGRI-FISHERY AREAS FOR INCREASED PRODUCTION</v>
      </c>
      <c r="W47" s="51" t="str">
        <f>VLOOKUP(Table37[[#This Row],[ACTIVITY]],TAGS!$B:$P,15,FALSE)</f>
        <v>Farm Inputs</v>
      </c>
      <c r="X47" s="51" t="str">
        <f>VLOOKUP(Table37[[#This Row],[PI LEVEL 3]],'PI LEVEL'!$A:$G,7,FALSE)</f>
        <v>DA-Level Output</v>
      </c>
      <c r="Y47" s="47" t="s">
        <v>577</v>
      </c>
      <c r="Z47" s="47" t="s">
        <v>329</v>
      </c>
      <c r="AA47" s="51" t="str">
        <f>VLOOKUP(Table37[[#This Row],[MONTH]],TAGS!$W$67:$Y$81,2,FALSE)</f>
        <v>1ST QTR</v>
      </c>
      <c r="AB47" s="51" t="str">
        <f>VLOOKUP(Table37[[#This Row],[MONTH]],TAGS!$W$67:$Y$81,3,FALSE)</f>
        <v>1ST SEMESTER</v>
      </c>
      <c r="AC47" s="51">
        <f>VLOOKUP(Table37[[#This Row],[MONTH]],TAGS!$W$67:$Z$81,4,FALSE)</f>
        <v>2025</v>
      </c>
      <c r="AD47" s="47">
        <v>650</v>
      </c>
      <c r="AE47" s="47"/>
      <c r="AF47" s="51">
        <f>SUM(Table37[[#This Row],[MOOE (Php ''000)]:[CO (Php ''000)]])</f>
        <v>650</v>
      </c>
      <c r="AG47" s="71" t="b">
        <f>ISBLANK(Table37[[#This Row],[PRPOPOSAL/BEDS]])</f>
        <v>0</v>
      </c>
      <c r="AH47" s="71" t="b">
        <f>ISBLANK(Table37[[#This Row],[OU]])</f>
        <v>0</v>
      </c>
      <c r="AI47" s="71" t="b">
        <f>ISBLANK(Table37[[#This Row],[SPECIFIC COMMODITY]])</f>
        <v>0</v>
      </c>
      <c r="AJ47" s="71" t="b">
        <f>ISBLANK(Table37[[#This Row],[COMMODITY PREXC SUB-PROGRAM]])</f>
        <v>0</v>
      </c>
      <c r="AK47" s="71" t="b">
        <f>ISBLANK(Table37[[#This Row],[ACTIVITY]])</f>
        <v>0</v>
      </c>
      <c r="AL47" s="71" t="b">
        <f>ISBLANK(Table37[[#This Row],[TAG-GAD]])</f>
        <v>0</v>
      </c>
      <c r="AM47" s="71" t="b">
        <f>ISBLANK(Table37[[#This Row],[MONTH]])</f>
        <v>0</v>
      </c>
      <c r="AN47" s="71" t="b">
        <f>ISBLANK(Table37[[#This Row],[MOOE (Php ''000)]])</f>
        <v>0</v>
      </c>
      <c r="AO47" s="71" t="b">
        <f>ISBLANK(Table37[[#This Row],[CO (Php ''000)]])</f>
        <v>1</v>
      </c>
    </row>
    <row r="48" spans="1:41">
      <c r="A48" s="51" t="str">
        <f>VLOOKUP(Table37[[#This Row],[OU]],OU!$A$15:$B$34,2,FALSE)</f>
        <v>RFOs</v>
      </c>
      <c r="B48" s="47" t="s">
        <v>297</v>
      </c>
      <c r="C48" s="47" t="s">
        <v>574</v>
      </c>
      <c r="D48" s="47" t="s">
        <v>579</v>
      </c>
      <c r="E48" s="51" t="str">
        <f>VLOOKUP(Table37[[#This Row],[SPECIFIC COMMODITY]],TAGS!$W$48:$X$53,2,FALSE)</f>
        <v>Cassava</v>
      </c>
      <c r="F48" s="51" t="str">
        <f>VLOOKUP(Table37[[#This Row],[PREXC SUB-PROGRAM]],Table5[],2,FALSE)</f>
        <v>TECHNICAL AND SUPPORT SERVICES PROGRAM</v>
      </c>
      <c r="G48" s="51" t="str">
        <f>VLOOKUP(Table37[[#This Row],[COMMODITY PREXC SUB-PROGRAM]],TAGS!$U$54:$V$76,2,FALSE)</f>
        <v>ESETS</v>
      </c>
      <c r="H48" s="47" t="s">
        <v>589</v>
      </c>
      <c r="I48" s="51" t="str">
        <f>VLOOKUP(Table37[[#This Row],[PI LEVEL 3]],'PI LEVEL'!A:C,3,FALSE)</f>
        <v>Training conducted</v>
      </c>
      <c r="J48" s="51" t="str">
        <f>VLOOKUP(Table37[[#This Row],[PI LEVEL 3]],Table53729[[Performance Indicator Level 3]:[Performance Indicator Level 1]],2,FALSE)</f>
        <v>Other training conducted</v>
      </c>
      <c r="K48" s="51" t="str">
        <f>VLOOKUP(Table37[[#This Row],[ACTIVITY]],TAGS!B:P,2,FALSE)</f>
        <v>Other training conducted_Farmers/Fisherfolk/Other External Participants</v>
      </c>
      <c r="L48" s="47" t="s">
        <v>147</v>
      </c>
      <c r="M48" s="51" t="str">
        <f>VLOOKUP(Table37[[#This Row],[ACTIVITY]],TAGS!$B:$P,4,FALSE)</f>
        <v>Trainings</v>
      </c>
      <c r="N48" s="51" t="str">
        <f>VLOOKUP(Table37[[#This Row],[ACTIVITY]],TAGS!$B:$P,5,FALSE)</f>
        <v>Trainings</v>
      </c>
      <c r="O48" s="51" t="str">
        <f>VLOOKUP(Table37[[#This Row],[ACTIVITY]],TAGS!$B:$P,6,FALSE)</f>
        <v>Cassava Livelihood training</v>
      </c>
      <c r="P48" s="51" t="str">
        <f>VLOOKUP(Table37[[#This Row],[ACTIVITY]],TAGS!$B:$P,7,FALSE)</f>
        <v>NO</v>
      </c>
      <c r="Q48" s="51" t="str">
        <f>VLOOKUP(Table37[[#This Row],[ACTIVITY]],TAGS!$B:$P,8,FALSE)</f>
        <v>PAP</v>
      </c>
      <c r="R48" s="51" t="str">
        <f>VLOOKUP(Table37[[#This Row],[ACTIVITY]],TAGS!$B:$P,10,FALSE)</f>
        <v>PIP</v>
      </c>
      <c r="S48" s="51" t="str">
        <f>VLOOKUP(Table37[[#This Row],[ACTIVITY]],TAGS!$B:$P,11,FALSE)</f>
        <v>PICS</v>
      </c>
      <c r="T48" s="51" t="str">
        <f>VLOOKUP(Table37[[#This Row],[ACTIVITY]],TAGS!$B:$P,12,FALSE)</f>
        <v>Consolidation</v>
      </c>
      <c r="U48" s="51" t="str">
        <f>VLOOKUP(Table37[[#This Row],[ACTIVITY]],TAGS!$B:$P,13,FALSE)</f>
        <v>1. Bayanihan Agri Cluster</v>
      </c>
      <c r="V48" s="51" t="str">
        <f>VLOOKUP(Table37[[#This Row],[ACTIVITY]],TAGS!$B:$P,14,FALSE)</f>
        <v>IMPROVE AND EXPAND LOCAL AND INTERNATIONAL MARKET ACCESS</v>
      </c>
      <c r="W48" s="51" t="str">
        <f>VLOOKUP(Table37[[#This Row],[ACTIVITY]],TAGS!$B:$P,15,FALSE)</f>
        <v>Capacity Building</v>
      </c>
      <c r="X48" s="51" t="str">
        <f>VLOOKUP(Table37[[#This Row],[PI LEVEL 3]],'PI LEVEL'!$A:$G,7,FALSE)</f>
        <v>PREXC/DA-Level Output</v>
      </c>
      <c r="Y48" s="47" t="s">
        <v>588</v>
      </c>
      <c r="Z48" s="47" t="s">
        <v>329</v>
      </c>
      <c r="AA48" s="51" t="str">
        <f>VLOOKUP(Table37[[#This Row],[MONTH]],TAGS!$W$67:$Y$81,2,FALSE)</f>
        <v>1ST QTR</v>
      </c>
      <c r="AB48" s="51" t="str">
        <f>VLOOKUP(Table37[[#This Row],[MONTH]],TAGS!$W$67:$Y$81,3,FALSE)</f>
        <v>1ST SEMESTER</v>
      </c>
      <c r="AC48" s="51">
        <f>VLOOKUP(Table37[[#This Row],[MONTH]],TAGS!$W$67:$Z$81,4,FALSE)</f>
        <v>2025</v>
      </c>
      <c r="AD48" s="47">
        <v>200</v>
      </c>
      <c r="AE48" s="47"/>
      <c r="AF48" s="51">
        <f>SUM(Table37[[#This Row],[MOOE (Php ''000)]:[CO (Php ''000)]])</f>
        <v>200</v>
      </c>
      <c r="AG48" s="71" t="b">
        <f>ISBLANK(Table37[[#This Row],[PRPOPOSAL/BEDS]])</f>
        <v>0</v>
      </c>
      <c r="AH48" s="71" t="b">
        <f>ISBLANK(Table37[[#This Row],[OU]])</f>
        <v>0</v>
      </c>
      <c r="AI48" s="71" t="b">
        <f>ISBLANK(Table37[[#This Row],[SPECIFIC COMMODITY]])</f>
        <v>0</v>
      </c>
      <c r="AJ48" s="71" t="b">
        <f>ISBLANK(Table37[[#This Row],[COMMODITY PREXC SUB-PROGRAM]])</f>
        <v>0</v>
      </c>
      <c r="AK48" s="71" t="b">
        <f>ISBLANK(Table37[[#This Row],[ACTIVITY]])</f>
        <v>0</v>
      </c>
      <c r="AL48" s="71" t="b">
        <f>ISBLANK(Table37[[#This Row],[TAG-GAD]])</f>
        <v>0</v>
      </c>
      <c r="AM48" s="71" t="b">
        <f>ISBLANK(Table37[[#This Row],[MONTH]])</f>
        <v>0</v>
      </c>
      <c r="AN48" s="71" t="b">
        <f>ISBLANK(Table37[[#This Row],[MOOE (Php ''000)]])</f>
        <v>0</v>
      </c>
      <c r="AO48" s="71" t="b">
        <f>ISBLANK(Table37[[#This Row],[CO (Php ''000)]])</f>
        <v>1</v>
      </c>
    </row>
    <row r="49" spans="1:41">
      <c r="A49" s="51" t="str">
        <f>VLOOKUP(Table37[[#This Row],[OU]],OU!$A$15:$B$34,2,FALSE)</f>
        <v>RFOs</v>
      </c>
      <c r="B49" s="47" t="s">
        <v>297</v>
      </c>
      <c r="C49" s="47" t="s">
        <v>574</v>
      </c>
      <c r="D49" s="47" t="s">
        <v>579</v>
      </c>
      <c r="E49" s="51" t="str">
        <f>VLOOKUP(Table37[[#This Row],[SPECIFIC COMMODITY]],TAGS!$W$48:$X$53,2,FALSE)</f>
        <v>Cassava</v>
      </c>
      <c r="F49" s="51" t="str">
        <f>VLOOKUP(Table37[[#This Row],[PREXC SUB-PROGRAM]],Table5[],2,FALSE)</f>
        <v>TECHNICAL AND SUPPORT SERVICES PROGRAM</v>
      </c>
      <c r="G49" s="51" t="str">
        <f>VLOOKUP(Table37[[#This Row],[COMMODITY PREXC SUB-PROGRAM]],TAGS!$U$54:$V$76,2,FALSE)</f>
        <v>ESETS</v>
      </c>
      <c r="H49" s="47" t="s">
        <v>589</v>
      </c>
      <c r="I49" s="51" t="str">
        <f>VLOOKUP(Table37[[#This Row],[PI LEVEL 3]],'PI LEVEL'!A:C,3,FALSE)</f>
        <v>Training conducted</v>
      </c>
      <c r="J49" s="51" t="str">
        <f>VLOOKUP(Table37[[#This Row],[PI LEVEL 3]],Table53729[[Performance Indicator Level 3]:[Performance Indicator Level 1]],2,FALSE)</f>
        <v>Other training conducted</v>
      </c>
      <c r="K49" s="51" t="str">
        <f>VLOOKUP(Table37[[#This Row],[ACTIVITY]],TAGS!B:P,2,FALSE)</f>
        <v>Other training conducted_Farmers/Fisherfolk/Other External Participants</v>
      </c>
      <c r="L49" s="47" t="s">
        <v>149</v>
      </c>
      <c r="M49" s="51" t="str">
        <f>VLOOKUP(Table37[[#This Row],[ACTIVITY]],TAGS!$B:$P,4,FALSE)</f>
        <v>Trainings</v>
      </c>
      <c r="N49" s="51" t="str">
        <f>VLOOKUP(Table37[[#This Row],[ACTIVITY]],TAGS!$B:$P,5,FALSE)</f>
        <v>Trainings</v>
      </c>
      <c r="O49" s="51" t="str">
        <f>VLOOKUP(Table37[[#This Row],[ACTIVITY]],TAGS!$B:$P,6,FALSE)</f>
        <v>Cassava Production Training</v>
      </c>
      <c r="P49" s="51" t="str">
        <f>VLOOKUP(Table37[[#This Row],[ACTIVITY]],TAGS!$B:$P,7,FALSE)</f>
        <v>NO</v>
      </c>
      <c r="Q49" s="51" t="str">
        <f>VLOOKUP(Table37[[#This Row],[ACTIVITY]],TAGS!$B:$P,8,FALSE)</f>
        <v>PAP</v>
      </c>
      <c r="R49" s="51" t="str">
        <f>VLOOKUP(Table37[[#This Row],[ACTIVITY]],TAGS!$B:$P,10,FALSE)</f>
        <v>PIP</v>
      </c>
      <c r="S49" s="51" t="str">
        <f>VLOOKUP(Table37[[#This Row],[ACTIVITY]],TAGS!$B:$P,11,FALSE)</f>
        <v>PICS</v>
      </c>
      <c r="T49" s="51" t="str">
        <f>VLOOKUP(Table37[[#This Row],[ACTIVITY]],TAGS!$B:$P,12,FALSE)</f>
        <v>Consolidation</v>
      </c>
      <c r="U49" s="51" t="str">
        <f>VLOOKUP(Table37[[#This Row],[ACTIVITY]],TAGS!$B:$P,13,FALSE)</f>
        <v>1. Bayanihan Agri Cluster</v>
      </c>
      <c r="V49" s="51" t="str">
        <f>VLOOKUP(Table37[[#This Row],[ACTIVITY]],TAGS!$B:$P,14,FALSE)</f>
        <v>EXPAND AND IMPROVE AVAILABLE AGRI-FISHERY AREAS FOR INCREASED PRODUCTION</v>
      </c>
      <c r="W49" s="51" t="str">
        <f>VLOOKUP(Table37[[#This Row],[ACTIVITY]],TAGS!$B:$P,15,FALSE)</f>
        <v>Capacity Building</v>
      </c>
      <c r="X49" s="51" t="str">
        <f>VLOOKUP(Table37[[#This Row],[PI LEVEL 3]],'PI LEVEL'!$A:$G,7,FALSE)</f>
        <v>PREXC/DA-Level Output</v>
      </c>
      <c r="Y49" s="47" t="s">
        <v>577</v>
      </c>
      <c r="Z49" s="47" t="s">
        <v>329</v>
      </c>
      <c r="AA49" s="51" t="str">
        <f>VLOOKUP(Table37[[#This Row],[MONTH]],TAGS!$W$67:$Y$81,2,FALSE)</f>
        <v>1ST QTR</v>
      </c>
      <c r="AB49" s="51" t="str">
        <f>VLOOKUP(Table37[[#This Row],[MONTH]],TAGS!$W$67:$Y$81,3,FALSE)</f>
        <v>1ST SEMESTER</v>
      </c>
      <c r="AC49" s="51">
        <f>VLOOKUP(Table37[[#This Row],[MONTH]],TAGS!$W$67:$Z$81,4,FALSE)</f>
        <v>2025</v>
      </c>
      <c r="AD49" s="47">
        <v>140</v>
      </c>
      <c r="AE49" s="47"/>
      <c r="AF49" s="51">
        <f>SUM(Table37[[#This Row],[MOOE (Php ''000)]:[CO (Php ''000)]])</f>
        <v>140</v>
      </c>
      <c r="AG49" s="71" t="b">
        <f>ISBLANK(Table37[[#This Row],[PRPOPOSAL/BEDS]])</f>
        <v>0</v>
      </c>
      <c r="AH49" s="71" t="b">
        <f>ISBLANK(Table37[[#This Row],[OU]])</f>
        <v>0</v>
      </c>
      <c r="AI49" s="71" t="b">
        <f>ISBLANK(Table37[[#This Row],[SPECIFIC COMMODITY]])</f>
        <v>0</v>
      </c>
      <c r="AJ49" s="71" t="b">
        <f>ISBLANK(Table37[[#This Row],[COMMODITY PREXC SUB-PROGRAM]])</f>
        <v>0</v>
      </c>
      <c r="AK49" s="71" t="b">
        <f>ISBLANK(Table37[[#This Row],[ACTIVITY]])</f>
        <v>0</v>
      </c>
      <c r="AL49" s="71" t="b">
        <f>ISBLANK(Table37[[#This Row],[TAG-GAD]])</f>
        <v>0</v>
      </c>
      <c r="AM49" s="71" t="b">
        <f>ISBLANK(Table37[[#This Row],[MONTH]])</f>
        <v>0</v>
      </c>
      <c r="AN49" s="71" t="b">
        <f>ISBLANK(Table37[[#This Row],[MOOE (Php ''000)]])</f>
        <v>0</v>
      </c>
      <c r="AO49" s="71" t="b">
        <f>ISBLANK(Table37[[#This Row],[CO (Php ''000)]])</f>
        <v>1</v>
      </c>
    </row>
    <row r="50" spans="1:41">
      <c r="A50" s="51" t="str">
        <f>VLOOKUP(Table37[[#This Row],[OU]],OU!$A$15:$B$34,2,FALSE)</f>
        <v>RFOs</v>
      </c>
      <c r="B50" s="47" t="s">
        <v>297</v>
      </c>
      <c r="C50" s="47" t="s">
        <v>574</v>
      </c>
      <c r="D50" s="47" t="s">
        <v>579</v>
      </c>
      <c r="E50" s="51" t="str">
        <f>VLOOKUP(Table37[[#This Row],[SPECIFIC COMMODITY]],TAGS!$W$48:$X$53,2,FALSE)</f>
        <v>Cassava</v>
      </c>
      <c r="F50" s="51" t="str">
        <f>VLOOKUP(Table37[[#This Row],[PREXC SUB-PROGRAM]],Table5[],2,FALSE)</f>
        <v>TECHNICAL AND SUPPORT SERVICES PROGRAM</v>
      </c>
      <c r="G50" s="51" t="str">
        <f>VLOOKUP(Table37[[#This Row],[COMMODITY PREXC SUB-PROGRAM]],TAGS!$U$54:$V$76,2,FALSE)</f>
        <v>ESETS</v>
      </c>
      <c r="H50" s="47" t="s">
        <v>589</v>
      </c>
      <c r="I50" s="51" t="str">
        <f>VLOOKUP(Table37[[#This Row],[PI LEVEL 3]],'PI LEVEL'!A:C,3,FALSE)</f>
        <v>Knowledge Products disseminated</v>
      </c>
      <c r="J50" s="51" t="str">
        <f>VLOOKUP(Table37[[#This Row],[PI LEVEL 3]],Table53729[[Performance Indicator Level 3]:[Performance Indicator Level 1]],2,FALSE)</f>
        <v>Knowledge Products disseminated</v>
      </c>
      <c r="K50" s="51" t="str">
        <f>VLOOKUP(Table37[[#This Row],[ACTIVITY]],TAGS!B:P,2,FALSE)</f>
        <v>Knowledge Products disseminated</v>
      </c>
      <c r="L50" s="47" t="s">
        <v>151</v>
      </c>
      <c r="M50" s="51" t="str">
        <f>VLOOKUP(Table37[[#This Row],[ACTIVITY]],TAGS!$B:$P,4,FALSE)</f>
        <v>Information, Education, and Communication Activities</v>
      </c>
      <c r="N50" s="51" t="str">
        <f>VLOOKUP(Table37[[#This Row],[ACTIVITY]],TAGS!$B:$P,5,FALSE)</f>
        <v>Information, Education, and Communication Activities</v>
      </c>
      <c r="O50" s="51" t="str">
        <f>VLOOKUP(Table37[[#This Row],[ACTIVITY]],TAGS!$B:$P,6,FALSE)</f>
        <v>IEC materials</v>
      </c>
      <c r="P50" s="51" t="str">
        <f>VLOOKUP(Table37[[#This Row],[ACTIVITY]],TAGS!$B:$P,7,FALSE)</f>
        <v>NO</v>
      </c>
      <c r="Q50" s="51" t="str">
        <f>VLOOKUP(Table37[[#This Row],[ACTIVITY]],TAGS!$B:$P,8,FALSE)</f>
        <v>PAP</v>
      </c>
      <c r="R50" s="51" t="str">
        <f>VLOOKUP(Table37[[#This Row],[ACTIVITY]],TAGS!$B:$P,10,FALSE)</f>
        <v>PIP</v>
      </c>
      <c r="S50" s="51" t="str">
        <f>VLOOKUP(Table37[[#This Row],[ACTIVITY]],TAGS!$B:$P,11,FALSE)</f>
        <v>PICS</v>
      </c>
      <c r="T50" s="51" t="str">
        <f>VLOOKUP(Table37[[#This Row],[ACTIVITY]],TAGS!$B:$P,12,FALSE)</f>
        <v>Strategic Communication</v>
      </c>
      <c r="U50" s="51" t="str">
        <f>VLOOKUP(Table37[[#This Row],[ACTIVITY]],TAGS!$B:$P,13,FALSE)</f>
        <v>18. Strategic Communications​</v>
      </c>
      <c r="V50" s="51">
        <f>VLOOKUP(Table37[[#This Row],[ACTIVITY]],TAGS!$B:$P,14,FALSE)</f>
        <v>0</v>
      </c>
      <c r="W50" s="51" t="str">
        <f>VLOOKUP(Table37[[#This Row],[ACTIVITY]],TAGS!$B:$P,15,FALSE)</f>
        <v>IEC</v>
      </c>
      <c r="X50" s="51" t="str">
        <f>VLOOKUP(Table37[[#This Row],[PI LEVEL 3]],'PI LEVEL'!$A:$G,7,FALSE)</f>
        <v>DA-Level Output</v>
      </c>
      <c r="Y50" s="47" t="s">
        <v>577</v>
      </c>
      <c r="Z50" s="47" t="s">
        <v>329</v>
      </c>
      <c r="AA50" s="51" t="str">
        <f>VLOOKUP(Table37[[#This Row],[MONTH]],TAGS!$W$67:$Y$81,2,FALSE)</f>
        <v>1ST QTR</v>
      </c>
      <c r="AB50" s="51" t="str">
        <f>VLOOKUP(Table37[[#This Row],[MONTH]],TAGS!$W$67:$Y$81,3,FALSE)</f>
        <v>1ST SEMESTER</v>
      </c>
      <c r="AC50" s="51">
        <f>VLOOKUP(Table37[[#This Row],[MONTH]],TAGS!$W$67:$Z$81,4,FALSE)</f>
        <v>2025</v>
      </c>
      <c r="AD50" s="47">
        <v>150</v>
      </c>
      <c r="AE50" s="47"/>
      <c r="AF50" s="51">
        <f>SUM(Table37[[#This Row],[MOOE (Php ''000)]:[CO (Php ''000)]])</f>
        <v>150</v>
      </c>
      <c r="AG50" s="71" t="b">
        <f>ISBLANK(Table37[[#This Row],[PRPOPOSAL/BEDS]])</f>
        <v>0</v>
      </c>
      <c r="AH50" s="71" t="b">
        <f>ISBLANK(Table37[[#This Row],[OU]])</f>
        <v>0</v>
      </c>
      <c r="AI50" s="71" t="b">
        <f>ISBLANK(Table37[[#This Row],[SPECIFIC COMMODITY]])</f>
        <v>0</v>
      </c>
      <c r="AJ50" s="71" t="b">
        <f>ISBLANK(Table37[[#This Row],[COMMODITY PREXC SUB-PROGRAM]])</f>
        <v>0</v>
      </c>
      <c r="AK50" s="71" t="b">
        <f>ISBLANK(Table37[[#This Row],[ACTIVITY]])</f>
        <v>0</v>
      </c>
      <c r="AL50" s="71" t="b">
        <f>ISBLANK(Table37[[#This Row],[TAG-GAD]])</f>
        <v>0</v>
      </c>
      <c r="AM50" s="71" t="b">
        <f>ISBLANK(Table37[[#This Row],[MONTH]])</f>
        <v>0</v>
      </c>
      <c r="AN50" s="71" t="b">
        <f>ISBLANK(Table37[[#This Row],[MOOE (Php ''000)]])</f>
        <v>0</v>
      </c>
      <c r="AO50" s="71" t="b">
        <f>ISBLANK(Table37[[#This Row],[CO (Php ''000)]])</f>
        <v>1</v>
      </c>
    </row>
    <row r="51" spans="1:41">
      <c r="A51" s="51" t="str">
        <f>VLOOKUP(Table37[[#This Row],[OU]],OU!$A$15:$B$34,2,FALSE)</f>
        <v>RFOs</v>
      </c>
      <c r="B51" s="47" t="s">
        <v>297</v>
      </c>
      <c r="C51" s="47" t="s">
        <v>574</v>
      </c>
      <c r="D51" s="47" t="s">
        <v>581</v>
      </c>
      <c r="E51" s="51" t="str">
        <f>VLOOKUP(Table37[[#This Row],[SPECIFIC COMMODITY]],TAGS!$W$48:$X$53,2,FALSE)</f>
        <v>Sorghum</v>
      </c>
      <c r="F51" s="51" t="str">
        <f>VLOOKUP(Table37[[#This Row],[PREXC SUB-PROGRAM]],Table5[],2,FALSE)</f>
        <v>TECHNICAL AND SUPPORT SERVICES PROGRAM</v>
      </c>
      <c r="G51" s="51" t="str">
        <f>VLOOKUP(Table37[[#This Row],[COMMODITY PREXC SUB-PROGRAM]],TAGS!$U$54:$V$76,2,FALSE)</f>
        <v>ESETS</v>
      </c>
      <c r="H51" s="47" t="s">
        <v>590</v>
      </c>
      <c r="I51" s="51" t="str">
        <f>VLOOKUP(Table37[[#This Row],[PI LEVEL 3]],'PI LEVEL'!A:C,3,FALSE)</f>
        <v>Technology demonstrations established/maintained</v>
      </c>
      <c r="J51" s="51" t="str">
        <f>VLOOKUP(Table37[[#This Row],[PI LEVEL 3]],Table53729[[Performance Indicator Level 3]:[Performance Indicator Level 1]],2,FALSE)</f>
        <v>Model Farms established</v>
      </c>
      <c r="K51" s="51" t="str">
        <f>VLOOKUP(Table37[[#This Row],[ACTIVITY]],TAGS!B:P,2,FALSE)</f>
        <v>Model Farms established</v>
      </c>
      <c r="L51" s="47" t="s">
        <v>115</v>
      </c>
      <c r="M51" s="51" t="str">
        <f>VLOOKUP(Table37[[#This Row],[ACTIVITY]],TAGS!$B:$P,4,FALSE)</f>
        <v>Model Farm establishment</v>
      </c>
      <c r="N51" s="51" t="str">
        <f>VLOOKUP(Table37[[#This Row],[ACTIVITY]],TAGS!$B:$P,5,FALSE)</f>
        <v>Model farm</v>
      </c>
      <c r="O51" s="51" t="str">
        <f>VLOOKUP(Table37[[#This Row],[ACTIVITY]],TAGS!$B:$P,6,FALSE)</f>
        <v>Sorghum model farm</v>
      </c>
      <c r="P51" s="51" t="str">
        <f>VLOOKUP(Table37[[#This Row],[ACTIVITY]],TAGS!$B:$P,7,FALSE)</f>
        <v>YES</v>
      </c>
      <c r="Q51" s="51" t="str">
        <f>VLOOKUP(Table37[[#This Row],[ACTIVITY]],TAGS!$B:$P,8,FALSE)</f>
        <v>PAP</v>
      </c>
      <c r="R51" s="51" t="str">
        <f>VLOOKUP(Table37[[#This Row],[ACTIVITY]],TAGS!$B:$P,10,FALSE)</f>
        <v>PIP</v>
      </c>
      <c r="S51" s="51" t="str">
        <f>VLOOKUP(Table37[[#This Row],[ACTIVITY]],TAGS!$B:$P,11,FALSE)</f>
        <v>PICS</v>
      </c>
      <c r="T51" s="51" t="str">
        <f>VLOOKUP(Table37[[#This Row],[ACTIVITY]],TAGS!$B:$P,12,FALSE)</f>
        <v>Consolidation</v>
      </c>
      <c r="U51" s="51" t="str">
        <f>VLOOKUP(Table37[[#This Row],[ACTIVITY]],TAGS!$B:$P,13,FALSE)</f>
        <v>1. Bayanihan Agri Cluster</v>
      </c>
      <c r="V51" s="51" t="str">
        <f>VLOOKUP(Table37[[#This Row],[ACTIVITY]],TAGS!$B:$P,14,FALSE)</f>
        <v>EXPAND AND IMPROVE AVAILABLE AGRI-FISHERY AREAS FOR INCREASED PRODUCTION</v>
      </c>
      <c r="W51" s="51" t="str">
        <f>VLOOKUP(Table37[[#This Row],[ACTIVITY]],TAGS!$B:$P,15,FALSE)</f>
        <v>Farm Inputs</v>
      </c>
      <c r="X51" s="51" t="str">
        <f>VLOOKUP(Table37[[#This Row],[PI LEVEL 3]],'PI LEVEL'!$A:$G,7,FALSE)</f>
        <v>DA-Level Output</v>
      </c>
      <c r="Y51" s="47" t="s">
        <v>577</v>
      </c>
      <c r="Z51" s="47" t="s">
        <v>329</v>
      </c>
      <c r="AA51" s="51" t="str">
        <f>VLOOKUP(Table37[[#This Row],[MONTH]],TAGS!$W$67:$Y$81,2,FALSE)</f>
        <v>1ST QTR</v>
      </c>
      <c r="AB51" s="51" t="str">
        <f>VLOOKUP(Table37[[#This Row],[MONTH]],TAGS!$W$67:$Y$81,3,FALSE)</f>
        <v>1ST SEMESTER</v>
      </c>
      <c r="AC51" s="51">
        <f>VLOOKUP(Table37[[#This Row],[MONTH]],TAGS!$W$67:$Z$81,4,FALSE)</f>
        <v>2025</v>
      </c>
      <c r="AD51" s="47">
        <v>280</v>
      </c>
      <c r="AE51" s="47"/>
      <c r="AF51" s="51">
        <f>SUM(Table37[[#This Row],[MOOE (Php ''000)]:[CO (Php ''000)]])</f>
        <v>280</v>
      </c>
      <c r="AG51" s="71" t="b">
        <f>ISBLANK(Table37[[#This Row],[PRPOPOSAL/BEDS]])</f>
        <v>0</v>
      </c>
      <c r="AH51" s="71" t="b">
        <f>ISBLANK(Table37[[#This Row],[OU]])</f>
        <v>0</v>
      </c>
      <c r="AI51" s="71" t="b">
        <f>ISBLANK(Table37[[#This Row],[SPECIFIC COMMODITY]])</f>
        <v>0</v>
      </c>
      <c r="AJ51" s="71" t="b">
        <f>ISBLANK(Table37[[#This Row],[COMMODITY PREXC SUB-PROGRAM]])</f>
        <v>0</v>
      </c>
      <c r="AK51" s="71" t="b">
        <f>ISBLANK(Table37[[#This Row],[ACTIVITY]])</f>
        <v>0</v>
      </c>
      <c r="AL51" s="71" t="b">
        <f>ISBLANK(Table37[[#This Row],[TAG-GAD]])</f>
        <v>0</v>
      </c>
      <c r="AM51" s="71" t="b">
        <f>ISBLANK(Table37[[#This Row],[MONTH]])</f>
        <v>0</v>
      </c>
      <c r="AN51" s="71" t="b">
        <f>ISBLANK(Table37[[#This Row],[MOOE (Php ''000)]])</f>
        <v>0</v>
      </c>
      <c r="AO51" s="71" t="b">
        <f>ISBLANK(Table37[[#This Row],[CO (Php ''000)]])</f>
        <v>1</v>
      </c>
    </row>
    <row r="52" spans="1:41">
      <c r="A52" s="51" t="str">
        <f>VLOOKUP(Table37[[#This Row],[OU]],OU!$A$15:$B$34,2,FALSE)</f>
        <v>RFOs</v>
      </c>
      <c r="B52" s="47" t="s">
        <v>297</v>
      </c>
      <c r="C52" s="47" t="s">
        <v>574</v>
      </c>
      <c r="D52" s="47" t="s">
        <v>581</v>
      </c>
      <c r="E52" s="51" t="str">
        <f>VLOOKUP(Table37[[#This Row],[SPECIFIC COMMODITY]],TAGS!$W$48:$X$53,2,FALSE)</f>
        <v>Sorghum</v>
      </c>
      <c r="F52" s="51" t="str">
        <f>VLOOKUP(Table37[[#This Row],[PREXC SUB-PROGRAM]],Table5[],2,FALSE)</f>
        <v>TECHNICAL AND SUPPORT SERVICES PROGRAM</v>
      </c>
      <c r="G52" s="51" t="str">
        <f>VLOOKUP(Table37[[#This Row],[COMMODITY PREXC SUB-PROGRAM]],TAGS!$U$54:$V$76,2,FALSE)</f>
        <v>ESETS</v>
      </c>
      <c r="H52" s="47" t="s">
        <v>590</v>
      </c>
      <c r="I52" s="51" t="str">
        <f>VLOOKUP(Table37[[#This Row],[PI LEVEL 3]],'PI LEVEL'!A:C,3,FALSE)</f>
        <v>Technology demonstrations established/maintained</v>
      </c>
      <c r="J52" s="51" t="str">
        <f>VLOOKUP(Table37[[#This Row],[PI LEVEL 3]],Table53729[[Performance Indicator Level 3]:[Performance Indicator Level 1]],2,FALSE)</f>
        <v>Techno demo established</v>
      </c>
      <c r="K52" s="51" t="str">
        <f>VLOOKUP(Table37[[#This Row],[ACTIVITY]],TAGS!B:P,2,FALSE)</f>
        <v>Techno demo established</v>
      </c>
      <c r="L52" s="47" t="s">
        <v>117</v>
      </c>
      <c r="M52" s="51" t="str">
        <f>VLOOKUP(Table37[[#This Row],[ACTIVITY]],TAGS!$B:$P,4,FALSE)</f>
        <v>Techno Demo establishment</v>
      </c>
      <c r="N52" s="51" t="str">
        <f>VLOOKUP(Table37[[#This Row],[ACTIVITY]],TAGS!$B:$P,5,FALSE)</f>
        <v>Techno Demo</v>
      </c>
      <c r="O52" s="51" t="str">
        <f>VLOOKUP(Table37[[#This Row],[ACTIVITY]],TAGS!$B:$P,6,FALSE)</f>
        <v>Sorghum techno demo</v>
      </c>
      <c r="P52" s="51" t="str">
        <f>VLOOKUP(Table37[[#This Row],[ACTIVITY]],TAGS!$B:$P,7,FALSE)</f>
        <v>YES</v>
      </c>
      <c r="Q52" s="51" t="str">
        <f>VLOOKUP(Table37[[#This Row],[ACTIVITY]],TAGS!$B:$P,8,FALSE)</f>
        <v>PAP</v>
      </c>
      <c r="R52" s="51" t="str">
        <f>VLOOKUP(Table37[[#This Row],[ACTIVITY]],TAGS!$B:$P,10,FALSE)</f>
        <v>PIP</v>
      </c>
      <c r="S52" s="51" t="str">
        <f>VLOOKUP(Table37[[#This Row],[ACTIVITY]],TAGS!$B:$P,11,FALSE)</f>
        <v>PICS</v>
      </c>
      <c r="T52" s="51" t="str">
        <f>VLOOKUP(Table37[[#This Row],[ACTIVITY]],TAGS!$B:$P,12,FALSE)</f>
        <v>Consolidation</v>
      </c>
      <c r="U52" s="51" t="str">
        <f>VLOOKUP(Table37[[#This Row],[ACTIVITY]],TAGS!$B:$P,13,FALSE)</f>
        <v>1. Bayanihan Agri Cluster</v>
      </c>
      <c r="V52" s="51" t="str">
        <f>VLOOKUP(Table37[[#This Row],[ACTIVITY]],TAGS!$B:$P,14,FALSE)</f>
        <v>EXPAND AND IMPROVE AVAILABLE AGRI-FISHERY AREAS FOR INCREASED PRODUCTION</v>
      </c>
      <c r="W52" s="51" t="str">
        <f>VLOOKUP(Table37[[#This Row],[ACTIVITY]],TAGS!$B:$P,15,FALSE)</f>
        <v>Farm Inputs</v>
      </c>
      <c r="X52" s="51" t="str">
        <f>VLOOKUP(Table37[[#This Row],[PI LEVEL 3]],'PI LEVEL'!$A:$G,7,FALSE)</f>
        <v>DA-Level Output</v>
      </c>
      <c r="Y52" s="47" t="s">
        <v>577</v>
      </c>
      <c r="Z52" s="47" t="s">
        <v>329</v>
      </c>
      <c r="AA52" s="51" t="str">
        <f>VLOOKUP(Table37[[#This Row],[MONTH]],TAGS!$W$67:$Y$81,2,FALSE)</f>
        <v>1ST QTR</v>
      </c>
      <c r="AB52" s="51" t="str">
        <f>VLOOKUP(Table37[[#This Row],[MONTH]],TAGS!$W$67:$Y$81,3,FALSE)</f>
        <v>1ST SEMESTER</v>
      </c>
      <c r="AC52" s="51">
        <f>VLOOKUP(Table37[[#This Row],[MONTH]],TAGS!$W$67:$Z$81,4,FALSE)</f>
        <v>2025</v>
      </c>
      <c r="AD52" s="47">
        <v>160</v>
      </c>
      <c r="AE52" s="47"/>
      <c r="AF52" s="51">
        <f>SUM(Table37[[#This Row],[MOOE (Php ''000)]:[CO (Php ''000)]])</f>
        <v>160</v>
      </c>
      <c r="AG52" s="71" t="b">
        <f>ISBLANK(Table37[[#This Row],[PRPOPOSAL/BEDS]])</f>
        <v>0</v>
      </c>
      <c r="AH52" s="71" t="b">
        <f>ISBLANK(Table37[[#This Row],[OU]])</f>
        <v>0</v>
      </c>
      <c r="AI52" s="71" t="b">
        <f>ISBLANK(Table37[[#This Row],[SPECIFIC COMMODITY]])</f>
        <v>0</v>
      </c>
      <c r="AJ52" s="71" t="b">
        <f>ISBLANK(Table37[[#This Row],[COMMODITY PREXC SUB-PROGRAM]])</f>
        <v>0</v>
      </c>
      <c r="AK52" s="71" t="b">
        <f>ISBLANK(Table37[[#This Row],[ACTIVITY]])</f>
        <v>0</v>
      </c>
      <c r="AL52" s="71" t="b">
        <f>ISBLANK(Table37[[#This Row],[TAG-GAD]])</f>
        <v>0</v>
      </c>
      <c r="AM52" s="71" t="b">
        <f>ISBLANK(Table37[[#This Row],[MONTH]])</f>
        <v>0</v>
      </c>
      <c r="AN52" s="71" t="b">
        <f>ISBLANK(Table37[[#This Row],[MOOE (Php ''000)]])</f>
        <v>0</v>
      </c>
      <c r="AO52" s="71" t="b">
        <f>ISBLANK(Table37[[#This Row],[CO (Php ''000)]])</f>
        <v>1</v>
      </c>
    </row>
    <row r="53" spans="1:41">
      <c r="A53" s="51" t="str">
        <f>VLOOKUP(Table37[[#This Row],[OU]],OU!$A$15:$B$34,2,FALSE)</f>
        <v>RFOs</v>
      </c>
      <c r="B53" s="47" t="s">
        <v>297</v>
      </c>
      <c r="C53" s="47" t="s">
        <v>574</v>
      </c>
      <c r="D53" s="47" t="s">
        <v>581</v>
      </c>
      <c r="E53" s="51" t="str">
        <f>VLOOKUP(Table37[[#This Row],[SPECIFIC COMMODITY]],TAGS!$W$48:$X$53,2,FALSE)</f>
        <v>Sorghum</v>
      </c>
      <c r="F53" s="51" t="str">
        <f>VLOOKUP(Table37[[#This Row],[PREXC SUB-PROGRAM]],Table5[],2,FALSE)</f>
        <v>TECHNICAL AND SUPPORT SERVICES PROGRAM</v>
      </c>
      <c r="G53" s="51" t="str">
        <f>VLOOKUP(Table37[[#This Row],[COMMODITY PREXC SUB-PROGRAM]],TAGS!$U$54:$V$76,2,FALSE)</f>
        <v>ESETS</v>
      </c>
      <c r="H53" s="47" t="s">
        <v>590</v>
      </c>
      <c r="I53" s="51" t="str">
        <f>VLOOKUP(Table37[[#This Row],[PI LEVEL 3]],'PI LEVEL'!A:C,3,FALSE)</f>
        <v>Training conducted</v>
      </c>
      <c r="J53" s="51" t="str">
        <f>VLOOKUP(Table37[[#This Row],[PI LEVEL 3]],Table53729[[Performance Indicator Level 3]:[Performance Indicator Level 1]],2,FALSE)</f>
        <v>Other training conducted</v>
      </c>
      <c r="K53" s="51" t="str">
        <f>VLOOKUP(Table37[[#This Row],[ACTIVITY]],TAGS!B:P,2,FALSE)</f>
        <v>Other training conducted_Farmers/Fisherfolk/Other External Participants</v>
      </c>
      <c r="L53" s="47" t="s">
        <v>153</v>
      </c>
      <c r="M53" s="51" t="str">
        <f>VLOOKUP(Table37[[#This Row],[ACTIVITY]],TAGS!$B:$P,4,FALSE)</f>
        <v>Trainings</v>
      </c>
      <c r="N53" s="51" t="str">
        <f>VLOOKUP(Table37[[#This Row],[ACTIVITY]],TAGS!$B:$P,5,FALSE)</f>
        <v>Trainings</v>
      </c>
      <c r="O53" s="51" t="str">
        <f>VLOOKUP(Table37[[#This Row],[ACTIVITY]],TAGS!$B:$P,6,FALSE)</f>
        <v>Sorghum Production Training </v>
      </c>
      <c r="P53" s="51" t="str">
        <f>VLOOKUP(Table37[[#This Row],[ACTIVITY]],TAGS!$B:$P,7,FALSE)</f>
        <v>NO</v>
      </c>
      <c r="Q53" s="51" t="str">
        <f>VLOOKUP(Table37[[#This Row],[ACTIVITY]],TAGS!$B:$P,8,FALSE)</f>
        <v>PAP</v>
      </c>
      <c r="R53" s="51" t="str">
        <f>VLOOKUP(Table37[[#This Row],[ACTIVITY]],TAGS!$B:$P,10,FALSE)</f>
        <v>PIP</v>
      </c>
      <c r="S53" s="51" t="str">
        <f>VLOOKUP(Table37[[#This Row],[ACTIVITY]],TAGS!$B:$P,11,FALSE)</f>
        <v>PICS</v>
      </c>
      <c r="T53" s="51" t="str">
        <f>VLOOKUP(Table37[[#This Row],[ACTIVITY]],TAGS!$B:$P,12,FALSE)</f>
        <v>Consolidation</v>
      </c>
      <c r="U53" s="51" t="str">
        <f>VLOOKUP(Table37[[#This Row],[ACTIVITY]],TAGS!$B:$P,13,FALSE)</f>
        <v>1. Bayanihan Agri Cluster</v>
      </c>
      <c r="V53" s="51" t="str">
        <f>VLOOKUP(Table37[[#This Row],[ACTIVITY]],TAGS!$B:$P,14,FALSE)</f>
        <v>EXPAND AND IMPROVE AVAILABLE AGRI-FISHERY AREAS FOR INCREASED PRODUCTION</v>
      </c>
      <c r="W53" s="51" t="str">
        <f>VLOOKUP(Table37[[#This Row],[ACTIVITY]],TAGS!$B:$P,15,FALSE)</f>
        <v>Capacity Building</v>
      </c>
      <c r="X53" s="51" t="str">
        <f>VLOOKUP(Table37[[#This Row],[PI LEVEL 3]],'PI LEVEL'!$A:$G,7,FALSE)</f>
        <v>PREXC/DA-Level Output</v>
      </c>
      <c r="Y53" s="47" t="s">
        <v>577</v>
      </c>
      <c r="Z53" s="47" t="s">
        <v>329</v>
      </c>
      <c r="AA53" s="51" t="str">
        <f>VLOOKUP(Table37[[#This Row],[MONTH]],TAGS!$W$67:$Y$81,2,FALSE)</f>
        <v>1ST QTR</v>
      </c>
      <c r="AB53" s="51" t="str">
        <f>VLOOKUP(Table37[[#This Row],[MONTH]],TAGS!$W$67:$Y$81,3,FALSE)</f>
        <v>1ST SEMESTER</v>
      </c>
      <c r="AC53" s="51">
        <f>VLOOKUP(Table37[[#This Row],[MONTH]],TAGS!$W$67:$Z$81,4,FALSE)</f>
        <v>2025</v>
      </c>
      <c r="AD53" s="47">
        <v>140</v>
      </c>
      <c r="AE53" s="47"/>
      <c r="AF53" s="51">
        <f>SUM(Table37[[#This Row],[MOOE (Php ''000)]:[CO (Php ''000)]])</f>
        <v>140</v>
      </c>
      <c r="AG53" s="71" t="b">
        <f>ISBLANK(Table37[[#This Row],[PRPOPOSAL/BEDS]])</f>
        <v>0</v>
      </c>
      <c r="AH53" s="71" t="b">
        <f>ISBLANK(Table37[[#This Row],[OU]])</f>
        <v>0</v>
      </c>
      <c r="AI53" s="71" t="b">
        <f>ISBLANK(Table37[[#This Row],[SPECIFIC COMMODITY]])</f>
        <v>0</v>
      </c>
      <c r="AJ53" s="71" t="b">
        <f>ISBLANK(Table37[[#This Row],[COMMODITY PREXC SUB-PROGRAM]])</f>
        <v>0</v>
      </c>
      <c r="AK53" s="71" t="b">
        <f>ISBLANK(Table37[[#This Row],[ACTIVITY]])</f>
        <v>0</v>
      </c>
      <c r="AL53" s="71" t="b">
        <f>ISBLANK(Table37[[#This Row],[TAG-GAD]])</f>
        <v>0</v>
      </c>
      <c r="AM53" s="71" t="b">
        <f>ISBLANK(Table37[[#This Row],[MONTH]])</f>
        <v>0</v>
      </c>
      <c r="AN53" s="71" t="b">
        <f>ISBLANK(Table37[[#This Row],[MOOE (Php ''000)]])</f>
        <v>0</v>
      </c>
      <c r="AO53" s="71" t="b">
        <f>ISBLANK(Table37[[#This Row],[CO (Php ''000)]])</f>
        <v>1</v>
      </c>
    </row>
    <row r="54" spans="1:41">
      <c r="A54" s="51" t="str">
        <f>VLOOKUP(Table37[[#This Row],[OU]],OU!$A$15:$B$34,2,FALSE)</f>
        <v>RFOs</v>
      </c>
      <c r="B54" s="47" t="s">
        <v>297</v>
      </c>
      <c r="C54" s="47" t="s">
        <v>574</v>
      </c>
      <c r="D54" s="47" t="s">
        <v>581</v>
      </c>
      <c r="E54" s="51" t="str">
        <f>VLOOKUP(Table37[[#This Row],[SPECIFIC COMMODITY]],TAGS!$W$48:$X$53,2,FALSE)</f>
        <v>Sorghum</v>
      </c>
      <c r="F54" s="51" t="str">
        <f>VLOOKUP(Table37[[#This Row],[PREXC SUB-PROGRAM]],Table5[],2,FALSE)</f>
        <v>TECHNICAL AND SUPPORT SERVICES PROGRAM</v>
      </c>
      <c r="G54" s="51" t="str">
        <f>VLOOKUP(Table37[[#This Row],[COMMODITY PREXC SUB-PROGRAM]],TAGS!$U$54:$V$76,2,FALSE)</f>
        <v>ESETS</v>
      </c>
      <c r="H54" s="47" t="s">
        <v>590</v>
      </c>
      <c r="I54" s="51" t="str">
        <f>VLOOKUP(Table37[[#This Row],[PI LEVEL 3]],'PI LEVEL'!A:C,3,FALSE)</f>
        <v>Knowledge Products disseminated</v>
      </c>
      <c r="J54" s="51" t="str">
        <f>VLOOKUP(Table37[[#This Row],[PI LEVEL 3]],Table53729[[Performance Indicator Level 3]:[Performance Indicator Level 1]],2,FALSE)</f>
        <v>Knowledge Products disseminated</v>
      </c>
      <c r="K54" s="51" t="str">
        <f>VLOOKUP(Table37[[#This Row],[ACTIVITY]],TAGS!B:P,2,FALSE)</f>
        <v>Knowledge Products disseminated</v>
      </c>
      <c r="L54" s="47" t="s">
        <v>155</v>
      </c>
      <c r="M54" s="51" t="str">
        <f>VLOOKUP(Table37[[#This Row],[ACTIVITY]],TAGS!$B:$P,4,FALSE)</f>
        <v>Information, Education, and Communication Activities</v>
      </c>
      <c r="N54" s="51" t="str">
        <f>VLOOKUP(Table37[[#This Row],[ACTIVITY]],TAGS!$B:$P,5,FALSE)</f>
        <v>Information, Education, and Communication Activities</v>
      </c>
      <c r="O54" s="51" t="str">
        <f>VLOOKUP(Table37[[#This Row],[ACTIVITY]],TAGS!$B:$P,6,FALSE)</f>
        <v>IEC materials</v>
      </c>
      <c r="P54" s="51" t="str">
        <f>VLOOKUP(Table37[[#This Row],[ACTIVITY]],TAGS!$B:$P,7,FALSE)</f>
        <v>NO</v>
      </c>
      <c r="Q54" s="51" t="str">
        <f>VLOOKUP(Table37[[#This Row],[ACTIVITY]],TAGS!$B:$P,8,FALSE)</f>
        <v>PAP</v>
      </c>
      <c r="R54" s="51" t="str">
        <f>VLOOKUP(Table37[[#This Row],[ACTIVITY]],TAGS!$B:$P,10,FALSE)</f>
        <v>PIP</v>
      </c>
      <c r="S54" s="51" t="str">
        <f>VLOOKUP(Table37[[#This Row],[ACTIVITY]],TAGS!$B:$P,11,FALSE)</f>
        <v>PICS</v>
      </c>
      <c r="T54" s="51" t="str">
        <f>VLOOKUP(Table37[[#This Row],[ACTIVITY]],TAGS!$B:$P,12,FALSE)</f>
        <v>Strategic Communication</v>
      </c>
      <c r="U54" s="51" t="str">
        <f>VLOOKUP(Table37[[#This Row],[ACTIVITY]],TAGS!$B:$P,13,FALSE)</f>
        <v>18. Strategic Communications​</v>
      </c>
      <c r="V54" s="51">
        <f>VLOOKUP(Table37[[#This Row],[ACTIVITY]],TAGS!$B:$P,14,FALSE)</f>
        <v>0</v>
      </c>
      <c r="W54" s="51" t="str">
        <f>VLOOKUP(Table37[[#This Row],[ACTIVITY]],TAGS!$B:$P,15,FALSE)</f>
        <v>IEC</v>
      </c>
      <c r="X54" s="51" t="str">
        <f>VLOOKUP(Table37[[#This Row],[PI LEVEL 3]],'PI LEVEL'!$A:$G,7,FALSE)</f>
        <v>DA-Level Output</v>
      </c>
      <c r="Y54" s="47" t="s">
        <v>577</v>
      </c>
      <c r="Z54" s="47" t="s">
        <v>329</v>
      </c>
      <c r="AA54" s="51" t="str">
        <f>VLOOKUP(Table37[[#This Row],[MONTH]],TAGS!$W$67:$Y$81,2,FALSE)</f>
        <v>1ST QTR</v>
      </c>
      <c r="AB54" s="51" t="str">
        <f>VLOOKUP(Table37[[#This Row],[MONTH]],TAGS!$W$67:$Y$81,3,FALSE)</f>
        <v>1ST SEMESTER</v>
      </c>
      <c r="AC54" s="51">
        <f>VLOOKUP(Table37[[#This Row],[MONTH]],TAGS!$W$67:$Z$81,4,FALSE)</f>
        <v>2025</v>
      </c>
      <c r="AD54" s="47">
        <v>50</v>
      </c>
      <c r="AE54" s="47"/>
      <c r="AF54" s="51">
        <f>SUM(Table37[[#This Row],[MOOE (Php ''000)]:[CO (Php ''000)]])</f>
        <v>50</v>
      </c>
      <c r="AG54" s="71" t="b">
        <f>ISBLANK(Table37[[#This Row],[PRPOPOSAL/BEDS]])</f>
        <v>0</v>
      </c>
      <c r="AH54" s="71" t="b">
        <f>ISBLANK(Table37[[#This Row],[OU]])</f>
        <v>0</v>
      </c>
      <c r="AI54" s="71" t="b">
        <f>ISBLANK(Table37[[#This Row],[SPECIFIC COMMODITY]])</f>
        <v>0</v>
      </c>
      <c r="AJ54" s="71" t="b">
        <f>ISBLANK(Table37[[#This Row],[COMMODITY PREXC SUB-PROGRAM]])</f>
        <v>0</v>
      </c>
      <c r="AK54" s="71" t="b">
        <f>ISBLANK(Table37[[#This Row],[ACTIVITY]])</f>
        <v>0</v>
      </c>
      <c r="AL54" s="71" t="b">
        <f>ISBLANK(Table37[[#This Row],[TAG-GAD]])</f>
        <v>0</v>
      </c>
      <c r="AM54" s="71" t="b">
        <f>ISBLANK(Table37[[#This Row],[MONTH]])</f>
        <v>0</v>
      </c>
      <c r="AN54" s="71" t="b">
        <f>ISBLANK(Table37[[#This Row],[MOOE (Php ''000)]])</f>
        <v>0</v>
      </c>
      <c r="AO54" s="71" t="b">
        <f>ISBLANK(Table37[[#This Row],[CO (Php ''000)]])</f>
        <v>1</v>
      </c>
    </row>
    <row r="55" spans="1:41">
      <c r="A55" s="51" t="str">
        <f>VLOOKUP(Table37[[#This Row],[OU]],OU!$A$15:$B$34,2,FALSE)</f>
        <v>RFOs</v>
      </c>
      <c r="B55" s="47" t="s">
        <v>297</v>
      </c>
      <c r="C55" s="47" t="s">
        <v>574</v>
      </c>
      <c r="D55" s="47" t="s">
        <v>583</v>
      </c>
      <c r="E55" s="51" t="str">
        <f>VLOOKUP(Table37[[#This Row],[SPECIFIC COMMODITY]],TAGS!$W$48:$X$53,2,FALSE)</f>
        <v>Soybean</v>
      </c>
      <c r="F55" s="51" t="str">
        <f>VLOOKUP(Table37[[#This Row],[PREXC SUB-PROGRAM]],Table5[],2,FALSE)</f>
        <v>TECHNICAL AND SUPPORT SERVICES PROGRAM</v>
      </c>
      <c r="G55" s="51" t="str">
        <f>VLOOKUP(Table37[[#This Row],[COMMODITY PREXC SUB-PROGRAM]],TAGS!$U$54:$V$76,2,FALSE)</f>
        <v>ESETS</v>
      </c>
      <c r="H55" s="47" t="s">
        <v>591</v>
      </c>
      <c r="I55" s="51" t="str">
        <f>VLOOKUP(Table37[[#This Row],[PI LEVEL 3]],'PI LEVEL'!A:C,3,FALSE)</f>
        <v>Technology demonstrations established/maintained</v>
      </c>
      <c r="J55" s="51" t="str">
        <f>VLOOKUP(Table37[[#This Row],[PI LEVEL 3]],Table53729[[Performance Indicator Level 3]:[Performance Indicator Level 1]],2,FALSE)</f>
        <v>Model Farms established</v>
      </c>
      <c r="K55" s="51" t="str">
        <f>VLOOKUP(Table37[[#This Row],[ACTIVITY]],TAGS!B:P,2,FALSE)</f>
        <v>Model Farms established</v>
      </c>
      <c r="L55" s="47" t="s">
        <v>119</v>
      </c>
      <c r="M55" s="51" t="str">
        <f>VLOOKUP(Table37[[#This Row],[ACTIVITY]],TAGS!$B:$P,4,FALSE)</f>
        <v>Model Farm establishment</v>
      </c>
      <c r="N55" s="51" t="str">
        <f>VLOOKUP(Table37[[#This Row],[ACTIVITY]],TAGS!$B:$P,5,FALSE)</f>
        <v>Model farm</v>
      </c>
      <c r="O55" s="51" t="str">
        <f>VLOOKUP(Table37[[#This Row],[ACTIVITY]],TAGS!$B:$P,6,FALSE)</f>
        <v>Soybean model farm</v>
      </c>
      <c r="P55" s="51" t="str">
        <f>VLOOKUP(Table37[[#This Row],[ACTIVITY]],TAGS!$B:$P,7,FALSE)</f>
        <v>YES</v>
      </c>
      <c r="Q55" s="51" t="str">
        <f>VLOOKUP(Table37[[#This Row],[ACTIVITY]],TAGS!$B:$P,8,FALSE)</f>
        <v>PAP</v>
      </c>
      <c r="R55" s="51" t="str">
        <f>VLOOKUP(Table37[[#This Row],[ACTIVITY]],TAGS!$B:$P,10,FALSE)</f>
        <v>PIP</v>
      </c>
      <c r="S55" s="51" t="str">
        <f>VLOOKUP(Table37[[#This Row],[ACTIVITY]],TAGS!$B:$P,11,FALSE)</f>
        <v>PICS</v>
      </c>
      <c r="T55" s="51" t="str">
        <f>VLOOKUP(Table37[[#This Row],[ACTIVITY]],TAGS!$B:$P,12,FALSE)</f>
        <v>Consolidation</v>
      </c>
      <c r="U55" s="51" t="str">
        <f>VLOOKUP(Table37[[#This Row],[ACTIVITY]],TAGS!$B:$P,13,FALSE)</f>
        <v>1. Bayanihan Agri Cluster</v>
      </c>
      <c r="V55" s="51" t="str">
        <f>VLOOKUP(Table37[[#This Row],[ACTIVITY]],TAGS!$B:$P,14,FALSE)</f>
        <v>EXPAND AND IMPROVE AVAILABLE AGRI-FISHERY AREAS FOR INCREASED PRODUCTION</v>
      </c>
      <c r="W55" s="51" t="str">
        <f>VLOOKUP(Table37[[#This Row],[ACTIVITY]],TAGS!$B:$P,15,FALSE)</f>
        <v>Farm Inputs</v>
      </c>
      <c r="X55" s="51" t="str">
        <f>VLOOKUP(Table37[[#This Row],[PI LEVEL 3]],'PI LEVEL'!$A:$G,7,FALSE)</f>
        <v>DA-Level Output</v>
      </c>
      <c r="Y55" s="47" t="s">
        <v>577</v>
      </c>
      <c r="Z55" s="47" t="s">
        <v>328</v>
      </c>
      <c r="AA55" s="51" t="str">
        <f>VLOOKUP(Table37[[#This Row],[MONTH]],TAGS!$W$67:$Y$81,2,FALSE)</f>
        <v>1ST QTR</v>
      </c>
      <c r="AB55" s="51" t="str">
        <f>VLOOKUP(Table37[[#This Row],[MONTH]],TAGS!$W$67:$Y$81,3,FALSE)</f>
        <v>1ST SEMESTER</v>
      </c>
      <c r="AC55" s="51">
        <f>VLOOKUP(Table37[[#This Row],[MONTH]],TAGS!$W$67:$Z$81,4,FALSE)</f>
        <v>2025</v>
      </c>
      <c r="AD55" s="47">
        <v>330</v>
      </c>
      <c r="AE55" s="47"/>
      <c r="AF55" s="51">
        <f>SUM(Table37[[#This Row],[MOOE (Php ''000)]:[CO (Php ''000)]])</f>
        <v>330</v>
      </c>
      <c r="AG55" s="71" t="b">
        <f>ISBLANK(Table37[[#This Row],[PRPOPOSAL/BEDS]])</f>
        <v>0</v>
      </c>
      <c r="AH55" s="71" t="b">
        <f>ISBLANK(Table37[[#This Row],[OU]])</f>
        <v>0</v>
      </c>
      <c r="AI55" s="71" t="b">
        <f>ISBLANK(Table37[[#This Row],[SPECIFIC COMMODITY]])</f>
        <v>0</v>
      </c>
      <c r="AJ55" s="71" t="b">
        <f>ISBLANK(Table37[[#This Row],[COMMODITY PREXC SUB-PROGRAM]])</f>
        <v>0</v>
      </c>
      <c r="AK55" s="71" t="b">
        <f>ISBLANK(Table37[[#This Row],[ACTIVITY]])</f>
        <v>0</v>
      </c>
      <c r="AL55" s="71" t="b">
        <f>ISBLANK(Table37[[#This Row],[TAG-GAD]])</f>
        <v>0</v>
      </c>
      <c r="AM55" s="71" t="b">
        <f>ISBLANK(Table37[[#This Row],[MONTH]])</f>
        <v>0</v>
      </c>
      <c r="AN55" s="71" t="b">
        <f>ISBLANK(Table37[[#This Row],[MOOE (Php ''000)]])</f>
        <v>0</v>
      </c>
      <c r="AO55" s="71" t="b">
        <f>ISBLANK(Table37[[#This Row],[CO (Php ''000)]])</f>
        <v>1</v>
      </c>
    </row>
    <row r="56" spans="1:41">
      <c r="A56" s="51" t="str">
        <f>VLOOKUP(Table37[[#This Row],[OU]],OU!$A$15:$B$34,2,FALSE)</f>
        <v>RFOs</v>
      </c>
      <c r="B56" s="47" t="s">
        <v>297</v>
      </c>
      <c r="C56" s="47" t="s">
        <v>574</v>
      </c>
      <c r="D56" s="47" t="s">
        <v>583</v>
      </c>
      <c r="E56" s="51" t="str">
        <f>VLOOKUP(Table37[[#This Row],[SPECIFIC COMMODITY]],TAGS!$W$48:$X$53,2,FALSE)</f>
        <v>Soybean</v>
      </c>
      <c r="F56" s="51" t="str">
        <f>VLOOKUP(Table37[[#This Row],[PREXC SUB-PROGRAM]],Table5[],2,FALSE)</f>
        <v>TECHNICAL AND SUPPORT SERVICES PROGRAM</v>
      </c>
      <c r="G56" s="51" t="str">
        <f>VLOOKUP(Table37[[#This Row],[COMMODITY PREXC SUB-PROGRAM]],TAGS!$U$54:$V$76,2,FALSE)</f>
        <v>ESETS</v>
      </c>
      <c r="H56" s="47" t="s">
        <v>591</v>
      </c>
      <c r="I56" s="51" t="str">
        <f>VLOOKUP(Table37[[#This Row],[PI LEVEL 3]],'PI LEVEL'!A:C,3,FALSE)</f>
        <v>Technology demonstrations established/maintained</v>
      </c>
      <c r="J56" s="51" t="str">
        <f>VLOOKUP(Table37[[#This Row],[PI LEVEL 3]],Table53729[[Performance Indicator Level 3]:[Performance Indicator Level 1]],2,FALSE)</f>
        <v>Techno demo established</v>
      </c>
      <c r="K56" s="51" t="str">
        <f>VLOOKUP(Table37[[#This Row],[ACTIVITY]],TAGS!B:P,2,FALSE)</f>
        <v>Techno demo established</v>
      </c>
      <c r="L56" s="47" t="s">
        <v>121</v>
      </c>
      <c r="M56" s="51" t="str">
        <f>VLOOKUP(Table37[[#This Row],[ACTIVITY]],TAGS!$B:$P,4,FALSE)</f>
        <v>Techno Demo establishment</v>
      </c>
      <c r="N56" s="51" t="str">
        <f>VLOOKUP(Table37[[#This Row],[ACTIVITY]],TAGS!$B:$P,5,FALSE)</f>
        <v>Techno Demo</v>
      </c>
      <c r="O56" s="51" t="str">
        <f>VLOOKUP(Table37[[#This Row],[ACTIVITY]],TAGS!$B:$P,6,FALSE)</f>
        <v>Soybean techno demo</v>
      </c>
      <c r="P56" s="51" t="str">
        <f>VLOOKUP(Table37[[#This Row],[ACTIVITY]],TAGS!$B:$P,7,FALSE)</f>
        <v>YES</v>
      </c>
      <c r="Q56" s="51" t="str">
        <f>VLOOKUP(Table37[[#This Row],[ACTIVITY]],TAGS!$B:$P,8,FALSE)</f>
        <v>PAP</v>
      </c>
      <c r="R56" s="51" t="str">
        <f>VLOOKUP(Table37[[#This Row],[ACTIVITY]],TAGS!$B:$P,10,FALSE)</f>
        <v>PIP</v>
      </c>
      <c r="S56" s="51" t="str">
        <f>VLOOKUP(Table37[[#This Row],[ACTIVITY]],TAGS!$B:$P,11,FALSE)</f>
        <v>PICS</v>
      </c>
      <c r="T56" s="51" t="str">
        <f>VLOOKUP(Table37[[#This Row],[ACTIVITY]],TAGS!$B:$P,12,FALSE)</f>
        <v>Consolidation</v>
      </c>
      <c r="U56" s="51" t="str">
        <f>VLOOKUP(Table37[[#This Row],[ACTIVITY]],TAGS!$B:$P,13,FALSE)</f>
        <v>1. Bayanihan Agri Cluster</v>
      </c>
      <c r="V56" s="51" t="str">
        <f>VLOOKUP(Table37[[#This Row],[ACTIVITY]],TAGS!$B:$P,14,FALSE)</f>
        <v>EXPAND AND IMPROVE AVAILABLE AGRI-FISHERY AREAS FOR INCREASED PRODUCTION</v>
      </c>
      <c r="W56" s="51" t="str">
        <f>VLOOKUP(Table37[[#This Row],[ACTIVITY]],TAGS!$B:$P,15,FALSE)</f>
        <v>Farm Inputs</v>
      </c>
      <c r="X56" s="51" t="str">
        <f>VLOOKUP(Table37[[#This Row],[PI LEVEL 3]],'PI LEVEL'!$A:$G,7,FALSE)</f>
        <v>DA-Level Output</v>
      </c>
      <c r="Y56" s="47" t="s">
        <v>577</v>
      </c>
      <c r="Z56" s="47" t="s">
        <v>328</v>
      </c>
      <c r="AA56" s="51" t="str">
        <f>VLOOKUP(Table37[[#This Row],[MONTH]],TAGS!$W$67:$Y$81,2,FALSE)</f>
        <v>1ST QTR</v>
      </c>
      <c r="AB56" s="51" t="str">
        <f>VLOOKUP(Table37[[#This Row],[MONTH]],TAGS!$W$67:$Y$81,3,FALSE)</f>
        <v>1ST SEMESTER</v>
      </c>
      <c r="AC56" s="51">
        <f>VLOOKUP(Table37[[#This Row],[MONTH]],TAGS!$W$67:$Z$81,4,FALSE)</f>
        <v>2025</v>
      </c>
      <c r="AD56" s="47">
        <v>200</v>
      </c>
      <c r="AE56" s="47"/>
      <c r="AF56" s="51">
        <f>SUM(Table37[[#This Row],[MOOE (Php ''000)]:[CO (Php ''000)]])</f>
        <v>200</v>
      </c>
      <c r="AG56" s="71" t="b">
        <f>ISBLANK(Table37[[#This Row],[PRPOPOSAL/BEDS]])</f>
        <v>0</v>
      </c>
      <c r="AH56" s="71" t="b">
        <f>ISBLANK(Table37[[#This Row],[OU]])</f>
        <v>0</v>
      </c>
      <c r="AI56" s="71" t="b">
        <f>ISBLANK(Table37[[#This Row],[SPECIFIC COMMODITY]])</f>
        <v>0</v>
      </c>
      <c r="AJ56" s="71" t="b">
        <f>ISBLANK(Table37[[#This Row],[COMMODITY PREXC SUB-PROGRAM]])</f>
        <v>0</v>
      </c>
      <c r="AK56" s="71" t="b">
        <f>ISBLANK(Table37[[#This Row],[ACTIVITY]])</f>
        <v>0</v>
      </c>
      <c r="AL56" s="71" t="b">
        <f>ISBLANK(Table37[[#This Row],[TAG-GAD]])</f>
        <v>0</v>
      </c>
      <c r="AM56" s="71" t="b">
        <f>ISBLANK(Table37[[#This Row],[MONTH]])</f>
        <v>0</v>
      </c>
      <c r="AN56" s="71" t="b">
        <f>ISBLANK(Table37[[#This Row],[MOOE (Php ''000)]])</f>
        <v>0</v>
      </c>
      <c r="AO56" s="71" t="b">
        <f>ISBLANK(Table37[[#This Row],[CO (Php ''000)]])</f>
        <v>1</v>
      </c>
    </row>
    <row r="57" spans="1:41">
      <c r="A57" s="51" t="str">
        <f>VLOOKUP(Table37[[#This Row],[OU]],OU!$A$15:$B$34,2,FALSE)</f>
        <v>RFOs</v>
      </c>
      <c r="B57" s="47" t="s">
        <v>297</v>
      </c>
      <c r="C57" s="47" t="s">
        <v>574</v>
      </c>
      <c r="D57" s="47" t="s">
        <v>583</v>
      </c>
      <c r="E57" s="51" t="str">
        <f>VLOOKUP(Table37[[#This Row],[SPECIFIC COMMODITY]],TAGS!$W$48:$X$53,2,FALSE)</f>
        <v>Soybean</v>
      </c>
      <c r="F57" s="51" t="str">
        <f>VLOOKUP(Table37[[#This Row],[PREXC SUB-PROGRAM]],Table5[],2,FALSE)</f>
        <v>TECHNICAL AND SUPPORT SERVICES PROGRAM</v>
      </c>
      <c r="G57" s="51" t="str">
        <f>VLOOKUP(Table37[[#This Row],[COMMODITY PREXC SUB-PROGRAM]],TAGS!$U$54:$V$76,2,FALSE)</f>
        <v>ESETS</v>
      </c>
      <c r="H57" s="47" t="s">
        <v>591</v>
      </c>
      <c r="I57" s="51" t="str">
        <f>VLOOKUP(Table37[[#This Row],[PI LEVEL 3]],'PI LEVEL'!A:C,3,FALSE)</f>
        <v>Training conducted</v>
      </c>
      <c r="J57" s="51" t="str">
        <f>VLOOKUP(Table37[[#This Row],[PI LEVEL 3]],Table53729[[Performance Indicator Level 3]:[Performance Indicator Level 1]],2,FALSE)</f>
        <v>Other training conducted</v>
      </c>
      <c r="K57" s="51" t="str">
        <f>VLOOKUP(Table37[[#This Row],[ACTIVITY]],TAGS!B:P,2,FALSE)</f>
        <v>Other training conducted_Farmers/Fisherfolk/Other External Participants</v>
      </c>
      <c r="L57" s="47" t="s">
        <v>157</v>
      </c>
      <c r="M57" s="51" t="str">
        <f>VLOOKUP(Table37[[#This Row],[ACTIVITY]],TAGS!$B:$P,4,FALSE)</f>
        <v>Trainings</v>
      </c>
      <c r="N57" s="51" t="str">
        <f>VLOOKUP(Table37[[#This Row],[ACTIVITY]],TAGS!$B:$P,5,FALSE)</f>
        <v>Trainings</v>
      </c>
      <c r="O57" s="51" t="str">
        <f>VLOOKUP(Table37[[#This Row],[ACTIVITY]],TAGS!$B:$P,6,FALSE)</f>
        <v>Soybean Production Training </v>
      </c>
      <c r="P57" s="51" t="str">
        <f>VLOOKUP(Table37[[#This Row],[ACTIVITY]],TAGS!$B:$P,7,FALSE)</f>
        <v>NO</v>
      </c>
      <c r="Q57" s="51" t="str">
        <f>VLOOKUP(Table37[[#This Row],[ACTIVITY]],TAGS!$B:$P,8,FALSE)</f>
        <v>PAP</v>
      </c>
      <c r="R57" s="51" t="str">
        <f>VLOOKUP(Table37[[#This Row],[ACTIVITY]],TAGS!$B:$P,10,FALSE)</f>
        <v>PIP</v>
      </c>
      <c r="S57" s="51" t="str">
        <f>VLOOKUP(Table37[[#This Row],[ACTIVITY]],TAGS!$B:$P,11,FALSE)</f>
        <v>PICS</v>
      </c>
      <c r="T57" s="51" t="str">
        <f>VLOOKUP(Table37[[#This Row],[ACTIVITY]],TAGS!$B:$P,12,FALSE)</f>
        <v>Consolidation</v>
      </c>
      <c r="U57" s="51" t="str">
        <f>VLOOKUP(Table37[[#This Row],[ACTIVITY]],TAGS!$B:$P,13,FALSE)</f>
        <v>1. Bayanihan Agri Cluster</v>
      </c>
      <c r="V57" s="51" t="str">
        <f>VLOOKUP(Table37[[#This Row],[ACTIVITY]],TAGS!$B:$P,14,FALSE)</f>
        <v>EXPAND AND IMPROVE AVAILABLE AGRI-FISHERY AREAS FOR INCREASED PRODUCTION</v>
      </c>
      <c r="W57" s="51" t="str">
        <f>VLOOKUP(Table37[[#This Row],[ACTIVITY]],TAGS!$B:$P,15,FALSE)</f>
        <v>Capacity Building</v>
      </c>
      <c r="X57" s="51" t="str">
        <f>VLOOKUP(Table37[[#This Row],[PI LEVEL 3]],'PI LEVEL'!$A:$G,7,FALSE)</f>
        <v>PREXC/DA-Level Output</v>
      </c>
      <c r="Y57" s="47" t="s">
        <v>577</v>
      </c>
      <c r="Z57" s="47" t="s">
        <v>328</v>
      </c>
      <c r="AA57" s="51" t="str">
        <f>VLOOKUP(Table37[[#This Row],[MONTH]],TAGS!$W$67:$Y$81,2,FALSE)</f>
        <v>1ST QTR</v>
      </c>
      <c r="AB57" s="51" t="str">
        <f>VLOOKUP(Table37[[#This Row],[MONTH]],TAGS!$W$67:$Y$81,3,FALSE)</f>
        <v>1ST SEMESTER</v>
      </c>
      <c r="AC57" s="51">
        <f>VLOOKUP(Table37[[#This Row],[MONTH]],TAGS!$W$67:$Z$81,4,FALSE)</f>
        <v>2025</v>
      </c>
      <c r="AD57" s="47">
        <v>140</v>
      </c>
      <c r="AE57" s="47"/>
      <c r="AF57" s="51">
        <f>SUM(Table37[[#This Row],[MOOE (Php ''000)]:[CO (Php ''000)]])</f>
        <v>140</v>
      </c>
      <c r="AG57" s="71" t="b">
        <f>ISBLANK(Table37[[#This Row],[PRPOPOSAL/BEDS]])</f>
        <v>0</v>
      </c>
      <c r="AH57" s="71" t="b">
        <f>ISBLANK(Table37[[#This Row],[OU]])</f>
        <v>0</v>
      </c>
      <c r="AI57" s="71" t="b">
        <f>ISBLANK(Table37[[#This Row],[SPECIFIC COMMODITY]])</f>
        <v>0</v>
      </c>
      <c r="AJ57" s="71" t="b">
        <f>ISBLANK(Table37[[#This Row],[COMMODITY PREXC SUB-PROGRAM]])</f>
        <v>0</v>
      </c>
      <c r="AK57" s="71" t="b">
        <f>ISBLANK(Table37[[#This Row],[ACTIVITY]])</f>
        <v>0</v>
      </c>
      <c r="AL57" s="71" t="b">
        <f>ISBLANK(Table37[[#This Row],[TAG-GAD]])</f>
        <v>0</v>
      </c>
      <c r="AM57" s="71" t="b">
        <f>ISBLANK(Table37[[#This Row],[MONTH]])</f>
        <v>0</v>
      </c>
      <c r="AN57" s="71" t="b">
        <f>ISBLANK(Table37[[#This Row],[MOOE (Php ''000)]])</f>
        <v>0</v>
      </c>
      <c r="AO57" s="71" t="b">
        <f>ISBLANK(Table37[[#This Row],[CO (Php ''000)]])</f>
        <v>1</v>
      </c>
    </row>
    <row r="58" spans="1:41">
      <c r="A58" s="51" t="str">
        <f>VLOOKUP(Table37[[#This Row],[OU]],OU!$A$15:$B$34,2,FALSE)</f>
        <v>RFOs</v>
      </c>
      <c r="B58" s="47" t="s">
        <v>297</v>
      </c>
      <c r="C58" s="47" t="s">
        <v>574</v>
      </c>
      <c r="D58" s="47" t="s">
        <v>583</v>
      </c>
      <c r="E58" s="51" t="str">
        <f>VLOOKUP(Table37[[#This Row],[SPECIFIC COMMODITY]],TAGS!$W$48:$X$53,2,FALSE)</f>
        <v>Soybean</v>
      </c>
      <c r="F58" s="51" t="str">
        <f>VLOOKUP(Table37[[#This Row],[PREXC SUB-PROGRAM]],Table5[],2,FALSE)</f>
        <v>TECHNICAL AND SUPPORT SERVICES PROGRAM</v>
      </c>
      <c r="G58" s="51" t="str">
        <f>VLOOKUP(Table37[[#This Row],[COMMODITY PREXC SUB-PROGRAM]],TAGS!$U$54:$V$76,2,FALSE)</f>
        <v>ESETS</v>
      </c>
      <c r="H58" s="47" t="s">
        <v>591</v>
      </c>
      <c r="I58" s="51" t="str">
        <f>VLOOKUP(Table37[[#This Row],[PI LEVEL 3]],'PI LEVEL'!A:C,3,FALSE)</f>
        <v>Knowledge Products disseminated</v>
      </c>
      <c r="J58" s="51" t="str">
        <f>VLOOKUP(Table37[[#This Row],[PI LEVEL 3]],Table53729[[Performance Indicator Level 3]:[Performance Indicator Level 1]],2,FALSE)</f>
        <v>Knowledge Products disseminated</v>
      </c>
      <c r="K58" s="51" t="str">
        <f>VLOOKUP(Table37[[#This Row],[ACTIVITY]],TAGS!B:P,2,FALSE)</f>
        <v>Knowledge Products disseminated</v>
      </c>
      <c r="L58" s="47" t="s">
        <v>159</v>
      </c>
      <c r="M58" s="51" t="str">
        <f>VLOOKUP(Table37[[#This Row],[ACTIVITY]],TAGS!$B:$P,4,FALSE)</f>
        <v>Information, Education, and Communication Activities</v>
      </c>
      <c r="N58" s="51" t="str">
        <f>VLOOKUP(Table37[[#This Row],[ACTIVITY]],TAGS!$B:$P,5,FALSE)</f>
        <v>Information, Education, and Communication Activities</v>
      </c>
      <c r="O58" s="51" t="str">
        <f>VLOOKUP(Table37[[#This Row],[ACTIVITY]],TAGS!$B:$P,6,FALSE)</f>
        <v>IEC materials</v>
      </c>
      <c r="P58" s="51" t="str">
        <f>VLOOKUP(Table37[[#This Row],[ACTIVITY]],TAGS!$B:$P,7,FALSE)</f>
        <v>NO</v>
      </c>
      <c r="Q58" s="51" t="str">
        <f>VLOOKUP(Table37[[#This Row],[ACTIVITY]],TAGS!$B:$P,8,FALSE)</f>
        <v>PAP</v>
      </c>
      <c r="R58" s="51" t="str">
        <f>VLOOKUP(Table37[[#This Row],[ACTIVITY]],TAGS!$B:$P,10,FALSE)</f>
        <v>PIP</v>
      </c>
      <c r="S58" s="51" t="str">
        <f>VLOOKUP(Table37[[#This Row],[ACTIVITY]],TAGS!$B:$P,11,FALSE)</f>
        <v>PICS</v>
      </c>
      <c r="T58" s="51" t="str">
        <f>VLOOKUP(Table37[[#This Row],[ACTIVITY]],TAGS!$B:$P,12,FALSE)</f>
        <v>Strategic Communication</v>
      </c>
      <c r="U58" s="51" t="str">
        <f>VLOOKUP(Table37[[#This Row],[ACTIVITY]],TAGS!$B:$P,13,FALSE)</f>
        <v>18. Strategic Communications​</v>
      </c>
      <c r="V58" s="51">
        <f>VLOOKUP(Table37[[#This Row],[ACTIVITY]],TAGS!$B:$P,14,FALSE)</f>
        <v>0</v>
      </c>
      <c r="W58" s="51" t="str">
        <f>VLOOKUP(Table37[[#This Row],[ACTIVITY]],TAGS!$B:$P,15,FALSE)</f>
        <v>IEC</v>
      </c>
      <c r="X58" s="51" t="str">
        <f>VLOOKUP(Table37[[#This Row],[PI LEVEL 3]],'PI LEVEL'!$A:$G,7,FALSE)</f>
        <v>DA-Level Output</v>
      </c>
      <c r="Y58" s="47" t="s">
        <v>577</v>
      </c>
      <c r="Z58" s="47" t="s">
        <v>328</v>
      </c>
      <c r="AA58" s="51" t="str">
        <f>VLOOKUP(Table37[[#This Row],[MONTH]],TAGS!$W$67:$Y$81,2,FALSE)</f>
        <v>1ST QTR</v>
      </c>
      <c r="AB58" s="51" t="str">
        <f>VLOOKUP(Table37[[#This Row],[MONTH]],TAGS!$W$67:$Y$81,3,FALSE)</f>
        <v>1ST SEMESTER</v>
      </c>
      <c r="AC58" s="51">
        <f>VLOOKUP(Table37[[#This Row],[MONTH]],TAGS!$W$67:$Z$81,4,FALSE)</f>
        <v>2025</v>
      </c>
      <c r="AD58" s="47">
        <v>50</v>
      </c>
      <c r="AE58" s="47"/>
      <c r="AF58" s="51">
        <f>SUM(Table37[[#This Row],[MOOE (Php ''000)]:[CO (Php ''000)]])</f>
        <v>50</v>
      </c>
      <c r="AG58" s="71" t="b">
        <f>ISBLANK(Table37[[#This Row],[PRPOPOSAL/BEDS]])</f>
        <v>0</v>
      </c>
      <c r="AH58" s="71" t="b">
        <f>ISBLANK(Table37[[#This Row],[OU]])</f>
        <v>0</v>
      </c>
      <c r="AI58" s="71" t="b">
        <f>ISBLANK(Table37[[#This Row],[SPECIFIC COMMODITY]])</f>
        <v>0</v>
      </c>
      <c r="AJ58" s="71" t="b">
        <f>ISBLANK(Table37[[#This Row],[COMMODITY PREXC SUB-PROGRAM]])</f>
        <v>0</v>
      </c>
      <c r="AK58" s="71" t="b">
        <f>ISBLANK(Table37[[#This Row],[ACTIVITY]])</f>
        <v>0</v>
      </c>
      <c r="AL58" s="71" t="b">
        <f>ISBLANK(Table37[[#This Row],[TAG-GAD]])</f>
        <v>0</v>
      </c>
      <c r="AM58" s="71" t="b">
        <f>ISBLANK(Table37[[#This Row],[MONTH]])</f>
        <v>0</v>
      </c>
      <c r="AN58" s="71" t="b">
        <f>ISBLANK(Table37[[#This Row],[MOOE (Php ''000)]])</f>
        <v>0</v>
      </c>
      <c r="AO58" s="71" t="b">
        <f>ISBLANK(Table37[[#This Row],[CO (Php ''000)]])</f>
        <v>1</v>
      </c>
    </row>
    <row r="59" spans="1:41">
      <c r="A59" s="51" t="str">
        <f>VLOOKUP(Table37[[#This Row],[OU]],OU!$A$15:$B$34,2,FALSE)</f>
        <v>RFOs</v>
      </c>
      <c r="B59" s="47" t="s">
        <v>297</v>
      </c>
      <c r="C59" s="47" t="s">
        <v>574</v>
      </c>
      <c r="D59" s="47" t="s">
        <v>585</v>
      </c>
      <c r="E59" s="51" t="str">
        <f>VLOOKUP(Table37[[#This Row],[SPECIFIC COMMODITY]],TAGS!$W$48:$X$53,2,FALSE)</f>
        <v>Multi_commodity</v>
      </c>
      <c r="F59" s="51" t="str">
        <f>VLOOKUP(Table37[[#This Row],[PREXC SUB-PROGRAM]],Table5[],2,FALSE)</f>
        <v>TECHNICAL AND SUPPORT SERVICES PROGRAM</v>
      </c>
      <c r="G59" s="51" t="str">
        <f>VLOOKUP(Table37[[#This Row],[COMMODITY PREXC SUB-PROGRAM]],TAGS!$U$54:$V$76,2,FALSE)</f>
        <v>ESETS</v>
      </c>
      <c r="H59" s="47" t="s">
        <v>592</v>
      </c>
      <c r="I59" s="51" t="str">
        <f>VLOOKUP(Table37[[#This Row],[PI LEVEL 3]],'PI LEVEL'!A:C,3,FALSE)</f>
        <v>Individuals given incentives, recognition, and awards</v>
      </c>
      <c r="J59" s="51" t="str">
        <f>VLOOKUP(Table37[[#This Row],[PI LEVEL 3]],Table53729[[Performance Indicator Level 3]:[Performance Indicator Level 1]],2,FALSE)</f>
        <v>AEWs-extension workers given incentives</v>
      </c>
      <c r="K59" s="51" t="str">
        <f>VLOOKUP(Table37[[#This Row],[ACTIVITY]],TAGS!B:P,2,FALSE)</f>
        <v>AEWs-extension workers given incentives</v>
      </c>
      <c r="L59" s="47" t="s">
        <v>109</v>
      </c>
      <c r="M59" s="51" t="str">
        <f>VLOOKUP(Table37[[#This Row],[ACTIVITY]],TAGS!$B:$P,4,FALSE)</f>
        <v>Extension Workers Incentives</v>
      </c>
      <c r="N59" s="51" t="str">
        <f>VLOOKUP(Table37[[#This Row],[ACTIVITY]],TAGS!$B:$P,5,FALSE)</f>
        <v>Incentives Given</v>
      </c>
      <c r="O59" s="51" t="str">
        <f>VLOOKUP(Table37[[#This Row],[ACTIVITY]],TAGS!$B:$P,6,FALSE)</f>
        <v>Provincial Coordinator</v>
      </c>
      <c r="P59" s="51" t="str">
        <f>VLOOKUP(Table37[[#This Row],[ACTIVITY]],TAGS!$B:$P,7,FALSE)</f>
        <v>NO</v>
      </c>
      <c r="Q59" s="51" t="str">
        <f>VLOOKUP(Table37[[#This Row],[ACTIVITY]],TAGS!$B:$P,8,FALSE)</f>
        <v>PAP</v>
      </c>
      <c r="R59" s="51" t="str">
        <f>VLOOKUP(Table37[[#This Row],[ACTIVITY]],TAGS!$B:$P,10,FALSE)</f>
        <v>PIP</v>
      </c>
      <c r="S59" s="51" t="str">
        <f>VLOOKUP(Table37[[#This Row],[ACTIVITY]],TAGS!$B:$P,11,FALSE)</f>
        <v>PICS</v>
      </c>
      <c r="T59" s="51" t="str">
        <f>VLOOKUP(Table37[[#This Row],[ACTIVITY]],TAGS!$B:$P,12,FALSE)</f>
        <v>Consolidation</v>
      </c>
      <c r="U59" s="51" t="str">
        <f>VLOOKUP(Table37[[#This Row],[ACTIVITY]],TAGS!$B:$P,13,FALSE)</f>
        <v>3. PAFES</v>
      </c>
      <c r="V59" s="51" t="str">
        <f>VLOOKUP(Table37[[#This Row],[ACTIVITY]],TAGS!$B:$P,14,FALSE)</f>
        <v>STRONG PARTNERSHIP WITH THE FARMERS, FISHERFOLK, PRIVATE SECTOR, AND OTHER STAKEHOLDERS</v>
      </c>
      <c r="W59" s="51" t="str">
        <f>VLOOKUP(Table37[[#This Row],[ACTIVITY]],TAGS!$B:$P,15,FALSE)</f>
        <v>Other Intervetions</v>
      </c>
      <c r="X59" s="51" t="str">
        <f>VLOOKUP(Table37[[#This Row],[PI LEVEL 3]],'PI LEVEL'!$A:$G,7,FALSE)</f>
        <v>DA-Level Output</v>
      </c>
      <c r="Y59" s="47" t="s">
        <v>577</v>
      </c>
      <c r="Z59" s="47" t="s">
        <v>329</v>
      </c>
      <c r="AA59" s="51" t="str">
        <f>VLOOKUP(Table37[[#This Row],[MONTH]],TAGS!$W$67:$Y$81,2,FALSE)</f>
        <v>1ST QTR</v>
      </c>
      <c r="AB59" s="51" t="str">
        <f>VLOOKUP(Table37[[#This Row],[MONTH]],TAGS!$W$67:$Y$81,3,FALSE)</f>
        <v>1ST SEMESTER</v>
      </c>
      <c r="AC59" s="51">
        <f>VLOOKUP(Table37[[#This Row],[MONTH]],TAGS!$W$67:$Z$81,4,FALSE)</f>
        <v>2025</v>
      </c>
      <c r="AD59" s="47">
        <v>192</v>
      </c>
      <c r="AE59" s="47"/>
      <c r="AF59" s="51">
        <f>SUM(Table37[[#This Row],[MOOE (Php ''000)]:[CO (Php ''000)]])</f>
        <v>192</v>
      </c>
      <c r="AG59" s="71" t="b">
        <f>ISBLANK(Table37[[#This Row],[PRPOPOSAL/BEDS]])</f>
        <v>0</v>
      </c>
      <c r="AH59" s="71" t="b">
        <f>ISBLANK(Table37[[#This Row],[OU]])</f>
        <v>0</v>
      </c>
      <c r="AI59" s="71" t="b">
        <f>ISBLANK(Table37[[#This Row],[SPECIFIC COMMODITY]])</f>
        <v>0</v>
      </c>
      <c r="AJ59" s="71" t="b">
        <f>ISBLANK(Table37[[#This Row],[COMMODITY PREXC SUB-PROGRAM]])</f>
        <v>0</v>
      </c>
      <c r="AK59" s="71" t="b">
        <f>ISBLANK(Table37[[#This Row],[ACTIVITY]])</f>
        <v>0</v>
      </c>
      <c r="AL59" s="71" t="b">
        <f>ISBLANK(Table37[[#This Row],[TAG-GAD]])</f>
        <v>0</v>
      </c>
      <c r="AM59" s="71" t="b">
        <f>ISBLANK(Table37[[#This Row],[MONTH]])</f>
        <v>0</v>
      </c>
      <c r="AN59" s="71" t="b">
        <f>ISBLANK(Table37[[#This Row],[MOOE (Php ''000)]])</f>
        <v>0</v>
      </c>
      <c r="AO59" s="71" t="b">
        <f>ISBLANK(Table37[[#This Row],[CO (Php ''000)]])</f>
        <v>1</v>
      </c>
    </row>
    <row r="60" spans="1:41">
      <c r="A60" s="51" t="str">
        <f>VLOOKUP(Table37[[#This Row],[OU]],OU!$A$15:$B$34,2,FALSE)</f>
        <v>RFOs</v>
      </c>
      <c r="B60" s="47" t="s">
        <v>297</v>
      </c>
      <c r="C60" s="47" t="s">
        <v>574</v>
      </c>
      <c r="D60" s="47" t="s">
        <v>585</v>
      </c>
      <c r="E60" s="51" t="str">
        <f>VLOOKUP(Table37[[#This Row],[SPECIFIC COMMODITY]],TAGS!$W$48:$X$53,2,FALSE)</f>
        <v>Multi_commodity</v>
      </c>
      <c r="F60" s="51" t="str">
        <f>VLOOKUP(Table37[[#This Row],[PREXC SUB-PROGRAM]],Table5[],2,FALSE)</f>
        <v>TECHNICAL AND SUPPORT SERVICES PROGRAM</v>
      </c>
      <c r="G60" s="51" t="str">
        <f>VLOOKUP(Table37[[#This Row],[COMMODITY PREXC SUB-PROGRAM]],TAGS!$U$54:$V$76,2,FALSE)</f>
        <v>ESETS</v>
      </c>
      <c r="H60" s="47" t="s">
        <v>592</v>
      </c>
      <c r="I60" s="51" t="str">
        <f>VLOOKUP(Table37[[#This Row],[PI LEVEL 3]],'PI LEVEL'!A:C,3,FALSE)</f>
        <v>Individuals given incentives, recognition, and awards</v>
      </c>
      <c r="J60" s="51" t="str">
        <f>VLOOKUP(Table37[[#This Row],[PI LEVEL 3]],Table53729[[Performance Indicator Level 3]:[Performance Indicator Level 1]],2,FALSE)</f>
        <v>AEWs-extension workers given incentives</v>
      </c>
      <c r="K60" s="51" t="str">
        <f>VLOOKUP(Table37[[#This Row],[ACTIVITY]],TAGS!B:P,2,FALSE)</f>
        <v>AEWs-extension workers given incentives</v>
      </c>
      <c r="L60" s="47" t="s">
        <v>111</v>
      </c>
      <c r="M60" s="51" t="str">
        <f>VLOOKUP(Table37[[#This Row],[ACTIVITY]],TAGS!$B:$P,4,FALSE)</f>
        <v>Extension Workers Incentives</v>
      </c>
      <c r="N60" s="51" t="str">
        <f>VLOOKUP(Table37[[#This Row],[ACTIVITY]],TAGS!$B:$P,5,FALSE)</f>
        <v>Incentives Given</v>
      </c>
      <c r="O60" s="51" t="str">
        <f>VLOOKUP(Table37[[#This Row],[ACTIVITY]],TAGS!$B:$P,6,FALSE)</f>
        <v>Municipal Agriculturist</v>
      </c>
      <c r="P60" s="51" t="str">
        <f>VLOOKUP(Table37[[#This Row],[ACTIVITY]],TAGS!$B:$P,7,FALSE)</f>
        <v>NO</v>
      </c>
      <c r="Q60" s="51" t="str">
        <f>VLOOKUP(Table37[[#This Row],[ACTIVITY]],TAGS!$B:$P,8,FALSE)</f>
        <v>PAP</v>
      </c>
      <c r="R60" s="51" t="str">
        <f>VLOOKUP(Table37[[#This Row],[ACTIVITY]],TAGS!$B:$P,10,FALSE)</f>
        <v>PIP</v>
      </c>
      <c r="S60" s="51" t="str">
        <f>VLOOKUP(Table37[[#This Row],[ACTIVITY]],TAGS!$B:$P,11,FALSE)</f>
        <v>PICS</v>
      </c>
      <c r="T60" s="51" t="str">
        <f>VLOOKUP(Table37[[#This Row],[ACTIVITY]],TAGS!$B:$P,12,FALSE)</f>
        <v>Consolidation</v>
      </c>
      <c r="U60" s="51" t="str">
        <f>VLOOKUP(Table37[[#This Row],[ACTIVITY]],TAGS!$B:$P,13,FALSE)</f>
        <v>3. PAFES</v>
      </c>
      <c r="V60" s="51" t="str">
        <f>VLOOKUP(Table37[[#This Row],[ACTIVITY]],TAGS!$B:$P,14,FALSE)</f>
        <v>STRONG PARTNERSHIP WITH THE FARMERS, FISHERFOLK, PRIVATE SECTOR, AND OTHER STAKEHOLDERS</v>
      </c>
      <c r="W60" s="51" t="str">
        <f>VLOOKUP(Table37[[#This Row],[ACTIVITY]],TAGS!$B:$P,15,FALSE)</f>
        <v>Other Intervetions</v>
      </c>
      <c r="X60" s="51" t="str">
        <f>VLOOKUP(Table37[[#This Row],[PI LEVEL 3]],'PI LEVEL'!$A:$G,7,FALSE)</f>
        <v>DA-Level Output</v>
      </c>
      <c r="Y60" s="47" t="s">
        <v>577</v>
      </c>
      <c r="Z60" s="47" t="s">
        <v>329</v>
      </c>
      <c r="AA60" s="51" t="str">
        <f>VLOOKUP(Table37[[#This Row],[MONTH]],TAGS!$W$67:$Y$81,2,FALSE)</f>
        <v>1ST QTR</v>
      </c>
      <c r="AB60" s="51" t="str">
        <f>VLOOKUP(Table37[[#This Row],[MONTH]],TAGS!$W$67:$Y$81,3,FALSE)</f>
        <v>1ST SEMESTER</v>
      </c>
      <c r="AC60" s="51">
        <f>VLOOKUP(Table37[[#This Row],[MONTH]],TAGS!$W$67:$Z$81,4,FALSE)</f>
        <v>2025</v>
      </c>
      <c r="AD60" s="47">
        <v>576</v>
      </c>
      <c r="AE60" s="47"/>
      <c r="AF60" s="51">
        <f>SUM(Table37[[#This Row],[MOOE (Php ''000)]:[CO (Php ''000)]])</f>
        <v>576</v>
      </c>
      <c r="AG60" s="71" t="b">
        <f>ISBLANK(Table37[[#This Row],[PRPOPOSAL/BEDS]])</f>
        <v>0</v>
      </c>
      <c r="AH60" s="71" t="b">
        <f>ISBLANK(Table37[[#This Row],[OU]])</f>
        <v>0</v>
      </c>
      <c r="AI60" s="71" t="b">
        <f>ISBLANK(Table37[[#This Row],[SPECIFIC COMMODITY]])</f>
        <v>0</v>
      </c>
      <c r="AJ60" s="71" t="b">
        <f>ISBLANK(Table37[[#This Row],[COMMODITY PREXC SUB-PROGRAM]])</f>
        <v>0</v>
      </c>
      <c r="AK60" s="71" t="b">
        <f>ISBLANK(Table37[[#This Row],[ACTIVITY]])</f>
        <v>0</v>
      </c>
      <c r="AL60" s="71" t="b">
        <f>ISBLANK(Table37[[#This Row],[TAG-GAD]])</f>
        <v>0</v>
      </c>
      <c r="AM60" s="71" t="b">
        <f>ISBLANK(Table37[[#This Row],[MONTH]])</f>
        <v>0</v>
      </c>
      <c r="AN60" s="71" t="b">
        <f>ISBLANK(Table37[[#This Row],[MOOE (Php ''000)]])</f>
        <v>0</v>
      </c>
      <c r="AO60" s="71" t="b">
        <f>ISBLANK(Table37[[#This Row],[CO (Php ''000)]])</f>
        <v>1</v>
      </c>
    </row>
    <row r="61" spans="1:41">
      <c r="A61" s="51" t="str">
        <f>VLOOKUP(Table37[[#This Row],[OU]],OU!$A$15:$B$34,2,FALSE)</f>
        <v>RFOs</v>
      </c>
      <c r="B61" s="47" t="s">
        <v>297</v>
      </c>
      <c r="C61" s="47" t="s">
        <v>574</v>
      </c>
      <c r="D61" s="47" t="s">
        <v>585</v>
      </c>
      <c r="E61" s="51" t="str">
        <f>VLOOKUP(Table37[[#This Row],[SPECIFIC COMMODITY]],TAGS!$W$48:$X$53,2,FALSE)</f>
        <v>Multi_commodity</v>
      </c>
      <c r="F61" s="51" t="str">
        <f>VLOOKUP(Table37[[#This Row],[PREXC SUB-PROGRAM]],Table5[],2,FALSE)</f>
        <v>TECHNICAL AND SUPPORT SERVICES PROGRAM</v>
      </c>
      <c r="G61" s="51" t="str">
        <f>VLOOKUP(Table37[[#This Row],[COMMODITY PREXC SUB-PROGRAM]],TAGS!$U$54:$V$76,2,FALSE)</f>
        <v>ESETS</v>
      </c>
      <c r="H61" s="47" t="s">
        <v>592</v>
      </c>
      <c r="I61" s="51" t="str">
        <f>VLOOKUP(Table37[[#This Row],[PI LEVEL 3]],'PI LEVEL'!A:C,3,FALSE)</f>
        <v>Individuals given incentives, recognition, and awards</v>
      </c>
      <c r="J61" s="51" t="str">
        <f>VLOOKUP(Table37[[#This Row],[PI LEVEL 3]],Table53729[[Performance Indicator Level 3]:[Performance Indicator Level 1]],2,FALSE)</f>
        <v>AEWs-extension workers given incentives</v>
      </c>
      <c r="K61" s="51" t="str">
        <f>VLOOKUP(Table37[[#This Row],[ACTIVITY]],TAGS!B:P,2,FALSE)</f>
        <v>AEWs-extension workers given incentives</v>
      </c>
      <c r="L61" s="47" t="s">
        <v>113</v>
      </c>
      <c r="M61" s="51" t="str">
        <f>VLOOKUP(Table37[[#This Row],[ACTIVITY]],TAGS!$B:$P,4,FALSE)</f>
        <v>Extension Workers Incentives</v>
      </c>
      <c r="N61" s="51" t="str">
        <f>VLOOKUP(Table37[[#This Row],[ACTIVITY]],TAGS!$B:$P,5,FALSE)</f>
        <v>Incentives Given</v>
      </c>
      <c r="O61" s="51" t="str">
        <f>VLOOKUP(Table37[[#This Row],[ACTIVITY]],TAGS!$B:$P,6,FALSE)</f>
        <v>Agricultural Extension Worker</v>
      </c>
      <c r="P61" s="51" t="str">
        <f>VLOOKUP(Table37[[#This Row],[ACTIVITY]],TAGS!$B:$P,7,FALSE)</f>
        <v>NO</v>
      </c>
      <c r="Q61" s="51" t="str">
        <f>VLOOKUP(Table37[[#This Row],[ACTIVITY]],TAGS!$B:$P,8,FALSE)</f>
        <v>PAP</v>
      </c>
      <c r="R61" s="51" t="str">
        <f>VLOOKUP(Table37[[#This Row],[ACTIVITY]],TAGS!$B:$P,10,FALSE)</f>
        <v>PIP</v>
      </c>
      <c r="S61" s="51" t="str">
        <f>VLOOKUP(Table37[[#This Row],[ACTIVITY]],TAGS!$B:$P,11,FALSE)</f>
        <v>PICS</v>
      </c>
      <c r="T61" s="51" t="str">
        <f>VLOOKUP(Table37[[#This Row],[ACTIVITY]],TAGS!$B:$P,12,FALSE)</f>
        <v>Consolidation</v>
      </c>
      <c r="U61" s="51" t="str">
        <f>VLOOKUP(Table37[[#This Row],[ACTIVITY]],TAGS!$B:$P,13,FALSE)</f>
        <v>3. PAFES</v>
      </c>
      <c r="V61" s="51" t="str">
        <f>VLOOKUP(Table37[[#This Row],[ACTIVITY]],TAGS!$B:$P,14,FALSE)</f>
        <v>STRONG PARTNERSHIP WITH THE FARMERS, FISHERFOLK, PRIVATE SECTOR, AND OTHER STAKEHOLDERS</v>
      </c>
      <c r="W61" s="51" t="str">
        <f>VLOOKUP(Table37[[#This Row],[ACTIVITY]],TAGS!$B:$P,15,FALSE)</f>
        <v>Other Intervetions</v>
      </c>
      <c r="X61" s="51" t="str">
        <f>VLOOKUP(Table37[[#This Row],[PI LEVEL 3]],'PI LEVEL'!$A:$G,7,FALSE)</f>
        <v>DA-Level Output</v>
      </c>
      <c r="Y61" s="47" t="s">
        <v>577</v>
      </c>
      <c r="Z61" s="47" t="s">
        <v>329</v>
      </c>
      <c r="AA61" s="51" t="str">
        <f>VLOOKUP(Table37[[#This Row],[MONTH]],TAGS!$W$67:$Y$81,2,FALSE)</f>
        <v>1ST QTR</v>
      </c>
      <c r="AB61" s="51" t="str">
        <f>VLOOKUP(Table37[[#This Row],[MONTH]],TAGS!$W$67:$Y$81,3,FALSE)</f>
        <v>1ST SEMESTER</v>
      </c>
      <c r="AC61" s="51">
        <f>VLOOKUP(Table37[[#This Row],[MONTH]],TAGS!$W$67:$Z$81,4,FALSE)</f>
        <v>2025</v>
      </c>
      <c r="AD61" s="47">
        <v>7098</v>
      </c>
      <c r="AE61" s="47"/>
      <c r="AF61" s="51">
        <f>SUM(Table37[[#This Row],[MOOE (Php ''000)]:[CO (Php ''000)]])</f>
        <v>7098</v>
      </c>
      <c r="AG61" s="71" t="b">
        <f>ISBLANK(Table37[[#This Row],[PRPOPOSAL/BEDS]])</f>
        <v>0</v>
      </c>
      <c r="AH61" s="71" t="b">
        <f>ISBLANK(Table37[[#This Row],[OU]])</f>
        <v>0</v>
      </c>
      <c r="AI61" s="71" t="b">
        <f>ISBLANK(Table37[[#This Row],[SPECIFIC COMMODITY]])</f>
        <v>0</v>
      </c>
      <c r="AJ61" s="71" t="b">
        <f>ISBLANK(Table37[[#This Row],[COMMODITY PREXC SUB-PROGRAM]])</f>
        <v>0</v>
      </c>
      <c r="AK61" s="71" t="b">
        <f>ISBLANK(Table37[[#This Row],[ACTIVITY]])</f>
        <v>0</v>
      </c>
      <c r="AL61" s="71" t="b">
        <f>ISBLANK(Table37[[#This Row],[TAG-GAD]])</f>
        <v>0</v>
      </c>
      <c r="AM61" s="71" t="b">
        <f>ISBLANK(Table37[[#This Row],[MONTH]])</f>
        <v>0</v>
      </c>
      <c r="AN61" s="71" t="b">
        <f>ISBLANK(Table37[[#This Row],[MOOE (Php ''000)]])</f>
        <v>0</v>
      </c>
      <c r="AO61" s="71" t="b">
        <f>ISBLANK(Table37[[#This Row],[CO (Php ''000)]])</f>
        <v>1</v>
      </c>
    </row>
    <row r="62" spans="1:41">
      <c r="A62" s="51" t="str">
        <f>VLOOKUP(Table37[[#This Row],[OU]],OU!$A$15:$B$34,2,FALSE)</f>
        <v>RFOs</v>
      </c>
      <c r="B62" s="47" t="s">
        <v>297</v>
      </c>
      <c r="C62" s="47" t="s">
        <v>574</v>
      </c>
      <c r="D62" s="47" t="s">
        <v>585</v>
      </c>
      <c r="E62" s="51" t="str">
        <f>VLOOKUP(Table37[[#This Row],[SPECIFIC COMMODITY]],TAGS!$W$48:$X$53,2,FALSE)</f>
        <v>Multi_commodity</v>
      </c>
      <c r="F62" s="51" t="str">
        <f>VLOOKUP(Table37[[#This Row],[PREXC SUB-PROGRAM]],Table5[],2,FALSE)</f>
        <v>TECHNICAL AND SUPPORT SERVICES PROGRAM</v>
      </c>
      <c r="G62" s="51" t="str">
        <f>VLOOKUP(Table37[[#This Row],[COMMODITY PREXC SUB-PROGRAM]],TAGS!$U$54:$V$76,2,FALSE)</f>
        <v>ESETS</v>
      </c>
      <c r="H62" s="47" t="s">
        <v>592</v>
      </c>
      <c r="I62" s="51" t="str">
        <f>VLOOKUP(Table37[[#This Row],[PI LEVEL 3]],'PI LEVEL'!A:C,3,FALSE)</f>
        <v>Extension support activities conducted</v>
      </c>
      <c r="J62" s="51" t="str">
        <f>VLOOKUP(Table37[[#This Row],[PI LEVEL 3]],Table53729[[Performance Indicator Level 3]:[Performance Indicator Level 1]],2,FALSE)</f>
        <v>Extension support activities conducted</v>
      </c>
      <c r="K62" s="51" t="str">
        <f>VLOOKUP(Table37[[#This Row],[ACTIVITY]],TAGS!B:P,2,FALSE)</f>
        <v>Other extension support activities conducted</v>
      </c>
      <c r="L62" s="47" t="s">
        <v>161</v>
      </c>
      <c r="M62" s="51" t="str">
        <f>VLOOKUP(Table37[[#This Row],[ACTIVITY]],TAGS!$B:$P,4,FALSE)</f>
        <v>Information, Education, and Communication Activities</v>
      </c>
      <c r="N62" s="51" t="str">
        <f>VLOOKUP(Table37[[#This Row],[ACTIVITY]],TAGS!$B:$P,5,FALSE)</f>
        <v>Information, Education, and Communication Activities</v>
      </c>
      <c r="O62" s="51" t="str">
        <f>VLOOKUP(Table37[[#This Row],[ACTIVITY]],TAGS!$B:$P,6,FALSE)</f>
        <v>Radio Plugs</v>
      </c>
      <c r="P62" s="51" t="str">
        <f>VLOOKUP(Table37[[#This Row],[ACTIVITY]],TAGS!$B:$P,7,FALSE)</f>
        <v>NO</v>
      </c>
      <c r="Q62" s="51" t="str">
        <f>VLOOKUP(Table37[[#This Row],[ACTIVITY]],TAGS!$B:$P,8,FALSE)</f>
        <v>PAP</v>
      </c>
      <c r="R62" s="51" t="str">
        <f>VLOOKUP(Table37[[#This Row],[ACTIVITY]],TAGS!$B:$P,10,FALSE)</f>
        <v>PIP</v>
      </c>
      <c r="S62" s="51" t="str">
        <f>VLOOKUP(Table37[[#This Row],[ACTIVITY]],TAGS!$B:$P,11,FALSE)</f>
        <v>PICS</v>
      </c>
      <c r="T62" s="51" t="str">
        <f>VLOOKUP(Table37[[#This Row],[ACTIVITY]],TAGS!$B:$P,12,FALSE)</f>
        <v>Strategic Communication</v>
      </c>
      <c r="U62" s="51" t="str">
        <f>VLOOKUP(Table37[[#This Row],[ACTIVITY]],TAGS!$B:$P,13,FALSE)</f>
        <v>18. Strategic Communications​</v>
      </c>
      <c r="V62" s="51">
        <f>VLOOKUP(Table37[[#This Row],[ACTIVITY]],TAGS!$B:$P,14,FALSE)</f>
        <v>0</v>
      </c>
      <c r="W62" s="51" t="str">
        <f>VLOOKUP(Table37[[#This Row],[ACTIVITY]],TAGS!$B:$P,15,FALSE)</f>
        <v>IEC</v>
      </c>
      <c r="X62" s="51" t="str">
        <f>VLOOKUP(Table37[[#This Row],[PI LEVEL 3]],'PI LEVEL'!$A:$G,7,FALSE)</f>
        <v>DA-Level Output</v>
      </c>
      <c r="Y62" s="47" t="s">
        <v>577</v>
      </c>
      <c r="Z62" s="47" t="s">
        <v>328</v>
      </c>
      <c r="AA62" s="51" t="str">
        <f>VLOOKUP(Table37[[#This Row],[MONTH]],TAGS!$W$67:$Y$81,2,FALSE)</f>
        <v>1ST QTR</v>
      </c>
      <c r="AB62" s="51" t="str">
        <f>VLOOKUP(Table37[[#This Row],[MONTH]],TAGS!$W$67:$Y$81,3,FALSE)</f>
        <v>1ST SEMESTER</v>
      </c>
      <c r="AC62" s="51">
        <f>VLOOKUP(Table37[[#This Row],[MONTH]],TAGS!$W$67:$Z$81,4,FALSE)</f>
        <v>2025</v>
      </c>
      <c r="AD62" s="47">
        <v>350</v>
      </c>
      <c r="AE62" s="47"/>
      <c r="AF62" s="51">
        <f>SUM(Table37[[#This Row],[MOOE (Php ''000)]:[CO (Php ''000)]])</f>
        <v>350</v>
      </c>
      <c r="AG62" s="71" t="b">
        <f>ISBLANK(Table37[[#This Row],[PRPOPOSAL/BEDS]])</f>
        <v>0</v>
      </c>
      <c r="AH62" s="71" t="b">
        <f>ISBLANK(Table37[[#This Row],[OU]])</f>
        <v>0</v>
      </c>
      <c r="AI62" s="71" t="b">
        <f>ISBLANK(Table37[[#This Row],[SPECIFIC COMMODITY]])</f>
        <v>0</v>
      </c>
      <c r="AJ62" s="71" t="b">
        <f>ISBLANK(Table37[[#This Row],[COMMODITY PREXC SUB-PROGRAM]])</f>
        <v>0</v>
      </c>
      <c r="AK62" s="71" t="b">
        <f>ISBLANK(Table37[[#This Row],[ACTIVITY]])</f>
        <v>0</v>
      </c>
      <c r="AL62" s="71" t="b">
        <f>ISBLANK(Table37[[#This Row],[TAG-GAD]])</f>
        <v>0</v>
      </c>
      <c r="AM62" s="71" t="b">
        <f>ISBLANK(Table37[[#This Row],[MONTH]])</f>
        <v>0</v>
      </c>
      <c r="AN62" s="71" t="b">
        <f>ISBLANK(Table37[[#This Row],[MOOE (Php ''000)]])</f>
        <v>0</v>
      </c>
      <c r="AO62" s="71" t="b">
        <f>ISBLANK(Table37[[#This Row],[CO (Php ''000)]])</f>
        <v>1</v>
      </c>
    </row>
    <row r="63" spans="1:41">
      <c r="A63" s="51" t="str">
        <f>VLOOKUP(Table37[[#This Row],[OU]],OU!$A$15:$B$34,2,FALSE)</f>
        <v>RFOs</v>
      </c>
      <c r="B63" s="47" t="s">
        <v>297</v>
      </c>
      <c r="C63" s="47" t="s">
        <v>574</v>
      </c>
      <c r="D63" s="47" t="s">
        <v>585</v>
      </c>
      <c r="E63" s="51" t="str">
        <f>VLOOKUP(Table37[[#This Row],[SPECIFIC COMMODITY]],TAGS!$W$48:$X$53,2,FALSE)</f>
        <v>Multi_commodity</v>
      </c>
      <c r="F63" s="51" t="str">
        <f>VLOOKUP(Table37[[#This Row],[PREXC SUB-PROGRAM]],Table5[],2,FALSE)</f>
        <v>TECHNICAL AND SUPPORT SERVICES PROGRAM</v>
      </c>
      <c r="G63" s="51" t="str">
        <f>VLOOKUP(Table37[[#This Row],[COMMODITY PREXC SUB-PROGRAM]],TAGS!$U$54:$V$76,2,FALSE)</f>
        <v>ESETS</v>
      </c>
      <c r="H63" s="47" t="s">
        <v>592</v>
      </c>
      <c r="I63" s="51" t="str">
        <f>VLOOKUP(Table37[[#This Row],[PI LEVEL 3]],'PI LEVEL'!A:C,3,FALSE)</f>
        <v>Extension support activities conducted</v>
      </c>
      <c r="J63" s="51" t="str">
        <f>VLOOKUP(Table37[[#This Row],[PI LEVEL 3]],Table53729[[Performance Indicator Level 3]:[Performance Indicator Level 1]],2,FALSE)</f>
        <v>Extension support activities conducted</v>
      </c>
      <c r="K63" s="51" t="str">
        <f>VLOOKUP(Table37[[#This Row],[ACTIVITY]],TAGS!B:P,2,FALSE)</f>
        <v>Other extension support activities conducted</v>
      </c>
      <c r="L63" s="47" t="s">
        <v>163</v>
      </c>
      <c r="M63" s="51" t="str">
        <f>VLOOKUP(Table37[[#This Row],[ACTIVITY]],TAGS!$B:$P,4,FALSE)</f>
        <v>Information, Education, and Communication Activities</v>
      </c>
      <c r="N63" s="51" t="str">
        <f>VLOOKUP(Table37[[#This Row],[ACTIVITY]],TAGS!$B:$P,5,FALSE)</f>
        <v>Information, Education, and Communication Activities</v>
      </c>
      <c r="O63" s="51" t="str">
        <f>VLOOKUP(Table37[[#This Row],[ACTIVITY]],TAGS!$B:$P,6,FALSE)</f>
        <v>TV Plugs</v>
      </c>
      <c r="P63" s="51" t="str">
        <f>VLOOKUP(Table37[[#This Row],[ACTIVITY]],TAGS!$B:$P,7,FALSE)</f>
        <v>NO</v>
      </c>
      <c r="Q63" s="51" t="str">
        <f>VLOOKUP(Table37[[#This Row],[ACTIVITY]],TAGS!$B:$P,8,FALSE)</f>
        <v>PAP</v>
      </c>
      <c r="R63" s="51" t="str">
        <f>VLOOKUP(Table37[[#This Row],[ACTIVITY]],TAGS!$B:$P,10,FALSE)</f>
        <v>PIP</v>
      </c>
      <c r="S63" s="51" t="str">
        <f>VLOOKUP(Table37[[#This Row],[ACTIVITY]],TAGS!$B:$P,11,FALSE)</f>
        <v>PICS</v>
      </c>
      <c r="T63" s="51" t="str">
        <f>VLOOKUP(Table37[[#This Row],[ACTIVITY]],TAGS!$B:$P,12,FALSE)</f>
        <v>Strategic Communication</v>
      </c>
      <c r="U63" s="51" t="str">
        <f>VLOOKUP(Table37[[#This Row],[ACTIVITY]],TAGS!$B:$P,13,FALSE)</f>
        <v>18. Strategic Communications​</v>
      </c>
      <c r="V63" s="51">
        <f>VLOOKUP(Table37[[#This Row],[ACTIVITY]],TAGS!$B:$P,14,FALSE)</f>
        <v>0</v>
      </c>
      <c r="W63" s="51" t="str">
        <f>VLOOKUP(Table37[[#This Row],[ACTIVITY]],TAGS!$B:$P,15,FALSE)</f>
        <v>IEC</v>
      </c>
      <c r="X63" s="51" t="str">
        <f>VLOOKUP(Table37[[#This Row],[PI LEVEL 3]],'PI LEVEL'!$A:$G,7,FALSE)</f>
        <v>DA-Level Output</v>
      </c>
      <c r="Y63" s="47" t="s">
        <v>577</v>
      </c>
      <c r="Z63" s="47" t="s">
        <v>328</v>
      </c>
      <c r="AA63" s="51" t="str">
        <f>VLOOKUP(Table37[[#This Row],[MONTH]],TAGS!$W$67:$Y$81,2,FALSE)</f>
        <v>1ST QTR</v>
      </c>
      <c r="AB63" s="51" t="str">
        <f>VLOOKUP(Table37[[#This Row],[MONTH]],TAGS!$W$67:$Y$81,3,FALSE)</f>
        <v>1ST SEMESTER</v>
      </c>
      <c r="AC63" s="51">
        <f>VLOOKUP(Table37[[#This Row],[MONTH]],TAGS!$W$67:$Z$81,4,FALSE)</f>
        <v>2025</v>
      </c>
      <c r="AD63" s="47">
        <v>400</v>
      </c>
      <c r="AE63" s="47"/>
      <c r="AF63" s="51">
        <f>SUM(Table37[[#This Row],[MOOE (Php ''000)]:[CO (Php ''000)]])</f>
        <v>400</v>
      </c>
      <c r="AG63" s="71" t="b">
        <f>ISBLANK(Table37[[#This Row],[PRPOPOSAL/BEDS]])</f>
        <v>0</v>
      </c>
      <c r="AH63" s="71" t="b">
        <f>ISBLANK(Table37[[#This Row],[OU]])</f>
        <v>0</v>
      </c>
      <c r="AI63" s="71" t="b">
        <f>ISBLANK(Table37[[#This Row],[SPECIFIC COMMODITY]])</f>
        <v>0</v>
      </c>
      <c r="AJ63" s="71" t="b">
        <f>ISBLANK(Table37[[#This Row],[COMMODITY PREXC SUB-PROGRAM]])</f>
        <v>0</v>
      </c>
      <c r="AK63" s="71" t="b">
        <f>ISBLANK(Table37[[#This Row],[ACTIVITY]])</f>
        <v>0</v>
      </c>
      <c r="AL63" s="71" t="b">
        <f>ISBLANK(Table37[[#This Row],[TAG-GAD]])</f>
        <v>0</v>
      </c>
      <c r="AM63" s="71" t="b">
        <f>ISBLANK(Table37[[#This Row],[MONTH]])</f>
        <v>0</v>
      </c>
      <c r="AN63" s="71" t="b">
        <f>ISBLANK(Table37[[#This Row],[MOOE (Php ''000)]])</f>
        <v>0</v>
      </c>
      <c r="AO63" s="71" t="b">
        <f>ISBLANK(Table37[[#This Row],[CO (Php ''000)]])</f>
        <v>1</v>
      </c>
    </row>
    <row r="64" spans="1:41">
      <c r="A64" s="51" t="str">
        <f>VLOOKUP(Table37[[#This Row],[OU]],OU!$A$15:$B$34,2,FALSE)</f>
        <v>RFOs</v>
      </c>
      <c r="B64" s="47" t="s">
        <v>297</v>
      </c>
      <c r="C64" s="47" t="s">
        <v>574</v>
      </c>
      <c r="D64" s="47" t="s">
        <v>578</v>
      </c>
      <c r="E64" s="51" t="str">
        <f>VLOOKUP(Table37[[#This Row],[SPECIFIC COMMODITY]],TAGS!$W$48:$X$53,2,FALSE)</f>
        <v>Corn</v>
      </c>
      <c r="F64" s="51" t="str">
        <f>VLOOKUP(Table37[[#This Row],[PREXC SUB-PROGRAM]],Table5[],2,FALSE)</f>
        <v>TECHNICAL AND SUPPORT SERVICES PROGRAM</v>
      </c>
      <c r="G64" s="51" t="str">
        <f>VLOOKUP(Table37[[#This Row],[COMMODITY PREXC SUB-PROGRAM]],TAGS!$U$54:$V$76,2,FALSE)</f>
        <v>RND</v>
      </c>
      <c r="H64" s="47" t="s">
        <v>593</v>
      </c>
      <c r="I64" s="51" t="str">
        <f>VLOOKUP(Table37[[#This Row],[PI LEVEL 3]],'PI LEVEL'!A:C,3,FALSE)</f>
        <v>Research and development activities conducted</v>
      </c>
      <c r="J64" s="51" t="str">
        <f>VLOOKUP(Table37[[#This Row],[PI LEVEL 3]],Table53729[[Performance Indicator Level 3]:[Performance Indicator Level 1]],2,FALSE)</f>
        <v>Production-related R4D activities conducted</v>
      </c>
      <c r="K64" s="51" t="str">
        <f>VLOOKUP(Table37[[#This Row],[ACTIVITY]],TAGS!B:P,2,FALSE)</f>
        <v>New Production-related R4D activities conducted</v>
      </c>
      <c r="L64" s="47" t="s">
        <v>168</v>
      </c>
      <c r="M64" s="51" t="str">
        <f>VLOOKUP(Table37[[#This Row],[ACTIVITY]],TAGS!$B:$P,4,FALSE)</f>
        <v>R&amp;D conducted</v>
      </c>
      <c r="N64" s="51" t="str">
        <f>VLOOKUP(Table37[[#This Row],[ACTIVITY]],TAGS!$B:$P,5,FALSE)</f>
        <v>RFOs &amp; Bureaus conducted R&amp;D</v>
      </c>
      <c r="O64" s="51" t="str">
        <f>VLOOKUP(Table37[[#This Row],[ACTIVITY]],TAGS!$B:$P,6,FALSE)</f>
        <v>New R&amp;D</v>
      </c>
      <c r="P64" s="51" t="str">
        <f>VLOOKUP(Table37[[#This Row],[ACTIVITY]],TAGS!$B:$P,7,FALSE)</f>
        <v>NO</v>
      </c>
      <c r="Q64" s="51" t="str">
        <f>VLOOKUP(Table37[[#This Row],[ACTIVITY]],TAGS!$B:$P,8,FALSE)</f>
        <v>Research</v>
      </c>
      <c r="R64" s="51" t="str">
        <f>VLOOKUP(Table37[[#This Row],[ACTIVITY]],TAGS!$B:$P,10,FALSE)</f>
        <v>PIP</v>
      </c>
      <c r="S64" s="51" t="str">
        <f>VLOOKUP(Table37[[#This Row],[ACTIVITY]],TAGS!$B:$P,11,FALSE)</f>
        <v>PICS</v>
      </c>
      <c r="T64" s="51" t="str">
        <f>VLOOKUP(Table37[[#This Row],[ACTIVITY]],TAGS!$B:$P,12,FALSE)</f>
        <v>Modernization</v>
      </c>
      <c r="U64" s="51">
        <f>VLOOKUP(Table37[[#This Row],[ACTIVITY]],TAGS!$B:$P,13,FALSE)</f>
        <v>0</v>
      </c>
      <c r="V64" s="51" t="str">
        <f>VLOOKUP(Table37[[#This Row],[ACTIVITY]],TAGS!$B:$P,14,FALSE)</f>
        <v>EXPAND AND IMPROVE AVAILABLE AGRI-FISHERY AREAS FOR INCREASED PRODUCTION</v>
      </c>
      <c r="W64" s="51" t="str">
        <f>VLOOKUP(Table37[[#This Row],[ACTIVITY]],TAGS!$B:$P,15,FALSE)</f>
        <v>R&amp;D</v>
      </c>
      <c r="X64" s="51" t="str">
        <f>VLOOKUP(Table37[[#This Row],[PI LEVEL 3]],'PI LEVEL'!$A:$G,7,FALSE)</f>
        <v>DA-Level Output</v>
      </c>
      <c r="Y64" s="47" t="s">
        <v>577</v>
      </c>
      <c r="Z64" s="47" t="s">
        <v>329</v>
      </c>
      <c r="AA64" s="51" t="str">
        <f>VLOOKUP(Table37[[#This Row],[MONTH]],TAGS!$W$67:$Y$81,2,FALSE)</f>
        <v>1ST QTR</v>
      </c>
      <c r="AB64" s="51" t="str">
        <f>VLOOKUP(Table37[[#This Row],[MONTH]],TAGS!$W$67:$Y$81,3,FALSE)</f>
        <v>1ST SEMESTER</v>
      </c>
      <c r="AC64" s="51">
        <f>VLOOKUP(Table37[[#This Row],[MONTH]],TAGS!$W$67:$Z$81,4,FALSE)</f>
        <v>2025</v>
      </c>
      <c r="AD64" s="47">
        <v>4500</v>
      </c>
      <c r="AE64" s="47"/>
      <c r="AF64" s="51">
        <f>SUM(Table37[[#This Row],[MOOE (Php ''000)]:[CO (Php ''000)]])</f>
        <v>4500</v>
      </c>
      <c r="AG64" s="71" t="b">
        <f>ISBLANK(Table37[[#This Row],[PRPOPOSAL/BEDS]])</f>
        <v>0</v>
      </c>
      <c r="AH64" s="71" t="b">
        <f>ISBLANK(Table37[[#This Row],[OU]])</f>
        <v>0</v>
      </c>
      <c r="AI64" s="71" t="b">
        <f>ISBLANK(Table37[[#This Row],[SPECIFIC COMMODITY]])</f>
        <v>0</v>
      </c>
      <c r="AJ64" s="71" t="b">
        <f>ISBLANK(Table37[[#This Row],[COMMODITY PREXC SUB-PROGRAM]])</f>
        <v>0</v>
      </c>
      <c r="AK64" s="71" t="b">
        <f>ISBLANK(Table37[[#This Row],[ACTIVITY]])</f>
        <v>0</v>
      </c>
      <c r="AL64" s="71" t="b">
        <f>ISBLANK(Table37[[#This Row],[TAG-GAD]])</f>
        <v>0</v>
      </c>
      <c r="AM64" s="71" t="b">
        <f>ISBLANK(Table37[[#This Row],[MONTH]])</f>
        <v>0</v>
      </c>
      <c r="AN64" s="71" t="b">
        <f>ISBLANK(Table37[[#This Row],[MOOE (Php ''000)]])</f>
        <v>0</v>
      </c>
      <c r="AO64" s="71" t="b">
        <f>ISBLANK(Table37[[#This Row],[CO (Php ''000)]])</f>
        <v>1</v>
      </c>
    </row>
    <row r="65" spans="1:41">
      <c r="A65" s="51" t="str">
        <f>VLOOKUP(Table37[[#This Row],[OU]],OU!$A$15:$B$34,2,FALSE)</f>
        <v>RFOs</v>
      </c>
      <c r="B65" s="47" t="s">
        <v>297</v>
      </c>
      <c r="C65" s="47" t="s">
        <v>574</v>
      </c>
      <c r="D65" s="47" t="s">
        <v>578</v>
      </c>
      <c r="E65" s="51" t="str">
        <f>VLOOKUP(Table37[[#This Row],[SPECIFIC COMMODITY]],TAGS!$W$48:$X$53,2,FALSE)</f>
        <v>Corn</v>
      </c>
      <c r="F65" s="51" t="str">
        <f>VLOOKUP(Table37[[#This Row],[PREXC SUB-PROGRAM]],Table5[],2,FALSE)</f>
        <v>TECHNICAL AND SUPPORT SERVICES PROGRAM</v>
      </c>
      <c r="G65" s="51" t="str">
        <f>VLOOKUP(Table37[[#This Row],[COMMODITY PREXC SUB-PROGRAM]],TAGS!$U$54:$V$76,2,FALSE)</f>
        <v>RND</v>
      </c>
      <c r="H65" s="47" t="s">
        <v>593</v>
      </c>
      <c r="I65" s="51" t="str">
        <f>VLOOKUP(Table37[[#This Row],[PI LEVEL 3]],'PI LEVEL'!A:C,3,FALSE)</f>
        <v>Research and development activities conducted</v>
      </c>
      <c r="J65" s="51" t="str">
        <f>VLOOKUP(Table37[[#This Row],[PI LEVEL 3]],Table53729[[Performance Indicator Level 3]:[Performance Indicator Level 1]],2,FALSE)</f>
        <v>Production-related R4D activities conducted</v>
      </c>
      <c r="K65" s="51" t="str">
        <f>VLOOKUP(Table37[[#This Row],[ACTIVITY]],TAGS!B:P,2,FALSE)</f>
        <v>New Production-related R4D activities conducted</v>
      </c>
      <c r="L65" s="47" t="s">
        <v>168</v>
      </c>
      <c r="M65" s="51" t="str">
        <f>VLOOKUP(Table37[[#This Row],[ACTIVITY]],TAGS!$B:$P,4,FALSE)</f>
        <v>R&amp;D conducted</v>
      </c>
      <c r="N65" s="51" t="str">
        <f>VLOOKUP(Table37[[#This Row],[ACTIVITY]],TAGS!$B:$P,5,FALSE)</f>
        <v>RFOs &amp; Bureaus conducted R&amp;D</v>
      </c>
      <c r="O65" s="51" t="str">
        <f>VLOOKUP(Table37[[#This Row],[ACTIVITY]],TAGS!$B:$P,6,FALSE)</f>
        <v>New R&amp;D</v>
      </c>
      <c r="P65" s="51" t="str">
        <f>VLOOKUP(Table37[[#This Row],[ACTIVITY]],TAGS!$B:$P,7,FALSE)</f>
        <v>NO</v>
      </c>
      <c r="Q65" s="51" t="str">
        <f>VLOOKUP(Table37[[#This Row],[ACTIVITY]],TAGS!$B:$P,8,FALSE)</f>
        <v>Research</v>
      </c>
      <c r="R65" s="51" t="str">
        <f>VLOOKUP(Table37[[#This Row],[ACTIVITY]],TAGS!$B:$P,10,FALSE)</f>
        <v>PIP</v>
      </c>
      <c r="S65" s="51" t="str">
        <f>VLOOKUP(Table37[[#This Row],[ACTIVITY]],TAGS!$B:$P,11,FALSE)</f>
        <v>PICS</v>
      </c>
      <c r="T65" s="51" t="str">
        <f>VLOOKUP(Table37[[#This Row],[ACTIVITY]],TAGS!$B:$P,12,FALSE)</f>
        <v>Modernization</v>
      </c>
      <c r="U65" s="51">
        <f>VLOOKUP(Table37[[#This Row],[ACTIVITY]],TAGS!$B:$P,13,FALSE)</f>
        <v>0</v>
      </c>
      <c r="V65" s="51" t="str">
        <f>VLOOKUP(Table37[[#This Row],[ACTIVITY]],TAGS!$B:$P,14,FALSE)</f>
        <v>EXPAND AND IMPROVE AVAILABLE AGRI-FISHERY AREAS FOR INCREASED PRODUCTION</v>
      </c>
      <c r="W65" s="51" t="str">
        <f>VLOOKUP(Table37[[#This Row],[ACTIVITY]],TAGS!$B:$P,15,FALSE)</f>
        <v>R&amp;D</v>
      </c>
      <c r="X65" s="51" t="str">
        <f>VLOOKUP(Table37[[#This Row],[PI LEVEL 3]],'PI LEVEL'!$A:$G,7,FALSE)</f>
        <v>DA-Level Output</v>
      </c>
      <c r="Y65" s="47" t="s">
        <v>577</v>
      </c>
      <c r="Z65" s="47" t="s">
        <v>332</v>
      </c>
      <c r="AA65" s="51" t="str">
        <f>VLOOKUP(Table37[[#This Row],[MONTH]],TAGS!$W$67:$Y$81,2,FALSE)</f>
        <v>2ND QTR</v>
      </c>
      <c r="AB65" s="51" t="str">
        <f>VLOOKUP(Table37[[#This Row],[MONTH]],TAGS!$W$67:$Y$81,3,FALSE)</f>
        <v>1ST SEMESTER</v>
      </c>
      <c r="AC65" s="51">
        <f>VLOOKUP(Table37[[#This Row],[MONTH]],TAGS!$W$67:$Z$81,4,FALSE)</f>
        <v>2025</v>
      </c>
      <c r="AD65" s="47">
        <v>450</v>
      </c>
      <c r="AE65" s="47"/>
      <c r="AF65" s="51">
        <f>SUM(Table37[[#This Row],[MOOE (Php ''000)]:[CO (Php ''000)]])</f>
        <v>450</v>
      </c>
      <c r="AG65" s="71" t="b">
        <f>ISBLANK(Table37[[#This Row],[PRPOPOSAL/BEDS]])</f>
        <v>0</v>
      </c>
      <c r="AH65" s="71" t="b">
        <f>ISBLANK(Table37[[#This Row],[OU]])</f>
        <v>0</v>
      </c>
      <c r="AI65" s="71" t="b">
        <f>ISBLANK(Table37[[#This Row],[SPECIFIC COMMODITY]])</f>
        <v>0</v>
      </c>
      <c r="AJ65" s="71" t="b">
        <f>ISBLANK(Table37[[#This Row],[COMMODITY PREXC SUB-PROGRAM]])</f>
        <v>0</v>
      </c>
      <c r="AK65" s="71" t="b">
        <f>ISBLANK(Table37[[#This Row],[ACTIVITY]])</f>
        <v>0</v>
      </c>
      <c r="AL65" s="71" t="b">
        <f>ISBLANK(Table37[[#This Row],[TAG-GAD]])</f>
        <v>0</v>
      </c>
      <c r="AM65" s="71" t="b">
        <f>ISBLANK(Table37[[#This Row],[MONTH]])</f>
        <v>0</v>
      </c>
      <c r="AN65" s="71" t="b">
        <f>ISBLANK(Table37[[#This Row],[MOOE (Php ''000)]])</f>
        <v>0</v>
      </c>
      <c r="AO65" s="71" t="b">
        <f>ISBLANK(Table37[[#This Row],[CO (Php ''000)]])</f>
        <v>1</v>
      </c>
    </row>
    <row r="66" spans="1:41">
      <c r="A66" s="51" t="str">
        <f>VLOOKUP(Table37[[#This Row],[OU]],OU!$A$15:$B$34,2,FALSE)</f>
        <v>RFOs</v>
      </c>
      <c r="B66" s="47" t="s">
        <v>297</v>
      </c>
      <c r="C66" s="47" t="s">
        <v>574</v>
      </c>
      <c r="D66" s="47" t="s">
        <v>578</v>
      </c>
      <c r="E66" s="51" t="str">
        <f>VLOOKUP(Table37[[#This Row],[SPECIFIC COMMODITY]],TAGS!$W$48:$X$53,2,FALSE)</f>
        <v>Corn</v>
      </c>
      <c r="F66" s="51" t="str">
        <f>VLOOKUP(Table37[[#This Row],[PREXC SUB-PROGRAM]],Table5[],2,FALSE)</f>
        <v>TECHNICAL AND SUPPORT SERVICES PROGRAM</v>
      </c>
      <c r="G66" s="51" t="str">
        <f>VLOOKUP(Table37[[#This Row],[COMMODITY PREXC SUB-PROGRAM]],TAGS!$U$54:$V$76,2,FALSE)</f>
        <v>RND</v>
      </c>
      <c r="H66" s="47" t="s">
        <v>593</v>
      </c>
      <c r="I66" s="51" t="str">
        <f>VLOOKUP(Table37[[#This Row],[PI LEVEL 3]],'PI LEVEL'!A:C,3,FALSE)</f>
        <v>Research and development activities conducted</v>
      </c>
      <c r="J66" s="51" t="str">
        <f>VLOOKUP(Table37[[#This Row],[PI LEVEL 3]],Table53729[[Performance Indicator Level 3]:[Performance Indicator Level 1]],2,FALSE)</f>
        <v>Production-related R4D activities conducted</v>
      </c>
      <c r="K66" s="51" t="str">
        <f>VLOOKUP(Table37[[#This Row],[ACTIVITY]],TAGS!B:P,2,FALSE)</f>
        <v>New Production-related R4D activities conducted</v>
      </c>
      <c r="L66" s="47" t="s">
        <v>168</v>
      </c>
      <c r="M66" s="51" t="str">
        <f>VLOOKUP(Table37[[#This Row],[ACTIVITY]],TAGS!$B:$P,4,FALSE)</f>
        <v>R&amp;D conducted</v>
      </c>
      <c r="N66" s="51" t="str">
        <f>VLOOKUP(Table37[[#This Row],[ACTIVITY]],TAGS!$B:$P,5,FALSE)</f>
        <v>RFOs &amp; Bureaus conducted R&amp;D</v>
      </c>
      <c r="O66" s="51" t="str">
        <f>VLOOKUP(Table37[[#This Row],[ACTIVITY]],TAGS!$B:$P,6,FALSE)</f>
        <v>New R&amp;D</v>
      </c>
      <c r="P66" s="51" t="str">
        <f>VLOOKUP(Table37[[#This Row],[ACTIVITY]],TAGS!$B:$P,7,FALSE)</f>
        <v>NO</v>
      </c>
      <c r="Q66" s="51" t="str">
        <f>VLOOKUP(Table37[[#This Row],[ACTIVITY]],TAGS!$B:$P,8,FALSE)</f>
        <v>Research</v>
      </c>
      <c r="R66" s="51" t="str">
        <f>VLOOKUP(Table37[[#This Row],[ACTIVITY]],TAGS!$B:$P,10,FALSE)</f>
        <v>PIP</v>
      </c>
      <c r="S66" s="51" t="str">
        <f>VLOOKUP(Table37[[#This Row],[ACTIVITY]],TAGS!$B:$P,11,FALSE)</f>
        <v>PICS</v>
      </c>
      <c r="T66" s="51" t="str">
        <f>VLOOKUP(Table37[[#This Row],[ACTIVITY]],TAGS!$B:$P,12,FALSE)</f>
        <v>Modernization</v>
      </c>
      <c r="U66" s="51">
        <f>VLOOKUP(Table37[[#This Row],[ACTIVITY]],TAGS!$B:$P,13,FALSE)</f>
        <v>0</v>
      </c>
      <c r="V66" s="51" t="str">
        <f>VLOOKUP(Table37[[#This Row],[ACTIVITY]],TAGS!$B:$P,14,FALSE)</f>
        <v>EXPAND AND IMPROVE AVAILABLE AGRI-FISHERY AREAS FOR INCREASED PRODUCTION</v>
      </c>
      <c r="W66" s="51" t="str">
        <f>VLOOKUP(Table37[[#This Row],[ACTIVITY]],TAGS!$B:$P,15,FALSE)</f>
        <v>R&amp;D</v>
      </c>
      <c r="X66" s="51" t="str">
        <f>VLOOKUP(Table37[[#This Row],[PI LEVEL 3]],'PI LEVEL'!$A:$G,7,FALSE)</f>
        <v>DA-Level Output</v>
      </c>
      <c r="Y66" s="47" t="s">
        <v>577</v>
      </c>
      <c r="Z66" s="47" t="s">
        <v>335</v>
      </c>
      <c r="AA66" s="51" t="str">
        <f>VLOOKUP(Table37[[#This Row],[MONTH]],TAGS!$W$67:$Y$81,2,FALSE)</f>
        <v>3RD QTR</v>
      </c>
      <c r="AB66" s="51" t="str">
        <f>VLOOKUP(Table37[[#This Row],[MONTH]],TAGS!$W$67:$Y$81,3,FALSE)</f>
        <v>2ND SEMESTER</v>
      </c>
      <c r="AC66" s="51">
        <f>VLOOKUP(Table37[[#This Row],[MONTH]],TAGS!$W$67:$Z$81,4,FALSE)</f>
        <v>2025</v>
      </c>
      <c r="AD66" s="47">
        <v>550</v>
      </c>
      <c r="AE66" s="47"/>
      <c r="AF66" s="51">
        <f>SUM(Table37[[#This Row],[MOOE (Php ''000)]:[CO (Php ''000)]])</f>
        <v>550</v>
      </c>
      <c r="AG66" s="71" t="b">
        <f>ISBLANK(Table37[[#This Row],[PRPOPOSAL/BEDS]])</f>
        <v>0</v>
      </c>
      <c r="AH66" s="71" t="b">
        <f>ISBLANK(Table37[[#This Row],[OU]])</f>
        <v>0</v>
      </c>
      <c r="AI66" s="71" t="b">
        <f>ISBLANK(Table37[[#This Row],[SPECIFIC COMMODITY]])</f>
        <v>0</v>
      </c>
      <c r="AJ66" s="71" t="b">
        <f>ISBLANK(Table37[[#This Row],[COMMODITY PREXC SUB-PROGRAM]])</f>
        <v>0</v>
      </c>
      <c r="AK66" s="71" t="b">
        <f>ISBLANK(Table37[[#This Row],[ACTIVITY]])</f>
        <v>0</v>
      </c>
      <c r="AL66" s="71" t="b">
        <f>ISBLANK(Table37[[#This Row],[TAG-GAD]])</f>
        <v>0</v>
      </c>
      <c r="AM66" s="71" t="b">
        <f>ISBLANK(Table37[[#This Row],[MONTH]])</f>
        <v>0</v>
      </c>
      <c r="AN66" s="71" t="b">
        <f>ISBLANK(Table37[[#This Row],[MOOE (Php ''000)]])</f>
        <v>0</v>
      </c>
      <c r="AO66" s="71" t="b">
        <f>ISBLANK(Table37[[#This Row],[CO (Php ''000)]])</f>
        <v>1</v>
      </c>
    </row>
    <row r="67" spans="1:41">
      <c r="A67" s="51" t="str">
        <f>VLOOKUP(Table37[[#This Row],[OU]],OU!$A$15:$B$34,2,FALSE)</f>
        <v>RFOs</v>
      </c>
      <c r="B67" s="47" t="s">
        <v>297</v>
      </c>
      <c r="C67" s="47" t="s">
        <v>574</v>
      </c>
      <c r="D67" s="47" t="s">
        <v>578</v>
      </c>
      <c r="E67" s="51" t="str">
        <f>VLOOKUP(Table37[[#This Row],[SPECIFIC COMMODITY]],TAGS!$W$48:$X$53,2,FALSE)</f>
        <v>Corn</v>
      </c>
      <c r="F67" s="51" t="str">
        <f>VLOOKUP(Table37[[#This Row],[PREXC SUB-PROGRAM]],Table5[],2,FALSE)</f>
        <v>AGRICULTURAL  MACHINERY, EQUIPMENT, FACILITIES AND INFRASTRUCTURE PROGRAM</v>
      </c>
      <c r="G67" s="51" t="str">
        <f>VLOOKUP(Table37[[#This Row],[COMMODITY PREXC SUB-PROGRAM]],TAGS!$U$54:$V$76,2,FALSE)</f>
        <v>AMEFSS</v>
      </c>
      <c r="H67" s="47" t="s">
        <v>594</v>
      </c>
      <c r="I67" s="51" t="str">
        <f>VLOOKUP(Table37[[#This Row],[PI LEVEL 3]],'PI LEVEL'!A:C,3,FALSE)</f>
        <v>Production machinery and equipment distributed</v>
      </c>
      <c r="J67" s="51" t="str">
        <f>VLOOKUP(Table37[[#This Row],[PI LEVEL 3]],Table53729[[Performance Indicator Level 3]:[Performance Indicator Level 1]],2,FALSE)</f>
        <v>Agricultural tractor distributed</v>
      </c>
      <c r="K67" s="51" t="str">
        <f>VLOOKUP(Table37[[#This Row],[ACTIVITY]],TAGS!B:P,2,FALSE)</f>
        <v>Four-Wheel Tractor Distributed</v>
      </c>
      <c r="L67" s="47" t="s">
        <v>171</v>
      </c>
      <c r="M67" s="51" t="str">
        <f>VLOOKUP(Table37[[#This Row],[ACTIVITY]],TAGS!$B:$P,4,FALSE)</f>
        <v>Production related machinery &amp; equipment</v>
      </c>
      <c r="N67" s="51" t="str">
        <f>VLOOKUP(Table37[[#This Row],[ACTIVITY]],TAGS!$B:$P,5,FALSE)</f>
        <v>Production-related</v>
      </c>
      <c r="O67" s="51" t="str">
        <f>VLOOKUP(Table37[[#This Row],[ACTIVITY]],TAGS!$B:$P,6,FALSE)</f>
        <v>Tractor</v>
      </c>
      <c r="P67" s="51" t="str">
        <f>VLOOKUP(Table37[[#This Row],[ACTIVITY]],TAGS!$B:$P,7,FALSE)</f>
        <v>NO</v>
      </c>
      <c r="Q67" s="51" t="str">
        <f>VLOOKUP(Table37[[#This Row],[ACTIVITY]],TAGS!$B:$P,8,FALSE)</f>
        <v>PAP</v>
      </c>
      <c r="R67" s="51" t="str">
        <f>VLOOKUP(Table37[[#This Row],[ACTIVITY]],TAGS!$B:$P,10,FALSE)</f>
        <v>PIP</v>
      </c>
      <c r="S67" s="51" t="str">
        <f>VLOOKUP(Table37[[#This Row],[ACTIVITY]],TAGS!$B:$P,11,FALSE)</f>
        <v>PICS</v>
      </c>
      <c r="T67" s="51" t="str">
        <f>VLOOKUP(Table37[[#This Row],[ACTIVITY]],TAGS!$B:$P,12,FALSE)</f>
        <v>Modernization</v>
      </c>
      <c r="U67" s="51" t="str">
        <f>VLOOKUP(Table37[[#This Row],[ACTIVITY]],TAGS!$B:$P,13,FALSE)</f>
        <v>8. Farm Mechanization and Farm Investments</v>
      </c>
      <c r="V67" s="51" t="str">
        <f>VLOOKUP(Table37[[#This Row],[ACTIVITY]],TAGS!$B:$P,14,FALSE)</f>
        <v>MECHANIZE AND MODERNIZE AGRI-FISHERY PRODUCTION SYSTEMS</v>
      </c>
      <c r="W67" s="51" t="str">
        <f>VLOOKUP(Table37[[#This Row],[ACTIVITY]],TAGS!$B:$P,15,FALSE)</f>
        <v>Production-related</v>
      </c>
      <c r="X67" s="51" t="str">
        <f>VLOOKUP(Table37[[#This Row],[PI LEVEL 3]],'PI LEVEL'!$A:$G,7,FALSE)</f>
        <v>DA-Level Output</v>
      </c>
      <c r="Y67" s="47" t="s">
        <v>577</v>
      </c>
      <c r="Z67" s="47" t="s">
        <v>332</v>
      </c>
      <c r="AA67" s="51" t="str">
        <f>VLOOKUP(Table37[[#This Row],[MONTH]],TAGS!$W$67:$Y$81,2,FALSE)</f>
        <v>2ND QTR</v>
      </c>
      <c r="AB67" s="51" t="str">
        <f>VLOOKUP(Table37[[#This Row],[MONTH]],TAGS!$W$67:$Y$81,3,FALSE)</f>
        <v>1ST SEMESTER</v>
      </c>
      <c r="AC67" s="51">
        <f>VLOOKUP(Table37[[#This Row],[MONTH]],TAGS!$W$67:$Z$81,4,FALSE)</f>
        <v>2025</v>
      </c>
      <c r="AD67" s="47"/>
      <c r="AE67" s="47">
        <v>31000</v>
      </c>
      <c r="AF67" s="51">
        <f>SUM(Table37[[#This Row],[MOOE (Php ''000)]:[CO (Php ''000)]])</f>
        <v>31000</v>
      </c>
      <c r="AG67" s="71" t="b">
        <f>ISBLANK(Table37[[#This Row],[PRPOPOSAL/BEDS]])</f>
        <v>0</v>
      </c>
      <c r="AH67" s="71" t="b">
        <f>ISBLANK(Table37[[#This Row],[OU]])</f>
        <v>0</v>
      </c>
      <c r="AI67" s="71" t="b">
        <f>ISBLANK(Table37[[#This Row],[SPECIFIC COMMODITY]])</f>
        <v>0</v>
      </c>
      <c r="AJ67" s="71" t="b">
        <f>ISBLANK(Table37[[#This Row],[COMMODITY PREXC SUB-PROGRAM]])</f>
        <v>0</v>
      </c>
      <c r="AK67" s="71" t="b">
        <f>ISBLANK(Table37[[#This Row],[ACTIVITY]])</f>
        <v>0</v>
      </c>
      <c r="AL67" s="71" t="b">
        <f>ISBLANK(Table37[[#This Row],[TAG-GAD]])</f>
        <v>0</v>
      </c>
      <c r="AM67" s="71" t="b">
        <f>ISBLANK(Table37[[#This Row],[MONTH]])</f>
        <v>0</v>
      </c>
      <c r="AN67" s="71" t="b">
        <f>ISBLANK(Table37[[#This Row],[MOOE (Php ''000)]])</f>
        <v>1</v>
      </c>
      <c r="AO67" s="71" t="b">
        <f>ISBLANK(Table37[[#This Row],[CO (Php ''000)]])</f>
        <v>0</v>
      </c>
    </row>
    <row r="68" spans="1:41">
      <c r="A68" s="51" t="str">
        <f>VLOOKUP(Table37[[#This Row],[OU]],OU!$A$15:$B$34,2,FALSE)</f>
        <v>RFOs</v>
      </c>
      <c r="B68" s="47" t="s">
        <v>297</v>
      </c>
      <c r="C68" s="47" t="s">
        <v>574</v>
      </c>
      <c r="D68" s="47" t="s">
        <v>578</v>
      </c>
      <c r="E68" s="51" t="str">
        <f>VLOOKUP(Table37[[#This Row],[SPECIFIC COMMODITY]],TAGS!$W$48:$X$53,2,FALSE)</f>
        <v>Corn</v>
      </c>
      <c r="F68" s="51" t="str">
        <f>VLOOKUP(Table37[[#This Row],[PREXC SUB-PROGRAM]],Table5[],2,FALSE)</f>
        <v>AGRICULTURAL  MACHINERY, EQUIPMENT, FACILITIES AND INFRASTRUCTURE PROGRAM</v>
      </c>
      <c r="G68" s="51" t="str">
        <f>VLOOKUP(Table37[[#This Row],[COMMODITY PREXC SUB-PROGRAM]],TAGS!$U$54:$V$76,2,FALSE)</f>
        <v>AMEFSS</v>
      </c>
      <c r="H68" s="47" t="s">
        <v>594</v>
      </c>
      <c r="I68" s="51" t="str">
        <f>VLOOKUP(Table37[[#This Row],[PI LEVEL 3]],'PI LEVEL'!A:C,3,FALSE)</f>
        <v>Production machinery and equipment distributed</v>
      </c>
      <c r="J68" s="51" t="str">
        <f>VLOOKUP(Table37[[#This Row],[PI LEVEL 3]],Table53729[[Performance Indicator Level 3]:[Performance Indicator Level 1]],2,FALSE)</f>
        <v>Agricultural tractor distributed</v>
      </c>
      <c r="K68" s="51" t="str">
        <f>VLOOKUP(Table37[[#This Row],[ACTIVITY]],TAGS!B:P,2,FALSE)</f>
        <v>Four-Wheel Tractor Distributed</v>
      </c>
      <c r="L68" s="47" t="s">
        <v>171</v>
      </c>
      <c r="M68" s="51" t="str">
        <f>VLOOKUP(Table37[[#This Row],[ACTIVITY]],TAGS!$B:$P,4,FALSE)</f>
        <v>Production related machinery &amp; equipment</v>
      </c>
      <c r="N68" s="51" t="str">
        <f>VLOOKUP(Table37[[#This Row],[ACTIVITY]],TAGS!$B:$P,5,FALSE)</f>
        <v>Production-related</v>
      </c>
      <c r="O68" s="51" t="str">
        <f>VLOOKUP(Table37[[#This Row],[ACTIVITY]],TAGS!$B:$P,6,FALSE)</f>
        <v>Tractor</v>
      </c>
      <c r="P68" s="51" t="str">
        <f>VLOOKUP(Table37[[#This Row],[ACTIVITY]],TAGS!$B:$P,7,FALSE)</f>
        <v>NO</v>
      </c>
      <c r="Q68" s="51" t="str">
        <f>VLOOKUP(Table37[[#This Row],[ACTIVITY]],TAGS!$B:$P,8,FALSE)</f>
        <v>PAP</v>
      </c>
      <c r="R68" s="51" t="str">
        <f>VLOOKUP(Table37[[#This Row],[ACTIVITY]],TAGS!$B:$P,10,FALSE)</f>
        <v>PIP</v>
      </c>
      <c r="S68" s="51" t="str">
        <f>VLOOKUP(Table37[[#This Row],[ACTIVITY]],TAGS!$B:$P,11,FALSE)</f>
        <v>PICS</v>
      </c>
      <c r="T68" s="51" t="str">
        <f>VLOOKUP(Table37[[#This Row],[ACTIVITY]],TAGS!$B:$P,12,FALSE)</f>
        <v>Modernization</v>
      </c>
      <c r="U68" s="51" t="str">
        <f>VLOOKUP(Table37[[#This Row],[ACTIVITY]],TAGS!$B:$P,13,FALSE)</f>
        <v>8. Farm Mechanization and Farm Investments</v>
      </c>
      <c r="V68" s="51" t="str">
        <f>VLOOKUP(Table37[[#This Row],[ACTIVITY]],TAGS!$B:$P,14,FALSE)</f>
        <v>MECHANIZE AND MODERNIZE AGRI-FISHERY PRODUCTION SYSTEMS</v>
      </c>
      <c r="W68" s="51" t="str">
        <f>VLOOKUP(Table37[[#This Row],[ACTIVITY]],TAGS!$B:$P,15,FALSE)</f>
        <v>Production-related</v>
      </c>
      <c r="X68" s="51" t="str">
        <f>VLOOKUP(Table37[[#This Row],[PI LEVEL 3]],'PI LEVEL'!$A:$G,7,FALSE)</f>
        <v>DA-Level Output</v>
      </c>
      <c r="Y68" s="47" t="s">
        <v>577</v>
      </c>
      <c r="Z68" s="47" t="s">
        <v>332</v>
      </c>
      <c r="AA68" s="51" t="str">
        <f>VLOOKUP(Table37[[#This Row],[MONTH]],TAGS!$W$67:$Y$81,2,FALSE)</f>
        <v>2ND QTR</v>
      </c>
      <c r="AB68" s="51" t="str">
        <f>VLOOKUP(Table37[[#This Row],[MONTH]],TAGS!$W$67:$Y$81,3,FALSE)</f>
        <v>1ST SEMESTER</v>
      </c>
      <c r="AC68" s="51">
        <f>VLOOKUP(Table37[[#This Row],[MONTH]],TAGS!$W$67:$Z$81,4,FALSE)</f>
        <v>2025</v>
      </c>
      <c r="AD68" s="47"/>
      <c r="AE68" s="47">
        <v>5000</v>
      </c>
      <c r="AF68" s="51">
        <f>SUM(Table37[[#This Row],[MOOE (Php ''000)]:[CO (Php ''000)]])</f>
        <v>5000</v>
      </c>
      <c r="AG68" s="71" t="b">
        <f>ISBLANK(Table37[[#This Row],[PRPOPOSAL/BEDS]])</f>
        <v>0</v>
      </c>
      <c r="AH68" s="71" t="b">
        <f>ISBLANK(Table37[[#This Row],[OU]])</f>
        <v>0</v>
      </c>
      <c r="AI68" s="71" t="b">
        <f>ISBLANK(Table37[[#This Row],[SPECIFIC COMMODITY]])</f>
        <v>0</v>
      </c>
      <c r="AJ68" s="71" t="b">
        <f>ISBLANK(Table37[[#This Row],[COMMODITY PREXC SUB-PROGRAM]])</f>
        <v>0</v>
      </c>
      <c r="AK68" s="71" t="b">
        <f>ISBLANK(Table37[[#This Row],[ACTIVITY]])</f>
        <v>0</v>
      </c>
      <c r="AL68" s="71" t="b">
        <f>ISBLANK(Table37[[#This Row],[TAG-GAD]])</f>
        <v>0</v>
      </c>
      <c r="AM68" s="71" t="b">
        <f>ISBLANK(Table37[[#This Row],[MONTH]])</f>
        <v>0</v>
      </c>
      <c r="AN68" s="71" t="b">
        <f>ISBLANK(Table37[[#This Row],[MOOE (Php ''000)]])</f>
        <v>1</v>
      </c>
      <c r="AO68" s="71" t="b">
        <f>ISBLANK(Table37[[#This Row],[CO (Php ''000)]])</f>
        <v>0</v>
      </c>
    </row>
    <row r="69" spans="1:41">
      <c r="A69" s="51" t="str">
        <f>VLOOKUP(Table37[[#This Row],[OU]],OU!$A$15:$B$34,2,FALSE)</f>
        <v>RFOs</v>
      </c>
      <c r="B69" s="47" t="s">
        <v>297</v>
      </c>
      <c r="C69" s="47" t="s">
        <v>574</v>
      </c>
      <c r="D69" s="47" t="s">
        <v>578</v>
      </c>
      <c r="E69" s="51" t="str">
        <f>VLOOKUP(Table37[[#This Row],[SPECIFIC COMMODITY]],TAGS!$W$48:$X$53,2,FALSE)</f>
        <v>Corn</v>
      </c>
      <c r="F69" s="51" t="str">
        <f>VLOOKUP(Table37[[#This Row],[PREXC SUB-PROGRAM]],Table5[],2,FALSE)</f>
        <v>AGRICULTURAL  MACHINERY, EQUIPMENT, FACILITIES AND INFRASTRUCTURE PROGRAM</v>
      </c>
      <c r="G69" s="51" t="str">
        <f>VLOOKUP(Table37[[#This Row],[COMMODITY PREXC SUB-PROGRAM]],TAGS!$U$54:$V$76,2,FALSE)</f>
        <v>AMEFSS</v>
      </c>
      <c r="H69" s="47" t="s">
        <v>594</v>
      </c>
      <c r="I69" s="51" t="str">
        <f>VLOOKUP(Table37[[#This Row],[PI LEVEL 3]],'PI LEVEL'!A:C,3,FALSE)</f>
        <v>Production machinery and equipment distributed</v>
      </c>
      <c r="J69" s="51" t="str">
        <f>VLOOKUP(Table37[[#This Row],[PI LEVEL 3]],Table53729[[Performance Indicator Level 3]:[Performance Indicator Level 1]],2,FALSE)</f>
        <v>Seeding machinery and equipment distributed</v>
      </c>
      <c r="K69" s="51" t="str">
        <f>VLOOKUP(Table37[[#This Row],[ACTIVITY]],TAGS!B:P,2,FALSE)</f>
        <v>Seeder distributed</v>
      </c>
      <c r="L69" s="47" t="s">
        <v>173</v>
      </c>
      <c r="M69" s="51" t="str">
        <f>VLOOKUP(Table37[[#This Row],[ACTIVITY]],TAGS!$B:$P,4,FALSE)</f>
        <v>Production related machinery &amp; equipment</v>
      </c>
      <c r="N69" s="51" t="str">
        <f>VLOOKUP(Table37[[#This Row],[ACTIVITY]],TAGS!$B:$P,5,FALSE)</f>
        <v>Production-related</v>
      </c>
      <c r="O69" s="51" t="str">
        <f>VLOOKUP(Table37[[#This Row],[ACTIVITY]],TAGS!$B:$P,6,FALSE)</f>
        <v>Corn Seeder</v>
      </c>
      <c r="P69" s="51" t="str">
        <f>VLOOKUP(Table37[[#This Row],[ACTIVITY]],TAGS!$B:$P,7,FALSE)</f>
        <v>NO</v>
      </c>
      <c r="Q69" s="51" t="str">
        <f>VLOOKUP(Table37[[#This Row],[ACTIVITY]],TAGS!$B:$P,8,FALSE)</f>
        <v>PAP</v>
      </c>
      <c r="R69" s="51" t="str">
        <f>VLOOKUP(Table37[[#This Row],[ACTIVITY]],TAGS!$B:$P,10,FALSE)</f>
        <v>PIP</v>
      </c>
      <c r="S69" s="51" t="str">
        <f>VLOOKUP(Table37[[#This Row],[ACTIVITY]],TAGS!$B:$P,11,FALSE)</f>
        <v>PICS</v>
      </c>
      <c r="T69" s="51" t="str">
        <f>VLOOKUP(Table37[[#This Row],[ACTIVITY]],TAGS!$B:$P,12,FALSE)</f>
        <v>Modernization</v>
      </c>
      <c r="U69" s="51" t="str">
        <f>VLOOKUP(Table37[[#This Row],[ACTIVITY]],TAGS!$B:$P,13,FALSE)</f>
        <v>8. Farm Mechanization and Farm Investments</v>
      </c>
      <c r="V69" s="51" t="str">
        <f>VLOOKUP(Table37[[#This Row],[ACTIVITY]],TAGS!$B:$P,14,FALSE)</f>
        <v>MECHANIZE AND MODERNIZE AGRI-FISHERY PRODUCTION SYSTEMS</v>
      </c>
      <c r="W69" s="51" t="str">
        <f>VLOOKUP(Table37[[#This Row],[ACTIVITY]],TAGS!$B:$P,15,FALSE)</f>
        <v>Production-related</v>
      </c>
      <c r="X69" s="51" t="str">
        <f>VLOOKUP(Table37[[#This Row],[PI LEVEL 3]],'PI LEVEL'!$A:$G,7,FALSE)</f>
        <v>DA-Level Output</v>
      </c>
      <c r="Y69" s="47" t="s">
        <v>577</v>
      </c>
      <c r="Z69" s="47" t="s">
        <v>329</v>
      </c>
      <c r="AA69" s="51" t="str">
        <f>VLOOKUP(Table37[[#This Row],[MONTH]],TAGS!$W$67:$Y$81,2,FALSE)</f>
        <v>1ST QTR</v>
      </c>
      <c r="AB69" s="51" t="str">
        <f>VLOOKUP(Table37[[#This Row],[MONTH]],TAGS!$W$67:$Y$81,3,FALSE)</f>
        <v>1ST SEMESTER</v>
      </c>
      <c r="AC69" s="51">
        <f>VLOOKUP(Table37[[#This Row],[MONTH]],TAGS!$W$67:$Z$81,4,FALSE)</f>
        <v>2025</v>
      </c>
      <c r="AD69" s="47"/>
      <c r="AE69" s="47">
        <v>2400</v>
      </c>
      <c r="AF69" s="51">
        <f>SUM(Table37[[#This Row],[MOOE (Php ''000)]:[CO (Php ''000)]])</f>
        <v>2400</v>
      </c>
      <c r="AG69" s="71" t="b">
        <f>ISBLANK(Table37[[#This Row],[PRPOPOSAL/BEDS]])</f>
        <v>0</v>
      </c>
      <c r="AH69" s="71" t="b">
        <f>ISBLANK(Table37[[#This Row],[OU]])</f>
        <v>0</v>
      </c>
      <c r="AI69" s="71" t="b">
        <f>ISBLANK(Table37[[#This Row],[SPECIFIC COMMODITY]])</f>
        <v>0</v>
      </c>
      <c r="AJ69" s="71" t="b">
        <f>ISBLANK(Table37[[#This Row],[COMMODITY PREXC SUB-PROGRAM]])</f>
        <v>0</v>
      </c>
      <c r="AK69" s="71" t="b">
        <f>ISBLANK(Table37[[#This Row],[ACTIVITY]])</f>
        <v>0</v>
      </c>
      <c r="AL69" s="71" t="b">
        <f>ISBLANK(Table37[[#This Row],[TAG-GAD]])</f>
        <v>0</v>
      </c>
      <c r="AM69" s="71" t="b">
        <f>ISBLANK(Table37[[#This Row],[MONTH]])</f>
        <v>0</v>
      </c>
      <c r="AN69" s="71" t="b">
        <f>ISBLANK(Table37[[#This Row],[MOOE (Php ''000)]])</f>
        <v>1</v>
      </c>
      <c r="AO69" s="71" t="b">
        <f>ISBLANK(Table37[[#This Row],[CO (Php ''000)]])</f>
        <v>0</v>
      </c>
    </row>
    <row r="70" spans="1:41">
      <c r="A70" s="51" t="str">
        <f>VLOOKUP(Table37[[#This Row],[OU]],OU!$A$15:$B$34,2,FALSE)</f>
        <v>RFOs</v>
      </c>
      <c r="B70" s="47" t="s">
        <v>297</v>
      </c>
      <c r="C70" s="47" t="s">
        <v>574</v>
      </c>
      <c r="D70" s="47" t="s">
        <v>578</v>
      </c>
      <c r="E70" s="51" t="str">
        <f>VLOOKUP(Table37[[#This Row],[SPECIFIC COMMODITY]],TAGS!$W$48:$X$53,2,FALSE)</f>
        <v>Corn</v>
      </c>
      <c r="F70" s="51" t="str">
        <f>VLOOKUP(Table37[[#This Row],[PREXC SUB-PROGRAM]],Table5[],2,FALSE)</f>
        <v>AGRICULTURAL  MACHINERY, EQUIPMENT, FACILITIES AND INFRASTRUCTURE PROGRAM</v>
      </c>
      <c r="G70" s="51" t="str">
        <f>VLOOKUP(Table37[[#This Row],[COMMODITY PREXC SUB-PROGRAM]],TAGS!$U$54:$V$76,2,FALSE)</f>
        <v>AMEFSS</v>
      </c>
      <c r="H70" s="47" t="s">
        <v>594</v>
      </c>
      <c r="I70" s="51" t="str">
        <f>VLOOKUP(Table37[[#This Row],[PI LEVEL 3]],'PI LEVEL'!A:C,3,FALSE)</f>
        <v>Production machinery and equipment distributed</v>
      </c>
      <c r="J70" s="51" t="str">
        <f>VLOOKUP(Table37[[#This Row],[PI LEVEL 3]],Table53729[[Performance Indicator Level 3]:[Performance Indicator Level 1]],2,FALSE)</f>
        <v>Seeding machinery and equipment distributed</v>
      </c>
      <c r="K70" s="51" t="str">
        <f>VLOOKUP(Table37[[#This Row],[ACTIVITY]],TAGS!B:P,2,FALSE)</f>
        <v>Seeder distributed</v>
      </c>
      <c r="L70" s="47" t="s">
        <v>175</v>
      </c>
      <c r="M70" s="51" t="str">
        <f>VLOOKUP(Table37[[#This Row],[ACTIVITY]],TAGS!$B:$P,4,FALSE)</f>
        <v>Production related machinery &amp; equipment</v>
      </c>
      <c r="N70" s="51" t="str">
        <f>VLOOKUP(Table37[[#This Row],[ACTIVITY]],TAGS!$B:$P,5,FALSE)</f>
        <v>Production-related</v>
      </c>
      <c r="O70" s="51" t="str">
        <f>VLOOKUP(Table37[[#This Row],[ACTIVITY]],TAGS!$B:$P,6,FALSE)</f>
        <v>Corn Seeder</v>
      </c>
      <c r="P70" s="51" t="str">
        <f>VLOOKUP(Table37[[#This Row],[ACTIVITY]],TAGS!$B:$P,7,FALSE)</f>
        <v>NO</v>
      </c>
      <c r="Q70" s="51" t="str">
        <f>VLOOKUP(Table37[[#This Row],[ACTIVITY]],TAGS!$B:$P,8,FALSE)</f>
        <v>PAP</v>
      </c>
      <c r="R70" s="51" t="str">
        <f>VLOOKUP(Table37[[#This Row],[ACTIVITY]],TAGS!$B:$P,10,FALSE)</f>
        <v>PIP</v>
      </c>
      <c r="S70" s="51" t="str">
        <f>VLOOKUP(Table37[[#This Row],[ACTIVITY]],TAGS!$B:$P,11,FALSE)</f>
        <v>PICS</v>
      </c>
      <c r="T70" s="51" t="str">
        <f>VLOOKUP(Table37[[#This Row],[ACTIVITY]],TAGS!$B:$P,12,FALSE)</f>
        <v>Modernization</v>
      </c>
      <c r="U70" s="51" t="str">
        <f>VLOOKUP(Table37[[#This Row],[ACTIVITY]],TAGS!$B:$P,13,FALSE)</f>
        <v>8. Farm Mechanization and Farm Investments</v>
      </c>
      <c r="V70" s="51" t="str">
        <f>VLOOKUP(Table37[[#This Row],[ACTIVITY]],TAGS!$B:$P,14,FALSE)</f>
        <v>MECHANIZE AND MODERNIZE AGRI-FISHERY PRODUCTION SYSTEMS</v>
      </c>
      <c r="W70" s="51" t="str">
        <f>VLOOKUP(Table37[[#This Row],[ACTIVITY]],TAGS!$B:$P,15,FALSE)</f>
        <v>Production-related</v>
      </c>
      <c r="X70" s="51" t="str">
        <f>VLOOKUP(Table37[[#This Row],[PI LEVEL 3]],'PI LEVEL'!$A:$G,7,FALSE)</f>
        <v>DA-Level Output</v>
      </c>
      <c r="Y70" s="47" t="s">
        <v>577</v>
      </c>
      <c r="Z70" s="47" t="s">
        <v>329</v>
      </c>
      <c r="AA70" s="51" t="str">
        <f>VLOOKUP(Table37[[#This Row],[MONTH]],TAGS!$W$67:$Y$81,2,FALSE)</f>
        <v>1ST QTR</v>
      </c>
      <c r="AB70" s="51" t="str">
        <f>VLOOKUP(Table37[[#This Row],[MONTH]],TAGS!$W$67:$Y$81,3,FALSE)</f>
        <v>1ST SEMESTER</v>
      </c>
      <c r="AC70" s="51">
        <f>VLOOKUP(Table37[[#This Row],[MONTH]],TAGS!$W$67:$Z$81,4,FALSE)</f>
        <v>2025</v>
      </c>
      <c r="AD70" s="47"/>
      <c r="AE70" s="47">
        <v>2000</v>
      </c>
      <c r="AF70" s="51">
        <f>SUM(Table37[[#This Row],[MOOE (Php ''000)]:[CO (Php ''000)]])</f>
        <v>2000</v>
      </c>
      <c r="AG70" s="71" t="b">
        <f>ISBLANK(Table37[[#This Row],[PRPOPOSAL/BEDS]])</f>
        <v>0</v>
      </c>
      <c r="AH70" s="71" t="b">
        <f>ISBLANK(Table37[[#This Row],[OU]])</f>
        <v>0</v>
      </c>
      <c r="AI70" s="71" t="b">
        <f>ISBLANK(Table37[[#This Row],[SPECIFIC COMMODITY]])</f>
        <v>0</v>
      </c>
      <c r="AJ70" s="71" t="b">
        <f>ISBLANK(Table37[[#This Row],[COMMODITY PREXC SUB-PROGRAM]])</f>
        <v>0</v>
      </c>
      <c r="AK70" s="71" t="b">
        <f>ISBLANK(Table37[[#This Row],[ACTIVITY]])</f>
        <v>0</v>
      </c>
      <c r="AL70" s="71" t="b">
        <f>ISBLANK(Table37[[#This Row],[TAG-GAD]])</f>
        <v>0</v>
      </c>
      <c r="AM70" s="71" t="b">
        <f>ISBLANK(Table37[[#This Row],[MONTH]])</f>
        <v>0</v>
      </c>
      <c r="AN70" s="71" t="b">
        <f>ISBLANK(Table37[[#This Row],[MOOE (Php ''000)]])</f>
        <v>1</v>
      </c>
      <c r="AO70" s="71" t="b">
        <f>ISBLANK(Table37[[#This Row],[CO (Php ''000)]])</f>
        <v>0</v>
      </c>
    </row>
    <row r="71" spans="1:41">
      <c r="A71" s="51" t="str">
        <f>VLOOKUP(Table37[[#This Row],[OU]],OU!$A$15:$B$34,2,FALSE)</f>
        <v>RFOs</v>
      </c>
      <c r="B71" s="47" t="s">
        <v>297</v>
      </c>
      <c r="C71" s="47" t="s">
        <v>574</v>
      </c>
      <c r="D71" s="47" t="s">
        <v>578</v>
      </c>
      <c r="E71" s="51" t="str">
        <f>VLOOKUP(Table37[[#This Row],[SPECIFIC COMMODITY]],TAGS!$W$48:$X$53,2,FALSE)</f>
        <v>Corn</v>
      </c>
      <c r="F71" s="51" t="str">
        <f>VLOOKUP(Table37[[#This Row],[PREXC SUB-PROGRAM]],Table5[],2,FALSE)</f>
        <v>AGRICULTURAL  MACHINERY, EQUIPMENT, FACILITIES AND INFRASTRUCTURE PROGRAM</v>
      </c>
      <c r="G71" s="51" t="str">
        <f>VLOOKUP(Table37[[#This Row],[COMMODITY PREXC SUB-PROGRAM]],TAGS!$U$54:$V$76,2,FALSE)</f>
        <v>AMEFSS</v>
      </c>
      <c r="H71" s="47" t="s">
        <v>594</v>
      </c>
      <c r="I71" s="51" t="str">
        <f>VLOOKUP(Table37[[#This Row],[PI LEVEL 3]],'PI LEVEL'!A:C,3,FALSE)</f>
        <v>Production machinery and equipment distributed</v>
      </c>
      <c r="J71" s="51" t="str">
        <f>VLOOKUP(Table37[[#This Row],[PI LEVEL 3]],Table53729[[Performance Indicator Level 3]:[Performance Indicator Level 1]],2,FALSE)</f>
        <v>Seeding machinery and equipment distributed</v>
      </c>
      <c r="K71" s="51" t="str">
        <f>VLOOKUP(Table37[[#This Row],[ACTIVITY]],TAGS!B:P,2,FALSE)</f>
        <v>Seeder distributed</v>
      </c>
      <c r="L71" s="47" t="s">
        <v>179</v>
      </c>
      <c r="M71" s="51" t="str">
        <f>VLOOKUP(Table37[[#This Row],[ACTIVITY]],TAGS!$B:$P,4,FALSE)</f>
        <v>Production related machinery &amp; equipment</v>
      </c>
      <c r="N71" s="51" t="str">
        <f>VLOOKUP(Table37[[#This Row],[ACTIVITY]],TAGS!$B:$P,5,FALSE)</f>
        <v>Production-related</v>
      </c>
      <c r="O71" s="51" t="str">
        <f>VLOOKUP(Table37[[#This Row],[ACTIVITY]],TAGS!$B:$P,6,FALSE)</f>
        <v>Corn Seeder</v>
      </c>
      <c r="P71" s="51" t="str">
        <f>VLOOKUP(Table37[[#This Row],[ACTIVITY]],TAGS!$B:$P,7,FALSE)</f>
        <v>NO</v>
      </c>
      <c r="Q71" s="51" t="str">
        <f>VLOOKUP(Table37[[#This Row],[ACTIVITY]],TAGS!$B:$P,8,FALSE)</f>
        <v>PAP</v>
      </c>
      <c r="R71" s="51" t="str">
        <f>VLOOKUP(Table37[[#This Row],[ACTIVITY]],TAGS!$B:$P,10,FALSE)</f>
        <v>PIP</v>
      </c>
      <c r="S71" s="51" t="str">
        <f>VLOOKUP(Table37[[#This Row],[ACTIVITY]],TAGS!$B:$P,11,FALSE)</f>
        <v>PICS</v>
      </c>
      <c r="T71" s="51" t="str">
        <f>VLOOKUP(Table37[[#This Row],[ACTIVITY]],TAGS!$B:$P,12,FALSE)</f>
        <v>Modernization</v>
      </c>
      <c r="U71" s="51" t="str">
        <f>VLOOKUP(Table37[[#This Row],[ACTIVITY]],TAGS!$B:$P,13,FALSE)</f>
        <v>8. Farm Mechanization and Farm Investments</v>
      </c>
      <c r="V71" s="51" t="str">
        <f>VLOOKUP(Table37[[#This Row],[ACTIVITY]],TAGS!$B:$P,14,FALSE)</f>
        <v>MECHANIZE AND MODERNIZE AGRI-FISHERY PRODUCTION SYSTEMS</v>
      </c>
      <c r="W71" s="51" t="str">
        <f>VLOOKUP(Table37[[#This Row],[ACTIVITY]],TAGS!$B:$P,15,FALSE)</f>
        <v>Production-related</v>
      </c>
      <c r="X71" s="51" t="str">
        <f>VLOOKUP(Table37[[#This Row],[PI LEVEL 3]],'PI LEVEL'!$A:$G,7,FALSE)</f>
        <v>DA-Level Output</v>
      </c>
      <c r="Y71" s="47" t="s">
        <v>577</v>
      </c>
      <c r="Z71" s="47" t="s">
        <v>329</v>
      </c>
      <c r="AA71" s="51" t="str">
        <f>VLOOKUP(Table37[[#This Row],[MONTH]],TAGS!$W$67:$Y$81,2,FALSE)</f>
        <v>1ST QTR</v>
      </c>
      <c r="AB71" s="51" t="str">
        <f>VLOOKUP(Table37[[#This Row],[MONTH]],TAGS!$W$67:$Y$81,3,FALSE)</f>
        <v>1ST SEMESTER</v>
      </c>
      <c r="AC71" s="51">
        <f>VLOOKUP(Table37[[#This Row],[MONTH]],TAGS!$W$67:$Z$81,4,FALSE)</f>
        <v>2025</v>
      </c>
      <c r="AD71" s="47"/>
      <c r="AE71" s="47">
        <v>1800</v>
      </c>
      <c r="AF71" s="51">
        <f>SUM(Table37[[#This Row],[MOOE (Php ''000)]:[CO (Php ''000)]])</f>
        <v>1800</v>
      </c>
      <c r="AG71" s="71" t="b">
        <f>ISBLANK(Table37[[#This Row],[PRPOPOSAL/BEDS]])</f>
        <v>0</v>
      </c>
      <c r="AH71" s="71" t="b">
        <f>ISBLANK(Table37[[#This Row],[OU]])</f>
        <v>0</v>
      </c>
      <c r="AI71" s="71" t="b">
        <f>ISBLANK(Table37[[#This Row],[SPECIFIC COMMODITY]])</f>
        <v>0</v>
      </c>
      <c r="AJ71" s="71" t="b">
        <f>ISBLANK(Table37[[#This Row],[COMMODITY PREXC SUB-PROGRAM]])</f>
        <v>0</v>
      </c>
      <c r="AK71" s="71" t="b">
        <f>ISBLANK(Table37[[#This Row],[ACTIVITY]])</f>
        <v>0</v>
      </c>
      <c r="AL71" s="71" t="b">
        <f>ISBLANK(Table37[[#This Row],[TAG-GAD]])</f>
        <v>0</v>
      </c>
      <c r="AM71" s="71" t="b">
        <f>ISBLANK(Table37[[#This Row],[MONTH]])</f>
        <v>0</v>
      </c>
      <c r="AN71" s="71" t="b">
        <f>ISBLANK(Table37[[#This Row],[MOOE (Php ''000)]])</f>
        <v>1</v>
      </c>
      <c r="AO71" s="71" t="b">
        <f>ISBLANK(Table37[[#This Row],[CO (Php ''000)]])</f>
        <v>0</v>
      </c>
    </row>
    <row r="72" spans="1:41">
      <c r="A72" s="51" t="str">
        <f>VLOOKUP(Table37[[#This Row],[OU]],OU!$A$15:$B$34,2,FALSE)</f>
        <v>RFOs</v>
      </c>
      <c r="B72" s="47" t="s">
        <v>297</v>
      </c>
      <c r="C72" s="47" t="s">
        <v>574</v>
      </c>
      <c r="D72" s="47" t="s">
        <v>578</v>
      </c>
      <c r="E72" s="51" t="str">
        <f>VLOOKUP(Table37[[#This Row],[SPECIFIC COMMODITY]],TAGS!$W$48:$X$53,2,FALSE)</f>
        <v>Corn</v>
      </c>
      <c r="F72" s="51" t="str">
        <f>VLOOKUP(Table37[[#This Row],[PREXC SUB-PROGRAM]],Table5[],2,FALSE)</f>
        <v>AGRICULTURAL  MACHINERY, EQUIPMENT, FACILITIES AND INFRASTRUCTURE PROGRAM</v>
      </c>
      <c r="G72" s="51" t="str">
        <f>VLOOKUP(Table37[[#This Row],[COMMODITY PREXC SUB-PROGRAM]],TAGS!$U$54:$V$76,2,FALSE)</f>
        <v>AMEFSS</v>
      </c>
      <c r="H72" s="47" t="s">
        <v>594</v>
      </c>
      <c r="I72" s="51" t="str">
        <f>VLOOKUP(Table37[[#This Row],[PI LEVEL 3]],'PI LEVEL'!A:C,3,FALSE)</f>
        <v>Production machinery and equipment distributed</v>
      </c>
      <c r="J72" s="51" t="str">
        <f>VLOOKUP(Table37[[#This Row],[PI LEVEL 3]],Table53729[[Performance Indicator Level 3]:[Performance Indicator Level 1]],2,FALSE)</f>
        <v>Seeding machinery and equipment distributed</v>
      </c>
      <c r="K72" s="51" t="str">
        <f>VLOOKUP(Table37[[#This Row],[ACTIVITY]],TAGS!B:P,2,FALSE)</f>
        <v>Seeder distributed</v>
      </c>
      <c r="L72" s="47" t="s">
        <v>177</v>
      </c>
      <c r="M72" s="51" t="str">
        <f>VLOOKUP(Table37[[#This Row],[ACTIVITY]],TAGS!$B:$P,4,FALSE)</f>
        <v>Production related machinery &amp; equipment</v>
      </c>
      <c r="N72" s="51" t="str">
        <f>VLOOKUP(Table37[[#This Row],[ACTIVITY]],TAGS!$B:$P,5,FALSE)</f>
        <v>Production-related</v>
      </c>
      <c r="O72" s="51" t="str">
        <f>VLOOKUP(Table37[[#This Row],[ACTIVITY]],TAGS!$B:$P,6,FALSE)</f>
        <v>Corn Seeder</v>
      </c>
      <c r="P72" s="51" t="str">
        <f>VLOOKUP(Table37[[#This Row],[ACTIVITY]],TAGS!$B:$P,7,FALSE)</f>
        <v>NO</v>
      </c>
      <c r="Q72" s="51" t="str">
        <f>VLOOKUP(Table37[[#This Row],[ACTIVITY]],TAGS!$B:$P,8,FALSE)</f>
        <v>PAP</v>
      </c>
      <c r="R72" s="51" t="str">
        <f>VLOOKUP(Table37[[#This Row],[ACTIVITY]],TAGS!$B:$P,10,FALSE)</f>
        <v>PIP</v>
      </c>
      <c r="S72" s="51" t="str">
        <f>VLOOKUP(Table37[[#This Row],[ACTIVITY]],TAGS!$B:$P,11,FALSE)</f>
        <v>PICS</v>
      </c>
      <c r="T72" s="51" t="str">
        <f>VLOOKUP(Table37[[#This Row],[ACTIVITY]],TAGS!$B:$P,12,FALSE)</f>
        <v>Modernization</v>
      </c>
      <c r="U72" s="51" t="str">
        <f>VLOOKUP(Table37[[#This Row],[ACTIVITY]],TAGS!$B:$P,13,FALSE)</f>
        <v>8. Farm Mechanization and Farm Investments</v>
      </c>
      <c r="V72" s="51" t="str">
        <f>VLOOKUP(Table37[[#This Row],[ACTIVITY]],TAGS!$B:$P,14,FALSE)</f>
        <v>MECHANIZE AND MODERNIZE AGRI-FISHERY PRODUCTION SYSTEMS</v>
      </c>
      <c r="W72" s="51" t="str">
        <f>VLOOKUP(Table37[[#This Row],[ACTIVITY]],TAGS!$B:$P,15,FALSE)</f>
        <v>Production-related</v>
      </c>
      <c r="X72" s="51" t="str">
        <f>VLOOKUP(Table37[[#This Row],[PI LEVEL 3]],'PI LEVEL'!$A:$G,7,FALSE)</f>
        <v>DA-Level Output</v>
      </c>
      <c r="Y72" s="47" t="s">
        <v>577</v>
      </c>
      <c r="Z72" s="47" t="s">
        <v>329</v>
      </c>
      <c r="AA72" s="51" t="str">
        <f>VLOOKUP(Table37[[#This Row],[MONTH]],TAGS!$W$67:$Y$81,2,FALSE)</f>
        <v>1ST QTR</v>
      </c>
      <c r="AB72" s="51" t="str">
        <f>VLOOKUP(Table37[[#This Row],[MONTH]],TAGS!$W$67:$Y$81,3,FALSE)</f>
        <v>1ST SEMESTER</v>
      </c>
      <c r="AC72" s="51">
        <f>VLOOKUP(Table37[[#This Row],[MONTH]],TAGS!$W$67:$Z$81,4,FALSE)</f>
        <v>2025</v>
      </c>
      <c r="AD72" s="47"/>
      <c r="AE72" s="47">
        <v>15000</v>
      </c>
      <c r="AF72" s="51">
        <f>SUM(Table37[[#This Row],[MOOE (Php ''000)]:[CO (Php ''000)]])</f>
        <v>15000</v>
      </c>
      <c r="AG72" s="71" t="b">
        <f>ISBLANK(Table37[[#This Row],[PRPOPOSAL/BEDS]])</f>
        <v>0</v>
      </c>
      <c r="AH72" s="71" t="b">
        <f>ISBLANK(Table37[[#This Row],[OU]])</f>
        <v>0</v>
      </c>
      <c r="AI72" s="71" t="b">
        <f>ISBLANK(Table37[[#This Row],[SPECIFIC COMMODITY]])</f>
        <v>0</v>
      </c>
      <c r="AJ72" s="71" t="b">
        <f>ISBLANK(Table37[[#This Row],[COMMODITY PREXC SUB-PROGRAM]])</f>
        <v>0</v>
      </c>
      <c r="AK72" s="71" t="b">
        <f>ISBLANK(Table37[[#This Row],[ACTIVITY]])</f>
        <v>0</v>
      </c>
      <c r="AL72" s="71" t="b">
        <f>ISBLANK(Table37[[#This Row],[TAG-GAD]])</f>
        <v>0</v>
      </c>
      <c r="AM72" s="71" t="b">
        <f>ISBLANK(Table37[[#This Row],[MONTH]])</f>
        <v>0</v>
      </c>
      <c r="AN72" s="71" t="b">
        <f>ISBLANK(Table37[[#This Row],[MOOE (Php ''000)]])</f>
        <v>1</v>
      </c>
      <c r="AO72" s="71" t="b">
        <f>ISBLANK(Table37[[#This Row],[CO (Php ''000)]])</f>
        <v>0</v>
      </c>
    </row>
    <row r="73" spans="1:41">
      <c r="A73" s="51" t="str">
        <f>VLOOKUP(Table37[[#This Row],[OU]],OU!$A$15:$B$34,2,FALSE)</f>
        <v>RFOs</v>
      </c>
      <c r="B73" s="47" t="s">
        <v>297</v>
      </c>
      <c r="C73" s="47" t="s">
        <v>574</v>
      </c>
      <c r="D73" s="47" t="s">
        <v>578</v>
      </c>
      <c r="E73" s="51" t="str">
        <f>VLOOKUP(Table37[[#This Row],[SPECIFIC COMMODITY]],TAGS!$W$48:$X$53,2,FALSE)</f>
        <v>Corn</v>
      </c>
      <c r="F73" s="51" t="str">
        <f>VLOOKUP(Table37[[#This Row],[PREXC SUB-PROGRAM]],Table5[],2,FALSE)</f>
        <v>AGRICULTURAL  MACHINERY, EQUIPMENT, FACILITIES AND INFRASTRUCTURE PROGRAM</v>
      </c>
      <c r="G73" s="51" t="str">
        <f>VLOOKUP(Table37[[#This Row],[COMMODITY PREXC SUB-PROGRAM]],TAGS!$U$54:$V$76,2,FALSE)</f>
        <v>AMEFSS</v>
      </c>
      <c r="H73" s="47" t="s">
        <v>594</v>
      </c>
      <c r="I73" s="51" t="str">
        <f>VLOOKUP(Table37[[#This Row],[PI LEVEL 3]],'PI LEVEL'!A:C,3,FALSE)</f>
        <v>Production machinery and equipment distributed</v>
      </c>
      <c r="J73" s="51" t="str">
        <f>VLOOKUP(Table37[[#This Row],[PI LEVEL 3]],Table53729[[Performance Indicator Level 3]:[Performance Indicator Level 1]],2,FALSE)</f>
        <v>Crop harvesting machinery and equipment distributed</v>
      </c>
      <c r="K73" s="51" t="str">
        <f>VLOOKUP(Table37[[#This Row],[ACTIVITY]],TAGS!B:P,2,FALSE)</f>
        <v>Combine Harvester distributed</v>
      </c>
      <c r="L73" s="47" t="s">
        <v>181</v>
      </c>
      <c r="M73" s="51" t="str">
        <f>VLOOKUP(Table37[[#This Row],[ACTIVITY]],TAGS!$B:$P,4,FALSE)</f>
        <v>Production related machinery &amp; equipment</v>
      </c>
      <c r="N73" s="51" t="str">
        <f>VLOOKUP(Table37[[#This Row],[ACTIVITY]],TAGS!$B:$P,5,FALSE)</f>
        <v>Production-related</v>
      </c>
      <c r="O73" s="51" t="str">
        <f>VLOOKUP(Table37[[#This Row],[ACTIVITY]],TAGS!$B:$P,6,FALSE)</f>
        <v>Combine Harvester</v>
      </c>
      <c r="P73" s="51" t="str">
        <f>VLOOKUP(Table37[[#This Row],[ACTIVITY]],TAGS!$B:$P,7,FALSE)</f>
        <v>NO</v>
      </c>
      <c r="Q73" s="51" t="str">
        <f>VLOOKUP(Table37[[#This Row],[ACTIVITY]],TAGS!$B:$P,8,FALSE)</f>
        <v>PAP</v>
      </c>
      <c r="R73" s="51" t="str">
        <f>VLOOKUP(Table37[[#This Row],[ACTIVITY]],TAGS!$B:$P,10,FALSE)</f>
        <v>PIP</v>
      </c>
      <c r="S73" s="51" t="str">
        <f>VLOOKUP(Table37[[#This Row],[ACTIVITY]],TAGS!$B:$P,11,FALSE)</f>
        <v>PICS</v>
      </c>
      <c r="T73" s="51" t="str">
        <f>VLOOKUP(Table37[[#This Row],[ACTIVITY]],TAGS!$B:$P,12,FALSE)</f>
        <v>Modernization</v>
      </c>
      <c r="U73" s="51" t="str">
        <f>VLOOKUP(Table37[[#This Row],[ACTIVITY]],TAGS!$B:$P,13,FALSE)</f>
        <v>8. Farm Mechanization and Farm Investments</v>
      </c>
      <c r="V73" s="51" t="str">
        <f>VLOOKUP(Table37[[#This Row],[ACTIVITY]],TAGS!$B:$P,14,FALSE)</f>
        <v>MECHANIZE AND MODERNIZE AGRI-FISHERY PRODUCTION SYSTEMS</v>
      </c>
      <c r="W73" s="51" t="str">
        <f>VLOOKUP(Table37[[#This Row],[ACTIVITY]],TAGS!$B:$P,15,FALSE)</f>
        <v>Production-related</v>
      </c>
      <c r="X73" s="51" t="str">
        <f>VLOOKUP(Table37[[#This Row],[PI LEVEL 3]],'PI LEVEL'!$A:$G,7,FALSE)</f>
        <v>DA-Level Output</v>
      </c>
      <c r="Y73" s="47" t="s">
        <v>577</v>
      </c>
      <c r="Z73" s="47" t="s">
        <v>332</v>
      </c>
      <c r="AA73" s="51" t="str">
        <f>VLOOKUP(Table37[[#This Row],[MONTH]],TAGS!$W$67:$Y$81,2,FALSE)</f>
        <v>2ND QTR</v>
      </c>
      <c r="AB73" s="51" t="str">
        <f>VLOOKUP(Table37[[#This Row],[MONTH]],TAGS!$W$67:$Y$81,3,FALSE)</f>
        <v>1ST SEMESTER</v>
      </c>
      <c r="AC73" s="51">
        <f>VLOOKUP(Table37[[#This Row],[MONTH]],TAGS!$W$67:$Z$81,4,FALSE)</f>
        <v>2025</v>
      </c>
      <c r="AD73" s="47"/>
      <c r="AE73" s="47">
        <v>21000</v>
      </c>
      <c r="AF73" s="51">
        <f>SUM(Table37[[#This Row],[MOOE (Php ''000)]:[CO (Php ''000)]])</f>
        <v>21000</v>
      </c>
      <c r="AG73" s="71" t="b">
        <f>ISBLANK(Table37[[#This Row],[PRPOPOSAL/BEDS]])</f>
        <v>0</v>
      </c>
      <c r="AH73" s="71" t="b">
        <f>ISBLANK(Table37[[#This Row],[OU]])</f>
        <v>0</v>
      </c>
      <c r="AI73" s="71" t="b">
        <f>ISBLANK(Table37[[#This Row],[SPECIFIC COMMODITY]])</f>
        <v>0</v>
      </c>
      <c r="AJ73" s="71" t="b">
        <f>ISBLANK(Table37[[#This Row],[COMMODITY PREXC SUB-PROGRAM]])</f>
        <v>0</v>
      </c>
      <c r="AK73" s="71" t="b">
        <f>ISBLANK(Table37[[#This Row],[ACTIVITY]])</f>
        <v>0</v>
      </c>
      <c r="AL73" s="71" t="b">
        <f>ISBLANK(Table37[[#This Row],[TAG-GAD]])</f>
        <v>0</v>
      </c>
      <c r="AM73" s="71" t="b">
        <f>ISBLANK(Table37[[#This Row],[MONTH]])</f>
        <v>0</v>
      </c>
      <c r="AN73" s="71" t="b">
        <f>ISBLANK(Table37[[#This Row],[MOOE (Php ''000)]])</f>
        <v>1</v>
      </c>
      <c r="AO73" s="71" t="b">
        <f>ISBLANK(Table37[[#This Row],[CO (Php ''000)]])</f>
        <v>0</v>
      </c>
    </row>
    <row r="74" spans="1:41">
      <c r="A74" s="51" t="str">
        <f>VLOOKUP(Table37[[#This Row],[OU]],OU!$A$15:$B$34,2,FALSE)</f>
        <v>RFOs</v>
      </c>
      <c r="B74" s="47" t="s">
        <v>297</v>
      </c>
      <c r="C74" s="47" t="s">
        <v>574</v>
      </c>
      <c r="D74" s="47" t="s">
        <v>578</v>
      </c>
      <c r="E74" s="51" t="str">
        <f>VLOOKUP(Table37[[#This Row],[SPECIFIC COMMODITY]],TAGS!$W$48:$X$53,2,FALSE)</f>
        <v>Corn</v>
      </c>
      <c r="F74" s="51" t="str">
        <f>VLOOKUP(Table37[[#This Row],[PREXC SUB-PROGRAM]],Table5[],2,FALSE)</f>
        <v>AGRICULTURAL  MACHINERY, EQUIPMENT, FACILITIES AND INFRASTRUCTURE PROGRAM</v>
      </c>
      <c r="G74" s="51" t="str">
        <f>VLOOKUP(Table37[[#This Row],[COMMODITY PREXC SUB-PROGRAM]],TAGS!$U$54:$V$76,2,FALSE)</f>
        <v>AMEFSS</v>
      </c>
      <c r="H74" s="47" t="s">
        <v>594</v>
      </c>
      <c r="I74" s="51" t="str">
        <f>VLOOKUP(Table37[[#This Row],[PI LEVEL 3]],'PI LEVEL'!A:C,3,FALSE)</f>
        <v>Commodity transport and logistics machinery and equipment distributed</v>
      </c>
      <c r="J74" s="51" t="str">
        <f>VLOOKUP(Table37[[#This Row],[PI LEVEL 3]],Table53729[[Performance Indicator Level 3]:[Performance Indicator Level 1]],2,FALSE)</f>
        <v>Hauling machinery and equipment distributed</v>
      </c>
      <c r="K74" s="51" t="str">
        <f>VLOOKUP(Table37[[#This Row],[ACTIVITY]],TAGS!B:P,2,FALSE)</f>
        <v>Hauling vehicle distributed</v>
      </c>
      <c r="L74" s="47" t="s">
        <v>183</v>
      </c>
      <c r="M74" s="51" t="str">
        <f>VLOOKUP(Table37[[#This Row],[ACTIVITY]],TAGS!$B:$P,4,FALSE)</f>
        <v>Postharvest related machinery &amp; equipment</v>
      </c>
      <c r="N74" s="51" t="str">
        <f>VLOOKUP(Table37[[#This Row],[ACTIVITY]],TAGS!$B:$P,5,FALSE)</f>
        <v>Postharvest-related</v>
      </c>
      <c r="O74" s="51" t="str">
        <f>VLOOKUP(Table37[[#This Row],[ACTIVITY]],TAGS!$B:$P,6,FALSE)</f>
        <v>Hauling truck</v>
      </c>
      <c r="P74" s="51" t="str">
        <f>VLOOKUP(Table37[[#This Row],[ACTIVITY]],TAGS!$B:$P,7,FALSE)</f>
        <v>NO</v>
      </c>
      <c r="Q74" s="51" t="str">
        <f>VLOOKUP(Table37[[#This Row],[ACTIVITY]],TAGS!$B:$P,8,FALSE)</f>
        <v>PAP</v>
      </c>
      <c r="R74" s="51" t="str">
        <f>VLOOKUP(Table37[[#This Row],[ACTIVITY]],TAGS!$B:$P,10,FALSE)</f>
        <v>PIP</v>
      </c>
      <c r="S74" s="51" t="str">
        <f>VLOOKUP(Table37[[#This Row],[ACTIVITY]],TAGS!$B:$P,11,FALSE)</f>
        <v>PICS</v>
      </c>
      <c r="T74" s="51" t="str">
        <f>VLOOKUP(Table37[[#This Row],[ACTIVITY]],TAGS!$B:$P,12,FALSE)</f>
        <v>Modernization</v>
      </c>
      <c r="U74" s="51" t="str">
        <f>VLOOKUP(Table37[[#This Row],[ACTIVITY]],TAGS!$B:$P,13,FALSE)</f>
        <v>8. Farm Mechanization and Farm Investments</v>
      </c>
      <c r="V74" s="51" t="str">
        <f>VLOOKUP(Table37[[#This Row],[ACTIVITY]],TAGS!$B:$P,14,FALSE)</f>
        <v>DEVELOP EFFICIENT LOGISTICS SYSTEMS FOR BOTH INPUT AND PRODUCTION OUTPUT</v>
      </c>
      <c r="W74" s="51" t="str">
        <f>VLOOKUP(Table37[[#This Row],[ACTIVITY]],TAGS!$B:$P,15,FALSE)</f>
        <v>Postharvest-related</v>
      </c>
      <c r="X74" s="51" t="str">
        <f>VLOOKUP(Table37[[#This Row],[PI LEVEL 3]],'PI LEVEL'!$A:$G,7,FALSE)</f>
        <v>DA-Level Output</v>
      </c>
      <c r="Y74" s="47" t="s">
        <v>577</v>
      </c>
      <c r="Z74" s="47" t="s">
        <v>332</v>
      </c>
      <c r="AA74" s="51" t="str">
        <f>VLOOKUP(Table37[[#This Row],[MONTH]],TAGS!$W$67:$Y$81,2,FALSE)</f>
        <v>2ND QTR</v>
      </c>
      <c r="AB74" s="51" t="str">
        <f>VLOOKUP(Table37[[#This Row],[MONTH]],TAGS!$W$67:$Y$81,3,FALSE)</f>
        <v>1ST SEMESTER</v>
      </c>
      <c r="AC74" s="51">
        <f>VLOOKUP(Table37[[#This Row],[MONTH]],TAGS!$W$67:$Z$81,4,FALSE)</f>
        <v>2025</v>
      </c>
      <c r="AD74" s="47"/>
      <c r="AE74" s="47">
        <v>11000</v>
      </c>
      <c r="AF74" s="51">
        <f>SUM(Table37[[#This Row],[MOOE (Php ''000)]:[CO (Php ''000)]])</f>
        <v>11000</v>
      </c>
      <c r="AG74" s="71" t="b">
        <f>ISBLANK(Table37[[#This Row],[PRPOPOSAL/BEDS]])</f>
        <v>0</v>
      </c>
      <c r="AH74" s="71" t="b">
        <f>ISBLANK(Table37[[#This Row],[OU]])</f>
        <v>0</v>
      </c>
      <c r="AI74" s="71" t="b">
        <f>ISBLANK(Table37[[#This Row],[SPECIFIC COMMODITY]])</f>
        <v>0</v>
      </c>
      <c r="AJ74" s="71" t="b">
        <f>ISBLANK(Table37[[#This Row],[COMMODITY PREXC SUB-PROGRAM]])</f>
        <v>0</v>
      </c>
      <c r="AK74" s="71" t="b">
        <f>ISBLANK(Table37[[#This Row],[ACTIVITY]])</f>
        <v>0</v>
      </c>
      <c r="AL74" s="71" t="b">
        <f>ISBLANK(Table37[[#This Row],[TAG-GAD]])</f>
        <v>0</v>
      </c>
      <c r="AM74" s="71" t="b">
        <f>ISBLANK(Table37[[#This Row],[MONTH]])</f>
        <v>0</v>
      </c>
      <c r="AN74" s="71" t="b">
        <f>ISBLANK(Table37[[#This Row],[MOOE (Php ''000)]])</f>
        <v>1</v>
      </c>
      <c r="AO74" s="71" t="b">
        <f>ISBLANK(Table37[[#This Row],[CO (Php ''000)]])</f>
        <v>0</v>
      </c>
    </row>
    <row r="75" spans="1:41">
      <c r="A75" s="51" t="str">
        <f>VLOOKUP(Table37[[#This Row],[OU]],OU!$A$15:$B$34,2,FALSE)</f>
        <v>RFOs</v>
      </c>
      <c r="B75" s="47" t="s">
        <v>297</v>
      </c>
      <c r="C75" s="47" t="s">
        <v>574</v>
      </c>
      <c r="D75" s="47" t="s">
        <v>578</v>
      </c>
      <c r="E75" s="51" t="str">
        <f>VLOOKUP(Table37[[#This Row],[SPECIFIC COMMODITY]],TAGS!$W$48:$X$53,2,FALSE)</f>
        <v>Corn</v>
      </c>
      <c r="F75" s="51" t="str">
        <f>VLOOKUP(Table37[[#This Row],[PREXC SUB-PROGRAM]],Table5[],2,FALSE)</f>
        <v>AGRICULTURAL  MACHINERY, EQUIPMENT, FACILITIES AND INFRASTRUCTURE PROGRAM</v>
      </c>
      <c r="G75" s="51" t="str">
        <f>VLOOKUP(Table37[[#This Row],[COMMODITY PREXC SUB-PROGRAM]],TAGS!$U$54:$V$76,2,FALSE)</f>
        <v>AMEFSS</v>
      </c>
      <c r="H75" s="47" t="s">
        <v>594</v>
      </c>
      <c r="I75" s="51" t="str">
        <f>VLOOKUP(Table37[[#This Row],[PI LEVEL 3]],'PI LEVEL'!A:C,3,FALSE)</f>
        <v>Postharvest machinery and equipment distributed</v>
      </c>
      <c r="J75" s="51" t="str">
        <f>VLOOKUP(Table37[[#This Row],[PI LEVEL 3]],Table53729[[Performance Indicator Level 3]:[Performance Indicator Level 1]],2,FALSE)</f>
        <v>Crop processing machinery and equipment distributed</v>
      </c>
      <c r="K75" s="51" t="str">
        <f>VLOOKUP(Table37[[#This Row],[ACTIVITY]],TAGS!B:P,2,FALSE)</f>
        <v>Milling equipment distributed</v>
      </c>
      <c r="L75" s="47" t="s">
        <v>185</v>
      </c>
      <c r="M75" s="51" t="str">
        <f>VLOOKUP(Table37[[#This Row],[ACTIVITY]],TAGS!$B:$P,4,FALSE)</f>
        <v>Processing related machinery &amp; equipment</v>
      </c>
      <c r="N75" s="51" t="str">
        <f>VLOOKUP(Table37[[#This Row],[ACTIVITY]],TAGS!$B:$P,5,FALSE)</f>
        <v>Processing-related</v>
      </c>
      <c r="O75" s="51" t="str">
        <f>VLOOKUP(Table37[[#This Row],[ACTIVITY]],TAGS!$B:$P,6,FALSE)</f>
        <v>Corn mill</v>
      </c>
      <c r="P75" s="51" t="str">
        <f>VLOOKUP(Table37[[#This Row],[ACTIVITY]],TAGS!$B:$P,7,FALSE)</f>
        <v>NO</v>
      </c>
      <c r="Q75" s="51" t="str">
        <f>VLOOKUP(Table37[[#This Row],[ACTIVITY]],TAGS!$B:$P,8,FALSE)</f>
        <v>PAP</v>
      </c>
      <c r="R75" s="51" t="str">
        <f>VLOOKUP(Table37[[#This Row],[ACTIVITY]],TAGS!$B:$P,10,FALSE)</f>
        <v>PIP</v>
      </c>
      <c r="S75" s="51" t="str">
        <f>VLOOKUP(Table37[[#This Row],[ACTIVITY]],TAGS!$B:$P,11,FALSE)</f>
        <v>PICS</v>
      </c>
      <c r="T75" s="51" t="str">
        <f>VLOOKUP(Table37[[#This Row],[ACTIVITY]],TAGS!$B:$P,12,FALSE)</f>
        <v>Modernization</v>
      </c>
      <c r="U75" s="51" t="str">
        <f>VLOOKUP(Table37[[#This Row],[ACTIVITY]],TAGS!$B:$P,13,FALSE)</f>
        <v>8. Farm Mechanization and Farm Investments</v>
      </c>
      <c r="V75" s="51" t="str">
        <f>VLOOKUP(Table37[[#This Row],[ACTIVITY]],TAGS!$B:$P,14,FALSE)</f>
        <v>DEVELOP AND IMPROVE POST-HARVEST SYSTEMS AND INFRASTRUCTURE</v>
      </c>
      <c r="W75" s="51" t="str">
        <f>VLOOKUP(Table37[[#This Row],[ACTIVITY]],TAGS!$B:$P,15,FALSE)</f>
        <v>Processing-related</v>
      </c>
      <c r="X75" s="51" t="str">
        <f>VLOOKUP(Table37[[#This Row],[PI LEVEL 3]],'PI LEVEL'!$A:$G,7,FALSE)</f>
        <v>DA-Level Output</v>
      </c>
      <c r="Y75" s="47" t="s">
        <v>577</v>
      </c>
      <c r="Z75" s="47" t="s">
        <v>330</v>
      </c>
      <c r="AA75" s="51" t="str">
        <f>VLOOKUP(Table37[[#This Row],[MONTH]],TAGS!$W$67:$Y$81,2,FALSE)</f>
        <v>2ND QTR</v>
      </c>
      <c r="AB75" s="51" t="str">
        <f>VLOOKUP(Table37[[#This Row],[MONTH]],TAGS!$W$67:$Y$81,3,FALSE)</f>
        <v>1ST SEMESTER</v>
      </c>
      <c r="AC75" s="51">
        <f>VLOOKUP(Table37[[#This Row],[MONTH]],TAGS!$W$67:$Z$81,4,FALSE)</f>
        <v>2025</v>
      </c>
      <c r="AD75" s="47"/>
      <c r="AE75" s="47">
        <v>4400</v>
      </c>
      <c r="AF75" s="51">
        <f>SUM(Table37[[#This Row],[MOOE (Php ''000)]:[CO (Php ''000)]])</f>
        <v>4400</v>
      </c>
      <c r="AG75" s="71" t="b">
        <f>ISBLANK(Table37[[#This Row],[PRPOPOSAL/BEDS]])</f>
        <v>0</v>
      </c>
      <c r="AH75" s="71" t="b">
        <f>ISBLANK(Table37[[#This Row],[OU]])</f>
        <v>0</v>
      </c>
      <c r="AI75" s="71" t="b">
        <f>ISBLANK(Table37[[#This Row],[SPECIFIC COMMODITY]])</f>
        <v>0</v>
      </c>
      <c r="AJ75" s="71" t="b">
        <f>ISBLANK(Table37[[#This Row],[COMMODITY PREXC SUB-PROGRAM]])</f>
        <v>0</v>
      </c>
      <c r="AK75" s="71" t="b">
        <f>ISBLANK(Table37[[#This Row],[ACTIVITY]])</f>
        <v>0</v>
      </c>
      <c r="AL75" s="71" t="b">
        <f>ISBLANK(Table37[[#This Row],[TAG-GAD]])</f>
        <v>0</v>
      </c>
      <c r="AM75" s="71" t="b">
        <f>ISBLANK(Table37[[#This Row],[MONTH]])</f>
        <v>0</v>
      </c>
      <c r="AN75" s="71" t="b">
        <f>ISBLANK(Table37[[#This Row],[MOOE (Php ''000)]])</f>
        <v>1</v>
      </c>
      <c r="AO75" s="71" t="b">
        <f>ISBLANK(Table37[[#This Row],[CO (Php ''000)]])</f>
        <v>0</v>
      </c>
    </row>
    <row r="76" spans="1:41">
      <c r="A76" s="51" t="str">
        <f>VLOOKUP(Table37[[#This Row],[OU]],OU!$A$15:$B$34,2,FALSE)</f>
        <v>RFOs</v>
      </c>
      <c r="B76" s="47" t="s">
        <v>297</v>
      </c>
      <c r="C76" s="47" t="s">
        <v>574</v>
      </c>
      <c r="D76" s="47" t="s">
        <v>578</v>
      </c>
      <c r="E76" s="51" t="str">
        <f>VLOOKUP(Table37[[#This Row],[SPECIFIC COMMODITY]],TAGS!$W$48:$X$53,2,FALSE)</f>
        <v>Corn</v>
      </c>
      <c r="F76" s="51" t="str">
        <f>VLOOKUP(Table37[[#This Row],[PREXC SUB-PROGRAM]],Table5[],2,FALSE)</f>
        <v>AGRICULTURAL  MACHINERY, EQUIPMENT, FACILITIES AND INFRASTRUCTURE PROGRAM</v>
      </c>
      <c r="G76" s="51" t="str">
        <f>VLOOKUP(Table37[[#This Row],[COMMODITY PREXC SUB-PROGRAM]],TAGS!$U$54:$V$76,2,FALSE)</f>
        <v>AMEFSS</v>
      </c>
      <c r="H76" s="47" t="s">
        <v>594</v>
      </c>
      <c r="I76" s="51" t="str">
        <f>VLOOKUP(Table37[[#This Row],[PI LEVEL 3]],'PI LEVEL'!A:C,3,FALSE)</f>
        <v>Postharvest facility constructed</v>
      </c>
      <c r="J76" s="51" t="str">
        <f>VLOOKUP(Table37[[#This Row],[PI LEVEL 3]],Table53729[[Performance Indicator Level 3]:[Performance Indicator Level 1]],2,FALSE)</f>
        <v>Crop drying facility constructed</v>
      </c>
      <c r="K76" s="51" t="str">
        <f>VLOOKUP(Table37[[#This Row],[ACTIVITY]],TAGS!B:P,2,FALSE)</f>
        <v>Multi-crop drying pavement (MCDP) constructed</v>
      </c>
      <c r="L76" s="47" t="s">
        <v>194</v>
      </c>
      <c r="M76" s="51" t="str">
        <f>VLOOKUP(Table37[[#This Row],[ACTIVITY]],TAGS!$B:$P,4,FALSE)</f>
        <v>Postharvest facilities</v>
      </c>
      <c r="N76" s="51" t="str">
        <f>VLOOKUP(Table37[[#This Row],[ACTIVITY]],TAGS!$B:$P,5,FALSE)</f>
        <v>Postharvest facilities</v>
      </c>
      <c r="O76" s="51" t="str">
        <f>VLOOKUP(Table37[[#This Row],[ACTIVITY]],TAGS!$B:$P,6,FALSE)</f>
        <v>Multi Crop Drying Pavement (MCDP) </v>
      </c>
      <c r="P76" s="51" t="str">
        <f>VLOOKUP(Table37[[#This Row],[ACTIVITY]],TAGS!$B:$P,7,FALSE)</f>
        <v>YES</v>
      </c>
      <c r="Q76" s="51" t="str">
        <f>VLOOKUP(Table37[[#This Row],[ACTIVITY]],TAGS!$B:$P,8,FALSE)</f>
        <v>PAP</v>
      </c>
      <c r="R76" s="51" t="str">
        <f>VLOOKUP(Table37[[#This Row],[ACTIVITY]],TAGS!$B:$P,10,FALSE)</f>
        <v>PIP</v>
      </c>
      <c r="S76" s="51" t="str">
        <f>VLOOKUP(Table37[[#This Row],[ACTIVITY]],TAGS!$B:$P,11,FALSE)</f>
        <v>PICS</v>
      </c>
      <c r="T76" s="51" t="str">
        <f>VLOOKUP(Table37[[#This Row],[ACTIVITY]],TAGS!$B:$P,12,FALSE)</f>
        <v>Modernization</v>
      </c>
      <c r="U76" s="51" t="str">
        <f>VLOOKUP(Table37[[#This Row],[ACTIVITY]],TAGS!$B:$P,13,FALSE)</f>
        <v>8. Farm Mechanization and Farm Investments</v>
      </c>
      <c r="V76" s="51" t="str">
        <f>VLOOKUP(Table37[[#This Row],[ACTIVITY]],TAGS!$B:$P,14,FALSE)</f>
        <v>DEVELOP AND IMPROVE POST-HARVEST SYSTEMS AND INFRASTRUCTURE</v>
      </c>
      <c r="W76" s="51" t="str">
        <f>VLOOKUP(Table37[[#This Row],[ACTIVITY]],TAGS!$B:$P,15,FALSE)</f>
        <v>Postharvest facilities</v>
      </c>
      <c r="X76" s="51" t="str">
        <f>VLOOKUP(Table37[[#This Row],[PI LEVEL 3]],'PI LEVEL'!$A:$G,7,FALSE)</f>
        <v>DA-Level Output</v>
      </c>
      <c r="Y76" s="47" t="s">
        <v>577</v>
      </c>
      <c r="Z76" s="47" t="s">
        <v>332</v>
      </c>
      <c r="AA76" s="51" t="str">
        <f>VLOOKUP(Table37[[#This Row],[MONTH]],TAGS!$W$67:$Y$81,2,FALSE)</f>
        <v>2ND QTR</v>
      </c>
      <c r="AB76" s="51" t="str">
        <f>VLOOKUP(Table37[[#This Row],[MONTH]],TAGS!$W$67:$Y$81,3,FALSE)</f>
        <v>1ST SEMESTER</v>
      </c>
      <c r="AC76" s="51">
        <f>VLOOKUP(Table37[[#This Row],[MONTH]],TAGS!$W$67:$Z$81,4,FALSE)</f>
        <v>2025</v>
      </c>
      <c r="AD76" s="47"/>
      <c r="AE76" s="47">
        <v>5000</v>
      </c>
      <c r="AF76" s="51">
        <f>SUM(Table37[[#This Row],[MOOE (Php ''000)]:[CO (Php ''000)]])</f>
        <v>5000</v>
      </c>
      <c r="AG76" s="71" t="b">
        <f>ISBLANK(Table37[[#This Row],[PRPOPOSAL/BEDS]])</f>
        <v>0</v>
      </c>
      <c r="AH76" s="71" t="b">
        <f>ISBLANK(Table37[[#This Row],[OU]])</f>
        <v>0</v>
      </c>
      <c r="AI76" s="71" t="b">
        <f>ISBLANK(Table37[[#This Row],[SPECIFIC COMMODITY]])</f>
        <v>0</v>
      </c>
      <c r="AJ76" s="71" t="b">
        <f>ISBLANK(Table37[[#This Row],[COMMODITY PREXC SUB-PROGRAM]])</f>
        <v>0</v>
      </c>
      <c r="AK76" s="71" t="b">
        <f>ISBLANK(Table37[[#This Row],[ACTIVITY]])</f>
        <v>0</v>
      </c>
      <c r="AL76" s="71" t="b">
        <f>ISBLANK(Table37[[#This Row],[TAG-GAD]])</f>
        <v>0</v>
      </c>
      <c r="AM76" s="71" t="b">
        <f>ISBLANK(Table37[[#This Row],[MONTH]])</f>
        <v>0</v>
      </c>
      <c r="AN76" s="71" t="b">
        <f>ISBLANK(Table37[[#This Row],[MOOE (Php ''000)]])</f>
        <v>1</v>
      </c>
      <c r="AO76" s="71" t="b">
        <f>ISBLANK(Table37[[#This Row],[CO (Php ''000)]])</f>
        <v>0</v>
      </c>
    </row>
    <row r="77" spans="1:41">
      <c r="A77" s="51" t="str">
        <f>VLOOKUP(Table37[[#This Row],[OU]],OU!$A$15:$B$34,2,FALSE)</f>
        <v>RFOs</v>
      </c>
      <c r="B77" s="47" t="s">
        <v>297</v>
      </c>
      <c r="C77" s="47" t="s">
        <v>574</v>
      </c>
      <c r="D77" s="47" t="s">
        <v>579</v>
      </c>
      <c r="E77" s="51" t="str">
        <f>VLOOKUP(Table37[[#This Row],[SPECIFIC COMMODITY]],TAGS!$W$48:$X$53,2,FALSE)</f>
        <v>Cassava</v>
      </c>
      <c r="F77" s="51" t="str">
        <f>VLOOKUP(Table37[[#This Row],[PREXC SUB-PROGRAM]],Table5[],2,FALSE)</f>
        <v>AGRICULTURAL  MACHINERY, EQUIPMENT, FACILITIES AND INFRASTRUCTURE PROGRAM</v>
      </c>
      <c r="G77" s="51" t="str">
        <f>VLOOKUP(Table37[[#This Row],[COMMODITY PREXC SUB-PROGRAM]],TAGS!$U$54:$V$76,2,FALSE)</f>
        <v>AMEFSS</v>
      </c>
      <c r="H77" s="47" t="s">
        <v>595</v>
      </c>
      <c r="I77" s="51" t="str">
        <f>VLOOKUP(Table37[[#This Row],[PI LEVEL 3]],'PI LEVEL'!A:C,3,FALSE)</f>
        <v>Other machinery and equipment distributed</v>
      </c>
      <c r="J77" s="51" t="str">
        <f>VLOOKUP(Table37[[#This Row],[PI LEVEL 3]],Table53729[[Performance Indicator Level 3]:[Performance Indicator Level 1]],2,FALSE)</f>
        <v>Other machinery and equipment distributed</v>
      </c>
      <c r="K77" s="51" t="str">
        <f>VLOOKUP(Table37[[#This Row],[ACTIVITY]],TAGS!B:P,2,FALSE)</f>
        <v>Solar Bubble Dryer distributed_PSS</v>
      </c>
      <c r="L77" s="47" t="s">
        <v>196</v>
      </c>
      <c r="M77" s="51" t="str">
        <f>VLOOKUP(Table37[[#This Row],[ACTIVITY]],TAGS!$B:$P,4,FALSE)</f>
        <v>Postharvest related machinery &amp; equipment</v>
      </c>
      <c r="N77" s="51" t="str">
        <f>VLOOKUP(Table37[[#This Row],[ACTIVITY]],TAGS!$B:$P,5,FALSE)</f>
        <v>Postharvest-related</v>
      </c>
      <c r="O77" s="51" t="str">
        <f>VLOOKUP(Table37[[#This Row],[ACTIVITY]],TAGS!$B:$P,6,FALSE)</f>
        <v>Solar Bubble Dryer</v>
      </c>
      <c r="P77" s="51" t="str">
        <f>VLOOKUP(Table37[[#This Row],[ACTIVITY]],TAGS!$B:$P,7,FALSE)</f>
        <v>YES</v>
      </c>
      <c r="Q77" s="51" t="str">
        <f>VLOOKUP(Table37[[#This Row],[ACTIVITY]],TAGS!$B:$P,8,FALSE)</f>
        <v>PAP</v>
      </c>
      <c r="R77" s="51" t="str">
        <f>VLOOKUP(Table37[[#This Row],[ACTIVITY]],TAGS!$B:$P,10,FALSE)</f>
        <v>PIP</v>
      </c>
      <c r="S77" s="51" t="str">
        <f>VLOOKUP(Table37[[#This Row],[ACTIVITY]],TAGS!$B:$P,11,FALSE)</f>
        <v>PICS</v>
      </c>
      <c r="T77" s="51" t="str">
        <f>VLOOKUP(Table37[[#This Row],[ACTIVITY]],TAGS!$B:$P,12,FALSE)</f>
        <v>Modernization</v>
      </c>
      <c r="U77" s="51" t="str">
        <f>VLOOKUP(Table37[[#This Row],[ACTIVITY]],TAGS!$B:$P,13,FALSE)</f>
        <v>8. Farm Mechanization and Farm Investments</v>
      </c>
      <c r="V77" s="51" t="str">
        <f>VLOOKUP(Table37[[#This Row],[ACTIVITY]],TAGS!$B:$P,14,FALSE)</f>
        <v>DEVELOP AND IMPROVE POST-HARVEST SYSTEMS AND INFRASTRUCTURE</v>
      </c>
      <c r="W77" s="51" t="str">
        <f>VLOOKUP(Table37[[#This Row],[ACTIVITY]],TAGS!$B:$P,15,FALSE)</f>
        <v>Postharvest-related</v>
      </c>
      <c r="X77" s="51" t="str">
        <f>VLOOKUP(Table37[[#This Row],[PI LEVEL 3]],'PI LEVEL'!$A:$G,7,FALSE)</f>
        <v>DA-Level Output</v>
      </c>
      <c r="Y77" s="47" t="s">
        <v>577</v>
      </c>
      <c r="Z77" s="47" t="s">
        <v>329</v>
      </c>
      <c r="AA77" s="51" t="str">
        <f>VLOOKUP(Table37[[#This Row],[MONTH]],TAGS!$W$67:$Y$81,2,FALSE)</f>
        <v>1ST QTR</v>
      </c>
      <c r="AB77" s="51" t="str">
        <f>VLOOKUP(Table37[[#This Row],[MONTH]],TAGS!$W$67:$Y$81,3,FALSE)</f>
        <v>1ST SEMESTER</v>
      </c>
      <c r="AC77" s="51">
        <f>VLOOKUP(Table37[[#This Row],[MONTH]],TAGS!$W$67:$Z$81,4,FALSE)</f>
        <v>2025</v>
      </c>
      <c r="AD77" s="47"/>
      <c r="AE77" s="47">
        <v>4000</v>
      </c>
      <c r="AF77" s="51">
        <f>SUM(Table37[[#This Row],[MOOE (Php ''000)]:[CO (Php ''000)]])</f>
        <v>4000</v>
      </c>
      <c r="AG77" s="71" t="b">
        <f>ISBLANK(Table37[[#This Row],[PRPOPOSAL/BEDS]])</f>
        <v>0</v>
      </c>
      <c r="AH77" s="71" t="b">
        <f>ISBLANK(Table37[[#This Row],[OU]])</f>
        <v>0</v>
      </c>
      <c r="AI77" s="71" t="b">
        <f>ISBLANK(Table37[[#This Row],[SPECIFIC COMMODITY]])</f>
        <v>0</v>
      </c>
      <c r="AJ77" s="71" t="b">
        <f>ISBLANK(Table37[[#This Row],[COMMODITY PREXC SUB-PROGRAM]])</f>
        <v>0</v>
      </c>
      <c r="AK77" s="71" t="b">
        <f>ISBLANK(Table37[[#This Row],[ACTIVITY]])</f>
        <v>0</v>
      </c>
      <c r="AL77" s="71" t="b">
        <f>ISBLANK(Table37[[#This Row],[TAG-GAD]])</f>
        <v>0</v>
      </c>
      <c r="AM77" s="71" t="b">
        <f>ISBLANK(Table37[[#This Row],[MONTH]])</f>
        <v>0</v>
      </c>
      <c r="AN77" s="71" t="b">
        <f>ISBLANK(Table37[[#This Row],[MOOE (Php ''000)]])</f>
        <v>1</v>
      </c>
      <c r="AO77" s="71" t="b">
        <f>ISBLANK(Table37[[#This Row],[CO (Php ''000)]])</f>
        <v>0</v>
      </c>
    </row>
    <row r="78" spans="1:41">
      <c r="A78" s="51" t="str">
        <f>VLOOKUP(Table37[[#This Row],[OU]],OU!$A$15:$B$34,2,FALSE)</f>
        <v>RFOs</v>
      </c>
      <c r="B78" s="47" t="s">
        <v>297</v>
      </c>
      <c r="C78" s="47" t="s">
        <v>574</v>
      </c>
      <c r="D78" s="47" t="s">
        <v>579</v>
      </c>
      <c r="E78" s="51" t="str">
        <f>VLOOKUP(Table37[[#This Row],[SPECIFIC COMMODITY]],TAGS!$W$48:$X$53,2,FALSE)</f>
        <v>Cassava</v>
      </c>
      <c r="F78" s="51" t="str">
        <f>VLOOKUP(Table37[[#This Row],[PREXC SUB-PROGRAM]],Table5[],2,FALSE)</f>
        <v>AGRICULTURAL  MACHINERY, EQUIPMENT, FACILITIES AND INFRASTRUCTURE PROGRAM</v>
      </c>
      <c r="G78" s="51" t="str">
        <f>VLOOKUP(Table37[[#This Row],[COMMODITY PREXC SUB-PROGRAM]],TAGS!$U$54:$V$76,2,FALSE)</f>
        <v>AMEFSS</v>
      </c>
      <c r="H78" s="47" t="s">
        <v>595</v>
      </c>
      <c r="I78" s="51" t="str">
        <f>VLOOKUP(Table37[[#This Row],[PI LEVEL 3]],'PI LEVEL'!A:C,3,FALSE)</f>
        <v>Other infrastructure constructed</v>
      </c>
      <c r="J78" s="51" t="str">
        <f>VLOOKUP(Table37[[#This Row],[PI LEVEL 3]],Table53729[[Performance Indicator Level 3]:[Performance Indicator Level 1]],2,FALSE)</f>
        <v>Other infrastructure constructed</v>
      </c>
      <c r="K78" s="51" t="str">
        <f>VLOOKUP(Table37[[#This Row],[ACTIVITY]],TAGS!B:P,2,FALSE)</f>
        <v>Water treatment system facility constructed</v>
      </c>
      <c r="L78" s="47" t="s">
        <v>198</v>
      </c>
      <c r="M78" s="51" t="str">
        <f>VLOOKUP(Table37[[#This Row],[ACTIVITY]],TAGS!$B:$P,4,FALSE)</f>
        <v>Processing related machinery &amp; equipment</v>
      </c>
      <c r="N78" s="51" t="str">
        <f>VLOOKUP(Table37[[#This Row],[ACTIVITY]],TAGS!$B:$P,5,FALSE)</f>
        <v>Processing-related</v>
      </c>
      <c r="O78" s="51" t="str">
        <f>VLOOKUP(Table37[[#This Row],[ACTIVITY]],TAGS!$B:$P,6,FALSE)</f>
        <v>Waster Water Treatment System</v>
      </c>
      <c r="P78" s="51" t="str">
        <f>VLOOKUP(Table37[[#This Row],[ACTIVITY]],TAGS!$B:$P,7,FALSE)</f>
        <v>NO</v>
      </c>
      <c r="Q78" s="51" t="str">
        <f>VLOOKUP(Table37[[#This Row],[ACTIVITY]],TAGS!$B:$P,8,FALSE)</f>
        <v>PAP</v>
      </c>
      <c r="R78" s="51" t="str">
        <f>VLOOKUP(Table37[[#This Row],[ACTIVITY]],TAGS!$B:$P,10,FALSE)</f>
        <v>PIP</v>
      </c>
      <c r="S78" s="51" t="str">
        <f>VLOOKUP(Table37[[#This Row],[ACTIVITY]],TAGS!$B:$P,11,FALSE)</f>
        <v>PICS</v>
      </c>
      <c r="T78" s="51" t="str">
        <f>VLOOKUP(Table37[[#This Row],[ACTIVITY]],TAGS!$B:$P,12,FALSE)</f>
        <v>Modernization</v>
      </c>
      <c r="U78" s="51" t="str">
        <f>VLOOKUP(Table37[[#This Row],[ACTIVITY]],TAGS!$B:$P,13,FALSE)</f>
        <v>8. Farm Mechanization and Farm Investments</v>
      </c>
      <c r="V78" s="51" t="str">
        <f>VLOOKUP(Table37[[#This Row],[ACTIVITY]],TAGS!$B:$P,14,FALSE)</f>
        <v>DEVELOP AND IMPROVE POST-HARVEST SYSTEMS AND INFRASTRUCTURE</v>
      </c>
      <c r="W78" s="51" t="str">
        <f>VLOOKUP(Table37[[#This Row],[ACTIVITY]],TAGS!$B:$P,15,FALSE)</f>
        <v>Processing facilities</v>
      </c>
      <c r="X78" s="51" t="str">
        <f>VLOOKUP(Table37[[#This Row],[PI LEVEL 3]],'PI LEVEL'!$A:$G,7,FALSE)</f>
        <v>DA-Level Output</v>
      </c>
      <c r="Y78" s="47" t="s">
        <v>577</v>
      </c>
      <c r="Z78" s="47" t="s">
        <v>335</v>
      </c>
      <c r="AA78" s="51" t="str">
        <f>VLOOKUP(Table37[[#This Row],[MONTH]],TAGS!$W$67:$Y$81,2,FALSE)</f>
        <v>3RD QTR</v>
      </c>
      <c r="AB78" s="51" t="str">
        <f>VLOOKUP(Table37[[#This Row],[MONTH]],TAGS!$W$67:$Y$81,3,FALSE)</f>
        <v>2ND SEMESTER</v>
      </c>
      <c r="AC78" s="51">
        <f>VLOOKUP(Table37[[#This Row],[MONTH]],TAGS!$W$67:$Z$81,4,FALSE)</f>
        <v>2025</v>
      </c>
      <c r="AD78" s="47"/>
      <c r="AE78" s="47">
        <v>20000</v>
      </c>
      <c r="AF78" s="51">
        <f>SUM(Table37[[#This Row],[MOOE (Php ''000)]:[CO (Php ''000)]])</f>
        <v>20000</v>
      </c>
      <c r="AG78" s="71" t="b">
        <f>ISBLANK(Table37[[#This Row],[PRPOPOSAL/BEDS]])</f>
        <v>0</v>
      </c>
      <c r="AH78" s="71" t="b">
        <f>ISBLANK(Table37[[#This Row],[OU]])</f>
        <v>0</v>
      </c>
      <c r="AI78" s="71" t="b">
        <f>ISBLANK(Table37[[#This Row],[SPECIFIC COMMODITY]])</f>
        <v>0</v>
      </c>
      <c r="AJ78" s="71" t="b">
        <f>ISBLANK(Table37[[#This Row],[COMMODITY PREXC SUB-PROGRAM]])</f>
        <v>0</v>
      </c>
      <c r="AK78" s="71" t="b">
        <f>ISBLANK(Table37[[#This Row],[ACTIVITY]])</f>
        <v>0</v>
      </c>
      <c r="AL78" s="71" t="b">
        <f>ISBLANK(Table37[[#This Row],[TAG-GAD]])</f>
        <v>0</v>
      </c>
      <c r="AM78" s="71" t="b">
        <f>ISBLANK(Table37[[#This Row],[MONTH]])</f>
        <v>0</v>
      </c>
      <c r="AN78" s="71" t="b">
        <f>ISBLANK(Table37[[#This Row],[MOOE (Php ''000)]])</f>
        <v>1</v>
      </c>
      <c r="AO78" s="71" t="b">
        <f>ISBLANK(Table37[[#This Row],[CO (Php ''000)]])</f>
        <v>0</v>
      </c>
    </row>
    <row r="79" spans="1:41">
      <c r="A79" s="51" t="str">
        <f>VLOOKUP(Table37[[#This Row],[OU]],OU!$A$15:$B$34,2,FALSE)</f>
        <v>RFOs</v>
      </c>
      <c r="B79" s="47" t="s">
        <v>297</v>
      </c>
      <c r="C79" s="47" t="s">
        <v>574</v>
      </c>
      <c r="D79" s="47" t="s">
        <v>578</v>
      </c>
      <c r="E79" s="51" t="str">
        <f>VLOOKUP(Table37[[#This Row],[SPECIFIC COMMODITY]],TAGS!$W$48:$X$53,2,FALSE)</f>
        <v>Corn</v>
      </c>
      <c r="F79" s="51" t="str">
        <f>VLOOKUP(Table37[[#This Row],[PREXC SUB-PROGRAM]],Table5[],2,FALSE)</f>
        <v>AGRICULTURAL  MACHINERY, EQUIPMENT, FACILITIES AND INFRASTRUCTURE PROGRAM</v>
      </c>
      <c r="G79" s="51" t="str">
        <f>VLOOKUP(Table37[[#This Row],[COMMODITY PREXC SUB-PROGRAM]],TAGS!$U$54:$V$76,2,FALSE)</f>
        <v>INS</v>
      </c>
      <c r="H79" s="47" t="s">
        <v>596</v>
      </c>
      <c r="I79" s="51" t="str">
        <f>VLOOKUP(Table37[[#This Row],[PI LEVEL 3]],'PI LEVEL'!A:C,3,FALSE)</f>
        <v>Irrigation machinery distributed</v>
      </c>
      <c r="J79" s="51" t="str">
        <f>VLOOKUP(Table37[[#This Row],[PI LEVEL 3]],Table53729[[Performance Indicator Level 3]:[Performance Indicator Level 1]],2,FALSE)</f>
        <v>Irrigation machinery distributed</v>
      </c>
      <c r="K79" s="51" t="str">
        <f>VLOOKUP(Table37[[#This Row],[ACTIVITY]],TAGS!B:P,2,FALSE)</f>
        <v>Pump and Engine Set distributed</v>
      </c>
      <c r="L79" s="47" t="s">
        <v>210</v>
      </c>
      <c r="M79" s="51" t="str">
        <f>VLOOKUP(Table37[[#This Row],[ACTIVITY]],TAGS!$B:$P,4,FALSE)</f>
        <v>Small-scale Irrigation Projects</v>
      </c>
      <c r="N79" s="51" t="str">
        <f>VLOOKUP(Table37[[#This Row],[ACTIVITY]],TAGS!$B:$P,5,FALSE)</f>
        <v>Small-scale Irrigation Projects (SSIPs)</v>
      </c>
      <c r="O79" s="51" t="str">
        <f>VLOOKUP(Table37[[#This Row],[ACTIVITY]],TAGS!$B:$P,6,FALSE)</f>
        <v>Open Source Pumping Set</v>
      </c>
      <c r="P79" s="51" t="str">
        <f>VLOOKUP(Table37[[#This Row],[ACTIVITY]],TAGS!$B:$P,7,FALSE)</f>
        <v>YES</v>
      </c>
      <c r="Q79" s="51" t="str">
        <f>VLOOKUP(Table37[[#This Row],[ACTIVITY]],TAGS!$B:$P,8,FALSE)</f>
        <v>PAP</v>
      </c>
      <c r="R79" s="51" t="str">
        <f>VLOOKUP(Table37[[#This Row],[ACTIVITY]],TAGS!$B:$P,10,FALSE)</f>
        <v>PIP</v>
      </c>
      <c r="S79" s="51" t="str">
        <f>VLOOKUP(Table37[[#This Row],[ACTIVITY]],TAGS!$B:$P,11,FALSE)</f>
        <v>PICS</v>
      </c>
      <c r="T79" s="51" t="str">
        <f>VLOOKUP(Table37[[#This Row],[ACTIVITY]],TAGS!$B:$P,12,FALSE)</f>
        <v>Modernization</v>
      </c>
      <c r="U79" s="51" t="str">
        <f>VLOOKUP(Table37[[#This Row],[ACTIVITY]],TAGS!$B:$P,13,FALSE)</f>
        <v>8. Farm Mechanization and Farm Investments</v>
      </c>
      <c r="V79" s="51" t="str">
        <f>VLOOKUP(Table37[[#This Row],[ACTIVITY]],TAGS!$B:$P,14,FALSE)</f>
        <v>EXPAND AND IMPROVE AVAILABLE AGRI-FISHERY AREAS FOR INCREASED PRODUCTION</v>
      </c>
      <c r="W79" s="51" t="str">
        <f>VLOOKUP(Table37[[#This Row],[ACTIVITY]],TAGS!$B:$P,15,FALSE)</f>
        <v>Irrigation</v>
      </c>
      <c r="X79" s="51" t="str">
        <f>VLOOKUP(Table37[[#This Row],[PI LEVEL 3]],'PI LEVEL'!$A:$G,7,FALSE)</f>
        <v>DA-Level Output</v>
      </c>
      <c r="Y79" s="47" t="s">
        <v>577</v>
      </c>
      <c r="Z79" s="47" t="s">
        <v>330</v>
      </c>
      <c r="AA79" s="51" t="str">
        <f>VLOOKUP(Table37[[#This Row],[MONTH]],TAGS!$W$67:$Y$81,2,FALSE)</f>
        <v>2ND QTR</v>
      </c>
      <c r="AB79" s="51" t="str">
        <f>VLOOKUP(Table37[[#This Row],[MONTH]],TAGS!$W$67:$Y$81,3,FALSE)</f>
        <v>1ST SEMESTER</v>
      </c>
      <c r="AC79" s="51">
        <f>VLOOKUP(Table37[[#This Row],[MONTH]],TAGS!$W$67:$Z$81,4,FALSE)</f>
        <v>2025</v>
      </c>
      <c r="AD79" s="47"/>
      <c r="AE79" s="47">
        <v>25000</v>
      </c>
      <c r="AF79" s="51">
        <f>SUM(Table37[[#This Row],[MOOE (Php ''000)]:[CO (Php ''000)]])</f>
        <v>25000</v>
      </c>
      <c r="AG79" s="71" t="b">
        <f>ISBLANK(Table37[[#This Row],[PRPOPOSAL/BEDS]])</f>
        <v>0</v>
      </c>
      <c r="AH79" s="71" t="b">
        <f>ISBLANK(Table37[[#This Row],[OU]])</f>
        <v>0</v>
      </c>
      <c r="AI79" s="71" t="b">
        <f>ISBLANK(Table37[[#This Row],[SPECIFIC COMMODITY]])</f>
        <v>0</v>
      </c>
      <c r="AJ79" s="71" t="b">
        <f>ISBLANK(Table37[[#This Row],[COMMODITY PREXC SUB-PROGRAM]])</f>
        <v>0</v>
      </c>
      <c r="AK79" s="71" t="b">
        <f>ISBLANK(Table37[[#This Row],[ACTIVITY]])</f>
        <v>0</v>
      </c>
      <c r="AL79" s="71" t="b">
        <f>ISBLANK(Table37[[#This Row],[TAG-GAD]])</f>
        <v>0</v>
      </c>
      <c r="AM79" s="71" t="b">
        <f>ISBLANK(Table37[[#This Row],[MONTH]])</f>
        <v>0</v>
      </c>
      <c r="AN79" s="71" t="b">
        <f>ISBLANK(Table37[[#This Row],[MOOE (Php ''000)]])</f>
        <v>1</v>
      </c>
      <c r="AO79" s="71" t="b">
        <f>ISBLANK(Table37[[#This Row],[CO (Php ''000)]])</f>
        <v>0</v>
      </c>
    </row>
    <row r="80" spans="1:41">
      <c r="A80" s="51" t="str">
        <f>VLOOKUP(Table37[[#This Row],[OU]],OU!$A$15:$B$34,2,FALSE)</f>
        <v>RFOs</v>
      </c>
      <c r="B80" s="47" t="s">
        <v>297</v>
      </c>
      <c r="C80" s="47" t="s">
        <v>574</v>
      </c>
      <c r="D80" s="47" t="s">
        <v>578</v>
      </c>
      <c r="E80" s="51" t="str">
        <f>VLOOKUP(Table37[[#This Row],[SPECIFIC COMMODITY]],TAGS!$W$48:$X$53,2,FALSE)</f>
        <v>Corn</v>
      </c>
      <c r="F80" s="51" t="str">
        <f>VLOOKUP(Table37[[#This Row],[PREXC SUB-PROGRAM]],Table5[],2,FALSE)</f>
        <v>AGRICULTURAL  MACHINERY, EQUIPMENT, FACILITIES AND INFRASTRUCTURE PROGRAM</v>
      </c>
      <c r="G80" s="51" t="str">
        <f>VLOOKUP(Table37[[#This Row],[COMMODITY PREXC SUB-PROGRAM]],TAGS!$U$54:$V$76,2,FALSE)</f>
        <v>INS</v>
      </c>
      <c r="H80" s="47" t="s">
        <v>596</v>
      </c>
      <c r="I80" s="51" t="str">
        <f>VLOOKUP(Table37[[#This Row],[PI LEVEL 3]],'PI LEVEL'!A:C,3,FALSE)</f>
        <v>Irrigation machinery distributed</v>
      </c>
      <c r="J80" s="51" t="str">
        <f>VLOOKUP(Table37[[#This Row],[PI LEVEL 3]],Table53729[[Performance Indicator Level 3]:[Performance Indicator Level 1]],2,FALSE)</f>
        <v>Irrigation machinery distributed</v>
      </c>
      <c r="K80" s="51" t="str">
        <f>VLOOKUP(Table37[[#This Row],[ACTIVITY]],TAGS!B:P,2,FALSE)</f>
        <v>Pump and Engine Set distributed</v>
      </c>
      <c r="L80" s="47" t="s">
        <v>212</v>
      </c>
      <c r="M80" s="51" t="str">
        <f>VLOOKUP(Table37[[#This Row],[ACTIVITY]],TAGS!$B:$P,4,FALSE)</f>
        <v>Small-scale Irrigation Projects</v>
      </c>
      <c r="N80" s="51" t="str">
        <f>VLOOKUP(Table37[[#This Row],[ACTIVITY]],TAGS!$B:$P,5,FALSE)</f>
        <v>Small-scale Irrigation Projects (SSIPs)</v>
      </c>
      <c r="O80" s="51" t="str">
        <f>VLOOKUP(Table37[[#This Row],[ACTIVITY]],TAGS!$B:$P,6,FALSE)</f>
        <v>Mobile Solar-powered Irrigation System</v>
      </c>
      <c r="P80" s="51" t="str">
        <f>VLOOKUP(Table37[[#This Row],[ACTIVITY]],TAGS!$B:$P,7,FALSE)</f>
        <v>YES</v>
      </c>
      <c r="Q80" s="51" t="str">
        <f>VLOOKUP(Table37[[#This Row],[ACTIVITY]],TAGS!$B:$P,8,FALSE)</f>
        <v>PAP</v>
      </c>
      <c r="R80" s="51" t="str">
        <f>VLOOKUP(Table37[[#This Row],[ACTIVITY]],TAGS!$B:$P,10,FALSE)</f>
        <v>PIP</v>
      </c>
      <c r="S80" s="51" t="str">
        <f>VLOOKUP(Table37[[#This Row],[ACTIVITY]],TAGS!$B:$P,11,FALSE)</f>
        <v>PICS</v>
      </c>
      <c r="T80" s="51" t="str">
        <f>VLOOKUP(Table37[[#This Row],[ACTIVITY]],TAGS!$B:$P,12,FALSE)</f>
        <v>Modernization</v>
      </c>
      <c r="U80" s="51" t="str">
        <f>VLOOKUP(Table37[[#This Row],[ACTIVITY]],TAGS!$B:$P,13,FALSE)</f>
        <v>8. Farm Mechanization and Farm Investments</v>
      </c>
      <c r="V80" s="51" t="str">
        <f>VLOOKUP(Table37[[#This Row],[ACTIVITY]],TAGS!$B:$P,14,FALSE)</f>
        <v>EXPAND AND IMPROVE AVAILABLE AGRI-FISHERY AREAS FOR INCREASED PRODUCTION</v>
      </c>
      <c r="W80" s="51" t="str">
        <f>VLOOKUP(Table37[[#This Row],[ACTIVITY]],TAGS!$B:$P,15,FALSE)</f>
        <v>Irrigation</v>
      </c>
      <c r="X80" s="51" t="str">
        <f>VLOOKUP(Table37[[#This Row],[PI LEVEL 3]],'PI LEVEL'!$A:$G,7,FALSE)</f>
        <v>DA-Level Output</v>
      </c>
      <c r="Y80" s="47" t="s">
        <v>577</v>
      </c>
      <c r="Z80" s="47" t="s">
        <v>330</v>
      </c>
      <c r="AA80" s="51" t="str">
        <f>VLOOKUP(Table37[[#This Row],[MONTH]],TAGS!$W$67:$Y$81,2,FALSE)</f>
        <v>2ND QTR</v>
      </c>
      <c r="AB80" s="51" t="str">
        <f>VLOOKUP(Table37[[#This Row],[MONTH]],TAGS!$W$67:$Y$81,3,FALSE)</f>
        <v>1ST SEMESTER</v>
      </c>
      <c r="AC80" s="51">
        <f>VLOOKUP(Table37[[#This Row],[MONTH]],TAGS!$W$67:$Z$81,4,FALSE)</f>
        <v>2025</v>
      </c>
      <c r="AD80" s="47"/>
      <c r="AE80" s="47">
        <v>10000</v>
      </c>
      <c r="AF80" s="51">
        <f>SUM(Table37[[#This Row],[MOOE (Php ''000)]:[CO (Php ''000)]])</f>
        <v>10000</v>
      </c>
      <c r="AG80" s="71" t="b">
        <f>ISBLANK(Table37[[#This Row],[PRPOPOSAL/BEDS]])</f>
        <v>0</v>
      </c>
      <c r="AH80" s="71" t="b">
        <f>ISBLANK(Table37[[#This Row],[OU]])</f>
        <v>0</v>
      </c>
      <c r="AI80" s="71" t="b">
        <f>ISBLANK(Table37[[#This Row],[SPECIFIC COMMODITY]])</f>
        <v>0</v>
      </c>
      <c r="AJ80" s="71" t="b">
        <f>ISBLANK(Table37[[#This Row],[COMMODITY PREXC SUB-PROGRAM]])</f>
        <v>0</v>
      </c>
      <c r="AK80" s="71" t="b">
        <f>ISBLANK(Table37[[#This Row],[ACTIVITY]])</f>
        <v>0</v>
      </c>
      <c r="AL80" s="71" t="b">
        <f>ISBLANK(Table37[[#This Row],[TAG-GAD]])</f>
        <v>0</v>
      </c>
      <c r="AM80" s="71" t="b">
        <f>ISBLANK(Table37[[#This Row],[MONTH]])</f>
        <v>0</v>
      </c>
      <c r="AN80" s="71" t="b">
        <f>ISBLANK(Table37[[#This Row],[MOOE (Php ''000)]])</f>
        <v>1</v>
      </c>
      <c r="AO80" s="71" t="b">
        <f>ISBLANK(Table37[[#This Row],[CO (Php ''000)]])</f>
        <v>0</v>
      </c>
    </row>
    <row r="81" spans="1:41">
      <c r="A81" s="51" t="str">
        <f>VLOOKUP(Table37[[#This Row],[OU]],OU!$A$15:$B$34,2,FALSE)</f>
        <v>RFOs</v>
      </c>
      <c r="B81" s="47" t="s">
        <v>297</v>
      </c>
      <c r="C81" s="47" t="s">
        <v>574</v>
      </c>
      <c r="D81" s="47" t="s">
        <v>585</v>
      </c>
      <c r="E81" s="51" t="str">
        <f>VLOOKUP(Table37[[#This Row],[SPECIFIC COMMODITY]],TAGS!$W$48:$X$53,2,FALSE)</f>
        <v>Multi_commodity</v>
      </c>
      <c r="F81" s="51" t="str">
        <f>VLOOKUP(Table37[[#This Row],[PREXC SUB-PROGRAM]],Table5[],2,FALSE)</f>
        <v>FIELD PROGRAMS MANAGEMENT ACTIVITIES</v>
      </c>
      <c r="G81" s="51" t="str">
        <f>VLOOKUP(Table37[[#This Row],[COMMODITY PREXC SUB-PROGRAM]],TAGS!$U$54:$V$76,2,FALSE)</f>
        <v>FPMA</v>
      </c>
      <c r="H81" s="47" t="s">
        <v>597</v>
      </c>
      <c r="I81" s="51" t="str">
        <f>VLOOKUP(Table37[[#This Row],[PI LEVEL 3]],'PI LEVEL'!A:C,3,FALSE)</f>
        <v>National/Regional Field Monitoring conducted</v>
      </c>
      <c r="J81" s="51" t="str">
        <f>VLOOKUP(Table37[[#This Row],[PI LEVEL 3]],Table53729[[Performance Indicator Level 3]:[Performance Indicator Level 1]],2,FALSE)</f>
        <v>National/Regional Field Monitoring conducted</v>
      </c>
      <c r="K81" s="51" t="str">
        <f>VLOOKUP(Table37[[#This Row],[ACTIVITY]],TAGS!B:P,2,FALSE)</f>
        <v>National/Regional Field Monitoring conducted</v>
      </c>
      <c r="L81" s="47" t="s">
        <v>227</v>
      </c>
      <c r="M81" s="51" t="str">
        <f>VLOOKUP(Table37[[#This Row],[ACTIVITY]],TAGS!$B:$P,4,FALSE)</f>
        <v>FPMA</v>
      </c>
      <c r="N81" s="51" t="str">
        <f>VLOOKUP(Table37[[#This Row],[ACTIVITY]],TAGS!$B:$P,5,FALSE)</f>
        <v>FPMA</v>
      </c>
      <c r="O81" s="51" t="str">
        <f>VLOOKUP(Table37[[#This Row],[ACTIVITY]],TAGS!$B:$P,6,FALSE)</f>
        <v>Salary (Staff)</v>
      </c>
      <c r="P81" s="51" t="str">
        <f>VLOOKUP(Table37[[#This Row],[ACTIVITY]],TAGS!$B:$P,7,FALSE)</f>
        <v>NO</v>
      </c>
      <c r="Q81" s="51" t="str">
        <f>VLOOKUP(Table37[[#This Row],[ACTIVITY]],TAGS!$B:$P,8,FALSE)</f>
        <v>Overhead</v>
      </c>
      <c r="R81" s="51" t="str">
        <f>VLOOKUP(Table37[[#This Row],[ACTIVITY]],TAGS!$B:$P,10,FALSE)</f>
        <v>NON-PIP</v>
      </c>
      <c r="S81" s="51" t="str">
        <f>VLOOKUP(Table37[[#This Row],[ACTIVITY]],TAGS!$B:$P,11,FALSE)</f>
        <v>NON-PICS</v>
      </c>
      <c r="T81" s="51">
        <f>VLOOKUP(Table37[[#This Row],[ACTIVITY]],TAGS!$B:$P,12,FALSE)</f>
        <v>0</v>
      </c>
      <c r="U81" s="51">
        <f>VLOOKUP(Table37[[#This Row],[ACTIVITY]],TAGS!$B:$P,13,FALSE)</f>
        <v>0</v>
      </c>
      <c r="V81" s="51">
        <f>VLOOKUP(Table37[[#This Row],[ACTIVITY]],TAGS!$B:$P,14,FALSE)</f>
        <v>0</v>
      </c>
      <c r="W81" s="51" t="str">
        <f>VLOOKUP(Table37[[#This Row],[ACTIVITY]],TAGS!$B:$P,15,FALSE)</f>
        <v>Existing</v>
      </c>
      <c r="X81" s="51">
        <f>VLOOKUP(Table37[[#This Row],[PI LEVEL 3]],'PI LEVEL'!$A:$G,7,FALSE)</f>
        <v>0</v>
      </c>
      <c r="Y81" s="47" t="s">
        <v>577</v>
      </c>
      <c r="Z81" s="47" t="s">
        <v>328</v>
      </c>
      <c r="AA81" s="51" t="str">
        <f>VLOOKUP(Table37[[#This Row],[MONTH]],TAGS!$W$67:$Y$81,2,FALSE)</f>
        <v>1ST QTR</v>
      </c>
      <c r="AB81" s="51" t="str">
        <f>VLOOKUP(Table37[[#This Row],[MONTH]],TAGS!$W$67:$Y$81,3,FALSE)</f>
        <v>1ST SEMESTER</v>
      </c>
      <c r="AC81" s="51">
        <f>VLOOKUP(Table37[[#This Row],[MONTH]],TAGS!$W$67:$Z$81,4,FALSE)</f>
        <v>2025</v>
      </c>
      <c r="AD81" s="47">
        <v>7500</v>
      </c>
      <c r="AE81" s="47"/>
      <c r="AF81" s="51">
        <f>SUM(Table37[[#This Row],[MOOE (Php ''000)]:[CO (Php ''000)]])</f>
        <v>7500</v>
      </c>
      <c r="AG81" s="71" t="b">
        <f>ISBLANK(Table37[[#This Row],[PRPOPOSAL/BEDS]])</f>
        <v>0</v>
      </c>
      <c r="AH81" s="71" t="b">
        <f>ISBLANK(Table37[[#This Row],[OU]])</f>
        <v>0</v>
      </c>
      <c r="AI81" s="71" t="b">
        <f>ISBLANK(Table37[[#This Row],[SPECIFIC COMMODITY]])</f>
        <v>0</v>
      </c>
      <c r="AJ81" s="71" t="b">
        <f>ISBLANK(Table37[[#This Row],[COMMODITY PREXC SUB-PROGRAM]])</f>
        <v>0</v>
      </c>
      <c r="AK81" s="71" t="b">
        <f>ISBLANK(Table37[[#This Row],[ACTIVITY]])</f>
        <v>0</v>
      </c>
      <c r="AL81" s="71" t="b">
        <f>ISBLANK(Table37[[#This Row],[TAG-GAD]])</f>
        <v>0</v>
      </c>
      <c r="AM81" s="71" t="b">
        <f>ISBLANK(Table37[[#This Row],[MONTH]])</f>
        <v>0</v>
      </c>
      <c r="AN81" s="71" t="b">
        <f>ISBLANK(Table37[[#This Row],[MOOE (Php ''000)]])</f>
        <v>0</v>
      </c>
      <c r="AO81" s="71" t="b">
        <f>ISBLANK(Table37[[#This Row],[CO (Php ''000)]])</f>
        <v>1</v>
      </c>
    </row>
    <row r="82" spans="1:41">
      <c r="A82" s="51" t="str">
        <f>VLOOKUP(Table37[[#This Row],[OU]],OU!$A$15:$B$34,2,FALSE)</f>
        <v>RFOs</v>
      </c>
      <c r="B82" s="47" t="s">
        <v>297</v>
      </c>
      <c r="C82" s="47" t="s">
        <v>574</v>
      </c>
      <c r="D82" s="47" t="s">
        <v>585</v>
      </c>
      <c r="E82" s="51" t="str">
        <f>VLOOKUP(Table37[[#This Row],[SPECIFIC COMMODITY]],TAGS!$W$48:$X$53,2,FALSE)</f>
        <v>Multi_commodity</v>
      </c>
      <c r="F82" s="51" t="str">
        <f>VLOOKUP(Table37[[#This Row],[PREXC SUB-PROGRAM]],Table5[],2,FALSE)</f>
        <v>FIELD PROGRAMS MANAGEMENT ACTIVITIES</v>
      </c>
      <c r="G82" s="51" t="str">
        <f>VLOOKUP(Table37[[#This Row],[COMMODITY PREXC SUB-PROGRAM]],TAGS!$U$54:$V$76,2,FALSE)</f>
        <v>FPMA</v>
      </c>
      <c r="H82" s="47" t="s">
        <v>597</v>
      </c>
      <c r="I82" s="51" t="str">
        <f>VLOOKUP(Table37[[#This Row],[PI LEVEL 3]],'PI LEVEL'!A:C,3,FALSE)</f>
        <v>National/Regional Field Monitoring conducted</v>
      </c>
      <c r="J82" s="51" t="str">
        <f>VLOOKUP(Table37[[#This Row],[PI LEVEL 3]],Table53729[[Performance Indicator Level 3]:[Performance Indicator Level 1]],2,FALSE)</f>
        <v>National/Regional Field Monitoring conducted</v>
      </c>
      <c r="K82" s="51" t="str">
        <f>VLOOKUP(Table37[[#This Row],[ACTIVITY]],TAGS!B:P,2,FALSE)</f>
        <v>National/Regional Field Monitoring conducted</v>
      </c>
      <c r="L82" s="47" t="s">
        <v>227</v>
      </c>
      <c r="M82" s="51" t="str">
        <f>VLOOKUP(Table37[[#This Row],[ACTIVITY]],TAGS!$B:$P,4,FALSE)</f>
        <v>FPMA</v>
      </c>
      <c r="N82" s="51" t="str">
        <f>VLOOKUP(Table37[[#This Row],[ACTIVITY]],TAGS!$B:$P,5,FALSE)</f>
        <v>FPMA</v>
      </c>
      <c r="O82" s="51" t="str">
        <f>VLOOKUP(Table37[[#This Row],[ACTIVITY]],TAGS!$B:$P,6,FALSE)</f>
        <v>Salary (Staff)</v>
      </c>
      <c r="P82" s="51" t="str">
        <f>VLOOKUP(Table37[[#This Row],[ACTIVITY]],TAGS!$B:$P,7,FALSE)</f>
        <v>NO</v>
      </c>
      <c r="Q82" s="51" t="str">
        <f>VLOOKUP(Table37[[#This Row],[ACTIVITY]],TAGS!$B:$P,8,FALSE)</f>
        <v>Overhead</v>
      </c>
      <c r="R82" s="51" t="str">
        <f>VLOOKUP(Table37[[#This Row],[ACTIVITY]],TAGS!$B:$P,10,FALSE)</f>
        <v>NON-PIP</v>
      </c>
      <c r="S82" s="51" t="str">
        <f>VLOOKUP(Table37[[#This Row],[ACTIVITY]],TAGS!$B:$P,11,FALSE)</f>
        <v>NON-PICS</v>
      </c>
      <c r="T82" s="51">
        <f>VLOOKUP(Table37[[#This Row],[ACTIVITY]],TAGS!$B:$P,12,FALSE)</f>
        <v>0</v>
      </c>
      <c r="U82" s="51">
        <f>VLOOKUP(Table37[[#This Row],[ACTIVITY]],TAGS!$B:$P,13,FALSE)</f>
        <v>0</v>
      </c>
      <c r="V82" s="51">
        <f>VLOOKUP(Table37[[#This Row],[ACTIVITY]],TAGS!$B:$P,14,FALSE)</f>
        <v>0</v>
      </c>
      <c r="W82" s="51" t="str">
        <f>VLOOKUP(Table37[[#This Row],[ACTIVITY]],TAGS!$B:$P,15,FALSE)</f>
        <v>Existing</v>
      </c>
      <c r="X82" s="51">
        <f>VLOOKUP(Table37[[#This Row],[PI LEVEL 3]],'PI LEVEL'!$A:$G,7,FALSE)</f>
        <v>0</v>
      </c>
      <c r="Y82" s="47" t="s">
        <v>577</v>
      </c>
      <c r="Z82" s="47" t="s">
        <v>332</v>
      </c>
      <c r="AA82" s="51" t="str">
        <f>VLOOKUP(Table37[[#This Row],[MONTH]],TAGS!$W$67:$Y$81,2,FALSE)</f>
        <v>2ND QTR</v>
      </c>
      <c r="AB82" s="51" t="str">
        <f>VLOOKUP(Table37[[#This Row],[MONTH]],TAGS!$W$67:$Y$81,3,FALSE)</f>
        <v>1ST SEMESTER</v>
      </c>
      <c r="AC82" s="51">
        <f>VLOOKUP(Table37[[#This Row],[MONTH]],TAGS!$W$67:$Z$81,4,FALSE)</f>
        <v>2025</v>
      </c>
      <c r="AD82" s="47">
        <v>7500</v>
      </c>
      <c r="AE82" s="47"/>
      <c r="AF82" s="51">
        <f>SUM(Table37[[#This Row],[MOOE (Php ''000)]:[CO (Php ''000)]])</f>
        <v>7500</v>
      </c>
      <c r="AG82" s="71" t="b">
        <f>ISBLANK(Table37[[#This Row],[PRPOPOSAL/BEDS]])</f>
        <v>0</v>
      </c>
      <c r="AH82" s="71" t="b">
        <f>ISBLANK(Table37[[#This Row],[OU]])</f>
        <v>0</v>
      </c>
      <c r="AI82" s="71" t="b">
        <f>ISBLANK(Table37[[#This Row],[SPECIFIC COMMODITY]])</f>
        <v>0</v>
      </c>
      <c r="AJ82" s="71" t="b">
        <f>ISBLANK(Table37[[#This Row],[COMMODITY PREXC SUB-PROGRAM]])</f>
        <v>0</v>
      </c>
      <c r="AK82" s="71" t="b">
        <f>ISBLANK(Table37[[#This Row],[ACTIVITY]])</f>
        <v>0</v>
      </c>
      <c r="AL82" s="71" t="b">
        <f>ISBLANK(Table37[[#This Row],[TAG-GAD]])</f>
        <v>0</v>
      </c>
      <c r="AM82" s="71" t="b">
        <f>ISBLANK(Table37[[#This Row],[MONTH]])</f>
        <v>0</v>
      </c>
      <c r="AN82" s="71" t="b">
        <f>ISBLANK(Table37[[#This Row],[MOOE (Php ''000)]])</f>
        <v>0</v>
      </c>
      <c r="AO82" s="71" t="b">
        <f>ISBLANK(Table37[[#This Row],[CO (Php ''000)]])</f>
        <v>1</v>
      </c>
    </row>
    <row r="83" spans="1:41">
      <c r="A83" s="51" t="str">
        <f>VLOOKUP(Table37[[#This Row],[OU]],OU!$A$15:$B$34,2,FALSE)</f>
        <v>RFOs</v>
      </c>
      <c r="B83" s="47" t="s">
        <v>297</v>
      </c>
      <c r="C83" s="47" t="s">
        <v>574</v>
      </c>
      <c r="D83" s="47" t="s">
        <v>585</v>
      </c>
      <c r="E83" s="51" t="str">
        <f>VLOOKUP(Table37[[#This Row],[SPECIFIC COMMODITY]],TAGS!$W$48:$X$53,2,FALSE)</f>
        <v>Multi_commodity</v>
      </c>
      <c r="F83" s="51" t="str">
        <f>VLOOKUP(Table37[[#This Row],[PREXC SUB-PROGRAM]],Table5[],2,FALSE)</f>
        <v>FIELD PROGRAMS MANAGEMENT ACTIVITIES</v>
      </c>
      <c r="G83" s="51" t="str">
        <f>VLOOKUP(Table37[[#This Row],[COMMODITY PREXC SUB-PROGRAM]],TAGS!$U$54:$V$76,2,FALSE)</f>
        <v>FPMA</v>
      </c>
      <c r="H83" s="47" t="s">
        <v>597</v>
      </c>
      <c r="I83" s="51" t="str">
        <f>VLOOKUP(Table37[[#This Row],[PI LEVEL 3]],'PI LEVEL'!A:C,3,FALSE)</f>
        <v>National/Regional Field Monitoring conducted</v>
      </c>
      <c r="J83" s="51" t="str">
        <f>VLOOKUP(Table37[[#This Row],[PI LEVEL 3]],Table53729[[Performance Indicator Level 3]:[Performance Indicator Level 1]],2,FALSE)</f>
        <v>National/Regional Field Monitoring conducted</v>
      </c>
      <c r="K83" s="51" t="str">
        <f>VLOOKUP(Table37[[#This Row],[ACTIVITY]],TAGS!B:P,2,FALSE)</f>
        <v>National/Regional Field Monitoring conducted</v>
      </c>
      <c r="L83" s="47" t="s">
        <v>229</v>
      </c>
      <c r="M83" s="51" t="str">
        <f>VLOOKUP(Table37[[#This Row],[ACTIVITY]],TAGS!$B:$P,4,FALSE)</f>
        <v>FPMA</v>
      </c>
      <c r="N83" s="51" t="str">
        <f>VLOOKUP(Table37[[#This Row],[ACTIVITY]],TAGS!$B:$P,5,FALSE)</f>
        <v>FPMA</v>
      </c>
      <c r="O83" s="51" t="str">
        <f>VLOOKUP(Table37[[#This Row],[ACTIVITY]],TAGS!$B:$P,6,FALSE)</f>
        <v>Workshop and Meetings</v>
      </c>
      <c r="P83" s="51" t="str">
        <f>VLOOKUP(Table37[[#This Row],[ACTIVITY]],TAGS!$B:$P,7,FALSE)</f>
        <v>NO</v>
      </c>
      <c r="Q83" s="51" t="str">
        <f>VLOOKUP(Table37[[#This Row],[ACTIVITY]],TAGS!$B:$P,8,FALSE)</f>
        <v>Overhead</v>
      </c>
      <c r="R83" s="51" t="str">
        <f>VLOOKUP(Table37[[#This Row],[ACTIVITY]],TAGS!$B:$P,10,FALSE)</f>
        <v>NON-PIP</v>
      </c>
      <c r="S83" s="51" t="str">
        <f>VLOOKUP(Table37[[#This Row],[ACTIVITY]],TAGS!$B:$P,11,FALSE)</f>
        <v>NON-PICS</v>
      </c>
      <c r="T83" s="51">
        <f>VLOOKUP(Table37[[#This Row],[ACTIVITY]],TAGS!$B:$P,12,FALSE)</f>
        <v>0</v>
      </c>
      <c r="U83" s="51">
        <f>VLOOKUP(Table37[[#This Row],[ACTIVITY]],TAGS!$B:$P,13,FALSE)</f>
        <v>0</v>
      </c>
      <c r="V83" s="51">
        <f>VLOOKUP(Table37[[#This Row],[ACTIVITY]],TAGS!$B:$P,14,FALSE)</f>
        <v>0</v>
      </c>
      <c r="W83" s="51" t="str">
        <f>VLOOKUP(Table37[[#This Row],[ACTIVITY]],TAGS!$B:$P,15,FALSE)</f>
        <v>Existing</v>
      </c>
      <c r="X83" s="51">
        <f>VLOOKUP(Table37[[#This Row],[PI LEVEL 3]],'PI LEVEL'!$A:$G,7,FALSE)</f>
        <v>0</v>
      </c>
      <c r="Y83" s="47" t="s">
        <v>577</v>
      </c>
      <c r="Z83" s="47" t="s">
        <v>327</v>
      </c>
      <c r="AA83" s="51" t="str">
        <f>VLOOKUP(Table37[[#This Row],[MONTH]],TAGS!$W$67:$Y$81,2,FALSE)</f>
        <v>1ST QTR</v>
      </c>
      <c r="AB83" s="51" t="str">
        <f>VLOOKUP(Table37[[#This Row],[MONTH]],TAGS!$W$67:$Y$81,3,FALSE)</f>
        <v>1ST SEMESTER</v>
      </c>
      <c r="AC83" s="51">
        <f>VLOOKUP(Table37[[#This Row],[MONTH]],TAGS!$W$67:$Z$81,4,FALSE)</f>
        <v>2025</v>
      </c>
      <c r="AD83" s="47">
        <v>50</v>
      </c>
      <c r="AE83" s="47"/>
      <c r="AF83" s="51">
        <f>SUM(Table37[[#This Row],[MOOE (Php ''000)]:[CO (Php ''000)]])</f>
        <v>50</v>
      </c>
      <c r="AG83" s="71" t="b">
        <f>ISBLANK(Table37[[#This Row],[PRPOPOSAL/BEDS]])</f>
        <v>0</v>
      </c>
      <c r="AH83" s="71" t="b">
        <f>ISBLANK(Table37[[#This Row],[OU]])</f>
        <v>0</v>
      </c>
      <c r="AI83" s="71" t="b">
        <f>ISBLANK(Table37[[#This Row],[SPECIFIC COMMODITY]])</f>
        <v>0</v>
      </c>
      <c r="AJ83" s="71" t="b">
        <f>ISBLANK(Table37[[#This Row],[COMMODITY PREXC SUB-PROGRAM]])</f>
        <v>0</v>
      </c>
      <c r="AK83" s="71" t="b">
        <f>ISBLANK(Table37[[#This Row],[ACTIVITY]])</f>
        <v>0</v>
      </c>
      <c r="AL83" s="71" t="b">
        <f>ISBLANK(Table37[[#This Row],[TAG-GAD]])</f>
        <v>0</v>
      </c>
      <c r="AM83" s="71" t="b">
        <f>ISBLANK(Table37[[#This Row],[MONTH]])</f>
        <v>0</v>
      </c>
      <c r="AN83" s="71" t="b">
        <f>ISBLANK(Table37[[#This Row],[MOOE (Php ''000)]])</f>
        <v>0</v>
      </c>
      <c r="AO83" s="71" t="b">
        <f>ISBLANK(Table37[[#This Row],[CO (Php ''000)]])</f>
        <v>1</v>
      </c>
    </row>
    <row r="84" spans="1:41">
      <c r="A84" s="51" t="str">
        <f>VLOOKUP(Table37[[#This Row],[OU]],OU!$A$15:$B$34,2,FALSE)</f>
        <v>RFOs</v>
      </c>
      <c r="B84" s="47" t="s">
        <v>297</v>
      </c>
      <c r="C84" s="47" t="s">
        <v>574</v>
      </c>
      <c r="D84" s="47" t="s">
        <v>585</v>
      </c>
      <c r="E84" s="51" t="str">
        <f>VLOOKUP(Table37[[#This Row],[SPECIFIC COMMODITY]],TAGS!$W$48:$X$53,2,FALSE)</f>
        <v>Multi_commodity</v>
      </c>
      <c r="F84" s="51" t="str">
        <f>VLOOKUP(Table37[[#This Row],[PREXC SUB-PROGRAM]],Table5[],2,FALSE)</f>
        <v>FIELD PROGRAMS MANAGEMENT ACTIVITIES</v>
      </c>
      <c r="G84" s="51" t="str">
        <f>VLOOKUP(Table37[[#This Row],[COMMODITY PREXC SUB-PROGRAM]],TAGS!$U$54:$V$76,2,FALSE)</f>
        <v>FPMA</v>
      </c>
      <c r="H84" s="47" t="s">
        <v>597</v>
      </c>
      <c r="I84" s="51" t="str">
        <f>VLOOKUP(Table37[[#This Row],[PI LEVEL 3]],'PI LEVEL'!A:C,3,FALSE)</f>
        <v>National/Regional Field Monitoring conducted</v>
      </c>
      <c r="J84" s="51" t="str">
        <f>VLOOKUP(Table37[[#This Row],[PI LEVEL 3]],Table53729[[Performance Indicator Level 3]:[Performance Indicator Level 1]],2,FALSE)</f>
        <v>National/Regional Field Monitoring conducted</v>
      </c>
      <c r="K84" s="51" t="str">
        <f>VLOOKUP(Table37[[#This Row],[ACTIVITY]],TAGS!B:P,2,FALSE)</f>
        <v>National/Regional Field Monitoring conducted</v>
      </c>
      <c r="L84" s="47" t="s">
        <v>229</v>
      </c>
      <c r="M84" s="51" t="str">
        <f>VLOOKUP(Table37[[#This Row],[ACTIVITY]],TAGS!$B:$P,4,FALSE)</f>
        <v>FPMA</v>
      </c>
      <c r="N84" s="51" t="str">
        <f>VLOOKUP(Table37[[#This Row],[ACTIVITY]],TAGS!$B:$P,5,FALSE)</f>
        <v>FPMA</v>
      </c>
      <c r="O84" s="51" t="str">
        <f>VLOOKUP(Table37[[#This Row],[ACTIVITY]],TAGS!$B:$P,6,FALSE)</f>
        <v>Workshop and Meetings</v>
      </c>
      <c r="P84" s="51" t="str">
        <f>VLOOKUP(Table37[[#This Row],[ACTIVITY]],TAGS!$B:$P,7,FALSE)</f>
        <v>NO</v>
      </c>
      <c r="Q84" s="51" t="str">
        <f>VLOOKUP(Table37[[#This Row],[ACTIVITY]],TAGS!$B:$P,8,FALSE)</f>
        <v>Overhead</v>
      </c>
      <c r="R84" s="51" t="str">
        <f>VLOOKUP(Table37[[#This Row],[ACTIVITY]],TAGS!$B:$P,10,FALSE)</f>
        <v>NON-PIP</v>
      </c>
      <c r="S84" s="51" t="str">
        <f>VLOOKUP(Table37[[#This Row],[ACTIVITY]],TAGS!$B:$P,11,FALSE)</f>
        <v>NON-PICS</v>
      </c>
      <c r="T84" s="51">
        <f>VLOOKUP(Table37[[#This Row],[ACTIVITY]],TAGS!$B:$P,12,FALSE)</f>
        <v>0</v>
      </c>
      <c r="U84" s="51">
        <f>VLOOKUP(Table37[[#This Row],[ACTIVITY]],TAGS!$B:$P,13,FALSE)</f>
        <v>0</v>
      </c>
      <c r="V84" s="51">
        <f>VLOOKUP(Table37[[#This Row],[ACTIVITY]],TAGS!$B:$P,14,FALSE)</f>
        <v>0</v>
      </c>
      <c r="W84" s="51" t="str">
        <f>VLOOKUP(Table37[[#This Row],[ACTIVITY]],TAGS!$B:$P,15,FALSE)</f>
        <v>Existing</v>
      </c>
      <c r="X84" s="51">
        <f>VLOOKUP(Table37[[#This Row],[PI LEVEL 3]],'PI LEVEL'!$A:$G,7,FALSE)</f>
        <v>0</v>
      </c>
      <c r="Y84" s="47" t="s">
        <v>577</v>
      </c>
      <c r="Z84" s="47" t="s">
        <v>328</v>
      </c>
      <c r="AA84" s="51" t="str">
        <f>VLOOKUP(Table37[[#This Row],[MONTH]],TAGS!$W$67:$Y$81,2,FALSE)</f>
        <v>1ST QTR</v>
      </c>
      <c r="AB84" s="51" t="str">
        <f>VLOOKUP(Table37[[#This Row],[MONTH]],TAGS!$W$67:$Y$81,3,FALSE)</f>
        <v>1ST SEMESTER</v>
      </c>
      <c r="AC84" s="51">
        <f>VLOOKUP(Table37[[#This Row],[MONTH]],TAGS!$W$67:$Z$81,4,FALSE)</f>
        <v>2025</v>
      </c>
      <c r="AD84" s="47">
        <v>325</v>
      </c>
      <c r="AE84" s="47"/>
      <c r="AF84" s="51">
        <f>SUM(Table37[[#This Row],[MOOE (Php ''000)]:[CO (Php ''000)]])</f>
        <v>325</v>
      </c>
      <c r="AG84" s="71" t="b">
        <f>ISBLANK(Table37[[#This Row],[PRPOPOSAL/BEDS]])</f>
        <v>0</v>
      </c>
      <c r="AH84" s="71" t="b">
        <f>ISBLANK(Table37[[#This Row],[OU]])</f>
        <v>0</v>
      </c>
      <c r="AI84" s="71" t="b">
        <f>ISBLANK(Table37[[#This Row],[SPECIFIC COMMODITY]])</f>
        <v>0</v>
      </c>
      <c r="AJ84" s="71" t="b">
        <f>ISBLANK(Table37[[#This Row],[COMMODITY PREXC SUB-PROGRAM]])</f>
        <v>0</v>
      </c>
      <c r="AK84" s="71" t="b">
        <f>ISBLANK(Table37[[#This Row],[ACTIVITY]])</f>
        <v>0</v>
      </c>
      <c r="AL84" s="71" t="b">
        <f>ISBLANK(Table37[[#This Row],[TAG-GAD]])</f>
        <v>0</v>
      </c>
      <c r="AM84" s="71" t="b">
        <f>ISBLANK(Table37[[#This Row],[MONTH]])</f>
        <v>0</v>
      </c>
      <c r="AN84" s="71" t="b">
        <f>ISBLANK(Table37[[#This Row],[MOOE (Php ''000)]])</f>
        <v>0</v>
      </c>
      <c r="AO84" s="71" t="b">
        <f>ISBLANK(Table37[[#This Row],[CO (Php ''000)]])</f>
        <v>1</v>
      </c>
    </row>
    <row r="85" spans="1:41">
      <c r="A85" s="51" t="str">
        <f>VLOOKUP(Table37[[#This Row],[OU]],OU!$A$15:$B$34,2,FALSE)</f>
        <v>RFOs</v>
      </c>
      <c r="B85" s="47" t="s">
        <v>297</v>
      </c>
      <c r="C85" s="47" t="s">
        <v>574</v>
      </c>
      <c r="D85" s="47" t="s">
        <v>585</v>
      </c>
      <c r="E85" s="51" t="str">
        <f>VLOOKUP(Table37[[#This Row],[SPECIFIC COMMODITY]],TAGS!$W$48:$X$53,2,FALSE)</f>
        <v>Multi_commodity</v>
      </c>
      <c r="F85" s="51" t="str">
        <f>VLOOKUP(Table37[[#This Row],[PREXC SUB-PROGRAM]],Table5[],2,FALSE)</f>
        <v>FIELD PROGRAMS MANAGEMENT ACTIVITIES</v>
      </c>
      <c r="G85" s="51" t="str">
        <f>VLOOKUP(Table37[[#This Row],[COMMODITY PREXC SUB-PROGRAM]],TAGS!$U$54:$V$76,2,FALSE)</f>
        <v>FPMA</v>
      </c>
      <c r="H85" s="47" t="s">
        <v>597</v>
      </c>
      <c r="I85" s="51" t="str">
        <f>VLOOKUP(Table37[[#This Row],[PI LEVEL 3]],'PI LEVEL'!A:C,3,FALSE)</f>
        <v>National/Regional Field Monitoring conducted</v>
      </c>
      <c r="J85" s="51" t="str">
        <f>VLOOKUP(Table37[[#This Row],[PI LEVEL 3]],Table53729[[Performance Indicator Level 3]:[Performance Indicator Level 1]],2,FALSE)</f>
        <v>National/Regional Field Monitoring conducted</v>
      </c>
      <c r="K85" s="51" t="str">
        <f>VLOOKUP(Table37[[#This Row],[ACTIVITY]],TAGS!B:P,2,FALSE)</f>
        <v>National/Regional Field Monitoring conducted</v>
      </c>
      <c r="L85" s="47" t="s">
        <v>229</v>
      </c>
      <c r="M85" s="51" t="str">
        <f>VLOOKUP(Table37[[#This Row],[ACTIVITY]],TAGS!$B:$P,4,FALSE)</f>
        <v>FPMA</v>
      </c>
      <c r="N85" s="51" t="str">
        <f>VLOOKUP(Table37[[#This Row],[ACTIVITY]],TAGS!$B:$P,5,FALSE)</f>
        <v>FPMA</v>
      </c>
      <c r="O85" s="51" t="str">
        <f>VLOOKUP(Table37[[#This Row],[ACTIVITY]],TAGS!$B:$P,6,FALSE)</f>
        <v>Workshop and Meetings</v>
      </c>
      <c r="P85" s="51" t="str">
        <f>VLOOKUP(Table37[[#This Row],[ACTIVITY]],TAGS!$B:$P,7,FALSE)</f>
        <v>NO</v>
      </c>
      <c r="Q85" s="51" t="str">
        <f>VLOOKUP(Table37[[#This Row],[ACTIVITY]],TAGS!$B:$P,8,FALSE)</f>
        <v>Overhead</v>
      </c>
      <c r="R85" s="51" t="str">
        <f>VLOOKUP(Table37[[#This Row],[ACTIVITY]],TAGS!$B:$P,10,FALSE)</f>
        <v>NON-PIP</v>
      </c>
      <c r="S85" s="51" t="str">
        <f>VLOOKUP(Table37[[#This Row],[ACTIVITY]],TAGS!$B:$P,11,FALSE)</f>
        <v>NON-PICS</v>
      </c>
      <c r="T85" s="51">
        <f>VLOOKUP(Table37[[#This Row],[ACTIVITY]],TAGS!$B:$P,12,FALSE)</f>
        <v>0</v>
      </c>
      <c r="U85" s="51">
        <f>VLOOKUP(Table37[[#This Row],[ACTIVITY]],TAGS!$B:$P,13,FALSE)</f>
        <v>0</v>
      </c>
      <c r="V85" s="51">
        <f>VLOOKUP(Table37[[#This Row],[ACTIVITY]],TAGS!$B:$P,14,FALSE)</f>
        <v>0</v>
      </c>
      <c r="W85" s="51" t="str">
        <f>VLOOKUP(Table37[[#This Row],[ACTIVITY]],TAGS!$B:$P,15,FALSE)</f>
        <v>Existing</v>
      </c>
      <c r="X85" s="51">
        <f>VLOOKUP(Table37[[#This Row],[PI LEVEL 3]],'PI LEVEL'!$A:$G,7,FALSE)</f>
        <v>0</v>
      </c>
      <c r="Y85" s="47" t="s">
        <v>577</v>
      </c>
      <c r="Z85" s="47" t="s">
        <v>329</v>
      </c>
      <c r="AA85" s="51" t="str">
        <f>VLOOKUP(Table37[[#This Row],[MONTH]],TAGS!$W$67:$Y$81,2,FALSE)</f>
        <v>1ST QTR</v>
      </c>
      <c r="AB85" s="51" t="str">
        <f>VLOOKUP(Table37[[#This Row],[MONTH]],TAGS!$W$67:$Y$81,3,FALSE)</f>
        <v>1ST SEMESTER</v>
      </c>
      <c r="AC85" s="51">
        <f>VLOOKUP(Table37[[#This Row],[MONTH]],TAGS!$W$67:$Z$81,4,FALSE)</f>
        <v>2025</v>
      </c>
      <c r="AD85" s="47">
        <v>600</v>
      </c>
      <c r="AE85" s="47"/>
      <c r="AF85" s="51">
        <f>SUM(Table37[[#This Row],[MOOE (Php ''000)]:[CO (Php ''000)]])</f>
        <v>600</v>
      </c>
      <c r="AG85" s="71" t="b">
        <f>ISBLANK(Table37[[#This Row],[PRPOPOSAL/BEDS]])</f>
        <v>0</v>
      </c>
      <c r="AH85" s="71" t="b">
        <f>ISBLANK(Table37[[#This Row],[OU]])</f>
        <v>0</v>
      </c>
      <c r="AI85" s="71" t="b">
        <f>ISBLANK(Table37[[#This Row],[SPECIFIC COMMODITY]])</f>
        <v>0</v>
      </c>
      <c r="AJ85" s="71" t="b">
        <f>ISBLANK(Table37[[#This Row],[COMMODITY PREXC SUB-PROGRAM]])</f>
        <v>0</v>
      </c>
      <c r="AK85" s="71" t="b">
        <f>ISBLANK(Table37[[#This Row],[ACTIVITY]])</f>
        <v>0</v>
      </c>
      <c r="AL85" s="71" t="b">
        <f>ISBLANK(Table37[[#This Row],[TAG-GAD]])</f>
        <v>0</v>
      </c>
      <c r="AM85" s="71" t="b">
        <f>ISBLANK(Table37[[#This Row],[MONTH]])</f>
        <v>0</v>
      </c>
      <c r="AN85" s="71" t="b">
        <f>ISBLANK(Table37[[#This Row],[MOOE (Php ''000)]])</f>
        <v>0</v>
      </c>
      <c r="AO85" s="71" t="b">
        <f>ISBLANK(Table37[[#This Row],[CO (Php ''000)]])</f>
        <v>1</v>
      </c>
    </row>
    <row r="86" spans="1:41">
      <c r="A86" s="51" t="str">
        <f>VLOOKUP(Table37[[#This Row],[OU]],OU!$A$15:$B$34,2,FALSE)</f>
        <v>RFOs</v>
      </c>
      <c r="B86" s="47" t="s">
        <v>297</v>
      </c>
      <c r="C86" s="47" t="s">
        <v>574</v>
      </c>
      <c r="D86" s="47" t="s">
        <v>585</v>
      </c>
      <c r="E86" s="51" t="str">
        <f>VLOOKUP(Table37[[#This Row],[SPECIFIC COMMODITY]],TAGS!$W$48:$X$53,2,FALSE)</f>
        <v>Multi_commodity</v>
      </c>
      <c r="F86" s="51" t="str">
        <f>VLOOKUP(Table37[[#This Row],[PREXC SUB-PROGRAM]],Table5[],2,FALSE)</f>
        <v>FIELD PROGRAMS MANAGEMENT ACTIVITIES</v>
      </c>
      <c r="G86" s="51" t="str">
        <f>VLOOKUP(Table37[[#This Row],[COMMODITY PREXC SUB-PROGRAM]],TAGS!$U$54:$V$76,2,FALSE)</f>
        <v>FPMA</v>
      </c>
      <c r="H86" s="47" t="s">
        <v>597</v>
      </c>
      <c r="I86" s="51" t="str">
        <f>VLOOKUP(Table37[[#This Row],[PI LEVEL 3]],'PI LEVEL'!A:C,3,FALSE)</f>
        <v>National/Regional Field Monitoring conducted</v>
      </c>
      <c r="J86" s="51" t="str">
        <f>VLOOKUP(Table37[[#This Row],[PI LEVEL 3]],Table53729[[Performance Indicator Level 3]:[Performance Indicator Level 1]],2,FALSE)</f>
        <v>National/Regional Field Monitoring conducted</v>
      </c>
      <c r="K86" s="51" t="str">
        <f>VLOOKUP(Table37[[#This Row],[ACTIVITY]],TAGS!B:P,2,FALSE)</f>
        <v>National/Regional Field Monitoring conducted</v>
      </c>
      <c r="L86" s="47" t="s">
        <v>229</v>
      </c>
      <c r="M86" s="51" t="str">
        <f>VLOOKUP(Table37[[#This Row],[ACTIVITY]],TAGS!$B:$P,4,FALSE)</f>
        <v>FPMA</v>
      </c>
      <c r="N86" s="51" t="str">
        <f>VLOOKUP(Table37[[#This Row],[ACTIVITY]],TAGS!$B:$P,5,FALSE)</f>
        <v>FPMA</v>
      </c>
      <c r="O86" s="51" t="str">
        <f>VLOOKUP(Table37[[#This Row],[ACTIVITY]],TAGS!$B:$P,6,FALSE)</f>
        <v>Workshop and Meetings</v>
      </c>
      <c r="P86" s="51" t="str">
        <f>VLOOKUP(Table37[[#This Row],[ACTIVITY]],TAGS!$B:$P,7,FALSE)</f>
        <v>NO</v>
      </c>
      <c r="Q86" s="51" t="str">
        <f>VLOOKUP(Table37[[#This Row],[ACTIVITY]],TAGS!$B:$P,8,FALSE)</f>
        <v>Overhead</v>
      </c>
      <c r="R86" s="51" t="str">
        <f>VLOOKUP(Table37[[#This Row],[ACTIVITY]],TAGS!$B:$P,10,FALSE)</f>
        <v>NON-PIP</v>
      </c>
      <c r="S86" s="51" t="str">
        <f>VLOOKUP(Table37[[#This Row],[ACTIVITY]],TAGS!$B:$P,11,FALSE)</f>
        <v>NON-PICS</v>
      </c>
      <c r="T86" s="51">
        <f>VLOOKUP(Table37[[#This Row],[ACTIVITY]],TAGS!$B:$P,12,FALSE)</f>
        <v>0</v>
      </c>
      <c r="U86" s="51">
        <f>VLOOKUP(Table37[[#This Row],[ACTIVITY]],TAGS!$B:$P,13,FALSE)</f>
        <v>0</v>
      </c>
      <c r="V86" s="51">
        <f>VLOOKUP(Table37[[#This Row],[ACTIVITY]],TAGS!$B:$P,14,FALSE)</f>
        <v>0</v>
      </c>
      <c r="W86" s="51" t="str">
        <f>VLOOKUP(Table37[[#This Row],[ACTIVITY]],TAGS!$B:$P,15,FALSE)</f>
        <v>Existing</v>
      </c>
      <c r="X86" s="51">
        <f>VLOOKUP(Table37[[#This Row],[PI LEVEL 3]],'PI LEVEL'!$A:$G,7,FALSE)</f>
        <v>0</v>
      </c>
      <c r="Y86" s="47" t="s">
        <v>577</v>
      </c>
      <c r="Z86" s="47" t="s">
        <v>330</v>
      </c>
      <c r="AA86" s="51" t="str">
        <f>VLOOKUP(Table37[[#This Row],[MONTH]],TAGS!$W$67:$Y$81,2,FALSE)</f>
        <v>2ND QTR</v>
      </c>
      <c r="AB86" s="51" t="str">
        <f>VLOOKUP(Table37[[#This Row],[MONTH]],TAGS!$W$67:$Y$81,3,FALSE)</f>
        <v>1ST SEMESTER</v>
      </c>
      <c r="AC86" s="51">
        <f>VLOOKUP(Table37[[#This Row],[MONTH]],TAGS!$W$67:$Z$81,4,FALSE)</f>
        <v>2025</v>
      </c>
      <c r="AD86" s="47">
        <v>325</v>
      </c>
      <c r="AE86" s="47"/>
      <c r="AF86" s="51">
        <f>SUM(Table37[[#This Row],[MOOE (Php ''000)]:[CO (Php ''000)]])</f>
        <v>325</v>
      </c>
      <c r="AG86" s="71" t="b">
        <f>ISBLANK(Table37[[#This Row],[PRPOPOSAL/BEDS]])</f>
        <v>0</v>
      </c>
      <c r="AH86" s="71" t="b">
        <f>ISBLANK(Table37[[#This Row],[OU]])</f>
        <v>0</v>
      </c>
      <c r="AI86" s="71" t="b">
        <f>ISBLANK(Table37[[#This Row],[SPECIFIC COMMODITY]])</f>
        <v>0</v>
      </c>
      <c r="AJ86" s="71" t="b">
        <f>ISBLANK(Table37[[#This Row],[COMMODITY PREXC SUB-PROGRAM]])</f>
        <v>0</v>
      </c>
      <c r="AK86" s="71" t="b">
        <f>ISBLANK(Table37[[#This Row],[ACTIVITY]])</f>
        <v>0</v>
      </c>
      <c r="AL86" s="71" t="b">
        <f>ISBLANK(Table37[[#This Row],[TAG-GAD]])</f>
        <v>0</v>
      </c>
      <c r="AM86" s="71" t="b">
        <f>ISBLANK(Table37[[#This Row],[MONTH]])</f>
        <v>0</v>
      </c>
      <c r="AN86" s="71" t="b">
        <f>ISBLANK(Table37[[#This Row],[MOOE (Php ''000)]])</f>
        <v>0</v>
      </c>
      <c r="AO86" s="71" t="b">
        <f>ISBLANK(Table37[[#This Row],[CO (Php ''000)]])</f>
        <v>1</v>
      </c>
    </row>
    <row r="87" spans="1:41">
      <c r="A87" s="51" t="str">
        <f>VLOOKUP(Table37[[#This Row],[OU]],OU!$A$15:$B$34,2,FALSE)</f>
        <v>RFOs</v>
      </c>
      <c r="B87" s="47" t="s">
        <v>297</v>
      </c>
      <c r="C87" s="47" t="s">
        <v>574</v>
      </c>
      <c r="D87" s="47" t="s">
        <v>585</v>
      </c>
      <c r="E87" s="51" t="str">
        <f>VLOOKUP(Table37[[#This Row],[SPECIFIC COMMODITY]],TAGS!$W$48:$X$53,2,FALSE)</f>
        <v>Multi_commodity</v>
      </c>
      <c r="F87" s="51" t="str">
        <f>VLOOKUP(Table37[[#This Row],[PREXC SUB-PROGRAM]],Table5[],2,FALSE)</f>
        <v>FIELD PROGRAMS MANAGEMENT ACTIVITIES</v>
      </c>
      <c r="G87" s="51" t="str">
        <f>VLOOKUP(Table37[[#This Row],[COMMODITY PREXC SUB-PROGRAM]],TAGS!$U$54:$V$76,2,FALSE)</f>
        <v>FPMA</v>
      </c>
      <c r="H87" s="47" t="s">
        <v>597</v>
      </c>
      <c r="I87" s="51" t="str">
        <f>VLOOKUP(Table37[[#This Row],[PI LEVEL 3]],'PI LEVEL'!A:C,3,FALSE)</f>
        <v>National/Regional Field Monitoring conducted</v>
      </c>
      <c r="J87" s="51" t="str">
        <f>VLOOKUP(Table37[[#This Row],[PI LEVEL 3]],Table53729[[Performance Indicator Level 3]:[Performance Indicator Level 1]],2,FALSE)</f>
        <v>National/Regional Field Monitoring conducted</v>
      </c>
      <c r="K87" s="51" t="str">
        <f>VLOOKUP(Table37[[#This Row],[ACTIVITY]],TAGS!B:P,2,FALSE)</f>
        <v>National/Regional Field Monitoring conducted</v>
      </c>
      <c r="L87" s="47" t="s">
        <v>229</v>
      </c>
      <c r="M87" s="51" t="str">
        <f>VLOOKUP(Table37[[#This Row],[ACTIVITY]],TAGS!$B:$P,4,FALSE)</f>
        <v>FPMA</v>
      </c>
      <c r="N87" s="51" t="str">
        <f>VLOOKUP(Table37[[#This Row],[ACTIVITY]],TAGS!$B:$P,5,FALSE)</f>
        <v>FPMA</v>
      </c>
      <c r="O87" s="51" t="str">
        <f>VLOOKUP(Table37[[#This Row],[ACTIVITY]],TAGS!$B:$P,6,FALSE)</f>
        <v>Workshop and Meetings</v>
      </c>
      <c r="P87" s="51" t="str">
        <f>VLOOKUP(Table37[[#This Row],[ACTIVITY]],TAGS!$B:$P,7,FALSE)</f>
        <v>NO</v>
      </c>
      <c r="Q87" s="51" t="str">
        <f>VLOOKUP(Table37[[#This Row],[ACTIVITY]],TAGS!$B:$P,8,FALSE)</f>
        <v>Overhead</v>
      </c>
      <c r="R87" s="51" t="str">
        <f>VLOOKUP(Table37[[#This Row],[ACTIVITY]],TAGS!$B:$P,10,FALSE)</f>
        <v>NON-PIP</v>
      </c>
      <c r="S87" s="51" t="str">
        <f>VLOOKUP(Table37[[#This Row],[ACTIVITY]],TAGS!$B:$P,11,FALSE)</f>
        <v>NON-PICS</v>
      </c>
      <c r="T87" s="51">
        <f>VLOOKUP(Table37[[#This Row],[ACTIVITY]],TAGS!$B:$P,12,FALSE)</f>
        <v>0</v>
      </c>
      <c r="U87" s="51">
        <f>VLOOKUP(Table37[[#This Row],[ACTIVITY]],TAGS!$B:$P,13,FALSE)</f>
        <v>0</v>
      </c>
      <c r="V87" s="51">
        <f>VLOOKUP(Table37[[#This Row],[ACTIVITY]],TAGS!$B:$P,14,FALSE)</f>
        <v>0</v>
      </c>
      <c r="W87" s="51" t="str">
        <f>VLOOKUP(Table37[[#This Row],[ACTIVITY]],TAGS!$B:$P,15,FALSE)</f>
        <v>Existing</v>
      </c>
      <c r="X87" s="51">
        <f>VLOOKUP(Table37[[#This Row],[PI LEVEL 3]],'PI LEVEL'!$A:$G,7,FALSE)</f>
        <v>0</v>
      </c>
      <c r="Y87" s="47" t="s">
        <v>577</v>
      </c>
      <c r="Z87" s="47" t="s">
        <v>331</v>
      </c>
      <c r="AA87" s="51" t="str">
        <f>VLOOKUP(Table37[[#This Row],[MONTH]],TAGS!$W$67:$Y$81,2,FALSE)</f>
        <v>2ND QTR</v>
      </c>
      <c r="AB87" s="51" t="str">
        <f>VLOOKUP(Table37[[#This Row],[MONTH]],TAGS!$W$67:$Y$81,3,FALSE)</f>
        <v>1ST SEMESTER</v>
      </c>
      <c r="AC87" s="51">
        <f>VLOOKUP(Table37[[#This Row],[MONTH]],TAGS!$W$67:$Z$81,4,FALSE)</f>
        <v>2025</v>
      </c>
      <c r="AD87" s="47">
        <v>325</v>
      </c>
      <c r="AE87" s="47"/>
      <c r="AF87" s="51">
        <f>SUM(Table37[[#This Row],[MOOE (Php ''000)]:[CO (Php ''000)]])</f>
        <v>325</v>
      </c>
      <c r="AG87" s="71" t="b">
        <f>ISBLANK(Table37[[#This Row],[PRPOPOSAL/BEDS]])</f>
        <v>0</v>
      </c>
      <c r="AH87" s="71" t="b">
        <f>ISBLANK(Table37[[#This Row],[OU]])</f>
        <v>0</v>
      </c>
      <c r="AI87" s="71" t="b">
        <f>ISBLANK(Table37[[#This Row],[SPECIFIC COMMODITY]])</f>
        <v>0</v>
      </c>
      <c r="AJ87" s="71" t="b">
        <f>ISBLANK(Table37[[#This Row],[COMMODITY PREXC SUB-PROGRAM]])</f>
        <v>0</v>
      </c>
      <c r="AK87" s="71" t="b">
        <f>ISBLANK(Table37[[#This Row],[ACTIVITY]])</f>
        <v>0</v>
      </c>
      <c r="AL87" s="71" t="b">
        <f>ISBLANK(Table37[[#This Row],[TAG-GAD]])</f>
        <v>0</v>
      </c>
      <c r="AM87" s="71" t="b">
        <f>ISBLANK(Table37[[#This Row],[MONTH]])</f>
        <v>0</v>
      </c>
      <c r="AN87" s="71" t="b">
        <f>ISBLANK(Table37[[#This Row],[MOOE (Php ''000)]])</f>
        <v>0</v>
      </c>
      <c r="AO87" s="71" t="b">
        <f>ISBLANK(Table37[[#This Row],[CO (Php ''000)]])</f>
        <v>1</v>
      </c>
    </row>
    <row r="88" spans="1:41">
      <c r="A88" s="51" t="str">
        <f>VLOOKUP(Table37[[#This Row],[OU]],OU!$A$15:$B$34,2,FALSE)</f>
        <v>RFOs</v>
      </c>
      <c r="B88" s="47" t="s">
        <v>297</v>
      </c>
      <c r="C88" s="47" t="s">
        <v>574</v>
      </c>
      <c r="D88" s="47" t="s">
        <v>585</v>
      </c>
      <c r="E88" s="51" t="str">
        <f>VLOOKUP(Table37[[#This Row],[SPECIFIC COMMODITY]],TAGS!$W$48:$X$53,2,FALSE)</f>
        <v>Multi_commodity</v>
      </c>
      <c r="F88" s="51" t="str">
        <f>VLOOKUP(Table37[[#This Row],[PREXC SUB-PROGRAM]],Table5[],2,FALSE)</f>
        <v>FIELD PROGRAMS MANAGEMENT ACTIVITIES</v>
      </c>
      <c r="G88" s="51" t="str">
        <f>VLOOKUP(Table37[[#This Row],[COMMODITY PREXC SUB-PROGRAM]],TAGS!$U$54:$V$76,2,FALSE)</f>
        <v>FPMA</v>
      </c>
      <c r="H88" s="47" t="s">
        <v>597</v>
      </c>
      <c r="I88" s="51" t="str">
        <f>VLOOKUP(Table37[[#This Row],[PI LEVEL 3]],'PI LEVEL'!A:C,3,FALSE)</f>
        <v>National/Regional Field Monitoring conducted</v>
      </c>
      <c r="J88" s="51" t="str">
        <f>VLOOKUP(Table37[[#This Row],[PI LEVEL 3]],Table53729[[Performance Indicator Level 3]:[Performance Indicator Level 1]],2,FALSE)</f>
        <v>National/Regional Field Monitoring conducted</v>
      </c>
      <c r="K88" s="51" t="str">
        <f>VLOOKUP(Table37[[#This Row],[ACTIVITY]],TAGS!B:P,2,FALSE)</f>
        <v>National/Regional Field Monitoring conducted</v>
      </c>
      <c r="L88" s="47" t="s">
        <v>229</v>
      </c>
      <c r="M88" s="51" t="str">
        <f>VLOOKUP(Table37[[#This Row],[ACTIVITY]],TAGS!$B:$P,4,FALSE)</f>
        <v>FPMA</v>
      </c>
      <c r="N88" s="51" t="str">
        <f>VLOOKUP(Table37[[#This Row],[ACTIVITY]],TAGS!$B:$P,5,FALSE)</f>
        <v>FPMA</v>
      </c>
      <c r="O88" s="51" t="str">
        <f>VLOOKUP(Table37[[#This Row],[ACTIVITY]],TAGS!$B:$P,6,FALSE)</f>
        <v>Workshop and Meetings</v>
      </c>
      <c r="P88" s="51" t="str">
        <f>VLOOKUP(Table37[[#This Row],[ACTIVITY]],TAGS!$B:$P,7,FALSE)</f>
        <v>NO</v>
      </c>
      <c r="Q88" s="51" t="str">
        <f>VLOOKUP(Table37[[#This Row],[ACTIVITY]],TAGS!$B:$P,8,FALSE)</f>
        <v>Overhead</v>
      </c>
      <c r="R88" s="51" t="str">
        <f>VLOOKUP(Table37[[#This Row],[ACTIVITY]],TAGS!$B:$P,10,FALSE)</f>
        <v>NON-PIP</v>
      </c>
      <c r="S88" s="51" t="str">
        <f>VLOOKUP(Table37[[#This Row],[ACTIVITY]],TAGS!$B:$P,11,FALSE)</f>
        <v>NON-PICS</v>
      </c>
      <c r="T88" s="51">
        <f>VLOOKUP(Table37[[#This Row],[ACTIVITY]],TAGS!$B:$P,12,FALSE)</f>
        <v>0</v>
      </c>
      <c r="U88" s="51">
        <f>VLOOKUP(Table37[[#This Row],[ACTIVITY]],TAGS!$B:$P,13,FALSE)</f>
        <v>0</v>
      </c>
      <c r="V88" s="51">
        <f>VLOOKUP(Table37[[#This Row],[ACTIVITY]],TAGS!$B:$P,14,FALSE)</f>
        <v>0</v>
      </c>
      <c r="W88" s="51" t="str">
        <f>VLOOKUP(Table37[[#This Row],[ACTIVITY]],TAGS!$B:$P,15,FALSE)</f>
        <v>Existing</v>
      </c>
      <c r="X88" s="51">
        <f>VLOOKUP(Table37[[#This Row],[PI LEVEL 3]],'PI LEVEL'!$A:$G,7,FALSE)</f>
        <v>0</v>
      </c>
      <c r="Y88" s="47" t="s">
        <v>577</v>
      </c>
      <c r="Z88" s="47" t="s">
        <v>332</v>
      </c>
      <c r="AA88" s="51" t="str">
        <f>VLOOKUP(Table37[[#This Row],[MONTH]],TAGS!$W$67:$Y$81,2,FALSE)</f>
        <v>2ND QTR</v>
      </c>
      <c r="AB88" s="51" t="str">
        <f>VLOOKUP(Table37[[#This Row],[MONTH]],TAGS!$W$67:$Y$81,3,FALSE)</f>
        <v>1ST SEMESTER</v>
      </c>
      <c r="AC88" s="51">
        <f>VLOOKUP(Table37[[#This Row],[MONTH]],TAGS!$W$67:$Z$81,4,FALSE)</f>
        <v>2025</v>
      </c>
      <c r="AD88" s="47">
        <v>300</v>
      </c>
      <c r="AE88" s="47"/>
      <c r="AF88" s="51">
        <f>SUM(Table37[[#This Row],[MOOE (Php ''000)]:[CO (Php ''000)]])</f>
        <v>300</v>
      </c>
      <c r="AG88" s="71" t="b">
        <f>ISBLANK(Table37[[#This Row],[PRPOPOSAL/BEDS]])</f>
        <v>0</v>
      </c>
      <c r="AH88" s="71" t="b">
        <f>ISBLANK(Table37[[#This Row],[OU]])</f>
        <v>0</v>
      </c>
      <c r="AI88" s="71" t="b">
        <f>ISBLANK(Table37[[#This Row],[SPECIFIC COMMODITY]])</f>
        <v>0</v>
      </c>
      <c r="AJ88" s="71" t="b">
        <f>ISBLANK(Table37[[#This Row],[COMMODITY PREXC SUB-PROGRAM]])</f>
        <v>0</v>
      </c>
      <c r="AK88" s="71" t="b">
        <f>ISBLANK(Table37[[#This Row],[ACTIVITY]])</f>
        <v>0</v>
      </c>
      <c r="AL88" s="71" t="b">
        <f>ISBLANK(Table37[[#This Row],[TAG-GAD]])</f>
        <v>0</v>
      </c>
      <c r="AM88" s="71" t="b">
        <f>ISBLANK(Table37[[#This Row],[MONTH]])</f>
        <v>0</v>
      </c>
      <c r="AN88" s="71" t="b">
        <f>ISBLANK(Table37[[#This Row],[MOOE (Php ''000)]])</f>
        <v>0</v>
      </c>
      <c r="AO88" s="71" t="b">
        <f>ISBLANK(Table37[[#This Row],[CO (Php ''000)]])</f>
        <v>1</v>
      </c>
    </row>
    <row r="89" spans="1:41">
      <c r="A89" s="51" t="str">
        <f>VLOOKUP(Table37[[#This Row],[OU]],OU!$A$15:$B$34,2,FALSE)</f>
        <v>RFOs</v>
      </c>
      <c r="B89" s="47" t="s">
        <v>297</v>
      </c>
      <c r="C89" s="47" t="s">
        <v>574</v>
      </c>
      <c r="D89" s="47" t="s">
        <v>585</v>
      </c>
      <c r="E89" s="51" t="str">
        <f>VLOOKUP(Table37[[#This Row],[SPECIFIC COMMODITY]],TAGS!$W$48:$X$53,2,FALSE)</f>
        <v>Multi_commodity</v>
      </c>
      <c r="F89" s="51" t="str">
        <f>VLOOKUP(Table37[[#This Row],[PREXC SUB-PROGRAM]],Table5[],2,FALSE)</f>
        <v>FIELD PROGRAMS MANAGEMENT ACTIVITIES</v>
      </c>
      <c r="G89" s="51" t="str">
        <f>VLOOKUP(Table37[[#This Row],[COMMODITY PREXC SUB-PROGRAM]],TAGS!$U$54:$V$76,2,FALSE)</f>
        <v>FPMA</v>
      </c>
      <c r="H89" s="47" t="s">
        <v>597</v>
      </c>
      <c r="I89" s="51" t="str">
        <f>VLOOKUP(Table37[[#This Row],[PI LEVEL 3]],'PI LEVEL'!A:C,3,FALSE)</f>
        <v>National/Regional Field Monitoring conducted</v>
      </c>
      <c r="J89" s="51" t="str">
        <f>VLOOKUP(Table37[[#This Row],[PI LEVEL 3]],Table53729[[Performance Indicator Level 3]:[Performance Indicator Level 1]],2,FALSE)</f>
        <v>National/Regional Field Monitoring conducted</v>
      </c>
      <c r="K89" s="51" t="str">
        <f>VLOOKUP(Table37[[#This Row],[ACTIVITY]],TAGS!B:P,2,FALSE)</f>
        <v>National/Regional Field Monitoring conducted</v>
      </c>
      <c r="L89" s="47" t="s">
        <v>229</v>
      </c>
      <c r="M89" s="51" t="str">
        <f>VLOOKUP(Table37[[#This Row],[ACTIVITY]],TAGS!$B:$P,4,FALSE)</f>
        <v>FPMA</v>
      </c>
      <c r="N89" s="51" t="str">
        <f>VLOOKUP(Table37[[#This Row],[ACTIVITY]],TAGS!$B:$P,5,FALSE)</f>
        <v>FPMA</v>
      </c>
      <c r="O89" s="51" t="str">
        <f>VLOOKUP(Table37[[#This Row],[ACTIVITY]],TAGS!$B:$P,6,FALSE)</f>
        <v>Workshop and Meetings</v>
      </c>
      <c r="P89" s="51" t="str">
        <f>VLOOKUP(Table37[[#This Row],[ACTIVITY]],TAGS!$B:$P,7,FALSE)</f>
        <v>NO</v>
      </c>
      <c r="Q89" s="51" t="str">
        <f>VLOOKUP(Table37[[#This Row],[ACTIVITY]],TAGS!$B:$P,8,FALSE)</f>
        <v>Overhead</v>
      </c>
      <c r="R89" s="51" t="str">
        <f>VLOOKUP(Table37[[#This Row],[ACTIVITY]],TAGS!$B:$P,10,FALSE)</f>
        <v>NON-PIP</v>
      </c>
      <c r="S89" s="51" t="str">
        <f>VLOOKUP(Table37[[#This Row],[ACTIVITY]],TAGS!$B:$P,11,FALSE)</f>
        <v>NON-PICS</v>
      </c>
      <c r="T89" s="51">
        <f>VLOOKUP(Table37[[#This Row],[ACTIVITY]],TAGS!$B:$P,12,FALSE)</f>
        <v>0</v>
      </c>
      <c r="U89" s="51">
        <f>VLOOKUP(Table37[[#This Row],[ACTIVITY]],TAGS!$B:$P,13,FALSE)</f>
        <v>0</v>
      </c>
      <c r="V89" s="51">
        <f>VLOOKUP(Table37[[#This Row],[ACTIVITY]],TAGS!$B:$P,14,FALSE)</f>
        <v>0</v>
      </c>
      <c r="W89" s="51" t="str">
        <f>VLOOKUP(Table37[[#This Row],[ACTIVITY]],TAGS!$B:$P,15,FALSE)</f>
        <v>Existing</v>
      </c>
      <c r="X89" s="51">
        <f>VLOOKUP(Table37[[#This Row],[PI LEVEL 3]],'PI LEVEL'!$A:$G,7,FALSE)</f>
        <v>0</v>
      </c>
      <c r="Y89" s="47" t="s">
        <v>577</v>
      </c>
      <c r="Z89" s="47" t="s">
        <v>333</v>
      </c>
      <c r="AA89" s="51" t="str">
        <f>VLOOKUP(Table37[[#This Row],[MONTH]],TAGS!$W$67:$Y$81,2,FALSE)</f>
        <v>3RD QTR</v>
      </c>
      <c r="AB89" s="51" t="str">
        <f>VLOOKUP(Table37[[#This Row],[MONTH]],TAGS!$W$67:$Y$81,3,FALSE)</f>
        <v>2ND SEMESTER</v>
      </c>
      <c r="AC89" s="51">
        <f>VLOOKUP(Table37[[#This Row],[MONTH]],TAGS!$W$67:$Z$81,4,FALSE)</f>
        <v>2025</v>
      </c>
      <c r="AD89" s="47">
        <v>325</v>
      </c>
      <c r="AE89" s="47"/>
      <c r="AF89" s="51">
        <f>SUM(Table37[[#This Row],[MOOE (Php ''000)]:[CO (Php ''000)]])</f>
        <v>325</v>
      </c>
      <c r="AG89" s="71" t="b">
        <f>ISBLANK(Table37[[#This Row],[PRPOPOSAL/BEDS]])</f>
        <v>0</v>
      </c>
      <c r="AH89" s="71" t="b">
        <f>ISBLANK(Table37[[#This Row],[OU]])</f>
        <v>0</v>
      </c>
      <c r="AI89" s="71" t="b">
        <f>ISBLANK(Table37[[#This Row],[SPECIFIC COMMODITY]])</f>
        <v>0</v>
      </c>
      <c r="AJ89" s="71" t="b">
        <f>ISBLANK(Table37[[#This Row],[COMMODITY PREXC SUB-PROGRAM]])</f>
        <v>0</v>
      </c>
      <c r="AK89" s="71" t="b">
        <f>ISBLANK(Table37[[#This Row],[ACTIVITY]])</f>
        <v>0</v>
      </c>
      <c r="AL89" s="71" t="b">
        <f>ISBLANK(Table37[[#This Row],[TAG-GAD]])</f>
        <v>0</v>
      </c>
      <c r="AM89" s="71" t="b">
        <f>ISBLANK(Table37[[#This Row],[MONTH]])</f>
        <v>0</v>
      </c>
      <c r="AN89" s="71" t="b">
        <f>ISBLANK(Table37[[#This Row],[MOOE (Php ''000)]])</f>
        <v>0</v>
      </c>
      <c r="AO89" s="71" t="b">
        <f>ISBLANK(Table37[[#This Row],[CO (Php ''000)]])</f>
        <v>1</v>
      </c>
    </row>
    <row r="90" spans="1:41">
      <c r="A90" s="51" t="str">
        <f>VLOOKUP(Table37[[#This Row],[OU]],OU!$A$15:$B$34,2,FALSE)</f>
        <v>RFOs</v>
      </c>
      <c r="B90" s="47" t="s">
        <v>297</v>
      </c>
      <c r="C90" s="47" t="s">
        <v>574</v>
      </c>
      <c r="D90" s="47" t="s">
        <v>585</v>
      </c>
      <c r="E90" s="51" t="str">
        <f>VLOOKUP(Table37[[#This Row],[SPECIFIC COMMODITY]],TAGS!$W$48:$X$53,2,FALSE)</f>
        <v>Multi_commodity</v>
      </c>
      <c r="F90" s="51" t="str">
        <f>VLOOKUP(Table37[[#This Row],[PREXC SUB-PROGRAM]],Table5[],2,FALSE)</f>
        <v>FIELD PROGRAMS MANAGEMENT ACTIVITIES</v>
      </c>
      <c r="G90" s="51" t="str">
        <f>VLOOKUP(Table37[[#This Row],[COMMODITY PREXC SUB-PROGRAM]],TAGS!$U$54:$V$76,2,FALSE)</f>
        <v>FPMA</v>
      </c>
      <c r="H90" s="47" t="s">
        <v>597</v>
      </c>
      <c r="I90" s="51" t="str">
        <f>VLOOKUP(Table37[[#This Row],[PI LEVEL 3]],'PI LEVEL'!A:C,3,FALSE)</f>
        <v>National/Regional Field Monitoring conducted</v>
      </c>
      <c r="J90" s="51" t="str">
        <f>VLOOKUP(Table37[[#This Row],[PI LEVEL 3]],Table53729[[Performance Indicator Level 3]:[Performance Indicator Level 1]],2,FALSE)</f>
        <v>National/Regional Field Monitoring conducted</v>
      </c>
      <c r="K90" s="51" t="str">
        <f>VLOOKUP(Table37[[#This Row],[ACTIVITY]],TAGS!B:P,2,FALSE)</f>
        <v>National/Regional Field Monitoring conducted</v>
      </c>
      <c r="L90" s="47" t="s">
        <v>229</v>
      </c>
      <c r="M90" s="51" t="str">
        <f>VLOOKUP(Table37[[#This Row],[ACTIVITY]],TAGS!$B:$P,4,FALSE)</f>
        <v>FPMA</v>
      </c>
      <c r="N90" s="51" t="str">
        <f>VLOOKUP(Table37[[#This Row],[ACTIVITY]],TAGS!$B:$P,5,FALSE)</f>
        <v>FPMA</v>
      </c>
      <c r="O90" s="51" t="str">
        <f>VLOOKUP(Table37[[#This Row],[ACTIVITY]],TAGS!$B:$P,6,FALSE)</f>
        <v>Workshop and Meetings</v>
      </c>
      <c r="P90" s="51" t="str">
        <f>VLOOKUP(Table37[[#This Row],[ACTIVITY]],TAGS!$B:$P,7,FALSE)</f>
        <v>NO</v>
      </c>
      <c r="Q90" s="51" t="str">
        <f>VLOOKUP(Table37[[#This Row],[ACTIVITY]],TAGS!$B:$P,8,FALSE)</f>
        <v>Overhead</v>
      </c>
      <c r="R90" s="51" t="str">
        <f>VLOOKUP(Table37[[#This Row],[ACTIVITY]],TAGS!$B:$P,10,FALSE)</f>
        <v>NON-PIP</v>
      </c>
      <c r="S90" s="51" t="str">
        <f>VLOOKUP(Table37[[#This Row],[ACTIVITY]],TAGS!$B:$P,11,FALSE)</f>
        <v>NON-PICS</v>
      </c>
      <c r="T90" s="51">
        <f>VLOOKUP(Table37[[#This Row],[ACTIVITY]],TAGS!$B:$P,12,FALSE)</f>
        <v>0</v>
      </c>
      <c r="U90" s="51">
        <f>VLOOKUP(Table37[[#This Row],[ACTIVITY]],TAGS!$B:$P,13,FALSE)</f>
        <v>0</v>
      </c>
      <c r="V90" s="51">
        <f>VLOOKUP(Table37[[#This Row],[ACTIVITY]],TAGS!$B:$P,14,FALSE)</f>
        <v>0</v>
      </c>
      <c r="W90" s="51" t="str">
        <f>VLOOKUP(Table37[[#This Row],[ACTIVITY]],TAGS!$B:$P,15,FALSE)</f>
        <v>Existing</v>
      </c>
      <c r="X90" s="51">
        <f>VLOOKUP(Table37[[#This Row],[PI LEVEL 3]],'PI LEVEL'!$A:$G,7,FALSE)</f>
        <v>0</v>
      </c>
      <c r="Y90" s="47" t="s">
        <v>577</v>
      </c>
      <c r="Z90" s="47" t="s">
        <v>334</v>
      </c>
      <c r="AA90" s="51" t="str">
        <f>VLOOKUP(Table37[[#This Row],[MONTH]],TAGS!$W$67:$Y$81,2,FALSE)</f>
        <v>3RD QTR</v>
      </c>
      <c r="AB90" s="51" t="str">
        <f>VLOOKUP(Table37[[#This Row],[MONTH]],TAGS!$W$67:$Y$81,3,FALSE)</f>
        <v>2ND SEMESTER</v>
      </c>
      <c r="AC90" s="51">
        <f>VLOOKUP(Table37[[#This Row],[MONTH]],TAGS!$W$67:$Z$81,4,FALSE)</f>
        <v>2025</v>
      </c>
      <c r="AD90" s="47">
        <v>325</v>
      </c>
      <c r="AE90" s="47"/>
      <c r="AF90" s="51">
        <f>SUM(Table37[[#This Row],[MOOE (Php ''000)]:[CO (Php ''000)]])</f>
        <v>325</v>
      </c>
      <c r="AG90" s="71" t="b">
        <f>ISBLANK(Table37[[#This Row],[PRPOPOSAL/BEDS]])</f>
        <v>0</v>
      </c>
      <c r="AH90" s="71" t="b">
        <f>ISBLANK(Table37[[#This Row],[OU]])</f>
        <v>0</v>
      </c>
      <c r="AI90" s="71" t="b">
        <f>ISBLANK(Table37[[#This Row],[SPECIFIC COMMODITY]])</f>
        <v>0</v>
      </c>
      <c r="AJ90" s="71" t="b">
        <f>ISBLANK(Table37[[#This Row],[COMMODITY PREXC SUB-PROGRAM]])</f>
        <v>0</v>
      </c>
      <c r="AK90" s="71" t="b">
        <f>ISBLANK(Table37[[#This Row],[ACTIVITY]])</f>
        <v>0</v>
      </c>
      <c r="AL90" s="71" t="b">
        <f>ISBLANK(Table37[[#This Row],[TAG-GAD]])</f>
        <v>0</v>
      </c>
      <c r="AM90" s="71" t="b">
        <f>ISBLANK(Table37[[#This Row],[MONTH]])</f>
        <v>0</v>
      </c>
      <c r="AN90" s="71" t="b">
        <f>ISBLANK(Table37[[#This Row],[MOOE (Php ''000)]])</f>
        <v>0</v>
      </c>
      <c r="AO90" s="71" t="b">
        <f>ISBLANK(Table37[[#This Row],[CO (Php ''000)]])</f>
        <v>1</v>
      </c>
    </row>
    <row r="91" spans="1:41">
      <c r="A91" s="51" t="str">
        <f>VLOOKUP(Table37[[#This Row],[OU]],OU!$A$15:$B$34,2,FALSE)</f>
        <v>RFOs</v>
      </c>
      <c r="B91" s="47" t="s">
        <v>297</v>
      </c>
      <c r="C91" s="47" t="s">
        <v>574</v>
      </c>
      <c r="D91" s="47" t="s">
        <v>585</v>
      </c>
      <c r="E91" s="51" t="str">
        <f>VLOOKUP(Table37[[#This Row],[SPECIFIC COMMODITY]],TAGS!$W$48:$X$53,2,FALSE)</f>
        <v>Multi_commodity</v>
      </c>
      <c r="F91" s="51" t="str">
        <f>VLOOKUP(Table37[[#This Row],[PREXC SUB-PROGRAM]],Table5[],2,FALSE)</f>
        <v>FIELD PROGRAMS MANAGEMENT ACTIVITIES</v>
      </c>
      <c r="G91" s="51" t="str">
        <f>VLOOKUP(Table37[[#This Row],[COMMODITY PREXC SUB-PROGRAM]],TAGS!$U$54:$V$76,2,FALSE)</f>
        <v>FPMA</v>
      </c>
      <c r="H91" s="47" t="s">
        <v>597</v>
      </c>
      <c r="I91" s="51" t="str">
        <f>VLOOKUP(Table37[[#This Row],[PI LEVEL 3]],'PI LEVEL'!A:C,3,FALSE)</f>
        <v>National/Regional Field Monitoring conducted</v>
      </c>
      <c r="J91" s="51" t="str">
        <f>VLOOKUP(Table37[[#This Row],[PI LEVEL 3]],Table53729[[Performance Indicator Level 3]:[Performance Indicator Level 1]],2,FALSE)</f>
        <v>National/Regional Field Monitoring conducted</v>
      </c>
      <c r="K91" s="51" t="str">
        <f>VLOOKUP(Table37[[#This Row],[ACTIVITY]],TAGS!B:P,2,FALSE)</f>
        <v>National/Regional Field Monitoring conducted</v>
      </c>
      <c r="L91" s="47" t="s">
        <v>229</v>
      </c>
      <c r="M91" s="51" t="str">
        <f>VLOOKUP(Table37[[#This Row],[ACTIVITY]],TAGS!$B:$P,4,FALSE)</f>
        <v>FPMA</v>
      </c>
      <c r="N91" s="51" t="str">
        <f>VLOOKUP(Table37[[#This Row],[ACTIVITY]],TAGS!$B:$P,5,FALSE)</f>
        <v>FPMA</v>
      </c>
      <c r="O91" s="51" t="str">
        <f>VLOOKUP(Table37[[#This Row],[ACTIVITY]],TAGS!$B:$P,6,FALSE)</f>
        <v>Workshop and Meetings</v>
      </c>
      <c r="P91" s="51" t="str">
        <f>VLOOKUP(Table37[[#This Row],[ACTIVITY]],TAGS!$B:$P,7,FALSE)</f>
        <v>NO</v>
      </c>
      <c r="Q91" s="51" t="str">
        <f>VLOOKUP(Table37[[#This Row],[ACTIVITY]],TAGS!$B:$P,8,FALSE)</f>
        <v>Overhead</v>
      </c>
      <c r="R91" s="51" t="str">
        <f>VLOOKUP(Table37[[#This Row],[ACTIVITY]],TAGS!$B:$P,10,FALSE)</f>
        <v>NON-PIP</v>
      </c>
      <c r="S91" s="51" t="str">
        <f>VLOOKUP(Table37[[#This Row],[ACTIVITY]],TAGS!$B:$P,11,FALSE)</f>
        <v>NON-PICS</v>
      </c>
      <c r="T91" s="51">
        <f>VLOOKUP(Table37[[#This Row],[ACTIVITY]],TAGS!$B:$P,12,FALSE)</f>
        <v>0</v>
      </c>
      <c r="U91" s="51">
        <f>VLOOKUP(Table37[[#This Row],[ACTIVITY]],TAGS!$B:$P,13,FALSE)</f>
        <v>0</v>
      </c>
      <c r="V91" s="51">
        <f>VLOOKUP(Table37[[#This Row],[ACTIVITY]],TAGS!$B:$P,14,FALSE)</f>
        <v>0</v>
      </c>
      <c r="W91" s="51" t="str">
        <f>VLOOKUP(Table37[[#This Row],[ACTIVITY]],TAGS!$B:$P,15,FALSE)</f>
        <v>Existing</v>
      </c>
      <c r="X91" s="51">
        <f>VLOOKUP(Table37[[#This Row],[PI LEVEL 3]],'PI LEVEL'!$A:$G,7,FALSE)</f>
        <v>0</v>
      </c>
      <c r="Y91" s="47" t="s">
        <v>577</v>
      </c>
      <c r="Z91" s="47" t="s">
        <v>335</v>
      </c>
      <c r="AA91" s="51" t="str">
        <f>VLOOKUP(Table37[[#This Row],[MONTH]],TAGS!$W$67:$Y$81,2,FALSE)</f>
        <v>3RD QTR</v>
      </c>
      <c r="AB91" s="51" t="str">
        <f>VLOOKUP(Table37[[#This Row],[MONTH]],TAGS!$W$67:$Y$81,3,FALSE)</f>
        <v>2ND SEMESTER</v>
      </c>
      <c r="AC91" s="51">
        <f>VLOOKUP(Table37[[#This Row],[MONTH]],TAGS!$W$67:$Z$81,4,FALSE)</f>
        <v>2025</v>
      </c>
      <c r="AD91" s="47">
        <v>325</v>
      </c>
      <c r="AE91" s="47"/>
      <c r="AF91" s="51">
        <f>SUM(Table37[[#This Row],[MOOE (Php ''000)]:[CO (Php ''000)]])</f>
        <v>325</v>
      </c>
      <c r="AG91" s="71" t="b">
        <f>ISBLANK(Table37[[#This Row],[PRPOPOSAL/BEDS]])</f>
        <v>0</v>
      </c>
      <c r="AH91" s="71" t="b">
        <f>ISBLANK(Table37[[#This Row],[OU]])</f>
        <v>0</v>
      </c>
      <c r="AI91" s="71" t="b">
        <f>ISBLANK(Table37[[#This Row],[SPECIFIC COMMODITY]])</f>
        <v>0</v>
      </c>
      <c r="AJ91" s="71" t="b">
        <f>ISBLANK(Table37[[#This Row],[COMMODITY PREXC SUB-PROGRAM]])</f>
        <v>0</v>
      </c>
      <c r="AK91" s="71" t="b">
        <f>ISBLANK(Table37[[#This Row],[ACTIVITY]])</f>
        <v>0</v>
      </c>
      <c r="AL91" s="71" t="b">
        <f>ISBLANK(Table37[[#This Row],[TAG-GAD]])</f>
        <v>0</v>
      </c>
      <c r="AM91" s="71" t="b">
        <f>ISBLANK(Table37[[#This Row],[MONTH]])</f>
        <v>0</v>
      </c>
      <c r="AN91" s="71" t="b">
        <f>ISBLANK(Table37[[#This Row],[MOOE (Php ''000)]])</f>
        <v>0</v>
      </c>
      <c r="AO91" s="71" t="b">
        <f>ISBLANK(Table37[[#This Row],[CO (Php ''000)]])</f>
        <v>1</v>
      </c>
    </row>
    <row r="92" spans="1:41">
      <c r="A92" s="51" t="str">
        <f>VLOOKUP(Table37[[#This Row],[OU]],OU!$A$15:$B$34,2,FALSE)</f>
        <v>RFOs</v>
      </c>
      <c r="B92" s="47" t="s">
        <v>297</v>
      </c>
      <c r="C92" s="47" t="s">
        <v>574</v>
      </c>
      <c r="D92" s="47" t="s">
        <v>585</v>
      </c>
      <c r="E92" s="51" t="str">
        <f>VLOOKUP(Table37[[#This Row],[SPECIFIC COMMODITY]],TAGS!$W$48:$X$53,2,FALSE)</f>
        <v>Multi_commodity</v>
      </c>
      <c r="F92" s="51" t="str">
        <f>VLOOKUP(Table37[[#This Row],[PREXC SUB-PROGRAM]],Table5[],2,FALSE)</f>
        <v>FIELD PROGRAMS MANAGEMENT ACTIVITIES</v>
      </c>
      <c r="G92" s="51" t="str">
        <f>VLOOKUP(Table37[[#This Row],[COMMODITY PREXC SUB-PROGRAM]],TAGS!$U$54:$V$76,2,FALSE)</f>
        <v>FPMA</v>
      </c>
      <c r="H92" s="47" t="s">
        <v>597</v>
      </c>
      <c r="I92" s="51" t="str">
        <f>VLOOKUP(Table37[[#This Row],[PI LEVEL 3]],'PI LEVEL'!A:C,3,FALSE)</f>
        <v>National/Regional Field Monitoring conducted</v>
      </c>
      <c r="J92" s="51" t="str">
        <f>VLOOKUP(Table37[[#This Row],[PI LEVEL 3]],Table53729[[Performance Indicator Level 3]:[Performance Indicator Level 1]],2,FALSE)</f>
        <v>National/Regional Field Monitoring conducted</v>
      </c>
      <c r="K92" s="51" t="str">
        <f>VLOOKUP(Table37[[#This Row],[ACTIVITY]],TAGS!B:P,2,FALSE)</f>
        <v>National/Regional Field Monitoring conducted</v>
      </c>
      <c r="L92" s="47" t="s">
        <v>229</v>
      </c>
      <c r="M92" s="51" t="str">
        <f>VLOOKUP(Table37[[#This Row],[ACTIVITY]],TAGS!$B:$P,4,FALSE)</f>
        <v>FPMA</v>
      </c>
      <c r="N92" s="51" t="str">
        <f>VLOOKUP(Table37[[#This Row],[ACTIVITY]],TAGS!$B:$P,5,FALSE)</f>
        <v>FPMA</v>
      </c>
      <c r="O92" s="51" t="str">
        <f>VLOOKUP(Table37[[#This Row],[ACTIVITY]],TAGS!$B:$P,6,FALSE)</f>
        <v>Workshop and Meetings</v>
      </c>
      <c r="P92" s="51" t="str">
        <f>VLOOKUP(Table37[[#This Row],[ACTIVITY]],TAGS!$B:$P,7,FALSE)</f>
        <v>NO</v>
      </c>
      <c r="Q92" s="51" t="str">
        <f>VLOOKUP(Table37[[#This Row],[ACTIVITY]],TAGS!$B:$P,8,FALSE)</f>
        <v>Overhead</v>
      </c>
      <c r="R92" s="51" t="str">
        <f>VLOOKUP(Table37[[#This Row],[ACTIVITY]],TAGS!$B:$P,10,FALSE)</f>
        <v>NON-PIP</v>
      </c>
      <c r="S92" s="51" t="str">
        <f>VLOOKUP(Table37[[#This Row],[ACTIVITY]],TAGS!$B:$P,11,FALSE)</f>
        <v>NON-PICS</v>
      </c>
      <c r="T92" s="51">
        <f>VLOOKUP(Table37[[#This Row],[ACTIVITY]],TAGS!$B:$P,12,FALSE)</f>
        <v>0</v>
      </c>
      <c r="U92" s="51">
        <f>VLOOKUP(Table37[[#This Row],[ACTIVITY]],TAGS!$B:$P,13,FALSE)</f>
        <v>0</v>
      </c>
      <c r="V92" s="51">
        <f>VLOOKUP(Table37[[#This Row],[ACTIVITY]],TAGS!$B:$P,14,FALSE)</f>
        <v>0</v>
      </c>
      <c r="W92" s="51" t="str">
        <f>VLOOKUP(Table37[[#This Row],[ACTIVITY]],TAGS!$B:$P,15,FALSE)</f>
        <v>Existing</v>
      </c>
      <c r="X92" s="51">
        <f>VLOOKUP(Table37[[#This Row],[PI LEVEL 3]],'PI LEVEL'!$A:$G,7,FALSE)</f>
        <v>0</v>
      </c>
      <c r="Y92" s="47" t="s">
        <v>577</v>
      </c>
      <c r="Z92" s="47" t="s">
        <v>336</v>
      </c>
      <c r="AA92" s="51" t="str">
        <f>VLOOKUP(Table37[[#This Row],[MONTH]],TAGS!$W$67:$Y$81,2,FALSE)</f>
        <v>4TH QTR</v>
      </c>
      <c r="AB92" s="51" t="str">
        <f>VLOOKUP(Table37[[#This Row],[MONTH]],TAGS!$W$67:$Y$81,3,FALSE)</f>
        <v>2ND SEMESTER</v>
      </c>
      <c r="AC92" s="51">
        <f>VLOOKUP(Table37[[#This Row],[MONTH]],TAGS!$W$67:$Z$81,4,FALSE)</f>
        <v>2025</v>
      </c>
      <c r="AD92" s="47">
        <v>325</v>
      </c>
      <c r="AE92" s="47"/>
      <c r="AF92" s="51">
        <f>SUM(Table37[[#This Row],[MOOE (Php ''000)]:[CO (Php ''000)]])</f>
        <v>325</v>
      </c>
      <c r="AG92" s="71" t="b">
        <f>ISBLANK(Table37[[#This Row],[PRPOPOSAL/BEDS]])</f>
        <v>0</v>
      </c>
      <c r="AH92" s="71" t="b">
        <f>ISBLANK(Table37[[#This Row],[OU]])</f>
        <v>0</v>
      </c>
      <c r="AI92" s="71" t="b">
        <f>ISBLANK(Table37[[#This Row],[SPECIFIC COMMODITY]])</f>
        <v>0</v>
      </c>
      <c r="AJ92" s="71" t="b">
        <f>ISBLANK(Table37[[#This Row],[COMMODITY PREXC SUB-PROGRAM]])</f>
        <v>0</v>
      </c>
      <c r="AK92" s="71" t="b">
        <f>ISBLANK(Table37[[#This Row],[ACTIVITY]])</f>
        <v>0</v>
      </c>
      <c r="AL92" s="71" t="b">
        <f>ISBLANK(Table37[[#This Row],[TAG-GAD]])</f>
        <v>0</v>
      </c>
      <c r="AM92" s="71" t="b">
        <f>ISBLANK(Table37[[#This Row],[MONTH]])</f>
        <v>0</v>
      </c>
      <c r="AN92" s="71" t="b">
        <f>ISBLANK(Table37[[#This Row],[MOOE (Php ''000)]])</f>
        <v>0</v>
      </c>
      <c r="AO92" s="71" t="b">
        <f>ISBLANK(Table37[[#This Row],[CO (Php ''000)]])</f>
        <v>1</v>
      </c>
    </row>
    <row r="93" spans="1:41">
      <c r="A93" s="51" t="str">
        <f>VLOOKUP(Table37[[#This Row],[OU]],OU!$A$15:$B$34,2,FALSE)</f>
        <v>RFOs</v>
      </c>
      <c r="B93" s="47" t="s">
        <v>297</v>
      </c>
      <c r="C93" s="47" t="s">
        <v>574</v>
      </c>
      <c r="D93" s="47" t="s">
        <v>585</v>
      </c>
      <c r="E93" s="51" t="str">
        <f>VLOOKUP(Table37[[#This Row],[SPECIFIC COMMODITY]],TAGS!$W$48:$X$53,2,FALSE)</f>
        <v>Multi_commodity</v>
      </c>
      <c r="F93" s="51" t="str">
        <f>VLOOKUP(Table37[[#This Row],[PREXC SUB-PROGRAM]],Table5[],2,FALSE)</f>
        <v>FIELD PROGRAMS MANAGEMENT ACTIVITIES</v>
      </c>
      <c r="G93" s="51" t="str">
        <f>VLOOKUP(Table37[[#This Row],[COMMODITY PREXC SUB-PROGRAM]],TAGS!$U$54:$V$76,2,FALSE)</f>
        <v>FPMA</v>
      </c>
      <c r="H93" s="47" t="s">
        <v>597</v>
      </c>
      <c r="I93" s="51" t="str">
        <f>VLOOKUP(Table37[[#This Row],[PI LEVEL 3]],'PI LEVEL'!A:C,3,FALSE)</f>
        <v>National/Regional Field Monitoring conducted</v>
      </c>
      <c r="J93" s="51" t="str">
        <f>VLOOKUP(Table37[[#This Row],[PI LEVEL 3]],Table53729[[Performance Indicator Level 3]:[Performance Indicator Level 1]],2,FALSE)</f>
        <v>National/Regional Field Monitoring conducted</v>
      </c>
      <c r="K93" s="51" t="str">
        <f>VLOOKUP(Table37[[#This Row],[ACTIVITY]],TAGS!B:P,2,FALSE)</f>
        <v>National/Regional Field Monitoring conducted</v>
      </c>
      <c r="L93" s="47" t="s">
        <v>229</v>
      </c>
      <c r="M93" s="51" t="str">
        <f>VLOOKUP(Table37[[#This Row],[ACTIVITY]],TAGS!$B:$P,4,FALSE)</f>
        <v>FPMA</v>
      </c>
      <c r="N93" s="51" t="str">
        <f>VLOOKUP(Table37[[#This Row],[ACTIVITY]],TAGS!$B:$P,5,FALSE)</f>
        <v>FPMA</v>
      </c>
      <c r="O93" s="51" t="str">
        <f>VLOOKUP(Table37[[#This Row],[ACTIVITY]],TAGS!$B:$P,6,FALSE)</f>
        <v>Workshop and Meetings</v>
      </c>
      <c r="P93" s="51" t="str">
        <f>VLOOKUP(Table37[[#This Row],[ACTIVITY]],TAGS!$B:$P,7,FALSE)</f>
        <v>NO</v>
      </c>
      <c r="Q93" s="51" t="str">
        <f>VLOOKUP(Table37[[#This Row],[ACTIVITY]],TAGS!$B:$P,8,FALSE)</f>
        <v>Overhead</v>
      </c>
      <c r="R93" s="51" t="str">
        <f>VLOOKUP(Table37[[#This Row],[ACTIVITY]],TAGS!$B:$P,10,FALSE)</f>
        <v>NON-PIP</v>
      </c>
      <c r="S93" s="51" t="str">
        <f>VLOOKUP(Table37[[#This Row],[ACTIVITY]],TAGS!$B:$P,11,FALSE)</f>
        <v>NON-PICS</v>
      </c>
      <c r="T93" s="51">
        <f>VLOOKUP(Table37[[#This Row],[ACTIVITY]],TAGS!$B:$P,12,FALSE)</f>
        <v>0</v>
      </c>
      <c r="U93" s="51">
        <f>VLOOKUP(Table37[[#This Row],[ACTIVITY]],TAGS!$B:$P,13,FALSE)</f>
        <v>0</v>
      </c>
      <c r="V93" s="51">
        <f>VLOOKUP(Table37[[#This Row],[ACTIVITY]],TAGS!$B:$P,14,FALSE)</f>
        <v>0</v>
      </c>
      <c r="W93" s="51" t="str">
        <f>VLOOKUP(Table37[[#This Row],[ACTIVITY]],TAGS!$B:$P,15,FALSE)</f>
        <v>Existing</v>
      </c>
      <c r="X93" s="51">
        <f>VLOOKUP(Table37[[#This Row],[PI LEVEL 3]],'PI LEVEL'!$A:$G,7,FALSE)</f>
        <v>0</v>
      </c>
      <c r="Y93" s="47" t="s">
        <v>577</v>
      </c>
      <c r="Z93" s="47" t="s">
        <v>337</v>
      </c>
      <c r="AA93" s="51" t="str">
        <f>VLOOKUP(Table37[[#This Row],[MONTH]],TAGS!$W$67:$Y$81,2,FALSE)</f>
        <v>4TH QTR</v>
      </c>
      <c r="AB93" s="51" t="str">
        <f>VLOOKUP(Table37[[#This Row],[MONTH]],TAGS!$W$67:$Y$81,3,FALSE)</f>
        <v>2ND SEMESTER</v>
      </c>
      <c r="AC93" s="51">
        <f>VLOOKUP(Table37[[#This Row],[MONTH]],TAGS!$W$67:$Z$81,4,FALSE)</f>
        <v>2025</v>
      </c>
      <c r="AD93" s="47">
        <v>325</v>
      </c>
      <c r="AE93" s="47"/>
      <c r="AF93" s="51">
        <f>SUM(Table37[[#This Row],[MOOE (Php ''000)]:[CO (Php ''000)]])</f>
        <v>325</v>
      </c>
      <c r="AG93" s="71" t="b">
        <f>ISBLANK(Table37[[#This Row],[PRPOPOSAL/BEDS]])</f>
        <v>0</v>
      </c>
      <c r="AH93" s="71" t="b">
        <f>ISBLANK(Table37[[#This Row],[OU]])</f>
        <v>0</v>
      </c>
      <c r="AI93" s="71" t="b">
        <f>ISBLANK(Table37[[#This Row],[SPECIFIC COMMODITY]])</f>
        <v>0</v>
      </c>
      <c r="AJ93" s="71" t="b">
        <f>ISBLANK(Table37[[#This Row],[COMMODITY PREXC SUB-PROGRAM]])</f>
        <v>0</v>
      </c>
      <c r="AK93" s="71" t="b">
        <f>ISBLANK(Table37[[#This Row],[ACTIVITY]])</f>
        <v>0</v>
      </c>
      <c r="AL93" s="71" t="b">
        <f>ISBLANK(Table37[[#This Row],[TAG-GAD]])</f>
        <v>0</v>
      </c>
      <c r="AM93" s="71" t="b">
        <f>ISBLANK(Table37[[#This Row],[MONTH]])</f>
        <v>0</v>
      </c>
      <c r="AN93" s="71" t="b">
        <f>ISBLANK(Table37[[#This Row],[MOOE (Php ''000)]])</f>
        <v>0</v>
      </c>
      <c r="AO93" s="71" t="b">
        <f>ISBLANK(Table37[[#This Row],[CO (Php ''000)]])</f>
        <v>1</v>
      </c>
    </row>
    <row r="94" spans="1:41">
      <c r="A94" s="51" t="str">
        <f>VLOOKUP(Table37[[#This Row],[OU]],OU!$A$15:$B$34,2,FALSE)</f>
        <v>RFOs</v>
      </c>
      <c r="B94" s="47" t="s">
        <v>297</v>
      </c>
      <c r="C94" s="47" t="s">
        <v>574</v>
      </c>
      <c r="D94" s="47" t="s">
        <v>585</v>
      </c>
      <c r="E94" s="51" t="str">
        <f>VLOOKUP(Table37[[#This Row],[SPECIFIC COMMODITY]],TAGS!$W$48:$X$53,2,FALSE)</f>
        <v>Multi_commodity</v>
      </c>
      <c r="F94" s="51" t="str">
        <f>VLOOKUP(Table37[[#This Row],[PREXC SUB-PROGRAM]],Table5[],2,FALSE)</f>
        <v>FIELD PROGRAMS MANAGEMENT ACTIVITIES</v>
      </c>
      <c r="G94" s="51" t="str">
        <f>VLOOKUP(Table37[[#This Row],[COMMODITY PREXC SUB-PROGRAM]],TAGS!$U$54:$V$76,2,FALSE)</f>
        <v>FPMA</v>
      </c>
      <c r="H94" s="47" t="s">
        <v>597</v>
      </c>
      <c r="I94" s="51" t="str">
        <f>VLOOKUP(Table37[[#This Row],[PI LEVEL 3]],'PI LEVEL'!A:C,3,FALSE)</f>
        <v>National/Regional Field Monitoring conducted</v>
      </c>
      <c r="J94" s="51" t="str">
        <f>VLOOKUP(Table37[[#This Row],[PI LEVEL 3]],Table53729[[Performance Indicator Level 3]:[Performance Indicator Level 1]],2,FALSE)</f>
        <v>National/Regional Field Monitoring conducted</v>
      </c>
      <c r="K94" s="51" t="str">
        <f>VLOOKUP(Table37[[#This Row],[ACTIVITY]],TAGS!B:P,2,FALSE)</f>
        <v>National/Regional Field Monitoring conducted</v>
      </c>
      <c r="L94" s="47" t="s">
        <v>229</v>
      </c>
      <c r="M94" s="51" t="str">
        <f>VLOOKUP(Table37[[#This Row],[ACTIVITY]],TAGS!$B:$P,4,FALSE)</f>
        <v>FPMA</v>
      </c>
      <c r="N94" s="51" t="str">
        <f>VLOOKUP(Table37[[#This Row],[ACTIVITY]],TAGS!$B:$P,5,FALSE)</f>
        <v>FPMA</v>
      </c>
      <c r="O94" s="51" t="str">
        <f>VLOOKUP(Table37[[#This Row],[ACTIVITY]],TAGS!$B:$P,6,FALSE)</f>
        <v>Workshop and Meetings</v>
      </c>
      <c r="P94" s="51" t="str">
        <f>VLOOKUP(Table37[[#This Row],[ACTIVITY]],TAGS!$B:$P,7,FALSE)</f>
        <v>NO</v>
      </c>
      <c r="Q94" s="51" t="str">
        <f>VLOOKUP(Table37[[#This Row],[ACTIVITY]],TAGS!$B:$P,8,FALSE)</f>
        <v>Overhead</v>
      </c>
      <c r="R94" s="51" t="str">
        <f>VLOOKUP(Table37[[#This Row],[ACTIVITY]],TAGS!$B:$P,10,FALSE)</f>
        <v>NON-PIP</v>
      </c>
      <c r="S94" s="51" t="str">
        <f>VLOOKUP(Table37[[#This Row],[ACTIVITY]],TAGS!$B:$P,11,FALSE)</f>
        <v>NON-PICS</v>
      </c>
      <c r="T94" s="51">
        <f>VLOOKUP(Table37[[#This Row],[ACTIVITY]],TAGS!$B:$P,12,FALSE)</f>
        <v>0</v>
      </c>
      <c r="U94" s="51">
        <f>VLOOKUP(Table37[[#This Row],[ACTIVITY]],TAGS!$B:$P,13,FALSE)</f>
        <v>0</v>
      </c>
      <c r="V94" s="51">
        <f>VLOOKUP(Table37[[#This Row],[ACTIVITY]],TAGS!$B:$P,14,FALSE)</f>
        <v>0</v>
      </c>
      <c r="W94" s="51" t="str">
        <f>VLOOKUP(Table37[[#This Row],[ACTIVITY]],TAGS!$B:$P,15,FALSE)</f>
        <v>Existing</v>
      </c>
      <c r="X94" s="51">
        <f>VLOOKUP(Table37[[#This Row],[PI LEVEL 3]],'PI LEVEL'!$A:$G,7,FALSE)</f>
        <v>0</v>
      </c>
      <c r="Y94" s="47" t="s">
        <v>577</v>
      </c>
      <c r="Z94" s="47" t="s">
        <v>338</v>
      </c>
      <c r="AA94" s="51" t="str">
        <f>VLOOKUP(Table37[[#This Row],[MONTH]],TAGS!$W$67:$Y$81,2,FALSE)</f>
        <v>4TH QTR</v>
      </c>
      <c r="AB94" s="51" t="str">
        <f>VLOOKUP(Table37[[#This Row],[MONTH]],TAGS!$W$67:$Y$81,3,FALSE)</f>
        <v>2ND SEMESTER</v>
      </c>
      <c r="AC94" s="51">
        <f>VLOOKUP(Table37[[#This Row],[MONTH]],TAGS!$W$67:$Z$81,4,FALSE)</f>
        <v>2025</v>
      </c>
      <c r="AD94" s="47">
        <v>450</v>
      </c>
      <c r="AE94" s="47"/>
      <c r="AF94" s="51">
        <f>SUM(Table37[[#This Row],[MOOE (Php ''000)]:[CO (Php ''000)]])</f>
        <v>450</v>
      </c>
      <c r="AG94" s="71" t="b">
        <f>ISBLANK(Table37[[#This Row],[PRPOPOSAL/BEDS]])</f>
        <v>0</v>
      </c>
      <c r="AH94" s="71" t="b">
        <f>ISBLANK(Table37[[#This Row],[OU]])</f>
        <v>0</v>
      </c>
      <c r="AI94" s="71" t="b">
        <f>ISBLANK(Table37[[#This Row],[SPECIFIC COMMODITY]])</f>
        <v>0</v>
      </c>
      <c r="AJ94" s="71" t="b">
        <f>ISBLANK(Table37[[#This Row],[COMMODITY PREXC SUB-PROGRAM]])</f>
        <v>0</v>
      </c>
      <c r="AK94" s="71" t="b">
        <f>ISBLANK(Table37[[#This Row],[ACTIVITY]])</f>
        <v>0</v>
      </c>
      <c r="AL94" s="71" t="b">
        <f>ISBLANK(Table37[[#This Row],[TAG-GAD]])</f>
        <v>0</v>
      </c>
      <c r="AM94" s="71" t="b">
        <f>ISBLANK(Table37[[#This Row],[MONTH]])</f>
        <v>0</v>
      </c>
      <c r="AN94" s="71" t="b">
        <f>ISBLANK(Table37[[#This Row],[MOOE (Php ''000)]])</f>
        <v>0</v>
      </c>
      <c r="AO94" s="71" t="b">
        <f>ISBLANK(Table37[[#This Row],[CO (Php ''000)]])</f>
        <v>1</v>
      </c>
    </row>
    <row r="95" spans="1:41">
      <c r="A95" s="51" t="str">
        <f>VLOOKUP(Table37[[#This Row],[OU]],OU!$A$15:$B$34,2,FALSE)</f>
        <v>RFOs</v>
      </c>
      <c r="B95" s="47" t="s">
        <v>297</v>
      </c>
      <c r="C95" s="47" t="s">
        <v>574</v>
      </c>
      <c r="D95" s="47" t="s">
        <v>585</v>
      </c>
      <c r="E95" s="51" t="str">
        <f>VLOOKUP(Table37[[#This Row],[SPECIFIC COMMODITY]],TAGS!$W$48:$X$53,2,FALSE)</f>
        <v>Multi_commodity</v>
      </c>
      <c r="F95" s="51" t="str">
        <f>VLOOKUP(Table37[[#This Row],[PREXC SUB-PROGRAM]],Table5[],2,FALSE)</f>
        <v>FIELD PROGRAMS MANAGEMENT ACTIVITIES</v>
      </c>
      <c r="G95" s="51" t="str">
        <f>VLOOKUP(Table37[[#This Row],[COMMODITY PREXC SUB-PROGRAM]],TAGS!$U$54:$V$76,2,FALSE)</f>
        <v>FPMA</v>
      </c>
      <c r="H95" s="47" t="s">
        <v>597</v>
      </c>
      <c r="I95" s="51" t="str">
        <f>VLOOKUP(Table37[[#This Row],[PI LEVEL 3]],'PI LEVEL'!A:C,3,FALSE)</f>
        <v>National/Regional Field Monitoring conducted</v>
      </c>
      <c r="J95" s="51" t="str">
        <f>VLOOKUP(Table37[[#This Row],[PI LEVEL 3]],Table53729[[Performance Indicator Level 3]:[Performance Indicator Level 1]],2,FALSE)</f>
        <v>National/Regional Field Monitoring conducted</v>
      </c>
      <c r="K95" s="51" t="str">
        <f>VLOOKUP(Table37[[#This Row],[ACTIVITY]],TAGS!B:P,2,FALSE)</f>
        <v>National/Regional Field Monitoring conducted</v>
      </c>
      <c r="L95" s="47" t="s">
        <v>231</v>
      </c>
      <c r="M95" s="51" t="str">
        <f>VLOOKUP(Table37[[#This Row],[ACTIVITY]],TAGS!$B:$P,4,FALSE)</f>
        <v>FPMA</v>
      </c>
      <c r="N95" s="51" t="str">
        <f>VLOOKUP(Table37[[#This Row],[ACTIVITY]],TAGS!$B:$P,5,FALSE)</f>
        <v>FPMA</v>
      </c>
      <c r="O95" s="51" t="str">
        <f>VLOOKUP(Table37[[#This Row],[ACTIVITY]],TAGS!$B:$P,6,FALSE)</f>
        <v>Conduct of Feasibility Studies, Preparation of Detailed Engineering Design and Preparation of Program of Work</v>
      </c>
      <c r="P95" s="51" t="str">
        <f>VLOOKUP(Table37[[#This Row],[ACTIVITY]],TAGS!$B:$P,7,FALSE)</f>
        <v>NO</v>
      </c>
      <c r="Q95" s="51" t="str">
        <f>VLOOKUP(Table37[[#This Row],[ACTIVITY]],TAGS!$B:$P,8,FALSE)</f>
        <v>Overhead</v>
      </c>
      <c r="R95" s="51" t="str">
        <f>VLOOKUP(Table37[[#This Row],[ACTIVITY]],TAGS!$B:$P,10,FALSE)</f>
        <v>NON-PIP</v>
      </c>
      <c r="S95" s="51" t="str">
        <f>VLOOKUP(Table37[[#This Row],[ACTIVITY]],TAGS!$B:$P,11,FALSE)</f>
        <v>NON-PICS</v>
      </c>
      <c r="T95" s="51">
        <f>VLOOKUP(Table37[[#This Row],[ACTIVITY]],TAGS!$B:$P,12,FALSE)</f>
        <v>0</v>
      </c>
      <c r="U95" s="51">
        <f>VLOOKUP(Table37[[#This Row],[ACTIVITY]],TAGS!$B:$P,13,FALSE)</f>
        <v>0</v>
      </c>
      <c r="V95" s="51">
        <f>VLOOKUP(Table37[[#This Row],[ACTIVITY]],TAGS!$B:$P,14,FALSE)</f>
        <v>0</v>
      </c>
      <c r="W95" s="51" t="str">
        <f>VLOOKUP(Table37[[#This Row],[ACTIVITY]],TAGS!$B:$P,15,FALSE)</f>
        <v>Existing</v>
      </c>
      <c r="X95" s="51">
        <f>VLOOKUP(Table37[[#This Row],[PI LEVEL 3]],'PI LEVEL'!$A:$G,7,FALSE)</f>
        <v>0</v>
      </c>
      <c r="Y95" s="47" t="s">
        <v>577</v>
      </c>
      <c r="Z95" s="47" t="s">
        <v>331</v>
      </c>
      <c r="AA95" s="51" t="str">
        <f>VLOOKUP(Table37[[#This Row],[MONTH]],TAGS!$W$67:$Y$81,2,FALSE)</f>
        <v>2ND QTR</v>
      </c>
      <c r="AB95" s="51" t="str">
        <f>VLOOKUP(Table37[[#This Row],[MONTH]],TAGS!$W$67:$Y$81,3,FALSE)</f>
        <v>1ST SEMESTER</v>
      </c>
      <c r="AC95" s="51">
        <f>VLOOKUP(Table37[[#This Row],[MONTH]],TAGS!$W$67:$Z$81,4,FALSE)</f>
        <v>2025</v>
      </c>
      <c r="AD95" s="47">
        <v>500</v>
      </c>
      <c r="AE95" s="47"/>
      <c r="AF95" s="51">
        <f>SUM(Table37[[#This Row],[MOOE (Php ''000)]:[CO (Php ''000)]])</f>
        <v>500</v>
      </c>
      <c r="AG95" s="71" t="b">
        <f>ISBLANK(Table37[[#This Row],[PRPOPOSAL/BEDS]])</f>
        <v>0</v>
      </c>
      <c r="AH95" s="71" t="b">
        <f>ISBLANK(Table37[[#This Row],[OU]])</f>
        <v>0</v>
      </c>
      <c r="AI95" s="71" t="b">
        <f>ISBLANK(Table37[[#This Row],[SPECIFIC COMMODITY]])</f>
        <v>0</v>
      </c>
      <c r="AJ95" s="71" t="b">
        <f>ISBLANK(Table37[[#This Row],[COMMODITY PREXC SUB-PROGRAM]])</f>
        <v>0</v>
      </c>
      <c r="AK95" s="71" t="b">
        <f>ISBLANK(Table37[[#This Row],[ACTIVITY]])</f>
        <v>0</v>
      </c>
      <c r="AL95" s="71" t="b">
        <f>ISBLANK(Table37[[#This Row],[TAG-GAD]])</f>
        <v>0</v>
      </c>
      <c r="AM95" s="71" t="b">
        <f>ISBLANK(Table37[[#This Row],[MONTH]])</f>
        <v>0</v>
      </c>
      <c r="AN95" s="71" t="b">
        <f>ISBLANK(Table37[[#This Row],[MOOE (Php ''000)]])</f>
        <v>0</v>
      </c>
      <c r="AO95" s="71" t="b">
        <f>ISBLANK(Table37[[#This Row],[CO (Php ''000)]])</f>
        <v>1</v>
      </c>
    </row>
    <row r="96" spans="1:41">
      <c r="A96" s="51" t="str">
        <f>VLOOKUP(Table37[[#This Row],[OU]],OU!$A$15:$B$34,2,FALSE)</f>
        <v>RFOs</v>
      </c>
      <c r="B96" s="47" t="s">
        <v>297</v>
      </c>
      <c r="C96" s="47" t="s">
        <v>574</v>
      </c>
      <c r="D96" s="47" t="s">
        <v>585</v>
      </c>
      <c r="E96" s="51" t="str">
        <f>VLOOKUP(Table37[[#This Row],[SPECIFIC COMMODITY]],TAGS!$W$48:$X$53,2,FALSE)</f>
        <v>Multi_commodity</v>
      </c>
      <c r="F96" s="51" t="str">
        <f>VLOOKUP(Table37[[#This Row],[PREXC SUB-PROGRAM]],Table5[],2,FALSE)</f>
        <v>FIELD PROGRAMS MANAGEMENT ACTIVITIES</v>
      </c>
      <c r="G96" s="51" t="str">
        <f>VLOOKUP(Table37[[#This Row],[COMMODITY PREXC SUB-PROGRAM]],TAGS!$U$54:$V$76,2,FALSE)</f>
        <v>FPMA</v>
      </c>
      <c r="H96" s="47" t="s">
        <v>597</v>
      </c>
      <c r="I96" s="51" t="str">
        <f>VLOOKUP(Table37[[#This Row],[PI LEVEL 3]],'PI LEVEL'!A:C,3,FALSE)</f>
        <v>National/Regional Field Monitoring conducted</v>
      </c>
      <c r="J96" s="51" t="str">
        <f>VLOOKUP(Table37[[#This Row],[PI LEVEL 3]],Table53729[[Performance Indicator Level 3]:[Performance Indicator Level 1]],2,FALSE)</f>
        <v>National/Regional Field Monitoring conducted</v>
      </c>
      <c r="K96" s="51" t="str">
        <f>VLOOKUP(Table37[[#This Row],[ACTIVITY]],TAGS!B:P,2,FALSE)</f>
        <v>National/Regional Field Monitoring conducted</v>
      </c>
      <c r="L96" s="47" t="s">
        <v>233</v>
      </c>
      <c r="M96" s="51" t="str">
        <f>VLOOKUP(Table37[[#This Row],[ACTIVITY]],TAGS!$B:$P,4,FALSE)</f>
        <v>FPMA</v>
      </c>
      <c r="N96" s="51" t="str">
        <f>VLOOKUP(Table37[[#This Row],[ACTIVITY]],TAGS!$B:$P,5,FALSE)</f>
        <v>FPMA</v>
      </c>
      <c r="O96" s="51" t="str">
        <f>VLOOKUP(Table37[[#This Row],[ACTIVITY]],TAGS!$B:$P,6,FALSE)</f>
        <v>Monitoring and Evaluation</v>
      </c>
      <c r="P96" s="51" t="str">
        <f>VLOOKUP(Table37[[#This Row],[ACTIVITY]],TAGS!$B:$P,7,FALSE)</f>
        <v>NO</v>
      </c>
      <c r="Q96" s="51" t="str">
        <f>VLOOKUP(Table37[[#This Row],[ACTIVITY]],TAGS!$B:$P,8,FALSE)</f>
        <v>Overhead</v>
      </c>
      <c r="R96" s="51" t="str">
        <f>VLOOKUP(Table37[[#This Row],[ACTIVITY]],TAGS!$B:$P,10,FALSE)</f>
        <v>NON-PIP</v>
      </c>
      <c r="S96" s="51" t="str">
        <f>VLOOKUP(Table37[[#This Row],[ACTIVITY]],TAGS!$B:$P,11,FALSE)</f>
        <v>NON-PICS</v>
      </c>
      <c r="T96" s="51">
        <f>VLOOKUP(Table37[[#This Row],[ACTIVITY]],TAGS!$B:$P,12,FALSE)</f>
        <v>0</v>
      </c>
      <c r="U96" s="51">
        <f>VLOOKUP(Table37[[#This Row],[ACTIVITY]],TAGS!$B:$P,13,FALSE)</f>
        <v>0</v>
      </c>
      <c r="V96" s="51">
        <f>VLOOKUP(Table37[[#This Row],[ACTIVITY]],TAGS!$B:$P,14,FALSE)</f>
        <v>0</v>
      </c>
      <c r="W96" s="51" t="str">
        <f>VLOOKUP(Table37[[#This Row],[ACTIVITY]],TAGS!$B:$P,15,FALSE)</f>
        <v>Existing</v>
      </c>
      <c r="X96" s="51">
        <f>VLOOKUP(Table37[[#This Row],[PI LEVEL 3]],'PI LEVEL'!$A:$G,7,FALSE)</f>
        <v>0</v>
      </c>
      <c r="Y96" s="47" t="s">
        <v>577</v>
      </c>
      <c r="Z96" s="47" t="s">
        <v>327</v>
      </c>
      <c r="AA96" s="51" t="str">
        <f>VLOOKUP(Table37[[#This Row],[MONTH]],TAGS!$W$67:$Y$81,2,FALSE)</f>
        <v>1ST QTR</v>
      </c>
      <c r="AB96" s="51" t="str">
        <f>VLOOKUP(Table37[[#This Row],[MONTH]],TAGS!$W$67:$Y$81,3,FALSE)</f>
        <v>1ST SEMESTER</v>
      </c>
      <c r="AC96" s="51">
        <f>VLOOKUP(Table37[[#This Row],[MONTH]],TAGS!$W$67:$Z$81,4,FALSE)</f>
        <v>2025</v>
      </c>
      <c r="AD96" s="47">
        <v>50</v>
      </c>
      <c r="AE96" s="47"/>
      <c r="AF96" s="51">
        <f>SUM(Table37[[#This Row],[MOOE (Php ''000)]:[CO (Php ''000)]])</f>
        <v>50</v>
      </c>
      <c r="AG96" s="71" t="b">
        <f>ISBLANK(Table37[[#This Row],[PRPOPOSAL/BEDS]])</f>
        <v>0</v>
      </c>
      <c r="AH96" s="71" t="b">
        <f>ISBLANK(Table37[[#This Row],[OU]])</f>
        <v>0</v>
      </c>
      <c r="AI96" s="71" t="b">
        <f>ISBLANK(Table37[[#This Row],[SPECIFIC COMMODITY]])</f>
        <v>0</v>
      </c>
      <c r="AJ96" s="71" t="b">
        <f>ISBLANK(Table37[[#This Row],[COMMODITY PREXC SUB-PROGRAM]])</f>
        <v>0</v>
      </c>
      <c r="AK96" s="71" t="b">
        <f>ISBLANK(Table37[[#This Row],[ACTIVITY]])</f>
        <v>0</v>
      </c>
      <c r="AL96" s="71" t="b">
        <f>ISBLANK(Table37[[#This Row],[TAG-GAD]])</f>
        <v>0</v>
      </c>
      <c r="AM96" s="71" t="b">
        <f>ISBLANK(Table37[[#This Row],[MONTH]])</f>
        <v>0</v>
      </c>
      <c r="AN96" s="71" t="b">
        <f>ISBLANK(Table37[[#This Row],[MOOE (Php ''000)]])</f>
        <v>0</v>
      </c>
      <c r="AO96" s="71" t="b">
        <f>ISBLANK(Table37[[#This Row],[CO (Php ''000)]])</f>
        <v>1</v>
      </c>
    </row>
    <row r="97" spans="1:41">
      <c r="A97" s="51" t="str">
        <f>VLOOKUP(Table37[[#This Row],[OU]],OU!$A$15:$B$34,2,FALSE)</f>
        <v>RFOs</v>
      </c>
      <c r="B97" s="47" t="s">
        <v>297</v>
      </c>
      <c r="C97" s="47" t="s">
        <v>574</v>
      </c>
      <c r="D97" s="47" t="s">
        <v>585</v>
      </c>
      <c r="E97" s="51" t="str">
        <f>VLOOKUP(Table37[[#This Row],[SPECIFIC COMMODITY]],TAGS!$W$48:$X$53,2,FALSE)</f>
        <v>Multi_commodity</v>
      </c>
      <c r="F97" s="51" t="str">
        <f>VLOOKUP(Table37[[#This Row],[PREXC SUB-PROGRAM]],Table5[],2,FALSE)</f>
        <v>FIELD PROGRAMS MANAGEMENT ACTIVITIES</v>
      </c>
      <c r="G97" s="51" t="str">
        <f>VLOOKUP(Table37[[#This Row],[COMMODITY PREXC SUB-PROGRAM]],TAGS!$U$54:$V$76,2,FALSE)</f>
        <v>FPMA</v>
      </c>
      <c r="H97" s="47" t="s">
        <v>597</v>
      </c>
      <c r="I97" s="51" t="str">
        <f>VLOOKUP(Table37[[#This Row],[PI LEVEL 3]],'PI LEVEL'!A:C,3,FALSE)</f>
        <v>National/Regional Field Monitoring conducted</v>
      </c>
      <c r="J97" s="51" t="str">
        <f>VLOOKUP(Table37[[#This Row],[PI LEVEL 3]],Table53729[[Performance Indicator Level 3]:[Performance Indicator Level 1]],2,FALSE)</f>
        <v>National/Regional Field Monitoring conducted</v>
      </c>
      <c r="K97" s="51" t="str">
        <f>VLOOKUP(Table37[[#This Row],[ACTIVITY]],TAGS!B:P,2,FALSE)</f>
        <v>National/Regional Field Monitoring conducted</v>
      </c>
      <c r="L97" s="47" t="s">
        <v>233</v>
      </c>
      <c r="M97" s="51" t="str">
        <f>VLOOKUP(Table37[[#This Row],[ACTIVITY]],TAGS!$B:$P,4,FALSE)</f>
        <v>FPMA</v>
      </c>
      <c r="N97" s="51" t="str">
        <f>VLOOKUP(Table37[[#This Row],[ACTIVITY]],TAGS!$B:$P,5,FALSE)</f>
        <v>FPMA</v>
      </c>
      <c r="O97" s="51" t="str">
        <f>VLOOKUP(Table37[[#This Row],[ACTIVITY]],TAGS!$B:$P,6,FALSE)</f>
        <v>Monitoring and Evaluation</v>
      </c>
      <c r="P97" s="51" t="str">
        <f>VLOOKUP(Table37[[#This Row],[ACTIVITY]],TAGS!$B:$P,7,FALSE)</f>
        <v>NO</v>
      </c>
      <c r="Q97" s="51" t="str">
        <f>VLOOKUP(Table37[[#This Row],[ACTIVITY]],TAGS!$B:$P,8,FALSE)</f>
        <v>Overhead</v>
      </c>
      <c r="R97" s="51" t="str">
        <f>VLOOKUP(Table37[[#This Row],[ACTIVITY]],TAGS!$B:$P,10,FALSE)</f>
        <v>NON-PIP</v>
      </c>
      <c r="S97" s="51" t="str">
        <f>VLOOKUP(Table37[[#This Row],[ACTIVITY]],TAGS!$B:$P,11,FALSE)</f>
        <v>NON-PICS</v>
      </c>
      <c r="T97" s="51">
        <f>VLOOKUP(Table37[[#This Row],[ACTIVITY]],TAGS!$B:$P,12,FALSE)</f>
        <v>0</v>
      </c>
      <c r="U97" s="51">
        <f>VLOOKUP(Table37[[#This Row],[ACTIVITY]],TAGS!$B:$P,13,FALSE)</f>
        <v>0</v>
      </c>
      <c r="V97" s="51">
        <f>VLOOKUP(Table37[[#This Row],[ACTIVITY]],TAGS!$B:$P,14,FALSE)</f>
        <v>0</v>
      </c>
      <c r="W97" s="51" t="str">
        <f>VLOOKUP(Table37[[#This Row],[ACTIVITY]],TAGS!$B:$P,15,FALSE)</f>
        <v>Existing</v>
      </c>
      <c r="X97" s="51">
        <f>VLOOKUP(Table37[[#This Row],[PI LEVEL 3]],'PI LEVEL'!$A:$G,7,FALSE)</f>
        <v>0</v>
      </c>
      <c r="Y97" s="47" t="s">
        <v>577</v>
      </c>
      <c r="Z97" s="47" t="s">
        <v>328</v>
      </c>
      <c r="AA97" s="51" t="str">
        <f>VLOOKUP(Table37[[#This Row],[MONTH]],TAGS!$W$67:$Y$81,2,FALSE)</f>
        <v>1ST QTR</v>
      </c>
      <c r="AB97" s="51" t="str">
        <f>VLOOKUP(Table37[[#This Row],[MONTH]],TAGS!$W$67:$Y$81,3,FALSE)</f>
        <v>1ST SEMESTER</v>
      </c>
      <c r="AC97" s="51">
        <f>VLOOKUP(Table37[[#This Row],[MONTH]],TAGS!$W$67:$Z$81,4,FALSE)</f>
        <v>2025</v>
      </c>
      <c r="AD97" s="47">
        <v>4000</v>
      </c>
      <c r="AE97" s="47"/>
      <c r="AF97" s="51">
        <f>SUM(Table37[[#This Row],[MOOE (Php ''000)]:[CO (Php ''000)]])</f>
        <v>4000</v>
      </c>
      <c r="AG97" s="71" t="b">
        <f>ISBLANK(Table37[[#This Row],[PRPOPOSAL/BEDS]])</f>
        <v>0</v>
      </c>
      <c r="AH97" s="71" t="b">
        <f>ISBLANK(Table37[[#This Row],[OU]])</f>
        <v>0</v>
      </c>
      <c r="AI97" s="71" t="b">
        <f>ISBLANK(Table37[[#This Row],[SPECIFIC COMMODITY]])</f>
        <v>0</v>
      </c>
      <c r="AJ97" s="71" t="b">
        <f>ISBLANK(Table37[[#This Row],[COMMODITY PREXC SUB-PROGRAM]])</f>
        <v>0</v>
      </c>
      <c r="AK97" s="71" t="b">
        <f>ISBLANK(Table37[[#This Row],[ACTIVITY]])</f>
        <v>0</v>
      </c>
      <c r="AL97" s="71" t="b">
        <f>ISBLANK(Table37[[#This Row],[TAG-GAD]])</f>
        <v>0</v>
      </c>
      <c r="AM97" s="71" t="b">
        <f>ISBLANK(Table37[[#This Row],[MONTH]])</f>
        <v>0</v>
      </c>
      <c r="AN97" s="71" t="b">
        <f>ISBLANK(Table37[[#This Row],[MOOE (Php ''000)]])</f>
        <v>0</v>
      </c>
      <c r="AO97" s="71" t="b">
        <f>ISBLANK(Table37[[#This Row],[CO (Php ''000)]])</f>
        <v>1</v>
      </c>
    </row>
    <row r="98" spans="1:41">
      <c r="A98" s="51" t="str">
        <f>VLOOKUP(Table37[[#This Row],[OU]],OU!$A$15:$B$34,2,FALSE)</f>
        <v>RFOs</v>
      </c>
      <c r="B98" s="47" t="s">
        <v>297</v>
      </c>
      <c r="C98" s="47" t="s">
        <v>574</v>
      </c>
      <c r="D98" s="47" t="s">
        <v>585</v>
      </c>
      <c r="E98" s="51" t="str">
        <f>VLOOKUP(Table37[[#This Row],[SPECIFIC COMMODITY]],TAGS!$W$48:$X$53,2,FALSE)</f>
        <v>Multi_commodity</v>
      </c>
      <c r="F98" s="51" t="str">
        <f>VLOOKUP(Table37[[#This Row],[PREXC SUB-PROGRAM]],Table5[],2,FALSE)</f>
        <v>FIELD PROGRAMS MANAGEMENT ACTIVITIES</v>
      </c>
      <c r="G98" s="51" t="str">
        <f>VLOOKUP(Table37[[#This Row],[COMMODITY PREXC SUB-PROGRAM]],TAGS!$U$54:$V$76,2,FALSE)</f>
        <v>FPMA</v>
      </c>
      <c r="H98" s="47" t="s">
        <v>597</v>
      </c>
      <c r="I98" s="51" t="str">
        <f>VLOOKUP(Table37[[#This Row],[PI LEVEL 3]],'PI LEVEL'!A:C,3,FALSE)</f>
        <v>National/Regional Field Monitoring conducted</v>
      </c>
      <c r="J98" s="51" t="str">
        <f>VLOOKUP(Table37[[#This Row],[PI LEVEL 3]],Table53729[[Performance Indicator Level 3]:[Performance Indicator Level 1]],2,FALSE)</f>
        <v>National/Regional Field Monitoring conducted</v>
      </c>
      <c r="K98" s="51" t="str">
        <f>VLOOKUP(Table37[[#This Row],[ACTIVITY]],TAGS!B:P,2,FALSE)</f>
        <v>National/Regional Field Monitoring conducted</v>
      </c>
      <c r="L98" s="47" t="s">
        <v>233</v>
      </c>
      <c r="M98" s="51" t="str">
        <f>VLOOKUP(Table37[[#This Row],[ACTIVITY]],TAGS!$B:$P,4,FALSE)</f>
        <v>FPMA</v>
      </c>
      <c r="N98" s="51" t="str">
        <f>VLOOKUP(Table37[[#This Row],[ACTIVITY]],TAGS!$B:$P,5,FALSE)</f>
        <v>FPMA</v>
      </c>
      <c r="O98" s="51" t="str">
        <f>VLOOKUP(Table37[[#This Row],[ACTIVITY]],TAGS!$B:$P,6,FALSE)</f>
        <v>Monitoring and Evaluation</v>
      </c>
      <c r="P98" s="51" t="str">
        <f>VLOOKUP(Table37[[#This Row],[ACTIVITY]],TAGS!$B:$P,7,FALSE)</f>
        <v>NO</v>
      </c>
      <c r="Q98" s="51" t="str">
        <f>VLOOKUP(Table37[[#This Row],[ACTIVITY]],TAGS!$B:$P,8,FALSE)</f>
        <v>Overhead</v>
      </c>
      <c r="R98" s="51" t="str">
        <f>VLOOKUP(Table37[[#This Row],[ACTIVITY]],TAGS!$B:$P,10,FALSE)</f>
        <v>NON-PIP</v>
      </c>
      <c r="S98" s="51" t="str">
        <f>VLOOKUP(Table37[[#This Row],[ACTIVITY]],TAGS!$B:$P,11,FALSE)</f>
        <v>NON-PICS</v>
      </c>
      <c r="T98" s="51">
        <f>VLOOKUP(Table37[[#This Row],[ACTIVITY]],TAGS!$B:$P,12,FALSE)</f>
        <v>0</v>
      </c>
      <c r="U98" s="51">
        <f>VLOOKUP(Table37[[#This Row],[ACTIVITY]],TAGS!$B:$P,13,FALSE)</f>
        <v>0</v>
      </c>
      <c r="V98" s="51">
        <f>VLOOKUP(Table37[[#This Row],[ACTIVITY]],TAGS!$B:$P,14,FALSE)</f>
        <v>0</v>
      </c>
      <c r="W98" s="51" t="str">
        <f>VLOOKUP(Table37[[#This Row],[ACTIVITY]],TAGS!$B:$P,15,FALSE)</f>
        <v>Existing</v>
      </c>
      <c r="X98" s="51">
        <f>VLOOKUP(Table37[[#This Row],[PI LEVEL 3]],'PI LEVEL'!$A:$G,7,FALSE)</f>
        <v>0</v>
      </c>
      <c r="Y98" s="47" t="s">
        <v>577</v>
      </c>
      <c r="Z98" s="47" t="s">
        <v>329</v>
      </c>
      <c r="AA98" s="51" t="str">
        <f>VLOOKUP(Table37[[#This Row],[MONTH]],TAGS!$W$67:$Y$81,2,FALSE)</f>
        <v>1ST QTR</v>
      </c>
      <c r="AB98" s="51" t="str">
        <f>VLOOKUP(Table37[[#This Row],[MONTH]],TAGS!$W$67:$Y$81,3,FALSE)</f>
        <v>1ST SEMESTER</v>
      </c>
      <c r="AC98" s="51">
        <f>VLOOKUP(Table37[[#This Row],[MONTH]],TAGS!$W$67:$Z$81,4,FALSE)</f>
        <v>2025</v>
      </c>
      <c r="AD98" s="47">
        <v>4000</v>
      </c>
      <c r="AE98" s="47"/>
      <c r="AF98" s="51">
        <f>SUM(Table37[[#This Row],[MOOE (Php ''000)]:[CO (Php ''000)]])</f>
        <v>4000</v>
      </c>
      <c r="AG98" s="71" t="b">
        <f>ISBLANK(Table37[[#This Row],[PRPOPOSAL/BEDS]])</f>
        <v>0</v>
      </c>
      <c r="AH98" s="71" t="b">
        <f>ISBLANK(Table37[[#This Row],[OU]])</f>
        <v>0</v>
      </c>
      <c r="AI98" s="71" t="b">
        <f>ISBLANK(Table37[[#This Row],[SPECIFIC COMMODITY]])</f>
        <v>0</v>
      </c>
      <c r="AJ98" s="71" t="b">
        <f>ISBLANK(Table37[[#This Row],[COMMODITY PREXC SUB-PROGRAM]])</f>
        <v>0</v>
      </c>
      <c r="AK98" s="71" t="b">
        <f>ISBLANK(Table37[[#This Row],[ACTIVITY]])</f>
        <v>0</v>
      </c>
      <c r="AL98" s="71" t="b">
        <f>ISBLANK(Table37[[#This Row],[TAG-GAD]])</f>
        <v>0</v>
      </c>
      <c r="AM98" s="71" t="b">
        <f>ISBLANK(Table37[[#This Row],[MONTH]])</f>
        <v>0</v>
      </c>
      <c r="AN98" s="71" t="b">
        <f>ISBLANK(Table37[[#This Row],[MOOE (Php ''000)]])</f>
        <v>0</v>
      </c>
      <c r="AO98" s="71" t="b">
        <f>ISBLANK(Table37[[#This Row],[CO (Php ''000)]])</f>
        <v>1</v>
      </c>
    </row>
    <row r="99" spans="1:41">
      <c r="A99" s="51" t="str">
        <f>VLOOKUP(Table37[[#This Row],[OU]],OU!$A$15:$B$34,2,FALSE)</f>
        <v>RFOs</v>
      </c>
      <c r="B99" s="47" t="s">
        <v>297</v>
      </c>
      <c r="C99" s="47" t="s">
        <v>574</v>
      </c>
      <c r="D99" s="47" t="s">
        <v>585</v>
      </c>
      <c r="E99" s="51" t="str">
        <f>VLOOKUP(Table37[[#This Row],[SPECIFIC COMMODITY]],TAGS!$W$48:$X$53,2,FALSE)</f>
        <v>Multi_commodity</v>
      </c>
      <c r="F99" s="51" t="str">
        <f>VLOOKUP(Table37[[#This Row],[PREXC SUB-PROGRAM]],Table5[],2,FALSE)</f>
        <v>FIELD PROGRAMS MANAGEMENT ACTIVITIES</v>
      </c>
      <c r="G99" s="51" t="str">
        <f>VLOOKUP(Table37[[#This Row],[COMMODITY PREXC SUB-PROGRAM]],TAGS!$U$54:$V$76,2,FALSE)</f>
        <v>FPMA</v>
      </c>
      <c r="H99" s="47" t="s">
        <v>597</v>
      </c>
      <c r="I99" s="51" t="str">
        <f>VLOOKUP(Table37[[#This Row],[PI LEVEL 3]],'PI LEVEL'!A:C,3,FALSE)</f>
        <v>National/Regional Field Monitoring conducted</v>
      </c>
      <c r="J99" s="51" t="str">
        <f>VLOOKUP(Table37[[#This Row],[PI LEVEL 3]],Table53729[[Performance Indicator Level 3]:[Performance Indicator Level 1]],2,FALSE)</f>
        <v>National/Regional Field Monitoring conducted</v>
      </c>
      <c r="K99" s="51" t="str">
        <f>VLOOKUP(Table37[[#This Row],[ACTIVITY]],TAGS!B:P,2,FALSE)</f>
        <v>National/Regional Field Monitoring conducted</v>
      </c>
      <c r="L99" s="47" t="s">
        <v>233</v>
      </c>
      <c r="M99" s="51" t="str">
        <f>VLOOKUP(Table37[[#This Row],[ACTIVITY]],TAGS!$B:$P,4,FALSE)</f>
        <v>FPMA</v>
      </c>
      <c r="N99" s="51" t="str">
        <f>VLOOKUP(Table37[[#This Row],[ACTIVITY]],TAGS!$B:$P,5,FALSE)</f>
        <v>FPMA</v>
      </c>
      <c r="O99" s="51" t="str">
        <f>VLOOKUP(Table37[[#This Row],[ACTIVITY]],TAGS!$B:$P,6,FALSE)</f>
        <v>Monitoring and Evaluation</v>
      </c>
      <c r="P99" s="51" t="str">
        <f>VLOOKUP(Table37[[#This Row],[ACTIVITY]],TAGS!$B:$P,7,FALSE)</f>
        <v>NO</v>
      </c>
      <c r="Q99" s="51" t="str">
        <f>VLOOKUP(Table37[[#This Row],[ACTIVITY]],TAGS!$B:$P,8,FALSE)</f>
        <v>Overhead</v>
      </c>
      <c r="R99" s="51" t="str">
        <f>VLOOKUP(Table37[[#This Row],[ACTIVITY]],TAGS!$B:$P,10,FALSE)</f>
        <v>NON-PIP</v>
      </c>
      <c r="S99" s="51" t="str">
        <f>VLOOKUP(Table37[[#This Row],[ACTIVITY]],TAGS!$B:$P,11,FALSE)</f>
        <v>NON-PICS</v>
      </c>
      <c r="T99" s="51">
        <f>VLOOKUP(Table37[[#This Row],[ACTIVITY]],TAGS!$B:$P,12,FALSE)</f>
        <v>0</v>
      </c>
      <c r="U99" s="51">
        <f>VLOOKUP(Table37[[#This Row],[ACTIVITY]],TAGS!$B:$P,13,FALSE)</f>
        <v>0</v>
      </c>
      <c r="V99" s="51">
        <f>VLOOKUP(Table37[[#This Row],[ACTIVITY]],TAGS!$B:$P,14,FALSE)</f>
        <v>0</v>
      </c>
      <c r="W99" s="51" t="str">
        <f>VLOOKUP(Table37[[#This Row],[ACTIVITY]],TAGS!$B:$P,15,FALSE)</f>
        <v>Existing</v>
      </c>
      <c r="X99" s="51">
        <f>VLOOKUP(Table37[[#This Row],[PI LEVEL 3]],'PI LEVEL'!$A:$G,7,FALSE)</f>
        <v>0</v>
      </c>
      <c r="Y99" s="47" t="s">
        <v>577</v>
      </c>
      <c r="Z99" s="47" t="s">
        <v>330</v>
      </c>
      <c r="AA99" s="51" t="str">
        <f>VLOOKUP(Table37[[#This Row],[MONTH]],TAGS!$W$67:$Y$81,2,FALSE)</f>
        <v>2ND QTR</v>
      </c>
      <c r="AB99" s="51" t="str">
        <f>VLOOKUP(Table37[[#This Row],[MONTH]],TAGS!$W$67:$Y$81,3,FALSE)</f>
        <v>1ST SEMESTER</v>
      </c>
      <c r="AC99" s="51">
        <f>VLOOKUP(Table37[[#This Row],[MONTH]],TAGS!$W$67:$Z$81,4,FALSE)</f>
        <v>2025</v>
      </c>
      <c r="AD99" s="47">
        <v>3000</v>
      </c>
      <c r="AE99" s="47"/>
      <c r="AF99" s="51">
        <f>SUM(Table37[[#This Row],[MOOE (Php ''000)]:[CO (Php ''000)]])</f>
        <v>3000</v>
      </c>
      <c r="AG99" s="71" t="b">
        <f>ISBLANK(Table37[[#This Row],[PRPOPOSAL/BEDS]])</f>
        <v>0</v>
      </c>
      <c r="AH99" s="71" t="b">
        <f>ISBLANK(Table37[[#This Row],[OU]])</f>
        <v>0</v>
      </c>
      <c r="AI99" s="71" t="b">
        <f>ISBLANK(Table37[[#This Row],[SPECIFIC COMMODITY]])</f>
        <v>0</v>
      </c>
      <c r="AJ99" s="71" t="b">
        <f>ISBLANK(Table37[[#This Row],[COMMODITY PREXC SUB-PROGRAM]])</f>
        <v>0</v>
      </c>
      <c r="AK99" s="71" t="b">
        <f>ISBLANK(Table37[[#This Row],[ACTIVITY]])</f>
        <v>0</v>
      </c>
      <c r="AL99" s="71" t="b">
        <f>ISBLANK(Table37[[#This Row],[TAG-GAD]])</f>
        <v>0</v>
      </c>
      <c r="AM99" s="71" t="b">
        <f>ISBLANK(Table37[[#This Row],[MONTH]])</f>
        <v>0</v>
      </c>
      <c r="AN99" s="71" t="b">
        <f>ISBLANK(Table37[[#This Row],[MOOE (Php ''000)]])</f>
        <v>0</v>
      </c>
      <c r="AO99" s="71" t="b">
        <f>ISBLANK(Table37[[#This Row],[CO (Php ''000)]])</f>
        <v>1</v>
      </c>
    </row>
    <row r="100" spans="1:41">
      <c r="A100" s="51" t="str">
        <f>VLOOKUP(Table37[[#This Row],[OU]],OU!$A$15:$B$34,2,FALSE)</f>
        <v>RFOs</v>
      </c>
      <c r="B100" s="47" t="s">
        <v>297</v>
      </c>
      <c r="C100" s="47" t="s">
        <v>574</v>
      </c>
      <c r="D100" s="47" t="s">
        <v>585</v>
      </c>
      <c r="E100" s="51" t="str">
        <f>VLOOKUP(Table37[[#This Row],[SPECIFIC COMMODITY]],TAGS!$W$48:$X$53,2,FALSE)</f>
        <v>Multi_commodity</v>
      </c>
      <c r="F100" s="51" t="str">
        <f>VLOOKUP(Table37[[#This Row],[PREXC SUB-PROGRAM]],Table5[],2,FALSE)</f>
        <v>FIELD PROGRAMS MANAGEMENT ACTIVITIES</v>
      </c>
      <c r="G100" s="51" t="str">
        <f>VLOOKUP(Table37[[#This Row],[COMMODITY PREXC SUB-PROGRAM]],TAGS!$U$54:$V$76,2,FALSE)</f>
        <v>FPMA</v>
      </c>
      <c r="H100" s="47" t="s">
        <v>597</v>
      </c>
      <c r="I100" s="51" t="str">
        <f>VLOOKUP(Table37[[#This Row],[PI LEVEL 3]],'PI LEVEL'!A:C,3,FALSE)</f>
        <v>National/Regional Field Monitoring conducted</v>
      </c>
      <c r="J100" s="51" t="str">
        <f>VLOOKUP(Table37[[#This Row],[PI LEVEL 3]],Table53729[[Performance Indicator Level 3]:[Performance Indicator Level 1]],2,FALSE)</f>
        <v>National/Regional Field Monitoring conducted</v>
      </c>
      <c r="K100" s="51" t="str">
        <f>VLOOKUP(Table37[[#This Row],[ACTIVITY]],TAGS!B:P,2,FALSE)</f>
        <v>National/Regional Field Monitoring conducted</v>
      </c>
      <c r="L100" s="47" t="s">
        <v>233</v>
      </c>
      <c r="M100" s="51" t="str">
        <f>VLOOKUP(Table37[[#This Row],[ACTIVITY]],TAGS!$B:$P,4,FALSE)</f>
        <v>FPMA</v>
      </c>
      <c r="N100" s="51" t="str">
        <f>VLOOKUP(Table37[[#This Row],[ACTIVITY]],TAGS!$B:$P,5,FALSE)</f>
        <v>FPMA</v>
      </c>
      <c r="O100" s="51" t="str">
        <f>VLOOKUP(Table37[[#This Row],[ACTIVITY]],TAGS!$B:$P,6,FALSE)</f>
        <v>Monitoring and Evaluation</v>
      </c>
      <c r="P100" s="51" t="str">
        <f>VLOOKUP(Table37[[#This Row],[ACTIVITY]],TAGS!$B:$P,7,FALSE)</f>
        <v>NO</v>
      </c>
      <c r="Q100" s="51" t="str">
        <f>VLOOKUP(Table37[[#This Row],[ACTIVITY]],TAGS!$B:$P,8,FALSE)</f>
        <v>Overhead</v>
      </c>
      <c r="R100" s="51" t="str">
        <f>VLOOKUP(Table37[[#This Row],[ACTIVITY]],TAGS!$B:$P,10,FALSE)</f>
        <v>NON-PIP</v>
      </c>
      <c r="S100" s="51" t="str">
        <f>VLOOKUP(Table37[[#This Row],[ACTIVITY]],TAGS!$B:$P,11,FALSE)</f>
        <v>NON-PICS</v>
      </c>
      <c r="T100" s="51">
        <f>VLOOKUP(Table37[[#This Row],[ACTIVITY]],TAGS!$B:$P,12,FALSE)</f>
        <v>0</v>
      </c>
      <c r="U100" s="51">
        <f>VLOOKUP(Table37[[#This Row],[ACTIVITY]],TAGS!$B:$P,13,FALSE)</f>
        <v>0</v>
      </c>
      <c r="V100" s="51">
        <f>VLOOKUP(Table37[[#This Row],[ACTIVITY]],TAGS!$B:$P,14,FALSE)</f>
        <v>0</v>
      </c>
      <c r="W100" s="51" t="str">
        <f>VLOOKUP(Table37[[#This Row],[ACTIVITY]],TAGS!$B:$P,15,FALSE)</f>
        <v>Existing</v>
      </c>
      <c r="X100" s="51">
        <f>VLOOKUP(Table37[[#This Row],[PI LEVEL 3]],'PI LEVEL'!$A:$G,7,FALSE)</f>
        <v>0</v>
      </c>
      <c r="Y100" s="47" t="s">
        <v>577</v>
      </c>
      <c r="Z100" s="47" t="s">
        <v>331</v>
      </c>
      <c r="AA100" s="51" t="str">
        <f>VLOOKUP(Table37[[#This Row],[MONTH]],TAGS!$W$67:$Y$81,2,FALSE)</f>
        <v>2ND QTR</v>
      </c>
      <c r="AB100" s="51" t="str">
        <f>VLOOKUP(Table37[[#This Row],[MONTH]],TAGS!$W$67:$Y$81,3,FALSE)</f>
        <v>1ST SEMESTER</v>
      </c>
      <c r="AC100" s="51">
        <f>VLOOKUP(Table37[[#This Row],[MONTH]],TAGS!$W$67:$Z$81,4,FALSE)</f>
        <v>2025</v>
      </c>
      <c r="AD100" s="47">
        <v>1000</v>
      </c>
      <c r="AE100" s="47"/>
      <c r="AF100" s="51">
        <f>SUM(Table37[[#This Row],[MOOE (Php ''000)]:[CO (Php ''000)]])</f>
        <v>1000</v>
      </c>
      <c r="AG100" s="71" t="b">
        <f>ISBLANK(Table37[[#This Row],[PRPOPOSAL/BEDS]])</f>
        <v>0</v>
      </c>
      <c r="AH100" s="71" t="b">
        <f>ISBLANK(Table37[[#This Row],[OU]])</f>
        <v>0</v>
      </c>
      <c r="AI100" s="71" t="b">
        <f>ISBLANK(Table37[[#This Row],[SPECIFIC COMMODITY]])</f>
        <v>0</v>
      </c>
      <c r="AJ100" s="71" t="b">
        <f>ISBLANK(Table37[[#This Row],[COMMODITY PREXC SUB-PROGRAM]])</f>
        <v>0</v>
      </c>
      <c r="AK100" s="71" t="b">
        <f>ISBLANK(Table37[[#This Row],[ACTIVITY]])</f>
        <v>0</v>
      </c>
      <c r="AL100" s="71" t="b">
        <f>ISBLANK(Table37[[#This Row],[TAG-GAD]])</f>
        <v>0</v>
      </c>
      <c r="AM100" s="71" t="b">
        <f>ISBLANK(Table37[[#This Row],[MONTH]])</f>
        <v>0</v>
      </c>
      <c r="AN100" s="71" t="b">
        <f>ISBLANK(Table37[[#This Row],[MOOE (Php ''000)]])</f>
        <v>0</v>
      </c>
      <c r="AO100" s="71" t="b">
        <f>ISBLANK(Table37[[#This Row],[CO (Php ''000)]])</f>
        <v>1</v>
      </c>
    </row>
    <row r="101" spans="1:41">
      <c r="A101" s="51" t="str">
        <f>VLOOKUP(Table37[[#This Row],[OU]],OU!$A$15:$B$34,2,FALSE)</f>
        <v>RFOs</v>
      </c>
      <c r="B101" s="47" t="s">
        <v>297</v>
      </c>
      <c r="C101" s="47" t="s">
        <v>574</v>
      </c>
      <c r="D101" s="47" t="s">
        <v>585</v>
      </c>
      <c r="E101" s="51" t="str">
        <f>VLOOKUP(Table37[[#This Row],[SPECIFIC COMMODITY]],TAGS!$W$48:$X$53,2,FALSE)</f>
        <v>Multi_commodity</v>
      </c>
      <c r="F101" s="51" t="str">
        <f>VLOOKUP(Table37[[#This Row],[PREXC SUB-PROGRAM]],Table5[],2,FALSE)</f>
        <v>FIELD PROGRAMS MANAGEMENT ACTIVITIES</v>
      </c>
      <c r="G101" s="51" t="str">
        <f>VLOOKUP(Table37[[#This Row],[COMMODITY PREXC SUB-PROGRAM]],TAGS!$U$54:$V$76,2,FALSE)</f>
        <v>FPMA</v>
      </c>
      <c r="H101" s="47" t="s">
        <v>597</v>
      </c>
      <c r="I101" s="51" t="str">
        <f>VLOOKUP(Table37[[#This Row],[PI LEVEL 3]],'PI LEVEL'!A:C,3,FALSE)</f>
        <v>National/Regional Field Monitoring conducted</v>
      </c>
      <c r="J101" s="51" t="str">
        <f>VLOOKUP(Table37[[#This Row],[PI LEVEL 3]],Table53729[[Performance Indicator Level 3]:[Performance Indicator Level 1]],2,FALSE)</f>
        <v>National/Regional Field Monitoring conducted</v>
      </c>
      <c r="K101" s="51" t="str">
        <f>VLOOKUP(Table37[[#This Row],[ACTIVITY]],TAGS!B:P,2,FALSE)</f>
        <v>National/Regional Field Monitoring conducted</v>
      </c>
      <c r="L101" s="47" t="s">
        <v>233</v>
      </c>
      <c r="M101" s="51" t="str">
        <f>VLOOKUP(Table37[[#This Row],[ACTIVITY]],TAGS!$B:$P,4,FALSE)</f>
        <v>FPMA</v>
      </c>
      <c r="N101" s="51" t="str">
        <f>VLOOKUP(Table37[[#This Row],[ACTIVITY]],TAGS!$B:$P,5,FALSE)</f>
        <v>FPMA</v>
      </c>
      <c r="O101" s="51" t="str">
        <f>VLOOKUP(Table37[[#This Row],[ACTIVITY]],TAGS!$B:$P,6,FALSE)</f>
        <v>Monitoring and Evaluation</v>
      </c>
      <c r="P101" s="51" t="str">
        <f>VLOOKUP(Table37[[#This Row],[ACTIVITY]],TAGS!$B:$P,7,FALSE)</f>
        <v>NO</v>
      </c>
      <c r="Q101" s="51" t="str">
        <f>VLOOKUP(Table37[[#This Row],[ACTIVITY]],TAGS!$B:$P,8,FALSE)</f>
        <v>Overhead</v>
      </c>
      <c r="R101" s="51" t="str">
        <f>VLOOKUP(Table37[[#This Row],[ACTIVITY]],TAGS!$B:$P,10,FALSE)</f>
        <v>NON-PIP</v>
      </c>
      <c r="S101" s="51" t="str">
        <f>VLOOKUP(Table37[[#This Row],[ACTIVITY]],TAGS!$B:$P,11,FALSE)</f>
        <v>NON-PICS</v>
      </c>
      <c r="T101" s="51">
        <f>VLOOKUP(Table37[[#This Row],[ACTIVITY]],TAGS!$B:$P,12,FALSE)</f>
        <v>0</v>
      </c>
      <c r="U101" s="51">
        <f>VLOOKUP(Table37[[#This Row],[ACTIVITY]],TAGS!$B:$P,13,FALSE)</f>
        <v>0</v>
      </c>
      <c r="V101" s="51">
        <f>VLOOKUP(Table37[[#This Row],[ACTIVITY]],TAGS!$B:$P,14,FALSE)</f>
        <v>0</v>
      </c>
      <c r="W101" s="51" t="str">
        <f>VLOOKUP(Table37[[#This Row],[ACTIVITY]],TAGS!$B:$P,15,FALSE)</f>
        <v>Existing</v>
      </c>
      <c r="X101" s="51">
        <f>VLOOKUP(Table37[[#This Row],[PI LEVEL 3]],'PI LEVEL'!$A:$G,7,FALSE)</f>
        <v>0</v>
      </c>
      <c r="Y101" s="47" t="s">
        <v>577</v>
      </c>
      <c r="Z101" s="47" t="s">
        <v>332</v>
      </c>
      <c r="AA101" s="51" t="str">
        <f>VLOOKUP(Table37[[#This Row],[MONTH]],TAGS!$W$67:$Y$81,2,FALSE)</f>
        <v>2ND QTR</v>
      </c>
      <c r="AB101" s="51" t="str">
        <f>VLOOKUP(Table37[[#This Row],[MONTH]],TAGS!$W$67:$Y$81,3,FALSE)</f>
        <v>1ST SEMESTER</v>
      </c>
      <c r="AC101" s="51">
        <f>VLOOKUP(Table37[[#This Row],[MONTH]],TAGS!$W$67:$Z$81,4,FALSE)</f>
        <v>2025</v>
      </c>
      <c r="AD101" s="47">
        <v>2000</v>
      </c>
      <c r="AE101" s="47"/>
      <c r="AF101" s="51">
        <f>SUM(Table37[[#This Row],[MOOE (Php ''000)]:[CO (Php ''000)]])</f>
        <v>2000</v>
      </c>
      <c r="AG101" s="71" t="b">
        <f>ISBLANK(Table37[[#This Row],[PRPOPOSAL/BEDS]])</f>
        <v>0</v>
      </c>
      <c r="AH101" s="71" t="b">
        <f>ISBLANK(Table37[[#This Row],[OU]])</f>
        <v>0</v>
      </c>
      <c r="AI101" s="71" t="b">
        <f>ISBLANK(Table37[[#This Row],[SPECIFIC COMMODITY]])</f>
        <v>0</v>
      </c>
      <c r="AJ101" s="71" t="b">
        <f>ISBLANK(Table37[[#This Row],[COMMODITY PREXC SUB-PROGRAM]])</f>
        <v>0</v>
      </c>
      <c r="AK101" s="71" t="b">
        <f>ISBLANK(Table37[[#This Row],[ACTIVITY]])</f>
        <v>0</v>
      </c>
      <c r="AL101" s="71" t="b">
        <f>ISBLANK(Table37[[#This Row],[TAG-GAD]])</f>
        <v>0</v>
      </c>
      <c r="AM101" s="71" t="b">
        <f>ISBLANK(Table37[[#This Row],[MONTH]])</f>
        <v>0</v>
      </c>
      <c r="AN101" s="71" t="b">
        <f>ISBLANK(Table37[[#This Row],[MOOE (Php ''000)]])</f>
        <v>0</v>
      </c>
      <c r="AO101" s="71" t="b">
        <f>ISBLANK(Table37[[#This Row],[CO (Php ''000)]])</f>
        <v>1</v>
      </c>
    </row>
    <row r="102" spans="1:41">
      <c r="A102" s="51" t="str">
        <f>VLOOKUP(Table37[[#This Row],[OU]],OU!$A$15:$B$34,2,FALSE)</f>
        <v>RFOs</v>
      </c>
      <c r="B102" s="47" t="s">
        <v>297</v>
      </c>
      <c r="C102" s="47" t="s">
        <v>574</v>
      </c>
      <c r="D102" s="47" t="s">
        <v>585</v>
      </c>
      <c r="E102" s="51" t="str">
        <f>VLOOKUP(Table37[[#This Row],[SPECIFIC COMMODITY]],TAGS!$W$48:$X$53,2,FALSE)</f>
        <v>Multi_commodity</v>
      </c>
      <c r="F102" s="51" t="str">
        <f>VLOOKUP(Table37[[#This Row],[PREXC SUB-PROGRAM]],Table5[],2,FALSE)</f>
        <v>FIELD PROGRAMS MANAGEMENT ACTIVITIES</v>
      </c>
      <c r="G102" s="51" t="str">
        <f>VLOOKUP(Table37[[#This Row],[COMMODITY PREXC SUB-PROGRAM]],TAGS!$U$54:$V$76,2,FALSE)</f>
        <v>FPMA</v>
      </c>
      <c r="H102" s="47" t="s">
        <v>597</v>
      </c>
      <c r="I102" s="51" t="str">
        <f>VLOOKUP(Table37[[#This Row],[PI LEVEL 3]],'PI LEVEL'!A:C,3,FALSE)</f>
        <v>National/Regional Field Monitoring conducted</v>
      </c>
      <c r="J102" s="51" t="str">
        <f>VLOOKUP(Table37[[#This Row],[PI LEVEL 3]],Table53729[[Performance Indicator Level 3]:[Performance Indicator Level 1]],2,FALSE)</f>
        <v>National/Regional Field Monitoring conducted</v>
      </c>
      <c r="K102" s="51" t="str">
        <f>VLOOKUP(Table37[[#This Row],[ACTIVITY]],TAGS!B:P,2,FALSE)</f>
        <v>National/Regional Field Monitoring conducted</v>
      </c>
      <c r="L102" s="47" t="s">
        <v>233</v>
      </c>
      <c r="M102" s="51" t="str">
        <f>VLOOKUP(Table37[[#This Row],[ACTIVITY]],TAGS!$B:$P,4,FALSE)</f>
        <v>FPMA</v>
      </c>
      <c r="N102" s="51" t="str">
        <f>VLOOKUP(Table37[[#This Row],[ACTIVITY]],TAGS!$B:$P,5,FALSE)</f>
        <v>FPMA</v>
      </c>
      <c r="O102" s="51" t="str">
        <f>VLOOKUP(Table37[[#This Row],[ACTIVITY]],TAGS!$B:$P,6,FALSE)</f>
        <v>Monitoring and Evaluation</v>
      </c>
      <c r="P102" s="51" t="str">
        <f>VLOOKUP(Table37[[#This Row],[ACTIVITY]],TAGS!$B:$P,7,FALSE)</f>
        <v>NO</v>
      </c>
      <c r="Q102" s="51" t="str">
        <f>VLOOKUP(Table37[[#This Row],[ACTIVITY]],TAGS!$B:$P,8,FALSE)</f>
        <v>Overhead</v>
      </c>
      <c r="R102" s="51" t="str">
        <f>VLOOKUP(Table37[[#This Row],[ACTIVITY]],TAGS!$B:$P,10,FALSE)</f>
        <v>NON-PIP</v>
      </c>
      <c r="S102" s="51" t="str">
        <f>VLOOKUP(Table37[[#This Row],[ACTIVITY]],TAGS!$B:$P,11,FALSE)</f>
        <v>NON-PICS</v>
      </c>
      <c r="T102" s="51">
        <f>VLOOKUP(Table37[[#This Row],[ACTIVITY]],TAGS!$B:$P,12,FALSE)</f>
        <v>0</v>
      </c>
      <c r="U102" s="51">
        <f>VLOOKUP(Table37[[#This Row],[ACTIVITY]],TAGS!$B:$P,13,FALSE)</f>
        <v>0</v>
      </c>
      <c r="V102" s="51">
        <f>VLOOKUP(Table37[[#This Row],[ACTIVITY]],TAGS!$B:$P,14,FALSE)</f>
        <v>0</v>
      </c>
      <c r="W102" s="51" t="str">
        <f>VLOOKUP(Table37[[#This Row],[ACTIVITY]],TAGS!$B:$P,15,FALSE)</f>
        <v>Existing</v>
      </c>
      <c r="X102" s="51">
        <f>VLOOKUP(Table37[[#This Row],[PI LEVEL 3]],'PI LEVEL'!$A:$G,7,FALSE)</f>
        <v>0</v>
      </c>
      <c r="Y102" s="47" t="s">
        <v>577</v>
      </c>
      <c r="Z102" s="47" t="s">
        <v>333</v>
      </c>
      <c r="AA102" s="51" t="str">
        <f>VLOOKUP(Table37[[#This Row],[MONTH]],TAGS!$W$67:$Y$81,2,FALSE)</f>
        <v>3RD QTR</v>
      </c>
      <c r="AB102" s="51" t="str">
        <f>VLOOKUP(Table37[[#This Row],[MONTH]],TAGS!$W$67:$Y$81,3,FALSE)</f>
        <v>2ND SEMESTER</v>
      </c>
      <c r="AC102" s="51">
        <f>VLOOKUP(Table37[[#This Row],[MONTH]],TAGS!$W$67:$Z$81,4,FALSE)</f>
        <v>2025</v>
      </c>
      <c r="AD102" s="47">
        <v>2000</v>
      </c>
      <c r="AE102" s="47"/>
      <c r="AF102" s="51">
        <f>SUM(Table37[[#This Row],[MOOE (Php ''000)]:[CO (Php ''000)]])</f>
        <v>2000</v>
      </c>
      <c r="AG102" s="71" t="b">
        <f>ISBLANK(Table37[[#This Row],[PRPOPOSAL/BEDS]])</f>
        <v>0</v>
      </c>
      <c r="AH102" s="71" t="b">
        <f>ISBLANK(Table37[[#This Row],[OU]])</f>
        <v>0</v>
      </c>
      <c r="AI102" s="71" t="b">
        <f>ISBLANK(Table37[[#This Row],[SPECIFIC COMMODITY]])</f>
        <v>0</v>
      </c>
      <c r="AJ102" s="71" t="b">
        <f>ISBLANK(Table37[[#This Row],[COMMODITY PREXC SUB-PROGRAM]])</f>
        <v>0</v>
      </c>
      <c r="AK102" s="71" t="b">
        <f>ISBLANK(Table37[[#This Row],[ACTIVITY]])</f>
        <v>0</v>
      </c>
      <c r="AL102" s="71" t="b">
        <f>ISBLANK(Table37[[#This Row],[TAG-GAD]])</f>
        <v>0</v>
      </c>
      <c r="AM102" s="71" t="b">
        <f>ISBLANK(Table37[[#This Row],[MONTH]])</f>
        <v>0</v>
      </c>
      <c r="AN102" s="71" t="b">
        <f>ISBLANK(Table37[[#This Row],[MOOE (Php ''000)]])</f>
        <v>0</v>
      </c>
      <c r="AO102" s="71" t="b">
        <f>ISBLANK(Table37[[#This Row],[CO (Php ''000)]])</f>
        <v>1</v>
      </c>
    </row>
    <row r="103" spans="1:41">
      <c r="A103" s="51" t="str">
        <f>VLOOKUP(Table37[[#This Row],[OU]],OU!$A$15:$B$34,2,FALSE)</f>
        <v>RFOs</v>
      </c>
      <c r="B103" s="47" t="s">
        <v>297</v>
      </c>
      <c r="C103" s="47" t="s">
        <v>574</v>
      </c>
      <c r="D103" s="47" t="s">
        <v>585</v>
      </c>
      <c r="E103" s="51" t="str">
        <f>VLOOKUP(Table37[[#This Row],[SPECIFIC COMMODITY]],TAGS!$W$48:$X$53,2,FALSE)</f>
        <v>Multi_commodity</v>
      </c>
      <c r="F103" s="51" t="str">
        <f>VLOOKUP(Table37[[#This Row],[PREXC SUB-PROGRAM]],Table5[],2,FALSE)</f>
        <v>FIELD PROGRAMS MANAGEMENT ACTIVITIES</v>
      </c>
      <c r="G103" s="51" t="str">
        <f>VLOOKUP(Table37[[#This Row],[COMMODITY PREXC SUB-PROGRAM]],TAGS!$U$54:$V$76,2,FALSE)</f>
        <v>FPMA</v>
      </c>
      <c r="H103" s="47" t="s">
        <v>597</v>
      </c>
      <c r="I103" s="51" t="str">
        <f>VLOOKUP(Table37[[#This Row],[PI LEVEL 3]],'PI LEVEL'!A:C,3,FALSE)</f>
        <v>National/Regional Field Monitoring conducted</v>
      </c>
      <c r="J103" s="51" t="str">
        <f>VLOOKUP(Table37[[#This Row],[PI LEVEL 3]],Table53729[[Performance Indicator Level 3]:[Performance Indicator Level 1]],2,FALSE)</f>
        <v>National/Regional Field Monitoring conducted</v>
      </c>
      <c r="K103" s="51" t="str">
        <f>VLOOKUP(Table37[[#This Row],[ACTIVITY]],TAGS!B:P,2,FALSE)</f>
        <v>National/Regional Field Monitoring conducted</v>
      </c>
      <c r="L103" s="47" t="s">
        <v>233</v>
      </c>
      <c r="M103" s="51" t="str">
        <f>VLOOKUP(Table37[[#This Row],[ACTIVITY]],TAGS!$B:$P,4,FALSE)</f>
        <v>FPMA</v>
      </c>
      <c r="N103" s="51" t="str">
        <f>VLOOKUP(Table37[[#This Row],[ACTIVITY]],TAGS!$B:$P,5,FALSE)</f>
        <v>FPMA</v>
      </c>
      <c r="O103" s="51" t="str">
        <f>VLOOKUP(Table37[[#This Row],[ACTIVITY]],TAGS!$B:$P,6,FALSE)</f>
        <v>Monitoring and Evaluation</v>
      </c>
      <c r="P103" s="51" t="str">
        <f>VLOOKUP(Table37[[#This Row],[ACTIVITY]],TAGS!$B:$P,7,FALSE)</f>
        <v>NO</v>
      </c>
      <c r="Q103" s="51" t="str">
        <f>VLOOKUP(Table37[[#This Row],[ACTIVITY]],TAGS!$B:$P,8,FALSE)</f>
        <v>Overhead</v>
      </c>
      <c r="R103" s="51" t="str">
        <f>VLOOKUP(Table37[[#This Row],[ACTIVITY]],TAGS!$B:$P,10,FALSE)</f>
        <v>NON-PIP</v>
      </c>
      <c r="S103" s="51" t="str">
        <f>VLOOKUP(Table37[[#This Row],[ACTIVITY]],TAGS!$B:$P,11,FALSE)</f>
        <v>NON-PICS</v>
      </c>
      <c r="T103" s="51">
        <f>VLOOKUP(Table37[[#This Row],[ACTIVITY]],TAGS!$B:$P,12,FALSE)</f>
        <v>0</v>
      </c>
      <c r="U103" s="51">
        <f>VLOOKUP(Table37[[#This Row],[ACTIVITY]],TAGS!$B:$P,13,FALSE)</f>
        <v>0</v>
      </c>
      <c r="V103" s="51">
        <f>VLOOKUP(Table37[[#This Row],[ACTIVITY]],TAGS!$B:$P,14,FALSE)</f>
        <v>0</v>
      </c>
      <c r="W103" s="51" t="str">
        <f>VLOOKUP(Table37[[#This Row],[ACTIVITY]],TAGS!$B:$P,15,FALSE)</f>
        <v>Existing</v>
      </c>
      <c r="X103" s="51">
        <f>VLOOKUP(Table37[[#This Row],[PI LEVEL 3]],'PI LEVEL'!$A:$G,7,FALSE)</f>
        <v>0</v>
      </c>
      <c r="Y103" s="47" t="s">
        <v>577</v>
      </c>
      <c r="Z103" s="47" t="s">
        <v>334</v>
      </c>
      <c r="AA103" s="51" t="str">
        <f>VLOOKUP(Table37[[#This Row],[MONTH]],TAGS!$W$67:$Y$81,2,FALSE)</f>
        <v>3RD QTR</v>
      </c>
      <c r="AB103" s="51" t="str">
        <f>VLOOKUP(Table37[[#This Row],[MONTH]],TAGS!$W$67:$Y$81,3,FALSE)</f>
        <v>2ND SEMESTER</v>
      </c>
      <c r="AC103" s="51">
        <f>VLOOKUP(Table37[[#This Row],[MONTH]],TAGS!$W$67:$Z$81,4,FALSE)</f>
        <v>2025</v>
      </c>
      <c r="AD103" s="47">
        <v>250</v>
      </c>
      <c r="AE103" s="47"/>
      <c r="AF103" s="51">
        <f>SUM(Table37[[#This Row],[MOOE (Php ''000)]:[CO (Php ''000)]])</f>
        <v>250</v>
      </c>
      <c r="AG103" s="71" t="b">
        <f>ISBLANK(Table37[[#This Row],[PRPOPOSAL/BEDS]])</f>
        <v>0</v>
      </c>
      <c r="AH103" s="71" t="b">
        <f>ISBLANK(Table37[[#This Row],[OU]])</f>
        <v>0</v>
      </c>
      <c r="AI103" s="71" t="b">
        <f>ISBLANK(Table37[[#This Row],[SPECIFIC COMMODITY]])</f>
        <v>0</v>
      </c>
      <c r="AJ103" s="71" t="b">
        <f>ISBLANK(Table37[[#This Row],[COMMODITY PREXC SUB-PROGRAM]])</f>
        <v>0</v>
      </c>
      <c r="AK103" s="71" t="b">
        <f>ISBLANK(Table37[[#This Row],[ACTIVITY]])</f>
        <v>0</v>
      </c>
      <c r="AL103" s="71" t="b">
        <f>ISBLANK(Table37[[#This Row],[TAG-GAD]])</f>
        <v>0</v>
      </c>
      <c r="AM103" s="71" t="b">
        <f>ISBLANK(Table37[[#This Row],[MONTH]])</f>
        <v>0</v>
      </c>
      <c r="AN103" s="71" t="b">
        <f>ISBLANK(Table37[[#This Row],[MOOE (Php ''000)]])</f>
        <v>0</v>
      </c>
      <c r="AO103" s="71" t="b">
        <f>ISBLANK(Table37[[#This Row],[CO (Php ''000)]])</f>
        <v>1</v>
      </c>
    </row>
    <row r="104" spans="1:41">
      <c r="A104" s="51" t="str">
        <f>VLOOKUP(Table37[[#This Row],[OU]],OU!$A$15:$B$34,2,FALSE)</f>
        <v>RFOs</v>
      </c>
      <c r="B104" s="47" t="s">
        <v>297</v>
      </c>
      <c r="C104" s="47" t="s">
        <v>574</v>
      </c>
      <c r="D104" s="47" t="s">
        <v>585</v>
      </c>
      <c r="E104" s="51" t="str">
        <f>VLOOKUP(Table37[[#This Row],[SPECIFIC COMMODITY]],TAGS!$W$48:$X$53,2,FALSE)</f>
        <v>Multi_commodity</v>
      </c>
      <c r="F104" s="51" t="str">
        <f>VLOOKUP(Table37[[#This Row],[PREXC SUB-PROGRAM]],Table5[],2,FALSE)</f>
        <v>FIELD PROGRAMS MANAGEMENT ACTIVITIES</v>
      </c>
      <c r="G104" s="51" t="str">
        <f>VLOOKUP(Table37[[#This Row],[COMMODITY PREXC SUB-PROGRAM]],TAGS!$U$54:$V$76,2,FALSE)</f>
        <v>FPMA</v>
      </c>
      <c r="H104" s="47" t="s">
        <v>597</v>
      </c>
      <c r="I104" s="51" t="str">
        <f>VLOOKUP(Table37[[#This Row],[PI LEVEL 3]],'PI LEVEL'!A:C,3,FALSE)</f>
        <v>National/Regional Field Monitoring conducted</v>
      </c>
      <c r="J104" s="51" t="str">
        <f>VLOOKUP(Table37[[#This Row],[PI LEVEL 3]],Table53729[[Performance Indicator Level 3]:[Performance Indicator Level 1]],2,FALSE)</f>
        <v>National/Regional Field Monitoring conducted</v>
      </c>
      <c r="K104" s="51" t="str">
        <f>VLOOKUP(Table37[[#This Row],[ACTIVITY]],TAGS!B:P,2,FALSE)</f>
        <v>National/Regional Field Monitoring conducted</v>
      </c>
      <c r="L104" s="47" t="s">
        <v>233</v>
      </c>
      <c r="M104" s="51" t="str">
        <f>VLOOKUP(Table37[[#This Row],[ACTIVITY]],TAGS!$B:$P,4,FALSE)</f>
        <v>FPMA</v>
      </c>
      <c r="N104" s="51" t="str">
        <f>VLOOKUP(Table37[[#This Row],[ACTIVITY]],TAGS!$B:$P,5,FALSE)</f>
        <v>FPMA</v>
      </c>
      <c r="O104" s="51" t="str">
        <f>VLOOKUP(Table37[[#This Row],[ACTIVITY]],TAGS!$B:$P,6,FALSE)</f>
        <v>Monitoring and Evaluation</v>
      </c>
      <c r="P104" s="51" t="str">
        <f>VLOOKUP(Table37[[#This Row],[ACTIVITY]],TAGS!$B:$P,7,FALSE)</f>
        <v>NO</v>
      </c>
      <c r="Q104" s="51" t="str">
        <f>VLOOKUP(Table37[[#This Row],[ACTIVITY]],TAGS!$B:$P,8,FALSE)</f>
        <v>Overhead</v>
      </c>
      <c r="R104" s="51" t="str">
        <f>VLOOKUP(Table37[[#This Row],[ACTIVITY]],TAGS!$B:$P,10,FALSE)</f>
        <v>NON-PIP</v>
      </c>
      <c r="S104" s="51" t="str">
        <f>VLOOKUP(Table37[[#This Row],[ACTIVITY]],TAGS!$B:$P,11,FALSE)</f>
        <v>NON-PICS</v>
      </c>
      <c r="T104" s="51">
        <f>VLOOKUP(Table37[[#This Row],[ACTIVITY]],TAGS!$B:$P,12,FALSE)</f>
        <v>0</v>
      </c>
      <c r="U104" s="51">
        <f>VLOOKUP(Table37[[#This Row],[ACTIVITY]],TAGS!$B:$P,13,FALSE)</f>
        <v>0</v>
      </c>
      <c r="V104" s="51">
        <f>VLOOKUP(Table37[[#This Row],[ACTIVITY]],TAGS!$B:$P,14,FALSE)</f>
        <v>0</v>
      </c>
      <c r="W104" s="51" t="str">
        <f>VLOOKUP(Table37[[#This Row],[ACTIVITY]],TAGS!$B:$P,15,FALSE)</f>
        <v>Existing</v>
      </c>
      <c r="X104" s="51">
        <f>VLOOKUP(Table37[[#This Row],[PI LEVEL 3]],'PI LEVEL'!$A:$G,7,FALSE)</f>
        <v>0</v>
      </c>
      <c r="Y104" s="47" t="s">
        <v>577</v>
      </c>
      <c r="Z104" s="47" t="s">
        <v>335</v>
      </c>
      <c r="AA104" s="51" t="str">
        <f>VLOOKUP(Table37[[#This Row],[MONTH]],TAGS!$W$67:$Y$81,2,FALSE)</f>
        <v>3RD QTR</v>
      </c>
      <c r="AB104" s="51" t="str">
        <f>VLOOKUP(Table37[[#This Row],[MONTH]],TAGS!$W$67:$Y$81,3,FALSE)</f>
        <v>2ND SEMESTER</v>
      </c>
      <c r="AC104" s="51">
        <f>VLOOKUP(Table37[[#This Row],[MONTH]],TAGS!$W$67:$Z$81,4,FALSE)</f>
        <v>2025</v>
      </c>
      <c r="AD104" s="47">
        <v>250</v>
      </c>
      <c r="AE104" s="47"/>
      <c r="AF104" s="51">
        <f>SUM(Table37[[#This Row],[MOOE (Php ''000)]:[CO (Php ''000)]])</f>
        <v>250</v>
      </c>
      <c r="AG104" s="71" t="b">
        <f>ISBLANK(Table37[[#This Row],[PRPOPOSAL/BEDS]])</f>
        <v>0</v>
      </c>
      <c r="AH104" s="71" t="b">
        <f>ISBLANK(Table37[[#This Row],[OU]])</f>
        <v>0</v>
      </c>
      <c r="AI104" s="71" t="b">
        <f>ISBLANK(Table37[[#This Row],[SPECIFIC COMMODITY]])</f>
        <v>0</v>
      </c>
      <c r="AJ104" s="71" t="b">
        <f>ISBLANK(Table37[[#This Row],[COMMODITY PREXC SUB-PROGRAM]])</f>
        <v>0</v>
      </c>
      <c r="AK104" s="71" t="b">
        <f>ISBLANK(Table37[[#This Row],[ACTIVITY]])</f>
        <v>0</v>
      </c>
      <c r="AL104" s="71" t="b">
        <f>ISBLANK(Table37[[#This Row],[TAG-GAD]])</f>
        <v>0</v>
      </c>
      <c r="AM104" s="71" t="b">
        <f>ISBLANK(Table37[[#This Row],[MONTH]])</f>
        <v>0</v>
      </c>
      <c r="AN104" s="71" t="b">
        <f>ISBLANK(Table37[[#This Row],[MOOE (Php ''000)]])</f>
        <v>0</v>
      </c>
      <c r="AO104" s="71" t="b">
        <f>ISBLANK(Table37[[#This Row],[CO (Php ''000)]])</f>
        <v>1</v>
      </c>
    </row>
    <row r="105" spans="1:41">
      <c r="A105" s="51" t="str">
        <f>VLOOKUP(Table37[[#This Row],[OU]],OU!$A$15:$B$34,2,FALSE)</f>
        <v>RFOs</v>
      </c>
      <c r="B105" s="47" t="s">
        <v>297</v>
      </c>
      <c r="C105" s="47" t="s">
        <v>574</v>
      </c>
      <c r="D105" s="47" t="s">
        <v>585</v>
      </c>
      <c r="E105" s="51" t="str">
        <f>VLOOKUP(Table37[[#This Row],[SPECIFIC COMMODITY]],TAGS!$W$48:$X$53,2,FALSE)</f>
        <v>Multi_commodity</v>
      </c>
      <c r="F105" s="51" t="str">
        <f>VLOOKUP(Table37[[#This Row],[PREXC SUB-PROGRAM]],Table5[],2,FALSE)</f>
        <v>FIELD PROGRAMS MANAGEMENT ACTIVITIES</v>
      </c>
      <c r="G105" s="51" t="str">
        <f>VLOOKUP(Table37[[#This Row],[COMMODITY PREXC SUB-PROGRAM]],TAGS!$U$54:$V$76,2,FALSE)</f>
        <v>FPMA</v>
      </c>
      <c r="H105" s="47" t="s">
        <v>597</v>
      </c>
      <c r="I105" s="51" t="str">
        <f>VLOOKUP(Table37[[#This Row],[PI LEVEL 3]],'PI LEVEL'!A:C,3,FALSE)</f>
        <v>National/Regional Field Monitoring conducted</v>
      </c>
      <c r="J105" s="51" t="str">
        <f>VLOOKUP(Table37[[#This Row],[PI LEVEL 3]],Table53729[[Performance Indicator Level 3]:[Performance Indicator Level 1]],2,FALSE)</f>
        <v>National/Regional Field Monitoring conducted</v>
      </c>
      <c r="K105" s="51" t="str">
        <f>VLOOKUP(Table37[[#This Row],[ACTIVITY]],TAGS!B:P,2,FALSE)</f>
        <v>National/Regional Field Monitoring conducted</v>
      </c>
      <c r="L105" s="47" t="s">
        <v>233</v>
      </c>
      <c r="M105" s="51" t="str">
        <f>VLOOKUP(Table37[[#This Row],[ACTIVITY]],TAGS!$B:$P,4,FALSE)</f>
        <v>FPMA</v>
      </c>
      <c r="N105" s="51" t="str">
        <f>VLOOKUP(Table37[[#This Row],[ACTIVITY]],TAGS!$B:$P,5,FALSE)</f>
        <v>FPMA</v>
      </c>
      <c r="O105" s="51" t="str">
        <f>VLOOKUP(Table37[[#This Row],[ACTIVITY]],TAGS!$B:$P,6,FALSE)</f>
        <v>Monitoring and Evaluation</v>
      </c>
      <c r="P105" s="51" t="str">
        <f>VLOOKUP(Table37[[#This Row],[ACTIVITY]],TAGS!$B:$P,7,FALSE)</f>
        <v>NO</v>
      </c>
      <c r="Q105" s="51" t="str">
        <f>VLOOKUP(Table37[[#This Row],[ACTIVITY]],TAGS!$B:$P,8,FALSE)</f>
        <v>Overhead</v>
      </c>
      <c r="R105" s="51" t="str">
        <f>VLOOKUP(Table37[[#This Row],[ACTIVITY]],TAGS!$B:$P,10,FALSE)</f>
        <v>NON-PIP</v>
      </c>
      <c r="S105" s="51" t="str">
        <f>VLOOKUP(Table37[[#This Row],[ACTIVITY]],TAGS!$B:$P,11,FALSE)</f>
        <v>NON-PICS</v>
      </c>
      <c r="T105" s="51">
        <f>VLOOKUP(Table37[[#This Row],[ACTIVITY]],TAGS!$B:$P,12,FALSE)</f>
        <v>0</v>
      </c>
      <c r="U105" s="51">
        <f>VLOOKUP(Table37[[#This Row],[ACTIVITY]],TAGS!$B:$P,13,FALSE)</f>
        <v>0</v>
      </c>
      <c r="V105" s="51">
        <f>VLOOKUP(Table37[[#This Row],[ACTIVITY]],TAGS!$B:$P,14,FALSE)</f>
        <v>0</v>
      </c>
      <c r="W105" s="51" t="str">
        <f>VLOOKUP(Table37[[#This Row],[ACTIVITY]],TAGS!$B:$P,15,FALSE)</f>
        <v>Existing</v>
      </c>
      <c r="X105" s="51">
        <f>VLOOKUP(Table37[[#This Row],[PI LEVEL 3]],'PI LEVEL'!$A:$G,7,FALSE)</f>
        <v>0</v>
      </c>
      <c r="Y105" s="47" t="s">
        <v>577</v>
      </c>
      <c r="Z105" s="47" t="s">
        <v>336</v>
      </c>
      <c r="AA105" s="51" t="str">
        <f>VLOOKUP(Table37[[#This Row],[MONTH]],TAGS!$W$67:$Y$81,2,FALSE)</f>
        <v>4TH QTR</v>
      </c>
      <c r="AB105" s="51" t="str">
        <f>VLOOKUP(Table37[[#This Row],[MONTH]],TAGS!$W$67:$Y$81,3,FALSE)</f>
        <v>2ND SEMESTER</v>
      </c>
      <c r="AC105" s="51">
        <f>VLOOKUP(Table37[[#This Row],[MONTH]],TAGS!$W$67:$Z$81,4,FALSE)</f>
        <v>2025</v>
      </c>
      <c r="AD105" s="47">
        <v>100</v>
      </c>
      <c r="AE105" s="47"/>
      <c r="AF105" s="51">
        <f>SUM(Table37[[#This Row],[MOOE (Php ''000)]:[CO (Php ''000)]])</f>
        <v>100</v>
      </c>
      <c r="AG105" s="71" t="b">
        <f>ISBLANK(Table37[[#This Row],[PRPOPOSAL/BEDS]])</f>
        <v>0</v>
      </c>
      <c r="AH105" s="71" t="b">
        <f>ISBLANK(Table37[[#This Row],[OU]])</f>
        <v>0</v>
      </c>
      <c r="AI105" s="71" t="b">
        <f>ISBLANK(Table37[[#This Row],[SPECIFIC COMMODITY]])</f>
        <v>0</v>
      </c>
      <c r="AJ105" s="71" t="b">
        <f>ISBLANK(Table37[[#This Row],[COMMODITY PREXC SUB-PROGRAM]])</f>
        <v>0</v>
      </c>
      <c r="AK105" s="71" t="b">
        <f>ISBLANK(Table37[[#This Row],[ACTIVITY]])</f>
        <v>0</v>
      </c>
      <c r="AL105" s="71" t="b">
        <f>ISBLANK(Table37[[#This Row],[TAG-GAD]])</f>
        <v>0</v>
      </c>
      <c r="AM105" s="71" t="b">
        <f>ISBLANK(Table37[[#This Row],[MONTH]])</f>
        <v>0</v>
      </c>
      <c r="AN105" s="71" t="b">
        <f>ISBLANK(Table37[[#This Row],[MOOE (Php ''000)]])</f>
        <v>0</v>
      </c>
      <c r="AO105" s="71" t="b">
        <f>ISBLANK(Table37[[#This Row],[CO (Php ''000)]])</f>
        <v>1</v>
      </c>
    </row>
    <row r="106" spans="1:41">
      <c r="A106" s="51" t="str">
        <f>VLOOKUP(Table37[[#This Row],[OU]],OU!$A$15:$B$34,2,FALSE)</f>
        <v>RFOs</v>
      </c>
      <c r="B106" s="47" t="s">
        <v>297</v>
      </c>
      <c r="C106" s="47" t="s">
        <v>574</v>
      </c>
      <c r="D106" s="47" t="s">
        <v>585</v>
      </c>
      <c r="E106" s="51" t="str">
        <f>VLOOKUP(Table37[[#This Row],[SPECIFIC COMMODITY]],TAGS!$W$48:$X$53,2,FALSE)</f>
        <v>Multi_commodity</v>
      </c>
      <c r="F106" s="51" t="str">
        <f>VLOOKUP(Table37[[#This Row],[PREXC SUB-PROGRAM]],Table5[],2,FALSE)</f>
        <v>FIELD PROGRAMS MANAGEMENT ACTIVITIES</v>
      </c>
      <c r="G106" s="51" t="str">
        <f>VLOOKUP(Table37[[#This Row],[COMMODITY PREXC SUB-PROGRAM]],TAGS!$U$54:$V$76,2,FALSE)</f>
        <v>FPMA</v>
      </c>
      <c r="H106" s="47" t="s">
        <v>597</v>
      </c>
      <c r="I106" s="51" t="str">
        <f>VLOOKUP(Table37[[#This Row],[PI LEVEL 3]],'PI LEVEL'!A:C,3,FALSE)</f>
        <v>National/Regional Field Monitoring conducted</v>
      </c>
      <c r="J106" s="51" t="str">
        <f>VLOOKUP(Table37[[#This Row],[PI LEVEL 3]],Table53729[[Performance Indicator Level 3]:[Performance Indicator Level 1]],2,FALSE)</f>
        <v>National/Regional Field Monitoring conducted</v>
      </c>
      <c r="K106" s="51" t="str">
        <f>VLOOKUP(Table37[[#This Row],[ACTIVITY]],TAGS!B:P,2,FALSE)</f>
        <v>National/Regional Field Monitoring conducted</v>
      </c>
      <c r="L106" s="47" t="s">
        <v>233</v>
      </c>
      <c r="M106" s="51" t="str">
        <f>VLOOKUP(Table37[[#This Row],[ACTIVITY]],TAGS!$B:$P,4,FALSE)</f>
        <v>FPMA</v>
      </c>
      <c r="N106" s="51" t="str">
        <f>VLOOKUP(Table37[[#This Row],[ACTIVITY]],TAGS!$B:$P,5,FALSE)</f>
        <v>FPMA</v>
      </c>
      <c r="O106" s="51" t="str">
        <f>VLOOKUP(Table37[[#This Row],[ACTIVITY]],TAGS!$B:$P,6,FALSE)</f>
        <v>Monitoring and Evaluation</v>
      </c>
      <c r="P106" s="51" t="str">
        <f>VLOOKUP(Table37[[#This Row],[ACTIVITY]],TAGS!$B:$P,7,FALSE)</f>
        <v>NO</v>
      </c>
      <c r="Q106" s="51" t="str">
        <f>VLOOKUP(Table37[[#This Row],[ACTIVITY]],TAGS!$B:$P,8,FALSE)</f>
        <v>Overhead</v>
      </c>
      <c r="R106" s="51" t="str">
        <f>VLOOKUP(Table37[[#This Row],[ACTIVITY]],TAGS!$B:$P,10,FALSE)</f>
        <v>NON-PIP</v>
      </c>
      <c r="S106" s="51" t="str">
        <f>VLOOKUP(Table37[[#This Row],[ACTIVITY]],TAGS!$B:$P,11,FALSE)</f>
        <v>NON-PICS</v>
      </c>
      <c r="T106" s="51">
        <f>VLOOKUP(Table37[[#This Row],[ACTIVITY]],TAGS!$B:$P,12,FALSE)</f>
        <v>0</v>
      </c>
      <c r="U106" s="51">
        <f>VLOOKUP(Table37[[#This Row],[ACTIVITY]],TAGS!$B:$P,13,FALSE)</f>
        <v>0</v>
      </c>
      <c r="V106" s="51">
        <f>VLOOKUP(Table37[[#This Row],[ACTIVITY]],TAGS!$B:$P,14,FALSE)</f>
        <v>0</v>
      </c>
      <c r="W106" s="51" t="str">
        <f>VLOOKUP(Table37[[#This Row],[ACTIVITY]],TAGS!$B:$P,15,FALSE)</f>
        <v>Existing</v>
      </c>
      <c r="X106" s="51">
        <f>VLOOKUP(Table37[[#This Row],[PI LEVEL 3]],'PI LEVEL'!$A:$G,7,FALSE)</f>
        <v>0</v>
      </c>
      <c r="Y106" s="47" t="s">
        <v>577</v>
      </c>
      <c r="Z106" s="47" t="s">
        <v>337</v>
      </c>
      <c r="AA106" s="51" t="str">
        <f>VLOOKUP(Table37[[#This Row],[MONTH]],TAGS!$W$67:$Y$81,2,FALSE)</f>
        <v>4TH QTR</v>
      </c>
      <c r="AB106" s="51" t="str">
        <f>VLOOKUP(Table37[[#This Row],[MONTH]],TAGS!$W$67:$Y$81,3,FALSE)</f>
        <v>2ND SEMESTER</v>
      </c>
      <c r="AC106" s="51">
        <f>VLOOKUP(Table37[[#This Row],[MONTH]],TAGS!$W$67:$Z$81,4,FALSE)</f>
        <v>2025</v>
      </c>
      <c r="AD106" s="47">
        <v>100</v>
      </c>
      <c r="AE106" s="47"/>
      <c r="AF106" s="51">
        <f>SUM(Table37[[#This Row],[MOOE (Php ''000)]:[CO (Php ''000)]])</f>
        <v>100</v>
      </c>
      <c r="AG106" s="71" t="b">
        <f>ISBLANK(Table37[[#This Row],[PRPOPOSAL/BEDS]])</f>
        <v>0</v>
      </c>
      <c r="AH106" s="71" t="b">
        <f>ISBLANK(Table37[[#This Row],[OU]])</f>
        <v>0</v>
      </c>
      <c r="AI106" s="71" t="b">
        <f>ISBLANK(Table37[[#This Row],[SPECIFIC COMMODITY]])</f>
        <v>0</v>
      </c>
      <c r="AJ106" s="71" t="b">
        <f>ISBLANK(Table37[[#This Row],[COMMODITY PREXC SUB-PROGRAM]])</f>
        <v>0</v>
      </c>
      <c r="AK106" s="71" t="b">
        <f>ISBLANK(Table37[[#This Row],[ACTIVITY]])</f>
        <v>0</v>
      </c>
      <c r="AL106" s="71" t="b">
        <f>ISBLANK(Table37[[#This Row],[TAG-GAD]])</f>
        <v>0</v>
      </c>
      <c r="AM106" s="71" t="b">
        <f>ISBLANK(Table37[[#This Row],[MONTH]])</f>
        <v>0</v>
      </c>
      <c r="AN106" s="71" t="b">
        <f>ISBLANK(Table37[[#This Row],[MOOE (Php ''000)]])</f>
        <v>0</v>
      </c>
      <c r="AO106" s="71" t="b">
        <f>ISBLANK(Table37[[#This Row],[CO (Php ''000)]])</f>
        <v>1</v>
      </c>
    </row>
    <row r="107" spans="1:41">
      <c r="A107" s="51" t="str">
        <f>VLOOKUP(Table37[[#This Row],[OU]],OU!$A$15:$B$34,2,FALSE)</f>
        <v>RFOs</v>
      </c>
      <c r="B107" s="47" t="s">
        <v>297</v>
      </c>
      <c r="C107" s="47" t="s">
        <v>574</v>
      </c>
      <c r="D107" s="47" t="s">
        <v>585</v>
      </c>
      <c r="E107" s="51" t="str">
        <f>VLOOKUP(Table37[[#This Row],[SPECIFIC COMMODITY]],TAGS!$W$48:$X$53,2,FALSE)</f>
        <v>Multi_commodity</v>
      </c>
      <c r="F107" s="51" t="str">
        <f>VLOOKUP(Table37[[#This Row],[PREXC SUB-PROGRAM]],Table5[],2,FALSE)</f>
        <v>FIELD PROGRAMS MANAGEMENT ACTIVITIES</v>
      </c>
      <c r="G107" s="51" t="str">
        <f>VLOOKUP(Table37[[#This Row],[COMMODITY PREXC SUB-PROGRAM]],TAGS!$U$54:$V$76,2,FALSE)</f>
        <v>FPMA</v>
      </c>
      <c r="H107" s="47" t="s">
        <v>597</v>
      </c>
      <c r="I107" s="51" t="str">
        <f>VLOOKUP(Table37[[#This Row],[PI LEVEL 3]],'PI LEVEL'!A:C,3,FALSE)</f>
        <v>National/Regional Field Monitoring conducted</v>
      </c>
      <c r="J107" s="51" t="str">
        <f>VLOOKUP(Table37[[#This Row],[PI LEVEL 3]],Table53729[[Performance Indicator Level 3]:[Performance Indicator Level 1]],2,FALSE)</f>
        <v>National/Regional Field Monitoring conducted</v>
      </c>
      <c r="K107" s="51" t="str">
        <f>VLOOKUP(Table37[[#This Row],[ACTIVITY]],TAGS!B:P,2,FALSE)</f>
        <v>National/Regional Field Monitoring conducted</v>
      </c>
      <c r="L107" s="47" t="s">
        <v>233</v>
      </c>
      <c r="M107" s="51" t="str">
        <f>VLOOKUP(Table37[[#This Row],[ACTIVITY]],TAGS!$B:$P,4,FALSE)</f>
        <v>FPMA</v>
      </c>
      <c r="N107" s="51" t="str">
        <f>VLOOKUP(Table37[[#This Row],[ACTIVITY]],TAGS!$B:$P,5,FALSE)</f>
        <v>FPMA</v>
      </c>
      <c r="O107" s="51" t="str">
        <f>VLOOKUP(Table37[[#This Row],[ACTIVITY]],TAGS!$B:$P,6,FALSE)</f>
        <v>Monitoring and Evaluation</v>
      </c>
      <c r="P107" s="51" t="str">
        <f>VLOOKUP(Table37[[#This Row],[ACTIVITY]],TAGS!$B:$P,7,FALSE)</f>
        <v>NO</v>
      </c>
      <c r="Q107" s="51" t="str">
        <f>VLOOKUP(Table37[[#This Row],[ACTIVITY]],TAGS!$B:$P,8,FALSE)</f>
        <v>Overhead</v>
      </c>
      <c r="R107" s="51" t="str">
        <f>VLOOKUP(Table37[[#This Row],[ACTIVITY]],TAGS!$B:$P,10,FALSE)</f>
        <v>NON-PIP</v>
      </c>
      <c r="S107" s="51" t="str">
        <f>VLOOKUP(Table37[[#This Row],[ACTIVITY]],TAGS!$B:$P,11,FALSE)</f>
        <v>NON-PICS</v>
      </c>
      <c r="T107" s="51">
        <f>VLOOKUP(Table37[[#This Row],[ACTIVITY]],TAGS!$B:$P,12,FALSE)</f>
        <v>0</v>
      </c>
      <c r="U107" s="51">
        <f>VLOOKUP(Table37[[#This Row],[ACTIVITY]],TAGS!$B:$P,13,FALSE)</f>
        <v>0</v>
      </c>
      <c r="V107" s="51">
        <f>VLOOKUP(Table37[[#This Row],[ACTIVITY]],TAGS!$B:$P,14,FALSE)</f>
        <v>0</v>
      </c>
      <c r="W107" s="51" t="str">
        <f>VLOOKUP(Table37[[#This Row],[ACTIVITY]],TAGS!$B:$P,15,FALSE)</f>
        <v>Existing</v>
      </c>
      <c r="X107" s="51">
        <f>VLOOKUP(Table37[[#This Row],[PI LEVEL 3]],'PI LEVEL'!$A:$G,7,FALSE)</f>
        <v>0</v>
      </c>
      <c r="Y107" s="47" t="s">
        <v>577</v>
      </c>
      <c r="Z107" s="47" t="s">
        <v>338</v>
      </c>
      <c r="AA107" s="51" t="str">
        <f>VLOOKUP(Table37[[#This Row],[MONTH]],TAGS!$W$67:$Y$81,2,FALSE)</f>
        <v>4TH QTR</v>
      </c>
      <c r="AB107" s="51" t="str">
        <f>VLOOKUP(Table37[[#This Row],[MONTH]],TAGS!$W$67:$Y$81,3,FALSE)</f>
        <v>2ND SEMESTER</v>
      </c>
      <c r="AC107" s="51">
        <f>VLOOKUP(Table37[[#This Row],[MONTH]],TAGS!$W$67:$Z$81,4,FALSE)</f>
        <v>2025</v>
      </c>
      <c r="AD107" s="47">
        <v>259</v>
      </c>
      <c r="AE107" s="47"/>
      <c r="AF107" s="51">
        <f>SUM(Table37[[#This Row],[MOOE (Php ''000)]:[CO (Php ''000)]])</f>
        <v>259</v>
      </c>
      <c r="AG107" s="71" t="b">
        <f>ISBLANK(Table37[[#This Row],[PRPOPOSAL/BEDS]])</f>
        <v>0</v>
      </c>
      <c r="AH107" s="71" t="b">
        <f>ISBLANK(Table37[[#This Row],[OU]])</f>
        <v>0</v>
      </c>
      <c r="AI107" s="71" t="b">
        <f>ISBLANK(Table37[[#This Row],[SPECIFIC COMMODITY]])</f>
        <v>0</v>
      </c>
      <c r="AJ107" s="71" t="b">
        <f>ISBLANK(Table37[[#This Row],[COMMODITY PREXC SUB-PROGRAM]])</f>
        <v>0</v>
      </c>
      <c r="AK107" s="71" t="b">
        <f>ISBLANK(Table37[[#This Row],[ACTIVITY]])</f>
        <v>0</v>
      </c>
      <c r="AL107" s="71" t="b">
        <f>ISBLANK(Table37[[#This Row],[TAG-GAD]])</f>
        <v>0</v>
      </c>
      <c r="AM107" s="71" t="b">
        <f>ISBLANK(Table37[[#This Row],[MONTH]])</f>
        <v>0</v>
      </c>
      <c r="AN107" s="71" t="b">
        <f>ISBLANK(Table37[[#This Row],[MOOE (Php ''000)]])</f>
        <v>0</v>
      </c>
      <c r="AO107" s="71" t="b">
        <f>ISBLANK(Table37[[#This Row],[CO (Php ''000)]])</f>
        <v>1</v>
      </c>
    </row>
    <row r="108" spans="1:41">
      <c r="A108" s="51" t="str">
        <f>VLOOKUP(Table37[[#This Row],[OU]],OU!$A$15:$B$34,2,FALSE)</f>
        <v>RFOs</v>
      </c>
      <c r="B108" s="47" t="s">
        <v>301</v>
      </c>
      <c r="C108" s="47" t="s">
        <v>574</v>
      </c>
      <c r="D108" s="47" t="s">
        <v>578</v>
      </c>
      <c r="E108" s="51" t="str">
        <f>VLOOKUP(Table37[[#This Row],[SPECIFIC COMMODITY]],TAGS!$W$48:$X$53,2,FALSE)</f>
        <v>Corn</v>
      </c>
      <c r="F108" s="51" t="str">
        <f>VLOOKUP(Table37[[#This Row],[PREXC SUB-PROGRAM]],Table5[],2,FALSE)</f>
        <v>TECHNICAL AND SUPPORT SERVICES PROGRAM</v>
      </c>
      <c r="G108" s="51" t="str">
        <f>VLOOKUP(Table37[[#This Row],[COMMODITY PREXC SUB-PROGRAM]],TAGS!$U$54:$V$76,2,FALSE)</f>
        <v>PSS</v>
      </c>
      <c r="H108" s="47" t="s">
        <v>576</v>
      </c>
      <c r="I108" s="51" t="str">
        <f>VLOOKUP(Table37[[#This Row],[PI LEVEL 3]],'PI LEVEL'!A:C,3,FALSE)</f>
        <v>Seeds distributed</v>
      </c>
      <c r="J108" s="51" t="str">
        <f>VLOOKUP(Table37[[#This Row],[PI LEVEL 3]],Table53729[[Performance Indicator Level 3]:[Performance Indicator Level 1]],2,FALSE)</f>
        <v>Corn Seeds distributed</v>
      </c>
      <c r="K108" s="51" t="str">
        <f>VLOOKUP(Table37[[#This Row],[ACTIVITY]],TAGS!B:P,2,FALSE)</f>
        <v>White Corn Seeds distributed</v>
      </c>
      <c r="L108" s="47" t="s">
        <v>24</v>
      </c>
      <c r="M108" s="51" t="str">
        <f>VLOOKUP(Table37[[#This Row],[ACTIVITY]],TAGS!$B:$P,4,FALSE)</f>
        <v>OPV Seed Production</v>
      </c>
      <c r="N108" s="51" t="str">
        <f>VLOOKUP(Table37[[#This Row],[ACTIVITY]],TAGS!$B:$P,5,FALSE)</f>
        <v>OPV Seed Production</v>
      </c>
      <c r="O108" s="51" t="str">
        <f>VLOOKUP(Table37[[#This Row],[ACTIVITY]],TAGS!$B:$P,6,FALSE)</f>
        <v>White corn seeds</v>
      </c>
      <c r="P108" s="51" t="str">
        <f>VLOOKUP(Table37[[#This Row],[ACTIVITY]],TAGS!$B:$P,7,FALSE)</f>
        <v>NO</v>
      </c>
      <c r="Q108" s="51" t="str">
        <f>VLOOKUP(Table37[[#This Row],[ACTIVITY]],TAGS!$B:$P,8,FALSE)</f>
        <v>PAP</v>
      </c>
      <c r="R108" s="51" t="str">
        <f>VLOOKUP(Table37[[#This Row],[ACTIVITY]],TAGS!$B:$P,10,FALSE)</f>
        <v>PIP</v>
      </c>
      <c r="S108" s="51" t="str">
        <f>VLOOKUP(Table37[[#This Row],[ACTIVITY]],TAGS!$B:$P,11,FALSE)</f>
        <v>PICS</v>
      </c>
      <c r="T108" s="51" t="str">
        <f>VLOOKUP(Table37[[#This Row],[ACTIVITY]],TAGS!$B:$P,12,FALSE)</f>
        <v>Consolidation</v>
      </c>
      <c r="U108" s="51" t="str">
        <f>VLOOKUP(Table37[[#This Row],[ACTIVITY]],TAGS!$B:$P,13,FALSE)</f>
        <v>1. Bayanihan Agri Cluster</v>
      </c>
      <c r="V108" s="51" t="str">
        <f>VLOOKUP(Table37[[#This Row],[ACTIVITY]],TAGS!$B:$P,14,FALSE)</f>
        <v>EXPAND AND IMPROVE AVAILABLE AGRI-FISHERY AREAS FOR INCREASED PRODUCTION</v>
      </c>
      <c r="W108" s="51" t="str">
        <f>VLOOKUP(Table37[[#This Row],[ACTIVITY]],TAGS!$B:$P,15,FALSE)</f>
        <v>Farm Inputs</v>
      </c>
      <c r="X108" s="51" t="str">
        <f>VLOOKUP(Table37[[#This Row],[PI LEVEL 3]],'PI LEVEL'!$A:$G,7,FALSE)</f>
        <v>DA-Level Output</v>
      </c>
      <c r="Y108" s="47" t="s">
        <v>577</v>
      </c>
      <c r="Z108" s="47" t="s">
        <v>331</v>
      </c>
      <c r="AA108" s="51" t="str">
        <f>VLOOKUP(Table37[[#This Row],[MONTH]],TAGS!$W$67:$Y$81,2,FALSE)</f>
        <v>2ND QTR</v>
      </c>
      <c r="AB108" s="51" t="str">
        <f>VLOOKUP(Table37[[#This Row],[MONTH]],TAGS!$W$67:$Y$81,3,FALSE)</f>
        <v>1ST SEMESTER</v>
      </c>
      <c r="AC108" s="51">
        <f>VLOOKUP(Table37[[#This Row],[MONTH]],TAGS!$W$67:$Z$81,4,FALSE)</f>
        <v>2025</v>
      </c>
      <c r="AD108" s="47">
        <v>505</v>
      </c>
      <c r="AE108" s="47"/>
      <c r="AF108" s="51">
        <f>SUM(Table37[[#This Row],[MOOE (Php ''000)]:[CO (Php ''000)]])</f>
        <v>505</v>
      </c>
      <c r="AG108" s="71" t="b">
        <f>ISBLANK(Table37[[#This Row],[PRPOPOSAL/BEDS]])</f>
        <v>0</v>
      </c>
      <c r="AH108" s="71" t="b">
        <f>ISBLANK(Table37[[#This Row],[OU]])</f>
        <v>0</v>
      </c>
      <c r="AI108" s="71" t="b">
        <f>ISBLANK(Table37[[#This Row],[SPECIFIC COMMODITY]])</f>
        <v>0</v>
      </c>
      <c r="AJ108" s="71" t="b">
        <f>ISBLANK(Table37[[#This Row],[COMMODITY PREXC SUB-PROGRAM]])</f>
        <v>0</v>
      </c>
      <c r="AK108" s="71" t="b">
        <f>ISBLANK(Table37[[#This Row],[ACTIVITY]])</f>
        <v>0</v>
      </c>
      <c r="AL108" s="71" t="b">
        <f>ISBLANK(Table37[[#This Row],[TAG-GAD]])</f>
        <v>0</v>
      </c>
      <c r="AM108" s="71" t="b">
        <f>ISBLANK(Table37[[#This Row],[MONTH]])</f>
        <v>0</v>
      </c>
      <c r="AN108" s="71" t="b">
        <f>ISBLANK(Table37[[#This Row],[MOOE (Php ''000)]])</f>
        <v>0</v>
      </c>
      <c r="AO108" s="71" t="b">
        <f>ISBLANK(Table37[[#This Row],[CO (Php ''000)]])</f>
        <v>1</v>
      </c>
    </row>
    <row r="109" spans="1:41">
      <c r="A109" s="51" t="str">
        <f>VLOOKUP(Table37[[#This Row],[OU]],OU!$A$15:$B$34,2,FALSE)</f>
        <v>RFOs</v>
      </c>
      <c r="B109" s="47" t="s">
        <v>301</v>
      </c>
      <c r="C109" s="47" t="s">
        <v>574</v>
      </c>
      <c r="D109" s="47" t="s">
        <v>578</v>
      </c>
      <c r="E109" s="51" t="str">
        <f>VLOOKUP(Table37[[#This Row],[SPECIFIC COMMODITY]],TAGS!$W$48:$X$53,2,FALSE)</f>
        <v>Corn</v>
      </c>
      <c r="F109" s="51" t="str">
        <f>VLOOKUP(Table37[[#This Row],[PREXC SUB-PROGRAM]],Table5[],2,FALSE)</f>
        <v>TECHNICAL AND SUPPORT SERVICES PROGRAM</v>
      </c>
      <c r="G109" s="51" t="str">
        <f>VLOOKUP(Table37[[#This Row],[COMMODITY PREXC SUB-PROGRAM]],TAGS!$U$54:$V$76,2,FALSE)</f>
        <v>PSS</v>
      </c>
      <c r="H109" s="47" t="s">
        <v>576</v>
      </c>
      <c r="I109" s="51" t="str">
        <f>VLOOKUP(Table37[[#This Row],[PI LEVEL 3]],'PI LEVEL'!A:C,3,FALSE)</f>
        <v>Seeds distributed</v>
      </c>
      <c r="J109" s="51" t="str">
        <f>VLOOKUP(Table37[[#This Row],[PI LEVEL 3]],Table53729[[Performance Indicator Level 3]:[Performance Indicator Level 1]],2,FALSE)</f>
        <v>Corn Seeds distributed</v>
      </c>
      <c r="K109" s="51" t="str">
        <f>VLOOKUP(Table37[[#This Row],[ACTIVITY]],TAGS!B:P,2,FALSE)</f>
        <v>White Corn Seeds distributed</v>
      </c>
      <c r="L109" s="47" t="s">
        <v>24</v>
      </c>
      <c r="M109" s="51" t="str">
        <f>VLOOKUP(Table37[[#This Row],[ACTIVITY]],TAGS!$B:$P,4,FALSE)</f>
        <v>OPV Seed Production</v>
      </c>
      <c r="N109" s="51" t="str">
        <f>VLOOKUP(Table37[[#This Row],[ACTIVITY]],TAGS!$B:$P,5,FALSE)</f>
        <v>OPV Seed Production</v>
      </c>
      <c r="O109" s="51" t="str">
        <f>VLOOKUP(Table37[[#This Row],[ACTIVITY]],TAGS!$B:$P,6,FALSE)</f>
        <v>White corn seeds</v>
      </c>
      <c r="P109" s="51" t="str">
        <f>VLOOKUP(Table37[[#This Row],[ACTIVITY]],TAGS!$B:$P,7,FALSE)</f>
        <v>NO</v>
      </c>
      <c r="Q109" s="51" t="str">
        <f>VLOOKUP(Table37[[#This Row],[ACTIVITY]],TAGS!$B:$P,8,FALSE)</f>
        <v>PAP</v>
      </c>
      <c r="R109" s="51" t="str">
        <f>VLOOKUP(Table37[[#This Row],[ACTIVITY]],TAGS!$B:$P,10,FALSE)</f>
        <v>PIP</v>
      </c>
      <c r="S109" s="51" t="str">
        <f>VLOOKUP(Table37[[#This Row],[ACTIVITY]],TAGS!$B:$P,11,FALSE)</f>
        <v>PICS</v>
      </c>
      <c r="T109" s="51" t="str">
        <f>VLOOKUP(Table37[[#This Row],[ACTIVITY]],TAGS!$B:$P,12,FALSE)</f>
        <v>Consolidation</v>
      </c>
      <c r="U109" s="51" t="str">
        <f>VLOOKUP(Table37[[#This Row],[ACTIVITY]],TAGS!$B:$P,13,FALSE)</f>
        <v>1. Bayanihan Agri Cluster</v>
      </c>
      <c r="V109" s="51" t="str">
        <f>VLOOKUP(Table37[[#This Row],[ACTIVITY]],TAGS!$B:$P,14,FALSE)</f>
        <v>EXPAND AND IMPROVE AVAILABLE AGRI-FISHERY AREAS FOR INCREASED PRODUCTION</v>
      </c>
      <c r="W109" s="51" t="str">
        <f>VLOOKUP(Table37[[#This Row],[ACTIVITY]],TAGS!$B:$P,15,FALSE)</f>
        <v>Farm Inputs</v>
      </c>
      <c r="X109" s="51" t="str">
        <f>VLOOKUP(Table37[[#This Row],[PI LEVEL 3]],'PI LEVEL'!$A:$G,7,FALSE)</f>
        <v>DA-Level Output</v>
      </c>
      <c r="Y109" s="47" t="s">
        <v>577</v>
      </c>
      <c r="Z109" s="47" t="s">
        <v>331</v>
      </c>
      <c r="AA109" s="51" t="str">
        <f>VLOOKUP(Table37[[#This Row],[MONTH]],TAGS!$W$67:$Y$81,2,FALSE)</f>
        <v>2ND QTR</v>
      </c>
      <c r="AB109" s="51" t="str">
        <f>VLOOKUP(Table37[[#This Row],[MONTH]],TAGS!$W$67:$Y$81,3,FALSE)</f>
        <v>1ST SEMESTER</v>
      </c>
      <c r="AC109" s="51">
        <f>VLOOKUP(Table37[[#This Row],[MONTH]],TAGS!$W$67:$Z$81,4,FALSE)</f>
        <v>2025</v>
      </c>
      <c r="AD109" s="47">
        <v>600</v>
      </c>
      <c r="AE109" s="47"/>
      <c r="AF109" s="51">
        <f>SUM(Table37[[#This Row],[MOOE (Php ''000)]:[CO (Php ''000)]])</f>
        <v>600</v>
      </c>
      <c r="AG109" s="71" t="b">
        <f>ISBLANK(Table37[[#This Row],[PRPOPOSAL/BEDS]])</f>
        <v>0</v>
      </c>
      <c r="AH109" s="71" t="b">
        <f>ISBLANK(Table37[[#This Row],[OU]])</f>
        <v>0</v>
      </c>
      <c r="AI109" s="71" t="b">
        <f>ISBLANK(Table37[[#This Row],[SPECIFIC COMMODITY]])</f>
        <v>0</v>
      </c>
      <c r="AJ109" s="71" t="b">
        <f>ISBLANK(Table37[[#This Row],[COMMODITY PREXC SUB-PROGRAM]])</f>
        <v>0</v>
      </c>
      <c r="AK109" s="71" t="b">
        <f>ISBLANK(Table37[[#This Row],[ACTIVITY]])</f>
        <v>0</v>
      </c>
      <c r="AL109" s="71" t="b">
        <f>ISBLANK(Table37[[#This Row],[TAG-GAD]])</f>
        <v>0</v>
      </c>
      <c r="AM109" s="71" t="b">
        <f>ISBLANK(Table37[[#This Row],[MONTH]])</f>
        <v>0</v>
      </c>
      <c r="AN109" s="71" t="b">
        <f>ISBLANK(Table37[[#This Row],[MOOE (Php ''000)]])</f>
        <v>0</v>
      </c>
      <c r="AO109" s="71" t="b">
        <f>ISBLANK(Table37[[#This Row],[CO (Php ''000)]])</f>
        <v>1</v>
      </c>
    </row>
    <row r="110" spans="1:41">
      <c r="A110" s="51" t="str">
        <f>VLOOKUP(Table37[[#This Row],[OU]],OU!$A$15:$B$34,2,FALSE)</f>
        <v>RFOs</v>
      </c>
      <c r="B110" s="47" t="s">
        <v>301</v>
      </c>
      <c r="C110" s="47" t="s">
        <v>574</v>
      </c>
      <c r="D110" s="47" t="s">
        <v>578</v>
      </c>
      <c r="E110" s="51" t="str">
        <f>VLOOKUP(Table37[[#This Row],[SPECIFIC COMMODITY]],TAGS!$W$48:$X$53,2,FALSE)</f>
        <v>Corn</v>
      </c>
      <c r="F110" s="51" t="str">
        <f>VLOOKUP(Table37[[#This Row],[PREXC SUB-PROGRAM]],Table5[],2,FALSE)</f>
        <v>TECHNICAL AND SUPPORT SERVICES PROGRAM</v>
      </c>
      <c r="G110" s="51" t="str">
        <f>VLOOKUP(Table37[[#This Row],[COMMODITY PREXC SUB-PROGRAM]],TAGS!$U$54:$V$76,2,FALSE)</f>
        <v>PSS</v>
      </c>
      <c r="H110" s="47" t="s">
        <v>576</v>
      </c>
      <c r="I110" s="51" t="str">
        <f>VLOOKUP(Table37[[#This Row],[PI LEVEL 3]],'PI LEVEL'!A:C,3,FALSE)</f>
        <v>Seeds reserved</v>
      </c>
      <c r="J110" s="51" t="str">
        <f>VLOOKUP(Table37[[#This Row],[PI LEVEL 3]],Table53729[[Performance Indicator Level 3]:[Performance Indicator Level 1]],2,FALSE)</f>
        <v>Corn Seeds reserved</v>
      </c>
      <c r="K110" s="51" t="str">
        <f>VLOOKUP(Table37[[#This Row],[ACTIVITY]],TAGS!B:P,2,FALSE)</f>
        <v>White Corn Seeds reserved</v>
      </c>
      <c r="L110" s="47" t="s">
        <v>80</v>
      </c>
      <c r="M110" s="51" t="str">
        <f>VLOOKUP(Table37[[#This Row],[ACTIVITY]],TAGS!$B:$P,4,FALSE)</f>
        <v>Corn Seed Reserve</v>
      </c>
      <c r="N110" s="51" t="str">
        <f>VLOOKUP(Table37[[#This Row],[ACTIVITY]],TAGS!$B:$P,5,FALSE)</f>
        <v>Corn Seed Reserve</v>
      </c>
      <c r="O110" s="51" t="str">
        <f>VLOOKUP(Table37[[#This Row],[ACTIVITY]],TAGS!$B:$P,6,FALSE)</f>
        <v>White corn seeds reserve</v>
      </c>
      <c r="P110" s="51" t="str">
        <f>VLOOKUP(Table37[[#This Row],[ACTIVITY]],TAGS!$B:$P,7,FALSE)</f>
        <v>YES</v>
      </c>
      <c r="Q110" s="51" t="str">
        <f>VLOOKUP(Table37[[#This Row],[ACTIVITY]],TAGS!$B:$P,8,FALSE)</f>
        <v>PAP</v>
      </c>
      <c r="R110" s="51" t="str">
        <f>VLOOKUP(Table37[[#This Row],[ACTIVITY]],TAGS!$B:$P,10,FALSE)</f>
        <v>PIP</v>
      </c>
      <c r="S110" s="51" t="str">
        <f>VLOOKUP(Table37[[#This Row],[ACTIVITY]],TAGS!$B:$P,11,FALSE)</f>
        <v>PICS</v>
      </c>
      <c r="T110" s="51" t="str">
        <f>VLOOKUP(Table37[[#This Row],[ACTIVITY]],TAGS!$B:$P,12,FALSE)</f>
        <v>Modernization</v>
      </c>
      <c r="U110" s="51" t="str">
        <f>VLOOKUP(Table37[[#This Row],[ACTIVITY]],TAGS!$B:$P,13,FALSE)</f>
        <v>9. Climate Change Adaptation &amp; Mitigation Measures</v>
      </c>
      <c r="V110" s="51" t="str">
        <f>VLOOKUP(Table37[[#This Row],[ACTIVITY]],TAGS!$B:$P,14,FALSE)</f>
        <v>EXPAND AND IMPROVE AVAILABLE AGRI-FISHERY AREAS FOR INCREASED PRODUCTION</v>
      </c>
      <c r="W110" s="51" t="str">
        <f>VLOOKUP(Table37[[#This Row],[ACTIVITY]],TAGS!$B:$P,15,FALSE)</f>
        <v>Seed Reserve</v>
      </c>
      <c r="X110" s="51" t="str">
        <f>VLOOKUP(Table37[[#This Row],[PI LEVEL 3]],'PI LEVEL'!$A:$G,7,FALSE)</f>
        <v>DA-Level Output</v>
      </c>
      <c r="Y110" s="47" t="s">
        <v>577</v>
      </c>
      <c r="Z110" s="47" t="s">
        <v>331</v>
      </c>
      <c r="AA110" s="51" t="str">
        <f>VLOOKUP(Table37[[#This Row],[MONTH]],TAGS!$W$67:$Y$81,2,FALSE)</f>
        <v>2ND QTR</v>
      </c>
      <c r="AB110" s="51" t="str">
        <f>VLOOKUP(Table37[[#This Row],[MONTH]],TAGS!$W$67:$Y$81,3,FALSE)</f>
        <v>1ST SEMESTER</v>
      </c>
      <c r="AC110" s="51">
        <f>VLOOKUP(Table37[[#This Row],[MONTH]],TAGS!$W$67:$Z$81,4,FALSE)</f>
        <v>2025</v>
      </c>
      <c r="AD110" s="47">
        <v>500</v>
      </c>
      <c r="AE110" s="47"/>
      <c r="AF110" s="51">
        <f>SUM(Table37[[#This Row],[MOOE (Php ''000)]:[CO (Php ''000)]])</f>
        <v>500</v>
      </c>
      <c r="AG110" s="71" t="b">
        <f>ISBLANK(Table37[[#This Row],[PRPOPOSAL/BEDS]])</f>
        <v>0</v>
      </c>
      <c r="AH110" s="71" t="b">
        <f>ISBLANK(Table37[[#This Row],[OU]])</f>
        <v>0</v>
      </c>
      <c r="AI110" s="71" t="b">
        <f>ISBLANK(Table37[[#This Row],[SPECIFIC COMMODITY]])</f>
        <v>0</v>
      </c>
      <c r="AJ110" s="71" t="b">
        <f>ISBLANK(Table37[[#This Row],[COMMODITY PREXC SUB-PROGRAM]])</f>
        <v>0</v>
      </c>
      <c r="AK110" s="71" t="b">
        <f>ISBLANK(Table37[[#This Row],[ACTIVITY]])</f>
        <v>0</v>
      </c>
      <c r="AL110" s="71" t="b">
        <f>ISBLANK(Table37[[#This Row],[TAG-GAD]])</f>
        <v>0</v>
      </c>
      <c r="AM110" s="71" t="b">
        <f>ISBLANK(Table37[[#This Row],[MONTH]])</f>
        <v>0</v>
      </c>
      <c r="AN110" s="71" t="b">
        <f>ISBLANK(Table37[[#This Row],[MOOE (Php ''000)]])</f>
        <v>0</v>
      </c>
      <c r="AO110" s="71" t="b">
        <f>ISBLANK(Table37[[#This Row],[CO (Php ''000)]])</f>
        <v>1</v>
      </c>
    </row>
    <row r="111" spans="1:41">
      <c r="A111" s="51" t="str">
        <f>VLOOKUP(Table37[[#This Row],[OU]],OU!$A$15:$B$34,2,FALSE)</f>
        <v>RFOs</v>
      </c>
      <c r="B111" s="47" t="s">
        <v>301</v>
      </c>
      <c r="C111" s="47" t="s">
        <v>574</v>
      </c>
      <c r="D111" s="47" t="s">
        <v>578</v>
      </c>
      <c r="E111" s="51" t="str">
        <f>VLOOKUP(Table37[[#This Row],[SPECIFIC COMMODITY]],TAGS!$W$48:$X$53,2,FALSE)</f>
        <v>Corn</v>
      </c>
      <c r="F111" s="51" t="str">
        <f>VLOOKUP(Table37[[#This Row],[PREXC SUB-PROGRAM]],Table5[],2,FALSE)</f>
        <v>TECHNICAL AND SUPPORT SERVICES PROGRAM</v>
      </c>
      <c r="G111" s="51" t="str">
        <f>VLOOKUP(Table37[[#This Row],[COMMODITY PREXC SUB-PROGRAM]],TAGS!$U$54:$V$76,2,FALSE)</f>
        <v>PSS</v>
      </c>
      <c r="H111" s="47" t="s">
        <v>576</v>
      </c>
      <c r="I111" s="51" t="str">
        <f>VLOOKUP(Table37[[#This Row],[PI LEVEL 3]],'PI LEVEL'!A:C,3,FALSE)</f>
        <v>Seeds reserved</v>
      </c>
      <c r="J111" s="51" t="str">
        <f>VLOOKUP(Table37[[#This Row],[PI LEVEL 3]],Table53729[[Performance Indicator Level 3]:[Performance Indicator Level 1]],2,FALSE)</f>
        <v>Corn Seeds reserved</v>
      </c>
      <c r="K111" s="51" t="str">
        <f>VLOOKUP(Table37[[#This Row],[ACTIVITY]],TAGS!B:P,2,FALSE)</f>
        <v>White Corn Seeds reserved</v>
      </c>
      <c r="L111" s="47" t="s">
        <v>80</v>
      </c>
      <c r="M111" s="51" t="str">
        <f>VLOOKUP(Table37[[#This Row],[ACTIVITY]],TAGS!$B:$P,4,FALSE)</f>
        <v>Corn Seed Reserve</v>
      </c>
      <c r="N111" s="51" t="str">
        <f>VLOOKUP(Table37[[#This Row],[ACTIVITY]],TAGS!$B:$P,5,FALSE)</f>
        <v>Corn Seed Reserve</v>
      </c>
      <c r="O111" s="51" t="str">
        <f>VLOOKUP(Table37[[#This Row],[ACTIVITY]],TAGS!$B:$P,6,FALSE)</f>
        <v>White corn seeds reserve</v>
      </c>
      <c r="P111" s="51" t="str">
        <f>VLOOKUP(Table37[[#This Row],[ACTIVITY]],TAGS!$B:$P,7,FALSE)</f>
        <v>YES</v>
      </c>
      <c r="Q111" s="51" t="str">
        <f>VLOOKUP(Table37[[#This Row],[ACTIVITY]],TAGS!$B:$P,8,FALSE)</f>
        <v>PAP</v>
      </c>
      <c r="R111" s="51" t="str">
        <f>VLOOKUP(Table37[[#This Row],[ACTIVITY]],TAGS!$B:$P,10,FALSE)</f>
        <v>PIP</v>
      </c>
      <c r="S111" s="51" t="str">
        <f>VLOOKUP(Table37[[#This Row],[ACTIVITY]],TAGS!$B:$P,11,FALSE)</f>
        <v>PICS</v>
      </c>
      <c r="T111" s="51" t="str">
        <f>VLOOKUP(Table37[[#This Row],[ACTIVITY]],TAGS!$B:$P,12,FALSE)</f>
        <v>Modernization</v>
      </c>
      <c r="U111" s="51" t="str">
        <f>VLOOKUP(Table37[[#This Row],[ACTIVITY]],TAGS!$B:$P,13,FALSE)</f>
        <v>9. Climate Change Adaptation &amp; Mitigation Measures</v>
      </c>
      <c r="V111" s="51" t="str">
        <f>VLOOKUP(Table37[[#This Row],[ACTIVITY]],TAGS!$B:$P,14,FALSE)</f>
        <v>EXPAND AND IMPROVE AVAILABLE AGRI-FISHERY AREAS FOR INCREASED PRODUCTION</v>
      </c>
      <c r="W111" s="51" t="str">
        <f>VLOOKUP(Table37[[#This Row],[ACTIVITY]],TAGS!$B:$P,15,FALSE)</f>
        <v>Seed Reserve</v>
      </c>
      <c r="X111" s="51" t="str">
        <f>VLOOKUP(Table37[[#This Row],[PI LEVEL 3]],'PI LEVEL'!$A:$G,7,FALSE)</f>
        <v>DA-Level Output</v>
      </c>
      <c r="Y111" s="47" t="s">
        <v>577</v>
      </c>
      <c r="Z111" s="47" t="s">
        <v>331</v>
      </c>
      <c r="AA111" s="51" t="str">
        <f>VLOOKUP(Table37[[#This Row],[MONTH]],TAGS!$W$67:$Y$81,2,FALSE)</f>
        <v>2ND QTR</v>
      </c>
      <c r="AB111" s="51" t="str">
        <f>VLOOKUP(Table37[[#This Row],[MONTH]],TAGS!$W$67:$Y$81,3,FALSE)</f>
        <v>1ST SEMESTER</v>
      </c>
      <c r="AC111" s="51">
        <f>VLOOKUP(Table37[[#This Row],[MONTH]],TAGS!$W$67:$Z$81,4,FALSE)</f>
        <v>2025</v>
      </c>
      <c r="AD111" s="47">
        <v>1000</v>
      </c>
      <c r="AE111" s="47"/>
      <c r="AF111" s="51">
        <f>SUM(Table37[[#This Row],[MOOE (Php ''000)]:[CO (Php ''000)]])</f>
        <v>1000</v>
      </c>
      <c r="AG111" s="71" t="b">
        <f>ISBLANK(Table37[[#This Row],[PRPOPOSAL/BEDS]])</f>
        <v>0</v>
      </c>
      <c r="AH111" s="71" t="b">
        <f>ISBLANK(Table37[[#This Row],[OU]])</f>
        <v>0</v>
      </c>
      <c r="AI111" s="71" t="b">
        <f>ISBLANK(Table37[[#This Row],[SPECIFIC COMMODITY]])</f>
        <v>0</v>
      </c>
      <c r="AJ111" s="71" t="b">
        <f>ISBLANK(Table37[[#This Row],[COMMODITY PREXC SUB-PROGRAM]])</f>
        <v>0</v>
      </c>
      <c r="AK111" s="71" t="b">
        <f>ISBLANK(Table37[[#This Row],[ACTIVITY]])</f>
        <v>0</v>
      </c>
      <c r="AL111" s="71" t="b">
        <f>ISBLANK(Table37[[#This Row],[TAG-GAD]])</f>
        <v>0</v>
      </c>
      <c r="AM111" s="71" t="b">
        <f>ISBLANK(Table37[[#This Row],[MONTH]])</f>
        <v>0</v>
      </c>
      <c r="AN111" s="71" t="b">
        <f>ISBLANK(Table37[[#This Row],[MOOE (Php ''000)]])</f>
        <v>0</v>
      </c>
      <c r="AO111" s="71" t="b">
        <f>ISBLANK(Table37[[#This Row],[CO (Php ''000)]])</f>
        <v>1</v>
      </c>
    </row>
    <row r="112" spans="1:41">
      <c r="A112" s="51" t="str">
        <f>VLOOKUP(Table37[[#This Row],[OU]],OU!$A$15:$B$34,2,FALSE)</f>
        <v>RFOs</v>
      </c>
      <c r="B112" s="47" t="s">
        <v>301</v>
      </c>
      <c r="C112" s="47" t="s">
        <v>574</v>
      </c>
      <c r="D112" s="47" t="s">
        <v>578</v>
      </c>
      <c r="E112" s="51" t="str">
        <f>VLOOKUP(Table37[[#This Row],[SPECIFIC COMMODITY]],TAGS!$W$48:$X$53,2,FALSE)</f>
        <v>Corn</v>
      </c>
      <c r="F112" s="51" t="str">
        <f>VLOOKUP(Table37[[#This Row],[PREXC SUB-PROGRAM]],Table5[],2,FALSE)</f>
        <v>TECHNICAL AND SUPPORT SERVICES PROGRAM</v>
      </c>
      <c r="G112" s="51" t="str">
        <f>VLOOKUP(Table37[[#This Row],[COMMODITY PREXC SUB-PROGRAM]],TAGS!$U$54:$V$76,2,FALSE)</f>
        <v>PSS</v>
      </c>
      <c r="H112" s="47" t="s">
        <v>576</v>
      </c>
      <c r="I112" s="51" t="str">
        <f>VLOOKUP(Table37[[#This Row],[PI LEVEL 3]],'PI LEVEL'!A:C,3,FALSE)</f>
        <v>Seeds distributed</v>
      </c>
      <c r="J112" s="51" t="str">
        <f>VLOOKUP(Table37[[#This Row],[PI LEVEL 3]],Table53729[[Performance Indicator Level 3]:[Performance Indicator Level 1]],2,FALSE)</f>
        <v>Corn Seeds distributed</v>
      </c>
      <c r="K112" s="51" t="str">
        <f>VLOOKUP(Table37[[#This Row],[ACTIVITY]],TAGS!B:P,2,FALSE)</f>
        <v>Yellow Corn Seeds distributed</v>
      </c>
      <c r="L112" s="47" t="s">
        <v>26</v>
      </c>
      <c r="M112" s="51" t="str">
        <f>VLOOKUP(Table37[[#This Row],[ACTIVITY]],TAGS!$B:$P,4,FALSE)</f>
        <v>Recommended Corn Production Technology</v>
      </c>
      <c r="N112" s="51" t="str">
        <f>VLOOKUP(Table37[[#This Row],[ACTIVITY]],TAGS!$B:$P,5,FALSE)</f>
        <v>Corn Seed Assistance</v>
      </c>
      <c r="O112" s="51" t="str">
        <f>VLOOKUP(Table37[[#This Row],[ACTIVITY]],TAGS!$B:$P,6,FALSE)</f>
        <v>Yellow corn seeds</v>
      </c>
      <c r="P112" s="51" t="str">
        <f>VLOOKUP(Table37[[#This Row],[ACTIVITY]],TAGS!$B:$P,7,FALSE)</f>
        <v>NO</v>
      </c>
      <c r="Q112" s="51" t="str">
        <f>VLOOKUP(Table37[[#This Row],[ACTIVITY]],TAGS!$B:$P,8,FALSE)</f>
        <v>PAP</v>
      </c>
      <c r="R112" s="51" t="str">
        <f>VLOOKUP(Table37[[#This Row],[ACTIVITY]],TAGS!$B:$P,10,FALSE)</f>
        <v>PIP</v>
      </c>
      <c r="S112" s="51" t="str">
        <f>VLOOKUP(Table37[[#This Row],[ACTIVITY]],TAGS!$B:$P,11,FALSE)</f>
        <v>PICS</v>
      </c>
      <c r="T112" s="51" t="str">
        <f>VLOOKUP(Table37[[#This Row],[ACTIVITY]],TAGS!$B:$P,12,FALSE)</f>
        <v>Consolidation</v>
      </c>
      <c r="U112" s="51" t="str">
        <f>VLOOKUP(Table37[[#This Row],[ACTIVITY]],TAGS!$B:$P,13,FALSE)</f>
        <v>1. Bayanihan Agri Cluster</v>
      </c>
      <c r="V112" s="51" t="str">
        <f>VLOOKUP(Table37[[#This Row],[ACTIVITY]],TAGS!$B:$P,14,FALSE)</f>
        <v>EXPAND AND IMPROVE AVAILABLE AGRI-FISHERY AREAS FOR INCREASED PRODUCTION</v>
      </c>
      <c r="W112" s="51" t="str">
        <f>VLOOKUP(Table37[[#This Row],[ACTIVITY]],TAGS!$B:$P,15,FALSE)</f>
        <v>Farm Inputs</v>
      </c>
      <c r="X112" s="51" t="str">
        <f>VLOOKUP(Table37[[#This Row],[PI LEVEL 3]],'PI LEVEL'!$A:$G,7,FALSE)</f>
        <v>DA-Level Output</v>
      </c>
      <c r="Y112" s="47" t="s">
        <v>577</v>
      </c>
      <c r="Z112" s="47" t="s">
        <v>334</v>
      </c>
      <c r="AA112" s="51" t="str">
        <f>VLOOKUP(Table37[[#This Row],[MONTH]],TAGS!$W$67:$Y$81,2,FALSE)</f>
        <v>3RD QTR</v>
      </c>
      <c r="AB112" s="51" t="str">
        <f>VLOOKUP(Table37[[#This Row],[MONTH]],TAGS!$W$67:$Y$81,3,FALSE)</f>
        <v>2ND SEMESTER</v>
      </c>
      <c r="AC112" s="51">
        <f>VLOOKUP(Table37[[#This Row],[MONTH]],TAGS!$W$67:$Z$81,4,FALSE)</f>
        <v>2025</v>
      </c>
      <c r="AD112" s="47">
        <v>12000</v>
      </c>
      <c r="AE112" s="47"/>
      <c r="AF112" s="51">
        <f>SUM(Table37[[#This Row],[MOOE (Php ''000)]:[CO (Php ''000)]])</f>
        <v>12000</v>
      </c>
      <c r="AG112" s="71" t="b">
        <f>ISBLANK(Table37[[#This Row],[PRPOPOSAL/BEDS]])</f>
        <v>0</v>
      </c>
      <c r="AH112" s="71" t="b">
        <f>ISBLANK(Table37[[#This Row],[OU]])</f>
        <v>0</v>
      </c>
      <c r="AI112" s="71" t="b">
        <f>ISBLANK(Table37[[#This Row],[SPECIFIC COMMODITY]])</f>
        <v>0</v>
      </c>
      <c r="AJ112" s="71" t="b">
        <f>ISBLANK(Table37[[#This Row],[COMMODITY PREXC SUB-PROGRAM]])</f>
        <v>0</v>
      </c>
      <c r="AK112" s="71" t="b">
        <f>ISBLANK(Table37[[#This Row],[ACTIVITY]])</f>
        <v>0</v>
      </c>
      <c r="AL112" s="71" t="b">
        <f>ISBLANK(Table37[[#This Row],[TAG-GAD]])</f>
        <v>0</v>
      </c>
      <c r="AM112" s="71" t="b">
        <f>ISBLANK(Table37[[#This Row],[MONTH]])</f>
        <v>0</v>
      </c>
      <c r="AN112" s="71" t="b">
        <f>ISBLANK(Table37[[#This Row],[MOOE (Php ''000)]])</f>
        <v>0</v>
      </c>
      <c r="AO112" s="71" t="b">
        <f>ISBLANK(Table37[[#This Row],[CO (Php ''000)]])</f>
        <v>1</v>
      </c>
    </row>
    <row r="113" spans="1:41">
      <c r="A113" s="51" t="str">
        <f>VLOOKUP(Table37[[#This Row],[OU]],OU!$A$15:$B$34,2,FALSE)</f>
        <v>RFOs</v>
      </c>
      <c r="B113" s="47" t="s">
        <v>301</v>
      </c>
      <c r="C113" s="47" t="s">
        <v>574</v>
      </c>
      <c r="D113" s="47" t="s">
        <v>578</v>
      </c>
      <c r="E113" s="51" t="str">
        <f>VLOOKUP(Table37[[#This Row],[SPECIFIC COMMODITY]],TAGS!$W$48:$X$53,2,FALSE)</f>
        <v>Corn</v>
      </c>
      <c r="F113" s="51" t="str">
        <f>VLOOKUP(Table37[[#This Row],[PREXC SUB-PROGRAM]],Table5[],2,FALSE)</f>
        <v>TECHNICAL AND SUPPORT SERVICES PROGRAM</v>
      </c>
      <c r="G113" s="51" t="str">
        <f>VLOOKUP(Table37[[#This Row],[COMMODITY PREXC SUB-PROGRAM]],TAGS!$U$54:$V$76,2,FALSE)</f>
        <v>PSS</v>
      </c>
      <c r="H113" s="47" t="s">
        <v>576</v>
      </c>
      <c r="I113" s="51" t="str">
        <f>VLOOKUP(Table37[[#This Row],[PI LEVEL 3]],'PI LEVEL'!A:C,3,FALSE)</f>
        <v>Fertilizers and other soil ammendment distributed</v>
      </c>
      <c r="J113" s="51" t="str">
        <f>VLOOKUP(Table37[[#This Row],[PI LEVEL 3]],Table53729[[Performance Indicator Level 3]:[Performance Indicator Level 1]],2,FALSE)</f>
        <v>Fertilizers distributed</v>
      </c>
      <c r="K113" s="51" t="str">
        <f>VLOOKUP(Table37[[#This Row],[ACTIVITY]],TAGS!B:P,2,FALSE)</f>
        <v>Inorganic fertilizer distributed</v>
      </c>
      <c r="L113" s="47" t="s">
        <v>28</v>
      </c>
      <c r="M113" s="51" t="str">
        <f>VLOOKUP(Table37[[#This Row],[ACTIVITY]],TAGS!$B:$P,4,FALSE)</f>
        <v>Recommended Corn Production Technology</v>
      </c>
      <c r="N113" s="51" t="str">
        <f>VLOOKUP(Table37[[#This Row],[ACTIVITY]],TAGS!$B:$P,5,FALSE)</f>
        <v>Soil Fertilization</v>
      </c>
      <c r="O113" s="51" t="str">
        <f>VLOOKUP(Table37[[#This Row],[ACTIVITY]],TAGS!$B:$P,6,FALSE)</f>
        <v>Inorganic fertilizer</v>
      </c>
      <c r="P113" s="51" t="str">
        <f>VLOOKUP(Table37[[#This Row],[ACTIVITY]],TAGS!$B:$P,7,FALSE)</f>
        <v>NO</v>
      </c>
      <c r="Q113" s="51" t="str">
        <f>VLOOKUP(Table37[[#This Row],[ACTIVITY]],TAGS!$B:$P,8,FALSE)</f>
        <v>PAP</v>
      </c>
      <c r="R113" s="51" t="str">
        <f>VLOOKUP(Table37[[#This Row],[ACTIVITY]],TAGS!$B:$P,10,FALSE)</f>
        <v>PIP</v>
      </c>
      <c r="S113" s="51" t="str">
        <f>VLOOKUP(Table37[[#This Row],[ACTIVITY]],TAGS!$B:$P,11,FALSE)</f>
        <v>PICS</v>
      </c>
      <c r="T113" s="51" t="str">
        <f>VLOOKUP(Table37[[#This Row],[ACTIVITY]],TAGS!$B:$P,12,FALSE)</f>
        <v>Consolidation</v>
      </c>
      <c r="U113" s="51" t="str">
        <f>VLOOKUP(Table37[[#This Row],[ACTIVITY]],TAGS!$B:$P,13,FALSE)</f>
        <v>1. Bayanihan Agri Cluster</v>
      </c>
      <c r="V113" s="51" t="str">
        <f>VLOOKUP(Table37[[#This Row],[ACTIVITY]],TAGS!$B:$P,14,FALSE)</f>
        <v>EXPAND AND IMPROVE AVAILABLE AGRI-FISHERY AREAS FOR INCREASED PRODUCTION</v>
      </c>
      <c r="W113" s="51" t="str">
        <f>VLOOKUP(Table37[[#This Row],[ACTIVITY]],TAGS!$B:$P,15,FALSE)</f>
        <v>Farm Inputs</v>
      </c>
      <c r="X113" s="51" t="str">
        <f>VLOOKUP(Table37[[#This Row],[PI LEVEL 3]],'PI LEVEL'!$A:$G,7,FALSE)</f>
        <v>DA-Level Output</v>
      </c>
      <c r="Y113" s="47" t="s">
        <v>577</v>
      </c>
      <c r="Z113" s="47" t="s">
        <v>333</v>
      </c>
      <c r="AA113" s="51" t="str">
        <f>VLOOKUP(Table37[[#This Row],[MONTH]],TAGS!$W$67:$Y$81,2,FALSE)</f>
        <v>3RD QTR</v>
      </c>
      <c r="AB113" s="51" t="str">
        <f>VLOOKUP(Table37[[#This Row],[MONTH]],TAGS!$W$67:$Y$81,3,FALSE)</f>
        <v>2ND SEMESTER</v>
      </c>
      <c r="AC113" s="51">
        <f>VLOOKUP(Table37[[#This Row],[MONTH]],TAGS!$W$67:$Z$81,4,FALSE)</f>
        <v>2025</v>
      </c>
      <c r="AD113" s="47">
        <v>17600</v>
      </c>
      <c r="AE113" s="47"/>
      <c r="AF113" s="51">
        <f>SUM(Table37[[#This Row],[MOOE (Php ''000)]:[CO (Php ''000)]])</f>
        <v>17600</v>
      </c>
      <c r="AG113" s="71" t="b">
        <f>ISBLANK(Table37[[#This Row],[PRPOPOSAL/BEDS]])</f>
        <v>0</v>
      </c>
      <c r="AH113" s="71" t="b">
        <f>ISBLANK(Table37[[#This Row],[OU]])</f>
        <v>0</v>
      </c>
      <c r="AI113" s="71" t="b">
        <f>ISBLANK(Table37[[#This Row],[SPECIFIC COMMODITY]])</f>
        <v>0</v>
      </c>
      <c r="AJ113" s="71" t="b">
        <f>ISBLANK(Table37[[#This Row],[COMMODITY PREXC SUB-PROGRAM]])</f>
        <v>0</v>
      </c>
      <c r="AK113" s="71" t="b">
        <f>ISBLANK(Table37[[#This Row],[ACTIVITY]])</f>
        <v>0</v>
      </c>
      <c r="AL113" s="71" t="b">
        <f>ISBLANK(Table37[[#This Row],[TAG-GAD]])</f>
        <v>0</v>
      </c>
      <c r="AM113" s="71" t="b">
        <f>ISBLANK(Table37[[#This Row],[MONTH]])</f>
        <v>0</v>
      </c>
      <c r="AN113" s="71" t="b">
        <f>ISBLANK(Table37[[#This Row],[MOOE (Php ''000)]])</f>
        <v>0</v>
      </c>
      <c r="AO113" s="71" t="b">
        <f>ISBLANK(Table37[[#This Row],[CO (Php ''000)]])</f>
        <v>1</v>
      </c>
    </row>
    <row r="114" spans="1:41">
      <c r="A114" s="51" t="str">
        <f>VLOOKUP(Table37[[#This Row],[OU]],OU!$A$15:$B$34,2,FALSE)</f>
        <v>RFOs</v>
      </c>
      <c r="B114" s="47" t="s">
        <v>301</v>
      </c>
      <c r="C114" s="47" t="s">
        <v>574</v>
      </c>
      <c r="D114" s="47" t="s">
        <v>578</v>
      </c>
      <c r="E114" s="51" t="str">
        <f>VLOOKUP(Table37[[#This Row],[SPECIFIC COMMODITY]],TAGS!$W$48:$X$53,2,FALSE)</f>
        <v>Corn</v>
      </c>
      <c r="F114" s="51" t="str">
        <f>VLOOKUP(Table37[[#This Row],[PREXC SUB-PROGRAM]],Table5[],2,FALSE)</f>
        <v>TECHNICAL AND SUPPORT SERVICES PROGRAM</v>
      </c>
      <c r="G114" s="51" t="str">
        <f>VLOOKUP(Table37[[#This Row],[COMMODITY PREXC SUB-PROGRAM]],TAGS!$U$54:$V$76,2,FALSE)</f>
        <v>PSS</v>
      </c>
      <c r="H114" s="47" t="s">
        <v>576</v>
      </c>
      <c r="I114" s="51" t="str">
        <f>VLOOKUP(Table37[[#This Row],[PI LEVEL 3]],'PI LEVEL'!A:C,3,FALSE)</f>
        <v>Fertilizers and other soil ammendment distributed</v>
      </c>
      <c r="J114" s="51" t="str">
        <f>VLOOKUP(Table37[[#This Row],[PI LEVEL 3]],Table53729[[Performance Indicator Level 3]:[Performance Indicator Level 1]],2,FALSE)</f>
        <v>Fertilizers distributed</v>
      </c>
      <c r="K114" s="51" t="str">
        <f>VLOOKUP(Table37[[#This Row],[ACTIVITY]],TAGS!B:P,2,FALSE)</f>
        <v>Inorganic fertilizer distributed</v>
      </c>
      <c r="L114" s="47" t="s">
        <v>28</v>
      </c>
      <c r="M114" s="51" t="str">
        <f>VLOOKUP(Table37[[#This Row],[ACTIVITY]],TAGS!$B:$P,4,FALSE)</f>
        <v>Recommended Corn Production Technology</v>
      </c>
      <c r="N114" s="51" t="str">
        <f>VLOOKUP(Table37[[#This Row],[ACTIVITY]],TAGS!$B:$P,5,FALSE)</f>
        <v>Soil Fertilization</v>
      </c>
      <c r="O114" s="51" t="str">
        <f>VLOOKUP(Table37[[#This Row],[ACTIVITY]],TAGS!$B:$P,6,FALSE)</f>
        <v>Inorganic fertilizer</v>
      </c>
      <c r="P114" s="51" t="str">
        <f>VLOOKUP(Table37[[#This Row],[ACTIVITY]],TAGS!$B:$P,7,FALSE)</f>
        <v>NO</v>
      </c>
      <c r="Q114" s="51" t="str">
        <f>VLOOKUP(Table37[[#This Row],[ACTIVITY]],TAGS!$B:$P,8,FALSE)</f>
        <v>PAP</v>
      </c>
      <c r="R114" s="51" t="str">
        <f>VLOOKUP(Table37[[#This Row],[ACTIVITY]],TAGS!$B:$P,10,FALSE)</f>
        <v>PIP</v>
      </c>
      <c r="S114" s="51" t="str">
        <f>VLOOKUP(Table37[[#This Row],[ACTIVITY]],TAGS!$B:$P,11,FALSE)</f>
        <v>PICS</v>
      </c>
      <c r="T114" s="51" t="str">
        <f>VLOOKUP(Table37[[#This Row],[ACTIVITY]],TAGS!$B:$P,12,FALSE)</f>
        <v>Consolidation</v>
      </c>
      <c r="U114" s="51" t="str">
        <f>VLOOKUP(Table37[[#This Row],[ACTIVITY]],TAGS!$B:$P,13,FALSE)</f>
        <v>1. Bayanihan Agri Cluster</v>
      </c>
      <c r="V114" s="51" t="str">
        <f>VLOOKUP(Table37[[#This Row],[ACTIVITY]],TAGS!$B:$P,14,FALSE)</f>
        <v>EXPAND AND IMPROVE AVAILABLE AGRI-FISHERY AREAS FOR INCREASED PRODUCTION</v>
      </c>
      <c r="W114" s="51" t="str">
        <f>VLOOKUP(Table37[[#This Row],[ACTIVITY]],TAGS!$B:$P,15,FALSE)</f>
        <v>Farm Inputs</v>
      </c>
      <c r="X114" s="51" t="str">
        <f>VLOOKUP(Table37[[#This Row],[PI LEVEL 3]],'PI LEVEL'!$A:$G,7,FALSE)</f>
        <v>DA-Level Output</v>
      </c>
      <c r="Y114" s="47" t="s">
        <v>577</v>
      </c>
      <c r="Z114" s="47" t="s">
        <v>337</v>
      </c>
      <c r="AA114" s="51" t="str">
        <f>VLOOKUP(Table37[[#This Row],[MONTH]],TAGS!$W$67:$Y$81,2,FALSE)</f>
        <v>4TH QTR</v>
      </c>
      <c r="AB114" s="51" t="str">
        <f>VLOOKUP(Table37[[#This Row],[MONTH]],TAGS!$W$67:$Y$81,3,FALSE)</f>
        <v>2ND SEMESTER</v>
      </c>
      <c r="AC114" s="51">
        <f>VLOOKUP(Table37[[#This Row],[MONTH]],TAGS!$W$67:$Z$81,4,FALSE)</f>
        <v>2025</v>
      </c>
      <c r="AD114" s="47">
        <v>7150</v>
      </c>
      <c r="AE114" s="47"/>
      <c r="AF114" s="51">
        <f>SUM(Table37[[#This Row],[MOOE (Php ''000)]:[CO (Php ''000)]])</f>
        <v>7150</v>
      </c>
      <c r="AG114" s="71" t="b">
        <f>ISBLANK(Table37[[#This Row],[PRPOPOSAL/BEDS]])</f>
        <v>0</v>
      </c>
      <c r="AH114" s="71" t="b">
        <f>ISBLANK(Table37[[#This Row],[OU]])</f>
        <v>0</v>
      </c>
      <c r="AI114" s="71" t="b">
        <f>ISBLANK(Table37[[#This Row],[SPECIFIC COMMODITY]])</f>
        <v>0</v>
      </c>
      <c r="AJ114" s="71" t="b">
        <f>ISBLANK(Table37[[#This Row],[COMMODITY PREXC SUB-PROGRAM]])</f>
        <v>0</v>
      </c>
      <c r="AK114" s="71" t="b">
        <f>ISBLANK(Table37[[#This Row],[ACTIVITY]])</f>
        <v>0</v>
      </c>
      <c r="AL114" s="71" t="b">
        <f>ISBLANK(Table37[[#This Row],[TAG-GAD]])</f>
        <v>0</v>
      </c>
      <c r="AM114" s="71" t="b">
        <f>ISBLANK(Table37[[#This Row],[MONTH]])</f>
        <v>0</v>
      </c>
      <c r="AN114" s="71" t="b">
        <f>ISBLANK(Table37[[#This Row],[MOOE (Php ''000)]])</f>
        <v>0</v>
      </c>
      <c r="AO114" s="71" t="b">
        <f>ISBLANK(Table37[[#This Row],[CO (Php ''000)]])</f>
        <v>1</v>
      </c>
    </row>
    <row r="115" spans="1:41">
      <c r="A115" s="51" t="str">
        <f>VLOOKUP(Table37[[#This Row],[OU]],OU!$A$15:$B$34,2,FALSE)</f>
        <v>RFOs</v>
      </c>
      <c r="B115" s="47" t="s">
        <v>301</v>
      </c>
      <c r="C115" s="47" t="s">
        <v>574</v>
      </c>
      <c r="D115" s="47" t="s">
        <v>578</v>
      </c>
      <c r="E115" s="51" t="str">
        <f>VLOOKUP(Table37[[#This Row],[SPECIFIC COMMODITY]],TAGS!$W$48:$X$53,2,FALSE)</f>
        <v>Corn</v>
      </c>
      <c r="F115" s="51" t="str">
        <f>VLOOKUP(Table37[[#This Row],[PREXC SUB-PROGRAM]],Table5[],2,FALSE)</f>
        <v>TECHNICAL AND SUPPORT SERVICES PROGRAM</v>
      </c>
      <c r="G115" s="51" t="str">
        <f>VLOOKUP(Table37[[#This Row],[COMMODITY PREXC SUB-PROGRAM]],TAGS!$U$54:$V$76,2,FALSE)</f>
        <v>PSS</v>
      </c>
      <c r="H115" s="47" t="s">
        <v>576</v>
      </c>
      <c r="I115" s="51" t="str">
        <f>VLOOKUP(Table37[[#This Row],[PI LEVEL 3]],'PI LEVEL'!A:C,3,FALSE)</f>
        <v>Fertilizers and other soil ammendment distributed</v>
      </c>
      <c r="J115" s="51" t="str">
        <f>VLOOKUP(Table37[[#This Row],[PI LEVEL 3]],Table53729[[Performance Indicator Level 3]:[Performance Indicator Level 1]],2,FALSE)</f>
        <v>Fertilizers distributed</v>
      </c>
      <c r="K115" s="51" t="str">
        <f>VLOOKUP(Table37[[#This Row],[ACTIVITY]],TAGS!B:P,2,FALSE)</f>
        <v>Biofertilizer distributed (pack)</v>
      </c>
      <c r="L115" s="47" t="s">
        <v>30</v>
      </c>
      <c r="M115" s="51" t="str">
        <f>VLOOKUP(Table37[[#This Row],[ACTIVITY]],TAGS!$B:$P,4,FALSE)</f>
        <v>Soil amendments</v>
      </c>
      <c r="N115" s="51" t="str">
        <f>VLOOKUP(Table37[[#This Row],[ACTIVITY]],TAGS!$B:$P,5,FALSE)</f>
        <v>Soil Fertilization</v>
      </c>
      <c r="O115" s="51" t="str">
        <f>VLOOKUP(Table37[[#This Row],[ACTIVITY]],TAGS!$B:$P,6,FALSE)</f>
        <v>Biofertilizer</v>
      </c>
      <c r="P115" s="51" t="str">
        <f>VLOOKUP(Table37[[#This Row],[ACTIVITY]],TAGS!$B:$P,7,FALSE)</f>
        <v>NO</v>
      </c>
      <c r="Q115" s="51" t="str">
        <f>VLOOKUP(Table37[[#This Row],[ACTIVITY]],TAGS!$B:$P,8,FALSE)</f>
        <v>PAP</v>
      </c>
      <c r="R115" s="51" t="str">
        <f>VLOOKUP(Table37[[#This Row],[ACTIVITY]],TAGS!$B:$P,10,FALSE)</f>
        <v>PIP</v>
      </c>
      <c r="S115" s="51" t="str">
        <f>VLOOKUP(Table37[[#This Row],[ACTIVITY]],TAGS!$B:$P,11,FALSE)</f>
        <v>PICS</v>
      </c>
      <c r="T115" s="51" t="str">
        <f>VLOOKUP(Table37[[#This Row],[ACTIVITY]],TAGS!$B:$P,12,FALSE)</f>
        <v>Consolidation</v>
      </c>
      <c r="U115" s="51" t="str">
        <f>VLOOKUP(Table37[[#This Row],[ACTIVITY]],TAGS!$B:$P,13,FALSE)</f>
        <v>1. Bayanihan Agri Cluster</v>
      </c>
      <c r="V115" s="51" t="str">
        <f>VLOOKUP(Table37[[#This Row],[ACTIVITY]],TAGS!$B:$P,14,FALSE)</f>
        <v>EXPAND AND IMPROVE AVAILABLE AGRI-FISHERY AREAS FOR INCREASED PRODUCTION</v>
      </c>
      <c r="W115" s="51" t="str">
        <f>VLOOKUP(Table37[[#This Row],[ACTIVITY]],TAGS!$B:$P,15,FALSE)</f>
        <v>Farm Inputs</v>
      </c>
      <c r="X115" s="51" t="str">
        <f>VLOOKUP(Table37[[#This Row],[PI LEVEL 3]],'PI LEVEL'!$A:$G,7,FALSE)</f>
        <v>DA-Level Output</v>
      </c>
      <c r="Y115" s="47" t="s">
        <v>577</v>
      </c>
      <c r="Z115" s="47" t="s">
        <v>333</v>
      </c>
      <c r="AA115" s="51" t="str">
        <f>VLOOKUP(Table37[[#This Row],[MONTH]],TAGS!$W$67:$Y$81,2,FALSE)</f>
        <v>3RD QTR</v>
      </c>
      <c r="AB115" s="51" t="str">
        <f>VLOOKUP(Table37[[#This Row],[MONTH]],TAGS!$W$67:$Y$81,3,FALSE)</f>
        <v>2ND SEMESTER</v>
      </c>
      <c r="AC115" s="51">
        <f>VLOOKUP(Table37[[#This Row],[MONTH]],TAGS!$W$67:$Z$81,4,FALSE)</f>
        <v>2025</v>
      </c>
      <c r="AD115" s="47">
        <v>2720</v>
      </c>
      <c r="AE115" s="47"/>
      <c r="AF115" s="51">
        <f>SUM(Table37[[#This Row],[MOOE (Php ''000)]:[CO (Php ''000)]])</f>
        <v>2720</v>
      </c>
      <c r="AG115" s="71" t="b">
        <f>ISBLANK(Table37[[#This Row],[PRPOPOSAL/BEDS]])</f>
        <v>0</v>
      </c>
      <c r="AH115" s="71" t="b">
        <f>ISBLANK(Table37[[#This Row],[OU]])</f>
        <v>0</v>
      </c>
      <c r="AI115" s="71" t="b">
        <f>ISBLANK(Table37[[#This Row],[SPECIFIC COMMODITY]])</f>
        <v>0</v>
      </c>
      <c r="AJ115" s="71" t="b">
        <f>ISBLANK(Table37[[#This Row],[COMMODITY PREXC SUB-PROGRAM]])</f>
        <v>0</v>
      </c>
      <c r="AK115" s="71" t="b">
        <f>ISBLANK(Table37[[#This Row],[ACTIVITY]])</f>
        <v>0</v>
      </c>
      <c r="AL115" s="71" t="b">
        <f>ISBLANK(Table37[[#This Row],[TAG-GAD]])</f>
        <v>0</v>
      </c>
      <c r="AM115" s="71" t="b">
        <f>ISBLANK(Table37[[#This Row],[MONTH]])</f>
        <v>0</v>
      </c>
      <c r="AN115" s="71" t="b">
        <f>ISBLANK(Table37[[#This Row],[MOOE (Php ''000)]])</f>
        <v>0</v>
      </c>
      <c r="AO115" s="71" t="b">
        <f>ISBLANK(Table37[[#This Row],[CO (Php ''000)]])</f>
        <v>1</v>
      </c>
    </row>
    <row r="116" spans="1:41">
      <c r="A116" s="51" t="str">
        <f>VLOOKUP(Table37[[#This Row],[OU]],OU!$A$15:$B$34,2,FALSE)</f>
        <v>RFOs</v>
      </c>
      <c r="B116" s="47" t="s">
        <v>301</v>
      </c>
      <c r="C116" s="47" t="s">
        <v>574</v>
      </c>
      <c r="D116" s="47" t="s">
        <v>578</v>
      </c>
      <c r="E116" s="51" t="str">
        <f>VLOOKUP(Table37[[#This Row],[SPECIFIC COMMODITY]],TAGS!$W$48:$X$53,2,FALSE)</f>
        <v>Corn</v>
      </c>
      <c r="F116" s="51" t="str">
        <f>VLOOKUP(Table37[[#This Row],[PREXC SUB-PROGRAM]],Table5[],2,FALSE)</f>
        <v>TECHNICAL AND SUPPORT SERVICES PROGRAM</v>
      </c>
      <c r="G116" s="51" t="str">
        <f>VLOOKUP(Table37[[#This Row],[COMMODITY PREXC SUB-PROGRAM]],TAGS!$U$54:$V$76,2,FALSE)</f>
        <v>PSS</v>
      </c>
      <c r="H116" s="47" t="s">
        <v>576</v>
      </c>
      <c r="I116" s="51" t="str">
        <f>VLOOKUP(Table37[[#This Row],[PI LEVEL 3]],'PI LEVEL'!A:C,3,FALSE)</f>
        <v>Fertilizers and other soil ammendment distributed</v>
      </c>
      <c r="J116" s="51" t="str">
        <f>VLOOKUP(Table37[[#This Row],[PI LEVEL 3]],Table53729[[Performance Indicator Level 3]:[Performance Indicator Level 1]],2,FALSE)</f>
        <v>Fertilizers distributed</v>
      </c>
      <c r="K116" s="51" t="str">
        <f>VLOOKUP(Table37[[#This Row],[ACTIVITY]],TAGS!B:P,2,FALSE)</f>
        <v>Organic fertilizer distributed</v>
      </c>
      <c r="L116" s="47" t="s">
        <v>32</v>
      </c>
      <c r="M116" s="51" t="str">
        <f>VLOOKUP(Table37[[#This Row],[ACTIVITY]],TAGS!$B:$P,4,FALSE)</f>
        <v>Soil amendments</v>
      </c>
      <c r="N116" s="51" t="str">
        <f>VLOOKUP(Table37[[#This Row],[ACTIVITY]],TAGS!$B:$P,5,FALSE)</f>
        <v>Soil Fertilization</v>
      </c>
      <c r="O116" s="51" t="str">
        <f>VLOOKUP(Table37[[#This Row],[ACTIVITY]],TAGS!$B:$P,6,FALSE)</f>
        <v>Soil ameliorant</v>
      </c>
      <c r="P116" s="51" t="str">
        <f>VLOOKUP(Table37[[#This Row],[ACTIVITY]],TAGS!$B:$P,7,FALSE)</f>
        <v>NO</v>
      </c>
      <c r="Q116" s="51" t="str">
        <f>VLOOKUP(Table37[[#This Row],[ACTIVITY]],TAGS!$B:$P,8,FALSE)</f>
        <v>PAP</v>
      </c>
      <c r="R116" s="51" t="str">
        <f>VLOOKUP(Table37[[#This Row],[ACTIVITY]],TAGS!$B:$P,10,FALSE)</f>
        <v>PIP</v>
      </c>
      <c r="S116" s="51" t="str">
        <f>VLOOKUP(Table37[[#This Row],[ACTIVITY]],TAGS!$B:$P,11,FALSE)</f>
        <v>PICS</v>
      </c>
      <c r="T116" s="51" t="str">
        <f>VLOOKUP(Table37[[#This Row],[ACTIVITY]],TAGS!$B:$P,12,FALSE)</f>
        <v>Consolidation</v>
      </c>
      <c r="U116" s="51" t="str">
        <f>VLOOKUP(Table37[[#This Row],[ACTIVITY]],TAGS!$B:$P,13,FALSE)</f>
        <v>1. Bayanihan Agri Cluster</v>
      </c>
      <c r="V116" s="51" t="str">
        <f>VLOOKUP(Table37[[#This Row],[ACTIVITY]],TAGS!$B:$P,14,FALSE)</f>
        <v>EXPAND AND IMPROVE AVAILABLE AGRI-FISHERY AREAS FOR INCREASED PRODUCTION</v>
      </c>
      <c r="W116" s="51" t="str">
        <f>VLOOKUP(Table37[[#This Row],[ACTIVITY]],TAGS!$B:$P,15,FALSE)</f>
        <v>Farm Inputs</v>
      </c>
      <c r="X116" s="51" t="str">
        <f>VLOOKUP(Table37[[#This Row],[PI LEVEL 3]],'PI LEVEL'!$A:$G,7,FALSE)</f>
        <v>DA-Level Output</v>
      </c>
      <c r="Y116" s="47" t="s">
        <v>577</v>
      </c>
      <c r="Z116" s="47" t="s">
        <v>333</v>
      </c>
      <c r="AA116" s="51" t="str">
        <f>VLOOKUP(Table37[[#This Row],[MONTH]],TAGS!$W$67:$Y$81,2,FALSE)</f>
        <v>3RD QTR</v>
      </c>
      <c r="AB116" s="51" t="str">
        <f>VLOOKUP(Table37[[#This Row],[MONTH]],TAGS!$W$67:$Y$81,3,FALSE)</f>
        <v>2ND SEMESTER</v>
      </c>
      <c r="AC116" s="51">
        <f>VLOOKUP(Table37[[#This Row],[MONTH]],TAGS!$W$67:$Z$81,4,FALSE)</f>
        <v>2025</v>
      </c>
      <c r="AD116" s="47">
        <v>7000</v>
      </c>
      <c r="AE116" s="47"/>
      <c r="AF116" s="51">
        <f>SUM(Table37[[#This Row],[MOOE (Php ''000)]:[CO (Php ''000)]])</f>
        <v>7000</v>
      </c>
      <c r="AG116" s="71" t="b">
        <f>ISBLANK(Table37[[#This Row],[PRPOPOSAL/BEDS]])</f>
        <v>0</v>
      </c>
      <c r="AH116" s="71" t="b">
        <f>ISBLANK(Table37[[#This Row],[OU]])</f>
        <v>0</v>
      </c>
      <c r="AI116" s="71" t="b">
        <f>ISBLANK(Table37[[#This Row],[SPECIFIC COMMODITY]])</f>
        <v>0</v>
      </c>
      <c r="AJ116" s="71" t="b">
        <f>ISBLANK(Table37[[#This Row],[COMMODITY PREXC SUB-PROGRAM]])</f>
        <v>0</v>
      </c>
      <c r="AK116" s="71" t="b">
        <f>ISBLANK(Table37[[#This Row],[ACTIVITY]])</f>
        <v>0</v>
      </c>
      <c r="AL116" s="71" t="b">
        <f>ISBLANK(Table37[[#This Row],[TAG-GAD]])</f>
        <v>0</v>
      </c>
      <c r="AM116" s="71" t="b">
        <f>ISBLANK(Table37[[#This Row],[MONTH]])</f>
        <v>0</v>
      </c>
      <c r="AN116" s="71" t="b">
        <f>ISBLANK(Table37[[#This Row],[MOOE (Php ''000)]])</f>
        <v>0</v>
      </c>
      <c r="AO116" s="71" t="b">
        <f>ISBLANK(Table37[[#This Row],[CO (Php ''000)]])</f>
        <v>1</v>
      </c>
    </row>
    <row r="117" spans="1:41">
      <c r="A117" s="51" t="str">
        <f>VLOOKUP(Table37[[#This Row],[OU]],OU!$A$15:$B$34,2,FALSE)</f>
        <v>RFOs</v>
      </c>
      <c r="B117" s="47" t="s">
        <v>301</v>
      </c>
      <c r="C117" s="47" t="s">
        <v>574</v>
      </c>
      <c r="D117" s="47" t="s">
        <v>578</v>
      </c>
      <c r="E117" s="51" t="str">
        <f>VLOOKUP(Table37[[#This Row],[SPECIFIC COMMODITY]],TAGS!$W$48:$X$53,2,FALSE)</f>
        <v>Corn</v>
      </c>
      <c r="F117" s="51" t="str">
        <f>VLOOKUP(Table37[[#This Row],[PREXC SUB-PROGRAM]],Table5[],2,FALSE)</f>
        <v>TECHNICAL AND SUPPORT SERVICES PROGRAM</v>
      </c>
      <c r="G117" s="51" t="str">
        <f>VLOOKUP(Table37[[#This Row],[COMMODITY PREXC SUB-PROGRAM]],TAGS!$U$54:$V$76,2,FALSE)</f>
        <v>PSS</v>
      </c>
      <c r="H117" s="47" t="s">
        <v>576</v>
      </c>
      <c r="I117" s="51" t="str">
        <f>VLOOKUP(Table37[[#This Row],[PI LEVEL 3]],'PI LEVEL'!A:C,3,FALSE)</f>
        <v>Fertilizers and other soil ammendment distributed</v>
      </c>
      <c r="J117" s="51" t="str">
        <f>VLOOKUP(Table37[[#This Row],[PI LEVEL 3]],Table53729[[Performance Indicator Level 3]:[Performance Indicator Level 1]],2,FALSE)</f>
        <v>Fertilizers distributed</v>
      </c>
      <c r="K117" s="51" t="str">
        <f>VLOOKUP(Table37[[#This Row],[ACTIVITY]],TAGS!B:P,2,FALSE)</f>
        <v>Organic fertilizer distributed</v>
      </c>
      <c r="L117" s="47" t="s">
        <v>32</v>
      </c>
      <c r="M117" s="51" t="str">
        <f>VLOOKUP(Table37[[#This Row],[ACTIVITY]],TAGS!$B:$P,4,FALSE)</f>
        <v>Soil amendments</v>
      </c>
      <c r="N117" s="51" t="str">
        <f>VLOOKUP(Table37[[#This Row],[ACTIVITY]],TAGS!$B:$P,5,FALSE)</f>
        <v>Soil Fertilization</v>
      </c>
      <c r="O117" s="51" t="str">
        <f>VLOOKUP(Table37[[#This Row],[ACTIVITY]],TAGS!$B:$P,6,FALSE)</f>
        <v>Soil ameliorant</v>
      </c>
      <c r="P117" s="51" t="str">
        <f>VLOOKUP(Table37[[#This Row],[ACTIVITY]],TAGS!$B:$P,7,FALSE)</f>
        <v>NO</v>
      </c>
      <c r="Q117" s="51" t="str">
        <f>VLOOKUP(Table37[[#This Row],[ACTIVITY]],TAGS!$B:$P,8,FALSE)</f>
        <v>PAP</v>
      </c>
      <c r="R117" s="51" t="str">
        <f>VLOOKUP(Table37[[#This Row],[ACTIVITY]],TAGS!$B:$P,10,FALSE)</f>
        <v>PIP</v>
      </c>
      <c r="S117" s="51" t="str">
        <f>VLOOKUP(Table37[[#This Row],[ACTIVITY]],TAGS!$B:$P,11,FALSE)</f>
        <v>PICS</v>
      </c>
      <c r="T117" s="51" t="str">
        <f>VLOOKUP(Table37[[#This Row],[ACTIVITY]],TAGS!$B:$P,12,FALSE)</f>
        <v>Consolidation</v>
      </c>
      <c r="U117" s="51" t="str">
        <f>VLOOKUP(Table37[[#This Row],[ACTIVITY]],TAGS!$B:$P,13,FALSE)</f>
        <v>1. Bayanihan Agri Cluster</v>
      </c>
      <c r="V117" s="51" t="str">
        <f>VLOOKUP(Table37[[#This Row],[ACTIVITY]],TAGS!$B:$P,14,FALSE)</f>
        <v>EXPAND AND IMPROVE AVAILABLE AGRI-FISHERY AREAS FOR INCREASED PRODUCTION</v>
      </c>
      <c r="W117" s="51" t="str">
        <f>VLOOKUP(Table37[[#This Row],[ACTIVITY]],TAGS!$B:$P,15,FALSE)</f>
        <v>Farm Inputs</v>
      </c>
      <c r="X117" s="51" t="str">
        <f>VLOOKUP(Table37[[#This Row],[PI LEVEL 3]],'PI LEVEL'!$A:$G,7,FALSE)</f>
        <v>DA-Level Output</v>
      </c>
      <c r="Y117" s="47" t="s">
        <v>577</v>
      </c>
      <c r="Z117" s="47" t="s">
        <v>337</v>
      </c>
      <c r="AA117" s="51" t="str">
        <f>VLOOKUP(Table37[[#This Row],[MONTH]],TAGS!$W$67:$Y$81,2,FALSE)</f>
        <v>4TH QTR</v>
      </c>
      <c r="AB117" s="51" t="str">
        <f>VLOOKUP(Table37[[#This Row],[MONTH]],TAGS!$W$67:$Y$81,3,FALSE)</f>
        <v>2ND SEMESTER</v>
      </c>
      <c r="AC117" s="51">
        <f>VLOOKUP(Table37[[#This Row],[MONTH]],TAGS!$W$67:$Z$81,4,FALSE)</f>
        <v>2025</v>
      </c>
      <c r="AD117" s="47">
        <v>3000</v>
      </c>
      <c r="AE117" s="47"/>
      <c r="AF117" s="51">
        <f>SUM(Table37[[#This Row],[MOOE (Php ''000)]:[CO (Php ''000)]])</f>
        <v>3000</v>
      </c>
      <c r="AG117" s="71" t="b">
        <f>ISBLANK(Table37[[#This Row],[PRPOPOSAL/BEDS]])</f>
        <v>0</v>
      </c>
      <c r="AH117" s="71" t="b">
        <f>ISBLANK(Table37[[#This Row],[OU]])</f>
        <v>0</v>
      </c>
      <c r="AI117" s="71" t="b">
        <f>ISBLANK(Table37[[#This Row],[SPECIFIC COMMODITY]])</f>
        <v>0</v>
      </c>
      <c r="AJ117" s="71" t="b">
        <f>ISBLANK(Table37[[#This Row],[COMMODITY PREXC SUB-PROGRAM]])</f>
        <v>0</v>
      </c>
      <c r="AK117" s="71" t="b">
        <f>ISBLANK(Table37[[#This Row],[ACTIVITY]])</f>
        <v>0</v>
      </c>
      <c r="AL117" s="71" t="b">
        <f>ISBLANK(Table37[[#This Row],[TAG-GAD]])</f>
        <v>0</v>
      </c>
      <c r="AM117" s="71" t="b">
        <f>ISBLANK(Table37[[#This Row],[MONTH]])</f>
        <v>0</v>
      </c>
      <c r="AN117" s="71" t="b">
        <f>ISBLANK(Table37[[#This Row],[MOOE (Php ''000)]])</f>
        <v>0</v>
      </c>
      <c r="AO117" s="71" t="b">
        <f>ISBLANK(Table37[[#This Row],[CO (Php ''000)]])</f>
        <v>1</v>
      </c>
    </row>
    <row r="118" spans="1:41">
      <c r="A118" s="51" t="str">
        <f>VLOOKUP(Table37[[#This Row],[OU]],OU!$A$15:$B$34,2,FALSE)</f>
        <v>RFOs</v>
      </c>
      <c r="B118" s="47" t="s">
        <v>301</v>
      </c>
      <c r="C118" s="47" t="s">
        <v>574</v>
      </c>
      <c r="D118" s="47" t="s">
        <v>578</v>
      </c>
      <c r="E118" s="51" t="str">
        <f>VLOOKUP(Table37[[#This Row],[SPECIFIC COMMODITY]],TAGS!$W$48:$X$53,2,FALSE)</f>
        <v>Corn</v>
      </c>
      <c r="F118" s="51" t="str">
        <f>VLOOKUP(Table37[[#This Row],[PREXC SUB-PROGRAM]],Table5[],2,FALSE)</f>
        <v>TECHNICAL AND SUPPORT SERVICES PROGRAM</v>
      </c>
      <c r="G118" s="51" t="str">
        <f>VLOOKUP(Table37[[#This Row],[COMMODITY PREXC SUB-PROGRAM]],TAGS!$U$54:$V$76,2,FALSE)</f>
        <v>PSS</v>
      </c>
      <c r="H118" s="47" t="s">
        <v>576</v>
      </c>
      <c r="I118" s="51" t="str">
        <f>VLOOKUP(Table37[[#This Row],[PI LEVEL 3]],'PI LEVEL'!A:C,3,FALSE)</f>
        <v>Seeds distributed</v>
      </c>
      <c r="J118" s="51" t="str">
        <f>VLOOKUP(Table37[[#This Row],[PI LEVEL 3]],Table53729[[Performance Indicator Level 3]:[Performance Indicator Level 1]],2,FALSE)</f>
        <v>Corn Seeds distributed</v>
      </c>
      <c r="K118" s="51" t="str">
        <f>VLOOKUP(Table37[[#This Row],[ACTIVITY]],TAGS!B:P,2,FALSE)</f>
        <v>Yellow Corn Seeds distributed</v>
      </c>
      <c r="L118" s="47" t="s">
        <v>34</v>
      </c>
      <c r="M118" s="51" t="str">
        <f>VLOOKUP(Table37[[#This Row],[ACTIVITY]],TAGS!$B:$P,4,FALSE)</f>
        <v>Yellow Corn Production Enhancement Project</v>
      </c>
      <c r="N118" s="51" t="str">
        <f>VLOOKUP(Table37[[#This Row],[ACTIVITY]],TAGS!$B:$P,5,FALSE)</f>
        <v>Corn Seed Assistance</v>
      </c>
      <c r="O118" s="51" t="str">
        <f>VLOOKUP(Table37[[#This Row],[ACTIVITY]],TAGS!$B:$P,6,FALSE)</f>
        <v>Yellow corn seeds</v>
      </c>
      <c r="P118" s="51" t="str">
        <f>VLOOKUP(Table37[[#This Row],[ACTIVITY]],TAGS!$B:$P,7,FALSE)</f>
        <v>NO</v>
      </c>
      <c r="Q118" s="51" t="str">
        <f>VLOOKUP(Table37[[#This Row],[ACTIVITY]],TAGS!$B:$P,8,FALSE)</f>
        <v>PAP</v>
      </c>
      <c r="R118" s="51" t="str">
        <f>VLOOKUP(Table37[[#This Row],[ACTIVITY]],TAGS!$B:$P,10,FALSE)</f>
        <v>PIP</v>
      </c>
      <c r="S118" s="51" t="str">
        <f>VLOOKUP(Table37[[#This Row],[ACTIVITY]],TAGS!$B:$P,11,FALSE)</f>
        <v>PICS</v>
      </c>
      <c r="T118" s="51" t="str">
        <f>VLOOKUP(Table37[[#This Row],[ACTIVITY]],TAGS!$B:$P,12,FALSE)</f>
        <v>Consolidation</v>
      </c>
      <c r="U118" s="51" t="str">
        <f>VLOOKUP(Table37[[#This Row],[ACTIVITY]],TAGS!$B:$P,13,FALSE)</f>
        <v>1. Bayanihan Agri Cluster</v>
      </c>
      <c r="V118" s="51" t="str">
        <f>VLOOKUP(Table37[[#This Row],[ACTIVITY]],TAGS!$B:$P,14,FALSE)</f>
        <v>EXPAND AND IMPROVE AVAILABLE AGRI-FISHERY AREAS FOR INCREASED PRODUCTION</v>
      </c>
      <c r="W118" s="51" t="str">
        <f>VLOOKUP(Table37[[#This Row],[ACTIVITY]],TAGS!$B:$P,15,FALSE)</f>
        <v>Farm Inputs</v>
      </c>
      <c r="X118" s="51" t="str">
        <f>VLOOKUP(Table37[[#This Row],[PI LEVEL 3]],'PI LEVEL'!$A:$G,7,FALSE)</f>
        <v>DA-Level Output</v>
      </c>
      <c r="Y118" s="47" t="s">
        <v>577</v>
      </c>
      <c r="Z118" s="47" t="s">
        <v>334</v>
      </c>
      <c r="AA118" s="51" t="str">
        <f>VLOOKUP(Table37[[#This Row],[MONTH]],TAGS!$W$67:$Y$81,2,FALSE)</f>
        <v>3RD QTR</v>
      </c>
      <c r="AB118" s="51" t="str">
        <f>VLOOKUP(Table37[[#This Row],[MONTH]],TAGS!$W$67:$Y$81,3,FALSE)</f>
        <v>2ND SEMESTER</v>
      </c>
      <c r="AC118" s="51">
        <f>VLOOKUP(Table37[[#This Row],[MONTH]],TAGS!$W$67:$Z$81,4,FALSE)</f>
        <v>2025</v>
      </c>
      <c r="AD118" s="47">
        <v>324000</v>
      </c>
      <c r="AE118" s="47"/>
      <c r="AF118" s="51">
        <f>SUM(Table37[[#This Row],[MOOE (Php ''000)]:[CO (Php ''000)]])</f>
        <v>324000</v>
      </c>
      <c r="AG118" s="71" t="b">
        <f>ISBLANK(Table37[[#This Row],[PRPOPOSAL/BEDS]])</f>
        <v>0</v>
      </c>
      <c r="AH118" s="71" t="b">
        <f>ISBLANK(Table37[[#This Row],[OU]])</f>
        <v>0</v>
      </c>
      <c r="AI118" s="71" t="b">
        <f>ISBLANK(Table37[[#This Row],[SPECIFIC COMMODITY]])</f>
        <v>0</v>
      </c>
      <c r="AJ118" s="71" t="b">
        <f>ISBLANK(Table37[[#This Row],[COMMODITY PREXC SUB-PROGRAM]])</f>
        <v>0</v>
      </c>
      <c r="AK118" s="71" t="b">
        <f>ISBLANK(Table37[[#This Row],[ACTIVITY]])</f>
        <v>0</v>
      </c>
      <c r="AL118" s="71" t="b">
        <f>ISBLANK(Table37[[#This Row],[TAG-GAD]])</f>
        <v>0</v>
      </c>
      <c r="AM118" s="71" t="b">
        <f>ISBLANK(Table37[[#This Row],[MONTH]])</f>
        <v>0</v>
      </c>
      <c r="AN118" s="71" t="b">
        <f>ISBLANK(Table37[[#This Row],[MOOE (Php ''000)]])</f>
        <v>0</v>
      </c>
      <c r="AO118" s="71" t="b">
        <f>ISBLANK(Table37[[#This Row],[CO (Php ''000)]])</f>
        <v>1</v>
      </c>
    </row>
    <row r="119" spans="1:41">
      <c r="A119" s="51" t="str">
        <f>VLOOKUP(Table37[[#This Row],[OU]],OU!$A$15:$B$34,2,FALSE)</f>
        <v>RFOs</v>
      </c>
      <c r="B119" s="47" t="s">
        <v>301</v>
      </c>
      <c r="C119" s="47" t="s">
        <v>574</v>
      </c>
      <c r="D119" s="47" t="s">
        <v>578</v>
      </c>
      <c r="E119" s="51" t="str">
        <f>VLOOKUP(Table37[[#This Row],[SPECIFIC COMMODITY]],TAGS!$W$48:$X$53,2,FALSE)</f>
        <v>Corn</v>
      </c>
      <c r="F119" s="51" t="str">
        <f>VLOOKUP(Table37[[#This Row],[PREXC SUB-PROGRAM]],Table5[],2,FALSE)</f>
        <v>TECHNICAL AND SUPPORT SERVICES PROGRAM</v>
      </c>
      <c r="G119" s="51" t="str">
        <f>VLOOKUP(Table37[[#This Row],[COMMODITY PREXC SUB-PROGRAM]],TAGS!$U$54:$V$76,2,FALSE)</f>
        <v>PSS</v>
      </c>
      <c r="H119" s="47" t="s">
        <v>576</v>
      </c>
      <c r="I119" s="51" t="str">
        <f>VLOOKUP(Table37[[#This Row],[PI LEVEL 3]],'PI LEVEL'!A:C,3,FALSE)</f>
        <v>Fertilizers and other soil ammendment distributed</v>
      </c>
      <c r="J119" s="51" t="str">
        <f>VLOOKUP(Table37[[#This Row],[PI LEVEL 3]],Table53729[[Performance Indicator Level 3]:[Performance Indicator Level 1]],2,FALSE)</f>
        <v>Fertilizers distributed</v>
      </c>
      <c r="K119" s="51" t="str">
        <f>VLOOKUP(Table37[[#This Row],[ACTIVITY]],TAGS!B:P,2,FALSE)</f>
        <v>Inorganic fertilizer distributed</v>
      </c>
      <c r="L119" s="47" t="s">
        <v>36</v>
      </c>
      <c r="M119" s="51" t="str">
        <f>VLOOKUP(Table37[[#This Row],[ACTIVITY]],TAGS!$B:$P,4,FALSE)</f>
        <v>Yellow Corn Production Enhancement Project</v>
      </c>
      <c r="N119" s="51" t="str">
        <f>VLOOKUP(Table37[[#This Row],[ACTIVITY]],TAGS!$B:$P,5,FALSE)</f>
        <v>Soil Fertilization</v>
      </c>
      <c r="O119" s="51" t="str">
        <f>VLOOKUP(Table37[[#This Row],[ACTIVITY]],TAGS!$B:$P,6,FALSE)</f>
        <v>Inorganic fertilizer</v>
      </c>
      <c r="P119" s="51" t="str">
        <f>VLOOKUP(Table37[[#This Row],[ACTIVITY]],TAGS!$B:$P,7,FALSE)</f>
        <v>NO</v>
      </c>
      <c r="Q119" s="51" t="str">
        <f>VLOOKUP(Table37[[#This Row],[ACTIVITY]],TAGS!$B:$P,8,FALSE)</f>
        <v>PAP</v>
      </c>
      <c r="R119" s="51" t="str">
        <f>VLOOKUP(Table37[[#This Row],[ACTIVITY]],TAGS!$B:$P,10,FALSE)</f>
        <v>PIP</v>
      </c>
      <c r="S119" s="51" t="str">
        <f>VLOOKUP(Table37[[#This Row],[ACTIVITY]],TAGS!$B:$P,11,FALSE)</f>
        <v>PICS</v>
      </c>
      <c r="T119" s="51" t="str">
        <f>VLOOKUP(Table37[[#This Row],[ACTIVITY]],TAGS!$B:$P,12,FALSE)</f>
        <v>Consolidation</v>
      </c>
      <c r="U119" s="51" t="str">
        <f>VLOOKUP(Table37[[#This Row],[ACTIVITY]],TAGS!$B:$P,13,FALSE)</f>
        <v>1. Bayanihan Agri Cluster</v>
      </c>
      <c r="V119" s="51" t="str">
        <f>VLOOKUP(Table37[[#This Row],[ACTIVITY]],TAGS!$B:$P,14,FALSE)</f>
        <v>EXPAND AND IMPROVE AVAILABLE AGRI-FISHERY AREAS FOR INCREASED PRODUCTION</v>
      </c>
      <c r="W119" s="51" t="str">
        <f>VLOOKUP(Table37[[#This Row],[ACTIVITY]],TAGS!$B:$P,15,FALSE)</f>
        <v>Farm Inputs</v>
      </c>
      <c r="X119" s="51" t="str">
        <f>VLOOKUP(Table37[[#This Row],[PI LEVEL 3]],'PI LEVEL'!$A:$G,7,FALSE)</f>
        <v>DA-Level Output</v>
      </c>
      <c r="Y119" s="47" t="s">
        <v>577</v>
      </c>
      <c r="Z119" s="47" t="s">
        <v>333</v>
      </c>
      <c r="AA119" s="51" t="str">
        <f>VLOOKUP(Table37[[#This Row],[MONTH]],TAGS!$W$67:$Y$81,2,FALSE)</f>
        <v>3RD QTR</v>
      </c>
      <c r="AB119" s="51" t="str">
        <f>VLOOKUP(Table37[[#This Row],[MONTH]],TAGS!$W$67:$Y$81,3,FALSE)</f>
        <v>2ND SEMESTER</v>
      </c>
      <c r="AC119" s="51">
        <f>VLOOKUP(Table37[[#This Row],[MONTH]],TAGS!$W$67:$Z$81,4,FALSE)</f>
        <v>2025</v>
      </c>
      <c r="AD119" s="47">
        <v>86400</v>
      </c>
      <c r="AE119" s="47"/>
      <c r="AF119" s="51">
        <f>SUM(Table37[[#This Row],[MOOE (Php ''000)]:[CO (Php ''000)]])</f>
        <v>86400</v>
      </c>
      <c r="AG119" s="71" t="b">
        <f>ISBLANK(Table37[[#This Row],[PRPOPOSAL/BEDS]])</f>
        <v>0</v>
      </c>
      <c r="AH119" s="71" t="b">
        <f>ISBLANK(Table37[[#This Row],[OU]])</f>
        <v>0</v>
      </c>
      <c r="AI119" s="71" t="b">
        <f>ISBLANK(Table37[[#This Row],[SPECIFIC COMMODITY]])</f>
        <v>0</v>
      </c>
      <c r="AJ119" s="71" t="b">
        <f>ISBLANK(Table37[[#This Row],[COMMODITY PREXC SUB-PROGRAM]])</f>
        <v>0</v>
      </c>
      <c r="AK119" s="71" t="b">
        <f>ISBLANK(Table37[[#This Row],[ACTIVITY]])</f>
        <v>0</v>
      </c>
      <c r="AL119" s="71" t="b">
        <f>ISBLANK(Table37[[#This Row],[TAG-GAD]])</f>
        <v>0</v>
      </c>
      <c r="AM119" s="71" t="b">
        <f>ISBLANK(Table37[[#This Row],[MONTH]])</f>
        <v>0</v>
      </c>
      <c r="AN119" s="71" t="b">
        <f>ISBLANK(Table37[[#This Row],[MOOE (Php ''000)]])</f>
        <v>0</v>
      </c>
      <c r="AO119" s="71" t="b">
        <f>ISBLANK(Table37[[#This Row],[CO (Php ''000)]])</f>
        <v>1</v>
      </c>
    </row>
    <row r="120" spans="1:41">
      <c r="A120" s="51" t="str">
        <f>VLOOKUP(Table37[[#This Row],[OU]],OU!$A$15:$B$34,2,FALSE)</f>
        <v>RFOs</v>
      </c>
      <c r="B120" s="47" t="s">
        <v>301</v>
      </c>
      <c r="C120" s="47" t="s">
        <v>574</v>
      </c>
      <c r="D120" s="47" t="s">
        <v>578</v>
      </c>
      <c r="E120" s="51" t="str">
        <f>VLOOKUP(Table37[[#This Row],[SPECIFIC COMMODITY]],TAGS!$W$48:$X$53,2,FALSE)</f>
        <v>Corn</v>
      </c>
      <c r="F120" s="51" t="str">
        <f>VLOOKUP(Table37[[#This Row],[PREXC SUB-PROGRAM]],Table5[],2,FALSE)</f>
        <v>TECHNICAL AND SUPPORT SERVICES PROGRAM</v>
      </c>
      <c r="G120" s="51" t="str">
        <f>VLOOKUP(Table37[[#This Row],[COMMODITY PREXC SUB-PROGRAM]],TAGS!$U$54:$V$76,2,FALSE)</f>
        <v>PSS</v>
      </c>
      <c r="H120" s="47" t="s">
        <v>576</v>
      </c>
      <c r="I120" s="51" t="str">
        <f>VLOOKUP(Table37[[#This Row],[PI LEVEL 3]],'PI LEVEL'!A:C,3,FALSE)</f>
        <v>Fertilizers and other soil ammendment distributed</v>
      </c>
      <c r="J120" s="51" t="str">
        <f>VLOOKUP(Table37[[#This Row],[PI LEVEL 3]],Table53729[[Performance Indicator Level 3]:[Performance Indicator Level 1]],2,FALSE)</f>
        <v>Fertilizers distributed</v>
      </c>
      <c r="K120" s="51" t="str">
        <f>VLOOKUP(Table37[[#This Row],[ACTIVITY]],TAGS!B:P,2,FALSE)</f>
        <v>Inorganic fertilizer distributed</v>
      </c>
      <c r="L120" s="47" t="s">
        <v>36</v>
      </c>
      <c r="M120" s="51" t="str">
        <f>VLOOKUP(Table37[[#This Row],[ACTIVITY]],TAGS!$B:$P,4,FALSE)</f>
        <v>Yellow Corn Production Enhancement Project</v>
      </c>
      <c r="N120" s="51" t="str">
        <f>VLOOKUP(Table37[[#This Row],[ACTIVITY]],TAGS!$B:$P,5,FALSE)</f>
        <v>Soil Fertilization</v>
      </c>
      <c r="O120" s="51" t="str">
        <f>VLOOKUP(Table37[[#This Row],[ACTIVITY]],TAGS!$B:$P,6,FALSE)</f>
        <v>Inorganic fertilizer</v>
      </c>
      <c r="P120" s="51" t="str">
        <f>VLOOKUP(Table37[[#This Row],[ACTIVITY]],TAGS!$B:$P,7,FALSE)</f>
        <v>NO</v>
      </c>
      <c r="Q120" s="51" t="str">
        <f>VLOOKUP(Table37[[#This Row],[ACTIVITY]],TAGS!$B:$P,8,FALSE)</f>
        <v>PAP</v>
      </c>
      <c r="R120" s="51" t="str">
        <f>VLOOKUP(Table37[[#This Row],[ACTIVITY]],TAGS!$B:$P,10,FALSE)</f>
        <v>PIP</v>
      </c>
      <c r="S120" s="51" t="str">
        <f>VLOOKUP(Table37[[#This Row],[ACTIVITY]],TAGS!$B:$P,11,FALSE)</f>
        <v>PICS</v>
      </c>
      <c r="T120" s="51" t="str">
        <f>VLOOKUP(Table37[[#This Row],[ACTIVITY]],TAGS!$B:$P,12,FALSE)</f>
        <v>Consolidation</v>
      </c>
      <c r="U120" s="51" t="str">
        <f>VLOOKUP(Table37[[#This Row],[ACTIVITY]],TAGS!$B:$P,13,FALSE)</f>
        <v>1. Bayanihan Agri Cluster</v>
      </c>
      <c r="V120" s="51" t="str">
        <f>VLOOKUP(Table37[[#This Row],[ACTIVITY]],TAGS!$B:$P,14,FALSE)</f>
        <v>EXPAND AND IMPROVE AVAILABLE AGRI-FISHERY AREAS FOR INCREASED PRODUCTION</v>
      </c>
      <c r="W120" s="51" t="str">
        <f>VLOOKUP(Table37[[#This Row],[ACTIVITY]],TAGS!$B:$P,15,FALSE)</f>
        <v>Farm Inputs</v>
      </c>
      <c r="X120" s="51" t="str">
        <f>VLOOKUP(Table37[[#This Row],[PI LEVEL 3]],'PI LEVEL'!$A:$G,7,FALSE)</f>
        <v>DA-Level Output</v>
      </c>
      <c r="Y120" s="47" t="s">
        <v>577</v>
      </c>
      <c r="Z120" s="47" t="s">
        <v>337</v>
      </c>
      <c r="AA120" s="51" t="str">
        <f>VLOOKUP(Table37[[#This Row],[MONTH]],TAGS!$W$67:$Y$81,2,FALSE)</f>
        <v>4TH QTR</v>
      </c>
      <c r="AB120" s="51" t="str">
        <f>VLOOKUP(Table37[[#This Row],[MONTH]],TAGS!$W$67:$Y$81,3,FALSE)</f>
        <v>2ND SEMESTER</v>
      </c>
      <c r="AC120" s="51">
        <f>VLOOKUP(Table37[[#This Row],[MONTH]],TAGS!$W$67:$Z$81,4,FALSE)</f>
        <v>2025</v>
      </c>
      <c r="AD120" s="47">
        <v>35100</v>
      </c>
      <c r="AE120" s="47"/>
      <c r="AF120" s="51">
        <f>SUM(Table37[[#This Row],[MOOE (Php ''000)]:[CO (Php ''000)]])</f>
        <v>35100</v>
      </c>
      <c r="AG120" s="71" t="b">
        <f>ISBLANK(Table37[[#This Row],[PRPOPOSAL/BEDS]])</f>
        <v>0</v>
      </c>
      <c r="AH120" s="71" t="b">
        <f>ISBLANK(Table37[[#This Row],[OU]])</f>
        <v>0</v>
      </c>
      <c r="AI120" s="71" t="b">
        <f>ISBLANK(Table37[[#This Row],[SPECIFIC COMMODITY]])</f>
        <v>0</v>
      </c>
      <c r="AJ120" s="71" t="b">
        <f>ISBLANK(Table37[[#This Row],[COMMODITY PREXC SUB-PROGRAM]])</f>
        <v>0</v>
      </c>
      <c r="AK120" s="71" t="b">
        <f>ISBLANK(Table37[[#This Row],[ACTIVITY]])</f>
        <v>0</v>
      </c>
      <c r="AL120" s="71" t="b">
        <f>ISBLANK(Table37[[#This Row],[TAG-GAD]])</f>
        <v>0</v>
      </c>
      <c r="AM120" s="71" t="b">
        <f>ISBLANK(Table37[[#This Row],[MONTH]])</f>
        <v>0</v>
      </c>
      <c r="AN120" s="71" t="b">
        <f>ISBLANK(Table37[[#This Row],[MOOE (Php ''000)]])</f>
        <v>0</v>
      </c>
      <c r="AO120" s="71" t="b">
        <f>ISBLANK(Table37[[#This Row],[CO (Php ''000)]])</f>
        <v>1</v>
      </c>
    </row>
    <row r="121" spans="1:41">
      <c r="A121" s="51" t="str">
        <f>VLOOKUP(Table37[[#This Row],[OU]],OU!$A$15:$B$34,2,FALSE)</f>
        <v>RFOs</v>
      </c>
      <c r="B121" s="47" t="s">
        <v>301</v>
      </c>
      <c r="C121" s="47" t="s">
        <v>574</v>
      </c>
      <c r="D121" s="47" t="s">
        <v>578</v>
      </c>
      <c r="E121" s="51" t="str">
        <f>VLOOKUP(Table37[[#This Row],[SPECIFIC COMMODITY]],TAGS!$W$48:$X$53,2,FALSE)</f>
        <v>Corn</v>
      </c>
      <c r="F121" s="51" t="str">
        <f>VLOOKUP(Table37[[#This Row],[PREXC SUB-PROGRAM]],Table5[],2,FALSE)</f>
        <v>TECHNICAL AND SUPPORT SERVICES PROGRAM</v>
      </c>
      <c r="G121" s="51" t="str">
        <f>VLOOKUP(Table37[[#This Row],[COMMODITY PREXC SUB-PROGRAM]],TAGS!$U$54:$V$76,2,FALSE)</f>
        <v>PSS</v>
      </c>
      <c r="H121" s="47" t="s">
        <v>576</v>
      </c>
      <c r="I121" s="51" t="str">
        <f>VLOOKUP(Table37[[#This Row],[PI LEVEL 3]],'PI LEVEL'!A:C,3,FALSE)</f>
        <v>Seeds reserved</v>
      </c>
      <c r="J121" s="51" t="str">
        <f>VLOOKUP(Table37[[#This Row],[PI LEVEL 3]],Table53729[[Performance Indicator Level 3]:[Performance Indicator Level 1]],2,FALSE)</f>
        <v>Corn Seeds reserved</v>
      </c>
      <c r="K121" s="51" t="str">
        <f>VLOOKUP(Table37[[#This Row],[ACTIVITY]],TAGS!B:P,2,FALSE)</f>
        <v>Yellow Corn Seeds reserved</v>
      </c>
      <c r="L121" s="47" t="s">
        <v>82</v>
      </c>
      <c r="M121" s="51" t="str">
        <f>VLOOKUP(Table37[[#This Row],[ACTIVITY]],TAGS!$B:$P,4,FALSE)</f>
        <v>Corn Seed Reserve</v>
      </c>
      <c r="N121" s="51" t="str">
        <f>VLOOKUP(Table37[[#This Row],[ACTIVITY]],TAGS!$B:$P,5,FALSE)</f>
        <v>Corn Seed Reserve</v>
      </c>
      <c r="O121" s="51" t="str">
        <f>VLOOKUP(Table37[[#This Row],[ACTIVITY]],TAGS!$B:$P,6,FALSE)</f>
        <v>Yellow corn seeds reserve</v>
      </c>
      <c r="P121" s="51" t="str">
        <f>VLOOKUP(Table37[[#This Row],[ACTIVITY]],TAGS!$B:$P,7,FALSE)</f>
        <v>YES</v>
      </c>
      <c r="Q121" s="51" t="str">
        <f>VLOOKUP(Table37[[#This Row],[ACTIVITY]],TAGS!$B:$P,8,FALSE)</f>
        <v>PAP</v>
      </c>
      <c r="R121" s="51" t="str">
        <f>VLOOKUP(Table37[[#This Row],[ACTIVITY]],TAGS!$B:$P,10,FALSE)</f>
        <v>PIP</v>
      </c>
      <c r="S121" s="51" t="str">
        <f>VLOOKUP(Table37[[#This Row],[ACTIVITY]],TAGS!$B:$P,11,FALSE)</f>
        <v>PICS</v>
      </c>
      <c r="T121" s="51" t="str">
        <f>VLOOKUP(Table37[[#This Row],[ACTIVITY]],TAGS!$B:$P,12,FALSE)</f>
        <v>Modernization</v>
      </c>
      <c r="U121" s="51" t="str">
        <f>VLOOKUP(Table37[[#This Row],[ACTIVITY]],TAGS!$B:$P,13,FALSE)</f>
        <v>9. Climate Change Adaptation &amp; Mitigation Measures</v>
      </c>
      <c r="V121" s="51" t="str">
        <f>VLOOKUP(Table37[[#This Row],[ACTIVITY]],TAGS!$B:$P,14,FALSE)</f>
        <v>EXPAND AND IMPROVE AVAILABLE AGRI-FISHERY AREAS FOR INCREASED PRODUCTION</v>
      </c>
      <c r="W121" s="51" t="str">
        <f>VLOOKUP(Table37[[#This Row],[ACTIVITY]],TAGS!$B:$P,15,FALSE)</f>
        <v>Seed Reserve</v>
      </c>
      <c r="X121" s="51" t="str">
        <f>VLOOKUP(Table37[[#This Row],[PI LEVEL 3]],'PI LEVEL'!$A:$G,7,FALSE)</f>
        <v>DA-Level Output</v>
      </c>
      <c r="Y121" s="47" t="s">
        <v>577</v>
      </c>
      <c r="Z121" s="47" t="s">
        <v>331</v>
      </c>
      <c r="AA121" s="51" t="str">
        <f>VLOOKUP(Table37[[#This Row],[MONTH]],TAGS!$W$67:$Y$81,2,FALSE)</f>
        <v>2ND QTR</v>
      </c>
      <c r="AB121" s="51" t="str">
        <f>VLOOKUP(Table37[[#This Row],[MONTH]],TAGS!$W$67:$Y$81,3,FALSE)</f>
        <v>1ST SEMESTER</v>
      </c>
      <c r="AC121" s="51">
        <f>VLOOKUP(Table37[[#This Row],[MONTH]],TAGS!$W$67:$Z$81,4,FALSE)</f>
        <v>2025</v>
      </c>
      <c r="AD121" s="47">
        <v>300</v>
      </c>
      <c r="AE121" s="47"/>
      <c r="AF121" s="51">
        <f>SUM(Table37[[#This Row],[MOOE (Php ''000)]:[CO (Php ''000)]])</f>
        <v>300</v>
      </c>
      <c r="AG121" s="71" t="b">
        <f>ISBLANK(Table37[[#This Row],[PRPOPOSAL/BEDS]])</f>
        <v>0</v>
      </c>
      <c r="AH121" s="71" t="b">
        <f>ISBLANK(Table37[[#This Row],[OU]])</f>
        <v>0</v>
      </c>
      <c r="AI121" s="71" t="b">
        <f>ISBLANK(Table37[[#This Row],[SPECIFIC COMMODITY]])</f>
        <v>0</v>
      </c>
      <c r="AJ121" s="71" t="b">
        <f>ISBLANK(Table37[[#This Row],[COMMODITY PREXC SUB-PROGRAM]])</f>
        <v>0</v>
      </c>
      <c r="AK121" s="71" t="b">
        <f>ISBLANK(Table37[[#This Row],[ACTIVITY]])</f>
        <v>0</v>
      </c>
      <c r="AL121" s="71" t="b">
        <f>ISBLANK(Table37[[#This Row],[TAG-GAD]])</f>
        <v>0</v>
      </c>
      <c r="AM121" s="71" t="b">
        <f>ISBLANK(Table37[[#This Row],[MONTH]])</f>
        <v>0</v>
      </c>
      <c r="AN121" s="71" t="b">
        <f>ISBLANK(Table37[[#This Row],[MOOE (Php ''000)]])</f>
        <v>0</v>
      </c>
      <c r="AO121" s="71" t="b">
        <f>ISBLANK(Table37[[#This Row],[CO (Php ''000)]])</f>
        <v>1</v>
      </c>
    </row>
    <row r="122" spans="1:41">
      <c r="A122" s="51" t="str">
        <f>VLOOKUP(Table37[[#This Row],[OU]],OU!$A$15:$B$34,2,FALSE)</f>
        <v>RFOs</v>
      </c>
      <c r="B122" s="47" t="s">
        <v>301</v>
      </c>
      <c r="C122" s="47" t="s">
        <v>574</v>
      </c>
      <c r="D122" s="47" t="s">
        <v>578</v>
      </c>
      <c r="E122" s="51" t="str">
        <f>VLOOKUP(Table37[[#This Row],[SPECIFIC COMMODITY]],TAGS!$W$48:$X$53,2,FALSE)</f>
        <v>Corn</v>
      </c>
      <c r="F122" s="51" t="str">
        <f>VLOOKUP(Table37[[#This Row],[PREXC SUB-PROGRAM]],Table5[],2,FALSE)</f>
        <v>TECHNICAL AND SUPPORT SERVICES PROGRAM</v>
      </c>
      <c r="G122" s="51" t="str">
        <f>VLOOKUP(Table37[[#This Row],[COMMODITY PREXC SUB-PROGRAM]],TAGS!$U$54:$V$76,2,FALSE)</f>
        <v>PSS</v>
      </c>
      <c r="H122" s="47" t="s">
        <v>576</v>
      </c>
      <c r="I122" s="51" t="str">
        <f>VLOOKUP(Table37[[#This Row],[PI LEVEL 3]],'PI LEVEL'!A:C,3,FALSE)</f>
        <v>Seeds reserved</v>
      </c>
      <c r="J122" s="51" t="str">
        <f>VLOOKUP(Table37[[#This Row],[PI LEVEL 3]],Table53729[[Performance Indicator Level 3]:[Performance Indicator Level 1]],2,FALSE)</f>
        <v>Corn Seeds reserved</v>
      </c>
      <c r="K122" s="51" t="str">
        <f>VLOOKUP(Table37[[#This Row],[ACTIVITY]],TAGS!B:P,2,FALSE)</f>
        <v>Yellow Corn Seeds reserved</v>
      </c>
      <c r="L122" s="47" t="s">
        <v>84</v>
      </c>
      <c r="M122" s="51" t="str">
        <f>VLOOKUP(Table37[[#This Row],[ACTIVITY]],TAGS!$B:$P,4,FALSE)</f>
        <v>Corn Seed Reserve</v>
      </c>
      <c r="N122" s="51" t="str">
        <f>VLOOKUP(Table37[[#This Row],[ACTIVITY]],TAGS!$B:$P,5,FALSE)</f>
        <v>Corn Seed Reserve</v>
      </c>
      <c r="O122" s="51" t="str">
        <f>VLOOKUP(Table37[[#This Row],[ACTIVITY]],TAGS!$B:$P,6,FALSE)</f>
        <v>Yellow corn seeds reserve</v>
      </c>
      <c r="P122" s="51" t="str">
        <f>VLOOKUP(Table37[[#This Row],[ACTIVITY]],TAGS!$B:$P,7,FALSE)</f>
        <v>YES</v>
      </c>
      <c r="Q122" s="51" t="str">
        <f>VLOOKUP(Table37[[#This Row],[ACTIVITY]],TAGS!$B:$P,8,FALSE)</f>
        <v>PAP</v>
      </c>
      <c r="R122" s="51" t="str">
        <f>VLOOKUP(Table37[[#This Row],[ACTIVITY]],TAGS!$B:$P,10,FALSE)</f>
        <v>PIP</v>
      </c>
      <c r="S122" s="51" t="str">
        <f>VLOOKUP(Table37[[#This Row],[ACTIVITY]],TAGS!$B:$P,11,FALSE)</f>
        <v>PICS</v>
      </c>
      <c r="T122" s="51" t="str">
        <f>VLOOKUP(Table37[[#This Row],[ACTIVITY]],TAGS!$B:$P,12,FALSE)</f>
        <v>Modernization</v>
      </c>
      <c r="U122" s="51" t="str">
        <f>VLOOKUP(Table37[[#This Row],[ACTIVITY]],TAGS!$B:$P,13,FALSE)</f>
        <v>9. Climate Change Adaptation &amp; Mitigation Measures</v>
      </c>
      <c r="V122" s="51" t="str">
        <f>VLOOKUP(Table37[[#This Row],[ACTIVITY]],TAGS!$B:$P,14,FALSE)</f>
        <v>EXPAND AND IMPROVE AVAILABLE AGRI-FISHERY AREAS FOR INCREASED PRODUCTION</v>
      </c>
      <c r="W122" s="51" t="str">
        <f>VLOOKUP(Table37[[#This Row],[ACTIVITY]],TAGS!$B:$P,15,FALSE)</f>
        <v>Seed Reserve</v>
      </c>
      <c r="X122" s="51" t="str">
        <f>VLOOKUP(Table37[[#This Row],[PI LEVEL 3]],'PI LEVEL'!$A:$G,7,FALSE)</f>
        <v>DA-Level Output</v>
      </c>
      <c r="Y122" s="47" t="s">
        <v>577</v>
      </c>
      <c r="Z122" s="47" t="s">
        <v>333</v>
      </c>
      <c r="AA122" s="51" t="str">
        <f>VLOOKUP(Table37[[#This Row],[MONTH]],TAGS!$W$67:$Y$81,2,FALSE)</f>
        <v>3RD QTR</v>
      </c>
      <c r="AB122" s="51" t="str">
        <f>VLOOKUP(Table37[[#This Row],[MONTH]],TAGS!$W$67:$Y$81,3,FALSE)</f>
        <v>2ND SEMESTER</v>
      </c>
      <c r="AC122" s="51">
        <f>VLOOKUP(Table37[[#This Row],[MONTH]],TAGS!$W$67:$Z$81,4,FALSE)</f>
        <v>2025</v>
      </c>
      <c r="AD122" s="47">
        <v>250596</v>
      </c>
      <c r="AE122" s="47"/>
      <c r="AF122" s="51">
        <f>SUM(Table37[[#This Row],[MOOE (Php ''000)]:[CO (Php ''000)]])</f>
        <v>250596</v>
      </c>
      <c r="AG122" s="71" t="b">
        <f>ISBLANK(Table37[[#This Row],[PRPOPOSAL/BEDS]])</f>
        <v>0</v>
      </c>
      <c r="AH122" s="71" t="b">
        <f>ISBLANK(Table37[[#This Row],[OU]])</f>
        <v>0</v>
      </c>
      <c r="AI122" s="71" t="b">
        <f>ISBLANK(Table37[[#This Row],[SPECIFIC COMMODITY]])</f>
        <v>0</v>
      </c>
      <c r="AJ122" s="71" t="b">
        <f>ISBLANK(Table37[[#This Row],[COMMODITY PREXC SUB-PROGRAM]])</f>
        <v>0</v>
      </c>
      <c r="AK122" s="71" t="b">
        <f>ISBLANK(Table37[[#This Row],[ACTIVITY]])</f>
        <v>0</v>
      </c>
      <c r="AL122" s="71" t="b">
        <f>ISBLANK(Table37[[#This Row],[TAG-GAD]])</f>
        <v>0</v>
      </c>
      <c r="AM122" s="71" t="b">
        <f>ISBLANK(Table37[[#This Row],[MONTH]])</f>
        <v>0</v>
      </c>
      <c r="AN122" s="71" t="b">
        <f>ISBLANK(Table37[[#This Row],[MOOE (Php ''000)]])</f>
        <v>0</v>
      </c>
      <c r="AO122" s="71" t="b">
        <f>ISBLANK(Table37[[#This Row],[CO (Php ''000)]])</f>
        <v>1</v>
      </c>
    </row>
    <row r="123" spans="1:41">
      <c r="A123" s="51" t="str">
        <f>VLOOKUP(Table37[[#This Row],[OU]],OU!$A$15:$B$34,2,FALSE)</f>
        <v>RFOs</v>
      </c>
      <c r="B123" s="47" t="s">
        <v>301</v>
      </c>
      <c r="C123" s="47" t="s">
        <v>574</v>
      </c>
      <c r="D123" s="47" t="s">
        <v>578</v>
      </c>
      <c r="E123" s="51" t="str">
        <f>VLOOKUP(Table37[[#This Row],[SPECIFIC COMMODITY]],TAGS!$W$48:$X$53,2,FALSE)</f>
        <v>Corn</v>
      </c>
      <c r="F123" s="51" t="str">
        <f>VLOOKUP(Table37[[#This Row],[PREXC SUB-PROGRAM]],Table5[],2,FALSE)</f>
        <v>TECHNICAL AND SUPPORT SERVICES PROGRAM</v>
      </c>
      <c r="G123" s="51" t="str">
        <f>VLOOKUP(Table37[[#This Row],[COMMODITY PREXC SUB-PROGRAM]],TAGS!$U$54:$V$76,2,FALSE)</f>
        <v>PSS</v>
      </c>
      <c r="H123" s="47" t="s">
        <v>576</v>
      </c>
      <c r="I123" s="51" t="str">
        <f>VLOOKUP(Table37[[#This Row],[PI LEVEL 3]],'PI LEVEL'!A:C,3,FALSE)</f>
        <v>Agri-chemicals reserved</v>
      </c>
      <c r="J123" s="51" t="str">
        <f>VLOOKUP(Table37[[#This Row],[PI LEVEL 3]],Table53729[[Performance Indicator Level 3]:[Performance Indicator Level 1]],2,FALSE)</f>
        <v>Agri-chemicals reserved</v>
      </c>
      <c r="K123" s="51" t="str">
        <f>VLOOKUP(Table37[[#This Row],[ACTIVITY]],TAGS!B:P,2,FALSE)</f>
        <v>Agri-chemicals reserved (liter)</v>
      </c>
      <c r="L123" s="47" t="s">
        <v>86</v>
      </c>
      <c r="M123" s="51" t="str">
        <f>VLOOKUP(Table37[[#This Row],[ACTIVITY]],TAGS!$B:$P,4,FALSE)</f>
        <v>Pest and Disease Management</v>
      </c>
      <c r="N123" s="51" t="str">
        <f>VLOOKUP(Table37[[#This Row],[ACTIVITY]],TAGS!$B:$P,5,FALSE)</f>
        <v>Agricultural Chemicals</v>
      </c>
      <c r="O123" s="51" t="str">
        <f>VLOOKUP(Table37[[#This Row],[ACTIVITY]],TAGS!$B:$P,6,FALSE)</f>
        <v>Insecticide (liquid)</v>
      </c>
      <c r="P123" s="51" t="str">
        <f>VLOOKUP(Table37[[#This Row],[ACTIVITY]],TAGS!$B:$P,7,FALSE)</f>
        <v>NO</v>
      </c>
      <c r="Q123" s="51" t="str">
        <f>VLOOKUP(Table37[[#This Row],[ACTIVITY]],TAGS!$B:$P,8,FALSE)</f>
        <v>PAP</v>
      </c>
      <c r="R123" s="51" t="str">
        <f>VLOOKUP(Table37[[#This Row],[ACTIVITY]],TAGS!$B:$P,10,FALSE)</f>
        <v>PIP</v>
      </c>
      <c r="S123" s="51" t="str">
        <f>VLOOKUP(Table37[[#This Row],[ACTIVITY]],TAGS!$B:$P,11,FALSE)</f>
        <v>PICS</v>
      </c>
      <c r="T123" s="51" t="str">
        <f>VLOOKUP(Table37[[#This Row],[ACTIVITY]],TAGS!$B:$P,12,FALSE)</f>
        <v>Modernization</v>
      </c>
      <c r="U123" s="51" t="str">
        <f>VLOOKUP(Table37[[#This Row],[ACTIVITY]],TAGS!$B:$P,13,FALSE)</f>
        <v>9. Climate Change Adaptation &amp; Mitigation Measures</v>
      </c>
      <c r="V123" s="51" t="str">
        <f>VLOOKUP(Table37[[#This Row],[ACTIVITY]],TAGS!$B:$P,14,FALSE)</f>
        <v>EXPAND AND IMPROVE AVAILABLE AGRI-FISHERY AREAS FOR INCREASED PRODUCTION</v>
      </c>
      <c r="W123" s="51" t="str">
        <f>VLOOKUP(Table37[[#This Row],[ACTIVITY]],TAGS!$B:$P,15,FALSE)</f>
        <v>Agrichemicals</v>
      </c>
      <c r="X123" s="51" t="str">
        <f>VLOOKUP(Table37[[#This Row],[PI LEVEL 3]],'PI LEVEL'!$A:$G,7,FALSE)</f>
        <v>DA-Level Output</v>
      </c>
      <c r="Y123" s="47" t="s">
        <v>577</v>
      </c>
      <c r="Z123" s="47" t="s">
        <v>332</v>
      </c>
      <c r="AA123" s="51" t="str">
        <f>VLOOKUP(Table37[[#This Row],[MONTH]],TAGS!$W$67:$Y$81,2,FALSE)</f>
        <v>2ND QTR</v>
      </c>
      <c r="AB123" s="51" t="str">
        <f>VLOOKUP(Table37[[#This Row],[MONTH]],TAGS!$W$67:$Y$81,3,FALSE)</f>
        <v>1ST SEMESTER</v>
      </c>
      <c r="AC123" s="51">
        <f>VLOOKUP(Table37[[#This Row],[MONTH]],TAGS!$W$67:$Z$81,4,FALSE)</f>
        <v>2025</v>
      </c>
      <c r="AD123" s="47">
        <v>6000</v>
      </c>
      <c r="AE123" s="47"/>
      <c r="AF123" s="51">
        <f>SUM(Table37[[#This Row],[MOOE (Php ''000)]:[CO (Php ''000)]])</f>
        <v>6000</v>
      </c>
      <c r="AG123" s="71" t="b">
        <f>ISBLANK(Table37[[#This Row],[PRPOPOSAL/BEDS]])</f>
        <v>0</v>
      </c>
      <c r="AH123" s="71" t="b">
        <f>ISBLANK(Table37[[#This Row],[OU]])</f>
        <v>0</v>
      </c>
      <c r="AI123" s="71" t="b">
        <f>ISBLANK(Table37[[#This Row],[SPECIFIC COMMODITY]])</f>
        <v>0</v>
      </c>
      <c r="AJ123" s="71" t="b">
        <f>ISBLANK(Table37[[#This Row],[COMMODITY PREXC SUB-PROGRAM]])</f>
        <v>0</v>
      </c>
      <c r="AK123" s="71" t="b">
        <f>ISBLANK(Table37[[#This Row],[ACTIVITY]])</f>
        <v>0</v>
      </c>
      <c r="AL123" s="71" t="b">
        <f>ISBLANK(Table37[[#This Row],[TAG-GAD]])</f>
        <v>0</v>
      </c>
      <c r="AM123" s="71" t="b">
        <f>ISBLANK(Table37[[#This Row],[MONTH]])</f>
        <v>0</v>
      </c>
      <c r="AN123" s="71" t="b">
        <f>ISBLANK(Table37[[#This Row],[MOOE (Php ''000)]])</f>
        <v>0</v>
      </c>
      <c r="AO123" s="71" t="b">
        <f>ISBLANK(Table37[[#This Row],[CO (Php ''000)]])</f>
        <v>1</v>
      </c>
    </row>
    <row r="124" spans="1:41">
      <c r="A124" s="51" t="str">
        <f>VLOOKUP(Table37[[#This Row],[OU]],OU!$A$15:$B$34,2,FALSE)</f>
        <v>RFOs</v>
      </c>
      <c r="B124" s="47" t="s">
        <v>301</v>
      </c>
      <c r="C124" s="47" t="s">
        <v>574</v>
      </c>
      <c r="D124" s="47" t="s">
        <v>578</v>
      </c>
      <c r="E124" s="51" t="str">
        <f>VLOOKUP(Table37[[#This Row],[SPECIFIC COMMODITY]],TAGS!$W$48:$X$53,2,FALSE)</f>
        <v>Corn</v>
      </c>
      <c r="F124" s="51" t="str">
        <f>VLOOKUP(Table37[[#This Row],[PREXC SUB-PROGRAM]],Table5[],2,FALSE)</f>
        <v>TECHNICAL AND SUPPORT SERVICES PROGRAM</v>
      </c>
      <c r="G124" s="51" t="str">
        <f>VLOOKUP(Table37[[#This Row],[COMMODITY PREXC SUB-PROGRAM]],TAGS!$U$54:$V$76,2,FALSE)</f>
        <v>PSS</v>
      </c>
      <c r="H124" s="47" t="s">
        <v>576</v>
      </c>
      <c r="I124" s="51" t="str">
        <f>VLOOKUP(Table37[[#This Row],[PI LEVEL 3]],'PI LEVEL'!A:C,3,FALSE)</f>
        <v>Agri-chemicals reserved</v>
      </c>
      <c r="J124" s="51" t="str">
        <f>VLOOKUP(Table37[[#This Row],[PI LEVEL 3]],Table53729[[Performance Indicator Level 3]:[Performance Indicator Level 1]],2,FALSE)</f>
        <v>Agri-chemicals reserved</v>
      </c>
      <c r="K124" s="51" t="str">
        <f>VLOOKUP(Table37[[#This Row],[ACTIVITY]],TAGS!B:P,2,FALSE)</f>
        <v>Agri-chemicals reserved (kg)</v>
      </c>
      <c r="L124" s="47" t="s">
        <v>88</v>
      </c>
      <c r="M124" s="51" t="str">
        <f>VLOOKUP(Table37[[#This Row],[ACTIVITY]],TAGS!$B:$P,4,FALSE)</f>
        <v>Pest and Disease Management</v>
      </c>
      <c r="N124" s="51" t="str">
        <f>VLOOKUP(Table37[[#This Row],[ACTIVITY]],TAGS!$B:$P,5,FALSE)</f>
        <v>Agricultural Chemicals</v>
      </c>
      <c r="O124" s="51" t="str">
        <f>VLOOKUP(Table37[[#This Row],[ACTIVITY]],TAGS!$B:$P,6,FALSE)</f>
        <v>Rodenticides</v>
      </c>
      <c r="P124" s="51" t="str">
        <f>VLOOKUP(Table37[[#This Row],[ACTIVITY]],TAGS!$B:$P,7,FALSE)</f>
        <v>NO</v>
      </c>
      <c r="Q124" s="51" t="str">
        <f>VLOOKUP(Table37[[#This Row],[ACTIVITY]],TAGS!$B:$P,8,FALSE)</f>
        <v>PAP</v>
      </c>
      <c r="R124" s="51" t="str">
        <f>VLOOKUP(Table37[[#This Row],[ACTIVITY]],TAGS!$B:$P,10,FALSE)</f>
        <v>PIP</v>
      </c>
      <c r="S124" s="51" t="str">
        <f>VLOOKUP(Table37[[#This Row],[ACTIVITY]],TAGS!$B:$P,11,FALSE)</f>
        <v>PICS</v>
      </c>
      <c r="T124" s="51" t="str">
        <f>VLOOKUP(Table37[[#This Row],[ACTIVITY]],TAGS!$B:$P,12,FALSE)</f>
        <v>Modernization</v>
      </c>
      <c r="U124" s="51" t="str">
        <f>VLOOKUP(Table37[[#This Row],[ACTIVITY]],TAGS!$B:$P,13,FALSE)</f>
        <v>9. Climate Change Adaptation &amp; Mitigation Measures</v>
      </c>
      <c r="V124" s="51" t="str">
        <f>VLOOKUP(Table37[[#This Row],[ACTIVITY]],TAGS!$B:$P,14,FALSE)</f>
        <v>EXPAND AND IMPROVE AVAILABLE AGRI-FISHERY AREAS FOR INCREASED PRODUCTION</v>
      </c>
      <c r="W124" s="51" t="str">
        <f>VLOOKUP(Table37[[#This Row],[ACTIVITY]],TAGS!$B:$P,15,FALSE)</f>
        <v>Agrichemicals</v>
      </c>
      <c r="X124" s="51" t="str">
        <f>VLOOKUP(Table37[[#This Row],[PI LEVEL 3]],'PI LEVEL'!$A:$G,7,FALSE)</f>
        <v>DA-Level Output</v>
      </c>
      <c r="Y124" s="47" t="s">
        <v>577</v>
      </c>
      <c r="Z124" s="47" t="s">
        <v>332</v>
      </c>
      <c r="AA124" s="51" t="str">
        <f>VLOOKUP(Table37[[#This Row],[MONTH]],TAGS!$W$67:$Y$81,2,FALSE)</f>
        <v>2ND QTR</v>
      </c>
      <c r="AB124" s="51" t="str">
        <f>VLOOKUP(Table37[[#This Row],[MONTH]],TAGS!$W$67:$Y$81,3,FALSE)</f>
        <v>1ST SEMESTER</v>
      </c>
      <c r="AC124" s="51">
        <f>VLOOKUP(Table37[[#This Row],[MONTH]],TAGS!$W$67:$Z$81,4,FALSE)</f>
        <v>2025</v>
      </c>
      <c r="AD124" s="47">
        <v>1500</v>
      </c>
      <c r="AE124" s="47"/>
      <c r="AF124" s="51">
        <f>SUM(Table37[[#This Row],[MOOE (Php ''000)]:[CO (Php ''000)]])</f>
        <v>1500</v>
      </c>
      <c r="AG124" s="71" t="b">
        <f>ISBLANK(Table37[[#This Row],[PRPOPOSAL/BEDS]])</f>
        <v>0</v>
      </c>
      <c r="AH124" s="71" t="b">
        <f>ISBLANK(Table37[[#This Row],[OU]])</f>
        <v>0</v>
      </c>
      <c r="AI124" s="71" t="b">
        <f>ISBLANK(Table37[[#This Row],[SPECIFIC COMMODITY]])</f>
        <v>0</v>
      </c>
      <c r="AJ124" s="71" t="b">
        <f>ISBLANK(Table37[[#This Row],[COMMODITY PREXC SUB-PROGRAM]])</f>
        <v>0</v>
      </c>
      <c r="AK124" s="71" t="b">
        <f>ISBLANK(Table37[[#This Row],[ACTIVITY]])</f>
        <v>0</v>
      </c>
      <c r="AL124" s="71" t="b">
        <f>ISBLANK(Table37[[#This Row],[TAG-GAD]])</f>
        <v>0</v>
      </c>
      <c r="AM124" s="71" t="b">
        <f>ISBLANK(Table37[[#This Row],[MONTH]])</f>
        <v>0</v>
      </c>
      <c r="AN124" s="71" t="b">
        <f>ISBLANK(Table37[[#This Row],[MOOE (Php ''000)]])</f>
        <v>0</v>
      </c>
      <c r="AO124" s="71" t="b">
        <f>ISBLANK(Table37[[#This Row],[CO (Php ''000)]])</f>
        <v>1</v>
      </c>
    </row>
    <row r="125" spans="1:41">
      <c r="A125" s="51" t="str">
        <f>VLOOKUP(Table37[[#This Row],[OU]],OU!$A$15:$B$34,2,FALSE)</f>
        <v>RFOs</v>
      </c>
      <c r="B125" s="47" t="s">
        <v>301</v>
      </c>
      <c r="C125" s="47" t="s">
        <v>574</v>
      </c>
      <c r="D125" s="47" t="s">
        <v>578</v>
      </c>
      <c r="E125" s="51" t="str">
        <f>VLOOKUP(Table37[[#This Row],[SPECIFIC COMMODITY]],TAGS!$W$48:$X$53,2,FALSE)</f>
        <v>Corn</v>
      </c>
      <c r="F125" s="51" t="str">
        <f>VLOOKUP(Table37[[#This Row],[PREXC SUB-PROGRAM]],Table5[],2,FALSE)</f>
        <v>TECHNICAL AND SUPPORT SERVICES PROGRAM</v>
      </c>
      <c r="G125" s="51" t="str">
        <f>VLOOKUP(Table37[[#This Row],[COMMODITY PREXC SUB-PROGRAM]],TAGS!$U$54:$V$76,2,FALSE)</f>
        <v>PSS</v>
      </c>
      <c r="H125" s="47" t="s">
        <v>576</v>
      </c>
      <c r="I125" s="51" t="str">
        <f>VLOOKUP(Table37[[#This Row],[PI LEVEL 3]],'PI LEVEL'!A:C,3,FALSE)</f>
        <v>Agri-chemicals reserved</v>
      </c>
      <c r="J125" s="51" t="str">
        <f>VLOOKUP(Table37[[#This Row],[PI LEVEL 3]],Table53729[[Performance Indicator Level 3]:[Performance Indicator Level 1]],2,FALSE)</f>
        <v>Agri-chemicals reserved</v>
      </c>
      <c r="K125" s="51" t="str">
        <f>VLOOKUP(Table37[[#This Row],[ACTIVITY]],TAGS!B:P,2,FALSE)</f>
        <v>Agri-chemicals reserved (pc)</v>
      </c>
      <c r="L125" s="47" t="s">
        <v>90</v>
      </c>
      <c r="M125" s="51" t="str">
        <f>VLOOKUP(Table37[[#This Row],[ACTIVITY]],TAGS!$B:$P,4,FALSE)</f>
        <v>Pest and Disease Management</v>
      </c>
      <c r="N125" s="51" t="str">
        <f>VLOOKUP(Table37[[#This Row],[ACTIVITY]],TAGS!$B:$P,5,FALSE)</f>
        <v>Agricultural Chemicals</v>
      </c>
      <c r="O125" s="51" t="str">
        <f>VLOOKUP(Table37[[#This Row],[ACTIVITY]],TAGS!$B:$P,6,FALSE)</f>
        <v>Pheromone lure</v>
      </c>
      <c r="P125" s="51" t="str">
        <f>VLOOKUP(Table37[[#This Row],[ACTIVITY]],TAGS!$B:$P,7,FALSE)</f>
        <v>NO</v>
      </c>
      <c r="Q125" s="51" t="str">
        <f>VLOOKUP(Table37[[#This Row],[ACTIVITY]],TAGS!$B:$P,8,FALSE)</f>
        <v>PAP</v>
      </c>
      <c r="R125" s="51" t="str">
        <f>VLOOKUP(Table37[[#This Row],[ACTIVITY]],TAGS!$B:$P,10,FALSE)</f>
        <v>PIP</v>
      </c>
      <c r="S125" s="51" t="str">
        <f>VLOOKUP(Table37[[#This Row],[ACTIVITY]],TAGS!$B:$P,11,FALSE)</f>
        <v>PICS</v>
      </c>
      <c r="T125" s="51" t="str">
        <f>VLOOKUP(Table37[[#This Row],[ACTIVITY]],TAGS!$B:$P,12,FALSE)</f>
        <v>Modernization</v>
      </c>
      <c r="U125" s="51" t="str">
        <f>VLOOKUP(Table37[[#This Row],[ACTIVITY]],TAGS!$B:$P,13,FALSE)</f>
        <v>9. Climate Change Adaptation &amp; Mitigation Measures</v>
      </c>
      <c r="V125" s="51" t="str">
        <f>VLOOKUP(Table37[[#This Row],[ACTIVITY]],TAGS!$B:$P,14,FALSE)</f>
        <v>EXPAND AND IMPROVE AVAILABLE AGRI-FISHERY AREAS FOR INCREASED PRODUCTION</v>
      </c>
      <c r="W125" s="51" t="str">
        <f>VLOOKUP(Table37[[#This Row],[ACTIVITY]],TAGS!$B:$P,15,FALSE)</f>
        <v>Agrichemicals</v>
      </c>
      <c r="X125" s="51" t="str">
        <f>VLOOKUP(Table37[[#This Row],[PI LEVEL 3]],'PI LEVEL'!$A:$G,7,FALSE)</f>
        <v>DA-Level Output</v>
      </c>
      <c r="Y125" s="47" t="s">
        <v>577</v>
      </c>
      <c r="Z125" s="47" t="s">
        <v>332</v>
      </c>
      <c r="AA125" s="51" t="str">
        <f>VLOOKUP(Table37[[#This Row],[MONTH]],TAGS!$W$67:$Y$81,2,FALSE)</f>
        <v>2ND QTR</v>
      </c>
      <c r="AB125" s="51" t="str">
        <f>VLOOKUP(Table37[[#This Row],[MONTH]],TAGS!$W$67:$Y$81,3,FALSE)</f>
        <v>1ST SEMESTER</v>
      </c>
      <c r="AC125" s="51">
        <f>VLOOKUP(Table37[[#This Row],[MONTH]],TAGS!$W$67:$Z$81,4,FALSE)</f>
        <v>2025</v>
      </c>
      <c r="AD125" s="47">
        <v>2750</v>
      </c>
      <c r="AE125" s="47"/>
      <c r="AF125" s="51">
        <f>SUM(Table37[[#This Row],[MOOE (Php ''000)]:[CO (Php ''000)]])</f>
        <v>2750</v>
      </c>
      <c r="AG125" s="71" t="b">
        <f>ISBLANK(Table37[[#This Row],[PRPOPOSAL/BEDS]])</f>
        <v>0</v>
      </c>
      <c r="AH125" s="71" t="b">
        <f>ISBLANK(Table37[[#This Row],[OU]])</f>
        <v>0</v>
      </c>
      <c r="AI125" s="71" t="b">
        <f>ISBLANK(Table37[[#This Row],[SPECIFIC COMMODITY]])</f>
        <v>0</v>
      </c>
      <c r="AJ125" s="71" t="b">
        <f>ISBLANK(Table37[[#This Row],[COMMODITY PREXC SUB-PROGRAM]])</f>
        <v>0</v>
      </c>
      <c r="AK125" s="71" t="b">
        <f>ISBLANK(Table37[[#This Row],[ACTIVITY]])</f>
        <v>0</v>
      </c>
      <c r="AL125" s="71" t="b">
        <f>ISBLANK(Table37[[#This Row],[TAG-GAD]])</f>
        <v>0</v>
      </c>
      <c r="AM125" s="71" t="b">
        <f>ISBLANK(Table37[[#This Row],[MONTH]])</f>
        <v>0</v>
      </c>
      <c r="AN125" s="71" t="b">
        <f>ISBLANK(Table37[[#This Row],[MOOE (Php ''000)]])</f>
        <v>0</v>
      </c>
      <c r="AO125" s="71" t="b">
        <f>ISBLANK(Table37[[#This Row],[CO (Php ''000)]])</f>
        <v>1</v>
      </c>
    </row>
    <row r="126" spans="1:41">
      <c r="A126" s="51" t="str">
        <f>VLOOKUP(Table37[[#This Row],[OU]],OU!$A$15:$B$34,2,FALSE)</f>
        <v>RFOs</v>
      </c>
      <c r="B126" s="47" t="s">
        <v>301</v>
      </c>
      <c r="C126" s="47" t="s">
        <v>574</v>
      </c>
      <c r="D126" s="47" t="s">
        <v>579</v>
      </c>
      <c r="E126" s="51" t="str">
        <f>VLOOKUP(Table37[[#This Row],[SPECIFIC COMMODITY]],TAGS!$W$48:$X$53,2,FALSE)</f>
        <v>Cassava</v>
      </c>
      <c r="F126" s="51" t="str">
        <f>VLOOKUP(Table37[[#This Row],[PREXC SUB-PROGRAM]],Table5[],2,FALSE)</f>
        <v>TECHNICAL AND SUPPORT SERVICES PROGRAM</v>
      </c>
      <c r="G126" s="51" t="str">
        <f>VLOOKUP(Table37[[#This Row],[COMMODITY PREXC SUB-PROGRAM]],TAGS!$U$54:$V$76,2,FALSE)</f>
        <v>PSS</v>
      </c>
      <c r="H126" s="47" t="s">
        <v>580</v>
      </c>
      <c r="I126" s="51" t="str">
        <f>VLOOKUP(Table37[[#This Row],[PI LEVEL 3]],'PI LEVEL'!A:C,3,FALSE)</f>
        <v>Planting material distributed</v>
      </c>
      <c r="J126" s="51" t="str">
        <f>VLOOKUP(Table37[[#This Row],[PI LEVEL 3]],Table53729[[Performance Indicator Level 3]:[Performance Indicator Level 1]],2,FALSE)</f>
        <v>Planting material distributed</v>
      </c>
      <c r="K126" s="51" t="str">
        <f>VLOOKUP(Table37[[#This Row],[ACTIVITY]],TAGS!B:P,2,FALSE)</f>
        <v>Cassava cutting distributed</v>
      </c>
      <c r="L126" s="47" t="s">
        <v>38</v>
      </c>
      <c r="M126" s="51" t="str">
        <f>VLOOKUP(Table37[[#This Row],[ACTIVITY]],TAGS!$B:$P,4,FALSE)</f>
        <v>Cassava Production Enhancement Project</v>
      </c>
      <c r="N126" s="51" t="str">
        <f>VLOOKUP(Table37[[#This Row],[ACTIVITY]],TAGS!$B:$P,5,FALSE)</f>
        <v>Cassava cuttings</v>
      </c>
      <c r="O126" s="51" t="str">
        <f>VLOOKUP(Table37[[#This Row],[ACTIVITY]],TAGS!$B:$P,6,FALSE)</f>
        <v>Cassava seed pieces</v>
      </c>
      <c r="P126" s="51" t="str">
        <f>VLOOKUP(Table37[[#This Row],[ACTIVITY]],TAGS!$B:$P,7,FALSE)</f>
        <v>NO</v>
      </c>
      <c r="Q126" s="51" t="str">
        <f>VLOOKUP(Table37[[#This Row],[ACTIVITY]],TAGS!$B:$P,8,FALSE)</f>
        <v>PAP</v>
      </c>
      <c r="R126" s="51" t="str">
        <f>VLOOKUP(Table37[[#This Row],[ACTIVITY]],TAGS!$B:$P,10,FALSE)</f>
        <v>PIP</v>
      </c>
      <c r="S126" s="51" t="str">
        <f>VLOOKUP(Table37[[#This Row],[ACTIVITY]],TAGS!$B:$P,11,FALSE)</f>
        <v>PICS</v>
      </c>
      <c r="T126" s="51" t="str">
        <f>VLOOKUP(Table37[[#This Row],[ACTIVITY]],TAGS!$B:$P,12,FALSE)</f>
        <v>Consolidation</v>
      </c>
      <c r="U126" s="51" t="str">
        <f>VLOOKUP(Table37[[#This Row],[ACTIVITY]],TAGS!$B:$P,13,FALSE)</f>
        <v>1. Bayanihan Agri Cluster</v>
      </c>
      <c r="V126" s="51" t="str">
        <f>VLOOKUP(Table37[[#This Row],[ACTIVITY]],TAGS!$B:$P,14,FALSE)</f>
        <v>EXPAND AND IMPROVE AVAILABLE AGRI-FISHERY AREAS FOR INCREASED PRODUCTION</v>
      </c>
      <c r="W126" s="51" t="str">
        <f>VLOOKUP(Table37[[#This Row],[ACTIVITY]],TAGS!$B:$P,15,FALSE)</f>
        <v>Farm Inputs</v>
      </c>
      <c r="X126" s="51" t="str">
        <f>VLOOKUP(Table37[[#This Row],[PI LEVEL 3]],'PI LEVEL'!$A:$G,7,FALSE)</f>
        <v>DA-Level Output</v>
      </c>
      <c r="Y126" s="47" t="s">
        <v>577</v>
      </c>
      <c r="Z126" s="47" t="s">
        <v>331</v>
      </c>
      <c r="AA126" s="51" t="str">
        <f>VLOOKUP(Table37[[#This Row],[MONTH]],TAGS!$W$67:$Y$81,2,FALSE)</f>
        <v>2ND QTR</v>
      </c>
      <c r="AB126" s="51" t="str">
        <f>VLOOKUP(Table37[[#This Row],[MONTH]],TAGS!$W$67:$Y$81,3,FALSE)</f>
        <v>1ST SEMESTER</v>
      </c>
      <c r="AC126" s="51">
        <f>VLOOKUP(Table37[[#This Row],[MONTH]],TAGS!$W$67:$Z$81,4,FALSE)</f>
        <v>2025</v>
      </c>
      <c r="AD126" s="47">
        <v>975</v>
      </c>
      <c r="AE126" s="47"/>
      <c r="AF126" s="51">
        <f>SUM(Table37[[#This Row],[MOOE (Php ''000)]:[CO (Php ''000)]])</f>
        <v>975</v>
      </c>
      <c r="AG126" s="71" t="b">
        <f>ISBLANK(Table37[[#This Row],[PRPOPOSAL/BEDS]])</f>
        <v>0</v>
      </c>
      <c r="AH126" s="71" t="b">
        <f>ISBLANK(Table37[[#This Row],[OU]])</f>
        <v>0</v>
      </c>
      <c r="AI126" s="71" t="b">
        <f>ISBLANK(Table37[[#This Row],[SPECIFIC COMMODITY]])</f>
        <v>0</v>
      </c>
      <c r="AJ126" s="71" t="b">
        <f>ISBLANK(Table37[[#This Row],[COMMODITY PREXC SUB-PROGRAM]])</f>
        <v>0</v>
      </c>
      <c r="AK126" s="71" t="b">
        <f>ISBLANK(Table37[[#This Row],[ACTIVITY]])</f>
        <v>0</v>
      </c>
      <c r="AL126" s="71" t="b">
        <f>ISBLANK(Table37[[#This Row],[TAG-GAD]])</f>
        <v>0</v>
      </c>
      <c r="AM126" s="71" t="b">
        <f>ISBLANK(Table37[[#This Row],[MONTH]])</f>
        <v>0</v>
      </c>
      <c r="AN126" s="71" t="b">
        <f>ISBLANK(Table37[[#This Row],[MOOE (Php ''000)]])</f>
        <v>0</v>
      </c>
      <c r="AO126" s="71" t="b">
        <f>ISBLANK(Table37[[#This Row],[CO (Php ''000)]])</f>
        <v>1</v>
      </c>
    </row>
    <row r="127" spans="1:41">
      <c r="A127" s="51" t="str">
        <f>VLOOKUP(Table37[[#This Row],[OU]],OU!$A$15:$B$34,2,FALSE)</f>
        <v>RFOs</v>
      </c>
      <c r="B127" s="47" t="s">
        <v>301</v>
      </c>
      <c r="C127" s="47" t="s">
        <v>574</v>
      </c>
      <c r="D127" s="47" t="s">
        <v>579</v>
      </c>
      <c r="E127" s="51" t="str">
        <f>VLOOKUP(Table37[[#This Row],[SPECIFIC COMMODITY]],TAGS!$W$48:$X$53,2,FALSE)</f>
        <v>Cassava</v>
      </c>
      <c r="F127" s="51" t="str">
        <f>VLOOKUP(Table37[[#This Row],[PREXC SUB-PROGRAM]],Table5[],2,FALSE)</f>
        <v>TECHNICAL AND SUPPORT SERVICES PROGRAM</v>
      </c>
      <c r="G127" s="51" t="str">
        <f>VLOOKUP(Table37[[#This Row],[COMMODITY PREXC SUB-PROGRAM]],TAGS!$U$54:$V$76,2,FALSE)</f>
        <v>PSS</v>
      </c>
      <c r="H127" s="47" t="s">
        <v>580</v>
      </c>
      <c r="I127" s="51" t="str">
        <f>VLOOKUP(Table37[[#This Row],[PI LEVEL 3]],'PI LEVEL'!A:C,3,FALSE)</f>
        <v>Planting material distributed</v>
      </c>
      <c r="J127" s="51" t="str">
        <f>VLOOKUP(Table37[[#This Row],[PI LEVEL 3]],Table53729[[Performance Indicator Level 3]:[Performance Indicator Level 1]],2,FALSE)</f>
        <v>Planting material distributed</v>
      </c>
      <c r="K127" s="51" t="str">
        <f>VLOOKUP(Table37[[#This Row],[ACTIVITY]],TAGS!B:P,2,FALSE)</f>
        <v>Cassava cutting distributed</v>
      </c>
      <c r="L127" s="47" t="s">
        <v>40</v>
      </c>
      <c r="M127" s="51" t="str">
        <f>VLOOKUP(Table37[[#This Row],[ACTIVITY]],TAGS!$B:$P,4,FALSE)</f>
        <v>Cassava Production Enhancement Project</v>
      </c>
      <c r="N127" s="51" t="str">
        <f>VLOOKUP(Table37[[#This Row],[ACTIVITY]],TAGS!$B:$P,5,FALSE)</f>
        <v>Cassava cuttings</v>
      </c>
      <c r="O127" s="51" t="str">
        <f>VLOOKUP(Table37[[#This Row],[ACTIVITY]],TAGS!$B:$P,6,FALSE)</f>
        <v>Cassava seed pieces</v>
      </c>
      <c r="P127" s="51" t="str">
        <f>VLOOKUP(Table37[[#This Row],[ACTIVITY]],TAGS!$B:$P,7,FALSE)</f>
        <v>NO</v>
      </c>
      <c r="Q127" s="51" t="str">
        <f>VLOOKUP(Table37[[#This Row],[ACTIVITY]],TAGS!$B:$P,8,FALSE)</f>
        <v>PAP</v>
      </c>
      <c r="R127" s="51" t="str">
        <f>VLOOKUP(Table37[[#This Row],[ACTIVITY]],TAGS!$B:$P,10,FALSE)</f>
        <v>PIP</v>
      </c>
      <c r="S127" s="51" t="str">
        <f>VLOOKUP(Table37[[#This Row],[ACTIVITY]],TAGS!$B:$P,11,FALSE)</f>
        <v>PICS</v>
      </c>
      <c r="T127" s="51" t="str">
        <f>VLOOKUP(Table37[[#This Row],[ACTIVITY]],TAGS!$B:$P,12,FALSE)</f>
        <v>Consolidation</v>
      </c>
      <c r="U127" s="51" t="str">
        <f>VLOOKUP(Table37[[#This Row],[ACTIVITY]],TAGS!$B:$P,13,FALSE)</f>
        <v>1. Bayanihan Agri Cluster</v>
      </c>
      <c r="V127" s="51" t="str">
        <f>VLOOKUP(Table37[[#This Row],[ACTIVITY]],TAGS!$B:$P,14,FALSE)</f>
        <v>EXPAND AND IMPROVE AVAILABLE AGRI-FISHERY AREAS FOR INCREASED PRODUCTION</v>
      </c>
      <c r="W127" s="51" t="str">
        <f>VLOOKUP(Table37[[#This Row],[ACTIVITY]],TAGS!$B:$P,15,FALSE)</f>
        <v>Farm Inputs</v>
      </c>
      <c r="X127" s="51" t="str">
        <f>VLOOKUP(Table37[[#This Row],[PI LEVEL 3]],'PI LEVEL'!$A:$G,7,FALSE)</f>
        <v>DA-Level Output</v>
      </c>
      <c r="Y127" s="47" t="s">
        <v>577</v>
      </c>
      <c r="Z127" s="47" t="s">
        <v>333</v>
      </c>
      <c r="AA127" s="51" t="str">
        <f>VLOOKUP(Table37[[#This Row],[MONTH]],TAGS!$W$67:$Y$81,2,FALSE)</f>
        <v>3RD QTR</v>
      </c>
      <c r="AB127" s="51" t="str">
        <f>VLOOKUP(Table37[[#This Row],[MONTH]],TAGS!$W$67:$Y$81,3,FALSE)</f>
        <v>2ND SEMESTER</v>
      </c>
      <c r="AC127" s="51">
        <f>VLOOKUP(Table37[[#This Row],[MONTH]],TAGS!$W$67:$Z$81,4,FALSE)</f>
        <v>2025</v>
      </c>
      <c r="AD127" s="47">
        <v>7500</v>
      </c>
      <c r="AE127" s="47"/>
      <c r="AF127" s="51">
        <f>SUM(Table37[[#This Row],[MOOE (Php ''000)]:[CO (Php ''000)]])</f>
        <v>7500</v>
      </c>
      <c r="AG127" s="71" t="b">
        <f>ISBLANK(Table37[[#This Row],[PRPOPOSAL/BEDS]])</f>
        <v>0</v>
      </c>
      <c r="AH127" s="71" t="b">
        <f>ISBLANK(Table37[[#This Row],[OU]])</f>
        <v>0</v>
      </c>
      <c r="AI127" s="71" t="b">
        <f>ISBLANK(Table37[[#This Row],[SPECIFIC COMMODITY]])</f>
        <v>0</v>
      </c>
      <c r="AJ127" s="71" t="b">
        <f>ISBLANK(Table37[[#This Row],[COMMODITY PREXC SUB-PROGRAM]])</f>
        <v>0</v>
      </c>
      <c r="AK127" s="71" t="b">
        <f>ISBLANK(Table37[[#This Row],[ACTIVITY]])</f>
        <v>0</v>
      </c>
      <c r="AL127" s="71" t="b">
        <f>ISBLANK(Table37[[#This Row],[TAG-GAD]])</f>
        <v>0</v>
      </c>
      <c r="AM127" s="71" t="b">
        <f>ISBLANK(Table37[[#This Row],[MONTH]])</f>
        <v>0</v>
      </c>
      <c r="AN127" s="71" t="b">
        <f>ISBLANK(Table37[[#This Row],[MOOE (Php ''000)]])</f>
        <v>0</v>
      </c>
      <c r="AO127" s="71" t="b">
        <f>ISBLANK(Table37[[#This Row],[CO (Php ''000)]])</f>
        <v>1</v>
      </c>
    </row>
    <row r="128" spans="1:41">
      <c r="A128" s="51" t="str">
        <f>VLOOKUP(Table37[[#This Row],[OU]],OU!$A$15:$B$34,2,FALSE)</f>
        <v>RFOs</v>
      </c>
      <c r="B128" s="47" t="s">
        <v>301</v>
      </c>
      <c r="C128" s="47" t="s">
        <v>574</v>
      </c>
      <c r="D128" s="47" t="s">
        <v>579</v>
      </c>
      <c r="E128" s="51" t="str">
        <f>VLOOKUP(Table37[[#This Row],[SPECIFIC COMMODITY]],TAGS!$W$48:$X$53,2,FALSE)</f>
        <v>Cassava</v>
      </c>
      <c r="F128" s="51" t="str">
        <f>VLOOKUP(Table37[[#This Row],[PREXC SUB-PROGRAM]],Table5[],2,FALSE)</f>
        <v>TECHNICAL AND SUPPORT SERVICES PROGRAM</v>
      </c>
      <c r="G128" s="51" t="str">
        <f>VLOOKUP(Table37[[#This Row],[COMMODITY PREXC SUB-PROGRAM]],TAGS!$U$54:$V$76,2,FALSE)</f>
        <v>PSS</v>
      </c>
      <c r="H128" s="47" t="s">
        <v>580</v>
      </c>
      <c r="I128" s="51" t="str">
        <f>VLOOKUP(Table37[[#This Row],[PI LEVEL 3]],'PI LEVEL'!A:C,3,FALSE)</f>
        <v>Fertilizers and other soil ammendment distributed</v>
      </c>
      <c r="J128" s="51" t="str">
        <f>VLOOKUP(Table37[[#This Row],[PI LEVEL 3]],Table53729[[Performance Indicator Level 3]:[Performance Indicator Level 1]],2,FALSE)</f>
        <v>Fertilizers distributed</v>
      </c>
      <c r="K128" s="51" t="str">
        <f>VLOOKUP(Table37[[#This Row],[ACTIVITY]],TAGS!B:P,2,FALSE)</f>
        <v>Inorganic fertilizer distributed</v>
      </c>
      <c r="L128" s="47" t="s">
        <v>42</v>
      </c>
      <c r="M128" s="51" t="str">
        <f>VLOOKUP(Table37[[#This Row],[ACTIVITY]],TAGS!$B:$P,4,FALSE)</f>
        <v>Cassava Production Enhancement Project</v>
      </c>
      <c r="N128" s="51" t="str">
        <f>VLOOKUP(Table37[[#This Row],[ACTIVITY]],TAGS!$B:$P,5,FALSE)</f>
        <v>Soil Fertilization</v>
      </c>
      <c r="O128" s="51" t="str">
        <f>VLOOKUP(Table37[[#This Row],[ACTIVITY]],TAGS!$B:$P,6,FALSE)</f>
        <v>Inorganic fertilizer</v>
      </c>
      <c r="P128" s="51" t="str">
        <f>VLOOKUP(Table37[[#This Row],[ACTIVITY]],TAGS!$B:$P,7,FALSE)</f>
        <v>NO</v>
      </c>
      <c r="Q128" s="51" t="str">
        <f>VLOOKUP(Table37[[#This Row],[ACTIVITY]],TAGS!$B:$P,8,FALSE)</f>
        <v>PAP</v>
      </c>
      <c r="R128" s="51" t="str">
        <f>VLOOKUP(Table37[[#This Row],[ACTIVITY]],TAGS!$B:$P,10,FALSE)</f>
        <v>PIP</v>
      </c>
      <c r="S128" s="51" t="str">
        <f>VLOOKUP(Table37[[#This Row],[ACTIVITY]],TAGS!$B:$P,11,FALSE)</f>
        <v>PICS</v>
      </c>
      <c r="T128" s="51" t="str">
        <f>VLOOKUP(Table37[[#This Row],[ACTIVITY]],TAGS!$B:$P,12,FALSE)</f>
        <v>Consolidation</v>
      </c>
      <c r="U128" s="51" t="str">
        <f>VLOOKUP(Table37[[#This Row],[ACTIVITY]],TAGS!$B:$P,13,FALSE)</f>
        <v>1. Bayanihan Agri Cluster</v>
      </c>
      <c r="V128" s="51" t="str">
        <f>VLOOKUP(Table37[[#This Row],[ACTIVITY]],TAGS!$B:$P,14,FALSE)</f>
        <v>EXPAND AND IMPROVE AVAILABLE AGRI-FISHERY AREAS FOR INCREASED PRODUCTION</v>
      </c>
      <c r="W128" s="51" t="str">
        <f>VLOOKUP(Table37[[#This Row],[ACTIVITY]],TAGS!$B:$P,15,FALSE)</f>
        <v>Farm Inputs</v>
      </c>
      <c r="X128" s="51" t="str">
        <f>VLOOKUP(Table37[[#This Row],[PI LEVEL 3]],'PI LEVEL'!$A:$G,7,FALSE)</f>
        <v>DA-Level Output</v>
      </c>
      <c r="Y128" s="47" t="s">
        <v>577</v>
      </c>
      <c r="Z128" s="47" t="s">
        <v>333</v>
      </c>
      <c r="AA128" s="51" t="str">
        <f>VLOOKUP(Table37[[#This Row],[MONTH]],TAGS!$W$67:$Y$81,2,FALSE)</f>
        <v>3RD QTR</v>
      </c>
      <c r="AB128" s="51" t="str">
        <f>VLOOKUP(Table37[[#This Row],[MONTH]],TAGS!$W$67:$Y$81,3,FALSE)</f>
        <v>2ND SEMESTER</v>
      </c>
      <c r="AC128" s="51">
        <f>VLOOKUP(Table37[[#This Row],[MONTH]],TAGS!$W$67:$Z$81,4,FALSE)</f>
        <v>2025</v>
      </c>
      <c r="AD128" s="47">
        <v>1914</v>
      </c>
      <c r="AE128" s="47"/>
      <c r="AF128" s="51">
        <f>SUM(Table37[[#This Row],[MOOE (Php ''000)]:[CO (Php ''000)]])</f>
        <v>1914</v>
      </c>
      <c r="AG128" s="71" t="b">
        <f>ISBLANK(Table37[[#This Row],[PRPOPOSAL/BEDS]])</f>
        <v>0</v>
      </c>
      <c r="AH128" s="71" t="b">
        <f>ISBLANK(Table37[[#This Row],[OU]])</f>
        <v>0</v>
      </c>
      <c r="AI128" s="71" t="b">
        <f>ISBLANK(Table37[[#This Row],[SPECIFIC COMMODITY]])</f>
        <v>0</v>
      </c>
      <c r="AJ128" s="71" t="b">
        <f>ISBLANK(Table37[[#This Row],[COMMODITY PREXC SUB-PROGRAM]])</f>
        <v>0</v>
      </c>
      <c r="AK128" s="71" t="b">
        <f>ISBLANK(Table37[[#This Row],[ACTIVITY]])</f>
        <v>0</v>
      </c>
      <c r="AL128" s="71" t="b">
        <f>ISBLANK(Table37[[#This Row],[TAG-GAD]])</f>
        <v>0</v>
      </c>
      <c r="AM128" s="71" t="b">
        <f>ISBLANK(Table37[[#This Row],[MONTH]])</f>
        <v>0</v>
      </c>
      <c r="AN128" s="71" t="b">
        <f>ISBLANK(Table37[[#This Row],[MOOE (Php ''000)]])</f>
        <v>0</v>
      </c>
      <c r="AO128" s="71" t="b">
        <f>ISBLANK(Table37[[#This Row],[CO (Php ''000)]])</f>
        <v>1</v>
      </c>
    </row>
    <row r="129" spans="1:41">
      <c r="A129" s="51" t="str">
        <f>VLOOKUP(Table37[[#This Row],[OU]],OU!$A$15:$B$34,2,FALSE)</f>
        <v>RFOs</v>
      </c>
      <c r="B129" s="47" t="s">
        <v>301</v>
      </c>
      <c r="C129" s="47" t="s">
        <v>574</v>
      </c>
      <c r="D129" s="47" t="s">
        <v>579</v>
      </c>
      <c r="E129" s="51" t="str">
        <f>VLOOKUP(Table37[[#This Row],[SPECIFIC COMMODITY]],TAGS!$W$48:$X$53,2,FALSE)</f>
        <v>Cassava</v>
      </c>
      <c r="F129" s="51" t="str">
        <f>VLOOKUP(Table37[[#This Row],[PREXC SUB-PROGRAM]],Table5[],2,FALSE)</f>
        <v>TECHNICAL AND SUPPORT SERVICES PROGRAM</v>
      </c>
      <c r="G129" s="51" t="str">
        <f>VLOOKUP(Table37[[#This Row],[COMMODITY PREXC SUB-PROGRAM]],TAGS!$U$54:$V$76,2,FALSE)</f>
        <v>PSS</v>
      </c>
      <c r="H129" s="47" t="s">
        <v>580</v>
      </c>
      <c r="I129" s="51" t="str">
        <f>VLOOKUP(Table37[[#This Row],[PI LEVEL 3]],'PI LEVEL'!A:C,3,FALSE)</f>
        <v>Fertilizers and other soil ammendment distributed</v>
      </c>
      <c r="J129" s="51" t="str">
        <f>VLOOKUP(Table37[[#This Row],[PI LEVEL 3]],Table53729[[Performance Indicator Level 3]:[Performance Indicator Level 1]],2,FALSE)</f>
        <v>Fertilizers distributed</v>
      </c>
      <c r="K129" s="51" t="str">
        <f>VLOOKUP(Table37[[#This Row],[ACTIVITY]],TAGS!B:P,2,FALSE)</f>
        <v>Inorganic fertilizer distributed</v>
      </c>
      <c r="L129" s="47" t="s">
        <v>42</v>
      </c>
      <c r="M129" s="51" t="str">
        <f>VLOOKUP(Table37[[#This Row],[ACTIVITY]],TAGS!$B:$P,4,FALSE)</f>
        <v>Cassava Production Enhancement Project</v>
      </c>
      <c r="N129" s="51" t="str">
        <f>VLOOKUP(Table37[[#This Row],[ACTIVITY]],TAGS!$B:$P,5,FALSE)</f>
        <v>Soil Fertilization</v>
      </c>
      <c r="O129" s="51" t="str">
        <f>VLOOKUP(Table37[[#This Row],[ACTIVITY]],TAGS!$B:$P,6,FALSE)</f>
        <v>Inorganic fertilizer</v>
      </c>
      <c r="P129" s="51" t="str">
        <f>VLOOKUP(Table37[[#This Row],[ACTIVITY]],TAGS!$B:$P,7,FALSE)</f>
        <v>NO</v>
      </c>
      <c r="Q129" s="51" t="str">
        <f>VLOOKUP(Table37[[#This Row],[ACTIVITY]],TAGS!$B:$P,8,FALSE)</f>
        <v>PAP</v>
      </c>
      <c r="R129" s="51" t="str">
        <f>VLOOKUP(Table37[[#This Row],[ACTIVITY]],TAGS!$B:$P,10,FALSE)</f>
        <v>PIP</v>
      </c>
      <c r="S129" s="51" t="str">
        <f>VLOOKUP(Table37[[#This Row],[ACTIVITY]],TAGS!$B:$P,11,FALSE)</f>
        <v>PICS</v>
      </c>
      <c r="T129" s="51" t="str">
        <f>VLOOKUP(Table37[[#This Row],[ACTIVITY]],TAGS!$B:$P,12,FALSE)</f>
        <v>Consolidation</v>
      </c>
      <c r="U129" s="51" t="str">
        <f>VLOOKUP(Table37[[#This Row],[ACTIVITY]],TAGS!$B:$P,13,FALSE)</f>
        <v>1. Bayanihan Agri Cluster</v>
      </c>
      <c r="V129" s="51" t="str">
        <f>VLOOKUP(Table37[[#This Row],[ACTIVITY]],TAGS!$B:$P,14,FALSE)</f>
        <v>EXPAND AND IMPROVE AVAILABLE AGRI-FISHERY AREAS FOR INCREASED PRODUCTION</v>
      </c>
      <c r="W129" s="51" t="str">
        <f>VLOOKUP(Table37[[#This Row],[ACTIVITY]],TAGS!$B:$P,15,FALSE)</f>
        <v>Farm Inputs</v>
      </c>
      <c r="X129" s="51" t="str">
        <f>VLOOKUP(Table37[[#This Row],[PI LEVEL 3]],'PI LEVEL'!$A:$G,7,FALSE)</f>
        <v>DA-Level Output</v>
      </c>
      <c r="Y129" s="47" t="s">
        <v>577</v>
      </c>
      <c r="Z129" s="47" t="s">
        <v>337</v>
      </c>
      <c r="AA129" s="51" t="str">
        <f>VLOOKUP(Table37[[#This Row],[MONTH]],TAGS!$W$67:$Y$81,2,FALSE)</f>
        <v>4TH QTR</v>
      </c>
      <c r="AB129" s="51" t="str">
        <f>VLOOKUP(Table37[[#This Row],[MONTH]],TAGS!$W$67:$Y$81,3,FALSE)</f>
        <v>2ND SEMESTER</v>
      </c>
      <c r="AC129" s="51">
        <f>VLOOKUP(Table37[[#This Row],[MONTH]],TAGS!$W$67:$Z$81,4,FALSE)</f>
        <v>2025</v>
      </c>
      <c r="AD129" s="47">
        <v>777</v>
      </c>
      <c r="AE129" s="47"/>
      <c r="AF129" s="51">
        <f>SUM(Table37[[#This Row],[MOOE (Php ''000)]:[CO (Php ''000)]])</f>
        <v>777</v>
      </c>
      <c r="AG129" s="71" t="b">
        <f>ISBLANK(Table37[[#This Row],[PRPOPOSAL/BEDS]])</f>
        <v>0</v>
      </c>
      <c r="AH129" s="71" t="b">
        <f>ISBLANK(Table37[[#This Row],[OU]])</f>
        <v>0</v>
      </c>
      <c r="AI129" s="71" t="b">
        <f>ISBLANK(Table37[[#This Row],[SPECIFIC COMMODITY]])</f>
        <v>0</v>
      </c>
      <c r="AJ129" s="71" t="b">
        <f>ISBLANK(Table37[[#This Row],[COMMODITY PREXC SUB-PROGRAM]])</f>
        <v>0</v>
      </c>
      <c r="AK129" s="71" t="b">
        <f>ISBLANK(Table37[[#This Row],[ACTIVITY]])</f>
        <v>0</v>
      </c>
      <c r="AL129" s="71" t="b">
        <f>ISBLANK(Table37[[#This Row],[TAG-GAD]])</f>
        <v>0</v>
      </c>
      <c r="AM129" s="71" t="b">
        <f>ISBLANK(Table37[[#This Row],[MONTH]])</f>
        <v>0</v>
      </c>
      <c r="AN129" s="71" t="b">
        <f>ISBLANK(Table37[[#This Row],[MOOE (Php ''000)]])</f>
        <v>0</v>
      </c>
      <c r="AO129" s="71" t="b">
        <f>ISBLANK(Table37[[#This Row],[CO (Php ''000)]])</f>
        <v>1</v>
      </c>
    </row>
    <row r="130" spans="1:41">
      <c r="A130" s="51" t="str">
        <f>VLOOKUP(Table37[[#This Row],[OU]],OU!$A$15:$B$34,2,FALSE)</f>
        <v>RFOs</v>
      </c>
      <c r="B130" s="47" t="s">
        <v>301</v>
      </c>
      <c r="C130" s="47" t="s">
        <v>574</v>
      </c>
      <c r="D130" s="47" t="s">
        <v>579</v>
      </c>
      <c r="E130" s="51" t="str">
        <f>VLOOKUP(Table37[[#This Row],[SPECIFIC COMMODITY]],TAGS!$W$48:$X$53,2,FALSE)</f>
        <v>Cassava</v>
      </c>
      <c r="F130" s="51" t="str">
        <f>VLOOKUP(Table37[[#This Row],[PREXC SUB-PROGRAM]],Table5[],2,FALSE)</f>
        <v>TECHNICAL AND SUPPORT SERVICES PROGRAM</v>
      </c>
      <c r="G130" s="51" t="str">
        <f>VLOOKUP(Table37[[#This Row],[COMMODITY PREXC SUB-PROGRAM]],TAGS!$U$54:$V$76,2,FALSE)</f>
        <v>PSS</v>
      </c>
      <c r="H130" s="47" t="s">
        <v>580</v>
      </c>
      <c r="I130" s="51" t="str">
        <f>VLOOKUP(Table37[[#This Row],[PI LEVEL 3]],'PI LEVEL'!A:C,3,FALSE)</f>
        <v>Agri-chemicals reserved</v>
      </c>
      <c r="J130" s="51" t="str">
        <f>VLOOKUP(Table37[[#This Row],[PI LEVEL 3]],Table53729[[Performance Indicator Level 3]:[Performance Indicator Level 1]],2,FALSE)</f>
        <v>Agri-chemicals reserved</v>
      </c>
      <c r="K130" s="51" t="str">
        <f>VLOOKUP(Table37[[#This Row],[ACTIVITY]],TAGS!B:P,2,FALSE)</f>
        <v>Agri-chemicals reserved (pc)</v>
      </c>
      <c r="L130" s="47" t="s">
        <v>92</v>
      </c>
      <c r="M130" s="51" t="str">
        <f>VLOOKUP(Table37[[#This Row],[ACTIVITY]],TAGS!$B:$P,4,FALSE)</f>
        <v>Pest and Disease Management</v>
      </c>
      <c r="N130" s="51" t="str">
        <f>VLOOKUP(Table37[[#This Row],[ACTIVITY]],TAGS!$B:$P,5,FALSE)</f>
        <v>Agricultural Chemicals</v>
      </c>
      <c r="O130" s="51" t="str">
        <f>VLOOKUP(Table37[[#This Row],[ACTIVITY]],TAGS!$B:$P,6,FALSE)</f>
        <v>Streptomycin</v>
      </c>
      <c r="P130" s="51" t="str">
        <f>VLOOKUP(Table37[[#This Row],[ACTIVITY]],TAGS!$B:$P,7,FALSE)</f>
        <v>NO</v>
      </c>
      <c r="Q130" s="51" t="str">
        <f>VLOOKUP(Table37[[#This Row],[ACTIVITY]],TAGS!$B:$P,8,FALSE)</f>
        <v>PAP</v>
      </c>
      <c r="R130" s="51" t="str">
        <f>VLOOKUP(Table37[[#This Row],[ACTIVITY]],TAGS!$B:$P,10,FALSE)</f>
        <v>PIP</v>
      </c>
      <c r="S130" s="51" t="str">
        <f>VLOOKUP(Table37[[#This Row],[ACTIVITY]],TAGS!$B:$P,11,FALSE)</f>
        <v>PICS</v>
      </c>
      <c r="T130" s="51" t="str">
        <f>VLOOKUP(Table37[[#This Row],[ACTIVITY]],TAGS!$B:$P,12,FALSE)</f>
        <v>Modernization</v>
      </c>
      <c r="U130" s="51" t="str">
        <f>VLOOKUP(Table37[[#This Row],[ACTIVITY]],TAGS!$B:$P,13,FALSE)</f>
        <v>9. Climate Change Adaptation &amp; Mitigation Measures</v>
      </c>
      <c r="V130" s="51" t="str">
        <f>VLOOKUP(Table37[[#This Row],[ACTIVITY]],TAGS!$B:$P,14,FALSE)</f>
        <v>EXPAND AND IMPROVE AVAILABLE AGRI-FISHERY AREAS FOR INCREASED PRODUCTION</v>
      </c>
      <c r="W130" s="51" t="str">
        <f>VLOOKUP(Table37[[#This Row],[ACTIVITY]],TAGS!$B:$P,15,FALSE)</f>
        <v>Agrichemicals</v>
      </c>
      <c r="X130" s="51" t="str">
        <f>VLOOKUP(Table37[[#This Row],[PI LEVEL 3]],'PI LEVEL'!$A:$G,7,FALSE)</f>
        <v>DA-Level Output</v>
      </c>
      <c r="Y130" s="47" t="s">
        <v>577</v>
      </c>
      <c r="Z130" s="47" t="s">
        <v>333</v>
      </c>
      <c r="AA130" s="51" t="str">
        <f>VLOOKUP(Table37[[#This Row],[MONTH]],TAGS!$W$67:$Y$81,2,FALSE)</f>
        <v>3RD QTR</v>
      </c>
      <c r="AB130" s="51" t="str">
        <f>VLOOKUP(Table37[[#This Row],[MONTH]],TAGS!$W$67:$Y$81,3,FALSE)</f>
        <v>2ND SEMESTER</v>
      </c>
      <c r="AC130" s="51">
        <f>VLOOKUP(Table37[[#This Row],[MONTH]],TAGS!$W$67:$Z$81,4,FALSE)</f>
        <v>2025</v>
      </c>
      <c r="AD130" s="47">
        <v>4000</v>
      </c>
      <c r="AE130" s="47"/>
      <c r="AF130" s="51">
        <f>SUM(Table37[[#This Row],[MOOE (Php ''000)]:[CO (Php ''000)]])</f>
        <v>4000</v>
      </c>
      <c r="AG130" s="71" t="b">
        <f>ISBLANK(Table37[[#This Row],[PRPOPOSAL/BEDS]])</f>
        <v>0</v>
      </c>
      <c r="AH130" s="71" t="b">
        <f>ISBLANK(Table37[[#This Row],[OU]])</f>
        <v>0</v>
      </c>
      <c r="AI130" s="71" t="b">
        <f>ISBLANK(Table37[[#This Row],[SPECIFIC COMMODITY]])</f>
        <v>0</v>
      </c>
      <c r="AJ130" s="71" t="b">
        <f>ISBLANK(Table37[[#This Row],[COMMODITY PREXC SUB-PROGRAM]])</f>
        <v>0</v>
      </c>
      <c r="AK130" s="71" t="b">
        <f>ISBLANK(Table37[[#This Row],[ACTIVITY]])</f>
        <v>0</v>
      </c>
      <c r="AL130" s="71" t="b">
        <f>ISBLANK(Table37[[#This Row],[TAG-GAD]])</f>
        <v>0</v>
      </c>
      <c r="AM130" s="71" t="b">
        <f>ISBLANK(Table37[[#This Row],[MONTH]])</f>
        <v>0</v>
      </c>
      <c r="AN130" s="71" t="b">
        <f>ISBLANK(Table37[[#This Row],[MOOE (Php ''000)]])</f>
        <v>0</v>
      </c>
      <c r="AO130" s="71" t="b">
        <f>ISBLANK(Table37[[#This Row],[CO (Php ''000)]])</f>
        <v>1</v>
      </c>
    </row>
    <row r="131" spans="1:41">
      <c r="A131" s="51" t="str">
        <f>VLOOKUP(Table37[[#This Row],[OU]],OU!$A$15:$B$34,2,FALSE)</f>
        <v>RFOs</v>
      </c>
      <c r="B131" s="47" t="s">
        <v>301</v>
      </c>
      <c r="C131" s="47" t="s">
        <v>574</v>
      </c>
      <c r="D131" s="47" t="s">
        <v>581</v>
      </c>
      <c r="E131" s="51" t="str">
        <f>VLOOKUP(Table37[[#This Row],[SPECIFIC COMMODITY]],TAGS!$W$48:$X$53,2,FALSE)</f>
        <v>Sorghum</v>
      </c>
      <c r="F131" s="51" t="str">
        <f>VLOOKUP(Table37[[#This Row],[PREXC SUB-PROGRAM]],Table5[],2,FALSE)</f>
        <v>TECHNICAL AND SUPPORT SERVICES PROGRAM</v>
      </c>
      <c r="G131" s="51" t="str">
        <f>VLOOKUP(Table37[[#This Row],[COMMODITY PREXC SUB-PROGRAM]],TAGS!$U$54:$V$76,2,FALSE)</f>
        <v>PSS</v>
      </c>
      <c r="H131" s="47" t="s">
        <v>582</v>
      </c>
      <c r="I131" s="51" t="str">
        <f>VLOOKUP(Table37[[#This Row],[PI LEVEL 3]],'PI LEVEL'!A:C,3,FALSE)</f>
        <v>Seeds distributed</v>
      </c>
      <c r="J131" s="51" t="str">
        <f>VLOOKUP(Table37[[#This Row],[PI LEVEL 3]],Table53729[[Performance Indicator Level 3]:[Performance Indicator Level 1]],2,FALSE)</f>
        <v>Other Seeds distributed</v>
      </c>
      <c r="K131" s="51" t="str">
        <f>VLOOKUP(Table37[[#This Row],[ACTIVITY]],TAGS!B:P,2,FALSE)</f>
        <v>Sorghum Seeds distributed</v>
      </c>
      <c r="L131" s="47" t="s">
        <v>55</v>
      </c>
      <c r="M131" s="51" t="str">
        <f>VLOOKUP(Table37[[#This Row],[ACTIVITY]],TAGS!$B:$P,4,FALSE)</f>
        <v>Sorghum Production Enhancement Project</v>
      </c>
      <c r="N131" s="51" t="str">
        <f>VLOOKUP(Table37[[#This Row],[ACTIVITY]],TAGS!$B:$P,5,FALSE)</f>
        <v>Sorghum Seed Assistance</v>
      </c>
      <c r="O131" s="51" t="str">
        <f>VLOOKUP(Table37[[#This Row],[ACTIVITY]],TAGS!$B:$P,6,FALSE)</f>
        <v>Sorghum seeds</v>
      </c>
      <c r="P131" s="51" t="str">
        <f>VLOOKUP(Table37[[#This Row],[ACTIVITY]],TAGS!$B:$P,7,FALSE)</f>
        <v>NO</v>
      </c>
      <c r="Q131" s="51" t="str">
        <f>VLOOKUP(Table37[[#This Row],[ACTIVITY]],TAGS!$B:$P,8,FALSE)</f>
        <v>PAP</v>
      </c>
      <c r="R131" s="51" t="str">
        <f>VLOOKUP(Table37[[#This Row],[ACTIVITY]],TAGS!$B:$P,10,FALSE)</f>
        <v>PIP</v>
      </c>
      <c r="S131" s="51" t="str">
        <f>VLOOKUP(Table37[[#This Row],[ACTIVITY]],TAGS!$B:$P,11,FALSE)</f>
        <v>PICS</v>
      </c>
      <c r="T131" s="51" t="str">
        <f>VLOOKUP(Table37[[#This Row],[ACTIVITY]],TAGS!$B:$P,12,FALSE)</f>
        <v>Consolidation</v>
      </c>
      <c r="U131" s="51" t="str">
        <f>VLOOKUP(Table37[[#This Row],[ACTIVITY]],TAGS!$B:$P,13,FALSE)</f>
        <v>1. Bayanihan Agri Cluster</v>
      </c>
      <c r="V131" s="51" t="str">
        <f>VLOOKUP(Table37[[#This Row],[ACTIVITY]],TAGS!$B:$P,14,FALSE)</f>
        <v>EXPAND AND IMPROVE AVAILABLE AGRI-FISHERY AREAS FOR INCREASED PRODUCTION</v>
      </c>
      <c r="W131" s="51" t="str">
        <f>VLOOKUP(Table37[[#This Row],[ACTIVITY]],TAGS!$B:$P,15,FALSE)</f>
        <v>Farm Inputs</v>
      </c>
      <c r="X131" s="51" t="str">
        <f>VLOOKUP(Table37[[#This Row],[PI LEVEL 3]],'PI LEVEL'!$A:$G,7,FALSE)</f>
        <v>DA-Level Output</v>
      </c>
      <c r="Y131" s="47" t="s">
        <v>577</v>
      </c>
      <c r="Z131" s="47" t="s">
        <v>333</v>
      </c>
      <c r="AA131" s="51" t="str">
        <f>VLOOKUP(Table37[[#This Row],[MONTH]],TAGS!$W$67:$Y$81,2,FALSE)</f>
        <v>3RD QTR</v>
      </c>
      <c r="AB131" s="51" t="str">
        <f>VLOOKUP(Table37[[#This Row],[MONTH]],TAGS!$W$67:$Y$81,3,FALSE)</f>
        <v>2ND SEMESTER</v>
      </c>
      <c r="AC131" s="51">
        <f>VLOOKUP(Table37[[#This Row],[MONTH]],TAGS!$W$67:$Z$81,4,FALSE)</f>
        <v>2025</v>
      </c>
      <c r="AD131" s="47">
        <v>1750</v>
      </c>
      <c r="AE131" s="47"/>
      <c r="AF131" s="51">
        <f>SUM(Table37[[#This Row],[MOOE (Php ''000)]:[CO (Php ''000)]])</f>
        <v>1750</v>
      </c>
      <c r="AG131" s="71" t="b">
        <f>ISBLANK(Table37[[#This Row],[PRPOPOSAL/BEDS]])</f>
        <v>0</v>
      </c>
      <c r="AH131" s="71" t="b">
        <f>ISBLANK(Table37[[#This Row],[OU]])</f>
        <v>0</v>
      </c>
      <c r="AI131" s="71" t="b">
        <f>ISBLANK(Table37[[#This Row],[SPECIFIC COMMODITY]])</f>
        <v>0</v>
      </c>
      <c r="AJ131" s="71" t="b">
        <f>ISBLANK(Table37[[#This Row],[COMMODITY PREXC SUB-PROGRAM]])</f>
        <v>0</v>
      </c>
      <c r="AK131" s="71" t="b">
        <f>ISBLANK(Table37[[#This Row],[ACTIVITY]])</f>
        <v>0</v>
      </c>
      <c r="AL131" s="71" t="b">
        <f>ISBLANK(Table37[[#This Row],[TAG-GAD]])</f>
        <v>0</v>
      </c>
      <c r="AM131" s="71" t="b">
        <f>ISBLANK(Table37[[#This Row],[MONTH]])</f>
        <v>0</v>
      </c>
      <c r="AN131" s="71" t="b">
        <f>ISBLANK(Table37[[#This Row],[MOOE (Php ''000)]])</f>
        <v>0</v>
      </c>
      <c r="AO131" s="71" t="b">
        <f>ISBLANK(Table37[[#This Row],[CO (Php ''000)]])</f>
        <v>1</v>
      </c>
    </row>
    <row r="132" spans="1:41">
      <c r="A132" s="51" t="str">
        <f>VLOOKUP(Table37[[#This Row],[OU]],OU!$A$15:$B$34,2,FALSE)</f>
        <v>RFOs</v>
      </c>
      <c r="B132" s="47" t="s">
        <v>301</v>
      </c>
      <c r="C132" s="47" t="s">
        <v>574</v>
      </c>
      <c r="D132" s="47" t="s">
        <v>581</v>
      </c>
      <c r="E132" s="51" t="str">
        <f>VLOOKUP(Table37[[#This Row],[SPECIFIC COMMODITY]],TAGS!$W$48:$X$53,2,FALSE)</f>
        <v>Sorghum</v>
      </c>
      <c r="F132" s="51" t="str">
        <f>VLOOKUP(Table37[[#This Row],[PREXC SUB-PROGRAM]],Table5[],2,FALSE)</f>
        <v>TECHNICAL AND SUPPORT SERVICES PROGRAM</v>
      </c>
      <c r="G132" s="51" t="str">
        <f>VLOOKUP(Table37[[#This Row],[COMMODITY PREXC SUB-PROGRAM]],TAGS!$U$54:$V$76,2,FALSE)</f>
        <v>PSS</v>
      </c>
      <c r="H132" s="47" t="s">
        <v>582</v>
      </c>
      <c r="I132" s="51" t="str">
        <f>VLOOKUP(Table37[[#This Row],[PI LEVEL 3]],'PI LEVEL'!A:C,3,FALSE)</f>
        <v>Fertilizers and other soil ammendment distributed</v>
      </c>
      <c r="J132" s="51" t="str">
        <f>VLOOKUP(Table37[[#This Row],[PI LEVEL 3]],Table53729[[Performance Indicator Level 3]:[Performance Indicator Level 1]],2,FALSE)</f>
        <v>Fertilizers distributed</v>
      </c>
      <c r="K132" s="51" t="str">
        <f>VLOOKUP(Table37[[#This Row],[ACTIVITY]],TAGS!B:P,2,FALSE)</f>
        <v>Inorganic fertilizer distributed</v>
      </c>
      <c r="L132" s="47" t="s">
        <v>57</v>
      </c>
      <c r="M132" s="51" t="str">
        <f>VLOOKUP(Table37[[#This Row],[ACTIVITY]],TAGS!$B:$P,4,FALSE)</f>
        <v>Sorghum Production Enhancement Project</v>
      </c>
      <c r="N132" s="51" t="str">
        <f>VLOOKUP(Table37[[#This Row],[ACTIVITY]],TAGS!$B:$P,5,FALSE)</f>
        <v>Soil Fertilization</v>
      </c>
      <c r="O132" s="51" t="str">
        <f>VLOOKUP(Table37[[#This Row],[ACTIVITY]],TAGS!$B:$P,6,FALSE)</f>
        <v>Inorganic fertilizer</v>
      </c>
      <c r="P132" s="51" t="str">
        <f>VLOOKUP(Table37[[#This Row],[ACTIVITY]],TAGS!$B:$P,7,FALSE)</f>
        <v>NO</v>
      </c>
      <c r="Q132" s="51" t="str">
        <f>VLOOKUP(Table37[[#This Row],[ACTIVITY]],TAGS!$B:$P,8,FALSE)</f>
        <v>PAP</v>
      </c>
      <c r="R132" s="51" t="str">
        <f>VLOOKUP(Table37[[#This Row],[ACTIVITY]],TAGS!$B:$P,10,FALSE)</f>
        <v>PIP</v>
      </c>
      <c r="S132" s="51" t="str">
        <f>VLOOKUP(Table37[[#This Row],[ACTIVITY]],TAGS!$B:$P,11,FALSE)</f>
        <v>PICS</v>
      </c>
      <c r="T132" s="51" t="str">
        <f>VLOOKUP(Table37[[#This Row],[ACTIVITY]],TAGS!$B:$P,12,FALSE)</f>
        <v>Consolidation</v>
      </c>
      <c r="U132" s="51" t="str">
        <f>VLOOKUP(Table37[[#This Row],[ACTIVITY]],TAGS!$B:$P,13,FALSE)</f>
        <v>1. Bayanihan Agri Cluster</v>
      </c>
      <c r="V132" s="51" t="str">
        <f>VLOOKUP(Table37[[#This Row],[ACTIVITY]],TAGS!$B:$P,14,FALSE)</f>
        <v>EXPAND AND IMPROVE AVAILABLE AGRI-FISHERY AREAS FOR INCREASED PRODUCTION</v>
      </c>
      <c r="W132" s="51" t="str">
        <f>VLOOKUP(Table37[[#This Row],[ACTIVITY]],TAGS!$B:$P,15,FALSE)</f>
        <v>Farm Inputs</v>
      </c>
      <c r="X132" s="51" t="str">
        <f>VLOOKUP(Table37[[#This Row],[PI LEVEL 3]],'PI LEVEL'!$A:$G,7,FALSE)</f>
        <v>DA-Level Output</v>
      </c>
      <c r="Y132" s="47" t="s">
        <v>577</v>
      </c>
      <c r="Z132" s="47" t="s">
        <v>333</v>
      </c>
      <c r="AA132" s="51" t="str">
        <f>VLOOKUP(Table37[[#This Row],[MONTH]],TAGS!$W$67:$Y$81,2,FALSE)</f>
        <v>3RD QTR</v>
      </c>
      <c r="AB132" s="51" t="str">
        <f>VLOOKUP(Table37[[#This Row],[MONTH]],TAGS!$W$67:$Y$81,3,FALSE)</f>
        <v>2ND SEMESTER</v>
      </c>
      <c r="AC132" s="51">
        <f>VLOOKUP(Table37[[#This Row],[MONTH]],TAGS!$W$67:$Z$81,4,FALSE)</f>
        <v>2025</v>
      </c>
      <c r="AD132" s="47">
        <v>3800</v>
      </c>
      <c r="AE132" s="47"/>
      <c r="AF132" s="51">
        <f>SUM(Table37[[#This Row],[MOOE (Php ''000)]:[CO (Php ''000)]])</f>
        <v>3800</v>
      </c>
      <c r="AG132" s="71" t="b">
        <f>ISBLANK(Table37[[#This Row],[PRPOPOSAL/BEDS]])</f>
        <v>0</v>
      </c>
      <c r="AH132" s="71" t="b">
        <f>ISBLANK(Table37[[#This Row],[OU]])</f>
        <v>0</v>
      </c>
      <c r="AI132" s="71" t="b">
        <f>ISBLANK(Table37[[#This Row],[SPECIFIC COMMODITY]])</f>
        <v>0</v>
      </c>
      <c r="AJ132" s="71" t="b">
        <f>ISBLANK(Table37[[#This Row],[COMMODITY PREXC SUB-PROGRAM]])</f>
        <v>0</v>
      </c>
      <c r="AK132" s="71" t="b">
        <f>ISBLANK(Table37[[#This Row],[ACTIVITY]])</f>
        <v>0</v>
      </c>
      <c r="AL132" s="71" t="b">
        <f>ISBLANK(Table37[[#This Row],[TAG-GAD]])</f>
        <v>0</v>
      </c>
      <c r="AM132" s="71" t="b">
        <f>ISBLANK(Table37[[#This Row],[MONTH]])</f>
        <v>0</v>
      </c>
      <c r="AN132" s="71" t="b">
        <f>ISBLANK(Table37[[#This Row],[MOOE (Php ''000)]])</f>
        <v>0</v>
      </c>
      <c r="AO132" s="71" t="b">
        <f>ISBLANK(Table37[[#This Row],[CO (Php ''000)]])</f>
        <v>1</v>
      </c>
    </row>
    <row r="133" spans="1:41">
      <c r="A133" s="51" t="str">
        <f>VLOOKUP(Table37[[#This Row],[OU]],OU!$A$15:$B$34,2,FALSE)</f>
        <v>RFOs</v>
      </c>
      <c r="B133" s="47" t="s">
        <v>301</v>
      </c>
      <c r="C133" s="47" t="s">
        <v>574</v>
      </c>
      <c r="D133" s="47" t="s">
        <v>581</v>
      </c>
      <c r="E133" s="51" t="str">
        <f>VLOOKUP(Table37[[#This Row],[SPECIFIC COMMODITY]],TAGS!$W$48:$X$53,2,FALSE)</f>
        <v>Sorghum</v>
      </c>
      <c r="F133" s="51" t="str">
        <f>VLOOKUP(Table37[[#This Row],[PREXC SUB-PROGRAM]],Table5[],2,FALSE)</f>
        <v>TECHNICAL AND SUPPORT SERVICES PROGRAM</v>
      </c>
      <c r="G133" s="51" t="str">
        <f>VLOOKUP(Table37[[#This Row],[COMMODITY PREXC SUB-PROGRAM]],TAGS!$U$54:$V$76,2,FALSE)</f>
        <v>PSS</v>
      </c>
      <c r="H133" s="47" t="s">
        <v>582</v>
      </c>
      <c r="I133" s="51" t="str">
        <f>VLOOKUP(Table37[[#This Row],[PI LEVEL 3]],'PI LEVEL'!A:C,3,FALSE)</f>
        <v>Fertilizers and other soil ammendment distributed</v>
      </c>
      <c r="J133" s="51" t="str">
        <f>VLOOKUP(Table37[[#This Row],[PI LEVEL 3]],Table53729[[Performance Indicator Level 3]:[Performance Indicator Level 1]],2,FALSE)</f>
        <v>Fertilizers distributed</v>
      </c>
      <c r="K133" s="51" t="str">
        <f>VLOOKUP(Table37[[#This Row],[ACTIVITY]],TAGS!B:P,2,FALSE)</f>
        <v>Inorganic fertilizer distributed</v>
      </c>
      <c r="L133" s="47" t="s">
        <v>57</v>
      </c>
      <c r="M133" s="51" t="str">
        <f>VLOOKUP(Table37[[#This Row],[ACTIVITY]],TAGS!$B:$P,4,FALSE)</f>
        <v>Sorghum Production Enhancement Project</v>
      </c>
      <c r="N133" s="51" t="str">
        <f>VLOOKUP(Table37[[#This Row],[ACTIVITY]],TAGS!$B:$P,5,FALSE)</f>
        <v>Soil Fertilization</v>
      </c>
      <c r="O133" s="51" t="str">
        <f>VLOOKUP(Table37[[#This Row],[ACTIVITY]],TAGS!$B:$P,6,FALSE)</f>
        <v>Inorganic fertilizer</v>
      </c>
      <c r="P133" s="51" t="str">
        <f>VLOOKUP(Table37[[#This Row],[ACTIVITY]],TAGS!$B:$P,7,FALSE)</f>
        <v>NO</v>
      </c>
      <c r="Q133" s="51" t="str">
        <f>VLOOKUP(Table37[[#This Row],[ACTIVITY]],TAGS!$B:$P,8,FALSE)</f>
        <v>PAP</v>
      </c>
      <c r="R133" s="51" t="str">
        <f>VLOOKUP(Table37[[#This Row],[ACTIVITY]],TAGS!$B:$P,10,FALSE)</f>
        <v>PIP</v>
      </c>
      <c r="S133" s="51" t="str">
        <f>VLOOKUP(Table37[[#This Row],[ACTIVITY]],TAGS!$B:$P,11,FALSE)</f>
        <v>PICS</v>
      </c>
      <c r="T133" s="51" t="str">
        <f>VLOOKUP(Table37[[#This Row],[ACTIVITY]],TAGS!$B:$P,12,FALSE)</f>
        <v>Consolidation</v>
      </c>
      <c r="U133" s="51" t="str">
        <f>VLOOKUP(Table37[[#This Row],[ACTIVITY]],TAGS!$B:$P,13,FALSE)</f>
        <v>1. Bayanihan Agri Cluster</v>
      </c>
      <c r="V133" s="51" t="str">
        <f>VLOOKUP(Table37[[#This Row],[ACTIVITY]],TAGS!$B:$P,14,FALSE)</f>
        <v>EXPAND AND IMPROVE AVAILABLE AGRI-FISHERY AREAS FOR INCREASED PRODUCTION</v>
      </c>
      <c r="W133" s="51" t="str">
        <f>VLOOKUP(Table37[[#This Row],[ACTIVITY]],TAGS!$B:$P,15,FALSE)</f>
        <v>Farm Inputs</v>
      </c>
      <c r="X133" s="51" t="str">
        <f>VLOOKUP(Table37[[#This Row],[PI LEVEL 3]],'PI LEVEL'!$A:$G,7,FALSE)</f>
        <v>DA-Level Output</v>
      </c>
      <c r="Y133" s="47" t="s">
        <v>577</v>
      </c>
      <c r="Z133" s="47" t="s">
        <v>337</v>
      </c>
      <c r="AA133" s="51" t="str">
        <f>VLOOKUP(Table37[[#This Row],[MONTH]],TAGS!$W$67:$Y$81,2,FALSE)</f>
        <v>4TH QTR</v>
      </c>
      <c r="AB133" s="51" t="str">
        <f>VLOOKUP(Table37[[#This Row],[MONTH]],TAGS!$W$67:$Y$81,3,FALSE)</f>
        <v>2ND SEMESTER</v>
      </c>
      <c r="AC133" s="51">
        <f>VLOOKUP(Table37[[#This Row],[MONTH]],TAGS!$W$67:$Z$81,4,FALSE)</f>
        <v>2025</v>
      </c>
      <c r="AD133" s="47">
        <v>700</v>
      </c>
      <c r="AE133" s="47"/>
      <c r="AF133" s="51">
        <f>SUM(Table37[[#This Row],[MOOE (Php ''000)]:[CO (Php ''000)]])</f>
        <v>700</v>
      </c>
      <c r="AG133" s="71" t="b">
        <f>ISBLANK(Table37[[#This Row],[PRPOPOSAL/BEDS]])</f>
        <v>0</v>
      </c>
      <c r="AH133" s="71" t="b">
        <f>ISBLANK(Table37[[#This Row],[OU]])</f>
        <v>0</v>
      </c>
      <c r="AI133" s="71" t="b">
        <f>ISBLANK(Table37[[#This Row],[SPECIFIC COMMODITY]])</f>
        <v>0</v>
      </c>
      <c r="AJ133" s="71" t="b">
        <f>ISBLANK(Table37[[#This Row],[COMMODITY PREXC SUB-PROGRAM]])</f>
        <v>0</v>
      </c>
      <c r="AK133" s="71" t="b">
        <f>ISBLANK(Table37[[#This Row],[ACTIVITY]])</f>
        <v>0</v>
      </c>
      <c r="AL133" s="71" t="b">
        <f>ISBLANK(Table37[[#This Row],[TAG-GAD]])</f>
        <v>0</v>
      </c>
      <c r="AM133" s="71" t="b">
        <f>ISBLANK(Table37[[#This Row],[MONTH]])</f>
        <v>0</v>
      </c>
      <c r="AN133" s="71" t="b">
        <f>ISBLANK(Table37[[#This Row],[MOOE (Php ''000)]])</f>
        <v>0</v>
      </c>
      <c r="AO133" s="71" t="b">
        <f>ISBLANK(Table37[[#This Row],[CO (Php ''000)]])</f>
        <v>1</v>
      </c>
    </row>
    <row r="134" spans="1:41">
      <c r="A134" s="51" t="str">
        <f>VLOOKUP(Table37[[#This Row],[OU]],OU!$A$15:$B$34,2,FALSE)</f>
        <v>RFOs</v>
      </c>
      <c r="B134" s="47" t="s">
        <v>301</v>
      </c>
      <c r="C134" s="47" t="s">
        <v>574</v>
      </c>
      <c r="D134" s="47" t="s">
        <v>583</v>
      </c>
      <c r="E134" s="51" t="str">
        <f>VLOOKUP(Table37[[#This Row],[SPECIFIC COMMODITY]],TAGS!$W$48:$X$53,2,FALSE)</f>
        <v>Soybean</v>
      </c>
      <c r="F134" s="51" t="str">
        <f>VLOOKUP(Table37[[#This Row],[PREXC SUB-PROGRAM]],Table5[],2,FALSE)</f>
        <v>TECHNICAL AND SUPPORT SERVICES PROGRAM</v>
      </c>
      <c r="G134" s="51" t="str">
        <f>VLOOKUP(Table37[[#This Row],[COMMODITY PREXC SUB-PROGRAM]],TAGS!$U$54:$V$76,2,FALSE)</f>
        <v>PSS</v>
      </c>
      <c r="H134" s="47" t="s">
        <v>584</v>
      </c>
      <c r="I134" s="51" t="str">
        <f>VLOOKUP(Table37[[#This Row],[PI LEVEL 3]],'PI LEVEL'!A:C,3,FALSE)</f>
        <v>Seeds distributed</v>
      </c>
      <c r="J134" s="51" t="str">
        <f>VLOOKUP(Table37[[#This Row],[PI LEVEL 3]],Table53729[[Performance Indicator Level 3]:[Performance Indicator Level 1]],2,FALSE)</f>
        <v>Vegetable Seeds distributed</v>
      </c>
      <c r="K134" s="51" t="str">
        <f>VLOOKUP(Table37[[#This Row],[ACTIVITY]],TAGS!B:P,2,FALSE)</f>
        <v>Soybean Seeds distributed</v>
      </c>
      <c r="L134" s="47" t="s">
        <v>59</v>
      </c>
      <c r="M134" s="51" t="str">
        <f>VLOOKUP(Table37[[#This Row],[ACTIVITY]],TAGS!$B:$P,4,FALSE)</f>
        <v>Soybean Production Enhancement Project</v>
      </c>
      <c r="N134" s="51" t="str">
        <f>VLOOKUP(Table37[[#This Row],[ACTIVITY]],TAGS!$B:$P,5,FALSE)</f>
        <v>Soybean Seed Assistance</v>
      </c>
      <c r="O134" s="51" t="str">
        <f>VLOOKUP(Table37[[#This Row],[ACTIVITY]],TAGS!$B:$P,6,FALSE)</f>
        <v>Soybean seeds</v>
      </c>
      <c r="P134" s="51" t="str">
        <f>VLOOKUP(Table37[[#This Row],[ACTIVITY]],TAGS!$B:$P,7,FALSE)</f>
        <v>NO</v>
      </c>
      <c r="Q134" s="51" t="str">
        <f>VLOOKUP(Table37[[#This Row],[ACTIVITY]],TAGS!$B:$P,8,FALSE)</f>
        <v>PAP</v>
      </c>
      <c r="R134" s="51" t="str">
        <f>VLOOKUP(Table37[[#This Row],[ACTIVITY]],TAGS!$B:$P,10,FALSE)</f>
        <v>PIP</v>
      </c>
      <c r="S134" s="51" t="str">
        <f>VLOOKUP(Table37[[#This Row],[ACTIVITY]],TAGS!$B:$P,11,FALSE)</f>
        <v>PICS</v>
      </c>
      <c r="T134" s="51" t="str">
        <f>VLOOKUP(Table37[[#This Row],[ACTIVITY]],TAGS!$B:$P,12,FALSE)</f>
        <v>Consolidation</v>
      </c>
      <c r="U134" s="51" t="str">
        <f>VLOOKUP(Table37[[#This Row],[ACTIVITY]],TAGS!$B:$P,13,FALSE)</f>
        <v>1. Bayanihan Agri Cluster</v>
      </c>
      <c r="V134" s="51" t="str">
        <f>VLOOKUP(Table37[[#This Row],[ACTIVITY]],TAGS!$B:$P,14,FALSE)</f>
        <v>EXPAND AND IMPROVE AVAILABLE AGRI-FISHERY AREAS FOR INCREASED PRODUCTION</v>
      </c>
      <c r="W134" s="51" t="str">
        <f>VLOOKUP(Table37[[#This Row],[ACTIVITY]],TAGS!$B:$P,15,FALSE)</f>
        <v>Farm Inputs</v>
      </c>
      <c r="X134" s="51" t="str">
        <f>VLOOKUP(Table37[[#This Row],[PI LEVEL 3]],'PI LEVEL'!$A:$G,7,FALSE)</f>
        <v>DA-Level Output</v>
      </c>
      <c r="Y134" s="47" t="s">
        <v>577</v>
      </c>
      <c r="Z134" s="47" t="s">
        <v>331</v>
      </c>
      <c r="AA134" s="51" t="str">
        <f>VLOOKUP(Table37[[#This Row],[MONTH]],TAGS!$W$67:$Y$81,2,FALSE)</f>
        <v>2ND QTR</v>
      </c>
      <c r="AB134" s="51" t="str">
        <f>VLOOKUP(Table37[[#This Row],[MONTH]],TAGS!$W$67:$Y$81,3,FALSE)</f>
        <v>1ST SEMESTER</v>
      </c>
      <c r="AC134" s="51">
        <f>VLOOKUP(Table37[[#This Row],[MONTH]],TAGS!$W$67:$Z$81,4,FALSE)</f>
        <v>2025</v>
      </c>
      <c r="AD134" s="47">
        <v>50</v>
      </c>
      <c r="AE134" s="47"/>
      <c r="AF134" s="51">
        <f>SUM(Table37[[#This Row],[MOOE (Php ''000)]:[CO (Php ''000)]])</f>
        <v>50</v>
      </c>
      <c r="AG134" s="71" t="b">
        <f>ISBLANK(Table37[[#This Row],[PRPOPOSAL/BEDS]])</f>
        <v>0</v>
      </c>
      <c r="AH134" s="71" t="b">
        <f>ISBLANK(Table37[[#This Row],[OU]])</f>
        <v>0</v>
      </c>
      <c r="AI134" s="71" t="b">
        <f>ISBLANK(Table37[[#This Row],[SPECIFIC COMMODITY]])</f>
        <v>0</v>
      </c>
      <c r="AJ134" s="71" t="b">
        <f>ISBLANK(Table37[[#This Row],[COMMODITY PREXC SUB-PROGRAM]])</f>
        <v>0</v>
      </c>
      <c r="AK134" s="71" t="b">
        <f>ISBLANK(Table37[[#This Row],[ACTIVITY]])</f>
        <v>0</v>
      </c>
      <c r="AL134" s="71" t="b">
        <f>ISBLANK(Table37[[#This Row],[TAG-GAD]])</f>
        <v>0</v>
      </c>
      <c r="AM134" s="71" t="b">
        <f>ISBLANK(Table37[[#This Row],[MONTH]])</f>
        <v>0</v>
      </c>
      <c r="AN134" s="71" t="b">
        <f>ISBLANK(Table37[[#This Row],[MOOE (Php ''000)]])</f>
        <v>0</v>
      </c>
      <c r="AO134" s="71" t="b">
        <f>ISBLANK(Table37[[#This Row],[CO (Php ''000)]])</f>
        <v>1</v>
      </c>
    </row>
    <row r="135" spans="1:41">
      <c r="A135" s="51" t="str">
        <f>VLOOKUP(Table37[[#This Row],[OU]],OU!$A$15:$B$34,2,FALSE)</f>
        <v>RFOs</v>
      </c>
      <c r="B135" s="47" t="s">
        <v>301</v>
      </c>
      <c r="C135" s="47" t="s">
        <v>574</v>
      </c>
      <c r="D135" s="47" t="s">
        <v>583</v>
      </c>
      <c r="E135" s="51" t="str">
        <f>VLOOKUP(Table37[[#This Row],[SPECIFIC COMMODITY]],TAGS!$W$48:$X$53,2,FALSE)</f>
        <v>Soybean</v>
      </c>
      <c r="F135" s="51" t="str">
        <f>VLOOKUP(Table37[[#This Row],[PREXC SUB-PROGRAM]],Table5[],2,FALSE)</f>
        <v>TECHNICAL AND SUPPORT SERVICES PROGRAM</v>
      </c>
      <c r="G135" s="51" t="str">
        <f>VLOOKUP(Table37[[#This Row],[COMMODITY PREXC SUB-PROGRAM]],TAGS!$U$54:$V$76,2,FALSE)</f>
        <v>PSS</v>
      </c>
      <c r="H135" s="47" t="s">
        <v>584</v>
      </c>
      <c r="I135" s="51" t="str">
        <f>VLOOKUP(Table37[[#This Row],[PI LEVEL 3]],'PI LEVEL'!A:C,3,FALSE)</f>
        <v>Fertilizers and other soil ammendment distributed</v>
      </c>
      <c r="J135" s="51" t="str">
        <f>VLOOKUP(Table37[[#This Row],[PI LEVEL 3]],Table53729[[Performance Indicator Level 3]:[Performance Indicator Level 1]],2,FALSE)</f>
        <v>Fertilizers distributed</v>
      </c>
      <c r="K135" s="51" t="str">
        <f>VLOOKUP(Table37[[#This Row],[ACTIVITY]],TAGS!B:P,2,FALSE)</f>
        <v>Inorganic fertilizer distributed</v>
      </c>
      <c r="L135" s="47" t="s">
        <v>61</v>
      </c>
      <c r="M135" s="51" t="str">
        <f>VLOOKUP(Table37[[#This Row],[ACTIVITY]],TAGS!$B:$P,4,FALSE)</f>
        <v>Soybean Production Enhancement Project</v>
      </c>
      <c r="N135" s="51" t="str">
        <f>VLOOKUP(Table37[[#This Row],[ACTIVITY]],TAGS!$B:$P,5,FALSE)</f>
        <v>Soil Fertilization</v>
      </c>
      <c r="O135" s="51" t="str">
        <f>VLOOKUP(Table37[[#This Row],[ACTIVITY]],TAGS!$B:$P,6,FALSE)</f>
        <v>Inorganic fertilizer</v>
      </c>
      <c r="P135" s="51" t="str">
        <f>VLOOKUP(Table37[[#This Row],[ACTIVITY]],TAGS!$B:$P,7,FALSE)</f>
        <v>NO</v>
      </c>
      <c r="Q135" s="51" t="str">
        <f>VLOOKUP(Table37[[#This Row],[ACTIVITY]],TAGS!$B:$P,8,FALSE)</f>
        <v>PAP</v>
      </c>
      <c r="R135" s="51" t="str">
        <f>VLOOKUP(Table37[[#This Row],[ACTIVITY]],TAGS!$B:$P,10,FALSE)</f>
        <v>PIP</v>
      </c>
      <c r="S135" s="51" t="str">
        <f>VLOOKUP(Table37[[#This Row],[ACTIVITY]],TAGS!$B:$P,11,FALSE)</f>
        <v>PICS</v>
      </c>
      <c r="T135" s="51" t="str">
        <f>VLOOKUP(Table37[[#This Row],[ACTIVITY]],TAGS!$B:$P,12,FALSE)</f>
        <v>Consolidation</v>
      </c>
      <c r="U135" s="51" t="str">
        <f>VLOOKUP(Table37[[#This Row],[ACTIVITY]],TAGS!$B:$P,13,FALSE)</f>
        <v>1. Bayanihan Agri Cluster</v>
      </c>
      <c r="V135" s="51" t="str">
        <f>VLOOKUP(Table37[[#This Row],[ACTIVITY]],TAGS!$B:$P,14,FALSE)</f>
        <v>EXPAND AND IMPROVE AVAILABLE AGRI-FISHERY AREAS FOR INCREASED PRODUCTION</v>
      </c>
      <c r="W135" s="51" t="str">
        <f>VLOOKUP(Table37[[#This Row],[ACTIVITY]],TAGS!$B:$P,15,FALSE)</f>
        <v>Farm Inputs</v>
      </c>
      <c r="X135" s="51" t="str">
        <f>VLOOKUP(Table37[[#This Row],[PI LEVEL 3]],'PI LEVEL'!$A:$G,7,FALSE)</f>
        <v>DA-Level Output</v>
      </c>
      <c r="Y135" s="47" t="s">
        <v>577</v>
      </c>
      <c r="Z135" s="47" t="s">
        <v>331</v>
      </c>
      <c r="AA135" s="51" t="str">
        <f>VLOOKUP(Table37[[#This Row],[MONTH]],TAGS!$W$67:$Y$81,2,FALSE)</f>
        <v>2ND QTR</v>
      </c>
      <c r="AB135" s="51" t="str">
        <f>VLOOKUP(Table37[[#This Row],[MONTH]],TAGS!$W$67:$Y$81,3,FALSE)</f>
        <v>1ST SEMESTER</v>
      </c>
      <c r="AC135" s="51">
        <f>VLOOKUP(Table37[[#This Row],[MONTH]],TAGS!$W$67:$Z$81,4,FALSE)</f>
        <v>2025</v>
      </c>
      <c r="AD135" s="47">
        <v>113</v>
      </c>
      <c r="AE135" s="47"/>
      <c r="AF135" s="51">
        <f>SUM(Table37[[#This Row],[MOOE (Php ''000)]:[CO (Php ''000)]])</f>
        <v>113</v>
      </c>
      <c r="AG135" s="71" t="b">
        <f>ISBLANK(Table37[[#This Row],[PRPOPOSAL/BEDS]])</f>
        <v>0</v>
      </c>
      <c r="AH135" s="71" t="b">
        <f>ISBLANK(Table37[[#This Row],[OU]])</f>
        <v>0</v>
      </c>
      <c r="AI135" s="71" t="b">
        <f>ISBLANK(Table37[[#This Row],[SPECIFIC COMMODITY]])</f>
        <v>0</v>
      </c>
      <c r="AJ135" s="71" t="b">
        <f>ISBLANK(Table37[[#This Row],[COMMODITY PREXC SUB-PROGRAM]])</f>
        <v>0</v>
      </c>
      <c r="AK135" s="71" t="b">
        <f>ISBLANK(Table37[[#This Row],[ACTIVITY]])</f>
        <v>0</v>
      </c>
      <c r="AL135" s="71" t="b">
        <f>ISBLANK(Table37[[#This Row],[TAG-GAD]])</f>
        <v>0</v>
      </c>
      <c r="AM135" s="71" t="b">
        <f>ISBLANK(Table37[[#This Row],[MONTH]])</f>
        <v>0</v>
      </c>
      <c r="AN135" s="71" t="b">
        <f>ISBLANK(Table37[[#This Row],[MOOE (Php ''000)]])</f>
        <v>0</v>
      </c>
      <c r="AO135" s="71" t="b">
        <f>ISBLANK(Table37[[#This Row],[CO (Php ''000)]])</f>
        <v>1</v>
      </c>
    </row>
    <row r="136" spans="1:41">
      <c r="A136" s="51" t="str">
        <f>VLOOKUP(Table37[[#This Row],[OU]],OU!$A$15:$B$34,2,FALSE)</f>
        <v>RFOs</v>
      </c>
      <c r="B136" s="47" t="s">
        <v>301</v>
      </c>
      <c r="C136" s="47" t="s">
        <v>574</v>
      </c>
      <c r="D136" s="47" t="s">
        <v>585</v>
      </c>
      <c r="E136" s="51" t="str">
        <f>VLOOKUP(Table37[[#This Row],[SPECIFIC COMMODITY]],TAGS!$W$48:$X$53,2,FALSE)</f>
        <v>Multi_commodity</v>
      </c>
      <c r="F136" s="51" t="str">
        <f>VLOOKUP(Table37[[#This Row],[PREXC SUB-PROGRAM]],Table5[],2,FALSE)</f>
        <v>TECHNICAL AND SUPPORT SERVICES PROGRAM</v>
      </c>
      <c r="G136" s="51" t="str">
        <f>VLOOKUP(Table37[[#This Row],[COMMODITY PREXC SUB-PROGRAM]],TAGS!$U$54:$V$76,2,FALSE)</f>
        <v>PSS</v>
      </c>
      <c r="H136" s="47" t="s">
        <v>586</v>
      </c>
      <c r="I136" s="51" t="str">
        <f>VLOOKUP(Table37[[#This Row],[PI LEVEL 3]],'PI LEVEL'!A:C,3,FALSE)</f>
        <v>Farm machinery and equipment procured for stations</v>
      </c>
      <c r="J136" s="51" t="str">
        <f>VLOOKUP(Table37[[#This Row],[PI LEVEL 3]],Table53729[[Performance Indicator Level 3]:[Performance Indicator Level 1]],2,FALSE)</f>
        <v>Farm machinery and equipment procured for stations</v>
      </c>
      <c r="K136" s="51" t="str">
        <f>VLOOKUP(Table37[[#This Row],[ACTIVITY]],TAGS!B:P,2,FALSE)</f>
        <v>Production machinery and equipment procured for stations</v>
      </c>
      <c r="L136" s="47" t="s">
        <v>94</v>
      </c>
      <c r="M136" s="51" t="str">
        <f>VLOOKUP(Table37[[#This Row],[ACTIVITY]],TAGS!$B:$P,4,FALSE)</f>
        <v>DA Facilities Management</v>
      </c>
      <c r="N136" s="51" t="str">
        <f>VLOOKUP(Table37[[#This Row],[ACTIVITY]],TAGS!$B:$P,5,FALSE)</f>
        <v>Support to DA Stations</v>
      </c>
      <c r="O136" s="51" t="str">
        <f>VLOOKUP(Table37[[#This Row],[ACTIVITY]],TAGS!$B:$P,6,FALSE)</f>
        <v>Machinery &amp; Equipment for DA Stations</v>
      </c>
      <c r="P136" s="51" t="str">
        <f>VLOOKUP(Table37[[#This Row],[ACTIVITY]],TAGS!$B:$P,7,FALSE)</f>
        <v>NO</v>
      </c>
      <c r="Q136" s="51" t="str">
        <f>VLOOKUP(Table37[[#This Row],[ACTIVITY]],TAGS!$B:$P,8,FALSE)</f>
        <v>PAP</v>
      </c>
      <c r="R136" s="51" t="str">
        <f>VLOOKUP(Table37[[#This Row],[ACTIVITY]],TAGS!$B:$P,10,FALSE)</f>
        <v>PIP</v>
      </c>
      <c r="S136" s="51" t="str">
        <f>VLOOKUP(Table37[[#This Row],[ACTIVITY]],TAGS!$B:$P,11,FALSE)</f>
        <v>PICS</v>
      </c>
      <c r="T136" s="51" t="str">
        <f>VLOOKUP(Table37[[#This Row],[ACTIVITY]],TAGS!$B:$P,12,FALSE)</f>
        <v>Modernization</v>
      </c>
      <c r="U136" s="51" t="str">
        <f>VLOOKUP(Table37[[#This Row],[ACTIVITY]],TAGS!$B:$P,13,FALSE)</f>
        <v>8. Farm Mechanization and Farm Investments</v>
      </c>
      <c r="V136" s="51">
        <f>VLOOKUP(Table37[[#This Row],[ACTIVITY]],TAGS!$B:$P,14,FALSE)</f>
        <v>0</v>
      </c>
      <c r="W136" s="51" t="str">
        <f>VLOOKUP(Table37[[#This Row],[ACTIVITY]],TAGS!$B:$P,15,FALSE)</f>
        <v>DA Station</v>
      </c>
      <c r="X136" s="51" t="str">
        <f>VLOOKUP(Table37[[#This Row],[PI LEVEL 3]],'PI LEVEL'!$A:$G,7,FALSE)</f>
        <v>DA-Level Output</v>
      </c>
      <c r="Y136" s="47" t="s">
        <v>577</v>
      </c>
      <c r="Z136" s="47" t="s">
        <v>334</v>
      </c>
      <c r="AA136" s="51" t="str">
        <f>VLOOKUP(Table37[[#This Row],[MONTH]],TAGS!$W$67:$Y$81,2,FALSE)</f>
        <v>3RD QTR</v>
      </c>
      <c r="AB136" s="51" t="str">
        <f>VLOOKUP(Table37[[#This Row],[MONTH]],TAGS!$W$67:$Y$81,3,FALSE)</f>
        <v>2ND SEMESTER</v>
      </c>
      <c r="AC136" s="51">
        <f>VLOOKUP(Table37[[#This Row],[MONTH]],TAGS!$W$67:$Z$81,4,FALSE)</f>
        <v>2025</v>
      </c>
      <c r="AD136" s="47"/>
      <c r="AE136" s="47">
        <v>1200</v>
      </c>
      <c r="AF136" s="51">
        <f>SUM(Table37[[#This Row],[MOOE (Php ''000)]:[CO (Php ''000)]])</f>
        <v>1200</v>
      </c>
      <c r="AG136" s="71" t="b">
        <f>ISBLANK(Table37[[#This Row],[PRPOPOSAL/BEDS]])</f>
        <v>0</v>
      </c>
      <c r="AH136" s="71" t="b">
        <f>ISBLANK(Table37[[#This Row],[OU]])</f>
        <v>0</v>
      </c>
      <c r="AI136" s="71" t="b">
        <f>ISBLANK(Table37[[#This Row],[SPECIFIC COMMODITY]])</f>
        <v>0</v>
      </c>
      <c r="AJ136" s="71" t="b">
        <f>ISBLANK(Table37[[#This Row],[COMMODITY PREXC SUB-PROGRAM]])</f>
        <v>0</v>
      </c>
      <c r="AK136" s="71" t="b">
        <f>ISBLANK(Table37[[#This Row],[ACTIVITY]])</f>
        <v>0</v>
      </c>
      <c r="AL136" s="71" t="b">
        <f>ISBLANK(Table37[[#This Row],[TAG-GAD]])</f>
        <v>0</v>
      </c>
      <c r="AM136" s="71" t="b">
        <f>ISBLANK(Table37[[#This Row],[MONTH]])</f>
        <v>0</v>
      </c>
      <c r="AN136" s="71" t="b">
        <f>ISBLANK(Table37[[#This Row],[MOOE (Php ''000)]])</f>
        <v>1</v>
      </c>
      <c r="AO136" s="71" t="b">
        <f>ISBLANK(Table37[[#This Row],[CO (Php ''000)]])</f>
        <v>0</v>
      </c>
    </row>
    <row r="137" spans="1:41">
      <c r="A137" s="51" t="str">
        <f>VLOOKUP(Table37[[#This Row],[OU]],OU!$A$15:$B$34,2,FALSE)</f>
        <v>RFOs</v>
      </c>
      <c r="B137" s="47" t="s">
        <v>301</v>
      </c>
      <c r="C137" s="47" t="s">
        <v>574</v>
      </c>
      <c r="D137" s="47" t="s">
        <v>585</v>
      </c>
      <c r="E137" s="51" t="str">
        <f>VLOOKUP(Table37[[#This Row],[SPECIFIC COMMODITY]],TAGS!$W$48:$X$53,2,FALSE)</f>
        <v>Multi_commodity</v>
      </c>
      <c r="F137" s="51" t="str">
        <f>VLOOKUP(Table37[[#This Row],[PREXC SUB-PROGRAM]],Table5[],2,FALSE)</f>
        <v>TECHNICAL AND SUPPORT SERVICES PROGRAM</v>
      </c>
      <c r="G137" s="51" t="str">
        <f>VLOOKUP(Table37[[#This Row],[COMMODITY PREXC SUB-PROGRAM]],TAGS!$U$54:$V$76,2,FALSE)</f>
        <v>PSS</v>
      </c>
      <c r="H137" s="47" t="s">
        <v>586</v>
      </c>
      <c r="I137" s="51" t="str">
        <f>VLOOKUP(Table37[[#This Row],[PI LEVEL 3]],'PI LEVEL'!A:C,3,FALSE)</f>
        <v>Farm machinery and equipment procured for stations</v>
      </c>
      <c r="J137" s="51" t="str">
        <f>VLOOKUP(Table37[[#This Row],[PI LEVEL 3]],Table53729[[Performance Indicator Level 3]:[Performance Indicator Level 1]],2,FALSE)</f>
        <v>Farm machinery and equipment procured for stations</v>
      </c>
      <c r="K137" s="51" t="str">
        <f>VLOOKUP(Table37[[#This Row],[ACTIVITY]],TAGS!B:P,2,FALSE)</f>
        <v>Postharvest machinery and equipment procured for stations</v>
      </c>
      <c r="L137" s="47" t="s">
        <v>96</v>
      </c>
      <c r="M137" s="51" t="str">
        <f>VLOOKUP(Table37[[#This Row],[ACTIVITY]],TAGS!$B:$P,4,FALSE)</f>
        <v>DA Facilities Management</v>
      </c>
      <c r="N137" s="51" t="str">
        <f>VLOOKUP(Table37[[#This Row],[ACTIVITY]],TAGS!$B:$P,5,FALSE)</f>
        <v>Support to DA Stations</v>
      </c>
      <c r="O137" s="51" t="str">
        <f>VLOOKUP(Table37[[#This Row],[ACTIVITY]],TAGS!$B:$P,6,FALSE)</f>
        <v>Machinery &amp; Equipment for DA Stations</v>
      </c>
      <c r="P137" s="51" t="str">
        <f>VLOOKUP(Table37[[#This Row],[ACTIVITY]],TAGS!$B:$P,7,FALSE)</f>
        <v>NO</v>
      </c>
      <c r="Q137" s="51" t="str">
        <f>VLOOKUP(Table37[[#This Row],[ACTIVITY]],TAGS!$B:$P,8,FALSE)</f>
        <v>PAP</v>
      </c>
      <c r="R137" s="51" t="str">
        <f>VLOOKUP(Table37[[#This Row],[ACTIVITY]],TAGS!$B:$P,10,FALSE)</f>
        <v>PIP</v>
      </c>
      <c r="S137" s="51" t="str">
        <f>VLOOKUP(Table37[[#This Row],[ACTIVITY]],TAGS!$B:$P,11,FALSE)</f>
        <v>PICS</v>
      </c>
      <c r="T137" s="51" t="str">
        <f>VLOOKUP(Table37[[#This Row],[ACTIVITY]],TAGS!$B:$P,12,FALSE)</f>
        <v>Modernization</v>
      </c>
      <c r="U137" s="51" t="str">
        <f>VLOOKUP(Table37[[#This Row],[ACTIVITY]],TAGS!$B:$P,13,FALSE)</f>
        <v>8. Farm Mechanization and Farm Investments</v>
      </c>
      <c r="V137" s="51">
        <f>VLOOKUP(Table37[[#This Row],[ACTIVITY]],TAGS!$B:$P,14,FALSE)</f>
        <v>0</v>
      </c>
      <c r="W137" s="51" t="str">
        <f>VLOOKUP(Table37[[#This Row],[ACTIVITY]],TAGS!$B:$P,15,FALSE)</f>
        <v>DA Station</v>
      </c>
      <c r="X137" s="51" t="str">
        <f>VLOOKUP(Table37[[#This Row],[PI LEVEL 3]],'PI LEVEL'!$A:$G,7,FALSE)</f>
        <v>DA-Level Output</v>
      </c>
      <c r="Y137" s="47" t="s">
        <v>577</v>
      </c>
      <c r="Z137" s="47" t="s">
        <v>334</v>
      </c>
      <c r="AA137" s="51" t="str">
        <f>VLOOKUP(Table37[[#This Row],[MONTH]],TAGS!$W$67:$Y$81,2,FALSE)</f>
        <v>3RD QTR</v>
      </c>
      <c r="AB137" s="51" t="str">
        <f>VLOOKUP(Table37[[#This Row],[MONTH]],TAGS!$W$67:$Y$81,3,FALSE)</f>
        <v>2ND SEMESTER</v>
      </c>
      <c r="AC137" s="51">
        <f>VLOOKUP(Table37[[#This Row],[MONTH]],TAGS!$W$67:$Z$81,4,FALSE)</f>
        <v>2025</v>
      </c>
      <c r="AD137" s="47"/>
      <c r="AE137" s="47">
        <v>240</v>
      </c>
      <c r="AF137" s="51">
        <f>SUM(Table37[[#This Row],[MOOE (Php ''000)]:[CO (Php ''000)]])</f>
        <v>240</v>
      </c>
      <c r="AG137" s="71" t="b">
        <f>ISBLANK(Table37[[#This Row],[PRPOPOSAL/BEDS]])</f>
        <v>0</v>
      </c>
      <c r="AH137" s="71" t="b">
        <f>ISBLANK(Table37[[#This Row],[OU]])</f>
        <v>0</v>
      </c>
      <c r="AI137" s="71" t="b">
        <f>ISBLANK(Table37[[#This Row],[SPECIFIC COMMODITY]])</f>
        <v>0</v>
      </c>
      <c r="AJ137" s="71" t="b">
        <f>ISBLANK(Table37[[#This Row],[COMMODITY PREXC SUB-PROGRAM]])</f>
        <v>0</v>
      </c>
      <c r="AK137" s="71" t="b">
        <f>ISBLANK(Table37[[#This Row],[ACTIVITY]])</f>
        <v>0</v>
      </c>
      <c r="AL137" s="71" t="b">
        <f>ISBLANK(Table37[[#This Row],[TAG-GAD]])</f>
        <v>0</v>
      </c>
      <c r="AM137" s="71" t="b">
        <f>ISBLANK(Table37[[#This Row],[MONTH]])</f>
        <v>0</v>
      </c>
      <c r="AN137" s="71" t="b">
        <f>ISBLANK(Table37[[#This Row],[MOOE (Php ''000)]])</f>
        <v>1</v>
      </c>
      <c r="AO137" s="71" t="b">
        <f>ISBLANK(Table37[[#This Row],[CO (Php ''000)]])</f>
        <v>0</v>
      </c>
    </row>
    <row r="138" spans="1:41">
      <c r="A138" s="51" t="str">
        <f>VLOOKUP(Table37[[#This Row],[OU]],OU!$A$15:$B$34,2,FALSE)</f>
        <v>RFOs</v>
      </c>
      <c r="B138" s="47" t="s">
        <v>301</v>
      </c>
      <c r="C138" s="47" t="s">
        <v>574</v>
      </c>
      <c r="D138" s="47" t="s">
        <v>585</v>
      </c>
      <c r="E138" s="51" t="str">
        <f>VLOOKUP(Table37[[#This Row],[SPECIFIC COMMODITY]],TAGS!$W$48:$X$53,2,FALSE)</f>
        <v>Multi_commodity</v>
      </c>
      <c r="F138" s="51" t="str">
        <f>VLOOKUP(Table37[[#This Row],[PREXC SUB-PROGRAM]],Table5[],2,FALSE)</f>
        <v>TECHNICAL AND SUPPORT SERVICES PROGRAM</v>
      </c>
      <c r="G138" s="51" t="str">
        <f>VLOOKUP(Table37[[#This Row],[COMMODITY PREXC SUB-PROGRAM]],TAGS!$U$54:$V$76,2,FALSE)</f>
        <v>PSS</v>
      </c>
      <c r="H138" s="47" t="s">
        <v>586</v>
      </c>
      <c r="I138" s="51" t="str">
        <f>VLOOKUP(Table37[[#This Row],[PI LEVEL 3]],'PI LEVEL'!A:C,3,FALSE)</f>
        <v>Farm machinery and equipment procured for stations</v>
      </c>
      <c r="J138" s="51" t="str">
        <f>VLOOKUP(Table37[[#This Row],[PI LEVEL 3]],Table53729[[Performance Indicator Level 3]:[Performance Indicator Level 1]],2,FALSE)</f>
        <v>Farm machinery and equipment procured for stations</v>
      </c>
      <c r="K138" s="51" t="str">
        <f>VLOOKUP(Table37[[#This Row],[ACTIVITY]],TAGS!B:P,2,FALSE)</f>
        <v>Postharvest machinery and equipment procured for stations</v>
      </c>
      <c r="L138" s="47" t="s">
        <v>98</v>
      </c>
      <c r="M138" s="51" t="str">
        <f>VLOOKUP(Table37[[#This Row],[ACTIVITY]],TAGS!$B:$P,4,FALSE)</f>
        <v>DA Facilities Management</v>
      </c>
      <c r="N138" s="51" t="str">
        <f>VLOOKUP(Table37[[#This Row],[ACTIVITY]],TAGS!$B:$P,5,FALSE)</f>
        <v>Support to DA Stations</v>
      </c>
      <c r="O138" s="51" t="str">
        <f>VLOOKUP(Table37[[#This Row],[ACTIVITY]],TAGS!$B:$P,6,FALSE)</f>
        <v>Machinery &amp; Equipment for DA Stations</v>
      </c>
      <c r="P138" s="51" t="str">
        <f>VLOOKUP(Table37[[#This Row],[ACTIVITY]],TAGS!$B:$P,7,FALSE)</f>
        <v>NO</v>
      </c>
      <c r="Q138" s="51" t="str">
        <f>VLOOKUP(Table37[[#This Row],[ACTIVITY]],TAGS!$B:$P,8,FALSE)</f>
        <v>PAP</v>
      </c>
      <c r="R138" s="51" t="str">
        <f>VLOOKUP(Table37[[#This Row],[ACTIVITY]],TAGS!$B:$P,10,FALSE)</f>
        <v>PIP</v>
      </c>
      <c r="S138" s="51" t="str">
        <f>VLOOKUP(Table37[[#This Row],[ACTIVITY]],TAGS!$B:$P,11,FALSE)</f>
        <v>PICS</v>
      </c>
      <c r="T138" s="51" t="str">
        <f>VLOOKUP(Table37[[#This Row],[ACTIVITY]],TAGS!$B:$P,12,FALSE)</f>
        <v>Modernization</v>
      </c>
      <c r="U138" s="51" t="str">
        <f>VLOOKUP(Table37[[#This Row],[ACTIVITY]],TAGS!$B:$P,13,FALSE)</f>
        <v>8. Farm Mechanization and Farm Investments</v>
      </c>
      <c r="V138" s="51">
        <f>VLOOKUP(Table37[[#This Row],[ACTIVITY]],TAGS!$B:$P,14,FALSE)</f>
        <v>0</v>
      </c>
      <c r="W138" s="51" t="str">
        <f>VLOOKUP(Table37[[#This Row],[ACTIVITY]],TAGS!$B:$P,15,FALSE)</f>
        <v>DA Station</v>
      </c>
      <c r="X138" s="51" t="str">
        <f>VLOOKUP(Table37[[#This Row],[PI LEVEL 3]],'PI LEVEL'!$A:$G,7,FALSE)</f>
        <v>DA-Level Output</v>
      </c>
      <c r="Y138" s="47" t="s">
        <v>577</v>
      </c>
      <c r="Z138" s="47" t="s">
        <v>334</v>
      </c>
      <c r="AA138" s="51" t="str">
        <f>VLOOKUP(Table37[[#This Row],[MONTH]],TAGS!$W$67:$Y$81,2,FALSE)</f>
        <v>3RD QTR</v>
      </c>
      <c r="AB138" s="51" t="str">
        <f>VLOOKUP(Table37[[#This Row],[MONTH]],TAGS!$W$67:$Y$81,3,FALSE)</f>
        <v>2ND SEMESTER</v>
      </c>
      <c r="AC138" s="51">
        <f>VLOOKUP(Table37[[#This Row],[MONTH]],TAGS!$W$67:$Z$81,4,FALSE)</f>
        <v>2025</v>
      </c>
      <c r="AD138" s="47"/>
      <c r="AE138" s="47">
        <v>1200</v>
      </c>
      <c r="AF138" s="51">
        <f>SUM(Table37[[#This Row],[MOOE (Php ''000)]:[CO (Php ''000)]])</f>
        <v>1200</v>
      </c>
      <c r="AG138" s="71" t="b">
        <f>ISBLANK(Table37[[#This Row],[PRPOPOSAL/BEDS]])</f>
        <v>0</v>
      </c>
      <c r="AH138" s="71" t="b">
        <f>ISBLANK(Table37[[#This Row],[OU]])</f>
        <v>0</v>
      </c>
      <c r="AI138" s="71" t="b">
        <f>ISBLANK(Table37[[#This Row],[SPECIFIC COMMODITY]])</f>
        <v>0</v>
      </c>
      <c r="AJ138" s="71" t="b">
        <f>ISBLANK(Table37[[#This Row],[COMMODITY PREXC SUB-PROGRAM]])</f>
        <v>0</v>
      </c>
      <c r="AK138" s="71" t="b">
        <f>ISBLANK(Table37[[#This Row],[ACTIVITY]])</f>
        <v>0</v>
      </c>
      <c r="AL138" s="71" t="b">
        <f>ISBLANK(Table37[[#This Row],[TAG-GAD]])</f>
        <v>0</v>
      </c>
      <c r="AM138" s="71" t="b">
        <f>ISBLANK(Table37[[#This Row],[MONTH]])</f>
        <v>0</v>
      </c>
      <c r="AN138" s="71" t="b">
        <f>ISBLANK(Table37[[#This Row],[MOOE (Php ''000)]])</f>
        <v>1</v>
      </c>
      <c r="AO138" s="71" t="b">
        <f>ISBLANK(Table37[[#This Row],[CO (Php ''000)]])</f>
        <v>0</v>
      </c>
    </row>
    <row r="139" spans="1:41">
      <c r="A139" s="51" t="str">
        <f>VLOOKUP(Table37[[#This Row],[OU]],OU!$A$15:$B$34,2,FALSE)</f>
        <v>RFOs</v>
      </c>
      <c r="B139" s="47" t="s">
        <v>301</v>
      </c>
      <c r="C139" s="47" t="s">
        <v>574</v>
      </c>
      <c r="D139" s="47" t="s">
        <v>585</v>
      </c>
      <c r="E139" s="51" t="str">
        <f>VLOOKUP(Table37[[#This Row],[SPECIFIC COMMODITY]],TAGS!$W$48:$X$53,2,FALSE)</f>
        <v>Multi_commodity</v>
      </c>
      <c r="F139" s="51" t="str">
        <f>VLOOKUP(Table37[[#This Row],[PREXC SUB-PROGRAM]],Table5[],2,FALSE)</f>
        <v>TECHNICAL AND SUPPORT SERVICES PROGRAM</v>
      </c>
      <c r="G139" s="51" t="str">
        <f>VLOOKUP(Table37[[#This Row],[COMMODITY PREXC SUB-PROGRAM]],TAGS!$U$54:$V$76,2,FALSE)</f>
        <v>PSS</v>
      </c>
      <c r="H139" s="47" t="s">
        <v>586</v>
      </c>
      <c r="I139" s="51" t="str">
        <f>VLOOKUP(Table37[[#This Row],[PI LEVEL 3]],'PI LEVEL'!A:C,3,FALSE)</f>
        <v>Farm machinery and equipment procured for stations</v>
      </c>
      <c r="J139" s="51" t="str">
        <f>VLOOKUP(Table37[[#This Row],[PI LEVEL 3]],Table53729[[Performance Indicator Level 3]:[Performance Indicator Level 1]],2,FALSE)</f>
        <v>Farm machinery and equipment procured for stations</v>
      </c>
      <c r="K139" s="51" t="str">
        <f>VLOOKUP(Table37[[#This Row],[ACTIVITY]],TAGS!B:P,2,FALSE)</f>
        <v>Postharvest machinery and equipment procured for stations</v>
      </c>
      <c r="L139" s="47" t="s">
        <v>100</v>
      </c>
      <c r="M139" s="51" t="str">
        <f>VLOOKUP(Table37[[#This Row],[ACTIVITY]],TAGS!$B:$P,4,FALSE)</f>
        <v>DA Facilities Management</v>
      </c>
      <c r="N139" s="51" t="str">
        <f>VLOOKUP(Table37[[#This Row],[ACTIVITY]],TAGS!$B:$P,5,FALSE)</f>
        <v>Support to DA Stations</v>
      </c>
      <c r="O139" s="51" t="str">
        <f>VLOOKUP(Table37[[#This Row],[ACTIVITY]],TAGS!$B:$P,6,FALSE)</f>
        <v>Machinery &amp; Equipment for DA Stations</v>
      </c>
      <c r="P139" s="51" t="str">
        <f>VLOOKUP(Table37[[#This Row],[ACTIVITY]],TAGS!$B:$P,7,FALSE)</f>
        <v>NO</v>
      </c>
      <c r="Q139" s="51" t="str">
        <f>VLOOKUP(Table37[[#This Row],[ACTIVITY]],TAGS!$B:$P,8,FALSE)</f>
        <v>PAP</v>
      </c>
      <c r="R139" s="51" t="str">
        <f>VLOOKUP(Table37[[#This Row],[ACTIVITY]],TAGS!$B:$P,10,FALSE)</f>
        <v>PIP</v>
      </c>
      <c r="S139" s="51" t="str">
        <f>VLOOKUP(Table37[[#This Row],[ACTIVITY]],TAGS!$B:$P,11,FALSE)</f>
        <v>PICS</v>
      </c>
      <c r="T139" s="51" t="str">
        <f>VLOOKUP(Table37[[#This Row],[ACTIVITY]],TAGS!$B:$P,12,FALSE)</f>
        <v>Modernization</v>
      </c>
      <c r="U139" s="51" t="str">
        <f>VLOOKUP(Table37[[#This Row],[ACTIVITY]],TAGS!$B:$P,13,FALSE)</f>
        <v>8. Farm Mechanization and Farm Investments</v>
      </c>
      <c r="V139" s="51">
        <f>VLOOKUP(Table37[[#This Row],[ACTIVITY]],TAGS!$B:$P,14,FALSE)</f>
        <v>0</v>
      </c>
      <c r="W139" s="51" t="str">
        <f>VLOOKUP(Table37[[#This Row],[ACTIVITY]],TAGS!$B:$P,15,FALSE)</f>
        <v>DA Station</v>
      </c>
      <c r="X139" s="51" t="str">
        <f>VLOOKUP(Table37[[#This Row],[PI LEVEL 3]],'PI LEVEL'!$A:$G,7,FALSE)</f>
        <v>DA-Level Output</v>
      </c>
      <c r="Y139" s="47" t="s">
        <v>577</v>
      </c>
      <c r="Z139" s="47" t="s">
        <v>334</v>
      </c>
      <c r="AA139" s="51" t="str">
        <f>VLOOKUP(Table37[[#This Row],[MONTH]],TAGS!$W$67:$Y$81,2,FALSE)</f>
        <v>3RD QTR</v>
      </c>
      <c r="AB139" s="51" t="str">
        <f>VLOOKUP(Table37[[#This Row],[MONTH]],TAGS!$W$67:$Y$81,3,FALSE)</f>
        <v>2ND SEMESTER</v>
      </c>
      <c r="AC139" s="51">
        <f>VLOOKUP(Table37[[#This Row],[MONTH]],TAGS!$W$67:$Z$81,4,FALSE)</f>
        <v>2025</v>
      </c>
      <c r="AD139" s="47"/>
      <c r="AE139" s="47">
        <v>300</v>
      </c>
      <c r="AF139" s="51">
        <f>SUM(Table37[[#This Row],[MOOE (Php ''000)]:[CO (Php ''000)]])</f>
        <v>300</v>
      </c>
      <c r="AG139" s="71" t="b">
        <f>ISBLANK(Table37[[#This Row],[PRPOPOSAL/BEDS]])</f>
        <v>0</v>
      </c>
      <c r="AH139" s="71" t="b">
        <f>ISBLANK(Table37[[#This Row],[OU]])</f>
        <v>0</v>
      </c>
      <c r="AI139" s="71" t="b">
        <f>ISBLANK(Table37[[#This Row],[SPECIFIC COMMODITY]])</f>
        <v>0</v>
      </c>
      <c r="AJ139" s="71" t="b">
        <f>ISBLANK(Table37[[#This Row],[COMMODITY PREXC SUB-PROGRAM]])</f>
        <v>0</v>
      </c>
      <c r="AK139" s="71" t="b">
        <f>ISBLANK(Table37[[#This Row],[ACTIVITY]])</f>
        <v>0</v>
      </c>
      <c r="AL139" s="71" t="b">
        <f>ISBLANK(Table37[[#This Row],[TAG-GAD]])</f>
        <v>0</v>
      </c>
      <c r="AM139" s="71" t="b">
        <f>ISBLANK(Table37[[#This Row],[MONTH]])</f>
        <v>0</v>
      </c>
      <c r="AN139" s="71" t="b">
        <f>ISBLANK(Table37[[#This Row],[MOOE (Php ''000)]])</f>
        <v>1</v>
      </c>
      <c r="AO139" s="71" t="b">
        <f>ISBLANK(Table37[[#This Row],[CO (Php ''000)]])</f>
        <v>0</v>
      </c>
    </row>
    <row r="140" spans="1:41">
      <c r="A140" s="51" t="str">
        <f>VLOOKUP(Table37[[#This Row],[OU]],OU!$A$15:$B$34,2,FALSE)</f>
        <v>RFOs</v>
      </c>
      <c r="B140" s="47" t="s">
        <v>301</v>
      </c>
      <c r="C140" s="47" t="s">
        <v>574</v>
      </c>
      <c r="D140" s="47" t="s">
        <v>585</v>
      </c>
      <c r="E140" s="51" t="str">
        <f>VLOOKUP(Table37[[#This Row],[SPECIFIC COMMODITY]],TAGS!$W$48:$X$53,2,FALSE)</f>
        <v>Multi_commodity</v>
      </c>
      <c r="F140" s="51" t="str">
        <f>VLOOKUP(Table37[[#This Row],[PREXC SUB-PROGRAM]],Table5[],2,FALSE)</f>
        <v>TECHNICAL AND SUPPORT SERVICES PROGRAM</v>
      </c>
      <c r="G140" s="51" t="str">
        <f>VLOOKUP(Table37[[#This Row],[COMMODITY PREXC SUB-PROGRAM]],TAGS!$U$54:$V$76,2,FALSE)</f>
        <v>PSS</v>
      </c>
      <c r="H140" s="47" t="s">
        <v>586</v>
      </c>
      <c r="I140" s="51" t="str">
        <f>VLOOKUP(Table37[[#This Row],[PI LEVEL 3]],'PI LEVEL'!A:C,3,FALSE)</f>
        <v>Farm machinery and equipment procured for stations</v>
      </c>
      <c r="J140" s="51" t="str">
        <f>VLOOKUP(Table37[[#This Row],[PI LEVEL 3]],Table53729[[Performance Indicator Level 3]:[Performance Indicator Level 1]],2,FALSE)</f>
        <v>Farm machinery and equipment procured for stations</v>
      </c>
      <c r="K140" s="51" t="str">
        <f>VLOOKUP(Table37[[#This Row],[ACTIVITY]],TAGS!B:P,2,FALSE)</f>
        <v>Postharvest machinery and equipment procured for stations</v>
      </c>
      <c r="L140" s="47" t="s">
        <v>102</v>
      </c>
      <c r="M140" s="51" t="str">
        <f>VLOOKUP(Table37[[#This Row],[ACTIVITY]],TAGS!$B:$P,4,FALSE)</f>
        <v>DA Facilities Management</v>
      </c>
      <c r="N140" s="51" t="str">
        <f>VLOOKUP(Table37[[#This Row],[ACTIVITY]],TAGS!$B:$P,5,FALSE)</f>
        <v>Support to DA Stations</v>
      </c>
      <c r="O140" s="51" t="str">
        <f>VLOOKUP(Table37[[#This Row],[ACTIVITY]],TAGS!$B:$P,6,FALSE)</f>
        <v>Machinery &amp; Equipment for DA Stations</v>
      </c>
      <c r="P140" s="51" t="str">
        <f>VLOOKUP(Table37[[#This Row],[ACTIVITY]],TAGS!$B:$P,7,FALSE)</f>
        <v>NO</v>
      </c>
      <c r="Q140" s="51" t="str">
        <f>VLOOKUP(Table37[[#This Row],[ACTIVITY]],TAGS!$B:$P,8,FALSE)</f>
        <v>PAP</v>
      </c>
      <c r="R140" s="51" t="str">
        <f>VLOOKUP(Table37[[#This Row],[ACTIVITY]],TAGS!$B:$P,10,FALSE)</f>
        <v>PIP</v>
      </c>
      <c r="S140" s="51" t="str">
        <f>VLOOKUP(Table37[[#This Row],[ACTIVITY]],TAGS!$B:$P,11,FALSE)</f>
        <v>PICS</v>
      </c>
      <c r="T140" s="51" t="str">
        <f>VLOOKUP(Table37[[#This Row],[ACTIVITY]],TAGS!$B:$P,12,FALSE)</f>
        <v>Modernization</v>
      </c>
      <c r="U140" s="51" t="str">
        <f>VLOOKUP(Table37[[#This Row],[ACTIVITY]],TAGS!$B:$P,13,FALSE)</f>
        <v>8. Farm Mechanization and Farm Investments</v>
      </c>
      <c r="V140" s="51">
        <f>VLOOKUP(Table37[[#This Row],[ACTIVITY]],TAGS!$B:$P,14,FALSE)</f>
        <v>0</v>
      </c>
      <c r="W140" s="51" t="str">
        <f>VLOOKUP(Table37[[#This Row],[ACTIVITY]],TAGS!$B:$P,15,FALSE)</f>
        <v>DA Station</v>
      </c>
      <c r="X140" s="51" t="str">
        <f>VLOOKUP(Table37[[#This Row],[PI LEVEL 3]],'PI LEVEL'!$A:$G,7,FALSE)</f>
        <v>DA-Level Output</v>
      </c>
      <c r="Y140" s="47" t="s">
        <v>577</v>
      </c>
      <c r="Z140" s="47" t="s">
        <v>335</v>
      </c>
      <c r="AA140" s="51" t="str">
        <f>VLOOKUP(Table37[[#This Row],[MONTH]],TAGS!$W$67:$Y$81,2,FALSE)</f>
        <v>3RD QTR</v>
      </c>
      <c r="AB140" s="51" t="str">
        <f>VLOOKUP(Table37[[#This Row],[MONTH]],TAGS!$W$67:$Y$81,3,FALSE)</f>
        <v>2ND SEMESTER</v>
      </c>
      <c r="AC140" s="51">
        <f>VLOOKUP(Table37[[#This Row],[MONTH]],TAGS!$W$67:$Z$81,4,FALSE)</f>
        <v>2025</v>
      </c>
      <c r="AD140" s="47"/>
      <c r="AE140" s="47">
        <v>2100</v>
      </c>
      <c r="AF140" s="51">
        <f>SUM(Table37[[#This Row],[MOOE (Php ''000)]:[CO (Php ''000)]])</f>
        <v>2100</v>
      </c>
      <c r="AG140" s="71" t="b">
        <f>ISBLANK(Table37[[#This Row],[PRPOPOSAL/BEDS]])</f>
        <v>0</v>
      </c>
      <c r="AH140" s="71" t="b">
        <f>ISBLANK(Table37[[#This Row],[OU]])</f>
        <v>0</v>
      </c>
      <c r="AI140" s="71" t="b">
        <f>ISBLANK(Table37[[#This Row],[SPECIFIC COMMODITY]])</f>
        <v>0</v>
      </c>
      <c r="AJ140" s="71" t="b">
        <f>ISBLANK(Table37[[#This Row],[COMMODITY PREXC SUB-PROGRAM]])</f>
        <v>0</v>
      </c>
      <c r="AK140" s="71" t="b">
        <f>ISBLANK(Table37[[#This Row],[ACTIVITY]])</f>
        <v>0</v>
      </c>
      <c r="AL140" s="71" t="b">
        <f>ISBLANK(Table37[[#This Row],[TAG-GAD]])</f>
        <v>0</v>
      </c>
      <c r="AM140" s="71" t="b">
        <f>ISBLANK(Table37[[#This Row],[MONTH]])</f>
        <v>0</v>
      </c>
      <c r="AN140" s="71" t="b">
        <f>ISBLANK(Table37[[#This Row],[MOOE (Php ''000)]])</f>
        <v>1</v>
      </c>
      <c r="AO140" s="71" t="b">
        <f>ISBLANK(Table37[[#This Row],[CO (Php ''000)]])</f>
        <v>0</v>
      </c>
    </row>
    <row r="141" spans="1:41">
      <c r="A141" s="51" t="str">
        <f>VLOOKUP(Table37[[#This Row],[OU]],OU!$A$15:$B$34,2,FALSE)</f>
        <v>RFOs</v>
      </c>
      <c r="B141" s="47" t="s">
        <v>301</v>
      </c>
      <c r="C141" s="47" t="s">
        <v>574</v>
      </c>
      <c r="D141" s="47" t="s">
        <v>585</v>
      </c>
      <c r="E141" s="51" t="str">
        <f>VLOOKUP(Table37[[#This Row],[SPECIFIC COMMODITY]],TAGS!$W$48:$X$53,2,FALSE)</f>
        <v>Multi_commodity</v>
      </c>
      <c r="F141" s="51" t="str">
        <f>VLOOKUP(Table37[[#This Row],[PREXC SUB-PROGRAM]],Table5[],2,FALSE)</f>
        <v>TECHNICAL AND SUPPORT SERVICES PROGRAM</v>
      </c>
      <c r="G141" s="51" t="str">
        <f>VLOOKUP(Table37[[#This Row],[COMMODITY PREXC SUB-PROGRAM]],TAGS!$U$54:$V$76,2,FALSE)</f>
        <v>PSS</v>
      </c>
      <c r="H141" s="47" t="s">
        <v>586</v>
      </c>
      <c r="I141" s="51" t="str">
        <f>VLOOKUP(Table37[[#This Row],[PI LEVEL 3]],'PI LEVEL'!A:C,3,FALSE)</f>
        <v>Farm machinery and equipment procured for stations</v>
      </c>
      <c r="J141" s="51" t="str">
        <f>VLOOKUP(Table37[[#This Row],[PI LEVEL 3]],Table53729[[Performance Indicator Level 3]:[Performance Indicator Level 1]],2,FALSE)</f>
        <v>Farm machinery and equipment procured for stations</v>
      </c>
      <c r="K141" s="51" t="str">
        <f>VLOOKUP(Table37[[#This Row],[ACTIVITY]],TAGS!B:P,2,FALSE)</f>
        <v>Production machinery and equipment procured for stations</v>
      </c>
      <c r="L141" s="47" t="s">
        <v>104</v>
      </c>
      <c r="M141" s="51" t="str">
        <f>VLOOKUP(Table37[[#This Row],[ACTIVITY]],TAGS!$B:$P,4,FALSE)</f>
        <v>DA Facilities Management</v>
      </c>
      <c r="N141" s="51" t="str">
        <f>VLOOKUP(Table37[[#This Row],[ACTIVITY]],TAGS!$B:$P,5,FALSE)</f>
        <v>Support to DA Stations</v>
      </c>
      <c r="O141" s="51" t="str">
        <f>VLOOKUP(Table37[[#This Row],[ACTIVITY]],TAGS!$B:$P,6,FALSE)</f>
        <v>Machinery &amp; Equipment for DA Stations</v>
      </c>
      <c r="P141" s="51" t="str">
        <f>VLOOKUP(Table37[[#This Row],[ACTIVITY]],TAGS!$B:$P,7,FALSE)</f>
        <v>NO</v>
      </c>
      <c r="Q141" s="51" t="str">
        <f>VLOOKUP(Table37[[#This Row],[ACTIVITY]],TAGS!$B:$P,8,FALSE)</f>
        <v>PAP</v>
      </c>
      <c r="R141" s="51" t="str">
        <f>VLOOKUP(Table37[[#This Row],[ACTIVITY]],TAGS!$B:$P,10,FALSE)</f>
        <v>PIP</v>
      </c>
      <c r="S141" s="51" t="str">
        <f>VLOOKUP(Table37[[#This Row],[ACTIVITY]],TAGS!$B:$P,11,FALSE)</f>
        <v>PICS</v>
      </c>
      <c r="T141" s="51" t="str">
        <f>VLOOKUP(Table37[[#This Row],[ACTIVITY]],TAGS!$B:$P,12,FALSE)</f>
        <v>Modernization</v>
      </c>
      <c r="U141" s="51" t="str">
        <f>VLOOKUP(Table37[[#This Row],[ACTIVITY]],TAGS!$B:$P,13,FALSE)</f>
        <v>8. Farm Mechanization and Farm Investments</v>
      </c>
      <c r="V141" s="51">
        <f>VLOOKUP(Table37[[#This Row],[ACTIVITY]],TAGS!$B:$P,14,FALSE)</f>
        <v>0</v>
      </c>
      <c r="W141" s="51" t="str">
        <f>VLOOKUP(Table37[[#This Row],[ACTIVITY]],TAGS!$B:$P,15,FALSE)</f>
        <v>DA Station</v>
      </c>
      <c r="X141" s="51" t="str">
        <f>VLOOKUP(Table37[[#This Row],[PI LEVEL 3]],'PI LEVEL'!$A:$G,7,FALSE)</f>
        <v>DA-Level Output</v>
      </c>
      <c r="Y141" s="47" t="s">
        <v>577</v>
      </c>
      <c r="Z141" s="47" t="s">
        <v>336</v>
      </c>
      <c r="AA141" s="51" t="str">
        <f>VLOOKUP(Table37[[#This Row],[MONTH]],TAGS!$W$67:$Y$81,2,FALSE)</f>
        <v>4TH QTR</v>
      </c>
      <c r="AB141" s="51" t="str">
        <f>VLOOKUP(Table37[[#This Row],[MONTH]],TAGS!$W$67:$Y$81,3,FALSE)</f>
        <v>2ND SEMESTER</v>
      </c>
      <c r="AC141" s="51">
        <f>VLOOKUP(Table37[[#This Row],[MONTH]],TAGS!$W$67:$Z$81,4,FALSE)</f>
        <v>2025</v>
      </c>
      <c r="AD141" s="47"/>
      <c r="AE141" s="47">
        <v>3100</v>
      </c>
      <c r="AF141" s="51">
        <f>SUM(Table37[[#This Row],[MOOE (Php ''000)]:[CO (Php ''000)]])</f>
        <v>3100</v>
      </c>
      <c r="AG141" s="71" t="b">
        <f>ISBLANK(Table37[[#This Row],[PRPOPOSAL/BEDS]])</f>
        <v>0</v>
      </c>
      <c r="AH141" s="71" t="b">
        <f>ISBLANK(Table37[[#This Row],[OU]])</f>
        <v>0</v>
      </c>
      <c r="AI141" s="71" t="b">
        <f>ISBLANK(Table37[[#This Row],[SPECIFIC COMMODITY]])</f>
        <v>0</v>
      </c>
      <c r="AJ141" s="71" t="b">
        <f>ISBLANK(Table37[[#This Row],[COMMODITY PREXC SUB-PROGRAM]])</f>
        <v>0</v>
      </c>
      <c r="AK141" s="71" t="b">
        <f>ISBLANK(Table37[[#This Row],[ACTIVITY]])</f>
        <v>0</v>
      </c>
      <c r="AL141" s="71" t="b">
        <f>ISBLANK(Table37[[#This Row],[TAG-GAD]])</f>
        <v>0</v>
      </c>
      <c r="AM141" s="71" t="b">
        <f>ISBLANK(Table37[[#This Row],[MONTH]])</f>
        <v>0</v>
      </c>
      <c r="AN141" s="71" t="b">
        <f>ISBLANK(Table37[[#This Row],[MOOE (Php ''000)]])</f>
        <v>1</v>
      </c>
      <c r="AO141" s="71" t="b">
        <f>ISBLANK(Table37[[#This Row],[CO (Php ''000)]])</f>
        <v>0</v>
      </c>
    </row>
    <row r="142" spans="1:41">
      <c r="A142" s="51" t="str">
        <f>VLOOKUP(Table37[[#This Row],[OU]],OU!$A$15:$B$34,2,FALSE)</f>
        <v>RFOs</v>
      </c>
      <c r="B142" s="47" t="s">
        <v>301</v>
      </c>
      <c r="C142" s="47" t="s">
        <v>574</v>
      </c>
      <c r="D142" s="47" t="s">
        <v>578</v>
      </c>
      <c r="E142" s="51" t="str">
        <f>VLOOKUP(Table37[[#This Row],[SPECIFIC COMMODITY]],TAGS!$W$48:$X$53,2,FALSE)</f>
        <v>Corn</v>
      </c>
      <c r="F142" s="51" t="str">
        <f>VLOOKUP(Table37[[#This Row],[PREXC SUB-PROGRAM]],Table5[],2,FALSE)</f>
        <v>TECHNICAL AND SUPPORT SERVICES PROGRAM</v>
      </c>
      <c r="G142" s="51" t="str">
        <f>VLOOKUP(Table37[[#This Row],[COMMODITY PREXC SUB-PROGRAM]],TAGS!$U$54:$V$76,2,FALSE)</f>
        <v>ESETS</v>
      </c>
      <c r="H142" s="47" t="s">
        <v>587</v>
      </c>
      <c r="I142" s="51" t="str">
        <f>VLOOKUP(Table37[[#This Row],[PI LEVEL 3]],'PI LEVEL'!A:C,3,FALSE)</f>
        <v>Technology demonstrations established/maintained</v>
      </c>
      <c r="J142" s="51" t="str">
        <f>VLOOKUP(Table37[[#This Row],[PI LEVEL 3]],Table53729[[Performance Indicator Level 3]:[Performance Indicator Level 1]],2,FALSE)</f>
        <v>Model Farms established</v>
      </c>
      <c r="K142" s="51" t="str">
        <f>VLOOKUP(Table37[[#This Row],[ACTIVITY]],TAGS!B:P,2,FALSE)</f>
        <v>Model Farms established</v>
      </c>
      <c r="L142" s="47" t="s">
        <v>128</v>
      </c>
      <c r="M142" s="51" t="str">
        <f>VLOOKUP(Table37[[#This Row],[ACTIVITY]],TAGS!$B:$P,4,FALSE)</f>
        <v>Model Farm establishment</v>
      </c>
      <c r="N142" s="51" t="str">
        <f>VLOOKUP(Table37[[#This Row],[ACTIVITY]],TAGS!$B:$P,5,FALSE)</f>
        <v>Model farm</v>
      </c>
      <c r="O142" s="51" t="str">
        <f>VLOOKUP(Table37[[#This Row],[ACTIVITY]],TAGS!$B:$P,6,FALSE)</f>
        <v>Sustainable Land Resources Management Approach Site Establishment</v>
      </c>
      <c r="P142" s="51" t="str">
        <f>VLOOKUP(Table37[[#This Row],[ACTIVITY]],TAGS!$B:$P,7,FALSE)</f>
        <v>YES</v>
      </c>
      <c r="Q142" s="51" t="str">
        <f>VLOOKUP(Table37[[#This Row],[ACTIVITY]],TAGS!$B:$P,8,FALSE)</f>
        <v>PAP</v>
      </c>
      <c r="R142" s="51" t="str">
        <f>VLOOKUP(Table37[[#This Row],[ACTIVITY]],TAGS!$B:$P,10,FALSE)</f>
        <v>PIP</v>
      </c>
      <c r="S142" s="51" t="str">
        <f>VLOOKUP(Table37[[#This Row],[ACTIVITY]],TAGS!$B:$P,11,FALSE)</f>
        <v>PICS</v>
      </c>
      <c r="T142" s="51" t="str">
        <f>VLOOKUP(Table37[[#This Row],[ACTIVITY]],TAGS!$B:$P,12,FALSE)</f>
        <v>Consolidation</v>
      </c>
      <c r="U142" s="51" t="str">
        <f>VLOOKUP(Table37[[#This Row],[ACTIVITY]],TAGS!$B:$P,13,FALSE)</f>
        <v>1. Bayanihan Agri Cluster</v>
      </c>
      <c r="V142" s="51" t="str">
        <f>VLOOKUP(Table37[[#This Row],[ACTIVITY]],TAGS!$B:$P,14,FALSE)</f>
        <v>EXPAND AND IMPROVE AVAILABLE AGRI-FISHERY AREAS FOR INCREASED PRODUCTION</v>
      </c>
      <c r="W142" s="51" t="str">
        <f>VLOOKUP(Table37[[#This Row],[ACTIVITY]],TAGS!$B:$P,15,FALSE)</f>
        <v>Farm Inputs</v>
      </c>
      <c r="X142" s="51" t="str">
        <f>VLOOKUP(Table37[[#This Row],[PI LEVEL 3]],'PI LEVEL'!$A:$G,7,FALSE)</f>
        <v>DA-Level Output</v>
      </c>
      <c r="Y142" s="47" t="s">
        <v>577</v>
      </c>
      <c r="Z142" s="47" t="s">
        <v>333</v>
      </c>
      <c r="AA142" s="51" t="str">
        <f>VLOOKUP(Table37[[#This Row],[MONTH]],TAGS!$W$67:$Y$81,2,FALSE)</f>
        <v>3RD QTR</v>
      </c>
      <c r="AB142" s="51" t="str">
        <f>VLOOKUP(Table37[[#This Row],[MONTH]],TAGS!$W$67:$Y$81,3,FALSE)</f>
        <v>2ND SEMESTER</v>
      </c>
      <c r="AC142" s="51">
        <f>VLOOKUP(Table37[[#This Row],[MONTH]],TAGS!$W$67:$Z$81,4,FALSE)</f>
        <v>2025</v>
      </c>
      <c r="AD142" s="47">
        <v>3000</v>
      </c>
      <c r="AE142" s="47"/>
      <c r="AF142" s="51">
        <f>SUM(Table37[[#This Row],[MOOE (Php ''000)]:[CO (Php ''000)]])</f>
        <v>3000</v>
      </c>
      <c r="AG142" s="71" t="b">
        <f>ISBLANK(Table37[[#This Row],[PRPOPOSAL/BEDS]])</f>
        <v>0</v>
      </c>
      <c r="AH142" s="71" t="b">
        <f>ISBLANK(Table37[[#This Row],[OU]])</f>
        <v>0</v>
      </c>
      <c r="AI142" s="71" t="b">
        <f>ISBLANK(Table37[[#This Row],[SPECIFIC COMMODITY]])</f>
        <v>0</v>
      </c>
      <c r="AJ142" s="71" t="b">
        <f>ISBLANK(Table37[[#This Row],[COMMODITY PREXC SUB-PROGRAM]])</f>
        <v>0</v>
      </c>
      <c r="AK142" s="71" t="b">
        <f>ISBLANK(Table37[[#This Row],[ACTIVITY]])</f>
        <v>0</v>
      </c>
      <c r="AL142" s="71" t="b">
        <f>ISBLANK(Table37[[#This Row],[TAG-GAD]])</f>
        <v>0</v>
      </c>
      <c r="AM142" s="71" t="b">
        <f>ISBLANK(Table37[[#This Row],[MONTH]])</f>
        <v>0</v>
      </c>
      <c r="AN142" s="71" t="b">
        <f>ISBLANK(Table37[[#This Row],[MOOE (Php ''000)]])</f>
        <v>0</v>
      </c>
      <c r="AO142" s="71" t="b">
        <f>ISBLANK(Table37[[#This Row],[CO (Php ''000)]])</f>
        <v>1</v>
      </c>
    </row>
    <row r="143" spans="1:41">
      <c r="A143" s="51" t="str">
        <f>VLOOKUP(Table37[[#This Row],[OU]],OU!$A$15:$B$34,2,FALSE)</f>
        <v>RFOs</v>
      </c>
      <c r="B143" s="47" t="s">
        <v>301</v>
      </c>
      <c r="C143" s="47" t="s">
        <v>574</v>
      </c>
      <c r="D143" s="47" t="s">
        <v>578</v>
      </c>
      <c r="E143" s="51" t="str">
        <f>VLOOKUP(Table37[[#This Row],[SPECIFIC COMMODITY]],TAGS!$W$48:$X$53,2,FALSE)</f>
        <v>Corn</v>
      </c>
      <c r="F143" s="51" t="str">
        <f>VLOOKUP(Table37[[#This Row],[PREXC SUB-PROGRAM]],Table5[],2,FALSE)</f>
        <v>TECHNICAL AND SUPPORT SERVICES PROGRAM</v>
      </c>
      <c r="G143" s="51" t="str">
        <f>VLOOKUP(Table37[[#This Row],[COMMODITY PREXC SUB-PROGRAM]],TAGS!$U$54:$V$76,2,FALSE)</f>
        <v>ESETS</v>
      </c>
      <c r="H143" s="47" t="s">
        <v>587</v>
      </c>
      <c r="I143" s="51" t="str">
        <f>VLOOKUP(Table37[[#This Row],[PI LEVEL 3]],'PI LEVEL'!A:C,3,FALSE)</f>
        <v>Technology demonstrations established/maintained</v>
      </c>
      <c r="J143" s="51" t="str">
        <f>VLOOKUP(Table37[[#This Row],[PI LEVEL 3]],Table53729[[Performance Indicator Level 3]:[Performance Indicator Level 1]],2,FALSE)</f>
        <v>Techno demo established</v>
      </c>
      <c r="K143" s="51" t="str">
        <f>VLOOKUP(Table37[[#This Row],[ACTIVITY]],TAGS!B:P,2,FALSE)</f>
        <v>Techno demo established</v>
      </c>
      <c r="L143" s="47" t="s">
        <v>133</v>
      </c>
      <c r="M143" s="51" t="str">
        <f>VLOOKUP(Table37[[#This Row],[ACTIVITY]],TAGS!$B:$P,4,FALSE)</f>
        <v>Techno Demo establishment</v>
      </c>
      <c r="N143" s="51" t="str">
        <f>VLOOKUP(Table37[[#This Row],[ACTIVITY]],TAGS!$B:$P,5,FALSE)</f>
        <v>Techno Demo</v>
      </c>
      <c r="O143" s="51" t="str">
        <f>VLOOKUP(Table37[[#This Row],[ACTIVITY]],TAGS!$B:$P,6,FALSE)</f>
        <v>Corn Derby</v>
      </c>
      <c r="P143" s="51" t="str">
        <f>VLOOKUP(Table37[[#This Row],[ACTIVITY]],TAGS!$B:$P,7,FALSE)</f>
        <v>NO</v>
      </c>
      <c r="Q143" s="51" t="str">
        <f>VLOOKUP(Table37[[#This Row],[ACTIVITY]],TAGS!$B:$P,8,FALSE)</f>
        <v>PAP</v>
      </c>
      <c r="R143" s="51" t="str">
        <f>VLOOKUP(Table37[[#This Row],[ACTIVITY]],TAGS!$B:$P,10,FALSE)</f>
        <v>PIP</v>
      </c>
      <c r="S143" s="51" t="str">
        <f>VLOOKUP(Table37[[#This Row],[ACTIVITY]],TAGS!$B:$P,11,FALSE)</f>
        <v>PICS</v>
      </c>
      <c r="T143" s="51" t="str">
        <f>VLOOKUP(Table37[[#This Row],[ACTIVITY]],TAGS!$B:$P,12,FALSE)</f>
        <v>Consolidation</v>
      </c>
      <c r="U143" s="51" t="str">
        <f>VLOOKUP(Table37[[#This Row],[ACTIVITY]],TAGS!$B:$P,13,FALSE)</f>
        <v>1. Bayanihan Agri Cluster</v>
      </c>
      <c r="V143" s="51" t="str">
        <f>VLOOKUP(Table37[[#This Row],[ACTIVITY]],TAGS!$B:$P,14,FALSE)</f>
        <v>EXPAND AND IMPROVE AVAILABLE AGRI-FISHERY AREAS FOR INCREASED PRODUCTION</v>
      </c>
      <c r="W143" s="51" t="str">
        <f>VLOOKUP(Table37[[#This Row],[ACTIVITY]],TAGS!$B:$P,15,FALSE)</f>
        <v>Other Intervetions</v>
      </c>
      <c r="X143" s="51" t="str">
        <f>VLOOKUP(Table37[[#This Row],[PI LEVEL 3]],'PI LEVEL'!$A:$G,7,FALSE)</f>
        <v>DA-Level Output</v>
      </c>
      <c r="Y143" s="47" t="s">
        <v>577</v>
      </c>
      <c r="Z143" s="47" t="s">
        <v>333</v>
      </c>
      <c r="AA143" s="51" t="str">
        <f>VLOOKUP(Table37[[#This Row],[MONTH]],TAGS!$W$67:$Y$81,2,FALSE)</f>
        <v>3RD QTR</v>
      </c>
      <c r="AB143" s="51" t="str">
        <f>VLOOKUP(Table37[[#This Row],[MONTH]],TAGS!$W$67:$Y$81,3,FALSE)</f>
        <v>2ND SEMESTER</v>
      </c>
      <c r="AC143" s="51">
        <f>VLOOKUP(Table37[[#This Row],[MONTH]],TAGS!$W$67:$Z$81,4,FALSE)</f>
        <v>2025</v>
      </c>
      <c r="AD143" s="47">
        <v>1000</v>
      </c>
      <c r="AE143" s="47"/>
      <c r="AF143" s="51">
        <f>SUM(Table37[[#This Row],[MOOE (Php ''000)]:[CO (Php ''000)]])</f>
        <v>1000</v>
      </c>
      <c r="AG143" s="71" t="b">
        <f>ISBLANK(Table37[[#This Row],[PRPOPOSAL/BEDS]])</f>
        <v>0</v>
      </c>
      <c r="AH143" s="71" t="b">
        <f>ISBLANK(Table37[[#This Row],[OU]])</f>
        <v>0</v>
      </c>
      <c r="AI143" s="71" t="b">
        <f>ISBLANK(Table37[[#This Row],[SPECIFIC COMMODITY]])</f>
        <v>0</v>
      </c>
      <c r="AJ143" s="71" t="b">
        <f>ISBLANK(Table37[[#This Row],[COMMODITY PREXC SUB-PROGRAM]])</f>
        <v>0</v>
      </c>
      <c r="AK143" s="71" t="b">
        <f>ISBLANK(Table37[[#This Row],[ACTIVITY]])</f>
        <v>0</v>
      </c>
      <c r="AL143" s="71" t="b">
        <f>ISBLANK(Table37[[#This Row],[TAG-GAD]])</f>
        <v>0</v>
      </c>
      <c r="AM143" s="71" t="b">
        <f>ISBLANK(Table37[[#This Row],[MONTH]])</f>
        <v>0</v>
      </c>
      <c r="AN143" s="71" t="b">
        <f>ISBLANK(Table37[[#This Row],[MOOE (Php ''000)]])</f>
        <v>0</v>
      </c>
      <c r="AO143" s="71" t="b">
        <f>ISBLANK(Table37[[#This Row],[CO (Php ''000)]])</f>
        <v>1</v>
      </c>
    </row>
    <row r="144" spans="1:41">
      <c r="A144" s="51" t="str">
        <f>VLOOKUP(Table37[[#This Row],[OU]],OU!$A$15:$B$34,2,FALSE)</f>
        <v>RFOs</v>
      </c>
      <c r="B144" s="47" t="s">
        <v>301</v>
      </c>
      <c r="C144" s="47" t="s">
        <v>574</v>
      </c>
      <c r="D144" s="47" t="s">
        <v>578</v>
      </c>
      <c r="E144" s="51" t="str">
        <f>VLOOKUP(Table37[[#This Row],[SPECIFIC COMMODITY]],TAGS!$W$48:$X$53,2,FALSE)</f>
        <v>Corn</v>
      </c>
      <c r="F144" s="51" t="str">
        <f>VLOOKUP(Table37[[#This Row],[PREXC SUB-PROGRAM]],Table5[],2,FALSE)</f>
        <v>TECHNICAL AND SUPPORT SERVICES PROGRAM</v>
      </c>
      <c r="G144" s="51" t="str">
        <f>VLOOKUP(Table37[[#This Row],[COMMODITY PREXC SUB-PROGRAM]],TAGS!$U$54:$V$76,2,FALSE)</f>
        <v>ESETS</v>
      </c>
      <c r="H144" s="47" t="s">
        <v>587</v>
      </c>
      <c r="I144" s="51" t="str">
        <f>VLOOKUP(Table37[[#This Row],[PI LEVEL 3]],'PI LEVEL'!A:C,3,FALSE)</f>
        <v>Training conducted</v>
      </c>
      <c r="J144" s="51" t="str">
        <f>VLOOKUP(Table37[[#This Row],[PI LEVEL 3]],Table53729[[Performance Indicator Level 3]:[Performance Indicator Level 1]],2,FALSE)</f>
        <v>Other training conducted</v>
      </c>
      <c r="K144" s="51" t="str">
        <f>VLOOKUP(Table37[[#This Row],[ACTIVITY]],TAGS!B:P,2,FALSE)</f>
        <v>Other training conducted_Farmers/Fisherfolk/Other External Participants</v>
      </c>
      <c r="L144" s="47" t="s">
        <v>135</v>
      </c>
      <c r="M144" s="51" t="str">
        <f>VLOOKUP(Table37[[#This Row],[ACTIVITY]],TAGS!$B:$P,4,FALSE)</f>
        <v>Trainings</v>
      </c>
      <c r="N144" s="51" t="str">
        <f>VLOOKUP(Table37[[#This Row],[ACTIVITY]],TAGS!$B:$P,5,FALSE)</f>
        <v>Trainings</v>
      </c>
      <c r="O144" s="51" t="str">
        <f>VLOOKUP(Table37[[#This Row],[ACTIVITY]],TAGS!$B:$P,6,FALSE)</f>
        <v>Cluster Development training</v>
      </c>
      <c r="P144" s="51" t="str">
        <f>VLOOKUP(Table37[[#This Row],[ACTIVITY]],TAGS!$B:$P,7,FALSE)</f>
        <v>NO</v>
      </c>
      <c r="Q144" s="51" t="str">
        <f>VLOOKUP(Table37[[#This Row],[ACTIVITY]],TAGS!$B:$P,8,FALSE)</f>
        <v>PAP</v>
      </c>
      <c r="R144" s="51" t="str">
        <f>VLOOKUP(Table37[[#This Row],[ACTIVITY]],TAGS!$B:$P,10,FALSE)</f>
        <v>PIP</v>
      </c>
      <c r="S144" s="51" t="str">
        <f>VLOOKUP(Table37[[#This Row],[ACTIVITY]],TAGS!$B:$P,11,FALSE)</f>
        <v>PICS</v>
      </c>
      <c r="T144" s="51" t="str">
        <f>VLOOKUP(Table37[[#This Row],[ACTIVITY]],TAGS!$B:$P,12,FALSE)</f>
        <v>Consolidation</v>
      </c>
      <c r="U144" s="51" t="str">
        <f>VLOOKUP(Table37[[#This Row],[ACTIVITY]],TAGS!$B:$P,13,FALSE)</f>
        <v>1. Bayanihan Agri Cluster</v>
      </c>
      <c r="V144" s="51">
        <f>VLOOKUP(Table37[[#This Row],[ACTIVITY]],TAGS!$B:$P,14,FALSE)</f>
        <v>0</v>
      </c>
      <c r="W144" s="51" t="str">
        <f>VLOOKUP(Table37[[#This Row],[ACTIVITY]],TAGS!$B:$P,15,FALSE)</f>
        <v>Capacity Building</v>
      </c>
      <c r="X144" s="51" t="str">
        <f>VLOOKUP(Table37[[#This Row],[PI LEVEL 3]],'PI LEVEL'!$A:$G,7,FALSE)</f>
        <v>PREXC/DA-Level Output</v>
      </c>
      <c r="Y144" s="47" t="s">
        <v>577</v>
      </c>
      <c r="Z144" s="47" t="s">
        <v>331</v>
      </c>
      <c r="AA144" s="51" t="str">
        <f>VLOOKUP(Table37[[#This Row],[MONTH]],TAGS!$W$67:$Y$81,2,FALSE)</f>
        <v>2ND QTR</v>
      </c>
      <c r="AB144" s="51" t="str">
        <f>VLOOKUP(Table37[[#This Row],[MONTH]],TAGS!$W$67:$Y$81,3,FALSE)</f>
        <v>1ST SEMESTER</v>
      </c>
      <c r="AC144" s="51">
        <f>VLOOKUP(Table37[[#This Row],[MONTH]],TAGS!$W$67:$Z$81,4,FALSE)</f>
        <v>2025</v>
      </c>
      <c r="AD144" s="47">
        <v>210</v>
      </c>
      <c r="AE144" s="47"/>
      <c r="AF144" s="51">
        <f>SUM(Table37[[#This Row],[MOOE (Php ''000)]:[CO (Php ''000)]])</f>
        <v>210</v>
      </c>
      <c r="AG144" s="71" t="b">
        <f>ISBLANK(Table37[[#This Row],[PRPOPOSAL/BEDS]])</f>
        <v>0</v>
      </c>
      <c r="AH144" s="71" t="b">
        <f>ISBLANK(Table37[[#This Row],[OU]])</f>
        <v>0</v>
      </c>
      <c r="AI144" s="71" t="b">
        <f>ISBLANK(Table37[[#This Row],[SPECIFIC COMMODITY]])</f>
        <v>0</v>
      </c>
      <c r="AJ144" s="71" t="b">
        <f>ISBLANK(Table37[[#This Row],[COMMODITY PREXC SUB-PROGRAM]])</f>
        <v>0</v>
      </c>
      <c r="AK144" s="71" t="b">
        <f>ISBLANK(Table37[[#This Row],[ACTIVITY]])</f>
        <v>0</v>
      </c>
      <c r="AL144" s="71" t="b">
        <f>ISBLANK(Table37[[#This Row],[TAG-GAD]])</f>
        <v>0</v>
      </c>
      <c r="AM144" s="71" t="b">
        <f>ISBLANK(Table37[[#This Row],[MONTH]])</f>
        <v>0</v>
      </c>
      <c r="AN144" s="71" t="b">
        <f>ISBLANK(Table37[[#This Row],[MOOE (Php ''000)]])</f>
        <v>0</v>
      </c>
      <c r="AO144" s="71" t="b">
        <f>ISBLANK(Table37[[#This Row],[CO (Php ''000)]])</f>
        <v>1</v>
      </c>
    </row>
    <row r="145" spans="1:41">
      <c r="A145" s="51" t="str">
        <f>VLOOKUP(Table37[[#This Row],[OU]],OU!$A$15:$B$34,2,FALSE)</f>
        <v>RFOs</v>
      </c>
      <c r="B145" s="47" t="s">
        <v>301</v>
      </c>
      <c r="C145" s="47" t="s">
        <v>574</v>
      </c>
      <c r="D145" s="47" t="s">
        <v>578</v>
      </c>
      <c r="E145" s="51" t="str">
        <f>VLOOKUP(Table37[[#This Row],[SPECIFIC COMMODITY]],TAGS!$W$48:$X$53,2,FALSE)</f>
        <v>Corn</v>
      </c>
      <c r="F145" s="51" t="str">
        <f>VLOOKUP(Table37[[#This Row],[PREXC SUB-PROGRAM]],Table5[],2,FALSE)</f>
        <v>TECHNICAL AND SUPPORT SERVICES PROGRAM</v>
      </c>
      <c r="G145" s="51" t="str">
        <f>VLOOKUP(Table37[[#This Row],[COMMODITY PREXC SUB-PROGRAM]],TAGS!$U$54:$V$76,2,FALSE)</f>
        <v>ESETS</v>
      </c>
      <c r="H145" s="47" t="s">
        <v>587</v>
      </c>
      <c r="I145" s="51" t="str">
        <f>VLOOKUP(Table37[[#This Row],[PI LEVEL 3]],'PI LEVEL'!A:C,3,FALSE)</f>
        <v>Training conducted</v>
      </c>
      <c r="J145" s="51" t="str">
        <f>VLOOKUP(Table37[[#This Row],[PI LEVEL 3]],Table53729[[Performance Indicator Level 3]:[Performance Indicator Level 1]],2,FALSE)</f>
        <v>Other training conducted</v>
      </c>
      <c r="K145" s="51" t="str">
        <f>VLOOKUP(Table37[[#This Row],[ACTIVITY]],TAGS!B:P,2,FALSE)</f>
        <v>Other training conducted_Farmers/Fisherfolk/Other External Participants</v>
      </c>
      <c r="L145" s="47" t="s">
        <v>137</v>
      </c>
      <c r="M145" s="51" t="str">
        <f>VLOOKUP(Table37[[#This Row],[ACTIVITY]],TAGS!$B:$P,4,FALSE)</f>
        <v>Trainings</v>
      </c>
      <c r="N145" s="51" t="str">
        <f>VLOOKUP(Table37[[#This Row],[ACTIVITY]],TAGS!$B:$P,5,FALSE)</f>
        <v>Trainings</v>
      </c>
      <c r="O145" s="51" t="str">
        <f>VLOOKUP(Table37[[#This Row],[ACTIVITY]],TAGS!$B:$P,6,FALSE)</f>
        <v>Corn Livelihood training</v>
      </c>
      <c r="P145" s="51" t="str">
        <f>VLOOKUP(Table37[[#This Row],[ACTIVITY]],TAGS!$B:$P,7,FALSE)</f>
        <v>NO</v>
      </c>
      <c r="Q145" s="51" t="str">
        <f>VLOOKUP(Table37[[#This Row],[ACTIVITY]],TAGS!$B:$P,8,FALSE)</f>
        <v>PAP</v>
      </c>
      <c r="R145" s="51" t="str">
        <f>VLOOKUP(Table37[[#This Row],[ACTIVITY]],TAGS!$B:$P,10,FALSE)</f>
        <v>PIP</v>
      </c>
      <c r="S145" s="51" t="str">
        <f>VLOOKUP(Table37[[#This Row],[ACTIVITY]],TAGS!$B:$P,11,FALSE)</f>
        <v>PICS</v>
      </c>
      <c r="T145" s="51" t="str">
        <f>VLOOKUP(Table37[[#This Row],[ACTIVITY]],TAGS!$B:$P,12,FALSE)</f>
        <v>Consolidation</v>
      </c>
      <c r="U145" s="51" t="str">
        <f>VLOOKUP(Table37[[#This Row],[ACTIVITY]],TAGS!$B:$P,13,FALSE)</f>
        <v>1. Bayanihan Agri Cluster</v>
      </c>
      <c r="V145" s="51" t="str">
        <f>VLOOKUP(Table37[[#This Row],[ACTIVITY]],TAGS!$B:$P,14,FALSE)</f>
        <v>IMPROVE AND EXPAND LOCAL AND INTERNATIONAL MARKET ACCESS</v>
      </c>
      <c r="W145" s="51" t="str">
        <f>VLOOKUP(Table37[[#This Row],[ACTIVITY]],TAGS!$B:$P,15,FALSE)</f>
        <v>Capacity Building</v>
      </c>
      <c r="X145" s="51" t="str">
        <f>VLOOKUP(Table37[[#This Row],[PI LEVEL 3]],'PI LEVEL'!$A:$G,7,FALSE)</f>
        <v>PREXC/DA-Level Output</v>
      </c>
      <c r="Y145" s="47" t="s">
        <v>588</v>
      </c>
      <c r="Z145" s="47" t="s">
        <v>331</v>
      </c>
      <c r="AA145" s="51" t="str">
        <f>VLOOKUP(Table37[[#This Row],[MONTH]],TAGS!$W$67:$Y$81,2,FALSE)</f>
        <v>2ND QTR</v>
      </c>
      <c r="AB145" s="51" t="str">
        <f>VLOOKUP(Table37[[#This Row],[MONTH]],TAGS!$W$67:$Y$81,3,FALSE)</f>
        <v>1ST SEMESTER</v>
      </c>
      <c r="AC145" s="51">
        <f>VLOOKUP(Table37[[#This Row],[MONTH]],TAGS!$W$67:$Z$81,4,FALSE)</f>
        <v>2025</v>
      </c>
      <c r="AD145" s="47">
        <v>200</v>
      </c>
      <c r="AE145" s="47"/>
      <c r="AF145" s="51">
        <f>SUM(Table37[[#This Row],[MOOE (Php ''000)]:[CO (Php ''000)]])</f>
        <v>200</v>
      </c>
      <c r="AG145" s="71" t="b">
        <f>ISBLANK(Table37[[#This Row],[PRPOPOSAL/BEDS]])</f>
        <v>0</v>
      </c>
      <c r="AH145" s="71" t="b">
        <f>ISBLANK(Table37[[#This Row],[OU]])</f>
        <v>0</v>
      </c>
      <c r="AI145" s="71" t="b">
        <f>ISBLANK(Table37[[#This Row],[SPECIFIC COMMODITY]])</f>
        <v>0</v>
      </c>
      <c r="AJ145" s="71" t="b">
        <f>ISBLANK(Table37[[#This Row],[COMMODITY PREXC SUB-PROGRAM]])</f>
        <v>0</v>
      </c>
      <c r="AK145" s="71" t="b">
        <f>ISBLANK(Table37[[#This Row],[ACTIVITY]])</f>
        <v>0</v>
      </c>
      <c r="AL145" s="71" t="b">
        <f>ISBLANK(Table37[[#This Row],[TAG-GAD]])</f>
        <v>0</v>
      </c>
      <c r="AM145" s="71" t="b">
        <f>ISBLANK(Table37[[#This Row],[MONTH]])</f>
        <v>0</v>
      </c>
      <c r="AN145" s="71" t="b">
        <f>ISBLANK(Table37[[#This Row],[MOOE (Php ''000)]])</f>
        <v>0</v>
      </c>
      <c r="AO145" s="71" t="b">
        <f>ISBLANK(Table37[[#This Row],[CO (Php ''000)]])</f>
        <v>1</v>
      </c>
    </row>
    <row r="146" spans="1:41">
      <c r="A146" s="51" t="str">
        <f>VLOOKUP(Table37[[#This Row],[OU]],OU!$A$15:$B$34,2,FALSE)</f>
        <v>RFOs</v>
      </c>
      <c r="B146" s="47" t="s">
        <v>301</v>
      </c>
      <c r="C146" s="47" t="s">
        <v>574</v>
      </c>
      <c r="D146" s="47" t="s">
        <v>578</v>
      </c>
      <c r="E146" s="51" t="str">
        <f>VLOOKUP(Table37[[#This Row],[SPECIFIC COMMODITY]],TAGS!$W$48:$X$53,2,FALSE)</f>
        <v>Corn</v>
      </c>
      <c r="F146" s="51" t="str">
        <f>VLOOKUP(Table37[[#This Row],[PREXC SUB-PROGRAM]],Table5[],2,FALSE)</f>
        <v>TECHNICAL AND SUPPORT SERVICES PROGRAM</v>
      </c>
      <c r="G146" s="51" t="str">
        <f>VLOOKUP(Table37[[#This Row],[COMMODITY PREXC SUB-PROGRAM]],TAGS!$U$54:$V$76,2,FALSE)</f>
        <v>ESETS</v>
      </c>
      <c r="H146" s="47" t="s">
        <v>587</v>
      </c>
      <c r="I146" s="51" t="str">
        <f>VLOOKUP(Table37[[#This Row],[PI LEVEL 3]],'PI LEVEL'!A:C,3,FALSE)</f>
        <v>Training conducted</v>
      </c>
      <c r="J146" s="51" t="str">
        <f>VLOOKUP(Table37[[#This Row],[PI LEVEL 3]],Table53729[[Performance Indicator Level 3]:[Performance Indicator Level 1]],2,FALSE)</f>
        <v>Other training conducted</v>
      </c>
      <c r="K146" s="51" t="str">
        <f>VLOOKUP(Table37[[#This Row],[ACTIVITY]],TAGS!B:P,2,FALSE)</f>
        <v>Other training conducted_Farmers/Fisherfolk/Other External Participants</v>
      </c>
      <c r="L146" s="47" t="s">
        <v>139</v>
      </c>
      <c r="M146" s="51" t="str">
        <f>VLOOKUP(Table37[[#This Row],[ACTIVITY]],TAGS!$B:$P,4,FALSE)</f>
        <v>Trainings</v>
      </c>
      <c r="N146" s="51" t="str">
        <f>VLOOKUP(Table37[[#This Row],[ACTIVITY]],TAGS!$B:$P,5,FALSE)</f>
        <v>Trainings</v>
      </c>
      <c r="O146" s="51" t="str">
        <f>VLOOKUP(Table37[[#This Row],[ACTIVITY]],TAGS!$B:$P,6,FALSE)</f>
        <v>Corn Production Training</v>
      </c>
      <c r="P146" s="51" t="str">
        <f>VLOOKUP(Table37[[#This Row],[ACTIVITY]],TAGS!$B:$P,7,FALSE)</f>
        <v>NO</v>
      </c>
      <c r="Q146" s="51" t="str">
        <f>VLOOKUP(Table37[[#This Row],[ACTIVITY]],TAGS!$B:$P,8,FALSE)</f>
        <v>PAP</v>
      </c>
      <c r="R146" s="51" t="str">
        <f>VLOOKUP(Table37[[#This Row],[ACTIVITY]],TAGS!$B:$P,10,FALSE)</f>
        <v>PIP</v>
      </c>
      <c r="S146" s="51" t="str">
        <f>VLOOKUP(Table37[[#This Row],[ACTIVITY]],TAGS!$B:$P,11,FALSE)</f>
        <v>PICS</v>
      </c>
      <c r="T146" s="51" t="str">
        <f>VLOOKUP(Table37[[#This Row],[ACTIVITY]],TAGS!$B:$P,12,FALSE)</f>
        <v>Consolidation</v>
      </c>
      <c r="U146" s="51" t="str">
        <f>VLOOKUP(Table37[[#This Row],[ACTIVITY]],TAGS!$B:$P,13,FALSE)</f>
        <v>1. Bayanihan Agri Cluster</v>
      </c>
      <c r="V146" s="51" t="str">
        <f>VLOOKUP(Table37[[#This Row],[ACTIVITY]],TAGS!$B:$P,14,FALSE)</f>
        <v>EXPAND AND IMPROVE AVAILABLE AGRI-FISHERY AREAS FOR INCREASED PRODUCTION</v>
      </c>
      <c r="W146" s="51" t="str">
        <f>VLOOKUP(Table37[[#This Row],[ACTIVITY]],TAGS!$B:$P,15,FALSE)</f>
        <v>Capacity Building</v>
      </c>
      <c r="X146" s="51" t="str">
        <f>VLOOKUP(Table37[[#This Row],[PI LEVEL 3]],'PI LEVEL'!$A:$G,7,FALSE)</f>
        <v>PREXC/DA-Level Output</v>
      </c>
      <c r="Y146" s="47" t="s">
        <v>577</v>
      </c>
      <c r="Z146" s="47" t="s">
        <v>331</v>
      </c>
      <c r="AA146" s="51" t="str">
        <f>VLOOKUP(Table37[[#This Row],[MONTH]],TAGS!$W$67:$Y$81,2,FALSE)</f>
        <v>2ND QTR</v>
      </c>
      <c r="AB146" s="51" t="str">
        <f>VLOOKUP(Table37[[#This Row],[MONTH]],TAGS!$W$67:$Y$81,3,FALSE)</f>
        <v>1ST SEMESTER</v>
      </c>
      <c r="AC146" s="51">
        <f>VLOOKUP(Table37[[#This Row],[MONTH]],TAGS!$W$67:$Z$81,4,FALSE)</f>
        <v>2025</v>
      </c>
      <c r="AD146" s="47">
        <v>140</v>
      </c>
      <c r="AE146" s="47"/>
      <c r="AF146" s="51">
        <f>SUM(Table37[[#This Row],[MOOE (Php ''000)]:[CO (Php ''000)]])</f>
        <v>140</v>
      </c>
      <c r="AG146" s="71" t="b">
        <f>ISBLANK(Table37[[#This Row],[PRPOPOSAL/BEDS]])</f>
        <v>0</v>
      </c>
      <c r="AH146" s="71" t="b">
        <f>ISBLANK(Table37[[#This Row],[OU]])</f>
        <v>0</v>
      </c>
      <c r="AI146" s="71" t="b">
        <f>ISBLANK(Table37[[#This Row],[SPECIFIC COMMODITY]])</f>
        <v>0</v>
      </c>
      <c r="AJ146" s="71" t="b">
        <f>ISBLANK(Table37[[#This Row],[COMMODITY PREXC SUB-PROGRAM]])</f>
        <v>0</v>
      </c>
      <c r="AK146" s="71" t="b">
        <f>ISBLANK(Table37[[#This Row],[ACTIVITY]])</f>
        <v>0</v>
      </c>
      <c r="AL146" s="71" t="b">
        <f>ISBLANK(Table37[[#This Row],[TAG-GAD]])</f>
        <v>0</v>
      </c>
      <c r="AM146" s="71" t="b">
        <f>ISBLANK(Table37[[#This Row],[MONTH]])</f>
        <v>0</v>
      </c>
      <c r="AN146" s="71" t="b">
        <f>ISBLANK(Table37[[#This Row],[MOOE (Php ''000)]])</f>
        <v>0</v>
      </c>
      <c r="AO146" s="71" t="b">
        <f>ISBLANK(Table37[[#This Row],[CO (Php ''000)]])</f>
        <v>1</v>
      </c>
    </row>
    <row r="147" spans="1:41">
      <c r="A147" s="51" t="str">
        <f>VLOOKUP(Table37[[#This Row],[OU]],OU!$A$15:$B$34,2,FALSE)</f>
        <v>RFOs</v>
      </c>
      <c r="B147" s="47" t="s">
        <v>301</v>
      </c>
      <c r="C147" s="47" t="s">
        <v>574</v>
      </c>
      <c r="D147" s="47" t="s">
        <v>578</v>
      </c>
      <c r="E147" s="51" t="str">
        <f>VLOOKUP(Table37[[#This Row],[SPECIFIC COMMODITY]],TAGS!$W$48:$X$53,2,FALSE)</f>
        <v>Corn</v>
      </c>
      <c r="F147" s="51" t="str">
        <f>VLOOKUP(Table37[[#This Row],[PREXC SUB-PROGRAM]],Table5[],2,FALSE)</f>
        <v>TECHNICAL AND SUPPORT SERVICES PROGRAM</v>
      </c>
      <c r="G147" s="51" t="str">
        <f>VLOOKUP(Table37[[#This Row],[COMMODITY PREXC SUB-PROGRAM]],TAGS!$U$54:$V$76,2,FALSE)</f>
        <v>ESETS</v>
      </c>
      <c r="H147" s="47" t="s">
        <v>587</v>
      </c>
      <c r="I147" s="51" t="str">
        <f>VLOOKUP(Table37[[#This Row],[PI LEVEL 3]],'PI LEVEL'!A:C,3,FALSE)</f>
        <v>Training conducted</v>
      </c>
      <c r="J147" s="51" t="str">
        <f>VLOOKUP(Table37[[#This Row],[PI LEVEL 3]],Table53729[[Performance Indicator Level 3]:[Performance Indicator Level 1]],2,FALSE)</f>
        <v>Other training conducted</v>
      </c>
      <c r="K147" s="51" t="str">
        <f>VLOOKUP(Table37[[#This Row],[ACTIVITY]],TAGS!B:P,2,FALSE)</f>
        <v>Other training conducted_Farmers/Fisherfolk/Other External Participants</v>
      </c>
      <c r="L147" s="47" t="s">
        <v>141</v>
      </c>
      <c r="M147" s="51" t="str">
        <f>VLOOKUP(Table37[[#This Row],[ACTIVITY]],TAGS!$B:$P,4,FALSE)</f>
        <v>Trainings</v>
      </c>
      <c r="N147" s="51" t="str">
        <f>VLOOKUP(Table37[[#This Row],[ACTIVITY]],TAGS!$B:$P,5,FALSE)</f>
        <v>Trainings</v>
      </c>
      <c r="O147" s="51" t="str">
        <f>VLOOKUP(Table37[[#This Row],[ACTIVITY]],TAGS!$B:$P,6,FALSE)</f>
        <v>Integrated Pest Management Training</v>
      </c>
      <c r="P147" s="51" t="str">
        <f>VLOOKUP(Table37[[#This Row],[ACTIVITY]],TAGS!$B:$P,7,FALSE)</f>
        <v>NO</v>
      </c>
      <c r="Q147" s="51" t="str">
        <f>VLOOKUP(Table37[[#This Row],[ACTIVITY]],TAGS!$B:$P,8,FALSE)</f>
        <v>PAP</v>
      </c>
      <c r="R147" s="51" t="str">
        <f>VLOOKUP(Table37[[#This Row],[ACTIVITY]],TAGS!$B:$P,10,FALSE)</f>
        <v>PIP</v>
      </c>
      <c r="S147" s="51" t="str">
        <f>VLOOKUP(Table37[[#This Row],[ACTIVITY]],TAGS!$B:$P,11,FALSE)</f>
        <v>PICS</v>
      </c>
      <c r="T147" s="51" t="str">
        <f>VLOOKUP(Table37[[#This Row],[ACTIVITY]],TAGS!$B:$P,12,FALSE)</f>
        <v>Modernization</v>
      </c>
      <c r="U147" s="51" t="str">
        <f>VLOOKUP(Table37[[#This Row],[ACTIVITY]],TAGS!$B:$P,13,FALSE)</f>
        <v>9. Climate Change Adaptation &amp; Mitigation Measures</v>
      </c>
      <c r="V147" s="51" t="str">
        <f>VLOOKUP(Table37[[#This Row],[ACTIVITY]],TAGS!$B:$P,14,FALSE)</f>
        <v>EXPAND AND IMPROVE AVAILABLE AGRI-FISHERY AREAS FOR INCREASED PRODUCTION</v>
      </c>
      <c r="W147" s="51" t="str">
        <f>VLOOKUP(Table37[[#This Row],[ACTIVITY]],TAGS!$B:$P,15,FALSE)</f>
        <v>Capacity Building</v>
      </c>
      <c r="X147" s="51" t="str">
        <f>VLOOKUP(Table37[[#This Row],[PI LEVEL 3]],'PI LEVEL'!$A:$G,7,FALSE)</f>
        <v>PREXC/DA-Level Output</v>
      </c>
      <c r="Y147" s="47" t="s">
        <v>577</v>
      </c>
      <c r="Z147" s="47" t="s">
        <v>332</v>
      </c>
      <c r="AA147" s="51" t="str">
        <f>VLOOKUP(Table37[[#This Row],[MONTH]],TAGS!$W$67:$Y$81,2,FALSE)</f>
        <v>2ND QTR</v>
      </c>
      <c r="AB147" s="51" t="str">
        <f>VLOOKUP(Table37[[#This Row],[MONTH]],TAGS!$W$67:$Y$81,3,FALSE)</f>
        <v>1ST SEMESTER</v>
      </c>
      <c r="AC147" s="51">
        <f>VLOOKUP(Table37[[#This Row],[MONTH]],TAGS!$W$67:$Z$81,4,FALSE)</f>
        <v>2025</v>
      </c>
      <c r="AD147" s="47">
        <v>200</v>
      </c>
      <c r="AE147" s="47"/>
      <c r="AF147" s="51">
        <f>SUM(Table37[[#This Row],[MOOE (Php ''000)]:[CO (Php ''000)]])</f>
        <v>200</v>
      </c>
      <c r="AG147" s="71" t="b">
        <f>ISBLANK(Table37[[#This Row],[PRPOPOSAL/BEDS]])</f>
        <v>0</v>
      </c>
      <c r="AH147" s="71" t="b">
        <f>ISBLANK(Table37[[#This Row],[OU]])</f>
        <v>0</v>
      </c>
      <c r="AI147" s="71" t="b">
        <f>ISBLANK(Table37[[#This Row],[SPECIFIC COMMODITY]])</f>
        <v>0</v>
      </c>
      <c r="AJ147" s="71" t="b">
        <f>ISBLANK(Table37[[#This Row],[COMMODITY PREXC SUB-PROGRAM]])</f>
        <v>0</v>
      </c>
      <c r="AK147" s="71" t="b">
        <f>ISBLANK(Table37[[#This Row],[ACTIVITY]])</f>
        <v>0</v>
      </c>
      <c r="AL147" s="71" t="b">
        <f>ISBLANK(Table37[[#This Row],[TAG-GAD]])</f>
        <v>0</v>
      </c>
      <c r="AM147" s="71" t="b">
        <f>ISBLANK(Table37[[#This Row],[MONTH]])</f>
        <v>0</v>
      </c>
      <c r="AN147" s="71" t="b">
        <f>ISBLANK(Table37[[#This Row],[MOOE (Php ''000)]])</f>
        <v>0</v>
      </c>
      <c r="AO147" s="71" t="b">
        <f>ISBLANK(Table37[[#This Row],[CO (Php ''000)]])</f>
        <v>1</v>
      </c>
    </row>
    <row r="148" spans="1:41">
      <c r="A148" s="51" t="str">
        <f>VLOOKUP(Table37[[#This Row],[OU]],OU!$A$15:$B$34,2,FALSE)</f>
        <v>RFOs</v>
      </c>
      <c r="B148" s="47" t="s">
        <v>301</v>
      </c>
      <c r="C148" s="47" t="s">
        <v>574</v>
      </c>
      <c r="D148" s="47" t="s">
        <v>578</v>
      </c>
      <c r="E148" s="51" t="str">
        <f>VLOOKUP(Table37[[#This Row],[SPECIFIC COMMODITY]],TAGS!$W$48:$X$53,2,FALSE)</f>
        <v>Corn</v>
      </c>
      <c r="F148" s="51" t="str">
        <f>VLOOKUP(Table37[[#This Row],[PREXC SUB-PROGRAM]],Table5[],2,FALSE)</f>
        <v>TECHNICAL AND SUPPORT SERVICES PROGRAM</v>
      </c>
      <c r="G148" s="51" t="str">
        <f>VLOOKUP(Table37[[#This Row],[COMMODITY PREXC SUB-PROGRAM]],TAGS!$U$54:$V$76,2,FALSE)</f>
        <v>ESETS</v>
      </c>
      <c r="H148" s="47" t="s">
        <v>587</v>
      </c>
      <c r="I148" s="51" t="str">
        <f>VLOOKUP(Table37[[#This Row],[PI LEVEL 3]],'PI LEVEL'!A:C,3,FALSE)</f>
        <v>Training conducted</v>
      </c>
      <c r="J148" s="51" t="str">
        <f>VLOOKUP(Table37[[#This Row],[PI LEVEL 3]],Table53729[[Performance Indicator Level 3]:[Performance Indicator Level 1]],2,FALSE)</f>
        <v>Other training conducted</v>
      </c>
      <c r="K148" s="51" t="str">
        <f>VLOOKUP(Table37[[#This Row],[ACTIVITY]],TAGS!B:P,2,FALSE)</f>
        <v>Other training conducted_Farmers/Fisherfolk/Other External Participants</v>
      </c>
      <c r="L148" s="47" t="s">
        <v>141</v>
      </c>
      <c r="M148" s="51" t="str">
        <f>VLOOKUP(Table37[[#This Row],[ACTIVITY]],TAGS!$B:$P,4,FALSE)</f>
        <v>Trainings</v>
      </c>
      <c r="N148" s="51" t="str">
        <f>VLOOKUP(Table37[[#This Row],[ACTIVITY]],TAGS!$B:$P,5,FALSE)</f>
        <v>Trainings</v>
      </c>
      <c r="O148" s="51" t="str">
        <f>VLOOKUP(Table37[[#This Row],[ACTIVITY]],TAGS!$B:$P,6,FALSE)</f>
        <v>Integrated Pest Management Training</v>
      </c>
      <c r="P148" s="51" t="str">
        <f>VLOOKUP(Table37[[#This Row],[ACTIVITY]],TAGS!$B:$P,7,FALSE)</f>
        <v>NO</v>
      </c>
      <c r="Q148" s="51" t="str">
        <f>VLOOKUP(Table37[[#This Row],[ACTIVITY]],TAGS!$B:$P,8,FALSE)</f>
        <v>PAP</v>
      </c>
      <c r="R148" s="51" t="str">
        <f>VLOOKUP(Table37[[#This Row],[ACTIVITY]],TAGS!$B:$P,10,FALSE)</f>
        <v>PIP</v>
      </c>
      <c r="S148" s="51" t="str">
        <f>VLOOKUP(Table37[[#This Row],[ACTIVITY]],TAGS!$B:$P,11,FALSE)</f>
        <v>PICS</v>
      </c>
      <c r="T148" s="51" t="str">
        <f>VLOOKUP(Table37[[#This Row],[ACTIVITY]],TAGS!$B:$P,12,FALSE)</f>
        <v>Modernization</v>
      </c>
      <c r="U148" s="51" t="str">
        <f>VLOOKUP(Table37[[#This Row],[ACTIVITY]],TAGS!$B:$P,13,FALSE)</f>
        <v>9. Climate Change Adaptation &amp; Mitigation Measures</v>
      </c>
      <c r="V148" s="51" t="str">
        <f>VLOOKUP(Table37[[#This Row],[ACTIVITY]],TAGS!$B:$P,14,FALSE)</f>
        <v>EXPAND AND IMPROVE AVAILABLE AGRI-FISHERY AREAS FOR INCREASED PRODUCTION</v>
      </c>
      <c r="W148" s="51" t="str">
        <f>VLOOKUP(Table37[[#This Row],[ACTIVITY]],TAGS!$B:$P,15,FALSE)</f>
        <v>Capacity Building</v>
      </c>
      <c r="X148" s="51" t="str">
        <f>VLOOKUP(Table37[[#This Row],[PI LEVEL 3]],'PI LEVEL'!$A:$G,7,FALSE)</f>
        <v>PREXC/DA-Level Output</v>
      </c>
      <c r="Y148" s="47" t="s">
        <v>577</v>
      </c>
      <c r="Z148" s="47" t="s">
        <v>337</v>
      </c>
      <c r="AA148" s="51" t="str">
        <f>VLOOKUP(Table37[[#This Row],[MONTH]],TAGS!$W$67:$Y$81,2,FALSE)</f>
        <v>4TH QTR</v>
      </c>
      <c r="AB148" s="51" t="str">
        <f>VLOOKUP(Table37[[#This Row],[MONTH]],TAGS!$W$67:$Y$81,3,FALSE)</f>
        <v>2ND SEMESTER</v>
      </c>
      <c r="AC148" s="51">
        <f>VLOOKUP(Table37[[#This Row],[MONTH]],TAGS!$W$67:$Z$81,4,FALSE)</f>
        <v>2025</v>
      </c>
      <c r="AD148" s="47">
        <v>200</v>
      </c>
      <c r="AE148" s="47"/>
      <c r="AF148" s="51">
        <f>SUM(Table37[[#This Row],[MOOE (Php ''000)]:[CO (Php ''000)]])</f>
        <v>200</v>
      </c>
      <c r="AG148" s="71" t="b">
        <f>ISBLANK(Table37[[#This Row],[PRPOPOSAL/BEDS]])</f>
        <v>0</v>
      </c>
      <c r="AH148" s="71" t="b">
        <f>ISBLANK(Table37[[#This Row],[OU]])</f>
        <v>0</v>
      </c>
      <c r="AI148" s="71" t="b">
        <f>ISBLANK(Table37[[#This Row],[SPECIFIC COMMODITY]])</f>
        <v>0</v>
      </c>
      <c r="AJ148" s="71" t="b">
        <f>ISBLANK(Table37[[#This Row],[COMMODITY PREXC SUB-PROGRAM]])</f>
        <v>0</v>
      </c>
      <c r="AK148" s="71" t="b">
        <f>ISBLANK(Table37[[#This Row],[ACTIVITY]])</f>
        <v>0</v>
      </c>
      <c r="AL148" s="71" t="b">
        <f>ISBLANK(Table37[[#This Row],[TAG-GAD]])</f>
        <v>0</v>
      </c>
      <c r="AM148" s="71" t="b">
        <f>ISBLANK(Table37[[#This Row],[MONTH]])</f>
        <v>0</v>
      </c>
      <c r="AN148" s="71" t="b">
        <f>ISBLANK(Table37[[#This Row],[MOOE (Php ''000)]])</f>
        <v>0</v>
      </c>
      <c r="AO148" s="71" t="b">
        <f>ISBLANK(Table37[[#This Row],[CO (Php ''000)]])</f>
        <v>1</v>
      </c>
    </row>
    <row r="149" spans="1:41">
      <c r="A149" s="51" t="str">
        <f>VLOOKUP(Table37[[#This Row],[OU]],OU!$A$15:$B$34,2,FALSE)</f>
        <v>RFOs</v>
      </c>
      <c r="B149" s="47" t="s">
        <v>301</v>
      </c>
      <c r="C149" s="47" t="s">
        <v>574</v>
      </c>
      <c r="D149" s="47" t="s">
        <v>578</v>
      </c>
      <c r="E149" s="51" t="str">
        <f>VLOOKUP(Table37[[#This Row],[SPECIFIC COMMODITY]],TAGS!$W$48:$X$53,2,FALSE)</f>
        <v>Corn</v>
      </c>
      <c r="F149" s="51" t="str">
        <f>VLOOKUP(Table37[[#This Row],[PREXC SUB-PROGRAM]],Table5[],2,FALSE)</f>
        <v>TECHNICAL AND SUPPORT SERVICES PROGRAM</v>
      </c>
      <c r="G149" s="51" t="str">
        <f>VLOOKUP(Table37[[#This Row],[COMMODITY PREXC SUB-PROGRAM]],TAGS!$U$54:$V$76,2,FALSE)</f>
        <v>ESETS</v>
      </c>
      <c r="H149" s="47" t="s">
        <v>587</v>
      </c>
      <c r="I149" s="51" t="str">
        <f>VLOOKUP(Table37[[#This Row],[PI LEVEL 3]],'PI LEVEL'!A:C,3,FALSE)</f>
        <v>Training conducted</v>
      </c>
      <c r="J149" s="51" t="str">
        <f>VLOOKUP(Table37[[#This Row],[PI LEVEL 3]],Table53729[[Performance Indicator Level 3]:[Performance Indicator Level 1]],2,FALSE)</f>
        <v>Other training conducted</v>
      </c>
      <c r="K149" s="51" t="str">
        <f>VLOOKUP(Table37[[#This Row],[ACTIVITY]],TAGS!B:P,2,FALSE)</f>
        <v>Other training conducted_Farmers/Fisherfolk/Other External Participants</v>
      </c>
      <c r="L149" s="47" t="s">
        <v>143</v>
      </c>
      <c r="M149" s="51" t="str">
        <f>VLOOKUP(Table37[[#This Row],[ACTIVITY]],TAGS!$B:$P,4,FALSE)</f>
        <v>Trainings</v>
      </c>
      <c r="N149" s="51" t="str">
        <f>VLOOKUP(Table37[[#This Row],[ACTIVITY]],TAGS!$B:$P,5,FALSE)</f>
        <v>Trainings</v>
      </c>
      <c r="O149" s="51" t="str">
        <f>VLOOKUP(Table37[[#This Row],[ACTIVITY]],TAGS!$B:$P,6,FALSE)</f>
        <v>Training on Operation and Maintenance of Farm Machinery and Equipment</v>
      </c>
      <c r="P149" s="51" t="str">
        <f>VLOOKUP(Table37[[#This Row],[ACTIVITY]],TAGS!$B:$P,7,FALSE)</f>
        <v>NO</v>
      </c>
      <c r="Q149" s="51" t="str">
        <f>VLOOKUP(Table37[[#This Row],[ACTIVITY]],TAGS!$B:$P,8,FALSE)</f>
        <v>PAP</v>
      </c>
      <c r="R149" s="51" t="str">
        <f>VLOOKUP(Table37[[#This Row],[ACTIVITY]],TAGS!$B:$P,10,FALSE)</f>
        <v>PIP</v>
      </c>
      <c r="S149" s="51" t="str">
        <f>VLOOKUP(Table37[[#This Row],[ACTIVITY]],TAGS!$B:$P,11,FALSE)</f>
        <v>PICS</v>
      </c>
      <c r="T149" s="51" t="str">
        <f>VLOOKUP(Table37[[#This Row],[ACTIVITY]],TAGS!$B:$P,12,FALSE)</f>
        <v>Consolidation</v>
      </c>
      <c r="U149" s="51" t="str">
        <f>VLOOKUP(Table37[[#This Row],[ACTIVITY]],TAGS!$B:$P,13,FALSE)</f>
        <v>1. Bayanihan Agri Cluster</v>
      </c>
      <c r="V149" s="51" t="str">
        <f>VLOOKUP(Table37[[#This Row],[ACTIVITY]],TAGS!$B:$P,14,FALSE)</f>
        <v>DEVELOP AND IMPROVE POST-HARVEST SYSTEMS AND INFRASTRUCTURE</v>
      </c>
      <c r="W149" s="51" t="str">
        <f>VLOOKUP(Table37[[#This Row],[ACTIVITY]],TAGS!$B:$P,15,FALSE)</f>
        <v>Capacity Building</v>
      </c>
      <c r="X149" s="51" t="str">
        <f>VLOOKUP(Table37[[#This Row],[PI LEVEL 3]],'PI LEVEL'!$A:$G,7,FALSE)</f>
        <v>PREXC/DA-Level Output</v>
      </c>
      <c r="Y149" s="47" t="s">
        <v>577</v>
      </c>
      <c r="Z149" s="47" t="s">
        <v>335</v>
      </c>
      <c r="AA149" s="51" t="str">
        <f>VLOOKUP(Table37[[#This Row],[MONTH]],TAGS!$W$67:$Y$81,2,FALSE)</f>
        <v>3RD QTR</v>
      </c>
      <c r="AB149" s="51" t="str">
        <f>VLOOKUP(Table37[[#This Row],[MONTH]],TAGS!$W$67:$Y$81,3,FALSE)</f>
        <v>2ND SEMESTER</v>
      </c>
      <c r="AC149" s="51">
        <f>VLOOKUP(Table37[[#This Row],[MONTH]],TAGS!$W$67:$Z$81,4,FALSE)</f>
        <v>2025</v>
      </c>
      <c r="AD149" s="47">
        <v>100</v>
      </c>
      <c r="AE149" s="47"/>
      <c r="AF149" s="51">
        <f>SUM(Table37[[#This Row],[MOOE (Php ''000)]:[CO (Php ''000)]])</f>
        <v>100</v>
      </c>
      <c r="AG149" s="71" t="b">
        <f>ISBLANK(Table37[[#This Row],[PRPOPOSAL/BEDS]])</f>
        <v>0</v>
      </c>
      <c r="AH149" s="71" t="b">
        <f>ISBLANK(Table37[[#This Row],[OU]])</f>
        <v>0</v>
      </c>
      <c r="AI149" s="71" t="b">
        <f>ISBLANK(Table37[[#This Row],[SPECIFIC COMMODITY]])</f>
        <v>0</v>
      </c>
      <c r="AJ149" s="71" t="b">
        <f>ISBLANK(Table37[[#This Row],[COMMODITY PREXC SUB-PROGRAM]])</f>
        <v>0</v>
      </c>
      <c r="AK149" s="71" t="b">
        <f>ISBLANK(Table37[[#This Row],[ACTIVITY]])</f>
        <v>0</v>
      </c>
      <c r="AL149" s="71" t="b">
        <f>ISBLANK(Table37[[#This Row],[TAG-GAD]])</f>
        <v>0</v>
      </c>
      <c r="AM149" s="71" t="b">
        <f>ISBLANK(Table37[[#This Row],[MONTH]])</f>
        <v>0</v>
      </c>
      <c r="AN149" s="71" t="b">
        <f>ISBLANK(Table37[[#This Row],[MOOE (Php ''000)]])</f>
        <v>0</v>
      </c>
      <c r="AO149" s="71" t="b">
        <f>ISBLANK(Table37[[#This Row],[CO (Php ''000)]])</f>
        <v>1</v>
      </c>
    </row>
    <row r="150" spans="1:41">
      <c r="A150" s="51" t="str">
        <f>VLOOKUP(Table37[[#This Row],[OU]],OU!$A$15:$B$34,2,FALSE)</f>
        <v>RFOs</v>
      </c>
      <c r="B150" s="47" t="s">
        <v>301</v>
      </c>
      <c r="C150" s="47" t="s">
        <v>574</v>
      </c>
      <c r="D150" s="47" t="s">
        <v>578</v>
      </c>
      <c r="E150" s="51" t="str">
        <f>VLOOKUP(Table37[[#This Row],[SPECIFIC COMMODITY]],TAGS!$W$48:$X$53,2,FALSE)</f>
        <v>Corn</v>
      </c>
      <c r="F150" s="51" t="str">
        <f>VLOOKUP(Table37[[#This Row],[PREXC SUB-PROGRAM]],Table5[],2,FALSE)</f>
        <v>TECHNICAL AND SUPPORT SERVICES PROGRAM</v>
      </c>
      <c r="G150" s="51" t="str">
        <f>VLOOKUP(Table37[[#This Row],[COMMODITY PREXC SUB-PROGRAM]],TAGS!$U$54:$V$76,2,FALSE)</f>
        <v>ESETS</v>
      </c>
      <c r="H150" s="47" t="s">
        <v>587</v>
      </c>
      <c r="I150" s="51" t="str">
        <f>VLOOKUP(Table37[[#This Row],[PI LEVEL 3]],'PI LEVEL'!A:C,3,FALSE)</f>
        <v>Training conducted</v>
      </c>
      <c r="J150" s="51" t="str">
        <f>VLOOKUP(Table37[[#This Row],[PI LEVEL 3]],Table53729[[Performance Indicator Level 3]:[Performance Indicator Level 1]],2,FALSE)</f>
        <v>Other training conducted</v>
      </c>
      <c r="K150" s="51" t="str">
        <f>VLOOKUP(Table37[[#This Row],[ACTIVITY]],TAGS!B:P,2,FALSE)</f>
        <v>Other training conducted_Farmers/Fisherfolk/Other External Participants</v>
      </c>
      <c r="L150" s="47" t="s">
        <v>143</v>
      </c>
      <c r="M150" s="51" t="str">
        <f>VLOOKUP(Table37[[#This Row],[ACTIVITY]],TAGS!$B:$P,4,FALSE)</f>
        <v>Trainings</v>
      </c>
      <c r="N150" s="51" t="str">
        <f>VLOOKUP(Table37[[#This Row],[ACTIVITY]],TAGS!$B:$P,5,FALSE)</f>
        <v>Trainings</v>
      </c>
      <c r="O150" s="51" t="str">
        <f>VLOOKUP(Table37[[#This Row],[ACTIVITY]],TAGS!$B:$P,6,FALSE)</f>
        <v>Training on Operation and Maintenance of Farm Machinery and Equipment</v>
      </c>
      <c r="P150" s="51" t="str">
        <f>VLOOKUP(Table37[[#This Row],[ACTIVITY]],TAGS!$B:$P,7,FALSE)</f>
        <v>NO</v>
      </c>
      <c r="Q150" s="51" t="str">
        <f>VLOOKUP(Table37[[#This Row],[ACTIVITY]],TAGS!$B:$P,8,FALSE)</f>
        <v>PAP</v>
      </c>
      <c r="R150" s="51" t="str">
        <f>VLOOKUP(Table37[[#This Row],[ACTIVITY]],TAGS!$B:$P,10,FALSE)</f>
        <v>PIP</v>
      </c>
      <c r="S150" s="51" t="str">
        <f>VLOOKUP(Table37[[#This Row],[ACTIVITY]],TAGS!$B:$P,11,FALSE)</f>
        <v>PICS</v>
      </c>
      <c r="T150" s="51" t="str">
        <f>VLOOKUP(Table37[[#This Row],[ACTIVITY]],TAGS!$B:$P,12,FALSE)</f>
        <v>Consolidation</v>
      </c>
      <c r="U150" s="51" t="str">
        <f>VLOOKUP(Table37[[#This Row],[ACTIVITY]],TAGS!$B:$P,13,FALSE)</f>
        <v>1. Bayanihan Agri Cluster</v>
      </c>
      <c r="V150" s="51" t="str">
        <f>VLOOKUP(Table37[[#This Row],[ACTIVITY]],TAGS!$B:$P,14,FALSE)</f>
        <v>DEVELOP AND IMPROVE POST-HARVEST SYSTEMS AND INFRASTRUCTURE</v>
      </c>
      <c r="W150" s="51" t="str">
        <f>VLOOKUP(Table37[[#This Row],[ACTIVITY]],TAGS!$B:$P,15,FALSE)</f>
        <v>Capacity Building</v>
      </c>
      <c r="X150" s="51" t="str">
        <f>VLOOKUP(Table37[[#This Row],[PI LEVEL 3]],'PI LEVEL'!$A:$G,7,FALSE)</f>
        <v>PREXC/DA-Level Output</v>
      </c>
      <c r="Y150" s="47" t="s">
        <v>577</v>
      </c>
      <c r="Z150" s="47" t="s">
        <v>336</v>
      </c>
      <c r="AA150" s="51" t="str">
        <f>VLOOKUP(Table37[[#This Row],[MONTH]],TAGS!$W$67:$Y$81,2,FALSE)</f>
        <v>4TH QTR</v>
      </c>
      <c r="AB150" s="51" t="str">
        <f>VLOOKUP(Table37[[#This Row],[MONTH]],TAGS!$W$67:$Y$81,3,FALSE)</f>
        <v>2ND SEMESTER</v>
      </c>
      <c r="AC150" s="51">
        <f>VLOOKUP(Table37[[#This Row],[MONTH]],TAGS!$W$67:$Z$81,4,FALSE)</f>
        <v>2025</v>
      </c>
      <c r="AD150" s="47">
        <v>100</v>
      </c>
      <c r="AE150" s="47"/>
      <c r="AF150" s="51">
        <f>SUM(Table37[[#This Row],[MOOE (Php ''000)]:[CO (Php ''000)]])</f>
        <v>100</v>
      </c>
      <c r="AG150" s="71" t="b">
        <f>ISBLANK(Table37[[#This Row],[PRPOPOSAL/BEDS]])</f>
        <v>0</v>
      </c>
      <c r="AH150" s="71" t="b">
        <f>ISBLANK(Table37[[#This Row],[OU]])</f>
        <v>0</v>
      </c>
      <c r="AI150" s="71" t="b">
        <f>ISBLANK(Table37[[#This Row],[SPECIFIC COMMODITY]])</f>
        <v>0</v>
      </c>
      <c r="AJ150" s="71" t="b">
        <f>ISBLANK(Table37[[#This Row],[COMMODITY PREXC SUB-PROGRAM]])</f>
        <v>0</v>
      </c>
      <c r="AK150" s="71" t="b">
        <f>ISBLANK(Table37[[#This Row],[ACTIVITY]])</f>
        <v>0</v>
      </c>
      <c r="AL150" s="71" t="b">
        <f>ISBLANK(Table37[[#This Row],[TAG-GAD]])</f>
        <v>0</v>
      </c>
      <c r="AM150" s="71" t="b">
        <f>ISBLANK(Table37[[#This Row],[MONTH]])</f>
        <v>0</v>
      </c>
      <c r="AN150" s="71" t="b">
        <f>ISBLANK(Table37[[#This Row],[MOOE (Php ''000)]])</f>
        <v>0</v>
      </c>
      <c r="AO150" s="71" t="b">
        <f>ISBLANK(Table37[[#This Row],[CO (Php ''000)]])</f>
        <v>1</v>
      </c>
    </row>
    <row r="151" spans="1:41">
      <c r="A151" s="51" t="str">
        <f>VLOOKUP(Table37[[#This Row],[OU]],OU!$A$15:$B$34,2,FALSE)</f>
        <v>RFOs</v>
      </c>
      <c r="B151" s="47" t="s">
        <v>301</v>
      </c>
      <c r="C151" s="47" t="s">
        <v>574</v>
      </c>
      <c r="D151" s="47" t="s">
        <v>578</v>
      </c>
      <c r="E151" s="51" t="str">
        <f>VLOOKUP(Table37[[#This Row],[SPECIFIC COMMODITY]],TAGS!$W$48:$X$53,2,FALSE)</f>
        <v>Corn</v>
      </c>
      <c r="F151" s="51" t="str">
        <f>VLOOKUP(Table37[[#This Row],[PREXC SUB-PROGRAM]],Table5[],2,FALSE)</f>
        <v>TECHNICAL AND SUPPORT SERVICES PROGRAM</v>
      </c>
      <c r="G151" s="51" t="str">
        <f>VLOOKUP(Table37[[#This Row],[COMMODITY PREXC SUB-PROGRAM]],TAGS!$U$54:$V$76,2,FALSE)</f>
        <v>ESETS</v>
      </c>
      <c r="H151" s="47" t="s">
        <v>587</v>
      </c>
      <c r="I151" s="51" t="str">
        <f>VLOOKUP(Table37[[#This Row],[PI LEVEL 3]],'PI LEVEL'!A:C,3,FALSE)</f>
        <v>Training conducted</v>
      </c>
      <c r="J151" s="51" t="str">
        <f>VLOOKUP(Table37[[#This Row],[PI LEVEL 3]],Table53729[[Performance Indicator Level 3]:[Performance Indicator Level 1]],2,FALSE)</f>
        <v>Other training conducted</v>
      </c>
      <c r="K151" s="51" t="str">
        <f>VLOOKUP(Table37[[#This Row],[ACTIVITY]],TAGS!B:P,2,FALSE)</f>
        <v>Other training conducted_Farmers/Fisherfolk/Other External Participants</v>
      </c>
      <c r="L151" s="47" t="s">
        <v>143</v>
      </c>
      <c r="M151" s="51" t="str">
        <f>VLOOKUP(Table37[[#This Row],[ACTIVITY]],TAGS!$B:$P,4,FALSE)</f>
        <v>Trainings</v>
      </c>
      <c r="N151" s="51" t="str">
        <f>VLOOKUP(Table37[[#This Row],[ACTIVITY]],TAGS!$B:$P,5,FALSE)</f>
        <v>Trainings</v>
      </c>
      <c r="O151" s="51" t="str">
        <f>VLOOKUP(Table37[[#This Row],[ACTIVITY]],TAGS!$B:$P,6,FALSE)</f>
        <v>Training on Operation and Maintenance of Farm Machinery and Equipment</v>
      </c>
      <c r="P151" s="51" t="str">
        <f>VLOOKUP(Table37[[#This Row],[ACTIVITY]],TAGS!$B:$P,7,FALSE)</f>
        <v>NO</v>
      </c>
      <c r="Q151" s="51" t="str">
        <f>VLOOKUP(Table37[[#This Row],[ACTIVITY]],TAGS!$B:$P,8,FALSE)</f>
        <v>PAP</v>
      </c>
      <c r="R151" s="51" t="str">
        <f>VLOOKUP(Table37[[#This Row],[ACTIVITY]],TAGS!$B:$P,10,FALSE)</f>
        <v>PIP</v>
      </c>
      <c r="S151" s="51" t="str">
        <f>VLOOKUP(Table37[[#This Row],[ACTIVITY]],TAGS!$B:$P,11,FALSE)</f>
        <v>PICS</v>
      </c>
      <c r="T151" s="51" t="str">
        <f>VLOOKUP(Table37[[#This Row],[ACTIVITY]],TAGS!$B:$P,12,FALSE)</f>
        <v>Consolidation</v>
      </c>
      <c r="U151" s="51" t="str">
        <f>VLOOKUP(Table37[[#This Row],[ACTIVITY]],TAGS!$B:$P,13,FALSE)</f>
        <v>1. Bayanihan Agri Cluster</v>
      </c>
      <c r="V151" s="51" t="str">
        <f>VLOOKUP(Table37[[#This Row],[ACTIVITY]],TAGS!$B:$P,14,FALSE)</f>
        <v>DEVELOP AND IMPROVE POST-HARVEST SYSTEMS AND INFRASTRUCTURE</v>
      </c>
      <c r="W151" s="51" t="str">
        <f>VLOOKUP(Table37[[#This Row],[ACTIVITY]],TAGS!$B:$P,15,FALSE)</f>
        <v>Capacity Building</v>
      </c>
      <c r="X151" s="51" t="str">
        <f>VLOOKUP(Table37[[#This Row],[PI LEVEL 3]],'PI LEVEL'!$A:$G,7,FALSE)</f>
        <v>PREXC/DA-Level Output</v>
      </c>
      <c r="Y151" s="47" t="s">
        <v>577</v>
      </c>
      <c r="Z151" s="47" t="s">
        <v>337</v>
      </c>
      <c r="AA151" s="51" t="str">
        <f>VLOOKUP(Table37[[#This Row],[MONTH]],TAGS!$W$67:$Y$81,2,FALSE)</f>
        <v>4TH QTR</v>
      </c>
      <c r="AB151" s="51" t="str">
        <f>VLOOKUP(Table37[[#This Row],[MONTH]],TAGS!$W$67:$Y$81,3,FALSE)</f>
        <v>2ND SEMESTER</v>
      </c>
      <c r="AC151" s="51">
        <f>VLOOKUP(Table37[[#This Row],[MONTH]],TAGS!$W$67:$Z$81,4,FALSE)</f>
        <v>2025</v>
      </c>
      <c r="AD151" s="47">
        <v>100</v>
      </c>
      <c r="AE151" s="47"/>
      <c r="AF151" s="51">
        <f>SUM(Table37[[#This Row],[MOOE (Php ''000)]:[CO (Php ''000)]])</f>
        <v>100</v>
      </c>
      <c r="AG151" s="71" t="b">
        <f>ISBLANK(Table37[[#This Row],[PRPOPOSAL/BEDS]])</f>
        <v>0</v>
      </c>
      <c r="AH151" s="71" t="b">
        <f>ISBLANK(Table37[[#This Row],[OU]])</f>
        <v>0</v>
      </c>
      <c r="AI151" s="71" t="b">
        <f>ISBLANK(Table37[[#This Row],[SPECIFIC COMMODITY]])</f>
        <v>0</v>
      </c>
      <c r="AJ151" s="71" t="b">
        <f>ISBLANK(Table37[[#This Row],[COMMODITY PREXC SUB-PROGRAM]])</f>
        <v>0</v>
      </c>
      <c r="AK151" s="71" t="b">
        <f>ISBLANK(Table37[[#This Row],[ACTIVITY]])</f>
        <v>0</v>
      </c>
      <c r="AL151" s="71" t="b">
        <f>ISBLANK(Table37[[#This Row],[TAG-GAD]])</f>
        <v>0</v>
      </c>
      <c r="AM151" s="71" t="b">
        <f>ISBLANK(Table37[[#This Row],[MONTH]])</f>
        <v>0</v>
      </c>
      <c r="AN151" s="71" t="b">
        <f>ISBLANK(Table37[[#This Row],[MOOE (Php ''000)]])</f>
        <v>0</v>
      </c>
      <c r="AO151" s="71" t="b">
        <f>ISBLANK(Table37[[#This Row],[CO (Php ''000)]])</f>
        <v>1</v>
      </c>
    </row>
    <row r="152" spans="1:41">
      <c r="A152" s="51" t="str">
        <f>VLOOKUP(Table37[[#This Row],[OU]],OU!$A$15:$B$34,2,FALSE)</f>
        <v>RFOs</v>
      </c>
      <c r="B152" s="47" t="s">
        <v>301</v>
      </c>
      <c r="C152" s="47" t="s">
        <v>574</v>
      </c>
      <c r="D152" s="47" t="s">
        <v>578</v>
      </c>
      <c r="E152" s="51" t="str">
        <f>VLOOKUP(Table37[[#This Row],[SPECIFIC COMMODITY]],TAGS!$W$48:$X$53,2,FALSE)</f>
        <v>Corn</v>
      </c>
      <c r="F152" s="51" t="str">
        <f>VLOOKUP(Table37[[#This Row],[PREXC SUB-PROGRAM]],Table5[],2,FALSE)</f>
        <v>TECHNICAL AND SUPPORT SERVICES PROGRAM</v>
      </c>
      <c r="G152" s="51" t="str">
        <f>VLOOKUP(Table37[[#This Row],[COMMODITY PREXC SUB-PROGRAM]],TAGS!$U$54:$V$76,2,FALSE)</f>
        <v>ESETS</v>
      </c>
      <c r="H152" s="47" t="s">
        <v>587</v>
      </c>
      <c r="I152" s="51" t="str">
        <f>VLOOKUP(Table37[[#This Row],[PI LEVEL 3]],'PI LEVEL'!A:C,3,FALSE)</f>
        <v>Extension support activities conducted</v>
      </c>
      <c r="J152" s="51" t="str">
        <f>VLOOKUP(Table37[[#This Row],[PI LEVEL 3]],Table53729[[Performance Indicator Level 3]:[Performance Indicator Level 1]],2,FALSE)</f>
        <v>Extension support activities conducted</v>
      </c>
      <c r="K152" s="51" t="str">
        <f>VLOOKUP(Table37[[#This Row],[ACTIVITY]],TAGS!B:P,2,FALSE)</f>
        <v>Other extension support activities conducted</v>
      </c>
      <c r="L152" s="60" t="s">
        <v>165</v>
      </c>
      <c r="M152" s="51" t="str">
        <f>VLOOKUP(Table37[[#This Row],[ACTIVITY]],TAGS!$B:$P,4,FALSE)</f>
        <v>Special Events</v>
      </c>
      <c r="N152" s="51" t="str">
        <f>VLOOKUP(Table37[[#This Row],[ACTIVITY]],TAGS!$B:$P,5,FALSE)</f>
        <v>Special Events</v>
      </c>
      <c r="O152" s="51" t="str">
        <f>VLOOKUP(Table37[[#This Row],[ACTIVITY]],TAGS!$B:$P,6,FALSE)</f>
        <v>Corn and Cassava Congress</v>
      </c>
      <c r="P152" s="51" t="str">
        <f>VLOOKUP(Table37[[#This Row],[ACTIVITY]],TAGS!$B:$P,7,FALSE)</f>
        <v>NO</v>
      </c>
      <c r="Q152" s="51" t="str">
        <f>VLOOKUP(Table37[[#This Row],[ACTIVITY]],TAGS!$B:$P,8,FALSE)</f>
        <v>PAP</v>
      </c>
      <c r="R152" s="51" t="str">
        <f>VLOOKUP(Table37[[#This Row],[ACTIVITY]],TAGS!$B:$P,10,FALSE)</f>
        <v>PIP</v>
      </c>
      <c r="S152" s="51" t="str">
        <f>VLOOKUP(Table37[[#This Row],[ACTIVITY]],TAGS!$B:$P,11,FALSE)</f>
        <v>PICS</v>
      </c>
      <c r="T152" s="51" t="str">
        <f>VLOOKUP(Table37[[#This Row],[ACTIVITY]],TAGS!$B:$P,12,FALSE)</f>
        <v>Strategic Communication</v>
      </c>
      <c r="U152" s="51" t="str">
        <f>VLOOKUP(Table37[[#This Row],[ACTIVITY]],TAGS!$B:$P,13,FALSE)</f>
        <v>18. Strategic Communications​</v>
      </c>
      <c r="V152" s="51" t="str">
        <f>VLOOKUP(Table37[[#This Row],[ACTIVITY]],TAGS!$B:$P,14,FALSE)</f>
        <v>STRONG PARTNERSHIP WITH THE FARMERS, FISHERFOLK, PRIVATE SECTOR, AND OTHER STAKEHOLDERS</v>
      </c>
      <c r="W152" s="51" t="str">
        <f>VLOOKUP(Table37[[#This Row],[ACTIVITY]],TAGS!$B:$P,15,FALSE)</f>
        <v>Other Intervetions</v>
      </c>
      <c r="X152" s="51" t="str">
        <f>VLOOKUP(Table37[[#This Row],[PI LEVEL 3]],'PI LEVEL'!$A:$G,7,FALSE)</f>
        <v>DA-Level Output</v>
      </c>
      <c r="Y152" s="47" t="s">
        <v>577</v>
      </c>
      <c r="Z152" s="47" t="s">
        <v>337</v>
      </c>
      <c r="AA152" s="51" t="str">
        <f>VLOOKUP(Table37[[#This Row],[MONTH]],TAGS!$W$67:$Y$81,2,FALSE)</f>
        <v>4TH QTR</v>
      </c>
      <c r="AB152" s="51" t="str">
        <f>VLOOKUP(Table37[[#This Row],[MONTH]],TAGS!$W$67:$Y$81,3,FALSE)</f>
        <v>2ND SEMESTER</v>
      </c>
      <c r="AC152" s="51">
        <f>VLOOKUP(Table37[[#This Row],[MONTH]],TAGS!$W$67:$Z$81,4,FALSE)</f>
        <v>2025</v>
      </c>
      <c r="AD152" s="47">
        <v>600</v>
      </c>
      <c r="AE152" s="47"/>
      <c r="AF152" s="51">
        <f>SUM(Table37[[#This Row],[MOOE (Php ''000)]:[CO (Php ''000)]])</f>
        <v>600</v>
      </c>
      <c r="AG152" s="71" t="b">
        <f>ISBLANK(Table37[[#This Row],[PRPOPOSAL/BEDS]])</f>
        <v>0</v>
      </c>
      <c r="AH152" s="71" t="b">
        <f>ISBLANK(Table37[[#This Row],[OU]])</f>
        <v>0</v>
      </c>
      <c r="AI152" s="71" t="b">
        <f>ISBLANK(Table37[[#This Row],[SPECIFIC COMMODITY]])</f>
        <v>0</v>
      </c>
      <c r="AJ152" s="71" t="b">
        <f>ISBLANK(Table37[[#This Row],[COMMODITY PREXC SUB-PROGRAM]])</f>
        <v>0</v>
      </c>
      <c r="AK152" s="71" t="b">
        <f>ISBLANK(Table37[[#This Row],[ACTIVITY]])</f>
        <v>0</v>
      </c>
      <c r="AL152" s="71" t="b">
        <f>ISBLANK(Table37[[#This Row],[TAG-GAD]])</f>
        <v>0</v>
      </c>
      <c r="AM152" s="71" t="b">
        <f>ISBLANK(Table37[[#This Row],[MONTH]])</f>
        <v>0</v>
      </c>
      <c r="AN152" s="71" t="b">
        <f>ISBLANK(Table37[[#This Row],[MOOE (Php ''000)]])</f>
        <v>0</v>
      </c>
      <c r="AO152" s="71" t="b">
        <f>ISBLANK(Table37[[#This Row],[CO (Php ''000)]])</f>
        <v>1</v>
      </c>
    </row>
    <row r="153" spans="1:41">
      <c r="A153" s="51" t="str">
        <f>VLOOKUP(Table37[[#This Row],[OU]],OU!$A$15:$B$34,2,FALSE)</f>
        <v>RFOs</v>
      </c>
      <c r="B153" s="47" t="s">
        <v>301</v>
      </c>
      <c r="C153" s="47" t="s">
        <v>574</v>
      </c>
      <c r="D153" s="47" t="s">
        <v>578</v>
      </c>
      <c r="E153" s="51" t="str">
        <f>VLOOKUP(Table37[[#This Row],[SPECIFIC COMMODITY]],TAGS!$W$48:$X$53,2,FALSE)</f>
        <v>Corn</v>
      </c>
      <c r="F153" s="51" t="str">
        <f>VLOOKUP(Table37[[#This Row],[PREXC SUB-PROGRAM]],Table5[],2,FALSE)</f>
        <v>TECHNICAL AND SUPPORT SERVICES PROGRAM</v>
      </c>
      <c r="G153" s="51" t="str">
        <f>VLOOKUP(Table37[[#This Row],[COMMODITY PREXC SUB-PROGRAM]],TAGS!$U$54:$V$76,2,FALSE)</f>
        <v>ESETS</v>
      </c>
      <c r="H153" s="47" t="s">
        <v>587</v>
      </c>
      <c r="I153" s="51" t="str">
        <f>VLOOKUP(Table37[[#This Row],[PI LEVEL 3]],'PI LEVEL'!A:C,3,FALSE)</f>
        <v>Knowledge Products disseminated</v>
      </c>
      <c r="J153" s="51" t="str">
        <f>VLOOKUP(Table37[[#This Row],[PI LEVEL 3]],Table53729[[Performance Indicator Level 3]:[Performance Indicator Level 1]],2,FALSE)</f>
        <v>Knowledge Products disseminated</v>
      </c>
      <c r="K153" s="51" t="str">
        <f>VLOOKUP(Table37[[#This Row],[ACTIVITY]],TAGS!B:P,2,FALSE)</f>
        <v>Knowledge Products disseminated</v>
      </c>
      <c r="L153" s="47" t="s">
        <v>145</v>
      </c>
      <c r="M153" s="51" t="str">
        <f>VLOOKUP(Table37[[#This Row],[ACTIVITY]],TAGS!$B:$P,4,FALSE)</f>
        <v>Information, Education, and Communication Activities</v>
      </c>
      <c r="N153" s="51" t="str">
        <f>VLOOKUP(Table37[[#This Row],[ACTIVITY]],TAGS!$B:$P,5,FALSE)</f>
        <v>Information, Education, and Communication Activities</v>
      </c>
      <c r="O153" s="51" t="str">
        <f>VLOOKUP(Table37[[#This Row],[ACTIVITY]],TAGS!$B:$P,6,FALSE)</f>
        <v>IEC materials</v>
      </c>
      <c r="P153" s="51" t="str">
        <f>VLOOKUP(Table37[[#This Row],[ACTIVITY]],TAGS!$B:$P,7,FALSE)</f>
        <v>NO</v>
      </c>
      <c r="Q153" s="51" t="str">
        <f>VLOOKUP(Table37[[#This Row],[ACTIVITY]],TAGS!$B:$P,8,FALSE)</f>
        <v>PAP</v>
      </c>
      <c r="R153" s="51" t="str">
        <f>VLOOKUP(Table37[[#This Row],[ACTIVITY]],TAGS!$B:$P,10,FALSE)</f>
        <v>PIP</v>
      </c>
      <c r="S153" s="51" t="str">
        <f>VLOOKUP(Table37[[#This Row],[ACTIVITY]],TAGS!$B:$P,11,FALSE)</f>
        <v>PICS</v>
      </c>
      <c r="T153" s="51" t="str">
        <f>VLOOKUP(Table37[[#This Row],[ACTIVITY]],TAGS!$B:$P,12,FALSE)</f>
        <v>Strategic Communication</v>
      </c>
      <c r="U153" s="51" t="str">
        <f>VLOOKUP(Table37[[#This Row],[ACTIVITY]],TAGS!$B:$P,13,FALSE)</f>
        <v>18. Strategic Communications​</v>
      </c>
      <c r="V153" s="51">
        <f>VLOOKUP(Table37[[#This Row],[ACTIVITY]],TAGS!$B:$P,14,FALSE)</f>
        <v>0</v>
      </c>
      <c r="W153" s="51" t="str">
        <f>VLOOKUP(Table37[[#This Row],[ACTIVITY]],TAGS!$B:$P,15,FALSE)</f>
        <v>IEC</v>
      </c>
      <c r="X153" s="51" t="str">
        <f>VLOOKUP(Table37[[#This Row],[PI LEVEL 3]],'PI LEVEL'!$A:$G,7,FALSE)</f>
        <v>DA-Level Output</v>
      </c>
      <c r="Y153" s="47" t="s">
        <v>577</v>
      </c>
      <c r="Z153" s="47" t="s">
        <v>333</v>
      </c>
      <c r="AA153" s="51" t="str">
        <f>VLOOKUP(Table37[[#This Row],[MONTH]],TAGS!$W$67:$Y$81,2,FALSE)</f>
        <v>3RD QTR</v>
      </c>
      <c r="AB153" s="51" t="str">
        <f>VLOOKUP(Table37[[#This Row],[MONTH]],TAGS!$W$67:$Y$81,3,FALSE)</f>
        <v>2ND SEMESTER</v>
      </c>
      <c r="AC153" s="51">
        <f>VLOOKUP(Table37[[#This Row],[MONTH]],TAGS!$W$67:$Z$81,4,FALSE)</f>
        <v>2025</v>
      </c>
      <c r="AD153" s="47">
        <v>200</v>
      </c>
      <c r="AE153" s="47"/>
      <c r="AF153" s="51">
        <f>SUM(Table37[[#This Row],[MOOE (Php ''000)]:[CO (Php ''000)]])</f>
        <v>200</v>
      </c>
      <c r="AG153" s="71" t="b">
        <f>ISBLANK(Table37[[#This Row],[PRPOPOSAL/BEDS]])</f>
        <v>0</v>
      </c>
      <c r="AH153" s="71" t="b">
        <f>ISBLANK(Table37[[#This Row],[OU]])</f>
        <v>0</v>
      </c>
      <c r="AI153" s="71" t="b">
        <f>ISBLANK(Table37[[#This Row],[SPECIFIC COMMODITY]])</f>
        <v>0</v>
      </c>
      <c r="AJ153" s="71" t="b">
        <f>ISBLANK(Table37[[#This Row],[COMMODITY PREXC SUB-PROGRAM]])</f>
        <v>0</v>
      </c>
      <c r="AK153" s="71" t="b">
        <f>ISBLANK(Table37[[#This Row],[ACTIVITY]])</f>
        <v>0</v>
      </c>
      <c r="AL153" s="71" t="b">
        <f>ISBLANK(Table37[[#This Row],[TAG-GAD]])</f>
        <v>0</v>
      </c>
      <c r="AM153" s="71" t="b">
        <f>ISBLANK(Table37[[#This Row],[MONTH]])</f>
        <v>0</v>
      </c>
      <c r="AN153" s="71" t="b">
        <f>ISBLANK(Table37[[#This Row],[MOOE (Php ''000)]])</f>
        <v>0</v>
      </c>
      <c r="AO153" s="71" t="b">
        <f>ISBLANK(Table37[[#This Row],[CO (Php ''000)]])</f>
        <v>1</v>
      </c>
    </row>
    <row r="154" spans="1:41">
      <c r="A154" s="51" t="str">
        <f>VLOOKUP(Table37[[#This Row],[OU]],OU!$A$15:$B$34,2,FALSE)</f>
        <v>RFOs</v>
      </c>
      <c r="B154" s="47" t="s">
        <v>301</v>
      </c>
      <c r="C154" s="47" t="s">
        <v>574</v>
      </c>
      <c r="D154" s="47" t="s">
        <v>579</v>
      </c>
      <c r="E154" s="51" t="str">
        <f>VLOOKUP(Table37[[#This Row],[SPECIFIC COMMODITY]],TAGS!$W$48:$X$53,2,FALSE)</f>
        <v>Cassava</v>
      </c>
      <c r="F154" s="51" t="str">
        <f>VLOOKUP(Table37[[#This Row],[PREXC SUB-PROGRAM]],Table5[],2,FALSE)</f>
        <v>TECHNICAL AND SUPPORT SERVICES PROGRAM</v>
      </c>
      <c r="G154" s="51" t="str">
        <f>VLOOKUP(Table37[[#This Row],[COMMODITY PREXC SUB-PROGRAM]],TAGS!$U$54:$V$76,2,FALSE)</f>
        <v>ESETS</v>
      </c>
      <c r="H154" s="47" t="s">
        <v>589</v>
      </c>
      <c r="I154" s="51" t="str">
        <f>VLOOKUP(Table37[[#This Row],[PI LEVEL 3]],'PI LEVEL'!A:C,3,FALSE)</f>
        <v>Technology demonstrations established/maintained</v>
      </c>
      <c r="J154" s="51" t="str">
        <f>VLOOKUP(Table37[[#This Row],[PI LEVEL 3]],Table53729[[Performance Indicator Level 3]:[Performance Indicator Level 1]],2,FALSE)</f>
        <v>Model Farms established</v>
      </c>
      <c r="K154" s="51" t="str">
        <f>VLOOKUP(Table37[[#This Row],[ACTIVITY]],TAGS!B:P,2,FALSE)</f>
        <v>Model Farms established</v>
      </c>
      <c r="L154" s="47" t="s">
        <v>107</v>
      </c>
      <c r="M154" s="51" t="str">
        <f>VLOOKUP(Table37[[#This Row],[ACTIVITY]],TAGS!$B:$P,4,FALSE)</f>
        <v>Model Farm establishment</v>
      </c>
      <c r="N154" s="51" t="str">
        <f>VLOOKUP(Table37[[#This Row],[ACTIVITY]],TAGS!$B:$P,5,FALSE)</f>
        <v>Model farm</v>
      </c>
      <c r="O154" s="51" t="str">
        <f>VLOOKUP(Table37[[#This Row],[ACTIVITY]],TAGS!$B:$P,6,FALSE)</f>
        <v>Cassava model farm</v>
      </c>
      <c r="P154" s="51" t="str">
        <f>VLOOKUP(Table37[[#This Row],[ACTIVITY]],TAGS!$B:$P,7,FALSE)</f>
        <v>YES</v>
      </c>
      <c r="Q154" s="51" t="str">
        <f>VLOOKUP(Table37[[#This Row],[ACTIVITY]],TAGS!$B:$P,8,FALSE)</f>
        <v>PAP</v>
      </c>
      <c r="R154" s="51" t="str">
        <f>VLOOKUP(Table37[[#This Row],[ACTIVITY]],TAGS!$B:$P,10,FALSE)</f>
        <v>PIP</v>
      </c>
      <c r="S154" s="51" t="str">
        <f>VLOOKUP(Table37[[#This Row],[ACTIVITY]],TAGS!$B:$P,11,FALSE)</f>
        <v>PICS</v>
      </c>
      <c r="T154" s="51" t="str">
        <f>VLOOKUP(Table37[[#This Row],[ACTIVITY]],TAGS!$B:$P,12,FALSE)</f>
        <v>Consolidation</v>
      </c>
      <c r="U154" s="51" t="str">
        <f>VLOOKUP(Table37[[#This Row],[ACTIVITY]],TAGS!$B:$P,13,FALSE)</f>
        <v>1. Bayanihan Agri Cluster</v>
      </c>
      <c r="V154" s="51" t="str">
        <f>VLOOKUP(Table37[[#This Row],[ACTIVITY]],TAGS!$B:$P,14,FALSE)</f>
        <v>EXPAND AND IMPROVE AVAILABLE AGRI-FISHERY AREAS FOR INCREASED PRODUCTION</v>
      </c>
      <c r="W154" s="51" t="str">
        <f>VLOOKUP(Table37[[#This Row],[ACTIVITY]],TAGS!$B:$P,15,FALSE)</f>
        <v>Farm Inputs</v>
      </c>
      <c r="X154" s="51" t="str">
        <f>VLOOKUP(Table37[[#This Row],[PI LEVEL 3]],'PI LEVEL'!$A:$G,7,FALSE)</f>
        <v>DA-Level Output</v>
      </c>
      <c r="Y154" s="47" t="s">
        <v>577</v>
      </c>
      <c r="Z154" s="47" t="s">
        <v>334</v>
      </c>
      <c r="AA154" s="51" t="str">
        <f>VLOOKUP(Table37[[#This Row],[MONTH]],TAGS!$W$67:$Y$81,2,FALSE)</f>
        <v>3RD QTR</v>
      </c>
      <c r="AB154" s="51" t="str">
        <f>VLOOKUP(Table37[[#This Row],[MONTH]],TAGS!$W$67:$Y$81,3,FALSE)</f>
        <v>2ND SEMESTER</v>
      </c>
      <c r="AC154" s="51">
        <f>VLOOKUP(Table37[[#This Row],[MONTH]],TAGS!$W$67:$Z$81,4,FALSE)</f>
        <v>2025</v>
      </c>
      <c r="AD154" s="47">
        <v>650</v>
      </c>
      <c r="AE154" s="47"/>
      <c r="AF154" s="51">
        <f>SUM(Table37[[#This Row],[MOOE (Php ''000)]:[CO (Php ''000)]])</f>
        <v>650</v>
      </c>
      <c r="AG154" s="71" t="b">
        <f>ISBLANK(Table37[[#This Row],[PRPOPOSAL/BEDS]])</f>
        <v>0</v>
      </c>
      <c r="AH154" s="71" t="b">
        <f>ISBLANK(Table37[[#This Row],[OU]])</f>
        <v>0</v>
      </c>
      <c r="AI154" s="71" t="b">
        <f>ISBLANK(Table37[[#This Row],[SPECIFIC COMMODITY]])</f>
        <v>0</v>
      </c>
      <c r="AJ154" s="71" t="b">
        <f>ISBLANK(Table37[[#This Row],[COMMODITY PREXC SUB-PROGRAM]])</f>
        <v>0</v>
      </c>
      <c r="AK154" s="71" t="b">
        <f>ISBLANK(Table37[[#This Row],[ACTIVITY]])</f>
        <v>0</v>
      </c>
      <c r="AL154" s="71" t="b">
        <f>ISBLANK(Table37[[#This Row],[TAG-GAD]])</f>
        <v>0</v>
      </c>
      <c r="AM154" s="71" t="b">
        <f>ISBLANK(Table37[[#This Row],[MONTH]])</f>
        <v>0</v>
      </c>
      <c r="AN154" s="71" t="b">
        <f>ISBLANK(Table37[[#This Row],[MOOE (Php ''000)]])</f>
        <v>0</v>
      </c>
      <c r="AO154" s="71" t="b">
        <f>ISBLANK(Table37[[#This Row],[CO (Php ''000)]])</f>
        <v>1</v>
      </c>
    </row>
    <row r="155" spans="1:41">
      <c r="A155" s="51" t="str">
        <f>VLOOKUP(Table37[[#This Row],[OU]],OU!$A$15:$B$34,2,FALSE)</f>
        <v>RFOs</v>
      </c>
      <c r="B155" s="47" t="s">
        <v>301</v>
      </c>
      <c r="C155" s="47" t="s">
        <v>574</v>
      </c>
      <c r="D155" s="47" t="s">
        <v>579</v>
      </c>
      <c r="E155" s="51" t="str">
        <f>VLOOKUP(Table37[[#This Row],[SPECIFIC COMMODITY]],TAGS!$W$48:$X$53,2,FALSE)</f>
        <v>Cassava</v>
      </c>
      <c r="F155" s="51" t="str">
        <f>VLOOKUP(Table37[[#This Row],[PREXC SUB-PROGRAM]],Table5[],2,FALSE)</f>
        <v>TECHNICAL AND SUPPORT SERVICES PROGRAM</v>
      </c>
      <c r="G155" s="51" t="str">
        <f>VLOOKUP(Table37[[#This Row],[COMMODITY PREXC SUB-PROGRAM]],TAGS!$U$54:$V$76,2,FALSE)</f>
        <v>ESETS</v>
      </c>
      <c r="H155" s="47" t="s">
        <v>589</v>
      </c>
      <c r="I155" s="51" t="str">
        <f>VLOOKUP(Table37[[#This Row],[PI LEVEL 3]],'PI LEVEL'!A:C,3,FALSE)</f>
        <v>Training conducted</v>
      </c>
      <c r="J155" s="51" t="str">
        <f>VLOOKUP(Table37[[#This Row],[PI LEVEL 3]],Table53729[[Performance Indicator Level 3]:[Performance Indicator Level 1]],2,FALSE)</f>
        <v>Other training conducted</v>
      </c>
      <c r="K155" s="51" t="str">
        <f>VLOOKUP(Table37[[#This Row],[ACTIVITY]],TAGS!B:P,2,FALSE)</f>
        <v>Other training conducted_Farmers/Fisherfolk/Other External Participants</v>
      </c>
      <c r="L155" s="47" t="s">
        <v>147</v>
      </c>
      <c r="M155" s="51" t="str">
        <f>VLOOKUP(Table37[[#This Row],[ACTIVITY]],TAGS!$B:$P,4,FALSE)</f>
        <v>Trainings</v>
      </c>
      <c r="N155" s="51" t="str">
        <f>VLOOKUP(Table37[[#This Row],[ACTIVITY]],TAGS!$B:$P,5,FALSE)</f>
        <v>Trainings</v>
      </c>
      <c r="O155" s="51" t="str">
        <f>VLOOKUP(Table37[[#This Row],[ACTIVITY]],TAGS!$B:$P,6,FALSE)</f>
        <v>Cassava Livelihood training</v>
      </c>
      <c r="P155" s="51" t="str">
        <f>VLOOKUP(Table37[[#This Row],[ACTIVITY]],TAGS!$B:$P,7,FALSE)</f>
        <v>NO</v>
      </c>
      <c r="Q155" s="51" t="str">
        <f>VLOOKUP(Table37[[#This Row],[ACTIVITY]],TAGS!$B:$P,8,FALSE)</f>
        <v>PAP</v>
      </c>
      <c r="R155" s="51" t="str">
        <f>VLOOKUP(Table37[[#This Row],[ACTIVITY]],TAGS!$B:$P,10,FALSE)</f>
        <v>PIP</v>
      </c>
      <c r="S155" s="51" t="str">
        <f>VLOOKUP(Table37[[#This Row],[ACTIVITY]],TAGS!$B:$P,11,FALSE)</f>
        <v>PICS</v>
      </c>
      <c r="T155" s="51" t="str">
        <f>VLOOKUP(Table37[[#This Row],[ACTIVITY]],TAGS!$B:$P,12,FALSE)</f>
        <v>Consolidation</v>
      </c>
      <c r="U155" s="51" t="str">
        <f>VLOOKUP(Table37[[#This Row],[ACTIVITY]],TAGS!$B:$P,13,FALSE)</f>
        <v>1. Bayanihan Agri Cluster</v>
      </c>
      <c r="V155" s="51" t="str">
        <f>VLOOKUP(Table37[[#This Row],[ACTIVITY]],TAGS!$B:$P,14,FALSE)</f>
        <v>IMPROVE AND EXPAND LOCAL AND INTERNATIONAL MARKET ACCESS</v>
      </c>
      <c r="W155" s="51" t="str">
        <f>VLOOKUP(Table37[[#This Row],[ACTIVITY]],TAGS!$B:$P,15,FALSE)</f>
        <v>Capacity Building</v>
      </c>
      <c r="X155" s="51" t="str">
        <f>VLOOKUP(Table37[[#This Row],[PI LEVEL 3]],'PI LEVEL'!$A:$G,7,FALSE)</f>
        <v>PREXC/DA-Level Output</v>
      </c>
      <c r="Y155" s="47" t="s">
        <v>588</v>
      </c>
      <c r="Z155" s="47" t="s">
        <v>331</v>
      </c>
      <c r="AA155" s="51" t="str">
        <f>VLOOKUP(Table37[[#This Row],[MONTH]],TAGS!$W$67:$Y$81,2,FALSE)</f>
        <v>2ND QTR</v>
      </c>
      <c r="AB155" s="51" t="str">
        <f>VLOOKUP(Table37[[#This Row],[MONTH]],TAGS!$W$67:$Y$81,3,FALSE)</f>
        <v>1ST SEMESTER</v>
      </c>
      <c r="AC155" s="51">
        <f>VLOOKUP(Table37[[#This Row],[MONTH]],TAGS!$W$67:$Z$81,4,FALSE)</f>
        <v>2025</v>
      </c>
      <c r="AD155" s="47">
        <v>200</v>
      </c>
      <c r="AE155" s="47"/>
      <c r="AF155" s="51">
        <f>SUM(Table37[[#This Row],[MOOE (Php ''000)]:[CO (Php ''000)]])</f>
        <v>200</v>
      </c>
      <c r="AG155" s="71" t="b">
        <f>ISBLANK(Table37[[#This Row],[PRPOPOSAL/BEDS]])</f>
        <v>0</v>
      </c>
      <c r="AH155" s="71" t="b">
        <f>ISBLANK(Table37[[#This Row],[OU]])</f>
        <v>0</v>
      </c>
      <c r="AI155" s="71" t="b">
        <f>ISBLANK(Table37[[#This Row],[SPECIFIC COMMODITY]])</f>
        <v>0</v>
      </c>
      <c r="AJ155" s="71" t="b">
        <f>ISBLANK(Table37[[#This Row],[COMMODITY PREXC SUB-PROGRAM]])</f>
        <v>0</v>
      </c>
      <c r="AK155" s="71" t="b">
        <f>ISBLANK(Table37[[#This Row],[ACTIVITY]])</f>
        <v>0</v>
      </c>
      <c r="AL155" s="71" t="b">
        <f>ISBLANK(Table37[[#This Row],[TAG-GAD]])</f>
        <v>0</v>
      </c>
      <c r="AM155" s="71" t="b">
        <f>ISBLANK(Table37[[#This Row],[MONTH]])</f>
        <v>0</v>
      </c>
      <c r="AN155" s="71" t="b">
        <f>ISBLANK(Table37[[#This Row],[MOOE (Php ''000)]])</f>
        <v>0</v>
      </c>
      <c r="AO155" s="71" t="b">
        <f>ISBLANK(Table37[[#This Row],[CO (Php ''000)]])</f>
        <v>1</v>
      </c>
    </row>
    <row r="156" spans="1:41">
      <c r="A156" s="51" t="str">
        <f>VLOOKUP(Table37[[#This Row],[OU]],OU!$A$15:$B$34,2,FALSE)</f>
        <v>RFOs</v>
      </c>
      <c r="B156" s="47" t="s">
        <v>301</v>
      </c>
      <c r="C156" s="47" t="s">
        <v>574</v>
      </c>
      <c r="D156" s="47" t="s">
        <v>579</v>
      </c>
      <c r="E156" s="51" t="str">
        <f>VLOOKUP(Table37[[#This Row],[SPECIFIC COMMODITY]],TAGS!$W$48:$X$53,2,FALSE)</f>
        <v>Cassava</v>
      </c>
      <c r="F156" s="51" t="str">
        <f>VLOOKUP(Table37[[#This Row],[PREXC SUB-PROGRAM]],Table5[],2,FALSE)</f>
        <v>TECHNICAL AND SUPPORT SERVICES PROGRAM</v>
      </c>
      <c r="G156" s="51" t="str">
        <f>VLOOKUP(Table37[[#This Row],[COMMODITY PREXC SUB-PROGRAM]],TAGS!$U$54:$V$76,2,FALSE)</f>
        <v>ESETS</v>
      </c>
      <c r="H156" s="47" t="s">
        <v>589</v>
      </c>
      <c r="I156" s="51" t="str">
        <f>VLOOKUP(Table37[[#This Row],[PI LEVEL 3]],'PI LEVEL'!A:C,3,FALSE)</f>
        <v>Training conducted</v>
      </c>
      <c r="J156" s="51" t="str">
        <f>VLOOKUP(Table37[[#This Row],[PI LEVEL 3]],Table53729[[Performance Indicator Level 3]:[Performance Indicator Level 1]],2,FALSE)</f>
        <v>Other training conducted</v>
      </c>
      <c r="K156" s="51" t="str">
        <f>VLOOKUP(Table37[[#This Row],[ACTIVITY]],TAGS!B:P,2,FALSE)</f>
        <v>Other training conducted_Farmers/Fisherfolk/Other External Participants</v>
      </c>
      <c r="L156" s="47" t="s">
        <v>149</v>
      </c>
      <c r="M156" s="51" t="str">
        <f>VLOOKUP(Table37[[#This Row],[ACTIVITY]],TAGS!$B:$P,4,FALSE)</f>
        <v>Trainings</v>
      </c>
      <c r="N156" s="51" t="str">
        <f>VLOOKUP(Table37[[#This Row],[ACTIVITY]],TAGS!$B:$P,5,FALSE)</f>
        <v>Trainings</v>
      </c>
      <c r="O156" s="51" t="str">
        <f>VLOOKUP(Table37[[#This Row],[ACTIVITY]],TAGS!$B:$P,6,FALSE)</f>
        <v>Cassava Production Training</v>
      </c>
      <c r="P156" s="51" t="str">
        <f>VLOOKUP(Table37[[#This Row],[ACTIVITY]],TAGS!$B:$P,7,FALSE)</f>
        <v>NO</v>
      </c>
      <c r="Q156" s="51" t="str">
        <f>VLOOKUP(Table37[[#This Row],[ACTIVITY]],TAGS!$B:$P,8,FALSE)</f>
        <v>PAP</v>
      </c>
      <c r="R156" s="51" t="str">
        <f>VLOOKUP(Table37[[#This Row],[ACTIVITY]],TAGS!$B:$P,10,FALSE)</f>
        <v>PIP</v>
      </c>
      <c r="S156" s="51" t="str">
        <f>VLOOKUP(Table37[[#This Row],[ACTIVITY]],TAGS!$B:$P,11,FALSE)</f>
        <v>PICS</v>
      </c>
      <c r="T156" s="51" t="str">
        <f>VLOOKUP(Table37[[#This Row],[ACTIVITY]],TAGS!$B:$P,12,FALSE)</f>
        <v>Consolidation</v>
      </c>
      <c r="U156" s="51" t="str">
        <f>VLOOKUP(Table37[[#This Row],[ACTIVITY]],TAGS!$B:$P,13,FALSE)</f>
        <v>1. Bayanihan Agri Cluster</v>
      </c>
      <c r="V156" s="51" t="str">
        <f>VLOOKUP(Table37[[#This Row],[ACTIVITY]],TAGS!$B:$P,14,FALSE)</f>
        <v>EXPAND AND IMPROVE AVAILABLE AGRI-FISHERY AREAS FOR INCREASED PRODUCTION</v>
      </c>
      <c r="W156" s="51" t="str">
        <f>VLOOKUP(Table37[[#This Row],[ACTIVITY]],TAGS!$B:$P,15,FALSE)</f>
        <v>Capacity Building</v>
      </c>
      <c r="X156" s="51" t="str">
        <f>VLOOKUP(Table37[[#This Row],[PI LEVEL 3]],'PI LEVEL'!$A:$G,7,FALSE)</f>
        <v>PREXC/DA-Level Output</v>
      </c>
      <c r="Y156" s="47" t="s">
        <v>577</v>
      </c>
      <c r="Z156" s="47" t="s">
        <v>331</v>
      </c>
      <c r="AA156" s="51" t="str">
        <f>VLOOKUP(Table37[[#This Row],[MONTH]],TAGS!$W$67:$Y$81,2,FALSE)</f>
        <v>2ND QTR</v>
      </c>
      <c r="AB156" s="51" t="str">
        <f>VLOOKUP(Table37[[#This Row],[MONTH]],TAGS!$W$67:$Y$81,3,FALSE)</f>
        <v>1ST SEMESTER</v>
      </c>
      <c r="AC156" s="51">
        <f>VLOOKUP(Table37[[#This Row],[MONTH]],TAGS!$W$67:$Z$81,4,FALSE)</f>
        <v>2025</v>
      </c>
      <c r="AD156" s="47">
        <v>140</v>
      </c>
      <c r="AE156" s="47"/>
      <c r="AF156" s="51">
        <f>SUM(Table37[[#This Row],[MOOE (Php ''000)]:[CO (Php ''000)]])</f>
        <v>140</v>
      </c>
      <c r="AG156" s="71" t="b">
        <f>ISBLANK(Table37[[#This Row],[PRPOPOSAL/BEDS]])</f>
        <v>0</v>
      </c>
      <c r="AH156" s="71" t="b">
        <f>ISBLANK(Table37[[#This Row],[OU]])</f>
        <v>0</v>
      </c>
      <c r="AI156" s="71" t="b">
        <f>ISBLANK(Table37[[#This Row],[SPECIFIC COMMODITY]])</f>
        <v>0</v>
      </c>
      <c r="AJ156" s="71" t="b">
        <f>ISBLANK(Table37[[#This Row],[COMMODITY PREXC SUB-PROGRAM]])</f>
        <v>0</v>
      </c>
      <c r="AK156" s="71" t="b">
        <f>ISBLANK(Table37[[#This Row],[ACTIVITY]])</f>
        <v>0</v>
      </c>
      <c r="AL156" s="71" t="b">
        <f>ISBLANK(Table37[[#This Row],[TAG-GAD]])</f>
        <v>0</v>
      </c>
      <c r="AM156" s="71" t="b">
        <f>ISBLANK(Table37[[#This Row],[MONTH]])</f>
        <v>0</v>
      </c>
      <c r="AN156" s="71" t="b">
        <f>ISBLANK(Table37[[#This Row],[MOOE (Php ''000)]])</f>
        <v>0</v>
      </c>
      <c r="AO156" s="71" t="b">
        <f>ISBLANK(Table37[[#This Row],[CO (Php ''000)]])</f>
        <v>1</v>
      </c>
    </row>
    <row r="157" spans="1:41">
      <c r="A157" s="51" t="str">
        <f>VLOOKUP(Table37[[#This Row],[OU]],OU!$A$15:$B$34,2,FALSE)</f>
        <v>RFOs</v>
      </c>
      <c r="B157" s="47" t="s">
        <v>301</v>
      </c>
      <c r="C157" s="47" t="s">
        <v>574</v>
      </c>
      <c r="D157" s="47" t="s">
        <v>579</v>
      </c>
      <c r="E157" s="51" t="str">
        <f>VLOOKUP(Table37[[#This Row],[SPECIFIC COMMODITY]],TAGS!$W$48:$X$53,2,FALSE)</f>
        <v>Cassava</v>
      </c>
      <c r="F157" s="51" t="str">
        <f>VLOOKUP(Table37[[#This Row],[PREXC SUB-PROGRAM]],Table5[],2,FALSE)</f>
        <v>TECHNICAL AND SUPPORT SERVICES PROGRAM</v>
      </c>
      <c r="G157" s="51" t="str">
        <f>VLOOKUP(Table37[[#This Row],[COMMODITY PREXC SUB-PROGRAM]],TAGS!$U$54:$V$76,2,FALSE)</f>
        <v>ESETS</v>
      </c>
      <c r="H157" s="47" t="s">
        <v>589</v>
      </c>
      <c r="I157" s="51" t="str">
        <f>VLOOKUP(Table37[[#This Row],[PI LEVEL 3]],'PI LEVEL'!A:C,3,FALSE)</f>
        <v>Knowledge Products disseminated</v>
      </c>
      <c r="J157" s="51" t="str">
        <f>VLOOKUP(Table37[[#This Row],[PI LEVEL 3]],Table53729[[Performance Indicator Level 3]:[Performance Indicator Level 1]],2,FALSE)</f>
        <v>Knowledge Products disseminated</v>
      </c>
      <c r="K157" s="51" t="str">
        <f>VLOOKUP(Table37[[#This Row],[ACTIVITY]],TAGS!B:P,2,FALSE)</f>
        <v>Knowledge Products disseminated</v>
      </c>
      <c r="L157" s="47" t="s">
        <v>151</v>
      </c>
      <c r="M157" s="51" t="str">
        <f>VLOOKUP(Table37[[#This Row],[ACTIVITY]],TAGS!$B:$P,4,FALSE)</f>
        <v>Information, Education, and Communication Activities</v>
      </c>
      <c r="N157" s="51" t="str">
        <f>VLOOKUP(Table37[[#This Row],[ACTIVITY]],TAGS!$B:$P,5,FALSE)</f>
        <v>Information, Education, and Communication Activities</v>
      </c>
      <c r="O157" s="51" t="str">
        <f>VLOOKUP(Table37[[#This Row],[ACTIVITY]],TAGS!$B:$P,6,FALSE)</f>
        <v>IEC materials</v>
      </c>
      <c r="P157" s="51" t="str">
        <f>VLOOKUP(Table37[[#This Row],[ACTIVITY]],TAGS!$B:$P,7,FALSE)</f>
        <v>NO</v>
      </c>
      <c r="Q157" s="51" t="str">
        <f>VLOOKUP(Table37[[#This Row],[ACTIVITY]],TAGS!$B:$P,8,FALSE)</f>
        <v>PAP</v>
      </c>
      <c r="R157" s="51" t="str">
        <f>VLOOKUP(Table37[[#This Row],[ACTIVITY]],TAGS!$B:$P,10,FALSE)</f>
        <v>PIP</v>
      </c>
      <c r="S157" s="51" t="str">
        <f>VLOOKUP(Table37[[#This Row],[ACTIVITY]],TAGS!$B:$P,11,FALSE)</f>
        <v>PICS</v>
      </c>
      <c r="T157" s="51" t="str">
        <f>VLOOKUP(Table37[[#This Row],[ACTIVITY]],TAGS!$B:$P,12,FALSE)</f>
        <v>Strategic Communication</v>
      </c>
      <c r="U157" s="51" t="str">
        <f>VLOOKUP(Table37[[#This Row],[ACTIVITY]],TAGS!$B:$P,13,FALSE)</f>
        <v>18. Strategic Communications​</v>
      </c>
      <c r="V157" s="51">
        <f>VLOOKUP(Table37[[#This Row],[ACTIVITY]],TAGS!$B:$P,14,FALSE)</f>
        <v>0</v>
      </c>
      <c r="W157" s="51" t="str">
        <f>VLOOKUP(Table37[[#This Row],[ACTIVITY]],TAGS!$B:$P,15,FALSE)</f>
        <v>IEC</v>
      </c>
      <c r="X157" s="51" t="str">
        <f>VLOOKUP(Table37[[#This Row],[PI LEVEL 3]],'PI LEVEL'!$A:$G,7,FALSE)</f>
        <v>DA-Level Output</v>
      </c>
      <c r="Y157" s="47" t="s">
        <v>577</v>
      </c>
      <c r="Z157" s="47" t="s">
        <v>333</v>
      </c>
      <c r="AA157" s="51" t="str">
        <f>VLOOKUP(Table37[[#This Row],[MONTH]],TAGS!$W$67:$Y$81,2,FALSE)</f>
        <v>3RD QTR</v>
      </c>
      <c r="AB157" s="51" t="str">
        <f>VLOOKUP(Table37[[#This Row],[MONTH]],TAGS!$W$67:$Y$81,3,FALSE)</f>
        <v>2ND SEMESTER</v>
      </c>
      <c r="AC157" s="51">
        <f>VLOOKUP(Table37[[#This Row],[MONTH]],TAGS!$W$67:$Z$81,4,FALSE)</f>
        <v>2025</v>
      </c>
      <c r="AD157" s="47">
        <v>150</v>
      </c>
      <c r="AE157" s="47"/>
      <c r="AF157" s="51">
        <f>SUM(Table37[[#This Row],[MOOE (Php ''000)]:[CO (Php ''000)]])</f>
        <v>150</v>
      </c>
      <c r="AG157" s="71" t="b">
        <f>ISBLANK(Table37[[#This Row],[PRPOPOSAL/BEDS]])</f>
        <v>0</v>
      </c>
      <c r="AH157" s="71" t="b">
        <f>ISBLANK(Table37[[#This Row],[OU]])</f>
        <v>0</v>
      </c>
      <c r="AI157" s="71" t="b">
        <f>ISBLANK(Table37[[#This Row],[SPECIFIC COMMODITY]])</f>
        <v>0</v>
      </c>
      <c r="AJ157" s="71" t="b">
        <f>ISBLANK(Table37[[#This Row],[COMMODITY PREXC SUB-PROGRAM]])</f>
        <v>0</v>
      </c>
      <c r="AK157" s="71" t="b">
        <f>ISBLANK(Table37[[#This Row],[ACTIVITY]])</f>
        <v>0</v>
      </c>
      <c r="AL157" s="71" t="b">
        <f>ISBLANK(Table37[[#This Row],[TAG-GAD]])</f>
        <v>0</v>
      </c>
      <c r="AM157" s="71" t="b">
        <f>ISBLANK(Table37[[#This Row],[MONTH]])</f>
        <v>0</v>
      </c>
      <c r="AN157" s="71" t="b">
        <f>ISBLANK(Table37[[#This Row],[MOOE (Php ''000)]])</f>
        <v>0</v>
      </c>
      <c r="AO157" s="71" t="b">
        <f>ISBLANK(Table37[[#This Row],[CO (Php ''000)]])</f>
        <v>1</v>
      </c>
    </row>
    <row r="158" spans="1:41">
      <c r="A158" s="51" t="str">
        <f>VLOOKUP(Table37[[#This Row],[OU]],OU!$A$15:$B$34,2,FALSE)</f>
        <v>RFOs</v>
      </c>
      <c r="B158" s="47" t="s">
        <v>301</v>
      </c>
      <c r="C158" s="47" t="s">
        <v>574</v>
      </c>
      <c r="D158" s="47" t="s">
        <v>581</v>
      </c>
      <c r="E158" s="51" t="str">
        <f>VLOOKUP(Table37[[#This Row],[SPECIFIC COMMODITY]],TAGS!$W$48:$X$53,2,FALSE)</f>
        <v>Sorghum</v>
      </c>
      <c r="F158" s="51" t="str">
        <f>VLOOKUP(Table37[[#This Row],[PREXC SUB-PROGRAM]],Table5[],2,FALSE)</f>
        <v>TECHNICAL AND SUPPORT SERVICES PROGRAM</v>
      </c>
      <c r="G158" s="51" t="str">
        <f>VLOOKUP(Table37[[#This Row],[COMMODITY PREXC SUB-PROGRAM]],TAGS!$U$54:$V$76,2,FALSE)</f>
        <v>ESETS</v>
      </c>
      <c r="H158" s="47" t="s">
        <v>590</v>
      </c>
      <c r="I158" s="51" t="str">
        <f>VLOOKUP(Table37[[#This Row],[PI LEVEL 3]],'PI LEVEL'!A:C,3,FALSE)</f>
        <v>Technology demonstrations established/maintained</v>
      </c>
      <c r="J158" s="51" t="str">
        <f>VLOOKUP(Table37[[#This Row],[PI LEVEL 3]],Table53729[[Performance Indicator Level 3]:[Performance Indicator Level 1]],2,FALSE)</f>
        <v>Model Farms established</v>
      </c>
      <c r="K158" s="51" t="str">
        <f>VLOOKUP(Table37[[#This Row],[ACTIVITY]],TAGS!B:P,2,FALSE)</f>
        <v>Model Farms established</v>
      </c>
      <c r="L158" s="47" t="s">
        <v>115</v>
      </c>
      <c r="M158" s="51" t="str">
        <f>VLOOKUP(Table37[[#This Row],[ACTIVITY]],TAGS!$B:$P,4,FALSE)</f>
        <v>Model Farm establishment</v>
      </c>
      <c r="N158" s="51" t="str">
        <f>VLOOKUP(Table37[[#This Row],[ACTIVITY]],TAGS!$B:$P,5,FALSE)</f>
        <v>Model farm</v>
      </c>
      <c r="O158" s="51" t="str">
        <f>VLOOKUP(Table37[[#This Row],[ACTIVITY]],TAGS!$B:$P,6,FALSE)</f>
        <v>Sorghum model farm</v>
      </c>
      <c r="P158" s="51" t="str">
        <f>VLOOKUP(Table37[[#This Row],[ACTIVITY]],TAGS!$B:$P,7,FALSE)</f>
        <v>YES</v>
      </c>
      <c r="Q158" s="51" t="str">
        <f>VLOOKUP(Table37[[#This Row],[ACTIVITY]],TAGS!$B:$P,8,FALSE)</f>
        <v>PAP</v>
      </c>
      <c r="R158" s="51" t="str">
        <f>VLOOKUP(Table37[[#This Row],[ACTIVITY]],TAGS!$B:$P,10,FALSE)</f>
        <v>PIP</v>
      </c>
      <c r="S158" s="51" t="str">
        <f>VLOOKUP(Table37[[#This Row],[ACTIVITY]],TAGS!$B:$P,11,FALSE)</f>
        <v>PICS</v>
      </c>
      <c r="T158" s="51" t="str">
        <f>VLOOKUP(Table37[[#This Row],[ACTIVITY]],TAGS!$B:$P,12,FALSE)</f>
        <v>Consolidation</v>
      </c>
      <c r="U158" s="51" t="str">
        <f>VLOOKUP(Table37[[#This Row],[ACTIVITY]],TAGS!$B:$P,13,FALSE)</f>
        <v>1. Bayanihan Agri Cluster</v>
      </c>
      <c r="V158" s="51" t="str">
        <f>VLOOKUP(Table37[[#This Row],[ACTIVITY]],TAGS!$B:$P,14,FALSE)</f>
        <v>EXPAND AND IMPROVE AVAILABLE AGRI-FISHERY AREAS FOR INCREASED PRODUCTION</v>
      </c>
      <c r="W158" s="51" t="str">
        <f>VLOOKUP(Table37[[#This Row],[ACTIVITY]],TAGS!$B:$P,15,FALSE)</f>
        <v>Farm Inputs</v>
      </c>
      <c r="X158" s="51" t="str">
        <f>VLOOKUP(Table37[[#This Row],[PI LEVEL 3]],'PI LEVEL'!$A:$G,7,FALSE)</f>
        <v>DA-Level Output</v>
      </c>
      <c r="Y158" s="47" t="s">
        <v>577</v>
      </c>
      <c r="Z158" s="47" t="s">
        <v>337</v>
      </c>
      <c r="AA158" s="51" t="str">
        <f>VLOOKUP(Table37[[#This Row],[MONTH]],TAGS!$W$67:$Y$81,2,FALSE)</f>
        <v>4TH QTR</v>
      </c>
      <c r="AB158" s="51" t="str">
        <f>VLOOKUP(Table37[[#This Row],[MONTH]],TAGS!$W$67:$Y$81,3,FALSE)</f>
        <v>2ND SEMESTER</v>
      </c>
      <c r="AC158" s="51">
        <f>VLOOKUP(Table37[[#This Row],[MONTH]],TAGS!$W$67:$Z$81,4,FALSE)</f>
        <v>2025</v>
      </c>
      <c r="AD158" s="47">
        <v>280</v>
      </c>
      <c r="AE158" s="47"/>
      <c r="AF158" s="51">
        <f>SUM(Table37[[#This Row],[MOOE (Php ''000)]:[CO (Php ''000)]])</f>
        <v>280</v>
      </c>
      <c r="AG158" s="71" t="b">
        <f>ISBLANK(Table37[[#This Row],[PRPOPOSAL/BEDS]])</f>
        <v>0</v>
      </c>
      <c r="AH158" s="71" t="b">
        <f>ISBLANK(Table37[[#This Row],[OU]])</f>
        <v>0</v>
      </c>
      <c r="AI158" s="71" t="b">
        <f>ISBLANK(Table37[[#This Row],[SPECIFIC COMMODITY]])</f>
        <v>0</v>
      </c>
      <c r="AJ158" s="71" t="b">
        <f>ISBLANK(Table37[[#This Row],[COMMODITY PREXC SUB-PROGRAM]])</f>
        <v>0</v>
      </c>
      <c r="AK158" s="71" t="b">
        <f>ISBLANK(Table37[[#This Row],[ACTIVITY]])</f>
        <v>0</v>
      </c>
      <c r="AL158" s="71" t="b">
        <f>ISBLANK(Table37[[#This Row],[TAG-GAD]])</f>
        <v>0</v>
      </c>
      <c r="AM158" s="71" t="b">
        <f>ISBLANK(Table37[[#This Row],[MONTH]])</f>
        <v>0</v>
      </c>
      <c r="AN158" s="71" t="b">
        <f>ISBLANK(Table37[[#This Row],[MOOE (Php ''000)]])</f>
        <v>0</v>
      </c>
      <c r="AO158" s="71" t="b">
        <f>ISBLANK(Table37[[#This Row],[CO (Php ''000)]])</f>
        <v>1</v>
      </c>
    </row>
    <row r="159" spans="1:41">
      <c r="A159" s="51" t="str">
        <f>VLOOKUP(Table37[[#This Row],[OU]],OU!$A$15:$B$34,2,FALSE)</f>
        <v>RFOs</v>
      </c>
      <c r="B159" s="47" t="s">
        <v>301</v>
      </c>
      <c r="C159" s="47" t="s">
        <v>574</v>
      </c>
      <c r="D159" s="47" t="s">
        <v>581</v>
      </c>
      <c r="E159" s="51" t="str">
        <f>VLOOKUP(Table37[[#This Row],[SPECIFIC COMMODITY]],TAGS!$W$48:$X$53,2,FALSE)</f>
        <v>Sorghum</v>
      </c>
      <c r="F159" s="51" t="str">
        <f>VLOOKUP(Table37[[#This Row],[PREXC SUB-PROGRAM]],Table5[],2,FALSE)</f>
        <v>TECHNICAL AND SUPPORT SERVICES PROGRAM</v>
      </c>
      <c r="G159" s="51" t="str">
        <f>VLOOKUP(Table37[[#This Row],[COMMODITY PREXC SUB-PROGRAM]],TAGS!$U$54:$V$76,2,FALSE)</f>
        <v>ESETS</v>
      </c>
      <c r="H159" s="47" t="s">
        <v>590</v>
      </c>
      <c r="I159" s="51" t="str">
        <f>VLOOKUP(Table37[[#This Row],[PI LEVEL 3]],'PI LEVEL'!A:C,3,FALSE)</f>
        <v>Technology demonstrations established/maintained</v>
      </c>
      <c r="J159" s="51" t="str">
        <f>VLOOKUP(Table37[[#This Row],[PI LEVEL 3]],Table53729[[Performance Indicator Level 3]:[Performance Indicator Level 1]],2,FALSE)</f>
        <v>Techno demo established</v>
      </c>
      <c r="K159" s="51" t="str">
        <f>VLOOKUP(Table37[[#This Row],[ACTIVITY]],TAGS!B:P,2,FALSE)</f>
        <v>Techno demo established</v>
      </c>
      <c r="L159" s="47" t="s">
        <v>117</v>
      </c>
      <c r="M159" s="51" t="str">
        <f>VLOOKUP(Table37[[#This Row],[ACTIVITY]],TAGS!$B:$P,4,FALSE)</f>
        <v>Techno Demo establishment</v>
      </c>
      <c r="N159" s="51" t="str">
        <f>VLOOKUP(Table37[[#This Row],[ACTIVITY]],TAGS!$B:$P,5,FALSE)</f>
        <v>Techno Demo</v>
      </c>
      <c r="O159" s="51" t="str">
        <f>VLOOKUP(Table37[[#This Row],[ACTIVITY]],TAGS!$B:$P,6,FALSE)</f>
        <v>Sorghum techno demo</v>
      </c>
      <c r="P159" s="51" t="str">
        <f>VLOOKUP(Table37[[#This Row],[ACTIVITY]],TAGS!$B:$P,7,FALSE)</f>
        <v>YES</v>
      </c>
      <c r="Q159" s="51" t="str">
        <f>VLOOKUP(Table37[[#This Row],[ACTIVITY]],TAGS!$B:$P,8,FALSE)</f>
        <v>PAP</v>
      </c>
      <c r="R159" s="51" t="str">
        <f>VLOOKUP(Table37[[#This Row],[ACTIVITY]],TAGS!$B:$P,10,FALSE)</f>
        <v>PIP</v>
      </c>
      <c r="S159" s="51" t="str">
        <f>VLOOKUP(Table37[[#This Row],[ACTIVITY]],TAGS!$B:$P,11,FALSE)</f>
        <v>PICS</v>
      </c>
      <c r="T159" s="51" t="str">
        <f>VLOOKUP(Table37[[#This Row],[ACTIVITY]],TAGS!$B:$P,12,FALSE)</f>
        <v>Consolidation</v>
      </c>
      <c r="U159" s="51" t="str">
        <f>VLOOKUP(Table37[[#This Row],[ACTIVITY]],TAGS!$B:$P,13,FALSE)</f>
        <v>1. Bayanihan Agri Cluster</v>
      </c>
      <c r="V159" s="51" t="str">
        <f>VLOOKUP(Table37[[#This Row],[ACTIVITY]],TAGS!$B:$P,14,FALSE)</f>
        <v>EXPAND AND IMPROVE AVAILABLE AGRI-FISHERY AREAS FOR INCREASED PRODUCTION</v>
      </c>
      <c r="W159" s="51" t="str">
        <f>VLOOKUP(Table37[[#This Row],[ACTIVITY]],TAGS!$B:$P,15,FALSE)</f>
        <v>Farm Inputs</v>
      </c>
      <c r="X159" s="51" t="str">
        <f>VLOOKUP(Table37[[#This Row],[PI LEVEL 3]],'PI LEVEL'!$A:$G,7,FALSE)</f>
        <v>DA-Level Output</v>
      </c>
      <c r="Y159" s="47" t="s">
        <v>577</v>
      </c>
      <c r="Z159" s="47" t="s">
        <v>337</v>
      </c>
      <c r="AA159" s="51" t="str">
        <f>VLOOKUP(Table37[[#This Row],[MONTH]],TAGS!$W$67:$Y$81,2,FALSE)</f>
        <v>4TH QTR</v>
      </c>
      <c r="AB159" s="51" t="str">
        <f>VLOOKUP(Table37[[#This Row],[MONTH]],TAGS!$W$67:$Y$81,3,FALSE)</f>
        <v>2ND SEMESTER</v>
      </c>
      <c r="AC159" s="51">
        <f>VLOOKUP(Table37[[#This Row],[MONTH]],TAGS!$W$67:$Z$81,4,FALSE)</f>
        <v>2025</v>
      </c>
      <c r="AD159" s="47">
        <v>160</v>
      </c>
      <c r="AE159" s="47"/>
      <c r="AF159" s="51">
        <f>SUM(Table37[[#This Row],[MOOE (Php ''000)]:[CO (Php ''000)]])</f>
        <v>160</v>
      </c>
      <c r="AG159" s="71" t="b">
        <f>ISBLANK(Table37[[#This Row],[PRPOPOSAL/BEDS]])</f>
        <v>0</v>
      </c>
      <c r="AH159" s="71" t="b">
        <f>ISBLANK(Table37[[#This Row],[OU]])</f>
        <v>0</v>
      </c>
      <c r="AI159" s="71" t="b">
        <f>ISBLANK(Table37[[#This Row],[SPECIFIC COMMODITY]])</f>
        <v>0</v>
      </c>
      <c r="AJ159" s="71" t="b">
        <f>ISBLANK(Table37[[#This Row],[COMMODITY PREXC SUB-PROGRAM]])</f>
        <v>0</v>
      </c>
      <c r="AK159" s="71" t="b">
        <f>ISBLANK(Table37[[#This Row],[ACTIVITY]])</f>
        <v>0</v>
      </c>
      <c r="AL159" s="71" t="b">
        <f>ISBLANK(Table37[[#This Row],[TAG-GAD]])</f>
        <v>0</v>
      </c>
      <c r="AM159" s="71" t="b">
        <f>ISBLANK(Table37[[#This Row],[MONTH]])</f>
        <v>0</v>
      </c>
      <c r="AN159" s="71" t="b">
        <f>ISBLANK(Table37[[#This Row],[MOOE (Php ''000)]])</f>
        <v>0</v>
      </c>
      <c r="AO159" s="71" t="b">
        <f>ISBLANK(Table37[[#This Row],[CO (Php ''000)]])</f>
        <v>1</v>
      </c>
    </row>
    <row r="160" spans="1:41">
      <c r="A160" s="51" t="str">
        <f>VLOOKUP(Table37[[#This Row],[OU]],OU!$A$15:$B$34,2,FALSE)</f>
        <v>RFOs</v>
      </c>
      <c r="B160" s="47" t="s">
        <v>301</v>
      </c>
      <c r="C160" s="47" t="s">
        <v>574</v>
      </c>
      <c r="D160" s="47" t="s">
        <v>581</v>
      </c>
      <c r="E160" s="51" t="str">
        <f>VLOOKUP(Table37[[#This Row],[SPECIFIC COMMODITY]],TAGS!$W$48:$X$53,2,FALSE)</f>
        <v>Sorghum</v>
      </c>
      <c r="F160" s="51" t="str">
        <f>VLOOKUP(Table37[[#This Row],[PREXC SUB-PROGRAM]],Table5[],2,FALSE)</f>
        <v>TECHNICAL AND SUPPORT SERVICES PROGRAM</v>
      </c>
      <c r="G160" s="51" t="str">
        <f>VLOOKUP(Table37[[#This Row],[COMMODITY PREXC SUB-PROGRAM]],TAGS!$U$54:$V$76,2,FALSE)</f>
        <v>ESETS</v>
      </c>
      <c r="H160" s="47" t="s">
        <v>590</v>
      </c>
      <c r="I160" s="51" t="str">
        <f>VLOOKUP(Table37[[#This Row],[PI LEVEL 3]],'PI LEVEL'!A:C,3,FALSE)</f>
        <v>Training conducted</v>
      </c>
      <c r="J160" s="51" t="str">
        <f>VLOOKUP(Table37[[#This Row],[PI LEVEL 3]],Table53729[[Performance Indicator Level 3]:[Performance Indicator Level 1]],2,FALSE)</f>
        <v>Other training conducted</v>
      </c>
      <c r="K160" s="51" t="str">
        <f>VLOOKUP(Table37[[#This Row],[ACTIVITY]],TAGS!B:P,2,FALSE)</f>
        <v>Other training conducted_Farmers/Fisherfolk/Other External Participants</v>
      </c>
      <c r="L160" s="47" t="s">
        <v>153</v>
      </c>
      <c r="M160" s="51" t="str">
        <f>VLOOKUP(Table37[[#This Row],[ACTIVITY]],TAGS!$B:$P,4,FALSE)</f>
        <v>Trainings</v>
      </c>
      <c r="N160" s="51" t="str">
        <f>VLOOKUP(Table37[[#This Row],[ACTIVITY]],TAGS!$B:$P,5,FALSE)</f>
        <v>Trainings</v>
      </c>
      <c r="O160" s="51" t="str">
        <f>VLOOKUP(Table37[[#This Row],[ACTIVITY]],TAGS!$B:$P,6,FALSE)</f>
        <v>Sorghum Production Training </v>
      </c>
      <c r="P160" s="51" t="str">
        <f>VLOOKUP(Table37[[#This Row],[ACTIVITY]],TAGS!$B:$P,7,FALSE)</f>
        <v>NO</v>
      </c>
      <c r="Q160" s="51" t="str">
        <f>VLOOKUP(Table37[[#This Row],[ACTIVITY]],TAGS!$B:$P,8,FALSE)</f>
        <v>PAP</v>
      </c>
      <c r="R160" s="51" t="str">
        <f>VLOOKUP(Table37[[#This Row],[ACTIVITY]],TAGS!$B:$P,10,FALSE)</f>
        <v>PIP</v>
      </c>
      <c r="S160" s="51" t="str">
        <f>VLOOKUP(Table37[[#This Row],[ACTIVITY]],TAGS!$B:$P,11,FALSE)</f>
        <v>PICS</v>
      </c>
      <c r="T160" s="51" t="str">
        <f>VLOOKUP(Table37[[#This Row],[ACTIVITY]],TAGS!$B:$P,12,FALSE)</f>
        <v>Consolidation</v>
      </c>
      <c r="U160" s="51" t="str">
        <f>VLOOKUP(Table37[[#This Row],[ACTIVITY]],TAGS!$B:$P,13,FALSE)</f>
        <v>1. Bayanihan Agri Cluster</v>
      </c>
      <c r="V160" s="51" t="str">
        <f>VLOOKUP(Table37[[#This Row],[ACTIVITY]],TAGS!$B:$P,14,FALSE)</f>
        <v>EXPAND AND IMPROVE AVAILABLE AGRI-FISHERY AREAS FOR INCREASED PRODUCTION</v>
      </c>
      <c r="W160" s="51" t="str">
        <f>VLOOKUP(Table37[[#This Row],[ACTIVITY]],TAGS!$B:$P,15,FALSE)</f>
        <v>Capacity Building</v>
      </c>
      <c r="X160" s="51" t="str">
        <f>VLOOKUP(Table37[[#This Row],[PI LEVEL 3]],'PI LEVEL'!$A:$G,7,FALSE)</f>
        <v>PREXC/DA-Level Output</v>
      </c>
      <c r="Y160" s="47" t="s">
        <v>577</v>
      </c>
      <c r="Z160" s="47" t="s">
        <v>337</v>
      </c>
      <c r="AA160" s="51" t="str">
        <f>VLOOKUP(Table37[[#This Row],[MONTH]],TAGS!$W$67:$Y$81,2,FALSE)</f>
        <v>4TH QTR</v>
      </c>
      <c r="AB160" s="51" t="str">
        <f>VLOOKUP(Table37[[#This Row],[MONTH]],TAGS!$W$67:$Y$81,3,FALSE)</f>
        <v>2ND SEMESTER</v>
      </c>
      <c r="AC160" s="51">
        <f>VLOOKUP(Table37[[#This Row],[MONTH]],TAGS!$W$67:$Z$81,4,FALSE)</f>
        <v>2025</v>
      </c>
      <c r="AD160" s="47">
        <v>140</v>
      </c>
      <c r="AE160" s="47"/>
      <c r="AF160" s="51">
        <f>SUM(Table37[[#This Row],[MOOE (Php ''000)]:[CO (Php ''000)]])</f>
        <v>140</v>
      </c>
      <c r="AG160" s="71" t="b">
        <f>ISBLANK(Table37[[#This Row],[PRPOPOSAL/BEDS]])</f>
        <v>0</v>
      </c>
      <c r="AH160" s="71" t="b">
        <f>ISBLANK(Table37[[#This Row],[OU]])</f>
        <v>0</v>
      </c>
      <c r="AI160" s="71" t="b">
        <f>ISBLANK(Table37[[#This Row],[SPECIFIC COMMODITY]])</f>
        <v>0</v>
      </c>
      <c r="AJ160" s="71" t="b">
        <f>ISBLANK(Table37[[#This Row],[COMMODITY PREXC SUB-PROGRAM]])</f>
        <v>0</v>
      </c>
      <c r="AK160" s="71" t="b">
        <f>ISBLANK(Table37[[#This Row],[ACTIVITY]])</f>
        <v>0</v>
      </c>
      <c r="AL160" s="71" t="b">
        <f>ISBLANK(Table37[[#This Row],[TAG-GAD]])</f>
        <v>0</v>
      </c>
      <c r="AM160" s="71" t="b">
        <f>ISBLANK(Table37[[#This Row],[MONTH]])</f>
        <v>0</v>
      </c>
      <c r="AN160" s="71" t="b">
        <f>ISBLANK(Table37[[#This Row],[MOOE (Php ''000)]])</f>
        <v>0</v>
      </c>
      <c r="AO160" s="71" t="b">
        <f>ISBLANK(Table37[[#This Row],[CO (Php ''000)]])</f>
        <v>1</v>
      </c>
    </row>
    <row r="161" spans="1:41">
      <c r="A161" s="51" t="str">
        <f>VLOOKUP(Table37[[#This Row],[OU]],OU!$A$15:$B$34,2,FALSE)</f>
        <v>RFOs</v>
      </c>
      <c r="B161" s="47" t="s">
        <v>301</v>
      </c>
      <c r="C161" s="47" t="s">
        <v>574</v>
      </c>
      <c r="D161" s="47" t="s">
        <v>581</v>
      </c>
      <c r="E161" s="51" t="str">
        <f>VLOOKUP(Table37[[#This Row],[SPECIFIC COMMODITY]],TAGS!$W$48:$X$53,2,FALSE)</f>
        <v>Sorghum</v>
      </c>
      <c r="F161" s="51" t="str">
        <f>VLOOKUP(Table37[[#This Row],[PREXC SUB-PROGRAM]],Table5[],2,FALSE)</f>
        <v>TECHNICAL AND SUPPORT SERVICES PROGRAM</v>
      </c>
      <c r="G161" s="51" t="str">
        <f>VLOOKUP(Table37[[#This Row],[COMMODITY PREXC SUB-PROGRAM]],TAGS!$U$54:$V$76,2,FALSE)</f>
        <v>ESETS</v>
      </c>
      <c r="H161" s="47" t="s">
        <v>590</v>
      </c>
      <c r="I161" s="51" t="str">
        <f>VLOOKUP(Table37[[#This Row],[PI LEVEL 3]],'PI LEVEL'!A:C,3,FALSE)</f>
        <v>Knowledge Products disseminated</v>
      </c>
      <c r="J161" s="51" t="str">
        <f>VLOOKUP(Table37[[#This Row],[PI LEVEL 3]],Table53729[[Performance Indicator Level 3]:[Performance Indicator Level 1]],2,FALSE)</f>
        <v>Knowledge Products disseminated</v>
      </c>
      <c r="K161" s="51" t="str">
        <f>VLOOKUP(Table37[[#This Row],[ACTIVITY]],TAGS!B:P,2,FALSE)</f>
        <v>Knowledge Products disseminated</v>
      </c>
      <c r="L161" s="47" t="s">
        <v>155</v>
      </c>
      <c r="M161" s="51" t="str">
        <f>VLOOKUP(Table37[[#This Row],[ACTIVITY]],TAGS!$B:$P,4,FALSE)</f>
        <v>Information, Education, and Communication Activities</v>
      </c>
      <c r="N161" s="51" t="str">
        <f>VLOOKUP(Table37[[#This Row],[ACTIVITY]],TAGS!$B:$P,5,FALSE)</f>
        <v>Information, Education, and Communication Activities</v>
      </c>
      <c r="O161" s="51" t="str">
        <f>VLOOKUP(Table37[[#This Row],[ACTIVITY]],TAGS!$B:$P,6,FALSE)</f>
        <v>IEC materials</v>
      </c>
      <c r="P161" s="51" t="str">
        <f>VLOOKUP(Table37[[#This Row],[ACTIVITY]],TAGS!$B:$P,7,FALSE)</f>
        <v>NO</v>
      </c>
      <c r="Q161" s="51" t="str">
        <f>VLOOKUP(Table37[[#This Row],[ACTIVITY]],TAGS!$B:$P,8,FALSE)</f>
        <v>PAP</v>
      </c>
      <c r="R161" s="51" t="str">
        <f>VLOOKUP(Table37[[#This Row],[ACTIVITY]],TAGS!$B:$P,10,FALSE)</f>
        <v>PIP</v>
      </c>
      <c r="S161" s="51" t="str">
        <f>VLOOKUP(Table37[[#This Row],[ACTIVITY]],TAGS!$B:$P,11,FALSE)</f>
        <v>PICS</v>
      </c>
      <c r="T161" s="51" t="str">
        <f>VLOOKUP(Table37[[#This Row],[ACTIVITY]],TAGS!$B:$P,12,FALSE)</f>
        <v>Strategic Communication</v>
      </c>
      <c r="U161" s="51" t="str">
        <f>VLOOKUP(Table37[[#This Row],[ACTIVITY]],TAGS!$B:$P,13,FALSE)</f>
        <v>18. Strategic Communications​</v>
      </c>
      <c r="V161" s="51">
        <f>VLOOKUP(Table37[[#This Row],[ACTIVITY]],TAGS!$B:$P,14,FALSE)</f>
        <v>0</v>
      </c>
      <c r="W161" s="51" t="str">
        <f>VLOOKUP(Table37[[#This Row],[ACTIVITY]],TAGS!$B:$P,15,FALSE)</f>
        <v>IEC</v>
      </c>
      <c r="X161" s="51" t="str">
        <f>VLOOKUP(Table37[[#This Row],[PI LEVEL 3]],'PI LEVEL'!$A:$G,7,FALSE)</f>
        <v>DA-Level Output</v>
      </c>
      <c r="Y161" s="47" t="s">
        <v>577</v>
      </c>
      <c r="Z161" s="47" t="s">
        <v>334</v>
      </c>
      <c r="AA161" s="51" t="str">
        <f>VLOOKUP(Table37[[#This Row],[MONTH]],TAGS!$W$67:$Y$81,2,FALSE)</f>
        <v>3RD QTR</v>
      </c>
      <c r="AB161" s="51" t="str">
        <f>VLOOKUP(Table37[[#This Row],[MONTH]],TAGS!$W$67:$Y$81,3,FALSE)</f>
        <v>2ND SEMESTER</v>
      </c>
      <c r="AC161" s="51">
        <f>VLOOKUP(Table37[[#This Row],[MONTH]],TAGS!$W$67:$Z$81,4,FALSE)</f>
        <v>2025</v>
      </c>
      <c r="AD161" s="47">
        <v>50</v>
      </c>
      <c r="AE161" s="47"/>
      <c r="AF161" s="51">
        <f>SUM(Table37[[#This Row],[MOOE (Php ''000)]:[CO (Php ''000)]])</f>
        <v>50</v>
      </c>
      <c r="AG161" s="71" t="b">
        <f>ISBLANK(Table37[[#This Row],[PRPOPOSAL/BEDS]])</f>
        <v>0</v>
      </c>
      <c r="AH161" s="71" t="b">
        <f>ISBLANK(Table37[[#This Row],[OU]])</f>
        <v>0</v>
      </c>
      <c r="AI161" s="71" t="b">
        <f>ISBLANK(Table37[[#This Row],[SPECIFIC COMMODITY]])</f>
        <v>0</v>
      </c>
      <c r="AJ161" s="71" t="b">
        <f>ISBLANK(Table37[[#This Row],[COMMODITY PREXC SUB-PROGRAM]])</f>
        <v>0</v>
      </c>
      <c r="AK161" s="71" t="b">
        <f>ISBLANK(Table37[[#This Row],[ACTIVITY]])</f>
        <v>0</v>
      </c>
      <c r="AL161" s="71" t="b">
        <f>ISBLANK(Table37[[#This Row],[TAG-GAD]])</f>
        <v>0</v>
      </c>
      <c r="AM161" s="71" t="b">
        <f>ISBLANK(Table37[[#This Row],[MONTH]])</f>
        <v>0</v>
      </c>
      <c r="AN161" s="71" t="b">
        <f>ISBLANK(Table37[[#This Row],[MOOE (Php ''000)]])</f>
        <v>0</v>
      </c>
      <c r="AO161" s="71" t="b">
        <f>ISBLANK(Table37[[#This Row],[CO (Php ''000)]])</f>
        <v>1</v>
      </c>
    </row>
    <row r="162" spans="1:41">
      <c r="A162" s="51" t="str">
        <f>VLOOKUP(Table37[[#This Row],[OU]],OU!$A$15:$B$34,2,FALSE)</f>
        <v>RFOs</v>
      </c>
      <c r="B162" s="47" t="s">
        <v>301</v>
      </c>
      <c r="C162" s="47" t="s">
        <v>574</v>
      </c>
      <c r="D162" s="47" t="s">
        <v>583</v>
      </c>
      <c r="E162" s="51" t="str">
        <f>VLOOKUP(Table37[[#This Row],[SPECIFIC COMMODITY]],TAGS!$W$48:$X$53,2,FALSE)</f>
        <v>Soybean</v>
      </c>
      <c r="F162" s="51" t="str">
        <f>VLOOKUP(Table37[[#This Row],[PREXC SUB-PROGRAM]],Table5[],2,FALSE)</f>
        <v>TECHNICAL AND SUPPORT SERVICES PROGRAM</v>
      </c>
      <c r="G162" s="51" t="str">
        <f>VLOOKUP(Table37[[#This Row],[COMMODITY PREXC SUB-PROGRAM]],TAGS!$U$54:$V$76,2,FALSE)</f>
        <v>ESETS</v>
      </c>
      <c r="H162" s="47" t="s">
        <v>591</v>
      </c>
      <c r="I162" s="51" t="str">
        <f>VLOOKUP(Table37[[#This Row],[PI LEVEL 3]],'PI LEVEL'!A:C,3,FALSE)</f>
        <v>Technology demonstrations established/maintained</v>
      </c>
      <c r="J162" s="51" t="str">
        <f>VLOOKUP(Table37[[#This Row],[PI LEVEL 3]],Table53729[[Performance Indicator Level 3]:[Performance Indicator Level 1]],2,FALSE)</f>
        <v>Model Farms established</v>
      </c>
      <c r="K162" s="51" t="str">
        <f>VLOOKUP(Table37[[#This Row],[ACTIVITY]],TAGS!B:P,2,FALSE)</f>
        <v>Model Farms established</v>
      </c>
      <c r="L162" s="47" t="s">
        <v>119</v>
      </c>
      <c r="M162" s="51" t="str">
        <f>VLOOKUP(Table37[[#This Row],[ACTIVITY]],TAGS!$B:$P,4,FALSE)</f>
        <v>Model Farm establishment</v>
      </c>
      <c r="N162" s="51" t="str">
        <f>VLOOKUP(Table37[[#This Row],[ACTIVITY]],TAGS!$B:$P,5,FALSE)</f>
        <v>Model farm</v>
      </c>
      <c r="O162" s="51" t="str">
        <f>VLOOKUP(Table37[[#This Row],[ACTIVITY]],TAGS!$B:$P,6,FALSE)</f>
        <v>Soybean model farm</v>
      </c>
      <c r="P162" s="51" t="str">
        <f>VLOOKUP(Table37[[#This Row],[ACTIVITY]],TAGS!$B:$P,7,FALSE)</f>
        <v>YES</v>
      </c>
      <c r="Q162" s="51" t="str">
        <f>VLOOKUP(Table37[[#This Row],[ACTIVITY]],TAGS!$B:$P,8,FALSE)</f>
        <v>PAP</v>
      </c>
      <c r="R162" s="51" t="str">
        <f>VLOOKUP(Table37[[#This Row],[ACTIVITY]],TAGS!$B:$P,10,FALSE)</f>
        <v>PIP</v>
      </c>
      <c r="S162" s="51" t="str">
        <f>VLOOKUP(Table37[[#This Row],[ACTIVITY]],TAGS!$B:$P,11,FALSE)</f>
        <v>PICS</v>
      </c>
      <c r="T162" s="51" t="str">
        <f>VLOOKUP(Table37[[#This Row],[ACTIVITY]],TAGS!$B:$P,12,FALSE)</f>
        <v>Consolidation</v>
      </c>
      <c r="U162" s="51" t="str">
        <f>VLOOKUP(Table37[[#This Row],[ACTIVITY]],TAGS!$B:$P,13,FALSE)</f>
        <v>1. Bayanihan Agri Cluster</v>
      </c>
      <c r="V162" s="51" t="str">
        <f>VLOOKUP(Table37[[#This Row],[ACTIVITY]],TAGS!$B:$P,14,FALSE)</f>
        <v>EXPAND AND IMPROVE AVAILABLE AGRI-FISHERY AREAS FOR INCREASED PRODUCTION</v>
      </c>
      <c r="W162" s="51" t="str">
        <f>VLOOKUP(Table37[[#This Row],[ACTIVITY]],TAGS!$B:$P,15,FALSE)</f>
        <v>Farm Inputs</v>
      </c>
      <c r="X162" s="51" t="str">
        <f>VLOOKUP(Table37[[#This Row],[PI LEVEL 3]],'PI LEVEL'!$A:$G,7,FALSE)</f>
        <v>DA-Level Output</v>
      </c>
      <c r="Y162" s="47" t="s">
        <v>577</v>
      </c>
      <c r="Z162" s="47" t="s">
        <v>330</v>
      </c>
      <c r="AA162" s="51" t="str">
        <f>VLOOKUP(Table37[[#This Row],[MONTH]],TAGS!$W$67:$Y$81,2,FALSE)</f>
        <v>2ND QTR</v>
      </c>
      <c r="AB162" s="51" t="str">
        <f>VLOOKUP(Table37[[#This Row],[MONTH]],TAGS!$W$67:$Y$81,3,FALSE)</f>
        <v>1ST SEMESTER</v>
      </c>
      <c r="AC162" s="51">
        <f>VLOOKUP(Table37[[#This Row],[MONTH]],TAGS!$W$67:$Z$81,4,FALSE)</f>
        <v>2025</v>
      </c>
      <c r="AD162" s="47">
        <v>330</v>
      </c>
      <c r="AE162" s="47"/>
      <c r="AF162" s="51">
        <f>SUM(Table37[[#This Row],[MOOE (Php ''000)]:[CO (Php ''000)]])</f>
        <v>330</v>
      </c>
      <c r="AG162" s="71" t="b">
        <f>ISBLANK(Table37[[#This Row],[PRPOPOSAL/BEDS]])</f>
        <v>0</v>
      </c>
      <c r="AH162" s="71" t="b">
        <f>ISBLANK(Table37[[#This Row],[OU]])</f>
        <v>0</v>
      </c>
      <c r="AI162" s="71" t="b">
        <f>ISBLANK(Table37[[#This Row],[SPECIFIC COMMODITY]])</f>
        <v>0</v>
      </c>
      <c r="AJ162" s="71" t="b">
        <f>ISBLANK(Table37[[#This Row],[COMMODITY PREXC SUB-PROGRAM]])</f>
        <v>0</v>
      </c>
      <c r="AK162" s="71" t="b">
        <f>ISBLANK(Table37[[#This Row],[ACTIVITY]])</f>
        <v>0</v>
      </c>
      <c r="AL162" s="71" t="b">
        <f>ISBLANK(Table37[[#This Row],[TAG-GAD]])</f>
        <v>0</v>
      </c>
      <c r="AM162" s="71" t="b">
        <f>ISBLANK(Table37[[#This Row],[MONTH]])</f>
        <v>0</v>
      </c>
      <c r="AN162" s="71" t="b">
        <f>ISBLANK(Table37[[#This Row],[MOOE (Php ''000)]])</f>
        <v>0</v>
      </c>
      <c r="AO162" s="71" t="b">
        <f>ISBLANK(Table37[[#This Row],[CO (Php ''000)]])</f>
        <v>1</v>
      </c>
    </row>
    <row r="163" spans="1:41">
      <c r="A163" s="51" t="str">
        <f>VLOOKUP(Table37[[#This Row],[OU]],OU!$A$15:$B$34,2,FALSE)</f>
        <v>RFOs</v>
      </c>
      <c r="B163" s="47" t="s">
        <v>301</v>
      </c>
      <c r="C163" s="47" t="s">
        <v>574</v>
      </c>
      <c r="D163" s="47" t="s">
        <v>583</v>
      </c>
      <c r="E163" s="51" t="str">
        <f>VLOOKUP(Table37[[#This Row],[SPECIFIC COMMODITY]],TAGS!$W$48:$X$53,2,FALSE)</f>
        <v>Soybean</v>
      </c>
      <c r="F163" s="51" t="str">
        <f>VLOOKUP(Table37[[#This Row],[PREXC SUB-PROGRAM]],Table5[],2,FALSE)</f>
        <v>TECHNICAL AND SUPPORT SERVICES PROGRAM</v>
      </c>
      <c r="G163" s="51" t="str">
        <f>VLOOKUP(Table37[[#This Row],[COMMODITY PREXC SUB-PROGRAM]],TAGS!$U$54:$V$76,2,FALSE)</f>
        <v>ESETS</v>
      </c>
      <c r="H163" s="47" t="s">
        <v>591</v>
      </c>
      <c r="I163" s="51" t="str">
        <f>VLOOKUP(Table37[[#This Row],[PI LEVEL 3]],'PI LEVEL'!A:C,3,FALSE)</f>
        <v>Technology demonstrations established/maintained</v>
      </c>
      <c r="J163" s="51" t="str">
        <f>VLOOKUP(Table37[[#This Row],[PI LEVEL 3]],Table53729[[Performance Indicator Level 3]:[Performance Indicator Level 1]],2,FALSE)</f>
        <v>Techno demo established</v>
      </c>
      <c r="K163" s="51" t="str">
        <f>VLOOKUP(Table37[[#This Row],[ACTIVITY]],TAGS!B:P,2,FALSE)</f>
        <v>Techno demo established</v>
      </c>
      <c r="L163" s="47" t="s">
        <v>121</v>
      </c>
      <c r="M163" s="51" t="str">
        <f>VLOOKUP(Table37[[#This Row],[ACTIVITY]],TAGS!$B:$P,4,FALSE)</f>
        <v>Techno Demo establishment</v>
      </c>
      <c r="N163" s="51" t="str">
        <f>VLOOKUP(Table37[[#This Row],[ACTIVITY]],TAGS!$B:$P,5,FALSE)</f>
        <v>Techno Demo</v>
      </c>
      <c r="O163" s="51" t="str">
        <f>VLOOKUP(Table37[[#This Row],[ACTIVITY]],TAGS!$B:$P,6,FALSE)</f>
        <v>Soybean techno demo</v>
      </c>
      <c r="P163" s="51" t="str">
        <f>VLOOKUP(Table37[[#This Row],[ACTIVITY]],TAGS!$B:$P,7,FALSE)</f>
        <v>YES</v>
      </c>
      <c r="Q163" s="51" t="str">
        <f>VLOOKUP(Table37[[#This Row],[ACTIVITY]],TAGS!$B:$P,8,FALSE)</f>
        <v>PAP</v>
      </c>
      <c r="R163" s="51" t="str">
        <f>VLOOKUP(Table37[[#This Row],[ACTIVITY]],TAGS!$B:$P,10,FALSE)</f>
        <v>PIP</v>
      </c>
      <c r="S163" s="51" t="str">
        <f>VLOOKUP(Table37[[#This Row],[ACTIVITY]],TAGS!$B:$P,11,FALSE)</f>
        <v>PICS</v>
      </c>
      <c r="T163" s="51" t="str">
        <f>VLOOKUP(Table37[[#This Row],[ACTIVITY]],TAGS!$B:$P,12,FALSE)</f>
        <v>Consolidation</v>
      </c>
      <c r="U163" s="51" t="str">
        <f>VLOOKUP(Table37[[#This Row],[ACTIVITY]],TAGS!$B:$P,13,FALSE)</f>
        <v>1. Bayanihan Agri Cluster</v>
      </c>
      <c r="V163" s="51" t="str">
        <f>VLOOKUP(Table37[[#This Row],[ACTIVITY]],TAGS!$B:$P,14,FALSE)</f>
        <v>EXPAND AND IMPROVE AVAILABLE AGRI-FISHERY AREAS FOR INCREASED PRODUCTION</v>
      </c>
      <c r="W163" s="51" t="str">
        <f>VLOOKUP(Table37[[#This Row],[ACTIVITY]],TAGS!$B:$P,15,FALSE)</f>
        <v>Farm Inputs</v>
      </c>
      <c r="X163" s="51" t="str">
        <f>VLOOKUP(Table37[[#This Row],[PI LEVEL 3]],'PI LEVEL'!$A:$G,7,FALSE)</f>
        <v>DA-Level Output</v>
      </c>
      <c r="Y163" s="47" t="s">
        <v>577</v>
      </c>
      <c r="Z163" s="47" t="s">
        <v>330</v>
      </c>
      <c r="AA163" s="51" t="str">
        <f>VLOOKUP(Table37[[#This Row],[MONTH]],TAGS!$W$67:$Y$81,2,FALSE)</f>
        <v>2ND QTR</v>
      </c>
      <c r="AB163" s="51" t="str">
        <f>VLOOKUP(Table37[[#This Row],[MONTH]],TAGS!$W$67:$Y$81,3,FALSE)</f>
        <v>1ST SEMESTER</v>
      </c>
      <c r="AC163" s="51">
        <f>VLOOKUP(Table37[[#This Row],[MONTH]],TAGS!$W$67:$Z$81,4,FALSE)</f>
        <v>2025</v>
      </c>
      <c r="AD163" s="47">
        <v>200</v>
      </c>
      <c r="AE163" s="47"/>
      <c r="AF163" s="51">
        <f>SUM(Table37[[#This Row],[MOOE (Php ''000)]:[CO (Php ''000)]])</f>
        <v>200</v>
      </c>
      <c r="AG163" s="71" t="b">
        <f>ISBLANK(Table37[[#This Row],[PRPOPOSAL/BEDS]])</f>
        <v>0</v>
      </c>
      <c r="AH163" s="71" t="b">
        <f>ISBLANK(Table37[[#This Row],[OU]])</f>
        <v>0</v>
      </c>
      <c r="AI163" s="71" t="b">
        <f>ISBLANK(Table37[[#This Row],[SPECIFIC COMMODITY]])</f>
        <v>0</v>
      </c>
      <c r="AJ163" s="71" t="b">
        <f>ISBLANK(Table37[[#This Row],[COMMODITY PREXC SUB-PROGRAM]])</f>
        <v>0</v>
      </c>
      <c r="AK163" s="71" t="b">
        <f>ISBLANK(Table37[[#This Row],[ACTIVITY]])</f>
        <v>0</v>
      </c>
      <c r="AL163" s="71" t="b">
        <f>ISBLANK(Table37[[#This Row],[TAG-GAD]])</f>
        <v>0</v>
      </c>
      <c r="AM163" s="71" t="b">
        <f>ISBLANK(Table37[[#This Row],[MONTH]])</f>
        <v>0</v>
      </c>
      <c r="AN163" s="71" t="b">
        <f>ISBLANK(Table37[[#This Row],[MOOE (Php ''000)]])</f>
        <v>0</v>
      </c>
      <c r="AO163" s="71" t="b">
        <f>ISBLANK(Table37[[#This Row],[CO (Php ''000)]])</f>
        <v>1</v>
      </c>
    </row>
    <row r="164" spans="1:41">
      <c r="A164" s="51" t="str">
        <f>VLOOKUP(Table37[[#This Row],[OU]],OU!$A$15:$B$34,2,FALSE)</f>
        <v>RFOs</v>
      </c>
      <c r="B164" s="47" t="s">
        <v>301</v>
      </c>
      <c r="C164" s="47" t="s">
        <v>574</v>
      </c>
      <c r="D164" s="47" t="s">
        <v>583</v>
      </c>
      <c r="E164" s="51" t="str">
        <f>VLOOKUP(Table37[[#This Row],[SPECIFIC COMMODITY]],TAGS!$W$48:$X$53,2,FALSE)</f>
        <v>Soybean</v>
      </c>
      <c r="F164" s="51" t="str">
        <f>VLOOKUP(Table37[[#This Row],[PREXC SUB-PROGRAM]],Table5[],2,FALSE)</f>
        <v>TECHNICAL AND SUPPORT SERVICES PROGRAM</v>
      </c>
      <c r="G164" s="51" t="str">
        <f>VLOOKUP(Table37[[#This Row],[COMMODITY PREXC SUB-PROGRAM]],TAGS!$U$54:$V$76,2,FALSE)</f>
        <v>ESETS</v>
      </c>
      <c r="H164" s="47" t="s">
        <v>591</v>
      </c>
      <c r="I164" s="51" t="str">
        <f>VLOOKUP(Table37[[#This Row],[PI LEVEL 3]],'PI LEVEL'!A:C,3,FALSE)</f>
        <v>Training conducted</v>
      </c>
      <c r="J164" s="51" t="str">
        <f>VLOOKUP(Table37[[#This Row],[PI LEVEL 3]],Table53729[[Performance Indicator Level 3]:[Performance Indicator Level 1]],2,FALSE)</f>
        <v>Other training conducted</v>
      </c>
      <c r="K164" s="51" t="str">
        <f>VLOOKUP(Table37[[#This Row],[ACTIVITY]],TAGS!B:P,2,FALSE)</f>
        <v>Other training conducted_Farmers/Fisherfolk/Other External Participants</v>
      </c>
      <c r="L164" s="47" t="s">
        <v>157</v>
      </c>
      <c r="M164" s="51" t="str">
        <f>VLOOKUP(Table37[[#This Row],[ACTIVITY]],TAGS!$B:$P,4,FALSE)</f>
        <v>Trainings</v>
      </c>
      <c r="N164" s="51" t="str">
        <f>VLOOKUP(Table37[[#This Row],[ACTIVITY]],TAGS!$B:$P,5,FALSE)</f>
        <v>Trainings</v>
      </c>
      <c r="O164" s="51" t="str">
        <f>VLOOKUP(Table37[[#This Row],[ACTIVITY]],TAGS!$B:$P,6,FALSE)</f>
        <v>Soybean Production Training </v>
      </c>
      <c r="P164" s="51" t="str">
        <f>VLOOKUP(Table37[[#This Row],[ACTIVITY]],TAGS!$B:$P,7,FALSE)</f>
        <v>NO</v>
      </c>
      <c r="Q164" s="51" t="str">
        <f>VLOOKUP(Table37[[#This Row],[ACTIVITY]],TAGS!$B:$P,8,FALSE)</f>
        <v>PAP</v>
      </c>
      <c r="R164" s="51" t="str">
        <f>VLOOKUP(Table37[[#This Row],[ACTIVITY]],TAGS!$B:$P,10,FALSE)</f>
        <v>PIP</v>
      </c>
      <c r="S164" s="51" t="str">
        <f>VLOOKUP(Table37[[#This Row],[ACTIVITY]],TAGS!$B:$P,11,FALSE)</f>
        <v>PICS</v>
      </c>
      <c r="T164" s="51" t="str">
        <f>VLOOKUP(Table37[[#This Row],[ACTIVITY]],TAGS!$B:$P,12,FALSE)</f>
        <v>Consolidation</v>
      </c>
      <c r="U164" s="51" t="str">
        <f>VLOOKUP(Table37[[#This Row],[ACTIVITY]],TAGS!$B:$P,13,FALSE)</f>
        <v>1. Bayanihan Agri Cluster</v>
      </c>
      <c r="V164" s="51" t="str">
        <f>VLOOKUP(Table37[[#This Row],[ACTIVITY]],TAGS!$B:$P,14,FALSE)</f>
        <v>EXPAND AND IMPROVE AVAILABLE AGRI-FISHERY AREAS FOR INCREASED PRODUCTION</v>
      </c>
      <c r="W164" s="51" t="str">
        <f>VLOOKUP(Table37[[#This Row],[ACTIVITY]],TAGS!$B:$P,15,FALSE)</f>
        <v>Capacity Building</v>
      </c>
      <c r="X164" s="51" t="str">
        <f>VLOOKUP(Table37[[#This Row],[PI LEVEL 3]],'PI LEVEL'!$A:$G,7,FALSE)</f>
        <v>PREXC/DA-Level Output</v>
      </c>
      <c r="Y164" s="47" t="s">
        <v>577</v>
      </c>
      <c r="Z164" s="47" t="s">
        <v>331</v>
      </c>
      <c r="AA164" s="51" t="str">
        <f>VLOOKUP(Table37[[#This Row],[MONTH]],TAGS!$W$67:$Y$81,2,FALSE)</f>
        <v>2ND QTR</v>
      </c>
      <c r="AB164" s="51" t="str">
        <f>VLOOKUP(Table37[[#This Row],[MONTH]],TAGS!$W$67:$Y$81,3,FALSE)</f>
        <v>1ST SEMESTER</v>
      </c>
      <c r="AC164" s="51">
        <f>VLOOKUP(Table37[[#This Row],[MONTH]],TAGS!$W$67:$Z$81,4,FALSE)</f>
        <v>2025</v>
      </c>
      <c r="AD164" s="47">
        <v>140</v>
      </c>
      <c r="AE164" s="47"/>
      <c r="AF164" s="51">
        <f>SUM(Table37[[#This Row],[MOOE (Php ''000)]:[CO (Php ''000)]])</f>
        <v>140</v>
      </c>
      <c r="AG164" s="71" t="b">
        <f>ISBLANK(Table37[[#This Row],[PRPOPOSAL/BEDS]])</f>
        <v>0</v>
      </c>
      <c r="AH164" s="71" t="b">
        <f>ISBLANK(Table37[[#This Row],[OU]])</f>
        <v>0</v>
      </c>
      <c r="AI164" s="71" t="b">
        <f>ISBLANK(Table37[[#This Row],[SPECIFIC COMMODITY]])</f>
        <v>0</v>
      </c>
      <c r="AJ164" s="71" t="b">
        <f>ISBLANK(Table37[[#This Row],[COMMODITY PREXC SUB-PROGRAM]])</f>
        <v>0</v>
      </c>
      <c r="AK164" s="71" t="b">
        <f>ISBLANK(Table37[[#This Row],[ACTIVITY]])</f>
        <v>0</v>
      </c>
      <c r="AL164" s="71" t="b">
        <f>ISBLANK(Table37[[#This Row],[TAG-GAD]])</f>
        <v>0</v>
      </c>
      <c r="AM164" s="71" t="b">
        <f>ISBLANK(Table37[[#This Row],[MONTH]])</f>
        <v>0</v>
      </c>
      <c r="AN164" s="71" t="b">
        <f>ISBLANK(Table37[[#This Row],[MOOE (Php ''000)]])</f>
        <v>0</v>
      </c>
      <c r="AO164" s="71" t="b">
        <f>ISBLANK(Table37[[#This Row],[CO (Php ''000)]])</f>
        <v>1</v>
      </c>
    </row>
    <row r="165" spans="1:41">
      <c r="A165" s="51" t="str">
        <f>VLOOKUP(Table37[[#This Row],[OU]],OU!$A$15:$B$34,2,FALSE)</f>
        <v>RFOs</v>
      </c>
      <c r="B165" s="47" t="s">
        <v>301</v>
      </c>
      <c r="C165" s="47" t="s">
        <v>574</v>
      </c>
      <c r="D165" s="47" t="s">
        <v>583</v>
      </c>
      <c r="E165" s="51" t="str">
        <f>VLOOKUP(Table37[[#This Row],[SPECIFIC COMMODITY]],TAGS!$W$48:$X$53,2,FALSE)</f>
        <v>Soybean</v>
      </c>
      <c r="F165" s="51" t="str">
        <f>VLOOKUP(Table37[[#This Row],[PREXC SUB-PROGRAM]],Table5[],2,FALSE)</f>
        <v>TECHNICAL AND SUPPORT SERVICES PROGRAM</v>
      </c>
      <c r="G165" s="51" t="str">
        <f>VLOOKUP(Table37[[#This Row],[COMMODITY PREXC SUB-PROGRAM]],TAGS!$U$54:$V$76,2,FALSE)</f>
        <v>ESETS</v>
      </c>
      <c r="H165" s="47" t="s">
        <v>591</v>
      </c>
      <c r="I165" s="51" t="str">
        <f>VLOOKUP(Table37[[#This Row],[PI LEVEL 3]],'PI LEVEL'!A:C,3,FALSE)</f>
        <v>Knowledge Products disseminated</v>
      </c>
      <c r="J165" s="51" t="str">
        <f>VLOOKUP(Table37[[#This Row],[PI LEVEL 3]],Table53729[[Performance Indicator Level 3]:[Performance Indicator Level 1]],2,FALSE)</f>
        <v>Knowledge Products disseminated</v>
      </c>
      <c r="K165" s="51" t="str">
        <f>VLOOKUP(Table37[[#This Row],[ACTIVITY]],TAGS!B:P,2,FALSE)</f>
        <v>Knowledge Products disseminated</v>
      </c>
      <c r="L165" s="47" t="s">
        <v>159</v>
      </c>
      <c r="M165" s="51" t="str">
        <f>VLOOKUP(Table37[[#This Row],[ACTIVITY]],TAGS!$B:$P,4,FALSE)</f>
        <v>Information, Education, and Communication Activities</v>
      </c>
      <c r="N165" s="51" t="str">
        <f>VLOOKUP(Table37[[#This Row],[ACTIVITY]],TAGS!$B:$P,5,FALSE)</f>
        <v>Information, Education, and Communication Activities</v>
      </c>
      <c r="O165" s="51" t="str">
        <f>VLOOKUP(Table37[[#This Row],[ACTIVITY]],TAGS!$B:$P,6,FALSE)</f>
        <v>IEC materials</v>
      </c>
      <c r="P165" s="51" t="str">
        <f>VLOOKUP(Table37[[#This Row],[ACTIVITY]],TAGS!$B:$P,7,FALSE)</f>
        <v>NO</v>
      </c>
      <c r="Q165" s="51" t="str">
        <f>VLOOKUP(Table37[[#This Row],[ACTIVITY]],TAGS!$B:$P,8,FALSE)</f>
        <v>PAP</v>
      </c>
      <c r="R165" s="51" t="str">
        <f>VLOOKUP(Table37[[#This Row],[ACTIVITY]],TAGS!$B:$P,10,FALSE)</f>
        <v>PIP</v>
      </c>
      <c r="S165" s="51" t="str">
        <f>VLOOKUP(Table37[[#This Row],[ACTIVITY]],TAGS!$B:$P,11,FALSE)</f>
        <v>PICS</v>
      </c>
      <c r="T165" s="51" t="str">
        <f>VLOOKUP(Table37[[#This Row],[ACTIVITY]],TAGS!$B:$P,12,FALSE)</f>
        <v>Strategic Communication</v>
      </c>
      <c r="U165" s="51" t="str">
        <f>VLOOKUP(Table37[[#This Row],[ACTIVITY]],TAGS!$B:$P,13,FALSE)</f>
        <v>18. Strategic Communications​</v>
      </c>
      <c r="V165" s="51">
        <f>VLOOKUP(Table37[[#This Row],[ACTIVITY]],TAGS!$B:$P,14,FALSE)</f>
        <v>0</v>
      </c>
      <c r="W165" s="51" t="str">
        <f>VLOOKUP(Table37[[#This Row],[ACTIVITY]],TAGS!$B:$P,15,FALSE)</f>
        <v>IEC</v>
      </c>
      <c r="X165" s="51" t="str">
        <f>VLOOKUP(Table37[[#This Row],[PI LEVEL 3]],'PI LEVEL'!$A:$G,7,FALSE)</f>
        <v>DA-Level Output</v>
      </c>
      <c r="Y165" s="47" t="s">
        <v>577</v>
      </c>
      <c r="Z165" s="47" t="s">
        <v>330</v>
      </c>
      <c r="AA165" s="51" t="str">
        <f>VLOOKUP(Table37[[#This Row],[MONTH]],TAGS!$W$67:$Y$81,2,FALSE)</f>
        <v>2ND QTR</v>
      </c>
      <c r="AB165" s="51" t="str">
        <f>VLOOKUP(Table37[[#This Row],[MONTH]],TAGS!$W$67:$Y$81,3,FALSE)</f>
        <v>1ST SEMESTER</v>
      </c>
      <c r="AC165" s="51">
        <f>VLOOKUP(Table37[[#This Row],[MONTH]],TAGS!$W$67:$Z$81,4,FALSE)</f>
        <v>2025</v>
      </c>
      <c r="AD165" s="47">
        <v>50</v>
      </c>
      <c r="AE165" s="47"/>
      <c r="AF165" s="51">
        <f>SUM(Table37[[#This Row],[MOOE (Php ''000)]:[CO (Php ''000)]])</f>
        <v>50</v>
      </c>
      <c r="AG165" s="71" t="b">
        <f>ISBLANK(Table37[[#This Row],[PRPOPOSAL/BEDS]])</f>
        <v>0</v>
      </c>
      <c r="AH165" s="71" t="b">
        <f>ISBLANK(Table37[[#This Row],[OU]])</f>
        <v>0</v>
      </c>
      <c r="AI165" s="71" t="b">
        <f>ISBLANK(Table37[[#This Row],[SPECIFIC COMMODITY]])</f>
        <v>0</v>
      </c>
      <c r="AJ165" s="71" t="b">
        <f>ISBLANK(Table37[[#This Row],[COMMODITY PREXC SUB-PROGRAM]])</f>
        <v>0</v>
      </c>
      <c r="AK165" s="71" t="b">
        <f>ISBLANK(Table37[[#This Row],[ACTIVITY]])</f>
        <v>0</v>
      </c>
      <c r="AL165" s="71" t="b">
        <f>ISBLANK(Table37[[#This Row],[TAG-GAD]])</f>
        <v>0</v>
      </c>
      <c r="AM165" s="71" t="b">
        <f>ISBLANK(Table37[[#This Row],[MONTH]])</f>
        <v>0</v>
      </c>
      <c r="AN165" s="71" t="b">
        <f>ISBLANK(Table37[[#This Row],[MOOE (Php ''000)]])</f>
        <v>0</v>
      </c>
      <c r="AO165" s="71" t="b">
        <f>ISBLANK(Table37[[#This Row],[CO (Php ''000)]])</f>
        <v>1</v>
      </c>
    </row>
    <row r="166" spans="1:41">
      <c r="A166" s="51" t="str">
        <f>VLOOKUP(Table37[[#This Row],[OU]],OU!$A$15:$B$34,2,FALSE)</f>
        <v>RFOs</v>
      </c>
      <c r="B166" s="47" t="s">
        <v>301</v>
      </c>
      <c r="C166" s="47" t="s">
        <v>574</v>
      </c>
      <c r="D166" s="47" t="s">
        <v>585</v>
      </c>
      <c r="E166" s="51" t="str">
        <f>VLOOKUP(Table37[[#This Row],[SPECIFIC COMMODITY]],TAGS!$W$48:$X$53,2,FALSE)</f>
        <v>Multi_commodity</v>
      </c>
      <c r="F166" s="51" t="str">
        <f>VLOOKUP(Table37[[#This Row],[PREXC SUB-PROGRAM]],Table5[],2,FALSE)</f>
        <v>TECHNICAL AND SUPPORT SERVICES PROGRAM</v>
      </c>
      <c r="G166" s="51" t="str">
        <f>VLOOKUP(Table37[[#This Row],[COMMODITY PREXC SUB-PROGRAM]],TAGS!$U$54:$V$76,2,FALSE)</f>
        <v>ESETS</v>
      </c>
      <c r="H166" s="47" t="s">
        <v>592</v>
      </c>
      <c r="I166" s="51" t="str">
        <f>VLOOKUP(Table37[[#This Row],[PI LEVEL 3]],'PI LEVEL'!A:C,3,FALSE)</f>
        <v>Individuals given incentives, recognition, and awards</v>
      </c>
      <c r="J166" s="51" t="str">
        <f>VLOOKUP(Table37[[#This Row],[PI LEVEL 3]],Table53729[[Performance Indicator Level 3]:[Performance Indicator Level 1]],2,FALSE)</f>
        <v>AEWs-extension workers given incentives</v>
      </c>
      <c r="K166" s="51" t="str">
        <f>VLOOKUP(Table37[[#This Row],[ACTIVITY]],TAGS!B:P,2,FALSE)</f>
        <v>AEWs-extension workers given incentives</v>
      </c>
      <c r="L166" s="47" t="s">
        <v>109</v>
      </c>
      <c r="M166" s="51" t="str">
        <f>VLOOKUP(Table37[[#This Row],[ACTIVITY]],TAGS!$B:$P,4,FALSE)</f>
        <v>Extension Workers Incentives</v>
      </c>
      <c r="N166" s="51" t="str">
        <f>VLOOKUP(Table37[[#This Row],[ACTIVITY]],TAGS!$B:$P,5,FALSE)</f>
        <v>Incentives Given</v>
      </c>
      <c r="O166" s="51" t="str">
        <f>VLOOKUP(Table37[[#This Row],[ACTIVITY]],TAGS!$B:$P,6,FALSE)</f>
        <v>Provincial Coordinator</v>
      </c>
      <c r="P166" s="51" t="str">
        <f>VLOOKUP(Table37[[#This Row],[ACTIVITY]],TAGS!$B:$P,7,FALSE)</f>
        <v>NO</v>
      </c>
      <c r="Q166" s="51" t="str">
        <f>VLOOKUP(Table37[[#This Row],[ACTIVITY]],TAGS!$B:$P,8,FALSE)</f>
        <v>PAP</v>
      </c>
      <c r="R166" s="51" t="str">
        <f>VLOOKUP(Table37[[#This Row],[ACTIVITY]],TAGS!$B:$P,10,FALSE)</f>
        <v>PIP</v>
      </c>
      <c r="S166" s="51" t="str">
        <f>VLOOKUP(Table37[[#This Row],[ACTIVITY]],TAGS!$B:$P,11,FALSE)</f>
        <v>PICS</v>
      </c>
      <c r="T166" s="51" t="str">
        <f>VLOOKUP(Table37[[#This Row],[ACTIVITY]],TAGS!$B:$P,12,FALSE)</f>
        <v>Consolidation</v>
      </c>
      <c r="U166" s="51" t="str">
        <f>VLOOKUP(Table37[[#This Row],[ACTIVITY]],TAGS!$B:$P,13,FALSE)</f>
        <v>3. PAFES</v>
      </c>
      <c r="V166" s="51" t="str">
        <f>VLOOKUP(Table37[[#This Row],[ACTIVITY]],TAGS!$B:$P,14,FALSE)</f>
        <v>STRONG PARTNERSHIP WITH THE FARMERS, FISHERFOLK, PRIVATE SECTOR, AND OTHER STAKEHOLDERS</v>
      </c>
      <c r="W166" s="51" t="str">
        <f>VLOOKUP(Table37[[#This Row],[ACTIVITY]],TAGS!$B:$P,15,FALSE)</f>
        <v>Other Intervetions</v>
      </c>
      <c r="X166" s="51" t="str">
        <f>VLOOKUP(Table37[[#This Row],[PI LEVEL 3]],'PI LEVEL'!$A:$G,7,FALSE)</f>
        <v>DA-Level Output</v>
      </c>
      <c r="Y166" s="47" t="s">
        <v>577</v>
      </c>
      <c r="Z166" s="47" t="s">
        <v>330</v>
      </c>
      <c r="AA166" s="51" t="str">
        <f>VLOOKUP(Table37[[#This Row],[MONTH]],TAGS!$W$67:$Y$81,2,FALSE)</f>
        <v>2ND QTR</v>
      </c>
      <c r="AB166" s="51" t="str">
        <f>VLOOKUP(Table37[[#This Row],[MONTH]],TAGS!$W$67:$Y$81,3,FALSE)</f>
        <v>1ST SEMESTER</v>
      </c>
      <c r="AC166" s="51">
        <f>VLOOKUP(Table37[[#This Row],[MONTH]],TAGS!$W$67:$Z$81,4,FALSE)</f>
        <v>2025</v>
      </c>
      <c r="AD166" s="47">
        <v>96</v>
      </c>
      <c r="AE166" s="47"/>
      <c r="AF166" s="51">
        <f>SUM(Table37[[#This Row],[MOOE (Php ''000)]:[CO (Php ''000)]])</f>
        <v>96</v>
      </c>
      <c r="AG166" s="71" t="b">
        <f>ISBLANK(Table37[[#This Row],[PRPOPOSAL/BEDS]])</f>
        <v>0</v>
      </c>
      <c r="AH166" s="71" t="b">
        <f>ISBLANK(Table37[[#This Row],[OU]])</f>
        <v>0</v>
      </c>
      <c r="AI166" s="71" t="b">
        <f>ISBLANK(Table37[[#This Row],[SPECIFIC COMMODITY]])</f>
        <v>0</v>
      </c>
      <c r="AJ166" s="71" t="b">
        <f>ISBLANK(Table37[[#This Row],[COMMODITY PREXC SUB-PROGRAM]])</f>
        <v>0</v>
      </c>
      <c r="AK166" s="71" t="b">
        <f>ISBLANK(Table37[[#This Row],[ACTIVITY]])</f>
        <v>0</v>
      </c>
      <c r="AL166" s="71" t="b">
        <f>ISBLANK(Table37[[#This Row],[TAG-GAD]])</f>
        <v>0</v>
      </c>
      <c r="AM166" s="71" t="b">
        <f>ISBLANK(Table37[[#This Row],[MONTH]])</f>
        <v>0</v>
      </c>
      <c r="AN166" s="71" t="b">
        <f>ISBLANK(Table37[[#This Row],[MOOE (Php ''000)]])</f>
        <v>0</v>
      </c>
      <c r="AO166" s="71" t="b">
        <f>ISBLANK(Table37[[#This Row],[CO (Php ''000)]])</f>
        <v>1</v>
      </c>
    </row>
    <row r="167" spans="1:41">
      <c r="A167" s="51" t="str">
        <f>VLOOKUP(Table37[[#This Row],[OU]],OU!$A$15:$B$34,2,FALSE)</f>
        <v>RFOs</v>
      </c>
      <c r="B167" s="47" t="s">
        <v>301</v>
      </c>
      <c r="C167" s="47" t="s">
        <v>574</v>
      </c>
      <c r="D167" s="47" t="s">
        <v>585</v>
      </c>
      <c r="E167" s="51" t="str">
        <f>VLOOKUP(Table37[[#This Row],[SPECIFIC COMMODITY]],TAGS!$W$48:$X$53,2,FALSE)</f>
        <v>Multi_commodity</v>
      </c>
      <c r="F167" s="51" t="str">
        <f>VLOOKUP(Table37[[#This Row],[PREXC SUB-PROGRAM]],Table5[],2,FALSE)</f>
        <v>TECHNICAL AND SUPPORT SERVICES PROGRAM</v>
      </c>
      <c r="G167" s="51" t="str">
        <f>VLOOKUP(Table37[[#This Row],[COMMODITY PREXC SUB-PROGRAM]],TAGS!$U$54:$V$76,2,FALSE)</f>
        <v>ESETS</v>
      </c>
      <c r="H167" s="47" t="s">
        <v>592</v>
      </c>
      <c r="I167" s="51" t="str">
        <f>VLOOKUP(Table37[[#This Row],[PI LEVEL 3]],'PI LEVEL'!A:C,3,FALSE)</f>
        <v>Individuals given incentives, recognition, and awards</v>
      </c>
      <c r="J167" s="51" t="str">
        <f>VLOOKUP(Table37[[#This Row],[PI LEVEL 3]],Table53729[[Performance Indicator Level 3]:[Performance Indicator Level 1]],2,FALSE)</f>
        <v>AEWs-extension workers given incentives</v>
      </c>
      <c r="K167" s="51" t="str">
        <f>VLOOKUP(Table37[[#This Row],[ACTIVITY]],TAGS!B:P,2,FALSE)</f>
        <v>AEWs-extension workers given incentives</v>
      </c>
      <c r="L167" s="47" t="s">
        <v>109</v>
      </c>
      <c r="M167" s="51" t="str">
        <f>VLOOKUP(Table37[[#This Row],[ACTIVITY]],TAGS!$B:$P,4,FALSE)</f>
        <v>Extension Workers Incentives</v>
      </c>
      <c r="N167" s="51" t="str">
        <f>VLOOKUP(Table37[[#This Row],[ACTIVITY]],TAGS!$B:$P,5,FALSE)</f>
        <v>Incentives Given</v>
      </c>
      <c r="O167" s="51" t="str">
        <f>VLOOKUP(Table37[[#This Row],[ACTIVITY]],TAGS!$B:$P,6,FALSE)</f>
        <v>Provincial Coordinator</v>
      </c>
      <c r="P167" s="51" t="str">
        <f>VLOOKUP(Table37[[#This Row],[ACTIVITY]],TAGS!$B:$P,7,FALSE)</f>
        <v>NO</v>
      </c>
      <c r="Q167" s="51" t="str">
        <f>VLOOKUP(Table37[[#This Row],[ACTIVITY]],TAGS!$B:$P,8,FALSE)</f>
        <v>PAP</v>
      </c>
      <c r="R167" s="51" t="str">
        <f>VLOOKUP(Table37[[#This Row],[ACTIVITY]],TAGS!$B:$P,10,FALSE)</f>
        <v>PIP</v>
      </c>
      <c r="S167" s="51" t="str">
        <f>VLOOKUP(Table37[[#This Row],[ACTIVITY]],TAGS!$B:$P,11,FALSE)</f>
        <v>PICS</v>
      </c>
      <c r="T167" s="51" t="str">
        <f>VLOOKUP(Table37[[#This Row],[ACTIVITY]],TAGS!$B:$P,12,FALSE)</f>
        <v>Consolidation</v>
      </c>
      <c r="U167" s="51" t="str">
        <f>VLOOKUP(Table37[[#This Row],[ACTIVITY]],TAGS!$B:$P,13,FALSE)</f>
        <v>3. PAFES</v>
      </c>
      <c r="V167" s="51" t="str">
        <f>VLOOKUP(Table37[[#This Row],[ACTIVITY]],TAGS!$B:$P,14,FALSE)</f>
        <v>STRONG PARTNERSHIP WITH THE FARMERS, FISHERFOLK, PRIVATE SECTOR, AND OTHER STAKEHOLDERS</v>
      </c>
      <c r="W167" s="51" t="str">
        <f>VLOOKUP(Table37[[#This Row],[ACTIVITY]],TAGS!$B:$P,15,FALSE)</f>
        <v>Other Intervetions</v>
      </c>
      <c r="X167" s="51" t="str">
        <f>VLOOKUP(Table37[[#This Row],[PI LEVEL 3]],'PI LEVEL'!$A:$G,7,FALSE)</f>
        <v>DA-Level Output</v>
      </c>
      <c r="Y167" s="47" t="s">
        <v>577</v>
      </c>
      <c r="Z167" s="47" t="s">
        <v>334</v>
      </c>
      <c r="AA167" s="51" t="str">
        <f>VLOOKUP(Table37[[#This Row],[MONTH]],TAGS!$W$67:$Y$81,2,FALSE)</f>
        <v>3RD QTR</v>
      </c>
      <c r="AB167" s="51" t="str">
        <f>VLOOKUP(Table37[[#This Row],[MONTH]],TAGS!$W$67:$Y$81,3,FALSE)</f>
        <v>2ND SEMESTER</v>
      </c>
      <c r="AC167" s="51">
        <f>VLOOKUP(Table37[[#This Row],[MONTH]],TAGS!$W$67:$Z$81,4,FALSE)</f>
        <v>2025</v>
      </c>
      <c r="AD167" s="47">
        <v>96</v>
      </c>
      <c r="AE167" s="47"/>
      <c r="AF167" s="51">
        <f>SUM(Table37[[#This Row],[MOOE (Php ''000)]:[CO (Php ''000)]])</f>
        <v>96</v>
      </c>
      <c r="AG167" s="71" t="b">
        <f>ISBLANK(Table37[[#This Row],[PRPOPOSAL/BEDS]])</f>
        <v>0</v>
      </c>
      <c r="AH167" s="71" t="b">
        <f>ISBLANK(Table37[[#This Row],[OU]])</f>
        <v>0</v>
      </c>
      <c r="AI167" s="71" t="b">
        <f>ISBLANK(Table37[[#This Row],[SPECIFIC COMMODITY]])</f>
        <v>0</v>
      </c>
      <c r="AJ167" s="71" t="b">
        <f>ISBLANK(Table37[[#This Row],[COMMODITY PREXC SUB-PROGRAM]])</f>
        <v>0</v>
      </c>
      <c r="AK167" s="71" t="b">
        <f>ISBLANK(Table37[[#This Row],[ACTIVITY]])</f>
        <v>0</v>
      </c>
      <c r="AL167" s="71" t="b">
        <f>ISBLANK(Table37[[#This Row],[TAG-GAD]])</f>
        <v>0</v>
      </c>
      <c r="AM167" s="71" t="b">
        <f>ISBLANK(Table37[[#This Row],[MONTH]])</f>
        <v>0</v>
      </c>
      <c r="AN167" s="71" t="b">
        <f>ISBLANK(Table37[[#This Row],[MOOE (Php ''000)]])</f>
        <v>0</v>
      </c>
      <c r="AO167" s="71" t="b">
        <f>ISBLANK(Table37[[#This Row],[CO (Php ''000)]])</f>
        <v>1</v>
      </c>
    </row>
    <row r="168" spans="1:41">
      <c r="A168" s="51" t="str">
        <f>VLOOKUP(Table37[[#This Row],[OU]],OU!$A$15:$B$34,2,FALSE)</f>
        <v>RFOs</v>
      </c>
      <c r="B168" s="47" t="s">
        <v>301</v>
      </c>
      <c r="C168" s="47" t="s">
        <v>574</v>
      </c>
      <c r="D168" s="47" t="s">
        <v>585</v>
      </c>
      <c r="E168" s="51" t="str">
        <f>VLOOKUP(Table37[[#This Row],[SPECIFIC COMMODITY]],TAGS!$W$48:$X$53,2,FALSE)</f>
        <v>Multi_commodity</v>
      </c>
      <c r="F168" s="51" t="str">
        <f>VLOOKUP(Table37[[#This Row],[PREXC SUB-PROGRAM]],Table5[],2,FALSE)</f>
        <v>TECHNICAL AND SUPPORT SERVICES PROGRAM</v>
      </c>
      <c r="G168" s="51" t="str">
        <f>VLOOKUP(Table37[[#This Row],[COMMODITY PREXC SUB-PROGRAM]],TAGS!$U$54:$V$76,2,FALSE)</f>
        <v>ESETS</v>
      </c>
      <c r="H168" s="47" t="s">
        <v>592</v>
      </c>
      <c r="I168" s="51" t="str">
        <f>VLOOKUP(Table37[[#This Row],[PI LEVEL 3]],'PI LEVEL'!A:C,3,FALSE)</f>
        <v>Individuals given incentives, recognition, and awards</v>
      </c>
      <c r="J168" s="51" t="str">
        <f>VLOOKUP(Table37[[#This Row],[PI LEVEL 3]],Table53729[[Performance Indicator Level 3]:[Performance Indicator Level 1]],2,FALSE)</f>
        <v>AEWs-extension workers given incentives</v>
      </c>
      <c r="K168" s="51" t="str">
        <f>VLOOKUP(Table37[[#This Row],[ACTIVITY]],TAGS!B:P,2,FALSE)</f>
        <v>AEWs-extension workers given incentives</v>
      </c>
      <c r="L168" s="47" t="s">
        <v>111</v>
      </c>
      <c r="M168" s="51" t="str">
        <f>VLOOKUP(Table37[[#This Row],[ACTIVITY]],TAGS!$B:$P,4,FALSE)</f>
        <v>Extension Workers Incentives</v>
      </c>
      <c r="N168" s="51" t="str">
        <f>VLOOKUP(Table37[[#This Row],[ACTIVITY]],TAGS!$B:$P,5,FALSE)</f>
        <v>Incentives Given</v>
      </c>
      <c r="O168" s="51" t="str">
        <f>VLOOKUP(Table37[[#This Row],[ACTIVITY]],TAGS!$B:$P,6,FALSE)</f>
        <v>Municipal Agriculturist</v>
      </c>
      <c r="P168" s="51" t="str">
        <f>VLOOKUP(Table37[[#This Row],[ACTIVITY]],TAGS!$B:$P,7,FALSE)</f>
        <v>NO</v>
      </c>
      <c r="Q168" s="51" t="str">
        <f>VLOOKUP(Table37[[#This Row],[ACTIVITY]],TAGS!$B:$P,8,FALSE)</f>
        <v>PAP</v>
      </c>
      <c r="R168" s="51" t="str">
        <f>VLOOKUP(Table37[[#This Row],[ACTIVITY]],TAGS!$B:$P,10,FALSE)</f>
        <v>PIP</v>
      </c>
      <c r="S168" s="51" t="str">
        <f>VLOOKUP(Table37[[#This Row],[ACTIVITY]],TAGS!$B:$P,11,FALSE)</f>
        <v>PICS</v>
      </c>
      <c r="T168" s="51" t="str">
        <f>VLOOKUP(Table37[[#This Row],[ACTIVITY]],TAGS!$B:$P,12,FALSE)</f>
        <v>Consolidation</v>
      </c>
      <c r="U168" s="51" t="str">
        <f>VLOOKUP(Table37[[#This Row],[ACTIVITY]],TAGS!$B:$P,13,FALSE)</f>
        <v>3. PAFES</v>
      </c>
      <c r="V168" s="51" t="str">
        <f>VLOOKUP(Table37[[#This Row],[ACTIVITY]],TAGS!$B:$P,14,FALSE)</f>
        <v>STRONG PARTNERSHIP WITH THE FARMERS, FISHERFOLK, PRIVATE SECTOR, AND OTHER STAKEHOLDERS</v>
      </c>
      <c r="W168" s="51" t="str">
        <f>VLOOKUP(Table37[[#This Row],[ACTIVITY]],TAGS!$B:$P,15,FALSE)</f>
        <v>Other Intervetions</v>
      </c>
      <c r="X168" s="51" t="str">
        <f>VLOOKUP(Table37[[#This Row],[PI LEVEL 3]],'PI LEVEL'!$A:$G,7,FALSE)</f>
        <v>DA-Level Output</v>
      </c>
      <c r="Y168" s="47" t="s">
        <v>577</v>
      </c>
      <c r="Z168" s="47" t="s">
        <v>330</v>
      </c>
      <c r="AA168" s="51" t="str">
        <f>VLOOKUP(Table37[[#This Row],[MONTH]],TAGS!$W$67:$Y$81,2,FALSE)</f>
        <v>2ND QTR</v>
      </c>
      <c r="AB168" s="51" t="str">
        <f>VLOOKUP(Table37[[#This Row],[MONTH]],TAGS!$W$67:$Y$81,3,FALSE)</f>
        <v>1ST SEMESTER</v>
      </c>
      <c r="AC168" s="51">
        <f>VLOOKUP(Table37[[#This Row],[MONTH]],TAGS!$W$67:$Z$81,4,FALSE)</f>
        <v>2025</v>
      </c>
      <c r="AD168" s="47">
        <v>288</v>
      </c>
      <c r="AE168" s="47"/>
      <c r="AF168" s="51">
        <f>SUM(Table37[[#This Row],[MOOE (Php ''000)]:[CO (Php ''000)]])</f>
        <v>288</v>
      </c>
      <c r="AG168" s="71" t="b">
        <f>ISBLANK(Table37[[#This Row],[PRPOPOSAL/BEDS]])</f>
        <v>0</v>
      </c>
      <c r="AH168" s="71" t="b">
        <f>ISBLANK(Table37[[#This Row],[OU]])</f>
        <v>0</v>
      </c>
      <c r="AI168" s="71" t="b">
        <f>ISBLANK(Table37[[#This Row],[SPECIFIC COMMODITY]])</f>
        <v>0</v>
      </c>
      <c r="AJ168" s="71" t="b">
        <f>ISBLANK(Table37[[#This Row],[COMMODITY PREXC SUB-PROGRAM]])</f>
        <v>0</v>
      </c>
      <c r="AK168" s="71" t="b">
        <f>ISBLANK(Table37[[#This Row],[ACTIVITY]])</f>
        <v>0</v>
      </c>
      <c r="AL168" s="71" t="b">
        <f>ISBLANK(Table37[[#This Row],[TAG-GAD]])</f>
        <v>0</v>
      </c>
      <c r="AM168" s="71" t="b">
        <f>ISBLANK(Table37[[#This Row],[MONTH]])</f>
        <v>0</v>
      </c>
      <c r="AN168" s="71" t="b">
        <f>ISBLANK(Table37[[#This Row],[MOOE (Php ''000)]])</f>
        <v>0</v>
      </c>
      <c r="AO168" s="71" t="b">
        <f>ISBLANK(Table37[[#This Row],[CO (Php ''000)]])</f>
        <v>1</v>
      </c>
    </row>
    <row r="169" spans="1:41">
      <c r="A169" s="51" t="str">
        <f>VLOOKUP(Table37[[#This Row],[OU]],OU!$A$15:$B$34,2,FALSE)</f>
        <v>RFOs</v>
      </c>
      <c r="B169" s="47" t="s">
        <v>301</v>
      </c>
      <c r="C169" s="47" t="s">
        <v>574</v>
      </c>
      <c r="D169" s="47" t="s">
        <v>585</v>
      </c>
      <c r="E169" s="51" t="str">
        <f>VLOOKUP(Table37[[#This Row],[SPECIFIC COMMODITY]],TAGS!$W$48:$X$53,2,FALSE)</f>
        <v>Multi_commodity</v>
      </c>
      <c r="F169" s="51" t="str">
        <f>VLOOKUP(Table37[[#This Row],[PREXC SUB-PROGRAM]],Table5[],2,FALSE)</f>
        <v>TECHNICAL AND SUPPORT SERVICES PROGRAM</v>
      </c>
      <c r="G169" s="51" t="str">
        <f>VLOOKUP(Table37[[#This Row],[COMMODITY PREXC SUB-PROGRAM]],TAGS!$U$54:$V$76,2,FALSE)</f>
        <v>ESETS</v>
      </c>
      <c r="H169" s="47" t="s">
        <v>592</v>
      </c>
      <c r="I169" s="51" t="str">
        <f>VLOOKUP(Table37[[#This Row],[PI LEVEL 3]],'PI LEVEL'!A:C,3,FALSE)</f>
        <v>Individuals given incentives, recognition, and awards</v>
      </c>
      <c r="J169" s="51" t="str">
        <f>VLOOKUP(Table37[[#This Row],[PI LEVEL 3]],Table53729[[Performance Indicator Level 3]:[Performance Indicator Level 1]],2,FALSE)</f>
        <v>AEWs-extension workers given incentives</v>
      </c>
      <c r="K169" s="51" t="str">
        <f>VLOOKUP(Table37[[#This Row],[ACTIVITY]],TAGS!B:P,2,FALSE)</f>
        <v>AEWs-extension workers given incentives</v>
      </c>
      <c r="L169" s="47" t="s">
        <v>111</v>
      </c>
      <c r="M169" s="51" t="str">
        <f>VLOOKUP(Table37[[#This Row],[ACTIVITY]],TAGS!$B:$P,4,FALSE)</f>
        <v>Extension Workers Incentives</v>
      </c>
      <c r="N169" s="51" t="str">
        <f>VLOOKUP(Table37[[#This Row],[ACTIVITY]],TAGS!$B:$P,5,FALSE)</f>
        <v>Incentives Given</v>
      </c>
      <c r="O169" s="51" t="str">
        <f>VLOOKUP(Table37[[#This Row],[ACTIVITY]],TAGS!$B:$P,6,FALSE)</f>
        <v>Municipal Agriculturist</v>
      </c>
      <c r="P169" s="51" t="str">
        <f>VLOOKUP(Table37[[#This Row],[ACTIVITY]],TAGS!$B:$P,7,FALSE)</f>
        <v>NO</v>
      </c>
      <c r="Q169" s="51" t="str">
        <f>VLOOKUP(Table37[[#This Row],[ACTIVITY]],TAGS!$B:$P,8,FALSE)</f>
        <v>PAP</v>
      </c>
      <c r="R169" s="51" t="str">
        <f>VLOOKUP(Table37[[#This Row],[ACTIVITY]],TAGS!$B:$P,10,FALSE)</f>
        <v>PIP</v>
      </c>
      <c r="S169" s="51" t="str">
        <f>VLOOKUP(Table37[[#This Row],[ACTIVITY]],TAGS!$B:$P,11,FALSE)</f>
        <v>PICS</v>
      </c>
      <c r="T169" s="51" t="str">
        <f>VLOOKUP(Table37[[#This Row],[ACTIVITY]],TAGS!$B:$P,12,FALSE)</f>
        <v>Consolidation</v>
      </c>
      <c r="U169" s="51" t="str">
        <f>VLOOKUP(Table37[[#This Row],[ACTIVITY]],TAGS!$B:$P,13,FALSE)</f>
        <v>3. PAFES</v>
      </c>
      <c r="V169" s="51" t="str">
        <f>VLOOKUP(Table37[[#This Row],[ACTIVITY]],TAGS!$B:$P,14,FALSE)</f>
        <v>STRONG PARTNERSHIP WITH THE FARMERS, FISHERFOLK, PRIVATE SECTOR, AND OTHER STAKEHOLDERS</v>
      </c>
      <c r="W169" s="51" t="str">
        <f>VLOOKUP(Table37[[#This Row],[ACTIVITY]],TAGS!$B:$P,15,FALSE)</f>
        <v>Other Intervetions</v>
      </c>
      <c r="X169" s="51" t="str">
        <f>VLOOKUP(Table37[[#This Row],[PI LEVEL 3]],'PI LEVEL'!$A:$G,7,FALSE)</f>
        <v>DA-Level Output</v>
      </c>
      <c r="Y169" s="47" t="s">
        <v>577</v>
      </c>
      <c r="Z169" s="47" t="s">
        <v>334</v>
      </c>
      <c r="AA169" s="51" t="str">
        <f>VLOOKUP(Table37[[#This Row],[MONTH]],TAGS!$W$67:$Y$81,2,FALSE)</f>
        <v>3RD QTR</v>
      </c>
      <c r="AB169" s="51" t="str">
        <f>VLOOKUP(Table37[[#This Row],[MONTH]],TAGS!$W$67:$Y$81,3,FALSE)</f>
        <v>2ND SEMESTER</v>
      </c>
      <c r="AC169" s="51">
        <f>VLOOKUP(Table37[[#This Row],[MONTH]],TAGS!$W$67:$Z$81,4,FALSE)</f>
        <v>2025</v>
      </c>
      <c r="AD169" s="47">
        <v>288</v>
      </c>
      <c r="AE169" s="47"/>
      <c r="AF169" s="51">
        <f>SUM(Table37[[#This Row],[MOOE (Php ''000)]:[CO (Php ''000)]])</f>
        <v>288</v>
      </c>
      <c r="AG169" s="71" t="b">
        <f>ISBLANK(Table37[[#This Row],[PRPOPOSAL/BEDS]])</f>
        <v>0</v>
      </c>
      <c r="AH169" s="71" t="b">
        <f>ISBLANK(Table37[[#This Row],[OU]])</f>
        <v>0</v>
      </c>
      <c r="AI169" s="71" t="b">
        <f>ISBLANK(Table37[[#This Row],[SPECIFIC COMMODITY]])</f>
        <v>0</v>
      </c>
      <c r="AJ169" s="71" t="b">
        <f>ISBLANK(Table37[[#This Row],[COMMODITY PREXC SUB-PROGRAM]])</f>
        <v>0</v>
      </c>
      <c r="AK169" s="71" t="b">
        <f>ISBLANK(Table37[[#This Row],[ACTIVITY]])</f>
        <v>0</v>
      </c>
      <c r="AL169" s="71" t="b">
        <f>ISBLANK(Table37[[#This Row],[TAG-GAD]])</f>
        <v>0</v>
      </c>
      <c r="AM169" s="71" t="b">
        <f>ISBLANK(Table37[[#This Row],[MONTH]])</f>
        <v>0</v>
      </c>
      <c r="AN169" s="71" t="b">
        <f>ISBLANK(Table37[[#This Row],[MOOE (Php ''000)]])</f>
        <v>0</v>
      </c>
      <c r="AO169" s="71" t="b">
        <f>ISBLANK(Table37[[#This Row],[CO (Php ''000)]])</f>
        <v>1</v>
      </c>
    </row>
    <row r="170" spans="1:41">
      <c r="A170" s="51" t="str">
        <f>VLOOKUP(Table37[[#This Row],[OU]],OU!$A$15:$B$34,2,FALSE)</f>
        <v>RFOs</v>
      </c>
      <c r="B170" s="47" t="s">
        <v>301</v>
      </c>
      <c r="C170" s="47" t="s">
        <v>574</v>
      </c>
      <c r="D170" s="47" t="s">
        <v>585</v>
      </c>
      <c r="E170" s="51" t="str">
        <f>VLOOKUP(Table37[[#This Row],[SPECIFIC COMMODITY]],TAGS!$W$48:$X$53,2,FALSE)</f>
        <v>Multi_commodity</v>
      </c>
      <c r="F170" s="51" t="str">
        <f>VLOOKUP(Table37[[#This Row],[PREXC SUB-PROGRAM]],Table5[],2,FALSE)</f>
        <v>TECHNICAL AND SUPPORT SERVICES PROGRAM</v>
      </c>
      <c r="G170" s="51" t="str">
        <f>VLOOKUP(Table37[[#This Row],[COMMODITY PREXC SUB-PROGRAM]],TAGS!$U$54:$V$76,2,FALSE)</f>
        <v>ESETS</v>
      </c>
      <c r="H170" s="47" t="s">
        <v>592</v>
      </c>
      <c r="I170" s="51" t="str">
        <f>VLOOKUP(Table37[[#This Row],[PI LEVEL 3]],'PI LEVEL'!A:C,3,FALSE)</f>
        <v>Individuals given incentives, recognition, and awards</v>
      </c>
      <c r="J170" s="51" t="str">
        <f>VLOOKUP(Table37[[#This Row],[PI LEVEL 3]],Table53729[[Performance Indicator Level 3]:[Performance Indicator Level 1]],2,FALSE)</f>
        <v>AEWs-extension workers given incentives</v>
      </c>
      <c r="K170" s="51" t="str">
        <f>VLOOKUP(Table37[[#This Row],[ACTIVITY]],TAGS!B:P,2,FALSE)</f>
        <v>AEWs-extension workers given incentives</v>
      </c>
      <c r="L170" s="47" t="s">
        <v>113</v>
      </c>
      <c r="M170" s="51" t="str">
        <f>VLOOKUP(Table37[[#This Row],[ACTIVITY]],TAGS!$B:$P,4,FALSE)</f>
        <v>Extension Workers Incentives</v>
      </c>
      <c r="N170" s="51" t="str">
        <f>VLOOKUP(Table37[[#This Row],[ACTIVITY]],TAGS!$B:$P,5,FALSE)</f>
        <v>Incentives Given</v>
      </c>
      <c r="O170" s="51" t="str">
        <f>VLOOKUP(Table37[[#This Row],[ACTIVITY]],TAGS!$B:$P,6,FALSE)</f>
        <v>Agricultural Extension Worker</v>
      </c>
      <c r="P170" s="51" t="str">
        <f>VLOOKUP(Table37[[#This Row],[ACTIVITY]],TAGS!$B:$P,7,FALSE)</f>
        <v>NO</v>
      </c>
      <c r="Q170" s="51" t="str">
        <f>VLOOKUP(Table37[[#This Row],[ACTIVITY]],TAGS!$B:$P,8,FALSE)</f>
        <v>PAP</v>
      </c>
      <c r="R170" s="51" t="str">
        <f>VLOOKUP(Table37[[#This Row],[ACTIVITY]],TAGS!$B:$P,10,FALSE)</f>
        <v>PIP</v>
      </c>
      <c r="S170" s="51" t="str">
        <f>VLOOKUP(Table37[[#This Row],[ACTIVITY]],TAGS!$B:$P,11,FALSE)</f>
        <v>PICS</v>
      </c>
      <c r="T170" s="51" t="str">
        <f>VLOOKUP(Table37[[#This Row],[ACTIVITY]],TAGS!$B:$P,12,FALSE)</f>
        <v>Consolidation</v>
      </c>
      <c r="U170" s="51" t="str">
        <f>VLOOKUP(Table37[[#This Row],[ACTIVITY]],TAGS!$B:$P,13,FALSE)</f>
        <v>3. PAFES</v>
      </c>
      <c r="V170" s="51" t="str">
        <f>VLOOKUP(Table37[[#This Row],[ACTIVITY]],TAGS!$B:$P,14,FALSE)</f>
        <v>STRONG PARTNERSHIP WITH THE FARMERS, FISHERFOLK, PRIVATE SECTOR, AND OTHER STAKEHOLDERS</v>
      </c>
      <c r="W170" s="51" t="str">
        <f>VLOOKUP(Table37[[#This Row],[ACTIVITY]],TAGS!$B:$P,15,FALSE)</f>
        <v>Other Intervetions</v>
      </c>
      <c r="X170" s="51" t="str">
        <f>VLOOKUP(Table37[[#This Row],[PI LEVEL 3]],'PI LEVEL'!$A:$G,7,FALSE)</f>
        <v>DA-Level Output</v>
      </c>
      <c r="Y170" s="47" t="s">
        <v>577</v>
      </c>
      <c r="Z170" s="47" t="s">
        <v>330</v>
      </c>
      <c r="AA170" s="51" t="str">
        <f>VLOOKUP(Table37[[#This Row],[MONTH]],TAGS!$W$67:$Y$81,2,FALSE)</f>
        <v>2ND QTR</v>
      </c>
      <c r="AB170" s="51" t="str">
        <f>VLOOKUP(Table37[[#This Row],[MONTH]],TAGS!$W$67:$Y$81,3,FALSE)</f>
        <v>1ST SEMESTER</v>
      </c>
      <c r="AC170" s="51">
        <f>VLOOKUP(Table37[[#This Row],[MONTH]],TAGS!$W$67:$Z$81,4,FALSE)</f>
        <v>2025</v>
      </c>
      <c r="AD170" s="47">
        <v>3549</v>
      </c>
      <c r="AE170" s="47"/>
      <c r="AF170" s="51">
        <f>SUM(Table37[[#This Row],[MOOE (Php ''000)]:[CO (Php ''000)]])</f>
        <v>3549</v>
      </c>
      <c r="AG170" s="71" t="b">
        <f>ISBLANK(Table37[[#This Row],[PRPOPOSAL/BEDS]])</f>
        <v>0</v>
      </c>
      <c r="AH170" s="71" t="b">
        <f>ISBLANK(Table37[[#This Row],[OU]])</f>
        <v>0</v>
      </c>
      <c r="AI170" s="71" t="b">
        <f>ISBLANK(Table37[[#This Row],[SPECIFIC COMMODITY]])</f>
        <v>0</v>
      </c>
      <c r="AJ170" s="71" t="b">
        <f>ISBLANK(Table37[[#This Row],[COMMODITY PREXC SUB-PROGRAM]])</f>
        <v>0</v>
      </c>
      <c r="AK170" s="71" t="b">
        <f>ISBLANK(Table37[[#This Row],[ACTIVITY]])</f>
        <v>0</v>
      </c>
      <c r="AL170" s="71" t="b">
        <f>ISBLANK(Table37[[#This Row],[TAG-GAD]])</f>
        <v>0</v>
      </c>
      <c r="AM170" s="71" t="b">
        <f>ISBLANK(Table37[[#This Row],[MONTH]])</f>
        <v>0</v>
      </c>
      <c r="AN170" s="71" t="b">
        <f>ISBLANK(Table37[[#This Row],[MOOE (Php ''000)]])</f>
        <v>0</v>
      </c>
      <c r="AO170" s="71" t="b">
        <f>ISBLANK(Table37[[#This Row],[CO (Php ''000)]])</f>
        <v>1</v>
      </c>
    </row>
    <row r="171" spans="1:41">
      <c r="A171" s="51" t="str">
        <f>VLOOKUP(Table37[[#This Row],[OU]],OU!$A$15:$B$34,2,FALSE)</f>
        <v>RFOs</v>
      </c>
      <c r="B171" s="47" t="s">
        <v>301</v>
      </c>
      <c r="C171" s="47" t="s">
        <v>574</v>
      </c>
      <c r="D171" s="47" t="s">
        <v>585</v>
      </c>
      <c r="E171" s="51" t="str">
        <f>VLOOKUP(Table37[[#This Row],[SPECIFIC COMMODITY]],TAGS!$W$48:$X$53,2,FALSE)</f>
        <v>Multi_commodity</v>
      </c>
      <c r="F171" s="51" t="str">
        <f>VLOOKUP(Table37[[#This Row],[PREXC SUB-PROGRAM]],Table5[],2,FALSE)</f>
        <v>TECHNICAL AND SUPPORT SERVICES PROGRAM</v>
      </c>
      <c r="G171" s="51" t="str">
        <f>VLOOKUP(Table37[[#This Row],[COMMODITY PREXC SUB-PROGRAM]],TAGS!$U$54:$V$76,2,FALSE)</f>
        <v>ESETS</v>
      </c>
      <c r="H171" s="47" t="s">
        <v>592</v>
      </c>
      <c r="I171" s="51" t="str">
        <f>VLOOKUP(Table37[[#This Row],[PI LEVEL 3]],'PI LEVEL'!A:C,3,FALSE)</f>
        <v>Individuals given incentives, recognition, and awards</v>
      </c>
      <c r="J171" s="51" t="str">
        <f>VLOOKUP(Table37[[#This Row],[PI LEVEL 3]],Table53729[[Performance Indicator Level 3]:[Performance Indicator Level 1]],2,FALSE)</f>
        <v>AEWs-extension workers given incentives</v>
      </c>
      <c r="K171" s="51" t="str">
        <f>VLOOKUP(Table37[[#This Row],[ACTIVITY]],TAGS!B:P,2,FALSE)</f>
        <v>AEWs-extension workers given incentives</v>
      </c>
      <c r="L171" s="47" t="s">
        <v>113</v>
      </c>
      <c r="M171" s="51" t="str">
        <f>VLOOKUP(Table37[[#This Row],[ACTIVITY]],TAGS!$B:$P,4,FALSE)</f>
        <v>Extension Workers Incentives</v>
      </c>
      <c r="N171" s="51" t="str">
        <f>VLOOKUP(Table37[[#This Row],[ACTIVITY]],TAGS!$B:$P,5,FALSE)</f>
        <v>Incentives Given</v>
      </c>
      <c r="O171" s="51" t="str">
        <f>VLOOKUP(Table37[[#This Row],[ACTIVITY]],TAGS!$B:$P,6,FALSE)</f>
        <v>Agricultural Extension Worker</v>
      </c>
      <c r="P171" s="51" t="str">
        <f>VLOOKUP(Table37[[#This Row],[ACTIVITY]],TAGS!$B:$P,7,FALSE)</f>
        <v>NO</v>
      </c>
      <c r="Q171" s="51" t="str">
        <f>VLOOKUP(Table37[[#This Row],[ACTIVITY]],TAGS!$B:$P,8,FALSE)</f>
        <v>PAP</v>
      </c>
      <c r="R171" s="51" t="str">
        <f>VLOOKUP(Table37[[#This Row],[ACTIVITY]],TAGS!$B:$P,10,FALSE)</f>
        <v>PIP</v>
      </c>
      <c r="S171" s="51" t="str">
        <f>VLOOKUP(Table37[[#This Row],[ACTIVITY]],TAGS!$B:$P,11,FALSE)</f>
        <v>PICS</v>
      </c>
      <c r="T171" s="51" t="str">
        <f>VLOOKUP(Table37[[#This Row],[ACTIVITY]],TAGS!$B:$P,12,FALSE)</f>
        <v>Consolidation</v>
      </c>
      <c r="U171" s="51" t="str">
        <f>VLOOKUP(Table37[[#This Row],[ACTIVITY]],TAGS!$B:$P,13,FALSE)</f>
        <v>3. PAFES</v>
      </c>
      <c r="V171" s="51" t="str">
        <f>VLOOKUP(Table37[[#This Row],[ACTIVITY]],TAGS!$B:$P,14,FALSE)</f>
        <v>STRONG PARTNERSHIP WITH THE FARMERS, FISHERFOLK, PRIVATE SECTOR, AND OTHER STAKEHOLDERS</v>
      </c>
      <c r="W171" s="51" t="str">
        <f>VLOOKUP(Table37[[#This Row],[ACTIVITY]],TAGS!$B:$P,15,FALSE)</f>
        <v>Other Intervetions</v>
      </c>
      <c r="X171" s="51" t="str">
        <f>VLOOKUP(Table37[[#This Row],[PI LEVEL 3]],'PI LEVEL'!$A:$G,7,FALSE)</f>
        <v>DA-Level Output</v>
      </c>
      <c r="Y171" s="47" t="s">
        <v>577</v>
      </c>
      <c r="Z171" s="47" t="s">
        <v>334</v>
      </c>
      <c r="AA171" s="51" t="str">
        <f>VLOOKUP(Table37[[#This Row],[MONTH]],TAGS!$W$67:$Y$81,2,FALSE)</f>
        <v>3RD QTR</v>
      </c>
      <c r="AB171" s="51" t="str">
        <f>VLOOKUP(Table37[[#This Row],[MONTH]],TAGS!$W$67:$Y$81,3,FALSE)</f>
        <v>2ND SEMESTER</v>
      </c>
      <c r="AC171" s="51">
        <f>VLOOKUP(Table37[[#This Row],[MONTH]],TAGS!$W$67:$Z$81,4,FALSE)</f>
        <v>2025</v>
      </c>
      <c r="AD171" s="47">
        <v>3549</v>
      </c>
      <c r="AE171" s="47"/>
      <c r="AF171" s="51">
        <f>SUM(Table37[[#This Row],[MOOE (Php ''000)]:[CO (Php ''000)]])</f>
        <v>3549</v>
      </c>
      <c r="AG171" s="71" t="b">
        <f>ISBLANK(Table37[[#This Row],[PRPOPOSAL/BEDS]])</f>
        <v>0</v>
      </c>
      <c r="AH171" s="71" t="b">
        <f>ISBLANK(Table37[[#This Row],[OU]])</f>
        <v>0</v>
      </c>
      <c r="AI171" s="71" t="b">
        <f>ISBLANK(Table37[[#This Row],[SPECIFIC COMMODITY]])</f>
        <v>0</v>
      </c>
      <c r="AJ171" s="71" t="b">
        <f>ISBLANK(Table37[[#This Row],[COMMODITY PREXC SUB-PROGRAM]])</f>
        <v>0</v>
      </c>
      <c r="AK171" s="71" t="b">
        <f>ISBLANK(Table37[[#This Row],[ACTIVITY]])</f>
        <v>0</v>
      </c>
      <c r="AL171" s="71" t="b">
        <f>ISBLANK(Table37[[#This Row],[TAG-GAD]])</f>
        <v>0</v>
      </c>
      <c r="AM171" s="71" t="b">
        <f>ISBLANK(Table37[[#This Row],[MONTH]])</f>
        <v>0</v>
      </c>
      <c r="AN171" s="71" t="b">
        <f>ISBLANK(Table37[[#This Row],[MOOE (Php ''000)]])</f>
        <v>0</v>
      </c>
      <c r="AO171" s="71" t="b">
        <f>ISBLANK(Table37[[#This Row],[CO (Php ''000)]])</f>
        <v>1</v>
      </c>
    </row>
    <row r="172" spans="1:41">
      <c r="A172" s="51" t="str">
        <f>VLOOKUP(Table37[[#This Row],[OU]],OU!$A$15:$B$34,2,FALSE)</f>
        <v>RFOs</v>
      </c>
      <c r="B172" s="47" t="s">
        <v>301</v>
      </c>
      <c r="C172" s="47" t="s">
        <v>574</v>
      </c>
      <c r="D172" s="47" t="s">
        <v>585</v>
      </c>
      <c r="E172" s="51" t="str">
        <f>VLOOKUP(Table37[[#This Row],[SPECIFIC COMMODITY]],TAGS!$W$48:$X$53,2,FALSE)</f>
        <v>Multi_commodity</v>
      </c>
      <c r="F172" s="51" t="str">
        <f>VLOOKUP(Table37[[#This Row],[PREXC SUB-PROGRAM]],Table5[],2,FALSE)</f>
        <v>TECHNICAL AND SUPPORT SERVICES PROGRAM</v>
      </c>
      <c r="G172" s="51" t="str">
        <f>VLOOKUP(Table37[[#This Row],[COMMODITY PREXC SUB-PROGRAM]],TAGS!$U$54:$V$76,2,FALSE)</f>
        <v>ESETS</v>
      </c>
      <c r="H172" s="47" t="s">
        <v>592</v>
      </c>
      <c r="I172" s="51" t="str">
        <f>VLOOKUP(Table37[[#This Row],[PI LEVEL 3]],'PI LEVEL'!A:C,3,FALSE)</f>
        <v>Extension support activities conducted</v>
      </c>
      <c r="J172" s="51" t="str">
        <f>VLOOKUP(Table37[[#This Row],[PI LEVEL 3]],Table53729[[Performance Indicator Level 3]:[Performance Indicator Level 1]],2,FALSE)</f>
        <v>Extension support activities conducted</v>
      </c>
      <c r="K172" s="51" t="str">
        <f>VLOOKUP(Table37[[#This Row],[ACTIVITY]],TAGS!B:P,2,FALSE)</f>
        <v>Other extension support activities conducted</v>
      </c>
      <c r="L172" s="47" t="s">
        <v>161</v>
      </c>
      <c r="M172" s="51" t="str">
        <f>VLOOKUP(Table37[[#This Row],[ACTIVITY]],TAGS!$B:$P,4,FALSE)</f>
        <v>Information, Education, and Communication Activities</v>
      </c>
      <c r="N172" s="51" t="str">
        <f>VLOOKUP(Table37[[#This Row],[ACTIVITY]],TAGS!$B:$P,5,FALSE)</f>
        <v>Information, Education, and Communication Activities</v>
      </c>
      <c r="O172" s="51" t="str">
        <f>VLOOKUP(Table37[[#This Row],[ACTIVITY]],TAGS!$B:$P,6,FALSE)</f>
        <v>Radio Plugs</v>
      </c>
      <c r="P172" s="51" t="str">
        <f>VLOOKUP(Table37[[#This Row],[ACTIVITY]],TAGS!$B:$P,7,FALSE)</f>
        <v>NO</v>
      </c>
      <c r="Q172" s="51" t="str">
        <f>VLOOKUP(Table37[[#This Row],[ACTIVITY]],TAGS!$B:$P,8,FALSE)</f>
        <v>PAP</v>
      </c>
      <c r="R172" s="51" t="str">
        <f>VLOOKUP(Table37[[#This Row],[ACTIVITY]],TAGS!$B:$P,10,FALSE)</f>
        <v>PIP</v>
      </c>
      <c r="S172" s="51" t="str">
        <f>VLOOKUP(Table37[[#This Row],[ACTIVITY]],TAGS!$B:$P,11,FALSE)</f>
        <v>PICS</v>
      </c>
      <c r="T172" s="51" t="str">
        <f>VLOOKUP(Table37[[#This Row],[ACTIVITY]],TAGS!$B:$P,12,FALSE)</f>
        <v>Strategic Communication</v>
      </c>
      <c r="U172" s="51" t="str">
        <f>VLOOKUP(Table37[[#This Row],[ACTIVITY]],TAGS!$B:$P,13,FALSE)</f>
        <v>18. Strategic Communications​</v>
      </c>
      <c r="V172" s="51">
        <f>VLOOKUP(Table37[[#This Row],[ACTIVITY]],TAGS!$B:$P,14,FALSE)</f>
        <v>0</v>
      </c>
      <c r="W172" s="51" t="str">
        <f>VLOOKUP(Table37[[#This Row],[ACTIVITY]],TAGS!$B:$P,15,FALSE)</f>
        <v>IEC</v>
      </c>
      <c r="X172" s="51" t="str">
        <f>VLOOKUP(Table37[[#This Row],[PI LEVEL 3]],'PI LEVEL'!$A:$G,7,FALSE)</f>
        <v>DA-Level Output</v>
      </c>
      <c r="Y172" s="47" t="s">
        <v>577</v>
      </c>
      <c r="Z172" s="47" t="s">
        <v>328</v>
      </c>
      <c r="AA172" s="51" t="str">
        <f>VLOOKUP(Table37[[#This Row],[MONTH]],TAGS!$W$67:$Y$81,2,FALSE)</f>
        <v>1ST QTR</v>
      </c>
      <c r="AB172" s="51" t="str">
        <f>VLOOKUP(Table37[[#This Row],[MONTH]],TAGS!$W$67:$Y$81,3,FALSE)</f>
        <v>1ST SEMESTER</v>
      </c>
      <c r="AC172" s="51">
        <f>VLOOKUP(Table37[[#This Row],[MONTH]],TAGS!$W$67:$Z$81,4,FALSE)</f>
        <v>2025</v>
      </c>
      <c r="AD172" s="47">
        <v>32</v>
      </c>
      <c r="AE172" s="47"/>
      <c r="AF172" s="51">
        <f>SUM(Table37[[#This Row],[MOOE (Php ''000)]:[CO (Php ''000)]])</f>
        <v>32</v>
      </c>
      <c r="AG172" s="71" t="b">
        <f>ISBLANK(Table37[[#This Row],[PRPOPOSAL/BEDS]])</f>
        <v>0</v>
      </c>
      <c r="AH172" s="71" t="b">
        <f>ISBLANK(Table37[[#This Row],[OU]])</f>
        <v>0</v>
      </c>
      <c r="AI172" s="71" t="b">
        <f>ISBLANK(Table37[[#This Row],[SPECIFIC COMMODITY]])</f>
        <v>0</v>
      </c>
      <c r="AJ172" s="71" t="b">
        <f>ISBLANK(Table37[[#This Row],[COMMODITY PREXC SUB-PROGRAM]])</f>
        <v>0</v>
      </c>
      <c r="AK172" s="71" t="b">
        <f>ISBLANK(Table37[[#This Row],[ACTIVITY]])</f>
        <v>0</v>
      </c>
      <c r="AL172" s="71" t="b">
        <f>ISBLANK(Table37[[#This Row],[TAG-GAD]])</f>
        <v>0</v>
      </c>
      <c r="AM172" s="71" t="b">
        <f>ISBLANK(Table37[[#This Row],[MONTH]])</f>
        <v>0</v>
      </c>
      <c r="AN172" s="71" t="b">
        <f>ISBLANK(Table37[[#This Row],[MOOE (Php ''000)]])</f>
        <v>0</v>
      </c>
      <c r="AO172" s="71" t="b">
        <f>ISBLANK(Table37[[#This Row],[CO (Php ''000)]])</f>
        <v>1</v>
      </c>
    </row>
    <row r="173" spans="1:41">
      <c r="A173" s="51" t="str">
        <f>VLOOKUP(Table37[[#This Row],[OU]],OU!$A$15:$B$34,2,FALSE)</f>
        <v>RFOs</v>
      </c>
      <c r="B173" s="47" t="s">
        <v>301</v>
      </c>
      <c r="C173" s="47" t="s">
        <v>574</v>
      </c>
      <c r="D173" s="47" t="s">
        <v>585</v>
      </c>
      <c r="E173" s="51" t="str">
        <f>VLOOKUP(Table37[[#This Row],[SPECIFIC COMMODITY]],TAGS!$W$48:$X$53,2,FALSE)</f>
        <v>Multi_commodity</v>
      </c>
      <c r="F173" s="51" t="str">
        <f>VLOOKUP(Table37[[#This Row],[PREXC SUB-PROGRAM]],Table5[],2,FALSE)</f>
        <v>TECHNICAL AND SUPPORT SERVICES PROGRAM</v>
      </c>
      <c r="G173" s="51" t="str">
        <f>VLOOKUP(Table37[[#This Row],[COMMODITY PREXC SUB-PROGRAM]],TAGS!$U$54:$V$76,2,FALSE)</f>
        <v>ESETS</v>
      </c>
      <c r="H173" s="47" t="s">
        <v>592</v>
      </c>
      <c r="I173" s="51" t="str">
        <f>VLOOKUP(Table37[[#This Row],[PI LEVEL 3]],'PI LEVEL'!A:C,3,FALSE)</f>
        <v>Extension support activities conducted</v>
      </c>
      <c r="J173" s="51" t="str">
        <f>VLOOKUP(Table37[[#This Row],[PI LEVEL 3]],Table53729[[Performance Indicator Level 3]:[Performance Indicator Level 1]],2,FALSE)</f>
        <v>Extension support activities conducted</v>
      </c>
      <c r="K173" s="51" t="str">
        <f>VLOOKUP(Table37[[#This Row],[ACTIVITY]],TAGS!B:P,2,FALSE)</f>
        <v>Other extension support activities conducted</v>
      </c>
      <c r="L173" s="47" t="s">
        <v>161</v>
      </c>
      <c r="M173" s="51" t="str">
        <f>VLOOKUP(Table37[[#This Row],[ACTIVITY]],TAGS!$B:$P,4,FALSE)</f>
        <v>Information, Education, and Communication Activities</v>
      </c>
      <c r="N173" s="51" t="str">
        <f>VLOOKUP(Table37[[#This Row],[ACTIVITY]],TAGS!$B:$P,5,FALSE)</f>
        <v>Information, Education, and Communication Activities</v>
      </c>
      <c r="O173" s="51" t="str">
        <f>VLOOKUP(Table37[[#This Row],[ACTIVITY]],TAGS!$B:$P,6,FALSE)</f>
        <v>Radio Plugs</v>
      </c>
      <c r="P173" s="51" t="str">
        <f>VLOOKUP(Table37[[#This Row],[ACTIVITY]],TAGS!$B:$P,7,FALSE)</f>
        <v>NO</v>
      </c>
      <c r="Q173" s="51" t="str">
        <f>VLOOKUP(Table37[[#This Row],[ACTIVITY]],TAGS!$B:$P,8,FALSE)</f>
        <v>PAP</v>
      </c>
      <c r="R173" s="51" t="str">
        <f>VLOOKUP(Table37[[#This Row],[ACTIVITY]],TAGS!$B:$P,10,FALSE)</f>
        <v>PIP</v>
      </c>
      <c r="S173" s="51" t="str">
        <f>VLOOKUP(Table37[[#This Row],[ACTIVITY]],TAGS!$B:$P,11,FALSE)</f>
        <v>PICS</v>
      </c>
      <c r="T173" s="51" t="str">
        <f>VLOOKUP(Table37[[#This Row],[ACTIVITY]],TAGS!$B:$P,12,FALSE)</f>
        <v>Strategic Communication</v>
      </c>
      <c r="U173" s="51" t="str">
        <f>VLOOKUP(Table37[[#This Row],[ACTIVITY]],TAGS!$B:$P,13,FALSE)</f>
        <v>18. Strategic Communications​</v>
      </c>
      <c r="V173" s="51">
        <f>VLOOKUP(Table37[[#This Row],[ACTIVITY]],TAGS!$B:$P,14,FALSE)</f>
        <v>0</v>
      </c>
      <c r="W173" s="51" t="str">
        <f>VLOOKUP(Table37[[#This Row],[ACTIVITY]],TAGS!$B:$P,15,FALSE)</f>
        <v>IEC</v>
      </c>
      <c r="X173" s="51" t="str">
        <f>VLOOKUP(Table37[[#This Row],[PI LEVEL 3]],'PI LEVEL'!$A:$G,7,FALSE)</f>
        <v>DA-Level Output</v>
      </c>
      <c r="Y173" s="47" t="s">
        <v>577</v>
      </c>
      <c r="Z173" s="47" t="s">
        <v>329</v>
      </c>
      <c r="AA173" s="51" t="str">
        <f>VLOOKUP(Table37[[#This Row],[MONTH]],TAGS!$W$67:$Y$81,2,FALSE)</f>
        <v>1ST QTR</v>
      </c>
      <c r="AB173" s="51" t="str">
        <f>VLOOKUP(Table37[[#This Row],[MONTH]],TAGS!$W$67:$Y$81,3,FALSE)</f>
        <v>1ST SEMESTER</v>
      </c>
      <c r="AC173" s="51">
        <f>VLOOKUP(Table37[[#This Row],[MONTH]],TAGS!$W$67:$Z$81,4,FALSE)</f>
        <v>2025</v>
      </c>
      <c r="AD173" s="47">
        <v>32</v>
      </c>
      <c r="AE173" s="47"/>
      <c r="AF173" s="51">
        <f>SUM(Table37[[#This Row],[MOOE (Php ''000)]:[CO (Php ''000)]])</f>
        <v>32</v>
      </c>
      <c r="AG173" s="71" t="b">
        <f>ISBLANK(Table37[[#This Row],[PRPOPOSAL/BEDS]])</f>
        <v>0</v>
      </c>
      <c r="AH173" s="71" t="b">
        <f>ISBLANK(Table37[[#This Row],[OU]])</f>
        <v>0</v>
      </c>
      <c r="AI173" s="71" t="b">
        <f>ISBLANK(Table37[[#This Row],[SPECIFIC COMMODITY]])</f>
        <v>0</v>
      </c>
      <c r="AJ173" s="71" t="b">
        <f>ISBLANK(Table37[[#This Row],[COMMODITY PREXC SUB-PROGRAM]])</f>
        <v>0</v>
      </c>
      <c r="AK173" s="71" t="b">
        <f>ISBLANK(Table37[[#This Row],[ACTIVITY]])</f>
        <v>0</v>
      </c>
      <c r="AL173" s="71" t="b">
        <f>ISBLANK(Table37[[#This Row],[TAG-GAD]])</f>
        <v>0</v>
      </c>
      <c r="AM173" s="71" t="b">
        <f>ISBLANK(Table37[[#This Row],[MONTH]])</f>
        <v>0</v>
      </c>
      <c r="AN173" s="71" t="b">
        <f>ISBLANK(Table37[[#This Row],[MOOE (Php ''000)]])</f>
        <v>0</v>
      </c>
      <c r="AO173" s="71" t="b">
        <f>ISBLANK(Table37[[#This Row],[CO (Php ''000)]])</f>
        <v>1</v>
      </c>
    </row>
    <row r="174" spans="1:41">
      <c r="A174" s="51" t="str">
        <f>VLOOKUP(Table37[[#This Row],[OU]],OU!$A$15:$B$34,2,FALSE)</f>
        <v>RFOs</v>
      </c>
      <c r="B174" s="47" t="s">
        <v>301</v>
      </c>
      <c r="C174" s="47" t="s">
        <v>574</v>
      </c>
      <c r="D174" s="47" t="s">
        <v>585</v>
      </c>
      <c r="E174" s="51" t="str">
        <f>VLOOKUP(Table37[[#This Row],[SPECIFIC COMMODITY]],TAGS!$W$48:$X$53,2,FALSE)</f>
        <v>Multi_commodity</v>
      </c>
      <c r="F174" s="51" t="str">
        <f>VLOOKUP(Table37[[#This Row],[PREXC SUB-PROGRAM]],Table5[],2,FALSE)</f>
        <v>TECHNICAL AND SUPPORT SERVICES PROGRAM</v>
      </c>
      <c r="G174" s="51" t="str">
        <f>VLOOKUP(Table37[[#This Row],[COMMODITY PREXC SUB-PROGRAM]],TAGS!$U$54:$V$76,2,FALSE)</f>
        <v>ESETS</v>
      </c>
      <c r="H174" s="47" t="s">
        <v>592</v>
      </c>
      <c r="I174" s="51" t="str">
        <f>VLOOKUP(Table37[[#This Row],[PI LEVEL 3]],'PI LEVEL'!A:C,3,FALSE)</f>
        <v>Extension support activities conducted</v>
      </c>
      <c r="J174" s="51" t="str">
        <f>VLOOKUP(Table37[[#This Row],[PI LEVEL 3]],Table53729[[Performance Indicator Level 3]:[Performance Indicator Level 1]],2,FALSE)</f>
        <v>Extension support activities conducted</v>
      </c>
      <c r="K174" s="51" t="str">
        <f>VLOOKUP(Table37[[#This Row],[ACTIVITY]],TAGS!B:P,2,FALSE)</f>
        <v>Other extension support activities conducted</v>
      </c>
      <c r="L174" s="47" t="s">
        <v>161</v>
      </c>
      <c r="M174" s="51" t="str">
        <f>VLOOKUP(Table37[[#This Row],[ACTIVITY]],TAGS!$B:$P,4,FALSE)</f>
        <v>Information, Education, and Communication Activities</v>
      </c>
      <c r="N174" s="51" t="str">
        <f>VLOOKUP(Table37[[#This Row],[ACTIVITY]],TAGS!$B:$P,5,FALSE)</f>
        <v>Information, Education, and Communication Activities</v>
      </c>
      <c r="O174" s="51" t="str">
        <f>VLOOKUP(Table37[[#This Row],[ACTIVITY]],TAGS!$B:$P,6,FALSE)</f>
        <v>Radio Plugs</v>
      </c>
      <c r="P174" s="51" t="str">
        <f>VLOOKUP(Table37[[#This Row],[ACTIVITY]],TAGS!$B:$P,7,FALSE)</f>
        <v>NO</v>
      </c>
      <c r="Q174" s="51" t="str">
        <f>VLOOKUP(Table37[[#This Row],[ACTIVITY]],TAGS!$B:$P,8,FALSE)</f>
        <v>PAP</v>
      </c>
      <c r="R174" s="51" t="str">
        <f>VLOOKUP(Table37[[#This Row],[ACTIVITY]],TAGS!$B:$P,10,FALSE)</f>
        <v>PIP</v>
      </c>
      <c r="S174" s="51" t="str">
        <f>VLOOKUP(Table37[[#This Row],[ACTIVITY]],TAGS!$B:$P,11,FALSE)</f>
        <v>PICS</v>
      </c>
      <c r="T174" s="51" t="str">
        <f>VLOOKUP(Table37[[#This Row],[ACTIVITY]],TAGS!$B:$P,12,FALSE)</f>
        <v>Strategic Communication</v>
      </c>
      <c r="U174" s="51" t="str">
        <f>VLOOKUP(Table37[[#This Row],[ACTIVITY]],TAGS!$B:$P,13,FALSE)</f>
        <v>18. Strategic Communications​</v>
      </c>
      <c r="V174" s="51">
        <f>VLOOKUP(Table37[[#This Row],[ACTIVITY]],TAGS!$B:$P,14,FALSE)</f>
        <v>0</v>
      </c>
      <c r="W174" s="51" t="str">
        <f>VLOOKUP(Table37[[#This Row],[ACTIVITY]],TAGS!$B:$P,15,FALSE)</f>
        <v>IEC</v>
      </c>
      <c r="X174" s="51" t="str">
        <f>VLOOKUP(Table37[[#This Row],[PI LEVEL 3]],'PI LEVEL'!$A:$G,7,FALSE)</f>
        <v>DA-Level Output</v>
      </c>
      <c r="Y174" s="47" t="s">
        <v>577</v>
      </c>
      <c r="Z174" s="47" t="s">
        <v>330</v>
      </c>
      <c r="AA174" s="51" t="str">
        <f>VLOOKUP(Table37[[#This Row],[MONTH]],TAGS!$W$67:$Y$81,2,FALSE)</f>
        <v>2ND QTR</v>
      </c>
      <c r="AB174" s="51" t="str">
        <f>VLOOKUP(Table37[[#This Row],[MONTH]],TAGS!$W$67:$Y$81,3,FALSE)</f>
        <v>1ST SEMESTER</v>
      </c>
      <c r="AC174" s="51">
        <f>VLOOKUP(Table37[[#This Row],[MONTH]],TAGS!$W$67:$Z$81,4,FALSE)</f>
        <v>2025</v>
      </c>
      <c r="AD174" s="47">
        <v>32</v>
      </c>
      <c r="AE174" s="47"/>
      <c r="AF174" s="51">
        <f>SUM(Table37[[#This Row],[MOOE (Php ''000)]:[CO (Php ''000)]])</f>
        <v>32</v>
      </c>
      <c r="AG174" s="71" t="b">
        <f>ISBLANK(Table37[[#This Row],[PRPOPOSAL/BEDS]])</f>
        <v>0</v>
      </c>
      <c r="AH174" s="71" t="b">
        <f>ISBLANK(Table37[[#This Row],[OU]])</f>
        <v>0</v>
      </c>
      <c r="AI174" s="71" t="b">
        <f>ISBLANK(Table37[[#This Row],[SPECIFIC COMMODITY]])</f>
        <v>0</v>
      </c>
      <c r="AJ174" s="71" t="b">
        <f>ISBLANK(Table37[[#This Row],[COMMODITY PREXC SUB-PROGRAM]])</f>
        <v>0</v>
      </c>
      <c r="AK174" s="71" t="b">
        <f>ISBLANK(Table37[[#This Row],[ACTIVITY]])</f>
        <v>0</v>
      </c>
      <c r="AL174" s="71" t="b">
        <f>ISBLANK(Table37[[#This Row],[TAG-GAD]])</f>
        <v>0</v>
      </c>
      <c r="AM174" s="71" t="b">
        <f>ISBLANK(Table37[[#This Row],[MONTH]])</f>
        <v>0</v>
      </c>
      <c r="AN174" s="71" t="b">
        <f>ISBLANK(Table37[[#This Row],[MOOE (Php ''000)]])</f>
        <v>0</v>
      </c>
      <c r="AO174" s="71" t="b">
        <f>ISBLANK(Table37[[#This Row],[CO (Php ''000)]])</f>
        <v>1</v>
      </c>
    </row>
    <row r="175" spans="1:41">
      <c r="A175" s="51" t="str">
        <f>VLOOKUP(Table37[[#This Row],[OU]],OU!$A$15:$B$34,2,FALSE)</f>
        <v>RFOs</v>
      </c>
      <c r="B175" s="47" t="s">
        <v>301</v>
      </c>
      <c r="C175" s="47" t="s">
        <v>574</v>
      </c>
      <c r="D175" s="47" t="s">
        <v>585</v>
      </c>
      <c r="E175" s="51" t="str">
        <f>VLOOKUP(Table37[[#This Row],[SPECIFIC COMMODITY]],TAGS!$W$48:$X$53,2,FALSE)</f>
        <v>Multi_commodity</v>
      </c>
      <c r="F175" s="51" t="str">
        <f>VLOOKUP(Table37[[#This Row],[PREXC SUB-PROGRAM]],Table5[],2,FALSE)</f>
        <v>TECHNICAL AND SUPPORT SERVICES PROGRAM</v>
      </c>
      <c r="G175" s="51" t="str">
        <f>VLOOKUP(Table37[[#This Row],[COMMODITY PREXC SUB-PROGRAM]],TAGS!$U$54:$V$76,2,FALSE)</f>
        <v>ESETS</v>
      </c>
      <c r="H175" s="47" t="s">
        <v>592</v>
      </c>
      <c r="I175" s="51" t="str">
        <f>VLOOKUP(Table37[[#This Row],[PI LEVEL 3]],'PI LEVEL'!A:C,3,FALSE)</f>
        <v>Extension support activities conducted</v>
      </c>
      <c r="J175" s="51" t="str">
        <f>VLOOKUP(Table37[[#This Row],[PI LEVEL 3]],Table53729[[Performance Indicator Level 3]:[Performance Indicator Level 1]],2,FALSE)</f>
        <v>Extension support activities conducted</v>
      </c>
      <c r="K175" s="51" t="str">
        <f>VLOOKUP(Table37[[#This Row],[ACTIVITY]],TAGS!B:P,2,FALSE)</f>
        <v>Other extension support activities conducted</v>
      </c>
      <c r="L175" s="47" t="s">
        <v>161</v>
      </c>
      <c r="M175" s="51" t="str">
        <f>VLOOKUP(Table37[[#This Row],[ACTIVITY]],TAGS!$B:$P,4,FALSE)</f>
        <v>Information, Education, and Communication Activities</v>
      </c>
      <c r="N175" s="51" t="str">
        <f>VLOOKUP(Table37[[#This Row],[ACTIVITY]],TAGS!$B:$P,5,FALSE)</f>
        <v>Information, Education, and Communication Activities</v>
      </c>
      <c r="O175" s="51" t="str">
        <f>VLOOKUP(Table37[[#This Row],[ACTIVITY]],TAGS!$B:$P,6,FALSE)</f>
        <v>Radio Plugs</v>
      </c>
      <c r="P175" s="51" t="str">
        <f>VLOOKUP(Table37[[#This Row],[ACTIVITY]],TAGS!$B:$P,7,FALSE)</f>
        <v>NO</v>
      </c>
      <c r="Q175" s="51" t="str">
        <f>VLOOKUP(Table37[[#This Row],[ACTIVITY]],TAGS!$B:$P,8,FALSE)</f>
        <v>PAP</v>
      </c>
      <c r="R175" s="51" t="str">
        <f>VLOOKUP(Table37[[#This Row],[ACTIVITY]],TAGS!$B:$P,10,FALSE)</f>
        <v>PIP</v>
      </c>
      <c r="S175" s="51" t="str">
        <f>VLOOKUP(Table37[[#This Row],[ACTIVITY]],TAGS!$B:$P,11,FALSE)</f>
        <v>PICS</v>
      </c>
      <c r="T175" s="51" t="str">
        <f>VLOOKUP(Table37[[#This Row],[ACTIVITY]],TAGS!$B:$P,12,FALSE)</f>
        <v>Strategic Communication</v>
      </c>
      <c r="U175" s="51" t="str">
        <f>VLOOKUP(Table37[[#This Row],[ACTIVITY]],TAGS!$B:$P,13,FALSE)</f>
        <v>18. Strategic Communications​</v>
      </c>
      <c r="V175" s="51">
        <f>VLOOKUP(Table37[[#This Row],[ACTIVITY]],TAGS!$B:$P,14,FALSE)</f>
        <v>0</v>
      </c>
      <c r="W175" s="51" t="str">
        <f>VLOOKUP(Table37[[#This Row],[ACTIVITY]],TAGS!$B:$P,15,FALSE)</f>
        <v>IEC</v>
      </c>
      <c r="X175" s="51" t="str">
        <f>VLOOKUP(Table37[[#This Row],[PI LEVEL 3]],'PI LEVEL'!$A:$G,7,FALSE)</f>
        <v>DA-Level Output</v>
      </c>
      <c r="Y175" s="47" t="s">
        <v>577</v>
      </c>
      <c r="Z175" s="47" t="s">
        <v>331</v>
      </c>
      <c r="AA175" s="51" t="str">
        <f>VLOOKUP(Table37[[#This Row],[MONTH]],TAGS!$W$67:$Y$81,2,FALSE)</f>
        <v>2ND QTR</v>
      </c>
      <c r="AB175" s="51" t="str">
        <f>VLOOKUP(Table37[[#This Row],[MONTH]],TAGS!$W$67:$Y$81,3,FALSE)</f>
        <v>1ST SEMESTER</v>
      </c>
      <c r="AC175" s="51">
        <f>VLOOKUP(Table37[[#This Row],[MONTH]],TAGS!$W$67:$Z$81,4,FALSE)</f>
        <v>2025</v>
      </c>
      <c r="AD175" s="47">
        <v>32</v>
      </c>
      <c r="AE175" s="47"/>
      <c r="AF175" s="51">
        <f>SUM(Table37[[#This Row],[MOOE (Php ''000)]:[CO (Php ''000)]])</f>
        <v>32</v>
      </c>
      <c r="AG175" s="71" t="b">
        <f>ISBLANK(Table37[[#This Row],[PRPOPOSAL/BEDS]])</f>
        <v>0</v>
      </c>
      <c r="AH175" s="71" t="b">
        <f>ISBLANK(Table37[[#This Row],[OU]])</f>
        <v>0</v>
      </c>
      <c r="AI175" s="71" t="b">
        <f>ISBLANK(Table37[[#This Row],[SPECIFIC COMMODITY]])</f>
        <v>0</v>
      </c>
      <c r="AJ175" s="71" t="b">
        <f>ISBLANK(Table37[[#This Row],[COMMODITY PREXC SUB-PROGRAM]])</f>
        <v>0</v>
      </c>
      <c r="AK175" s="71" t="b">
        <f>ISBLANK(Table37[[#This Row],[ACTIVITY]])</f>
        <v>0</v>
      </c>
      <c r="AL175" s="71" t="b">
        <f>ISBLANK(Table37[[#This Row],[TAG-GAD]])</f>
        <v>0</v>
      </c>
      <c r="AM175" s="71" t="b">
        <f>ISBLANK(Table37[[#This Row],[MONTH]])</f>
        <v>0</v>
      </c>
      <c r="AN175" s="71" t="b">
        <f>ISBLANK(Table37[[#This Row],[MOOE (Php ''000)]])</f>
        <v>0</v>
      </c>
      <c r="AO175" s="71" t="b">
        <f>ISBLANK(Table37[[#This Row],[CO (Php ''000)]])</f>
        <v>1</v>
      </c>
    </row>
    <row r="176" spans="1:41">
      <c r="A176" s="51" t="str">
        <f>VLOOKUP(Table37[[#This Row],[OU]],OU!$A$15:$B$34,2,FALSE)</f>
        <v>RFOs</v>
      </c>
      <c r="B176" s="47" t="s">
        <v>301</v>
      </c>
      <c r="C176" s="47" t="s">
        <v>574</v>
      </c>
      <c r="D176" s="47" t="s">
        <v>585</v>
      </c>
      <c r="E176" s="51" t="str">
        <f>VLOOKUP(Table37[[#This Row],[SPECIFIC COMMODITY]],TAGS!$W$48:$X$53,2,FALSE)</f>
        <v>Multi_commodity</v>
      </c>
      <c r="F176" s="51" t="str">
        <f>VLOOKUP(Table37[[#This Row],[PREXC SUB-PROGRAM]],Table5[],2,FALSE)</f>
        <v>TECHNICAL AND SUPPORT SERVICES PROGRAM</v>
      </c>
      <c r="G176" s="51" t="str">
        <f>VLOOKUP(Table37[[#This Row],[COMMODITY PREXC SUB-PROGRAM]],TAGS!$U$54:$V$76,2,FALSE)</f>
        <v>ESETS</v>
      </c>
      <c r="H176" s="47" t="s">
        <v>592</v>
      </c>
      <c r="I176" s="51" t="str">
        <f>VLOOKUP(Table37[[#This Row],[PI LEVEL 3]],'PI LEVEL'!A:C,3,FALSE)</f>
        <v>Extension support activities conducted</v>
      </c>
      <c r="J176" s="51" t="str">
        <f>VLOOKUP(Table37[[#This Row],[PI LEVEL 3]],Table53729[[Performance Indicator Level 3]:[Performance Indicator Level 1]],2,FALSE)</f>
        <v>Extension support activities conducted</v>
      </c>
      <c r="K176" s="51" t="str">
        <f>VLOOKUP(Table37[[#This Row],[ACTIVITY]],TAGS!B:P,2,FALSE)</f>
        <v>Other extension support activities conducted</v>
      </c>
      <c r="L176" s="47" t="s">
        <v>161</v>
      </c>
      <c r="M176" s="51" t="str">
        <f>VLOOKUP(Table37[[#This Row],[ACTIVITY]],TAGS!$B:$P,4,FALSE)</f>
        <v>Information, Education, and Communication Activities</v>
      </c>
      <c r="N176" s="51" t="str">
        <f>VLOOKUP(Table37[[#This Row],[ACTIVITY]],TAGS!$B:$P,5,FALSE)</f>
        <v>Information, Education, and Communication Activities</v>
      </c>
      <c r="O176" s="51" t="str">
        <f>VLOOKUP(Table37[[#This Row],[ACTIVITY]],TAGS!$B:$P,6,FALSE)</f>
        <v>Radio Plugs</v>
      </c>
      <c r="P176" s="51" t="str">
        <f>VLOOKUP(Table37[[#This Row],[ACTIVITY]],TAGS!$B:$P,7,FALSE)</f>
        <v>NO</v>
      </c>
      <c r="Q176" s="51" t="str">
        <f>VLOOKUP(Table37[[#This Row],[ACTIVITY]],TAGS!$B:$P,8,FALSE)</f>
        <v>PAP</v>
      </c>
      <c r="R176" s="51" t="str">
        <f>VLOOKUP(Table37[[#This Row],[ACTIVITY]],TAGS!$B:$P,10,FALSE)</f>
        <v>PIP</v>
      </c>
      <c r="S176" s="51" t="str">
        <f>VLOOKUP(Table37[[#This Row],[ACTIVITY]],TAGS!$B:$P,11,FALSE)</f>
        <v>PICS</v>
      </c>
      <c r="T176" s="51" t="str">
        <f>VLOOKUP(Table37[[#This Row],[ACTIVITY]],TAGS!$B:$P,12,FALSE)</f>
        <v>Strategic Communication</v>
      </c>
      <c r="U176" s="51" t="str">
        <f>VLOOKUP(Table37[[#This Row],[ACTIVITY]],TAGS!$B:$P,13,FALSE)</f>
        <v>18. Strategic Communications​</v>
      </c>
      <c r="V176" s="51">
        <f>VLOOKUP(Table37[[#This Row],[ACTIVITY]],TAGS!$B:$P,14,FALSE)</f>
        <v>0</v>
      </c>
      <c r="W176" s="51" t="str">
        <f>VLOOKUP(Table37[[#This Row],[ACTIVITY]],TAGS!$B:$P,15,FALSE)</f>
        <v>IEC</v>
      </c>
      <c r="X176" s="51" t="str">
        <f>VLOOKUP(Table37[[#This Row],[PI LEVEL 3]],'PI LEVEL'!$A:$G,7,FALSE)</f>
        <v>DA-Level Output</v>
      </c>
      <c r="Y176" s="47" t="s">
        <v>577</v>
      </c>
      <c r="Z176" s="47" t="s">
        <v>332</v>
      </c>
      <c r="AA176" s="51" t="str">
        <f>VLOOKUP(Table37[[#This Row],[MONTH]],TAGS!$W$67:$Y$81,2,FALSE)</f>
        <v>2ND QTR</v>
      </c>
      <c r="AB176" s="51" t="str">
        <f>VLOOKUP(Table37[[#This Row],[MONTH]],TAGS!$W$67:$Y$81,3,FALSE)</f>
        <v>1ST SEMESTER</v>
      </c>
      <c r="AC176" s="51">
        <f>VLOOKUP(Table37[[#This Row],[MONTH]],TAGS!$W$67:$Z$81,4,FALSE)</f>
        <v>2025</v>
      </c>
      <c r="AD176" s="47">
        <v>32</v>
      </c>
      <c r="AE176" s="47"/>
      <c r="AF176" s="51">
        <f>SUM(Table37[[#This Row],[MOOE (Php ''000)]:[CO (Php ''000)]])</f>
        <v>32</v>
      </c>
      <c r="AG176" s="71" t="b">
        <f>ISBLANK(Table37[[#This Row],[PRPOPOSAL/BEDS]])</f>
        <v>0</v>
      </c>
      <c r="AH176" s="71" t="b">
        <f>ISBLANK(Table37[[#This Row],[OU]])</f>
        <v>0</v>
      </c>
      <c r="AI176" s="71" t="b">
        <f>ISBLANK(Table37[[#This Row],[SPECIFIC COMMODITY]])</f>
        <v>0</v>
      </c>
      <c r="AJ176" s="71" t="b">
        <f>ISBLANK(Table37[[#This Row],[COMMODITY PREXC SUB-PROGRAM]])</f>
        <v>0</v>
      </c>
      <c r="AK176" s="71" t="b">
        <f>ISBLANK(Table37[[#This Row],[ACTIVITY]])</f>
        <v>0</v>
      </c>
      <c r="AL176" s="71" t="b">
        <f>ISBLANK(Table37[[#This Row],[TAG-GAD]])</f>
        <v>0</v>
      </c>
      <c r="AM176" s="71" t="b">
        <f>ISBLANK(Table37[[#This Row],[MONTH]])</f>
        <v>0</v>
      </c>
      <c r="AN176" s="71" t="b">
        <f>ISBLANK(Table37[[#This Row],[MOOE (Php ''000)]])</f>
        <v>0</v>
      </c>
      <c r="AO176" s="71" t="b">
        <f>ISBLANK(Table37[[#This Row],[CO (Php ''000)]])</f>
        <v>1</v>
      </c>
    </row>
    <row r="177" spans="1:41">
      <c r="A177" s="51" t="str">
        <f>VLOOKUP(Table37[[#This Row],[OU]],OU!$A$15:$B$34,2,FALSE)</f>
        <v>RFOs</v>
      </c>
      <c r="B177" s="47" t="s">
        <v>301</v>
      </c>
      <c r="C177" s="47" t="s">
        <v>574</v>
      </c>
      <c r="D177" s="47" t="s">
        <v>585</v>
      </c>
      <c r="E177" s="51" t="str">
        <f>VLOOKUP(Table37[[#This Row],[SPECIFIC COMMODITY]],TAGS!$W$48:$X$53,2,FALSE)</f>
        <v>Multi_commodity</v>
      </c>
      <c r="F177" s="51" t="str">
        <f>VLOOKUP(Table37[[#This Row],[PREXC SUB-PROGRAM]],Table5[],2,FALSE)</f>
        <v>TECHNICAL AND SUPPORT SERVICES PROGRAM</v>
      </c>
      <c r="G177" s="51" t="str">
        <f>VLOOKUP(Table37[[#This Row],[COMMODITY PREXC SUB-PROGRAM]],TAGS!$U$54:$V$76,2,FALSE)</f>
        <v>ESETS</v>
      </c>
      <c r="H177" s="47" t="s">
        <v>592</v>
      </c>
      <c r="I177" s="51" t="str">
        <f>VLOOKUP(Table37[[#This Row],[PI LEVEL 3]],'PI LEVEL'!A:C,3,FALSE)</f>
        <v>Extension support activities conducted</v>
      </c>
      <c r="J177" s="51" t="str">
        <f>VLOOKUP(Table37[[#This Row],[PI LEVEL 3]],Table53729[[Performance Indicator Level 3]:[Performance Indicator Level 1]],2,FALSE)</f>
        <v>Extension support activities conducted</v>
      </c>
      <c r="K177" s="51" t="str">
        <f>VLOOKUP(Table37[[#This Row],[ACTIVITY]],TAGS!B:P,2,FALSE)</f>
        <v>Other extension support activities conducted</v>
      </c>
      <c r="L177" s="47" t="s">
        <v>161</v>
      </c>
      <c r="M177" s="51" t="str">
        <f>VLOOKUP(Table37[[#This Row],[ACTIVITY]],TAGS!$B:$P,4,FALSE)</f>
        <v>Information, Education, and Communication Activities</v>
      </c>
      <c r="N177" s="51" t="str">
        <f>VLOOKUP(Table37[[#This Row],[ACTIVITY]],TAGS!$B:$P,5,FALSE)</f>
        <v>Information, Education, and Communication Activities</v>
      </c>
      <c r="O177" s="51" t="str">
        <f>VLOOKUP(Table37[[#This Row],[ACTIVITY]],TAGS!$B:$P,6,FALSE)</f>
        <v>Radio Plugs</v>
      </c>
      <c r="P177" s="51" t="str">
        <f>VLOOKUP(Table37[[#This Row],[ACTIVITY]],TAGS!$B:$P,7,FALSE)</f>
        <v>NO</v>
      </c>
      <c r="Q177" s="51" t="str">
        <f>VLOOKUP(Table37[[#This Row],[ACTIVITY]],TAGS!$B:$P,8,FALSE)</f>
        <v>PAP</v>
      </c>
      <c r="R177" s="51" t="str">
        <f>VLOOKUP(Table37[[#This Row],[ACTIVITY]],TAGS!$B:$P,10,FALSE)</f>
        <v>PIP</v>
      </c>
      <c r="S177" s="51" t="str">
        <f>VLOOKUP(Table37[[#This Row],[ACTIVITY]],TAGS!$B:$P,11,FALSE)</f>
        <v>PICS</v>
      </c>
      <c r="T177" s="51" t="str">
        <f>VLOOKUP(Table37[[#This Row],[ACTIVITY]],TAGS!$B:$P,12,FALSE)</f>
        <v>Strategic Communication</v>
      </c>
      <c r="U177" s="51" t="str">
        <f>VLOOKUP(Table37[[#This Row],[ACTIVITY]],TAGS!$B:$P,13,FALSE)</f>
        <v>18. Strategic Communications​</v>
      </c>
      <c r="V177" s="51">
        <f>VLOOKUP(Table37[[#This Row],[ACTIVITY]],TAGS!$B:$P,14,FALSE)</f>
        <v>0</v>
      </c>
      <c r="W177" s="51" t="str">
        <f>VLOOKUP(Table37[[#This Row],[ACTIVITY]],TAGS!$B:$P,15,FALSE)</f>
        <v>IEC</v>
      </c>
      <c r="X177" s="51" t="str">
        <f>VLOOKUP(Table37[[#This Row],[PI LEVEL 3]],'PI LEVEL'!$A:$G,7,FALSE)</f>
        <v>DA-Level Output</v>
      </c>
      <c r="Y177" s="47" t="s">
        <v>577</v>
      </c>
      <c r="Z177" s="47" t="s">
        <v>333</v>
      </c>
      <c r="AA177" s="51" t="str">
        <f>VLOOKUP(Table37[[#This Row],[MONTH]],TAGS!$W$67:$Y$81,2,FALSE)</f>
        <v>3RD QTR</v>
      </c>
      <c r="AB177" s="51" t="str">
        <f>VLOOKUP(Table37[[#This Row],[MONTH]],TAGS!$W$67:$Y$81,3,FALSE)</f>
        <v>2ND SEMESTER</v>
      </c>
      <c r="AC177" s="51">
        <f>VLOOKUP(Table37[[#This Row],[MONTH]],TAGS!$W$67:$Z$81,4,FALSE)</f>
        <v>2025</v>
      </c>
      <c r="AD177" s="47">
        <v>32</v>
      </c>
      <c r="AE177" s="47"/>
      <c r="AF177" s="51">
        <f>SUM(Table37[[#This Row],[MOOE (Php ''000)]:[CO (Php ''000)]])</f>
        <v>32</v>
      </c>
      <c r="AG177" s="71" t="b">
        <f>ISBLANK(Table37[[#This Row],[PRPOPOSAL/BEDS]])</f>
        <v>0</v>
      </c>
      <c r="AH177" s="71" t="b">
        <f>ISBLANK(Table37[[#This Row],[OU]])</f>
        <v>0</v>
      </c>
      <c r="AI177" s="71" t="b">
        <f>ISBLANK(Table37[[#This Row],[SPECIFIC COMMODITY]])</f>
        <v>0</v>
      </c>
      <c r="AJ177" s="71" t="b">
        <f>ISBLANK(Table37[[#This Row],[COMMODITY PREXC SUB-PROGRAM]])</f>
        <v>0</v>
      </c>
      <c r="AK177" s="71" t="b">
        <f>ISBLANK(Table37[[#This Row],[ACTIVITY]])</f>
        <v>0</v>
      </c>
      <c r="AL177" s="71" t="b">
        <f>ISBLANK(Table37[[#This Row],[TAG-GAD]])</f>
        <v>0</v>
      </c>
      <c r="AM177" s="71" t="b">
        <f>ISBLANK(Table37[[#This Row],[MONTH]])</f>
        <v>0</v>
      </c>
      <c r="AN177" s="71" t="b">
        <f>ISBLANK(Table37[[#This Row],[MOOE (Php ''000)]])</f>
        <v>0</v>
      </c>
      <c r="AO177" s="71" t="b">
        <f>ISBLANK(Table37[[#This Row],[CO (Php ''000)]])</f>
        <v>1</v>
      </c>
    </row>
    <row r="178" spans="1:41">
      <c r="A178" s="51" t="str">
        <f>VLOOKUP(Table37[[#This Row],[OU]],OU!$A$15:$B$34,2,FALSE)</f>
        <v>RFOs</v>
      </c>
      <c r="B178" s="47" t="s">
        <v>301</v>
      </c>
      <c r="C178" s="47" t="s">
        <v>574</v>
      </c>
      <c r="D178" s="47" t="s">
        <v>585</v>
      </c>
      <c r="E178" s="51" t="str">
        <f>VLOOKUP(Table37[[#This Row],[SPECIFIC COMMODITY]],TAGS!$W$48:$X$53,2,FALSE)</f>
        <v>Multi_commodity</v>
      </c>
      <c r="F178" s="51" t="str">
        <f>VLOOKUP(Table37[[#This Row],[PREXC SUB-PROGRAM]],Table5[],2,FALSE)</f>
        <v>TECHNICAL AND SUPPORT SERVICES PROGRAM</v>
      </c>
      <c r="G178" s="51" t="str">
        <f>VLOOKUP(Table37[[#This Row],[COMMODITY PREXC SUB-PROGRAM]],TAGS!$U$54:$V$76,2,FALSE)</f>
        <v>ESETS</v>
      </c>
      <c r="H178" s="47" t="s">
        <v>592</v>
      </c>
      <c r="I178" s="51" t="str">
        <f>VLOOKUP(Table37[[#This Row],[PI LEVEL 3]],'PI LEVEL'!A:C,3,FALSE)</f>
        <v>Extension support activities conducted</v>
      </c>
      <c r="J178" s="51" t="str">
        <f>VLOOKUP(Table37[[#This Row],[PI LEVEL 3]],Table53729[[Performance Indicator Level 3]:[Performance Indicator Level 1]],2,FALSE)</f>
        <v>Extension support activities conducted</v>
      </c>
      <c r="K178" s="51" t="str">
        <f>VLOOKUP(Table37[[#This Row],[ACTIVITY]],TAGS!B:P,2,FALSE)</f>
        <v>Other extension support activities conducted</v>
      </c>
      <c r="L178" s="47" t="s">
        <v>161</v>
      </c>
      <c r="M178" s="51" t="str">
        <f>VLOOKUP(Table37[[#This Row],[ACTIVITY]],TAGS!$B:$P,4,FALSE)</f>
        <v>Information, Education, and Communication Activities</v>
      </c>
      <c r="N178" s="51" t="str">
        <f>VLOOKUP(Table37[[#This Row],[ACTIVITY]],TAGS!$B:$P,5,FALSE)</f>
        <v>Information, Education, and Communication Activities</v>
      </c>
      <c r="O178" s="51" t="str">
        <f>VLOOKUP(Table37[[#This Row],[ACTIVITY]],TAGS!$B:$P,6,FALSE)</f>
        <v>Radio Plugs</v>
      </c>
      <c r="P178" s="51" t="str">
        <f>VLOOKUP(Table37[[#This Row],[ACTIVITY]],TAGS!$B:$P,7,FALSE)</f>
        <v>NO</v>
      </c>
      <c r="Q178" s="51" t="str">
        <f>VLOOKUP(Table37[[#This Row],[ACTIVITY]],TAGS!$B:$P,8,FALSE)</f>
        <v>PAP</v>
      </c>
      <c r="R178" s="51" t="str">
        <f>VLOOKUP(Table37[[#This Row],[ACTIVITY]],TAGS!$B:$P,10,FALSE)</f>
        <v>PIP</v>
      </c>
      <c r="S178" s="51" t="str">
        <f>VLOOKUP(Table37[[#This Row],[ACTIVITY]],TAGS!$B:$P,11,FALSE)</f>
        <v>PICS</v>
      </c>
      <c r="T178" s="51" t="str">
        <f>VLOOKUP(Table37[[#This Row],[ACTIVITY]],TAGS!$B:$P,12,FALSE)</f>
        <v>Strategic Communication</v>
      </c>
      <c r="U178" s="51" t="str">
        <f>VLOOKUP(Table37[[#This Row],[ACTIVITY]],TAGS!$B:$P,13,FALSE)</f>
        <v>18. Strategic Communications​</v>
      </c>
      <c r="V178" s="51">
        <f>VLOOKUP(Table37[[#This Row],[ACTIVITY]],TAGS!$B:$P,14,FALSE)</f>
        <v>0</v>
      </c>
      <c r="W178" s="51" t="str">
        <f>VLOOKUP(Table37[[#This Row],[ACTIVITY]],TAGS!$B:$P,15,FALSE)</f>
        <v>IEC</v>
      </c>
      <c r="X178" s="51" t="str">
        <f>VLOOKUP(Table37[[#This Row],[PI LEVEL 3]],'PI LEVEL'!$A:$G,7,FALSE)</f>
        <v>DA-Level Output</v>
      </c>
      <c r="Y178" s="47" t="s">
        <v>577</v>
      </c>
      <c r="Z178" s="47" t="s">
        <v>334</v>
      </c>
      <c r="AA178" s="51" t="str">
        <f>VLOOKUP(Table37[[#This Row],[MONTH]],TAGS!$W$67:$Y$81,2,FALSE)</f>
        <v>3RD QTR</v>
      </c>
      <c r="AB178" s="51" t="str">
        <f>VLOOKUP(Table37[[#This Row],[MONTH]],TAGS!$W$67:$Y$81,3,FALSE)</f>
        <v>2ND SEMESTER</v>
      </c>
      <c r="AC178" s="51">
        <f>VLOOKUP(Table37[[#This Row],[MONTH]],TAGS!$W$67:$Z$81,4,FALSE)</f>
        <v>2025</v>
      </c>
      <c r="AD178" s="47">
        <v>32</v>
      </c>
      <c r="AE178" s="47"/>
      <c r="AF178" s="51">
        <f>SUM(Table37[[#This Row],[MOOE (Php ''000)]:[CO (Php ''000)]])</f>
        <v>32</v>
      </c>
      <c r="AG178" s="71" t="b">
        <f>ISBLANK(Table37[[#This Row],[PRPOPOSAL/BEDS]])</f>
        <v>0</v>
      </c>
      <c r="AH178" s="71" t="b">
        <f>ISBLANK(Table37[[#This Row],[OU]])</f>
        <v>0</v>
      </c>
      <c r="AI178" s="71" t="b">
        <f>ISBLANK(Table37[[#This Row],[SPECIFIC COMMODITY]])</f>
        <v>0</v>
      </c>
      <c r="AJ178" s="71" t="b">
        <f>ISBLANK(Table37[[#This Row],[COMMODITY PREXC SUB-PROGRAM]])</f>
        <v>0</v>
      </c>
      <c r="AK178" s="71" t="b">
        <f>ISBLANK(Table37[[#This Row],[ACTIVITY]])</f>
        <v>0</v>
      </c>
      <c r="AL178" s="71" t="b">
        <f>ISBLANK(Table37[[#This Row],[TAG-GAD]])</f>
        <v>0</v>
      </c>
      <c r="AM178" s="71" t="b">
        <f>ISBLANK(Table37[[#This Row],[MONTH]])</f>
        <v>0</v>
      </c>
      <c r="AN178" s="71" t="b">
        <f>ISBLANK(Table37[[#This Row],[MOOE (Php ''000)]])</f>
        <v>0</v>
      </c>
      <c r="AO178" s="71" t="b">
        <f>ISBLANK(Table37[[#This Row],[CO (Php ''000)]])</f>
        <v>1</v>
      </c>
    </row>
    <row r="179" spans="1:41">
      <c r="A179" s="51" t="str">
        <f>VLOOKUP(Table37[[#This Row],[OU]],OU!$A$15:$B$34,2,FALSE)</f>
        <v>RFOs</v>
      </c>
      <c r="B179" s="47" t="s">
        <v>301</v>
      </c>
      <c r="C179" s="47" t="s">
        <v>574</v>
      </c>
      <c r="D179" s="47" t="s">
        <v>585</v>
      </c>
      <c r="E179" s="51" t="str">
        <f>VLOOKUP(Table37[[#This Row],[SPECIFIC COMMODITY]],TAGS!$W$48:$X$53,2,FALSE)</f>
        <v>Multi_commodity</v>
      </c>
      <c r="F179" s="51" t="str">
        <f>VLOOKUP(Table37[[#This Row],[PREXC SUB-PROGRAM]],Table5[],2,FALSE)</f>
        <v>TECHNICAL AND SUPPORT SERVICES PROGRAM</v>
      </c>
      <c r="G179" s="51" t="str">
        <f>VLOOKUP(Table37[[#This Row],[COMMODITY PREXC SUB-PROGRAM]],TAGS!$U$54:$V$76,2,FALSE)</f>
        <v>ESETS</v>
      </c>
      <c r="H179" s="47" t="s">
        <v>592</v>
      </c>
      <c r="I179" s="51" t="str">
        <f>VLOOKUP(Table37[[#This Row],[PI LEVEL 3]],'PI LEVEL'!A:C,3,FALSE)</f>
        <v>Extension support activities conducted</v>
      </c>
      <c r="J179" s="51" t="str">
        <f>VLOOKUP(Table37[[#This Row],[PI LEVEL 3]],Table53729[[Performance Indicator Level 3]:[Performance Indicator Level 1]],2,FALSE)</f>
        <v>Extension support activities conducted</v>
      </c>
      <c r="K179" s="51" t="str">
        <f>VLOOKUP(Table37[[#This Row],[ACTIVITY]],TAGS!B:P,2,FALSE)</f>
        <v>Other extension support activities conducted</v>
      </c>
      <c r="L179" s="47" t="s">
        <v>161</v>
      </c>
      <c r="M179" s="51" t="str">
        <f>VLOOKUP(Table37[[#This Row],[ACTIVITY]],TAGS!$B:$P,4,FALSE)</f>
        <v>Information, Education, and Communication Activities</v>
      </c>
      <c r="N179" s="51" t="str">
        <f>VLOOKUP(Table37[[#This Row],[ACTIVITY]],TAGS!$B:$P,5,FALSE)</f>
        <v>Information, Education, and Communication Activities</v>
      </c>
      <c r="O179" s="51" t="str">
        <f>VLOOKUP(Table37[[#This Row],[ACTIVITY]],TAGS!$B:$P,6,FALSE)</f>
        <v>Radio Plugs</v>
      </c>
      <c r="P179" s="51" t="str">
        <f>VLOOKUP(Table37[[#This Row],[ACTIVITY]],TAGS!$B:$P,7,FALSE)</f>
        <v>NO</v>
      </c>
      <c r="Q179" s="51" t="str">
        <f>VLOOKUP(Table37[[#This Row],[ACTIVITY]],TAGS!$B:$P,8,FALSE)</f>
        <v>PAP</v>
      </c>
      <c r="R179" s="51" t="str">
        <f>VLOOKUP(Table37[[#This Row],[ACTIVITY]],TAGS!$B:$P,10,FALSE)</f>
        <v>PIP</v>
      </c>
      <c r="S179" s="51" t="str">
        <f>VLOOKUP(Table37[[#This Row],[ACTIVITY]],TAGS!$B:$P,11,FALSE)</f>
        <v>PICS</v>
      </c>
      <c r="T179" s="51" t="str">
        <f>VLOOKUP(Table37[[#This Row],[ACTIVITY]],TAGS!$B:$P,12,FALSE)</f>
        <v>Strategic Communication</v>
      </c>
      <c r="U179" s="51" t="str">
        <f>VLOOKUP(Table37[[#This Row],[ACTIVITY]],TAGS!$B:$P,13,FALSE)</f>
        <v>18. Strategic Communications​</v>
      </c>
      <c r="V179" s="51">
        <f>VLOOKUP(Table37[[#This Row],[ACTIVITY]],TAGS!$B:$P,14,FALSE)</f>
        <v>0</v>
      </c>
      <c r="W179" s="51" t="str">
        <f>VLOOKUP(Table37[[#This Row],[ACTIVITY]],TAGS!$B:$P,15,FALSE)</f>
        <v>IEC</v>
      </c>
      <c r="X179" s="51" t="str">
        <f>VLOOKUP(Table37[[#This Row],[PI LEVEL 3]],'PI LEVEL'!$A:$G,7,FALSE)</f>
        <v>DA-Level Output</v>
      </c>
      <c r="Y179" s="47" t="s">
        <v>577</v>
      </c>
      <c r="Z179" s="47" t="s">
        <v>335</v>
      </c>
      <c r="AA179" s="51" t="str">
        <f>VLOOKUP(Table37[[#This Row],[MONTH]],TAGS!$W$67:$Y$81,2,FALSE)</f>
        <v>3RD QTR</v>
      </c>
      <c r="AB179" s="51" t="str">
        <f>VLOOKUP(Table37[[#This Row],[MONTH]],TAGS!$W$67:$Y$81,3,FALSE)</f>
        <v>2ND SEMESTER</v>
      </c>
      <c r="AC179" s="51">
        <f>VLOOKUP(Table37[[#This Row],[MONTH]],TAGS!$W$67:$Z$81,4,FALSE)</f>
        <v>2025</v>
      </c>
      <c r="AD179" s="47">
        <v>32</v>
      </c>
      <c r="AE179" s="47"/>
      <c r="AF179" s="51">
        <f>SUM(Table37[[#This Row],[MOOE (Php ''000)]:[CO (Php ''000)]])</f>
        <v>32</v>
      </c>
      <c r="AG179" s="71" t="b">
        <f>ISBLANK(Table37[[#This Row],[PRPOPOSAL/BEDS]])</f>
        <v>0</v>
      </c>
      <c r="AH179" s="71" t="b">
        <f>ISBLANK(Table37[[#This Row],[OU]])</f>
        <v>0</v>
      </c>
      <c r="AI179" s="71" t="b">
        <f>ISBLANK(Table37[[#This Row],[SPECIFIC COMMODITY]])</f>
        <v>0</v>
      </c>
      <c r="AJ179" s="71" t="b">
        <f>ISBLANK(Table37[[#This Row],[COMMODITY PREXC SUB-PROGRAM]])</f>
        <v>0</v>
      </c>
      <c r="AK179" s="71" t="b">
        <f>ISBLANK(Table37[[#This Row],[ACTIVITY]])</f>
        <v>0</v>
      </c>
      <c r="AL179" s="71" t="b">
        <f>ISBLANK(Table37[[#This Row],[TAG-GAD]])</f>
        <v>0</v>
      </c>
      <c r="AM179" s="71" t="b">
        <f>ISBLANK(Table37[[#This Row],[MONTH]])</f>
        <v>0</v>
      </c>
      <c r="AN179" s="71" t="b">
        <f>ISBLANK(Table37[[#This Row],[MOOE (Php ''000)]])</f>
        <v>0</v>
      </c>
      <c r="AO179" s="71" t="b">
        <f>ISBLANK(Table37[[#This Row],[CO (Php ''000)]])</f>
        <v>1</v>
      </c>
    </row>
    <row r="180" spans="1:41">
      <c r="A180" s="51" t="str">
        <f>VLOOKUP(Table37[[#This Row],[OU]],OU!$A$15:$B$34,2,FALSE)</f>
        <v>RFOs</v>
      </c>
      <c r="B180" s="47" t="s">
        <v>301</v>
      </c>
      <c r="C180" s="47" t="s">
        <v>574</v>
      </c>
      <c r="D180" s="47" t="s">
        <v>585</v>
      </c>
      <c r="E180" s="51" t="str">
        <f>VLOOKUP(Table37[[#This Row],[SPECIFIC COMMODITY]],TAGS!$W$48:$X$53,2,FALSE)</f>
        <v>Multi_commodity</v>
      </c>
      <c r="F180" s="51" t="str">
        <f>VLOOKUP(Table37[[#This Row],[PREXC SUB-PROGRAM]],Table5[],2,FALSE)</f>
        <v>TECHNICAL AND SUPPORT SERVICES PROGRAM</v>
      </c>
      <c r="G180" s="51" t="str">
        <f>VLOOKUP(Table37[[#This Row],[COMMODITY PREXC SUB-PROGRAM]],TAGS!$U$54:$V$76,2,FALSE)</f>
        <v>ESETS</v>
      </c>
      <c r="H180" s="47" t="s">
        <v>592</v>
      </c>
      <c r="I180" s="51" t="str">
        <f>VLOOKUP(Table37[[#This Row],[PI LEVEL 3]],'PI LEVEL'!A:C,3,FALSE)</f>
        <v>Extension support activities conducted</v>
      </c>
      <c r="J180" s="51" t="str">
        <f>VLOOKUP(Table37[[#This Row],[PI LEVEL 3]],Table53729[[Performance Indicator Level 3]:[Performance Indicator Level 1]],2,FALSE)</f>
        <v>Extension support activities conducted</v>
      </c>
      <c r="K180" s="51" t="str">
        <f>VLOOKUP(Table37[[#This Row],[ACTIVITY]],TAGS!B:P,2,FALSE)</f>
        <v>Other extension support activities conducted</v>
      </c>
      <c r="L180" s="47" t="s">
        <v>161</v>
      </c>
      <c r="M180" s="51" t="str">
        <f>VLOOKUP(Table37[[#This Row],[ACTIVITY]],TAGS!$B:$P,4,FALSE)</f>
        <v>Information, Education, and Communication Activities</v>
      </c>
      <c r="N180" s="51" t="str">
        <f>VLOOKUP(Table37[[#This Row],[ACTIVITY]],TAGS!$B:$P,5,FALSE)</f>
        <v>Information, Education, and Communication Activities</v>
      </c>
      <c r="O180" s="51" t="str">
        <f>VLOOKUP(Table37[[#This Row],[ACTIVITY]],TAGS!$B:$P,6,FALSE)</f>
        <v>Radio Plugs</v>
      </c>
      <c r="P180" s="51" t="str">
        <f>VLOOKUP(Table37[[#This Row],[ACTIVITY]],TAGS!$B:$P,7,FALSE)</f>
        <v>NO</v>
      </c>
      <c r="Q180" s="51" t="str">
        <f>VLOOKUP(Table37[[#This Row],[ACTIVITY]],TAGS!$B:$P,8,FALSE)</f>
        <v>PAP</v>
      </c>
      <c r="R180" s="51" t="str">
        <f>VLOOKUP(Table37[[#This Row],[ACTIVITY]],TAGS!$B:$P,10,FALSE)</f>
        <v>PIP</v>
      </c>
      <c r="S180" s="51" t="str">
        <f>VLOOKUP(Table37[[#This Row],[ACTIVITY]],TAGS!$B:$P,11,FALSE)</f>
        <v>PICS</v>
      </c>
      <c r="T180" s="51" t="str">
        <f>VLOOKUP(Table37[[#This Row],[ACTIVITY]],TAGS!$B:$P,12,FALSE)</f>
        <v>Strategic Communication</v>
      </c>
      <c r="U180" s="51" t="str">
        <f>VLOOKUP(Table37[[#This Row],[ACTIVITY]],TAGS!$B:$P,13,FALSE)</f>
        <v>18. Strategic Communications​</v>
      </c>
      <c r="V180" s="51">
        <f>VLOOKUP(Table37[[#This Row],[ACTIVITY]],TAGS!$B:$P,14,FALSE)</f>
        <v>0</v>
      </c>
      <c r="W180" s="51" t="str">
        <f>VLOOKUP(Table37[[#This Row],[ACTIVITY]],TAGS!$B:$P,15,FALSE)</f>
        <v>IEC</v>
      </c>
      <c r="X180" s="51" t="str">
        <f>VLOOKUP(Table37[[#This Row],[PI LEVEL 3]],'PI LEVEL'!$A:$G,7,FALSE)</f>
        <v>DA-Level Output</v>
      </c>
      <c r="Y180" s="47" t="s">
        <v>577</v>
      </c>
      <c r="Z180" s="47" t="s">
        <v>336</v>
      </c>
      <c r="AA180" s="51" t="str">
        <f>VLOOKUP(Table37[[#This Row],[MONTH]],TAGS!$W$67:$Y$81,2,FALSE)</f>
        <v>4TH QTR</v>
      </c>
      <c r="AB180" s="51" t="str">
        <f>VLOOKUP(Table37[[#This Row],[MONTH]],TAGS!$W$67:$Y$81,3,FALSE)</f>
        <v>2ND SEMESTER</v>
      </c>
      <c r="AC180" s="51">
        <f>VLOOKUP(Table37[[#This Row],[MONTH]],TAGS!$W$67:$Z$81,4,FALSE)</f>
        <v>2025</v>
      </c>
      <c r="AD180" s="47">
        <v>32</v>
      </c>
      <c r="AE180" s="47"/>
      <c r="AF180" s="51">
        <f>SUM(Table37[[#This Row],[MOOE (Php ''000)]:[CO (Php ''000)]])</f>
        <v>32</v>
      </c>
      <c r="AG180" s="71" t="b">
        <f>ISBLANK(Table37[[#This Row],[PRPOPOSAL/BEDS]])</f>
        <v>0</v>
      </c>
      <c r="AH180" s="71" t="b">
        <f>ISBLANK(Table37[[#This Row],[OU]])</f>
        <v>0</v>
      </c>
      <c r="AI180" s="71" t="b">
        <f>ISBLANK(Table37[[#This Row],[SPECIFIC COMMODITY]])</f>
        <v>0</v>
      </c>
      <c r="AJ180" s="71" t="b">
        <f>ISBLANK(Table37[[#This Row],[COMMODITY PREXC SUB-PROGRAM]])</f>
        <v>0</v>
      </c>
      <c r="AK180" s="71" t="b">
        <f>ISBLANK(Table37[[#This Row],[ACTIVITY]])</f>
        <v>0</v>
      </c>
      <c r="AL180" s="71" t="b">
        <f>ISBLANK(Table37[[#This Row],[TAG-GAD]])</f>
        <v>0</v>
      </c>
      <c r="AM180" s="71" t="b">
        <f>ISBLANK(Table37[[#This Row],[MONTH]])</f>
        <v>0</v>
      </c>
      <c r="AN180" s="71" t="b">
        <f>ISBLANK(Table37[[#This Row],[MOOE (Php ''000)]])</f>
        <v>0</v>
      </c>
      <c r="AO180" s="71" t="b">
        <f>ISBLANK(Table37[[#This Row],[CO (Php ''000)]])</f>
        <v>1</v>
      </c>
    </row>
    <row r="181" spans="1:41">
      <c r="A181" s="51" t="str">
        <f>VLOOKUP(Table37[[#This Row],[OU]],OU!$A$15:$B$34,2,FALSE)</f>
        <v>RFOs</v>
      </c>
      <c r="B181" s="47" t="s">
        <v>301</v>
      </c>
      <c r="C181" s="47" t="s">
        <v>574</v>
      </c>
      <c r="D181" s="47" t="s">
        <v>585</v>
      </c>
      <c r="E181" s="51" t="str">
        <f>VLOOKUP(Table37[[#This Row],[SPECIFIC COMMODITY]],TAGS!$W$48:$X$53,2,FALSE)</f>
        <v>Multi_commodity</v>
      </c>
      <c r="F181" s="51" t="str">
        <f>VLOOKUP(Table37[[#This Row],[PREXC SUB-PROGRAM]],Table5[],2,FALSE)</f>
        <v>TECHNICAL AND SUPPORT SERVICES PROGRAM</v>
      </c>
      <c r="G181" s="51" t="str">
        <f>VLOOKUP(Table37[[#This Row],[COMMODITY PREXC SUB-PROGRAM]],TAGS!$U$54:$V$76,2,FALSE)</f>
        <v>ESETS</v>
      </c>
      <c r="H181" s="47" t="s">
        <v>592</v>
      </c>
      <c r="I181" s="51" t="str">
        <f>VLOOKUP(Table37[[#This Row],[PI LEVEL 3]],'PI LEVEL'!A:C,3,FALSE)</f>
        <v>Extension support activities conducted</v>
      </c>
      <c r="J181" s="51" t="str">
        <f>VLOOKUP(Table37[[#This Row],[PI LEVEL 3]],Table53729[[Performance Indicator Level 3]:[Performance Indicator Level 1]],2,FALSE)</f>
        <v>Extension support activities conducted</v>
      </c>
      <c r="K181" s="51" t="str">
        <f>VLOOKUP(Table37[[#This Row],[ACTIVITY]],TAGS!B:P,2,FALSE)</f>
        <v>Other extension support activities conducted</v>
      </c>
      <c r="L181" s="47" t="s">
        <v>161</v>
      </c>
      <c r="M181" s="51" t="str">
        <f>VLOOKUP(Table37[[#This Row],[ACTIVITY]],TAGS!$B:$P,4,FALSE)</f>
        <v>Information, Education, and Communication Activities</v>
      </c>
      <c r="N181" s="51" t="str">
        <f>VLOOKUP(Table37[[#This Row],[ACTIVITY]],TAGS!$B:$P,5,FALSE)</f>
        <v>Information, Education, and Communication Activities</v>
      </c>
      <c r="O181" s="51" t="str">
        <f>VLOOKUP(Table37[[#This Row],[ACTIVITY]],TAGS!$B:$P,6,FALSE)</f>
        <v>Radio Plugs</v>
      </c>
      <c r="P181" s="51" t="str">
        <f>VLOOKUP(Table37[[#This Row],[ACTIVITY]],TAGS!$B:$P,7,FALSE)</f>
        <v>NO</v>
      </c>
      <c r="Q181" s="51" t="str">
        <f>VLOOKUP(Table37[[#This Row],[ACTIVITY]],TAGS!$B:$P,8,FALSE)</f>
        <v>PAP</v>
      </c>
      <c r="R181" s="51" t="str">
        <f>VLOOKUP(Table37[[#This Row],[ACTIVITY]],TAGS!$B:$P,10,FALSE)</f>
        <v>PIP</v>
      </c>
      <c r="S181" s="51" t="str">
        <f>VLOOKUP(Table37[[#This Row],[ACTIVITY]],TAGS!$B:$P,11,FALSE)</f>
        <v>PICS</v>
      </c>
      <c r="T181" s="51" t="str">
        <f>VLOOKUP(Table37[[#This Row],[ACTIVITY]],TAGS!$B:$P,12,FALSE)</f>
        <v>Strategic Communication</v>
      </c>
      <c r="U181" s="51" t="str">
        <f>VLOOKUP(Table37[[#This Row],[ACTIVITY]],TAGS!$B:$P,13,FALSE)</f>
        <v>18. Strategic Communications​</v>
      </c>
      <c r="V181" s="51">
        <f>VLOOKUP(Table37[[#This Row],[ACTIVITY]],TAGS!$B:$P,14,FALSE)</f>
        <v>0</v>
      </c>
      <c r="W181" s="51" t="str">
        <f>VLOOKUP(Table37[[#This Row],[ACTIVITY]],TAGS!$B:$P,15,FALSE)</f>
        <v>IEC</v>
      </c>
      <c r="X181" s="51" t="str">
        <f>VLOOKUP(Table37[[#This Row],[PI LEVEL 3]],'PI LEVEL'!$A:$G,7,FALSE)</f>
        <v>DA-Level Output</v>
      </c>
      <c r="Y181" s="47" t="s">
        <v>577</v>
      </c>
      <c r="Z181" s="47" t="s">
        <v>337</v>
      </c>
      <c r="AA181" s="51" t="str">
        <f>VLOOKUP(Table37[[#This Row],[MONTH]],TAGS!$W$67:$Y$81,2,FALSE)</f>
        <v>4TH QTR</v>
      </c>
      <c r="AB181" s="51" t="str">
        <f>VLOOKUP(Table37[[#This Row],[MONTH]],TAGS!$W$67:$Y$81,3,FALSE)</f>
        <v>2ND SEMESTER</v>
      </c>
      <c r="AC181" s="51">
        <f>VLOOKUP(Table37[[#This Row],[MONTH]],TAGS!$W$67:$Z$81,4,FALSE)</f>
        <v>2025</v>
      </c>
      <c r="AD181" s="47">
        <v>32</v>
      </c>
      <c r="AE181" s="47"/>
      <c r="AF181" s="51">
        <f>SUM(Table37[[#This Row],[MOOE (Php ''000)]:[CO (Php ''000)]])</f>
        <v>32</v>
      </c>
      <c r="AG181" s="71" t="b">
        <f>ISBLANK(Table37[[#This Row],[PRPOPOSAL/BEDS]])</f>
        <v>0</v>
      </c>
      <c r="AH181" s="71" t="b">
        <f>ISBLANK(Table37[[#This Row],[OU]])</f>
        <v>0</v>
      </c>
      <c r="AI181" s="71" t="b">
        <f>ISBLANK(Table37[[#This Row],[SPECIFIC COMMODITY]])</f>
        <v>0</v>
      </c>
      <c r="AJ181" s="71" t="b">
        <f>ISBLANK(Table37[[#This Row],[COMMODITY PREXC SUB-PROGRAM]])</f>
        <v>0</v>
      </c>
      <c r="AK181" s="71" t="b">
        <f>ISBLANK(Table37[[#This Row],[ACTIVITY]])</f>
        <v>0</v>
      </c>
      <c r="AL181" s="71" t="b">
        <f>ISBLANK(Table37[[#This Row],[TAG-GAD]])</f>
        <v>0</v>
      </c>
      <c r="AM181" s="71" t="b">
        <f>ISBLANK(Table37[[#This Row],[MONTH]])</f>
        <v>0</v>
      </c>
      <c r="AN181" s="71" t="b">
        <f>ISBLANK(Table37[[#This Row],[MOOE (Php ''000)]])</f>
        <v>0</v>
      </c>
      <c r="AO181" s="71" t="b">
        <f>ISBLANK(Table37[[#This Row],[CO (Php ''000)]])</f>
        <v>1</v>
      </c>
    </row>
    <row r="182" spans="1:41">
      <c r="A182" s="51" t="str">
        <f>VLOOKUP(Table37[[#This Row],[OU]],OU!$A$15:$B$34,2,FALSE)</f>
        <v>RFOs</v>
      </c>
      <c r="B182" s="47" t="s">
        <v>301</v>
      </c>
      <c r="C182" s="47" t="s">
        <v>574</v>
      </c>
      <c r="D182" s="47" t="s">
        <v>585</v>
      </c>
      <c r="E182" s="51" t="str">
        <f>VLOOKUP(Table37[[#This Row],[SPECIFIC COMMODITY]],TAGS!$W$48:$X$53,2,FALSE)</f>
        <v>Multi_commodity</v>
      </c>
      <c r="F182" s="51" t="str">
        <f>VLOOKUP(Table37[[#This Row],[PREXC SUB-PROGRAM]],Table5[],2,FALSE)</f>
        <v>TECHNICAL AND SUPPORT SERVICES PROGRAM</v>
      </c>
      <c r="G182" s="51" t="str">
        <f>VLOOKUP(Table37[[#This Row],[COMMODITY PREXC SUB-PROGRAM]],TAGS!$U$54:$V$76,2,FALSE)</f>
        <v>ESETS</v>
      </c>
      <c r="H182" s="47" t="s">
        <v>592</v>
      </c>
      <c r="I182" s="51" t="str">
        <f>VLOOKUP(Table37[[#This Row],[PI LEVEL 3]],'PI LEVEL'!A:C,3,FALSE)</f>
        <v>Extension support activities conducted</v>
      </c>
      <c r="J182" s="51" t="str">
        <f>VLOOKUP(Table37[[#This Row],[PI LEVEL 3]],Table53729[[Performance Indicator Level 3]:[Performance Indicator Level 1]],2,FALSE)</f>
        <v>Extension support activities conducted</v>
      </c>
      <c r="K182" s="51" t="str">
        <f>VLOOKUP(Table37[[#This Row],[ACTIVITY]],TAGS!B:P,2,FALSE)</f>
        <v>Other extension support activities conducted</v>
      </c>
      <c r="L182" s="47" t="s">
        <v>161</v>
      </c>
      <c r="M182" s="51" t="str">
        <f>VLOOKUP(Table37[[#This Row],[ACTIVITY]],TAGS!$B:$P,4,FALSE)</f>
        <v>Information, Education, and Communication Activities</v>
      </c>
      <c r="N182" s="51" t="str">
        <f>VLOOKUP(Table37[[#This Row],[ACTIVITY]],TAGS!$B:$P,5,FALSE)</f>
        <v>Information, Education, and Communication Activities</v>
      </c>
      <c r="O182" s="51" t="str">
        <f>VLOOKUP(Table37[[#This Row],[ACTIVITY]],TAGS!$B:$P,6,FALSE)</f>
        <v>Radio Plugs</v>
      </c>
      <c r="P182" s="51" t="str">
        <f>VLOOKUP(Table37[[#This Row],[ACTIVITY]],TAGS!$B:$P,7,FALSE)</f>
        <v>NO</v>
      </c>
      <c r="Q182" s="51" t="str">
        <f>VLOOKUP(Table37[[#This Row],[ACTIVITY]],TAGS!$B:$P,8,FALSE)</f>
        <v>PAP</v>
      </c>
      <c r="R182" s="51" t="str">
        <f>VLOOKUP(Table37[[#This Row],[ACTIVITY]],TAGS!$B:$P,10,FALSE)</f>
        <v>PIP</v>
      </c>
      <c r="S182" s="51" t="str">
        <f>VLOOKUP(Table37[[#This Row],[ACTIVITY]],TAGS!$B:$P,11,FALSE)</f>
        <v>PICS</v>
      </c>
      <c r="T182" s="51" t="str">
        <f>VLOOKUP(Table37[[#This Row],[ACTIVITY]],TAGS!$B:$P,12,FALSE)</f>
        <v>Strategic Communication</v>
      </c>
      <c r="U182" s="51" t="str">
        <f>VLOOKUP(Table37[[#This Row],[ACTIVITY]],TAGS!$B:$P,13,FALSE)</f>
        <v>18. Strategic Communications​</v>
      </c>
      <c r="V182" s="51">
        <f>VLOOKUP(Table37[[#This Row],[ACTIVITY]],TAGS!$B:$P,14,FALSE)</f>
        <v>0</v>
      </c>
      <c r="W182" s="51" t="str">
        <f>VLOOKUP(Table37[[#This Row],[ACTIVITY]],TAGS!$B:$P,15,FALSE)</f>
        <v>IEC</v>
      </c>
      <c r="X182" s="51" t="str">
        <f>VLOOKUP(Table37[[#This Row],[PI LEVEL 3]],'PI LEVEL'!$A:$G,7,FALSE)</f>
        <v>DA-Level Output</v>
      </c>
      <c r="Y182" s="47" t="s">
        <v>577</v>
      </c>
      <c r="Z182" s="47" t="s">
        <v>338</v>
      </c>
      <c r="AA182" s="51" t="str">
        <f>VLOOKUP(Table37[[#This Row],[MONTH]],TAGS!$W$67:$Y$81,2,FALSE)</f>
        <v>4TH QTR</v>
      </c>
      <c r="AB182" s="51" t="str">
        <f>VLOOKUP(Table37[[#This Row],[MONTH]],TAGS!$W$67:$Y$81,3,FALSE)</f>
        <v>2ND SEMESTER</v>
      </c>
      <c r="AC182" s="51">
        <f>VLOOKUP(Table37[[#This Row],[MONTH]],TAGS!$W$67:$Z$81,4,FALSE)</f>
        <v>2025</v>
      </c>
      <c r="AD182" s="47">
        <v>30</v>
      </c>
      <c r="AE182" s="47"/>
      <c r="AF182" s="51">
        <f>SUM(Table37[[#This Row],[MOOE (Php ''000)]:[CO (Php ''000)]])</f>
        <v>30</v>
      </c>
      <c r="AG182" s="71" t="b">
        <f>ISBLANK(Table37[[#This Row],[PRPOPOSAL/BEDS]])</f>
        <v>0</v>
      </c>
      <c r="AH182" s="71" t="b">
        <f>ISBLANK(Table37[[#This Row],[OU]])</f>
        <v>0</v>
      </c>
      <c r="AI182" s="71" t="b">
        <f>ISBLANK(Table37[[#This Row],[SPECIFIC COMMODITY]])</f>
        <v>0</v>
      </c>
      <c r="AJ182" s="71" t="b">
        <f>ISBLANK(Table37[[#This Row],[COMMODITY PREXC SUB-PROGRAM]])</f>
        <v>0</v>
      </c>
      <c r="AK182" s="71" t="b">
        <f>ISBLANK(Table37[[#This Row],[ACTIVITY]])</f>
        <v>0</v>
      </c>
      <c r="AL182" s="71" t="b">
        <f>ISBLANK(Table37[[#This Row],[TAG-GAD]])</f>
        <v>0</v>
      </c>
      <c r="AM182" s="71" t="b">
        <f>ISBLANK(Table37[[#This Row],[MONTH]])</f>
        <v>0</v>
      </c>
      <c r="AN182" s="71" t="b">
        <f>ISBLANK(Table37[[#This Row],[MOOE (Php ''000)]])</f>
        <v>0</v>
      </c>
      <c r="AO182" s="71" t="b">
        <f>ISBLANK(Table37[[#This Row],[CO (Php ''000)]])</f>
        <v>1</v>
      </c>
    </row>
    <row r="183" spans="1:41">
      <c r="A183" s="51" t="str">
        <f>VLOOKUP(Table37[[#This Row],[OU]],OU!$A$15:$B$34,2,FALSE)</f>
        <v>RFOs</v>
      </c>
      <c r="B183" s="47" t="s">
        <v>301</v>
      </c>
      <c r="C183" s="47" t="s">
        <v>574</v>
      </c>
      <c r="D183" s="47" t="s">
        <v>585</v>
      </c>
      <c r="E183" s="51" t="str">
        <f>VLOOKUP(Table37[[#This Row],[SPECIFIC COMMODITY]],TAGS!$W$48:$X$53,2,FALSE)</f>
        <v>Multi_commodity</v>
      </c>
      <c r="F183" s="51" t="str">
        <f>VLOOKUP(Table37[[#This Row],[PREXC SUB-PROGRAM]],Table5[],2,FALSE)</f>
        <v>TECHNICAL AND SUPPORT SERVICES PROGRAM</v>
      </c>
      <c r="G183" s="51" t="str">
        <f>VLOOKUP(Table37[[#This Row],[COMMODITY PREXC SUB-PROGRAM]],TAGS!$U$54:$V$76,2,FALSE)</f>
        <v>ESETS</v>
      </c>
      <c r="H183" s="47" t="s">
        <v>592</v>
      </c>
      <c r="I183" s="51" t="str">
        <f>VLOOKUP(Table37[[#This Row],[PI LEVEL 3]],'PI LEVEL'!A:C,3,FALSE)</f>
        <v>Extension support activities conducted</v>
      </c>
      <c r="J183" s="51" t="str">
        <f>VLOOKUP(Table37[[#This Row],[PI LEVEL 3]],Table53729[[Performance Indicator Level 3]:[Performance Indicator Level 1]],2,FALSE)</f>
        <v>Extension support activities conducted</v>
      </c>
      <c r="K183" s="51" t="str">
        <f>VLOOKUP(Table37[[#This Row],[ACTIVITY]],TAGS!B:P,2,FALSE)</f>
        <v>Other extension support activities conducted</v>
      </c>
      <c r="L183" s="47" t="s">
        <v>163</v>
      </c>
      <c r="M183" s="51" t="str">
        <f>VLOOKUP(Table37[[#This Row],[ACTIVITY]],TAGS!$B:$P,4,FALSE)</f>
        <v>Information, Education, and Communication Activities</v>
      </c>
      <c r="N183" s="51" t="str">
        <f>VLOOKUP(Table37[[#This Row],[ACTIVITY]],TAGS!$B:$P,5,FALSE)</f>
        <v>Information, Education, and Communication Activities</v>
      </c>
      <c r="O183" s="51" t="str">
        <f>VLOOKUP(Table37[[#This Row],[ACTIVITY]],TAGS!$B:$P,6,FALSE)</f>
        <v>TV Plugs</v>
      </c>
      <c r="P183" s="51" t="str">
        <f>VLOOKUP(Table37[[#This Row],[ACTIVITY]],TAGS!$B:$P,7,FALSE)</f>
        <v>NO</v>
      </c>
      <c r="Q183" s="51" t="str">
        <f>VLOOKUP(Table37[[#This Row],[ACTIVITY]],TAGS!$B:$P,8,FALSE)</f>
        <v>PAP</v>
      </c>
      <c r="R183" s="51" t="str">
        <f>VLOOKUP(Table37[[#This Row],[ACTIVITY]],TAGS!$B:$P,10,FALSE)</f>
        <v>PIP</v>
      </c>
      <c r="S183" s="51" t="str">
        <f>VLOOKUP(Table37[[#This Row],[ACTIVITY]],TAGS!$B:$P,11,FALSE)</f>
        <v>PICS</v>
      </c>
      <c r="T183" s="51" t="str">
        <f>VLOOKUP(Table37[[#This Row],[ACTIVITY]],TAGS!$B:$P,12,FALSE)</f>
        <v>Strategic Communication</v>
      </c>
      <c r="U183" s="51" t="str">
        <f>VLOOKUP(Table37[[#This Row],[ACTIVITY]],TAGS!$B:$P,13,FALSE)</f>
        <v>18. Strategic Communications​</v>
      </c>
      <c r="V183" s="51">
        <f>VLOOKUP(Table37[[#This Row],[ACTIVITY]],TAGS!$B:$P,14,FALSE)</f>
        <v>0</v>
      </c>
      <c r="W183" s="51" t="str">
        <f>VLOOKUP(Table37[[#This Row],[ACTIVITY]],TAGS!$B:$P,15,FALSE)</f>
        <v>IEC</v>
      </c>
      <c r="X183" s="51" t="str">
        <f>VLOOKUP(Table37[[#This Row],[PI LEVEL 3]],'PI LEVEL'!$A:$G,7,FALSE)</f>
        <v>DA-Level Output</v>
      </c>
      <c r="Y183" s="47" t="s">
        <v>577</v>
      </c>
      <c r="Z183" s="47" t="s">
        <v>328</v>
      </c>
      <c r="AA183" s="51" t="str">
        <f>VLOOKUP(Table37[[#This Row],[MONTH]],TAGS!$W$67:$Y$81,2,FALSE)</f>
        <v>1ST QTR</v>
      </c>
      <c r="AB183" s="51" t="str">
        <f>VLOOKUP(Table37[[#This Row],[MONTH]],TAGS!$W$67:$Y$81,3,FALSE)</f>
        <v>1ST SEMESTER</v>
      </c>
      <c r="AC183" s="51">
        <f>VLOOKUP(Table37[[#This Row],[MONTH]],TAGS!$W$67:$Z$81,4,FALSE)</f>
        <v>2025</v>
      </c>
      <c r="AD183" s="47">
        <v>36</v>
      </c>
      <c r="AE183" s="47"/>
      <c r="AF183" s="51">
        <f>SUM(Table37[[#This Row],[MOOE (Php ''000)]:[CO (Php ''000)]])</f>
        <v>36</v>
      </c>
      <c r="AG183" s="71" t="b">
        <f>ISBLANK(Table37[[#This Row],[PRPOPOSAL/BEDS]])</f>
        <v>0</v>
      </c>
      <c r="AH183" s="71" t="b">
        <f>ISBLANK(Table37[[#This Row],[OU]])</f>
        <v>0</v>
      </c>
      <c r="AI183" s="71" t="b">
        <f>ISBLANK(Table37[[#This Row],[SPECIFIC COMMODITY]])</f>
        <v>0</v>
      </c>
      <c r="AJ183" s="71" t="b">
        <f>ISBLANK(Table37[[#This Row],[COMMODITY PREXC SUB-PROGRAM]])</f>
        <v>0</v>
      </c>
      <c r="AK183" s="71" t="b">
        <f>ISBLANK(Table37[[#This Row],[ACTIVITY]])</f>
        <v>0</v>
      </c>
      <c r="AL183" s="71" t="b">
        <f>ISBLANK(Table37[[#This Row],[TAG-GAD]])</f>
        <v>0</v>
      </c>
      <c r="AM183" s="71" t="b">
        <f>ISBLANK(Table37[[#This Row],[MONTH]])</f>
        <v>0</v>
      </c>
      <c r="AN183" s="71" t="b">
        <f>ISBLANK(Table37[[#This Row],[MOOE (Php ''000)]])</f>
        <v>0</v>
      </c>
      <c r="AO183" s="71" t="b">
        <f>ISBLANK(Table37[[#This Row],[CO (Php ''000)]])</f>
        <v>1</v>
      </c>
    </row>
    <row r="184" spans="1:41">
      <c r="A184" s="51" t="str">
        <f>VLOOKUP(Table37[[#This Row],[OU]],OU!$A$15:$B$34,2,FALSE)</f>
        <v>RFOs</v>
      </c>
      <c r="B184" s="47" t="s">
        <v>301</v>
      </c>
      <c r="C184" s="47" t="s">
        <v>574</v>
      </c>
      <c r="D184" s="47" t="s">
        <v>585</v>
      </c>
      <c r="E184" s="51" t="str">
        <f>VLOOKUP(Table37[[#This Row],[SPECIFIC COMMODITY]],TAGS!$W$48:$X$53,2,FALSE)</f>
        <v>Multi_commodity</v>
      </c>
      <c r="F184" s="51" t="str">
        <f>VLOOKUP(Table37[[#This Row],[PREXC SUB-PROGRAM]],Table5[],2,FALSE)</f>
        <v>TECHNICAL AND SUPPORT SERVICES PROGRAM</v>
      </c>
      <c r="G184" s="51" t="str">
        <f>VLOOKUP(Table37[[#This Row],[COMMODITY PREXC SUB-PROGRAM]],TAGS!$U$54:$V$76,2,FALSE)</f>
        <v>ESETS</v>
      </c>
      <c r="H184" s="47" t="s">
        <v>592</v>
      </c>
      <c r="I184" s="51" t="str">
        <f>VLOOKUP(Table37[[#This Row],[PI LEVEL 3]],'PI LEVEL'!A:C,3,FALSE)</f>
        <v>Extension support activities conducted</v>
      </c>
      <c r="J184" s="51" t="str">
        <f>VLOOKUP(Table37[[#This Row],[PI LEVEL 3]],Table53729[[Performance Indicator Level 3]:[Performance Indicator Level 1]],2,FALSE)</f>
        <v>Extension support activities conducted</v>
      </c>
      <c r="K184" s="51" t="str">
        <f>VLOOKUP(Table37[[#This Row],[ACTIVITY]],TAGS!B:P,2,FALSE)</f>
        <v>Other extension support activities conducted</v>
      </c>
      <c r="L184" s="47" t="s">
        <v>163</v>
      </c>
      <c r="M184" s="51" t="str">
        <f>VLOOKUP(Table37[[#This Row],[ACTIVITY]],TAGS!$B:$P,4,FALSE)</f>
        <v>Information, Education, and Communication Activities</v>
      </c>
      <c r="N184" s="51" t="str">
        <f>VLOOKUP(Table37[[#This Row],[ACTIVITY]],TAGS!$B:$P,5,FALSE)</f>
        <v>Information, Education, and Communication Activities</v>
      </c>
      <c r="O184" s="51" t="str">
        <f>VLOOKUP(Table37[[#This Row],[ACTIVITY]],TAGS!$B:$P,6,FALSE)</f>
        <v>TV Plugs</v>
      </c>
      <c r="P184" s="51" t="str">
        <f>VLOOKUP(Table37[[#This Row],[ACTIVITY]],TAGS!$B:$P,7,FALSE)</f>
        <v>NO</v>
      </c>
      <c r="Q184" s="51" t="str">
        <f>VLOOKUP(Table37[[#This Row],[ACTIVITY]],TAGS!$B:$P,8,FALSE)</f>
        <v>PAP</v>
      </c>
      <c r="R184" s="51" t="str">
        <f>VLOOKUP(Table37[[#This Row],[ACTIVITY]],TAGS!$B:$P,10,FALSE)</f>
        <v>PIP</v>
      </c>
      <c r="S184" s="51" t="str">
        <f>VLOOKUP(Table37[[#This Row],[ACTIVITY]],TAGS!$B:$P,11,FALSE)</f>
        <v>PICS</v>
      </c>
      <c r="T184" s="51" t="str">
        <f>VLOOKUP(Table37[[#This Row],[ACTIVITY]],TAGS!$B:$P,12,FALSE)</f>
        <v>Strategic Communication</v>
      </c>
      <c r="U184" s="51" t="str">
        <f>VLOOKUP(Table37[[#This Row],[ACTIVITY]],TAGS!$B:$P,13,FALSE)</f>
        <v>18. Strategic Communications​</v>
      </c>
      <c r="V184" s="51">
        <f>VLOOKUP(Table37[[#This Row],[ACTIVITY]],TAGS!$B:$P,14,FALSE)</f>
        <v>0</v>
      </c>
      <c r="W184" s="51" t="str">
        <f>VLOOKUP(Table37[[#This Row],[ACTIVITY]],TAGS!$B:$P,15,FALSE)</f>
        <v>IEC</v>
      </c>
      <c r="X184" s="51" t="str">
        <f>VLOOKUP(Table37[[#This Row],[PI LEVEL 3]],'PI LEVEL'!$A:$G,7,FALSE)</f>
        <v>DA-Level Output</v>
      </c>
      <c r="Y184" s="47" t="s">
        <v>577</v>
      </c>
      <c r="Z184" s="47" t="s">
        <v>329</v>
      </c>
      <c r="AA184" s="51" t="str">
        <f>VLOOKUP(Table37[[#This Row],[MONTH]],TAGS!$W$67:$Y$81,2,FALSE)</f>
        <v>1ST QTR</v>
      </c>
      <c r="AB184" s="51" t="str">
        <f>VLOOKUP(Table37[[#This Row],[MONTH]],TAGS!$W$67:$Y$81,3,FALSE)</f>
        <v>1ST SEMESTER</v>
      </c>
      <c r="AC184" s="51">
        <f>VLOOKUP(Table37[[#This Row],[MONTH]],TAGS!$W$67:$Z$81,4,FALSE)</f>
        <v>2025</v>
      </c>
      <c r="AD184" s="47">
        <v>36</v>
      </c>
      <c r="AE184" s="47"/>
      <c r="AF184" s="51">
        <f>SUM(Table37[[#This Row],[MOOE (Php ''000)]:[CO (Php ''000)]])</f>
        <v>36</v>
      </c>
      <c r="AG184" s="71" t="b">
        <f>ISBLANK(Table37[[#This Row],[PRPOPOSAL/BEDS]])</f>
        <v>0</v>
      </c>
      <c r="AH184" s="71" t="b">
        <f>ISBLANK(Table37[[#This Row],[OU]])</f>
        <v>0</v>
      </c>
      <c r="AI184" s="71" t="b">
        <f>ISBLANK(Table37[[#This Row],[SPECIFIC COMMODITY]])</f>
        <v>0</v>
      </c>
      <c r="AJ184" s="71" t="b">
        <f>ISBLANK(Table37[[#This Row],[COMMODITY PREXC SUB-PROGRAM]])</f>
        <v>0</v>
      </c>
      <c r="AK184" s="71" t="b">
        <f>ISBLANK(Table37[[#This Row],[ACTIVITY]])</f>
        <v>0</v>
      </c>
      <c r="AL184" s="71" t="b">
        <f>ISBLANK(Table37[[#This Row],[TAG-GAD]])</f>
        <v>0</v>
      </c>
      <c r="AM184" s="71" t="b">
        <f>ISBLANK(Table37[[#This Row],[MONTH]])</f>
        <v>0</v>
      </c>
      <c r="AN184" s="71" t="b">
        <f>ISBLANK(Table37[[#This Row],[MOOE (Php ''000)]])</f>
        <v>0</v>
      </c>
      <c r="AO184" s="71" t="b">
        <f>ISBLANK(Table37[[#This Row],[CO (Php ''000)]])</f>
        <v>1</v>
      </c>
    </row>
    <row r="185" spans="1:41">
      <c r="A185" s="51" t="str">
        <f>VLOOKUP(Table37[[#This Row],[OU]],OU!$A$15:$B$34,2,FALSE)</f>
        <v>RFOs</v>
      </c>
      <c r="B185" s="47" t="s">
        <v>301</v>
      </c>
      <c r="C185" s="47" t="s">
        <v>574</v>
      </c>
      <c r="D185" s="47" t="s">
        <v>585</v>
      </c>
      <c r="E185" s="51" t="str">
        <f>VLOOKUP(Table37[[#This Row],[SPECIFIC COMMODITY]],TAGS!$W$48:$X$53,2,FALSE)</f>
        <v>Multi_commodity</v>
      </c>
      <c r="F185" s="51" t="str">
        <f>VLOOKUP(Table37[[#This Row],[PREXC SUB-PROGRAM]],Table5[],2,FALSE)</f>
        <v>TECHNICAL AND SUPPORT SERVICES PROGRAM</v>
      </c>
      <c r="G185" s="51" t="str">
        <f>VLOOKUP(Table37[[#This Row],[COMMODITY PREXC SUB-PROGRAM]],TAGS!$U$54:$V$76,2,FALSE)</f>
        <v>ESETS</v>
      </c>
      <c r="H185" s="47" t="s">
        <v>592</v>
      </c>
      <c r="I185" s="51" t="str">
        <f>VLOOKUP(Table37[[#This Row],[PI LEVEL 3]],'PI LEVEL'!A:C,3,FALSE)</f>
        <v>Extension support activities conducted</v>
      </c>
      <c r="J185" s="51" t="str">
        <f>VLOOKUP(Table37[[#This Row],[PI LEVEL 3]],Table53729[[Performance Indicator Level 3]:[Performance Indicator Level 1]],2,FALSE)</f>
        <v>Extension support activities conducted</v>
      </c>
      <c r="K185" s="51" t="str">
        <f>VLOOKUP(Table37[[#This Row],[ACTIVITY]],TAGS!B:P,2,FALSE)</f>
        <v>Other extension support activities conducted</v>
      </c>
      <c r="L185" s="47" t="s">
        <v>163</v>
      </c>
      <c r="M185" s="51" t="str">
        <f>VLOOKUP(Table37[[#This Row],[ACTIVITY]],TAGS!$B:$P,4,FALSE)</f>
        <v>Information, Education, and Communication Activities</v>
      </c>
      <c r="N185" s="51" t="str">
        <f>VLOOKUP(Table37[[#This Row],[ACTIVITY]],TAGS!$B:$P,5,FALSE)</f>
        <v>Information, Education, and Communication Activities</v>
      </c>
      <c r="O185" s="51" t="str">
        <f>VLOOKUP(Table37[[#This Row],[ACTIVITY]],TAGS!$B:$P,6,FALSE)</f>
        <v>TV Plugs</v>
      </c>
      <c r="P185" s="51" t="str">
        <f>VLOOKUP(Table37[[#This Row],[ACTIVITY]],TAGS!$B:$P,7,FALSE)</f>
        <v>NO</v>
      </c>
      <c r="Q185" s="51" t="str">
        <f>VLOOKUP(Table37[[#This Row],[ACTIVITY]],TAGS!$B:$P,8,FALSE)</f>
        <v>PAP</v>
      </c>
      <c r="R185" s="51" t="str">
        <f>VLOOKUP(Table37[[#This Row],[ACTIVITY]],TAGS!$B:$P,10,FALSE)</f>
        <v>PIP</v>
      </c>
      <c r="S185" s="51" t="str">
        <f>VLOOKUP(Table37[[#This Row],[ACTIVITY]],TAGS!$B:$P,11,FALSE)</f>
        <v>PICS</v>
      </c>
      <c r="T185" s="51" t="str">
        <f>VLOOKUP(Table37[[#This Row],[ACTIVITY]],TAGS!$B:$P,12,FALSE)</f>
        <v>Strategic Communication</v>
      </c>
      <c r="U185" s="51" t="str">
        <f>VLOOKUP(Table37[[#This Row],[ACTIVITY]],TAGS!$B:$P,13,FALSE)</f>
        <v>18. Strategic Communications​</v>
      </c>
      <c r="V185" s="51">
        <f>VLOOKUP(Table37[[#This Row],[ACTIVITY]],TAGS!$B:$P,14,FALSE)</f>
        <v>0</v>
      </c>
      <c r="W185" s="51" t="str">
        <f>VLOOKUP(Table37[[#This Row],[ACTIVITY]],TAGS!$B:$P,15,FALSE)</f>
        <v>IEC</v>
      </c>
      <c r="X185" s="51" t="str">
        <f>VLOOKUP(Table37[[#This Row],[PI LEVEL 3]],'PI LEVEL'!$A:$G,7,FALSE)</f>
        <v>DA-Level Output</v>
      </c>
      <c r="Y185" s="47" t="s">
        <v>577</v>
      </c>
      <c r="Z185" s="47" t="s">
        <v>330</v>
      </c>
      <c r="AA185" s="51" t="str">
        <f>VLOOKUP(Table37[[#This Row],[MONTH]],TAGS!$W$67:$Y$81,2,FALSE)</f>
        <v>2ND QTR</v>
      </c>
      <c r="AB185" s="51" t="str">
        <f>VLOOKUP(Table37[[#This Row],[MONTH]],TAGS!$W$67:$Y$81,3,FALSE)</f>
        <v>1ST SEMESTER</v>
      </c>
      <c r="AC185" s="51">
        <f>VLOOKUP(Table37[[#This Row],[MONTH]],TAGS!$W$67:$Z$81,4,FALSE)</f>
        <v>2025</v>
      </c>
      <c r="AD185" s="47">
        <v>36</v>
      </c>
      <c r="AE185" s="47"/>
      <c r="AF185" s="51">
        <f>SUM(Table37[[#This Row],[MOOE (Php ''000)]:[CO (Php ''000)]])</f>
        <v>36</v>
      </c>
      <c r="AG185" s="71" t="b">
        <f>ISBLANK(Table37[[#This Row],[PRPOPOSAL/BEDS]])</f>
        <v>0</v>
      </c>
      <c r="AH185" s="71" t="b">
        <f>ISBLANK(Table37[[#This Row],[OU]])</f>
        <v>0</v>
      </c>
      <c r="AI185" s="71" t="b">
        <f>ISBLANK(Table37[[#This Row],[SPECIFIC COMMODITY]])</f>
        <v>0</v>
      </c>
      <c r="AJ185" s="71" t="b">
        <f>ISBLANK(Table37[[#This Row],[COMMODITY PREXC SUB-PROGRAM]])</f>
        <v>0</v>
      </c>
      <c r="AK185" s="71" t="b">
        <f>ISBLANK(Table37[[#This Row],[ACTIVITY]])</f>
        <v>0</v>
      </c>
      <c r="AL185" s="71" t="b">
        <f>ISBLANK(Table37[[#This Row],[TAG-GAD]])</f>
        <v>0</v>
      </c>
      <c r="AM185" s="71" t="b">
        <f>ISBLANK(Table37[[#This Row],[MONTH]])</f>
        <v>0</v>
      </c>
      <c r="AN185" s="71" t="b">
        <f>ISBLANK(Table37[[#This Row],[MOOE (Php ''000)]])</f>
        <v>0</v>
      </c>
      <c r="AO185" s="71" t="b">
        <f>ISBLANK(Table37[[#This Row],[CO (Php ''000)]])</f>
        <v>1</v>
      </c>
    </row>
    <row r="186" spans="1:41">
      <c r="A186" s="51" t="str">
        <f>VLOOKUP(Table37[[#This Row],[OU]],OU!$A$15:$B$34,2,FALSE)</f>
        <v>RFOs</v>
      </c>
      <c r="B186" s="47" t="s">
        <v>301</v>
      </c>
      <c r="C186" s="47" t="s">
        <v>574</v>
      </c>
      <c r="D186" s="47" t="s">
        <v>585</v>
      </c>
      <c r="E186" s="51" t="str">
        <f>VLOOKUP(Table37[[#This Row],[SPECIFIC COMMODITY]],TAGS!$W$48:$X$53,2,FALSE)</f>
        <v>Multi_commodity</v>
      </c>
      <c r="F186" s="51" t="str">
        <f>VLOOKUP(Table37[[#This Row],[PREXC SUB-PROGRAM]],Table5[],2,FALSE)</f>
        <v>TECHNICAL AND SUPPORT SERVICES PROGRAM</v>
      </c>
      <c r="G186" s="51" t="str">
        <f>VLOOKUP(Table37[[#This Row],[COMMODITY PREXC SUB-PROGRAM]],TAGS!$U$54:$V$76,2,FALSE)</f>
        <v>ESETS</v>
      </c>
      <c r="H186" s="47" t="s">
        <v>592</v>
      </c>
      <c r="I186" s="51" t="str">
        <f>VLOOKUP(Table37[[#This Row],[PI LEVEL 3]],'PI LEVEL'!A:C,3,FALSE)</f>
        <v>Extension support activities conducted</v>
      </c>
      <c r="J186" s="51" t="str">
        <f>VLOOKUP(Table37[[#This Row],[PI LEVEL 3]],Table53729[[Performance Indicator Level 3]:[Performance Indicator Level 1]],2,FALSE)</f>
        <v>Extension support activities conducted</v>
      </c>
      <c r="K186" s="51" t="str">
        <f>VLOOKUP(Table37[[#This Row],[ACTIVITY]],TAGS!B:P,2,FALSE)</f>
        <v>Other extension support activities conducted</v>
      </c>
      <c r="L186" s="47" t="s">
        <v>163</v>
      </c>
      <c r="M186" s="51" t="str">
        <f>VLOOKUP(Table37[[#This Row],[ACTIVITY]],TAGS!$B:$P,4,FALSE)</f>
        <v>Information, Education, and Communication Activities</v>
      </c>
      <c r="N186" s="51" t="str">
        <f>VLOOKUP(Table37[[#This Row],[ACTIVITY]],TAGS!$B:$P,5,FALSE)</f>
        <v>Information, Education, and Communication Activities</v>
      </c>
      <c r="O186" s="51" t="str">
        <f>VLOOKUP(Table37[[#This Row],[ACTIVITY]],TAGS!$B:$P,6,FALSE)</f>
        <v>TV Plugs</v>
      </c>
      <c r="P186" s="51" t="str">
        <f>VLOOKUP(Table37[[#This Row],[ACTIVITY]],TAGS!$B:$P,7,FALSE)</f>
        <v>NO</v>
      </c>
      <c r="Q186" s="51" t="str">
        <f>VLOOKUP(Table37[[#This Row],[ACTIVITY]],TAGS!$B:$P,8,FALSE)</f>
        <v>PAP</v>
      </c>
      <c r="R186" s="51" t="str">
        <f>VLOOKUP(Table37[[#This Row],[ACTIVITY]],TAGS!$B:$P,10,FALSE)</f>
        <v>PIP</v>
      </c>
      <c r="S186" s="51" t="str">
        <f>VLOOKUP(Table37[[#This Row],[ACTIVITY]],TAGS!$B:$P,11,FALSE)</f>
        <v>PICS</v>
      </c>
      <c r="T186" s="51" t="str">
        <f>VLOOKUP(Table37[[#This Row],[ACTIVITY]],TAGS!$B:$P,12,FALSE)</f>
        <v>Strategic Communication</v>
      </c>
      <c r="U186" s="51" t="str">
        <f>VLOOKUP(Table37[[#This Row],[ACTIVITY]],TAGS!$B:$P,13,FALSE)</f>
        <v>18. Strategic Communications​</v>
      </c>
      <c r="V186" s="51">
        <f>VLOOKUP(Table37[[#This Row],[ACTIVITY]],TAGS!$B:$P,14,FALSE)</f>
        <v>0</v>
      </c>
      <c r="W186" s="51" t="str">
        <f>VLOOKUP(Table37[[#This Row],[ACTIVITY]],TAGS!$B:$P,15,FALSE)</f>
        <v>IEC</v>
      </c>
      <c r="X186" s="51" t="str">
        <f>VLOOKUP(Table37[[#This Row],[PI LEVEL 3]],'PI LEVEL'!$A:$G,7,FALSE)</f>
        <v>DA-Level Output</v>
      </c>
      <c r="Y186" s="47" t="s">
        <v>577</v>
      </c>
      <c r="Z186" s="47" t="s">
        <v>331</v>
      </c>
      <c r="AA186" s="51" t="str">
        <f>VLOOKUP(Table37[[#This Row],[MONTH]],TAGS!$W$67:$Y$81,2,FALSE)</f>
        <v>2ND QTR</v>
      </c>
      <c r="AB186" s="51" t="str">
        <f>VLOOKUP(Table37[[#This Row],[MONTH]],TAGS!$W$67:$Y$81,3,FALSE)</f>
        <v>1ST SEMESTER</v>
      </c>
      <c r="AC186" s="51">
        <f>VLOOKUP(Table37[[#This Row],[MONTH]],TAGS!$W$67:$Z$81,4,FALSE)</f>
        <v>2025</v>
      </c>
      <c r="AD186" s="47">
        <v>36</v>
      </c>
      <c r="AE186" s="47"/>
      <c r="AF186" s="51">
        <f>SUM(Table37[[#This Row],[MOOE (Php ''000)]:[CO (Php ''000)]])</f>
        <v>36</v>
      </c>
      <c r="AG186" s="71" t="b">
        <f>ISBLANK(Table37[[#This Row],[PRPOPOSAL/BEDS]])</f>
        <v>0</v>
      </c>
      <c r="AH186" s="71" t="b">
        <f>ISBLANK(Table37[[#This Row],[OU]])</f>
        <v>0</v>
      </c>
      <c r="AI186" s="71" t="b">
        <f>ISBLANK(Table37[[#This Row],[SPECIFIC COMMODITY]])</f>
        <v>0</v>
      </c>
      <c r="AJ186" s="71" t="b">
        <f>ISBLANK(Table37[[#This Row],[COMMODITY PREXC SUB-PROGRAM]])</f>
        <v>0</v>
      </c>
      <c r="AK186" s="71" t="b">
        <f>ISBLANK(Table37[[#This Row],[ACTIVITY]])</f>
        <v>0</v>
      </c>
      <c r="AL186" s="71" t="b">
        <f>ISBLANK(Table37[[#This Row],[TAG-GAD]])</f>
        <v>0</v>
      </c>
      <c r="AM186" s="71" t="b">
        <f>ISBLANK(Table37[[#This Row],[MONTH]])</f>
        <v>0</v>
      </c>
      <c r="AN186" s="71" t="b">
        <f>ISBLANK(Table37[[#This Row],[MOOE (Php ''000)]])</f>
        <v>0</v>
      </c>
      <c r="AO186" s="71" t="b">
        <f>ISBLANK(Table37[[#This Row],[CO (Php ''000)]])</f>
        <v>1</v>
      </c>
    </row>
    <row r="187" spans="1:41">
      <c r="A187" s="51" t="str">
        <f>VLOOKUP(Table37[[#This Row],[OU]],OU!$A$15:$B$34,2,FALSE)</f>
        <v>RFOs</v>
      </c>
      <c r="B187" s="47" t="s">
        <v>301</v>
      </c>
      <c r="C187" s="47" t="s">
        <v>574</v>
      </c>
      <c r="D187" s="47" t="s">
        <v>585</v>
      </c>
      <c r="E187" s="51" t="str">
        <f>VLOOKUP(Table37[[#This Row],[SPECIFIC COMMODITY]],TAGS!$W$48:$X$53,2,FALSE)</f>
        <v>Multi_commodity</v>
      </c>
      <c r="F187" s="51" t="str">
        <f>VLOOKUP(Table37[[#This Row],[PREXC SUB-PROGRAM]],Table5[],2,FALSE)</f>
        <v>TECHNICAL AND SUPPORT SERVICES PROGRAM</v>
      </c>
      <c r="G187" s="51" t="str">
        <f>VLOOKUP(Table37[[#This Row],[COMMODITY PREXC SUB-PROGRAM]],TAGS!$U$54:$V$76,2,FALSE)</f>
        <v>ESETS</v>
      </c>
      <c r="H187" s="47" t="s">
        <v>592</v>
      </c>
      <c r="I187" s="51" t="str">
        <f>VLOOKUP(Table37[[#This Row],[PI LEVEL 3]],'PI LEVEL'!A:C,3,FALSE)</f>
        <v>Extension support activities conducted</v>
      </c>
      <c r="J187" s="51" t="str">
        <f>VLOOKUP(Table37[[#This Row],[PI LEVEL 3]],Table53729[[Performance Indicator Level 3]:[Performance Indicator Level 1]],2,FALSE)</f>
        <v>Extension support activities conducted</v>
      </c>
      <c r="K187" s="51" t="str">
        <f>VLOOKUP(Table37[[#This Row],[ACTIVITY]],TAGS!B:P,2,FALSE)</f>
        <v>Other extension support activities conducted</v>
      </c>
      <c r="L187" s="47" t="s">
        <v>163</v>
      </c>
      <c r="M187" s="51" t="str">
        <f>VLOOKUP(Table37[[#This Row],[ACTIVITY]],TAGS!$B:$P,4,FALSE)</f>
        <v>Information, Education, and Communication Activities</v>
      </c>
      <c r="N187" s="51" t="str">
        <f>VLOOKUP(Table37[[#This Row],[ACTIVITY]],TAGS!$B:$P,5,FALSE)</f>
        <v>Information, Education, and Communication Activities</v>
      </c>
      <c r="O187" s="51" t="str">
        <f>VLOOKUP(Table37[[#This Row],[ACTIVITY]],TAGS!$B:$P,6,FALSE)</f>
        <v>TV Plugs</v>
      </c>
      <c r="P187" s="51" t="str">
        <f>VLOOKUP(Table37[[#This Row],[ACTIVITY]],TAGS!$B:$P,7,FALSE)</f>
        <v>NO</v>
      </c>
      <c r="Q187" s="51" t="str">
        <f>VLOOKUP(Table37[[#This Row],[ACTIVITY]],TAGS!$B:$P,8,FALSE)</f>
        <v>PAP</v>
      </c>
      <c r="R187" s="51" t="str">
        <f>VLOOKUP(Table37[[#This Row],[ACTIVITY]],TAGS!$B:$P,10,FALSE)</f>
        <v>PIP</v>
      </c>
      <c r="S187" s="51" t="str">
        <f>VLOOKUP(Table37[[#This Row],[ACTIVITY]],TAGS!$B:$P,11,FALSE)</f>
        <v>PICS</v>
      </c>
      <c r="T187" s="51" t="str">
        <f>VLOOKUP(Table37[[#This Row],[ACTIVITY]],TAGS!$B:$P,12,FALSE)</f>
        <v>Strategic Communication</v>
      </c>
      <c r="U187" s="51" t="str">
        <f>VLOOKUP(Table37[[#This Row],[ACTIVITY]],TAGS!$B:$P,13,FALSE)</f>
        <v>18. Strategic Communications​</v>
      </c>
      <c r="V187" s="51">
        <f>VLOOKUP(Table37[[#This Row],[ACTIVITY]],TAGS!$B:$P,14,FALSE)</f>
        <v>0</v>
      </c>
      <c r="W187" s="51" t="str">
        <f>VLOOKUP(Table37[[#This Row],[ACTIVITY]],TAGS!$B:$P,15,FALSE)</f>
        <v>IEC</v>
      </c>
      <c r="X187" s="51" t="str">
        <f>VLOOKUP(Table37[[#This Row],[PI LEVEL 3]],'PI LEVEL'!$A:$G,7,FALSE)</f>
        <v>DA-Level Output</v>
      </c>
      <c r="Y187" s="47" t="s">
        <v>577</v>
      </c>
      <c r="Z187" s="47" t="s">
        <v>332</v>
      </c>
      <c r="AA187" s="51" t="str">
        <f>VLOOKUP(Table37[[#This Row],[MONTH]],TAGS!$W$67:$Y$81,2,FALSE)</f>
        <v>2ND QTR</v>
      </c>
      <c r="AB187" s="51" t="str">
        <f>VLOOKUP(Table37[[#This Row],[MONTH]],TAGS!$W$67:$Y$81,3,FALSE)</f>
        <v>1ST SEMESTER</v>
      </c>
      <c r="AC187" s="51">
        <f>VLOOKUP(Table37[[#This Row],[MONTH]],TAGS!$W$67:$Z$81,4,FALSE)</f>
        <v>2025</v>
      </c>
      <c r="AD187" s="47">
        <v>36</v>
      </c>
      <c r="AE187" s="47"/>
      <c r="AF187" s="51">
        <f>SUM(Table37[[#This Row],[MOOE (Php ''000)]:[CO (Php ''000)]])</f>
        <v>36</v>
      </c>
      <c r="AG187" s="71" t="b">
        <f>ISBLANK(Table37[[#This Row],[PRPOPOSAL/BEDS]])</f>
        <v>0</v>
      </c>
      <c r="AH187" s="71" t="b">
        <f>ISBLANK(Table37[[#This Row],[OU]])</f>
        <v>0</v>
      </c>
      <c r="AI187" s="71" t="b">
        <f>ISBLANK(Table37[[#This Row],[SPECIFIC COMMODITY]])</f>
        <v>0</v>
      </c>
      <c r="AJ187" s="71" t="b">
        <f>ISBLANK(Table37[[#This Row],[COMMODITY PREXC SUB-PROGRAM]])</f>
        <v>0</v>
      </c>
      <c r="AK187" s="71" t="b">
        <f>ISBLANK(Table37[[#This Row],[ACTIVITY]])</f>
        <v>0</v>
      </c>
      <c r="AL187" s="71" t="b">
        <f>ISBLANK(Table37[[#This Row],[TAG-GAD]])</f>
        <v>0</v>
      </c>
      <c r="AM187" s="71" t="b">
        <f>ISBLANK(Table37[[#This Row],[MONTH]])</f>
        <v>0</v>
      </c>
      <c r="AN187" s="71" t="b">
        <f>ISBLANK(Table37[[#This Row],[MOOE (Php ''000)]])</f>
        <v>0</v>
      </c>
      <c r="AO187" s="71" t="b">
        <f>ISBLANK(Table37[[#This Row],[CO (Php ''000)]])</f>
        <v>1</v>
      </c>
    </row>
    <row r="188" spans="1:41">
      <c r="A188" s="51" t="str">
        <f>VLOOKUP(Table37[[#This Row],[OU]],OU!$A$15:$B$34,2,FALSE)</f>
        <v>RFOs</v>
      </c>
      <c r="B188" s="47" t="s">
        <v>301</v>
      </c>
      <c r="C188" s="47" t="s">
        <v>574</v>
      </c>
      <c r="D188" s="47" t="s">
        <v>585</v>
      </c>
      <c r="E188" s="51" t="str">
        <f>VLOOKUP(Table37[[#This Row],[SPECIFIC COMMODITY]],TAGS!$W$48:$X$53,2,FALSE)</f>
        <v>Multi_commodity</v>
      </c>
      <c r="F188" s="51" t="str">
        <f>VLOOKUP(Table37[[#This Row],[PREXC SUB-PROGRAM]],Table5[],2,FALSE)</f>
        <v>TECHNICAL AND SUPPORT SERVICES PROGRAM</v>
      </c>
      <c r="G188" s="51" t="str">
        <f>VLOOKUP(Table37[[#This Row],[COMMODITY PREXC SUB-PROGRAM]],TAGS!$U$54:$V$76,2,FALSE)</f>
        <v>ESETS</v>
      </c>
      <c r="H188" s="47" t="s">
        <v>592</v>
      </c>
      <c r="I188" s="51" t="str">
        <f>VLOOKUP(Table37[[#This Row],[PI LEVEL 3]],'PI LEVEL'!A:C,3,FALSE)</f>
        <v>Extension support activities conducted</v>
      </c>
      <c r="J188" s="51" t="str">
        <f>VLOOKUP(Table37[[#This Row],[PI LEVEL 3]],Table53729[[Performance Indicator Level 3]:[Performance Indicator Level 1]],2,FALSE)</f>
        <v>Extension support activities conducted</v>
      </c>
      <c r="K188" s="51" t="str">
        <f>VLOOKUP(Table37[[#This Row],[ACTIVITY]],TAGS!B:P,2,FALSE)</f>
        <v>Other extension support activities conducted</v>
      </c>
      <c r="L188" s="47" t="s">
        <v>163</v>
      </c>
      <c r="M188" s="51" t="str">
        <f>VLOOKUP(Table37[[#This Row],[ACTIVITY]],TAGS!$B:$P,4,FALSE)</f>
        <v>Information, Education, and Communication Activities</v>
      </c>
      <c r="N188" s="51" t="str">
        <f>VLOOKUP(Table37[[#This Row],[ACTIVITY]],TAGS!$B:$P,5,FALSE)</f>
        <v>Information, Education, and Communication Activities</v>
      </c>
      <c r="O188" s="51" t="str">
        <f>VLOOKUP(Table37[[#This Row],[ACTIVITY]],TAGS!$B:$P,6,FALSE)</f>
        <v>TV Plugs</v>
      </c>
      <c r="P188" s="51" t="str">
        <f>VLOOKUP(Table37[[#This Row],[ACTIVITY]],TAGS!$B:$P,7,FALSE)</f>
        <v>NO</v>
      </c>
      <c r="Q188" s="51" t="str">
        <f>VLOOKUP(Table37[[#This Row],[ACTIVITY]],TAGS!$B:$P,8,FALSE)</f>
        <v>PAP</v>
      </c>
      <c r="R188" s="51" t="str">
        <f>VLOOKUP(Table37[[#This Row],[ACTIVITY]],TAGS!$B:$P,10,FALSE)</f>
        <v>PIP</v>
      </c>
      <c r="S188" s="51" t="str">
        <f>VLOOKUP(Table37[[#This Row],[ACTIVITY]],TAGS!$B:$P,11,FALSE)</f>
        <v>PICS</v>
      </c>
      <c r="T188" s="51" t="str">
        <f>VLOOKUP(Table37[[#This Row],[ACTIVITY]],TAGS!$B:$P,12,FALSE)</f>
        <v>Strategic Communication</v>
      </c>
      <c r="U188" s="51" t="str">
        <f>VLOOKUP(Table37[[#This Row],[ACTIVITY]],TAGS!$B:$P,13,FALSE)</f>
        <v>18. Strategic Communications​</v>
      </c>
      <c r="V188" s="51">
        <f>VLOOKUP(Table37[[#This Row],[ACTIVITY]],TAGS!$B:$P,14,FALSE)</f>
        <v>0</v>
      </c>
      <c r="W188" s="51" t="str">
        <f>VLOOKUP(Table37[[#This Row],[ACTIVITY]],TAGS!$B:$P,15,FALSE)</f>
        <v>IEC</v>
      </c>
      <c r="X188" s="51" t="str">
        <f>VLOOKUP(Table37[[#This Row],[PI LEVEL 3]],'PI LEVEL'!$A:$G,7,FALSE)</f>
        <v>DA-Level Output</v>
      </c>
      <c r="Y188" s="47" t="s">
        <v>577</v>
      </c>
      <c r="Z188" s="47" t="s">
        <v>333</v>
      </c>
      <c r="AA188" s="51" t="str">
        <f>VLOOKUP(Table37[[#This Row],[MONTH]],TAGS!$W$67:$Y$81,2,FALSE)</f>
        <v>3RD QTR</v>
      </c>
      <c r="AB188" s="51" t="str">
        <f>VLOOKUP(Table37[[#This Row],[MONTH]],TAGS!$W$67:$Y$81,3,FALSE)</f>
        <v>2ND SEMESTER</v>
      </c>
      <c r="AC188" s="51">
        <f>VLOOKUP(Table37[[#This Row],[MONTH]],TAGS!$W$67:$Z$81,4,FALSE)</f>
        <v>2025</v>
      </c>
      <c r="AD188" s="47">
        <v>36</v>
      </c>
      <c r="AE188" s="47"/>
      <c r="AF188" s="51">
        <f>SUM(Table37[[#This Row],[MOOE (Php ''000)]:[CO (Php ''000)]])</f>
        <v>36</v>
      </c>
      <c r="AG188" s="71" t="b">
        <f>ISBLANK(Table37[[#This Row],[PRPOPOSAL/BEDS]])</f>
        <v>0</v>
      </c>
      <c r="AH188" s="71" t="b">
        <f>ISBLANK(Table37[[#This Row],[OU]])</f>
        <v>0</v>
      </c>
      <c r="AI188" s="71" t="b">
        <f>ISBLANK(Table37[[#This Row],[SPECIFIC COMMODITY]])</f>
        <v>0</v>
      </c>
      <c r="AJ188" s="71" t="b">
        <f>ISBLANK(Table37[[#This Row],[COMMODITY PREXC SUB-PROGRAM]])</f>
        <v>0</v>
      </c>
      <c r="AK188" s="71" t="b">
        <f>ISBLANK(Table37[[#This Row],[ACTIVITY]])</f>
        <v>0</v>
      </c>
      <c r="AL188" s="71" t="b">
        <f>ISBLANK(Table37[[#This Row],[TAG-GAD]])</f>
        <v>0</v>
      </c>
      <c r="AM188" s="71" t="b">
        <f>ISBLANK(Table37[[#This Row],[MONTH]])</f>
        <v>0</v>
      </c>
      <c r="AN188" s="71" t="b">
        <f>ISBLANK(Table37[[#This Row],[MOOE (Php ''000)]])</f>
        <v>0</v>
      </c>
      <c r="AO188" s="71" t="b">
        <f>ISBLANK(Table37[[#This Row],[CO (Php ''000)]])</f>
        <v>1</v>
      </c>
    </row>
    <row r="189" spans="1:41">
      <c r="A189" s="51" t="str">
        <f>VLOOKUP(Table37[[#This Row],[OU]],OU!$A$15:$B$34,2,FALSE)</f>
        <v>RFOs</v>
      </c>
      <c r="B189" s="47" t="s">
        <v>301</v>
      </c>
      <c r="C189" s="47" t="s">
        <v>574</v>
      </c>
      <c r="D189" s="47" t="s">
        <v>585</v>
      </c>
      <c r="E189" s="51" t="str">
        <f>VLOOKUP(Table37[[#This Row],[SPECIFIC COMMODITY]],TAGS!$W$48:$X$53,2,FALSE)</f>
        <v>Multi_commodity</v>
      </c>
      <c r="F189" s="51" t="str">
        <f>VLOOKUP(Table37[[#This Row],[PREXC SUB-PROGRAM]],Table5[],2,FALSE)</f>
        <v>TECHNICAL AND SUPPORT SERVICES PROGRAM</v>
      </c>
      <c r="G189" s="51" t="str">
        <f>VLOOKUP(Table37[[#This Row],[COMMODITY PREXC SUB-PROGRAM]],TAGS!$U$54:$V$76,2,FALSE)</f>
        <v>ESETS</v>
      </c>
      <c r="H189" s="47" t="s">
        <v>592</v>
      </c>
      <c r="I189" s="51" t="str">
        <f>VLOOKUP(Table37[[#This Row],[PI LEVEL 3]],'PI LEVEL'!A:C,3,FALSE)</f>
        <v>Extension support activities conducted</v>
      </c>
      <c r="J189" s="51" t="str">
        <f>VLOOKUP(Table37[[#This Row],[PI LEVEL 3]],Table53729[[Performance Indicator Level 3]:[Performance Indicator Level 1]],2,FALSE)</f>
        <v>Extension support activities conducted</v>
      </c>
      <c r="K189" s="51" t="str">
        <f>VLOOKUP(Table37[[#This Row],[ACTIVITY]],TAGS!B:P,2,FALSE)</f>
        <v>Other extension support activities conducted</v>
      </c>
      <c r="L189" s="47" t="s">
        <v>163</v>
      </c>
      <c r="M189" s="51" t="str">
        <f>VLOOKUP(Table37[[#This Row],[ACTIVITY]],TAGS!$B:$P,4,FALSE)</f>
        <v>Information, Education, and Communication Activities</v>
      </c>
      <c r="N189" s="51" t="str">
        <f>VLOOKUP(Table37[[#This Row],[ACTIVITY]],TAGS!$B:$P,5,FALSE)</f>
        <v>Information, Education, and Communication Activities</v>
      </c>
      <c r="O189" s="51" t="str">
        <f>VLOOKUP(Table37[[#This Row],[ACTIVITY]],TAGS!$B:$P,6,FALSE)</f>
        <v>TV Plugs</v>
      </c>
      <c r="P189" s="51" t="str">
        <f>VLOOKUP(Table37[[#This Row],[ACTIVITY]],TAGS!$B:$P,7,FALSE)</f>
        <v>NO</v>
      </c>
      <c r="Q189" s="51" t="str">
        <f>VLOOKUP(Table37[[#This Row],[ACTIVITY]],TAGS!$B:$P,8,FALSE)</f>
        <v>PAP</v>
      </c>
      <c r="R189" s="51" t="str">
        <f>VLOOKUP(Table37[[#This Row],[ACTIVITY]],TAGS!$B:$P,10,FALSE)</f>
        <v>PIP</v>
      </c>
      <c r="S189" s="51" t="str">
        <f>VLOOKUP(Table37[[#This Row],[ACTIVITY]],TAGS!$B:$P,11,FALSE)</f>
        <v>PICS</v>
      </c>
      <c r="T189" s="51" t="str">
        <f>VLOOKUP(Table37[[#This Row],[ACTIVITY]],TAGS!$B:$P,12,FALSE)</f>
        <v>Strategic Communication</v>
      </c>
      <c r="U189" s="51" t="str">
        <f>VLOOKUP(Table37[[#This Row],[ACTIVITY]],TAGS!$B:$P,13,FALSE)</f>
        <v>18. Strategic Communications​</v>
      </c>
      <c r="V189" s="51">
        <f>VLOOKUP(Table37[[#This Row],[ACTIVITY]],TAGS!$B:$P,14,FALSE)</f>
        <v>0</v>
      </c>
      <c r="W189" s="51" t="str">
        <f>VLOOKUP(Table37[[#This Row],[ACTIVITY]],TAGS!$B:$P,15,FALSE)</f>
        <v>IEC</v>
      </c>
      <c r="X189" s="51" t="str">
        <f>VLOOKUP(Table37[[#This Row],[PI LEVEL 3]],'PI LEVEL'!$A:$G,7,FALSE)</f>
        <v>DA-Level Output</v>
      </c>
      <c r="Y189" s="47" t="s">
        <v>577</v>
      </c>
      <c r="Z189" s="47" t="s">
        <v>334</v>
      </c>
      <c r="AA189" s="51" t="str">
        <f>VLOOKUP(Table37[[#This Row],[MONTH]],TAGS!$W$67:$Y$81,2,FALSE)</f>
        <v>3RD QTR</v>
      </c>
      <c r="AB189" s="51" t="str">
        <f>VLOOKUP(Table37[[#This Row],[MONTH]],TAGS!$W$67:$Y$81,3,FALSE)</f>
        <v>2ND SEMESTER</v>
      </c>
      <c r="AC189" s="51">
        <f>VLOOKUP(Table37[[#This Row],[MONTH]],TAGS!$W$67:$Z$81,4,FALSE)</f>
        <v>2025</v>
      </c>
      <c r="AD189" s="47">
        <v>36</v>
      </c>
      <c r="AE189" s="47"/>
      <c r="AF189" s="51">
        <f>SUM(Table37[[#This Row],[MOOE (Php ''000)]:[CO (Php ''000)]])</f>
        <v>36</v>
      </c>
      <c r="AG189" s="71" t="b">
        <f>ISBLANK(Table37[[#This Row],[PRPOPOSAL/BEDS]])</f>
        <v>0</v>
      </c>
      <c r="AH189" s="71" t="b">
        <f>ISBLANK(Table37[[#This Row],[OU]])</f>
        <v>0</v>
      </c>
      <c r="AI189" s="71" t="b">
        <f>ISBLANK(Table37[[#This Row],[SPECIFIC COMMODITY]])</f>
        <v>0</v>
      </c>
      <c r="AJ189" s="71" t="b">
        <f>ISBLANK(Table37[[#This Row],[COMMODITY PREXC SUB-PROGRAM]])</f>
        <v>0</v>
      </c>
      <c r="AK189" s="71" t="b">
        <f>ISBLANK(Table37[[#This Row],[ACTIVITY]])</f>
        <v>0</v>
      </c>
      <c r="AL189" s="71" t="b">
        <f>ISBLANK(Table37[[#This Row],[TAG-GAD]])</f>
        <v>0</v>
      </c>
      <c r="AM189" s="71" t="b">
        <f>ISBLANK(Table37[[#This Row],[MONTH]])</f>
        <v>0</v>
      </c>
      <c r="AN189" s="71" t="b">
        <f>ISBLANK(Table37[[#This Row],[MOOE (Php ''000)]])</f>
        <v>0</v>
      </c>
      <c r="AO189" s="71" t="b">
        <f>ISBLANK(Table37[[#This Row],[CO (Php ''000)]])</f>
        <v>1</v>
      </c>
    </row>
    <row r="190" spans="1:41">
      <c r="A190" s="51" t="str">
        <f>VLOOKUP(Table37[[#This Row],[OU]],OU!$A$15:$B$34,2,FALSE)</f>
        <v>RFOs</v>
      </c>
      <c r="B190" s="47" t="s">
        <v>301</v>
      </c>
      <c r="C190" s="47" t="s">
        <v>574</v>
      </c>
      <c r="D190" s="47" t="s">
        <v>585</v>
      </c>
      <c r="E190" s="51" t="str">
        <f>VLOOKUP(Table37[[#This Row],[SPECIFIC COMMODITY]],TAGS!$W$48:$X$53,2,FALSE)</f>
        <v>Multi_commodity</v>
      </c>
      <c r="F190" s="51" t="str">
        <f>VLOOKUP(Table37[[#This Row],[PREXC SUB-PROGRAM]],Table5[],2,FALSE)</f>
        <v>TECHNICAL AND SUPPORT SERVICES PROGRAM</v>
      </c>
      <c r="G190" s="51" t="str">
        <f>VLOOKUP(Table37[[#This Row],[COMMODITY PREXC SUB-PROGRAM]],TAGS!$U$54:$V$76,2,FALSE)</f>
        <v>ESETS</v>
      </c>
      <c r="H190" s="47" t="s">
        <v>592</v>
      </c>
      <c r="I190" s="51" t="str">
        <f>VLOOKUP(Table37[[#This Row],[PI LEVEL 3]],'PI LEVEL'!A:C,3,FALSE)</f>
        <v>Extension support activities conducted</v>
      </c>
      <c r="J190" s="51" t="str">
        <f>VLOOKUP(Table37[[#This Row],[PI LEVEL 3]],Table53729[[Performance Indicator Level 3]:[Performance Indicator Level 1]],2,FALSE)</f>
        <v>Extension support activities conducted</v>
      </c>
      <c r="K190" s="51" t="str">
        <f>VLOOKUP(Table37[[#This Row],[ACTIVITY]],TAGS!B:P,2,FALSE)</f>
        <v>Other extension support activities conducted</v>
      </c>
      <c r="L190" s="47" t="s">
        <v>163</v>
      </c>
      <c r="M190" s="51" t="str">
        <f>VLOOKUP(Table37[[#This Row],[ACTIVITY]],TAGS!$B:$P,4,FALSE)</f>
        <v>Information, Education, and Communication Activities</v>
      </c>
      <c r="N190" s="51" t="str">
        <f>VLOOKUP(Table37[[#This Row],[ACTIVITY]],TAGS!$B:$P,5,FALSE)</f>
        <v>Information, Education, and Communication Activities</v>
      </c>
      <c r="O190" s="51" t="str">
        <f>VLOOKUP(Table37[[#This Row],[ACTIVITY]],TAGS!$B:$P,6,FALSE)</f>
        <v>TV Plugs</v>
      </c>
      <c r="P190" s="51" t="str">
        <f>VLOOKUP(Table37[[#This Row],[ACTIVITY]],TAGS!$B:$P,7,FALSE)</f>
        <v>NO</v>
      </c>
      <c r="Q190" s="51" t="str">
        <f>VLOOKUP(Table37[[#This Row],[ACTIVITY]],TAGS!$B:$P,8,FALSE)</f>
        <v>PAP</v>
      </c>
      <c r="R190" s="51" t="str">
        <f>VLOOKUP(Table37[[#This Row],[ACTIVITY]],TAGS!$B:$P,10,FALSE)</f>
        <v>PIP</v>
      </c>
      <c r="S190" s="51" t="str">
        <f>VLOOKUP(Table37[[#This Row],[ACTIVITY]],TAGS!$B:$P,11,FALSE)</f>
        <v>PICS</v>
      </c>
      <c r="T190" s="51" t="str">
        <f>VLOOKUP(Table37[[#This Row],[ACTIVITY]],TAGS!$B:$P,12,FALSE)</f>
        <v>Strategic Communication</v>
      </c>
      <c r="U190" s="51" t="str">
        <f>VLOOKUP(Table37[[#This Row],[ACTIVITY]],TAGS!$B:$P,13,FALSE)</f>
        <v>18. Strategic Communications​</v>
      </c>
      <c r="V190" s="51">
        <f>VLOOKUP(Table37[[#This Row],[ACTIVITY]],TAGS!$B:$P,14,FALSE)</f>
        <v>0</v>
      </c>
      <c r="W190" s="51" t="str">
        <f>VLOOKUP(Table37[[#This Row],[ACTIVITY]],TAGS!$B:$P,15,FALSE)</f>
        <v>IEC</v>
      </c>
      <c r="X190" s="51" t="str">
        <f>VLOOKUP(Table37[[#This Row],[PI LEVEL 3]],'PI LEVEL'!$A:$G,7,FALSE)</f>
        <v>DA-Level Output</v>
      </c>
      <c r="Y190" s="47" t="s">
        <v>577</v>
      </c>
      <c r="Z190" s="47" t="s">
        <v>335</v>
      </c>
      <c r="AA190" s="51" t="str">
        <f>VLOOKUP(Table37[[#This Row],[MONTH]],TAGS!$W$67:$Y$81,2,FALSE)</f>
        <v>3RD QTR</v>
      </c>
      <c r="AB190" s="51" t="str">
        <f>VLOOKUP(Table37[[#This Row],[MONTH]],TAGS!$W$67:$Y$81,3,FALSE)</f>
        <v>2ND SEMESTER</v>
      </c>
      <c r="AC190" s="51">
        <f>VLOOKUP(Table37[[#This Row],[MONTH]],TAGS!$W$67:$Z$81,4,FALSE)</f>
        <v>2025</v>
      </c>
      <c r="AD190" s="47">
        <v>36</v>
      </c>
      <c r="AE190" s="47"/>
      <c r="AF190" s="51">
        <f>SUM(Table37[[#This Row],[MOOE (Php ''000)]:[CO (Php ''000)]])</f>
        <v>36</v>
      </c>
      <c r="AG190" s="71" t="b">
        <f>ISBLANK(Table37[[#This Row],[PRPOPOSAL/BEDS]])</f>
        <v>0</v>
      </c>
      <c r="AH190" s="71" t="b">
        <f>ISBLANK(Table37[[#This Row],[OU]])</f>
        <v>0</v>
      </c>
      <c r="AI190" s="71" t="b">
        <f>ISBLANK(Table37[[#This Row],[SPECIFIC COMMODITY]])</f>
        <v>0</v>
      </c>
      <c r="AJ190" s="71" t="b">
        <f>ISBLANK(Table37[[#This Row],[COMMODITY PREXC SUB-PROGRAM]])</f>
        <v>0</v>
      </c>
      <c r="AK190" s="71" t="b">
        <f>ISBLANK(Table37[[#This Row],[ACTIVITY]])</f>
        <v>0</v>
      </c>
      <c r="AL190" s="71" t="b">
        <f>ISBLANK(Table37[[#This Row],[TAG-GAD]])</f>
        <v>0</v>
      </c>
      <c r="AM190" s="71" t="b">
        <f>ISBLANK(Table37[[#This Row],[MONTH]])</f>
        <v>0</v>
      </c>
      <c r="AN190" s="71" t="b">
        <f>ISBLANK(Table37[[#This Row],[MOOE (Php ''000)]])</f>
        <v>0</v>
      </c>
      <c r="AO190" s="71" t="b">
        <f>ISBLANK(Table37[[#This Row],[CO (Php ''000)]])</f>
        <v>1</v>
      </c>
    </row>
    <row r="191" spans="1:41">
      <c r="A191" s="51" t="str">
        <f>VLOOKUP(Table37[[#This Row],[OU]],OU!$A$15:$B$34,2,FALSE)</f>
        <v>RFOs</v>
      </c>
      <c r="B191" s="47" t="s">
        <v>301</v>
      </c>
      <c r="C191" s="47" t="s">
        <v>574</v>
      </c>
      <c r="D191" s="47" t="s">
        <v>585</v>
      </c>
      <c r="E191" s="51" t="str">
        <f>VLOOKUP(Table37[[#This Row],[SPECIFIC COMMODITY]],TAGS!$W$48:$X$53,2,FALSE)</f>
        <v>Multi_commodity</v>
      </c>
      <c r="F191" s="51" t="str">
        <f>VLOOKUP(Table37[[#This Row],[PREXC SUB-PROGRAM]],Table5[],2,FALSE)</f>
        <v>TECHNICAL AND SUPPORT SERVICES PROGRAM</v>
      </c>
      <c r="G191" s="51" t="str">
        <f>VLOOKUP(Table37[[#This Row],[COMMODITY PREXC SUB-PROGRAM]],TAGS!$U$54:$V$76,2,FALSE)</f>
        <v>ESETS</v>
      </c>
      <c r="H191" s="47" t="s">
        <v>592</v>
      </c>
      <c r="I191" s="51" t="str">
        <f>VLOOKUP(Table37[[#This Row],[PI LEVEL 3]],'PI LEVEL'!A:C,3,FALSE)</f>
        <v>Extension support activities conducted</v>
      </c>
      <c r="J191" s="51" t="str">
        <f>VLOOKUP(Table37[[#This Row],[PI LEVEL 3]],Table53729[[Performance Indicator Level 3]:[Performance Indicator Level 1]],2,FALSE)</f>
        <v>Extension support activities conducted</v>
      </c>
      <c r="K191" s="51" t="str">
        <f>VLOOKUP(Table37[[#This Row],[ACTIVITY]],TAGS!B:P,2,FALSE)</f>
        <v>Other extension support activities conducted</v>
      </c>
      <c r="L191" s="47" t="s">
        <v>163</v>
      </c>
      <c r="M191" s="51" t="str">
        <f>VLOOKUP(Table37[[#This Row],[ACTIVITY]],TAGS!$B:$P,4,FALSE)</f>
        <v>Information, Education, and Communication Activities</v>
      </c>
      <c r="N191" s="51" t="str">
        <f>VLOOKUP(Table37[[#This Row],[ACTIVITY]],TAGS!$B:$P,5,FALSE)</f>
        <v>Information, Education, and Communication Activities</v>
      </c>
      <c r="O191" s="51" t="str">
        <f>VLOOKUP(Table37[[#This Row],[ACTIVITY]],TAGS!$B:$P,6,FALSE)</f>
        <v>TV Plugs</v>
      </c>
      <c r="P191" s="51" t="str">
        <f>VLOOKUP(Table37[[#This Row],[ACTIVITY]],TAGS!$B:$P,7,FALSE)</f>
        <v>NO</v>
      </c>
      <c r="Q191" s="51" t="str">
        <f>VLOOKUP(Table37[[#This Row],[ACTIVITY]],TAGS!$B:$P,8,FALSE)</f>
        <v>PAP</v>
      </c>
      <c r="R191" s="51" t="str">
        <f>VLOOKUP(Table37[[#This Row],[ACTIVITY]],TAGS!$B:$P,10,FALSE)</f>
        <v>PIP</v>
      </c>
      <c r="S191" s="51" t="str">
        <f>VLOOKUP(Table37[[#This Row],[ACTIVITY]],TAGS!$B:$P,11,FALSE)</f>
        <v>PICS</v>
      </c>
      <c r="T191" s="51" t="str">
        <f>VLOOKUP(Table37[[#This Row],[ACTIVITY]],TAGS!$B:$P,12,FALSE)</f>
        <v>Strategic Communication</v>
      </c>
      <c r="U191" s="51" t="str">
        <f>VLOOKUP(Table37[[#This Row],[ACTIVITY]],TAGS!$B:$P,13,FALSE)</f>
        <v>18. Strategic Communications​</v>
      </c>
      <c r="V191" s="51">
        <f>VLOOKUP(Table37[[#This Row],[ACTIVITY]],TAGS!$B:$P,14,FALSE)</f>
        <v>0</v>
      </c>
      <c r="W191" s="51" t="str">
        <f>VLOOKUP(Table37[[#This Row],[ACTIVITY]],TAGS!$B:$P,15,FALSE)</f>
        <v>IEC</v>
      </c>
      <c r="X191" s="51" t="str">
        <f>VLOOKUP(Table37[[#This Row],[PI LEVEL 3]],'PI LEVEL'!$A:$G,7,FALSE)</f>
        <v>DA-Level Output</v>
      </c>
      <c r="Y191" s="47" t="s">
        <v>577</v>
      </c>
      <c r="Z191" s="47" t="s">
        <v>336</v>
      </c>
      <c r="AA191" s="51" t="str">
        <f>VLOOKUP(Table37[[#This Row],[MONTH]],TAGS!$W$67:$Y$81,2,FALSE)</f>
        <v>4TH QTR</v>
      </c>
      <c r="AB191" s="51" t="str">
        <f>VLOOKUP(Table37[[#This Row],[MONTH]],TAGS!$W$67:$Y$81,3,FALSE)</f>
        <v>2ND SEMESTER</v>
      </c>
      <c r="AC191" s="51">
        <f>VLOOKUP(Table37[[#This Row],[MONTH]],TAGS!$W$67:$Z$81,4,FALSE)</f>
        <v>2025</v>
      </c>
      <c r="AD191" s="47">
        <v>36</v>
      </c>
      <c r="AE191" s="47"/>
      <c r="AF191" s="51">
        <f>SUM(Table37[[#This Row],[MOOE (Php ''000)]:[CO (Php ''000)]])</f>
        <v>36</v>
      </c>
      <c r="AG191" s="71" t="b">
        <f>ISBLANK(Table37[[#This Row],[PRPOPOSAL/BEDS]])</f>
        <v>0</v>
      </c>
      <c r="AH191" s="71" t="b">
        <f>ISBLANK(Table37[[#This Row],[OU]])</f>
        <v>0</v>
      </c>
      <c r="AI191" s="71" t="b">
        <f>ISBLANK(Table37[[#This Row],[SPECIFIC COMMODITY]])</f>
        <v>0</v>
      </c>
      <c r="AJ191" s="71" t="b">
        <f>ISBLANK(Table37[[#This Row],[COMMODITY PREXC SUB-PROGRAM]])</f>
        <v>0</v>
      </c>
      <c r="AK191" s="71" t="b">
        <f>ISBLANK(Table37[[#This Row],[ACTIVITY]])</f>
        <v>0</v>
      </c>
      <c r="AL191" s="71" t="b">
        <f>ISBLANK(Table37[[#This Row],[TAG-GAD]])</f>
        <v>0</v>
      </c>
      <c r="AM191" s="71" t="b">
        <f>ISBLANK(Table37[[#This Row],[MONTH]])</f>
        <v>0</v>
      </c>
      <c r="AN191" s="71" t="b">
        <f>ISBLANK(Table37[[#This Row],[MOOE (Php ''000)]])</f>
        <v>0</v>
      </c>
      <c r="AO191" s="71" t="b">
        <f>ISBLANK(Table37[[#This Row],[CO (Php ''000)]])</f>
        <v>1</v>
      </c>
    </row>
    <row r="192" spans="1:41">
      <c r="A192" s="51" t="str">
        <f>VLOOKUP(Table37[[#This Row],[OU]],OU!$A$15:$B$34,2,FALSE)</f>
        <v>RFOs</v>
      </c>
      <c r="B192" s="47" t="s">
        <v>301</v>
      </c>
      <c r="C192" s="47" t="s">
        <v>574</v>
      </c>
      <c r="D192" s="47" t="s">
        <v>585</v>
      </c>
      <c r="E192" s="51" t="str">
        <f>VLOOKUP(Table37[[#This Row],[SPECIFIC COMMODITY]],TAGS!$W$48:$X$53,2,FALSE)</f>
        <v>Multi_commodity</v>
      </c>
      <c r="F192" s="51" t="str">
        <f>VLOOKUP(Table37[[#This Row],[PREXC SUB-PROGRAM]],Table5[],2,FALSE)</f>
        <v>TECHNICAL AND SUPPORT SERVICES PROGRAM</v>
      </c>
      <c r="G192" s="51" t="str">
        <f>VLOOKUP(Table37[[#This Row],[COMMODITY PREXC SUB-PROGRAM]],TAGS!$U$54:$V$76,2,FALSE)</f>
        <v>ESETS</v>
      </c>
      <c r="H192" s="47" t="s">
        <v>592</v>
      </c>
      <c r="I192" s="51" t="str">
        <f>VLOOKUP(Table37[[#This Row],[PI LEVEL 3]],'PI LEVEL'!A:C,3,FALSE)</f>
        <v>Extension support activities conducted</v>
      </c>
      <c r="J192" s="51" t="str">
        <f>VLOOKUP(Table37[[#This Row],[PI LEVEL 3]],Table53729[[Performance Indicator Level 3]:[Performance Indicator Level 1]],2,FALSE)</f>
        <v>Extension support activities conducted</v>
      </c>
      <c r="K192" s="51" t="str">
        <f>VLOOKUP(Table37[[#This Row],[ACTIVITY]],TAGS!B:P,2,FALSE)</f>
        <v>Other extension support activities conducted</v>
      </c>
      <c r="L192" s="47" t="s">
        <v>163</v>
      </c>
      <c r="M192" s="51" t="str">
        <f>VLOOKUP(Table37[[#This Row],[ACTIVITY]],TAGS!$B:$P,4,FALSE)</f>
        <v>Information, Education, and Communication Activities</v>
      </c>
      <c r="N192" s="51" t="str">
        <f>VLOOKUP(Table37[[#This Row],[ACTIVITY]],TAGS!$B:$P,5,FALSE)</f>
        <v>Information, Education, and Communication Activities</v>
      </c>
      <c r="O192" s="51" t="str">
        <f>VLOOKUP(Table37[[#This Row],[ACTIVITY]],TAGS!$B:$P,6,FALSE)</f>
        <v>TV Plugs</v>
      </c>
      <c r="P192" s="51" t="str">
        <f>VLOOKUP(Table37[[#This Row],[ACTIVITY]],TAGS!$B:$P,7,FALSE)</f>
        <v>NO</v>
      </c>
      <c r="Q192" s="51" t="str">
        <f>VLOOKUP(Table37[[#This Row],[ACTIVITY]],TAGS!$B:$P,8,FALSE)</f>
        <v>PAP</v>
      </c>
      <c r="R192" s="51" t="str">
        <f>VLOOKUP(Table37[[#This Row],[ACTIVITY]],TAGS!$B:$P,10,FALSE)</f>
        <v>PIP</v>
      </c>
      <c r="S192" s="51" t="str">
        <f>VLOOKUP(Table37[[#This Row],[ACTIVITY]],TAGS!$B:$P,11,FALSE)</f>
        <v>PICS</v>
      </c>
      <c r="T192" s="51" t="str">
        <f>VLOOKUP(Table37[[#This Row],[ACTIVITY]],TAGS!$B:$P,12,FALSE)</f>
        <v>Strategic Communication</v>
      </c>
      <c r="U192" s="51" t="str">
        <f>VLOOKUP(Table37[[#This Row],[ACTIVITY]],TAGS!$B:$P,13,FALSE)</f>
        <v>18. Strategic Communications​</v>
      </c>
      <c r="V192" s="51">
        <f>VLOOKUP(Table37[[#This Row],[ACTIVITY]],TAGS!$B:$P,14,FALSE)</f>
        <v>0</v>
      </c>
      <c r="W192" s="51" t="str">
        <f>VLOOKUP(Table37[[#This Row],[ACTIVITY]],TAGS!$B:$P,15,FALSE)</f>
        <v>IEC</v>
      </c>
      <c r="X192" s="51" t="str">
        <f>VLOOKUP(Table37[[#This Row],[PI LEVEL 3]],'PI LEVEL'!$A:$G,7,FALSE)</f>
        <v>DA-Level Output</v>
      </c>
      <c r="Y192" s="47" t="s">
        <v>577</v>
      </c>
      <c r="Z192" s="47" t="s">
        <v>337</v>
      </c>
      <c r="AA192" s="51" t="str">
        <f>VLOOKUP(Table37[[#This Row],[MONTH]],TAGS!$W$67:$Y$81,2,FALSE)</f>
        <v>4TH QTR</v>
      </c>
      <c r="AB192" s="51" t="str">
        <f>VLOOKUP(Table37[[#This Row],[MONTH]],TAGS!$W$67:$Y$81,3,FALSE)</f>
        <v>2ND SEMESTER</v>
      </c>
      <c r="AC192" s="51">
        <f>VLOOKUP(Table37[[#This Row],[MONTH]],TAGS!$W$67:$Z$81,4,FALSE)</f>
        <v>2025</v>
      </c>
      <c r="AD192" s="47">
        <v>36</v>
      </c>
      <c r="AE192" s="47"/>
      <c r="AF192" s="51">
        <f>SUM(Table37[[#This Row],[MOOE (Php ''000)]:[CO (Php ''000)]])</f>
        <v>36</v>
      </c>
      <c r="AG192" s="71" t="b">
        <f>ISBLANK(Table37[[#This Row],[PRPOPOSAL/BEDS]])</f>
        <v>0</v>
      </c>
      <c r="AH192" s="71" t="b">
        <f>ISBLANK(Table37[[#This Row],[OU]])</f>
        <v>0</v>
      </c>
      <c r="AI192" s="71" t="b">
        <f>ISBLANK(Table37[[#This Row],[SPECIFIC COMMODITY]])</f>
        <v>0</v>
      </c>
      <c r="AJ192" s="71" t="b">
        <f>ISBLANK(Table37[[#This Row],[COMMODITY PREXC SUB-PROGRAM]])</f>
        <v>0</v>
      </c>
      <c r="AK192" s="71" t="b">
        <f>ISBLANK(Table37[[#This Row],[ACTIVITY]])</f>
        <v>0</v>
      </c>
      <c r="AL192" s="71" t="b">
        <f>ISBLANK(Table37[[#This Row],[TAG-GAD]])</f>
        <v>0</v>
      </c>
      <c r="AM192" s="71" t="b">
        <f>ISBLANK(Table37[[#This Row],[MONTH]])</f>
        <v>0</v>
      </c>
      <c r="AN192" s="71" t="b">
        <f>ISBLANK(Table37[[#This Row],[MOOE (Php ''000)]])</f>
        <v>0</v>
      </c>
      <c r="AO192" s="71" t="b">
        <f>ISBLANK(Table37[[#This Row],[CO (Php ''000)]])</f>
        <v>1</v>
      </c>
    </row>
    <row r="193" spans="1:41">
      <c r="A193" s="51" t="str">
        <f>VLOOKUP(Table37[[#This Row],[OU]],OU!$A$15:$B$34,2,FALSE)</f>
        <v>RFOs</v>
      </c>
      <c r="B193" s="47" t="s">
        <v>301</v>
      </c>
      <c r="C193" s="47" t="s">
        <v>574</v>
      </c>
      <c r="D193" s="47" t="s">
        <v>585</v>
      </c>
      <c r="E193" s="51" t="str">
        <f>VLOOKUP(Table37[[#This Row],[SPECIFIC COMMODITY]],TAGS!$W$48:$X$53,2,FALSE)</f>
        <v>Multi_commodity</v>
      </c>
      <c r="F193" s="51" t="str">
        <f>VLOOKUP(Table37[[#This Row],[PREXC SUB-PROGRAM]],Table5[],2,FALSE)</f>
        <v>TECHNICAL AND SUPPORT SERVICES PROGRAM</v>
      </c>
      <c r="G193" s="51" t="str">
        <f>VLOOKUP(Table37[[#This Row],[COMMODITY PREXC SUB-PROGRAM]],TAGS!$U$54:$V$76,2,FALSE)</f>
        <v>ESETS</v>
      </c>
      <c r="H193" s="47" t="s">
        <v>592</v>
      </c>
      <c r="I193" s="51" t="str">
        <f>VLOOKUP(Table37[[#This Row],[PI LEVEL 3]],'PI LEVEL'!A:C,3,FALSE)</f>
        <v>Extension support activities conducted</v>
      </c>
      <c r="J193" s="51" t="str">
        <f>VLOOKUP(Table37[[#This Row],[PI LEVEL 3]],Table53729[[Performance Indicator Level 3]:[Performance Indicator Level 1]],2,FALSE)</f>
        <v>Extension support activities conducted</v>
      </c>
      <c r="K193" s="51" t="str">
        <f>VLOOKUP(Table37[[#This Row],[ACTIVITY]],TAGS!B:P,2,FALSE)</f>
        <v>Other extension support activities conducted</v>
      </c>
      <c r="L193" s="47" t="s">
        <v>163</v>
      </c>
      <c r="M193" s="51" t="str">
        <f>VLOOKUP(Table37[[#This Row],[ACTIVITY]],TAGS!$B:$P,4,FALSE)</f>
        <v>Information, Education, and Communication Activities</v>
      </c>
      <c r="N193" s="51" t="str">
        <f>VLOOKUP(Table37[[#This Row],[ACTIVITY]],TAGS!$B:$P,5,FALSE)</f>
        <v>Information, Education, and Communication Activities</v>
      </c>
      <c r="O193" s="51" t="str">
        <f>VLOOKUP(Table37[[#This Row],[ACTIVITY]],TAGS!$B:$P,6,FALSE)</f>
        <v>TV Plugs</v>
      </c>
      <c r="P193" s="51" t="str">
        <f>VLOOKUP(Table37[[#This Row],[ACTIVITY]],TAGS!$B:$P,7,FALSE)</f>
        <v>NO</v>
      </c>
      <c r="Q193" s="51" t="str">
        <f>VLOOKUP(Table37[[#This Row],[ACTIVITY]],TAGS!$B:$P,8,FALSE)</f>
        <v>PAP</v>
      </c>
      <c r="R193" s="51" t="str">
        <f>VLOOKUP(Table37[[#This Row],[ACTIVITY]],TAGS!$B:$P,10,FALSE)</f>
        <v>PIP</v>
      </c>
      <c r="S193" s="51" t="str">
        <f>VLOOKUP(Table37[[#This Row],[ACTIVITY]],TAGS!$B:$P,11,FALSE)</f>
        <v>PICS</v>
      </c>
      <c r="T193" s="51" t="str">
        <f>VLOOKUP(Table37[[#This Row],[ACTIVITY]],TAGS!$B:$P,12,FALSE)</f>
        <v>Strategic Communication</v>
      </c>
      <c r="U193" s="51" t="str">
        <f>VLOOKUP(Table37[[#This Row],[ACTIVITY]],TAGS!$B:$P,13,FALSE)</f>
        <v>18. Strategic Communications​</v>
      </c>
      <c r="V193" s="51">
        <f>VLOOKUP(Table37[[#This Row],[ACTIVITY]],TAGS!$B:$P,14,FALSE)</f>
        <v>0</v>
      </c>
      <c r="W193" s="51" t="str">
        <f>VLOOKUP(Table37[[#This Row],[ACTIVITY]],TAGS!$B:$P,15,FALSE)</f>
        <v>IEC</v>
      </c>
      <c r="X193" s="51" t="str">
        <f>VLOOKUP(Table37[[#This Row],[PI LEVEL 3]],'PI LEVEL'!$A:$G,7,FALSE)</f>
        <v>DA-Level Output</v>
      </c>
      <c r="Y193" s="47" t="s">
        <v>577</v>
      </c>
      <c r="Z193" s="47" t="s">
        <v>338</v>
      </c>
      <c r="AA193" s="51" t="str">
        <f>VLOOKUP(Table37[[#This Row],[MONTH]],TAGS!$W$67:$Y$81,2,FALSE)</f>
        <v>4TH QTR</v>
      </c>
      <c r="AB193" s="51" t="str">
        <f>VLOOKUP(Table37[[#This Row],[MONTH]],TAGS!$W$67:$Y$81,3,FALSE)</f>
        <v>2ND SEMESTER</v>
      </c>
      <c r="AC193" s="51">
        <f>VLOOKUP(Table37[[#This Row],[MONTH]],TAGS!$W$67:$Z$81,4,FALSE)</f>
        <v>2025</v>
      </c>
      <c r="AD193" s="47">
        <v>40</v>
      </c>
      <c r="AE193" s="47"/>
      <c r="AF193" s="51">
        <f>SUM(Table37[[#This Row],[MOOE (Php ''000)]:[CO (Php ''000)]])</f>
        <v>40</v>
      </c>
      <c r="AG193" s="71" t="b">
        <f>ISBLANK(Table37[[#This Row],[PRPOPOSAL/BEDS]])</f>
        <v>0</v>
      </c>
      <c r="AH193" s="71" t="b">
        <f>ISBLANK(Table37[[#This Row],[OU]])</f>
        <v>0</v>
      </c>
      <c r="AI193" s="71" t="b">
        <f>ISBLANK(Table37[[#This Row],[SPECIFIC COMMODITY]])</f>
        <v>0</v>
      </c>
      <c r="AJ193" s="71" t="b">
        <f>ISBLANK(Table37[[#This Row],[COMMODITY PREXC SUB-PROGRAM]])</f>
        <v>0</v>
      </c>
      <c r="AK193" s="71" t="b">
        <f>ISBLANK(Table37[[#This Row],[ACTIVITY]])</f>
        <v>0</v>
      </c>
      <c r="AL193" s="71" t="b">
        <f>ISBLANK(Table37[[#This Row],[TAG-GAD]])</f>
        <v>0</v>
      </c>
      <c r="AM193" s="71" t="b">
        <f>ISBLANK(Table37[[#This Row],[MONTH]])</f>
        <v>0</v>
      </c>
      <c r="AN193" s="71" t="b">
        <f>ISBLANK(Table37[[#This Row],[MOOE (Php ''000)]])</f>
        <v>0</v>
      </c>
      <c r="AO193" s="71" t="b">
        <f>ISBLANK(Table37[[#This Row],[CO (Php ''000)]])</f>
        <v>1</v>
      </c>
    </row>
    <row r="194" spans="1:41">
      <c r="A194" s="51" t="str">
        <f>VLOOKUP(Table37[[#This Row],[OU]],OU!$A$15:$B$34,2,FALSE)</f>
        <v>RFOs</v>
      </c>
      <c r="B194" s="47" t="s">
        <v>301</v>
      </c>
      <c r="C194" s="47" t="s">
        <v>574</v>
      </c>
      <c r="D194" s="47" t="s">
        <v>578</v>
      </c>
      <c r="E194" s="51" t="str">
        <f>VLOOKUP(Table37[[#This Row],[SPECIFIC COMMODITY]],TAGS!$W$48:$X$53,2,FALSE)</f>
        <v>Corn</v>
      </c>
      <c r="F194" s="51" t="str">
        <f>VLOOKUP(Table37[[#This Row],[PREXC SUB-PROGRAM]],Table5[],2,FALSE)</f>
        <v>TECHNICAL AND SUPPORT SERVICES PROGRAM</v>
      </c>
      <c r="G194" s="51" t="str">
        <f>VLOOKUP(Table37[[#This Row],[COMMODITY PREXC SUB-PROGRAM]],TAGS!$U$54:$V$76,2,FALSE)</f>
        <v>RND</v>
      </c>
      <c r="H194" s="47" t="s">
        <v>593</v>
      </c>
      <c r="I194" s="51" t="str">
        <f>VLOOKUP(Table37[[#This Row],[PI LEVEL 3]],'PI LEVEL'!A:C,3,FALSE)</f>
        <v>Research and development activities conducted</v>
      </c>
      <c r="J194" s="51" t="str">
        <f>VLOOKUP(Table37[[#This Row],[PI LEVEL 3]],Table53729[[Performance Indicator Level 3]:[Performance Indicator Level 1]],2,FALSE)</f>
        <v>Production-related R4D activities conducted</v>
      </c>
      <c r="K194" s="51" t="str">
        <f>VLOOKUP(Table37[[#This Row],[ACTIVITY]],TAGS!B:P,2,FALSE)</f>
        <v>New Production-related R4D activities conducted</v>
      </c>
      <c r="L194" s="47" t="s">
        <v>168</v>
      </c>
      <c r="M194" s="51" t="str">
        <f>VLOOKUP(Table37[[#This Row],[ACTIVITY]],TAGS!$B:$P,4,FALSE)</f>
        <v>R&amp;D conducted</v>
      </c>
      <c r="N194" s="51" t="str">
        <f>VLOOKUP(Table37[[#This Row],[ACTIVITY]],TAGS!$B:$P,5,FALSE)</f>
        <v>RFOs &amp; Bureaus conducted R&amp;D</v>
      </c>
      <c r="O194" s="51" t="str">
        <f>VLOOKUP(Table37[[#This Row],[ACTIVITY]],TAGS!$B:$P,6,FALSE)</f>
        <v>New R&amp;D</v>
      </c>
      <c r="P194" s="51" t="str">
        <f>VLOOKUP(Table37[[#This Row],[ACTIVITY]],TAGS!$B:$P,7,FALSE)</f>
        <v>NO</v>
      </c>
      <c r="Q194" s="51" t="str">
        <f>VLOOKUP(Table37[[#This Row],[ACTIVITY]],TAGS!$B:$P,8,FALSE)</f>
        <v>Research</v>
      </c>
      <c r="R194" s="51" t="str">
        <f>VLOOKUP(Table37[[#This Row],[ACTIVITY]],TAGS!$B:$P,10,FALSE)</f>
        <v>PIP</v>
      </c>
      <c r="S194" s="51" t="str">
        <f>VLOOKUP(Table37[[#This Row],[ACTIVITY]],TAGS!$B:$P,11,FALSE)</f>
        <v>PICS</v>
      </c>
      <c r="T194" s="51" t="str">
        <f>VLOOKUP(Table37[[#This Row],[ACTIVITY]],TAGS!$B:$P,12,FALSE)</f>
        <v>Modernization</v>
      </c>
      <c r="U194" s="51">
        <f>VLOOKUP(Table37[[#This Row],[ACTIVITY]],TAGS!$B:$P,13,FALSE)</f>
        <v>0</v>
      </c>
      <c r="V194" s="51" t="str">
        <f>VLOOKUP(Table37[[#This Row],[ACTIVITY]],TAGS!$B:$P,14,FALSE)</f>
        <v>EXPAND AND IMPROVE AVAILABLE AGRI-FISHERY AREAS FOR INCREASED PRODUCTION</v>
      </c>
      <c r="W194" s="51" t="str">
        <f>VLOOKUP(Table37[[#This Row],[ACTIVITY]],TAGS!$B:$P,15,FALSE)</f>
        <v>R&amp;D</v>
      </c>
      <c r="X194" s="51" t="str">
        <f>VLOOKUP(Table37[[#This Row],[PI LEVEL 3]],'PI LEVEL'!$A:$G,7,FALSE)</f>
        <v>DA-Level Output</v>
      </c>
      <c r="Y194" s="47" t="s">
        <v>577</v>
      </c>
      <c r="Z194" s="47" t="s">
        <v>330</v>
      </c>
      <c r="AA194" s="51" t="str">
        <f>VLOOKUP(Table37[[#This Row],[MONTH]],TAGS!$W$67:$Y$81,2,FALSE)</f>
        <v>2ND QTR</v>
      </c>
      <c r="AB194" s="51" t="str">
        <f>VLOOKUP(Table37[[#This Row],[MONTH]],TAGS!$W$67:$Y$81,3,FALSE)</f>
        <v>1ST SEMESTER</v>
      </c>
      <c r="AC194" s="51">
        <f>VLOOKUP(Table37[[#This Row],[MONTH]],TAGS!$W$67:$Z$81,4,FALSE)</f>
        <v>2025</v>
      </c>
      <c r="AD194" s="47">
        <v>4500</v>
      </c>
      <c r="AE194" s="47"/>
      <c r="AF194" s="51">
        <f>SUM(Table37[[#This Row],[MOOE (Php ''000)]:[CO (Php ''000)]])</f>
        <v>4500</v>
      </c>
      <c r="AG194" s="71" t="b">
        <f>ISBLANK(Table37[[#This Row],[PRPOPOSAL/BEDS]])</f>
        <v>0</v>
      </c>
      <c r="AH194" s="71" t="b">
        <f>ISBLANK(Table37[[#This Row],[OU]])</f>
        <v>0</v>
      </c>
      <c r="AI194" s="71" t="b">
        <f>ISBLANK(Table37[[#This Row],[SPECIFIC COMMODITY]])</f>
        <v>0</v>
      </c>
      <c r="AJ194" s="71" t="b">
        <f>ISBLANK(Table37[[#This Row],[COMMODITY PREXC SUB-PROGRAM]])</f>
        <v>0</v>
      </c>
      <c r="AK194" s="71" t="b">
        <f>ISBLANK(Table37[[#This Row],[ACTIVITY]])</f>
        <v>0</v>
      </c>
      <c r="AL194" s="71" t="b">
        <f>ISBLANK(Table37[[#This Row],[TAG-GAD]])</f>
        <v>0</v>
      </c>
      <c r="AM194" s="71" t="b">
        <f>ISBLANK(Table37[[#This Row],[MONTH]])</f>
        <v>0</v>
      </c>
      <c r="AN194" s="71" t="b">
        <f>ISBLANK(Table37[[#This Row],[MOOE (Php ''000)]])</f>
        <v>0</v>
      </c>
      <c r="AO194" s="71" t="b">
        <f>ISBLANK(Table37[[#This Row],[CO (Php ''000)]])</f>
        <v>1</v>
      </c>
    </row>
    <row r="195" spans="1:41">
      <c r="A195" s="51" t="str">
        <f>VLOOKUP(Table37[[#This Row],[OU]],OU!$A$15:$B$34,2,FALSE)</f>
        <v>RFOs</v>
      </c>
      <c r="B195" s="47" t="s">
        <v>301</v>
      </c>
      <c r="C195" s="47" t="s">
        <v>574</v>
      </c>
      <c r="D195" s="47" t="s">
        <v>578</v>
      </c>
      <c r="E195" s="51" t="str">
        <f>VLOOKUP(Table37[[#This Row],[SPECIFIC COMMODITY]],TAGS!$W$48:$X$53,2,FALSE)</f>
        <v>Corn</v>
      </c>
      <c r="F195" s="51" t="str">
        <f>VLOOKUP(Table37[[#This Row],[PREXC SUB-PROGRAM]],Table5[],2,FALSE)</f>
        <v>TECHNICAL AND SUPPORT SERVICES PROGRAM</v>
      </c>
      <c r="G195" s="51" t="str">
        <f>VLOOKUP(Table37[[#This Row],[COMMODITY PREXC SUB-PROGRAM]],TAGS!$U$54:$V$76,2,FALSE)</f>
        <v>RND</v>
      </c>
      <c r="H195" s="47" t="s">
        <v>593</v>
      </c>
      <c r="I195" s="51" t="str">
        <f>VLOOKUP(Table37[[#This Row],[PI LEVEL 3]],'PI LEVEL'!A:C,3,FALSE)</f>
        <v>Research and development activities conducted</v>
      </c>
      <c r="J195" s="51" t="str">
        <f>VLOOKUP(Table37[[#This Row],[PI LEVEL 3]],Table53729[[Performance Indicator Level 3]:[Performance Indicator Level 1]],2,FALSE)</f>
        <v>Production-related R4D activities conducted</v>
      </c>
      <c r="K195" s="51" t="str">
        <f>VLOOKUP(Table37[[#This Row],[ACTIVITY]],TAGS!B:P,2,FALSE)</f>
        <v>New Production-related R4D activities conducted</v>
      </c>
      <c r="L195" s="47" t="s">
        <v>168</v>
      </c>
      <c r="M195" s="51" t="str">
        <f>VLOOKUP(Table37[[#This Row],[ACTIVITY]],TAGS!$B:$P,4,FALSE)</f>
        <v>R&amp;D conducted</v>
      </c>
      <c r="N195" s="51" t="str">
        <f>VLOOKUP(Table37[[#This Row],[ACTIVITY]],TAGS!$B:$P,5,FALSE)</f>
        <v>RFOs &amp; Bureaus conducted R&amp;D</v>
      </c>
      <c r="O195" s="51" t="str">
        <f>VLOOKUP(Table37[[#This Row],[ACTIVITY]],TAGS!$B:$P,6,FALSE)</f>
        <v>New R&amp;D</v>
      </c>
      <c r="P195" s="51" t="str">
        <f>VLOOKUP(Table37[[#This Row],[ACTIVITY]],TAGS!$B:$P,7,FALSE)</f>
        <v>NO</v>
      </c>
      <c r="Q195" s="51" t="str">
        <f>VLOOKUP(Table37[[#This Row],[ACTIVITY]],TAGS!$B:$P,8,FALSE)</f>
        <v>Research</v>
      </c>
      <c r="R195" s="51" t="str">
        <f>VLOOKUP(Table37[[#This Row],[ACTIVITY]],TAGS!$B:$P,10,FALSE)</f>
        <v>PIP</v>
      </c>
      <c r="S195" s="51" t="str">
        <f>VLOOKUP(Table37[[#This Row],[ACTIVITY]],TAGS!$B:$P,11,FALSE)</f>
        <v>PICS</v>
      </c>
      <c r="T195" s="51" t="str">
        <f>VLOOKUP(Table37[[#This Row],[ACTIVITY]],TAGS!$B:$P,12,FALSE)</f>
        <v>Modernization</v>
      </c>
      <c r="U195" s="51">
        <f>VLOOKUP(Table37[[#This Row],[ACTIVITY]],TAGS!$B:$P,13,FALSE)</f>
        <v>0</v>
      </c>
      <c r="V195" s="51" t="str">
        <f>VLOOKUP(Table37[[#This Row],[ACTIVITY]],TAGS!$B:$P,14,FALSE)</f>
        <v>EXPAND AND IMPROVE AVAILABLE AGRI-FISHERY AREAS FOR INCREASED PRODUCTION</v>
      </c>
      <c r="W195" s="51" t="str">
        <f>VLOOKUP(Table37[[#This Row],[ACTIVITY]],TAGS!$B:$P,15,FALSE)</f>
        <v>R&amp;D</v>
      </c>
      <c r="X195" s="51" t="str">
        <f>VLOOKUP(Table37[[#This Row],[PI LEVEL 3]],'PI LEVEL'!$A:$G,7,FALSE)</f>
        <v>DA-Level Output</v>
      </c>
      <c r="Y195" s="47" t="s">
        <v>577</v>
      </c>
      <c r="Z195" s="47" t="s">
        <v>333</v>
      </c>
      <c r="AA195" s="51" t="str">
        <f>VLOOKUP(Table37[[#This Row],[MONTH]],TAGS!$W$67:$Y$81,2,FALSE)</f>
        <v>3RD QTR</v>
      </c>
      <c r="AB195" s="51" t="str">
        <f>VLOOKUP(Table37[[#This Row],[MONTH]],TAGS!$W$67:$Y$81,3,FALSE)</f>
        <v>2ND SEMESTER</v>
      </c>
      <c r="AC195" s="51">
        <f>VLOOKUP(Table37[[#This Row],[MONTH]],TAGS!$W$67:$Z$81,4,FALSE)</f>
        <v>2025</v>
      </c>
      <c r="AD195" s="47">
        <v>450</v>
      </c>
      <c r="AE195" s="47"/>
      <c r="AF195" s="51">
        <f>SUM(Table37[[#This Row],[MOOE (Php ''000)]:[CO (Php ''000)]])</f>
        <v>450</v>
      </c>
      <c r="AG195" s="71" t="b">
        <f>ISBLANK(Table37[[#This Row],[PRPOPOSAL/BEDS]])</f>
        <v>0</v>
      </c>
      <c r="AH195" s="71" t="b">
        <f>ISBLANK(Table37[[#This Row],[OU]])</f>
        <v>0</v>
      </c>
      <c r="AI195" s="71" t="b">
        <f>ISBLANK(Table37[[#This Row],[SPECIFIC COMMODITY]])</f>
        <v>0</v>
      </c>
      <c r="AJ195" s="71" t="b">
        <f>ISBLANK(Table37[[#This Row],[COMMODITY PREXC SUB-PROGRAM]])</f>
        <v>0</v>
      </c>
      <c r="AK195" s="71" t="b">
        <f>ISBLANK(Table37[[#This Row],[ACTIVITY]])</f>
        <v>0</v>
      </c>
      <c r="AL195" s="71" t="b">
        <f>ISBLANK(Table37[[#This Row],[TAG-GAD]])</f>
        <v>0</v>
      </c>
      <c r="AM195" s="71" t="b">
        <f>ISBLANK(Table37[[#This Row],[MONTH]])</f>
        <v>0</v>
      </c>
      <c r="AN195" s="71" t="b">
        <f>ISBLANK(Table37[[#This Row],[MOOE (Php ''000)]])</f>
        <v>0</v>
      </c>
      <c r="AO195" s="71" t="b">
        <f>ISBLANK(Table37[[#This Row],[CO (Php ''000)]])</f>
        <v>1</v>
      </c>
    </row>
    <row r="196" spans="1:41">
      <c r="A196" s="51" t="str">
        <f>VLOOKUP(Table37[[#This Row],[OU]],OU!$A$15:$B$34,2,FALSE)</f>
        <v>RFOs</v>
      </c>
      <c r="B196" s="47" t="s">
        <v>301</v>
      </c>
      <c r="C196" s="47" t="s">
        <v>574</v>
      </c>
      <c r="D196" s="47" t="s">
        <v>578</v>
      </c>
      <c r="E196" s="51" t="str">
        <f>VLOOKUP(Table37[[#This Row],[SPECIFIC COMMODITY]],TAGS!$W$48:$X$53,2,FALSE)</f>
        <v>Corn</v>
      </c>
      <c r="F196" s="51" t="str">
        <f>VLOOKUP(Table37[[#This Row],[PREXC SUB-PROGRAM]],Table5[],2,FALSE)</f>
        <v>TECHNICAL AND SUPPORT SERVICES PROGRAM</v>
      </c>
      <c r="G196" s="51" t="str">
        <f>VLOOKUP(Table37[[#This Row],[COMMODITY PREXC SUB-PROGRAM]],TAGS!$U$54:$V$76,2,FALSE)</f>
        <v>RND</v>
      </c>
      <c r="H196" s="47" t="s">
        <v>593</v>
      </c>
      <c r="I196" s="51" t="str">
        <f>VLOOKUP(Table37[[#This Row],[PI LEVEL 3]],'PI LEVEL'!A:C,3,FALSE)</f>
        <v>Research and development activities conducted</v>
      </c>
      <c r="J196" s="51" t="str">
        <f>VLOOKUP(Table37[[#This Row],[PI LEVEL 3]],Table53729[[Performance Indicator Level 3]:[Performance Indicator Level 1]],2,FALSE)</f>
        <v>Production-related R4D activities conducted</v>
      </c>
      <c r="K196" s="51" t="str">
        <f>VLOOKUP(Table37[[#This Row],[ACTIVITY]],TAGS!B:P,2,FALSE)</f>
        <v>New Production-related R4D activities conducted</v>
      </c>
      <c r="L196" s="47" t="s">
        <v>168</v>
      </c>
      <c r="M196" s="51" t="str">
        <f>VLOOKUP(Table37[[#This Row],[ACTIVITY]],TAGS!$B:$P,4,FALSE)</f>
        <v>R&amp;D conducted</v>
      </c>
      <c r="N196" s="51" t="str">
        <f>VLOOKUP(Table37[[#This Row],[ACTIVITY]],TAGS!$B:$P,5,FALSE)</f>
        <v>RFOs &amp; Bureaus conducted R&amp;D</v>
      </c>
      <c r="O196" s="51" t="str">
        <f>VLOOKUP(Table37[[#This Row],[ACTIVITY]],TAGS!$B:$P,6,FALSE)</f>
        <v>New R&amp;D</v>
      </c>
      <c r="P196" s="51" t="str">
        <f>VLOOKUP(Table37[[#This Row],[ACTIVITY]],TAGS!$B:$P,7,FALSE)</f>
        <v>NO</v>
      </c>
      <c r="Q196" s="51" t="str">
        <f>VLOOKUP(Table37[[#This Row],[ACTIVITY]],TAGS!$B:$P,8,FALSE)</f>
        <v>Research</v>
      </c>
      <c r="R196" s="51" t="str">
        <f>VLOOKUP(Table37[[#This Row],[ACTIVITY]],TAGS!$B:$P,10,FALSE)</f>
        <v>PIP</v>
      </c>
      <c r="S196" s="51" t="str">
        <f>VLOOKUP(Table37[[#This Row],[ACTIVITY]],TAGS!$B:$P,11,FALSE)</f>
        <v>PICS</v>
      </c>
      <c r="T196" s="51" t="str">
        <f>VLOOKUP(Table37[[#This Row],[ACTIVITY]],TAGS!$B:$P,12,FALSE)</f>
        <v>Modernization</v>
      </c>
      <c r="U196" s="51">
        <f>VLOOKUP(Table37[[#This Row],[ACTIVITY]],TAGS!$B:$P,13,FALSE)</f>
        <v>0</v>
      </c>
      <c r="V196" s="51" t="str">
        <f>VLOOKUP(Table37[[#This Row],[ACTIVITY]],TAGS!$B:$P,14,FALSE)</f>
        <v>EXPAND AND IMPROVE AVAILABLE AGRI-FISHERY AREAS FOR INCREASED PRODUCTION</v>
      </c>
      <c r="W196" s="51" t="str">
        <f>VLOOKUP(Table37[[#This Row],[ACTIVITY]],TAGS!$B:$P,15,FALSE)</f>
        <v>R&amp;D</v>
      </c>
      <c r="X196" s="51" t="str">
        <f>VLOOKUP(Table37[[#This Row],[PI LEVEL 3]],'PI LEVEL'!$A:$G,7,FALSE)</f>
        <v>DA-Level Output</v>
      </c>
      <c r="Y196" s="47" t="s">
        <v>577</v>
      </c>
      <c r="Z196" s="47" t="s">
        <v>336</v>
      </c>
      <c r="AA196" s="51" t="str">
        <f>VLOOKUP(Table37[[#This Row],[MONTH]],TAGS!$W$67:$Y$81,2,FALSE)</f>
        <v>4TH QTR</v>
      </c>
      <c r="AB196" s="51" t="str">
        <f>VLOOKUP(Table37[[#This Row],[MONTH]],TAGS!$W$67:$Y$81,3,FALSE)</f>
        <v>2ND SEMESTER</v>
      </c>
      <c r="AC196" s="51">
        <f>VLOOKUP(Table37[[#This Row],[MONTH]],TAGS!$W$67:$Z$81,4,FALSE)</f>
        <v>2025</v>
      </c>
      <c r="AD196" s="47">
        <v>550</v>
      </c>
      <c r="AE196" s="47"/>
      <c r="AF196" s="51">
        <f>SUM(Table37[[#This Row],[MOOE (Php ''000)]:[CO (Php ''000)]])</f>
        <v>550</v>
      </c>
      <c r="AG196" s="71" t="b">
        <f>ISBLANK(Table37[[#This Row],[PRPOPOSAL/BEDS]])</f>
        <v>0</v>
      </c>
      <c r="AH196" s="71" t="b">
        <f>ISBLANK(Table37[[#This Row],[OU]])</f>
        <v>0</v>
      </c>
      <c r="AI196" s="71" t="b">
        <f>ISBLANK(Table37[[#This Row],[SPECIFIC COMMODITY]])</f>
        <v>0</v>
      </c>
      <c r="AJ196" s="71" t="b">
        <f>ISBLANK(Table37[[#This Row],[COMMODITY PREXC SUB-PROGRAM]])</f>
        <v>0</v>
      </c>
      <c r="AK196" s="71" t="b">
        <f>ISBLANK(Table37[[#This Row],[ACTIVITY]])</f>
        <v>0</v>
      </c>
      <c r="AL196" s="71" t="b">
        <f>ISBLANK(Table37[[#This Row],[TAG-GAD]])</f>
        <v>0</v>
      </c>
      <c r="AM196" s="71" t="b">
        <f>ISBLANK(Table37[[#This Row],[MONTH]])</f>
        <v>0</v>
      </c>
      <c r="AN196" s="71" t="b">
        <f>ISBLANK(Table37[[#This Row],[MOOE (Php ''000)]])</f>
        <v>0</v>
      </c>
      <c r="AO196" s="71" t="b">
        <f>ISBLANK(Table37[[#This Row],[CO (Php ''000)]])</f>
        <v>1</v>
      </c>
    </row>
    <row r="197" spans="1:41">
      <c r="A197" s="51" t="str">
        <f>VLOOKUP(Table37[[#This Row],[OU]],OU!$A$15:$B$34,2,FALSE)</f>
        <v>RFOs</v>
      </c>
      <c r="B197" s="47" t="s">
        <v>301</v>
      </c>
      <c r="C197" s="47" t="s">
        <v>574</v>
      </c>
      <c r="D197" s="47" t="s">
        <v>578</v>
      </c>
      <c r="E197" s="51" t="str">
        <f>VLOOKUP(Table37[[#This Row],[SPECIFIC COMMODITY]],TAGS!$W$48:$X$53,2,FALSE)</f>
        <v>Corn</v>
      </c>
      <c r="F197" s="51" t="str">
        <f>VLOOKUP(Table37[[#This Row],[PREXC SUB-PROGRAM]],Table5[],2,FALSE)</f>
        <v>AGRICULTURAL  MACHINERY, EQUIPMENT, FACILITIES AND INFRASTRUCTURE PROGRAM</v>
      </c>
      <c r="G197" s="51" t="str">
        <f>VLOOKUP(Table37[[#This Row],[COMMODITY PREXC SUB-PROGRAM]],TAGS!$U$54:$V$76,2,FALSE)</f>
        <v>AMEFSS</v>
      </c>
      <c r="H197" s="47" t="s">
        <v>594</v>
      </c>
      <c r="I197" s="51" t="str">
        <f>VLOOKUP(Table37[[#This Row],[PI LEVEL 3]],'PI LEVEL'!A:C,3,FALSE)</f>
        <v>Production machinery and equipment distributed</v>
      </c>
      <c r="J197" s="51" t="str">
        <f>VLOOKUP(Table37[[#This Row],[PI LEVEL 3]],Table53729[[Performance Indicator Level 3]:[Performance Indicator Level 1]],2,FALSE)</f>
        <v>Agricultural tractor distributed</v>
      </c>
      <c r="K197" s="51" t="str">
        <f>VLOOKUP(Table37[[#This Row],[ACTIVITY]],TAGS!B:P,2,FALSE)</f>
        <v>Four-Wheel Tractor Distributed</v>
      </c>
      <c r="L197" s="47" t="s">
        <v>171</v>
      </c>
      <c r="M197" s="51" t="str">
        <f>VLOOKUP(Table37[[#This Row],[ACTIVITY]],TAGS!$B:$P,4,FALSE)</f>
        <v>Production related machinery &amp; equipment</v>
      </c>
      <c r="N197" s="51" t="str">
        <f>VLOOKUP(Table37[[#This Row],[ACTIVITY]],TAGS!$B:$P,5,FALSE)</f>
        <v>Production-related</v>
      </c>
      <c r="O197" s="51" t="str">
        <f>VLOOKUP(Table37[[#This Row],[ACTIVITY]],TAGS!$B:$P,6,FALSE)</f>
        <v>Tractor</v>
      </c>
      <c r="P197" s="51" t="str">
        <f>VLOOKUP(Table37[[#This Row],[ACTIVITY]],TAGS!$B:$P,7,FALSE)</f>
        <v>NO</v>
      </c>
      <c r="Q197" s="51" t="str">
        <f>VLOOKUP(Table37[[#This Row],[ACTIVITY]],TAGS!$B:$P,8,FALSE)</f>
        <v>PAP</v>
      </c>
      <c r="R197" s="51" t="str">
        <f>VLOOKUP(Table37[[#This Row],[ACTIVITY]],TAGS!$B:$P,10,FALSE)</f>
        <v>PIP</v>
      </c>
      <c r="S197" s="51" t="str">
        <f>VLOOKUP(Table37[[#This Row],[ACTIVITY]],TAGS!$B:$P,11,FALSE)</f>
        <v>PICS</v>
      </c>
      <c r="T197" s="51" t="str">
        <f>VLOOKUP(Table37[[#This Row],[ACTIVITY]],TAGS!$B:$P,12,FALSE)</f>
        <v>Modernization</v>
      </c>
      <c r="U197" s="51" t="str">
        <f>VLOOKUP(Table37[[#This Row],[ACTIVITY]],TAGS!$B:$P,13,FALSE)</f>
        <v>8. Farm Mechanization and Farm Investments</v>
      </c>
      <c r="V197" s="51" t="str">
        <f>VLOOKUP(Table37[[#This Row],[ACTIVITY]],TAGS!$B:$P,14,FALSE)</f>
        <v>MECHANIZE AND MODERNIZE AGRI-FISHERY PRODUCTION SYSTEMS</v>
      </c>
      <c r="W197" s="51" t="str">
        <f>VLOOKUP(Table37[[#This Row],[ACTIVITY]],TAGS!$B:$P,15,FALSE)</f>
        <v>Production-related</v>
      </c>
      <c r="X197" s="51" t="str">
        <f>VLOOKUP(Table37[[#This Row],[PI LEVEL 3]],'PI LEVEL'!$A:$G,7,FALSE)</f>
        <v>DA-Level Output</v>
      </c>
      <c r="Y197" s="47" t="s">
        <v>577</v>
      </c>
      <c r="Z197" s="47" t="s">
        <v>336</v>
      </c>
      <c r="AA197" s="51" t="str">
        <f>VLOOKUP(Table37[[#This Row],[MONTH]],TAGS!$W$67:$Y$81,2,FALSE)</f>
        <v>4TH QTR</v>
      </c>
      <c r="AB197" s="51" t="str">
        <f>VLOOKUP(Table37[[#This Row],[MONTH]],TAGS!$W$67:$Y$81,3,FALSE)</f>
        <v>2ND SEMESTER</v>
      </c>
      <c r="AC197" s="51">
        <f>VLOOKUP(Table37[[#This Row],[MONTH]],TAGS!$W$67:$Z$81,4,FALSE)</f>
        <v>2025</v>
      </c>
      <c r="AD197" s="47"/>
      <c r="AE197" s="47">
        <v>31000</v>
      </c>
      <c r="AF197" s="51">
        <f>SUM(Table37[[#This Row],[MOOE (Php ''000)]:[CO (Php ''000)]])</f>
        <v>31000</v>
      </c>
      <c r="AG197" s="71" t="b">
        <f>ISBLANK(Table37[[#This Row],[PRPOPOSAL/BEDS]])</f>
        <v>0</v>
      </c>
      <c r="AH197" s="71" t="b">
        <f>ISBLANK(Table37[[#This Row],[OU]])</f>
        <v>0</v>
      </c>
      <c r="AI197" s="71" t="b">
        <f>ISBLANK(Table37[[#This Row],[SPECIFIC COMMODITY]])</f>
        <v>0</v>
      </c>
      <c r="AJ197" s="71" t="b">
        <f>ISBLANK(Table37[[#This Row],[COMMODITY PREXC SUB-PROGRAM]])</f>
        <v>0</v>
      </c>
      <c r="AK197" s="71" t="b">
        <f>ISBLANK(Table37[[#This Row],[ACTIVITY]])</f>
        <v>0</v>
      </c>
      <c r="AL197" s="71" t="b">
        <f>ISBLANK(Table37[[#This Row],[TAG-GAD]])</f>
        <v>0</v>
      </c>
      <c r="AM197" s="71" t="b">
        <f>ISBLANK(Table37[[#This Row],[MONTH]])</f>
        <v>0</v>
      </c>
      <c r="AN197" s="71" t="b">
        <f>ISBLANK(Table37[[#This Row],[MOOE (Php ''000)]])</f>
        <v>1</v>
      </c>
      <c r="AO197" s="71" t="b">
        <f>ISBLANK(Table37[[#This Row],[CO (Php ''000)]])</f>
        <v>0</v>
      </c>
    </row>
    <row r="198" spans="1:41">
      <c r="A198" s="51" t="str">
        <f>VLOOKUP(Table37[[#This Row],[OU]],OU!$A$15:$B$34,2,FALSE)</f>
        <v>RFOs</v>
      </c>
      <c r="B198" s="47" t="s">
        <v>301</v>
      </c>
      <c r="C198" s="47" t="s">
        <v>574</v>
      </c>
      <c r="D198" s="47" t="s">
        <v>578</v>
      </c>
      <c r="E198" s="51" t="str">
        <f>VLOOKUP(Table37[[#This Row],[SPECIFIC COMMODITY]],TAGS!$W$48:$X$53,2,FALSE)</f>
        <v>Corn</v>
      </c>
      <c r="F198" s="51" t="str">
        <f>VLOOKUP(Table37[[#This Row],[PREXC SUB-PROGRAM]],Table5[],2,FALSE)</f>
        <v>AGRICULTURAL  MACHINERY, EQUIPMENT, FACILITIES AND INFRASTRUCTURE PROGRAM</v>
      </c>
      <c r="G198" s="51" t="str">
        <f>VLOOKUP(Table37[[#This Row],[COMMODITY PREXC SUB-PROGRAM]],TAGS!$U$54:$V$76,2,FALSE)</f>
        <v>AMEFSS</v>
      </c>
      <c r="H198" s="47" t="s">
        <v>594</v>
      </c>
      <c r="I198" s="51" t="str">
        <f>VLOOKUP(Table37[[#This Row],[PI LEVEL 3]],'PI LEVEL'!A:C,3,FALSE)</f>
        <v>Production machinery and equipment distributed</v>
      </c>
      <c r="J198" s="51" t="str">
        <f>VLOOKUP(Table37[[#This Row],[PI LEVEL 3]],Table53729[[Performance Indicator Level 3]:[Performance Indicator Level 1]],2,FALSE)</f>
        <v>Agricultural tractor distributed</v>
      </c>
      <c r="K198" s="51" t="str">
        <f>VLOOKUP(Table37[[#This Row],[ACTIVITY]],TAGS!B:P,2,FALSE)</f>
        <v>Four-Wheel Tractor Distributed</v>
      </c>
      <c r="L198" s="47" t="s">
        <v>171</v>
      </c>
      <c r="M198" s="51" t="str">
        <f>VLOOKUP(Table37[[#This Row],[ACTIVITY]],TAGS!$B:$P,4,FALSE)</f>
        <v>Production related machinery &amp; equipment</v>
      </c>
      <c r="N198" s="51" t="str">
        <f>VLOOKUP(Table37[[#This Row],[ACTIVITY]],TAGS!$B:$P,5,FALSE)</f>
        <v>Production-related</v>
      </c>
      <c r="O198" s="51" t="str">
        <f>VLOOKUP(Table37[[#This Row],[ACTIVITY]],TAGS!$B:$P,6,FALSE)</f>
        <v>Tractor</v>
      </c>
      <c r="P198" s="51" t="str">
        <f>VLOOKUP(Table37[[#This Row],[ACTIVITY]],TAGS!$B:$P,7,FALSE)</f>
        <v>NO</v>
      </c>
      <c r="Q198" s="51" t="str">
        <f>VLOOKUP(Table37[[#This Row],[ACTIVITY]],TAGS!$B:$P,8,FALSE)</f>
        <v>PAP</v>
      </c>
      <c r="R198" s="51" t="str">
        <f>VLOOKUP(Table37[[#This Row],[ACTIVITY]],TAGS!$B:$P,10,FALSE)</f>
        <v>PIP</v>
      </c>
      <c r="S198" s="51" t="str">
        <f>VLOOKUP(Table37[[#This Row],[ACTIVITY]],TAGS!$B:$P,11,FALSE)</f>
        <v>PICS</v>
      </c>
      <c r="T198" s="51" t="str">
        <f>VLOOKUP(Table37[[#This Row],[ACTIVITY]],TAGS!$B:$P,12,FALSE)</f>
        <v>Modernization</v>
      </c>
      <c r="U198" s="51" t="str">
        <f>VLOOKUP(Table37[[#This Row],[ACTIVITY]],TAGS!$B:$P,13,FALSE)</f>
        <v>8. Farm Mechanization and Farm Investments</v>
      </c>
      <c r="V198" s="51" t="str">
        <f>VLOOKUP(Table37[[#This Row],[ACTIVITY]],TAGS!$B:$P,14,FALSE)</f>
        <v>MECHANIZE AND MODERNIZE AGRI-FISHERY PRODUCTION SYSTEMS</v>
      </c>
      <c r="W198" s="51" t="str">
        <f>VLOOKUP(Table37[[#This Row],[ACTIVITY]],TAGS!$B:$P,15,FALSE)</f>
        <v>Production-related</v>
      </c>
      <c r="X198" s="51" t="str">
        <f>VLOOKUP(Table37[[#This Row],[PI LEVEL 3]],'PI LEVEL'!$A:$G,7,FALSE)</f>
        <v>DA-Level Output</v>
      </c>
      <c r="Y198" s="47" t="s">
        <v>577</v>
      </c>
      <c r="Z198" s="47" t="s">
        <v>336</v>
      </c>
      <c r="AA198" s="51" t="str">
        <f>VLOOKUP(Table37[[#This Row],[MONTH]],TAGS!$W$67:$Y$81,2,FALSE)</f>
        <v>4TH QTR</v>
      </c>
      <c r="AB198" s="51" t="str">
        <f>VLOOKUP(Table37[[#This Row],[MONTH]],TAGS!$W$67:$Y$81,3,FALSE)</f>
        <v>2ND SEMESTER</v>
      </c>
      <c r="AC198" s="51">
        <f>VLOOKUP(Table37[[#This Row],[MONTH]],TAGS!$W$67:$Z$81,4,FALSE)</f>
        <v>2025</v>
      </c>
      <c r="AD198" s="47"/>
      <c r="AE198" s="47">
        <v>5000</v>
      </c>
      <c r="AF198" s="51">
        <f>SUM(Table37[[#This Row],[MOOE (Php ''000)]:[CO (Php ''000)]])</f>
        <v>5000</v>
      </c>
      <c r="AG198" s="71" t="b">
        <f>ISBLANK(Table37[[#This Row],[PRPOPOSAL/BEDS]])</f>
        <v>0</v>
      </c>
      <c r="AH198" s="71" t="b">
        <f>ISBLANK(Table37[[#This Row],[OU]])</f>
        <v>0</v>
      </c>
      <c r="AI198" s="71" t="b">
        <f>ISBLANK(Table37[[#This Row],[SPECIFIC COMMODITY]])</f>
        <v>0</v>
      </c>
      <c r="AJ198" s="71" t="b">
        <f>ISBLANK(Table37[[#This Row],[COMMODITY PREXC SUB-PROGRAM]])</f>
        <v>0</v>
      </c>
      <c r="AK198" s="71" t="b">
        <f>ISBLANK(Table37[[#This Row],[ACTIVITY]])</f>
        <v>0</v>
      </c>
      <c r="AL198" s="71" t="b">
        <f>ISBLANK(Table37[[#This Row],[TAG-GAD]])</f>
        <v>0</v>
      </c>
      <c r="AM198" s="71" t="b">
        <f>ISBLANK(Table37[[#This Row],[MONTH]])</f>
        <v>0</v>
      </c>
      <c r="AN198" s="71" t="b">
        <f>ISBLANK(Table37[[#This Row],[MOOE (Php ''000)]])</f>
        <v>1</v>
      </c>
      <c r="AO198" s="71" t="b">
        <f>ISBLANK(Table37[[#This Row],[CO (Php ''000)]])</f>
        <v>0</v>
      </c>
    </row>
    <row r="199" spans="1:41">
      <c r="A199" s="51" t="str">
        <f>VLOOKUP(Table37[[#This Row],[OU]],OU!$A$15:$B$34,2,FALSE)</f>
        <v>RFOs</v>
      </c>
      <c r="B199" s="47" t="s">
        <v>301</v>
      </c>
      <c r="C199" s="47" t="s">
        <v>574</v>
      </c>
      <c r="D199" s="47" t="s">
        <v>578</v>
      </c>
      <c r="E199" s="51" t="str">
        <f>VLOOKUP(Table37[[#This Row],[SPECIFIC COMMODITY]],TAGS!$W$48:$X$53,2,FALSE)</f>
        <v>Corn</v>
      </c>
      <c r="F199" s="51" t="str">
        <f>VLOOKUP(Table37[[#This Row],[PREXC SUB-PROGRAM]],Table5[],2,FALSE)</f>
        <v>AGRICULTURAL  MACHINERY, EQUIPMENT, FACILITIES AND INFRASTRUCTURE PROGRAM</v>
      </c>
      <c r="G199" s="51" t="str">
        <f>VLOOKUP(Table37[[#This Row],[COMMODITY PREXC SUB-PROGRAM]],TAGS!$U$54:$V$76,2,FALSE)</f>
        <v>AMEFSS</v>
      </c>
      <c r="H199" s="47" t="s">
        <v>594</v>
      </c>
      <c r="I199" s="51" t="str">
        <f>VLOOKUP(Table37[[#This Row],[PI LEVEL 3]],'PI LEVEL'!A:C,3,FALSE)</f>
        <v>Production machinery and equipment distributed</v>
      </c>
      <c r="J199" s="51" t="str">
        <f>VLOOKUP(Table37[[#This Row],[PI LEVEL 3]],Table53729[[Performance Indicator Level 3]:[Performance Indicator Level 1]],2,FALSE)</f>
        <v>Seeding machinery and equipment distributed</v>
      </c>
      <c r="K199" s="51" t="str">
        <f>VLOOKUP(Table37[[#This Row],[ACTIVITY]],TAGS!B:P,2,FALSE)</f>
        <v>Seeder distributed</v>
      </c>
      <c r="L199" s="47" t="s">
        <v>173</v>
      </c>
      <c r="M199" s="51" t="str">
        <f>VLOOKUP(Table37[[#This Row],[ACTIVITY]],TAGS!$B:$P,4,FALSE)</f>
        <v>Production related machinery &amp; equipment</v>
      </c>
      <c r="N199" s="51" t="str">
        <f>VLOOKUP(Table37[[#This Row],[ACTIVITY]],TAGS!$B:$P,5,FALSE)</f>
        <v>Production-related</v>
      </c>
      <c r="O199" s="51" t="str">
        <f>VLOOKUP(Table37[[#This Row],[ACTIVITY]],TAGS!$B:$P,6,FALSE)</f>
        <v>Corn Seeder</v>
      </c>
      <c r="P199" s="51" t="str">
        <f>VLOOKUP(Table37[[#This Row],[ACTIVITY]],TAGS!$B:$P,7,FALSE)</f>
        <v>NO</v>
      </c>
      <c r="Q199" s="51" t="str">
        <f>VLOOKUP(Table37[[#This Row],[ACTIVITY]],TAGS!$B:$P,8,FALSE)</f>
        <v>PAP</v>
      </c>
      <c r="R199" s="51" t="str">
        <f>VLOOKUP(Table37[[#This Row],[ACTIVITY]],TAGS!$B:$P,10,FALSE)</f>
        <v>PIP</v>
      </c>
      <c r="S199" s="51" t="str">
        <f>VLOOKUP(Table37[[#This Row],[ACTIVITY]],TAGS!$B:$P,11,FALSE)</f>
        <v>PICS</v>
      </c>
      <c r="T199" s="51" t="str">
        <f>VLOOKUP(Table37[[#This Row],[ACTIVITY]],TAGS!$B:$P,12,FALSE)</f>
        <v>Modernization</v>
      </c>
      <c r="U199" s="51" t="str">
        <f>VLOOKUP(Table37[[#This Row],[ACTIVITY]],TAGS!$B:$P,13,FALSE)</f>
        <v>8. Farm Mechanization and Farm Investments</v>
      </c>
      <c r="V199" s="51" t="str">
        <f>VLOOKUP(Table37[[#This Row],[ACTIVITY]],TAGS!$B:$P,14,FALSE)</f>
        <v>MECHANIZE AND MODERNIZE AGRI-FISHERY PRODUCTION SYSTEMS</v>
      </c>
      <c r="W199" s="51" t="str">
        <f>VLOOKUP(Table37[[#This Row],[ACTIVITY]],TAGS!$B:$P,15,FALSE)</f>
        <v>Production-related</v>
      </c>
      <c r="X199" s="51" t="str">
        <f>VLOOKUP(Table37[[#This Row],[PI LEVEL 3]],'PI LEVEL'!$A:$G,7,FALSE)</f>
        <v>DA-Level Output</v>
      </c>
      <c r="Y199" s="47" t="s">
        <v>577</v>
      </c>
      <c r="Z199" s="47" t="s">
        <v>335</v>
      </c>
      <c r="AA199" s="51" t="str">
        <f>VLOOKUP(Table37[[#This Row],[MONTH]],TAGS!$W$67:$Y$81,2,FALSE)</f>
        <v>3RD QTR</v>
      </c>
      <c r="AB199" s="51" t="str">
        <f>VLOOKUP(Table37[[#This Row],[MONTH]],TAGS!$W$67:$Y$81,3,FALSE)</f>
        <v>2ND SEMESTER</v>
      </c>
      <c r="AC199" s="51">
        <f>VLOOKUP(Table37[[#This Row],[MONTH]],TAGS!$W$67:$Z$81,4,FALSE)</f>
        <v>2025</v>
      </c>
      <c r="AD199" s="47"/>
      <c r="AE199" s="47">
        <v>2400</v>
      </c>
      <c r="AF199" s="51">
        <f>SUM(Table37[[#This Row],[MOOE (Php ''000)]:[CO (Php ''000)]])</f>
        <v>2400</v>
      </c>
      <c r="AG199" s="71" t="b">
        <f>ISBLANK(Table37[[#This Row],[PRPOPOSAL/BEDS]])</f>
        <v>0</v>
      </c>
      <c r="AH199" s="71" t="b">
        <f>ISBLANK(Table37[[#This Row],[OU]])</f>
        <v>0</v>
      </c>
      <c r="AI199" s="71" t="b">
        <f>ISBLANK(Table37[[#This Row],[SPECIFIC COMMODITY]])</f>
        <v>0</v>
      </c>
      <c r="AJ199" s="71" t="b">
        <f>ISBLANK(Table37[[#This Row],[COMMODITY PREXC SUB-PROGRAM]])</f>
        <v>0</v>
      </c>
      <c r="AK199" s="71" t="b">
        <f>ISBLANK(Table37[[#This Row],[ACTIVITY]])</f>
        <v>0</v>
      </c>
      <c r="AL199" s="71" t="b">
        <f>ISBLANK(Table37[[#This Row],[TAG-GAD]])</f>
        <v>0</v>
      </c>
      <c r="AM199" s="71" t="b">
        <f>ISBLANK(Table37[[#This Row],[MONTH]])</f>
        <v>0</v>
      </c>
      <c r="AN199" s="71" t="b">
        <f>ISBLANK(Table37[[#This Row],[MOOE (Php ''000)]])</f>
        <v>1</v>
      </c>
      <c r="AO199" s="71" t="b">
        <f>ISBLANK(Table37[[#This Row],[CO (Php ''000)]])</f>
        <v>0</v>
      </c>
    </row>
    <row r="200" spans="1:41">
      <c r="A200" s="51" t="str">
        <f>VLOOKUP(Table37[[#This Row],[OU]],OU!$A$15:$B$34,2,FALSE)</f>
        <v>RFOs</v>
      </c>
      <c r="B200" s="47" t="s">
        <v>301</v>
      </c>
      <c r="C200" s="47" t="s">
        <v>574</v>
      </c>
      <c r="D200" s="47" t="s">
        <v>578</v>
      </c>
      <c r="E200" s="51" t="str">
        <f>VLOOKUP(Table37[[#This Row],[SPECIFIC COMMODITY]],TAGS!$W$48:$X$53,2,FALSE)</f>
        <v>Corn</v>
      </c>
      <c r="F200" s="51" t="str">
        <f>VLOOKUP(Table37[[#This Row],[PREXC SUB-PROGRAM]],Table5[],2,FALSE)</f>
        <v>AGRICULTURAL  MACHINERY, EQUIPMENT, FACILITIES AND INFRASTRUCTURE PROGRAM</v>
      </c>
      <c r="G200" s="51" t="str">
        <f>VLOOKUP(Table37[[#This Row],[COMMODITY PREXC SUB-PROGRAM]],TAGS!$U$54:$V$76,2,FALSE)</f>
        <v>AMEFSS</v>
      </c>
      <c r="H200" s="47" t="s">
        <v>594</v>
      </c>
      <c r="I200" s="51" t="str">
        <f>VLOOKUP(Table37[[#This Row],[PI LEVEL 3]],'PI LEVEL'!A:C,3,FALSE)</f>
        <v>Production machinery and equipment distributed</v>
      </c>
      <c r="J200" s="51" t="str">
        <f>VLOOKUP(Table37[[#This Row],[PI LEVEL 3]],Table53729[[Performance Indicator Level 3]:[Performance Indicator Level 1]],2,FALSE)</f>
        <v>Seeding machinery and equipment distributed</v>
      </c>
      <c r="K200" s="51" t="str">
        <f>VLOOKUP(Table37[[#This Row],[ACTIVITY]],TAGS!B:P,2,FALSE)</f>
        <v>Seeder distributed</v>
      </c>
      <c r="L200" s="47" t="s">
        <v>175</v>
      </c>
      <c r="M200" s="51" t="str">
        <f>VLOOKUP(Table37[[#This Row],[ACTIVITY]],TAGS!$B:$P,4,FALSE)</f>
        <v>Production related machinery &amp; equipment</v>
      </c>
      <c r="N200" s="51" t="str">
        <f>VLOOKUP(Table37[[#This Row],[ACTIVITY]],TAGS!$B:$P,5,FALSE)</f>
        <v>Production-related</v>
      </c>
      <c r="O200" s="51" t="str">
        <f>VLOOKUP(Table37[[#This Row],[ACTIVITY]],TAGS!$B:$P,6,FALSE)</f>
        <v>Corn Seeder</v>
      </c>
      <c r="P200" s="51" t="str">
        <f>VLOOKUP(Table37[[#This Row],[ACTIVITY]],TAGS!$B:$P,7,FALSE)</f>
        <v>NO</v>
      </c>
      <c r="Q200" s="51" t="str">
        <f>VLOOKUP(Table37[[#This Row],[ACTIVITY]],TAGS!$B:$P,8,FALSE)</f>
        <v>PAP</v>
      </c>
      <c r="R200" s="51" t="str">
        <f>VLOOKUP(Table37[[#This Row],[ACTIVITY]],TAGS!$B:$P,10,FALSE)</f>
        <v>PIP</v>
      </c>
      <c r="S200" s="51" t="str">
        <f>VLOOKUP(Table37[[#This Row],[ACTIVITY]],TAGS!$B:$P,11,FALSE)</f>
        <v>PICS</v>
      </c>
      <c r="T200" s="51" t="str">
        <f>VLOOKUP(Table37[[#This Row],[ACTIVITY]],TAGS!$B:$P,12,FALSE)</f>
        <v>Modernization</v>
      </c>
      <c r="U200" s="51" t="str">
        <f>VLOOKUP(Table37[[#This Row],[ACTIVITY]],TAGS!$B:$P,13,FALSE)</f>
        <v>8. Farm Mechanization and Farm Investments</v>
      </c>
      <c r="V200" s="51" t="str">
        <f>VLOOKUP(Table37[[#This Row],[ACTIVITY]],TAGS!$B:$P,14,FALSE)</f>
        <v>MECHANIZE AND MODERNIZE AGRI-FISHERY PRODUCTION SYSTEMS</v>
      </c>
      <c r="W200" s="51" t="str">
        <f>VLOOKUP(Table37[[#This Row],[ACTIVITY]],TAGS!$B:$P,15,FALSE)</f>
        <v>Production-related</v>
      </c>
      <c r="X200" s="51" t="str">
        <f>VLOOKUP(Table37[[#This Row],[PI LEVEL 3]],'PI LEVEL'!$A:$G,7,FALSE)</f>
        <v>DA-Level Output</v>
      </c>
      <c r="Y200" s="47" t="s">
        <v>577</v>
      </c>
      <c r="Z200" s="47" t="s">
        <v>335</v>
      </c>
      <c r="AA200" s="51" t="str">
        <f>VLOOKUP(Table37[[#This Row],[MONTH]],TAGS!$W$67:$Y$81,2,FALSE)</f>
        <v>3RD QTR</v>
      </c>
      <c r="AB200" s="51" t="str">
        <f>VLOOKUP(Table37[[#This Row],[MONTH]],TAGS!$W$67:$Y$81,3,FALSE)</f>
        <v>2ND SEMESTER</v>
      </c>
      <c r="AC200" s="51">
        <f>VLOOKUP(Table37[[#This Row],[MONTH]],TAGS!$W$67:$Z$81,4,FALSE)</f>
        <v>2025</v>
      </c>
      <c r="AD200" s="47"/>
      <c r="AE200" s="47">
        <v>2000</v>
      </c>
      <c r="AF200" s="51">
        <f>SUM(Table37[[#This Row],[MOOE (Php ''000)]:[CO (Php ''000)]])</f>
        <v>2000</v>
      </c>
      <c r="AG200" s="71" t="b">
        <f>ISBLANK(Table37[[#This Row],[PRPOPOSAL/BEDS]])</f>
        <v>0</v>
      </c>
      <c r="AH200" s="71" t="b">
        <f>ISBLANK(Table37[[#This Row],[OU]])</f>
        <v>0</v>
      </c>
      <c r="AI200" s="71" t="b">
        <f>ISBLANK(Table37[[#This Row],[SPECIFIC COMMODITY]])</f>
        <v>0</v>
      </c>
      <c r="AJ200" s="71" t="b">
        <f>ISBLANK(Table37[[#This Row],[COMMODITY PREXC SUB-PROGRAM]])</f>
        <v>0</v>
      </c>
      <c r="AK200" s="71" t="b">
        <f>ISBLANK(Table37[[#This Row],[ACTIVITY]])</f>
        <v>0</v>
      </c>
      <c r="AL200" s="71" t="b">
        <f>ISBLANK(Table37[[#This Row],[TAG-GAD]])</f>
        <v>0</v>
      </c>
      <c r="AM200" s="71" t="b">
        <f>ISBLANK(Table37[[#This Row],[MONTH]])</f>
        <v>0</v>
      </c>
      <c r="AN200" s="71" t="b">
        <f>ISBLANK(Table37[[#This Row],[MOOE (Php ''000)]])</f>
        <v>1</v>
      </c>
      <c r="AO200" s="71" t="b">
        <f>ISBLANK(Table37[[#This Row],[CO (Php ''000)]])</f>
        <v>0</v>
      </c>
    </row>
    <row r="201" spans="1:41">
      <c r="A201" s="51" t="str">
        <f>VLOOKUP(Table37[[#This Row],[OU]],OU!$A$15:$B$34,2,FALSE)</f>
        <v>RFOs</v>
      </c>
      <c r="B201" s="47" t="s">
        <v>301</v>
      </c>
      <c r="C201" s="47" t="s">
        <v>574</v>
      </c>
      <c r="D201" s="47" t="s">
        <v>578</v>
      </c>
      <c r="E201" s="51" t="str">
        <f>VLOOKUP(Table37[[#This Row],[SPECIFIC COMMODITY]],TAGS!$W$48:$X$53,2,FALSE)</f>
        <v>Corn</v>
      </c>
      <c r="F201" s="51" t="str">
        <f>VLOOKUP(Table37[[#This Row],[PREXC SUB-PROGRAM]],Table5[],2,FALSE)</f>
        <v>AGRICULTURAL  MACHINERY, EQUIPMENT, FACILITIES AND INFRASTRUCTURE PROGRAM</v>
      </c>
      <c r="G201" s="51" t="str">
        <f>VLOOKUP(Table37[[#This Row],[COMMODITY PREXC SUB-PROGRAM]],TAGS!$U$54:$V$76,2,FALSE)</f>
        <v>AMEFSS</v>
      </c>
      <c r="H201" s="47" t="s">
        <v>594</v>
      </c>
      <c r="I201" s="51" t="str">
        <f>VLOOKUP(Table37[[#This Row],[PI LEVEL 3]],'PI LEVEL'!A:C,3,FALSE)</f>
        <v>Production machinery and equipment distributed</v>
      </c>
      <c r="J201" s="51" t="str">
        <f>VLOOKUP(Table37[[#This Row],[PI LEVEL 3]],Table53729[[Performance Indicator Level 3]:[Performance Indicator Level 1]],2,FALSE)</f>
        <v>Seeding machinery and equipment distributed</v>
      </c>
      <c r="K201" s="51" t="str">
        <f>VLOOKUP(Table37[[#This Row],[ACTIVITY]],TAGS!B:P,2,FALSE)</f>
        <v>Seeder distributed</v>
      </c>
      <c r="L201" s="47" t="s">
        <v>179</v>
      </c>
      <c r="M201" s="51" t="str">
        <f>VLOOKUP(Table37[[#This Row],[ACTIVITY]],TAGS!$B:$P,4,FALSE)</f>
        <v>Production related machinery &amp; equipment</v>
      </c>
      <c r="N201" s="51" t="str">
        <f>VLOOKUP(Table37[[#This Row],[ACTIVITY]],TAGS!$B:$P,5,FALSE)</f>
        <v>Production-related</v>
      </c>
      <c r="O201" s="51" t="str">
        <f>VLOOKUP(Table37[[#This Row],[ACTIVITY]],TAGS!$B:$P,6,FALSE)</f>
        <v>Corn Seeder</v>
      </c>
      <c r="P201" s="51" t="str">
        <f>VLOOKUP(Table37[[#This Row],[ACTIVITY]],TAGS!$B:$P,7,FALSE)</f>
        <v>NO</v>
      </c>
      <c r="Q201" s="51" t="str">
        <f>VLOOKUP(Table37[[#This Row],[ACTIVITY]],TAGS!$B:$P,8,FALSE)</f>
        <v>PAP</v>
      </c>
      <c r="R201" s="51" t="str">
        <f>VLOOKUP(Table37[[#This Row],[ACTIVITY]],TAGS!$B:$P,10,FALSE)</f>
        <v>PIP</v>
      </c>
      <c r="S201" s="51" t="str">
        <f>VLOOKUP(Table37[[#This Row],[ACTIVITY]],TAGS!$B:$P,11,FALSE)</f>
        <v>PICS</v>
      </c>
      <c r="T201" s="51" t="str">
        <f>VLOOKUP(Table37[[#This Row],[ACTIVITY]],TAGS!$B:$P,12,FALSE)</f>
        <v>Modernization</v>
      </c>
      <c r="U201" s="51" t="str">
        <f>VLOOKUP(Table37[[#This Row],[ACTIVITY]],TAGS!$B:$P,13,FALSE)</f>
        <v>8. Farm Mechanization and Farm Investments</v>
      </c>
      <c r="V201" s="51" t="str">
        <f>VLOOKUP(Table37[[#This Row],[ACTIVITY]],TAGS!$B:$P,14,FALSE)</f>
        <v>MECHANIZE AND MODERNIZE AGRI-FISHERY PRODUCTION SYSTEMS</v>
      </c>
      <c r="W201" s="51" t="str">
        <f>VLOOKUP(Table37[[#This Row],[ACTIVITY]],TAGS!$B:$P,15,FALSE)</f>
        <v>Production-related</v>
      </c>
      <c r="X201" s="51" t="str">
        <f>VLOOKUP(Table37[[#This Row],[PI LEVEL 3]],'PI LEVEL'!$A:$G,7,FALSE)</f>
        <v>DA-Level Output</v>
      </c>
      <c r="Y201" s="47" t="s">
        <v>577</v>
      </c>
      <c r="Z201" s="47" t="s">
        <v>335</v>
      </c>
      <c r="AA201" s="51" t="str">
        <f>VLOOKUP(Table37[[#This Row],[MONTH]],TAGS!$W$67:$Y$81,2,FALSE)</f>
        <v>3RD QTR</v>
      </c>
      <c r="AB201" s="51" t="str">
        <f>VLOOKUP(Table37[[#This Row],[MONTH]],TAGS!$W$67:$Y$81,3,FALSE)</f>
        <v>2ND SEMESTER</v>
      </c>
      <c r="AC201" s="51">
        <f>VLOOKUP(Table37[[#This Row],[MONTH]],TAGS!$W$67:$Z$81,4,FALSE)</f>
        <v>2025</v>
      </c>
      <c r="AD201" s="47"/>
      <c r="AE201" s="47">
        <v>1800</v>
      </c>
      <c r="AF201" s="51">
        <f>SUM(Table37[[#This Row],[MOOE (Php ''000)]:[CO (Php ''000)]])</f>
        <v>1800</v>
      </c>
      <c r="AG201" s="71" t="b">
        <f>ISBLANK(Table37[[#This Row],[PRPOPOSAL/BEDS]])</f>
        <v>0</v>
      </c>
      <c r="AH201" s="71" t="b">
        <f>ISBLANK(Table37[[#This Row],[OU]])</f>
        <v>0</v>
      </c>
      <c r="AI201" s="71" t="b">
        <f>ISBLANK(Table37[[#This Row],[SPECIFIC COMMODITY]])</f>
        <v>0</v>
      </c>
      <c r="AJ201" s="71" t="b">
        <f>ISBLANK(Table37[[#This Row],[COMMODITY PREXC SUB-PROGRAM]])</f>
        <v>0</v>
      </c>
      <c r="AK201" s="71" t="b">
        <f>ISBLANK(Table37[[#This Row],[ACTIVITY]])</f>
        <v>0</v>
      </c>
      <c r="AL201" s="71" t="b">
        <f>ISBLANK(Table37[[#This Row],[TAG-GAD]])</f>
        <v>0</v>
      </c>
      <c r="AM201" s="71" t="b">
        <f>ISBLANK(Table37[[#This Row],[MONTH]])</f>
        <v>0</v>
      </c>
      <c r="AN201" s="71" t="b">
        <f>ISBLANK(Table37[[#This Row],[MOOE (Php ''000)]])</f>
        <v>1</v>
      </c>
      <c r="AO201" s="71" t="b">
        <f>ISBLANK(Table37[[#This Row],[CO (Php ''000)]])</f>
        <v>0</v>
      </c>
    </row>
    <row r="202" spans="1:41">
      <c r="A202" s="51" t="str">
        <f>VLOOKUP(Table37[[#This Row],[OU]],OU!$A$15:$B$34,2,FALSE)</f>
        <v>RFOs</v>
      </c>
      <c r="B202" s="47" t="s">
        <v>301</v>
      </c>
      <c r="C202" s="47" t="s">
        <v>574</v>
      </c>
      <c r="D202" s="47" t="s">
        <v>578</v>
      </c>
      <c r="E202" s="51" t="str">
        <f>VLOOKUP(Table37[[#This Row],[SPECIFIC COMMODITY]],TAGS!$W$48:$X$53,2,FALSE)</f>
        <v>Corn</v>
      </c>
      <c r="F202" s="51" t="str">
        <f>VLOOKUP(Table37[[#This Row],[PREXC SUB-PROGRAM]],Table5[],2,FALSE)</f>
        <v>AGRICULTURAL  MACHINERY, EQUIPMENT, FACILITIES AND INFRASTRUCTURE PROGRAM</v>
      </c>
      <c r="G202" s="51" t="str">
        <f>VLOOKUP(Table37[[#This Row],[COMMODITY PREXC SUB-PROGRAM]],TAGS!$U$54:$V$76,2,FALSE)</f>
        <v>AMEFSS</v>
      </c>
      <c r="H202" s="47" t="s">
        <v>594</v>
      </c>
      <c r="I202" s="51" t="str">
        <f>VLOOKUP(Table37[[#This Row],[PI LEVEL 3]],'PI LEVEL'!A:C,3,FALSE)</f>
        <v>Production machinery and equipment distributed</v>
      </c>
      <c r="J202" s="51" t="str">
        <f>VLOOKUP(Table37[[#This Row],[PI LEVEL 3]],Table53729[[Performance Indicator Level 3]:[Performance Indicator Level 1]],2,FALSE)</f>
        <v>Seeding machinery and equipment distributed</v>
      </c>
      <c r="K202" s="51" t="str">
        <f>VLOOKUP(Table37[[#This Row],[ACTIVITY]],TAGS!B:P,2,FALSE)</f>
        <v>Seeder distributed</v>
      </c>
      <c r="L202" s="47" t="s">
        <v>177</v>
      </c>
      <c r="M202" s="51" t="str">
        <f>VLOOKUP(Table37[[#This Row],[ACTIVITY]],TAGS!$B:$P,4,FALSE)</f>
        <v>Production related machinery &amp; equipment</v>
      </c>
      <c r="N202" s="51" t="str">
        <f>VLOOKUP(Table37[[#This Row],[ACTIVITY]],TAGS!$B:$P,5,FALSE)</f>
        <v>Production-related</v>
      </c>
      <c r="O202" s="51" t="str">
        <f>VLOOKUP(Table37[[#This Row],[ACTIVITY]],TAGS!$B:$P,6,FALSE)</f>
        <v>Corn Seeder</v>
      </c>
      <c r="P202" s="51" t="str">
        <f>VLOOKUP(Table37[[#This Row],[ACTIVITY]],TAGS!$B:$P,7,FALSE)</f>
        <v>NO</v>
      </c>
      <c r="Q202" s="51" t="str">
        <f>VLOOKUP(Table37[[#This Row],[ACTIVITY]],TAGS!$B:$P,8,FALSE)</f>
        <v>PAP</v>
      </c>
      <c r="R202" s="51" t="str">
        <f>VLOOKUP(Table37[[#This Row],[ACTIVITY]],TAGS!$B:$P,10,FALSE)</f>
        <v>PIP</v>
      </c>
      <c r="S202" s="51" t="str">
        <f>VLOOKUP(Table37[[#This Row],[ACTIVITY]],TAGS!$B:$P,11,FALSE)</f>
        <v>PICS</v>
      </c>
      <c r="T202" s="51" t="str">
        <f>VLOOKUP(Table37[[#This Row],[ACTIVITY]],TAGS!$B:$P,12,FALSE)</f>
        <v>Modernization</v>
      </c>
      <c r="U202" s="51" t="str">
        <f>VLOOKUP(Table37[[#This Row],[ACTIVITY]],TAGS!$B:$P,13,FALSE)</f>
        <v>8. Farm Mechanization and Farm Investments</v>
      </c>
      <c r="V202" s="51" t="str">
        <f>VLOOKUP(Table37[[#This Row],[ACTIVITY]],TAGS!$B:$P,14,FALSE)</f>
        <v>MECHANIZE AND MODERNIZE AGRI-FISHERY PRODUCTION SYSTEMS</v>
      </c>
      <c r="W202" s="51" t="str">
        <f>VLOOKUP(Table37[[#This Row],[ACTIVITY]],TAGS!$B:$P,15,FALSE)</f>
        <v>Production-related</v>
      </c>
      <c r="X202" s="51" t="str">
        <f>VLOOKUP(Table37[[#This Row],[PI LEVEL 3]],'PI LEVEL'!$A:$G,7,FALSE)</f>
        <v>DA-Level Output</v>
      </c>
      <c r="Y202" s="47" t="s">
        <v>577</v>
      </c>
      <c r="Z202" s="47" t="s">
        <v>335</v>
      </c>
      <c r="AA202" s="51" t="str">
        <f>VLOOKUP(Table37[[#This Row],[MONTH]],TAGS!$W$67:$Y$81,2,FALSE)</f>
        <v>3RD QTR</v>
      </c>
      <c r="AB202" s="51" t="str">
        <f>VLOOKUP(Table37[[#This Row],[MONTH]],TAGS!$W$67:$Y$81,3,FALSE)</f>
        <v>2ND SEMESTER</v>
      </c>
      <c r="AC202" s="51">
        <f>VLOOKUP(Table37[[#This Row],[MONTH]],TAGS!$W$67:$Z$81,4,FALSE)</f>
        <v>2025</v>
      </c>
      <c r="AD202" s="47"/>
      <c r="AE202" s="47">
        <v>15000</v>
      </c>
      <c r="AF202" s="51">
        <f>SUM(Table37[[#This Row],[MOOE (Php ''000)]:[CO (Php ''000)]])</f>
        <v>15000</v>
      </c>
      <c r="AG202" s="71" t="b">
        <f>ISBLANK(Table37[[#This Row],[PRPOPOSAL/BEDS]])</f>
        <v>0</v>
      </c>
      <c r="AH202" s="71" t="b">
        <f>ISBLANK(Table37[[#This Row],[OU]])</f>
        <v>0</v>
      </c>
      <c r="AI202" s="71" t="b">
        <f>ISBLANK(Table37[[#This Row],[SPECIFIC COMMODITY]])</f>
        <v>0</v>
      </c>
      <c r="AJ202" s="71" t="b">
        <f>ISBLANK(Table37[[#This Row],[COMMODITY PREXC SUB-PROGRAM]])</f>
        <v>0</v>
      </c>
      <c r="AK202" s="71" t="b">
        <f>ISBLANK(Table37[[#This Row],[ACTIVITY]])</f>
        <v>0</v>
      </c>
      <c r="AL202" s="71" t="b">
        <f>ISBLANK(Table37[[#This Row],[TAG-GAD]])</f>
        <v>0</v>
      </c>
      <c r="AM202" s="71" t="b">
        <f>ISBLANK(Table37[[#This Row],[MONTH]])</f>
        <v>0</v>
      </c>
      <c r="AN202" s="71" t="b">
        <f>ISBLANK(Table37[[#This Row],[MOOE (Php ''000)]])</f>
        <v>1</v>
      </c>
      <c r="AO202" s="71" t="b">
        <f>ISBLANK(Table37[[#This Row],[CO (Php ''000)]])</f>
        <v>0</v>
      </c>
    </row>
    <row r="203" spans="1:41">
      <c r="A203" s="51" t="str">
        <f>VLOOKUP(Table37[[#This Row],[OU]],OU!$A$15:$B$34,2,FALSE)</f>
        <v>RFOs</v>
      </c>
      <c r="B203" s="47" t="s">
        <v>301</v>
      </c>
      <c r="C203" s="47" t="s">
        <v>574</v>
      </c>
      <c r="D203" s="47" t="s">
        <v>578</v>
      </c>
      <c r="E203" s="51" t="str">
        <f>VLOOKUP(Table37[[#This Row],[SPECIFIC COMMODITY]],TAGS!$W$48:$X$53,2,FALSE)</f>
        <v>Corn</v>
      </c>
      <c r="F203" s="51" t="str">
        <f>VLOOKUP(Table37[[#This Row],[PREXC SUB-PROGRAM]],Table5[],2,FALSE)</f>
        <v>AGRICULTURAL  MACHINERY, EQUIPMENT, FACILITIES AND INFRASTRUCTURE PROGRAM</v>
      </c>
      <c r="G203" s="51" t="str">
        <f>VLOOKUP(Table37[[#This Row],[COMMODITY PREXC SUB-PROGRAM]],TAGS!$U$54:$V$76,2,FALSE)</f>
        <v>AMEFSS</v>
      </c>
      <c r="H203" s="47" t="s">
        <v>594</v>
      </c>
      <c r="I203" s="51" t="str">
        <f>VLOOKUP(Table37[[#This Row],[PI LEVEL 3]],'PI LEVEL'!A:C,3,FALSE)</f>
        <v>Production machinery and equipment distributed</v>
      </c>
      <c r="J203" s="51" t="str">
        <f>VLOOKUP(Table37[[#This Row],[PI LEVEL 3]],Table53729[[Performance Indicator Level 3]:[Performance Indicator Level 1]],2,FALSE)</f>
        <v>Crop harvesting machinery and equipment distributed</v>
      </c>
      <c r="K203" s="51" t="str">
        <f>VLOOKUP(Table37[[#This Row],[ACTIVITY]],TAGS!B:P,2,FALSE)</f>
        <v>Combine Harvester distributed</v>
      </c>
      <c r="L203" s="47" t="s">
        <v>181</v>
      </c>
      <c r="M203" s="51" t="str">
        <f>VLOOKUP(Table37[[#This Row],[ACTIVITY]],TAGS!$B:$P,4,FALSE)</f>
        <v>Production related machinery &amp; equipment</v>
      </c>
      <c r="N203" s="51" t="str">
        <f>VLOOKUP(Table37[[#This Row],[ACTIVITY]],TAGS!$B:$P,5,FALSE)</f>
        <v>Production-related</v>
      </c>
      <c r="O203" s="51" t="str">
        <f>VLOOKUP(Table37[[#This Row],[ACTIVITY]],TAGS!$B:$P,6,FALSE)</f>
        <v>Combine Harvester</v>
      </c>
      <c r="P203" s="51" t="str">
        <f>VLOOKUP(Table37[[#This Row],[ACTIVITY]],TAGS!$B:$P,7,FALSE)</f>
        <v>NO</v>
      </c>
      <c r="Q203" s="51" t="str">
        <f>VLOOKUP(Table37[[#This Row],[ACTIVITY]],TAGS!$B:$P,8,FALSE)</f>
        <v>PAP</v>
      </c>
      <c r="R203" s="51" t="str">
        <f>VLOOKUP(Table37[[#This Row],[ACTIVITY]],TAGS!$B:$P,10,FALSE)</f>
        <v>PIP</v>
      </c>
      <c r="S203" s="51" t="str">
        <f>VLOOKUP(Table37[[#This Row],[ACTIVITY]],TAGS!$B:$P,11,FALSE)</f>
        <v>PICS</v>
      </c>
      <c r="T203" s="51" t="str">
        <f>VLOOKUP(Table37[[#This Row],[ACTIVITY]],TAGS!$B:$P,12,FALSE)</f>
        <v>Modernization</v>
      </c>
      <c r="U203" s="51" t="str">
        <f>VLOOKUP(Table37[[#This Row],[ACTIVITY]],TAGS!$B:$P,13,FALSE)</f>
        <v>8. Farm Mechanization and Farm Investments</v>
      </c>
      <c r="V203" s="51" t="str">
        <f>VLOOKUP(Table37[[#This Row],[ACTIVITY]],TAGS!$B:$P,14,FALSE)</f>
        <v>MECHANIZE AND MODERNIZE AGRI-FISHERY PRODUCTION SYSTEMS</v>
      </c>
      <c r="W203" s="51" t="str">
        <f>VLOOKUP(Table37[[#This Row],[ACTIVITY]],TAGS!$B:$P,15,FALSE)</f>
        <v>Production-related</v>
      </c>
      <c r="X203" s="51" t="str">
        <f>VLOOKUP(Table37[[#This Row],[PI LEVEL 3]],'PI LEVEL'!$A:$G,7,FALSE)</f>
        <v>DA-Level Output</v>
      </c>
      <c r="Y203" s="47" t="s">
        <v>577</v>
      </c>
      <c r="Z203" s="47" t="s">
        <v>336</v>
      </c>
      <c r="AA203" s="51" t="str">
        <f>VLOOKUP(Table37[[#This Row],[MONTH]],TAGS!$W$67:$Y$81,2,FALSE)</f>
        <v>4TH QTR</v>
      </c>
      <c r="AB203" s="51" t="str">
        <f>VLOOKUP(Table37[[#This Row],[MONTH]],TAGS!$W$67:$Y$81,3,FALSE)</f>
        <v>2ND SEMESTER</v>
      </c>
      <c r="AC203" s="51">
        <f>VLOOKUP(Table37[[#This Row],[MONTH]],TAGS!$W$67:$Z$81,4,FALSE)</f>
        <v>2025</v>
      </c>
      <c r="AD203" s="47"/>
      <c r="AE203" s="47">
        <v>21000</v>
      </c>
      <c r="AF203" s="51">
        <f>SUM(Table37[[#This Row],[MOOE (Php ''000)]:[CO (Php ''000)]])</f>
        <v>21000</v>
      </c>
      <c r="AG203" s="71" t="b">
        <f>ISBLANK(Table37[[#This Row],[PRPOPOSAL/BEDS]])</f>
        <v>0</v>
      </c>
      <c r="AH203" s="71" t="b">
        <f>ISBLANK(Table37[[#This Row],[OU]])</f>
        <v>0</v>
      </c>
      <c r="AI203" s="71" t="b">
        <f>ISBLANK(Table37[[#This Row],[SPECIFIC COMMODITY]])</f>
        <v>0</v>
      </c>
      <c r="AJ203" s="71" t="b">
        <f>ISBLANK(Table37[[#This Row],[COMMODITY PREXC SUB-PROGRAM]])</f>
        <v>0</v>
      </c>
      <c r="AK203" s="71" t="b">
        <f>ISBLANK(Table37[[#This Row],[ACTIVITY]])</f>
        <v>0</v>
      </c>
      <c r="AL203" s="71" t="b">
        <f>ISBLANK(Table37[[#This Row],[TAG-GAD]])</f>
        <v>0</v>
      </c>
      <c r="AM203" s="71" t="b">
        <f>ISBLANK(Table37[[#This Row],[MONTH]])</f>
        <v>0</v>
      </c>
      <c r="AN203" s="71" t="b">
        <f>ISBLANK(Table37[[#This Row],[MOOE (Php ''000)]])</f>
        <v>1</v>
      </c>
      <c r="AO203" s="71" t="b">
        <f>ISBLANK(Table37[[#This Row],[CO (Php ''000)]])</f>
        <v>0</v>
      </c>
    </row>
    <row r="204" spans="1:41">
      <c r="A204" s="51" t="str">
        <f>VLOOKUP(Table37[[#This Row],[OU]],OU!$A$15:$B$34,2,FALSE)</f>
        <v>RFOs</v>
      </c>
      <c r="B204" s="47" t="s">
        <v>301</v>
      </c>
      <c r="C204" s="47" t="s">
        <v>574</v>
      </c>
      <c r="D204" s="47" t="s">
        <v>578</v>
      </c>
      <c r="E204" s="51" t="str">
        <f>VLOOKUP(Table37[[#This Row],[SPECIFIC COMMODITY]],TAGS!$W$48:$X$53,2,FALSE)</f>
        <v>Corn</v>
      </c>
      <c r="F204" s="51" t="str">
        <f>VLOOKUP(Table37[[#This Row],[PREXC SUB-PROGRAM]],Table5[],2,FALSE)</f>
        <v>AGRICULTURAL  MACHINERY, EQUIPMENT, FACILITIES AND INFRASTRUCTURE PROGRAM</v>
      </c>
      <c r="G204" s="51" t="str">
        <f>VLOOKUP(Table37[[#This Row],[COMMODITY PREXC SUB-PROGRAM]],TAGS!$U$54:$V$76,2,FALSE)</f>
        <v>AMEFSS</v>
      </c>
      <c r="H204" s="47" t="s">
        <v>594</v>
      </c>
      <c r="I204" s="51" t="str">
        <f>VLOOKUP(Table37[[#This Row],[PI LEVEL 3]],'PI LEVEL'!A:C,3,FALSE)</f>
        <v>Commodity transport and logistics machinery and equipment distributed</v>
      </c>
      <c r="J204" s="51" t="str">
        <f>VLOOKUP(Table37[[#This Row],[PI LEVEL 3]],Table53729[[Performance Indicator Level 3]:[Performance Indicator Level 1]],2,FALSE)</f>
        <v>Hauling machinery and equipment distributed</v>
      </c>
      <c r="K204" s="51" t="str">
        <f>VLOOKUP(Table37[[#This Row],[ACTIVITY]],TAGS!B:P,2,FALSE)</f>
        <v>Hauling vehicle distributed</v>
      </c>
      <c r="L204" s="47" t="s">
        <v>183</v>
      </c>
      <c r="M204" s="51" t="str">
        <f>VLOOKUP(Table37[[#This Row],[ACTIVITY]],TAGS!$B:$P,4,FALSE)</f>
        <v>Postharvest related machinery &amp; equipment</v>
      </c>
      <c r="N204" s="51" t="str">
        <f>VLOOKUP(Table37[[#This Row],[ACTIVITY]],TAGS!$B:$P,5,FALSE)</f>
        <v>Postharvest-related</v>
      </c>
      <c r="O204" s="51" t="str">
        <f>VLOOKUP(Table37[[#This Row],[ACTIVITY]],TAGS!$B:$P,6,FALSE)</f>
        <v>Hauling truck</v>
      </c>
      <c r="P204" s="51" t="str">
        <f>VLOOKUP(Table37[[#This Row],[ACTIVITY]],TAGS!$B:$P,7,FALSE)</f>
        <v>NO</v>
      </c>
      <c r="Q204" s="51" t="str">
        <f>VLOOKUP(Table37[[#This Row],[ACTIVITY]],TAGS!$B:$P,8,FALSE)</f>
        <v>PAP</v>
      </c>
      <c r="R204" s="51" t="str">
        <f>VLOOKUP(Table37[[#This Row],[ACTIVITY]],TAGS!$B:$P,10,FALSE)</f>
        <v>PIP</v>
      </c>
      <c r="S204" s="51" t="str">
        <f>VLOOKUP(Table37[[#This Row],[ACTIVITY]],TAGS!$B:$P,11,FALSE)</f>
        <v>PICS</v>
      </c>
      <c r="T204" s="51" t="str">
        <f>VLOOKUP(Table37[[#This Row],[ACTIVITY]],TAGS!$B:$P,12,FALSE)</f>
        <v>Modernization</v>
      </c>
      <c r="U204" s="51" t="str">
        <f>VLOOKUP(Table37[[#This Row],[ACTIVITY]],TAGS!$B:$P,13,FALSE)</f>
        <v>8. Farm Mechanization and Farm Investments</v>
      </c>
      <c r="V204" s="51" t="str">
        <f>VLOOKUP(Table37[[#This Row],[ACTIVITY]],TAGS!$B:$P,14,FALSE)</f>
        <v>DEVELOP EFFICIENT LOGISTICS SYSTEMS FOR BOTH INPUT AND PRODUCTION OUTPUT</v>
      </c>
      <c r="W204" s="51" t="str">
        <f>VLOOKUP(Table37[[#This Row],[ACTIVITY]],TAGS!$B:$P,15,FALSE)</f>
        <v>Postharvest-related</v>
      </c>
      <c r="X204" s="51" t="str">
        <f>VLOOKUP(Table37[[#This Row],[PI LEVEL 3]],'PI LEVEL'!$A:$G,7,FALSE)</f>
        <v>DA-Level Output</v>
      </c>
      <c r="Y204" s="47" t="s">
        <v>577</v>
      </c>
      <c r="Z204" s="47" t="s">
        <v>336</v>
      </c>
      <c r="AA204" s="51" t="str">
        <f>VLOOKUP(Table37[[#This Row],[MONTH]],TAGS!$W$67:$Y$81,2,FALSE)</f>
        <v>4TH QTR</v>
      </c>
      <c r="AB204" s="51" t="str">
        <f>VLOOKUP(Table37[[#This Row],[MONTH]],TAGS!$W$67:$Y$81,3,FALSE)</f>
        <v>2ND SEMESTER</v>
      </c>
      <c r="AC204" s="51">
        <f>VLOOKUP(Table37[[#This Row],[MONTH]],TAGS!$W$67:$Z$81,4,FALSE)</f>
        <v>2025</v>
      </c>
      <c r="AD204" s="47"/>
      <c r="AE204" s="47">
        <v>11000</v>
      </c>
      <c r="AF204" s="51">
        <f>SUM(Table37[[#This Row],[MOOE (Php ''000)]:[CO (Php ''000)]])</f>
        <v>11000</v>
      </c>
      <c r="AG204" s="71" t="b">
        <f>ISBLANK(Table37[[#This Row],[PRPOPOSAL/BEDS]])</f>
        <v>0</v>
      </c>
      <c r="AH204" s="71" t="b">
        <f>ISBLANK(Table37[[#This Row],[OU]])</f>
        <v>0</v>
      </c>
      <c r="AI204" s="71" t="b">
        <f>ISBLANK(Table37[[#This Row],[SPECIFIC COMMODITY]])</f>
        <v>0</v>
      </c>
      <c r="AJ204" s="71" t="b">
        <f>ISBLANK(Table37[[#This Row],[COMMODITY PREXC SUB-PROGRAM]])</f>
        <v>0</v>
      </c>
      <c r="AK204" s="71" t="b">
        <f>ISBLANK(Table37[[#This Row],[ACTIVITY]])</f>
        <v>0</v>
      </c>
      <c r="AL204" s="71" t="b">
        <f>ISBLANK(Table37[[#This Row],[TAG-GAD]])</f>
        <v>0</v>
      </c>
      <c r="AM204" s="71" t="b">
        <f>ISBLANK(Table37[[#This Row],[MONTH]])</f>
        <v>0</v>
      </c>
      <c r="AN204" s="71" t="b">
        <f>ISBLANK(Table37[[#This Row],[MOOE (Php ''000)]])</f>
        <v>1</v>
      </c>
      <c r="AO204" s="71" t="b">
        <f>ISBLANK(Table37[[#This Row],[CO (Php ''000)]])</f>
        <v>0</v>
      </c>
    </row>
    <row r="205" spans="1:41">
      <c r="A205" s="51" t="str">
        <f>VLOOKUP(Table37[[#This Row],[OU]],OU!$A$15:$B$34,2,FALSE)</f>
        <v>RFOs</v>
      </c>
      <c r="B205" s="47" t="s">
        <v>301</v>
      </c>
      <c r="C205" s="47" t="s">
        <v>574</v>
      </c>
      <c r="D205" s="47" t="s">
        <v>578</v>
      </c>
      <c r="E205" s="51" t="str">
        <f>VLOOKUP(Table37[[#This Row],[SPECIFIC COMMODITY]],TAGS!$W$48:$X$53,2,FALSE)</f>
        <v>Corn</v>
      </c>
      <c r="F205" s="51" t="str">
        <f>VLOOKUP(Table37[[#This Row],[PREXC SUB-PROGRAM]],Table5[],2,FALSE)</f>
        <v>AGRICULTURAL  MACHINERY, EQUIPMENT, FACILITIES AND INFRASTRUCTURE PROGRAM</v>
      </c>
      <c r="G205" s="51" t="str">
        <f>VLOOKUP(Table37[[#This Row],[COMMODITY PREXC SUB-PROGRAM]],TAGS!$U$54:$V$76,2,FALSE)</f>
        <v>AMEFSS</v>
      </c>
      <c r="H205" s="47" t="s">
        <v>594</v>
      </c>
      <c r="I205" s="51" t="str">
        <f>VLOOKUP(Table37[[#This Row],[PI LEVEL 3]],'PI LEVEL'!A:C,3,FALSE)</f>
        <v>Postharvest machinery and equipment distributed</v>
      </c>
      <c r="J205" s="51" t="str">
        <f>VLOOKUP(Table37[[#This Row],[PI LEVEL 3]],Table53729[[Performance Indicator Level 3]:[Performance Indicator Level 1]],2,FALSE)</f>
        <v>Crop processing machinery and equipment distributed</v>
      </c>
      <c r="K205" s="51" t="str">
        <f>VLOOKUP(Table37[[#This Row],[ACTIVITY]],TAGS!B:P,2,FALSE)</f>
        <v>Milling equipment distributed</v>
      </c>
      <c r="L205" s="47" t="s">
        <v>185</v>
      </c>
      <c r="M205" s="51" t="str">
        <f>VLOOKUP(Table37[[#This Row],[ACTIVITY]],TAGS!$B:$P,4,FALSE)</f>
        <v>Processing related machinery &amp; equipment</v>
      </c>
      <c r="N205" s="51" t="str">
        <f>VLOOKUP(Table37[[#This Row],[ACTIVITY]],TAGS!$B:$P,5,FALSE)</f>
        <v>Processing-related</v>
      </c>
      <c r="O205" s="51" t="str">
        <f>VLOOKUP(Table37[[#This Row],[ACTIVITY]],TAGS!$B:$P,6,FALSE)</f>
        <v>Corn mill</v>
      </c>
      <c r="P205" s="51" t="str">
        <f>VLOOKUP(Table37[[#This Row],[ACTIVITY]],TAGS!$B:$P,7,FALSE)</f>
        <v>NO</v>
      </c>
      <c r="Q205" s="51" t="str">
        <f>VLOOKUP(Table37[[#This Row],[ACTIVITY]],TAGS!$B:$P,8,FALSE)</f>
        <v>PAP</v>
      </c>
      <c r="R205" s="51" t="str">
        <f>VLOOKUP(Table37[[#This Row],[ACTIVITY]],TAGS!$B:$P,10,FALSE)</f>
        <v>PIP</v>
      </c>
      <c r="S205" s="51" t="str">
        <f>VLOOKUP(Table37[[#This Row],[ACTIVITY]],TAGS!$B:$P,11,FALSE)</f>
        <v>PICS</v>
      </c>
      <c r="T205" s="51" t="str">
        <f>VLOOKUP(Table37[[#This Row],[ACTIVITY]],TAGS!$B:$P,12,FALSE)</f>
        <v>Modernization</v>
      </c>
      <c r="U205" s="51" t="str">
        <f>VLOOKUP(Table37[[#This Row],[ACTIVITY]],TAGS!$B:$P,13,FALSE)</f>
        <v>8. Farm Mechanization and Farm Investments</v>
      </c>
      <c r="V205" s="51" t="str">
        <f>VLOOKUP(Table37[[#This Row],[ACTIVITY]],TAGS!$B:$P,14,FALSE)</f>
        <v>DEVELOP AND IMPROVE POST-HARVEST SYSTEMS AND INFRASTRUCTURE</v>
      </c>
      <c r="W205" s="51" t="str">
        <f>VLOOKUP(Table37[[#This Row],[ACTIVITY]],TAGS!$B:$P,15,FALSE)</f>
        <v>Processing-related</v>
      </c>
      <c r="X205" s="51" t="str">
        <f>VLOOKUP(Table37[[#This Row],[PI LEVEL 3]],'PI LEVEL'!$A:$G,7,FALSE)</f>
        <v>DA-Level Output</v>
      </c>
      <c r="Y205" s="47" t="s">
        <v>577</v>
      </c>
      <c r="Z205" s="47" t="s">
        <v>336</v>
      </c>
      <c r="AA205" s="51" t="str">
        <f>VLOOKUP(Table37[[#This Row],[MONTH]],TAGS!$W$67:$Y$81,2,FALSE)</f>
        <v>4TH QTR</v>
      </c>
      <c r="AB205" s="51" t="str">
        <f>VLOOKUP(Table37[[#This Row],[MONTH]],TAGS!$W$67:$Y$81,3,FALSE)</f>
        <v>2ND SEMESTER</v>
      </c>
      <c r="AC205" s="51">
        <f>VLOOKUP(Table37[[#This Row],[MONTH]],TAGS!$W$67:$Z$81,4,FALSE)</f>
        <v>2025</v>
      </c>
      <c r="AD205" s="47"/>
      <c r="AE205" s="47">
        <v>4400</v>
      </c>
      <c r="AF205" s="51">
        <f>SUM(Table37[[#This Row],[MOOE (Php ''000)]:[CO (Php ''000)]])</f>
        <v>4400</v>
      </c>
      <c r="AG205" s="71" t="b">
        <f>ISBLANK(Table37[[#This Row],[PRPOPOSAL/BEDS]])</f>
        <v>0</v>
      </c>
      <c r="AH205" s="71" t="b">
        <f>ISBLANK(Table37[[#This Row],[OU]])</f>
        <v>0</v>
      </c>
      <c r="AI205" s="71" t="b">
        <f>ISBLANK(Table37[[#This Row],[SPECIFIC COMMODITY]])</f>
        <v>0</v>
      </c>
      <c r="AJ205" s="71" t="b">
        <f>ISBLANK(Table37[[#This Row],[COMMODITY PREXC SUB-PROGRAM]])</f>
        <v>0</v>
      </c>
      <c r="AK205" s="71" t="b">
        <f>ISBLANK(Table37[[#This Row],[ACTIVITY]])</f>
        <v>0</v>
      </c>
      <c r="AL205" s="71" t="b">
        <f>ISBLANK(Table37[[#This Row],[TAG-GAD]])</f>
        <v>0</v>
      </c>
      <c r="AM205" s="71" t="b">
        <f>ISBLANK(Table37[[#This Row],[MONTH]])</f>
        <v>0</v>
      </c>
      <c r="AN205" s="71" t="b">
        <f>ISBLANK(Table37[[#This Row],[MOOE (Php ''000)]])</f>
        <v>1</v>
      </c>
      <c r="AO205" s="71" t="b">
        <f>ISBLANK(Table37[[#This Row],[CO (Php ''000)]])</f>
        <v>0</v>
      </c>
    </row>
    <row r="206" spans="1:41">
      <c r="A206" s="51" t="str">
        <f>VLOOKUP(Table37[[#This Row],[OU]],OU!$A$15:$B$34,2,FALSE)</f>
        <v>RFOs</v>
      </c>
      <c r="B206" s="47" t="s">
        <v>301</v>
      </c>
      <c r="C206" s="47" t="s">
        <v>574</v>
      </c>
      <c r="D206" s="47" t="s">
        <v>578</v>
      </c>
      <c r="E206" s="51" t="str">
        <f>VLOOKUP(Table37[[#This Row],[SPECIFIC COMMODITY]],TAGS!$W$48:$X$53,2,FALSE)</f>
        <v>Corn</v>
      </c>
      <c r="F206" s="51" t="str">
        <f>VLOOKUP(Table37[[#This Row],[PREXC SUB-PROGRAM]],Table5[],2,FALSE)</f>
        <v>AGRICULTURAL  MACHINERY, EQUIPMENT, FACILITIES AND INFRASTRUCTURE PROGRAM</v>
      </c>
      <c r="G206" s="51" t="str">
        <f>VLOOKUP(Table37[[#This Row],[COMMODITY PREXC SUB-PROGRAM]],TAGS!$U$54:$V$76,2,FALSE)</f>
        <v>AMEFSS</v>
      </c>
      <c r="H206" s="47" t="s">
        <v>594</v>
      </c>
      <c r="I206" s="51" t="str">
        <f>VLOOKUP(Table37[[#This Row],[PI LEVEL 3]],'PI LEVEL'!A:C,3,FALSE)</f>
        <v>Postharvest facility constructed</v>
      </c>
      <c r="J206" s="51" t="str">
        <f>VLOOKUP(Table37[[#This Row],[PI LEVEL 3]],Table53729[[Performance Indicator Level 3]:[Performance Indicator Level 1]],2,FALSE)</f>
        <v>Crop drying facility constructed</v>
      </c>
      <c r="K206" s="51" t="str">
        <f>VLOOKUP(Table37[[#This Row],[ACTIVITY]],TAGS!B:P,2,FALSE)</f>
        <v>Multi-crop drying pavement (MCDP) constructed</v>
      </c>
      <c r="L206" s="47" t="s">
        <v>194</v>
      </c>
      <c r="M206" s="51" t="str">
        <f>VLOOKUP(Table37[[#This Row],[ACTIVITY]],TAGS!$B:$P,4,FALSE)</f>
        <v>Postharvest facilities</v>
      </c>
      <c r="N206" s="51" t="str">
        <f>VLOOKUP(Table37[[#This Row],[ACTIVITY]],TAGS!$B:$P,5,FALSE)</f>
        <v>Postharvest facilities</v>
      </c>
      <c r="O206" s="51" t="str">
        <f>VLOOKUP(Table37[[#This Row],[ACTIVITY]],TAGS!$B:$P,6,FALSE)</f>
        <v>Multi Crop Drying Pavement (MCDP) </v>
      </c>
      <c r="P206" s="51" t="str">
        <f>VLOOKUP(Table37[[#This Row],[ACTIVITY]],TAGS!$B:$P,7,FALSE)</f>
        <v>YES</v>
      </c>
      <c r="Q206" s="51" t="str">
        <f>VLOOKUP(Table37[[#This Row],[ACTIVITY]],TAGS!$B:$P,8,FALSE)</f>
        <v>PAP</v>
      </c>
      <c r="R206" s="51" t="str">
        <f>VLOOKUP(Table37[[#This Row],[ACTIVITY]],TAGS!$B:$P,10,FALSE)</f>
        <v>PIP</v>
      </c>
      <c r="S206" s="51" t="str">
        <f>VLOOKUP(Table37[[#This Row],[ACTIVITY]],TAGS!$B:$P,11,FALSE)</f>
        <v>PICS</v>
      </c>
      <c r="T206" s="51" t="str">
        <f>VLOOKUP(Table37[[#This Row],[ACTIVITY]],TAGS!$B:$P,12,FALSE)</f>
        <v>Modernization</v>
      </c>
      <c r="U206" s="51" t="str">
        <f>VLOOKUP(Table37[[#This Row],[ACTIVITY]],TAGS!$B:$P,13,FALSE)</f>
        <v>8. Farm Mechanization and Farm Investments</v>
      </c>
      <c r="V206" s="51" t="str">
        <f>VLOOKUP(Table37[[#This Row],[ACTIVITY]],TAGS!$B:$P,14,FALSE)</f>
        <v>DEVELOP AND IMPROVE POST-HARVEST SYSTEMS AND INFRASTRUCTURE</v>
      </c>
      <c r="W206" s="51" t="str">
        <f>VLOOKUP(Table37[[#This Row],[ACTIVITY]],TAGS!$B:$P,15,FALSE)</f>
        <v>Postharvest facilities</v>
      </c>
      <c r="X206" s="51" t="str">
        <f>VLOOKUP(Table37[[#This Row],[PI LEVEL 3]],'PI LEVEL'!$A:$G,7,FALSE)</f>
        <v>DA-Level Output</v>
      </c>
      <c r="Y206" s="47" t="s">
        <v>577</v>
      </c>
      <c r="Z206" s="47" t="s">
        <v>337</v>
      </c>
      <c r="AA206" s="51" t="str">
        <f>VLOOKUP(Table37[[#This Row],[MONTH]],TAGS!$W$67:$Y$81,2,FALSE)</f>
        <v>4TH QTR</v>
      </c>
      <c r="AB206" s="51" t="str">
        <f>VLOOKUP(Table37[[#This Row],[MONTH]],TAGS!$W$67:$Y$81,3,FALSE)</f>
        <v>2ND SEMESTER</v>
      </c>
      <c r="AC206" s="51">
        <f>VLOOKUP(Table37[[#This Row],[MONTH]],TAGS!$W$67:$Z$81,4,FALSE)</f>
        <v>2025</v>
      </c>
      <c r="AD206" s="47"/>
      <c r="AE206" s="47">
        <v>5000</v>
      </c>
      <c r="AF206" s="51">
        <f>SUM(Table37[[#This Row],[MOOE (Php ''000)]:[CO (Php ''000)]])</f>
        <v>5000</v>
      </c>
      <c r="AG206" s="71" t="b">
        <f>ISBLANK(Table37[[#This Row],[PRPOPOSAL/BEDS]])</f>
        <v>0</v>
      </c>
      <c r="AH206" s="71" t="b">
        <f>ISBLANK(Table37[[#This Row],[OU]])</f>
        <v>0</v>
      </c>
      <c r="AI206" s="71" t="b">
        <f>ISBLANK(Table37[[#This Row],[SPECIFIC COMMODITY]])</f>
        <v>0</v>
      </c>
      <c r="AJ206" s="71" t="b">
        <f>ISBLANK(Table37[[#This Row],[COMMODITY PREXC SUB-PROGRAM]])</f>
        <v>0</v>
      </c>
      <c r="AK206" s="71" t="b">
        <f>ISBLANK(Table37[[#This Row],[ACTIVITY]])</f>
        <v>0</v>
      </c>
      <c r="AL206" s="71" t="b">
        <f>ISBLANK(Table37[[#This Row],[TAG-GAD]])</f>
        <v>0</v>
      </c>
      <c r="AM206" s="71" t="b">
        <f>ISBLANK(Table37[[#This Row],[MONTH]])</f>
        <v>0</v>
      </c>
      <c r="AN206" s="71" t="b">
        <f>ISBLANK(Table37[[#This Row],[MOOE (Php ''000)]])</f>
        <v>1</v>
      </c>
      <c r="AO206" s="71" t="b">
        <f>ISBLANK(Table37[[#This Row],[CO (Php ''000)]])</f>
        <v>0</v>
      </c>
    </row>
    <row r="207" spans="1:41">
      <c r="A207" s="51" t="str">
        <f>VLOOKUP(Table37[[#This Row],[OU]],OU!$A$15:$B$34,2,FALSE)</f>
        <v>RFOs</v>
      </c>
      <c r="B207" s="47" t="s">
        <v>301</v>
      </c>
      <c r="C207" s="47" t="s">
        <v>574</v>
      </c>
      <c r="D207" s="47" t="s">
        <v>579</v>
      </c>
      <c r="E207" s="51" t="str">
        <f>VLOOKUP(Table37[[#This Row],[SPECIFIC COMMODITY]],TAGS!$W$48:$X$53,2,FALSE)</f>
        <v>Cassava</v>
      </c>
      <c r="F207" s="51" t="str">
        <f>VLOOKUP(Table37[[#This Row],[PREXC SUB-PROGRAM]],Table5[],2,FALSE)</f>
        <v>AGRICULTURAL  MACHINERY, EQUIPMENT, FACILITIES AND INFRASTRUCTURE PROGRAM</v>
      </c>
      <c r="G207" s="51" t="str">
        <f>VLOOKUP(Table37[[#This Row],[COMMODITY PREXC SUB-PROGRAM]],TAGS!$U$54:$V$76,2,FALSE)</f>
        <v>AMEFSS</v>
      </c>
      <c r="H207" s="47" t="s">
        <v>595</v>
      </c>
      <c r="I207" s="51" t="str">
        <f>VLOOKUP(Table37[[#This Row],[PI LEVEL 3]],'PI LEVEL'!A:C,3,FALSE)</f>
        <v>Other machinery and equipment distributed</v>
      </c>
      <c r="J207" s="51" t="str">
        <f>VLOOKUP(Table37[[#This Row],[PI LEVEL 3]],Table53729[[Performance Indicator Level 3]:[Performance Indicator Level 1]],2,FALSE)</f>
        <v>Other machinery and equipment distributed</v>
      </c>
      <c r="K207" s="51" t="str">
        <f>VLOOKUP(Table37[[#This Row],[ACTIVITY]],TAGS!B:P,2,FALSE)</f>
        <v>Solar Bubble Dryer distributed_PSS</v>
      </c>
      <c r="L207" s="47" t="s">
        <v>196</v>
      </c>
      <c r="M207" s="51" t="str">
        <f>VLOOKUP(Table37[[#This Row],[ACTIVITY]],TAGS!$B:$P,4,FALSE)</f>
        <v>Postharvest related machinery &amp; equipment</v>
      </c>
      <c r="N207" s="51" t="str">
        <f>VLOOKUP(Table37[[#This Row],[ACTIVITY]],TAGS!$B:$P,5,FALSE)</f>
        <v>Postharvest-related</v>
      </c>
      <c r="O207" s="51" t="str">
        <f>VLOOKUP(Table37[[#This Row],[ACTIVITY]],TAGS!$B:$P,6,FALSE)</f>
        <v>Solar Bubble Dryer</v>
      </c>
      <c r="P207" s="51" t="str">
        <f>VLOOKUP(Table37[[#This Row],[ACTIVITY]],TAGS!$B:$P,7,FALSE)</f>
        <v>YES</v>
      </c>
      <c r="Q207" s="51" t="str">
        <f>VLOOKUP(Table37[[#This Row],[ACTIVITY]],TAGS!$B:$P,8,FALSE)</f>
        <v>PAP</v>
      </c>
      <c r="R207" s="51" t="str">
        <f>VLOOKUP(Table37[[#This Row],[ACTIVITY]],TAGS!$B:$P,10,FALSE)</f>
        <v>PIP</v>
      </c>
      <c r="S207" s="51" t="str">
        <f>VLOOKUP(Table37[[#This Row],[ACTIVITY]],TAGS!$B:$P,11,FALSE)</f>
        <v>PICS</v>
      </c>
      <c r="T207" s="51" t="str">
        <f>VLOOKUP(Table37[[#This Row],[ACTIVITY]],TAGS!$B:$P,12,FALSE)</f>
        <v>Modernization</v>
      </c>
      <c r="U207" s="51" t="str">
        <f>VLOOKUP(Table37[[#This Row],[ACTIVITY]],TAGS!$B:$P,13,FALSE)</f>
        <v>8. Farm Mechanization and Farm Investments</v>
      </c>
      <c r="V207" s="51" t="str">
        <f>VLOOKUP(Table37[[#This Row],[ACTIVITY]],TAGS!$B:$P,14,FALSE)</f>
        <v>DEVELOP AND IMPROVE POST-HARVEST SYSTEMS AND INFRASTRUCTURE</v>
      </c>
      <c r="W207" s="51" t="str">
        <f>VLOOKUP(Table37[[#This Row],[ACTIVITY]],TAGS!$B:$P,15,FALSE)</f>
        <v>Postharvest-related</v>
      </c>
      <c r="X207" s="51" t="str">
        <f>VLOOKUP(Table37[[#This Row],[PI LEVEL 3]],'PI LEVEL'!$A:$G,7,FALSE)</f>
        <v>DA-Level Output</v>
      </c>
      <c r="Y207" s="47" t="s">
        <v>577</v>
      </c>
      <c r="Z207" s="47" t="s">
        <v>335</v>
      </c>
      <c r="AA207" s="51" t="str">
        <f>VLOOKUP(Table37[[#This Row],[MONTH]],TAGS!$W$67:$Y$81,2,FALSE)</f>
        <v>3RD QTR</v>
      </c>
      <c r="AB207" s="51" t="str">
        <f>VLOOKUP(Table37[[#This Row],[MONTH]],TAGS!$W$67:$Y$81,3,FALSE)</f>
        <v>2ND SEMESTER</v>
      </c>
      <c r="AC207" s="51">
        <f>VLOOKUP(Table37[[#This Row],[MONTH]],TAGS!$W$67:$Z$81,4,FALSE)</f>
        <v>2025</v>
      </c>
      <c r="AD207" s="47"/>
      <c r="AE207" s="47">
        <v>4000</v>
      </c>
      <c r="AF207" s="51">
        <f>SUM(Table37[[#This Row],[MOOE (Php ''000)]:[CO (Php ''000)]])</f>
        <v>4000</v>
      </c>
      <c r="AG207" s="71" t="b">
        <f>ISBLANK(Table37[[#This Row],[PRPOPOSAL/BEDS]])</f>
        <v>0</v>
      </c>
      <c r="AH207" s="71" t="b">
        <f>ISBLANK(Table37[[#This Row],[OU]])</f>
        <v>0</v>
      </c>
      <c r="AI207" s="71" t="b">
        <f>ISBLANK(Table37[[#This Row],[SPECIFIC COMMODITY]])</f>
        <v>0</v>
      </c>
      <c r="AJ207" s="71" t="b">
        <f>ISBLANK(Table37[[#This Row],[COMMODITY PREXC SUB-PROGRAM]])</f>
        <v>0</v>
      </c>
      <c r="AK207" s="71" t="b">
        <f>ISBLANK(Table37[[#This Row],[ACTIVITY]])</f>
        <v>0</v>
      </c>
      <c r="AL207" s="71" t="b">
        <f>ISBLANK(Table37[[#This Row],[TAG-GAD]])</f>
        <v>0</v>
      </c>
      <c r="AM207" s="71" t="b">
        <f>ISBLANK(Table37[[#This Row],[MONTH]])</f>
        <v>0</v>
      </c>
      <c r="AN207" s="71" t="b">
        <f>ISBLANK(Table37[[#This Row],[MOOE (Php ''000)]])</f>
        <v>1</v>
      </c>
      <c r="AO207" s="71" t="b">
        <f>ISBLANK(Table37[[#This Row],[CO (Php ''000)]])</f>
        <v>0</v>
      </c>
    </row>
    <row r="208" spans="1:41">
      <c r="A208" s="51" t="str">
        <f>VLOOKUP(Table37[[#This Row],[OU]],OU!$A$15:$B$34,2,FALSE)</f>
        <v>RFOs</v>
      </c>
      <c r="B208" s="47" t="s">
        <v>301</v>
      </c>
      <c r="C208" s="47" t="s">
        <v>574</v>
      </c>
      <c r="D208" s="47" t="s">
        <v>579</v>
      </c>
      <c r="E208" s="51" t="str">
        <f>VLOOKUP(Table37[[#This Row],[SPECIFIC COMMODITY]],TAGS!$W$48:$X$53,2,FALSE)</f>
        <v>Cassava</v>
      </c>
      <c r="F208" s="51" t="str">
        <f>VLOOKUP(Table37[[#This Row],[PREXC SUB-PROGRAM]],Table5[],2,FALSE)</f>
        <v>AGRICULTURAL  MACHINERY, EQUIPMENT, FACILITIES AND INFRASTRUCTURE PROGRAM</v>
      </c>
      <c r="G208" s="51" t="str">
        <f>VLOOKUP(Table37[[#This Row],[COMMODITY PREXC SUB-PROGRAM]],TAGS!$U$54:$V$76,2,FALSE)</f>
        <v>AMEFSS</v>
      </c>
      <c r="H208" s="47" t="s">
        <v>595</v>
      </c>
      <c r="I208" s="51" t="str">
        <f>VLOOKUP(Table37[[#This Row],[PI LEVEL 3]],'PI LEVEL'!A:C,3,FALSE)</f>
        <v>Other infrastructure constructed</v>
      </c>
      <c r="J208" s="51" t="str">
        <f>VLOOKUP(Table37[[#This Row],[PI LEVEL 3]],Table53729[[Performance Indicator Level 3]:[Performance Indicator Level 1]],2,FALSE)</f>
        <v>Other infrastructure constructed</v>
      </c>
      <c r="K208" s="51" t="str">
        <f>VLOOKUP(Table37[[#This Row],[ACTIVITY]],TAGS!B:P,2,FALSE)</f>
        <v>Water treatment system facility constructed</v>
      </c>
      <c r="L208" s="47" t="s">
        <v>198</v>
      </c>
      <c r="M208" s="51" t="str">
        <f>VLOOKUP(Table37[[#This Row],[ACTIVITY]],TAGS!$B:$P,4,FALSE)</f>
        <v>Processing related machinery &amp; equipment</v>
      </c>
      <c r="N208" s="51" t="str">
        <f>VLOOKUP(Table37[[#This Row],[ACTIVITY]],TAGS!$B:$P,5,FALSE)</f>
        <v>Processing-related</v>
      </c>
      <c r="O208" s="51" t="str">
        <f>VLOOKUP(Table37[[#This Row],[ACTIVITY]],TAGS!$B:$P,6,FALSE)</f>
        <v>Waster Water Treatment System</v>
      </c>
      <c r="P208" s="51" t="str">
        <f>VLOOKUP(Table37[[#This Row],[ACTIVITY]],TAGS!$B:$P,7,FALSE)</f>
        <v>NO</v>
      </c>
      <c r="Q208" s="51" t="str">
        <f>VLOOKUP(Table37[[#This Row],[ACTIVITY]],TAGS!$B:$P,8,FALSE)</f>
        <v>PAP</v>
      </c>
      <c r="R208" s="51" t="str">
        <f>VLOOKUP(Table37[[#This Row],[ACTIVITY]],TAGS!$B:$P,10,FALSE)</f>
        <v>PIP</v>
      </c>
      <c r="S208" s="51" t="str">
        <f>VLOOKUP(Table37[[#This Row],[ACTIVITY]],TAGS!$B:$P,11,FALSE)</f>
        <v>PICS</v>
      </c>
      <c r="T208" s="51" t="str">
        <f>VLOOKUP(Table37[[#This Row],[ACTIVITY]],TAGS!$B:$P,12,FALSE)</f>
        <v>Modernization</v>
      </c>
      <c r="U208" s="51" t="str">
        <f>VLOOKUP(Table37[[#This Row],[ACTIVITY]],TAGS!$B:$P,13,FALSE)</f>
        <v>8. Farm Mechanization and Farm Investments</v>
      </c>
      <c r="V208" s="51" t="str">
        <f>VLOOKUP(Table37[[#This Row],[ACTIVITY]],TAGS!$B:$P,14,FALSE)</f>
        <v>DEVELOP AND IMPROVE POST-HARVEST SYSTEMS AND INFRASTRUCTURE</v>
      </c>
      <c r="W208" s="51" t="str">
        <f>VLOOKUP(Table37[[#This Row],[ACTIVITY]],TAGS!$B:$P,15,FALSE)</f>
        <v>Processing facilities</v>
      </c>
      <c r="X208" s="51" t="str">
        <f>VLOOKUP(Table37[[#This Row],[PI LEVEL 3]],'PI LEVEL'!$A:$G,7,FALSE)</f>
        <v>DA-Level Output</v>
      </c>
      <c r="Y208" s="47" t="s">
        <v>577</v>
      </c>
      <c r="Z208" s="47" t="s">
        <v>336</v>
      </c>
      <c r="AA208" s="51" t="str">
        <f>VLOOKUP(Table37[[#This Row],[MONTH]],TAGS!$W$67:$Y$81,2,FALSE)</f>
        <v>4TH QTR</v>
      </c>
      <c r="AB208" s="51" t="str">
        <f>VLOOKUP(Table37[[#This Row],[MONTH]],TAGS!$W$67:$Y$81,3,FALSE)</f>
        <v>2ND SEMESTER</v>
      </c>
      <c r="AC208" s="51">
        <f>VLOOKUP(Table37[[#This Row],[MONTH]],TAGS!$W$67:$Z$81,4,FALSE)</f>
        <v>2025</v>
      </c>
      <c r="AD208" s="47"/>
      <c r="AE208" s="47">
        <v>3000</v>
      </c>
      <c r="AF208" s="51">
        <f>SUM(Table37[[#This Row],[MOOE (Php ''000)]:[CO (Php ''000)]])</f>
        <v>3000</v>
      </c>
      <c r="AG208" s="71" t="b">
        <f>ISBLANK(Table37[[#This Row],[PRPOPOSAL/BEDS]])</f>
        <v>0</v>
      </c>
      <c r="AH208" s="71" t="b">
        <f>ISBLANK(Table37[[#This Row],[OU]])</f>
        <v>0</v>
      </c>
      <c r="AI208" s="71" t="b">
        <f>ISBLANK(Table37[[#This Row],[SPECIFIC COMMODITY]])</f>
        <v>0</v>
      </c>
      <c r="AJ208" s="71" t="b">
        <f>ISBLANK(Table37[[#This Row],[COMMODITY PREXC SUB-PROGRAM]])</f>
        <v>0</v>
      </c>
      <c r="AK208" s="71" t="b">
        <f>ISBLANK(Table37[[#This Row],[ACTIVITY]])</f>
        <v>0</v>
      </c>
      <c r="AL208" s="71" t="b">
        <f>ISBLANK(Table37[[#This Row],[TAG-GAD]])</f>
        <v>0</v>
      </c>
      <c r="AM208" s="71" t="b">
        <f>ISBLANK(Table37[[#This Row],[MONTH]])</f>
        <v>0</v>
      </c>
      <c r="AN208" s="71" t="b">
        <f>ISBLANK(Table37[[#This Row],[MOOE (Php ''000)]])</f>
        <v>1</v>
      </c>
      <c r="AO208" s="71" t="b">
        <f>ISBLANK(Table37[[#This Row],[CO (Php ''000)]])</f>
        <v>0</v>
      </c>
    </row>
    <row r="209" spans="1:41">
      <c r="A209" s="51" t="str">
        <f>VLOOKUP(Table37[[#This Row],[OU]],OU!$A$15:$B$34,2,FALSE)</f>
        <v>RFOs</v>
      </c>
      <c r="B209" s="47" t="s">
        <v>301</v>
      </c>
      <c r="C209" s="47" t="s">
        <v>574</v>
      </c>
      <c r="D209" s="47" t="s">
        <v>579</v>
      </c>
      <c r="E209" s="51" t="str">
        <f>VLOOKUP(Table37[[#This Row],[SPECIFIC COMMODITY]],TAGS!$W$48:$X$53,2,FALSE)</f>
        <v>Cassava</v>
      </c>
      <c r="F209" s="51" t="str">
        <f>VLOOKUP(Table37[[#This Row],[PREXC SUB-PROGRAM]],Table5[],2,FALSE)</f>
        <v>AGRICULTURAL  MACHINERY, EQUIPMENT, FACILITIES AND INFRASTRUCTURE PROGRAM</v>
      </c>
      <c r="G209" s="51" t="str">
        <f>VLOOKUP(Table37[[#This Row],[COMMODITY PREXC SUB-PROGRAM]],TAGS!$U$54:$V$76,2,FALSE)</f>
        <v>AMEFSS</v>
      </c>
      <c r="H209" s="47" t="s">
        <v>595</v>
      </c>
      <c r="I209" s="51" t="str">
        <f>VLOOKUP(Table37[[#This Row],[PI LEVEL 3]],'PI LEVEL'!A:C,3,FALSE)</f>
        <v>Other infrastructure constructed</v>
      </c>
      <c r="J209" s="51" t="str">
        <f>VLOOKUP(Table37[[#This Row],[PI LEVEL 3]],Table53729[[Performance Indicator Level 3]:[Performance Indicator Level 1]],2,FALSE)</f>
        <v>Other infrastructure constructed</v>
      </c>
      <c r="K209" s="51" t="str">
        <f>VLOOKUP(Table37[[#This Row],[ACTIVITY]],TAGS!B:P,2,FALSE)</f>
        <v>Water treatment system facility constructed</v>
      </c>
      <c r="L209" s="47" t="s">
        <v>198</v>
      </c>
      <c r="M209" s="51" t="str">
        <f>VLOOKUP(Table37[[#This Row],[ACTIVITY]],TAGS!$B:$P,4,FALSE)</f>
        <v>Processing related machinery &amp; equipment</v>
      </c>
      <c r="N209" s="51" t="str">
        <f>VLOOKUP(Table37[[#This Row],[ACTIVITY]],TAGS!$B:$P,5,FALSE)</f>
        <v>Processing-related</v>
      </c>
      <c r="O209" s="51" t="str">
        <f>VLOOKUP(Table37[[#This Row],[ACTIVITY]],TAGS!$B:$P,6,FALSE)</f>
        <v>Waster Water Treatment System</v>
      </c>
      <c r="P209" s="51" t="str">
        <f>VLOOKUP(Table37[[#This Row],[ACTIVITY]],TAGS!$B:$P,7,FALSE)</f>
        <v>NO</v>
      </c>
      <c r="Q209" s="51" t="str">
        <f>VLOOKUP(Table37[[#This Row],[ACTIVITY]],TAGS!$B:$P,8,FALSE)</f>
        <v>PAP</v>
      </c>
      <c r="R209" s="51" t="str">
        <f>VLOOKUP(Table37[[#This Row],[ACTIVITY]],TAGS!$B:$P,10,FALSE)</f>
        <v>PIP</v>
      </c>
      <c r="S209" s="51" t="str">
        <f>VLOOKUP(Table37[[#This Row],[ACTIVITY]],TAGS!$B:$P,11,FALSE)</f>
        <v>PICS</v>
      </c>
      <c r="T209" s="51" t="str">
        <f>VLOOKUP(Table37[[#This Row],[ACTIVITY]],TAGS!$B:$P,12,FALSE)</f>
        <v>Modernization</v>
      </c>
      <c r="U209" s="51" t="str">
        <f>VLOOKUP(Table37[[#This Row],[ACTIVITY]],TAGS!$B:$P,13,FALSE)</f>
        <v>8. Farm Mechanization and Farm Investments</v>
      </c>
      <c r="V209" s="51" t="str">
        <f>VLOOKUP(Table37[[#This Row],[ACTIVITY]],TAGS!$B:$P,14,FALSE)</f>
        <v>DEVELOP AND IMPROVE POST-HARVEST SYSTEMS AND INFRASTRUCTURE</v>
      </c>
      <c r="W209" s="51" t="str">
        <f>VLOOKUP(Table37[[#This Row],[ACTIVITY]],TAGS!$B:$P,15,FALSE)</f>
        <v>Processing facilities</v>
      </c>
      <c r="X209" s="51" t="str">
        <f>VLOOKUP(Table37[[#This Row],[PI LEVEL 3]],'PI LEVEL'!$A:$G,7,FALSE)</f>
        <v>DA-Level Output</v>
      </c>
      <c r="Y209" s="47" t="s">
        <v>577</v>
      </c>
      <c r="Z209" s="47" t="s">
        <v>337</v>
      </c>
      <c r="AA209" s="51" t="str">
        <f>VLOOKUP(Table37[[#This Row],[MONTH]],TAGS!$W$67:$Y$81,2,FALSE)</f>
        <v>4TH QTR</v>
      </c>
      <c r="AB209" s="51" t="str">
        <f>VLOOKUP(Table37[[#This Row],[MONTH]],TAGS!$W$67:$Y$81,3,FALSE)</f>
        <v>2ND SEMESTER</v>
      </c>
      <c r="AC209" s="51">
        <f>VLOOKUP(Table37[[#This Row],[MONTH]],TAGS!$W$67:$Z$81,4,FALSE)</f>
        <v>2025</v>
      </c>
      <c r="AD209" s="47"/>
      <c r="AE209" s="47">
        <v>4000</v>
      </c>
      <c r="AF209" s="51">
        <f>SUM(Table37[[#This Row],[MOOE (Php ''000)]:[CO (Php ''000)]])</f>
        <v>4000</v>
      </c>
      <c r="AG209" s="71" t="b">
        <f>ISBLANK(Table37[[#This Row],[PRPOPOSAL/BEDS]])</f>
        <v>0</v>
      </c>
      <c r="AH209" s="71" t="b">
        <f>ISBLANK(Table37[[#This Row],[OU]])</f>
        <v>0</v>
      </c>
      <c r="AI209" s="71" t="b">
        <f>ISBLANK(Table37[[#This Row],[SPECIFIC COMMODITY]])</f>
        <v>0</v>
      </c>
      <c r="AJ209" s="71" t="b">
        <f>ISBLANK(Table37[[#This Row],[COMMODITY PREXC SUB-PROGRAM]])</f>
        <v>0</v>
      </c>
      <c r="AK209" s="71" t="b">
        <f>ISBLANK(Table37[[#This Row],[ACTIVITY]])</f>
        <v>0</v>
      </c>
      <c r="AL209" s="71" t="b">
        <f>ISBLANK(Table37[[#This Row],[TAG-GAD]])</f>
        <v>0</v>
      </c>
      <c r="AM209" s="71" t="b">
        <f>ISBLANK(Table37[[#This Row],[MONTH]])</f>
        <v>0</v>
      </c>
      <c r="AN209" s="71" t="b">
        <f>ISBLANK(Table37[[#This Row],[MOOE (Php ''000)]])</f>
        <v>1</v>
      </c>
      <c r="AO209" s="71" t="b">
        <f>ISBLANK(Table37[[#This Row],[CO (Php ''000)]])</f>
        <v>0</v>
      </c>
    </row>
    <row r="210" spans="1:41">
      <c r="A210" s="51" t="str">
        <f>VLOOKUP(Table37[[#This Row],[OU]],OU!$A$15:$B$34,2,FALSE)</f>
        <v>RFOs</v>
      </c>
      <c r="B210" s="47" t="s">
        <v>301</v>
      </c>
      <c r="C210" s="47" t="s">
        <v>574</v>
      </c>
      <c r="D210" s="47" t="s">
        <v>579</v>
      </c>
      <c r="E210" s="51" t="str">
        <f>VLOOKUP(Table37[[#This Row],[SPECIFIC COMMODITY]],TAGS!$W$48:$X$53,2,FALSE)</f>
        <v>Cassava</v>
      </c>
      <c r="F210" s="51" t="str">
        <f>VLOOKUP(Table37[[#This Row],[PREXC SUB-PROGRAM]],Table5[],2,FALSE)</f>
        <v>AGRICULTURAL  MACHINERY, EQUIPMENT, FACILITIES AND INFRASTRUCTURE PROGRAM</v>
      </c>
      <c r="G210" s="51" t="str">
        <f>VLOOKUP(Table37[[#This Row],[COMMODITY PREXC SUB-PROGRAM]],TAGS!$U$54:$V$76,2,FALSE)</f>
        <v>AMEFSS</v>
      </c>
      <c r="H210" s="47" t="s">
        <v>595</v>
      </c>
      <c r="I210" s="51" t="str">
        <f>VLOOKUP(Table37[[#This Row],[PI LEVEL 3]],'PI LEVEL'!A:C,3,FALSE)</f>
        <v>Other infrastructure constructed</v>
      </c>
      <c r="J210" s="51" t="str">
        <f>VLOOKUP(Table37[[#This Row],[PI LEVEL 3]],Table53729[[Performance Indicator Level 3]:[Performance Indicator Level 1]],2,FALSE)</f>
        <v>Other infrastructure constructed</v>
      </c>
      <c r="K210" s="51" t="str">
        <f>VLOOKUP(Table37[[#This Row],[ACTIVITY]],TAGS!B:P,2,FALSE)</f>
        <v>Water treatment system facility constructed</v>
      </c>
      <c r="L210" s="47" t="s">
        <v>198</v>
      </c>
      <c r="M210" s="51" t="str">
        <f>VLOOKUP(Table37[[#This Row],[ACTIVITY]],TAGS!$B:$P,4,FALSE)</f>
        <v>Processing related machinery &amp; equipment</v>
      </c>
      <c r="N210" s="51" t="str">
        <f>VLOOKUP(Table37[[#This Row],[ACTIVITY]],TAGS!$B:$P,5,FALSE)</f>
        <v>Processing-related</v>
      </c>
      <c r="O210" s="51" t="str">
        <f>VLOOKUP(Table37[[#This Row],[ACTIVITY]],TAGS!$B:$P,6,FALSE)</f>
        <v>Waster Water Treatment System</v>
      </c>
      <c r="P210" s="51" t="str">
        <f>VLOOKUP(Table37[[#This Row],[ACTIVITY]],TAGS!$B:$P,7,FALSE)</f>
        <v>NO</v>
      </c>
      <c r="Q210" s="51" t="str">
        <f>VLOOKUP(Table37[[#This Row],[ACTIVITY]],TAGS!$B:$P,8,FALSE)</f>
        <v>PAP</v>
      </c>
      <c r="R210" s="51" t="str">
        <f>VLOOKUP(Table37[[#This Row],[ACTIVITY]],TAGS!$B:$P,10,FALSE)</f>
        <v>PIP</v>
      </c>
      <c r="S210" s="51" t="str">
        <f>VLOOKUP(Table37[[#This Row],[ACTIVITY]],TAGS!$B:$P,11,FALSE)</f>
        <v>PICS</v>
      </c>
      <c r="T210" s="51" t="str">
        <f>VLOOKUP(Table37[[#This Row],[ACTIVITY]],TAGS!$B:$P,12,FALSE)</f>
        <v>Modernization</v>
      </c>
      <c r="U210" s="51" t="str">
        <f>VLOOKUP(Table37[[#This Row],[ACTIVITY]],TAGS!$B:$P,13,FALSE)</f>
        <v>8. Farm Mechanization and Farm Investments</v>
      </c>
      <c r="V210" s="51" t="str">
        <f>VLOOKUP(Table37[[#This Row],[ACTIVITY]],TAGS!$B:$P,14,FALSE)</f>
        <v>DEVELOP AND IMPROVE POST-HARVEST SYSTEMS AND INFRASTRUCTURE</v>
      </c>
      <c r="W210" s="51" t="str">
        <f>VLOOKUP(Table37[[#This Row],[ACTIVITY]],TAGS!$B:$P,15,FALSE)</f>
        <v>Processing facilities</v>
      </c>
      <c r="X210" s="51" t="str">
        <f>VLOOKUP(Table37[[#This Row],[PI LEVEL 3]],'PI LEVEL'!$A:$G,7,FALSE)</f>
        <v>DA-Level Output</v>
      </c>
      <c r="Y210" s="47" t="s">
        <v>577</v>
      </c>
      <c r="Z210" s="47" t="s">
        <v>338</v>
      </c>
      <c r="AA210" s="51" t="str">
        <f>VLOOKUP(Table37[[#This Row],[MONTH]],TAGS!$W$67:$Y$81,2,FALSE)</f>
        <v>4TH QTR</v>
      </c>
      <c r="AB210" s="51" t="str">
        <f>VLOOKUP(Table37[[#This Row],[MONTH]],TAGS!$W$67:$Y$81,3,FALSE)</f>
        <v>2ND SEMESTER</v>
      </c>
      <c r="AC210" s="51">
        <f>VLOOKUP(Table37[[#This Row],[MONTH]],TAGS!$W$67:$Z$81,4,FALSE)</f>
        <v>2025</v>
      </c>
      <c r="AD210" s="47"/>
      <c r="AE210" s="47">
        <v>4000</v>
      </c>
      <c r="AF210" s="51">
        <f>SUM(Table37[[#This Row],[MOOE (Php ''000)]:[CO (Php ''000)]])</f>
        <v>4000</v>
      </c>
      <c r="AG210" s="71" t="b">
        <f>ISBLANK(Table37[[#This Row],[PRPOPOSAL/BEDS]])</f>
        <v>0</v>
      </c>
      <c r="AH210" s="71" t="b">
        <f>ISBLANK(Table37[[#This Row],[OU]])</f>
        <v>0</v>
      </c>
      <c r="AI210" s="71" t="b">
        <f>ISBLANK(Table37[[#This Row],[SPECIFIC COMMODITY]])</f>
        <v>0</v>
      </c>
      <c r="AJ210" s="71" t="b">
        <f>ISBLANK(Table37[[#This Row],[COMMODITY PREXC SUB-PROGRAM]])</f>
        <v>0</v>
      </c>
      <c r="AK210" s="71" t="b">
        <f>ISBLANK(Table37[[#This Row],[ACTIVITY]])</f>
        <v>0</v>
      </c>
      <c r="AL210" s="71" t="b">
        <f>ISBLANK(Table37[[#This Row],[TAG-GAD]])</f>
        <v>0</v>
      </c>
      <c r="AM210" s="71" t="b">
        <f>ISBLANK(Table37[[#This Row],[MONTH]])</f>
        <v>0</v>
      </c>
      <c r="AN210" s="71" t="b">
        <f>ISBLANK(Table37[[#This Row],[MOOE (Php ''000)]])</f>
        <v>1</v>
      </c>
      <c r="AO210" s="71" t="b">
        <f>ISBLANK(Table37[[#This Row],[CO (Php ''000)]])</f>
        <v>0</v>
      </c>
    </row>
    <row r="211" spans="1:41">
      <c r="A211" s="51" t="str">
        <f>VLOOKUP(Table37[[#This Row],[OU]],OU!$A$15:$B$34,2,FALSE)</f>
        <v>RFOs</v>
      </c>
      <c r="B211" s="47" t="s">
        <v>301</v>
      </c>
      <c r="C211" s="47" t="s">
        <v>574</v>
      </c>
      <c r="D211" s="47" t="s">
        <v>579</v>
      </c>
      <c r="E211" s="51" t="str">
        <f>VLOOKUP(Table37[[#This Row],[SPECIFIC COMMODITY]],TAGS!$W$48:$X$53,2,FALSE)</f>
        <v>Cassava</v>
      </c>
      <c r="F211" s="51" t="str">
        <f>VLOOKUP(Table37[[#This Row],[PREXC SUB-PROGRAM]],Table5[],2,FALSE)</f>
        <v>AGRICULTURAL  MACHINERY, EQUIPMENT, FACILITIES AND INFRASTRUCTURE PROGRAM</v>
      </c>
      <c r="G211" s="51" t="str">
        <f>VLOOKUP(Table37[[#This Row],[COMMODITY PREXC SUB-PROGRAM]],TAGS!$U$54:$V$76,2,FALSE)</f>
        <v>AMEFSS</v>
      </c>
      <c r="H211" s="47" t="s">
        <v>595</v>
      </c>
      <c r="I211" s="51" t="str">
        <f>VLOOKUP(Table37[[#This Row],[PI LEVEL 3]],'PI LEVEL'!A:C,3,FALSE)</f>
        <v>Other infrastructure constructed</v>
      </c>
      <c r="J211" s="51" t="str">
        <f>VLOOKUP(Table37[[#This Row],[PI LEVEL 3]],Table53729[[Performance Indicator Level 3]:[Performance Indicator Level 1]],2,FALSE)</f>
        <v>Other infrastructure constructed</v>
      </c>
      <c r="K211" s="51" t="str">
        <f>VLOOKUP(Table37[[#This Row],[ACTIVITY]],TAGS!B:P,2,FALSE)</f>
        <v>Water treatment system facility constructed</v>
      </c>
      <c r="L211" s="47" t="s">
        <v>198</v>
      </c>
      <c r="M211" s="51" t="str">
        <f>VLOOKUP(Table37[[#This Row],[ACTIVITY]],TAGS!$B:$P,4,FALSE)</f>
        <v>Processing related machinery &amp; equipment</v>
      </c>
      <c r="N211" s="51" t="str">
        <f>VLOOKUP(Table37[[#This Row],[ACTIVITY]],TAGS!$B:$P,5,FALSE)</f>
        <v>Processing-related</v>
      </c>
      <c r="O211" s="51" t="str">
        <f>VLOOKUP(Table37[[#This Row],[ACTIVITY]],TAGS!$B:$P,6,FALSE)</f>
        <v>Waster Water Treatment System</v>
      </c>
      <c r="P211" s="51" t="str">
        <f>VLOOKUP(Table37[[#This Row],[ACTIVITY]],TAGS!$B:$P,7,FALSE)</f>
        <v>NO</v>
      </c>
      <c r="Q211" s="51" t="str">
        <f>VLOOKUP(Table37[[#This Row],[ACTIVITY]],TAGS!$B:$P,8,FALSE)</f>
        <v>PAP</v>
      </c>
      <c r="R211" s="51" t="str">
        <f>VLOOKUP(Table37[[#This Row],[ACTIVITY]],TAGS!$B:$P,10,FALSE)</f>
        <v>PIP</v>
      </c>
      <c r="S211" s="51" t="str">
        <f>VLOOKUP(Table37[[#This Row],[ACTIVITY]],TAGS!$B:$P,11,FALSE)</f>
        <v>PICS</v>
      </c>
      <c r="T211" s="51" t="str">
        <f>VLOOKUP(Table37[[#This Row],[ACTIVITY]],TAGS!$B:$P,12,FALSE)</f>
        <v>Modernization</v>
      </c>
      <c r="U211" s="51" t="str">
        <f>VLOOKUP(Table37[[#This Row],[ACTIVITY]],TAGS!$B:$P,13,FALSE)</f>
        <v>8. Farm Mechanization and Farm Investments</v>
      </c>
      <c r="V211" s="51" t="str">
        <f>VLOOKUP(Table37[[#This Row],[ACTIVITY]],TAGS!$B:$P,14,FALSE)</f>
        <v>DEVELOP AND IMPROVE POST-HARVEST SYSTEMS AND INFRASTRUCTURE</v>
      </c>
      <c r="W211" s="51" t="str">
        <f>VLOOKUP(Table37[[#This Row],[ACTIVITY]],TAGS!$B:$P,15,FALSE)</f>
        <v>Processing facilities</v>
      </c>
      <c r="X211" s="51" t="str">
        <f>VLOOKUP(Table37[[#This Row],[PI LEVEL 3]],'PI LEVEL'!$A:$G,7,FALSE)</f>
        <v>DA-Level Output</v>
      </c>
      <c r="Y211" s="47" t="s">
        <v>577</v>
      </c>
      <c r="Z211" s="47" t="s">
        <v>340</v>
      </c>
      <c r="AA211" s="51" t="str">
        <f>VLOOKUP(Table37[[#This Row],[MONTH]],TAGS!$W$67:$Y$81,2,FALSE)</f>
        <v>1ST QTR 2026</v>
      </c>
      <c r="AB211" s="51" t="str">
        <f>VLOOKUP(Table37[[#This Row],[MONTH]],TAGS!$W$67:$Y$81,3,FALSE)</f>
        <v>1ST SEMESTER</v>
      </c>
      <c r="AC211" s="51">
        <f>VLOOKUP(Table37[[#This Row],[MONTH]],TAGS!$W$67:$Z$81,4,FALSE)</f>
        <v>2026</v>
      </c>
      <c r="AD211" s="47"/>
      <c r="AE211" s="47">
        <v>4000</v>
      </c>
      <c r="AF211" s="51">
        <f>SUM(Table37[[#This Row],[MOOE (Php ''000)]:[CO (Php ''000)]])</f>
        <v>4000</v>
      </c>
      <c r="AG211" s="71" t="b">
        <f>ISBLANK(Table37[[#This Row],[PRPOPOSAL/BEDS]])</f>
        <v>0</v>
      </c>
      <c r="AH211" s="71" t="b">
        <f>ISBLANK(Table37[[#This Row],[OU]])</f>
        <v>0</v>
      </c>
      <c r="AI211" s="71" t="b">
        <f>ISBLANK(Table37[[#This Row],[SPECIFIC COMMODITY]])</f>
        <v>0</v>
      </c>
      <c r="AJ211" s="71" t="b">
        <f>ISBLANK(Table37[[#This Row],[COMMODITY PREXC SUB-PROGRAM]])</f>
        <v>0</v>
      </c>
      <c r="AK211" s="71" t="b">
        <f>ISBLANK(Table37[[#This Row],[ACTIVITY]])</f>
        <v>0</v>
      </c>
      <c r="AL211" s="71" t="b">
        <f>ISBLANK(Table37[[#This Row],[TAG-GAD]])</f>
        <v>0</v>
      </c>
      <c r="AM211" s="71" t="b">
        <f>ISBLANK(Table37[[#This Row],[MONTH]])</f>
        <v>0</v>
      </c>
      <c r="AN211" s="71" t="b">
        <f>ISBLANK(Table37[[#This Row],[MOOE (Php ''000)]])</f>
        <v>1</v>
      </c>
      <c r="AO211" s="71" t="b">
        <f>ISBLANK(Table37[[#This Row],[CO (Php ''000)]])</f>
        <v>0</v>
      </c>
    </row>
    <row r="212" spans="1:41">
      <c r="A212" s="51" t="str">
        <f>VLOOKUP(Table37[[#This Row],[OU]],OU!$A$15:$B$34,2,FALSE)</f>
        <v>RFOs</v>
      </c>
      <c r="B212" s="47" t="s">
        <v>301</v>
      </c>
      <c r="C212" s="47" t="s">
        <v>574</v>
      </c>
      <c r="D212" s="47" t="s">
        <v>579</v>
      </c>
      <c r="E212" s="51" t="str">
        <f>VLOOKUP(Table37[[#This Row],[SPECIFIC COMMODITY]],TAGS!$W$48:$X$53,2,FALSE)</f>
        <v>Cassava</v>
      </c>
      <c r="F212" s="51" t="str">
        <f>VLOOKUP(Table37[[#This Row],[PREXC SUB-PROGRAM]],Table5[],2,FALSE)</f>
        <v>AGRICULTURAL  MACHINERY, EQUIPMENT, FACILITIES AND INFRASTRUCTURE PROGRAM</v>
      </c>
      <c r="G212" s="51" t="str">
        <f>VLOOKUP(Table37[[#This Row],[COMMODITY PREXC SUB-PROGRAM]],TAGS!$U$54:$V$76,2,FALSE)</f>
        <v>AMEFSS</v>
      </c>
      <c r="H212" s="47" t="s">
        <v>595</v>
      </c>
      <c r="I212" s="51" t="str">
        <f>VLOOKUP(Table37[[#This Row],[PI LEVEL 3]],'PI LEVEL'!A:C,3,FALSE)</f>
        <v>Other infrastructure constructed</v>
      </c>
      <c r="J212" s="51" t="str">
        <f>VLOOKUP(Table37[[#This Row],[PI LEVEL 3]],Table53729[[Performance Indicator Level 3]:[Performance Indicator Level 1]],2,FALSE)</f>
        <v>Other infrastructure constructed</v>
      </c>
      <c r="K212" s="51" t="str">
        <f>VLOOKUP(Table37[[#This Row],[ACTIVITY]],TAGS!B:P,2,FALSE)</f>
        <v>Water treatment system facility constructed</v>
      </c>
      <c r="L212" s="47" t="s">
        <v>198</v>
      </c>
      <c r="M212" s="51" t="str">
        <f>VLOOKUP(Table37[[#This Row],[ACTIVITY]],TAGS!$B:$P,4,FALSE)</f>
        <v>Processing related machinery &amp; equipment</v>
      </c>
      <c r="N212" s="51" t="str">
        <f>VLOOKUP(Table37[[#This Row],[ACTIVITY]],TAGS!$B:$P,5,FALSE)</f>
        <v>Processing-related</v>
      </c>
      <c r="O212" s="51" t="str">
        <f>VLOOKUP(Table37[[#This Row],[ACTIVITY]],TAGS!$B:$P,6,FALSE)</f>
        <v>Waster Water Treatment System</v>
      </c>
      <c r="P212" s="51" t="str">
        <f>VLOOKUP(Table37[[#This Row],[ACTIVITY]],TAGS!$B:$P,7,FALSE)</f>
        <v>NO</v>
      </c>
      <c r="Q212" s="51" t="str">
        <f>VLOOKUP(Table37[[#This Row],[ACTIVITY]],TAGS!$B:$P,8,FALSE)</f>
        <v>PAP</v>
      </c>
      <c r="R212" s="51" t="str">
        <f>VLOOKUP(Table37[[#This Row],[ACTIVITY]],TAGS!$B:$P,10,FALSE)</f>
        <v>PIP</v>
      </c>
      <c r="S212" s="51" t="str">
        <f>VLOOKUP(Table37[[#This Row],[ACTIVITY]],TAGS!$B:$P,11,FALSE)</f>
        <v>PICS</v>
      </c>
      <c r="T212" s="51" t="str">
        <f>VLOOKUP(Table37[[#This Row],[ACTIVITY]],TAGS!$B:$P,12,FALSE)</f>
        <v>Modernization</v>
      </c>
      <c r="U212" s="51" t="str">
        <f>VLOOKUP(Table37[[#This Row],[ACTIVITY]],TAGS!$B:$P,13,FALSE)</f>
        <v>8. Farm Mechanization and Farm Investments</v>
      </c>
      <c r="V212" s="51" t="str">
        <f>VLOOKUP(Table37[[#This Row],[ACTIVITY]],TAGS!$B:$P,14,FALSE)</f>
        <v>DEVELOP AND IMPROVE POST-HARVEST SYSTEMS AND INFRASTRUCTURE</v>
      </c>
      <c r="W212" s="51" t="str">
        <f>VLOOKUP(Table37[[#This Row],[ACTIVITY]],TAGS!$B:$P,15,FALSE)</f>
        <v>Processing facilities</v>
      </c>
      <c r="X212" s="51" t="str">
        <f>VLOOKUP(Table37[[#This Row],[PI LEVEL 3]],'PI LEVEL'!$A:$G,7,FALSE)</f>
        <v>DA-Level Output</v>
      </c>
      <c r="Y212" s="47" t="s">
        <v>577</v>
      </c>
      <c r="Z212" s="47" t="s">
        <v>339</v>
      </c>
      <c r="AA212" s="51" t="str">
        <f>VLOOKUP(Table37[[#This Row],[MONTH]],TAGS!$W$67:$Y$81,2,FALSE)</f>
        <v>1ST QTR 2026</v>
      </c>
      <c r="AB212" s="51" t="str">
        <f>VLOOKUP(Table37[[#This Row],[MONTH]],TAGS!$W$67:$Y$81,3,FALSE)</f>
        <v>1ST SEMESTER</v>
      </c>
      <c r="AC212" s="51">
        <f>VLOOKUP(Table37[[#This Row],[MONTH]],TAGS!$W$67:$Z$81,4,FALSE)</f>
        <v>2026</v>
      </c>
      <c r="AD212" s="47"/>
      <c r="AE212" s="47">
        <v>4000</v>
      </c>
      <c r="AF212" s="51">
        <f>SUM(Table37[[#This Row],[MOOE (Php ''000)]:[CO (Php ''000)]])</f>
        <v>4000</v>
      </c>
      <c r="AG212" s="71" t="b">
        <f>ISBLANK(Table37[[#This Row],[PRPOPOSAL/BEDS]])</f>
        <v>0</v>
      </c>
      <c r="AH212" s="71" t="b">
        <f>ISBLANK(Table37[[#This Row],[OU]])</f>
        <v>0</v>
      </c>
      <c r="AI212" s="71" t="b">
        <f>ISBLANK(Table37[[#This Row],[SPECIFIC COMMODITY]])</f>
        <v>0</v>
      </c>
      <c r="AJ212" s="71" t="b">
        <f>ISBLANK(Table37[[#This Row],[COMMODITY PREXC SUB-PROGRAM]])</f>
        <v>0</v>
      </c>
      <c r="AK212" s="71" t="b">
        <f>ISBLANK(Table37[[#This Row],[ACTIVITY]])</f>
        <v>0</v>
      </c>
      <c r="AL212" s="71" t="b">
        <f>ISBLANK(Table37[[#This Row],[TAG-GAD]])</f>
        <v>0</v>
      </c>
      <c r="AM212" s="71" t="b">
        <f>ISBLANK(Table37[[#This Row],[MONTH]])</f>
        <v>0</v>
      </c>
      <c r="AN212" s="71" t="b">
        <f>ISBLANK(Table37[[#This Row],[MOOE (Php ''000)]])</f>
        <v>1</v>
      </c>
      <c r="AO212" s="71" t="b">
        <f>ISBLANK(Table37[[#This Row],[CO (Php ''000)]])</f>
        <v>0</v>
      </c>
    </row>
    <row r="213" spans="1:41">
      <c r="A213" s="51" t="str">
        <f>VLOOKUP(Table37[[#This Row],[OU]],OU!$A$15:$B$34,2,FALSE)</f>
        <v>RFOs</v>
      </c>
      <c r="B213" s="47" t="s">
        <v>301</v>
      </c>
      <c r="C213" s="47" t="s">
        <v>574</v>
      </c>
      <c r="D213" s="47" t="s">
        <v>579</v>
      </c>
      <c r="E213" s="51" t="str">
        <f>VLOOKUP(Table37[[#This Row],[SPECIFIC COMMODITY]],TAGS!$W$48:$X$53,2,FALSE)</f>
        <v>Cassava</v>
      </c>
      <c r="F213" s="51" t="str">
        <f>VLOOKUP(Table37[[#This Row],[PREXC SUB-PROGRAM]],Table5[],2,FALSE)</f>
        <v>AGRICULTURAL  MACHINERY, EQUIPMENT, FACILITIES AND INFRASTRUCTURE PROGRAM</v>
      </c>
      <c r="G213" s="51" t="str">
        <f>VLOOKUP(Table37[[#This Row],[COMMODITY PREXC SUB-PROGRAM]],TAGS!$U$54:$V$76,2,FALSE)</f>
        <v>AMEFSS</v>
      </c>
      <c r="H213" s="47" t="s">
        <v>595</v>
      </c>
      <c r="I213" s="51" t="str">
        <f>VLOOKUP(Table37[[#This Row],[PI LEVEL 3]],'PI LEVEL'!A:C,3,FALSE)</f>
        <v>Other infrastructure constructed</v>
      </c>
      <c r="J213" s="51" t="str">
        <f>VLOOKUP(Table37[[#This Row],[PI LEVEL 3]],Table53729[[Performance Indicator Level 3]:[Performance Indicator Level 1]],2,FALSE)</f>
        <v>Other infrastructure constructed</v>
      </c>
      <c r="K213" s="51" t="str">
        <f>VLOOKUP(Table37[[#This Row],[ACTIVITY]],TAGS!B:P,2,FALSE)</f>
        <v>Water treatment system facility constructed</v>
      </c>
      <c r="L213" s="47" t="s">
        <v>198</v>
      </c>
      <c r="M213" s="51" t="str">
        <f>VLOOKUP(Table37[[#This Row],[ACTIVITY]],TAGS!$B:$P,4,FALSE)</f>
        <v>Processing related machinery &amp; equipment</v>
      </c>
      <c r="N213" s="51" t="str">
        <f>VLOOKUP(Table37[[#This Row],[ACTIVITY]],TAGS!$B:$P,5,FALSE)</f>
        <v>Processing-related</v>
      </c>
      <c r="O213" s="51" t="str">
        <f>VLOOKUP(Table37[[#This Row],[ACTIVITY]],TAGS!$B:$P,6,FALSE)</f>
        <v>Waster Water Treatment System</v>
      </c>
      <c r="P213" s="51" t="str">
        <f>VLOOKUP(Table37[[#This Row],[ACTIVITY]],TAGS!$B:$P,7,FALSE)</f>
        <v>NO</v>
      </c>
      <c r="Q213" s="51" t="str">
        <f>VLOOKUP(Table37[[#This Row],[ACTIVITY]],TAGS!$B:$P,8,FALSE)</f>
        <v>PAP</v>
      </c>
      <c r="R213" s="51" t="str">
        <f>VLOOKUP(Table37[[#This Row],[ACTIVITY]],TAGS!$B:$P,10,FALSE)</f>
        <v>PIP</v>
      </c>
      <c r="S213" s="51" t="str">
        <f>VLOOKUP(Table37[[#This Row],[ACTIVITY]],TAGS!$B:$P,11,FALSE)</f>
        <v>PICS</v>
      </c>
      <c r="T213" s="51" t="str">
        <f>VLOOKUP(Table37[[#This Row],[ACTIVITY]],TAGS!$B:$P,12,FALSE)</f>
        <v>Modernization</v>
      </c>
      <c r="U213" s="51" t="str">
        <f>VLOOKUP(Table37[[#This Row],[ACTIVITY]],TAGS!$B:$P,13,FALSE)</f>
        <v>8. Farm Mechanization and Farm Investments</v>
      </c>
      <c r="V213" s="51" t="str">
        <f>VLOOKUP(Table37[[#This Row],[ACTIVITY]],TAGS!$B:$P,14,FALSE)</f>
        <v>DEVELOP AND IMPROVE POST-HARVEST SYSTEMS AND INFRASTRUCTURE</v>
      </c>
      <c r="W213" s="51" t="str">
        <f>VLOOKUP(Table37[[#This Row],[ACTIVITY]],TAGS!$B:$P,15,FALSE)</f>
        <v>Processing facilities</v>
      </c>
      <c r="X213" s="51" t="str">
        <f>VLOOKUP(Table37[[#This Row],[PI LEVEL 3]],'PI LEVEL'!$A:$G,7,FALSE)</f>
        <v>DA-Level Output</v>
      </c>
      <c r="Y213" s="47" t="s">
        <v>577</v>
      </c>
      <c r="Z213" s="47" t="s">
        <v>341</v>
      </c>
      <c r="AA213" s="51" t="str">
        <f>VLOOKUP(Table37[[#This Row],[MONTH]],TAGS!$W$67:$Y$81,2,FALSE)</f>
        <v>1ST QTR 2026</v>
      </c>
      <c r="AB213" s="51" t="str">
        <f>VLOOKUP(Table37[[#This Row],[MONTH]],TAGS!$W$67:$Y$81,3,FALSE)</f>
        <v>1ST SEMESTER</v>
      </c>
      <c r="AC213" s="51">
        <f>VLOOKUP(Table37[[#This Row],[MONTH]],TAGS!$W$67:$Z$81,4,FALSE)</f>
        <v>2026</v>
      </c>
      <c r="AD213" s="47"/>
      <c r="AE213" s="47">
        <v>1000</v>
      </c>
      <c r="AF213" s="51">
        <f>SUM(Table37[[#This Row],[MOOE (Php ''000)]:[CO (Php ''000)]])</f>
        <v>1000</v>
      </c>
      <c r="AG213" s="71" t="b">
        <f>ISBLANK(Table37[[#This Row],[PRPOPOSAL/BEDS]])</f>
        <v>0</v>
      </c>
      <c r="AH213" s="71" t="b">
        <f>ISBLANK(Table37[[#This Row],[OU]])</f>
        <v>0</v>
      </c>
      <c r="AI213" s="71" t="b">
        <f>ISBLANK(Table37[[#This Row],[SPECIFIC COMMODITY]])</f>
        <v>0</v>
      </c>
      <c r="AJ213" s="71" t="b">
        <f>ISBLANK(Table37[[#This Row],[COMMODITY PREXC SUB-PROGRAM]])</f>
        <v>0</v>
      </c>
      <c r="AK213" s="71" t="b">
        <f>ISBLANK(Table37[[#This Row],[ACTIVITY]])</f>
        <v>0</v>
      </c>
      <c r="AL213" s="71" t="b">
        <f>ISBLANK(Table37[[#This Row],[TAG-GAD]])</f>
        <v>0</v>
      </c>
      <c r="AM213" s="71" t="b">
        <f>ISBLANK(Table37[[#This Row],[MONTH]])</f>
        <v>0</v>
      </c>
      <c r="AN213" s="71" t="b">
        <f>ISBLANK(Table37[[#This Row],[MOOE (Php ''000)]])</f>
        <v>1</v>
      </c>
      <c r="AO213" s="71" t="b">
        <f>ISBLANK(Table37[[#This Row],[CO (Php ''000)]])</f>
        <v>0</v>
      </c>
    </row>
    <row r="214" spans="1:41">
      <c r="A214" s="51" t="str">
        <f>VLOOKUP(Table37[[#This Row],[OU]],OU!$A$15:$B$34,2,FALSE)</f>
        <v>RFOs</v>
      </c>
      <c r="B214" s="47" t="s">
        <v>301</v>
      </c>
      <c r="C214" s="47" t="s">
        <v>574</v>
      </c>
      <c r="D214" s="47" t="s">
        <v>578</v>
      </c>
      <c r="E214" s="51" t="str">
        <f>VLOOKUP(Table37[[#This Row],[SPECIFIC COMMODITY]],TAGS!$W$48:$X$53,2,FALSE)</f>
        <v>Corn</v>
      </c>
      <c r="F214" s="51" t="str">
        <f>VLOOKUP(Table37[[#This Row],[PREXC SUB-PROGRAM]],Table5[],2,FALSE)</f>
        <v>AGRICULTURAL  MACHINERY, EQUIPMENT, FACILITIES AND INFRASTRUCTURE PROGRAM</v>
      </c>
      <c r="G214" s="51" t="str">
        <f>VLOOKUP(Table37[[#This Row],[COMMODITY PREXC SUB-PROGRAM]],TAGS!$U$54:$V$76,2,FALSE)</f>
        <v>INS</v>
      </c>
      <c r="H214" s="47" t="s">
        <v>596</v>
      </c>
      <c r="I214" s="51" t="str">
        <f>VLOOKUP(Table37[[#This Row],[PI LEVEL 3]],'PI LEVEL'!A:C,3,FALSE)</f>
        <v>Irrigation machinery distributed</v>
      </c>
      <c r="J214" s="51" t="str">
        <f>VLOOKUP(Table37[[#This Row],[PI LEVEL 3]],Table53729[[Performance Indicator Level 3]:[Performance Indicator Level 1]],2,FALSE)</f>
        <v>Irrigation machinery distributed</v>
      </c>
      <c r="K214" s="51" t="str">
        <f>VLOOKUP(Table37[[#This Row],[ACTIVITY]],TAGS!B:P,2,FALSE)</f>
        <v>Pump and Engine Set distributed</v>
      </c>
      <c r="L214" s="47" t="s">
        <v>210</v>
      </c>
      <c r="M214" s="51" t="str">
        <f>VLOOKUP(Table37[[#This Row],[ACTIVITY]],TAGS!$B:$P,4,FALSE)</f>
        <v>Small-scale Irrigation Projects</v>
      </c>
      <c r="N214" s="51" t="str">
        <f>VLOOKUP(Table37[[#This Row],[ACTIVITY]],TAGS!$B:$P,5,FALSE)</f>
        <v>Small-scale Irrigation Projects (SSIPs)</v>
      </c>
      <c r="O214" s="51" t="str">
        <f>VLOOKUP(Table37[[#This Row],[ACTIVITY]],TAGS!$B:$P,6,FALSE)</f>
        <v>Open Source Pumping Set</v>
      </c>
      <c r="P214" s="51" t="str">
        <f>VLOOKUP(Table37[[#This Row],[ACTIVITY]],TAGS!$B:$P,7,FALSE)</f>
        <v>YES</v>
      </c>
      <c r="Q214" s="51" t="str">
        <f>VLOOKUP(Table37[[#This Row],[ACTIVITY]],TAGS!$B:$P,8,FALSE)</f>
        <v>PAP</v>
      </c>
      <c r="R214" s="51" t="str">
        <f>VLOOKUP(Table37[[#This Row],[ACTIVITY]],TAGS!$B:$P,10,FALSE)</f>
        <v>PIP</v>
      </c>
      <c r="S214" s="51" t="str">
        <f>VLOOKUP(Table37[[#This Row],[ACTIVITY]],TAGS!$B:$P,11,FALSE)</f>
        <v>PICS</v>
      </c>
      <c r="T214" s="51" t="str">
        <f>VLOOKUP(Table37[[#This Row],[ACTIVITY]],TAGS!$B:$P,12,FALSE)</f>
        <v>Modernization</v>
      </c>
      <c r="U214" s="51" t="str">
        <f>VLOOKUP(Table37[[#This Row],[ACTIVITY]],TAGS!$B:$P,13,FALSE)</f>
        <v>8. Farm Mechanization and Farm Investments</v>
      </c>
      <c r="V214" s="51" t="str">
        <f>VLOOKUP(Table37[[#This Row],[ACTIVITY]],TAGS!$B:$P,14,FALSE)</f>
        <v>EXPAND AND IMPROVE AVAILABLE AGRI-FISHERY AREAS FOR INCREASED PRODUCTION</v>
      </c>
      <c r="W214" s="51" t="str">
        <f>VLOOKUP(Table37[[#This Row],[ACTIVITY]],TAGS!$B:$P,15,FALSE)</f>
        <v>Irrigation</v>
      </c>
      <c r="X214" s="51" t="str">
        <f>VLOOKUP(Table37[[#This Row],[PI LEVEL 3]],'PI LEVEL'!$A:$G,7,FALSE)</f>
        <v>DA-Level Output</v>
      </c>
      <c r="Y214" s="47" t="s">
        <v>577</v>
      </c>
      <c r="Z214" s="47" t="s">
        <v>335</v>
      </c>
      <c r="AA214" s="51" t="str">
        <f>VLOOKUP(Table37[[#This Row],[MONTH]],TAGS!$W$67:$Y$81,2,FALSE)</f>
        <v>3RD QTR</v>
      </c>
      <c r="AB214" s="51" t="str">
        <f>VLOOKUP(Table37[[#This Row],[MONTH]],TAGS!$W$67:$Y$81,3,FALSE)</f>
        <v>2ND SEMESTER</v>
      </c>
      <c r="AC214" s="51">
        <f>VLOOKUP(Table37[[#This Row],[MONTH]],TAGS!$W$67:$Z$81,4,FALSE)</f>
        <v>2025</v>
      </c>
      <c r="AD214" s="47"/>
      <c r="AE214" s="47">
        <v>25000</v>
      </c>
      <c r="AF214" s="51">
        <f>SUM(Table37[[#This Row],[MOOE (Php ''000)]:[CO (Php ''000)]])</f>
        <v>25000</v>
      </c>
      <c r="AG214" s="71" t="b">
        <f>ISBLANK(Table37[[#This Row],[PRPOPOSAL/BEDS]])</f>
        <v>0</v>
      </c>
      <c r="AH214" s="71" t="b">
        <f>ISBLANK(Table37[[#This Row],[OU]])</f>
        <v>0</v>
      </c>
      <c r="AI214" s="71" t="b">
        <f>ISBLANK(Table37[[#This Row],[SPECIFIC COMMODITY]])</f>
        <v>0</v>
      </c>
      <c r="AJ214" s="71" t="b">
        <f>ISBLANK(Table37[[#This Row],[COMMODITY PREXC SUB-PROGRAM]])</f>
        <v>0</v>
      </c>
      <c r="AK214" s="71" t="b">
        <f>ISBLANK(Table37[[#This Row],[ACTIVITY]])</f>
        <v>0</v>
      </c>
      <c r="AL214" s="71" t="b">
        <f>ISBLANK(Table37[[#This Row],[TAG-GAD]])</f>
        <v>0</v>
      </c>
      <c r="AM214" s="71" t="b">
        <f>ISBLANK(Table37[[#This Row],[MONTH]])</f>
        <v>0</v>
      </c>
      <c r="AN214" s="71" t="b">
        <f>ISBLANK(Table37[[#This Row],[MOOE (Php ''000)]])</f>
        <v>1</v>
      </c>
      <c r="AO214" s="71" t="b">
        <f>ISBLANK(Table37[[#This Row],[CO (Php ''000)]])</f>
        <v>0</v>
      </c>
    </row>
    <row r="215" spans="1:41">
      <c r="A215" s="51" t="str">
        <f>VLOOKUP(Table37[[#This Row],[OU]],OU!$A$15:$B$34,2,FALSE)</f>
        <v>RFOs</v>
      </c>
      <c r="B215" s="47" t="s">
        <v>301</v>
      </c>
      <c r="C215" s="47" t="s">
        <v>574</v>
      </c>
      <c r="D215" s="47" t="s">
        <v>578</v>
      </c>
      <c r="E215" s="51" t="str">
        <f>VLOOKUP(Table37[[#This Row],[SPECIFIC COMMODITY]],TAGS!$W$48:$X$53,2,FALSE)</f>
        <v>Corn</v>
      </c>
      <c r="F215" s="51" t="str">
        <f>VLOOKUP(Table37[[#This Row],[PREXC SUB-PROGRAM]],Table5[],2,FALSE)</f>
        <v>AGRICULTURAL  MACHINERY, EQUIPMENT, FACILITIES AND INFRASTRUCTURE PROGRAM</v>
      </c>
      <c r="G215" s="51" t="str">
        <f>VLOOKUP(Table37[[#This Row],[COMMODITY PREXC SUB-PROGRAM]],TAGS!$U$54:$V$76,2,FALSE)</f>
        <v>INS</v>
      </c>
      <c r="H215" s="47" t="s">
        <v>596</v>
      </c>
      <c r="I215" s="51" t="str">
        <f>VLOOKUP(Table37[[#This Row],[PI LEVEL 3]],'PI LEVEL'!A:C,3,FALSE)</f>
        <v>Irrigation machinery distributed</v>
      </c>
      <c r="J215" s="51" t="str">
        <f>VLOOKUP(Table37[[#This Row],[PI LEVEL 3]],Table53729[[Performance Indicator Level 3]:[Performance Indicator Level 1]],2,FALSE)</f>
        <v>Irrigation machinery distributed</v>
      </c>
      <c r="K215" s="51" t="str">
        <f>VLOOKUP(Table37[[#This Row],[ACTIVITY]],TAGS!B:P,2,FALSE)</f>
        <v>Pump and Engine Set distributed</v>
      </c>
      <c r="L215" s="47" t="s">
        <v>212</v>
      </c>
      <c r="M215" s="51" t="str">
        <f>VLOOKUP(Table37[[#This Row],[ACTIVITY]],TAGS!$B:$P,4,FALSE)</f>
        <v>Small-scale Irrigation Projects</v>
      </c>
      <c r="N215" s="51" t="str">
        <f>VLOOKUP(Table37[[#This Row],[ACTIVITY]],TAGS!$B:$P,5,FALSE)</f>
        <v>Small-scale Irrigation Projects (SSIPs)</v>
      </c>
      <c r="O215" s="51" t="str">
        <f>VLOOKUP(Table37[[#This Row],[ACTIVITY]],TAGS!$B:$P,6,FALSE)</f>
        <v>Mobile Solar-powered Irrigation System</v>
      </c>
      <c r="P215" s="51" t="str">
        <f>VLOOKUP(Table37[[#This Row],[ACTIVITY]],TAGS!$B:$P,7,FALSE)</f>
        <v>YES</v>
      </c>
      <c r="Q215" s="51" t="str">
        <f>VLOOKUP(Table37[[#This Row],[ACTIVITY]],TAGS!$B:$P,8,FALSE)</f>
        <v>PAP</v>
      </c>
      <c r="R215" s="51" t="str">
        <f>VLOOKUP(Table37[[#This Row],[ACTIVITY]],TAGS!$B:$P,10,FALSE)</f>
        <v>PIP</v>
      </c>
      <c r="S215" s="51" t="str">
        <f>VLOOKUP(Table37[[#This Row],[ACTIVITY]],TAGS!$B:$P,11,FALSE)</f>
        <v>PICS</v>
      </c>
      <c r="T215" s="51" t="str">
        <f>VLOOKUP(Table37[[#This Row],[ACTIVITY]],TAGS!$B:$P,12,FALSE)</f>
        <v>Modernization</v>
      </c>
      <c r="U215" s="51" t="str">
        <f>VLOOKUP(Table37[[#This Row],[ACTIVITY]],TAGS!$B:$P,13,FALSE)</f>
        <v>8. Farm Mechanization and Farm Investments</v>
      </c>
      <c r="V215" s="51" t="str">
        <f>VLOOKUP(Table37[[#This Row],[ACTIVITY]],TAGS!$B:$P,14,FALSE)</f>
        <v>EXPAND AND IMPROVE AVAILABLE AGRI-FISHERY AREAS FOR INCREASED PRODUCTION</v>
      </c>
      <c r="W215" s="51" t="str">
        <f>VLOOKUP(Table37[[#This Row],[ACTIVITY]],TAGS!$B:$P,15,FALSE)</f>
        <v>Irrigation</v>
      </c>
      <c r="X215" s="51" t="str">
        <f>VLOOKUP(Table37[[#This Row],[PI LEVEL 3]],'PI LEVEL'!$A:$G,7,FALSE)</f>
        <v>DA-Level Output</v>
      </c>
      <c r="Y215" s="47" t="s">
        <v>577</v>
      </c>
      <c r="Z215" s="47" t="s">
        <v>337</v>
      </c>
      <c r="AA215" s="51" t="str">
        <f>VLOOKUP(Table37[[#This Row],[MONTH]],TAGS!$W$67:$Y$81,2,FALSE)</f>
        <v>4TH QTR</v>
      </c>
      <c r="AB215" s="51" t="str">
        <f>VLOOKUP(Table37[[#This Row],[MONTH]],TAGS!$W$67:$Y$81,3,FALSE)</f>
        <v>2ND SEMESTER</v>
      </c>
      <c r="AC215" s="51">
        <f>VLOOKUP(Table37[[#This Row],[MONTH]],TAGS!$W$67:$Z$81,4,FALSE)</f>
        <v>2025</v>
      </c>
      <c r="AD215" s="47"/>
      <c r="AE215" s="47">
        <v>10000</v>
      </c>
      <c r="AF215" s="51">
        <f>SUM(Table37[[#This Row],[MOOE (Php ''000)]:[CO (Php ''000)]])</f>
        <v>10000</v>
      </c>
      <c r="AG215" s="71" t="b">
        <f>ISBLANK(Table37[[#This Row],[PRPOPOSAL/BEDS]])</f>
        <v>0</v>
      </c>
      <c r="AH215" s="71" t="b">
        <f>ISBLANK(Table37[[#This Row],[OU]])</f>
        <v>0</v>
      </c>
      <c r="AI215" s="71" t="b">
        <f>ISBLANK(Table37[[#This Row],[SPECIFIC COMMODITY]])</f>
        <v>0</v>
      </c>
      <c r="AJ215" s="71" t="b">
        <f>ISBLANK(Table37[[#This Row],[COMMODITY PREXC SUB-PROGRAM]])</f>
        <v>0</v>
      </c>
      <c r="AK215" s="71" t="b">
        <f>ISBLANK(Table37[[#This Row],[ACTIVITY]])</f>
        <v>0</v>
      </c>
      <c r="AL215" s="71" t="b">
        <f>ISBLANK(Table37[[#This Row],[TAG-GAD]])</f>
        <v>0</v>
      </c>
      <c r="AM215" s="71" t="b">
        <f>ISBLANK(Table37[[#This Row],[MONTH]])</f>
        <v>0</v>
      </c>
      <c r="AN215" s="71" t="b">
        <f>ISBLANK(Table37[[#This Row],[MOOE (Php ''000)]])</f>
        <v>1</v>
      </c>
      <c r="AO215" s="71" t="b">
        <f>ISBLANK(Table37[[#This Row],[CO (Php ''000)]])</f>
        <v>0</v>
      </c>
    </row>
    <row r="216" spans="1:41">
      <c r="A216" s="51" t="str">
        <f>VLOOKUP(Table37[[#This Row],[OU]],OU!$A$15:$B$34,2,FALSE)</f>
        <v>RFOs</v>
      </c>
      <c r="B216" s="47" t="s">
        <v>301</v>
      </c>
      <c r="C216" s="47" t="s">
        <v>574</v>
      </c>
      <c r="D216" s="47" t="s">
        <v>585</v>
      </c>
      <c r="E216" s="51" t="str">
        <f>VLOOKUP(Table37[[#This Row],[SPECIFIC COMMODITY]],TAGS!$W$48:$X$53,2,FALSE)</f>
        <v>Multi_commodity</v>
      </c>
      <c r="F216" s="51" t="str">
        <f>VLOOKUP(Table37[[#This Row],[PREXC SUB-PROGRAM]],Table5[],2,FALSE)</f>
        <v>FIELD PROGRAMS MANAGEMENT ACTIVITIES</v>
      </c>
      <c r="G216" s="51" t="str">
        <f>VLOOKUP(Table37[[#This Row],[COMMODITY PREXC SUB-PROGRAM]],TAGS!$U$54:$V$76,2,FALSE)</f>
        <v>FPMA</v>
      </c>
      <c r="H216" s="47" t="s">
        <v>597</v>
      </c>
      <c r="I216" s="51" t="str">
        <f>VLOOKUP(Table37[[#This Row],[PI LEVEL 3]],'PI LEVEL'!A:C,3,FALSE)</f>
        <v>National/Regional Field Monitoring conducted</v>
      </c>
      <c r="J216" s="51" t="str">
        <f>VLOOKUP(Table37[[#This Row],[PI LEVEL 3]],Table53729[[Performance Indicator Level 3]:[Performance Indicator Level 1]],2,FALSE)</f>
        <v>National/Regional Field Monitoring conducted</v>
      </c>
      <c r="K216" s="51" t="str">
        <f>VLOOKUP(Table37[[#This Row],[ACTIVITY]],TAGS!B:P,2,FALSE)</f>
        <v>National/Regional Field Monitoring conducted</v>
      </c>
      <c r="L216" s="47" t="s">
        <v>227</v>
      </c>
      <c r="M216" s="51" t="str">
        <f>VLOOKUP(Table37[[#This Row],[ACTIVITY]],TAGS!$B:$P,4,FALSE)</f>
        <v>FPMA</v>
      </c>
      <c r="N216" s="51" t="str">
        <f>VLOOKUP(Table37[[#This Row],[ACTIVITY]],TAGS!$B:$P,5,FALSE)</f>
        <v>FPMA</v>
      </c>
      <c r="O216" s="51" t="str">
        <f>VLOOKUP(Table37[[#This Row],[ACTIVITY]],TAGS!$B:$P,6,FALSE)</f>
        <v>Salary (Staff)</v>
      </c>
      <c r="P216" s="51" t="str">
        <f>VLOOKUP(Table37[[#This Row],[ACTIVITY]],TAGS!$B:$P,7,FALSE)</f>
        <v>NO</v>
      </c>
      <c r="Q216" s="51" t="str">
        <f>VLOOKUP(Table37[[#This Row],[ACTIVITY]],TAGS!$B:$P,8,FALSE)</f>
        <v>Overhead</v>
      </c>
      <c r="R216" s="51" t="str">
        <f>VLOOKUP(Table37[[#This Row],[ACTIVITY]],TAGS!$B:$P,10,FALSE)</f>
        <v>NON-PIP</v>
      </c>
      <c r="S216" s="51" t="str">
        <f>VLOOKUP(Table37[[#This Row],[ACTIVITY]],TAGS!$B:$P,11,FALSE)</f>
        <v>NON-PICS</v>
      </c>
      <c r="T216" s="51">
        <f>VLOOKUP(Table37[[#This Row],[ACTIVITY]],TAGS!$B:$P,12,FALSE)</f>
        <v>0</v>
      </c>
      <c r="U216" s="51">
        <f>VLOOKUP(Table37[[#This Row],[ACTIVITY]],TAGS!$B:$P,13,FALSE)</f>
        <v>0</v>
      </c>
      <c r="V216" s="51">
        <f>VLOOKUP(Table37[[#This Row],[ACTIVITY]],TAGS!$B:$P,14,FALSE)</f>
        <v>0</v>
      </c>
      <c r="W216" s="51" t="str">
        <f>VLOOKUP(Table37[[#This Row],[ACTIVITY]],TAGS!$B:$P,15,FALSE)</f>
        <v>Existing</v>
      </c>
      <c r="X216" s="51">
        <f>VLOOKUP(Table37[[#This Row],[PI LEVEL 3]],'PI LEVEL'!$A:$G,7,FALSE)</f>
        <v>0</v>
      </c>
      <c r="Y216" s="47" t="s">
        <v>577</v>
      </c>
      <c r="Z216" s="47" t="s">
        <v>328</v>
      </c>
      <c r="AA216" s="51" t="str">
        <f>VLOOKUP(Table37[[#This Row],[MONTH]],TAGS!$W$67:$Y$81,2,FALSE)</f>
        <v>1ST QTR</v>
      </c>
      <c r="AB216" s="51" t="str">
        <f>VLOOKUP(Table37[[#This Row],[MONTH]],TAGS!$W$67:$Y$81,3,FALSE)</f>
        <v>1ST SEMESTER</v>
      </c>
      <c r="AC216" s="51">
        <f>VLOOKUP(Table37[[#This Row],[MONTH]],TAGS!$W$67:$Z$81,4,FALSE)</f>
        <v>2025</v>
      </c>
      <c r="AD216" s="47">
        <v>1250</v>
      </c>
      <c r="AE216" s="47"/>
      <c r="AF216" s="51">
        <f>SUM(Table37[[#This Row],[MOOE (Php ''000)]:[CO (Php ''000)]])</f>
        <v>1250</v>
      </c>
      <c r="AG216" s="71" t="b">
        <f>ISBLANK(Table37[[#This Row],[PRPOPOSAL/BEDS]])</f>
        <v>0</v>
      </c>
      <c r="AH216" s="71" t="b">
        <f>ISBLANK(Table37[[#This Row],[OU]])</f>
        <v>0</v>
      </c>
      <c r="AI216" s="71" t="b">
        <f>ISBLANK(Table37[[#This Row],[SPECIFIC COMMODITY]])</f>
        <v>0</v>
      </c>
      <c r="AJ216" s="71" t="b">
        <f>ISBLANK(Table37[[#This Row],[COMMODITY PREXC SUB-PROGRAM]])</f>
        <v>0</v>
      </c>
      <c r="AK216" s="71" t="b">
        <f>ISBLANK(Table37[[#This Row],[ACTIVITY]])</f>
        <v>0</v>
      </c>
      <c r="AL216" s="71" t="b">
        <f>ISBLANK(Table37[[#This Row],[TAG-GAD]])</f>
        <v>0</v>
      </c>
      <c r="AM216" s="71" t="b">
        <f>ISBLANK(Table37[[#This Row],[MONTH]])</f>
        <v>0</v>
      </c>
      <c r="AN216" s="71" t="b">
        <f>ISBLANK(Table37[[#This Row],[MOOE (Php ''000)]])</f>
        <v>0</v>
      </c>
      <c r="AO216" s="71" t="b">
        <f>ISBLANK(Table37[[#This Row],[CO (Php ''000)]])</f>
        <v>1</v>
      </c>
    </row>
    <row r="217" spans="1:41">
      <c r="A217" s="51" t="str">
        <f>VLOOKUP(Table37[[#This Row],[OU]],OU!$A$15:$B$34,2,FALSE)</f>
        <v>RFOs</v>
      </c>
      <c r="B217" s="47" t="s">
        <v>301</v>
      </c>
      <c r="C217" s="47" t="s">
        <v>574</v>
      </c>
      <c r="D217" s="47" t="s">
        <v>585</v>
      </c>
      <c r="E217" s="51" t="str">
        <f>VLOOKUP(Table37[[#This Row],[SPECIFIC COMMODITY]],TAGS!$W$48:$X$53,2,FALSE)</f>
        <v>Multi_commodity</v>
      </c>
      <c r="F217" s="51" t="str">
        <f>VLOOKUP(Table37[[#This Row],[PREXC SUB-PROGRAM]],Table5[],2,FALSE)</f>
        <v>FIELD PROGRAMS MANAGEMENT ACTIVITIES</v>
      </c>
      <c r="G217" s="51" t="str">
        <f>VLOOKUP(Table37[[#This Row],[COMMODITY PREXC SUB-PROGRAM]],TAGS!$U$54:$V$76,2,FALSE)</f>
        <v>FPMA</v>
      </c>
      <c r="H217" s="47" t="s">
        <v>597</v>
      </c>
      <c r="I217" s="51" t="str">
        <f>VLOOKUP(Table37[[#This Row],[PI LEVEL 3]],'PI LEVEL'!A:C,3,FALSE)</f>
        <v>National/Regional Field Monitoring conducted</v>
      </c>
      <c r="J217" s="51" t="str">
        <f>VLOOKUP(Table37[[#This Row],[PI LEVEL 3]],Table53729[[Performance Indicator Level 3]:[Performance Indicator Level 1]],2,FALSE)</f>
        <v>National/Regional Field Monitoring conducted</v>
      </c>
      <c r="K217" s="51" t="str">
        <f>VLOOKUP(Table37[[#This Row],[ACTIVITY]],TAGS!B:P,2,FALSE)</f>
        <v>National/Regional Field Monitoring conducted</v>
      </c>
      <c r="L217" s="47" t="s">
        <v>227</v>
      </c>
      <c r="M217" s="51" t="str">
        <f>VLOOKUP(Table37[[#This Row],[ACTIVITY]],TAGS!$B:$P,4,FALSE)</f>
        <v>FPMA</v>
      </c>
      <c r="N217" s="51" t="str">
        <f>VLOOKUP(Table37[[#This Row],[ACTIVITY]],TAGS!$B:$P,5,FALSE)</f>
        <v>FPMA</v>
      </c>
      <c r="O217" s="51" t="str">
        <f>VLOOKUP(Table37[[#This Row],[ACTIVITY]],TAGS!$B:$P,6,FALSE)</f>
        <v>Salary (Staff)</v>
      </c>
      <c r="P217" s="51" t="str">
        <f>VLOOKUP(Table37[[#This Row],[ACTIVITY]],TAGS!$B:$P,7,FALSE)</f>
        <v>NO</v>
      </c>
      <c r="Q217" s="51" t="str">
        <f>VLOOKUP(Table37[[#This Row],[ACTIVITY]],TAGS!$B:$P,8,FALSE)</f>
        <v>Overhead</v>
      </c>
      <c r="R217" s="51" t="str">
        <f>VLOOKUP(Table37[[#This Row],[ACTIVITY]],TAGS!$B:$P,10,FALSE)</f>
        <v>NON-PIP</v>
      </c>
      <c r="S217" s="51" t="str">
        <f>VLOOKUP(Table37[[#This Row],[ACTIVITY]],TAGS!$B:$P,11,FALSE)</f>
        <v>NON-PICS</v>
      </c>
      <c r="T217" s="51">
        <f>VLOOKUP(Table37[[#This Row],[ACTIVITY]],TAGS!$B:$P,12,FALSE)</f>
        <v>0</v>
      </c>
      <c r="U217" s="51">
        <f>VLOOKUP(Table37[[#This Row],[ACTIVITY]],TAGS!$B:$P,13,FALSE)</f>
        <v>0</v>
      </c>
      <c r="V217" s="51">
        <f>VLOOKUP(Table37[[#This Row],[ACTIVITY]],TAGS!$B:$P,14,FALSE)</f>
        <v>0</v>
      </c>
      <c r="W217" s="51" t="str">
        <f>VLOOKUP(Table37[[#This Row],[ACTIVITY]],TAGS!$B:$P,15,FALSE)</f>
        <v>Existing</v>
      </c>
      <c r="X217" s="51">
        <f>VLOOKUP(Table37[[#This Row],[PI LEVEL 3]],'PI LEVEL'!$A:$G,7,FALSE)</f>
        <v>0</v>
      </c>
      <c r="Y217" s="47" t="s">
        <v>577</v>
      </c>
      <c r="Z217" s="47" t="s">
        <v>329</v>
      </c>
      <c r="AA217" s="51" t="str">
        <f>VLOOKUP(Table37[[#This Row],[MONTH]],TAGS!$W$67:$Y$81,2,FALSE)</f>
        <v>1ST QTR</v>
      </c>
      <c r="AB217" s="51" t="str">
        <f>VLOOKUP(Table37[[#This Row],[MONTH]],TAGS!$W$67:$Y$81,3,FALSE)</f>
        <v>1ST SEMESTER</v>
      </c>
      <c r="AC217" s="51">
        <f>VLOOKUP(Table37[[#This Row],[MONTH]],TAGS!$W$67:$Z$81,4,FALSE)</f>
        <v>2025</v>
      </c>
      <c r="AD217" s="47">
        <v>1250</v>
      </c>
      <c r="AE217" s="47"/>
      <c r="AF217" s="51">
        <f>SUM(Table37[[#This Row],[MOOE (Php ''000)]:[CO (Php ''000)]])</f>
        <v>1250</v>
      </c>
      <c r="AG217" s="71" t="b">
        <f>ISBLANK(Table37[[#This Row],[PRPOPOSAL/BEDS]])</f>
        <v>0</v>
      </c>
      <c r="AH217" s="71" t="b">
        <f>ISBLANK(Table37[[#This Row],[OU]])</f>
        <v>0</v>
      </c>
      <c r="AI217" s="71" t="b">
        <f>ISBLANK(Table37[[#This Row],[SPECIFIC COMMODITY]])</f>
        <v>0</v>
      </c>
      <c r="AJ217" s="71" t="b">
        <f>ISBLANK(Table37[[#This Row],[COMMODITY PREXC SUB-PROGRAM]])</f>
        <v>0</v>
      </c>
      <c r="AK217" s="71" t="b">
        <f>ISBLANK(Table37[[#This Row],[ACTIVITY]])</f>
        <v>0</v>
      </c>
      <c r="AL217" s="71" t="b">
        <f>ISBLANK(Table37[[#This Row],[TAG-GAD]])</f>
        <v>0</v>
      </c>
      <c r="AM217" s="71" t="b">
        <f>ISBLANK(Table37[[#This Row],[MONTH]])</f>
        <v>0</v>
      </c>
      <c r="AN217" s="71" t="b">
        <f>ISBLANK(Table37[[#This Row],[MOOE (Php ''000)]])</f>
        <v>0</v>
      </c>
      <c r="AO217" s="71" t="b">
        <f>ISBLANK(Table37[[#This Row],[CO (Php ''000)]])</f>
        <v>1</v>
      </c>
    </row>
    <row r="218" spans="1:41">
      <c r="A218" s="51" t="str">
        <f>VLOOKUP(Table37[[#This Row],[OU]],OU!$A$15:$B$34,2,FALSE)</f>
        <v>RFOs</v>
      </c>
      <c r="B218" s="47" t="s">
        <v>301</v>
      </c>
      <c r="C218" s="47" t="s">
        <v>574</v>
      </c>
      <c r="D218" s="47" t="s">
        <v>585</v>
      </c>
      <c r="E218" s="51" t="str">
        <f>VLOOKUP(Table37[[#This Row],[SPECIFIC COMMODITY]],TAGS!$W$48:$X$53,2,FALSE)</f>
        <v>Multi_commodity</v>
      </c>
      <c r="F218" s="51" t="str">
        <f>VLOOKUP(Table37[[#This Row],[PREXC SUB-PROGRAM]],Table5[],2,FALSE)</f>
        <v>FIELD PROGRAMS MANAGEMENT ACTIVITIES</v>
      </c>
      <c r="G218" s="51" t="str">
        <f>VLOOKUP(Table37[[#This Row],[COMMODITY PREXC SUB-PROGRAM]],TAGS!$U$54:$V$76,2,FALSE)</f>
        <v>FPMA</v>
      </c>
      <c r="H218" s="47" t="s">
        <v>597</v>
      </c>
      <c r="I218" s="51" t="str">
        <f>VLOOKUP(Table37[[#This Row],[PI LEVEL 3]],'PI LEVEL'!A:C,3,FALSE)</f>
        <v>National/Regional Field Monitoring conducted</v>
      </c>
      <c r="J218" s="51" t="str">
        <f>VLOOKUP(Table37[[#This Row],[PI LEVEL 3]],Table53729[[Performance Indicator Level 3]:[Performance Indicator Level 1]],2,FALSE)</f>
        <v>National/Regional Field Monitoring conducted</v>
      </c>
      <c r="K218" s="51" t="str">
        <f>VLOOKUP(Table37[[#This Row],[ACTIVITY]],TAGS!B:P,2,FALSE)</f>
        <v>National/Regional Field Monitoring conducted</v>
      </c>
      <c r="L218" s="47" t="s">
        <v>227</v>
      </c>
      <c r="M218" s="51" t="str">
        <f>VLOOKUP(Table37[[#This Row],[ACTIVITY]],TAGS!$B:$P,4,FALSE)</f>
        <v>FPMA</v>
      </c>
      <c r="N218" s="51" t="str">
        <f>VLOOKUP(Table37[[#This Row],[ACTIVITY]],TAGS!$B:$P,5,FALSE)</f>
        <v>FPMA</v>
      </c>
      <c r="O218" s="51" t="str">
        <f>VLOOKUP(Table37[[#This Row],[ACTIVITY]],TAGS!$B:$P,6,FALSE)</f>
        <v>Salary (Staff)</v>
      </c>
      <c r="P218" s="51" t="str">
        <f>VLOOKUP(Table37[[#This Row],[ACTIVITY]],TAGS!$B:$P,7,FALSE)</f>
        <v>NO</v>
      </c>
      <c r="Q218" s="51" t="str">
        <f>VLOOKUP(Table37[[#This Row],[ACTIVITY]],TAGS!$B:$P,8,FALSE)</f>
        <v>Overhead</v>
      </c>
      <c r="R218" s="51" t="str">
        <f>VLOOKUP(Table37[[#This Row],[ACTIVITY]],TAGS!$B:$P,10,FALSE)</f>
        <v>NON-PIP</v>
      </c>
      <c r="S218" s="51" t="str">
        <f>VLOOKUP(Table37[[#This Row],[ACTIVITY]],TAGS!$B:$P,11,FALSE)</f>
        <v>NON-PICS</v>
      </c>
      <c r="T218" s="51">
        <f>VLOOKUP(Table37[[#This Row],[ACTIVITY]],TAGS!$B:$P,12,FALSE)</f>
        <v>0</v>
      </c>
      <c r="U218" s="51">
        <f>VLOOKUP(Table37[[#This Row],[ACTIVITY]],TAGS!$B:$P,13,FALSE)</f>
        <v>0</v>
      </c>
      <c r="V218" s="51">
        <f>VLOOKUP(Table37[[#This Row],[ACTIVITY]],TAGS!$B:$P,14,FALSE)</f>
        <v>0</v>
      </c>
      <c r="W218" s="51" t="str">
        <f>VLOOKUP(Table37[[#This Row],[ACTIVITY]],TAGS!$B:$P,15,FALSE)</f>
        <v>Existing</v>
      </c>
      <c r="X218" s="51">
        <f>VLOOKUP(Table37[[#This Row],[PI LEVEL 3]],'PI LEVEL'!$A:$G,7,FALSE)</f>
        <v>0</v>
      </c>
      <c r="Y218" s="47" t="s">
        <v>577</v>
      </c>
      <c r="Z218" s="47" t="s">
        <v>330</v>
      </c>
      <c r="AA218" s="51" t="str">
        <f>VLOOKUP(Table37[[#This Row],[MONTH]],TAGS!$W$67:$Y$81,2,FALSE)</f>
        <v>2ND QTR</v>
      </c>
      <c r="AB218" s="51" t="str">
        <f>VLOOKUP(Table37[[#This Row],[MONTH]],TAGS!$W$67:$Y$81,3,FALSE)</f>
        <v>1ST SEMESTER</v>
      </c>
      <c r="AC218" s="51">
        <f>VLOOKUP(Table37[[#This Row],[MONTH]],TAGS!$W$67:$Z$81,4,FALSE)</f>
        <v>2025</v>
      </c>
      <c r="AD218" s="47">
        <v>1250</v>
      </c>
      <c r="AE218" s="47"/>
      <c r="AF218" s="51">
        <f>SUM(Table37[[#This Row],[MOOE (Php ''000)]:[CO (Php ''000)]])</f>
        <v>1250</v>
      </c>
      <c r="AG218" s="71" t="b">
        <f>ISBLANK(Table37[[#This Row],[PRPOPOSAL/BEDS]])</f>
        <v>0</v>
      </c>
      <c r="AH218" s="71" t="b">
        <f>ISBLANK(Table37[[#This Row],[OU]])</f>
        <v>0</v>
      </c>
      <c r="AI218" s="71" t="b">
        <f>ISBLANK(Table37[[#This Row],[SPECIFIC COMMODITY]])</f>
        <v>0</v>
      </c>
      <c r="AJ218" s="71" t="b">
        <f>ISBLANK(Table37[[#This Row],[COMMODITY PREXC SUB-PROGRAM]])</f>
        <v>0</v>
      </c>
      <c r="AK218" s="71" t="b">
        <f>ISBLANK(Table37[[#This Row],[ACTIVITY]])</f>
        <v>0</v>
      </c>
      <c r="AL218" s="71" t="b">
        <f>ISBLANK(Table37[[#This Row],[TAG-GAD]])</f>
        <v>0</v>
      </c>
      <c r="AM218" s="71" t="b">
        <f>ISBLANK(Table37[[#This Row],[MONTH]])</f>
        <v>0</v>
      </c>
      <c r="AN218" s="71" t="b">
        <f>ISBLANK(Table37[[#This Row],[MOOE (Php ''000)]])</f>
        <v>0</v>
      </c>
      <c r="AO218" s="71" t="b">
        <f>ISBLANK(Table37[[#This Row],[CO (Php ''000)]])</f>
        <v>1</v>
      </c>
    </row>
    <row r="219" spans="1:41">
      <c r="A219" s="51" t="str">
        <f>VLOOKUP(Table37[[#This Row],[OU]],OU!$A$15:$B$34,2,FALSE)</f>
        <v>RFOs</v>
      </c>
      <c r="B219" s="47" t="s">
        <v>301</v>
      </c>
      <c r="C219" s="47" t="s">
        <v>574</v>
      </c>
      <c r="D219" s="47" t="s">
        <v>585</v>
      </c>
      <c r="E219" s="51" t="str">
        <f>VLOOKUP(Table37[[#This Row],[SPECIFIC COMMODITY]],TAGS!$W$48:$X$53,2,FALSE)</f>
        <v>Multi_commodity</v>
      </c>
      <c r="F219" s="51" t="str">
        <f>VLOOKUP(Table37[[#This Row],[PREXC SUB-PROGRAM]],Table5[],2,FALSE)</f>
        <v>FIELD PROGRAMS MANAGEMENT ACTIVITIES</v>
      </c>
      <c r="G219" s="51" t="str">
        <f>VLOOKUP(Table37[[#This Row],[COMMODITY PREXC SUB-PROGRAM]],TAGS!$U$54:$V$76,2,FALSE)</f>
        <v>FPMA</v>
      </c>
      <c r="H219" s="47" t="s">
        <v>597</v>
      </c>
      <c r="I219" s="51" t="str">
        <f>VLOOKUP(Table37[[#This Row],[PI LEVEL 3]],'PI LEVEL'!A:C,3,FALSE)</f>
        <v>National/Regional Field Monitoring conducted</v>
      </c>
      <c r="J219" s="51" t="str">
        <f>VLOOKUP(Table37[[#This Row],[PI LEVEL 3]],Table53729[[Performance Indicator Level 3]:[Performance Indicator Level 1]],2,FALSE)</f>
        <v>National/Regional Field Monitoring conducted</v>
      </c>
      <c r="K219" s="51" t="str">
        <f>VLOOKUP(Table37[[#This Row],[ACTIVITY]],TAGS!B:P,2,FALSE)</f>
        <v>National/Regional Field Monitoring conducted</v>
      </c>
      <c r="L219" s="47" t="s">
        <v>227</v>
      </c>
      <c r="M219" s="51" t="str">
        <f>VLOOKUP(Table37[[#This Row],[ACTIVITY]],TAGS!$B:$P,4,FALSE)</f>
        <v>FPMA</v>
      </c>
      <c r="N219" s="51" t="str">
        <f>VLOOKUP(Table37[[#This Row],[ACTIVITY]],TAGS!$B:$P,5,FALSE)</f>
        <v>FPMA</v>
      </c>
      <c r="O219" s="51" t="str">
        <f>VLOOKUP(Table37[[#This Row],[ACTIVITY]],TAGS!$B:$P,6,FALSE)</f>
        <v>Salary (Staff)</v>
      </c>
      <c r="P219" s="51" t="str">
        <f>VLOOKUP(Table37[[#This Row],[ACTIVITY]],TAGS!$B:$P,7,FALSE)</f>
        <v>NO</v>
      </c>
      <c r="Q219" s="51" t="str">
        <f>VLOOKUP(Table37[[#This Row],[ACTIVITY]],TAGS!$B:$P,8,FALSE)</f>
        <v>Overhead</v>
      </c>
      <c r="R219" s="51" t="str">
        <f>VLOOKUP(Table37[[#This Row],[ACTIVITY]],TAGS!$B:$P,10,FALSE)</f>
        <v>NON-PIP</v>
      </c>
      <c r="S219" s="51" t="str">
        <f>VLOOKUP(Table37[[#This Row],[ACTIVITY]],TAGS!$B:$P,11,FALSE)</f>
        <v>NON-PICS</v>
      </c>
      <c r="T219" s="51">
        <f>VLOOKUP(Table37[[#This Row],[ACTIVITY]],TAGS!$B:$P,12,FALSE)</f>
        <v>0</v>
      </c>
      <c r="U219" s="51">
        <f>VLOOKUP(Table37[[#This Row],[ACTIVITY]],TAGS!$B:$P,13,FALSE)</f>
        <v>0</v>
      </c>
      <c r="V219" s="51">
        <f>VLOOKUP(Table37[[#This Row],[ACTIVITY]],TAGS!$B:$P,14,FALSE)</f>
        <v>0</v>
      </c>
      <c r="W219" s="51" t="str">
        <f>VLOOKUP(Table37[[#This Row],[ACTIVITY]],TAGS!$B:$P,15,FALSE)</f>
        <v>Existing</v>
      </c>
      <c r="X219" s="51">
        <f>VLOOKUP(Table37[[#This Row],[PI LEVEL 3]],'PI LEVEL'!$A:$G,7,FALSE)</f>
        <v>0</v>
      </c>
      <c r="Y219" s="47" t="s">
        <v>577</v>
      </c>
      <c r="Z219" s="47" t="s">
        <v>331</v>
      </c>
      <c r="AA219" s="51" t="str">
        <f>VLOOKUP(Table37[[#This Row],[MONTH]],TAGS!$W$67:$Y$81,2,FALSE)</f>
        <v>2ND QTR</v>
      </c>
      <c r="AB219" s="51" t="str">
        <f>VLOOKUP(Table37[[#This Row],[MONTH]],TAGS!$W$67:$Y$81,3,FALSE)</f>
        <v>1ST SEMESTER</v>
      </c>
      <c r="AC219" s="51">
        <f>VLOOKUP(Table37[[#This Row],[MONTH]],TAGS!$W$67:$Z$81,4,FALSE)</f>
        <v>2025</v>
      </c>
      <c r="AD219" s="47">
        <v>1250</v>
      </c>
      <c r="AE219" s="47"/>
      <c r="AF219" s="51">
        <f>SUM(Table37[[#This Row],[MOOE (Php ''000)]:[CO (Php ''000)]])</f>
        <v>1250</v>
      </c>
      <c r="AG219" s="71" t="b">
        <f>ISBLANK(Table37[[#This Row],[PRPOPOSAL/BEDS]])</f>
        <v>0</v>
      </c>
      <c r="AH219" s="71" t="b">
        <f>ISBLANK(Table37[[#This Row],[OU]])</f>
        <v>0</v>
      </c>
      <c r="AI219" s="71" t="b">
        <f>ISBLANK(Table37[[#This Row],[SPECIFIC COMMODITY]])</f>
        <v>0</v>
      </c>
      <c r="AJ219" s="71" t="b">
        <f>ISBLANK(Table37[[#This Row],[COMMODITY PREXC SUB-PROGRAM]])</f>
        <v>0</v>
      </c>
      <c r="AK219" s="71" t="b">
        <f>ISBLANK(Table37[[#This Row],[ACTIVITY]])</f>
        <v>0</v>
      </c>
      <c r="AL219" s="71" t="b">
        <f>ISBLANK(Table37[[#This Row],[TAG-GAD]])</f>
        <v>0</v>
      </c>
      <c r="AM219" s="71" t="b">
        <f>ISBLANK(Table37[[#This Row],[MONTH]])</f>
        <v>0</v>
      </c>
      <c r="AN219" s="71" t="b">
        <f>ISBLANK(Table37[[#This Row],[MOOE (Php ''000)]])</f>
        <v>0</v>
      </c>
      <c r="AO219" s="71" t="b">
        <f>ISBLANK(Table37[[#This Row],[CO (Php ''000)]])</f>
        <v>1</v>
      </c>
    </row>
    <row r="220" spans="1:41">
      <c r="A220" s="51" t="str">
        <f>VLOOKUP(Table37[[#This Row],[OU]],OU!$A$15:$B$34,2,FALSE)</f>
        <v>RFOs</v>
      </c>
      <c r="B220" s="47" t="s">
        <v>301</v>
      </c>
      <c r="C220" s="47" t="s">
        <v>574</v>
      </c>
      <c r="D220" s="47" t="s">
        <v>585</v>
      </c>
      <c r="E220" s="51" t="str">
        <f>VLOOKUP(Table37[[#This Row],[SPECIFIC COMMODITY]],TAGS!$W$48:$X$53,2,FALSE)</f>
        <v>Multi_commodity</v>
      </c>
      <c r="F220" s="51" t="str">
        <f>VLOOKUP(Table37[[#This Row],[PREXC SUB-PROGRAM]],Table5[],2,FALSE)</f>
        <v>FIELD PROGRAMS MANAGEMENT ACTIVITIES</v>
      </c>
      <c r="G220" s="51" t="str">
        <f>VLOOKUP(Table37[[#This Row],[COMMODITY PREXC SUB-PROGRAM]],TAGS!$U$54:$V$76,2,FALSE)</f>
        <v>FPMA</v>
      </c>
      <c r="H220" s="47" t="s">
        <v>597</v>
      </c>
      <c r="I220" s="51" t="str">
        <f>VLOOKUP(Table37[[#This Row],[PI LEVEL 3]],'PI LEVEL'!A:C,3,FALSE)</f>
        <v>National/Regional Field Monitoring conducted</v>
      </c>
      <c r="J220" s="51" t="str">
        <f>VLOOKUP(Table37[[#This Row],[PI LEVEL 3]],Table53729[[Performance Indicator Level 3]:[Performance Indicator Level 1]],2,FALSE)</f>
        <v>National/Regional Field Monitoring conducted</v>
      </c>
      <c r="K220" s="51" t="str">
        <f>VLOOKUP(Table37[[#This Row],[ACTIVITY]],TAGS!B:P,2,FALSE)</f>
        <v>National/Regional Field Monitoring conducted</v>
      </c>
      <c r="L220" s="47" t="s">
        <v>227</v>
      </c>
      <c r="M220" s="51" t="str">
        <f>VLOOKUP(Table37[[#This Row],[ACTIVITY]],TAGS!$B:$P,4,FALSE)</f>
        <v>FPMA</v>
      </c>
      <c r="N220" s="51" t="str">
        <f>VLOOKUP(Table37[[#This Row],[ACTIVITY]],TAGS!$B:$P,5,FALSE)</f>
        <v>FPMA</v>
      </c>
      <c r="O220" s="51" t="str">
        <f>VLOOKUP(Table37[[#This Row],[ACTIVITY]],TAGS!$B:$P,6,FALSE)</f>
        <v>Salary (Staff)</v>
      </c>
      <c r="P220" s="51" t="str">
        <f>VLOOKUP(Table37[[#This Row],[ACTIVITY]],TAGS!$B:$P,7,FALSE)</f>
        <v>NO</v>
      </c>
      <c r="Q220" s="51" t="str">
        <f>VLOOKUP(Table37[[#This Row],[ACTIVITY]],TAGS!$B:$P,8,FALSE)</f>
        <v>Overhead</v>
      </c>
      <c r="R220" s="51" t="str">
        <f>VLOOKUP(Table37[[#This Row],[ACTIVITY]],TAGS!$B:$P,10,FALSE)</f>
        <v>NON-PIP</v>
      </c>
      <c r="S220" s="51" t="str">
        <f>VLOOKUP(Table37[[#This Row],[ACTIVITY]],TAGS!$B:$P,11,FALSE)</f>
        <v>NON-PICS</v>
      </c>
      <c r="T220" s="51">
        <f>VLOOKUP(Table37[[#This Row],[ACTIVITY]],TAGS!$B:$P,12,FALSE)</f>
        <v>0</v>
      </c>
      <c r="U220" s="51">
        <f>VLOOKUP(Table37[[#This Row],[ACTIVITY]],TAGS!$B:$P,13,FALSE)</f>
        <v>0</v>
      </c>
      <c r="V220" s="51">
        <f>VLOOKUP(Table37[[#This Row],[ACTIVITY]],TAGS!$B:$P,14,FALSE)</f>
        <v>0</v>
      </c>
      <c r="W220" s="51" t="str">
        <f>VLOOKUP(Table37[[#This Row],[ACTIVITY]],TAGS!$B:$P,15,FALSE)</f>
        <v>Existing</v>
      </c>
      <c r="X220" s="51">
        <f>VLOOKUP(Table37[[#This Row],[PI LEVEL 3]],'PI LEVEL'!$A:$G,7,FALSE)</f>
        <v>0</v>
      </c>
      <c r="Y220" s="47" t="s">
        <v>577</v>
      </c>
      <c r="Z220" s="47" t="s">
        <v>332</v>
      </c>
      <c r="AA220" s="51" t="str">
        <f>VLOOKUP(Table37[[#This Row],[MONTH]],TAGS!$W$67:$Y$81,2,FALSE)</f>
        <v>2ND QTR</v>
      </c>
      <c r="AB220" s="51" t="str">
        <f>VLOOKUP(Table37[[#This Row],[MONTH]],TAGS!$W$67:$Y$81,3,FALSE)</f>
        <v>1ST SEMESTER</v>
      </c>
      <c r="AC220" s="51">
        <f>VLOOKUP(Table37[[#This Row],[MONTH]],TAGS!$W$67:$Z$81,4,FALSE)</f>
        <v>2025</v>
      </c>
      <c r="AD220" s="47">
        <v>1250</v>
      </c>
      <c r="AE220" s="47"/>
      <c r="AF220" s="51">
        <f>SUM(Table37[[#This Row],[MOOE (Php ''000)]:[CO (Php ''000)]])</f>
        <v>1250</v>
      </c>
      <c r="AG220" s="71" t="b">
        <f>ISBLANK(Table37[[#This Row],[PRPOPOSAL/BEDS]])</f>
        <v>0</v>
      </c>
      <c r="AH220" s="71" t="b">
        <f>ISBLANK(Table37[[#This Row],[OU]])</f>
        <v>0</v>
      </c>
      <c r="AI220" s="71" t="b">
        <f>ISBLANK(Table37[[#This Row],[SPECIFIC COMMODITY]])</f>
        <v>0</v>
      </c>
      <c r="AJ220" s="71" t="b">
        <f>ISBLANK(Table37[[#This Row],[COMMODITY PREXC SUB-PROGRAM]])</f>
        <v>0</v>
      </c>
      <c r="AK220" s="71" t="b">
        <f>ISBLANK(Table37[[#This Row],[ACTIVITY]])</f>
        <v>0</v>
      </c>
      <c r="AL220" s="71" t="b">
        <f>ISBLANK(Table37[[#This Row],[TAG-GAD]])</f>
        <v>0</v>
      </c>
      <c r="AM220" s="71" t="b">
        <f>ISBLANK(Table37[[#This Row],[MONTH]])</f>
        <v>0</v>
      </c>
      <c r="AN220" s="71" t="b">
        <f>ISBLANK(Table37[[#This Row],[MOOE (Php ''000)]])</f>
        <v>0</v>
      </c>
      <c r="AO220" s="71" t="b">
        <f>ISBLANK(Table37[[#This Row],[CO (Php ''000)]])</f>
        <v>1</v>
      </c>
    </row>
    <row r="221" spans="1:41">
      <c r="A221" s="51" t="str">
        <f>VLOOKUP(Table37[[#This Row],[OU]],OU!$A$15:$B$34,2,FALSE)</f>
        <v>RFOs</v>
      </c>
      <c r="B221" s="47" t="s">
        <v>301</v>
      </c>
      <c r="C221" s="47" t="s">
        <v>574</v>
      </c>
      <c r="D221" s="47" t="s">
        <v>585</v>
      </c>
      <c r="E221" s="51" t="str">
        <f>VLOOKUP(Table37[[#This Row],[SPECIFIC COMMODITY]],TAGS!$W$48:$X$53,2,FALSE)</f>
        <v>Multi_commodity</v>
      </c>
      <c r="F221" s="51" t="str">
        <f>VLOOKUP(Table37[[#This Row],[PREXC SUB-PROGRAM]],Table5[],2,FALSE)</f>
        <v>FIELD PROGRAMS MANAGEMENT ACTIVITIES</v>
      </c>
      <c r="G221" s="51" t="str">
        <f>VLOOKUP(Table37[[#This Row],[COMMODITY PREXC SUB-PROGRAM]],TAGS!$U$54:$V$76,2,FALSE)</f>
        <v>FPMA</v>
      </c>
      <c r="H221" s="47" t="s">
        <v>597</v>
      </c>
      <c r="I221" s="51" t="str">
        <f>VLOOKUP(Table37[[#This Row],[PI LEVEL 3]],'PI LEVEL'!A:C,3,FALSE)</f>
        <v>National/Regional Field Monitoring conducted</v>
      </c>
      <c r="J221" s="51" t="str">
        <f>VLOOKUP(Table37[[#This Row],[PI LEVEL 3]],Table53729[[Performance Indicator Level 3]:[Performance Indicator Level 1]],2,FALSE)</f>
        <v>National/Regional Field Monitoring conducted</v>
      </c>
      <c r="K221" s="51" t="str">
        <f>VLOOKUP(Table37[[#This Row],[ACTIVITY]],TAGS!B:P,2,FALSE)</f>
        <v>National/Regional Field Monitoring conducted</v>
      </c>
      <c r="L221" s="47" t="s">
        <v>227</v>
      </c>
      <c r="M221" s="51" t="str">
        <f>VLOOKUP(Table37[[#This Row],[ACTIVITY]],TAGS!$B:$P,4,FALSE)</f>
        <v>FPMA</v>
      </c>
      <c r="N221" s="51" t="str">
        <f>VLOOKUP(Table37[[#This Row],[ACTIVITY]],TAGS!$B:$P,5,FALSE)</f>
        <v>FPMA</v>
      </c>
      <c r="O221" s="51" t="str">
        <f>VLOOKUP(Table37[[#This Row],[ACTIVITY]],TAGS!$B:$P,6,FALSE)</f>
        <v>Salary (Staff)</v>
      </c>
      <c r="P221" s="51" t="str">
        <f>VLOOKUP(Table37[[#This Row],[ACTIVITY]],TAGS!$B:$P,7,FALSE)</f>
        <v>NO</v>
      </c>
      <c r="Q221" s="51" t="str">
        <f>VLOOKUP(Table37[[#This Row],[ACTIVITY]],TAGS!$B:$P,8,FALSE)</f>
        <v>Overhead</v>
      </c>
      <c r="R221" s="51" t="str">
        <f>VLOOKUP(Table37[[#This Row],[ACTIVITY]],TAGS!$B:$P,10,FALSE)</f>
        <v>NON-PIP</v>
      </c>
      <c r="S221" s="51" t="str">
        <f>VLOOKUP(Table37[[#This Row],[ACTIVITY]],TAGS!$B:$P,11,FALSE)</f>
        <v>NON-PICS</v>
      </c>
      <c r="T221" s="51">
        <f>VLOOKUP(Table37[[#This Row],[ACTIVITY]],TAGS!$B:$P,12,FALSE)</f>
        <v>0</v>
      </c>
      <c r="U221" s="51">
        <f>VLOOKUP(Table37[[#This Row],[ACTIVITY]],TAGS!$B:$P,13,FALSE)</f>
        <v>0</v>
      </c>
      <c r="V221" s="51">
        <f>VLOOKUP(Table37[[#This Row],[ACTIVITY]],TAGS!$B:$P,14,FALSE)</f>
        <v>0</v>
      </c>
      <c r="W221" s="51" t="str">
        <f>VLOOKUP(Table37[[#This Row],[ACTIVITY]],TAGS!$B:$P,15,FALSE)</f>
        <v>Existing</v>
      </c>
      <c r="X221" s="51">
        <f>VLOOKUP(Table37[[#This Row],[PI LEVEL 3]],'PI LEVEL'!$A:$G,7,FALSE)</f>
        <v>0</v>
      </c>
      <c r="Y221" s="47" t="s">
        <v>577</v>
      </c>
      <c r="Z221" s="47" t="s">
        <v>333</v>
      </c>
      <c r="AA221" s="51" t="str">
        <f>VLOOKUP(Table37[[#This Row],[MONTH]],TAGS!$W$67:$Y$81,2,FALSE)</f>
        <v>3RD QTR</v>
      </c>
      <c r="AB221" s="51" t="str">
        <f>VLOOKUP(Table37[[#This Row],[MONTH]],TAGS!$W$67:$Y$81,3,FALSE)</f>
        <v>2ND SEMESTER</v>
      </c>
      <c r="AC221" s="51">
        <f>VLOOKUP(Table37[[#This Row],[MONTH]],TAGS!$W$67:$Z$81,4,FALSE)</f>
        <v>2025</v>
      </c>
      <c r="AD221" s="47">
        <v>1250</v>
      </c>
      <c r="AE221" s="47"/>
      <c r="AF221" s="51">
        <f>SUM(Table37[[#This Row],[MOOE (Php ''000)]:[CO (Php ''000)]])</f>
        <v>1250</v>
      </c>
      <c r="AG221" s="71" t="b">
        <f>ISBLANK(Table37[[#This Row],[PRPOPOSAL/BEDS]])</f>
        <v>0</v>
      </c>
      <c r="AH221" s="71" t="b">
        <f>ISBLANK(Table37[[#This Row],[OU]])</f>
        <v>0</v>
      </c>
      <c r="AI221" s="71" t="b">
        <f>ISBLANK(Table37[[#This Row],[SPECIFIC COMMODITY]])</f>
        <v>0</v>
      </c>
      <c r="AJ221" s="71" t="b">
        <f>ISBLANK(Table37[[#This Row],[COMMODITY PREXC SUB-PROGRAM]])</f>
        <v>0</v>
      </c>
      <c r="AK221" s="71" t="b">
        <f>ISBLANK(Table37[[#This Row],[ACTIVITY]])</f>
        <v>0</v>
      </c>
      <c r="AL221" s="71" t="b">
        <f>ISBLANK(Table37[[#This Row],[TAG-GAD]])</f>
        <v>0</v>
      </c>
      <c r="AM221" s="71" t="b">
        <f>ISBLANK(Table37[[#This Row],[MONTH]])</f>
        <v>0</v>
      </c>
      <c r="AN221" s="71" t="b">
        <f>ISBLANK(Table37[[#This Row],[MOOE (Php ''000)]])</f>
        <v>0</v>
      </c>
      <c r="AO221" s="71" t="b">
        <f>ISBLANK(Table37[[#This Row],[CO (Php ''000)]])</f>
        <v>1</v>
      </c>
    </row>
    <row r="222" spans="1:41">
      <c r="A222" s="51" t="str">
        <f>VLOOKUP(Table37[[#This Row],[OU]],OU!$A$15:$B$34,2,FALSE)</f>
        <v>RFOs</v>
      </c>
      <c r="B222" s="47" t="s">
        <v>301</v>
      </c>
      <c r="C222" s="47" t="s">
        <v>574</v>
      </c>
      <c r="D222" s="47" t="s">
        <v>585</v>
      </c>
      <c r="E222" s="51" t="str">
        <f>VLOOKUP(Table37[[#This Row],[SPECIFIC COMMODITY]],TAGS!$W$48:$X$53,2,FALSE)</f>
        <v>Multi_commodity</v>
      </c>
      <c r="F222" s="51" t="str">
        <f>VLOOKUP(Table37[[#This Row],[PREXC SUB-PROGRAM]],Table5[],2,FALSE)</f>
        <v>FIELD PROGRAMS MANAGEMENT ACTIVITIES</v>
      </c>
      <c r="G222" s="51" t="str">
        <f>VLOOKUP(Table37[[#This Row],[COMMODITY PREXC SUB-PROGRAM]],TAGS!$U$54:$V$76,2,FALSE)</f>
        <v>FPMA</v>
      </c>
      <c r="H222" s="47" t="s">
        <v>597</v>
      </c>
      <c r="I222" s="51" t="str">
        <f>VLOOKUP(Table37[[#This Row],[PI LEVEL 3]],'PI LEVEL'!A:C,3,FALSE)</f>
        <v>National/Regional Field Monitoring conducted</v>
      </c>
      <c r="J222" s="51" t="str">
        <f>VLOOKUP(Table37[[#This Row],[PI LEVEL 3]],Table53729[[Performance Indicator Level 3]:[Performance Indicator Level 1]],2,FALSE)</f>
        <v>National/Regional Field Monitoring conducted</v>
      </c>
      <c r="K222" s="51" t="str">
        <f>VLOOKUP(Table37[[#This Row],[ACTIVITY]],TAGS!B:P,2,FALSE)</f>
        <v>National/Regional Field Monitoring conducted</v>
      </c>
      <c r="L222" s="47" t="s">
        <v>227</v>
      </c>
      <c r="M222" s="51" t="str">
        <f>VLOOKUP(Table37[[#This Row],[ACTIVITY]],TAGS!$B:$P,4,FALSE)</f>
        <v>FPMA</v>
      </c>
      <c r="N222" s="51" t="str">
        <f>VLOOKUP(Table37[[#This Row],[ACTIVITY]],TAGS!$B:$P,5,FALSE)</f>
        <v>FPMA</v>
      </c>
      <c r="O222" s="51" t="str">
        <f>VLOOKUP(Table37[[#This Row],[ACTIVITY]],TAGS!$B:$P,6,FALSE)</f>
        <v>Salary (Staff)</v>
      </c>
      <c r="P222" s="51" t="str">
        <f>VLOOKUP(Table37[[#This Row],[ACTIVITY]],TAGS!$B:$P,7,FALSE)</f>
        <v>NO</v>
      </c>
      <c r="Q222" s="51" t="str">
        <f>VLOOKUP(Table37[[#This Row],[ACTIVITY]],TAGS!$B:$P,8,FALSE)</f>
        <v>Overhead</v>
      </c>
      <c r="R222" s="51" t="str">
        <f>VLOOKUP(Table37[[#This Row],[ACTIVITY]],TAGS!$B:$P,10,FALSE)</f>
        <v>NON-PIP</v>
      </c>
      <c r="S222" s="51" t="str">
        <f>VLOOKUP(Table37[[#This Row],[ACTIVITY]],TAGS!$B:$P,11,FALSE)</f>
        <v>NON-PICS</v>
      </c>
      <c r="T222" s="51">
        <f>VLOOKUP(Table37[[#This Row],[ACTIVITY]],TAGS!$B:$P,12,FALSE)</f>
        <v>0</v>
      </c>
      <c r="U222" s="51">
        <f>VLOOKUP(Table37[[#This Row],[ACTIVITY]],TAGS!$B:$P,13,FALSE)</f>
        <v>0</v>
      </c>
      <c r="V222" s="51">
        <f>VLOOKUP(Table37[[#This Row],[ACTIVITY]],TAGS!$B:$P,14,FALSE)</f>
        <v>0</v>
      </c>
      <c r="W222" s="51" t="str">
        <f>VLOOKUP(Table37[[#This Row],[ACTIVITY]],TAGS!$B:$P,15,FALSE)</f>
        <v>Existing</v>
      </c>
      <c r="X222" s="51">
        <f>VLOOKUP(Table37[[#This Row],[PI LEVEL 3]],'PI LEVEL'!$A:$G,7,FALSE)</f>
        <v>0</v>
      </c>
      <c r="Y222" s="47" t="s">
        <v>577</v>
      </c>
      <c r="Z222" s="47" t="s">
        <v>334</v>
      </c>
      <c r="AA222" s="51" t="str">
        <f>VLOOKUP(Table37[[#This Row],[MONTH]],TAGS!$W$67:$Y$81,2,FALSE)</f>
        <v>3RD QTR</v>
      </c>
      <c r="AB222" s="51" t="str">
        <f>VLOOKUP(Table37[[#This Row],[MONTH]],TAGS!$W$67:$Y$81,3,FALSE)</f>
        <v>2ND SEMESTER</v>
      </c>
      <c r="AC222" s="51">
        <f>VLOOKUP(Table37[[#This Row],[MONTH]],TAGS!$W$67:$Z$81,4,FALSE)</f>
        <v>2025</v>
      </c>
      <c r="AD222" s="47">
        <v>1250</v>
      </c>
      <c r="AE222" s="47"/>
      <c r="AF222" s="51">
        <f>SUM(Table37[[#This Row],[MOOE (Php ''000)]:[CO (Php ''000)]])</f>
        <v>1250</v>
      </c>
      <c r="AG222" s="71" t="b">
        <f>ISBLANK(Table37[[#This Row],[PRPOPOSAL/BEDS]])</f>
        <v>0</v>
      </c>
      <c r="AH222" s="71" t="b">
        <f>ISBLANK(Table37[[#This Row],[OU]])</f>
        <v>0</v>
      </c>
      <c r="AI222" s="71" t="b">
        <f>ISBLANK(Table37[[#This Row],[SPECIFIC COMMODITY]])</f>
        <v>0</v>
      </c>
      <c r="AJ222" s="71" t="b">
        <f>ISBLANK(Table37[[#This Row],[COMMODITY PREXC SUB-PROGRAM]])</f>
        <v>0</v>
      </c>
      <c r="AK222" s="71" t="b">
        <f>ISBLANK(Table37[[#This Row],[ACTIVITY]])</f>
        <v>0</v>
      </c>
      <c r="AL222" s="71" t="b">
        <f>ISBLANK(Table37[[#This Row],[TAG-GAD]])</f>
        <v>0</v>
      </c>
      <c r="AM222" s="71" t="b">
        <f>ISBLANK(Table37[[#This Row],[MONTH]])</f>
        <v>0</v>
      </c>
      <c r="AN222" s="71" t="b">
        <f>ISBLANK(Table37[[#This Row],[MOOE (Php ''000)]])</f>
        <v>0</v>
      </c>
      <c r="AO222" s="71" t="b">
        <f>ISBLANK(Table37[[#This Row],[CO (Php ''000)]])</f>
        <v>1</v>
      </c>
    </row>
    <row r="223" spans="1:41">
      <c r="A223" s="51" t="str">
        <f>VLOOKUP(Table37[[#This Row],[OU]],OU!$A$15:$B$34,2,FALSE)</f>
        <v>RFOs</v>
      </c>
      <c r="B223" s="47" t="s">
        <v>301</v>
      </c>
      <c r="C223" s="47" t="s">
        <v>574</v>
      </c>
      <c r="D223" s="47" t="s">
        <v>585</v>
      </c>
      <c r="E223" s="51" t="str">
        <f>VLOOKUP(Table37[[#This Row],[SPECIFIC COMMODITY]],TAGS!$W$48:$X$53,2,FALSE)</f>
        <v>Multi_commodity</v>
      </c>
      <c r="F223" s="51" t="str">
        <f>VLOOKUP(Table37[[#This Row],[PREXC SUB-PROGRAM]],Table5[],2,FALSE)</f>
        <v>FIELD PROGRAMS MANAGEMENT ACTIVITIES</v>
      </c>
      <c r="G223" s="51" t="str">
        <f>VLOOKUP(Table37[[#This Row],[COMMODITY PREXC SUB-PROGRAM]],TAGS!$U$54:$V$76,2,FALSE)</f>
        <v>FPMA</v>
      </c>
      <c r="H223" s="47" t="s">
        <v>597</v>
      </c>
      <c r="I223" s="51" t="str">
        <f>VLOOKUP(Table37[[#This Row],[PI LEVEL 3]],'PI LEVEL'!A:C,3,FALSE)</f>
        <v>National/Regional Field Monitoring conducted</v>
      </c>
      <c r="J223" s="51" t="str">
        <f>VLOOKUP(Table37[[#This Row],[PI LEVEL 3]],Table53729[[Performance Indicator Level 3]:[Performance Indicator Level 1]],2,FALSE)</f>
        <v>National/Regional Field Monitoring conducted</v>
      </c>
      <c r="K223" s="51" t="str">
        <f>VLOOKUP(Table37[[#This Row],[ACTIVITY]],TAGS!B:P,2,FALSE)</f>
        <v>National/Regional Field Monitoring conducted</v>
      </c>
      <c r="L223" s="47" t="s">
        <v>227</v>
      </c>
      <c r="M223" s="51" t="str">
        <f>VLOOKUP(Table37[[#This Row],[ACTIVITY]],TAGS!$B:$P,4,FALSE)</f>
        <v>FPMA</v>
      </c>
      <c r="N223" s="51" t="str">
        <f>VLOOKUP(Table37[[#This Row],[ACTIVITY]],TAGS!$B:$P,5,FALSE)</f>
        <v>FPMA</v>
      </c>
      <c r="O223" s="51" t="str">
        <f>VLOOKUP(Table37[[#This Row],[ACTIVITY]],TAGS!$B:$P,6,FALSE)</f>
        <v>Salary (Staff)</v>
      </c>
      <c r="P223" s="51" t="str">
        <f>VLOOKUP(Table37[[#This Row],[ACTIVITY]],TAGS!$B:$P,7,FALSE)</f>
        <v>NO</v>
      </c>
      <c r="Q223" s="51" t="str">
        <f>VLOOKUP(Table37[[#This Row],[ACTIVITY]],TAGS!$B:$P,8,FALSE)</f>
        <v>Overhead</v>
      </c>
      <c r="R223" s="51" t="str">
        <f>VLOOKUP(Table37[[#This Row],[ACTIVITY]],TAGS!$B:$P,10,FALSE)</f>
        <v>NON-PIP</v>
      </c>
      <c r="S223" s="51" t="str">
        <f>VLOOKUP(Table37[[#This Row],[ACTIVITY]],TAGS!$B:$P,11,FALSE)</f>
        <v>NON-PICS</v>
      </c>
      <c r="T223" s="51">
        <f>VLOOKUP(Table37[[#This Row],[ACTIVITY]],TAGS!$B:$P,12,FALSE)</f>
        <v>0</v>
      </c>
      <c r="U223" s="51">
        <f>VLOOKUP(Table37[[#This Row],[ACTIVITY]],TAGS!$B:$P,13,FALSE)</f>
        <v>0</v>
      </c>
      <c r="V223" s="51">
        <f>VLOOKUP(Table37[[#This Row],[ACTIVITY]],TAGS!$B:$P,14,FALSE)</f>
        <v>0</v>
      </c>
      <c r="W223" s="51" t="str">
        <f>VLOOKUP(Table37[[#This Row],[ACTIVITY]],TAGS!$B:$P,15,FALSE)</f>
        <v>Existing</v>
      </c>
      <c r="X223" s="51">
        <f>VLOOKUP(Table37[[#This Row],[PI LEVEL 3]],'PI LEVEL'!$A:$G,7,FALSE)</f>
        <v>0</v>
      </c>
      <c r="Y223" s="47" t="s">
        <v>577</v>
      </c>
      <c r="Z223" s="47" t="s">
        <v>335</v>
      </c>
      <c r="AA223" s="51" t="str">
        <f>VLOOKUP(Table37[[#This Row],[MONTH]],TAGS!$W$67:$Y$81,2,FALSE)</f>
        <v>3RD QTR</v>
      </c>
      <c r="AB223" s="51" t="str">
        <f>VLOOKUP(Table37[[#This Row],[MONTH]],TAGS!$W$67:$Y$81,3,FALSE)</f>
        <v>2ND SEMESTER</v>
      </c>
      <c r="AC223" s="51">
        <f>VLOOKUP(Table37[[#This Row],[MONTH]],TAGS!$W$67:$Z$81,4,FALSE)</f>
        <v>2025</v>
      </c>
      <c r="AD223" s="47">
        <v>1250</v>
      </c>
      <c r="AE223" s="47"/>
      <c r="AF223" s="51">
        <f>SUM(Table37[[#This Row],[MOOE (Php ''000)]:[CO (Php ''000)]])</f>
        <v>1250</v>
      </c>
      <c r="AG223" s="71" t="b">
        <f>ISBLANK(Table37[[#This Row],[PRPOPOSAL/BEDS]])</f>
        <v>0</v>
      </c>
      <c r="AH223" s="71" t="b">
        <f>ISBLANK(Table37[[#This Row],[OU]])</f>
        <v>0</v>
      </c>
      <c r="AI223" s="71" t="b">
        <f>ISBLANK(Table37[[#This Row],[SPECIFIC COMMODITY]])</f>
        <v>0</v>
      </c>
      <c r="AJ223" s="71" t="b">
        <f>ISBLANK(Table37[[#This Row],[COMMODITY PREXC SUB-PROGRAM]])</f>
        <v>0</v>
      </c>
      <c r="AK223" s="71" t="b">
        <f>ISBLANK(Table37[[#This Row],[ACTIVITY]])</f>
        <v>0</v>
      </c>
      <c r="AL223" s="71" t="b">
        <f>ISBLANK(Table37[[#This Row],[TAG-GAD]])</f>
        <v>0</v>
      </c>
      <c r="AM223" s="71" t="b">
        <f>ISBLANK(Table37[[#This Row],[MONTH]])</f>
        <v>0</v>
      </c>
      <c r="AN223" s="71" t="b">
        <f>ISBLANK(Table37[[#This Row],[MOOE (Php ''000)]])</f>
        <v>0</v>
      </c>
      <c r="AO223" s="71" t="b">
        <f>ISBLANK(Table37[[#This Row],[CO (Php ''000)]])</f>
        <v>1</v>
      </c>
    </row>
    <row r="224" spans="1:41">
      <c r="A224" s="51" t="str">
        <f>VLOOKUP(Table37[[#This Row],[OU]],OU!$A$15:$B$34,2,FALSE)</f>
        <v>RFOs</v>
      </c>
      <c r="B224" s="47" t="s">
        <v>301</v>
      </c>
      <c r="C224" s="47" t="s">
        <v>574</v>
      </c>
      <c r="D224" s="47" t="s">
        <v>585</v>
      </c>
      <c r="E224" s="51" t="str">
        <f>VLOOKUP(Table37[[#This Row],[SPECIFIC COMMODITY]],TAGS!$W$48:$X$53,2,FALSE)</f>
        <v>Multi_commodity</v>
      </c>
      <c r="F224" s="51" t="str">
        <f>VLOOKUP(Table37[[#This Row],[PREXC SUB-PROGRAM]],Table5[],2,FALSE)</f>
        <v>FIELD PROGRAMS MANAGEMENT ACTIVITIES</v>
      </c>
      <c r="G224" s="51" t="str">
        <f>VLOOKUP(Table37[[#This Row],[COMMODITY PREXC SUB-PROGRAM]],TAGS!$U$54:$V$76,2,FALSE)</f>
        <v>FPMA</v>
      </c>
      <c r="H224" s="47" t="s">
        <v>597</v>
      </c>
      <c r="I224" s="51" t="str">
        <f>VLOOKUP(Table37[[#This Row],[PI LEVEL 3]],'PI LEVEL'!A:C,3,FALSE)</f>
        <v>National/Regional Field Monitoring conducted</v>
      </c>
      <c r="J224" s="51" t="str">
        <f>VLOOKUP(Table37[[#This Row],[PI LEVEL 3]],Table53729[[Performance Indicator Level 3]:[Performance Indicator Level 1]],2,FALSE)</f>
        <v>National/Regional Field Monitoring conducted</v>
      </c>
      <c r="K224" s="51" t="str">
        <f>VLOOKUP(Table37[[#This Row],[ACTIVITY]],TAGS!B:P,2,FALSE)</f>
        <v>National/Regional Field Monitoring conducted</v>
      </c>
      <c r="L224" s="47" t="s">
        <v>227</v>
      </c>
      <c r="M224" s="51" t="str">
        <f>VLOOKUP(Table37[[#This Row],[ACTIVITY]],TAGS!$B:$P,4,FALSE)</f>
        <v>FPMA</v>
      </c>
      <c r="N224" s="51" t="str">
        <f>VLOOKUP(Table37[[#This Row],[ACTIVITY]],TAGS!$B:$P,5,FALSE)</f>
        <v>FPMA</v>
      </c>
      <c r="O224" s="51" t="str">
        <f>VLOOKUP(Table37[[#This Row],[ACTIVITY]],TAGS!$B:$P,6,FALSE)</f>
        <v>Salary (Staff)</v>
      </c>
      <c r="P224" s="51" t="str">
        <f>VLOOKUP(Table37[[#This Row],[ACTIVITY]],TAGS!$B:$P,7,FALSE)</f>
        <v>NO</v>
      </c>
      <c r="Q224" s="51" t="str">
        <f>VLOOKUP(Table37[[#This Row],[ACTIVITY]],TAGS!$B:$P,8,FALSE)</f>
        <v>Overhead</v>
      </c>
      <c r="R224" s="51" t="str">
        <f>VLOOKUP(Table37[[#This Row],[ACTIVITY]],TAGS!$B:$P,10,FALSE)</f>
        <v>NON-PIP</v>
      </c>
      <c r="S224" s="51" t="str">
        <f>VLOOKUP(Table37[[#This Row],[ACTIVITY]],TAGS!$B:$P,11,FALSE)</f>
        <v>NON-PICS</v>
      </c>
      <c r="T224" s="51">
        <f>VLOOKUP(Table37[[#This Row],[ACTIVITY]],TAGS!$B:$P,12,FALSE)</f>
        <v>0</v>
      </c>
      <c r="U224" s="51">
        <f>VLOOKUP(Table37[[#This Row],[ACTIVITY]],TAGS!$B:$P,13,FALSE)</f>
        <v>0</v>
      </c>
      <c r="V224" s="51">
        <f>VLOOKUP(Table37[[#This Row],[ACTIVITY]],TAGS!$B:$P,14,FALSE)</f>
        <v>0</v>
      </c>
      <c r="W224" s="51" t="str">
        <f>VLOOKUP(Table37[[#This Row],[ACTIVITY]],TAGS!$B:$P,15,FALSE)</f>
        <v>Existing</v>
      </c>
      <c r="X224" s="51">
        <f>VLOOKUP(Table37[[#This Row],[PI LEVEL 3]],'PI LEVEL'!$A:$G,7,FALSE)</f>
        <v>0</v>
      </c>
      <c r="Y224" s="47" t="s">
        <v>577</v>
      </c>
      <c r="Z224" s="47" t="s">
        <v>336</v>
      </c>
      <c r="AA224" s="51" t="str">
        <f>VLOOKUP(Table37[[#This Row],[MONTH]],TAGS!$W$67:$Y$81,2,FALSE)</f>
        <v>4TH QTR</v>
      </c>
      <c r="AB224" s="51" t="str">
        <f>VLOOKUP(Table37[[#This Row],[MONTH]],TAGS!$W$67:$Y$81,3,FALSE)</f>
        <v>2ND SEMESTER</v>
      </c>
      <c r="AC224" s="51">
        <f>VLOOKUP(Table37[[#This Row],[MONTH]],TAGS!$W$67:$Z$81,4,FALSE)</f>
        <v>2025</v>
      </c>
      <c r="AD224" s="47">
        <v>1250</v>
      </c>
      <c r="AE224" s="47"/>
      <c r="AF224" s="51">
        <f>SUM(Table37[[#This Row],[MOOE (Php ''000)]:[CO (Php ''000)]])</f>
        <v>1250</v>
      </c>
      <c r="AG224" s="71" t="b">
        <f>ISBLANK(Table37[[#This Row],[PRPOPOSAL/BEDS]])</f>
        <v>0</v>
      </c>
      <c r="AH224" s="71" t="b">
        <f>ISBLANK(Table37[[#This Row],[OU]])</f>
        <v>0</v>
      </c>
      <c r="AI224" s="71" t="b">
        <f>ISBLANK(Table37[[#This Row],[SPECIFIC COMMODITY]])</f>
        <v>0</v>
      </c>
      <c r="AJ224" s="71" t="b">
        <f>ISBLANK(Table37[[#This Row],[COMMODITY PREXC SUB-PROGRAM]])</f>
        <v>0</v>
      </c>
      <c r="AK224" s="71" t="b">
        <f>ISBLANK(Table37[[#This Row],[ACTIVITY]])</f>
        <v>0</v>
      </c>
      <c r="AL224" s="71" t="b">
        <f>ISBLANK(Table37[[#This Row],[TAG-GAD]])</f>
        <v>0</v>
      </c>
      <c r="AM224" s="71" t="b">
        <f>ISBLANK(Table37[[#This Row],[MONTH]])</f>
        <v>0</v>
      </c>
      <c r="AN224" s="71" t="b">
        <f>ISBLANK(Table37[[#This Row],[MOOE (Php ''000)]])</f>
        <v>0</v>
      </c>
      <c r="AO224" s="71" t="b">
        <f>ISBLANK(Table37[[#This Row],[CO (Php ''000)]])</f>
        <v>1</v>
      </c>
    </row>
    <row r="225" spans="1:41">
      <c r="A225" s="51" t="str">
        <f>VLOOKUP(Table37[[#This Row],[OU]],OU!$A$15:$B$34,2,FALSE)</f>
        <v>RFOs</v>
      </c>
      <c r="B225" s="47" t="s">
        <v>301</v>
      </c>
      <c r="C225" s="47" t="s">
        <v>574</v>
      </c>
      <c r="D225" s="47" t="s">
        <v>585</v>
      </c>
      <c r="E225" s="51" t="str">
        <f>VLOOKUP(Table37[[#This Row],[SPECIFIC COMMODITY]],TAGS!$W$48:$X$53,2,FALSE)</f>
        <v>Multi_commodity</v>
      </c>
      <c r="F225" s="51" t="str">
        <f>VLOOKUP(Table37[[#This Row],[PREXC SUB-PROGRAM]],Table5[],2,FALSE)</f>
        <v>FIELD PROGRAMS MANAGEMENT ACTIVITIES</v>
      </c>
      <c r="G225" s="51" t="str">
        <f>VLOOKUP(Table37[[#This Row],[COMMODITY PREXC SUB-PROGRAM]],TAGS!$U$54:$V$76,2,FALSE)</f>
        <v>FPMA</v>
      </c>
      <c r="H225" s="47" t="s">
        <v>597</v>
      </c>
      <c r="I225" s="51" t="str">
        <f>VLOOKUP(Table37[[#This Row],[PI LEVEL 3]],'PI LEVEL'!A:C,3,FALSE)</f>
        <v>National/Regional Field Monitoring conducted</v>
      </c>
      <c r="J225" s="51" t="str">
        <f>VLOOKUP(Table37[[#This Row],[PI LEVEL 3]],Table53729[[Performance Indicator Level 3]:[Performance Indicator Level 1]],2,FALSE)</f>
        <v>National/Regional Field Monitoring conducted</v>
      </c>
      <c r="K225" s="51" t="str">
        <f>VLOOKUP(Table37[[#This Row],[ACTIVITY]],TAGS!B:P,2,FALSE)</f>
        <v>National/Regional Field Monitoring conducted</v>
      </c>
      <c r="L225" s="47" t="s">
        <v>227</v>
      </c>
      <c r="M225" s="51" t="str">
        <f>VLOOKUP(Table37[[#This Row],[ACTIVITY]],TAGS!$B:$P,4,FALSE)</f>
        <v>FPMA</v>
      </c>
      <c r="N225" s="51" t="str">
        <f>VLOOKUP(Table37[[#This Row],[ACTIVITY]],TAGS!$B:$P,5,FALSE)</f>
        <v>FPMA</v>
      </c>
      <c r="O225" s="51" t="str">
        <f>VLOOKUP(Table37[[#This Row],[ACTIVITY]],TAGS!$B:$P,6,FALSE)</f>
        <v>Salary (Staff)</v>
      </c>
      <c r="P225" s="51" t="str">
        <f>VLOOKUP(Table37[[#This Row],[ACTIVITY]],TAGS!$B:$P,7,FALSE)</f>
        <v>NO</v>
      </c>
      <c r="Q225" s="51" t="str">
        <f>VLOOKUP(Table37[[#This Row],[ACTIVITY]],TAGS!$B:$P,8,FALSE)</f>
        <v>Overhead</v>
      </c>
      <c r="R225" s="51" t="str">
        <f>VLOOKUP(Table37[[#This Row],[ACTIVITY]],TAGS!$B:$P,10,FALSE)</f>
        <v>NON-PIP</v>
      </c>
      <c r="S225" s="51" t="str">
        <f>VLOOKUP(Table37[[#This Row],[ACTIVITY]],TAGS!$B:$P,11,FALSE)</f>
        <v>NON-PICS</v>
      </c>
      <c r="T225" s="51">
        <f>VLOOKUP(Table37[[#This Row],[ACTIVITY]],TAGS!$B:$P,12,FALSE)</f>
        <v>0</v>
      </c>
      <c r="U225" s="51">
        <f>VLOOKUP(Table37[[#This Row],[ACTIVITY]],TAGS!$B:$P,13,FALSE)</f>
        <v>0</v>
      </c>
      <c r="V225" s="51">
        <f>VLOOKUP(Table37[[#This Row],[ACTIVITY]],TAGS!$B:$P,14,FALSE)</f>
        <v>0</v>
      </c>
      <c r="W225" s="51" t="str">
        <f>VLOOKUP(Table37[[#This Row],[ACTIVITY]],TAGS!$B:$P,15,FALSE)</f>
        <v>Existing</v>
      </c>
      <c r="X225" s="51">
        <f>VLOOKUP(Table37[[#This Row],[PI LEVEL 3]],'PI LEVEL'!$A:$G,7,FALSE)</f>
        <v>0</v>
      </c>
      <c r="Y225" s="47" t="s">
        <v>577</v>
      </c>
      <c r="Z225" s="47" t="s">
        <v>337</v>
      </c>
      <c r="AA225" s="51" t="str">
        <f>VLOOKUP(Table37[[#This Row],[MONTH]],TAGS!$W$67:$Y$81,2,FALSE)</f>
        <v>4TH QTR</v>
      </c>
      <c r="AB225" s="51" t="str">
        <f>VLOOKUP(Table37[[#This Row],[MONTH]],TAGS!$W$67:$Y$81,3,FALSE)</f>
        <v>2ND SEMESTER</v>
      </c>
      <c r="AC225" s="51">
        <f>VLOOKUP(Table37[[#This Row],[MONTH]],TAGS!$W$67:$Z$81,4,FALSE)</f>
        <v>2025</v>
      </c>
      <c r="AD225" s="47">
        <v>1250</v>
      </c>
      <c r="AE225" s="47"/>
      <c r="AF225" s="51">
        <f>SUM(Table37[[#This Row],[MOOE (Php ''000)]:[CO (Php ''000)]])</f>
        <v>1250</v>
      </c>
      <c r="AG225" s="71" t="b">
        <f>ISBLANK(Table37[[#This Row],[PRPOPOSAL/BEDS]])</f>
        <v>0</v>
      </c>
      <c r="AH225" s="71" t="b">
        <f>ISBLANK(Table37[[#This Row],[OU]])</f>
        <v>0</v>
      </c>
      <c r="AI225" s="71" t="b">
        <f>ISBLANK(Table37[[#This Row],[SPECIFIC COMMODITY]])</f>
        <v>0</v>
      </c>
      <c r="AJ225" s="71" t="b">
        <f>ISBLANK(Table37[[#This Row],[COMMODITY PREXC SUB-PROGRAM]])</f>
        <v>0</v>
      </c>
      <c r="AK225" s="71" t="b">
        <f>ISBLANK(Table37[[#This Row],[ACTIVITY]])</f>
        <v>0</v>
      </c>
      <c r="AL225" s="71" t="b">
        <f>ISBLANK(Table37[[#This Row],[TAG-GAD]])</f>
        <v>0</v>
      </c>
      <c r="AM225" s="71" t="b">
        <f>ISBLANK(Table37[[#This Row],[MONTH]])</f>
        <v>0</v>
      </c>
      <c r="AN225" s="71" t="b">
        <f>ISBLANK(Table37[[#This Row],[MOOE (Php ''000)]])</f>
        <v>0</v>
      </c>
      <c r="AO225" s="71" t="b">
        <f>ISBLANK(Table37[[#This Row],[CO (Php ''000)]])</f>
        <v>1</v>
      </c>
    </row>
    <row r="226" spans="1:41">
      <c r="A226" s="51" t="str">
        <f>VLOOKUP(Table37[[#This Row],[OU]],OU!$A$15:$B$34,2,FALSE)</f>
        <v>RFOs</v>
      </c>
      <c r="B226" s="47" t="s">
        <v>301</v>
      </c>
      <c r="C226" s="47" t="s">
        <v>574</v>
      </c>
      <c r="D226" s="47" t="s">
        <v>585</v>
      </c>
      <c r="E226" s="51" t="str">
        <f>VLOOKUP(Table37[[#This Row],[SPECIFIC COMMODITY]],TAGS!$W$48:$X$53,2,FALSE)</f>
        <v>Multi_commodity</v>
      </c>
      <c r="F226" s="51" t="str">
        <f>VLOOKUP(Table37[[#This Row],[PREXC SUB-PROGRAM]],Table5[],2,FALSE)</f>
        <v>FIELD PROGRAMS MANAGEMENT ACTIVITIES</v>
      </c>
      <c r="G226" s="51" t="str">
        <f>VLOOKUP(Table37[[#This Row],[COMMODITY PREXC SUB-PROGRAM]],TAGS!$U$54:$V$76,2,FALSE)</f>
        <v>FPMA</v>
      </c>
      <c r="H226" s="47" t="s">
        <v>597</v>
      </c>
      <c r="I226" s="51" t="str">
        <f>VLOOKUP(Table37[[#This Row],[PI LEVEL 3]],'PI LEVEL'!A:C,3,FALSE)</f>
        <v>National/Regional Field Monitoring conducted</v>
      </c>
      <c r="J226" s="51" t="str">
        <f>VLOOKUP(Table37[[#This Row],[PI LEVEL 3]],Table53729[[Performance Indicator Level 3]:[Performance Indicator Level 1]],2,FALSE)</f>
        <v>National/Regional Field Monitoring conducted</v>
      </c>
      <c r="K226" s="51" t="str">
        <f>VLOOKUP(Table37[[#This Row],[ACTIVITY]],TAGS!B:P,2,FALSE)</f>
        <v>National/Regional Field Monitoring conducted</v>
      </c>
      <c r="L226" s="47" t="s">
        <v>227</v>
      </c>
      <c r="M226" s="51" t="str">
        <f>VLOOKUP(Table37[[#This Row],[ACTIVITY]],TAGS!$B:$P,4,FALSE)</f>
        <v>FPMA</v>
      </c>
      <c r="N226" s="51" t="str">
        <f>VLOOKUP(Table37[[#This Row],[ACTIVITY]],TAGS!$B:$P,5,FALSE)</f>
        <v>FPMA</v>
      </c>
      <c r="O226" s="51" t="str">
        <f>VLOOKUP(Table37[[#This Row],[ACTIVITY]],TAGS!$B:$P,6,FALSE)</f>
        <v>Salary (Staff)</v>
      </c>
      <c r="P226" s="51" t="str">
        <f>VLOOKUP(Table37[[#This Row],[ACTIVITY]],TAGS!$B:$P,7,FALSE)</f>
        <v>NO</v>
      </c>
      <c r="Q226" s="51" t="str">
        <f>VLOOKUP(Table37[[#This Row],[ACTIVITY]],TAGS!$B:$P,8,FALSE)</f>
        <v>Overhead</v>
      </c>
      <c r="R226" s="51" t="str">
        <f>VLOOKUP(Table37[[#This Row],[ACTIVITY]],TAGS!$B:$P,10,FALSE)</f>
        <v>NON-PIP</v>
      </c>
      <c r="S226" s="51" t="str">
        <f>VLOOKUP(Table37[[#This Row],[ACTIVITY]],TAGS!$B:$P,11,FALSE)</f>
        <v>NON-PICS</v>
      </c>
      <c r="T226" s="51">
        <f>VLOOKUP(Table37[[#This Row],[ACTIVITY]],TAGS!$B:$P,12,FALSE)</f>
        <v>0</v>
      </c>
      <c r="U226" s="51">
        <f>VLOOKUP(Table37[[#This Row],[ACTIVITY]],TAGS!$B:$P,13,FALSE)</f>
        <v>0</v>
      </c>
      <c r="V226" s="51">
        <f>VLOOKUP(Table37[[#This Row],[ACTIVITY]],TAGS!$B:$P,14,FALSE)</f>
        <v>0</v>
      </c>
      <c r="W226" s="51" t="str">
        <f>VLOOKUP(Table37[[#This Row],[ACTIVITY]],TAGS!$B:$P,15,FALSE)</f>
        <v>Existing</v>
      </c>
      <c r="X226" s="51">
        <f>VLOOKUP(Table37[[#This Row],[PI LEVEL 3]],'PI LEVEL'!$A:$G,7,FALSE)</f>
        <v>0</v>
      </c>
      <c r="Y226" s="47" t="s">
        <v>577</v>
      </c>
      <c r="Z226" s="47" t="s">
        <v>338</v>
      </c>
      <c r="AA226" s="51" t="str">
        <f>VLOOKUP(Table37[[#This Row],[MONTH]],TAGS!$W$67:$Y$81,2,FALSE)</f>
        <v>4TH QTR</v>
      </c>
      <c r="AB226" s="51" t="str">
        <f>VLOOKUP(Table37[[#This Row],[MONTH]],TAGS!$W$67:$Y$81,3,FALSE)</f>
        <v>2ND SEMESTER</v>
      </c>
      <c r="AC226" s="51">
        <f>VLOOKUP(Table37[[#This Row],[MONTH]],TAGS!$W$67:$Z$81,4,FALSE)</f>
        <v>2025</v>
      </c>
      <c r="AD226" s="47">
        <v>2500</v>
      </c>
      <c r="AE226" s="47"/>
      <c r="AF226" s="51">
        <f>SUM(Table37[[#This Row],[MOOE (Php ''000)]:[CO (Php ''000)]])</f>
        <v>2500</v>
      </c>
      <c r="AG226" s="71" t="b">
        <f>ISBLANK(Table37[[#This Row],[PRPOPOSAL/BEDS]])</f>
        <v>0</v>
      </c>
      <c r="AH226" s="71" t="b">
        <f>ISBLANK(Table37[[#This Row],[OU]])</f>
        <v>0</v>
      </c>
      <c r="AI226" s="71" t="b">
        <f>ISBLANK(Table37[[#This Row],[SPECIFIC COMMODITY]])</f>
        <v>0</v>
      </c>
      <c r="AJ226" s="71" t="b">
        <f>ISBLANK(Table37[[#This Row],[COMMODITY PREXC SUB-PROGRAM]])</f>
        <v>0</v>
      </c>
      <c r="AK226" s="71" t="b">
        <f>ISBLANK(Table37[[#This Row],[ACTIVITY]])</f>
        <v>0</v>
      </c>
      <c r="AL226" s="71" t="b">
        <f>ISBLANK(Table37[[#This Row],[TAG-GAD]])</f>
        <v>0</v>
      </c>
      <c r="AM226" s="71" t="b">
        <f>ISBLANK(Table37[[#This Row],[MONTH]])</f>
        <v>0</v>
      </c>
      <c r="AN226" s="71" t="b">
        <f>ISBLANK(Table37[[#This Row],[MOOE (Php ''000)]])</f>
        <v>0</v>
      </c>
      <c r="AO226" s="71" t="b">
        <f>ISBLANK(Table37[[#This Row],[CO (Php ''000)]])</f>
        <v>1</v>
      </c>
    </row>
    <row r="227" spans="1:41">
      <c r="A227" s="51" t="str">
        <f>VLOOKUP(Table37[[#This Row],[OU]],OU!$A$15:$B$34,2,FALSE)</f>
        <v>RFOs</v>
      </c>
      <c r="B227" s="47" t="s">
        <v>301</v>
      </c>
      <c r="C227" s="47" t="s">
        <v>574</v>
      </c>
      <c r="D227" s="47" t="s">
        <v>585</v>
      </c>
      <c r="E227" s="51" t="str">
        <f>VLOOKUP(Table37[[#This Row],[SPECIFIC COMMODITY]],TAGS!$W$48:$X$53,2,FALSE)</f>
        <v>Multi_commodity</v>
      </c>
      <c r="F227" s="51" t="str">
        <f>VLOOKUP(Table37[[#This Row],[PREXC SUB-PROGRAM]],Table5[],2,FALSE)</f>
        <v>FIELD PROGRAMS MANAGEMENT ACTIVITIES</v>
      </c>
      <c r="G227" s="51" t="str">
        <f>VLOOKUP(Table37[[#This Row],[COMMODITY PREXC SUB-PROGRAM]],TAGS!$U$54:$V$76,2,FALSE)</f>
        <v>FPMA</v>
      </c>
      <c r="H227" s="47" t="s">
        <v>597</v>
      </c>
      <c r="I227" s="51" t="str">
        <f>VLOOKUP(Table37[[#This Row],[PI LEVEL 3]],'PI LEVEL'!A:C,3,FALSE)</f>
        <v>National/Regional Field Monitoring conducted</v>
      </c>
      <c r="J227" s="51" t="str">
        <f>VLOOKUP(Table37[[#This Row],[PI LEVEL 3]],Table53729[[Performance Indicator Level 3]:[Performance Indicator Level 1]],2,FALSE)</f>
        <v>National/Regional Field Monitoring conducted</v>
      </c>
      <c r="K227" s="51" t="str">
        <f>VLOOKUP(Table37[[#This Row],[ACTIVITY]],TAGS!B:P,2,FALSE)</f>
        <v>National/Regional Field Monitoring conducted</v>
      </c>
      <c r="L227" s="47" t="s">
        <v>229</v>
      </c>
      <c r="M227" s="51" t="str">
        <f>VLOOKUP(Table37[[#This Row],[ACTIVITY]],TAGS!$B:$P,4,FALSE)</f>
        <v>FPMA</v>
      </c>
      <c r="N227" s="51" t="str">
        <f>VLOOKUP(Table37[[#This Row],[ACTIVITY]],TAGS!$B:$P,5,FALSE)</f>
        <v>FPMA</v>
      </c>
      <c r="O227" s="51" t="str">
        <f>VLOOKUP(Table37[[#This Row],[ACTIVITY]],TAGS!$B:$P,6,FALSE)</f>
        <v>Workshop and Meetings</v>
      </c>
      <c r="P227" s="51" t="str">
        <f>VLOOKUP(Table37[[#This Row],[ACTIVITY]],TAGS!$B:$P,7,FALSE)</f>
        <v>NO</v>
      </c>
      <c r="Q227" s="51" t="str">
        <f>VLOOKUP(Table37[[#This Row],[ACTIVITY]],TAGS!$B:$P,8,FALSE)</f>
        <v>Overhead</v>
      </c>
      <c r="R227" s="51" t="str">
        <f>VLOOKUP(Table37[[#This Row],[ACTIVITY]],TAGS!$B:$P,10,FALSE)</f>
        <v>NON-PIP</v>
      </c>
      <c r="S227" s="51" t="str">
        <f>VLOOKUP(Table37[[#This Row],[ACTIVITY]],TAGS!$B:$P,11,FALSE)</f>
        <v>NON-PICS</v>
      </c>
      <c r="T227" s="51">
        <f>VLOOKUP(Table37[[#This Row],[ACTIVITY]],TAGS!$B:$P,12,FALSE)</f>
        <v>0</v>
      </c>
      <c r="U227" s="51">
        <f>VLOOKUP(Table37[[#This Row],[ACTIVITY]],TAGS!$B:$P,13,FALSE)</f>
        <v>0</v>
      </c>
      <c r="V227" s="51">
        <f>VLOOKUP(Table37[[#This Row],[ACTIVITY]],TAGS!$B:$P,14,FALSE)</f>
        <v>0</v>
      </c>
      <c r="W227" s="51" t="str">
        <f>VLOOKUP(Table37[[#This Row],[ACTIVITY]],TAGS!$B:$P,15,FALSE)</f>
        <v>Existing</v>
      </c>
      <c r="X227" s="51">
        <f>VLOOKUP(Table37[[#This Row],[PI LEVEL 3]],'PI LEVEL'!$A:$G,7,FALSE)</f>
        <v>0</v>
      </c>
      <c r="Y227" s="47" t="s">
        <v>577</v>
      </c>
      <c r="Z227" s="47" t="s">
        <v>328</v>
      </c>
      <c r="AA227" s="51" t="str">
        <f>VLOOKUP(Table37[[#This Row],[MONTH]],TAGS!$W$67:$Y$81,2,FALSE)</f>
        <v>1ST QTR</v>
      </c>
      <c r="AB227" s="51" t="str">
        <f>VLOOKUP(Table37[[#This Row],[MONTH]],TAGS!$W$67:$Y$81,3,FALSE)</f>
        <v>1ST SEMESTER</v>
      </c>
      <c r="AC227" s="51">
        <f>VLOOKUP(Table37[[#This Row],[MONTH]],TAGS!$W$67:$Z$81,4,FALSE)</f>
        <v>2025</v>
      </c>
      <c r="AD227" s="47">
        <v>50</v>
      </c>
      <c r="AE227" s="47"/>
      <c r="AF227" s="51">
        <f>SUM(Table37[[#This Row],[MOOE (Php ''000)]:[CO (Php ''000)]])</f>
        <v>50</v>
      </c>
      <c r="AG227" s="71" t="b">
        <f>ISBLANK(Table37[[#This Row],[PRPOPOSAL/BEDS]])</f>
        <v>0</v>
      </c>
      <c r="AH227" s="71" t="b">
        <f>ISBLANK(Table37[[#This Row],[OU]])</f>
        <v>0</v>
      </c>
      <c r="AI227" s="71" t="b">
        <f>ISBLANK(Table37[[#This Row],[SPECIFIC COMMODITY]])</f>
        <v>0</v>
      </c>
      <c r="AJ227" s="71" t="b">
        <f>ISBLANK(Table37[[#This Row],[COMMODITY PREXC SUB-PROGRAM]])</f>
        <v>0</v>
      </c>
      <c r="AK227" s="71" t="b">
        <f>ISBLANK(Table37[[#This Row],[ACTIVITY]])</f>
        <v>0</v>
      </c>
      <c r="AL227" s="71" t="b">
        <f>ISBLANK(Table37[[#This Row],[TAG-GAD]])</f>
        <v>0</v>
      </c>
      <c r="AM227" s="71" t="b">
        <f>ISBLANK(Table37[[#This Row],[MONTH]])</f>
        <v>0</v>
      </c>
      <c r="AN227" s="71" t="b">
        <f>ISBLANK(Table37[[#This Row],[MOOE (Php ''000)]])</f>
        <v>0</v>
      </c>
      <c r="AO227" s="71" t="b">
        <f>ISBLANK(Table37[[#This Row],[CO (Php ''000)]])</f>
        <v>1</v>
      </c>
    </row>
    <row r="228" spans="1:41">
      <c r="A228" s="51" t="str">
        <f>VLOOKUP(Table37[[#This Row],[OU]],OU!$A$15:$B$34,2,FALSE)</f>
        <v>RFOs</v>
      </c>
      <c r="B228" s="47" t="s">
        <v>301</v>
      </c>
      <c r="C228" s="47" t="s">
        <v>574</v>
      </c>
      <c r="D228" s="47" t="s">
        <v>585</v>
      </c>
      <c r="E228" s="51" t="str">
        <f>VLOOKUP(Table37[[#This Row],[SPECIFIC COMMODITY]],TAGS!$W$48:$X$53,2,FALSE)</f>
        <v>Multi_commodity</v>
      </c>
      <c r="F228" s="51" t="str">
        <f>VLOOKUP(Table37[[#This Row],[PREXC SUB-PROGRAM]],Table5[],2,FALSE)</f>
        <v>FIELD PROGRAMS MANAGEMENT ACTIVITIES</v>
      </c>
      <c r="G228" s="51" t="str">
        <f>VLOOKUP(Table37[[#This Row],[COMMODITY PREXC SUB-PROGRAM]],TAGS!$U$54:$V$76,2,FALSE)</f>
        <v>FPMA</v>
      </c>
      <c r="H228" s="47" t="s">
        <v>597</v>
      </c>
      <c r="I228" s="51" t="str">
        <f>VLOOKUP(Table37[[#This Row],[PI LEVEL 3]],'PI LEVEL'!A:C,3,FALSE)</f>
        <v>National/Regional Field Monitoring conducted</v>
      </c>
      <c r="J228" s="51" t="str">
        <f>VLOOKUP(Table37[[#This Row],[PI LEVEL 3]],Table53729[[Performance Indicator Level 3]:[Performance Indicator Level 1]],2,FALSE)</f>
        <v>National/Regional Field Monitoring conducted</v>
      </c>
      <c r="K228" s="51" t="str">
        <f>VLOOKUP(Table37[[#This Row],[ACTIVITY]],TAGS!B:P,2,FALSE)</f>
        <v>National/Regional Field Monitoring conducted</v>
      </c>
      <c r="L228" s="47" t="s">
        <v>229</v>
      </c>
      <c r="M228" s="51" t="str">
        <f>VLOOKUP(Table37[[#This Row],[ACTIVITY]],TAGS!$B:$P,4,FALSE)</f>
        <v>FPMA</v>
      </c>
      <c r="N228" s="51" t="str">
        <f>VLOOKUP(Table37[[#This Row],[ACTIVITY]],TAGS!$B:$P,5,FALSE)</f>
        <v>FPMA</v>
      </c>
      <c r="O228" s="51" t="str">
        <f>VLOOKUP(Table37[[#This Row],[ACTIVITY]],TAGS!$B:$P,6,FALSE)</f>
        <v>Workshop and Meetings</v>
      </c>
      <c r="P228" s="51" t="str">
        <f>VLOOKUP(Table37[[#This Row],[ACTIVITY]],TAGS!$B:$P,7,FALSE)</f>
        <v>NO</v>
      </c>
      <c r="Q228" s="51" t="str">
        <f>VLOOKUP(Table37[[#This Row],[ACTIVITY]],TAGS!$B:$P,8,FALSE)</f>
        <v>Overhead</v>
      </c>
      <c r="R228" s="51" t="str">
        <f>VLOOKUP(Table37[[#This Row],[ACTIVITY]],TAGS!$B:$P,10,FALSE)</f>
        <v>NON-PIP</v>
      </c>
      <c r="S228" s="51" t="str">
        <f>VLOOKUP(Table37[[#This Row],[ACTIVITY]],TAGS!$B:$P,11,FALSE)</f>
        <v>NON-PICS</v>
      </c>
      <c r="T228" s="51">
        <f>VLOOKUP(Table37[[#This Row],[ACTIVITY]],TAGS!$B:$P,12,FALSE)</f>
        <v>0</v>
      </c>
      <c r="U228" s="51">
        <f>VLOOKUP(Table37[[#This Row],[ACTIVITY]],TAGS!$B:$P,13,FALSE)</f>
        <v>0</v>
      </c>
      <c r="V228" s="51">
        <f>VLOOKUP(Table37[[#This Row],[ACTIVITY]],TAGS!$B:$P,14,FALSE)</f>
        <v>0</v>
      </c>
      <c r="W228" s="51" t="str">
        <f>VLOOKUP(Table37[[#This Row],[ACTIVITY]],TAGS!$B:$P,15,FALSE)</f>
        <v>Existing</v>
      </c>
      <c r="X228" s="51">
        <f>VLOOKUP(Table37[[#This Row],[PI LEVEL 3]],'PI LEVEL'!$A:$G,7,FALSE)</f>
        <v>0</v>
      </c>
      <c r="Y228" s="47" t="s">
        <v>577</v>
      </c>
      <c r="Z228" s="47" t="s">
        <v>329</v>
      </c>
      <c r="AA228" s="51" t="str">
        <f>VLOOKUP(Table37[[#This Row],[MONTH]],TAGS!$W$67:$Y$81,2,FALSE)</f>
        <v>1ST QTR</v>
      </c>
      <c r="AB228" s="51" t="str">
        <f>VLOOKUP(Table37[[#This Row],[MONTH]],TAGS!$W$67:$Y$81,3,FALSE)</f>
        <v>1ST SEMESTER</v>
      </c>
      <c r="AC228" s="51">
        <f>VLOOKUP(Table37[[#This Row],[MONTH]],TAGS!$W$67:$Z$81,4,FALSE)</f>
        <v>2025</v>
      </c>
      <c r="AD228" s="47">
        <v>325</v>
      </c>
      <c r="AE228" s="47"/>
      <c r="AF228" s="51">
        <f>SUM(Table37[[#This Row],[MOOE (Php ''000)]:[CO (Php ''000)]])</f>
        <v>325</v>
      </c>
      <c r="AG228" s="71" t="b">
        <f>ISBLANK(Table37[[#This Row],[PRPOPOSAL/BEDS]])</f>
        <v>0</v>
      </c>
      <c r="AH228" s="71" t="b">
        <f>ISBLANK(Table37[[#This Row],[OU]])</f>
        <v>0</v>
      </c>
      <c r="AI228" s="71" t="b">
        <f>ISBLANK(Table37[[#This Row],[SPECIFIC COMMODITY]])</f>
        <v>0</v>
      </c>
      <c r="AJ228" s="71" t="b">
        <f>ISBLANK(Table37[[#This Row],[COMMODITY PREXC SUB-PROGRAM]])</f>
        <v>0</v>
      </c>
      <c r="AK228" s="71" t="b">
        <f>ISBLANK(Table37[[#This Row],[ACTIVITY]])</f>
        <v>0</v>
      </c>
      <c r="AL228" s="71" t="b">
        <f>ISBLANK(Table37[[#This Row],[TAG-GAD]])</f>
        <v>0</v>
      </c>
      <c r="AM228" s="71" t="b">
        <f>ISBLANK(Table37[[#This Row],[MONTH]])</f>
        <v>0</v>
      </c>
      <c r="AN228" s="71" t="b">
        <f>ISBLANK(Table37[[#This Row],[MOOE (Php ''000)]])</f>
        <v>0</v>
      </c>
      <c r="AO228" s="71" t="b">
        <f>ISBLANK(Table37[[#This Row],[CO (Php ''000)]])</f>
        <v>1</v>
      </c>
    </row>
    <row r="229" spans="1:41">
      <c r="A229" s="51" t="str">
        <f>VLOOKUP(Table37[[#This Row],[OU]],OU!$A$15:$B$34,2,FALSE)</f>
        <v>RFOs</v>
      </c>
      <c r="B229" s="47" t="s">
        <v>301</v>
      </c>
      <c r="C229" s="47" t="s">
        <v>574</v>
      </c>
      <c r="D229" s="47" t="s">
        <v>585</v>
      </c>
      <c r="E229" s="51" t="str">
        <f>VLOOKUP(Table37[[#This Row],[SPECIFIC COMMODITY]],TAGS!$W$48:$X$53,2,FALSE)</f>
        <v>Multi_commodity</v>
      </c>
      <c r="F229" s="51" t="str">
        <f>VLOOKUP(Table37[[#This Row],[PREXC SUB-PROGRAM]],Table5[],2,FALSE)</f>
        <v>FIELD PROGRAMS MANAGEMENT ACTIVITIES</v>
      </c>
      <c r="G229" s="51" t="str">
        <f>VLOOKUP(Table37[[#This Row],[COMMODITY PREXC SUB-PROGRAM]],TAGS!$U$54:$V$76,2,FALSE)</f>
        <v>FPMA</v>
      </c>
      <c r="H229" s="47" t="s">
        <v>597</v>
      </c>
      <c r="I229" s="51" t="str">
        <f>VLOOKUP(Table37[[#This Row],[PI LEVEL 3]],'PI LEVEL'!A:C,3,FALSE)</f>
        <v>National/Regional Field Monitoring conducted</v>
      </c>
      <c r="J229" s="51" t="str">
        <f>VLOOKUP(Table37[[#This Row],[PI LEVEL 3]],Table53729[[Performance Indicator Level 3]:[Performance Indicator Level 1]],2,FALSE)</f>
        <v>National/Regional Field Monitoring conducted</v>
      </c>
      <c r="K229" s="51" t="str">
        <f>VLOOKUP(Table37[[#This Row],[ACTIVITY]],TAGS!B:P,2,FALSE)</f>
        <v>National/Regional Field Monitoring conducted</v>
      </c>
      <c r="L229" s="47" t="s">
        <v>229</v>
      </c>
      <c r="M229" s="51" t="str">
        <f>VLOOKUP(Table37[[#This Row],[ACTIVITY]],TAGS!$B:$P,4,FALSE)</f>
        <v>FPMA</v>
      </c>
      <c r="N229" s="51" t="str">
        <f>VLOOKUP(Table37[[#This Row],[ACTIVITY]],TAGS!$B:$P,5,FALSE)</f>
        <v>FPMA</v>
      </c>
      <c r="O229" s="51" t="str">
        <f>VLOOKUP(Table37[[#This Row],[ACTIVITY]],TAGS!$B:$P,6,FALSE)</f>
        <v>Workshop and Meetings</v>
      </c>
      <c r="P229" s="51" t="str">
        <f>VLOOKUP(Table37[[#This Row],[ACTIVITY]],TAGS!$B:$P,7,FALSE)</f>
        <v>NO</v>
      </c>
      <c r="Q229" s="51" t="str">
        <f>VLOOKUP(Table37[[#This Row],[ACTIVITY]],TAGS!$B:$P,8,FALSE)</f>
        <v>Overhead</v>
      </c>
      <c r="R229" s="51" t="str">
        <f>VLOOKUP(Table37[[#This Row],[ACTIVITY]],TAGS!$B:$P,10,FALSE)</f>
        <v>NON-PIP</v>
      </c>
      <c r="S229" s="51" t="str">
        <f>VLOOKUP(Table37[[#This Row],[ACTIVITY]],TAGS!$B:$P,11,FALSE)</f>
        <v>NON-PICS</v>
      </c>
      <c r="T229" s="51">
        <f>VLOOKUP(Table37[[#This Row],[ACTIVITY]],TAGS!$B:$P,12,FALSE)</f>
        <v>0</v>
      </c>
      <c r="U229" s="51">
        <f>VLOOKUP(Table37[[#This Row],[ACTIVITY]],TAGS!$B:$P,13,FALSE)</f>
        <v>0</v>
      </c>
      <c r="V229" s="51">
        <f>VLOOKUP(Table37[[#This Row],[ACTIVITY]],TAGS!$B:$P,14,FALSE)</f>
        <v>0</v>
      </c>
      <c r="W229" s="51" t="str">
        <f>VLOOKUP(Table37[[#This Row],[ACTIVITY]],TAGS!$B:$P,15,FALSE)</f>
        <v>Existing</v>
      </c>
      <c r="X229" s="51">
        <f>VLOOKUP(Table37[[#This Row],[PI LEVEL 3]],'PI LEVEL'!$A:$G,7,FALSE)</f>
        <v>0</v>
      </c>
      <c r="Y229" s="47" t="s">
        <v>577</v>
      </c>
      <c r="Z229" s="47" t="s">
        <v>330</v>
      </c>
      <c r="AA229" s="51" t="str">
        <f>VLOOKUP(Table37[[#This Row],[MONTH]],TAGS!$W$67:$Y$81,2,FALSE)</f>
        <v>2ND QTR</v>
      </c>
      <c r="AB229" s="51" t="str">
        <f>VLOOKUP(Table37[[#This Row],[MONTH]],TAGS!$W$67:$Y$81,3,FALSE)</f>
        <v>1ST SEMESTER</v>
      </c>
      <c r="AC229" s="51">
        <f>VLOOKUP(Table37[[#This Row],[MONTH]],TAGS!$W$67:$Z$81,4,FALSE)</f>
        <v>2025</v>
      </c>
      <c r="AD229" s="47">
        <v>600</v>
      </c>
      <c r="AE229" s="47"/>
      <c r="AF229" s="51">
        <f>SUM(Table37[[#This Row],[MOOE (Php ''000)]:[CO (Php ''000)]])</f>
        <v>600</v>
      </c>
      <c r="AG229" s="71" t="b">
        <f>ISBLANK(Table37[[#This Row],[PRPOPOSAL/BEDS]])</f>
        <v>0</v>
      </c>
      <c r="AH229" s="71" t="b">
        <f>ISBLANK(Table37[[#This Row],[OU]])</f>
        <v>0</v>
      </c>
      <c r="AI229" s="71" t="b">
        <f>ISBLANK(Table37[[#This Row],[SPECIFIC COMMODITY]])</f>
        <v>0</v>
      </c>
      <c r="AJ229" s="71" t="b">
        <f>ISBLANK(Table37[[#This Row],[COMMODITY PREXC SUB-PROGRAM]])</f>
        <v>0</v>
      </c>
      <c r="AK229" s="71" t="b">
        <f>ISBLANK(Table37[[#This Row],[ACTIVITY]])</f>
        <v>0</v>
      </c>
      <c r="AL229" s="71" t="b">
        <f>ISBLANK(Table37[[#This Row],[TAG-GAD]])</f>
        <v>0</v>
      </c>
      <c r="AM229" s="71" t="b">
        <f>ISBLANK(Table37[[#This Row],[MONTH]])</f>
        <v>0</v>
      </c>
      <c r="AN229" s="71" t="b">
        <f>ISBLANK(Table37[[#This Row],[MOOE (Php ''000)]])</f>
        <v>0</v>
      </c>
      <c r="AO229" s="71" t="b">
        <f>ISBLANK(Table37[[#This Row],[CO (Php ''000)]])</f>
        <v>1</v>
      </c>
    </row>
    <row r="230" spans="1:41">
      <c r="A230" s="51" t="str">
        <f>VLOOKUP(Table37[[#This Row],[OU]],OU!$A$15:$B$34,2,FALSE)</f>
        <v>RFOs</v>
      </c>
      <c r="B230" s="47" t="s">
        <v>301</v>
      </c>
      <c r="C230" s="47" t="s">
        <v>574</v>
      </c>
      <c r="D230" s="47" t="s">
        <v>585</v>
      </c>
      <c r="E230" s="51" t="str">
        <f>VLOOKUP(Table37[[#This Row],[SPECIFIC COMMODITY]],TAGS!$W$48:$X$53,2,FALSE)</f>
        <v>Multi_commodity</v>
      </c>
      <c r="F230" s="51" t="str">
        <f>VLOOKUP(Table37[[#This Row],[PREXC SUB-PROGRAM]],Table5[],2,FALSE)</f>
        <v>FIELD PROGRAMS MANAGEMENT ACTIVITIES</v>
      </c>
      <c r="G230" s="51" t="str">
        <f>VLOOKUP(Table37[[#This Row],[COMMODITY PREXC SUB-PROGRAM]],TAGS!$U$54:$V$76,2,FALSE)</f>
        <v>FPMA</v>
      </c>
      <c r="H230" s="47" t="s">
        <v>597</v>
      </c>
      <c r="I230" s="51" t="str">
        <f>VLOOKUP(Table37[[#This Row],[PI LEVEL 3]],'PI LEVEL'!A:C,3,FALSE)</f>
        <v>National/Regional Field Monitoring conducted</v>
      </c>
      <c r="J230" s="51" t="str">
        <f>VLOOKUP(Table37[[#This Row],[PI LEVEL 3]],Table53729[[Performance Indicator Level 3]:[Performance Indicator Level 1]],2,FALSE)</f>
        <v>National/Regional Field Monitoring conducted</v>
      </c>
      <c r="K230" s="51" t="str">
        <f>VLOOKUP(Table37[[#This Row],[ACTIVITY]],TAGS!B:P,2,FALSE)</f>
        <v>National/Regional Field Monitoring conducted</v>
      </c>
      <c r="L230" s="47" t="s">
        <v>229</v>
      </c>
      <c r="M230" s="51" t="str">
        <f>VLOOKUP(Table37[[#This Row],[ACTIVITY]],TAGS!$B:$P,4,FALSE)</f>
        <v>FPMA</v>
      </c>
      <c r="N230" s="51" t="str">
        <f>VLOOKUP(Table37[[#This Row],[ACTIVITY]],TAGS!$B:$P,5,FALSE)</f>
        <v>FPMA</v>
      </c>
      <c r="O230" s="51" t="str">
        <f>VLOOKUP(Table37[[#This Row],[ACTIVITY]],TAGS!$B:$P,6,FALSE)</f>
        <v>Workshop and Meetings</v>
      </c>
      <c r="P230" s="51" t="str">
        <f>VLOOKUP(Table37[[#This Row],[ACTIVITY]],TAGS!$B:$P,7,FALSE)</f>
        <v>NO</v>
      </c>
      <c r="Q230" s="51" t="str">
        <f>VLOOKUP(Table37[[#This Row],[ACTIVITY]],TAGS!$B:$P,8,FALSE)</f>
        <v>Overhead</v>
      </c>
      <c r="R230" s="51" t="str">
        <f>VLOOKUP(Table37[[#This Row],[ACTIVITY]],TAGS!$B:$P,10,FALSE)</f>
        <v>NON-PIP</v>
      </c>
      <c r="S230" s="51" t="str">
        <f>VLOOKUP(Table37[[#This Row],[ACTIVITY]],TAGS!$B:$P,11,FALSE)</f>
        <v>NON-PICS</v>
      </c>
      <c r="T230" s="51">
        <f>VLOOKUP(Table37[[#This Row],[ACTIVITY]],TAGS!$B:$P,12,FALSE)</f>
        <v>0</v>
      </c>
      <c r="U230" s="51">
        <f>VLOOKUP(Table37[[#This Row],[ACTIVITY]],TAGS!$B:$P,13,FALSE)</f>
        <v>0</v>
      </c>
      <c r="V230" s="51">
        <f>VLOOKUP(Table37[[#This Row],[ACTIVITY]],TAGS!$B:$P,14,FALSE)</f>
        <v>0</v>
      </c>
      <c r="W230" s="51" t="str">
        <f>VLOOKUP(Table37[[#This Row],[ACTIVITY]],TAGS!$B:$P,15,FALSE)</f>
        <v>Existing</v>
      </c>
      <c r="X230" s="51">
        <f>VLOOKUP(Table37[[#This Row],[PI LEVEL 3]],'PI LEVEL'!$A:$G,7,FALSE)</f>
        <v>0</v>
      </c>
      <c r="Y230" s="47" t="s">
        <v>577</v>
      </c>
      <c r="Z230" s="47" t="s">
        <v>331</v>
      </c>
      <c r="AA230" s="51" t="str">
        <f>VLOOKUP(Table37[[#This Row],[MONTH]],TAGS!$W$67:$Y$81,2,FALSE)</f>
        <v>2ND QTR</v>
      </c>
      <c r="AB230" s="51" t="str">
        <f>VLOOKUP(Table37[[#This Row],[MONTH]],TAGS!$W$67:$Y$81,3,FALSE)</f>
        <v>1ST SEMESTER</v>
      </c>
      <c r="AC230" s="51">
        <f>VLOOKUP(Table37[[#This Row],[MONTH]],TAGS!$W$67:$Z$81,4,FALSE)</f>
        <v>2025</v>
      </c>
      <c r="AD230" s="47">
        <v>325</v>
      </c>
      <c r="AE230" s="47"/>
      <c r="AF230" s="51">
        <f>SUM(Table37[[#This Row],[MOOE (Php ''000)]:[CO (Php ''000)]])</f>
        <v>325</v>
      </c>
      <c r="AG230" s="71" t="b">
        <f>ISBLANK(Table37[[#This Row],[PRPOPOSAL/BEDS]])</f>
        <v>0</v>
      </c>
      <c r="AH230" s="71" t="b">
        <f>ISBLANK(Table37[[#This Row],[OU]])</f>
        <v>0</v>
      </c>
      <c r="AI230" s="71" t="b">
        <f>ISBLANK(Table37[[#This Row],[SPECIFIC COMMODITY]])</f>
        <v>0</v>
      </c>
      <c r="AJ230" s="71" t="b">
        <f>ISBLANK(Table37[[#This Row],[COMMODITY PREXC SUB-PROGRAM]])</f>
        <v>0</v>
      </c>
      <c r="AK230" s="71" t="b">
        <f>ISBLANK(Table37[[#This Row],[ACTIVITY]])</f>
        <v>0</v>
      </c>
      <c r="AL230" s="71" t="b">
        <f>ISBLANK(Table37[[#This Row],[TAG-GAD]])</f>
        <v>0</v>
      </c>
      <c r="AM230" s="71" t="b">
        <f>ISBLANK(Table37[[#This Row],[MONTH]])</f>
        <v>0</v>
      </c>
      <c r="AN230" s="71" t="b">
        <f>ISBLANK(Table37[[#This Row],[MOOE (Php ''000)]])</f>
        <v>0</v>
      </c>
      <c r="AO230" s="71" t="b">
        <f>ISBLANK(Table37[[#This Row],[CO (Php ''000)]])</f>
        <v>1</v>
      </c>
    </row>
    <row r="231" spans="1:41">
      <c r="A231" s="51" t="str">
        <f>VLOOKUP(Table37[[#This Row],[OU]],OU!$A$15:$B$34,2,FALSE)</f>
        <v>RFOs</v>
      </c>
      <c r="B231" s="47" t="s">
        <v>301</v>
      </c>
      <c r="C231" s="47" t="s">
        <v>574</v>
      </c>
      <c r="D231" s="47" t="s">
        <v>585</v>
      </c>
      <c r="E231" s="51" t="str">
        <f>VLOOKUP(Table37[[#This Row],[SPECIFIC COMMODITY]],TAGS!$W$48:$X$53,2,FALSE)</f>
        <v>Multi_commodity</v>
      </c>
      <c r="F231" s="51" t="str">
        <f>VLOOKUP(Table37[[#This Row],[PREXC SUB-PROGRAM]],Table5[],2,FALSE)</f>
        <v>FIELD PROGRAMS MANAGEMENT ACTIVITIES</v>
      </c>
      <c r="G231" s="51" t="str">
        <f>VLOOKUP(Table37[[#This Row],[COMMODITY PREXC SUB-PROGRAM]],TAGS!$U$54:$V$76,2,FALSE)</f>
        <v>FPMA</v>
      </c>
      <c r="H231" s="47" t="s">
        <v>597</v>
      </c>
      <c r="I231" s="51" t="str">
        <f>VLOOKUP(Table37[[#This Row],[PI LEVEL 3]],'PI LEVEL'!A:C,3,FALSE)</f>
        <v>National/Regional Field Monitoring conducted</v>
      </c>
      <c r="J231" s="51" t="str">
        <f>VLOOKUP(Table37[[#This Row],[PI LEVEL 3]],Table53729[[Performance Indicator Level 3]:[Performance Indicator Level 1]],2,FALSE)</f>
        <v>National/Regional Field Monitoring conducted</v>
      </c>
      <c r="K231" s="51" t="str">
        <f>VLOOKUP(Table37[[#This Row],[ACTIVITY]],TAGS!B:P,2,FALSE)</f>
        <v>National/Regional Field Monitoring conducted</v>
      </c>
      <c r="L231" s="47" t="s">
        <v>229</v>
      </c>
      <c r="M231" s="51" t="str">
        <f>VLOOKUP(Table37[[#This Row],[ACTIVITY]],TAGS!$B:$P,4,FALSE)</f>
        <v>FPMA</v>
      </c>
      <c r="N231" s="51" t="str">
        <f>VLOOKUP(Table37[[#This Row],[ACTIVITY]],TAGS!$B:$P,5,FALSE)</f>
        <v>FPMA</v>
      </c>
      <c r="O231" s="51" t="str">
        <f>VLOOKUP(Table37[[#This Row],[ACTIVITY]],TAGS!$B:$P,6,FALSE)</f>
        <v>Workshop and Meetings</v>
      </c>
      <c r="P231" s="51" t="str">
        <f>VLOOKUP(Table37[[#This Row],[ACTIVITY]],TAGS!$B:$P,7,FALSE)</f>
        <v>NO</v>
      </c>
      <c r="Q231" s="51" t="str">
        <f>VLOOKUP(Table37[[#This Row],[ACTIVITY]],TAGS!$B:$P,8,FALSE)</f>
        <v>Overhead</v>
      </c>
      <c r="R231" s="51" t="str">
        <f>VLOOKUP(Table37[[#This Row],[ACTIVITY]],TAGS!$B:$P,10,FALSE)</f>
        <v>NON-PIP</v>
      </c>
      <c r="S231" s="51" t="str">
        <f>VLOOKUP(Table37[[#This Row],[ACTIVITY]],TAGS!$B:$P,11,FALSE)</f>
        <v>NON-PICS</v>
      </c>
      <c r="T231" s="51">
        <f>VLOOKUP(Table37[[#This Row],[ACTIVITY]],TAGS!$B:$P,12,FALSE)</f>
        <v>0</v>
      </c>
      <c r="U231" s="51">
        <f>VLOOKUP(Table37[[#This Row],[ACTIVITY]],TAGS!$B:$P,13,FALSE)</f>
        <v>0</v>
      </c>
      <c r="V231" s="51">
        <f>VLOOKUP(Table37[[#This Row],[ACTIVITY]],TAGS!$B:$P,14,FALSE)</f>
        <v>0</v>
      </c>
      <c r="W231" s="51" t="str">
        <f>VLOOKUP(Table37[[#This Row],[ACTIVITY]],TAGS!$B:$P,15,FALSE)</f>
        <v>Existing</v>
      </c>
      <c r="X231" s="51">
        <f>VLOOKUP(Table37[[#This Row],[PI LEVEL 3]],'PI LEVEL'!$A:$G,7,FALSE)</f>
        <v>0</v>
      </c>
      <c r="Y231" s="47" t="s">
        <v>577</v>
      </c>
      <c r="Z231" s="47" t="s">
        <v>332</v>
      </c>
      <c r="AA231" s="51" t="str">
        <f>VLOOKUP(Table37[[#This Row],[MONTH]],TAGS!$W$67:$Y$81,2,FALSE)</f>
        <v>2ND QTR</v>
      </c>
      <c r="AB231" s="51" t="str">
        <f>VLOOKUP(Table37[[#This Row],[MONTH]],TAGS!$W$67:$Y$81,3,FALSE)</f>
        <v>1ST SEMESTER</v>
      </c>
      <c r="AC231" s="51">
        <f>VLOOKUP(Table37[[#This Row],[MONTH]],TAGS!$W$67:$Z$81,4,FALSE)</f>
        <v>2025</v>
      </c>
      <c r="AD231" s="47">
        <v>325</v>
      </c>
      <c r="AE231" s="47"/>
      <c r="AF231" s="51">
        <f>SUM(Table37[[#This Row],[MOOE (Php ''000)]:[CO (Php ''000)]])</f>
        <v>325</v>
      </c>
      <c r="AG231" s="71" t="b">
        <f>ISBLANK(Table37[[#This Row],[PRPOPOSAL/BEDS]])</f>
        <v>0</v>
      </c>
      <c r="AH231" s="71" t="b">
        <f>ISBLANK(Table37[[#This Row],[OU]])</f>
        <v>0</v>
      </c>
      <c r="AI231" s="71" t="b">
        <f>ISBLANK(Table37[[#This Row],[SPECIFIC COMMODITY]])</f>
        <v>0</v>
      </c>
      <c r="AJ231" s="71" t="b">
        <f>ISBLANK(Table37[[#This Row],[COMMODITY PREXC SUB-PROGRAM]])</f>
        <v>0</v>
      </c>
      <c r="AK231" s="71" t="b">
        <f>ISBLANK(Table37[[#This Row],[ACTIVITY]])</f>
        <v>0</v>
      </c>
      <c r="AL231" s="71" t="b">
        <f>ISBLANK(Table37[[#This Row],[TAG-GAD]])</f>
        <v>0</v>
      </c>
      <c r="AM231" s="71" t="b">
        <f>ISBLANK(Table37[[#This Row],[MONTH]])</f>
        <v>0</v>
      </c>
      <c r="AN231" s="71" t="b">
        <f>ISBLANK(Table37[[#This Row],[MOOE (Php ''000)]])</f>
        <v>0</v>
      </c>
      <c r="AO231" s="71" t="b">
        <f>ISBLANK(Table37[[#This Row],[CO (Php ''000)]])</f>
        <v>1</v>
      </c>
    </row>
    <row r="232" spans="1:41">
      <c r="A232" s="51" t="str">
        <f>VLOOKUP(Table37[[#This Row],[OU]],OU!$A$15:$B$34,2,FALSE)</f>
        <v>RFOs</v>
      </c>
      <c r="B232" s="47" t="s">
        <v>301</v>
      </c>
      <c r="C232" s="47" t="s">
        <v>574</v>
      </c>
      <c r="D232" s="47" t="s">
        <v>585</v>
      </c>
      <c r="E232" s="51" t="str">
        <f>VLOOKUP(Table37[[#This Row],[SPECIFIC COMMODITY]],TAGS!$W$48:$X$53,2,FALSE)</f>
        <v>Multi_commodity</v>
      </c>
      <c r="F232" s="51" t="str">
        <f>VLOOKUP(Table37[[#This Row],[PREXC SUB-PROGRAM]],Table5[],2,FALSE)</f>
        <v>FIELD PROGRAMS MANAGEMENT ACTIVITIES</v>
      </c>
      <c r="G232" s="51" t="str">
        <f>VLOOKUP(Table37[[#This Row],[COMMODITY PREXC SUB-PROGRAM]],TAGS!$U$54:$V$76,2,FALSE)</f>
        <v>FPMA</v>
      </c>
      <c r="H232" s="47" t="s">
        <v>597</v>
      </c>
      <c r="I232" s="51" t="str">
        <f>VLOOKUP(Table37[[#This Row],[PI LEVEL 3]],'PI LEVEL'!A:C,3,FALSE)</f>
        <v>National/Regional Field Monitoring conducted</v>
      </c>
      <c r="J232" s="51" t="str">
        <f>VLOOKUP(Table37[[#This Row],[PI LEVEL 3]],Table53729[[Performance Indicator Level 3]:[Performance Indicator Level 1]],2,FALSE)</f>
        <v>National/Regional Field Monitoring conducted</v>
      </c>
      <c r="K232" s="51" t="str">
        <f>VLOOKUP(Table37[[#This Row],[ACTIVITY]],TAGS!B:P,2,FALSE)</f>
        <v>National/Regional Field Monitoring conducted</v>
      </c>
      <c r="L232" s="47" t="s">
        <v>229</v>
      </c>
      <c r="M232" s="51" t="str">
        <f>VLOOKUP(Table37[[#This Row],[ACTIVITY]],TAGS!$B:$P,4,FALSE)</f>
        <v>FPMA</v>
      </c>
      <c r="N232" s="51" t="str">
        <f>VLOOKUP(Table37[[#This Row],[ACTIVITY]],TAGS!$B:$P,5,FALSE)</f>
        <v>FPMA</v>
      </c>
      <c r="O232" s="51" t="str">
        <f>VLOOKUP(Table37[[#This Row],[ACTIVITY]],TAGS!$B:$P,6,FALSE)</f>
        <v>Workshop and Meetings</v>
      </c>
      <c r="P232" s="51" t="str">
        <f>VLOOKUP(Table37[[#This Row],[ACTIVITY]],TAGS!$B:$P,7,FALSE)</f>
        <v>NO</v>
      </c>
      <c r="Q232" s="51" t="str">
        <f>VLOOKUP(Table37[[#This Row],[ACTIVITY]],TAGS!$B:$P,8,FALSE)</f>
        <v>Overhead</v>
      </c>
      <c r="R232" s="51" t="str">
        <f>VLOOKUP(Table37[[#This Row],[ACTIVITY]],TAGS!$B:$P,10,FALSE)</f>
        <v>NON-PIP</v>
      </c>
      <c r="S232" s="51" t="str">
        <f>VLOOKUP(Table37[[#This Row],[ACTIVITY]],TAGS!$B:$P,11,FALSE)</f>
        <v>NON-PICS</v>
      </c>
      <c r="T232" s="51">
        <f>VLOOKUP(Table37[[#This Row],[ACTIVITY]],TAGS!$B:$P,12,FALSE)</f>
        <v>0</v>
      </c>
      <c r="U232" s="51">
        <f>VLOOKUP(Table37[[#This Row],[ACTIVITY]],TAGS!$B:$P,13,FALSE)</f>
        <v>0</v>
      </c>
      <c r="V232" s="51">
        <f>VLOOKUP(Table37[[#This Row],[ACTIVITY]],TAGS!$B:$P,14,FALSE)</f>
        <v>0</v>
      </c>
      <c r="W232" s="51" t="str">
        <f>VLOOKUP(Table37[[#This Row],[ACTIVITY]],TAGS!$B:$P,15,FALSE)</f>
        <v>Existing</v>
      </c>
      <c r="X232" s="51">
        <f>VLOOKUP(Table37[[#This Row],[PI LEVEL 3]],'PI LEVEL'!$A:$G,7,FALSE)</f>
        <v>0</v>
      </c>
      <c r="Y232" s="47" t="s">
        <v>577</v>
      </c>
      <c r="Z232" s="47" t="s">
        <v>333</v>
      </c>
      <c r="AA232" s="51" t="str">
        <f>VLOOKUP(Table37[[#This Row],[MONTH]],TAGS!$W$67:$Y$81,2,FALSE)</f>
        <v>3RD QTR</v>
      </c>
      <c r="AB232" s="51" t="str">
        <f>VLOOKUP(Table37[[#This Row],[MONTH]],TAGS!$W$67:$Y$81,3,FALSE)</f>
        <v>2ND SEMESTER</v>
      </c>
      <c r="AC232" s="51">
        <f>VLOOKUP(Table37[[#This Row],[MONTH]],TAGS!$W$67:$Z$81,4,FALSE)</f>
        <v>2025</v>
      </c>
      <c r="AD232" s="47">
        <v>300</v>
      </c>
      <c r="AE232" s="47"/>
      <c r="AF232" s="51">
        <f>SUM(Table37[[#This Row],[MOOE (Php ''000)]:[CO (Php ''000)]])</f>
        <v>300</v>
      </c>
      <c r="AG232" s="71" t="b">
        <f>ISBLANK(Table37[[#This Row],[PRPOPOSAL/BEDS]])</f>
        <v>0</v>
      </c>
      <c r="AH232" s="71" t="b">
        <f>ISBLANK(Table37[[#This Row],[OU]])</f>
        <v>0</v>
      </c>
      <c r="AI232" s="71" t="b">
        <f>ISBLANK(Table37[[#This Row],[SPECIFIC COMMODITY]])</f>
        <v>0</v>
      </c>
      <c r="AJ232" s="71" t="b">
        <f>ISBLANK(Table37[[#This Row],[COMMODITY PREXC SUB-PROGRAM]])</f>
        <v>0</v>
      </c>
      <c r="AK232" s="71" t="b">
        <f>ISBLANK(Table37[[#This Row],[ACTIVITY]])</f>
        <v>0</v>
      </c>
      <c r="AL232" s="71" t="b">
        <f>ISBLANK(Table37[[#This Row],[TAG-GAD]])</f>
        <v>0</v>
      </c>
      <c r="AM232" s="71" t="b">
        <f>ISBLANK(Table37[[#This Row],[MONTH]])</f>
        <v>0</v>
      </c>
      <c r="AN232" s="71" t="b">
        <f>ISBLANK(Table37[[#This Row],[MOOE (Php ''000)]])</f>
        <v>0</v>
      </c>
      <c r="AO232" s="71" t="b">
        <f>ISBLANK(Table37[[#This Row],[CO (Php ''000)]])</f>
        <v>1</v>
      </c>
    </row>
    <row r="233" spans="1:41">
      <c r="A233" s="51" t="str">
        <f>VLOOKUP(Table37[[#This Row],[OU]],OU!$A$15:$B$34,2,FALSE)</f>
        <v>RFOs</v>
      </c>
      <c r="B233" s="47" t="s">
        <v>301</v>
      </c>
      <c r="C233" s="47" t="s">
        <v>574</v>
      </c>
      <c r="D233" s="47" t="s">
        <v>585</v>
      </c>
      <c r="E233" s="51" t="str">
        <f>VLOOKUP(Table37[[#This Row],[SPECIFIC COMMODITY]],TAGS!$W$48:$X$53,2,FALSE)</f>
        <v>Multi_commodity</v>
      </c>
      <c r="F233" s="51" t="str">
        <f>VLOOKUP(Table37[[#This Row],[PREXC SUB-PROGRAM]],Table5[],2,FALSE)</f>
        <v>FIELD PROGRAMS MANAGEMENT ACTIVITIES</v>
      </c>
      <c r="G233" s="51" t="str">
        <f>VLOOKUP(Table37[[#This Row],[COMMODITY PREXC SUB-PROGRAM]],TAGS!$U$54:$V$76,2,FALSE)</f>
        <v>FPMA</v>
      </c>
      <c r="H233" s="47" t="s">
        <v>597</v>
      </c>
      <c r="I233" s="51" t="str">
        <f>VLOOKUP(Table37[[#This Row],[PI LEVEL 3]],'PI LEVEL'!A:C,3,FALSE)</f>
        <v>National/Regional Field Monitoring conducted</v>
      </c>
      <c r="J233" s="51" t="str">
        <f>VLOOKUP(Table37[[#This Row],[PI LEVEL 3]],Table53729[[Performance Indicator Level 3]:[Performance Indicator Level 1]],2,FALSE)</f>
        <v>National/Regional Field Monitoring conducted</v>
      </c>
      <c r="K233" s="51" t="str">
        <f>VLOOKUP(Table37[[#This Row],[ACTIVITY]],TAGS!B:P,2,FALSE)</f>
        <v>National/Regional Field Monitoring conducted</v>
      </c>
      <c r="L233" s="47" t="s">
        <v>229</v>
      </c>
      <c r="M233" s="51" t="str">
        <f>VLOOKUP(Table37[[#This Row],[ACTIVITY]],TAGS!$B:$P,4,FALSE)</f>
        <v>FPMA</v>
      </c>
      <c r="N233" s="51" t="str">
        <f>VLOOKUP(Table37[[#This Row],[ACTIVITY]],TAGS!$B:$P,5,FALSE)</f>
        <v>FPMA</v>
      </c>
      <c r="O233" s="51" t="str">
        <f>VLOOKUP(Table37[[#This Row],[ACTIVITY]],TAGS!$B:$P,6,FALSE)</f>
        <v>Workshop and Meetings</v>
      </c>
      <c r="P233" s="51" t="str">
        <f>VLOOKUP(Table37[[#This Row],[ACTIVITY]],TAGS!$B:$P,7,FALSE)</f>
        <v>NO</v>
      </c>
      <c r="Q233" s="51" t="str">
        <f>VLOOKUP(Table37[[#This Row],[ACTIVITY]],TAGS!$B:$P,8,FALSE)</f>
        <v>Overhead</v>
      </c>
      <c r="R233" s="51" t="str">
        <f>VLOOKUP(Table37[[#This Row],[ACTIVITY]],TAGS!$B:$P,10,FALSE)</f>
        <v>NON-PIP</v>
      </c>
      <c r="S233" s="51" t="str">
        <f>VLOOKUP(Table37[[#This Row],[ACTIVITY]],TAGS!$B:$P,11,FALSE)</f>
        <v>NON-PICS</v>
      </c>
      <c r="T233" s="51">
        <f>VLOOKUP(Table37[[#This Row],[ACTIVITY]],TAGS!$B:$P,12,FALSE)</f>
        <v>0</v>
      </c>
      <c r="U233" s="51">
        <f>VLOOKUP(Table37[[#This Row],[ACTIVITY]],TAGS!$B:$P,13,FALSE)</f>
        <v>0</v>
      </c>
      <c r="V233" s="51">
        <f>VLOOKUP(Table37[[#This Row],[ACTIVITY]],TAGS!$B:$P,14,FALSE)</f>
        <v>0</v>
      </c>
      <c r="W233" s="51" t="str">
        <f>VLOOKUP(Table37[[#This Row],[ACTIVITY]],TAGS!$B:$P,15,FALSE)</f>
        <v>Existing</v>
      </c>
      <c r="X233" s="51">
        <f>VLOOKUP(Table37[[#This Row],[PI LEVEL 3]],'PI LEVEL'!$A:$G,7,FALSE)</f>
        <v>0</v>
      </c>
      <c r="Y233" s="47" t="s">
        <v>577</v>
      </c>
      <c r="Z233" s="47" t="s">
        <v>334</v>
      </c>
      <c r="AA233" s="51" t="str">
        <f>VLOOKUP(Table37[[#This Row],[MONTH]],TAGS!$W$67:$Y$81,2,FALSE)</f>
        <v>3RD QTR</v>
      </c>
      <c r="AB233" s="51" t="str">
        <f>VLOOKUP(Table37[[#This Row],[MONTH]],TAGS!$W$67:$Y$81,3,FALSE)</f>
        <v>2ND SEMESTER</v>
      </c>
      <c r="AC233" s="51">
        <f>VLOOKUP(Table37[[#This Row],[MONTH]],TAGS!$W$67:$Z$81,4,FALSE)</f>
        <v>2025</v>
      </c>
      <c r="AD233" s="47">
        <v>325</v>
      </c>
      <c r="AE233" s="47"/>
      <c r="AF233" s="51">
        <f>SUM(Table37[[#This Row],[MOOE (Php ''000)]:[CO (Php ''000)]])</f>
        <v>325</v>
      </c>
      <c r="AG233" s="71" t="b">
        <f>ISBLANK(Table37[[#This Row],[PRPOPOSAL/BEDS]])</f>
        <v>0</v>
      </c>
      <c r="AH233" s="71" t="b">
        <f>ISBLANK(Table37[[#This Row],[OU]])</f>
        <v>0</v>
      </c>
      <c r="AI233" s="71" t="b">
        <f>ISBLANK(Table37[[#This Row],[SPECIFIC COMMODITY]])</f>
        <v>0</v>
      </c>
      <c r="AJ233" s="71" t="b">
        <f>ISBLANK(Table37[[#This Row],[COMMODITY PREXC SUB-PROGRAM]])</f>
        <v>0</v>
      </c>
      <c r="AK233" s="71" t="b">
        <f>ISBLANK(Table37[[#This Row],[ACTIVITY]])</f>
        <v>0</v>
      </c>
      <c r="AL233" s="71" t="b">
        <f>ISBLANK(Table37[[#This Row],[TAG-GAD]])</f>
        <v>0</v>
      </c>
      <c r="AM233" s="71" t="b">
        <f>ISBLANK(Table37[[#This Row],[MONTH]])</f>
        <v>0</v>
      </c>
      <c r="AN233" s="71" t="b">
        <f>ISBLANK(Table37[[#This Row],[MOOE (Php ''000)]])</f>
        <v>0</v>
      </c>
      <c r="AO233" s="71" t="b">
        <f>ISBLANK(Table37[[#This Row],[CO (Php ''000)]])</f>
        <v>1</v>
      </c>
    </row>
    <row r="234" spans="1:41">
      <c r="A234" s="51" t="str">
        <f>VLOOKUP(Table37[[#This Row],[OU]],OU!$A$15:$B$34,2,FALSE)</f>
        <v>RFOs</v>
      </c>
      <c r="B234" s="47" t="s">
        <v>301</v>
      </c>
      <c r="C234" s="47" t="s">
        <v>574</v>
      </c>
      <c r="D234" s="47" t="s">
        <v>585</v>
      </c>
      <c r="E234" s="51" t="str">
        <f>VLOOKUP(Table37[[#This Row],[SPECIFIC COMMODITY]],TAGS!$W$48:$X$53,2,FALSE)</f>
        <v>Multi_commodity</v>
      </c>
      <c r="F234" s="51" t="str">
        <f>VLOOKUP(Table37[[#This Row],[PREXC SUB-PROGRAM]],Table5[],2,FALSE)</f>
        <v>FIELD PROGRAMS MANAGEMENT ACTIVITIES</v>
      </c>
      <c r="G234" s="51" t="str">
        <f>VLOOKUP(Table37[[#This Row],[COMMODITY PREXC SUB-PROGRAM]],TAGS!$U$54:$V$76,2,FALSE)</f>
        <v>FPMA</v>
      </c>
      <c r="H234" s="47" t="s">
        <v>597</v>
      </c>
      <c r="I234" s="51" t="str">
        <f>VLOOKUP(Table37[[#This Row],[PI LEVEL 3]],'PI LEVEL'!A:C,3,FALSE)</f>
        <v>National/Regional Field Monitoring conducted</v>
      </c>
      <c r="J234" s="51" t="str">
        <f>VLOOKUP(Table37[[#This Row],[PI LEVEL 3]],Table53729[[Performance Indicator Level 3]:[Performance Indicator Level 1]],2,FALSE)</f>
        <v>National/Regional Field Monitoring conducted</v>
      </c>
      <c r="K234" s="51" t="str">
        <f>VLOOKUP(Table37[[#This Row],[ACTIVITY]],TAGS!B:P,2,FALSE)</f>
        <v>National/Regional Field Monitoring conducted</v>
      </c>
      <c r="L234" s="47" t="s">
        <v>229</v>
      </c>
      <c r="M234" s="51" t="str">
        <f>VLOOKUP(Table37[[#This Row],[ACTIVITY]],TAGS!$B:$P,4,FALSE)</f>
        <v>FPMA</v>
      </c>
      <c r="N234" s="51" t="str">
        <f>VLOOKUP(Table37[[#This Row],[ACTIVITY]],TAGS!$B:$P,5,FALSE)</f>
        <v>FPMA</v>
      </c>
      <c r="O234" s="51" t="str">
        <f>VLOOKUP(Table37[[#This Row],[ACTIVITY]],TAGS!$B:$P,6,FALSE)</f>
        <v>Workshop and Meetings</v>
      </c>
      <c r="P234" s="51" t="str">
        <f>VLOOKUP(Table37[[#This Row],[ACTIVITY]],TAGS!$B:$P,7,FALSE)</f>
        <v>NO</v>
      </c>
      <c r="Q234" s="51" t="str">
        <f>VLOOKUP(Table37[[#This Row],[ACTIVITY]],TAGS!$B:$P,8,FALSE)</f>
        <v>Overhead</v>
      </c>
      <c r="R234" s="51" t="str">
        <f>VLOOKUP(Table37[[#This Row],[ACTIVITY]],TAGS!$B:$P,10,FALSE)</f>
        <v>NON-PIP</v>
      </c>
      <c r="S234" s="51" t="str">
        <f>VLOOKUP(Table37[[#This Row],[ACTIVITY]],TAGS!$B:$P,11,FALSE)</f>
        <v>NON-PICS</v>
      </c>
      <c r="T234" s="51">
        <f>VLOOKUP(Table37[[#This Row],[ACTIVITY]],TAGS!$B:$P,12,FALSE)</f>
        <v>0</v>
      </c>
      <c r="U234" s="51">
        <f>VLOOKUP(Table37[[#This Row],[ACTIVITY]],TAGS!$B:$P,13,FALSE)</f>
        <v>0</v>
      </c>
      <c r="V234" s="51">
        <f>VLOOKUP(Table37[[#This Row],[ACTIVITY]],TAGS!$B:$P,14,FALSE)</f>
        <v>0</v>
      </c>
      <c r="W234" s="51" t="str">
        <f>VLOOKUP(Table37[[#This Row],[ACTIVITY]],TAGS!$B:$P,15,FALSE)</f>
        <v>Existing</v>
      </c>
      <c r="X234" s="51">
        <f>VLOOKUP(Table37[[#This Row],[PI LEVEL 3]],'PI LEVEL'!$A:$G,7,FALSE)</f>
        <v>0</v>
      </c>
      <c r="Y234" s="47" t="s">
        <v>577</v>
      </c>
      <c r="Z234" s="47" t="s">
        <v>335</v>
      </c>
      <c r="AA234" s="51" t="str">
        <f>VLOOKUP(Table37[[#This Row],[MONTH]],TAGS!$W$67:$Y$81,2,FALSE)</f>
        <v>3RD QTR</v>
      </c>
      <c r="AB234" s="51" t="str">
        <f>VLOOKUP(Table37[[#This Row],[MONTH]],TAGS!$W$67:$Y$81,3,FALSE)</f>
        <v>2ND SEMESTER</v>
      </c>
      <c r="AC234" s="51">
        <f>VLOOKUP(Table37[[#This Row],[MONTH]],TAGS!$W$67:$Z$81,4,FALSE)</f>
        <v>2025</v>
      </c>
      <c r="AD234" s="47">
        <v>325</v>
      </c>
      <c r="AE234" s="47"/>
      <c r="AF234" s="51">
        <f>SUM(Table37[[#This Row],[MOOE (Php ''000)]:[CO (Php ''000)]])</f>
        <v>325</v>
      </c>
      <c r="AG234" s="71" t="b">
        <f>ISBLANK(Table37[[#This Row],[PRPOPOSAL/BEDS]])</f>
        <v>0</v>
      </c>
      <c r="AH234" s="71" t="b">
        <f>ISBLANK(Table37[[#This Row],[OU]])</f>
        <v>0</v>
      </c>
      <c r="AI234" s="71" t="b">
        <f>ISBLANK(Table37[[#This Row],[SPECIFIC COMMODITY]])</f>
        <v>0</v>
      </c>
      <c r="AJ234" s="71" t="b">
        <f>ISBLANK(Table37[[#This Row],[COMMODITY PREXC SUB-PROGRAM]])</f>
        <v>0</v>
      </c>
      <c r="AK234" s="71" t="b">
        <f>ISBLANK(Table37[[#This Row],[ACTIVITY]])</f>
        <v>0</v>
      </c>
      <c r="AL234" s="71" t="b">
        <f>ISBLANK(Table37[[#This Row],[TAG-GAD]])</f>
        <v>0</v>
      </c>
      <c r="AM234" s="71" t="b">
        <f>ISBLANK(Table37[[#This Row],[MONTH]])</f>
        <v>0</v>
      </c>
      <c r="AN234" s="71" t="b">
        <f>ISBLANK(Table37[[#This Row],[MOOE (Php ''000)]])</f>
        <v>0</v>
      </c>
      <c r="AO234" s="71" t="b">
        <f>ISBLANK(Table37[[#This Row],[CO (Php ''000)]])</f>
        <v>1</v>
      </c>
    </row>
    <row r="235" spans="1:41">
      <c r="A235" s="51" t="str">
        <f>VLOOKUP(Table37[[#This Row],[OU]],OU!$A$15:$B$34,2,FALSE)</f>
        <v>RFOs</v>
      </c>
      <c r="B235" s="47" t="s">
        <v>301</v>
      </c>
      <c r="C235" s="47" t="s">
        <v>574</v>
      </c>
      <c r="D235" s="47" t="s">
        <v>585</v>
      </c>
      <c r="E235" s="51" t="str">
        <f>VLOOKUP(Table37[[#This Row],[SPECIFIC COMMODITY]],TAGS!$W$48:$X$53,2,FALSE)</f>
        <v>Multi_commodity</v>
      </c>
      <c r="F235" s="51" t="str">
        <f>VLOOKUP(Table37[[#This Row],[PREXC SUB-PROGRAM]],Table5[],2,FALSE)</f>
        <v>FIELD PROGRAMS MANAGEMENT ACTIVITIES</v>
      </c>
      <c r="G235" s="51" t="str">
        <f>VLOOKUP(Table37[[#This Row],[COMMODITY PREXC SUB-PROGRAM]],TAGS!$U$54:$V$76,2,FALSE)</f>
        <v>FPMA</v>
      </c>
      <c r="H235" s="47" t="s">
        <v>597</v>
      </c>
      <c r="I235" s="51" t="str">
        <f>VLOOKUP(Table37[[#This Row],[PI LEVEL 3]],'PI LEVEL'!A:C,3,FALSE)</f>
        <v>National/Regional Field Monitoring conducted</v>
      </c>
      <c r="J235" s="51" t="str">
        <f>VLOOKUP(Table37[[#This Row],[PI LEVEL 3]],Table53729[[Performance Indicator Level 3]:[Performance Indicator Level 1]],2,FALSE)</f>
        <v>National/Regional Field Monitoring conducted</v>
      </c>
      <c r="K235" s="51" t="str">
        <f>VLOOKUP(Table37[[#This Row],[ACTIVITY]],TAGS!B:P,2,FALSE)</f>
        <v>National/Regional Field Monitoring conducted</v>
      </c>
      <c r="L235" s="47" t="s">
        <v>229</v>
      </c>
      <c r="M235" s="51" t="str">
        <f>VLOOKUP(Table37[[#This Row],[ACTIVITY]],TAGS!$B:$P,4,FALSE)</f>
        <v>FPMA</v>
      </c>
      <c r="N235" s="51" t="str">
        <f>VLOOKUP(Table37[[#This Row],[ACTIVITY]],TAGS!$B:$P,5,FALSE)</f>
        <v>FPMA</v>
      </c>
      <c r="O235" s="51" t="str">
        <f>VLOOKUP(Table37[[#This Row],[ACTIVITY]],TAGS!$B:$P,6,FALSE)</f>
        <v>Workshop and Meetings</v>
      </c>
      <c r="P235" s="51" t="str">
        <f>VLOOKUP(Table37[[#This Row],[ACTIVITY]],TAGS!$B:$P,7,FALSE)</f>
        <v>NO</v>
      </c>
      <c r="Q235" s="51" t="str">
        <f>VLOOKUP(Table37[[#This Row],[ACTIVITY]],TAGS!$B:$P,8,FALSE)</f>
        <v>Overhead</v>
      </c>
      <c r="R235" s="51" t="str">
        <f>VLOOKUP(Table37[[#This Row],[ACTIVITY]],TAGS!$B:$P,10,FALSE)</f>
        <v>NON-PIP</v>
      </c>
      <c r="S235" s="51" t="str">
        <f>VLOOKUP(Table37[[#This Row],[ACTIVITY]],TAGS!$B:$P,11,FALSE)</f>
        <v>NON-PICS</v>
      </c>
      <c r="T235" s="51">
        <f>VLOOKUP(Table37[[#This Row],[ACTIVITY]],TAGS!$B:$P,12,FALSE)</f>
        <v>0</v>
      </c>
      <c r="U235" s="51">
        <f>VLOOKUP(Table37[[#This Row],[ACTIVITY]],TAGS!$B:$P,13,FALSE)</f>
        <v>0</v>
      </c>
      <c r="V235" s="51">
        <f>VLOOKUP(Table37[[#This Row],[ACTIVITY]],TAGS!$B:$P,14,FALSE)</f>
        <v>0</v>
      </c>
      <c r="W235" s="51" t="str">
        <f>VLOOKUP(Table37[[#This Row],[ACTIVITY]],TAGS!$B:$P,15,FALSE)</f>
        <v>Existing</v>
      </c>
      <c r="X235" s="51">
        <f>VLOOKUP(Table37[[#This Row],[PI LEVEL 3]],'PI LEVEL'!$A:$G,7,FALSE)</f>
        <v>0</v>
      </c>
      <c r="Y235" s="47" t="s">
        <v>577</v>
      </c>
      <c r="Z235" s="47" t="s">
        <v>336</v>
      </c>
      <c r="AA235" s="51" t="str">
        <f>VLOOKUP(Table37[[#This Row],[MONTH]],TAGS!$W$67:$Y$81,2,FALSE)</f>
        <v>4TH QTR</v>
      </c>
      <c r="AB235" s="51" t="str">
        <f>VLOOKUP(Table37[[#This Row],[MONTH]],TAGS!$W$67:$Y$81,3,FALSE)</f>
        <v>2ND SEMESTER</v>
      </c>
      <c r="AC235" s="51">
        <f>VLOOKUP(Table37[[#This Row],[MONTH]],TAGS!$W$67:$Z$81,4,FALSE)</f>
        <v>2025</v>
      </c>
      <c r="AD235" s="47">
        <v>325</v>
      </c>
      <c r="AE235" s="47"/>
      <c r="AF235" s="51">
        <f>SUM(Table37[[#This Row],[MOOE (Php ''000)]:[CO (Php ''000)]])</f>
        <v>325</v>
      </c>
      <c r="AG235" s="71" t="b">
        <f>ISBLANK(Table37[[#This Row],[PRPOPOSAL/BEDS]])</f>
        <v>0</v>
      </c>
      <c r="AH235" s="71" t="b">
        <f>ISBLANK(Table37[[#This Row],[OU]])</f>
        <v>0</v>
      </c>
      <c r="AI235" s="71" t="b">
        <f>ISBLANK(Table37[[#This Row],[SPECIFIC COMMODITY]])</f>
        <v>0</v>
      </c>
      <c r="AJ235" s="71" t="b">
        <f>ISBLANK(Table37[[#This Row],[COMMODITY PREXC SUB-PROGRAM]])</f>
        <v>0</v>
      </c>
      <c r="AK235" s="71" t="b">
        <f>ISBLANK(Table37[[#This Row],[ACTIVITY]])</f>
        <v>0</v>
      </c>
      <c r="AL235" s="71" t="b">
        <f>ISBLANK(Table37[[#This Row],[TAG-GAD]])</f>
        <v>0</v>
      </c>
      <c r="AM235" s="71" t="b">
        <f>ISBLANK(Table37[[#This Row],[MONTH]])</f>
        <v>0</v>
      </c>
      <c r="AN235" s="71" t="b">
        <f>ISBLANK(Table37[[#This Row],[MOOE (Php ''000)]])</f>
        <v>0</v>
      </c>
      <c r="AO235" s="71" t="b">
        <f>ISBLANK(Table37[[#This Row],[CO (Php ''000)]])</f>
        <v>1</v>
      </c>
    </row>
    <row r="236" spans="1:41">
      <c r="A236" s="51" t="str">
        <f>VLOOKUP(Table37[[#This Row],[OU]],OU!$A$15:$B$34,2,FALSE)</f>
        <v>RFOs</v>
      </c>
      <c r="B236" s="47" t="s">
        <v>301</v>
      </c>
      <c r="C236" s="47" t="s">
        <v>574</v>
      </c>
      <c r="D236" s="47" t="s">
        <v>585</v>
      </c>
      <c r="E236" s="51" t="str">
        <f>VLOOKUP(Table37[[#This Row],[SPECIFIC COMMODITY]],TAGS!$W$48:$X$53,2,FALSE)</f>
        <v>Multi_commodity</v>
      </c>
      <c r="F236" s="51" t="str">
        <f>VLOOKUP(Table37[[#This Row],[PREXC SUB-PROGRAM]],Table5[],2,FALSE)</f>
        <v>FIELD PROGRAMS MANAGEMENT ACTIVITIES</v>
      </c>
      <c r="G236" s="51" t="str">
        <f>VLOOKUP(Table37[[#This Row],[COMMODITY PREXC SUB-PROGRAM]],TAGS!$U$54:$V$76,2,FALSE)</f>
        <v>FPMA</v>
      </c>
      <c r="H236" s="47" t="s">
        <v>597</v>
      </c>
      <c r="I236" s="51" t="str">
        <f>VLOOKUP(Table37[[#This Row],[PI LEVEL 3]],'PI LEVEL'!A:C,3,FALSE)</f>
        <v>National/Regional Field Monitoring conducted</v>
      </c>
      <c r="J236" s="51" t="str">
        <f>VLOOKUP(Table37[[#This Row],[PI LEVEL 3]],Table53729[[Performance Indicator Level 3]:[Performance Indicator Level 1]],2,FALSE)</f>
        <v>National/Regional Field Monitoring conducted</v>
      </c>
      <c r="K236" s="51" t="str">
        <f>VLOOKUP(Table37[[#This Row],[ACTIVITY]],TAGS!B:P,2,FALSE)</f>
        <v>National/Regional Field Monitoring conducted</v>
      </c>
      <c r="L236" s="47" t="s">
        <v>229</v>
      </c>
      <c r="M236" s="51" t="str">
        <f>VLOOKUP(Table37[[#This Row],[ACTIVITY]],TAGS!$B:$P,4,FALSE)</f>
        <v>FPMA</v>
      </c>
      <c r="N236" s="51" t="str">
        <f>VLOOKUP(Table37[[#This Row],[ACTIVITY]],TAGS!$B:$P,5,FALSE)</f>
        <v>FPMA</v>
      </c>
      <c r="O236" s="51" t="str">
        <f>VLOOKUP(Table37[[#This Row],[ACTIVITY]],TAGS!$B:$P,6,FALSE)</f>
        <v>Workshop and Meetings</v>
      </c>
      <c r="P236" s="51" t="str">
        <f>VLOOKUP(Table37[[#This Row],[ACTIVITY]],TAGS!$B:$P,7,FALSE)</f>
        <v>NO</v>
      </c>
      <c r="Q236" s="51" t="str">
        <f>VLOOKUP(Table37[[#This Row],[ACTIVITY]],TAGS!$B:$P,8,FALSE)</f>
        <v>Overhead</v>
      </c>
      <c r="R236" s="51" t="str">
        <f>VLOOKUP(Table37[[#This Row],[ACTIVITY]],TAGS!$B:$P,10,FALSE)</f>
        <v>NON-PIP</v>
      </c>
      <c r="S236" s="51" t="str">
        <f>VLOOKUP(Table37[[#This Row],[ACTIVITY]],TAGS!$B:$P,11,FALSE)</f>
        <v>NON-PICS</v>
      </c>
      <c r="T236" s="51">
        <f>VLOOKUP(Table37[[#This Row],[ACTIVITY]],TAGS!$B:$P,12,FALSE)</f>
        <v>0</v>
      </c>
      <c r="U236" s="51">
        <f>VLOOKUP(Table37[[#This Row],[ACTIVITY]],TAGS!$B:$P,13,FALSE)</f>
        <v>0</v>
      </c>
      <c r="V236" s="51">
        <f>VLOOKUP(Table37[[#This Row],[ACTIVITY]],TAGS!$B:$P,14,FALSE)</f>
        <v>0</v>
      </c>
      <c r="W236" s="51" t="str">
        <f>VLOOKUP(Table37[[#This Row],[ACTIVITY]],TAGS!$B:$P,15,FALSE)</f>
        <v>Existing</v>
      </c>
      <c r="X236" s="51">
        <f>VLOOKUP(Table37[[#This Row],[PI LEVEL 3]],'PI LEVEL'!$A:$G,7,FALSE)</f>
        <v>0</v>
      </c>
      <c r="Y236" s="47" t="s">
        <v>577</v>
      </c>
      <c r="Z236" s="47" t="s">
        <v>337</v>
      </c>
      <c r="AA236" s="51" t="str">
        <f>VLOOKUP(Table37[[#This Row],[MONTH]],TAGS!$W$67:$Y$81,2,FALSE)</f>
        <v>4TH QTR</v>
      </c>
      <c r="AB236" s="51" t="str">
        <f>VLOOKUP(Table37[[#This Row],[MONTH]],TAGS!$W$67:$Y$81,3,FALSE)</f>
        <v>2ND SEMESTER</v>
      </c>
      <c r="AC236" s="51">
        <f>VLOOKUP(Table37[[#This Row],[MONTH]],TAGS!$W$67:$Z$81,4,FALSE)</f>
        <v>2025</v>
      </c>
      <c r="AD236" s="47">
        <v>325</v>
      </c>
      <c r="AE236" s="47"/>
      <c r="AF236" s="51">
        <f>SUM(Table37[[#This Row],[MOOE (Php ''000)]:[CO (Php ''000)]])</f>
        <v>325</v>
      </c>
      <c r="AG236" s="71" t="b">
        <f>ISBLANK(Table37[[#This Row],[PRPOPOSAL/BEDS]])</f>
        <v>0</v>
      </c>
      <c r="AH236" s="71" t="b">
        <f>ISBLANK(Table37[[#This Row],[OU]])</f>
        <v>0</v>
      </c>
      <c r="AI236" s="71" t="b">
        <f>ISBLANK(Table37[[#This Row],[SPECIFIC COMMODITY]])</f>
        <v>0</v>
      </c>
      <c r="AJ236" s="71" t="b">
        <f>ISBLANK(Table37[[#This Row],[COMMODITY PREXC SUB-PROGRAM]])</f>
        <v>0</v>
      </c>
      <c r="AK236" s="71" t="b">
        <f>ISBLANK(Table37[[#This Row],[ACTIVITY]])</f>
        <v>0</v>
      </c>
      <c r="AL236" s="71" t="b">
        <f>ISBLANK(Table37[[#This Row],[TAG-GAD]])</f>
        <v>0</v>
      </c>
      <c r="AM236" s="71" t="b">
        <f>ISBLANK(Table37[[#This Row],[MONTH]])</f>
        <v>0</v>
      </c>
      <c r="AN236" s="71" t="b">
        <f>ISBLANK(Table37[[#This Row],[MOOE (Php ''000)]])</f>
        <v>0</v>
      </c>
      <c r="AO236" s="71" t="b">
        <f>ISBLANK(Table37[[#This Row],[CO (Php ''000)]])</f>
        <v>1</v>
      </c>
    </row>
    <row r="237" spans="1:41">
      <c r="A237" s="51" t="str">
        <f>VLOOKUP(Table37[[#This Row],[OU]],OU!$A$15:$B$34,2,FALSE)</f>
        <v>RFOs</v>
      </c>
      <c r="B237" s="47" t="s">
        <v>301</v>
      </c>
      <c r="C237" s="47" t="s">
        <v>574</v>
      </c>
      <c r="D237" s="47" t="s">
        <v>585</v>
      </c>
      <c r="E237" s="51" t="str">
        <f>VLOOKUP(Table37[[#This Row],[SPECIFIC COMMODITY]],TAGS!$W$48:$X$53,2,FALSE)</f>
        <v>Multi_commodity</v>
      </c>
      <c r="F237" s="51" t="str">
        <f>VLOOKUP(Table37[[#This Row],[PREXC SUB-PROGRAM]],Table5[],2,FALSE)</f>
        <v>FIELD PROGRAMS MANAGEMENT ACTIVITIES</v>
      </c>
      <c r="G237" s="51" t="str">
        <f>VLOOKUP(Table37[[#This Row],[COMMODITY PREXC SUB-PROGRAM]],TAGS!$U$54:$V$76,2,FALSE)</f>
        <v>FPMA</v>
      </c>
      <c r="H237" s="47" t="s">
        <v>597</v>
      </c>
      <c r="I237" s="51" t="str">
        <f>VLOOKUP(Table37[[#This Row],[PI LEVEL 3]],'PI LEVEL'!A:C,3,FALSE)</f>
        <v>National/Regional Field Monitoring conducted</v>
      </c>
      <c r="J237" s="51" t="str">
        <f>VLOOKUP(Table37[[#This Row],[PI LEVEL 3]],Table53729[[Performance Indicator Level 3]:[Performance Indicator Level 1]],2,FALSE)</f>
        <v>National/Regional Field Monitoring conducted</v>
      </c>
      <c r="K237" s="51" t="str">
        <f>VLOOKUP(Table37[[#This Row],[ACTIVITY]],TAGS!B:P,2,FALSE)</f>
        <v>National/Regional Field Monitoring conducted</v>
      </c>
      <c r="L237" s="47" t="s">
        <v>229</v>
      </c>
      <c r="M237" s="51" t="str">
        <f>VLOOKUP(Table37[[#This Row],[ACTIVITY]],TAGS!$B:$P,4,FALSE)</f>
        <v>FPMA</v>
      </c>
      <c r="N237" s="51" t="str">
        <f>VLOOKUP(Table37[[#This Row],[ACTIVITY]],TAGS!$B:$P,5,FALSE)</f>
        <v>FPMA</v>
      </c>
      <c r="O237" s="51" t="str">
        <f>VLOOKUP(Table37[[#This Row],[ACTIVITY]],TAGS!$B:$P,6,FALSE)</f>
        <v>Workshop and Meetings</v>
      </c>
      <c r="P237" s="51" t="str">
        <f>VLOOKUP(Table37[[#This Row],[ACTIVITY]],TAGS!$B:$P,7,FALSE)</f>
        <v>NO</v>
      </c>
      <c r="Q237" s="51" t="str">
        <f>VLOOKUP(Table37[[#This Row],[ACTIVITY]],TAGS!$B:$P,8,FALSE)</f>
        <v>Overhead</v>
      </c>
      <c r="R237" s="51" t="str">
        <f>VLOOKUP(Table37[[#This Row],[ACTIVITY]],TAGS!$B:$P,10,FALSE)</f>
        <v>NON-PIP</v>
      </c>
      <c r="S237" s="51" t="str">
        <f>VLOOKUP(Table37[[#This Row],[ACTIVITY]],TAGS!$B:$P,11,FALSE)</f>
        <v>NON-PICS</v>
      </c>
      <c r="T237" s="51">
        <f>VLOOKUP(Table37[[#This Row],[ACTIVITY]],TAGS!$B:$P,12,FALSE)</f>
        <v>0</v>
      </c>
      <c r="U237" s="51">
        <f>VLOOKUP(Table37[[#This Row],[ACTIVITY]],TAGS!$B:$P,13,FALSE)</f>
        <v>0</v>
      </c>
      <c r="V237" s="51">
        <f>VLOOKUP(Table37[[#This Row],[ACTIVITY]],TAGS!$B:$P,14,FALSE)</f>
        <v>0</v>
      </c>
      <c r="W237" s="51" t="str">
        <f>VLOOKUP(Table37[[#This Row],[ACTIVITY]],TAGS!$B:$P,15,FALSE)</f>
        <v>Existing</v>
      </c>
      <c r="X237" s="51">
        <f>VLOOKUP(Table37[[#This Row],[PI LEVEL 3]],'PI LEVEL'!$A:$G,7,FALSE)</f>
        <v>0</v>
      </c>
      <c r="Y237" s="47" t="s">
        <v>577</v>
      </c>
      <c r="Z237" s="47" t="s">
        <v>338</v>
      </c>
      <c r="AA237" s="51" t="str">
        <f>VLOOKUP(Table37[[#This Row],[MONTH]],TAGS!$W$67:$Y$81,2,FALSE)</f>
        <v>4TH QTR</v>
      </c>
      <c r="AB237" s="51" t="str">
        <f>VLOOKUP(Table37[[#This Row],[MONTH]],TAGS!$W$67:$Y$81,3,FALSE)</f>
        <v>2ND SEMESTER</v>
      </c>
      <c r="AC237" s="51">
        <f>VLOOKUP(Table37[[#This Row],[MONTH]],TAGS!$W$67:$Z$81,4,FALSE)</f>
        <v>2025</v>
      </c>
      <c r="AD237" s="47">
        <v>775</v>
      </c>
      <c r="AE237" s="47"/>
      <c r="AF237" s="51">
        <f>SUM(Table37[[#This Row],[MOOE (Php ''000)]:[CO (Php ''000)]])</f>
        <v>775</v>
      </c>
      <c r="AG237" s="71" t="b">
        <f>ISBLANK(Table37[[#This Row],[PRPOPOSAL/BEDS]])</f>
        <v>0</v>
      </c>
      <c r="AH237" s="71" t="b">
        <f>ISBLANK(Table37[[#This Row],[OU]])</f>
        <v>0</v>
      </c>
      <c r="AI237" s="71" t="b">
        <f>ISBLANK(Table37[[#This Row],[SPECIFIC COMMODITY]])</f>
        <v>0</v>
      </c>
      <c r="AJ237" s="71" t="b">
        <f>ISBLANK(Table37[[#This Row],[COMMODITY PREXC SUB-PROGRAM]])</f>
        <v>0</v>
      </c>
      <c r="AK237" s="71" t="b">
        <f>ISBLANK(Table37[[#This Row],[ACTIVITY]])</f>
        <v>0</v>
      </c>
      <c r="AL237" s="71" t="b">
        <f>ISBLANK(Table37[[#This Row],[TAG-GAD]])</f>
        <v>0</v>
      </c>
      <c r="AM237" s="71" t="b">
        <f>ISBLANK(Table37[[#This Row],[MONTH]])</f>
        <v>0</v>
      </c>
      <c r="AN237" s="71" t="b">
        <f>ISBLANK(Table37[[#This Row],[MOOE (Php ''000)]])</f>
        <v>0</v>
      </c>
      <c r="AO237" s="71" t="b">
        <f>ISBLANK(Table37[[#This Row],[CO (Php ''000)]])</f>
        <v>1</v>
      </c>
    </row>
    <row r="238" spans="1:41">
      <c r="A238" s="51" t="str">
        <f>VLOOKUP(Table37[[#This Row],[OU]],OU!$A$15:$B$34,2,FALSE)</f>
        <v>RFOs</v>
      </c>
      <c r="B238" s="47" t="s">
        <v>301</v>
      </c>
      <c r="C238" s="47" t="s">
        <v>574</v>
      </c>
      <c r="D238" s="47" t="s">
        <v>585</v>
      </c>
      <c r="E238" s="51" t="str">
        <f>VLOOKUP(Table37[[#This Row],[SPECIFIC COMMODITY]],TAGS!$W$48:$X$53,2,FALSE)</f>
        <v>Multi_commodity</v>
      </c>
      <c r="F238" s="51" t="str">
        <f>VLOOKUP(Table37[[#This Row],[PREXC SUB-PROGRAM]],Table5[],2,FALSE)</f>
        <v>FIELD PROGRAMS MANAGEMENT ACTIVITIES</v>
      </c>
      <c r="G238" s="51" t="str">
        <f>VLOOKUP(Table37[[#This Row],[COMMODITY PREXC SUB-PROGRAM]],TAGS!$U$54:$V$76,2,FALSE)</f>
        <v>FPMA</v>
      </c>
      <c r="H238" s="47" t="s">
        <v>597</v>
      </c>
      <c r="I238" s="51" t="str">
        <f>VLOOKUP(Table37[[#This Row],[PI LEVEL 3]],'PI LEVEL'!A:C,3,FALSE)</f>
        <v>National/Regional Field Monitoring conducted</v>
      </c>
      <c r="J238" s="51" t="str">
        <f>VLOOKUP(Table37[[#This Row],[PI LEVEL 3]],Table53729[[Performance Indicator Level 3]:[Performance Indicator Level 1]],2,FALSE)</f>
        <v>National/Regional Field Monitoring conducted</v>
      </c>
      <c r="K238" s="51" t="str">
        <f>VLOOKUP(Table37[[#This Row],[ACTIVITY]],TAGS!B:P,2,FALSE)</f>
        <v>National/Regional Field Monitoring conducted</v>
      </c>
      <c r="L238" s="47" t="s">
        <v>231</v>
      </c>
      <c r="M238" s="51" t="str">
        <f>VLOOKUP(Table37[[#This Row],[ACTIVITY]],TAGS!$B:$P,4,FALSE)</f>
        <v>FPMA</v>
      </c>
      <c r="N238" s="51" t="str">
        <f>VLOOKUP(Table37[[#This Row],[ACTIVITY]],TAGS!$B:$P,5,FALSE)</f>
        <v>FPMA</v>
      </c>
      <c r="O238" s="51" t="str">
        <f>VLOOKUP(Table37[[#This Row],[ACTIVITY]],TAGS!$B:$P,6,FALSE)</f>
        <v>Conduct of Feasibility Studies, Preparation of Detailed Engineering Design and Preparation of Program of Work</v>
      </c>
      <c r="P238" s="51" t="str">
        <f>VLOOKUP(Table37[[#This Row],[ACTIVITY]],TAGS!$B:$P,7,FALSE)</f>
        <v>NO</v>
      </c>
      <c r="Q238" s="51" t="str">
        <f>VLOOKUP(Table37[[#This Row],[ACTIVITY]],TAGS!$B:$P,8,FALSE)</f>
        <v>Overhead</v>
      </c>
      <c r="R238" s="51" t="str">
        <f>VLOOKUP(Table37[[#This Row],[ACTIVITY]],TAGS!$B:$P,10,FALSE)</f>
        <v>NON-PIP</v>
      </c>
      <c r="S238" s="51" t="str">
        <f>VLOOKUP(Table37[[#This Row],[ACTIVITY]],TAGS!$B:$P,11,FALSE)</f>
        <v>NON-PICS</v>
      </c>
      <c r="T238" s="51">
        <f>VLOOKUP(Table37[[#This Row],[ACTIVITY]],TAGS!$B:$P,12,FALSE)</f>
        <v>0</v>
      </c>
      <c r="U238" s="51">
        <f>VLOOKUP(Table37[[#This Row],[ACTIVITY]],TAGS!$B:$P,13,FALSE)</f>
        <v>0</v>
      </c>
      <c r="V238" s="51">
        <f>VLOOKUP(Table37[[#This Row],[ACTIVITY]],TAGS!$B:$P,14,FALSE)</f>
        <v>0</v>
      </c>
      <c r="W238" s="51" t="str">
        <f>VLOOKUP(Table37[[#This Row],[ACTIVITY]],TAGS!$B:$P,15,FALSE)</f>
        <v>Existing</v>
      </c>
      <c r="X238" s="51">
        <f>VLOOKUP(Table37[[#This Row],[PI LEVEL 3]],'PI LEVEL'!$A:$G,7,FALSE)</f>
        <v>0</v>
      </c>
      <c r="Y238" s="47" t="s">
        <v>577</v>
      </c>
      <c r="Z238" s="47" t="s">
        <v>332</v>
      </c>
      <c r="AA238" s="51" t="str">
        <f>VLOOKUP(Table37[[#This Row],[MONTH]],TAGS!$W$67:$Y$81,2,FALSE)</f>
        <v>2ND QTR</v>
      </c>
      <c r="AB238" s="51" t="str">
        <f>VLOOKUP(Table37[[#This Row],[MONTH]],TAGS!$W$67:$Y$81,3,FALSE)</f>
        <v>1ST SEMESTER</v>
      </c>
      <c r="AC238" s="51">
        <f>VLOOKUP(Table37[[#This Row],[MONTH]],TAGS!$W$67:$Z$81,4,FALSE)</f>
        <v>2025</v>
      </c>
      <c r="AD238" s="47">
        <v>500</v>
      </c>
      <c r="AE238" s="47"/>
      <c r="AF238" s="51">
        <f>SUM(Table37[[#This Row],[MOOE (Php ''000)]:[CO (Php ''000)]])</f>
        <v>500</v>
      </c>
      <c r="AG238" s="71" t="b">
        <f>ISBLANK(Table37[[#This Row],[PRPOPOSAL/BEDS]])</f>
        <v>0</v>
      </c>
      <c r="AH238" s="71" t="b">
        <f>ISBLANK(Table37[[#This Row],[OU]])</f>
        <v>0</v>
      </c>
      <c r="AI238" s="71" t="b">
        <f>ISBLANK(Table37[[#This Row],[SPECIFIC COMMODITY]])</f>
        <v>0</v>
      </c>
      <c r="AJ238" s="71" t="b">
        <f>ISBLANK(Table37[[#This Row],[COMMODITY PREXC SUB-PROGRAM]])</f>
        <v>0</v>
      </c>
      <c r="AK238" s="71" t="b">
        <f>ISBLANK(Table37[[#This Row],[ACTIVITY]])</f>
        <v>0</v>
      </c>
      <c r="AL238" s="71" t="b">
        <f>ISBLANK(Table37[[#This Row],[TAG-GAD]])</f>
        <v>0</v>
      </c>
      <c r="AM238" s="71" t="b">
        <f>ISBLANK(Table37[[#This Row],[MONTH]])</f>
        <v>0</v>
      </c>
      <c r="AN238" s="71" t="b">
        <f>ISBLANK(Table37[[#This Row],[MOOE (Php ''000)]])</f>
        <v>0</v>
      </c>
      <c r="AO238" s="71" t="b">
        <f>ISBLANK(Table37[[#This Row],[CO (Php ''000)]])</f>
        <v>1</v>
      </c>
    </row>
    <row r="239" spans="1:41">
      <c r="A239" s="51" t="str">
        <f>VLOOKUP(Table37[[#This Row],[OU]],OU!$A$15:$B$34,2,FALSE)</f>
        <v>RFOs</v>
      </c>
      <c r="B239" s="47" t="s">
        <v>301</v>
      </c>
      <c r="C239" s="47" t="s">
        <v>574</v>
      </c>
      <c r="D239" s="47" t="s">
        <v>585</v>
      </c>
      <c r="E239" s="51" t="str">
        <f>VLOOKUP(Table37[[#This Row],[SPECIFIC COMMODITY]],TAGS!$W$48:$X$53,2,FALSE)</f>
        <v>Multi_commodity</v>
      </c>
      <c r="F239" s="51" t="str">
        <f>VLOOKUP(Table37[[#This Row],[PREXC SUB-PROGRAM]],Table5[],2,FALSE)</f>
        <v>FIELD PROGRAMS MANAGEMENT ACTIVITIES</v>
      </c>
      <c r="G239" s="51" t="str">
        <f>VLOOKUP(Table37[[#This Row],[COMMODITY PREXC SUB-PROGRAM]],TAGS!$U$54:$V$76,2,FALSE)</f>
        <v>FPMA</v>
      </c>
      <c r="H239" s="47" t="s">
        <v>597</v>
      </c>
      <c r="I239" s="51" t="str">
        <f>VLOOKUP(Table37[[#This Row],[PI LEVEL 3]],'PI LEVEL'!A:C,3,FALSE)</f>
        <v>National/Regional Field Monitoring conducted</v>
      </c>
      <c r="J239" s="51" t="str">
        <f>VLOOKUP(Table37[[#This Row],[PI LEVEL 3]],Table53729[[Performance Indicator Level 3]:[Performance Indicator Level 1]],2,FALSE)</f>
        <v>National/Regional Field Monitoring conducted</v>
      </c>
      <c r="K239" s="51" t="str">
        <f>VLOOKUP(Table37[[#This Row],[ACTIVITY]],TAGS!B:P,2,FALSE)</f>
        <v>National/Regional Field Monitoring conducted</v>
      </c>
      <c r="L239" s="47" t="s">
        <v>233</v>
      </c>
      <c r="M239" s="51" t="str">
        <f>VLOOKUP(Table37[[#This Row],[ACTIVITY]],TAGS!$B:$P,4,FALSE)</f>
        <v>FPMA</v>
      </c>
      <c r="N239" s="51" t="str">
        <f>VLOOKUP(Table37[[#This Row],[ACTIVITY]],TAGS!$B:$P,5,FALSE)</f>
        <v>FPMA</v>
      </c>
      <c r="O239" s="51" t="str">
        <f>VLOOKUP(Table37[[#This Row],[ACTIVITY]],TAGS!$B:$P,6,FALSE)</f>
        <v>Monitoring and Evaluation</v>
      </c>
      <c r="P239" s="51" t="str">
        <f>VLOOKUP(Table37[[#This Row],[ACTIVITY]],TAGS!$B:$P,7,FALSE)</f>
        <v>NO</v>
      </c>
      <c r="Q239" s="51" t="str">
        <f>VLOOKUP(Table37[[#This Row],[ACTIVITY]],TAGS!$B:$P,8,FALSE)</f>
        <v>Overhead</v>
      </c>
      <c r="R239" s="51" t="str">
        <f>VLOOKUP(Table37[[#This Row],[ACTIVITY]],TAGS!$B:$P,10,FALSE)</f>
        <v>NON-PIP</v>
      </c>
      <c r="S239" s="51" t="str">
        <f>VLOOKUP(Table37[[#This Row],[ACTIVITY]],TAGS!$B:$P,11,FALSE)</f>
        <v>NON-PICS</v>
      </c>
      <c r="T239" s="51">
        <f>VLOOKUP(Table37[[#This Row],[ACTIVITY]],TAGS!$B:$P,12,FALSE)</f>
        <v>0</v>
      </c>
      <c r="U239" s="51">
        <f>VLOOKUP(Table37[[#This Row],[ACTIVITY]],TAGS!$B:$P,13,FALSE)</f>
        <v>0</v>
      </c>
      <c r="V239" s="51">
        <f>VLOOKUP(Table37[[#This Row],[ACTIVITY]],TAGS!$B:$P,14,FALSE)</f>
        <v>0</v>
      </c>
      <c r="W239" s="51" t="str">
        <f>VLOOKUP(Table37[[#This Row],[ACTIVITY]],TAGS!$B:$P,15,FALSE)</f>
        <v>Existing</v>
      </c>
      <c r="X239" s="51">
        <f>VLOOKUP(Table37[[#This Row],[PI LEVEL 3]],'PI LEVEL'!$A:$G,7,FALSE)</f>
        <v>0</v>
      </c>
      <c r="Y239" s="47" t="s">
        <v>577</v>
      </c>
      <c r="Z239" s="47" t="s">
        <v>328</v>
      </c>
      <c r="AA239" s="51" t="str">
        <f>VLOOKUP(Table37[[#This Row],[MONTH]],TAGS!$W$67:$Y$81,2,FALSE)</f>
        <v>1ST QTR</v>
      </c>
      <c r="AB239" s="51" t="str">
        <f>VLOOKUP(Table37[[#This Row],[MONTH]],TAGS!$W$67:$Y$81,3,FALSE)</f>
        <v>1ST SEMESTER</v>
      </c>
      <c r="AC239" s="51">
        <f>VLOOKUP(Table37[[#This Row],[MONTH]],TAGS!$W$67:$Z$81,4,FALSE)</f>
        <v>2025</v>
      </c>
      <c r="AD239" s="47">
        <v>50</v>
      </c>
      <c r="AE239" s="47"/>
      <c r="AF239" s="51">
        <f>SUM(Table37[[#This Row],[MOOE (Php ''000)]:[CO (Php ''000)]])</f>
        <v>50</v>
      </c>
      <c r="AG239" s="71" t="b">
        <f>ISBLANK(Table37[[#This Row],[PRPOPOSAL/BEDS]])</f>
        <v>0</v>
      </c>
      <c r="AH239" s="71" t="b">
        <f>ISBLANK(Table37[[#This Row],[OU]])</f>
        <v>0</v>
      </c>
      <c r="AI239" s="71" t="b">
        <f>ISBLANK(Table37[[#This Row],[SPECIFIC COMMODITY]])</f>
        <v>0</v>
      </c>
      <c r="AJ239" s="71" t="b">
        <f>ISBLANK(Table37[[#This Row],[COMMODITY PREXC SUB-PROGRAM]])</f>
        <v>0</v>
      </c>
      <c r="AK239" s="71" t="b">
        <f>ISBLANK(Table37[[#This Row],[ACTIVITY]])</f>
        <v>0</v>
      </c>
      <c r="AL239" s="71" t="b">
        <f>ISBLANK(Table37[[#This Row],[TAG-GAD]])</f>
        <v>0</v>
      </c>
      <c r="AM239" s="71" t="b">
        <f>ISBLANK(Table37[[#This Row],[MONTH]])</f>
        <v>0</v>
      </c>
      <c r="AN239" s="71" t="b">
        <f>ISBLANK(Table37[[#This Row],[MOOE (Php ''000)]])</f>
        <v>0</v>
      </c>
      <c r="AO239" s="71" t="b">
        <f>ISBLANK(Table37[[#This Row],[CO (Php ''000)]])</f>
        <v>1</v>
      </c>
    </row>
    <row r="240" spans="1:41">
      <c r="A240" s="51" t="str">
        <f>VLOOKUP(Table37[[#This Row],[OU]],OU!$A$15:$B$34,2,FALSE)</f>
        <v>RFOs</v>
      </c>
      <c r="B240" s="47" t="s">
        <v>301</v>
      </c>
      <c r="C240" s="47" t="s">
        <v>574</v>
      </c>
      <c r="D240" s="47" t="s">
        <v>585</v>
      </c>
      <c r="E240" s="51" t="str">
        <f>VLOOKUP(Table37[[#This Row],[SPECIFIC COMMODITY]],TAGS!$W$48:$X$53,2,FALSE)</f>
        <v>Multi_commodity</v>
      </c>
      <c r="F240" s="51" t="str">
        <f>VLOOKUP(Table37[[#This Row],[PREXC SUB-PROGRAM]],Table5[],2,FALSE)</f>
        <v>FIELD PROGRAMS MANAGEMENT ACTIVITIES</v>
      </c>
      <c r="G240" s="51" t="str">
        <f>VLOOKUP(Table37[[#This Row],[COMMODITY PREXC SUB-PROGRAM]],TAGS!$U$54:$V$76,2,FALSE)</f>
        <v>FPMA</v>
      </c>
      <c r="H240" s="47" t="s">
        <v>597</v>
      </c>
      <c r="I240" s="51" t="str">
        <f>VLOOKUP(Table37[[#This Row],[PI LEVEL 3]],'PI LEVEL'!A:C,3,FALSE)</f>
        <v>National/Regional Field Monitoring conducted</v>
      </c>
      <c r="J240" s="51" t="str">
        <f>VLOOKUP(Table37[[#This Row],[PI LEVEL 3]],Table53729[[Performance Indicator Level 3]:[Performance Indicator Level 1]],2,FALSE)</f>
        <v>National/Regional Field Monitoring conducted</v>
      </c>
      <c r="K240" s="51" t="str">
        <f>VLOOKUP(Table37[[#This Row],[ACTIVITY]],TAGS!B:P,2,FALSE)</f>
        <v>National/Regional Field Monitoring conducted</v>
      </c>
      <c r="L240" s="47" t="s">
        <v>233</v>
      </c>
      <c r="M240" s="51" t="str">
        <f>VLOOKUP(Table37[[#This Row],[ACTIVITY]],TAGS!$B:$P,4,FALSE)</f>
        <v>FPMA</v>
      </c>
      <c r="N240" s="51" t="str">
        <f>VLOOKUP(Table37[[#This Row],[ACTIVITY]],TAGS!$B:$P,5,FALSE)</f>
        <v>FPMA</v>
      </c>
      <c r="O240" s="51" t="str">
        <f>VLOOKUP(Table37[[#This Row],[ACTIVITY]],TAGS!$B:$P,6,FALSE)</f>
        <v>Monitoring and Evaluation</v>
      </c>
      <c r="P240" s="51" t="str">
        <f>VLOOKUP(Table37[[#This Row],[ACTIVITY]],TAGS!$B:$P,7,FALSE)</f>
        <v>NO</v>
      </c>
      <c r="Q240" s="51" t="str">
        <f>VLOOKUP(Table37[[#This Row],[ACTIVITY]],TAGS!$B:$P,8,FALSE)</f>
        <v>Overhead</v>
      </c>
      <c r="R240" s="51" t="str">
        <f>VLOOKUP(Table37[[#This Row],[ACTIVITY]],TAGS!$B:$P,10,FALSE)</f>
        <v>NON-PIP</v>
      </c>
      <c r="S240" s="51" t="str">
        <f>VLOOKUP(Table37[[#This Row],[ACTIVITY]],TAGS!$B:$P,11,FALSE)</f>
        <v>NON-PICS</v>
      </c>
      <c r="T240" s="51">
        <f>VLOOKUP(Table37[[#This Row],[ACTIVITY]],TAGS!$B:$P,12,FALSE)</f>
        <v>0</v>
      </c>
      <c r="U240" s="51">
        <f>VLOOKUP(Table37[[#This Row],[ACTIVITY]],TAGS!$B:$P,13,FALSE)</f>
        <v>0</v>
      </c>
      <c r="V240" s="51">
        <f>VLOOKUP(Table37[[#This Row],[ACTIVITY]],TAGS!$B:$P,14,FALSE)</f>
        <v>0</v>
      </c>
      <c r="W240" s="51" t="str">
        <f>VLOOKUP(Table37[[#This Row],[ACTIVITY]],TAGS!$B:$P,15,FALSE)</f>
        <v>Existing</v>
      </c>
      <c r="X240" s="51">
        <f>VLOOKUP(Table37[[#This Row],[PI LEVEL 3]],'PI LEVEL'!$A:$G,7,FALSE)</f>
        <v>0</v>
      </c>
      <c r="Y240" s="47" t="s">
        <v>577</v>
      </c>
      <c r="Z240" s="47" t="s">
        <v>329</v>
      </c>
      <c r="AA240" s="51" t="str">
        <f>VLOOKUP(Table37[[#This Row],[MONTH]],TAGS!$W$67:$Y$81,2,FALSE)</f>
        <v>1ST QTR</v>
      </c>
      <c r="AB240" s="51" t="str">
        <f>VLOOKUP(Table37[[#This Row],[MONTH]],TAGS!$W$67:$Y$81,3,FALSE)</f>
        <v>1ST SEMESTER</v>
      </c>
      <c r="AC240" s="51">
        <f>VLOOKUP(Table37[[#This Row],[MONTH]],TAGS!$W$67:$Z$81,4,FALSE)</f>
        <v>2025</v>
      </c>
      <c r="AD240" s="47">
        <v>4000</v>
      </c>
      <c r="AE240" s="47"/>
      <c r="AF240" s="51">
        <f>SUM(Table37[[#This Row],[MOOE (Php ''000)]:[CO (Php ''000)]])</f>
        <v>4000</v>
      </c>
      <c r="AG240" s="71" t="b">
        <f>ISBLANK(Table37[[#This Row],[PRPOPOSAL/BEDS]])</f>
        <v>0</v>
      </c>
      <c r="AH240" s="71" t="b">
        <f>ISBLANK(Table37[[#This Row],[OU]])</f>
        <v>0</v>
      </c>
      <c r="AI240" s="71" t="b">
        <f>ISBLANK(Table37[[#This Row],[SPECIFIC COMMODITY]])</f>
        <v>0</v>
      </c>
      <c r="AJ240" s="71" t="b">
        <f>ISBLANK(Table37[[#This Row],[COMMODITY PREXC SUB-PROGRAM]])</f>
        <v>0</v>
      </c>
      <c r="AK240" s="71" t="b">
        <f>ISBLANK(Table37[[#This Row],[ACTIVITY]])</f>
        <v>0</v>
      </c>
      <c r="AL240" s="71" t="b">
        <f>ISBLANK(Table37[[#This Row],[TAG-GAD]])</f>
        <v>0</v>
      </c>
      <c r="AM240" s="71" t="b">
        <f>ISBLANK(Table37[[#This Row],[MONTH]])</f>
        <v>0</v>
      </c>
      <c r="AN240" s="71" t="b">
        <f>ISBLANK(Table37[[#This Row],[MOOE (Php ''000)]])</f>
        <v>0</v>
      </c>
      <c r="AO240" s="71" t="b">
        <f>ISBLANK(Table37[[#This Row],[CO (Php ''000)]])</f>
        <v>1</v>
      </c>
    </row>
    <row r="241" spans="1:41">
      <c r="A241" s="51" t="str">
        <f>VLOOKUP(Table37[[#This Row],[OU]],OU!$A$15:$B$34,2,FALSE)</f>
        <v>RFOs</v>
      </c>
      <c r="B241" s="47" t="s">
        <v>301</v>
      </c>
      <c r="C241" s="47" t="s">
        <v>574</v>
      </c>
      <c r="D241" s="47" t="s">
        <v>585</v>
      </c>
      <c r="E241" s="51" t="str">
        <f>VLOOKUP(Table37[[#This Row],[SPECIFIC COMMODITY]],TAGS!$W$48:$X$53,2,FALSE)</f>
        <v>Multi_commodity</v>
      </c>
      <c r="F241" s="51" t="str">
        <f>VLOOKUP(Table37[[#This Row],[PREXC SUB-PROGRAM]],Table5[],2,FALSE)</f>
        <v>FIELD PROGRAMS MANAGEMENT ACTIVITIES</v>
      </c>
      <c r="G241" s="51" t="str">
        <f>VLOOKUP(Table37[[#This Row],[COMMODITY PREXC SUB-PROGRAM]],TAGS!$U$54:$V$76,2,FALSE)</f>
        <v>FPMA</v>
      </c>
      <c r="H241" s="47" t="s">
        <v>597</v>
      </c>
      <c r="I241" s="51" t="str">
        <f>VLOOKUP(Table37[[#This Row],[PI LEVEL 3]],'PI LEVEL'!A:C,3,FALSE)</f>
        <v>National/Regional Field Monitoring conducted</v>
      </c>
      <c r="J241" s="51" t="str">
        <f>VLOOKUP(Table37[[#This Row],[PI LEVEL 3]],Table53729[[Performance Indicator Level 3]:[Performance Indicator Level 1]],2,FALSE)</f>
        <v>National/Regional Field Monitoring conducted</v>
      </c>
      <c r="K241" s="51" t="str">
        <f>VLOOKUP(Table37[[#This Row],[ACTIVITY]],TAGS!B:P,2,FALSE)</f>
        <v>National/Regional Field Monitoring conducted</v>
      </c>
      <c r="L241" s="47" t="s">
        <v>233</v>
      </c>
      <c r="M241" s="51" t="str">
        <f>VLOOKUP(Table37[[#This Row],[ACTIVITY]],TAGS!$B:$P,4,FALSE)</f>
        <v>FPMA</v>
      </c>
      <c r="N241" s="51" t="str">
        <f>VLOOKUP(Table37[[#This Row],[ACTIVITY]],TAGS!$B:$P,5,FALSE)</f>
        <v>FPMA</v>
      </c>
      <c r="O241" s="51" t="str">
        <f>VLOOKUP(Table37[[#This Row],[ACTIVITY]],TAGS!$B:$P,6,FALSE)</f>
        <v>Monitoring and Evaluation</v>
      </c>
      <c r="P241" s="51" t="str">
        <f>VLOOKUP(Table37[[#This Row],[ACTIVITY]],TAGS!$B:$P,7,FALSE)</f>
        <v>NO</v>
      </c>
      <c r="Q241" s="51" t="str">
        <f>VLOOKUP(Table37[[#This Row],[ACTIVITY]],TAGS!$B:$P,8,FALSE)</f>
        <v>Overhead</v>
      </c>
      <c r="R241" s="51" t="str">
        <f>VLOOKUP(Table37[[#This Row],[ACTIVITY]],TAGS!$B:$P,10,FALSE)</f>
        <v>NON-PIP</v>
      </c>
      <c r="S241" s="51" t="str">
        <f>VLOOKUP(Table37[[#This Row],[ACTIVITY]],TAGS!$B:$P,11,FALSE)</f>
        <v>NON-PICS</v>
      </c>
      <c r="T241" s="51">
        <f>VLOOKUP(Table37[[#This Row],[ACTIVITY]],TAGS!$B:$P,12,FALSE)</f>
        <v>0</v>
      </c>
      <c r="U241" s="51">
        <f>VLOOKUP(Table37[[#This Row],[ACTIVITY]],TAGS!$B:$P,13,FALSE)</f>
        <v>0</v>
      </c>
      <c r="V241" s="51">
        <f>VLOOKUP(Table37[[#This Row],[ACTIVITY]],TAGS!$B:$P,14,FALSE)</f>
        <v>0</v>
      </c>
      <c r="W241" s="51" t="str">
        <f>VLOOKUP(Table37[[#This Row],[ACTIVITY]],TAGS!$B:$P,15,FALSE)</f>
        <v>Existing</v>
      </c>
      <c r="X241" s="51">
        <f>VLOOKUP(Table37[[#This Row],[PI LEVEL 3]],'PI LEVEL'!$A:$G,7,FALSE)</f>
        <v>0</v>
      </c>
      <c r="Y241" s="47" t="s">
        <v>577</v>
      </c>
      <c r="Z241" s="47" t="s">
        <v>330</v>
      </c>
      <c r="AA241" s="51" t="str">
        <f>VLOOKUP(Table37[[#This Row],[MONTH]],TAGS!$W$67:$Y$81,2,FALSE)</f>
        <v>2ND QTR</v>
      </c>
      <c r="AB241" s="51" t="str">
        <f>VLOOKUP(Table37[[#This Row],[MONTH]],TAGS!$W$67:$Y$81,3,FALSE)</f>
        <v>1ST SEMESTER</v>
      </c>
      <c r="AC241" s="51">
        <f>VLOOKUP(Table37[[#This Row],[MONTH]],TAGS!$W$67:$Z$81,4,FALSE)</f>
        <v>2025</v>
      </c>
      <c r="AD241" s="47">
        <v>4000</v>
      </c>
      <c r="AE241" s="47"/>
      <c r="AF241" s="51">
        <f>SUM(Table37[[#This Row],[MOOE (Php ''000)]:[CO (Php ''000)]])</f>
        <v>4000</v>
      </c>
      <c r="AG241" s="71" t="b">
        <f>ISBLANK(Table37[[#This Row],[PRPOPOSAL/BEDS]])</f>
        <v>0</v>
      </c>
      <c r="AH241" s="71" t="b">
        <f>ISBLANK(Table37[[#This Row],[OU]])</f>
        <v>0</v>
      </c>
      <c r="AI241" s="71" t="b">
        <f>ISBLANK(Table37[[#This Row],[SPECIFIC COMMODITY]])</f>
        <v>0</v>
      </c>
      <c r="AJ241" s="71" t="b">
        <f>ISBLANK(Table37[[#This Row],[COMMODITY PREXC SUB-PROGRAM]])</f>
        <v>0</v>
      </c>
      <c r="AK241" s="71" t="b">
        <f>ISBLANK(Table37[[#This Row],[ACTIVITY]])</f>
        <v>0</v>
      </c>
      <c r="AL241" s="71" t="b">
        <f>ISBLANK(Table37[[#This Row],[TAG-GAD]])</f>
        <v>0</v>
      </c>
      <c r="AM241" s="71" t="b">
        <f>ISBLANK(Table37[[#This Row],[MONTH]])</f>
        <v>0</v>
      </c>
      <c r="AN241" s="71" t="b">
        <f>ISBLANK(Table37[[#This Row],[MOOE (Php ''000)]])</f>
        <v>0</v>
      </c>
      <c r="AO241" s="71" t="b">
        <f>ISBLANK(Table37[[#This Row],[CO (Php ''000)]])</f>
        <v>1</v>
      </c>
    </row>
    <row r="242" spans="1:41">
      <c r="A242" s="51" t="str">
        <f>VLOOKUP(Table37[[#This Row],[OU]],OU!$A$15:$B$34,2,FALSE)</f>
        <v>RFOs</v>
      </c>
      <c r="B242" s="47" t="s">
        <v>301</v>
      </c>
      <c r="C242" s="47" t="s">
        <v>574</v>
      </c>
      <c r="D242" s="47" t="s">
        <v>585</v>
      </c>
      <c r="E242" s="51" t="str">
        <f>VLOOKUP(Table37[[#This Row],[SPECIFIC COMMODITY]],TAGS!$W$48:$X$53,2,FALSE)</f>
        <v>Multi_commodity</v>
      </c>
      <c r="F242" s="51" t="str">
        <f>VLOOKUP(Table37[[#This Row],[PREXC SUB-PROGRAM]],Table5[],2,FALSE)</f>
        <v>FIELD PROGRAMS MANAGEMENT ACTIVITIES</v>
      </c>
      <c r="G242" s="51" t="str">
        <f>VLOOKUP(Table37[[#This Row],[COMMODITY PREXC SUB-PROGRAM]],TAGS!$U$54:$V$76,2,FALSE)</f>
        <v>FPMA</v>
      </c>
      <c r="H242" s="47" t="s">
        <v>597</v>
      </c>
      <c r="I242" s="51" t="str">
        <f>VLOOKUP(Table37[[#This Row],[PI LEVEL 3]],'PI LEVEL'!A:C,3,FALSE)</f>
        <v>National/Regional Field Monitoring conducted</v>
      </c>
      <c r="J242" s="51" t="str">
        <f>VLOOKUP(Table37[[#This Row],[PI LEVEL 3]],Table53729[[Performance Indicator Level 3]:[Performance Indicator Level 1]],2,FALSE)</f>
        <v>National/Regional Field Monitoring conducted</v>
      </c>
      <c r="K242" s="51" t="str">
        <f>VLOOKUP(Table37[[#This Row],[ACTIVITY]],TAGS!B:P,2,FALSE)</f>
        <v>National/Regional Field Monitoring conducted</v>
      </c>
      <c r="L242" s="47" t="s">
        <v>233</v>
      </c>
      <c r="M242" s="51" t="str">
        <f>VLOOKUP(Table37[[#This Row],[ACTIVITY]],TAGS!$B:$P,4,FALSE)</f>
        <v>FPMA</v>
      </c>
      <c r="N242" s="51" t="str">
        <f>VLOOKUP(Table37[[#This Row],[ACTIVITY]],TAGS!$B:$P,5,FALSE)</f>
        <v>FPMA</v>
      </c>
      <c r="O242" s="51" t="str">
        <f>VLOOKUP(Table37[[#This Row],[ACTIVITY]],TAGS!$B:$P,6,FALSE)</f>
        <v>Monitoring and Evaluation</v>
      </c>
      <c r="P242" s="51" t="str">
        <f>VLOOKUP(Table37[[#This Row],[ACTIVITY]],TAGS!$B:$P,7,FALSE)</f>
        <v>NO</v>
      </c>
      <c r="Q242" s="51" t="str">
        <f>VLOOKUP(Table37[[#This Row],[ACTIVITY]],TAGS!$B:$P,8,FALSE)</f>
        <v>Overhead</v>
      </c>
      <c r="R242" s="51" t="str">
        <f>VLOOKUP(Table37[[#This Row],[ACTIVITY]],TAGS!$B:$P,10,FALSE)</f>
        <v>NON-PIP</v>
      </c>
      <c r="S242" s="51" t="str">
        <f>VLOOKUP(Table37[[#This Row],[ACTIVITY]],TAGS!$B:$P,11,FALSE)</f>
        <v>NON-PICS</v>
      </c>
      <c r="T242" s="51">
        <f>VLOOKUP(Table37[[#This Row],[ACTIVITY]],TAGS!$B:$P,12,FALSE)</f>
        <v>0</v>
      </c>
      <c r="U242" s="51">
        <f>VLOOKUP(Table37[[#This Row],[ACTIVITY]],TAGS!$B:$P,13,FALSE)</f>
        <v>0</v>
      </c>
      <c r="V242" s="51">
        <f>VLOOKUP(Table37[[#This Row],[ACTIVITY]],TAGS!$B:$P,14,FALSE)</f>
        <v>0</v>
      </c>
      <c r="W242" s="51" t="str">
        <f>VLOOKUP(Table37[[#This Row],[ACTIVITY]],TAGS!$B:$P,15,FALSE)</f>
        <v>Existing</v>
      </c>
      <c r="X242" s="51">
        <f>VLOOKUP(Table37[[#This Row],[PI LEVEL 3]],'PI LEVEL'!$A:$G,7,FALSE)</f>
        <v>0</v>
      </c>
      <c r="Y242" s="47" t="s">
        <v>577</v>
      </c>
      <c r="Z242" s="47" t="s">
        <v>331</v>
      </c>
      <c r="AA242" s="51" t="str">
        <f>VLOOKUP(Table37[[#This Row],[MONTH]],TAGS!$W$67:$Y$81,2,FALSE)</f>
        <v>2ND QTR</v>
      </c>
      <c r="AB242" s="51" t="str">
        <f>VLOOKUP(Table37[[#This Row],[MONTH]],TAGS!$W$67:$Y$81,3,FALSE)</f>
        <v>1ST SEMESTER</v>
      </c>
      <c r="AC242" s="51">
        <f>VLOOKUP(Table37[[#This Row],[MONTH]],TAGS!$W$67:$Z$81,4,FALSE)</f>
        <v>2025</v>
      </c>
      <c r="AD242" s="47">
        <v>3000</v>
      </c>
      <c r="AE242" s="47"/>
      <c r="AF242" s="51">
        <f>SUM(Table37[[#This Row],[MOOE (Php ''000)]:[CO (Php ''000)]])</f>
        <v>3000</v>
      </c>
      <c r="AG242" s="71" t="b">
        <f>ISBLANK(Table37[[#This Row],[PRPOPOSAL/BEDS]])</f>
        <v>0</v>
      </c>
      <c r="AH242" s="71" t="b">
        <f>ISBLANK(Table37[[#This Row],[OU]])</f>
        <v>0</v>
      </c>
      <c r="AI242" s="71" t="b">
        <f>ISBLANK(Table37[[#This Row],[SPECIFIC COMMODITY]])</f>
        <v>0</v>
      </c>
      <c r="AJ242" s="71" t="b">
        <f>ISBLANK(Table37[[#This Row],[COMMODITY PREXC SUB-PROGRAM]])</f>
        <v>0</v>
      </c>
      <c r="AK242" s="71" t="b">
        <f>ISBLANK(Table37[[#This Row],[ACTIVITY]])</f>
        <v>0</v>
      </c>
      <c r="AL242" s="71" t="b">
        <f>ISBLANK(Table37[[#This Row],[TAG-GAD]])</f>
        <v>0</v>
      </c>
      <c r="AM242" s="71" t="b">
        <f>ISBLANK(Table37[[#This Row],[MONTH]])</f>
        <v>0</v>
      </c>
      <c r="AN242" s="71" t="b">
        <f>ISBLANK(Table37[[#This Row],[MOOE (Php ''000)]])</f>
        <v>0</v>
      </c>
      <c r="AO242" s="71" t="b">
        <f>ISBLANK(Table37[[#This Row],[CO (Php ''000)]])</f>
        <v>1</v>
      </c>
    </row>
    <row r="243" spans="1:41">
      <c r="A243" s="51" t="str">
        <f>VLOOKUP(Table37[[#This Row],[OU]],OU!$A$15:$B$34,2,FALSE)</f>
        <v>RFOs</v>
      </c>
      <c r="B243" s="47" t="s">
        <v>301</v>
      </c>
      <c r="C243" s="47" t="s">
        <v>574</v>
      </c>
      <c r="D243" s="47" t="s">
        <v>585</v>
      </c>
      <c r="E243" s="51" t="str">
        <f>VLOOKUP(Table37[[#This Row],[SPECIFIC COMMODITY]],TAGS!$W$48:$X$53,2,FALSE)</f>
        <v>Multi_commodity</v>
      </c>
      <c r="F243" s="51" t="str">
        <f>VLOOKUP(Table37[[#This Row],[PREXC SUB-PROGRAM]],Table5[],2,FALSE)</f>
        <v>FIELD PROGRAMS MANAGEMENT ACTIVITIES</v>
      </c>
      <c r="G243" s="51" t="str">
        <f>VLOOKUP(Table37[[#This Row],[COMMODITY PREXC SUB-PROGRAM]],TAGS!$U$54:$V$76,2,FALSE)</f>
        <v>FPMA</v>
      </c>
      <c r="H243" s="47" t="s">
        <v>597</v>
      </c>
      <c r="I243" s="51" t="str">
        <f>VLOOKUP(Table37[[#This Row],[PI LEVEL 3]],'PI LEVEL'!A:C,3,FALSE)</f>
        <v>National/Regional Field Monitoring conducted</v>
      </c>
      <c r="J243" s="51" t="str">
        <f>VLOOKUP(Table37[[#This Row],[PI LEVEL 3]],Table53729[[Performance Indicator Level 3]:[Performance Indicator Level 1]],2,FALSE)</f>
        <v>National/Regional Field Monitoring conducted</v>
      </c>
      <c r="K243" s="51" t="str">
        <f>VLOOKUP(Table37[[#This Row],[ACTIVITY]],TAGS!B:P,2,FALSE)</f>
        <v>National/Regional Field Monitoring conducted</v>
      </c>
      <c r="L243" s="47" t="s">
        <v>233</v>
      </c>
      <c r="M243" s="51" t="str">
        <f>VLOOKUP(Table37[[#This Row],[ACTIVITY]],TAGS!$B:$P,4,FALSE)</f>
        <v>FPMA</v>
      </c>
      <c r="N243" s="51" t="str">
        <f>VLOOKUP(Table37[[#This Row],[ACTIVITY]],TAGS!$B:$P,5,FALSE)</f>
        <v>FPMA</v>
      </c>
      <c r="O243" s="51" t="str">
        <f>VLOOKUP(Table37[[#This Row],[ACTIVITY]],TAGS!$B:$P,6,FALSE)</f>
        <v>Monitoring and Evaluation</v>
      </c>
      <c r="P243" s="51" t="str">
        <f>VLOOKUP(Table37[[#This Row],[ACTIVITY]],TAGS!$B:$P,7,FALSE)</f>
        <v>NO</v>
      </c>
      <c r="Q243" s="51" t="str">
        <f>VLOOKUP(Table37[[#This Row],[ACTIVITY]],TAGS!$B:$P,8,FALSE)</f>
        <v>Overhead</v>
      </c>
      <c r="R243" s="51" t="str">
        <f>VLOOKUP(Table37[[#This Row],[ACTIVITY]],TAGS!$B:$P,10,FALSE)</f>
        <v>NON-PIP</v>
      </c>
      <c r="S243" s="51" t="str">
        <f>VLOOKUP(Table37[[#This Row],[ACTIVITY]],TAGS!$B:$P,11,FALSE)</f>
        <v>NON-PICS</v>
      </c>
      <c r="T243" s="51">
        <f>VLOOKUP(Table37[[#This Row],[ACTIVITY]],TAGS!$B:$P,12,FALSE)</f>
        <v>0</v>
      </c>
      <c r="U243" s="51">
        <f>VLOOKUP(Table37[[#This Row],[ACTIVITY]],TAGS!$B:$P,13,FALSE)</f>
        <v>0</v>
      </c>
      <c r="V243" s="51">
        <f>VLOOKUP(Table37[[#This Row],[ACTIVITY]],TAGS!$B:$P,14,FALSE)</f>
        <v>0</v>
      </c>
      <c r="W243" s="51" t="str">
        <f>VLOOKUP(Table37[[#This Row],[ACTIVITY]],TAGS!$B:$P,15,FALSE)</f>
        <v>Existing</v>
      </c>
      <c r="X243" s="51">
        <f>VLOOKUP(Table37[[#This Row],[PI LEVEL 3]],'PI LEVEL'!$A:$G,7,FALSE)</f>
        <v>0</v>
      </c>
      <c r="Y243" s="47" t="s">
        <v>577</v>
      </c>
      <c r="Z243" s="47" t="s">
        <v>332</v>
      </c>
      <c r="AA243" s="51" t="str">
        <f>VLOOKUP(Table37[[#This Row],[MONTH]],TAGS!$W$67:$Y$81,2,FALSE)</f>
        <v>2ND QTR</v>
      </c>
      <c r="AB243" s="51" t="str">
        <f>VLOOKUP(Table37[[#This Row],[MONTH]],TAGS!$W$67:$Y$81,3,FALSE)</f>
        <v>1ST SEMESTER</v>
      </c>
      <c r="AC243" s="51">
        <f>VLOOKUP(Table37[[#This Row],[MONTH]],TAGS!$W$67:$Z$81,4,FALSE)</f>
        <v>2025</v>
      </c>
      <c r="AD243" s="47">
        <v>1000</v>
      </c>
      <c r="AE243" s="47"/>
      <c r="AF243" s="51">
        <f>SUM(Table37[[#This Row],[MOOE (Php ''000)]:[CO (Php ''000)]])</f>
        <v>1000</v>
      </c>
      <c r="AG243" s="71" t="b">
        <f>ISBLANK(Table37[[#This Row],[PRPOPOSAL/BEDS]])</f>
        <v>0</v>
      </c>
      <c r="AH243" s="71" t="b">
        <f>ISBLANK(Table37[[#This Row],[OU]])</f>
        <v>0</v>
      </c>
      <c r="AI243" s="71" t="b">
        <f>ISBLANK(Table37[[#This Row],[SPECIFIC COMMODITY]])</f>
        <v>0</v>
      </c>
      <c r="AJ243" s="71" t="b">
        <f>ISBLANK(Table37[[#This Row],[COMMODITY PREXC SUB-PROGRAM]])</f>
        <v>0</v>
      </c>
      <c r="AK243" s="71" t="b">
        <f>ISBLANK(Table37[[#This Row],[ACTIVITY]])</f>
        <v>0</v>
      </c>
      <c r="AL243" s="71" t="b">
        <f>ISBLANK(Table37[[#This Row],[TAG-GAD]])</f>
        <v>0</v>
      </c>
      <c r="AM243" s="71" t="b">
        <f>ISBLANK(Table37[[#This Row],[MONTH]])</f>
        <v>0</v>
      </c>
      <c r="AN243" s="71" t="b">
        <f>ISBLANK(Table37[[#This Row],[MOOE (Php ''000)]])</f>
        <v>0</v>
      </c>
      <c r="AO243" s="71" t="b">
        <f>ISBLANK(Table37[[#This Row],[CO (Php ''000)]])</f>
        <v>1</v>
      </c>
    </row>
    <row r="244" spans="1:41">
      <c r="A244" s="51" t="str">
        <f>VLOOKUP(Table37[[#This Row],[OU]],OU!$A$15:$B$34,2,FALSE)</f>
        <v>RFOs</v>
      </c>
      <c r="B244" s="47" t="s">
        <v>301</v>
      </c>
      <c r="C244" s="47" t="s">
        <v>574</v>
      </c>
      <c r="D244" s="47" t="s">
        <v>585</v>
      </c>
      <c r="E244" s="51" t="str">
        <f>VLOOKUP(Table37[[#This Row],[SPECIFIC COMMODITY]],TAGS!$W$48:$X$53,2,FALSE)</f>
        <v>Multi_commodity</v>
      </c>
      <c r="F244" s="51" t="str">
        <f>VLOOKUP(Table37[[#This Row],[PREXC SUB-PROGRAM]],Table5[],2,FALSE)</f>
        <v>FIELD PROGRAMS MANAGEMENT ACTIVITIES</v>
      </c>
      <c r="G244" s="51" t="str">
        <f>VLOOKUP(Table37[[#This Row],[COMMODITY PREXC SUB-PROGRAM]],TAGS!$U$54:$V$76,2,FALSE)</f>
        <v>FPMA</v>
      </c>
      <c r="H244" s="47" t="s">
        <v>597</v>
      </c>
      <c r="I244" s="51" t="str">
        <f>VLOOKUP(Table37[[#This Row],[PI LEVEL 3]],'PI LEVEL'!A:C,3,FALSE)</f>
        <v>National/Regional Field Monitoring conducted</v>
      </c>
      <c r="J244" s="51" t="str">
        <f>VLOOKUP(Table37[[#This Row],[PI LEVEL 3]],Table53729[[Performance Indicator Level 3]:[Performance Indicator Level 1]],2,FALSE)</f>
        <v>National/Regional Field Monitoring conducted</v>
      </c>
      <c r="K244" s="51" t="str">
        <f>VLOOKUP(Table37[[#This Row],[ACTIVITY]],TAGS!B:P,2,FALSE)</f>
        <v>National/Regional Field Monitoring conducted</v>
      </c>
      <c r="L244" s="47" t="s">
        <v>233</v>
      </c>
      <c r="M244" s="51" t="str">
        <f>VLOOKUP(Table37[[#This Row],[ACTIVITY]],TAGS!$B:$P,4,FALSE)</f>
        <v>FPMA</v>
      </c>
      <c r="N244" s="51" t="str">
        <f>VLOOKUP(Table37[[#This Row],[ACTIVITY]],TAGS!$B:$P,5,FALSE)</f>
        <v>FPMA</v>
      </c>
      <c r="O244" s="51" t="str">
        <f>VLOOKUP(Table37[[#This Row],[ACTIVITY]],TAGS!$B:$P,6,FALSE)</f>
        <v>Monitoring and Evaluation</v>
      </c>
      <c r="P244" s="51" t="str">
        <f>VLOOKUP(Table37[[#This Row],[ACTIVITY]],TAGS!$B:$P,7,FALSE)</f>
        <v>NO</v>
      </c>
      <c r="Q244" s="51" t="str">
        <f>VLOOKUP(Table37[[#This Row],[ACTIVITY]],TAGS!$B:$P,8,FALSE)</f>
        <v>Overhead</v>
      </c>
      <c r="R244" s="51" t="str">
        <f>VLOOKUP(Table37[[#This Row],[ACTIVITY]],TAGS!$B:$P,10,FALSE)</f>
        <v>NON-PIP</v>
      </c>
      <c r="S244" s="51" t="str">
        <f>VLOOKUP(Table37[[#This Row],[ACTIVITY]],TAGS!$B:$P,11,FALSE)</f>
        <v>NON-PICS</v>
      </c>
      <c r="T244" s="51">
        <f>VLOOKUP(Table37[[#This Row],[ACTIVITY]],TAGS!$B:$P,12,FALSE)</f>
        <v>0</v>
      </c>
      <c r="U244" s="51">
        <f>VLOOKUP(Table37[[#This Row],[ACTIVITY]],TAGS!$B:$P,13,FALSE)</f>
        <v>0</v>
      </c>
      <c r="V244" s="51">
        <f>VLOOKUP(Table37[[#This Row],[ACTIVITY]],TAGS!$B:$P,14,FALSE)</f>
        <v>0</v>
      </c>
      <c r="W244" s="51" t="str">
        <f>VLOOKUP(Table37[[#This Row],[ACTIVITY]],TAGS!$B:$P,15,FALSE)</f>
        <v>Existing</v>
      </c>
      <c r="X244" s="51">
        <f>VLOOKUP(Table37[[#This Row],[PI LEVEL 3]],'PI LEVEL'!$A:$G,7,FALSE)</f>
        <v>0</v>
      </c>
      <c r="Y244" s="47" t="s">
        <v>577</v>
      </c>
      <c r="Z244" s="47" t="s">
        <v>333</v>
      </c>
      <c r="AA244" s="51" t="str">
        <f>VLOOKUP(Table37[[#This Row],[MONTH]],TAGS!$W$67:$Y$81,2,FALSE)</f>
        <v>3RD QTR</v>
      </c>
      <c r="AB244" s="51" t="str">
        <f>VLOOKUP(Table37[[#This Row],[MONTH]],TAGS!$W$67:$Y$81,3,FALSE)</f>
        <v>2ND SEMESTER</v>
      </c>
      <c r="AC244" s="51">
        <f>VLOOKUP(Table37[[#This Row],[MONTH]],TAGS!$W$67:$Z$81,4,FALSE)</f>
        <v>2025</v>
      </c>
      <c r="AD244" s="47">
        <v>2000</v>
      </c>
      <c r="AE244" s="47"/>
      <c r="AF244" s="51">
        <f>SUM(Table37[[#This Row],[MOOE (Php ''000)]:[CO (Php ''000)]])</f>
        <v>2000</v>
      </c>
      <c r="AG244" s="71" t="b">
        <f>ISBLANK(Table37[[#This Row],[PRPOPOSAL/BEDS]])</f>
        <v>0</v>
      </c>
      <c r="AH244" s="71" t="b">
        <f>ISBLANK(Table37[[#This Row],[OU]])</f>
        <v>0</v>
      </c>
      <c r="AI244" s="71" t="b">
        <f>ISBLANK(Table37[[#This Row],[SPECIFIC COMMODITY]])</f>
        <v>0</v>
      </c>
      <c r="AJ244" s="71" t="b">
        <f>ISBLANK(Table37[[#This Row],[COMMODITY PREXC SUB-PROGRAM]])</f>
        <v>0</v>
      </c>
      <c r="AK244" s="71" t="b">
        <f>ISBLANK(Table37[[#This Row],[ACTIVITY]])</f>
        <v>0</v>
      </c>
      <c r="AL244" s="71" t="b">
        <f>ISBLANK(Table37[[#This Row],[TAG-GAD]])</f>
        <v>0</v>
      </c>
      <c r="AM244" s="71" t="b">
        <f>ISBLANK(Table37[[#This Row],[MONTH]])</f>
        <v>0</v>
      </c>
      <c r="AN244" s="71" t="b">
        <f>ISBLANK(Table37[[#This Row],[MOOE (Php ''000)]])</f>
        <v>0</v>
      </c>
      <c r="AO244" s="71" t="b">
        <f>ISBLANK(Table37[[#This Row],[CO (Php ''000)]])</f>
        <v>1</v>
      </c>
    </row>
    <row r="245" spans="1:41">
      <c r="A245" s="51" t="str">
        <f>VLOOKUP(Table37[[#This Row],[OU]],OU!$A$15:$B$34,2,FALSE)</f>
        <v>RFOs</v>
      </c>
      <c r="B245" s="47" t="s">
        <v>301</v>
      </c>
      <c r="C245" s="47" t="s">
        <v>574</v>
      </c>
      <c r="D245" s="47" t="s">
        <v>585</v>
      </c>
      <c r="E245" s="51" t="str">
        <f>VLOOKUP(Table37[[#This Row],[SPECIFIC COMMODITY]],TAGS!$W$48:$X$53,2,FALSE)</f>
        <v>Multi_commodity</v>
      </c>
      <c r="F245" s="51" t="str">
        <f>VLOOKUP(Table37[[#This Row],[PREXC SUB-PROGRAM]],Table5[],2,FALSE)</f>
        <v>FIELD PROGRAMS MANAGEMENT ACTIVITIES</v>
      </c>
      <c r="G245" s="51" t="str">
        <f>VLOOKUP(Table37[[#This Row],[COMMODITY PREXC SUB-PROGRAM]],TAGS!$U$54:$V$76,2,FALSE)</f>
        <v>FPMA</v>
      </c>
      <c r="H245" s="47" t="s">
        <v>597</v>
      </c>
      <c r="I245" s="51" t="str">
        <f>VLOOKUP(Table37[[#This Row],[PI LEVEL 3]],'PI LEVEL'!A:C,3,FALSE)</f>
        <v>National/Regional Field Monitoring conducted</v>
      </c>
      <c r="J245" s="51" t="str">
        <f>VLOOKUP(Table37[[#This Row],[PI LEVEL 3]],Table53729[[Performance Indicator Level 3]:[Performance Indicator Level 1]],2,FALSE)</f>
        <v>National/Regional Field Monitoring conducted</v>
      </c>
      <c r="K245" s="51" t="str">
        <f>VLOOKUP(Table37[[#This Row],[ACTIVITY]],TAGS!B:P,2,FALSE)</f>
        <v>National/Regional Field Monitoring conducted</v>
      </c>
      <c r="L245" s="47" t="s">
        <v>233</v>
      </c>
      <c r="M245" s="51" t="str">
        <f>VLOOKUP(Table37[[#This Row],[ACTIVITY]],TAGS!$B:$P,4,FALSE)</f>
        <v>FPMA</v>
      </c>
      <c r="N245" s="51" t="str">
        <f>VLOOKUP(Table37[[#This Row],[ACTIVITY]],TAGS!$B:$P,5,FALSE)</f>
        <v>FPMA</v>
      </c>
      <c r="O245" s="51" t="str">
        <f>VLOOKUP(Table37[[#This Row],[ACTIVITY]],TAGS!$B:$P,6,FALSE)</f>
        <v>Monitoring and Evaluation</v>
      </c>
      <c r="P245" s="51" t="str">
        <f>VLOOKUP(Table37[[#This Row],[ACTIVITY]],TAGS!$B:$P,7,FALSE)</f>
        <v>NO</v>
      </c>
      <c r="Q245" s="51" t="str">
        <f>VLOOKUP(Table37[[#This Row],[ACTIVITY]],TAGS!$B:$P,8,FALSE)</f>
        <v>Overhead</v>
      </c>
      <c r="R245" s="51" t="str">
        <f>VLOOKUP(Table37[[#This Row],[ACTIVITY]],TAGS!$B:$P,10,FALSE)</f>
        <v>NON-PIP</v>
      </c>
      <c r="S245" s="51" t="str">
        <f>VLOOKUP(Table37[[#This Row],[ACTIVITY]],TAGS!$B:$P,11,FALSE)</f>
        <v>NON-PICS</v>
      </c>
      <c r="T245" s="51">
        <f>VLOOKUP(Table37[[#This Row],[ACTIVITY]],TAGS!$B:$P,12,FALSE)</f>
        <v>0</v>
      </c>
      <c r="U245" s="51">
        <f>VLOOKUP(Table37[[#This Row],[ACTIVITY]],TAGS!$B:$P,13,FALSE)</f>
        <v>0</v>
      </c>
      <c r="V245" s="51">
        <f>VLOOKUP(Table37[[#This Row],[ACTIVITY]],TAGS!$B:$P,14,FALSE)</f>
        <v>0</v>
      </c>
      <c r="W245" s="51" t="str">
        <f>VLOOKUP(Table37[[#This Row],[ACTIVITY]],TAGS!$B:$P,15,FALSE)</f>
        <v>Existing</v>
      </c>
      <c r="X245" s="51">
        <f>VLOOKUP(Table37[[#This Row],[PI LEVEL 3]],'PI LEVEL'!$A:$G,7,FALSE)</f>
        <v>0</v>
      </c>
      <c r="Y245" s="47" t="s">
        <v>577</v>
      </c>
      <c r="Z245" s="47" t="s">
        <v>334</v>
      </c>
      <c r="AA245" s="51" t="str">
        <f>VLOOKUP(Table37[[#This Row],[MONTH]],TAGS!$W$67:$Y$81,2,FALSE)</f>
        <v>3RD QTR</v>
      </c>
      <c r="AB245" s="51" t="str">
        <f>VLOOKUP(Table37[[#This Row],[MONTH]],TAGS!$W$67:$Y$81,3,FALSE)</f>
        <v>2ND SEMESTER</v>
      </c>
      <c r="AC245" s="51">
        <f>VLOOKUP(Table37[[#This Row],[MONTH]],TAGS!$W$67:$Z$81,4,FALSE)</f>
        <v>2025</v>
      </c>
      <c r="AD245" s="47">
        <v>2000</v>
      </c>
      <c r="AE245" s="47"/>
      <c r="AF245" s="51">
        <f>SUM(Table37[[#This Row],[MOOE (Php ''000)]:[CO (Php ''000)]])</f>
        <v>2000</v>
      </c>
      <c r="AG245" s="71" t="b">
        <f>ISBLANK(Table37[[#This Row],[PRPOPOSAL/BEDS]])</f>
        <v>0</v>
      </c>
      <c r="AH245" s="71" t="b">
        <f>ISBLANK(Table37[[#This Row],[OU]])</f>
        <v>0</v>
      </c>
      <c r="AI245" s="71" t="b">
        <f>ISBLANK(Table37[[#This Row],[SPECIFIC COMMODITY]])</f>
        <v>0</v>
      </c>
      <c r="AJ245" s="71" t="b">
        <f>ISBLANK(Table37[[#This Row],[COMMODITY PREXC SUB-PROGRAM]])</f>
        <v>0</v>
      </c>
      <c r="AK245" s="71" t="b">
        <f>ISBLANK(Table37[[#This Row],[ACTIVITY]])</f>
        <v>0</v>
      </c>
      <c r="AL245" s="71" t="b">
        <f>ISBLANK(Table37[[#This Row],[TAG-GAD]])</f>
        <v>0</v>
      </c>
      <c r="AM245" s="71" t="b">
        <f>ISBLANK(Table37[[#This Row],[MONTH]])</f>
        <v>0</v>
      </c>
      <c r="AN245" s="71" t="b">
        <f>ISBLANK(Table37[[#This Row],[MOOE (Php ''000)]])</f>
        <v>0</v>
      </c>
      <c r="AO245" s="71" t="b">
        <f>ISBLANK(Table37[[#This Row],[CO (Php ''000)]])</f>
        <v>1</v>
      </c>
    </row>
    <row r="246" spans="1:41">
      <c r="A246" s="51" t="str">
        <f>VLOOKUP(Table37[[#This Row],[OU]],OU!$A$15:$B$34,2,FALSE)</f>
        <v>RFOs</v>
      </c>
      <c r="B246" s="47" t="s">
        <v>301</v>
      </c>
      <c r="C246" s="47" t="s">
        <v>574</v>
      </c>
      <c r="D246" s="47" t="s">
        <v>585</v>
      </c>
      <c r="E246" s="51" t="str">
        <f>VLOOKUP(Table37[[#This Row],[SPECIFIC COMMODITY]],TAGS!$W$48:$X$53,2,FALSE)</f>
        <v>Multi_commodity</v>
      </c>
      <c r="F246" s="51" t="str">
        <f>VLOOKUP(Table37[[#This Row],[PREXC SUB-PROGRAM]],Table5[],2,FALSE)</f>
        <v>FIELD PROGRAMS MANAGEMENT ACTIVITIES</v>
      </c>
      <c r="G246" s="51" t="str">
        <f>VLOOKUP(Table37[[#This Row],[COMMODITY PREXC SUB-PROGRAM]],TAGS!$U$54:$V$76,2,FALSE)</f>
        <v>FPMA</v>
      </c>
      <c r="H246" s="47" t="s">
        <v>597</v>
      </c>
      <c r="I246" s="51" t="str">
        <f>VLOOKUP(Table37[[#This Row],[PI LEVEL 3]],'PI LEVEL'!A:C,3,FALSE)</f>
        <v>National/Regional Field Monitoring conducted</v>
      </c>
      <c r="J246" s="51" t="str">
        <f>VLOOKUP(Table37[[#This Row],[PI LEVEL 3]],Table53729[[Performance Indicator Level 3]:[Performance Indicator Level 1]],2,FALSE)</f>
        <v>National/Regional Field Monitoring conducted</v>
      </c>
      <c r="K246" s="51" t="str">
        <f>VLOOKUP(Table37[[#This Row],[ACTIVITY]],TAGS!B:P,2,FALSE)</f>
        <v>National/Regional Field Monitoring conducted</v>
      </c>
      <c r="L246" s="47" t="s">
        <v>233</v>
      </c>
      <c r="M246" s="51" t="str">
        <f>VLOOKUP(Table37[[#This Row],[ACTIVITY]],TAGS!$B:$P,4,FALSE)</f>
        <v>FPMA</v>
      </c>
      <c r="N246" s="51" t="str">
        <f>VLOOKUP(Table37[[#This Row],[ACTIVITY]],TAGS!$B:$P,5,FALSE)</f>
        <v>FPMA</v>
      </c>
      <c r="O246" s="51" t="str">
        <f>VLOOKUP(Table37[[#This Row],[ACTIVITY]],TAGS!$B:$P,6,FALSE)</f>
        <v>Monitoring and Evaluation</v>
      </c>
      <c r="P246" s="51" t="str">
        <f>VLOOKUP(Table37[[#This Row],[ACTIVITY]],TAGS!$B:$P,7,FALSE)</f>
        <v>NO</v>
      </c>
      <c r="Q246" s="51" t="str">
        <f>VLOOKUP(Table37[[#This Row],[ACTIVITY]],TAGS!$B:$P,8,FALSE)</f>
        <v>Overhead</v>
      </c>
      <c r="R246" s="51" t="str">
        <f>VLOOKUP(Table37[[#This Row],[ACTIVITY]],TAGS!$B:$P,10,FALSE)</f>
        <v>NON-PIP</v>
      </c>
      <c r="S246" s="51" t="str">
        <f>VLOOKUP(Table37[[#This Row],[ACTIVITY]],TAGS!$B:$P,11,FALSE)</f>
        <v>NON-PICS</v>
      </c>
      <c r="T246" s="51">
        <f>VLOOKUP(Table37[[#This Row],[ACTIVITY]],TAGS!$B:$P,12,FALSE)</f>
        <v>0</v>
      </c>
      <c r="U246" s="51">
        <f>VLOOKUP(Table37[[#This Row],[ACTIVITY]],TAGS!$B:$P,13,FALSE)</f>
        <v>0</v>
      </c>
      <c r="V246" s="51">
        <f>VLOOKUP(Table37[[#This Row],[ACTIVITY]],TAGS!$B:$P,14,FALSE)</f>
        <v>0</v>
      </c>
      <c r="W246" s="51" t="str">
        <f>VLOOKUP(Table37[[#This Row],[ACTIVITY]],TAGS!$B:$P,15,FALSE)</f>
        <v>Existing</v>
      </c>
      <c r="X246" s="51">
        <f>VLOOKUP(Table37[[#This Row],[PI LEVEL 3]],'PI LEVEL'!$A:$G,7,FALSE)</f>
        <v>0</v>
      </c>
      <c r="Y246" s="47" t="s">
        <v>577</v>
      </c>
      <c r="Z246" s="47" t="s">
        <v>335</v>
      </c>
      <c r="AA246" s="51" t="str">
        <f>VLOOKUP(Table37[[#This Row],[MONTH]],TAGS!$W$67:$Y$81,2,FALSE)</f>
        <v>3RD QTR</v>
      </c>
      <c r="AB246" s="51" t="str">
        <f>VLOOKUP(Table37[[#This Row],[MONTH]],TAGS!$W$67:$Y$81,3,FALSE)</f>
        <v>2ND SEMESTER</v>
      </c>
      <c r="AC246" s="51">
        <f>VLOOKUP(Table37[[#This Row],[MONTH]],TAGS!$W$67:$Z$81,4,FALSE)</f>
        <v>2025</v>
      </c>
      <c r="AD246" s="47">
        <v>250</v>
      </c>
      <c r="AE246" s="47"/>
      <c r="AF246" s="51">
        <f>SUM(Table37[[#This Row],[MOOE (Php ''000)]:[CO (Php ''000)]])</f>
        <v>250</v>
      </c>
      <c r="AG246" s="71" t="b">
        <f>ISBLANK(Table37[[#This Row],[PRPOPOSAL/BEDS]])</f>
        <v>0</v>
      </c>
      <c r="AH246" s="71" t="b">
        <f>ISBLANK(Table37[[#This Row],[OU]])</f>
        <v>0</v>
      </c>
      <c r="AI246" s="71" t="b">
        <f>ISBLANK(Table37[[#This Row],[SPECIFIC COMMODITY]])</f>
        <v>0</v>
      </c>
      <c r="AJ246" s="71" t="b">
        <f>ISBLANK(Table37[[#This Row],[COMMODITY PREXC SUB-PROGRAM]])</f>
        <v>0</v>
      </c>
      <c r="AK246" s="71" t="b">
        <f>ISBLANK(Table37[[#This Row],[ACTIVITY]])</f>
        <v>0</v>
      </c>
      <c r="AL246" s="71" t="b">
        <f>ISBLANK(Table37[[#This Row],[TAG-GAD]])</f>
        <v>0</v>
      </c>
      <c r="AM246" s="71" t="b">
        <f>ISBLANK(Table37[[#This Row],[MONTH]])</f>
        <v>0</v>
      </c>
      <c r="AN246" s="71" t="b">
        <f>ISBLANK(Table37[[#This Row],[MOOE (Php ''000)]])</f>
        <v>0</v>
      </c>
      <c r="AO246" s="71" t="b">
        <f>ISBLANK(Table37[[#This Row],[CO (Php ''000)]])</f>
        <v>1</v>
      </c>
    </row>
    <row r="247" spans="1:41">
      <c r="A247" s="51" t="str">
        <f>VLOOKUP(Table37[[#This Row],[OU]],OU!$A$15:$B$34,2,FALSE)</f>
        <v>RFOs</v>
      </c>
      <c r="B247" s="47" t="s">
        <v>301</v>
      </c>
      <c r="C247" s="47" t="s">
        <v>574</v>
      </c>
      <c r="D247" s="47" t="s">
        <v>585</v>
      </c>
      <c r="E247" s="51" t="str">
        <f>VLOOKUP(Table37[[#This Row],[SPECIFIC COMMODITY]],TAGS!$W$48:$X$53,2,FALSE)</f>
        <v>Multi_commodity</v>
      </c>
      <c r="F247" s="51" t="str">
        <f>VLOOKUP(Table37[[#This Row],[PREXC SUB-PROGRAM]],Table5[],2,FALSE)</f>
        <v>FIELD PROGRAMS MANAGEMENT ACTIVITIES</v>
      </c>
      <c r="G247" s="51" t="str">
        <f>VLOOKUP(Table37[[#This Row],[COMMODITY PREXC SUB-PROGRAM]],TAGS!$U$54:$V$76,2,FALSE)</f>
        <v>FPMA</v>
      </c>
      <c r="H247" s="47" t="s">
        <v>597</v>
      </c>
      <c r="I247" s="51" t="str">
        <f>VLOOKUP(Table37[[#This Row],[PI LEVEL 3]],'PI LEVEL'!A:C,3,FALSE)</f>
        <v>National/Regional Field Monitoring conducted</v>
      </c>
      <c r="J247" s="51" t="str">
        <f>VLOOKUP(Table37[[#This Row],[PI LEVEL 3]],Table53729[[Performance Indicator Level 3]:[Performance Indicator Level 1]],2,FALSE)</f>
        <v>National/Regional Field Monitoring conducted</v>
      </c>
      <c r="K247" s="51" t="str">
        <f>VLOOKUP(Table37[[#This Row],[ACTIVITY]],TAGS!B:P,2,FALSE)</f>
        <v>National/Regional Field Monitoring conducted</v>
      </c>
      <c r="L247" s="47" t="s">
        <v>233</v>
      </c>
      <c r="M247" s="51" t="str">
        <f>VLOOKUP(Table37[[#This Row],[ACTIVITY]],TAGS!$B:$P,4,FALSE)</f>
        <v>FPMA</v>
      </c>
      <c r="N247" s="51" t="str">
        <f>VLOOKUP(Table37[[#This Row],[ACTIVITY]],TAGS!$B:$P,5,FALSE)</f>
        <v>FPMA</v>
      </c>
      <c r="O247" s="51" t="str">
        <f>VLOOKUP(Table37[[#This Row],[ACTIVITY]],TAGS!$B:$P,6,FALSE)</f>
        <v>Monitoring and Evaluation</v>
      </c>
      <c r="P247" s="51" t="str">
        <f>VLOOKUP(Table37[[#This Row],[ACTIVITY]],TAGS!$B:$P,7,FALSE)</f>
        <v>NO</v>
      </c>
      <c r="Q247" s="51" t="str">
        <f>VLOOKUP(Table37[[#This Row],[ACTIVITY]],TAGS!$B:$P,8,FALSE)</f>
        <v>Overhead</v>
      </c>
      <c r="R247" s="51" t="str">
        <f>VLOOKUP(Table37[[#This Row],[ACTIVITY]],TAGS!$B:$P,10,FALSE)</f>
        <v>NON-PIP</v>
      </c>
      <c r="S247" s="51" t="str">
        <f>VLOOKUP(Table37[[#This Row],[ACTIVITY]],TAGS!$B:$P,11,FALSE)</f>
        <v>NON-PICS</v>
      </c>
      <c r="T247" s="51">
        <f>VLOOKUP(Table37[[#This Row],[ACTIVITY]],TAGS!$B:$P,12,FALSE)</f>
        <v>0</v>
      </c>
      <c r="U247" s="51">
        <f>VLOOKUP(Table37[[#This Row],[ACTIVITY]],TAGS!$B:$P,13,FALSE)</f>
        <v>0</v>
      </c>
      <c r="V247" s="51">
        <f>VLOOKUP(Table37[[#This Row],[ACTIVITY]],TAGS!$B:$P,14,FALSE)</f>
        <v>0</v>
      </c>
      <c r="W247" s="51" t="str">
        <f>VLOOKUP(Table37[[#This Row],[ACTIVITY]],TAGS!$B:$P,15,FALSE)</f>
        <v>Existing</v>
      </c>
      <c r="X247" s="51">
        <f>VLOOKUP(Table37[[#This Row],[PI LEVEL 3]],'PI LEVEL'!$A:$G,7,FALSE)</f>
        <v>0</v>
      </c>
      <c r="Y247" s="47" t="s">
        <v>577</v>
      </c>
      <c r="Z247" s="47" t="s">
        <v>336</v>
      </c>
      <c r="AA247" s="51" t="str">
        <f>VLOOKUP(Table37[[#This Row],[MONTH]],TAGS!$W$67:$Y$81,2,FALSE)</f>
        <v>4TH QTR</v>
      </c>
      <c r="AB247" s="51" t="str">
        <f>VLOOKUP(Table37[[#This Row],[MONTH]],TAGS!$W$67:$Y$81,3,FALSE)</f>
        <v>2ND SEMESTER</v>
      </c>
      <c r="AC247" s="51">
        <f>VLOOKUP(Table37[[#This Row],[MONTH]],TAGS!$W$67:$Z$81,4,FALSE)</f>
        <v>2025</v>
      </c>
      <c r="AD247" s="47">
        <v>250</v>
      </c>
      <c r="AE247" s="47"/>
      <c r="AF247" s="51">
        <f>SUM(Table37[[#This Row],[MOOE (Php ''000)]:[CO (Php ''000)]])</f>
        <v>250</v>
      </c>
      <c r="AG247" s="71" t="b">
        <f>ISBLANK(Table37[[#This Row],[PRPOPOSAL/BEDS]])</f>
        <v>0</v>
      </c>
      <c r="AH247" s="71" t="b">
        <f>ISBLANK(Table37[[#This Row],[OU]])</f>
        <v>0</v>
      </c>
      <c r="AI247" s="71" t="b">
        <f>ISBLANK(Table37[[#This Row],[SPECIFIC COMMODITY]])</f>
        <v>0</v>
      </c>
      <c r="AJ247" s="71" t="b">
        <f>ISBLANK(Table37[[#This Row],[COMMODITY PREXC SUB-PROGRAM]])</f>
        <v>0</v>
      </c>
      <c r="AK247" s="71" t="b">
        <f>ISBLANK(Table37[[#This Row],[ACTIVITY]])</f>
        <v>0</v>
      </c>
      <c r="AL247" s="71" t="b">
        <f>ISBLANK(Table37[[#This Row],[TAG-GAD]])</f>
        <v>0</v>
      </c>
      <c r="AM247" s="71" t="b">
        <f>ISBLANK(Table37[[#This Row],[MONTH]])</f>
        <v>0</v>
      </c>
      <c r="AN247" s="71" t="b">
        <f>ISBLANK(Table37[[#This Row],[MOOE (Php ''000)]])</f>
        <v>0</v>
      </c>
      <c r="AO247" s="71" t="b">
        <f>ISBLANK(Table37[[#This Row],[CO (Php ''000)]])</f>
        <v>1</v>
      </c>
    </row>
    <row r="248" spans="1:41">
      <c r="A248" s="51" t="str">
        <f>VLOOKUP(Table37[[#This Row],[OU]],OU!$A$15:$B$34,2,FALSE)</f>
        <v>RFOs</v>
      </c>
      <c r="B248" s="47" t="s">
        <v>301</v>
      </c>
      <c r="C248" s="47" t="s">
        <v>574</v>
      </c>
      <c r="D248" s="47" t="s">
        <v>585</v>
      </c>
      <c r="E248" s="51" t="str">
        <f>VLOOKUP(Table37[[#This Row],[SPECIFIC COMMODITY]],TAGS!$W$48:$X$53,2,FALSE)</f>
        <v>Multi_commodity</v>
      </c>
      <c r="F248" s="51" t="str">
        <f>VLOOKUP(Table37[[#This Row],[PREXC SUB-PROGRAM]],Table5[],2,FALSE)</f>
        <v>FIELD PROGRAMS MANAGEMENT ACTIVITIES</v>
      </c>
      <c r="G248" s="51" t="str">
        <f>VLOOKUP(Table37[[#This Row],[COMMODITY PREXC SUB-PROGRAM]],TAGS!$U$54:$V$76,2,FALSE)</f>
        <v>FPMA</v>
      </c>
      <c r="H248" s="47" t="s">
        <v>597</v>
      </c>
      <c r="I248" s="51" t="str">
        <f>VLOOKUP(Table37[[#This Row],[PI LEVEL 3]],'PI LEVEL'!A:C,3,FALSE)</f>
        <v>National/Regional Field Monitoring conducted</v>
      </c>
      <c r="J248" s="51" t="str">
        <f>VLOOKUP(Table37[[#This Row],[PI LEVEL 3]],Table53729[[Performance Indicator Level 3]:[Performance Indicator Level 1]],2,FALSE)</f>
        <v>National/Regional Field Monitoring conducted</v>
      </c>
      <c r="K248" s="51" t="str">
        <f>VLOOKUP(Table37[[#This Row],[ACTIVITY]],TAGS!B:P,2,FALSE)</f>
        <v>National/Regional Field Monitoring conducted</v>
      </c>
      <c r="L248" s="47" t="s">
        <v>233</v>
      </c>
      <c r="M248" s="51" t="str">
        <f>VLOOKUP(Table37[[#This Row],[ACTIVITY]],TAGS!$B:$P,4,FALSE)</f>
        <v>FPMA</v>
      </c>
      <c r="N248" s="51" t="str">
        <f>VLOOKUP(Table37[[#This Row],[ACTIVITY]],TAGS!$B:$P,5,FALSE)</f>
        <v>FPMA</v>
      </c>
      <c r="O248" s="51" t="str">
        <f>VLOOKUP(Table37[[#This Row],[ACTIVITY]],TAGS!$B:$P,6,FALSE)</f>
        <v>Monitoring and Evaluation</v>
      </c>
      <c r="P248" s="51" t="str">
        <f>VLOOKUP(Table37[[#This Row],[ACTIVITY]],TAGS!$B:$P,7,FALSE)</f>
        <v>NO</v>
      </c>
      <c r="Q248" s="51" t="str">
        <f>VLOOKUP(Table37[[#This Row],[ACTIVITY]],TAGS!$B:$P,8,FALSE)</f>
        <v>Overhead</v>
      </c>
      <c r="R248" s="51" t="str">
        <f>VLOOKUP(Table37[[#This Row],[ACTIVITY]],TAGS!$B:$P,10,FALSE)</f>
        <v>NON-PIP</v>
      </c>
      <c r="S248" s="51" t="str">
        <f>VLOOKUP(Table37[[#This Row],[ACTIVITY]],TAGS!$B:$P,11,FALSE)</f>
        <v>NON-PICS</v>
      </c>
      <c r="T248" s="51">
        <f>VLOOKUP(Table37[[#This Row],[ACTIVITY]],TAGS!$B:$P,12,FALSE)</f>
        <v>0</v>
      </c>
      <c r="U248" s="51">
        <f>VLOOKUP(Table37[[#This Row],[ACTIVITY]],TAGS!$B:$P,13,FALSE)</f>
        <v>0</v>
      </c>
      <c r="V248" s="51">
        <f>VLOOKUP(Table37[[#This Row],[ACTIVITY]],TAGS!$B:$P,14,FALSE)</f>
        <v>0</v>
      </c>
      <c r="W248" s="51" t="str">
        <f>VLOOKUP(Table37[[#This Row],[ACTIVITY]],TAGS!$B:$P,15,FALSE)</f>
        <v>Existing</v>
      </c>
      <c r="X248" s="51">
        <f>VLOOKUP(Table37[[#This Row],[PI LEVEL 3]],'PI LEVEL'!$A:$G,7,FALSE)</f>
        <v>0</v>
      </c>
      <c r="Y248" s="47" t="s">
        <v>577</v>
      </c>
      <c r="Z248" s="47" t="s">
        <v>337</v>
      </c>
      <c r="AA248" s="51" t="str">
        <f>VLOOKUP(Table37[[#This Row],[MONTH]],TAGS!$W$67:$Y$81,2,FALSE)</f>
        <v>4TH QTR</v>
      </c>
      <c r="AB248" s="51" t="str">
        <f>VLOOKUP(Table37[[#This Row],[MONTH]],TAGS!$W$67:$Y$81,3,FALSE)</f>
        <v>2ND SEMESTER</v>
      </c>
      <c r="AC248" s="51">
        <f>VLOOKUP(Table37[[#This Row],[MONTH]],TAGS!$W$67:$Z$81,4,FALSE)</f>
        <v>2025</v>
      </c>
      <c r="AD248" s="47">
        <v>100</v>
      </c>
      <c r="AE248" s="47"/>
      <c r="AF248" s="51">
        <f>SUM(Table37[[#This Row],[MOOE (Php ''000)]:[CO (Php ''000)]])</f>
        <v>100</v>
      </c>
      <c r="AG248" s="71" t="b">
        <f>ISBLANK(Table37[[#This Row],[PRPOPOSAL/BEDS]])</f>
        <v>0</v>
      </c>
      <c r="AH248" s="71" t="b">
        <f>ISBLANK(Table37[[#This Row],[OU]])</f>
        <v>0</v>
      </c>
      <c r="AI248" s="71" t="b">
        <f>ISBLANK(Table37[[#This Row],[SPECIFIC COMMODITY]])</f>
        <v>0</v>
      </c>
      <c r="AJ248" s="71" t="b">
        <f>ISBLANK(Table37[[#This Row],[COMMODITY PREXC SUB-PROGRAM]])</f>
        <v>0</v>
      </c>
      <c r="AK248" s="71" t="b">
        <f>ISBLANK(Table37[[#This Row],[ACTIVITY]])</f>
        <v>0</v>
      </c>
      <c r="AL248" s="71" t="b">
        <f>ISBLANK(Table37[[#This Row],[TAG-GAD]])</f>
        <v>0</v>
      </c>
      <c r="AM248" s="71" t="b">
        <f>ISBLANK(Table37[[#This Row],[MONTH]])</f>
        <v>0</v>
      </c>
      <c r="AN248" s="71" t="b">
        <f>ISBLANK(Table37[[#This Row],[MOOE (Php ''000)]])</f>
        <v>0</v>
      </c>
      <c r="AO248" s="71" t="b">
        <f>ISBLANK(Table37[[#This Row],[CO (Php ''000)]])</f>
        <v>1</v>
      </c>
    </row>
    <row r="249" spans="1:41">
      <c r="A249" s="51" t="str">
        <f>VLOOKUP(Table37[[#This Row],[OU]],OU!$A$15:$B$34,2,FALSE)</f>
        <v>RFOs</v>
      </c>
      <c r="B249" s="47" t="s">
        <v>301</v>
      </c>
      <c r="C249" s="47" t="s">
        <v>574</v>
      </c>
      <c r="D249" s="47" t="s">
        <v>585</v>
      </c>
      <c r="E249" s="51" t="str">
        <f>VLOOKUP(Table37[[#This Row],[SPECIFIC COMMODITY]],TAGS!$W$48:$X$53,2,FALSE)</f>
        <v>Multi_commodity</v>
      </c>
      <c r="F249" s="51" t="str">
        <f>VLOOKUP(Table37[[#This Row],[PREXC SUB-PROGRAM]],Table5[],2,FALSE)</f>
        <v>FIELD PROGRAMS MANAGEMENT ACTIVITIES</v>
      </c>
      <c r="G249" s="51" t="str">
        <f>VLOOKUP(Table37[[#This Row],[COMMODITY PREXC SUB-PROGRAM]],TAGS!$U$54:$V$76,2,FALSE)</f>
        <v>FPMA</v>
      </c>
      <c r="H249" s="47" t="s">
        <v>597</v>
      </c>
      <c r="I249" s="51" t="str">
        <f>VLOOKUP(Table37[[#This Row],[PI LEVEL 3]],'PI LEVEL'!A:C,3,FALSE)</f>
        <v>National/Regional Field Monitoring conducted</v>
      </c>
      <c r="J249" s="51" t="str">
        <f>VLOOKUP(Table37[[#This Row],[PI LEVEL 3]],Table53729[[Performance Indicator Level 3]:[Performance Indicator Level 1]],2,FALSE)</f>
        <v>National/Regional Field Monitoring conducted</v>
      </c>
      <c r="K249" s="51" t="str">
        <f>VLOOKUP(Table37[[#This Row],[ACTIVITY]],TAGS!B:P,2,FALSE)</f>
        <v>National/Regional Field Monitoring conducted</v>
      </c>
      <c r="L249" s="47" t="s">
        <v>233</v>
      </c>
      <c r="M249" s="51" t="str">
        <f>VLOOKUP(Table37[[#This Row],[ACTIVITY]],TAGS!$B:$P,4,FALSE)</f>
        <v>FPMA</v>
      </c>
      <c r="N249" s="51" t="str">
        <f>VLOOKUP(Table37[[#This Row],[ACTIVITY]],TAGS!$B:$P,5,FALSE)</f>
        <v>FPMA</v>
      </c>
      <c r="O249" s="51" t="str">
        <f>VLOOKUP(Table37[[#This Row],[ACTIVITY]],TAGS!$B:$P,6,FALSE)</f>
        <v>Monitoring and Evaluation</v>
      </c>
      <c r="P249" s="51" t="str">
        <f>VLOOKUP(Table37[[#This Row],[ACTIVITY]],TAGS!$B:$P,7,FALSE)</f>
        <v>NO</v>
      </c>
      <c r="Q249" s="51" t="str">
        <f>VLOOKUP(Table37[[#This Row],[ACTIVITY]],TAGS!$B:$P,8,FALSE)</f>
        <v>Overhead</v>
      </c>
      <c r="R249" s="51" t="str">
        <f>VLOOKUP(Table37[[#This Row],[ACTIVITY]],TAGS!$B:$P,10,FALSE)</f>
        <v>NON-PIP</v>
      </c>
      <c r="S249" s="51" t="str">
        <f>VLOOKUP(Table37[[#This Row],[ACTIVITY]],TAGS!$B:$P,11,FALSE)</f>
        <v>NON-PICS</v>
      </c>
      <c r="T249" s="51">
        <f>VLOOKUP(Table37[[#This Row],[ACTIVITY]],TAGS!$B:$P,12,FALSE)</f>
        <v>0</v>
      </c>
      <c r="U249" s="51">
        <f>VLOOKUP(Table37[[#This Row],[ACTIVITY]],TAGS!$B:$P,13,FALSE)</f>
        <v>0</v>
      </c>
      <c r="V249" s="51">
        <f>VLOOKUP(Table37[[#This Row],[ACTIVITY]],TAGS!$B:$P,14,FALSE)</f>
        <v>0</v>
      </c>
      <c r="W249" s="51" t="str">
        <f>VLOOKUP(Table37[[#This Row],[ACTIVITY]],TAGS!$B:$P,15,FALSE)</f>
        <v>Existing</v>
      </c>
      <c r="X249" s="51">
        <f>VLOOKUP(Table37[[#This Row],[PI LEVEL 3]],'PI LEVEL'!$A:$G,7,FALSE)</f>
        <v>0</v>
      </c>
      <c r="Y249" s="47" t="s">
        <v>577</v>
      </c>
      <c r="Z249" s="47" t="s">
        <v>338</v>
      </c>
      <c r="AA249" s="51" t="str">
        <f>VLOOKUP(Table37[[#This Row],[MONTH]],TAGS!$W$67:$Y$81,2,FALSE)</f>
        <v>4TH QTR</v>
      </c>
      <c r="AB249" s="51" t="str">
        <f>VLOOKUP(Table37[[#This Row],[MONTH]],TAGS!$W$67:$Y$81,3,FALSE)</f>
        <v>2ND SEMESTER</v>
      </c>
      <c r="AC249" s="51">
        <f>VLOOKUP(Table37[[#This Row],[MONTH]],TAGS!$W$67:$Z$81,4,FALSE)</f>
        <v>2025</v>
      </c>
      <c r="AD249" s="47">
        <v>359</v>
      </c>
      <c r="AE249" s="47"/>
      <c r="AF249" s="51">
        <f>SUM(Table37[[#This Row],[MOOE (Php ''000)]:[CO (Php ''000)]])</f>
        <v>359</v>
      </c>
      <c r="AG249" s="71" t="b">
        <f>ISBLANK(Table37[[#This Row],[PRPOPOSAL/BEDS]])</f>
        <v>0</v>
      </c>
      <c r="AH249" s="71" t="b">
        <f>ISBLANK(Table37[[#This Row],[OU]])</f>
        <v>0</v>
      </c>
      <c r="AI249" s="71" t="b">
        <f>ISBLANK(Table37[[#This Row],[SPECIFIC COMMODITY]])</f>
        <v>0</v>
      </c>
      <c r="AJ249" s="71" t="b">
        <f>ISBLANK(Table37[[#This Row],[COMMODITY PREXC SUB-PROGRAM]])</f>
        <v>0</v>
      </c>
      <c r="AK249" s="71" t="b">
        <f>ISBLANK(Table37[[#This Row],[ACTIVITY]])</f>
        <v>0</v>
      </c>
      <c r="AL249" s="71" t="b">
        <f>ISBLANK(Table37[[#This Row],[TAG-GAD]])</f>
        <v>0</v>
      </c>
      <c r="AM249" s="71" t="b">
        <f>ISBLANK(Table37[[#This Row],[MONTH]])</f>
        <v>0</v>
      </c>
      <c r="AN249" s="71" t="b">
        <f>ISBLANK(Table37[[#This Row],[MOOE (Php ''000)]])</f>
        <v>0</v>
      </c>
      <c r="AO249" s="71" t="b">
        <f>ISBLANK(Table37[[#This Row],[CO (Php ''000)]])</f>
        <v>1</v>
      </c>
    </row>
    <row r="250" spans="1:41">
      <c r="A250" s="54" t="str">
        <f>VLOOKUP(Table37[[#This Row],[OU]],OU!$A$15:$B$34,2,FALSE)</f>
        <v>RFOs</v>
      </c>
      <c r="B250" s="60" t="s">
        <v>436</v>
      </c>
      <c r="C250" s="47" t="s">
        <v>574</v>
      </c>
      <c r="D250" s="60" t="s">
        <v>579</v>
      </c>
      <c r="E250" s="54" t="str">
        <f>VLOOKUP(Table37[[#This Row],[SPECIFIC COMMODITY]],TAGS!$W$48:$X$53,2,FALSE)</f>
        <v>Cassava</v>
      </c>
      <c r="F250" s="54" t="str">
        <f>VLOOKUP(Table37[[#This Row],[PREXC SUB-PROGRAM]],Table5[],2,FALSE)</f>
        <v>TECHNICAL AND SUPPORT SERVICES PROGRAM</v>
      </c>
      <c r="G250" s="54" t="str">
        <f>VLOOKUP(Table37[[#This Row],[COMMODITY PREXC SUB-PROGRAM]],TAGS!$U$54:$V$76,2,FALSE)</f>
        <v>PSS</v>
      </c>
      <c r="H250" s="60" t="s">
        <v>580</v>
      </c>
      <c r="I250" s="54" t="str">
        <f>VLOOKUP(Table37[[#This Row],[PI LEVEL 3]],'PI LEVEL'!A:C,3,FALSE)</f>
        <v>Fertilizers and other soil ammendment distributed</v>
      </c>
      <c r="J250" s="54" t="str">
        <f>VLOOKUP(Table37[[#This Row],[PI LEVEL 3]],Table53729[[Performance Indicator Level 3]:[Performance Indicator Level 1]],2,FALSE)</f>
        <v>Fertilizers distributed</v>
      </c>
      <c r="K250" s="54" t="str">
        <f>VLOOKUP(Table37[[#This Row],[ACTIVITY]],TAGS!B:P,2,FALSE)</f>
        <v>Inorganic fertilizer distributed</v>
      </c>
      <c r="L250" s="60" t="s">
        <v>42</v>
      </c>
      <c r="M250" s="54" t="str">
        <f>VLOOKUP(Table37[[#This Row],[ACTIVITY]],TAGS!$B:$P,4,FALSE)</f>
        <v>Cassava Production Enhancement Project</v>
      </c>
      <c r="N250" s="54" t="str">
        <f>VLOOKUP(Table37[[#This Row],[ACTIVITY]],TAGS!$B:$P,5,FALSE)</f>
        <v>Soil Fertilization</v>
      </c>
      <c r="O250" s="54" t="str">
        <f>VLOOKUP(Table37[[#This Row],[ACTIVITY]],TAGS!$B:$P,6,FALSE)</f>
        <v>Inorganic fertilizer</v>
      </c>
      <c r="P250" s="54" t="str">
        <f>VLOOKUP(Table37[[#This Row],[ACTIVITY]],TAGS!$B:$P,7,FALSE)</f>
        <v>NO</v>
      </c>
      <c r="Q250" s="54" t="str">
        <f>VLOOKUP(Table37[[#This Row],[ACTIVITY]],TAGS!$B:$P,8,FALSE)</f>
        <v>PAP</v>
      </c>
      <c r="R250" s="54" t="str">
        <f>VLOOKUP(Table37[[#This Row],[ACTIVITY]],TAGS!$B:$P,10,FALSE)</f>
        <v>PIP</v>
      </c>
      <c r="S250" s="54" t="str">
        <f>VLOOKUP(Table37[[#This Row],[ACTIVITY]],TAGS!$B:$P,11,FALSE)</f>
        <v>PICS</v>
      </c>
      <c r="T250" s="54" t="str">
        <f>VLOOKUP(Table37[[#This Row],[ACTIVITY]],TAGS!$B:$P,12,FALSE)</f>
        <v>Consolidation</v>
      </c>
      <c r="U250" s="54" t="str">
        <f>VLOOKUP(Table37[[#This Row],[ACTIVITY]],TAGS!$B:$P,13,FALSE)</f>
        <v>1. Bayanihan Agri Cluster</v>
      </c>
      <c r="V250" s="54" t="str">
        <f>VLOOKUP(Table37[[#This Row],[ACTIVITY]],TAGS!$B:$P,14,FALSE)</f>
        <v>EXPAND AND IMPROVE AVAILABLE AGRI-FISHERY AREAS FOR INCREASED PRODUCTION</v>
      </c>
      <c r="W250" s="54" t="str">
        <f>VLOOKUP(Table37[[#This Row],[ACTIVITY]],TAGS!$B:$P,15,FALSE)</f>
        <v>Farm Inputs</v>
      </c>
      <c r="X250" s="54" t="str">
        <f>VLOOKUP(Table37[[#This Row],[PI LEVEL 3]],'PI LEVEL'!$A:$G,7,FALSE)</f>
        <v>DA-Level Output</v>
      </c>
      <c r="Y250" s="60"/>
      <c r="Z250" s="60"/>
      <c r="AA250" s="54" t="e">
        <f>VLOOKUP(Table37[[#This Row],[MONTH]],TAGS!$W$67:$Y$81,2,FALSE)</f>
        <v>#N/A</v>
      </c>
      <c r="AB250" s="54" t="e">
        <f>VLOOKUP(Table37[[#This Row],[MONTH]],TAGS!$W$67:$Y$81,3,FALSE)</f>
        <v>#N/A</v>
      </c>
      <c r="AC250" s="54" t="e">
        <f>VLOOKUP(Table37[[#This Row],[MONTH]],TAGS!$W$67:$Z$81,4,FALSE)</f>
        <v>#N/A</v>
      </c>
      <c r="AD250" s="60">
        <v>2691</v>
      </c>
      <c r="AE250" s="60"/>
      <c r="AF250" s="54">
        <f>SUM(Table37[[#This Row],[MOOE (Php ''000)]:[CO (Php ''000)]])</f>
        <v>2691</v>
      </c>
      <c r="AG250" s="72" t="b">
        <f>ISBLANK(Table37[[#This Row],[PRPOPOSAL/BEDS]])</f>
        <v>0</v>
      </c>
      <c r="AH250" s="72" t="b">
        <f>ISBLANK(Table37[[#This Row],[OU]])</f>
        <v>0</v>
      </c>
      <c r="AI250" s="72" t="b">
        <f>ISBLANK(Table37[[#This Row],[SPECIFIC COMMODITY]])</f>
        <v>0</v>
      </c>
      <c r="AJ250" s="72" t="b">
        <f>ISBLANK(Table37[[#This Row],[COMMODITY PREXC SUB-PROGRAM]])</f>
        <v>0</v>
      </c>
      <c r="AK250" s="72" t="b">
        <f>ISBLANK(Table37[[#This Row],[ACTIVITY]])</f>
        <v>0</v>
      </c>
      <c r="AL250" s="72" t="b">
        <f>ISBLANK(Table37[[#This Row],[TAG-GAD]])</f>
        <v>1</v>
      </c>
      <c r="AM250" s="72" t="b">
        <f>ISBLANK(Table37[[#This Row],[MONTH]])</f>
        <v>1</v>
      </c>
      <c r="AN250" s="72" t="b">
        <f>ISBLANK(Table37[[#This Row],[MOOE (Php ''000)]])</f>
        <v>0</v>
      </c>
      <c r="AO250" s="72" t="b">
        <f>ISBLANK(Table37[[#This Row],[CO (Php ''000)]])</f>
        <v>1</v>
      </c>
    </row>
    <row r="251" spans="1:41">
      <c r="A251" s="54" t="str">
        <f>VLOOKUP(Table37[[#This Row],[OU]],OU!$A$15:$B$34,2,FALSE)</f>
        <v>RFOs</v>
      </c>
      <c r="B251" s="60" t="s">
        <v>436</v>
      </c>
      <c r="C251" s="47" t="s">
        <v>574</v>
      </c>
      <c r="D251" s="60" t="s">
        <v>579</v>
      </c>
      <c r="E251" s="54" t="str">
        <f>VLOOKUP(Table37[[#This Row],[SPECIFIC COMMODITY]],TAGS!$W$48:$X$53,2,FALSE)</f>
        <v>Cassava</v>
      </c>
      <c r="F251" s="54" t="str">
        <f>VLOOKUP(Table37[[#This Row],[PREXC SUB-PROGRAM]],Table5[],2,FALSE)</f>
        <v>TECHNICAL AND SUPPORT SERVICES PROGRAM</v>
      </c>
      <c r="G251" s="54" t="str">
        <f>VLOOKUP(Table37[[#This Row],[COMMODITY PREXC SUB-PROGRAM]],TAGS!$U$54:$V$76,2,FALSE)</f>
        <v>PSS</v>
      </c>
      <c r="H251" s="60" t="s">
        <v>580</v>
      </c>
      <c r="I251" s="54" t="str">
        <f>VLOOKUP(Table37[[#This Row],[PI LEVEL 3]],'PI LEVEL'!A:C,3,FALSE)</f>
        <v>Planting material distributed</v>
      </c>
      <c r="J251" s="54" t="str">
        <f>VLOOKUP(Table37[[#This Row],[PI LEVEL 3]],Table53729[[Performance Indicator Level 3]:[Performance Indicator Level 1]],2,FALSE)</f>
        <v>Planting material distributed</v>
      </c>
      <c r="K251" s="54" t="str">
        <f>VLOOKUP(Table37[[#This Row],[ACTIVITY]],TAGS!B:P,2,FALSE)</f>
        <v>Cassava cutting distributed</v>
      </c>
      <c r="L251" s="60" t="s">
        <v>38</v>
      </c>
      <c r="M251" s="54" t="str">
        <f>VLOOKUP(Table37[[#This Row],[ACTIVITY]],TAGS!$B:$P,4,FALSE)</f>
        <v>Cassava Production Enhancement Project</v>
      </c>
      <c r="N251" s="54" t="str">
        <f>VLOOKUP(Table37[[#This Row],[ACTIVITY]],TAGS!$B:$P,5,FALSE)</f>
        <v>Cassava cuttings</v>
      </c>
      <c r="O251" s="54" t="str">
        <f>VLOOKUP(Table37[[#This Row],[ACTIVITY]],TAGS!$B:$P,6,FALSE)</f>
        <v>Cassava seed pieces</v>
      </c>
      <c r="P251" s="54" t="str">
        <f>VLOOKUP(Table37[[#This Row],[ACTIVITY]],TAGS!$B:$P,7,FALSE)</f>
        <v>NO</v>
      </c>
      <c r="Q251" s="54" t="str">
        <f>VLOOKUP(Table37[[#This Row],[ACTIVITY]],TAGS!$B:$P,8,FALSE)</f>
        <v>PAP</v>
      </c>
      <c r="R251" s="54" t="str">
        <f>VLOOKUP(Table37[[#This Row],[ACTIVITY]],TAGS!$B:$P,10,FALSE)</f>
        <v>PIP</v>
      </c>
      <c r="S251" s="54" t="str">
        <f>VLOOKUP(Table37[[#This Row],[ACTIVITY]],TAGS!$B:$P,11,FALSE)</f>
        <v>PICS</v>
      </c>
      <c r="T251" s="54" t="str">
        <f>VLOOKUP(Table37[[#This Row],[ACTIVITY]],TAGS!$B:$P,12,FALSE)</f>
        <v>Consolidation</v>
      </c>
      <c r="U251" s="54" t="str">
        <f>VLOOKUP(Table37[[#This Row],[ACTIVITY]],TAGS!$B:$P,13,FALSE)</f>
        <v>1. Bayanihan Agri Cluster</v>
      </c>
      <c r="V251" s="54" t="str">
        <f>VLOOKUP(Table37[[#This Row],[ACTIVITY]],TAGS!$B:$P,14,FALSE)</f>
        <v>EXPAND AND IMPROVE AVAILABLE AGRI-FISHERY AREAS FOR INCREASED PRODUCTION</v>
      </c>
      <c r="W251" s="54" t="str">
        <f>VLOOKUP(Table37[[#This Row],[ACTIVITY]],TAGS!$B:$P,15,FALSE)</f>
        <v>Farm Inputs</v>
      </c>
      <c r="X251" s="54" t="str">
        <f>VLOOKUP(Table37[[#This Row],[PI LEVEL 3]],'PI LEVEL'!$A:$G,7,FALSE)</f>
        <v>DA-Level Output</v>
      </c>
      <c r="Y251" s="60"/>
      <c r="Z251" s="60"/>
      <c r="AA251" s="54" t="e">
        <f>VLOOKUP(Table37[[#This Row],[MONTH]],TAGS!$W$67:$Y$81,2,FALSE)</f>
        <v>#N/A</v>
      </c>
      <c r="AB251" s="54" t="e">
        <f>VLOOKUP(Table37[[#This Row],[MONTH]],TAGS!$W$67:$Y$81,3,FALSE)</f>
        <v>#N/A</v>
      </c>
      <c r="AC251" s="54" t="e">
        <f>VLOOKUP(Table37[[#This Row],[MONTH]],TAGS!$W$67:$Z$81,4,FALSE)</f>
        <v>#N/A</v>
      </c>
      <c r="AD251" s="60">
        <v>975</v>
      </c>
      <c r="AE251" s="60"/>
      <c r="AF251" s="54">
        <f>SUM(Table37[[#This Row],[MOOE (Php ''000)]:[CO (Php ''000)]])</f>
        <v>975</v>
      </c>
      <c r="AG251" s="72" t="b">
        <f>ISBLANK(Table37[[#This Row],[PRPOPOSAL/BEDS]])</f>
        <v>0</v>
      </c>
      <c r="AH251" s="72" t="b">
        <f>ISBLANK(Table37[[#This Row],[OU]])</f>
        <v>0</v>
      </c>
      <c r="AI251" s="72" t="b">
        <f>ISBLANK(Table37[[#This Row],[SPECIFIC COMMODITY]])</f>
        <v>0</v>
      </c>
      <c r="AJ251" s="72" t="b">
        <f>ISBLANK(Table37[[#This Row],[COMMODITY PREXC SUB-PROGRAM]])</f>
        <v>0</v>
      </c>
      <c r="AK251" s="72" t="b">
        <f>ISBLANK(Table37[[#This Row],[ACTIVITY]])</f>
        <v>0</v>
      </c>
      <c r="AL251" s="72" t="b">
        <f>ISBLANK(Table37[[#This Row],[TAG-GAD]])</f>
        <v>1</v>
      </c>
      <c r="AM251" s="72" t="b">
        <f>ISBLANK(Table37[[#This Row],[MONTH]])</f>
        <v>1</v>
      </c>
      <c r="AN251" s="72" t="b">
        <f>ISBLANK(Table37[[#This Row],[MOOE (Php ''000)]])</f>
        <v>0</v>
      </c>
      <c r="AO251" s="72" t="b">
        <f>ISBLANK(Table37[[#This Row],[CO (Php ''000)]])</f>
        <v>1</v>
      </c>
    </row>
    <row r="252" spans="1:41">
      <c r="A252" s="54" t="str">
        <f>VLOOKUP(Table37[[#This Row],[OU]],OU!$A$15:$B$34,2,FALSE)</f>
        <v>RFOs</v>
      </c>
      <c r="B252" s="60" t="s">
        <v>436</v>
      </c>
      <c r="C252" s="47" t="s">
        <v>574</v>
      </c>
      <c r="D252" s="60" t="s">
        <v>579</v>
      </c>
      <c r="E252" s="54" t="str">
        <f>VLOOKUP(Table37[[#This Row],[SPECIFIC COMMODITY]],TAGS!$W$48:$X$53,2,FALSE)</f>
        <v>Cassava</v>
      </c>
      <c r="F252" s="54" t="str">
        <f>VLOOKUP(Table37[[#This Row],[PREXC SUB-PROGRAM]],Table5[],2,FALSE)</f>
        <v>TECHNICAL AND SUPPORT SERVICES PROGRAM</v>
      </c>
      <c r="G252" s="54" t="str">
        <f>VLOOKUP(Table37[[#This Row],[COMMODITY PREXC SUB-PROGRAM]],TAGS!$U$54:$V$76,2,FALSE)</f>
        <v>PSS</v>
      </c>
      <c r="H252" s="60" t="s">
        <v>580</v>
      </c>
      <c r="I252" s="54" t="str">
        <f>VLOOKUP(Table37[[#This Row],[PI LEVEL 3]],'PI LEVEL'!A:C,3,FALSE)</f>
        <v>Planting material distributed</v>
      </c>
      <c r="J252" s="54" t="str">
        <f>VLOOKUP(Table37[[#This Row],[PI LEVEL 3]],Table53729[[Performance Indicator Level 3]:[Performance Indicator Level 1]],2,FALSE)</f>
        <v>Planting material distributed</v>
      </c>
      <c r="K252" s="54" t="str">
        <f>VLOOKUP(Table37[[#This Row],[ACTIVITY]],TAGS!B:P,2,FALSE)</f>
        <v>Cassava cutting distributed</v>
      </c>
      <c r="L252" s="60" t="s">
        <v>40</v>
      </c>
      <c r="M252" s="54" t="str">
        <f>VLOOKUP(Table37[[#This Row],[ACTIVITY]],TAGS!$B:$P,4,FALSE)</f>
        <v>Cassava Production Enhancement Project</v>
      </c>
      <c r="N252" s="54" t="str">
        <f>VLOOKUP(Table37[[#This Row],[ACTIVITY]],TAGS!$B:$P,5,FALSE)</f>
        <v>Cassava cuttings</v>
      </c>
      <c r="O252" s="54" t="str">
        <f>VLOOKUP(Table37[[#This Row],[ACTIVITY]],TAGS!$B:$P,6,FALSE)</f>
        <v>Cassava seed pieces</v>
      </c>
      <c r="P252" s="54" t="str">
        <f>VLOOKUP(Table37[[#This Row],[ACTIVITY]],TAGS!$B:$P,7,FALSE)</f>
        <v>NO</v>
      </c>
      <c r="Q252" s="54" t="str">
        <f>VLOOKUP(Table37[[#This Row],[ACTIVITY]],TAGS!$B:$P,8,FALSE)</f>
        <v>PAP</v>
      </c>
      <c r="R252" s="54" t="str">
        <f>VLOOKUP(Table37[[#This Row],[ACTIVITY]],TAGS!$B:$P,10,FALSE)</f>
        <v>PIP</v>
      </c>
      <c r="S252" s="54" t="str">
        <f>VLOOKUP(Table37[[#This Row],[ACTIVITY]],TAGS!$B:$P,11,FALSE)</f>
        <v>PICS</v>
      </c>
      <c r="T252" s="54" t="str">
        <f>VLOOKUP(Table37[[#This Row],[ACTIVITY]],TAGS!$B:$P,12,FALSE)</f>
        <v>Consolidation</v>
      </c>
      <c r="U252" s="54" t="str">
        <f>VLOOKUP(Table37[[#This Row],[ACTIVITY]],TAGS!$B:$P,13,FALSE)</f>
        <v>1. Bayanihan Agri Cluster</v>
      </c>
      <c r="V252" s="54" t="str">
        <f>VLOOKUP(Table37[[#This Row],[ACTIVITY]],TAGS!$B:$P,14,FALSE)</f>
        <v>EXPAND AND IMPROVE AVAILABLE AGRI-FISHERY AREAS FOR INCREASED PRODUCTION</v>
      </c>
      <c r="W252" s="54" t="str">
        <f>VLOOKUP(Table37[[#This Row],[ACTIVITY]],TAGS!$B:$P,15,FALSE)</f>
        <v>Farm Inputs</v>
      </c>
      <c r="X252" s="54" t="str">
        <f>VLOOKUP(Table37[[#This Row],[PI LEVEL 3]],'PI LEVEL'!$A:$G,7,FALSE)</f>
        <v>DA-Level Output</v>
      </c>
      <c r="Y252" s="60"/>
      <c r="Z252" s="60"/>
      <c r="AA252" s="54" t="e">
        <f>VLOOKUP(Table37[[#This Row],[MONTH]],TAGS!$W$67:$Y$81,2,FALSE)</f>
        <v>#N/A</v>
      </c>
      <c r="AB252" s="54" t="e">
        <f>VLOOKUP(Table37[[#This Row],[MONTH]],TAGS!$W$67:$Y$81,3,FALSE)</f>
        <v>#N/A</v>
      </c>
      <c r="AC252" s="54" t="e">
        <f>VLOOKUP(Table37[[#This Row],[MONTH]],TAGS!$W$67:$Z$81,4,FALSE)</f>
        <v>#N/A</v>
      </c>
      <c r="AD252" s="60">
        <v>7500</v>
      </c>
      <c r="AE252" s="60"/>
      <c r="AF252" s="54">
        <f>SUM(Table37[[#This Row],[MOOE (Php ''000)]:[CO (Php ''000)]])</f>
        <v>7500</v>
      </c>
      <c r="AG252" s="72" t="b">
        <f>ISBLANK(Table37[[#This Row],[PRPOPOSAL/BEDS]])</f>
        <v>0</v>
      </c>
      <c r="AH252" s="72" t="b">
        <f>ISBLANK(Table37[[#This Row],[OU]])</f>
        <v>0</v>
      </c>
      <c r="AI252" s="72" t="b">
        <f>ISBLANK(Table37[[#This Row],[SPECIFIC COMMODITY]])</f>
        <v>0</v>
      </c>
      <c r="AJ252" s="72" t="b">
        <f>ISBLANK(Table37[[#This Row],[COMMODITY PREXC SUB-PROGRAM]])</f>
        <v>0</v>
      </c>
      <c r="AK252" s="72" t="b">
        <f>ISBLANK(Table37[[#This Row],[ACTIVITY]])</f>
        <v>0</v>
      </c>
      <c r="AL252" s="72" t="b">
        <f>ISBLANK(Table37[[#This Row],[TAG-GAD]])</f>
        <v>1</v>
      </c>
      <c r="AM252" s="72" t="b">
        <f>ISBLANK(Table37[[#This Row],[MONTH]])</f>
        <v>1</v>
      </c>
      <c r="AN252" s="72" t="b">
        <f>ISBLANK(Table37[[#This Row],[MOOE (Php ''000)]])</f>
        <v>0</v>
      </c>
      <c r="AO252" s="72" t="b">
        <f>ISBLANK(Table37[[#This Row],[CO (Php ''000)]])</f>
        <v>1</v>
      </c>
    </row>
    <row r="253" spans="1:41">
      <c r="A253" s="54" t="str">
        <f>VLOOKUP(Table37[[#This Row],[OU]],OU!$A$15:$B$34,2,FALSE)</f>
        <v>RFOs</v>
      </c>
      <c r="B253" s="60" t="s">
        <v>436</v>
      </c>
      <c r="C253" s="47" t="s">
        <v>574</v>
      </c>
      <c r="D253" s="60" t="s">
        <v>579</v>
      </c>
      <c r="E253" s="54" t="str">
        <f>VLOOKUP(Table37[[#This Row],[SPECIFIC COMMODITY]],TAGS!$W$48:$X$53,2,FALSE)</f>
        <v>Cassava</v>
      </c>
      <c r="F253" s="54" t="str">
        <f>VLOOKUP(Table37[[#This Row],[PREXC SUB-PROGRAM]],Table5[],2,FALSE)</f>
        <v>TECHNICAL AND SUPPORT SERVICES PROGRAM</v>
      </c>
      <c r="G253" s="54" t="str">
        <f>VLOOKUP(Table37[[#This Row],[COMMODITY PREXC SUB-PROGRAM]],TAGS!$U$54:$V$76,2,FALSE)</f>
        <v>PSS</v>
      </c>
      <c r="H253" s="60" t="s">
        <v>580</v>
      </c>
      <c r="I253" s="54" t="str">
        <f>VLOOKUP(Table37[[#This Row],[PI LEVEL 3]],'PI LEVEL'!A:C,3,FALSE)</f>
        <v>Agri-chemicals reserved</v>
      </c>
      <c r="J253" s="54" t="str">
        <f>VLOOKUP(Table37[[#This Row],[PI LEVEL 3]],Table53729[[Performance Indicator Level 3]:[Performance Indicator Level 1]],2,FALSE)</f>
        <v>Agri-chemicals reserved</v>
      </c>
      <c r="K253" s="54" t="str">
        <f>VLOOKUP(Table37[[#This Row],[ACTIVITY]],TAGS!B:P,2,FALSE)</f>
        <v>Agri-chemicals reserved (pc)</v>
      </c>
      <c r="L253" s="60" t="s">
        <v>92</v>
      </c>
      <c r="M253" s="54" t="str">
        <f>VLOOKUP(Table37[[#This Row],[ACTIVITY]],TAGS!$B:$P,4,FALSE)</f>
        <v>Pest and Disease Management</v>
      </c>
      <c r="N253" s="54" t="str">
        <f>VLOOKUP(Table37[[#This Row],[ACTIVITY]],TAGS!$B:$P,5,FALSE)</f>
        <v>Agricultural Chemicals</v>
      </c>
      <c r="O253" s="54" t="str">
        <f>VLOOKUP(Table37[[#This Row],[ACTIVITY]],TAGS!$B:$P,6,FALSE)</f>
        <v>Streptomycin</v>
      </c>
      <c r="P253" s="54" t="str">
        <f>VLOOKUP(Table37[[#This Row],[ACTIVITY]],TAGS!$B:$P,7,FALSE)</f>
        <v>NO</v>
      </c>
      <c r="Q253" s="54" t="str">
        <f>VLOOKUP(Table37[[#This Row],[ACTIVITY]],TAGS!$B:$P,8,FALSE)</f>
        <v>PAP</v>
      </c>
      <c r="R253" s="54" t="str">
        <f>VLOOKUP(Table37[[#This Row],[ACTIVITY]],TAGS!$B:$P,10,FALSE)</f>
        <v>PIP</v>
      </c>
      <c r="S253" s="54" t="str">
        <f>VLOOKUP(Table37[[#This Row],[ACTIVITY]],TAGS!$B:$P,11,FALSE)</f>
        <v>PICS</v>
      </c>
      <c r="T253" s="54" t="str">
        <f>VLOOKUP(Table37[[#This Row],[ACTIVITY]],TAGS!$B:$P,12,FALSE)</f>
        <v>Modernization</v>
      </c>
      <c r="U253" s="54" t="str">
        <f>VLOOKUP(Table37[[#This Row],[ACTIVITY]],TAGS!$B:$P,13,FALSE)</f>
        <v>9. Climate Change Adaptation &amp; Mitigation Measures</v>
      </c>
      <c r="V253" s="54" t="str">
        <f>VLOOKUP(Table37[[#This Row],[ACTIVITY]],TAGS!$B:$P,14,FALSE)</f>
        <v>EXPAND AND IMPROVE AVAILABLE AGRI-FISHERY AREAS FOR INCREASED PRODUCTION</v>
      </c>
      <c r="W253" s="54" t="str">
        <f>VLOOKUP(Table37[[#This Row],[ACTIVITY]],TAGS!$B:$P,15,FALSE)</f>
        <v>Agrichemicals</v>
      </c>
      <c r="X253" s="54" t="str">
        <f>VLOOKUP(Table37[[#This Row],[PI LEVEL 3]],'PI LEVEL'!$A:$G,7,FALSE)</f>
        <v>DA-Level Output</v>
      </c>
      <c r="Y253" s="60"/>
      <c r="Z253" s="60"/>
      <c r="AA253" s="54" t="e">
        <f>VLOOKUP(Table37[[#This Row],[MONTH]],TAGS!$W$67:$Y$81,2,FALSE)</f>
        <v>#N/A</v>
      </c>
      <c r="AB253" s="54" t="e">
        <f>VLOOKUP(Table37[[#This Row],[MONTH]],TAGS!$W$67:$Y$81,3,FALSE)</f>
        <v>#N/A</v>
      </c>
      <c r="AC253" s="54" t="e">
        <f>VLOOKUP(Table37[[#This Row],[MONTH]],TAGS!$W$67:$Z$81,4,FALSE)</f>
        <v>#N/A</v>
      </c>
      <c r="AD253" s="60">
        <v>4000</v>
      </c>
      <c r="AE253" s="60"/>
      <c r="AF253" s="54">
        <f>SUM(Table37[[#This Row],[MOOE (Php ''000)]:[CO (Php ''000)]])</f>
        <v>4000</v>
      </c>
      <c r="AG253" s="72" t="b">
        <f>ISBLANK(Table37[[#This Row],[PRPOPOSAL/BEDS]])</f>
        <v>0</v>
      </c>
      <c r="AH253" s="72" t="b">
        <f>ISBLANK(Table37[[#This Row],[OU]])</f>
        <v>0</v>
      </c>
      <c r="AI253" s="72" t="b">
        <f>ISBLANK(Table37[[#This Row],[SPECIFIC COMMODITY]])</f>
        <v>0</v>
      </c>
      <c r="AJ253" s="72" t="b">
        <f>ISBLANK(Table37[[#This Row],[COMMODITY PREXC SUB-PROGRAM]])</f>
        <v>0</v>
      </c>
      <c r="AK253" s="72" t="b">
        <f>ISBLANK(Table37[[#This Row],[ACTIVITY]])</f>
        <v>0</v>
      </c>
      <c r="AL253" s="72" t="b">
        <f>ISBLANK(Table37[[#This Row],[TAG-GAD]])</f>
        <v>1</v>
      </c>
      <c r="AM253" s="72" t="b">
        <f>ISBLANK(Table37[[#This Row],[MONTH]])</f>
        <v>1</v>
      </c>
      <c r="AN253" s="72" t="b">
        <f>ISBLANK(Table37[[#This Row],[MOOE (Php ''000)]])</f>
        <v>0</v>
      </c>
      <c r="AO253" s="72" t="b">
        <f>ISBLANK(Table37[[#This Row],[CO (Php ''000)]])</f>
        <v>1</v>
      </c>
    </row>
    <row r="254" spans="1:41">
      <c r="A254" s="54" t="str">
        <f>VLOOKUP(Table37[[#This Row],[OU]],OU!$A$15:$B$34,2,FALSE)</f>
        <v>RFOs</v>
      </c>
      <c r="B254" s="60" t="s">
        <v>436</v>
      </c>
      <c r="C254" s="47" t="s">
        <v>574</v>
      </c>
      <c r="D254" s="60" t="s">
        <v>585</v>
      </c>
      <c r="E254" s="54" t="str">
        <f>VLOOKUP(Table37[[#This Row],[SPECIFIC COMMODITY]],TAGS!$W$48:$X$53,2,FALSE)</f>
        <v>Multi_commodity</v>
      </c>
      <c r="F254" s="54" t="str">
        <f>VLOOKUP(Table37[[#This Row],[PREXC SUB-PROGRAM]],Table5[],2,FALSE)</f>
        <v>TECHNICAL AND SUPPORT SERVICES PROGRAM</v>
      </c>
      <c r="G254" s="54" t="str">
        <f>VLOOKUP(Table37[[#This Row],[COMMODITY PREXC SUB-PROGRAM]],TAGS!$U$54:$V$76,2,FALSE)</f>
        <v>PSS</v>
      </c>
      <c r="H254" s="60" t="s">
        <v>586</v>
      </c>
      <c r="I254" s="54" t="str">
        <f>VLOOKUP(Table37[[#This Row],[PI LEVEL 3]],'PI LEVEL'!A:C,3,FALSE)</f>
        <v>Farm machinery and equipment procured for stations</v>
      </c>
      <c r="J254" s="54" t="str">
        <f>VLOOKUP(Table37[[#This Row],[PI LEVEL 3]],Table53729[[Performance Indicator Level 3]:[Performance Indicator Level 1]],2,FALSE)</f>
        <v>Farm machinery and equipment procured for stations</v>
      </c>
      <c r="K254" s="54" t="str">
        <f>VLOOKUP(Table37[[#This Row],[ACTIVITY]],TAGS!B:P,2,FALSE)</f>
        <v>Postharvest machinery and equipment procured for stations</v>
      </c>
      <c r="L254" s="60" t="s">
        <v>96</v>
      </c>
      <c r="M254" s="54" t="str">
        <f>VLOOKUP(Table37[[#This Row],[ACTIVITY]],TAGS!$B:$P,4,FALSE)</f>
        <v>DA Facilities Management</v>
      </c>
      <c r="N254" s="54" t="str">
        <f>VLOOKUP(Table37[[#This Row],[ACTIVITY]],TAGS!$B:$P,5,FALSE)</f>
        <v>Support to DA Stations</v>
      </c>
      <c r="O254" s="54" t="str">
        <f>VLOOKUP(Table37[[#This Row],[ACTIVITY]],TAGS!$B:$P,6,FALSE)</f>
        <v>Machinery &amp; Equipment for DA Stations</v>
      </c>
      <c r="P254" s="54" t="str">
        <f>VLOOKUP(Table37[[#This Row],[ACTIVITY]],TAGS!$B:$P,7,FALSE)</f>
        <v>NO</v>
      </c>
      <c r="Q254" s="54" t="str">
        <f>VLOOKUP(Table37[[#This Row],[ACTIVITY]],TAGS!$B:$P,8,FALSE)</f>
        <v>PAP</v>
      </c>
      <c r="R254" s="54" t="str">
        <f>VLOOKUP(Table37[[#This Row],[ACTIVITY]],TAGS!$B:$P,10,FALSE)</f>
        <v>PIP</v>
      </c>
      <c r="S254" s="54" t="str">
        <f>VLOOKUP(Table37[[#This Row],[ACTIVITY]],TAGS!$B:$P,11,FALSE)</f>
        <v>PICS</v>
      </c>
      <c r="T254" s="54" t="str">
        <f>VLOOKUP(Table37[[#This Row],[ACTIVITY]],TAGS!$B:$P,12,FALSE)</f>
        <v>Modernization</v>
      </c>
      <c r="U254" s="54" t="str">
        <f>VLOOKUP(Table37[[#This Row],[ACTIVITY]],TAGS!$B:$P,13,FALSE)</f>
        <v>8. Farm Mechanization and Farm Investments</v>
      </c>
      <c r="V254" s="54">
        <f>VLOOKUP(Table37[[#This Row],[ACTIVITY]],TAGS!$B:$P,14,FALSE)</f>
        <v>0</v>
      </c>
      <c r="W254" s="54" t="str">
        <f>VLOOKUP(Table37[[#This Row],[ACTIVITY]],TAGS!$B:$P,15,FALSE)</f>
        <v>DA Station</v>
      </c>
      <c r="X254" s="54" t="str">
        <f>VLOOKUP(Table37[[#This Row],[PI LEVEL 3]],'PI LEVEL'!$A:$G,7,FALSE)</f>
        <v>DA-Level Output</v>
      </c>
      <c r="Y254" s="60"/>
      <c r="Z254" s="60"/>
      <c r="AA254" s="54" t="e">
        <f>VLOOKUP(Table37[[#This Row],[MONTH]],TAGS!$W$67:$Y$81,2,FALSE)</f>
        <v>#N/A</v>
      </c>
      <c r="AB254" s="54" t="e">
        <f>VLOOKUP(Table37[[#This Row],[MONTH]],TAGS!$W$67:$Y$81,3,FALSE)</f>
        <v>#N/A</v>
      </c>
      <c r="AC254" s="54" t="e">
        <f>VLOOKUP(Table37[[#This Row],[MONTH]],TAGS!$W$67:$Z$81,4,FALSE)</f>
        <v>#N/A</v>
      </c>
      <c r="AD254" s="60"/>
      <c r="AE254" s="60">
        <v>240</v>
      </c>
      <c r="AF254" s="54">
        <f>SUM(Table37[[#This Row],[MOOE (Php ''000)]:[CO (Php ''000)]])</f>
        <v>240</v>
      </c>
      <c r="AG254" s="72" t="b">
        <f>ISBLANK(Table37[[#This Row],[PRPOPOSAL/BEDS]])</f>
        <v>0</v>
      </c>
      <c r="AH254" s="72" t="b">
        <f>ISBLANK(Table37[[#This Row],[OU]])</f>
        <v>0</v>
      </c>
      <c r="AI254" s="72" t="b">
        <f>ISBLANK(Table37[[#This Row],[SPECIFIC COMMODITY]])</f>
        <v>0</v>
      </c>
      <c r="AJ254" s="72" t="b">
        <f>ISBLANK(Table37[[#This Row],[COMMODITY PREXC SUB-PROGRAM]])</f>
        <v>0</v>
      </c>
      <c r="AK254" s="72" t="b">
        <f>ISBLANK(Table37[[#This Row],[ACTIVITY]])</f>
        <v>0</v>
      </c>
      <c r="AL254" s="72" t="b">
        <f>ISBLANK(Table37[[#This Row],[TAG-GAD]])</f>
        <v>1</v>
      </c>
      <c r="AM254" s="72" t="b">
        <f>ISBLANK(Table37[[#This Row],[MONTH]])</f>
        <v>1</v>
      </c>
      <c r="AN254" s="72" t="b">
        <f>ISBLANK(Table37[[#This Row],[MOOE (Php ''000)]])</f>
        <v>1</v>
      </c>
      <c r="AO254" s="72" t="b">
        <f>ISBLANK(Table37[[#This Row],[CO (Php ''000)]])</f>
        <v>0</v>
      </c>
    </row>
    <row r="255" spans="1:41">
      <c r="A255" s="54" t="str">
        <f>VLOOKUP(Table37[[#This Row],[OU]],OU!$A$15:$B$34,2,FALSE)</f>
        <v>RFOs</v>
      </c>
      <c r="B255" s="60" t="s">
        <v>436</v>
      </c>
      <c r="C255" s="47" t="s">
        <v>574</v>
      </c>
      <c r="D255" s="60" t="s">
        <v>585</v>
      </c>
      <c r="E255" s="54" t="str">
        <f>VLOOKUP(Table37[[#This Row],[SPECIFIC COMMODITY]],TAGS!$W$48:$X$53,2,FALSE)</f>
        <v>Multi_commodity</v>
      </c>
      <c r="F255" s="54" t="str">
        <f>VLOOKUP(Table37[[#This Row],[PREXC SUB-PROGRAM]],Table5[],2,FALSE)</f>
        <v>TECHNICAL AND SUPPORT SERVICES PROGRAM</v>
      </c>
      <c r="G255" s="54" t="str">
        <f>VLOOKUP(Table37[[#This Row],[COMMODITY PREXC SUB-PROGRAM]],TAGS!$U$54:$V$76,2,FALSE)</f>
        <v>PSS</v>
      </c>
      <c r="H255" s="60" t="s">
        <v>586</v>
      </c>
      <c r="I255" s="54" t="str">
        <f>VLOOKUP(Table37[[#This Row],[PI LEVEL 3]],'PI LEVEL'!A:C,3,FALSE)</f>
        <v>Farm machinery and equipment procured for stations</v>
      </c>
      <c r="J255" s="54" t="str">
        <f>VLOOKUP(Table37[[#This Row],[PI LEVEL 3]],Table53729[[Performance Indicator Level 3]:[Performance Indicator Level 1]],2,FALSE)</f>
        <v>Farm machinery and equipment procured for stations</v>
      </c>
      <c r="K255" s="54" t="str">
        <f>VLOOKUP(Table37[[#This Row],[ACTIVITY]],TAGS!B:P,2,FALSE)</f>
        <v>Postharvest machinery and equipment procured for stations</v>
      </c>
      <c r="L255" s="60" t="s">
        <v>98</v>
      </c>
      <c r="M255" s="54" t="str">
        <f>VLOOKUP(Table37[[#This Row],[ACTIVITY]],TAGS!$B:$P,4,FALSE)</f>
        <v>DA Facilities Management</v>
      </c>
      <c r="N255" s="54" t="str">
        <f>VLOOKUP(Table37[[#This Row],[ACTIVITY]],TAGS!$B:$P,5,FALSE)</f>
        <v>Support to DA Stations</v>
      </c>
      <c r="O255" s="54" t="str">
        <f>VLOOKUP(Table37[[#This Row],[ACTIVITY]],TAGS!$B:$P,6,FALSE)</f>
        <v>Machinery &amp; Equipment for DA Stations</v>
      </c>
      <c r="P255" s="54" t="str">
        <f>VLOOKUP(Table37[[#This Row],[ACTIVITY]],TAGS!$B:$P,7,FALSE)</f>
        <v>NO</v>
      </c>
      <c r="Q255" s="54" t="str">
        <f>VLOOKUP(Table37[[#This Row],[ACTIVITY]],TAGS!$B:$P,8,FALSE)</f>
        <v>PAP</v>
      </c>
      <c r="R255" s="54" t="str">
        <f>VLOOKUP(Table37[[#This Row],[ACTIVITY]],TAGS!$B:$P,10,FALSE)</f>
        <v>PIP</v>
      </c>
      <c r="S255" s="54" t="str">
        <f>VLOOKUP(Table37[[#This Row],[ACTIVITY]],TAGS!$B:$P,11,FALSE)</f>
        <v>PICS</v>
      </c>
      <c r="T255" s="54" t="str">
        <f>VLOOKUP(Table37[[#This Row],[ACTIVITY]],TAGS!$B:$P,12,FALSE)</f>
        <v>Modernization</v>
      </c>
      <c r="U255" s="54" t="str">
        <f>VLOOKUP(Table37[[#This Row],[ACTIVITY]],TAGS!$B:$P,13,FALSE)</f>
        <v>8. Farm Mechanization and Farm Investments</v>
      </c>
      <c r="V255" s="54">
        <f>VLOOKUP(Table37[[#This Row],[ACTIVITY]],TAGS!$B:$P,14,FALSE)</f>
        <v>0</v>
      </c>
      <c r="W255" s="54" t="str">
        <f>VLOOKUP(Table37[[#This Row],[ACTIVITY]],TAGS!$B:$P,15,FALSE)</f>
        <v>DA Station</v>
      </c>
      <c r="X255" s="54" t="str">
        <f>VLOOKUP(Table37[[#This Row],[PI LEVEL 3]],'PI LEVEL'!$A:$G,7,FALSE)</f>
        <v>DA-Level Output</v>
      </c>
      <c r="Y255" s="60"/>
      <c r="Z255" s="60"/>
      <c r="AA255" s="54" t="e">
        <f>VLOOKUP(Table37[[#This Row],[MONTH]],TAGS!$W$67:$Y$81,2,FALSE)</f>
        <v>#N/A</v>
      </c>
      <c r="AB255" s="54" t="e">
        <f>VLOOKUP(Table37[[#This Row],[MONTH]],TAGS!$W$67:$Y$81,3,FALSE)</f>
        <v>#N/A</v>
      </c>
      <c r="AC255" s="54" t="e">
        <f>VLOOKUP(Table37[[#This Row],[MONTH]],TAGS!$W$67:$Z$81,4,FALSE)</f>
        <v>#N/A</v>
      </c>
      <c r="AD255" s="60"/>
      <c r="AE255" s="60">
        <v>1200</v>
      </c>
      <c r="AF255" s="54">
        <f>SUM(Table37[[#This Row],[MOOE (Php ''000)]:[CO (Php ''000)]])</f>
        <v>1200</v>
      </c>
      <c r="AG255" s="72" t="b">
        <f>ISBLANK(Table37[[#This Row],[PRPOPOSAL/BEDS]])</f>
        <v>0</v>
      </c>
      <c r="AH255" s="72" t="b">
        <f>ISBLANK(Table37[[#This Row],[OU]])</f>
        <v>0</v>
      </c>
      <c r="AI255" s="72" t="b">
        <f>ISBLANK(Table37[[#This Row],[SPECIFIC COMMODITY]])</f>
        <v>0</v>
      </c>
      <c r="AJ255" s="72" t="b">
        <f>ISBLANK(Table37[[#This Row],[COMMODITY PREXC SUB-PROGRAM]])</f>
        <v>0</v>
      </c>
      <c r="AK255" s="72" t="b">
        <f>ISBLANK(Table37[[#This Row],[ACTIVITY]])</f>
        <v>0</v>
      </c>
      <c r="AL255" s="72" t="b">
        <f>ISBLANK(Table37[[#This Row],[TAG-GAD]])</f>
        <v>1</v>
      </c>
      <c r="AM255" s="72" t="b">
        <f>ISBLANK(Table37[[#This Row],[MONTH]])</f>
        <v>1</v>
      </c>
      <c r="AN255" s="72" t="b">
        <f>ISBLANK(Table37[[#This Row],[MOOE (Php ''000)]])</f>
        <v>1</v>
      </c>
      <c r="AO255" s="72" t="b">
        <f>ISBLANK(Table37[[#This Row],[CO (Php ''000)]])</f>
        <v>0</v>
      </c>
    </row>
    <row r="256" spans="1:41">
      <c r="A256" s="54" t="str">
        <f>VLOOKUP(Table37[[#This Row],[OU]],OU!$A$15:$B$34,2,FALSE)</f>
        <v>RFOs</v>
      </c>
      <c r="B256" s="60" t="s">
        <v>436</v>
      </c>
      <c r="C256" s="47" t="s">
        <v>574</v>
      </c>
      <c r="D256" s="60" t="s">
        <v>585</v>
      </c>
      <c r="E256" s="54" t="str">
        <f>VLOOKUP(Table37[[#This Row],[SPECIFIC COMMODITY]],TAGS!$W$48:$X$53,2,FALSE)</f>
        <v>Multi_commodity</v>
      </c>
      <c r="F256" s="54" t="str">
        <f>VLOOKUP(Table37[[#This Row],[PREXC SUB-PROGRAM]],Table5[],2,FALSE)</f>
        <v>TECHNICAL AND SUPPORT SERVICES PROGRAM</v>
      </c>
      <c r="G256" s="54" t="str">
        <f>VLOOKUP(Table37[[#This Row],[COMMODITY PREXC SUB-PROGRAM]],TAGS!$U$54:$V$76,2,FALSE)</f>
        <v>PSS</v>
      </c>
      <c r="H256" s="60" t="s">
        <v>586</v>
      </c>
      <c r="I256" s="54" t="str">
        <f>VLOOKUP(Table37[[#This Row],[PI LEVEL 3]],'PI LEVEL'!A:C,3,FALSE)</f>
        <v>Farm machinery and equipment procured for stations</v>
      </c>
      <c r="J256" s="54" t="str">
        <f>VLOOKUP(Table37[[#This Row],[PI LEVEL 3]],Table53729[[Performance Indicator Level 3]:[Performance Indicator Level 1]],2,FALSE)</f>
        <v>Farm machinery and equipment procured for stations</v>
      </c>
      <c r="K256" s="54" t="str">
        <f>VLOOKUP(Table37[[#This Row],[ACTIVITY]],TAGS!B:P,2,FALSE)</f>
        <v>Postharvest machinery and equipment procured for stations</v>
      </c>
      <c r="L256" s="60" t="s">
        <v>100</v>
      </c>
      <c r="M256" s="54" t="str">
        <f>VLOOKUP(Table37[[#This Row],[ACTIVITY]],TAGS!$B:$P,4,FALSE)</f>
        <v>DA Facilities Management</v>
      </c>
      <c r="N256" s="54" t="str">
        <f>VLOOKUP(Table37[[#This Row],[ACTIVITY]],TAGS!$B:$P,5,FALSE)</f>
        <v>Support to DA Stations</v>
      </c>
      <c r="O256" s="54" t="str">
        <f>VLOOKUP(Table37[[#This Row],[ACTIVITY]],TAGS!$B:$P,6,FALSE)</f>
        <v>Machinery &amp; Equipment for DA Stations</v>
      </c>
      <c r="P256" s="54" t="str">
        <f>VLOOKUP(Table37[[#This Row],[ACTIVITY]],TAGS!$B:$P,7,FALSE)</f>
        <v>NO</v>
      </c>
      <c r="Q256" s="54" t="str">
        <f>VLOOKUP(Table37[[#This Row],[ACTIVITY]],TAGS!$B:$P,8,FALSE)</f>
        <v>PAP</v>
      </c>
      <c r="R256" s="54" t="str">
        <f>VLOOKUP(Table37[[#This Row],[ACTIVITY]],TAGS!$B:$P,10,FALSE)</f>
        <v>PIP</v>
      </c>
      <c r="S256" s="54" t="str">
        <f>VLOOKUP(Table37[[#This Row],[ACTIVITY]],TAGS!$B:$P,11,FALSE)</f>
        <v>PICS</v>
      </c>
      <c r="T256" s="54" t="str">
        <f>VLOOKUP(Table37[[#This Row],[ACTIVITY]],TAGS!$B:$P,12,FALSE)</f>
        <v>Modernization</v>
      </c>
      <c r="U256" s="54" t="str">
        <f>VLOOKUP(Table37[[#This Row],[ACTIVITY]],TAGS!$B:$P,13,FALSE)</f>
        <v>8. Farm Mechanization and Farm Investments</v>
      </c>
      <c r="V256" s="54">
        <f>VLOOKUP(Table37[[#This Row],[ACTIVITY]],TAGS!$B:$P,14,FALSE)</f>
        <v>0</v>
      </c>
      <c r="W256" s="54" t="str">
        <f>VLOOKUP(Table37[[#This Row],[ACTIVITY]],TAGS!$B:$P,15,FALSE)</f>
        <v>DA Station</v>
      </c>
      <c r="X256" s="54" t="str">
        <f>VLOOKUP(Table37[[#This Row],[PI LEVEL 3]],'PI LEVEL'!$A:$G,7,FALSE)</f>
        <v>DA-Level Output</v>
      </c>
      <c r="Y256" s="60"/>
      <c r="Z256" s="60"/>
      <c r="AA256" s="54" t="e">
        <f>VLOOKUP(Table37[[#This Row],[MONTH]],TAGS!$W$67:$Y$81,2,FALSE)</f>
        <v>#N/A</v>
      </c>
      <c r="AB256" s="54" t="e">
        <f>VLOOKUP(Table37[[#This Row],[MONTH]],TAGS!$W$67:$Y$81,3,FALSE)</f>
        <v>#N/A</v>
      </c>
      <c r="AC256" s="54" t="e">
        <f>VLOOKUP(Table37[[#This Row],[MONTH]],TAGS!$W$67:$Z$81,4,FALSE)</f>
        <v>#N/A</v>
      </c>
      <c r="AD256" s="60"/>
      <c r="AE256" s="60">
        <v>300</v>
      </c>
      <c r="AF256" s="54">
        <f>SUM(Table37[[#This Row],[MOOE (Php ''000)]:[CO (Php ''000)]])</f>
        <v>300</v>
      </c>
      <c r="AG256" s="72" t="b">
        <f>ISBLANK(Table37[[#This Row],[PRPOPOSAL/BEDS]])</f>
        <v>0</v>
      </c>
      <c r="AH256" s="72" t="b">
        <f>ISBLANK(Table37[[#This Row],[OU]])</f>
        <v>0</v>
      </c>
      <c r="AI256" s="72" t="b">
        <f>ISBLANK(Table37[[#This Row],[SPECIFIC COMMODITY]])</f>
        <v>0</v>
      </c>
      <c r="AJ256" s="72" t="b">
        <f>ISBLANK(Table37[[#This Row],[COMMODITY PREXC SUB-PROGRAM]])</f>
        <v>0</v>
      </c>
      <c r="AK256" s="72" t="b">
        <f>ISBLANK(Table37[[#This Row],[ACTIVITY]])</f>
        <v>0</v>
      </c>
      <c r="AL256" s="72" t="b">
        <f>ISBLANK(Table37[[#This Row],[TAG-GAD]])</f>
        <v>1</v>
      </c>
      <c r="AM256" s="72" t="b">
        <f>ISBLANK(Table37[[#This Row],[MONTH]])</f>
        <v>1</v>
      </c>
      <c r="AN256" s="72" t="b">
        <f>ISBLANK(Table37[[#This Row],[MOOE (Php ''000)]])</f>
        <v>1</v>
      </c>
      <c r="AO256" s="72" t="b">
        <f>ISBLANK(Table37[[#This Row],[CO (Php ''000)]])</f>
        <v>0</v>
      </c>
    </row>
    <row r="257" spans="1:41">
      <c r="A257" s="54" t="str">
        <f>VLOOKUP(Table37[[#This Row],[OU]],OU!$A$15:$B$34,2,FALSE)</f>
        <v>RFOs</v>
      </c>
      <c r="B257" s="60" t="s">
        <v>436</v>
      </c>
      <c r="C257" s="47" t="s">
        <v>574</v>
      </c>
      <c r="D257" s="60" t="s">
        <v>585</v>
      </c>
      <c r="E257" s="54" t="str">
        <f>VLOOKUP(Table37[[#This Row],[SPECIFIC COMMODITY]],TAGS!$W$48:$X$53,2,FALSE)</f>
        <v>Multi_commodity</v>
      </c>
      <c r="F257" s="54" t="str">
        <f>VLOOKUP(Table37[[#This Row],[PREXC SUB-PROGRAM]],Table5[],2,FALSE)</f>
        <v>TECHNICAL AND SUPPORT SERVICES PROGRAM</v>
      </c>
      <c r="G257" s="54" t="str">
        <f>VLOOKUP(Table37[[#This Row],[COMMODITY PREXC SUB-PROGRAM]],TAGS!$U$54:$V$76,2,FALSE)</f>
        <v>PSS</v>
      </c>
      <c r="H257" s="60" t="s">
        <v>586</v>
      </c>
      <c r="I257" s="54" t="str">
        <f>VLOOKUP(Table37[[#This Row],[PI LEVEL 3]],'PI LEVEL'!A:C,3,FALSE)</f>
        <v>Farm machinery and equipment procured for stations</v>
      </c>
      <c r="J257" s="54" t="str">
        <f>VLOOKUP(Table37[[#This Row],[PI LEVEL 3]],Table53729[[Performance Indicator Level 3]:[Performance Indicator Level 1]],2,FALSE)</f>
        <v>Farm machinery and equipment procured for stations</v>
      </c>
      <c r="K257" s="54" t="str">
        <f>VLOOKUP(Table37[[#This Row],[ACTIVITY]],TAGS!B:P,2,FALSE)</f>
        <v>Postharvest machinery and equipment procured for stations</v>
      </c>
      <c r="L257" s="60" t="s">
        <v>102</v>
      </c>
      <c r="M257" s="54" t="str">
        <f>VLOOKUP(Table37[[#This Row],[ACTIVITY]],TAGS!$B:$P,4,FALSE)</f>
        <v>DA Facilities Management</v>
      </c>
      <c r="N257" s="54" t="str">
        <f>VLOOKUP(Table37[[#This Row],[ACTIVITY]],TAGS!$B:$P,5,FALSE)</f>
        <v>Support to DA Stations</v>
      </c>
      <c r="O257" s="54" t="str">
        <f>VLOOKUP(Table37[[#This Row],[ACTIVITY]],TAGS!$B:$P,6,FALSE)</f>
        <v>Machinery &amp; Equipment for DA Stations</v>
      </c>
      <c r="P257" s="54" t="str">
        <f>VLOOKUP(Table37[[#This Row],[ACTIVITY]],TAGS!$B:$P,7,FALSE)</f>
        <v>NO</v>
      </c>
      <c r="Q257" s="54" t="str">
        <f>VLOOKUP(Table37[[#This Row],[ACTIVITY]],TAGS!$B:$P,8,FALSE)</f>
        <v>PAP</v>
      </c>
      <c r="R257" s="54" t="str">
        <f>VLOOKUP(Table37[[#This Row],[ACTIVITY]],TAGS!$B:$P,10,FALSE)</f>
        <v>PIP</v>
      </c>
      <c r="S257" s="54" t="str">
        <f>VLOOKUP(Table37[[#This Row],[ACTIVITY]],TAGS!$B:$P,11,FALSE)</f>
        <v>PICS</v>
      </c>
      <c r="T257" s="54" t="str">
        <f>VLOOKUP(Table37[[#This Row],[ACTIVITY]],TAGS!$B:$P,12,FALSE)</f>
        <v>Modernization</v>
      </c>
      <c r="U257" s="54" t="str">
        <f>VLOOKUP(Table37[[#This Row],[ACTIVITY]],TAGS!$B:$P,13,FALSE)</f>
        <v>8. Farm Mechanization and Farm Investments</v>
      </c>
      <c r="V257" s="54">
        <f>VLOOKUP(Table37[[#This Row],[ACTIVITY]],TAGS!$B:$P,14,FALSE)</f>
        <v>0</v>
      </c>
      <c r="W257" s="54" t="str">
        <f>VLOOKUP(Table37[[#This Row],[ACTIVITY]],TAGS!$B:$P,15,FALSE)</f>
        <v>DA Station</v>
      </c>
      <c r="X257" s="54" t="str">
        <f>VLOOKUP(Table37[[#This Row],[PI LEVEL 3]],'PI LEVEL'!$A:$G,7,FALSE)</f>
        <v>DA-Level Output</v>
      </c>
      <c r="Y257" s="60"/>
      <c r="Z257" s="60"/>
      <c r="AA257" s="54" t="e">
        <f>VLOOKUP(Table37[[#This Row],[MONTH]],TAGS!$W$67:$Y$81,2,FALSE)</f>
        <v>#N/A</v>
      </c>
      <c r="AB257" s="54" t="e">
        <f>VLOOKUP(Table37[[#This Row],[MONTH]],TAGS!$W$67:$Y$81,3,FALSE)</f>
        <v>#N/A</v>
      </c>
      <c r="AC257" s="54" t="e">
        <f>VLOOKUP(Table37[[#This Row],[MONTH]],TAGS!$W$67:$Z$81,4,FALSE)</f>
        <v>#N/A</v>
      </c>
      <c r="AD257" s="60"/>
      <c r="AE257" s="60">
        <v>2100</v>
      </c>
      <c r="AF257" s="54">
        <f>SUM(Table37[[#This Row],[MOOE (Php ''000)]:[CO (Php ''000)]])</f>
        <v>2100</v>
      </c>
      <c r="AG257" s="72" t="b">
        <f>ISBLANK(Table37[[#This Row],[PRPOPOSAL/BEDS]])</f>
        <v>0</v>
      </c>
      <c r="AH257" s="72" t="b">
        <f>ISBLANK(Table37[[#This Row],[OU]])</f>
        <v>0</v>
      </c>
      <c r="AI257" s="72" t="b">
        <f>ISBLANK(Table37[[#This Row],[SPECIFIC COMMODITY]])</f>
        <v>0</v>
      </c>
      <c r="AJ257" s="72" t="b">
        <f>ISBLANK(Table37[[#This Row],[COMMODITY PREXC SUB-PROGRAM]])</f>
        <v>0</v>
      </c>
      <c r="AK257" s="72" t="b">
        <f>ISBLANK(Table37[[#This Row],[ACTIVITY]])</f>
        <v>0</v>
      </c>
      <c r="AL257" s="72" t="b">
        <f>ISBLANK(Table37[[#This Row],[TAG-GAD]])</f>
        <v>1</v>
      </c>
      <c r="AM257" s="72" t="b">
        <f>ISBLANK(Table37[[#This Row],[MONTH]])</f>
        <v>1</v>
      </c>
      <c r="AN257" s="72" t="b">
        <f>ISBLANK(Table37[[#This Row],[MOOE (Php ''000)]])</f>
        <v>1</v>
      </c>
      <c r="AO257" s="72" t="b">
        <f>ISBLANK(Table37[[#This Row],[CO (Php ''000)]])</f>
        <v>0</v>
      </c>
    </row>
    <row r="258" spans="1:41">
      <c r="A258" s="54" t="str">
        <f>VLOOKUP(Table37[[#This Row],[OU]],OU!$A$15:$B$34,2,FALSE)</f>
        <v>RFOs</v>
      </c>
      <c r="B258" s="60" t="s">
        <v>436</v>
      </c>
      <c r="C258" s="47" t="s">
        <v>574</v>
      </c>
      <c r="D258" s="60" t="s">
        <v>585</v>
      </c>
      <c r="E258" s="54" t="str">
        <f>VLOOKUP(Table37[[#This Row],[SPECIFIC COMMODITY]],TAGS!$W$48:$X$53,2,FALSE)</f>
        <v>Multi_commodity</v>
      </c>
      <c r="F258" s="54" t="str">
        <f>VLOOKUP(Table37[[#This Row],[PREXC SUB-PROGRAM]],Table5[],2,FALSE)</f>
        <v>TECHNICAL AND SUPPORT SERVICES PROGRAM</v>
      </c>
      <c r="G258" s="54" t="str">
        <f>VLOOKUP(Table37[[#This Row],[COMMODITY PREXC SUB-PROGRAM]],TAGS!$U$54:$V$76,2,FALSE)</f>
        <v>PSS</v>
      </c>
      <c r="H258" s="60" t="s">
        <v>586</v>
      </c>
      <c r="I258" s="54" t="str">
        <f>VLOOKUP(Table37[[#This Row],[PI LEVEL 3]],'PI LEVEL'!A:C,3,FALSE)</f>
        <v>Farm machinery and equipment procured for stations</v>
      </c>
      <c r="J258" s="54" t="str">
        <f>VLOOKUP(Table37[[#This Row],[PI LEVEL 3]],Table53729[[Performance Indicator Level 3]:[Performance Indicator Level 1]],2,FALSE)</f>
        <v>Farm machinery and equipment procured for stations</v>
      </c>
      <c r="K258" s="54" t="str">
        <f>VLOOKUP(Table37[[#This Row],[ACTIVITY]],TAGS!B:P,2,FALSE)</f>
        <v>Production machinery and equipment procured for stations</v>
      </c>
      <c r="L258" s="60" t="s">
        <v>104</v>
      </c>
      <c r="M258" s="54" t="str">
        <f>VLOOKUP(Table37[[#This Row],[ACTIVITY]],TAGS!$B:$P,4,FALSE)</f>
        <v>DA Facilities Management</v>
      </c>
      <c r="N258" s="54" t="str">
        <f>VLOOKUP(Table37[[#This Row],[ACTIVITY]],TAGS!$B:$P,5,FALSE)</f>
        <v>Support to DA Stations</v>
      </c>
      <c r="O258" s="54" t="str">
        <f>VLOOKUP(Table37[[#This Row],[ACTIVITY]],TAGS!$B:$P,6,FALSE)</f>
        <v>Machinery &amp; Equipment for DA Stations</v>
      </c>
      <c r="P258" s="54" t="str">
        <f>VLOOKUP(Table37[[#This Row],[ACTIVITY]],TAGS!$B:$P,7,FALSE)</f>
        <v>NO</v>
      </c>
      <c r="Q258" s="54" t="str">
        <f>VLOOKUP(Table37[[#This Row],[ACTIVITY]],TAGS!$B:$P,8,FALSE)</f>
        <v>PAP</v>
      </c>
      <c r="R258" s="54" t="str">
        <f>VLOOKUP(Table37[[#This Row],[ACTIVITY]],TAGS!$B:$P,10,FALSE)</f>
        <v>PIP</v>
      </c>
      <c r="S258" s="54" t="str">
        <f>VLOOKUP(Table37[[#This Row],[ACTIVITY]],TAGS!$B:$P,11,FALSE)</f>
        <v>PICS</v>
      </c>
      <c r="T258" s="54" t="str">
        <f>VLOOKUP(Table37[[#This Row],[ACTIVITY]],TAGS!$B:$P,12,FALSE)</f>
        <v>Modernization</v>
      </c>
      <c r="U258" s="54" t="str">
        <f>VLOOKUP(Table37[[#This Row],[ACTIVITY]],TAGS!$B:$P,13,FALSE)</f>
        <v>8. Farm Mechanization and Farm Investments</v>
      </c>
      <c r="V258" s="54">
        <f>VLOOKUP(Table37[[#This Row],[ACTIVITY]],TAGS!$B:$P,14,FALSE)</f>
        <v>0</v>
      </c>
      <c r="W258" s="54" t="str">
        <f>VLOOKUP(Table37[[#This Row],[ACTIVITY]],TAGS!$B:$P,15,FALSE)</f>
        <v>DA Station</v>
      </c>
      <c r="X258" s="54" t="str">
        <f>VLOOKUP(Table37[[#This Row],[PI LEVEL 3]],'PI LEVEL'!$A:$G,7,FALSE)</f>
        <v>DA-Level Output</v>
      </c>
      <c r="Y258" s="60"/>
      <c r="Z258" s="60"/>
      <c r="AA258" s="54" t="e">
        <f>VLOOKUP(Table37[[#This Row],[MONTH]],TAGS!$W$67:$Y$81,2,FALSE)</f>
        <v>#N/A</v>
      </c>
      <c r="AB258" s="54" t="e">
        <f>VLOOKUP(Table37[[#This Row],[MONTH]],TAGS!$W$67:$Y$81,3,FALSE)</f>
        <v>#N/A</v>
      </c>
      <c r="AC258" s="54" t="e">
        <f>VLOOKUP(Table37[[#This Row],[MONTH]],TAGS!$W$67:$Z$81,4,FALSE)</f>
        <v>#N/A</v>
      </c>
      <c r="AD258" s="60"/>
      <c r="AE258" s="60">
        <v>3100</v>
      </c>
      <c r="AF258" s="54">
        <f>SUM(Table37[[#This Row],[MOOE (Php ''000)]:[CO (Php ''000)]])</f>
        <v>3100</v>
      </c>
      <c r="AG258" s="72" t="b">
        <f>ISBLANK(Table37[[#This Row],[PRPOPOSAL/BEDS]])</f>
        <v>0</v>
      </c>
      <c r="AH258" s="72" t="b">
        <f>ISBLANK(Table37[[#This Row],[OU]])</f>
        <v>0</v>
      </c>
      <c r="AI258" s="72" t="b">
        <f>ISBLANK(Table37[[#This Row],[SPECIFIC COMMODITY]])</f>
        <v>0</v>
      </c>
      <c r="AJ258" s="72" t="b">
        <f>ISBLANK(Table37[[#This Row],[COMMODITY PREXC SUB-PROGRAM]])</f>
        <v>0</v>
      </c>
      <c r="AK258" s="72" t="b">
        <f>ISBLANK(Table37[[#This Row],[ACTIVITY]])</f>
        <v>0</v>
      </c>
      <c r="AL258" s="72" t="b">
        <f>ISBLANK(Table37[[#This Row],[TAG-GAD]])</f>
        <v>1</v>
      </c>
      <c r="AM258" s="72" t="b">
        <f>ISBLANK(Table37[[#This Row],[MONTH]])</f>
        <v>1</v>
      </c>
      <c r="AN258" s="72" t="b">
        <f>ISBLANK(Table37[[#This Row],[MOOE (Php ''000)]])</f>
        <v>1</v>
      </c>
      <c r="AO258" s="72" t="b">
        <f>ISBLANK(Table37[[#This Row],[CO (Php ''000)]])</f>
        <v>0</v>
      </c>
    </row>
    <row r="259" spans="1:41">
      <c r="A259" s="54" t="str">
        <f>VLOOKUP(Table37[[#This Row],[OU]],OU!$A$15:$B$34,2,FALSE)</f>
        <v>RFOs</v>
      </c>
      <c r="B259" s="60" t="s">
        <v>436</v>
      </c>
      <c r="C259" s="47" t="s">
        <v>574</v>
      </c>
      <c r="D259" s="60" t="s">
        <v>585</v>
      </c>
      <c r="E259" s="54" t="str">
        <f>VLOOKUP(Table37[[#This Row],[SPECIFIC COMMODITY]],TAGS!$W$48:$X$53,2,FALSE)</f>
        <v>Multi_commodity</v>
      </c>
      <c r="F259" s="54" t="str">
        <f>VLOOKUP(Table37[[#This Row],[PREXC SUB-PROGRAM]],Table5[],2,FALSE)</f>
        <v>TECHNICAL AND SUPPORT SERVICES PROGRAM</v>
      </c>
      <c r="G259" s="54" t="str">
        <f>VLOOKUP(Table37[[#This Row],[COMMODITY PREXC SUB-PROGRAM]],TAGS!$U$54:$V$76,2,FALSE)</f>
        <v>PSS</v>
      </c>
      <c r="H259" s="60" t="s">
        <v>586</v>
      </c>
      <c r="I259" s="54" t="str">
        <f>VLOOKUP(Table37[[#This Row],[PI LEVEL 3]],'PI LEVEL'!A:C,3,FALSE)</f>
        <v>Farm machinery and equipment procured for stations</v>
      </c>
      <c r="J259" s="54" t="str">
        <f>VLOOKUP(Table37[[#This Row],[PI LEVEL 3]],Table53729[[Performance Indicator Level 3]:[Performance Indicator Level 1]],2,FALSE)</f>
        <v>Farm machinery and equipment procured for stations</v>
      </c>
      <c r="K259" s="54" t="str">
        <f>VLOOKUP(Table37[[#This Row],[ACTIVITY]],TAGS!B:P,2,FALSE)</f>
        <v>Production machinery and equipment procured for stations</v>
      </c>
      <c r="L259" s="60" t="s">
        <v>94</v>
      </c>
      <c r="M259" s="54" t="str">
        <f>VLOOKUP(Table37[[#This Row],[ACTIVITY]],TAGS!$B:$P,4,FALSE)</f>
        <v>DA Facilities Management</v>
      </c>
      <c r="N259" s="54" t="str">
        <f>VLOOKUP(Table37[[#This Row],[ACTIVITY]],TAGS!$B:$P,5,FALSE)</f>
        <v>Support to DA Stations</v>
      </c>
      <c r="O259" s="54" t="str">
        <f>VLOOKUP(Table37[[#This Row],[ACTIVITY]],TAGS!$B:$P,6,FALSE)</f>
        <v>Machinery &amp; Equipment for DA Stations</v>
      </c>
      <c r="P259" s="54" t="str">
        <f>VLOOKUP(Table37[[#This Row],[ACTIVITY]],TAGS!$B:$P,7,FALSE)</f>
        <v>NO</v>
      </c>
      <c r="Q259" s="54" t="str">
        <f>VLOOKUP(Table37[[#This Row],[ACTIVITY]],TAGS!$B:$P,8,FALSE)</f>
        <v>PAP</v>
      </c>
      <c r="R259" s="54" t="str">
        <f>VLOOKUP(Table37[[#This Row],[ACTIVITY]],TAGS!$B:$P,10,FALSE)</f>
        <v>PIP</v>
      </c>
      <c r="S259" s="54" t="str">
        <f>VLOOKUP(Table37[[#This Row],[ACTIVITY]],TAGS!$B:$P,11,FALSE)</f>
        <v>PICS</v>
      </c>
      <c r="T259" s="54" t="str">
        <f>VLOOKUP(Table37[[#This Row],[ACTIVITY]],TAGS!$B:$P,12,FALSE)</f>
        <v>Modernization</v>
      </c>
      <c r="U259" s="54" t="str">
        <f>VLOOKUP(Table37[[#This Row],[ACTIVITY]],TAGS!$B:$P,13,FALSE)</f>
        <v>8. Farm Mechanization and Farm Investments</v>
      </c>
      <c r="V259" s="54">
        <f>VLOOKUP(Table37[[#This Row],[ACTIVITY]],TAGS!$B:$P,14,FALSE)</f>
        <v>0</v>
      </c>
      <c r="W259" s="54" t="str">
        <f>VLOOKUP(Table37[[#This Row],[ACTIVITY]],TAGS!$B:$P,15,FALSE)</f>
        <v>DA Station</v>
      </c>
      <c r="X259" s="54" t="str">
        <f>VLOOKUP(Table37[[#This Row],[PI LEVEL 3]],'PI LEVEL'!$A:$G,7,FALSE)</f>
        <v>DA-Level Output</v>
      </c>
      <c r="Y259" s="60"/>
      <c r="Z259" s="60"/>
      <c r="AA259" s="54" t="e">
        <f>VLOOKUP(Table37[[#This Row],[MONTH]],TAGS!$W$67:$Y$81,2,FALSE)</f>
        <v>#N/A</v>
      </c>
      <c r="AB259" s="54" t="e">
        <f>VLOOKUP(Table37[[#This Row],[MONTH]],TAGS!$W$67:$Y$81,3,FALSE)</f>
        <v>#N/A</v>
      </c>
      <c r="AC259" s="54" t="e">
        <f>VLOOKUP(Table37[[#This Row],[MONTH]],TAGS!$W$67:$Z$81,4,FALSE)</f>
        <v>#N/A</v>
      </c>
      <c r="AD259" s="60"/>
      <c r="AE259" s="60">
        <v>1200</v>
      </c>
      <c r="AF259" s="54">
        <f>SUM(Table37[[#This Row],[MOOE (Php ''000)]:[CO (Php ''000)]])</f>
        <v>1200</v>
      </c>
      <c r="AG259" s="72" t="b">
        <f>ISBLANK(Table37[[#This Row],[PRPOPOSAL/BEDS]])</f>
        <v>0</v>
      </c>
      <c r="AH259" s="72" t="b">
        <f>ISBLANK(Table37[[#This Row],[OU]])</f>
        <v>0</v>
      </c>
      <c r="AI259" s="72" t="b">
        <f>ISBLANK(Table37[[#This Row],[SPECIFIC COMMODITY]])</f>
        <v>0</v>
      </c>
      <c r="AJ259" s="72" t="b">
        <f>ISBLANK(Table37[[#This Row],[COMMODITY PREXC SUB-PROGRAM]])</f>
        <v>0</v>
      </c>
      <c r="AK259" s="72" t="b">
        <f>ISBLANK(Table37[[#This Row],[ACTIVITY]])</f>
        <v>0</v>
      </c>
      <c r="AL259" s="72" t="b">
        <f>ISBLANK(Table37[[#This Row],[TAG-GAD]])</f>
        <v>1</v>
      </c>
      <c r="AM259" s="72" t="b">
        <f>ISBLANK(Table37[[#This Row],[MONTH]])</f>
        <v>1</v>
      </c>
      <c r="AN259" s="72" t="b">
        <f>ISBLANK(Table37[[#This Row],[MOOE (Php ''000)]])</f>
        <v>1</v>
      </c>
      <c r="AO259" s="72" t="b">
        <f>ISBLANK(Table37[[#This Row],[CO (Php ''000)]])</f>
        <v>0</v>
      </c>
    </row>
    <row r="260" spans="1:41">
      <c r="A260" s="54" t="str">
        <f>VLOOKUP(Table37[[#This Row],[OU]],OU!$A$15:$B$34,2,FALSE)</f>
        <v>RFOs</v>
      </c>
      <c r="B260" s="60" t="s">
        <v>436</v>
      </c>
      <c r="C260" s="47" t="s">
        <v>574</v>
      </c>
      <c r="D260" s="60" t="s">
        <v>581</v>
      </c>
      <c r="E260" s="54" t="str">
        <f>VLOOKUP(Table37[[#This Row],[SPECIFIC COMMODITY]],TAGS!$W$48:$X$53,2,FALSE)</f>
        <v>Sorghum</v>
      </c>
      <c r="F260" s="54" t="str">
        <f>VLOOKUP(Table37[[#This Row],[PREXC SUB-PROGRAM]],Table5[],2,FALSE)</f>
        <v>TECHNICAL AND SUPPORT SERVICES PROGRAM</v>
      </c>
      <c r="G260" s="54" t="str">
        <f>VLOOKUP(Table37[[#This Row],[COMMODITY PREXC SUB-PROGRAM]],TAGS!$U$54:$V$76,2,FALSE)</f>
        <v>PSS</v>
      </c>
      <c r="H260" s="60" t="s">
        <v>582</v>
      </c>
      <c r="I260" s="54" t="str">
        <f>VLOOKUP(Table37[[#This Row],[PI LEVEL 3]],'PI LEVEL'!A:C,3,FALSE)</f>
        <v>Fertilizers and other soil ammendment distributed</v>
      </c>
      <c r="J260" s="54" t="str">
        <f>VLOOKUP(Table37[[#This Row],[PI LEVEL 3]],Table53729[[Performance Indicator Level 3]:[Performance Indicator Level 1]],2,FALSE)</f>
        <v>Fertilizers distributed</v>
      </c>
      <c r="K260" s="54" t="str">
        <f>VLOOKUP(Table37[[#This Row],[ACTIVITY]],TAGS!B:P,2,FALSE)</f>
        <v>Inorganic fertilizer distributed</v>
      </c>
      <c r="L260" s="60" t="s">
        <v>57</v>
      </c>
      <c r="M260" s="54" t="str">
        <f>VLOOKUP(Table37[[#This Row],[ACTIVITY]],TAGS!$B:$P,4,FALSE)</f>
        <v>Sorghum Production Enhancement Project</v>
      </c>
      <c r="N260" s="54" t="str">
        <f>VLOOKUP(Table37[[#This Row],[ACTIVITY]],TAGS!$B:$P,5,FALSE)</f>
        <v>Soil Fertilization</v>
      </c>
      <c r="O260" s="54" t="str">
        <f>VLOOKUP(Table37[[#This Row],[ACTIVITY]],TAGS!$B:$P,6,FALSE)</f>
        <v>Inorganic fertilizer</v>
      </c>
      <c r="P260" s="54" t="str">
        <f>VLOOKUP(Table37[[#This Row],[ACTIVITY]],TAGS!$B:$P,7,FALSE)</f>
        <v>NO</v>
      </c>
      <c r="Q260" s="54" t="str">
        <f>VLOOKUP(Table37[[#This Row],[ACTIVITY]],TAGS!$B:$P,8,FALSE)</f>
        <v>PAP</v>
      </c>
      <c r="R260" s="54" t="str">
        <f>VLOOKUP(Table37[[#This Row],[ACTIVITY]],TAGS!$B:$P,10,FALSE)</f>
        <v>PIP</v>
      </c>
      <c r="S260" s="54" t="str">
        <f>VLOOKUP(Table37[[#This Row],[ACTIVITY]],TAGS!$B:$P,11,FALSE)</f>
        <v>PICS</v>
      </c>
      <c r="T260" s="54" t="str">
        <f>VLOOKUP(Table37[[#This Row],[ACTIVITY]],TAGS!$B:$P,12,FALSE)</f>
        <v>Consolidation</v>
      </c>
      <c r="U260" s="54" t="str">
        <f>VLOOKUP(Table37[[#This Row],[ACTIVITY]],TAGS!$B:$P,13,FALSE)</f>
        <v>1. Bayanihan Agri Cluster</v>
      </c>
      <c r="V260" s="54" t="str">
        <f>VLOOKUP(Table37[[#This Row],[ACTIVITY]],TAGS!$B:$P,14,FALSE)</f>
        <v>EXPAND AND IMPROVE AVAILABLE AGRI-FISHERY AREAS FOR INCREASED PRODUCTION</v>
      </c>
      <c r="W260" s="54" t="str">
        <f>VLOOKUP(Table37[[#This Row],[ACTIVITY]],TAGS!$B:$P,15,FALSE)</f>
        <v>Farm Inputs</v>
      </c>
      <c r="X260" s="54" t="str">
        <f>VLOOKUP(Table37[[#This Row],[PI LEVEL 3]],'PI LEVEL'!$A:$G,7,FALSE)</f>
        <v>DA-Level Output</v>
      </c>
      <c r="Y260" s="60"/>
      <c r="Z260" s="60"/>
      <c r="AA260" s="54" t="e">
        <f>VLOOKUP(Table37[[#This Row],[MONTH]],TAGS!$W$67:$Y$81,2,FALSE)</f>
        <v>#N/A</v>
      </c>
      <c r="AB260" s="54" t="e">
        <f>VLOOKUP(Table37[[#This Row],[MONTH]],TAGS!$W$67:$Y$81,3,FALSE)</f>
        <v>#N/A</v>
      </c>
      <c r="AC260" s="54" t="e">
        <f>VLOOKUP(Table37[[#This Row],[MONTH]],TAGS!$W$67:$Z$81,4,FALSE)</f>
        <v>#N/A</v>
      </c>
      <c r="AD260" s="60">
        <v>4500</v>
      </c>
      <c r="AE260" s="60"/>
      <c r="AF260" s="54">
        <f>SUM(Table37[[#This Row],[MOOE (Php ''000)]:[CO (Php ''000)]])</f>
        <v>4500</v>
      </c>
      <c r="AG260" s="72" t="b">
        <f>ISBLANK(Table37[[#This Row],[PRPOPOSAL/BEDS]])</f>
        <v>0</v>
      </c>
      <c r="AH260" s="72" t="b">
        <f>ISBLANK(Table37[[#This Row],[OU]])</f>
        <v>0</v>
      </c>
      <c r="AI260" s="72" t="b">
        <f>ISBLANK(Table37[[#This Row],[SPECIFIC COMMODITY]])</f>
        <v>0</v>
      </c>
      <c r="AJ260" s="72" t="b">
        <f>ISBLANK(Table37[[#This Row],[COMMODITY PREXC SUB-PROGRAM]])</f>
        <v>0</v>
      </c>
      <c r="AK260" s="72" t="b">
        <f>ISBLANK(Table37[[#This Row],[ACTIVITY]])</f>
        <v>0</v>
      </c>
      <c r="AL260" s="72" t="b">
        <f>ISBLANK(Table37[[#This Row],[TAG-GAD]])</f>
        <v>1</v>
      </c>
      <c r="AM260" s="72" t="b">
        <f>ISBLANK(Table37[[#This Row],[MONTH]])</f>
        <v>1</v>
      </c>
      <c r="AN260" s="72" t="b">
        <f>ISBLANK(Table37[[#This Row],[MOOE (Php ''000)]])</f>
        <v>0</v>
      </c>
      <c r="AO260" s="72" t="b">
        <f>ISBLANK(Table37[[#This Row],[CO (Php ''000)]])</f>
        <v>1</v>
      </c>
    </row>
    <row r="261" spans="1:41">
      <c r="A261" s="54" t="str">
        <f>VLOOKUP(Table37[[#This Row],[OU]],OU!$A$15:$B$34,2,FALSE)</f>
        <v>RFOs</v>
      </c>
      <c r="B261" s="60" t="s">
        <v>436</v>
      </c>
      <c r="C261" s="47" t="s">
        <v>574</v>
      </c>
      <c r="D261" s="60" t="s">
        <v>581</v>
      </c>
      <c r="E261" s="54" t="str">
        <f>VLOOKUP(Table37[[#This Row],[SPECIFIC COMMODITY]],TAGS!$W$48:$X$53,2,FALSE)</f>
        <v>Sorghum</v>
      </c>
      <c r="F261" s="54" t="str">
        <f>VLOOKUP(Table37[[#This Row],[PREXC SUB-PROGRAM]],Table5[],2,FALSE)</f>
        <v>TECHNICAL AND SUPPORT SERVICES PROGRAM</v>
      </c>
      <c r="G261" s="54" t="str">
        <f>VLOOKUP(Table37[[#This Row],[COMMODITY PREXC SUB-PROGRAM]],TAGS!$U$54:$V$76,2,FALSE)</f>
        <v>PSS</v>
      </c>
      <c r="H261" s="60" t="s">
        <v>582</v>
      </c>
      <c r="I261" s="54" t="str">
        <f>VLOOKUP(Table37[[#This Row],[PI LEVEL 3]],'PI LEVEL'!A:C,3,FALSE)</f>
        <v>Seeds distributed</v>
      </c>
      <c r="J261" s="54" t="str">
        <f>VLOOKUP(Table37[[#This Row],[PI LEVEL 3]],Table53729[[Performance Indicator Level 3]:[Performance Indicator Level 1]],2,FALSE)</f>
        <v>Other Seeds distributed</v>
      </c>
      <c r="K261" s="54" t="str">
        <f>VLOOKUP(Table37[[#This Row],[ACTIVITY]],TAGS!B:P,2,FALSE)</f>
        <v>Sorghum Seeds distributed</v>
      </c>
      <c r="L261" s="60" t="s">
        <v>55</v>
      </c>
      <c r="M261" s="54" t="str">
        <f>VLOOKUP(Table37[[#This Row],[ACTIVITY]],TAGS!$B:$P,4,FALSE)</f>
        <v>Sorghum Production Enhancement Project</v>
      </c>
      <c r="N261" s="54" t="str">
        <f>VLOOKUP(Table37[[#This Row],[ACTIVITY]],TAGS!$B:$P,5,FALSE)</f>
        <v>Sorghum Seed Assistance</v>
      </c>
      <c r="O261" s="54" t="str">
        <f>VLOOKUP(Table37[[#This Row],[ACTIVITY]],TAGS!$B:$P,6,FALSE)</f>
        <v>Sorghum seeds</v>
      </c>
      <c r="P261" s="54" t="str">
        <f>VLOOKUP(Table37[[#This Row],[ACTIVITY]],TAGS!$B:$P,7,FALSE)</f>
        <v>NO</v>
      </c>
      <c r="Q261" s="54" t="str">
        <f>VLOOKUP(Table37[[#This Row],[ACTIVITY]],TAGS!$B:$P,8,FALSE)</f>
        <v>PAP</v>
      </c>
      <c r="R261" s="54" t="str">
        <f>VLOOKUP(Table37[[#This Row],[ACTIVITY]],TAGS!$B:$P,10,FALSE)</f>
        <v>PIP</v>
      </c>
      <c r="S261" s="54" t="str">
        <f>VLOOKUP(Table37[[#This Row],[ACTIVITY]],TAGS!$B:$P,11,FALSE)</f>
        <v>PICS</v>
      </c>
      <c r="T261" s="54" t="str">
        <f>VLOOKUP(Table37[[#This Row],[ACTIVITY]],TAGS!$B:$P,12,FALSE)</f>
        <v>Consolidation</v>
      </c>
      <c r="U261" s="54" t="str">
        <f>VLOOKUP(Table37[[#This Row],[ACTIVITY]],TAGS!$B:$P,13,FALSE)</f>
        <v>1. Bayanihan Agri Cluster</v>
      </c>
      <c r="V261" s="54" t="str">
        <f>VLOOKUP(Table37[[#This Row],[ACTIVITY]],TAGS!$B:$P,14,FALSE)</f>
        <v>EXPAND AND IMPROVE AVAILABLE AGRI-FISHERY AREAS FOR INCREASED PRODUCTION</v>
      </c>
      <c r="W261" s="54" t="str">
        <f>VLOOKUP(Table37[[#This Row],[ACTIVITY]],TAGS!$B:$P,15,FALSE)</f>
        <v>Farm Inputs</v>
      </c>
      <c r="X261" s="54" t="str">
        <f>VLOOKUP(Table37[[#This Row],[PI LEVEL 3]],'PI LEVEL'!$A:$G,7,FALSE)</f>
        <v>DA-Level Output</v>
      </c>
      <c r="Y261" s="60"/>
      <c r="Z261" s="60"/>
      <c r="AA261" s="54" t="e">
        <f>VLOOKUP(Table37[[#This Row],[MONTH]],TAGS!$W$67:$Y$81,2,FALSE)</f>
        <v>#N/A</v>
      </c>
      <c r="AB261" s="54" t="e">
        <f>VLOOKUP(Table37[[#This Row],[MONTH]],TAGS!$W$67:$Y$81,3,FALSE)</f>
        <v>#N/A</v>
      </c>
      <c r="AC261" s="54" t="e">
        <f>VLOOKUP(Table37[[#This Row],[MONTH]],TAGS!$W$67:$Z$81,4,FALSE)</f>
        <v>#N/A</v>
      </c>
      <c r="AD261" s="60">
        <v>1750</v>
      </c>
      <c r="AE261" s="60"/>
      <c r="AF261" s="54">
        <f>SUM(Table37[[#This Row],[MOOE (Php ''000)]:[CO (Php ''000)]])</f>
        <v>1750</v>
      </c>
      <c r="AG261" s="72" t="b">
        <f>ISBLANK(Table37[[#This Row],[PRPOPOSAL/BEDS]])</f>
        <v>0</v>
      </c>
      <c r="AH261" s="72" t="b">
        <f>ISBLANK(Table37[[#This Row],[OU]])</f>
        <v>0</v>
      </c>
      <c r="AI261" s="72" t="b">
        <f>ISBLANK(Table37[[#This Row],[SPECIFIC COMMODITY]])</f>
        <v>0</v>
      </c>
      <c r="AJ261" s="72" t="b">
        <f>ISBLANK(Table37[[#This Row],[COMMODITY PREXC SUB-PROGRAM]])</f>
        <v>0</v>
      </c>
      <c r="AK261" s="72" t="b">
        <f>ISBLANK(Table37[[#This Row],[ACTIVITY]])</f>
        <v>0</v>
      </c>
      <c r="AL261" s="72" t="b">
        <f>ISBLANK(Table37[[#This Row],[TAG-GAD]])</f>
        <v>1</v>
      </c>
      <c r="AM261" s="72" t="b">
        <f>ISBLANK(Table37[[#This Row],[MONTH]])</f>
        <v>1</v>
      </c>
      <c r="AN261" s="72" t="b">
        <f>ISBLANK(Table37[[#This Row],[MOOE (Php ''000)]])</f>
        <v>0</v>
      </c>
      <c r="AO261" s="72" t="b">
        <f>ISBLANK(Table37[[#This Row],[CO (Php ''000)]])</f>
        <v>1</v>
      </c>
    </row>
    <row r="262" spans="1:41">
      <c r="A262" s="54" t="str">
        <f>VLOOKUP(Table37[[#This Row],[OU]],OU!$A$15:$B$34,2,FALSE)</f>
        <v>RFOs</v>
      </c>
      <c r="B262" s="60" t="s">
        <v>436</v>
      </c>
      <c r="C262" s="47" t="s">
        <v>574</v>
      </c>
      <c r="D262" s="60" t="s">
        <v>583</v>
      </c>
      <c r="E262" s="54" t="str">
        <f>VLOOKUP(Table37[[#This Row],[SPECIFIC COMMODITY]],TAGS!$W$48:$X$53,2,FALSE)</f>
        <v>Soybean</v>
      </c>
      <c r="F262" s="54" t="str">
        <f>VLOOKUP(Table37[[#This Row],[PREXC SUB-PROGRAM]],Table5[],2,FALSE)</f>
        <v>TECHNICAL AND SUPPORT SERVICES PROGRAM</v>
      </c>
      <c r="G262" s="54" t="str">
        <f>VLOOKUP(Table37[[#This Row],[COMMODITY PREXC SUB-PROGRAM]],TAGS!$U$54:$V$76,2,FALSE)</f>
        <v>PSS</v>
      </c>
      <c r="H262" s="60" t="s">
        <v>584</v>
      </c>
      <c r="I262" s="54" t="str">
        <f>VLOOKUP(Table37[[#This Row],[PI LEVEL 3]],'PI LEVEL'!A:C,3,FALSE)</f>
        <v>Fertilizers and other soil ammendment distributed</v>
      </c>
      <c r="J262" s="54" t="str">
        <f>VLOOKUP(Table37[[#This Row],[PI LEVEL 3]],Table53729[[Performance Indicator Level 3]:[Performance Indicator Level 1]],2,FALSE)</f>
        <v>Fertilizers distributed</v>
      </c>
      <c r="K262" s="54" t="str">
        <f>VLOOKUP(Table37[[#This Row],[ACTIVITY]],TAGS!B:P,2,FALSE)</f>
        <v>Inorganic fertilizer distributed</v>
      </c>
      <c r="L262" s="60" t="s">
        <v>61</v>
      </c>
      <c r="M262" s="54" t="str">
        <f>VLOOKUP(Table37[[#This Row],[ACTIVITY]],TAGS!$B:$P,4,FALSE)</f>
        <v>Soybean Production Enhancement Project</v>
      </c>
      <c r="N262" s="54" t="str">
        <f>VLOOKUP(Table37[[#This Row],[ACTIVITY]],TAGS!$B:$P,5,FALSE)</f>
        <v>Soil Fertilization</v>
      </c>
      <c r="O262" s="54" t="str">
        <f>VLOOKUP(Table37[[#This Row],[ACTIVITY]],TAGS!$B:$P,6,FALSE)</f>
        <v>Inorganic fertilizer</v>
      </c>
      <c r="P262" s="54" t="str">
        <f>VLOOKUP(Table37[[#This Row],[ACTIVITY]],TAGS!$B:$P,7,FALSE)</f>
        <v>NO</v>
      </c>
      <c r="Q262" s="54" t="str">
        <f>VLOOKUP(Table37[[#This Row],[ACTIVITY]],TAGS!$B:$P,8,FALSE)</f>
        <v>PAP</v>
      </c>
      <c r="R262" s="54" t="str">
        <f>VLOOKUP(Table37[[#This Row],[ACTIVITY]],TAGS!$B:$P,10,FALSE)</f>
        <v>PIP</v>
      </c>
      <c r="S262" s="54" t="str">
        <f>VLOOKUP(Table37[[#This Row],[ACTIVITY]],TAGS!$B:$P,11,FALSE)</f>
        <v>PICS</v>
      </c>
      <c r="T262" s="54" t="str">
        <f>VLOOKUP(Table37[[#This Row],[ACTIVITY]],TAGS!$B:$P,12,FALSE)</f>
        <v>Consolidation</v>
      </c>
      <c r="U262" s="54" t="str">
        <f>VLOOKUP(Table37[[#This Row],[ACTIVITY]],TAGS!$B:$P,13,FALSE)</f>
        <v>1. Bayanihan Agri Cluster</v>
      </c>
      <c r="V262" s="54" t="str">
        <f>VLOOKUP(Table37[[#This Row],[ACTIVITY]],TAGS!$B:$P,14,FALSE)</f>
        <v>EXPAND AND IMPROVE AVAILABLE AGRI-FISHERY AREAS FOR INCREASED PRODUCTION</v>
      </c>
      <c r="W262" s="54" t="str">
        <f>VLOOKUP(Table37[[#This Row],[ACTIVITY]],TAGS!$B:$P,15,FALSE)</f>
        <v>Farm Inputs</v>
      </c>
      <c r="X262" s="54" t="str">
        <f>VLOOKUP(Table37[[#This Row],[PI LEVEL 3]],'PI LEVEL'!$A:$G,7,FALSE)</f>
        <v>DA-Level Output</v>
      </c>
      <c r="Y262" s="60"/>
      <c r="Z262" s="60"/>
      <c r="AA262" s="54" t="e">
        <f>VLOOKUP(Table37[[#This Row],[MONTH]],TAGS!$W$67:$Y$81,2,FALSE)</f>
        <v>#N/A</v>
      </c>
      <c r="AB262" s="54" t="e">
        <f>VLOOKUP(Table37[[#This Row],[MONTH]],TAGS!$W$67:$Y$81,3,FALSE)</f>
        <v>#N/A</v>
      </c>
      <c r="AC262" s="54" t="e">
        <f>VLOOKUP(Table37[[#This Row],[MONTH]],TAGS!$W$67:$Z$81,4,FALSE)</f>
        <v>#N/A</v>
      </c>
      <c r="AD262" s="60">
        <v>112</v>
      </c>
      <c r="AE262" s="60"/>
      <c r="AF262" s="54">
        <f>SUM(Table37[[#This Row],[MOOE (Php ''000)]:[CO (Php ''000)]])</f>
        <v>112</v>
      </c>
      <c r="AG262" s="72" t="b">
        <f>ISBLANK(Table37[[#This Row],[PRPOPOSAL/BEDS]])</f>
        <v>0</v>
      </c>
      <c r="AH262" s="72" t="b">
        <f>ISBLANK(Table37[[#This Row],[OU]])</f>
        <v>0</v>
      </c>
      <c r="AI262" s="72" t="b">
        <f>ISBLANK(Table37[[#This Row],[SPECIFIC COMMODITY]])</f>
        <v>0</v>
      </c>
      <c r="AJ262" s="72" t="b">
        <f>ISBLANK(Table37[[#This Row],[COMMODITY PREXC SUB-PROGRAM]])</f>
        <v>0</v>
      </c>
      <c r="AK262" s="72" t="b">
        <f>ISBLANK(Table37[[#This Row],[ACTIVITY]])</f>
        <v>0</v>
      </c>
      <c r="AL262" s="72" t="b">
        <f>ISBLANK(Table37[[#This Row],[TAG-GAD]])</f>
        <v>1</v>
      </c>
      <c r="AM262" s="72" t="b">
        <f>ISBLANK(Table37[[#This Row],[MONTH]])</f>
        <v>1</v>
      </c>
      <c r="AN262" s="72" t="b">
        <f>ISBLANK(Table37[[#This Row],[MOOE (Php ''000)]])</f>
        <v>0</v>
      </c>
      <c r="AO262" s="72" t="b">
        <f>ISBLANK(Table37[[#This Row],[CO (Php ''000)]])</f>
        <v>1</v>
      </c>
    </row>
    <row r="263" spans="1:41">
      <c r="A263" s="54" t="str">
        <f>VLOOKUP(Table37[[#This Row],[OU]],OU!$A$15:$B$34,2,FALSE)</f>
        <v>RFOs</v>
      </c>
      <c r="B263" s="60" t="s">
        <v>436</v>
      </c>
      <c r="C263" s="47" t="s">
        <v>574</v>
      </c>
      <c r="D263" s="60" t="s">
        <v>583</v>
      </c>
      <c r="E263" s="54" t="str">
        <f>VLOOKUP(Table37[[#This Row],[SPECIFIC COMMODITY]],TAGS!$W$48:$X$53,2,FALSE)</f>
        <v>Soybean</v>
      </c>
      <c r="F263" s="54" t="str">
        <f>VLOOKUP(Table37[[#This Row],[PREXC SUB-PROGRAM]],Table5[],2,FALSE)</f>
        <v>TECHNICAL AND SUPPORT SERVICES PROGRAM</v>
      </c>
      <c r="G263" s="54" t="str">
        <f>VLOOKUP(Table37[[#This Row],[COMMODITY PREXC SUB-PROGRAM]],TAGS!$U$54:$V$76,2,FALSE)</f>
        <v>PSS</v>
      </c>
      <c r="H263" s="60" t="s">
        <v>584</v>
      </c>
      <c r="I263" s="54" t="str">
        <f>VLOOKUP(Table37[[#This Row],[PI LEVEL 3]],'PI LEVEL'!A:C,3,FALSE)</f>
        <v>Seeds distributed</v>
      </c>
      <c r="J263" s="54" t="str">
        <f>VLOOKUP(Table37[[#This Row],[PI LEVEL 3]],Table53729[[Performance Indicator Level 3]:[Performance Indicator Level 1]],2,FALSE)</f>
        <v>Vegetable Seeds distributed</v>
      </c>
      <c r="K263" s="54" t="str">
        <f>VLOOKUP(Table37[[#This Row],[ACTIVITY]],TAGS!B:P,2,FALSE)</f>
        <v>Soybean Seeds distributed</v>
      </c>
      <c r="L263" s="47" t="s">
        <v>59</v>
      </c>
      <c r="M263" s="54" t="str">
        <f>VLOOKUP(Table37[[#This Row],[ACTIVITY]],TAGS!$B:$P,4,FALSE)</f>
        <v>Soybean Production Enhancement Project</v>
      </c>
      <c r="N263" s="54" t="str">
        <f>VLOOKUP(Table37[[#This Row],[ACTIVITY]],TAGS!$B:$P,5,FALSE)</f>
        <v>Soybean Seed Assistance</v>
      </c>
      <c r="O263" s="54" t="str">
        <f>VLOOKUP(Table37[[#This Row],[ACTIVITY]],TAGS!$B:$P,6,FALSE)</f>
        <v>Soybean seeds</v>
      </c>
      <c r="P263" s="54" t="str">
        <f>VLOOKUP(Table37[[#This Row],[ACTIVITY]],TAGS!$B:$P,7,FALSE)</f>
        <v>NO</v>
      </c>
      <c r="Q263" s="54" t="str">
        <f>VLOOKUP(Table37[[#This Row],[ACTIVITY]],TAGS!$B:$P,8,FALSE)</f>
        <v>PAP</v>
      </c>
      <c r="R263" s="54" t="str">
        <f>VLOOKUP(Table37[[#This Row],[ACTIVITY]],TAGS!$B:$P,10,FALSE)</f>
        <v>PIP</v>
      </c>
      <c r="S263" s="54" t="str">
        <f>VLOOKUP(Table37[[#This Row],[ACTIVITY]],TAGS!$B:$P,11,FALSE)</f>
        <v>PICS</v>
      </c>
      <c r="T263" s="54" t="str">
        <f>VLOOKUP(Table37[[#This Row],[ACTIVITY]],TAGS!$B:$P,12,FALSE)</f>
        <v>Consolidation</v>
      </c>
      <c r="U263" s="54" t="str">
        <f>VLOOKUP(Table37[[#This Row],[ACTIVITY]],TAGS!$B:$P,13,FALSE)</f>
        <v>1. Bayanihan Agri Cluster</v>
      </c>
      <c r="V263" s="54" t="str">
        <f>VLOOKUP(Table37[[#This Row],[ACTIVITY]],TAGS!$B:$P,14,FALSE)</f>
        <v>EXPAND AND IMPROVE AVAILABLE AGRI-FISHERY AREAS FOR INCREASED PRODUCTION</v>
      </c>
      <c r="W263" s="54" t="str">
        <f>VLOOKUP(Table37[[#This Row],[ACTIVITY]],TAGS!$B:$P,15,FALSE)</f>
        <v>Farm Inputs</v>
      </c>
      <c r="X263" s="54" t="str">
        <f>VLOOKUP(Table37[[#This Row],[PI LEVEL 3]],'PI LEVEL'!$A:$G,7,FALSE)</f>
        <v>DA-Level Output</v>
      </c>
      <c r="Y263" s="60"/>
      <c r="Z263" s="60"/>
      <c r="AA263" s="54" t="e">
        <f>VLOOKUP(Table37[[#This Row],[MONTH]],TAGS!$W$67:$Y$81,2,FALSE)</f>
        <v>#N/A</v>
      </c>
      <c r="AB263" s="54" t="e">
        <f>VLOOKUP(Table37[[#This Row],[MONTH]],TAGS!$W$67:$Y$81,3,FALSE)</f>
        <v>#N/A</v>
      </c>
      <c r="AC263" s="54" t="e">
        <f>VLOOKUP(Table37[[#This Row],[MONTH]],TAGS!$W$67:$Z$81,4,FALSE)</f>
        <v>#N/A</v>
      </c>
      <c r="AD263" s="60">
        <v>50</v>
      </c>
      <c r="AE263" s="60"/>
      <c r="AF263" s="54">
        <f>SUM(Table37[[#This Row],[MOOE (Php ''000)]:[CO (Php ''000)]])</f>
        <v>50</v>
      </c>
      <c r="AG263" s="72" t="b">
        <f>ISBLANK(Table37[[#This Row],[PRPOPOSAL/BEDS]])</f>
        <v>0</v>
      </c>
      <c r="AH263" s="72" t="b">
        <f>ISBLANK(Table37[[#This Row],[OU]])</f>
        <v>0</v>
      </c>
      <c r="AI263" s="72" t="b">
        <f>ISBLANK(Table37[[#This Row],[SPECIFIC COMMODITY]])</f>
        <v>0</v>
      </c>
      <c r="AJ263" s="72" t="b">
        <f>ISBLANK(Table37[[#This Row],[COMMODITY PREXC SUB-PROGRAM]])</f>
        <v>0</v>
      </c>
      <c r="AK263" s="72" t="b">
        <f>ISBLANK(Table37[[#This Row],[ACTIVITY]])</f>
        <v>0</v>
      </c>
      <c r="AL263" s="72" t="b">
        <f>ISBLANK(Table37[[#This Row],[TAG-GAD]])</f>
        <v>1</v>
      </c>
      <c r="AM263" s="72" t="b">
        <f>ISBLANK(Table37[[#This Row],[MONTH]])</f>
        <v>1</v>
      </c>
      <c r="AN263" s="72" t="b">
        <f>ISBLANK(Table37[[#This Row],[MOOE (Php ''000)]])</f>
        <v>0</v>
      </c>
      <c r="AO263" s="72" t="b">
        <f>ISBLANK(Table37[[#This Row],[CO (Php ''000)]])</f>
        <v>1</v>
      </c>
    </row>
    <row r="264" spans="1:41">
      <c r="A264" s="54" t="str">
        <f>VLOOKUP(Table37[[#This Row],[OU]],OU!$A$15:$B$34,2,FALSE)</f>
        <v>RFOs</v>
      </c>
      <c r="B264" s="60" t="s">
        <v>436</v>
      </c>
      <c r="C264" s="47" t="s">
        <v>574</v>
      </c>
      <c r="D264" s="60" t="s">
        <v>575</v>
      </c>
      <c r="E264" s="54" t="str">
        <f>VLOOKUP(Table37[[#This Row],[SPECIFIC COMMODITY]],TAGS!$W$48:$X$53,2,FALSE)</f>
        <v>Corn</v>
      </c>
      <c r="F264" s="54" t="str">
        <f>VLOOKUP(Table37[[#This Row],[PREXC SUB-PROGRAM]],Table5[],2,FALSE)</f>
        <v>TECHNICAL AND SUPPORT SERVICES PROGRAM</v>
      </c>
      <c r="G264" s="54" t="str">
        <f>VLOOKUP(Table37[[#This Row],[COMMODITY PREXC SUB-PROGRAM]],TAGS!$U$54:$V$76,2,FALSE)</f>
        <v>PSS</v>
      </c>
      <c r="H264" s="60" t="s">
        <v>576</v>
      </c>
      <c r="I264" s="54" t="str">
        <f>VLOOKUP(Table37[[#This Row],[PI LEVEL 3]],'PI LEVEL'!A:C,3,FALSE)</f>
        <v>Seeds distributed</v>
      </c>
      <c r="J264" s="54" t="str">
        <f>VLOOKUP(Table37[[#This Row],[PI LEVEL 3]],Table53729[[Performance Indicator Level 3]:[Performance Indicator Level 1]],2,FALSE)</f>
        <v>Corn Seeds distributed</v>
      </c>
      <c r="K264" s="54" t="str">
        <f>VLOOKUP(Table37[[#This Row],[ACTIVITY]],TAGS!B:P,2,FALSE)</f>
        <v>White Corn Seeds distributed</v>
      </c>
      <c r="L264" s="60" t="s">
        <v>24</v>
      </c>
      <c r="M264" s="54" t="str">
        <f>VLOOKUP(Table37[[#This Row],[ACTIVITY]],TAGS!$B:$P,4,FALSE)</f>
        <v>OPV Seed Production</v>
      </c>
      <c r="N264" s="54" t="str">
        <f>VLOOKUP(Table37[[#This Row],[ACTIVITY]],TAGS!$B:$P,5,FALSE)</f>
        <v>OPV Seed Production</v>
      </c>
      <c r="O264" s="54" t="str">
        <f>VLOOKUP(Table37[[#This Row],[ACTIVITY]],TAGS!$B:$P,6,FALSE)</f>
        <v>White corn seeds</v>
      </c>
      <c r="P264" s="54" t="str">
        <f>VLOOKUP(Table37[[#This Row],[ACTIVITY]],TAGS!$B:$P,7,FALSE)</f>
        <v>NO</v>
      </c>
      <c r="Q264" s="54" t="str">
        <f>VLOOKUP(Table37[[#This Row],[ACTIVITY]],TAGS!$B:$P,8,FALSE)</f>
        <v>PAP</v>
      </c>
      <c r="R264" s="54" t="str">
        <f>VLOOKUP(Table37[[#This Row],[ACTIVITY]],TAGS!$B:$P,10,FALSE)</f>
        <v>PIP</v>
      </c>
      <c r="S264" s="54" t="str">
        <f>VLOOKUP(Table37[[#This Row],[ACTIVITY]],TAGS!$B:$P,11,FALSE)</f>
        <v>PICS</v>
      </c>
      <c r="T264" s="54" t="str">
        <f>VLOOKUP(Table37[[#This Row],[ACTIVITY]],TAGS!$B:$P,12,FALSE)</f>
        <v>Consolidation</v>
      </c>
      <c r="U264" s="54" t="str">
        <f>VLOOKUP(Table37[[#This Row],[ACTIVITY]],TAGS!$B:$P,13,FALSE)</f>
        <v>1. Bayanihan Agri Cluster</v>
      </c>
      <c r="V264" s="54" t="str">
        <f>VLOOKUP(Table37[[#This Row],[ACTIVITY]],TAGS!$B:$P,14,FALSE)</f>
        <v>EXPAND AND IMPROVE AVAILABLE AGRI-FISHERY AREAS FOR INCREASED PRODUCTION</v>
      </c>
      <c r="W264" s="54" t="str">
        <f>VLOOKUP(Table37[[#This Row],[ACTIVITY]],TAGS!$B:$P,15,FALSE)</f>
        <v>Farm Inputs</v>
      </c>
      <c r="X264" s="54" t="str">
        <f>VLOOKUP(Table37[[#This Row],[PI LEVEL 3]],'PI LEVEL'!$A:$G,7,FALSE)</f>
        <v>DA-Level Output</v>
      </c>
      <c r="Y264" s="60"/>
      <c r="Z264" s="60"/>
      <c r="AA264" s="54" t="e">
        <f>VLOOKUP(Table37[[#This Row],[MONTH]],TAGS!$W$67:$Y$81,2,FALSE)</f>
        <v>#N/A</v>
      </c>
      <c r="AB264" s="54" t="e">
        <f>VLOOKUP(Table37[[#This Row],[MONTH]],TAGS!$W$67:$Y$81,3,FALSE)</f>
        <v>#N/A</v>
      </c>
      <c r="AC264" s="54" t="e">
        <f>VLOOKUP(Table37[[#This Row],[MONTH]],TAGS!$W$67:$Z$81,4,FALSE)</f>
        <v>#N/A</v>
      </c>
      <c r="AD264" s="60">
        <v>1106</v>
      </c>
      <c r="AE264" s="60"/>
      <c r="AF264" s="54">
        <f>SUM(Table37[[#This Row],[MOOE (Php ''000)]:[CO (Php ''000)]])</f>
        <v>1106</v>
      </c>
      <c r="AG264" s="72" t="b">
        <f>ISBLANK(Table37[[#This Row],[PRPOPOSAL/BEDS]])</f>
        <v>0</v>
      </c>
      <c r="AH264" s="72" t="b">
        <f>ISBLANK(Table37[[#This Row],[OU]])</f>
        <v>0</v>
      </c>
      <c r="AI264" s="72" t="b">
        <f>ISBLANK(Table37[[#This Row],[SPECIFIC COMMODITY]])</f>
        <v>0</v>
      </c>
      <c r="AJ264" s="72" t="b">
        <f>ISBLANK(Table37[[#This Row],[COMMODITY PREXC SUB-PROGRAM]])</f>
        <v>0</v>
      </c>
      <c r="AK264" s="72" t="b">
        <f>ISBLANK(Table37[[#This Row],[ACTIVITY]])</f>
        <v>0</v>
      </c>
      <c r="AL264" s="72" t="b">
        <f>ISBLANK(Table37[[#This Row],[TAG-GAD]])</f>
        <v>1</v>
      </c>
      <c r="AM264" s="72" t="b">
        <f>ISBLANK(Table37[[#This Row],[MONTH]])</f>
        <v>1</v>
      </c>
      <c r="AN264" s="72" t="b">
        <f>ISBLANK(Table37[[#This Row],[MOOE (Php ''000)]])</f>
        <v>0</v>
      </c>
      <c r="AO264" s="72" t="b">
        <f>ISBLANK(Table37[[#This Row],[CO (Php ''000)]])</f>
        <v>1</v>
      </c>
    </row>
    <row r="265" spans="1:41">
      <c r="A265" s="54" t="str">
        <f>VLOOKUP(Table37[[#This Row],[OU]],OU!$A$15:$B$34,2,FALSE)</f>
        <v>RFOs</v>
      </c>
      <c r="B265" s="60" t="s">
        <v>436</v>
      </c>
      <c r="C265" s="47" t="s">
        <v>574</v>
      </c>
      <c r="D265" s="60" t="s">
        <v>575</v>
      </c>
      <c r="E265" s="54" t="str">
        <f>VLOOKUP(Table37[[#This Row],[SPECIFIC COMMODITY]],TAGS!$W$48:$X$53,2,FALSE)</f>
        <v>Corn</v>
      </c>
      <c r="F265" s="54" t="str">
        <f>VLOOKUP(Table37[[#This Row],[PREXC SUB-PROGRAM]],Table5[],2,FALSE)</f>
        <v>TECHNICAL AND SUPPORT SERVICES PROGRAM</v>
      </c>
      <c r="G265" s="54" t="str">
        <f>VLOOKUP(Table37[[#This Row],[COMMODITY PREXC SUB-PROGRAM]],TAGS!$U$54:$V$76,2,FALSE)</f>
        <v>PSS</v>
      </c>
      <c r="H265" s="60" t="s">
        <v>576</v>
      </c>
      <c r="I265" s="54" t="str">
        <f>VLOOKUP(Table37[[#This Row],[PI LEVEL 3]],'PI LEVEL'!A:C,3,FALSE)</f>
        <v>Seeds reserved</v>
      </c>
      <c r="J265" s="54" t="str">
        <f>VLOOKUP(Table37[[#This Row],[PI LEVEL 3]],Table53729[[Performance Indicator Level 3]:[Performance Indicator Level 1]],2,FALSE)</f>
        <v>Corn Seeds reserved</v>
      </c>
      <c r="K265" s="54" t="str">
        <f>VLOOKUP(Table37[[#This Row],[ACTIVITY]],TAGS!B:P,2,FALSE)</f>
        <v>White Corn Seeds reserved</v>
      </c>
      <c r="L265" s="60" t="s">
        <v>80</v>
      </c>
      <c r="M265" s="54" t="str">
        <f>VLOOKUP(Table37[[#This Row],[ACTIVITY]],TAGS!$B:$P,4,FALSE)</f>
        <v>Corn Seed Reserve</v>
      </c>
      <c r="N265" s="54" t="str">
        <f>VLOOKUP(Table37[[#This Row],[ACTIVITY]],TAGS!$B:$P,5,FALSE)</f>
        <v>Corn Seed Reserve</v>
      </c>
      <c r="O265" s="54" t="str">
        <f>VLOOKUP(Table37[[#This Row],[ACTIVITY]],TAGS!$B:$P,6,FALSE)</f>
        <v>White corn seeds reserve</v>
      </c>
      <c r="P265" s="54" t="str">
        <f>VLOOKUP(Table37[[#This Row],[ACTIVITY]],TAGS!$B:$P,7,FALSE)</f>
        <v>YES</v>
      </c>
      <c r="Q265" s="54" t="str">
        <f>VLOOKUP(Table37[[#This Row],[ACTIVITY]],TAGS!$B:$P,8,FALSE)</f>
        <v>PAP</v>
      </c>
      <c r="R265" s="54" t="str">
        <f>VLOOKUP(Table37[[#This Row],[ACTIVITY]],TAGS!$B:$P,10,FALSE)</f>
        <v>PIP</v>
      </c>
      <c r="S265" s="54" t="str">
        <f>VLOOKUP(Table37[[#This Row],[ACTIVITY]],TAGS!$B:$P,11,FALSE)</f>
        <v>PICS</v>
      </c>
      <c r="T265" s="54" t="str">
        <f>VLOOKUP(Table37[[#This Row],[ACTIVITY]],TAGS!$B:$P,12,FALSE)</f>
        <v>Modernization</v>
      </c>
      <c r="U265" s="54" t="str">
        <f>VLOOKUP(Table37[[#This Row],[ACTIVITY]],TAGS!$B:$P,13,FALSE)</f>
        <v>9. Climate Change Adaptation &amp; Mitigation Measures</v>
      </c>
      <c r="V265" s="54" t="str">
        <f>VLOOKUP(Table37[[#This Row],[ACTIVITY]],TAGS!$B:$P,14,FALSE)</f>
        <v>EXPAND AND IMPROVE AVAILABLE AGRI-FISHERY AREAS FOR INCREASED PRODUCTION</v>
      </c>
      <c r="W265" s="54" t="str">
        <f>VLOOKUP(Table37[[#This Row],[ACTIVITY]],TAGS!$B:$P,15,FALSE)</f>
        <v>Seed Reserve</v>
      </c>
      <c r="X265" s="54" t="str">
        <f>VLOOKUP(Table37[[#This Row],[PI LEVEL 3]],'PI LEVEL'!$A:$G,7,FALSE)</f>
        <v>DA-Level Output</v>
      </c>
      <c r="Y265" s="60"/>
      <c r="Z265" s="60"/>
      <c r="AA265" s="54" t="e">
        <f>VLOOKUP(Table37[[#This Row],[MONTH]],TAGS!$W$67:$Y$81,2,FALSE)</f>
        <v>#N/A</v>
      </c>
      <c r="AB265" s="54" t="e">
        <f>VLOOKUP(Table37[[#This Row],[MONTH]],TAGS!$W$67:$Y$81,3,FALSE)</f>
        <v>#N/A</v>
      </c>
      <c r="AC265" s="54" t="e">
        <f>VLOOKUP(Table37[[#This Row],[MONTH]],TAGS!$W$67:$Z$81,4,FALSE)</f>
        <v>#N/A</v>
      </c>
      <c r="AD265" s="60">
        <v>1500</v>
      </c>
      <c r="AE265" s="60"/>
      <c r="AF265" s="54">
        <f>SUM(Table37[[#This Row],[MOOE (Php ''000)]:[CO (Php ''000)]])</f>
        <v>1500</v>
      </c>
      <c r="AG265" s="72" t="b">
        <f>ISBLANK(Table37[[#This Row],[PRPOPOSAL/BEDS]])</f>
        <v>0</v>
      </c>
      <c r="AH265" s="72" t="b">
        <f>ISBLANK(Table37[[#This Row],[OU]])</f>
        <v>0</v>
      </c>
      <c r="AI265" s="72" t="b">
        <f>ISBLANK(Table37[[#This Row],[SPECIFIC COMMODITY]])</f>
        <v>0</v>
      </c>
      <c r="AJ265" s="72" t="b">
        <f>ISBLANK(Table37[[#This Row],[COMMODITY PREXC SUB-PROGRAM]])</f>
        <v>0</v>
      </c>
      <c r="AK265" s="72" t="b">
        <f>ISBLANK(Table37[[#This Row],[ACTIVITY]])</f>
        <v>0</v>
      </c>
      <c r="AL265" s="72" t="b">
        <f>ISBLANK(Table37[[#This Row],[TAG-GAD]])</f>
        <v>1</v>
      </c>
      <c r="AM265" s="72" t="b">
        <f>ISBLANK(Table37[[#This Row],[MONTH]])</f>
        <v>1</v>
      </c>
      <c r="AN265" s="72" t="b">
        <f>ISBLANK(Table37[[#This Row],[MOOE (Php ''000)]])</f>
        <v>0</v>
      </c>
      <c r="AO265" s="72" t="b">
        <f>ISBLANK(Table37[[#This Row],[CO (Php ''000)]])</f>
        <v>1</v>
      </c>
    </row>
    <row r="266" spans="1:41">
      <c r="A266" s="54" t="str">
        <f>VLOOKUP(Table37[[#This Row],[OU]],OU!$A$15:$B$34,2,FALSE)</f>
        <v>RFOs</v>
      </c>
      <c r="B266" s="60" t="s">
        <v>436</v>
      </c>
      <c r="C266" s="47" t="s">
        <v>574</v>
      </c>
      <c r="D266" s="60" t="s">
        <v>578</v>
      </c>
      <c r="E266" s="54" t="str">
        <f>VLOOKUP(Table37[[#This Row],[SPECIFIC COMMODITY]],TAGS!$W$48:$X$53,2,FALSE)</f>
        <v>Corn</v>
      </c>
      <c r="F266" s="54" t="str">
        <f>VLOOKUP(Table37[[#This Row],[PREXC SUB-PROGRAM]],Table5[],2,FALSE)</f>
        <v>TECHNICAL AND SUPPORT SERVICES PROGRAM</v>
      </c>
      <c r="G266" s="54" t="str">
        <f>VLOOKUP(Table37[[#This Row],[COMMODITY PREXC SUB-PROGRAM]],TAGS!$U$54:$V$76,2,FALSE)</f>
        <v>PSS</v>
      </c>
      <c r="H266" s="60" t="s">
        <v>576</v>
      </c>
      <c r="I266" s="54" t="str">
        <f>VLOOKUP(Table37[[#This Row],[PI LEVEL 3]],'PI LEVEL'!A:C,3,FALSE)</f>
        <v>Seeds distributed</v>
      </c>
      <c r="J266" s="54" t="str">
        <f>VLOOKUP(Table37[[#This Row],[PI LEVEL 3]],Table53729[[Performance Indicator Level 3]:[Performance Indicator Level 1]],2,FALSE)</f>
        <v>Corn Seeds distributed</v>
      </c>
      <c r="K266" s="54" t="str">
        <f>VLOOKUP(Table37[[#This Row],[ACTIVITY]],TAGS!B:P,2,FALSE)</f>
        <v>Yellow Corn Seeds distributed</v>
      </c>
      <c r="L266" s="60" t="s">
        <v>34</v>
      </c>
      <c r="M266" s="54" t="str">
        <f>VLOOKUP(Table37[[#This Row],[ACTIVITY]],TAGS!$B:$P,4,FALSE)</f>
        <v>Yellow Corn Production Enhancement Project</v>
      </c>
      <c r="N266" s="54" t="str">
        <f>VLOOKUP(Table37[[#This Row],[ACTIVITY]],TAGS!$B:$P,5,FALSE)</f>
        <v>Corn Seed Assistance</v>
      </c>
      <c r="O266" s="54" t="str">
        <f>VLOOKUP(Table37[[#This Row],[ACTIVITY]],TAGS!$B:$P,6,FALSE)</f>
        <v>Yellow corn seeds</v>
      </c>
      <c r="P266" s="54" t="str">
        <f>VLOOKUP(Table37[[#This Row],[ACTIVITY]],TAGS!$B:$P,7,FALSE)</f>
        <v>NO</v>
      </c>
      <c r="Q266" s="54" t="str">
        <f>VLOOKUP(Table37[[#This Row],[ACTIVITY]],TAGS!$B:$P,8,FALSE)</f>
        <v>PAP</v>
      </c>
      <c r="R266" s="54" t="str">
        <f>VLOOKUP(Table37[[#This Row],[ACTIVITY]],TAGS!$B:$P,10,FALSE)</f>
        <v>PIP</v>
      </c>
      <c r="S266" s="54" t="str">
        <f>VLOOKUP(Table37[[#This Row],[ACTIVITY]],TAGS!$B:$P,11,FALSE)</f>
        <v>PICS</v>
      </c>
      <c r="T266" s="54" t="str">
        <f>VLOOKUP(Table37[[#This Row],[ACTIVITY]],TAGS!$B:$P,12,FALSE)</f>
        <v>Consolidation</v>
      </c>
      <c r="U266" s="54" t="str">
        <f>VLOOKUP(Table37[[#This Row],[ACTIVITY]],TAGS!$B:$P,13,FALSE)</f>
        <v>1. Bayanihan Agri Cluster</v>
      </c>
      <c r="V266" s="54" t="str">
        <f>VLOOKUP(Table37[[#This Row],[ACTIVITY]],TAGS!$B:$P,14,FALSE)</f>
        <v>EXPAND AND IMPROVE AVAILABLE AGRI-FISHERY AREAS FOR INCREASED PRODUCTION</v>
      </c>
      <c r="W266" s="54" t="str">
        <f>VLOOKUP(Table37[[#This Row],[ACTIVITY]],TAGS!$B:$P,15,FALSE)</f>
        <v>Farm Inputs</v>
      </c>
      <c r="X266" s="54" t="str">
        <f>VLOOKUP(Table37[[#This Row],[PI LEVEL 3]],'PI LEVEL'!$A:$G,7,FALSE)</f>
        <v>DA-Level Output</v>
      </c>
      <c r="Y266" s="60"/>
      <c r="Z266" s="60"/>
      <c r="AA266" s="54" t="e">
        <f>VLOOKUP(Table37[[#This Row],[MONTH]],TAGS!$W$67:$Y$81,2,FALSE)</f>
        <v>#N/A</v>
      </c>
      <c r="AB266" s="54" t="e">
        <f>VLOOKUP(Table37[[#This Row],[MONTH]],TAGS!$W$67:$Y$81,3,FALSE)</f>
        <v>#N/A</v>
      </c>
      <c r="AC266" s="54" t="e">
        <f>VLOOKUP(Table37[[#This Row],[MONTH]],TAGS!$W$67:$Z$81,4,FALSE)</f>
        <v>#N/A</v>
      </c>
      <c r="AD266" s="60">
        <v>324000</v>
      </c>
      <c r="AE266" s="60"/>
      <c r="AF266" s="54">
        <f>SUM(Table37[[#This Row],[MOOE (Php ''000)]:[CO (Php ''000)]])</f>
        <v>324000</v>
      </c>
      <c r="AG266" s="72" t="b">
        <f>ISBLANK(Table37[[#This Row],[PRPOPOSAL/BEDS]])</f>
        <v>0</v>
      </c>
      <c r="AH266" s="72" t="b">
        <f>ISBLANK(Table37[[#This Row],[OU]])</f>
        <v>0</v>
      </c>
      <c r="AI266" s="72" t="b">
        <f>ISBLANK(Table37[[#This Row],[SPECIFIC COMMODITY]])</f>
        <v>0</v>
      </c>
      <c r="AJ266" s="72" t="b">
        <f>ISBLANK(Table37[[#This Row],[COMMODITY PREXC SUB-PROGRAM]])</f>
        <v>0</v>
      </c>
      <c r="AK266" s="72" t="b">
        <f>ISBLANK(Table37[[#This Row],[ACTIVITY]])</f>
        <v>0</v>
      </c>
      <c r="AL266" s="72" t="b">
        <f>ISBLANK(Table37[[#This Row],[TAG-GAD]])</f>
        <v>1</v>
      </c>
      <c r="AM266" s="72" t="b">
        <f>ISBLANK(Table37[[#This Row],[MONTH]])</f>
        <v>1</v>
      </c>
      <c r="AN266" s="72" t="b">
        <f>ISBLANK(Table37[[#This Row],[MOOE (Php ''000)]])</f>
        <v>0</v>
      </c>
      <c r="AO266" s="72" t="b">
        <f>ISBLANK(Table37[[#This Row],[CO (Php ''000)]])</f>
        <v>1</v>
      </c>
    </row>
    <row r="267" spans="1:41">
      <c r="A267" s="54" t="str">
        <f>VLOOKUP(Table37[[#This Row],[OU]],OU!$A$15:$B$34,2,FALSE)</f>
        <v>RFOs</v>
      </c>
      <c r="B267" s="60" t="s">
        <v>436</v>
      </c>
      <c r="C267" s="47" t="s">
        <v>574</v>
      </c>
      <c r="D267" s="60" t="s">
        <v>578</v>
      </c>
      <c r="E267" s="54" t="str">
        <f>VLOOKUP(Table37[[#This Row],[SPECIFIC COMMODITY]],TAGS!$W$48:$X$53,2,FALSE)</f>
        <v>Corn</v>
      </c>
      <c r="F267" s="54" t="str">
        <f>VLOOKUP(Table37[[#This Row],[PREXC SUB-PROGRAM]],Table5[],2,FALSE)</f>
        <v>TECHNICAL AND SUPPORT SERVICES PROGRAM</v>
      </c>
      <c r="G267" s="54" t="str">
        <f>VLOOKUP(Table37[[#This Row],[COMMODITY PREXC SUB-PROGRAM]],TAGS!$U$54:$V$76,2,FALSE)</f>
        <v>PSS</v>
      </c>
      <c r="H267" s="60" t="s">
        <v>576</v>
      </c>
      <c r="I267" s="54" t="str">
        <f>VLOOKUP(Table37[[#This Row],[PI LEVEL 3]],'PI LEVEL'!A:C,3,FALSE)</f>
        <v>Seeds distributed</v>
      </c>
      <c r="J267" s="54" t="str">
        <f>VLOOKUP(Table37[[#This Row],[PI LEVEL 3]],Table53729[[Performance Indicator Level 3]:[Performance Indicator Level 1]],2,FALSE)</f>
        <v>Corn Seeds distributed</v>
      </c>
      <c r="K267" s="54" t="str">
        <f>VLOOKUP(Table37[[#This Row],[ACTIVITY]],TAGS!B:P,2,FALSE)</f>
        <v>Yellow Corn Seeds distributed</v>
      </c>
      <c r="L267" s="60" t="s">
        <v>26</v>
      </c>
      <c r="M267" s="54" t="str">
        <f>VLOOKUP(Table37[[#This Row],[ACTIVITY]],TAGS!$B:$P,4,FALSE)</f>
        <v>Recommended Corn Production Technology</v>
      </c>
      <c r="N267" s="54" t="str">
        <f>VLOOKUP(Table37[[#This Row],[ACTIVITY]],TAGS!$B:$P,5,FALSE)</f>
        <v>Corn Seed Assistance</v>
      </c>
      <c r="O267" s="54" t="str">
        <f>VLOOKUP(Table37[[#This Row],[ACTIVITY]],TAGS!$B:$P,6,FALSE)</f>
        <v>Yellow corn seeds</v>
      </c>
      <c r="P267" s="54" t="str">
        <f>VLOOKUP(Table37[[#This Row],[ACTIVITY]],TAGS!$B:$P,7,FALSE)</f>
        <v>NO</v>
      </c>
      <c r="Q267" s="54" t="str">
        <f>VLOOKUP(Table37[[#This Row],[ACTIVITY]],TAGS!$B:$P,8,FALSE)</f>
        <v>PAP</v>
      </c>
      <c r="R267" s="54" t="str">
        <f>VLOOKUP(Table37[[#This Row],[ACTIVITY]],TAGS!$B:$P,10,FALSE)</f>
        <v>PIP</v>
      </c>
      <c r="S267" s="54" t="str">
        <f>VLOOKUP(Table37[[#This Row],[ACTIVITY]],TAGS!$B:$P,11,FALSE)</f>
        <v>PICS</v>
      </c>
      <c r="T267" s="54" t="str">
        <f>VLOOKUP(Table37[[#This Row],[ACTIVITY]],TAGS!$B:$P,12,FALSE)</f>
        <v>Consolidation</v>
      </c>
      <c r="U267" s="54" t="str">
        <f>VLOOKUP(Table37[[#This Row],[ACTIVITY]],TAGS!$B:$P,13,FALSE)</f>
        <v>1. Bayanihan Agri Cluster</v>
      </c>
      <c r="V267" s="54" t="str">
        <f>VLOOKUP(Table37[[#This Row],[ACTIVITY]],TAGS!$B:$P,14,FALSE)</f>
        <v>EXPAND AND IMPROVE AVAILABLE AGRI-FISHERY AREAS FOR INCREASED PRODUCTION</v>
      </c>
      <c r="W267" s="54" t="str">
        <f>VLOOKUP(Table37[[#This Row],[ACTIVITY]],TAGS!$B:$P,15,FALSE)</f>
        <v>Farm Inputs</v>
      </c>
      <c r="X267" s="54" t="str">
        <f>VLOOKUP(Table37[[#This Row],[PI LEVEL 3]],'PI LEVEL'!$A:$G,7,FALSE)</f>
        <v>DA-Level Output</v>
      </c>
      <c r="Y267" s="60"/>
      <c r="Z267" s="60"/>
      <c r="AA267" s="54" t="e">
        <f>VLOOKUP(Table37[[#This Row],[MONTH]],TAGS!$W$67:$Y$81,2,FALSE)</f>
        <v>#N/A</v>
      </c>
      <c r="AB267" s="54" t="e">
        <f>VLOOKUP(Table37[[#This Row],[MONTH]],TAGS!$W$67:$Y$81,3,FALSE)</f>
        <v>#N/A</v>
      </c>
      <c r="AC267" s="54" t="e">
        <f>VLOOKUP(Table37[[#This Row],[MONTH]],TAGS!$W$67:$Z$81,4,FALSE)</f>
        <v>#N/A</v>
      </c>
      <c r="AD267" s="60">
        <v>12000</v>
      </c>
      <c r="AE267" s="60"/>
      <c r="AF267" s="54">
        <f>SUM(Table37[[#This Row],[MOOE (Php ''000)]:[CO (Php ''000)]])</f>
        <v>12000</v>
      </c>
      <c r="AG267" s="72" t="b">
        <f>ISBLANK(Table37[[#This Row],[PRPOPOSAL/BEDS]])</f>
        <v>0</v>
      </c>
      <c r="AH267" s="72" t="b">
        <f>ISBLANK(Table37[[#This Row],[OU]])</f>
        <v>0</v>
      </c>
      <c r="AI267" s="72" t="b">
        <f>ISBLANK(Table37[[#This Row],[SPECIFIC COMMODITY]])</f>
        <v>0</v>
      </c>
      <c r="AJ267" s="72" t="b">
        <f>ISBLANK(Table37[[#This Row],[COMMODITY PREXC SUB-PROGRAM]])</f>
        <v>0</v>
      </c>
      <c r="AK267" s="72" t="b">
        <f>ISBLANK(Table37[[#This Row],[ACTIVITY]])</f>
        <v>0</v>
      </c>
      <c r="AL267" s="72" t="b">
        <f>ISBLANK(Table37[[#This Row],[TAG-GAD]])</f>
        <v>1</v>
      </c>
      <c r="AM267" s="72" t="b">
        <f>ISBLANK(Table37[[#This Row],[MONTH]])</f>
        <v>1</v>
      </c>
      <c r="AN267" s="72" t="b">
        <f>ISBLANK(Table37[[#This Row],[MOOE (Php ''000)]])</f>
        <v>0</v>
      </c>
      <c r="AO267" s="72" t="b">
        <f>ISBLANK(Table37[[#This Row],[CO (Php ''000)]])</f>
        <v>1</v>
      </c>
    </row>
    <row r="268" spans="1:41">
      <c r="A268" s="54" t="str">
        <f>VLOOKUP(Table37[[#This Row],[OU]],OU!$A$15:$B$34,2,FALSE)</f>
        <v>RFOs</v>
      </c>
      <c r="B268" s="60" t="s">
        <v>436</v>
      </c>
      <c r="C268" s="47" t="s">
        <v>574</v>
      </c>
      <c r="D268" s="60" t="s">
        <v>578</v>
      </c>
      <c r="E268" s="54" t="str">
        <f>VLOOKUP(Table37[[#This Row],[SPECIFIC COMMODITY]],TAGS!$W$48:$X$53,2,FALSE)</f>
        <v>Corn</v>
      </c>
      <c r="F268" s="54" t="str">
        <f>VLOOKUP(Table37[[#This Row],[PREXC SUB-PROGRAM]],Table5[],2,FALSE)</f>
        <v>TECHNICAL AND SUPPORT SERVICES PROGRAM</v>
      </c>
      <c r="G268" s="54" t="str">
        <f>VLOOKUP(Table37[[#This Row],[COMMODITY PREXC SUB-PROGRAM]],TAGS!$U$54:$V$76,2,FALSE)</f>
        <v>PSS</v>
      </c>
      <c r="H268" s="60" t="s">
        <v>576</v>
      </c>
      <c r="I268" s="54" t="str">
        <f>VLOOKUP(Table37[[#This Row],[PI LEVEL 3]],'PI LEVEL'!A:C,3,FALSE)</f>
        <v>Seeds reserved</v>
      </c>
      <c r="J268" s="54" t="str">
        <f>VLOOKUP(Table37[[#This Row],[PI LEVEL 3]],Table53729[[Performance Indicator Level 3]:[Performance Indicator Level 1]],2,FALSE)</f>
        <v>Corn Seeds reserved</v>
      </c>
      <c r="K268" s="54" t="str">
        <f>VLOOKUP(Table37[[#This Row],[ACTIVITY]],TAGS!B:P,2,FALSE)</f>
        <v>Yellow Corn Seeds reserved</v>
      </c>
      <c r="L268" s="60" t="s">
        <v>82</v>
      </c>
      <c r="M268" s="54" t="str">
        <f>VLOOKUP(Table37[[#This Row],[ACTIVITY]],TAGS!$B:$P,4,FALSE)</f>
        <v>Corn Seed Reserve</v>
      </c>
      <c r="N268" s="54" t="str">
        <f>VLOOKUP(Table37[[#This Row],[ACTIVITY]],TAGS!$B:$P,5,FALSE)</f>
        <v>Corn Seed Reserve</v>
      </c>
      <c r="O268" s="54" t="str">
        <f>VLOOKUP(Table37[[#This Row],[ACTIVITY]],TAGS!$B:$P,6,FALSE)</f>
        <v>Yellow corn seeds reserve</v>
      </c>
      <c r="P268" s="54" t="str">
        <f>VLOOKUP(Table37[[#This Row],[ACTIVITY]],TAGS!$B:$P,7,FALSE)</f>
        <v>YES</v>
      </c>
      <c r="Q268" s="54" t="str">
        <f>VLOOKUP(Table37[[#This Row],[ACTIVITY]],TAGS!$B:$P,8,FALSE)</f>
        <v>PAP</v>
      </c>
      <c r="R268" s="54" t="str">
        <f>VLOOKUP(Table37[[#This Row],[ACTIVITY]],TAGS!$B:$P,10,FALSE)</f>
        <v>PIP</v>
      </c>
      <c r="S268" s="54" t="str">
        <f>VLOOKUP(Table37[[#This Row],[ACTIVITY]],TAGS!$B:$P,11,FALSE)</f>
        <v>PICS</v>
      </c>
      <c r="T268" s="54" t="str">
        <f>VLOOKUP(Table37[[#This Row],[ACTIVITY]],TAGS!$B:$P,12,FALSE)</f>
        <v>Modernization</v>
      </c>
      <c r="U268" s="54" t="str">
        <f>VLOOKUP(Table37[[#This Row],[ACTIVITY]],TAGS!$B:$P,13,FALSE)</f>
        <v>9. Climate Change Adaptation &amp; Mitigation Measures</v>
      </c>
      <c r="V268" s="54" t="str">
        <f>VLOOKUP(Table37[[#This Row],[ACTIVITY]],TAGS!$B:$P,14,FALSE)</f>
        <v>EXPAND AND IMPROVE AVAILABLE AGRI-FISHERY AREAS FOR INCREASED PRODUCTION</v>
      </c>
      <c r="W268" s="54" t="str">
        <f>VLOOKUP(Table37[[#This Row],[ACTIVITY]],TAGS!$B:$P,15,FALSE)</f>
        <v>Seed Reserve</v>
      </c>
      <c r="X268" s="54" t="str">
        <f>VLOOKUP(Table37[[#This Row],[PI LEVEL 3]],'PI LEVEL'!$A:$G,7,FALSE)</f>
        <v>DA-Level Output</v>
      </c>
      <c r="Y268" s="60"/>
      <c r="Z268" s="60"/>
      <c r="AA268" s="54" t="e">
        <f>VLOOKUP(Table37[[#This Row],[MONTH]],TAGS!$W$67:$Y$81,2,FALSE)</f>
        <v>#N/A</v>
      </c>
      <c r="AB268" s="54" t="e">
        <f>VLOOKUP(Table37[[#This Row],[MONTH]],TAGS!$W$67:$Y$81,3,FALSE)</f>
        <v>#N/A</v>
      </c>
      <c r="AC268" s="54" t="e">
        <f>VLOOKUP(Table37[[#This Row],[MONTH]],TAGS!$W$67:$Z$81,4,FALSE)</f>
        <v>#N/A</v>
      </c>
      <c r="AD268" s="60">
        <v>300</v>
      </c>
      <c r="AE268" s="60"/>
      <c r="AF268" s="54">
        <f>SUM(Table37[[#This Row],[MOOE (Php ''000)]:[CO (Php ''000)]])</f>
        <v>300</v>
      </c>
      <c r="AG268" s="72" t="b">
        <f>ISBLANK(Table37[[#This Row],[PRPOPOSAL/BEDS]])</f>
        <v>0</v>
      </c>
      <c r="AH268" s="72" t="b">
        <f>ISBLANK(Table37[[#This Row],[OU]])</f>
        <v>0</v>
      </c>
      <c r="AI268" s="72" t="b">
        <f>ISBLANK(Table37[[#This Row],[SPECIFIC COMMODITY]])</f>
        <v>0</v>
      </c>
      <c r="AJ268" s="72" t="b">
        <f>ISBLANK(Table37[[#This Row],[COMMODITY PREXC SUB-PROGRAM]])</f>
        <v>0</v>
      </c>
      <c r="AK268" s="72" t="b">
        <f>ISBLANK(Table37[[#This Row],[ACTIVITY]])</f>
        <v>0</v>
      </c>
      <c r="AL268" s="72" t="b">
        <f>ISBLANK(Table37[[#This Row],[TAG-GAD]])</f>
        <v>1</v>
      </c>
      <c r="AM268" s="72" t="b">
        <f>ISBLANK(Table37[[#This Row],[MONTH]])</f>
        <v>1</v>
      </c>
      <c r="AN268" s="72" t="b">
        <f>ISBLANK(Table37[[#This Row],[MOOE (Php ''000)]])</f>
        <v>0</v>
      </c>
      <c r="AO268" s="72" t="b">
        <f>ISBLANK(Table37[[#This Row],[CO (Php ''000)]])</f>
        <v>1</v>
      </c>
    </row>
    <row r="269" spans="1:41">
      <c r="A269" s="54" t="str">
        <f>VLOOKUP(Table37[[#This Row],[OU]],OU!$A$15:$B$34,2,FALSE)</f>
        <v>RFOs</v>
      </c>
      <c r="B269" s="60" t="s">
        <v>436</v>
      </c>
      <c r="C269" s="47" t="s">
        <v>574</v>
      </c>
      <c r="D269" s="60" t="s">
        <v>578</v>
      </c>
      <c r="E269" s="54" t="str">
        <f>VLOOKUP(Table37[[#This Row],[SPECIFIC COMMODITY]],TAGS!$W$48:$X$53,2,FALSE)</f>
        <v>Corn</v>
      </c>
      <c r="F269" s="54" t="str">
        <f>VLOOKUP(Table37[[#This Row],[PREXC SUB-PROGRAM]],Table5[],2,FALSE)</f>
        <v>TECHNICAL AND SUPPORT SERVICES PROGRAM</v>
      </c>
      <c r="G269" s="54" t="str">
        <f>VLOOKUP(Table37[[#This Row],[COMMODITY PREXC SUB-PROGRAM]],TAGS!$U$54:$V$76,2,FALSE)</f>
        <v>PSS</v>
      </c>
      <c r="H269" s="60" t="s">
        <v>576</v>
      </c>
      <c r="I269" s="54" t="str">
        <f>VLOOKUP(Table37[[#This Row],[PI LEVEL 3]],'PI LEVEL'!A:C,3,FALSE)</f>
        <v>Seeds reserved</v>
      </c>
      <c r="J269" s="54" t="str">
        <f>VLOOKUP(Table37[[#This Row],[PI LEVEL 3]],Table53729[[Performance Indicator Level 3]:[Performance Indicator Level 1]],2,FALSE)</f>
        <v>Corn Seeds reserved</v>
      </c>
      <c r="K269" s="54" t="str">
        <f>VLOOKUP(Table37[[#This Row],[ACTIVITY]],TAGS!B:P,2,FALSE)</f>
        <v>Yellow Corn Seeds reserved</v>
      </c>
      <c r="L269" s="60" t="s">
        <v>84</v>
      </c>
      <c r="M269" s="54" t="str">
        <f>VLOOKUP(Table37[[#This Row],[ACTIVITY]],TAGS!$B:$P,4,FALSE)</f>
        <v>Corn Seed Reserve</v>
      </c>
      <c r="N269" s="54" t="str">
        <f>VLOOKUP(Table37[[#This Row],[ACTIVITY]],TAGS!$B:$P,5,FALSE)</f>
        <v>Corn Seed Reserve</v>
      </c>
      <c r="O269" s="54" t="str">
        <f>VLOOKUP(Table37[[#This Row],[ACTIVITY]],TAGS!$B:$P,6,FALSE)</f>
        <v>Yellow corn seeds reserve</v>
      </c>
      <c r="P269" s="54" t="str">
        <f>VLOOKUP(Table37[[#This Row],[ACTIVITY]],TAGS!$B:$P,7,FALSE)</f>
        <v>YES</v>
      </c>
      <c r="Q269" s="54" t="str">
        <f>VLOOKUP(Table37[[#This Row],[ACTIVITY]],TAGS!$B:$P,8,FALSE)</f>
        <v>PAP</v>
      </c>
      <c r="R269" s="54" t="str">
        <f>VLOOKUP(Table37[[#This Row],[ACTIVITY]],TAGS!$B:$P,10,FALSE)</f>
        <v>PIP</v>
      </c>
      <c r="S269" s="54" t="str">
        <f>VLOOKUP(Table37[[#This Row],[ACTIVITY]],TAGS!$B:$P,11,FALSE)</f>
        <v>PICS</v>
      </c>
      <c r="T269" s="54" t="str">
        <f>VLOOKUP(Table37[[#This Row],[ACTIVITY]],TAGS!$B:$P,12,FALSE)</f>
        <v>Modernization</v>
      </c>
      <c r="U269" s="54" t="str">
        <f>VLOOKUP(Table37[[#This Row],[ACTIVITY]],TAGS!$B:$P,13,FALSE)</f>
        <v>9. Climate Change Adaptation &amp; Mitigation Measures</v>
      </c>
      <c r="V269" s="54" t="str">
        <f>VLOOKUP(Table37[[#This Row],[ACTIVITY]],TAGS!$B:$P,14,FALSE)</f>
        <v>EXPAND AND IMPROVE AVAILABLE AGRI-FISHERY AREAS FOR INCREASED PRODUCTION</v>
      </c>
      <c r="W269" s="54" t="str">
        <f>VLOOKUP(Table37[[#This Row],[ACTIVITY]],TAGS!$B:$P,15,FALSE)</f>
        <v>Seed Reserve</v>
      </c>
      <c r="X269" s="54" t="str">
        <f>VLOOKUP(Table37[[#This Row],[PI LEVEL 3]],'PI LEVEL'!$A:$G,7,FALSE)</f>
        <v>DA-Level Output</v>
      </c>
      <c r="Y269" s="60"/>
      <c r="Z269" s="60"/>
      <c r="AA269" s="54" t="e">
        <f>VLOOKUP(Table37[[#This Row],[MONTH]],TAGS!$W$67:$Y$81,2,FALSE)</f>
        <v>#N/A</v>
      </c>
      <c r="AB269" s="54" t="e">
        <f>VLOOKUP(Table37[[#This Row],[MONTH]],TAGS!$W$67:$Y$81,3,FALSE)</f>
        <v>#N/A</v>
      </c>
      <c r="AC269" s="54" t="e">
        <f>VLOOKUP(Table37[[#This Row],[MONTH]],TAGS!$W$67:$Z$81,4,FALSE)</f>
        <v>#N/A</v>
      </c>
      <c r="AD269" s="60">
        <v>250596</v>
      </c>
      <c r="AE269" s="60"/>
      <c r="AF269" s="54">
        <f>SUM(Table37[[#This Row],[MOOE (Php ''000)]:[CO (Php ''000)]])</f>
        <v>250596</v>
      </c>
      <c r="AG269" s="72" t="b">
        <f>ISBLANK(Table37[[#This Row],[PRPOPOSAL/BEDS]])</f>
        <v>0</v>
      </c>
      <c r="AH269" s="72" t="b">
        <f>ISBLANK(Table37[[#This Row],[OU]])</f>
        <v>0</v>
      </c>
      <c r="AI269" s="72" t="b">
        <f>ISBLANK(Table37[[#This Row],[SPECIFIC COMMODITY]])</f>
        <v>0</v>
      </c>
      <c r="AJ269" s="72" t="b">
        <f>ISBLANK(Table37[[#This Row],[COMMODITY PREXC SUB-PROGRAM]])</f>
        <v>0</v>
      </c>
      <c r="AK269" s="72" t="b">
        <f>ISBLANK(Table37[[#This Row],[ACTIVITY]])</f>
        <v>0</v>
      </c>
      <c r="AL269" s="72" t="b">
        <f>ISBLANK(Table37[[#This Row],[TAG-GAD]])</f>
        <v>1</v>
      </c>
      <c r="AM269" s="72" t="b">
        <f>ISBLANK(Table37[[#This Row],[MONTH]])</f>
        <v>1</v>
      </c>
      <c r="AN269" s="72" t="b">
        <f>ISBLANK(Table37[[#This Row],[MOOE (Php ''000)]])</f>
        <v>0</v>
      </c>
      <c r="AO269" s="72" t="b">
        <f>ISBLANK(Table37[[#This Row],[CO (Php ''000)]])</f>
        <v>1</v>
      </c>
    </row>
    <row r="270" spans="1:41">
      <c r="A270" s="54" t="str">
        <f>VLOOKUP(Table37[[#This Row],[OU]],OU!$A$15:$B$34,2,FALSE)</f>
        <v>RFOs</v>
      </c>
      <c r="B270" s="60" t="s">
        <v>436</v>
      </c>
      <c r="C270" s="47" t="s">
        <v>574</v>
      </c>
      <c r="D270" s="60" t="s">
        <v>578</v>
      </c>
      <c r="E270" s="54" t="str">
        <f>VLOOKUP(Table37[[#This Row],[SPECIFIC COMMODITY]],TAGS!$W$48:$X$53,2,FALSE)</f>
        <v>Corn</v>
      </c>
      <c r="F270" s="54" t="str">
        <f>VLOOKUP(Table37[[#This Row],[PREXC SUB-PROGRAM]],Table5[],2,FALSE)</f>
        <v>TECHNICAL AND SUPPORT SERVICES PROGRAM</v>
      </c>
      <c r="G270" s="54" t="str">
        <f>VLOOKUP(Table37[[#This Row],[COMMODITY PREXC SUB-PROGRAM]],TAGS!$U$54:$V$76,2,FALSE)</f>
        <v>PSS</v>
      </c>
      <c r="H270" s="60" t="s">
        <v>576</v>
      </c>
      <c r="I270" s="54" t="str">
        <f>VLOOKUP(Table37[[#This Row],[PI LEVEL 3]],'PI LEVEL'!A:C,3,FALSE)</f>
        <v>Fertilizers and other soil ammendment distributed</v>
      </c>
      <c r="J270" s="54" t="str">
        <f>VLOOKUP(Table37[[#This Row],[PI LEVEL 3]],Table53729[[Performance Indicator Level 3]:[Performance Indicator Level 1]],2,FALSE)</f>
        <v>Fertilizers distributed</v>
      </c>
      <c r="K270" s="54" t="str">
        <f>VLOOKUP(Table37[[#This Row],[ACTIVITY]],TAGS!B:P,2,FALSE)</f>
        <v>Inorganic fertilizer distributed</v>
      </c>
      <c r="L270" s="60" t="s">
        <v>36</v>
      </c>
      <c r="M270" s="54" t="str">
        <f>VLOOKUP(Table37[[#This Row],[ACTIVITY]],TAGS!$B:$P,4,FALSE)</f>
        <v>Yellow Corn Production Enhancement Project</v>
      </c>
      <c r="N270" s="54" t="str">
        <f>VLOOKUP(Table37[[#This Row],[ACTIVITY]],TAGS!$B:$P,5,FALSE)</f>
        <v>Soil Fertilization</v>
      </c>
      <c r="O270" s="54" t="str">
        <f>VLOOKUP(Table37[[#This Row],[ACTIVITY]],TAGS!$B:$P,6,FALSE)</f>
        <v>Inorganic fertilizer</v>
      </c>
      <c r="P270" s="54" t="str">
        <f>VLOOKUP(Table37[[#This Row],[ACTIVITY]],TAGS!$B:$P,7,FALSE)</f>
        <v>NO</v>
      </c>
      <c r="Q270" s="54" t="str">
        <f>VLOOKUP(Table37[[#This Row],[ACTIVITY]],TAGS!$B:$P,8,FALSE)</f>
        <v>PAP</v>
      </c>
      <c r="R270" s="54" t="str">
        <f>VLOOKUP(Table37[[#This Row],[ACTIVITY]],TAGS!$B:$P,10,FALSE)</f>
        <v>PIP</v>
      </c>
      <c r="S270" s="54" t="str">
        <f>VLOOKUP(Table37[[#This Row],[ACTIVITY]],TAGS!$B:$P,11,FALSE)</f>
        <v>PICS</v>
      </c>
      <c r="T270" s="54" t="str">
        <f>VLOOKUP(Table37[[#This Row],[ACTIVITY]],TAGS!$B:$P,12,FALSE)</f>
        <v>Consolidation</v>
      </c>
      <c r="U270" s="54" t="str">
        <f>VLOOKUP(Table37[[#This Row],[ACTIVITY]],TAGS!$B:$P,13,FALSE)</f>
        <v>1. Bayanihan Agri Cluster</v>
      </c>
      <c r="V270" s="54" t="str">
        <f>VLOOKUP(Table37[[#This Row],[ACTIVITY]],TAGS!$B:$P,14,FALSE)</f>
        <v>EXPAND AND IMPROVE AVAILABLE AGRI-FISHERY AREAS FOR INCREASED PRODUCTION</v>
      </c>
      <c r="W270" s="54" t="str">
        <f>VLOOKUP(Table37[[#This Row],[ACTIVITY]],TAGS!$B:$P,15,FALSE)</f>
        <v>Farm Inputs</v>
      </c>
      <c r="X270" s="54" t="str">
        <f>VLOOKUP(Table37[[#This Row],[PI LEVEL 3]],'PI LEVEL'!$A:$G,7,FALSE)</f>
        <v>DA-Level Output</v>
      </c>
      <c r="Y270" s="60"/>
      <c r="Z270" s="60"/>
      <c r="AA270" s="54" t="e">
        <f>VLOOKUP(Table37[[#This Row],[MONTH]],TAGS!$W$67:$Y$81,2,FALSE)</f>
        <v>#N/A</v>
      </c>
      <c r="AB270" s="54" t="e">
        <f>VLOOKUP(Table37[[#This Row],[MONTH]],TAGS!$W$67:$Y$81,3,FALSE)</f>
        <v>#N/A</v>
      </c>
      <c r="AC270" s="54" t="e">
        <f>VLOOKUP(Table37[[#This Row],[MONTH]],TAGS!$W$67:$Z$81,4,FALSE)</f>
        <v>#N/A</v>
      </c>
      <c r="AD270" s="60">
        <v>121500</v>
      </c>
      <c r="AE270" s="60"/>
      <c r="AF270" s="54">
        <f>SUM(Table37[[#This Row],[MOOE (Php ''000)]:[CO (Php ''000)]])</f>
        <v>121500</v>
      </c>
      <c r="AG270" s="72" t="b">
        <f>ISBLANK(Table37[[#This Row],[PRPOPOSAL/BEDS]])</f>
        <v>0</v>
      </c>
      <c r="AH270" s="72" t="b">
        <f>ISBLANK(Table37[[#This Row],[OU]])</f>
        <v>0</v>
      </c>
      <c r="AI270" s="72" t="b">
        <f>ISBLANK(Table37[[#This Row],[SPECIFIC COMMODITY]])</f>
        <v>0</v>
      </c>
      <c r="AJ270" s="72" t="b">
        <f>ISBLANK(Table37[[#This Row],[COMMODITY PREXC SUB-PROGRAM]])</f>
        <v>0</v>
      </c>
      <c r="AK270" s="72" t="b">
        <f>ISBLANK(Table37[[#This Row],[ACTIVITY]])</f>
        <v>0</v>
      </c>
      <c r="AL270" s="72" t="b">
        <f>ISBLANK(Table37[[#This Row],[TAG-GAD]])</f>
        <v>1</v>
      </c>
      <c r="AM270" s="72" t="b">
        <f>ISBLANK(Table37[[#This Row],[MONTH]])</f>
        <v>1</v>
      </c>
      <c r="AN270" s="72" t="b">
        <f>ISBLANK(Table37[[#This Row],[MOOE (Php ''000)]])</f>
        <v>0</v>
      </c>
      <c r="AO270" s="72" t="b">
        <f>ISBLANK(Table37[[#This Row],[CO (Php ''000)]])</f>
        <v>1</v>
      </c>
    </row>
    <row r="271" spans="1:41">
      <c r="A271" s="54" t="str">
        <f>VLOOKUP(Table37[[#This Row],[OU]],OU!$A$15:$B$34,2,FALSE)</f>
        <v>RFOs</v>
      </c>
      <c r="B271" s="60" t="s">
        <v>436</v>
      </c>
      <c r="C271" s="47" t="s">
        <v>574</v>
      </c>
      <c r="D271" s="60" t="s">
        <v>578</v>
      </c>
      <c r="E271" s="54" t="str">
        <f>VLOOKUP(Table37[[#This Row],[SPECIFIC COMMODITY]],TAGS!$W$48:$X$53,2,FALSE)</f>
        <v>Corn</v>
      </c>
      <c r="F271" s="54" t="str">
        <f>VLOOKUP(Table37[[#This Row],[PREXC SUB-PROGRAM]],Table5[],2,FALSE)</f>
        <v>TECHNICAL AND SUPPORT SERVICES PROGRAM</v>
      </c>
      <c r="G271" s="54" t="str">
        <f>VLOOKUP(Table37[[#This Row],[COMMODITY PREXC SUB-PROGRAM]],TAGS!$U$54:$V$76,2,FALSE)</f>
        <v>PSS</v>
      </c>
      <c r="H271" s="60" t="s">
        <v>576</v>
      </c>
      <c r="I271" s="54" t="str">
        <f>VLOOKUP(Table37[[#This Row],[PI LEVEL 3]],'PI LEVEL'!A:C,3,FALSE)</f>
        <v>Fertilizers and other soil ammendment distributed</v>
      </c>
      <c r="J271" s="54" t="str">
        <f>VLOOKUP(Table37[[#This Row],[PI LEVEL 3]],Table53729[[Performance Indicator Level 3]:[Performance Indicator Level 1]],2,FALSE)</f>
        <v>Fertilizers distributed</v>
      </c>
      <c r="K271" s="54" t="str">
        <f>VLOOKUP(Table37[[#This Row],[ACTIVITY]],TAGS!B:P,2,FALSE)</f>
        <v>Inorganic fertilizer distributed</v>
      </c>
      <c r="L271" s="60" t="s">
        <v>28</v>
      </c>
      <c r="M271" s="54" t="str">
        <f>VLOOKUP(Table37[[#This Row],[ACTIVITY]],TAGS!$B:$P,4,FALSE)</f>
        <v>Recommended Corn Production Technology</v>
      </c>
      <c r="N271" s="54" t="str">
        <f>VLOOKUP(Table37[[#This Row],[ACTIVITY]],TAGS!$B:$P,5,FALSE)</f>
        <v>Soil Fertilization</v>
      </c>
      <c r="O271" s="54" t="str">
        <f>VLOOKUP(Table37[[#This Row],[ACTIVITY]],TAGS!$B:$P,6,FALSE)</f>
        <v>Inorganic fertilizer</v>
      </c>
      <c r="P271" s="54" t="str">
        <f>VLOOKUP(Table37[[#This Row],[ACTIVITY]],TAGS!$B:$P,7,FALSE)</f>
        <v>NO</v>
      </c>
      <c r="Q271" s="54" t="str">
        <f>VLOOKUP(Table37[[#This Row],[ACTIVITY]],TAGS!$B:$P,8,FALSE)</f>
        <v>PAP</v>
      </c>
      <c r="R271" s="54" t="str">
        <f>VLOOKUP(Table37[[#This Row],[ACTIVITY]],TAGS!$B:$P,10,FALSE)</f>
        <v>PIP</v>
      </c>
      <c r="S271" s="54" t="str">
        <f>VLOOKUP(Table37[[#This Row],[ACTIVITY]],TAGS!$B:$P,11,FALSE)</f>
        <v>PICS</v>
      </c>
      <c r="T271" s="54" t="str">
        <f>VLOOKUP(Table37[[#This Row],[ACTIVITY]],TAGS!$B:$P,12,FALSE)</f>
        <v>Consolidation</v>
      </c>
      <c r="U271" s="54" t="str">
        <f>VLOOKUP(Table37[[#This Row],[ACTIVITY]],TAGS!$B:$P,13,FALSE)</f>
        <v>1. Bayanihan Agri Cluster</v>
      </c>
      <c r="V271" s="54" t="str">
        <f>VLOOKUP(Table37[[#This Row],[ACTIVITY]],TAGS!$B:$P,14,FALSE)</f>
        <v>EXPAND AND IMPROVE AVAILABLE AGRI-FISHERY AREAS FOR INCREASED PRODUCTION</v>
      </c>
      <c r="W271" s="54" t="str">
        <f>VLOOKUP(Table37[[#This Row],[ACTIVITY]],TAGS!$B:$P,15,FALSE)</f>
        <v>Farm Inputs</v>
      </c>
      <c r="X271" s="54" t="str">
        <f>VLOOKUP(Table37[[#This Row],[PI LEVEL 3]],'PI LEVEL'!$A:$G,7,FALSE)</f>
        <v>DA-Level Output</v>
      </c>
      <c r="Y271" s="60"/>
      <c r="Z271" s="60"/>
      <c r="AA271" s="54" t="e">
        <f>VLOOKUP(Table37[[#This Row],[MONTH]],TAGS!$W$67:$Y$81,2,FALSE)</f>
        <v>#N/A</v>
      </c>
      <c r="AB271" s="54" t="e">
        <f>VLOOKUP(Table37[[#This Row],[MONTH]],TAGS!$W$67:$Y$81,3,FALSE)</f>
        <v>#N/A</v>
      </c>
      <c r="AC271" s="54" t="e">
        <f>VLOOKUP(Table37[[#This Row],[MONTH]],TAGS!$W$67:$Z$81,4,FALSE)</f>
        <v>#N/A</v>
      </c>
      <c r="AD271" s="60">
        <v>24750</v>
      </c>
      <c r="AE271" s="60"/>
      <c r="AF271" s="54">
        <f>SUM(Table37[[#This Row],[MOOE (Php ''000)]:[CO (Php ''000)]])</f>
        <v>24750</v>
      </c>
      <c r="AG271" s="72" t="b">
        <f>ISBLANK(Table37[[#This Row],[PRPOPOSAL/BEDS]])</f>
        <v>0</v>
      </c>
      <c r="AH271" s="72" t="b">
        <f>ISBLANK(Table37[[#This Row],[OU]])</f>
        <v>0</v>
      </c>
      <c r="AI271" s="72" t="b">
        <f>ISBLANK(Table37[[#This Row],[SPECIFIC COMMODITY]])</f>
        <v>0</v>
      </c>
      <c r="AJ271" s="72" t="b">
        <f>ISBLANK(Table37[[#This Row],[COMMODITY PREXC SUB-PROGRAM]])</f>
        <v>0</v>
      </c>
      <c r="AK271" s="72" t="b">
        <f>ISBLANK(Table37[[#This Row],[ACTIVITY]])</f>
        <v>0</v>
      </c>
      <c r="AL271" s="72" t="b">
        <f>ISBLANK(Table37[[#This Row],[TAG-GAD]])</f>
        <v>1</v>
      </c>
      <c r="AM271" s="72" t="b">
        <f>ISBLANK(Table37[[#This Row],[MONTH]])</f>
        <v>1</v>
      </c>
      <c r="AN271" s="72" t="b">
        <f>ISBLANK(Table37[[#This Row],[MOOE (Php ''000)]])</f>
        <v>0</v>
      </c>
      <c r="AO271" s="72" t="b">
        <f>ISBLANK(Table37[[#This Row],[CO (Php ''000)]])</f>
        <v>1</v>
      </c>
    </row>
    <row r="272" spans="1:41">
      <c r="A272" s="54" t="str">
        <f>VLOOKUP(Table37[[#This Row],[OU]],OU!$A$15:$B$34,2,FALSE)</f>
        <v>RFOs</v>
      </c>
      <c r="B272" s="60" t="s">
        <v>436</v>
      </c>
      <c r="C272" s="47" t="s">
        <v>574</v>
      </c>
      <c r="D272" s="60" t="s">
        <v>578</v>
      </c>
      <c r="E272" s="54" t="str">
        <f>VLOOKUP(Table37[[#This Row],[SPECIFIC COMMODITY]],TAGS!$W$48:$X$53,2,FALSE)</f>
        <v>Corn</v>
      </c>
      <c r="F272" s="54" t="str">
        <f>VLOOKUP(Table37[[#This Row],[PREXC SUB-PROGRAM]],Table5[],2,FALSE)</f>
        <v>TECHNICAL AND SUPPORT SERVICES PROGRAM</v>
      </c>
      <c r="G272" s="54" t="str">
        <f>VLOOKUP(Table37[[#This Row],[COMMODITY PREXC SUB-PROGRAM]],TAGS!$U$54:$V$76,2,FALSE)</f>
        <v>PSS</v>
      </c>
      <c r="H272" s="60" t="s">
        <v>576</v>
      </c>
      <c r="I272" s="54" t="str">
        <f>VLOOKUP(Table37[[#This Row],[PI LEVEL 3]],'PI LEVEL'!A:C,3,FALSE)</f>
        <v>Agri-chemicals reserved</v>
      </c>
      <c r="J272" s="54" t="str">
        <f>VLOOKUP(Table37[[#This Row],[PI LEVEL 3]],Table53729[[Performance Indicator Level 3]:[Performance Indicator Level 1]],2,FALSE)</f>
        <v>Agri-chemicals reserved</v>
      </c>
      <c r="K272" s="54" t="str">
        <f>VLOOKUP(Table37[[#This Row],[ACTIVITY]],TAGS!B:P,2,FALSE)</f>
        <v>Agri-chemicals reserved (liter)</v>
      </c>
      <c r="L272" s="60" t="s">
        <v>86</v>
      </c>
      <c r="M272" s="54" t="str">
        <f>VLOOKUP(Table37[[#This Row],[ACTIVITY]],TAGS!$B:$P,4,FALSE)</f>
        <v>Pest and Disease Management</v>
      </c>
      <c r="N272" s="54" t="str">
        <f>VLOOKUP(Table37[[#This Row],[ACTIVITY]],TAGS!$B:$P,5,FALSE)</f>
        <v>Agricultural Chemicals</v>
      </c>
      <c r="O272" s="54" t="str">
        <f>VLOOKUP(Table37[[#This Row],[ACTIVITY]],TAGS!$B:$P,6,FALSE)</f>
        <v>Insecticide (liquid)</v>
      </c>
      <c r="P272" s="54" t="str">
        <f>VLOOKUP(Table37[[#This Row],[ACTIVITY]],TAGS!$B:$P,7,FALSE)</f>
        <v>NO</v>
      </c>
      <c r="Q272" s="54" t="str">
        <f>VLOOKUP(Table37[[#This Row],[ACTIVITY]],TAGS!$B:$P,8,FALSE)</f>
        <v>PAP</v>
      </c>
      <c r="R272" s="54" t="str">
        <f>VLOOKUP(Table37[[#This Row],[ACTIVITY]],TAGS!$B:$P,10,FALSE)</f>
        <v>PIP</v>
      </c>
      <c r="S272" s="54" t="str">
        <f>VLOOKUP(Table37[[#This Row],[ACTIVITY]],TAGS!$B:$P,11,FALSE)</f>
        <v>PICS</v>
      </c>
      <c r="T272" s="54" t="str">
        <f>VLOOKUP(Table37[[#This Row],[ACTIVITY]],TAGS!$B:$P,12,FALSE)</f>
        <v>Modernization</v>
      </c>
      <c r="U272" s="54" t="str">
        <f>VLOOKUP(Table37[[#This Row],[ACTIVITY]],TAGS!$B:$P,13,FALSE)</f>
        <v>9. Climate Change Adaptation &amp; Mitigation Measures</v>
      </c>
      <c r="V272" s="54" t="str">
        <f>VLOOKUP(Table37[[#This Row],[ACTIVITY]],TAGS!$B:$P,14,FALSE)</f>
        <v>EXPAND AND IMPROVE AVAILABLE AGRI-FISHERY AREAS FOR INCREASED PRODUCTION</v>
      </c>
      <c r="W272" s="54" t="str">
        <f>VLOOKUP(Table37[[#This Row],[ACTIVITY]],TAGS!$B:$P,15,FALSE)</f>
        <v>Agrichemicals</v>
      </c>
      <c r="X272" s="54" t="str">
        <f>VLOOKUP(Table37[[#This Row],[PI LEVEL 3]],'PI LEVEL'!$A:$G,7,FALSE)</f>
        <v>DA-Level Output</v>
      </c>
      <c r="Y272" s="60"/>
      <c r="Z272" s="60"/>
      <c r="AA272" s="54" t="e">
        <f>VLOOKUP(Table37[[#This Row],[MONTH]],TAGS!$W$67:$Y$81,2,FALSE)</f>
        <v>#N/A</v>
      </c>
      <c r="AB272" s="54" t="e">
        <f>VLOOKUP(Table37[[#This Row],[MONTH]],TAGS!$W$67:$Y$81,3,FALSE)</f>
        <v>#N/A</v>
      </c>
      <c r="AC272" s="54" t="e">
        <f>VLOOKUP(Table37[[#This Row],[MONTH]],TAGS!$W$67:$Z$81,4,FALSE)</f>
        <v>#N/A</v>
      </c>
      <c r="AD272" s="60">
        <v>6000</v>
      </c>
      <c r="AE272" s="60"/>
      <c r="AF272" s="54">
        <f>SUM(Table37[[#This Row],[MOOE (Php ''000)]:[CO (Php ''000)]])</f>
        <v>6000</v>
      </c>
      <c r="AG272" s="72" t="b">
        <f>ISBLANK(Table37[[#This Row],[PRPOPOSAL/BEDS]])</f>
        <v>0</v>
      </c>
      <c r="AH272" s="72" t="b">
        <f>ISBLANK(Table37[[#This Row],[OU]])</f>
        <v>0</v>
      </c>
      <c r="AI272" s="72" t="b">
        <f>ISBLANK(Table37[[#This Row],[SPECIFIC COMMODITY]])</f>
        <v>0</v>
      </c>
      <c r="AJ272" s="72" t="b">
        <f>ISBLANK(Table37[[#This Row],[COMMODITY PREXC SUB-PROGRAM]])</f>
        <v>0</v>
      </c>
      <c r="AK272" s="72" t="b">
        <f>ISBLANK(Table37[[#This Row],[ACTIVITY]])</f>
        <v>0</v>
      </c>
      <c r="AL272" s="72" t="b">
        <f>ISBLANK(Table37[[#This Row],[TAG-GAD]])</f>
        <v>1</v>
      </c>
      <c r="AM272" s="72" t="b">
        <f>ISBLANK(Table37[[#This Row],[MONTH]])</f>
        <v>1</v>
      </c>
      <c r="AN272" s="72" t="b">
        <f>ISBLANK(Table37[[#This Row],[MOOE (Php ''000)]])</f>
        <v>0</v>
      </c>
      <c r="AO272" s="72" t="b">
        <f>ISBLANK(Table37[[#This Row],[CO (Php ''000)]])</f>
        <v>1</v>
      </c>
    </row>
    <row r="273" spans="1:41">
      <c r="A273" s="54" t="str">
        <f>VLOOKUP(Table37[[#This Row],[OU]],OU!$A$15:$B$34,2,FALSE)</f>
        <v>RFOs</v>
      </c>
      <c r="B273" s="60" t="s">
        <v>436</v>
      </c>
      <c r="C273" s="47" t="s">
        <v>574</v>
      </c>
      <c r="D273" s="60" t="s">
        <v>578</v>
      </c>
      <c r="E273" s="54" t="str">
        <f>VLOOKUP(Table37[[#This Row],[SPECIFIC COMMODITY]],TAGS!$W$48:$X$53,2,FALSE)</f>
        <v>Corn</v>
      </c>
      <c r="F273" s="54" t="str">
        <f>VLOOKUP(Table37[[#This Row],[PREXC SUB-PROGRAM]],Table5[],2,FALSE)</f>
        <v>TECHNICAL AND SUPPORT SERVICES PROGRAM</v>
      </c>
      <c r="G273" s="54" t="str">
        <f>VLOOKUP(Table37[[#This Row],[COMMODITY PREXC SUB-PROGRAM]],TAGS!$U$54:$V$76,2,FALSE)</f>
        <v>PSS</v>
      </c>
      <c r="H273" s="60" t="s">
        <v>576</v>
      </c>
      <c r="I273" s="54" t="str">
        <f>VLOOKUP(Table37[[#This Row],[PI LEVEL 3]],'PI LEVEL'!A:C,3,FALSE)</f>
        <v>Agri-chemicals reserved</v>
      </c>
      <c r="J273" s="54" t="str">
        <f>VLOOKUP(Table37[[#This Row],[PI LEVEL 3]],Table53729[[Performance Indicator Level 3]:[Performance Indicator Level 1]],2,FALSE)</f>
        <v>Agri-chemicals reserved</v>
      </c>
      <c r="K273" s="54" t="str">
        <f>VLOOKUP(Table37[[#This Row],[ACTIVITY]],TAGS!B:P,2,FALSE)</f>
        <v>Agri-chemicals reserved (kg)</v>
      </c>
      <c r="L273" s="60" t="s">
        <v>88</v>
      </c>
      <c r="M273" s="54" t="str">
        <f>VLOOKUP(Table37[[#This Row],[ACTIVITY]],TAGS!$B:$P,4,FALSE)</f>
        <v>Pest and Disease Management</v>
      </c>
      <c r="N273" s="54" t="str">
        <f>VLOOKUP(Table37[[#This Row],[ACTIVITY]],TAGS!$B:$P,5,FALSE)</f>
        <v>Agricultural Chemicals</v>
      </c>
      <c r="O273" s="54" t="str">
        <f>VLOOKUP(Table37[[#This Row],[ACTIVITY]],TAGS!$B:$P,6,FALSE)</f>
        <v>Rodenticides</v>
      </c>
      <c r="P273" s="54" t="str">
        <f>VLOOKUP(Table37[[#This Row],[ACTIVITY]],TAGS!$B:$P,7,FALSE)</f>
        <v>NO</v>
      </c>
      <c r="Q273" s="54" t="str">
        <f>VLOOKUP(Table37[[#This Row],[ACTIVITY]],TAGS!$B:$P,8,FALSE)</f>
        <v>PAP</v>
      </c>
      <c r="R273" s="54" t="str">
        <f>VLOOKUP(Table37[[#This Row],[ACTIVITY]],TAGS!$B:$P,10,FALSE)</f>
        <v>PIP</v>
      </c>
      <c r="S273" s="54" t="str">
        <f>VLOOKUP(Table37[[#This Row],[ACTIVITY]],TAGS!$B:$P,11,FALSE)</f>
        <v>PICS</v>
      </c>
      <c r="T273" s="54" t="str">
        <f>VLOOKUP(Table37[[#This Row],[ACTIVITY]],TAGS!$B:$P,12,FALSE)</f>
        <v>Modernization</v>
      </c>
      <c r="U273" s="54" t="str">
        <f>VLOOKUP(Table37[[#This Row],[ACTIVITY]],TAGS!$B:$P,13,FALSE)</f>
        <v>9. Climate Change Adaptation &amp; Mitigation Measures</v>
      </c>
      <c r="V273" s="54" t="str">
        <f>VLOOKUP(Table37[[#This Row],[ACTIVITY]],TAGS!$B:$P,14,FALSE)</f>
        <v>EXPAND AND IMPROVE AVAILABLE AGRI-FISHERY AREAS FOR INCREASED PRODUCTION</v>
      </c>
      <c r="W273" s="54" t="str">
        <f>VLOOKUP(Table37[[#This Row],[ACTIVITY]],TAGS!$B:$P,15,FALSE)</f>
        <v>Agrichemicals</v>
      </c>
      <c r="X273" s="54" t="str">
        <f>VLOOKUP(Table37[[#This Row],[PI LEVEL 3]],'PI LEVEL'!$A:$G,7,FALSE)</f>
        <v>DA-Level Output</v>
      </c>
      <c r="Y273" s="60"/>
      <c r="Z273" s="60"/>
      <c r="AA273" s="54" t="e">
        <f>VLOOKUP(Table37[[#This Row],[MONTH]],TAGS!$W$67:$Y$81,2,FALSE)</f>
        <v>#N/A</v>
      </c>
      <c r="AB273" s="54" t="e">
        <f>VLOOKUP(Table37[[#This Row],[MONTH]],TAGS!$W$67:$Y$81,3,FALSE)</f>
        <v>#N/A</v>
      </c>
      <c r="AC273" s="54" t="e">
        <f>VLOOKUP(Table37[[#This Row],[MONTH]],TAGS!$W$67:$Z$81,4,FALSE)</f>
        <v>#N/A</v>
      </c>
      <c r="AD273" s="60">
        <v>1500</v>
      </c>
      <c r="AE273" s="60"/>
      <c r="AF273" s="54">
        <f>SUM(Table37[[#This Row],[MOOE (Php ''000)]:[CO (Php ''000)]])</f>
        <v>1500</v>
      </c>
      <c r="AG273" s="72" t="b">
        <f>ISBLANK(Table37[[#This Row],[PRPOPOSAL/BEDS]])</f>
        <v>0</v>
      </c>
      <c r="AH273" s="72" t="b">
        <f>ISBLANK(Table37[[#This Row],[OU]])</f>
        <v>0</v>
      </c>
      <c r="AI273" s="72" t="b">
        <f>ISBLANK(Table37[[#This Row],[SPECIFIC COMMODITY]])</f>
        <v>0</v>
      </c>
      <c r="AJ273" s="72" t="b">
        <f>ISBLANK(Table37[[#This Row],[COMMODITY PREXC SUB-PROGRAM]])</f>
        <v>0</v>
      </c>
      <c r="AK273" s="72" t="b">
        <f>ISBLANK(Table37[[#This Row],[ACTIVITY]])</f>
        <v>0</v>
      </c>
      <c r="AL273" s="72" t="b">
        <f>ISBLANK(Table37[[#This Row],[TAG-GAD]])</f>
        <v>1</v>
      </c>
      <c r="AM273" s="72" t="b">
        <f>ISBLANK(Table37[[#This Row],[MONTH]])</f>
        <v>1</v>
      </c>
      <c r="AN273" s="72" t="b">
        <f>ISBLANK(Table37[[#This Row],[MOOE (Php ''000)]])</f>
        <v>0</v>
      </c>
      <c r="AO273" s="72" t="b">
        <f>ISBLANK(Table37[[#This Row],[CO (Php ''000)]])</f>
        <v>1</v>
      </c>
    </row>
    <row r="274" spans="1:41">
      <c r="A274" s="54" t="str">
        <f>VLOOKUP(Table37[[#This Row],[OU]],OU!$A$15:$B$34,2,FALSE)</f>
        <v>RFOs</v>
      </c>
      <c r="B274" s="60" t="s">
        <v>436</v>
      </c>
      <c r="C274" s="47" t="s">
        <v>574</v>
      </c>
      <c r="D274" s="60" t="s">
        <v>578</v>
      </c>
      <c r="E274" s="54" t="str">
        <f>VLOOKUP(Table37[[#This Row],[SPECIFIC COMMODITY]],TAGS!$W$48:$X$53,2,FALSE)</f>
        <v>Corn</v>
      </c>
      <c r="F274" s="54" t="str">
        <f>VLOOKUP(Table37[[#This Row],[PREXC SUB-PROGRAM]],Table5[],2,FALSE)</f>
        <v>TECHNICAL AND SUPPORT SERVICES PROGRAM</v>
      </c>
      <c r="G274" s="54" t="str">
        <f>VLOOKUP(Table37[[#This Row],[COMMODITY PREXC SUB-PROGRAM]],TAGS!$U$54:$V$76,2,FALSE)</f>
        <v>PSS</v>
      </c>
      <c r="H274" s="60" t="s">
        <v>576</v>
      </c>
      <c r="I274" s="54" t="str">
        <f>VLOOKUP(Table37[[#This Row],[PI LEVEL 3]],'PI LEVEL'!A:C,3,FALSE)</f>
        <v>Agri-chemicals reserved</v>
      </c>
      <c r="J274" s="54" t="str">
        <f>VLOOKUP(Table37[[#This Row],[PI LEVEL 3]],Table53729[[Performance Indicator Level 3]:[Performance Indicator Level 1]],2,FALSE)</f>
        <v>Agri-chemicals reserved</v>
      </c>
      <c r="K274" s="54" t="str">
        <f>VLOOKUP(Table37[[#This Row],[ACTIVITY]],TAGS!B:P,2,FALSE)</f>
        <v>Agri-chemicals reserved (pc)</v>
      </c>
      <c r="L274" s="60" t="s">
        <v>90</v>
      </c>
      <c r="M274" s="54" t="str">
        <f>VLOOKUP(Table37[[#This Row],[ACTIVITY]],TAGS!$B:$P,4,FALSE)</f>
        <v>Pest and Disease Management</v>
      </c>
      <c r="N274" s="54" t="str">
        <f>VLOOKUP(Table37[[#This Row],[ACTIVITY]],TAGS!$B:$P,5,FALSE)</f>
        <v>Agricultural Chemicals</v>
      </c>
      <c r="O274" s="54" t="str">
        <f>VLOOKUP(Table37[[#This Row],[ACTIVITY]],TAGS!$B:$P,6,FALSE)</f>
        <v>Pheromone lure</v>
      </c>
      <c r="P274" s="54" t="str">
        <f>VLOOKUP(Table37[[#This Row],[ACTIVITY]],TAGS!$B:$P,7,FALSE)</f>
        <v>NO</v>
      </c>
      <c r="Q274" s="54" t="str">
        <f>VLOOKUP(Table37[[#This Row],[ACTIVITY]],TAGS!$B:$P,8,FALSE)</f>
        <v>PAP</v>
      </c>
      <c r="R274" s="54" t="str">
        <f>VLOOKUP(Table37[[#This Row],[ACTIVITY]],TAGS!$B:$P,10,FALSE)</f>
        <v>PIP</v>
      </c>
      <c r="S274" s="54" t="str">
        <f>VLOOKUP(Table37[[#This Row],[ACTIVITY]],TAGS!$B:$P,11,FALSE)</f>
        <v>PICS</v>
      </c>
      <c r="T274" s="54" t="str">
        <f>VLOOKUP(Table37[[#This Row],[ACTIVITY]],TAGS!$B:$P,12,FALSE)</f>
        <v>Modernization</v>
      </c>
      <c r="U274" s="54" t="str">
        <f>VLOOKUP(Table37[[#This Row],[ACTIVITY]],TAGS!$B:$P,13,FALSE)</f>
        <v>9. Climate Change Adaptation &amp; Mitigation Measures</v>
      </c>
      <c r="V274" s="54" t="str">
        <f>VLOOKUP(Table37[[#This Row],[ACTIVITY]],TAGS!$B:$P,14,FALSE)</f>
        <v>EXPAND AND IMPROVE AVAILABLE AGRI-FISHERY AREAS FOR INCREASED PRODUCTION</v>
      </c>
      <c r="W274" s="54" t="str">
        <f>VLOOKUP(Table37[[#This Row],[ACTIVITY]],TAGS!$B:$P,15,FALSE)</f>
        <v>Agrichemicals</v>
      </c>
      <c r="X274" s="54" t="str">
        <f>VLOOKUP(Table37[[#This Row],[PI LEVEL 3]],'PI LEVEL'!$A:$G,7,FALSE)</f>
        <v>DA-Level Output</v>
      </c>
      <c r="Y274" s="60"/>
      <c r="Z274" s="60"/>
      <c r="AA274" s="54" t="e">
        <f>VLOOKUP(Table37[[#This Row],[MONTH]],TAGS!$W$67:$Y$81,2,FALSE)</f>
        <v>#N/A</v>
      </c>
      <c r="AB274" s="54" t="e">
        <f>VLOOKUP(Table37[[#This Row],[MONTH]],TAGS!$W$67:$Y$81,3,FALSE)</f>
        <v>#N/A</v>
      </c>
      <c r="AC274" s="54" t="e">
        <f>VLOOKUP(Table37[[#This Row],[MONTH]],TAGS!$W$67:$Z$81,4,FALSE)</f>
        <v>#N/A</v>
      </c>
      <c r="AD274" s="60">
        <v>2750</v>
      </c>
      <c r="AE274" s="60"/>
      <c r="AF274" s="54">
        <f>SUM(Table37[[#This Row],[MOOE (Php ''000)]:[CO (Php ''000)]])</f>
        <v>2750</v>
      </c>
      <c r="AG274" s="72" t="b">
        <f>ISBLANK(Table37[[#This Row],[PRPOPOSAL/BEDS]])</f>
        <v>0</v>
      </c>
      <c r="AH274" s="72" t="b">
        <f>ISBLANK(Table37[[#This Row],[OU]])</f>
        <v>0</v>
      </c>
      <c r="AI274" s="72" t="b">
        <f>ISBLANK(Table37[[#This Row],[SPECIFIC COMMODITY]])</f>
        <v>0</v>
      </c>
      <c r="AJ274" s="72" t="b">
        <f>ISBLANK(Table37[[#This Row],[COMMODITY PREXC SUB-PROGRAM]])</f>
        <v>0</v>
      </c>
      <c r="AK274" s="72" t="b">
        <f>ISBLANK(Table37[[#This Row],[ACTIVITY]])</f>
        <v>0</v>
      </c>
      <c r="AL274" s="72" t="b">
        <f>ISBLANK(Table37[[#This Row],[TAG-GAD]])</f>
        <v>1</v>
      </c>
      <c r="AM274" s="72" t="b">
        <f>ISBLANK(Table37[[#This Row],[MONTH]])</f>
        <v>1</v>
      </c>
      <c r="AN274" s="72" t="b">
        <f>ISBLANK(Table37[[#This Row],[MOOE (Php ''000)]])</f>
        <v>0</v>
      </c>
      <c r="AO274" s="72" t="b">
        <f>ISBLANK(Table37[[#This Row],[CO (Php ''000)]])</f>
        <v>1</v>
      </c>
    </row>
    <row r="275" spans="1:41">
      <c r="A275" s="54" t="str">
        <f>VLOOKUP(Table37[[#This Row],[OU]],OU!$A$15:$B$34,2,FALSE)</f>
        <v>RFOs</v>
      </c>
      <c r="B275" s="60" t="s">
        <v>436</v>
      </c>
      <c r="C275" s="47" t="s">
        <v>574</v>
      </c>
      <c r="D275" s="60" t="s">
        <v>578</v>
      </c>
      <c r="E275" s="54" t="str">
        <f>VLOOKUP(Table37[[#This Row],[SPECIFIC COMMODITY]],TAGS!$W$48:$X$53,2,FALSE)</f>
        <v>Corn</v>
      </c>
      <c r="F275" s="54" t="str">
        <f>VLOOKUP(Table37[[#This Row],[PREXC SUB-PROGRAM]],Table5[],2,FALSE)</f>
        <v>TECHNICAL AND SUPPORT SERVICES PROGRAM</v>
      </c>
      <c r="G275" s="54" t="str">
        <f>VLOOKUP(Table37[[#This Row],[COMMODITY PREXC SUB-PROGRAM]],TAGS!$U$54:$V$76,2,FALSE)</f>
        <v>PSS</v>
      </c>
      <c r="H275" s="60" t="s">
        <v>576</v>
      </c>
      <c r="I275" s="54" t="str">
        <f>VLOOKUP(Table37[[#This Row],[PI LEVEL 3]],'PI LEVEL'!A:C,3,FALSE)</f>
        <v>Fertilizers and other soil ammendment distributed</v>
      </c>
      <c r="J275" s="54" t="str">
        <f>VLOOKUP(Table37[[#This Row],[PI LEVEL 3]],Table53729[[Performance Indicator Level 3]:[Performance Indicator Level 1]],2,FALSE)</f>
        <v>Fertilizers distributed</v>
      </c>
      <c r="K275" s="54" t="str">
        <f>VLOOKUP(Table37[[#This Row],[ACTIVITY]],TAGS!B:P,2,FALSE)</f>
        <v>Biofertilizer distributed (pack)</v>
      </c>
      <c r="L275" s="60" t="s">
        <v>30</v>
      </c>
      <c r="M275" s="54" t="str">
        <f>VLOOKUP(Table37[[#This Row],[ACTIVITY]],TAGS!$B:$P,4,FALSE)</f>
        <v>Soil amendments</v>
      </c>
      <c r="N275" s="54" t="str">
        <f>VLOOKUP(Table37[[#This Row],[ACTIVITY]],TAGS!$B:$P,5,FALSE)</f>
        <v>Soil Fertilization</v>
      </c>
      <c r="O275" s="54" t="str">
        <f>VLOOKUP(Table37[[#This Row],[ACTIVITY]],TAGS!$B:$P,6,FALSE)</f>
        <v>Biofertilizer</v>
      </c>
      <c r="P275" s="54" t="str">
        <f>VLOOKUP(Table37[[#This Row],[ACTIVITY]],TAGS!$B:$P,7,FALSE)</f>
        <v>NO</v>
      </c>
      <c r="Q275" s="54" t="str">
        <f>VLOOKUP(Table37[[#This Row],[ACTIVITY]],TAGS!$B:$P,8,FALSE)</f>
        <v>PAP</v>
      </c>
      <c r="R275" s="54" t="str">
        <f>VLOOKUP(Table37[[#This Row],[ACTIVITY]],TAGS!$B:$P,10,FALSE)</f>
        <v>PIP</v>
      </c>
      <c r="S275" s="54" t="str">
        <f>VLOOKUP(Table37[[#This Row],[ACTIVITY]],TAGS!$B:$P,11,FALSE)</f>
        <v>PICS</v>
      </c>
      <c r="T275" s="54" t="str">
        <f>VLOOKUP(Table37[[#This Row],[ACTIVITY]],TAGS!$B:$P,12,FALSE)</f>
        <v>Consolidation</v>
      </c>
      <c r="U275" s="54" t="str">
        <f>VLOOKUP(Table37[[#This Row],[ACTIVITY]],TAGS!$B:$P,13,FALSE)</f>
        <v>1. Bayanihan Agri Cluster</v>
      </c>
      <c r="V275" s="54" t="str">
        <f>VLOOKUP(Table37[[#This Row],[ACTIVITY]],TAGS!$B:$P,14,FALSE)</f>
        <v>EXPAND AND IMPROVE AVAILABLE AGRI-FISHERY AREAS FOR INCREASED PRODUCTION</v>
      </c>
      <c r="W275" s="54" t="str">
        <f>VLOOKUP(Table37[[#This Row],[ACTIVITY]],TAGS!$B:$P,15,FALSE)</f>
        <v>Farm Inputs</v>
      </c>
      <c r="X275" s="54" t="str">
        <f>VLOOKUP(Table37[[#This Row],[PI LEVEL 3]],'PI LEVEL'!$A:$G,7,FALSE)</f>
        <v>DA-Level Output</v>
      </c>
      <c r="Y275" s="60"/>
      <c r="Z275" s="60"/>
      <c r="AA275" s="54" t="e">
        <f>VLOOKUP(Table37[[#This Row],[MONTH]],TAGS!$W$67:$Y$81,2,FALSE)</f>
        <v>#N/A</v>
      </c>
      <c r="AB275" s="54" t="e">
        <f>VLOOKUP(Table37[[#This Row],[MONTH]],TAGS!$W$67:$Y$81,3,FALSE)</f>
        <v>#N/A</v>
      </c>
      <c r="AC275" s="54" t="e">
        <f>VLOOKUP(Table37[[#This Row],[MONTH]],TAGS!$W$67:$Z$81,4,FALSE)</f>
        <v>#N/A</v>
      </c>
      <c r="AD275" s="60">
        <v>2720</v>
      </c>
      <c r="AE275" s="60"/>
      <c r="AF275" s="54">
        <f>SUM(Table37[[#This Row],[MOOE (Php ''000)]:[CO (Php ''000)]])</f>
        <v>2720</v>
      </c>
      <c r="AG275" s="72" t="b">
        <f>ISBLANK(Table37[[#This Row],[PRPOPOSAL/BEDS]])</f>
        <v>0</v>
      </c>
      <c r="AH275" s="72" t="b">
        <f>ISBLANK(Table37[[#This Row],[OU]])</f>
        <v>0</v>
      </c>
      <c r="AI275" s="72" t="b">
        <f>ISBLANK(Table37[[#This Row],[SPECIFIC COMMODITY]])</f>
        <v>0</v>
      </c>
      <c r="AJ275" s="72" t="b">
        <f>ISBLANK(Table37[[#This Row],[COMMODITY PREXC SUB-PROGRAM]])</f>
        <v>0</v>
      </c>
      <c r="AK275" s="72" t="b">
        <f>ISBLANK(Table37[[#This Row],[ACTIVITY]])</f>
        <v>0</v>
      </c>
      <c r="AL275" s="72" t="b">
        <f>ISBLANK(Table37[[#This Row],[TAG-GAD]])</f>
        <v>1</v>
      </c>
      <c r="AM275" s="72" t="b">
        <f>ISBLANK(Table37[[#This Row],[MONTH]])</f>
        <v>1</v>
      </c>
      <c r="AN275" s="72" t="b">
        <f>ISBLANK(Table37[[#This Row],[MOOE (Php ''000)]])</f>
        <v>0</v>
      </c>
      <c r="AO275" s="72" t="b">
        <f>ISBLANK(Table37[[#This Row],[CO (Php ''000)]])</f>
        <v>1</v>
      </c>
    </row>
    <row r="276" spans="1:41">
      <c r="A276" s="54" t="str">
        <f>VLOOKUP(Table37[[#This Row],[OU]],OU!$A$15:$B$34,2,FALSE)</f>
        <v>RFOs</v>
      </c>
      <c r="B276" s="60" t="s">
        <v>436</v>
      </c>
      <c r="C276" s="47" t="s">
        <v>574</v>
      </c>
      <c r="D276" s="60" t="s">
        <v>578</v>
      </c>
      <c r="E276" s="54" t="str">
        <f>VLOOKUP(Table37[[#This Row],[SPECIFIC COMMODITY]],TAGS!$W$48:$X$53,2,FALSE)</f>
        <v>Corn</v>
      </c>
      <c r="F276" s="54" t="str">
        <f>VLOOKUP(Table37[[#This Row],[PREXC SUB-PROGRAM]],Table5[],2,FALSE)</f>
        <v>TECHNICAL AND SUPPORT SERVICES PROGRAM</v>
      </c>
      <c r="G276" s="54" t="str">
        <f>VLOOKUP(Table37[[#This Row],[COMMODITY PREXC SUB-PROGRAM]],TAGS!$U$54:$V$76,2,FALSE)</f>
        <v>PSS</v>
      </c>
      <c r="H276" s="60" t="s">
        <v>576</v>
      </c>
      <c r="I276" s="54" t="str">
        <f>VLOOKUP(Table37[[#This Row],[PI LEVEL 3]],'PI LEVEL'!A:C,3,FALSE)</f>
        <v>Fertilizers and other soil ammendment distributed</v>
      </c>
      <c r="J276" s="54" t="str">
        <f>VLOOKUP(Table37[[#This Row],[PI LEVEL 3]],Table53729[[Performance Indicator Level 3]:[Performance Indicator Level 1]],2,FALSE)</f>
        <v>Fertilizers distributed</v>
      </c>
      <c r="K276" s="54" t="str">
        <f>VLOOKUP(Table37[[#This Row],[ACTIVITY]],TAGS!B:P,2,FALSE)</f>
        <v>Organic fertilizer distributed</v>
      </c>
      <c r="L276" s="60" t="s">
        <v>32</v>
      </c>
      <c r="M276" s="54" t="str">
        <f>VLOOKUP(Table37[[#This Row],[ACTIVITY]],TAGS!$B:$P,4,FALSE)</f>
        <v>Soil amendments</v>
      </c>
      <c r="N276" s="54" t="str">
        <f>VLOOKUP(Table37[[#This Row],[ACTIVITY]],TAGS!$B:$P,5,FALSE)</f>
        <v>Soil Fertilization</v>
      </c>
      <c r="O276" s="54" t="str">
        <f>VLOOKUP(Table37[[#This Row],[ACTIVITY]],TAGS!$B:$P,6,FALSE)</f>
        <v>Soil ameliorant</v>
      </c>
      <c r="P276" s="54" t="str">
        <f>VLOOKUP(Table37[[#This Row],[ACTIVITY]],TAGS!$B:$P,7,FALSE)</f>
        <v>NO</v>
      </c>
      <c r="Q276" s="54" t="str">
        <f>VLOOKUP(Table37[[#This Row],[ACTIVITY]],TAGS!$B:$P,8,FALSE)</f>
        <v>PAP</v>
      </c>
      <c r="R276" s="54" t="str">
        <f>VLOOKUP(Table37[[#This Row],[ACTIVITY]],TAGS!$B:$P,10,FALSE)</f>
        <v>PIP</v>
      </c>
      <c r="S276" s="54" t="str">
        <f>VLOOKUP(Table37[[#This Row],[ACTIVITY]],TAGS!$B:$P,11,FALSE)</f>
        <v>PICS</v>
      </c>
      <c r="T276" s="54" t="str">
        <f>VLOOKUP(Table37[[#This Row],[ACTIVITY]],TAGS!$B:$P,12,FALSE)</f>
        <v>Consolidation</v>
      </c>
      <c r="U276" s="54" t="str">
        <f>VLOOKUP(Table37[[#This Row],[ACTIVITY]],TAGS!$B:$P,13,FALSE)</f>
        <v>1. Bayanihan Agri Cluster</v>
      </c>
      <c r="V276" s="54" t="str">
        <f>VLOOKUP(Table37[[#This Row],[ACTIVITY]],TAGS!$B:$P,14,FALSE)</f>
        <v>EXPAND AND IMPROVE AVAILABLE AGRI-FISHERY AREAS FOR INCREASED PRODUCTION</v>
      </c>
      <c r="W276" s="54" t="str">
        <f>VLOOKUP(Table37[[#This Row],[ACTIVITY]],TAGS!$B:$P,15,FALSE)</f>
        <v>Farm Inputs</v>
      </c>
      <c r="X276" s="54" t="str">
        <f>VLOOKUP(Table37[[#This Row],[PI LEVEL 3]],'PI LEVEL'!$A:$G,7,FALSE)</f>
        <v>DA-Level Output</v>
      </c>
      <c r="Y276" s="60"/>
      <c r="Z276" s="60"/>
      <c r="AA276" s="54" t="e">
        <f>VLOOKUP(Table37[[#This Row],[MONTH]],TAGS!$W$67:$Y$81,2,FALSE)</f>
        <v>#N/A</v>
      </c>
      <c r="AB276" s="54" t="e">
        <f>VLOOKUP(Table37[[#This Row],[MONTH]],TAGS!$W$67:$Y$81,3,FALSE)</f>
        <v>#N/A</v>
      </c>
      <c r="AC276" s="54" t="e">
        <f>VLOOKUP(Table37[[#This Row],[MONTH]],TAGS!$W$67:$Z$81,4,FALSE)</f>
        <v>#N/A</v>
      </c>
      <c r="AD276" s="60">
        <v>10000</v>
      </c>
      <c r="AE276" s="60"/>
      <c r="AF276" s="54">
        <f>SUM(Table37[[#This Row],[MOOE (Php ''000)]:[CO (Php ''000)]])</f>
        <v>10000</v>
      </c>
      <c r="AG276" s="72" t="b">
        <f>ISBLANK(Table37[[#This Row],[PRPOPOSAL/BEDS]])</f>
        <v>0</v>
      </c>
      <c r="AH276" s="72" t="b">
        <f>ISBLANK(Table37[[#This Row],[OU]])</f>
        <v>0</v>
      </c>
      <c r="AI276" s="72" t="b">
        <f>ISBLANK(Table37[[#This Row],[SPECIFIC COMMODITY]])</f>
        <v>0</v>
      </c>
      <c r="AJ276" s="72" t="b">
        <f>ISBLANK(Table37[[#This Row],[COMMODITY PREXC SUB-PROGRAM]])</f>
        <v>0</v>
      </c>
      <c r="AK276" s="72" t="b">
        <f>ISBLANK(Table37[[#This Row],[ACTIVITY]])</f>
        <v>0</v>
      </c>
      <c r="AL276" s="72" t="b">
        <f>ISBLANK(Table37[[#This Row],[TAG-GAD]])</f>
        <v>1</v>
      </c>
      <c r="AM276" s="72" t="b">
        <f>ISBLANK(Table37[[#This Row],[MONTH]])</f>
        <v>1</v>
      </c>
      <c r="AN276" s="72" t="b">
        <f>ISBLANK(Table37[[#This Row],[MOOE (Php ''000)]])</f>
        <v>0</v>
      </c>
      <c r="AO276" s="72" t="b">
        <f>ISBLANK(Table37[[#This Row],[CO (Php ''000)]])</f>
        <v>1</v>
      </c>
    </row>
    <row r="277" spans="1:41">
      <c r="A277" s="54" t="str">
        <f>VLOOKUP(Table37[[#This Row],[OU]],OU!$A$15:$B$34,2,FALSE)</f>
        <v>RFOs</v>
      </c>
      <c r="B277" s="60" t="s">
        <v>436</v>
      </c>
      <c r="C277" s="47" t="s">
        <v>574</v>
      </c>
      <c r="D277" s="60" t="s">
        <v>579</v>
      </c>
      <c r="E277" s="54" t="str">
        <f>VLOOKUP(Table37[[#This Row],[SPECIFIC COMMODITY]],TAGS!$W$48:$X$53,2,FALSE)</f>
        <v>Cassava</v>
      </c>
      <c r="F277" s="54" t="str">
        <f>VLOOKUP(Table37[[#This Row],[PREXC SUB-PROGRAM]],Table5[],2,FALSE)</f>
        <v>TECHNICAL AND SUPPORT SERVICES PROGRAM</v>
      </c>
      <c r="G277" s="54" t="str">
        <f>VLOOKUP(Table37[[#This Row],[COMMODITY PREXC SUB-PROGRAM]],TAGS!$U$54:$V$76,2,FALSE)</f>
        <v>ESETS</v>
      </c>
      <c r="H277" s="60" t="s">
        <v>589</v>
      </c>
      <c r="I277" s="54" t="str">
        <f>VLOOKUP(Table37[[#This Row],[PI LEVEL 3]],'PI LEVEL'!A:C,3,FALSE)</f>
        <v>Technology demonstrations established/maintained</v>
      </c>
      <c r="J277" s="54" t="str">
        <f>VLOOKUP(Table37[[#This Row],[PI LEVEL 3]],Table53729[[Performance Indicator Level 3]:[Performance Indicator Level 1]],2,FALSE)</f>
        <v>Model Farms established</v>
      </c>
      <c r="K277" s="54" t="str">
        <f>VLOOKUP(Table37[[#This Row],[ACTIVITY]],TAGS!B:P,2,FALSE)</f>
        <v>Model Farms established</v>
      </c>
      <c r="L277" s="60" t="s">
        <v>107</v>
      </c>
      <c r="M277" s="54" t="str">
        <f>VLOOKUP(Table37[[#This Row],[ACTIVITY]],TAGS!$B:$P,4,FALSE)</f>
        <v>Model Farm establishment</v>
      </c>
      <c r="N277" s="54" t="str">
        <f>VLOOKUP(Table37[[#This Row],[ACTIVITY]],TAGS!$B:$P,5,FALSE)</f>
        <v>Model farm</v>
      </c>
      <c r="O277" s="54" t="str">
        <f>VLOOKUP(Table37[[#This Row],[ACTIVITY]],TAGS!$B:$P,6,FALSE)</f>
        <v>Cassava model farm</v>
      </c>
      <c r="P277" s="54" t="str">
        <f>VLOOKUP(Table37[[#This Row],[ACTIVITY]],TAGS!$B:$P,7,FALSE)</f>
        <v>YES</v>
      </c>
      <c r="Q277" s="54" t="str">
        <f>VLOOKUP(Table37[[#This Row],[ACTIVITY]],TAGS!$B:$P,8,FALSE)</f>
        <v>PAP</v>
      </c>
      <c r="R277" s="54" t="str">
        <f>VLOOKUP(Table37[[#This Row],[ACTIVITY]],TAGS!$B:$P,10,FALSE)</f>
        <v>PIP</v>
      </c>
      <c r="S277" s="54" t="str">
        <f>VLOOKUP(Table37[[#This Row],[ACTIVITY]],TAGS!$B:$P,11,FALSE)</f>
        <v>PICS</v>
      </c>
      <c r="T277" s="54" t="str">
        <f>VLOOKUP(Table37[[#This Row],[ACTIVITY]],TAGS!$B:$P,12,FALSE)</f>
        <v>Consolidation</v>
      </c>
      <c r="U277" s="54" t="str">
        <f>VLOOKUP(Table37[[#This Row],[ACTIVITY]],TAGS!$B:$P,13,FALSE)</f>
        <v>1. Bayanihan Agri Cluster</v>
      </c>
      <c r="V277" s="54" t="str">
        <f>VLOOKUP(Table37[[#This Row],[ACTIVITY]],TAGS!$B:$P,14,FALSE)</f>
        <v>EXPAND AND IMPROVE AVAILABLE AGRI-FISHERY AREAS FOR INCREASED PRODUCTION</v>
      </c>
      <c r="W277" s="54" t="str">
        <f>VLOOKUP(Table37[[#This Row],[ACTIVITY]],TAGS!$B:$P,15,FALSE)</f>
        <v>Farm Inputs</v>
      </c>
      <c r="X277" s="54" t="str">
        <f>VLOOKUP(Table37[[#This Row],[PI LEVEL 3]],'PI LEVEL'!$A:$G,7,FALSE)</f>
        <v>DA-Level Output</v>
      </c>
      <c r="Y277" s="60"/>
      <c r="Z277" s="60"/>
      <c r="AA277" s="54" t="e">
        <f>VLOOKUP(Table37[[#This Row],[MONTH]],TAGS!$W$67:$Y$81,2,FALSE)</f>
        <v>#N/A</v>
      </c>
      <c r="AB277" s="54" t="e">
        <f>VLOOKUP(Table37[[#This Row],[MONTH]],TAGS!$W$67:$Y$81,3,FALSE)</f>
        <v>#N/A</v>
      </c>
      <c r="AC277" s="54" t="e">
        <f>VLOOKUP(Table37[[#This Row],[MONTH]],TAGS!$W$67:$Z$81,4,FALSE)</f>
        <v>#N/A</v>
      </c>
      <c r="AD277" s="60">
        <v>650</v>
      </c>
      <c r="AE277" s="60"/>
      <c r="AF277" s="54">
        <f>SUM(Table37[[#This Row],[MOOE (Php ''000)]:[CO (Php ''000)]])</f>
        <v>650</v>
      </c>
      <c r="AG277" s="72" t="b">
        <f>ISBLANK(Table37[[#This Row],[PRPOPOSAL/BEDS]])</f>
        <v>0</v>
      </c>
      <c r="AH277" s="72" t="b">
        <f>ISBLANK(Table37[[#This Row],[OU]])</f>
        <v>0</v>
      </c>
      <c r="AI277" s="72" t="b">
        <f>ISBLANK(Table37[[#This Row],[SPECIFIC COMMODITY]])</f>
        <v>0</v>
      </c>
      <c r="AJ277" s="72" t="b">
        <f>ISBLANK(Table37[[#This Row],[COMMODITY PREXC SUB-PROGRAM]])</f>
        <v>0</v>
      </c>
      <c r="AK277" s="72" t="b">
        <f>ISBLANK(Table37[[#This Row],[ACTIVITY]])</f>
        <v>0</v>
      </c>
      <c r="AL277" s="72" t="b">
        <f>ISBLANK(Table37[[#This Row],[TAG-GAD]])</f>
        <v>1</v>
      </c>
      <c r="AM277" s="72" t="b">
        <f>ISBLANK(Table37[[#This Row],[MONTH]])</f>
        <v>1</v>
      </c>
      <c r="AN277" s="72" t="b">
        <f>ISBLANK(Table37[[#This Row],[MOOE (Php ''000)]])</f>
        <v>0</v>
      </c>
      <c r="AO277" s="72" t="b">
        <f>ISBLANK(Table37[[#This Row],[CO (Php ''000)]])</f>
        <v>1</v>
      </c>
    </row>
    <row r="278" spans="1:41">
      <c r="A278" s="54" t="str">
        <f>VLOOKUP(Table37[[#This Row],[OU]],OU!$A$15:$B$34,2,FALSE)</f>
        <v>RFOs</v>
      </c>
      <c r="B278" s="60" t="s">
        <v>436</v>
      </c>
      <c r="C278" s="47" t="s">
        <v>574</v>
      </c>
      <c r="D278" s="60" t="s">
        <v>579</v>
      </c>
      <c r="E278" s="54" t="str">
        <f>VLOOKUP(Table37[[#This Row],[SPECIFIC COMMODITY]],TAGS!$W$48:$X$53,2,FALSE)</f>
        <v>Cassava</v>
      </c>
      <c r="F278" s="54" t="str">
        <f>VLOOKUP(Table37[[#This Row],[PREXC SUB-PROGRAM]],Table5[],2,FALSE)</f>
        <v>TECHNICAL AND SUPPORT SERVICES PROGRAM</v>
      </c>
      <c r="G278" s="54" t="str">
        <f>VLOOKUP(Table37[[#This Row],[COMMODITY PREXC SUB-PROGRAM]],TAGS!$U$54:$V$76,2,FALSE)</f>
        <v>ESETS</v>
      </c>
      <c r="H278" s="60" t="s">
        <v>589</v>
      </c>
      <c r="I278" s="54" t="str">
        <f>VLOOKUP(Table37[[#This Row],[PI LEVEL 3]],'PI LEVEL'!A:C,3,FALSE)</f>
        <v>Training conducted</v>
      </c>
      <c r="J278" s="54" t="str">
        <f>VLOOKUP(Table37[[#This Row],[PI LEVEL 3]],Table53729[[Performance Indicator Level 3]:[Performance Indicator Level 1]],2,FALSE)</f>
        <v>Other training conducted</v>
      </c>
      <c r="K278" s="54" t="str">
        <f>VLOOKUP(Table37[[#This Row],[ACTIVITY]],TAGS!B:P,2,FALSE)</f>
        <v>Other training conducted_Farmers/Fisherfolk/Other External Participants</v>
      </c>
      <c r="L278" s="60" t="s">
        <v>147</v>
      </c>
      <c r="M278" s="54" t="str">
        <f>VLOOKUP(Table37[[#This Row],[ACTIVITY]],TAGS!$B:$P,4,FALSE)</f>
        <v>Trainings</v>
      </c>
      <c r="N278" s="54" t="str">
        <f>VLOOKUP(Table37[[#This Row],[ACTIVITY]],TAGS!$B:$P,5,FALSE)</f>
        <v>Trainings</v>
      </c>
      <c r="O278" s="54" t="str">
        <f>VLOOKUP(Table37[[#This Row],[ACTIVITY]],TAGS!$B:$P,6,FALSE)</f>
        <v>Cassava Livelihood training</v>
      </c>
      <c r="P278" s="54" t="str">
        <f>VLOOKUP(Table37[[#This Row],[ACTIVITY]],TAGS!$B:$P,7,FALSE)</f>
        <v>NO</v>
      </c>
      <c r="Q278" s="54" t="str">
        <f>VLOOKUP(Table37[[#This Row],[ACTIVITY]],TAGS!$B:$P,8,FALSE)</f>
        <v>PAP</v>
      </c>
      <c r="R278" s="54" t="str">
        <f>VLOOKUP(Table37[[#This Row],[ACTIVITY]],TAGS!$B:$P,10,FALSE)</f>
        <v>PIP</v>
      </c>
      <c r="S278" s="54" t="str">
        <f>VLOOKUP(Table37[[#This Row],[ACTIVITY]],TAGS!$B:$P,11,FALSE)</f>
        <v>PICS</v>
      </c>
      <c r="T278" s="54" t="str">
        <f>VLOOKUP(Table37[[#This Row],[ACTIVITY]],TAGS!$B:$P,12,FALSE)</f>
        <v>Consolidation</v>
      </c>
      <c r="U278" s="54" t="str">
        <f>VLOOKUP(Table37[[#This Row],[ACTIVITY]],TAGS!$B:$P,13,FALSE)</f>
        <v>1. Bayanihan Agri Cluster</v>
      </c>
      <c r="V278" s="54" t="str">
        <f>VLOOKUP(Table37[[#This Row],[ACTIVITY]],TAGS!$B:$P,14,FALSE)</f>
        <v>IMPROVE AND EXPAND LOCAL AND INTERNATIONAL MARKET ACCESS</v>
      </c>
      <c r="W278" s="54" t="str">
        <f>VLOOKUP(Table37[[#This Row],[ACTIVITY]],TAGS!$B:$P,15,FALSE)</f>
        <v>Capacity Building</v>
      </c>
      <c r="X278" s="54" t="str">
        <f>VLOOKUP(Table37[[#This Row],[PI LEVEL 3]],'PI LEVEL'!$A:$G,7,FALSE)</f>
        <v>PREXC/DA-Level Output</v>
      </c>
      <c r="Y278" s="60"/>
      <c r="Z278" s="60"/>
      <c r="AA278" s="54" t="e">
        <f>VLOOKUP(Table37[[#This Row],[MONTH]],TAGS!$W$67:$Y$81,2,FALSE)</f>
        <v>#N/A</v>
      </c>
      <c r="AB278" s="54" t="e">
        <f>VLOOKUP(Table37[[#This Row],[MONTH]],TAGS!$W$67:$Y$81,3,FALSE)</f>
        <v>#N/A</v>
      </c>
      <c r="AC278" s="54" t="e">
        <f>VLOOKUP(Table37[[#This Row],[MONTH]],TAGS!$W$67:$Z$81,4,FALSE)</f>
        <v>#N/A</v>
      </c>
      <c r="AD278" s="60">
        <v>200</v>
      </c>
      <c r="AE278" s="60"/>
      <c r="AF278" s="54">
        <f>SUM(Table37[[#This Row],[MOOE (Php ''000)]:[CO (Php ''000)]])</f>
        <v>200</v>
      </c>
      <c r="AG278" s="72" t="b">
        <f>ISBLANK(Table37[[#This Row],[PRPOPOSAL/BEDS]])</f>
        <v>0</v>
      </c>
      <c r="AH278" s="72" t="b">
        <f>ISBLANK(Table37[[#This Row],[OU]])</f>
        <v>0</v>
      </c>
      <c r="AI278" s="72" t="b">
        <f>ISBLANK(Table37[[#This Row],[SPECIFIC COMMODITY]])</f>
        <v>0</v>
      </c>
      <c r="AJ278" s="72" t="b">
        <f>ISBLANK(Table37[[#This Row],[COMMODITY PREXC SUB-PROGRAM]])</f>
        <v>0</v>
      </c>
      <c r="AK278" s="72" t="b">
        <f>ISBLANK(Table37[[#This Row],[ACTIVITY]])</f>
        <v>0</v>
      </c>
      <c r="AL278" s="72" t="b">
        <f>ISBLANK(Table37[[#This Row],[TAG-GAD]])</f>
        <v>1</v>
      </c>
      <c r="AM278" s="72" t="b">
        <f>ISBLANK(Table37[[#This Row],[MONTH]])</f>
        <v>1</v>
      </c>
      <c r="AN278" s="72" t="b">
        <f>ISBLANK(Table37[[#This Row],[MOOE (Php ''000)]])</f>
        <v>0</v>
      </c>
      <c r="AO278" s="72" t="b">
        <f>ISBLANK(Table37[[#This Row],[CO (Php ''000)]])</f>
        <v>1</v>
      </c>
    </row>
    <row r="279" spans="1:41">
      <c r="A279" s="54" t="str">
        <f>VLOOKUP(Table37[[#This Row],[OU]],OU!$A$15:$B$34,2,FALSE)</f>
        <v>RFOs</v>
      </c>
      <c r="B279" s="60" t="s">
        <v>436</v>
      </c>
      <c r="C279" s="47" t="s">
        <v>574</v>
      </c>
      <c r="D279" s="60" t="s">
        <v>579</v>
      </c>
      <c r="E279" s="54" t="str">
        <f>VLOOKUP(Table37[[#This Row],[SPECIFIC COMMODITY]],TAGS!$W$48:$X$53,2,FALSE)</f>
        <v>Cassava</v>
      </c>
      <c r="F279" s="54" t="str">
        <f>VLOOKUP(Table37[[#This Row],[PREXC SUB-PROGRAM]],Table5[],2,FALSE)</f>
        <v>TECHNICAL AND SUPPORT SERVICES PROGRAM</v>
      </c>
      <c r="G279" s="54" t="str">
        <f>VLOOKUP(Table37[[#This Row],[COMMODITY PREXC SUB-PROGRAM]],TAGS!$U$54:$V$76,2,FALSE)</f>
        <v>ESETS</v>
      </c>
      <c r="H279" s="60" t="s">
        <v>589</v>
      </c>
      <c r="I279" s="54" t="str">
        <f>VLOOKUP(Table37[[#This Row],[PI LEVEL 3]],'PI LEVEL'!A:C,3,FALSE)</f>
        <v>Training conducted</v>
      </c>
      <c r="J279" s="54" t="str">
        <f>VLOOKUP(Table37[[#This Row],[PI LEVEL 3]],Table53729[[Performance Indicator Level 3]:[Performance Indicator Level 1]],2,FALSE)</f>
        <v>Other training conducted</v>
      </c>
      <c r="K279" s="54" t="str">
        <f>VLOOKUP(Table37[[#This Row],[ACTIVITY]],TAGS!B:P,2,FALSE)</f>
        <v>Other training conducted_Farmers/Fisherfolk/Other External Participants</v>
      </c>
      <c r="L279" s="60" t="s">
        <v>149</v>
      </c>
      <c r="M279" s="54" t="str">
        <f>VLOOKUP(Table37[[#This Row],[ACTIVITY]],TAGS!$B:$P,4,FALSE)</f>
        <v>Trainings</v>
      </c>
      <c r="N279" s="54" t="str">
        <f>VLOOKUP(Table37[[#This Row],[ACTIVITY]],TAGS!$B:$P,5,FALSE)</f>
        <v>Trainings</v>
      </c>
      <c r="O279" s="54" t="str">
        <f>VLOOKUP(Table37[[#This Row],[ACTIVITY]],TAGS!$B:$P,6,FALSE)</f>
        <v>Cassava Production Training</v>
      </c>
      <c r="P279" s="54" t="str">
        <f>VLOOKUP(Table37[[#This Row],[ACTIVITY]],TAGS!$B:$P,7,FALSE)</f>
        <v>NO</v>
      </c>
      <c r="Q279" s="54" t="str">
        <f>VLOOKUP(Table37[[#This Row],[ACTIVITY]],TAGS!$B:$P,8,FALSE)</f>
        <v>PAP</v>
      </c>
      <c r="R279" s="54" t="str">
        <f>VLOOKUP(Table37[[#This Row],[ACTIVITY]],TAGS!$B:$P,10,FALSE)</f>
        <v>PIP</v>
      </c>
      <c r="S279" s="54" t="str">
        <f>VLOOKUP(Table37[[#This Row],[ACTIVITY]],TAGS!$B:$P,11,FALSE)</f>
        <v>PICS</v>
      </c>
      <c r="T279" s="54" t="str">
        <f>VLOOKUP(Table37[[#This Row],[ACTIVITY]],TAGS!$B:$P,12,FALSE)</f>
        <v>Consolidation</v>
      </c>
      <c r="U279" s="54" t="str">
        <f>VLOOKUP(Table37[[#This Row],[ACTIVITY]],TAGS!$B:$P,13,FALSE)</f>
        <v>1. Bayanihan Agri Cluster</v>
      </c>
      <c r="V279" s="54" t="str">
        <f>VLOOKUP(Table37[[#This Row],[ACTIVITY]],TAGS!$B:$P,14,FALSE)</f>
        <v>EXPAND AND IMPROVE AVAILABLE AGRI-FISHERY AREAS FOR INCREASED PRODUCTION</v>
      </c>
      <c r="W279" s="54" t="str">
        <f>VLOOKUP(Table37[[#This Row],[ACTIVITY]],TAGS!$B:$P,15,FALSE)</f>
        <v>Capacity Building</v>
      </c>
      <c r="X279" s="54" t="str">
        <f>VLOOKUP(Table37[[#This Row],[PI LEVEL 3]],'PI LEVEL'!$A:$G,7,FALSE)</f>
        <v>PREXC/DA-Level Output</v>
      </c>
      <c r="Y279" s="60"/>
      <c r="Z279" s="60"/>
      <c r="AA279" s="54" t="e">
        <f>VLOOKUP(Table37[[#This Row],[MONTH]],TAGS!$W$67:$Y$81,2,FALSE)</f>
        <v>#N/A</v>
      </c>
      <c r="AB279" s="54" t="e">
        <f>VLOOKUP(Table37[[#This Row],[MONTH]],TAGS!$W$67:$Y$81,3,FALSE)</f>
        <v>#N/A</v>
      </c>
      <c r="AC279" s="54" t="e">
        <f>VLOOKUP(Table37[[#This Row],[MONTH]],TAGS!$W$67:$Z$81,4,FALSE)</f>
        <v>#N/A</v>
      </c>
      <c r="AD279" s="60">
        <v>140</v>
      </c>
      <c r="AE279" s="60"/>
      <c r="AF279" s="54">
        <f>SUM(Table37[[#This Row],[MOOE (Php ''000)]:[CO (Php ''000)]])</f>
        <v>140</v>
      </c>
      <c r="AG279" s="72" t="b">
        <f>ISBLANK(Table37[[#This Row],[PRPOPOSAL/BEDS]])</f>
        <v>0</v>
      </c>
      <c r="AH279" s="72" t="b">
        <f>ISBLANK(Table37[[#This Row],[OU]])</f>
        <v>0</v>
      </c>
      <c r="AI279" s="72" t="b">
        <f>ISBLANK(Table37[[#This Row],[SPECIFIC COMMODITY]])</f>
        <v>0</v>
      </c>
      <c r="AJ279" s="72" t="b">
        <f>ISBLANK(Table37[[#This Row],[COMMODITY PREXC SUB-PROGRAM]])</f>
        <v>0</v>
      </c>
      <c r="AK279" s="72" t="b">
        <f>ISBLANK(Table37[[#This Row],[ACTIVITY]])</f>
        <v>0</v>
      </c>
      <c r="AL279" s="72" t="b">
        <f>ISBLANK(Table37[[#This Row],[TAG-GAD]])</f>
        <v>1</v>
      </c>
      <c r="AM279" s="72" t="b">
        <f>ISBLANK(Table37[[#This Row],[MONTH]])</f>
        <v>1</v>
      </c>
      <c r="AN279" s="72" t="b">
        <f>ISBLANK(Table37[[#This Row],[MOOE (Php ''000)]])</f>
        <v>0</v>
      </c>
      <c r="AO279" s="72" t="b">
        <f>ISBLANK(Table37[[#This Row],[CO (Php ''000)]])</f>
        <v>1</v>
      </c>
    </row>
    <row r="280" spans="1:41">
      <c r="A280" s="54" t="str">
        <f>VLOOKUP(Table37[[#This Row],[OU]],OU!$A$15:$B$34,2,FALSE)</f>
        <v>RFOs</v>
      </c>
      <c r="B280" s="60" t="s">
        <v>436</v>
      </c>
      <c r="C280" s="47" t="s">
        <v>574</v>
      </c>
      <c r="D280" s="60" t="s">
        <v>579</v>
      </c>
      <c r="E280" s="54" t="str">
        <f>VLOOKUP(Table37[[#This Row],[SPECIFIC COMMODITY]],TAGS!$W$48:$X$53,2,FALSE)</f>
        <v>Cassava</v>
      </c>
      <c r="F280" s="54" t="str">
        <f>VLOOKUP(Table37[[#This Row],[PREXC SUB-PROGRAM]],Table5[],2,FALSE)</f>
        <v>TECHNICAL AND SUPPORT SERVICES PROGRAM</v>
      </c>
      <c r="G280" s="54" t="str">
        <f>VLOOKUP(Table37[[#This Row],[COMMODITY PREXC SUB-PROGRAM]],TAGS!$U$54:$V$76,2,FALSE)</f>
        <v>ESETS</v>
      </c>
      <c r="H280" s="60" t="s">
        <v>589</v>
      </c>
      <c r="I280" s="54" t="str">
        <f>VLOOKUP(Table37[[#This Row],[PI LEVEL 3]],'PI LEVEL'!A:C,3,FALSE)</f>
        <v>Knowledge Products disseminated</v>
      </c>
      <c r="J280" s="54" t="str">
        <f>VLOOKUP(Table37[[#This Row],[PI LEVEL 3]],Table53729[[Performance Indicator Level 3]:[Performance Indicator Level 1]],2,FALSE)</f>
        <v>Knowledge Products disseminated</v>
      </c>
      <c r="K280" s="54" t="str">
        <f>VLOOKUP(Table37[[#This Row],[ACTIVITY]],TAGS!B:P,2,FALSE)</f>
        <v>Knowledge Products disseminated</v>
      </c>
      <c r="L280" s="60" t="s">
        <v>151</v>
      </c>
      <c r="M280" s="54" t="str">
        <f>VLOOKUP(Table37[[#This Row],[ACTIVITY]],TAGS!$B:$P,4,FALSE)</f>
        <v>Information, Education, and Communication Activities</v>
      </c>
      <c r="N280" s="54" t="str">
        <f>VLOOKUP(Table37[[#This Row],[ACTIVITY]],TAGS!$B:$P,5,FALSE)</f>
        <v>Information, Education, and Communication Activities</v>
      </c>
      <c r="O280" s="54" t="str">
        <f>VLOOKUP(Table37[[#This Row],[ACTIVITY]],TAGS!$B:$P,6,FALSE)</f>
        <v>IEC materials</v>
      </c>
      <c r="P280" s="54" t="str">
        <f>VLOOKUP(Table37[[#This Row],[ACTIVITY]],TAGS!$B:$P,7,FALSE)</f>
        <v>NO</v>
      </c>
      <c r="Q280" s="54" t="str">
        <f>VLOOKUP(Table37[[#This Row],[ACTIVITY]],TAGS!$B:$P,8,FALSE)</f>
        <v>PAP</v>
      </c>
      <c r="R280" s="54" t="str">
        <f>VLOOKUP(Table37[[#This Row],[ACTIVITY]],TAGS!$B:$P,10,FALSE)</f>
        <v>PIP</v>
      </c>
      <c r="S280" s="54" t="str">
        <f>VLOOKUP(Table37[[#This Row],[ACTIVITY]],TAGS!$B:$P,11,FALSE)</f>
        <v>PICS</v>
      </c>
      <c r="T280" s="54" t="str">
        <f>VLOOKUP(Table37[[#This Row],[ACTIVITY]],TAGS!$B:$P,12,FALSE)</f>
        <v>Strategic Communication</v>
      </c>
      <c r="U280" s="54" t="str">
        <f>VLOOKUP(Table37[[#This Row],[ACTIVITY]],TAGS!$B:$P,13,FALSE)</f>
        <v>18. Strategic Communications​</v>
      </c>
      <c r="V280" s="54">
        <f>VLOOKUP(Table37[[#This Row],[ACTIVITY]],TAGS!$B:$P,14,FALSE)</f>
        <v>0</v>
      </c>
      <c r="W280" s="54" t="str">
        <f>VLOOKUP(Table37[[#This Row],[ACTIVITY]],TAGS!$B:$P,15,FALSE)</f>
        <v>IEC</v>
      </c>
      <c r="X280" s="54" t="str">
        <f>VLOOKUP(Table37[[#This Row],[PI LEVEL 3]],'PI LEVEL'!$A:$G,7,FALSE)</f>
        <v>DA-Level Output</v>
      </c>
      <c r="Y280" s="60"/>
      <c r="Z280" s="60"/>
      <c r="AA280" s="54" t="e">
        <f>VLOOKUP(Table37[[#This Row],[MONTH]],TAGS!$W$67:$Y$81,2,FALSE)</f>
        <v>#N/A</v>
      </c>
      <c r="AB280" s="54" t="e">
        <f>VLOOKUP(Table37[[#This Row],[MONTH]],TAGS!$W$67:$Y$81,3,FALSE)</f>
        <v>#N/A</v>
      </c>
      <c r="AC280" s="54" t="e">
        <f>VLOOKUP(Table37[[#This Row],[MONTH]],TAGS!$W$67:$Z$81,4,FALSE)</f>
        <v>#N/A</v>
      </c>
      <c r="AD280" s="60">
        <v>150</v>
      </c>
      <c r="AE280" s="60"/>
      <c r="AF280" s="54">
        <f>SUM(Table37[[#This Row],[MOOE (Php ''000)]:[CO (Php ''000)]])</f>
        <v>150</v>
      </c>
      <c r="AG280" s="72" t="b">
        <f>ISBLANK(Table37[[#This Row],[PRPOPOSAL/BEDS]])</f>
        <v>0</v>
      </c>
      <c r="AH280" s="72" t="b">
        <f>ISBLANK(Table37[[#This Row],[OU]])</f>
        <v>0</v>
      </c>
      <c r="AI280" s="72" t="b">
        <f>ISBLANK(Table37[[#This Row],[SPECIFIC COMMODITY]])</f>
        <v>0</v>
      </c>
      <c r="AJ280" s="72" t="b">
        <f>ISBLANK(Table37[[#This Row],[COMMODITY PREXC SUB-PROGRAM]])</f>
        <v>0</v>
      </c>
      <c r="AK280" s="72" t="b">
        <f>ISBLANK(Table37[[#This Row],[ACTIVITY]])</f>
        <v>0</v>
      </c>
      <c r="AL280" s="72" t="b">
        <f>ISBLANK(Table37[[#This Row],[TAG-GAD]])</f>
        <v>1</v>
      </c>
      <c r="AM280" s="72" t="b">
        <f>ISBLANK(Table37[[#This Row],[MONTH]])</f>
        <v>1</v>
      </c>
      <c r="AN280" s="72" t="b">
        <f>ISBLANK(Table37[[#This Row],[MOOE (Php ''000)]])</f>
        <v>0</v>
      </c>
      <c r="AO280" s="72" t="b">
        <f>ISBLANK(Table37[[#This Row],[CO (Php ''000)]])</f>
        <v>1</v>
      </c>
    </row>
    <row r="281" spans="1:41">
      <c r="A281" s="54" t="str">
        <f>VLOOKUP(Table37[[#This Row],[OU]],OU!$A$15:$B$34,2,FALSE)</f>
        <v>RFOs</v>
      </c>
      <c r="B281" s="60" t="s">
        <v>436</v>
      </c>
      <c r="C281" s="47" t="s">
        <v>574</v>
      </c>
      <c r="D281" s="60" t="s">
        <v>585</v>
      </c>
      <c r="E281" s="54" t="str">
        <f>VLOOKUP(Table37[[#This Row],[SPECIFIC COMMODITY]],TAGS!$W$48:$X$53,2,FALSE)</f>
        <v>Multi_commodity</v>
      </c>
      <c r="F281" s="54" t="str">
        <f>VLOOKUP(Table37[[#This Row],[PREXC SUB-PROGRAM]],Table5[],2,FALSE)</f>
        <v>TECHNICAL AND SUPPORT SERVICES PROGRAM</v>
      </c>
      <c r="G281" s="54" t="str">
        <f>VLOOKUP(Table37[[#This Row],[COMMODITY PREXC SUB-PROGRAM]],TAGS!$U$54:$V$76,2,FALSE)</f>
        <v>ESETS</v>
      </c>
      <c r="H281" s="60" t="s">
        <v>592</v>
      </c>
      <c r="I281" s="54" t="str">
        <f>VLOOKUP(Table37[[#This Row],[PI LEVEL 3]],'PI LEVEL'!A:C,3,FALSE)</f>
        <v>Individuals given incentives, recognition, and awards</v>
      </c>
      <c r="J281" s="54" t="str">
        <f>VLOOKUP(Table37[[#This Row],[PI LEVEL 3]],Table53729[[Performance Indicator Level 3]:[Performance Indicator Level 1]],2,FALSE)</f>
        <v>AEWs-extension workers given incentives</v>
      </c>
      <c r="K281" s="54" t="str">
        <f>VLOOKUP(Table37[[#This Row],[ACTIVITY]],TAGS!B:P,2,FALSE)</f>
        <v>AEWs-extension workers given incentives</v>
      </c>
      <c r="L281" s="60" t="s">
        <v>113</v>
      </c>
      <c r="M281" s="54" t="str">
        <f>VLOOKUP(Table37[[#This Row],[ACTIVITY]],TAGS!$B:$P,4,FALSE)</f>
        <v>Extension Workers Incentives</v>
      </c>
      <c r="N281" s="54" t="str">
        <f>VLOOKUP(Table37[[#This Row],[ACTIVITY]],TAGS!$B:$P,5,FALSE)</f>
        <v>Incentives Given</v>
      </c>
      <c r="O281" s="54" t="str">
        <f>VLOOKUP(Table37[[#This Row],[ACTIVITY]],TAGS!$B:$P,6,FALSE)</f>
        <v>Agricultural Extension Worker</v>
      </c>
      <c r="P281" s="54" t="str">
        <f>VLOOKUP(Table37[[#This Row],[ACTIVITY]],TAGS!$B:$P,7,FALSE)</f>
        <v>NO</v>
      </c>
      <c r="Q281" s="54" t="str">
        <f>VLOOKUP(Table37[[#This Row],[ACTIVITY]],TAGS!$B:$P,8,FALSE)</f>
        <v>PAP</v>
      </c>
      <c r="R281" s="54" t="str">
        <f>VLOOKUP(Table37[[#This Row],[ACTIVITY]],TAGS!$B:$P,10,FALSE)</f>
        <v>PIP</v>
      </c>
      <c r="S281" s="54" t="str">
        <f>VLOOKUP(Table37[[#This Row],[ACTIVITY]],TAGS!$B:$P,11,FALSE)</f>
        <v>PICS</v>
      </c>
      <c r="T281" s="54" t="str">
        <f>VLOOKUP(Table37[[#This Row],[ACTIVITY]],TAGS!$B:$P,12,FALSE)</f>
        <v>Consolidation</v>
      </c>
      <c r="U281" s="54" t="str">
        <f>VLOOKUP(Table37[[#This Row],[ACTIVITY]],TAGS!$B:$P,13,FALSE)</f>
        <v>3. PAFES</v>
      </c>
      <c r="V281" s="54" t="str">
        <f>VLOOKUP(Table37[[#This Row],[ACTIVITY]],TAGS!$B:$P,14,FALSE)</f>
        <v>STRONG PARTNERSHIP WITH THE FARMERS, FISHERFOLK, PRIVATE SECTOR, AND OTHER STAKEHOLDERS</v>
      </c>
      <c r="W281" s="54" t="str">
        <f>VLOOKUP(Table37[[#This Row],[ACTIVITY]],TAGS!$B:$P,15,FALSE)</f>
        <v>Other Intervetions</v>
      </c>
      <c r="X281" s="54" t="str">
        <f>VLOOKUP(Table37[[#This Row],[PI LEVEL 3]],'PI LEVEL'!$A:$G,7,FALSE)</f>
        <v>DA-Level Output</v>
      </c>
      <c r="Y281" s="60"/>
      <c r="Z281" s="60"/>
      <c r="AA281" s="54" t="e">
        <f>VLOOKUP(Table37[[#This Row],[MONTH]],TAGS!$W$67:$Y$81,2,FALSE)</f>
        <v>#N/A</v>
      </c>
      <c r="AB281" s="54" t="e">
        <f>VLOOKUP(Table37[[#This Row],[MONTH]],TAGS!$W$67:$Y$81,3,FALSE)</f>
        <v>#N/A</v>
      </c>
      <c r="AC281" s="54" t="e">
        <f>VLOOKUP(Table37[[#This Row],[MONTH]],TAGS!$W$67:$Z$81,4,FALSE)</f>
        <v>#N/A</v>
      </c>
      <c r="AD281" s="60">
        <v>7098</v>
      </c>
      <c r="AE281" s="60"/>
      <c r="AF281" s="54">
        <f>SUM(Table37[[#This Row],[MOOE (Php ''000)]:[CO (Php ''000)]])</f>
        <v>7098</v>
      </c>
      <c r="AG281" s="72" t="b">
        <f>ISBLANK(Table37[[#This Row],[PRPOPOSAL/BEDS]])</f>
        <v>0</v>
      </c>
      <c r="AH281" s="72" t="b">
        <f>ISBLANK(Table37[[#This Row],[OU]])</f>
        <v>0</v>
      </c>
      <c r="AI281" s="72" t="b">
        <f>ISBLANK(Table37[[#This Row],[SPECIFIC COMMODITY]])</f>
        <v>0</v>
      </c>
      <c r="AJ281" s="72" t="b">
        <f>ISBLANK(Table37[[#This Row],[COMMODITY PREXC SUB-PROGRAM]])</f>
        <v>0</v>
      </c>
      <c r="AK281" s="72" t="b">
        <f>ISBLANK(Table37[[#This Row],[ACTIVITY]])</f>
        <v>0</v>
      </c>
      <c r="AL281" s="72" t="b">
        <f>ISBLANK(Table37[[#This Row],[TAG-GAD]])</f>
        <v>1</v>
      </c>
      <c r="AM281" s="72" t="b">
        <f>ISBLANK(Table37[[#This Row],[MONTH]])</f>
        <v>1</v>
      </c>
      <c r="AN281" s="72" t="b">
        <f>ISBLANK(Table37[[#This Row],[MOOE (Php ''000)]])</f>
        <v>0</v>
      </c>
      <c r="AO281" s="72" t="b">
        <f>ISBLANK(Table37[[#This Row],[CO (Php ''000)]])</f>
        <v>1</v>
      </c>
    </row>
    <row r="282" spans="1:41">
      <c r="A282" s="54" t="str">
        <f>VLOOKUP(Table37[[#This Row],[OU]],OU!$A$15:$B$34,2,FALSE)</f>
        <v>RFOs</v>
      </c>
      <c r="B282" s="60" t="s">
        <v>436</v>
      </c>
      <c r="C282" s="47" t="s">
        <v>574</v>
      </c>
      <c r="D282" s="60" t="s">
        <v>585</v>
      </c>
      <c r="E282" s="54" t="str">
        <f>VLOOKUP(Table37[[#This Row],[SPECIFIC COMMODITY]],TAGS!$W$48:$X$53,2,FALSE)</f>
        <v>Multi_commodity</v>
      </c>
      <c r="F282" s="54" t="str">
        <f>VLOOKUP(Table37[[#This Row],[PREXC SUB-PROGRAM]],Table5[],2,FALSE)</f>
        <v>TECHNICAL AND SUPPORT SERVICES PROGRAM</v>
      </c>
      <c r="G282" s="54" t="str">
        <f>VLOOKUP(Table37[[#This Row],[COMMODITY PREXC SUB-PROGRAM]],TAGS!$U$54:$V$76,2,FALSE)</f>
        <v>ESETS</v>
      </c>
      <c r="H282" s="60" t="s">
        <v>592</v>
      </c>
      <c r="I282" s="54" t="str">
        <f>VLOOKUP(Table37[[#This Row],[PI LEVEL 3]],'PI LEVEL'!A:C,3,FALSE)</f>
        <v>Individuals given incentives, recognition, and awards</v>
      </c>
      <c r="J282" s="54" t="str">
        <f>VLOOKUP(Table37[[#This Row],[PI LEVEL 3]],Table53729[[Performance Indicator Level 3]:[Performance Indicator Level 1]],2,FALSE)</f>
        <v>AEWs-extension workers given incentives</v>
      </c>
      <c r="K282" s="54" t="str">
        <f>VLOOKUP(Table37[[#This Row],[ACTIVITY]],TAGS!B:P,2,FALSE)</f>
        <v>AEWs-extension workers given incentives</v>
      </c>
      <c r="L282" s="60" t="s">
        <v>111</v>
      </c>
      <c r="M282" s="54" t="str">
        <f>VLOOKUP(Table37[[#This Row],[ACTIVITY]],TAGS!$B:$P,4,FALSE)</f>
        <v>Extension Workers Incentives</v>
      </c>
      <c r="N282" s="54" t="str">
        <f>VLOOKUP(Table37[[#This Row],[ACTIVITY]],TAGS!$B:$P,5,FALSE)</f>
        <v>Incentives Given</v>
      </c>
      <c r="O282" s="54" t="str">
        <f>VLOOKUP(Table37[[#This Row],[ACTIVITY]],TAGS!$B:$P,6,FALSE)</f>
        <v>Municipal Agriculturist</v>
      </c>
      <c r="P282" s="54" t="str">
        <f>VLOOKUP(Table37[[#This Row],[ACTIVITY]],TAGS!$B:$P,7,FALSE)</f>
        <v>NO</v>
      </c>
      <c r="Q282" s="54" t="str">
        <f>VLOOKUP(Table37[[#This Row],[ACTIVITY]],TAGS!$B:$P,8,FALSE)</f>
        <v>PAP</v>
      </c>
      <c r="R282" s="54" t="str">
        <f>VLOOKUP(Table37[[#This Row],[ACTIVITY]],TAGS!$B:$P,10,FALSE)</f>
        <v>PIP</v>
      </c>
      <c r="S282" s="54" t="str">
        <f>VLOOKUP(Table37[[#This Row],[ACTIVITY]],TAGS!$B:$P,11,FALSE)</f>
        <v>PICS</v>
      </c>
      <c r="T282" s="54" t="str">
        <f>VLOOKUP(Table37[[#This Row],[ACTIVITY]],TAGS!$B:$P,12,FALSE)</f>
        <v>Consolidation</v>
      </c>
      <c r="U282" s="54" t="str">
        <f>VLOOKUP(Table37[[#This Row],[ACTIVITY]],TAGS!$B:$P,13,FALSE)</f>
        <v>3. PAFES</v>
      </c>
      <c r="V282" s="54" t="str">
        <f>VLOOKUP(Table37[[#This Row],[ACTIVITY]],TAGS!$B:$P,14,FALSE)</f>
        <v>STRONG PARTNERSHIP WITH THE FARMERS, FISHERFOLK, PRIVATE SECTOR, AND OTHER STAKEHOLDERS</v>
      </c>
      <c r="W282" s="54" t="str">
        <f>VLOOKUP(Table37[[#This Row],[ACTIVITY]],TAGS!$B:$P,15,FALSE)</f>
        <v>Other Intervetions</v>
      </c>
      <c r="X282" s="54" t="str">
        <f>VLOOKUP(Table37[[#This Row],[PI LEVEL 3]],'PI LEVEL'!$A:$G,7,FALSE)</f>
        <v>DA-Level Output</v>
      </c>
      <c r="Y282" s="60"/>
      <c r="Z282" s="60"/>
      <c r="AA282" s="54" t="e">
        <f>VLOOKUP(Table37[[#This Row],[MONTH]],TAGS!$W$67:$Y$81,2,FALSE)</f>
        <v>#N/A</v>
      </c>
      <c r="AB282" s="54" t="e">
        <f>VLOOKUP(Table37[[#This Row],[MONTH]],TAGS!$W$67:$Y$81,3,FALSE)</f>
        <v>#N/A</v>
      </c>
      <c r="AC282" s="54" t="e">
        <f>VLOOKUP(Table37[[#This Row],[MONTH]],TAGS!$W$67:$Z$81,4,FALSE)</f>
        <v>#N/A</v>
      </c>
      <c r="AD282" s="60">
        <v>576</v>
      </c>
      <c r="AE282" s="60"/>
      <c r="AF282" s="54">
        <f>SUM(Table37[[#This Row],[MOOE (Php ''000)]:[CO (Php ''000)]])</f>
        <v>576</v>
      </c>
      <c r="AG282" s="72" t="b">
        <f>ISBLANK(Table37[[#This Row],[PRPOPOSAL/BEDS]])</f>
        <v>0</v>
      </c>
      <c r="AH282" s="72" t="b">
        <f>ISBLANK(Table37[[#This Row],[OU]])</f>
        <v>0</v>
      </c>
      <c r="AI282" s="72" t="b">
        <f>ISBLANK(Table37[[#This Row],[SPECIFIC COMMODITY]])</f>
        <v>0</v>
      </c>
      <c r="AJ282" s="72" t="b">
        <f>ISBLANK(Table37[[#This Row],[COMMODITY PREXC SUB-PROGRAM]])</f>
        <v>0</v>
      </c>
      <c r="AK282" s="72" t="b">
        <f>ISBLANK(Table37[[#This Row],[ACTIVITY]])</f>
        <v>0</v>
      </c>
      <c r="AL282" s="72" t="b">
        <f>ISBLANK(Table37[[#This Row],[TAG-GAD]])</f>
        <v>1</v>
      </c>
      <c r="AM282" s="72" t="b">
        <f>ISBLANK(Table37[[#This Row],[MONTH]])</f>
        <v>1</v>
      </c>
      <c r="AN282" s="72" t="b">
        <f>ISBLANK(Table37[[#This Row],[MOOE (Php ''000)]])</f>
        <v>0</v>
      </c>
      <c r="AO282" s="72" t="b">
        <f>ISBLANK(Table37[[#This Row],[CO (Php ''000)]])</f>
        <v>1</v>
      </c>
    </row>
    <row r="283" spans="1:41">
      <c r="A283" s="54" t="str">
        <f>VLOOKUP(Table37[[#This Row],[OU]],OU!$A$15:$B$34,2,FALSE)</f>
        <v>RFOs</v>
      </c>
      <c r="B283" s="60" t="s">
        <v>436</v>
      </c>
      <c r="C283" s="47" t="s">
        <v>574</v>
      </c>
      <c r="D283" s="60" t="s">
        <v>585</v>
      </c>
      <c r="E283" s="54" t="str">
        <f>VLOOKUP(Table37[[#This Row],[SPECIFIC COMMODITY]],TAGS!$W$48:$X$53,2,FALSE)</f>
        <v>Multi_commodity</v>
      </c>
      <c r="F283" s="54" t="str">
        <f>VLOOKUP(Table37[[#This Row],[PREXC SUB-PROGRAM]],Table5[],2,FALSE)</f>
        <v>TECHNICAL AND SUPPORT SERVICES PROGRAM</v>
      </c>
      <c r="G283" s="54" t="str">
        <f>VLOOKUP(Table37[[#This Row],[COMMODITY PREXC SUB-PROGRAM]],TAGS!$U$54:$V$76,2,FALSE)</f>
        <v>ESETS</v>
      </c>
      <c r="H283" s="60" t="s">
        <v>592</v>
      </c>
      <c r="I283" s="54" t="str">
        <f>VLOOKUP(Table37[[#This Row],[PI LEVEL 3]],'PI LEVEL'!A:C,3,FALSE)</f>
        <v>Individuals given incentives, recognition, and awards</v>
      </c>
      <c r="J283" s="54" t="str">
        <f>VLOOKUP(Table37[[#This Row],[PI LEVEL 3]],Table53729[[Performance Indicator Level 3]:[Performance Indicator Level 1]],2,FALSE)</f>
        <v>AEWs-extension workers given incentives</v>
      </c>
      <c r="K283" s="54" t="str">
        <f>VLOOKUP(Table37[[#This Row],[ACTIVITY]],TAGS!B:P,2,FALSE)</f>
        <v>AEWs-extension workers given incentives</v>
      </c>
      <c r="L283" s="60" t="s">
        <v>109</v>
      </c>
      <c r="M283" s="54" t="str">
        <f>VLOOKUP(Table37[[#This Row],[ACTIVITY]],TAGS!$B:$P,4,FALSE)</f>
        <v>Extension Workers Incentives</v>
      </c>
      <c r="N283" s="54" t="str">
        <f>VLOOKUP(Table37[[#This Row],[ACTIVITY]],TAGS!$B:$P,5,FALSE)</f>
        <v>Incentives Given</v>
      </c>
      <c r="O283" s="54" t="str">
        <f>VLOOKUP(Table37[[#This Row],[ACTIVITY]],TAGS!$B:$P,6,FALSE)</f>
        <v>Provincial Coordinator</v>
      </c>
      <c r="P283" s="54" t="str">
        <f>VLOOKUP(Table37[[#This Row],[ACTIVITY]],TAGS!$B:$P,7,FALSE)</f>
        <v>NO</v>
      </c>
      <c r="Q283" s="54" t="str">
        <f>VLOOKUP(Table37[[#This Row],[ACTIVITY]],TAGS!$B:$P,8,FALSE)</f>
        <v>PAP</v>
      </c>
      <c r="R283" s="54" t="str">
        <f>VLOOKUP(Table37[[#This Row],[ACTIVITY]],TAGS!$B:$P,10,FALSE)</f>
        <v>PIP</v>
      </c>
      <c r="S283" s="54" t="str">
        <f>VLOOKUP(Table37[[#This Row],[ACTIVITY]],TAGS!$B:$P,11,FALSE)</f>
        <v>PICS</v>
      </c>
      <c r="T283" s="54" t="str">
        <f>VLOOKUP(Table37[[#This Row],[ACTIVITY]],TAGS!$B:$P,12,FALSE)</f>
        <v>Consolidation</v>
      </c>
      <c r="U283" s="54" t="str">
        <f>VLOOKUP(Table37[[#This Row],[ACTIVITY]],TAGS!$B:$P,13,FALSE)</f>
        <v>3. PAFES</v>
      </c>
      <c r="V283" s="54" t="str">
        <f>VLOOKUP(Table37[[#This Row],[ACTIVITY]],TAGS!$B:$P,14,FALSE)</f>
        <v>STRONG PARTNERSHIP WITH THE FARMERS, FISHERFOLK, PRIVATE SECTOR, AND OTHER STAKEHOLDERS</v>
      </c>
      <c r="W283" s="54" t="str">
        <f>VLOOKUP(Table37[[#This Row],[ACTIVITY]],TAGS!$B:$P,15,FALSE)</f>
        <v>Other Intervetions</v>
      </c>
      <c r="X283" s="54" t="str">
        <f>VLOOKUP(Table37[[#This Row],[PI LEVEL 3]],'PI LEVEL'!$A:$G,7,FALSE)</f>
        <v>DA-Level Output</v>
      </c>
      <c r="Y283" s="60"/>
      <c r="Z283" s="60"/>
      <c r="AA283" s="54" t="e">
        <f>VLOOKUP(Table37[[#This Row],[MONTH]],TAGS!$W$67:$Y$81,2,FALSE)</f>
        <v>#N/A</v>
      </c>
      <c r="AB283" s="54" t="e">
        <f>VLOOKUP(Table37[[#This Row],[MONTH]],TAGS!$W$67:$Y$81,3,FALSE)</f>
        <v>#N/A</v>
      </c>
      <c r="AC283" s="54" t="e">
        <f>VLOOKUP(Table37[[#This Row],[MONTH]],TAGS!$W$67:$Z$81,4,FALSE)</f>
        <v>#N/A</v>
      </c>
      <c r="AD283" s="60">
        <v>192</v>
      </c>
      <c r="AE283" s="60"/>
      <c r="AF283" s="54">
        <f>SUM(Table37[[#This Row],[MOOE (Php ''000)]:[CO (Php ''000)]])</f>
        <v>192</v>
      </c>
      <c r="AG283" s="72" t="b">
        <f>ISBLANK(Table37[[#This Row],[PRPOPOSAL/BEDS]])</f>
        <v>0</v>
      </c>
      <c r="AH283" s="72" t="b">
        <f>ISBLANK(Table37[[#This Row],[OU]])</f>
        <v>0</v>
      </c>
      <c r="AI283" s="72" t="b">
        <f>ISBLANK(Table37[[#This Row],[SPECIFIC COMMODITY]])</f>
        <v>0</v>
      </c>
      <c r="AJ283" s="72" t="b">
        <f>ISBLANK(Table37[[#This Row],[COMMODITY PREXC SUB-PROGRAM]])</f>
        <v>0</v>
      </c>
      <c r="AK283" s="72" t="b">
        <f>ISBLANK(Table37[[#This Row],[ACTIVITY]])</f>
        <v>0</v>
      </c>
      <c r="AL283" s="72" t="b">
        <f>ISBLANK(Table37[[#This Row],[TAG-GAD]])</f>
        <v>1</v>
      </c>
      <c r="AM283" s="72" t="b">
        <f>ISBLANK(Table37[[#This Row],[MONTH]])</f>
        <v>1</v>
      </c>
      <c r="AN283" s="72" t="b">
        <f>ISBLANK(Table37[[#This Row],[MOOE (Php ''000)]])</f>
        <v>0</v>
      </c>
      <c r="AO283" s="72" t="b">
        <f>ISBLANK(Table37[[#This Row],[CO (Php ''000)]])</f>
        <v>1</v>
      </c>
    </row>
    <row r="284" spans="1:41">
      <c r="A284" s="54" t="str">
        <f>VLOOKUP(Table37[[#This Row],[OU]],OU!$A$15:$B$34,2,FALSE)</f>
        <v>RFOs</v>
      </c>
      <c r="B284" s="60" t="s">
        <v>436</v>
      </c>
      <c r="C284" s="47" t="s">
        <v>574</v>
      </c>
      <c r="D284" s="60" t="s">
        <v>585</v>
      </c>
      <c r="E284" s="54" t="str">
        <f>VLOOKUP(Table37[[#This Row],[SPECIFIC COMMODITY]],TAGS!$W$48:$X$53,2,FALSE)</f>
        <v>Multi_commodity</v>
      </c>
      <c r="F284" s="54" t="str">
        <f>VLOOKUP(Table37[[#This Row],[PREXC SUB-PROGRAM]],Table5[],2,FALSE)</f>
        <v>TECHNICAL AND SUPPORT SERVICES PROGRAM</v>
      </c>
      <c r="G284" s="54" t="str">
        <f>VLOOKUP(Table37[[#This Row],[COMMODITY PREXC SUB-PROGRAM]],TAGS!$U$54:$V$76,2,FALSE)</f>
        <v>ESETS</v>
      </c>
      <c r="H284" s="60" t="s">
        <v>592</v>
      </c>
      <c r="I284" s="54" t="str">
        <f>VLOOKUP(Table37[[#This Row],[PI LEVEL 3]],'PI LEVEL'!A:C,3,FALSE)</f>
        <v>Extension support activities conducted</v>
      </c>
      <c r="J284" s="54" t="str">
        <f>VLOOKUP(Table37[[#This Row],[PI LEVEL 3]],Table53729[[Performance Indicator Level 3]:[Performance Indicator Level 1]],2,FALSE)</f>
        <v>Extension support activities conducted</v>
      </c>
      <c r="K284" s="54" t="str">
        <f>VLOOKUP(Table37[[#This Row],[ACTIVITY]],TAGS!B:P,2,FALSE)</f>
        <v>Other extension support activities conducted</v>
      </c>
      <c r="L284" s="60" t="s">
        <v>163</v>
      </c>
      <c r="M284" s="54" t="str">
        <f>VLOOKUP(Table37[[#This Row],[ACTIVITY]],TAGS!$B:$P,4,FALSE)</f>
        <v>Information, Education, and Communication Activities</v>
      </c>
      <c r="N284" s="54" t="str">
        <f>VLOOKUP(Table37[[#This Row],[ACTIVITY]],TAGS!$B:$P,5,FALSE)</f>
        <v>Information, Education, and Communication Activities</v>
      </c>
      <c r="O284" s="54" t="str">
        <f>VLOOKUP(Table37[[#This Row],[ACTIVITY]],TAGS!$B:$P,6,FALSE)</f>
        <v>TV Plugs</v>
      </c>
      <c r="P284" s="54" t="str">
        <f>VLOOKUP(Table37[[#This Row],[ACTIVITY]],TAGS!$B:$P,7,FALSE)</f>
        <v>NO</v>
      </c>
      <c r="Q284" s="54" t="str">
        <f>VLOOKUP(Table37[[#This Row],[ACTIVITY]],TAGS!$B:$P,8,FALSE)</f>
        <v>PAP</v>
      </c>
      <c r="R284" s="54" t="str">
        <f>VLOOKUP(Table37[[#This Row],[ACTIVITY]],TAGS!$B:$P,10,FALSE)</f>
        <v>PIP</v>
      </c>
      <c r="S284" s="54" t="str">
        <f>VLOOKUP(Table37[[#This Row],[ACTIVITY]],TAGS!$B:$P,11,FALSE)</f>
        <v>PICS</v>
      </c>
      <c r="T284" s="54" t="str">
        <f>VLOOKUP(Table37[[#This Row],[ACTIVITY]],TAGS!$B:$P,12,FALSE)</f>
        <v>Strategic Communication</v>
      </c>
      <c r="U284" s="54" t="str">
        <f>VLOOKUP(Table37[[#This Row],[ACTIVITY]],TAGS!$B:$P,13,FALSE)</f>
        <v>18. Strategic Communications​</v>
      </c>
      <c r="V284" s="54">
        <f>VLOOKUP(Table37[[#This Row],[ACTIVITY]],TAGS!$B:$P,14,FALSE)</f>
        <v>0</v>
      </c>
      <c r="W284" s="54" t="str">
        <f>VLOOKUP(Table37[[#This Row],[ACTIVITY]],TAGS!$B:$P,15,FALSE)</f>
        <v>IEC</v>
      </c>
      <c r="X284" s="54" t="str">
        <f>VLOOKUP(Table37[[#This Row],[PI LEVEL 3]],'PI LEVEL'!$A:$G,7,FALSE)</f>
        <v>DA-Level Output</v>
      </c>
      <c r="Y284" s="60"/>
      <c r="Z284" s="60"/>
      <c r="AA284" s="54" t="e">
        <f>VLOOKUP(Table37[[#This Row],[MONTH]],TAGS!$W$67:$Y$81,2,FALSE)</f>
        <v>#N/A</v>
      </c>
      <c r="AB284" s="54" t="e">
        <f>VLOOKUP(Table37[[#This Row],[MONTH]],TAGS!$W$67:$Y$81,3,FALSE)</f>
        <v>#N/A</v>
      </c>
      <c r="AC284" s="54" t="e">
        <f>VLOOKUP(Table37[[#This Row],[MONTH]],TAGS!$W$67:$Z$81,4,FALSE)</f>
        <v>#N/A</v>
      </c>
      <c r="AD284" s="60">
        <v>400</v>
      </c>
      <c r="AE284" s="60"/>
      <c r="AF284" s="54">
        <f>SUM(Table37[[#This Row],[MOOE (Php ''000)]:[CO (Php ''000)]])</f>
        <v>400</v>
      </c>
      <c r="AG284" s="72" t="b">
        <f>ISBLANK(Table37[[#This Row],[PRPOPOSAL/BEDS]])</f>
        <v>0</v>
      </c>
      <c r="AH284" s="72" t="b">
        <f>ISBLANK(Table37[[#This Row],[OU]])</f>
        <v>0</v>
      </c>
      <c r="AI284" s="72" t="b">
        <f>ISBLANK(Table37[[#This Row],[SPECIFIC COMMODITY]])</f>
        <v>0</v>
      </c>
      <c r="AJ284" s="72" t="b">
        <f>ISBLANK(Table37[[#This Row],[COMMODITY PREXC SUB-PROGRAM]])</f>
        <v>0</v>
      </c>
      <c r="AK284" s="72" t="b">
        <f>ISBLANK(Table37[[#This Row],[ACTIVITY]])</f>
        <v>0</v>
      </c>
      <c r="AL284" s="72" t="b">
        <f>ISBLANK(Table37[[#This Row],[TAG-GAD]])</f>
        <v>1</v>
      </c>
      <c r="AM284" s="72" t="b">
        <f>ISBLANK(Table37[[#This Row],[MONTH]])</f>
        <v>1</v>
      </c>
      <c r="AN284" s="72" t="b">
        <f>ISBLANK(Table37[[#This Row],[MOOE (Php ''000)]])</f>
        <v>0</v>
      </c>
      <c r="AO284" s="72" t="b">
        <f>ISBLANK(Table37[[#This Row],[CO (Php ''000)]])</f>
        <v>1</v>
      </c>
    </row>
    <row r="285" spans="1:41">
      <c r="A285" s="54" t="str">
        <f>VLOOKUP(Table37[[#This Row],[OU]],OU!$A$15:$B$34,2,FALSE)</f>
        <v>RFOs</v>
      </c>
      <c r="B285" s="60" t="s">
        <v>436</v>
      </c>
      <c r="C285" s="47" t="s">
        <v>574</v>
      </c>
      <c r="D285" s="60" t="s">
        <v>585</v>
      </c>
      <c r="E285" s="54" t="str">
        <f>VLOOKUP(Table37[[#This Row],[SPECIFIC COMMODITY]],TAGS!$W$48:$X$53,2,FALSE)</f>
        <v>Multi_commodity</v>
      </c>
      <c r="F285" s="54" t="str">
        <f>VLOOKUP(Table37[[#This Row],[PREXC SUB-PROGRAM]],Table5[],2,FALSE)</f>
        <v>TECHNICAL AND SUPPORT SERVICES PROGRAM</v>
      </c>
      <c r="G285" s="54" t="str">
        <f>VLOOKUP(Table37[[#This Row],[COMMODITY PREXC SUB-PROGRAM]],TAGS!$U$54:$V$76,2,FALSE)</f>
        <v>ESETS</v>
      </c>
      <c r="H285" s="60" t="s">
        <v>592</v>
      </c>
      <c r="I285" s="54" t="str">
        <f>VLOOKUP(Table37[[#This Row],[PI LEVEL 3]],'PI LEVEL'!A:C,3,FALSE)</f>
        <v>Extension support activities conducted</v>
      </c>
      <c r="J285" s="54" t="str">
        <f>VLOOKUP(Table37[[#This Row],[PI LEVEL 3]],Table53729[[Performance Indicator Level 3]:[Performance Indicator Level 1]],2,FALSE)</f>
        <v>Extension support activities conducted</v>
      </c>
      <c r="K285" s="54" t="str">
        <f>VLOOKUP(Table37[[#This Row],[ACTIVITY]],TAGS!B:P,2,FALSE)</f>
        <v>Other extension support activities conducted</v>
      </c>
      <c r="L285" s="60" t="s">
        <v>165</v>
      </c>
      <c r="M285" s="54" t="str">
        <f>VLOOKUP(Table37[[#This Row],[ACTIVITY]],TAGS!$B:$P,4,FALSE)</f>
        <v>Special Events</v>
      </c>
      <c r="N285" s="54" t="str">
        <f>VLOOKUP(Table37[[#This Row],[ACTIVITY]],TAGS!$B:$P,5,FALSE)</f>
        <v>Special Events</v>
      </c>
      <c r="O285" s="54" t="str">
        <f>VLOOKUP(Table37[[#This Row],[ACTIVITY]],TAGS!$B:$P,6,FALSE)</f>
        <v>Corn and Cassava Congress</v>
      </c>
      <c r="P285" s="54" t="str">
        <f>VLOOKUP(Table37[[#This Row],[ACTIVITY]],TAGS!$B:$P,7,FALSE)</f>
        <v>NO</v>
      </c>
      <c r="Q285" s="54" t="str">
        <f>VLOOKUP(Table37[[#This Row],[ACTIVITY]],TAGS!$B:$P,8,FALSE)</f>
        <v>PAP</v>
      </c>
      <c r="R285" s="54" t="str">
        <f>VLOOKUP(Table37[[#This Row],[ACTIVITY]],TAGS!$B:$P,10,FALSE)</f>
        <v>PIP</v>
      </c>
      <c r="S285" s="54" t="str">
        <f>VLOOKUP(Table37[[#This Row],[ACTIVITY]],TAGS!$B:$P,11,FALSE)</f>
        <v>PICS</v>
      </c>
      <c r="T285" s="54" t="str">
        <f>VLOOKUP(Table37[[#This Row],[ACTIVITY]],TAGS!$B:$P,12,FALSE)</f>
        <v>Strategic Communication</v>
      </c>
      <c r="U285" s="54" t="str">
        <f>VLOOKUP(Table37[[#This Row],[ACTIVITY]],TAGS!$B:$P,13,FALSE)</f>
        <v>18. Strategic Communications​</v>
      </c>
      <c r="V285" s="54" t="str">
        <f>VLOOKUP(Table37[[#This Row],[ACTIVITY]],TAGS!$B:$P,14,FALSE)</f>
        <v>STRONG PARTNERSHIP WITH THE FARMERS, FISHERFOLK, PRIVATE SECTOR, AND OTHER STAKEHOLDERS</v>
      </c>
      <c r="W285" s="54" t="str">
        <f>VLOOKUP(Table37[[#This Row],[ACTIVITY]],TAGS!$B:$P,15,FALSE)</f>
        <v>Other Intervetions</v>
      </c>
      <c r="X285" s="54" t="str">
        <f>VLOOKUP(Table37[[#This Row],[PI LEVEL 3]],'PI LEVEL'!$A:$G,7,FALSE)</f>
        <v>DA-Level Output</v>
      </c>
      <c r="Y285" s="60"/>
      <c r="Z285" s="60"/>
      <c r="AA285" s="54" t="e">
        <f>VLOOKUP(Table37[[#This Row],[MONTH]],TAGS!$W$67:$Y$81,2,FALSE)</f>
        <v>#N/A</v>
      </c>
      <c r="AB285" s="54" t="e">
        <f>VLOOKUP(Table37[[#This Row],[MONTH]],TAGS!$W$67:$Y$81,3,FALSE)</f>
        <v>#N/A</v>
      </c>
      <c r="AC285" s="54" t="e">
        <f>VLOOKUP(Table37[[#This Row],[MONTH]],TAGS!$W$67:$Z$81,4,FALSE)</f>
        <v>#N/A</v>
      </c>
      <c r="AD285" s="60">
        <v>600</v>
      </c>
      <c r="AE285" s="60"/>
      <c r="AF285" s="54">
        <f>SUM(Table37[[#This Row],[MOOE (Php ''000)]:[CO (Php ''000)]])</f>
        <v>600</v>
      </c>
      <c r="AG285" s="72" t="b">
        <f>ISBLANK(Table37[[#This Row],[PRPOPOSAL/BEDS]])</f>
        <v>0</v>
      </c>
      <c r="AH285" s="72" t="b">
        <f>ISBLANK(Table37[[#This Row],[OU]])</f>
        <v>0</v>
      </c>
      <c r="AI285" s="72" t="b">
        <f>ISBLANK(Table37[[#This Row],[SPECIFIC COMMODITY]])</f>
        <v>0</v>
      </c>
      <c r="AJ285" s="72" t="b">
        <f>ISBLANK(Table37[[#This Row],[COMMODITY PREXC SUB-PROGRAM]])</f>
        <v>0</v>
      </c>
      <c r="AK285" s="72" t="b">
        <f>ISBLANK(Table37[[#This Row],[ACTIVITY]])</f>
        <v>0</v>
      </c>
      <c r="AL285" s="72" t="b">
        <f>ISBLANK(Table37[[#This Row],[TAG-GAD]])</f>
        <v>1</v>
      </c>
      <c r="AM285" s="72" t="b">
        <f>ISBLANK(Table37[[#This Row],[MONTH]])</f>
        <v>1</v>
      </c>
      <c r="AN285" s="72" t="b">
        <f>ISBLANK(Table37[[#This Row],[MOOE (Php ''000)]])</f>
        <v>0</v>
      </c>
      <c r="AO285" s="72" t="b">
        <f>ISBLANK(Table37[[#This Row],[CO (Php ''000)]])</f>
        <v>1</v>
      </c>
    </row>
    <row r="286" spans="1:41">
      <c r="A286" s="54" t="str">
        <f>VLOOKUP(Table37[[#This Row],[OU]],OU!$A$15:$B$34,2,FALSE)</f>
        <v>RFOs</v>
      </c>
      <c r="B286" s="60" t="s">
        <v>436</v>
      </c>
      <c r="C286" s="47" t="s">
        <v>574</v>
      </c>
      <c r="D286" s="60" t="s">
        <v>585</v>
      </c>
      <c r="E286" s="54" t="str">
        <f>VLOOKUP(Table37[[#This Row],[SPECIFIC COMMODITY]],TAGS!$W$48:$X$53,2,FALSE)</f>
        <v>Multi_commodity</v>
      </c>
      <c r="F286" s="54" t="str">
        <f>VLOOKUP(Table37[[#This Row],[PREXC SUB-PROGRAM]],Table5[],2,FALSE)</f>
        <v>TECHNICAL AND SUPPORT SERVICES PROGRAM</v>
      </c>
      <c r="G286" s="54" t="str">
        <f>VLOOKUP(Table37[[#This Row],[COMMODITY PREXC SUB-PROGRAM]],TAGS!$U$54:$V$76,2,FALSE)</f>
        <v>ESETS</v>
      </c>
      <c r="H286" s="60" t="s">
        <v>592</v>
      </c>
      <c r="I286" s="54" t="str">
        <f>VLOOKUP(Table37[[#This Row],[PI LEVEL 3]],'PI LEVEL'!A:C,3,FALSE)</f>
        <v>Extension support activities conducted</v>
      </c>
      <c r="J286" s="54" t="str">
        <f>VLOOKUP(Table37[[#This Row],[PI LEVEL 3]],Table53729[[Performance Indicator Level 3]:[Performance Indicator Level 1]],2,FALSE)</f>
        <v>Extension support activities conducted</v>
      </c>
      <c r="K286" s="54" t="str">
        <f>VLOOKUP(Table37[[#This Row],[ACTIVITY]],TAGS!B:P,2,FALSE)</f>
        <v>Other extension support activities conducted</v>
      </c>
      <c r="L286" s="60" t="s">
        <v>161</v>
      </c>
      <c r="M286" s="54" t="str">
        <f>VLOOKUP(Table37[[#This Row],[ACTIVITY]],TAGS!$B:$P,4,FALSE)</f>
        <v>Information, Education, and Communication Activities</v>
      </c>
      <c r="N286" s="54" t="str">
        <f>VLOOKUP(Table37[[#This Row],[ACTIVITY]],TAGS!$B:$P,5,FALSE)</f>
        <v>Information, Education, and Communication Activities</v>
      </c>
      <c r="O286" s="54" t="str">
        <f>VLOOKUP(Table37[[#This Row],[ACTIVITY]],TAGS!$B:$P,6,FALSE)</f>
        <v>Radio Plugs</v>
      </c>
      <c r="P286" s="54" t="str">
        <f>VLOOKUP(Table37[[#This Row],[ACTIVITY]],TAGS!$B:$P,7,FALSE)</f>
        <v>NO</v>
      </c>
      <c r="Q286" s="54" t="str">
        <f>VLOOKUP(Table37[[#This Row],[ACTIVITY]],TAGS!$B:$P,8,FALSE)</f>
        <v>PAP</v>
      </c>
      <c r="R286" s="54" t="str">
        <f>VLOOKUP(Table37[[#This Row],[ACTIVITY]],TAGS!$B:$P,10,FALSE)</f>
        <v>PIP</v>
      </c>
      <c r="S286" s="54" t="str">
        <f>VLOOKUP(Table37[[#This Row],[ACTIVITY]],TAGS!$B:$P,11,FALSE)</f>
        <v>PICS</v>
      </c>
      <c r="T286" s="54" t="str">
        <f>VLOOKUP(Table37[[#This Row],[ACTIVITY]],TAGS!$B:$P,12,FALSE)</f>
        <v>Strategic Communication</v>
      </c>
      <c r="U286" s="54" t="str">
        <f>VLOOKUP(Table37[[#This Row],[ACTIVITY]],TAGS!$B:$P,13,FALSE)</f>
        <v>18. Strategic Communications​</v>
      </c>
      <c r="V286" s="54">
        <f>VLOOKUP(Table37[[#This Row],[ACTIVITY]],TAGS!$B:$P,14,FALSE)</f>
        <v>0</v>
      </c>
      <c r="W286" s="54" t="str">
        <f>VLOOKUP(Table37[[#This Row],[ACTIVITY]],TAGS!$B:$P,15,FALSE)</f>
        <v>IEC</v>
      </c>
      <c r="X286" s="54" t="str">
        <f>VLOOKUP(Table37[[#This Row],[PI LEVEL 3]],'PI LEVEL'!$A:$G,7,FALSE)</f>
        <v>DA-Level Output</v>
      </c>
      <c r="Y286" s="60"/>
      <c r="Z286" s="60"/>
      <c r="AA286" s="54" t="e">
        <f>VLOOKUP(Table37[[#This Row],[MONTH]],TAGS!$W$67:$Y$81,2,FALSE)</f>
        <v>#N/A</v>
      </c>
      <c r="AB286" s="54" t="e">
        <f>VLOOKUP(Table37[[#This Row],[MONTH]],TAGS!$W$67:$Y$81,3,FALSE)</f>
        <v>#N/A</v>
      </c>
      <c r="AC286" s="54" t="e">
        <f>VLOOKUP(Table37[[#This Row],[MONTH]],TAGS!$W$67:$Z$81,4,FALSE)</f>
        <v>#N/A</v>
      </c>
      <c r="AD286" s="60">
        <v>350</v>
      </c>
      <c r="AE286" s="60"/>
      <c r="AF286" s="54">
        <f>SUM(Table37[[#This Row],[MOOE (Php ''000)]:[CO (Php ''000)]])</f>
        <v>350</v>
      </c>
      <c r="AG286" s="72" t="b">
        <f>ISBLANK(Table37[[#This Row],[PRPOPOSAL/BEDS]])</f>
        <v>0</v>
      </c>
      <c r="AH286" s="72" t="b">
        <f>ISBLANK(Table37[[#This Row],[OU]])</f>
        <v>0</v>
      </c>
      <c r="AI286" s="72" t="b">
        <f>ISBLANK(Table37[[#This Row],[SPECIFIC COMMODITY]])</f>
        <v>0</v>
      </c>
      <c r="AJ286" s="72" t="b">
        <f>ISBLANK(Table37[[#This Row],[COMMODITY PREXC SUB-PROGRAM]])</f>
        <v>0</v>
      </c>
      <c r="AK286" s="72" t="b">
        <f>ISBLANK(Table37[[#This Row],[ACTIVITY]])</f>
        <v>0</v>
      </c>
      <c r="AL286" s="72" t="b">
        <f>ISBLANK(Table37[[#This Row],[TAG-GAD]])</f>
        <v>1</v>
      </c>
      <c r="AM286" s="72" t="b">
        <f>ISBLANK(Table37[[#This Row],[MONTH]])</f>
        <v>1</v>
      </c>
      <c r="AN286" s="72" t="b">
        <f>ISBLANK(Table37[[#This Row],[MOOE (Php ''000)]])</f>
        <v>0</v>
      </c>
      <c r="AO286" s="72" t="b">
        <f>ISBLANK(Table37[[#This Row],[CO (Php ''000)]])</f>
        <v>1</v>
      </c>
    </row>
    <row r="287" spans="1:41">
      <c r="A287" s="54" t="str">
        <f>VLOOKUP(Table37[[#This Row],[OU]],OU!$A$15:$B$34,2,FALSE)</f>
        <v>RFOs</v>
      </c>
      <c r="B287" s="60" t="s">
        <v>436</v>
      </c>
      <c r="C287" s="47" t="s">
        <v>574</v>
      </c>
      <c r="D287" s="60" t="s">
        <v>581</v>
      </c>
      <c r="E287" s="54" t="str">
        <f>VLOOKUP(Table37[[#This Row],[SPECIFIC COMMODITY]],TAGS!$W$48:$X$53,2,FALSE)</f>
        <v>Sorghum</v>
      </c>
      <c r="F287" s="54" t="str">
        <f>VLOOKUP(Table37[[#This Row],[PREXC SUB-PROGRAM]],Table5[],2,FALSE)</f>
        <v>TECHNICAL AND SUPPORT SERVICES PROGRAM</v>
      </c>
      <c r="G287" s="54" t="str">
        <f>VLOOKUP(Table37[[#This Row],[COMMODITY PREXC SUB-PROGRAM]],TAGS!$U$54:$V$76,2,FALSE)</f>
        <v>ESETS</v>
      </c>
      <c r="H287" s="60" t="s">
        <v>590</v>
      </c>
      <c r="I287" s="54" t="str">
        <f>VLOOKUP(Table37[[#This Row],[PI LEVEL 3]],'PI LEVEL'!A:C,3,FALSE)</f>
        <v>Technology demonstrations established/maintained</v>
      </c>
      <c r="J287" s="54" t="str">
        <f>VLOOKUP(Table37[[#This Row],[PI LEVEL 3]],Table53729[[Performance Indicator Level 3]:[Performance Indicator Level 1]],2,FALSE)</f>
        <v>Model Farms established</v>
      </c>
      <c r="K287" s="54" t="str">
        <f>VLOOKUP(Table37[[#This Row],[ACTIVITY]],TAGS!B:P,2,FALSE)</f>
        <v>Model Farms established</v>
      </c>
      <c r="L287" s="60" t="s">
        <v>115</v>
      </c>
      <c r="M287" s="54" t="str">
        <f>VLOOKUP(Table37[[#This Row],[ACTIVITY]],TAGS!$B:$P,4,FALSE)</f>
        <v>Model Farm establishment</v>
      </c>
      <c r="N287" s="54" t="str">
        <f>VLOOKUP(Table37[[#This Row],[ACTIVITY]],TAGS!$B:$P,5,FALSE)</f>
        <v>Model farm</v>
      </c>
      <c r="O287" s="54" t="str">
        <f>VLOOKUP(Table37[[#This Row],[ACTIVITY]],TAGS!$B:$P,6,FALSE)</f>
        <v>Sorghum model farm</v>
      </c>
      <c r="P287" s="54" t="str">
        <f>VLOOKUP(Table37[[#This Row],[ACTIVITY]],TAGS!$B:$P,7,FALSE)</f>
        <v>YES</v>
      </c>
      <c r="Q287" s="54" t="str">
        <f>VLOOKUP(Table37[[#This Row],[ACTIVITY]],TAGS!$B:$P,8,FALSE)</f>
        <v>PAP</v>
      </c>
      <c r="R287" s="54" t="str">
        <f>VLOOKUP(Table37[[#This Row],[ACTIVITY]],TAGS!$B:$P,10,FALSE)</f>
        <v>PIP</v>
      </c>
      <c r="S287" s="54" t="str">
        <f>VLOOKUP(Table37[[#This Row],[ACTIVITY]],TAGS!$B:$P,11,FALSE)</f>
        <v>PICS</v>
      </c>
      <c r="T287" s="54" t="str">
        <f>VLOOKUP(Table37[[#This Row],[ACTIVITY]],TAGS!$B:$P,12,FALSE)</f>
        <v>Consolidation</v>
      </c>
      <c r="U287" s="54" t="str">
        <f>VLOOKUP(Table37[[#This Row],[ACTIVITY]],TAGS!$B:$P,13,FALSE)</f>
        <v>1. Bayanihan Agri Cluster</v>
      </c>
      <c r="V287" s="54" t="str">
        <f>VLOOKUP(Table37[[#This Row],[ACTIVITY]],TAGS!$B:$P,14,FALSE)</f>
        <v>EXPAND AND IMPROVE AVAILABLE AGRI-FISHERY AREAS FOR INCREASED PRODUCTION</v>
      </c>
      <c r="W287" s="54" t="str">
        <f>VLOOKUP(Table37[[#This Row],[ACTIVITY]],TAGS!$B:$P,15,FALSE)</f>
        <v>Farm Inputs</v>
      </c>
      <c r="X287" s="54" t="str">
        <f>VLOOKUP(Table37[[#This Row],[PI LEVEL 3]],'PI LEVEL'!$A:$G,7,FALSE)</f>
        <v>DA-Level Output</v>
      </c>
      <c r="Y287" s="60"/>
      <c r="Z287" s="60"/>
      <c r="AA287" s="54" t="e">
        <f>VLOOKUP(Table37[[#This Row],[MONTH]],TAGS!$W$67:$Y$81,2,FALSE)</f>
        <v>#N/A</v>
      </c>
      <c r="AB287" s="54" t="e">
        <f>VLOOKUP(Table37[[#This Row],[MONTH]],TAGS!$W$67:$Y$81,3,FALSE)</f>
        <v>#N/A</v>
      </c>
      <c r="AC287" s="54" t="e">
        <f>VLOOKUP(Table37[[#This Row],[MONTH]],TAGS!$W$67:$Z$81,4,FALSE)</f>
        <v>#N/A</v>
      </c>
      <c r="AD287" s="60">
        <v>280</v>
      </c>
      <c r="AE287" s="60"/>
      <c r="AF287" s="54">
        <f>SUM(Table37[[#This Row],[MOOE (Php ''000)]:[CO (Php ''000)]])</f>
        <v>280</v>
      </c>
      <c r="AG287" s="72" t="b">
        <f>ISBLANK(Table37[[#This Row],[PRPOPOSAL/BEDS]])</f>
        <v>0</v>
      </c>
      <c r="AH287" s="72" t="b">
        <f>ISBLANK(Table37[[#This Row],[OU]])</f>
        <v>0</v>
      </c>
      <c r="AI287" s="72" t="b">
        <f>ISBLANK(Table37[[#This Row],[SPECIFIC COMMODITY]])</f>
        <v>0</v>
      </c>
      <c r="AJ287" s="72" t="b">
        <f>ISBLANK(Table37[[#This Row],[COMMODITY PREXC SUB-PROGRAM]])</f>
        <v>0</v>
      </c>
      <c r="AK287" s="72" t="b">
        <f>ISBLANK(Table37[[#This Row],[ACTIVITY]])</f>
        <v>0</v>
      </c>
      <c r="AL287" s="72" t="b">
        <f>ISBLANK(Table37[[#This Row],[TAG-GAD]])</f>
        <v>1</v>
      </c>
      <c r="AM287" s="72" t="b">
        <f>ISBLANK(Table37[[#This Row],[MONTH]])</f>
        <v>1</v>
      </c>
      <c r="AN287" s="72" t="b">
        <f>ISBLANK(Table37[[#This Row],[MOOE (Php ''000)]])</f>
        <v>0</v>
      </c>
      <c r="AO287" s="72" t="b">
        <f>ISBLANK(Table37[[#This Row],[CO (Php ''000)]])</f>
        <v>1</v>
      </c>
    </row>
    <row r="288" spans="1:41">
      <c r="A288" s="54" t="str">
        <f>VLOOKUP(Table37[[#This Row],[OU]],OU!$A$15:$B$34,2,FALSE)</f>
        <v>RFOs</v>
      </c>
      <c r="B288" s="60" t="s">
        <v>436</v>
      </c>
      <c r="C288" s="47" t="s">
        <v>574</v>
      </c>
      <c r="D288" s="60" t="s">
        <v>581</v>
      </c>
      <c r="E288" s="54" t="str">
        <f>VLOOKUP(Table37[[#This Row],[SPECIFIC COMMODITY]],TAGS!$W$48:$X$53,2,FALSE)</f>
        <v>Sorghum</v>
      </c>
      <c r="F288" s="54" t="str">
        <f>VLOOKUP(Table37[[#This Row],[PREXC SUB-PROGRAM]],Table5[],2,FALSE)</f>
        <v>TECHNICAL AND SUPPORT SERVICES PROGRAM</v>
      </c>
      <c r="G288" s="54" t="str">
        <f>VLOOKUP(Table37[[#This Row],[COMMODITY PREXC SUB-PROGRAM]],TAGS!$U$54:$V$76,2,FALSE)</f>
        <v>ESETS</v>
      </c>
      <c r="H288" s="60" t="s">
        <v>590</v>
      </c>
      <c r="I288" s="54" t="str">
        <f>VLOOKUP(Table37[[#This Row],[PI LEVEL 3]],'PI LEVEL'!A:C,3,FALSE)</f>
        <v>Technology demonstrations established/maintained</v>
      </c>
      <c r="J288" s="54" t="str">
        <f>VLOOKUP(Table37[[#This Row],[PI LEVEL 3]],Table53729[[Performance Indicator Level 3]:[Performance Indicator Level 1]],2,FALSE)</f>
        <v>Techno demo established</v>
      </c>
      <c r="K288" s="54" t="str">
        <f>VLOOKUP(Table37[[#This Row],[ACTIVITY]],TAGS!B:P,2,FALSE)</f>
        <v>Techno demo established</v>
      </c>
      <c r="L288" s="60" t="s">
        <v>117</v>
      </c>
      <c r="M288" s="54" t="str">
        <f>VLOOKUP(Table37[[#This Row],[ACTIVITY]],TAGS!$B:$P,4,FALSE)</f>
        <v>Techno Demo establishment</v>
      </c>
      <c r="N288" s="54" t="str">
        <f>VLOOKUP(Table37[[#This Row],[ACTIVITY]],TAGS!$B:$P,5,FALSE)</f>
        <v>Techno Demo</v>
      </c>
      <c r="O288" s="54" t="str">
        <f>VLOOKUP(Table37[[#This Row],[ACTIVITY]],TAGS!$B:$P,6,FALSE)</f>
        <v>Sorghum techno demo</v>
      </c>
      <c r="P288" s="54" t="str">
        <f>VLOOKUP(Table37[[#This Row],[ACTIVITY]],TAGS!$B:$P,7,FALSE)</f>
        <v>YES</v>
      </c>
      <c r="Q288" s="54" t="str">
        <f>VLOOKUP(Table37[[#This Row],[ACTIVITY]],TAGS!$B:$P,8,FALSE)</f>
        <v>PAP</v>
      </c>
      <c r="R288" s="54" t="str">
        <f>VLOOKUP(Table37[[#This Row],[ACTIVITY]],TAGS!$B:$P,10,FALSE)</f>
        <v>PIP</v>
      </c>
      <c r="S288" s="54" t="str">
        <f>VLOOKUP(Table37[[#This Row],[ACTIVITY]],TAGS!$B:$P,11,FALSE)</f>
        <v>PICS</v>
      </c>
      <c r="T288" s="54" t="str">
        <f>VLOOKUP(Table37[[#This Row],[ACTIVITY]],TAGS!$B:$P,12,FALSE)</f>
        <v>Consolidation</v>
      </c>
      <c r="U288" s="54" t="str">
        <f>VLOOKUP(Table37[[#This Row],[ACTIVITY]],TAGS!$B:$P,13,FALSE)</f>
        <v>1. Bayanihan Agri Cluster</v>
      </c>
      <c r="V288" s="54" t="str">
        <f>VLOOKUP(Table37[[#This Row],[ACTIVITY]],TAGS!$B:$P,14,FALSE)</f>
        <v>EXPAND AND IMPROVE AVAILABLE AGRI-FISHERY AREAS FOR INCREASED PRODUCTION</v>
      </c>
      <c r="W288" s="54" t="str">
        <f>VLOOKUP(Table37[[#This Row],[ACTIVITY]],TAGS!$B:$P,15,FALSE)</f>
        <v>Farm Inputs</v>
      </c>
      <c r="X288" s="54" t="str">
        <f>VLOOKUP(Table37[[#This Row],[PI LEVEL 3]],'PI LEVEL'!$A:$G,7,FALSE)</f>
        <v>DA-Level Output</v>
      </c>
      <c r="Y288" s="60"/>
      <c r="Z288" s="60"/>
      <c r="AA288" s="54" t="e">
        <f>VLOOKUP(Table37[[#This Row],[MONTH]],TAGS!$W$67:$Y$81,2,FALSE)</f>
        <v>#N/A</v>
      </c>
      <c r="AB288" s="54" t="e">
        <f>VLOOKUP(Table37[[#This Row],[MONTH]],TAGS!$W$67:$Y$81,3,FALSE)</f>
        <v>#N/A</v>
      </c>
      <c r="AC288" s="54" t="e">
        <f>VLOOKUP(Table37[[#This Row],[MONTH]],TAGS!$W$67:$Z$81,4,FALSE)</f>
        <v>#N/A</v>
      </c>
      <c r="AD288" s="60">
        <v>160</v>
      </c>
      <c r="AE288" s="60"/>
      <c r="AF288" s="54">
        <f>SUM(Table37[[#This Row],[MOOE (Php ''000)]:[CO (Php ''000)]])</f>
        <v>160</v>
      </c>
      <c r="AG288" s="72" t="b">
        <f>ISBLANK(Table37[[#This Row],[PRPOPOSAL/BEDS]])</f>
        <v>0</v>
      </c>
      <c r="AH288" s="72" t="b">
        <f>ISBLANK(Table37[[#This Row],[OU]])</f>
        <v>0</v>
      </c>
      <c r="AI288" s="72" t="b">
        <f>ISBLANK(Table37[[#This Row],[SPECIFIC COMMODITY]])</f>
        <v>0</v>
      </c>
      <c r="AJ288" s="72" t="b">
        <f>ISBLANK(Table37[[#This Row],[COMMODITY PREXC SUB-PROGRAM]])</f>
        <v>0</v>
      </c>
      <c r="AK288" s="72" t="b">
        <f>ISBLANK(Table37[[#This Row],[ACTIVITY]])</f>
        <v>0</v>
      </c>
      <c r="AL288" s="72" t="b">
        <f>ISBLANK(Table37[[#This Row],[TAG-GAD]])</f>
        <v>1</v>
      </c>
      <c r="AM288" s="72" t="b">
        <f>ISBLANK(Table37[[#This Row],[MONTH]])</f>
        <v>1</v>
      </c>
      <c r="AN288" s="72" t="b">
        <f>ISBLANK(Table37[[#This Row],[MOOE (Php ''000)]])</f>
        <v>0</v>
      </c>
      <c r="AO288" s="72" t="b">
        <f>ISBLANK(Table37[[#This Row],[CO (Php ''000)]])</f>
        <v>1</v>
      </c>
    </row>
    <row r="289" spans="1:41">
      <c r="A289" s="54" t="str">
        <f>VLOOKUP(Table37[[#This Row],[OU]],OU!$A$15:$B$34,2,FALSE)</f>
        <v>RFOs</v>
      </c>
      <c r="B289" s="60" t="s">
        <v>436</v>
      </c>
      <c r="C289" s="47" t="s">
        <v>574</v>
      </c>
      <c r="D289" s="60" t="s">
        <v>581</v>
      </c>
      <c r="E289" s="54" t="str">
        <f>VLOOKUP(Table37[[#This Row],[SPECIFIC COMMODITY]],TAGS!$W$48:$X$53,2,FALSE)</f>
        <v>Sorghum</v>
      </c>
      <c r="F289" s="54" t="str">
        <f>VLOOKUP(Table37[[#This Row],[PREXC SUB-PROGRAM]],Table5[],2,FALSE)</f>
        <v>TECHNICAL AND SUPPORT SERVICES PROGRAM</v>
      </c>
      <c r="G289" s="54" t="str">
        <f>VLOOKUP(Table37[[#This Row],[COMMODITY PREXC SUB-PROGRAM]],TAGS!$U$54:$V$76,2,FALSE)</f>
        <v>ESETS</v>
      </c>
      <c r="H289" s="60" t="s">
        <v>590</v>
      </c>
      <c r="I289" s="54" t="str">
        <f>VLOOKUP(Table37[[#This Row],[PI LEVEL 3]],'PI LEVEL'!A:C,3,FALSE)</f>
        <v>Training conducted</v>
      </c>
      <c r="J289" s="54" t="str">
        <f>VLOOKUP(Table37[[#This Row],[PI LEVEL 3]],Table53729[[Performance Indicator Level 3]:[Performance Indicator Level 1]],2,FALSE)</f>
        <v>Other training conducted</v>
      </c>
      <c r="K289" s="54" t="str">
        <f>VLOOKUP(Table37[[#This Row],[ACTIVITY]],TAGS!B:P,2,FALSE)</f>
        <v>Other training conducted_Farmers/Fisherfolk/Other External Participants</v>
      </c>
      <c r="L289" s="60" t="s">
        <v>153</v>
      </c>
      <c r="M289" s="54" t="str">
        <f>VLOOKUP(Table37[[#This Row],[ACTIVITY]],TAGS!$B:$P,4,FALSE)</f>
        <v>Trainings</v>
      </c>
      <c r="N289" s="54" t="str">
        <f>VLOOKUP(Table37[[#This Row],[ACTIVITY]],TAGS!$B:$P,5,FALSE)</f>
        <v>Trainings</v>
      </c>
      <c r="O289" s="54" t="str">
        <f>VLOOKUP(Table37[[#This Row],[ACTIVITY]],TAGS!$B:$P,6,FALSE)</f>
        <v>Sorghum Production Training </v>
      </c>
      <c r="P289" s="54" t="str">
        <f>VLOOKUP(Table37[[#This Row],[ACTIVITY]],TAGS!$B:$P,7,FALSE)</f>
        <v>NO</v>
      </c>
      <c r="Q289" s="54" t="str">
        <f>VLOOKUP(Table37[[#This Row],[ACTIVITY]],TAGS!$B:$P,8,FALSE)</f>
        <v>PAP</v>
      </c>
      <c r="R289" s="54" t="str">
        <f>VLOOKUP(Table37[[#This Row],[ACTIVITY]],TAGS!$B:$P,10,FALSE)</f>
        <v>PIP</v>
      </c>
      <c r="S289" s="54" t="str">
        <f>VLOOKUP(Table37[[#This Row],[ACTIVITY]],TAGS!$B:$P,11,FALSE)</f>
        <v>PICS</v>
      </c>
      <c r="T289" s="54" t="str">
        <f>VLOOKUP(Table37[[#This Row],[ACTIVITY]],TAGS!$B:$P,12,FALSE)</f>
        <v>Consolidation</v>
      </c>
      <c r="U289" s="54" t="str">
        <f>VLOOKUP(Table37[[#This Row],[ACTIVITY]],TAGS!$B:$P,13,FALSE)</f>
        <v>1. Bayanihan Agri Cluster</v>
      </c>
      <c r="V289" s="54" t="str">
        <f>VLOOKUP(Table37[[#This Row],[ACTIVITY]],TAGS!$B:$P,14,FALSE)</f>
        <v>EXPAND AND IMPROVE AVAILABLE AGRI-FISHERY AREAS FOR INCREASED PRODUCTION</v>
      </c>
      <c r="W289" s="54" t="str">
        <f>VLOOKUP(Table37[[#This Row],[ACTIVITY]],TAGS!$B:$P,15,FALSE)</f>
        <v>Capacity Building</v>
      </c>
      <c r="X289" s="54" t="str">
        <f>VLOOKUP(Table37[[#This Row],[PI LEVEL 3]],'PI LEVEL'!$A:$G,7,FALSE)</f>
        <v>PREXC/DA-Level Output</v>
      </c>
      <c r="Y289" s="60"/>
      <c r="Z289" s="60"/>
      <c r="AA289" s="54" t="e">
        <f>VLOOKUP(Table37[[#This Row],[MONTH]],TAGS!$W$67:$Y$81,2,FALSE)</f>
        <v>#N/A</v>
      </c>
      <c r="AB289" s="54" t="e">
        <f>VLOOKUP(Table37[[#This Row],[MONTH]],TAGS!$W$67:$Y$81,3,FALSE)</f>
        <v>#N/A</v>
      </c>
      <c r="AC289" s="54" t="e">
        <f>VLOOKUP(Table37[[#This Row],[MONTH]],TAGS!$W$67:$Z$81,4,FALSE)</f>
        <v>#N/A</v>
      </c>
      <c r="AD289" s="60">
        <v>140</v>
      </c>
      <c r="AE289" s="60"/>
      <c r="AF289" s="54">
        <f>SUM(Table37[[#This Row],[MOOE (Php ''000)]:[CO (Php ''000)]])</f>
        <v>140</v>
      </c>
      <c r="AG289" s="72" t="b">
        <f>ISBLANK(Table37[[#This Row],[PRPOPOSAL/BEDS]])</f>
        <v>0</v>
      </c>
      <c r="AH289" s="72" t="b">
        <f>ISBLANK(Table37[[#This Row],[OU]])</f>
        <v>0</v>
      </c>
      <c r="AI289" s="72" t="b">
        <f>ISBLANK(Table37[[#This Row],[SPECIFIC COMMODITY]])</f>
        <v>0</v>
      </c>
      <c r="AJ289" s="72" t="b">
        <f>ISBLANK(Table37[[#This Row],[COMMODITY PREXC SUB-PROGRAM]])</f>
        <v>0</v>
      </c>
      <c r="AK289" s="72" t="b">
        <f>ISBLANK(Table37[[#This Row],[ACTIVITY]])</f>
        <v>0</v>
      </c>
      <c r="AL289" s="72" t="b">
        <f>ISBLANK(Table37[[#This Row],[TAG-GAD]])</f>
        <v>1</v>
      </c>
      <c r="AM289" s="72" t="b">
        <f>ISBLANK(Table37[[#This Row],[MONTH]])</f>
        <v>1</v>
      </c>
      <c r="AN289" s="72" t="b">
        <f>ISBLANK(Table37[[#This Row],[MOOE (Php ''000)]])</f>
        <v>0</v>
      </c>
      <c r="AO289" s="72" t="b">
        <f>ISBLANK(Table37[[#This Row],[CO (Php ''000)]])</f>
        <v>1</v>
      </c>
    </row>
    <row r="290" spans="1:41">
      <c r="A290" s="54" t="str">
        <f>VLOOKUP(Table37[[#This Row],[OU]],OU!$A$15:$B$34,2,FALSE)</f>
        <v>RFOs</v>
      </c>
      <c r="B290" s="60" t="s">
        <v>436</v>
      </c>
      <c r="C290" s="47" t="s">
        <v>574</v>
      </c>
      <c r="D290" s="60" t="s">
        <v>581</v>
      </c>
      <c r="E290" s="54" t="str">
        <f>VLOOKUP(Table37[[#This Row],[SPECIFIC COMMODITY]],TAGS!$W$48:$X$53,2,FALSE)</f>
        <v>Sorghum</v>
      </c>
      <c r="F290" s="54" t="str">
        <f>VLOOKUP(Table37[[#This Row],[PREXC SUB-PROGRAM]],Table5[],2,FALSE)</f>
        <v>TECHNICAL AND SUPPORT SERVICES PROGRAM</v>
      </c>
      <c r="G290" s="54" t="str">
        <f>VLOOKUP(Table37[[#This Row],[COMMODITY PREXC SUB-PROGRAM]],TAGS!$U$54:$V$76,2,FALSE)</f>
        <v>ESETS</v>
      </c>
      <c r="H290" s="60" t="s">
        <v>590</v>
      </c>
      <c r="I290" s="54" t="str">
        <f>VLOOKUP(Table37[[#This Row],[PI LEVEL 3]],'PI LEVEL'!A:C,3,FALSE)</f>
        <v>Knowledge Products disseminated</v>
      </c>
      <c r="J290" s="54" t="str">
        <f>VLOOKUP(Table37[[#This Row],[PI LEVEL 3]],Table53729[[Performance Indicator Level 3]:[Performance Indicator Level 1]],2,FALSE)</f>
        <v>Knowledge Products disseminated</v>
      </c>
      <c r="K290" s="54" t="str">
        <f>VLOOKUP(Table37[[#This Row],[ACTIVITY]],TAGS!B:P,2,FALSE)</f>
        <v>Knowledge Products disseminated</v>
      </c>
      <c r="L290" s="60" t="s">
        <v>155</v>
      </c>
      <c r="M290" s="54" t="str">
        <f>VLOOKUP(Table37[[#This Row],[ACTIVITY]],TAGS!$B:$P,4,FALSE)</f>
        <v>Information, Education, and Communication Activities</v>
      </c>
      <c r="N290" s="54" t="str">
        <f>VLOOKUP(Table37[[#This Row],[ACTIVITY]],TAGS!$B:$P,5,FALSE)</f>
        <v>Information, Education, and Communication Activities</v>
      </c>
      <c r="O290" s="54" t="str">
        <f>VLOOKUP(Table37[[#This Row],[ACTIVITY]],TAGS!$B:$P,6,FALSE)</f>
        <v>IEC materials</v>
      </c>
      <c r="P290" s="54" t="str">
        <f>VLOOKUP(Table37[[#This Row],[ACTIVITY]],TAGS!$B:$P,7,FALSE)</f>
        <v>NO</v>
      </c>
      <c r="Q290" s="54" t="str">
        <f>VLOOKUP(Table37[[#This Row],[ACTIVITY]],TAGS!$B:$P,8,FALSE)</f>
        <v>PAP</v>
      </c>
      <c r="R290" s="54" t="str">
        <f>VLOOKUP(Table37[[#This Row],[ACTIVITY]],TAGS!$B:$P,10,FALSE)</f>
        <v>PIP</v>
      </c>
      <c r="S290" s="54" t="str">
        <f>VLOOKUP(Table37[[#This Row],[ACTIVITY]],TAGS!$B:$P,11,FALSE)</f>
        <v>PICS</v>
      </c>
      <c r="T290" s="54" t="str">
        <f>VLOOKUP(Table37[[#This Row],[ACTIVITY]],TAGS!$B:$P,12,FALSE)</f>
        <v>Strategic Communication</v>
      </c>
      <c r="U290" s="54" t="str">
        <f>VLOOKUP(Table37[[#This Row],[ACTIVITY]],TAGS!$B:$P,13,FALSE)</f>
        <v>18. Strategic Communications​</v>
      </c>
      <c r="V290" s="54">
        <f>VLOOKUP(Table37[[#This Row],[ACTIVITY]],TAGS!$B:$P,14,FALSE)</f>
        <v>0</v>
      </c>
      <c r="W290" s="54" t="str">
        <f>VLOOKUP(Table37[[#This Row],[ACTIVITY]],TAGS!$B:$P,15,FALSE)</f>
        <v>IEC</v>
      </c>
      <c r="X290" s="54" t="str">
        <f>VLOOKUP(Table37[[#This Row],[PI LEVEL 3]],'PI LEVEL'!$A:$G,7,FALSE)</f>
        <v>DA-Level Output</v>
      </c>
      <c r="Y290" s="60"/>
      <c r="Z290" s="60"/>
      <c r="AA290" s="54" t="e">
        <f>VLOOKUP(Table37[[#This Row],[MONTH]],TAGS!$W$67:$Y$81,2,FALSE)</f>
        <v>#N/A</v>
      </c>
      <c r="AB290" s="54" t="e">
        <f>VLOOKUP(Table37[[#This Row],[MONTH]],TAGS!$W$67:$Y$81,3,FALSE)</f>
        <v>#N/A</v>
      </c>
      <c r="AC290" s="54" t="e">
        <f>VLOOKUP(Table37[[#This Row],[MONTH]],TAGS!$W$67:$Z$81,4,FALSE)</f>
        <v>#N/A</v>
      </c>
      <c r="AD290" s="60">
        <v>50</v>
      </c>
      <c r="AE290" s="60"/>
      <c r="AF290" s="54">
        <f>SUM(Table37[[#This Row],[MOOE (Php ''000)]:[CO (Php ''000)]])</f>
        <v>50</v>
      </c>
      <c r="AG290" s="72" t="b">
        <f>ISBLANK(Table37[[#This Row],[PRPOPOSAL/BEDS]])</f>
        <v>0</v>
      </c>
      <c r="AH290" s="72" t="b">
        <f>ISBLANK(Table37[[#This Row],[OU]])</f>
        <v>0</v>
      </c>
      <c r="AI290" s="72" t="b">
        <f>ISBLANK(Table37[[#This Row],[SPECIFIC COMMODITY]])</f>
        <v>0</v>
      </c>
      <c r="AJ290" s="72" t="b">
        <f>ISBLANK(Table37[[#This Row],[COMMODITY PREXC SUB-PROGRAM]])</f>
        <v>0</v>
      </c>
      <c r="AK290" s="72" t="b">
        <f>ISBLANK(Table37[[#This Row],[ACTIVITY]])</f>
        <v>0</v>
      </c>
      <c r="AL290" s="72" t="b">
        <f>ISBLANK(Table37[[#This Row],[TAG-GAD]])</f>
        <v>1</v>
      </c>
      <c r="AM290" s="72" t="b">
        <f>ISBLANK(Table37[[#This Row],[MONTH]])</f>
        <v>1</v>
      </c>
      <c r="AN290" s="72" t="b">
        <f>ISBLANK(Table37[[#This Row],[MOOE (Php ''000)]])</f>
        <v>0</v>
      </c>
      <c r="AO290" s="72" t="b">
        <f>ISBLANK(Table37[[#This Row],[CO (Php ''000)]])</f>
        <v>1</v>
      </c>
    </row>
    <row r="291" spans="1:41">
      <c r="A291" s="54" t="str">
        <f>VLOOKUP(Table37[[#This Row],[OU]],OU!$A$15:$B$34,2,FALSE)</f>
        <v>RFOs</v>
      </c>
      <c r="B291" s="60" t="s">
        <v>436</v>
      </c>
      <c r="C291" s="47" t="s">
        <v>574</v>
      </c>
      <c r="D291" s="60" t="s">
        <v>583</v>
      </c>
      <c r="E291" s="54" t="str">
        <f>VLOOKUP(Table37[[#This Row],[SPECIFIC COMMODITY]],TAGS!$W$48:$X$53,2,FALSE)</f>
        <v>Soybean</v>
      </c>
      <c r="F291" s="54" t="str">
        <f>VLOOKUP(Table37[[#This Row],[PREXC SUB-PROGRAM]],Table5[],2,FALSE)</f>
        <v>TECHNICAL AND SUPPORT SERVICES PROGRAM</v>
      </c>
      <c r="G291" s="54" t="str">
        <f>VLOOKUP(Table37[[#This Row],[COMMODITY PREXC SUB-PROGRAM]],TAGS!$U$54:$V$76,2,FALSE)</f>
        <v>ESETS</v>
      </c>
      <c r="H291" s="60" t="s">
        <v>591</v>
      </c>
      <c r="I291" s="54" t="str">
        <f>VLOOKUP(Table37[[#This Row],[PI LEVEL 3]],'PI LEVEL'!A:C,3,FALSE)</f>
        <v>Technology demonstrations established/maintained</v>
      </c>
      <c r="J291" s="54" t="str">
        <f>VLOOKUP(Table37[[#This Row],[PI LEVEL 3]],Table53729[[Performance Indicator Level 3]:[Performance Indicator Level 1]],2,FALSE)</f>
        <v>Model Farms established</v>
      </c>
      <c r="K291" s="54" t="str">
        <f>VLOOKUP(Table37[[#This Row],[ACTIVITY]],TAGS!B:P,2,FALSE)</f>
        <v>Model Farms established</v>
      </c>
      <c r="L291" s="60" t="s">
        <v>119</v>
      </c>
      <c r="M291" s="54" t="str">
        <f>VLOOKUP(Table37[[#This Row],[ACTIVITY]],TAGS!$B:$P,4,FALSE)</f>
        <v>Model Farm establishment</v>
      </c>
      <c r="N291" s="54" t="str">
        <f>VLOOKUP(Table37[[#This Row],[ACTIVITY]],TAGS!$B:$P,5,FALSE)</f>
        <v>Model farm</v>
      </c>
      <c r="O291" s="54" t="str">
        <f>VLOOKUP(Table37[[#This Row],[ACTIVITY]],TAGS!$B:$P,6,FALSE)</f>
        <v>Soybean model farm</v>
      </c>
      <c r="P291" s="54" t="str">
        <f>VLOOKUP(Table37[[#This Row],[ACTIVITY]],TAGS!$B:$P,7,FALSE)</f>
        <v>YES</v>
      </c>
      <c r="Q291" s="54" t="str">
        <f>VLOOKUP(Table37[[#This Row],[ACTIVITY]],TAGS!$B:$P,8,FALSE)</f>
        <v>PAP</v>
      </c>
      <c r="R291" s="54" t="str">
        <f>VLOOKUP(Table37[[#This Row],[ACTIVITY]],TAGS!$B:$P,10,FALSE)</f>
        <v>PIP</v>
      </c>
      <c r="S291" s="54" t="str">
        <f>VLOOKUP(Table37[[#This Row],[ACTIVITY]],TAGS!$B:$P,11,FALSE)</f>
        <v>PICS</v>
      </c>
      <c r="T291" s="54" t="str">
        <f>VLOOKUP(Table37[[#This Row],[ACTIVITY]],TAGS!$B:$P,12,FALSE)</f>
        <v>Consolidation</v>
      </c>
      <c r="U291" s="54" t="str">
        <f>VLOOKUP(Table37[[#This Row],[ACTIVITY]],TAGS!$B:$P,13,FALSE)</f>
        <v>1. Bayanihan Agri Cluster</v>
      </c>
      <c r="V291" s="54" t="str">
        <f>VLOOKUP(Table37[[#This Row],[ACTIVITY]],TAGS!$B:$P,14,FALSE)</f>
        <v>EXPAND AND IMPROVE AVAILABLE AGRI-FISHERY AREAS FOR INCREASED PRODUCTION</v>
      </c>
      <c r="W291" s="54" t="str">
        <f>VLOOKUP(Table37[[#This Row],[ACTIVITY]],TAGS!$B:$P,15,FALSE)</f>
        <v>Farm Inputs</v>
      </c>
      <c r="X291" s="54" t="str">
        <f>VLOOKUP(Table37[[#This Row],[PI LEVEL 3]],'PI LEVEL'!$A:$G,7,FALSE)</f>
        <v>DA-Level Output</v>
      </c>
      <c r="Y291" s="60"/>
      <c r="Z291" s="60"/>
      <c r="AA291" s="54" t="e">
        <f>VLOOKUP(Table37[[#This Row],[MONTH]],TAGS!$W$67:$Y$81,2,FALSE)</f>
        <v>#N/A</v>
      </c>
      <c r="AB291" s="54" t="e">
        <f>VLOOKUP(Table37[[#This Row],[MONTH]],TAGS!$W$67:$Y$81,3,FALSE)</f>
        <v>#N/A</v>
      </c>
      <c r="AC291" s="54" t="e">
        <f>VLOOKUP(Table37[[#This Row],[MONTH]],TAGS!$W$67:$Z$81,4,FALSE)</f>
        <v>#N/A</v>
      </c>
      <c r="AD291" s="60">
        <v>330</v>
      </c>
      <c r="AE291" s="60"/>
      <c r="AF291" s="54">
        <f>SUM(Table37[[#This Row],[MOOE (Php ''000)]:[CO (Php ''000)]])</f>
        <v>330</v>
      </c>
      <c r="AG291" s="72" t="b">
        <f>ISBLANK(Table37[[#This Row],[PRPOPOSAL/BEDS]])</f>
        <v>0</v>
      </c>
      <c r="AH291" s="72" t="b">
        <f>ISBLANK(Table37[[#This Row],[OU]])</f>
        <v>0</v>
      </c>
      <c r="AI291" s="72" t="b">
        <f>ISBLANK(Table37[[#This Row],[SPECIFIC COMMODITY]])</f>
        <v>0</v>
      </c>
      <c r="AJ291" s="72" t="b">
        <f>ISBLANK(Table37[[#This Row],[COMMODITY PREXC SUB-PROGRAM]])</f>
        <v>0</v>
      </c>
      <c r="AK291" s="72" t="b">
        <f>ISBLANK(Table37[[#This Row],[ACTIVITY]])</f>
        <v>0</v>
      </c>
      <c r="AL291" s="72" t="b">
        <f>ISBLANK(Table37[[#This Row],[TAG-GAD]])</f>
        <v>1</v>
      </c>
      <c r="AM291" s="72" t="b">
        <f>ISBLANK(Table37[[#This Row],[MONTH]])</f>
        <v>1</v>
      </c>
      <c r="AN291" s="72" t="b">
        <f>ISBLANK(Table37[[#This Row],[MOOE (Php ''000)]])</f>
        <v>0</v>
      </c>
      <c r="AO291" s="72" t="b">
        <f>ISBLANK(Table37[[#This Row],[CO (Php ''000)]])</f>
        <v>1</v>
      </c>
    </row>
    <row r="292" spans="1:41">
      <c r="A292" s="54" t="str">
        <f>VLOOKUP(Table37[[#This Row],[OU]],OU!$A$15:$B$34,2,FALSE)</f>
        <v>RFOs</v>
      </c>
      <c r="B292" s="60" t="s">
        <v>436</v>
      </c>
      <c r="C292" s="47" t="s">
        <v>574</v>
      </c>
      <c r="D292" s="60" t="s">
        <v>583</v>
      </c>
      <c r="E292" s="54" t="str">
        <f>VLOOKUP(Table37[[#This Row],[SPECIFIC COMMODITY]],TAGS!$W$48:$X$53,2,FALSE)</f>
        <v>Soybean</v>
      </c>
      <c r="F292" s="54" t="str">
        <f>VLOOKUP(Table37[[#This Row],[PREXC SUB-PROGRAM]],Table5[],2,FALSE)</f>
        <v>TECHNICAL AND SUPPORT SERVICES PROGRAM</v>
      </c>
      <c r="G292" s="54" t="str">
        <f>VLOOKUP(Table37[[#This Row],[COMMODITY PREXC SUB-PROGRAM]],TAGS!$U$54:$V$76,2,FALSE)</f>
        <v>ESETS</v>
      </c>
      <c r="H292" s="60" t="s">
        <v>591</v>
      </c>
      <c r="I292" s="54" t="str">
        <f>VLOOKUP(Table37[[#This Row],[PI LEVEL 3]],'PI LEVEL'!A:C,3,FALSE)</f>
        <v>Technology demonstrations established/maintained</v>
      </c>
      <c r="J292" s="54" t="str">
        <f>VLOOKUP(Table37[[#This Row],[PI LEVEL 3]],Table53729[[Performance Indicator Level 3]:[Performance Indicator Level 1]],2,FALSE)</f>
        <v>Techno demo established</v>
      </c>
      <c r="K292" s="54" t="str">
        <f>VLOOKUP(Table37[[#This Row],[ACTIVITY]],TAGS!B:P,2,FALSE)</f>
        <v>Techno demo established</v>
      </c>
      <c r="L292" s="60" t="s">
        <v>121</v>
      </c>
      <c r="M292" s="54" t="str">
        <f>VLOOKUP(Table37[[#This Row],[ACTIVITY]],TAGS!$B:$P,4,FALSE)</f>
        <v>Techno Demo establishment</v>
      </c>
      <c r="N292" s="54" t="str">
        <f>VLOOKUP(Table37[[#This Row],[ACTIVITY]],TAGS!$B:$P,5,FALSE)</f>
        <v>Techno Demo</v>
      </c>
      <c r="O292" s="54" t="str">
        <f>VLOOKUP(Table37[[#This Row],[ACTIVITY]],TAGS!$B:$P,6,FALSE)</f>
        <v>Soybean techno demo</v>
      </c>
      <c r="P292" s="54" t="str">
        <f>VLOOKUP(Table37[[#This Row],[ACTIVITY]],TAGS!$B:$P,7,FALSE)</f>
        <v>YES</v>
      </c>
      <c r="Q292" s="54" t="str">
        <f>VLOOKUP(Table37[[#This Row],[ACTIVITY]],TAGS!$B:$P,8,FALSE)</f>
        <v>PAP</v>
      </c>
      <c r="R292" s="54" t="str">
        <f>VLOOKUP(Table37[[#This Row],[ACTIVITY]],TAGS!$B:$P,10,FALSE)</f>
        <v>PIP</v>
      </c>
      <c r="S292" s="54" t="str">
        <f>VLOOKUP(Table37[[#This Row],[ACTIVITY]],TAGS!$B:$P,11,FALSE)</f>
        <v>PICS</v>
      </c>
      <c r="T292" s="54" t="str">
        <f>VLOOKUP(Table37[[#This Row],[ACTIVITY]],TAGS!$B:$P,12,FALSE)</f>
        <v>Consolidation</v>
      </c>
      <c r="U292" s="54" t="str">
        <f>VLOOKUP(Table37[[#This Row],[ACTIVITY]],TAGS!$B:$P,13,FALSE)</f>
        <v>1. Bayanihan Agri Cluster</v>
      </c>
      <c r="V292" s="54" t="str">
        <f>VLOOKUP(Table37[[#This Row],[ACTIVITY]],TAGS!$B:$P,14,FALSE)</f>
        <v>EXPAND AND IMPROVE AVAILABLE AGRI-FISHERY AREAS FOR INCREASED PRODUCTION</v>
      </c>
      <c r="W292" s="54" t="str">
        <f>VLOOKUP(Table37[[#This Row],[ACTIVITY]],TAGS!$B:$P,15,FALSE)</f>
        <v>Farm Inputs</v>
      </c>
      <c r="X292" s="54" t="str">
        <f>VLOOKUP(Table37[[#This Row],[PI LEVEL 3]],'PI LEVEL'!$A:$G,7,FALSE)</f>
        <v>DA-Level Output</v>
      </c>
      <c r="Y292" s="60"/>
      <c r="Z292" s="60"/>
      <c r="AA292" s="54" t="e">
        <f>VLOOKUP(Table37[[#This Row],[MONTH]],TAGS!$W$67:$Y$81,2,FALSE)</f>
        <v>#N/A</v>
      </c>
      <c r="AB292" s="54" t="e">
        <f>VLOOKUP(Table37[[#This Row],[MONTH]],TAGS!$W$67:$Y$81,3,FALSE)</f>
        <v>#N/A</v>
      </c>
      <c r="AC292" s="54" t="e">
        <f>VLOOKUP(Table37[[#This Row],[MONTH]],TAGS!$W$67:$Z$81,4,FALSE)</f>
        <v>#N/A</v>
      </c>
      <c r="AD292" s="60">
        <v>200</v>
      </c>
      <c r="AE292" s="60"/>
      <c r="AF292" s="54">
        <f>SUM(Table37[[#This Row],[MOOE (Php ''000)]:[CO (Php ''000)]])</f>
        <v>200</v>
      </c>
      <c r="AG292" s="72" t="b">
        <f>ISBLANK(Table37[[#This Row],[PRPOPOSAL/BEDS]])</f>
        <v>0</v>
      </c>
      <c r="AH292" s="72" t="b">
        <f>ISBLANK(Table37[[#This Row],[OU]])</f>
        <v>0</v>
      </c>
      <c r="AI292" s="72" t="b">
        <f>ISBLANK(Table37[[#This Row],[SPECIFIC COMMODITY]])</f>
        <v>0</v>
      </c>
      <c r="AJ292" s="72" t="b">
        <f>ISBLANK(Table37[[#This Row],[COMMODITY PREXC SUB-PROGRAM]])</f>
        <v>0</v>
      </c>
      <c r="AK292" s="72" t="b">
        <f>ISBLANK(Table37[[#This Row],[ACTIVITY]])</f>
        <v>0</v>
      </c>
      <c r="AL292" s="72" t="b">
        <f>ISBLANK(Table37[[#This Row],[TAG-GAD]])</f>
        <v>1</v>
      </c>
      <c r="AM292" s="72" t="b">
        <f>ISBLANK(Table37[[#This Row],[MONTH]])</f>
        <v>1</v>
      </c>
      <c r="AN292" s="72" t="b">
        <f>ISBLANK(Table37[[#This Row],[MOOE (Php ''000)]])</f>
        <v>0</v>
      </c>
      <c r="AO292" s="72" t="b">
        <f>ISBLANK(Table37[[#This Row],[CO (Php ''000)]])</f>
        <v>1</v>
      </c>
    </row>
    <row r="293" spans="1:41">
      <c r="A293" s="54" t="str">
        <f>VLOOKUP(Table37[[#This Row],[OU]],OU!$A$15:$B$34,2,FALSE)</f>
        <v>RFOs</v>
      </c>
      <c r="B293" s="60" t="s">
        <v>436</v>
      </c>
      <c r="C293" s="47" t="s">
        <v>574</v>
      </c>
      <c r="D293" s="60" t="s">
        <v>583</v>
      </c>
      <c r="E293" s="54" t="str">
        <f>VLOOKUP(Table37[[#This Row],[SPECIFIC COMMODITY]],TAGS!$W$48:$X$53,2,FALSE)</f>
        <v>Soybean</v>
      </c>
      <c r="F293" s="54" t="str">
        <f>VLOOKUP(Table37[[#This Row],[PREXC SUB-PROGRAM]],Table5[],2,FALSE)</f>
        <v>TECHNICAL AND SUPPORT SERVICES PROGRAM</v>
      </c>
      <c r="G293" s="54" t="str">
        <f>VLOOKUP(Table37[[#This Row],[COMMODITY PREXC SUB-PROGRAM]],TAGS!$U$54:$V$76,2,FALSE)</f>
        <v>ESETS</v>
      </c>
      <c r="H293" s="60" t="s">
        <v>591</v>
      </c>
      <c r="I293" s="54" t="str">
        <f>VLOOKUP(Table37[[#This Row],[PI LEVEL 3]],'PI LEVEL'!A:C,3,FALSE)</f>
        <v>Training conducted</v>
      </c>
      <c r="J293" s="54" t="str">
        <f>VLOOKUP(Table37[[#This Row],[PI LEVEL 3]],Table53729[[Performance Indicator Level 3]:[Performance Indicator Level 1]],2,FALSE)</f>
        <v>Other training conducted</v>
      </c>
      <c r="K293" s="54" t="str">
        <f>VLOOKUP(Table37[[#This Row],[ACTIVITY]],TAGS!B:P,2,FALSE)</f>
        <v>Other training conducted_Farmers/Fisherfolk/Other External Participants</v>
      </c>
      <c r="L293" s="60" t="s">
        <v>157</v>
      </c>
      <c r="M293" s="54" t="str">
        <f>VLOOKUP(Table37[[#This Row],[ACTIVITY]],TAGS!$B:$P,4,FALSE)</f>
        <v>Trainings</v>
      </c>
      <c r="N293" s="54" t="str">
        <f>VLOOKUP(Table37[[#This Row],[ACTIVITY]],TAGS!$B:$P,5,FALSE)</f>
        <v>Trainings</v>
      </c>
      <c r="O293" s="54" t="str">
        <f>VLOOKUP(Table37[[#This Row],[ACTIVITY]],TAGS!$B:$P,6,FALSE)</f>
        <v>Soybean Production Training </v>
      </c>
      <c r="P293" s="54" t="str">
        <f>VLOOKUP(Table37[[#This Row],[ACTIVITY]],TAGS!$B:$P,7,FALSE)</f>
        <v>NO</v>
      </c>
      <c r="Q293" s="54" t="str">
        <f>VLOOKUP(Table37[[#This Row],[ACTIVITY]],TAGS!$B:$P,8,FALSE)</f>
        <v>PAP</v>
      </c>
      <c r="R293" s="54" t="str">
        <f>VLOOKUP(Table37[[#This Row],[ACTIVITY]],TAGS!$B:$P,10,FALSE)</f>
        <v>PIP</v>
      </c>
      <c r="S293" s="54" t="str">
        <f>VLOOKUP(Table37[[#This Row],[ACTIVITY]],TAGS!$B:$P,11,FALSE)</f>
        <v>PICS</v>
      </c>
      <c r="T293" s="54" t="str">
        <f>VLOOKUP(Table37[[#This Row],[ACTIVITY]],TAGS!$B:$P,12,FALSE)</f>
        <v>Consolidation</v>
      </c>
      <c r="U293" s="54" t="str">
        <f>VLOOKUP(Table37[[#This Row],[ACTIVITY]],TAGS!$B:$P,13,FALSE)</f>
        <v>1. Bayanihan Agri Cluster</v>
      </c>
      <c r="V293" s="54" t="str">
        <f>VLOOKUP(Table37[[#This Row],[ACTIVITY]],TAGS!$B:$P,14,FALSE)</f>
        <v>EXPAND AND IMPROVE AVAILABLE AGRI-FISHERY AREAS FOR INCREASED PRODUCTION</v>
      </c>
      <c r="W293" s="54" t="str">
        <f>VLOOKUP(Table37[[#This Row],[ACTIVITY]],TAGS!$B:$P,15,FALSE)</f>
        <v>Capacity Building</v>
      </c>
      <c r="X293" s="54" t="str">
        <f>VLOOKUP(Table37[[#This Row],[PI LEVEL 3]],'PI LEVEL'!$A:$G,7,FALSE)</f>
        <v>PREXC/DA-Level Output</v>
      </c>
      <c r="Y293" s="60"/>
      <c r="Z293" s="60"/>
      <c r="AA293" s="54" t="e">
        <f>VLOOKUP(Table37[[#This Row],[MONTH]],TAGS!$W$67:$Y$81,2,FALSE)</f>
        <v>#N/A</v>
      </c>
      <c r="AB293" s="54" t="e">
        <f>VLOOKUP(Table37[[#This Row],[MONTH]],TAGS!$W$67:$Y$81,3,FALSE)</f>
        <v>#N/A</v>
      </c>
      <c r="AC293" s="54" t="e">
        <f>VLOOKUP(Table37[[#This Row],[MONTH]],TAGS!$W$67:$Z$81,4,FALSE)</f>
        <v>#N/A</v>
      </c>
      <c r="AD293" s="60">
        <v>140</v>
      </c>
      <c r="AE293" s="60"/>
      <c r="AF293" s="54">
        <f>SUM(Table37[[#This Row],[MOOE (Php ''000)]:[CO (Php ''000)]])</f>
        <v>140</v>
      </c>
      <c r="AG293" s="72" t="b">
        <f>ISBLANK(Table37[[#This Row],[PRPOPOSAL/BEDS]])</f>
        <v>0</v>
      </c>
      <c r="AH293" s="72" t="b">
        <f>ISBLANK(Table37[[#This Row],[OU]])</f>
        <v>0</v>
      </c>
      <c r="AI293" s="72" t="b">
        <f>ISBLANK(Table37[[#This Row],[SPECIFIC COMMODITY]])</f>
        <v>0</v>
      </c>
      <c r="AJ293" s="72" t="b">
        <f>ISBLANK(Table37[[#This Row],[COMMODITY PREXC SUB-PROGRAM]])</f>
        <v>0</v>
      </c>
      <c r="AK293" s="72" t="b">
        <f>ISBLANK(Table37[[#This Row],[ACTIVITY]])</f>
        <v>0</v>
      </c>
      <c r="AL293" s="72" t="b">
        <f>ISBLANK(Table37[[#This Row],[TAG-GAD]])</f>
        <v>1</v>
      </c>
      <c r="AM293" s="72" t="b">
        <f>ISBLANK(Table37[[#This Row],[MONTH]])</f>
        <v>1</v>
      </c>
      <c r="AN293" s="72" t="b">
        <f>ISBLANK(Table37[[#This Row],[MOOE (Php ''000)]])</f>
        <v>0</v>
      </c>
      <c r="AO293" s="72" t="b">
        <f>ISBLANK(Table37[[#This Row],[CO (Php ''000)]])</f>
        <v>1</v>
      </c>
    </row>
    <row r="294" spans="1:41">
      <c r="A294" s="54" t="str">
        <f>VLOOKUP(Table37[[#This Row],[OU]],OU!$A$15:$B$34,2,FALSE)</f>
        <v>RFOs</v>
      </c>
      <c r="B294" s="60" t="s">
        <v>436</v>
      </c>
      <c r="C294" s="47" t="s">
        <v>574</v>
      </c>
      <c r="D294" s="60" t="s">
        <v>583</v>
      </c>
      <c r="E294" s="54" t="str">
        <f>VLOOKUP(Table37[[#This Row],[SPECIFIC COMMODITY]],TAGS!$W$48:$X$53,2,FALSE)</f>
        <v>Soybean</v>
      </c>
      <c r="F294" s="54" t="str">
        <f>VLOOKUP(Table37[[#This Row],[PREXC SUB-PROGRAM]],Table5[],2,FALSE)</f>
        <v>TECHNICAL AND SUPPORT SERVICES PROGRAM</v>
      </c>
      <c r="G294" s="54" t="str">
        <f>VLOOKUP(Table37[[#This Row],[COMMODITY PREXC SUB-PROGRAM]],TAGS!$U$54:$V$76,2,FALSE)</f>
        <v>ESETS</v>
      </c>
      <c r="H294" s="60" t="s">
        <v>591</v>
      </c>
      <c r="I294" s="54" t="str">
        <f>VLOOKUP(Table37[[#This Row],[PI LEVEL 3]],'PI LEVEL'!A:C,3,FALSE)</f>
        <v>Knowledge Products disseminated</v>
      </c>
      <c r="J294" s="54" t="str">
        <f>VLOOKUP(Table37[[#This Row],[PI LEVEL 3]],Table53729[[Performance Indicator Level 3]:[Performance Indicator Level 1]],2,FALSE)</f>
        <v>Knowledge Products disseminated</v>
      </c>
      <c r="K294" s="54" t="str">
        <f>VLOOKUP(Table37[[#This Row],[ACTIVITY]],TAGS!B:P,2,FALSE)</f>
        <v>Knowledge Products disseminated</v>
      </c>
      <c r="L294" s="60" t="s">
        <v>159</v>
      </c>
      <c r="M294" s="54" t="str">
        <f>VLOOKUP(Table37[[#This Row],[ACTIVITY]],TAGS!$B:$P,4,FALSE)</f>
        <v>Information, Education, and Communication Activities</v>
      </c>
      <c r="N294" s="54" t="str">
        <f>VLOOKUP(Table37[[#This Row],[ACTIVITY]],TAGS!$B:$P,5,FALSE)</f>
        <v>Information, Education, and Communication Activities</v>
      </c>
      <c r="O294" s="54" t="str">
        <f>VLOOKUP(Table37[[#This Row],[ACTIVITY]],TAGS!$B:$P,6,FALSE)</f>
        <v>IEC materials</v>
      </c>
      <c r="P294" s="54" t="str">
        <f>VLOOKUP(Table37[[#This Row],[ACTIVITY]],TAGS!$B:$P,7,FALSE)</f>
        <v>NO</v>
      </c>
      <c r="Q294" s="54" t="str">
        <f>VLOOKUP(Table37[[#This Row],[ACTIVITY]],TAGS!$B:$P,8,FALSE)</f>
        <v>PAP</v>
      </c>
      <c r="R294" s="54" t="str">
        <f>VLOOKUP(Table37[[#This Row],[ACTIVITY]],TAGS!$B:$P,10,FALSE)</f>
        <v>PIP</v>
      </c>
      <c r="S294" s="54" t="str">
        <f>VLOOKUP(Table37[[#This Row],[ACTIVITY]],TAGS!$B:$P,11,FALSE)</f>
        <v>PICS</v>
      </c>
      <c r="T294" s="54" t="str">
        <f>VLOOKUP(Table37[[#This Row],[ACTIVITY]],TAGS!$B:$P,12,FALSE)</f>
        <v>Strategic Communication</v>
      </c>
      <c r="U294" s="54" t="str">
        <f>VLOOKUP(Table37[[#This Row],[ACTIVITY]],TAGS!$B:$P,13,FALSE)</f>
        <v>18. Strategic Communications​</v>
      </c>
      <c r="V294" s="54">
        <f>VLOOKUP(Table37[[#This Row],[ACTIVITY]],TAGS!$B:$P,14,FALSE)</f>
        <v>0</v>
      </c>
      <c r="W294" s="54" t="str">
        <f>VLOOKUP(Table37[[#This Row],[ACTIVITY]],TAGS!$B:$P,15,FALSE)</f>
        <v>IEC</v>
      </c>
      <c r="X294" s="54" t="str">
        <f>VLOOKUP(Table37[[#This Row],[PI LEVEL 3]],'PI LEVEL'!$A:$G,7,FALSE)</f>
        <v>DA-Level Output</v>
      </c>
      <c r="Y294" s="60"/>
      <c r="Z294" s="60"/>
      <c r="AA294" s="54" t="e">
        <f>VLOOKUP(Table37[[#This Row],[MONTH]],TAGS!$W$67:$Y$81,2,FALSE)</f>
        <v>#N/A</v>
      </c>
      <c r="AB294" s="54" t="e">
        <f>VLOOKUP(Table37[[#This Row],[MONTH]],TAGS!$W$67:$Y$81,3,FALSE)</f>
        <v>#N/A</v>
      </c>
      <c r="AC294" s="54" t="e">
        <f>VLOOKUP(Table37[[#This Row],[MONTH]],TAGS!$W$67:$Z$81,4,FALSE)</f>
        <v>#N/A</v>
      </c>
      <c r="AD294" s="60">
        <v>50</v>
      </c>
      <c r="AE294" s="60"/>
      <c r="AF294" s="54">
        <f>SUM(Table37[[#This Row],[MOOE (Php ''000)]:[CO (Php ''000)]])</f>
        <v>50</v>
      </c>
      <c r="AG294" s="72" t="b">
        <f>ISBLANK(Table37[[#This Row],[PRPOPOSAL/BEDS]])</f>
        <v>0</v>
      </c>
      <c r="AH294" s="72" t="b">
        <f>ISBLANK(Table37[[#This Row],[OU]])</f>
        <v>0</v>
      </c>
      <c r="AI294" s="72" t="b">
        <f>ISBLANK(Table37[[#This Row],[SPECIFIC COMMODITY]])</f>
        <v>0</v>
      </c>
      <c r="AJ294" s="72" t="b">
        <f>ISBLANK(Table37[[#This Row],[COMMODITY PREXC SUB-PROGRAM]])</f>
        <v>0</v>
      </c>
      <c r="AK294" s="72" t="b">
        <f>ISBLANK(Table37[[#This Row],[ACTIVITY]])</f>
        <v>0</v>
      </c>
      <c r="AL294" s="72" t="b">
        <f>ISBLANK(Table37[[#This Row],[TAG-GAD]])</f>
        <v>1</v>
      </c>
      <c r="AM294" s="72" t="b">
        <f>ISBLANK(Table37[[#This Row],[MONTH]])</f>
        <v>1</v>
      </c>
      <c r="AN294" s="72" t="b">
        <f>ISBLANK(Table37[[#This Row],[MOOE (Php ''000)]])</f>
        <v>0</v>
      </c>
      <c r="AO294" s="72" t="b">
        <f>ISBLANK(Table37[[#This Row],[CO (Php ''000)]])</f>
        <v>1</v>
      </c>
    </row>
    <row r="295" spans="1:41">
      <c r="A295" s="54" t="str">
        <f>VLOOKUP(Table37[[#This Row],[OU]],OU!$A$15:$B$34,2,FALSE)</f>
        <v>RFOs</v>
      </c>
      <c r="B295" s="60" t="s">
        <v>436</v>
      </c>
      <c r="C295" s="47" t="s">
        <v>574</v>
      </c>
      <c r="D295" s="60" t="s">
        <v>578</v>
      </c>
      <c r="E295" s="54" t="str">
        <f>VLOOKUP(Table37[[#This Row],[SPECIFIC COMMODITY]],TAGS!$W$48:$X$53,2,FALSE)</f>
        <v>Corn</v>
      </c>
      <c r="F295" s="54" t="str">
        <f>VLOOKUP(Table37[[#This Row],[PREXC SUB-PROGRAM]],Table5[],2,FALSE)</f>
        <v>TECHNICAL AND SUPPORT SERVICES PROGRAM</v>
      </c>
      <c r="G295" s="54" t="str">
        <f>VLOOKUP(Table37[[#This Row],[COMMODITY PREXC SUB-PROGRAM]],TAGS!$U$54:$V$76,2,FALSE)</f>
        <v>ESETS</v>
      </c>
      <c r="H295" s="60" t="s">
        <v>587</v>
      </c>
      <c r="I295" s="54" t="str">
        <f>VLOOKUP(Table37[[#This Row],[PI LEVEL 3]],'PI LEVEL'!A:C,3,FALSE)</f>
        <v>Technology demonstrations established/maintained</v>
      </c>
      <c r="J295" s="54" t="str">
        <f>VLOOKUP(Table37[[#This Row],[PI LEVEL 3]],Table53729[[Performance Indicator Level 3]:[Performance Indicator Level 1]],2,FALSE)</f>
        <v>Model Farms established</v>
      </c>
      <c r="K295" s="54" t="str">
        <f>VLOOKUP(Table37[[#This Row],[ACTIVITY]],TAGS!B:P,2,FALSE)</f>
        <v>Model Farms established</v>
      </c>
      <c r="L295" s="47" t="s">
        <v>128</v>
      </c>
      <c r="M295" s="54" t="str">
        <f>VLOOKUP(Table37[[#This Row],[ACTIVITY]],TAGS!$B:$P,4,FALSE)</f>
        <v>Model Farm establishment</v>
      </c>
      <c r="N295" s="54" t="str">
        <f>VLOOKUP(Table37[[#This Row],[ACTIVITY]],TAGS!$B:$P,5,FALSE)</f>
        <v>Model farm</v>
      </c>
      <c r="O295" s="54" t="str">
        <f>VLOOKUP(Table37[[#This Row],[ACTIVITY]],TAGS!$B:$P,6,FALSE)</f>
        <v>Sustainable Land Resources Management Approach Site Establishment</v>
      </c>
      <c r="P295" s="54" t="str">
        <f>VLOOKUP(Table37[[#This Row],[ACTIVITY]],TAGS!$B:$P,7,FALSE)</f>
        <v>YES</v>
      </c>
      <c r="Q295" s="54" t="str">
        <f>VLOOKUP(Table37[[#This Row],[ACTIVITY]],TAGS!$B:$P,8,FALSE)</f>
        <v>PAP</v>
      </c>
      <c r="R295" s="54" t="str">
        <f>VLOOKUP(Table37[[#This Row],[ACTIVITY]],TAGS!$B:$P,10,FALSE)</f>
        <v>PIP</v>
      </c>
      <c r="S295" s="54" t="str">
        <f>VLOOKUP(Table37[[#This Row],[ACTIVITY]],TAGS!$B:$P,11,FALSE)</f>
        <v>PICS</v>
      </c>
      <c r="T295" s="54" t="str">
        <f>VLOOKUP(Table37[[#This Row],[ACTIVITY]],TAGS!$B:$P,12,FALSE)</f>
        <v>Consolidation</v>
      </c>
      <c r="U295" s="54" t="str">
        <f>VLOOKUP(Table37[[#This Row],[ACTIVITY]],TAGS!$B:$P,13,FALSE)</f>
        <v>1. Bayanihan Agri Cluster</v>
      </c>
      <c r="V295" s="54" t="str">
        <f>VLOOKUP(Table37[[#This Row],[ACTIVITY]],TAGS!$B:$P,14,FALSE)</f>
        <v>EXPAND AND IMPROVE AVAILABLE AGRI-FISHERY AREAS FOR INCREASED PRODUCTION</v>
      </c>
      <c r="W295" s="54" t="str">
        <f>VLOOKUP(Table37[[#This Row],[ACTIVITY]],TAGS!$B:$P,15,FALSE)</f>
        <v>Farm Inputs</v>
      </c>
      <c r="X295" s="54" t="str">
        <f>VLOOKUP(Table37[[#This Row],[PI LEVEL 3]],'PI LEVEL'!$A:$G,7,FALSE)</f>
        <v>DA-Level Output</v>
      </c>
      <c r="Y295" s="60"/>
      <c r="Z295" s="60"/>
      <c r="AA295" s="54" t="e">
        <f>VLOOKUP(Table37[[#This Row],[MONTH]],TAGS!$W$67:$Y$81,2,FALSE)</f>
        <v>#N/A</v>
      </c>
      <c r="AB295" s="54" t="e">
        <f>VLOOKUP(Table37[[#This Row],[MONTH]],TAGS!$W$67:$Y$81,3,FALSE)</f>
        <v>#N/A</v>
      </c>
      <c r="AC295" s="54" t="e">
        <f>VLOOKUP(Table37[[#This Row],[MONTH]],TAGS!$W$67:$Z$81,4,FALSE)</f>
        <v>#N/A</v>
      </c>
      <c r="AD295" s="60">
        <v>3000</v>
      </c>
      <c r="AE295" s="60"/>
      <c r="AF295" s="54">
        <f>SUM(Table37[[#This Row],[MOOE (Php ''000)]:[CO (Php ''000)]])</f>
        <v>3000</v>
      </c>
      <c r="AG295" s="72" t="b">
        <f>ISBLANK(Table37[[#This Row],[PRPOPOSAL/BEDS]])</f>
        <v>0</v>
      </c>
      <c r="AH295" s="72" t="b">
        <f>ISBLANK(Table37[[#This Row],[OU]])</f>
        <v>0</v>
      </c>
      <c r="AI295" s="72" t="b">
        <f>ISBLANK(Table37[[#This Row],[SPECIFIC COMMODITY]])</f>
        <v>0</v>
      </c>
      <c r="AJ295" s="72" t="b">
        <f>ISBLANK(Table37[[#This Row],[COMMODITY PREXC SUB-PROGRAM]])</f>
        <v>0</v>
      </c>
      <c r="AK295" s="72" t="b">
        <f>ISBLANK(Table37[[#This Row],[ACTIVITY]])</f>
        <v>0</v>
      </c>
      <c r="AL295" s="72" t="b">
        <f>ISBLANK(Table37[[#This Row],[TAG-GAD]])</f>
        <v>1</v>
      </c>
      <c r="AM295" s="72" t="b">
        <f>ISBLANK(Table37[[#This Row],[MONTH]])</f>
        <v>1</v>
      </c>
      <c r="AN295" s="72" t="b">
        <f>ISBLANK(Table37[[#This Row],[MOOE (Php ''000)]])</f>
        <v>0</v>
      </c>
      <c r="AO295" s="72" t="b">
        <f>ISBLANK(Table37[[#This Row],[CO (Php ''000)]])</f>
        <v>1</v>
      </c>
    </row>
    <row r="296" spans="1:41">
      <c r="A296" s="54" t="str">
        <f>VLOOKUP(Table37[[#This Row],[OU]],OU!$A$15:$B$34,2,FALSE)</f>
        <v>RFOs</v>
      </c>
      <c r="B296" s="60" t="s">
        <v>436</v>
      </c>
      <c r="C296" s="47" t="s">
        <v>574</v>
      </c>
      <c r="D296" s="60" t="s">
        <v>578</v>
      </c>
      <c r="E296" s="54" t="str">
        <f>VLOOKUP(Table37[[#This Row],[SPECIFIC COMMODITY]],TAGS!$W$48:$X$53,2,FALSE)</f>
        <v>Corn</v>
      </c>
      <c r="F296" s="54" t="str">
        <f>VLOOKUP(Table37[[#This Row],[PREXC SUB-PROGRAM]],Table5[],2,FALSE)</f>
        <v>TECHNICAL AND SUPPORT SERVICES PROGRAM</v>
      </c>
      <c r="G296" s="54" t="str">
        <f>VLOOKUP(Table37[[#This Row],[COMMODITY PREXC SUB-PROGRAM]],TAGS!$U$54:$V$76,2,FALSE)</f>
        <v>ESETS</v>
      </c>
      <c r="H296" s="60" t="s">
        <v>587</v>
      </c>
      <c r="I296" s="54" t="str">
        <f>VLOOKUP(Table37[[#This Row],[PI LEVEL 3]],'PI LEVEL'!A:C,3,FALSE)</f>
        <v>Technology demonstrations established/maintained</v>
      </c>
      <c r="J296" s="54" t="str">
        <f>VLOOKUP(Table37[[#This Row],[PI LEVEL 3]],Table53729[[Performance Indicator Level 3]:[Performance Indicator Level 1]],2,FALSE)</f>
        <v>Techno demo established</v>
      </c>
      <c r="K296" s="54" t="str">
        <f>VLOOKUP(Table37[[#This Row],[ACTIVITY]],TAGS!B:P,2,FALSE)</f>
        <v>Techno demo established</v>
      </c>
      <c r="L296" s="60" t="s">
        <v>133</v>
      </c>
      <c r="M296" s="54" t="str">
        <f>VLOOKUP(Table37[[#This Row],[ACTIVITY]],TAGS!$B:$P,4,FALSE)</f>
        <v>Techno Demo establishment</v>
      </c>
      <c r="N296" s="54" t="str">
        <f>VLOOKUP(Table37[[#This Row],[ACTIVITY]],TAGS!$B:$P,5,FALSE)</f>
        <v>Techno Demo</v>
      </c>
      <c r="O296" s="54" t="str">
        <f>VLOOKUP(Table37[[#This Row],[ACTIVITY]],TAGS!$B:$P,6,FALSE)</f>
        <v>Corn Derby</v>
      </c>
      <c r="P296" s="54" t="str">
        <f>VLOOKUP(Table37[[#This Row],[ACTIVITY]],TAGS!$B:$P,7,FALSE)</f>
        <v>NO</v>
      </c>
      <c r="Q296" s="54" t="str">
        <f>VLOOKUP(Table37[[#This Row],[ACTIVITY]],TAGS!$B:$P,8,FALSE)</f>
        <v>PAP</v>
      </c>
      <c r="R296" s="54" t="str">
        <f>VLOOKUP(Table37[[#This Row],[ACTIVITY]],TAGS!$B:$P,10,FALSE)</f>
        <v>PIP</v>
      </c>
      <c r="S296" s="54" t="str">
        <f>VLOOKUP(Table37[[#This Row],[ACTIVITY]],TAGS!$B:$P,11,FALSE)</f>
        <v>PICS</v>
      </c>
      <c r="T296" s="54" t="str">
        <f>VLOOKUP(Table37[[#This Row],[ACTIVITY]],TAGS!$B:$P,12,FALSE)</f>
        <v>Consolidation</v>
      </c>
      <c r="U296" s="54" t="str">
        <f>VLOOKUP(Table37[[#This Row],[ACTIVITY]],TAGS!$B:$P,13,FALSE)</f>
        <v>1. Bayanihan Agri Cluster</v>
      </c>
      <c r="V296" s="54" t="str">
        <f>VLOOKUP(Table37[[#This Row],[ACTIVITY]],TAGS!$B:$P,14,FALSE)</f>
        <v>EXPAND AND IMPROVE AVAILABLE AGRI-FISHERY AREAS FOR INCREASED PRODUCTION</v>
      </c>
      <c r="W296" s="54" t="str">
        <f>VLOOKUP(Table37[[#This Row],[ACTIVITY]],TAGS!$B:$P,15,FALSE)</f>
        <v>Other Intervetions</v>
      </c>
      <c r="X296" s="54" t="str">
        <f>VLOOKUP(Table37[[#This Row],[PI LEVEL 3]],'PI LEVEL'!$A:$G,7,FALSE)</f>
        <v>DA-Level Output</v>
      </c>
      <c r="Y296" s="60"/>
      <c r="Z296" s="60"/>
      <c r="AA296" s="54" t="e">
        <f>VLOOKUP(Table37[[#This Row],[MONTH]],TAGS!$W$67:$Y$81,2,FALSE)</f>
        <v>#N/A</v>
      </c>
      <c r="AB296" s="54" t="e">
        <f>VLOOKUP(Table37[[#This Row],[MONTH]],TAGS!$W$67:$Y$81,3,FALSE)</f>
        <v>#N/A</v>
      </c>
      <c r="AC296" s="54" t="e">
        <f>VLOOKUP(Table37[[#This Row],[MONTH]],TAGS!$W$67:$Z$81,4,FALSE)</f>
        <v>#N/A</v>
      </c>
      <c r="AD296" s="60">
        <v>1000</v>
      </c>
      <c r="AE296" s="60"/>
      <c r="AF296" s="54">
        <f>SUM(Table37[[#This Row],[MOOE (Php ''000)]:[CO (Php ''000)]])</f>
        <v>1000</v>
      </c>
      <c r="AG296" s="72" t="b">
        <f>ISBLANK(Table37[[#This Row],[PRPOPOSAL/BEDS]])</f>
        <v>0</v>
      </c>
      <c r="AH296" s="72" t="b">
        <f>ISBLANK(Table37[[#This Row],[OU]])</f>
        <v>0</v>
      </c>
      <c r="AI296" s="72" t="b">
        <f>ISBLANK(Table37[[#This Row],[SPECIFIC COMMODITY]])</f>
        <v>0</v>
      </c>
      <c r="AJ296" s="72" t="b">
        <f>ISBLANK(Table37[[#This Row],[COMMODITY PREXC SUB-PROGRAM]])</f>
        <v>0</v>
      </c>
      <c r="AK296" s="72" t="b">
        <f>ISBLANK(Table37[[#This Row],[ACTIVITY]])</f>
        <v>0</v>
      </c>
      <c r="AL296" s="72" t="b">
        <f>ISBLANK(Table37[[#This Row],[TAG-GAD]])</f>
        <v>1</v>
      </c>
      <c r="AM296" s="72" t="b">
        <f>ISBLANK(Table37[[#This Row],[MONTH]])</f>
        <v>1</v>
      </c>
      <c r="AN296" s="72" t="b">
        <f>ISBLANK(Table37[[#This Row],[MOOE (Php ''000)]])</f>
        <v>0</v>
      </c>
      <c r="AO296" s="72" t="b">
        <f>ISBLANK(Table37[[#This Row],[CO (Php ''000)]])</f>
        <v>1</v>
      </c>
    </row>
    <row r="297" spans="1:41">
      <c r="A297" s="54" t="str">
        <f>VLOOKUP(Table37[[#This Row],[OU]],OU!$A$15:$B$34,2,FALSE)</f>
        <v>RFOs</v>
      </c>
      <c r="B297" s="60" t="s">
        <v>436</v>
      </c>
      <c r="C297" s="47" t="s">
        <v>574</v>
      </c>
      <c r="D297" s="60" t="s">
        <v>578</v>
      </c>
      <c r="E297" s="54" t="str">
        <f>VLOOKUP(Table37[[#This Row],[SPECIFIC COMMODITY]],TAGS!$W$48:$X$53,2,FALSE)</f>
        <v>Corn</v>
      </c>
      <c r="F297" s="54" t="str">
        <f>VLOOKUP(Table37[[#This Row],[PREXC SUB-PROGRAM]],Table5[],2,FALSE)</f>
        <v>TECHNICAL AND SUPPORT SERVICES PROGRAM</v>
      </c>
      <c r="G297" s="54" t="str">
        <f>VLOOKUP(Table37[[#This Row],[COMMODITY PREXC SUB-PROGRAM]],TAGS!$U$54:$V$76,2,FALSE)</f>
        <v>ESETS</v>
      </c>
      <c r="H297" s="60" t="s">
        <v>587</v>
      </c>
      <c r="I297" s="54" t="str">
        <f>VLOOKUP(Table37[[#This Row],[PI LEVEL 3]],'PI LEVEL'!A:C,3,FALSE)</f>
        <v>Training conducted</v>
      </c>
      <c r="J297" s="54" t="str">
        <f>VLOOKUP(Table37[[#This Row],[PI LEVEL 3]],Table53729[[Performance Indicator Level 3]:[Performance Indicator Level 1]],2,FALSE)</f>
        <v>Other training conducted</v>
      </c>
      <c r="K297" s="54" t="str">
        <f>VLOOKUP(Table37[[#This Row],[ACTIVITY]],TAGS!B:P,2,FALSE)</f>
        <v>Other training conducted_Farmers/Fisherfolk/Other External Participants</v>
      </c>
      <c r="L297" s="60" t="s">
        <v>135</v>
      </c>
      <c r="M297" s="54" t="str">
        <f>VLOOKUP(Table37[[#This Row],[ACTIVITY]],TAGS!$B:$P,4,FALSE)</f>
        <v>Trainings</v>
      </c>
      <c r="N297" s="54" t="str">
        <f>VLOOKUP(Table37[[#This Row],[ACTIVITY]],TAGS!$B:$P,5,FALSE)</f>
        <v>Trainings</v>
      </c>
      <c r="O297" s="54" t="str">
        <f>VLOOKUP(Table37[[#This Row],[ACTIVITY]],TAGS!$B:$P,6,FALSE)</f>
        <v>Cluster Development training</v>
      </c>
      <c r="P297" s="54" t="str">
        <f>VLOOKUP(Table37[[#This Row],[ACTIVITY]],TAGS!$B:$P,7,FALSE)</f>
        <v>NO</v>
      </c>
      <c r="Q297" s="54" t="str">
        <f>VLOOKUP(Table37[[#This Row],[ACTIVITY]],TAGS!$B:$P,8,FALSE)</f>
        <v>PAP</v>
      </c>
      <c r="R297" s="54" t="str">
        <f>VLOOKUP(Table37[[#This Row],[ACTIVITY]],TAGS!$B:$P,10,FALSE)</f>
        <v>PIP</v>
      </c>
      <c r="S297" s="54" t="str">
        <f>VLOOKUP(Table37[[#This Row],[ACTIVITY]],TAGS!$B:$P,11,FALSE)</f>
        <v>PICS</v>
      </c>
      <c r="T297" s="54" t="str">
        <f>VLOOKUP(Table37[[#This Row],[ACTIVITY]],TAGS!$B:$P,12,FALSE)</f>
        <v>Consolidation</v>
      </c>
      <c r="U297" s="54" t="str">
        <f>VLOOKUP(Table37[[#This Row],[ACTIVITY]],TAGS!$B:$P,13,FALSE)</f>
        <v>1. Bayanihan Agri Cluster</v>
      </c>
      <c r="V297" s="54">
        <f>VLOOKUP(Table37[[#This Row],[ACTIVITY]],TAGS!$B:$P,14,FALSE)</f>
        <v>0</v>
      </c>
      <c r="W297" s="54" t="str">
        <f>VLOOKUP(Table37[[#This Row],[ACTIVITY]],TAGS!$B:$P,15,FALSE)</f>
        <v>Capacity Building</v>
      </c>
      <c r="X297" s="54" t="str">
        <f>VLOOKUP(Table37[[#This Row],[PI LEVEL 3]],'PI LEVEL'!$A:$G,7,FALSE)</f>
        <v>PREXC/DA-Level Output</v>
      </c>
      <c r="Y297" s="60"/>
      <c r="Z297" s="60"/>
      <c r="AA297" s="54" t="e">
        <f>VLOOKUP(Table37[[#This Row],[MONTH]],TAGS!$W$67:$Y$81,2,FALSE)</f>
        <v>#N/A</v>
      </c>
      <c r="AB297" s="54" t="e">
        <f>VLOOKUP(Table37[[#This Row],[MONTH]],TAGS!$W$67:$Y$81,3,FALSE)</f>
        <v>#N/A</v>
      </c>
      <c r="AC297" s="54" t="e">
        <f>VLOOKUP(Table37[[#This Row],[MONTH]],TAGS!$W$67:$Z$81,4,FALSE)</f>
        <v>#N/A</v>
      </c>
      <c r="AD297" s="60">
        <v>210</v>
      </c>
      <c r="AE297" s="60"/>
      <c r="AF297" s="54">
        <f>SUM(Table37[[#This Row],[MOOE (Php ''000)]:[CO (Php ''000)]])</f>
        <v>210</v>
      </c>
      <c r="AG297" s="72" t="b">
        <f>ISBLANK(Table37[[#This Row],[PRPOPOSAL/BEDS]])</f>
        <v>0</v>
      </c>
      <c r="AH297" s="72" t="b">
        <f>ISBLANK(Table37[[#This Row],[OU]])</f>
        <v>0</v>
      </c>
      <c r="AI297" s="72" t="b">
        <f>ISBLANK(Table37[[#This Row],[SPECIFIC COMMODITY]])</f>
        <v>0</v>
      </c>
      <c r="AJ297" s="72" t="b">
        <f>ISBLANK(Table37[[#This Row],[COMMODITY PREXC SUB-PROGRAM]])</f>
        <v>0</v>
      </c>
      <c r="AK297" s="72" t="b">
        <f>ISBLANK(Table37[[#This Row],[ACTIVITY]])</f>
        <v>0</v>
      </c>
      <c r="AL297" s="72" t="b">
        <f>ISBLANK(Table37[[#This Row],[TAG-GAD]])</f>
        <v>1</v>
      </c>
      <c r="AM297" s="72" t="b">
        <f>ISBLANK(Table37[[#This Row],[MONTH]])</f>
        <v>1</v>
      </c>
      <c r="AN297" s="72" t="b">
        <f>ISBLANK(Table37[[#This Row],[MOOE (Php ''000)]])</f>
        <v>0</v>
      </c>
      <c r="AO297" s="72" t="b">
        <f>ISBLANK(Table37[[#This Row],[CO (Php ''000)]])</f>
        <v>1</v>
      </c>
    </row>
    <row r="298" spans="1:41">
      <c r="A298" s="54" t="str">
        <f>VLOOKUP(Table37[[#This Row],[OU]],OU!$A$15:$B$34,2,FALSE)</f>
        <v>RFOs</v>
      </c>
      <c r="B298" s="60" t="s">
        <v>436</v>
      </c>
      <c r="C298" s="47" t="s">
        <v>574</v>
      </c>
      <c r="D298" s="60" t="s">
        <v>578</v>
      </c>
      <c r="E298" s="54" t="str">
        <f>VLOOKUP(Table37[[#This Row],[SPECIFIC COMMODITY]],TAGS!$W$48:$X$53,2,FALSE)</f>
        <v>Corn</v>
      </c>
      <c r="F298" s="54" t="str">
        <f>VLOOKUP(Table37[[#This Row],[PREXC SUB-PROGRAM]],Table5[],2,FALSE)</f>
        <v>TECHNICAL AND SUPPORT SERVICES PROGRAM</v>
      </c>
      <c r="G298" s="54" t="str">
        <f>VLOOKUP(Table37[[#This Row],[COMMODITY PREXC SUB-PROGRAM]],TAGS!$U$54:$V$76,2,FALSE)</f>
        <v>ESETS</v>
      </c>
      <c r="H298" s="60" t="s">
        <v>587</v>
      </c>
      <c r="I298" s="54" t="str">
        <f>VLOOKUP(Table37[[#This Row],[PI LEVEL 3]],'PI LEVEL'!A:C,3,FALSE)</f>
        <v>Training conducted</v>
      </c>
      <c r="J298" s="54" t="str">
        <f>VLOOKUP(Table37[[#This Row],[PI LEVEL 3]],Table53729[[Performance Indicator Level 3]:[Performance Indicator Level 1]],2,FALSE)</f>
        <v>Other training conducted</v>
      </c>
      <c r="K298" s="54" t="str">
        <f>VLOOKUP(Table37[[#This Row],[ACTIVITY]],TAGS!B:P,2,FALSE)</f>
        <v>Other training conducted_Farmers/Fisherfolk/Other External Participants</v>
      </c>
      <c r="L298" s="60" t="s">
        <v>137</v>
      </c>
      <c r="M298" s="54" t="str">
        <f>VLOOKUP(Table37[[#This Row],[ACTIVITY]],TAGS!$B:$P,4,FALSE)</f>
        <v>Trainings</v>
      </c>
      <c r="N298" s="54" t="str">
        <f>VLOOKUP(Table37[[#This Row],[ACTIVITY]],TAGS!$B:$P,5,FALSE)</f>
        <v>Trainings</v>
      </c>
      <c r="O298" s="54" t="str">
        <f>VLOOKUP(Table37[[#This Row],[ACTIVITY]],TAGS!$B:$P,6,FALSE)</f>
        <v>Corn Livelihood training</v>
      </c>
      <c r="P298" s="54" t="str">
        <f>VLOOKUP(Table37[[#This Row],[ACTIVITY]],TAGS!$B:$P,7,FALSE)</f>
        <v>NO</v>
      </c>
      <c r="Q298" s="54" t="str">
        <f>VLOOKUP(Table37[[#This Row],[ACTIVITY]],TAGS!$B:$P,8,FALSE)</f>
        <v>PAP</v>
      </c>
      <c r="R298" s="54" t="str">
        <f>VLOOKUP(Table37[[#This Row],[ACTIVITY]],TAGS!$B:$P,10,FALSE)</f>
        <v>PIP</v>
      </c>
      <c r="S298" s="54" t="str">
        <f>VLOOKUP(Table37[[#This Row],[ACTIVITY]],TAGS!$B:$P,11,FALSE)</f>
        <v>PICS</v>
      </c>
      <c r="T298" s="54" t="str">
        <f>VLOOKUP(Table37[[#This Row],[ACTIVITY]],TAGS!$B:$P,12,FALSE)</f>
        <v>Consolidation</v>
      </c>
      <c r="U298" s="54" t="str">
        <f>VLOOKUP(Table37[[#This Row],[ACTIVITY]],TAGS!$B:$P,13,FALSE)</f>
        <v>1. Bayanihan Agri Cluster</v>
      </c>
      <c r="V298" s="54" t="str">
        <f>VLOOKUP(Table37[[#This Row],[ACTIVITY]],TAGS!$B:$P,14,FALSE)</f>
        <v>IMPROVE AND EXPAND LOCAL AND INTERNATIONAL MARKET ACCESS</v>
      </c>
      <c r="W298" s="54" t="str">
        <f>VLOOKUP(Table37[[#This Row],[ACTIVITY]],TAGS!$B:$P,15,FALSE)</f>
        <v>Capacity Building</v>
      </c>
      <c r="X298" s="54" t="str">
        <f>VLOOKUP(Table37[[#This Row],[PI LEVEL 3]],'PI LEVEL'!$A:$G,7,FALSE)</f>
        <v>PREXC/DA-Level Output</v>
      </c>
      <c r="Y298" s="60"/>
      <c r="Z298" s="60"/>
      <c r="AA298" s="54" t="e">
        <f>VLOOKUP(Table37[[#This Row],[MONTH]],TAGS!$W$67:$Y$81,2,FALSE)</f>
        <v>#N/A</v>
      </c>
      <c r="AB298" s="54" t="e">
        <f>VLOOKUP(Table37[[#This Row],[MONTH]],TAGS!$W$67:$Y$81,3,FALSE)</f>
        <v>#N/A</v>
      </c>
      <c r="AC298" s="54" t="e">
        <f>VLOOKUP(Table37[[#This Row],[MONTH]],TAGS!$W$67:$Z$81,4,FALSE)</f>
        <v>#N/A</v>
      </c>
      <c r="AD298" s="60">
        <v>200</v>
      </c>
      <c r="AE298" s="60"/>
      <c r="AF298" s="54">
        <f>SUM(Table37[[#This Row],[MOOE (Php ''000)]:[CO (Php ''000)]])</f>
        <v>200</v>
      </c>
      <c r="AG298" s="72" t="b">
        <f>ISBLANK(Table37[[#This Row],[PRPOPOSAL/BEDS]])</f>
        <v>0</v>
      </c>
      <c r="AH298" s="72" t="b">
        <f>ISBLANK(Table37[[#This Row],[OU]])</f>
        <v>0</v>
      </c>
      <c r="AI298" s="72" t="b">
        <f>ISBLANK(Table37[[#This Row],[SPECIFIC COMMODITY]])</f>
        <v>0</v>
      </c>
      <c r="AJ298" s="72" t="b">
        <f>ISBLANK(Table37[[#This Row],[COMMODITY PREXC SUB-PROGRAM]])</f>
        <v>0</v>
      </c>
      <c r="AK298" s="72" t="b">
        <f>ISBLANK(Table37[[#This Row],[ACTIVITY]])</f>
        <v>0</v>
      </c>
      <c r="AL298" s="72" t="b">
        <f>ISBLANK(Table37[[#This Row],[TAG-GAD]])</f>
        <v>1</v>
      </c>
      <c r="AM298" s="72" t="b">
        <f>ISBLANK(Table37[[#This Row],[MONTH]])</f>
        <v>1</v>
      </c>
      <c r="AN298" s="72" t="b">
        <f>ISBLANK(Table37[[#This Row],[MOOE (Php ''000)]])</f>
        <v>0</v>
      </c>
      <c r="AO298" s="72" t="b">
        <f>ISBLANK(Table37[[#This Row],[CO (Php ''000)]])</f>
        <v>1</v>
      </c>
    </row>
    <row r="299" spans="1:41">
      <c r="A299" s="54" t="str">
        <f>VLOOKUP(Table37[[#This Row],[OU]],OU!$A$15:$B$34,2,FALSE)</f>
        <v>RFOs</v>
      </c>
      <c r="B299" s="60" t="s">
        <v>436</v>
      </c>
      <c r="C299" s="47" t="s">
        <v>574</v>
      </c>
      <c r="D299" s="60" t="s">
        <v>578</v>
      </c>
      <c r="E299" s="54" t="str">
        <f>VLOOKUP(Table37[[#This Row],[SPECIFIC COMMODITY]],TAGS!$W$48:$X$53,2,FALSE)</f>
        <v>Corn</v>
      </c>
      <c r="F299" s="54" t="str">
        <f>VLOOKUP(Table37[[#This Row],[PREXC SUB-PROGRAM]],Table5[],2,FALSE)</f>
        <v>TECHNICAL AND SUPPORT SERVICES PROGRAM</v>
      </c>
      <c r="G299" s="54" t="str">
        <f>VLOOKUP(Table37[[#This Row],[COMMODITY PREXC SUB-PROGRAM]],TAGS!$U$54:$V$76,2,FALSE)</f>
        <v>ESETS</v>
      </c>
      <c r="H299" s="60" t="s">
        <v>587</v>
      </c>
      <c r="I299" s="54" t="str">
        <f>VLOOKUP(Table37[[#This Row],[PI LEVEL 3]],'PI LEVEL'!A:C,3,FALSE)</f>
        <v>Training conducted</v>
      </c>
      <c r="J299" s="54" t="str">
        <f>VLOOKUP(Table37[[#This Row],[PI LEVEL 3]],Table53729[[Performance Indicator Level 3]:[Performance Indicator Level 1]],2,FALSE)</f>
        <v>Other training conducted</v>
      </c>
      <c r="K299" s="54" t="str">
        <f>VLOOKUP(Table37[[#This Row],[ACTIVITY]],TAGS!B:P,2,FALSE)</f>
        <v>Other training conducted_Farmers/Fisherfolk/Other External Participants</v>
      </c>
      <c r="L299" s="60" t="s">
        <v>139</v>
      </c>
      <c r="M299" s="54" t="str">
        <f>VLOOKUP(Table37[[#This Row],[ACTIVITY]],TAGS!$B:$P,4,FALSE)</f>
        <v>Trainings</v>
      </c>
      <c r="N299" s="54" t="str">
        <f>VLOOKUP(Table37[[#This Row],[ACTIVITY]],TAGS!$B:$P,5,FALSE)</f>
        <v>Trainings</v>
      </c>
      <c r="O299" s="54" t="str">
        <f>VLOOKUP(Table37[[#This Row],[ACTIVITY]],TAGS!$B:$P,6,FALSE)</f>
        <v>Corn Production Training</v>
      </c>
      <c r="P299" s="54" t="str">
        <f>VLOOKUP(Table37[[#This Row],[ACTIVITY]],TAGS!$B:$P,7,FALSE)</f>
        <v>NO</v>
      </c>
      <c r="Q299" s="54" t="str">
        <f>VLOOKUP(Table37[[#This Row],[ACTIVITY]],TAGS!$B:$P,8,FALSE)</f>
        <v>PAP</v>
      </c>
      <c r="R299" s="54" t="str">
        <f>VLOOKUP(Table37[[#This Row],[ACTIVITY]],TAGS!$B:$P,10,FALSE)</f>
        <v>PIP</v>
      </c>
      <c r="S299" s="54" t="str">
        <f>VLOOKUP(Table37[[#This Row],[ACTIVITY]],TAGS!$B:$P,11,FALSE)</f>
        <v>PICS</v>
      </c>
      <c r="T299" s="54" t="str">
        <f>VLOOKUP(Table37[[#This Row],[ACTIVITY]],TAGS!$B:$P,12,FALSE)</f>
        <v>Consolidation</v>
      </c>
      <c r="U299" s="54" t="str">
        <f>VLOOKUP(Table37[[#This Row],[ACTIVITY]],TAGS!$B:$P,13,FALSE)</f>
        <v>1. Bayanihan Agri Cluster</v>
      </c>
      <c r="V299" s="54" t="str">
        <f>VLOOKUP(Table37[[#This Row],[ACTIVITY]],TAGS!$B:$P,14,FALSE)</f>
        <v>EXPAND AND IMPROVE AVAILABLE AGRI-FISHERY AREAS FOR INCREASED PRODUCTION</v>
      </c>
      <c r="W299" s="54" t="str">
        <f>VLOOKUP(Table37[[#This Row],[ACTIVITY]],TAGS!$B:$P,15,FALSE)</f>
        <v>Capacity Building</v>
      </c>
      <c r="X299" s="54" t="str">
        <f>VLOOKUP(Table37[[#This Row],[PI LEVEL 3]],'PI LEVEL'!$A:$G,7,FALSE)</f>
        <v>PREXC/DA-Level Output</v>
      </c>
      <c r="Y299" s="60"/>
      <c r="Z299" s="60"/>
      <c r="AA299" s="54" t="e">
        <f>VLOOKUP(Table37[[#This Row],[MONTH]],TAGS!$W$67:$Y$81,2,FALSE)</f>
        <v>#N/A</v>
      </c>
      <c r="AB299" s="54" t="e">
        <f>VLOOKUP(Table37[[#This Row],[MONTH]],TAGS!$W$67:$Y$81,3,FALSE)</f>
        <v>#N/A</v>
      </c>
      <c r="AC299" s="54" t="e">
        <f>VLOOKUP(Table37[[#This Row],[MONTH]],TAGS!$W$67:$Z$81,4,FALSE)</f>
        <v>#N/A</v>
      </c>
      <c r="AD299" s="60">
        <v>140</v>
      </c>
      <c r="AE299" s="60"/>
      <c r="AF299" s="54">
        <f>SUM(Table37[[#This Row],[MOOE (Php ''000)]:[CO (Php ''000)]])</f>
        <v>140</v>
      </c>
      <c r="AG299" s="72" t="b">
        <f>ISBLANK(Table37[[#This Row],[PRPOPOSAL/BEDS]])</f>
        <v>0</v>
      </c>
      <c r="AH299" s="72" t="b">
        <f>ISBLANK(Table37[[#This Row],[OU]])</f>
        <v>0</v>
      </c>
      <c r="AI299" s="72" t="b">
        <f>ISBLANK(Table37[[#This Row],[SPECIFIC COMMODITY]])</f>
        <v>0</v>
      </c>
      <c r="AJ299" s="72" t="b">
        <f>ISBLANK(Table37[[#This Row],[COMMODITY PREXC SUB-PROGRAM]])</f>
        <v>0</v>
      </c>
      <c r="AK299" s="72" t="b">
        <f>ISBLANK(Table37[[#This Row],[ACTIVITY]])</f>
        <v>0</v>
      </c>
      <c r="AL299" s="72" t="b">
        <f>ISBLANK(Table37[[#This Row],[TAG-GAD]])</f>
        <v>1</v>
      </c>
      <c r="AM299" s="72" t="b">
        <f>ISBLANK(Table37[[#This Row],[MONTH]])</f>
        <v>1</v>
      </c>
      <c r="AN299" s="72" t="b">
        <f>ISBLANK(Table37[[#This Row],[MOOE (Php ''000)]])</f>
        <v>0</v>
      </c>
      <c r="AO299" s="72" t="b">
        <f>ISBLANK(Table37[[#This Row],[CO (Php ''000)]])</f>
        <v>1</v>
      </c>
    </row>
    <row r="300" spans="1:41">
      <c r="A300" s="54" t="str">
        <f>VLOOKUP(Table37[[#This Row],[OU]],OU!$A$15:$B$34,2,FALSE)</f>
        <v>RFOs</v>
      </c>
      <c r="B300" s="60" t="s">
        <v>436</v>
      </c>
      <c r="C300" s="47" t="s">
        <v>574</v>
      </c>
      <c r="D300" s="60" t="s">
        <v>578</v>
      </c>
      <c r="E300" s="54" t="str">
        <f>VLOOKUP(Table37[[#This Row],[SPECIFIC COMMODITY]],TAGS!$W$48:$X$53,2,FALSE)</f>
        <v>Corn</v>
      </c>
      <c r="F300" s="54" t="str">
        <f>VLOOKUP(Table37[[#This Row],[PREXC SUB-PROGRAM]],Table5[],2,FALSE)</f>
        <v>TECHNICAL AND SUPPORT SERVICES PROGRAM</v>
      </c>
      <c r="G300" s="54" t="str">
        <f>VLOOKUP(Table37[[#This Row],[COMMODITY PREXC SUB-PROGRAM]],TAGS!$U$54:$V$76,2,FALSE)</f>
        <v>ESETS</v>
      </c>
      <c r="H300" s="60" t="s">
        <v>587</v>
      </c>
      <c r="I300" s="54" t="str">
        <f>VLOOKUP(Table37[[#This Row],[PI LEVEL 3]],'PI LEVEL'!A:C,3,FALSE)</f>
        <v>Training conducted</v>
      </c>
      <c r="J300" s="54" t="str">
        <f>VLOOKUP(Table37[[#This Row],[PI LEVEL 3]],Table53729[[Performance Indicator Level 3]:[Performance Indicator Level 1]],2,FALSE)</f>
        <v>Other training conducted</v>
      </c>
      <c r="K300" s="54" t="str">
        <f>VLOOKUP(Table37[[#This Row],[ACTIVITY]],TAGS!B:P,2,FALSE)</f>
        <v>Other training conducted_Farmers/Fisherfolk/Other External Participants</v>
      </c>
      <c r="L300" s="60" t="s">
        <v>143</v>
      </c>
      <c r="M300" s="54" t="str">
        <f>VLOOKUP(Table37[[#This Row],[ACTIVITY]],TAGS!$B:$P,4,FALSE)</f>
        <v>Trainings</v>
      </c>
      <c r="N300" s="54" t="str">
        <f>VLOOKUP(Table37[[#This Row],[ACTIVITY]],TAGS!$B:$P,5,FALSE)</f>
        <v>Trainings</v>
      </c>
      <c r="O300" s="54" t="str">
        <f>VLOOKUP(Table37[[#This Row],[ACTIVITY]],TAGS!$B:$P,6,FALSE)</f>
        <v>Training on Operation and Maintenance of Farm Machinery and Equipment</v>
      </c>
      <c r="P300" s="54" t="str">
        <f>VLOOKUP(Table37[[#This Row],[ACTIVITY]],TAGS!$B:$P,7,FALSE)</f>
        <v>NO</v>
      </c>
      <c r="Q300" s="54" t="str">
        <f>VLOOKUP(Table37[[#This Row],[ACTIVITY]],TAGS!$B:$P,8,FALSE)</f>
        <v>PAP</v>
      </c>
      <c r="R300" s="54" t="str">
        <f>VLOOKUP(Table37[[#This Row],[ACTIVITY]],TAGS!$B:$P,10,FALSE)</f>
        <v>PIP</v>
      </c>
      <c r="S300" s="54" t="str">
        <f>VLOOKUP(Table37[[#This Row],[ACTIVITY]],TAGS!$B:$P,11,FALSE)</f>
        <v>PICS</v>
      </c>
      <c r="T300" s="54" t="str">
        <f>VLOOKUP(Table37[[#This Row],[ACTIVITY]],TAGS!$B:$P,12,FALSE)</f>
        <v>Consolidation</v>
      </c>
      <c r="U300" s="54" t="str">
        <f>VLOOKUP(Table37[[#This Row],[ACTIVITY]],TAGS!$B:$P,13,FALSE)</f>
        <v>1. Bayanihan Agri Cluster</v>
      </c>
      <c r="V300" s="54" t="str">
        <f>VLOOKUP(Table37[[#This Row],[ACTIVITY]],TAGS!$B:$P,14,FALSE)</f>
        <v>DEVELOP AND IMPROVE POST-HARVEST SYSTEMS AND INFRASTRUCTURE</v>
      </c>
      <c r="W300" s="54" t="str">
        <f>VLOOKUP(Table37[[#This Row],[ACTIVITY]],TAGS!$B:$P,15,FALSE)</f>
        <v>Capacity Building</v>
      </c>
      <c r="X300" s="54" t="str">
        <f>VLOOKUP(Table37[[#This Row],[PI LEVEL 3]],'PI LEVEL'!$A:$G,7,FALSE)</f>
        <v>PREXC/DA-Level Output</v>
      </c>
      <c r="Y300" s="60"/>
      <c r="Z300" s="60"/>
      <c r="AA300" s="54" t="e">
        <f>VLOOKUP(Table37[[#This Row],[MONTH]],TAGS!$W$67:$Y$81,2,FALSE)</f>
        <v>#N/A</v>
      </c>
      <c r="AB300" s="54" t="e">
        <f>VLOOKUP(Table37[[#This Row],[MONTH]],TAGS!$W$67:$Y$81,3,FALSE)</f>
        <v>#N/A</v>
      </c>
      <c r="AC300" s="54" t="e">
        <f>VLOOKUP(Table37[[#This Row],[MONTH]],TAGS!$W$67:$Z$81,4,FALSE)</f>
        <v>#N/A</v>
      </c>
      <c r="AD300" s="60">
        <v>300</v>
      </c>
      <c r="AE300" s="60"/>
      <c r="AF300" s="54">
        <f>SUM(Table37[[#This Row],[MOOE (Php ''000)]:[CO (Php ''000)]])</f>
        <v>300</v>
      </c>
      <c r="AG300" s="72" t="b">
        <f>ISBLANK(Table37[[#This Row],[PRPOPOSAL/BEDS]])</f>
        <v>0</v>
      </c>
      <c r="AH300" s="72" t="b">
        <f>ISBLANK(Table37[[#This Row],[OU]])</f>
        <v>0</v>
      </c>
      <c r="AI300" s="72" t="b">
        <f>ISBLANK(Table37[[#This Row],[SPECIFIC COMMODITY]])</f>
        <v>0</v>
      </c>
      <c r="AJ300" s="72" t="b">
        <f>ISBLANK(Table37[[#This Row],[COMMODITY PREXC SUB-PROGRAM]])</f>
        <v>0</v>
      </c>
      <c r="AK300" s="72" t="b">
        <f>ISBLANK(Table37[[#This Row],[ACTIVITY]])</f>
        <v>0</v>
      </c>
      <c r="AL300" s="72" t="b">
        <f>ISBLANK(Table37[[#This Row],[TAG-GAD]])</f>
        <v>1</v>
      </c>
      <c r="AM300" s="72" t="b">
        <f>ISBLANK(Table37[[#This Row],[MONTH]])</f>
        <v>1</v>
      </c>
      <c r="AN300" s="72" t="b">
        <f>ISBLANK(Table37[[#This Row],[MOOE (Php ''000)]])</f>
        <v>0</v>
      </c>
      <c r="AO300" s="72" t="b">
        <f>ISBLANK(Table37[[#This Row],[CO (Php ''000)]])</f>
        <v>1</v>
      </c>
    </row>
    <row r="301" spans="1:41">
      <c r="A301" s="54" t="str">
        <f>VLOOKUP(Table37[[#This Row],[OU]],OU!$A$15:$B$34,2,FALSE)</f>
        <v>RFOs</v>
      </c>
      <c r="B301" s="60" t="s">
        <v>436</v>
      </c>
      <c r="C301" s="47" t="s">
        <v>574</v>
      </c>
      <c r="D301" s="60" t="s">
        <v>578</v>
      </c>
      <c r="E301" s="54" t="str">
        <f>VLOOKUP(Table37[[#This Row],[SPECIFIC COMMODITY]],TAGS!$W$48:$X$53,2,FALSE)</f>
        <v>Corn</v>
      </c>
      <c r="F301" s="54" t="str">
        <f>VLOOKUP(Table37[[#This Row],[PREXC SUB-PROGRAM]],Table5[],2,FALSE)</f>
        <v>TECHNICAL AND SUPPORT SERVICES PROGRAM</v>
      </c>
      <c r="G301" s="54" t="str">
        <f>VLOOKUP(Table37[[#This Row],[COMMODITY PREXC SUB-PROGRAM]],TAGS!$U$54:$V$76,2,FALSE)</f>
        <v>ESETS</v>
      </c>
      <c r="H301" s="60" t="s">
        <v>587</v>
      </c>
      <c r="I301" s="54" t="str">
        <f>VLOOKUP(Table37[[#This Row],[PI LEVEL 3]],'PI LEVEL'!A:C,3,FALSE)</f>
        <v>Training conducted</v>
      </c>
      <c r="J301" s="54" t="str">
        <f>VLOOKUP(Table37[[#This Row],[PI LEVEL 3]],Table53729[[Performance Indicator Level 3]:[Performance Indicator Level 1]],2,FALSE)</f>
        <v>Other training conducted</v>
      </c>
      <c r="K301" s="54" t="str">
        <f>VLOOKUP(Table37[[#This Row],[ACTIVITY]],TAGS!B:P,2,FALSE)</f>
        <v>Other training conducted_Farmers/Fisherfolk/Other External Participants</v>
      </c>
      <c r="L301" s="60" t="s">
        <v>141</v>
      </c>
      <c r="M301" s="54" t="str">
        <f>VLOOKUP(Table37[[#This Row],[ACTIVITY]],TAGS!$B:$P,4,FALSE)</f>
        <v>Trainings</v>
      </c>
      <c r="N301" s="54" t="str">
        <f>VLOOKUP(Table37[[#This Row],[ACTIVITY]],TAGS!$B:$P,5,FALSE)</f>
        <v>Trainings</v>
      </c>
      <c r="O301" s="54" t="str">
        <f>VLOOKUP(Table37[[#This Row],[ACTIVITY]],TAGS!$B:$P,6,FALSE)</f>
        <v>Integrated Pest Management Training</v>
      </c>
      <c r="P301" s="54" t="str">
        <f>VLOOKUP(Table37[[#This Row],[ACTIVITY]],TAGS!$B:$P,7,FALSE)</f>
        <v>NO</v>
      </c>
      <c r="Q301" s="54" t="str">
        <f>VLOOKUP(Table37[[#This Row],[ACTIVITY]],TAGS!$B:$P,8,FALSE)</f>
        <v>PAP</v>
      </c>
      <c r="R301" s="54" t="str">
        <f>VLOOKUP(Table37[[#This Row],[ACTIVITY]],TAGS!$B:$P,10,FALSE)</f>
        <v>PIP</v>
      </c>
      <c r="S301" s="54" t="str">
        <f>VLOOKUP(Table37[[#This Row],[ACTIVITY]],TAGS!$B:$P,11,FALSE)</f>
        <v>PICS</v>
      </c>
      <c r="T301" s="54" t="str">
        <f>VLOOKUP(Table37[[#This Row],[ACTIVITY]],TAGS!$B:$P,12,FALSE)</f>
        <v>Modernization</v>
      </c>
      <c r="U301" s="54" t="str">
        <f>VLOOKUP(Table37[[#This Row],[ACTIVITY]],TAGS!$B:$P,13,FALSE)</f>
        <v>9. Climate Change Adaptation &amp; Mitigation Measures</v>
      </c>
      <c r="V301" s="54" t="str">
        <f>VLOOKUP(Table37[[#This Row],[ACTIVITY]],TAGS!$B:$P,14,FALSE)</f>
        <v>EXPAND AND IMPROVE AVAILABLE AGRI-FISHERY AREAS FOR INCREASED PRODUCTION</v>
      </c>
      <c r="W301" s="54" t="str">
        <f>VLOOKUP(Table37[[#This Row],[ACTIVITY]],TAGS!$B:$P,15,FALSE)</f>
        <v>Capacity Building</v>
      </c>
      <c r="X301" s="54" t="str">
        <f>VLOOKUP(Table37[[#This Row],[PI LEVEL 3]],'PI LEVEL'!$A:$G,7,FALSE)</f>
        <v>PREXC/DA-Level Output</v>
      </c>
      <c r="Y301" s="60"/>
      <c r="Z301" s="60"/>
      <c r="AA301" s="54" t="e">
        <f>VLOOKUP(Table37[[#This Row],[MONTH]],TAGS!$W$67:$Y$81,2,FALSE)</f>
        <v>#N/A</v>
      </c>
      <c r="AB301" s="54" t="e">
        <f>VLOOKUP(Table37[[#This Row],[MONTH]],TAGS!$W$67:$Y$81,3,FALSE)</f>
        <v>#N/A</v>
      </c>
      <c r="AC301" s="54" t="e">
        <f>VLOOKUP(Table37[[#This Row],[MONTH]],TAGS!$W$67:$Z$81,4,FALSE)</f>
        <v>#N/A</v>
      </c>
      <c r="AD301" s="60">
        <v>400</v>
      </c>
      <c r="AE301" s="60"/>
      <c r="AF301" s="54">
        <f>SUM(Table37[[#This Row],[MOOE (Php ''000)]:[CO (Php ''000)]])</f>
        <v>400</v>
      </c>
      <c r="AG301" s="72" t="b">
        <f>ISBLANK(Table37[[#This Row],[PRPOPOSAL/BEDS]])</f>
        <v>0</v>
      </c>
      <c r="AH301" s="72" t="b">
        <f>ISBLANK(Table37[[#This Row],[OU]])</f>
        <v>0</v>
      </c>
      <c r="AI301" s="72" t="b">
        <f>ISBLANK(Table37[[#This Row],[SPECIFIC COMMODITY]])</f>
        <v>0</v>
      </c>
      <c r="AJ301" s="72" t="b">
        <f>ISBLANK(Table37[[#This Row],[COMMODITY PREXC SUB-PROGRAM]])</f>
        <v>0</v>
      </c>
      <c r="AK301" s="72" t="b">
        <f>ISBLANK(Table37[[#This Row],[ACTIVITY]])</f>
        <v>0</v>
      </c>
      <c r="AL301" s="72" t="b">
        <f>ISBLANK(Table37[[#This Row],[TAG-GAD]])</f>
        <v>1</v>
      </c>
      <c r="AM301" s="72" t="b">
        <f>ISBLANK(Table37[[#This Row],[MONTH]])</f>
        <v>1</v>
      </c>
      <c r="AN301" s="72" t="b">
        <f>ISBLANK(Table37[[#This Row],[MOOE (Php ''000)]])</f>
        <v>0</v>
      </c>
      <c r="AO301" s="72" t="b">
        <f>ISBLANK(Table37[[#This Row],[CO (Php ''000)]])</f>
        <v>1</v>
      </c>
    </row>
    <row r="302" spans="1:41">
      <c r="A302" s="54" t="str">
        <f>VLOOKUP(Table37[[#This Row],[OU]],OU!$A$15:$B$34,2,FALSE)</f>
        <v>RFOs</v>
      </c>
      <c r="B302" s="60" t="s">
        <v>436</v>
      </c>
      <c r="C302" s="47" t="s">
        <v>574</v>
      </c>
      <c r="D302" s="60" t="s">
        <v>578</v>
      </c>
      <c r="E302" s="54" t="str">
        <f>VLOOKUP(Table37[[#This Row],[SPECIFIC COMMODITY]],TAGS!$W$48:$X$53,2,FALSE)</f>
        <v>Corn</v>
      </c>
      <c r="F302" s="54" t="str">
        <f>VLOOKUP(Table37[[#This Row],[PREXC SUB-PROGRAM]],Table5[],2,FALSE)</f>
        <v>TECHNICAL AND SUPPORT SERVICES PROGRAM</v>
      </c>
      <c r="G302" s="54" t="str">
        <f>VLOOKUP(Table37[[#This Row],[COMMODITY PREXC SUB-PROGRAM]],TAGS!$U$54:$V$76,2,FALSE)</f>
        <v>ESETS</v>
      </c>
      <c r="H302" s="60" t="s">
        <v>587</v>
      </c>
      <c r="I302" s="54" t="str">
        <f>VLOOKUP(Table37[[#This Row],[PI LEVEL 3]],'PI LEVEL'!A:C,3,FALSE)</f>
        <v>Knowledge Products disseminated</v>
      </c>
      <c r="J302" s="54" t="str">
        <f>VLOOKUP(Table37[[#This Row],[PI LEVEL 3]],Table53729[[Performance Indicator Level 3]:[Performance Indicator Level 1]],2,FALSE)</f>
        <v>Knowledge Products disseminated</v>
      </c>
      <c r="K302" s="54" t="str">
        <f>VLOOKUP(Table37[[#This Row],[ACTIVITY]],TAGS!B:P,2,FALSE)</f>
        <v>Knowledge Products disseminated</v>
      </c>
      <c r="L302" s="60" t="s">
        <v>145</v>
      </c>
      <c r="M302" s="54" t="str">
        <f>VLOOKUP(Table37[[#This Row],[ACTIVITY]],TAGS!$B:$P,4,FALSE)</f>
        <v>Information, Education, and Communication Activities</v>
      </c>
      <c r="N302" s="54" t="str">
        <f>VLOOKUP(Table37[[#This Row],[ACTIVITY]],TAGS!$B:$P,5,FALSE)</f>
        <v>Information, Education, and Communication Activities</v>
      </c>
      <c r="O302" s="54" t="str">
        <f>VLOOKUP(Table37[[#This Row],[ACTIVITY]],TAGS!$B:$P,6,FALSE)</f>
        <v>IEC materials</v>
      </c>
      <c r="P302" s="54" t="str">
        <f>VLOOKUP(Table37[[#This Row],[ACTIVITY]],TAGS!$B:$P,7,FALSE)</f>
        <v>NO</v>
      </c>
      <c r="Q302" s="54" t="str">
        <f>VLOOKUP(Table37[[#This Row],[ACTIVITY]],TAGS!$B:$P,8,FALSE)</f>
        <v>PAP</v>
      </c>
      <c r="R302" s="54" t="str">
        <f>VLOOKUP(Table37[[#This Row],[ACTIVITY]],TAGS!$B:$P,10,FALSE)</f>
        <v>PIP</v>
      </c>
      <c r="S302" s="54" t="str">
        <f>VLOOKUP(Table37[[#This Row],[ACTIVITY]],TAGS!$B:$P,11,FALSE)</f>
        <v>PICS</v>
      </c>
      <c r="T302" s="54" t="str">
        <f>VLOOKUP(Table37[[#This Row],[ACTIVITY]],TAGS!$B:$P,12,FALSE)</f>
        <v>Strategic Communication</v>
      </c>
      <c r="U302" s="54" t="str">
        <f>VLOOKUP(Table37[[#This Row],[ACTIVITY]],TAGS!$B:$P,13,FALSE)</f>
        <v>18. Strategic Communications​</v>
      </c>
      <c r="V302" s="54">
        <f>VLOOKUP(Table37[[#This Row],[ACTIVITY]],TAGS!$B:$P,14,FALSE)</f>
        <v>0</v>
      </c>
      <c r="W302" s="54" t="str">
        <f>VLOOKUP(Table37[[#This Row],[ACTIVITY]],TAGS!$B:$P,15,FALSE)</f>
        <v>IEC</v>
      </c>
      <c r="X302" s="54" t="str">
        <f>VLOOKUP(Table37[[#This Row],[PI LEVEL 3]],'PI LEVEL'!$A:$G,7,FALSE)</f>
        <v>DA-Level Output</v>
      </c>
      <c r="Y302" s="60"/>
      <c r="Z302" s="60"/>
      <c r="AA302" s="54" t="e">
        <f>VLOOKUP(Table37[[#This Row],[MONTH]],TAGS!$W$67:$Y$81,2,FALSE)</f>
        <v>#N/A</v>
      </c>
      <c r="AB302" s="54" t="e">
        <f>VLOOKUP(Table37[[#This Row],[MONTH]],TAGS!$W$67:$Y$81,3,FALSE)</f>
        <v>#N/A</v>
      </c>
      <c r="AC302" s="54" t="e">
        <f>VLOOKUP(Table37[[#This Row],[MONTH]],TAGS!$W$67:$Z$81,4,FALSE)</f>
        <v>#N/A</v>
      </c>
      <c r="AD302" s="60">
        <v>200</v>
      </c>
      <c r="AE302" s="60"/>
      <c r="AF302" s="54">
        <f>SUM(Table37[[#This Row],[MOOE (Php ''000)]:[CO (Php ''000)]])</f>
        <v>200</v>
      </c>
      <c r="AG302" s="72" t="b">
        <f>ISBLANK(Table37[[#This Row],[PRPOPOSAL/BEDS]])</f>
        <v>0</v>
      </c>
      <c r="AH302" s="72" t="b">
        <f>ISBLANK(Table37[[#This Row],[OU]])</f>
        <v>0</v>
      </c>
      <c r="AI302" s="72" t="b">
        <f>ISBLANK(Table37[[#This Row],[SPECIFIC COMMODITY]])</f>
        <v>0</v>
      </c>
      <c r="AJ302" s="72" t="b">
        <f>ISBLANK(Table37[[#This Row],[COMMODITY PREXC SUB-PROGRAM]])</f>
        <v>0</v>
      </c>
      <c r="AK302" s="72" t="b">
        <f>ISBLANK(Table37[[#This Row],[ACTIVITY]])</f>
        <v>0</v>
      </c>
      <c r="AL302" s="72" t="b">
        <f>ISBLANK(Table37[[#This Row],[TAG-GAD]])</f>
        <v>1</v>
      </c>
      <c r="AM302" s="72" t="b">
        <f>ISBLANK(Table37[[#This Row],[MONTH]])</f>
        <v>1</v>
      </c>
      <c r="AN302" s="72" t="b">
        <f>ISBLANK(Table37[[#This Row],[MOOE (Php ''000)]])</f>
        <v>0</v>
      </c>
      <c r="AO302" s="72" t="b">
        <f>ISBLANK(Table37[[#This Row],[CO (Php ''000)]])</f>
        <v>1</v>
      </c>
    </row>
    <row r="303" spans="1:41">
      <c r="A303" s="54" t="str">
        <f>VLOOKUP(Table37[[#This Row],[OU]],OU!$A$15:$B$34,2,FALSE)</f>
        <v>RFOs</v>
      </c>
      <c r="B303" s="60" t="s">
        <v>436</v>
      </c>
      <c r="C303" s="47" t="s">
        <v>574</v>
      </c>
      <c r="D303" s="60" t="s">
        <v>578</v>
      </c>
      <c r="E303" s="54" t="str">
        <f>VLOOKUP(Table37[[#This Row],[SPECIFIC COMMODITY]],TAGS!$W$48:$X$53,2,FALSE)</f>
        <v>Corn</v>
      </c>
      <c r="F303" s="54" t="str">
        <f>VLOOKUP(Table37[[#This Row],[PREXC SUB-PROGRAM]],Table5[],2,FALSE)</f>
        <v>TECHNICAL AND SUPPORT SERVICES PROGRAM</v>
      </c>
      <c r="G303" s="54" t="str">
        <f>VLOOKUP(Table37[[#This Row],[COMMODITY PREXC SUB-PROGRAM]],TAGS!$U$54:$V$76,2,FALSE)</f>
        <v>RND</v>
      </c>
      <c r="H303" s="60" t="s">
        <v>593</v>
      </c>
      <c r="I303" s="54" t="str">
        <f>VLOOKUP(Table37[[#This Row],[PI LEVEL 3]],'PI LEVEL'!A:C,3,FALSE)</f>
        <v>Research and development activities conducted</v>
      </c>
      <c r="J303" s="54" t="str">
        <f>VLOOKUP(Table37[[#This Row],[PI LEVEL 3]],Table53729[[Performance Indicator Level 3]:[Performance Indicator Level 1]],2,FALSE)</f>
        <v>Production-related R4D activities conducted</v>
      </c>
      <c r="K303" s="54" t="str">
        <f>VLOOKUP(Table37[[#This Row],[ACTIVITY]],TAGS!B:P,2,FALSE)</f>
        <v>New Production-related R4D activities conducted</v>
      </c>
      <c r="L303" s="60" t="s">
        <v>168</v>
      </c>
      <c r="M303" s="54" t="str">
        <f>VLOOKUP(Table37[[#This Row],[ACTIVITY]],TAGS!$B:$P,4,FALSE)</f>
        <v>R&amp;D conducted</v>
      </c>
      <c r="N303" s="54" t="str">
        <f>VLOOKUP(Table37[[#This Row],[ACTIVITY]],TAGS!$B:$P,5,FALSE)</f>
        <v>RFOs &amp; Bureaus conducted R&amp;D</v>
      </c>
      <c r="O303" s="54" t="str">
        <f>VLOOKUP(Table37[[#This Row],[ACTIVITY]],TAGS!$B:$P,6,FALSE)</f>
        <v>New R&amp;D</v>
      </c>
      <c r="P303" s="54" t="str">
        <f>VLOOKUP(Table37[[#This Row],[ACTIVITY]],TAGS!$B:$P,7,FALSE)</f>
        <v>NO</v>
      </c>
      <c r="Q303" s="54" t="str">
        <f>VLOOKUP(Table37[[#This Row],[ACTIVITY]],TAGS!$B:$P,8,FALSE)</f>
        <v>Research</v>
      </c>
      <c r="R303" s="54" t="str">
        <f>VLOOKUP(Table37[[#This Row],[ACTIVITY]],TAGS!$B:$P,10,FALSE)</f>
        <v>PIP</v>
      </c>
      <c r="S303" s="54" t="str">
        <f>VLOOKUP(Table37[[#This Row],[ACTIVITY]],TAGS!$B:$P,11,FALSE)</f>
        <v>PICS</v>
      </c>
      <c r="T303" s="54" t="str">
        <f>VLOOKUP(Table37[[#This Row],[ACTIVITY]],TAGS!$B:$P,12,FALSE)</f>
        <v>Modernization</v>
      </c>
      <c r="U303" s="54">
        <f>VLOOKUP(Table37[[#This Row],[ACTIVITY]],TAGS!$B:$P,13,FALSE)</f>
        <v>0</v>
      </c>
      <c r="V303" s="54" t="str">
        <f>VLOOKUP(Table37[[#This Row],[ACTIVITY]],TAGS!$B:$P,14,FALSE)</f>
        <v>EXPAND AND IMPROVE AVAILABLE AGRI-FISHERY AREAS FOR INCREASED PRODUCTION</v>
      </c>
      <c r="W303" s="54" t="str">
        <f>VLOOKUP(Table37[[#This Row],[ACTIVITY]],TAGS!$B:$P,15,FALSE)</f>
        <v>R&amp;D</v>
      </c>
      <c r="X303" s="54" t="str">
        <f>VLOOKUP(Table37[[#This Row],[PI LEVEL 3]],'PI LEVEL'!$A:$G,7,FALSE)</f>
        <v>DA-Level Output</v>
      </c>
      <c r="Y303" s="60"/>
      <c r="Z303" s="60"/>
      <c r="AA303" s="54" t="e">
        <f>VLOOKUP(Table37[[#This Row],[MONTH]],TAGS!$W$67:$Y$81,2,FALSE)</f>
        <v>#N/A</v>
      </c>
      <c r="AB303" s="54" t="e">
        <f>VLOOKUP(Table37[[#This Row],[MONTH]],TAGS!$W$67:$Y$81,3,FALSE)</f>
        <v>#N/A</v>
      </c>
      <c r="AC303" s="54" t="e">
        <f>VLOOKUP(Table37[[#This Row],[MONTH]],TAGS!$W$67:$Z$81,4,FALSE)</f>
        <v>#N/A</v>
      </c>
      <c r="AD303" s="60">
        <v>5500</v>
      </c>
      <c r="AE303" s="60"/>
      <c r="AF303" s="54">
        <f>SUM(Table37[[#This Row],[MOOE (Php ''000)]:[CO (Php ''000)]])</f>
        <v>5500</v>
      </c>
      <c r="AG303" s="72" t="b">
        <f>ISBLANK(Table37[[#This Row],[PRPOPOSAL/BEDS]])</f>
        <v>0</v>
      </c>
      <c r="AH303" s="72" t="b">
        <f>ISBLANK(Table37[[#This Row],[OU]])</f>
        <v>0</v>
      </c>
      <c r="AI303" s="72" t="b">
        <f>ISBLANK(Table37[[#This Row],[SPECIFIC COMMODITY]])</f>
        <v>0</v>
      </c>
      <c r="AJ303" s="72" t="b">
        <f>ISBLANK(Table37[[#This Row],[COMMODITY PREXC SUB-PROGRAM]])</f>
        <v>0</v>
      </c>
      <c r="AK303" s="72" t="b">
        <f>ISBLANK(Table37[[#This Row],[ACTIVITY]])</f>
        <v>0</v>
      </c>
      <c r="AL303" s="72" t="b">
        <f>ISBLANK(Table37[[#This Row],[TAG-GAD]])</f>
        <v>1</v>
      </c>
      <c r="AM303" s="72" t="b">
        <f>ISBLANK(Table37[[#This Row],[MONTH]])</f>
        <v>1</v>
      </c>
      <c r="AN303" s="72" t="b">
        <f>ISBLANK(Table37[[#This Row],[MOOE (Php ''000)]])</f>
        <v>0</v>
      </c>
      <c r="AO303" s="72" t="b">
        <f>ISBLANK(Table37[[#This Row],[CO (Php ''000)]])</f>
        <v>1</v>
      </c>
    </row>
    <row r="304" spans="1:41">
      <c r="A304" s="54" t="str">
        <f>VLOOKUP(Table37[[#This Row],[OU]],OU!$A$15:$B$34,2,FALSE)</f>
        <v>RFOs</v>
      </c>
      <c r="B304" s="60" t="s">
        <v>436</v>
      </c>
      <c r="C304" s="47" t="s">
        <v>574</v>
      </c>
      <c r="D304" s="60" t="s">
        <v>579</v>
      </c>
      <c r="E304" s="54" t="str">
        <f>VLOOKUP(Table37[[#This Row],[SPECIFIC COMMODITY]],TAGS!$W$48:$X$53,2,FALSE)</f>
        <v>Cassava</v>
      </c>
      <c r="F304" s="54" t="str">
        <f>VLOOKUP(Table37[[#This Row],[PREXC SUB-PROGRAM]],Table5[],2,FALSE)</f>
        <v>AGRICULTURAL  MACHINERY, EQUIPMENT, FACILITIES AND INFRASTRUCTURE PROGRAM</v>
      </c>
      <c r="G304" s="54" t="str">
        <f>VLOOKUP(Table37[[#This Row],[COMMODITY PREXC SUB-PROGRAM]],TAGS!$U$54:$V$76,2,FALSE)</f>
        <v>AMEFSS</v>
      </c>
      <c r="H304" s="60" t="s">
        <v>595</v>
      </c>
      <c r="I304" s="54" t="str">
        <f>VLOOKUP(Table37[[#This Row],[PI LEVEL 3]],'PI LEVEL'!A:C,3,FALSE)</f>
        <v>Other machinery and equipment distributed</v>
      </c>
      <c r="J304" s="54" t="str">
        <f>VLOOKUP(Table37[[#This Row],[PI LEVEL 3]],Table53729[[Performance Indicator Level 3]:[Performance Indicator Level 1]],2,FALSE)</f>
        <v>Other machinery and equipment distributed</v>
      </c>
      <c r="K304" s="54" t="str">
        <f>VLOOKUP(Table37[[#This Row],[ACTIVITY]],TAGS!B:P,2,FALSE)</f>
        <v>Solar Bubble Dryer distributed_PSS</v>
      </c>
      <c r="L304" s="60" t="s">
        <v>196</v>
      </c>
      <c r="M304" s="54" t="str">
        <f>VLOOKUP(Table37[[#This Row],[ACTIVITY]],TAGS!$B:$P,4,FALSE)</f>
        <v>Postharvest related machinery &amp; equipment</v>
      </c>
      <c r="N304" s="54" t="str">
        <f>VLOOKUP(Table37[[#This Row],[ACTIVITY]],TAGS!$B:$P,5,FALSE)</f>
        <v>Postharvest-related</v>
      </c>
      <c r="O304" s="54" t="str">
        <f>VLOOKUP(Table37[[#This Row],[ACTIVITY]],TAGS!$B:$P,6,FALSE)</f>
        <v>Solar Bubble Dryer</v>
      </c>
      <c r="P304" s="54" t="str">
        <f>VLOOKUP(Table37[[#This Row],[ACTIVITY]],TAGS!$B:$P,7,FALSE)</f>
        <v>YES</v>
      </c>
      <c r="Q304" s="54" t="str">
        <f>VLOOKUP(Table37[[#This Row],[ACTIVITY]],TAGS!$B:$P,8,FALSE)</f>
        <v>PAP</v>
      </c>
      <c r="R304" s="54" t="str">
        <f>VLOOKUP(Table37[[#This Row],[ACTIVITY]],TAGS!$B:$P,10,FALSE)</f>
        <v>PIP</v>
      </c>
      <c r="S304" s="54" t="str">
        <f>VLOOKUP(Table37[[#This Row],[ACTIVITY]],TAGS!$B:$P,11,FALSE)</f>
        <v>PICS</v>
      </c>
      <c r="T304" s="54" t="str">
        <f>VLOOKUP(Table37[[#This Row],[ACTIVITY]],TAGS!$B:$P,12,FALSE)</f>
        <v>Modernization</v>
      </c>
      <c r="U304" s="54" t="str">
        <f>VLOOKUP(Table37[[#This Row],[ACTIVITY]],TAGS!$B:$P,13,FALSE)</f>
        <v>8. Farm Mechanization and Farm Investments</v>
      </c>
      <c r="V304" s="54" t="str">
        <f>VLOOKUP(Table37[[#This Row],[ACTIVITY]],TAGS!$B:$P,14,FALSE)</f>
        <v>DEVELOP AND IMPROVE POST-HARVEST SYSTEMS AND INFRASTRUCTURE</v>
      </c>
      <c r="W304" s="54" t="str">
        <f>VLOOKUP(Table37[[#This Row],[ACTIVITY]],TAGS!$B:$P,15,FALSE)</f>
        <v>Postharvest-related</v>
      </c>
      <c r="X304" s="54" t="str">
        <f>VLOOKUP(Table37[[#This Row],[PI LEVEL 3]],'PI LEVEL'!$A:$G,7,FALSE)</f>
        <v>DA-Level Output</v>
      </c>
      <c r="Y304" s="60"/>
      <c r="Z304" s="60"/>
      <c r="AA304" s="54" t="e">
        <f>VLOOKUP(Table37[[#This Row],[MONTH]],TAGS!$W$67:$Y$81,2,FALSE)</f>
        <v>#N/A</v>
      </c>
      <c r="AB304" s="54" t="e">
        <f>VLOOKUP(Table37[[#This Row],[MONTH]],TAGS!$W$67:$Y$81,3,FALSE)</f>
        <v>#N/A</v>
      </c>
      <c r="AC304" s="54" t="e">
        <f>VLOOKUP(Table37[[#This Row],[MONTH]],TAGS!$W$67:$Z$81,4,FALSE)</f>
        <v>#N/A</v>
      </c>
      <c r="AD304" s="60"/>
      <c r="AE304" s="60">
        <v>4000</v>
      </c>
      <c r="AF304" s="54">
        <f>SUM(Table37[[#This Row],[MOOE (Php ''000)]:[CO (Php ''000)]])</f>
        <v>4000</v>
      </c>
      <c r="AG304" s="72" t="b">
        <f>ISBLANK(Table37[[#This Row],[PRPOPOSAL/BEDS]])</f>
        <v>0</v>
      </c>
      <c r="AH304" s="72" t="b">
        <f>ISBLANK(Table37[[#This Row],[OU]])</f>
        <v>0</v>
      </c>
      <c r="AI304" s="72" t="b">
        <f>ISBLANK(Table37[[#This Row],[SPECIFIC COMMODITY]])</f>
        <v>0</v>
      </c>
      <c r="AJ304" s="72" t="b">
        <f>ISBLANK(Table37[[#This Row],[COMMODITY PREXC SUB-PROGRAM]])</f>
        <v>0</v>
      </c>
      <c r="AK304" s="72" t="b">
        <f>ISBLANK(Table37[[#This Row],[ACTIVITY]])</f>
        <v>0</v>
      </c>
      <c r="AL304" s="72" t="b">
        <f>ISBLANK(Table37[[#This Row],[TAG-GAD]])</f>
        <v>1</v>
      </c>
      <c r="AM304" s="72" t="b">
        <f>ISBLANK(Table37[[#This Row],[MONTH]])</f>
        <v>1</v>
      </c>
      <c r="AN304" s="72" t="b">
        <f>ISBLANK(Table37[[#This Row],[MOOE (Php ''000)]])</f>
        <v>1</v>
      </c>
      <c r="AO304" s="72" t="b">
        <f>ISBLANK(Table37[[#This Row],[CO (Php ''000)]])</f>
        <v>0</v>
      </c>
    </row>
    <row r="305" spans="1:41">
      <c r="A305" s="54" t="str">
        <f>VLOOKUP(Table37[[#This Row],[OU]],OU!$A$15:$B$34,2,FALSE)</f>
        <v>RFOs</v>
      </c>
      <c r="B305" s="60" t="s">
        <v>436</v>
      </c>
      <c r="C305" s="47" t="s">
        <v>574</v>
      </c>
      <c r="D305" s="60" t="s">
        <v>579</v>
      </c>
      <c r="E305" s="54" t="str">
        <f>VLOOKUP(Table37[[#This Row],[SPECIFIC COMMODITY]],TAGS!$W$48:$X$53,2,FALSE)</f>
        <v>Cassava</v>
      </c>
      <c r="F305" s="54" t="str">
        <f>VLOOKUP(Table37[[#This Row],[PREXC SUB-PROGRAM]],Table5[],2,FALSE)</f>
        <v>AGRICULTURAL  MACHINERY, EQUIPMENT, FACILITIES AND INFRASTRUCTURE PROGRAM</v>
      </c>
      <c r="G305" s="54" t="str">
        <f>VLOOKUP(Table37[[#This Row],[COMMODITY PREXC SUB-PROGRAM]],TAGS!$U$54:$V$76,2,FALSE)</f>
        <v>AMEFSS</v>
      </c>
      <c r="H305" s="60" t="s">
        <v>595</v>
      </c>
      <c r="I305" s="54" t="str">
        <f>VLOOKUP(Table37[[#This Row],[PI LEVEL 3]],'PI LEVEL'!A:C,3,FALSE)</f>
        <v>Other infrastructure constructed</v>
      </c>
      <c r="J305" s="54" t="str">
        <f>VLOOKUP(Table37[[#This Row],[PI LEVEL 3]],Table53729[[Performance Indicator Level 3]:[Performance Indicator Level 1]],2,FALSE)</f>
        <v>Other infrastructure constructed</v>
      </c>
      <c r="K305" s="54" t="str">
        <f>VLOOKUP(Table37[[#This Row],[ACTIVITY]],TAGS!B:P,2,FALSE)</f>
        <v>Water treatment system facility constructed</v>
      </c>
      <c r="L305" s="60" t="s">
        <v>198</v>
      </c>
      <c r="M305" s="54" t="str">
        <f>VLOOKUP(Table37[[#This Row],[ACTIVITY]],TAGS!$B:$P,4,FALSE)</f>
        <v>Processing related machinery &amp; equipment</v>
      </c>
      <c r="N305" s="54" t="str">
        <f>VLOOKUP(Table37[[#This Row],[ACTIVITY]],TAGS!$B:$P,5,FALSE)</f>
        <v>Processing-related</v>
      </c>
      <c r="O305" s="54" t="str">
        <f>VLOOKUP(Table37[[#This Row],[ACTIVITY]],TAGS!$B:$P,6,FALSE)</f>
        <v>Waster Water Treatment System</v>
      </c>
      <c r="P305" s="54" t="str">
        <f>VLOOKUP(Table37[[#This Row],[ACTIVITY]],TAGS!$B:$P,7,FALSE)</f>
        <v>NO</v>
      </c>
      <c r="Q305" s="54" t="str">
        <f>VLOOKUP(Table37[[#This Row],[ACTIVITY]],TAGS!$B:$P,8,FALSE)</f>
        <v>PAP</v>
      </c>
      <c r="R305" s="54" t="str">
        <f>VLOOKUP(Table37[[#This Row],[ACTIVITY]],TAGS!$B:$P,10,FALSE)</f>
        <v>PIP</v>
      </c>
      <c r="S305" s="54" t="str">
        <f>VLOOKUP(Table37[[#This Row],[ACTIVITY]],TAGS!$B:$P,11,FALSE)</f>
        <v>PICS</v>
      </c>
      <c r="T305" s="54" t="str">
        <f>VLOOKUP(Table37[[#This Row],[ACTIVITY]],TAGS!$B:$P,12,FALSE)</f>
        <v>Modernization</v>
      </c>
      <c r="U305" s="54" t="str">
        <f>VLOOKUP(Table37[[#This Row],[ACTIVITY]],TAGS!$B:$P,13,FALSE)</f>
        <v>8. Farm Mechanization and Farm Investments</v>
      </c>
      <c r="V305" s="54" t="str">
        <f>VLOOKUP(Table37[[#This Row],[ACTIVITY]],TAGS!$B:$P,14,FALSE)</f>
        <v>DEVELOP AND IMPROVE POST-HARVEST SYSTEMS AND INFRASTRUCTURE</v>
      </c>
      <c r="W305" s="54" t="str">
        <f>VLOOKUP(Table37[[#This Row],[ACTIVITY]],TAGS!$B:$P,15,FALSE)</f>
        <v>Processing facilities</v>
      </c>
      <c r="X305" s="54" t="str">
        <f>VLOOKUP(Table37[[#This Row],[PI LEVEL 3]],'PI LEVEL'!$A:$G,7,FALSE)</f>
        <v>DA-Level Output</v>
      </c>
      <c r="Y305" s="60"/>
      <c r="Z305" s="60"/>
      <c r="AA305" s="54" t="e">
        <f>VLOOKUP(Table37[[#This Row],[MONTH]],TAGS!$W$67:$Y$81,2,FALSE)</f>
        <v>#N/A</v>
      </c>
      <c r="AB305" s="54" t="e">
        <f>VLOOKUP(Table37[[#This Row],[MONTH]],TAGS!$W$67:$Y$81,3,FALSE)</f>
        <v>#N/A</v>
      </c>
      <c r="AC305" s="54" t="e">
        <f>VLOOKUP(Table37[[#This Row],[MONTH]],TAGS!$W$67:$Z$81,4,FALSE)</f>
        <v>#N/A</v>
      </c>
      <c r="AD305" s="60"/>
      <c r="AE305" s="60">
        <v>20000</v>
      </c>
      <c r="AF305" s="54">
        <f>SUM(Table37[[#This Row],[MOOE (Php ''000)]:[CO (Php ''000)]])</f>
        <v>20000</v>
      </c>
      <c r="AG305" s="72" t="b">
        <f>ISBLANK(Table37[[#This Row],[PRPOPOSAL/BEDS]])</f>
        <v>0</v>
      </c>
      <c r="AH305" s="72" t="b">
        <f>ISBLANK(Table37[[#This Row],[OU]])</f>
        <v>0</v>
      </c>
      <c r="AI305" s="72" t="b">
        <f>ISBLANK(Table37[[#This Row],[SPECIFIC COMMODITY]])</f>
        <v>0</v>
      </c>
      <c r="AJ305" s="72" t="b">
        <f>ISBLANK(Table37[[#This Row],[COMMODITY PREXC SUB-PROGRAM]])</f>
        <v>0</v>
      </c>
      <c r="AK305" s="72" t="b">
        <f>ISBLANK(Table37[[#This Row],[ACTIVITY]])</f>
        <v>0</v>
      </c>
      <c r="AL305" s="72" t="b">
        <f>ISBLANK(Table37[[#This Row],[TAG-GAD]])</f>
        <v>1</v>
      </c>
      <c r="AM305" s="72" t="b">
        <f>ISBLANK(Table37[[#This Row],[MONTH]])</f>
        <v>1</v>
      </c>
      <c r="AN305" s="72" t="b">
        <f>ISBLANK(Table37[[#This Row],[MOOE (Php ''000)]])</f>
        <v>1</v>
      </c>
      <c r="AO305" s="72" t="b">
        <f>ISBLANK(Table37[[#This Row],[CO (Php ''000)]])</f>
        <v>0</v>
      </c>
    </row>
    <row r="306" spans="1:41">
      <c r="A306" s="54" t="str">
        <f>VLOOKUP(Table37[[#This Row],[OU]],OU!$A$15:$B$34,2,FALSE)</f>
        <v>RFOs</v>
      </c>
      <c r="B306" s="60" t="s">
        <v>436</v>
      </c>
      <c r="C306" s="47" t="s">
        <v>574</v>
      </c>
      <c r="D306" s="60" t="s">
        <v>578</v>
      </c>
      <c r="E306" s="54" t="str">
        <f>VLOOKUP(Table37[[#This Row],[SPECIFIC COMMODITY]],TAGS!$W$48:$X$53,2,FALSE)</f>
        <v>Corn</v>
      </c>
      <c r="F306" s="54" t="str">
        <f>VLOOKUP(Table37[[#This Row],[PREXC SUB-PROGRAM]],Table5[],2,FALSE)</f>
        <v>AGRICULTURAL  MACHINERY, EQUIPMENT, FACILITIES AND INFRASTRUCTURE PROGRAM</v>
      </c>
      <c r="G306" s="54" t="str">
        <f>VLOOKUP(Table37[[#This Row],[COMMODITY PREXC SUB-PROGRAM]],TAGS!$U$54:$V$76,2,FALSE)</f>
        <v>AMEFSS</v>
      </c>
      <c r="H306" s="60" t="s">
        <v>594</v>
      </c>
      <c r="I306" s="54" t="str">
        <f>VLOOKUP(Table37[[#This Row],[PI LEVEL 3]],'PI LEVEL'!A:C,3,FALSE)</f>
        <v>Production machinery and equipment distributed</v>
      </c>
      <c r="J306" s="54" t="str">
        <f>VLOOKUP(Table37[[#This Row],[PI LEVEL 3]],Table53729[[Performance Indicator Level 3]:[Performance Indicator Level 1]],2,FALSE)</f>
        <v>Agricultural tractor distributed</v>
      </c>
      <c r="K306" s="54" t="str">
        <f>VLOOKUP(Table37[[#This Row],[ACTIVITY]],TAGS!B:P,2,FALSE)</f>
        <v>Four-Wheel Tractor Distributed</v>
      </c>
      <c r="L306" s="60" t="s">
        <v>171</v>
      </c>
      <c r="M306" s="54" t="str">
        <f>VLOOKUP(Table37[[#This Row],[ACTIVITY]],TAGS!$B:$P,4,FALSE)</f>
        <v>Production related machinery &amp; equipment</v>
      </c>
      <c r="N306" s="54" t="str">
        <f>VLOOKUP(Table37[[#This Row],[ACTIVITY]],TAGS!$B:$P,5,FALSE)</f>
        <v>Production-related</v>
      </c>
      <c r="O306" s="54" t="str">
        <f>VLOOKUP(Table37[[#This Row],[ACTIVITY]],TAGS!$B:$P,6,FALSE)</f>
        <v>Tractor</v>
      </c>
      <c r="P306" s="54" t="str">
        <f>VLOOKUP(Table37[[#This Row],[ACTIVITY]],TAGS!$B:$P,7,FALSE)</f>
        <v>NO</v>
      </c>
      <c r="Q306" s="54" t="str">
        <f>VLOOKUP(Table37[[#This Row],[ACTIVITY]],TAGS!$B:$P,8,FALSE)</f>
        <v>PAP</v>
      </c>
      <c r="R306" s="54" t="str">
        <f>VLOOKUP(Table37[[#This Row],[ACTIVITY]],TAGS!$B:$P,10,FALSE)</f>
        <v>PIP</v>
      </c>
      <c r="S306" s="54" t="str">
        <f>VLOOKUP(Table37[[#This Row],[ACTIVITY]],TAGS!$B:$P,11,FALSE)</f>
        <v>PICS</v>
      </c>
      <c r="T306" s="54" t="str">
        <f>VLOOKUP(Table37[[#This Row],[ACTIVITY]],TAGS!$B:$P,12,FALSE)</f>
        <v>Modernization</v>
      </c>
      <c r="U306" s="54" t="str">
        <f>VLOOKUP(Table37[[#This Row],[ACTIVITY]],TAGS!$B:$P,13,FALSE)</f>
        <v>8. Farm Mechanization and Farm Investments</v>
      </c>
      <c r="V306" s="54" t="str">
        <f>VLOOKUP(Table37[[#This Row],[ACTIVITY]],TAGS!$B:$P,14,FALSE)</f>
        <v>MECHANIZE AND MODERNIZE AGRI-FISHERY PRODUCTION SYSTEMS</v>
      </c>
      <c r="W306" s="54" t="str">
        <f>VLOOKUP(Table37[[#This Row],[ACTIVITY]],TAGS!$B:$P,15,FALSE)</f>
        <v>Production-related</v>
      </c>
      <c r="X306" s="54" t="str">
        <f>VLOOKUP(Table37[[#This Row],[PI LEVEL 3]],'PI LEVEL'!$A:$G,7,FALSE)</f>
        <v>DA-Level Output</v>
      </c>
      <c r="Y306" s="60"/>
      <c r="Z306" s="60"/>
      <c r="AA306" s="54" t="e">
        <f>VLOOKUP(Table37[[#This Row],[MONTH]],TAGS!$W$67:$Y$81,2,FALSE)</f>
        <v>#N/A</v>
      </c>
      <c r="AB306" s="54" t="e">
        <f>VLOOKUP(Table37[[#This Row],[MONTH]],TAGS!$W$67:$Y$81,3,FALSE)</f>
        <v>#N/A</v>
      </c>
      <c r="AC306" s="54" t="e">
        <f>VLOOKUP(Table37[[#This Row],[MONTH]],TAGS!$W$67:$Z$81,4,FALSE)</f>
        <v>#N/A</v>
      </c>
      <c r="AD306" s="60"/>
      <c r="AE306" s="60">
        <v>31000</v>
      </c>
      <c r="AF306" s="54">
        <f>SUM(Table37[[#This Row],[MOOE (Php ''000)]:[CO (Php ''000)]])</f>
        <v>31000</v>
      </c>
      <c r="AG306" s="72" t="b">
        <f>ISBLANK(Table37[[#This Row],[PRPOPOSAL/BEDS]])</f>
        <v>0</v>
      </c>
      <c r="AH306" s="72" t="b">
        <f>ISBLANK(Table37[[#This Row],[OU]])</f>
        <v>0</v>
      </c>
      <c r="AI306" s="72" t="b">
        <f>ISBLANK(Table37[[#This Row],[SPECIFIC COMMODITY]])</f>
        <v>0</v>
      </c>
      <c r="AJ306" s="72" t="b">
        <f>ISBLANK(Table37[[#This Row],[COMMODITY PREXC SUB-PROGRAM]])</f>
        <v>0</v>
      </c>
      <c r="AK306" s="72" t="b">
        <f>ISBLANK(Table37[[#This Row],[ACTIVITY]])</f>
        <v>0</v>
      </c>
      <c r="AL306" s="72" t="b">
        <f>ISBLANK(Table37[[#This Row],[TAG-GAD]])</f>
        <v>1</v>
      </c>
      <c r="AM306" s="72" t="b">
        <f>ISBLANK(Table37[[#This Row],[MONTH]])</f>
        <v>1</v>
      </c>
      <c r="AN306" s="72" t="b">
        <f>ISBLANK(Table37[[#This Row],[MOOE (Php ''000)]])</f>
        <v>1</v>
      </c>
      <c r="AO306" s="72" t="b">
        <f>ISBLANK(Table37[[#This Row],[CO (Php ''000)]])</f>
        <v>0</v>
      </c>
    </row>
    <row r="307" spans="1:41">
      <c r="A307" s="54" t="str">
        <f>VLOOKUP(Table37[[#This Row],[OU]],OU!$A$15:$B$34,2,FALSE)</f>
        <v>RFOs</v>
      </c>
      <c r="B307" s="60" t="s">
        <v>436</v>
      </c>
      <c r="C307" s="47" t="s">
        <v>574</v>
      </c>
      <c r="D307" s="60" t="s">
        <v>578</v>
      </c>
      <c r="E307" s="54" t="str">
        <f>VLOOKUP(Table37[[#This Row],[SPECIFIC COMMODITY]],TAGS!$W$48:$X$53,2,FALSE)</f>
        <v>Corn</v>
      </c>
      <c r="F307" s="54" t="str">
        <f>VLOOKUP(Table37[[#This Row],[PREXC SUB-PROGRAM]],Table5[],2,FALSE)</f>
        <v>AGRICULTURAL  MACHINERY, EQUIPMENT, FACILITIES AND INFRASTRUCTURE PROGRAM</v>
      </c>
      <c r="G307" s="54" t="str">
        <f>VLOOKUP(Table37[[#This Row],[COMMODITY PREXC SUB-PROGRAM]],TAGS!$U$54:$V$76,2,FALSE)</f>
        <v>AMEFSS</v>
      </c>
      <c r="H307" s="60" t="s">
        <v>594</v>
      </c>
      <c r="I307" s="54" t="str">
        <f>VLOOKUP(Table37[[#This Row],[PI LEVEL 3]],'PI LEVEL'!A:C,3,FALSE)</f>
        <v>Production machinery and equipment distributed</v>
      </c>
      <c r="J307" s="54" t="str">
        <f>VLOOKUP(Table37[[#This Row],[PI LEVEL 3]],Table53729[[Performance Indicator Level 3]:[Performance Indicator Level 1]],2,FALSE)</f>
        <v>Crop harvesting machinery and equipment distributed</v>
      </c>
      <c r="K307" s="54" t="str">
        <f>VLOOKUP(Table37[[#This Row],[ACTIVITY]],TAGS!B:P,2,FALSE)</f>
        <v>Combine Harvester distributed</v>
      </c>
      <c r="L307" s="60" t="s">
        <v>181</v>
      </c>
      <c r="M307" s="54" t="str">
        <f>VLOOKUP(Table37[[#This Row],[ACTIVITY]],TAGS!$B:$P,4,FALSE)</f>
        <v>Production related machinery &amp; equipment</v>
      </c>
      <c r="N307" s="54" t="str">
        <f>VLOOKUP(Table37[[#This Row],[ACTIVITY]],TAGS!$B:$P,5,FALSE)</f>
        <v>Production-related</v>
      </c>
      <c r="O307" s="54" t="str">
        <f>VLOOKUP(Table37[[#This Row],[ACTIVITY]],TAGS!$B:$P,6,FALSE)</f>
        <v>Combine Harvester</v>
      </c>
      <c r="P307" s="54" t="str">
        <f>VLOOKUP(Table37[[#This Row],[ACTIVITY]],TAGS!$B:$P,7,FALSE)</f>
        <v>NO</v>
      </c>
      <c r="Q307" s="54" t="str">
        <f>VLOOKUP(Table37[[#This Row],[ACTIVITY]],TAGS!$B:$P,8,FALSE)</f>
        <v>PAP</v>
      </c>
      <c r="R307" s="54" t="str">
        <f>VLOOKUP(Table37[[#This Row],[ACTIVITY]],TAGS!$B:$P,10,FALSE)</f>
        <v>PIP</v>
      </c>
      <c r="S307" s="54" t="str">
        <f>VLOOKUP(Table37[[#This Row],[ACTIVITY]],TAGS!$B:$P,11,FALSE)</f>
        <v>PICS</v>
      </c>
      <c r="T307" s="54" t="str">
        <f>VLOOKUP(Table37[[#This Row],[ACTIVITY]],TAGS!$B:$P,12,FALSE)</f>
        <v>Modernization</v>
      </c>
      <c r="U307" s="54" t="str">
        <f>VLOOKUP(Table37[[#This Row],[ACTIVITY]],TAGS!$B:$P,13,FALSE)</f>
        <v>8. Farm Mechanization and Farm Investments</v>
      </c>
      <c r="V307" s="54" t="str">
        <f>VLOOKUP(Table37[[#This Row],[ACTIVITY]],TAGS!$B:$P,14,FALSE)</f>
        <v>MECHANIZE AND MODERNIZE AGRI-FISHERY PRODUCTION SYSTEMS</v>
      </c>
      <c r="W307" s="54" t="str">
        <f>VLOOKUP(Table37[[#This Row],[ACTIVITY]],TAGS!$B:$P,15,FALSE)</f>
        <v>Production-related</v>
      </c>
      <c r="X307" s="54" t="str">
        <f>VLOOKUP(Table37[[#This Row],[PI LEVEL 3]],'PI LEVEL'!$A:$G,7,FALSE)</f>
        <v>DA-Level Output</v>
      </c>
      <c r="Y307" s="60"/>
      <c r="Z307" s="60"/>
      <c r="AA307" s="54" t="e">
        <f>VLOOKUP(Table37[[#This Row],[MONTH]],TAGS!$W$67:$Y$81,2,FALSE)</f>
        <v>#N/A</v>
      </c>
      <c r="AB307" s="54" t="e">
        <f>VLOOKUP(Table37[[#This Row],[MONTH]],TAGS!$W$67:$Y$81,3,FALSE)</f>
        <v>#N/A</v>
      </c>
      <c r="AC307" s="54" t="e">
        <f>VLOOKUP(Table37[[#This Row],[MONTH]],TAGS!$W$67:$Z$81,4,FALSE)</f>
        <v>#N/A</v>
      </c>
      <c r="AD307" s="60"/>
      <c r="AE307" s="60">
        <v>21000</v>
      </c>
      <c r="AF307" s="54">
        <f>SUM(Table37[[#This Row],[MOOE (Php ''000)]:[CO (Php ''000)]])</f>
        <v>21000</v>
      </c>
      <c r="AG307" s="72" t="b">
        <f>ISBLANK(Table37[[#This Row],[PRPOPOSAL/BEDS]])</f>
        <v>0</v>
      </c>
      <c r="AH307" s="72" t="b">
        <f>ISBLANK(Table37[[#This Row],[OU]])</f>
        <v>0</v>
      </c>
      <c r="AI307" s="72" t="b">
        <f>ISBLANK(Table37[[#This Row],[SPECIFIC COMMODITY]])</f>
        <v>0</v>
      </c>
      <c r="AJ307" s="72" t="b">
        <f>ISBLANK(Table37[[#This Row],[COMMODITY PREXC SUB-PROGRAM]])</f>
        <v>0</v>
      </c>
      <c r="AK307" s="72" t="b">
        <f>ISBLANK(Table37[[#This Row],[ACTIVITY]])</f>
        <v>0</v>
      </c>
      <c r="AL307" s="72" t="b">
        <f>ISBLANK(Table37[[#This Row],[TAG-GAD]])</f>
        <v>1</v>
      </c>
      <c r="AM307" s="72" t="b">
        <f>ISBLANK(Table37[[#This Row],[MONTH]])</f>
        <v>1</v>
      </c>
      <c r="AN307" s="72" t="b">
        <f>ISBLANK(Table37[[#This Row],[MOOE (Php ''000)]])</f>
        <v>1</v>
      </c>
      <c r="AO307" s="72" t="b">
        <f>ISBLANK(Table37[[#This Row],[CO (Php ''000)]])</f>
        <v>0</v>
      </c>
    </row>
    <row r="308" spans="1:41">
      <c r="A308" s="54" t="str">
        <f>VLOOKUP(Table37[[#This Row],[OU]],OU!$A$15:$B$34,2,FALSE)</f>
        <v>RFOs</v>
      </c>
      <c r="B308" s="60" t="s">
        <v>436</v>
      </c>
      <c r="C308" s="47" t="s">
        <v>574</v>
      </c>
      <c r="D308" s="60" t="s">
        <v>578</v>
      </c>
      <c r="E308" s="54" t="str">
        <f>VLOOKUP(Table37[[#This Row],[SPECIFIC COMMODITY]],TAGS!$W$48:$X$53,2,FALSE)</f>
        <v>Corn</v>
      </c>
      <c r="F308" s="54" t="str">
        <f>VLOOKUP(Table37[[#This Row],[PREXC SUB-PROGRAM]],Table5[],2,FALSE)</f>
        <v>AGRICULTURAL  MACHINERY, EQUIPMENT, FACILITIES AND INFRASTRUCTURE PROGRAM</v>
      </c>
      <c r="G308" s="54" t="str">
        <f>VLOOKUP(Table37[[#This Row],[COMMODITY PREXC SUB-PROGRAM]],TAGS!$U$54:$V$76,2,FALSE)</f>
        <v>AMEFSS</v>
      </c>
      <c r="H308" s="60" t="s">
        <v>594</v>
      </c>
      <c r="I308" s="54" t="str">
        <f>VLOOKUP(Table37[[#This Row],[PI LEVEL 3]],'PI LEVEL'!A:C,3,FALSE)</f>
        <v>Production machinery and equipment distributed</v>
      </c>
      <c r="J308" s="54" t="str">
        <f>VLOOKUP(Table37[[#This Row],[PI LEVEL 3]],Table53729[[Performance Indicator Level 3]:[Performance Indicator Level 1]],2,FALSE)</f>
        <v>Seeding machinery and equipment distributed</v>
      </c>
      <c r="K308" s="54" t="str">
        <f>VLOOKUP(Table37[[#This Row],[ACTIVITY]],TAGS!B:P,2,FALSE)</f>
        <v>Seeder distributed</v>
      </c>
      <c r="L308" s="60" t="s">
        <v>179</v>
      </c>
      <c r="M308" s="54" t="str">
        <f>VLOOKUP(Table37[[#This Row],[ACTIVITY]],TAGS!$B:$P,4,FALSE)</f>
        <v>Production related machinery &amp; equipment</v>
      </c>
      <c r="N308" s="54" t="str">
        <f>VLOOKUP(Table37[[#This Row],[ACTIVITY]],TAGS!$B:$P,5,FALSE)</f>
        <v>Production-related</v>
      </c>
      <c r="O308" s="54" t="str">
        <f>VLOOKUP(Table37[[#This Row],[ACTIVITY]],TAGS!$B:$P,6,FALSE)</f>
        <v>Corn Seeder</v>
      </c>
      <c r="P308" s="54" t="str">
        <f>VLOOKUP(Table37[[#This Row],[ACTIVITY]],TAGS!$B:$P,7,FALSE)</f>
        <v>NO</v>
      </c>
      <c r="Q308" s="54" t="str">
        <f>VLOOKUP(Table37[[#This Row],[ACTIVITY]],TAGS!$B:$P,8,FALSE)</f>
        <v>PAP</v>
      </c>
      <c r="R308" s="54" t="str">
        <f>VLOOKUP(Table37[[#This Row],[ACTIVITY]],TAGS!$B:$P,10,FALSE)</f>
        <v>PIP</v>
      </c>
      <c r="S308" s="54" t="str">
        <f>VLOOKUP(Table37[[#This Row],[ACTIVITY]],TAGS!$B:$P,11,FALSE)</f>
        <v>PICS</v>
      </c>
      <c r="T308" s="54" t="str">
        <f>VLOOKUP(Table37[[#This Row],[ACTIVITY]],TAGS!$B:$P,12,FALSE)</f>
        <v>Modernization</v>
      </c>
      <c r="U308" s="54" t="str">
        <f>VLOOKUP(Table37[[#This Row],[ACTIVITY]],TAGS!$B:$P,13,FALSE)</f>
        <v>8. Farm Mechanization and Farm Investments</v>
      </c>
      <c r="V308" s="54" t="str">
        <f>VLOOKUP(Table37[[#This Row],[ACTIVITY]],TAGS!$B:$P,14,FALSE)</f>
        <v>MECHANIZE AND MODERNIZE AGRI-FISHERY PRODUCTION SYSTEMS</v>
      </c>
      <c r="W308" s="54" t="str">
        <f>VLOOKUP(Table37[[#This Row],[ACTIVITY]],TAGS!$B:$P,15,FALSE)</f>
        <v>Production-related</v>
      </c>
      <c r="X308" s="54" t="str">
        <f>VLOOKUP(Table37[[#This Row],[PI LEVEL 3]],'PI LEVEL'!$A:$G,7,FALSE)</f>
        <v>DA-Level Output</v>
      </c>
      <c r="Y308" s="60"/>
      <c r="Z308" s="60"/>
      <c r="AA308" s="54" t="e">
        <f>VLOOKUP(Table37[[#This Row],[MONTH]],TAGS!$W$67:$Y$81,2,FALSE)</f>
        <v>#N/A</v>
      </c>
      <c r="AB308" s="54" t="e">
        <f>VLOOKUP(Table37[[#This Row],[MONTH]],TAGS!$W$67:$Y$81,3,FALSE)</f>
        <v>#N/A</v>
      </c>
      <c r="AC308" s="54" t="e">
        <f>VLOOKUP(Table37[[#This Row],[MONTH]],TAGS!$W$67:$Z$81,4,FALSE)</f>
        <v>#N/A</v>
      </c>
      <c r="AD308" s="60"/>
      <c r="AE308" s="60">
        <v>1800</v>
      </c>
      <c r="AF308" s="54">
        <f>SUM(Table37[[#This Row],[MOOE (Php ''000)]:[CO (Php ''000)]])</f>
        <v>1800</v>
      </c>
      <c r="AG308" s="72" t="b">
        <f>ISBLANK(Table37[[#This Row],[PRPOPOSAL/BEDS]])</f>
        <v>0</v>
      </c>
      <c r="AH308" s="72" t="b">
        <f>ISBLANK(Table37[[#This Row],[OU]])</f>
        <v>0</v>
      </c>
      <c r="AI308" s="72" t="b">
        <f>ISBLANK(Table37[[#This Row],[SPECIFIC COMMODITY]])</f>
        <v>0</v>
      </c>
      <c r="AJ308" s="72" t="b">
        <f>ISBLANK(Table37[[#This Row],[COMMODITY PREXC SUB-PROGRAM]])</f>
        <v>0</v>
      </c>
      <c r="AK308" s="72" t="b">
        <f>ISBLANK(Table37[[#This Row],[ACTIVITY]])</f>
        <v>0</v>
      </c>
      <c r="AL308" s="72" t="b">
        <f>ISBLANK(Table37[[#This Row],[TAG-GAD]])</f>
        <v>1</v>
      </c>
      <c r="AM308" s="72" t="b">
        <f>ISBLANK(Table37[[#This Row],[MONTH]])</f>
        <v>1</v>
      </c>
      <c r="AN308" s="72" t="b">
        <f>ISBLANK(Table37[[#This Row],[MOOE (Php ''000)]])</f>
        <v>1</v>
      </c>
      <c r="AO308" s="72" t="b">
        <f>ISBLANK(Table37[[#This Row],[CO (Php ''000)]])</f>
        <v>0</v>
      </c>
    </row>
    <row r="309" spans="1:41">
      <c r="A309" s="54" t="str">
        <f>VLOOKUP(Table37[[#This Row],[OU]],OU!$A$15:$B$34,2,FALSE)</f>
        <v>RFOs</v>
      </c>
      <c r="B309" s="60" t="s">
        <v>436</v>
      </c>
      <c r="C309" s="47" t="s">
        <v>574</v>
      </c>
      <c r="D309" s="60" t="s">
        <v>578</v>
      </c>
      <c r="E309" s="54" t="str">
        <f>VLOOKUP(Table37[[#This Row],[SPECIFIC COMMODITY]],TAGS!$W$48:$X$53,2,FALSE)</f>
        <v>Corn</v>
      </c>
      <c r="F309" s="54" t="str">
        <f>VLOOKUP(Table37[[#This Row],[PREXC SUB-PROGRAM]],Table5[],2,FALSE)</f>
        <v>AGRICULTURAL  MACHINERY, EQUIPMENT, FACILITIES AND INFRASTRUCTURE PROGRAM</v>
      </c>
      <c r="G309" s="54" t="str">
        <f>VLOOKUP(Table37[[#This Row],[COMMODITY PREXC SUB-PROGRAM]],TAGS!$U$54:$V$76,2,FALSE)</f>
        <v>AMEFSS</v>
      </c>
      <c r="H309" s="60" t="s">
        <v>594</v>
      </c>
      <c r="I309" s="54" t="str">
        <f>VLOOKUP(Table37[[#This Row],[PI LEVEL 3]],'PI LEVEL'!A:C,3,FALSE)</f>
        <v>Production machinery and equipment distributed</v>
      </c>
      <c r="J309" s="54" t="str">
        <f>VLOOKUP(Table37[[#This Row],[PI LEVEL 3]],Table53729[[Performance Indicator Level 3]:[Performance Indicator Level 1]],2,FALSE)</f>
        <v>Seeding machinery and equipment distributed</v>
      </c>
      <c r="K309" s="54" t="str">
        <f>VLOOKUP(Table37[[#This Row],[ACTIVITY]],TAGS!B:P,2,FALSE)</f>
        <v>Seeder distributed</v>
      </c>
      <c r="L309" s="60" t="s">
        <v>177</v>
      </c>
      <c r="M309" s="54" t="str">
        <f>VLOOKUP(Table37[[#This Row],[ACTIVITY]],TAGS!$B:$P,4,FALSE)</f>
        <v>Production related machinery &amp; equipment</v>
      </c>
      <c r="N309" s="54" t="str">
        <f>VLOOKUP(Table37[[#This Row],[ACTIVITY]],TAGS!$B:$P,5,FALSE)</f>
        <v>Production-related</v>
      </c>
      <c r="O309" s="54" t="str">
        <f>VLOOKUP(Table37[[#This Row],[ACTIVITY]],TAGS!$B:$P,6,FALSE)</f>
        <v>Corn Seeder</v>
      </c>
      <c r="P309" s="54" t="str">
        <f>VLOOKUP(Table37[[#This Row],[ACTIVITY]],TAGS!$B:$P,7,FALSE)</f>
        <v>NO</v>
      </c>
      <c r="Q309" s="54" t="str">
        <f>VLOOKUP(Table37[[#This Row],[ACTIVITY]],TAGS!$B:$P,8,FALSE)</f>
        <v>PAP</v>
      </c>
      <c r="R309" s="54" t="str">
        <f>VLOOKUP(Table37[[#This Row],[ACTIVITY]],TAGS!$B:$P,10,FALSE)</f>
        <v>PIP</v>
      </c>
      <c r="S309" s="54" t="str">
        <f>VLOOKUP(Table37[[#This Row],[ACTIVITY]],TAGS!$B:$P,11,FALSE)</f>
        <v>PICS</v>
      </c>
      <c r="T309" s="54" t="str">
        <f>VLOOKUP(Table37[[#This Row],[ACTIVITY]],TAGS!$B:$P,12,FALSE)</f>
        <v>Modernization</v>
      </c>
      <c r="U309" s="54" t="str">
        <f>VLOOKUP(Table37[[#This Row],[ACTIVITY]],TAGS!$B:$P,13,FALSE)</f>
        <v>8. Farm Mechanization and Farm Investments</v>
      </c>
      <c r="V309" s="54" t="str">
        <f>VLOOKUP(Table37[[#This Row],[ACTIVITY]],TAGS!$B:$P,14,FALSE)</f>
        <v>MECHANIZE AND MODERNIZE AGRI-FISHERY PRODUCTION SYSTEMS</v>
      </c>
      <c r="W309" s="54" t="str">
        <f>VLOOKUP(Table37[[#This Row],[ACTIVITY]],TAGS!$B:$P,15,FALSE)</f>
        <v>Production-related</v>
      </c>
      <c r="X309" s="54" t="str">
        <f>VLOOKUP(Table37[[#This Row],[PI LEVEL 3]],'PI LEVEL'!$A:$G,7,FALSE)</f>
        <v>DA-Level Output</v>
      </c>
      <c r="Y309" s="60"/>
      <c r="Z309" s="60"/>
      <c r="AA309" s="54" t="e">
        <f>VLOOKUP(Table37[[#This Row],[MONTH]],TAGS!$W$67:$Y$81,2,FALSE)</f>
        <v>#N/A</v>
      </c>
      <c r="AB309" s="54" t="e">
        <f>VLOOKUP(Table37[[#This Row],[MONTH]],TAGS!$W$67:$Y$81,3,FALSE)</f>
        <v>#N/A</v>
      </c>
      <c r="AC309" s="54" t="e">
        <f>VLOOKUP(Table37[[#This Row],[MONTH]],TAGS!$W$67:$Z$81,4,FALSE)</f>
        <v>#N/A</v>
      </c>
      <c r="AD309" s="60"/>
      <c r="AE309" s="60">
        <v>15000</v>
      </c>
      <c r="AF309" s="54">
        <f>SUM(Table37[[#This Row],[MOOE (Php ''000)]:[CO (Php ''000)]])</f>
        <v>15000</v>
      </c>
      <c r="AG309" s="72" t="b">
        <f>ISBLANK(Table37[[#This Row],[PRPOPOSAL/BEDS]])</f>
        <v>0</v>
      </c>
      <c r="AH309" s="72" t="b">
        <f>ISBLANK(Table37[[#This Row],[OU]])</f>
        <v>0</v>
      </c>
      <c r="AI309" s="72" t="b">
        <f>ISBLANK(Table37[[#This Row],[SPECIFIC COMMODITY]])</f>
        <v>0</v>
      </c>
      <c r="AJ309" s="72" t="b">
        <f>ISBLANK(Table37[[#This Row],[COMMODITY PREXC SUB-PROGRAM]])</f>
        <v>0</v>
      </c>
      <c r="AK309" s="72" t="b">
        <f>ISBLANK(Table37[[#This Row],[ACTIVITY]])</f>
        <v>0</v>
      </c>
      <c r="AL309" s="72" t="b">
        <f>ISBLANK(Table37[[#This Row],[TAG-GAD]])</f>
        <v>1</v>
      </c>
      <c r="AM309" s="72" t="b">
        <f>ISBLANK(Table37[[#This Row],[MONTH]])</f>
        <v>1</v>
      </c>
      <c r="AN309" s="72" t="b">
        <f>ISBLANK(Table37[[#This Row],[MOOE (Php ''000)]])</f>
        <v>1</v>
      </c>
      <c r="AO309" s="72" t="b">
        <f>ISBLANK(Table37[[#This Row],[CO (Php ''000)]])</f>
        <v>0</v>
      </c>
    </row>
    <row r="310" spans="1:41">
      <c r="A310" s="54" t="str">
        <f>VLOOKUP(Table37[[#This Row],[OU]],OU!$A$15:$B$34,2,FALSE)</f>
        <v>RFOs</v>
      </c>
      <c r="B310" s="60" t="s">
        <v>436</v>
      </c>
      <c r="C310" s="47" t="s">
        <v>574</v>
      </c>
      <c r="D310" s="60" t="s">
        <v>578</v>
      </c>
      <c r="E310" s="54" t="str">
        <f>VLOOKUP(Table37[[#This Row],[SPECIFIC COMMODITY]],TAGS!$W$48:$X$53,2,FALSE)</f>
        <v>Corn</v>
      </c>
      <c r="F310" s="54" t="str">
        <f>VLOOKUP(Table37[[#This Row],[PREXC SUB-PROGRAM]],Table5[],2,FALSE)</f>
        <v>AGRICULTURAL  MACHINERY, EQUIPMENT, FACILITIES AND INFRASTRUCTURE PROGRAM</v>
      </c>
      <c r="G310" s="54" t="str">
        <f>VLOOKUP(Table37[[#This Row],[COMMODITY PREXC SUB-PROGRAM]],TAGS!$U$54:$V$76,2,FALSE)</f>
        <v>AMEFSS</v>
      </c>
      <c r="H310" s="60" t="s">
        <v>594</v>
      </c>
      <c r="I310" s="54" t="str">
        <f>VLOOKUP(Table37[[#This Row],[PI LEVEL 3]],'PI LEVEL'!A:C,3,FALSE)</f>
        <v>Production machinery and equipment distributed</v>
      </c>
      <c r="J310" s="54" t="str">
        <f>VLOOKUP(Table37[[#This Row],[PI LEVEL 3]],Table53729[[Performance Indicator Level 3]:[Performance Indicator Level 1]],2,FALSE)</f>
        <v>Seeding machinery and equipment distributed</v>
      </c>
      <c r="K310" s="54" t="str">
        <f>VLOOKUP(Table37[[#This Row],[ACTIVITY]],TAGS!B:P,2,FALSE)</f>
        <v>Seeder distributed</v>
      </c>
      <c r="L310" s="60" t="s">
        <v>173</v>
      </c>
      <c r="M310" s="54" t="str">
        <f>VLOOKUP(Table37[[#This Row],[ACTIVITY]],TAGS!$B:$P,4,FALSE)</f>
        <v>Production related machinery &amp; equipment</v>
      </c>
      <c r="N310" s="54" t="str">
        <f>VLOOKUP(Table37[[#This Row],[ACTIVITY]],TAGS!$B:$P,5,FALSE)</f>
        <v>Production-related</v>
      </c>
      <c r="O310" s="54" t="str">
        <f>VLOOKUP(Table37[[#This Row],[ACTIVITY]],TAGS!$B:$P,6,FALSE)</f>
        <v>Corn Seeder</v>
      </c>
      <c r="P310" s="54" t="str">
        <f>VLOOKUP(Table37[[#This Row],[ACTIVITY]],TAGS!$B:$P,7,FALSE)</f>
        <v>NO</v>
      </c>
      <c r="Q310" s="54" t="str">
        <f>VLOOKUP(Table37[[#This Row],[ACTIVITY]],TAGS!$B:$P,8,FALSE)</f>
        <v>PAP</v>
      </c>
      <c r="R310" s="54" t="str">
        <f>VLOOKUP(Table37[[#This Row],[ACTIVITY]],TAGS!$B:$P,10,FALSE)</f>
        <v>PIP</v>
      </c>
      <c r="S310" s="54" t="str">
        <f>VLOOKUP(Table37[[#This Row],[ACTIVITY]],TAGS!$B:$P,11,FALSE)</f>
        <v>PICS</v>
      </c>
      <c r="T310" s="54" t="str">
        <f>VLOOKUP(Table37[[#This Row],[ACTIVITY]],TAGS!$B:$P,12,FALSE)</f>
        <v>Modernization</v>
      </c>
      <c r="U310" s="54" t="str">
        <f>VLOOKUP(Table37[[#This Row],[ACTIVITY]],TAGS!$B:$P,13,FALSE)</f>
        <v>8. Farm Mechanization and Farm Investments</v>
      </c>
      <c r="V310" s="54" t="str">
        <f>VLOOKUP(Table37[[#This Row],[ACTIVITY]],TAGS!$B:$P,14,FALSE)</f>
        <v>MECHANIZE AND MODERNIZE AGRI-FISHERY PRODUCTION SYSTEMS</v>
      </c>
      <c r="W310" s="54" t="str">
        <f>VLOOKUP(Table37[[#This Row],[ACTIVITY]],TAGS!$B:$P,15,FALSE)</f>
        <v>Production-related</v>
      </c>
      <c r="X310" s="54" t="str">
        <f>VLOOKUP(Table37[[#This Row],[PI LEVEL 3]],'PI LEVEL'!$A:$G,7,FALSE)</f>
        <v>DA-Level Output</v>
      </c>
      <c r="Y310" s="60"/>
      <c r="Z310" s="60"/>
      <c r="AA310" s="54" t="e">
        <f>VLOOKUP(Table37[[#This Row],[MONTH]],TAGS!$W$67:$Y$81,2,FALSE)</f>
        <v>#N/A</v>
      </c>
      <c r="AB310" s="54" t="e">
        <f>VLOOKUP(Table37[[#This Row],[MONTH]],TAGS!$W$67:$Y$81,3,FALSE)</f>
        <v>#N/A</v>
      </c>
      <c r="AC310" s="54" t="e">
        <f>VLOOKUP(Table37[[#This Row],[MONTH]],TAGS!$W$67:$Z$81,4,FALSE)</f>
        <v>#N/A</v>
      </c>
      <c r="AD310" s="60"/>
      <c r="AE310" s="60">
        <v>2400</v>
      </c>
      <c r="AF310" s="54">
        <f>SUM(Table37[[#This Row],[MOOE (Php ''000)]:[CO (Php ''000)]])</f>
        <v>2400</v>
      </c>
      <c r="AG310" s="72" t="b">
        <f>ISBLANK(Table37[[#This Row],[PRPOPOSAL/BEDS]])</f>
        <v>0</v>
      </c>
      <c r="AH310" s="72" t="b">
        <f>ISBLANK(Table37[[#This Row],[OU]])</f>
        <v>0</v>
      </c>
      <c r="AI310" s="72" t="b">
        <f>ISBLANK(Table37[[#This Row],[SPECIFIC COMMODITY]])</f>
        <v>0</v>
      </c>
      <c r="AJ310" s="72" t="b">
        <f>ISBLANK(Table37[[#This Row],[COMMODITY PREXC SUB-PROGRAM]])</f>
        <v>0</v>
      </c>
      <c r="AK310" s="72" t="b">
        <f>ISBLANK(Table37[[#This Row],[ACTIVITY]])</f>
        <v>0</v>
      </c>
      <c r="AL310" s="72" t="b">
        <f>ISBLANK(Table37[[#This Row],[TAG-GAD]])</f>
        <v>1</v>
      </c>
      <c r="AM310" s="72" t="b">
        <f>ISBLANK(Table37[[#This Row],[MONTH]])</f>
        <v>1</v>
      </c>
      <c r="AN310" s="72" t="b">
        <f>ISBLANK(Table37[[#This Row],[MOOE (Php ''000)]])</f>
        <v>1</v>
      </c>
      <c r="AO310" s="72" t="b">
        <f>ISBLANK(Table37[[#This Row],[CO (Php ''000)]])</f>
        <v>0</v>
      </c>
    </row>
    <row r="311" spans="1:41">
      <c r="A311" s="54" t="str">
        <f>VLOOKUP(Table37[[#This Row],[OU]],OU!$A$15:$B$34,2,FALSE)</f>
        <v>RFOs</v>
      </c>
      <c r="B311" s="60" t="s">
        <v>436</v>
      </c>
      <c r="C311" s="47" t="s">
        <v>574</v>
      </c>
      <c r="D311" s="60" t="s">
        <v>578</v>
      </c>
      <c r="E311" s="54" t="str">
        <f>VLOOKUP(Table37[[#This Row],[SPECIFIC COMMODITY]],TAGS!$W$48:$X$53,2,FALSE)</f>
        <v>Corn</v>
      </c>
      <c r="F311" s="54" t="str">
        <f>VLOOKUP(Table37[[#This Row],[PREXC SUB-PROGRAM]],Table5[],2,FALSE)</f>
        <v>AGRICULTURAL  MACHINERY, EQUIPMENT, FACILITIES AND INFRASTRUCTURE PROGRAM</v>
      </c>
      <c r="G311" s="54" t="str">
        <f>VLOOKUP(Table37[[#This Row],[COMMODITY PREXC SUB-PROGRAM]],TAGS!$U$54:$V$76,2,FALSE)</f>
        <v>AMEFSS</v>
      </c>
      <c r="H311" s="60" t="s">
        <v>594</v>
      </c>
      <c r="I311" s="54" t="str">
        <f>VLOOKUP(Table37[[#This Row],[PI LEVEL 3]],'PI LEVEL'!A:C,3,FALSE)</f>
        <v>Production machinery and equipment distributed</v>
      </c>
      <c r="J311" s="54" t="str">
        <f>VLOOKUP(Table37[[#This Row],[PI LEVEL 3]],Table53729[[Performance Indicator Level 3]:[Performance Indicator Level 1]],2,FALSE)</f>
        <v>Seeding machinery and equipment distributed</v>
      </c>
      <c r="K311" s="54" t="str">
        <f>VLOOKUP(Table37[[#This Row],[ACTIVITY]],TAGS!B:P,2,FALSE)</f>
        <v>Seeder distributed</v>
      </c>
      <c r="L311" s="60" t="s">
        <v>175</v>
      </c>
      <c r="M311" s="54" t="str">
        <f>VLOOKUP(Table37[[#This Row],[ACTIVITY]],TAGS!$B:$P,4,FALSE)</f>
        <v>Production related machinery &amp; equipment</v>
      </c>
      <c r="N311" s="54" t="str">
        <f>VLOOKUP(Table37[[#This Row],[ACTIVITY]],TAGS!$B:$P,5,FALSE)</f>
        <v>Production-related</v>
      </c>
      <c r="O311" s="54" t="str">
        <f>VLOOKUP(Table37[[#This Row],[ACTIVITY]],TAGS!$B:$P,6,FALSE)</f>
        <v>Corn Seeder</v>
      </c>
      <c r="P311" s="54" t="str">
        <f>VLOOKUP(Table37[[#This Row],[ACTIVITY]],TAGS!$B:$P,7,FALSE)</f>
        <v>NO</v>
      </c>
      <c r="Q311" s="54" t="str">
        <f>VLOOKUP(Table37[[#This Row],[ACTIVITY]],TAGS!$B:$P,8,FALSE)</f>
        <v>PAP</v>
      </c>
      <c r="R311" s="54" t="str">
        <f>VLOOKUP(Table37[[#This Row],[ACTIVITY]],TAGS!$B:$P,10,FALSE)</f>
        <v>PIP</v>
      </c>
      <c r="S311" s="54" t="str">
        <f>VLOOKUP(Table37[[#This Row],[ACTIVITY]],TAGS!$B:$P,11,FALSE)</f>
        <v>PICS</v>
      </c>
      <c r="T311" s="54" t="str">
        <f>VLOOKUP(Table37[[#This Row],[ACTIVITY]],TAGS!$B:$P,12,FALSE)</f>
        <v>Modernization</v>
      </c>
      <c r="U311" s="54" t="str">
        <f>VLOOKUP(Table37[[#This Row],[ACTIVITY]],TAGS!$B:$P,13,FALSE)</f>
        <v>8. Farm Mechanization and Farm Investments</v>
      </c>
      <c r="V311" s="54" t="str">
        <f>VLOOKUP(Table37[[#This Row],[ACTIVITY]],TAGS!$B:$P,14,FALSE)</f>
        <v>MECHANIZE AND MODERNIZE AGRI-FISHERY PRODUCTION SYSTEMS</v>
      </c>
      <c r="W311" s="54" t="str">
        <f>VLOOKUP(Table37[[#This Row],[ACTIVITY]],TAGS!$B:$P,15,FALSE)</f>
        <v>Production-related</v>
      </c>
      <c r="X311" s="54" t="str">
        <f>VLOOKUP(Table37[[#This Row],[PI LEVEL 3]],'PI LEVEL'!$A:$G,7,FALSE)</f>
        <v>DA-Level Output</v>
      </c>
      <c r="Y311" s="60"/>
      <c r="Z311" s="60"/>
      <c r="AA311" s="54" t="e">
        <f>VLOOKUP(Table37[[#This Row],[MONTH]],TAGS!$W$67:$Y$81,2,FALSE)</f>
        <v>#N/A</v>
      </c>
      <c r="AB311" s="54" t="e">
        <f>VLOOKUP(Table37[[#This Row],[MONTH]],TAGS!$W$67:$Y$81,3,FALSE)</f>
        <v>#N/A</v>
      </c>
      <c r="AC311" s="54" t="e">
        <f>VLOOKUP(Table37[[#This Row],[MONTH]],TAGS!$W$67:$Z$81,4,FALSE)</f>
        <v>#N/A</v>
      </c>
      <c r="AD311" s="60"/>
      <c r="AE311" s="60">
        <v>2000</v>
      </c>
      <c r="AF311" s="54">
        <f>SUM(Table37[[#This Row],[MOOE (Php ''000)]:[CO (Php ''000)]])</f>
        <v>2000</v>
      </c>
      <c r="AG311" s="72" t="b">
        <f>ISBLANK(Table37[[#This Row],[PRPOPOSAL/BEDS]])</f>
        <v>0</v>
      </c>
      <c r="AH311" s="72" t="b">
        <f>ISBLANK(Table37[[#This Row],[OU]])</f>
        <v>0</v>
      </c>
      <c r="AI311" s="72" t="b">
        <f>ISBLANK(Table37[[#This Row],[SPECIFIC COMMODITY]])</f>
        <v>0</v>
      </c>
      <c r="AJ311" s="72" t="b">
        <f>ISBLANK(Table37[[#This Row],[COMMODITY PREXC SUB-PROGRAM]])</f>
        <v>0</v>
      </c>
      <c r="AK311" s="72" t="b">
        <f>ISBLANK(Table37[[#This Row],[ACTIVITY]])</f>
        <v>0</v>
      </c>
      <c r="AL311" s="72" t="b">
        <f>ISBLANK(Table37[[#This Row],[TAG-GAD]])</f>
        <v>1</v>
      </c>
      <c r="AM311" s="72" t="b">
        <f>ISBLANK(Table37[[#This Row],[MONTH]])</f>
        <v>1</v>
      </c>
      <c r="AN311" s="72" t="b">
        <f>ISBLANK(Table37[[#This Row],[MOOE (Php ''000)]])</f>
        <v>1</v>
      </c>
      <c r="AO311" s="72" t="b">
        <f>ISBLANK(Table37[[#This Row],[CO (Php ''000)]])</f>
        <v>0</v>
      </c>
    </row>
    <row r="312" spans="1:41">
      <c r="A312" s="54" t="str">
        <f>VLOOKUP(Table37[[#This Row],[OU]],OU!$A$15:$B$34,2,FALSE)</f>
        <v>RFOs</v>
      </c>
      <c r="B312" s="60" t="s">
        <v>436</v>
      </c>
      <c r="C312" s="47" t="s">
        <v>574</v>
      </c>
      <c r="D312" s="60" t="s">
        <v>578</v>
      </c>
      <c r="E312" s="54" t="str">
        <f>VLOOKUP(Table37[[#This Row],[SPECIFIC COMMODITY]],TAGS!$W$48:$X$53,2,FALSE)</f>
        <v>Corn</v>
      </c>
      <c r="F312" s="54" t="str">
        <f>VLOOKUP(Table37[[#This Row],[PREXC SUB-PROGRAM]],Table5[],2,FALSE)</f>
        <v>AGRICULTURAL  MACHINERY, EQUIPMENT, FACILITIES AND INFRASTRUCTURE PROGRAM</v>
      </c>
      <c r="G312" s="54" t="str">
        <f>VLOOKUP(Table37[[#This Row],[COMMODITY PREXC SUB-PROGRAM]],TAGS!$U$54:$V$76,2,FALSE)</f>
        <v>AMEFSS</v>
      </c>
      <c r="H312" s="60" t="s">
        <v>594</v>
      </c>
      <c r="I312" s="54" t="str">
        <f>VLOOKUP(Table37[[#This Row],[PI LEVEL 3]],'PI LEVEL'!A:C,3,FALSE)</f>
        <v>Postharvest facility constructed</v>
      </c>
      <c r="J312" s="54" t="str">
        <f>VLOOKUP(Table37[[#This Row],[PI LEVEL 3]],Table53729[[Performance Indicator Level 3]:[Performance Indicator Level 1]],2,FALSE)</f>
        <v>Crop drying facility constructed</v>
      </c>
      <c r="K312" s="54" t="str">
        <f>VLOOKUP(Table37[[#This Row],[ACTIVITY]],TAGS!B:P,2,FALSE)</f>
        <v>Multi-crop drying pavement (MCDP) constructed</v>
      </c>
      <c r="L312" s="60" t="s">
        <v>194</v>
      </c>
      <c r="M312" s="54" t="str">
        <f>VLOOKUP(Table37[[#This Row],[ACTIVITY]],TAGS!$B:$P,4,FALSE)</f>
        <v>Postharvest facilities</v>
      </c>
      <c r="N312" s="54" t="str">
        <f>VLOOKUP(Table37[[#This Row],[ACTIVITY]],TAGS!$B:$P,5,FALSE)</f>
        <v>Postharvest facilities</v>
      </c>
      <c r="O312" s="54" t="str">
        <f>VLOOKUP(Table37[[#This Row],[ACTIVITY]],TAGS!$B:$P,6,FALSE)</f>
        <v>Multi Crop Drying Pavement (MCDP) </v>
      </c>
      <c r="P312" s="54" t="str">
        <f>VLOOKUP(Table37[[#This Row],[ACTIVITY]],TAGS!$B:$P,7,FALSE)</f>
        <v>YES</v>
      </c>
      <c r="Q312" s="54" t="str">
        <f>VLOOKUP(Table37[[#This Row],[ACTIVITY]],TAGS!$B:$P,8,FALSE)</f>
        <v>PAP</v>
      </c>
      <c r="R312" s="54" t="str">
        <f>VLOOKUP(Table37[[#This Row],[ACTIVITY]],TAGS!$B:$P,10,FALSE)</f>
        <v>PIP</v>
      </c>
      <c r="S312" s="54" t="str">
        <f>VLOOKUP(Table37[[#This Row],[ACTIVITY]],TAGS!$B:$P,11,FALSE)</f>
        <v>PICS</v>
      </c>
      <c r="T312" s="54" t="str">
        <f>VLOOKUP(Table37[[#This Row],[ACTIVITY]],TAGS!$B:$P,12,FALSE)</f>
        <v>Modernization</v>
      </c>
      <c r="U312" s="54" t="str">
        <f>VLOOKUP(Table37[[#This Row],[ACTIVITY]],TAGS!$B:$P,13,FALSE)</f>
        <v>8. Farm Mechanization and Farm Investments</v>
      </c>
      <c r="V312" s="54" t="str">
        <f>VLOOKUP(Table37[[#This Row],[ACTIVITY]],TAGS!$B:$P,14,FALSE)</f>
        <v>DEVELOP AND IMPROVE POST-HARVEST SYSTEMS AND INFRASTRUCTURE</v>
      </c>
      <c r="W312" s="54" t="str">
        <f>VLOOKUP(Table37[[#This Row],[ACTIVITY]],TAGS!$B:$P,15,FALSE)</f>
        <v>Postharvest facilities</v>
      </c>
      <c r="X312" s="54" t="str">
        <f>VLOOKUP(Table37[[#This Row],[PI LEVEL 3]],'PI LEVEL'!$A:$G,7,FALSE)</f>
        <v>DA-Level Output</v>
      </c>
      <c r="Y312" s="60"/>
      <c r="Z312" s="60"/>
      <c r="AA312" s="54" t="e">
        <f>VLOOKUP(Table37[[#This Row],[MONTH]],TAGS!$W$67:$Y$81,2,FALSE)</f>
        <v>#N/A</v>
      </c>
      <c r="AB312" s="54" t="e">
        <f>VLOOKUP(Table37[[#This Row],[MONTH]],TAGS!$W$67:$Y$81,3,FALSE)</f>
        <v>#N/A</v>
      </c>
      <c r="AC312" s="54" t="e">
        <f>VLOOKUP(Table37[[#This Row],[MONTH]],TAGS!$W$67:$Z$81,4,FALSE)</f>
        <v>#N/A</v>
      </c>
      <c r="AD312" s="60"/>
      <c r="AE312" s="60">
        <v>5000</v>
      </c>
      <c r="AF312" s="54">
        <f>SUM(Table37[[#This Row],[MOOE (Php ''000)]:[CO (Php ''000)]])</f>
        <v>5000</v>
      </c>
      <c r="AG312" s="72" t="b">
        <f>ISBLANK(Table37[[#This Row],[PRPOPOSAL/BEDS]])</f>
        <v>0</v>
      </c>
      <c r="AH312" s="72" t="b">
        <f>ISBLANK(Table37[[#This Row],[OU]])</f>
        <v>0</v>
      </c>
      <c r="AI312" s="72" t="b">
        <f>ISBLANK(Table37[[#This Row],[SPECIFIC COMMODITY]])</f>
        <v>0</v>
      </c>
      <c r="AJ312" s="72" t="b">
        <f>ISBLANK(Table37[[#This Row],[COMMODITY PREXC SUB-PROGRAM]])</f>
        <v>0</v>
      </c>
      <c r="AK312" s="72" t="b">
        <f>ISBLANK(Table37[[#This Row],[ACTIVITY]])</f>
        <v>0</v>
      </c>
      <c r="AL312" s="72" t="b">
        <f>ISBLANK(Table37[[#This Row],[TAG-GAD]])</f>
        <v>1</v>
      </c>
      <c r="AM312" s="72" t="b">
        <f>ISBLANK(Table37[[#This Row],[MONTH]])</f>
        <v>1</v>
      </c>
      <c r="AN312" s="72" t="b">
        <f>ISBLANK(Table37[[#This Row],[MOOE (Php ''000)]])</f>
        <v>1</v>
      </c>
      <c r="AO312" s="72" t="b">
        <f>ISBLANK(Table37[[#This Row],[CO (Php ''000)]])</f>
        <v>0</v>
      </c>
    </row>
    <row r="313" spans="1:41">
      <c r="A313" s="54" t="str">
        <f>VLOOKUP(Table37[[#This Row],[OU]],OU!$A$15:$B$34,2,FALSE)</f>
        <v>RFOs</v>
      </c>
      <c r="B313" s="60" t="s">
        <v>436</v>
      </c>
      <c r="C313" s="47" t="s">
        <v>574</v>
      </c>
      <c r="D313" s="60" t="s">
        <v>578</v>
      </c>
      <c r="E313" s="54" t="str">
        <f>VLOOKUP(Table37[[#This Row],[SPECIFIC COMMODITY]],TAGS!$W$48:$X$53,2,FALSE)</f>
        <v>Corn</v>
      </c>
      <c r="F313" s="54" t="str">
        <f>VLOOKUP(Table37[[#This Row],[PREXC SUB-PROGRAM]],Table5[],2,FALSE)</f>
        <v>AGRICULTURAL  MACHINERY, EQUIPMENT, FACILITIES AND INFRASTRUCTURE PROGRAM</v>
      </c>
      <c r="G313" s="54" t="str">
        <f>VLOOKUP(Table37[[#This Row],[COMMODITY PREXC SUB-PROGRAM]],TAGS!$U$54:$V$76,2,FALSE)</f>
        <v>AMEFSS</v>
      </c>
      <c r="H313" s="60" t="s">
        <v>594</v>
      </c>
      <c r="I313" s="54" t="str">
        <f>VLOOKUP(Table37[[#This Row],[PI LEVEL 3]],'PI LEVEL'!A:C,3,FALSE)</f>
        <v>Postharvest machinery and equipment distributed</v>
      </c>
      <c r="J313" s="54" t="str">
        <f>VLOOKUP(Table37[[#This Row],[PI LEVEL 3]],Table53729[[Performance Indicator Level 3]:[Performance Indicator Level 1]],2,FALSE)</f>
        <v>Crop processing machinery and equipment distributed</v>
      </c>
      <c r="K313" s="54" t="str">
        <f>VLOOKUP(Table37[[#This Row],[ACTIVITY]],TAGS!B:P,2,FALSE)</f>
        <v>Milling equipment distributed</v>
      </c>
      <c r="L313" s="60" t="s">
        <v>441</v>
      </c>
      <c r="M313" s="54" t="str">
        <f>VLOOKUP(Table37[[#This Row],[ACTIVITY]],TAGS!$B:$P,4,FALSE)</f>
        <v>Processing related machinery &amp; equipment</v>
      </c>
      <c r="N313" s="54" t="str">
        <f>VLOOKUP(Table37[[#This Row],[ACTIVITY]],TAGS!$B:$P,5,FALSE)</f>
        <v>Processing-related</v>
      </c>
      <c r="O313" s="54" t="str">
        <f>VLOOKUP(Table37[[#This Row],[ACTIVITY]],TAGS!$B:$P,6,FALSE)</f>
        <v>Corn mill</v>
      </c>
      <c r="P313" s="54" t="str">
        <f>VLOOKUP(Table37[[#This Row],[ACTIVITY]],TAGS!$B:$P,7,FALSE)</f>
        <v>NO</v>
      </c>
      <c r="Q313" s="54" t="str">
        <f>VLOOKUP(Table37[[#This Row],[ACTIVITY]],TAGS!$B:$P,8,FALSE)</f>
        <v>PAP</v>
      </c>
      <c r="R313" s="54" t="str">
        <f>VLOOKUP(Table37[[#This Row],[ACTIVITY]],TAGS!$B:$P,10,FALSE)</f>
        <v>PIP</v>
      </c>
      <c r="S313" s="54" t="str">
        <f>VLOOKUP(Table37[[#This Row],[ACTIVITY]],TAGS!$B:$P,11,FALSE)</f>
        <v>PICS</v>
      </c>
      <c r="T313" s="54" t="str">
        <f>VLOOKUP(Table37[[#This Row],[ACTIVITY]],TAGS!$B:$P,12,FALSE)</f>
        <v>Modernization</v>
      </c>
      <c r="U313" s="54" t="str">
        <f>VLOOKUP(Table37[[#This Row],[ACTIVITY]],TAGS!$B:$P,13,FALSE)</f>
        <v>8. Farm Mechanization and Farm Investments</v>
      </c>
      <c r="V313" s="54" t="str">
        <f>VLOOKUP(Table37[[#This Row],[ACTIVITY]],TAGS!$B:$P,14,FALSE)</f>
        <v>DEVELOP AND IMPROVE POST-HARVEST SYSTEMS AND INFRASTRUCTURE</v>
      </c>
      <c r="W313" s="54" t="str">
        <f>VLOOKUP(Table37[[#This Row],[ACTIVITY]],TAGS!$B:$P,15,FALSE)</f>
        <v>Processing-related</v>
      </c>
      <c r="X313" s="54" t="str">
        <f>VLOOKUP(Table37[[#This Row],[PI LEVEL 3]],'PI LEVEL'!$A:$G,7,FALSE)</f>
        <v>DA-Level Output</v>
      </c>
      <c r="Y313" s="60"/>
      <c r="Z313" s="60"/>
      <c r="AA313" s="54" t="e">
        <f>VLOOKUP(Table37[[#This Row],[MONTH]],TAGS!$W$67:$Y$81,2,FALSE)</f>
        <v>#N/A</v>
      </c>
      <c r="AB313" s="54" t="e">
        <f>VLOOKUP(Table37[[#This Row],[MONTH]],TAGS!$W$67:$Y$81,3,FALSE)</f>
        <v>#N/A</v>
      </c>
      <c r="AC313" s="54" t="e">
        <f>VLOOKUP(Table37[[#This Row],[MONTH]],TAGS!$W$67:$Z$81,4,FALSE)</f>
        <v>#N/A</v>
      </c>
      <c r="AD313" s="60"/>
      <c r="AE313" s="60">
        <v>4400</v>
      </c>
      <c r="AF313" s="54">
        <f>SUM(Table37[[#This Row],[MOOE (Php ''000)]:[CO (Php ''000)]])</f>
        <v>4400</v>
      </c>
      <c r="AG313" s="72" t="b">
        <f>ISBLANK(Table37[[#This Row],[PRPOPOSAL/BEDS]])</f>
        <v>0</v>
      </c>
      <c r="AH313" s="72" t="b">
        <f>ISBLANK(Table37[[#This Row],[OU]])</f>
        <v>0</v>
      </c>
      <c r="AI313" s="72" t="b">
        <f>ISBLANK(Table37[[#This Row],[SPECIFIC COMMODITY]])</f>
        <v>0</v>
      </c>
      <c r="AJ313" s="72" t="b">
        <f>ISBLANK(Table37[[#This Row],[COMMODITY PREXC SUB-PROGRAM]])</f>
        <v>0</v>
      </c>
      <c r="AK313" s="72" t="b">
        <f>ISBLANK(Table37[[#This Row],[ACTIVITY]])</f>
        <v>0</v>
      </c>
      <c r="AL313" s="72" t="b">
        <f>ISBLANK(Table37[[#This Row],[TAG-GAD]])</f>
        <v>1</v>
      </c>
      <c r="AM313" s="72" t="b">
        <f>ISBLANK(Table37[[#This Row],[MONTH]])</f>
        <v>1</v>
      </c>
      <c r="AN313" s="72" t="b">
        <f>ISBLANK(Table37[[#This Row],[MOOE (Php ''000)]])</f>
        <v>1</v>
      </c>
      <c r="AO313" s="72" t="b">
        <f>ISBLANK(Table37[[#This Row],[CO (Php ''000)]])</f>
        <v>0</v>
      </c>
    </row>
    <row r="314" spans="1:41">
      <c r="A314" s="54" t="str">
        <f>VLOOKUP(Table37[[#This Row],[OU]],OU!$A$15:$B$34,2,FALSE)</f>
        <v>RFOs</v>
      </c>
      <c r="B314" s="60" t="s">
        <v>436</v>
      </c>
      <c r="C314" s="47" t="s">
        <v>574</v>
      </c>
      <c r="D314" s="60" t="s">
        <v>578</v>
      </c>
      <c r="E314" s="54" t="str">
        <f>VLOOKUP(Table37[[#This Row],[SPECIFIC COMMODITY]],TAGS!$W$48:$X$53,2,FALSE)</f>
        <v>Corn</v>
      </c>
      <c r="F314" s="54" t="str">
        <f>VLOOKUP(Table37[[#This Row],[PREXC SUB-PROGRAM]],Table5[],2,FALSE)</f>
        <v>AGRICULTURAL  MACHINERY, EQUIPMENT, FACILITIES AND INFRASTRUCTURE PROGRAM</v>
      </c>
      <c r="G314" s="54" t="str">
        <f>VLOOKUP(Table37[[#This Row],[COMMODITY PREXC SUB-PROGRAM]],TAGS!$U$54:$V$76,2,FALSE)</f>
        <v>AMEFSS</v>
      </c>
      <c r="H314" s="60" t="s">
        <v>594</v>
      </c>
      <c r="I314" s="54" t="str">
        <f>VLOOKUP(Table37[[#This Row],[PI LEVEL 3]],'PI LEVEL'!A:C,3,FALSE)</f>
        <v>Commodity transport and logistics machinery and equipment distributed</v>
      </c>
      <c r="J314" s="54" t="str">
        <f>VLOOKUP(Table37[[#This Row],[PI LEVEL 3]],Table53729[[Performance Indicator Level 3]:[Performance Indicator Level 1]],2,FALSE)</f>
        <v>Hauling machinery and equipment distributed</v>
      </c>
      <c r="K314" s="54" t="str">
        <f>VLOOKUP(Table37[[#This Row],[ACTIVITY]],TAGS!B:P,2,FALSE)</f>
        <v>Hauling vehicle distributed</v>
      </c>
      <c r="L314" s="60" t="s">
        <v>183</v>
      </c>
      <c r="M314" s="54" t="str">
        <f>VLOOKUP(Table37[[#This Row],[ACTIVITY]],TAGS!$B:$P,4,FALSE)</f>
        <v>Postharvest related machinery &amp; equipment</v>
      </c>
      <c r="N314" s="54" t="str">
        <f>VLOOKUP(Table37[[#This Row],[ACTIVITY]],TAGS!$B:$P,5,FALSE)</f>
        <v>Postharvest-related</v>
      </c>
      <c r="O314" s="54" t="str">
        <f>VLOOKUP(Table37[[#This Row],[ACTIVITY]],TAGS!$B:$P,6,FALSE)</f>
        <v>Hauling truck</v>
      </c>
      <c r="P314" s="54" t="str">
        <f>VLOOKUP(Table37[[#This Row],[ACTIVITY]],TAGS!$B:$P,7,FALSE)</f>
        <v>NO</v>
      </c>
      <c r="Q314" s="54" t="str">
        <f>VLOOKUP(Table37[[#This Row],[ACTIVITY]],TAGS!$B:$P,8,FALSE)</f>
        <v>PAP</v>
      </c>
      <c r="R314" s="54" t="str">
        <f>VLOOKUP(Table37[[#This Row],[ACTIVITY]],TAGS!$B:$P,10,FALSE)</f>
        <v>PIP</v>
      </c>
      <c r="S314" s="54" t="str">
        <f>VLOOKUP(Table37[[#This Row],[ACTIVITY]],TAGS!$B:$P,11,FALSE)</f>
        <v>PICS</v>
      </c>
      <c r="T314" s="54" t="str">
        <f>VLOOKUP(Table37[[#This Row],[ACTIVITY]],TAGS!$B:$P,12,FALSE)</f>
        <v>Modernization</v>
      </c>
      <c r="U314" s="54" t="str">
        <f>VLOOKUP(Table37[[#This Row],[ACTIVITY]],TAGS!$B:$P,13,FALSE)</f>
        <v>8. Farm Mechanization and Farm Investments</v>
      </c>
      <c r="V314" s="54" t="str">
        <f>VLOOKUP(Table37[[#This Row],[ACTIVITY]],TAGS!$B:$P,14,FALSE)</f>
        <v>DEVELOP EFFICIENT LOGISTICS SYSTEMS FOR BOTH INPUT AND PRODUCTION OUTPUT</v>
      </c>
      <c r="W314" s="54" t="str">
        <f>VLOOKUP(Table37[[#This Row],[ACTIVITY]],TAGS!$B:$P,15,FALSE)</f>
        <v>Postharvest-related</v>
      </c>
      <c r="X314" s="54" t="str">
        <f>VLOOKUP(Table37[[#This Row],[PI LEVEL 3]],'PI LEVEL'!$A:$G,7,FALSE)</f>
        <v>DA-Level Output</v>
      </c>
      <c r="Y314" s="60"/>
      <c r="Z314" s="60"/>
      <c r="AA314" s="54" t="e">
        <f>VLOOKUP(Table37[[#This Row],[MONTH]],TAGS!$W$67:$Y$81,2,FALSE)</f>
        <v>#N/A</v>
      </c>
      <c r="AB314" s="54" t="e">
        <f>VLOOKUP(Table37[[#This Row],[MONTH]],TAGS!$W$67:$Y$81,3,FALSE)</f>
        <v>#N/A</v>
      </c>
      <c r="AC314" s="54" t="e">
        <f>VLOOKUP(Table37[[#This Row],[MONTH]],TAGS!$W$67:$Z$81,4,FALSE)</f>
        <v>#N/A</v>
      </c>
      <c r="AD314" s="60"/>
      <c r="AE314" s="60">
        <v>11000</v>
      </c>
      <c r="AF314" s="54">
        <f>SUM(Table37[[#This Row],[MOOE (Php ''000)]:[CO (Php ''000)]])</f>
        <v>11000</v>
      </c>
      <c r="AG314" s="72" t="b">
        <f>ISBLANK(Table37[[#This Row],[PRPOPOSAL/BEDS]])</f>
        <v>0</v>
      </c>
      <c r="AH314" s="72" t="b">
        <f>ISBLANK(Table37[[#This Row],[OU]])</f>
        <v>0</v>
      </c>
      <c r="AI314" s="72" t="b">
        <f>ISBLANK(Table37[[#This Row],[SPECIFIC COMMODITY]])</f>
        <v>0</v>
      </c>
      <c r="AJ314" s="72" t="b">
        <f>ISBLANK(Table37[[#This Row],[COMMODITY PREXC SUB-PROGRAM]])</f>
        <v>0</v>
      </c>
      <c r="AK314" s="72" t="b">
        <f>ISBLANK(Table37[[#This Row],[ACTIVITY]])</f>
        <v>0</v>
      </c>
      <c r="AL314" s="72" t="b">
        <f>ISBLANK(Table37[[#This Row],[TAG-GAD]])</f>
        <v>1</v>
      </c>
      <c r="AM314" s="72" t="b">
        <f>ISBLANK(Table37[[#This Row],[MONTH]])</f>
        <v>1</v>
      </c>
      <c r="AN314" s="72" t="b">
        <f>ISBLANK(Table37[[#This Row],[MOOE (Php ''000)]])</f>
        <v>1</v>
      </c>
      <c r="AO314" s="72" t="b">
        <f>ISBLANK(Table37[[#This Row],[CO (Php ''000)]])</f>
        <v>0</v>
      </c>
    </row>
    <row r="315" spans="1:41">
      <c r="A315" s="54" t="str">
        <f>VLOOKUP(Table37[[#This Row],[OU]],OU!$A$15:$B$34,2,FALSE)</f>
        <v>RFOs</v>
      </c>
      <c r="B315" s="60" t="s">
        <v>436</v>
      </c>
      <c r="C315" s="47" t="s">
        <v>574</v>
      </c>
      <c r="D315" s="60" t="s">
        <v>578</v>
      </c>
      <c r="E315" s="54" t="str">
        <f>VLOOKUP(Table37[[#This Row],[SPECIFIC COMMODITY]],TAGS!$W$48:$X$53,2,FALSE)</f>
        <v>Corn</v>
      </c>
      <c r="F315" s="54" t="str">
        <f>VLOOKUP(Table37[[#This Row],[PREXC SUB-PROGRAM]],Table5[],2,FALSE)</f>
        <v>AGRICULTURAL  MACHINERY, EQUIPMENT, FACILITIES AND INFRASTRUCTURE PROGRAM</v>
      </c>
      <c r="G315" s="54" t="str">
        <f>VLOOKUP(Table37[[#This Row],[COMMODITY PREXC SUB-PROGRAM]],TAGS!$U$54:$V$76,2,FALSE)</f>
        <v>AMEFSS</v>
      </c>
      <c r="H315" s="60" t="s">
        <v>594</v>
      </c>
      <c r="I315" s="54" t="str">
        <f>VLOOKUP(Table37[[#This Row],[PI LEVEL 3]],'PI LEVEL'!A:C,3,FALSE)</f>
        <v>Postharvest machinery and equipment distributed</v>
      </c>
      <c r="J315" s="54" t="str">
        <f>VLOOKUP(Table37[[#This Row],[PI LEVEL 3]],Table53729[[Performance Indicator Level 3]:[Performance Indicator Level 1]],2,FALSE)</f>
        <v>Crop processing machinery and equipment distributed</v>
      </c>
      <c r="K315" s="54" t="str">
        <f>VLOOKUP(Table37[[#This Row],[ACTIVITY]],TAGS!B:P,2,FALSE)</f>
        <v>Chopper distributed</v>
      </c>
      <c r="L315" s="60" t="s">
        <v>440</v>
      </c>
      <c r="M315" s="54" t="str">
        <f>VLOOKUP(Table37[[#This Row],[ACTIVITY]],TAGS!$B:$P,4,FALSE)</f>
        <v>Postharvest related machinery &amp; equipment</v>
      </c>
      <c r="N315" s="54" t="str">
        <f>VLOOKUP(Table37[[#This Row],[ACTIVITY]],TAGS!$B:$P,5,FALSE)</f>
        <v>Postharvest-related</v>
      </c>
      <c r="O315" s="54" t="str">
        <f>VLOOKUP(Table37[[#This Row],[ACTIVITY]],TAGS!$B:$P,6,FALSE)</f>
        <v>Forage/Silage Chopper</v>
      </c>
      <c r="P315" s="54" t="str">
        <f>VLOOKUP(Table37[[#This Row],[ACTIVITY]],TAGS!$B:$P,7,FALSE)</f>
        <v>NO</v>
      </c>
      <c r="Q315" s="54" t="str">
        <f>VLOOKUP(Table37[[#This Row],[ACTIVITY]],TAGS!$B:$P,8,FALSE)</f>
        <v>PAP</v>
      </c>
      <c r="R315" s="54" t="str">
        <f>VLOOKUP(Table37[[#This Row],[ACTIVITY]],TAGS!$B:$P,10,FALSE)</f>
        <v>PIP</v>
      </c>
      <c r="S315" s="54" t="str">
        <f>VLOOKUP(Table37[[#This Row],[ACTIVITY]],TAGS!$B:$P,11,FALSE)</f>
        <v>PICS</v>
      </c>
      <c r="T315" s="54" t="str">
        <f>VLOOKUP(Table37[[#This Row],[ACTIVITY]],TAGS!$B:$P,12,FALSE)</f>
        <v>Modernization</v>
      </c>
      <c r="U315" s="54" t="str">
        <f>VLOOKUP(Table37[[#This Row],[ACTIVITY]],TAGS!$B:$P,13,FALSE)</f>
        <v>8. Farm Mechanization and Farm Investments</v>
      </c>
      <c r="V315" s="54" t="str">
        <f>VLOOKUP(Table37[[#This Row],[ACTIVITY]],TAGS!$B:$P,14,FALSE)</f>
        <v>DEVELOP AND IMPROVE POST-HARVEST SYSTEMS AND INFRASTRUCTURE</v>
      </c>
      <c r="W315" s="54" t="str">
        <f>VLOOKUP(Table37[[#This Row],[ACTIVITY]],TAGS!$B:$P,15,FALSE)</f>
        <v>Postharvest-related</v>
      </c>
      <c r="X315" s="54" t="str">
        <f>VLOOKUP(Table37[[#This Row],[PI LEVEL 3]],'PI LEVEL'!$A:$G,7,FALSE)</f>
        <v>DA-Level Output</v>
      </c>
      <c r="Y315" s="60"/>
      <c r="Z315" s="60"/>
      <c r="AA315" s="54" t="e">
        <f>VLOOKUP(Table37[[#This Row],[MONTH]],TAGS!$W$67:$Y$81,2,FALSE)</f>
        <v>#N/A</v>
      </c>
      <c r="AB315" s="54" t="e">
        <f>VLOOKUP(Table37[[#This Row],[MONTH]],TAGS!$W$67:$Y$81,3,FALSE)</f>
        <v>#N/A</v>
      </c>
      <c r="AC315" s="54" t="e">
        <f>VLOOKUP(Table37[[#This Row],[MONTH]],TAGS!$W$67:$Z$81,4,FALSE)</f>
        <v>#N/A</v>
      </c>
      <c r="AD315" s="60"/>
      <c r="AE315" s="60">
        <v>5000</v>
      </c>
      <c r="AF315" s="54">
        <f>SUM(Table37[[#This Row],[MOOE (Php ''000)]:[CO (Php ''000)]])</f>
        <v>5000</v>
      </c>
      <c r="AG315" s="72" t="b">
        <f>ISBLANK(Table37[[#This Row],[PRPOPOSAL/BEDS]])</f>
        <v>0</v>
      </c>
      <c r="AH315" s="72" t="b">
        <f>ISBLANK(Table37[[#This Row],[OU]])</f>
        <v>0</v>
      </c>
      <c r="AI315" s="72" t="b">
        <f>ISBLANK(Table37[[#This Row],[SPECIFIC COMMODITY]])</f>
        <v>0</v>
      </c>
      <c r="AJ315" s="72" t="b">
        <f>ISBLANK(Table37[[#This Row],[COMMODITY PREXC SUB-PROGRAM]])</f>
        <v>0</v>
      </c>
      <c r="AK315" s="72" t="b">
        <f>ISBLANK(Table37[[#This Row],[ACTIVITY]])</f>
        <v>0</v>
      </c>
      <c r="AL315" s="72" t="b">
        <f>ISBLANK(Table37[[#This Row],[TAG-GAD]])</f>
        <v>1</v>
      </c>
      <c r="AM315" s="72" t="b">
        <f>ISBLANK(Table37[[#This Row],[MONTH]])</f>
        <v>1</v>
      </c>
      <c r="AN315" s="72" t="b">
        <f>ISBLANK(Table37[[#This Row],[MOOE (Php ''000)]])</f>
        <v>1</v>
      </c>
      <c r="AO315" s="72" t="b">
        <f>ISBLANK(Table37[[#This Row],[CO (Php ''000)]])</f>
        <v>0</v>
      </c>
    </row>
    <row r="316" spans="1:41">
      <c r="A316" s="54" t="str">
        <f>VLOOKUP(Table37[[#This Row],[OU]],OU!$A$15:$B$34,2,FALSE)</f>
        <v>RFOs</v>
      </c>
      <c r="B316" s="60" t="s">
        <v>436</v>
      </c>
      <c r="C316" s="47" t="s">
        <v>574</v>
      </c>
      <c r="D316" s="60" t="s">
        <v>578</v>
      </c>
      <c r="E316" s="54" t="str">
        <f>VLOOKUP(Table37[[#This Row],[SPECIFIC COMMODITY]],TAGS!$W$48:$X$53,2,FALSE)</f>
        <v>Corn</v>
      </c>
      <c r="F316" s="54" t="str">
        <f>VLOOKUP(Table37[[#This Row],[PREXC SUB-PROGRAM]],Table5[],2,FALSE)</f>
        <v>AGRICULTURAL  MACHINERY, EQUIPMENT, FACILITIES AND INFRASTRUCTURE PROGRAM</v>
      </c>
      <c r="G316" s="54" t="str">
        <f>VLOOKUP(Table37[[#This Row],[COMMODITY PREXC SUB-PROGRAM]],TAGS!$U$54:$V$76,2,FALSE)</f>
        <v>INS</v>
      </c>
      <c r="H316" s="60" t="s">
        <v>596</v>
      </c>
      <c r="I316" s="54" t="str">
        <f>VLOOKUP(Table37[[#This Row],[PI LEVEL 3]],'PI LEVEL'!A:C,3,FALSE)</f>
        <v>Irrigation machinery distributed</v>
      </c>
      <c r="J316" s="54" t="str">
        <f>VLOOKUP(Table37[[#This Row],[PI LEVEL 3]],Table53729[[Performance Indicator Level 3]:[Performance Indicator Level 1]],2,FALSE)</f>
        <v>Irrigation machinery distributed</v>
      </c>
      <c r="K316" s="54" t="str">
        <f>VLOOKUP(Table37[[#This Row],[ACTIVITY]],TAGS!B:P,2,FALSE)</f>
        <v>Pump and Engine Set distributed</v>
      </c>
      <c r="L316" s="60" t="s">
        <v>212</v>
      </c>
      <c r="M316" s="54" t="str">
        <f>VLOOKUP(Table37[[#This Row],[ACTIVITY]],TAGS!$B:$P,4,FALSE)</f>
        <v>Small-scale Irrigation Projects</v>
      </c>
      <c r="N316" s="54" t="str">
        <f>VLOOKUP(Table37[[#This Row],[ACTIVITY]],TAGS!$B:$P,5,FALSE)</f>
        <v>Small-scale Irrigation Projects (SSIPs)</v>
      </c>
      <c r="O316" s="54" t="str">
        <f>VLOOKUP(Table37[[#This Row],[ACTIVITY]],TAGS!$B:$P,6,FALSE)</f>
        <v>Mobile Solar-powered Irrigation System</v>
      </c>
      <c r="P316" s="54" t="str">
        <f>VLOOKUP(Table37[[#This Row],[ACTIVITY]],TAGS!$B:$P,7,FALSE)</f>
        <v>YES</v>
      </c>
      <c r="Q316" s="54" t="str">
        <f>VLOOKUP(Table37[[#This Row],[ACTIVITY]],TAGS!$B:$P,8,FALSE)</f>
        <v>PAP</v>
      </c>
      <c r="R316" s="54" t="str">
        <f>VLOOKUP(Table37[[#This Row],[ACTIVITY]],TAGS!$B:$P,10,FALSE)</f>
        <v>PIP</v>
      </c>
      <c r="S316" s="54" t="str">
        <f>VLOOKUP(Table37[[#This Row],[ACTIVITY]],TAGS!$B:$P,11,FALSE)</f>
        <v>PICS</v>
      </c>
      <c r="T316" s="54" t="str">
        <f>VLOOKUP(Table37[[#This Row],[ACTIVITY]],TAGS!$B:$P,12,FALSE)</f>
        <v>Modernization</v>
      </c>
      <c r="U316" s="54" t="str">
        <f>VLOOKUP(Table37[[#This Row],[ACTIVITY]],TAGS!$B:$P,13,FALSE)</f>
        <v>8. Farm Mechanization and Farm Investments</v>
      </c>
      <c r="V316" s="54" t="str">
        <f>VLOOKUP(Table37[[#This Row],[ACTIVITY]],TAGS!$B:$P,14,FALSE)</f>
        <v>EXPAND AND IMPROVE AVAILABLE AGRI-FISHERY AREAS FOR INCREASED PRODUCTION</v>
      </c>
      <c r="W316" s="54" t="str">
        <f>VLOOKUP(Table37[[#This Row],[ACTIVITY]],TAGS!$B:$P,15,FALSE)</f>
        <v>Irrigation</v>
      </c>
      <c r="X316" s="54" t="str">
        <f>VLOOKUP(Table37[[#This Row],[PI LEVEL 3]],'PI LEVEL'!$A:$G,7,FALSE)</f>
        <v>DA-Level Output</v>
      </c>
      <c r="Y316" s="60"/>
      <c r="Z316" s="60"/>
      <c r="AA316" s="54" t="e">
        <f>VLOOKUP(Table37[[#This Row],[MONTH]],TAGS!$W$67:$Y$81,2,FALSE)</f>
        <v>#N/A</v>
      </c>
      <c r="AB316" s="54" t="e">
        <f>VLOOKUP(Table37[[#This Row],[MONTH]],TAGS!$W$67:$Y$81,3,FALSE)</f>
        <v>#N/A</v>
      </c>
      <c r="AC316" s="54" t="e">
        <f>VLOOKUP(Table37[[#This Row],[MONTH]],TAGS!$W$67:$Z$81,4,FALSE)</f>
        <v>#N/A</v>
      </c>
      <c r="AD316" s="60"/>
      <c r="AE316" s="60">
        <v>10000</v>
      </c>
      <c r="AF316" s="54">
        <f>SUM(Table37[[#This Row],[MOOE (Php ''000)]:[CO (Php ''000)]])</f>
        <v>10000</v>
      </c>
      <c r="AG316" s="72" t="b">
        <f>ISBLANK(Table37[[#This Row],[PRPOPOSAL/BEDS]])</f>
        <v>0</v>
      </c>
      <c r="AH316" s="72" t="b">
        <f>ISBLANK(Table37[[#This Row],[OU]])</f>
        <v>0</v>
      </c>
      <c r="AI316" s="72" t="b">
        <f>ISBLANK(Table37[[#This Row],[SPECIFIC COMMODITY]])</f>
        <v>0</v>
      </c>
      <c r="AJ316" s="72" t="b">
        <f>ISBLANK(Table37[[#This Row],[COMMODITY PREXC SUB-PROGRAM]])</f>
        <v>0</v>
      </c>
      <c r="AK316" s="72" t="b">
        <f>ISBLANK(Table37[[#This Row],[ACTIVITY]])</f>
        <v>0</v>
      </c>
      <c r="AL316" s="72" t="b">
        <f>ISBLANK(Table37[[#This Row],[TAG-GAD]])</f>
        <v>1</v>
      </c>
      <c r="AM316" s="72" t="b">
        <f>ISBLANK(Table37[[#This Row],[MONTH]])</f>
        <v>1</v>
      </c>
      <c r="AN316" s="72" t="b">
        <f>ISBLANK(Table37[[#This Row],[MOOE (Php ''000)]])</f>
        <v>1</v>
      </c>
      <c r="AO316" s="72" t="b">
        <f>ISBLANK(Table37[[#This Row],[CO (Php ''000)]])</f>
        <v>0</v>
      </c>
    </row>
    <row r="317" spans="1:41">
      <c r="A317" s="54" t="str">
        <f>VLOOKUP(Table37[[#This Row],[OU]],OU!$A$15:$B$34,2,FALSE)</f>
        <v>RFOs</v>
      </c>
      <c r="B317" s="60" t="s">
        <v>436</v>
      </c>
      <c r="C317" s="47" t="s">
        <v>574</v>
      </c>
      <c r="D317" s="60" t="s">
        <v>578</v>
      </c>
      <c r="E317" s="54" t="str">
        <f>VLOOKUP(Table37[[#This Row],[SPECIFIC COMMODITY]],TAGS!$W$48:$X$53,2,FALSE)</f>
        <v>Corn</v>
      </c>
      <c r="F317" s="54" t="str">
        <f>VLOOKUP(Table37[[#This Row],[PREXC SUB-PROGRAM]],Table5[],2,FALSE)</f>
        <v>AGRICULTURAL  MACHINERY, EQUIPMENT, FACILITIES AND INFRASTRUCTURE PROGRAM</v>
      </c>
      <c r="G317" s="54" t="str">
        <f>VLOOKUP(Table37[[#This Row],[COMMODITY PREXC SUB-PROGRAM]],TAGS!$U$54:$V$76,2,FALSE)</f>
        <v>INS</v>
      </c>
      <c r="H317" s="60" t="s">
        <v>596</v>
      </c>
      <c r="I317" s="54" t="str">
        <f>VLOOKUP(Table37[[#This Row],[PI LEVEL 3]],'PI LEVEL'!A:C,3,FALSE)</f>
        <v>Irrigation machinery distributed</v>
      </c>
      <c r="J317" s="54" t="str">
        <f>VLOOKUP(Table37[[#This Row],[PI LEVEL 3]],Table53729[[Performance Indicator Level 3]:[Performance Indicator Level 1]],2,FALSE)</f>
        <v>Irrigation machinery distributed</v>
      </c>
      <c r="K317" s="54" t="str">
        <f>VLOOKUP(Table37[[#This Row],[ACTIVITY]],TAGS!B:P,2,FALSE)</f>
        <v>Pump and Engine Set distributed</v>
      </c>
      <c r="L317" s="60" t="s">
        <v>210</v>
      </c>
      <c r="M317" s="54" t="str">
        <f>VLOOKUP(Table37[[#This Row],[ACTIVITY]],TAGS!$B:$P,4,FALSE)</f>
        <v>Small-scale Irrigation Projects</v>
      </c>
      <c r="N317" s="54" t="str">
        <f>VLOOKUP(Table37[[#This Row],[ACTIVITY]],TAGS!$B:$P,5,FALSE)</f>
        <v>Small-scale Irrigation Projects (SSIPs)</v>
      </c>
      <c r="O317" s="54" t="str">
        <f>VLOOKUP(Table37[[#This Row],[ACTIVITY]],TAGS!$B:$P,6,FALSE)</f>
        <v>Open Source Pumping Set</v>
      </c>
      <c r="P317" s="54" t="str">
        <f>VLOOKUP(Table37[[#This Row],[ACTIVITY]],TAGS!$B:$P,7,FALSE)</f>
        <v>YES</v>
      </c>
      <c r="Q317" s="54" t="str">
        <f>VLOOKUP(Table37[[#This Row],[ACTIVITY]],TAGS!$B:$P,8,FALSE)</f>
        <v>PAP</v>
      </c>
      <c r="R317" s="54" t="str">
        <f>VLOOKUP(Table37[[#This Row],[ACTIVITY]],TAGS!$B:$P,10,FALSE)</f>
        <v>PIP</v>
      </c>
      <c r="S317" s="54" t="str">
        <f>VLOOKUP(Table37[[#This Row],[ACTIVITY]],TAGS!$B:$P,11,FALSE)</f>
        <v>PICS</v>
      </c>
      <c r="T317" s="54" t="str">
        <f>VLOOKUP(Table37[[#This Row],[ACTIVITY]],TAGS!$B:$P,12,FALSE)</f>
        <v>Modernization</v>
      </c>
      <c r="U317" s="54" t="str">
        <f>VLOOKUP(Table37[[#This Row],[ACTIVITY]],TAGS!$B:$P,13,FALSE)</f>
        <v>8. Farm Mechanization and Farm Investments</v>
      </c>
      <c r="V317" s="54" t="str">
        <f>VLOOKUP(Table37[[#This Row],[ACTIVITY]],TAGS!$B:$P,14,FALSE)</f>
        <v>EXPAND AND IMPROVE AVAILABLE AGRI-FISHERY AREAS FOR INCREASED PRODUCTION</v>
      </c>
      <c r="W317" s="54" t="str">
        <f>VLOOKUP(Table37[[#This Row],[ACTIVITY]],TAGS!$B:$P,15,FALSE)</f>
        <v>Irrigation</v>
      </c>
      <c r="X317" s="54" t="str">
        <f>VLOOKUP(Table37[[#This Row],[PI LEVEL 3]],'PI LEVEL'!$A:$G,7,FALSE)</f>
        <v>DA-Level Output</v>
      </c>
      <c r="Y317" s="60"/>
      <c r="Z317" s="60"/>
      <c r="AA317" s="54" t="e">
        <f>VLOOKUP(Table37[[#This Row],[MONTH]],TAGS!$W$67:$Y$81,2,FALSE)</f>
        <v>#N/A</v>
      </c>
      <c r="AB317" s="54" t="e">
        <f>VLOOKUP(Table37[[#This Row],[MONTH]],TAGS!$W$67:$Y$81,3,FALSE)</f>
        <v>#N/A</v>
      </c>
      <c r="AC317" s="54" t="e">
        <f>VLOOKUP(Table37[[#This Row],[MONTH]],TAGS!$W$67:$Z$81,4,FALSE)</f>
        <v>#N/A</v>
      </c>
      <c r="AD317" s="60"/>
      <c r="AE317" s="60">
        <v>25000</v>
      </c>
      <c r="AF317" s="54">
        <f>SUM(Table37[[#This Row],[MOOE (Php ''000)]:[CO (Php ''000)]])</f>
        <v>25000</v>
      </c>
      <c r="AG317" s="72" t="b">
        <f>ISBLANK(Table37[[#This Row],[PRPOPOSAL/BEDS]])</f>
        <v>0</v>
      </c>
      <c r="AH317" s="72" t="b">
        <f>ISBLANK(Table37[[#This Row],[OU]])</f>
        <v>0</v>
      </c>
      <c r="AI317" s="72" t="b">
        <f>ISBLANK(Table37[[#This Row],[SPECIFIC COMMODITY]])</f>
        <v>0</v>
      </c>
      <c r="AJ317" s="72" t="b">
        <f>ISBLANK(Table37[[#This Row],[COMMODITY PREXC SUB-PROGRAM]])</f>
        <v>0</v>
      </c>
      <c r="AK317" s="72" t="b">
        <f>ISBLANK(Table37[[#This Row],[ACTIVITY]])</f>
        <v>0</v>
      </c>
      <c r="AL317" s="72" t="b">
        <f>ISBLANK(Table37[[#This Row],[TAG-GAD]])</f>
        <v>1</v>
      </c>
      <c r="AM317" s="72" t="b">
        <f>ISBLANK(Table37[[#This Row],[MONTH]])</f>
        <v>1</v>
      </c>
      <c r="AN317" s="72" t="b">
        <f>ISBLANK(Table37[[#This Row],[MOOE (Php ''000)]])</f>
        <v>1</v>
      </c>
      <c r="AO317" s="72" t="b">
        <f>ISBLANK(Table37[[#This Row],[CO (Php ''000)]])</f>
        <v>0</v>
      </c>
    </row>
    <row r="318" spans="1:41">
      <c r="A318" s="54" t="str">
        <f>VLOOKUP(Table37[[#This Row],[OU]],OU!$A$15:$B$34,2,FALSE)</f>
        <v>RFOs</v>
      </c>
      <c r="B318" s="60" t="s">
        <v>436</v>
      </c>
      <c r="C318" s="47" t="s">
        <v>574</v>
      </c>
      <c r="D318" s="60" t="s">
        <v>585</v>
      </c>
      <c r="E318" s="54" t="str">
        <f>VLOOKUP(Table37[[#This Row],[SPECIFIC COMMODITY]],TAGS!$W$48:$X$53,2,FALSE)</f>
        <v>Multi_commodity</v>
      </c>
      <c r="F318" s="54" t="str">
        <f>VLOOKUP(Table37[[#This Row],[PREXC SUB-PROGRAM]],Table5[],2,FALSE)</f>
        <v>FIELD PROGRAMS MANAGEMENT ACTIVITIES</v>
      </c>
      <c r="G318" s="54" t="str">
        <f>VLOOKUP(Table37[[#This Row],[COMMODITY PREXC SUB-PROGRAM]],TAGS!$U$54:$V$76,2,FALSE)</f>
        <v>FPMA</v>
      </c>
      <c r="H318" s="60" t="s">
        <v>597</v>
      </c>
      <c r="I318" s="54" t="str">
        <f>VLOOKUP(Table37[[#This Row],[PI LEVEL 3]],'PI LEVEL'!A:C,3,FALSE)</f>
        <v>National/Regional Field Monitoring conducted</v>
      </c>
      <c r="J318" s="54" t="str">
        <f>VLOOKUP(Table37[[#This Row],[PI LEVEL 3]],Table53729[[Performance Indicator Level 3]:[Performance Indicator Level 1]],2,FALSE)</f>
        <v>National/Regional Field Monitoring conducted</v>
      </c>
      <c r="K318" s="54" t="str">
        <f>VLOOKUP(Table37[[#This Row],[ACTIVITY]],TAGS!B:P,2,FALSE)</f>
        <v>National/Regional Field Monitoring conducted</v>
      </c>
      <c r="L318" s="60" t="s">
        <v>231</v>
      </c>
      <c r="M318" s="54" t="str">
        <f>VLOOKUP(Table37[[#This Row],[ACTIVITY]],TAGS!$B:$P,4,FALSE)</f>
        <v>FPMA</v>
      </c>
      <c r="N318" s="54" t="str">
        <f>VLOOKUP(Table37[[#This Row],[ACTIVITY]],TAGS!$B:$P,5,FALSE)</f>
        <v>FPMA</v>
      </c>
      <c r="O318" s="54" t="str">
        <f>VLOOKUP(Table37[[#This Row],[ACTIVITY]],TAGS!$B:$P,6,FALSE)</f>
        <v>Conduct of Feasibility Studies, Preparation of Detailed Engineering Design and Preparation of Program of Work</v>
      </c>
      <c r="P318" s="54" t="str">
        <f>VLOOKUP(Table37[[#This Row],[ACTIVITY]],TAGS!$B:$P,7,FALSE)</f>
        <v>NO</v>
      </c>
      <c r="Q318" s="54" t="str">
        <f>VLOOKUP(Table37[[#This Row],[ACTIVITY]],TAGS!$B:$P,8,FALSE)</f>
        <v>Overhead</v>
      </c>
      <c r="R318" s="54" t="str">
        <f>VLOOKUP(Table37[[#This Row],[ACTIVITY]],TAGS!$B:$P,10,FALSE)</f>
        <v>NON-PIP</v>
      </c>
      <c r="S318" s="54" t="str">
        <f>VLOOKUP(Table37[[#This Row],[ACTIVITY]],TAGS!$B:$P,11,FALSE)</f>
        <v>NON-PICS</v>
      </c>
      <c r="T318" s="54">
        <f>VLOOKUP(Table37[[#This Row],[ACTIVITY]],TAGS!$B:$P,12,FALSE)</f>
        <v>0</v>
      </c>
      <c r="U318" s="54">
        <f>VLOOKUP(Table37[[#This Row],[ACTIVITY]],TAGS!$B:$P,13,FALSE)</f>
        <v>0</v>
      </c>
      <c r="V318" s="54">
        <f>VLOOKUP(Table37[[#This Row],[ACTIVITY]],TAGS!$B:$P,14,FALSE)</f>
        <v>0</v>
      </c>
      <c r="W318" s="54" t="str">
        <f>VLOOKUP(Table37[[#This Row],[ACTIVITY]],TAGS!$B:$P,15,FALSE)</f>
        <v>Existing</v>
      </c>
      <c r="X318" s="54">
        <f>VLOOKUP(Table37[[#This Row],[PI LEVEL 3]],'PI LEVEL'!$A:$G,7,FALSE)</f>
        <v>0</v>
      </c>
      <c r="Y318" s="60"/>
      <c r="Z318" s="60"/>
      <c r="AA318" s="54" t="e">
        <f>VLOOKUP(Table37[[#This Row],[MONTH]],TAGS!$W$67:$Y$81,2,FALSE)</f>
        <v>#N/A</v>
      </c>
      <c r="AB318" s="54" t="e">
        <f>VLOOKUP(Table37[[#This Row],[MONTH]],TAGS!$W$67:$Y$81,3,FALSE)</f>
        <v>#N/A</v>
      </c>
      <c r="AC318" s="54" t="e">
        <f>VLOOKUP(Table37[[#This Row],[MONTH]],TAGS!$W$67:$Z$81,4,FALSE)</f>
        <v>#N/A</v>
      </c>
      <c r="AD318" s="60">
        <v>500</v>
      </c>
      <c r="AE318" s="60"/>
      <c r="AF318" s="54">
        <f>SUM(Table37[[#This Row],[MOOE (Php ''000)]:[CO (Php ''000)]])</f>
        <v>500</v>
      </c>
      <c r="AG318" s="72" t="b">
        <f>ISBLANK(Table37[[#This Row],[PRPOPOSAL/BEDS]])</f>
        <v>0</v>
      </c>
      <c r="AH318" s="72" t="b">
        <f>ISBLANK(Table37[[#This Row],[OU]])</f>
        <v>0</v>
      </c>
      <c r="AI318" s="72" t="b">
        <f>ISBLANK(Table37[[#This Row],[SPECIFIC COMMODITY]])</f>
        <v>0</v>
      </c>
      <c r="AJ318" s="72" t="b">
        <f>ISBLANK(Table37[[#This Row],[COMMODITY PREXC SUB-PROGRAM]])</f>
        <v>0</v>
      </c>
      <c r="AK318" s="72" t="b">
        <f>ISBLANK(Table37[[#This Row],[ACTIVITY]])</f>
        <v>0</v>
      </c>
      <c r="AL318" s="72" t="b">
        <f>ISBLANK(Table37[[#This Row],[TAG-GAD]])</f>
        <v>1</v>
      </c>
      <c r="AM318" s="72" t="b">
        <f>ISBLANK(Table37[[#This Row],[MONTH]])</f>
        <v>1</v>
      </c>
      <c r="AN318" s="72" t="b">
        <f>ISBLANK(Table37[[#This Row],[MOOE (Php ''000)]])</f>
        <v>0</v>
      </c>
      <c r="AO318" s="72" t="b">
        <f>ISBLANK(Table37[[#This Row],[CO (Php ''000)]])</f>
        <v>1</v>
      </c>
    </row>
    <row r="319" spans="1:41">
      <c r="A319" s="54" t="str">
        <f>VLOOKUP(Table37[[#This Row],[OU]],OU!$A$15:$B$34,2,FALSE)</f>
        <v>RFOs</v>
      </c>
      <c r="B319" s="60" t="s">
        <v>436</v>
      </c>
      <c r="C319" s="47" t="s">
        <v>574</v>
      </c>
      <c r="D319" s="60" t="s">
        <v>585</v>
      </c>
      <c r="E319" s="54" t="str">
        <f>VLOOKUP(Table37[[#This Row],[SPECIFIC COMMODITY]],TAGS!$W$48:$X$53,2,FALSE)</f>
        <v>Multi_commodity</v>
      </c>
      <c r="F319" s="54" t="str">
        <f>VLOOKUP(Table37[[#This Row],[PREXC SUB-PROGRAM]],Table5[],2,FALSE)</f>
        <v>FIELD PROGRAMS MANAGEMENT ACTIVITIES</v>
      </c>
      <c r="G319" s="54" t="str">
        <f>VLOOKUP(Table37[[#This Row],[COMMODITY PREXC SUB-PROGRAM]],TAGS!$U$54:$V$76,2,FALSE)</f>
        <v>FPMA</v>
      </c>
      <c r="H319" s="60" t="s">
        <v>597</v>
      </c>
      <c r="I319" s="54" t="str">
        <f>VLOOKUP(Table37[[#This Row],[PI LEVEL 3]],'PI LEVEL'!A:C,3,FALSE)</f>
        <v>National/Regional Field Monitoring conducted</v>
      </c>
      <c r="J319" s="54" t="str">
        <f>VLOOKUP(Table37[[#This Row],[PI LEVEL 3]],Table53729[[Performance Indicator Level 3]:[Performance Indicator Level 1]],2,FALSE)</f>
        <v>National/Regional Field Monitoring conducted</v>
      </c>
      <c r="K319" s="54" t="str">
        <f>VLOOKUP(Table37[[#This Row],[ACTIVITY]],TAGS!B:P,2,FALSE)</f>
        <v>National/Regional Field Monitoring conducted</v>
      </c>
      <c r="L319" s="60" t="s">
        <v>233</v>
      </c>
      <c r="M319" s="54" t="str">
        <f>VLOOKUP(Table37[[#This Row],[ACTIVITY]],TAGS!$B:$P,4,FALSE)</f>
        <v>FPMA</v>
      </c>
      <c r="N319" s="54" t="str">
        <f>VLOOKUP(Table37[[#This Row],[ACTIVITY]],TAGS!$B:$P,5,FALSE)</f>
        <v>FPMA</v>
      </c>
      <c r="O319" s="54" t="str">
        <f>VLOOKUP(Table37[[#This Row],[ACTIVITY]],TAGS!$B:$P,6,FALSE)</f>
        <v>Monitoring and Evaluation</v>
      </c>
      <c r="P319" s="54" t="str">
        <f>VLOOKUP(Table37[[#This Row],[ACTIVITY]],TAGS!$B:$P,7,FALSE)</f>
        <v>NO</v>
      </c>
      <c r="Q319" s="54" t="str">
        <f>VLOOKUP(Table37[[#This Row],[ACTIVITY]],TAGS!$B:$P,8,FALSE)</f>
        <v>Overhead</v>
      </c>
      <c r="R319" s="54" t="str">
        <f>VLOOKUP(Table37[[#This Row],[ACTIVITY]],TAGS!$B:$P,10,FALSE)</f>
        <v>NON-PIP</v>
      </c>
      <c r="S319" s="54" t="str">
        <f>VLOOKUP(Table37[[#This Row],[ACTIVITY]],TAGS!$B:$P,11,FALSE)</f>
        <v>NON-PICS</v>
      </c>
      <c r="T319" s="54">
        <f>VLOOKUP(Table37[[#This Row],[ACTIVITY]],TAGS!$B:$P,12,FALSE)</f>
        <v>0</v>
      </c>
      <c r="U319" s="54">
        <f>VLOOKUP(Table37[[#This Row],[ACTIVITY]],TAGS!$B:$P,13,FALSE)</f>
        <v>0</v>
      </c>
      <c r="V319" s="54">
        <f>VLOOKUP(Table37[[#This Row],[ACTIVITY]],TAGS!$B:$P,14,FALSE)</f>
        <v>0</v>
      </c>
      <c r="W319" s="54" t="str">
        <f>VLOOKUP(Table37[[#This Row],[ACTIVITY]],TAGS!$B:$P,15,FALSE)</f>
        <v>Existing</v>
      </c>
      <c r="X319" s="54">
        <f>VLOOKUP(Table37[[#This Row],[PI LEVEL 3]],'PI LEVEL'!$A:$G,7,FALSE)</f>
        <v>0</v>
      </c>
      <c r="Y319" s="60"/>
      <c r="Z319" s="60"/>
      <c r="AA319" s="54" t="e">
        <f>VLOOKUP(Table37[[#This Row],[MONTH]],TAGS!$W$67:$Y$81,2,FALSE)</f>
        <v>#N/A</v>
      </c>
      <c r="AB319" s="54" t="e">
        <f>VLOOKUP(Table37[[#This Row],[MONTH]],TAGS!$W$67:$Y$81,3,FALSE)</f>
        <v>#N/A</v>
      </c>
      <c r="AC319" s="54" t="e">
        <f>VLOOKUP(Table37[[#This Row],[MONTH]],TAGS!$W$67:$Z$81,4,FALSE)</f>
        <v>#N/A</v>
      </c>
      <c r="AD319" s="60">
        <v>9009</v>
      </c>
      <c r="AE319" s="60"/>
      <c r="AF319" s="54">
        <f>SUM(Table37[[#This Row],[MOOE (Php ''000)]:[CO (Php ''000)]])</f>
        <v>9009</v>
      </c>
      <c r="AG319" s="72" t="b">
        <f>ISBLANK(Table37[[#This Row],[PRPOPOSAL/BEDS]])</f>
        <v>0</v>
      </c>
      <c r="AH319" s="72" t="b">
        <f>ISBLANK(Table37[[#This Row],[OU]])</f>
        <v>0</v>
      </c>
      <c r="AI319" s="72" t="b">
        <f>ISBLANK(Table37[[#This Row],[SPECIFIC COMMODITY]])</f>
        <v>0</v>
      </c>
      <c r="AJ319" s="72" t="b">
        <f>ISBLANK(Table37[[#This Row],[COMMODITY PREXC SUB-PROGRAM]])</f>
        <v>0</v>
      </c>
      <c r="AK319" s="72" t="b">
        <f>ISBLANK(Table37[[#This Row],[ACTIVITY]])</f>
        <v>0</v>
      </c>
      <c r="AL319" s="72" t="b">
        <f>ISBLANK(Table37[[#This Row],[TAG-GAD]])</f>
        <v>1</v>
      </c>
      <c r="AM319" s="72" t="b">
        <f>ISBLANK(Table37[[#This Row],[MONTH]])</f>
        <v>1</v>
      </c>
      <c r="AN319" s="72" t="b">
        <f>ISBLANK(Table37[[#This Row],[MOOE (Php ''000)]])</f>
        <v>0</v>
      </c>
      <c r="AO319" s="72" t="b">
        <f>ISBLANK(Table37[[#This Row],[CO (Php ''000)]])</f>
        <v>1</v>
      </c>
    </row>
    <row r="320" spans="1:41">
      <c r="A320" s="54" t="str">
        <f>VLOOKUP(Table37[[#This Row],[OU]],OU!$A$15:$B$34,2,FALSE)</f>
        <v>RFOs</v>
      </c>
      <c r="B320" s="60" t="s">
        <v>436</v>
      </c>
      <c r="C320" s="47" t="s">
        <v>574</v>
      </c>
      <c r="D320" s="60" t="s">
        <v>585</v>
      </c>
      <c r="E320" s="54" t="str">
        <f>VLOOKUP(Table37[[#This Row],[SPECIFIC COMMODITY]],TAGS!$W$48:$X$53,2,FALSE)</f>
        <v>Multi_commodity</v>
      </c>
      <c r="F320" s="54" t="str">
        <f>VLOOKUP(Table37[[#This Row],[PREXC SUB-PROGRAM]],Table5[],2,FALSE)</f>
        <v>FIELD PROGRAMS MANAGEMENT ACTIVITIES</v>
      </c>
      <c r="G320" s="54" t="str">
        <f>VLOOKUP(Table37[[#This Row],[COMMODITY PREXC SUB-PROGRAM]],TAGS!$U$54:$V$76,2,FALSE)</f>
        <v>FPMA</v>
      </c>
      <c r="H320" s="60" t="s">
        <v>597</v>
      </c>
      <c r="I320" s="54" t="str">
        <f>VLOOKUP(Table37[[#This Row],[PI LEVEL 3]],'PI LEVEL'!A:C,3,FALSE)</f>
        <v>National/Regional Field Monitoring conducted</v>
      </c>
      <c r="J320" s="54" t="str">
        <f>VLOOKUP(Table37[[#This Row],[PI LEVEL 3]],Table53729[[Performance Indicator Level 3]:[Performance Indicator Level 1]],2,FALSE)</f>
        <v>National/Regional Field Monitoring conducted</v>
      </c>
      <c r="K320" s="54" t="str">
        <f>VLOOKUP(Table37[[#This Row],[ACTIVITY]],TAGS!B:P,2,FALSE)</f>
        <v>National/Regional Field Monitoring conducted</v>
      </c>
      <c r="L320" s="60" t="s">
        <v>227</v>
      </c>
      <c r="M320" s="54" t="str">
        <f>VLOOKUP(Table37[[#This Row],[ACTIVITY]],TAGS!$B:$P,4,FALSE)</f>
        <v>FPMA</v>
      </c>
      <c r="N320" s="54" t="str">
        <f>VLOOKUP(Table37[[#This Row],[ACTIVITY]],TAGS!$B:$P,5,FALSE)</f>
        <v>FPMA</v>
      </c>
      <c r="O320" s="54" t="str">
        <f>VLOOKUP(Table37[[#This Row],[ACTIVITY]],TAGS!$B:$P,6,FALSE)</f>
        <v>Salary (Staff)</v>
      </c>
      <c r="P320" s="54" t="str">
        <f>VLOOKUP(Table37[[#This Row],[ACTIVITY]],TAGS!$B:$P,7,FALSE)</f>
        <v>NO</v>
      </c>
      <c r="Q320" s="54" t="str">
        <f>VLOOKUP(Table37[[#This Row],[ACTIVITY]],TAGS!$B:$P,8,FALSE)</f>
        <v>Overhead</v>
      </c>
      <c r="R320" s="54" t="str">
        <f>VLOOKUP(Table37[[#This Row],[ACTIVITY]],TAGS!$B:$P,10,FALSE)</f>
        <v>NON-PIP</v>
      </c>
      <c r="S320" s="54" t="str">
        <f>VLOOKUP(Table37[[#This Row],[ACTIVITY]],TAGS!$B:$P,11,FALSE)</f>
        <v>NON-PICS</v>
      </c>
      <c r="T320" s="54">
        <f>VLOOKUP(Table37[[#This Row],[ACTIVITY]],TAGS!$B:$P,12,FALSE)</f>
        <v>0</v>
      </c>
      <c r="U320" s="54">
        <f>VLOOKUP(Table37[[#This Row],[ACTIVITY]],TAGS!$B:$P,13,FALSE)</f>
        <v>0</v>
      </c>
      <c r="V320" s="54">
        <f>VLOOKUP(Table37[[#This Row],[ACTIVITY]],TAGS!$B:$P,14,FALSE)</f>
        <v>0</v>
      </c>
      <c r="W320" s="54" t="str">
        <f>VLOOKUP(Table37[[#This Row],[ACTIVITY]],TAGS!$B:$P,15,FALSE)</f>
        <v>Existing</v>
      </c>
      <c r="X320" s="54">
        <f>VLOOKUP(Table37[[#This Row],[PI LEVEL 3]],'PI LEVEL'!$A:$G,7,FALSE)</f>
        <v>0</v>
      </c>
      <c r="Y320" s="60"/>
      <c r="Z320" s="60"/>
      <c r="AA320" s="54" t="e">
        <f>VLOOKUP(Table37[[#This Row],[MONTH]],TAGS!$W$67:$Y$81,2,FALSE)</f>
        <v>#N/A</v>
      </c>
      <c r="AB320" s="54" t="e">
        <f>VLOOKUP(Table37[[#This Row],[MONTH]],TAGS!$W$67:$Y$81,3,FALSE)</f>
        <v>#N/A</v>
      </c>
      <c r="AC320" s="54" t="e">
        <f>VLOOKUP(Table37[[#This Row],[MONTH]],TAGS!$W$67:$Z$81,4,FALSE)</f>
        <v>#N/A</v>
      </c>
      <c r="AD320" s="60">
        <v>10000</v>
      </c>
      <c r="AE320" s="60"/>
      <c r="AF320" s="54">
        <f>SUM(Table37[[#This Row],[MOOE (Php ''000)]:[CO (Php ''000)]])</f>
        <v>10000</v>
      </c>
      <c r="AG320" s="72" t="b">
        <f>ISBLANK(Table37[[#This Row],[PRPOPOSAL/BEDS]])</f>
        <v>0</v>
      </c>
      <c r="AH320" s="72" t="b">
        <f>ISBLANK(Table37[[#This Row],[OU]])</f>
        <v>0</v>
      </c>
      <c r="AI320" s="72" t="b">
        <f>ISBLANK(Table37[[#This Row],[SPECIFIC COMMODITY]])</f>
        <v>0</v>
      </c>
      <c r="AJ320" s="72" t="b">
        <f>ISBLANK(Table37[[#This Row],[COMMODITY PREXC SUB-PROGRAM]])</f>
        <v>0</v>
      </c>
      <c r="AK320" s="72" t="b">
        <f>ISBLANK(Table37[[#This Row],[ACTIVITY]])</f>
        <v>0</v>
      </c>
      <c r="AL320" s="72" t="b">
        <f>ISBLANK(Table37[[#This Row],[TAG-GAD]])</f>
        <v>1</v>
      </c>
      <c r="AM320" s="72" t="b">
        <f>ISBLANK(Table37[[#This Row],[MONTH]])</f>
        <v>1</v>
      </c>
      <c r="AN320" s="72" t="b">
        <f>ISBLANK(Table37[[#This Row],[MOOE (Php ''000)]])</f>
        <v>0</v>
      </c>
      <c r="AO320" s="72" t="b">
        <f>ISBLANK(Table37[[#This Row],[CO (Php ''000)]])</f>
        <v>1</v>
      </c>
    </row>
    <row r="321" spans="1:41">
      <c r="A321" s="54" t="str">
        <f>VLOOKUP(Table37[[#This Row],[OU]],OU!$A$15:$B$34,2,FALSE)</f>
        <v>RFOs</v>
      </c>
      <c r="B321" s="60" t="s">
        <v>436</v>
      </c>
      <c r="C321" s="47" t="s">
        <v>574</v>
      </c>
      <c r="D321" s="60" t="s">
        <v>585</v>
      </c>
      <c r="E321" s="54" t="str">
        <f>VLOOKUP(Table37[[#This Row],[SPECIFIC COMMODITY]],TAGS!$W$48:$X$53,2,FALSE)</f>
        <v>Multi_commodity</v>
      </c>
      <c r="F321" s="54" t="str">
        <f>VLOOKUP(Table37[[#This Row],[PREXC SUB-PROGRAM]],Table5[],2,FALSE)</f>
        <v>FIELD PROGRAMS MANAGEMENT ACTIVITIES</v>
      </c>
      <c r="G321" s="54" t="str">
        <f>VLOOKUP(Table37[[#This Row],[COMMODITY PREXC SUB-PROGRAM]],TAGS!$U$54:$V$76,2,FALSE)</f>
        <v>FPMA</v>
      </c>
      <c r="H321" s="60" t="s">
        <v>597</v>
      </c>
      <c r="I321" s="54" t="str">
        <f>VLOOKUP(Table37[[#This Row],[PI LEVEL 3]],'PI LEVEL'!A:C,3,FALSE)</f>
        <v>National/Regional Field Monitoring conducted</v>
      </c>
      <c r="J321" s="54" t="str">
        <f>VLOOKUP(Table37[[#This Row],[PI LEVEL 3]],Table53729[[Performance Indicator Level 3]:[Performance Indicator Level 1]],2,FALSE)</f>
        <v>National/Regional Field Monitoring conducted</v>
      </c>
      <c r="K321" s="54" t="str">
        <f>VLOOKUP(Table37[[#This Row],[ACTIVITY]],TAGS!B:P,2,FALSE)</f>
        <v>National/Regional Field Monitoring conducted</v>
      </c>
      <c r="L321" s="60" t="s">
        <v>229</v>
      </c>
      <c r="M321" s="54" t="str">
        <f>VLOOKUP(Table37[[#This Row],[ACTIVITY]],TAGS!$B:$P,4,FALSE)</f>
        <v>FPMA</v>
      </c>
      <c r="N321" s="54" t="str">
        <f>VLOOKUP(Table37[[#This Row],[ACTIVITY]],TAGS!$B:$P,5,FALSE)</f>
        <v>FPMA</v>
      </c>
      <c r="O321" s="54" t="str">
        <f>VLOOKUP(Table37[[#This Row],[ACTIVITY]],TAGS!$B:$P,6,FALSE)</f>
        <v>Workshop and Meetings</v>
      </c>
      <c r="P321" s="54" t="str">
        <f>VLOOKUP(Table37[[#This Row],[ACTIVITY]],TAGS!$B:$P,7,FALSE)</f>
        <v>NO</v>
      </c>
      <c r="Q321" s="54" t="str">
        <f>VLOOKUP(Table37[[#This Row],[ACTIVITY]],TAGS!$B:$P,8,FALSE)</f>
        <v>Overhead</v>
      </c>
      <c r="R321" s="54" t="str">
        <f>VLOOKUP(Table37[[#This Row],[ACTIVITY]],TAGS!$B:$P,10,FALSE)</f>
        <v>NON-PIP</v>
      </c>
      <c r="S321" s="54" t="str">
        <f>VLOOKUP(Table37[[#This Row],[ACTIVITY]],TAGS!$B:$P,11,FALSE)</f>
        <v>NON-PICS</v>
      </c>
      <c r="T321" s="54">
        <f>VLOOKUP(Table37[[#This Row],[ACTIVITY]],TAGS!$B:$P,12,FALSE)</f>
        <v>0</v>
      </c>
      <c r="U321" s="54">
        <f>VLOOKUP(Table37[[#This Row],[ACTIVITY]],TAGS!$B:$P,13,FALSE)</f>
        <v>0</v>
      </c>
      <c r="V321" s="54">
        <f>VLOOKUP(Table37[[#This Row],[ACTIVITY]],TAGS!$B:$P,14,FALSE)</f>
        <v>0</v>
      </c>
      <c r="W321" s="54" t="str">
        <f>VLOOKUP(Table37[[#This Row],[ACTIVITY]],TAGS!$B:$P,15,FALSE)</f>
        <v>Existing</v>
      </c>
      <c r="X321" s="54">
        <f>VLOOKUP(Table37[[#This Row],[PI LEVEL 3]],'PI LEVEL'!$A:$G,7,FALSE)</f>
        <v>0</v>
      </c>
      <c r="Y321" s="60"/>
      <c r="Z321" s="60"/>
      <c r="AA321" s="54" t="e">
        <f>VLOOKUP(Table37[[#This Row],[MONTH]],TAGS!$W$67:$Y$81,2,FALSE)</f>
        <v>#N/A</v>
      </c>
      <c r="AB321" s="54" t="e">
        <f>VLOOKUP(Table37[[#This Row],[MONTH]],TAGS!$W$67:$Y$81,3,FALSE)</f>
        <v>#N/A</v>
      </c>
      <c r="AC321" s="54" t="e">
        <f>VLOOKUP(Table37[[#This Row],[MONTH]],TAGS!$W$67:$Z$81,4,FALSE)</f>
        <v>#N/A</v>
      </c>
      <c r="AD321" s="60">
        <v>2000</v>
      </c>
      <c r="AE321" s="60"/>
      <c r="AF321" s="54">
        <f>SUM(Table37[[#This Row],[MOOE (Php ''000)]:[CO (Php ''000)]])</f>
        <v>2000</v>
      </c>
      <c r="AG321" s="72" t="b">
        <f>ISBLANK(Table37[[#This Row],[PRPOPOSAL/BEDS]])</f>
        <v>0</v>
      </c>
      <c r="AH321" s="72" t="b">
        <f>ISBLANK(Table37[[#This Row],[OU]])</f>
        <v>0</v>
      </c>
      <c r="AI321" s="72" t="b">
        <f>ISBLANK(Table37[[#This Row],[SPECIFIC COMMODITY]])</f>
        <v>0</v>
      </c>
      <c r="AJ321" s="72" t="b">
        <f>ISBLANK(Table37[[#This Row],[COMMODITY PREXC SUB-PROGRAM]])</f>
        <v>0</v>
      </c>
      <c r="AK321" s="72" t="b">
        <f>ISBLANK(Table37[[#This Row],[ACTIVITY]])</f>
        <v>0</v>
      </c>
      <c r="AL321" s="72" t="b">
        <f>ISBLANK(Table37[[#This Row],[TAG-GAD]])</f>
        <v>1</v>
      </c>
      <c r="AM321" s="72" t="b">
        <f>ISBLANK(Table37[[#This Row],[MONTH]])</f>
        <v>1</v>
      </c>
      <c r="AN321" s="72" t="b">
        <f>ISBLANK(Table37[[#This Row],[MOOE (Php ''000)]])</f>
        <v>0</v>
      </c>
      <c r="AO321" s="72" t="b">
        <f>ISBLANK(Table37[[#This Row],[CO (Php ''000)]])</f>
        <v>1</v>
      </c>
    </row>
  </sheetData>
  <conditionalFormatting sqref="B$1:B$1048576">
    <cfRule type="containsText" dxfId="3843" priority="11" operator="between" text="BED 3 - DISBURSEMENT">
      <formula>NOT(ISERROR(SEARCH("BED 3 - DISBURSEMENT",B1)))</formula>
    </cfRule>
    <cfRule type="containsText" dxfId="3844" priority="13" operator="between" text="BED 1 - OBLIGATION">
      <formula>NOT(ISERROR(SEARCH("BED 1 - OBLIGATION",B1)))</formula>
    </cfRule>
    <cfRule type="containsText" dxfId="3845" priority="14" operator="between" text="PROPOSAL">
      <formula>NOT(ISERROR(SEARCH("PROPOSAL",B1)))</formula>
    </cfRule>
  </conditionalFormatting>
  <conditionalFormatting sqref="H2:H321">
    <cfRule type="expression" dxfId="3887" priority="7">
      <formula>AJ2=TRUE</formula>
    </cfRule>
  </conditionalFormatting>
  <conditionalFormatting sqref="L2:L321">
    <cfRule type="expression" dxfId="3887" priority="6">
      <formula>AK2=TRUE</formula>
    </cfRule>
  </conditionalFormatting>
  <conditionalFormatting sqref="B2:D321">
    <cfRule type="expression" dxfId="3887" priority="15">
      <formula>AG2=TRUE</formula>
    </cfRule>
  </conditionalFormatting>
  <conditionalFormatting sqref="Y2:Z321">
    <cfRule type="expression" dxfId="3887" priority="5">
      <formula>AL2=TRUE</formula>
    </cfRule>
  </conditionalFormatting>
  <conditionalFormatting sqref="AD2:AE321">
    <cfRule type="expression" dxfId="3887" priority="3">
      <formula>AN2=TRUE</formula>
    </cfRule>
  </conditionalFormatting>
  <dataValidations count="8">
    <dataValidation type="list" allowBlank="1" showInputMessage="1" showErrorMessage="1" sqref="B$1:B$1048576">
      <formula1>"PROPOSAL, BED 1 - OBLIGATION, BED 3 - DISBURSEMENT"</formula1>
    </dataValidation>
    <dataValidation type="list" allowBlank="1" showInputMessage="1" showErrorMessage="1" sqref="C2:C321">
      <formula1>OU!$A$15:$A$34</formula1>
    </dataValidation>
    <dataValidation type="list" allowBlank="1" showInputMessage="1" showErrorMessage="1" sqref="D2:D321">
      <formula1>TAGS!$W$48:$W$53</formula1>
    </dataValidation>
    <dataValidation type="list" allowBlank="1" showInputMessage="1" showErrorMessage="1" sqref="H2:H321">
      <formula1>INDIRECT(E2)</formula1>
    </dataValidation>
    <dataValidation type="list" allowBlank="1" showInputMessage="1" showErrorMessage="1" sqref="L2:L321">
      <formula1>INDIRECT(H2)</formula1>
    </dataValidation>
    <dataValidation type="list" allowBlank="1" showInputMessage="1" showErrorMessage="1" sqref="Y2:Y321">
      <formula1>"YES,NO"</formula1>
    </dataValidation>
    <dataValidation type="list" allowBlank="1" showInputMessage="1" showErrorMessage="1" sqref="Z2:Z321">
      <formula1>TAGS!$W$67:$W$81</formula1>
    </dataValidation>
    <dataValidation type="custom" allowBlank="1" showInputMessage="1" showErrorMessage="1" prompt="WHOLE NUMBER ONLY" sqref="AD2:AD321 AE$1:AF$1048576">
      <formula1>ISNUMBER(AD1)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A1:BM685"/>
  <sheetViews>
    <sheetView tabSelected="1" zoomScale="80" zoomScaleNormal="80" workbookViewId="0">
      <pane ySplit="1" topLeftCell="A2" activePane="bottomLeft" state="frozen"/>
      <selection/>
      <selection pane="bottomLeft" activeCell="AH184" sqref="AH184"/>
    </sheetView>
  </sheetViews>
  <sheetFormatPr defaultColWidth="8.85714285714286" defaultRowHeight="15"/>
  <cols>
    <col min="1" max="1" width="9" customWidth="1"/>
    <col min="2" max="2" width="17.4285714285714" customWidth="1"/>
    <col min="3" max="3" width="6.14285714285714" customWidth="1"/>
    <col min="4" max="4" width="57.1428571428571" customWidth="1"/>
    <col min="5" max="5" width="15.8571428571429" customWidth="1"/>
    <col min="6" max="6" width="16.8571428571429" customWidth="1"/>
    <col min="7" max="7" width="25" customWidth="1"/>
    <col min="8" max="8" width="11" hidden="1" customWidth="1" outlineLevel="1"/>
    <col min="9" max="9" width="15.5714285714286" hidden="1" customWidth="1" outlineLevel="1"/>
    <col min="10" max="10" width="9.42857142857143" customWidth="1" collapsed="1"/>
    <col min="11" max="11" width="13.1428571428571" customWidth="1" outlineLevel="1"/>
    <col min="12" max="12" width="22.8571428571429" hidden="1" customWidth="1" outlineLevel="1"/>
    <col min="13" max="13" width="21.8571428571429" hidden="1" customWidth="1"/>
    <col min="14" max="14" width="13.4285714285714" customWidth="1"/>
    <col min="15" max="16" width="26.1428571428571" hidden="1" customWidth="1" outlineLevel="1"/>
    <col min="17" max="17" width="35.8571428571429" hidden="1" customWidth="1" collapsed="1"/>
    <col min="18" max="18" width="75.8571428571429" customWidth="1"/>
    <col min="19" max="20" width="19.4285714285714" hidden="1" customWidth="1" outlineLevel="1"/>
    <col min="21" max="21" width="15.8571428571429" hidden="1" customWidth="1" outlineLevel="1"/>
    <col min="22" max="22" width="20.8571428571429" hidden="1" customWidth="1" outlineLevel="1"/>
    <col min="23" max="23" width="13.5714285714286" hidden="1" customWidth="1" outlineLevel="1"/>
    <col min="24" max="24" width="8.85714285714286" hidden="1" customWidth="1" outlineLevel="1"/>
    <col min="25" max="25" width="11.4285714285714" hidden="1" customWidth="1" outlineLevel="1"/>
    <col min="26" max="27" width="13.5714285714286" hidden="1" customWidth="1" outlineLevel="1"/>
    <col min="28" max="28" width="22.8571428571429" hidden="1" customWidth="1" outlineLevel="1"/>
    <col min="29" max="29" width="17.1428571428571" hidden="1" customWidth="1" outlineLevel="1"/>
    <col min="30" max="30" width="10.8571428571429" hidden="1" customWidth="1" outlineLevel="1"/>
    <col min="31" max="31" width="11.1428571428571" hidden="1" customWidth="1" collapsed="1"/>
    <col min="32" max="32" width="17.4285714285714" hidden="1" customWidth="1"/>
    <col min="33" max="33" width="12.8571428571429" customWidth="1"/>
    <col min="34" max="34" width="10" customWidth="1"/>
    <col min="35" max="35" width="15.1428571428571" customWidth="1"/>
    <col min="36" max="36" width="15.1428571428571" hidden="1" customWidth="1"/>
    <col min="37" max="37" width="9.85714285714286" customWidth="1"/>
    <col min="38" max="38" width="10.8571428571429" customWidth="1"/>
    <col min="39" max="39" width="19.8571428571429" customWidth="1"/>
    <col min="40" max="40" width="23.8571428571429" customWidth="1"/>
    <col min="41" max="41" width="13.1428571428571" style="49" customWidth="1"/>
    <col min="42" max="42" width="20.5714285714286" style="49" hidden="1" customWidth="1"/>
    <col min="43" max="43" width="19.8571428571429" style="49" customWidth="1"/>
    <col min="44" max="44" width="20.5714285714286" style="49" customWidth="1"/>
    <col min="45" max="45" width="22.5714285714286" style="49" customWidth="1"/>
    <col min="46" max="46" width="21.8571428571429" customWidth="1" outlineLevel="1"/>
    <col min="47" max="47" width="21.5714285714286" hidden="1" customWidth="1" outlineLevel="1"/>
    <col min="48" max="48" width="16.8571428571429" hidden="1" customWidth="1" outlineLevel="1"/>
    <col min="49" max="49" width="10.1428571428571" hidden="1" customWidth="1" outlineLevel="1"/>
    <col min="50" max="50" width="17.5714285714286" hidden="1" customWidth="1" outlineLevel="1"/>
    <col min="51" max="51" width="23" hidden="1" customWidth="1" outlineLevel="1"/>
    <col min="52" max="52" width="15" hidden="1" customWidth="1" outlineLevel="1"/>
    <col min="53" max="53" width="12.5714285714286" hidden="1" customWidth="1" outlineLevel="1"/>
    <col min="54" max="54" width="14.1428571428571" hidden="1" customWidth="1" outlineLevel="1"/>
    <col min="55" max="55" width="11.5714285714286" hidden="1" customWidth="1" outlineLevel="1"/>
    <col min="56" max="56" width="14.5714285714286" hidden="1" customWidth="1" outlineLevel="1"/>
    <col min="57" max="57" width="12.5714285714286" hidden="1" customWidth="1" outlineLevel="1"/>
    <col min="58" max="58" width="14.5714285714286" hidden="1" customWidth="1" outlineLevel="1"/>
    <col min="59" max="59" width="11.5714285714286" hidden="1" customWidth="1" outlineLevel="1"/>
    <col min="60" max="60" width="12.8571428571429" hidden="1" customWidth="1" outlineLevel="1"/>
    <col min="61" max="61" width="12.1428571428571" hidden="1" customWidth="1" outlineLevel="1"/>
    <col min="62" max="62" width="13.8571428571429" hidden="1" customWidth="1" outlineLevel="1"/>
    <col min="63" max="63" width="14.1428571428571" hidden="1" customWidth="1" outlineLevel="1"/>
    <col min="64" max="64" width="14.5714285714286" hidden="1" customWidth="1" outlineLevel="1"/>
    <col min="65" max="65" width="13.5714285714286" hidden="1" customWidth="1" outlineLevel="1"/>
    <col min="66" max="66" width="15.4285714285714" customWidth="1" collapsed="1"/>
  </cols>
  <sheetData>
    <row r="1" s="46" customFormat="1" spans="1:65">
      <c r="A1" s="50" t="s">
        <v>546</v>
      </c>
      <c r="B1" s="50" t="s">
        <v>4</v>
      </c>
      <c r="C1" s="50" t="s">
        <v>238</v>
      </c>
      <c r="D1" s="50" t="s">
        <v>257</v>
      </c>
      <c r="E1" s="50" t="s">
        <v>13</v>
      </c>
      <c r="F1" s="50" t="s">
        <v>260</v>
      </c>
      <c r="G1" s="50" t="s">
        <v>598</v>
      </c>
      <c r="H1" s="50" t="s">
        <v>599</v>
      </c>
      <c r="I1" s="50" t="s">
        <v>600</v>
      </c>
      <c r="J1" s="50" t="s">
        <v>240</v>
      </c>
      <c r="K1" s="50" t="s">
        <v>547</v>
      </c>
      <c r="L1" s="50" t="s">
        <v>548</v>
      </c>
      <c r="M1" s="50" t="s">
        <v>12</v>
      </c>
      <c r="N1" s="50" t="s">
        <v>242</v>
      </c>
      <c r="O1" s="50" t="s">
        <v>549</v>
      </c>
      <c r="P1" s="50" t="s">
        <v>550</v>
      </c>
      <c r="Q1" s="50" t="s">
        <v>551</v>
      </c>
      <c r="R1" s="50" t="s">
        <v>14</v>
      </c>
      <c r="S1" s="50" t="s">
        <v>342</v>
      </c>
      <c r="T1" s="50" t="s">
        <v>552</v>
      </c>
      <c r="U1" s="50" t="s">
        <v>553</v>
      </c>
      <c r="V1" s="50" t="s">
        <v>554</v>
      </c>
      <c r="W1" s="50" t="s">
        <v>555</v>
      </c>
      <c r="X1" s="50" t="s">
        <v>556</v>
      </c>
      <c r="Y1" s="50" t="s">
        <v>557</v>
      </c>
      <c r="Z1" s="50" t="s">
        <v>558</v>
      </c>
      <c r="AA1" s="50" t="s">
        <v>559</v>
      </c>
      <c r="AB1" s="50" t="s">
        <v>560</v>
      </c>
      <c r="AC1" s="50" t="s">
        <v>561</v>
      </c>
      <c r="AD1" s="50" t="s">
        <v>562</v>
      </c>
      <c r="AE1" s="46" t="s">
        <v>262</v>
      </c>
      <c r="AF1" s="50" t="s">
        <v>601</v>
      </c>
      <c r="AG1" s="50" t="s">
        <v>247</v>
      </c>
      <c r="AH1" s="50" t="s">
        <v>6</v>
      </c>
      <c r="AI1" s="50" t="s">
        <v>563</v>
      </c>
      <c r="AJ1" s="50" t="s">
        <v>296</v>
      </c>
      <c r="AK1" s="50" t="s">
        <v>264</v>
      </c>
      <c r="AL1" s="50" t="s">
        <v>266</v>
      </c>
      <c r="AM1" s="50" t="s">
        <v>268</v>
      </c>
      <c r="AN1" s="50" t="s">
        <v>270</v>
      </c>
      <c r="AO1" s="56" t="s">
        <v>602</v>
      </c>
      <c r="AP1" s="56" t="s">
        <v>272</v>
      </c>
      <c r="AQ1" s="56" t="s">
        <v>274</v>
      </c>
      <c r="AR1" s="56" t="s">
        <v>276</v>
      </c>
      <c r="AS1" s="56" t="s">
        <v>278</v>
      </c>
      <c r="AT1" s="50" t="s">
        <v>603</v>
      </c>
      <c r="AU1" s="50" t="s">
        <v>565</v>
      </c>
      <c r="AV1" s="50" t="s">
        <v>566</v>
      </c>
      <c r="AW1" s="50" t="s">
        <v>604</v>
      </c>
      <c r="AX1" s="50" t="s">
        <v>605</v>
      </c>
      <c r="AY1" s="50" t="s">
        <v>606</v>
      </c>
      <c r="AZ1" s="50" t="s">
        <v>607</v>
      </c>
      <c r="BA1" s="50" t="s">
        <v>569</v>
      </c>
      <c r="BB1" s="50" t="s">
        <v>570</v>
      </c>
      <c r="BC1" s="50" t="s">
        <v>608</v>
      </c>
      <c r="BD1" s="50" t="s">
        <v>609</v>
      </c>
      <c r="BE1" s="50" t="s">
        <v>610</v>
      </c>
      <c r="BF1" s="50" t="s">
        <v>611</v>
      </c>
      <c r="BG1" s="50" t="s">
        <v>612</v>
      </c>
      <c r="BH1" s="50" t="s">
        <v>613</v>
      </c>
      <c r="BI1" s="50" t="s">
        <v>614</v>
      </c>
      <c r="BJ1" s="50" t="s">
        <v>615</v>
      </c>
      <c r="BK1" s="50" t="s">
        <v>616</v>
      </c>
      <c r="BL1" s="50" t="s">
        <v>617</v>
      </c>
      <c r="BM1" s="50" t="s">
        <v>618</v>
      </c>
    </row>
    <row r="2" s="47" customFormat="1" spans="1:65">
      <c r="A2" s="51" t="str">
        <f>VLOOKUP(Table3[[#This Row],[OU]],OU!$A$15:$B$34,2,FALSE)</f>
        <v>RFOs</v>
      </c>
      <c r="B2" s="47" t="s">
        <v>5</v>
      </c>
      <c r="C2" s="47" t="s">
        <v>574</v>
      </c>
      <c r="E2" s="47" t="s">
        <v>22</v>
      </c>
      <c r="F2" s="47" t="s">
        <v>619</v>
      </c>
      <c r="G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21502000</v>
      </c>
      <c r="I2" s="52" t="str">
        <f>VLOOKUP(Table3[[#This Row],[PSGC]],DISTRICT!$D:$G,4,FALSE)</f>
        <v>3rd</v>
      </c>
      <c r="J2" s="47" t="s">
        <v>575</v>
      </c>
      <c r="K2" s="51" t="str">
        <f>VLOOKUP(Table3[[#This Row],[SPECIFIC COMMODITY]],TAGS!$W$48:$X$53,2,FALSE)</f>
        <v>Corn</v>
      </c>
      <c r="L2" s="51" t="str">
        <f>VLOOKUP(Table3[[#This Row],[PREXC SUB-PROGRAM]],Table5[],2,FALSE)</f>
        <v>TECHNICAL AND SUPPORT SERVICES PROGRAM</v>
      </c>
      <c r="M2" s="51" t="str">
        <f>VLOOKUP(Table3[[#This Row],[COMMODITY PREXC SUB-PROGRAM]],TAGS!$U$54:$V$76,2,FALSE)</f>
        <v>PSS</v>
      </c>
      <c r="N2" s="47" t="s">
        <v>576</v>
      </c>
      <c r="O2" s="51" t="str">
        <f>VLOOKUP(Table3[[#This Row],[PI LEVEL 3]],'PI LEVEL'!A:C,3,FALSE)</f>
        <v>Seeds distributed</v>
      </c>
      <c r="P2" s="51" t="str">
        <f>VLOOKUP(Table3[[#This Row],[PI LEVEL 3]],Table53729[[Performance Indicator Level 3]:[Performance Indicator Level 1]],2,FALSE)</f>
        <v>Corn Seeds distributed</v>
      </c>
      <c r="Q2" s="51" t="str">
        <f>VLOOKUP(Table3[[#This Row],[ACTIVITY]],TAGS!B:P,2,FALSE)</f>
        <v>White Corn Seeds distributed</v>
      </c>
      <c r="R2" s="47" t="s">
        <v>24</v>
      </c>
      <c r="S2" s="51" t="str">
        <f>VLOOKUP(Table3[[#This Row],[ACTIVITY]],TAGS!$B:$P,4,FALSE)</f>
        <v>OPV Seed Production</v>
      </c>
      <c r="T2" s="51" t="str">
        <f>VLOOKUP(Table3[[#This Row],[ACTIVITY]],TAGS!$B:$P,5,FALSE)</f>
        <v>OPV Seed Production</v>
      </c>
      <c r="U2" s="51" t="str">
        <f>VLOOKUP(Table3[[#This Row],[ACTIVITY]],TAGS!$B:$P,6,FALSE)</f>
        <v>White corn seeds</v>
      </c>
      <c r="V2" s="51" t="str">
        <f>VLOOKUP(Table3[[#This Row],[ACTIVITY]],TAGS!$B:$P,7,FALSE)</f>
        <v>NO</v>
      </c>
      <c r="W2" s="51" t="str">
        <f>VLOOKUP(Table3[[#This Row],[ACTIVITY]],TAGS!$B:$P,8,FALSE)</f>
        <v>PAP</v>
      </c>
      <c r="X2" s="51" t="str">
        <f>VLOOKUP(Table3[[#This Row],[ACTIVITY]],TAGS!$B:$P,10,FALSE)</f>
        <v>PIP</v>
      </c>
      <c r="Y2" s="51" t="str">
        <f>VLOOKUP(Table3[[#This Row],[ACTIVITY]],TAGS!$B:$P,11,FALSE)</f>
        <v>PICS</v>
      </c>
      <c r="Z2" s="51" t="str">
        <f>VLOOKUP(Table3[[#This Row],[ACTIVITY]],TAGS!$B:$P,12,FALSE)</f>
        <v>Consolidation</v>
      </c>
      <c r="AA2" s="51" t="str">
        <f>VLOOKUP(Table3[[#This Row],[ACTIVITY]],TAGS!$B:$P,13,FALSE)</f>
        <v>1. Bayanihan Agri Cluster</v>
      </c>
      <c r="AB2" s="51" t="str">
        <f>VLOOKUP(Table3[[#This Row],[ACTIVITY]],TAGS!$B:$P,14,FALSE)</f>
        <v>EXPAND AND IMPROVE AVAILABLE AGRI-FISHERY AREAS FOR INCREASED PRODUCTION</v>
      </c>
      <c r="AC2" s="51" t="str">
        <f>VLOOKUP(Table3[[#This Row],[ACTIVITY]],TAGS!$B:$P,15,FALSE)</f>
        <v>Farm Inputs</v>
      </c>
      <c r="AD2" s="51" t="str">
        <f>VLOOKUP(Table3[[#This Row],[PI LEVEL 3]],'PI LEVEL'!$A:$G,7,FALSE)</f>
        <v>DA-Level Output</v>
      </c>
      <c r="AE2" s="47" t="s">
        <v>577</v>
      </c>
      <c r="AF2" s="51" t="str">
        <f>VLOOKUP(Table3[[#This Row],[ACTIVITY]],TAGS!$B:$P,3,FALSE)</f>
        <v>kilogram</v>
      </c>
      <c r="AG2" s="47" t="s">
        <v>332</v>
      </c>
      <c r="AH2" s="51" t="str">
        <f>VLOOKUP(Table3[[#This Row],[MONTH]],TAGS!$W$67:$Y$81,2,FALSE)</f>
        <v>2ND QTR</v>
      </c>
      <c r="AI2" s="51" t="str">
        <f>VLOOKUP(Table3[[#This Row],[MONTH]],TAGS!$W$67:$Y$81,3,FALSE)</f>
        <v>1ST SEMESTER</v>
      </c>
      <c r="AJ2" s="51">
        <f>VLOOKUP(Table3[[#This Row],[MONTH]],TAGS!$W$67:$Z$81,4,FALSE)</f>
        <v>2025</v>
      </c>
      <c r="AK2" s="47">
        <v>1000</v>
      </c>
      <c r="AL2" s="51" t="str">
        <f>VLOOKUP(Table3[[#This Row],[ACTIVITY]],TAGS!$B:$R,16,FALSE)</f>
        <v>YES</v>
      </c>
      <c r="AM2" s="47">
        <v>50</v>
      </c>
      <c r="AN2" s="47">
        <v>50.5</v>
      </c>
      <c r="AO2" s="57">
        <f>SUM(Table3[[#This Row],[MALE BENEFICIARIES]:[FEMALE BENEFICIARIES]])</f>
        <v>0</v>
      </c>
      <c r="AP2" s="58"/>
      <c r="AQ2" s="58"/>
      <c r="AR2" s="58"/>
      <c r="AS2" s="58">
        <v>3</v>
      </c>
      <c r="AT2" s="59">
        <v>50</v>
      </c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</row>
    <row r="3" spans="1:65">
      <c r="A3" s="51" t="str">
        <f>VLOOKUP(Table3[[#This Row],[OU]],OU!$A$15:$B$34,2,FALSE)</f>
        <v>RFOs</v>
      </c>
      <c r="B3" s="47" t="s">
        <v>5</v>
      </c>
      <c r="C3" s="47" t="s">
        <v>574</v>
      </c>
      <c r="D3" s="47"/>
      <c r="E3" s="47" t="s">
        <v>22</v>
      </c>
      <c r="F3" s="47" t="s">
        <v>620</v>
      </c>
      <c r="G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21518000</v>
      </c>
      <c r="I3" s="52" t="str">
        <f>VLOOKUP(Table3[[#This Row],[PSGC]],DISTRICT!$D:$G,4,FALSE)</f>
        <v>4th</v>
      </c>
      <c r="J3" s="47" t="s">
        <v>575</v>
      </c>
      <c r="K3" s="51" t="str">
        <f>VLOOKUP(Table3[[#This Row],[SPECIFIC COMMODITY]],TAGS!$W$48:$X$53,2,FALSE)</f>
        <v>Corn</v>
      </c>
      <c r="L3" s="51" t="str">
        <f>VLOOKUP(Table3[[#This Row],[PREXC SUB-PROGRAM]],Table5[],2,FALSE)</f>
        <v>TECHNICAL AND SUPPORT SERVICES PROGRAM</v>
      </c>
      <c r="M3" s="51" t="str">
        <f>VLOOKUP(Table3[[#This Row],[COMMODITY PREXC SUB-PROGRAM]],TAGS!$U$54:$V$76,2,FALSE)</f>
        <v>PSS</v>
      </c>
      <c r="N3" s="47" t="s">
        <v>576</v>
      </c>
      <c r="O3" s="51" t="str">
        <f>VLOOKUP(Table3[[#This Row],[PI LEVEL 3]],'PI LEVEL'!A:C,3,FALSE)</f>
        <v>Seeds distributed</v>
      </c>
      <c r="P3" s="51" t="str">
        <f>VLOOKUP(Table3[[#This Row],[PI LEVEL 3]],Table53729[[Performance Indicator Level 3]:[Performance Indicator Level 1]],2,FALSE)</f>
        <v>Corn Seeds distributed</v>
      </c>
      <c r="Q3" s="51" t="str">
        <f>VLOOKUP(Table3[[#This Row],[ACTIVITY]],TAGS!B:P,2,FALSE)</f>
        <v>White Corn Seeds distributed</v>
      </c>
      <c r="R3" s="47" t="s">
        <v>24</v>
      </c>
      <c r="S3" s="51" t="str">
        <f>VLOOKUP(Table3[[#This Row],[ACTIVITY]],TAGS!$B:$P,4,FALSE)</f>
        <v>OPV Seed Production</v>
      </c>
      <c r="T3" s="51" t="str">
        <f>VLOOKUP(Table3[[#This Row],[ACTIVITY]],TAGS!$B:$P,5,FALSE)</f>
        <v>OPV Seed Production</v>
      </c>
      <c r="U3" s="51" t="str">
        <f>VLOOKUP(Table3[[#This Row],[ACTIVITY]],TAGS!$B:$P,6,FALSE)</f>
        <v>White corn seeds</v>
      </c>
      <c r="V3" s="51" t="str">
        <f>VLOOKUP(Table3[[#This Row],[ACTIVITY]],TAGS!$B:$P,7,FALSE)</f>
        <v>NO</v>
      </c>
      <c r="W3" s="51" t="str">
        <f>VLOOKUP(Table3[[#This Row],[ACTIVITY]],TAGS!$B:$P,8,FALSE)</f>
        <v>PAP</v>
      </c>
      <c r="X3" s="51" t="str">
        <f>VLOOKUP(Table3[[#This Row],[ACTIVITY]],TAGS!$B:$P,10,FALSE)</f>
        <v>PIP</v>
      </c>
      <c r="Y3" s="51" t="str">
        <f>VLOOKUP(Table3[[#This Row],[ACTIVITY]],TAGS!$B:$P,11,FALSE)</f>
        <v>PICS</v>
      </c>
      <c r="Z3" s="51" t="str">
        <f>VLOOKUP(Table3[[#This Row],[ACTIVITY]],TAGS!$B:$P,12,FALSE)</f>
        <v>Consolidation</v>
      </c>
      <c r="AA3" s="51" t="str">
        <f>VLOOKUP(Table3[[#This Row],[ACTIVITY]],TAGS!$B:$P,13,FALSE)</f>
        <v>1. Bayanihan Agri Cluster</v>
      </c>
      <c r="AB3" s="51" t="str">
        <f>VLOOKUP(Table3[[#This Row],[ACTIVITY]],TAGS!$B:$P,14,FALSE)</f>
        <v>EXPAND AND IMPROVE AVAILABLE AGRI-FISHERY AREAS FOR INCREASED PRODUCTION</v>
      </c>
      <c r="AC3" s="51" t="str">
        <f>VLOOKUP(Table3[[#This Row],[ACTIVITY]],TAGS!$B:$P,15,FALSE)</f>
        <v>Farm Inputs</v>
      </c>
      <c r="AD3" s="51" t="str">
        <f>VLOOKUP(Table3[[#This Row],[PI LEVEL 3]],'PI LEVEL'!$A:$G,7,FALSE)</f>
        <v>DA-Level Output</v>
      </c>
      <c r="AE3" s="47" t="s">
        <v>577</v>
      </c>
      <c r="AF3" s="51" t="str">
        <f>VLOOKUP(Table3[[#This Row],[ACTIVITY]],TAGS!$B:$P,3,FALSE)</f>
        <v>kilogram</v>
      </c>
      <c r="AG3" s="47" t="s">
        <v>333</v>
      </c>
      <c r="AH3" s="51" t="str">
        <f>VLOOKUP(Table3[[#This Row],[MONTH]],TAGS!$W$67:$Y$81,2,FALSE)</f>
        <v>3RD QTR</v>
      </c>
      <c r="AI3" s="51" t="str">
        <f>VLOOKUP(Table3[[#This Row],[MONTH]],TAGS!$W$67:$Y$81,3,FALSE)</f>
        <v>2ND SEMESTER</v>
      </c>
      <c r="AJ3" s="51">
        <f>VLOOKUP(Table3[[#This Row],[MONTH]],TAGS!$W$67:$Z$81,4,FALSE)</f>
        <v>2025</v>
      </c>
      <c r="AK3" s="47">
        <v>1000</v>
      </c>
      <c r="AL3" s="51" t="str">
        <f>VLOOKUP(Table3[[#This Row],[ACTIVITY]],TAGS!$B:$R,16,FALSE)</f>
        <v>YES</v>
      </c>
      <c r="AM3" s="47">
        <v>50</v>
      </c>
      <c r="AN3" s="47">
        <v>50.5</v>
      </c>
      <c r="AO3" s="57">
        <f>SUM(Table3[[#This Row],[MALE BENEFICIARIES]:[FEMALE BENEFICIARIES]])</f>
        <v>0</v>
      </c>
      <c r="AP3" s="58"/>
      <c r="AQ3" s="58"/>
      <c r="AR3" s="58"/>
      <c r="AS3" s="58">
        <v>2</v>
      </c>
      <c r="AT3" s="59">
        <v>50</v>
      </c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</row>
    <row r="4" spans="1:65">
      <c r="A4" s="51" t="str">
        <f>VLOOKUP(Table3[[#This Row],[OU]],OU!$A$15:$B$34,2,FALSE)</f>
        <v>RFOs</v>
      </c>
      <c r="B4" s="47" t="s">
        <v>5</v>
      </c>
      <c r="C4" s="47" t="s">
        <v>574</v>
      </c>
      <c r="D4" s="47"/>
      <c r="E4" s="47" t="s">
        <v>43</v>
      </c>
      <c r="F4" s="47" t="s">
        <v>621</v>
      </c>
      <c r="G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23136000</v>
      </c>
      <c r="I4" s="52" t="str">
        <f>VLOOKUP(Table3[[#This Row],[PSGC]],DISTRICT!$D:$G,4,FALSE)</f>
        <v>4th</v>
      </c>
      <c r="J4" s="47" t="s">
        <v>575</v>
      </c>
      <c r="K4" s="51" t="str">
        <f>VLOOKUP(Table3[[#This Row],[SPECIFIC COMMODITY]],TAGS!$W$48:$X$53,2,FALSE)</f>
        <v>Corn</v>
      </c>
      <c r="L4" s="51" t="str">
        <f>VLOOKUP(Table3[[#This Row],[PREXC SUB-PROGRAM]],Table5[],2,FALSE)</f>
        <v>TECHNICAL AND SUPPORT SERVICES PROGRAM</v>
      </c>
      <c r="M4" s="51" t="str">
        <f>VLOOKUP(Table3[[#This Row],[COMMODITY PREXC SUB-PROGRAM]],TAGS!$U$54:$V$76,2,FALSE)</f>
        <v>PSS</v>
      </c>
      <c r="N4" s="47" t="s">
        <v>576</v>
      </c>
      <c r="O4" s="51" t="str">
        <f>VLOOKUP(Table3[[#This Row],[PI LEVEL 3]],'PI LEVEL'!A:C,3,FALSE)</f>
        <v>Seeds distributed</v>
      </c>
      <c r="P4" s="51" t="str">
        <f>VLOOKUP(Table3[[#This Row],[PI LEVEL 3]],Table53729[[Performance Indicator Level 3]:[Performance Indicator Level 1]],2,FALSE)</f>
        <v>Corn Seeds distributed</v>
      </c>
      <c r="Q4" s="51" t="str">
        <f>VLOOKUP(Table3[[#This Row],[ACTIVITY]],TAGS!B:P,2,FALSE)</f>
        <v>White Corn Seeds distributed</v>
      </c>
      <c r="R4" s="47" t="s">
        <v>24</v>
      </c>
      <c r="S4" s="51" t="str">
        <f>VLOOKUP(Table3[[#This Row],[ACTIVITY]],TAGS!$B:$P,4,FALSE)</f>
        <v>OPV Seed Production</v>
      </c>
      <c r="T4" s="51" t="str">
        <f>VLOOKUP(Table3[[#This Row],[ACTIVITY]],TAGS!$B:$P,5,FALSE)</f>
        <v>OPV Seed Production</v>
      </c>
      <c r="U4" s="51" t="str">
        <f>VLOOKUP(Table3[[#This Row],[ACTIVITY]],TAGS!$B:$P,6,FALSE)</f>
        <v>White corn seeds</v>
      </c>
      <c r="V4" s="51" t="str">
        <f>VLOOKUP(Table3[[#This Row],[ACTIVITY]],TAGS!$B:$P,7,FALSE)</f>
        <v>NO</v>
      </c>
      <c r="W4" s="51" t="str">
        <f>VLOOKUP(Table3[[#This Row],[ACTIVITY]],TAGS!$B:$P,8,FALSE)</f>
        <v>PAP</v>
      </c>
      <c r="X4" s="51" t="str">
        <f>VLOOKUP(Table3[[#This Row],[ACTIVITY]],TAGS!$B:$P,10,FALSE)</f>
        <v>PIP</v>
      </c>
      <c r="Y4" s="51" t="str">
        <f>VLOOKUP(Table3[[#This Row],[ACTIVITY]],TAGS!$B:$P,11,FALSE)</f>
        <v>PICS</v>
      </c>
      <c r="Z4" s="51" t="str">
        <f>VLOOKUP(Table3[[#This Row],[ACTIVITY]],TAGS!$B:$P,12,FALSE)</f>
        <v>Consolidation</v>
      </c>
      <c r="AA4" s="51" t="str">
        <f>VLOOKUP(Table3[[#This Row],[ACTIVITY]],TAGS!$B:$P,13,FALSE)</f>
        <v>1. Bayanihan Agri Cluster</v>
      </c>
      <c r="AB4" s="51" t="str">
        <f>VLOOKUP(Table3[[#This Row],[ACTIVITY]],TAGS!$B:$P,14,FALSE)</f>
        <v>EXPAND AND IMPROVE AVAILABLE AGRI-FISHERY AREAS FOR INCREASED PRODUCTION</v>
      </c>
      <c r="AC4" s="51" t="str">
        <f>VLOOKUP(Table3[[#This Row],[ACTIVITY]],TAGS!$B:$P,15,FALSE)</f>
        <v>Farm Inputs</v>
      </c>
      <c r="AD4" s="51" t="str">
        <f>VLOOKUP(Table3[[#This Row],[PI LEVEL 3]],'PI LEVEL'!$A:$G,7,FALSE)</f>
        <v>DA-Level Output</v>
      </c>
      <c r="AE4" s="47" t="s">
        <v>577</v>
      </c>
      <c r="AF4" s="51" t="str">
        <f>VLOOKUP(Table3[[#This Row],[ACTIVITY]],TAGS!$B:$P,3,FALSE)</f>
        <v>kilogram</v>
      </c>
      <c r="AG4" s="47" t="s">
        <v>332</v>
      </c>
      <c r="AH4" s="51" t="str">
        <f>VLOOKUP(Table3[[#This Row],[MONTH]],TAGS!$W$67:$Y$81,2,FALSE)</f>
        <v>2ND QTR</v>
      </c>
      <c r="AI4" s="51" t="str">
        <f>VLOOKUP(Table3[[#This Row],[MONTH]],TAGS!$W$67:$Y$81,3,FALSE)</f>
        <v>1ST SEMESTER</v>
      </c>
      <c r="AJ4" s="51">
        <f>VLOOKUP(Table3[[#This Row],[MONTH]],TAGS!$W$67:$Z$81,4,FALSE)</f>
        <v>2025</v>
      </c>
      <c r="AK4" s="47">
        <v>500</v>
      </c>
      <c r="AL4" s="51" t="str">
        <f>VLOOKUP(Table3[[#This Row],[ACTIVITY]],TAGS!$B:$R,16,FALSE)</f>
        <v>YES</v>
      </c>
      <c r="AM4" s="47">
        <v>25</v>
      </c>
      <c r="AN4" s="47">
        <v>25.25</v>
      </c>
      <c r="AO4" s="57">
        <f>SUM(Table3[[#This Row],[MALE BENEFICIARIES]:[FEMALE BENEFICIARIES]])</f>
        <v>0</v>
      </c>
      <c r="AP4" s="58"/>
      <c r="AQ4" s="58"/>
      <c r="AR4" s="58"/>
      <c r="AS4" s="58">
        <v>2</v>
      </c>
      <c r="AT4" s="59">
        <v>25</v>
      </c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</row>
    <row r="5" spans="1:65">
      <c r="A5" s="51" t="str">
        <f>VLOOKUP(Table3[[#This Row],[OU]],OU!$A$15:$B$34,2,FALSE)</f>
        <v>RFOs</v>
      </c>
      <c r="B5" s="47" t="s">
        <v>5</v>
      </c>
      <c r="C5" s="47" t="s">
        <v>574</v>
      </c>
      <c r="D5" s="47"/>
      <c r="E5" s="47" t="s">
        <v>43</v>
      </c>
      <c r="F5" s="47" t="s">
        <v>622</v>
      </c>
      <c r="G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23106000</v>
      </c>
      <c r="I5" s="52" t="str">
        <f>VLOOKUP(Table3[[#This Row],[PSGC]],DISTRICT!$D:$G,4,FALSE)</f>
        <v>1st</v>
      </c>
      <c r="J5" s="47" t="s">
        <v>575</v>
      </c>
      <c r="K5" s="51" t="str">
        <f>VLOOKUP(Table3[[#This Row],[SPECIFIC COMMODITY]],TAGS!$W$48:$X$53,2,FALSE)</f>
        <v>Corn</v>
      </c>
      <c r="L5" s="51" t="str">
        <f>VLOOKUP(Table3[[#This Row],[PREXC SUB-PROGRAM]],Table5[],2,FALSE)</f>
        <v>TECHNICAL AND SUPPORT SERVICES PROGRAM</v>
      </c>
      <c r="M5" s="51" t="str">
        <f>VLOOKUP(Table3[[#This Row],[COMMODITY PREXC SUB-PROGRAM]],TAGS!$U$54:$V$76,2,FALSE)</f>
        <v>PSS</v>
      </c>
      <c r="N5" s="47" t="s">
        <v>576</v>
      </c>
      <c r="O5" s="51" t="str">
        <f>VLOOKUP(Table3[[#This Row],[PI LEVEL 3]],'PI LEVEL'!A:C,3,FALSE)</f>
        <v>Seeds distributed</v>
      </c>
      <c r="P5" s="51" t="str">
        <f>VLOOKUP(Table3[[#This Row],[PI LEVEL 3]],Table53729[[Performance Indicator Level 3]:[Performance Indicator Level 1]],2,FALSE)</f>
        <v>Corn Seeds distributed</v>
      </c>
      <c r="Q5" s="51" t="str">
        <f>VLOOKUP(Table3[[#This Row],[ACTIVITY]],TAGS!B:P,2,FALSE)</f>
        <v>White Corn Seeds distributed</v>
      </c>
      <c r="R5" s="47" t="s">
        <v>24</v>
      </c>
      <c r="S5" s="51" t="str">
        <f>VLOOKUP(Table3[[#This Row],[ACTIVITY]],TAGS!$B:$P,4,FALSE)</f>
        <v>OPV Seed Production</v>
      </c>
      <c r="T5" s="51" t="str">
        <f>VLOOKUP(Table3[[#This Row],[ACTIVITY]],TAGS!$B:$P,5,FALSE)</f>
        <v>OPV Seed Production</v>
      </c>
      <c r="U5" s="51" t="str">
        <f>VLOOKUP(Table3[[#This Row],[ACTIVITY]],TAGS!$B:$P,6,FALSE)</f>
        <v>White corn seeds</v>
      </c>
      <c r="V5" s="51" t="str">
        <f>VLOOKUP(Table3[[#This Row],[ACTIVITY]],TAGS!$B:$P,7,FALSE)</f>
        <v>NO</v>
      </c>
      <c r="W5" s="51" t="str">
        <f>VLOOKUP(Table3[[#This Row],[ACTIVITY]],TAGS!$B:$P,8,FALSE)</f>
        <v>PAP</v>
      </c>
      <c r="X5" s="51" t="str">
        <f>VLOOKUP(Table3[[#This Row],[ACTIVITY]],TAGS!$B:$P,10,FALSE)</f>
        <v>PIP</v>
      </c>
      <c r="Y5" s="51" t="str">
        <f>VLOOKUP(Table3[[#This Row],[ACTIVITY]],TAGS!$B:$P,11,FALSE)</f>
        <v>PICS</v>
      </c>
      <c r="Z5" s="51" t="str">
        <f>VLOOKUP(Table3[[#This Row],[ACTIVITY]],TAGS!$B:$P,12,FALSE)</f>
        <v>Consolidation</v>
      </c>
      <c r="AA5" s="51" t="str">
        <f>VLOOKUP(Table3[[#This Row],[ACTIVITY]],TAGS!$B:$P,13,FALSE)</f>
        <v>1. Bayanihan Agri Cluster</v>
      </c>
      <c r="AB5" s="51" t="str">
        <f>VLOOKUP(Table3[[#This Row],[ACTIVITY]],TAGS!$B:$P,14,FALSE)</f>
        <v>EXPAND AND IMPROVE AVAILABLE AGRI-FISHERY AREAS FOR INCREASED PRODUCTION</v>
      </c>
      <c r="AC5" s="51" t="str">
        <f>VLOOKUP(Table3[[#This Row],[ACTIVITY]],TAGS!$B:$P,15,FALSE)</f>
        <v>Farm Inputs</v>
      </c>
      <c r="AD5" s="51" t="str">
        <f>VLOOKUP(Table3[[#This Row],[PI LEVEL 3]],'PI LEVEL'!$A:$G,7,FALSE)</f>
        <v>DA-Level Output</v>
      </c>
      <c r="AE5" s="47" t="s">
        <v>577</v>
      </c>
      <c r="AF5" s="51" t="str">
        <f>VLOOKUP(Table3[[#This Row],[ACTIVITY]],TAGS!$B:$P,3,FALSE)</f>
        <v>kilogram</v>
      </c>
      <c r="AG5" s="47" t="s">
        <v>332</v>
      </c>
      <c r="AH5" s="51" t="str">
        <f>VLOOKUP(Table3[[#This Row],[MONTH]],TAGS!$W$67:$Y$81,2,FALSE)</f>
        <v>2ND QTR</v>
      </c>
      <c r="AI5" s="51" t="str">
        <f>VLOOKUP(Table3[[#This Row],[MONTH]],TAGS!$W$67:$Y$81,3,FALSE)</f>
        <v>1ST SEMESTER</v>
      </c>
      <c r="AJ5" s="51">
        <f>VLOOKUP(Table3[[#This Row],[MONTH]],TAGS!$W$67:$Z$81,4,FALSE)</f>
        <v>2025</v>
      </c>
      <c r="AK5" s="47">
        <v>500</v>
      </c>
      <c r="AL5" s="51" t="str">
        <f>VLOOKUP(Table3[[#This Row],[ACTIVITY]],TAGS!$B:$R,16,FALSE)</f>
        <v>YES</v>
      </c>
      <c r="AM5" s="47">
        <v>25</v>
      </c>
      <c r="AN5" s="47">
        <v>25.25</v>
      </c>
      <c r="AO5" s="57">
        <f>SUM(Table3[[#This Row],[MALE BENEFICIARIES]:[FEMALE BENEFICIARIES]])</f>
        <v>0</v>
      </c>
      <c r="AP5" s="58"/>
      <c r="AQ5" s="58"/>
      <c r="AR5" s="58"/>
      <c r="AS5" s="58">
        <v>2</v>
      </c>
      <c r="AT5" s="59">
        <v>25</v>
      </c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</row>
    <row r="6" spans="1:65">
      <c r="A6" s="51" t="str">
        <f>VLOOKUP(Table3[[#This Row],[OU]],OU!$A$15:$B$34,2,FALSE)</f>
        <v>RFOs</v>
      </c>
      <c r="B6" s="47" t="s">
        <v>5</v>
      </c>
      <c r="C6" s="47" t="s">
        <v>574</v>
      </c>
      <c r="D6" s="47"/>
      <c r="E6" s="47" t="s">
        <v>43</v>
      </c>
      <c r="F6" s="47" t="s">
        <v>623</v>
      </c>
      <c r="G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23133000</v>
      </c>
      <c r="I6" s="52" t="str">
        <f>VLOOKUP(Table3[[#This Row],[PSGC]],DISTRICT!$D:$G,4,FALSE)</f>
        <v>2nd</v>
      </c>
      <c r="J6" s="47" t="s">
        <v>575</v>
      </c>
      <c r="K6" s="51" t="str">
        <f>VLOOKUP(Table3[[#This Row],[SPECIFIC COMMODITY]],TAGS!$W$48:$X$53,2,FALSE)</f>
        <v>Corn</v>
      </c>
      <c r="L6" s="51" t="str">
        <f>VLOOKUP(Table3[[#This Row],[PREXC SUB-PROGRAM]],Table5[],2,FALSE)</f>
        <v>TECHNICAL AND SUPPORT SERVICES PROGRAM</v>
      </c>
      <c r="M6" s="51" t="str">
        <f>VLOOKUP(Table3[[#This Row],[COMMODITY PREXC SUB-PROGRAM]],TAGS!$U$54:$V$76,2,FALSE)</f>
        <v>PSS</v>
      </c>
      <c r="N6" s="47" t="s">
        <v>576</v>
      </c>
      <c r="O6" s="51" t="str">
        <f>VLOOKUP(Table3[[#This Row],[PI LEVEL 3]],'PI LEVEL'!A:C,3,FALSE)</f>
        <v>Seeds distributed</v>
      </c>
      <c r="P6" s="51" t="str">
        <f>VLOOKUP(Table3[[#This Row],[PI LEVEL 3]],Table53729[[Performance Indicator Level 3]:[Performance Indicator Level 1]],2,FALSE)</f>
        <v>Corn Seeds distributed</v>
      </c>
      <c r="Q6" s="51" t="str">
        <f>VLOOKUP(Table3[[#This Row],[ACTIVITY]],TAGS!B:P,2,FALSE)</f>
        <v>White Corn Seeds distributed</v>
      </c>
      <c r="R6" s="47" t="s">
        <v>24</v>
      </c>
      <c r="S6" s="51" t="str">
        <f>VLOOKUP(Table3[[#This Row],[ACTIVITY]],TAGS!$B:$P,4,FALSE)</f>
        <v>OPV Seed Production</v>
      </c>
      <c r="T6" s="51" t="str">
        <f>VLOOKUP(Table3[[#This Row],[ACTIVITY]],TAGS!$B:$P,5,FALSE)</f>
        <v>OPV Seed Production</v>
      </c>
      <c r="U6" s="51" t="str">
        <f>VLOOKUP(Table3[[#This Row],[ACTIVITY]],TAGS!$B:$P,6,FALSE)</f>
        <v>White corn seeds</v>
      </c>
      <c r="V6" s="51" t="str">
        <f>VLOOKUP(Table3[[#This Row],[ACTIVITY]],TAGS!$B:$P,7,FALSE)</f>
        <v>NO</v>
      </c>
      <c r="W6" s="51" t="str">
        <f>VLOOKUP(Table3[[#This Row],[ACTIVITY]],TAGS!$B:$P,8,FALSE)</f>
        <v>PAP</v>
      </c>
      <c r="X6" s="51" t="str">
        <f>VLOOKUP(Table3[[#This Row],[ACTIVITY]],TAGS!$B:$P,10,FALSE)</f>
        <v>PIP</v>
      </c>
      <c r="Y6" s="51" t="str">
        <f>VLOOKUP(Table3[[#This Row],[ACTIVITY]],TAGS!$B:$P,11,FALSE)</f>
        <v>PICS</v>
      </c>
      <c r="Z6" s="51" t="str">
        <f>VLOOKUP(Table3[[#This Row],[ACTIVITY]],TAGS!$B:$P,12,FALSE)</f>
        <v>Consolidation</v>
      </c>
      <c r="AA6" s="51" t="str">
        <f>VLOOKUP(Table3[[#This Row],[ACTIVITY]],TAGS!$B:$P,13,FALSE)</f>
        <v>1. Bayanihan Agri Cluster</v>
      </c>
      <c r="AB6" s="51" t="str">
        <f>VLOOKUP(Table3[[#This Row],[ACTIVITY]],TAGS!$B:$P,14,FALSE)</f>
        <v>EXPAND AND IMPROVE AVAILABLE AGRI-FISHERY AREAS FOR INCREASED PRODUCTION</v>
      </c>
      <c r="AC6" s="51" t="str">
        <f>VLOOKUP(Table3[[#This Row],[ACTIVITY]],TAGS!$B:$P,15,FALSE)</f>
        <v>Farm Inputs</v>
      </c>
      <c r="AD6" s="51" t="str">
        <f>VLOOKUP(Table3[[#This Row],[PI LEVEL 3]],'PI LEVEL'!$A:$G,7,FALSE)</f>
        <v>DA-Level Output</v>
      </c>
      <c r="AE6" s="47" t="s">
        <v>577</v>
      </c>
      <c r="AF6" s="51" t="str">
        <f>VLOOKUP(Table3[[#This Row],[ACTIVITY]],TAGS!$B:$P,3,FALSE)</f>
        <v>kilogram</v>
      </c>
      <c r="AG6" s="47" t="s">
        <v>332</v>
      </c>
      <c r="AH6" s="51" t="str">
        <f>VLOOKUP(Table3[[#This Row],[MONTH]],TAGS!$W$67:$Y$81,2,FALSE)</f>
        <v>2ND QTR</v>
      </c>
      <c r="AI6" s="51" t="str">
        <f>VLOOKUP(Table3[[#This Row],[MONTH]],TAGS!$W$67:$Y$81,3,FALSE)</f>
        <v>1ST SEMESTER</v>
      </c>
      <c r="AJ6" s="51">
        <f>VLOOKUP(Table3[[#This Row],[MONTH]],TAGS!$W$67:$Z$81,4,FALSE)</f>
        <v>2025</v>
      </c>
      <c r="AK6" s="47">
        <v>500</v>
      </c>
      <c r="AL6" s="51" t="str">
        <f>VLOOKUP(Table3[[#This Row],[ACTIVITY]],TAGS!$B:$R,16,FALSE)</f>
        <v>YES</v>
      </c>
      <c r="AM6" s="47">
        <v>25</v>
      </c>
      <c r="AN6" s="47">
        <v>25.25</v>
      </c>
      <c r="AO6" s="57">
        <f>SUM(Table3[[#This Row],[MALE BENEFICIARIES]:[FEMALE BENEFICIARIES]])</f>
        <v>0</v>
      </c>
      <c r="AP6" s="58"/>
      <c r="AQ6" s="58"/>
      <c r="AR6" s="58"/>
      <c r="AS6" s="58">
        <v>1</v>
      </c>
      <c r="AT6" s="59">
        <v>25</v>
      </c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</row>
    <row r="7" spans="1:65">
      <c r="A7" s="51" t="str">
        <f>VLOOKUP(Table3[[#This Row],[OU]],OU!$A$15:$B$34,2,FALSE)</f>
        <v>RFOs</v>
      </c>
      <c r="B7" s="47" t="s">
        <v>5</v>
      </c>
      <c r="C7" s="47" t="s">
        <v>574</v>
      </c>
      <c r="D7" s="47"/>
      <c r="E7" s="47" t="s">
        <v>43</v>
      </c>
      <c r="F7" s="47" t="s">
        <v>624</v>
      </c>
      <c r="G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23134000</v>
      </c>
      <c r="I7" s="52" t="str">
        <f>VLOOKUP(Table3[[#This Row],[PSGC]],DISTRICT!$D:$G,4,FALSE)</f>
        <v>4th</v>
      </c>
      <c r="J7" s="47" t="s">
        <v>575</v>
      </c>
      <c r="K7" s="51" t="str">
        <f>VLOOKUP(Table3[[#This Row],[SPECIFIC COMMODITY]],TAGS!$W$48:$X$53,2,FALSE)</f>
        <v>Corn</v>
      </c>
      <c r="L7" s="51" t="str">
        <f>VLOOKUP(Table3[[#This Row],[PREXC SUB-PROGRAM]],Table5[],2,FALSE)</f>
        <v>TECHNICAL AND SUPPORT SERVICES PROGRAM</v>
      </c>
      <c r="M7" s="51" t="str">
        <f>VLOOKUP(Table3[[#This Row],[COMMODITY PREXC SUB-PROGRAM]],TAGS!$U$54:$V$76,2,FALSE)</f>
        <v>PSS</v>
      </c>
      <c r="N7" s="47" t="s">
        <v>576</v>
      </c>
      <c r="O7" s="51" t="str">
        <f>VLOOKUP(Table3[[#This Row],[PI LEVEL 3]],'PI LEVEL'!A:C,3,FALSE)</f>
        <v>Seeds distributed</v>
      </c>
      <c r="P7" s="51" t="str">
        <f>VLOOKUP(Table3[[#This Row],[PI LEVEL 3]],Table53729[[Performance Indicator Level 3]:[Performance Indicator Level 1]],2,FALSE)</f>
        <v>Corn Seeds distributed</v>
      </c>
      <c r="Q7" s="51" t="str">
        <f>VLOOKUP(Table3[[#This Row],[ACTIVITY]],TAGS!B:P,2,FALSE)</f>
        <v>White Corn Seeds distributed</v>
      </c>
      <c r="R7" s="47" t="s">
        <v>24</v>
      </c>
      <c r="S7" s="51" t="str">
        <f>VLOOKUP(Table3[[#This Row],[ACTIVITY]],TAGS!$B:$P,4,FALSE)</f>
        <v>OPV Seed Production</v>
      </c>
      <c r="T7" s="51" t="str">
        <f>VLOOKUP(Table3[[#This Row],[ACTIVITY]],TAGS!$B:$P,5,FALSE)</f>
        <v>OPV Seed Production</v>
      </c>
      <c r="U7" s="51" t="str">
        <f>VLOOKUP(Table3[[#This Row],[ACTIVITY]],TAGS!$B:$P,6,FALSE)</f>
        <v>White corn seeds</v>
      </c>
      <c r="V7" s="51" t="str">
        <f>VLOOKUP(Table3[[#This Row],[ACTIVITY]],TAGS!$B:$P,7,FALSE)</f>
        <v>NO</v>
      </c>
      <c r="W7" s="51" t="str">
        <f>VLOOKUP(Table3[[#This Row],[ACTIVITY]],TAGS!$B:$P,8,FALSE)</f>
        <v>PAP</v>
      </c>
      <c r="X7" s="51" t="str">
        <f>VLOOKUP(Table3[[#This Row],[ACTIVITY]],TAGS!$B:$P,10,FALSE)</f>
        <v>PIP</v>
      </c>
      <c r="Y7" s="51" t="str">
        <f>VLOOKUP(Table3[[#This Row],[ACTIVITY]],TAGS!$B:$P,11,FALSE)</f>
        <v>PICS</v>
      </c>
      <c r="Z7" s="51" t="str">
        <f>VLOOKUP(Table3[[#This Row],[ACTIVITY]],TAGS!$B:$P,12,FALSE)</f>
        <v>Consolidation</v>
      </c>
      <c r="AA7" s="51" t="str">
        <f>VLOOKUP(Table3[[#This Row],[ACTIVITY]],TAGS!$B:$P,13,FALSE)</f>
        <v>1. Bayanihan Agri Cluster</v>
      </c>
      <c r="AB7" s="51" t="str">
        <f>VLOOKUP(Table3[[#This Row],[ACTIVITY]],TAGS!$B:$P,14,FALSE)</f>
        <v>EXPAND AND IMPROVE AVAILABLE AGRI-FISHERY AREAS FOR INCREASED PRODUCTION</v>
      </c>
      <c r="AC7" s="51" t="str">
        <f>VLOOKUP(Table3[[#This Row],[ACTIVITY]],TAGS!$B:$P,15,FALSE)</f>
        <v>Farm Inputs</v>
      </c>
      <c r="AD7" s="51" t="str">
        <f>VLOOKUP(Table3[[#This Row],[PI LEVEL 3]],'PI LEVEL'!$A:$G,7,FALSE)</f>
        <v>DA-Level Output</v>
      </c>
      <c r="AE7" s="47" t="s">
        <v>577</v>
      </c>
      <c r="AF7" s="51" t="str">
        <f>VLOOKUP(Table3[[#This Row],[ACTIVITY]],TAGS!$B:$P,3,FALSE)</f>
        <v>kilogram</v>
      </c>
      <c r="AG7" s="47" t="s">
        <v>332</v>
      </c>
      <c r="AH7" s="51" t="str">
        <f>VLOOKUP(Table3[[#This Row],[MONTH]],TAGS!$W$67:$Y$81,2,FALSE)</f>
        <v>2ND QTR</v>
      </c>
      <c r="AI7" s="51" t="str">
        <f>VLOOKUP(Table3[[#This Row],[MONTH]],TAGS!$W$67:$Y$81,3,FALSE)</f>
        <v>1ST SEMESTER</v>
      </c>
      <c r="AJ7" s="51">
        <f>VLOOKUP(Table3[[#This Row],[MONTH]],TAGS!$W$67:$Z$81,4,FALSE)</f>
        <v>2025</v>
      </c>
      <c r="AK7" s="47">
        <v>500</v>
      </c>
      <c r="AL7" s="51" t="str">
        <f>VLOOKUP(Table3[[#This Row],[ACTIVITY]],TAGS!$B:$R,16,FALSE)</f>
        <v>YES</v>
      </c>
      <c r="AM7" s="47">
        <v>25</v>
      </c>
      <c r="AN7" s="47">
        <v>25.25</v>
      </c>
      <c r="AO7" s="57">
        <f>SUM(Table3[[#This Row],[MALE BENEFICIARIES]:[FEMALE BENEFICIARIES]])</f>
        <v>0</v>
      </c>
      <c r="AP7" s="58"/>
      <c r="AQ7" s="58"/>
      <c r="AR7" s="58"/>
      <c r="AS7" s="58">
        <v>2</v>
      </c>
      <c r="AT7" s="59">
        <v>25</v>
      </c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</row>
    <row r="8" spans="1:65">
      <c r="A8" s="51" t="str">
        <f>VLOOKUP(Table3[[#This Row],[OU]],OU!$A$15:$B$34,2,FALSE)</f>
        <v>RFOs</v>
      </c>
      <c r="B8" s="47" t="s">
        <v>5</v>
      </c>
      <c r="C8" s="47" t="s">
        <v>574</v>
      </c>
      <c r="D8" s="47"/>
      <c r="E8" s="47" t="s">
        <v>43</v>
      </c>
      <c r="F8" s="47" t="s">
        <v>621</v>
      </c>
      <c r="G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23136000</v>
      </c>
      <c r="I8" s="52" t="str">
        <f>VLOOKUP(Table3[[#This Row],[PSGC]],DISTRICT!$D:$G,4,FALSE)</f>
        <v>4th</v>
      </c>
      <c r="J8" s="47" t="s">
        <v>575</v>
      </c>
      <c r="K8" s="51" t="str">
        <f>VLOOKUP(Table3[[#This Row],[SPECIFIC COMMODITY]],TAGS!$W$48:$X$53,2,FALSE)</f>
        <v>Corn</v>
      </c>
      <c r="L8" s="51" t="str">
        <f>VLOOKUP(Table3[[#This Row],[PREXC SUB-PROGRAM]],Table5[],2,FALSE)</f>
        <v>TECHNICAL AND SUPPORT SERVICES PROGRAM</v>
      </c>
      <c r="M8" s="51" t="str">
        <f>VLOOKUP(Table3[[#This Row],[COMMODITY PREXC SUB-PROGRAM]],TAGS!$U$54:$V$76,2,FALSE)</f>
        <v>PSS</v>
      </c>
      <c r="N8" s="47" t="s">
        <v>576</v>
      </c>
      <c r="O8" s="51" t="str">
        <f>VLOOKUP(Table3[[#This Row],[PI LEVEL 3]],'PI LEVEL'!A:C,3,FALSE)</f>
        <v>Seeds distributed</v>
      </c>
      <c r="P8" s="51" t="str">
        <f>VLOOKUP(Table3[[#This Row],[PI LEVEL 3]],Table53729[[Performance Indicator Level 3]:[Performance Indicator Level 1]],2,FALSE)</f>
        <v>Corn Seeds distributed</v>
      </c>
      <c r="Q8" s="51" t="str">
        <f>VLOOKUP(Table3[[#This Row],[ACTIVITY]],TAGS!B:P,2,FALSE)</f>
        <v>White Corn Seeds distributed</v>
      </c>
      <c r="R8" s="47" t="s">
        <v>24</v>
      </c>
      <c r="S8" s="51" t="str">
        <f>VLOOKUP(Table3[[#This Row],[ACTIVITY]],TAGS!$B:$P,4,FALSE)</f>
        <v>OPV Seed Production</v>
      </c>
      <c r="T8" s="51" t="str">
        <f>VLOOKUP(Table3[[#This Row],[ACTIVITY]],TAGS!$B:$P,5,FALSE)</f>
        <v>OPV Seed Production</v>
      </c>
      <c r="U8" s="51" t="str">
        <f>VLOOKUP(Table3[[#This Row],[ACTIVITY]],TAGS!$B:$P,6,FALSE)</f>
        <v>White corn seeds</v>
      </c>
      <c r="V8" s="51" t="str">
        <f>VLOOKUP(Table3[[#This Row],[ACTIVITY]],TAGS!$B:$P,7,FALSE)</f>
        <v>NO</v>
      </c>
      <c r="W8" s="51" t="str">
        <f>VLOOKUP(Table3[[#This Row],[ACTIVITY]],TAGS!$B:$P,8,FALSE)</f>
        <v>PAP</v>
      </c>
      <c r="X8" s="51" t="str">
        <f>VLOOKUP(Table3[[#This Row],[ACTIVITY]],TAGS!$B:$P,10,FALSE)</f>
        <v>PIP</v>
      </c>
      <c r="Y8" s="51" t="str">
        <f>VLOOKUP(Table3[[#This Row],[ACTIVITY]],TAGS!$B:$P,11,FALSE)</f>
        <v>PICS</v>
      </c>
      <c r="Z8" s="51" t="str">
        <f>VLOOKUP(Table3[[#This Row],[ACTIVITY]],TAGS!$B:$P,12,FALSE)</f>
        <v>Consolidation</v>
      </c>
      <c r="AA8" s="51" t="str">
        <f>VLOOKUP(Table3[[#This Row],[ACTIVITY]],TAGS!$B:$P,13,FALSE)</f>
        <v>1. Bayanihan Agri Cluster</v>
      </c>
      <c r="AB8" s="51" t="str">
        <f>VLOOKUP(Table3[[#This Row],[ACTIVITY]],TAGS!$B:$P,14,FALSE)</f>
        <v>EXPAND AND IMPROVE AVAILABLE AGRI-FISHERY AREAS FOR INCREASED PRODUCTION</v>
      </c>
      <c r="AC8" s="51" t="str">
        <f>VLOOKUP(Table3[[#This Row],[ACTIVITY]],TAGS!$B:$P,15,FALSE)</f>
        <v>Farm Inputs</v>
      </c>
      <c r="AD8" s="51" t="str">
        <f>VLOOKUP(Table3[[#This Row],[PI LEVEL 3]],'PI LEVEL'!$A:$G,7,FALSE)</f>
        <v>DA-Level Output</v>
      </c>
      <c r="AE8" s="47" t="s">
        <v>577</v>
      </c>
      <c r="AF8" s="51" t="str">
        <f>VLOOKUP(Table3[[#This Row],[ACTIVITY]],TAGS!$B:$P,3,FALSE)</f>
        <v>kilogram</v>
      </c>
      <c r="AG8" s="47" t="s">
        <v>336</v>
      </c>
      <c r="AH8" s="51" t="str">
        <f>VLOOKUP(Table3[[#This Row],[MONTH]],TAGS!$W$67:$Y$81,2,FALSE)</f>
        <v>4TH QTR</v>
      </c>
      <c r="AI8" s="51" t="str">
        <f>VLOOKUP(Table3[[#This Row],[MONTH]],TAGS!$W$67:$Y$81,3,FALSE)</f>
        <v>2ND SEMESTER</v>
      </c>
      <c r="AJ8" s="51">
        <f>VLOOKUP(Table3[[#This Row],[MONTH]],TAGS!$W$67:$Z$81,4,FALSE)</f>
        <v>2025</v>
      </c>
      <c r="AK8" s="47">
        <v>500</v>
      </c>
      <c r="AL8" s="51" t="str">
        <f>VLOOKUP(Table3[[#This Row],[ACTIVITY]],TAGS!$B:$R,16,FALSE)</f>
        <v>YES</v>
      </c>
      <c r="AM8" s="47">
        <v>25</v>
      </c>
      <c r="AN8" s="47">
        <v>25.25</v>
      </c>
      <c r="AO8" s="57">
        <f>SUM(Table3[[#This Row],[MALE BENEFICIARIES]:[FEMALE BENEFICIARIES]])</f>
        <v>0</v>
      </c>
      <c r="AP8" s="58"/>
      <c r="AQ8" s="58"/>
      <c r="AR8" s="58"/>
      <c r="AS8" s="58">
        <v>1</v>
      </c>
      <c r="AT8" s="59">
        <v>25</v>
      </c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</row>
    <row r="9" spans="1:65">
      <c r="A9" s="51" t="str">
        <f>VLOOKUP(Table3[[#This Row],[OU]],OU!$A$15:$B$34,2,FALSE)</f>
        <v>RFOs</v>
      </c>
      <c r="B9" s="47" t="s">
        <v>5</v>
      </c>
      <c r="C9" s="47" t="s">
        <v>574</v>
      </c>
      <c r="D9" s="47"/>
      <c r="E9" s="47" t="s">
        <v>43</v>
      </c>
      <c r="F9" s="47" t="s">
        <v>622</v>
      </c>
      <c r="G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23106000</v>
      </c>
      <c r="I9" s="52" t="str">
        <f>VLOOKUP(Table3[[#This Row],[PSGC]],DISTRICT!$D:$G,4,FALSE)</f>
        <v>1st</v>
      </c>
      <c r="J9" s="47" t="s">
        <v>575</v>
      </c>
      <c r="K9" s="51" t="str">
        <f>VLOOKUP(Table3[[#This Row],[SPECIFIC COMMODITY]],TAGS!$W$48:$X$53,2,FALSE)</f>
        <v>Corn</v>
      </c>
      <c r="L9" s="51" t="str">
        <f>VLOOKUP(Table3[[#This Row],[PREXC SUB-PROGRAM]],Table5[],2,FALSE)</f>
        <v>TECHNICAL AND SUPPORT SERVICES PROGRAM</v>
      </c>
      <c r="M9" s="51" t="str">
        <f>VLOOKUP(Table3[[#This Row],[COMMODITY PREXC SUB-PROGRAM]],TAGS!$U$54:$V$76,2,FALSE)</f>
        <v>PSS</v>
      </c>
      <c r="N9" s="47" t="s">
        <v>576</v>
      </c>
      <c r="O9" s="51" t="str">
        <f>VLOOKUP(Table3[[#This Row],[PI LEVEL 3]],'PI LEVEL'!A:C,3,FALSE)</f>
        <v>Seeds distributed</v>
      </c>
      <c r="P9" s="51" t="str">
        <f>VLOOKUP(Table3[[#This Row],[PI LEVEL 3]],Table53729[[Performance Indicator Level 3]:[Performance Indicator Level 1]],2,FALSE)</f>
        <v>Corn Seeds distributed</v>
      </c>
      <c r="Q9" s="51" t="str">
        <f>VLOOKUP(Table3[[#This Row],[ACTIVITY]],TAGS!B:P,2,FALSE)</f>
        <v>White Corn Seeds distributed</v>
      </c>
      <c r="R9" s="47" t="s">
        <v>24</v>
      </c>
      <c r="S9" s="51" t="str">
        <f>VLOOKUP(Table3[[#This Row],[ACTIVITY]],TAGS!$B:$P,4,FALSE)</f>
        <v>OPV Seed Production</v>
      </c>
      <c r="T9" s="51" t="str">
        <f>VLOOKUP(Table3[[#This Row],[ACTIVITY]],TAGS!$B:$P,5,FALSE)</f>
        <v>OPV Seed Production</v>
      </c>
      <c r="U9" s="51" t="str">
        <f>VLOOKUP(Table3[[#This Row],[ACTIVITY]],TAGS!$B:$P,6,FALSE)</f>
        <v>White corn seeds</v>
      </c>
      <c r="V9" s="51" t="str">
        <f>VLOOKUP(Table3[[#This Row],[ACTIVITY]],TAGS!$B:$P,7,FALSE)</f>
        <v>NO</v>
      </c>
      <c r="W9" s="51" t="str">
        <f>VLOOKUP(Table3[[#This Row],[ACTIVITY]],TAGS!$B:$P,8,FALSE)</f>
        <v>PAP</v>
      </c>
      <c r="X9" s="51" t="str">
        <f>VLOOKUP(Table3[[#This Row],[ACTIVITY]],TAGS!$B:$P,10,FALSE)</f>
        <v>PIP</v>
      </c>
      <c r="Y9" s="51" t="str">
        <f>VLOOKUP(Table3[[#This Row],[ACTIVITY]],TAGS!$B:$P,11,FALSE)</f>
        <v>PICS</v>
      </c>
      <c r="Z9" s="51" t="str">
        <f>VLOOKUP(Table3[[#This Row],[ACTIVITY]],TAGS!$B:$P,12,FALSE)</f>
        <v>Consolidation</v>
      </c>
      <c r="AA9" s="51" t="str">
        <f>VLOOKUP(Table3[[#This Row],[ACTIVITY]],TAGS!$B:$P,13,FALSE)</f>
        <v>1. Bayanihan Agri Cluster</v>
      </c>
      <c r="AB9" s="51" t="str">
        <f>VLOOKUP(Table3[[#This Row],[ACTIVITY]],TAGS!$B:$P,14,FALSE)</f>
        <v>EXPAND AND IMPROVE AVAILABLE AGRI-FISHERY AREAS FOR INCREASED PRODUCTION</v>
      </c>
      <c r="AC9" s="51" t="str">
        <f>VLOOKUP(Table3[[#This Row],[ACTIVITY]],TAGS!$B:$P,15,FALSE)</f>
        <v>Farm Inputs</v>
      </c>
      <c r="AD9" s="51" t="str">
        <f>VLOOKUP(Table3[[#This Row],[PI LEVEL 3]],'PI LEVEL'!$A:$G,7,FALSE)</f>
        <v>DA-Level Output</v>
      </c>
      <c r="AE9" s="47" t="s">
        <v>577</v>
      </c>
      <c r="AF9" s="51" t="str">
        <f>VLOOKUP(Table3[[#This Row],[ACTIVITY]],TAGS!$B:$P,3,FALSE)</f>
        <v>kilogram</v>
      </c>
      <c r="AG9" s="47" t="s">
        <v>336</v>
      </c>
      <c r="AH9" s="51" t="str">
        <f>VLOOKUP(Table3[[#This Row],[MONTH]],TAGS!$W$67:$Y$81,2,FALSE)</f>
        <v>4TH QTR</v>
      </c>
      <c r="AI9" s="51" t="str">
        <f>VLOOKUP(Table3[[#This Row],[MONTH]],TAGS!$W$67:$Y$81,3,FALSE)</f>
        <v>2ND SEMESTER</v>
      </c>
      <c r="AJ9" s="51">
        <f>VLOOKUP(Table3[[#This Row],[MONTH]],TAGS!$W$67:$Z$81,4,FALSE)</f>
        <v>2025</v>
      </c>
      <c r="AK9" s="47">
        <v>500</v>
      </c>
      <c r="AL9" s="51" t="str">
        <f>VLOOKUP(Table3[[#This Row],[ACTIVITY]],TAGS!$B:$R,16,FALSE)</f>
        <v>YES</v>
      </c>
      <c r="AM9" s="47">
        <v>25</v>
      </c>
      <c r="AN9" s="47">
        <v>25.25</v>
      </c>
      <c r="AO9" s="57">
        <f>SUM(Table3[[#This Row],[MALE BENEFICIARIES]:[FEMALE BENEFICIARIES]])</f>
        <v>0</v>
      </c>
      <c r="AP9" s="58"/>
      <c r="AQ9" s="58"/>
      <c r="AR9" s="58"/>
      <c r="AS9" s="58">
        <v>1</v>
      </c>
      <c r="AT9" s="59">
        <v>25</v>
      </c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</row>
    <row r="10" spans="1:65">
      <c r="A10" s="51" t="str">
        <f>VLOOKUP(Table3[[#This Row],[OU]],OU!$A$15:$B$34,2,FALSE)</f>
        <v>RFOs</v>
      </c>
      <c r="B10" s="47" t="s">
        <v>5</v>
      </c>
      <c r="C10" s="47" t="s">
        <v>574</v>
      </c>
      <c r="D10" s="47"/>
      <c r="E10" s="47" t="s">
        <v>43</v>
      </c>
      <c r="F10" s="47" t="s">
        <v>623</v>
      </c>
      <c r="G1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1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23133000</v>
      </c>
      <c r="I10" s="52" t="str">
        <f>VLOOKUP(Table3[[#This Row],[PSGC]],DISTRICT!$D:$G,4,FALSE)</f>
        <v>2nd</v>
      </c>
      <c r="J10" s="47" t="s">
        <v>575</v>
      </c>
      <c r="K10" s="51" t="str">
        <f>VLOOKUP(Table3[[#This Row],[SPECIFIC COMMODITY]],TAGS!$W$48:$X$53,2,FALSE)</f>
        <v>Corn</v>
      </c>
      <c r="L10" s="51" t="str">
        <f>VLOOKUP(Table3[[#This Row],[PREXC SUB-PROGRAM]],Table5[],2,FALSE)</f>
        <v>TECHNICAL AND SUPPORT SERVICES PROGRAM</v>
      </c>
      <c r="M10" s="51" t="str">
        <f>VLOOKUP(Table3[[#This Row],[COMMODITY PREXC SUB-PROGRAM]],TAGS!$U$54:$V$76,2,FALSE)</f>
        <v>PSS</v>
      </c>
      <c r="N10" s="47" t="s">
        <v>576</v>
      </c>
      <c r="O10" s="51" t="str">
        <f>VLOOKUP(Table3[[#This Row],[PI LEVEL 3]],'PI LEVEL'!A:C,3,FALSE)</f>
        <v>Seeds distributed</v>
      </c>
      <c r="P10" s="51" t="str">
        <f>VLOOKUP(Table3[[#This Row],[PI LEVEL 3]],Table53729[[Performance Indicator Level 3]:[Performance Indicator Level 1]],2,FALSE)</f>
        <v>Corn Seeds distributed</v>
      </c>
      <c r="Q10" s="51" t="str">
        <f>VLOOKUP(Table3[[#This Row],[ACTIVITY]],TAGS!B:P,2,FALSE)</f>
        <v>White Corn Seeds distributed</v>
      </c>
      <c r="R10" s="47" t="s">
        <v>24</v>
      </c>
      <c r="S10" s="51" t="str">
        <f>VLOOKUP(Table3[[#This Row],[ACTIVITY]],TAGS!$B:$P,4,FALSE)</f>
        <v>OPV Seed Production</v>
      </c>
      <c r="T10" s="51" t="str">
        <f>VLOOKUP(Table3[[#This Row],[ACTIVITY]],TAGS!$B:$P,5,FALSE)</f>
        <v>OPV Seed Production</v>
      </c>
      <c r="U10" s="51" t="str">
        <f>VLOOKUP(Table3[[#This Row],[ACTIVITY]],TAGS!$B:$P,6,FALSE)</f>
        <v>White corn seeds</v>
      </c>
      <c r="V10" s="51" t="str">
        <f>VLOOKUP(Table3[[#This Row],[ACTIVITY]],TAGS!$B:$P,7,FALSE)</f>
        <v>NO</v>
      </c>
      <c r="W10" s="51" t="str">
        <f>VLOOKUP(Table3[[#This Row],[ACTIVITY]],TAGS!$B:$P,8,FALSE)</f>
        <v>PAP</v>
      </c>
      <c r="X10" s="51" t="str">
        <f>VLOOKUP(Table3[[#This Row],[ACTIVITY]],TAGS!$B:$P,10,FALSE)</f>
        <v>PIP</v>
      </c>
      <c r="Y10" s="51" t="str">
        <f>VLOOKUP(Table3[[#This Row],[ACTIVITY]],TAGS!$B:$P,11,FALSE)</f>
        <v>PICS</v>
      </c>
      <c r="Z10" s="51" t="str">
        <f>VLOOKUP(Table3[[#This Row],[ACTIVITY]],TAGS!$B:$P,12,FALSE)</f>
        <v>Consolidation</v>
      </c>
      <c r="AA10" s="51" t="str">
        <f>VLOOKUP(Table3[[#This Row],[ACTIVITY]],TAGS!$B:$P,13,FALSE)</f>
        <v>1. Bayanihan Agri Cluster</v>
      </c>
      <c r="AB10" s="51" t="str">
        <f>VLOOKUP(Table3[[#This Row],[ACTIVITY]],TAGS!$B:$P,14,FALSE)</f>
        <v>EXPAND AND IMPROVE AVAILABLE AGRI-FISHERY AREAS FOR INCREASED PRODUCTION</v>
      </c>
      <c r="AC10" s="51" t="str">
        <f>VLOOKUP(Table3[[#This Row],[ACTIVITY]],TAGS!$B:$P,15,FALSE)</f>
        <v>Farm Inputs</v>
      </c>
      <c r="AD10" s="51" t="str">
        <f>VLOOKUP(Table3[[#This Row],[PI LEVEL 3]],'PI LEVEL'!$A:$G,7,FALSE)</f>
        <v>DA-Level Output</v>
      </c>
      <c r="AE10" s="47" t="s">
        <v>577</v>
      </c>
      <c r="AF10" s="51" t="str">
        <f>VLOOKUP(Table3[[#This Row],[ACTIVITY]],TAGS!$B:$P,3,FALSE)</f>
        <v>kilogram</v>
      </c>
      <c r="AG10" s="47" t="s">
        <v>336</v>
      </c>
      <c r="AH10" s="51" t="str">
        <f>VLOOKUP(Table3[[#This Row],[MONTH]],TAGS!$W$67:$Y$81,2,FALSE)</f>
        <v>4TH QTR</v>
      </c>
      <c r="AI10" s="51" t="str">
        <f>VLOOKUP(Table3[[#This Row],[MONTH]],TAGS!$W$67:$Y$81,3,FALSE)</f>
        <v>2ND SEMESTER</v>
      </c>
      <c r="AJ10" s="51">
        <f>VLOOKUP(Table3[[#This Row],[MONTH]],TAGS!$W$67:$Z$81,4,FALSE)</f>
        <v>2025</v>
      </c>
      <c r="AK10" s="47">
        <v>500</v>
      </c>
      <c r="AL10" s="51" t="str">
        <f>VLOOKUP(Table3[[#This Row],[ACTIVITY]],TAGS!$B:$R,16,FALSE)</f>
        <v>YES</v>
      </c>
      <c r="AM10" s="47">
        <v>25</v>
      </c>
      <c r="AN10" s="47">
        <v>25.25</v>
      </c>
      <c r="AO10" s="57">
        <f>SUM(Table3[[#This Row],[MALE BENEFICIARIES]:[FEMALE BENEFICIARIES]])</f>
        <v>0</v>
      </c>
      <c r="AP10" s="58"/>
      <c r="AQ10" s="58"/>
      <c r="AR10" s="58"/>
      <c r="AS10" s="58">
        <v>1</v>
      </c>
      <c r="AT10" s="59">
        <v>25</v>
      </c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</row>
    <row r="11" spans="1:65">
      <c r="A11" s="51" t="str">
        <f>VLOOKUP(Table3[[#This Row],[OU]],OU!$A$15:$B$34,2,FALSE)</f>
        <v>RFOs</v>
      </c>
      <c r="B11" s="47" t="s">
        <v>5</v>
      </c>
      <c r="C11" s="47" t="s">
        <v>574</v>
      </c>
      <c r="D11" s="47"/>
      <c r="E11" s="47" t="s">
        <v>43</v>
      </c>
      <c r="F11" s="47" t="s">
        <v>624</v>
      </c>
      <c r="G1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1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23134000</v>
      </c>
      <c r="I11" s="52" t="str">
        <f>VLOOKUP(Table3[[#This Row],[PSGC]],DISTRICT!$D:$G,4,FALSE)</f>
        <v>4th</v>
      </c>
      <c r="J11" s="47" t="s">
        <v>575</v>
      </c>
      <c r="K11" s="51" t="str">
        <f>VLOOKUP(Table3[[#This Row],[SPECIFIC COMMODITY]],TAGS!$W$48:$X$53,2,FALSE)</f>
        <v>Corn</v>
      </c>
      <c r="L11" s="51" t="str">
        <f>VLOOKUP(Table3[[#This Row],[PREXC SUB-PROGRAM]],Table5[],2,FALSE)</f>
        <v>TECHNICAL AND SUPPORT SERVICES PROGRAM</v>
      </c>
      <c r="M11" s="51" t="str">
        <f>VLOOKUP(Table3[[#This Row],[COMMODITY PREXC SUB-PROGRAM]],TAGS!$U$54:$V$76,2,FALSE)</f>
        <v>PSS</v>
      </c>
      <c r="N11" s="47" t="s">
        <v>576</v>
      </c>
      <c r="O11" s="51" t="str">
        <f>VLOOKUP(Table3[[#This Row],[PI LEVEL 3]],'PI LEVEL'!A:C,3,FALSE)</f>
        <v>Seeds distributed</v>
      </c>
      <c r="P11" s="51" t="str">
        <f>VLOOKUP(Table3[[#This Row],[PI LEVEL 3]],Table53729[[Performance Indicator Level 3]:[Performance Indicator Level 1]],2,FALSE)</f>
        <v>Corn Seeds distributed</v>
      </c>
      <c r="Q11" s="51" t="str">
        <f>VLOOKUP(Table3[[#This Row],[ACTIVITY]],TAGS!B:P,2,FALSE)</f>
        <v>White Corn Seeds distributed</v>
      </c>
      <c r="R11" s="47" t="s">
        <v>24</v>
      </c>
      <c r="S11" s="51" t="str">
        <f>VLOOKUP(Table3[[#This Row],[ACTIVITY]],TAGS!$B:$P,4,FALSE)</f>
        <v>OPV Seed Production</v>
      </c>
      <c r="T11" s="51" t="str">
        <f>VLOOKUP(Table3[[#This Row],[ACTIVITY]],TAGS!$B:$P,5,FALSE)</f>
        <v>OPV Seed Production</v>
      </c>
      <c r="U11" s="51" t="str">
        <f>VLOOKUP(Table3[[#This Row],[ACTIVITY]],TAGS!$B:$P,6,FALSE)</f>
        <v>White corn seeds</v>
      </c>
      <c r="V11" s="51" t="str">
        <f>VLOOKUP(Table3[[#This Row],[ACTIVITY]],TAGS!$B:$P,7,FALSE)</f>
        <v>NO</v>
      </c>
      <c r="W11" s="51" t="str">
        <f>VLOOKUP(Table3[[#This Row],[ACTIVITY]],TAGS!$B:$P,8,FALSE)</f>
        <v>PAP</v>
      </c>
      <c r="X11" s="51" t="str">
        <f>VLOOKUP(Table3[[#This Row],[ACTIVITY]],TAGS!$B:$P,10,FALSE)</f>
        <v>PIP</v>
      </c>
      <c r="Y11" s="51" t="str">
        <f>VLOOKUP(Table3[[#This Row],[ACTIVITY]],TAGS!$B:$P,11,FALSE)</f>
        <v>PICS</v>
      </c>
      <c r="Z11" s="51" t="str">
        <f>VLOOKUP(Table3[[#This Row],[ACTIVITY]],TAGS!$B:$P,12,FALSE)</f>
        <v>Consolidation</v>
      </c>
      <c r="AA11" s="51" t="str">
        <f>VLOOKUP(Table3[[#This Row],[ACTIVITY]],TAGS!$B:$P,13,FALSE)</f>
        <v>1. Bayanihan Agri Cluster</v>
      </c>
      <c r="AB11" s="51" t="str">
        <f>VLOOKUP(Table3[[#This Row],[ACTIVITY]],TAGS!$B:$P,14,FALSE)</f>
        <v>EXPAND AND IMPROVE AVAILABLE AGRI-FISHERY AREAS FOR INCREASED PRODUCTION</v>
      </c>
      <c r="AC11" s="51" t="str">
        <f>VLOOKUP(Table3[[#This Row],[ACTIVITY]],TAGS!$B:$P,15,FALSE)</f>
        <v>Farm Inputs</v>
      </c>
      <c r="AD11" s="51" t="str">
        <f>VLOOKUP(Table3[[#This Row],[PI LEVEL 3]],'PI LEVEL'!$A:$G,7,FALSE)</f>
        <v>DA-Level Output</v>
      </c>
      <c r="AE11" s="47" t="s">
        <v>577</v>
      </c>
      <c r="AF11" s="51" t="str">
        <f>VLOOKUP(Table3[[#This Row],[ACTIVITY]],TAGS!$B:$P,3,FALSE)</f>
        <v>kilogram</v>
      </c>
      <c r="AG11" s="47" t="s">
        <v>336</v>
      </c>
      <c r="AH11" s="51" t="str">
        <f>VLOOKUP(Table3[[#This Row],[MONTH]],TAGS!$W$67:$Y$81,2,FALSE)</f>
        <v>4TH QTR</v>
      </c>
      <c r="AI11" s="51" t="str">
        <f>VLOOKUP(Table3[[#This Row],[MONTH]],TAGS!$W$67:$Y$81,3,FALSE)</f>
        <v>2ND SEMESTER</v>
      </c>
      <c r="AJ11" s="51">
        <f>VLOOKUP(Table3[[#This Row],[MONTH]],TAGS!$W$67:$Z$81,4,FALSE)</f>
        <v>2025</v>
      </c>
      <c r="AK11" s="47">
        <v>500</v>
      </c>
      <c r="AL11" s="51" t="str">
        <f>VLOOKUP(Table3[[#This Row],[ACTIVITY]],TAGS!$B:$R,16,FALSE)</f>
        <v>YES</v>
      </c>
      <c r="AM11" s="47">
        <v>25</v>
      </c>
      <c r="AN11" s="47">
        <v>25.25</v>
      </c>
      <c r="AO11" s="57">
        <f>SUM(Table3[[#This Row],[MALE BENEFICIARIES]:[FEMALE BENEFICIARIES]])</f>
        <v>0</v>
      </c>
      <c r="AP11" s="58"/>
      <c r="AQ11" s="58"/>
      <c r="AR11" s="58"/>
      <c r="AS11" s="58">
        <v>1</v>
      </c>
      <c r="AT11" s="59">
        <v>25</v>
      </c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</row>
    <row r="12" spans="1:65">
      <c r="A12" s="51" t="str">
        <f>VLOOKUP(Table3[[#This Row],[OU]],OU!$A$15:$B$34,2,FALSE)</f>
        <v>RFOs</v>
      </c>
      <c r="B12" s="47" t="s">
        <v>5</v>
      </c>
      <c r="C12" s="47" t="s">
        <v>574</v>
      </c>
      <c r="D12" s="47"/>
      <c r="E12" s="47" t="s">
        <v>63</v>
      </c>
      <c r="F12" s="47" t="s">
        <v>625</v>
      </c>
      <c r="G1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1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25008000</v>
      </c>
      <c r="I12" s="52" t="str">
        <f>VLOOKUP(Table3[[#This Row],[PSGC]],DISTRICT!$D:$G,4,FALSE)</f>
        <v>2nd</v>
      </c>
      <c r="J12" s="47" t="s">
        <v>575</v>
      </c>
      <c r="K12" s="51" t="str">
        <f>VLOOKUP(Table3[[#This Row],[SPECIFIC COMMODITY]],TAGS!$W$48:$X$53,2,FALSE)</f>
        <v>Corn</v>
      </c>
      <c r="L12" s="51" t="str">
        <f>VLOOKUP(Table3[[#This Row],[PREXC SUB-PROGRAM]],Table5[],2,FALSE)</f>
        <v>TECHNICAL AND SUPPORT SERVICES PROGRAM</v>
      </c>
      <c r="M12" s="51" t="str">
        <f>VLOOKUP(Table3[[#This Row],[COMMODITY PREXC SUB-PROGRAM]],TAGS!$U$54:$V$76,2,FALSE)</f>
        <v>PSS</v>
      </c>
      <c r="N12" s="47" t="s">
        <v>576</v>
      </c>
      <c r="O12" s="51" t="str">
        <f>VLOOKUP(Table3[[#This Row],[PI LEVEL 3]],'PI LEVEL'!A:C,3,FALSE)</f>
        <v>Seeds distributed</v>
      </c>
      <c r="P12" s="51" t="str">
        <f>VLOOKUP(Table3[[#This Row],[PI LEVEL 3]],Table53729[[Performance Indicator Level 3]:[Performance Indicator Level 1]],2,FALSE)</f>
        <v>Corn Seeds distributed</v>
      </c>
      <c r="Q12" s="51" t="str">
        <f>VLOOKUP(Table3[[#This Row],[ACTIVITY]],TAGS!B:P,2,FALSE)</f>
        <v>White Corn Seeds distributed</v>
      </c>
      <c r="R12" s="47" t="s">
        <v>24</v>
      </c>
      <c r="S12" s="51" t="str">
        <f>VLOOKUP(Table3[[#This Row],[ACTIVITY]],TAGS!$B:$P,4,FALSE)</f>
        <v>OPV Seed Production</v>
      </c>
      <c r="T12" s="51" t="str">
        <f>VLOOKUP(Table3[[#This Row],[ACTIVITY]],TAGS!$B:$P,5,FALSE)</f>
        <v>OPV Seed Production</v>
      </c>
      <c r="U12" s="51" t="str">
        <f>VLOOKUP(Table3[[#This Row],[ACTIVITY]],TAGS!$B:$P,6,FALSE)</f>
        <v>White corn seeds</v>
      </c>
      <c r="V12" s="51" t="str">
        <f>VLOOKUP(Table3[[#This Row],[ACTIVITY]],TAGS!$B:$P,7,FALSE)</f>
        <v>NO</v>
      </c>
      <c r="W12" s="51" t="str">
        <f>VLOOKUP(Table3[[#This Row],[ACTIVITY]],TAGS!$B:$P,8,FALSE)</f>
        <v>PAP</v>
      </c>
      <c r="X12" s="51" t="str">
        <f>VLOOKUP(Table3[[#This Row],[ACTIVITY]],TAGS!$B:$P,10,FALSE)</f>
        <v>PIP</v>
      </c>
      <c r="Y12" s="51" t="str">
        <f>VLOOKUP(Table3[[#This Row],[ACTIVITY]],TAGS!$B:$P,11,FALSE)</f>
        <v>PICS</v>
      </c>
      <c r="Z12" s="51" t="str">
        <f>VLOOKUP(Table3[[#This Row],[ACTIVITY]],TAGS!$B:$P,12,FALSE)</f>
        <v>Consolidation</v>
      </c>
      <c r="AA12" s="51" t="str">
        <f>VLOOKUP(Table3[[#This Row],[ACTIVITY]],TAGS!$B:$P,13,FALSE)</f>
        <v>1. Bayanihan Agri Cluster</v>
      </c>
      <c r="AB12" s="51" t="str">
        <f>VLOOKUP(Table3[[#This Row],[ACTIVITY]],TAGS!$B:$P,14,FALSE)</f>
        <v>EXPAND AND IMPROVE AVAILABLE AGRI-FISHERY AREAS FOR INCREASED PRODUCTION</v>
      </c>
      <c r="AC12" s="51" t="str">
        <f>VLOOKUP(Table3[[#This Row],[ACTIVITY]],TAGS!$B:$P,15,FALSE)</f>
        <v>Farm Inputs</v>
      </c>
      <c r="AD12" s="51" t="str">
        <f>VLOOKUP(Table3[[#This Row],[PI LEVEL 3]],'PI LEVEL'!$A:$G,7,FALSE)</f>
        <v>DA-Level Output</v>
      </c>
      <c r="AE12" s="47" t="s">
        <v>577</v>
      </c>
      <c r="AF12" s="51" t="str">
        <f>VLOOKUP(Table3[[#This Row],[ACTIVITY]],TAGS!$B:$P,3,FALSE)</f>
        <v>kilogram</v>
      </c>
      <c r="AG12" s="47" t="s">
        <v>337</v>
      </c>
      <c r="AH12" s="51" t="str">
        <f>VLOOKUP(Table3[[#This Row],[MONTH]],TAGS!$W$67:$Y$81,2,FALSE)</f>
        <v>4TH QTR</v>
      </c>
      <c r="AI12" s="51" t="str">
        <f>VLOOKUP(Table3[[#This Row],[MONTH]],TAGS!$W$67:$Y$81,3,FALSE)</f>
        <v>2ND SEMESTER</v>
      </c>
      <c r="AJ12" s="51">
        <f>VLOOKUP(Table3[[#This Row],[MONTH]],TAGS!$W$67:$Z$81,4,FALSE)</f>
        <v>2025</v>
      </c>
      <c r="AK12" s="47">
        <v>2000</v>
      </c>
      <c r="AL12" s="51" t="str">
        <f>VLOOKUP(Table3[[#This Row],[ACTIVITY]],TAGS!$B:$R,16,FALSE)</f>
        <v>YES</v>
      </c>
      <c r="AM12" s="47">
        <v>100</v>
      </c>
      <c r="AN12" s="47">
        <v>101</v>
      </c>
      <c r="AO12" s="57">
        <f>SUM(Table3[[#This Row],[MALE BENEFICIARIES]:[FEMALE BENEFICIARIES]])</f>
        <v>0</v>
      </c>
      <c r="AP12" s="58"/>
      <c r="AQ12" s="58"/>
      <c r="AR12" s="58"/>
      <c r="AS12" s="58">
        <v>4</v>
      </c>
      <c r="AT12" s="59">
        <v>100</v>
      </c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</row>
    <row r="13" spans="1:65">
      <c r="A13" s="51" t="str">
        <f>VLOOKUP(Table3[[#This Row],[OU]],OU!$A$15:$B$34,2,FALSE)</f>
        <v>RFOs</v>
      </c>
      <c r="B13" s="47" t="s">
        <v>5</v>
      </c>
      <c r="C13" s="47" t="s">
        <v>574</v>
      </c>
      <c r="D13" s="47"/>
      <c r="E13" s="47" t="s">
        <v>70</v>
      </c>
      <c r="F13" s="47" t="s">
        <v>626</v>
      </c>
      <c r="G1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1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25703000</v>
      </c>
      <c r="I13" s="52" t="str">
        <f>VLOOKUP(Table3[[#This Row],[PSGC]],DISTRICT!$D:$G,4,FALSE)</f>
        <v>2nd</v>
      </c>
      <c r="J13" s="47" t="s">
        <v>575</v>
      </c>
      <c r="K13" s="51" t="str">
        <f>VLOOKUP(Table3[[#This Row],[SPECIFIC COMMODITY]],TAGS!$W$48:$X$53,2,FALSE)</f>
        <v>Corn</v>
      </c>
      <c r="L13" s="51" t="str">
        <f>VLOOKUP(Table3[[#This Row],[PREXC SUB-PROGRAM]],Table5[],2,FALSE)</f>
        <v>TECHNICAL AND SUPPORT SERVICES PROGRAM</v>
      </c>
      <c r="M13" s="51" t="str">
        <f>VLOOKUP(Table3[[#This Row],[COMMODITY PREXC SUB-PROGRAM]],TAGS!$U$54:$V$76,2,FALSE)</f>
        <v>PSS</v>
      </c>
      <c r="N13" s="47" t="s">
        <v>576</v>
      </c>
      <c r="O13" s="51" t="str">
        <f>VLOOKUP(Table3[[#This Row],[PI LEVEL 3]],'PI LEVEL'!A:C,3,FALSE)</f>
        <v>Seeds distributed</v>
      </c>
      <c r="P13" s="51" t="str">
        <f>VLOOKUP(Table3[[#This Row],[PI LEVEL 3]],Table53729[[Performance Indicator Level 3]:[Performance Indicator Level 1]],2,FALSE)</f>
        <v>Corn Seeds distributed</v>
      </c>
      <c r="Q13" s="51" t="str">
        <f>VLOOKUP(Table3[[#This Row],[ACTIVITY]],TAGS!B:P,2,FALSE)</f>
        <v>White Corn Seeds distributed</v>
      </c>
      <c r="R13" s="47" t="s">
        <v>24</v>
      </c>
      <c r="S13" s="51" t="str">
        <f>VLOOKUP(Table3[[#This Row],[ACTIVITY]],TAGS!$B:$P,4,FALSE)</f>
        <v>OPV Seed Production</v>
      </c>
      <c r="T13" s="51" t="str">
        <f>VLOOKUP(Table3[[#This Row],[ACTIVITY]],TAGS!$B:$P,5,FALSE)</f>
        <v>OPV Seed Production</v>
      </c>
      <c r="U13" s="51" t="str">
        <f>VLOOKUP(Table3[[#This Row],[ACTIVITY]],TAGS!$B:$P,6,FALSE)</f>
        <v>White corn seeds</v>
      </c>
      <c r="V13" s="51" t="str">
        <f>VLOOKUP(Table3[[#This Row],[ACTIVITY]],TAGS!$B:$P,7,FALSE)</f>
        <v>NO</v>
      </c>
      <c r="W13" s="51" t="str">
        <f>VLOOKUP(Table3[[#This Row],[ACTIVITY]],TAGS!$B:$P,8,FALSE)</f>
        <v>PAP</v>
      </c>
      <c r="X13" s="51" t="str">
        <f>VLOOKUP(Table3[[#This Row],[ACTIVITY]],TAGS!$B:$P,10,FALSE)</f>
        <v>PIP</v>
      </c>
      <c r="Y13" s="51" t="str">
        <f>VLOOKUP(Table3[[#This Row],[ACTIVITY]],TAGS!$B:$P,11,FALSE)</f>
        <v>PICS</v>
      </c>
      <c r="Z13" s="51" t="str">
        <f>VLOOKUP(Table3[[#This Row],[ACTIVITY]],TAGS!$B:$P,12,FALSE)</f>
        <v>Consolidation</v>
      </c>
      <c r="AA13" s="51" t="str">
        <f>VLOOKUP(Table3[[#This Row],[ACTIVITY]],TAGS!$B:$P,13,FALSE)</f>
        <v>1. Bayanihan Agri Cluster</v>
      </c>
      <c r="AB13" s="51" t="str">
        <f>VLOOKUP(Table3[[#This Row],[ACTIVITY]],TAGS!$B:$P,14,FALSE)</f>
        <v>EXPAND AND IMPROVE AVAILABLE AGRI-FISHERY AREAS FOR INCREASED PRODUCTION</v>
      </c>
      <c r="AC13" s="51" t="str">
        <f>VLOOKUP(Table3[[#This Row],[ACTIVITY]],TAGS!$B:$P,15,FALSE)</f>
        <v>Farm Inputs</v>
      </c>
      <c r="AD13" s="51" t="str">
        <f>VLOOKUP(Table3[[#This Row],[PI LEVEL 3]],'PI LEVEL'!$A:$G,7,FALSE)</f>
        <v>DA-Level Output</v>
      </c>
      <c r="AE13" s="47" t="s">
        <v>577</v>
      </c>
      <c r="AF13" s="51" t="str">
        <f>VLOOKUP(Table3[[#This Row],[ACTIVITY]],TAGS!$B:$P,3,FALSE)</f>
        <v>kilogram</v>
      </c>
      <c r="AG13" s="47" t="s">
        <v>337</v>
      </c>
      <c r="AH13" s="51" t="str">
        <f>VLOOKUP(Table3[[#This Row],[MONTH]],TAGS!$W$67:$Y$81,2,FALSE)</f>
        <v>4TH QTR</v>
      </c>
      <c r="AI13" s="51" t="str">
        <f>VLOOKUP(Table3[[#This Row],[MONTH]],TAGS!$W$67:$Y$81,3,FALSE)</f>
        <v>2ND SEMESTER</v>
      </c>
      <c r="AJ13" s="51">
        <f>VLOOKUP(Table3[[#This Row],[MONTH]],TAGS!$W$67:$Z$81,4,FALSE)</f>
        <v>2025</v>
      </c>
      <c r="AK13" s="47">
        <v>2000</v>
      </c>
      <c r="AL13" s="51" t="str">
        <f>VLOOKUP(Table3[[#This Row],[ACTIVITY]],TAGS!$B:$R,16,FALSE)</f>
        <v>YES</v>
      </c>
      <c r="AM13" s="47">
        <v>100</v>
      </c>
      <c r="AN13" s="47">
        <v>101</v>
      </c>
      <c r="AO13" s="57">
        <f>SUM(Table3[[#This Row],[MALE BENEFICIARIES]:[FEMALE BENEFICIARIES]])</f>
        <v>0</v>
      </c>
      <c r="AP13" s="58"/>
      <c r="AQ13" s="58"/>
      <c r="AR13" s="58"/>
      <c r="AS13" s="58">
        <v>3</v>
      </c>
      <c r="AT13" s="59">
        <v>100</v>
      </c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</row>
    <row r="14" spans="1:65">
      <c r="A14" s="51" t="str">
        <f>VLOOKUP(Table3[[#This Row],[OU]],OU!$A$15:$B$34,2,FALSE)</f>
        <v>RFOs</v>
      </c>
      <c r="B14" s="47" t="s">
        <v>5</v>
      </c>
      <c r="C14" s="47" t="s">
        <v>574</v>
      </c>
      <c r="D14" s="47"/>
      <c r="E14" s="47" t="s">
        <v>22</v>
      </c>
      <c r="F14" s="47" t="s">
        <v>619</v>
      </c>
      <c r="G1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1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21502000</v>
      </c>
      <c r="I14" s="52" t="str">
        <f>VLOOKUP(Table3[[#This Row],[PSGC]],DISTRICT!$D:$G,4,FALSE)</f>
        <v>3rd</v>
      </c>
      <c r="J14" s="47" t="s">
        <v>575</v>
      </c>
      <c r="K14" s="51" t="str">
        <f>VLOOKUP(Table3[[#This Row],[SPECIFIC COMMODITY]],TAGS!$W$48:$X$53,2,FALSE)</f>
        <v>Corn</v>
      </c>
      <c r="L14" s="51" t="str">
        <f>VLOOKUP(Table3[[#This Row],[PREXC SUB-PROGRAM]],Table5[],2,FALSE)</f>
        <v>TECHNICAL AND SUPPORT SERVICES PROGRAM</v>
      </c>
      <c r="M14" s="51" t="str">
        <f>VLOOKUP(Table3[[#This Row],[COMMODITY PREXC SUB-PROGRAM]],TAGS!$U$54:$V$76,2,FALSE)</f>
        <v>PSS</v>
      </c>
      <c r="N14" s="47" t="s">
        <v>576</v>
      </c>
      <c r="O14" s="51" t="str">
        <f>VLOOKUP(Table3[[#This Row],[PI LEVEL 3]],'PI LEVEL'!A:C,3,FALSE)</f>
        <v>Seeds distributed</v>
      </c>
      <c r="P14" s="51" t="str">
        <f>VLOOKUP(Table3[[#This Row],[PI LEVEL 3]],Table53729[[Performance Indicator Level 3]:[Performance Indicator Level 1]],2,FALSE)</f>
        <v>Corn Seeds distributed</v>
      </c>
      <c r="Q14" s="51" t="str">
        <f>VLOOKUP(Table3[[#This Row],[ACTIVITY]],TAGS!B:P,2,FALSE)</f>
        <v>White Corn Seeds distributed</v>
      </c>
      <c r="R14" s="47" t="s">
        <v>24</v>
      </c>
      <c r="S14" s="51" t="str">
        <f>VLOOKUP(Table3[[#This Row],[ACTIVITY]],TAGS!$B:$P,4,FALSE)</f>
        <v>OPV Seed Production</v>
      </c>
      <c r="T14" s="51" t="str">
        <f>VLOOKUP(Table3[[#This Row],[ACTIVITY]],TAGS!$B:$P,5,FALSE)</f>
        <v>OPV Seed Production</v>
      </c>
      <c r="U14" s="51" t="str">
        <f>VLOOKUP(Table3[[#This Row],[ACTIVITY]],TAGS!$B:$P,6,FALSE)</f>
        <v>White corn seeds</v>
      </c>
      <c r="V14" s="51" t="str">
        <f>VLOOKUP(Table3[[#This Row],[ACTIVITY]],TAGS!$B:$P,7,FALSE)</f>
        <v>NO</v>
      </c>
      <c r="W14" s="51" t="str">
        <f>VLOOKUP(Table3[[#This Row],[ACTIVITY]],TAGS!$B:$P,8,FALSE)</f>
        <v>PAP</v>
      </c>
      <c r="X14" s="51" t="str">
        <f>VLOOKUP(Table3[[#This Row],[ACTIVITY]],TAGS!$B:$P,10,FALSE)</f>
        <v>PIP</v>
      </c>
      <c r="Y14" s="51" t="str">
        <f>VLOOKUP(Table3[[#This Row],[ACTIVITY]],TAGS!$B:$P,11,FALSE)</f>
        <v>PICS</v>
      </c>
      <c r="Z14" s="51" t="str">
        <f>VLOOKUP(Table3[[#This Row],[ACTIVITY]],TAGS!$B:$P,12,FALSE)</f>
        <v>Consolidation</v>
      </c>
      <c r="AA14" s="51" t="str">
        <f>VLOOKUP(Table3[[#This Row],[ACTIVITY]],TAGS!$B:$P,13,FALSE)</f>
        <v>1. Bayanihan Agri Cluster</v>
      </c>
      <c r="AB14" s="51" t="str">
        <f>VLOOKUP(Table3[[#This Row],[ACTIVITY]],TAGS!$B:$P,14,FALSE)</f>
        <v>EXPAND AND IMPROVE AVAILABLE AGRI-FISHERY AREAS FOR INCREASED PRODUCTION</v>
      </c>
      <c r="AC14" s="51" t="str">
        <f>VLOOKUP(Table3[[#This Row],[ACTIVITY]],TAGS!$B:$P,15,FALSE)</f>
        <v>Farm Inputs</v>
      </c>
      <c r="AD14" s="51" t="str">
        <f>VLOOKUP(Table3[[#This Row],[PI LEVEL 3]],'PI LEVEL'!$A:$G,7,FALSE)</f>
        <v>DA-Level Output</v>
      </c>
      <c r="AE14" s="47" t="s">
        <v>577</v>
      </c>
      <c r="AF14" s="51" t="str">
        <f>VLOOKUP(Table3[[#This Row],[ACTIVITY]],TAGS!$B:$P,3,FALSE)</f>
        <v>kilogram</v>
      </c>
      <c r="AG14" s="47" t="s">
        <v>332</v>
      </c>
      <c r="AH14" s="51" t="str">
        <f>VLOOKUP(Table3[[#This Row],[MONTH]],TAGS!$W$67:$Y$81,2,FALSE)</f>
        <v>2ND QTR</v>
      </c>
      <c r="AI14" s="51" t="str">
        <f>VLOOKUP(Table3[[#This Row],[MONTH]],TAGS!$W$67:$Y$81,3,FALSE)</f>
        <v>1ST SEMESTER</v>
      </c>
      <c r="AJ14" s="51">
        <f>VLOOKUP(Table3[[#This Row],[MONTH]],TAGS!$W$67:$Z$81,4,FALSE)</f>
        <v>2025</v>
      </c>
      <c r="AK14" s="47">
        <v>675</v>
      </c>
      <c r="AL14" s="51" t="str">
        <f>VLOOKUP(Table3[[#This Row],[ACTIVITY]],TAGS!$B:$R,16,FALSE)</f>
        <v>YES</v>
      </c>
      <c r="AM14" s="55">
        <f>Table3[[#This Row],[TARGET]]/18</f>
        <v>37.5</v>
      </c>
      <c r="AN14" s="47">
        <v>33.75</v>
      </c>
      <c r="AO14" s="57">
        <f>SUM(Table3[[#This Row],[MALE BENEFICIARIES]:[FEMALE BENEFICIARIES]])</f>
        <v>0</v>
      </c>
      <c r="AP14" s="58"/>
      <c r="AQ14" s="58"/>
      <c r="AR14" s="58"/>
      <c r="AS14" s="58">
        <v>1</v>
      </c>
      <c r="AT14" s="59">
        <v>111</v>
      </c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</row>
    <row r="15" spans="1:65">
      <c r="A15" s="51" t="str">
        <f>VLOOKUP(Table3[[#This Row],[OU]],OU!$A$15:$B$34,2,FALSE)</f>
        <v>RFOs</v>
      </c>
      <c r="B15" s="47" t="s">
        <v>5</v>
      </c>
      <c r="C15" s="47" t="s">
        <v>574</v>
      </c>
      <c r="D15" s="47"/>
      <c r="E15" s="47" t="s">
        <v>22</v>
      </c>
      <c r="F15" s="47" t="s">
        <v>627</v>
      </c>
      <c r="G1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1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21514000</v>
      </c>
      <c r="I15" s="52" t="str">
        <f>VLOOKUP(Table3[[#This Row],[PSGC]],DISTRICT!$D:$G,4,FALSE)</f>
        <v>1st</v>
      </c>
      <c r="J15" s="47" t="s">
        <v>575</v>
      </c>
      <c r="K15" s="51" t="str">
        <f>VLOOKUP(Table3[[#This Row],[SPECIFIC COMMODITY]],TAGS!$W$48:$X$53,2,FALSE)</f>
        <v>Corn</v>
      </c>
      <c r="L15" s="51" t="str">
        <f>VLOOKUP(Table3[[#This Row],[PREXC SUB-PROGRAM]],Table5[],2,FALSE)</f>
        <v>TECHNICAL AND SUPPORT SERVICES PROGRAM</v>
      </c>
      <c r="M15" s="51" t="str">
        <f>VLOOKUP(Table3[[#This Row],[COMMODITY PREXC SUB-PROGRAM]],TAGS!$U$54:$V$76,2,FALSE)</f>
        <v>PSS</v>
      </c>
      <c r="N15" s="47" t="s">
        <v>576</v>
      </c>
      <c r="O15" s="54" t="str">
        <f>VLOOKUP(Table3[[#This Row],[PI LEVEL 3]],'PI LEVEL'!A:C,3,FALSE)</f>
        <v>Seeds distributed</v>
      </c>
      <c r="P15" s="54" t="str">
        <f>VLOOKUP(Table3[[#This Row],[PI LEVEL 3]],Table53729[[Performance Indicator Level 3]:[Performance Indicator Level 1]],2,FALSE)</f>
        <v>Corn Seeds distributed</v>
      </c>
      <c r="Q15" s="54" t="str">
        <f>VLOOKUP(Table3[[#This Row],[ACTIVITY]],TAGS!B:P,2,FALSE)</f>
        <v>White Corn Seeds distributed</v>
      </c>
      <c r="R15" s="47" t="s">
        <v>24</v>
      </c>
      <c r="S15" s="51" t="str">
        <f>VLOOKUP(Table3[[#This Row],[ACTIVITY]],TAGS!$B:$P,4,FALSE)</f>
        <v>OPV Seed Production</v>
      </c>
      <c r="T15" s="51" t="str">
        <f>VLOOKUP(Table3[[#This Row],[ACTIVITY]],TAGS!$B:$P,5,FALSE)</f>
        <v>OPV Seed Production</v>
      </c>
      <c r="U15" s="51" t="str">
        <f>VLOOKUP(Table3[[#This Row],[ACTIVITY]],TAGS!$B:$P,6,FALSE)</f>
        <v>White corn seeds</v>
      </c>
      <c r="V15" s="51" t="str">
        <f>VLOOKUP(Table3[[#This Row],[ACTIVITY]],TAGS!$B:$P,7,FALSE)</f>
        <v>NO</v>
      </c>
      <c r="W15" s="51" t="str">
        <f>VLOOKUP(Table3[[#This Row],[ACTIVITY]],TAGS!$B:$P,8,FALSE)</f>
        <v>PAP</v>
      </c>
      <c r="X15" s="51" t="str">
        <f>VLOOKUP(Table3[[#This Row],[ACTIVITY]],TAGS!$B:$P,10,FALSE)</f>
        <v>PIP</v>
      </c>
      <c r="Y15" s="51" t="str">
        <f>VLOOKUP(Table3[[#This Row],[ACTIVITY]],TAGS!$B:$P,11,FALSE)</f>
        <v>PICS</v>
      </c>
      <c r="Z15" s="51" t="str">
        <f>VLOOKUP(Table3[[#This Row],[ACTIVITY]],TAGS!$B:$P,12,FALSE)</f>
        <v>Consolidation</v>
      </c>
      <c r="AA15" s="51" t="str">
        <f>VLOOKUP(Table3[[#This Row],[ACTIVITY]],TAGS!$B:$P,13,FALSE)</f>
        <v>1. Bayanihan Agri Cluster</v>
      </c>
      <c r="AB15" s="51" t="str">
        <f>VLOOKUP(Table3[[#This Row],[ACTIVITY]],TAGS!$B:$P,14,FALSE)</f>
        <v>EXPAND AND IMPROVE AVAILABLE AGRI-FISHERY AREAS FOR INCREASED PRODUCTION</v>
      </c>
      <c r="AC15" s="51" t="str">
        <f>VLOOKUP(Table3[[#This Row],[ACTIVITY]],TAGS!$B:$P,15,FALSE)</f>
        <v>Farm Inputs</v>
      </c>
      <c r="AD15" s="51" t="str">
        <f>VLOOKUP(Table3[[#This Row],[PI LEVEL 3]],'PI LEVEL'!$A:$G,7,FALSE)</f>
        <v>DA-Level Output</v>
      </c>
      <c r="AE15" s="47" t="s">
        <v>577</v>
      </c>
      <c r="AF15" s="51" t="str">
        <f>VLOOKUP(Table3[[#This Row],[ACTIVITY]],TAGS!$B:$P,3,FALSE)</f>
        <v>kilogram</v>
      </c>
      <c r="AG15" s="47" t="s">
        <v>332</v>
      </c>
      <c r="AH15" s="51" t="str">
        <f>VLOOKUP(Table3[[#This Row],[MONTH]],TAGS!$W$67:$Y$81,2,FALSE)</f>
        <v>2ND QTR</v>
      </c>
      <c r="AI15" s="51" t="str">
        <f>VLOOKUP(Table3[[#This Row],[MONTH]],TAGS!$W$67:$Y$81,3,FALSE)</f>
        <v>1ST SEMESTER</v>
      </c>
      <c r="AJ15" s="51">
        <f>VLOOKUP(Table3[[#This Row],[MONTH]],TAGS!$W$67:$Z$81,4,FALSE)</f>
        <v>2025</v>
      </c>
      <c r="AK15" s="47">
        <v>225</v>
      </c>
      <c r="AL15" s="51" t="str">
        <f>VLOOKUP(Table3[[#This Row],[ACTIVITY]],TAGS!$B:$R,16,FALSE)</f>
        <v>YES</v>
      </c>
      <c r="AM15" s="55">
        <f>Table3[[#This Row],[TARGET]]/18</f>
        <v>12.5</v>
      </c>
      <c r="AN15" s="47">
        <v>11.25</v>
      </c>
      <c r="AO15" s="57">
        <f>SUM(Table3[[#This Row],[MALE BENEFICIARIES]:[FEMALE BENEFICIARIES]])</f>
        <v>0</v>
      </c>
      <c r="AP15" s="58"/>
      <c r="AQ15" s="58"/>
      <c r="AR15" s="58"/>
      <c r="AS15" s="58">
        <v>1</v>
      </c>
      <c r="AT15" s="59">
        <v>38</v>
      </c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</row>
    <row r="16" spans="1:65">
      <c r="A16" s="51" t="str">
        <f>VLOOKUP(Table3[[#This Row],[OU]],OU!$A$15:$B$34,2,FALSE)</f>
        <v>RFOs</v>
      </c>
      <c r="B16" s="47" t="s">
        <v>5</v>
      </c>
      <c r="C16" s="47" t="s">
        <v>574</v>
      </c>
      <c r="D16" s="47"/>
      <c r="E16" s="47" t="s">
        <v>22</v>
      </c>
      <c r="F16" s="47" t="s">
        <v>628</v>
      </c>
      <c r="G1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1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21517000</v>
      </c>
      <c r="I16" s="52" t="str">
        <f>VLOOKUP(Table3[[#This Row],[PSGC]],DISTRICT!$D:$G,4,FALSE)</f>
        <v>3rd</v>
      </c>
      <c r="J16" s="47" t="s">
        <v>575</v>
      </c>
      <c r="K16" s="51" t="str">
        <f>VLOOKUP(Table3[[#This Row],[SPECIFIC COMMODITY]],TAGS!$W$48:$X$53,2,FALSE)</f>
        <v>Corn</v>
      </c>
      <c r="L16" s="51" t="str">
        <f>VLOOKUP(Table3[[#This Row],[PREXC SUB-PROGRAM]],Table5[],2,FALSE)</f>
        <v>TECHNICAL AND SUPPORT SERVICES PROGRAM</v>
      </c>
      <c r="M16" s="51" t="str">
        <f>VLOOKUP(Table3[[#This Row],[COMMODITY PREXC SUB-PROGRAM]],TAGS!$U$54:$V$76,2,FALSE)</f>
        <v>PSS</v>
      </c>
      <c r="N16" s="47" t="s">
        <v>576</v>
      </c>
      <c r="O16" s="54" t="str">
        <f>VLOOKUP(Table3[[#This Row],[PI LEVEL 3]],'PI LEVEL'!A:C,3,FALSE)</f>
        <v>Seeds distributed</v>
      </c>
      <c r="P16" s="54" t="str">
        <f>VLOOKUP(Table3[[#This Row],[PI LEVEL 3]],Table53729[[Performance Indicator Level 3]:[Performance Indicator Level 1]],2,FALSE)</f>
        <v>Corn Seeds distributed</v>
      </c>
      <c r="Q16" s="54" t="str">
        <f>VLOOKUP(Table3[[#This Row],[ACTIVITY]],TAGS!B:P,2,FALSE)</f>
        <v>White Corn Seeds distributed</v>
      </c>
      <c r="R16" s="47" t="s">
        <v>24</v>
      </c>
      <c r="S16" s="51" t="str">
        <f>VLOOKUP(Table3[[#This Row],[ACTIVITY]],TAGS!$B:$P,4,FALSE)</f>
        <v>OPV Seed Production</v>
      </c>
      <c r="T16" s="51" t="str">
        <f>VLOOKUP(Table3[[#This Row],[ACTIVITY]],TAGS!$B:$P,5,FALSE)</f>
        <v>OPV Seed Production</v>
      </c>
      <c r="U16" s="51" t="str">
        <f>VLOOKUP(Table3[[#This Row],[ACTIVITY]],TAGS!$B:$P,6,FALSE)</f>
        <v>White corn seeds</v>
      </c>
      <c r="V16" s="51" t="str">
        <f>VLOOKUP(Table3[[#This Row],[ACTIVITY]],TAGS!$B:$P,7,FALSE)</f>
        <v>NO</v>
      </c>
      <c r="W16" s="51" t="str">
        <f>VLOOKUP(Table3[[#This Row],[ACTIVITY]],TAGS!$B:$P,8,FALSE)</f>
        <v>PAP</v>
      </c>
      <c r="X16" s="51" t="str">
        <f>VLOOKUP(Table3[[#This Row],[ACTIVITY]],TAGS!$B:$P,10,FALSE)</f>
        <v>PIP</v>
      </c>
      <c r="Y16" s="51" t="str">
        <f>VLOOKUP(Table3[[#This Row],[ACTIVITY]],TAGS!$B:$P,11,FALSE)</f>
        <v>PICS</v>
      </c>
      <c r="Z16" s="51" t="str">
        <f>VLOOKUP(Table3[[#This Row],[ACTIVITY]],TAGS!$B:$P,12,FALSE)</f>
        <v>Consolidation</v>
      </c>
      <c r="AA16" s="51" t="str">
        <f>VLOOKUP(Table3[[#This Row],[ACTIVITY]],TAGS!$B:$P,13,FALSE)</f>
        <v>1. Bayanihan Agri Cluster</v>
      </c>
      <c r="AB16" s="51" t="str">
        <f>VLOOKUP(Table3[[#This Row],[ACTIVITY]],TAGS!$B:$P,14,FALSE)</f>
        <v>EXPAND AND IMPROVE AVAILABLE AGRI-FISHERY AREAS FOR INCREASED PRODUCTION</v>
      </c>
      <c r="AC16" s="51" t="str">
        <f>VLOOKUP(Table3[[#This Row],[ACTIVITY]],TAGS!$B:$P,15,FALSE)</f>
        <v>Farm Inputs</v>
      </c>
      <c r="AD16" s="51" t="str">
        <f>VLOOKUP(Table3[[#This Row],[PI LEVEL 3]],'PI LEVEL'!$A:$G,7,FALSE)</f>
        <v>DA-Level Output</v>
      </c>
      <c r="AE16" s="47" t="s">
        <v>577</v>
      </c>
      <c r="AF16" s="51" t="str">
        <f>VLOOKUP(Table3[[#This Row],[ACTIVITY]],TAGS!$B:$P,3,FALSE)</f>
        <v>kilogram</v>
      </c>
      <c r="AG16" s="47" t="s">
        <v>332</v>
      </c>
      <c r="AH16" s="51" t="str">
        <f>VLOOKUP(Table3[[#This Row],[MONTH]],TAGS!$W$67:$Y$81,2,FALSE)</f>
        <v>2ND QTR</v>
      </c>
      <c r="AI16" s="51" t="str">
        <f>VLOOKUP(Table3[[#This Row],[MONTH]],TAGS!$W$67:$Y$81,3,FALSE)</f>
        <v>1ST SEMESTER</v>
      </c>
      <c r="AJ16" s="51">
        <f>VLOOKUP(Table3[[#This Row],[MONTH]],TAGS!$W$67:$Z$81,4,FALSE)</f>
        <v>2025</v>
      </c>
      <c r="AK16" s="47">
        <v>290</v>
      </c>
      <c r="AL16" s="51" t="str">
        <f>VLOOKUP(Table3[[#This Row],[ACTIVITY]],TAGS!$B:$R,16,FALSE)</f>
        <v>YES</v>
      </c>
      <c r="AM16" s="55">
        <f>Table3[[#This Row],[TARGET]]/18</f>
        <v>16.1111111111111</v>
      </c>
      <c r="AN16" s="47">
        <v>14.5</v>
      </c>
      <c r="AO16" s="57">
        <f>SUM(Table3[[#This Row],[MALE BENEFICIARIES]:[FEMALE BENEFICIARIES]])</f>
        <v>0</v>
      </c>
      <c r="AP16" s="58"/>
      <c r="AQ16" s="58"/>
      <c r="AR16" s="58"/>
      <c r="AS16" s="58">
        <v>1</v>
      </c>
      <c r="AT16" s="59">
        <v>12</v>
      </c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</row>
    <row r="17" spans="1:65">
      <c r="A17" s="51" t="str">
        <f>VLOOKUP(Table3[[#This Row],[OU]],OU!$A$15:$B$34,2,FALSE)</f>
        <v>RFOs</v>
      </c>
      <c r="B17" s="47" t="s">
        <v>5</v>
      </c>
      <c r="C17" s="47" t="s">
        <v>574</v>
      </c>
      <c r="D17" s="47"/>
      <c r="E17" s="47" t="s">
        <v>22</v>
      </c>
      <c r="F17" s="47" t="s">
        <v>620</v>
      </c>
      <c r="G1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1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21518000</v>
      </c>
      <c r="I17" s="52" t="str">
        <f>VLOOKUP(Table3[[#This Row],[PSGC]],DISTRICT!$D:$G,4,FALSE)</f>
        <v>4th</v>
      </c>
      <c r="J17" s="47" t="s">
        <v>575</v>
      </c>
      <c r="K17" s="51" t="str">
        <f>VLOOKUP(Table3[[#This Row],[SPECIFIC COMMODITY]],TAGS!$W$48:$X$53,2,FALSE)</f>
        <v>Corn</v>
      </c>
      <c r="L17" s="51" t="str">
        <f>VLOOKUP(Table3[[#This Row],[PREXC SUB-PROGRAM]],Table5[],2,FALSE)</f>
        <v>TECHNICAL AND SUPPORT SERVICES PROGRAM</v>
      </c>
      <c r="M17" s="51" t="str">
        <f>VLOOKUP(Table3[[#This Row],[COMMODITY PREXC SUB-PROGRAM]],TAGS!$U$54:$V$76,2,FALSE)</f>
        <v>PSS</v>
      </c>
      <c r="N17" s="47" t="s">
        <v>576</v>
      </c>
      <c r="O17" s="54" t="str">
        <f>VLOOKUP(Table3[[#This Row],[PI LEVEL 3]],'PI LEVEL'!A:C,3,FALSE)</f>
        <v>Seeds distributed</v>
      </c>
      <c r="P17" s="54" t="str">
        <f>VLOOKUP(Table3[[#This Row],[PI LEVEL 3]],Table53729[[Performance Indicator Level 3]:[Performance Indicator Level 1]],2,FALSE)</f>
        <v>Corn Seeds distributed</v>
      </c>
      <c r="Q17" s="54" t="str">
        <f>VLOOKUP(Table3[[#This Row],[ACTIVITY]],TAGS!B:P,2,FALSE)</f>
        <v>White Corn Seeds distributed</v>
      </c>
      <c r="R17" s="47" t="s">
        <v>24</v>
      </c>
      <c r="S17" s="51" t="str">
        <f>VLOOKUP(Table3[[#This Row],[ACTIVITY]],TAGS!$B:$P,4,FALSE)</f>
        <v>OPV Seed Production</v>
      </c>
      <c r="T17" s="51" t="str">
        <f>VLOOKUP(Table3[[#This Row],[ACTIVITY]],TAGS!$B:$P,5,FALSE)</f>
        <v>OPV Seed Production</v>
      </c>
      <c r="U17" s="51" t="str">
        <f>VLOOKUP(Table3[[#This Row],[ACTIVITY]],TAGS!$B:$P,6,FALSE)</f>
        <v>White corn seeds</v>
      </c>
      <c r="V17" s="51" t="str">
        <f>VLOOKUP(Table3[[#This Row],[ACTIVITY]],TAGS!$B:$P,7,FALSE)</f>
        <v>NO</v>
      </c>
      <c r="W17" s="51" t="str">
        <f>VLOOKUP(Table3[[#This Row],[ACTIVITY]],TAGS!$B:$P,8,FALSE)</f>
        <v>PAP</v>
      </c>
      <c r="X17" s="51" t="str">
        <f>VLOOKUP(Table3[[#This Row],[ACTIVITY]],TAGS!$B:$P,10,FALSE)</f>
        <v>PIP</v>
      </c>
      <c r="Y17" s="51" t="str">
        <f>VLOOKUP(Table3[[#This Row],[ACTIVITY]],TAGS!$B:$P,11,FALSE)</f>
        <v>PICS</v>
      </c>
      <c r="Z17" s="51" t="str">
        <f>VLOOKUP(Table3[[#This Row],[ACTIVITY]],TAGS!$B:$P,12,FALSE)</f>
        <v>Consolidation</v>
      </c>
      <c r="AA17" s="51" t="str">
        <f>VLOOKUP(Table3[[#This Row],[ACTIVITY]],TAGS!$B:$P,13,FALSE)</f>
        <v>1. Bayanihan Agri Cluster</v>
      </c>
      <c r="AB17" s="51" t="str">
        <f>VLOOKUP(Table3[[#This Row],[ACTIVITY]],TAGS!$B:$P,14,FALSE)</f>
        <v>EXPAND AND IMPROVE AVAILABLE AGRI-FISHERY AREAS FOR INCREASED PRODUCTION</v>
      </c>
      <c r="AC17" s="51" t="str">
        <f>VLOOKUP(Table3[[#This Row],[ACTIVITY]],TAGS!$B:$P,15,FALSE)</f>
        <v>Farm Inputs</v>
      </c>
      <c r="AD17" s="51" t="str">
        <f>VLOOKUP(Table3[[#This Row],[PI LEVEL 3]],'PI LEVEL'!$A:$G,7,FALSE)</f>
        <v>DA-Level Output</v>
      </c>
      <c r="AE17" s="47" t="s">
        <v>577</v>
      </c>
      <c r="AF17" s="51" t="str">
        <f>VLOOKUP(Table3[[#This Row],[ACTIVITY]],TAGS!$B:$P,3,FALSE)</f>
        <v>kilogram</v>
      </c>
      <c r="AG17" s="47" t="s">
        <v>332</v>
      </c>
      <c r="AH17" s="51" t="str">
        <f>VLOOKUP(Table3[[#This Row],[MONTH]],TAGS!$W$67:$Y$81,2,FALSE)</f>
        <v>2ND QTR</v>
      </c>
      <c r="AI17" s="51" t="str">
        <f>VLOOKUP(Table3[[#This Row],[MONTH]],TAGS!$W$67:$Y$81,3,FALSE)</f>
        <v>1ST SEMESTER</v>
      </c>
      <c r="AJ17" s="51">
        <f>VLOOKUP(Table3[[#This Row],[MONTH]],TAGS!$W$67:$Z$81,4,FALSE)</f>
        <v>2025</v>
      </c>
      <c r="AK17" s="47">
        <v>558</v>
      </c>
      <c r="AL17" s="51" t="str">
        <f>VLOOKUP(Table3[[#This Row],[ACTIVITY]],TAGS!$B:$R,16,FALSE)</f>
        <v>YES</v>
      </c>
      <c r="AM17" s="55">
        <f>Table3[[#This Row],[TARGET]]/18</f>
        <v>31</v>
      </c>
      <c r="AN17" s="47">
        <v>27.9</v>
      </c>
      <c r="AO17" s="57">
        <f>SUM(Table3[[#This Row],[MALE BENEFICIARIES]:[FEMALE BENEFICIARIES]])</f>
        <v>0</v>
      </c>
      <c r="AP17" s="58"/>
      <c r="AQ17" s="58"/>
      <c r="AR17" s="58"/>
      <c r="AS17" s="58">
        <v>1</v>
      </c>
      <c r="AT17" s="59">
        <v>16</v>
      </c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</row>
    <row r="18" spans="1:65">
      <c r="A18" s="51" t="str">
        <f>VLOOKUP(Table3[[#This Row],[OU]],OU!$A$15:$B$34,2,FALSE)</f>
        <v>RFOs</v>
      </c>
      <c r="B18" s="47" t="s">
        <v>5</v>
      </c>
      <c r="C18" s="47" t="s">
        <v>574</v>
      </c>
      <c r="D18" s="47"/>
      <c r="E18" s="47" t="s">
        <v>22</v>
      </c>
      <c r="F18" s="47" t="s">
        <v>629</v>
      </c>
      <c r="G1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1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21529000</v>
      </c>
      <c r="I18" s="52" t="str">
        <f>VLOOKUP(Table3[[#This Row],[PSGC]],DISTRICT!$D:$G,4,FALSE)</f>
        <v>3rd</v>
      </c>
      <c r="J18" s="47" t="s">
        <v>575</v>
      </c>
      <c r="K18" s="51" t="str">
        <f>VLOOKUP(Table3[[#This Row],[SPECIFIC COMMODITY]],TAGS!$W$48:$X$53,2,FALSE)</f>
        <v>Corn</v>
      </c>
      <c r="L18" s="51" t="str">
        <f>VLOOKUP(Table3[[#This Row],[PREXC SUB-PROGRAM]],Table5[],2,FALSE)</f>
        <v>TECHNICAL AND SUPPORT SERVICES PROGRAM</v>
      </c>
      <c r="M18" s="51" t="str">
        <f>VLOOKUP(Table3[[#This Row],[COMMODITY PREXC SUB-PROGRAM]],TAGS!$U$54:$V$76,2,FALSE)</f>
        <v>PSS</v>
      </c>
      <c r="N18" s="47" t="s">
        <v>576</v>
      </c>
      <c r="O18" s="54" t="str">
        <f>VLOOKUP(Table3[[#This Row],[PI LEVEL 3]],'PI LEVEL'!A:C,3,FALSE)</f>
        <v>Seeds distributed</v>
      </c>
      <c r="P18" s="54" t="str">
        <f>VLOOKUP(Table3[[#This Row],[PI LEVEL 3]],Table53729[[Performance Indicator Level 3]:[Performance Indicator Level 1]],2,FALSE)</f>
        <v>Corn Seeds distributed</v>
      </c>
      <c r="Q18" s="54" t="str">
        <f>VLOOKUP(Table3[[#This Row],[ACTIVITY]],TAGS!B:P,2,FALSE)</f>
        <v>White Corn Seeds distributed</v>
      </c>
      <c r="R18" s="47" t="s">
        <v>24</v>
      </c>
      <c r="S18" s="51" t="str">
        <f>VLOOKUP(Table3[[#This Row],[ACTIVITY]],TAGS!$B:$P,4,FALSE)</f>
        <v>OPV Seed Production</v>
      </c>
      <c r="T18" s="51" t="str">
        <f>VLOOKUP(Table3[[#This Row],[ACTIVITY]],TAGS!$B:$P,5,FALSE)</f>
        <v>OPV Seed Production</v>
      </c>
      <c r="U18" s="51" t="str">
        <f>VLOOKUP(Table3[[#This Row],[ACTIVITY]],TAGS!$B:$P,6,FALSE)</f>
        <v>White corn seeds</v>
      </c>
      <c r="V18" s="51" t="str">
        <f>VLOOKUP(Table3[[#This Row],[ACTIVITY]],TAGS!$B:$P,7,FALSE)</f>
        <v>NO</v>
      </c>
      <c r="W18" s="51" t="str">
        <f>VLOOKUP(Table3[[#This Row],[ACTIVITY]],TAGS!$B:$P,8,FALSE)</f>
        <v>PAP</v>
      </c>
      <c r="X18" s="51" t="str">
        <f>VLOOKUP(Table3[[#This Row],[ACTIVITY]],TAGS!$B:$P,10,FALSE)</f>
        <v>PIP</v>
      </c>
      <c r="Y18" s="51" t="str">
        <f>VLOOKUP(Table3[[#This Row],[ACTIVITY]],TAGS!$B:$P,11,FALSE)</f>
        <v>PICS</v>
      </c>
      <c r="Z18" s="51" t="str">
        <f>VLOOKUP(Table3[[#This Row],[ACTIVITY]],TAGS!$B:$P,12,FALSE)</f>
        <v>Consolidation</v>
      </c>
      <c r="AA18" s="51" t="str">
        <f>VLOOKUP(Table3[[#This Row],[ACTIVITY]],TAGS!$B:$P,13,FALSE)</f>
        <v>1. Bayanihan Agri Cluster</v>
      </c>
      <c r="AB18" s="51" t="str">
        <f>VLOOKUP(Table3[[#This Row],[ACTIVITY]],TAGS!$B:$P,14,FALSE)</f>
        <v>EXPAND AND IMPROVE AVAILABLE AGRI-FISHERY AREAS FOR INCREASED PRODUCTION</v>
      </c>
      <c r="AC18" s="51" t="str">
        <f>VLOOKUP(Table3[[#This Row],[ACTIVITY]],TAGS!$B:$P,15,FALSE)</f>
        <v>Farm Inputs</v>
      </c>
      <c r="AD18" s="51" t="str">
        <f>VLOOKUP(Table3[[#This Row],[PI LEVEL 3]],'PI LEVEL'!$A:$G,7,FALSE)</f>
        <v>DA-Level Output</v>
      </c>
      <c r="AE18" s="47" t="s">
        <v>577</v>
      </c>
      <c r="AF18" s="51" t="str">
        <f>VLOOKUP(Table3[[#This Row],[ACTIVITY]],TAGS!$B:$P,3,FALSE)</f>
        <v>kilogram</v>
      </c>
      <c r="AG18" s="47" t="s">
        <v>332</v>
      </c>
      <c r="AH18" s="51" t="str">
        <f>VLOOKUP(Table3[[#This Row],[MONTH]],TAGS!$W$67:$Y$81,2,FALSE)</f>
        <v>2ND QTR</v>
      </c>
      <c r="AI18" s="51" t="str">
        <f>VLOOKUP(Table3[[#This Row],[MONTH]],TAGS!$W$67:$Y$81,3,FALSE)</f>
        <v>1ST SEMESTER</v>
      </c>
      <c r="AJ18" s="51">
        <f>VLOOKUP(Table3[[#This Row],[MONTH]],TAGS!$W$67:$Z$81,4,FALSE)</f>
        <v>2025</v>
      </c>
      <c r="AK18" s="47">
        <v>252</v>
      </c>
      <c r="AL18" s="51" t="str">
        <f>VLOOKUP(Table3[[#This Row],[ACTIVITY]],TAGS!$B:$R,16,FALSE)</f>
        <v>YES</v>
      </c>
      <c r="AM18" s="55">
        <f>Table3[[#This Row],[TARGET]]/18</f>
        <v>14</v>
      </c>
      <c r="AN18" s="47">
        <v>12.6</v>
      </c>
      <c r="AO18" s="57">
        <f>SUM(Table3[[#This Row],[MALE BENEFICIARIES]:[FEMALE BENEFICIARIES]])</f>
        <v>0</v>
      </c>
      <c r="AP18" s="58"/>
      <c r="AQ18" s="58"/>
      <c r="AR18" s="58"/>
      <c r="AS18" s="58">
        <v>1</v>
      </c>
      <c r="AT18" s="59">
        <v>31</v>
      </c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</row>
    <row r="19" spans="1:65">
      <c r="A19" s="51" t="str">
        <f>VLOOKUP(Table3[[#This Row],[OU]],OU!$A$15:$B$34,2,FALSE)</f>
        <v>RFOs</v>
      </c>
      <c r="B19" s="47" t="s">
        <v>5</v>
      </c>
      <c r="C19" s="47" t="s">
        <v>574</v>
      </c>
      <c r="D19" s="47"/>
      <c r="E19" s="47" t="s">
        <v>22</v>
      </c>
      <c r="F19" s="47" t="s">
        <v>619</v>
      </c>
      <c r="G1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1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21502000</v>
      </c>
      <c r="I19" s="52" t="str">
        <f>VLOOKUP(Table3[[#This Row],[PSGC]],DISTRICT!$D:$G,4,FALSE)</f>
        <v>3rd</v>
      </c>
      <c r="J19" s="47" t="s">
        <v>575</v>
      </c>
      <c r="K19" s="51" t="str">
        <f>VLOOKUP(Table3[[#This Row],[SPECIFIC COMMODITY]],TAGS!$W$48:$X$53,2,FALSE)</f>
        <v>Corn</v>
      </c>
      <c r="L19" s="51" t="str">
        <f>VLOOKUP(Table3[[#This Row],[PREXC SUB-PROGRAM]],Table5[],2,FALSE)</f>
        <v>TECHNICAL AND SUPPORT SERVICES PROGRAM</v>
      </c>
      <c r="M19" s="51" t="str">
        <f>VLOOKUP(Table3[[#This Row],[COMMODITY PREXC SUB-PROGRAM]],TAGS!$U$54:$V$76,2,FALSE)</f>
        <v>PSS</v>
      </c>
      <c r="N19" s="47" t="s">
        <v>576</v>
      </c>
      <c r="O19" s="54" t="str">
        <f>VLOOKUP(Table3[[#This Row],[PI LEVEL 3]],'PI LEVEL'!A:C,3,FALSE)</f>
        <v>Seeds distributed</v>
      </c>
      <c r="P19" s="54" t="str">
        <f>VLOOKUP(Table3[[#This Row],[PI LEVEL 3]],Table53729[[Performance Indicator Level 3]:[Performance Indicator Level 1]],2,FALSE)</f>
        <v>Corn Seeds distributed</v>
      </c>
      <c r="Q19" s="54" t="str">
        <f>VLOOKUP(Table3[[#This Row],[ACTIVITY]],TAGS!B:P,2,FALSE)</f>
        <v>White Corn Seeds distributed</v>
      </c>
      <c r="R19" s="47" t="s">
        <v>24</v>
      </c>
      <c r="S19" s="51" t="str">
        <f>VLOOKUP(Table3[[#This Row],[ACTIVITY]],TAGS!$B:$P,4,FALSE)</f>
        <v>OPV Seed Production</v>
      </c>
      <c r="T19" s="51" t="str">
        <f>VLOOKUP(Table3[[#This Row],[ACTIVITY]],TAGS!$B:$P,5,FALSE)</f>
        <v>OPV Seed Production</v>
      </c>
      <c r="U19" s="51" t="str">
        <f>VLOOKUP(Table3[[#This Row],[ACTIVITY]],TAGS!$B:$P,6,FALSE)</f>
        <v>White corn seeds</v>
      </c>
      <c r="V19" s="51" t="str">
        <f>VLOOKUP(Table3[[#This Row],[ACTIVITY]],TAGS!$B:$P,7,FALSE)</f>
        <v>NO</v>
      </c>
      <c r="W19" s="51" t="str">
        <f>VLOOKUP(Table3[[#This Row],[ACTIVITY]],TAGS!$B:$P,8,FALSE)</f>
        <v>PAP</v>
      </c>
      <c r="X19" s="51" t="str">
        <f>VLOOKUP(Table3[[#This Row],[ACTIVITY]],TAGS!$B:$P,10,FALSE)</f>
        <v>PIP</v>
      </c>
      <c r="Y19" s="51" t="str">
        <f>VLOOKUP(Table3[[#This Row],[ACTIVITY]],TAGS!$B:$P,11,FALSE)</f>
        <v>PICS</v>
      </c>
      <c r="Z19" s="51" t="str">
        <f>VLOOKUP(Table3[[#This Row],[ACTIVITY]],TAGS!$B:$P,12,FALSE)</f>
        <v>Consolidation</v>
      </c>
      <c r="AA19" s="51" t="str">
        <f>VLOOKUP(Table3[[#This Row],[ACTIVITY]],TAGS!$B:$P,13,FALSE)</f>
        <v>1. Bayanihan Agri Cluster</v>
      </c>
      <c r="AB19" s="51" t="str">
        <f>VLOOKUP(Table3[[#This Row],[ACTIVITY]],TAGS!$B:$P,14,FALSE)</f>
        <v>EXPAND AND IMPROVE AVAILABLE AGRI-FISHERY AREAS FOR INCREASED PRODUCTION</v>
      </c>
      <c r="AC19" s="51" t="str">
        <f>VLOOKUP(Table3[[#This Row],[ACTIVITY]],TAGS!$B:$P,15,FALSE)</f>
        <v>Farm Inputs</v>
      </c>
      <c r="AD19" s="51" t="str">
        <f>VLOOKUP(Table3[[#This Row],[PI LEVEL 3]],'PI LEVEL'!$A:$G,7,FALSE)</f>
        <v>DA-Level Output</v>
      </c>
      <c r="AE19" s="47" t="s">
        <v>577</v>
      </c>
      <c r="AF19" s="51" t="str">
        <f>VLOOKUP(Table3[[#This Row],[ACTIVITY]],TAGS!$B:$P,3,FALSE)</f>
        <v>kilogram</v>
      </c>
      <c r="AG19" s="47" t="s">
        <v>336</v>
      </c>
      <c r="AH19" s="51" t="str">
        <f>VLOOKUP(Table3[[#This Row],[MONTH]],TAGS!$W$67:$Y$81,2,FALSE)</f>
        <v>4TH QTR</v>
      </c>
      <c r="AI19" s="51" t="str">
        <f>VLOOKUP(Table3[[#This Row],[MONTH]],TAGS!$W$67:$Y$81,3,FALSE)</f>
        <v>2ND SEMESTER</v>
      </c>
      <c r="AJ19" s="51">
        <f>VLOOKUP(Table3[[#This Row],[MONTH]],TAGS!$W$67:$Z$81,4,FALSE)</f>
        <v>2025</v>
      </c>
      <c r="AK19" s="47">
        <v>675</v>
      </c>
      <c r="AL19" s="51" t="str">
        <f>VLOOKUP(Table3[[#This Row],[ACTIVITY]],TAGS!$B:$R,16,FALSE)</f>
        <v>YES</v>
      </c>
      <c r="AM19" s="55">
        <f>Table3[[#This Row],[TARGET]]/18</f>
        <v>37.5</v>
      </c>
      <c r="AN19" s="47">
        <v>33.75</v>
      </c>
      <c r="AO19" s="57">
        <f>SUM(Table3[[#This Row],[MALE BENEFICIARIES]:[FEMALE BENEFICIARIES]])</f>
        <v>0</v>
      </c>
      <c r="AP19" s="58"/>
      <c r="AQ19" s="58"/>
      <c r="AR19" s="58"/>
      <c r="AS19" s="58"/>
      <c r="AT19" s="59">
        <v>14</v>
      </c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</row>
    <row r="20" spans="1:65">
      <c r="A20" s="51" t="str">
        <f>VLOOKUP(Table3[[#This Row],[OU]],OU!$A$15:$B$34,2,FALSE)</f>
        <v>RFOs</v>
      </c>
      <c r="B20" s="47" t="s">
        <v>5</v>
      </c>
      <c r="C20" s="47" t="s">
        <v>574</v>
      </c>
      <c r="D20" s="47"/>
      <c r="E20" s="47" t="s">
        <v>22</v>
      </c>
      <c r="F20" s="47" t="s">
        <v>627</v>
      </c>
      <c r="G2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2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21514000</v>
      </c>
      <c r="I20" s="52" t="str">
        <f>VLOOKUP(Table3[[#This Row],[PSGC]],DISTRICT!$D:$G,4,FALSE)</f>
        <v>1st</v>
      </c>
      <c r="J20" s="47" t="s">
        <v>575</v>
      </c>
      <c r="K20" s="51" t="str">
        <f>VLOOKUP(Table3[[#This Row],[SPECIFIC COMMODITY]],TAGS!$W$48:$X$53,2,FALSE)</f>
        <v>Corn</v>
      </c>
      <c r="L20" s="51" t="str">
        <f>VLOOKUP(Table3[[#This Row],[PREXC SUB-PROGRAM]],Table5[],2,FALSE)</f>
        <v>TECHNICAL AND SUPPORT SERVICES PROGRAM</v>
      </c>
      <c r="M20" s="51" t="str">
        <f>VLOOKUP(Table3[[#This Row],[COMMODITY PREXC SUB-PROGRAM]],TAGS!$U$54:$V$76,2,FALSE)</f>
        <v>PSS</v>
      </c>
      <c r="N20" s="47" t="s">
        <v>576</v>
      </c>
      <c r="O20" s="54" t="str">
        <f>VLOOKUP(Table3[[#This Row],[PI LEVEL 3]],'PI LEVEL'!A:C,3,FALSE)</f>
        <v>Seeds distributed</v>
      </c>
      <c r="P20" s="54" t="str">
        <f>VLOOKUP(Table3[[#This Row],[PI LEVEL 3]],Table53729[[Performance Indicator Level 3]:[Performance Indicator Level 1]],2,FALSE)</f>
        <v>Corn Seeds distributed</v>
      </c>
      <c r="Q20" s="54" t="str">
        <f>VLOOKUP(Table3[[#This Row],[ACTIVITY]],TAGS!B:P,2,FALSE)</f>
        <v>White Corn Seeds distributed</v>
      </c>
      <c r="R20" s="47" t="s">
        <v>24</v>
      </c>
      <c r="S20" s="51" t="str">
        <f>VLOOKUP(Table3[[#This Row],[ACTIVITY]],TAGS!$B:$P,4,FALSE)</f>
        <v>OPV Seed Production</v>
      </c>
      <c r="T20" s="51" t="str">
        <f>VLOOKUP(Table3[[#This Row],[ACTIVITY]],TAGS!$B:$P,5,FALSE)</f>
        <v>OPV Seed Production</v>
      </c>
      <c r="U20" s="51" t="str">
        <f>VLOOKUP(Table3[[#This Row],[ACTIVITY]],TAGS!$B:$P,6,FALSE)</f>
        <v>White corn seeds</v>
      </c>
      <c r="V20" s="51" t="str">
        <f>VLOOKUP(Table3[[#This Row],[ACTIVITY]],TAGS!$B:$P,7,FALSE)</f>
        <v>NO</v>
      </c>
      <c r="W20" s="51" t="str">
        <f>VLOOKUP(Table3[[#This Row],[ACTIVITY]],TAGS!$B:$P,8,FALSE)</f>
        <v>PAP</v>
      </c>
      <c r="X20" s="51" t="str">
        <f>VLOOKUP(Table3[[#This Row],[ACTIVITY]],TAGS!$B:$P,10,FALSE)</f>
        <v>PIP</v>
      </c>
      <c r="Y20" s="51" t="str">
        <f>VLOOKUP(Table3[[#This Row],[ACTIVITY]],TAGS!$B:$P,11,FALSE)</f>
        <v>PICS</v>
      </c>
      <c r="Z20" s="51" t="str">
        <f>VLOOKUP(Table3[[#This Row],[ACTIVITY]],TAGS!$B:$P,12,FALSE)</f>
        <v>Consolidation</v>
      </c>
      <c r="AA20" s="51" t="str">
        <f>VLOOKUP(Table3[[#This Row],[ACTIVITY]],TAGS!$B:$P,13,FALSE)</f>
        <v>1. Bayanihan Agri Cluster</v>
      </c>
      <c r="AB20" s="51" t="str">
        <f>VLOOKUP(Table3[[#This Row],[ACTIVITY]],TAGS!$B:$P,14,FALSE)</f>
        <v>EXPAND AND IMPROVE AVAILABLE AGRI-FISHERY AREAS FOR INCREASED PRODUCTION</v>
      </c>
      <c r="AC20" s="51" t="str">
        <f>VLOOKUP(Table3[[#This Row],[ACTIVITY]],TAGS!$B:$P,15,FALSE)</f>
        <v>Farm Inputs</v>
      </c>
      <c r="AD20" s="51" t="str">
        <f>VLOOKUP(Table3[[#This Row],[PI LEVEL 3]],'PI LEVEL'!$A:$G,7,FALSE)</f>
        <v>DA-Level Output</v>
      </c>
      <c r="AE20" s="47" t="s">
        <v>577</v>
      </c>
      <c r="AF20" s="51" t="str">
        <f>VLOOKUP(Table3[[#This Row],[ACTIVITY]],TAGS!$B:$P,3,FALSE)</f>
        <v>kilogram</v>
      </c>
      <c r="AG20" s="47" t="s">
        <v>336</v>
      </c>
      <c r="AH20" s="51" t="str">
        <f>VLOOKUP(Table3[[#This Row],[MONTH]],TAGS!$W$67:$Y$81,2,FALSE)</f>
        <v>4TH QTR</v>
      </c>
      <c r="AI20" s="51" t="str">
        <f>VLOOKUP(Table3[[#This Row],[MONTH]],TAGS!$W$67:$Y$81,3,FALSE)</f>
        <v>2ND SEMESTER</v>
      </c>
      <c r="AJ20" s="51">
        <f>VLOOKUP(Table3[[#This Row],[MONTH]],TAGS!$W$67:$Z$81,4,FALSE)</f>
        <v>2025</v>
      </c>
      <c r="AK20" s="47">
        <v>225</v>
      </c>
      <c r="AL20" s="51" t="str">
        <f>VLOOKUP(Table3[[#This Row],[ACTIVITY]],TAGS!$B:$R,16,FALSE)</f>
        <v>YES</v>
      </c>
      <c r="AM20" s="55">
        <f>Table3[[#This Row],[TARGET]]/18</f>
        <v>12.5</v>
      </c>
      <c r="AN20" s="47">
        <v>11.25</v>
      </c>
      <c r="AO20" s="57">
        <f>SUM(Table3[[#This Row],[MALE BENEFICIARIES]:[FEMALE BENEFICIARIES]])</f>
        <v>0</v>
      </c>
      <c r="AP20" s="58"/>
      <c r="AQ20" s="58"/>
      <c r="AR20" s="58"/>
      <c r="AS20" s="58"/>
      <c r="AT20" s="59">
        <v>37</v>
      </c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</row>
    <row r="21" spans="1:65">
      <c r="A21" s="51" t="str">
        <f>VLOOKUP(Table3[[#This Row],[OU]],OU!$A$15:$B$34,2,FALSE)</f>
        <v>RFOs</v>
      </c>
      <c r="B21" s="47" t="s">
        <v>5</v>
      </c>
      <c r="C21" s="47" t="s">
        <v>574</v>
      </c>
      <c r="D21" s="47"/>
      <c r="E21" s="47" t="s">
        <v>22</v>
      </c>
      <c r="F21" s="47" t="s">
        <v>628</v>
      </c>
      <c r="G2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2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21517000</v>
      </c>
      <c r="I21" s="52" t="str">
        <f>VLOOKUP(Table3[[#This Row],[PSGC]],DISTRICT!$D:$G,4,FALSE)</f>
        <v>3rd</v>
      </c>
      <c r="J21" s="47" t="s">
        <v>575</v>
      </c>
      <c r="K21" s="51" t="str">
        <f>VLOOKUP(Table3[[#This Row],[SPECIFIC COMMODITY]],TAGS!$W$48:$X$53,2,FALSE)</f>
        <v>Corn</v>
      </c>
      <c r="L21" s="51" t="str">
        <f>VLOOKUP(Table3[[#This Row],[PREXC SUB-PROGRAM]],Table5[],2,FALSE)</f>
        <v>TECHNICAL AND SUPPORT SERVICES PROGRAM</v>
      </c>
      <c r="M21" s="51" t="str">
        <f>VLOOKUP(Table3[[#This Row],[COMMODITY PREXC SUB-PROGRAM]],TAGS!$U$54:$V$76,2,FALSE)</f>
        <v>PSS</v>
      </c>
      <c r="N21" s="47" t="s">
        <v>576</v>
      </c>
      <c r="O21" s="54" t="str">
        <f>VLOOKUP(Table3[[#This Row],[PI LEVEL 3]],'PI LEVEL'!A:C,3,FALSE)</f>
        <v>Seeds distributed</v>
      </c>
      <c r="P21" s="54" t="str">
        <f>VLOOKUP(Table3[[#This Row],[PI LEVEL 3]],Table53729[[Performance Indicator Level 3]:[Performance Indicator Level 1]],2,FALSE)</f>
        <v>Corn Seeds distributed</v>
      </c>
      <c r="Q21" s="54" t="str">
        <f>VLOOKUP(Table3[[#This Row],[ACTIVITY]],TAGS!B:P,2,FALSE)</f>
        <v>White Corn Seeds distributed</v>
      </c>
      <c r="R21" s="47" t="s">
        <v>24</v>
      </c>
      <c r="S21" s="51" t="str">
        <f>VLOOKUP(Table3[[#This Row],[ACTIVITY]],TAGS!$B:$P,4,FALSE)</f>
        <v>OPV Seed Production</v>
      </c>
      <c r="T21" s="51" t="str">
        <f>VLOOKUP(Table3[[#This Row],[ACTIVITY]],TAGS!$B:$P,5,FALSE)</f>
        <v>OPV Seed Production</v>
      </c>
      <c r="U21" s="51" t="str">
        <f>VLOOKUP(Table3[[#This Row],[ACTIVITY]],TAGS!$B:$P,6,FALSE)</f>
        <v>White corn seeds</v>
      </c>
      <c r="V21" s="51" t="str">
        <f>VLOOKUP(Table3[[#This Row],[ACTIVITY]],TAGS!$B:$P,7,FALSE)</f>
        <v>NO</v>
      </c>
      <c r="W21" s="51" t="str">
        <f>VLOOKUP(Table3[[#This Row],[ACTIVITY]],TAGS!$B:$P,8,FALSE)</f>
        <v>PAP</v>
      </c>
      <c r="X21" s="51" t="str">
        <f>VLOOKUP(Table3[[#This Row],[ACTIVITY]],TAGS!$B:$P,10,FALSE)</f>
        <v>PIP</v>
      </c>
      <c r="Y21" s="51" t="str">
        <f>VLOOKUP(Table3[[#This Row],[ACTIVITY]],TAGS!$B:$P,11,FALSE)</f>
        <v>PICS</v>
      </c>
      <c r="Z21" s="51" t="str">
        <f>VLOOKUP(Table3[[#This Row],[ACTIVITY]],TAGS!$B:$P,12,FALSE)</f>
        <v>Consolidation</v>
      </c>
      <c r="AA21" s="51" t="str">
        <f>VLOOKUP(Table3[[#This Row],[ACTIVITY]],TAGS!$B:$P,13,FALSE)</f>
        <v>1. Bayanihan Agri Cluster</v>
      </c>
      <c r="AB21" s="51" t="str">
        <f>VLOOKUP(Table3[[#This Row],[ACTIVITY]],TAGS!$B:$P,14,FALSE)</f>
        <v>EXPAND AND IMPROVE AVAILABLE AGRI-FISHERY AREAS FOR INCREASED PRODUCTION</v>
      </c>
      <c r="AC21" s="51" t="str">
        <f>VLOOKUP(Table3[[#This Row],[ACTIVITY]],TAGS!$B:$P,15,FALSE)</f>
        <v>Farm Inputs</v>
      </c>
      <c r="AD21" s="51" t="str">
        <f>VLOOKUP(Table3[[#This Row],[PI LEVEL 3]],'PI LEVEL'!$A:$G,7,FALSE)</f>
        <v>DA-Level Output</v>
      </c>
      <c r="AE21" s="47" t="s">
        <v>577</v>
      </c>
      <c r="AF21" s="51" t="str">
        <f>VLOOKUP(Table3[[#This Row],[ACTIVITY]],TAGS!$B:$P,3,FALSE)</f>
        <v>kilogram</v>
      </c>
      <c r="AG21" s="47" t="s">
        <v>336</v>
      </c>
      <c r="AH21" s="51" t="str">
        <f>VLOOKUP(Table3[[#This Row],[MONTH]],TAGS!$W$67:$Y$81,2,FALSE)</f>
        <v>4TH QTR</v>
      </c>
      <c r="AI21" s="51" t="str">
        <f>VLOOKUP(Table3[[#This Row],[MONTH]],TAGS!$W$67:$Y$81,3,FALSE)</f>
        <v>2ND SEMESTER</v>
      </c>
      <c r="AJ21" s="51">
        <f>VLOOKUP(Table3[[#This Row],[MONTH]],TAGS!$W$67:$Z$81,4,FALSE)</f>
        <v>2025</v>
      </c>
      <c r="AK21" s="47">
        <v>290</v>
      </c>
      <c r="AL21" s="51" t="str">
        <f>VLOOKUP(Table3[[#This Row],[ACTIVITY]],TAGS!$B:$R,16,FALSE)</f>
        <v>YES</v>
      </c>
      <c r="AM21" s="55">
        <f>Table3[[#This Row],[TARGET]]/18</f>
        <v>16.1111111111111</v>
      </c>
      <c r="AN21" s="47">
        <v>14.5</v>
      </c>
      <c r="AO21" s="57">
        <f>SUM(Table3[[#This Row],[MALE BENEFICIARIES]:[FEMALE BENEFICIARIES]])</f>
        <v>0</v>
      </c>
      <c r="AP21" s="58"/>
      <c r="AQ21" s="58"/>
      <c r="AR21" s="58"/>
      <c r="AS21" s="58"/>
      <c r="AT21" s="59">
        <v>12</v>
      </c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</row>
    <row r="22" spans="1:65">
      <c r="A22" s="51" t="str">
        <f>VLOOKUP(Table3[[#This Row],[OU]],OU!$A$15:$B$34,2,FALSE)</f>
        <v>RFOs</v>
      </c>
      <c r="B22" s="47" t="s">
        <v>5</v>
      </c>
      <c r="C22" s="47" t="s">
        <v>574</v>
      </c>
      <c r="D22" s="47"/>
      <c r="E22" s="47" t="s">
        <v>22</v>
      </c>
      <c r="F22" s="47" t="s">
        <v>620</v>
      </c>
      <c r="G2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2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21518000</v>
      </c>
      <c r="I22" s="52" t="str">
        <f>VLOOKUP(Table3[[#This Row],[PSGC]],DISTRICT!$D:$G,4,FALSE)</f>
        <v>4th</v>
      </c>
      <c r="J22" s="47" t="s">
        <v>575</v>
      </c>
      <c r="K22" s="51" t="str">
        <f>VLOOKUP(Table3[[#This Row],[SPECIFIC COMMODITY]],TAGS!$W$48:$X$53,2,FALSE)</f>
        <v>Corn</v>
      </c>
      <c r="L22" s="51" t="str">
        <f>VLOOKUP(Table3[[#This Row],[PREXC SUB-PROGRAM]],Table5[],2,FALSE)</f>
        <v>TECHNICAL AND SUPPORT SERVICES PROGRAM</v>
      </c>
      <c r="M22" s="51" t="str">
        <f>VLOOKUP(Table3[[#This Row],[COMMODITY PREXC SUB-PROGRAM]],TAGS!$U$54:$V$76,2,FALSE)</f>
        <v>PSS</v>
      </c>
      <c r="N22" s="47" t="s">
        <v>576</v>
      </c>
      <c r="O22" s="54" t="str">
        <f>VLOOKUP(Table3[[#This Row],[PI LEVEL 3]],'PI LEVEL'!A:C,3,FALSE)</f>
        <v>Seeds distributed</v>
      </c>
      <c r="P22" s="54" t="str">
        <f>VLOOKUP(Table3[[#This Row],[PI LEVEL 3]],Table53729[[Performance Indicator Level 3]:[Performance Indicator Level 1]],2,FALSE)</f>
        <v>Corn Seeds distributed</v>
      </c>
      <c r="Q22" s="54" t="str">
        <f>VLOOKUP(Table3[[#This Row],[ACTIVITY]],TAGS!B:P,2,FALSE)</f>
        <v>White Corn Seeds distributed</v>
      </c>
      <c r="R22" s="47" t="s">
        <v>24</v>
      </c>
      <c r="S22" s="51" t="str">
        <f>VLOOKUP(Table3[[#This Row],[ACTIVITY]],TAGS!$B:$P,4,FALSE)</f>
        <v>OPV Seed Production</v>
      </c>
      <c r="T22" s="51" t="str">
        <f>VLOOKUP(Table3[[#This Row],[ACTIVITY]],TAGS!$B:$P,5,FALSE)</f>
        <v>OPV Seed Production</v>
      </c>
      <c r="U22" s="51" t="str">
        <f>VLOOKUP(Table3[[#This Row],[ACTIVITY]],TAGS!$B:$P,6,FALSE)</f>
        <v>White corn seeds</v>
      </c>
      <c r="V22" s="51" t="str">
        <f>VLOOKUP(Table3[[#This Row],[ACTIVITY]],TAGS!$B:$P,7,FALSE)</f>
        <v>NO</v>
      </c>
      <c r="W22" s="51" t="str">
        <f>VLOOKUP(Table3[[#This Row],[ACTIVITY]],TAGS!$B:$P,8,FALSE)</f>
        <v>PAP</v>
      </c>
      <c r="X22" s="51" t="str">
        <f>VLOOKUP(Table3[[#This Row],[ACTIVITY]],TAGS!$B:$P,10,FALSE)</f>
        <v>PIP</v>
      </c>
      <c r="Y22" s="51" t="str">
        <f>VLOOKUP(Table3[[#This Row],[ACTIVITY]],TAGS!$B:$P,11,FALSE)</f>
        <v>PICS</v>
      </c>
      <c r="Z22" s="51" t="str">
        <f>VLOOKUP(Table3[[#This Row],[ACTIVITY]],TAGS!$B:$P,12,FALSE)</f>
        <v>Consolidation</v>
      </c>
      <c r="AA22" s="51" t="str">
        <f>VLOOKUP(Table3[[#This Row],[ACTIVITY]],TAGS!$B:$P,13,FALSE)</f>
        <v>1. Bayanihan Agri Cluster</v>
      </c>
      <c r="AB22" s="51" t="str">
        <f>VLOOKUP(Table3[[#This Row],[ACTIVITY]],TAGS!$B:$P,14,FALSE)</f>
        <v>EXPAND AND IMPROVE AVAILABLE AGRI-FISHERY AREAS FOR INCREASED PRODUCTION</v>
      </c>
      <c r="AC22" s="51" t="str">
        <f>VLOOKUP(Table3[[#This Row],[ACTIVITY]],TAGS!$B:$P,15,FALSE)</f>
        <v>Farm Inputs</v>
      </c>
      <c r="AD22" s="51" t="str">
        <f>VLOOKUP(Table3[[#This Row],[PI LEVEL 3]],'PI LEVEL'!$A:$G,7,FALSE)</f>
        <v>DA-Level Output</v>
      </c>
      <c r="AE22" s="47" t="s">
        <v>577</v>
      </c>
      <c r="AF22" s="51" t="str">
        <f>VLOOKUP(Table3[[#This Row],[ACTIVITY]],TAGS!$B:$P,3,FALSE)</f>
        <v>kilogram</v>
      </c>
      <c r="AG22" s="47" t="s">
        <v>336</v>
      </c>
      <c r="AH22" s="51" t="str">
        <f>VLOOKUP(Table3[[#This Row],[MONTH]],TAGS!$W$67:$Y$81,2,FALSE)</f>
        <v>4TH QTR</v>
      </c>
      <c r="AI22" s="51" t="str">
        <f>VLOOKUP(Table3[[#This Row],[MONTH]],TAGS!$W$67:$Y$81,3,FALSE)</f>
        <v>2ND SEMESTER</v>
      </c>
      <c r="AJ22" s="51">
        <f>VLOOKUP(Table3[[#This Row],[MONTH]],TAGS!$W$67:$Z$81,4,FALSE)</f>
        <v>2025</v>
      </c>
      <c r="AK22" s="47">
        <v>558</v>
      </c>
      <c r="AL22" s="51" t="str">
        <f>VLOOKUP(Table3[[#This Row],[ACTIVITY]],TAGS!$B:$R,16,FALSE)</f>
        <v>YES</v>
      </c>
      <c r="AM22" s="55">
        <f>Table3[[#This Row],[TARGET]]/18</f>
        <v>31</v>
      </c>
      <c r="AN22" s="47">
        <v>27.9</v>
      </c>
      <c r="AO22" s="57">
        <f>SUM(Table3[[#This Row],[MALE BENEFICIARIES]:[FEMALE BENEFICIARIES]])</f>
        <v>0</v>
      </c>
      <c r="AP22" s="58"/>
      <c r="AQ22" s="58"/>
      <c r="AR22" s="58"/>
      <c r="AS22" s="58"/>
      <c r="AT22" s="59">
        <v>16</v>
      </c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</row>
    <row r="23" spans="1:65">
      <c r="A23" s="51" t="str">
        <f>VLOOKUP(Table3[[#This Row],[OU]],OU!$A$15:$B$34,2,FALSE)</f>
        <v>RFOs</v>
      </c>
      <c r="B23" s="47" t="s">
        <v>5</v>
      </c>
      <c r="C23" s="47" t="s">
        <v>574</v>
      </c>
      <c r="D23" s="47"/>
      <c r="E23" s="47" t="s">
        <v>22</v>
      </c>
      <c r="F23" s="47" t="s">
        <v>629</v>
      </c>
      <c r="G2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2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21529000</v>
      </c>
      <c r="I23" s="52" t="str">
        <f>VLOOKUP(Table3[[#This Row],[PSGC]],DISTRICT!$D:$G,4,FALSE)</f>
        <v>3rd</v>
      </c>
      <c r="J23" s="47" t="s">
        <v>575</v>
      </c>
      <c r="K23" s="51" t="str">
        <f>VLOOKUP(Table3[[#This Row],[SPECIFIC COMMODITY]],TAGS!$W$48:$X$53,2,FALSE)</f>
        <v>Corn</v>
      </c>
      <c r="L23" s="51" t="str">
        <f>VLOOKUP(Table3[[#This Row],[PREXC SUB-PROGRAM]],Table5[],2,FALSE)</f>
        <v>TECHNICAL AND SUPPORT SERVICES PROGRAM</v>
      </c>
      <c r="M23" s="51" t="str">
        <f>VLOOKUP(Table3[[#This Row],[COMMODITY PREXC SUB-PROGRAM]],TAGS!$U$54:$V$76,2,FALSE)</f>
        <v>PSS</v>
      </c>
      <c r="N23" s="47" t="s">
        <v>576</v>
      </c>
      <c r="O23" s="54" t="str">
        <f>VLOOKUP(Table3[[#This Row],[PI LEVEL 3]],'PI LEVEL'!A:C,3,FALSE)</f>
        <v>Seeds distributed</v>
      </c>
      <c r="P23" s="54" t="str">
        <f>VLOOKUP(Table3[[#This Row],[PI LEVEL 3]],Table53729[[Performance Indicator Level 3]:[Performance Indicator Level 1]],2,FALSE)</f>
        <v>Corn Seeds distributed</v>
      </c>
      <c r="Q23" s="54" t="str">
        <f>VLOOKUP(Table3[[#This Row],[ACTIVITY]],TAGS!B:P,2,FALSE)</f>
        <v>White Corn Seeds distributed</v>
      </c>
      <c r="R23" s="47" t="s">
        <v>24</v>
      </c>
      <c r="S23" s="51" t="str">
        <f>VLOOKUP(Table3[[#This Row],[ACTIVITY]],TAGS!$B:$P,4,FALSE)</f>
        <v>OPV Seed Production</v>
      </c>
      <c r="T23" s="51" t="str">
        <f>VLOOKUP(Table3[[#This Row],[ACTIVITY]],TAGS!$B:$P,5,FALSE)</f>
        <v>OPV Seed Production</v>
      </c>
      <c r="U23" s="51" t="str">
        <f>VLOOKUP(Table3[[#This Row],[ACTIVITY]],TAGS!$B:$P,6,FALSE)</f>
        <v>White corn seeds</v>
      </c>
      <c r="V23" s="51" t="str">
        <f>VLOOKUP(Table3[[#This Row],[ACTIVITY]],TAGS!$B:$P,7,FALSE)</f>
        <v>NO</v>
      </c>
      <c r="W23" s="51" t="str">
        <f>VLOOKUP(Table3[[#This Row],[ACTIVITY]],TAGS!$B:$P,8,FALSE)</f>
        <v>PAP</v>
      </c>
      <c r="X23" s="51" t="str">
        <f>VLOOKUP(Table3[[#This Row],[ACTIVITY]],TAGS!$B:$P,10,FALSE)</f>
        <v>PIP</v>
      </c>
      <c r="Y23" s="51" t="str">
        <f>VLOOKUP(Table3[[#This Row],[ACTIVITY]],TAGS!$B:$P,11,FALSE)</f>
        <v>PICS</v>
      </c>
      <c r="Z23" s="51" t="str">
        <f>VLOOKUP(Table3[[#This Row],[ACTIVITY]],TAGS!$B:$P,12,FALSE)</f>
        <v>Consolidation</v>
      </c>
      <c r="AA23" s="51" t="str">
        <f>VLOOKUP(Table3[[#This Row],[ACTIVITY]],TAGS!$B:$P,13,FALSE)</f>
        <v>1. Bayanihan Agri Cluster</v>
      </c>
      <c r="AB23" s="51" t="str">
        <f>VLOOKUP(Table3[[#This Row],[ACTIVITY]],TAGS!$B:$P,14,FALSE)</f>
        <v>EXPAND AND IMPROVE AVAILABLE AGRI-FISHERY AREAS FOR INCREASED PRODUCTION</v>
      </c>
      <c r="AC23" s="51" t="str">
        <f>VLOOKUP(Table3[[#This Row],[ACTIVITY]],TAGS!$B:$P,15,FALSE)</f>
        <v>Farm Inputs</v>
      </c>
      <c r="AD23" s="51" t="str">
        <f>VLOOKUP(Table3[[#This Row],[PI LEVEL 3]],'PI LEVEL'!$A:$G,7,FALSE)</f>
        <v>DA-Level Output</v>
      </c>
      <c r="AE23" s="47" t="s">
        <v>577</v>
      </c>
      <c r="AF23" s="51" t="str">
        <f>VLOOKUP(Table3[[#This Row],[ACTIVITY]],TAGS!$B:$P,3,FALSE)</f>
        <v>kilogram</v>
      </c>
      <c r="AG23" s="47" t="s">
        <v>336</v>
      </c>
      <c r="AH23" s="51" t="str">
        <f>VLOOKUP(Table3[[#This Row],[MONTH]],TAGS!$W$67:$Y$81,2,FALSE)</f>
        <v>4TH QTR</v>
      </c>
      <c r="AI23" s="51" t="str">
        <f>VLOOKUP(Table3[[#This Row],[MONTH]],TAGS!$W$67:$Y$81,3,FALSE)</f>
        <v>2ND SEMESTER</v>
      </c>
      <c r="AJ23" s="51">
        <f>VLOOKUP(Table3[[#This Row],[MONTH]],TAGS!$W$67:$Z$81,4,FALSE)</f>
        <v>2025</v>
      </c>
      <c r="AK23" s="47">
        <v>252</v>
      </c>
      <c r="AL23" s="51" t="str">
        <f>VLOOKUP(Table3[[#This Row],[ACTIVITY]],TAGS!$B:$R,16,FALSE)</f>
        <v>YES</v>
      </c>
      <c r="AM23" s="55">
        <f>Table3[[#This Row],[TARGET]]/18</f>
        <v>14</v>
      </c>
      <c r="AN23" s="47">
        <v>12.6</v>
      </c>
      <c r="AO23" s="57">
        <f>SUM(Table3[[#This Row],[MALE BENEFICIARIES]:[FEMALE BENEFICIARIES]])</f>
        <v>0</v>
      </c>
      <c r="AP23" s="58"/>
      <c r="AQ23" s="58"/>
      <c r="AR23" s="58"/>
      <c r="AS23" s="58"/>
      <c r="AT23" s="59">
        <v>31</v>
      </c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</row>
    <row r="24" spans="1:65">
      <c r="A24" s="51" t="str">
        <f>VLOOKUP(Table3[[#This Row],[OU]],OU!$A$15:$B$34,2,FALSE)</f>
        <v>RFOs</v>
      </c>
      <c r="B24" s="47" t="s">
        <v>5</v>
      </c>
      <c r="C24" s="47" t="s">
        <v>574</v>
      </c>
      <c r="D24" s="47"/>
      <c r="E24" s="47" t="s">
        <v>43</v>
      </c>
      <c r="F24" s="47" t="s">
        <v>622</v>
      </c>
      <c r="G2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2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23106000</v>
      </c>
      <c r="I24" s="52" t="str">
        <f>VLOOKUP(Table3[[#This Row],[PSGC]],DISTRICT!$D:$G,4,FALSE)</f>
        <v>1st</v>
      </c>
      <c r="J24" s="47" t="s">
        <v>575</v>
      </c>
      <c r="K24" s="51" t="str">
        <f>VLOOKUP(Table3[[#This Row],[SPECIFIC COMMODITY]],TAGS!$W$48:$X$53,2,FALSE)</f>
        <v>Corn</v>
      </c>
      <c r="L24" s="51" t="str">
        <f>VLOOKUP(Table3[[#This Row],[PREXC SUB-PROGRAM]],Table5[],2,FALSE)</f>
        <v>TECHNICAL AND SUPPORT SERVICES PROGRAM</v>
      </c>
      <c r="M24" s="51" t="str">
        <f>VLOOKUP(Table3[[#This Row],[COMMODITY PREXC SUB-PROGRAM]],TAGS!$U$54:$V$76,2,FALSE)</f>
        <v>PSS</v>
      </c>
      <c r="N24" s="47" t="s">
        <v>576</v>
      </c>
      <c r="O24" s="54" t="str">
        <f>VLOOKUP(Table3[[#This Row],[PI LEVEL 3]],'PI LEVEL'!A:C,3,FALSE)</f>
        <v>Seeds distributed</v>
      </c>
      <c r="P24" s="54" t="str">
        <f>VLOOKUP(Table3[[#This Row],[PI LEVEL 3]],Table53729[[Performance Indicator Level 3]:[Performance Indicator Level 1]],2,FALSE)</f>
        <v>Corn Seeds distributed</v>
      </c>
      <c r="Q24" s="54" t="str">
        <f>VLOOKUP(Table3[[#This Row],[ACTIVITY]],TAGS!B:P,2,FALSE)</f>
        <v>White Corn Seeds distributed</v>
      </c>
      <c r="R24" s="47" t="s">
        <v>24</v>
      </c>
      <c r="S24" s="51" t="str">
        <f>VLOOKUP(Table3[[#This Row],[ACTIVITY]],TAGS!$B:$P,4,FALSE)</f>
        <v>OPV Seed Production</v>
      </c>
      <c r="T24" s="51" t="str">
        <f>VLOOKUP(Table3[[#This Row],[ACTIVITY]],TAGS!$B:$P,5,FALSE)</f>
        <v>OPV Seed Production</v>
      </c>
      <c r="U24" s="51" t="str">
        <f>VLOOKUP(Table3[[#This Row],[ACTIVITY]],TAGS!$B:$P,6,FALSE)</f>
        <v>White corn seeds</v>
      </c>
      <c r="V24" s="51" t="str">
        <f>VLOOKUP(Table3[[#This Row],[ACTIVITY]],TAGS!$B:$P,7,FALSE)</f>
        <v>NO</v>
      </c>
      <c r="W24" s="51" t="str">
        <f>VLOOKUP(Table3[[#This Row],[ACTIVITY]],TAGS!$B:$P,8,FALSE)</f>
        <v>PAP</v>
      </c>
      <c r="X24" s="51" t="str">
        <f>VLOOKUP(Table3[[#This Row],[ACTIVITY]],TAGS!$B:$P,10,FALSE)</f>
        <v>PIP</v>
      </c>
      <c r="Y24" s="51" t="str">
        <f>VLOOKUP(Table3[[#This Row],[ACTIVITY]],TAGS!$B:$P,11,FALSE)</f>
        <v>PICS</v>
      </c>
      <c r="Z24" s="51" t="str">
        <f>VLOOKUP(Table3[[#This Row],[ACTIVITY]],TAGS!$B:$P,12,FALSE)</f>
        <v>Consolidation</v>
      </c>
      <c r="AA24" s="51" t="str">
        <f>VLOOKUP(Table3[[#This Row],[ACTIVITY]],TAGS!$B:$P,13,FALSE)</f>
        <v>1. Bayanihan Agri Cluster</v>
      </c>
      <c r="AB24" s="51" t="str">
        <f>VLOOKUP(Table3[[#This Row],[ACTIVITY]],TAGS!$B:$P,14,FALSE)</f>
        <v>EXPAND AND IMPROVE AVAILABLE AGRI-FISHERY AREAS FOR INCREASED PRODUCTION</v>
      </c>
      <c r="AC24" s="51" t="str">
        <f>VLOOKUP(Table3[[#This Row],[ACTIVITY]],TAGS!$B:$P,15,FALSE)</f>
        <v>Farm Inputs</v>
      </c>
      <c r="AD24" s="51" t="str">
        <f>VLOOKUP(Table3[[#This Row],[PI LEVEL 3]],'PI LEVEL'!$A:$G,7,FALSE)</f>
        <v>DA-Level Output</v>
      </c>
      <c r="AE24" s="47" t="s">
        <v>577</v>
      </c>
      <c r="AF24" s="51" t="str">
        <f>VLOOKUP(Table3[[#This Row],[ACTIVITY]],TAGS!$B:$P,3,FALSE)</f>
        <v>kilogram</v>
      </c>
      <c r="AG24" s="47" t="s">
        <v>332</v>
      </c>
      <c r="AH24" s="51" t="str">
        <f>VLOOKUP(Table3[[#This Row],[MONTH]],TAGS!$W$67:$Y$81,2,FALSE)</f>
        <v>2ND QTR</v>
      </c>
      <c r="AI24" s="51" t="str">
        <f>VLOOKUP(Table3[[#This Row],[MONTH]],TAGS!$W$67:$Y$81,3,FALSE)</f>
        <v>1ST SEMESTER</v>
      </c>
      <c r="AJ24" s="51">
        <f>VLOOKUP(Table3[[#This Row],[MONTH]],TAGS!$W$67:$Z$81,4,FALSE)</f>
        <v>2025</v>
      </c>
      <c r="AK24" s="47">
        <v>450</v>
      </c>
      <c r="AL24" s="51" t="str">
        <f>VLOOKUP(Table3[[#This Row],[ACTIVITY]],TAGS!$B:$R,16,FALSE)</f>
        <v>YES</v>
      </c>
      <c r="AM24" s="55">
        <v>25</v>
      </c>
      <c r="AN24" s="47">
        <v>22.5</v>
      </c>
      <c r="AO24" s="57">
        <f>SUM(Table3[[#This Row],[MALE BENEFICIARIES]:[FEMALE BENEFICIARIES]])</f>
        <v>0</v>
      </c>
      <c r="AP24" s="58"/>
      <c r="AQ24" s="58"/>
      <c r="AR24" s="58"/>
      <c r="AS24" s="58">
        <v>1</v>
      </c>
      <c r="AT24" s="59">
        <v>14</v>
      </c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</row>
    <row r="25" spans="1:65">
      <c r="A25" s="51" t="str">
        <f>VLOOKUP(Table3[[#This Row],[OU]],OU!$A$15:$B$34,2,FALSE)</f>
        <v>RFOs</v>
      </c>
      <c r="B25" s="47" t="s">
        <v>5</v>
      </c>
      <c r="C25" s="47" t="s">
        <v>574</v>
      </c>
      <c r="D25" s="47"/>
      <c r="E25" s="47" t="s">
        <v>43</v>
      </c>
      <c r="F25" s="47" t="s">
        <v>624</v>
      </c>
      <c r="G2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2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23134000</v>
      </c>
      <c r="I25" s="52" t="str">
        <f>VLOOKUP(Table3[[#This Row],[PSGC]],DISTRICT!$D:$G,4,FALSE)</f>
        <v>4th</v>
      </c>
      <c r="J25" s="47" t="s">
        <v>575</v>
      </c>
      <c r="K25" s="51" t="str">
        <f>VLOOKUP(Table3[[#This Row],[SPECIFIC COMMODITY]],TAGS!$W$48:$X$53,2,FALSE)</f>
        <v>Corn</v>
      </c>
      <c r="L25" s="51" t="str">
        <f>VLOOKUP(Table3[[#This Row],[PREXC SUB-PROGRAM]],Table5[],2,FALSE)</f>
        <v>TECHNICAL AND SUPPORT SERVICES PROGRAM</v>
      </c>
      <c r="M25" s="51" t="str">
        <f>VLOOKUP(Table3[[#This Row],[COMMODITY PREXC SUB-PROGRAM]],TAGS!$U$54:$V$76,2,FALSE)</f>
        <v>PSS</v>
      </c>
      <c r="N25" s="47" t="s">
        <v>576</v>
      </c>
      <c r="O25" s="54" t="str">
        <f>VLOOKUP(Table3[[#This Row],[PI LEVEL 3]],'PI LEVEL'!A:C,3,FALSE)</f>
        <v>Seeds distributed</v>
      </c>
      <c r="P25" s="54" t="str">
        <f>VLOOKUP(Table3[[#This Row],[PI LEVEL 3]],Table53729[[Performance Indicator Level 3]:[Performance Indicator Level 1]],2,FALSE)</f>
        <v>Corn Seeds distributed</v>
      </c>
      <c r="Q25" s="54" t="str">
        <f>VLOOKUP(Table3[[#This Row],[ACTIVITY]],TAGS!B:P,2,FALSE)</f>
        <v>White Corn Seeds distributed</v>
      </c>
      <c r="R25" s="47" t="s">
        <v>24</v>
      </c>
      <c r="S25" s="51" t="str">
        <f>VLOOKUP(Table3[[#This Row],[ACTIVITY]],TAGS!$B:$P,4,FALSE)</f>
        <v>OPV Seed Production</v>
      </c>
      <c r="T25" s="51" t="str">
        <f>VLOOKUP(Table3[[#This Row],[ACTIVITY]],TAGS!$B:$P,5,FALSE)</f>
        <v>OPV Seed Production</v>
      </c>
      <c r="U25" s="51" t="str">
        <f>VLOOKUP(Table3[[#This Row],[ACTIVITY]],TAGS!$B:$P,6,FALSE)</f>
        <v>White corn seeds</v>
      </c>
      <c r="V25" s="51" t="str">
        <f>VLOOKUP(Table3[[#This Row],[ACTIVITY]],TAGS!$B:$P,7,FALSE)</f>
        <v>NO</v>
      </c>
      <c r="W25" s="51" t="str">
        <f>VLOOKUP(Table3[[#This Row],[ACTIVITY]],TAGS!$B:$P,8,FALSE)</f>
        <v>PAP</v>
      </c>
      <c r="X25" s="51" t="str">
        <f>VLOOKUP(Table3[[#This Row],[ACTIVITY]],TAGS!$B:$P,10,FALSE)</f>
        <v>PIP</v>
      </c>
      <c r="Y25" s="51" t="str">
        <f>VLOOKUP(Table3[[#This Row],[ACTIVITY]],TAGS!$B:$P,11,FALSE)</f>
        <v>PICS</v>
      </c>
      <c r="Z25" s="51" t="str">
        <f>VLOOKUP(Table3[[#This Row],[ACTIVITY]],TAGS!$B:$P,12,FALSE)</f>
        <v>Consolidation</v>
      </c>
      <c r="AA25" s="51" t="str">
        <f>VLOOKUP(Table3[[#This Row],[ACTIVITY]],TAGS!$B:$P,13,FALSE)</f>
        <v>1. Bayanihan Agri Cluster</v>
      </c>
      <c r="AB25" s="51" t="str">
        <f>VLOOKUP(Table3[[#This Row],[ACTIVITY]],TAGS!$B:$P,14,FALSE)</f>
        <v>EXPAND AND IMPROVE AVAILABLE AGRI-FISHERY AREAS FOR INCREASED PRODUCTION</v>
      </c>
      <c r="AC25" s="51" t="str">
        <f>VLOOKUP(Table3[[#This Row],[ACTIVITY]],TAGS!$B:$P,15,FALSE)</f>
        <v>Farm Inputs</v>
      </c>
      <c r="AD25" s="51" t="str">
        <f>VLOOKUP(Table3[[#This Row],[PI LEVEL 3]],'PI LEVEL'!$A:$G,7,FALSE)</f>
        <v>DA-Level Output</v>
      </c>
      <c r="AE25" s="47" t="s">
        <v>577</v>
      </c>
      <c r="AF25" s="51" t="str">
        <f>VLOOKUP(Table3[[#This Row],[ACTIVITY]],TAGS!$B:$P,3,FALSE)</f>
        <v>kilogram</v>
      </c>
      <c r="AG25" s="47" t="s">
        <v>332</v>
      </c>
      <c r="AH25" s="51" t="str">
        <f>VLOOKUP(Table3[[#This Row],[MONTH]],TAGS!$W$67:$Y$81,2,FALSE)</f>
        <v>2ND QTR</v>
      </c>
      <c r="AI25" s="51" t="str">
        <f>VLOOKUP(Table3[[#This Row],[MONTH]],TAGS!$W$67:$Y$81,3,FALSE)</f>
        <v>1ST SEMESTER</v>
      </c>
      <c r="AJ25" s="51">
        <f>VLOOKUP(Table3[[#This Row],[MONTH]],TAGS!$W$67:$Z$81,4,FALSE)</f>
        <v>2025</v>
      </c>
      <c r="AK25" s="47">
        <v>450</v>
      </c>
      <c r="AL25" s="51" t="str">
        <f>VLOOKUP(Table3[[#This Row],[ACTIVITY]],TAGS!$B:$R,16,FALSE)</f>
        <v>YES</v>
      </c>
      <c r="AM25" s="55">
        <v>25</v>
      </c>
      <c r="AN25" s="47">
        <v>22.5</v>
      </c>
      <c r="AO25" s="57">
        <f>SUM(Table3[[#This Row],[MALE BENEFICIARIES]:[FEMALE BENEFICIARIES]])</f>
        <v>0</v>
      </c>
      <c r="AP25" s="58"/>
      <c r="AQ25" s="58"/>
      <c r="AR25" s="58"/>
      <c r="AS25" s="58">
        <v>1</v>
      </c>
      <c r="AT25" s="59">
        <v>25</v>
      </c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</row>
    <row r="26" spans="1:65">
      <c r="A26" s="51" t="str">
        <f>VLOOKUP(Table3[[#This Row],[OU]],OU!$A$15:$B$34,2,FALSE)</f>
        <v>RFOs</v>
      </c>
      <c r="B26" s="47" t="s">
        <v>5</v>
      </c>
      <c r="C26" s="47" t="s">
        <v>574</v>
      </c>
      <c r="D26" s="47"/>
      <c r="E26" s="47" t="s">
        <v>43</v>
      </c>
      <c r="F26" s="47" t="s">
        <v>623</v>
      </c>
      <c r="G2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2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23133000</v>
      </c>
      <c r="I26" s="52" t="str">
        <f>VLOOKUP(Table3[[#This Row],[PSGC]],DISTRICT!$D:$G,4,FALSE)</f>
        <v>2nd</v>
      </c>
      <c r="J26" s="47" t="s">
        <v>575</v>
      </c>
      <c r="K26" s="51" t="str">
        <f>VLOOKUP(Table3[[#This Row],[SPECIFIC COMMODITY]],TAGS!$W$48:$X$53,2,FALSE)</f>
        <v>Corn</v>
      </c>
      <c r="L26" s="51" t="str">
        <f>VLOOKUP(Table3[[#This Row],[PREXC SUB-PROGRAM]],Table5[],2,FALSE)</f>
        <v>TECHNICAL AND SUPPORT SERVICES PROGRAM</v>
      </c>
      <c r="M26" s="51" t="str">
        <f>VLOOKUP(Table3[[#This Row],[COMMODITY PREXC SUB-PROGRAM]],TAGS!$U$54:$V$76,2,FALSE)</f>
        <v>PSS</v>
      </c>
      <c r="N26" s="47" t="s">
        <v>576</v>
      </c>
      <c r="O26" s="54" t="str">
        <f>VLOOKUP(Table3[[#This Row],[PI LEVEL 3]],'PI LEVEL'!A:C,3,FALSE)</f>
        <v>Seeds distributed</v>
      </c>
      <c r="P26" s="54" t="str">
        <f>VLOOKUP(Table3[[#This Row],[PI LEVEL 3]],Table53729[[Performance Indicator Level 3]:[Performance Indicator Level 1]],2,FALSE)</f>
        <v>Corn Seeds distributed</v>
      </c>
      <c r="Q26" s="54" t="str">
        <f>VLOOKUP(Table3[[#This Row],[ACTIVITY]],TAGS!B:P,2,FALSE)</f>
        <v>White Corn Seeds distributed</v>
      </c>
      <c r="R26" s="47" t="s">
        <v>24</v>
      </c>
      <c r="S26" s="51" t="str">
        <f>VLOOKUP(Table3[[#This Row],[ACTIVITY]],TAGS!$B:$P,4,FALSE)</f>
        <v>OPV Seed Production</v>
      </c>
      <c r="T26" s="51" t="str">
        <f>VLOOKUP(Table3[[#This Row],[ACTIVITY]],TAGS!$B:$P,5,FALSE)</f>
        <v>OPV Seed Production</v>
      </c>
      <c r="U26" s="51" t="str">
        <f>VLOOKUP(Table3[[#This Row],[ACTIVITY]],TAGS!$B:$P,6,FALSE)</f>
        <v>White corn seeds</v>
      </c>
      <c r="V26" s="51" t="str">
        <f>VLOOKUP(Table3[[#This Row],[ACTIVITY]],TAGS!$B:$P,7,FALSE)</f>
        <v>NO</v>
      </c>
      <c r="W26" s="51" t="str">
        <f>VLOOKUP(Table3[[#This Row],[ACTIVITY]],TAGS!$B:$P,8,FALSE)</f>
        <v>PAP</v>
      </c>
      <c r="X26" s="51" t="str">
        <f>VLOOKUP(Table3[[#This Row],[ACTIVITY]],TAGS!$B:$P,10,FALSE)</f>
        <v>PIP</v>
      </c>
      <c r="Y26" s="51" t="str">
        <f>VLOOKUP(Table3[[#This Row],[ACTIVITY]],TAGS!$B:$P,11,FALSE)</f>
        <v>PICS</v>
      </c>
      <c r="Z26" s="51" t="str">
        <f>VLOOKUP(Table3[[#This Row],[ACTIVITY]],TAGS!$B:$P,12,FALSE)</f>
        <v>Consolidation</v>
      </c>
      <c r="AA26" s="51" t="str">
        <f>VLOOKUP(Table3[[#This Row],[ACTIVITY]],TAGS!$B:$P,13,FALSE)</f>
        <v>1. Bayanihan Agri Cluster</v>
      </c>
      <c r="AB26" s="51" t="str">
        <f>VLOOKUP(Table3[[#This Row],[ACTIVITY]],TAGS!$B:$P,14,FALSE)</f>
        <v>EXPAND AND IMPROVE AVAILABLE AGRI-FISHERY AREAS FOR INCREASED PRODUCTION</v>
      </c>
      <c r="AC26" s="51" t="str">
        <f>VLOOKUP(Table3[[#This Row],[ACTIVITY]],TAGS!$B:$P,15,FALSE)</f>
        <v>Farm Inputs</v>
      </c>
      <c r="AD26" s="51" t="str">
        <f>VLOOKUP(Table3[[#This Row],[PI LEVEL 3]],'PI LEVEL'!$A:$G,7,FALSE)</f>
        <v>DA-Level Output</v>
      </c>
      <c r="AE26" s="47" t="s">
        <v>577</v>
      </c>
      <c r="AF26" s="51" t="str">
        <f>VLOOKUP(Table3[[#This Row],[ACTIVITY]],TAGS!$B:$P,3,FALSE)</f>
        <v>kilogram</v>
      </c>
      <c r="AG26" s="47" t="s">
        <v>332</v>
      </c>
      <c r="AH26" s="51" t="str">
        <f>VLOOKUP(Table3[[#This Row],[MONTH]],TAGS!$W$67:$Y$81,2,FALSE)</f>
        <v>2ND QTR</v>
      </c>
      <c r="AI26" s="51" t="str">
        <f>VLOOKUP(Table3[[#This Row],[MONTH]],TAGS!$W$67:$Y$81,3,FALSE)</f>
        <v>1ST SEMESTER</v>
      </c>
      <c r="AJ26" s="51">
        <f>VLOOKUP(Table3[[#This Row],[MONTH]],TAGS!$W$67:$Z$81,4,FALSE)</f>
        <v>2025</v>
      </c>
      <c r="AK26" s="47">
        <v>450</v>
      </c>
      <c r="AL26" s="51" t="str">
        <f>VLOOKUP(Table3[[#This Row],[ACTIVITY]],TAGS!$B:$R,16,FALSE)</f>
        <v>YES</v>
      </c>
      <c r="AM26" s="55">
        <v>25</v>
      </c>
      <c r="AN26" s="47">
        <v>22.5</v>
      </c>
      <c r="AO26" s="57">
        <f>SUM(Table3[[#This Row],[MALE BENEFICIARIES]:[FEMALE BENEFICIARIES]])</f>
        <v>0</v>
      </c>
      <c r="AP26" s="58"/>
      <c r="AQ26" s="58"/>
      <c r="AR26" s="58"/>
      <c r="AS26" s="58">
        <v>1</v>
      </c>
      <c r="AT26" s="59">
        <v>25</v>
      </c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</row>
    <row r="27" spans="1:65">
      <c r="A27" s="51" t="str">
        <f>VLOOKUP(Table3[[#This Row],[OU]],OU!$A$15:$B$34,2,FALSE)</f>
        <v>RFOs</v>
      </c>
      <c r="B27" s="47" t="s">
        <v>5</v>
      </c>
      <c r="C27" s="47" t="s">
        <v>574</v>
      </c>
      <c r="D27" s="47"/>
      <c r="E27" s="47" t="s">
        <v>43</v>
      </c>
      <c r="F27" s="47" t="s">
        <v>621</v>
      </c>
      <c r="G2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2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23136000</v>
      </c>
      <c r="I27" s="52" t="str">
        <f>VLOOKUP(Table3[[#This Row],[PSGC]],DISTRICT!$D:$G,4,FALSE)</f>
        <v>4th</v>
      </c>
      <c r="J27" s="47" t="s">
        <v>575</v>
      </c>
      <c r="K27" s="51" t="str">
        <f>VLOOKUP(Table3[[#This Row],[SPECIFIC COMMODITY]],TAGS!$W$48:$X$53,2,FALSE)</f>
        <v>Corn</v>
      </c>
      <c r="L27" s="51" t="str">
        <f>VLOOKUP(Table3[[#This Row],[PREXC SUB-PROGRAM]],Table5[],2,FALSE)</f>
        <v>TECHNICAL AND SUPPORT SERVICES PROGRAM</v>
      </c>
      <c r="M27" s="51" t="str">
        <f>VLOOKUP(Table3[[#This Row],[COMMODITY PREXC SUB-PROGRAM]],TAGS!$U$54:$V$76,2,FALSE)</f>
        <v>PSS</v>
      </c>
      <c r="N27" s="47" t="s">
        <v>576</v>
      </c>
      <c r="O27" s="54" t="str">
        <f>VLOOKUP(Table3[[#This Row],[PI LEVEL 3]],'PI LEVEL'!A:C,3,FALSE)</f>
        <v>Seeds distributed</v>
      </c>
      <c r="P27" s="54" t="str">
        <f>VLOOKUP(Table3[[#This Row],[PI LEVEL 3]],Table53729[[Performance Indicator Level 3]:[Performance Indicator Level 1]],2,FALSE)</f>
        <v>Corn Seeds distributed</v>
      </c>
      <c r="Q27" s="54" t="str">
        <f>VLOOKUP(Table3[[#This Row],[ACTIVITY]],TAGS!B:P,2,FALSE)</f>
        <v>White Corn Seeds distributed</v>
      </c>
      <c r="R27" s="47" t="s">
        <v>24</v>
      </c>
      <c r="S27" s="51" t="str">
        <f>VLOOKUP(Table3[[#This Row],[ACTIVITY]],TAGS!$B:$P,4,FALSE)</f>
        <v>OPV Seed Production</v>
      </c>
      <c r="T27" s="51" t="str">
        <f>VLOOKUP(Table3[[#This Row],[ACTIVITY]],TAGS!$B:$P,5,FALSE)</f>
        <v>OPV Seed Production</v>
      </c>
      <c r="U27" s="51" t="str">
        <f>VLOOKUP(Table3[[#This Row],[ACTIVITY]],TAGS!$B:$P,6,FALSE)</f>
        <v>White corn seeds</v>
      </c>
      <c r="V27" s="51" t="str">
        <f>VLOOKUP(Table3[[#This Row],[ACTIVITY]],TAGS!$B:$P,7,FALSE)</f>
        <v>NO</v>
      </c>
      <c r="W27" s="51" t="str">
        <f>VLOOKUP(Table3[[#This Row],[ACTIVITY]],TAGS!$B:$P,8,FALSE)</f>
        <v>PAP</v>
      </c>
      <c r="X27" s="51" t="str">
        <f>VLOOKUP(Table3[[#This Row],[ACTIVITY]],TAGS!$B:$P,10,FALSE)</f>
        <v>PIP</v>
      </c>
      <c r="Y27" s="51" t="str">
        <f>VLOOKUP(Table3[[#This Row],[ACTIVITY]],TAGS!$B:$P,11,FALSE)</f>
        <v>PICS</v>
      </c>
      <c r="Z27" s="51" t="str">
        <f>VLOOKUP(Table3[[#This Row],[ACTIVITY]],TAGS!$B:$P,12,FALSE)</f>
        <v>Consolidation</v>
      </c>
      <c r="AA27" s="51" t="str">
        <f>VLOOKUP(Table3[[#This Row],[ACTIVITY]],TAGS!$B:$P,13,FALSE)</f>
        <v>1. Bayanihan Agri Cluster</v>
      </c>
      <c r="AB27" s="51" t="str">
        <f>VLOOKUP(Table3[[#This Row],[ACTIVITY]],TAGS!$B:$P,14,FALSE)</f>
        <v>EXPAND AND IMPROVE AVAILABLE AGRI-FISHERY AREAS FOR INCREASED PRODUCTION</v>
      </c>
      <c r="AC27" s="51" t="str">
        <f>VLOOKUP(Table3[[#This Row],[ACTIVITY]],TAGS!$B:$P,15,FALSE)</f>
        <v>Farm Inputs</v>
      </c>
      <c r="AD27" s="51" t="str">
        <f>VLOOKUP(Table3[[#This Row],[PI LEVEL 3]],'PI LEVEL'!$A:$G,7,FALSE)</f>
        <v>DA-Level Output</v>
      </c>
      <c r="AE27" s="47" t="s">
        <v>577</v>
      </c>
      <c r="AF27" s="51" t="str">
        <f>VLOOKUP(Table3[[#This Row],[ACTIVITY]],TAGS!$B:$P,3,FALSE)</f>
        <v>kilogram</v>
      </c>
      <c r="AG27" s="47" t="s">
        <v>332</v>
      </c>
      <c r="AH27" s="51" t="str">
        <f>VLOOKUP(Table3[[#This Row],[MONTH]],TAGS!$W$67:$Y$81,2,FALSE)</f>
        <v>2ND QTR</v>
      </c>
      <c r="AI27" s="51" t="str">
        <f>VLOOKUP(Table3[[#This Row],[MONTH]],TAGS!$W$67:$Y$81,3,FALSE)</f>
        <v>1ST SEMESTER</v>
      </c>
      <c r="AJ27" s="51">
        <f>VLOOKUP(Table3[[#This Row],[MONTH]],TAGS!$W$67:$Z$81,4,FALSE)</f>
        <v>2025</v>
      </c>
      <c r="AK27" s="47">
        <v>450</v>
      </c>
      <c r="AL27" s="51" t="str">
        <f>VLOOKUP(Table3[[#This Row],[ACTIVITY]],TAGS!$B:$R,16,FALSE)</f>
        <v>YES</v>
      </c>
      <c r="AM27" s="55">
        <v>25</v>
      </c>
      <c r="AN27" s="47">
        <v>22.5</v>
      </c>
      <c r="AO27" s="57">
        <f>SUM(Table3[[#This Row],[MALE BENEFICIARIES]:[FEMALE BENEFICIARIES]])</f>
        <v>0</v>
      </c>
      <c r="AP27" s="58"/>
      <c r="AQ27" s="58"/>
      <c r="AR27" s="58"/>
      <c r="AS27" s="58">
        <v>1</v>
      </c>
      <c r="AT27" s="59">
        <v>25</v>
      </c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</row>
    <row r="28" spans="1:65">
      <c r="A28" s="51" t="str">
        <f>VLOOKUP(Table3[[#This Row],[OU]],OU!$A$15:$B$34,2,FALSE)</f>
        <v>RFOs</v>
      </c>
      <c r="B28" s="47" t="s">
        <v>5</v>
      </c>
      <c r="C28" s="47" t="s">
        <v>574</v>
      </c>
      <c r="D28" s="47"/>
      <c r="E28" s="47" t="s">
        <v>43</v>
      </c>
      <c r="F28" s="47" t="s">
        <v>630</v>
      </c>
      <c r="G2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2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23114000</v>
      </c>
      <c r="I28" s="52" t="str">
        <f>VLOOKUP(Table3[[#This Row],[PSGC]],DISTRICT!$D:$G,4,FALSE)</f>
        <v>1st</v>
      </c>
      <c r="J28" s="47" t="s">
        <v>575</v>
      </c>
      <c r="K28" s="51" t="str">
        <f>VLOOKUP(Table3[[#This Row],[SPECIFIC COMMODITY]],TAGS!$W$48:$X$53,2,FALSE)</f>
        <v>Corn</v>
      </c>
      <c r="L28" s="51" t="str">
        <f>VLOOKUP(Table3[[#This Row],[PREXC SUB-PROGRAM]],Table5[],2,FALSE)</f>
        <v>TECHNICAL AND SUPPORT SERVICES PROGRAM</v>
      </c>
      <c r="M28" s="51" t="str">
        <f>VLOOKUP(Table3[[#This Row],[COMMODITY PREXC SUB-PROGRAM]],TAGS!$U$54:$V$76,2,FALSE)</f>
        <v>PSS</v>
      </c>
      <c r="N28" s="47" t="s">
        <v>576</v>
      </c>
      <c r="O28" s="54" t="str">
        <f>VLOOKUP(Table3[[#This Row],[PI LEVEL 3]],'PI LEVEL'!A:C,3,FALSE)</f>
        <v>Seeds distributed</v>
      </c>
      <c r="P28" s="54" t="str">
        <f>VLOOKUP(Table3[[#This Row],[PI LEVEL 3]],Table53729[[Performance Indicator Level 3]:[Performance Indicator Level 1]],2,FALSE)</f>
        <v>Corn Seeds distributed</v>
      </c>
      <c r="Q28" s="54" t="str">
        <f>VLOOKUP(Table3[[#This Row],[ACTIVITY]],TAGS!B:P,2,FALSE)</f>
        <v>White Corn Seeds distributed</v>
      </c>
      <c r="R28" s="47" t="s">
        <v>24</v>
      </c>
      <c r="S28" s="51" t="str">
        <f>VLOOKUP(Table3[[#This Row],[ACTIVITY]],TAGS!$B:$P,4,FALSE)</f>
        <v>OPV Seed Production</v>
      </c>
      <c r="T28" s="51" t="str">
        <f>VLOOKUP(Table3[[#This Row],[ACTIVITY]],TAGS!$B:$P,5,FALSE)</f>
        <v>OPV Seed Production</v>
      </c>
      <c r="U28" s="51" t="str">
        <f>VLOOKUP(Table3[[#This Row],[ACTIVITY]],TAGS!$B:$P,6,FALSE)</f>
        <v>White corn seeds</v>
      </c>
      <c r="V28" s="51" t="str">
        <f>VLOOKUP(Table3[[#This Row],[ACTIVITY]],TAGS!$B:$P,7,FALSE)</f>
        <v>NO</v>
      </c>
      <c r="W28" s="51" t="str">
        <f>VLOOKUP(Table3[[#This Row],[ACTIVITY]],TAGS!$B:$P,8,FALSE)</f>
        <v>PAP</v>
      </c>
      <c r="X28" s="51" t="str">
        <f>VLOOKUP(Table3[[#This Row],[ACTIVITY]],TAGS!$B:$P,10,FALSE)</f>
        <v>PIP</v>
      </c>
      <c r="Y28" s="51" t="str">
        <f>VLOOKUP(Table3[[#This Row],[ACTIVITY]],TAGS!$B:$P,11,FALSE)</f>
        <v>PICS</v>
      </c>
      <c r="Z28" s="51" t="str">
        <f>VLOOKUP(Table3[[#This Row],[ACTIVITY]],TAGS!$B:$P,12,FALSE)</f>
        <v>Consolidation</v>
      </c>
      <c r="AA28" s="51" t="str">
        <f>VLOOKUP(Table3[[#This Row],[ACTIVITY]],TAGS!$B:$P,13,FALSE)</f>
        <v>1. Bayanihan Agri Cluster</v>
      </c>
      <c r="AB28" s="51" t="str">
        <f>VLOOKUP(Table3[[#This Row],[ACTIVITY]],TAGS!$B:$P,14,FALSE)</f>
        <v>EXPAND AND IMPROVE AVAILABLE AGRI-FISHERY AREAS FOR INCREASED PRODUCTION</v>
      </c>
      <c r="AC28" s="51" t="str">
        <f>VLOOKUP(Table3[[#This Row],[ACTIVITY]],TAGS!$B:$P,15,FALSE)</f>
        <v>Farm Inputs</v>
      </c>
      <c r="AD28" s="51" t="str">
        <f>VLOOKUP(Table3[[#This Row],[PI LEVEL 3]],'PI LEVEL'!$A:$G,7,FALSE)</f>
        <v>DA-Level Output</v>
      </c>
      <c r="AE28" s="47" t="s">
        <v>577</v>
      </c>
      <c r="AF28" s="51" t="str">
        <f>VLOOKUP(Table3[[#This Row],[ACTIVITY]],TAGS!$B:$P,3,FALSE)</f>
        <v>kilogram</v>
      </c>
      <c r="AG28" s="47" t="s">
        <v>332</v>
      </c>
      <c r="AH28" s="51" t="str">
        <f>VLOOKUP(Table3[[#This Row],[MONTH]],TAGS!$W$67:$Y$81,2,FALSE)</f>
        <v>2ND QTR</v>
      </c>
      <c r="AI28" s="51" t="str">
        <f>VLOOKUP(Table3[[#This Row],[MONTH]],TAGS!$W$67:$Y$81,3,FALSE)</f>
        <v>1ST SEMESTER</v>
      </c>
      <c r="AJ28" s="51">
        <f>VLOOKUP(Table3[[#This Row],[MONTH]],TAGS!$W$67:$Z$81,4,FALSE)</f>
        <v>2025</v>
      </c>
      <c r="AK28" s="47">
        <v>100</v>
      </c>
      <c r="AL28" s="51" t="str">
        <f>VLOOKUP(Table3[[#This Row],[ACTIVITY]],TAGS!$B:$R,16,FALSE)</f>
        <v>YES</v>
      </c>
      <c r="AM28" s="55">
        <v>5.55</v>
      </c>
      <c r="AN28" s="47">
        <v>5</v>
      </c>
      <c r="AO28" s="57">
        <f>SUM(Table3[[#This Row],[MALE BENEFICIARIES]:[FEMALE BENEFICIARIES]])</f>
        <v>0</v>
      </c>
      <c r="AP28" s="58"/>
      <c r="AQ28" s="58"/>
      <c r="AR28" s="58"/>
      <c r="AS28" s="58">
        <v>1</v>
      </c>
      <c r="AT28" s="59">
        <v>25</v>
      </c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</row>
    <row r="29" spans="1:65">
      <c r="A29" s="51" t="str">
        <f>VLOOKUP(Table3[[#This Row],[OU]],OU!$A$15:$B$34,2,FALSE)</f>
        <v>RFOs</v>
      </c>
      <c r="B29" s="47" t="s">
        <v>5</v>
      </c>
      <c r="C29" s="47" t="s">
        <v>574</v>
      </c>
      <c r="D29" s="47"/>
      <c r="E29" s="47" t="s">
        <v>43</v>
      </c>
      <c r="F29" s="47" t="s">
        <v>631</v>
      </c>
      <c r="G2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2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23128000</v>
      </c>
      <c r="I29" s="52" t="str">
        <f>VLOOKUP(Table3[[#This Row],[PSGC]],DISTRICT!$D:$G,4,FALSE)</f>
        <v>4th</v>
      </c>
      <c r="J29" s="47" t="s">
        <v>575</v>
      </c>
      <c r="K29" s="51" t="str">
        <f>VLOOKUP(Table3[[#This Row],[SPECIFIC COMMODITY]],TAGS!$W$48:$X$53,2,FALSE)</f>
        <v>Corn</v>
      </c>
      <c r="L29" s="51" t="str">
        <f>VLOOKUP(Table3[[#This Row],[PREXC SUB-PROGRAM]],Table5[],2,FALSE)</f>
        <v>TECHNICAL AND SUPPORT SERVICES PROGRAM</v>
      </c>
      <c r="M29" s="51" t="str">
        <f>VLOOKUP(Table3[[#This Row],[COMMODITY PREXC SUB-PROGRAM]],TAGS!$U$54:$V$76,2,FALSE)</f>
        <v>PSS</v>
      </c>
      <c r="N29" s="47" t="s">
        <v>576</v>
      </c>
      <c r="O29" s="54" t="str">
        <f>VLOOKUP(Table3[[#This Row],[PI LEVEL 3]],'PI LEVEL'!A:C,3,FALSE)</f>
        <v>Seeds distributed</v>
      </c>
      <c r="P29" s="54" t="str">
        <f>VLOOKUP(Table3[[#This Row],[PI LEVEL 3]],Table53729[[Performance Indicator Level 3]:[Performance Indicator Level 1]],2,FALSE)</f>
        <v>Corn Seeds distributed</v>
      </c>
      <c r="Q29" s="54" t="str">
        <f>VLOOKUP(Table3[[#This Row],[ACTIVITY]],TAGS!B:P,2,FALSE)</f>
        <v>White Corn Seeds distributed</v>
      </c>
      <c r="R29" s="47" t="s">
        <v>24</v>
      </c>
      <c r="S29" s="51" t="str">
        <f>VLOOKUP(Table3[[#This Row],[ACTIVITY]],TAGS!$B:$P,4,FALSE)</f>
        <v>OPV Seed Production</v>
      </c>
      <c r="T29" s="51" t="str">
        <f>VLOOKUP(Table3[[#This Row],[ACTIVITY]],TAGS!$B:$P,5,FALSE)</f>
        <v>OPV Seed Production</v>
      </c>
      <c r="U29" s="51" t="str">
        <f>VLOOKUP(Table3[[#This Row],[ACTIVITY]],TAGS!$B:$P,6,FALSE)</f>
        <v>White corn seeds</v>
      </c>
      <c r="V29" s="51" t="str">
        <f>VLOOKUP(Table3[[#This Row],[ACTIVITY]],TAGS!$B:$P,7,FALSE)</f>
        <v>NO</v>
      </c>
      <c r="W29" s="51" t="str">
        <f>VLOOKUP(Table3[[#This Row],[ACTIVITY]],TAGS!$B:$P,8,FALSE)</f>
        <v>PAP</v>
      </c>
      <c r="X29" s="51" t="str">
        <f>VLOOKUP(Table3[[#This Row],[ACTIVITY]],TAGS!$B:$P,10,FALSE)</f>
        <v>PIP</v>
      </c>
      <c r="Y29" s="51" t="str">
        <f>VLOOKUP(Table3[[#This Row],[ACTIVITY]],TAGS!$B:$P,11,FALSE)</f>
        <v>PICS</v>
      </c>
      <c r="Z29" s="51" t="str">
        <f>VLOOKUP(Table3[[#This Row],[ACTIVITY]],TAGS!$B:$P,12,FALSE)</f>
        <v>Consolidation</v>
      </c>
      <c r="AA29" s="51" t="str">
        <f>VLOOKUP(Table3[[#This Row],[ACTIVITY]],TAGS!$B:$P,13,FALSE)</f>
        <v>1. Bayanihan Agri Cluster</v>
      </c>
      <c r="AB29" s="51" t="str">
        <f>VLOOKUP(Table3[[#This Row],[ACTIVITY]],TAGS!$B:$P,14,FALSE)</f>
        <v>EXPAND AND IMPROVE AVAILABLE AGRI-FISHERY AREAS FOR INCREASED PRODUCTION</v>
      </c>
      <c r="AC29" s="51" t="str">
        <f>VLOOKUP(Table3[[#This Row],[ACTIVITY]],TAGS!$B:$P,15,FALSE)</f>
        <v>Farm Inputs</v>
      </c>
      <c r="AD29" s="51" t="str">
        <f>VLOOKUP(Table3[[#This Row],[PI LEVEL 3]],'PI LEVEL'!$A:$G,7,FALSE)</f>
        <v>DA-Level Output</v>
      </c>
      <c r="AE29" s="47" t="s">
        <v>577</v>
      </c>
      <c r="AF29" s="51" t="str">
        <f>VLOOKUP(Table3[[#This Row],[ACTIVITY]],TAGS!$B:$P,3,FALSE)</f>
        <v>kilogram</v>
      </c>
      <c r="AG29" s="47" t="s">
        <v>332</v>
      </c>
      <c r="AH29" s="51" t="str">
        <f>VLOOKUP(Table3[[#This Row],[MONTH]],TAGS!$W$67:$Y$81,2,FALSE)</f>
        <v>2ND QTR</v>
      </c>
      <c r="AI29" s="51" t="str">
        <f>VLOOKUP(Table3[[#This Row],[MONTH]],TAGS!$W$67:$Y$81,3,FALSE)</f>
        <v>1ST SEMESTER</v>
      </c>
      <c r="AJ29" s="51">
        <f>VLOOKUP(Table3[[#This Row],[MONTH]],TAGS!$W$67:$Z$81,4,FALSE)</f>
        <v>2025</v>
      </c>
      <c r="AK29" s="47">
        <v>100</v>
      </c>
      <c r="AL29" s="51" t="str">
        <f>VLOOKUP(Table3[[#This Row],[ACTIVITY]],TAGS!$B:$R,16,FALSE)</f>
        <v>YES</v>
      </c>
      <c r="AM29" s="55">
        <v>5.55</v>
      </c>
      <c r="AN29" s="47">
        <v>5</v>
      </c>
      <c r="AO29" s="57">
        <f>SUM(Table3[[#This Row],[MALE BENEFICIARIES]:[FEMALE BENEFICIARIES]])</f>
        <v>0</v>
      </c>
      <c r="AP29" s="58"/>
      <c r="AQ29" s="58"/>
      <c r="AR29" s="58"/>
      <c r="AS29" s="58">
        <v>1</v>
      </c>
      <c r="AT29" s="59">
        <v>5</v>
      </c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</row>
    <row r="30" spans="1:65">
      <c r="A30" s="51" t="str">
        <f>VLOOKUP(Table3[[#This Row],[OU]],OU!$A$15:$B$34,2,FALSE)</f>
        <v>RFOs</v>
      </c>
      <c r="B30" s="47" t="s">
        <v>5</v>
      </c>
      <c r="C30" s="47" t="s">
        <v>574</v>
      </c>
      <c r="D30" s="47"/>
      <c r="E30" s="47" t="s">
        <v>43</v>
      </c>
      <c r="F30" s="47" t="s">
        <v>622</v>
      </c>
      <c r="G3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3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23106000</v>
      </c>
      <c r="I30" s="52" t="str">
        <f>VLOOKUP(Table3[[#This Row],[PSGC]],DISTRICT!$D:$G,4,FALSE)</f>
        <v>1st</v>
      </c>
      <c r="J30" s="47" t="s">
        <v>575</v>
      </c>
      <c r="K30" s="51" t="str">
        <f>VLOOKUP(Table3[[#This Row],[SPECIFIC COMMODITY]],TAGS!$W$48:$X$53,2,FALSE)</f>
        <v>Corn</v>
      </c>
      <c r="L30" s="51" t="str">
        <f>VLOOKUP(Table3[[#This Row],[PREXC SUB-PROGRAM]],Table5[],2,FALSE)</f>
        <v>TECHNICAL AND SUPPORT SERVICES PROGRAM</v>
      </c>
      <c r="M30" s="51" t="str">
        <f>VLOOKUP(Table3[[#This Row],[COMMODITY PREXC SUB-PROGRAM]],TAGS!$U$54:$V$76,2,FALSE)</f>
        <v>PSS</v>
      </c>
      <c r="N30" s="47" t="s">
        <v>576</v>
      </c>
      <c r="O30" s="54" t="str">
        <f>VLOOKUP(Table3[[#This Row],[PI LEVEL 3]],'PI LEVEL'!A:C,3,FALSE)</f>
        <v>Seeds distributed</v>
      </c>
      <c r="P30" s="54" t="str">
        <f>VLOOKUP(Table3[[#This Row],[PI LEVEL 3]],Table53729[[Performance Indicator Level 3]:[Performance Indicator Level 1]],2,FALSE)</f>
        <v>Corn Seeds distributed</v>
      </c>
      <c r="Q30" s="54" t="str">
        <f>VLOOKUP(Table3[[#This Row],[ACTIVITY]],TAGS!B:P,2,FALSE)</f>
        <v>White Corn Seeds distributed</v>
      </c>
      <c r="R30" s="47" t="s">
        <v>24</v>
      </c>
      <c r="S30" s="51" t="str">
        <f>VLOOKUP(Table3[[#This Row],[ACTIVITY]],TAGS!$B:$P,4,FALSE)</f>
        <v>OPV Seed Production</v>
      </c>
      <c r="T30" s="51" t="str">
        <f>VLOOKUP(Table3[[#This Row],[ACTIVITY]],TAGS!$B:$P,5,FALSE)</f>
        <v>OPV Seed Production</v>
      </c>
      <c r="U30" s="51" t="str">
        <f>VLOOKUP(Table3[[#This Row],[ACTIVITY]],TAGS!$B:$P,6,FALSE)</f>
        <v>White corn seeds</v>
      </c>
      <c r="V30" s="51" t="str">
        <f>VLOOKUP(Table3[[#This Row],[ACTIVITY]],TAGS!$B:$P,7,FALSE)</f>
        <v>NO</v>
      </c>
      <c r="W30" s="51" t="str">
        <f>VLOOKUP(Table3[[#This Row],[ACTIVITY]],TAGS!$B:$P,8,FALSE)</f>
        <v>PAP</v>
      </c>
      <c r="X30" s="51" t="str">
        <f>VLOOKUP(Table3[[#This Row],[ACTIVITY]],TAGS!$B:$P,10,FALSE)</f>
        <v>PIP</v>
      </c>
      <c r="Y30" s="51" t="str">
        <f>VLOOKUP(Table3[[#This Row],[ACTIVITY]],TAGS!$B:$P,11,FALSE)</f>
        <v>PICS</v>
      </c>
      <c r="Z30" s="51" t="str">
        <f>VLOOKUP(Table3[[#This Row],[ACTIVITY]],TAGS!$B:$P,12,FALSE)</f>
        <v>Consolidation</v>
      </c>
      <c r="AA30" s="51" t="str">
        <f>VLOOKUP(Table3[[#This Row],[ACTIVITY]],TAGS!$B:$P,13,FALSE)</f>
        <v>1. Bayanihan Agri Cluster</v>
      </c>
      <c r="AB30" s="51" t="str">
        <f>VLOOKUP(Table3[[#This Row],[ACTIVITY]],TAGS!$B:$P,14,FALSE)</f>
        <v>EXPAND AND IMPROVE AVAILABLE AGRI-FISHERY AREAS FOR INCREASED PRODUCTION</v>
      </c>
      <c r="AC30" s="51" t="str">
        <f>VLOOKUP(Table3[[#This Row],[ACTIVITY]],TAGS!$B:$P,15,FALSE)</f>
        <v>Farm Inputs</v>
      </c>
      <c r="AD30" s="51" t="str">
        <f>VLOOKUP(Table3[[#This Row],[PI LEVEL 3]],'PI LEVEL'!$A:$G,7,FALSE)</f>
        <v>DA-Level Output</v>
      </c>
      <c r="AE30" s="47" t="s">
        <v>577</v>
      </c>
      <c r="AF30" s="51" t="str">
        <f>VLOOKUP(Table3[[#This Row],[ACTIVITY]],TAGS!$B:$P,3,FALSE)</f>
        <v>kilogram</v>
      </c>
      <c r="AG30" s="47" t="s">
        <v>336</v>
      </c>
      <c r="AH30" s="51" t="str">
        <f>VLOOKUP(Table3[[#This Row],[MONTH]],TAGS!$W$67:$Y$81,2,FALSE)</f>
        <v>4TH QTR</v>
      </c>
      <c r="AI30" s="51" t="str">
        <f>VLOOKUP(Table3[[#This Row],[MONTH]],TAGS!$W$67:$Y$81,3,FALSE)</f>
        <v>2ND SEMESTER</v>
      </c>
      <c r="AJ30" s="51">
        <f>VLOOKUP(Table3[[#This Row],[MONTH]],TAGS!$W$67:$Z$81,4,FALSE)</f>
        <v>2025</v>
      </c>
      <c r="AK30" s="47">
        <v>450</v>
      </c>
      <c r="AL30" s="51" t="str">
        <f>VLOOKUP(Table3[[#This Row],[ACTIVITY]],TAGS!$B:$R,16,FALSE)</f>
        <v>YES</v>
      </c>
      <c r="AM30" s="55">
        <v>25</v>
      </c>
      <c r="AN30" s="47">
        <v>22.5</v>
      </c>
      <c r="AO30" s="57">
        <f>SUM(Table3[[#This Row],[MALE BENEFICIARIES]:[FEMALE BENEFICIARIES]])</f>
        <v>0</v>
      </c>
      <c r="AP30" s="58"/>
      <c r="AQ30" s="58"/>
      <c r="AR30" s="58"/>
      <c r="AS30" s="58"/>
      <c r="AT30" s="59">
        <v>5</v>
      </c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</row>
    <row r="31" spans="1:65">
      <c r="A31" s="51" t="str">
        <f>VLOOKUP(Table3[[#This Row],[OU]],OU!$A$15:$B$34,2,FALSE)</f>
        <v>RFOs</v>
      </c>
      <c r="B31" s="47" t="s">
        <v>5</v>
      </c>
      <c r="C31" s="47" t="s">
        <v>574</v>
      </c>
      <c r="D31" s="47"/>
      <c r="E31" s="47" t="s">
        <v>43</v>
      </c>
      <c r="F31" s="47" t="s">
        <v>624</v>
      </c>
      <c r="G3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3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23134000</v>
      </c>
      <c r="I31" s="52" t="str">
        <f>VLOOKUP(Table3[[#This Row],[PSGC]],DISTRICT!$D:$G,4,FALSE)</f>
        <v>4th</v>
      </c>
      <c r="J31" s="47" t="s">
        <v>575</v>
      </c>
      <c r="K31" s="51" t="str">
        <f>VLOOKUP(Table3[[#This Row],[SPECIFIC COMMODITY]],TAGS!$W$48:$X$53,2,FALSE)</f>
        <v>Corn</v>
      </c>
      <c r="L31" s="51" t="str">
        <f>VLOOKUP(Table3[[#This Row],[PREXC SUB-PROGRAM]],Table5[],2,FALSE)</f>
        <v>TECHNICAL AND SUPPORT SERVICES PROGRAM</v>
      </c>
      <c r="M31" s="51" t="str">
        <f>VLOOKUP(Table3[[#This Row],[COMMODITY PREXC SUB-PROGRAM]],TAGS!$U$54:$V$76,2,FALSE)</f>
        <v>PSS</v>
      </c>
      <c r="N31" s="47" t="s">
        <v>576</v>
      </c>
      <c r="O31" s="54" t="str">
        <f>VLOOKUP(Table3[[#This Row],[PI LEVEL 3]],'PI LEVEL'!A:C,3,FALSE)</f>
        <v>Seeds distributed</v>
      </c>
      <c r="P31" s="54" t="str">
        <f>VLOOKUP(Table3[[#This Row],[PI LEVEL 3]],Table53729[[Performance Indicator Level 3]:[Performance Indicator Level 1]],2,FALSE)</f>
        <v>Corn Seeds distributed</v>
      </c>
      <c r="Q31" s="54" t="str">
        <f>VLOOKUP(Table3[[#This Row],[ACTIVITY]],TAGS!B:P,2,FALSE)</f>
        <v>White Corn Seeds distributed</v>
      </c>
      <c r="R31" s="47" t="s">
        <v>24</v>
      </c>
      <c r="S31" s="51" t="str">
        <f>VLOOKUP(Table3[[#This Row],[ACTIVITY]],TAGS!$B:$P,4,FALSE)</f>
        <v>OPV Seed Production</v>
      </c>
      <c r="T31" s="51" t="str">
        <f>VLOOKUP(Table3[[#This Row],[ACTIVITY]],TAGS!$B:$P,5,FALSE)</f>
        <v>OPV Seed Production</v>
      </c>
      <c r="U31" s="51" t="str">
        <f>VLOOKUP(Table3[[#This Row],[ACTIVITY]],TAGS!$B:$P,6,FALSE)</f>
        <v>White corn seeds</v>
      </c>
      <c r="V31" s="51" t="str">
        <f>VLOOKUP(Table3[[#This Row],[ACTIVITY]],TAGS!$B:$P,7,FALSE)</f>
        <v>NO</v>
      </c>
      <c r="W31" s="51" t="str">
        <f>VLOOKUP(Table3[[#This Row],[ACTIVITY]],TAGS!$B:$P,8,FALSE)</f>
        <v>PAP</v>
      </c>
      <c r="X31" s="51" t="str">
        <f>VLOOKUP(Table3[[#This Row],[ACTIVITY]],TAGS!$B:$P,10,FALSE)</f>
        <v>PIP</v>
      </c>
      <c r="Y31" s="51" t="str">
        <f>VLOOKUP(Table3[[#This Row],[ACTIVITY]],TAGS!$B:$P,11,FALSE)</f>
        <v>PICS</v>
      </c>
      <c r="Z31" s="51" t="str">
        <f>VLOOKUP(Table3[[#This Row],[ACTIVITY]],TAGS!$B:$P,12,FALSE)</f>
        <v>Consolidation</v>
      </c>
      <c r="AA31" s="51" t="str">
        <f>VLOOKUP(Table3[[#This Row],[ACTIVITY]],TAGS!$B:$P,13,FALSE)</f>
        <v>1. Bayanihan Agri Cluster</v>
      </c>
      <c r="AB31" s="51" t="str">
        <f>VLOOKUP(Table3[[#This Row],[ACTIVITY]],TAGS!$B:$P,14,FALSE)</f>
        <v>EXPAND AND IMPROVE AVAILABLE AGRI-FISHERY AREAS FOR INCREASED PRODUCTION</v>
      </c>
      <c r="AC31" s="51" t="str">
        <f>VLOOKUP(Table3[[#This Row],[ACTIVITY]],TAGS!$B:$P,15,FALSE)</f>
        <v>Farm Inputs</v>
      </c>
      <c r="AD31" s="51" t="str">
        <f>VLOOKUP(Table3[[#This Row],[PI LEVEL 3]],'PI LEVEL'!$A:$G,7,FALSE)</f>
        <v>DA-Level Output</v>
      </c>
      <c r="AE31" s="47" t="s">
        <v>577</v>
      </c>
      <c r="AF31" s="51" t="str">
        <f>VLOOKUP(Table3[[#This Row],[ACTIVITY]],TAGS!$B:$P,3,FALSE)</f>
        <v>kilogram</v>
      </c>
      <c r="AG31" s="47" t="s">
        <v>336</v>
      </c>
      <c r="AH31" s="51" t="str">
        <f>VLOOKUP(Table3[[#This Row],[MONTH]],TAGS!$W$67:$Y$81,2,FALSE)</f>
        <v>4TH QTR</v>
      </c>
      <c r="AI31" s="51" t="str">
        <f>VLOOKUP(Table3[[#This Row],[MONTH]],TAGS!$W$67:$Y$81,3,FALSE)</f>
        <v>2ND SEMESTER</v>
      </c>
      <c r="AJ31" s="51">
        <f>VLOOKUP(Table3[[#This Row],[MONTH]],TAGS!$W$67:$Z$81,4,FALSE)</f>
        <v>2025</v>
      </c>
      <c r="AK31" s="47">
        <v>450</v>
      </c>
      <c r="AL31" s="51" t="str">
        <f>VLOOKUP(Table3[[#This Row],[ACTIVITY]],TAGS!$B:$R,16,FALSE)</f>
        <v>YES</v>
      </c>
      <c r="AM31" s="55">
        <v>25</v>
      </c>
      <c r="AN31" s="47">
        <v>22.5</v>
      </c>
      <c r="AO31" s="57">
        <f>SUM(Table3[[#This Row],[MALE BENEFICIARIES]:[FEMALE BENEFICIARIES]])</f>
        <v>0</v>
      </c>
      <c r="AP31" s="58"/>
      <c r="AQ31" s="58"/>
      <c r="AR31" s="58"/>
      <c r="AS31" s="58"/>
      <c r="AT31" s="59">
        <v>25</v>
      </c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</row>
    <row r="32" spans="1:65">
      <c r="A32" s="51" t="str">
        <f>VLOOKUP(Table3[[#This Row],[OU]],OU!$A$15:$B$34,2,FALSE)</f>
        <v>RFOs</v>
      </c>
      <c r="B32" s="47" t="s">
        <v>5</v>
      </c>
      <c r="C32" s="47" t="s">
        <v>574</v>
      </c>
      <c r="D32" s="47"/>
      <c r="E32" s="47" t="s">
        <v>43</v>
      </c>
      <c r="F32" s="47" t="s">
        <v>623</v>
      </c>
      <c r="G3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3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23133000</v>
      </c>
      <c r="I32" s="52" t="str">
        <f>VLOOKUP(Table3[[#This Row],[PSGC]],DISTRICT!$D:$G,4,FALSE)</f>
        <v>2nd</v>
      </c>
      <c r="J32" s="47" t="s">
        <v>575</v>
      </c>
      <c r="K32" s="51" t="str">
        <f>VLOOKUP(Table3[[#This Row],[SPECIFIC COMMODITY]],TAGS!$W$48:$X$53,2,FALSE)</f>
        <v>Corn</v>
      </c>
      <c r="L32" s="51" t="str">
        <f>VLOOKUP(Table3[[#This Row],[PREXC SUB-PROGRAM]],Table5[],2,FALSE)</f>
        <v>TECHNICAL AND SUPPORT SERVICES PROGRAM</v>
      </c>
      <c r="M32" s="51" t="str">
        <f>VLOOKUP(Table3[[#This Row],[COMMODITY PREXC SUB-PROGRAM]],TAGS!$U$54:$V$76,2,FALSE)</f>
        <v>PSS</v>
      </c>
      <c r="N32" s="47" t="s">
        <v>576</v>
      </c>
      <c r="O32" s="54" t="str">
        <f>VLOOKUP(Table3[[#This Row],[PI LEVEL 3]],'PI LEVEL'!A:C,3,FALSE)</f>
        <v>Seeds distributed</v>
      </c>
      <c r="P32" s="54" t="str">
        <f>VLOOKUP(Table3[[#This Row],[PI LEVEL 3]],Table53729[[Performance Indicator Level 3]:[Performance Indicator Level 1]],2,FALSE)</f>
        <v>Corn Seeds distributed</v>
      </c>
      <c r="Q32" s="54" t="str">
        <f>VLOOKUP(Table3[[#This Row],[ACTIVITY]],TAGS!B:P,2,FALSE)</f>
        <v>White Corn Seeds distributed</v>
      </c>
      <c r="R32" s="47" t="s">
        <v>24</v>
      </c>
      <c r="S32" s="51" t="str">
        <f>VLOOKUP(Table3[[#This Row],[ACTIVITY]],TAGS!$B:$P,4,FALSE)</f>
        <v>OPV Seed Production</v>
      </c>
      <c r="T32" s="51" t="str">
        <f>VLOOKUP(Table3[[#This Row],[ACTIVITY]],TAGS!$B:$P,5,FALSE)</f>
        <v>OPV Seed Production</v>
      </c>
      <c r="U32" s="51" t="str">
        <f>VLOOKUP(Table3[[#This Row],[ACTIVITY]],TAGS!$B:$P,6,FALSE)</f>
        <v>White corn seeds</v>
      </c>
      <c r="V32" s="51" t="str">
        <f>VLOOKUP(Table3[[#This Row],[ACTIVITY]],TAGS!$B:$P,7,FALSE)</f>
        <v>NO</v>
      </c>
      <c r="W32" s="51" t="str">
        <f>VLOOKUP(Table3[[#This Row],[ACTIVITY]],TAGS!$B:$P,8,FALSE)</f>
        <v>PAP</v>
      </c>
      <c r="X32" s="51" t="str">
        <f>VLOOKUP(Table3[[#This Row],[ACTIVITY]],TAGS!$B:$P,10,FALSE)</f>
        <v>PIP</v>
      </c>
      <c r="Y32" s="51" t="str">
        <f>VLOOKUP(Table3[[#This Row],[ACTIVITY]],TAGS!$B:$P,11,FALSE)</f>
        <v>PICS</v>
      </c>
      <c r="Z32" s="51" t="str">
        <f>VLOOKUP(Table3[[#This Row],[ACTIVITY]],TAGS!$B:$P,12,FALSE)</f>
        <v>Consolidation</v>
      </c>
      <c r="AA32" s="51" t="str">
        <f>VLOOKUP(Table3[[#This Row],[ACTIVITY]],TAGS!$B:$P,13,FALSE)</f>
        <v>1. Bayanihan Agri Cluster</v>
      </c>
      <c r="AB32" s="51" t="str">
        <f>VLOOKUP(Table3[[#This Row],[ACTIVITY]],TAGS!$B:$P,14,FALSE)</f>
        <v>EXPAND AND IMPROVE AVAILABLE AGRI-FISHERY AREAS FOR INCREASED PRODUCTION</v>
      </c>
      <c r="AC32" s="51" t="str">
        <f>VLOOKUP(Table3[[#This Row],[ACTIVITY]],TAGS!$B:$P,15,FALSE)</f>
        <v>Farm Inputs</v>
      </c>
      <c r="AD32" s="51" t="str">
        <f>VLOOKUP(Table3[[#This Row],[PI LEVEL 3]],'PI LEVEL'!$A:$G,7,FALSE)</f>
        <v>DA-Level Output</v>
      </c>
      <c r="AE32" s="47" t="s">
        <v>577</v>
      </c>
      <c r="AF32" s="51" t="str">
        <f>VLOOKUP(Table3[[#This Row],[ACTIVITY]],TAGS!$B:$P,3,FALSE)</f>
        <v>kilogram</v>
      </c>
      <c r="AG32" s="47" t="s">
        <v>336</v>
      </c>
      <c r="AH32" s="51" t="str">
        <f>VLOOKUP(Table3[[#This Row],[MONTH]],TAGS!$W$67:$Y$81,2,FALSE)</f>
        <v>4TH QTR</v>
      </c>
      <c r="AI32" s="51" t="str">
        <f>VLOOKUP(Table3[[#This Row],[MONTH]],TAGS!$W$67:$Y$81,3,FALSE)</f>
        <v>2ND SEMESTER</v>
      </c>
      <c r="AJ32" s="51">
        <f>VLOOKUP(Table3[[#This Row],[MONTH]],TAGS!$W$67:$Z$81,4,FALSE)</f>
        <v>2025</v>
      </c>
      <c r="AK32" s="47">
        <v>450</v>
      </c>
      <c r="AL32" s="51" t="str">
        <f>VLOOKUP(Table3[[#This Row],[ACTIVITY]],TAGS!$B:$R,16,FALSE)</f>
        <v>YES</v>
      </c>
      <c r="AM32" s="55">
        <v>25</v>
      </c>
      <c r="AN32" s="47">
        <v>22.5</v>
      </c>
      <c r="AO32" s="57">
        <f>SUM(Table3[[#This Row],[MALE BENEFICIARIES]:[FEMALE BENEFICIARIES]])</f>
        <v>0</v>
      </c>
      <c r="AP32" s="58"/>
      <c r="AQ32" s="58"/>
      <c r="AR32" s="58"/>
      <c r="AS32" s="58"/>
      <c r="AT32" s="59">
        <v>25</v>
      </c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</row>
    <row r="33" spans="1:65">
      <c r="A33" s="51" t="str">
        <f>VLOOKUP(Table3[[#This Row],[OU]],OU!$A$15:$B$34,2,FALSE)</f>
        <v>RFOs</v>
      </c>
      <c r="B33" s="47" t="s">
        <v>5</v>
      </c>
      <c r="C33" s="47" t="s">
        <v>574</v>
      </c>
      <c r="D33" s="47"/>
      <c r="E33" s="47" t="s">
        <v>43</v>
      </c>
      <c r="F33" s="47" t="s">
        <v>621</v>
      </c>
      <c r="G3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3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23136000</v>
      </c>
      <c r="I33" s="52" t="str">
        <f>VLOOKUP(Table3[[#This Row],[PSGC]],DISTRICT!$D:$G,4,FALSE)</f>
        <v>4th</v>
      </c>
      <c r="J33" s="47" t="s">
        <v>575</v>
      </c>
      <c r="K33" s="51" t="str">
        <f>VLOOKUP(Table3[[#This Row],[SPECIFIC COMMODITY]],TAGS!$W$48:$X$53,2,FALSE)</f>
        <v>Corn</v>
      </c>
      <c r="L33" s="51" t="str">
        <f>VLOOKUP(Table3[[#This Row],[PREXC SUB-PROGRAM]],Table5[],2,FALSE)</f>
        <v>TECHNICAL AND SUPPORT SERVICES PROGRAM</v>
      </c>
      <c r="M33" s="51" t="str">
        <f>VLOOKUP(Table3[[#This Row],[COMMODITY PREXC SUB-PROGRAM]],TAGS!$U$54:$V$76,2,FALSE)</f>
        <v>PSS</v>
      </c>
      <c r="N33" s="47" t="s">
        <v>576</v>
      </c>
      <c r="O33" s="54" t="str">
        <f>VLOOKUP(Table3[[#This Row],[PI LEVEL 3]],'PI LEVEL'!A:C,3,FALSE)</f>
        <v>Seeds distributed</v>
      </c>
      <c r="P33" s="54" t="str">
        <f>VLOOKUP(Table3[[#This Row],[PI LEVEL 3]],Table53729[[Performance Indicator Level 3]:[Performance Indicator Level 1]],2,FALSE)</f>
        <v>Corn Seeds distributed</v>
      </c>
      <c r="Q33" s="54" t="str">
        <f>VLOOKUP(Table3[[#This Row],[ACTIVITY]],TAGS!B:P,2,FALSE)</f>
        <v>White Corn Seeds distributed</v>
      </c>
      <c r="R33" s="47" t="s">
        <v>24</v>
      </c>
      <c r="S33" s="51" t="str">
        <f>VLOOKUP(Table3[[#This Row],[ACTIVITY]],TAGS!$B:$P,4,FALSE)</f>
        <v>OPV Seed Production</v>
      </c>
      <c r="T33" s="51" t="str">
        <f>VLOOKUP(Table3[[#This Row],[ACTIVITY]],TAGS!$B:$P,5,FALSE)</f>
        <v>OPV Seed Production</v>
      </c>
      <c r="U33" s="51" t="str">
        <f>VLOOKUP(Table3[[#This Row],[ACTIVITY]],TAGS!$B:$P,6,FALSE)</f>
        <v>White corn seeds</v>
      </c>
      <c r="V33" s="51" t="str">
        <f>VLOOKUP(Table3[[#This Row],[ACTIVITY]],TAGS!$B:$P,7,FALSE)</f>
        <v>NO</v>
      </c>
      <c r="W33" s="51" t="str">
        <f>VLOOKUP(Table3[[#This Row],[ACTIVITY]],TAGS!$B:$P,8,FALSE)</f>
        <v>PAP</v>
      </c>
      <c r="X33" s="51" t="str">
        <f>VLOOKUP(Table3[[#This Row],[ACTIVITY]],TAGS!$B:$P,10,FALSE)</f>
        <v>PIP</v>
      </c>
      <c r="Y33" s="51" t="str">
        <f>VLOOKUP(Table3[[#This Row],[ACTIVITY]],TAGS!$B:$P,11,FALSE)</f>
        <v>PICS</v>
      </c>
      <c r="Z33" s="51" t="str">
        <f>VLOOKUP(Table3[[#This Row],[ACTIVITY]],TAGS!$B:$P,12,FALSE)</f>
        <v>Consolidation</v>
      </c>
      <c r="AA33" s="51" t="str">
        <f>VLOOKUP(Table3[[#This Row],[ACTIVITY]],TAGS!$B:$P,13,FALSE)</f>
        <v>1. Bayanihan Agri Cluster</v>
      </c>
      <c r="AB33" s="51" t="str">
        <f>VLOOKUP(Table3[[#This Row],[ACTIVITY]],TAGS!$B:$P,14,FALSE)</f>
        <v>EXPAND AND IMPROVE AVAILABLE AGRI-FISHERY AREAS FOR INCREASED PRODUCTION</v>
      </c>
      <c r="AC33" s="51" t="str">
        <f>VLOOKUP(Table3[[#This Row],[ACTIVITY]],TAGS!$B:$P,15,FALSE)</f>
        <v>Farm Inputs</v>
      </c>
      <c r="AD33" s="51" t="str">
        <f>VLOOKUP(Table3[[#This Row],[PI LEVEL 3]],'PI LEVEL'!$A:$G,7,FALSE)</f>
        <v>DA-Level Output</v>
      </c>
      <c r="AE33" s="47" t="s">
        <v>577</v>
      </c>
      <c r="AF33" s="51" t="str">
        <f>VLOOKUP(Table3[[#This Row],[ACTIVITY]],TAGS!$B:$P,3,FALSE)</f>
        <v>kilogram</v>
      </c>
      <c r="AG33" s="47" t="s">
        <v>336</v>
      </c>
      <c r="AH33" s="51" t="str">
        <f>VLOOKUP(Table3[[#This Row],[MONTH]],TAGS!$W$67:$Y$81,2,FALSE)</f>
        <v>4TH QTR</v>
      </c>
      <c r="AI33" s="51" t="str">
        <f>VLOOKUP(Table3[[#This Row],[MONTH]],TAGS!$W$67:$Y$81,3,FALSE)</f>
        <v>2ND SEMESTER</v>
      </c>
      <c r="AJ33" s="51">
        <f>VLOOKUP(Table3[[#This Row],[MONTH]],TAGS!$W$67:$Z$81,4,FALSE)</f>
        <v>2025</v>
      </c>
      <c r="AK33" s="47">
        <v>450</v>
      </c>
      <c r="AL33" s="51" t="str">
        <f>VLOOKUP(Table3[[#This Row],[ACTIVITY]],TAGS!$B:$R,16,FALSE)</f>
        <v>YES</v>
      </c>
      <c r="AM33" s="55">
        <v>25</v>
      </c>
      <c r="AN33" s="47">
        <v>22.5</v>
      </c>
      <c r="AO33" s="57">
        <f>SUM(Table3[[#This Row],[MALE BENEFICIARIES]:[FEMALE BENEFICIARIES]])</f>
        <v>0</v>
      </c>
      <c r="AP33" s="58"/>
      <c r="AQ33" s="58"/>
      <c r="AR33" s="58"/>
      <c r="AS33" s="58"/>
      <c r="AT33" s="59">
        <v>25</v>
      </c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</row>
    <row r="34" spans="1:65">
      <c r="A34" s="51" t="str">
        <f>VLOOKUP(Table3[[#This Row],[OU]],OU!$A$15:$B$34,2,FALSE)</f>
        <v>RFOs</v>
      </c>
      <c r="B34" s="47" t="s">
        <v>5</v>
      </c>
      <c r="C34" s="47" t="s">
        <v>574</v>
      </c>
      <c r="D34" s="47"/>
      <c r="E34" s="47" t="s">
        <v>43</v>
      </c>
      <c r="F34" s="47" t="s">
        <v>630</v>
      </c>
      <c r="G3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3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23114000</v>
      </c>
      <c r="I34" s="52" t="str">
        <f>VLOOKUP(Table3[[#This Row],[PSGC]],DISTRICT!$D:$G,4,FALSE)</f>
        <v>1st</v>
      </c>
      <c r="J34" s="47" t="s">
        <v>575</v>
      </c>
      <c r="K34" s="51" t="str">
        <f>VLOOKUP(Table3[[#This Row],[SPECIFIC COMMODITY]],TAGS!$W$48:$X$53,2,FALSE)</f>
        <v>Corn</v>
      </c>
      <c r="L34" s="51" t="str">
        <f>VLOOKUP(Table3[[#This Row],[PREXC SUB-PROGRAM]],Table5[],2,FALSE)</f>
        <v>TECHNICAL AND SUPPORT SERVICES PROGRAM</v>
      </c>
      <c r="M34" s="51" t="str">
        <f>VLOOKUP(Table3[[#This Row],[COMMODITY PREXC SUB-PROGRAM]],TAGS!$U$54:$V$76,2,FALSE)</f>
        <v>PSS</v>
      </c>
      <c r="N34" s="47" t="s">
        <v>576</v>
      </c>
      <c r="O34" s="54" t="str">
        <f>VLOOKUP(Table3[[#This Row],[PI LEVEL 3]],'PI LEVEL'!A:C,3,FALSE)</f>
        <v>Seeds distributed</v>
      </c>
      <c r="P34" s="54" t="str">
        <f>VLOOKUP(Table3[[#This Row],[PI LEVEL 3]],Table53729[[Performance Indicator Level 3]:[Performance Indicator Level 1]],2,FALSE)</f>
        <v>Corn Seeds distributed</v>
      </c>
      <c r="Q34" s="54" t="str">
        <f>VLOOKUP(Table3[[#This Row],[ACTIVITY]],TAGS!B:P,2,FALSE)</f>
        <v>White Corn Seeds distributed</v>
      </c>
      <c r="R34" s="47" t="s">
        <v>24</v>
      </c>
      <c r="S34" s="51" t="str">
        <f>VLOOKUP(Table3[[#This Row],[ACTIVITY]],TAGS!$B:$P,4,FALSE)</f>
        <v>OPV Seed Production</v>
      </c>
      <c r="T34" s="51" t="str">
        <f>VLOOKUP(Table3[[#This Row],[ACTIVITY]],TAGS!$B:$P,5,FALSE)</f>
        <v>OPV Seed Production</v>
      </c>
      <c r="U34" s="51" t="str">
        <f>VLOOKUP(Table3[[#This Row],[ACTIVITY]],TAGS!$B:$P,6,FALSE)</f>
        <v>White corn seeds</v>
      </c>
      <c r="V34" s="51" t="str">
        <f>VLOOKUP(Table3[[#This Row],[ACTIVITY]],TAGS!$B:$P,7,FALSE)</f>
        <v>NO</v>
      </c>
      <c r="W34" s="51" t="str">
        <f>VLOOKUP(Table3[[#This Row],[ACTIVITY]],TAGS!$B:$P,8,FALSE)</f>
        <v>PAP</v>
      </c>
      <c r="X34" s="51" t="str">
        <f>VLOOKUP(Table3[[#This Row],[ACTIVITY]],TAGS!$B:$P,10,FALSE)</f>
        <v>PIP</v>
      </c>
      <c r="Y34" s="51" t="str">
        <f>VLOOKUP(Table3[[#This Row],[ACTIVITY]],TAGS!$B:$P,11,FALSE)</f>
        <v>PICS</v>
      </c>
      <c r="Z34" s="51" t="str">
        <f>VLOOKUP(Table3[[#This Row],[ACTIVITY]],TAGS!$B:$P,12,FALSE)</f>
        <v>Consolidation</v>
      </c>
      <c r="AA34" s="51" t="str">
        <f>VLOOKUP(Table3[[#This Row],[ACTIVITY]],TAGS!$B:$P,13,FALSE)</f>
        <v>1. Bayanihan Agri Cluster</v>
      </c>
      <c r="AB34" s="51" t="str">
        <f>VLOOKUP(Table3[[#This Row],[ACTIVITY]],TAGS!$B:$P,14,FALSE)</f>
        <v>EXPAND AND IMPROVE AVAILABLE AGRI-FISHERY AREAS FOR INCREASED PRODUCTION</v>
      </c>
      <c r="AC34" s="51" t="str">
        <f>VLOOKUP(Table3[[#This Row],[ACTIVITY]],TAGS!$B:$P,15,FALSE)</f>
        <v>Farm Inputs</v>
      </c>
      <c r="AD34" s="51" t="str">
        <f>VLOOKUP(Table3[[#This Row],[PI LEVEL 3]],'PI LEVEL'!$A:$G,7,FALSE)</f>
        <v>DA-Level Output</v>
      </c>
      <c r="AE34" s="47" t="s">
        <v>577</v>
      </c>
      <c r="AF34" s="51" t="str">
        <f>VLOOKUP(Table3[[#This Row],[ACTIVITY]],TAGS!$B:$P,3,FALSE)</f>
        <v>kilogram</v>
      </c>
      <c r="AG34" s="47" t="s">
        <v>336</v>
      </c>
      <c r="AH34" s="51" t="str">
        <f>VLOOKUP(Table3[[#This Row],[MONTH]],TAGS!$W$67:$Y$81,2,FALSE)</f>
        <v>4TH QTR</v>
      </c>
      <c r="AI34" s="51" t="str">
        <f>VLOOKUP(Table3[[#This Row],[MONTH]],TAGS!$W$67:$Y$81,3,FALSE)</f>
        <v>2ND SEMESTER</v>
      </c>
      <c r="AJ34" s="51">
        <f>VLOOKUP(Table3[[#This Row],[MONTH]],TAGS!$W$67:$Z$81,4,FALSE)</f>
        <v>2025</v>
      </c>
      <c r="AK34" s="47">
        <v>100</v>
      </c>
      <c r="AL34" s="51" t="str">
        <f>VLOOKUP(Table3[[#This Row],[ACTIVITY]],TAGS!$B:$R,16,FALSE)</f>
        <v>YES</v>
      </c>
      <c r="AM34" s="55">
        <v>5.55</v>
      </c>
      <c r="AN34" s="47">
        <v>5</v>
      </c>
      <c r="AO34" s="57">
        <f>SUM(Table3[[#This Row],[MALE BENEFICIARIES]:[FEMALE BENEFICIARIES]])</f>
        <v>0</v>
      </c>
      <c r="AP34" s="58"/>
      <c r="AQ34" s="58"/>
      <c r="AR34" s="58"/>
      <c r="AS34" s="58"/>
      <c r="AT34" s="59">
        <v>25</v>
      </c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</row>
    <row r="35" spans="1:65">
      <c r="A35" s="51" t="str">
        <f>VLOOKUP(Table3[[#This Row],[OU]],OU!$A$15:$B$34,2,FALSE)</f>
        <v>RFOs</v>
      </c>
      <c r="B35" s="47" t="s">
        <v>5</v>
      </c>
      <c r="C35" s="47" t="s">
        <v>574</v>
      </c>
      <c r="D35" s="47"/>
      <c r="E35" s="47" t="s">
        <v>43</v>
      </c>
      <c r="F35" s="47" t="s">
        <v>631</v>
      </c>
      <c r="G3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3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23128000</v>
      </c>
      <c r="I35" s="52" t="str">
        <f>VLOOKUP(Table3[[#This Row],[PSGC]],DISTRICT!$D:$G,4,FALSE)</f>
        <v>4th</v>
      </c>
      <c r="J35" s="47" t="s">
        <v>575</v>
      </c>
      <c r="K35" s="51" t="str">
        <f>VLOOKUP(Table3[[#This Row],[SPECIFIC COMMODITY]],TAGS!$W$48:$X$53,2,FALSE)</f>
        <v>Corn</v>
      </c>
      <c r="L35" s="51" t="str">
        <f>VLOOKUP(Table3[[#This Row],[PREXC SUB-PROGRAM]],Table5[],2,FALSE)</f>
        <v>TECHNICAL AND SUPPORT SERVICES PROGRAM</v>
      </c>
      <c r="M35" s="51" t="str">
        <f>VLOOKUP(Table3[[#This Row],[COMMODITY PREXC SUB-PROGRAM]],TAGS!$U$54:$V$76,2,FALSE)</f>
        <v>PSS</v>
      </c>
      <c r="N35" s="47" t="s">
        <v>576</v>
      </c>
      <c r="O35" s="54" t="str">
        <f>VLOOKUP(Table3[[#This Row],[PI LEVEL 3]],'PI LEVEL'!A:C,3,FALSE)</f>
        <v>Seeds distributed</v>
      </c>
      <c r="P35" s="54" t="str">
        <f>VLOOKUP(Table3[[#This Row],[PI LEVEL 3]],Table53729[[Performance Indicator Level 3]:[Performance Indicator Level 1]],2,FALSE)</f>
        <v>Corn Seeds distributed</v>
      </c>
      <c r="Q35" s="54" t="str">
        <f>VLOOKUP(Table3[[#This Row],[ACTIVITY]],TAGS!B:P,2,FALSE)</f>
        <v>White Corn Seeds distributed</v>
      </c>
      <c r="R35" s="47" t="s">
        <v>24</v>
      </c>
      <c r="S35" s="51" t="str">
        <f>VLOOKUP(Table3[[#This Row],[ACTIVITY]],TAGS!$B:$P,4,FALSE)</f>
        <v>OPV Seed Production</v>
      </c>
      <c r="T35" s="51" t="str">
        <f>VLOOKUP(Table3[[#This Row],[ACTIVITY]],TAGS!$B:$P,5,FALSE)</f>
        <v>OPV Seed Production</v>
      </c>
      <c r="U35" s="51" t="str">
        <f>VLOOKUP(Table3[[#This Row],[ACTIVITY]],TAGS!$B:$P,6,FALSE)</f>
        <v>White corn seeds</v>
      </c>
      <c r="V35" s="51" t="str">
        <f>VLOOKUP(Table3[[#This Row],[ACTIVITY]],TAGS!$B:$P,7,FALSE)</f>
        <v>NO</v>
      </c>
      <c r="W35" s="51" t="str">
        <f>VLOOKUP(Table3[[#This Row],[ACTIVITY]],TAGS!$B:$P,8,FALSE)</f>
        <v>PAP</v>
      </c>
      <c r="X35" s="51" t="str">
        <f>VLOOKUP(Table3[[#This Row],[ACTIVITY]],TAGS!$B:$P,10,FALSE)</f>
        <v>PIP</v>
      </c>
      <c r="Y35" s="51" t="str">
        <f>VLOOKUP(Table3[[#This Row],[ACTIVITY]],TAGS!$B:$P,11,FALSE)</f>
        <v>PICS</v>
      </c>
      <c r="Z35" s="51" t="str">
        <f>VLOOKUP(Table3[[#This Row],[ACTIVITY]],TAGS!$B:$P,12,FALSE)</f>
        <v>Consolidation</v>
      </c>
      <c r="AA35" s="51" t="str">
        <f>VLOOKUP(Table3[[#This Row],[ACTIVITY]],TAGS!$B:$P,13,FALSE)</f>
        <v>1. Bayanihan Agri Cluster</v>
      </c>
      <c r="AB35" s="51" t="str">
        <f>VLOOKUP(Table3[[#This Row],[ACTIVITY]],TAGS!$B:$P,14,FALSE)</f>
        <v>EXPAND AND IMPROVE AVAILABLE AGRI-FISHERY AREAS FOR INCREASED PRODUCTION</v>
      </c>
      <c r="AC35" s="51" t="str">
        <f>VLOOKUP(Table3[[#This Row],[ACTIVITY]],TAGS!$B:$P,15,FALSE)</f>
        <v>Farm Inputs</v>
      </c>
      <c r="AD35" s="51" t="str">
        <f>VLOOKUP(Table3[[#This Row],[PI LEVEL 3]],'PI LEVEL'!$A:$G,7,FALSE)</f>
        <v>DA-Level Output</v>
      </c>
      <c r="AE35" s="47" t="s">
        <v>577</v>
      </c>
      <c r="AF35" s="51" t="str">
        <f>VLOOKUP(Table3[[#This Row],[ACTIVITY]],TAGS!$B:$P,3,FALSE)</f>
        <v>kilogram</v>
      </c>
      <c r="AG35" s="47" t="s">
        <v>336</v>
      </c>
      <c r="AH35" s="51" t="str">
        <f>VLOOKUP(Table3[[#This Row],[MONTH]],TAGS!$W$67:$Y$81,2,FALSE)</f>
        <v>4TH QTR</v>
      </c>
      <c r="AI35" s="51" t="str">
        <f>VLOOKUP(Table3[[#This Row],[MONTH]],TAGS!$W$67:$Y$81,3,FALSE)</f>
        <v>2ND SEMESTER</v>
      </c>
      <c r="AJ35" s="51">
        <f>VLOOKUP(Table3[[#This Row],[MONTH]],TAGS!$W$67:$Z$81,4,FALSE)</f>
        <v>2025</v>
      </c>
      <c r="AK35" s="47">
        <v>100</v>
      </c>
      <c r="AL35" s="51" t="str">
        <f>VLOOKUP(Table3[[#This Row],[ACTIVITY]],TAGS!$B:$R,16,FALSE)</f>
        <v>YES</v>
      </c>
      <c r="AM35" s="55">
        <v>5.55</v>
      </c>
      <c r="AN35" s="47">
        <v>5</v>
      </c>
      <c r="AO35" s="57">
        <f>SUM(Table3[[#This Row],[MALE BENEFICIARIES]:[FEMALE BENEFICIARIES]])</f>
        <v>0</v>
      </c>
      <c r="AP35" s="58"/>
      <c r="AQ35" s="58"/>
      <c r="AR35" s="58"/>
      <c r="AS35" s="58"/>
      <c r="AT35" s="59">
        <v>5</v>
      </c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</row>
    <row r="36" spans="1:65">
      <c r="A36" s="51" t="str">
        <f>VLOOKUP(Table3[[#This Row],[OU]],OU!$A$15:$B$34,2,FALSE)</f>
        <v>RFOs</v>
      </c>
      <c r="B36" s="47" t="s">
        <v>5</v>
      </c>
      <c r="C36" s="47" t="s">
        <v>574</v>
      </c>
      <c r="D36" s="47"/>
      <c r="E36" s="47" t="s">
        <v>63</v>
      </c>
      <c r="F36" s="47" t="s">
        <v>632</v>
      </c>
      <c r="G3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3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25007000</v>
      </c>
      <c r="I36" s="52" t="str">
        <f>VLOOKUP(Table3[[#This Row],[PSGC]],DISTRICT!$D:$G,4,FALSE)</f>
        <v>3rd</v>
      </c>
      <c r="J36" s="47" t="s">
        <v>575</v>
      </c>
      <c r="K36" s="51" t="str">
        <f>VLOOKUP(Table3[[#This Row],[SPECIFIC COMMODITY]],TAGS!$W$48:$X$53,2,FALSE)</f>
        <v>Corn</v>
      </c>
      <c r="L36" s="51" t="str">
        <f>VLOOKUP(Table3[[#This Row],[PREXC SUB-PROGRAM]],Table5[],2,FALSE)</f>
        <v>TECHNICAL AND SUPPORT SERVICES PROGRAM</v>
      </c>
      <c r="M36" s="51" t="str">
        <f>VLOOKUP(Table3[[#This Row],[COMMODITY PREXC SUB-PROGRAM]],TAGS!$U$54:$V$76,2,FALSE)</f>
        <v>PSS</v>
      </c>
      <c r="N36" s="47" t="s">
        <v>576</v>
      </c>
      <c r="O36" s="54" t="str">
        <f>VLOOKUP(Table3[[#This Row],[PI LEVEL 3]],'PI LEVEL'!A:C,3,FALSE)</f>
        <v>Seeds distributed</v>
      </c>
      <c r="P36" s="54" t="str">
        <f>VLOOKUP(Table3[[#This Row],[PI LEVEL 3]],Table53729[[Performance Indicator Level 3]:[Performance Indicator Level 1]],2,FALSE)</f>
        <v>Corn Seeds distributed</v>
      </c>
      <c r="Q36" s="54" t="str">
        <f>VLOOKUP(Table3[[#This Row],[ACTIVITY]],TAGS!B:P,2,FALSE)</f>
        <v>White Corn Seeds distributed</v>
      </c>
      <c r="R36" s="47" t="s">
        <v>24</v>
      </c>
      <c r="S36" s="51" t="str">
        <f>VLOOKUP(Table3[[#This Row],[ACTIVITY]],TAGS!$B:$P,4,FALSE)</f>
        <v>OPV Seed Production</v>
      </c>
      <c r="T36" s="51" t="str">
        <f>VLOOKUP(Table3[[#This Row],[ACTIVITY]],TAGS!$B:$P,5,FALSE)</f>
        <v>OPV Seed Production</v>
      </c>
      <c r="U36" s="51" t="str">
        <f>VLOOKUP(Table3[[#This Row],[ACTIVITY]],TAGS!$B:$P,6,FALSE)</f>
        <v>White corn seeds</v>
      </c>
      <c r="V36" s="51" t="str">
        <f>VLOOKUP(Table3[[#This Row],[ACTIVITY]],TAGS!$B:$P,7,FALSE)</f>
        <v>NO</v>
      </c>
      <c r="W36" s="51" t="str">
        <f>VLOOKUP(Table3[[#This Row],[ACTIVITY]],TAGS!$B:$P,8,FALSE)</f>
        <v>PAP</v>
      </c>
      <c r="X36" s="51" t="str">
        <f>VLOOKUP(Table3[[#This Row],[ACTIVITY]],TAGS!$B:$P,10,FALSE)</f>
        <v>PIP</v>
      </c>
      <c r="Y36" s="51" t="str">
        <f>VLOOKUP(Table3[[#This Row],[ACTIVITY]],TAGS!$B:$P,11,FALSE)</f>
        <v>PICS</v>
      </c>
      <c r="Z36" s="51" t="str">
        <f>VLOOKUP(Table3[[#This Row],[ACTIVITY]],TAGS!$B:$P,12,FALSE)</f>
        <v>Consolidation</v>
      </c>
      <c r="AA36" s="51" t="str">
        <f>VLOOKUP(Table3[[#This Row],[ACTIVITY]],TAGS!$B:$P,13,FALSE)</f>
        <v>1. Bayanihan Agri Cluster</v>
      </c>
      <c r="AB36" s="51" t="str">
        <f>VLOOKUP(Table3[[#This Row],[ACTIVITY]],TAGS!$B:$P,14,FALSE)</f>
        <v>EXPAND AND IMPROVE AVAILABLE AGRI-FISHERY AREAS FOR INCREASED PRODUCTION</v>
      </c>
      <c r="AC36" s="51" t="str">
        <f>VLOOKUP(Table3[[#This Row],[ACTIVITY]],TAGS!$B:$P,15,FALSE)</f>
        <v>Farm Inputs</v>
      </c>
      <c r="AD36" s="51" t="str">
        <f>VLOOKUP(Table3[[#This Row],[PI LEVEL 3]],'PI LEVEL'!$A:$G,7,FALSE)</f>
        <v>DA-Level Output</v>
      </c>
      <c r="AE36" s="47" t="s">
        <v>577</v>
      </c>
      <c r="AF36" s="51" t="str">
        <f>VLOOKUP(Table3[[#This Row],[ACTIVITY]],TAGS!$B:$P,3,FALSE)</f>
        <v>kilogram</v>
      </c>
      <c r="AG36" s="47" t="s">
        <v>337</v>
      </c>
      <c r="AH36" s="51" t="str">
        <f>VLOOKUP(Table3[[#This Row],[MONTH]],TAGS!$W$67:$Y$81,2,FALSE)</f>
        <v>4TH QTR</v>
      </c>
      <c r="AI36" s="51" t="str">
        <f>VLOOKUP(Table3[[#This Row],[MONTH]],TAGS!$W$67:$Y$81,3,FALSE)</f>
        <v>2ND SEMESTER</v>
      </c>
      <c r="AJ36" s="51">
        <f>VLOOKUP(Table3[[#This Row],[MONTH]],TAGS!$W$67:$Z$81,4,FALSE)</f>
        <v>2025</v>
      </c>
      <c r="AK36" s="47">
        <v>1000</v>
      </c>
      <c r="AL36" s="51" t="str">
        <f>VLOOKUP(Table3[[#This Row],[ACTIVITY]],TAGS!$B:$R,16,FALSE)</f>
        <v>YES</v>
      </c>
      <c r="AM36" s="55">
        <v>55.55</v>
      </c>
      <c r="AN36" s="47">
        <v>50</v>
      </c>
      <c r="AO36" s="57">
        <f>SUM(Table3[[#This Row],[MALE BENEFICIARIES]:[FEMALE BENEFICIARIES]])</f>
        <v>0</v>
      </c>
      <c r="AP36" s="58"/>
      <c r="AQ36" s="58"/>
      <c r="AR36" s="58"/>
      <c r="AS36" s="58">
        <v>1</v>
      </c>
      <c r="AT36" s="59">
        <v>5</v>
      </c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</row>
    <row r="37" spans="1:65">
      <c r="A37" s="51" t="str">
        <f>VLOOKUP(Table3[[#This Row],[OU]],OU!$A$15:$B$34,2,FALSE)</f>
        <v>RFOs</v>
      </c>
      <c r="B37" s="47" t="s">
        <v>5</v>
      </c>
      <c r="C37" s="47" t="s">
        <v>574</v>
      </c>
      <c r="D37" s="47"/>
      <c r="E37" s="47" t="s">
        <v>63</v>
      </c>
      <c r="F37" s="47" t="s">
        <v>633</v>
      </c>
      <c r="G3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3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25010000</v>
      </c>
      <c r="I37" s="52" t="str">
        <f>VLOOKUP(Table3[[#This Row],[PSGC]],DISTRICT!$D:$G,4,FALSE)</f>
        <v>3rd</v>
      </c>
      <c r="J37" s="47" t="s">
        <v>575</v>
      </c>
      <c r="K37" s="51" t="str">
        <f>VLOOKUP(Table3[[#This Row],[SPECIFIC COMMODITY]],TAGS!$W$48:$X$53,2,FALSE)</f>
        <v>Corn</v>
      </c>
      <c r="L37" s="51" t="str">
        <f>VLOOKUP(Table3[[#This Row],[PREXC SUB-PROGRAM]],Table5[],2,FALSE)</f>
        <v>TECHNICAL AND SUPPORT SERVICES PROGRAM</v>
      </c>
      <c r="M37" s="51" t="str">
        <f>VLOOKUP(Table3[[#This Row],[COMMODITY PREXC SUB-PROGRAM]],TAGS!$U$54:$V$76,2,FALSE)</f>
        <v>PSS</v>
      </c>
      <c r="N37" s="47" t="s">
        <v>576</v>
      </c>
      <c r="O37" s="54" t="str">
        <f>VLOOKUP(Table3[[#This Row],[PI LEVEL 3]],'PI LEVEL'!A:C,3,FALSE)</f>
        <v>Seeds distributed</v>
      </c>
      <c r="P37" s="54" t="str">
        <f>VLOOKUP(Table3[[#This Row],[PI LEVEL 3]],Table53729[[Performance Indicator Level 3]:[Performance Indicator Level 1]],2,FALSE)</f>
        <v>Corn Seeds distributed</v>
      </c>
      <c r="Q37" s="54" t="str">
        <f>VLOOKUP(Table3[[#This Row],[ACTIVITY]],TAGS!B:P,2,FALSE)</f>
        <v>White Corn Seeds distributed</v>
      </c>
      <c r="R37" s="47" t="s">
        <v>24</v>
      </c>
      <c r="S37" s="51" t="str">
        <f>VLOOKUP(Table3[[#This Row],[ACTIVITY]],TAGS!$B:$P,4,FALSE)</f>
        <v>OPV Seed Production</v>
      </c>
      <c r="T37" s="51" t="str">
        <f>VLOOKUP(Table3[[#This Row],[ACTIVITY]],TAGS!$B:$P,5,FALSE)</f>
        <v>OPV Seed Production</v>
      </c>
      <c r="U37" s="51" t="str">
        <f>VLOOKUP(Table3[[#This Row],[ACTIVITY]],TAGS!$B:$P,6,FALSE)</f>
        <v>White corn seeds</v>
      </c>
      <c r="V37" s="51" t="str">
        <f>VLOOKUP(Table3[[#This Row],[ACTIVITY]],TAGS!$B:$P,7,FALSE)</f>
        <v>NO</v>
      </c>
      <c r="W37" s="51" t="str">
        <f>VLOOKUP(Table3[[#This Row],[ACTIVITY]],TAGS!$B:$P,8,FALSE)</f>
        <v>PAP</v>
      </c>
      <c r="X37" s="51" t="str">
        <f>VLOOKUP(Table3[[#This Row],[ACTIVITY]],TAGS!$B:$P,10,FALSE)</f>
        <v>PIP</v>
      </c>
      <c r="Y37" s="51" t="str">
        <f>VLOOKUP(Table3[[#This Row],[ACTIVITY]],TAGS!$B:$P,11,FALSE)</f>
        <v>PICS</v>
      </c>
      <c r="Z37" s="51" t="str">
        <f>VLOOKUP(Table3[[#This Row],[ACTIVITY]],TAGS!$B:$P,12,FALSE)</f>
        <v>Consolidation</v>
      </c>
      <c r="AA37" s="51" t="str">
        <f>VLOOKUP(Table3[[#This Row],[ACTIVITY]],TAGS!$B:$P,13,FALSE)</f>
        <v>1. Bayanihan Agri Cluster</v>
      </c>
      <c r="AB37" s="51" t="str">
        <f>VLOOKUP(Table3[[#This Row],[ACTIVITY]],TAGS!$B:$P,14,FALSE)</f>
        <v>EXPAND AND IMPROVE AVAILABLE AGRI-FISHERY AREAS FOR INCREASED PRODUCTION</v>
      </c>
      <c r="AC37" s="51" t="str">
        <f>VLOOKUP(Table3[[#This Row],[ACTIVITY]],TAGS!$B:$P,15,FALSE)</f>
        <v>Farm Inputs</v>
      </c>
      <c r="AD37" s="51" t="str">
        <f>VLOOKUP(Table3[[#This Row],[PI LEVEL 3]],'PI LEVEL'!$A:$G,7,FALSE)</f>
        <v>DA-Level Output</v>
      </c>
      <c r="AE37" s="47" t="s">
        <v>577</v>
      </c>
      <c r="AF37" s="51" t="str">
        <f>VLOOKUP(Table3[[#This Row],[ACTIVITY]],TAGS!$B:$P,3,FALSE)</f>
        <v>kilogram</v>
      </c>
      <c r="AG37" s="47" t="s">
        <v>337</v>
      </c>
      <c r="AH37" s="51" t="str">
        <f>VLOOKUP(Table3[[#This Row],[MONTH]],TAGS!$W$67:$Y$81,2,FALSE)</f>
        <v>4TH QTR</v>
      </c>
      <c r="AI37" s="51" t="str">
        <f>VLOOKUP(Table3[[#This Row],[MONTH]],TAGS!$W$67:$Y$81,3,FALSE)</f>
        <v>2ND SEMESTER</v>
      </c>
      <c r="AJ37" s="51">
        <f>VLOOKUP(Table3[[#This Row],[MONTH]],TAGS!$W$67:$Z$81,4,FALSE)</f>
        <v>2025</v>
      </c>
      <c r="AK37" s="47">
        <v>1000</v>
      </c>
      <c r="AL37" s="51" t="str">
        <f>VLOOKUP(Table3[[#This Row],[ACTIVITY]],TAGS!$B:$R,16,FALSE)</f>
        <v>YES</v>
      </c>
      <c r="AM37" s="55">
        <v>55.55</v>
      </c>
      <c r="AN37" s="47">
        <v>50</v>
      </c>
      <c r="AO37" s="57">
        <f>SUM(Table3[[#This Row],[MALE BENEFICIARIES]:[FEMALE BENEFICIARIES]])</f>
        <v>0</v>
      </c>
      <c r="AP37" s="58"/>
      <c r="AQ37" s="58"/>
      <c r="AR37" s="58"/>
      <c r="AS37" s="58">
        <v>1</v>
      </c>
      <c r="AT37" s="59">
        <v>55</v>
      </c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</row>
    <row r="38" spans="1:65">
      <c r="A38" s="51" t="str">
        <f>VLOOKUP(Table3[[#This Row],[OU]],OU!$A$15:$B$34,2,FALSE)</f>
        <v>RFOs</v>
      </c>
      <c r="B38" s="47" t="s">
        <v>5</v>
      </c>
      <c r="C38" s="47" t="s">
        <v>574</v>
      </c>
      <c r="D38" s="47"/>
      <c r="E38" s="47" t="s">
        <v>70</v>
      </c>
      <c r="F38" s="47" t="s">
        <v>634</v>
      </c>
      <c r="G3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3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25701000</v>
      </c>
      <c r="I38" s="52" t="str">
        <f>VLOOKUP(Table3[[#This Row],[PSGC]],DISTRICT!$D:$G,4,FALSE)</f>
        <v>3rd</v>
      </c>
      <c r="J38" s="47" t="s">
        <v>575</v>
      </c>
      <c r="K38" s="51" t="str">
        <f>VLOOKUP(Table3[[#This Row],[SPECIFIC COMMODITY]],TAGS!$W$48:$X$53,2,FALSE)</f>
        <v>Corn</v>
      </c>
      <c r="L38" s="51" t="str">
        <f>VLOOKUP(Table3[[#This Row],[PREXC SUB-PROGRAM]],Table5[],2,FALSE)</f>
        <v>TECHNICAL AND SUPPORT SERVICES PROGRAM</v>
      </c>
      <c r="M38" s="51" t="str">
        <f>VLOOKUP(Table3[[#This Row],[COMMODITY PREXC SUB-PROGRAM]],TAGS!$U$54:$V$76,2,FALSE)</f>
        <v>PSS</v>
      </c>
      <c r="N38" s="47" t="s">
        <v>576</v>
      </c>
      <c r="O38" s="54" t="str">
        <f>VLOOKUP(Table3[[#This Row],[PI LEVEL 3]],'PI LEVEL'!A:C,3,FALSE)</f>
        <v>Seeds distributed</v>
      </c>
      <c r="P38" s="54" t="str">
        <f>VLOOKUP(Table3[[#This Row],[PI LEVEL 3]],Table53729[[Performance Indicator Level 3]:[Performance Indicator Level 1]],2,FALSE)</f>
        <v>Corn Seeds distributed</v>
      </c>
      <c r="Q38" s="54" t="str">
        <f>VLOOKUP(Table3[[#This Row],[ACTIVITY]],TAGS!B:P,2,FALSE)</f>
        <v>White Corn Seeds distributed</v>
      </c>
      <c r="R38" s="47" t="s">
        <v>24</v>
      </c>
      <c r="S38" s="51" t="str">
        <f>VLOOKUP(Table3[[#This Row],[ACTIVITY]],TAGS!$B:$P,4,FALSE)</f>
        <v>OPV Seed Production</v>
      </c>
      <c r="T38" s="51" t="str">
        <f>VLOOKUP(Table3[[#This Row],[ACTIVITY]],TAGS!$B:$P,5,FALSE)</f>
        <v>OPV Seed Production</v>
      </c>
      <c r="U38" s="51" t="str">
        <f>VLOOKUP(Table3[[#This Row],[ACTIVITY]],TAGS!$B:$P,6,FALSE)</f>
        <v>White corn seeds</v>
      </c>
      <c r="V38" s="51" t="str">
        <f>VLOOKUP(Table3[[#This Row],[ACTIVITY]],TAGS!$B:$P,7,FALSE)</f>
        <v>NO</v>
      </c>
      <c r="W38" s="51" t="str">
        <f>VLOOKUP(Table3[[#This Row],[ACTIVITY]],TAGS!$B:$P,8,FALSE)</f>
        <v>PAP</v>
      </c>
      <c r="X38" s="51" t="str">
        <f>VLOOKUP(Table3[[#This Row],[ACTIVITY]],TAGS!$B:$P,10,FALSE)</f>
        <v>PIP</v>
      </c>
      <c r="Y38" s="51" t="str">
        <f>VLOOKUP(Table3[[#This Row],[ACTIVITY]],TAGS!$B:$P,11,FALSE)</f>
        <v>PICS</v>
      </c>
      <c r="Z38" s="51" t="str">
        <f>VLOOKUP(Table3[[#This Row],[ACTIVITY]],TAGS!$B:$P,12,FALSE)</f>
        <v>Consolidation</v>
      </c>
      <c r="AA38" s="51" t="str">
        <f>VLOOKUP(Table3[[#This Row],[ACTIVITY]],TAGS!$B:$P,13,FALSE)</f>
        <v>1. Bayanihan Agri Cluster</v>
      </c>
      <c r="AB38" s="51" t="str">
        <f>VLOOKUP(Table3[[#This Row],[ACTIVITY]],TAGS!$B:$P,14,FALSE)</f>
        <v>EXPAND AND IMPROVE AVAILABLE AGRI-FISHERY AREAS FOR INCREASED PRODUCTION</v>
      </c>
      <c r="AC38" s="51" t="str">
        <f>VLOOKUP(Table3[[#This Row],[ACTIVITY]],TAGS!$B:$P,15,FALSE)</f>
        <v>Farm Inputs</v>
      </c>
      <c r="AD38" s="51" t="str">
        <f>VLOOKUP(Table3[[#This Row],[PI LEVEL 3]],'PI LEVEL'!$A:$G,7,FALSE)</f>
        <v>DA-Level Output</v>
      </c>
      <c r="AE38" s="47" t="s">
        <v>577</v>
      </c>
      <c r="AF38" s="51" t="str">
        <f>VLOOKUP(Table3[[#This Row],[ACTIVITY]],TAGS!$B:$P,3,FALSE)</f>
        <v>kilogram</v>
      </c>
      <c r="AG38" s="47" t="s">
        <v>337</v>
      </c>
      <c r="AH38" s="51" t="str">
        <f>VLOOKUP(Table3[[#This Row],[MONTH]],TAGS!$W$67:$Y$81,2,FALSE)</f>
        <v>4TH QTR</v>
      </c>
      <c r="AI38" s="51" t="str">
        <f>VLOOKUP(Table3[[#This Row],[MONTH]],TAGS!$W$67:$Y$81,3,FALSE)</f>
        <v>2ND SEMESTER</v>
      </c>
      <c r="AJ38" s="51">
        <f>VLOOKUP(Table3[[#This Row],[MONTH]],TAGS!$W$67:$Z$81,4,FALSE)</f>
        <v>2025</v>
      </c>
      <c r="AK38" s="47">
        <v>600</v>
      </c>
      <c r="AL38" s="51" t="str">
        <f>VLOOKUP(Table3[[#This Row],[ACTIVITY]],TAGS!$B:$R,16,FALSE)</f>
        <v>YES</v>
      </c>
      <c r="AM38" s="55">
        <v>33.3333333333333</v>
      </c>
      <c r="AN38" s="47">
        <v>30</v>
      </c>
      <c r="AO38" s="57">
        <f>SUM(Table3[[#This Row],[MALE BENEFICIARIES]:[FEMALE BENEFICIARIES]])</f>
        <v>0</v>
      </c>
      <c r="AP38" s="58"/>
      <c r="AQ38" s="58"/>
      <c r="AR38" s="58"/>
      <c r="AS38" s="58">
        <v>1</v>
      </c>
      <c r="AT38" s="59">
        <v>55</v>
      </c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</row>
    <row r="39" spans="1:65">
      <c r="A39" s="51" t="str">
        <f>VLOOKUP(Table3[[#This Row],[OU]],OU!$A$15:$B$34,2,FALSE)</f>
        <v>RFOs</v>
      </c>
      <c r="B39" s="47" t="s">
        <v>5</v>
      </c>
      <c r="C39" s="47" t="s">
        <v>574</v>
      </c>
      <c r="D39" s="47"/>
      <c r="E39" s="47" t="s">
        <v>70</v>
      </c>
      <c r="F39" s="47" t="s">
        <v>635</v>
      </c>
      <c r="G3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3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25702000</v>
      </c>
      <c r="I39" s="52" t="str">
        <f>VLOOKUP(Table3[[#This Row],[PSGC]],DISTRICT!$D:$G,4,FALSE)</f>
        <v>3rd</v>
      </c>
      <c r="J39" s="47" t="s">
        <v>575</v>
      </c>
      <c r="K39" s="51" t="str">
        <f>VLOOKUP(Table3[[#This Row],[SPECIFIC COMMODITY]],TAGS!$W$48:$X$53,2,FALSE)</f>
        <v>Corn</v>
      </c>
      <c r="L39" s="51" t="str">
        <f>VLOOKUP(Table3[[#This Row],[PREXC SUB-PROGRAM]],Table5[],2,FALSE)</f>
        <v>TECHNICAL AND SUPPORT SERVICES PROGRAM</v>
      </c>
      <c r="M39" s="51" t="str">
        <f>VLOOKUP(Table3[[#This Row],[COMMODITY PREXC SUB-PROGRAM]],TAGS!$U$54:$V$76,2,FALSE)</f>
        <v>PSS</v>
      </c>
      <c r="N39" s="47" t="s">
        <v>576</v>
      </c>
      <c r="O39" s="54" t="str">
        <f>VLOOKUP(Table3[[#This Row],[PI LEVEL 3]],'PI LEVEL'!A:C,3,FALSE)</f>
        <v>Seeds distributed</v>
      </c>
      <c r="P39" s="54" t="str">
        <f>VLOOKUP(Table3[[#This Row],[PI LEVEL 3]],Table53729[[Performance Indicator Level 3]:[Performance Indicator Level 1]],2,FALSE)</f>
        <v>Corn Seeds distributed</v>
      </c>
      <c r="Q39" s="54" t="str">
        <f>VLOOKUP(Table3[[#This Row],[ACTIVITY]],TAGS!B:P,2,FALSE)</f>
        <v>White Corn Seeds distributed</v>
      </c>
      <c r="R39" s="47" t="s">
        <v>24</v>
      </c>
      <c r="S39" s="51" t="str">
        <f>VLOOKUP(Table3[[#This Row],[ACTIVITY]],TAGS!$B:$P,4,FALSE)</f>
        <v>OPV Seed Production</v>
      </c>
      <c r="T39" s="51" t="str">
        <f>VLOOKUP(Table3[[#This Row],[ACTIVITY]],TAGS!$B:$P,5,FALSE)</f>
        <v>OPV Seed Production</v>
      </c>
      <c r="U39" s="51" t="str">
        <f>VLOOKUP(Table3[[#This Row],[ACTIVITY]],TAGS!$B:$P,6,FALSE)</f>
        <v>White corn seeds</v>
      </c>
      <c r="V39" s="51" t="str">
        <f>VLOOKUP(Table3[[#This Row],[ACTIVITY]],TAGS!$B:$P,7,FALSE)</f>
        <v>NO</v>
      </c>
      <c r="W39" s="51" t="str">
        <f>VLOOKUP(Table3[[#This Row],[ACTIVITY]],TAGS!$B:$P,8,FALSE)</f>
        <v>PAP</v>
      </c>
      <c r="X39" s="51" t="str">
        <f>VLOOKUP(Table3[[#This Row],[ACTIVITY]],TAGS!$B:$P,10,FALSE)</f>
        <v>PIP</v>
      </c>
      <c r="Y39" s="51" t="str">
        <f>VLOOKUP(Table3[[#This Row],[ACTIVITY]],TAGS!$B:$P,11,FALSE)</f>
        <v>PICS</v>
      </c>
      <c r="Z39" s="51" t="str">
        <f>VLOOKUP(Table3[[#This Row],[ACTIVITY]],TAGS!$B:$P,12,FALSE)</f>
        <v>Consolidation</v>
      </c>
      <c r="AA39" s="51" t="str">
        <f>VLOOKUP(Table3[[#This Row],[ACTIVITY]],TAGS!$B:$P,13,FALSE)</f>
        <v>1. Bayanihan Agri Cluster</v>
      </c>
      <c r="AB39" s="51" t="str">
        <f>VLOOKUP(Table3[[#This Row],[ACTIVITY]],TAGS!$B:$P,14,FALSE)</f>
        <v>EXPAND AND IMPROVE AVAILABLE AGRI-FISHERY AREAS FOR INCREASED PRODUCTION</v>
      </c>
      <c r="AC39" s="51" t="str">
        <f>VLOOKUP(Table3[[#This Row],[ACTIVITY]],TAGS!$B:$P,15,FALSE)</f>
        <v>Farm Inputs</v>
      </c>
      <c r="AD39" s="51" t="str">
        <f>VLOOKUP(Table3[[#This Row],[PI LEVEL 3]],'PI LEVEL'!$A:$G,7,FALSE)</f>
        <v>DA-Level Output</v>
      </c>
      <c r="AE39" s="47" t="s">
        <v>577</v>
      </c>
      <c r="AF39" s="51" t="str">
        <f>VLOOKUP(Table3[[#This Row],[ACTIVITY]],TAGS!$B:$P,3,FALSE)</f>
        <v>kilogram</v>
      </c>
      <c r="AG39" s="47" t="s">
        <v>337</v>
      </c>
      <c r="AH39" s="51" t="str">
        <f>VLOOKUP(Table3[[#This Row],[MONTH]],TAGS!$W$67:$Y$81,2,FALSE)</f>
        <v>4TH QTR</v>
      </c>
      <c r="AI39" s="51" t="str">
        <f>VLOOKUP(Table3[[#This Row],[MONTH]],TAGS!$W$67:$Y$81,3,FALSE)</f>
        <v>2ND SEMESTER</v>
      </c>
      <c r="AJ39" s="51">
        <f>VLOOKUP(Table3[[#This Row],[MONTH]],TAGS!$W$67:$Z$81,4,FALSE)</f>
        <v>2025</v>
      </c>
      <c r="AK39" s="47">
        <v>800</v>
      </c>
      <c r="AL39" s="51" t="str">
        <f>VLOOKUP(Table3[[#This Row],[ACTIVITY]],TAGS!$B:$R,16,FALSE)</f>
        <v>YES</v>
      </c>
      <c r="AM39" s="55">
        <v>44.4444444444444</v>
      </c>
      <c r="AN39" s="47">
        <v>40</v>
      </c>
      <c r="AO39" s="57">
        <f>SUM(Table3[[#This Row],[MALE BENEFICIARIES]:[FEMALE BENEFICIARIES]])</f>
        <v>0</v>
      </c>
      <c r="AP39" s="58"/>
      <c r="AQ39" s="58"/>
      <c r="AR39" s="58"/>
      <c r="AS39" s="58">
        <v>1</v>
      </c>
      <c r="AT39" s="59">
        <v>33</v>
      </c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</row>
    <row r="40" spans="1:65">
      <c r="A40" s="51" t="str">
        <f>VLOOKUP(Table3[[#This Row],[OU]],OU!$A$15:$B$34,2,FALSE)</f>
        <v>RFOs</v>
      </c>
      <c r="B40" s="47" t="s">
        <v>5</v>
      </c>
      <c r="C40" s="47" t="s">
        <v>574</v>
      </c>
      <c r="D40" s="47"/>
      <c r="E40" s="47" t="s">
        <v>70</v>
      </c>
      <c r="F40" s="47" t="s">
        <v>636</v>
      </c>
      <c r="G4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4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25704000</v>
      </c>
      <c r="I40" s="52" t="str">
        <f>VLOOKUP(Table3[[#This Row],[PSGC]],DISTRICT!$D:$G,4,FALSE)</f>
        <v>1st</v>
      </c>
      <c r="J40" s="47" t="s">
        <v>575</v>
      </c>
      <c r="K40" s="51" t="str">
        <f>VLOOKUP(Table3[[#This Row],[SPECIFIC COMMODITY]],TAGS!$W$48:$X$53,2,FALSE)</f>
        <v>Corn</v>
      </c>
      <c r="L40" s="51" t="str">
        <f>VLOOKUP(Table3[[#This Row],[PREXC SUB-PROGRAM]],Table5[],2,FALSE)</f>
        <v>TECHNICAL AND SUPPORT SERVICES PROGRAM</v>
      </c>
      <c r="M40" s="51" t="str">
        <f>VLOOKUP(Table3[[#This Row],[COMMODITY PREXC SUB-PROGRAM]],TAGS!$U$54:$V$76,2,FALSE)</f>
        <v>PSS</v>
      </c>
      <c r="N40" s="47" t="s">
        <v>576</v>
      </c>
      <c r="O40" s="54" t="str">
        <f>VLOOKUP(Table3[[#This Row],[PI LEVEL 3]],'PI LEVEL'!A:C,3,FALSE)</f>
        <v>Seeds distributed</v>
      </c>
      <c r="P40" s="54" t="str">
        <f>VLOOKUP(Table3[[#This Row],[PI LEVEL 3]],Table53729[[Performance Indicator Level 3]:[Performance Indicator Level 1]],2,FALSE)</f>
        <v>Corn Seeds distributed</v>
      </c>
      <c r="Q40" s="54" t="str">
        <f>VLOOKUP(Table3[[#This Row],[ACTIVITY]],TAGS!B:P,2,FALSE)</f>
        <v>White Corn Seeds distributed</v>
      </c>
      <c r="R40" s="47" t="s">
        <v>24</v>
      </c>
      <c r="S40" s="51" t="str">
        <f>VLOOKUP(Table3[[#This Row],[ACTIVITY]],TAGS!$B:$P,4,FALSE)</f>
        <v>OPV Seed Production</v>
      </c>
      <c r="T40" s="51" t="str">
        <f>VLOOKUP(Table3[[#This Row],[ACTIVITY]],TAGS!$B:$P,5,FALSE)</f>
        <v>OPV Seed Production</v>
      </c>
      <c r="U40" s="51" t="str">
        <f>VLOOKUP(Table3[[#This Row],[ACTIVITY]],TAGS!$B:$P,6,FALSE)</f>
        <v>White corn seeds</v>
      </c>
      <c r="V40" s="51" t="str">
        <f>VLOOKUP(Table3[[#This Row],[ACTIVITY]],TAGS!$B:$P,7,FALSE)</f>
        <v>NO</v>
      </c>
      <c r="W40" s="51" t="str">
        <f>VLOOKUP(Table3[[#This Row],[ACTIVITY]],TAGS!$B:$P,8,FALSE)</f>
        <v>PAP</v>
      </c>
      <c r="X40" s="51" t="str">
        <f>VLOOKUP(Table3[[#This Row],[ACTIVITY]],TAGS!$B:$P,10,FALSE)</f>
        <v>PIP</v>
      </c>
      <c r="Y40" s="51" t="str">
        <f>VLOOKUP(Table3[[#This Row],[ACTIVITY]],TAGS!$B:$P,11,FALSE)</f>
        <v>PICS</v>
      </c>
      <c r="Z40" s="51" t="str">
        <f>VLOOKUP(Table3[[#This Row],[ACTIVITY]],TAGS!$B:$P,12,FALSE)</f>
        <v>Consolidation</v>
      </c>
      <c r="AA40" s="51" t="str">
        <f>VLOOKUP(Table3[[#This Row],[ACTIVITY]],TAGS!$B:$P,13,FALSE)</f>
        <v>1. Bayanihan Agri Cluster</v>
      </c>
      <c r="AB40" s="51" t="str">
        <f>VLOOKUP(Table3[[#This Row],[ACTIVITY]],TAGS!$B:$P,14,FALSE)</f>
        <v>EXPAND AND IMPROVE AVAILABLE AGRI-FISHERY AREAS FOR INCREASED PRODUCTION</v>
      </c>
      <c r="AC40" s="51" t="str">
        <f>VLOOKUP(Table3[[#This Row],[ACTIVITY]],TAGS!$B:$P,15,FALSE)</f>
        <v>Farm Inputs</v>
      </c>
      <c r="AD40" s="51" t="str">
        <f>VLOOKUP(Table3[[#This Row],[PI LEVEL 3]],'PI LEVEL'!$A:$G,7,FALSE)</f>
        <v>DA-Level Output</v>
      </c>
      <c r="AE40" s="47" t="s">
        <v>577</v>
      </c>
      <c r="AF40" s="51" t="str">
        <f>VLOOKUP(Table3[[#This Row],[ACTIVITY]],TAGS!$B:$P,3,FALSE)</f>
        <v>kilogram</v>
      </c>
      <c r="AG40" s="47" t="s">
        <v>337</v>
      </c>
      <c r="AH40" s="51" t="str">
        <f>VLOOKUP(Table3[[#This Row],[MONTH]],TAGS!$W$67:$Y$81,2,FALSE)</f>
        <v>4TH QTR</v>
      </c>
      <c r="AI40" s="51" t="str">
        <f>VLOOKUP(Table3[[#This Row],[MONTH]],TAGS!$W$67:$Y$81,3,FALSE)</f>
        <v>2ND SEMESTER</v>
      </c>
      <c r="AJ40" s="51">
        <f>VLOOKUP(Table3[[#This Row],[MONTH]],TAGS!$W$67:$Z$81,4,FALSE)</f>
        <v>2025</v>
      </c>
      <c r="AK40" s="47">
        <v>600</v>
      </c>
      <c r="AL40" s="51" t="str">
        <f>VLOOKUP(Table3[[#This Row],[ACTIVITY]],TAGS!$B:$R,16,FALSE)</f>
        <v>YES</v>
      </c>
      <c r="AM40" s="55">
        <v>33.3333333333333</v>
      </c>
      <c r="AN40" s="47">
        <v>30</v>
      </c>
      <c r="AO40" s="57">
        <f>SUM(Table3[[#This Row],[MALE BENEFICIARIES]:[FEMALE BENEFICIARIES]])</f>
        <v>0</v>
      </c>
      <c r="AP40" s="58"/>
      <c r="AQ40" s="58"/>
      <c r="AR40" s="58"/>
      <c r="AS40" s="58">
        <v>1</v>
      </c>
      <c r="AT40" s="59">
        <v>44</v>
      </c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</row>
    <row r="41" spans="1:65">
      <c r="A41" s="51" t="str">
        <f>VLOOKUP(Table3[[#This Row],[OU]],OU!$A$15:$B$34,2,FALSE)</f>
        <v>RFOs</v>
      </c>
      <c r="B41" s="47" t="s">
        <v>5</v>
      </c>
      <c r="C41" s="47" t="s">
        <v>574</v>
      </c>
      <c r="D41" s="47"/>
      <c r="E41" s="47" t="s">
        <v>78</v>
      </c>
      <c r="F41" s="47" t="s">
        <v>77</v>
      </c>
      <c r="G4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4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41" s="52" t="e">
        <f>VLOOKUP(Table3[[#This Row],[PSGC]],DISTRICT!$D:$G,4,FALSE)</f>
        <v>#N/A</v>
      </c>
      <c r="J41" s="47" t="s">
        <v>575</v>
      </c>
      <c r="K41" s="51" t="str">
        <f>VLOOKUP(Table3[[#This Row],[SPECIFIC COMMODITY]],TAGS!$W$48:$X$53,2,FALSE)</f>
        <v>Corn</v>
      </c>
      <c r="L41" s="51" t="str">
        <f>VLOOKUP(Table3[[#This Row],[PREXC SUB-PROGRAM]],Table5[],2,FALSE)</f>
        <v>TECHNICAL AND SUPPORT SERVICES PROGRAM</v>
      </c>
      <c r="M41" s="51" t="str">
        <f>VLOOKUP(Table3[[#This Row],[COMMODITY PREXC SUB-PROGRAM]],TAGS!$U$54:$V$76,2,FALSE)</f>
        <v>PSS</v>
      </c>
      <c r="N41" s="47" t="s">
        <v>576</v>
      </c>
      <c r="O41" s="54" t="str">
        <f>VLOOKUP(Table3[[#This Row],[PI LEVEL 3]],'PI LEVEL'!A:C,3,FALSE)</f>
        <v>Seeds reserved</v>
      </c>
      <c r="P41" s="54" t="str">
        <f>VLOOKUP(Table3[[#This Row],[PI LEVEL 3]],Table53729[[Performance Indicator Level 3]:[Performance Indicator Level 1]],2,FALSE)</f>
        <v>Corn Seeds reserved</v>
      </c>
      <c r="Q41" s="54" t="str">
        <f>VLOOKUP(Table3[[#This Row],[ACTIVITY]],TAGS!B:P,2,FALSE)</f>
        <v>White Corn Seeds reserved</v>
      </c>
      <c r="R41" s="47" t="s">
        <v>80</v>
      </c>
      <c r="S41" s="51" t="str">
        <f>VLOOKUP(Table3[[#This Row],[ACTIVITY]],TAGS!$B:$P,4,FALSE)</f>
        <v>Corn Seed Reserve</v>
      </c>
      <c r="T41" s="51" t="str">
        <f>VLOOKUP(Table3[[#This Row],[ACTIVITY]],TAGS!$B:$P,5,FALSE)</f>
        <v>Corn Seed Reserve</v>
      </c>
      <c r="U41" s="51" t="str">
        <f>VLOOKUP(Table3[[#This Row],[ACTIVITY]],TAGS!$B:$P,6,FALSE)</f>
        <v>White corn seeds reserve</v>
      </c>
      <c r="V41" s="51" t="str">
        <f>VLOOKUP(Table3[[#This Row],[ACTIVITY]],TAGS!$B:$P,7,FALSE)</f>
        <v>YES</v>
      </c>
      <c r="W41" s="51" t="str">
        <f>VLOOKUP(Table3[[#This Row],[ACTIVITY]],TAGS!$B:$P,8,FALSE)</f>
        <v>PAP</v>
      </c>
      <c r="X41" s="51" t="str">
        <f>VLOOKUP(Table3[[#This Row],[ACTIVITY]],TAGS!$B:$P,10,FALSE)</f>
        <v>PIP</v>
      </c>
      <c r="Y41" s="51" t="str">
        <f>VLOOKUP(Table3[[#This Row],[ACTIVITY]],TAGS!$B:$P,11,FALSE)</f>
        <v>PICS</v>
      </c>
      <c r="Z41" s="51" t="str">
        <f>VLOOKUP(Table3[[#This Row],[ACTIVITY]],TAGS!$B:$P,12,FALSE)</f>
        <v>Modernization</v>
      </c>
      <c r="AA41" s="51" t="str">
        <f>VLOOKUP(Table3[[#This Row],[ACTIVITY]],TAGS!$B:$P,13,FALSE)</f>
        <v>9. Climate Change Adaptation &amp; Mitigation Measures</v>
      </c>
      <c r="AB41" s="51" t="str">
        <f>VLOOKUP(Table3[[#This Row],[ACTIVITY]],TAGS!$B:$P,14,FALSE)</f>
        <v>EXPAND AND IMPROVE AVAILABLE AGRI-FISHERY AREAS FOR INCREASED PRODUCTION</v>
      </c>
      <c r="AC41" s="51" t="str">
        <f>VLOOKUP(Table3[[#This Row],[ACTIVITY]],TAGS!$B:$P,15,FALSE)</f>
        <v>Seed Reserve</v>
      </c>
      <c r="AD41" s="51" t="str">
        <f>VLOOKUP(Table3[[#This Row],[PI LEVEL 3]],'PI LEVEL'!$A:$G,7,FALSE)</f>
        <v>DA-Level Output</v>
      </c>
      <c r="AE41" s="47" t="s">
        <v>577</v>
      </c>
      <c r="AF41" s="51" t="str">
        <f>VLOOKUP(Table3[[#This Row],[ACTIVITY]],TAGS!$B:$P,3,FALSE)</f>
        <v>kilogram</v>
      </c>
      <c r="AG41" s="47" t="s">
        <v>331</v>
      </c>
      <c r="AH41" s="51" t="str">
        <f>VLOOKUP(Table3[[#This Row],[MONTH]],TAGS!$W$67:$Y$81,2,FALSE)</f>
        <v>2ND QTR</v>
      </c>
      <c r="AI41" s="51" t="str">
        <f>VLOOKUP(Table3[[#This Row],[MONTH]],TAGS!$W$67:$Y$81,3,FALSE)</f>
        <v>1ST SEMESTER</v>
      </c>
      <c r="AJ41" s="51">
        <f>VLOOKUP(Table3[[#This Row],[MONTH]],TAGS!$W$67:$Z$81,4,FALSE)</f>
        <v>2025</v>
      </c>
      <c r="AK41" s="47">
        <v>5000</v>
      </c>
      <c r="AL41" s="51" t="str">
        <f>VLOOKUP(Table3[[#This Row],[ACTIVITY]],TAGS!$B:$R,16,FALSE)</f>
        <v>YES</v>
      </c>
      <c r="AM41" s="47">
        <v>250</v>
      </c>
      <c r="AN41" s="47">
        <v>500</v>
      </c>
      <c r="AO41" s="57">
        <f>SUM(Table3[[#This Row],[MALE BENEFICIARIES]:[FEMALE BENEFICIARIES]])</f>
        <v>0</v>
      </c>
      <c r="AP41" s="58"/>
      <c r="AQ41" s="58"/>
      <c r="AR41" s="58"/>
      <c r="AS41" s="58"/>
      <c r="AT41" s="59" t="str">
        <f>VLOOKUP(Table3[[#This Row],[ACTIVITY]],TAGS!$B:$R,17,FALSE)</f>
        <v>NO</v>
      </c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</row>
    <row r="42" spans="1:65">
      <c r="A42" s="51" t="str">
        <f>VLOOKUP(Table3[[#This Row],[OU]],OU!$A$15:$B$34,2,FALSE)</f>
        <v>RFOs</v>
      </c>
      <c r="B42" s="47" t="s">
        <v>5</v>
      </c>
      <c r="C42" s="47" t="s">
        <v>574</v>
      </c>
      <c r="D42" s="47"/>
      <c r="E42" s="47" t="s">
        <v>78</v>
      </c>
      <c r="F42" s="47" t="s">
        <v>77</v>
      </c>
      <c r="G4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4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42" s="52" t="e">
        <f>VLOOKUP(Table3[[#This Row],[PSGC]],DISTRICT!$D:$G,4,FALSE)</f>
        <v>#N/A</v>
      </c>
      <c r="J42" s="47" t="s">
        <v>575</v>
      </c>
      <c r="K42" s="51" t="str">
        <f>VLOOKUP(Table3[[#This Row],[SPECIFIC COMMODITY]],TAGS!$W$48:$X$53,2,FALSE)</f>
        <v>Corn</v>
      </c>
      <c r="L42" s="51" t="str">
        <f>VLOOKUP(Table3[[#This Row],[PREXC SUB-PROGRAM]],Table5[],2,FALSE)</f>
        <v>TECHNICAL AND SUPPORT SERVICES PROGRAM</v>
      </c>
      <c r="M42" s="51" t="str">
        <f>VLOOKUP(Table3[[#This Row],[COMMODITY PREXC SUB-PROGRAM]],TAGS!$U$54:$V$76,2,FALSE)</f>
        <v>PSS</v>
      </c>
      <c r="N42" s="47" t="s">
        <v>576</v>
      </c>
      <c r="O42" s="54" t="str">
        <f>VLOOKUP(Table3[[#This Row],[PI LEVEL 3]],'PI LEVEL'!A:C,3,FALSE)</f>
        <v>Seeds reserved</v>
      </c>
      <c r="P42" s="54" t="str">
        <f>VLOOKUP(Table3[[#This Row],[PI LEVEL 3]],Table53729[[Performance Indicator Level 3]:[Performance Indicator Level 1]],2,FALSE)</f>
        <v>Corn Seeds reserved</v>
      </c>
      <c r="Q42" s="54" t="str">
        <f>VLOOKUP(Table3[[#This Row],[ACTIVITY]],TAGS!B:P,2,FALSE)</f>
        <v>White Corn Seeds reserved</v>
      </c>
      <c r="R42" s="47" t="s">
        <v>80</v>
      </c>
      <c r="S42" s="51" t="str">
        <f>VLOOKUP(Table3[[#This Row],[ACTIVITY]],TAGS!$B:$P,4,FALSE)</f>
        <v>Corn Seed Reserve</v>
      </c>
      <c r="T42" s="51" t="str">
        <f>VLOOKUP(Table3[[#This Row],[ACTIVITY]],TAGS!$B:$P,5,FALSE)</f>
        <v>Corn Seed Reserve</v>
      </c>
      <c r="U42" s="51" t="str">
        <f>VLOOKUP(Table3[[#This Row],[ACTIVITY]],TAGS!$B:$P,6,FALSE)</f>
        <v>White corn seeds reserve</v>
      </c>
      <c r="V42" s="51" t="str">
        <f>VLOOKUP(Table3[[#This Row],[ACTIVITY]],TAGS!$B:$P,7,FALSE)</f>
        <v>YES</v>
      </c>
      <c r="W42" s="51" t="str">
        <f>VLOOKUP(Table3[[#This Row],[ACTIVITY]],TAGS!$B:$P,8,FALSE)</f>
        <v>PAP</v>
      </c>
      <c r="X42" s="51" t="str">
        <f>VLOOKUP(Table3[[#This Row],[ACTIVITY]],TAGS!$B:$P,10,FALSE)</f>
        <v>PIP</v>
      </c>
      <c r="Y42" s="51" t="str">
        <f>VLOOKUP(Table3[[#This Row],[ACTIVITY]],TAGS!$B:$P,11,FALSE)</f>
        <v>PICS</v>
      </c>
      <c r="Z42" s="51" t="str">
        <f>VLOOKUP(Table3[[#This Row],[ACTIVITY]],TAGS!$B:$P,12,FALSE)</f>
        <v>Modernization</v>
      </c>
      <c r="AA42" s="51" t="str">
        <f>VLOOKUP(Table3[[#This Row],[ACTIVITY]],TAGS!$B:$P,13,FALSE)</f>
        <v>9. Climate Change Adaptation &amp; Mitigation Measures</v>
      </c>
      <c r="AB42" s="51" t="str">
        <f>VLOOKUP(Table3[[#This Row],[ACTIVITY]],TAGS!$B:$P,14,FALSE)</f>
        <v>EXPAND AND IMPROVE AVAILABLE AGRI-FISHERY AREAS FOR INCREASED PRODUCTION</v>
      </c>
      <c r="AC42" s="51" t="str">
        <f>VLOOKUP(Table3[[#This Row],[ACTIVITY]],TAGS!$B:$P,15,FALSE)</f>
        <v>Seed Reserve</v>
      </c>
      <c r="AD42" s="51" t="str">
        <f>VLOOKUP(Table3[[#This Row],[PI LEVEL 3]],'PI LEVEL'!$A:$G,7,FALSE)</f>
        <v>DA-Level Output</v>
      </c>
      <c r="AE42" s="47" t="s">
        <v>577</v>
      </c>
      <c r="AF42" s="51" t="str">
        <f>VLOOKUP(Table3[[#This Row],[ACTIVITY]],TAGS!$B:$P,3,FALSE)</f>
        <v>kilogram</v>
      </c>
      <c r="AG42" s="47" t="s">
        <v>331</v>
      </c>
      <c r="AH42" s="51" t="str">
        <f>VLOOKUP(Table3[[#This Row],[MONTH]],TAGS!$W$67:$Y$81,2,FALSE)</f>
        <v>2ND QTR</v>
      </c>
      <c r="AI42" s="51" t="str">
        <f>VLOOKUP(Table3[[#This Row],[MONTH]],TAGS!$W$67:$Y$81,3,FALSE)</f>
        <v>1ST SEMESTER</v>
      </c>
      <c r="AJ42" s="51">
        <f>VLOOKUP(Table3[[#This Row],[MONTH]],TAGS!$W$67:$Z$81,4,FALSE)</f>
        <v>2025</v>
      </c>
      <c r="AK42" s="47">
        <v>10000</v>
      </c>
      <c r="AL42" s="51" t="str">
        <f>VLOOKUP(Table3[[#This Row],[ACTIVITY]],TAGS!$B:$R,16,FALSE)</f>
        <v>YES</v>
      </c>
      <c r="AM42" s="47">
        <v>555.5</v>
      </c>
      <c r="AN42" s="47">
        <v>1000</v>
      </c>
      <c r="AO42" s="57">
        <f>SUM(Table3[[#This Row],[MALE BENEFICIARIES]:[FEMALE BENEFICIARIES]])</f>
        <v>0</v>
      </c>
      <c r="AP42" s="58"/>
      <c r="AQ42" s="58"/>
      <c r="AR42" s="58"/>
      <c r="AS42" s="58"/>
      <c r="AT42" s="59" t="str">
        <f>VLOOKUP(Table3[[#This Row],[ACTIVITY]],TAGS!$B:$R,17,FALSE)</f>
        <v>NO</v>
      </c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</row>
    <row r="43" spans="1:65">
      <c r="A43" s="51" t="str">
        <f>VLOOKUP(Table3[[#This Row],[OU]],OU!$A$15:$B$34,2,FALSE)</f>
        <v>RFOs</v>
      </c>
      <c r="B43" s="47" t="s">
        <v>5</v>
      </c>
      <c r="C43" s="47" t="s">
        <v>574</v>
      </c>
      <c r="D43" s="47" t="s">
        <v>637</v>
      </c>
      <c r="E43" s="47" t="s">
        <v>22</v>
      </c>
      <c r="F43" s="47" t="s">
        <v>619</v>
      </c>
      <c r="G4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4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21502000</v>
      </c>
      <c r="I43" s="52" t="str">
        <f>VLOOKUP(Table3[[#This Row],[PSGC]],DISTRICT!$D:$G,4,FALSE)</f>
        <v>3rd</v>
      </c>
      <c r="J43" s="47" t="s">
        <v>578</v>
      </c>
      <c r="K43" s="51" t="str">
        <f>VLOOKUP(Table3[[#This Row],[SPECIFIC COMMODITY]],TAGS!$W$48:$X$53,2,FALSE)</f>
        <v>Corn</v>
      </c>
      <c r="L43" s="51" t="str">
        <f>VLOOKUP(Table3[[#This Row],[PREXC SUB-PROGRAM]],Table5[],2,FALSE)</f>
        <v>TECHNICAL AND SUPPORT SERVICES PROGRAM</v>
      </c>
      <c r="M43" s="51" t="str">
        <f>VLOOKUP(Table3[[#This Row],[COMMODITY PREXC SUB-PROGRAM]],TAGS!$U$54:$V$76,2,FALSE)</f>
        <v>PSS</v>
      </c>
      <c r="N43" s="47" t="s">
        <v>576</v>
      </c>
      <c r="O43" s="54" t="str">
        <f>VLOOKUP(Table3[[#This Row],[PI LEVEL 3]],'PI LEVEL'!A:C,3,FALSE)</f>
        <v>Seeds distributed</v>
      </c>
      <c r="P43" s="54" t="str">
        <f>VLOOKUP(Table3[[#This Row],[PI LEVEL 3]],Table53729[[Performance Indicator Level 3]:[Performance Indicator Level 1]],2,FALSE)</f>
        <v>Corn Seeds distributed</v>
      </c>
      <c r="Q43" s="54" t="str">
        <f>VLOOKUP(Table3[[#This Row],[ACTIVITY]],TAGS!B:P,2,FALSE)</f>
        <v>Yellow Corn Seeds distributed</v>
      </c>
      <c r="R43" s="47" t="s">
        <v>26</v>
      </c>
      <c r="S43" s="51" t="str">
        <f>VLOOKUP(Table3[[#This Row],[ACTIVITY]],TAGS!$B:$P,4,FALSE)</f>
        <v>Recommended Corn Production Technology</v>
      </c>
      <c r="T43" s="51" t="str">
        <f>VLOOKUP(Table3[[#This Row],[ACTIVITY]],TAGS!$B:$P,5,FALSE)</f>
        <v>Corn Seed Assistance</v>
      </c>
      <c r="U43" s="51" t="str">
        <f>VLOOKUP(Table3[[#This Row],[ACTIVITY]],TAGS!$B:$P,6,FALSE)</f>
        <v>Yellow corn seeds</v>
      </c>
      <c r="V43" s="51" t="str">
        <f>VLOOKUP(Table3[[#This Row],[ACTIVITY]],TAGS!$B:$P,7,FALSE)</f>
        <v>NO</v>
      </c>
      <c r="W43" s="51" t="str">
        <f>VLOOKUP(Table3[[#This Row],[ACTIVITY]],TAGS!$B:$P,8,FALSE)</f>
        <v>PAP</v>
      </c>
      <c r="X43" s="51" t="str">
        <f>VLOOKUP(Table3[[#This Row],[ACTIVITY]],TAGS!$B:$P,10,FALSE)</f>
        <v>PIP</v>
      </c>
      <c r="Y43" s="51" t="str">
        <f>VLOOKUP(Table3[[#This Row],[ACTIVITY]],TAGS!$B:$P,11,FALSE)</f>
        <v>PICS</v>
      </c>
      <c r="Z43" s="51" t="str">
        <f>VLOOKUP(Table3[[#This Row],[ACTIVITY]],TAGS!$B:$P,12,FALSE)</f>
        <v>Consolidation</v>
      </c>
      <c r="AA43" s="51" t="str">
        <f>VLOOKUP(Table3[[#This Row],[ACTIVITY]],TAGS!$B:$P,13,FALSE)</f>
        <v>1. Bayanihan Agri Cluster</v>
      </c>
      <c r="AB43" s="51" t="str">
        <f>VLOOKUP(Table3[[#This Row],[ACTIVITY]],TAGS!$B:$P,14,FALSE)</f>
        <v>EXPAND AND IMPROVE AVAILABLE AGRI-FISHERY AREAS FOR INCREASED PRODUCTION</v>
      </c>
      <c r="AC43" s="51" t="str">
        <f>VLOOKUP(Table3[[#This Row],[ACTIVITY]],TAGS!$B:$P,15,FALSE)</f>
        <v>Farm Inputs</v>
      </c>
      <c r="AD43" s="51" t="str">
        <f>VLOOKUP(Table3[[#This Row],[PI LEVEL 3]],'PI LEVEL'!$A:$G,7,FALSE)</f>
        <v>DA-Level Output</v>
      </c>
      <c r="AE43" s="47" t="s">
        <v>577</v>
      </c>
      <c r="AF43" s="51" t="str">
        <f>VLOOKUP(Table3[[#This Row],[ACTIVITY]],TAGS!$B:$P,3,FALSE)</f>
        <v>kilogram</v>
      </c>
      <c r="AG43" s="47" t="s">
        <v>333</v>
      </c>
      <c r="AH43" s="51" t="str">
        <f>VLOOKUP(Table3[[#This Row],[MONTH]],TAGS!$W$67:$Y$81,2,FALSE)</f>
        <v>3RD QTR</v>
      </c>
      <c r="AI43" s="51" t="str">
        <f>VLOOKUP(Table3[[#This Row],[MONTH]],TAGS!$W$67:$Y$81,3,FALSE)</f>
        <v>2ND SEMESTER</v>
      </c>
      <c r="AJ43" s="51">
        <f>VLOOKUP(Table3[[#This Row],[MONTH]],TAGS!$W$67:$Z$81,4,FALSE)</f>
        <v>2025</v>
      </c>
      <c r="AK43" s="47">
        <v>5400</v>
      </c>
      <c r="AL43" s="51" t="str">
        <f>VLOOKUP(Table3[[#This Row],[ACTIVITY]],TAGS!$B:$R,16,FALSE)</f>
        <v>YES</v>
      </c>
      <c r="AM43" s="47">
        <v>300</v>
      </c>
      <c r="AN43" s="47">
        <v>3600</v>
      </c>
      <c r="AO43" s="57">
        <f>SUM(Table3[[#This Row],[MALE BENEFICIARIES]:[FEMALE BENEFICIARIES]])</f>
        <v>0</v>
      </c>
      <c r="AP43" s="58"/>
      <c r="AQ43" s="58"/>
      <c r="AR43" s="58"/>
      <c r="AS43" s="58">
        <v>1</v>
      </c>
      <c r="AT43" s="59">
        <v>300</v>
      </c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</row>
    <row r="44" spans="1:65">
      <c r="A44" s="51" t="str">
        <f>VLOOKUP(Table3[[#This Row],[OU]],OU!$A$15:$B$34,2,FALSE)</f>
        <v>RFOs</v>
      </c>
      <c r="B44" s="47" t="s">
        <v>5</v>
      </c>
      <c r="C44" s="47" t="s">
        <v>574</v>
      </c>
      <c r="D44" s="53" t="s">
        <v>638</v>
      </c>
      <c r="E44" s="47" t="s">
        <v>22</v>
      </c>
      <c r="F44" s="47" t="s">
        <v>639</v>
      </c>
      <c r="G4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4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21513000</v>
      </c>
      <c r="I44" s="52" t="str">
        <f>VLOOKUP(Table3[[#This Row],[PSGC]],DISTRICT!$D:$G,4,FALSE)</f>
        <v>1st</v>
      </c>
      <c r="J44" s="47" t="s">
        <v>578</v>
      </c>
      <c r="K44" s="51" t="str">
        <f>VLOOKUP(Table3[[#This Row],[SPECIFIC COMMODITY]],TAGS!$W$48:$X$53,2,FALSE)</f>
        <v>Corn</v>
      </c>
      <c r="L44" s="51" t="str">
        <f>VLOOKUP(Table3[[#This Row],[PREXC SUB-PROGRAM]],Table5[],2,FALSE)</f>
        <v>TECHNICAL AND SUPPORT SERVICES PROGRAM</v>
      </c>
      <c r="M44" s="51" t="str">
        <f>VLOOKUP(Table3[[#This Row],[COMMODITY PREXC SUB-PROGRAM]],TAGS!$U$54:$V$76,2,FALSE)</f>
        <v>PSS</v>
      </c>
      <c r="N44" s="47" t="s">
        <v>576</v>
      </c>
      <c r="O44" s="54" t="str">
        <f>VLOOKUP(Table3[[#This Row],[PI LEVEL 3]],'PI LEVEL'!A:C,3,FALSE)</f>
        <v>Seeds distributed</v>
      </c>
      <c r="P44" s="54" t="str">
        <f>VLOOKUP(Table3[[#This Row],[PI LEVEL 3]],Table53729[[Performance Indicator Level 3]:[Performance Indicator Level 1]],2,FALSE)</f>
        <v>Corn Seeds distributed</v>
      </c>
      <c r="Q44" s="54" t="str">
        <f>VLOOKUP(Table3[[#This Row],[ACTIVITY]],TAGS!B:P,2,FALSE)</f>
        <v>Yellow Corn Seeds distributed</v>
      </c>
      <c r="R44" s="47" t="s">
        <v>26</v>
      </c>
      <c r="S44" s="51" t="str">
        <f>VLOOKUP(Table3[[#This Row],[ACTIVITY]],TAGS!$B:$P,4,FALSE)</f>
        <v>Recommended Corn Production Technology</v>
      </c>
      <c r="T44" s="51" t="str">
        <f>VLOOKUP(Table3[[#This Row],[ACTIVITY]],TAGS!$B:$P,5,FALSE)</f>
        <v>Corn Seed Assistance</v>
      </c>
      <c r="U44" s="51" t="str">
        <f>VLOOKUP(Table3[[#This Row],[ACTIVITY]],TAGS!$B:$P,6,FALSE)</f>
        <v>Yellow corn seeds</v>
      </c>
      <c r="V44" s="51" t="str">
        <f>VLOOKUP(Table3[[#This Row],[ACTIVITY]],TAGS!$B:$P,7,FALSE)</f>
        <v>NO</v>
      </c>
      <c r="W44" s="51" t="str">
        <f>VLOOKUP(Table3[[#This Row],[ACTIVITY]],TAGS!$B:$P,8,FALSE)</f>
        <v>PAP</v>
      </c>
      <c r="X44" s="51" t="str">
        <f>VLOOKUP(Table3[[#This Row],[ACTIVITY]],TAGS!$B:$P,10,FALSE)</f>
        <v>PIP</v>
      </c>
      <c r="Y44" s="51" t="str">
        <f>VLOOKUP(Table3[[#This Row],[ACTIVITY]],TAGS!$B:$P,11,FALSE)</f>
        <v>PICS</v>
      </c>
      <c r="Z44" s="51" t="str">
        <f>VLOOKUP(Table3[[#This Row],[ACTIVITY]],TAGS!$B:$P,12,FALSE)</f>
        <v>Consolidation</v>
      </c>
      <c r="AA44" s="51" t="str">
        <f>VLOOKUP(Table3[[#This Row],[ACTIVITY]],TAGS!$B:$P,13,FALSE)</f>
        <v>1. Bayanihan Agri Cluster</v>
      </c>
      <c r="AB44" s="51" t="str">
        <f>VLOOKUP(Table3[[#This Row],[ACTIVITY]],TAGS!$B:$P,14,FALSE)</f>
        <v>EXPAND AND IMPROVE AVAILABLE AGRI-FISHERY AREAS FOR INCREASED PRODUCTION</v>
      </c>
      <c r="AC44" s="51" t="str">
        <f>VLOOKUP(Table3[[#This Row],[ACTIVITY]],TAGS!$B:$P,15,FALSE)</f>
        <v>Farm Inputs</v>
      </c>
      <c r="AD44" s="51" t="str">
        <f>VLOOKUP(Table3[[#This Row],[PI LEVEL 3]],'PI LEVEL'!$A:$G,7,FALSE)</f>
        <v>DA-Level Output</v>
      </c>
      <c r="AE44" s="47" t="s">
        <v>577</v>
      </c>
      <c r="AF44" s="51" t="str">
        <f>VLOOKUP(Table3[[#This Row],[ACTIVITY]],TAGS!$B:$P,3,FALSE)</f>
        <v>kilogram</v>
      </c>
      <c r="AG44" s="47" t="s">
        <v>333</v>
      </c>
      <c r="AH44" s="51" t="str">
        <f>VLOOKUP(Table3[[#This Row],[MONTH]],TAGS!$W$67:$Y$81,2,FALSE)</f>
        <v>3RD QTR</v>
      </c>
      <c r="AI44" s="51" t="str">
        <f>VLOOKUP(Table3[[#This Row],[MONTH]],TAGS!$W$67:$Y$81,3,FALSE)</f>
        <v>2ND SEMESTER</v>
      </c>
      <c r="AJ44" s="51">
        <f>VLOOKUP(Table3[[#This Row],[MONTH]],TAGS!$W$67:$Z$81,4,FALSE)</f>
        <v>2025</v>
      </c>
      <c r="AK44" s="47">
        <v>3600</v>
      </c>
      <c r="AL44" s="51" t="str">
        <f>VLOOKUP(Table3[[#This Row],[ACTIVITY]],TAGS!$B:$R,16,FALSE)</f>
        <v>YES</v>
      </c>
      <c r="AM44" s="47">
        <v>200</v>
      </c>
      <c r="AN44" s="47">
        <v>2400</v>
      </c>
      <c r="AO44" s="57">
        <f>SUM(Table3[[#This Row],[MALE BENEFICIARIES]:[FEMALE BENEFICIARIES]])</f>
        <v>0</v>
      </c>
      <c r="AP44" s="58"/>
      <c r="AQ44" s="58"/>
      <c r="AR44" s="58"/>
      <c r="AS44" s="58">
        <v>1</v>
      </c>
      <c r="AT44" s="59">
        <v>200</v>
      </c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</row>
    <row r="45" spans="1:65">
      <c r="A45" s="51" t="str">
        <f>VLOOKUP(Table3[[#This Row],[OU]],OU!$A$15:$B$34,2,FALSE)</f>
        <v>RFOs</v>
      </c>
      <c r="B45" s="47" t="s">
        <v>5</v>
      </c>
      <c r="C45" s="47" t="s">
        <v>574</v>
      </c>
      <c r="D45" s="47" t="s">
        <v>640</v>
      </c>
      <c r="E45" s="47" t="s">
        <v>43</v>
      </c>
      <c r="F45" s="47" t="s">
        <v>641</v>
      </c>
      <c r="G4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23137000</v>
      </c>
      <c r="I45" s="52" t="str">
        <f>VLOOKUP(Table3[[#This Row],[PSGC]],DISTRICT!$D:$G,4,FALSE)</f>
        <v>1st</v>
      </c>
      <c r="J45" s="47" t="s">
        <v>578</v>
      </c>
      <c r="K45" s="51" t="str">
        <f>VLOOKUP(Table3[[#This Row],[SPECIFIC COMMODITY]],TAGS!$W$48:$X$53,2,FALSE)</f>
        <v>Corn</v>
      </c>
      <c r="L45" s="51" t="str">
        <f>VLOOKUP(Table3[[#This Row],[PREXC SUB-PROGRAM]],Table5[],2,FALSE)</f>
        <v>TECHNICAL AND SUPPORT SERVICES PROGRAM</v>
      </c>
      <c r="M45" s="51" t="str">
        <f>VLOOKUP(Table3[[#This Row],[COMMODITY PREXC SUB-PROGRAM]],TAGS!$U$54:$V$76,2,FALSE)</f>
        <v>PSS</v>
      </c>
      <c r="N45" s="47" t="s">
        <v>576</v>
      </c>
      <c r="O45" s="54" t="str">
        <f>VLOOKUP(Table3[[#This Row],[PI LEVEL 3]],'PI LEVEL'!A:C,3,FALSE)</f>
        <v>Seeds distributed</v>
      </c>
      <c r="P45" s="54" t="str">
        <f>VLOOKUP(Table3[[#This Row],[PI LEVEL 3]],Table53729[[Performance Indicator Level 3]:[Performance Indicator Level 1]],2,FALSE)</f>
        <v>Corn Seeds distributed</v>
      </c>
      <c r="Q45" s="54" t="str">
        <f>VLOOKUP(Table3[[#This Row],[ACTIVITY]],TAGS!B:P,2,FALSE)</f>
        <v>Yellow Corn Seeds distributed</v>
      </c>
      <c r="R45" s="47" t="s">
        <v>26</v>
      </c>
      <c r="S45" s="51" t="str">
        <f>VLOOKUP(Table3[[#This Row],[ACTIVITY]],TAGS!$B:$P,4,FALSE)</f>
        <v>Recommended Corn Production Technology</v>
      </c>
      <c r="T45" s="51" t="str">
        <f>VLOOKUP(Table3[[#This Row],[ACTIVITY]],TAGS!$B:$P,5,FALSE)</f>
        <v>Corn Seed Assistance</v>
      </c>
      <c r="U45" s="51" t="str">
        <f>VLOOKUP(Table3[[#This Row],[ACTIVITY]],TAGS!$B:$P,6,FALSE)</f>
        <v>Yellow corn seeds</v>
      </c>
      <c r="V45" s="51" t="str">
        <f>VLOOKUP(Table3[[#This Row],[ACTIVITY]],TAGS!$B:$P,7,FALSE)</f>
        <v>NO</v>
      </c>
      <c r="W45" s="51" t="str">
        <f>VLOOKUP(Table3[[#This Row],[ACTIVITY]],TAGS!$B:$P,8,FALSE)</f>
        <v>PAP</v>
      </c>
      <c r="X45" s="51" t="str">
        <f>VLOOKUP(Table3[[#This Row],[ACTIVITY]],TAGS!$B:$P,10,FALSE)</f>
        <v>PIP</v>
      </c>
      <c r="Y45" s="51" t="str">
        <f>VLOOKUP(Table3[[#This Row],[ACTIVITY]],TAGS!$B:$P,11,FALSE)</f>
        <v>PICS</v>
      </c>
      <c r="Z45" s="51" t="str">
        <f>VLOOKUP(Table3[[#This Row],[ACTIVITY]],TAGS!$B:$P,12,FALSE)</f>
        <v>Consolidation</v>
      </c>
      <c r="AA45" s="51" t="str">
        <f>VLOOKUP(Table3[[#This Row],[ACTIVITY]],TAGS!$B:$P,13,FALSE)</f>
        <v>1. Bayanihan Agri Cluster</v>
      </c>
      <c r="AB45" s="51" t="str">
        <f>VLOOKUP(Table3[[#This Row],[ACTIVITY]],TAGS!$B:$P,14,FALSE)</f>
        <v>EXPAND AND IMPROVE AVAILABLE AGRI-FISHERY AREAS FOR INCREASED PRODUCTION</v>
      </c>
      <c r="AC45" s="51" t="str">
        <f>VLOOKUP(Table3[[#This Row],[ACTIVITY]],TAGS!$B:$P,15,FALSE)</f>
        <v>Farm Inputs</v>
      </c>
      <c r="AD45" s="51" t="str">
        <f>VLOOKUP(Table3[[#This Row],[PI LEVEL 3]],'PI LEVEL'!$A:$G,7,FALSE)</f>
        <v>DA-Level Output</v>
      </c>
      <c r="AE45" s="47" t="s">
        <v>577</v>
      </c>
      <c r="AF45" s="51" t="str">
        <f>VLOOKUP(Table3[[#This Row],[ACTIVITY]],TAGS!$B:$P,3,FALSE)</f>
        <v>kilogram</v>
      </c>
      <c r="AG45" s="47" t="s">
        <v>333</v>
      </c>
      <c r="AH45" s="51" t="str">
        <f>VLOOKUP(Table3[[#This Row],[MONTH]],TAGS!$W$67:$Y$81,2,FALSE)</f>
        <v>3RD QTR</v>
      </c>
      <c r="AI45" s="51" t="str">
        <f>VLOOKUP(Table3[[#This Row],[MONTH]],TAGS!$W$67:$Y$81,3,FALSE)</f>
        <v>2ND SEMESTER</v>
      </c>
      <c r="AJ45" s="51">
        <f>VLOOKUP(Table3[[#This Row],[MONTH]],TAGS!$W$67:$Z$81,4,FALSE)</f>
        <v>2025</v>
      </c>
      <c r="AK45" s="47">
        <v>5400</v>
      </c>
      <c r="AL45" s="51" t="str">
        <f>VLOOKUP(Table3[[#This Row],[ACTIVITY]],TAGS!$B:$R,16,FALSE)</f>
        <v>YES</v>
      </c>
      <c r="AM45" s="47">
        <v>300</v>
      </c>
      <c r="AN45" s="47">
        <v>3600</v>
      </c>
      <c r="AO45" s="57">
        <f>SUM(Table3[[#This Row],[MALE BENEFICIARIES]:[FEMALE BENEFICIARIES]])</f>
        <v>0</v>
      </c>
      <c r="AP45" s="58"/>
      <c r="AQ45" s="58"/>
      <c r="AR45" s="58"/>
      <c r="AS45" s="58">
        <v>1</v>
      </c>
      <c r="AT45" s="59">
        <v>300</v>
      </c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</row>
    <row r="46" spans="1:65">
      <c r="A46" s="51" t="str">
        <f>VLOOKUP(Table3[[#This Row],[OU]],OU!$A$15:$B$34,2,FALSE)</f>
        <v>RFOs</v>
      </c>
      <c r="B46" s="47" t="s">
        <v>5</v>
      </c>
      <c r="C46" s="47" t="s">
        <v>574</v>
      </c>
      <c r="D46" s="47" t="s">
        <v>642</v>
      </c>
      <c r="E46" s="47" t="s">
        <v>43</v>
      </c>
      <c r="F46" s="47" t="s">
        <v>643</v>
      </c>
      <c r="G4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4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23108000</v>
      </c>
      <c r="I46" s="52" t="str">
        <f>VLOOKUP(Table3[[#This Row],[PSGC]],DISTRICT!$D:$G,4,FALSE)</f>
        <v>3rd</v>
      </c>
      <c r="J46" s="47" t="s">
        <v>578</v>
      </c>
      <c r="K46" s="51" t="str">
        <f>VLOOKUP(Table3[[#This Row],[SPECIFIC COMMODITY]],TAGS!$W$48:$X$53,2,FALSE)</f>
        <v>Corn</v>
      </c>
      <c r="L46" s="51" t="str">
        <f>VLOOKUP(Table3[[#This Row],[PREXC SUB-PROGRAM]],Table5[],2,FALSE)</f>
        <v>TECHNICAL AND SUPPORT SERVICES PROGRAM</v>
      </c>
      <c r="M46" s="51" t="str">
        <f>VLOOKUP(Table3[[#This Row],[COMMODITY PREXC SUB-PROGRAM]],TAGS!$U$54:$V$76,2,FALSE)</f>
        <v>PSS</v>
      </c>
      <c r="N46" s="47" t="s">
        <v>576</v>
      </c>
      <c r="O46" s="54" t="str">
        <f>VLOOKUP(Table3[[#This Row],[PI LEVEL 3]],'PI LEVEL'!A:C,3,FALSE)</f>
        <v>Seeds distributed</v>
      </c>
      <c r="P46" s="54" t="str">
        <f>VLOOKUP(Table3[[#This Row],[PI LEVEL 3]],Table53729[[Performance Indicator Level 3]:[Performance Indicator Level 1]],2,FALSE)</f>
        <v>Corn Seeds distributed</v>
      </c>
      <c r="Q46" s="54" t="str">
        <f>VLOOKUP(Table3[[#This Row],[ACTIVITY]],TAGS!B:P,2,FALSE)</f>
        <v>Yellow Corn Seeds distributed</v>
      </c>
      <c r="R46" s="47" t="s">
        <v>26</v>
      </c>
      <c r="S46" s="51" t="str">
        <f>VLOOKUP(Table3[[#This Row],[ACTIVITY]],TAGS!$B:$P,4,FALSE)</f>
        <v>Recommended Corn Production Technology</v>
      </c>
      <c r="T46" s="51" t="str">
        <f>VLOOKUP(Table3[[#This Row],[ACTIVITY]],TAGS!$B:$P,5,FALSE)</f>
        <v>Corn Seed Assistance</v>
      </c>
      <c r="U46" s="51" t="str">
        <f>VLOOKUP(Table3[[#This Row],[ACTIVITY]],TAGS!$B:$P,6,FALSE)</f>
        <v>Yellow corn seeds</v>
      </c>
      <c r="V46" s="51" t="str">
        <f>VLOOKUP(Table3[[#This Row],[ACTIVITY]],TAGS!$B:$P,7,FALSE)</f>
        <v>NO</v>
      </c>
      <c r="W46" s="51" t="str">
        <f>VLOOKUP(Table3[[#This Row],[ACTIVITY]],TAGS!$B:$P,8,FALSE)</f>
        <v>PAP</v>
      </c>
      <c r="X46" s="51" t="str">
        <f>VLOOKUP(Table3[[#This Row],[ACTIVITY]],TAGS!$B:$P,10,FALSE)</f>
        <v>PIP</v>
      </c>
      <c r="Y46" s="51" t="str">
        <f>VLOOKUP(Table3[[#This Row],[ACTIVITY]],TAGS!$B:$P,11,FALSE)</f>
        <v>PICS</v>
      </c>
      <c r="Z46" s="51" t="str">
        <f>VLOOKUP(Table3[[#This Row],[ACTIVITY]],TAGS!$B:$P,12,FALSE)</f>
        <v>Consolidation</v>
      </c>
      <c r="AA46" s="51" t="str">
        <f>VLOOKUP(Table3[[#This Row],[ACTIVITY]],TAGS!$B:$P,13,FALSE)</f>
        <v>1. Bayanihan Agri Cluster</v>
      </c>
      <c r="AB46" s="51" t="str">
        <f>VLOOKUP(Table3[[#This Row],[ACTIVITY]],TAGS!$B:$P,14,FALSE)</f>
        <v>EXPAND AND IMPROVE AVAILABLE AGRI-FISHERY AREAS FOR INCREASED PRODUCTION</v>
      </c>
      <c r="AC46" s="51" t="str">
        <f>VLOOKUP(Table3[[#This Row],[ACTIVITY]],TAGS!$B:$P,15,FALSE)</f>
        <v>Farm Inputs</v>
      </c>
      <c r="AD46" s="51" t="str">
        <f>VLOOKUP(Table3[[#This Row],[PI LEVEL 3]],'PI LEVEL'!$A:$G,7,FALSE)</f>
        <v>DA-Level Output</v>
      </c>
      <c r="AE46" s="47" t="s">
        <v>577</v>
      </c>
      <c r="AF46" s="51" t="str">
        <f>VLOOKUP(Table3[[#This Row],[ACTIVITY]],TAGS!$B:$P,3,FALSE)</f>
        <v>kilogram</v>
      </c>
      <c r="AG46" s="47" t="s">
        <v>333</v>
      </c>
      <c r="AH46" s="51" t="str">
        <f>VLOOKUP(Table3[[#This Row],[MONTH]],TAGS!$W$67:$Y$81,2,FALSE)</f>
        <v>3RD QTR</v>
      </c>
      <c r="AI46" s="51" t="str">
        <f>VLOOKUP(Table3[[#This Row],[MONTH]],TAGS!$W$67:$Y$81,3,FALSE)</f>
        <v>2ND SEMESTER</v>
      </c>
      <c r="AJ46" s="51">
        <f>VLOOKUP(Table3[[#This Row],[MONTH]],TAGS!$W$67:$Z$81,4,FALSE)</f>
        <v>2025</v>
      </c>
      <c r="AK46" s="47">
        <v>3600</v>
      </c>
      <c r="AL46" s="51" t="str">
        <f>VLOOKUP(Table3[[#This Row],[ACTIVITY]],TAGS!$B:$R,16,FALSE)</f>
        <v>YES</v>
      </c>
      <c r="AM46" s="47">
        <v>200</v>
      </c>
      <c r="AN46" s="47">
        <v>2400</v>
      </c>
      <c r="AO46" s="57">
        <f>SUM(Table3[[#This Row],[MALE BENEFICIARIES]:[FEMALE BENEFICIARIES]])</f>
        <v>0</v>
      </c>
      <c r="AP46" s="58"/>
      <c r="AQ46" s="58"/>
      <c r="AR46" s="58"/>
      <c r="AS46" s="58">
        <v>1</v>
      </c>
      <c r="AT46" s="59">
        <v>200</v>
      </c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</row>
    <row r="47" spans="1:65">
      <c r="A47" s="51" t="str">
        <f>VLOOKUP(Table3[[#This Row],[OU]],OU!$A$15:$B$34,2,FALSE)</f>
        <v>RFOs</v>
      </c>
      <c r="B47" s="47" t="s">
        <v>5</v>
      </c>
      <c r="C47" s="47" t="s">
        <v>574</v>
      </c>
      <c r="D47" s="47" t="s">
        <v>637</v>
      </c>
      <c r="E47" s="47" t="s">
        <v>22</v>
      </c>
      <c r="F47" s="47" t="s">
        <v>619</v>
      </c>
      <c r="G4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4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21502000</v>
      </c>
      <c r="I47" s="52" t="str">
        <f>VLOOKUP(Table3[[#This Row],[PSGC]],DISTRICT!$D:$G,4,FALSE)</f>
        <v>3rd</v>
      </c>
      <c r="J47" s="47" t="s">
        <v>578</v>
      </c>
      <c r="K47" s="51" t="str">
        <f>VLOOKUP(Table3[[#This Row],[SPECIFIC COMMODITY]],TAGS!$W$48:$X$53,2,FALSE)</f>
        <v>Corn</v>
      </c>
      <c r="L47" s="51" t="str">
        <f>VLOOKUP(Table3[[#This Row],[PREXC SUB-PROGRAM]],Table5[],2,FALSE)</f>
        <v>TECHNICAL AND SUPPORT SERVICES PROGRAM</v>
      </c>
      <c r="M47" s="51" t="str">
        <f>VLOOKUP(Table3[[#This Row],[COMMODITY PREXC SUB-PROGRAM]],TAGS!$U$54:$V$76,2,FALSE)</f>
        <v>PSS</v>
      </c>
      <c r="N47" s="47" t="s">
        <v>576</v>
      </c>
      <c r="O47" s="54" t="str">
        <f>VLOOKUP(Table3[[#This Row],[PI LEVEL 3]],'PI LEVEL'!A:C,3,FALSE)</f>
        <v>Fertilizers and other soil ammendment distributed</v>
      </c>
      <c r="P47" s="54" t="str">
        <f>VLOOKUP(Table3[[#This Row],[PI LEVEL 3]],Table53729[[Performance Indicator Level 3]:[Performance Indicator Level 1]],2,FALSE)</f>
        <v>Fertilizers distributed</v>
      </c>
      <c r="Q47" s="54" t="str">
        <f>VLOOKUP(Table3[[#This Row],[ACTIVITY]],TAGS!B:P,2,FALSE)</f>
        <v>Inorganic fertilizer distributed</v>
      </c>
      <c r="R47" s="47" t="s">
        <v>28</v>
      </c>
      <c r="S47" s="51" t="str">
        <f>VLOOKUP(Table3[[#This Row],[ACTIVITY]],TAGS!$B:$P,4,FALSE)</f>
        <v>Recommended Corn Production Technology</v>
      </c>
      <c r="T47" s="51" t="str">
        <f>VLOOKUP(Table3[[#This Row],[ACTIVITY]],TAGS!$B:$P,5,FALSE)</f>
        <v>Soil Fertilization</v>
      </c>
      <c r="U47" s="51" t="str">
        <f>VLOOKUP(Table3[[#This Row],[ACTIVITY]],TAGS!$B:$P,6,FALSE)</f>
        <v>Inorganic fertilizer</v>
      </c>
      <c r="V47" s="51" t="str">
        <f>VLOOKUP(Table3[[#This Row],[ACTIVITY]],TAGS!$B:$P,7,FALSE)</f>
        <v>NO</v>
      </c>
      <c r="W47" s="51" t="str">
        <f>VLOOKUP(Table3[[#This Row],[ACTIVITY]],TAGS!$B:$P,8,FALSE)</f>
        <v>PAP</v>
      </c>
      <c r="X47" s="51" t="str">
        <f>VLOOKUP(Table3[[#This Row],[ACTIVITY]],TAGS!$B:$P,10,FALSE)</f>
        <v>PIP</v>
      </c>
      <c r="Y47" s="51" t="str">
        <f>VLOOKUP(Table3[[#This Row],[ACTIVITY]],TAGS!$B:$P,11,FALSE)</f>
        <v>PICS</v>
      </c>
      <c r="Z47" s="51" t="str">
        <f>VLOOKUP(Table3[[#This Row],[ACTIVITY]],TAGS!$B:$P,12,FALSE)</f>
        <v>Consolidation</v>
      </c>
      <c r="AA47" s="51" t="str">
        <f>VLOOKUP(Table3[[#This Row],[ACTIVITY]],TAGS!$B:$P,13,FALSE)</f>
        <v>1. Bayanihan Agri Cluster</v>
      </c>
      <c r="AB47" s="51" t="str">
        <f>VLOOKUP(Table3[[#This Row],[ACTIVITY]],TAGS!$B:$P,14,FALSE)</f>
        <v>EXPAND AND IMPROVE AVAILABLE AGRI-FISHERY AREAS FOR INCREASED PRODUCTION</v>
      </c>
      <c r="AC47" s="51" t="str">
        <f>VLOOKUP(Table3[[#This Row],[ACTIVITY]],TAGS!$B:$P,15,FALSE)</f>
        <v>Farm Inputs</v>
      </c>
      <c r="AD47" s="51" t="str">
        <f>VLOOKUP(Table3[[#This Row],[PI LEVEL 3]],'PI LEVEL'!$A:$G,7,FALSE)</f>
        <v>DA-Level Output</v>
      </c>
      <c r="AE47" s="47" t="s">
        <v>577</v>
      </c>
      <c r="AF47" s="51" t="str">
        <f>VLOOKUP(Table3[[#This Row],[ACTIVITY]],TAGS!$B:$P,3,FALSE)</f>
        <v>kilogram</v>
      </c>
      <c r="AG47" s="47" t="s">
        <v>333</v>
      </c>
      <c r="AH47" s="51" t="str">
        <f>VLOOKUP(Table3[[#This Row],[MONTH]],TAGS!$W$67:$Y$81,2,FALSE)</f>
        <v>3RD QTR</v>
      </c>
      <c r="AI47" s="51" t="str">
        <f>VLOOKUP(Table3[[#This Row],[MONTH]],TAGS!$W$67:$Y$81,3,FALSE)</f>
        <v>2ND SEMESTER</v>
      </c>
      <c r="AJ47" s="51">
        <f>VLOOKUP(Table3[[#This Row],[MONTH]],TAGS!$W$67:$Z$81,4,FALSE)</f>
        <v>2025</v>
      </c>
      <c r="AK47" s="47">
        <v>165000</v>
      </c>
      <c r="AL47" s="51" t="str">
        <f>VLOOKUP(Table3[[#This Row],[ACTIVITY]],TAGS!$B:$R,16,FALSE)</f>
        <v>YES</v>
      </c>
      <c r="AM47" s="47">
        <v>300</v>
      </c>
      <c r="AN47" s="47">
        <v>7425</v>
      </c>
      <c r="AO47" s="57">
        <f>SUM(Table3[[#This Row],[MALE BENEFICIARIES]:[FEMALE BENEFICIARIES]])</f>
        <v>0</v>
      </c>
      <c r="AP47" s="58"/>
      <c r="AQ47" s="58"/>
      <c r="AR47" s="58"/>
      <c r="AS47" s="58">
        <v>1</v>
      </c>
      <c r="AT47" s="59">
        <v>300</v>
      </c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</row>
    <row r="48" spans="1:65">
      <c r="A48" s="51" t="str">
        <f>VLOOKUP(Table3[[#This Row],[OU]],OU!$A$15:$B$34,2,FALSE)</f>
        <v>RFOs</v>
      </c>
      <c r="B48" s="47" t="s">
        <v>5</v>
      </c>
      <c r="C48" s="47" t="s">
        <v>574</v>
      </c>
      <c r="D48" s="53" t="s">
        <v>638</v>
      </c>
      <c r="E48" s="47" t="s">
        <v>22</v>
      </c>
      <c r="F48" s="47" t="s">
        <v>639</v>
      </c>
      <c r="G4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4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21513000</v>
      </c>
      <c r="I48" s="52" t="str">
        <f>VLOOKUP(Table3[[#This Row],[PSGC]],DISTRICT!$D:$G,4,FALSE)</f>
        <v>1st</v>
      </c>
      <c r="J48" s="47" t="s">
        <v>578</v>
      </c>
      <c r="K48" s="51" t="str">
        <f>VLOOKUP(Table3[[#This Row],[SPECIFIC COMMODITY]],TAGS!$W$48:$X$53,2,FALSE)</f>
        <v>Corn</v>
      </c>
      <c r="L48" s="51" t="str">
        <f>VLOOKUP(Table3[[#This Row],[PREXC SUB-PROGRAM]],Table5[],2,FALSE)</f>
        <v>TECHNICAL AND SUPPORT SERVICES PROGRAM</v>
      </c>
      <c r="M48" s="51" t="str">
        <f>VLOOKUP(Table3[[#This Row],[COMMODITY PREXC SUB-PROGRAM]],TAGS!$U$54:$V$76,2,FALSE)</f>
        <v>PSS</v>
      </c>
      <c r="N48" s="47" t="s">
        <v>576</v>
      </c>
      <c r="O48" s="54" t="str">
        <f>VLOOKUP(Table3[[#This Row],[PI LEVEL 3]],'PI LEVEL'!A:C,3,FALSE)</f>
        <v>Fertilizers and other soil ammendment distributed</v>
      </c>
      <c r="P48" s="54" t="str">
        <f>VLOOKUP(Table3[[#This Row],[PI LEVEL 3]],Table53729[[Performance Indicator Level 3]:[Performance Indicator Level 1]],2,FALSE)</f>
        <v>Fertilizers distributed</v>
      </c>
      <c r="Q48" s="54" t="str">
        <f>VLOOKUP(Table3[[#This Row],[ACTIVITY]],TAGS!B:P,2,FALSE)</f>
        <v>Inorganic fertilizer distributed</v>
      </c>
      <c r="R48" s="47" t="s">
        <v>28</v>
      </c>
      <c r="S48" s="51" t="str">
        <f>VLOOKUP(Table3[[#This Row],[ACTIVITY]],TAGS!$B:$P,4,FALSE)</f>
        <v>Recommended Corn Production Technology</v>
      </c>
      <c r="T48" s="51" t="str">
        <f>VLOOKUP(Table3[[#This Row],[ACTIVITY]],TAGS!$B:$P,5,FALSE)</f>
        <v>Soil Fertilization</v>
      </c>
      <c r="U48" s="51" t="str">
        <f>VLOOKUP(Table3[[#This Row],[ACTIVITY]],TAGS!$B:$P,6,FALSE)</f>
        <v>Inorganic fertilizer</v>
      </c>
      <c r="V48" s="51" t="str">
        <f>VLOOKUP(Table3[[#This Row],[ACTIVITY]],TAGS!$B:$P,7,FALSE)</f>
        <v>NO</v>
      </c>
      <c r="W48" s="51" t="str">
        <f>VLOOKUP(Table3[[#This Row],[ACTIVITY]],TAGS!$B:$P,8,FALSE)</f>
        <v>PAP</v>
      </c>
      <c r="X48" s="51" t="str">
        <f>VLOOKUP(Table3[[#This Row],[ACTIVITY]],TAGS!$B:$P,10,FALSE)</f>
        <v>PIP</v>
      </c>
      <c r="Y48" s="51" t="str">
        <f>VLOOKUP(Table3[[#This Row],[ACTIVITY]],TAGS!$B:$P,11,FALSE)</f>
        <v>PICS</v>
      </c>
      <c r="Z48" s="51" t="str">
        <f>VLOOKUP(Table3[[#This Row],[ACTIVITY]],TAGS!$B:$P,12,FALSE)</f>
        <v>Consolidation</v>
      </c>
      <c r="AA48" s="51" t="str">
        <f>VLOOKUP(Table3[[#This Row],[ACTIVITY]],TAGS!$B:$P,13,FALSE)</f>
        <v>1. Bayanihan Agri Cluster</v>
      </c>
      <c r="AB48" s="51" t="str">
        <f>VLOOKUP(Table3[[#This Row],[ACTIVITY]],TAGS!$B:$P,14,FALSE)</f>
        <v>EXPAND AND IMPROVE AVAILABLE AGRI-FISHERY AREAS FOR INCREASED PRODUCTION</v>
      </c>
      <c r="AC48" s="51" t="str">
        <f>VLOOKUP(Table3[[#This Row],[ACTIVITY]],TAGS!$B:$P,15,FALSE)</f>
        <v>Farm Inputs</v>
      </c>
      <c r="AD48" s="51" t="str">
        <f>VLOOKUP(Table3[[#This Row],[PI LEVEL 3]],'PI LEVEL'!$A:$G,7,FALSE)</f>
        <v>DA-Level Output</v>
      </c>
      <c r="AE48" s="47" t="s">
        <v>577</v>
      </c>
      <c r="AF48" s="51" t="str">
        <f>VLOOKUP(Table3[[#This Row],[ACTIVITY]],TAGS!$B:$P,3,FALSE)</f>
        <v>kilogram</v>
      </c>
      <c r="AG48" s="47" t="s">
        <v>333</v>
      </c>
      <c r="AH48" s="51" t="str">
        <f>VLOOKUP(Table3[[#This Row],[MONTH]],TAGS!$W$67:$Y$81,2,FALSE)</f>
        <v>3RD QTR</v>
      </c>
      <c r="AI48" s="51" t="str">
        <f>VLOOKUP(Table3[[#This Row],[MONTH]],TAGS!$W$67:$Y$81,3,FALSE)</f>
        <v>2ND SEMESTER</v>
      </c>
      <c r="AJ48" s="51">
        <f>VLOOKUP(Table3[[#This Row],[MONTH]],TAGS!$W$67:$Z$81,4,FALSE)</f>
        <v>2025</v>
      </c>
      <c r="AK48" s="47">
        <v>110000</v>
      </c>
      <c r="AL48" s="51" t="str">
        <f>VLOOKUP(Table3[[#This Row],[ACTIVITY]],TAGS!$B:$R,16,FALSE)</f>
        <v>YES</v>
      </c>
      <c r="AM48" s="47">
        <v>200</v>
      </c>
      <c r="AN48" s="47">
        <v>4950</v>
      </c>
      <c r="AO48" s="57">
        <f>SUM(Table3[[#This Row],[MALE BENEFICIARIES]:[FEMALE BENEFICIARIES]])</f>
        <v>0</v>
      </c>
      <c r="AP48" s="58"/>
      <c r="AQ48" s="58"/>
      <c r="AR48" s="58"/>
      <c r="AS48" s="58">
        <v>1</v>
      </c>
      <c r="AT48" s="59">
        <v>200</v>
      </c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</row>
    <row r="49" spans="1:65">
      <c r="A49" s="51" t="str">
        <f>VLOOKUP(Table3[[#This Row],[OU]],OU!$A$15:$B$34,2,FALSE)</f>
        <v>RFOs</v>
      </c>
      <c r="B49" s="47" t="s">
        <v>5</v>
      </c>
      <c r="C49" s="47" t="s">
        <v>574</v>
      </c>
      <c r="D49" s="47" t="s">
        <v>640</v>
      </c>
      <c r="E49" s="47" t="s">
        <v>43</v>
      </c>
      <c r="F49" s="47" t="s">
        <v>641</v>
      </c>
      <c r="G4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23137000</v>
      </c>
      <c r="I49" s="52" t="str">
        <f>VLOOKUP(Table3[[#This Row],[PSGC]],DISTRICT!$D:$G,4,FALSE)</f>
        <v>1st</v>
      </c>
      <c r="J49" s="47" t="s">
        <v>578</v>
      </c>
      <c r="K49" s="51" t="str">
        <f>VLOOKUP(Table3[[#This Row],[SPECIFIC COMMODITY]],TAGS!$W$48:$X$53,2,FALSE)</f>
        <v>Corn</v>
      </c>
      <c r="L49" s="51" t="str">
        <f>VLOOKUP(Table3[[#This Row],[PREXC SUB-PROGRAM]],Table5[],2,FALSE)</f>
        <v>TECHNICAL AND SUPPORT SERVICES PROGRAM</v>
      </c>
      <c r="M49" s="51" t="str">
        <f>VLOOKUP(Table3[[#This Row],[COMMODITY PREXC SUB-PROGRAM]],TAGS!$U$54:$V$76,2,FALSE)</f>
        <v>PSS</v>
      </c>
      <c r="N49" s="47" t="s">
        <v>576</v>
      </c>
      <c r="O49" s="54" t="str">
        <f>VLOOKUP(Table3[[#This Row],[PI LEVEL 3]],'PI LEVEL'!A:C,3,FALSE)</f>
        <v>Fertilizers and other soil ammendment distributed</v>
      </c>
      <c r="P49" s="54" t="str">
        <f>VLOOKUP(Table3[[#This Row],[PI LEVEL 3]],Table53729[[Performance Indicator Level 3]:[Performance Indicator Level 1]],2,FALSE)</f>
        <v>Fertilizers distributed</v>
      </c>
      <c r="Q49" s="54" t="str">
        <f>VLOOKUP(Table3[[#This Row],[ACTIVITY]],TAGS!B:P,2,FALSE)</f>
        <v>Inorganic fertilizer distributed</v>
      </c>
      <c r="R49" s="47" t="s">
        <v>28</v>
      </c>
      <c r="S49" s="51" t="str">
        <f>VLOOKUP(Table3[[#This Row],[ACTIVITY]],TAGS!$B:$P,4,FALSE)</f>
        <v>Recommended Corn Production Technology</v>
      </c>
      <c r="T49" s="51" t="str">
        <f>VLOOKUP(Table3[[#This Row],[ACTIVITY]],TAGS!$B:$P,5,FALSE)</f>
        <v>Soil Fertilization</v>
      </c>
      <c r="U49" s="51" t="str">
        <f>VLOOKUP(Table3[[#This Row],[ACTIVITY]],TAGS!$B:$P,6,FALSE)</f>
        <v>Inorganic fertilizer</v>
      </c>
      <c r="V49" s="51" t="str">
        <f>VLOOKUP(Table3[[#This Row],[ACTIVITY]],TAGS!$B:$P,7,FALSE)</f>
        <v>NO</v>
      </c>
      <c r="W49" s="51" t="str">
        <f>VLOOKUP(Table3[[#This Row],[ACTIVITY]],TAGS!$B:$P,8,FALSE)</f>
        <v>PAP</v>
      </c>
      <c r="X49" s="51" t="str">
        <f>VLOOKUP(Table3[[#This Row],[ACTIVITY]],TAGS!$B:$P,10,FALSE)</f>
        <v>PIP</v>
      </c>
      <c r="Y49" s="51" t="str">
        <f>VLOOKUP(Table3[[#This Row],[ACTIVITY]],TAGS!$B:$P,11,FALSE)</f>
        <v>PICS</v>
      </c>
      <c r="Z49" s="51" t="str">
        <f>VLOOKUP(Table3[[#This Row],[ACTIVITY]],TAGS!$B:$P,12,FALSE)</f>
        <v>Consolidation</v>
      </c>
      <c r="AA49" s="51" t="str">
        <f>VLOOKUP(Table3[[#This Row],[ACTIVITY]],TAGS!$B:$P,13,FALSE)</f>
        <v>1. Bayanihan Agri Cluster</v>
      </c>
      <c r="AB49" s="51" t="str">
        <f>VLOOKUP(Table3[[#This Row],[ACTIVITY]],TAGS!$B:$P,14,FALSE)</f>
        <v>EXPAND AND IMPROVE AVAILABLE AGRI-FISHERY AREAS FOR INCREASED PRODUCTION</v>
      </c>
      <c r="AC49" s="51" t="str">
        <f>VLOOKUP(Table3[[#This Row],[ACTIVITY]],TAGS!$B:$P,15,FALSE)</f>
        <v>Farm Inputs</v>
      </c>
      <c r="AD49" s="51" t="str">
        <f>VLOOKUP(Table3[[#This Row],[PI LEVEL 3]],'PI LEVEL'!$A:$G,7,FALSE)</f>
        <v>DA-Level Output</v>
      </c>
      <c r="AE49" s="47" t="s">
        <v>577</v>
      </c>
      <c r="AF49" s="51" t="str">
        <f>VLOOKUP(Table3[[#This Row],[ACTIVITY]],TAGS!$B:$P,3,FALSE)</f>
        <v>kilogram</v>
      </c>
      <c r="AG49" s="47" t="s">
        <v>333</v>
      </c>
      <c r="AH49" s="51" t="str">
        <f>VLOOKUP(Table3[[#This Row],[MONTH]],TAGS!$W$67:$Y$81,2,FALSE)</f>
        <v>3RD QTR</v>
      </c>
      <c r="AI49" s="51" t="str">
        <f>VLOOKUP(Table3[[#This Row],[MONTH]],TAGS!$W$67:$Y$81,3,FALSE)</f>
        <v>2ND SEMESTER</v>
      </c>
      <c r="AJ49" s="51">
        <f>VLOOKUP(Table3[[#This Row],[MONTH]],TAGS!$W$67:$Z$81,4,FALSE)</f>
        <v>2025</v>
      </c>
      <c r="AK49" s="47">
        <v>165000</v>
      </c>
      <c r="AL49" s="51" t="str">
        <f>VLOOKUP(Table3[[#This Row],[ACTIVITY]],TAGS!$B:$R,16,FALSE)</f>
        <v>YES</v>
      </c>
      <c r="AM49" s="47">
        <v>300</v>
      </c>
      <c r="AN49" s="47">
        <v>7425</v>
      </c>
      <c r="AO49" s="57">
        <f>SUM(Table3[[#This Row],[MALE BENEFICIARIES]:[FEMALE BENEFICIARIES]])</f>
        <v>0</v>
      </c>
      <c r="AP49" s="58"/>
      <c r="AQ49" s="58"/>
      <c r="AR49" s="58"/>
      <c r="AS49" s="58">
        <v>1</v>
      </c>
      <c r="AT49" s="59">
        <v>300</v>
      </c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</row>
    <row r="50" spans="1:65">
      <c r="A50" s="51" t="str">
        <f>VLOOKUP(Table3[[#This Row],[OU]],OU!$A$15:$B$34,2,FALSE)</f>
        <v>RFOs</v>
      </c>
      <c r="B50" s="47" t="s">
        <v>5</v>
      </c>
      <c r="C50" s="47" t="s">
        <v>574</v>
      </c>
      <c r="D50" s="47" t="s">
        <v>642</v>
      </c>
      <c r="E50" s="47" t="s">
        <v>43</v>
      </c>
      <c r="F50" s="47" t="s">
        <v>643</v>
      </c>
      <c r="G5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5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23108000</v>
      </c>
      <c r="I50" s="52" t="str">
        <f>VLOOKUP(Table3[[#This Row],[PSGC]],DISTRICT!$D:$G,4,FALSE)</f>
        <v>3rd</v>
      </c>
      <c r="J50" s="47" t="s">
        <v>578</v>
      </c>
      <c r="K50" s="51" t="str">
        <f>VLOOKUP(Table3[[#This Row],[SPECIFIC COMMODITY]],TAGS!$W$48:$X$53,2,FALSE)</f>
        <v>Corn</v>
      </c>
      <c r="L50" s="51" t="str">
        <f>VLOOKUP(Table3[[#This Row],[PREXC SUB-PROGRAM]],Table5[],2,FALSE)</f>
        <v>TECHNICAL AND SUPPORT SERVICES PROGRAM</v>
      </c>
      <c r="M50" s="51" t="str">
        <f>VLOOKUP(Table3[[#This Row],[COMMODITY PREXC SUB-PROGRAM]],TAGS!$U$54:$V$76,2,FALSE)</f>
        <v>PSS</v>
      </c>
      <c r="N50" s="47" t="s">
        <v>576</v>
      </c>
      <c r="O50" s="54" t="str">
        <f>VLOOKUP(Table3[[#This Row],[PI LEVEL 3]],'PI LEVEL'!A:C,3,FALSE)</f>
        <v>Fertilizers and other soil ammendment distributed</v>
      </c>
      <c r="P50" s="54" t="str">
        <f>VLOOKUP(Table3[[#This Row],[PI LEVEL 3]],Table53729[[Performance Indicator Level 3]:[Performance Indicator Level 1]],2,FALSE)</f>
        <v>Fertilizers distributed</v>
      </c>
      <c r="Q50" s="54" t="str">
        <f>VLOOKUP(Table3[[#This Row],[ACTIVITY]],TAGS!B:P,2,FALSE)</f>
        <v>Inorganic fertilizer distributed</v>
      </c>
      <c r="R50" s="47" t="s">
        <v>28</v>
      </c>
      <c r="S50" s="51" t="str">
        <f>VLOOKUP(Table3[[#This Row],[ACTIVITY]],TAGS!$B:$P,4,FALSE)</f>
        <v>Recommended Corn Production Technology</v>
      </c>
      <c r="T50" s="51" t="str">
        <f>VLOOKUP(Table3[[#This Row],[ACTIVITY]],TAGS!$B:$P,5,FALSE)</f>
        <v>Soil Fertilization</v>
      </c>
      <c r="U50" s="51" t="str">
        <f>VLOOKUP(Table3[[#This Row],[ACTIVITY]],TAGS!$B:$P,6,FALSE)</f>
        <v>Inorganic fertilizer</v>
      </c>
      <c r="V50" s="51" t="str">
        <f>VLOOKUP(Table3[[#This Row],[ACTIVITY]],TAGS!$B:$P,7,FALSE)</f>
        <v>NO</v>
      </c>
      <c r="W50" s="51" t="str">
        <f>VLOOKUP(Table3[[#This Row],[ACTIVITY]],TAGS!$B:$P,8,FALSE)</f>
        <v>PAP</v>
      </c>
      <c r="X50" s="51" t="str">
        <f>VLOOKUP(Table3[[#This Row],[ACTIVITY]],TAGS!$B:$P,10,FALSE)</f>
        <v>PIP</v>
      </c>
      <c r="Y50" s="51" t="str">
        <f>VLOOKUP(Table3[[#This Row],[ACTIVITY]],TAGS!$B:$P,11,FALSE)</f>
        <v>PICS</v>
      </c>
      <c r="Z50" s="51" t="str">
        <f>VLOOKUP(Table3[[#This Row],[ACTIVITY]],TAGS!$B:$P,12,FALSE)</f>
        <v>Consolidation</v>
      </c>
      <c r="AA50" s="51" t="str">
        <f>VLOOKUP(Table3[[#This Row],[ACTIVITY]],TAGS!$B:$P,13,FALSE)</f>
        <v>1. Bayanihan Agri Cluster</v>
      </c>
      <c r="AB50" s="51" t="str">
        <f>VLOOKUP(Table3[[#This Row],[ACTIVITY]],TAGS!$B:$P,14,FALSE)</f>
        <v>EXPAND AND IMPROVE AVAILABLE AGRI-FISHERY AREAS FOR INCREASED PRODUCTION</v>
      </c>
      <c r="AC50" s="51" t="str">
        <f>VLOOKUP(Table3[[#This Row],[ACTIVITY]],TAGS!$B:$P,15,FALSE)</f>
        <v>Farm Inputs</v>
      </c>
      <c r="AD50" s="51" t="str">
        <f>VLOOKUP(Table3[[#This Row],[PI LEVEL 3]],'PI LEVEL'!$A:$G,7,FALSE)</f>
        <v>DA-Level Output</v>
      </c>
      <c r="AE50" s="47" t="s">
        <v>577</v>
      </c>
      <c r="AF50" s="51" t="str">
        <f>VLOOKUP(Table3[[#This Row],[ACTIVITY]],TAGS!$B:$P,3,FALSE)</f>
        <v>kilogram</v>
      </c>
      <c r="AG50" s="47" t="s">
        <v>333</v>
      </c>
      <c r="AH50" s="51" t="str">
        <f>VLOOKUP(Table3[[#This Row],[MONTH]],TAGS!$W$67:$Y$81,2,FALSE)</f>
        <v>3RD QTR</v>
      </c>
      <c r="AI50" s="51" t="str">
        <f>VLOOKUP(Table3[[#This Row],[MONTH]],TAGS!$W$67:$Y$81,3,FALSE)</f>
        <v>2ND SEMESTER</v>
      </c>
      <c r="AJ50" s="51">
        <f>VLOOKUP(Table3[[#This Row],[MONTH]],TAGS!$W$67:$Z$81,4,FALSE)</f>
        <v>2025</v>
      </c>
      <c r="AK50" s="47">
        <v>110000</v>
      </c>
      <c r="AL50" s="51" t="str">
        <f>VLOOKUP(Table3[[#This Row],[ACTIVITY]],TAGS!$B:$R,16,FALSE)</f>
        <v>YES</v>
      </c>
      <c r="AM50" s="47">
        <v>200</v>
      </c>
      <c r="AN50" s="47">
        <v>4950</v>
      </c>
      <c r="AO50" s="57">
        <f>SUM(Table3[[#This Row],[MALE BENEFICIARIES]:[FEMALE BENEFICIARIES]])</f>
        <v>0</v>
      </c>
      <c r="AP50" s="58"/>
      <c r="AQ50" s="58"/>
      <c r="AR50" s="58"/>
      <c r="AS50" s="58">
        <v>1</v>
      </c>
      <c r="AT50" s="59">
        <v>200</v>
      </c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</row>
    <row r="51" spans="1:65">
      <c r="A51" s="51" t="str">
        <f>VLOOKUP(Table3[[#This Row],[OU]],OU!$A$15:$B$34,2,FALSE)</f>
        <v>RFOs</v>
      </c>
      <c r="B51" s="47" t="s">
        <v>5</v>
      </c>
      <c r="C51" s="47" t="s">
        <v>574</v>
      </c>
      <c r="D51" s="47" t="s">
        <v>637</v>
      </c>
      <c r="E51" s="47" t="s">
        <v>22</v>
      </c>
      <c r="F51" s="47" t="s">
        <v>619</v>
      </c>
      <c r="G5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5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21502000</v>
      </c>
      <c r="I51" s="52" t="str">
        <f>VLOOKUP(Table3[[#This Row],[PSGC]],DISTRICT!$D:$G,4,FALSE)</f>
        <v>3rd</v>
      </c>
      <c r="J51" s="47" t="s">
        <v>578</v>
      </c>
      <c r="K51" s="51" t="str">
        <f>VLOOKUP(Table3[[#This Row],[SPECIFIC COMMODITY]],TAGS!$W$48:$X$53,2,FALSE)</f>
        <v>Corn</v>
      </c>
      <c r="L51" s="51" t="str">
        <f>VLOOKUP(Table3[[#This Row],[PREXC SUB-PROGRAM]],Table5[],2,FALSE)</f>
        <v>TECHNICAL AND SUPPORT SERVICES PROGRAM</v>
      </c>
      <c r="M51" s="51" t="str">
        <f>VLOOKUP(Table3[[#This Row],[COMMODITY PREXC SUB-PROGRAM]],TAGS!$U$54:$V$76,2,FALSE)</f>
        <v>PSS</v>
      </c>
      <c r="N51" s="47" t="s">
        <v>576</v>
      </c>
      <c r="O51" s="54" t="str">
        <f>VLOOKUP(Table3[[#This Row],[PI LEVEL 3]],'PI LEVEL'!A:C,3,FALSE)</f>
        <v>Fertilizers and other soil ammendment distributed</v>
      </c>
      <c r="P51" s="54" t="str">
        <f>VLOOKUP(Table3[[#This Row],[PI LEVEL 3]],Table53729[[Performance Indicator Level 3]:[Performance Indicator Level 1]],2,FALSE)</f>
        <v>Fertilizers distributed</v>
      </c>
      <c r="Q51" s="54" t="str">
        <f>VLOOKUP(Table3[[#This Row],[ACTIVITY]],TAGS!B:P,2,FALSE)</f>
        <v>Biofertilizer distributed (pack)</v>
      </c>
      <c r="R51" s="47" t="s">
        <v>30</v>
      </c>
      <c r="S51" s="51" t="str">
        <f>VLOOKUP(Table3[[#This Row],[ACTIVITY]],TAGS!$B:$P,4,FALSE)</f>
        <v>Soil amendments</v>
      </c>
      <c r="T51" s="51" t="str">
        <f>VLOOKUP(Table3[[#This Row],[ACTIVITY]],TAGS!$B:$P,5,FALSE)</f>
        <v>Soil Fertilization</v>
      </c>
      <c r="U51" s="51" t="str">
        <f>VLOOKUP(Table3[[#This Row],[ACTIVITY]],TAGS!$B:$P,6,FALSE)</f>
        <v>Biofertilizer</v>
      </c>
      <c r="V51" s="51" t="str">
        <f>VLOOKUP(Table3[[#This Row],[ACTIVITY]],TAGS!$B:$P,7,FALSE)</f>
        <v>NO</v>
      </c>
      <c r="W51" s="51" t="str">
        <f>VLOOKUP(Table3[[#This Row],[ACTIVITY]],TAGS!$B:$P,8,FALSE)</f>
        <v>PAP</v>
      </c>
      <c r="X51" s="51" t="str">
        <f>VLOOKUP(Table3[[#This Row],[ACTIVITY]],TAGS!$B:$P,10,FALSE)</f>
        <v>PIP</v>
      </c>
      <c r="Y51" s="51" t="str">
        <f>VLOOKUP(Table3[[#This Row],[ACTIVITY]],TAGS!$B:$P,11,FALSE)</f>
        <v>PICS</v>
      </c>
      <c r="Z51" s="51" t="str">
        <f>VLOOKUP(Table3[[#This Row],[ACTIVITY]],TAGS!$B:$P,12,FALSE)</f>
        <v>Consolidation</v>
      </c>
      <c r="AA51" s="51" t="str">
        <f>VLOOKUP(Table3[[#This Row],[ACTIVITY]],TAGS!$B:$P,13,FALSE)</f>
        <v>1. Bayanihan Agri Cluster</v>
      </c>
      <c r="AB51" s="51" t="str">
        <f>VLOOKUP(Table3[[#This Row],[ACTIVITY]],TAGS!$B:$P,14,FALSE)</f>
        <v>EXPAND AND IMPROVE AVAILABLE AGRI-FISHERY AREAS FOR INCREASED PRODUCTION</v>
      </c>
      <c r="AC51" s="51" t="str">
        <f>VLOOKUP(Table3[[#This Row],[ACTIVITY]],TAGS!$B:$P,15,FALSE)</f>
        <v>Farm Inputs</v>
      </c>
      <c r="AD51" s="51" t="str">
        <f>VLOOKUP(Table3[[#This Row],[PI LEVEL 3]],'PI LEVEL'!$A:$G,7,FALSE)</f>
        <v>DA-Level Output</v>
      </c>
      <c r="AE51" s="47" t="s">
        <v>577</v>
      </c>
      <c r="AF51" s="51" t="str">
        <f>VLOOKUP(Table3[[#This Row],[ACTIVITY]],TAGS!$B:$P,3,FALSE)</f>
        <v>pack</v>
      </c>
      <c r="AG51" s="47" t="s">
        <v>333</v>
      </c>
      <c r="AH51" s="51" t="str">
        <f>VLOOKUP(Table3[[#This Row],[MONTH]],TAGS!$W$67:$Y$81,2,FALSE)</f>
        <v>3RD QTR</v>
      </c>
      <c r="AI51" s="51" t="str">
        <f>VLOOKUP(Table3[[#This Row],[MONTH]],TAGS!$W$67:$Y$81,3,FALSE)</f>
        <v>2ND SEMESTER</v>
      </c>
      <c r="AJ51" s="51">
        <f>VLOOKUP(Table3[[#This Row],[MONTH]],TAGS!$W$67:$Z$81,4,FALSE)</f>
        <v>2025</v>
      </c>
      <c r="AK51" s="47">
        <v>1650</v>
      </c>
      <c r="AL51" s="51" t="str">
        <f>VLOOKUP(Table3[[#This Row],[ACTIVITY]],TAGS!$B:$R,16,FALSE)</f>
        <v>YES</v>
      </c>
      <c r="AM51" s="47">
        <v>400</v>
      </c>
      <c r="AN51" s="47">
        <v>1050</v>
      </c>
      <c r="AO51" s="57">
        <f>SUM(Table3[[#This Row],[MALE BENEFICIARIES]:[FEMALE BENEFICIARIES]])</f>
        <v>0</v>
      </c>
      <c r="AP51" s="58"/>
      <c r="AQ51" s="58"/>
      <c r="AR51" s="58"/>
      <c r="AS51" s="58">
        <v>1</v>
      </c>
      <c r="AT51" s="59">
        <v>400</v>
      </c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</row>
    <row r="52" spans="1:65">
      <c r="A52" s="51" t="str">
        <f>VLOOKUP(Table3[[#This Row],[OU]],OU!$A$15:$B$34,2,FALSE)</f>
        <v>RFOs</v>
      </c>
      <c r="B52" s="47" t="s">
        <v>5</v>
      </c>
      <c r="C52" s="47" t="s">
        <v>574</v>
      </c>
      <c r="D52" s="53" t="s">
        <v>638</v>
      </c>
      <c r="E52" s="47" t="s">
        <v>22</v>
      </c>
      <c r="F52" s="47" t="s">
        <v>639</v>
      </c>
      <c r="G5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5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21513000</v>
      </c>
      <c r="I52" s="52" t="str">
        <f>VLOOKUP(Table3[[#This Row],[PSGC]],DISTRICT!$D:$G,4,FALSE)</f>
        <v>1st</v>
      </c>
      <c r="J52" s="47" t="s">
        <v>578</v>
      </c>
      <c r="K52" s="51" t="str">
        <f>VLOOKUP(Table3[[#This Row],[SPECIFIC COMMODITY]],TAGS!$W$48:$X$53,2,FALSE)</f>
        <v>Corn</v>
      </c>
      <c r="L52" s="51" t="str">
        <f>VLOOKUP(Table3[[#This Row],[PREXC SUB-PROGRAM]],Table5[],2,FALSE)</f>
        <v>TECHNICAL AND SUPPORT SERVICES PROGRAM</v>
      </c>
      <c r="M52" s="51" t="str">
        <f>VLOOKUP(Table3[[#This Row],[COMMODITY PREXC SUB-PROGRAM]],TAGS!$U$54:$V$76,2,FALSE)</f>
        <v>PSS</v>
      </c>
      <c r="N52" s="47" t="s">
        <v>576</v>
      </c>
      <c r="O52" s="54" t="str">
        <f>VLOOKUP(Table3[[#This Row],[PI LEVEL 3]],'PI LEVEL'!A:C,3,FALSE)</f>
        <v>Fertilizers and other soil ammendment distributed</v>
      </c>
      <c r="P52" s="54" t="str">
        <f>VLOOKUP(Table3[[#This Row],[PI LEVEL 3]],Table53729[[Performance Indicator Level 3]:[Performance Indicator Level 1]],2,FALSE)</f>
        <v>Fertilizers distributed</v>
      </c>
      <c r="Q52" s="54" t="str">
        <f>VLOOKUP(Table3[[#This Row],[ACTIVITY]],TAGS!B:P,2,FALSE)</f>
        <v>Biofertilizer distributed (pack)</v>
      </c>
      <c r="R52" s="47" t="s">
        <v>30</v>
      </c>
      <c r="S52" s="51" t="str">
        <f>VLOOKUP(Table3[[#This Row],[ACTIVITY]],TAGS!$B:$P,4,FALSE)</f>
        <v>Soil amendments</v>
      </c>
      <c r="T52" s="51" t="str">
        <f>VLOOKUP(Table3[[#This Row],[ACTIVITY]],TAGS!$B:$P,5,FALSE)</f>
        <v>Soil Fertilization</v>
      </c>
      <c r="U52" s="51" t="str">
        <f>VLOOKUP(Table3[[#This Row],[ACTIVITY]],TAGS!$B:$P,6,FALSE)</f>
        <v>Biofertilizer</v>
      </c>
      <c r="V52" s="51" t="str">
        <f>VLOOKUP(Table3[[#This Row],[ACTIVITY]],TAGS!$B:$P,7,FALSE)</f>
        <v>NO</v>
      </c>
      <c r="W52" s="51" t="str">
        <f>VLOOKUP(Table3[[#This Row],[ACTIVITY]],TAGS!$B:$P,8,FALSE)</f>
        <v>PAP</v>
      </c>
      <c r="X52" s="51" t="str">
        <f>VLOOKUP(Table3[[#This Row],[ACTIVITY]],TAGS!$B:$P,10,FALSE)</f>
        <v>PIP</v>
      </c>
      <c r="Y52" s="51" t="str">
        <f>VLOOKUP(Table3[[#This Row],[ACTIVITY]],TAGS!$B:$P,11,FALSE)</f>
        <v>PICS</v>
      </c>
      <c r="Z52" s="51" t="str">
        <f>VLOOKUP(Table3[[#This Row],[ACTIVITY]],TAGS!$B:$P,12,FALSE)</f>
        <v>Consolidation</v>
      </c>
      <c r="AA52" s="51" t="str">
        <f>VLOOKUP(Table3[[#This Row],[ACTIVITY]],TAGS!$B:$P,13,FALSE)</f>
        <v>1. Bayanihan Agri Cluster</v>
      </c>
      <c r="AB52" s="51" t="str">
        <f>VLOOKUP(Table3[[#This Row],[ACTIVITY]],TAGS!$B:$P,14,FALSE)</f>
        <v>EXPAND AND IMPROVE AVAILABLE AGRI-FISHERY AREAS FOR INCREASED PRODUCTION</v>
      </c>
      <c r="AC52" s="51" t="str">
        <f>VLOOKUP(Table3[[#This Row],[ACTIVITY]],TAGS!$B:$P,15,FALSE)</f>
        <v>Farm Inputs</v>
      </c>
      <c r="AD52" s="51" t="str">
        <f>VLOOKUP(Table3[[#This Row],[PI LEVEL 3]],'PI LEVEL'!$A:$G,7,FALSE)</f>
        <v>DA-Level Output</v>
      </c>
      <c r="AE52" s="47" t="s">
        <v>577</v>
      </c>
      <c r="AF52" s="51" t="str">
        <f>VLOOKUP(Table3[[#This Row],[ACTIVITY]],TAGS!$B:$P,3,FALSE)</f>
        <v>pack</v>
      </c>
      <c r="AG52" s="47" t="s">
        <v>333</v>
      </c>
      <c r="AH52" s="51" t="str">
        <f>VLOOKUP(Table3[[#This Row],[MONTH]],TAGS!$W$67:$Y$81,2,FALSE)</f>
        <v>3RD QTR</v>
      </c>
      <c r="AI52" s="51" t="str">
        <f>VLOOKUP(Table3[[#This Row],[MONTH]],TAGS!$W$67:$Y$81,3,FALSE)</f>
        <v>2ND SEMESTER</v>
      </c>
      <c r="AJ52" s="51">
        <f>VLOOKUP(Table3[[#This Row],[MONTH]],TAGS!$W$67:$Z$81,4,FALSE)</f>
        <v>2025</v>
      </c>
      <c r="AK52" s="47">
        <v>350</v>
      </c>
      <c r="AL52" s="51" t="str">
        <f>VLOOKUP(Table3[[#This Row],[ACTIVITY]],TAGS!$B:$R,16,FALSE)</f>
        <v>YES</v>
      </c>
      <c r="AM52" s="47">
        <v>100</v>
      </c>
      <c r="AN52" s="47">
        <v>310</v>
      </c>
      <c r="AO52" s="57">
        <f>SUM(Table3[[#This Row],[MALE BENEFICIARIES]:[FEMALE BENEFICIARIES]])</f>
        <v>0</v>
      </c>
      <c r="AP52" s="58"/>
      <c r="AQ52" s="58"/>
      <c r="AR52" s="58"/>
      <c r="AS52" s="58">
        <v>1</v>
      </c>
      <c r="AT52" s="59">
        <v>100</v>
      </c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</row>
    <row r="53" spans="1:65">
      <c r="A53" s="51" t="str">
        <f>VLOOKUP(Table3[[#This Row],[OU]],OU!$A$15:$B$34,2,FALSE)</f>
        <v>RFOs</v>
      </c>
      <c r="B53" s="47" t="s">
        <v>5</v>
      </c>
      <c r="C53" s="47" t="s">
        <v>574</v>
      </c>
      <c r="D53" s="47" t="s">
        <v>640</v>
      </c>
      <c r="E53" s="47" t="s">
        <v>43</v>
      </c>
      <c r="F53" s="47" t="s">
        <v>641</v>
      </c>
      <c r="G5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5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23137000</v>
      </c>
      <c r="I53" s="52" t="str">
        <f>VLOOKUP(Table3[[#This Row],[PSGC]],DISTRICT!$D:$G,4,FALSE)</f>
        <v>1st</v>
      </c>
      <c r="J53" s="47" t="s">
        <v>578</v>
      </c>
      <c r="K53" s="51" t="str">
        <f>VLOOKUP(Table3[[#This Row],[SPECIFIC COMMODITY]],TAGS!$W$48:$X$53,2,FALSE)</f>
        <v>Corn</v>
      </c>
      <c r="L53" s="51" t="str">
        <f>VLOOKUP(Table3[[#This Row],[PREXC SUB-PROGRAM]],Table5[],2,FALSE)</f>
        <v>TECHNICAL AND SUPPORT SERVICES PROGRAM</v>
      </c>
      <c r="M53" s="51" t="str">
        <f>VLOOKUP(Table3[[#This Row],[COMMODITY PREXC SUB-PROGRAM]],TAGS!$U$54:$V$76,2,FALSE)</f>
        <v>PSS</v>
      </c>
      <c r="N53" s="47" t="s">
        <v>576</v>
      </c>
      <c r="O53" s="54" t="str">
        <f>VLOOKUP(Table3[[#This Row],[PI LEVEL 3]],'PI LEVEL'!A:C,3,FALSE)</f>
        <v>Fertilizers and other soil ammendment distributed</v>
      </c>
      <c r="P53" s="54" t="str">
        <f>VLOOKUP(Table3[[#This Row],[PI LEVEL 3]],Table53729[[Performance Indicator Level 3]:[Performance Indicator Level 1]],2,FALSE)</f>
        <v>Fertilizers distributed</v>
      </c>
      <c r="Q53" s="54" t="str">
        <f>VLOOKUP(Table3[[#This Row],[ACTIVITY]],TAGS!B:P,2,FALSE)</f>
        <v>Biofertilizer distributed (pack)</v>
      </c>
      <c r="R53" s="47" t="s">
        <v>30</v>
      </c>
      <c r="S53" s="51" t="str">
        <f>VLOOKUP(Table3[[#This Row],[ACTIVITY]],TAGS!$B:$P,4,FALSE)</f>
        <v>Soil amendments</v>
      </c>
      <c r="T53" s="51" t="str">
        <f>VLOOKUP(Table3[[#This Row],[ACTIVITY]],TAGS!$B:$P,5,FALSE)</f>
        <v>Soil Fertilization</v>
      </c>
      <c r="U53" s="51" t="str">
        <f>VLOOKUP(Table3[[#This Row],[ACTIVITY]],TAGS!$B:$P,6,FALSE)</f>
        <v>Biofertilizer</v>
      </c>
      <c r="V53" s="51" t="str">
        <f>VLOOKUP(Table3[[#This Row],[ACTIVITY]],TAGS!$B:$P,7,FALSE)</f>
        <v>NO</v>
      </c>
      <c r="W53" s="51" t="str">
        <f>VLOOKUP(Table3[[#This Row],[ACTIVITY]],TAGS!$B:$P,8,FALSE)</f>
        <v>PAP</v>
      </c>
      <c r="X53" s="51" t="str">
        <f>VLOOKUP(Table3[[#This Row],[ACTIVITY]],TAGS!$B:$P,10,FALSE)</f>
        <v>PIP</v>
      </c>
      <c r="Y53" s="51" t="str">
        <f>VLOOKUP(Table3[[#This Row],[ACTIVITY]],TAGS!$B:$P,11,FALSE)</f>
        <v>PICS</v>
      </c>
      <c r="Z53" s="51" t="str">
        <f>VLOOKUP(Table3[[#This Row],[ACTIVITY]],TAGS!$B:$P,12,FALSE)</f>
        <v>Consolidation</v>
      </c>
      <c r="AA53" s="51" t="str">
        <f>VLOOKUP(Table3[[#This Row],[ACTIVITY]],TAGS!$B:$P,13,FALSE)</f>
        <v>1. Bayanihan Agri Cluster</v>
      </c>
      <c r="AB53" s="51" t="str">
        <f>VLOOKUP(Table3[[#This Row],[ACTIVITY]],TAGS!$B:$P,14,FALSE)</f>
        <v>EXPAND AND IMPROVE AVAILABLE AGRI-FISHERY AREAS FOR INCREASED PRODUCTION</v>
      </c>
      <c r="AC53" s="51" t="str">
        <f>VLOOKUP(Table3[[#This Row],[ACTIVITY]],TAGS!$B:$P,15,FALSE)</f>
        <v>Farm Inputs</v>
      </c>
      <c r="AD53" s="51" t="str">
        <f>VLOOKUP(Table3[[#This Row],[PI LEVEL 3]],'PI LEVEL'!$A:$G,7,FALSE)</f>
        <v>DA-Level Output</v>
      </c>
      <c r="AE53" s="47" t="s">
        <v>577</v>
      </c>
      <c r="AF53" s="51" t="str">
        <f>VLOOKUP(Table3[[#This Row],[ACTIVITY]],TAGS!$B:$P,3,FALSE)</f>
        <v>pack</v>
      </c>
      <c r="AG53" s="47" t="s">
        <v>333</v>
      </c>
      <c r="AH53" s="51" t="str">
        <f>VLOOKUP(Table3[[#This Row],[MONTH]],TAGS!$W$67:$Y$81,2,FALSE)</f>
        <v>3RD QTR</v>
      </c>
      <c r="AI53" s="51" t="str">
        <f>VLOOKUP(Table3[[#This Row],[MONTH]],TAGS!$W$67:$Y$81,3,FALSE)</f>
        <v>2ND SEMESTER</v>
      </c>
      <c r="AJ53" s="51">
        <f>VLOOKUP(Table3[[#This Row],[MONTH]],TAGS!$W$67:$Z$81,4,FALSE)</f>
        <v>2025</v>
      </c>
      <c r="AK53" s="47">
        <v>1650</v>
      </c>
      <c r="AL53" s="51" t="str">
        <f>VLOOKUP(Table3[[#This Row],[ACTIVITY]],TAGS!$B:$R,16,FALSE)</f>
        <v>YES</v>
      </c>
      <c r="AM53" s="47">
        <v>400</v>
      </c>
      <c r="AN53" s="47">
        <v>1050</v>
      </c>
      <c r="AO53" s="57">
        <f>SUM(Table3[[#This Row],[MALE BENEFICIARIES]:[FEMALE BENEFICIARIES]])</f>
        <v>0</v>
      </c>
      <c r="AP53" s="58"/>
      <c r="AQ53" s="58"/>
      <c r="AR53" s="58"/>
      <c r="AS53" s="58">
        <v>1</v>
      </c>
      <c r="AT53" s="59">
        <v>400</v>
      </c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</row>
    <row r="54" spans="1:65">
      <c r="A54" s="51" t="str">
        <f>VLOOKUP(Table3[[#This Row],[OU]],OU!$A$15:$B$34,2,FALSE)</f>
        <v>RFOs</v>
      </c>
      <c r="B54" s="47" t="s">
        <v>5</v>
      </c>
      <c r="C54" s="47" t="s">
        <v>574</v>
      </c>
      <c r="D54" s="47" t="s">
        <v>642</v>
      </c>
      <c r="E54" s="47" t="s">
        <v>43</v>
      </c>
      <c r="F54" s="47" t="s">
        <v>643</v>
      </c>
      <c r="G5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5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23108000</v>
      </c>
      <c r="I54" s="52" t="str">
        <f>VLOOKUP(Table3[[#This Row],[PSGC]],DISTRICT!$D:$G,4,FALSE)</f>
        <v>3rd</v>
      </c>
      <c r="J54" s="47" t="s">
        <v>578</v>
      </c>
      <c r="K54" s="51" t="str">
        <f>VLOOKUP(Table3[[#This Row],[SPECIFIC COMMODITY]],TAGS!$W$48:$X$53,2,FALSE)</f>
        <v>Corn</v>
      </c>
      <c r="L54" s="51" t="str">
        <f>VLOOKUP(Table3[[#This Row],[PREXC SUB-PROGRAM]],Table5[],2,FALSE)</f>
        <v>TECHNICAL AND SUPPORT SERVICES PROGRAM</v>
      </c>
      <c r="M54" s="51" t="str">
        <f>VLOOKUP(Table3[[#This Row],[COMMODITY PREXC SUB-PROGRAM]],TAGS!$U$54:$V$76,2,FALSE)</f>
        <v>PSS</v>
      </c>
      <c r="N54" s="47" t="s">
        <v>576</v>
      </c>
      <c r="O54" s="54" t="str">
        <f>VLOOKUP(Table3[[#This Row],[PI LEVEL 3]],'PI LEVEL'!A:C,3,FALSE)</f>
        <v>Fertilizers and other soil ammendment distributed</v>
      </c>
      <c r="P54" s="54" t="str">
        <f>VLOOKUP(Table3[[#This Row],[PI LEVEL 3]],Table53729[[Performance Indicator Level 3]:[Performance Indicator Level 1]],2,FALSE)</f>
        <v>Fertilizers distributed</v>
      </c>
      <c r="Q54" s="54" t="str">
        <f>VLOOKUP(Table3[[#This Row],[ACTIVITY]],TAGS!B:P,2,FALSE)</f>
        <v>Biofertilizer distributed (pack)</v>
      </c>
      <c r="R54" s="47" t="s">
        <v>30</v>
      </c>
      <c r="S54" s="51" t="str">
        <f>VLOOKUP(Table3[[#This Row],[ACTIVITY]],TAGS!$B:$P,4,FALSE)</f>
        <v>Soil amendments</v>
      </c>
      <c r="T54" s="51" t="str">
        <f>VLOOKUP(Table3[[#This Row],[ACTIVITY]],TAGS!$B:$P,5,FALSE)</f>
        <v>Soil Fertilization</v>
      </c>
      <c r="U54" s="51" t="str">
        <f>VLOOKUP(Table3[[#This Row],[ACTIVITY]],TAGS!$B:$P,6,FALSE)</f>
        <v>Biofertilizer</v>
      </c>
      <c r="V54" s="51" t="str">
        <f>VLOOKUP(Table3[[#This Row],[ACTIVITY]],TAGS!$B:$P,7,FALSE)</f>
        <v>NO</v>
      </c>
      <c r="W54" s="51" t="str">
        <f>VLOOKUP(Table3[[#This Row],[ACTIVITY]],TAGS!$B:$P,8,FALSE)</f>
        <v>PAP</v>
      </c>
      <c r="X54" s="51" t="str">
        <f>VLOOKUP(Table3[[#This Row],[ACTIVITY]],TAGS!$B:$P,10,FALSE)</f>
        <v>PIP</v>
      </c>
      <c r="Y54" s="51" t="str">
        <f>VLOOKUP(Table3[[#This Row],[ACTIVITY]],TAGS!$B:$P,11,FALSE)</f>
        <v>PICS</v>
      </c>
      <c r="Z54" s="51" t="str">
        <f>VLOOKUP(Table3[[#This Row],[ACTIVITY]],TAGS!$B:$P,12,FALSE)</f>
        <v>Consolidation</v>
      </c>
      <c r="AA54" s="51" t="str">
        <f>VLOOKUP(Table3[[#This Row],[ACTIVITY]],TAGS!$B:$P,13,FALSE)</f>
        <v>1. Bayanihan Agri Cluster</v>
      </c>
      <c r="AB54" s="51" t="str">
        <f>VLOOKUP(Table3[[#This Row],[ACTIVITY]],TAGS!$B:$P,14,FALSE)</f>
        <v>EXPAND AND IMPROVE AVAILABLE AGRI-FISHERY AREAS FOR INCREASED PRODUCTION</v>
      </c>
      <c r="AC54" s="51" t="str">
        <f>VLOOKUP(Table3[[#This Row],[ACTIVITY]],TAGS!$B:$P,15,FALSE)</f>
        <v>Farm Inputs</v>
      </c>
      <c r="AD54" s="51" t="str">
        <f>VLOOKUP(Table3[[#This Row],[PI LEVEL 3]],'PI LEVEL'!$A:$G,7,FALSE)</f>
        <v>DA-Level Output</v>
      </c>
      <c r="AE54" s="47" t="s">
        <v>577</v>
      </c>
      <c r="AF54" s="51" t="str">
        <f>VLOOKUP(Table3[[#This Row],[ACTIVITY]],TAGS!$B:$P,3,FALSE)</f>
        <v>pack</v>
      </c>
      <c r="AG54" s="47" t="s">
        <v>333</v>
      </c>
      <c r="AH54" s="51" t="str">
        <f>VLOOKUP(Table3[[#This Row],[MONTH]],TAGS!$W$67:$Y$81,2,FALSE)</f>
        <v>3RD QTR</v>
      </c>
      <c r="AI54" s="51" t="str">
        <f>VLOOKUP(Table3[[#This Row],[MONTH]],TAGS!$W$67:$Y$81,3,FALSE)</f>
        <v>2ND SEMESTER</v>
      </c>
      <c r="AJ54" s="51">
        <f>VLOOKUP(Table3[[#This Row],[MONTH]],TAGS!$W$67:$Z$81,4,FALSE)</f>
        <v>2025</v>
      </c>
      <c r="AK54" s="47">
        <v>350</v>
      </c>
      <c r="AL54" s="51" t="str">
        <f>VLOOKUP(Table3[[#This Row],[ACTIVITY]],TAGS!$B:$R,16,FALSE)</f>
        <v>YES</v>
      </c>
      <c r="AM54" s="47">
        <v>100</v>
      </c>
      <c r="AN54" s="47">
        <v>310</v>
      </c>
      <c r="AO54" s="57">
        <f>SUM(Table3[[#This Row],[MALE BENEFICIARIES]:[FEMALE BENEFICIARIES]])</f>
        <v>0</v>
      </c>
      <c r="AP54" s="58"/>
      <c r="AQ54" s="58"/>
      <c r="AR54" s="58"/>
      <c r="AS54" s="58">
        <v>1</v>
      </c>
      <c r="AT54" s="59">
        <v>100</v>
      </c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</row>
    <row r="55" spans="1:65">
      <c r="A55" s="51" t="str">
        <f>VLOOKUP(Table3[[#This Row],[OU]],OU!$A$15:$B$34,2,FALSE)</f>
        <v>RFOs</v>
      </c>
      <c r="B55" s="47" t="s">
        <v>5</v>
      </c>
      <c r="C55" s="47" t="s">
        <v>574</v>
      </c>
      <c r="D55" s="47" t="s">
        <v>637</v>
      </c>
      <c r="E55" s="47" t="s">
        <v>22</v>
      </c>
      <c r="F55" s="47" t="s">
        <v>619</v>
      </c>
      <c r="G5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5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21502000</v>
      </c>
      <c r="I55" s="52" t="str">
        <f>VLOOKUP(Table3[[#This Row],[PSGC]],DISTRICT!$D:$G,4,FALSE)</f>
        <v>3rd</v>
      </c>
      <c r="J55" s="47" t="s">
        <v>578</v>
      </c>
      <c r="K55" s="51" t="str">
        <f>VLOOKUP(Table3[[#This Row],[SPECIFIC COMMODITY]],TAGS!$W$48:$X$53,2,FALSE)</f>
        <v>Corn</v>
      </c>
      <c r="L55" s="51" t="str">
        <f>VLOOKUP(Table3[[#This Row],[PREXC SUB-PROGRAM]],Table5[],2,FALSE)</f>
        <v>TECHNICAL AND SUPPORT SERVICES PROGRAM</v>
      </c>
      <c r="M55" s="51" t="str">
        <f>VLOOKUP(Table3[[#This Row],[COMMODITY PREXC SUB-PROGRAM]],TAGS!$U$54:$V$76,2,FALSE)</f>
        <v>PSS</v>
      </c>
      <c r="N55" s="47" t="s">
        <v>576</v>
      </c>
      <c r="O55" s="54" t="str">
        <f>VLOOKUP(Table3[[#This Row],[PI LEVEL 3]],'PI LEVEL'!A:C,3,FALSE)</f>
        <v>Fertilizers and other soil ammendment distributed</v>
      </c>
      <c r="P55" s="54" t="str">
        <f>VLOOKUP(Table3[[#This Row],[PI LEVEL 3]],Table53729[[Performance Indicator Level 3]:[Performance Indicator Level 1]],2,FALSE)</f>
        <v>Fertilizers distributed</v>
      </c>
      <c r="Q55" s="54" t="str">
        <f>VLOOKUP(Table3[[#This Row],[ACTIVITY]],TAGS!B:P,2,FALSE)</f>
        <v>Organic fertilizer distributed</v>
      </c>
      <c r="R55" s="47" t="s">
        <v>32</v>
      </c>
      <c r="S55" s="51" t="str">
        <f>VLOOKUP(Table3[[#This Row],[ACTIVITY]],TAGS!$B:$P,4,FALSE)</f>
        <v>Soil amendments</v>
      </c>
      <c r="T55" s="51" t="str">
        <f>VLOOKUP(Table3[[#This Row],[ACTIVITY]],TAGS!$B:$P,5,FALSE)</f>
        <v>Soil Fertilization</v>
      </c>
      <c r="U55" s="51" t="str">
        <f>VLOOKUP(Table3[[#This Row],[ACTIVITY]],TAGS!$B:$P,6,FALSE)</f>
        <v>Soil ameliorant</v>
      </c>
      <c r="V55" s="51" t="str">
        <f>VLOOKUP(Table3[[#This Row],[ACTIVITY]],TAGS!$B:$P,7,FALSE)</f>
        <v>NO</v>
      </c>
      <c r="W55" s="51" t="str">
        <f>VLOOKUP(Table3[[#This Row],[ACTIVITY]],TAGS!$B:$P,8,FALSE)</f>
        <v>PAP</v>
      </c>
      <c r="X55" s="51" t="str">
        <f>VLOOKUP(Table3[[#This Row],[ACTIVITY]],TAGS!$B:$P,10,FALSE)</f>
        <v>PIP</v>
      </c>
      <c r="Y55" s="51" t="str">
        <f>VLOOKUP(Table3[[#This Row],[ACTIVITY]],TAGS!$B:$P,11,FALSE)</f>
        <v>PICS</v>
      </c>
      <c r="Z55" s="51" t="str">
        <f>VLOOKUP(Table3[[#This Row],[ACTIVITY]],TAGS!$B:$P,12,FALSE)</f>
        <v>Consolidation</v>
      </c>
      <c r="AA55" s="51" t="str">
        <f>VLOOKUP(Table3[[#This Row],[ACTIVITY]],TAGS!$B:$P,13,FALSE)</f>
        <v>1. Bayanihan Agri Cluster</v>
      </c>
      <c r="AB55" s="51" t="str">
        <f>VLOOKUP(Table3[[#This Row],[ACTIVITY]],TAGS!$B:$P,14,FALSE)</f>
        <v>EXPAND AND IMPROVE AVAILABLE AGRI-FISHERY AREAS FOR INCREASED PRODUCTION</v>
      </c>
      <c r="AC55" s="51" t="str">
        <f>VLOOKUP(Table3[[#This Row],[ACTIVITY]],TAGS!$B:$P,15,FALSE)</f>
        <v>Farm Inputs</v>
      </c>
      <c r="AD55" s="51" t="str">
        <f>VLOOKUP(Table3[[#This Row],[PI LEVEL 3]],'PI LEVEL'!$A:$G,7,FALSE)</f>
        <v>DA-Level Output</v>
      </c>
      <c r="AE55" s="47" t="s">
        <v>577</v>
      </c>
      <c r="AF55" s="51" t="str">
        <f>VLOOKUP(Table3[[#This Row],[ACTIVITY]],TAGS!$B:$P,3,FALSE)</f>
        <v>kilogram</v>
      </c>
      <c r="AG55" s="47" t="s">
        <v>333</v>
      </c>
      <c r="AH55" s="51" t="str">
        <f>VLOOKUP(Table3[[#This Row],[MONTH]],TAGS!$W$67:$Y$81,2,FALSE)</f>
        <v>3RD QTR</v>
      </c>
      <c r="AI55" s="51" t="str">
        <f>VLOOKUP(Table3[[#This Row],[MONTH]],TAGS!$W$67:$Y$81,3,FALSE)</f>
        <v>2ND SEMESTER</v>
      </c>
      <c r="AJ55" s="51">
        <f>VLOOKUP(Table3[[#This Row],[MONTH]],TAGS!$W$67:$Z$81,4,FALSE)</f>
        <v>2025</v>
      </c>
      <c r="AK55" s="47">
        <v>150000</v>
      </c>
      <c r="AL55" s="51" t="str">
        <f>VLOOKUP(Table3[[#This Row],[ACTIVITY]],TAGS!$B:$R,16,FALSE)</f>
        <v>YES</v>
      </c>
      <c r="AM55" s="47">
        <v>300</v>
      </c>
      <c r="AN55" s="47">
        <v>3000</v>
      </c>
      <c r="AO55" s="57">
        <f>SUM(Table3[[#This Row],[MALE BENEFICIARIES]:[FEMALE BENEFICIARIES]])</f>
        <v>0</v>
      </c>
      <c r="AP55" s="58"/>
      <c r="AQ55" s="58"/>
      <c r="AR55" s="58"/>
      <c r="AS55" s="58">
        <v>1</v>
      </c>
      <c r="AT55" s="59">
        <v>300</v>
      </c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</row>
    <row r="56" spans="1:65">
      <c r="A56" s="51" t="str">
        <f>VLOOKUP(Table3[[#This Row],[OU]],OU!$A$15:$B$34,2,FALSE)</f>
        <v>RFOs</v>
      </c>
      <c r="B56" s="47" t="s">
        <v>5</v>
      </c>
      <c r="C56" s="47" t="s">
        <v>574</v>
      </c>
      <c r="D56" s="53" t="s">
        <v>638</v>
      </c>
      <c r="E56" s="47" t="s">
        <v>22</v>
      </c>
      <c r="F56" s="47" t="s">
        <v>639</v>
      </c>
      <c r="G5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5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21513000</v>
      </c>
      <c r="I56" s="52" t="str">
        <f>VLOOKUP(Table3[[#This Row],[PSGC]],DISTRICT!$D:$G,4,FALSE)</f>
        <v>1st</v>
      </c>
      <c r="J56" s="47" t="s">
        <v>578</v>
      </c>
      <c r="K56" s="51" t="str">
        <f>VLOOKUP(Table3[[#This Row],[SPECIFIC COMMODITY]],TAGS!$W$48:$X$53,2,FALSE)</f>
        <v>Corn</v>
      </c>
      <c r="L56" s="51" t="str">
        <f>VLOOKUP(Table3[[#This Row],[PREXC SUB-PROGRAM]],Table5[],2,FALSE)</f>
        <v>TECHNICAL AND SUPPORT SERVICES PROGRAM</v>
      </c>
      <c r="M56" s="51" t="str">
        <f>VLOOKUP(Table3[[#This Row],[COMMODITY PREXC SUB-PROGRAM]],TAGS!$U$54:$V$76,2,FALSE)</f>
        <v>PSS</v>
      </c>
      <c r="N56" s="47" t="s">
        <v>576</v>
      </c>
      <c r="O56" s="54" t="str">
        <f>VLOOKUP(Table3[[#This Row],[PI LEVEL 3]],'PI LEVEL'!A:C,3,FALSE)</f>
        <v>Fertilizers and other soil ammendment distributed</v>
      </c>
      <c r="P56" s="54" t="str">
        <f>VLOOKUP(Table3[[#This Row],[PI LEVEL 3]],Table53729[[Performance Indicator Level 3]:[Performance Indicator Level 1]],2,FALSE)</f>
        <v>Fertilizers distributed</v>
      </c>
      <c r="Q56" s="54" t="str">
        <f>VLOOKUP(Table3[[#This Row],[ACTIVITY]],TAGS!B:P,2,FALSE)</f>
        <v>Organic fertilizer distributed</v>
      </c>
      <c r="R56" s="47" t="s">
        <v>32</v>
      </c>
      <c r="S56" s="51" t="str">
        <f>VLOOKUP(Table3[[#This Row],[ACTIVITY]],TAGS!$B:$P,4,FALSE)</f>
        <v>Soil amendments</v>
      </c>
      <c r="T56" s="51" t="str">
        <f>VLOOKUP(Table3[[#This Row],[ACTIVITY]],TAGS!$B:$P,5,FALSE)</f>
        <v>Soil Fertilization</v>
      </c>
      <c r="U56" s="51" t="str">
        <f>VLOOKUP(Table3[[#This Row],[ACTIVITY]],TAGS!$B:$P,6,FALSE)</f>
        <v>Soil ameliorant</v>
      </c>
      <c r="V56" s="51" t="str">
        <f>VLOOKUP(Table3[[#This Row],[ACTIVITY]],TAGS!$B:$P,7,FALSE)</f>
        <v>NO</v>
      </c>
      <c r="W56" s="51" t="str">
        <f>VLOOKUP(Table3[[#This Row],[ACTIVITY]],TAGS!$B:$P,8,FALSE)</f>
        <v>PAP</v>
      </c>
      <c r="X56" s="51" t="str">
        <f>VLOOKUP(Table3[[#This Row],[ACTIVITY]],TAGS!$B:$P,10,FALSE)</f>
        <v>PIP</v>
      </c>
      <c r="Y56" s="51" t="str">
        <f>VLOOKUP(Table3[[#This Row],[ACTIVITY]],TAGS!$B:$P,11,FALSE)</f>
        <v>PICS</v>
      </c>
      <c r="Z56" s="51" t="str">
        <f>VLOOKUP(Table3[[#This Row],[ACTIVITY]],TAGS!$B:$P,12,FALSE)</f>
        <v>Consolidation</v>
      </c>
      <c r="AA56" s="51" t="str">
        <f>VLOOKUP(Table3[[#This Row],[ACTIVITY]],TAGS!$B:$P,13,FALSE)</f>
        <v>1. Bayanihan Agri Cluster</v>
      </c>
      <c r="AB56" s="51" t="str">
        <f>VLOOKUP(Table3[[#This Row],[ACTIVITY]],TAGS!$B:$P,14,FALSE)</f>
        <v>EXPAND AND IMPROVE AVAILABLE AGRI-FISHERY AREAS FOR INCREASED PRODUCTION</v>
      </c>
      <c r="AC56" s="51" t="str">
        <f>VLOOKUP(Table3[[#This Row],[ACTIVITY]],TAGS!$B:$P,15,FALSE)</f>
        <v>Farm Inputs</v>
      </c>
      <c r="AD56" s="51" t="str">
        <f>VLOOKUP(Table3[[#This Row],[PI LEVEL 3]],'PI LEVEL'!$A:$G,7,FALSE)</f>
        <v>DA-Level Output</v>
      </c>
      <c r="AE56" s="47" t="s">
        <v>577</v>
      </c>
      <c r="AF56" s="51" t="str">
        <f>VLOOKUP(Table3[[#This Row],[ACTIVITY]],TAGS!$B:$P,3,FALSE)</f>
        <v>kilogram</v>
      </c>
      <c r="AG56" s="47" t="s">
        <v>333</v>
      </c>
      <c r="AH56" s="51" t="str">
        <f>VLOOKUP(Table3[[#This Row],[MONTH]],TAGS!$W$67:$Y$81,2,FALSE)</f>
        <v>3RD QTR</v>
      </c>
      <c r="AI56" s="51" t="str">
        <f>VLOOKUP(Table3[[#This Row],[MONTH]],TAGS!$W$67:$Y$81,3,FALSE)</f>
        <v>2ND SEMESTER</v>
      </c>
      <c r="AJ56" s="51">
        <f>VLOOKUP(Table3[[#This Row],[MONTH]],TAGS!$W$67:$Z$81,4,FALSE)</f>
        <v>2025</v>
      </c>
      <c r="AK56" s="47">
        <v>100000</v>
      </c>
      <c r="AL56" s="51" t="str">
        <f>VLOOKUP(Table3[[#This Row],[ACTIVITY]],TAGS!$B:$R,16,FALSE)</f>
        <v>YES</v>
      </c>
      <c r="AM56" s="47">
        <v>200</v>
      </c>
      <c r="AN56" s="47">
        <v>2000</v>
      </c>
      <c r="AO56" s="57">
        <f>SUM(Table3[[#This Row],[MALE BENEFICIARIES]:[FEMALE BENEFICIARIES]])</f>
        <v>0</v>
      </c>
      <c r="AP56" s="58"/>
      <c r="AQ56" s="58"/>
      <c r="AR56" s="58"/>
      <c r="AS56" s="58">
        <v>1</v>
      </c>
      <c r="AT56" s="59">
        <v>200</v>
      </c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</row>
    <row r="57" spans="1:65">
      <c r="A57" s="51" t="str">
        <f>VLOOKUP(Table3[[#This Row],[OU]],OU!$A$15:$B$34,2,FALSE)</f>
        <v>RFOs</v>
      </c>
      <c r="B57" s="47" t="s">
        <v>5</v>
      </c>
      <c r="C57" s="47" t="s">
        <v>574</v>
      </c>
      <c r="D57" s="47" t="s">
        <v>640</v>
      </c>
      <c r="E57" s="47" t="s">
        <v>43</v>
      </c>
      <c r="F57" s="47" t="s">
        <v>641</v>
      </c>
      <c r="G5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5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23137000</v>
      </c>
      <c r="I57" s="52" t="str">
        <f>VLOOKUP(Table3[[#This Row],[PSGC]],DISTRICT!$D:$G,4,FALSE)</f>
        <v>1st</v>
      </c>
      <c r="J57" s="47" t="s">
        <v>578</v>
      </c>
      <c r="K57" s="51" t="str">
        <f>VLOOKUP(Table3[[#This Row],[SPECIFIC COMMODITY]],TAGS!$W$48:$X$53,2,FALSE)</f>
        <v>Corn</v>
      </c>
      <c r="L57" s="51" t="str">
        <f>VLOOKUP(Table3[[#This Row],[PREXC SUB-PROGRAM]],Table5[],2,FALSE)</f>
        <v>TECHNICAL AND SUPPORT SERVICES PROGRAM</v>
      </c>
      <c r="M57" s="51" t="str">
        <f>VLOOKUP(Table3[[#This Row],[COMMODITY PREXC SUB-PROGRAM]],TAGS!$U$54:$V$76,2,FALSE)</f>
        <v>PSS</v>
      </c>
      <c r="N57" s="47" t="s">
        <v>576</v>
      </c>
      <c r="O57" s="54" t="str">
        <f>VLOOKUP(Table3[[#This Row],[PI LEVEL 3]],'PI LEVEL'!A:C,3,FALSE)</f>
        <v>Fertilizers and other soil ammendment distributed</v>
      </c>
      <c r="P57" s="54" t="str">
        <f>VLOOKUP(Table3[[#This Row],[PI LEVEL 3]],Table53729[[Performance Indicator Level 3]:[Performance Indicator Level 1]],2,FALSE)</f>
        <v>Fertilizers distributed</v>
      </c>
      <c r="Q57" s="54" t="str">
        <f>VLOOKUP(Table3[[#This Row],[ACTIVITY]],TAGS!B:P,2,FALSE)</f>
        <v>Organic fertilizer distributed</v>
      </c>
      <c r="R57" s="47" t="s">
        <v>32</v>
      </c>
      <c r="S57" s="51" t="str">
        <f>VLOOKUP(Table3[[#This Row],[ACTIVITY]],TAGS!$B:$P,4,FALSE)</f>
        <v>Soil amendments</v>
      </c>
      <c r="T57" s="51" t="str">
        <f>VLOOKUP(Table3[[#This Row],[ACTIVITY]],TAGS!$B:$P,5,FALSE)</f>
        <v>Soil Fertilization</v>
      </c>
      <c r="U57" s="51" t="str">
        <f>VLOOKUP(Table3[[#This Row],[ACTIVITY]],TAGS!$B:$P,6,FALSE)</f>
        <v>Soil ameliorant</v>
      </c>
      <c r="V57" s="51" t="str">
        <f>VLOOKUP(Table3[[#This Row],[ACTIVITY]],TAGS!$B:$P,7,FALSE)</f>
        <v>NO</v>
      </c>
      <c r="W57" s="51" t="str">
        <f>VLOOKUP(Table3[[#This Row],[ACTIVITY]],TAGS!$B:$P,8,FALSE)</f>
        <v>PAP</v>
      </c>
      <c r="X57" s="51" t="str">
        <f>VLOOKUP(Table3[[#This Row],[ACTIVITY]],TAGS!$B:$P,10,FALSE)</f>
        <v>PIP</v>
      </c>
      <c r="Y57" s="51" t="str">
        <f>VLOOKUP(Table3[[#This Row],[ACTIVITY]],TAGS!$B:$P,11,FALSE)</f>
        <v>PICS</v>
      </c>
      <c r="Z57" s="51" t="str">
        <f>VLOOKUP(Table3[[#This Row],[ACTIVITY]],TAGS!$B:$P,12,FALSE)</f>
        <v>Consolidation</v>
      </c>
      <c r="AA57" s="51" t="str">
        <f>VLOOKUP(Table3[[#This Row],[ACTIVITY]],TAGS!$B:$P,13,FALSE)</f>
        <v>1. Bayanihan Agri Cluster</v>
      </c>
      <c r="AB57" s="51" t="str">
        <f>VLOOKUP(Table3[[#This Row],[ACTIVITY]],TAGS!$B:$P,14,FALSE)</f>
        <v>EXPAND AND IMPROVE AVAILABLE AGRI-FISHERY AREAS FOR INCREASED PRODUCTION</v>
      </c>
      <c r="AC57" s="51" t="str">
        <f>VLOOKUP(Table3[[#This Row],[ACTIVITY]],TAGS!$B:$P,15,FALSE)</f>
        <v>Farm Inputs</v>
      </c>
      <c r="AD57" s="51" t="str">
        <f>VLOOKUP(Table3[[#This Row],[PI LEVEL 3]],'PI LEVEL'!$A:$G,7,FALSE)</f>
        <v>DA-Level Output</v>
      </c>
      <c r="AE57" s="47" t="s">
        <v>577</v>
      </c>
      <c r="AF57" s="51" t="str">
        <f>VLOOKUP(Table3[[#This Row],[ACTIVITY]],TAGS!$B:$P,3,FALSE)</f>
        <v>kilogram</v>
      </c>
      <c r="AG57" s="47" t="s">
        <v>333</v>
      </c>
      <c r="AH57" s="51" t="str">
        <f>VLOOKUP(Table3[[#This Row],[MONTH]],TAGS!$W$67:$Y$81,2,FALSE)</f>
        <v>3RD QTR</v>
      </c>
      <c r="AI57" s="51" t="str">
        <f>VLOOKUP(Table3[[#This Row],[MONTH]],TAGS!$W$67:$Y$81,3,FALSE)</f>
        <v>2ND SEMESTER</v>
      </c>
      <c r="AJ57" s="51">
        <f>VLOOKUP(Table3[[#This Row],[MONTH]],TAGS!$W$67:$Z$81,4,FALSE)</f>
        <v>2025</v>
      </c>
      <c r="AK57" s="47">
        <v>150000</v>
      </c>
      <c r="AL57" s="51" t="str">
        <f>VLOOKUP(Table3[[#This Row],[ACTIVITY]],TAGS!$B:$R,16,FALSE)</f>
        <v>YES</v>
      </c>
      <c r="AM57" s="47">
        <v>300</v>
      </c>
      <c r="AN57" s="47">
        <v>3000</v>
      </c>
      <c r="AO57" s="57">
        <f>SUM(Table3[[#This Row],[MALE BENEFICIARIES]:[FEMALE BENEFICIARIES]])</f>
        <v>0</v>
      </c>
      <c r="AP57" s="58"/>
      <c r="AQ57" s="58"/>
      <c r="AR57" s="58"/>
      <c r="AS57" s="58">
        <v>1</v>
      </c>
      <c r="AT57" s="59">
        <v>300</v>
      </c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</row>
    <row r="58" spans="1:65">
      <c r="A58" s="51" t="str">
        <f>VLOOKUP(Table3[[#This Row],[OU]],OU!$A$15:$B$34,2,FALSE)</f>
        <v>RFOs</v>
      </c>
      <c r="B58" s="47" t="s">
        <v>5</v>
      </c>
      <c r="C58" s="47" t="s">
        <v>574</v>
      </c>
      <c r="D58" s="47" t="s">
        <v>642</v>
      </c>
      <c r="E58" s="47" t="s">
        <v>43</v>
      </c>
      <c r="F58" s="47" t="s">
        <v>643</v>
      </c>
      <c r="G5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5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23108000</v>
      </c>
      <c r="I58" s="52" t="str">
        <f>VLOOKUP(Table3[[#This Row],[PSGC]],DISTRICT!$D:$G,4,FALSE)</f>
        <v>3rd</v>
      </c>
      <c r="J58" s="47" t="s">
        <v>578</v>
      </c>
      <c r="K58" s="51" t="str">
        <f>VLOOKUP(Table3[[#This Row],[SPECIFIC COMMODITY]],TAGS!$W$48:$X$53,2,FALSE)</f>
        <v>Corn</v>
      </c>
      <c r="L58" s="51" t="str">
        <f>VLOOKUP(Table3[[#This Row],[PREXC SUB-PROGRAM]],Table5[],2,FALSE)</f>
        <v>TECHNICAL AND SUPPORT SERVICES PROGRAM</v>
      </c>
      <c r="M58" s="51" t="str">
        <f>VLOOKUP(Table3[[#This Row],[COMMODITY PREXC SUB-PROGRAM]],TAGS!$U$54:$V$76,2,FALSE)</f>
        <v>PSS</v>
      </c>
      <c r="N58" s="47" t="s">
        <v>576</v>
      </c>
      <c r="O58" s="54" t="str">
        <f>VLOOKUP(Table3[[#This Row],[PI LEVEL 3]],'PI LEVEL'!A:C,3,FALSE)</f>
        <v>Fertilizers and other soil ammendment distributed</v>
      </c>
      <c r="P58" s="54" t="str">
        <f>VLOOKUP(Table3[[#This Row],[PI LEVEL 3]],Table53729[[Performance Indicator Level 3]:[Performance Indicator Level 1]],2,FALSE)</f>
        <v>Fertilizers distributed</v>
      </c>
      <c r="Q58" s="54" t="str">
        <f>VLOOKUP(Table3[[#This Row],[ACTIVITY]],TAGS!B:P,2,FALSE)</f>
        <v>Organic fertilizer distributed</v>
      </c>
      <c r="R58" s="47" t="s">
        <v>32</v>
      </c>
      <c r="S58" s="51" t="str">
        <f>VLOOKUP(Table3[[#This Row],[ACTIVITY]],TAGS!$B:$P,4,FALSE)</f>
        <v>Soil amendments</v>
      </c>
      <c r="T58" s="51" t="str">
        <f>VLOOKUP(Table3[[#This Row],[ACTIVITY]],TAGS!$B:$P,5,FALSE)</f>
        <v>Soil Fertilization</v>
      </c>
      <c r="U58" s="51" t="str">
        <f>VLOOKUP(Table3[[#This Row],[ACTIVITY]],TAGS!$B:$P,6,FALSE)</f>
        <v>Soil ameliorant</v>
      </c>
      <c r="V58" s="51" t="str">
        <f>VLOOKUP(Table3[[#This Row],[ACTIVITY]],TAGS!$B:$P,7,FALSE)</f>
        <v>NO</v>
      </c>
      <c r="W58" s="51" t="str">
        <f>VLOOKUP(Table3[[#This Row],[ACTIVITY]],TAGS!$B:$P,8,FALSE)</f>
        <v>PAP</v>
      </c>
      <c r="X58" s="51" t="str">
        <f>VLOOKUP(Table3[[#This Row],[ACTIVITY]],TAGS!$B:$P,10,FALSE)</f>
        <v>PIP</v>
      </c>
      <c r="Y58" s="51" t="str">
        <f>VLOOKUP(Table3[[#This Row],[ACTIVITY]],TAGS!$B:$P,11,FALSE)</f>
        <v>PICS</v>
      </c>
      <c r="Z58" s="51" t="str">
        <f>VLOOKUP(Table3[[#This Row],[ACTIVITY]],TAGS!$B:$P,12,FALSE)</f>
        <v>Consolidation</v>
      </c>
      <c r="AA58" s="51" t="str">
        <f>VLOOKUP(Table3[[#This Row],[ACTIVITY]],TAGS!$B:$P,13,FALSE)</f>
        <v>1. Bayanihan Agri Cluster</v>
      </c>
      <c r="AB58" s="51" t="str">
        <f>VLOOKUP(Table3[[#This Row],[ACTIVITY]],TAGS!$B:$P,14,FALSE)</f>
        <v>EXPAND AND IMPROVE AVAILABLE AGRI-FISHERY AREAS FOR INCREASED PRODUCTION</v>
      </c>
      <c r="AC58" s="51" t="str">
        <f>VLOOKUP(Table3[[#This Row],[ACTIVITY]],TAGS!$B:$P,15,FALSE)</f>
        <v>Farm Inputs</v>
      </c>
      <c r="AD58" s="51" t="str">
        <f>VLOOKUP(Table3[[#This Row],[PI LEVEL 3]],'PI LEVEL'!$A:$G,7,FALSE)</f>
        <v>DA-Level Output</v>
      </c>
      <c r="AE58" s="47" t="s">
        <v>577</v>
      </c>
      <c r="AF58" s="51" t="str">
        <f>VLOOKUP(Table3[[#This Row],[ACTIVITY]],TAGS!$B:$P,3,FALSE)</f>
        <v>kilogram</v>
      </c>
      <c r="AG58" s="47" t="s">
        <v>333</v>
      </c>
      <c r="AH58" s="51" t="str">
        <f>VLOOKUP(Table3[[#This Row],[MONTH]],TAGS!$W$67:$Y$81,2,FALSE)</f>
        <v>3RD QTR</v>
      </c>
      <c r="AI58" s="51" t="str">
        <f>VLOOKUP(Table3[[#This Row],[MONTH]],TAGS!$W$67:$Y$81,3,FALSE)</f>
        <v>2ND SEMESTER</v>
      </c>
      <c r="AJ58" s="51">
        <f>VLOOKUP(Table3[[#This Row],[MONTH]],TAGS!$W$67:$Z$81,4,FALSE)</f>
        <v>2025</v>
      </c>
      <c r="AK58" s="47">
        <v>100000</v>
      </c>
      <c r="AL58" s="51" t="str">
        <f>VLOOKUP(Table3[[#This Row],[ACTIVITY]],TAGS!$B:$R,16,FALSE)</f>
        <v>YES</v>
      </c>
      <c r="AM58" s="47">
        <v>200</v>
      </c>
      <c r="AN58" s="47">
        <v>2000</v>
      </c>
      <c r="AO58" s="57">
        <f>SUM(Table3[[#This Row],[MALE BENEFICIARIES]:[FEMALE BENEFICIARIES]])</f>
        <v>0</v>
      </c>
      <c r="AP58" s="58"/>
      <c r="AQ58" s="58"/>
      <c r="AR58" s="58"/>
      <c r="AS58" s="58">
        <v>1</v>
      </c>
      <c r="AT58" s="59">
        <v>200</v>
      </c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</row>
    <row r="59" spans="1:65">
      <c r="A59" s="51" t="str">
        <f>VLOOKUP(Table3[[#This Row],[OU]],OU!$A$15:$B$34,2,FALSE)</f>
        <v>RFOs</v>
      </c>
      <c r="B59" s="47" t="s">
        <v>5</v>
      </c>
      <c r="C59" s="47" t="s">
        <v>574</v>
      </c>
      <c r="D59" s="47"/>
      <c r="E59" s="47" t="s">
        <v>22</v>
      </c>
      <c r="F59" s="47" t="s">
        <v>619</v>
      </c>
      <c r="G5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5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21502000</v>
      </c>
      <c r="I59" s="52" t="str">
        <f>VLOOKUP(Table3[[#This Row],[PSGC]],DISTRICT!$D:$G,4,FALSE)</f>
        <v>3rd</v>
      </c>
      <c r="J59" s="47" t="s">
        <v>578</v>
      </c>
      <c r="K59" s="51" t="str">
        <f>VLOOKUP(Table3[[#This Row],[SPECIFIC COMMODITY]],TAGS!$W$48:$X$53,2,FALSE)</f>
        <v>Corn</v>
      </c>
      <c r="L59" s="51" t="str">
        <f>VLOOKUP(Table3[[#This Row],[PREXC SUB-PROGRAM]],Table5[],2,FALSE)</f>
        <v>TECHNICAL AND SUPPORT SERVICES PROGRAM</v>
      </c>
      <c r="M59" s="51" t="str">
        <f>VLOOKUP(Table3[[#This Row],[COMMODITY PREXC SUB-PROGRAM]],TAGS!$U$54:$V$76,2,FALSE)</f>
        <v>PSS</v>
      </c>
      <c r="N59" s="47" t="s">
        <v>576</v>
      </c>
      <c r="O59" s="54" t="str">
        <f>VLOOKUP(Table3[[#This Row],[PI LEVEL 3]],'PI LEVEL'!A:C,3,FALSE)</f>
        <v>Seeds distributed</v>
      </c>
      <c r="P59" s="54" t="str">
        <f>VLOOKUP(Table3[[#This Row],[PI LEVEL 3]],Table53729[[Performance Indicator Level 3]:[Performance Indicator Level 1]],2,FALSE)</f>
        <v>Corn Seeds distributed</v>
      </c>
      <c r="Q59" s="54" t="str">
        <f>VLOOKUP(Table3[[#This Row],[ACTIVITY]],TAGS!B:P,2,FALSE)</f>
        <v>Yellow Corn Seeds distributed</v>
      </c>
      <c r="R59" s="47" t="s">
        <v>34</v>
      </c>
      <c r="S59" s="51" t="str">
        <f>VLOOKUP(Table3[[#This Row],[ACTIVITY]],TAGS!$B:$P,4,FALSE)</f>
        <v>Yellow Corn Production Enhancement Project</v>
      </c>
      <c r="T59" s="51" t="str">
        <f>VLOOKUP(Table3[[#This Row],[ACTIVITY]],TAGS!$B:$P,5,FALSE)</f>
        <v>Corn Seed Assistance</v>
      </c>
      <c r="U59" s="51" t="str">
        <f>VLOOKUP(Table3[[#This Row],[ACTIVITY]],TAGS!$B:$P,6,FALSE)</f>
        <v>Yellow corn seeds</v>
      </c>
      <c r="V59" s="51" t="str">
        <f>VLOOKUP(Table3[[#This Row],[ACTIVITY]],TAGS!$B:$P,7,FALSE)</f>
        <v>NO</v>
      </c>
      <c r="W59" s="51" t="str">
        <f>VLOOKUP(Table3[[#This Row],[ACTIVITY]],TAGS!$B:$P,8,FALSE)</f>
        <v>PAP</v>
      </c>
      <c r="X59" s="51" t="str">
        <f>VLOOKUP(Table3[[#This Row],[ACTIVITY]],TAGS!$B:$P,10,FALSE)</f>
        <v>PIP</v>
      </c>
      <c r="Y59" s="51" t="str">
        <f>VLOOKUP(Table3[[#This Row],[ACTIVITY]],TAGS!$B:$P,11,FALSE)</f>
        <v>PICS</v>
      </c>
      <c r="Z59" s="51" t="str">
        <f>VLOOKUP(Table3[[#This Row],[ACTIVITY]],TAGS!$B:$P,12,FALSE)</f>
        <v>Consolidation</v>
      </c>
      <c r="AA59" s="51" t="str">
        <f>VLOOKUP(Table3[[#This Row],[ACTIVITY]],TAGS!$B:$P,13,FALSE)</f>
        <v>1. Bayanihan Agri Cluster</v>
      </c>
      <c r="AB59" s="51" t="str">
        <f>VLOOKUP(Table3[[#This Row],[ACTIVITY]],TAGS!$B:$P,14,FALSE)</f>
        <v>EXPAND AND IMPROVE AVAILABLE AGRI-FISHERY AREAS FOR INCREASED PRODUCTION</v>
      </c>
      <c r="AC59" s="51" t="str">
        <f>VLOOKUP(Table3[[#This Row],[ACTIVITY]],TAGS!$B:$P,15,FALSE)</f>
        <v>Farm Inputs</v>
      </c>
      <c r="AD59" s="51" t="str">
        <f>VLOOKUP(Table3[[#This Row],[PI LEVEL 3]],'PI LEVEL'!$A:$G,7,FALSE)</f>
        <v>DA-Level Output</v>
      </c>
      <c r="AE59" s="47" t="s">
        <v>577</v>
      </c>
      <c r="AF59" s="51" t="str">
        <f>VLOOKUP(Table3[[#This Row],[ACTIVITY]],TAGS!$B:$P,3,FALSE)</f>
        <v>kilogram</v>
      </c>
      <c r="AG59" s="47" t="s">
        <v>334</v>
      </c>
      <c r="AH59" s="51" t="str">
        <f>VLOOKUP(Table3[[#This Row],[MONTH]],TAGS!$W$67:$Y$81,2,FALSE)</f>
        <v>3RD QTR</v>
      </c>
      <c r="AI59" s="51" t="str">
        <f>VLOOKUP(Table3[[#This Row],[MONTH]],TAGS!$W$67:$Y$81,3,FALSE)</f>
        <v>2ND SEMESTER</v>
      </c>
      <c r="AJ59" s="51">
        <f>VLOOKUP(Table3[[#This Row],[MONTH]],TAGS!$W$67:$Z$81,4,FALSE)</f>
        <v>2025</v>
      </c>
      <c r="AK59" s="47">
        <v>5814</v>
      </c>
      <c r="AL59" s="51" t="str">
        <f>VLOOKUP(Table3[[#This Row],[ACTIVITY]],TAGS!$B:$R,16,FALSE)</f>
        <v>YES</v>
      </c>
      <c r="AM59" s="47">
        <v>323</v>
      </c>
      <c r="AN59" s="47">
        <v>3876</v>
      </c>
      <c r="AO59" s="57">
        <f>SUM(Table3[[#This Row],[MALE BENEFICIARIES]:[FEMALE BENEFICIARIES]])</f>
        <v>0</v>
      </c>
      <c r="AP59" s="58"/>
      <c r="AQ59" s="58"/>
      <c r="AR59" s="58"/>
      <c r="AS59" s="58">
        <v>1</v>
      </c>
      <c r="AT59" s="59">
        <v>323</v>
      </c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</row>
    <row r="60" spans="1:65">
      <c r="A60" s="51" t="str">
        <f>VLOOKUP(Table3[[#This Row],[OU]],OU!$A$15:$B$34,2,FALSE)</f>
        <v>RFOs</v>
      </c>
      <c r="B60" s="47" t="s">
        <v>5</v>
      </c>
      <c r="C60" s="47" t="s">
        <v>574</v>
      </c>
      <c r="D60" s="47"/>
      <c r="E60" s="47" t="s">
        <v>22</v>
      </c>
      <c r="F60" s="47" t="s">
        <v>644</v>
      </c>
      <c r="G6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6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21506000</v>
      </c>
      <c r="I60" s="52" t="str">
        <f>VLOOKUP(Table3[[#This Row],[PSGC]],DISTRICT!$D:$G,4,FALSE)</f>
        <v>1st</v>
      </c>
      <c r="J60" s="47" t="s">
        <v>578</v>
      </c>
      <c r="K60" s="51" t="str">
        <f>VLOOKUP(Table3[[#This Row],[SPECIFIC COMMODITY]],TAGS!$W$48:$X$53,2,FALSE)</f>
        <v>Corn</v>
      </c>
      <c r="L60" s="51" t="str">
        <f>VLOOKUP(Table3[[#This Row],[PREXC SUB-PROGRAM]],Table5[],2,FALSE)</f>
        <v>TECHNICAL AND SUPPORT SERVICES PROGRAM</v>
      </c>
      <c r="M60" s="51" t="str">
        <f>VLOOKUP(Table3[[#This Row],[COMMODITY PREXC SUB-PROGRAM]],TAGS!$U$54:$V$76,2,FALSE)</f>
        <v>PSS</v>
      </c>
      <c r="N60" s="47" t="s">
        <v>576</v>
      </c>
      <c r="O60" s="54" t="str">
        <f>VLOOKUP(Table3[[#This Row],[PI LEVEL 3]],'PI LEVEL'!A:C,3,FALSE)</f>
        <v>Seeds distributed</v>
      </c>
      <c r="P60" s="54" t="str">
        <f>VLOOKUP(Table3[[#This Row],[PI LEVEL 3]],Table53729[[Performance Indicator Level 3]:[Performance Indicator Level 1]],2,FALSE)</f>
        <v>Corn Seeds distributed</v>
      </c>
      <c r="Q60" s="54" t="str">
        <f>VLOOKUP(Table3[[#This Row],[ACTIVITY]],TAGS!B:P,2,FALSE)</f>
        <v>Yellow Corn Seeds distributed</v>
      </c>
      <c r="R60" s="47" t="s">
        <v>34</v>
      </c>
      <c r="S60" s="51" t="str">
        <f>VLOOKUP(Table3[[#This Row],[ACTIVITY]],TAGS!$B:$P,4,FALSE)</f>
        <v>Yellow Corn Production Enhancement Project</v>
      </c>
      <c r="T60" s="51" t="str">
        <f>VLOOKUP(Table3[[#This Row],[ACTIVITY]],TAGS!$B:$P,5,FALSE)</f>
        <v>Corn Seed Assistance</v>
      </c>
      <c r="U60" s="51" t="str">
        <f>VLOOKUP(Table3[[#This Row],[ACTIVITY]],TAGS!$B:$P,6,FALSE)</f>
        <v>Yellow corn seeds</v>
      </c>
      <c r="V60" s="51" t="str">
        <f>VLOOKUP(Table3[[#This Row],[ACTIVITY]],TAGS!$B:$P,7,FALSE)</f>
        <v>NO</v>
      </c>
      <c r="W60" s="51" t="str">
        <f>VLOOKUP(Table3[[#This Row],[ACTIVITY]],TAGS!$B:$P,8,FALSE)</f>
        <v>PAP</v>
      </c>
      <c r="X60" s="51" t="str">
        <f>VLOOKUP(Table3[[#This Row],[ACTIVITY]],TAGS!$B:$P,10,FALSE)</f>
        <v>PIP</v>
      </c>
      <c r="Y60" s="51" t="str">
        <f>VLOOKUP(Table3[[#This Row],[ACTIVITY]],TAGS!$B:$P,11,FALSE)</f>
        <v>PICS</v>
      </c>
      <c r="Z60" s="51" t="str">
        <f>VLOOKUP(Table3[[#This Row],[ACTIVITY]],TAGS!$B:$P,12,FALSE)</f>
        <v>Consolidation</v>
      </c>
      <c r="AA60" s="51" t="str">
        <f>VLOOKUP(Table3[[#This Row],[ACTIVITY]],TAGS!$B:$P,13,FALSE)</f>
        <v>1. Bayanihan Agri Cluster</v>
      </c>
      <c r="AB60" s="51" t="str">
        <f>VLOOKUP(Table3[[#This Row],[ACTIVITY]],TAGS!$B:$P,14,FALSE)</f>
        <v>EXPAND AND IMPROVE AVAILABLE AGRI-FISHERY AREAS FOR INCREASED PRODUCTION</v>
      </c>
      <c r="AC60" s="51" t="str">
        <f>VLOOKUP(Table3[[#This Row],[ACTIVITY]],TAGS!$B:$P,15,FALSE)</f>
        <v>Farm Inputs</v>
      </c>
      <c r="AD60" s="51" t="str">
        <f>VLOOKUP(Table3[[#This Row],[PI LEVEL 3]],'PI LEVEL'!$A:$G,7,FALSE)</f>
        <v>DA-Level Output</v>
      </c>
      <c r="AE60" s="47" t="s">
        <v>577</v>
      </c>
      <c r="AF60" s="51" t="str">
        <f>VLOOKUP(Table3[[#This Row],[ACTIVITY]],TAGS!$B:$P,3,FALSE)</f>
        <v>kilogram</v>
      </c>
      <c r="AG60" s="47" t="s">
        <v>334</v>
      </c>
      <c r="AH60" s="51" t="str">
        <f>VLOOKUP(Table3[[#This Row],[MONTH]],TAGS!$W$67:$Y$81,2,FALSE)</f>
        <v>3RD QTR</v>
      </c>
      <c r="AI60" s="51" t="str">
        <f>VLOOKUP(Table3[[#This Row],[MONTH]],TAGS!$W$67:$Y$81,3,FALSE)</f>
        <v>2ND SEMESTER</v>
      </c>
      <c r="AJ60" s="51">
        <f>VLOOKUP(Table3[[#This Row],[MONTH]],TAGS!$W$67:$Z$81,4,FALSE)</f>
        <v>2025</v>
      </c>
      <c r="AK60" s="47">
        <v>20880</v>
      </c>
      <c r="AL60" s="51" t="str">
        <f>VLOOKUP(Table3[[#This Row],[ACTIVITY]],TAGS!$B:$R,16,FALSE)</f>
        <v>YES</v>
      </c>
      <c r="AM60" s="47">
        <v>1160</v>
      </c>
      <c r="AN60" s="47">
        <v>13920</v>
      </c>
      <c r="AO60" s="57">
        <f>SUM(Table3[[#This Row],[MALE BENEFICIARIES]:[FEMALE BENEFICIARIES]])</f>
        <v>0</v>
      </c>
      <c r="AP60" s="58"/>
      <c r="AQ60" s="58"/>
      <c r="AR60" s="58"/>
      <c r="AS60" s="58">
        <v>2</v>
      </c>
      <c r="AT60" s="59">
        <v>1160</v>
      </c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</row>
    <row r="61" spans="1:65">
      <c r="A61" s="51" t="str">
        <f>VLOOKUP(Table3[[#This Row],[OU]],OU!$A$15:$B$34,2,FALSE)</f>
        <v>RFOs</v>
      </c>
      <c r="B61" s="47" t="s">
        <v>5</v>
      </c>
      <c r="C61" s="47" t="s">
        <v>574</v>
      </c>
      <c r="D61" s="47"/>
      <c r="E61" s="47" t="s">
        <v>22</v>
      </c>
      <c r="F61" s="47" t="s">
        <v>645</v>
      </c>
      <c r="G6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6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21508000</v>
      </c>
      <c r="I61" s="52" t="str">
        <f>VLOOKUP(Table3[[#This Row],[PSGC]],DISTRICT!$D:$G,4,FALSE)</f>
        <v>3rd</v>
      </c>
      <c r="J61" s="47" t="s">
        <v>578</v>
      </c>
      <c r="K61" s="51" t="str">
        <f>VLOOKUP(Table3[[#This Row],[SPECIFIC COMMODITY]],TAGS!$W$48:$X$53,2,FALSE)</f>
        <v>Corn</v>
      </c>
      <c r="L61" s="51" t="str">
        <f>VLOOKUP(Table3[[#This Row],[PREXC SUB-PROGRAM]],Table5[],2,FALSE)</f>
        <v>TECHNICAL AND SUPPORT SERVICES PROGRAM</v>
      </c>
      <c r="M61" s="51" t="str">
        <f>VLOOKUP(Table3[[#This Row],[COMMODITY PREXC SUB-PROGRAM]],TAGS!$U$54:$V$76,2,FALSE)</f>
        <v>PSS</v>
      </c>
      <c r="N61" s="47" t="s">
        <v>576</v>
      </c>
      <c r="O61" s="54" t="str">
        <f>VLOOKUP(Table3[[#This Row],[PI LEVEL 3]],'PI LEVEL'!A:C,3,FALSE)</f>
        <v>Seeds distributed</v>
      </c>
      <c r="P61" s="54" t="str">
        <f>VLOOKUP(Table3[[#This Row],[PI LEVEL 3]],Table53729[[Performance Indicator Level 3]:[Performance Indicator Level 1]],2,FALSE)</f>
        <v>Corn Seeds distributed</v>
      </c>
      <c r="Q61" s="54" t="str">
        <f>VLOOKUP(Table3[[#This Row],[ACTIVITY]],TAGS!B:P,2,FALSE)</f>
        <v>Yellow Corn Seeds distributed</v>
      </c>
      <c r="R61" s="47" t="s">
        <v>34</v>
      </c>
      <c r="S61" s="51" t="str">
        <f>VLOOKUP(Table3[[#This Row],[ACTIVITY]],TAGS!$B:$P,4,FALSE)</f>
        <v>Yellow Corn Production Enhancement Project</v>
      </c>
      <c r="T61" s="51" t="str">
        <f>VLOOKUP(Table3[[#This Row],[ACTIVITY]],TAGS!$B:$P,5,FALSE)</f>
        <v>Corn Seed Assistance</v>
      </c>
      <c r="U61" s="51" t="str">
        <f>VLOOKUP(Table3[[#This Row],[ACTIVITY]],TAGS!$B:$P,6,FALSE)</f>
        <v>Yellow corn seeds</v>
      </c>
      <c r="V61" s="51" t="str">
        <f>VLOOKUP(Table3[[#This Row],[ACTIVITY]],TAGS!$B:$P,7,FALSE)</f>
        <v>NO</v>
      </c>
      <c r="W61" s="51" t="str">
        <f>VLOOKUP(Table3[[#This Row],[ACTIVITY]],TAGS!$B:$P,8,FALSE)</f>
        <v>PAP</v>
      </c>
      <c r="X61" s="51" t="str">
        <f>VLOOKUP(Table3[[#This Row],[ACTIVITY]],TAGS!$B:$P,10,FALSE)</f>
        <v>PIP</v>
      </c>
      <c r="Y61" s="51" t="str">
        <f>VLOOKUP(Table3[[#This Row],[ACTIVITY]],TAGS!$B:$P,11,FALSE)</f>
        <v>PICS</v>
      </c>
      <c r="Z61" s="51" t="str">
        <f>VLOOKUP(Table3[[#This Row],[ACTIVITY]],TAGS!$B:$P,12,FALSE)</f>
        <v>Consolidation</v>
      </c>
      <c r="AA61" s="51" t="str">
        <f>VLOOKUP(Table3[[#This Row],[ACTIVITY]],TAGS!$B:$P,13,FALSE)</f>
        <v>1. Bayanihan Agri Cluster</v>
      </c>
      <c r="AB61" s="51" t="str">
        <f>VLOOKUP(Table3[[#This Row],[ACTIVITY]],TAGS!$B:$P,14,FALSE)</f>
        <v>EXPAND AND IMPROVE AVAILABLE AGRI-FISHERY AREAS FOR INCREASED PRODUCTION</v>
      </c>
      <c r="AC61" s="51" t="str">
        <f>VLOOKUP(Table3[[#This Row],[ACTIVITY]],TAGS!$B:$P,15,FALSE)</f>
        <v>Farm Inputs</v>
      </c>
      <c r="AD61" s="51" t="str">
        <f>VLOOKUP(Table3[[#This Row],[PI LEVEL 3]],'PI LEVEL'!$A:$G,7,FALSE)</f>
        <v>DA-Level Output</v>
      </c>
      <c r="AE61" s="47" t="s">
        <v>577</v>
      </c>
      <c r="AF61" s="51" t="str">
        <f>VLOOKUP(Table3[[#This Row],[ACTIVITY]],TAGS!$B:$P,3,FALSE)</f>
        <v>kilogram</v>
      </c>
      <c r="AG61" s="47" t="s">
        <v>334</v>
      </c>
      <c r="AH61" s="51" t="str">
        <f>VLOOKUP(Table3[[#This Row],[MONTH]],TAGS!$W$67:$Y$81,2,FALSE)</f>
        <v>3RD QTR</v>
      </c>
      <c r="AI61" s="51" t="str">
        <f>VLOOKUP(Table3[[#This Row],[MONTH]],TAGS!$W$67:$Y$81,3,FALSE)</f>
        <v>2ND SEMESTER</v>
      </c>
      <c r="AJ61" s="51">
        <f>VLOOKUP(Table3[[#This Row],[MONTH]],TAGS!$W$67:$Z$81,4,FALSE)</f>
        <v>2025</v>
      </c>
      <c r="AK61" s="47">
        <v>630</v>
      </c>
      <c r="AL61" s="51" t="str">
        <f>VLOOKUP(Table3[[#This Row],[ACTIVITY]],TAGS!$B:$R,16,FALSE)</f>
        <v>YES</v>
      </c>
      <c r="AM61" s="47">
        <v>35</v>
      </c>
      <c r="AN61" s="47">
        <v>420</v>
      </c>
      <c r="AO61" s="57">
        <f>SUM(Table3[[#This Row],[MALE BENEFICIARIES]:[FEMALE BENEFICIARIES]])</f>
        <v>0</v>
      </c>
      <c r="AP61" s="58"/>
      <c r="AQ61" s="58"/>
      <c r="AR61" s="58"/>
      <c r="AS61" s="58">
        <v>1</v>
      </c>
      <c r="AT61" s="59">
        <v>35</v>
      </c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</row>
    <row r="62" spans="1:65">
      <c r="A62" s="51" t="str">
        <f>VLOOKUP(Table3[[#This Row],[OU]],OU!$A$15:$B$34,2,FALSE)</f>
        <v>RFOs</v>
      </c>
      <c r="B62" s="47" t="s">
        <v>5</v>
      </c>
      <c r="C62" s="47" t="s">
        <v>574</v>
      </c>
      <c r="D62" s="47"/>
      <c r="E62" s="47" t="s">
        <v>22</v>
      </c>
      <c r="F62" s="47" t="s">
        <v>639</v>
      </c>
      <c r="G6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6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21513000</v>
      </c>
      <c r="I62" s="52" t="str">
        <f>VLOOKUP(Table3[[#This Row],[PSGC]],DISTRICT!$D:$G,4,FALSE)</f>
        <v>1st</v>
      </c>
      <c r="J62" s="47" t="s">
        <v>578</v>
      </c>
      <c r="K62" s="51" t="str">
        <f>VLOOKUP(Table3[[#This Row],[SPECIFIC COMMODITY]],TAGS!$W$48:$X$53,2,FALSE)</f>
        <v>Corn</v>
      </c>
      <c r="L62" s="51" t="str">
        <f>VLOOKUP(Table3[[#This Row],[PREXC SUB-PROGRAM]],Table5[],2,FALSE)</f>
        <v>TECHNICAL AND SUPPORT SERVICES PROGRAM</v>
      </c>
      <c r="M62" s="51" t="str">
        <f>VLOOKUP(Table3[[#This Row],[COMMODITY PREXC SUB-PROGRAM]],TAGS!$U$54:$V$76,2,FALSE)</f>
        <v>PSS</v>
      </c>
      <c r="N62" s="47" t="s">
        <v>576</v>
      </c>
      <c r="O62" s="54" t="str">
        <f>VLOOKUP(Table3[[#This Row],[PI LEVEL 3]],'PI LEVEL'!A:C,3,FALSE)</f>
        <v>Seeds distributed</v>
      </c>
      <c r="P62" s="54" t="str">
        <f>VLOOKUP(Table3[[#This Row],[PI LEVEL 3]],Table53729[[Performance Indicator Level 3]:[Performance Indicator Level 1]],2,FALSE)</f>
        <v>Corn Seeds distributed</v>
      </c>
      <c r="Q62" s="54" t="str">
        <f>VLOOKUP(Table3[[#This Row],[ACTIVITY]],TAGS!B:P,2,FALSE)</f>
        <v>Yellow Corn Seeds distributed</v>
      </c>
      <c r="R62" s="47" t="s">
        <v>34</v>
      </c>
      <c r="S62" s="51" t="str">
        <f>VLOOKUP(Table3[[#This Row],[ACTIVITY]],TAGS!$B:$P,4,FALSE)</f>
        <v>Yellow Corn Production Enhancement Project</v>
      </c>
      <c r="T62" s="51" t="str">
        <f>VLOOKUP(Table3[[#This Row],[ACTIVITY]],TAGS!$B:$P,5,FALSE)</f>
        <v>Corn Seed Assistance</v>
      </c>
      <c r="U62" s="51" t="str">
        <f>VLOOKUP(Table3[[#This Row],[ACTIVITY]],TAGS!$B:$P,6,FALSE)</f>
        <v>Yellow corn seeds</v>
      </c>
      <c r="V62" s="51" t="str">
        <f>VLOOKUP(Table3[[#This Row],[ACTIVITY]],TAGS!$B:$P,7,FALSE)</f>
        <v>NO</v>
      </c>
      <c r="W62" s="51" t="str">
        <f>VLOOKUP(Table3[[#This Row],[ACTIVITY]],TAGS!$B:$P,8,FALSE)</f>
        <v>PAP</v>
      </c>
      <c r="X62" s="51" t="str">
        <f>VLOOKUP(Table3[[#This Row],[ACTIVITY]],TAGS!$B:$P,10,FALSE)</f>
        <v>PIP</v>
      </c>
      <c r="Y62" s="51" t="str">
        <f>VLOOKUP(Table3[[#This Row],[ACTIVITY]],TAGS!$B:$P,11,FALSE)</f>
        <v>PICS</v>
      </c>
      <c r="Z62" s="51" t="str">
        <f>VLOOKUP(Table3[[#This Row],[ACTIVITY]],TAGS!$B:$P,12,FALSE)</f>
        <v>Consolidation</v>
      </c>
      <c r="AA62" s="51" t="str">
        <f>VLOOKUP(Table3[[#This Row],[ACTIVITY]],TAGS!$B:$P,13,FALSE)</f>
        <v>1. Bayanihan Agri Cluster</v>
      </c>
      <c r="AB62" s="51" t="str">
        <f>VLOOKUP(Table3[[#This Row],[ACTIVITY]],TAGS!$B:$P,14,FALSE)</f>
        <v>EXPAND AND IMPROVE AVAILABLE AGRI-FISHERY AREAS FOR INCREASED PRODUCTION</v>
      </c>
      <c r="AC62" s="51" t="str">
        <f>VLOOKUP(Table3[[#This Row],[ACTIVITY]],TAGS!$B:$P,15,FALSE)</f>
        <v>Farm Inputs</v>
      </c>
      <c r="AD62" s="51" t="str">
        <f>VLOOKUP(Table3[[#This Row],[PI LEVEL 3]],'PI LEVEL'!$A:$G,7,FALSE)</f>
        <v>DA-Level Output</v>
      </c>
      <c r="AE62" s="47" t="s">
        <v>577</v>
      </c>
      <c r="AF62" s="51" t="str">
        <f>VLOOKUP(Table3[[#This Row],[ACTIVITY]],TAGS!$B:$P,3,FALSE)</f>
        <v>kilogram</v>
      </c>
      <c r="AG62" s="47" t="s">
        <v>334</v>
      </c>
      <c r="AH62" s="51" t="str">
        <f>VLOOKUP(Table3[[#This Row],[MONTH]],TAGS!$W$67:$Y$81,2,FALSE)</f>
        <v>3RD QTR</v>
      </c>
      <c r="AI62" s="51" t="str">
        <f>VLOOKUP(Table3[[#This Row],[MONTH]],TAGS!$W$67:$Y$81,3,FALSE)</f>
        <v>2ND SEMESTER</v>
      </c>
      <c r="AJ62" s="51">
        <f>VLOOKUP(Table3[[#This Row],[MONTH]],TAGS!$W$67:$Z$81,4,FALSE)</f>
        <v>2025</v>
      </c>
      <c r="AK62" s="47">
        <v>9774</v>
      </c>
      <c r="AL62" s="51" t="str">
        <f>VLOOKUP(Table3[[#This Row],[ACTIVITY]],TAGS!$B:$R,16,FALSE)</f>
        <v>YES</v>
      </c>
      <c r="AM62" s="47">
        <v>543</v>
      </c>
      <c r="AN62" s="47">
        <v>6516</v>
      </c>
      <c r="AO62" s="57">
        <f>SUM(Table3[[#This Row],[MALE BENEFICIARIES]:[FEMALE BENEFICIARIES]])</f>
        <v>0</v>
      </c>
      <c r="AP62" s="58"/>
      <c r="AQ62" s="58"/>
      <c r="AR62" s="58"/>
      <c r="AS62" s="58">
        <v>1</v>
      </c>
      <c r="AT62" s="59">
        <v>543</v>
      </c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</row>
    <row r="63" spans="1:65">
      <c r="A63" s="51" t="str">
        <f>VLOOKUP(Table3[[#This Row],[OU]],OU!$A$15:$B$34,2,FALSE)</f>
        <v>RFOs</v>
      </c>
      <c r="B63" s="47" t="s">
        <v>5</v>
      </c>
      <c r="C63" s="47" t="s">
        <v>574</v>
      </c>
      <c r="D63" s="47"/>
      <c r="E63" s="47" t="s">
        <v>22</v>
      </c>
      <c r="F63" s="47" t="s">
        <v>646</v>
      </c>
      <c r="G6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6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21516000</v>
      </c>
      <c r="I63" s="52" t="str">
        <f>VLOOKUP(Table3[[#This Row],[PSGC]],DISTRICT!$D:$G,4,FALSE)</f>
        <v>1st</v>
      </c>
      <c r="J63" s="47" t="s">
        <v>578</v>
      </c>
      <c r="K63" s="51" t="str">
        <f>VLOOKUP(Table3[[#This Row],[SPECIFIC COMMODITY]],TAGS!$W$48:$X$53,2,FALSE)</f>
        <v>Corn</v>
      </c>
      <c r="L63" s="51" t="str">
        <f>VLOOKUP(Table3[[#This Row],[PREXC SUB-PROGRAM]],Table5[],2,FALSE)</f>
        <v>TECHNICAL AND SUPPORT SERVICES PROGRAM</v>
      </c>
      <c r="M63" s="51" t="str">
        <f>VLOOKUP(Table3[[#This Row],[COMMODITY PREXC SUB-PROGRAM]],TAGS!$U$54:$V$76,2,FALSE)</f>
        <v>PSS</v>
      </c>
      <c r="N63" s="47" t="s">
        <v>576</v>
      </c>
      <c r="O63" s="54" t="str">
        <f>VLOOKUP(Table3[[#This Row],[PI LEVEL 3]],'PI LEVEL'!A:C,3,FALSE)</f>
        <v>Seeds distributed</v>
      </c>
      <c r="P63" s="54" t="str">
        <f>VLOOKUP(Table3[[#This Row],[PI LEVEL 3]],Table53729[[Performance Indicator Level 3]:[Performance Indicator Level 1]],2,FALSE)</f>
        <v>Corn Seeds distributed</v>
      </c>
      <c r="Q63" s="54" t="str">
        <f>VLOOKUP(Table3[[#This Row],[ACTIVITY]],TAGS!B:P,2,FALSE)</f>
        <v>Yellow Corn Seeds distributed</v>
      </c>
      <c r="R63" s="47" t="s">
        <v>34</v>
      </c>
      <c r="S63" s="51" t="str">
        <f>VLOOKUP(Table3[[#This Row],[ACTIVITY]],TAGS!$B:$P,4,FALSE)</f>
        <v>Yellow Corn Production Enhancement Project</v>
      </c>
      <c r="T63" s="51" t="str">
        <f>VLOOKUP(Table3[[#This Row],[ACTIVITY]],TAGS!$B:$P,5,FALSE)</f>
        <v>Corn Seed Assistance</v>
      </c>
      <c r="U63" s="51" t="str">
        <f>VLOOKUP(Table3[[#This Row],[ACTIVITY]],TAGS!$B:$P,6,FALSE)</f>
        <v>Yellow corn seeds</v>
      </c>
      <c r="V63" s="51" t="str">
        <f>VLOOKUP(Table3[[#This Row],[ACTIVITY]],TAGS!$B:$P,7,FALSE)</f>
        <v>NO</v>
      </c>
      <c r="W63" s="51" t="str">
        <f>VLOOKUP(Table3[[#This Row],[ACTIVITY]],TAGS!$B:$P,8,FALSE)</f>
        <v>PAP</v>
      </c>
      <c r="X63" s="51" t="str">
        <f>VLOOKUP(Table3[[#This Row],[ACTIVITY]],TAGS!$B:$P,10,FALSE)</f>
        <v>PIP</v>
      </c>
      <c r="Y63" s="51" t="str">
        <f>VLOOKUP(Table3[[#This Row],[ACTIVITY]],TAGS!$B:$P,11,FALSE)</f>
        <v>PICS</v>
      </c>
      <c r="Z63" s="51" t="str">
        <f>VLOOKUP(Table3[[#This Row],[ACTIVITY]],TAGS!$B:$P,12,FALSE)</f>
        <v>Consolidation</v>
      </c>
      <c r="AA63" s="51" t="str">
        <f>VLOOKUP(Table3[[#This Row],[ACTIVITY]],TAGS!$B:$P,13,FALSE)</f>
        <v>1. Bayanihan Agri Cluster</v>
      </c>
      <c r="AB63" s="51" t="str">
        <f>VLOOKUP(Table3[[#This Row],[ACTIVITY]],TAGS!$B:$P,14,FALSE)</f>
        <v>EXPAND AND IMPROVE AVAILABLE AGRI-FISHERY AREAS FOR INCREASED PRODUCTION</v>
      </c>
      <c r="AC63" s="51" t="str">
        <f>VLOOKUP(Table3[[#This Row],[ACTIVITY]],TAGS!$B:$P,15,FALSE)</f>
        <v>Farm Inputs</v>
      </c>
      <c r="AD63" s="51" t="str">
        <f>VLOOKUP(Table3[[#This Row],[PI LEVEL 3]],'PI LEVEL'!$A:$G,7,FALSE)</f>
        <v>DA-Level Output</v>
      </c>
      <c r="AE63" s="47" t="s">
        <v>577</v>
      </c>
      <c r="AF63" s="51" t="str">
        <f>VLOOKUP(Table3[[#This Row],[ACTIVITY]],TAGS!$B:$P,3,FALSE)</f>
        <v>kilogram</v>
      </c>
      <c r="AG63" s="47" t="s">
        <v>334</v>
      </c>
      <c r="AH63" s="51" t="str">
        <f>VLOOKUP(Table3[[#This Row],[MONTH]],TAGS!$W$67:$Y$81,2,FALSE)</f>
        <v>3RD QTR</v>
      </c>
      <c r="AI63" s="51" t="str">
        <f>VLOOKUP(Table3[[#This Row],[MONTH]],TAGS!$W$67:$Y$81,3,FALSE)</f>
        <v>2ND SEMESTER</v>
      </c>
      <c r="AJ63" s="51">
        <f>VLOOKUP(Table3[[#This Row],[MONTH]],TAGS!$W$67:$Z$81,4,FALSE)</f>
        <v>2025</v>
      </c>
      <c r="AK63" s="47">
        <v>5220</v>
      </c>
      <c r="AL63" s="51" t="str">
        <f>VLOOKUP(Table3[[#This Row],[ACTIVITY]],TAGS!$B:$R,16,FALSE)</f>
        <v>YES</v>
      </c>
      <c r="AM63" s="47">
        <v>290</v>
      </c>
      <c r="AN63" s="47">
        <v>3480</v>
      </c>
      <c r="AO63" s="57">
        <f>SUM(Table3[[#This Row],[MALE BENEFICIARIES]:[FEMALE BENEFICIARIES]])</f>
        <v>0</v>
      </c>
      <c r="AP63" s="58"/>
      <c r="AQ63" s="58"/>
      <c r="AR63" s="58"/>
      <c r="AS63" s="58">
        <v>1</v>
      </c>
      <c r="AT63" s="59">
        <v>290</v>
      </c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</row>
    <row r="64" spans="1:65">
      <c r="A64" s="51" t="str">
        <f>VLOOKUP(Table3[[#This Row],[OU]],OU!$A$15:$B$34,2,FALSE)</f>
        <v>RFOs</v>
      </c>
      <c r="B64" s="47" t="s">
        <v>5</v>
      </c>
      <c r="C64" s="47" t="s">
        <v>574</v>
      </c>
      <c r="D64" s="47"/>
      <c r="E64" s="47" t="s">
        <v>22</v>
      </c>
      <c r="F64" s="47" t="s">
        <v>647</v>
      </c>
      <c r="G6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6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21523000</v>
      </c>
      <c r="I64" s="52" t="str">
        <f>VLOOKUP(Table3[[#This Row],[PSGC]],DISTRICT!$D:$G,4,FALSE)</f>
        <v>2nd</v>
      </c>
      <c r="J64" s="47" t="s">
        <v>578</v>
      </c>
      <c r="K64" s="51" t="str">
        <f>VLOOKUP(Table3[[#This Row],[SPECIFIC COMMODITY]],TAGS!$W$48:$X$53,2,FALSE)</f>
        <v>Corn</v>
      </c>
      <c r="L64" s="51" t="str">
        <f>VLOOKUP(Table3[[#This Row],[PREXC SUB-PROGRAM]],Table5[],2,FALSE)</f>
        <v>TECHNICAL AND SUPPORT SERVICES PROGRAM</v>
      </c>
      <c r="M64" s="51" t="str">
        <f>VLOOKUP(Table3[[#This Row],[COMMODITY PREXC SUB-PROGRAM]],TAGS!$U$54:$V$76,2,FALSE)</f>
        <v>PSS</v>
      </c>
      <c r="N64" s="47" t="s">
        <v>576</v>
      </c>
      <c r="O64" s="54" t="str">
        <f>VLOOKUP(Table3[[#This Row],[PI LEVEL 3]],'PI LEVEL'!A:C,3,FALSE)</f>
        <v>Seeds distributed</v>
      </c>
      <c r="P64" s="54" t="str">
        <f>VLOOKUP(Table3[[#This Row],[PI LEVEL 3]],Table53729[[Performance Indicator Level 3]:[Performance Indicator Level 1]],2,FALSE)</f>
        <v>Corn Seeds distributed</v>
      </c>
      <c r="Q64" s="54" t="str">
        <f>VLOOKUP(Table3[[#This Row],[ACTIVITY]],TAGS!B:P,2,FALSE)</f>
        <v>Yellow Corn Seeds distributed</v>
      </c>
      <c r="R64" s="47" t="s">
        <v>34</v>
      </c>
      <c r="S64" s="51" t="str">
        <f>VLOOKUP(Table3[[#This Row],[ACTIVITY]],TAGS!$B:$P,4,FALSE)</f>
        <v>Yellow Corn Production Enhancement Project</v>
      </c>
      <c r="T64" s="51" t="str">
        <f>VLOOKUP(Table3[[#This Row],[ACTIVITY]],TAGS!$B:$P,5,FALSE)</f>
        <v>Corn Seed Assistance</v>
      </c>
      <c r="U64" s="51" t="str">
        <f>VLOOKUP(Table3[[#This Row],[ACTIVITY]],TAGS!$B:$P,6,FALSE)</f>
        <v>Yellow corn seeds</v>
      </c>
      <c r="V64" s="51" t="str">
        <f>VLOOKUP(Table3[[#This Row],[ACTIVITY]],TAGS!$B:$P,7,FALSE)</f>
        <v>NO</v>
      </c>
      <c r="W64" s="51" t="str">
        <f>VLOOKUP(Table3[[#This Row],[ACTIVITY]],TAGS!$B:$P,8,FALSE)</f>
        <v>PAP</v>
      </c>
      <c r="X64" s="51" t="str">
        <f>VLOOKUP(Table3[[#This Row],[ACTIVITY]],TAGS!$B:$P,10,FALSE)</f>
        <v>PIP</v>
      </c>
      <c r="Y64" s="51" t="str">
        <f>VLOOKUP(Table3[[#This Row],[ACTIVITY]],TAGS!$B:$P,11,FALSE)</f>
        <v>PICS</v>
      </c>
      <c r="Z64" s="51" t="str">
        <f>VLOOKUP(Table3[[#This Row],[ACTIVITY]],TAGS!$B:$P,12,FALSE)</f>
        <v>Consolidation</v>
      </c>
      <c r="AA64" s="51" t="str">
        <f>VLOOKUP(Table3[[#This Row],[ACTIVITY]],TAGS!$B:$P,13,FALSE)</f>
        <v>1. Bayanihan Agri Cluster</v>
      </c>
      <c r="AB64" s="51" t="str">
        <f>VLOOKUP(Table3[[#This Row],[ACTIVITY]],TAGS!$B:$P,14,FALSE)</f>
        <v>EXPAND AND IMPROVE AVAILABLE AGRI-FISHERY AREAS FOR INCREASED PRODUCTION</v>
      </c>
      <c r="AC64" s="51" t="str">
        <f>VLOOKUP(Table3[[#This Row],[ACTIVITY]],TAGS!$B:$P,15,FALSE)</f>
        <v>Farm Inputs</v>
      </c>
      <c r="AD64" s="51" t="str">
        <f>VLOOKUP(Table3[[#This Row],[PI LEVEL 3]],'PI LEVEL'!$A:$G,7,FALSE)</f>
        <v>DA-Level Output</v>
      </c>
      <c r="AE64" s="47" t="s">
        <v>577</v>
      </c>
      <c r="AF64" s="51" t="str">
        <f>VLOOKUP(Table3[[#This Row],[ACTIVITY]],TAGS!$B:$P,3,FALSE)</f>
        <v>kilogram</v>
      </c>
      <c r="AG64" s="47" t="s">
        <v>334</v>
      </c>
      <c r="AH64" s="51" t="str">
        <f>VLOOKUP(Table3[[#This Row],[MONTH]],TAGS!$W$67:$Y$81,2,FALSE)</f>
        <v>3RD QTR</v>
      </c>
      <c r="AI64" s="51" t="str">
        <f>VLOOKUP(Table3[[#This Row],[MONTH]],TAGS!$W$67:$Y$81,3,FALSE)</f>
        <v>2ND SEMESTER</v>
      </c>
      <c r="AJ64" s="51">
        <f>VLOOKUP(Table3[[#This Row],[MONTH]],TAGS!$W$67:$Z$81,4,FALSE)</f>
        <v>2025</v>
      </c>
      <c r="AK64" s="47">
        <v>90</v>
      </c>
      <c r="AL64" s="51" t="str">
        <f>VLOOKUP(Table3[[#This Row],[ACTIVITY]],TAGS!$B:$R,16,FALSE)</f>
        <v>YES</v>
      </c>
      <c r="AM64" s="47">
        <v>5</v>
      </c>
      <c r="AN64" s="47">
        <v>60</v>
      </c>
      <c r="AO64" s="57">
        <f>SUM(Table3[[#This Row],[MALE BENEFICIARIES]:[FEMALE BENEFICIARIES]])</f>
        <v>0</v>
      </c>
      <c r="AP64" s="58"/>
      <c r="AQ64" s="58"/>
      <c r="AR64" s="58"/>
      <c r="AS64" s="58">
        <v>1</v>
      </c>
      <c r="AT64" s="59">
        <v>5</v>
      </c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</row>
    <row r="65" spans="1:65">
      <c r="A65" s="51" t="str">
        <f>VLOOKUP(Table3[[#This Row],[OU]],OU!$A$15:$B$34,2,FALSE)</f>
        <v>RFOs</v>
      </c>
      <c r="B65" s="47" t="s">
        <v>5</v>
      </c>
      <c r="C65" s="47" t="s">
        <v>574</v>
      </c>
      <c r="D65" s="47"/>
      <c r="E65" s="47" t="s">
        <v>22</v>
      </c>
      <c r="F65" s="47" t="s">
        <v>648</v>
      </c>
      <c r="G6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6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21510000</v>
      </c>
      <c r="I65" s="52" t="str">
        <f>VLOOKUP(Table3[[#This Row],[PSGC]],DISTRICT!$D:$G,4,FALSE)</f>
        <v>4th</v>
      </c>
      <c r="J65" s="47" t="s">
        <v>578</v>
      </c>
      <c r="K65" s="51" t="str">
        <f>VLOOKUP(Table3[[#This Row],[SPECIFIC COMMODITY]],TAGS!$W$48:$X$53,2,FALSE)</f>
        <v>Corn</v>
      </c>
      <c r="L65" s="51" t="str">
        <f>VLOOKUP(Table3[[#This Row],[PREXC SUB-PROGRAM]],Table5[],2,FALSE)</f>
        <v>TECHNICAL AND SUPPORT SERVICES PROGRAM</v>
      </c>
      <c r="M65" s="51" t="str">
        <f>VLOOKUP(Table3[[#This Row],[COMMODITY PREXC SUB-PROGRAM]],TAGS!$U$54:$V$76,2,FALSE)</f>
        <v>PSS</v>
      </c>
      <c r="N65" s="47" t="s">
        <v>576</v>
      </c>
      <c r="O65" s="54" t="str">
        <f>VLOOKUP(Table3[[#This Row],[PI LEVEL 3]],'PI LEVEL'!A:C,3,FALSE)</f>
        <v>Seeds distributed</v>
      </c>
      <c r="P65" s="54" t="str">
        <f>VLOOKUP(Table3[[#This Row],[PI LEVEL 3]],Table53729[[Performance Indicator Level 3]:[Performance Indicator Level 1]],2,FALSE)</f>
        <v>Corn Seeds distributed</v>
      </c>
      <c r="Q65" s="54" t="str">
        <f>VLOOKUP(Table3[[#This Row],[ACTIVITY]],TAGS!B:P,2,FALSE)</f>
        <v>Yellow Corn Seeds distributed</v>
      </c>
      <c r="R65" s="47" t="s">
        <v>34</v>
      </c>
      <c r="S65" s="51" t="str">
        <f>VLOOKUP(Table3[[#This Row],[ACTIVITY]],TAGS!$B:$P,4,FALSE)</f>
        <v>Yellow Corn Production Enhancement Project</v>
      </c>
      <c r="T65" s="51" t="str">
        <f>VLOOKUP(Table3[[#This Row],[ACTIVITY]],TAGS!$B:$P,5,FALSE)</f>
        <v>Corn Seed Assistance</v>
      </c>
      <c r="U65" s="51" t="str">
        <f>VLOOKUP(Table3[[#This Row],[ACTIVITY]],TAGS!$B:$P,6,FALSE)</f>
        <v>Yellow corn seeds</v>
      </c>
      <c r="V65" s="51" t="str">
        <f>VLOOKUP(Table3[[#This Row],[ACTIVITY]],TAGS!$B:$P,7,FALSE)</f>
        <v>NO</v>
      </c>
      <c r="W65" s="51" t="str">
        <f>VLOOKUP(Table3[[#This Row],[ACTIVITY]],TAGS!$B:$P,8,FALSE)</f>
        <v>PAP</v>
      </c>
      <c r="X65" s="51" t="str">
        <f>VLOOKUP(Table3[[#This Row],[ACTIVITY]],TAGS!$B:$P,10,FALSE)</f>
        <v>PIP</v>
      </c>
      <c r="Y65" s="51" t="str">
        <f>VLOOKUP(Table3[[#This Row],[ACTIVITY]],TAGS!$B:$P,11,FALSE)</f>
        <v>PICS</v>
      </c>
      <c r="Z65" s="51" t="str">
        <f>VLOOKUP(Table3[[#This Row],[ACTIVITY]],TAGS!$B:$P,12,FALSE)</f>
        <v>Consolidation</v>
      </c>
      <c r="AA65" s="51" t="str">
        <f>VLOOKUP(Table3[[#This Row],[ACTIVITY]],TAGS!$B:$P,13,FALSE)</f>
        <v>1. Bayanihan Agri Cluster</v>
      </c>
      <c r="AB65" s="51" t="str">
        <f>VLOOKUP(Table3[[#This Row],[ACTIVITY]],TAGS!$B:$P,14,FALSE)</f>
        <v>EXPAND AND IMPROVE AVAILABLE AGRI-FISHERY AREAS FOR INCREASED PRODUCTION</v>
      </c>
      <c r="AC65" s="51" t="str">
        <f>VLOOKUP(Table3[[#This Row],[ACTIVITY]],TAGS!$B:$P,15,FALSE)</f>
        <v>Farm Inputs</v>
      </c>
      <c r="AD65" s="51" t="str">
        <f>VLOOKUP(Table3[[#This Row],[PI LEVEL 3]],'PI LEVEL'!$A:$G,7,FALSE)</f>
        <v>DA-Level Output</v>
      </c>
      <c r="AE65" s="47" t="s">
        <v>577</v>
      </c>
      <c r="AF65" s="51" t="str">
        <f>VLOOKUP(Table3[[#This Row],[ACTIVITY]],TAGS!$B:$P,3,FALSE)</f>
        <v>kilogram</v>
      </c>
      <c r="AG65" s="47" t="s">
        <v>334</v>
      </c>
      <c r="AH65" s="51" t="str">
        <f>VLOOKUP(Table3[[#This Row],[MONTH]],TAGS!$W$67:$Y$81,2,FALSE)</f>
        <v>3RD QTR</v>
      </c>
      <c r="AI65" s="51" t="str">
        <f>VLOOKUP(Table3[[#This Row],[MONTH]],TAGS!$W$67:$Y$81,3,FALSE)</f>
        <v>2ND SEMESTER</v>
      </c>
      <c r="AJ65" s="51">
        <f>VLOOKUP(Table3[[#This Row],[MONTH]],TAGS!$W$67:$Z$81,4,FALSE)</f>
        <v>2025</v>
      </c>
      <c r="AK65" s="47">
        <v>90</v>
      </c>
      <c r="AL65" s="51" t="str">
        <f>VLOOKUP(Table3[[#This Row],[ACTIVITY]],TAGS!$B:$R,16,FALSE)</f>
        <v>YES</v>
      </c>
      <c r="AM65" s="47">
        <v>5</v>
      </c>
      <c r="AN65" s="47">
        <v>60</v>
      </c>
      <c r="AO65" s="57">
        <f>SUM(Table3[[#This Row],[MALE BENEFICIARIES]:[FEMALE BENEFICIARIES]])</f>
        <v>0</v>
      </c>
      <c r="AP65" s="58"/>
      <c r="AQ65" s="58"/>
      <c r="AR65" s="58"/>
      <c r="AS65" s="58">
        <v>1</v>
      </c>
      <c r="AT65" s="59">
        <v>5</v>
      </c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</row>
    <row r="66" spans="1:65">
      <c r="A66" s="51" t="str">
        <f>VLOOKUP(Table3[[#This Row],[OU]],OU!$A$15:$B$34,2,FALSE)</f>
        <v>RFOs</v>
      </c>
      <c r="B66" s="47" t="s">
        <v>5</v>
      </c>
      <c r="C66" s="47" t="s">
        <v>574</v>
      </c>
      <c r="D66" s="47"/>
      <c r="E66" s="47" t="s">
        <v>22</v>
      </c>
      <c r="F66" s="47" t="s">
        <v>649</v>
      </c>
      <c r="G6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6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21525000</v>
      </c>
      <c r="I66" s="52" t="str">
        <f>VLOOKUP(Table3[[#This Row],[PSGC]],DISTRICT!$D:$G,4,FALSE)</f>
        <v>4th</v>
      </c>
      <c r="J66" s="47" t="s">
        <v>578</v>
      </c>
      <c r="K66" s="51" t="str">
        <f>VLOOKUP(Table3[[#This Row],[SPECIFIC COMMODITY]],TAGS!$W$48:$X$53,2,FALSE)</f>
        <v>Corn</v>
      </c>
      <c r="L66" s="51" t="str">
        <f>VLOOKUP(Table3[[#This Row],[PREXC SUB-PROGRAM]],Table5[],2,FALSE)</f>
        <v>TECHNICAL AND SUPPORT SERVICES PROGRAM</v>
      </c>
      <c r="M66" s="51" t="str">
        <f>VLOOKUP(Table3[[#This Row],[COMMODITY PREXC SUB-PROGRAM]],TAGS!$U$54:$V$76,2,FALSE)</f>
        <v>PSS</v>
      </c>
      <c r="N66" s="47" t="s">
        <v>576</v>
      </c>
      <c r="O66" s="54" t="str">
        <f>VLOOKUP(Table3[[#This Row],[PI LEVEL 3]],'PI LEVEL'!A:C,3,FALSE)</f>
        <v>Seeds distributed</v>
      </c>
      <c r="P66" s="54" t="str">
        <f>VLOOKUP(Table3[[#This Row],[PI LEVEL 3]],Table53729[[Performance Indicator Level 3]:[Performance Indicator Level 1]],2,FALSE)</f>
        <v>Corn Seeds distributed</v>
      </c>
      <c r="Q66" s="54" t="str">
        <f>VLOOKUP(Table3[[#This Row],[ACTIVITY]],TAGS!B:P,2,FALSE)</f>
        <v>Yellow Corn Seeds distributed</v>
      </c>
      <c r="R66" s="47" t="s">
        <v>34</v>
      </c>
      <c r="S66" s="51" t="str">
        <f>VLOOKUP(Table3[[#This Row],[ACTIVITY]],TAGS!$B:$P,4,FALSE)</f>
        <v>Yellow Corn Production Enhancement Project</v>
      </c>
      <c r="T66" s="51" t="str">
        <f>VLOOKUP(Table3[[#This Row],[ACTIVITY]],TAGS!$B:$P,5,FALSE)</f>
        <v>Corn Seed Assistance</v>
      </c>
      <c r="U66" s="51" t="str">
        <f>VLOOKUP(Table3[[#This Row],[ACTIVITY]],TAGS!$B:$P,6,FALSE)</f>
        <v>Yellow corn seeds</v>
      </c>
      <c r="V66" s="51" t="str">
        <f>VLOOKUP(Table3[[#This Row],[ACTIVITY]],TAGS!$B:$P,7,FALSE)</f>
        <v>NO</v>
      </c>
      <c r="W66" s="51" t="str">
        <f>VLOOKUP(Table3[[#This Row],[ACTIVITY]],TAGS!$B:$P,8,FALSE)</f>
        <v>PAP</v>
      </c>
      <c r="X66" s="51" t="str">
        <f>VLOOKUP(Table3[[#This Row],[ACTIVITY]],TAGS!$B:$P,10,FALSE)</f>
        <v>PIP</v>
      </c>
      <c r="Y66" s="51" t="str">
        <f>VLOOKUP(Table3[[#This Row],[ACTIVITY]],TAGS!$B:$P,11,FALSE)</f>
        <v>PICS</v>
      </c>
      <c r="Z66" s="51" t="str">
        <f>VLOOKUP(Table3[[#This Row],[ACTIVITY]],TAGS!$B:$P,12,FALSE)</f>
        <v>Consolidation</v>
      </c>
      <c r="AA66" s="51" t="str">
        <f>VLOOKUP(Table3[[#This Row],[ACTIVITY]],TAGS!$B:$P,13,FALSE)</f>
        <v>1. Bayanihan Agri Cluster</v>
      </c>
      <c r="AB66" s="51" t="str">
        <f>VLOOKUP(Table3[[#This Row],[ACTIVITY]],TAGS!$B:$P,14,FALSE)</f>
        <v>EXPAND AND IMPROVE AVAILABLE AGRI-FISHERY AREAS FOR INCREASED PRODUCTION</v>
      </c>
      <c r="AC66" s="51" t="str">
        <f>VLOOKUP(Table3[[#This Row],[ACTIVITY]],TAGS!$B:$P,15,FALSE)</f>
        <v>Farm Inputs</v>
      </c>
      <c r="AD66" s="51" t="str">
        <f>VLOOKUP(Table3[[#This Row],[PI LEVEL 3]],'PI LEVEL'!$A:$G,7,FALSE)</f>
        <v>DA-Level Output</v>
      </c>
      <c r="AE66" s="47" t="s">
        <v>577</v>
      </c>
      <c r="AF66" s="51" t="str">
        <f>VLOOKUP(Table3[[#This Row],[ACTIVITY]],TAGS!$B:$P,3,FALSE)</f>
        <v>kilogram</v>
      </c>
      <c r="AG66" s="47" t="s">
        <v>334</v>
      </c>
      <c r="AH66" s="51" t="str">
        <f>VLOOKUP(Table3[[#This Row],[MONTH]],TAGS!$W$67:$Y$81,2,FALSE)</f>
        <v>3RD QTR</v>
      </c>
      <c r="AI66" s="51" t="str">
        <f>VLOOKUP(Table3[[#This Row],[MONTH]],TAGS!$W$67:$Y$81,3,FALSE)</f>
        <v>2ND SEMESTER</v>
      </c>
      <c r="AJ66" s="51">
        <f>VLOOKUP(Table3[[#This Row],[MONTH]],TAGS!$W$67:$Z$81,4,FALSE)</f>
        <v>2025</v>
      </c>
      <c r="AK66" s="47">
        <v>1548</v>
      </c>
      <c r="AL66" s="51" t="str">
        <f>VLOOKUP(Table3[[#This Row],[ACTIVITY]],TAGS!$B:$R,16,FALSE)</f>
        <v>YES</v>
      </c>
      <c r="AM66" s="47">
        <v>86</v>
      </c>
      <c r="AN66" s="47">
        <v>1032</v>
      </c>
      <c r="AO66" s="57">
        <f>SUM(Table3[[#This Row],[MALE BENEFICIARIES]:[FEMALE BENEFICIARIES]])</f>
        <v>0</v>
      </c>
      <c r="AP66" s="58"/>
      <c r="AQ66" s="58"/>
      <c r="AR66" s="58"/>
      <c r="AS66" s="58">
        <v>1</v>
      </c>
      <c r="AT66" s="59">
        <v>86</v>
      </c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</row>
    <row r="67" spans="1:65">
      <c r="A67" s="51" t="str">
        <f>VLOOKUP(Table3[[#This Row],[OU]],OU!$A$15:$B$34,2,FALSE)</f>
        <v>RFOs</v>
      </c>
      <c r="B67" s="47" t="s">
        <v>5</v>
      </c>
      <c r="C67" s="47" t="s">
        <v>574</v>
      </c>
      <c r="D67" s="47"/>
      <c r="E67" s="47" t="s">
        <v>22</v>
      </c>
      <c r="F67" s="47" t="s">
        <v>650</v>
      </c>
      <c r="G6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6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21501000</v>
      </c>
      <c r="I67" s="52" t="str">
        <f>VLOOKUP(Table3[[#This Row],[PSGC]],DISTRICT!$D:$G,4,FALSE)</f>
        <v>3rd</v>
      </c>
      <c r="J67" s="47" t="s">
        <v>578</v>
      </c>
      <c r="K67" s="51" t="str">
        <f>VLOOKUP(Table3[[#This Row],[SPECIFIC COMMODITY]],TAGS!$W$48:$X$53,2,FALSE)</f>
        <v>Corn</v>
      </c>
      <c r="L67" s="51" t="str">
        <f>VLOOKUP(Table3[[#This Row],[PREXC SUB-PROGRAM]],Table5[],2,FALSE)</f>
        <v>TECHNICAL AND SUPPORT SERVICES PROGRAM</v>
      </c>
      <c r="M67" s="51" t="str">
        <f>VLOOKUP(Table3[[#This Row],[COMMODITY PREXC SUB-PROGRAM]],TAGS!$U$54:$V$76,2,FALSE)</f>
        <v>PSS</v>
      </c>
      <c r="N67" s="47" t="s">
        <v>576</v>
      </c>
      <c r="O67" s="54" t="str">
        <f>VLOOKUP(Table3[[#This Row],[PI LEVEL 3]],'PI LEVEL'!A:C,3,FALSE)</f>
        <v>Seeds distributed</v>
      </c>
      <c r="P67" s="54" t="str">
        <f>VLOOKUP(Table3[[#This Row],[PI LEVEL 3]],Table53729[[Performance Indicator Level 3]:[Performance Indicator Level 1]],2,FALSE)</f>
        <v>Corn Seeds distributed</v>
      </c>
      <c r="Q67" s="54" t="str">
        <f>VLOOKUP(Table3[[#This Row],[ACTIVITY]],TAGS!B:P,2,FALSE)</f>
        <v>Yellow Corn Seeds distributed</v>
      </c>
      <c r="R67" s="47" t="s">
        <v>34</v>
      </c>
      <c r="S67" s="51" t="str">
        <f>VLOOKUP(Table3[[#This Row],[ACTIVITY]],TAGS!$B:$P,4,FALSE)</f>
        <v>Yellow Corn Production Enhancement Project</v>
      </c>
      <c r="T67" s="51" t="str">
        <f>VLOOKUP(Table3[[#This Row],[ACTIVITY]],TAGS!$B:$P,5,FALSE)</f>
        <v>Corn Seed Assistance</v>
      </c>
      <c r="U67" s="51" t="str">
        <f>VLOOKUP(Table3[[#This Row],[ACTIVITY]],TAGS!$B:$P,6,FALSE)</f>
        <v>Yellow corn seeds</v>
      </c>
      <c r="V67" s="51" t="str">
        <f>VLOOKUP(Table3[[#This Row],[ACTIVITY]],TAGS!$B:$P,7,FALSE)</f>
        <v>NO</v>
      </c>
      <c r="W67" s="51" t="str">
        <f>VLOOKUP(Table3[[#This Row],[ACTIVITY]],TAGS!$B:$P,8,FALSE)</f>
        <v>PAP</v>
      </c>
      <c r="X67" s="51" t="str">
        <f>VLOOKUP(Table3[[#This Row],[ACTIVITY]],TAGS!$B:$P,10,FALSE)</f>
        <v>PIP</v>
      </c>
      <c r="Y67" s="51" t="str">
        <f>VLOOKUP(Table3[[#This Row],[ACTIVITY]],TAGS!$B:$P,11,FALSE)</f>
        <v>PICS</v>
      </c>
      <c r="Z67" s="51" t="str">
        <f>VLOOKUP(Table3[[#This Row],[ACTIVITY]],TAGS!$B:$P,12,FALSE)</f>
        <v>Consolidation</v>
      </c>
      <c r="AA67" s="51" t="str">
        <f>VLOOKUP(Table3[[#This Row],[ACTIVITY]],TAGS!$B:$P,13,FALSE)</f>
        <v>1. Bayanihan Agri Cluster</v>
      </c>
      <c r="AB67" s="51" t="str">
        <f>VLOOKUP(Table3[[#This Row],[ACTIVITY]],TAGS!$B:$P,14,FALSE)</f>
        <v>EXPAND AND IMPROVE AVAILABLE AGRI-FISHERY AREAS FOR INCREASED PRODUCTION</v>
      </c>
      <c r="AC67" s="51" t="str">
        <f>VLOOKUP(Table3[[#This Row],[ACTIVITY]],TAGS!$B:$P,15,FALSE)</f>
        <v>Farm Inputs</v>
      </c>
      <c r="AD67" s="51" t="str">
        <f>VLOOKUP(Table3[[#This Row],[PI LEVEL 3]],'PI LEVEL'!$A:$G,7,FALSE)</f>
        <v>DA-Level Output</v>
      </c>
      <c r="AE67" s="47" t="s">
        <v>577</v>
      </c>
      <c r="AF67" s="51" t="str">
        <f>VLOOKUP(Table3[[#This Row],[ACTIVITY]],TAGS!$B:$P,3,FALSE)</f>
        <v>kilogram</v>
      </c>
      <c r="AG67" s="47" t="s">
        <v>334</v>
      </c>
      <c r="AH67" s="51" t="str">
        <f>VLOOKUP(Table3[[#This Row],[MONTH]],TAGS!$W$67:$Y$81,2,FALSE)</f>
        <v>3RD QTR</v>
      </c>
      <c r="AI67" s="51" t="str">
        <f>VLOOKUP(Table3[[#This Row],[MONTH]],TAGS!$W$67:$Y$81,3,FALSE)</f>
        <v>2ND SEMESTER</v>
      </c>
      <c r="AJ67" s="51">
        <f>VLOOKUP(Table3[[#This Row],[MONTH]],TAGS!$W$67:$Z$81,4,FALSE)</f>
        <v>2025</v>
      </c>
      <c r="AK67" s="47">
        <v>3330</v>
      </c>
      <c r="AL67" s="51" t="str">
        <f>VLOOKUP(Table3[[#This Row],[ACTIVITY]],TAGS!$B:$R,16,FALSE)</f>
        <v>YES</v>
      </c>
      <c r="AM67" s="47">
        <v>185</v>
      </c>
      <c r="AN67" s="47">
        <v>2220</v>
      </c>
      <c r="AO67" s="57">
        <f>SUM(Table3[[#This Row],[MALE BENEFICIARIES]:[FEMALE BENEFICIARIES]])</f>
        <v>0</v>
      </c>
      <c r="AP67" s="58"/>
      <c r="AQ67" s="58"/>
      <c r="AR67" s="58"/>
      <c r="AS67" s="58">
        <v>1</v>
      </c>
      <c r="AT67" s="59">
        <v>185</v>
      </c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</row>
    <row r="68" spans="1:65">
      <c r="A68" s="51" t="str">
        <f>VLOOKUP(Table3[[#This Row],[OU]],OU!$A$15:$B$34,2,FALSE)</f>
        <v>RFOs</v>
      </c>
      <c r="B68" s="47" t="s">
        <v>5</v>
      </c>
      <c r="C68" s="47" t="s">
        <v>574</v>
      </c>
      <c r="D68" s="47"/>
      <c r="E68" s="47" t="s">
        <v>22</v>
      </c>
      <c r="F68" s="47" t="s">
        <v>651</v>
      </c>
      <c r="G6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6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21509000</v>
      </c>
      <c r="I68" s="52" t="str">
        <f>VLOOKUP(Table3[[#This Row],[PSGC]],DISTRICT!$D:$G,4,FALSE)</f>
        <v>3rd</v>
      </c>
      <c r="J68" s="47" t="s">
        <v>578</v>
      </c>
      <c r="K68" s="51" t="str">
        <f>VLOOKUP(Table3[[#This Row],[SPECIFIC COMMODITY]],TAGS!$W$48:$X$53,2,FALSE)</f>
        <v>Corn</v>
      </c>
      <c r="L68" s="51" t="str">
        <f>VLOOKUP(Table3[[#This Row],[PREXC SUB-PROGRAM]],Table5[],2,FALSE)</f>
        <v>TECHNICAL AND SUPPORT SERVICES PROGRAM</v>
      </c>
      <c r="M68" s="51" t="str">
        <f>VLOOKUP(Table3[[#This Row],[COMMODITY PREXC SUB-PROGRAM]],TAGS!$U$54:$V$76,2,FALSE)</f>
        <v>PSS</v>
      </c>
      <c r="N68" s="47" t="s">
        <v>576</v>
      </c>
      <c r="O68" s="54" t="str">
        <f>VLOOKUP(Table3[[#This Row],[PI LEVEL 3]],'PI LEVEL'!A:C,3,FALSE)</f>
        <v>Seeds distributed</v>
      </c>
      <c r="P68" s="54" t="str">
        <f>VLOOKUP(Table3[[#This Row],[PI LEVEL 3]],Table53729[[Performance Indicator Level 3]:[Performance Indicator Level 1]],2,FALSE)</f>
        <v>Corn Seeds distributed</v>
      </c>
      <c r="Q68" s="54" t="str">
        <f>VLOOKUP(Table3[[#This Row],[ACTIVITY]],TAGS!B:P,2,FALSE)</f>
        <v>Yellow Corn Seeds distributed</v>
      </c>
      <c r="R68" s="47" t="s">
        <v>34</v>
      </c>
      <c r="S68" s="51" t="str">
        <f>VLOOKUP(Table3[[#This Row],[ACTIVITY]],TAGS!$B:$P,4,FALSE)</f>
        <v>Yellow Corn Production Enhancement Project</v>
      </c>
      <c r="T68" s="51" t="str">
        <f>VLOOKUP(Table3[[#This Row],[ACTIVITY]],TAGS!$B:$P,5,FALSE)</f>
        <v>Corn Seed Assistance</v>
      </c>
      <c r="U68" s="51" t="str">
        <f>VLOOKUP(Table3[[#This Row],[ACTIVITY]],TAGS!$B:$P,6,FALSE)</f>
        <v>Yellow corn seeds</v>
      </c>
      <c r="V68" s="51" t="str">
        <f>VLOOKUP(Table3[[#This Row],[ACTIVITY]],TAGS!$B:$P,7,FALSE)</f>
        <v>NO</v>
      </c>
      <c r="W68" s="51" t="str">
        <f>VLOOKUP(Table3[[#This Row],[ACTIVITY]],TAGS!$B:$P,8,FALSE)</f>
        <v>PAP</v>
      </c>
      <c r="X68" s="51" t="str">
        <f>VLOOKUP(Table3[[#This Row],[ACTIVITY]],TAGS!$B:$P,10,FALSE)</f>
        <v>PIP</v>
      </c>
      <c r="Y68" s="51" t="str">
        <f>VLOOKUP(Table3[[#This Row],[ACTIVITY]],TAGS!$B:$P,11,FALSE)</f>
        <v>PICS</v>
      </c>
      <c r="Z68" s="51" t="str">
        <f>VLOOKUP(Table3[[#This Row],[ACTIVITY]],TAGS!$B:$P,12,FALSE)</f>
        <v>Consolidation</v>
      </c>
      <c r="AA68" s="51" t="str">
        <f>VLOOKUP(Table3[[#This Row],[ACTIVITY]],TAGS!$B:$P,13,FALSE)</f>
        <v>1. Bayanihan Agri Cluster</v>
      </c>
      <c r="AB68" s="51" t="str">
        <f>VLOOKUP(Table3[[#This Row],[ACTIVITY]],TAGS!$B:$P,14,FALSE)</f>
        <v>EXPAND AND IMPROVE AVAILABLE AGRI-FISHERY AREAS FOR INCREASED PRODUCTION</v>
      </c>
      <c r="AC68" s="51" t="str">
        <f>VLOOKUP(Table3[[#This Row],[ACTIVITY]],TAGS!$B:$P,15,FALSE)</f>
        <v>Farm Inputs</v>
      </c>
      <c r="AD68" s="51" t="str">
        <f>VLOOKUP(Table3[[#This Row],[PI LEVEL 3]],'PI LEVEL'!$A:$G,7,FALSE)</f>
        <v>DA-Level Output</v>
      </c>
      <c r="AE68" s="47" t="s">
        <v>577</v>
      </c>
      <c r="AF68" s="51" t="str">
        <f>VLOOKUP(Table3[[#This Row],[ACTIVITY]],TAGS!$B:$P,3,FALSE)</f>
        <v>kilogram</v>
      </c>
      <c r="AG68" s="47" t="s">
        <v>334</v>
      </c>
      <c r="AH68" s="51" t="str">
        <f>VLOOKUP(Table3[[#This Row],[MONTH]],TAGS!$W$67:$Y$81,2,FALSE)</f>
        <v>3RD QTR</v>
      </c>
      <c r="AI68" s="51" t="str">
        <f>VLOOKUP(Table3[[#This Row],[MONTH]],TAGS!$W$67:$Y$81,3,FALSE)</f>
        <v>2ND SEMESTER</v>
      </c>
      <c r="AJ68" s="51">
        <f>VLOOKUP(Table3[[#This Row],[MONTH]],TAGS!$W$67:$Z$81,4,FALSE)</f>
        <v>2025</v>
      </c>
      <c r="AK68" s="47">
        <v>90</v>
      </c>
      <c r="AL68" s="51" t="str">
        <f>VLOOKUP(Table3[[#This Row],[ACTIVITY]],TAGS!$B:$R,16,FALSE)</f>
        <v>YES</v>
      </c>
      <c r="AM68" s="47">
        <v>5</v>
      </c>
      <c r="AN68" s="47">
        <v>60</v>
      </c>
      <c r="AO68" s="57">
        <f>SUM(Table3[[#This Row],[MALE BENEFICIARIES]:[FEMALE BENEFICIARIES]])</f>
        <v>0</v>
      </c>
      <c r="AP68" s="58"/>
      <c r="AQ68" s="58"/>
      <c r="AR68" s="58"/>
      <c r="AS68" s="58">
        <v>1</v>
      </c>
      <c r="AT68" s="59">
        <v>5</v>
      </c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</row>
    <row r="69" spans="1:65">
      <c r="A69" s="51" t="str">
        <f>VLOOKUP(Table3[[#This Row],[OU]],OU!$A$15:$B$34,2,FALSE)</f>
        <v>RFOs</v>
      </c>
      <c r="B69" s="47" t="s">
        <v>5</v>
      </c>
      <c r="C69" s="47" t="s">
        <v>574</v>
      </c>
      <c r="D69" s="47"/>
      <c r="E69" s="47" t="s">
        <v>22</v>
      </c>
      <c r="F69" s="47" t="s">
        <v>628</v>
      </c>
      <c r="G6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6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21517000</v>
      </c>
      <c r="I69" s="52" t="str">
        <f>VLOOKUP(Table3[[#This Row],[PSGC]],DISTRICT!$D:$G,4,FALSE)</f>
        <v>3rd</v>
      </c>
      <c r="J69" s="47" t="s">
        <v>578</v>
      </c>
      <c r="K69" s="51" t="str">
        <f>VLOOKUP(Table3[[#This Row],[SPECIFIC COMMODITY]],TAGS!$W$48:$X$53,2,FALSE)</f>
        <v>Corn</v>
      </c>
      <c r="L69" s="51" t="str">
        <f>VLOOKUP(Table3[[#This Row],[PREXC SUB-PROGRAM]],Table5[],2,FALSE)</f>
        <v>TECHNICAL AND SUPPORT SERVICES PROGRAM</v>
      </c>
      <c r="M69" s="51" t="str">
        <f>VLOOKUP(Table3[[#This Row],[COMMODITY PREXC SUB-PROGRAM]],TAGS!$U$54:$V$76,2,FALSE)</f>
        <v>PSS</v>
      </c>
      <c r="N69" s="47" t="s">
        <v>576</v>
      </c>
      <c r="O69" s="54" t="str">
        <f>VLOOKUP(Table3[[#This Row],[PI LEVEL 3]],'PI LEVEL'!A:C,3,FALSE)</f>
        <v>Seeds distributed</v>
      </c>
      <c r="P69" s="54" t="str">
        <f>VLOOKUP(Table3[[#This Row],[PI LEVEL 3]],Table53729[[Performance Indicator Level 3]:[Performance Indicator Level 1]],2,FALSE)</f>
        <v>Corn Seeds distributed</v>
      </c>
      <c r="Q69" s="54" t="str">
        <f>VLOOKUP(Table3[[#This Row],[ACTIVITY]],TAGS!B:P,2,FALSE)</f>
        <v>Yellow Corn Seeds distributed</v>
      </c>
      <c r="R69" s="47" t="s">
        <v>34</v>
      </c>
      <c r="S69" s="51" t="str">
        <f>VLOOKUP(Table3[[#This Row],[ACTIVITY]],TAGS!$B:$P,4,FALSE)</f>
        <v>Yellow Corn Production Enhancement Project</v>
      </c>
      <c r="T69" s="51" t="str">
        <f>VLOOKUP(Table3[[#This Row],[ACTIVITY]],TAGS!$B:$P,5,FALSE)</f>
        <v>Corn Seed Assistance</v>
      </c>
      <c r="U69" s="51" t="str">
        <f>VLOOKUP(Table3[[#This Row],[ACTIVITY]],TAGS!$B:$P,6,FALSE)</f>
        <v>Yellow corn seeds</v>
      </c>
      <c r="V69" s="51" t="str">
        <f>VLOOKUP(Table3[[#This Row],[ACTIVITY]],TAGS!$B:$P,7,FALSE)</f>
        <v>NO</v>
      </c>
      <c r="W69" s="51" t="str">
        <f>VLOOKUP(Table3[[#This Row],[ACTIVITY]],TAGS!$B:$P,8,FALSE)</f>
        <v>PAP</v>
      </c>
      <c r="X69" s="51" t="str">
        <f>VLOOKUP(Table3[[#This Row],[ACTIVITY]],TAGS!$B:$P,10,FALSE)</f>
        <v>PIP</v>
      </c>
      <c r="Y69" s="51" t="str">
        <f>VLOOKUP(Table3[[#This Row],[ACTIVITY]],TAGS!$B:$P,11,FALSE)</f>
        <v>PICS</v>
      </c>
      <c r="Z69" s="51" t="str">
        <f>VLOOKUP(Table3[[#This Row],[ACTIVITY]],TAGS!$B:$P,12,FALSE)</f>
        <v>Consolidation</v>
      </c>
      <c r="AA69" s="51" t="str">
        <f>VLOOKUP(Table3[[#This Row],[ACTIVITY]],TAGS!$B:$P,13,FALSE)</f>
        <v>1. Bayanihan Agri Cluster</v>
      </c>
      <c r="AB69" s="51" t="str">
        <f>VLOOKUP(Table3[[#This Row],[ACTIVITY]],TAGS!$B:$P,14,FALSE)</f>
        <v>EXPAND AND IMPROVE AVAILABLE AGRI-FISHERY AREAS FOR INCREASED PRODUCTION</v>
      </c>
      <c r="AC69" s="51" t="str">
        <f>VLOOKUP(Table3[[#This Row],[ACTIVITY]],TAGS!$B:$P,15,FALSE)</f>
        <v>Farm Inputs</v>
      </c>
      <c r="AD69" s="51" t="str">
        <f>VLOOKUP(Table3[[#This Row],[PI LEVEL 3]],'PI LEVEL'!$A:$G,7,FALSE)</f>
        <v>DA-Level Output</v>
      </c>
      <c r="AE69" s="47" t="s">
        <v>577</v>
      </c>
      <c r="AF69" s="51" t="str">
        <f>VLOOKUP(Table3[[#This Row],[ACTIVITY]],TAGS!$B:$P,3,FALSE)</f>
        <v>kilogram</v>
      </c>
      <c r="AG69" s="47" t="s">
        <v>334</v>
      </c>
      <c r="AH69" s="51" t="str">
        <f>VLOOKUP(Table3[[#This Row],[MONTH]],TAGS!$W$67:$Y$81,2,FALSE)</f>
        <v>3RD QTR</v>
      </c>
      <c r="AI69" s="51" t="str">
        <f>VLOOKUP(Table3[[#This Row],[MONTH]],TAGS!$W$67:$Y$81,3,FALSE)</f>
        <v>2ND SEMESTER</v>
      </c>
      <c r="AJ69" s="51">
        <f>VLOOKUP(Table3[[#This Row],[MONTH]],TAGS!$W$67:$Z$81,4,FALSE)</f>
        <v>2025</v>
      </c>
      <c r="AK69" s="47">
        <v>3762</v>
      </c>
      <c r="AL69" s="51" t="str">
        <f>VLOOKUP(Table3[[#This Row],[ACTIVITY]],TAGS!$B:$R,16,FALSE)</f>
        <v>YES</v>
      </c>
      <c r="AM69" s="47">
        <v>209</v>
      </c>
      <c r="AN69" s="47">
        <v>2508</v>
      </c>
      <c r="AO69" s="57">
        <f>SUM(Table3[[#This Row],[MALE BENEFICIARIES]:[FEMALE BENEFICIARIES]])</f>
        <v>0</v>
      </c>
      <c r="AP69" s="58"/>
      <c r="AQ69" s="58"/>
      <c r="AR69" s="58"/>
      <c r="AS69" s="58">
        <v>1</v>
      </c>
      <c r="AT69" s="59">
        <v>209</v>
      </c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</row>
    <row r="70" spans="1:65">
      <c r="A70" s="51" t="str">
        <f>VLOOKUP(Table3[[#This Row],[OU]],OU!$A$15:$B$34,2,FALSE)</f>
        <v>RFOs</v>
      </c>
      <c r="B70" s="47" t="s">
        <v>5</v>
      </c>
      <c r="C70" s="47" t="s">
        <v>574</v>
      </c>
      <c r="D70" s="47"/>
      <c r="E70" s="47" t="s">
        <v>22</v>
      </c>
      <c r="F70" s="47" t="s">
        <v>652</v>
      </c>
      <c r="G7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7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21520000</v>
      </c>
      <c r="I70" s="52" t="str">
        <f>VLOOKUP(Table3[[#This Row],[PSGC]],DISTRICT!$D:$G,4,FALSE)</f>
        <v>4th</v>
      </c>
      <c r="J70" s="47" t="s">
        <v>578</v>
      </c>
      <c r="K70" s="51" t="str">
        <f>VLOOKUP(Table3[[#This Row],[SPECIFIC COMMODITY]],TAGS!$W$48:$X$53,2,FALSE)</f>
        <v>Corn</v>
      </c>
      <c r="L70" s="51" t="str">
        <f>VLOOKUP(Table3[[#This Row],[PREXC SUB-PROGRAM]],Table5[],2,FALSE)</f>
        <v>TECHNICAL AND SUPPORT SERVICES PROGRAM</v>
      </c>
      <c r="M70" s="51" t="str">
        <f>VLOOKUP(Table3[[#This Row],[COMMODITY PREXC SUB-PROGRAM]],TAGS!$U$54:$V$76,2,FALSE)</f>
        <v>PSS</v>
      </c>
      <c r="N70" s="47" t="s">
        <v>576</v>
      </c>
      <c r="O70" s="54" t="str">
        <f>VLOOKUP(Table3[[#This Row],[PI LEVEL 3]],'PI LEVEL'!A:C,3,FALSE)</f>
        <v>Seeds distributed</v>
      </c>
      <c r="P70" s="54" t="str">
        <f>VLOOKUP(Table3[[#This Row],[PI LEVEL 3]],Table53729[[Performance Indicator Level 3]:[Performance Indicator Level 1]],2,FALSE)</f>
        <v>Corn Seeds distributed</v>
      </c>
      <c r="Q70" s="54" t="str">
        <f>VLOOKUP(Table3[[#This Row],[ACTIVITY]],TAGS!B:P,2,FALSE)</f>
        <v>Yellow Corn Seeds distributed</v>
      </c>
      <c r="R70" s="47" t="s">
        <v>34</v>
      </c>
      <c r="S70" s="51" t="str">
        <f>VLOOKUP(Table3[[#This Row],[ACTIVITY]],TAGS!$B:$P,4,FALSE)</f>
        <v>Yellow Corn Production Enhancement Project</v>
      </c>
      <c r="T70" s="51" t="str">
        <f>VLOOKUP(Table3[[#This Row],[ACTIVITY]],TAGS!$B:$P,5,FALSE)</f>
        <v>Corn Seed Assistance</v>
      </c>
      <c r="U70" s="51" t="str">
        <f>VLOOKUP(Table3[[#This Row],[ACTIVITY]],TAGS!$B:$P,6,FALSE)</f>
        <v>Yellow corn seeds</v>
      </c>
      <c r="V70" s="51" t="str">
        <f>VLOOKUP(Table3[[#This Row],[ACTIVITY]],TAGS!$B:$P,7,FALSE)</f>
        <v>NO</v>
      </c>
      <c r="W70" s="51" t="str">
        <f>VLOOKUP(Table3[[#This Row],[ACTIVITY]],TAGS!$B:$P,8,FALSE)</f>
        <v>PAP</v>
      </c>
      <c r="X70" s="51" t="str">
        <f>VLOOKUP(Table3[[#This Row],[ACTIVITY]],TAGS!$B:$P,10,FALSE)</f>
        <v>PIP</v>
      </c>
      <c r="Y70" s="51" t="str">
        <f>VLOOKUP(Table3[[#This Row],[ACTIVITY]],TAGS!$B:$P,11,FALSE)</f>
        <v>PICS</v>
      </c>
      <c r="Z70" s="51" t="str">
        <f>VLOOKUP(Table3[[#This Row],[ACTIVITY]],TAGS!$B:$P,12,FALSE)</f>
        <v>Consolidation</v>
      </c>
      <c r="AA70" s="51" t="str">
        <f>VLOOKUP(Table3[[#This Row],[ACTIVITY]],TAGS!$B:$P,13,FALSE)</f>
        <v>1. Bayanihan Agri Cluster</v>
      </c>
      <c r="AB70" s="51" t="str">
        <f>VLOOKUP(Table3[[#This Row],[ACTIVITY]],TAGS!$B:$P,14,FALSE)</f>
        <v>EXPAND AND IMPROVE AVAILABLE AGRI-FISHERY AREAS FOR INCREASED PRODUCTION</v>
      </c>
      <c r="AC70" s="51" t="str">
        <f>VLOOKUP(Table3[[#This Row],[ACTIVITY]],TAGS!$B:$P,15,FALSE)</f>
        <v>Farm Inputs</v>
      </c>
      <c r="AD70" s="51" t="str">
        <f>VLOOKUP(Table3[[#This Row],[PI LEVEL 3]],'PI LEVEL'!$A:$G,7,FALSE)</f>
        <v>DA-Level Output</v>
      </c>
      <c r="AE70" s="47" t="s">
        <v>577</v>
      </c>
      <c r="AF70" s="51" t="str">
        <f>VLOOKUP(Table3[[#This Row],[ACTIVITY]],TAGS!$B:$P,3,FALSE)</f>
        <v>kilogram</v>
      </c>
      <c r="AG70" s="47" t="s">
        <v>334</v>
      </c>
      <c r="AH70" s="51" t="str">
        <f>VLOOKUP(Table3[[#This Row],[MONTH]],TAGS!$W$67:$Y$81,2,FALSE)</f>
        <v>3RD QTR</v>
      </c>
      <c r="AI70" s="51" t="str">
        <f>VLOOKUP(Table3[[#This Row],[MONTH]],TAGS!$W$67:$Y$81,3,FALSE)</f>
        <v>2ND SEMESTER</v>
      </c>
      <c r="AJ70" s="51">
        <f>VLOOKUP(Table3[[#This Row],[MONTH]],TAGS!$W$67:$Z$81,4,FALSE)</f>
        <v>2025</v>
      </c>
      <c r="AK70" s="47">
        <v>4554</v>
      </c>
      <c r="AL70" s="51" t="str">
        <f>VLOOKUP(Table3[[#This Row],[ACTIVITY]],TAGS!$B:$R,16,FALSE)</f>
        <v>YES</v>
      </c>
      <c r="AM70" s="47">
        <v>253</v>
      </c>
      <c r="AN70" s="47">
        <v>3036</v>
      </c>
      <c r="AO70" s="57">
        <f>SUM(Table3[[#This Row],[MALE BENEFICIARIES]:[FEMALE BENEFICIARIES]])</f>
        <v>0</v>
      </c>
      <c r="AP70" s="58"/>
      <c r="AQ70" s="58"/>
      <c r="AR70" s="58"/>
      <c r="AS70" s="58">
        <v>1</v>
      </c>
      <c r="AT70" s="59">
        <v>253</v>
      </c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</row>
    <row r="71" spans="1:65">
      <c r="A71" s="51" t="str">
        <f>VLOOKUP(Table3[[#This Row],[OU]],OU!$A$15:$B$34,2,FALSE)</f>
        <v>RFOs</v>
      </c>
      <c r="B71" s="47" t="s">
        <v>5</v>
      </c>
      <c r="C71" s="47" t="s">
        <v>574</v>
      </c>
      <c r="D71" s="47"/>
      <c r="E71" s="47" t="s">
        <v>22</v>
      </c>
      <c r="F71" s="47" t="s">
        <v>653</v>
      </c>
      <c r="G7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7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21521000</v>
      </c>
      <c r="I71" s="52" t="str">
        <f>VLOOKUP(Table3[[#This Row],[PSGC]],DISTRICT!$D:$G,4,FALSE)</f>
        <v>5th</v>
      </c>
      <c r="J71" s="47" t="s">
        <v>578</v>
      </c>
      <c r="K71" s="51" t="str">
        <f>VLOOKUP(Table3[[#This Row],[SPECIFIC COMMODITY]],TAGS!$W$48:$X$53,2,FALSE)</f>
        <v>Corn</v>
      </c>
      <c r="L71" s="51" t="str">
        <f>VLOOKUP(Table3[[#This Row],[PREXC SUB-PROGRAM]],Table5[],2,FALSE)</f>
        <v>TECHNICAL AND SUPPORT SERVICES PROGRAM</v>
      </c>
      <c r="M71" s="51" t="str">
        <f>VLOOKUP(Table3[[#This Row],[COMMODITY PREXC SUB-PROGRAM]],TAGS!$U$54:$V$76,2,FALSE)</f>
        <v>PSS</v>
      </c>
      <c r="N71" s="47" t="s">
        <v>576</v>
      </c>
      <c r="O71" s="54" t="str">
        <f>VLOOKUP(Table3[[#This Row],[PI LEVEL 3]],'PI LEVEL'!A:C,3,FALSE)</f>
        <v>Seeds distributed</v>
      </c>
      <c r="P71" s="54" t="str">
        <f>VLOOKUP(Table3[[#This Row],[PI LEVEL 3]],Table53729[[Performance Indicator Level 3]:[Performance Indicator Level 1]],2,FALSE)</f>
        <v>Corn Seeds distributed</v>
      </c>
      <c r="Q71" s="54" t="str">
        <f>VLOOKUP(Table3[[#This Row],[ACTIVITY]],TAGS!B:P,2,FALSE)</f>
        <v>Yellow Corn Seeds distributed</v>
      </c>
      <c r="R71" s="47" t="s">
        <v>34</v>
      </c>
      <c r="S71" s="51" t="str">
        <f>VLOOKUP(Table3[[#This Row],[ACTIVITY]],TAGS!$B:$P,4,FALSE)</f>
        <v>Yellow Corn Production Enhancement Project</v>
      </c>
      <c r="T71" s="51" t="str">
        <f>VLOOKUP(Table3[[#This Row],[ACTIVITY]],TAGS!$B:$P,5,FALSE)</f>
        <v>Corn Seed Assistance</v>
      </c>
      <c r="U71" s="51" t="str">
        <f>VLOOKUP(Table3[[#This Row],[ACTIVITY]],TAGS!$B:$P,6,FALSE)</f>
        <v>Yellow corn seeds</v>
      </c>
      <c r="V71" s="51" t="str">
        <f>VLOOKUP(Table3[[#This Row],[ACTIVITY]],TAGS!$B:$P,7,FALSE)</f>
        <v>NO</v>
      </c>
      <c r="W71" s="51" t="str">
        <f>VLOOKUP(Table3[[#This Row],[ACTIVITY]],TAGS!$B:$P,8,FALSE)</f>
        <v>PAP</v>
      </c>
      <c r="X71" s="51" t="str">
        <f>VLOOKUP(Table3[[#This Row],[ACTIVITY]],TAGS!$B:$P,10,FALSE)</f>
        <v>PIP</v>
      </c>
      <c r="Y71" s="51" t="str">
        <f>VLOOKUP(Table3[[#This Row],[ACTIVITY]],TAGS!$B:$P,11,FALSE)</f>
        <v>PICS</v>
      </c>
      <c r="Z71" s="51" t="str">
        <f>VLOOKUP(Table3[[#This Row],[ACTIVITY]],TAGS!$B:$P,12,FALSE)</f>
        <v>Consolidation</v>
      </c>
      <c r="AA71" s="51" t="str">
        <f>VLOOKUP(Table3[[#This Row],[ACTIVITY]],TAGS!$B:$P,13,FALSE)</f>
        <v>1. Bayanihan Agri Cluster</v>
      </c>
      <c r="AB71" s="51" t="str">
        <f>VLOOKUP(Table3[[#This Row],[ACTIVITY]],TAGS!$B:$P,14,FALSE)</f>
        <v>EXPAND AND IMPROVE AVAILABLE AGRI-FISHERY AREAS FOR INCREASED PRODUCTION</v>
      </c>
      <c r="AC71" s="51" t="str">
        <f>VLOOKUP(Table3[[#This Row],[ACTIVITY]],TAGS!$B:$P,15,FALSE)</f>
        <v>Farm Inputs</v>
      </c>
      <c r="AD71" s="51" t="str">
        <f>VLOOKUP(Table3[[#This Row],[PI LEVEL 3]],'PI LEVEL'!$A:$G,7,FALSE)</f>
        <v>DA-Level Output</v>
      </c>
      <c r="AE71" s="47" t="s">
        <v>577</v>
      </c>
      <c r="AF71" s="51" t="str">
        <f>VLOOKUP(Table3[[#This Row],[ACTIVITY]],TAGS!$B:$P,3,FALSE)</f>
        <v>kilogram</v>
      </c>
      <c r="AG71" s="47" t="s">
        <v>334</v>
      </c>
      <c r="AH71" s="51" t="str">
        <f>VLOOKUP(Table3[[#This Row],[MONTH]],TAGS!$W$67:$Y$81,2,FALSE)</f>
        <v>3RD QTR</v>
      </c>
      <c r="AI71" s="51" t="str">
        <f>VLOOKUP(Table3[[#This Row],[MONTH]],TAGS!$W$67:$Y$81,3,FALSE)</f>
        <v>2ND SEMESTER</v>
      </c>
      <c r="AJ71" s="51">
        <f>VLOOKUP(Table3[[#This Row],[MONTH]],TAGS!$W$67:$Z$81,4,FALSE)</f>
        <v>2025</v>
      </c>
      <c r="AK71" s="47">
        <v>6372</v>
      </c>
      <c r="AL71" s="51" t="str">
        <f>VLOOKUP(Table3[[#This Row],[ACTIVITY]],TAGS!$B:$R,16,FALSE)</f>
        <v>YES</v>
      </c>
      <c r="AM71" s="47">
        <v>354</v>
      </c>
      <c r="AN71" s="47">
        <v>4248</v>
      </c>
      <c r="AO71" s="57">
        <f>SUM(Table3[[#This Row],[MALE BENEFICIARIES]:[FEMALE BENEFICIARIES]])</f>
        <v>0</v>
      </c>
      <c r="AP71" s="58"/>
      <c r="AQ71" s="58"/>
      <c r="AR71" s="58"/>
      <c r="AS71" s="58">
        <v>1</v>
      </c>
      <c r="AT71" s="59">
        <v>354</v>
      </c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</row>
    <row r="72" spans="1:65">
      <c r="A72" s="51" t="str">
        <f>VLOOKUP(Table3[[#This Row],[OU]],OU!$A$15:$B$34,2,FALSE)</f>
        <v>RFOs</v>
      </c>
      <c r="B72" s="47" t="s">
        <v>5</v>
      </c>
      <c r="C72" s="47" t="s">
        <v>574</v>
      </c>
      <c r="D72" s="47"/>
      <c r="E72" s="47" t="s">
        <v>22</v>
      </c>
      <c r="F72" s="47" t="s">
        <v>654</v>
      </c>
      <c r="G7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7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21526000</v>
      </c>
      <c r="I72" s="52" t="str">
        <f>VLOOKUP(Table3[[#This Row],[PSGC]],DISTRICT!$D:$G,4,FALSE)</f>
        <v>2nd</v>
      </c>
      <c r="J72" s="47" t="s">
        <v>578</v>
      </c>
      <c r="K72" s="51" t="str">
        <f>VLOOKUP(Table3[[#This Row],[SPECIFIC COMMODITY]],TAGS!$W$48:$X$53,2,FALSE)</f>
        <v>Corn</v>
      </c>
      <c r="L72" s="51" t="str">
        <f>VLOOKUP(Table3[[#This Row],[PREXC SUB-PROGRAM]],Table5[],2,FALSE)</f>
        <v>TECHNICAL AND SUPPORT SERVICES PROGRAM</v>
      </c>
      <c r="M72" s="51" t="str">
        <f>VLOOKUP(Table3[[#This Row],[COMMODITY PREXC SUB-PROGRAM]],TAGS!$U$54:$V$76,2,FALSE)</f>
        <v>PSS</v>
      </c>
      <c r="N72" s="47" t="s">
        <v>576</v>
      </c>
      <c r="O72" s="54" t="str">
        <f>VLOOKUP(Table3[[#This Row],[PI LEVEL 3]],'PI LEVEL'!A:C,3,FALSE)</f>
        <v>Seeds distributed</v>
      </c>
      <c r="P72" s="54" t="str">
        <f>VLOOKUP(Table3[[#This Row],[PI LEVEL 3]],Table53729[[Performance Indicator Level 3]:[Performance Indicator Level 1]],2,FALSE)</f>
        <v>Corn Seeds distributed</v>
      </c>
      <c r="Q72" s="54" t="str">
        <f>VLOOKUP(Table3[[#This Row],[ACTIVITY]],TAGS!B:P,2,FALSE)</f>
        <v>Yellow Corn Seeds distributed</v>
      </c>
      <c r="R72" s="47" t="s">
        <v>34</v>
      </c>
      <c r="S72" s="51" t="str">
        <f>VLOOKUP(Table3[[#This Row],[ACTIVITY]],TAGS!$B:$P,4,FALSE)</f>
        <v>Yellow Corn Production Enhancement Project</v>
      </c>
      <c r="T72" s="51" t="str">
        <f>VLOOKUP(Table3[[#This Row],[ACTIVITY]],TAGS!$B:$P,5,FALSE)</f>
        <v>Corn Seed Assistance</v>
      </c>
      <c r="U72" s="51" t="str">
        <f>VLOOKUP(Table3[[#This Row],[ACTIVITY]],TAGS!$B:$P,6,FALSE)</f>
        <v>Yellow corn seeds</v>
      </c>
      <c r="V72" s="51" t="str">
        <f>VLOOKUP(Table3[[#This Row],[ACTIVITY]],TAGS!$B:$P,7,FALSE)</f>
        <v>NO</v>
      </c>
      <c r="W72" s="51" t="str">
        <f>VLOOKUP(Table3[[#This Row],[ACTIVITY]],TAGS!$B:$P,8,FALSE)</f>
        <v>PAP</v>
      </c>
      <c r="X72" s="51" t="str">
        <f>VLOOKUP(Table3[[#This Row],[ACTIVITY]],TAGS!$B:$P,10,FALSE)</f>
        <v>PIP</v>
      </c>
      <c r="Y72" s="51" t="str">
        <f>VLOOKUP(Table3[[#This Row],[ACTIVITY]],TAGS!$B:$P,11,FALSE)</f>
        <v>PICS</v>
      </c>
      <c r="Z72" s="51" t="str">
        <f>VLOOKUP(Table3[[#This Row],[ACTIVITY]],TAGS!$B:$P,12,FALSE)</f>
        <v>Consolidation</v>
      </c>
      <c r="AA72" s="51" t="str">
        <f>VLOOKUP(Table3[[#This Row],[ACTIVITY]],TAGS!$B:$P,13,FALSE)</f>
        <v>1. Bayanihan Agri Cluster</v>
      </c>
      <c r="AB72" s="51" t="str">
        <f>VLOOKUP(Table3[[#This Row],[ACTIVITY]],TAGS!$B:$P,14,FALSE)</f>
        <v>EXPAND AND IMPROVE AVAILABLE AGRI-FISHERY AREAS FOR INCREASED PRODUCTION</v>
      </c>
      <c r="AC72" s="51" t="str">
        <f>VLOOKUP(Table3[[#This Row],[ACTIVITY]],TAGS!$B:$P,15,FALSE)</f>
        <v>Farm Inputs</v>
      </c>
      <c r="AD72" s="51" t="str">
        <f>VLOOKUP(Table3[[#This Row],[PI LEVEL 3]],'PI LEVEL'!$A:$G,7,FALSE)</f>
        <v>DA-Level Output</v>
      </c>
      <c r="AE72" s="47" t="s">
        <v>577</v>
      </c>
      <c r="AF72" s="51" t="str">
        <f>VLOOKUP(Table3[[#This Row],[ACTIVITY]],TAGS!$B:$P,3,FALSE)</f>
        <v>kilogram</v>
      </c>
      <c r="AG72" s="47" t="s">
        <v>334</v>
      </c>
      <c r="AH72" s="51" t="str">
        <f>VLOOKUP(Table3[[#This Row],[MONTH]],TAGS!$W$67:$Y$81,2,FALSE)</f>
        <v>3RD QTR</v>
      </c>
      <c r="AI72" s="51" t="str">
        <f>VLOOKUP(Table3[[#This Row],[MONTH]],TAGS!$W$67:$Y$81,3,FALSE)</f>
        <v>2ND SEMESTER</v>
      </c>
      <c r="AJ72" s="51">
        <f>VLOOKUP(Table3[[#This Row],[MONTH]],TAGS!$W$67:$Z$81,4,FALSE)</f>
        <v>2025</v>
      </c>
      <c r="AK72" s="47">
        <v>3942</v>
      </c>
      <c r="AL72" s="51" t="str">
        <f>VLOOKUP(Table3[[#This Row],[ACTIVITY]],TAGS!$B:$R,16,FALSE)</f>
        <v>YES</v>
      </c>
      <c r="AM72" s="47">
        <v>219</v>
      </c>
      <c r="AN72" s="47">
        <v>2628</v>
      </c>
      <c r="AO72" s="57">
        <f>SUM(Table3[[#This Row],[MALE BENEFICIARIES]:[FEMALE BENEFICIARIES]])</f>
        <v>0</v>
      </c>
      <c r="AP72" s="58"/>
      <c r="AQ72" s="58"/>
      <c r="AR72" s="58"/>
      <c r="AS72" s="58">
        <v>1</v>
      </c>
      <c r="AT72" s="59">
        <v>219</v>
      </c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</row>
    <row r="73" spans="1:65">
      <c r="A73" s="51" t="str">
        <f>VLOOKUP(Table3[[#This Row],[OU]],OU!$A$15:$B$34,2,FALSE)</f>
        <v>RFOs</v>
      </c>
      <c r="B73" s="47" t="s">
        <v>5</v>
      </c>
      <c r="C73" s="47" t="s">
        <v>574</v>
      </c>
      <c r="D73" s="47"/>
      <c r="E73" s="47" t="s">
        <v>22</v>
      </c>
      <c r="F73" s="47" t="s">
        <v>655</v>
      </c>
      <c r="G7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7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21504000</v>
      </c>
      <c r="I73" s="52" t="str">
        <f>VLOOKUP(Table3[[#This Row],[PSGC]],DISTRICT!$D:$G,4,FALSE)</f>
        <v>2nd</v>
      </c>
      <c r="J73" s="47" t="s">
        <v>578</v>
      </c>
      <c r="K73" s="51" t="str">
        <f>VLOOKUP(Table3[[#This Row],[SPECIFIC COMMODITY]],TAGS!$W$48:$X$53,2,FALSE)</f>
        <v>Corn</v>
      </c>
      <c r="L73" s="51" t="str">
        <f>VLOOKUP(Table3[[#This Row],[PREXC SUB-PROGRAM]],Table5[],2,FALSE)</f>
        <v>TECHNICAL AND SUPPORT SERVICES PROGRAM</v>
      </c>
      <c r="M73" s="51" t="str">
        <f>VLOOKUP(Table3[[#This Row],[COMMODITY PREXC SUB-PROGRAM]],TAGS!$U$54:$V$76,2,FALSE)</f>
        <v>PSS</v>
      </c>
      <c r="N73" s="47" t="s">
        <v>576</v>
      </c>
      <c r="O73" s="54" t="str">
        <f>VLOOKUP(Table3[[#This Row],[PI LEVEL 3]],'PI LEVEL'!A:C,3,FALSE)</f>
        <v>Seeds distributed</v>
      </c>
      <c r="P73" s="54" t="str">
        <f>VLOOKUP(Table3[[#This Row],[PI LEVEL 3]],Table53729[[Performance Indicator Level 3]:[Performance Indicator Level 1]],2,FALSE)</f>
        <v>Corn Seeds distributed</v>
      </c>
      <c r="Q73" s="54" t="str">
        <f>VLOOKUP(Table3[[#This Row],[ACTIVITY]],TAGS!B:P,2,FALSE)</f>
        <v>Yellow Corn Seeds distributed</v>
      </c>
      <c r="R73" s="47" t="s">
        <v>34</v>
      </c>
      <c r="S73" s="51" t="str">
        <f>VLOOKUP(Table3[[#This Row],[ACTIVITY]],TAGS!$B:$P,4,FALSE)</f>
        <v>Yellow Corn Production Enhancement Project</v>
      </c>
      <c r="T73" s="51" t="str">
        <f>VLOOKUP(Table3[[#This Row],[ACTIVITY]],TAGS!$B:$P,5,FALSE)</f>
        <v>Corn Seed Assistance</v>
      </c>
      <c r="U73" s="51" t="str">
        <f>VLOOKUP(Table3[[#This Row],[ACTIVITY]],TAGS!$B:$P,6,FALSE)</f>
        <v>Yellow corn seeds</v>
      </c>
      <c r="V73" s="51" t="str">
        <f>VLOOKUP(Table3[[#This Row],[ACTIVITY]],TAGS!$B:$P,7,FALSE)</f>
        <v>NO</v>
      </c>
      <c r="W73" s="51" t="str">
        <f>VLOOKUP(Table3[[#This Row],[ACTIVITY]],TAGS!$B:$P,8,FALSE)</f>
        <v>PAP</v>
      </c>
      <c r="X73" s="51" t="str">
        <f>VLOOKUP(Table3[[#This Row],[ACTIVITY]],TAGS!$B:$P,10,FALSE)</f>
        <v>PIP</v>
      </c>
      <c r="Y73" s="51" t="str">
        <f>VLOOKUP(Table3[[#This Row],[ACTIVITY]],TAGS!$B:$P,11,FALSE)</f>
        <v>PICS</v>
      </c>
      <c r="Z73" s="51" t="str">
        <f>VLOOKUP(Table3[[#This Row],[ACTIVITY]],TAGS!$B:$P,12,FALSE)</f>
        <v>Consolidation</v>
      </c>
      <c r="AA73" s="51" t="str">
        <f>VLOOKUP(Table3[[#This Row],[ACTIVITY]],TAGS!$B:$P,13,FALSE)</f>
        <v>1. Bayanihan Agri Cluster</v>
      </c>
      <c r="AB73" s="51" t="str">
        <f>VLOOKUP(Table3[[#This Row],[ACTIVITY]],TAGS!$B:$P,14,FALSE)</f>
        <v>EXPAND AND IMPROVE AVAILABLE AGRI-FISHERY AREAS FOR INCREASED PRODUCTION</v>
      </c>
      <c r="AC73" s="51" t="str">
        <f>VLOOKUP(Table3[[#This Row],[ACTIVITY]],TAGS!$B:$P,15,FALSE)</f>
        <v>Farm Inputs</v>
      </c>
      <c r="AD73" s="51" t="str">
        <f>VLOOKUP(Table3[[#This Row],[PI LEVEL 3]],'PI LEVEL'!$A:$G,7,FALSE)</f>
        <v>DA-Level Output</v>
      </c>
      <c r="AE73" s="47" t="s">
        <v>577</v>
      </c>
      <c r="AF73" s="51" t="str">
        <f>VLOOKUP(Table3[[#This Row],[ACTIVITY]],TAGS!$B:$P,3,FALSE)</f>
        <v>kilogram</v>
      </c>
      <c r="AG73" s="47" t="s">
        <v>334</v>
      </c>
      <c r="AH73" s="51" t="str">
        <f>VLOOKUP(Table3[[#This Row],[MONTH]],TAGS!$W$67:$Y$81,2,FALSE)</f>
        <v>3RD QTR</v>
      </c>
      <c r="AI73" s="51" t="str">
        <f>VLOOKUP(Table3[[#This Row],[MONTH]],TAGS!$W$67:$Y$81,3,FALSE)</f>
        <v>2ND SEMESTER</v>
      </c>
      <c r="AJ73" s="51">
        <f>VLOOKUP(Table3[[#This Row],[MONTH]],TAGS!$W$67:$Z$81,4,FALSE)</f>
        <v>2025</v>
      </c>
      <c r="AK73" s="47">
        <v>11970</v>
      </c>
      <c r="AL73" s="51" t="str">
        <f>VLOOKUP(Table3[[#This Row],[ACTIVITY]],TAGS!$B:$R,16,FALSE)</f>
        <v>YES</v>
      </c>
      <c r="AM73" s="47">
        <v>665</v>
      </c>
      <c r="AN73" s="47">
        <v>7980</v>
      </c>
      <c r="AO73" s="57">
        <f>SUM(Table3[[#This Row],[MALE BENEFICIARIES]:[FEMALE BENEFICIARIES]])</f>
        <v>0</v>
      </c>
      <c r="AP73" s="58"/>
      <c r="AQ73" s="58"/>
      <c r="AR73" s="58"/>
      <c r="AS73" s="58">
        <v>2</v>
      </c>
      <c r="AT73" s="59">
        <v>665</v>
      </c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</row>
    <row r="74" spans="1:65">
      <c r="A74" s="51" t="str">
        <f>VLOOKUP(Table3[[#This Row],[OU]],OU!$A$15:$B$34,2,FALSE)</f>
        <v>RFOs</v>
      </c>
      <c r="B74" s="47" t="s">
        <v>5</v>
      </c>
      <c r="C74" s="47" t="s">
        <v>574</v>
      </c>
      <c r="D74" s="47"/>
      <c r="E74" s="47" t="s">
        <v>22</v>
      </c>
      <c r="F74" s="47" t="s">
        <v>656</v>
      </c>
      <c r="G7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7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21512000</v>
      </c>
      <c r="I74" s="52" t="str">
        <f>VLOOKUP(Table3[[#This Row],[PSGC]],DISTRICT!$D:$G,4,FALSE)</f>
        <v>3rd</v>
      </c>
      <c r="J74" s="47" t="s">
        <v>578</v>
      </c>
      <c r="K74" s="51" t="str">
        <f>VLOOKUP(Table3[[#This Row],[SPECIFIC COMMODITY]],TAGS!$W$48:$X$53,2,FALSE)</f>
        <v>Corn</v>
      </c>
      <c r="L74" s="51" t="str">
        <f>VLOOKUP(Table3[[#This Row],[PREXC SUB-PROGRAM]],Table5[],2,FALSE)</f>
        <v>TECHNICAL AND SUPPORT SERVICES PROGRAM</v>
      </c>
      <c r="M74" s="51" t="str">
        <f>VLOOKUP(Table3[[#This Row],[COMMODITY PREXC SUB-PROGRAM]],TAGS!$U$54:$V$76,2,FALSE)</f>
        <v>PSS</v>
      </c>
      <c r="N74" s="47" t="s">
        <v>576</v>
      </c>
      <c r="O74" s="54" t="str">
        <f>VLOOKUP(Table3[[#This Row],[PI LEVEL 3]],'PI LEVEL'!A:C,3,FALSE)</f>
        <v>Seeds distributed</v>
      </c>
      <c r="P74" s="54" t="str">
        <f>VLOOKUP(Table3[[#This Row],[PI LEVEL 3]],Table53729[[Performance Indicator Level 3]:[Performance Indicator Level 1]],2,FALSE)</f>
        <v>Corn Seeds distributed</v>
      </c>
      <c r="Q74" s="54" t="str">
        <f>VLOOKUP(Table3[[#This Row],[ACTIVITY]],TAGS!B:P,2,FALSE)</f>
        <v>Yellow Corn Seeds distributed</v>
      </c>
      <c r="R74" s="47" t="s">
        <v>34</v>
      </c>
      <c r="S74" s="51" t="str">
        <f>VLOOKUP(Table3[[#This Row],[ACTIVITY]],TAGS!$B:$P,4,FALSE)</f>
        <v>Yellow Corn Production Enhancement Project</v>
      </c>
      <c r="T74" s="51" t="str">
        <f>VLOOKUP(Table3[[#This Row],[ACTIVITY]],TAGS!$B:$P,5,FALSE)</f>
        <v>Corn Seed Assistance</v>
      </c>
      <c r="U74" s="51" t="str">
        <f>VLOOKUP(Table3[[#This Row],[ACTIVITY]],TAGS!$B:$P,6,FALSE)</f>
        <v>Yellow corn seeds</v>
      </c>
      <c r="V74" s="51" t="str">
        <f>VLOOKUP(Table3[[#This Row],[ACTIVITY]],TAGS!$B:$P,7,FALSE)</f>
        <v>NO</v>
      </c>
      <c r="W74" s="51" t="str">
        <f>VLOOKUP(Table3[[#This Row],[ACTIVITY]],TAGS!$B:$P,8,FALSE)</f>
        <v>PAP</v>
      </c>
      <c r="X74" s="51" t="str">
        <f>VLOOKUP(Table3[[#This Row],[ACTIVITY]],TAGS!$B:$P,10,FALSE)</f>
        <v>PIP</v>
      </c>
      <c r="Y74" s="51" t="str">
        <f>VLOOKUP(Table3[[#This Row],[ACTIVITY]],TAGS!$B:$P,11,FALSE)</f>
        <v>PICS</v>
      </c>
      <c r="Z74" s="51" t="str">
        <f>VLOOKUP(Table3[[#This Row],[ACTIVITY]],TAGS!$B:$P,12,FALSE)</f>
        <v>Consolidation</v>
      </c>
      <c r="AA74" s="51" t="str">
        <f>VLOOKUP(Table3[[#This Row],[ACTIVITY]],TAGS!$B:$P,13,FALSE)</f>
        <v>1. Bayanihan Agri Cluster</v>
      </c>
      <c r="AB74" s="51" t="str">
        <f>VLOOKUP(Table3[[#This Row],[ACTIVITY]],TAGS!$B:$P,14,FALSE)</f>
        <v>EXPAND AND IMPROVE AVAILABLE AGRI-FISHERY AREAS FOR INCREASED PRODUCTION</v>
      </c>
      <c r="AC74" s="51" t="str">
        <f>VLOOKUP(Table3[[#This Row],[ACTIVITY]],TAGS!$B:$P,15,FALSE)</f>
        <v>Farm Inputs</v>
      </c>
      <c r="AD74" s="51" t="str">
        <f>VLOOKUP(Table3[[#This Row],[PI LEVEL 3]],'PI LEVEL'!$A:$G,7,FALSE)</f>
        <v>DA-Level Output</v>
      </c>
      <c r="AE74" s="47" t="s">
        <v>577</v>
      </c>
      <c r="AF74" s="51" t="str">
        <f>VLOOKUP(Table3[[#This Row],[ACTIVITY]],TAGS!$B:$P,3,FALSE)</f>
        <v>kilogram</v>
      </c>
      <c r="AG74" s="47" t="s">
        <v>334</v>
      </c>
      <c r="AH74" s="51" t="str">
        <f>VLOOKUP(Table3[[#This Row],[MONTH]],TAGS!$W$67:$Y$81,2,FALSE)</f>
        <v>3RD QTR</v>
      </c>
      <c r="AI74" s="51" t="str">
        <f>VLOOKUP(Table3[[#This Row],[MONTH]],TAGS!$W$67:$Y$81,3,FALSE)</f>
        <v>2ND SEMESTER</v>
      </c>
      <c r="AJ74" s="51">
        <f>VLOOKUP(Table3[[#This Row],[MONTH]],TAGS!$W$67:$Z$81,4,FALSE)</f>
        <v>2025</v>
      </c>
      <c r="AK74" s="47">
        <v>2502</v>
      </c>
      <c r="AL74" s="51" t="str">
        <f>VLOOKUP(Table3[[#This Row],[ACTIVITY]],TAGS!$B:$R,16,FALSE)</f>
        <v>YES</v>
      </c>
      <c r="AM74" s="47">
        <v>139</v>
      </c>
      <c r="AN74" s="47">
        <v>1668</v>
      </c>
      <c r="AO74" s="57">
        <f>SUM(Table3[[#This Row],[MALE BENEFICIARIES]:[FEMALE BENEFICIARIES]])</f>
        <v>0</v>
      </c>
      <c r="AP74" s="58"/>
      <c r="AQ74" s="58"/>
      <c r="AR74" s="58"/>
      <c r="AS74" s="58">
        <v>1</v>
      </c>
      <c r="AT74" s="59">
        <v>139</v>
      </c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</row>
    <row r="75" spans="1:65">
      <c r="A75" s="51" t="str">
        <f>VLOOKUP(Table3[[#This Row],[OU]],OU!$A$15:$B$34,2,FALSE)</f>
        <v>RFOs</v>
      </c>
      <c r="B75" s="47" t="s">
        <v>5</v>
      </c>
      <c r="C75" s="47" t="s">
        <v>574</v>
      </c>
      <c r="D75" s="47"/>
      <c r="E75" s="47" t="s">
        <v>22</v>
      </c>
      <c r="F75" s="47" t="s">
        <v>657</v>
      </c>
      <c r="G7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7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21515000</v>
      </c>
      <c r="I75" s="52" t="str">
        <f>VLOOKUP(Table3[[#This Row],[PSGC]],DISTRICT!$D:$G,4,FALSE)</f>
        <v>4th</v>
      </c>
      <c r="J75" s="47" t="s">
        <v>578</v>
      </c>
      <c r="K75" s="51" t="str">
        <f>VLOOKUP(Table3[[#This Row],[SPECIFIC COMMODITY]],TAGS!$W$48:$X$53,2,FALSE)</f>
        <v>Corn</v>
      </c>
      <c r="L75" s="51" t="str">
        <f>VLOOKUP(Table3[[#This Row],[PREXC SUB-PROGRAM]],Table5[],2,FALSE)</f>
        <v>TECHNICAL AND SUPPORT SERVICES PROGRAM</v>
      </c>
      <c r="M75" s="51" t="str">
        <f>VLOOKUP(Table3[[#This Row],[COMMODITY PREXC SUB-PROGRAM]],TAGS!$U$54:$V$76,2,FALSE)</f>
        <v>PSS</v>
      </c>
      <c r="N75" s="47" t="s">
        <v>576</v>
      </c>
      <c r="O75" s="54" t="str">
        <f>VLOOKUP(Table3[[#This Row],[PI LEVEL 3]],'PI LEVEL'!A:C,3,FALSE)</f>
        <v>Seeds distributed</v>
      </c>
      <c r="P75" s="54" t="str">
        <f>VLOOKUP(Table3[[#This Row],[PI LEVEL 3]],Table53729[[Performance Indicator Level 3]:[Performance Indicator Level 1]],2,FALSE)</f>
        <v>Corn Seeds distributed</v>
      </c>
      <c r="Q75" s="54" t="str">
        <f>VLOOKUP(Table3[[#This Row],[ACTIVITY]],TAGS!B:P,2,FALSE)</f>
        <v>Yellow Corn Seeds distributed</v>
      </c>
      <c r="R75" s="47" t="s">
        <v>34</v>
      </c>
      <c r="S75" s="51" t="str">
        <f>VLOOKUP(Table3[[#This Row],[ACTIVITY]],TAGS!$B:$P,4,FALSE)</f>
        <v>Yellow Corn Production Enhancement Project</v>
      </c>
      <c r="T75" s="51" t="str">
        <f>VLOOKUP(Table3[[#This Row],[ACTIVITY]],TAGS!$B:$P,5,FALSE)</f>
        <v>Corn Seed Assistance</v>
      </c>
      <c r="U75" s="51" t="str">
        <f>VLOOKUP(Table3[[#This Row],[ACTIVITY]],TAGS!$B:$P,6,FALSE)</f>
        <v>Yellow corn seeds</v>
      </c>
      <c r="V75" s="51" t="str">
        <f>VLOOKUP(Table3[[#This Row],[ACTIVITY]],TAGS!$B:$P,7,FALSE)</f>
        <v>NO</v>
      </c>
      <c r="W75" s="51" t="str">
        <f>VLOOKUP(Table3[[#This Row],[ACTIVITY]],TAGS!$B:$P,8,FALSE)</f>
        <v>PAP</v>
      </c>
      <c r="X75" s="51" t="str">
        <f>VLOOKUP(Table3[[#This Row],[ACTIVITY]],TAGS!$B:$P,10,FALSE)</f>
        <v>PIP</v>
      </c>
      <c r="Y75" s="51" t="str">
        <f>VLOOKUP(Table3[[#This Row],[ACTIVITY]],TAGS!$B:$P,11,FALSE)</f>
        <v>PICS</v>
      </c>
      <c r="Z75" s="51" t="str">
        <f>VLOOKUP(Table3[[#This Row],[ACTIVITY]],TAGS!$B:$P,12,FALSE)</f>
        <v>Consolidation</v>
      </c>
      <c r="AA75" s="51" t="str">
        <f>VLOOKUP(Table3[[#This Row],[ACTIVITY]],TAGS!$B:$P,13,FALSE)</f>
        <v>1. Bayanihan Agri Cluster</v>
      </c>
      <c r="AB75" s="51" t="str">
        <f>VLOOKUP(Table3[[#This Row],[ACTIVITY]],TAGS!$B:$P,14,FALSE)</f>
        <v>EXPAND AND IMPROVE AVAILABLE AGRI-FISHERY AREAS FOR INCREASED PRODUCTION</v>
      </c>
      <c r="AC75" s="51" t="str">
        <f>VLOOKUP(Table3[[#This Row],[ACTIVITY]],TAGS!$B:$P,15,FALSE)</f>
        <v>Farm Inputs</v>
      </c>
      <c r="AD75" s="51" t="str">
        <f>VLOOKUP(Table3[[#This Row],[PI LEVEL 3]],'PI LEVEL'!$A:$G,7,FALSE)</f>
        <v>DA-Level Output</v>
      </c>
      <c r="AE75" s="47" t="s">
        <v>577</v>
      </c>
      <c r="AF75" s="51" t="str">
        <f>VLOOKUP(Table3[[#This Row],[ACTIVITY]],TAGS!$B:$P,3,FALSE)</f>
        <v>kilogram</v>
      </c>
      <c r="AG75" s="47" t="s">
        <v>334</v>
      </c>
      <c r="AH75" s="51" t="str">
        <f>VLOOKUP(Table3[[#This Row],[MONTH]],TAGS!$W$67:$Y$81,2,FALSE)</f>
        <v>3RD QTR</v>
      </c>
      <c r="AI75" s="51" t="str">
        <f>VLOOKUP(Table3[[#This Row],[MONTH]],TAGS!$W$67:$Y$81,3,FALSE)</f>
        <v>2ND SEMESTER</v>
      </c>
      <c r="AJ75" s="51">
        <f>VLOOKUP(Table3[[#This Row],[MONTH]],TAGS!$W$67:$Z$81,4,FALSE)</f>
        <v>2025</v>
      </c>
      <c r="AK75" s="47">
        <v>2970</v>
      </c>
      <c r="AL75" s="51" t="str">
        <f>VLOOKUP(Table3[[#This Row],[ACTIVITY]],TAGS!$B:$R,16,FALSE)</f>
        <v>YES</v>
      </c>
      <c r="AM75" s="47">
        <v>165</v>
      </c>
      <c r="AN75" s="47">
        <v>1980</v>
      </c>
      <c r="AO75" s="57">
        <f>SUM(Table3[[#This Row],[MALE BENEFICIARIES]:[FEMALE BENEFICIARIES]])</f>
        <v>0</v>
      </c>
      <c r="AP75" s="58"/>
      <c r="AQ75" s="58"/>
      <c r="AR75" s="58"/>
      <c r="AS75" s="58">
        <v>1</v>
      </c>
      <c r="AT75" s="59">
        <v>165</v>
      </c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</row>
    <row r="76" spans="1:65">
      <c r="A76" s="51" t="str">
        <f>VLOOKUP(Table3[[#This Row],[OU]],OU!$A$15:$B$34,2,FALSE)</f>
        <v>RFOs</v>
      </c>
      <c r="B76" s="47" t="s">
        <v>5</v>
      </c>
      <c r="C76" s="47" t="s">
        <v>574</v>
      </c>
      <c r="D76" s="47"/>
      <c r="E76" s="47" t="s">
        <v>22</v>
      </c>
      <c r="F76" s="47" t="s">
        <v>658</v>
      </c>
      <c r="G7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7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21519000</v>
      </c>
      <c r="I76" s="52" t="str">
        <f>VLOOKUP(Table3[[#This Row],[PSGC]],DISTRICT!$D:$G,4,FALSE)</f>
        <v>1st</v>
      </c>
      <c r="J76" s="47" t="s">
        <v>578</v>
      </c>
      <c r="K76" s="51" t="str">
        <f>VLOOKUP(Table3[[#This Row],[SPECIFIC COMMODITY]],TAGS!$W$48:$X$53,2,FALSE)</f>
        <v>Corn</v>
      </c>
      <c r="L76" s="51" t="str">
        <f>VLOOKUP(Table3[[#This Row],[PREXC SUB-PROGRAM]],Table5[],2,FALSE)</f>
        <v>TECHNICAL AND SUPPORT SERVICES PROGRAM</v>
      </c>
      <c r="M76" s="51" t="str">
        <f>VLOOKUP(Table3[[#This Row],[COMMODITY PREXC SUB-PROGRAM]],TAGS!$U$54:$V$76,2,FALSE)</f>
        <v>PSS</v>
      </c>
      <c r="N76" s="47" t="s">
        <v>576</v>
      </c>
      <c r="O76" s="54" t="str">
        <f>VLOOKUP(Table3[[#This Row],[PI LEVEL 3]],'PI LEVEL'!A:C,3,FALSE)</f>
        <v>Seeds distributed</v>
      </c>
      <c r="P76" s="54" t="str">
        <f>VLOOKUP(Table3[[#This Row],[PI LEVEL 3]],Table53729[[Performance Indicator Level 3]:[Performance Indicator Level 1]],2,FALSE)</f>
        <v>Corn Seeds distributed</v>
      </c>
      <c r="Q76" s="54" t="str">
        <f>VLOOKUP(Table3[[#This Row],[ACTIVITY]],TAGS!B:P,2,FALSE)</f>
        <v>Yellow Corn Seeds distributed</v>
      </c>
      <c r="R76" s="47" t="s">
        <v>34</v>
      </c>
      <c r="S76" s="51" t="str">
        <f>VLOOKUP(Table3[[#This Row],[ACTIVITY]],TAGS!$B:$P,4,FALSE)</f>
        <v>Yellow Corn Production Enhancement Project</v>
      </c>
      <c r="T76" s="51" t="str">
        <f>VLOOKUP(Table3[[#This Row],[ACTIVITY]],TAGS!$B:$P,5,FALSE)</f>
        <v>Corn Seed Assistance</v>
      </c>
      <c r="U76" s="51" t="str">
        <f>VLOOKUP(Table3[[#This Row],[ACTIVITY]],TAGS!$B:$P,6,FALSE)</f>
        <v>Yellow corn seeds</v>
      </c>
      <c r="V76" s="51" t="str">
        <f>VLOOKUP(Table3[[#This Row],[ACTIVITY]],TAGS!$B:$P,7,FALSE)</f>
        <v>NO</v>
      </c>
      <c r="W76" s="51" t="str">
        <f>VLOOKUP(Table3[[#This Row],[ACTIVITY]],TAGS!$B:$P,8,FALSE)</f>
        <v>PAP</v>
      </c>
      <c r="X76" s="51" t="str">
        <f>VLOOKUP(Table3[[#This Row],[ACTIVITY]],TAGS!$B:$P,10,FALSE)</f>
        <v>PIP</v>
      </c>
      <c r="Y76" s="51" t="str">
        <f>VLOOKUP(Table3[[#This Row],[ACTIVITY]],TAGS!$B:$P,11,FALSE)</f>
        <v>PICS</v>
      </c>
      <c r="Z76" s="51" t="str">
        <f>VLOOKUP(Table3[[#This Row],[ACTIVITY]],TAGS!$B:$P,12,FALSE)</f>
        <v>Consolidation</v>
      </c>
      <c r="AA76" s="51" t="str">
        <f>VLOOKUP(Table3[[#This Row],[ACTIVITY]],TAGS!$B:$P,13,FALSE)</f>
        <v>1. Bayanihan Agri Cluster</v>
      </c>
      <c r="AB76" s="51" t="str">
        <f>VLOOKUP(Table3[[#This Row],[ACTIVITY]],TAGS!$B:$P,14,FALSE)</f>
        <v>EXPAND AND IMPROVE AVAILABLE AGRI-FISHERY AREAS FOR INCREASED PRODUCTION</v>
      </c>
      <c r="AC76" s="51" t="str">
        <f>VLOOKUP(Table3[[#This Row],[ACTIVITY]],TAGS!$B:$P,15,FALSE)</f>
        <v>Farm Inputs</v>
      </c>
      <c r="AD76" s="51" t="str">
        <f>VLOOKUP(Table3[[#This Row],[PI LEVEL 3]],'PI LEVEL'!$A:$G,7,FALSE)</f>
        <v>DA-Level Output</v>
      </c>
      <c r="AE76" s="47" t="s">
        <v>577</v>
      </c>
      <c r="AF76" s="51" t="str">
        <f>VLOOKUP(Table3[[#This Row],[ACTIVITY]],TAGS!$B:$P,3,FALSE)</f>
        <v>kilogram</v>
      </c>
      <c r="AG76" s="47" t="s">
        <v>334</v>
      </c>
      <c r="AH76" s="51" t="str">
        <f>VLOOKUP(Table3[[#This Row],[MONTH]],TAGS!$W$67:$Y$81,2,FALSE)</f>
        <v>3RD QTR</v>
      </c>
      <c r="AI76" s="51" t="str">
        <f>VLOOKUP(Table3[[#This Row],[MONTH]],TAGS!$W$67:$Y$81,3,FALSE)</f>
        <v>2ND SEMESTER</v>
      </c>
      <c r="AJ76" s="51">
        <f>VLOOKUP(Table3[[#This Row],[MONTH]],TAGS!$W$67:$Z$81,4,FALSE)</f>
        <v>2025</v>
      </c>
      <c r="AK76" s="47">
        <v>24300</v>
      </c>
      <c r="AL76" s="51" t="str">
        <f>VLOOKUP(Table3[[#This Row],[ACTIVITY]],TAGS!$B:$R,16,FALSE)</f>
        <v>YES</v>
      </c>
      <c r="AM76" s="47">
        <v>1350</v>
      </c>
      <c r="AN76" s="47">
        <v>16200</v>
      </c>
      <c r="AO76" s="57">
        <f>SUM(Table3[[#This Row],[MALE BENEFICIARIES]:[FEMALE BENEFICIARIES]])</f>
        <v>0</v>
      </c>
      <c r="AP76" s="58"/>
      <c r="AQ76" s="58"/>
      <c r="AR76" s="58"/>
      <c r="AS76" s="58">
        <v>3</v>
      </c>
      <c r="AT76" s="59">
        <v>1350</v>
      </c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</row>
    <row r="77" spans="1:65">
      <c r="A77" s="51" t="str">
        <f>VLOOKUP(Table3[[#This Row],[OU]],OU!$A$15:$B$34,2,FALSE)</f>
        <v>RFOs</v>
      </c>
      <c r="B77" s="47" t="s">
        <v>5</v>
      </c>
      <c r="C77" s="47" t="s">
        <v>574</v>
      </c>
      <c r="D77" s="47"/>
      <c r="E77" s="47" t="s">
        <v>22</v>
      </c>
      <c r="F77" s="47" t="s">
        <v>659</v>
      </c>
      <c r="G7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7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21527000</v>
      </c>
      <c r="I77" s="52" t="str">
        <f>VLOOKUP(Table3[[#This Row],[PSGC]],DISTRICT!$D:$G,4,FALSE)</f>
        <v>1st</v>
      </c>
      <c r="J77" s="47" t="s">
        <v>578</v>
      </c>
      <c r="K77" s="51" t="str">
        <f>VLOOKUP(Table3[[#This Row],[SPECIFIC COMMODITY]],TAGS!$W$48:$X$53,2,FALSE)</f>
        <v>Corn</v>
      </c>
      <c r="L77" s="51" t="str">
        <f>VLOOKUP(Table3[[#This Row],[PREXC SUB-PROGRAM]],Table5[],2,FALSE)</f>
        <v>TECHNICAL AND SUPPORT SERVICES PROGRAM</v>
      </c>
      <c r="M77" s="51" t="str">
        <f>VLOOKUP(Table3[[#This Row],[COMMODITY PREXC SUB-PROGRAM]],TAGS!$U$54:$V$76,2,FALSE)</f>
        <v>PSS</v>
      </c>
      <c r="N77" s="47" t="s">
        <v>576</v>
      </c>
      <c r="O77" s="54" t="str">
        <f>VLOOKUP(Table3[[#This Row],[PI LEVEL 3]],'PI LEVEL'!A:C,3,FALSE)</f>
        <v>Seeds distributed</v>
      </c>
      <c r="P77" s="54" t="str">
        <f>VLOOKUP(Table3[[#This Row],[PI LEVEL 3]],Table53729[[Performance Indicator Level 3]:[Performance Indicator Level 1]],2,FALSE)</f>
        <v>Corn Seeds distributed</v>
      </c>
      <c r="Q77" s="54" t="str">
        <f>VLOOKUP(Table3[[#This Row],[ACTIVITY]],TAGS!B:P,2,FALSE)</f>
        <v>Yellow Corn Seeds distributed</v>
      </c>
      <c r="R77" s="47" t="s">
        <v>34</v>
      </c>
      <c r="S77" s="51" t="str">
        <f>VLOOKUP(Table3[[#This Row],[ACTIVITY]],TAGS!$B:$P,4,FALSE)</f>
        <v>Yellow Corn Production Enhancement Project</v>
      </c>
      <c r="T77" s="51" t="str">
        <f>VLOOKUP(Table3[[#This Row],[ACTIVITY]],TAGS!$B:$P,5,FALSE)</f>
        <v>Corn Seed Assistance</v>
      </c>
      <c r="U77" s="51" t="str">
        <f>VLOOKUP(Table3[[#This Row],[ACTIVITY]],TAGS!$B:$P,6,FALSE)</f>
        <v>Yellow corn seeds</v>
      </c>
      <c r="V77" s="51" t="str">
        <f>VLOOKUP(Table3[[#This Row],[ACTIVITY]],TAGS!$B:$P,7,FALSE)</f>
        <v>NO</v>
      </c>
      <c r="W77" s="51" t="str">
        <f>VLOOKUP(Table3[[#This Row],[ACTIVITY]],TAGS!$B:$P,8,FALSE)</f>
        <v>PAP</v>
      </c>
      <c r="X77" s="51" t="str">
        <f>VLOOKUP(Table3[[#This Row],[ACTIVITY]],TAGS!$B:$P,10,FALSE)</f>
        <v>PIP</v>
      </c>
      <c r="Y77" s="51" t="str">
        <f>VLOOKUP(Table3[[#This Row],[ACTIVITY]],TAGS!$B:$P,11,FALSE)</f>
        <v>PICS</v>
      </c>
      <c r="Z77" s="51" t="str">
        <f>VLOOKUP(Table3[[#This Row],[ACTIVITY]],TAGS!$B:$P,12,FALSE)</f>
        <v>Consolidation</v>
      </c>
      <c r="AA77" s="51" t="str">
        <f>VLOOKUP(Table3[[#This Row],[ACTIVITY]],TAGS!$B:$P,13,FALSE)</f>
        <v>1. Bayanihan Agri Cluster</v>
      </c>
      <c r="AB77" s="51" t="str">
        <f>VLOOKUP(Table3[[#This Row],[ACTIVITY]],TAGS!$B:$P,14,FALSE)</f>
        <v>EXPAND AND IMPROVE AVAILABLE AGRI-FISHERY AREAS FOR INCREASED PRODUCTION</v>
      </c>
      <c r="AC77" s="51" t="str">
        <f>VLOOKUP(Table3[[#This Row],[ACTIVITY]],TAGS!$B:$P,15,FALSE)</f>
        <v>Farm Inputs</v>
      </c>
      <c r="AD77" s="51" t="str">
        <f>VLOOKUP(Table3[[#This Row],[PI LEVEL 3]],'PI LEVEL'!$A:$G,7,FALSE)</f>
        <v>DA-Level Output</v>
      </c>
      <c r="AE77" s="47" t="s">
        <v>577</v>
      </c>
      <c r="AF77" s="51" t="str">
        <f>VLOOKUP(Table3[[#This Row],[ACTIVITY]],TAGS!$B:$P,3,FALSE)</f>
        <v>kilogram</v>
      </c>
      <c r="AG77" s="47" t="s">
        <v>334</v>
      </c>
      <c r="AH77" s="51" t="str">
        <f>VLOOKUP(Table3[[#This Row],[MONTH]],TAGS!$W$67:$Y$81,2,FALSE)</f>
        <v>3RD QTR</v>
      </c>
      <c r="AI77" s="51" t="str">
        <f>VLOOKUP(Table3[[#This Row],[MONTH]],TAGS!$W$67:$Y$81,3,FALSE)</f>
        <v>2ND SEMESTER</v>
      </c>
      <c r="AJ77" s="51">
        <f>VLOOKUP(Table3[[#This Row],[MONTH]],TAGS!$W$67:$Z$81,4,FALSE)</f>
        <v>2025</v>
      </c>
      <c r="AK77" s="47">
        <v>6336</v>
      </c>
      <c r="AL77" s="51" t="str">
        <f>VLOOKUP(Table3[[#This Row],[ACTIVITY]],TAGS!$B:$R,16,FALSE)</f>
        <v>YES</v>
      </c>
      <c r="AM77" s="47">
        <v>352</v>
      </c>
      <c r="AN77" s="47">
        <v>4224</v>
      </c>
      <c r="AO77" s="57">
        <f>SUM(Table3[[#This Row],[MALE BENEFICIARIES]:[FEMALE BENEFICIARIES]])</f>
        <v>0</v>
      </c>
      <c r="AP77" s="58"/>
      <c r="AQ77" s="58"/>
      <c r="AR77" s="58"/>
      <c r="AS77" s="58">
        <v>1</v>
      </c>
      <c r="AT77" s="59">
        <v>352</v>
      </c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</row>
    <row r="78" spans="1:65">
      <c r="A78" s="51" t="str">
        <f>VLOOKUP(Table3[[#This Row],[OU]],OU!$A$15:$B$34,2,FALSE)</f>
        <v>RFOs</v>
      </c>
      <c r="B78" s="47" t="s">
        <v>5</v>
      </c>
      <c r="C78" s="47" t="s">
        <v>574</v>
      </c>
      <c r="D78" s="47"/>
      <c r="E78" s="47" t="s">
        <v>22</v>
      </c>
      <c r="F78" s="47" t="s">
        <v>660</v>
      </c>
      <c r="G7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7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21528000</v>
      </c>
      <c r="I78" s="52" t="str">
        <f>VLOOKUP(Table3[[#This Row],[PSGC]],DISTRICT!$D:$G,4,FALSE)</f>
        <v>1st</v>
      </c>
      <c r="J78" s="47" t="s">
        <v>578</v>
      </c>
      <c r="K78" s="51" t="str">
        <f>VLOOKUP(Table3[[#This Row],[SPECIFIC COMMODITY]],TAGS!$W$48:$X$53,2,FALSE)</f>
        <v>Corn</v>
      </c>
      <c r="L78" s="51" t="str">
        <f>VLOOKUP(Table3[[#This Row],[PREXC SUB-PROGRAM]],Table5[],2,FALSE)</f>
        <v>TECHNICAL AND SUPPORT SERVICES PROGRAM</v>
      </c>
      <c r="M78" s="51" t="str">
        <f>VLOOKUP(Table3[[#This Row],[COMMODITY PREXC SUB-PROGRAM]],TAGS!$U$54:$V$76,2,FALSE)</f>
        <v>PSS</v>
      </c>
      <c r="N78" s="47" t="s">
        <v>576</v>
      </c>
      <c r="O78" s="54" t="str">
        <f>VLOOKUP(Table3[[#This Row],[PI LEVEL 3]],'PI LEVEL'!A:C,3,FALSE)</f>
        <v>Seeds distributed</v>
      </c>
      <c r="P78" s="54" t="str">
        <f>VLOOKUP(Table3[[#This Row],[PI LEVEL 3]],Table53729[[Performance Indicator Level 3]:[Performance Indicator Level 1]],2,FALSE)</f>
        <v>Corn Seeds distributed</v>
      </c>
      <c r="Q78" s="54" t="str">
        <f>VLOOKUP(Table3[[#This Row],[ACTIVITY]],TAGS!B:P,2,FALSE)</f>
        <v>Yellow Corn Seeds distributed</v>
      </c>
      <c r="R78" s="47" t="s">
        <v>34</v>
      </c>
      <c r="S78" s="51" t="str">
        <f>VLOOKUP(Table3[[#This Row],[ACTIVITY]],TAGS!$B:$P,4,FALSE)</f>
        <v>Yellow Corn Production Enhancement Project</v>
      </c>
      <c r="T78" s="51" t="str">
        <f>VLOOKUP(Table3[[#This Row],[ACTIVITY]],TAGS!$B:$P,5,FALSE)</f>
        <v>Corn Seed Assistance</v>
      </c>
      <c r="U78" s="51" t="str">
        <f>VLOOKUP(Table3[[#This Row],[ACTIVITY]],TAGS!$B:$P,6,FALSE)</f>
        <v>Yellow corn seeds</v>
      </c>
      <c r="V78" s="51" t="str">
        <f>VLOOKUP(Table3[[#This Row],[ACTIVITY]],TAGS!$B:$P,7,FALSE)</f>
        <v>NO</v>
      </c>
      <c r="W78" s="51" t="str">
        <f>VLOOKUP(Table3[[#This Row],[ACTIVITY]],TAGS!$B:$P,8,FALSE)</f>
        <v>PAP</v>
      </c>
      <c r="X78" s="51" t="str">
        <f>VLOOKUP(Table3[[#This Row],[ACTIVITY]],TAGS!$B:$P,10,FALSE)</f>
        <v>PIP</v>
      </c>
      <c r="Y78" s="51" t="str">
        <f>VLOOKUP(Table3[[#This Row],[ACTIVITY]],TAGS!$B:$P,11,FALSE)</f>
        <v>PICS</v>
      </c>
      <c r="Z78" s="51" t="str">
        <f>VLOOKUP(Table3[[#This Row],[ACTIVITY]],TAGS!$B:$P,12,FALSE)</f>
        <v>Consolidation</v>
      </c>
      <c r="AA78" s="51" t="str">
        <f>VLOOKUP(Table3[[#This Row],[ACTIVITY]],TAGS!$B:$P,13,FALSE)</f>
        <v>1. Bayanihan Agri Cluster</v>
      </c>
      <c r="AB78" s="51" t="str">
        <f>VLOOKUP(Table3[[#This Row],[ACTIVITY]],TAGS!$B:$P,14,FALSE)</f>
        <v>EXPAND AND IMPROVE AVAILABLE AGRI-FISHERY AREAS FOR INCREASED PRODUCTION</v>
      </c>
      <c r="AC78" s="51" t="str">
        <f>VLOOKUP(Table3[[#This Row],[ACTIVITY]],TAGS!$B:$P,15,FALSE)</f>
        <v>Farm Inputs</v>
      </c>
      <c r="AD78" s="51" t="str">
        <f>VLOOKUP(Table3[[#This Row],[PI LEVEL 3]],'PI LEVEL'!$A:$G,7,FALSE)</f>
        <v>DA-Level Output</v>
      </c>
      <c r="AE78" s="47" t="s">
        <v>577</v>
      </c>
      <c r="AF78" s="51" t="str">
        <f>VLOOKUP(Table3[[#This Row],[ACTIVITY]],TAGS!$B:$P,3,FALSE)</f>
        <v>kilogram</v>
      </c>
      <c r="AG78" s="47" t="s">
        <v>334</v>
      </c>
      <c r="AH78" s="51" t="str">
        <f>VLOOKUP(Table3[[#This Row],[MONTH]],TAGS!$W$67:$Y$81,2,FALSE)</f>
        <v>3RD QTR</v>
      </c>
      <c r="AI78" s="51" t="str">
        <f>VLOOKUP(Table3[[#This Row],[MONTH]],TAGS!$W$67:$Y$81,3,FALSE)</f>
        <v>2ND SEMESTER</v>
      </c>
      <c r="AJ78" s="51">
        <f>VLOOKUP(Table3[[#This Row],[MONTH]],TAGS!$W$67:$Z$81,4,FALSE)</f>
        <v>2025</v>
      </c>
      <c r="AK78" s="47">
        <v>5994</v>
      </c>
      <c r="AL78" s="51" t="str">
        <f>VLOOKUP(Table3[[#This Row],[ACTIVITY]],TAGS!$B:$R,16,FALSE)</f>
        <v>YES</v>
      </c>
      <c r="AM78" s="47">
        <v>333</v>
      </c>
      <c r="AN78" s="47">
        <v>3996</v>
      </c>
      <c r="AO78" s="57">
        <f>SUM(Table3[[#This Row],[MALE BENEFICIARIES]:[FEMALE BENEFICIARIES]])</f>
        <v>0</v>
      </c>
      <c r="AP78" s="58"/>
      <c r="AQ78" s="58"/>
      <c r="AR78" s="58"/>
      <c r="AS78" s="58">
        <v>1</v>
      </c>
      <c r="AT78" s="59">
        <v>333</v>
      </c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</row>
    <row r="79" spans="1:65">
      <c r="A79" s="51" t="str">
        <f>VLOOKUP(Table3[[#This Row],[OU]],OU!$A$15:$B$34,2,FALSE)</f>
        <v>RFOs</v>
      </c>
      <c r="B79" s="47" t="s">
        <v>5</v>
      </c>
      <c r="C79" s="47" t="s">
        <v>574</v>
      </c>
      <c r="D79" s="47"/>
      <c r="E79" s="47" t="s">
        <v>22</v>
      </c>
      <c r="F79" s="47" t="s">
        <v>629</v>
      </c>
      <c r="G7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7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21529000</v>
      </c>
      <c r="I79" s="52" t="str">
        <f>VLOOKUP(Table3[[#This Row],[PSGC]],DISTRICT!$D:$G,4,FALSE)</f>
        <v>3rd</v>
      </c>
      <c r="J79" s="47" t="s">
        <v>578</v>
      </c>
      <c r="K79" s="51" t="str">
        <f>VLOOKUP(Table3[[#This Row],[SPECIFIC COMMODITY]],TAGS!$W$48:$X$53,2,FALSE)</f>
        <v>Corn</v>
      </c>
      <c r="L79" s="51" t="str">
        <f>VLOOKUP(Table3[[#This Row],[PREXC SUB-PROGRAM]],Table5[],2,FALSE)</f>
        <v>TECHNICAL AND SUPPORT SERVICES PROGRAM</v>
      </c>
      <c r="M79" s="51" t="str">
        <f>VLOOKUP(Table3[[#This Row],[COMMODITY PREXC SUB-PROGRAM]],TAGS!$U$54:$V$76,2,FALSE)</f>
        <v>PSS</v>
      </c>
      <c r="N79" s="47" t="s">
        <v>576</v>
      </c>
      <c r="O79" s="54" t="str">
        <f>VLOOKUP(Table3[[#This Row],[PI LEVEL 3]],'PI LEVEL'!A:C,3,FALSE)</f>
        <v>Seeds distributed</v>
      </c>
      <c r="P79" s="54" t="str">
        <f>VLOOKUP(Table3[[#This Row],[PI LEVEL 3]],Table53729[[Performance Indicator Level 3]:[Performance Indicator Level 1]],2,FALSE)</f>
        <v>Corn Seeds distributed</v>
      </c>
      <c r="Q79" s="54" t="str">
        <f>VLOOKUP(Table3[[#This Row],[ACTIVITY]],TAGS!B:P,2,FALSE)</f>
        <v>Yellow Corn Seeds distributed</v>
      </c>
      <c r="R79" s="47" t="s">
        <v>34</v>
      </c>
      <c r="S79" s="51" t="str">
        <f>VLOOKUP(Table3[[#This Row],[ACTIVITY]],TAGS!$B:$P,4,FALSE)</f>
        <v>Yellow Corn Production Enhancement Project</v>
      </c>
      <c r="T79" s="51" t="str">
        <f>VLOOKUP(Table3[[#This Row],[ACTIVITY]],TAGS!$B:$P,5,FALSE)</f>
        <v>Corn Seed Assistance</v>
      </c>
      <c r="U79" s="51" t="str">
        <f>VLOOKUP(Table3[[#This Row],[ACTIVITY]],TAGS!$B:$P,6,FALSE)</f>
        <v>Yellow corn seeds</v>
      </c>
      <c r="V79" s="51" t="str">
        <f>VLOOKUP(Table3[[#This Row],[ACTIVITY]],TAGS!$B:$P,7,FALSE)</f>
        <v>NO</v>
      </c>
      <c r="W79" s="51" t="str">
        <f>VLOOKUP(Table3[[#This Row],[ACTIVITY]],TAGS!$B:$P,8,FALSE)</f>
        <v>PAP</v>
      </c>
      <c r="X79" s="51" t="str">
        <f>VLOOKUP(Table3[[#This Row],[ACTIVITY]],TAGS!$B:$P,10,FALSE)</f>
        <v>PIP</v>
      </c>
      <c r="Y79" s="51" t="str">
        <f>VLOOKUP(Table3[[#This Row],[ACTIVITY]],TAGS!$B:$P,11,FALSE)</f>
        <v>PICS</v>
      </c>
      <c r="Z79" s="51" t="str">
        <f>VLOOKUP(Table3[[#This Row],[ACTIVITY]],TAGS!$B:$P,12,FALSE)</f>
        <v>Consolidation</v>
      </c>
      <c r="AA79" s="51" t="str">
        <f>VLOOKUP(Table3[[#This Row],[ACTIVITY]],TAGS!$B:$P,13,FALSE)</f>
        <v>1. Bayanihan Agri Cluster</v>
      </c>
      <c r="AB79" s="51" t="str">
        <f>VLOOKUP(Table3[[#This Row],[ACTIVITY]],TAGS!$B:$P,14,FALSE)</f>
        <v>EXPAND AND IMPROVE AVAILABLE AGRI-FISHERY AREAS FOR INCREASED PRODUCTION</v>
      </c>
      <c r="AC79" s="51" t="str">
        <f>VLOOKUP(Table3[[#This Row],[ACTIVITY]],TAGS!$B:$P,15,FALSE)</f>
        <v>Farm Inputs</v>
      </c>
      <c r="AD79" s="51" t="str">
        <f>VLOOKUP(Table3[[#This Row],[PI LEVEL 3]],'PI LEVEL'!$A:$G,7,FALSE)</f>
        <v>DA-Level Output</v>
      </c>
      <c r="AE79" s="47" t="s">
        <v>577</v>
      </c>
      <c r="AF79" s="51" t="str">
        <f>VLOOKUP(Table3[[#This Row],[ACTIVITY]],TAGS!$B:$P,3,FALSE)</f>
        <v>kilogram</v>
      </c>
      <c r="AG79" s="47" t="s">
        <v>334</v>
      </c>
      <c r="AH79" s="51" t="str">
        <f>VLOOKUP(Table3[[#This Row],[MONTH]],TAGS!$W$67:$Y$81,2,FALSE)</f>
        <v>3RD QTR</v>
      </c>
      <c r="AI79" s="51" t="str">
        <f>VLOOKUP(Table3[[#This Row],[MONTH]],TAGS!$W$67:$Y$81,3,FALSE)</f>
        <v>2ND SEMESTER</v>
      </c>
      <c r="AJ79" s="51">
        <f>VLOOKUP(Table3[[#This Row],[MONTH]],TAGS!$W$67:$Z$81,4,FALSE)</f>
        <v>2025</v>
      </c>
      <c r="AK79" s="47">
        <v>4842</v>
      </c>
      <c r="AL79" s="51" t="str">
        <f>VLOOKUP(Table3[[#This Row],[ACTIVITY]],TAGS!$B:$R,16,FALSE)</f>
        <v>YES</v>
      </c>
      <c r="AM79" s="47">
        <v>269</v>
      </c>
      <c r="AN79" s="47">
        <v>3228</v>
      </c>
      <c r="AO79" s="57">
        <f>SUM(Table3[[#This Row],[MALE BENEFICIARIES]:[FEMALE BENEFICIARIES]])</f>
        <v>0</v>
      </c>
      <c r="AP79" s="58"/>
      <c r="AQ79" s="58"/>
      <c r="AR79" s="58"/>
      <c r="AS79" s="58">
        <v>1</v>
      </c>
      <c r="AT79" s="59">
        <v>269</v>
      </c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</row>
    <row r="80" spans="1:65">
      <c r="A80" s="51" t="str">
        <f>VLOOKUP(Table3[[#This Row],[OU]],OU!$A$15:$B$34,2,FALSE)</f>
        <v>RFOs</v>
      </c>
      <c r="B80" s="47" t="s">
        <v>5</v>
      </c>
      <c r="C80" s="47" t="s">
        <v>574</v>
      </c>
      <c r="D80" s="47"/>
      <c r="E80" s="47" t="s">
        <v>43</v>
      </c>
      <c r="F80" s="47" t="s">
        <v>622</v>
      </c>
      <c r="G8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8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23106000</v>
      </c>
      <c r="I80" s="52" t="str">
        <f>VLOOKUP(Table3[[#This Row],[PSGC]],DISTRICT!$D:$G,4,FALSE)</f>
        <v>1st</v>
      </c>
      <c r="J80" s="47" t="s">
        <v>578</v>
      </c>
      <c r="K80" s="51" t="str">
        <f>VLOOKUP(Table3[[#This Row],[SPECIFIC COMMODITY]],TAGS!$W$48:$X$53,2,FALSE)</f>
        <v>Corn</v>
      </c>
      <c r="L80" s="51" t="str">
        <f>VLOOKUP(Table3[[#This Row],[PREXC SUB-PROGRAM]],Table5[],2,FALSE)</f>
        <v>TECHNICAL AND SUPPORT SERVICES PROGRAM</v>
      </c>
      <c r="M80" s="51" t="str">
        <f>VLOOKUP(Table3[[#This Row],[COMMODITY PREXC SUB-PROGRAM]],TAGS!$U$54:$V$76,2,FALSE)</f>
        <v>PSS</v>
      </c>
      <c r="N80" s="47" t="s">
        <v>576</v>
      </c>
      <c r="O80" s="54" t="str">
        <f>VLOOKUP(Table3[[#This Row],[PI LEVEL 3]],'PI LEVEL'!A:C,3,FALSE)</f>
        <v>Seeds distributed</v>
      </c>
      <c r="P80" s="54" t="str">
        <f>VLOOKUP(Table3[[#This Row],[PI LEVEL 3]],Table53729[[Performance Indicator Level 3]:[Performance Indicator Level 1]],2,FALSE)</f>
        <v>Corn Seeds distributed</v>
      </c>
      <c r="Q80" s="54" t="str">
        <f>VLOOKUP(Table3[[#This Row],[ACTIVITY]],TAGS!B:P,2,FALSE)</f>
        <v>Yellow Corn Seeds distributed</v>
      </c>
      <c r="R80" s="47" t="s">
        <v>34</v>
      </c>
      <c r="S80" s="51" t="str">
        <f>VLOOKUP(Table3[[#This Row],[ACTIVITY]],TAGS!$B:$P,4,FALSE)</f>
        <v>Yellow Corn Production Enhancement Project</v>
      </c>
      <c r="T80" s="51" t="str">
        <f>VLOOKUP(Table3[[#This Row],[ACTIVITY]],TAGS!$B:$P,5,FALSE)</f>
        <v>Corn Seed Assistance</v>
      </c>
      <c r="U80" s="51" t="str">
        <f>VLOOKUP(Table3[[#This Row],[ACTIVITY]],TAGS!$B:$P,6,FALSE)</f>
        <v>Yellow corn seeds</v>
      </c>
      <c r="V80" s="51" t="str">
        <f>VLOOKUP(Table3[[#This Row],[ACTIVITY]],TAGS!$B:$P,7,FALSE)</f>
        <v>NO</v>
      </c>
      <c r="W80" s="51" t="str">
        <f>VLOOKUP(Table3[[#This Row],[ACTIVITY]],TAGS!$B:$P,8,FALSE)</f>
        <v>PAP</v>
      </c>
      <c r="X80" s="51" t="str">
        <f>VLOOKUP(Table3[[#This Row],[ACTIVITY]],TAGS!$B:$P,10,FALSE)</f>
        <v>PIP</v>
      </c>
      <c r="Y80" s="51" t="str">
        <f>VLOOKUP(Table3[[#This Row],[ACTIVITY]],TAGS!$B:$P,11,FALSE)</f>
        <v>PICS</v>
      </c>
      <c r="Z80" s="51" t="str">
        <f>VLOOKUP(Table3[[#This Row],[ACTIVITY]],TAGS!$B:$P,12,FALSE)</f>
        <v>Consolidation</v>
      </c>
      <c r="AA80" s="51" t="str">
        <f>VLOOKUP(Table3[[#This Row],[ACTIVITY]],TAGS!$B:$P,13,FALSE)</f>
        <v>1. Bayanihan Agri Cluster</v>
      </c>
      <c r="AB80" s="51" t="str">
        <f>VLOOKUP(Table3[[#This Row],[ACTIVITY]],TAGS!$B:$P,14,FALSE)</f>
        <v>EXPAND AND IMPROVE AVAILABLE AGRI-FISHERY AREAS FOR INCREASED PRODUCTION</v>
      </c>
      <c r="AC80" s="51" t="str">
        <f>VLOOKUP(Table3[[#This Row],[ACTIVITY]],TAGS!$B:$P,15,FALSE)</f>
        <v>Farm Inputs</v>
      </c>
      <c r="AD80" s="51" t="str">
        <f>VLOOKUP(Table3[[#This Row],[PI LEVEL 3]],'PI LEVEL'!$A:$G,7,FALSE)</f>
        <v>DA-Level Output</v>
      </c>
      <c r="AE80" s="47" t="s">
        <v>577</v>
      </c>
      <c r="AF80" s="51" t="str">
        <f>VLOOKUP(Table3[[#This Row],[ACTIVITY]],TAGS!$B:$P,3,FALSE)</f>
        <v>kilogram</v>
      </c>
      <c r="AG80" s="47" t="s">
        <v>334</v>
      </c>
      <c r="AH80" s="51" t="str">
        <f>VLOOKUP(Table3[[#This Row],[MONTH]],TAGS!$W$67:$Y$81,2,FALSE)</f>
        <v>3RD QTR</v>
      </c>
      <c r="AI80" s="51" t="str">
        <f>VLOOKUP(Table3[[#This Row],[MONTH]],TAGS!$W$67:$Y$81,3,FALSE)</f>
        <v>2ND SEMESTER</v>
      </c>
      <c r="AJ80" s="51">
        <f>VLOOKUP(Table3[[#This Row],[MONTH]],TAGS!$W$67:$Z$81,4,FALSE)</f>
        <v>2025</v>
      </c>
      <c r="AK80" s="47">
        <v>13824</v>
      </c>
      <c r="AL80" s="51" t="str">
        <f>VLOOKUP(Table3[[#This Row],[ACTIVITY]],TAGS!$B:$R,16,FALSE)</f>
        <v>YES</v>
      </c>
      <c r="AM80" s="47">
        <v>768</v>
      </c>
      <c r="AN80" s="47">
        <v>9216</v>
      </c>
      <c r="AO80" s="57">
        <f>SUM(Table3[[#This Row],[MALE BENEFICIARIES]:[FEMALE BENEFICIARIES]])</f>
        <v>0</v>
      </c>
      <c r="AP80" s="58"/>
      <c r="AQ80" s="58"/>
      <c r="AR80" s="58"/>
      <c r="AS80" s="58">
        <v>1</v>
      </c>
      <c r="AT80" s="59">
        <v>768</v>
      </c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</row>
    <row r="81" spans="1:65">
      <c r="A81" s="51" t="str">
        <f>VLOOKUP(Table3[[#This Row],[OU]],OU!$A$15:$B$34,2,FALSE)</f>
        <v>RFOs</v>
      </c>
      <c r="B81" s="47" t="s">
        <v>5</v>
      </c>
      <c r="C81" s="47" t="s">
        <v>574</v>
      </c>
      <c r="D81" s="47"/>
      <c r="E81" s="47" t="s">
        <v>43</v>
      </c>
      <c r="F81" s="47" t="s">
        <v>630</v>
      </c>
      <c r="G8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8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23114000</v>
      </c>
      <c r="I81" s="52" t="str">
        <f>VLOOKUP(Table3[[#This Row],[PSGC]],DISTRICT!$D:$G,4,FALSE)</f>
        <v>1st</v>
      </c>
      <c r="J81" s="47" t="s">
        <v>578</v>
      </c>
      <c r="K81" s="51" t="str">
        <f>VLOOKUP(Table3[[#This Row],[SPECIFIC COMMODITY]],TAGS!$W$48:$X$53,2,FALSE)</f>
        <v>Corn</v>
      </c>
      <c r="L81" s="51" t="str">
        <f>VLOOKUP(Table3[[#This Row],[PREXC SUB-PROGRAM]],Table5[],2,FALSE)</f>
        <v>TECHNICAL AND SUPPORT SERVICES PROGRAM</v>
      </c>
      <c r="M81" s="51" t="str">
        <f>VLOOKUP(Table3[[#This Row],[COMMODITY PREXC SUB-PROGRAM]],TAGS!$U$54:$V$76,2,FALSE)</f>
        <v>PSS</v>
      </c>
      <c r="N81" s="47" t="s">
        <v>576</v>
      </c>
      <c r="O81" s="54" t="str">
        <f>VLOOKUP(Table3[[#This Row],[PI LEVEL 3]],'PI LEVEL'!A:C,3,FALSE)</f>
        <v>Seeds distributed</v>
      </c>
      <c r="P81" s="54" t="str">
        <f>VLOOKUP(Table3[[#This Row],[PI LEVEL 3]],Table53729[[Performance Indicator Level 3]:[Performance Indicator Level 1]],2,FALSE)</f>
        <v>Corn Seeds distributed</v>
      </c>
      <c r="Q81" s="54" t="str">
        <f>VLOOKUP(Table3[[#This Row],[ACTIVITY]],TAGS!B:P,2,FALSE)</f>
        <v>Yellow Corn Seeds distributed</v>
      </c>
      <c r="R81" s="47" t="s">
        <v>34</v>
      </c>
      <c r="S81" s="51" t="str">
        <f>VLOOKUP(Table3[[#This Row],[ACTIVITY]],TAGS!$B:$P,4,FALSE)</f>
        <v>Yellow Corn Production Enhancement Project</v>
      </c>
      <c r="T81" s="51" t="str">
        <f>VLOOKUP(Table3[[#This Row],[ACTIVITY]],TAGS!$B:$P,5,FALSE)</f>
        <v>Corn Seed Assistance</v>
      </c>
      <c r="U81" s="51" t="str">
        <f>VLOOKUP(Table3[[#This Row],[ACTIVITY]],TAGS!$B:$P,6,FALSE)</f>
        <v>Yellow corn seeds</v>
      </c>
      <c r="V81" s="51" t="str">
        <f>VLOOKUP(Table3[[#This Row],[ACTIVITY]],TAGS!$B:$P,7,FALSE)</f>
        <v>NO</v>
      </c>
      <c r="W81" s="51" t="str">
        <f>VLOOKUP(Table3[[#This Row],[ACTIVITY]],TAGS!$B:$P,8,FALSE)</f>
        <v>PAP</v>
      </c>
      <c r="X81" s="51" t="str">
        <f>VLOOKUP(Table3[[#This Row],[ACTIVITY]],TAGS!$B:$P,10,FALSE)</f>
        <v>PIP</v>
      </c>
      <c r="Y81" s="51" t="str">
        <f>VLOOKUP(Table3[[#This Row],[ACTIVITY]],TAGS!$B:$P,11,FALSE)</f>
        <v>PICS</v>
      </c>
      <c r="Z81" s="51" t="str">
        <f>VLOOKUP(Table3[[#This Row],[ACTIVITY]],TAGS!$B:$P,12,FALSE)</f>
        <v>Consolidation</v>
      </c>
      <c r="AA81" s="51" t="str">
        <f>VLOOKUP(Table3[[#This Row],[ACTIVITY]],TAGS!$B:$P,13,FALSE)</f>
        <v>1. Bayanihan Agri Cluster</v>
      </c>
      <c r="AB81" s="51" t="str">
        <f>VLOOKUP(Table3[[#This Row],[ACTIVITY]],TAGS!$B:$P,14,FALSE)</f>
        <v>EXPAND AND IMPROVE AVAILABLE AGRI-FISHERY AREAS FOR INCREASED PRODUCTION</v>
      </c>
      <c r="AC81" s="51" t="str">
        <f>VLOOKUP(Table3[[#This Row],[ACTIVITY]],TAGS!$B:$P,15,FALSE)</f>
        <v>Farm Inputs</v>
      </c>
      <c r="AD81" s="51" t="str">
        <f>VLOOKUP(Table3[[#This Row],[PI LEVEL 3]],'PI LEVEL'!$A:$G,7,FALSE)</f>
        <v>DA-Level Output</v>
      </c>
      <c r="AE81" s="47" t="s">
        <v>577</v>
      </c>
      <c r="AF81" s="51" t="str">
        <f>VLOOKUP(Table3[[#This Row],[ACTIVITY]],TAGS!$B:$P,3,FALSE)</f>
        <v>kilogram</v>
      </c>
      <c r="AG81" s="47" t="s">
        <v>334</v>
      </c>
      <c r="AH81" s="51" t="str">
        <f>VLOOKUP(Table3[[#This Row],[MONTH]],TAGS!$W$67:$Y$81,2,FALSE)</f>
        <v>3RD QTR</v>
      </c>
      <c r="AI81" s="51" t="str">
        <f>VLOOKUP(Table3[[#This Row],[MONTH]],TAGS!$W$67:$Y$81,3,FALSE)</f>
        <v>2ND SEMESTER</v>
      </c>
      <c r="AJ81" s="51">
        <f>VLOOKUP(Table3[[#This Row],[MONTH]],TAGS!$W$67:$Z$81,4,FALSE)</f>
        <v>2025</v>
      </c>
      <c r="AK81" s="47">
        <v>38394</v>
      </c>
      <c r="AL81" s="51" t="str">
        <f>VLOOKUP(Table3[[#This Row],[ACTIVITY]],TAGS!$B:$R,16,FALSE)</f>
        <v>YES</v>
      </c>
      <c r="AM81" s="47">
        <v>2133</v>
      </c>
      <c r="AN81" s="47">
        <v>25596</v>
      </c>
      <c r="AO81" s="57">
        <f>SUM(Table3[[#This Row],[MALE BENEFICIARIES]:[FEMALE BENEFICIARIES]])</f>
        <v>0</v>
      </c>
      <c r="AP81" s="58"/>
      <c r="AQ81" s="58"/>
      <c r="AR81" s="58"/>
      <c r="AS81" s="58">
        <v>1</v>
      </c>
      <c r="AT81" s="59">
        <v>2133</v>
      </c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</row>
    <row r="82" spans="1:65">
      <c r="A82" s="51" t="str">
        <f>VLOOKUP(Table3[[#This Row],[OU]],OU!$A$15:$B$34,2,FALSE)</f>
        <v>RFOs</v>
      </c>
      <c r="B82" s="47" t="s">
        <v>5</v>
      </c>
      <c r="C82" s="47" t="s">
        <v>574</v>
      </c>
      <c r="D82" s="47"/>
      <c r="E82" s="47" t="s">
        <v>43</v>
      </c>
      <c r="F82" s="47" t="s">
        <v>661</v>
      </c>
      <c r="G8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8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23118000</v>
      </c>
      <c r="I82" s="52" t="str">
        <f>VLOOKUP(Table3[[#This Row],[PSGC]],DISTRICT!$D:$G,4,FALSE)</f>
        <v>4th</v>
      </c>
      <c r="J82" s="47" t="s">
        <v>578</v>
      </c>
      <c r="K82" s="51" t="str">
        <f>VLOOKUP(Table3[[#This Row],[SPECIFIC COMMODITY]],TAGS!$W$48:$X$53,2,FALSE)</f>
        <v>Corn</v>
      </c>
      <c r="L82" s="51" t="str">
        <f>VLOOKUP(Table3[[#This Row],[PREXC SUB-PROGRAM]],Table5[],2,FALSE)</f>
        <v>TECHNICAL AND SUPPORT SERVICES PROGRAM</v>
      </c>
      <c r="M82" s="51" t="str">
        <f>VLOOKUP(Table3[[#This Row],[COMMODITY PREXC SUB-PROGRAM]],TAGS!$U$54:$V$76,2,FALSE)</f>
        <v>PSS</v>
      </c>
      <c r="N82" s="47" t="s">
        <v>576</v>
      </c>
      <c r="O82" s="54" t="str">
        <f>VLOOKUP(Table3[[#This Row],[PI LEVEL 3]],'PI LEVEL'!A:C,3,FALSE)</f>
        <v>Seeds distributed</v>
      </c>
      <c r="P82" s="54" t="str">
        <f>VLOOKUP(Table3[[#This Row],[PI LEVEL 3]],Table53729[[Performance Indicator Level 3]:[Performance Indicator Level 1]],2,FALSE)</f>
        <v>Corn Seeds distributed</v>
      </c>
      <c r="Q82" s="54" t="str">
        <f>VLOOKUP(Table3[[#This Row],[ACTIVITY]],TAGS!B:P,2,FALSE)</f>
        <v>Yellow Corn Seeds distributed</v>
      </c>
      <c r="R82" s="47" t="s">
        <v>34</v>
      </c>
      <c r="S82" s="51" t="str">
        <f>VLOOKUP(Table3[[#This Row],[ACTIVITY]],TAGS!$B:$P,4,FALSE)</f>
        <v>Yellow Corn Production Enhancement Project</v>
      </c>
      <c r="T82" s="51" t="str">
        <f>VLOOKUP(Table3[[#This Row],[ACTIVITY]],TAGS!$B:$P,5,FALSE)</f>
        <v>Corn Seed Assistance</v>
      </c>
      <c r="U82" s="51" t="str">
        <f>VLOOKUP(Table3[[#This Row],[ACTIVITY]],TAGS!$B:$P,6,FALSE)</f>
        <v>Yellow corn seeds</v>
      </c>
      <c r="V82" s="51" t="str">
        <f>VLOOKUP(Table3[[#This Row],[ACTIVITY]],TAGS!$B:$P,7,FALSE)</f>
        <v>NO</v>
      </c>
      <c r="W82" s="51" t="str">
        <f>VLOOKUP(Table3[[#This Row],[ACTIVITY]],TAGS!$B:$P,8,FALSE)</f>
        <v>PAP</v>
      </c>
      <c r="X82" s="51" t="str">
        <f>VLOOKUP(Table3[[#This Row],[ACTIVITY]],TAGS!$B:$P,10,FALSE)</f>
        <v>PIP</v>
      </c>
      <c r="Y82" s="51" t="str">
        <f>VLOOKUP(Table3[[#This Row],[ACTIVITY]],TAGS!$B:$P,11,FALSE)</f>
        <v>PICS</v>
      </c>
      <c r="Z82" s="51" t="str">
        <f>VLOOKUP(Table3[[#This Row],[ACTIVITY]],TAGS!$B:$P,12,FALSE)</f>
        <v>Consolidation</v>
      </c>
      <c r="AA82" s="51" t="str">
        <f>VLOOKUP(Table3[[#This Row],[ACTIVITY]],TAGS!$B:$P,13,FALSE)</f>
        <v>1. Bayanihan Agri Cluster</v>
      </c>
      <c r="AB82" s="51" t="str">
        <f>VLOOKUP(Table3[[#This Row],[ACTIVITY]],TAGS!$B:$P,14,FALSE)</f>
        <v>EXPAND AND IMPROVE AVAILABLE AGRI-FISHERY AREAS FOR INCREASED PRODUCTION</v>
      </c>
      <c r="AC82" s="51" t="str">
        <f>VLOOKUP(Table3[[#This Row],[ACTIVITY]],TAGS!$B:$P,15,FALSE)</f>
        <v>Farm Inputs</v>
      </c>
      <c r="AD82" s="51" t="str">
        <f>VLOOKUP(Table3[[#This Row],[PI LEVEL 3]],'PI LEVEL'!$A:$G,7,FALSE)</f>
        <v>DA-Level Output</v>
      </c>
      <c r="AE82" s="47" t="s">
        <v>577</v>
      </c>
      <c r="AF82" s="51" t="str">
        <f>VLOOKUP(Table3[[#This Row],[ACTIVITY]],TAGS!$B:$P,3,FALSE)</f>
        <v>kilogram</v>
      </c>
      <c r="AG82" s="47" t="s">
        <v>334</v>
      </c>
      <c r="AH82" s="51" t="str">
        <f>VLOOKUP(Table3[[#This Row],[MONTH]],TAGS!$W$67:$Y$81,2,FALSE)</f>
        <v>3RD QTR</v>
      </c>
      <c r="AI82" s="51" t="str">
        <f>VLOOKUP(Table3[[#This Row],[MONTH]],TAGS!$W$67:$Y$81,3,FALSE)</f>
        <v>2ND SEMESTER</v>
      </c>
      <c r="AJ82" s="51">
        <f>VLOOKUP(Table3[[#This Row],[MONTH]],TAGS!$W$67:$Z$81,4,FALSE)</f>
        <v>2025</v>
      </c>
      <c r="AK82" s="47">
        <v>3006</v>
      </c>
      <c r="AL82" s="51" t="str">
        <f>VLOOKUP(Table3[[#This Row],[ACTIVITY]],TAGS!$B:$R,16,FALSE)</f>
        <v>YES</v>
      </c>
      <c r="AM82" s="47">
        <v>167</v>
      </c>
      <c r="AN82" s="47">
        <v>2004</v>
      </c>
      <c r="AO82" s="57">
        <f>SUM(Table3[[#This Row],[MALE BENEFICIARIES]:[FEMALE BENEFICIARIES]])</f>
        <v>0</v>
      </c>
      <c r="AP82" s="58"/>
      <c r="AQ82" s="58"/>
      <c r="AR82" s="58"/>
      <c r="AS82" s="58">
        <v>1</v>
      </c>
      <c r="AT82" s="59">
        <v>167</v>
      </c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</row>
    <row r="83" spans="1:65">
      <c r="A83" s="51" t="str">
        <f>VLOOKUP(Table3[[#This Row],[OU]],OU!$A$15:$B$34,2,FALSE)</f>
        <v>RFOs</v>
      </c>
      <c r="B83" s="47" t="s">
        <v>5</v>
      </c>
      <c r="C83" s="47" t="s">
        <v>574</v>
      </c>
      <c r="D83" s="47"/>
      <c r="E83" s="47" t="s">
        <v>43</v>
      </c>
      <c r="F83" s="47" t="s">
        <v>623</v>
      </c>
      <c r="G8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8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23133000</v>
      </c>
      <c r="I83" s="52" t="str">
        <f>VLOOKUP(Table3[[#This Row],[PSGC]],DISTRICT!$D:$G,4,FALSE)</f>
        <v>2nd</v>
      </c>
      <c r="J83" s="47" t="s">
        <v>578</v>
      </c>
      <c r="K83" s="51" t="str">
        <f>VLOOKUP(Table3[[#This Row],[SPECIFIC COMMODITY]],TAGS!$W$48:$X$53,2,FALSE)</f>
        <v>Corn</v>
      </c>
      <c r="L83" s="51" t="str">
        <f>VLOOKUP(Table3[[#This Row],[PREXC SUB-PROGRAM]],Table5[],2,FALSE)</f>
        <v>TECHNICAL AND SUPPORT SERVICES PROGRAM</v>
      </c>
      <c r="M83" s="51" t="str">
        <f>VLOOKUP(Table3[[#This Row],[COMMODITY PREXC SUB-PROGRAM]],TAGS!$U$54:$V$76,2,FALSE)</f>
        <v>PSS</v>
      </c>
      <c r="N83" s="47" t="s">
        <v>576</v>
      </c>
      <c r="O83" s="54" t="str">
        <f>VLOOKUP(Table3[[#This Row],[PI LEVEL 3]],'PI LEVEL'!A:C,3,FALSE)</f>
        <v>Seeds distributed</v>
      </c>
      <c r="P83" s="54" t="str">
        <f>VLOOKUP(Table3[[#This Row],[PI LEVEL 3]],Table53729[[Performance Indicator Level 3]:[Performance Indicator Level 1]],2,FALSE)</f>
        <v>Corn Seeds distributed</v>
      </c>
      <c r="Q83" s="54" t="str">
        <f>VLOOKUP(Table3[[#This Row],[ACTIVITY]],TAGS!B:P,2,FALSE)</f>
        <v>Yellow Corn Seeds distributed</v>
      </c>
      <c r="R83" s="47" t="s">
        <v>34</v>
      </c>
      <c r="S83" s="51" t="str">
        <f>VLOOKUP(Table3[[#This Row],[ACTIVITY]],TAGS!$B:$P,4,FALSE)</f>
        <v>Yellow Corn Production Enhancement Project</v>
      </c>
      <c r="T83" s="51" t="str">
        <f>VLOOKUP(Table3[[#This Row],[ACTIVITY]],TAGS!$B:$P,5,FALSE)</f>
        <v>Corn Seed Assistance</v>
      </c>
      <c r="U83" s="51" t="str">
        <f>VLOOKUP(Table3[[#This Row],[ACTIVITY]],TAGS!$B:$P,6,FALSE)</f>
        <v>Yellow corn seeds</v>
      </c>
      <c r="V83" s="51" t="str">
        <f>VLOOKUP(Table3[[#This Row],[ACTIVITY]],TAGS!$B:$P,7,FALSE)</f>
        <v>NO</v>
      </c>
      <c r="W83" s="51" t="str">
        <f>VLOOKUP(Table3[[#This Row],[ACTIVITY]],TAGS!$B:$P,8,FALSE)</f>
        <v>PAP</v>
      </c>
      <c r="X83" s="51" t="str">
        <f>VLOOKUP(Table3[[#This Row],[ACTIVITY]],TAGS!$B:$P,10,FALSE)</f>
        <v>PIP</v>
      </c>
      <c r="Y83" s="51" t="str">
        <f>VLOOKUP(Table3[[#This Row],[ACTIVITY]],TAGS!$B:$P,11,FALSE)</f>
        <v>PICS</v>
      </c>
      <c r="Z83" s="51" t="str">
        <f>VLOOKUP(Table3[[#This Row],[ACTIVITY]],TAGS!$B:$P,12,FALSE)</f>
        <v>Consolidation</v>
      </c>
      <c r="AA83" s="51" t="str">
        <f>VLOOKUP(Table3[[#This Row],[ACTIVITY]],TAGS!$B:$P,13,FALSE)</f>
        <v>1. Bayanihan Agri Cluster</v>
      </c>
      <c r="AB83" s="51" t="str">
        <f>VLOOKUP(Table3[[#This Row],[ACTIVITY]],TAGS!$B:$P,14,FALSE)</f>
        <v>EXPAND AND IMPROVE AVAILABLE AGRI-FISHERY AREAS FOR INCREASED PRODUCTION</v>
      </c>
      <c r="AC83" s="51" t="str">
        <f>VLOOKUP(Table3[[#This Row],[ACTIVITY]],TAGS!$B:$P,15,FALSE)</f>
        <v>Farm Inputs</v>
      </c>
      <c r="AD83" s="51" t="str">
        <f>VLOOKUP(Table3[[#This Row],[PI LEVEL 3]],'PI LEVEL'!$A:$G,7,FALSE)</f>
        <v>DA-Level Output</v>
      </c>
      <c r="AE83" s="47" t="s">
        <v>577</v>
      </c>
      <c r="AF83" s="51" t="str">
        <f>VLOOKUP(Table3[[#This Row],[ACTIVITY]],TAGS!$B:$P,3,FALSE)</f>
        <v>kilogram</v>
      </c>
      <c r="AG83" s="47" t="s">
        <v>334</v>
      </c>
      <c r="AH83" s="51" t="str">
        <f>VLOOKUP(Table3[[#This Row],[MONTH]],TAGS!$W$67:$Y$81,2,FALSE)</f>
        <v>3RD QTR</v>
      </c>
      <c r="AI83" s="51" t="str">
        <f>VLOOKUP(Table3[[#This Row],[MONTH]],TAGS!$W$67:$Y$81,3,FALSE)</f>
        <v>2ND SEMESTER</v>
      </c>
      <c r="AJ83" s="51">
        <f>VLOOKUP(Table3[[#This Row],[MONTH]],TAGS!$W$67:$Z$81,4,FALSE)</f>
        <v>2025</v>
      </c>
      <c r="AK83" s="47">
        <v>9648</v>
      </c>
      <c r="AL83" s="51" t="str">
        <f>VLOOKUP(Table3[[#This Row],[ACTIVITY]],TAGS!$B:$R,16,FALSE)</f>
        <v>YES</v>
      </c>
      <c r="AM83" s="47">
        <v>536</v>
      </c>
      <c r="AN83" s="47">
        <v>6432</v>
      </c>
      <c r="AO83" s="57">
        <f>SUM(Table3[[#This Row],[MALE BENEFICIARIES]:[FEMALE BENEFICIARIES]])</f>
        <v>0</v>
      </c>
      <c r="AP83" s="58"/>
      <c r="AQ83" s="58"/>
      <c r="AR83" s="58"/>
      <c r="AS83" s="58">
        <v>1</v>
      </c>
      <c r="AT83" s="59">
        <v>536</v>
      </c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</row>
    <row r="84" spans="1:65">
      <c r="A84" s="51" t="str">
        <f>VLOOKUP(Table3[[#This Row],[OU]],OU!$A$15:$B$34,2,FALSE)</f>
        <v>RFOs</v>
      </c>
      <c r="B84" s="47" t="s">
        <v>5</v>
      </c>
      <c r="C84" s="47" t="s">
        <v>574</v>
      </c>
      <c r="D84" s="47"/>
      <c r="E84" s="47" t="s">
        <v>43</v>
      </c>
      <c r="F84" s="47" t="s">
        <v>624</v>
      </c>
      <c r="G8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8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23134000</v>
      </c>
      <c r="I84" s="52" t="str">
        <f>VLOOKUP(Table3[[#This Row],[PSGC]],DISTRICT!$D:$G,4,FALSE)</f>
        <v>4th</v>
      </c>
      <c r="J84" s="47" t="s">
        <v>578</v>
      </c>
      <c r="K84" s="51" t="str">
        <f>VLOOKUP(Table3[[#This Row],[SPECIFIC COMMODITY]],TAGS!$W$48:$X$53,2,FALSE)</f>
        <v>Corn</v>
      </c>
      <c r="L84" s="51" t="str">
        <f>VLOOKUP(Table3[[#This Row],[PREXC SUB-PROGRAM]],Table5[],2,FALSE)</f>
        <v>TECHNICAL AND SUPPORT SERVICES PROGRAM</v>
      </c>
      <c r="M84" s="51" t="str">
        <f>VLOOKUP(Table3[[#This Row],[COMMODITY PREXC SUB-PROGRAM]],TAGS!$U$54:$V$76,2,FALSE)</f>
        <v>PSS</v>
      </c>
      <c r="N84" s="47" t="s">
        <v>576</v>
      </c>
      <c r="O84" s="54" t="str">
        <f>VLOOKUP(Table3[[#This Row],[PI LEVEL 3]],'PI LEVEL'!A:C,3,FALSE)</f>
        <v>Seeds distributed</v>
      </c>
      <c r="P84" s="54" t="str">
        <f>VLOOKUP(Table3[[#This Row],[PI LEVEL 3]],Table53729[[Performance Indicator Level 3]:[Performance Indicator Level 1]],2,FALSE)</f>
        <v>Corn Seeds distributed</v>
      </c>
      <c r="Q84" s="54" t="str">
        <f>VLOOKUP(Table3[[#This Row],[ACTIVITY]],TAGS!B:P,2,FALSE)</f>
        <v>Yellow Corn Seeds distributed</v>
      </c>
      <c r="R84" s="47" t="s">
        <v>34</v>
      </c>
      <c r="S84" s="51" t="str">
        <f>VLOOKUP(Table3[[#This Row],[ACTIVITY]],TAGS!$B:$P,4,FALSE)</f>
        <v>Yellow Corn Production Enhancement Project</v>
      </c>
      <c r="T84" s="51" t="str">
        <f>VLOOKUP(Table3[[#This Row],[ACTIVITY]],TAGS!$B:$P,5,FALSE)</f>
        <v>Corn Seed Assistance</v>
      </c>
      <c r="U84" s="51" t="str">
        <f>VLOOKUP(Table3[[#This Row],[ACTIVITY]],TAGS!$B:$P,6,FALSE)</f>
        <v>Yellow corn seeds</v>
      </c>
      <c r="V84" s="51" t="str">
        <f>VLOOKUP(Table3[[#This Row],[ACTIVITY]],TAGS!$B:$P,7,FALSE)</f>
        <v>NO</v>
      </c>
      <c r="W84" s="51" t="str">
        <f>VLOOKUP(Table3[[#This Row],[ACTIVITY]],TAGS!$B:$P,8,FALSE)</f>
        <v>PAP</v>
      </c>
      <c r="X84" s="51" t="str">
        <f>VLOOKUP(Table3[[#This Row],[ACTIVITY]],TAGS!$B:$P,10,FALSE)</f>
        <v>PIP</v>
      </c>
      <c r="Y84" s="51" t="str">
        <f>VLOOKUP(Table3[[#This Row],[ACTIVITY]],TAGS!$B:$P,11,FALSE)</f>
        <v>PICS</v>
      </c>
      <c r="Z84" s="51" t="str">
        <f>VLOOKUP(Table3[[#This Row],[ACTIVITY]],TAGS!$B:$P,12,FALSE)</f>
        <v>Consolidation</v>
      </c>
      <c r="AA84" s="51" t="str">
        <f>VLOOKUP(Table3[[#This Row],[ACTIVITY]],TAGS!$B:$P,13,FALSE)</f>
        <v>1. Bayanihan Agri Cluster</v>
      </c>
      <c r="AB84" s="51" t="str">
        <f>VLOOKUP(Table3[[#This Row],[ACTIVITY]],TAGS!$B:$P,14,FALSE)</f>
        <v>EXPAND AND IMPROVE AVAILABLE AGRI-FISHERY AREAS FOR INCREASED PRODUCTION</v>
      </c>
      <c r="AC84" s="51" t="str">
        <f>VLOOKUP(Table3[[#This Row],[ACTIVITY]],TAGS!$B:$P,15,FALSE)</f>
        <v>Farm Inputs</v>
      </c>
      <c r="AD84" s="51" t="str">
        <f>VLOOKUP(Table3[[#This Row],[PI LEVEL 3]],'PI LEVEL'!$A:$G,7,FALSE)</f>
        <v>DA-Level Output</v>
      </c>
      <c r="AE84" s="47" t="s">
        <v>577</v>
      </c>
      <c r="AF84" s="51" t="str">
        <f>VLOOKUP(Table3[[#This Row],[ACTIVITY]],TAGS!$B:$P,3,FALSE)</f>
        <v>kilogram</v>
      </c>
      <c r="AG84" s="47" t="s">
        <v>334</v>
      </c>
      <c r="AH84" s="51" t="str">
        <f>VLOOKUP(Table3[[#This Row],[MONTH]],TAGS!$W$67:$Y$81,2,FALSE)</f>
        <v>3RD QTR</v>
      </c>
      <c r="AI84" s="51" t="str">
        <f>VLOOKUP(Table3[[#This Row],[MONTH]],TAGS!$W$67:$Y$81,3,FALSE)</f>
        <v>2ND SEMESTER</v>
      </c>
      <c r="AJ84" s="51">
        <f>VLOOKUP(Table3[[#This Row],[MONTH]],TAGS!$W$67:$Z$81,4,FALSE)</f>
        <v>2025</v>
      </c>
      <c r="AK84" s="47">
        <v>5580</v>
      </c>
      <c r="AL84" s="51" t="str">
        <f>VLOOKUP(Table3[[#This Row],[ACTIVITY]],TAGS!$B:$R,16,FALSE)</f>
        <v>YES</v>
      </c>
      <c r="AM84" s="47">
        <v>310</v>
      </c>
      <c r="AN84" s="47">
        <v>3720</v>
      </c>
      <c r="AO84" s="57">
        <f>SUM(Table3[[#This Row],[MALE BENEFICIARIES]:[FEMALE BENEFICIARIES]])</f>
        <v>0</v>
      </c>
      <c r="AP84" s="58"/>
      <c r="AQ84" s="58"/>
      <c r="AR84" s="58"/>
      <c r="AS84" s="58">
        <v>1</v>
      </c>
      <c r="AT84" s="59">
        <v>310</v>
      </c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</row>
    <row r="85" spans="1:65">
      <c r="A85" s="51" t="str">
        <f>VLOOKUP(Table3[[#This Row],[OU]],OU!$A$15:$B$34,2,FALSE)</f>
        <v>RFOs</v>
      </c>
      <c r="B85" s="47" t="s">
        <v>5</v>
      </c>
      <c r="C85" s="47" t="s">
        <v>574</v>
      </c>
      <c r="D85" s="47"/>
      <c r="E85" s="47" t="s">
        <v>43</v>
      </c>
      <c r="F85" s="47" t="s">
        <v>621</v>
      </c>
      <c r="G8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8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23136000</v>
      </c>
      <c r="I85" s="52" t="str">
        <f>VLOOKUP(Table3[[#This Row],[PSGC]],DISTRICT!$D:$G,4,FALSE)</f>
        <v>4th</v>
      </c>
      <c r="J85" s="47" t="s">
        <v>578</v>
      </c>
      <c r="K85" s="51" t="str">
        <f>VLOOKUP(Table3[[#This Row],[SPECIFIC COMMODITY]],TAGS!$W$48:$X$53,2,FALSE)</f>
        <v>Corn</v>
      </c>
      <c r="L85" s="51" t="str">
        <f>VLOOKUP(Table3[[#This Row],[PREXC SUB-PROGRAM]],Table5[],2,FALSE)</f>
        <v>TECHNICAL AND SUPPORT SERVICES PROGRAM</v>
      </c>
      <c r="M85" s="51" t="str">
        <f>VLOOKUP(Table3[[#This Row],[COMMODITY PREXC SUB-PROGRAM]],TAGS!$U$54:$V$76,2,FALSE)</f>
        <v>PSS</v>
      </c>
      <c r="N85" s="47" t="s">
        <v>576</v>
      </c>
      <c r="O85" s="54" t="str">
        <f>VLOOKUP(Table3[[#This Row],[PI LEVEL 3]],'PI LEVEL'!A:C,3,FALSE)</f>
        <v>Seeds distributed</v>
      </c>
      <c r="P85" s="54" t="str">
        <f>VLOOKUP(Table3[[#This Row],[PI LEVEL 3]],Table53729[[Performance Indicator Level 3]:[Performance Indicator Level 1]],2,FALSE)</f>
        <v>Corn Seeds distributed</v>
      </c>
      <c r="Q85" s="54" t="str">
        <f>VLOOKUP(Table3[[#This Row],[ACTIVITY]],TAGS!B:P,2,FALSE)</f>
        <v>Yellow Corn Seeds distributed</v>
      </c>
      <c r="R85" s="47" t="s">
        <v>34</v>
      </c>
      <c r="S85" s="51" t="str">
        <f>VLOOKUP(Table3[[#This Row],[ACTIVITY]],TAGS!$B:$P,4,FALSE)</f>
        <v>Yellow Corn Production Enhancement Project</v>
      </c>
      <c r="T85" s="51" t="str">
        <f>VLOOKUP(Table3[[#This Row],[ACTIVITY]],TAGS!$B:$P,5,FALSE)</f>
        <v>Corn Seed Assistance</v>
      </c>
      <c r="U85" s="51" t="str">
        <f>VLOOKUP(Table3[[#This Row],[ACTIVITY]],TAGS!$B:$P,6,FALSE)</f>
        <v>Yellow corn seeds</v>
      </c>
      <c r="V85" s="51" t="str">
        <f>VLOOKUP(Table3[[#This Row],[ACTIVITY]],TAGS!$B:$P,7,FALSE)</f>
        <v>NO</v>
      </c>
      <c r="W85" s="51" t="str">
        <f>VLOOKUP(Table3[[#This Row],[ACTIVITY]],TAGS!$B:$P,8,FALSE)</f>
        <v>PAP</v>
      </c>
      <c r="X85" s="51" t="str">
        <f>VLOOKUP(Table3[[#This Row],[ACTIVITY]],TAGS!$B:$P,10,FALSE)</f>
        <v>PIP</v>
      </c>
      <c r="Y85" s="51" t="str">
        <f>VLOOKUP(Table3[[#This Row],[ACTIVITY]],TAGS!$B:$P,11,FALSE)</f>
        <v>PICS</v>
      </c>
      <c r="Z85" s="51" t="str">
        <f>VLOOKUP(Table3[[#This Row],[ACTIVITY]],TAGS!$B:$P,12,FALSE)</f>
        <v>Consolidation</v>
      </c>
      <c r="AA85" s="51" t="str">
        <f>VLOOKUP(Table3[[#This Row],[ACTIVITY]],TAGS!$B:$P,13,FALSE)</f>
        <v>1. Bayanihan Agri Cluster</v>
      </c>
      <c r="AB85" s="51" t="str">
        <f>VLOOKUP(Table3[[#This Row],[ACTIVITY]],TAGS!$B:$P,14,FALSE)</f>
        <v>EXPAND AND IMPROVE AVAILABLE AGRI-FISHERY AREAS FOR INCREASED PRODUCTION</v>
      </c>
      <c r="AC85" s="51" t="str">
        <f>VLOOKUP(Table3[[#This Row],[ACTIVITY]],TAGS!$B:$P,15,FALSE)</f>
        <v>Farm Inputs</v>
      </c>
      <c r="AD85" s="51" t="str">
        <f>VLOOKUP(Table3[[#This Row],[PI LEVEL 3]],'PI LEVEL'!$A:$G,7,FALSE)</f>
        <v>DA-Level Output</v>
      </c>
      <c r="AE85" s="47" t="s">
        <v>577</v>
      </c>
      <c r="AF85" s="51" t="str">
        <f>VLOOKUP(Table3[[#This Row],[ACTIVITY]],TAGS!$B:$P,3,FALSE)</f>
        <v>kilogram</v>
      </c>
      <c r="AG85" s="47" t="s">
        <v>334</v>
      </c>
      <c r="AH85" s="51" t="str">
        <f>VLOOKUP(Table3[[#This Row],[MONTH]],TAGS!$W$67:$Y$81,2,FALSE)</f>
        <v>3RD QTR</v>
      </c>
      <c r="AI85" s="51" t="str">
        <f>VLOOKUP(Table3[[#This Row],[MONTH]],TAGS!$W$67:$Y$81,3,FALSE)</f>
        <v>2ND SEMESTER</v>
      </c>
      <c r="AJ85" s="51">
        <f>VLOOKUP(Table3[[#This Row],[MONTH]],TAGS!$W$67:$Z$81,4,FALSE)</f>
        <v>2025</v>
      </c>
      <c r="AK85" s="47">
        <v>7236</v>
      </c>
      <c r="AL85" s="51" t="str">
        <f>VLOOKUP(Table3[[#This Row],[ACTIVITY]],TAGS!$B:$R,16,FALSE)</f>
        <v>YES</v>
      </c>
      <c r="AM85" s="47">
        <v>402</v>
      </c>
      <c r="AN85" s="47">
        <v>4824</v>
      </c>
      <c r="AO85" s="57">
        <f>SUM(Table3[[#This Row],[MALE BENEFICIARIES]:[FEMALE BENEFICIARIES]])</f>
        <v>0</v>
      </c>
      <c r="AP85" s="58"/>
      <c r="AQ85" s="58"/>
      <c r="AR85" s="58"/>
      <c r="AS85" s="58">
        <v>1</v>
      </c>
      <c r="AT85" s="59">
        <v>402</v>
      </c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</row>
    <row r="86" spans="1:65">
      <c r="A86" s="51" t="str">
        <f>VLOOKUP(Table3[[#This Row],[OU]],OU!$A$15:$B$34,2,FALSE)</f>
        <v>RFOs</v>
      </c>
      <c r="B86" s="47" t="s">
        <v>5</v>
      </c>
      <c r="C86" s="47" t="s">
        <v>574</v>
      </c>
      <c r="D86" s="47"/>
      <c r="E86" s="47" t="s">
        <v>43</v>
      </c>
      <c r="F86" s="47" t="s">
        <v>641</v>
      </c>
      <c r="G8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8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23137000</v>
      </c>
      <c r="I86" s="52" t="str">
        <f>VLOOKUP(Table3[[#This Row],[PSGC]],DISTRICT!$D:$G,4,FALSE)</f>
        <v>1st</v>
      </c>
      <c r="J86" s="47" t="s">
        <v>578</v>
      </c>
      <c r="K86" s="51" t="str">
        <f>VLOOKUP(Table3[[#This Row],[SPECIFIC COMMODITY]],TAGS!$W$48:$X$53,2,FALSE)</f>
        <v>Corn</v>
      </c>
      <c r="L86" s="51" t="str">
        <f>VLOOKUP(Table3[[#This Row],[PREXC SUB-PROGRAM]],Table5[],2,FALSE)</f>
        <v>TECHNICAL AND SUPPORT SERVICES PROGRAM</v>
      </c>
      <c r="M86" s="51" t="str">
        <f>VLOOKUP(Table3[[#This Row],[COMMODITY PREXC SUB-PROGRAM]],TAGS!$U$54:$V$76,2,FALSE)</f>
        <v>PSS</v>
      </c>
      <c r="N86" s="47" t="s">
        <v>576</v>
      </c>
      <c r="O86" s="54" t="str">
        <f>VLOOKUP(Table3[[#This Row],[PI LEVEL 3]],'PI LEVEL'!A:C,3,FALSE)</f>
        <v>Seeds distributed</v>
      </c>
      <c r="P86" s="54" t="str">
        <f>VLOOKUP(Table3[[#This Row],[PI LEVEL 3]],Table53729[[Performance Indicator Level 3]:[Performance Indicator Level 1]],2,FALSE)</f>
        <v>Corn Seeds distributed</v>
      </c>
      <c r="Q86" s="54" t="str">
        <f>VLOOKUP(Table3[[#This Row],[ACTIVITY]],TAGS!B:P,2,FALSE)</f>
        <v>Yellow Corn Seeds distributed</v>
      </c>
      <c r="R86" s="47" t="s">
        <v>34</v>
      </c>
      <c r="S86" s="51" t="str">
        <f>VLOOKUP(Table3[[#This Row],[ACTIVITY]],TAGS!$B:$P,4,FALSE)</f>
        <v>Yellow Corn Production Enhancement Project</v>
      </c>
      <c r="T86" s="51" t="str">
        <f>VLOOKUP(Table3[[#This Row],[ACTIVITY]],TAGS!$B:$P,5,FALSE)</f>
        <v>Corn Seed Assistance</v>
      </c>
      <c r="U86" s="51" t="str">
        <f>VLOOKUP(Table3[[#This Row],[ACTIVITY]],TAGS!$B:$P,6,FALSE)</f>
        <v>Yellow corn seeds</v>
      </c>
      <c r="V86" s="51" t="str">
        <f>VLOOKUP(Table3[[#This Row],[ACTIVITY]],TAGS!$B:$P,7,FALSE)</f>
        <v>NO</v>
      </c>
      <c r="W86" s="51" t="str">
        <f>VLOOKUP(Table3[[#This Row],[ACTIVITY]],TAGS!$B:$P,8,FALSE)</f>
        <v>PAP</v>
      </c>
      <c r="X86" s="51" t="str">
        <f>VLOOKUP(Table3[[#This Row],[ACTIVITY]],TAGS!$B:$P,10,FALSE)</f>
        <v>PIP</v>
      </c>
      <c r="Y86" s="51" t="str">
        <f>VLOOKUP(Table3[[#This Row],[ACTIVITY]],TAGS!$B:$P,11,FALSE)</f>
        <v>PICS</v>
      </c>
      <c r="Z86" s="51" t="str">
        <f>VLOOKUP(Table3[[#This Row],[ACTIVITY]],TAGS!$B:$P,12,FALSE)</f>
        <v>Consolidation</v>
      </c>
      <c r="AA86" s="51" t="str">
        <f>VLOOKUP(Table3[[#This Row],[ACTIVITY]],TAGS!$B:$P,13,FALSE)</f>
        <v>1. Bayanihan Agri Cluster</v>
      </c>
      <c r="AB86" s="51" t="str">
        <f>VLOOKUP(Table3[[#This Row],[ACTIVITY]],TAGS!$B:$P,14,FALSE)</f>
        <v>EXPAND AND IMPROVE AVAILABLE AGRI-FISHERY AREAS FOR INCREASED PRODUCTION</v>
      </c>
      <c r="AC86" s="51" t="str">
        <f>VLOOKUP(Table3[[#This Row],[ACTIVITY]],TAGS!$B:$P,15,FALSE)</f>
        <v>Farm Inputs</v>
      </c>
      <c r="AD86" s="51" t="str">
        <f>VLOOKUP(Table3[[#This Row],[PI LEVEL 3]],'PI LEVEL'!$A:$G,7,FALSE)</f>
        <v>DA-Level Output</v>
      </c>
      <c r="AE86" s="47" t="s">
        <v>577</v>
      </c>
      <c r="AF86" s="51" t="str">
        <f>VLOOKUP(Table3[[#This Row],[ACTIVITY]],TAGS!$B:$P,3,FALSE)</f>
        <v>kilogram</v>
      </c>
      <c r="AG86" s="47" t="s">
        <v>334</v>
      </c>
      <c r="AH86" s="51" t="str">
        <f>VLOOKUP(Table3[[#This Row],[MONTH]],TAGS!$W$67:$Y$81,2,FALSE)</f>
        <v>3RD QTR</v>
      </c>
      <c r="AI86" s="51" t="str">
        <f>VLOOKUP(Table3[[#This Row],[MONTH]],TAGS!$W$67:$Y$81,3,FALSE)</f>
        <v>2ND SEMESTER</v>
      </c>
      <c r="AJ86" s="51">
        <f>VLOOKUP(Table3[[#This Row],[MONTH]],TAGS!$W$67:$Z$81,4,FALSE)</f>
        <v>2025</v>
      </c>
      <c r="AK86" s="47">
        <v>29088</v>
      </c>
      <c r="AL86" s="51" t="str">
        <f>VLOOKUP(Table3[[#This Row],[ACTIVITY]],TAGS!$B:$R,16,FALSE)</f>
        <v>YES</v>
      </c>
      <c r="AM86" s="47">
        <v>1616</v>
      </c>
      <c r="AN86" s="47">
        <v>19392</v>
      </c>
      <c r="AO86" s="57">
        <f>SUM(Table3[[#This Row],[MALE BENEFICIARIES]:[FEMALE BENEFICIARIES]])</f>
        <v>0</v>
      </c>
      <c r="AP86" s="58"/>
      <c r="AQ86" s="58"/>
      <c r="AR86" s="58"/>
      <c r="AS86" s="58">
        <v>2</v>
      </c>
      <c r="AT86" s="59">
        <v>1616</v>
      </c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</row>
    <row r="87" spans="1:65">
      <c r="A87" s="51" t="str">
        <f>VLOOKUP(Table3[[#This Row],[OU]],OU!$A$15:$B$34,2,FALSE)</f>
        <v>RFOs</v>
      </c>
      <c r="B87" s="47" t="s">
        <v>5</v>
      </c>
      <c r="C87" s="47" t="s">
        <v>574</v>
      </c>
      <c r="D87" s="47"/>
      <c r="E87" s="47" t="s">
        <v>43</v>
      </c>
      <c r="F87" s="47" t="s">
        <v>662</v>
      </c>
      <c r="G8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8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23104000</v>
      </c>
      <c r="I87" s="52" t="str">
        <f>VLOOKUP(Table3[[#This Row],[PSGC]],DISTRICT!$D:$G,4,FALSE)</f>
        <v>4th</v>
      </c>
      <c r="J87" s="47" t="s">
        <v>578</v>
      </c>
      <c r="K87" s="51" t="str">
        <f>VLOOKUP(Table3[[#This Row],[SPECIFIC COMMODITY]],TAGS!$W$48:$X$53,2,FALSE)</f>
        <v>Corn</v>
      </c>
      <c r="L87" s="51" t="str">
        <f>VLOOKUP(Table3[[#This Row],[PREXC SUB-PROGRAM]],Table5[],2,FALSE)</f>
        <v>TECHNICAL AND SUPPORT SERVICES PROGRAM</v>
      </c>
      <c r="M87" s="51" t="str">
        <f>VLOOKUP(Table3[[#This Row],[COMMODITY PREXC SUB-PROGRAM]],TAGS!$U$54:$V$76,2,FALSE)</f>
        <v>PSS</v>
      </c>
      <c r="N87" s="47" t="s">
        <v>576</v>
      </c>
      <c r="O87" s="54" t="str">
        <f>VLOOKUP(Table3[[#This Row],[PI LEVEL 3]],'PI LEVEL'!A:C,3,FALSE)</f>
        <v>Seeds distributed</v>
      </c>
      <c r="P87" s="54" t="str">
        <f>VLOOKUP(Table3[[#This Row],[PI LEVEL 3]],Table53729[[Performance Indicator Level 3]:[Performance Indicator Level 1]],2,FALSE)</f>
        <v>Corn Seeds distributed</v>
      </c>
      <c r="Q87" s="54" t="str">
        <f>VLOOKUP(Table3[[#This Row],[ACTIVITY]],TAGS!B:P,2,FALSE)</f>
        <v>Yellow Corn Seeds distributed</v>
      </c>
      <c r="R87" s="47" t="s">
        <v>34</v>
      </c>
      <c r="S87" s="51" t="str">
        <f>VLOOKUP(Table3[[#This Row],[ACTIVITY]],TAGS!$B:$P,4,FALSE)</f>
        <v>Yellow Corn Production Enhancement Project</v>
      </c>
      <c r="T87" s="51" t="str">
        <f>VLOOKUP(Table3[[#This Row],[ACTIVITY]],TAGS!$B:$P,5,FALSE)</f>
        <v>Corn Seed Assistance</v>
      </c>
      <c r="U87" s="51" t="str">
        <f>VLOOKUP(Table3[[#This Row],[ACTIVITY]],TAGS!$B:$P,6,FALSE)</f>
        <v>Yellow corn seeds</v>
      </c>
      <c r="V87" s="51" t="str">
        <f>VLOOKUP(Table3[[#This Row],[ACTIVITY]],TAGS!$B:$P,7,FALSE)</f>
        <v>NO</v>
      </c>
      <c r="W87" s="51" t="str">
        <f>VLOOKUP(Table3[[#This Row],[ACTIVITY]],TAGS!$B:$P,8,FALSE)</f>
        <v>PAP</v>
      </c>
      <c r="X87" s="51" t="str">
        <f>VLOOKUP(Table3[[#This Row],[ACTIVITY]],TAGS!$B:$P,10,FALSE)</f>
        <v>PIP</v>
      </c>
      <c r="Y87" s="51" t="str">
        <f>VLOOKUP(Table3[[#This Row],[ACTIVITY]],TAGS!$B:$P,11,FALSE)</f>
        <v>PICS</v>
      </c>
      <c r="Z87" s="51" t="str">
        <f>VLOOKUP(Table3[[#This Row],[ACTIVITY]],TAGS!$B:$P,12,FALSE)</f>
        <v>Consolidation</v>
      </c>
      <c r="AA87" s="51" t="str">
        <f>VLOOKUP(Table3[[#This Row],[ACTIVITY]],TAGS!$B:$P,13,FALSE)</f>
        <v>1. Bayanihan Agri Cluster</v>
      </c>
      <c r="AB87" s="51" t="str">
        <f>VLOOKUP(Table3[[#This Row],[ACTIVITY]],TAGS!$B:$P,14,FALSE)</f>
        <v>EXPAND AND IMPROVE AVAILABLE AGRI-FISHERY AREAS FOR INCREASED PRODUCTION</v>
      </c>
      <c r="AC87" s="51" t="str">
        <f>VLOOKUP(Table3[[#This Row],[ACTIVITY]],TAGS!$B:$P,15,FALSE)</f>
        <v>Farm Inputs</v>
      </c>
      <c r="AD87" s="51" t="str">
        <f>VLOOKUP(Table3[[#This Row],[PI LEVEL 3]],'PI LEVEL'!$A:$G,7,FALSE)</f>
        <v>DA-Level Output</v>
      </c>
      <c r="AE87" s="47" t="s">
        <v>577</v>
      </c>
      <c r="AF87" s="51" t="str">
        <f>VLOOKUP(Table3[[#This Row],[ACTIVITY]],TAGS!$B:$P,3,FALSE)</f>
        <v>kilogram</v>
      </c>
      <c r="AG87" s="47" t="s">
        <v>334</v>
      </c>
      <c r="AH87" s="51" t="str">
        <f>VLOOKUP(Table3[[#This Row],[MONTH]],TAGS!$W$67:$Y$81,2,FALSE)</f>
        <v>3RD QTR</v>
      </c>
      <c r="AI87" s="51" t="str">
        <f>VLOOKUP(Table3[[#This Row],[MONTH]],TAGS!$W$67:$Y$81,3,FALSE)</f>
        <v>2ND SEMESTER</v>
      </c>
      <c r="AJ87" s="51">
        <f>VLOOKUP(Table3[[#This Row],[MONTH]],TAGS!$W$67:$Z$81,4,FALSE)</f>
        <v>2025</v>
      </c>
      <c r="AK87" s="47">
        <v>18414</v>
      </c>
      <c r="AL87" s="51" t="str">
        <f>VLOOKUP(Table3[[#This Row],[ACTIVITY]],TAGS!$B:$R,16,FALSE)</f>
        <v>YES</v>
      </c>
      <c r="AM87" s="47">
        <v>1023</v>
      </c>
      <c r="AN87" s="47">
        <v>12276</v>
      </c>
      <c r="AO87" s="57">
        <f>SUM(Table3[[#This Row],[MALE BENEFICIARIES]:[FEMALE BENEFICIARIES]])</f>
        <v>0</v>
      </c>
      <c r="AP87" s="58"/>
      <c r="AQ87" s="58"/>
      <c r="AR87" s="58"/>
      <c r="AS87" s="58">
        <v>1</v>
      </c>
      <c r="AT87" s="59">
        <v>1023</v>
      </c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</row>
    <row r="88" spans="1:65">
      <c r="A88" s="51" t="str">
        <f>VLOOKUP(Table3[[#This Row],[OU]],OU!$A$15:$B$34,2,FALSE)</f>
        <v>RFOs</v>
      </c>
      <c r="B88" s="47" t="s">
        <v>5</v>
      </c>
      <c r="C88" s="47" t="s">
        <v>574</v>
      </c>
      <c r="D88" s="47"/>
      <c r="E88" s="47" t="s">
        <v>43</v>
      </c>
      <c r="F88" s="47" t="s">
        <v>663</v>
      </c>
      <c r="G8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8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23113000</v>
      </c>
      <c r="I88" s="52" t="str">
        <f>VLOOKUP(Table3[[#This Row],[PSGC]],DISTRICT!$D:$G,4,FALSE)</f>
        <v>4th</v>
      </c>
      <c r="J88" s="47" t="s">
        <v>578</v>
      </c>
      <c r="K88" s="51" t="str">
        <f>VLOOKUP(Table3[[#This Row],[SPECIFIC COMMODITY]],TAGS!$W$48:$X$53,2,FALSE)</f>
        <v>Corn</v>
      </c>
      <c r="L88" s="51" t="str">
        <f>VLOOKUP(Table3[[#This Row],[PREXC SUB-PROGRAM]],Table5[],2,FALSE)</f>
        <v>TECHNICAL AND SUPPORT SERVICES PROGRAM</v>
      </c>
      <c r="M88" s="51" t="str">
        <f>VLOOKUP(Table3[[#This Row],[COMMODITY PREXC SUB-PROGRAM]],TAGS!$U$54:$V$76,2,FALSE)</f>
        <v>PSS</v>
      </c>
      <c r="N88" s="47" t="s">
        <v>576</v>
      </c>
      <c r="O88" s="54" t="str">
        <f>VLOOKUP(Table3[[#This Row],[PI LEVEL 3]],'PI LEVEL'!A:C,3,FALSE)</f>
        <v>Seeds distributed</v>
      </c>
      <c r="P88" s="54" t="str">
        <f>VLOOKUP(Table3[[#This Row],[PI LEVEL 3]],Table53729[[Performance Indicator Level 3]:[Performance Indicator Level 1]],2,FALSE)</f>
        <v>Corn Seeds distributed</v>
      </c>
      <c r="Q88" s="54" t="str">
        <f>VLOOKUP(Table3[[#This Row],[ACTIVITY]],TAGS!B:P,2,FALSE)</f>
        <v>Yellow Corn Seeds distributed</v>
      </c>
      <c r="R88" s="47" t="s">
        <v>34</v>
      </c>
      <c r="S88" s="51" t="str">
        <f>VLOOKUP(Table3[[#This Row],[ACTIVITY]],TAGS!$B:$P,4,FALSE)</f>
        <v>Yellow Corn Production Enhancement Project</v>
      </c>
      <c r="T88" s="51" t="str">
        <f>VLOOKUP(Table3[[#This Row],[ACTIVITY]],TAGS!$B:$P,5,FALSE)</f>
        <v>Corn Seed Assistance</v>
      </c>
      <c r="U88" s="51" t="str">
        <f>VLOOKUP(Table3[[#This Row],[ACTIVITY]],TAGS!$B:$P,6,FALSE)</f>
        <v>Yellow corn seeds</v>
      </c>
      <c r="V88" s="51" t="str">
        <f>VLOOKUP(Table3[[#This Row],[ACTIVITY]],TAGS!$B:$P,7,FALSE)</f>
        <v>NO</v>
      </c>
      <c r="W88" s="51" t="str">
        <f>VLOOKUP(Table3[[#This Row],[ACTIVITY]],TAGS!$B:$P,8,FALSE)</f>
        <v>PAP</v>
      </c>
      <c r="X88" s="51" t="str">
        <f>VLOOKUP(Table3[[#This Row],[ACTIVITY]],TAGS!$B:$P,10,FALSE)</f>
        <v>PIP</v>
      </c>
      <c r="Y88" s="51" t="str">
        <f>VLOOKUP(Table3[[#This Row],[ACTIVITY]],TAGS!$B:$P,11,FALSE)</f>
        <v>PICS</v>
      </c>
      <c r="Z88" s="51" t="str">
        <f>VLOOKUP(Table3[[#This Row],[ACTIVITY]],TAGS!$B:$P,12,FALSE)</f>
        <v>Consolidation</v>
      </c>
      <c r="AA88" s="51" t="str">
        <f>VLOOKUP(Table3[[#This Row],[ACTIVITY]],TAGS!$B:$P,13,FALSE)</f>
        <v>1. Bayanihan Agri Cluster</v>
      </c>
      <c r="AB88" s="51" t="str">
        <f>VLOOKUP(Table3[[#This Row],[ACTIVITY]],TAGS!$B:$P,14,FALSE)</f>
        <v>EXPAND AND IMPROVE AVAILABLE AGRI-FISHERY AREAS FOR INCREASED PRODUCTION</v>
      </c>
      <c r="AC88" s="51" t="str">
        <f>VLOOKUP(Table3[[#This Row],[ACTIVITY]],TAGS!$B:$P,15,FALSE)</f>
        <v>Farm Inputs</v>
      </c>
      <c r="AD88" s="51" t="str">
        <f>VLOOKUP(Table3[[#This Row],[PI LEVEL 3]],'PI LEVEL'!$A:$G,7,FALSE)</f>
        <v>DA-Level Output</v>
      </c>
      <c r="AE88" s="47" t="s">
        <v>577</v>
      </c>
      <c r="AF88" s="51" t="str">
        <f>VLOOKUP(Table3[[#This Row],[ACTIVITY]],TAGS!$B:$P,3,FALSE)</f>
        <v>kilogram</v>
      </c>
      <c r="AG88" s="47" t="s">
        <v>334</v>
      </c>
      <c r="AH88" s="51" t="str">
        <f>VLOOKUP(Table3[[#This Row],[MONTH]],TAGS!$W$67:$Y$81,2,FALSE)</f>
        <v>3RD QTR</v>
      </c>
      <c r="AI88" s="51" t="str">
        <f>VLOOKUP(Table3[[#This Row],[MONTH]],TAGS!$W$67:$Y$81,3,FALSE)</f>
        <v>2ND SEMESTER</v>
      </c>
      <c r="AJ88" s="51">
        <f>VLOOKUP(Table3[[#This Row],[MONTH]],TAGS!$W$67:$Z$81,4,FALSE)</f>
        <v>2025</v>
      </c>
      <c r="AK88" s="47">
        <v>3330</v>
      </c>
      <c r="AL88" s="51" t="str">
        <f>VLOOKUP(Table3[[#This Row],[ACTIVITY]],TAGS!$B:$R,16,FALSE)</f>
        <v>YES</v>
      </c>
      <c r="AM88" s="47">
        <v>185</v>
      </c>
      <c r="AN88" s="47">
        <v>2220</v>
      </c>
      <c r="AO88" s="57">
        <f>SUM(Table3[[#This Row],[MALE BENEFICIARIES]:[FEMALE BENEFICIARIES]])</f>
        <v>0</v>
      </c>
      <c r="AP88" s="58"/>
      <c r="AQ88" s="58"/>
      <c r="AR88" s="58"/>
      <c r="AS88" s="58">
        <v>1</v>
      </c>
      <c r="AT88" s="59">
        <v>185</v>
      </c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</row>
    <row r="89" spans="1:65">
      <c r="A89" s="51" t="str">
        <f>VLOOKUP(Table3[[#This Row],[OU]],OU!$A$15:$B$34,2,FALSE)</f>
        <v>RFOs</v>
      </c>
      <c r="B89" s="47" t="s">
        <v>5</v>
      </c>
      <c r="C89" s="47" t="s">
        <v>574</v>
      </c>
      <c r="D89" s="47"/>
      <c r="E89" s="47" t="s">
        <v>43</v>
      </c>
      <c r="F89" s="47" t="s">
        <v>664</v>
      </c>
      <c r="G8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8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23120000</v>
      </c>
      <c r="I89" s="52" t="str">
        <f>VLOOKUP(Table3[[#This Row],[PSGC]],DISTRICT!$D:$G,4,FALSE)</f>
        <v>4th</v>
      </c>
      <c r="J89" s="47" t="s">
        <v>578</v>
      </c>
      <c r="K89" s="51" t="str">
        <f>VLOOKUP(Table3[[#This Row],[SPECIFIC COMMODITY]],TAGS!$W$48:$X$53,2,FALSE)</f>
        <v>Corn</v>
      </c>
      <c r="L89" s="51" t="str">
        <f>VLOOKUP(Table3[[#This Row],[PREXC SUB-PROGRAM]],Table5[],2,FALSE)</f>
        <v>TECHNICAL AND SUPPORT SERVICES PROGRAM</v>
      </c>
      <c r="M89" s="51" t="str">
        <f>VLOOKUP(Table3[[#This Row],[COMMODITY PREXC SUB-PROGRAM]],TAGS!$U$54:$V$76,2,FALSE)</f>
        <v>PSS</v>
      </c>
      <c r="N89" s="47" t="s">
        <v>576</v>
      </c>
      <c r="O89" s="54" t="str">
        <f>VLOOKUP(Table3[[#This Row],[PI LEVEL 3]],'PI LEVEL'!A:C,3,FALSE)</f>
        <v>Seeds distributed</v>
      </c>
      <c r="P89" s="54" t="str">
        <f>VLOOKUP(Table3[[#This Row],[PI LEVEL 3]],Table53729[[Performance Indicator Level 3]:[Performance Indicator Level 1]],2,FALSE)</f>
        <v>Corn Seeds distributed</v>
      </c>
      <c r="Q89" s="54" t="str">
        <f>VLOOKUP(Table3[[#This Row],[ACTIVITY]],TAGS!B:P,2,FALSE)</f>
        <v>Yellow Corn Seeds distributed</v>
      </c>
      <c r="R89" s="47" t="s">
        <v>34</v>
      </c>
      <c r="S89" s="51" t="str">
        <f>VLOOKUP(Table3[[#This Row],[ACTIVITY]],TAGS!$B:$P,4,FALSE)</f>
        <v>Yellow Corn Production Enhancement Project</v>
      </c>
      <c r="T89" s="51" t="str">
        <f>VLOOKUP(Table3[[#This Row],[ACTIVITY]],TAGS!$B:$P,5,FALSE)</f>
        <v>Corn Seed Assistance</v>
      </c>
      <c r="U89" s="51" t="str">
        <f>VLOOKUP(Table3[[#This Row],[ACTIVITY]],TAGS!$B:$P,6,FALSE)</f>
        <v>Yellow corn seeds</v>
      </c>
      <c r="V89" s="51" t="str">
        <f>VLOOKUP(Table3[[#This Row],[ACTIVITY]],TAGS!$B:$P,7,FALSE)</f>
        <v>NO</v>
      </c>
      <c r="W89" s="51" t="str">
        <f>VLOOKUP(Table3[[#This Row],[ACTIVITY]],TAGS!$B:$P,8,FALSE)</f>
        <v>PAP</v>
      </c>
      <c r="X89" s="51" t="str">
        <f>VLOOKUP(Table3[[#This Row],[ACTIVITY]],TAGS!$B:$P,10,FALSE)</f>
        <v>PIP</v>
      </c>
      <c r="Y89" s="51" t="str">
        <f>VLOOKUP(Table3[[#This Row],[ACTIVITY]],TAGS!$B:$P,11,FALSE)</f>
        <v>PICS</v>
      </c>
      <c r="Z89" s="51" t="str">
        <f>VLOOKUP(Table3[[#This Row],[ACTIVITY]],TAGS!$B:$P,12,FALSE)</f>
        <v>Consolidation</v>
      </c>
      <c r="AA89" s="51" t="str">
        <f>VLOOKUP(Table3[[#This Row],[ACTIVITY]],TAGS!$B:$P,13,FALSE)</f>
        <v>1. Bayanihan Agri Cluster</v>
      </c>
      <c r="AB89" s="51" t="str">
        <f>VLOOKUP(Table3[[#This Row],[ACTIVITY]],TAGS!$B:$P,14,FALSE)</f>
        <v>EXPAND AND IMPROVE AVAILABLE AGRI-FISHERY AREAS FOR INCREASED PRODUCTION</v>
      </c>
      <c r="AC89" s="51" t="str">
        <f>VLOOKUP(Table3[[#This Row],[ACTIVITY]],TAGS!$B:$P,15,FALSE)</f>
        <v>Farm Inputs</v>
      </c>
      <c r="AD89" s="51" t="str">
        <f>VLOOKUP(Table3[[#This Row],[PI LEVEL 3]],'PI LEVEL'!$A:$G,7,FALSE)</f>
        <v>DA-Level Output</v>
      </c>
      <c r="AE89" s="47" t="s">
        <v>577</v>
      </c>
      <c r="AF89" s="51" t="str">
        <f>VLOOKUP(Table3[[#This Row],[ACTIVITY]],TAGS!$B:$P,3,FALSE)</f>
        <v>kilogram</v>
      </c>
      <c r="AG89" s="47" t="s">
        <v>334</v>
      </c>
      <c r="AH89" s="51" t="str">
        <f>VLOOKUP(Table3[[#This Row],[MONTH]],TAGS!$W$67:$Y$81,2,FALSE)</f>
        <v>3RD QTR</v>
      </c>
      <c r="AI89" s="51" t="str">
        <f>VLOOKUP(Table3[[#This Row],[MONTH]],TAGS!$W$67:$Y$81,3,FALSE)</f>
        <v>2ND SEMESTER</v>
      </c>
      <c r="AJ89" s="51">
        <f>VLOOKUP(Table3[[#This Row],[MONTH]],TAGS!$W$67:$Z$81,4,FALSE)</f>
        <v>2025</v>
      </c>
      <c r="AK89" s="47">
        <v>9324</v>
      </c>
      <c r="AL89" s="51" t="str">
        <f>VLOOKUP(Table3[[#This Row],[ACTIVITY]],TAGS!$B:$R,16,FALSE)</f>
        <v>YES</v>
      </c>
      <c r="AM89" s="47">
        <v>518</v>
      </c>
      <c r="AN89" s="47">
        <v>6216</v>
      </c>
      <c r="AO89" s="57">
        <f>SUM(Table3[[#This Row],[MALE BENEFICIARIES]:[FEMALE BENEFICIARIES]])</f>
        <v>0</v>
      </c>
      <c r="AP89" s="58"/>
      <c r="AQ89" s="58"/>
      <c r="AR89" s="58"/>
      <c r="AS89" s="58">
        <v>1</v>
      </c>
      <c r="AT89" s="59">
        <v>518</v>
      </c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</row>
    <row r="90" spans="1:65">
      <c r="A90" s="51" t="str">
        <f>VLOOKUP(Table3[[#This Row],[OU]],OU!$A$15:$B$34,2,FALSE)</f>
        <v>RFOs</v>
      </c>
      <c r="B90" s="47" t="s">
        <v>5</v>
      </c>
      <c r="C90" s="47" t="s">
        <v>574</v>
      </c>
      <c r="D90" s="47"/>
      <c r="E90" s="47" t="s">
        <v>43</v>
      </c>
      <c r="F90" s="47" t="s">
        <v>665</v>
      </c>
      <c r="G9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9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23121000</v>
      </c>
      <c r="I90" s="52" t="str">
        <f>VLOOKUP(Table3[[#This Row],[PSGC]],DISTRICT!$D:$G,4,FALSE)</f>
        <v>1st</v>
      </c>
      <c r="J90" s="47" t="s">
        <v>578</v>
      </c>
      <c r="K90" s="51" t="str">
        <f>VLOOKUP(Table3[[#This Row],[SPECIFIC COMMODITY]],TAGS!$W$48:$X$53,2,FALSE)</f>
        <v>Corn</v>
      </c>
      <c r="L90" s="51" t="str">
        <f>VLOOKUP(Table3[[#This Row],[PREXC SUB-PROGRAM]],Table5[],2,FALSE)</f>
        <v>TECHNICAL AND SUPPORT SERVICES PROGRAM</v>
      </c>
      <c r="M90" s="51" t="str">
        <f>VLOOKUP(Table3[[#This Row],[COMMODITY PREXC SUB-PROGRAM]],TAGS!$U$54:$V$76,2,FALSE)</f>
        <v>PSS</v>
      </c>
      <c r="N90" s="47" t="s">
        <v>576</v>
      </c>
      <c r="O90" s="54" t="str">
        <f>VLOOKUP(Table3[[#This Row],[PI LEVEL 3]],'PI LEVEL'!A:C,3,FALSE)</f>
        <v>Seeds distributed</v>
      </c>
      <c r="P90" s="54" t="str">
        <f>VLOOKUP(Table3[[#This Row],[PI LEVEL 3]],Table53729[[Performance Indicator Level 3]:[Performance Indicator Level 1]],2,FALSE)</f>
        <v>Corn Seeds distributed</v>
      </c>
      <c r="Q90" s="54" t="str">
        <f>VLOOKUP(Table3[[#This Row],[ACTIVITY]],TAGS!B:P,2,FALSE)</f>
        <v>Yellow Corn Seeds distributed</v>
      </c>
      <c r="R90" s="47" t="s">
        <v>34</v>
      </c>
      <c r="S90" s="51" t="str">
        <f>VLOOKUP(Table3[[#This Row],[ACTIVITY]],TAGS!$B:$P,4,FALSE)</f>
        <v>Yellow Corn Production Enhancement Project</v>
      </c>
      <c r="T90" s="51" t="str">
        <f>VLOOKUP(Table3[[#This Row],[ACTIVITY]],TAGS!$B:$P,5,FALSE)</f>
        <v>Corn Seed Assistance</v>
      </c>
      <c r="U90" s="51" t="str">
        <f>VLOOKUP(Table3[[#This Row],[ACTIVITY]],TAGS!$B:$P,6,FALSE)</f>
        <v>Yellow corn seeds</v>
      </c>
      <c r="V90" s="51" t="str">
        <f>VLOOKUP(Table3[[#This Row],[ACTIVITY]],TAGS!$B:$P,7,FALSE)</f>
        <v>NO</v>
      </c>
      <c r="W90" s="51" t="str">
        <f>VLOOKUP(Table3[[#This Row],[ACTIVITY]],TAGS!$B:$P,8,FALSE)</f>
        <v>PAP</v>
      </c>
      <c r="X90" s="51" t="str">
        <f>VLOOKUP(Table3[[#This Row],[ACTIVITY]],TAGS!$B:$P,10,FALSE)</f>
        <v>PIP</v>
      </c>
      <c r="Y90" s="51" t="str">
        <f>VLOOKUP(Table3[[#This Row],[ACTIVITY]],TAGS!$B:$P,11,FALSE)</f>
        <v>PICS</v>
      </c>
      <c r="Z90" s="51" t="str">
        <f>VLOOKUP(Table3[[#This Row],[ACTIVITY]],TAGS!$B:$P,12,FALSE)</f>
        <v>Consolidation</v>
      </c>
      <c r="AA90" s="51" t="str">
        <f>VLOOKUP(Table3[[#This Row],[ACTIVITY]],TAGS!$B:$P,13,FALSE)</f>
        <v>1. Bayanihan Agri Cluster</v>
      </c>
      <c r="AB90" s="51" t="str">
        <f>VLOOKUP(Table3[[#This Row],[ACTIVITY]],TAGS!$B:$P,14,FALSE)</f>
        <v>EXPAND AND IMPROVE AVAILABLE AGRI-FISHERY AREAS FOR INCREASED PRODUCTION</v>
      </c>
      <c r="AC90" s="51" t="str">
        <f>VLOOKUP(Table3[[#This Row],[ACTIVITY]],TAGS!$B:$P,15,FALSE)</f>
        <v>Farm Inputs</v>
      </c>
      <c r="AD90" s="51" t="str">
        <f>VLOOKUP(Table3[[#This Row],[PI LEVEL 3]],'PI LEVEL'!$A:$G,7,FALSE)</f>
        <v>DA-Level Output</v>
      </c>
      <c r="AE90" s="47" t="s">
        <v>577</v>
      </c>
      <c r="AF90" s="51" t="str">
        <f>VLOOKUP(Table3[[#This Row],[ACTIVITY]],TAGS!$B:$P,3,FALSE)</f>
        <v>kilogram</v>
      </c>
      <c r="AG90" s="47" t="s">
        <v>334</v>
      </c>
      <c r="AH90" s="51" t="str">
        <f>VLOOKUP(Table3[[#This Row],[MONTH]],TAGS!$W$67:$Y$81,2,FALSE)</f>
        <v>3RD QTR</v>
      </c>
      <c r="AI90" s="51" t="str">
        <f>VLOOKUP(Table3[[#This Row],[MONTH]],TAGS!$W$67:$Y$81,3,FALSE)</f>
        <v>2ND SEMESTER</v>
      </c>
      <c r="AJ90" s="51">
        <f>VLOOKUP(Table3[[#This Row],[MONTH]],TAGS!$W$67:$Z$81,4,FALSE)</f>
        <v>2025</v>
      </c>
      <c r="AK90" s="47">
        <v>90</v>
      </c>
      <c r="AL90" s="51" t="str">
        <f>VLOOKUP(Table3[[#This Row],[ACTIVITY]],TAGS!$B:$R,16,FALSE)</f>
        <v>YES</v>
      </c>
      <c r="AM90" s="47">
        <v>5</v>
      </c>
      <c r="AN90" s="47">
        <v>60</v>
      </c>
      <c r="AO90" s="57">
        <f>SUM(Table3[[#This Row],[MALE BENEFICIARIES]:[FEMALE BENEFICIARIES]])</f>
        <v>0</v>
      </c>
      <c r="AP90" s="58"/>
      <c r="AQ90" s="58"/>
      <c r="AR90" s="58"/>
      <c r="AS90" s="58">
        <v>1</v>
      </c>
      <c r="AT90" s="59">
        <v>5</v>
      </c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</row>
    <row r="91" spans="1:65">
      <c r="A91" s="51" t="str">
        <f>VLOOKUP(Table3[[#This Row],[OU]],OU!$A$15:$B$34,2,FALSE)</f>
        <v>RFOs</v>
      </c>
      <c r="B91" s="47" t="s">
        <v>5</v>
      </c>
      <c r="C91" s="47" t="s">
        <v>574</v>
      </c>
      <c r="D91" s="47"/>
      <c r="E91" s="47" t="s">
        <v>43</v>
      </c>
      <c r="F91" s="47" t="s">
        <v>666</v>
      </c>
      <c r="G9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9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23125000</v>
      </c>
      <c r="I91" s="52" t="str">
        <f>VLOOKUP(Table3[[#This Row],[PSGC]],DISTRICT!$D:$G,4,FALSE)</f>
        <v>4th</v>
      </c>
      <c r="J91" s="47" t="s">
        <v>578</v>
      </c>
      <c r="K91" s="51" t="str">
        <f>VLOOKUP(Table3[[#This Row],[SPECIFIC COMMODITY]],TAGS!$W$48:$X$53,2,FALSE)</f>
        <v>Corn</v>
      </c>
      <c r="L91" s="51" t="str">
        <f>VLOOKUP(Table3[[#This Row],[PREXC SUB-PROGRAM]],Table5[],2,FALSE)</f>
        <v>TECHNICAL AND SUPPORT SERVICES PROGRAM</v>
      </c>
      <c r="M91" s="51" t="str">
        <f>VLOOKUP(Table3[[#This Row],[COMMODITY PREXC SUB-PROGRAM]],TAGS!$U$54:$V$76,2,FALSE)</f>
        <v>PSS</v>
      </c>
      <c r="N91" s="47" t="s">
        <v>576</v>
      </c>
      <c r="O91" s="54" t="str">
        <f>VLOOKUP(Table3[[#This Row],[PI LEVEL 3]],'PI LEVEL'!A:C,3,FALSE)</f>
        <v>Seeds distributed</v>
      </c>
      <c r="P91" s="54" t="str">
        <f>VLOOKUP(Table3[[#This Row],[PI LEVEL 3]],Table53729[[Performance Indicator Level 3]:[Performance Indicator Level 1]],2,FALSE)</f>
        <v>Corn Seeds distributed</v>
      </c>
      <c r="Q91" s="54" t="str">
        <f>VLOOKUP(Table3[[#This Row],[ACTIVITY]],TAGS!B:P,2,FALSE)</f>
        <v>Yellow Corn Seeds distributed</v>
      </c>
      <c r="R91" s="47" t="s">
        <v>34</v>
      </c>
      <c r="S91" s="51" t="str">
        <f>VLOOKUP(Table3[[#This Row],[ACTIVITY]],TAGS!$B:$P,4,FALSE)</f>
        <v>Yellow Corn Production Enhancement Project</v>
      </c>
      <c r="T91" s="51" t="str">
        <f>VLOOKUP(Table3[[#This Row],[ACTIVITY]],TAGS!$B:$P,5,FALSE)</f>
        <v>Corn Seed Assistance</v>
      </c>
      <c r="U91" s="51" t="str">
        <f>VLOOKUP(Table3[[#This Row],[ACTIVITY]],TAGS!$B:$P,6,FALSE)</f>
        <v>Yellow corn seeds</v>
      </c>
      <c r="V91" s="51" t="str">
        <f>VLOOKUP(Table3[[#This Row],[ACTIVITY]],TAGS!$B:$P,7,FALSE)</f>
        <v>NO</v>
      </c>
      <c r="W91" s="51" t="str">
        <f>VLOOKUP(Table3[[#This Row],[ACTIVITY]],TAGS!$B:$P,8,FALSE)</f>
        <v>PAP</v>
      </c>
      <c r="X91" s="51" t="str">
        <f>VLOOKUP(Table3[[#This Row],[ACTIVITY]],TAGS!$B:$P,10,FALSE)</f>
        <v>PIP</v>
      </c>
      <c r="Y91" s="51" t="str">
        <f>VLOOKUP(Table3[[#This Row],[ACTIVITY]],TAGS!$B:$P,11,FALSE)</f>
        <v>PICS</v>
      </c>
      <c r="Z91" s="51" t="str">
        <f>VLOOKUP(Table3[[#This Row],[ACTIVITY]],TAGS!$B:$P,12,FALSE)</f>
        <v>Consolidation</v>
      </c>
      <c r="AA91" s="51" t="str">
        <f>VLOOKUP(Table3[[#This Row],[ACTIVITY]],TAGS!$B:$P,13,FALSE)</f>
        <v>1. Bayanihan Agri Cluster</v>
      </c>
      <c r="AB91" s="51" t="str">
        <f>VLOOKUP(Table3[[#This Row],[ACTIVITY]],TAGS!$B:$P,14,FALSE)</f>
        <v>EXPAND AND IMPROVE AVAILABLE AGRI-FISHERY AREAS FOR INCREASED PRODUCTION</v>
      </c>
      <c r="AC91" s="51" t="str">
        <f>VLOOKUP(Table3[[#This Row],[ACTIVITY]],TAGS!$B:$P,15,FALSE)</f>
        <v>Farm Inputs</v>
      </c>
      <c r="AD91" s="51" t="str">
        <f>VLOOKUP(Table3[[#This Row],[PI LEVEL 3]],'PI LEVEL'!$A:$G,7,FALSE)</f>
        <v>DA-Level Output</v>
      </c>
      <c r="AE91" s="47" t="s">
        <v>577</v>
      </c>
      <c r="AF91" s="51" t="str">
        <f>VLOOKUP(Table3[[#This Row],[ACTIVITY]],TAGS!$B:$P,3,FALSE)</f>
        <v>kilogram</v>
      </c>
      <c r="AG91" s="47" t="s">
        <v>334</v>
      </c>
      <c r="AH91" s="51" t="str">
        <f>VLOOKUP(Table3[[#This Row],[MONTH]],TAGS!$W$67:$Y$81,2,FALSE)</f>
        <v>3RD QTR</v>
      </c>
      <c r="AI91" s="51" t="str">
        <f>VLOOKUP(Table3[[#This Row],[MONTH]],TAGS!$W$67:$Y$81,3,FALSE)</f>
        <v>2ND SEMESTER</v>
      </c>
      <c r="AJ91" s="51">
        <f>VLOOKUP(Table3[[#This Row],[MONTH]],TAGS!$W$67:$Z$81,4,FALSE)</f>
        <v>2025</v>
      </c>
      <c r="AK91" s="47">
        <v>6966</v>
      </c>
      <c r="AL91" s="51" t="str">
        <f>VLOOKUP(Table3[[#This Row],[ACTIVITY]],TAGS!$B:$R,16,FALSE)</f>
        <v>YES</v>
      </c>
      <c r="AM91" s="47">
        <v>387</v>
      </c>
      <c r="AN91" s="47">
        <v>4644</v>
      </c>
      <c r="AO91" s="57">
        <f>SUM(Table3[[#This Row],[MALE BENEFICIARIES]:[FEMALE BENEFICIARIES]])</f>
        <v>0</v>
      </c>
      <c r="AP91" s="58"/>
      <c r="AQ91" s="58"/>
      <c r="AR91" s="58"/>
      <c r="AS91" s="58">
        <v>1</v>
      </c>
      <c r="AT91" s="59">
        <v>387</v>
      </c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</row>
    <row r="92" spans="1:65">
      <c r="A92" s="51" t="str">
        <f>VLOOKUP(Table3[[#This Row],[OU]],OU!$A$15:$B$34,2,FALSE)</f>
        <v>RFOs</v>
      </c>
      <c r="B92" s="47" t="s">
        <v>5</v>
      </c>
      <c r="C92" s="47" t="s">
        <v>574</v>
      </c>
      <c r="D92" s="47"/>
      <c r="E92" s="47" t="s">
        <v>43</v>
      </c>
      <c r="F92" s="47" t="s">
        <v>667</v>
      </c>
      <c r="G9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9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23131000</v>
      </c>
      <c r="I92" s="52" t="str">
        <f>VLOOKUP(Table3[[#This Row],[PSGC]],DISTRICT!$D:$G,4,FALSE)</f>
        <v>1st</v>
      </c>
      <c r="J92" s="47" t="s">
        <v>578</v>
      </c>
      <c r="K92" s="51" t="str">
        <f>VLOOKUP(Table3[[#This Row],[SPECIFIC COMMODITY]],TAGS!$W$48:$X$53,2,FALSE)</f>
        <v>Corn</v>
      </c>
      <c r="L92" s="51" t="str">
        <f>VLOOKUP(Table3[[#This Row],[PREXC SUB-PROGRAM]],Table5[],2,FALSE)</f>
        <v>TECHNICAL AND SUPPORT SERVICES PROGRAM</v>
      </c>
      <c r="M92" s="51" t="str">
        <f>VLOOKUP(Table3[[#This Row],[COMMODITY PREXC SUB-PROGRAM]],TAGS!$U$54:$V$76,2,FALSE)</f>
        <v>PSS</v>
      </c>
      <c r="N92" s="47" t="s">
        <v>576</v>
      </c>
      <c r="O92" s="54" t="str">
        <f>VLOOKUP(Table3[[#This Row],[PI LEVEL 3]],'PI LEVEL'!A:C,3,FALSE)</f>
        <v>Seeds distributed</v>
      </c>
      <c r="P92" s="54" t="str">
        <f>VLOOKUP(Table3[[#This Row],[PI LEVEL 3]],Table53729[[Performance Indicator Level 3]:[Performance Indicator Level 1]],2,FALSE)</f>
        <v>Corn Seeds distributed</v>
      </c>
      <c r="Q92" s="54" t="str">
        <f>VLOOKUP(Table3[[#This Row],[ACTIVITY]],TAGS!B:P,2,FALSE)</f>
        <v>Yellow Corn Seeds distributed</v>
      </c>
      <c r="R92" s="47" t="s">
        <v>34</v>
      </c>
      <c r="S92" s="51" t="str">
        <f>VLOOKUP(Table3[[#This Row],[ACTIVITY]],TAGS!$B:$P,4,FALSE)</f>
        <v>Yellow Corn Production Enhancement Project</v>
      </c>
      <c r="T92" s="51" t="str">
        <f>VLOOKUP(Table3[[#This Row],[ACTIVITY]],TAGS!$B:$P,5,FALSE)</f>
        <v>Corn Seed Assistance</v>
      </c>
      <c r="U92" s="51" t="str">
        <f>VLOOKUP(Table3[[#This Row],[ACTIVITY]],TAGS!$B:$P,6,FALSE)</f>
        <v>Yellow corn seeds</v>
      </c>
      <c r="V92" s="51" t="str">
        <f>VLOOKUP(Table3[[#This Row],[ACTIVITY]],TAGS!$B:$P,7,FALSE)</f>
        <v>NO</v>
      </c>
      <c r="W92" s="51" t="str">
        <f>VLOOKUP(Table3[[#This Row],[ACTIVITY]],TAGS!$B:$P,8,FALSE)</f>
        <v>PAP</v>
      </c>
      <c r="X92" s="51" t="str">
        <f>VLOOKUP(Table3[[#This Row],[ACTIVITY]],TAGS!$B:$P,10,FALSE)</f>
        <v>PIP</v>
      </c>
      <c r="Y92" s="51" t="str">
        <f>VLOOKUP(Table3[[#This Row],[ACTIVITY]],TAGS!$B:$P,11,FALSE)</f>
        <v>PICS</v>
      </c>
      <c r="Z92" s="51" t="str">
        <f>VLOOKUP(Table3[[#This Row],[ACTIVITY]],TAGS!$B:$P,12,FALSE)</f>
        <v>Consolidation</v>
      </c>
      <c r="AA92" s="51" t="str">
        <f>VLOOKUP(Table3[[#This Row],[ACTIVITY]],TAGS!$B:$P,13,FALSE)</f>
        <v>1. Bayanihan Agri Cluster</v>
      </c>
      <c r="AB92" s="51" t="str">
        <f>VLOOKUP(Table3[[#This Row],[ACTIVITY]],TAGS!$B:$P,14,FALSE)</f>
        <v>EXPAND AND IMPROVE AVAILABLE AGRI-FISHERY AREAS FOR INCREASED PRODUCTION</v>
      </c>
      <c r="AC92" s="51" t="str">
        <f>VLOOKUP(Table3[[#This Row],[ACTIVITY]],TAGS!$B:$P,15,FALSE)</f>
        <v>Farm Inputs</v>
      </c>
      <c r="AD92" s="51" t="str">
        <f>VLOOKUP(Table3[[#This Row],[PI LEVEL 3]],'PI LEVEL'!$A:$G,7,FALSE)</f>
        <v>DA-Level Output</v>
      </c>
      <c r="AE92" s="47" t="s">
        <v>577</v>
      </c>
      <c r="AF92" s="51" t="str">
        <f>VLOOKUP(Table3[[#This Row],[ACTIVITY]],TAGS!$B:$P,3,FALSE)</f>
        <v>kilogram</v>
      </c>
      <c r="AG92" s="47" t="s">
        <v>334</v>
      </c>
      <c r="AH92" s="51" t="str">
        <f>VLOOKUP(Table3[[#This Row],[MONTH]],TAGS!$W$67:$Y$81,2,FALSE)</f>
        <v>3RD QTR</v>
      </c>
      <c r="AI92" s="51" t="str">
        <f>VLOOKUP(Table3[[#This Row],[MONTH]],TAGS!$W$67:$Y$81,3,FALSE)</f>
        <v>2ND SEMESTER</v>
      </c>
      <c r="AJ92" s="51">
        <f>VLOOKUP(Table3[[#This Row],[MONTH]],TAGS!$W$67:$Z$81,4,FALSE)</f>
        <v>2025</v>
      </c>
      <c r="AK92" s="47">
        <v>18432</v>
      </c>
      <c r="AL92" s="51" t="str">
        <f>VLOOKUP(Table3[[#This Row],[ACTIVITY]],TAGS!$B:$R,16,FALSE)</f>
        <v>YES</v>
      </c>
      <c r="AM92" s="47">
        <v>1024</v>
      </c>
      <c r="AN92" s="47">
        <v>12288</v>
      </c>
      <c r="AO92" s="57">
        <f>SUM(Table3[[#This Row],[MALE BENEFICIARIES]:[FEMALE BENEFICIARIES]])</f>
        <v>0</v>
      </c>
      <c r="AP92" s="58"/>
      <c r="AQ92" s="58"/>
      <c r="AR92" s="58"/>
      <c r="AS92" s="58">
        <v>1</v>
      </c>
      <c r="AT92" s="59">
        <v>1024</v>
      </c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</row>
    <row r="93" spans="1:65">
      <c r="A93" s="51" t="str">
        <f>VLOOKUP(Table3[[#This Row],[OU]],OU!$A$15:$B$34,2,FALSE)</f>
        <v>RFOs</v>
      </c>
      <c r="B93" s="47" t="s">
        <v>5</v>
      </c>
      <c r="C93" s="47" t="s">
        <v>574</v>
      </c>
      <c r="D93" s="47"/>
      <c r="E93" s="47" t="s">
        <v>43</v>
      </c>
      <c r="F93" s="47" t="s">
        <v>668</v>
      </c>
      <c r="G9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3rd District</v>
      </c>
      <c r="H9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23101000</v>
      </c>
      <c r="I93" s="52" t="str">
        <f>VLOOKUP(Table3[[#This Row],[PSGC]],DISTRICT!$D:$G,4,FALSE)</f>
        <v>1st</v>
      </c>
      <c r="J93" s="47" t="s">
        <v>578</v>
      </c>
      <c r="K93" s="51" t="str">
        <f>VLOOKUP(Table3[[#This Row],[SPECIFIC COMMODITY]],TAGS!$W$48:$X$53,2,FALSE)</f>
        <v>Corn</v>
      </c>
      <c r="L93" s="51" t="str">
        <f>VLOOKUP(Table3[[#This Row],[PREXC SUB-PROGRAM]],Table5[],2,FALSE)</f>
        <v>TECHNICAL AND SUPPORT SERVICES PROGRAM</v>
      </c>
      <c r="M93" s="51" t="str">
        <f>VLOOKUP(Table3[[#This Row],[COMMODITY PREXC SUB-PROGRAM]],TAGS!$U$54:$V$76,2,FALSE)</f>
        <v>PSS</v>
      </c>
      <c r="N93" s="47" t="s">
        <v>576</v>
      </c>
      <c r="O93" s="54" t="str">
        <f>VLOOKUP(Table3[[#This Row],[PI LEVEL 3]],'PI LEVEL'!A:C,3,FALSE)</f>
        <v>Seeds distributed</v>
      </c>
      <c r="P93" s="54" t="str">
        <f>VLOOKUP(Table3[[#This Row],[PI LEVEL 3]],Table53729[[Performance Indicator Level 3]:[Performance Indicator Level 1]],2,FALSE)</f>
        <v>Corn Seeds distributed</v>
      </c>
      <c r="Q93" s="54" t="str">
        <f>VLOOKUP(Table3[[#This Row],[ACTIVITY]],TAGS!B:P,2,FALSE)</f>
        <v>Yellow Corn Seeds distributed</v>
      </c>
      <c r="R93" s="47" t="s">
        <v>34</v>
      </c>
      <c r="S93" s="51" t="str">
        <f>VLOOKUP(Table3[[#This Row],[ACTIVITY]],TAGS!$B:$P,4,FALSE)</f>
        <v>Yellow Corn Production Enhancement Project</v>
      </c>
      <c r="T93" s="51" t="str">
        <f>VLOOKUP(Table3[[#This Row],[ACTIVITY]],TAGS!$B:$P,5,FALSE)</f>
        <v>Corn Seed Assistance</v>
      </c>
      <c r="U93" s="51" t="str">
        <f>VLOOKUP(Table3[[#This Row],[ACTIVITY]],TAGS!$B:$P,6,FALSE)</f>
        <v>Yellow corn seeds</v>
      </c>
      <c r="V93" s="51" t="str">
        <f>VLOOKUP(Table3[[#This Row],[ACTIVITY]],TAGS!$B:$P,7,FALSE)</f>
        <v>NO</v>
      </c>
      <c r="W93" s="51" t="str">
        <f>VLOOKUP(Table3[[#This Row],[ACTIVITY]],TAGS!$B:$P,8,FALSE)</f>
        <v>PAP</v>
      </c>
      <c r="X93" s="51" t="str">
        <f>VLOOKUP(Table3[[#This Row],[ACTIVITY]],TAGS!$B:$P,10,FALSE)</f>
        <v>PIP</v>
      </c>
      <c r="Y93" s="51" t="str">
        <f>VLOOKUP(Table3[[#This Row],[ACTIVITY]],TAGS!$B:$P,11,FALSE)</f>
        <v>PICS</v>
      </c>
      <c r="Z93" s="51" t="str">
        <f>VLOOKUP(Table3[[#This Row],[ACTIVITY]],TAGS!$B:$P,12,FALSE)</f>
        <v>Consolidation</v>
      </c>
      <c r="AA93" s="51" t="str">
        <f>VLOOKUP(Table3[[#This Row],[ACTIVITY]],TAGS!$B:$P,13,FALSE)</f>
        <v>1. Bayanihan Agri Cluster</v>
      </c>
      <c r="AB93" s="51" t="str">
        <f>VLOOKUP(Table3[[#This Row],[ACTIVITY]],TAGS!$B:$P,14,FALSE)</f>
        <v>EXPAND AND IMPROVE AVAILABLE AGRI-FISHERY AREAS FOR INCREASED PRODUCTION</v>
      </c>
      <c r="AC93" s="51" t="str">
        <f>VLOOKUP(Table3[[#This Row],[ACTIVITY]],TAGS!$B:$P,15,FALSE)</f>
        <v>Farm Inputs</v>
      </c>
      <c r="AD93" s="51" t="str">
        <f>VLOOKUP(Table3[[#This Row],[PI LEVEL 3]],'PI LEVEL'!$A:$G,7,FALSE)</f>
        <v>DA-Level Output</v>
      </c>
      <c r="AE93" s="47" t="s">
        <v>577</v>
      </c>
      <c r="AF93" s="51" t="str">
        <f>VLOOKUP(Table3[[#This Row],[ACTIVITY]],TAGS!$B:$P,3,FALSE)</f>
        <v>kilogram</v>
      </c>
      <c r="AG93" s="47" t="s">
        <v>334</v>
      </c>
      <c r="AH93" s="51" t="str">
        <f>VLOOKUP(Table3[[#This Row],[MONTH]],TAGS!$W$67:$Y$81,2,FALSE)</f>
        <v>3RD QTR</v>
      </c>
      <c r="AI93" s="51" t="str">
        <f>VLOOKUP(Table3[[#This Row],[MONTH]],TAGS!$W$67:$Y$81,3,FALSE)</f>
        <v>2ND SEMESTER</v>
      </c>
      <c r="AJ93" s="51">
        <f>VLOOKUP(Table3[[#This Row],[MONTH]],TAGS!$W$67:$Z$81,4,FALSE)</f>
        <v>2025</v>
      </c>
      <c r="AK93" s="47">
        <v>108</v>
      </c>
      <c r="AL93" s="51" t="str">
        <f>VLOOKUP(Table3[[#This Row],[ACTIVITY]],TAGS!$B:$R,16,FALSE)</f>
        <v>YES</v>
      </c>
      <c r="AM93" s="47">
        <v>6</v>
      </c>
      <c r="AN93" s="47">
        <v>72</v>
      </c>
      <c r="AO93" s="57">
        <f>SUM(Table3[[#This Row],[MALE BENEFICIARIES]:[FEMALE BENEFICIARIES]])</f>
        <v>0</v>
      </c>
      <c r="AP93" s="58"/>
      <c r="AQ93" s="58"/>
      <c r="AR93" s="58"/>
      <c r="AS93" s="58">
        <v>1</v>
      </c>
      <c r="AT93" s="59">
        <v>6</v>
      </c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</row>
    <row r="94" spans="1:65">
      <c r="A94" s="51" t="str">
        <f>VLOOKUP(Table3[[#This Row],[OU]],OU!$A$15:$B$34,2,FALSE)</f>
        <v>RFOs</v>
      </c>
      <c r="B94" s="47" t="s">
        <v>5</v>
      </c>
      <c r="C94" s="47" t="s">
        <v>574</v>
      </c>
      <c r="D94" s="47"/>
      <c r="E94" s="47" t="s">
        <v>43</v>
      </c>
      <c r="F94" s="47" t="s">
        <v>669</v>
      </c>
      <c r="G9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3rd District</v>
      </c>
      <c r="H9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23102000</v>
      </c>
      <c r="I94" s="52" t="str">
        <f>VLOOKUP(Table3[[#This Row],[PSGC]],DISTRICT!$D:$G,4,FALSE)</f>
        <v>3rd</v>
      </c>
      <c r="J94" s="47" t="s">
        <v>578</v>
      </c>
      <c r="K94" s="51" t="str">
        <f>VLOOKUP(Table3[[#This Row],[SPECIFIC COMMODITY]],TAGS!$W$48:$X$53,2,FALSE)</f>
        <v>Corn</v>
      </c>
      <c r="L94" s="51" t="str">
        <f>VLOOKUP(Table3[[#This Row],[PREXC SUB-PROGRAM]],Table5[],2,FALSE)</f>
        <v>TECHNICAL AND SUPPORT SERVICES PROGRAM</v>
      </c>
      <c r="M94" s="51" t="str">
        <f>VLOOKUP(Table3[[#This Row],[COMMODITY PREXC SUB-PROGRAM]],TAGS!$U$54:$V$76,2,FALSE)</f>
        <v>PSS</v>
      </c>
      <c r="N94" s="47" t="s">
        <v>576</v>
      </c>
      <c r="O94" s="54" t="str">
        <f>VLOOKUP(Table3[[#This Row],[PI LEVEL 3]],'PI LEVEL'!A:C,3,FALSE)</f>
        <v>Seeds distributed</v>
      </c>
      <c r="P94" s="54" t="str">
        <f>VLOOKUP(Table3[[#This Row],[PI LEVEL 3]],Table53729[[Performance Indicator Level 3]:[Performance Indicator Level 1]],2,FALSE)</f>
        <v>Corn Seeds distributed</v>
      </c>
      <c r="Q94" s="54" t="str">
        <f>VLOOKUP(Table3[[#This Row],[ACTIVITY]],TAGS!B:P,2,FALSE)</f>
        <v>Yellow Corn Seeds distributed</v>
      </c>
      <c r="R94" s="47" t="s">
        <v>34</v>
      </c>
      <c r="S94" s="51" t="str">
        <f>VLOOKUP(Table3[[#This Row],[ACTIVITY]],TAGS!$B:$P,4,FALSE)</f>
        <v>Yellow Corn Production Enhancement Project</v>
      </c>
      <c r="T94" s="51" t="str">
        <f>VLOOKUP(Table3[[#This Row],[ACTIVITY]],TAGS!$B:$P,5,FALSE)</f>
        <v>Corn Seed Assistance</v>
      </c>
      <c r="U94" s="51" t="str">
        <f>VLOOKUP(Table3[[#This Row],[ACTIVITY]],TAGS!$B:$P,6,FALSE)</f>
        <v>Yellow corn seeds</v>
      </c>
      <c r="V94" s="51" t="str">
        <f>VLOOKUP(Table3[[#This Row],[ACTIVITY]],TAGS!$B:$P,7,FALSE)</f>
        <v>NO</v>
      </c>
      <c r="W94" s="51" t="str">
        <f>VLOOKUP(Table3[[#This Row],[ACTIVITY]],TAGS!$B:$P,8,FALSE)</f>
        <v>PAP</v>
      </c>
      <c r="X94" s="51" t="str">
        <f>VLOOKUP(Table3[[#This Row],[ACTIVITY]],TAGS!$B:$P,10,FALSE)</f>
        <v>PIP</v>
      </c>
      <c r="Y94" s="51" t="str">
        <f>VLOOKUP(Table3[[#This Row],[ACTIVITY]],TAGS!$B:$P,11,FALSE)</f>
        <v>PICS</v>
      </c>
      <c r="Z94" s="51" t="str">
        <f>VLOOKUP(Table3[[#This Row],[ACTIVITY]],TAGS!$B:$P,12,FALSE)</f>
        <v>Consolidation</v>
      </c>
      <c r="AA94" s="51" t="str">
        <f>VLOOKUP(Table3[[#This Row],[ACTIVITY]],TAGS!$B:$P,13,FALSE)</f>
        <v>1. Bayanihan Agri Cluster</v>
      </c>
      <c r="AB94" s="51" t="str">
        <f>VLOOKUP(Table3[[#This Row],[ACTIVITY]],TAGS!$B:$P,14,FALSE)</f>
        <v>EXPAND AND IMPROVE AVAILABLE AGRI-FISHERY AREAS FOR INCREASED PRODUCTION</v>
      </c>
      <c r="AC94" s="51" t="str">
        <f>VLOOKUP(Table3[[#This Row],[ACTIVITY]],TAGS!$B:$P,15,FALSE)</f>
        <v>Farm Inputs</v>
      </c>
      <c r="AD94" s="51" t="str">
        <f>VLOOKUP(Table3[[#This Row],[PI LEVEL 3]],'PI LEVEL'!$A:$G,7,FALSE)</f>
        <v>DA-Level Output</v>
      </c>
      <c r="AE94" s="47" t="s">
        <v>577</v>
      </c>
      <c r="AF94" s="51" t="str">
        <f>VLOOKUP(Table3[[#This Row],[ACTIVITY]],TAGS!$B:$P,3,FALSE)</f>
        <v>kilogram</v>
      </c>
      <c r="AG94" s="47" t="s">
        <v>334</v>
      </c>
      <c r="AH94" s="51" t="str">
        <f>VLOOKUP(Table3[[#This Row],[MONTH]],TAGS!$W$67:$Y$81,2,FALSE)</f>
        <v>3RD QTR</v>
      </c>
      <c r="AI94" s="51" t="str">
        <f>VLOOKUP(Table3[[#This Row],[MONTH]],TAGS!$W$67:$Y$81,3,FALSE)</f>
        <v>2ND SEMESTER</v>
      </c>
      <c r="AJ94" s="51">
        <f>VLOOKUP(Table3[[#This Row],[MONTH]],TAGS!$W$67:$Z$81,4,FALSE)</f>
        <v>2025</v>
      </c>
      <c r="AK94" s="47">
        <v>13914</v>
      </c>
      <c r="AL94" s="51" t="str">
        <f>VLOOKUP(Table3[[#This Row],[ACTIVITY]],TAGS!$B:$R,16,FALSE)</f>
        <v>YES</v>
      </c>
      <c r="AM94" s="47">
        <v>773</v>
      </c>
      <c r="AN94" s="47">
        <v>9276</v>
      </c>
      <c r="AO94" s="57">
        <f>SUM(Table3[[#This Row],[MALE BENEFICIARIES]:[FEMALE BENEFICIARIES]])</f>
        <v>0</v>
      </c>
      <c r="AP94" s="58"/>
      <c r="AQ94" s="58"/>
      <c r="AR94" s="58"/>
      <c r="AS94" s="58">
        <v>1</v>
      </c>
      <c r="AT94" s="59">
        <v>773</v>
      </c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</row>
    <row r="95" spans="1:65">
      <c r="A95" s="51" t="str">
        <f>VLOOKUP(Table3[[#This Row],[OU]],OU!$A$15:$B$34,2,FALSE)</f>
        <v>RFOs</v>
      </c>
      <c r="B95" s="47" t="s">
        <v>5</v>
      </c>
      <c r="C95" s="47" t="s">
        <v>574</v>
      </c>
      <c r="D95" s="47"/>
      <c r="E95" s="47" t="s">
        <v>43</v>
      </c>
      <c r="F95" s="47" t="s">
        <v>670</v>
      </c>
      <c r="G9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3rd District</v>
      </c>
      <c r="H9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23107000</v>
      </c>
      <c r="I95" s="52" t="str">
        <f>VLOOKUP(Table3[[#This Row],[PSGC]],DISTRICT!$D:$G,4,FALSE)</f>
        <v>3rd</v>
      </c>
      <c r="J95" s="47" t="s">
        <v>578</v>
      </c>
      <c r="K95" s="51" t="str">
        <f>VLOOKUP(Table3[[#This Row],[SPECIFIC COMMODITY]],TAGS!$W$48:$X$53,2,FALSE)</f>
        <v>Corn</v>
      </c>
      <c r="L95" s="51" t="str">
        <f>VLOOKUP(Table3[[#This Row],[PREXC SUB-PROGRAM]],Table5[],2,FALSE)</f>
        <v>TECHNICAL AND SUPPORT SERVICES PROGRAM</v>
      </c>
      <c r="M95" s="51" t="str">
        <f>VLOOKUP(Table3[[#This Row],[COMMODITY PREXC SUB-PROGRAM]],TAGS!$U$54:$V$76,2,FALSE)</f>
        <v>PSS</v>
      </c>
      <c r="N95" s="47" t="s">
        <v>576</v>
      </c>
      <c r="O95" s="54" t="str">
        <f>VLOOKUP(Table3[[#This Row],[PI LEVEL 3]],'PI LEVEL'!A:C,3,FALSE)</f>
        <v>Seeds distributed</v>
      </c>
      <c r="P95" s="54" t="str">
        <f>VLOOKUP(Table3[[#This Row],[PI LEVEL 3]],Table53729[[Performance Indicator Level 3]:[Performance Indicator Level 1]],2,FALSE)</f>
        <v>Corn Seeds distributed</v>
      </c>
      <c r="Q95" s="54" t="str">
        <f>VLOOKUP(Table3[[#This Row],[ACTIVITY]],TAGS!B:P,2,FALSE)</f>
        <v>Yellow Corn Seeds distributed</v>
      </c>
      <c r="R95" s="47" t="s">
        <v>34</v>
      </c>
      <c r="S95" s="51" t="str">
        <f>VLOOKUP(Table3[[#This Row],[ACTIVITY]],TAGS!$B:$P,4,FALSE)</f>
        <v>Yellow Corn Production Enhancement Project</v>
      </c>
      <c r="T95" s="51" t="str">
        <f>VLOOKUP(Table3[[#This Row],[ACTIVITY]],TAGS!$B:$P,5,FALSE)</f>
        <v>Corn Seed Assistance</v>
      </c>
      <c r="U95" s="51" t="str">
        <f>VLOOKUP(Table3[[#This Row],[ACTIVITY]],TAGS!$B:$P,6,FALSE)</f>
        <v>Yellow corn seeds</v>
      </c>
      <c r="V95" s="51" t="str">
        <f>VLOOKUP(Table3[[#This Row],[ACTIVITY]],TAGS!$B:$P,7,FALSE)</f>
        <v>NO</v>
      </c>
      <c r="W95" s="51" t="str">
        <f>VLOOKUP(Table3[[#This Row],[ACTIVITY]],TAGS!$B:$P,8,FALSE)</f>
        <v>PAP</v>
      </c>
      <c r="X95" s="51" t="str">
        <f>VLOOKUP(Table3[[#This Row],[ACTIVITY]],TAGS!$B:$P,10,FALSE)</f>
        <v>PIP</v>
      </c>
      <c r="Y95" s="51" t="str">
        <f>VLOOKUP(Table3[[#This Row],[ACTIVITY]],TAGS!$B:$P,11,FALSE)</f>
        <v>PICS</v>
      </c>
      <c r="Z95" s="51" t="str">
        <f>VLOOKUP(Table3[[#This Row],[ACTIVITY]],TAGS!$B:$P,12,FALSE)</f>
        <v>Consolidation</v>
      </c>
      <c r="AA95" s="51" t="str">
        <f>VLOOKUP(Table3[[#This Row],[ACTIVITY]],TAGS!$B:$P,13,FALSE)</f>
        <v>1. Bayanihan Agri Cluster</v>
      </c>
      <c r="AB95" s="51" t="str">
        <f>VLOOKUP(Table3[[#This Row],[ACTIVITY]],TAGS!$B:$P,14,FALSE)</f>
        <v>EXPAND AND IMPROVE AVAILABLE AGRI-FISHERY AREAS FOR INCREASED PRODUCTION</v>
      </c>
      <c r="AC95" s="51" t="str">
        <f>VLOOKUP(Table3[[#This Row],[ACTIVITY]],TAGS!$B:$P,15,FALSE)</f>
        <v>Farm Inputs</v>
      </c>
      <c r="AD95" s="51" t="str">
        <f>VLOOKUP(Table3[[#This Row],[PI LEVEL 3]],'PI LEVEL'!$A:$G,7,FALSE)</f>
        <v>DA-Level Output</v>
      </c>
      <c r="AE95" s="47" t="s">
        <v>577</v>
      </c>
      <c r="AF95" s="51" t="str">
        <f>VLOOKUP(Table3[[#This Row],[ACTIVITY]],TAGS!$B:$P,3,FALSE)</f>
        <v>kilogram</v>
      </c>
      <c r="AG95" s="47" t="s">
        <v>334</v>
      </c>
      <c r="AH95" s="51" t="str">
        <f>VLOOKUP(Table3[[#This Row],[MONTH]],TAGS!$W$67:$Y$81,2,FALSE)</f>
        <v>3RD QTR</v>
      </c>
      <c r="AI95" s="51" t="str">
        <f>VLOOKUP(Table3[[#This Row],[MONTH]],TAGS!$W$67:$Y$81,3,FALSE)</f>
        <v>2ND SEMESTER</v>
      </c>
      <c r="AJ95" s="51">
        <f>VLOOKUP(Table3[[#This Row],[MONTH]],TAGS!$W$67:$Z$81,4,FALSE)</f>
        <v>2025</v>
      </c>
      <c r="AK95" s="47">
        <v>1098</v>
      </c>
      <c r="AL95" s="51" t="str">
        <f>VLOOKUP(Table3[[#This Row],[ACTIVITY]],TAGS!$B:$R,16,FALSE)</f>
        <v>YES</v>
      </c>
      <c r="AM95" s="47">
        <v>61</v>
      </c>
      <c r="AN95" s="47">
        <v>732</v>
      </c>
      <c r="AO95" s="57">
        <f>SUM(Table3[[#This Row],[MALE BENEFICIARIES]:[FEMALE BENEFICIARIES]])</f>
        <v>0</v>
      </c>
      <c r="AP95" s="58"/>
      <c r="AQ95" s="58"/>
      <c r="AR95" s="58"/>
      <c r="AS95" s="58">
        <v>1</v>
      </c>
      <c r="AT95" s="59">
        <v>61</v>
      </c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</row>
    <row r="96" spans="1:65">
      <c r="A96" s="51" t="str">
        <f>VLOOKUP(Table3[[#This Row],[OU]],OU!$A$15:$B$34,2,FALSE)</f>
        <v>RFOs</v>
      </c>
      <c r="B96" s="47" t="s">
        <v>5</v>
      </c>
      <c r="C96" s="47" t="s">
        <v>574</v>
      </c>
      <c r="D96" s="47"/>
      <c r="E96" s="47" t="s">
        <v>43</v>
      </c>
      <c r="F96" s="47" t="s">
        <v>671</v>
      </c>
      <c r="G9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3rd District</v>
      </c>
      <c r="H9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23124000</v>
      </c>
      <c r="I96" s="52" t="str">
        <f>VLOOKUP(Table3[[#This Row],[PSGC]],DISTRICT!$D:$G,4,FALSE)</f>
        <v>2nd</v>
      </c>
      <c r="J96" s="47" t="s">
        <v>578</v>
      </c>
      <c r="K96" s="51" t="str">
        <f>VLOOKUP(Table3[[#This Row],[SPECIFIC COMMODITY]],TAGS!$W$48:$X$53,2,FALSE)</f>
        <v>Corn</v>
      </c>
      <c r="L96" s="51" t="str">
        <f>VLOOKUP(Table3[[#This Row],[PREXC SUB-PROGRAM]],Table5[],2,FALSE)</f>
        <v>TECHNICAL AND SUPPORT SERVICES PROGRAM</v>
      </c>
      <c r="M96" s="51" t="str">
        <f>VLOOKUP(Table3[[#This Row],[COMMODITY PREXC SUB-PROGRAM]],TAGS!$U$54:$V$76,2,FALSE)</f>
        <v>PSS</v>
      </c>
      <c r="N96" s="47" t="s">
        <v>576</v>
      </c>
      <c r="O96" s="54" t="str">
        <f>VLOOKUP(Table3[[#This Row],[PI LEVEL 3]],'PI LEVEL'!A:C,3,FALSE)</f>
        <v>Seeds distributed</v>
      </c>
      <c r="P96" s="54" t="str">
        <f>VLOOKUP(Table3[[#This Row],[PI LEVEL 3]],Table53729[[Performance Indicator Level 3]:[Performance Indicator Level 1]],2,FALSE)</f>
        <v>Corn Seeds distributed</v>
      </c>
      <c r="Q96" s="54" t="str">
        <f>VLOOKUP(Table3[[#This Row],[ACTIVITY]],TAGS!B:P,2,FALSE)</f>
        <v>Yellow Corn Seeds distributed</v>
      </c>
      <c r="R96" s="47" t="s">
        <v>34</v>
      </c>
      <c r="S96" s="51" t="str">
        <f>VLOOKUP(Table3[[#This Row],[ACTIVITY]],TAGS!$B:$P,4,FALSE)</f>
        <v>Yellow Corn Production Enhancement Project</v>
      </c>
      <c r="T96" s="51" t="str">
        <f>VLOOKUP(Table3[[#This Row],[ACTIVITY]],TAGS!$B:$P,5,FALSE)</f>
        <v>Corn Seed Assistance</v>
      </c>
      <c r="U96" s="51" t="str">
        <f>VLOOKUP(Table3[[#This Row],[ACTIVITY]],TAGS!$B:$P,6,FALSE)</f>
        <v>Yellow corn seeds</v>
      </c>
      <c r="V96" s="51" t="str">
        <f>VLOOKUP(Table3[[#This Row],[ACTIVITY]],TAGS!$B:$P,7,FALSE)</f>
        <v>NO</v>
      </c>
      <c r="W96" s="51" t="str">
        <f>VLOOKUP(Table3[[#This Row],[ACTIVITY]],TAGS!$B:$P,8,FALSE)</f>
        <v>PAP</v>
      </c>
      <c r="X96" s="51" t="str">
        <f>VLOOKUP(Table3[[#This Row],[ACTIVITY]],TAGS!$B:$P,10,FALSE)</f>
        <v>PIP</v>
      </c>
      <c r="Y96" s="51" t="str">
        <f>VLOOKUP(Table3[[#This Row],[ACTIVITY]],TAGS!$B:$P,11,FALSE)</f>
        <v>PICS</v>
      </c>
      <c r="Z96" s="51" t="str">
        <f>VLOOKUP(Table3[[#This Row],[ACTIVITY]],TAGS!$B:$P,12,FALSE)</f>
        <v>Consolidation</v>
      </c>
      <c r="AA96" s="51" t="str">
        <f>VLOOKUP(Table3[[#This Row],[ACTIVITY]],TAGS!$B:$P,13,FALSE)</f>
        <v>1. Bayanihan Agri Cluster</v>
      </c>
      <c r="AB96" s="51" t="str">
        <f>VLOOKUP(Table3[[#This Row],[ACTIVITY]],TAGS!$B:$P,14,FALSE)</f>
        <v>EXPAND AND IMPROVE AVAILABLE AGRI-FISHERY AREAS FOR INCREASED PRODUCTION</v>
      </c>
      <c r="AC96" s="51" t="str">
        <f>VLOOKUP(Table3[[#This Row],[ACTIVITY]],TAGS!$B:$P,15,FALSE)</f>
        <v>Farm Inputs</v>
      </c>
      <c r="AD96" s="51" t="str">
        <f>VLOOKUP(Table3[[#This Row],[PI LEVEL 3]],'PI LEVEL'!$A:$G,7,FALSE)</f>
        <v>DA-Level Output</v>
      </c>
      <c r="AE96" s="47" t="s">
        <v>577</v>
      </c>
      <c r="AF96" s="51" t="str">
        <f>VLOOKUP(Table3[[#This Row],[ACTIVITY]],TAGS!$B:$P,3,FALSE)</f>
        <v>kilogram</v>
      </c>
      <c r="AG96" s="47" t="s">
        <v>334</v>
      </c>
      <c r="AH96" s="51" t="str">
        <f>VLOOKUP(Table3[[#This Row],[MONTH]],TAGS!$W$67:$Y$81,2,FALSE)</f>
        <v>3RD QTR</v>
      </c>
      <c r="AI96" s="51" t="str">
        <f>VLOOKUP(Table3[[#This Row],[MONTH]],TAGS!$W$67:$Y$81,3,FALSE)</f>
        <v>2ND SEMESTER</v>
      </c>
      <c r="AJ96" s="51">
        <f>VLOOKUP(Table3[[#This Row],[MONTH]],TAGS!$W$67:$Z$81,4,FALSE)</f>
        <v>2025</v>
      </c>
      <c r="AK96" s="47">
        <v>504</v>
      </c>
      <c r="AL96" s="51" t="str">
        <f>VLOOKUP(Table3[[#This Row],[ACTIVITY]],TAGS!$B:$R,16,FALSE)</f>
        <v>YES</v>
      </c>
      <c r="AM96" s="47">
        <v>28</v>
      </c>
      <c r="AN96" s="47">
        <v>336</v>
      </c>
      <c r="AO96" s="57">
        <f>SUM(Table3[[#This Row],[MALE BENEFICIARIES]:[FEMALE BENEFICIARIES]])</f>
        <v>0</v>
      </c>
      <c r="AP96" s="58"/>
      <c r="AQ96" s="58"/>
      <c r="AR96" s="58"/>
      <c r="AS96" s="58">
        <v>1</v>
      </c>
      <c r="AT96" s="59">
        <v>28</v>
      </c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</row>
    <row r="97" spans="1:65">
      <c r="A97" s="51" t="str">
        <f>VLOOKUP(Table3[[#This Row],[OU]],OU!$A$15:$B$34,2,FALSE)</f>
        <v>RFOs</v>
      </c>
      <c r="B97" s="47" t="s">
        <v>5</v>
      </c>
      <c r="C97" s="47" t="s">
        <v>574</v>
      </c>
      <c r="D97" s="47"/>
      <c r="E97" s="47" t="s">
        <v>43</v>
      </c>
      <c r="F97" s="47" t="s">
        <v>672</v>
      </c>
      <c r="G9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3rd District</v>
      </c>
      <c r="H9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23132000</v>
      </c>
      <c r="I97" s="52" t="str">
        <f>VLOOKUP(Table3[[#This Row],[PSGC]],DISTRICT!$D:$G,4,FALSE)</f>
        <v>1st</v>
      </c>
      <c r="J97" s="47" t="s">
        <v>578</v>
      </c>
      <c r="K97" s="51" t="str">
        <f>VLOOKUP(Table3[[#This Row],[SPECIFIC COMMODITY]],TAGS!$W$48:$X$53,2,FALSE)</f>
        <v>Corn</v>
      </c>
      <c r="L97" s="51" t="str">
        <f>VLOOKUP(Table3[[#This Row],[PREXC SUB-PROGRAM]],Table5[],2,FALSE)</f>
        <v>TECHNICAL AND SUPPORT SERVICES PROGRAM</v>
      </c>
      <c r="M97" s="51" t="str">
        <f>VLOOKUP(Table3[[#This Row],[COMMODITY PREXC SUB-PROGRAM]],TAGS!$U$54:$V$76,2,FALSE)</f>
        <v>PSS</v>
      </c>
      <c r="N97" s="47" t="s">
        <v>576</v>
      </c>
      <c r="O97" s="54" t="str">
        <f>VLOOKUP(Table3[[#This Row],[PI LEVEL 3]],'PI LEVEL'!A:C,3,FALSE)</f>
        <v>Seeds distributed</v>
      </c>
      <c r="P97" s="54" t="str">
        <f>VLOOKUP(Table3[[#This Row],[PI LEVEL 3]],Table53729[[Performance Indicator Level 3]:[Performance Indicator Level 1]],2,FALSE)</f>
        <v>Corn Seeds distributed</v>
      </c>
      <c r="Q97" s="54" t="str">
        <f>VLOOKUP(Table3[[#This Row],[ACTIVITY]],TAGS!B:P,2,FALSE)</f>
        <v>Yellow Corn Seeds distributed</v>
      </c>
      <c r="R97" s="47" t="s">
        <v>34</v>
      </c>
      <c r="S97" s="51" t="str">
        <f>VLOOKUP(Table3[[#This Row],[ACTIVITY]],TAGS!$B:$P,4,FALSE)</f>
        <v>Yellow Corn Production Enhancement Project</v>
      </c>
      <c r="T97" s="51" t="str">
        <f>VLOOKUP(Table3[[#This Row],[ACTIVITY]],TAGS!$B:$P,5,FALSE)</f>
        <v>Corn Seed Assistance</v>
      </c>
      <c r="U97" s="51" t="str">
        <f>VLOOKUP(Table3[[#This Row],[ACTIVITY]],TAGS!$B:$P,6,FALSE)</f>
        <v>Yellow corn seeds</v>
      </c>
      <c r="V97" s="51" t="str">
        <f>VLOOKUP(Table3[[#This Row],[ACTIVITY]],TAGS!$B:$P,7,FALSE)</f>
        <v>NO</v>
      </c>
      <c r="W97" s="51" t="str">
        <f>VLOOKUP(Table3[[#This Row],[ACTIVITY]],TAGS!$B:$P,8,FALSE)</f>
        <v>PAP</v>
      </c>
      <c r="X97" s="51" t="str">
        <f>VLOOKUP(Table3[[#This Row],[ACTIVITY]],TAGS!$B:$P,10,FALSE)</f>
        <v>PIP</v>
      </c>
      <c r="Y97" s="51" t="str">
        <f>VLOOKUP(Table3[[#This Row],[ACTIVITY]],TAGS!$B:$P,11,FALSE)</f>
        <v>PICS</v>
      </c>
      <c r="Z97" s="51" t="str">
        <f>VLOOKUP(Table3[[#This Row],[ACTIVITY]],TAGS!$B:$P,12,FALSE)</f>
        <v>Consolidation</v>
      </c>
      <c r="AA97" s="51" t="str">
        <f>VLOOKUP(Table3[[#This Row],[ACTIVITY]],TAGS!$B:$P,13,FALSE)</f>
        <v>1. Bayanihan Agri Cluster</v>
      </c>
      <c r="AB97" s="51" t="str">
        <f>VLOOKUP(Table3[[#This Row],[ACTIVITY]],TAGS!$B:$P,14,FALSE)</f>
        <v>EXPAND AND IMPROVE AVAILABLE AGRI-FISHERY AREAS FOR INCREASED PRODUCTION</v>
      </c>
      <c r="AC97" s="51" t="str">
        <f>VLOOKUP(Table3[[#This Row],[ACTIVITY]],TAGS!$B:$P,15,FALSE)</f>
        <v>Farm Inputs</v>
      </c>
      <c r="AD97" s="51" t="str">
        <f>VLOOKUP(Table3[[#This Row],[PI LEVEL 3]],'PI LEVEL'!$A:$G,7,FALSE)</f>
        <v>DA-Level Output</v>
      </c>
      <c r="AE97" s="47" t="s">
        <v>577</v>
      </c>
      <c r="AF97" s="51" t="str">
        <f>VLOOKUP(Table3[[#This Row],[ACTIVITY]],TAGS!$B:$P,3,FALSE)</f>
        <v>kilogram</v>
      </c>
      <c r="AG97" s="47" t="s">
        <v>334</v>
      </c>
      <c r="AH97" s="51" t="str">
        <f>VLOOKUP(Table3[[#This Row],[MONTH]],TAGS!$W$67:$Y$81,2,FALSE)</f>
        <v>3RD QTR</v>
      </c>
      <c r="AI97" s="51" t="str">
        <f>VLOOKUP(Table3[[#This Row],[MONTH]],TAGS!$W$67:$Y$81,3,FALSE)</f>
        <v>2ND SEMESTER</v>
      </c>
      <c r="AJ97" s="51">
        <f>VLOOKUP(Table3[[#This Row],[MONTH]],TAGS!$W$67:$Z$81,4,FALSE)</f>
        <v>2025</v>
      </c>
      <c r="AK97" s="47">
        <v>1404</v>
      </c>
      <c r="AL97" s="51" t="str">
        <f>VLOOKUP(Table3[[#This Row],[ACTIVITY]],TAGS!$B:$R,16,FALSE)</f>
        <v>YES</v>
      </c>
      <c r="AM97" s="47">
        <v>78</v>
      </c>
      <c r="AN97" s="47">
        <v>936</v>
      </c>
      <c r="AO97" s="57">
        <f>SUM(Table3[[#This Row],[MALE BENEFICIARIES]:[FEMALE BENEFICIARIES]])</f>
        <v>0</v>
      </c>
      <c r="AP97" s="58"/>
      <c r="AQ97" s="58"/>
      <c r="AR97" s="58"/>
      <c r="AS97" s="58">
        <v>1</v>
      </c>
      <c r="AT97" s="59">
        <v>78</v>
      </c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</row>
    <row r="98" spans="1:65">
      <c r="A98" s="51" t="str">
        <f>VLOOKUP(Table3[[#This Row],[OU]],OU!$A$15:$B$34,2,FALSE)</f>
        <v>RFOs</v>
      </c>
      <c r="B98" s="47" t="s">
        <v>5</v>
      </c>
      <c r="C98" s="47" t="s">
        <v>574</v>
      </c>
      <c r="D98" s="47"/>
      <c r="E98" s="47" t="s">
        <v>43</v>
      </c>
      <c r="F98" s="47" t="s">
        <v>673</v>
      </c>
      <c r="G9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4th District</v>
      </c>
      <c r="H9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23135000</v>
      </c>
      <c r="I98" s="52" t="str">
        <f>VLOOKUP(Table3[[#This Row],[PSGC]],DISTRICT!$D:$G,4,FALSE)</f>
        <v>1st</v>
      </c>
      <c r="J98" s="47" t="s">
        <v>578</v>
      </c>
      <c r="K98" s="51" t="str">
        <f>VLOOKUP(Table3[[#This Row],[SPECIFIC COMMODITY]],TAGS!$W$48:$X$53,2,FALSE)</f>
        <v>Corn</v>
      </c>
      <c r="L98" s="51" t="str">
        <f>VLOOKUP(Table3[[#This Row],[PREXC SUB-PROGRAM]],Table5[],2,FALSE)</f>
        <v>TECHNICAL AND SUPPORT SERVICES PROGRAM</v>
      </c>
      <c r="M98" s="51" t="str">
        <f>VLOOKUP(Table3[[#This Row],[COMMODITY PREXC SUB-PROGRAM]],TAGS!$U$54:$V$76,2,FALSE)</f>
        <v>PSS</v>
      </c>
      <c r="N98" s="47" t="s">
        <v>576</v>
      </c>
      <c r="O98" s="54" t="str">
        <f>VLOOKUP(Table3[[#This Row],[PI LEVEL 3]],'PI LEVEL'!A:C,3,FALSE)</f>
        <v>Seeds distributed</v>
      </c>
      <c r="P98" s="54" t="str">
        <f>VLOOKUP(Table3[[#This Row],[PI LEVEL 3]],Table53729[[Performance Indicator Level 3]:[Performance Indicator Level 1]],2,FALSE)</f>
        <v>Corn Seeds distributed</v>
      </c>
      <c r="Q98" s="54" t="str">
        <f>VLOOKUP(Table3[[#This Row],[ACTIVITY]],TAGS!B:P,2,FALSE)</f>
        <v>Yellow Corn Seeds distributed</v>
      </c>
      <c r="R98" s="47" t="s">
        <v>34</v>
      </c>
      <c r="S98" s="51" t="str">
        <f>VLOOKUP(Table3[[#This Row],[ACTIVITY]],TAGS!$B:$P,4,FALSE)</f>
        <v>Yellow Corn Production Enhancement Project</v>
      </c>
      <c r="T98" s="51" t="str">
        <f>VLOOKUP(Table3[[#This Row],[ACTIVITY]],TAGS!$B:$P,5,FALSE)</f>
        <v>Corn Seed Assistance</v>
      </c>
      <c r="U98" s="51" t="str">
        <f>VLOOKUP(Table3[[#This Row],[ACTIVITY]],TAGS!$B:$P,6,FALSE)</f>
        <v>Yellow corn seeds</v>
      </c>
      <c r="V98" s="51" t="str">
        <f>VLOOKUP(Table3[[#This Row],[ACTIVITY]],TAGS!$B:$P,7,FALSE)</f>
        <v>NO</v>
      </c>
      <c r="W98" s="51" t="str">
        <f>VLOOKUP(Table3[[#This Row],[ACTIVITY]],TAGS!$B:$P,8,FALSE)</f>
        <v>PAP</v>
      </c>
      <c r="X98" s="51" t="str">
        <f>VLOOKUP(Table3[[#This Row],[ACTIVITY]],TAGS!$B:$P,10,FALSE)</f>
        <v>PIP</v>
      </c>
      <c r="Y98" s="51" t="str">
        <f>VLOOKUP(Table3[[#This Row],[ACTIVITY]],TAGS!$B:$P,11,FALSE)</f>
        <v>PICS</v>
      </c>
      <c r="Z98" s="51" t="str">
        <f>VLOOKUP(Table3[[#This Row],[ACTIVITY]],TAGS!$B:$P,12,FALSE)</f>
        <v>Consolidation</v>
      </c>
      <c r="AA98" s="51" t="str">
        <f>VLOOKUP(Table3[[#This Row],[ACTIVITY]],TAGS!$B:$P,13,FALSE)</f>
        <v>1. Bayanihan Agri Cluster</v>
      </c>
      <c r="AB98" s="51" t="str">
        <f>VLOOKUP(Table3[[#This Row],[ACTIVITY]],TAGS!$B:$P,14,FALSE)</f>
        <v>EXPAND AND IMPROVE AVAILABLE AGRI-FISHERY AREAS FOR INCREASED PRODUCTION</v>
      </c>
      <c r="AC98" s="51" t="str">
        <f>VLOOKUP(Table3[[#This Row],[ACTIVITY]],TAGS!$B:$P,15,FALSE)</f>
        <v>Farm Inputs</v>
      </c>
      <c r="AD98" s="51" t="str">
        <f>VLOOKUP(Table3[[#This Row],[PI LEVEL 3]],'PI LEVEL'!$A:$G,7,FALSE)</f>
        <v>DA-Level Output</v>
      </c>
      <c r="AE98" s="47" t="s">
        <v>577</v>
      </c>
      <c r="AF98" s="51" t="str">
        <f>VLOOKUP(Table3[[#This Row],[ACTIVITY]],TAGS!$B:$P,3,FALSE)</f>
        <v>kilogram</v>
      </c>
      <c r="AG98" s="47" t="s">
        <v>334</v>
      </c>
      <c r="AH98" s="51" t="str">
        <f>VLOOKUP(Table3[[#This Row],[MONTH]],TAGS!$W$67:$Y$81,2,FALSE)</f>
        <v>3RD QTR</v>
      </c>
      <c r="AI98" s="51" t="str">
        <f>VLOOKUP(Table3[[#This Row],[MONTH]],TAGS!$W$67:$Y$81,3,FALSE)</f>
        <v>2ND SEMESTER</v>
      </c>
      <c r="AJ98" s="51">
        <f>VLOOKUP(Table3[[#This Row],[MONTH]],TAGS!$W$67:$Z$81,4,FALSE)</f>
        <v>2025</v>
      </c>
      <c r="AK98" s="47">
        <v>198</v>
      </c>
      <c r="AL98" s="51" t="str">
        <f>VLOOKUP(Table3[[#This Row],[ACTIVITY]],TAGS!$B:$R,16,FALSE)</f>
        <v>YES</v>
      </c>
      <c r="AM98" s="47">
        <v>11</v>
      </c>
      <c r="AN98" s="47">
        <v>132</v>
      </c>
      <c r="AO98" s="57">
        <f>SUM(Table3[[#This Row],[MALE BENEFICIARIES]:[FEMALE BENEFICIARIES]])</f>
        <v>0</v>
      </c>
      <c r="AP98" s="58"/>
      <c r="AQ98" s="58"/>
      <c r="AR98" s="58"/>
      <c r="AS98" s="58">
        <v>1</v>
      </c>
      <c r="AT98" s="59">
        <v>11</v>
      </c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</row>
    <row r="99" spans="1:65">
      <c r="A99" s="51" t="str">
        <f>VLOOKUP(Table3[[#This Row],[OU]],OU!$A$15:$B$34,2,FALSE)</f>
        <v>RFOs</v>
      </c>
      <c r="B99" s="47" t="s">
        <v>5</v>
      </c>
      <c r="C99" s="47" t="s">
        <v>574</v>
      </c>
      <c r="D99" s="47"/>
      <c r="E99" s="47" t="s">
        <v>43</v>
      </c>
      <c r="F99" s="47" t="s">
        <v>674</v>
      </c>
      <c r="G9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4th District</v>
      </c>
      <c r="H9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23109000</v>
      </c>
      <c r="I99" s="52" t="str">
        <f>VLOOKUP(Table3[[#This Row],[PSGC]],DISTRICT!$D:$G,4,FALSE)</f>
        <v>3rd</v>
      </c>
      <c r="J99" s="47" t="s">
        <v>578</v>
      </c>
      <c r="K99" s="51" t="str">
        <f>VLOOKUP(Table3[[#This Row],[SPECIFIC COMMODITY]],TAGS!$W$48:$X$53,2,FALSE)</f>
        <v>Corn</v>
      </c>
      <c r="L99" s="51" t="str">
        <f>VLOOKUP(Table3[[#This Row],[PREXC SUB-PROGRAM]],Table5[],2,FALSE)</f>
        <v>TECHNICAL AND SUPPORT SERVICES PROGRAM</v>
      </c>
      <c r="M99" s="51" t="str">
        <f>VLOOKUP(Table3[[#This Row],[COMMODITY PREXC SUB-PROGRAM]],TAGS!$U$54:$V$76,2,FALSE)</f>
        <v>PSS</v>
      </c>
      <c r="N99" s="47" t="s">
        <v>576</v>
      </c>
      <c r="O99" s="54" t="str">
        <f>VLOOKUP(Table3[[#This Row],[PI LEVEL 3]],'PI LEVEL'!A:C,3,FALSE)</f>
        <v>Seeds distributed</v>
      </c>
      <c r="P99" s="54" t="str">
        <f>VLOOKUP(Table3[[#This Row],[PI LEVEL 3]],Table53729[[Performance Indicator Level 3]:[Performance Indicator Level 1]],2,FALSE)</f>
        <v>Corn Seeds distributed</v>
      </c>
      <c r="Q99" s="54" t="str">
        <f>VLOOKUP(Table3[[#This Row],[ACTIVITY]],TAGS!B:P,2,FALSE)</f>
        <v>Yellow Corn Seeds distributed</v>
      </c>
      <c r="R99" s="47" t="s">
        <v>34</v>
      </c>
      <c r="S99" s="51" t="str">
        <f>VLOOKUP(Table3[[#This Row],[ACTIVITY]],TAGS!$B:$P,4,FALSE)</f>
        <v>Yellow Corn Production Enhancement Project</v>
      </c>
      <c r="T99" s="51" t="str">
        <f>VLOOKUP(Table3[[#This Row],[ACTIVITY]],TAGS!$B:$P,5,FALSE)</f>
        <v>Corn Seed Assistance</v>
      </c>
      <c r="U99" s="51" t="str">
        <f>VLOOKUP(Table3[[#This Row],[ACTIVITY]],TAGS!$B:$P,6,FALSE)</f>
        <v>Yellow corn seeds</v>
      </c>
      <c r="V99" s="51" t="str">
        <f>VLOOKUP(Table3[[#This Row],[ACTIVITY]],TAGS!$B:$P,7,FALSE)</f>
        <v>NO</v>
      </c>
      <c r="W99" s="51" t="str">
        <f>VLOOKUP(Table3[[#This Row],[ACTIVITY]],TAGS!$B:$P,8,FALSE)</f>
        <v>PAP</v>
      </c>
      <c r="X99" s="51" t="str">
        <f>VLOOKUP(Table3[[#This Row],[ACTIVITY]],TAGS!$B:$P,10,FALSE)</f>
        <v>PIP</v>
      </c>
      <c r="Y99" s="51" t="str">
        <f>VLOOKUP(Table3[[#This Row],[ACTIVITY]],TAGS!$B:$P,11,FALSE)</f>
        <v>PICS</v>
      </c>
      <c r="Z99" s="51" t="str">
        <f>VLOOKUP(Table3[[#This Row],[ACTIVITY]],TAGS!$B:$P,12,FALSE)</f>
        <v>Consolidation</v>
      </c>
      <c r="AA99" s="51" t="str">
        <f>VLOOKUP(Table3[[#This Row],[ACTIVITY]],TAGS!$B:$P,13,FALSE)</f>
        <v>1. Bayanihan Agri Cluster</v>
      </c>
      <c r="AB99" s="51" t="str">
        <f>VLOOKUP(Table3[[#This Row],[ACTIVITY]],TAGS!$B:$P,14,FALSE)</f>
        <v>EXPAND AND IMPROVE AVAILABLE AGRI-FISHERY AREAS FOR INCREASED PRODUCTION</v>
      </c>
      <c r="AC99" s="51" t="str">
        <f>VLOOKUP(Table3[[#This Row],[ACTIVITY]],TAGS!$B:$P,15,FALSE)</f>
        <v>Farm Inputs</v>
      </c>
      <c r="AD99" s="51" t="str">
        <f>VLOOKUP(Table3[[#This Row],[PI LEVEL 3]],'PI LEVEL'!$A:$G,7,FALSE)</f>
        <v>DA-Level Output</v>
      </c>
      <c r="AE99" s="47" t="s">
        <v>577</v>
      </c>
      <c r="AF99" s="51" t="str">
        <f>VLOOKUP(Table3[[#This Row],[ACTIVITY]],TAGS!$B:$P,3,FALSE)</f>
        <v>kilogram</v>
      </c>
      <c r="AG99" s="47" t="s">
        <v>334</v>
      </c>
      <c r="AH99" s="51" t="str">
        <f>VLOOKUP(Table3[[#This Row],[MONTH]],TAGS!$W$67:$Y$81,2,FALSE)</f>
        <v>3RD QTR</v>
      </c>
      <c r="AI99" s="51" t="str">
        <f>VLOOKUP(Table3[[#This Row],[MONTH]],TAGS!$W$67:$Y$81,3,FALSE)</f>
        <v>2ND SEMESTER</v>
      </c>
      <c r="AJ99" s="51">
        <f>VLOOKUP(Table3[[#This Row],[MONTH]],TAGS!$W$67:$Z$81,4,FALSE)</f>
        <v>2025</v>
      </c>
      <c r="AK99" s="47">
        <v>6588</v>
      </c>
      <c r="AL99" s="51" t="str">
        <f>VLOOKUP(Table3[[#This Row],[ACTIVITY]],TAGS!$B:$R,16,FALSE)</f>
        <v>YES</v>
      </c>
      <c r="AM99" s="47">
        <v>366</v>
      </c>
      <c r="AN99" s="47">
        <v>4392</v>
      </c>
      <c r="AO99" s="57">
        <f>SUM(Table3[[#This Row],[MALE BENEFICIARIES]:[FEMALE BENEFICIARIES]])</f>
        <v>0</v>
      </c>
      <c r="AP99" s="58"/>
      <c r="AQ99" s="58"/>
      <c r="AR99" s="58"/>
      <c r="AS99" s="58">
        <v>1</v>
      </c>
      <c r="AT99" s="59">
        <v>366</v>
      </c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</row>
    <row r="100" spans="1:65">
      <c r="A100" s="51" t="str">
        <f>VLOOKUP(Table3[[#This Row],[OU]],OU!$A$15:$B$34,2,FALSE)</f>
        <v>RFOs</v>
      </c>
      <c r="B100" s="47" t="s">
        <v>5</v>
      </c>
      <c r="C100" s="47" t="s">
        <v>574</v>
      </c>
      <c r="D100" s="47"/>
      <c r="E100" s="47" t="s">
        <v>43</v>
      </c>
      <c r="F100" s="47" t="s">
        <v>675</v>
      </c>
      <c r="G10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4th District</v>
      </c>
      <c r="H10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23115000</v>
      </c>
      <c r="I100" s="52" t="str">
        <f>VLOOKUP(Table3[[#This Row],[PSGC]],DISTRICT!$D:$G,4,FALSE)</f>
        <v>1st</v>
      </c>
      <c r="J100" s="47" t="s">
        <v>578</v>
      </c>
      <c r="K100" s="51" t="str">
        <f>VLOOKUP(Table3[[#This Row],[SPECIFIC COMMODITY]],TAGS!$W$48:$X$53,2,FALSE)</f>
        <v>Corn</v>
      </c>
      <c r="L100" s="51" t="str">
        <f>VLOOKUP(Table3[[#This Row],[PREXC SUB-PROGRAM]],Table5[],2,FALSE)</f>
        <v>TECHNICAL AND SUPPORT SERVICES PROGRAM</v>
      </c>
      <c r="M100" s="51" t="str">
        <f>VLOOKUP(Table3[[#This Row],[COMMODITY PREXC SUB-PROGRAM]],TAGS!$U$54:$V$76,2,FALSE)</f>
        <v>PSS</v>
      </c>
      <c r="N100" s="47" t="s">
        <v>576</v>
      </c>
      <c r="O100" s="54" t="str">
        <f>VLOOKUP(Table3[[#This Row],[PI LEVEL 3]],'PI LEVEL'!A:C,3,FALSE)</f>
        <v>Seeds distributed</v>
      </c>
      <c r="P100" s="54" t="str">
        <f>VLOOKUP(Table3[[#This Row],[PI LEVEL 3]],Table53729[[Performance Indicator Level 3]:[Performance Indicator Level 1]],2,FALSE)</f>
        <v>Corn Seeds distributed</v>
      </c>
      <c r="Q100" s="54" t="str">
        <f>VLOOKUP(Table3[[#This Row],[ACTIVITY]],TAGS!B:P,2,FALSE)</f>
        <v>Yellow Corn Seeds distributed</v>
      </c>
      <c r="R100" s="47" t="s">
        <v>34</v>
      </c>
      <c r="S100" s="51" t="str">
        <f>VLOOKUP(Table3[[#This Row],[ACTIVITY]],TAGS!$B:$P,4,FALSE)</f>
        <v>Yellow Corn Production Enhancement Project</v>
      </c>
      <c r="T100" s="51" t="str">
        <f>VLOOKUP(Table3[[#This Row],[ACTIVITY]],TAGS!$B:$P,5,FALSE)</f>
        <v>Corn Seed Assistance</v>
      </c>
      <c r="U100" s="51" t="str">
        <f>VLOOKUP(Table3[[#This Row],[ACTIVITY]],TAGS!$B:$P,6,FALSE)</f>
        <v>Yellow corn seeds</v>
      </c>
      <c r="V100" s="51" t="str">
        <f>VLOOKUP(Table3[[#This Row],[ACTIVITY]],TAGS!$B:$P,7,FALSE)</f>
        <v>NO</v>
      </c>
      <c r="W100" s="51" t="str">
        <f>VLOOKUP(Table3[[#This Row],[ACTIVITY]],TAGS!$B:$P,8,FALSE)</f>
        <v>PAP</v>
      </c>
      <c r="X100" s="51" t="str">
        <f>VLOOKUP(Table3[[#This Row],[ACTIVITY]],TAGS!$B:$P,10,FALSE)</f>
        <v>PIP</v>
      </c>
      <c r="Y100" s="51" t="str">
        <f>VLOOKUP(Table3[[#This Row],[ACTIVITY]],TAGS!$B:$P,11,FALSE)</f>
        <v>PICS</v>
      </c>
      <c r="Z100" s="51" t="str">
        <f>VLOOKUP(Table3[[#This Row],[ACTIVITY]],TAGS!$B:$P,12,FALSE)</f>
        <v>Consolidation</v>
      </c>
      <c r="AA100" s="51" t="str">
        <f>VLOOKUP(Table3[[#This Row],[ACTIVITY]],TAGS!$B:$P,13,FALSE)</f>
        <v>1. Bayanihan Agri Cluster</v>
      </c>
      <c r="AB100" s="51" t="str">
        <f>VLOOKUP(Table3[[#This Row],[ACTIVITY]],TAGS!$B:$P,14,FALSE)</f>
        <v>EXPAND AND IMPROVE AVAILABLE AGRI-FISHERY AREAS FOR INCREASED PRODUCTION</v>
      </c>
      <c r="AC100" s="51" t="str">
        <f>VLOOKUP(Table3[[#This Row],[ACTIVITY]],TAGS!$B:$P,15,FALSE)</f>
        <v>Farm Inputs</v>
      </c>
      <c r="AD100" s="51" t="str">
        <f>VLOOKUP(Table3[[#This Row],[PI LEVEL 3]],'PI LEVEL'!$A:$G,7,FALSE)</f>
        <v>DA-Level Output</v>
      </c>
      <c r="AE100" s="47" t="s">
        <v>577</v>
      </c>
      <c r="AF100" s="51" t="str">
        <f>VLOOKUP(Table3[[#This Row],[ACTIVITY]],TAGS!$B:$P,3,FALSE)</f>
        <v>kilogram</v>
      </c>
      <c r="AG100" s="47" t="s">
        <v>334</v>
      </c>
      <c r="AH100" s="51" t="str">
        <f>VLOOKUP(Table3[[#This Row],[MONTH]],TAGS!$W$67:$Y$81,2,FALSE)</f>
        <v>3RD QTR</v>
      </c>
      <c r="AI100" s="51" t="str">
        <f>VLOOKUP(Table3[[#This Row],[MONTH]],TAGS!$W$67:$Y$81,3,FALSE)</f>
        <v>2ND SEMESTER</v>
      </c>
      <c r="AJ100" s="51">
        <f>VLOOKUP(Table3[[#This Row],[MONTH]],TAGS!$W$67:$Z$81,4,FALSE)</f>
        <v>2025</v>
      </c>
      <c r="AK100" s="47">
        <v>16110</v>
      </c>
      <c r="AL100" s="51" t="str">
        <f>VLOOKUP(Table3[[#This Row],[ACTIVITY]],TAGS!$B:$R,16,FALSE)</f>
        <v>YES</v>
      </c>
      <c r="AM100" s="47">
        <v>895</v>
      </c>
      <c r="AN100" s="47">
        <v>10740</v>
      </c>
      <c r="AO100" s="57">
        <f>SUM(Table3[[#This Row],[MALE BENEFICIARIES]:[FEMALE BENEFICIARIES]])</f>
        <v>0</v>
      </c>
      <c r="AP100" s="58"/>
      <c r="AQ100" s="58"/>
      <c r="AR100" s="58"/>
      <c r="AS100" s="58">
        <v>1</v>
      </c>
      <c r="AT100" s="59">
        <v>895</v>
      </c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</row>
    <row r="101" spans="1:65">
      <c r="A101" s="51" t="str">
        <f>VLOOKUP(Table3[[#This Row],[OU]],OU!$A$15:$B$34,2,FALSE)</f>
        <v>RFOs</v>
      </c>
      <c r="B101" s="47" t="s">
        <v>5</v>
      </c>
      <c r="C101" s="47" t="s">
        <v>574</v>
      </c>
      <c r="D101" s="47"/>
      <c r="E101" s="47" t="s">
        <v>43</v>
      </c>
      <c r="F101" s="47" t="s">
        <v>676</v>
      </c>
      <c r="G10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4th District</v>
      </c>
      <c r="H10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23127000</v>
      </c>
      <c r="I101" s="52" t="str">
        <f>VLOOKUP(Table3[[#This Row],[PSGC]],DISTRICT!$D:$G,4,FALSE)</f>
        <v>3rd</v>
      </c>
      <c r="J101" s="47" t="s">
        <v>578</v>
      </c>
      <c r="K101" s="51" t="str">
        <f>VLOOKUP(Table3[[#This Row],[SPECIFIC COMMODITY]],TAGS!$W$48:$X$53,2,FALSE)</f>
        <v>Corn</v>
      </c>
      <c r="L101" s="51" t="str">
        <f>VLOOKUP(Table3[[#This Row],[PREXC SUB-PROGRAM]],Table5[],2,FALSE)</f>
        <v>TECHNICAL AND SUPPORT SERVICES PROGRAM</v>
      </c>
      <c r="M101" s="51" t="str">
        <f>VLOOKUP(Table3[[#This Row],[COMMODITY PREXC SUB-PROGRAM]],TAGS!$U$54:$V$76,2,FALSE)</f>
        <v>PSS</v>
      </c>
      <c r="N101" s="47" t="s">
        <v>576</v>
      </c>
      <c r="O101" s="54" t="str">
        <f>VLOOKUP(Table3[[#This Row],[PI LEVEL 3]],'PI LEVEL'!A:C,3,FALSE)</f>
        <v>Seeds distributed</v>
      </c>
      <c r="P101" s="54" t="str">
        <f>VLOOKUP(Table3[[#This Row],[PI LEVEL 3]],Table53729[[Performance Indicator Level 3]:[Performance Indicator Level 1]],2,FALSE)</f>
        <v>Corn Seeds distributed</v>
      </c>
      <c r="Q101" s="54" t="str">
        <f>VLOOKUP(Table3[[#This Row],[ACTIVITY]],TAGS!B:P,2,FALSE)</f>
        <v>Yellow Corn Seeds distributed</v>
      </c>
      <c r="R101" s="47" t="s">
        <v>34</v>
      </c>
      <c r="S101" s="51" t="str">
        <f>VLOOKUP(Table3[[#This Row],[ACTIVITY]],TAGS!$B:$P,4,FALSE)</f>
        <v>Yellow Corn Production Enhancement Project</v>
      </c>
      <c r="T101" s="51" t="str">
        <f>VLOOKUP(Table3[[#This Row],[ACTIVITY]],TAGS!$B:$P,5,FALSE)</f>
        <v>Corn Seed Assistance</v>
      </c>
      <c r="U101" s="51" t="str">
        <f>VLOOKUP(Table3[[#This Row],[ACTIVITY]],TAGS!$B:$P,6,FALSE)</f>
        <v>Yellow corn seeds</v>
      </c>
      <c r="V101" s="51" t="str">
        <f>VLOOKUP(Table3[[#This Row],[ACTIVITY]],TAGS!$B:$P,7,FALSE)</f>
        <v>NO</v>
      </c>
      <c r="W101" s="51" t="str">
        <f>VLOOKUP(Table3[[#This Row],[ACTIVITY]],TAGS!$B:$P,8,FALSE)</f>
        <v>PAP</v>
      </c>
      <c r="X101" s="51" t="str">
        <f>VLOOKUP(Table3[[#This Row],[ACTIVITY]],TAGS!$B:$P,10,FALSE)</f>
        <v>PIP</v>
      </c>
      <c r="Y101" s="51" t="str">
        <f>VLOOKUP(Table3[[#This Row],[ACTIVITY]],TAGS!$B:$P,11,FALSE)</f>
        <v>PICS</v>
      </c>
      <c r="Z101" s="51" t="str">
        <f>VLOOKUP(Table3[[#This Row],[ACTIVITY]],TAGS!$B:$P,12,FALSE)</f>
        <v>Consolidation</v>
      </c>
      <c r="AA101" s="51" t="str">
        <f>VLOOKUP(Table3[[#This Row],[ACTIVITY]],TAGS!$B:$P,13,FALSE)</f>
        <v>1. Bayanihan Agri Cluster</v>
      </c>
      <c r="AB101" s="51" t="str">
        <f>VLOOKUP(Table3[[#This Row],[ACTIVITY]],TAGS!$B:$P,14,FALSE)</f>
        <v>EXPAND AND IMPROVE AVAILABLE AGRI-FISHERY AREAS FOR INCREASED PRODUCTION</v>
      </c>
      <c r="AC101" s="51" t="str">
        <f>VLOOKUP(Table3[[#This Row],[ACTIVITY]],TAGS!$B:$P,15,FALSE)</f>
        <v>Farm Inputs</v>
      </c>
      <c r="AD101" s="51" t="str">
        <f>VLOOKUP(Table3[[#This Row],[PI LEVEL 3]],'PI LEVEL'!$A:$G,7,FALSE)</f>
        <v>DA-Level Output</v>
      </c>
      <c r="AE101" s="47" t="s">
        <v>577</v>
      </c>
      <c r="AF101" s="51" t="str">
        <f>VLOOKUP(Table3[[#This Row],[ACTIVITY]],TAGS!$B:$P,3,FALSE)</f>
        <v>kilogram</v>
      </c>
      <c r="AG101" s="47" t="s">
        <v>334</v>
      </c>
      <c r="AH101" s="51" t="str">
        <f>VLOOKUP(Table3[[#This Row],[MONTH]],TAGS!$W$67:$Y$81,2,FALSE)</f>
        <v>3RD QTR</v>
      </c>
      <c r="AI101" s="51" t="str">
        <f>VLOOKUP(Table3[[#This Row],[MONTH]],TAGS!$W$67:$Y$81,3,FALSE)</f>
        <v>2ND SEMESTER</v>
      </c>
      <c r="AJ101" s="51">
        <f>VLOOKUP(Table3[[#This Row],[MONTH]],TAGS!$W$67:$Z$81,4,FALSE)</f>
        <v>2025</v>
      </c>
      <c r="AK101" s="47">
        <v>7362</v>
      </c>
      <c r="AL101" s="51" t="str">
        <f>VLOOKUP(Table3[[#This Row],[ACTIVITY]],TAGS!$B:$R,16,FALSE)</f>
        <v>YES</v>
      </c>
      <c r="AM101" s="47">
        <v>409</v>
      </c>
      <c r="AN101" s="47">
        <v>4908</v>
      </c>
      <c r="AO101" s="57">
        <f>SUM(Table3[[#This Row],[MALE BENEFICIARIES]:[FEMALE BENEFICIARIES]])</f>
        <v>0</v>
      </c>
      <c r="AP101" s="58"/>
      <c r="AQ101" s="58"/>
      <c r="AR101" s="58"/>
      <c r="AS101" s="58">
        <v>1</v>
      </c>
      <c r="AT101" s="59">
        <v>409</v>
      </c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  <c r="BG101" s="59"/>
      <c r="BH101" s="59"/>
      <c r="BI101" s="59"/>
      <c r="BJ101" s="59"/>
      <c r="BK101" s="59"/>
      <c r="BL101" s="59"/>
      <c r="BM101" s="59"/>
    </row>
    <row r="102" spans="1:65">
      <c r="A102" s="51" t="str">
        <f>VLOOKUP(Table3[[#This Row],[OU]],OU!$A$15:$B$34,2,FALSE)</f>
        <v>RFOs</v>
      </c>
      <c r="B102" s="47" t="s">
        <v>5</v>
      </c>
      <c r="C102" s="47" t="s">
        <v>574</v>
      </c>
      <c r="D102" s="47"/>
      <c r="E102" s="47" t="s">
        <v>43</v>
      </c>
      <c r="F102" s="47" t="s">
        <v>677</v>
      </c>
      <c r="G10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5th District</v>
      </c>
      <c r="H10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23103000</v>
      </c>
      <c r="I102" s="52" t="str">
        <f>VLOOKUP(Table3[[#This Row],[PSGC]],DISTRICT!$D:$G,4,FALSE)</f>
        <v>3rd</v>
      </c>
      <c r="J102" s="47" t="s">
        <v>578</v>
      </c>
      <c r="K102" s="51" t="str">
        <f>VLOOKUP(Table3[[#This Row],[SPECIFIC COMMODITY]],TAGS!$W$48:$X$53,2,FALSE)</f>
        <v>Corn</v>
      </c>
      <c r="L102" s="51" t="str">
        <f>VLOOKUP(Table3[[#This Row],[PREXC SUB-PROGRAM]],Table5[],2,FALSE)</f>
        <v>TECHNICAL AND SUPPORT SERVICES PROGRAM</v>
      </c>
      <c r="M102" s="51" t="str">
        <f>VLOOKUP(Table3[[#This Row],[COMMODITY PREXC SUB-PROGRAM]],TAGS!$U$54:$V$76,2,FALSE)</f>
        <v>PSS</v>
      </c>
      <c r="N102" s="47" t="s">
        <v>576</v>
      </c>
      <c r="O102" s="54" t="str">
        <f>VLOOKUP(Table3[[#This Row],[PI LEVEL 3]],'PI LEVEL'!A:C,3,FALSE)</f>
        <v>Seeds distributed</v>
      </c>
      <c r="P102" s="54" t="str">
        <f>VLOOKUP(Table3[[#This Row],[PI LEVEL 3]],Table53729[[Performance Indicator Level 3]:[Performance Indicator Level 1]],2,FALSE)</f>
        <v>Corn Seeds distributed</v>
      </c>
      <c r="Q102" s="54" t="str">
        <f>VLOOKUP(Table3[[#This Row],[ACTIVITY]],TAGS!B:P,2,FALSE)</f>
        <v>Yellow Corn Seeds distributed</v>
      </c>
      <c r="R102" s="47" t="s">
        <v>34</v>
      </c>
      <c r="S102" s="51" t="str">
        <f>VLOOKUP(Table3[[#This Row],[ACTIVITY]],TAGS!$B:$P,4,FALSE)</f>
        <v>Yellow Corn Production Enhancement Project</v>
      </c>
      <c r="T102" s="51" t="str">
        <f>VLOOKUP(Table3[[#This Row],[ACTIVITY]],TAGS!$B:$P,5,FALSE)</f>
        <v>Corn Seed Assistance</v>
      </c>
      <c r="U102" s="51" t="str">
        <f>VLOOKUP(Table3[[#This Row],[ACTIVITY]],TAGS!$B:$P,6,FALSE)</f>
        <v>Yellow corn seeds</v>
      </c>
      <c r="V102" s="51" t="str">
        <f>VLOOKUP(Table3[[#This Row],[ACTIVITY]],TAGS!$B:$P,7,FALSE)</f>
        <v>NO</v>
      </c>
      <c r="W102" s="51" t="str">
        <f>VLOOKUP(Table3[[#This Row],[ACTIVITY]],TAGS!$B:$P,8,FALSE)</f>
        <v>PAP</v>
      </c>
      <c r="X102" s="51" t="str">
        <f>VLOOKUP(Table3[[#This Row],[ACTIVITY]],TAGS!$B:$P,10,FALSE)</f>
        <v>PIP</v>
      </c>
      <c r="Y102" s="51" t="str">
        <f>VLOOKUP(Table3[[#This Row],[ACTIVITY]],TAGS!$B:$P,11,FALSE)</f>
        <v>PICS</v>
      </c>
      <c r="Z102" s="51" t="str">
        <f>VLOOKUP(Table3[[#This Row],[ACTIVITY]],TAGS!$B:$P,12,FALSE)</f>
        <v>Consolidation</v>
      </c>
      <c r="AA102" s="51" t="str">
        <f>VLOOKUP(Table3[[#This Row],[ACTIVITY]],TAGS!$B:$P,13,FALSE)</f>
        <v>1. Bayanihan Agri Cluster</v>
      </c>
      <c r="AB102" s="51" t="str">
        <f>VLOOKUP(Table3[[#This Row],[ACTIVITY]],TAGS!$B:$P,14,FALSE)</f>
        <v>EXPAND AND IMPROVE AVAILABLE AGRI-FISHERY AREAS FOR INCREASED PRODUCTION</v>
      </c>
      <c r="AC102" s="51" t="str">
        <f>VLOOKUP(Table3[[#This Row],[ACTIVITY]],TAGS!$B:$P,15,FALSE)</f>
        <v>Farm Inputs</v>
      </c>
      <c r="AD102" s="51" t="str">
        <f>VLOOKUP(Table3[[#This Row],[PI LEVEL 3]],'PI LEVEL'!$A:$G,7,FALSE)</f>
        <v>DA-Level Output</v>
      </c>
      <c r="AE102" s="47" t="s">
        <v>577</v>
      </c>
      <c r="AF102" s="51" t="str">
        <f>VLOOKUP(Table3[[#This Row],[ACTIVITY]],TAGS!$B:$P,3,FALSE)</f>
        <v>kilogram</v>
      </c>
      <c r="AG102" s="47" t="s">
        <v>334</v>
      </c>
      <c r="AH102" s="51" t="str">
        <f>VLOOKUP(Table3[[#This Row],[MONTH]],TAGS!$W$67:$Y$81,2,FALSE)</f>
        <v>3RD QTR</v>
      </c>
      <c r="AI102" s="51" t="str">
        <f>VLOOKUP(Table3[[#This Row],[MONTH]],TAGS!$W$67:$Y$81,3,FALSE)</f>
        <v>2ND SEMESTER</v>
      </c>
      <c r="AJ102" s="51">
        <f>VLOOKUP(Table3[[#This Row],[MONTH]],TAGS!$W$67:$Z$81,4,FALSE)</f>
        <v>2025</v>
      </c>
      <c r="AK102" s="47">
        <v>5400</v>
      </c>
      <c r="AL102" s="51" t="str">
        <f>VLOOKUP(Table3[[#This Row],[ACTIVITY]],TAGS!$B:$R,16,FALSE)</f>
        <v>YES</v>
      </c>
      <c r="AM102" s="47">
        <v>300</v>
      </c>
      <c r="AN102" s="47">
        <v>3600</v>
      </c>
      <c r="AO102" s="57">
        <f>SUM(Table3[[#This Row],[MALE BENEFICIARIES]:[FEMALE BENEFICIARIES]])</f>
        <v>0</v>
      </c>
      <c r="AP102" s="58"/>
      <c r="AQ102" s="58"/>
      <c r="AR102" s="58"/>
      <c r="AS102" s="58">
        <v>1</v>
      </c>
      <c r="AT102" s="59">
        <v>300</v>
      </c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</row>
    <row r="103" spans="1:65">
      <c r="A103" s="51" t="str">
        <f>VLOOKUP(Table3[[#This Row],[OU]],OU!$A$15:$B$34,2,FALSE)</f>
        <v>RFOs</v>
      </c>
      <c r="B103" s="47" t="s">
        <v>5</v>
      </c>
      <c r="C103" s="47" t="s">
        <v>574</v>
      </c>
      <c r="D103" s="47"/>
      <c r="E103" s="47" t="s">
        <v>43</v>
      </c>
      <c r="F103" s="47" t="s">
        <v>678</v>
      </c>
      <c r="G10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5th District</v>
      </c>
      <c r="H10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23105000</v>
      </c>
      <c r="I103" s="52" t="str">
        <f>VLOOKUP(Table3[[#This Row],[PSGC]],DISTRICT!$D:$G,4,FALSE)</f>
        <v>4th</v>
      </c>
      <c r="J103" s="47" t="s">
        <v>578</v>
      </c>
      <c r="K103" s="51" t="str">
        <f>VLOOKUP(Table3[[#This Row],[SPECIFIC COMMODITY]],TAGS!$W$48:$X$53,2,FALSE)</f>
        <v>Corn</v>
      </c>
      <c r="L103" s="51" t="str">
        <f>VLOOKUP(Table3[[#This Row],[PREXC SUB-PROGRAM]],Table5[],2,FALSE)</f>
        <v>TECHNICAL AND SUPPORT SERVICES PROGRAM</v>
      </c>
      <c r="M103" s="51" t="str">
        <f>VLOOKUP(Table3[[#This Row],[COMMODITY PREXC SUB-PROGRAM]],TAGS!$U$54:$V$76,2,FALSE)</f>
        <v>PSS</v>
      </c>
      <c r="N103" s="47" t="s">
        <v>576</v>
      </c>
      <c r="O103" s="54" t="str">
        <f>VLOOKUP(Table3[[#This Row],[PI LEVEL 3]],'PI LEVEL'!A:C,3,FALSE)</f>
        <v>Seeds distributed</v>
      </c>
      <c r="P103" s="54" t="str">
        <f>VLOOKUP(Table3[[#This Row],[PI LEVEL 3]],Table53729[[Performance Indicator Level 3]:[Performance Indicator Level 1]],2,FALSE)</f>
        <v>Corn Seeds distributed</v>
      </c>
      <c r="Q103" s="54" t="str">
        <f>VLOOKUP(Table3[[#This Row],[ACTIVITY]],TAGS!B:P,2,FALSE)</f>
        <v>Yellow Corn Seeds distributed</v>
      </c>
      <c r="R103" s="47" t="s">
        <v>34</v>
      </c>
      <c r="S103" s="51" t="str">
        <f>VLOOKUP(Table3[[#This Row],[ACTIVITY]],TAGS!$B:$P,4,FALSE)</f>
        <v>Yellow Corn Production Enhancement Project</v>
      </c>
      <c r="T103" s="51" t="str">
        <f>VLOOKUP(Table3[[#This Row],[ACTIVITY]],TAGS!$B:$P,5,FALSE)</f>
        <v>Corn Seed Assistance</v>
      </c>
      <c r="U103" s="51" t="str">
        <f>VLOOKUP(Table3[[#This Row],[ACTIVITY]],TAGS!$B:$P,6,FALSE)</f>
        <v>Yellow corn seeds</v>
      </c>
      <c r="V103" s="51" t="str">
        <f>VLOOKUP(Table3[[#This Row],[ACTIVITY]],TAGS!$B:$P,7,FALSE)</f>
        <v>NO</v>
      </c>
      <c r="W103" s="51" t="str">
        <f>VLOOKUP(Table3[[#This Row],[ACTIVITY]],TAGS!$B:$P,8,FALSE)</f>
        <v>PAP</v>
      </c>
      <c r="X103" s="51" t="str">
        <f>VLOOKUP(Table3[[#This Row],[ACTIVITY]],TAGS!$B:$P,10,FALSE)</f>
        <v>PIP</v>
      </c>
      <c r="Y103" s="51" t="str">
        <f>VLOOKUP(Table3[[#This Row],[ACTIVITY]],TAGS!$B:$P,11,FALSE)</f>
        <v>PICS</v>
      </c>
      <c r="Z103" s="51" t="str">
        <f>VLOOKUP(Table3[[#This Row],[ACTIVITY]],TAGS!$B:$P,12,FALSE)</f>
        <v>Consolidation</v>
      </c>
      <c r="AA103" s="51" t="str">
        <f>VLOOKUP(Table3[[#This Row],[ACTIVITY]],TAGS!$B:$P,13,FALSE)</f>
        <v>1. Bayanihan Agri Cluster</v>
      </c>
      <c r="AB103" s="51" t="str">
        <f>VLOOKUP(Table3[[#This Row],[ACTIVITY]],TAGS!$B:$P,14,FALSE)</f>
        <v>EXPAND AND IMPROVE AVAILABLE AGRI-FISHERY AREAS FOR INCREASED PRODUCTION</v>
      </c>
      <c r="AC103" s="51" t="str">
        <f>VLOOKUP(Table3[[#This Row],[ACTIVITY]],TAGS!$B:$P,15,FALSE)</f>
        <v>Farm Inputs</v>
      </c>
      <c r="AD103" s="51" t="str">
        <f>VLOOKUP(Table3[[#This Row],[PI LEVEL 3]],'PI LEVEL'!$A:$G,7,FALSE)</f>
        <v>DA-Level Output</v>
      </c>
      <c r="AE103" s="47" t="s">
        <v>577</v>
      </c>
      <c r="AF103" s="51" t="str">
        <f>VLOOKUP(Table3[[#This Row],[ACTIVITY]],TAGS!$B:$P,3,FALSE)</f>
        <v>kilogram</v>
      </c>
      <c r="AG103" s="47" t="s">
        <v>334</v>
      </c>
      <c r="AH103" s="51" t="str">
        <f>VLOOKUP(Table3[[#This Row],[MONTH]],TAGS!$W$67:$Y$81,2,FALSE)</f>
        <v>3RD QTR</v>
      </c>
      <c r="AI103" s="51" t="str">
        <f>VLOOKUP(Table3[[#This Row],[MONTH]],TAGS!$W$67:$Y$81,3,FALSE)</f>
        <v>2ND SEMESTER</v>
      </c>
      <c r="AJ103" s="51">
        <f>VLOOKUP(Table3[[#This Row],[MONTH]],TAGS!$W$67:$Z$81,4,FALSE)</f>
        <v>2025</v>
      </c>
      <c r="AK103" s="47">
        <v>2736</v>
      </c>
      <c r="AL103" s="51" t="str">
        <f>VLOOKUP(Table3[[#This Row],[ACTIVITY]],TAGS!$B:$R,16,FALSE)</f>
        <v>YES</v>
      </c>
      <c r="AM103" s="47">
        <v>152</v>
      </c>
      <c r="AN103" s="47">
        <v>1824</v>
      </c>
      <c r="AO103" s="57">
        <f>SUM(Table3[[#This Row],[MALE BENEFICIARIES]:[FEMALE BENEFICIARIES]])</f>
        <v>0</v>
      </c>
      <c r="AP103" s="58"/>
      <c r="AQ103" s="58"/>
      <c r="AR103" s="58"/>
      <c r="AS103" s="58">
        <v>1</v>
      </c>
      <c r="AT103" s="59">
        <v>152</v>
      </c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</row>
    <row r="104" spans="1:65">
      <c r="A104" s="51" t="str">
        <f>VLOOKUP(Table3[[#This Row],[OU]],OU!$A$15:$B$34,2,FALSE)</f>
        <v>RFOs</v>
      </c>
      <c r="B104" s="47" t="s">
        <v>5</v>
      </c>
      <c r="C104" s="47" t="s">
        <v>574</v>
      </c>
      <c r="D104" s="47"/>
      <c r="E104" s="47" t="s">
        <v>43</v>
      </c>
      <c r="F104" s="47" t="s">
        <v>679</v>
      </c>
      <c r="G10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5th District</v>
      </c>
      <c r="H10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23116000</v>
      </c>
      <c r="I104" s="52" t="str">
        <f>VLOOKUP(Table3[[#This Row],[PSGC]],DISTRICT!$D:$G,4,FALSE)</f>
        <v>5th</v>
      </c>
      <c r="J104" s="47" t="s">
        <v>578</v>
      </c>
      <c r="K104" s="51" t="str">
        <f>VLOOKUP(Table3[[#This Row],[SPECIFIC COMMODITY]],TAGS!$W$48:$X$53,2,FALSE)</f>
        <v>Corn</v>
      </c>
      <c r="L104" s="51" t="str">
        <f>VLOOKUP(Table3[[#This Row],[PREXC SUB-PROGRAM]],Table5[],2,FALSE)</f>
        <v>TECHNICAL AND SUPPORT SERVICES PROGRAM</v>
      </c>
      <c r="M104" s="51" t="str">
        <f>VLOOKUP(Table3[[#This Row],[COMMODITY PREXC SUB-PROGRAM]],TAGS!$U$54:$V$76,2,FALSE)</f>
        <v>PSS</v>
      </c>
      <c r="N104" s="47" t="s">
        <v>576</v>
      </c>
      <c r="O104" s="54" t="str">
        <f>VLOOKUP(Table3[[#This Row],[PI LEVEL 3]],'PI LEVEL'!A:C,3,FALSE)</f>
        <v>Seeds distributed</v>
      </c>
      <c r="P104" s="54" t="str">
        <f>VLOOKUP(Table3[[#This Row],[PI LEVEL 3]],Table53729[[Performance Indicator Level 3]:[Performance Indicator Level 1]],2,FALSE)</f>
        <v>Corn Seeds distributed</v>
      </c>
      <c r="Q104" s="54" t="str">
        <f>VLOOKUP(Table3[[#This Row],[ACTIVITY]],TAGS!B:P,2,FALSE)</f>
        <v>Yellow Corn Seeds distributed</v>
      </c>
      <c r="R104" s="47" t="s">
        <v>34</v>
      </c>
      <c r="S104" s="51" t="str">
        <f>VLOOKUP(Table3[[#This Row],[ACTIVITY]],TAGS!$B:$P,4,FALSE)</f>
        <v>Yellow Corn Production Enhancement Project</v>
      </c>
      <c r="T104" s="51" t="str">
        <f>VLOOKUP(Table3[[#This Row],[ACTIVITY]],TAGS!$B:$P,5,FALSE)</f>
        <v>Corn Seed Assistance</v>
      </c>
      <c r="U104" s="51" t="str">
        <f>VLOOKUP(Table3[[#This Row],[ACTIVITY]],TAGS!$B:$P,6,FALSE)</f>
        <v>Yellow corn seeds</v>
      </c>
      <c r="V104" s="51" t="str">
        <f>VLOOKUP(Table3[[#This Row],[ACTIVITY]],TAGS!$B:$P,7,FALSE)</f>
        <v>NO</v>
      </c>
      <c r="W104" s="51" t="str">
        <f>VLOOKUP(Table3[[#This Row],[ACTIVITY]],TAGS!$B:$P,8,FALSE)</f>
        <v>PAP</v>
      </c>
      <c r="X104" s="51" t="str">
        <f>VLOOKUP(Table3[[#This Row],[ACTIVITY]],TAGS!$B:$P,10,FALSE)</f>
        <v>PIP</v>
      </c>
      <c r="Y104" s="51" t="str">
        <f>VLOOKUP(Table3[[#This Row],[ACTIVITY]],TAGS!$B:$P,11,FALSE)</f>
        <v>PICS</v>
      </c>
      <c r="Z104" s="51" t="str">
        <f>VLOOKUP(Table3[[#This Row],[ACTIVITY]],TAGS!$B:$P,12,FALSE)</f>
        <v>Consolidation</v>
      </c>
      <c r="AA104" s="51" t="str">
        <f>VLOOKUP(Table3[[#This Row],[ACTIVITY]],TAGS!$B:$P,13,FALSE)</f>
        <v>1. Bayanihan Agri Cluster</v>
      </c>
      <c r="AB104" s="51" t="str">
        <f>VLOOKUP(Table3[[#This Row],[ACTIVITY]],TAGS!$B:$P,14,FALSE)</f>
        <v>EXPAND AND IMPROVE AVAILABLE AGRI-FISHERY AREAS FOR INCREASED PRODUCTION</v>
      </c>
      <c r="AC104" s="51" t="str">
        <f>VLOOKUP(Table3[[#This Row],[ACTIVITY]],TAGS!$B:$P,15,FALSE)</f>
        <v>Farm Inputs</v>
      </c>
      <c r="AD104" s="51" t="str">
        <f>VLOOKUP(Table3[[#This Row],[PI LEVEL 3]],'PI LEVEL'!$A:$G,7,FALSE)</f>
        <v>DA-Level Output</v>
      </c>
      <c r="AE104" s="47" t="s">
        <v>577</v>
      </c>
      <c r="AF104" s="51" t="str">
        <f>VLOOKUP(Table3[[#This Row],[ACTIVITY]],TAGS!$B:$P,3,FALSE)</f>
        <v>kilogram</v>
      </c>
      <c r="AG104" s="47" t="s">
        <v>334</v>
      </c>
      <c r="AH104" s="51" t="str">
        <f>VLOOKUP(Table3[[#This Row],[MONTH]],TAGS!$W$67:$Y$81,2,FALSE)</f>
        <v>3RD QTR</v>
      </c>
      <c r="AI104" s="51" t="str">
        <f>VLOOKUP(Table3[[#This Row],[MONTH]],TAGS!$W$67:$Y$81,3,FALSE)</f>
        <v>2ND SEMESTER</v>
      </c>
      <c r="AJ104" s="51">
        <f>VLOOKUP(Table3[[#This Row],[MONTH]],TAGS!$W$67:$Z$81,4,FALSE)</f>
        <v>2025</v>
      </c>
      <c r="AK104" s="47">
        <v>1584</v>
      </c>
      <c r="AL104" s="51" t="str">
        <f>VLOOKUP(Table3[[#This Row],[ACTIVITY]],TAGS!$B:$R,16,FALSE)</f>
        <v>YES</v>
      </c>
      <c r="AM104" s="47">
        <v>88</v>
      </c>
      <c r="AN104" s="47">
        <v>1056</v>
      </c>
      <c r="AO104" s="57">
        <f>SUM(Table3[[#This Row],[MALE BENEFICIARIES]:[FEMALE BENEFICIARIES]])</f>
        <v>0</v>
      </c>
      <c r="AP104" s="58"/>
      <c r="AQ104" s="58"/>
      <c r="AR104" s="58"/>
      <c r="AS104" s="58">
        <v>1</v>
      </c>
      <c r="AT104" s="59">
        <v>88</v>
      </c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</row>
    <row r="105" spans="1:65">
      <c r="A105" s="51" t="str">
        <f>VLOOKUP(Table3[[#This Row],[OU]],OU!$A$15:$B$34,2,FALSE)</f>
        <v>RFOs</v>
      </c>
      <c r="B105" s="47" t="s">
        <v>5</v>
      </c>
      <c r="C105" s="47" t="s">
        <v>574</v>
      </c>
      <c r="D105" s="47"/>
      <c r="E105" s="47" t="s">
        <v>43</v>
      </c>
      <c r="F105" s="47" t="s">
        <v>680</v>
      </c>
      <c r="G10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5th District</v>
      </c>
      <c r="H10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23119000</v>
      </c>
      <c r="I105" s="52" t="str">
        <f>VLOOKUP(Table3[[#This Row],[PSGC]],DISTRICT!$D:$G,4,FALSE)</f>
        <v>4th</v>
      </c>
      <c r="J105" s="47" t="s">
        <v>578</v>
      </c>
      <c r="K105" s="51" t="str">
        <f>VLOOKUP(Table3[[#This Row],[SPECIFIC COMMODITY]],TAGS!$W$48:$X$53,2,FALSE)</f>
        <v>Corn</v>
      </c>
      <c r="L105" s="51" t="str">
        <f>VLOOKUP(Table3[[#This Row],[PREXC SUB-PROGRAM]],Table5[],2,FALSE)</f>
        <v>TECHNICAL AND SUPPORT SERVICES PROGRAM</v>
      </c>
      <c r="M105" s="51" t="str">
        <f>VLOOKUP(Table3[[#This Row],[COMMODITY PREXC SUB-PROGRAM]],TAGS!$U$54:$V$76,2,FALSE)</f>
        <v>PSS</v>
      </c>
      <c r="N105" s="47" t="s">
        <v>576</v>
      </c>
      <c r="O105" s="54" t="str">
        <f>VLOOKUP(Table3[[#This Row],[PI LEVEL 3]],'PI LEVEL'!A:C,3,FALSE)</f>
        <v>Seeds distributed</v>
      </c>
      <c r="P105" s="54" t="str">
        <f>VLOOKUP(Table3[[#This Row],[PI LEVEL 3]],Table53729[[Performance Indicator Level 3]:[Performance Indicator Level 1]],2,FALSE)</f>
        <v>Corn Seeds distributed</v>
      </c>
      <c r="Q105" s="54" t="str">
        <f>VLOOKUP(Table3[[#This Row],[ACTIVITY]],TAGS!B:P,2,FALSE)</f>
        <v>Yellow Corn Seeds distributed</v>
      </c>
      <c r="R105" s="47" t="s">
        <v>34</v>
      </c>
      <c r="S105" s="51" t="str">
        <f>VLOOKUP(Table3[[#This Row],[ACTIVITY]],TAGS!$B:$P,4,FALSE)</f>
        <v>Yellow Corn Production Enhancement Project</v>
      </c>
      <c r="T105" s="51" t="str">
        <f>VLOOKUP(Table3[[#This Row],[ACTIVITY]],TAGS!$B:$P,5,FALSE)</f>
        <v>Corn Seed Assistance</v>
      </c>
      <c r="U105" s="51" t="str">
        <f>VLOOKUP(Table3[[#This Row],[ACTIVITY]],TAGS!$B:$P,6,FALSE)</f>
        <v>Yellow corn seeds</v>
      </c>
      <c r="V105" s="51" t="str">
        <f>VLOOKUP(Table3[[#This Row],[ACTIVITY]],TAGS!$B:$P,7,FALSE)</f>
        <v>NO</v>
      </c>
      <c r="W105" s="51" t="str">
        <f>VLOOKUP(Table3[[#This Row],[ACTIVITY]],TAGS!$B:$P,8,FALSE)</f>
        <v>PAP</v>
      </c>
      <c r="X105" s="51" t="str">
        <f>VLOOKUP(Table3[[#This Row],[ACTIVITY]],TAGS!$B:$P,10,FALSE)</f>
        <v>PIP</v>
      </c>
      <c r="Y105" s="51" t="str">
        <f>VLOOKUP(Table3[[#This Row],[ACTIVITY]],TAGS!$B:$P,11,FALSE)</f>
        <v>PICS</v>
      </c>
      <c r="Z105" s="51" t="str">
        <f>VLOOKUP(Table3[[#This Row],[ACTIVITY]],TAGS!$B:$P,12,FALSE)</f>
        <v>Consolidation</v>
      </c>
      <c r="AA105" s="51" t="str">
        <f>VLOOKUP(Table3[[#This Row],[ACTIVITY]],TAGS!$B:$P,13,FALSE)</f>
        <v>1. Bayanihan Agri Cluster</v>
      </c>
      <c r="AB105" s="51" t="str">
        <f>VLOOKUP(Table3[[#This Row],[ACTIVITY]],TAGS!$B:$P,14,FALSE)</f>
        <v>EXPAND AND IMPROVE AVAILABLE AGRI-FISHERY AREAS FOR INCREASED PRODUCTION</v>
      </c>
      <c r="AC105" s="51" t="str">
        <f>VLOOKUP(Table3[[#This Row],[ACTIVITY]],TAGS!$B:$P,15,FALSE)</f>
        <v>Farm Inputs</v>
      </c>
      <c r="AD105" s="51" t="str">
        <f>VLOOKUP(Table3[[#This Row],[PI LEVEL 3]],'PI LEVEL'!$A:$G,7,FALSE)</f>
        <v>DA-Level Output</v>
      </c>
      <c r="AE105" s="47" t="s">
        <v>577</v>
      </c>
      <c r="AF105" s="51" t="str">
        <f>VLOOKUP(Table3[[#This Row],[ACTIVITY]],TAGS!$B:$P,3,FALSE)</f>
        <v>kilogram</v>
      </c>
      <c r="AG105" s="47" t="s">
        <v>334</v>
      </c>
      <c r="AH105" s="51" t="str">
        <f>VLOOKUP(Table3[[#This Row],[MONTH]],TAGS!$W$67:$Y$81,2,FALSE)</f>
        <v>3RD QTR</v>
      </c>
      <c r="AI105" s="51" t="str">
        <f>VLOOKUP(Table3[[#This Row],[MONTH]],TAGS!$W$67:$Y$81,3,FALSE)</f>
        <v>2ND SEMESTER</v>
      </c>
      <c r="AJ105" s="51">
        <f>VLOOKUP(Table3[[#This Row],[MONTH]],TAGS!$W$67:$Z$81,4,FALSE)</f>
        <v>2025</v>
      </c>
      <c r="AK105" s="47">
        <v>4320</v>
      </c>
      <c r="AL105" s="51" t="str">
        <f>VLOOKUP(Table3[[#This Row],[ACTIVITY]],TAGS!$B:$R,16,FALSE)</f>
        <v>YES</v>
      </c>
      <c r="AM105" s="47">
        <v>240</v>
      </c>
      <c r="AN105" s="47">
        <v>2880</v>
      </c>
      <c r="AO105" s="57">
        <f>SUM(Table3[[#This Row],[MALE BENEFICIARIES]:[FEMALE BENEFICIARIES]])</f>
        <v>0</v>
      </c>
      <c r="AP105" s="58"/>
      <c r="AQ105" s="58"/>
      <c r="AR105" s="58"/>
      <c r="AS105" s="58">
        <v>1</v>
      </c>
      <c r="AT105" s="59">
        <v>240</v>
      </c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</row>
    <row r="106" spans="1:65">
      <c r="A106" s="51" t="str">
        <f>VLOOKUP(Table3[[#This Row],[OU]],OU!$A$15:$B$34,2,FALSE)</f>
        <v>RFOs</v>
      </c>
      <c r="B106" s="47" t="s">
        <v>5</v>
      </c>
      <c r="C106" s="47" t="s">
        <v>574</v>
      </c>
      <c r="D106" s="47"/>
      <c r="E106" s="47" t="s">
        <v>43</v>
      </c>
      <c r="F106" s="47" t="s">
        <v>681</v>
      </c>
      <c r="G10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5th District</v>
      </c>
      <c r="H10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23122000</v>
      </c>
      <c r="I106" s="52" t="str">
        <f>VLOOKUP(Table3[[#This Row],[PSGC]],DISTRICT!$D:$G,4,FALSE)</f>
        <v>4th</v>
      </c>
      <c r="J106" s="47" t="s">
        <v>578</v>
      </c>
      <c r="K106" s="51" t="str">
        <f>VLOOKUP(Table3[[#This Row],[SPECIFIC COMMODITY]],TAGS!$W$48:$X$53,2,FALSE)</f>
        <v>Corn</v>
      </c>
      <c r="L106" s="51" t="str">
        <f>VLOOKUP(Table3[[#This Row],[PREXC SUB-PROGRAM]],Table5[],2,FALSE)</f>
        <v>TECHNICAL AND SUPPORT SERVICES PROGRAM</v>
      </c>
      <c r="M106" s="51" t="str">
        <f>VLOOKUP(Table3[[#This Row],[COMMODITY PREXC SUB-PROGRAM]],TAGS!$U$54:$V$76,2,FALSE)</f>
        <v>PSS</v>
      </c>
      <c r="N106" s="47" t="s">
        <v>576</v>
      </c>
      <c r="O106" s="54" t="str">
        <f>VLOOKUP(Table3[[#This Row],[PI LEVEL 3]],'PI LEVEL'!A:C,3,FALSE)</f>
        <v>Seeds distributed</v>
      </c>
      <c r="P106" s="54" t="str">
        <f>VLOOKUP(Table3[[#This Row],[PI LEVEL 3]],Table53729[[Performance Indicator Level 3]:[Performance Indicator Level 1]],2,FALSE)</f>
        <v>Corn Seeds distributed</v>
      </c>
      <c r="Q106" s="54" t="str">
        <f>VLOOKUP(Table3[[#This Row],[ACTIVITY]],TAGS!B:P,2,FALSE)</f>
        <v>Yellow Corn Seeds distributed</v>
      </c>
      <c r="R106" s="47" t="s">
        <v>34</v>
      </c>
      <c r="S106" s="51" t="str">
        <f>VLOOKUP(Table3[[#This Row],[ACTIVITY]],TAGS!$B:$P,4,FALSE)</f>
        <v>Yellow Corn Production Enhancement Project</v>
      </c>
      <c r="T106" s="51" t="str">
        <f>VLOOKUP(Table3[[#This Row],[ACTIVITY]],TAGS!$B:$P,5,FALSE)</f>
        <v>Corn Seed Assistance</v>
      </c>
      <c r="U106" s="51" t="str">
        <f>VLOOKUP(Table3[[#This Row],[ACTIVITY]],TAGS!$B:$P,6,FALSE)</f>
        <v>Yellow corn seeds</v>
      </c>
      <c r="V106" s="51" t="str">
        <f>VLOOKUP(Table3[[#This Row],[ACTIVITY]],TAGS!$B:$P,7,FALSE)</f>
        <v>NO</v>
      </c>
      <c r="W106" s="51" t="str">
        <f>VLOOKUP(Table3[[#This Row],[ACTIVITY]],TAGS!$B:$P,8,FALSE)</f>
        <v>PAP</v>
      </c>
      <c r="X106" s="51" t="str">
        <f>VLOOKUP(Table3[[#This Row],[ACTIVITY]],TAGS!$B:$P,10,FALSE)</f>
        <v>PIP</v>
      </c>
      <c r="Y106" s="51" t="str">
        <f>VLOOKUP(Table3[[#This Row],[ACTIVITY]],TAGS!$B:$P,11,FALSE)</f>
        <v>PICS</v>
      </c>
      <c r="Z106" s="51" t="str">
        <f>VLOOKUP(Table3[[#This Row],[ACTIVITY]],TAGS!$B:$P,12,FALSE)</f>
        <v>Consolidation</v>
      </c>
      <c r="AA106" s="51" t="str">
        <f>VLOOKUP(Table3[[#This Row],[ACTIVITY]],TAGS!$B:$P,13,FALSE)</f>
        <v>1. Bayanihan Agri Cluster</v>
      </c>
      <c r="AB106" s="51" t="str">
        <f>VLOOKUP(Table3[[#This Row],[ACTIVITY]],TAGS!$B:$P,14,FALSE)</f>
        <v>EXPAND AND IMPROVE AVAILABLE AGRI-FISHERY AREAS FOR INCREASED PRODUCTION</v>
      </c>
      <c r="AC106" s="51" t="str">
        <f>VLOOKUP(Table3[[#This Row],[ACTIVITY]],TAGS!$B:$P,15,FALSE)</f>
        <v>Farm Inputs</v>
      </c>
      <c r="AD106" s="51" t="str">
        <f>VLOOKUP(Table3[[#This Row],[PI LEVEL 3]],'PI LEVEL'!$A:$G,7,FALSE)</f>
        <v>DA-Level Output</v>
      </c>
      <c r="AE106" s="47" t="s">
        <v>577</v>
      </c>
      <c r="AF106" s="51" t="str">
        <f>VLOOKUP(Table3[[#This Row],[ACTIVITY]],TAGS!$B:$P,3,FALSE)</f>
        <v>kilogram</v>
      </c>
      <c r="AG106" s="47" t="s">
        <v>334</v>
      </c>
      <c r="AH106" s="51" t="str">
        <f>VLOOKUP(Table3[[#This Row],[MONTH]],TAGS!$W$67:$Y$81,2,FALSE)</f>
        <v>3RD QTR</v>
      </c>
      <c r="AI106" s="51" t="str">
        <f>VLOOKUP(Table3[[#This Row],[MONTH]],TAGS!$W$67:$Y$81,3,FALSE)</f>
        <v>2ND SEMESTER</v>
      </c>
      <c r="AJ106" s="51">
        <f>VLOOKUP(Table3[[#This Row],[MONTH]],TAGS!$W$67:$Z$81,4,FALSE)</f>
        <v>2025</v>
      </c>
      <c r="AK106" s="47">
        <v>2142</v>
      </c>
      <c r="AL106" s="51" t="str">
        <f>VLOOKUP(Table3[[#This Row],[ACTIVITY]],TAGS!$B:$R,16,FALSE)</f>
        <v>YES</v>
      </c>
      <c r="AM106" s="47">
        <v>119</v>
      </c>
      <c r="AN106" s="47">
        <v>1428</v>
      </c>
      <c r="AO106" s="57">
        <f>SUM(Table3[[#This Row],[MALE BENEFICIARIES]:[FEMALE BENEFICIARIES]])</f>
        <v>0</v>
      </c>
      <c r="AP106" s="58"/>
      <c r="AQ106" s="58"/>
      <c r="AR106" s="58"/>
      <c r="AS106" s="58">
        <v>1</v>
      </c>
      <c r="AT106" s="59">
        <v>119</v>
      </c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</row>
    <row r="107" spans="1:65">
      <c r="A107" s="51" t="str">
        <f>VLOOKUP(Table3[[#This Row],[OU]],OU!$A$15:$B$34,2,FALSE)</f>
        <v>RFOs</v>
      </c>
      <c r="B107" s="47" t="s">
        <v>5</v>
      </c>
      <c r="C107" s="47" t="s">
        <v>574</v>
      </c>
      <c r="D107" s="47"/>
      <c r="E107" s="47" t="s">
        <v>43</v>
      </c>
      <c r="F107" s="47" t="s">
        <v>682</v>
      </c>
      <c r="G10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5th District</v>
      </c>
      <c r="H10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23123000</v>
      </c>
      <c r="I107" s="52" t="str">
        <f>VLOOKUP(Table3[[#This Row],[PSGC]],DISTRICT!$D:$G,4,FALSE)</f>
        <v>4th</v>
      </c>
      <c r="J107" s="47" t="s">
        <v>578</v>
      </c>
      <c r="K107" s="51" t="str">
        <f>VLOOKUP(Table3[[#This Row],[SPECIFIC COMMODITY]],TAGS!$W$48:$X$53,2,FALSE)</f>
        <v>Corn</v>
      </c>
      <c r="L107" s="51" t="str">
        <f>VLOOKUP(Table3[[#This Row],[PREXC SUB-PROGRAM]],Table5[],2,FALSE)</f>
        <v>TECHNICAL AND SUPPORT SERVICES PROGRAM</v>
      </c>
      <c r="M107" s="51" t="str">
        <f>VLOOKUP(Table3[[#This Row],[COMMODITY PREXC SUB-PROGRAM]],TAGS!$U$54:$V$76,2,FALSE)</f>
        <v>PSS</v>
      </c>
      <c r="N107" s="47" t="s">
        <v>576</v>
      </c>
      <c r="O107" s="54" t="str">
        <f>VLOOKUP(Table3[[#This Row],[PI LEVEL 3]],'PI LEVEL'!A:C,3,FALSE)</f>
        <v>Seeds distributed</v>
      </c>
      <c r="P107" s="54" t="str">
        <f>VLOOKUP(Table3[[#This Row],[PI LEVEL 3]],Table53729[[Performance Indicator Level 3]:[Performance Indicator Level 1]],2,FALSE)</f>
        <v>Corn Seeds distributed</v>
      </c>
      <c r="Q107" s="54" t="str">
        <f>VLOOKUP(Table3[[#This Row],[ACTIVITY]],TAGS!B:P,2,FALSE)</f>
        <v>Yellow Corn Seeds distributed</v>
      </c>
      <c r="R107" s="47" t="s">
        <v>34</v>
      </c>
      <c r="S107" s="51" t="str">
        <f>VLOOKUP(Table3[[#This Row],[ACTIVITY]],TAGS!$B:$P,4,FALSE)</f>
        <v>Yellow Corn Production Enhancement Project</v>
      </c>
      <c r="T107" s="51" t="str">
        <f>VLOOKUP(Table3[[#This Row],[ACTIVITY]],TAGS!$B:$P,5,FALSE)</f>
        <v>Corn Seed Assistance</v>
      </c>
      <c r="U107" s="51" t="str">
        <f>VLOOKUP(Table3[[#This Row],[ACTIVITY]],TAGS!$B:$P,6,FALSE)</f>
        <v>Yellow corn seeds</v>
      </c>
      <c r="V107" s="51" t="str">
        <f>VLOOKUP(Table3[[#This Row],[ACTIVITY]],TAGS!$B:$P,7,FALSE)</f>
        <v>NO</v>
      </c>
      <c r="W107" s="51" t="str">
        <f>VLOOKUP(Table3[[#This Row],[ACTIVITY]],TAGS!$B:$P,8,FALSE)</f>
        <v>PAP</v>
      </c>
      <c r="X107" s="51" t="str">
        <f>VLOOKUP(Table3[[#This Row],[ACTIVITY]],TAGS!$B:$P,10,FALSE)</f>
        <v>PIP</v>
      </c>
      <c r="Y107" s="51" t="str">
        <f>VLOOKUP(Table3[[#This Row],[ACTIVITY]],TAGS!$B:$P,11,FALSE)</f>
        <v>PICS</v>
      </c>
      <c r="Z107" s="51" t="str">
        <f>VLOOKUP(Table3[[#This Row],[ACTIVITY]],TAGS!$B:$P,12,FALSE)</f>
        <v>Consolidation</v>
      </c>
      <c r="AA107" s="51" t="str">
        <f>VLOOKUP(Table3[[#This Row],[ACTIVITY]],TAGS!$B:$P,13,FALSE)</f>
        <v>1. Bayanihan Agri Cluster</v>
      </c>
      <c r="AB107" s="51" t="str">
        <f>VLOOKUP(Table3[[#This Row],[ACTIVITY]],TAGS!$B:$P,14,FALSE)</f>
        <v>EXPAND AND IMPROVE AVAILABLE AGRI-FISHERY AREAS FOR INCREASED PRODUCTION</v>
      </c>
      <c r="AC107" s="51" t="str">
        <f>VLOOKUP(Table3[[#This Row],[ACTIVITY]],TAGS!$B:$P,15,FALSE)</f>
        <v>Farm Inputs</v>
      </c>
      <c r="AD107" s="51" t="str">
        <f>VLOOKUP(Table3[[#This Row],[PI LEVEL 3]],'PI LEVEL'!$A:$G,7,FALSE)</f>
        <v>DA-Level Output</v>
      </c>
      <c r="AE107" s="47" t="s">
        <v>577</v>
      </c>
      <c r="AF107" s="51" t="str">
        <f>VLOOKUP(Table3[[#This Row],[ACTIVITY]],TAGS!$B:$P,3,FALSE)</f>
        <v>kilogram</v>
      </c>
      <c r="AG107" s="47" t="s">
        <v>334</v>
      </c>
      <c r="AH107" s="51" t="str">
        <f>VLOOKUP(Table3[[#This Row],[MONTH]],TAGS!$W$67:$Y$81,2,FALSE)</f>
        <v>3RD QTR</v>
      </c>
      <c r="AI107" s="51" t="str">
        <f>VLOOKUP(Table3[[#This Row],[MONTH]],TAGS!$W$67:$Y$81,3,FALSE)</f>
        <v>2ND SEMESTER</v>
      </c>
      <c r="AJ107" s="51">
        <f>VLOOKUP(Table3[[#This Row],[MONTH]],TAGS!$W$67:$Z$81,4,FALSE)</f>
        <v>2025</v>
      </c>
      <c r="AK107" s="47">
        <v>7398</v>
      </c>
      <c r="AL107" s="51" t="str">
        <f>VLOOKUP(Table3[[#This Row],[ACTIVITY]],TAGS!$B:$R,16,FALSE)</f>
        <v>YES</v>
      </c>
      <c r="AM107" s="47">
        <v>411</v>
      </c>
      <c r="AN107" s="47">
        <v>4932</v>
      </c>
      <c r="AO107" s="57">
        <f>SUM(Table3[[#This Row],[MALE BENEFICIARIES]:[FEMALE BENEFICIARIES]])</f>
        <v>0</v>
      </c>
      <c r="AP107" s="58"/>
      <c r="AQ107" s="58"/>
      <c r="AR107" s="58"/>
      <c r="AS107" s="58">
        <v>1</v>
      </c>
      <c r="AT107" s="59">
        <v>411</v>
      </c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</row>
    <row r="108" spans="1:65">
      <c r="A108" s="51" t="str">
        <f>VLOOKUP(Table3[[#This Row],[OU]],OU!$A$15:$B$34,2,FALSE)</f>
        <v>RFOs</v>
      </c>
      <c r="B108" s="47" t="s">
        <v>5</v>
      </c>
      <c r="C108" s="47" t="s">
        <v>574</v>
      </c>
      <c r="D108" s="47"/>
      <c r="E108" s="47" t="s">
        <v>43</v>
      </c>
      <c r="F108" s="47" t="s">
        <v>683</v>
      </c>
      <c r="G10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5th District</v>
      </c>
      <c r="H10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23126000</v>
      </c>
      <c r="I108" s="52" t="str">
        <f>VLOOKUP(Table3[[#This Row],[PSGC]],DISTRICT!$D:$G,4,FALSE)</f>
        <v>1st</v>
      </c>
      <c r="J108" s="47" t="s">
        <v>578</v>
      </c>
      <c r="K108" s="51" t="str">
        <f>VLOOKUP(Table3[[#This Row],[SPECIFIC COMMODITY]],TAGS!$W$48:$X$53,2,FALSE)</f>
        <v>Corn</v>
      </c>
      <c r="L108" s="51" t="str">
        <f>VLOOKUP(Table3[[#This Row],[PREXC SUB-PROGRAM]],Table5[],2,FALSE)</f>
        <v>TECHNICAL AND SUPPORT SERVICES PROGRAM</v>
      </c>
      <c r="M108" s="51" t="str">
        <f>VLOOKUP(Table3[[#This Row],[COMMODITY PREXC SUB-PROGRAM]],TAGS!$U$54:$V$76,2,FALSE)</f>
        <v>PSS</v>
      </c>
      <c r="N108" s="47" t="s">
        <v>576</v>
      </c>
      <c r="O108" s="54" t="str">
        <f>VLOOKUP(Table3[[#This Row],[PI LEVEL 3]],'PI LEVEL'!A:C,3,FALSE)</f>
        <v>Seeds distributed</v>
      </c>
      <c r="P108" s="54" t="str">
        <f>VLOOKUP(Table3[[#This Row],[PI LEVEL 3]],Table53729[[Performance Indicator Level 3]:[Performance Indicator Level 1]],2,FALSE)</f>
        <v>Corn Seeds distributed</v>
      </c>
      <c r="Q108" s="54" t="str">
        <f>VLOOKUP(Table3[[#This Row],[ACTIVITY]],TAGS!B:P,2,FALSE)</f>
        <v>Yellow Corn Seeds distributed</v>
      </c>
      <c r="R108" s="47" t="s">
        <v>34</v>
      </c>
      <c r="S108" s="51" t="str">
        <f>VLOOKUP(Table3[[#This Row],[ACTIVITY]],TAGS!$B:$P,4,FALSE)</f>
        <v>Yellow Corn Production Enhancement Project</v>
      </c>
      <c r="T108" s="51" t="str">
        <f>VLOOKUP(Table3[[#This Row],[ACTIVITY]],TAGS!$B:$P,5,FALSE)</f>
        <v>Corn Seed Assistance</v>
      </c>
      <c r="U108" s="51" t="str">
        <f>VLOOKUP(Table3[[#This Row],[ACTIVITY]],TAGS!$B:$P,6,FALSE)</f>
        <v>Yellow corn seeds</v>
      </c>
      <c r="V108" s="51" t="str">
        <f>VLOOKUP(Table3[[#This Row],[ACTIVITY]],TAGS!$B:$P,7,FALSE)</f>
        <v>NO</v>
      </c>
      <c r="W108" s="51" t="str">
        <f>VLOOKUP(Table3[[#This Row],[ACTIVITY]],TAGS!$B:$P,8,FALSE)</f>
        <v>PAP</v>
      </c>
      <c r="X108" s="51" t="str">
        <f>VLOOKUP(Table3[[#This Row],[ACTIVITY]],TAGS!$B:$P,10,FALSE)</f>
        <v>PIP</v>
      </c>
      <c r="Y108" s="51" t="str">
        <f>VLOOKUP(Table3[[#This Row],[ACTIVITY]],TAGS!$B:$P,11,FALSE)</f>
        <v>PICS</v>
      </c>
      <c r="Z108" s="51" t="str">
        <f>VLOOKUP(Table3[[#This Row],[ACTIVITY]],TAGS!$B:$P,12,FALSE)</f>
        <v>Consolidation</v>
      </c>
      <c r="AA108" s="51" t="str">
        <f>VLOOKUP(Table3[[#This Row],[ACTIVITY]],TAGS!$B:$P,13,FALSE)</f>
        <v>1. Bayanihan Agri Cluster</v>
      </c>
      <c r="AB108" s="51" t="str">
        <f>VLOOKUP(Table3[[#This Row],[ACTIVITY]],TAGS!$B:$P,14,FALSE)</f>
        <v>EXPAND AND IMPROVE AVAILABLE AGRI-FISHERY AREAS FOR INCREASED PRODUCTION</v>
      </c>
      <c r="AC108" s="51" t="str">
        <f>VLOOKUP(Table3[[#This Row],[ACTIVITY]],TAGS!$B:$P,15,FALSE)</f>
        <v>Farm Inputs</v>
      </c>
      <c r="AD108" s="51" t="str">
        <f>VLOOKUP(Table3[[#This Row],[PI LEVEL 3]],'PI LEVEL'!$A:$G,7,FALSE)</f>
        <v>DA-Level Output</v>
      </c>
      <c r="AE108" s="47" t="s">
        <v>577</v>
      </c>
      <c r="AF108" s="51" t="str">
        <f>VLOOKUP(Table3[[#This Row],[ACTIVITY]],TAGS!$B:$P,3,FALSE)</f>
        <v>kilogram</v>
      </c>
      <c r="AG108" s="47" t="s">
        <v>334</v>
      </c>
      <c r="AH108" s="51" t="str">
        <f>VLOOKUP(Table3[[#This Row],[MONTH]],TAGS!$W$67:$Y$81,2,FALSE)</f>
        <v>3RD QTR</v>
      </c>
      <c r="AI108" s="51" t="str">
        <f>VLOOKUP(Table3[[#This Row],[MONTH]],TAGS!$W$67:$Y$81,3,FALSE)</f>
        <v>2ND SEMESTER</v>
      </c>
      <c r="AJ108" s="51">
        <f>VLOOKUP(Table3[[#This Row],[MONTH]],TAGS!$W$67:$Z$81,4,FALSE)</f>
        <v>2025</v>
      </c>
      <c r="AK108" s="47">
        <v>4608</v>
      </c>
      <c r="AL108" s="51" t="str">
        <f>VLOOKUP(Table3[[#This Row],[ACTIVITY]],TAGS!$B:$R,16,FALSE)</f>
        <v>YES</v>
      </c>
      <c r="AM108" s="47">
        <v>256</v>
      </c>
      <c r="AN108" s="47">
        <v>3072</v>
      </c>
      <c r="AO108" s="57">
        <f>SUM(Table3[[#This Row],[MALE BENEFICIARIES]:[FEMALE BENEFICIARIES]])</f>
        <v>0</v>
      </c>
      <c r="AP108" s="58"/>
      <c r="AQ108" s="58"/>
      <c r="AR108" s="58"/>
      <c r="AS108" s="58">
        <v>1</v>
      </c>
      <c r="AT108" s="59">
        <v>256</v>
      </c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</row>
    <row r="109" spans="1:65">
      <c r="A109" s="51" t="str">
        <f>VLOOKUP(Table3[[#This Row],[OU]],OU!$A$15:$B$34,2,FALSE)</f>
        <v>RFOs</v>
      </c>
      <c r="B109" s="47" t="s">
        <v>5</v>
      </c>
      <c r="C109" s="47" t="s">
        <v>574</v>
      </c>
      <c r="D109" s="47"/>
      <c r="E109" s="47" t="s">
        <v>43</v>
      </c>
      <c r="F109" s="47" t="s">
        <v>684</v>
      </c>
      <c r="G10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5th District</v>
      </c>
      <c r="H10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23130000</v>
      </c>
      <c r="I109" s="52" t="str">
        <f>VLOOKUP(Table3[[#This Row],[PSGC]],DISTRICT!$D:$G,4,FALSE)</f>
        <v>4th</v>
      </c>
      <c r="J109" s="47" t="s">
        <v>578</v>
      </c>
      <c r="K109" s="51" t="str">
        <f>VLOOKUP(Table3[[#This Row],[SPECIFIC COMMODITY]],TAGS!$W$48:$X$53,2,FALSE)</f>
        <v>Corn</v>
      </c>
      <c r="L109" s="51" t="str">
        <f>VLOOKUP(Table3[[#This Row],[PREXC SUB-PROGRAM]],Table5[],2,FALSE)</f>
        <v>TECHNICAL AND SUPPORT SERVICES PROGRAM</v>
      </c>
      <c r="M109" s="51" t="str">
        <f>VLOOKUP(Table3[[#This Row],[COMMODITY PREXC SUB-PROGRAM]],TAGS!$U$54:$V$76,2,FALSE)</f>
        <v>PSS</v>
      </c>
      <c r="N109" s="47" t="s">
        <v>576</v>
      </c>
      <c r="O109" s="54" t="str">
        <f>VLOOKUP(Table3[[#This Row],[PI LEVEL 3]],'PI LEVEL'!A:C,3,FALSE)</f>
        <v>Seeds distributed</v>
      </c>
      <c r="P109" s="54" t="str">
        <f>VLOOKUP(Table3[[#This Row],[PI LEVEL 3]],Table53729[[Performance Indicator Level 3]:[Performance Indicator Level 1]],2,FALSE)</f>
        <v>Corn Seeds distributed</v>
      </c>
      <c r="Q109" s="54" t="str">
        <f>VLOOKUP(Table3[[#This Row],[ACTIVITY]],TAGS!B:P,2,FALSE)</f>
        <v>Yellow Corn Seeds distributed</v>
      </c>
      <c r="R109" s="47" t="s">
        <v>34</v>
      </c>
      <c r="S109" s="51" t="str">
        <f>VLOOKUP(Table3[[#This Row],[ACTIVITY]],TAGS!$B:$P,4,FALSE)</f>
        <v>Yellow Corn Production Enhancement Project</v>
      </c>
      <c r="T109" s="51" t="str">
        <f>VLOOKUP(Table3[[#This Row],[ACTIVITY]],TAGS!$B:$P,5,FALSE)</f>
        <v>Corn Seed Assistance</v>
      </c>
      <c r="U109" s="51" t="str">
        <f>VLOOKUP(Table3[[#This Row],[ACTIVITY]],TAGS!$B:$P,6,FALSE)</f>
        <v>Yellow corn seeds</v>
      </c>
      <c r="V109" s="51" t="str">
        <f>VLOOKUP(Table3[[#This Row],[ACTIVITY]],TAGS!$B:$P,7,FALSE)</f>
        <v>NO</v>
      </c>
      <c r="W109" s="51" t="str">
        <f>VLOOKUP(Table3[[#This Row],[ACTIVITY]],TAGS!$B:$P,8,FALSE)</f>
        <v>PAP</v>
      </c>
      <c r="X109" s="51" t="str">
        <f>VLOOKUP(Table3[[#This Row],[ACTIVITY]],TAGS!$B:$P,10,FALSE)</f>
        <v>PIP</v>
      </c>
      <c r="Y109" s="51" t="str">
        <f>VLOOKUP(Table3[[#This Row],[ACTIVITY]],TAGS!$B:$P,11,FALSE)</f>
        <v>PICS</v>
      </c>
      <c r="Z109" s="51" t="str">
        <f>VLOOKUP(Table3[[#This Row],[ACTIVITY]],TAGS!$B:$P,12,FALSE)</f>
        <v>Consolidation</v>
      </c>
      <c r="AA109" s="51" t="str">
        <f>VLOOKUP(Table3[[#This Row],[ACTIVITY]],TAGS!$B:$P,13,FALSE)</f>
        <v>1. Bayanihan Agri Cluster</v>
      </c>
      <c r="AB109" s="51" t="str">
        <f>VLOOKUP(Table3[[#This Row],[ACTIVITY]],TAGS!$B:$P,14,FALSE)</f>
        <v>EXPAND AND IMPROVE AVAILABLE AGRI-FISHERY AREAS FOR INCREASED PRODUCTION</v>
      </c>
      <c r="AC109" s="51" t="str">
        <f>VLOOKUP(Table3[[#This Row],[ACTIVITY]],TAGS!$B:$P,15,FALSE)</f>
        <v>Farm Inputs</v>
      </c>
      <c r="AD109" s="51" t="str">
        <f>VLOOKUP(Table3[[#This Row],[PI LEVEL 3]],'PI LEVEL'!$A:$G,7,FALSE)</f>
        <v>DA-Level Output</v>
      </c>
      <c r="AE109" s="47" t="s">
        <v>577</v>
      </c>
      <c r="AF109" s="51" t="str">
        <f>VLOOKUP(Table3[[#This Row],[ACTIVITY]],TAGS!$B:$P,3,FALSE)</f>
        <v>kilogram</v>
      </c>
      <c r="AG109" s="47" t="s">
        <v>334</v>
      </c>
      <c r="AH109" s="51" t="str">
        <f>VLOOKUP(Table3[[#This Row],[MONTH]],TAGS!$W$67:$Y$81,2,FALSE)</f>
        <v>3RD QTR</v>
      </c>
      <c r="AI109" s="51" t="str">
        <f>VLOOKUP(Table3[[#This Row],[MONTH]],TAGS!$W$67:$Y$81,3,FALSE)</f>
        <v>2ND SEMESTER</v>
      </c>
      <c r="AJ109" s="51">
        <f>VLOOKUP(Table3[[#This Row],[MONTH]],TAGS!$W$67:$Z$81,4,FALSE)</f>
        <v>2025</v>
      </c>
      <c r="AK109" s="47">
        <v>612</v>
      </c>
      <c r="AL109" s="51" t="str">
        <f>VLOOKUP(Table3[[#This Row],[ACTIVITY]],TAGS!$B:$R,16,FALSE)</f>
        <v>YES</v>
      </c>
      <c r="AM109" s="47">
        <v>34</v>
      </c>
      <c r="AN109" s="47">
        <v>408</v>
      </c>
      <c r="AO109" s="57">
        <f>SUM(Table3[[#This Row],[MALE BENEFICIARIES]:[FEMALE BENEFICIARIES]])</f>
        <v>0</v>
      </c>
      <c r="AP109" s="58"/>
      <c r="AQ109" s="58"/>
      <c r="AR109" s="58"/>
      <c r="AS109" s="58">
        <v>1</v>
      </c>
      <c r="AT109" s="59">
        <v>34</v>
      </c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</row>
    <row r="110" spans="1:65">
      <c r="A110" s="51" t="str">
        <f>VLOOKUP(Table3[[#This Row],[OU]],OU!$A$15:$B$34,2,FALSE)</f>
        <v>RFOs</v>
      </c>
      <c r="B110" s="47" t="s">
        <v>5</v>
      </c>
      <c r="C110" s="47" t="s">
        <v>574</v>
      </c>
      <c r="D110" s="47"/>
      <c r="E110" s="47" t="s">
        <v>43</v>
      </c>
      <c r="F110" s="47" t="s">
        <v>643</v>
      </c>
      <c r="G11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11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23108000</v>
      </c>
      <c r="I110" s="52" t="str">
        <f>VLOOKUP(Table3[[#This Row],[PSGC]],DISTRICT!$D:$G,4,FALSE)</f>
        <v>3rd</v>
      </c>
      <c r="J110" s="47" t="s">
        <v>578</v>
      </c>
      <c r="K110" s="51" t="str">
        <f>VLOOKUP(Table3[[#This Row],[SPECIFIC COMMODITY]],TAGS!$W$48:$X$53,2,FALSE)</f>
        <v>Corn</v>
      </c>
      <c r="L110" s="51" t="str">
        <f>VLOOKUP(Table3[[#This Row],[PREXC SUB-PROGRAM]],Table5[],2,FALSE)</f>
        <v>TECHNICAL AND SUPPORT SERVICES PROGRAM</v>
      </c>
      <c r="M110" s="51" t="str">
        <f>VLOOKUP(Table3[[#This Row],[COMMODITY PREXC SUB-PROGRAM]],TAGS!$U$54:$V$76,2,FALSE)</f>
        <v>PSS</v>
      </c>
      <c r="N110" s="47" t="s">
        <v>576</v>
      </c>
      <c r="O110" s="54" t="str">
        <f>VLOOKUP(Table3[[#This Row],[PI LEVEL 3]],'PI LEVEL'!A:C,3,FALSE)</f>
        <v>Seeds distributed</v>
      </c>
      <c r="P110" s="54" t="str">
        <f>VLOOKUP(Table3[[#This Row],[PI LEVEL 3]],Table53729[[Performance Indicator Level 3]:[Performance Indicator Level 1]],2,FALSE)</f>
        <v>Corn Seeds distributed</v>
      </c>
      <c r="Q110" s="54" t="str">
        <f>VLOOKUP(Table3[[#This Row],[ACTIVITY]],TAGS!B:P,2,FALSE)</f>
        <v>Yellow Corn Seeds distributed</v>
      </c>
      <c r="R110" s="47" t="s">
        <v>34</v>
      </c>
      <c r="S110" s="51" t="str">
        <f>VLOOKUP(Table3[[#This Row],[ACTIVITY]],TAGS!$B:$P,4,FALSE)</f>
        <v>Yellow Corn Production Enhancement Project</v>
      </c>
      <c r="T110" s="51" t="str">
        <f>VLOOKUP(Table3[[#This Row],[ACTIVITY]],TAGS!$B:$P,5,FALSE)</f>
        <v>Corn Seed Assistance</v>
      </c>
      <c r="U110" s="51" t="str">
        <f>VLOOKUP(Table3[[#This Row],[ACTIVITY]],TAGS!$B:$P,6,FALSE)</f>
        <v>Yellow corn seeds</v>
      </c>
      <c r="V110" s="51" t="str">
        <f>VLOOKUP(Table3[[#This Row],[ACTIVITY]],TAGS!$B:$P,7,FALSE)</f>
        <v>NO</v>
      </c>
      <c r="W110" s="51" t="str">
        <f>VLOOKUP(Table3[[#This Row],[ACTIVITY]],TAGS!$B:$P,8,FALSE)</f>
        <v>PAP</v>
      </c>
      <c r="X110" s="51" t="str">
        <f>VLOOKUP(Table3[[#This Row],[ACTIVITY]],TAGS!$B:$P,10,FALSE)</f>
        <v>PIP</v>
      </c>
      <c r="Y110" s="51" t="str">
        <f>VLOOKUP(Table3[[#This Row],[ACTIVITY]],TAGS!$B:$P,11,FALSE)</f>
        <v>PICS</v>
      </c>
      <c r="Z110" s="51" t="str">
        <f>VLOOKUP(Table3[[#This Row],[ACTIVITY]],TAGS!$B:$P,12,FALSE)</f>
        <v>Consolidation</v>
      </c>
      <c r="AA110" s="51" t="str">
        <f>VLOOKUP(Table3[[#This Row],[ACTIVITY]],TAGS!$B:$P,13,FALSE)</f>
        <v>1. Bayanihan Agri Cluster</v>
      </c>
      <c r="AB110" s="51" t="str">
        <f>VLOOKUP(Table3[[#This Row],[ACTIVITY]],TAGS!$B:$P,14,FALSE)</f>
        <v>EXPAND AND IMPROVE AVAILABLE AGRI-FISHERY AREAS FOR INCREASED PRODUCTION</v>
      </c>
      <c r="AC110" s="51" t="str">
        <f>VLOOKUP(Table3[[#This Row],[ACTIVITY]],TAGS!$B:$P,15,FALSE)</f>
        <v>Farm Inputs</v>
      </c>
      <c r="AD110" s="51" t="str">
        <f>VLOOKUP(Table3[[#This Row],[PI LEVEL 3]],'PI LEVEL'!$A:$G,7,FALSE)</f>
        <v>DA-Level Output</v>
      </c>
      <c r="AE110" s="47" t="s">
        <v>577</v>
      </c>
      <c r="AF110" s="51" t="str">
        <f>VLOOKUP(Table3[[#This Row],[ACTIVITY]],TAGS!$B:$P,3,FALSE)</f>
        <v>kilogram</v>
      </c>
      <c r="AG110" s="47" t="s">
        <v>334</v>
      </c>
      <c r="AH110" s="51" t="str">
        <f>VLOOKUP(Table3[[#This Row],[MONTH]],TAGS!$W$67:$Y$81,2,FALSE)</f>
        <v>3RD QTR</v>
      </c>
      <c r="AI110" s="51" t="str">
        <f>VLOOKUP(Table3[[#This Row],[MONTH]],TAGS!$W$67:$Y$81,3,FALSE)</f>
        <v>2ND SEMESTER</v>
      </c>
      <c r="AJ110" s="51">
        <f>VLOOKUP(Table3[[#This Row],[MONTH]],TAGS!$W$67:$Z$81,4,FALSE)</f>
        <v>2025</v>
      </c>
      <c r="AK110" s="47">
        <v>26352</v>
      </c>
      <c r="AL110" s="51" t="str">
        <f>VLOOKUP(Table3[[#This Row],[ACTIVITY]],TAGS!$B:$R,16,FALSE)</f>
        <v>YES</v>
      </c>
      <c r="AM110" s="47">
        <v>1464</v>
      </c>
      <c r="AN110" s="47">
        <v>17568</v>
      </c>
      <c r="AO110" s="57">
        <f>SUM(Table3[[#This Row],[MALE BENEFICIARIES]:[FEMALE BENEFICIARIES]])</f>
        <v>0</v>
      </c>
      <c r="AP110" s="58"/>
      <c r="AQ110" s="58"/>
      <c r="AR110" s="58"/>
      <c r="AS110" s="58">
        <v>1</v>
      </c>
      <c r="AT110" s="59">
        <v>1464</v>
      </c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</row>
    <row r="111" spans="1:65">
      <c r="A111" s="51" t="str">
        <f>VLOOKUP(Table3[[#This Row],[OU]],OU!$A$15:$B$34,2,FALSE)</f>
        <v>RFOs</v>
      </c>
      <c r="B111" s="47" t="s">
        <v>5</v>
      </c>
      <c r="C111" s="47" t="s">
        <v>574</v>
      </c>
      <c r="D111" s="47"/>
      <c r="E111" s="47" t="s">
        <v>43</v>
      </c>
      <c r="F111" s="47" t="s">
        <v>685</v>
      </c>
      <c r="G11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11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23112000</v>
      </c>
      <c r="I111" s="52" t="str">
        <f>VLOOKUP(Table3[[#This Row],[PSGC]],DISTRICT!$D:$G,4,FALSE)</f>
        <v>1st</v>
      </c>
      <c r="J111" s="47" t="s">
        <v>578</v>
      </c>
      <c r="K111" s="51" t="str">
        <f>VLOOKUP(Table3[[#This Row],[SPECIFIC COMMODITY]],TAGS!$W$48:$X$53,2,FALSE)</f>
        <v>Corn</v>
      </c>
      <c r="L111" s="51" t="str">
        <f>VLOOKUP(Table3[[#This Row],[PREXC SUB-PROGRAM]],Table5[],2,FALSE)</f>
        <v>TECHNICAL AND SUPPORT SERVICES PROGRAM</v>
      </c>
      <c r="M111" s="51" t="str">
        <f>VLOOKUP(Table3[[#This Row],[COMMODITY PREXC SUB-PROGRAM]],TAGS!$U$54:$V$76,2,FALSE)</f>
        <v>PSS</v>
      </c>
      <c r="N111" s="47" t="s">
        <v>576</v>
      </c>
      <c r="O111" s="54" t="str">
        <f>VLOOKUP(Table3[[#This Row],[PI LEVEL 3]],'PI LEVEL'!A:C,3,FALSE)</f>
        <v>Seeds distributed</v>
      </c>
      <c r="P111" s="54" t="str">
        <f>VLOOKUP(Table3[[#This Row],[PI LEVEL 3]],Table53729[[Performance Indicator Level 3]:[Performance Indicator Level 1]],2,FALSE)</f>
        <v>Corn Seeds distributed</v>
      </c>
      <c r="Q111" s="54" t="str">
        <f>VLOOKUP(Table3[[#This Row],[ACTIVITY]],TAGS!B:P,2,FALSE)</f>
        <v>Yellow Corn Seeds distributed</v>
      </c>
      <c r="R111" s="47" t="s">
        <v>34</v>
      </c>
      <c r="S111" s="51" t="str">
        <f>VLOOKUP(Table3[[#This Row],[ACTIVITY]],TAGS!$B:$P,4,FALSE)</f>
        <v>Yellow Corn Production Enhancement Project</v>
      </c>
      <c r="T111" s="51" t="str">
        <f>VLOOKUP(Table3[[#This Row],[ACTIVITY]],TAGS!$B:$P,5,FALSE)</f>
        <v>Corn Seed Assistance</v>
      </c>
      <c r="U111" s="51" t="str">
        <f>VLOOKUP(Table3[[#This Row],[ACTIVITY]],TAGS!$B:$P,6,FALSE)</f>
        <v>Yellow corn seeds</v>
      </c>
      <c r="V111" s="51" t="str">
        <f>VLOOKUP(Table3[[#This Row],[ACTIVITY]],TAGS!$B:$P,7,FALSE)</f>
        <v>NO</v>
      </c>
      <c r="W111" s="51" t="str">
        <f>VLOOKUP(Table3[[#This Row],[ACTIVITY]],TAGS!$B:$P,8,FALSE)</f>
        <v>PAP</v>
      </c>
      <c r="X111" s="51" t="str">
        <f>VLOOKUP(Table3[[#This Row],[ACTIVITY]],TAGS!$B:$P,10,FALSE)</f>
        <v>PIP</v>
      </c>
      <c r="Y111" s="51" t="str">
        <f>VLOOKUP(Table3[[#This Row],[ACTIVITY]],TAGS!$B:$P,11,FALSE)</f>
        <v>PICS</v>
      </c>
      <c r="Z111" s="51" t="str">
        <f>VLOOKUP(Table3[[#This Row],[ACTIVITY]],TAGS!$B:$P,12,FALSE)</f>
        <v>Consolidation</v>
      </c>
      <c r="AA111" s="51" t="str">
        <f>VLOOKUP(Table3[[#This Row],[ACTIVITY]],TAGS!$B:$P,13,FALSE)</f>
        <v>1. Bayanihan Agri Cluster</v>
      </c>
      <c r="AB111" s="51" t="str">
        <f>VLOOKUP(Table3[[#This Row],[ACTIVITY]],TAGS!$B:$P,14,FALSE)</f>
        <v>EXPAND AND IMPROVE AVAILABLE AGRI-FISHERY AREAS FOR INCREASED PRODUCTION</v>
      </c>
      <c r="AC111" s="51" t="str">
        <f>VLOOKUP(Table3[[#This Row],[ACTIVITY]],TAGS!$B:$P,15,FALSE)</f>
        <v>Farm Inputs</v>
      </c>
      <c r="AD111" s="51" t="str">
        <f>VLOOKUP(Table3[[#This Row],[PI LEVEL 3]],'PI LEVEL'!$A:$G,7,FALSE)</f>
        <v>DA-Level Output</v>
      </c>
      <c r="AE111" s="47" t="s">
        <v>577</v>
      </c>
      <c r="AF111" s="51" t="str">
        <f>VLOOKUP(Table3[[#This Row],[ACTIVITY]],TAGS!$B:$P,3,FALSE)</f>
        <v>kilogram</v>
      </c>
      <c r="AG111" s="47" t="s">
        <v>334</v>
      </c>
      <c r="AH111" s="51" t="str">
        <f>VLOOKUP(Table3[[#This Row],[MONTH]],TAGS!$W$67:$Y$81,2,FALSE)</f>
        <v>3RD QTR</v>
      </c>
      <c r="AI111" s="51" t="str">
        <f>VLOOKUP(Table3[[#This Row],[MONTH]],TAGS!$W$67:$Y$81,3,FALSE)</f>
        <v>2ND SEMESTER</v>
      </c>
      <c r="AJ111" s="51">
        <f>VLOOKUP(Table3[[#This Row],[MONTH]],TAGS!$W$67:$Z$81,4,FALSE)</f>
        <v>2025</v>
      </c>
      <c r="AK111" s="47">
        <v>23256</v>
      </c>
      <c r="AL111" s="51" t="str">
        <f>VLOOKUP(Table3[[#This Row],[ACTIVITY]],TAGS!$B:$R,16,FALSE)</f>
        <v>YES</v>
      </c>
      <c r="AM111" s="47">
        <v>1292</v>
      </c>
      <c r="AN111" s="47">
        <v>15504</v>
      </c>
      <c r="AO111" s="57">
        <f>SUM(Table3[[#This Row],[MALE BENEFICIARIES]:[FEMALE BENEFICIARIES]])</f>
        <v>0</v>
      </c>
      <c r="AP111" s="58"/>
      <c r="AQ111" s="58"/>
      <c r="AR111" s="58"/>
      <c r="AS111" s="58">
        <v>1</v>
      </c>
      <c r="AT111" s="59">
        <v>1292</v>
      </c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</row>
    <row r="112" spans="1:65">
      <c r="A112" s="51" t="str">
        <f>VLOOKUP(Table3[[#This Row],[OU]],OU!$A$15:$B$34,2,FALSE)</f>
        <v>RFOs</v>
      </c>
      <c r="B112" s="47" t="s">
        <v>5</v>
      </c>
      <c r="C112" s="47" t="s">
        <v>574</v>
      </c>
      <c r="D112" s="47"/>
      <c r="E112" s="47" t="s">
        <v>43</v>
      </c>
      <c r="F112" s="47" t="s">
        <v>631</v>
      </c>
      <c r="G11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11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23128000</v>
      </c>
      <c r="I112" s="52" t="str">
        <f>VLOOKUP(Table3[[#This Row],[PSGC]],DISTRICT!$D:$G,4,FALSE)</f>
        <v>4th</v>
      </c>
      <c r="J112" s="47" t="s">
        <v>578</v>
      </c>
      <c r="K112" s="51" t="str">
        <f>VLOOKUP(Table3[[#This Row],[SPECIFIC COMMODITY]],TAGS!$W$48:$X$53,2,FALSE)</f>
        <v>Corn</v>
      </c>
      <c r="L112" s="51" t="str">
        <f>VLOOKUP(Table3[[#This Row],[PREXC SUB-PROGRAM]],Table5[],2,FALSE)</f>
        <v>TECHNICAL AND SUPPORT SERVICES PROGRAM</v>
      </c>
      <c r="M112" s="51" t="str">
        <f>VLOOKUP(Table3[[#This Row],[COMMODITY PREXC SUB-PROGRAM]],TAGS!$U$54:$V$76,2,FALSE)</f>
        <v>PSS</v>
      </c>
      <c r="N112" s="47" t="s">
        <v>576</v>
      </c>
      <c r="O112" s="54" t="str">
        <f>VLOOKUP(Table3[[#This Row],[PI LEVEL 3]],'PI LEVEL'!A:C,3,FALSE)</f>
        <v>Seeds distributed</v>
      </c>
      <c r="P112" s="54" t="str">
        <f>VLOOKUP(Table3[[#This Row],[PI LEVEL 3]],Table53729[[Performance Indicator Level 3]:[Performance Indicator Level 1]],2,FALSE)</f>
        <v>Corn Seeds distributed</v>
      </c>
      <c r="Q112" s="54" t="str">
        <f>VLOOKUP(Table3[[#This Row],[ACTIVITY]],TAGS!B:P,2,FALSE)</f>
        <v>Yellow Corn Seeds distributed</v>
      </c>
      <c r="R112" s="47" t="s">
        <v>34</v>
      </c>
      <c r="S112" s="51" t="str">
        <f>VLOOKUP(Table3[[#This Row],[ACTIVITY]],TAGS!$B:$P,4,FALSE)</f>
        <v>Yellow Corn Production Enhancement Project</v>
      </c>
      <c r="T112" s="51" t="str">
        <f>VLOOKUP(Table3[[#This Row],[ACTIVITY]],TAGS!$B:$P,5,FALSE)</f>
        <v>Corn Seed Assistance</v>
      </c>
      <c r="U112" s="51" t="str">
        <f>VLOOKUP(Table3[[#This Row],[ACTIVITY]],TAGS!$B:$P,6,FALSE)</f>
        <v>Yellow corn seeds</v>
      </c>
      <c r="V112" s="51" t="str">
        <f>VLOOKUP(Table3[[#This Row],[ACTIVITY]],TAGS!$B:$P,7,FALSE)</f>
        <v>NO</v>
      </c>
      <c r="W112" s="51" t="str">
        <f>VLOOKUP(Table3[[#This Row],[ACTIVITY]],TAGS!$B:$P,8,FALSE)</f>
        <v>PAP</v>
      </c>
      <c r="X112" s="51" t="str">
        <f>VLOOKUP(Table3[[#This Row],[ACTIVITY]],TAGS!$B:$P,10,FALSE)</f>
        <v>PIP</v>
      </c>
      <c r="Y112" s="51" t="str">
        <f>VLOOKUP(Table3[[#This Row],[ACTIVITY]],TAGS!$B:$P,11,FALSE)</f>
        <v>PICS</v>
      </c>
      <c r="Z112" s="51" t="str">
        <f>VLOOKUP(Table3[[#This Row],[ACTIVITY]],TAGS!$B:$P,12,FALSE)</f>
        <v>Consolidation</v>
      </c>
      <c r="AA112" s="51" t="str">
        <f>VLOOKUP(Table3[[#This Row],[ACTIVITY]],TAGS!$B:$P,13,FALSE)</f>
        <v>1. Bayanihan Agri Cluster</v>
      </c>
      <c r="AB112" s="51" t="str">
        <f>VLOOKUP(Table3[[#This Row],[ACTIVITY]],TAGS!$B:$P,14,FALSE)</f>
        <v>EXPAND AND IMPROVE AVAILABLE AGRI-FISHERY AREAS FOR INCREASED PRODUCTION</v>
      </c>
      <c r="AC112" s="51" t="str">
        <f>VLOOKUP(Table3[[#This Row],[ACTIVITY]],TAGS!$B:$P,15,FALSE)</f>
        <v>Farm Inputs</v>
      </c>
      <c r="AD112" s="51" t="str">
        <f>VLOOKUP(Table3[[#This Row],[PI LEVEL 3]],'PI LEVEL'!$A:$G,7,FALSE)</f>
        <v>DA-Level Output</v>
      </c>
      <c r="AE112" s="47" t="s">
        <v>577</v>
      </c>
      <c r="AF112" s="51" t="str">
        <f>VLOOKUP(Table3[[#This Row],[ACTIVITY]],TAGS!$B:$P,3,FALSE)</f>
        <v>kilogram</v>
      </c>
      <c r="AG112" s="47" t="s">
        <v>334</v>
      </c>
      <c r="AH112" s="51" t="str">
        <f>VLOOKUP(Table3[[#This Row],[MONTH]],TAGS!$W$67:$Y$81,2,FALSE)</f>
        <v>3RD QTR</v>
      </c>
      <c r="AI112" s="51" t="str">
        <f>VLOOKUP(Table3[[#This Row],[MONTH]],TAGS!$W$67:$Y$81,3,FALSE)</f>
        <v>2ND SEMESTER</v>
      </c>
      <c r="AJ112" s="51">
        <f>VLOOKUP(Table3[[#This Row],[MONTH]],TAGS!$W$67:$Z$81,4,FALSE)</f>
        <v>2025</v>
      </c>
      <c r="AK112" s="47">
        <v>11754</v>
      </c>
      <c r="AL112" s="51" t="str">
        <f>VLOOKUP(Table3[[#This Row],[ACTIVITY]],TAGS!$B:$R,16,FALSE)</f>
        <v>YES</v>
      </c>
      <c r="AM112" s="47">
        <v>653</v>
      </c>
      <c r="AN112" s="47">
        <v>7836</v>
      </c>
      <c r="AO112" s="57">
        <f>SUM(Table3[[#This Row],[MALE BENEFICIARIES]:[FEMALE BENEFICIARIES]])</f>
        <v>0</v>
      </c>
      <c r="AP112" s="58"/>
      <c r="AQ112" s="58"/>
      <c r="AR112" s="58"/>
      <c r="AS112" s="58">
        <v>1</v>
      </c>
      <c r="AT112" s="59">
        <v>653</v>
      </c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</row>
    <row r="113" spans="1:65">
      <c r="A113" s="51" t="str">
        <f>VLOOKUP(Table3[[#This Row],[OU]],OU!$A$15:$B$34,2,FALSE)</f>
        <v>RFOs</v>
      </c>
      <c r="B113" s="47" t="s">
        <v>5</v>
      </c>
      <c r="C113" s="47" t="s">
        <v>574</v>
      </c>
      <c r="D113" s="47"/>
      <c r="E113" s="47" t="s">
        <v>43</v>
      </c>
      <c r="F113" s="47" t="s">
        <v>686</v>
      </c>
      <c r="G11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11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23129000</v>
      </c>
      <c r="I113" s="52" t="str">
        <f>VLOOKUP(Table3[[#This Row],[PSGC]],DISTRICT!$D:$G,4,FALSE)</f>
        <v>5th</v>
      </c>
      <c r="J113" s="47" t="s">
        <v>578</v>
      </c>
      <c r="K113" s="51" t="str">
        <f>VLOOKUP(Table3[[#This Row],[SPECIFIC COMMODITY]],TAGS!$W$48:$X$53,2,FALSE)</f>
        <v>Corn</v>
      </c>
      <c r="L113" s="51" t="str">
        <f>VLOOKUP(Table3[[#This Row],[PREXC SUB-PROGRAM]],Table5[],2,FALSE)</f>
        <v>TECHNICAL AND SUPPORT SERVICES PROGRAM</v>
      </c>
      <c r="M113" s="51" t="str">
        <f>VLOOKUP(Table3[[#This Row],[COMMODITY PREXC SUB-PROGRAM]],TAGS!$U$54:$V$76,2,FALSE)</f>
        <v>PSS</v>
      </c>
      <c r="N113" s="47" t="s">
        <v>576</v>
      </c>
      <c r="O113" s="54" t="str">
        <f>VLOOKUP(Table3[[#This Row],[PI LEVEL 3]],'PI LEVEL'!A:C,3,FALSE)</f>
        <v>Seeds distributed</v>
      </c>
      <c r="P113" s="54" t="str">
        <f>VLOOKUP(Table3[[#This Row],[PI LEVEL 3]],Table53729[[Performance Indicator Level 3]:[Performance Indicator Level 1]],2,FALSE)</f>
        <v>Corn Seeds distributed</v>
      </c>
      <c r="Q113" s="54" t="str">
        <f>VLOOKUP(Table3[[#This Row],[ACTIVITY]],TAGS!B:P,2,FALSE)</f>
        <v>Yellow Corn Seeds distributed</v>
      </c>
      <c r="R113" s="47" t="s">
        <v>34</v>
      </c>
      <c r="S113" s="51" t="str">
        <f>VLOOKUP(Table3[[#This Row],[ACTIVITY]],TAGS!$B:$P,4,FALSE)</f>
        <v>Yellow Corn Production Enhancement Project</v>
      </c>
      <c r="T113" s="51" t="str">
        <f>VLOOKUP(Table3[[#This Row],[ACTIVITY]],TAGS!$B:$P,5,FALSE)</f>
        <v>Corn Seed Assistance</v>
      </c>
      <c r="U113" s="51" t="str">
        <f>VLOOKUP(Table3[[#This Row],[ACTIVITY]],TAGS!$B:$P,6,FALSE)</f>
        <v>Yellow corn seeds</v>
      </c>
      <c r="V113" s="51" t="str">
        <f>VLOOKUP(Table3[[#This Row],[ACTIVITY]],TAGS!$B:$P,7,FALSE)</f>
        <v>NO</v>
      </c>
      <c r="W113" s="51" t="str">
        <f>VLOOKUP(Table3[[#This Row],[ACTIVITY]],TAGS!$B:$P,8,FALSE)</f>
        <v>PAP</v>
      </c>
      <c r="X113" s="51" t="str">
        <f>VLOOKUP(Table3[[#This Row],[ACTIVITY]],TAGS!$B:$P,10,FALSE)</f>
        <v>PIP</v>
      </c>
      <c r="Y113" s="51" t="str">
        <f>VLOOKUP(Table3[[#This Row],[ACTIVITY]],TAGS!$B:$P,11,FALSE)</f>
        <v>PICS</v>
      </c>
      <c r="Z113" s="51" t="str">
        <f>VLOOKUP(Table3[[#This Row],[ACTIVITY]],TAGS!$B:$P,12,FALSE)</f>
        <v>Consolidation</v>
      </c>
      <c r="AA113" s="51" t="str">
        <f>VLOOKUP(Table3[[#This Row],[ACTIVITY]],TAGS!$B:$P,13,FALSE)</f>
        <v>1. Bayanihan Agri Cluster</v>
      </c>
      <c r="AB113" s="51" t="str">
        <f>VLOOKUP(Table3[[#This Row],[ACTIVITY]],TAGS!$B:$P,14,FALSE)</f>
        <v>EXPAND AND IMPROVE AVAILABLE AGRI-FISHERY AREAS FOR INCREASED PRODUCTION</v>
      </c>
      <c r="AC113" s="51" t="str">
        <f>VLOOKUP(Table3[[#This Row],[ACTIVITY]],TAGS!$B:$P,15,FALSE)</f>
        <v>Farm Inputs</v>
      </c>
      <c r="AD113" s="51" t="str">
        <f>VLOOKUP(Table3[[#This Row],[PI LEVEL 3]],'PI LEVEL'!$A:$G,7,FALSE)</f>
        <v>DA-Level Output</v>
      </c>
      <c r="AE113" s="47" t="s">
        <v>577</v>
      </c>
      <c r="AF113" s="51" t="str">
        <f>VLOOKUP(Table3[[#This Row],[ACTIVITY]],TAGS!$B:$P,3,FALSE)</f>
        <v>kilogram</v>
      </c>
      <c r="AG113" s="47" t="s">
        <v>334</v>
      </c>
      <c r="AH113" s="51" t="str">
        <f>VLOOKUP(Table3[[#This Row],[MONTH]],TAGS!$W$67:$Y$81,2,FALSE)</f>
        <v>3RD QTR</v>
      </c>
      <c r="AI113" s="51" t="str">
        <f>VLOOKUP(Table3[[#This Row],[MONTH]],TAGS!$W$67:$Y$81,3,FALSE)</f>
        <v>2ND SEMESTER</v>
      </c>
      <c r="AJ113" s="51">
        <f>VLOOKUP(Table3[[#This Row],[MONTH]],TAGS!$W$67:$Z$81,4,FALSE)</f>
        <v>2025</v>
      </c>
      <c r="AK113" s="47">
        <v>360</v>
      </c>
      <c r="AL113" s="51" t="str">
        <f>VLOOKUP(Table3[[#This Row],[ACTIVITY]],TAGS!$B:$R,16,FALSE)</f>
        <v>YES</v>
      </c>
      <c r="AM113" s="47">
        <v>20</v>
      </c>
      <c r="AN113" s="47">
        <v>240</v>
      </c>
      <c r="AO113" s="57">
        <f>SUM(Table3[[#This Row],[MALE BENEFICIARIES]:[FEMALE BENEFICIARIES]])</f>
        <v>0</v>
      </c>
      <c r="AP113" s="58"/>
      <c r="AQ113" s="58"/>
      <c r="AR113" s="58"/>
      <c r="AS113" s="58">
        <v>1</v>
      </c>
      <c r="AT113" s="59">
        <v>20</v>
      </c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</row>
    <row r="114" spans="1:65">
      <c r="A114" s="51" t="str">
        <f>VLOOKUP(Table3[[#This Row],[OU]],OU!$A$15:$B$34,2,FALSE)</f>
        <v>RFOs</v>
      </c>
      <c r="B114" s="47" t="s">
        <v>5</v>
      </c>
      <c r="C114" s="47" t="s">
        <v>574</v>
      </c>
      <c r="D114" s="47"/>
      <c r="E114" s="47" t="s">
        <v>63</v>
      </c>
      <c r="F114" s="47" t="s">
        <v>687</v>
      </c>
      <c r="G11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11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25014000</v>
      </c>
      <c r="I114" s="52" t="str">
        <f>VLOOKUP(Table3[[#This Row],[PSGC]],DISTRICT!$D:$G,4,FALSE)</f>
        <v>5th</v>
      </c>
      <c r="J114" s="47" t="s">
        <v>578</v>
      </c>
      <c r="K114" s="51" t="str">
        <f>VLOOKUP(Table3[[#This Row],[SPECIFIC COMMODITY]],TAGS!$W$48:$X$53,2,FALSE)</f>
        <v>Corn</v>
      </c>
      <c r="L114" s="51" t="str">
        <f>VLOOKUP(Table3[[#This Row],[PREXC SUB-PROGRAM]],Table5[],2,FALSE)</f>
        <v>TECHNICAL AND SUPPORT SERVICES PROGRAM</v>
      </c>
      <c r="M114" s="51" t="str">
        <f>VLOOKUP(Table3[[#This Row],[COMMODITY PREXC SUB-PROGRAM]],TAGS!$U$54:$V$76,2,FALSE)</f>
        <v>PSS</v>
      </c>
      <c r="N114" s="47" t="s">
        <v>576</v>
      </c>
      <c r="O114" s="54" t="str">
        <f>VLOOKUP(Table3[[#This Row],[PI LEVEL 3]],'PI LEVEL'!A:C,3,FALSE)</f>
        <v>Seeds distributed</v>
      </c>
      <c r="P114" s="54" t="str">
        <f>VLOOKUP(Table3[[#This Row],[PI LEVEL 3]],Table53729[[Performance Indicator Level 3]:[Performance Indicator Level 1]],2,FALSE)</f>
        <v>Corn Seeds distributed</v>
      </c>
      <c r="Q114" s="54" t="str">
        <f>VLOOKUP(Table3[[#This Row],[ACTIVITY]],TAGS!B:P,2,FALSE)</f>
        <v>Yellow Corn Seeds distributed</v>
      </c>
      <c r="R114" s="47" t="s">
        <v>34</v>
      </c>
      <c r="S114" s="51" t="str">
        <f>VLOOKUP(Table3[[#This Row],[ACTIVITY]],TAGS!$B:$P,4,FALSE)</f>
        <v>Yellow Corn Production Enhancement Project</v>
      </c>
      <c r="T114" s="51" t="str">
        <f>VLOOKUP(Table3[[#This Row],[ACTIVITY]],TAGS!$B:$P,5,FALSE)</f>
        <v>Corn Seed Assistance</v>
      </c>
      <c r="U114" s="51" t="str">
        <f>VLOOKUP(Table3[[#This Row],[ACTIVITY]],TAGS!$B:$P,6,FALSE)</f>
        <v>Yellow corn seeds</v>
      </c>
      <c r="V114" s="51" t="str">
        <f>VLOOKUP(Table3[[#This Row],[ACTIVITY]],TAGS!$B:$P,7,FALSE)</f>
        <v>NO</v>
      </c>
      <c r="W114" s="51" t="str">
        <f>VLOOKUP(Table3[[#This Row],[ACTIVITY]],TAGS!$B:$P,8,FALSE)</f>
        <v>PAP</v>
      </c>
      <c r="X114" s="51" t="str">
        <f>VLOOKUP(Table3[[#This Row],[ACTIVITY]],TAGS!$B:$P,10,FALSE)</f>
        <v>PIP</v>
      </c>
      <c r="Y114" s="51" t="str">
        <f>VLOOKUP(Table3[[#This Row],[ACTIVITY]],TAGS!$B:$P,11,FALSE)</f>
        <v>PICS</v>
      </c>
      <c r="Z114" s="51" t="str">
        <f>VLOOKUP(Table3[[#This Row],[ACTIVITY]],TAGS!$B:$P,12,FALSE)</f>
        <v>Consolidation</v>
      </c>
      <c r="AA114" s="51" t="str">
        <f>VLOOKUP(Table3[[#This Row],[ACTIVITY]],TAGS!$B:$P,13,FALSE)</f>
        <v>1. Bayanihan Agri Cluster</v>
      </c>
      <c r="AB114" s="51" t="str">
        <f>VLOOKUP(Table3[[#This Row],[ACTIVITY]],TAGS!$B:$P,14,FALSE)</f>
        <v>EXPAND AND IMPROVE AVAILABLE AGRI-FISHERY AREAS FOR INCREASED PRODUCTION</v>
      </c>
      <c r="AC114" s="51" t="str">
        <f>VLOOKUP(Table3[[#This Row],[ACTIVITY]],TAGS!$B:$P,15,FALSE)</f>
        <v>Farm Inputs</v>
      </c>
      <c r="AD114" s="51" t="str">
        <f>VLOOKUP(Table3[[#This Row],[PI LEVEL 3]],'PI LEVEL'!$A:$G,7,FALSE)</f>
        <v>DA-Level Output</v>
      </c>
      <c r="AE114" s="47" t="s">
        <v>577</v>
      </c>
      <c r="AF114" s="51" t="str">
        <f>VLOOKUP(Table3[[#This Row],[ACTIVITY]],TAGS!$B:$P,3,FALSE)</f>
        <v>kilogram</v>
      </c>
      <c r="AG114" s="47" t="s">
        <v>334</v>
      </c>
      <c r="AH114" s="51" t="str">
        <f>VLOOKUP(Table3[[#This Row],[MONTH]],TAGS!$W$67:$Y$81,2,FALSE)</f>
        <v>3RD QTR</v>
      </c>
      <c r="AI114" s="51" t="str">
        <f>VLOOKUP(Table3[[#This Row],[MONTH]],TAGS!$W$67:$Y$81,3,FALSE)</f>
        <v>2ND SEMESTER</v>
      </c>
      <c r="AJ114" s="51">
        <f>VLOOKUP(Table3[[#This Row],[MONTH]],TAGS!$W$67:$Z$81,4,FALSE)</f>
        <v>2025</v>
      </c>
      <c r="AK114" s="47">
        <v>2232</v>
      </c>
      <c r="AL114" s="51" t="str">
        <f>VLOOKUP(Table3[[#This Row],[ACTIVITY]],TAGS!$B:$R,16,FALSE)</f>
        <v>YES</v>
      </c>
      <c r="AM114" s="47">
        <v>124</v>
      </c>
      <c r="AN114" s="47">
        <v>1488</v>
      </c>
      <c r="AO114" s="57">
        <f>SUM(Table3[[#This Row],[MALE BENEFICIARIES]:[FEMALE BENEFICIARIES]])</f>
        <v>0</v>
      </c>
      <c r="AP114" s="58"/>
      <c r="AQ114" s="58"/>
      <c r="AR114" s="58"/>
      <c r="AS114" s="58">
        <v>1</v>
      </c>
      <c r="AT114" s="59">
        <v>124</v>
      </c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</row>
    <row r="115" spans="1:65">
      <c r="A115" s="51" t="str">
        <f>VLOOKUP(Table3[[#This Row],[OU]],OU!$A$15:$B$34,2,FALSE)</f>
        <v>RFOs</v>
      </c>
      <c r="B115" s="47" t="s">
        <v>5</v>
      </c>
      <c r="C115" s="47" t="s">
        <v>574</v>
      </c>
      <c r="D115" s="47"/>
      <c r="E115" s="47" t="s">
        <v>63</v>
      </c>
      <c r="F115" s="47" t="s">
        <v>688</v>
      </c>
      <c r="G11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11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25006000</v>
      </c>
      <c r="I115" s="52" t="str">
        <f>VLOOKUP(Table3[[#This Row],[PSGC]],DISTRICT!$D:$G,4,FALSE)</f>
        <v>4th</v>
      </c>
      <c r="J115" s="47" t="s">
        <v>578</v>
      </c>
      <c r="K115" s="51" t="str">
        <f>VLOOKUP(Table3[[#This Row],[SPECIFIC COMMODITY]],TAGS!$W$48:$X$53,2,FALSE)</f>
        <v>Corn</v>
      </c>
      <c r="L115" s="51" t="str">
        <f>VLOOKUP(Table3[[#This Row],[PREXC SUB-PROGRAM]],Table5[],2,FALSE)</f>
        <v>TECHNICAL AND SUPPORT SERVICES PROGRAM</v>
      </c>
      <c r="M115" s="51" t="str">
        <f>VLOOKUP(Table3[[#This Row],[COMMODITY PREXC SUB-PROGRAM]],TAGS!$U$54:$V$76,2,FALSE)</f>
        <v>PSS</v>
      </c>
      <c r="N115" s="47" t="s">
        <v>576</v>
      </c>
      <c r="O115" s="54" t="str">
        <f>VLOOKUP(Table3[[#This Row],[PI LEVEL 3]],'PI LEVEL'!A:C,3,FALSE)</f>
        <v>Seeds distributed</v>
      </c>
      <c r="P115" s="54" t="str">
        <f>VLOOKUP(Table3[[#This Row],[PI LEVEL 3]],Table53729[[Performance Indicator Level 3]:[Performance Indicator Level 1]],2,FALSE)</f>
        <v>Corn Seeds distributed</v>
      </c>
      <c r="Q115" s="54" t="str">
        <f>VLOOKUP(Table3[[#This Row],[ACTIVITY]],TAGS!B:P,2,FALSE)</f>
        <v>Yellow Corn Seeds distributed</v>
      </c>
      <c r="R115" s="47" t="s">
        <v>34</v>
      </c>
      <c r="S115" s="51" t="str">
        <f>VLOOKUP(Table3[[#This Row],[ACTIVITY]],TAGS!$B:$P,4,FALSE)</f>
        <v>Yellow Corn Production Enhancement Project</v>
      </c>
      <c r="T115" s="51" t="str">
        <f>VLOOKUP(Table3[[#This Row],[ACTIVITY]],TAGS!$B:$P,5,FALSE)</f>
        <v>Corn Seed Assistance</v>
      </c>
      <c r="U115" s="51" t="str">
        <f>VLOOKUP(Table3[[#This Row],[ACTIVITY]],TAGS!$B:$P,6,FALSE)</f>
        <v>Yellow corn seeds</v>
      </c>
      <c r="V115" s="51" t="str">
        <f>VLOOKUP(Table3[[#This Row],[ACTIVITY]],TAGS!$B:$P,7,FALSE)</f>
        <v>NO</v>
      </c>
      <c r="W115" s="51" t="str">
        <f>VLOOKUP(Table3[[#This Row],[ACTIVITY]],TAGS!$B:$P,8,FALSE)</f>
        <v>PAP</v>
      </c>
      <c r="X115" s="51" t="str">
        <f>VLOOKUP(Table3[[#This Row],[ACTIVITY]],TAGS!$B:$P,10,FALSE)</f>
        <v>PIP</v>
      </c>
      <c r="Y115" s="51" t="str">
        <f>VLOOKUP(Table3[[#This Row],[ACTIVITY]],TAGS!$B:$P,11,FALSE)</f>
        <v>PICS</v>
      </c>
      <c r="Z115" s="51" t="str">
        <f>VLOOKUP(Table3[[#This Row],[ACTIVITY]],TAGS!$B:$P,12,FALSE)</f>
        <v>Consolidation</v>
      </c>
      <c r="AA115" s="51" t="str">
        <f>VLOOKUP(Table3[[#This Row],[ACTIVITY]],TAGS!$B:$P,13,FALSE)</f>
        <v>1. Bayanihan Agri Cluster</v>
      </c>
      <c r="AB115" s="51" t="str">
        <f>VLOOKUP(Table3[[#This Row],[ACTIVITY]],TAGS!$B:$P,14,FALSE)</f>
        <v>EXPAND AND IMPROVE AVAILABLE AGRI-FISHERY AREAS FOR INCREASED PRODUCTION</v>
      </c>
      <c r="AC115" s="51" t="str">
        <f>VLOOKUP(Table3[[#This Row],[ACTIVITY]],TAGS!$B:$P,15,FALSE)</f>
        <v>Farm Inputs</v>
      </c>
      <c r="AD115" s="51" t="str">
        <f>VLOOKUP(Table3[[#This Row],[PI LEVEL 3]],'PI LEVEL'!$A:$G,7,FALSE)</f>
        <v>DA-Level Output</v>
      </c>
      <c r="AE115" s="47" t="s">
        <v>577</v>
      </c>
      <c r="AF115" s="51" t="str">
        <f>VLOOKUP(Table3[[#This Row],[ACTIVITY]],TAGS!$B:$P,3,FALSE)</f>
        <v>kilogram</v>
      </c>
      <c r="AG115" s="47" t="s">
        <v>334</v>
      </c>
      <c r="AH115" s="51" t="str">
        <f>VLOOKUP(Table3[[#This Row],[MONTH]],TAGS!$W$67:$Y$81,2,FALSE)</f>
        <v>3RD QTR</v>
      </c>
      <c r="AI115" s="51" t="str">
        <f>VLOOKUP(Table3[[#This Row],[MONTH]],TAGS!$W$67:$Y$81,3,FALSE)</f>
        <v>2ND SEMESTER</v>
      </c>
      <c r="AJ115" s="51">
        <f>VLOOKUP(Table3[[#This Row],[MONTH]],TAGS!$W$67:$Z$81,4,FALSE)</f>
        <v>2025</v>
      </c>
      <c r="AK115" s="47">
        <v>3780</v>
      </c>
      <c r="AL115" s="51" t="str">
        <f>VLOOKUP(Table3[[#This Row],[ACTIVITY]],TAGS!$B:$R,16,FALSE)</f>
        <v>YES</v>
      </c>
      <c r="AM115" s="47">
        <v>210</v>
      </c>
      <c r="AN115" s="47">
        <v>2520</v>
      </c>
      <c r="AO115" s="57">
        <f>SUM(Table3[[#This Row],[MALE BENEFICIARIES]:[FEMALE BENEFICIARIES]])</f>
        <v>0</v>
      </c>
      <c r="AP115" s="58"/>
      <c r="AQ115" s="58"/>
      <c r="AR115" s="58"/>
      <c r="AS115" s="58">
        <v>1</v>
      </c>
      <c r="AT115" s="59">
        <v>210</v>
      </c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</row>
    <row r="116" spans="1:65">
      <c r="A116" s="51" t="str">
        <f>VLOOKUP(Table3[[#This Row],[OU]],OU!$A$15:$B$34,2,FALSE)</f>
        <v>RFOs</v>
      </c>
      <c r="B116" s="47" t="s">
        <v>5</v>
      </c>
      <c r="C116" s="47" t="s">
        <v>574</v>
      </c>
      <c r="D116" s="47"/>
      <c r="E116" s="47" t="s">
        <v>63</v>
      </c>
      <c r="F116" s="47" t="s">
        <v>689</v>
      </c>
      <c r="G11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11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25013000</v>
      </c>
      <c r="I116" s="52" t="str">
        <f>VLOOKUP(Table3[[#This Row],[PSGC]],DISTRICT!$D:$G,4,FALSE)</f>
        <v>1st</v>
      </c>
      <c r="J116" s="47" t="s">
        <v>578</v>
      </c>
      <c r="K116" s="51" t="str">
        <f>VLOOKUP(Table3[[#This Row],[SPECIFIC COMMODITY]],TAGS!$W$48:$X$53,2,FALSE)</f>
        <v>Corn</v>
      </c>
      <c r="L116" s="51" t="str">
        <f>VLOOKUP(Table3[[#This Row],[PREXC SUB-PROGRAM]],Table5[],2,FALSE)</f>
        <v>TECHNICAL AND SUPPORT SERVICES PROGRAM</v>
      </c>
      <c r="M116" s="51" t="str">
        <f>VLOOKUP(Table3[[#This Row],[COMMODITY PREXC SUB-PROGRAM]],TAGS!$U$54:$V$76,2,FALSE)</f>
        <v>PSS</v>
      </c>
      <c r="N116" s="47" t="s">
        <v>576</v>
      </c>
      <c r="O116" s="54" t="str">
        <f>VLOOKUP(Table3[[#This Row],[PI LEVEL 3]],'PI LEVEL'!A:C,3,FALSE)</f>
        <v>Seeds distributed</v>
      </c>
      <c r="P116" s="54" t="str">
        <f>VLOOKUP(Table3[[#This Row],[PI LEVEL 3]],Table53729[[Performance Indicator Level 3]:[Performance Indicator Level 1]],2,FALSE)</f>
        <v>Corn Seeds distributed</v>
      </c>
      <c r="Q116" s="54" t="str">
        <f>VLOOKUP(Table3[[#This Row],[ACTIVITY]],TAGS!B:P,2,FALSE)</f>
        <v>Yellow Corn Seeds distributed</v>
      </c>
      <c r="R116" s="47" t="s">
        <v>34</v>
      </c>
      <c r="S116" s="51" t="str">
        <f>VLOOKUP(Table3[[#This Row],[ACTIVITY]],TAGS!$B:$P,4,FALSE)</f>
        <v>Yellow Corn Production Enhancement Project</v>
      </c>
      <c r="T116" s="51" t="str">
        <f>VLOOKUP(Table3[[#This Row],[ACTIVITY]],TAGS!$B:$P,5,FALSE)</f>
        <v>Corn Seed Assistance</v>
      </c>
      <c r="U116" s="51" t="str">
        <f>VLOOKUP(Table3[[#This Row],[ACTIVITY]],TAGS!$B:$P,6,FALSE)</f>
        <v>Yellow corn seeds</v>
      </c>
      <c r="V116" s="51" t="str">
        <f>VLOOKUP(Table3[[#This Row],[ACTIVITY]],TAGS!$B:$P,7,FALSE)</f>
        <v>NO</v>
      </c>
      <c r="W116" s="51" t="str">
        <f>VLOOKUP(Table3[[#This Row],[ACTIVITY]],TAGS!$B:$P,8,FALSE)</f>
        <v>PAP</v>
      </c>
      <c r="X116" s="51" t="str">
        <f>VLOOKUP(Table3[[#This Row],[ACTIVITY]],TAGS!$B:$P,10,FALSE)</f>
        <v>PIP</v>
      </c>
      <c r="Y116" s="51" t="str">
        <f>VLOOKUP(Table3[[#This Row],[ACTIVITY]],TAGS!$B:$P,11,FALSE)</f>
        <v>PICS</v>
      </c>
      <c r="Z116" s="51" t="str">
        <f>VLOOKUP(Table3[[#This Row],[ACTIVITY]],TAGS!$B:$P,12,FALSE)</f>
        <v>Consolidation</v>
      </c>
      <c r="AA116" s="51" t="str">
        <f>VLOOKUP(Table3[[#This Row],[ACTIVITY]],TAGS!$B:$P,13,FALSE)</f>
        <v>1. Bayanihan Agri Cluster</v>
      </c>
      <c r="AB116" s="51" t="str">
        <f>VLOOKUP(Table3[[#This Row],[ACTIVITY]],TAGS!$B:$P,14,FALSE)</f>
        <v>EXPAND AND IMPROVE AVAILABLE AGRI-FISHERY AREAS FOR INCREASED PRODUCTION</v>
      </c>
      <c r="AC116" s="51" t="str">
        <f>VLOOKUP(Table3[[#This Row],[ACTIVITY]],TAGS!$B:$P,15,FALSE)</f>
        <v>Farm Inputs</v>
      </c>
      <c r="AD116" s="51" t="str">
        <f>VLOOKUP(Table3[[#This Row],[PI LEVEL 3]],'PI LEVEL'!$A:$G,7,FALSE)</f>
        <v>DA-Level Output</v>
      </c>
      <c r="AE116" s="47" t="s">
        <v>577</v>
      </c>
      <c r="AF116" s="51" t="str">
        <f>VLOOKUP(Table3[[#This Row],[ACTIVITY]],TAGS!$B:$P,3,FALSE)</f>
        <v>kilogram</v>
      </c>
      <c r="AG116" s="47" t="s">
        <v>334</v>
      </c>
      <c r="AH116" s="51" t="str">
        <f>VLOOKUP(Table3[[#This Row],[MONTH]],TAGS!$W$67:$Y$81,2,FALSE)</f>
        <v>3RD QTR</v>
      </c>
      <c r="AI116" s="51" t="str">
        <f>VLOOKUP(Table3[[#This Row],[MONTH]],TAGS!$W$67:$Y$81,3,FALSE)</f>
        <v>2ND SEMESTER</v>
      </c>
      <c r="AJ116" s="51">
        <f>VLOOKUP(Table3[[#This Row],[MONTH]],TAGS!$W$67:$Z$81,4,FALSE)</f>
        <v>2025</v>
      </c>
      <c r="AK116" s="47">
        <v>1800</v>
      </c>
      <c r="AL116" s="51" t="str">
        <f>VLOOKUP(Table3[[#This Row],[ACTIVITY]],TAGS!$B:$R,16,FALSE)</f>
        <v>YES</v>
      </c>
      <c r="AM116" s="47">
        <v>100</v>
      </c>
      <c r="AN116" s="47">
        <v>1200</v>
      </c>
      <c r="AO116" s="57">
        <f>SUM(Table3[[#This Row],[MALE BENEFICIARIES]:[FEMALE BENEFICIARIES]])</f>
        <v>0</v>
      </c>
      <c r="AP116" s="58"/>
      <c r="AQ116" s="58"/>
      <c r="AR116" s="58"/>
      <c r="AS116" s="58">
        <v>1</v>
      </c>
      <c r="AT116" s="59">
        <v>100</v>
      </c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</row>
    <row r="117" spans="1:65">
      <c r="A117" s="51" t="str">
        <f>VLOOKUP(Table3[[#This Row],[OU]],OU!$A$15:$B$34,2,FALSE)</f>
        <v>RFOs</v>
      </c>
      <c r="B117" s="47" t="s">
        <v>5</v>
      </c>
      <c r="C117" s="47" t="s">
        <v>574</v>
      </c>
      <c r="D117" s="47"/>
      <c r="E117" s="47" t="s">
        <v>63</v>
      </c>
      <c r="F117" s="47" t="s">
        <v>690</v>
      </c>
      <c r="G11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11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25005000</v>
      </c>
      <c r="I117" s="52" t="str">
        <f>VLOOKUP(Table3[[#This Row],[PSGC]],DISTRICT!$D:$G,4,FALSE)</f>
        <v>1st</v>
      </c>
      <c r="J117" s="47" t="s">
        <v>578</v>
      </c>
      <c r="K117" s="51" t="str">
        <f>VLOOKUP(Table3[[#This Row],[SPECIFIC COMMODITY]],TAGS!$W$48:$X$53,2,FALSE)</f>
        <v>Corn</v>
      </c>
      <c r="L117" s="51" t="str">
        <f>VLOOKUP(Table3[[#This Row],[PREXC SUB-PROGRAM]],Table5[],2,FALSE)</f>
        <v>TECHNICAL AND SUPPORT SERVICES PROGRAM</v>
      </c>
      <c r="M117" s="51" t="str">
        <f>VLOOKUP(Table3[[#This Row],[COMMODITY PREXC SUB-PROGRAM]],TAGS!$U$54:$V$76,2,FALSE)</f>
        <v>PSS</v>
      </c>
      <c r="N117" s="47" t="s">
        <v>576</v>
      </c>
      <c r="O117" s="54" t="str">
        <f>VLOOKUP(Table3[[#This Row],[PI LEVEL 3]],'PI LEVEL'!A:C,3,FALSE)</f>
        <v>Seeds distributed</v>
      </c>
      <c r="P117" s="54" t="str">
        <f>VLOOKUP(Table3[[#This Row],[PI LEVEL 3]],Table53729[[Performance Indicator Level 3]:[Performance Indicator Level 1]],2,FALSE)</f>
        <v>Corn Seeds distributed</v>
      </c>
      <c r="Q117" s="54" t="str">
        <f>VLOOKUP(Table3[[#This Row],[ACTIVITY]],TAGS!B:P,2,FALSE)</f>
        <v>Yellow Corn Seeds distributed</v>
      </c>
      <c r="R117" s="47" t="s">
        <v>34</v>
      </c>
      <c r="S117" s="51" t="str">
        <f>VLOOKUP(Table3[[#This Row],[ACTIVITY]],TAGS!$B:$P,4,FALSE)</f>
        <v>Yellow Corn Production Enhancement Project</v>
      </c>
      <c r="T117" s="51" t="str">
        <f>VLOOKUP(Table3[[#This Row],[ACTIVITY]],TAGS!$B:$P,5,FALSE)</f>
        <v>Corn Seed Assistance</v>
      </c>
      <c r="U117" s="51" t="str">
        <f>VLOOKUP(Table3[[#This Row],[ACTIVITY]],TAGS!$B:$P,6,FALSE)</f>
        <v>Yellow corn seeds</v>
      </c>
      <c r="V117" s="51" t="str">
        <f>VLOOKUP(Table3[[#This Row],[ACTIVITY]],TAGS!$B:$P,7,FALSE)</f>
        <v>NO</v>
      </c>
      <c r="W117" s="51" t="str">
        <f>VLOOKUP(Table3[[#This Row],[ACTIVITY]],TAGS!$B:$P,8,FALSE)</f>
        <v>PAP</v>
      </c>
      <c r="X117" s="51" t="str">
        <f>VLOOKUP(Table3[[#This Row],[ACTIVITY]],TAGS!$B:$P,10,FALSE)</f>
        <v>PIP</v>
      </c>
      <c r="Y117" s="51" t="str">
        <f>VLOOKUP(Table3[[#This Row],[ACTIVITY]],TAGS!$B:$P,11,FALSE)</f>
        <v>PICS</v>
      </c>
      <c r="Z117" s="51" t="str">
        <f>VLOOKUP(Table3[[#This Row],[ACTIVITY]],TAGS!$B:$P,12,FALSE)</f>
        <v>Consolidation</v>
      </c>
      <c r="AA117" s="51" t="str">
        <f>VLOOKUP(Table3[[#This Row],[ACTIVITY]],TAGS!$B:$P,13,FALSE)</f>
        <v>1. Bayanihan Agri Cluster</v>
      </c>
      <c r="AB117" s="51" t="str">
        <f>VLOOKUP(Table3[[#This Row],[ACTIVITY]],TAGS!$B:$P,14,FALSE)</f>
        <v>EXPAND AND IMPROVE AVAILABLE AGRI-FISHERY AREAS FOR INCREASED PRODUCTION</v>
      </c>
      <c r="AC117" s="51" t="str">
        <f>VLOOKUP(Table3[[#This Row],[ACTIVITY]],TAGS!$B:$P,15,FALSE)</f>
        <v>Farm Inputs</v>
      </c>
      <c r="AD117" s="51" t="str">
        <f>VLOOKUP(Table3[[#This Row],[PI LEVEL 3]],'PI LEVEL'!$A:$G,7,FALSE)</f>
        <v>DA-Level Output</v>
      </c>
      <c r="AE117" s="47" t="s">
        <v>577</v>
      </c>
      <c r="AF117" s="51" t="str">
        <f>VLOOKUP(Table3[[#This Row],[ACTIVITY]],TAGS!$B:$P,3,FALSE)</f>
        <v>kilogram</v>
      </c>
      <c r="AG117" s="47" t="s">
        <v>334</v>
      </c>
      <c r="AH117" s="51" t="str">
        <f>VLOOKUP(Table3[[#This Row],[MONTH]],TAGS!$W$67:$Y$81,2,FALSE)</f>
        <v>3RD QTR</v>
      </c>
      <c r="AI117" s="51" t="str">
        <f>VLOOKUP(Table3[[#This Row],[MONTH]],TAGS!$W$67:$Y$81,3,FALSE)</f>
        <v>2ND SEMESTER</v>
      </c>
      <c r="AJ117" s="51">
        <f>VLOOKUP(Table3[[#This Row],[MONTH]],TAGS!$W$67:$Z$81,4,FALSE)</f>
        <v>2025</v>
      </c>
      <c r="AK117" s="47">
        <v>1296</v>
      </c>
      <c r="AL117" s="51" t="str">
        <f>VLOOKUP(Table3[[#This Row],[ACTIVITY]],TAGS!$B:$R,16,FALSE)</f>
        <v>YES</v>
      </c>
      <c r="AM117" s="47">
        <v>72</v>
      </c>
      <c r="AN117" s="47">
        <v>864</v>
      </c>
      <c r="AO117" s="57">
        <f>SUM(Table3[[#This Row],[MALE BENEFICIARIES]:[FEMALE BENEFICIARIES]])</f>
        <v>0</v>
      </c>
      <c r="AP117" s="58"/>
      <c r="AQ117" s="58"/>
      <c r="AR117" s="58"/>
      <c r="AS117" s="58">
        <v>1</v>
      </c>
      <c r="AT117" s="59">
        <v>72</v>
      </c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</row>
    <row r="118" spans="1:65">
      <c r="A118" s="51" t="str">
        <f>VLOOKUP(Table3[[#This Row],[OU]],OU!$A$15:$B$34,2,FALSE)</f>
        <v>RFOs</v>
      </c>
      <c r="B118" s="47" t="s">
        <v>5</v>
      </c>
      <c r="C118" s="47" t="s">
        <v>574</v>
      </c>
      <c r="D118" s="47"/>
      <c r="E118" s="47" t="s">
        <v>63</v>
      </c>
      <c r="F118" s="47" t="s">
        <v>681</v>
      </c>
      <c r="G11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11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25011000</v>
      </c>
      <c r="I118" s="52" t="str">
        <f>VLOOKUP(Table3[[#This Row],[PSGC]],DISTRICT!$D:$G,4,FALSE)</f>
        <v>4th</v>
      </c>
      <c r="J118" s="47" t="s">
        <v>578</v>
      </c>
      <c r="K118" s="51" t="str">
        <f>VLOOKUP(Table3[[#This Row],[SPECIFIC COMMODITY]],TAGS!$W$48:$X$53,2,FALSE)</f>
        <v>Corn</v>
      </c>
      <c r="L118" s="51" t="str">
        <f>VLOOKUP(Table3[[#This Row],[PREXC SUB-PROGRAM]],Table5[],2,FALSE)</f>
        <v>TECHNICAL AND SUPPORT SERVICES PROGRAM</v>
      </c>
      <c r="M118" s="51" t="str">
        <f>VLOOKUP(Table3[[#This Row],[COMMODITY PREXC SUB-PROGRAM]],TAGS!$U$54:$V$76,2,FALSE)</f>
        <v>PSS</v>
      </c>
      <c r="N118" s="47" t="s">
        <v>576</v>
      </c>
      <c r="O118" s="54" t="str">
        <f>VLOOKUP(Table3[[#This Row],[PI LEVEL 3]],'PI LEVEL'!A:C,3,FALSE)</f>
        <v>Seeds distributed</v>
      </c>
      <c r="P118" s="54" t="str">
        <f>VLOOKUP(Table3[[#This Row],[PI LEVEL 3]],Table53729[[Performance Indicator Level 3]:[Performance Indicator Level 1]],2,FALSE)</f>
        <v>Corn Seeds distributed</v>
      </c>
      <c r="Q118" s="54" t="str">
        <f>VLOOKUP(Table3[[#This Row],[ACTIVITY]],TAGS!B:P,2,FALSE)</f>
        <v>Yellow Corn Seeds distributed</v>
      </c>
      <c r="R118" s="47" t="s">
        <v>34</v>
      </c>
      <c r="S118" s="51" t="str">
        <f>VLOOKUP(Table3[[#This Row],[ACTIVITY]],TAGS!$B:$P,4,FALSE)</f>
        <v>Yellow Corn Production Enhancement Project</v>
      </c>
      <c r="T118" s="51" t="str">
        <f>VLOOKUP(Table3[[#This Row],[ACTIVITY]],TAGS!$B:$P,5,FALSE)</f>
        <v>Corn Seed Assistance</v>
      </c>
      <c r="U118" s="51" t="str">
        <f>VLOOKUP(Table3[[#This Row],[ACTIVITY]],TAGS!$B:$P,6,FALSE)</f>
        <v>Yellow corn seeds</v>
      </c>
      <c r="V118" s="51" t="str">
        <f>VLOOKUP(Table3[[#This Row],[ACTIVITY]],TAGS!$B:$P,7,FALSE)</f>
        <v>NO</v>
      </c>
      <c r="W118" s="51" t="str">
        <f>VLOOKUP(Table3[[#This Row],[ACTIVITY]],TAGS!$B:$P,8,FALSE)</f>
        <v>PAP</v>
      </c>
      <c r="X118" s="51" t="str">
        <f>VLOOKUP(Table3[[#This Row],[ACTIVITY]],TAGS!$B:$P,10,FALSE)</f>
        <v>PIP</v>
      </c>
      <c r="Y118" s="51" t="str">
        <f>VLOOKUP(Table3[[#This Row],[ACTIVITY]],TAGS!$B:$P,11,FALSE)</f>
        <v>PICS</v>
      </c>
      <c r="Z118" s="51" t="str">
        <f>VLOOKUP(Table3[[#This Row],[ACTIVITY]],TAGS!$B:$P,12,FALSE)</f>
        <v>Consolidation</v>
      </c>
      <c r="AA118" s="51" t="str">
        <f>VLOOKUP(Table3[[#This Row],[ACTIVITY]],TAGS!$B:$P,13,FALSE)</f>
        <v>1. Bayanihan Agri Cluster</v>
      </c>
      <c r="AB118" s="51" t="str">
        <f>VLOOKUP(Table3[[#This Row],[ACTIVITY]],TAGS!$B:$P,14,FALSE)</f>
        <v>EXPAND AND IMPROVE AVAILABLE AGRI-FISHERY AREAS FOR INCREASED PRODUCTION</v>
      </c>
      <c r="AC118" s="51" t="str">
        <f>VLOOKUP(Table3[[#This Row],[ACTIVITY]],TAGS!$B:$P,15,FALSE)</f>
        <v>Farm Inputs</v>
      </c>
      <c r="AD118" s="51" t="str">
        <f>VLOOKUP(Table3[[#This Row],[PI LEVEL 3]],'PI LEVEL'!$A:$G,7,FALSE)</f>
        <v>DA-Level Output</v>
      </c>
      <c r="AE118" s="47" t="s">
        <v>577</v>
      </c>
      <c r="AF118" s="51" t="str">
        <f>VLOOKUP(Table3[[#This Row],[ACTIVITY]],TAGS!$B:$P,3,FALSE)</f>
        <v>kilogram</v>
      </c>
      <c r="AG118" s="47" t="s">
        <v>334</v>
      </c>
      <c r="AH118" s="51" t="str">
        <f>VLOOKUP(Table3[[#This Row],[MONTH]],TAGS!$W$67:$Y$81,2,FALSE)</f>
        <v>3RD QTR</v>
      </c>
      <c r="AI118" s="51" t="str">
        <f>VLOOKUP(Table3[[#This Row],[MONTH]],TAGS!$W$67:$Y$81,3,FALSE)</f>
        <v>2ND SEMESTER</v>
      </c>
      <c r="AJ118" s="51">
        <f>VLOOKUP(Table3[[#This Row],[MONTH]],TAGS!$W$67:$Z$81,4,FALSE)</f>
        <v>2025</v>
      </c>
      <c r="AK118" s="47">
        <v>2196</v>
      </c>
      <c r="AL118" s="51" t="str">
        <f>VLOOKUP(Table3[[#This Row],[ACTIVITY]],TAGS!$B:$R,16,FALSE)</f>
        <v>YES</v>
      </c>
      <c r="AM118" s="47">
        <v>122</v>
      </c>
      <c r="AN118" s="47">
        <v>1464</v>
      </c>
      <c r="AO118" s="57">
        <f>SUM(Table3[[#This Row],[MALE BENEFICIARIES]:[FEMALE BENEFICIARIES]])</f>
        <v>0</v>
      </c>
      <c r="AP118" s="58"/>
      <c r="AQ118" s="58"/>
      <c r="AR118" s="58"/>
      <c r="AS118" s="58">
        <v>1</v>
      </c>
      <c r="AT118" s="59">
        <v>122</v>
      </c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  <c r="BM118" s="59"/>
    </row>
    <row r="119" spans="1:65">
      <c r="A119" s="51" t="str">
        <f>VLOOKUP(Table3[[#This Row],[OU]],OU!$A$15:$B$34,2,FALSE)</f>
        <v>RFOs</v>
      </c>
      <c r="B119" s="47" t="s">
        <v>5</v>
      </c>
      <c r="C119" s="47" t="s">
        <v>574</v>
      </c>
      <c r="D119" s="47"/>
      <c r="E119" s="47" t="s">
        <v>63</v>
      </c>
      <c r="F119" s="47" t="s">
        <v>691</v>
      </c>
      <c r="G11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11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25003000</v>
      </c>
      <c r="I119" s="52" t="str">
        <f>VLOOKUP(Table3[[#This Row],[PSGC]],DISTRICT!$D:$G,4,FALSE)</f>
        <v>2nd</v>
      </c>
      <c r="J119" s="47" t="s">
        <v>578</v>
      </c>
      <c r="K119" s="51" t="str">
        <f>VLOOKUP(Table3[[#This Row],[SPECIFIC COMMODITY]],TAGS!$W$48:$X$53,2,FALSE)</f>
        <v>Corn</v>
      </c>
      <c r="L119" s="51" t="str">
        <f>VLOOKUP(Table3[[#This Row],[PREXC SUB-PROGRAM]],Table5[],2,FALSE)</f>
        <v>TECHNICAL AND SUPPORT SERVICES PROGRAM</v>
      </c>
      <c r="M119" s="51" t="str">
        <f>VLOOKUP(Table3[[#This Row],[COMMODITY PREXC SUB-PROGRAM]],TAGS!$U$54:$V$76,2,FALSE)</f>
        <v>PSS</v>
      </c>
      <c r="N119" s="47" t="s">
        <v>576</v>
      </c>
      <c r="O119" s="54" t="str">
        <f>VLOOKUP(Table3[[#This Row],[PI LEVEL 3]],'PI LEVEL'!A:C,3,FALSE)</f>
        <v>Seeds distributed</v>
      </c>
      <c r="P119" s="54" t="str">
        <f>VLOOKUP(Table3[[#This Row],[PI LEVEL 3]],Table53729[[Performance Indicator Level 3]:[Performance Indicator Level 1]],2,FALSE)</f>
        <v>Corn Seeds distributed</v>
      </c>
      <c r="Q119" s="54" t="str">
        <f>VLOOKUP(Table3[[#This Row],[ACTIVITY]],TAGS!B:P,2,FALSE)</f>
        <v>Yellow Corn Seeds distributed</v>
      </c>
      <c r="R119" s="47" t="s">
        <v>34</v>
      </c>
      <c r="S119" s="51" t="str">
        <f>VLOOKUP(Table3[[#This Row],[ACTIVITY]],TAGS!$B:$P,4,FALSE)</f>
        <v>Yellow Corn Production Enhancement Project</v>
      </c>
      <c r="T119" s="51" t="str">
        <f>VLOOKUP(Table3[[#This Row],[ACTIVITY]],TAGS!$B:$P,5,FALSE)</f>
        <v>Corn Seed Assistance</v>
      </c>
      <c r="U119" s="51" t="str">
        <f>VLOOKUP(Table3[[#This Row],[ACTIVITY]],TAGS!$B:$P,6,FALSE)</f>
        <v>Yellow corn seeds</v>
      </c>
      <c r="V119" s="51" t="str">
        <f>VLOOKUP(Table3[[#This Row],[ACTIVITY]],TAGS!$B:$P,7,FALSE)</f>
        <v>NO</v>
      </c>
      <c r="W119" s="51" t="str">
        <f>VLOOKUP(Table3[[#This Row],[ACTIVITY]],TAGS!$B:$P,8,FALSE)</f>
        <v>PAP</v>
      </c>
      <c r="X119" s="51" t="str">
        <f>VLOOKUP(Table3[[#This Row],[ACTIVITY]],TAGS!$B:$P,10,FALSE)</f>
        <v>PIP</v>
      </c>
      <c r="Y119" s="51" t="str">
        <f>VLOOKUP(Table3[[#This Row],[ACTIVITY]],TAGS!$B:$P,11,FALSE)</f>
        <v>PICS</v>
      </c>
      <c r="Z119" s="51" t="str">
        <f>VLOOKUP(Table3[[#This Row],[ACTIVITY]],TAGS!$B:$P,12,FALSE)</f>
        <v>Consolidation</v>
      </c>
      <c r="AA119" s="51" t="str">
        <f>VLOOKUP(Table3[[#This Row],[ACTIVITY]],TAGS!$B:$P,13,FALSE)</f>
        <v>1. Bayanihan Agri Cluster</v>
      </c>
      <c r="AB119" s="51" t="str">
        <f>VLOOKUP(Table3[[#This Row],[ACTIVITY]],TAGS!$B:$P,14,FALSE)</f>
        <v>EXPAND AND IMPROVE AVAILABLE AGRI-FISHERY AREAS FOR INCREASED PRODUCTION</v>
      </c>
      <c r="AC119" s="51" t="str">
        <f>VLOOKUP(Table3[[#This Row],[ACTIVITY]],TAGS!$B:$P,15,FALSE)</f>
        <v>Farm Inputs</v>
      </c>
      <c r="AD119" s="51" t="str">
        <f>VLOOKUP(Table3[[#This Row],[PI LEVEL 3]],'PI LEVEL'!$A:$G,7,FALSE)</f>
        <v>DA-Level Output</v>
      </c>
      <c r="AE119" s="47" t="s">
        <v>577</v>
      </c>
      <c r="AF119" s="51" t="str">
        <f>VLOOKUP(Table3[[#This Row],[ACTIVITY]],TAGS!$B:$P,3,FALSE)</f>
        <v>kilogram</v>
      </c>
      <c r="AG119" s="47" t="s">
        <v>334</v>
      </c>
      <c r="AH119" s="51" t="str">
        <f>VLOOKUP(Table3[[#This Row],[MONTH]],TAGS!$W$67:$Y$81,2,FALSE)</f>
        <v>3RD QTR</v>
      </c>
      <c r="AI119" s="51" t="str">
        <f>VLOOKUP(Table3[[#This Row],[MONTH]],TAGS!$W$67:$Y$81,3,FALSE)</f>
        <v>2ND SEMESTER</v>
      </c>
      <c r="AJ119" s="51">
        <f>VLOOKUP(Table3[[#This Row],[MONTH]],TAGS!$W$67:$Z$81,4,FALSE)</f>
        <v>2025</v>
      </c>
      <c r="AK119" s="47">
        <v>3672</v>
      </c>
      <c r="AL119" s="51" t="str">
        <f>VLOOKUP(Table3[[#This Row],[ACTIVITY]],TAGS!$B:$R,16,FALSE)</f>
        <v>YES</v>
      </c>
      <c r="AM119" s="47">
        <v>204</v>
      </c>
      <c r="AN119" s="47">
        <v>2448</v>
      </c>
      <c r="AO119" s="57">
        <f>SUM(Table3[[#This Row],[MALE BENEFICIARIES]:[FEMALE BENEFICIARIES]])</f>
        <v>0</v>
      </c>
      <c r="AP119" s="58"/>
      <c r="AQ119" s="58"/>
      <c r="AR119" s="58"/>
      <c r="AS119" s="58">
        <v>1</v>
      </c>
      <c r="AT119" s="59">
        <v>204</v>
      </c>
      <c r="AU119" s="59"/>
      <c r="AV119" s="59"/>
      <c r="AW119" s="59"/>
      <c r="AX119" s="59"/>
      <c r="AY119" s="59"/>
      <c r="AZ119" s="59"/>
      <c r="BA119" s="59"/>
      <c r="BB119" s="59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  <c r="BM119" s="59"/>
    </row>
    <row r="120" spans="1:65">
      <c r="A120" s="51" t="str">
        <f>VLOOKUP(Table3[[#This Row],[OU]],OU!$A$15:$B$34,2,FALSE)</f>
        <v>RFOs</v>
      </c>
      <c r="B120" s="47" t="s">
        <v>5</v>
      </c>
      <c r="C120" s="47" t="s">
        <v>574</v>
      </c>
      <c r="D120" s="47"/>
      <c r="E120" s="47" t="s">
        <v>63</v>
      </c>
      <c r="F120" s="47" t="s">
        <v>692</v>
      </c>
      <c r="G12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12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25004000</v>
      </c>
      <c r="I120" s="52" t="str">
        <f>VLOOKUP(Table3[[#This Row],[PSGC]],DISTRICT!$D:$G,4,FALSE)</f>
        <v>1st</v>
      </c>
      <c r="J120" s="47" t="s">
        <v>578</v>
      </c>
      <c r="K120" s="51" t="str">
        <f>VLOOKUP(Table3[[#This Row],[SPECIFIC COMMODITY]],TAGS!$W$48:$X$53,2,FALSE)</f>
        <v>Corn</v>
      </c>
      <c r="L120" s="51" t="str">
        <f>VLOOKUP(Table3[[#This Row],[PREXC SUB-PROGRAM]],Table5[],2,FALSE)</f>
        <v>TECHNICAL AND SUPPORT SERVICES PROGRAM</v>
      </c>
      <c r="M120" s="51" t="str">
        <f>VLOOKUP(Table3[[#This Row],[COMMODITY PREXC SUB-PROGRAM]],TAGS!$U$54:$V$76,2,FALSE)</f>
        <v>PSS</v>
      </c>
      <c r="N120" s="47" t="s">
        <v>576</v>
      </c>
      <c r="O120" s="54" t="str">
        <f>VLOOKUP(Table3[[#This Row],[PI LEVEL 3]],'PI LEVEL'!A:C,3,FALSE)</f>
        <v>Seeds distributed</v>
      </c>
      <c r="P120" s="54" t="str">
        <f>VLOOKUP(Table3[[#This Row],[PI LEVEL 3]],Table53729[[Performance Indicator Level 3]:[Performance Indicator Level 1]],2,FALSE)</f>
        <v>Corn Seeds distributed</v>
      </c>
      <c r="Q120" s="54" t="str">
        <f>VLOOKUP(Table3[[#This Row],[ACTIVITY]],TAGS!B:P,2,FALSE)</f>
        <v>Yellow Corn Seeds distributed</v>
      </c>
      <c r="R120" s="47" t="s">
        <v>34</v>
      </c>
      <c r="S120" s="51" t="str">
        <f>VLOOKUP(Table3[[#This Row],[ACTIVITY]],TAGS!$B:$P,4,FALSE)</f>
        <v>Yellow Corn Production Enhancement Project</v>
      </c>
      <c r="T120" s="51" t="str">
        <f>VLOOKUP(Table3[[#This Row],[ACTIVITY]],TAGS!$B:$P,5,FALSE)</f>
        <v>Corn Seed Assistance</v>
      </c>
      <c r="U120" s="51" t="str">
        <f>VLOOKUP(Table3[[#This Row],[ACTIVITY]],TAGS!$B:$P,6,FALSE)</f>
        <v>Yellow corn seeds</v>
      </c>
      <c r="V120" s="51" t="str">
        <f>VLOOKUP(Table3[[#This Row],[ACTIVITY]],TAGS!$B:$P,7,FALSE)</f>
        <v>NO</v>
      </c>
      <c r="W120" s="51" t="str">
        <f>VLOOKUP(Table3[[#This Row],[ACTIVITY]],TAGS!$B:$P,8,FALSE)</f>
        <v>PAP</v>
      </c>
      <c r="X120" s="51" t="str">
        <f>VLOOKUP(Table3[[#This Row],[ACTIVITY]],TAGS!$B:$P,10,FALSE)</f>
        <v>PIP</v>
      </c>
      <c r="Y120" s="51" t="str">
        <f>VLOOKUP(Table3[[#This Row],[ACTIVITY]],TAGS!$B:$P,11,FALSE)</f>
        <v>PICS</v>
      </c>
      <c r="Z120" s="51" t="str">
        <f>VLOOKUP(Table3[[#This Row],[ACTIVITY]],TAGS!$B:$P,12,FALSE)</f>
        <v>Consolidation</v>
      </c>
      <c r="AA120" s="51" t="str">
        <f>VLOOKUP(Table3[[#This Row],[ACTIVITY]],TAGS!$B:$P,13,FALSE)</f>
        <v>1. Bayanihan Agri Cluster</v>
      </c>
      <c r="AB120" s="51" t="str">
        <f>VLOOKUP(Table3[[#This Row],[ACTIVITY]],TAGS!$B:$P,14,FALSE)</f>
        <v>EXPAND AND IMPROVE AVAILABLE AGRI-FISHERY AREAS FOR INCREASED PRODUCTION</v>
      </c>
      <c r="AC120" s="51" t="str">
        <f>VLOOKUP(Table3[[#This Row],[ACTIVITY]],TAGS!$B:$P,15,FALSE)</f>
        <v>Farm Inputs</v>
      </c>
      <c r="AD120" s="51" t="str">
        <f>VLOOKUP(Table3[[#This Row],[PI LEVEL 3]],'PI LEVEL'!$A:$G,7,FALSE)</f>
        <v>DA-Level Output</v>
      </c>
      <c r="AE120" s="47" t="s">
        <v>577</v>
      </c>
      <c r="AF120" s="51" t="str">
        <f>VLOOKUP(Table3[[#This Row],[ACTIVITY]],TAGS!$B:$P,3,FALSE)</f>
        <v>kilogram</v>
      </c>
      <c r="AG120" s="47" t="s">
        <v>334</v>
      </c>
      <c r="AH120" s="51" t="str">
        <f>VLOOKUP(Table3[[#This Row],[MONTH]],TAGS!$W$67:$Y$81,2,FALSE)</f>
        <v>3RD QTR</v>
      </c>
      <c r="AI120" s="51" t="str">
        <f>VLOOKUP(Table3[[#This Row],[MONTH]],TAGS!$W$67:$Y$81,3,FALSE)</f>
        <v>2ND SEMESTER</v>
      </c>
      <c r="AJ120" s="51">
        <f>VLOOKUP(Table3[[#This Row],[MONTH]],TAGS!$W$67:$Z$81,4,FALSE)</f>
        <v>2025</v>
      </c>
      <c r="AK120" s="47">
        <v>918</v>
      </c>
      <c r="AL120" s="51" t="str">
        <f>VLOOKUP(Table3[[#This Row],[ACTIVITY]],TAGS!$B:$R,16,FALSE)</f>
        <v>YES</v>
      </c>
      <c r="AM120" s="47">
        <v>51</v>
      </c>
      <c r="AN120" s="47">
        <v>612</v>
      </c>
      <c r="AO120" s="57">
        <f>SUM(Table3[[#This Row],[MALE BENEFICIARIES]:[FEMALE BENEFICIARIES]])</f>
        <v>0</v>
      </c>
      <c r="AP120" s="58"/>
      <c r="AQ120" s="58"/>
      <c r="AR120" s="58"/>
      <c r="AS120" s="58">
        <v>1</v>
      </c>
      <c r="AT120" s="59">
        <v>51</v>
      </c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</row>
    <row r="121" spans="1:65">
      <c r="A121" s="51" t="str">
        <f>VLOOKUP(Table3[[#This Row],[OU]],OU!$A$15:$B$34,2,FALSE)</f>
        <v>RFOs</v>
      </c>
      <c r="B121" s="47" t="s">
        <v>5</v>
      </c>
      <c r="C121" s="47" t="s">
        <v>574</v>
      </c>
      <c r="D121" s="47"/>
      <c r="E121" s="47" t="s">
        <v>63</v>
      </c>
      <c r="F121" s="47" t="s">
        <v>632</v>
      </c>
      <c r="G12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12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25007000</v>
      </c>
      <c r="I121" s="52" t="str">
        <f>VLOOKUP(Table3[[#This Row],[PSGC]],DISTRICT!$D:$G,4,FALSE)</f>
        <v>3rd</v>
      </c>
      <c r="J121" s="47" t="s">
        <v>578</v>
      </c>
      <c r="K121" s="51" t="str">
        <f>VLOOKUP(Table3[[#This Row],[SPECIFIC COMMODITY]],TAGS!$W$48:$X$53,2,FALSE)</f>
        <v>Corn</v>
      </c>
      <c r="L121" s="51" t="str">
        <f>VLOOKUP(Table3[[#This Row],[PREXC SUB-PROGRAM]],Table5[],2,FALSE)</f>
        <v>TECHNICAL AND SUPPORT SERVICES PROGRAM</v>
      </c>
      <c r="M121" s="51" t="str">
        <f>VLOOKUP(Table3[[#This Row],[COMMODITY PREXC SUB-PROGRAM]],TAGS!$U$54:$V$76,2,FALSE)</f>
        <v>PSS</v>
      </c>
      <c r="N121" s="47" t="s">
        <v>576</v>
      </c>
      <c r="O121" s="54" t="str">
        <f>VLOOKUP(Table3[[#This Row],[PI LEVEL 3]],'PI LEVEL'!A:C,3,FALSE)</f>
        <v>Seeds distributed</v>
      </c>
      <c r="P121" s="54" t="str">
        <f>VLOOKUP(Table3[[#This Row],[PI LEVEL 3]],Table53729[[Performance Indicator Level 3]:[Performance Indicator Level 1]],2,FALSE)</f>
        <v>Corn Seeds distributed</v>
      </c>
      <c r="Q121" s="54" t="str">
        <f>VLOOKUP(Table3[[#This Row],[ACTIVITY]],TAGS!B:P,2,FALSE)</f>
        <v>Yellow Corn Seeds distributed</v>
      </c>
      <c r="R121" s="47" t="s">
        <v>34</v>
      </c>
      <c r="S121" s="51" t="str">
        <f>VLOOKUP(Table3[[#This Row],[ACTIVITY]],TAGS!$B:$P,4,FALSE)</f>
        <v>Yellow Corn Production Enhancement Project</v>
      </c>
      <c r="T121" s="51" t="str">
        <f>VLOOKUP(Table3[[#This Row],[ACTIVITY]],TAGS!$B:$P,5,FALSE)</f>
        <v>Corn Seed Assistance</v>
      </c>
      <c r="U121" s="51" t="str">
        <f>VLOOKUP(Table3[[#This Row],[ACTIVITY]],TAGS!$B:$P,6,FALSE)</f>
        <v>Yellow corn seeds</v>
      </c>
      <c r="V121" s="51" t="str">
        <f>VLOOKUP(Table3[[#This Row],[ACTIVITY]],TAGS!$B:$P,7,FALSE)</f>
        <v>NO</v>
      </c>
      <c r="W121" s="51" t="str">
        <f>VLOOKUP(Table3[[#This Row],[ACTIVITY]],TAGS!$B:$P,8,FALSE)</f>
        <v>PAP</v>
      </c>
      <c r="X121" s="51" t="str">
        <f>VLOOKUP(Table3[[#This Row],[ACTIVITY]],TAGS!$B:$P,10,FALSE)</f>
        <v>PIP</v>
      </c>
      <c r="Y121" s="51" t="str">
        <f>VLOOKUP(Table3[[#This Row],[ACTIVITY]],TAGS!$B:$P,11,FALSE)</f>
        <v>PICS</v>
      </c>
      <c r="Z121" s="51" t="str">
        <f>VLOOKUP(Table3[[#This Row],[ACTIVITY]],TAGS!$B:$P,12,FALSE)</f>
        <v>Consolidation</v>
      </c>
      <c r="AA121" s="51" t="str">
        <f>VLOOKUP(Table3[[#This Row],[ACTIVITY]],TAGS!$B:$P,13,FALSE)</f>
        <v>1. Bayanihan Agri Cluster</v>
      </c>
      <c r="AB121" s="51" t="str">
        <f>VLOOKUP(Table3[[#This Row],[ACTIVITY]],TAGS!$B:$P,14,FALSE)</f>
        <v>EXPAND AND IMPROVE AVAILABLE AGRI-FISHERY AREAS FOR INCREASED PRODUCTION</v>
      </c>
      <c r="AC121" s="51" t="str">
        <f>VLOOKUP(Table3[[#This Row],[ACTIVITY]],TAGS!$B:$P,15,FALSE)</f>
        <v>Farm Inputs</v>
      </c>
      <c r="AD121" s="51" t="str">
        <f>VLOOKUP(Table3[[#This Row],[PI LEVEL 3]],'PI LEVEL'!$A:$G,7,FALSE)</f>
        <v>DA-Level Output</v>
      </c>
      <c r="AE121" s="47" t="s">
        <v>577</v>
      </c>
      <c r="AF121" s="51" t="str">
        <f>VLOOKUP(Table3[[#This Row],[ACTIVITY]],TAGS!$B:$P,3,FALSE)</f>
        <v>kilogram</v>
      </c>
      <c r="AG121" s="47" t="s">
        <v>334</v>
      </c>
      <c r="AH121" s="51" t="str">
        <f>VLOOKUP(Table3[[#This Row],[MONTH]],TAGS!$W$67:$Y$81,2,FALSE)</f>
        <v>3RD QTR</v>
      </c>
      <c r="AI121" s="51" t="str">
        <f>VLOOKUP(Table3[[#This Row],[MONTH]],TAGS!$W$67:$Y$81,3,FALSE)</f>
        <v>2ND SEMESTER</v>
      </c>
      <c r="AJ121" s="51">
        <f>VLOOKUP(Table3[[#This Row],[MONTH]],TAGS!$W$67:$Z$81,4,FALSE)</f>
        <v>2025</v>
      </c>
      <c r="AK121" s="47">
        <v>90</v>
      </c>
      <c r="AL121" s="51" t="str">
        <f>VLOOKUP(Table3[[#This Row],[ACTIVITY]],TAGS!$B:$R,16,FALSE)</f>
        <v>YES</v>
      </c>
      <c r="AM121" s="47">
        <v>5</v>
      </c>
      <c r="AN121" s="47">
        <v>60</v>
      </c>
      <c r="AO121" s="57">
        <f>SUM(Table3[[#This Row],[MALE BENEFICIARIES]:[FEMALE BENEFICIARIES]])</f>
        <v>0</v>
      </c>
      <c r="AP121" s="58"/>
      <c r="AQ121" s="58"/>
      <c r="AR121" s="58"/>
      <c r="AS121" s="58">
        <v>1</v>
      </c>
      <c r="AT121" s="59">
        <v>5</v>
      </c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</row>
    <row r="122" spans="1:65">
      <c r="A122" s="51" t="str">
        <f>VLOOKUP(Table3[[#This Row],[OU]],OU!$A$15:$B$34,2,FALSE)</f>
        <v>RFOs</v>
      </c>
      <c r="B122" s="47" t="s">
        <v>5</v>
      </c>
      <c r="C122" s="47" t="s">
        <v>574</v>
      </c>
      <c r="D122" s="47"/>
      <c r="E122" s="47" t="s">
        <v>63</v>
      </c>
      <c r="F122" s="47" t="s">
        <v>693</v>
      </c>
      <c r="G12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12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25009000</v>
      </c>
      <c r="I122" s="52" t="str">
        <f>VLOOKUP(Table3[[#This Row],[PSGC]],DISTRICT!$D:$G,4,FALSE)</f>
        <v>3rd</v>
      </c>
      <c r="J122" s="47" t="s">
        <v>578</v>
      </c>
      <c r="K122" s="51" t="str">
        <f>VLOOKUP(Table3[[#This Row],[SPECIFIC COMMODITY]],TAGS!$W$48:$X$53,2,FALSE)</f>
        <v>Corn</v>
      </c>
      <c r="L122" s="51" t="str">
        <f>VLOOKUP(Table3[[#This Row],[PREXC SUB-PROGRAM]],Table5[],2,FALSE)</f>
        <v>TECHNICAL AND SUPPORT SERVICES PROGRAM</v>
      </c>
      <c r="M122" s="51" t="str">
        <f>VLOOKUP(Table3[[#This Row],[COMMODITY PREXC SUB-PROGRAM]],TAGS!$U$54:$V$76,2,FALSE)</f>
        <v>PSS</v>
      </c>
      <c r="N122" s="47" t="s">
        <v>576</v>
      </c>
      <c r="O122" s="54" t="str">
        <f>VLOOKUP(Table3[[#This Row],[PI LEVEL 3]],'PI LEVEL'!A:C,3,FALSE)</f>
        <v>Seeds distributed</v>
      </c>
      <c r="P122" s="54" t="str">
        <f>VLOOKUP(Table3[[#This Row],[PI LEVEL 3]],Table53729[[Performance Indicator Level 3]:[Performance Indicator Level 1]],2,FALSE)</f>
        <v>Corn Seeds distributed</v>
      </c>
      <c r="Q122" s="54" t="str">
        <f>VLOOKUP(Table3[[#This Row],[ACTIVITY]],TAGS!B:P,2,FALSE)</f>
        <v>Yellow Corn Seeds distributed</v>
      </c>
      <c r="R122" s="47" t="s">
        <v>34</v>
      </c>
      <c r="S122" s="51" t="str">
        <f>VLOOKUP(Table3[[#This Row],[ACTIVITY]],TAGS!$B:$P,4,FALSE)</f>
        <v>Yellow Corn Production Enhancement Project</v>
      </c>
      <c r="T122" s="51" t="str">
        <f>VLOOKUP(Table3[[#This Row],[ACTIVITY]],TAGS!$B:$P,5,FALSE)</f>
        <v>Corn Seed Assistance</v>
      </c>
      <c r="U122" s="51" t="str">
        <f>VLOOKUP(Table3[[#This Row],[ACTIVITY]],TAGS!$B:$P,6,FALSE)</f>
        <v>Yellow corn seeds</v>
      </c>
      <c r="V122" s="51" t="str">
        <f>VLOOKUP(Table3[[#This Row],[ACTIVITY]],TAGS!$B:$P,7,FALSE)</f>
        <v>NO</v>
      </c>
      <c r="W122" s="51" t="str">
        <f>VLOOKUP(Table3[[#This Row],[ACTIVITY]],TAGS!$B:$P,8,FALSE)</f>
        <v>PAP</v>
      </c>
      <c r="X122" s="51" t="str">
        <f>VLOOKUP(Table3[[#This Row],[ACTIVITY]],TAGS!$B:$P,10,FALSE)</f>
        <v>PIP</v>
      </c>
      <c r="Y122" s="51" t="str">
        <f>VLOOKUP(Table3[[#This Row],[ACTIVITY]],TAGS!$B:$P,11,FALSE)</f>
        <v>PICS</v>
      </c>
      <c r="Z122" s="51" t="str">
        <f>VLOOKUP(Table3[[#This Row],[ACTIVITY]],TAGS!$B:$P,12,FALSE)</f>
        <v>Consolidation</v>
      </c>
      <c r="AA122" s="51" t="str">
        <f>VLOOKUP(Table3[[#This Row],[ACTIVITY]],TAGS!$B:$P,13,FALSE)</f>
        <v>1. Bayanihan Agri Cluster</v>
      </c>
      <c r="AB122" s="51" t="str">
        <f>VLOOKUP(Table3[[#This Row],[ACTIVITY]],TAGS!$B:$P,14,FALSE)</f>
        <v>EXPAND AND IMPROVE AVAILABLE AGRI-FISHERY AREAS FOR INCREASED PRODUCTION</v>
      </c>
      <c r="AC122" s="51" t="str">
        <f>VLOOKUP(Table3[[#This Row],[ACTIVITY]],TAGS!$B:$P,15,FALSE)</f>
        <v>Farm Inputs</v>
      </c>
      <c r="AD122" s="51" t="str">
        <f>VLOOKUP(Table3[[#This Row],[PI LEVEL 3]],'PI LEVEL'!$A:$G,7,FALSE)</f>
        <v>DA-Level Output</v>
      </c>
      <c r="AE122" s="47" t="s">
        <v>577</v>
      </c>
      <c r="AF122" s="51" t="str">
        <f>VLOOKUP(Table3[[#This Row],[ACTIVITY]],TAGS!$B:$P,3,FALSE)</f>
        <v>kilogram</v>
      </c>
      <c r="AG122" s="47" t="s">
        <v>334</v>
      </c>
      <c r="AH122" s="51" t="str">
        <f>VLOOKUP(Table3[[#This Row],[MONTH]],TAGS!$W$67:$Y$81,2,FALSE)</f>
        <v>3RD QTR</v>
      </c>
      <c r="AI122" s="51" t="str">
        <f>VLOOKUP(Table3[[#This Row],[MONTH]],TAGS!$W$67:$Y$81,3,FALSE)</f>
        <v>2ND SEMESTER</v>
      </c>
      <c r="AJ122" s="51">
        <f>VLOOKUP(Table3[[#This Row],[MONTH]],TAGS!$W$67:$Z$81,4,FALSE)</f>
        <v>2025</v>
      </c>
      <c r="AK122" s="47">
        <v>90</v>
      </c>
      <c r="AL122" s="51" t="str">
        <f>VLOOKUP(Table3[[#This Row],[ACTIVITY]],TAGS!$B:$R,16,FALSE)</f>
        <v>YES</v>
      </c>
      <c r="AM122" s="47">
        <v>5</v>
      </c>
      <c r="AN122" s="47">
        <v>60</v>
      </c>
      <c r="AO122" s="57">
        <f>SUM(Table3[[#This Row],[MALE BENEFICIARIES]:[FEMALE BENEFICIARIES]])</f>
        <v>0</v>
      </c>
      <c r="AP122" s="58"/>
      <c r="AQ122" s="58"/>
      <c r="AR122" s="58"/>
      <c r="AS122" s="58">
        <v>1</v>
      </c>
      <c r="AT122" s="59">
        <v>5</v>
      </c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/>
      <c r="BL122" s="59"/>
      <c r="BM122" s="59"/>
    </row>
    <row r="123" spans="1:65">
      <c r="A123" s="51" t="str">
        <f>VLOOKUP(Table3[[#This Row],[OU]],OU!$A$15:$B$34,2,FALSE)</f>
        <v>RFOs</v>
      </c>
      <c r="B123" s="47" t="s">
        <v>5</v>
      </c>
      <c r="C123" s="47" t="s">
        <v>574</v>
      </c>
      <c r="D123" s="47"/>
      <c r="E123" s="47" t="s">
        <v>63</v>
      </c>
      <c r="F123" s="47" t="s">
        <v>633</v>
      </c>
      <c r="G12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12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25010000</v>
      </c>
      <c r="I123" s="52" t="str">
        <f>VLOOKUP(Table3[[#This Row],[PSGC]],DISTRICT!$D:$G,4,FALSE)</f>
        <v>3rd</v>
      </c>
      <c r="J123" s="47" t="s">
        <v>578</v>
      </c>
      <c r="K123" s="51" t="str">
        <f>VLOOKUP(Table3[[#This Row],[SPECIFIC COMMODITY]],TAGS!$W$48:$X$53,2,FALSE)</f>
        <v>Corn</v>
      </c>
      <c r="L123" s="51" t="str">
        <f>VLOOKUP(Table3[[#This Row],[PREXC SUB-PROGRAM]],Table5[],2,FALSE)</f>
        <v>TECHNICAL AND SUPPORT SERVICES PROGRAM</v>
      </c>
      <c r="M123" s="51" t="str">
        <f>VLOOKUP(Table3[[#This Row],[COMMODITY PREXC SUB-PROGRAM]],TAGS!$U$54:$V$76,2,FALSE)</f>
        <v>PSS</v>
      </c>
      <c r="N123" s="47" t="s">
        <v>576</v>
      </c>
      <c r="O123" s="54" t="str">
        <f>VLOOKUP(Table3[[#This Row],[PI LEVEL 3]],'PI LEVEL'!A:C,3,FALSE)</f>
        <v>Seeds distributed</v>
      </c>
      <c r="P123" s="54" t="str">
        <f>VLOOKUP(Table3[[#This Row],[PI LEVEL 3]],Table53729[[Performance Indicator Level 3]:[Performance Indicator Level 1]],2,FALSE)</f>
        <v>Corn Seeds distributed</v>
      </c>
      <c r="Q123" s="54" t="str">
        <f>VLOOKUP(Table3[[#This Row],[ACTIVITY]],TAGS!B:P,2,FALSE)</f>
        <v>Yellow Corn Seeds distributed</v>
      </c>
      <c r="R123" s="47" t="s">
        <v>34</v>
      </c>
      <c r="S123" s="51" t="str">
        <f>VLOOKUP(Table3[[#This Row],[ACTIVITY]],TAGS!$B:$P,4,FALSE)</f>
        <v>Yellow Corn Production Enhancement Project</v>
      </c>
      <c r="T123" s="51" t="str">
        <f>VLOOKUP(Table3[[#This Row],[ACTIVITY]],TAGS!$B:$P,5,FALSE)</f>
        <v>Corn Seed Assistance</v>
      </c>
      <c r="U123" s="51" t="str">
        <f>VLOOKUP(Table3[[#This Row],[ACTIVITY]],TAGS!$B:$P,6,FALSE)</f>
        <v>Yellow corn seeds</v>
      </c>
      <c r="V123" s="51" t="str">
        <f>VLOOKUP(Table3[[#This Row],[ACTIVITY]],TAGS!$B:$P,7,FALSE)</f>
        <v>NO</v>
      </c>
      <c r="W123" s="51" t="str">
        <f>VLOOKUP(Table3[[#This Row],[ACTIVITY]],TAGS!$B:$P,8,FALSE)</f>
        <v>PAP</v>
      </c>
      <c r="X123" s="51" t="str">
        <f>VLOOKUP(Table3[[#This Row],[ACTIVITY]],TAGS!$B:$P,10,FALSE)</f>
        <v>PIP</v>
      </c>
      <c r="Y123" s="51" t="str">
        <f>VLOOKUP(Table3[[#This Row],[ACTIVITY]],TAGS!$B:$P,11,FALSE)</f>
        <v>PICS</v>
      </c>
      <c r="Z123" s="51" t="str">
        <f>VLOOKUP(Table3[[#This Row],[ACTIVITY]],TAGS!$B:$P,12,FALSE)</f>
        <v>Consolidation</v>
      </c>
      <c r="AA123" s="51" t="str">
        <f>VLOOKUP(Table3[[#This Row],[ACTIVITY]],TAGS!$B:$P,13,FALSE)</f>
        <v>1. Bayanihan Agri Cluster</v>
      </c>
      <c r="AB123" s="51" t="str">
        <f>VLOOKUP(Table3[[#This Row],[ACTIVITY]],TAGS!$B:$P,14,FALSE)</f>
        <v>EXPAND AND IMPROVE AVAILABLE AGRI-FISHERY AREAS FOR INCREASED PRODUCTION</v>
      </c>
      <c r="AC123" s="51" t="str">
        <f>VLOOKUP(Table3[[#This Row],[ACTIVITY]],TAGS!$B:$P,15,FALSE)</f>
        <v>Farm Inputs</v>
      </c>
      <c r="AD123" s="51" t="str">
        <f>VLOOKUP(Table3[[#This Row],[PI LEVEL 3]],'PI LEVEL'!$A:$G,7,FALSE)</f>
        <v>DA-Level Output</v>
      </c>
      <c r="AE123" s="47" t="s">
        <v>577</v>
      </c>
      <c r="AF123" s="51" t="str">
        <f>VLOOKUP(Table3[[#This Row],[ACTIVITY]],TAGS!$B:$P,3,FALSE)</f>
        <v>kilogram</v>
      </c>
      <c r="AG123" s="47" t="s">
        <v>334</v>
      </c>
      <c r="AH123" s="51" t="str">
        <f>VLOOKUP(Table3[[#This Row],[MONTH]],TAGS!$W$67:$Y$81,2,FALSE)</f>
        <v>3RD QTR</v>
      </c>
      <c r="AI123" s="51" t="str">
        <f>VLOOKUP(Table3[[#This Row],[MONTH]],TAGS!$W$67:$Y$81,3,FALSE)</f>
        <v>2ND SEMESTER</v>
      </c>
      <c r="AJ123" s="51">
        <f>VLOOKUP(Table3[[#This Row],[MONTH]],TAGS!$W$67:$Z$81,4,FALSE)</f>
        <v>2025</v>
      </c>
      <c r="AK123" s="47">
        <v>126</v>
      </c>
      <c r="AL123" s="51" t="str">
        <f>VLOOKUP(Table3[[#This Row],[ACTIVITY]],TAGS!$B:$R,16,FALSE)</f>
        <v>YES</v>
      </c>
      <c r="AM123" s="47">
        <v>7</v>
      </c>
      <c r="AN123" s="47">
        <v>84</v>
      </c>
      <c r="AO123" s="57">
        <f>SUM(Table3[[#This Row],[MALE BENEFICIARIES]:[FEMALE BENEFICIARIES]])</f>
        <v>0</v>
      </c>
      <c r="AP123" s="58"/>
      <c r="AQ123" s="58"/>
      <c r="AR123" s="58"/>
      <c r="AS123" s="58">
        <v>1</v>
      </c>
      <c r="AT123" s="59">
        <v>7</v>
      </c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/>
      <c r="BM123" s="59"/>
    </row>
    <row r="124" spans="1:65">
      <c r="A124" s="51" t="str">
        <f>VLOOKUP(Table3[[#This Row],[OU]],OU!$A$15:$B$34,2,FALSE)</f>
        <v>RFOs</v>
      </c>
      <c r="B124" s="47" t="s">
        <v>5</v>
      </c>
      <c r="C124" s="47" t="s">
        <v>574</v>
      </c>
      <c r="D124" s="47"/>
      <c r="E124" s="47" t="s">
        <v>70</v>
      </c>
      <c r="F124" s="47" t="s">
        <v>634</v>
      </c>
      <c r="G12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12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25701000</v>
      </c>
      <c r="I124" s="52" t="str">
        <f>VLOOKUP(Table3[[#This Row],[PSGC]],DISTRICT!$D:$G,4,FALSE)</f>
        <v>3rd</v>
      </c>
      <c r="J124" s="47" t="s">
        <v>578</v>
      </c>
      <c r="K124" s="51" t="str">
        <f>VLOOKUP(Table3[[#This Row],[SPECIFIC COMMODITY]],TAGS!$W$48:$X$53,2,FALSE)</f>
        <v>Corn</v>
      </c>
      <c r="L124" s="51" t="str">
        <f>VLOOKUP(Table3[[#This Row],[PREXC SUB-PROGRAM]],Table5[],2,FALSE)</f>
        <v>TECHNICAL AND SUPPORT SERVICES PROGRAM</v>
      </c>
      <c r="M124" s="51" t="str">
        <f>VLOOKUP(Table3[[#This Row],[COMMODITY PREXC SUB-PROGRAM]],TAGS!$U$54:$V$76,2,FALSE)</f>
        <v>PSS</v>
      </c>
      <c r="N124" s="47" t="s">
        <v>576</v>
      </c>
      <c r="O124" s="54" t="str">
        <f>VLOOKUP(Table3[[#This Row],[PI LEVEL 3]],'PI LEVEL'!A:C,3,FALSE)</f>
        <v>Seeds distributed</v>
      </c>
      <c r="P124" s="54" t="str">
        <f>VLOOKUP(Table3[[#This Row],[PI LEVEL 3]],Table53729[[Performance Indicator Level 3]:[Performance Indicator Level 1]],2,FALSE)</f>
        <v>Corn Seeds distributed</v>
      </c>
      <c r="Q124" s="54" t="str">
        <f>VLOOKUP(Table3[[#This Row],[ACTIVITY]],TAGS!B:P,2,FALSE)</f>
        <v>Yellow Corn Seeds distributed</v>
      </c>
      <c r="R124" s="47" t="s">
        <v>34</v>
      </c>
      <c r="S124" s="51" t="str">
        <f>VLOOKUP(Table3[[#This Row],[ACTIVITY]],TAGS!$B:$P,4,FALSE)</f>
        <v>Yellow Corn Production Enhancement Project</v>
      </c>
      <c r="T124" s="51" t="str">
        <f>VLOOKUP(Table3[[#This Row],[ACTIVITY]],TAGS!$B:$P,5,FALSE)</f>
        <v>Corn Seed Assistance</v>
      </c>
      <c r="U124" s="51" t="str">
        <f>VLOOKUP(Table3[[#This Row],[ACTIVITY]],TAGS!$B:$P,6,FALSE)</f>
        <v>Yellow corn seeds</v>
      </c>
      <c r="V124" s="51" t="str">
        <f>VLOOKUP(Table3[[#This Row],[ACTIVITY]],TAGS!$B:$P,7,FALSE)</f>
        <v>NO</v>
      </c>
      <c r="W124" s="51" t="str">
        <f>VLOOKUP(Table3[[#This Row],[ACTIVITY]],TAGS!$B:$P,8,FALSE)</f>
        <v>PAP</v>
      </c>
      <c r="X124" s="51" t="str">
        <f>VLOOKUP(Table3[[#This Row],[ACTIVITY]],TAGS!$B:$P,10,FALSE)</f>
        <v>PIP</v>
      </c>
      <c r="Y124" s="51" t="str">
        <f>VLOOKUP(Table3[[#This Row],[ACTIVITY]],TAGS!$B:$P,11,FALSE)</f>
        <v>PICS</v>
      </c>
      <c r="Z124" s="51" t="str">
        <f>VLOOKUP(Table3[[#This Row],[ACTIVITY]],TAGS!$B:$P,12,FALSE)</f>
        <v>Consolidation</v>
      </c>
      <c r="AA124" s="51" t="str">
        <f>VLOOKUP(Table3[[#This Row],[ACTIVITY]],TAGS!$B:$P,13,FALSE)</f>
        <v>1. Bayanihan Agri Cluster</v>
      </c>
      <c r="AB124" s="51" t="str">
        <f>VLOOKUP(Table3[[#This Row],[ACTIVITY]],TAGS!$B:$P,14,FALSE)</f>
        <v>EXPAND AND IMPROVE AVAILABLE AGRI-FISHERY AREAS FOR INCREASED PRODUCTION</v>
      </c>
      <c r="AC124" s="51" t="str">
        <f>VLOOKUP(Table3[[#This Row],[ACTIVITY]],TAGS!$B:$P,15,FALSE)</f>
        <v>Farm Inputs</v>
      </c>
      <c r="AD124" s="51" t="str">
        <f>VLOOKUP(Table3[[#This Row],[PI LEVEL 3]],'PI LEVEL'!$A:$G,7,FALSE)</f>
        <v>DA-Level Output</v>
      </c>
      <c r="AE124" s="47" t="s">
        <v>577</v>
      </c>
      <c r="AF124" s="51" t="str">
        <f>VLOOKUP(Table3[[#This Row],[ACTIVITY]],TAGS!$B:$P,3,FALSE)</f>
        <v>kilogram</v>
      </c>
      <c r="AG124" s="47" t="s">
        <v>334</v>
      </c>
      <c r="AH124" s="51" t="str">
        <f>VLOOKUP(Table3[[#This Row],[MONTH]],TAGS!$W$67:$Y$81,2,FALSE)</f>
        <v>3RD QTR</v>
      </c>
      <c r="AI124" s="51" t="str">
        <f>VLOOKUP(Table3[[#This Row],[MONTH]],TAGS!$W$67:$Y$81,3,FALSE)</f>
        <v>2ND SEMESTER</v>
      </c>
      <c r="AJ124" s="51">
        <f>VLOOKUP(Table3[[#This Row],[MONTH]],TAGS!$W$67:$Z$81,4,FALSE)</f>
        <v>2025</v>
      </c>
      <c r="AK124" s="47">
        <v>4338</v>
      </c>
      <c r="AL124" s="51" t="str">
        <f>VLOOKUP(Table3[[#This Row],[ACTIVITY]],TAGS!$B:$R,16,FALSE)</f>
        <v>YES</v>
      </c>
      <c r="AM124" s="47">
        <v>241</v>
      </c>
      <c r="AN124" s="47">
        <v>2892</v>
      </c>
      <c r="AO124" s="57">
        <f>SUM(Table3[[#This Row],[MALE BENEFICIARIES]:[FEMALE BENEFICIARIES]])</f>
        <v>0</v>
      </c>
      <c r="AP124" s="58"/>
      <c r="AQ124" s="58"/>
      <c r="AR124" s="58"/>
      <c r="AS124" s="58">
        <v>1</v>
      </c>
      <c r="AT124" s="59">
        <v>241</v>
      </c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</row>
    <row r="125" spans="1:65">
      <c r="A125" s="51" t="str">
        <f>VLOOKUP(Table3[[#This Row],[OU]],OU!$A$15:$B$34,2,FALSE)</f>
        <v>RFOs</v>
      </c>
      <c r="B125" s="47" t="s">
        <v>5</v>
      </c>
      <c r="C125" s="47" t="s">
        <v>574</v>
      </c>
      <c r="D125" s="47"/>
      <c r="E125" s="47" t="s">
        <v>70</v>
      </c>
      <c r="F125" s="47" t="s">
        <v>635</v>
      </c>
      <c r="G12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12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25702000</v>
      </c>
      <c r="I125" s="52" t="str">
        <f>VLOOKUP(Table3[[#This Row],[PSGC]],DISTRICT!$D:$G,4,FALSE)</f>
        <v>3rd</v>
      </c>
      <c r="J125" s="47" t="s">
        <v>578</v>
      </c>
      <c r="K125" s="51" t="str">
        <f>VLOOKUP(Table3[[#This Row],[SPECIFIC COMMODITY]],TAGS!$W$48:$X$53,2,FALSE)</f>
        <v>Corn</v>
      </c>
      <c r="L125" s="51" t="str">
        <f>VLOOKUP(Table3[[#This Row],[PREXC SUB-PROGRAM]],Table5[],2,FALSE)</f>
        <v>TECHNICAL AND SUPPORT SERVICES PROGRAM</v>
      </c>
      <c r="M125" s="51" t="str">
        <f>VLOOKUP(Table3[[#This Row],[COMMODITY PREXC SUB-PROGRAM]],TAGS!$U$54:$V$76,2,FALSE)</f>
        <v>PSS</v>
      </c>
      <c r="N125" s="47" t="s">
        <v>576</v>
      </c>
      <c r="O125" s="54" t="str">
        <f>VLOOKUP(Table3[[#This Row],[PI LEVEL 3]],'PI LEVEL'!A:C,3,FALSE)</f>
        <v>Seeds distributed</v>
      </c>
      <c r="P125" s="54" t="str">
        <f>VLOOKUP(Table3[[#This Row],[PI LEVEL 3]],Table53729[[Performance Indicator Level 3]:[Performance Indicator Level 1]],2,FALSE)</f>
        <v>Corn Seeds distributed</v>
      </c>
      <c r="Q125" s="54" t="str">
        <f>VLOOKUP(Table3[[#This Row],[ACTIVITY]],TAGS!B:P,2,FALSE)</f>
        <v>Yellow Corn Seeds distributed</v>
      </c>
      <c r="R125" s="47" t="s">
        <v>34</v>
      </c>
      <c r="S125" s="51" t="str">
        <f>VLOOKUP(Table3[[#This Row],[ACTIVITY]],TAGS!$B:$P,4,FALSE)</f>
        <v>Yellow Corn Production Enhancement Project</v>
      </c>
      <c r="T125" s="51" t="str">
        <f>VLOOKUP(Table3[[#This Row],[ACTIVITY]],TAGS!$B:$P,5,FALSE)</f>
        <v>Corn Seed Assistance</v>
      </c>
      <c r="U125" s="51" t="str">
        <f>VLOOKUP(Table3[[#This Row],[ACTIVITY]],TAGS!$B:$P,6,FALSE)</f>
        <v>Yellow corn seeds</v>
      </c>
      <c r="V125" s="51" t="str">
        <f>VLOOKUP(Table3[[#This Row],[ACTIVITY]],TAGS!$B:$P,7,FALSE)</f>
        <v>NO</v>
      </c>
      <c r="W125" s="51" t="str">
        <f>VLOOKUP(Table3[[#This Row],[ACTIVITY]],TAGS!$B:$P,8,FALSE)</f>
        <v>PAP</v>
      </c>
      <c r="X125" s="51" t="str">
        <f>VLOOKUP(Table3[[#This Row],[ACTIVITY]],TAGS!$B:$P,10,FALSE)</f>
        <v>PIP</v>
      </c>
      <c r="Y125" s="51" t="str">
        <f>VLOOKUP(Table3[[#This Row],[ACTIVITY]],TAGS!$B:$P,11,FALSE)</f>
        <v>PICS</v>
      </c>
      <c r="Z125" s="51" t="str">
        <f>VLOOKUP(Table3[[#This Row],[ACTIVITY]],TAGS!$B:$P,12,FALSE)</f>
        <v>Consolidation</v>
      </c>
      <c r="AA125" s="51" t="str">
        <f>VLOOKUP(Table3[[#This Row],[ACTIVITY]],TAGS!$B:$P,13,FALSE)</f>
        <v>1. Bayanihan Agri Cluster</v>
      </c>
      <c r="AB125" s="51" t="str">
        <f>VLOOKUP(Table3[[#This Row],[ACTIVITY]],TAGS!$B:$P,14,FALSE)</f>
        <v>EXPAND AND IMPROVE AVAILABLE AGRI-FISHERY AREAS FOR INCREASED PRODUCTION</v>
      </c>
      <c r="AC125" s="51" t="str">
        <f>VLOOKUP(Table3[[#This Row],[ACTIVITY]],TAGS!$B:$P,15,FALSE)</f>
        <v>Farm Inputs</v>
      </c>
      <c r="AD125" s="51" t="str">
        <f>VLOOKUP(Table3[[#This Row],[PI LEVEL 3]],'PI LEVEL'!$A:$G,7,FALSE)</f>
        <v>DA-Level Output</v>
      </c>
      <c r="AE125" s="47" t="s">
        <v>577</v>
      </c>
      <c r="AF125" s="51" t="str">
        <f>VLOOKUP(Table3[[#This Row],[ACTIVITY]],TAGS!$B:$P,3,FALSE)</f>
        <v>kilogram</v>
      </c>
      <c r="AG125" s="47" t="s">
        <v>334</v>
      </c>
      <c r="AH125" s="51" t="str">
        <f>VLOOKUP(Table3[[#This Row],[MONTH]],TAGS!$W$67:$Y$81,2,FALSE)</f>
        <v>3RD QTR</v>
      </c>
      <c r="AI125" s="51" t="str">
        <f>VLOOKUP(Table3[[#This Row],[MONTH]],TAGS!$W$67:$Y$81,3,FALSE)</f>
        <v>2ND SEMESTER</v>
      </c>
      <c r="AJ125" s="51">
        <f>VLOOKUP(Table3[[#This Row],[MONTH]],TAGS!$W$67:$Z$81,4,FALSE)</f>
        <v>2025</v>
      </c>
      <c r="AK125" s="47">
        <v>3528</v>
      </c>
      <c r="AL125" s="51" t="str">
        <f>VLOOKUP(Table3[[#This Row],[ACTIVITY]],TAGS!$B:$R,16,FALSE)</f>
        <v>YES</v>
      </c>
      <c r="AM125" s="47">
        <v>196</v>
      </c>
      <c r="AN125" s="47">
        <v>2352</v>
      </c>
      <c r="AO125" s="57">
        <f>SUM(Table3[[#This Row],[MALE BENEFICIARIES]:[FEMALE BENEFICIARIES]])</f>
        <v>0</v>
      </c>
      <c r="AP125" s="58"/>
      <c r="AQ125" s="58"/>
      <c r="AR125" s="58"/>
      <c r="AS125" s="58">
        <v>1</v>
      </c>
      <c r="AT125" s="59">
        <v>196</v>
      </c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</row>
    <row r="126" spans="1:65">
      <c r="A126" s="51" t="str">
        <f>VLOOKUP(Table3[[#This Row],[OU]],OU!$A$15:$B$34,2,FALSE)</f>
        <v>RFOs</v>
      </c>
      <c r="B126" s="47" t="s">
        <v>5</v>
      </c>
      <c r="C126" s="47" t="s">
        <v>574</v>
      </c>
      <c r="D126" s="47"/>
      <c r="E126" s="47" t="s">
        <v>70</v>
      </c>
      <c r="F126" s="47" t="s">
        <v>626</v>
      </c>
      <c r="G12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12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25703000</v>
      </c>
      <c r="I126" s="52" t="str">
        <f>VLOOKUP(Table3[[#This Row],[PSGC]],DISTRICT!$D:$G,4,FALSE)</f>
        <v>2nd</v>
      </c>
      <c r="J126" s="47" t="s">
        <v>578</v>
      </c>
      <c r="K126" s="51" t="str">
        <f>VLOOKUP(Table3[[#This Row],[SPECIFIC COMMODITY]],TAGS!$W$48:$X$53,2,FALSE)</f>
        <v>Corn</v>
      </c>
      <c r="L126" s="51" t="str">
        <f>VLOOKUP(Table3[[#This Row],[PREXC SUB-PROGRAM]],Table5[],2,FALSE)</f>
        <v>TECHNICAL AND SUPPORT SERVICES PROGRAM</v>
      </c>
      <c r="M126" s="51" t="str">
        <f>VLOOKUP(Table3[[#This Row],[COMMODITY PREXC SUB-PROGRAM]],TAGS!$U$54:$V$76,2,FALSE)</f>
        <v>PSS</v>
      </c>
      <c r="N126" s="47" t="s">
        <v>576</v>
      </c>
      <c r="O126" s="54" t="str">
        <f>VLOOKUP(Table3[[#This Row],[PI LEVEL 3]],'PI LEVEL'!A:C,3,FALSE)</f>
        <v>Seeds distributed</v>
      </c>
      <c r="P126" s="54" t="str">
        <f>VLOOKUP(Table3[[#This Row],[PI LEVEL 3]],Table53729[[Performance Indicator Level 3]:[Performance Indicator Level 1]],2,FALSE)</f>
        <v>Corn Seeds distributed</v>
      </c>
      <c r="Q126" s="54" t="str">
        <f>VLOOKUP(Table3[[#This Row],[ACTIVITY]],TAGS!B:P,2,FALSE)</f>
        <v>Yellow Corn Seeds distributed</v>
      </c>
      <c r="R126" s="47" t="s">
        <v>34</v>
      </c>
      <c r="S126" s="51" t="str">
        <f>VLOOKUP(Table3[[#This Row],[ACTIVITY]],TAGS!$B:$P,4,FALSE)</f>
        <v>Yellow Corn Production Enhancement Project</v>
      </c>
      <c r="T126" s="51" t="str">
        <f>VLOOKUP(Table3[[#This Row],[ACTIVITY]],TAGS!$B:$P,5,FALSE)</f>
        <v>Corn Seed Assistance</v>
      </c>
      <c r="U126" s="51" t="str">
        <f>VLOOKUP(Table3[[#This Row],[ACTIVITY]],TAGS!$B:$P,6,FALSE)</f>
        <v>Yellow corn seeds</v>
      </c>
      <c r="V126" s="51" t="str">
        <f>VLOOKUP(Table3[[#This Row],[ACTIVITY]],TAGS!$B:$P,7,FALSE)</f>
        <v>NO</v>
      </c>
      <c r="W126" s="51" t="str">
        <f>VLOOKUP(Table3[[#This Row],[ACTIVITY]],TAGS!$B:$P,8,FALSE)</f>
        <v>PAP</v>
      </c>
      <c r="X126" s="51" t="str">
        <f>VLOOKUP(Table3[[#This Row],[ACTIVITY]],TAGS!$B:$P,10,FALSE)</f>
        <v>PIP</v>
      </c>
      <c r="Y126" s="51" t="str">
        <f>VLOOKUP(Table3[[#This Row],[ACTIVITY]],TAGS!$B:$P,11,FALSE)</f>
        <v>PICS</v>
      </c>
      <c r="Z126" s="51" t="str">
        <f>VLOOKUP(Table3[[#This Row],[ACTIVITY]],TAGS!$B:$P,12,FALSE)</f>
        <v>Consolidation</v>
      </c>
      <c r="AA126" s="51" t="str">
        <f>VLOOKUP(Table3[[#This Row],[ACTIVITY]],TAGS!$B:$P,13,FALSE)</f>
        <v>1. Bayanihan Agri Cluster</v>
      </c>
      <c r="AB126" s="51" t="str">
        <f>VLOOKUP(Table3[[#This Row],[ACTIVITY]],TAGS!$B:$P,14,FALSE)</f>
        <v>EXPAND AND IMPROVE AVAILABLE AGRI-FISHERY AREAS FOR INCREASED PRODUCTION</v>
      </c>
      <c r="AC126" s="51" t="str">
        <f>VLOOKUP(Table3[[#This Row],[ACTIVITY]],TAGS!$B:$P,15,FALSE)</f>
        <v>Farm Inputs</v>
      </c>
      <c r="AD126" s="51" t="str">
        <f>VLOOKUP(Table3[[#This Row],[PI LEVEL 3]],'PI LEVEL'!$A:$G,7,FALSE)</f>
        <v>DA-Level Output</v>
      </c>
      <c r="AE126" s="47" t="s">
        <v>577</v>
      </c>
      <c r="AF126" s="51" t="str">
        <f>VLOOKUP(Table3[[#This Row],[ACTIVITY]],TAGS!$B:$P,3,FALSE)</f>
        <v>kilogram</v>
      </c>
      <c r="AG126" s="47" t="s">
        <v>334</v>
      </c>
      <c r="AH126" s="51" t="str">
        <f>VLOOKUP(Table3[[#This Row],[MONTH]],TAGS!$W$67:$Y$81,2,FALSE)</f>
        <v>3RD QTR</v>
      </c>
      <c r="AI126" s="51" t="str">
        <f>VLOOKUP(Table3[[#This Row],[MONTH]],TAGS!$W$67:$Y$81,3,FALSE)</f>
        <v>2ND SEMESTER</v>
      </c>
      <c r="AJ126" s="51">
        <f>VLOOKUP(Table3[[#This Row],[MONTH]],TAGS!$W$67:$Z$81,4,FALSE)</f>
        <v>2025</v>
      </c>
      <c r="AK126" s="47">
        <v>9324</v>
      </c>
      <c r="AL126" s="51" t="str">
        <f>VLOOKUP(Table3[[#This Row],[ACTIVITY]],TAGS!$B:$R,16,FALSE)</f>
        <v>YES</v>
      </c>
      <c r="AM126" s="47">
        <v>518</v>
      </c>
      <c r="AN126" s="47">
        <v>6216</v>
      </c>
      <c r="AO126" s="57">
        <f>SUM(Table3[[#This Row],[MALE BENEFICIARIES]:[FEMALE BENEFICIARIES]])</f>
        <v>0</v>
      </c>
      <c r="AP126" s="58"/>
      <c r="AQ126" s="58"/>
      <c r="AR126" s="58"/>
      <c r="AS126" s="58">
        <v>1</v>
      </c>
      <c r="AT126" s="59">
        <v>518</v>
      </c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</row>
    <row r="127" spans="1:65">
      <c r="A127" s="51" t="str">
        <f>VLOOKUP(Table3[[#This Row],[OU]],OU!$A$15:$B$34,2,FALSE)</f>
        <v>RFOs</v>
      </c>
      <c r="B127" s="47" t="s">
        <v>5</v>
      </c>
      <c r="C127" s="47" t="s">
        <v>574</v>
      </c>
      <c r="D127" s="47"/>
      <c r="E127" s="47" t="s">
        <v>70</v>
      </c>
      <c r="F127" s="47" t="s">
        <v>636</v>
      </c>
      <c r="G12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12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25704000</v>
      </c>
      <c r="I127" s="52" t="str">
        <f>VLOOKUP(Table3[[#This Row],[PSGC]],DISTRICT!$D:$G,4,FALSE)</f>
        <v>1st</v>
      </c>
      <c r="J127" s="47" t="s">
        <v>578</v>
      </c>
      <c r="K127" s="51" t="str">
        <f>VLOOKUP(Table3[[#This Row],[SPECIFIC COMMODITY]],TAGS!$W$48:$X$53,2,FALSE)</f>
        <v>Corn</v>
      </c>
      <c r="L127" s="51" t="str">
        <f>VLOOKUP(Table3[[#This Row],[PREXC SUB-PROGRAM]],Table5[],2,FALSE)</f>
        <v>TECHNICAL AND SUPPORT SERVICES PROGRAM</v>
      </c>
      <c r="M127" s="51" t="str">
        <f>VLOOKUP(Table3[[#This Row],[COMMODITY PREXC SUB-PROGRAM]],TAGS!$U$54:$V$76,2,FALSE)</f>
        <v>PSS</v>
      </c>
      <c r="N127" s="47" t="s">
        <v>576</v>
      </c>
      <c r="O127" s="54" t="str">
        <f>VLOOKUP(Table3[[#This Row],[PI LEVEL 3]],'PI LEVEL'!A:C,3,FALSE)</f>
        <v>Seeds distributed</v>
      </c>
      <c r="P127" s="54" t="str">
        <f>VLOOKUP(Table3[[#This Row],[PI LEVEL 3]],Table53729[[Performance Indicator Level 3]:[Performance Indicator Level 1]],2,FALSE)</f>
        <v>Corn Seeds distributed</v>
      </c>
      <c r="Q127" s="54" t="str">
        <f>VLOOKUP(Table3[[#This Row],[ACTIVITY]],TAGS!B:P,2,FALSE)</f>
        <v>Yellow Corn Seeds distributed</v>
      </c>
      <c r="R127" s="47" t="s">
        <v>34</v>
      </c>
      <c r="S127" s="51" t="str">
        <f>VLOOKUP(Table3[[#This Row],[ACTIVITY]],TAGS!$B:$P,4,FALSE)</f>
        <v>Yellow Corn Production Enhancement Project</v>
      </c>
      <c r="T127" s="51" t="str">
        <f>VLOOKUP(Table3[[#This Row],[ACTIVITY]],TAGS!$B:$P,5,FALSE)</f>
        <v>Corn Seed Assistance</v>
      </c>
      <c r="U127" s="51" t="str">
        <f>VLOOKUP(Table3[[#This Row],[ACTIVITY]],TAGS!$B:$P,6,FALSE)</f>
        <v>Yellow corn seeds</v>
      </c>
      <c r="V127" s="51" t="str">
        <f>VLOOKUP(Table3[[#This Row],[ACTIVITY]],TAGS!$B:$P,7,FALSE)</f>
        <v>NO</v>
      </c>
      <c r="W127" s="51" t="str">
        <f>VLOOKUP(Table3[[#This Row],[ACTIVITY]],TAGS!$B:$P,8,FALSE)</f>
        <v>PAP</v>
      </c>
      <c r="X127" s="51" t="str">
        <f>VLOOKUP(Table3[[#This Row],[ACTIVITY]],TAGS!$B:$P,10,FALSE)</f>
        <v>PIP</v>
      </c>
      <c r="Y127" s="51" t="str">
        <f>VLOOKUP(Table3[[#This Row],[ACTIVITY]],TAGS!$B:$P,11,FALSE)</f>
        <v>PICS</v>
      </c>
      <c r="Z127" s="51" t="str">
        <f>VLOOKUP(Table3[[#This Row],[ACTIVITY]],TAGS!$B:$P,12,FALSE)</f>
        <v>Consolidation</v>
      </c>
      <c r="AA127" s="51" t="str">
        <f>VLOOKUP(Table3[[#This Row],[ACTIVITY]],TAGS!$B:$P,13,FALSE)</f>
        <v>1. Bayanihan Agri Cluster</v>
      </c>
      <c r="AB127" s="51" t="str">
        <f>VLOOKUP(Table3[[#This Row],[ACTIVITY]],TAGS!$B:$P,14,FALSE)</f>
        <v>EXPAND AND IMPROVE AVAILABLE AGRI-FISHERY AREAS FOR INCREASED PRODUCTION</v>
      </c>
      <c r="AC127" s="51" t="str">
        <f>VLOOKUP(Table3[[#This Row],[ACTIVITY]],TAGS!$B:$P,15,FALSE)</f>
        <v>Farm Inputs</v>
      </c>
      <c r="AD127" s="51" t="str">
        <f>VLOOKUP(Table3[[#This Row],[PI LEVEL 3]],'PI LEVEL'!$A:$G,7,FALSE)</f>
        <v>DA-Level Output</v>
      </c>
      <c r="AE127" s="47" t="s">
        <v>577</v>
      </c>
      <c r="AF127" s="51" t="str">
        <f>VLOOKUP(Table3[[#This Row],[ACTIVITY]],TAGS!$B:$P,3,FALSE)</f>
        <v>kilogram</v>
      </c>
      <c r="AG127" s="47" t="s">
        <v>334</v>
      </c>
      <c r="AH127" s="51" t="str">
        <f>VLOOKUP(Table3[[#This Row],[MONTH]],TAGS!$W$67:$Y$81,2,FALSE)</f>
        <v>3RD QTR</v>
      </c>
      <c r="AI127" s="51" t="str">
        <f>VLOOKUP(Table3[[#This Row],[MONTH]],TAGS!$W$67:$Y$81,3,FALSE)</f>
        <v>2ND SEMESTER</v>
      </c>
      <c r="AJ127" s="51">
        <f>VLOOKUP(Table3[[#This Row],[MONTH]],TAGS!$W$67:$Z$81,4,FALSE)</f>
        <v>2025</v>
      </c>
      <c r="AK127" s="47">
        <v>12798</v>
      </c>
      <c r="AL127" s="51" t="str">
        <f>VLOOKUP(Table3[[#This Row],[ACTIVITY]],TAGS!$B:$R,16,FALSE)</f>
        <v>YES</v>
      </c>
      <c r="AM127" s="47">
        <v>711</v>
      </c>
      <c r="AN127" s="47">
        <v>8532</v>
      </c>
      <c r="AO127" s="57">
        <f>SUM(Table3[[#This Row],[MALE BENEFICIARIES]:[FEMALE BENEFICIARIES]])</f>
        <v>0</v>
      </c>
      <c r="AP127" s="58"/>
      <c r="AQ127" s="58"/>
      <c r="AR127" s="58"/>
      <c r="AS127" s="58">
        <v>1</v>
      </c>
      <c r="AT127" s="59">
        <v>711</v>
      </c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</row>
    <row r="128" spans="1:65">
      <c r="A128" s="51" t="str">
        <f>VLOOKUP(Table3[[#This Row],[OU]],OU!$A$15:$B$34,2,FALSE)</f>
        <v>RFOs</v>
      </c>
      <c r="B128" s="47" t="s">
        <v>5</v>
      </c>
      <c r="C128" s="47" t="s">
        <v>574</v>
      </c>
      <c r="D128" s="47"/>
      <c r="E128" s="47" t="s">
        <v>70</v>
      </c>
      <c r="F128" s="47" t="s">
        <v>694</v>
      </c>
      <c r="G12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12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25706000</v>
      </c>
      <c r="I128" s="52" t="str">
        <f>VLOOKUP(Table3[[#This Row],[PSGC]],DISTRICT!$D:$G,4,FALSE)</f>
        <v>1st</v>
      </c>
      <c r="J128" s="47" t="s">
        <v>578</v>
      </c>
      <c r="K128" s="51" t="str">
        <f>VLOOKUP(Table3[[#This Row],[SPECIFIC COMMODITY]],TAGS!$W$48:$X$53,2,FALSE)</f>
        <v>Corn</v>
      </c>
      <c r="L128" s="51" t="str">
        <f>VLOOKUP(Table3[[#This Row],[PREXC SUB-PROGRAM]],Table5[],2,FALSE)</f>
        <v>TECHNICAL AND SUPPORT SERVICES PROGRAM</v>
      </c>
      <c r="M128" s="51" t="str">
        <f>VLOOKUP(Table3[[#This Row],[COMMODITY PREXC SUB-PROGRAM]],TAGS!$U$54:$V$76,2,FALSE)</f>
        <v>PSS</v>
      </c>
      <c r="N128" s="47" t="s">
        <v>576</v>
      </c>
      <c r="O128" s="54" t="str">
        <f>VLOOKUP(Table3[[#This Row],[PI LEVEL 3]],'PI LEVEL'!A:C,3,FALSE)</f>
        <v>Seeds distributed</v>
      </c>
      <c r="P128" s="54" t="str">
        <f>VLOOKUP(Table3[[#This Row],[PI LEVEL 3]],Table53729[[Performance Indicator Level 3]:[Performance Indicator Level 1]],2,FALSE)</f>
        <v>Corn Seeds distributed</v>
      </c>
      <c r="Q128" s="54" t="str">
        <f>VLOOKUP(Table3[[#This Row],[ACTIVITY]],TAGS!B:P,2,FALSE)</f>
        <v>Yellow Corn Seeds distributed</v>
      </c>
      <c r="R128" s="47" t="s">
        <v>34</v>
      </c>
      <c r="S128" s="51" t="str">
        <f>VLOOKUP(Table3[[#This Row],[ACTIVITY]],TAGS!$B:$P,4,FALSE)</f>
        <v>Yellow Corn Production Enhancement Project</v>
      </c>
      <c r="T128" s="51" t="str">
        <f>VLOOKUP(Table3[[#This Row],[ACTIVITY]],TAGS!$B:$P,5,FALSE)</f>
        <v>Corn Seed Assistance</v>
      </c>
      <c r="U128" s="51" t="str">
        <f>VLOOKUP(Table3[[#This Row],[ACTIVITY]],TAGS!$B:$P,6,FALSE)</f>
        <v>Yellow corn seeds</v>
      </c>
      <c r="V128" s="51" t="str">
        <f>VLOOKUP(Table3[[#This Row],[ACTIVITY]],TAGS!$B:$P,7,FALSE)</f>
        <v>NO</v>
      </c>
      <c r="W128" s="51" t="str">
        <f>VLOOKUP(Table3[[#This Row],[ACTIVITY]],TAGS!$B:$P,8,FALSE)</f>
        <v>PAP</v>
      </c>
      <c r="X128" s="51" t="str">
        <f>VLOOKUP(Table3[[#This Row],[ACTIVITY]],TAGS!$B:$P,10,FALSE)</f>
        <v>PIP</v>
      </c>
      <c r="Y128" s="51" t="str">
        <f>VLOOKUP(Table3[[#This Row],[ACTIVITY]],TAGS!$B:$P,11,FALSE)</f>
        <v>PICS</v>
      </c>
      <c r="Z128" s="51" t="str">
        <f>VLOOKUP(Table3[[#This Row],[ACTIVITY]],TAGS!$B:$P,12,FALSE)</f>
        <v>Consolidation</v>
      </c>
      <c r="AA128" s="51" t="str">
        <f>VLOOKUP(Table3[[#This Row],[ACTIVITY]],TAGS!$B:$P,13,FALSE)</f>
        <v>1. Bayanihan Agri Cluster</v>
      </c>
      <c r="AB128" s="51" t="str">
        <f>VLOOKUP(Table3[[#This Row],[ACTIVITY]],TAGS!$B:$P,14,FALSE)</f>
        <v>EXPAND AND IMPROVE AVAILABLE AGRI-FISHERY AREAS FOR INCREASED PRODUCTION</v>
      </c>
      <c r="AC128" s="51" t="str">
        <f>VLOOKUP(Table3[[#This Row],[ACTIVITY]],TAGS!$B:$P,15,FALSE)</f>
        <v>Farm Inputs</v>
      </c>
      <c r="AD128" s="51" t="str">
        <f>VLOOKUP(Table3[[#This Row],[PI LEVEL 3]],'PI LEVEL'!$A:$G,7,FALSE)</f>
        <v>DA-Level Output</v>
      </c>
      <c r="AE128" s="47" t="s">
        <v>577</v>
      </c>
      <c r="AF128" s="51" t="str">
        <f>VLOOKUP(Table3[[#This Row],[ACTIVITY]],TAGS!$B:$P,3,FALSE)</f>
        <v>kilogram</v>
      </c>
      <c r="AG128" s="47" t="s">
        <v>334</v>
      </c>
      <c r="AH128" s="51" t="str">
        <f>VLOOKUP(Table3[[#This Row],[MONTH]],TAGS!$W$67:$Y$81,2,FALSE)</f>
        <v>3RD QTR</v>
      </c>
      <c r="AI128" s="51" t="str">
        <f>VLOOKUP(Table3[[#This Row],[MONTH]],TAGS!$W$67:$Y$81,3,FALSE)</f>
        <v>2ND SEMESTER</v>
      </c>
      <c r="AJ128" s="51">
        <f>VLOOKUP(Table3[[#This Row],[MONTH]],TAGS!$W$67:$Z$81,4,FALSE)</f>
        <v>2025</v>
      </c>
      <c r="AK128" s="47">
        <v>12942</v>
      </c>
      <c r="AL128" s="51" t="str">
        <f>VLOOKUP(Table3[[#This Row],[ACTIVITY]],TAGS!$B:$R,16,FALSE)</f>
        <v>YES</v>
      </c>
      <c r="AM128" s="47">
        <v>719</v>
      </c>
      <c r="AN128" s="47">
        <v>8628</v>
      </c>
      <c r="AO128" s="57">
        <f>SUM(Table3[[#This Row],[MALE BENEFICIARIES]:[FEMALE BENEFICIARIES]])</f>
        <v>0</v>
      </c>
      <c r="AP128" s="58"/>
      <c r="AQ128" s="58"/>
      <c r="AR128" s="58"/>
      <c r="AS128" s="58">
        <v>1</v>
      </c>
      <c r="AT128" s="59">
        <v>719</v>
      </c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</row>
    <row r="129" spans="1:65">
      <c r="A129" s="51" t="str">
        <f>VLOOKUP(Table3[[#This Row],[OU]],OU!$A$15:$B$34,2,FALSE)</f>
        <v>RFOs</v>
      </c>
      <c r="B129" s="47" t="s">
        <v>5</v>
      </c>
      <c r="C129" s="47" t="s">
        <v>574</v>
      </c>
      <c r="D129" s="47"/>
      <c r="E129" s="47" t="s">
        <v>70</v>
      </c>
      <c r="F129" s="47" t="s">
        <v>695</v>
      </c>
      <c r="G12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12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25705000</v>
      </c>
      <c r="I129" s="52" t="str">
        <f>VLOOKUP(Table3[[#This Row],[PSGC]],DISTRICT!$D:$G,4,FALSE)</f>
        <v>5th</v>
      </c>
      <c r="J129" s="47" t="s">
        <v>578</v>
      </c>
      <c r="K129" s="51" t="str">
        <f>VLOOKUP(Table3[[#This Row],[SPECIFIC COMMODITY]],TAGS!$W$48:$X$53,2,FALSE)</f>
        <v>Corn</v>
      </c>
      <c r="L129" s="51" t="str">
        <f>VLOOKUP(Table3[[#This Row],[PREXC SUB-PROGRAM]],Table5[],2,FALSE)</f>
        <v>TECHNICAL AND SUPPORT SERVICES PROGRAM</v>
      </c>
      <c r="M129" s="51" t="str">
        <f>VLOOKUP(Table3[[#This Row],[COMMODITY PREXC SUB-PROGRAM]],TAGS!$U$54:$V$76,2,FALSE)</f>
        <v>PSS</v>
      </c>
      <c r="N129" s="47" t="s">
        <v>576</v>
      </c>
      <c r="O129" s="54" t="str">
        <f>VLOOKUP(Table3[[#This Row],[PI LEVEL 3]],'PI LEVEL'!A:C,3,FALSE)</f>
        <v>Seeds distributed</v>
      </c>
      <c r="P129" s="54" t="str">
        <f>VLOOKUP(Table3[[#This Row],[PI LEVEL 3]],Table53729[[Performance Indicator Level 3]:[Performance Indicator Level 1]],2,FALSE)</f>
        <v>Corn Seeds distributed</v>
      </c>
      <c r="Q129" s="54" t="str">
        <f>VLOOKUP(Table3[[#This Row],[ACTIVITY]],TAGS!B:P,2,FALSE)</f>
        <v>Yellow Corn Seeds distributed</v>
      </c>
      <c r="R129" s="47" t="s">
        <v>34</v>
      </c>
      <c r="S129" s="51" t="str">
        <f>VLOOKUP(Table3[[#This Row],[ACTIVITY]],TAGS!$B:$P,4,FALSE)</f>
        <v>Yellow Corn Production Enhancement Project</v>
      </c>
      <c r="T129" s="51" t="str">
        <f>VLOOKUP(Table3[[#This Row],[ACTIVITY]],TAGS!$B:$P,5,FALSE)</f>
        <v>Corn Seed Assistance</v>
      </c>
      <c r="U129" s="51" t="str">
        <f>VLOOKUP(Table3[[#This Row],[ACTIVITY]],TAGS!$B:$P,6,FALSE)</f>
        <v>Yellow corn seeds</v>
      </c>
      <c r="V129" s="51" t="str">
        <f>VLOOKUP(Table3[[#This Row],[ACTIVITY]],TAGS!$B:$P,7,FALSE)</f>
        <v>NO</v>
      </c>
      <c r="W129" s="51" t="str">
        <f>VLOOKUP(Table3[[#This Row],[ACTIVITY]],TAGS!$B:$P,8,FALSE)</f>
        <v>PAP</v>
      </c>
      <c r="X129" s="51" t="str">
        <f>VLOOKUP(Table3[[#This Row],[ACTIVITY]],TAGS!$B:$P,10,FALSE)</f>
        <v>PIP</v>
      </c>
      <c r="Y129" s="51" t="str">
        <f>VLOOKUP(Table3[[#This Row],[ACTIVITY]],TAGS!$B:$P,11,FALSE)</f>
        <v>PICS</v>
      </c>
      <c r="Z129" s="51" t="str">
        <f>VLOOKUP(Table3[[#This Row],[ACTIVITY]],TAGS!$B:$P,12,FALSE)</f>
        <v>Consolidation</v>
      </c>
      <c r="AA129" s="51" t="str">
        <f>VLOOKUP(Table3[[#This Row],[ACTIVITY]],TAGS!$B:$P,13,FALSE)</f>
        <v>1. Bayanihan Agri Cluster</v>
      </c>
      <c r="AB129" s="51" t="str">
        <f>VLOOKUP(Table3[[#This Row],[ACTIVITY]],TAGS!$B:$P,14,FALSE)</f>
        <v>EXPAND AND IMPROVE AVAILABLE AGRI-FISHERY AREAS FOR INCREASED PRODUCTION</v>
      </c>
      <c r="AC129" s="51" t="str">
        <f>VLOOKUP(Table3[[#This Row],[ACTIVITY]],TAGS!$B:$P,15,FALSE)</f>
        <v>Farm Inputs</v>
      </c>
      <c r="AD129" s="51" t="str">
        <f>VLOOKUP(Table3[[#This Row],[PI LEVEL 3]],'PI LEVEL'!$A:$G,7,FALSE)</f>
        <v>DA-Level Output</v>
      </c>
      <c r="AE129" s="47" t="s">
        <v>577</v>
      </c>
      <c r="AF129" s="51" t="str">
        <f>VLOOKUP(Table3[[#This Row],[ACTIVITY]],TAGS!$B:$P,3,FALSE)</f>
        <v>kilogram</v>
      </c>
      <c r="AG129" s="47" t="s">
        <v>334</v>
      </c>
      <c r="AH129" s="51" t="str">
        <f>VLOOKUP(Table3[[#This Row],[MONTH]],TAGS!$W$67:$Y$81,2,FALSE)</f>
        <v>3RD QTR</v>
      </c>
      <c r="AI129" s="51" t="str">
        <f>VLOOKUP(Table3[[#This Row],[MONTH]],TAGS!$W$67:$Y$81,3,FALSE)</f>
        <v>2ND SEMESTER</v>
      </c>
      <c r="AJ129" s="51">
        <f>VLOOKUP(Table3[[#This Row],[MONTH]],TAGS!$W$67:$Z$81,4,FALSE)</f>
        <v>2025</v>
      </c>
      <c r="AK129" s="47">
        <v>720</v>
      </c>
      <c r="AL129" s="51" t="str">
        <f>VLOOKUP(Table3[[#This Row],[ACTIVITY]],TAGS!$B:$R,16,FALSE)</f>
        <v>YES</v>
      </c>
      <c r="AM129" s="47">
        <v>40</v>
      </c>
      <c r="AN129" s="47">
        <v>480</v>
      </c>
      <c r="AO129" s="57">
        <f>SUM(Table3[[#This Row],[MALE BENEFICIARIES]:[FEMALE BENEFICIARIES]])</f>
        <v>0</v>
      </c>
      <c r="AP129" s="58"/>
      <c r="AQ129" s="58"/>
      <c r="AR129" s="58"/>
      <c r="AS129" s="58">
        <v>1</v>
      </c>
      <c r="AT129" s="59">
        <v>40</v>
      </c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</row>
    <row r="130" spans="1:65">
      <c r="A130" s="51" t="str">
        <f>VLOOKUP(Table3[[#This Row],[OU]],OU!$A$15:$B$34,2,FALSE)</f>
        <v>RFOs</v>
      </c>
      <c r="B130" s="47" t="s">
        <v>5</v>
      </c>
      <c r="C130" s="47" t="s">
        <v>574</v>
      </c>
      <c r="D130" s="47"/>
      <c r="E130" s="47" t="s">
        <v>22</v>
      </c>
      <c r="F130" s="47" t="s">
        <v>619</v>
      </c>
      <c r="G13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13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21502000</v>
      </c>
      <c r="I130" s="52" t="str">
        <f>VLOOKUP(Table3[[#This Row],[PSGC]],DISTRICT!$D:$G,4,FALSE)</f>
        <v>3rd</v>
      </c>
      <c r="J130" s="47" t="s">
        <v>578</v>
      </c>
      <c r="K130" s="51" t="str">
        <f>VLOOKUP(Table3[[#This Row],[SPECIFIC COMMODITY]],TAGS!$W$48:$X$53,2,FALSE)</f>
        <v>Corn</v>
      </c>
      <c r="L130" s="51" t="str">
        <f>VLOOKUP(Table3[[#This Row],[PREXC SUB-PROGRAM]],Table5[],2,FALSE)</f>
        <v>TECHNICAL AND SUPPORT SERVICES PROGRAM</v>
      </c>
      <c r="M130" s="51" t="str">
        <f>VLOOKUP(Table3[[#This Row],[COMMODITY PREXC SUB-PROGRAM]],TAGS!$U$54:$V$76,2,FALSE)</f>
        <v>PSS</v>
      </c>
      <c r="N130" s="47" t="s">
        <v>576</v>
      </c>
      <c r="O130" s="54" t="str">
        <f>VLOOKUP(Table3[[#This Row],[PI LEVEL 3]],'PI LEVEL'!A:C,3,FALSE)</f>
        <v>Fertilizers and other soil ammendment distributed</v>
      </c>
      <c r="P130" s="54" t="str">
        <f>VLOOKUP(Table3[[#This Row],[PI LEVEL 3]],Table53729[[Performance Indicator Level 3]:[Performance Indicator Level 1]],2,FALSE)</f>
        <v>Fertilizers distributed</v>
      </c>
      <c r="Q130" s="54" t="str">
        <f>VLOOKUP(Table3[[#This Row],[ACTIVITY]],TAGS!B:P,2,FALSE)</f>
        <v>Inorganic fertilizer distributed</v>
      </c>
      <c r="R130" s="47" t="s">
        <v>36</v>
      </c>
      <c r="S130" s="51" t="str">
        <f>VLOOKUP(Table3[[#This Row],[ACTIVITY]],TAGS!$B:$P,4,FALSE)</f>
        <v>Yellow Corn Production Enhancement Project</v>
      </c>
      <c r="T130" s="51" t="str">
        <f>VLOOKUP(Table3[[#This Row],[ACTIVITY]],TAGS!$B:$P,5,FALSE)</f>
        <v>Soil Fertilization</v>
      </c>
      <c r="U130" s="51" t="str">
        <f>VLOOKUP(Table3[[#This Row],[ACTIVITY]],TAGS!$B:$P,6,FALSE)</f>
        <v>Inorganic fertilizer</v>
      </c>
      <c r="V130" s="51" t="str">
        <f>VLOOKUP(Table3[[#This Row],[ACTIVITY]],TAGS!$B:$P,7,FALSE)</f>
        <v>NO</v>
      </c>
      <c r="W130" s="51" t="str">
        <f>VLOOKUP(Table3[[#This Row],[ACTIVITY]],TAGS!$B:$P,8,FALSE)</f>
        <v>PAP</v>
      </c>
      <c r="X130" s="51" t="str">
        <f>VLOOKUP(Table3[[#This Row],[ACTIVITY]],TAGS!$B:$P,10,FALSE)</f>
        <v>PIP</v>
      </c>
      <c r="Y130" s="51" t="str">
        <f>VLOOKUP(Table3[[#This Row],[ACTIVITY]],TAGS!$B:$P,11,FALSE)</f>
        <v>PICS</v>
      </c>
      <c r="Z130" s="51" t="str">
        <f>VLOOKUP(Table3[[#This Row],[ACTIVITY]],TAGS!$B:$P,12,FALSE)</f>
        <v>Consolidation</v>
      </c>
      <c r="AA130" s="51" t="str">
        <f>VLOOKUP(Table3[[#This Row],[ACTIVITY]],TAGS!$B:$P,13,FALSE)</f>
        <v>1. Bayanihan Agri Cluster</v>
      </c>
      <c r="AB130" s="51" t="str">
        <f>VLOOKUP(Table3[[#This Row],[ACTIVITY]],TAGS!$B:$P,14,FALSE)</f>
        <v>EXPAND AND IMPROVE AVAILABLE AGRI-FISHERY AREAS FOR INCREASED PRODUCTION</v>
      </c>
      <c r="AC130" s="51" t="str">
        <f>VLOOKUP(Table3[[#This Row],[ACTIVITY]],TAGS!$B:$P,15,FALSE)</f>
        <v>Farm Inputs</v>
      </c>
      <c r="AD130" s="51" t="str">
        <f>VLOOKUP(Table3[[#This Row],[PI LEVEL 3]],'PI LEVEL'!$A:$G,7,FALSE)</f>
        <v>DA-Level Output</v>
      </c>
      <c r="AE130" s="47" t="s">
        <v>577</v>
      </c>
      <c r="AF130" s="51" t="str">
        <f>VLOOKUP(Table3[[#This Row],[ACTIVITY]],TAGS!$B:$P,3,FALSE)</f>
        <v>kilogram</v>
      </c>
      <c r="AG130" s="47" t="s">
        <v>334</v>
      </c>
      <c r="AH130" s="51" t="str">
        <f>VLOOKUP(Table3[[#This Row],[MONTH]],TAGS!$W$67:$Y$81,2,FALSE)</f>
        <v>3RD QTR</v>
      </c>
      <c r="AI130" s="51" t="str">
        <f>VLOOKUP(Table3[[#This Row],[MONTH]],TAGS!$W$67:$Y$81,3,FALSE)</f>
        <v>2ND SEMESTER</v>
      </c>
      <c r="AJ130" s="51">
        <f>VLOOKUP(Table3[[#This Row],[MONTH]],TAGS!$W$67:$Z$81,4,FALSE)</f>
        <v>2025</v>
      </c>
      <c r="AK130" s="47">
        <v>32300</v>
      </c>
      <c r="AL130" s="51" t="str">
        <f>VLOOKUP(Table3[[#This Row],[ACTIVITY]],TAGS!$B:$R,16,FALSE)</f>
        <v>YES</v>
      </c>
      <c r="AM130" s="47">
        <v>323</v>
      </c>
      <c r="AN130" s="47">
        <v>1453.5</v>
      </c>
      <c r="AO130" s="57">
        <f>SUM(Table3[[#This Row],[MALE BENEFICIARIES]:[FEMALE BENEFICIARIES]])</f>
        <v>0</v>
      </c>
      <c r="AP130" s="58"/>
      <c r="AQ130" s="58"/>
      <c r="AR130" s="58"/>
      <c r="AS130" s="58">
        <v>1</v>
      </c>
      <c r="AT130" s="59">
        <v>323</v>
      </c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</row>
    <row r="131" spans="1:65">
      <c r="A131" s="51" t="str">
        <f>VLOOKUP(Table3[[#This Row],[OU]],OU!$A$15:$B$34,2,FALSE)</f>
        <v>RFOs</v>
      </c>
      <c r="B131" s="47" t="s">
        <v>5</v>
      </c>
      <c r="C131" s="47" t="s">
        <v>574</v>
      </c>
      <c r="D131" s="47"/>
      <c r="E131" s="47" t="s">
        <v>22</v>
      </c>
      <c r="F131" s="47" t="s">
        <v>644</v>
      </c>
      <c r="G13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13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21506000</v>
      </c>
      <c r="I131" s="52" t="str">
        <f>VLOOKUP(Table3[[#This Row],[PSGC]],DISTRICT!$D:$G,4,FALSE)</f>
        <v>1st</v>
      </c>
      <c r="J131" s="47" t="s">
        <v>578</v>
      </c>
      <c r="K131" s="51" t="str">
        <f>VLOOKUP(Table3[[#This Row],[SPECIFIC COMMODITY]],TAGS!$W$48:$X$53,2,FALSE)</f>
        <v>Corn</v>
      </c>
      <c r="L131" s="51" t="str">
        <f>VLOOKUP(Table3[[#This Row],[PREXC SUB-PROGRAM]],Table5[],2,FALSE)</f>
        <v>TECHNICAL AND SUPPORT SERVICES PROGRAM</v>
      </c>
      <c r="M131" s="51" t="str">
        <f>VLOOKUP(Table3[[#This Row],[COMMODITY PREXC SUB-PROGRAM]],TAGS!$U$54:$V$76,2,FALSE)</f>
        <v>PSS</v>
      </c>
      <c r="N131" s="47" t="s">
        <v>576</v>
      </c>
      <c r="O131" s="54" t="str">
        <f>VLOOKUP(Table3[[#This Row],[PI LEVEL 3]],'PI LEVEL'!A:C,3,FALSE)</f>
        <v>Fertilizers and other soil ammendment distributed</v>
      </c>
      <c r="P131" s="54" t="str">
        <f>VLOOKUP(Table3[[#This Row],[PI LEVEL 3]],Table53729[[Performance Indicator Level 3]:[Performance Indicator Level 1]],2,FALSE)</f>
        <v>Fertilizers distributed</v>
      </c>
      <c r="Q131" s="54" t="str">
        <f>VLOOKUP(Table3[[#This Row],[ACTIVITY]],TAGS!B:P,2,FALSE)</f>
        <v>Inorganic fertilizer distributed</v>
      </c>
      <c r="R131" s="47" t="s">
        <v>36</v>
      </c>
      <c r="S131" s="51" t="str">
        <f>VLOOKUP(Table3[[#This Row],[ACTIVITY]],TAGS!$B:$P,4,FALSE)</f>
        <v>Yellow Corn Production Enhancement Project</v>
      </c>
      <c r="T131" s="51" t="str">
        <f>VLOOKUP(Table3[[#This Row],[ACTIVITY]],TAGS!$B:$P,5,FALSE)</f>
        <v>Soil Fertilization</v>
      </c>
      <c r="U131" s="51" t="str">
        <f>VLOOKUP(Table3[[#This Row],[ACTIVITY]],TAGS!$B:$P,6,FALSE)</f>
        <v>Inorganic fertilizer</v>
      </c>
      <c r="V131" s="51" t="str">
        <f>VLOOKUP(Table3[[#This Row],[ACTIVITY]],TAGS!$B:$P,7,FALSE)</f>
        <v>NO</v>
      </c>
      <c r="W131" s="51" t="str">
        <f>VLOOKUP(Table3[[#This Row],[ACTIVITY]],TAGS!$B:$P,8,FALSE)</f>
        <v>PAP</v>
      </c>
      <c r="X131" s="51" t="str">
        <f>VLOOKUP(Table3[[#This Row],[ACTIVITY]],TAGS!$B:$P,10,FALSE)</f>
        <v>PIP</v>
      </c>
      <c r="Y131" s="51" t="str">
        <f>VLOOKUP(Table3[[#This Row],[ACTIVITY]],TAGS!$B:$P,11,FALSE)</f>
        <v>PICS</v>
      </c>
      <c r="Z131" s="51" t="str">
        <f>VLOOKUP(Table3[[#This Row],[ACTIVITY]],TAGS!$B:$P,12,FALSE)</f>
        <v>Consolidation</v>
      </c>
      <c r="AA131" s="51" t="str">
        <f>VLOOKUP(Table3[[#This Row],[ACTIVITY]],TAGS!$B:$P,13,FALSE)</f>
        <v>1. Bayanihan Agri Cluster</v>
      </c>
      <c r="AB131" s="51" t="str">
        <f>VLOOKUP(Table3[[#This Row],[ACTIVITY]],TAGS!$B:$P,14,FALSE)</f>
        <v>EXPAND AND IMPROVE AVAILABLE AGRI-FISHERY AREAS FOR INCREASED PRODUCTION</v>
      </c>
      <c r="AC131" s="51" t="str">
        <f>VLOOKUP(Table3[[#This Row],[ACTIVITY]],TAGS!$B:$P,15,FALSE)</f>
        <v>Farm Inputs</v>
      </c>
      <c r="AD131" s="51" t="str">
        <f>VLOOKUP(Table3[[#This Row],[PI LEVEL 3]],'PI LEVEL'!$A:$G,7,FALSE)</f>
        <v>DA-Level Output</v>
      </c>
      <c r="AE131" s="47" t="s">
        <v>577</v>
      </c>
      <c r="AF131" s="51" t="str">
        <f>VLOOKUP(Table3[[#This Row],[ACTIVITY]],TAGS!$B:$P,3,FALSE)</f>
        <v>kilogram</v>
      </c>
      <c r="AG131" s="47" t="s">
        <v>334</v>
      </c>
      <c r="AH131" s="51" t="str">
        <f>VLOOKUP(Table3[[#This Row],[MONTH]],TAGS!$W$67:$Y$81,2,FALSE)</f>
        <v>3RD QTR</v>
      </c>
      <c r="AI131" s="51" t="str">
        <f>VLOOKUP(Table3[[#This Row],[MONTH]],TAGS!$W$67:$Y$81,3,FALSE)</f>
        <v>2ND SEMESTER</v>
      </c>
      <c r="AJ131" s="51">
        <f>VLOOKUP(Table3[[#This Row],[MONTH]],TAGS!$W$67:$Z$81,4,FALSE)</f>
        <v>2025</v>
      </c>
      <c r="AK131" s="47">
        <v>116000</v>
      </c>
      <c r="AL131" s="51" t="str">
        <f>VLOOKUP(Table3[[#This Row],[ACTIVITY]],TAGS!$B:$R,16,FALSE)</f>
        <v>YES</v>
      </c>
      <c r="AM131" s="47">
        <v>1160</v>
      </c>
      <c r="AN131" s="47">
        <v>5220</v>
      </c>
      <c r="AO131" s="57">
        <f>SUM(Table3[[#This Row],[MALE BENEFICIARIES]:[FEMALE BENEFICIARIES]])</f>
        <v>0</v>
      </c>
      <c r="AP131" s="58"/>
      <c r="AQ131" s="58"/>
      <c r="AR131" s="58"/>
      <c r="AS131" s="58">
        <v>2</v>
      </c>
      <c r="AT131" s="59">
        <v>1160</v>
      </c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</row>
    <row r="132" spans="1:65">
      <c r="A132" s="51" t="str">
        <f>VLOOKUP(Table3[[#This Row],[OU]],OU!$A$15:$B$34,2,FALSE)</f>
        <v>RFOs</v>
      </c>
      <c r="B132" s="47" t="s">
        <v>5</v>
      </c>
      <c r="C132" s="47" t="s">
        <v>574</v>
      </c>
      <c r="D132" s="47"/>
      <c r="E132" s="47" t="s">
        <v>22</v>
      </c>
      <c r="F132" s="47" t="s">
        <v>645</v>
      </c>
      <c r="G13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13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21508000</v>
      </c>
      <c r="I132" s="52" t="str">
        <f>VLOOKUP(Table3[[#This Row],[PSGC]],DISTRICT!$D:$G,4,FALSE)</f>
        <v>3rd</v>
      </c>
      <c r="J132" s="47" t="s">
        <v>578</v>
      </c>
      <c r="K132" s="51" t="str">
        <f>VLOOKUP(Table3[[#This Row],[SPECIFIC COMMODITY]],TAGS!$W$48:$X$53,2,FALSE)</f>
        <v>Corn</v>
      </c>
      <c r="L132" s="51" t="str">
        <f>VLOOKUP(Table3[[#This Row],[PREXC SUB-PROGRAM]],Table5[],2,FALSE)</f>
        <v>TECHNICAL AND SUPPORT SERVICES PROGRAM</v>
      </c>
      <c r="M132" s="51" t="str">
        <f>VLOOKUP(Table3[[#This Row],[COMMODITY PREXC SUB-PROGRAM]],TAGS!$U$54:$V$76,2,FALSE)</f>
        <v>PSS</v>
      </c>
      <c r="N132" s="47" t="s">
        <v>576</v>
      </c>
      <c r="O132" s="54" t="str">
        <f>VLOOKUP(Table3[[#This Row],[PI LEVEL 3]],'PI LEVEL'!A:C,3,FALSE)</f>
        <v>Fertilizers and other soil ammendment distributed</v>
      </c>
      <c r="P132" s="54" t="str">
        <f>VLOOKUP(Table3[[#This Row],[PI LEVEL 3]],Table53729[[Performance Indicator Level 3]:[Performance Indicator Level 1]],2,FALSE)</f>
        <v>Fertilizers distributed</v>
      </c>
      <c r="Q132" s="54" t="str">
        <f>VLOOKUP(Table3[[#This Row],[ACTIVITY]],TAGS!B:P,2,FALSE)</f>
        <v>Inorganic fertilizer distributed</v>
      </c>
      <c r="R132" s="47" t="s">
        <v>36</v>
      </c>
      <c r="S132" s="51" t="str">
        <f>VLOOKUP(Table3[[#This Row],[ACTIVITY]],TAGS!$B:$P,4,FALSE)</f>
        <v>Yellow Corn Production Enhancement Project</v>
      </c>
      <c r="T132" s="51" t="str">
        <f>VLOOKUP(Table3[[#This Row],[ACTIVITY]],TAGS!$B:$P,5,FALSE)</f>
        <v>Soil Fertilization</v>
      </c>
      <c r="U132" s="51" t="str">
        <f>VLOOKUP(Table3[[#This Row],[ACTIVITY]],TAGS!$B:$P,6,FALSE)</f>
        <v>Inorganic fertilizer</v>
      </c>
      <c r="V132" s="51" t="str">
        <f>VLOOKUP(Table3[[#This Row],[ACTIVITY]],TAGS!$B:$P,7,FALSE)</f>
        <v>NO</v>
      </c>
      <c r="W132" s="51" t="str">
        <f>VLOOKUP(Table3[[#This Row],[ACTIVITY]],TAGS!$B:$P,8,FALSE)</f>
        <v>PAP</v>
      </c>
      <c r="X132" s="51" t="str">
        <f>VLOOKUP(Table3[[#This Row],[ACTIVITY]],TAGS!$B:$P,10,FALSE)</f>
        <v>PIP</v>
      </c>
      <c r="Y132" s="51" t="str">
        <f>VLOOKUP(Table3[[#This Row],[ACTIVITY]],TAGS!$B:$P,11,FALSE)</f>
        <v>PICS</v>
      </c>
      <c r="Z132" s="51" t="str">
        <f>VLOOKUP(Table3[[#This Row],[ACTIVITY]],TAGS!$B:$P,12,FALSE)</f>
        <v>Consolidation</v>
      </c>
      <c r="AA132" s="51" t="str">
        <f>VLOOKUP(Table3[[#This Row],[ACTIVITY]],TAGS!$B:$P,13,FALSE)</f>
        <v>1. Bayanihan Agri Cluster</v>
      </c>
      <c r="AB132" s="51" t="str">
        <f>VLOOKUP(Table3[[#This Row],[ACTIVITY]],TAGS!$B:$P,14,FALSE)</f>
        <v>EXPAND AND IMPROVE AVAILABLE AGRI-FISHERY AREAS FOR INCREASED PRODUCTION</v>
      </c>
      <c r="AC132" s="51" t="str">
        <f>VLOOKUP(Table3[[#This Row],[ACTIVITY]],TAGS!$B:$P,15,FALSE)</f>
        <v>Farm Inputs</v>
      </c>
      <c r="AD132" s="51" t="str">
        <f>VLOOKUP(Table3[[#This Row],[PI LEVEL 3]],'PI LEVEL'!$A:$G,7,FALSE)</f>
        <v>DA-Level Output</v>
      </c>
      <c r="AE132" s="47" t="s">
        <v>577</v>
      </c>
      <c r="AF132" s="51" t="str">
        <f>VLOOKUP(Table3[[#This Row],[ACTIVITY]],TAGS!$B:$P,3,FALSE)</f>
        <v>kilogram</v>
      </c>
      <c r="AG132" s="47" t="s">
        <v>334</v>
      </c>
      <c r="AH132" s="51" t="str">
        <f>VLOOKUP(Table3[[#This Row],[MONTH]],TAGS!$W$67:$Y$81,2,FALSE)</f>
        <v>3RD QTR</v>
      </c>
      <c r="AI132" s="51" t="str">
        <f>VLOOKUP(Table3[[#This Row],[MONTH]],TAGS!$W$67:$Y$81,3,FALSE)</f>
        <v>2ND SEMESTER</v>
      </c>
      <c r="AJ132" s="51">
        <f>VLOOKUP(Table3[[#This Row],[MONTH]],TAGS!$W$67:$Z$81,4,FALSE)</f>
        <v>2025</v>
      </c>
      <c r="AK132" s="47">
        <v>3500</v>
      </c>
      <c r="AL132" s="51" t="str">
        <f>VLOOKUP(Table3[[#This Row],[ACTIVITY]],TAGS!$B:$R,16,FALSE)</f>
        <v>YES</v>
      </c>
      <c r="AM132" s="47">
        <v>35</v>
      </c>
      <c r="AN132" s="47">
        <v>157.5</v>
      </c>
      <c r="AO132" s="57">
        <f>SUM(Table3[[#This Row],[MALE BENEFICIARIES]:[FEMALE BENEFICIARIES]])</f>
        <v>0</v>
      </c>
      <c r="AP132" s="58"/>
      <c r="AQ132" s="58"/>
      <c r="AR132" s="58"/>
      <c r="AS132" s="58">
        <v>1</v>
      </c>
      <c r="AT132" s="59">
        <v>35</v>
      </c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</row>
    <row r="133" spans="1:65">
      <c r="A133" s="51" t="str">
        <f>VLOOKUP(Table3[[#This Row],[OU]],OU!$A$15:$B$34,2,FALSE)</f>
        <v>RFOs</v>
      </c>
      <c r="B133" s="47" t="s">
        <v>5</v>
      </c>
      <c r="C133" s="47" t="s">
        <v>574</v>
      </c>
      <c r="D133" s="47"/>
      <c r="E133" s="47" t="s">
        <v>22</v>
      </c>
      <c r="F133" s="47" t="s">
        <v>639</v>
      </c>
      <c r="G13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13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21513000</v>
      </c>
      <c r="I133" s="52" t="str">
        <f>VLOOKUP(Table3[[#This Row],[PSGC]],DISTRICT!$D:$G,4,FALSE)</f>
        <v>1st</v>
      </c>
      <c r="J133" s="47" t="s">
        <v>578</v>
      </c>
      <c r="K133" s="51" t="str">
        <f>VLOOKUP(Table3[[#This Row],[SPECIFIC COMMODITY]],TAGS!$W$48:$X$53,2,FALSE)</f>
        <v>Corn</v>
      </c>
      <c r="L133" s="51" t="str">
        <f>VLOOKUP(Table3[[#This Row],[PREXC SUB-PROGRAM]],Table5[],2,FALSE)</f>
        <v>TECHNICAL AND SUPPORT SERVICES PROGRAM</v>
      </c>
      <c r="M133" s="51" t="str">
        <f>VLOOKUP(Table3[[#This Row],[COMMODITY PREXC SUB-PROGRAM]],TAGS!$U$54:$V$76,2,FALSE)</f>
        <v>PSS</v>
      </c>
      <c r="N133" s="47" t="s">
        <v>576</v>
      </c>
      <c r="O133" s="54" t="str">
        <f>VLOOKUP(Table3[[#This Row],[PI LEVEL 3]],'PI LEVEL'!A:C,3,FALSE)</f>
        <v>Fertilizers and other soil ammendment distributed</v>
      </c>
      <c r="P133" s="54" t="str">
        <f>VLOOKUP(Table3[[#This Row],[PI LEVEL 3]],Table53729[[Performance Indicator Level 3]:[Performance Indicator Level 1]],2,FALSE)</f>
        <v>Fertilizers distributed</v>
      </c>
      <c r="Q133" s="54" t="str">
        <f>VLOOKUP(Table3[[#This Row],[ACTIVITY]],TAGS!B:P,2,FALSE)</f>
        <v>Inorganic fertilizer distributed</v>
      </c>
      <c r="R133" s="47" t="s">
        <v>36</v>
      </c>
      <c r="S133" s="51" t="str">
        <f>VLOOKUP(Table3[[#This Row],[ACTIVITY]],TAGS!$B:$P,4,FALSE)</f>
        <v>Yellow Corn Production Enhancement Project</v>
      </c>
      <c r="T133" s="51" t="str">
        <f>VLOOKUP(Table3[[#This Row],[ACTIVITY]],TAGS!$B:$P,5,FALSE)</f>
        <v>Soil Fertilization</v>
      </c>
      <c r="U133" s="51" t="str">
        <f>VLOOKUP(Table3[[#This Row],[ACTIVITY]],TAGS!$B:$P,6,FALSE)</f>
        <v>Inorganic fertilizer</v>
      </c>
      <c r="V133" s="51" t="str">
        <f>VLOOKUP(Table3[[#This Row],[ACTIVITY]],TAGS!$B:$P,7,FALSE)</f>
        <v>NO</v>
      </c>
      <c r="W133" s="51" t="str">
        <f>VLOOKUP(Table3[[#This Row],[ACTIVITY]],TAGS!$B:$P,8,FALSE)</f>
        <v>PAP</v>
      </c>
      <c r="X133" s="51" t="str">
        <f>VLOOKUP(Table3[[#This Row],[ACTIVITY]],TAGS!$B:$P,10,FALSE)</f>
        <v>PIP</v>
      </c>
      <c r="Y133" s="51" t="str">
        <f>VLOOKUP(Table3[[#This Row],[ACTIVITY]],TAGS!$B:$P,11,FALSE)</f>
        <v>PICS</v>
      </c>
      <c r="Z133" s="51" t="str">
        <f>VLOOKUP(Table3[[#This Row],[ACTIVITY]],TAGS!$B:$P,12,FALSE)</f>
        <v>Consolidation</v>
      </c>
      <c r="AA133" s="51" t="str">
        <f>VLOOKUP(Table3[[#This Row],[ACTIVITY]],TAGS!$B:$P,13,FALSE)</f>
        <v>1. Bayanihan Agri Cluster</v>
      </c>
      <c r="AB133" s="51" t="str">
        <f>VLOOKUP(Table3[[#This Row],[ACTIVITY]],TAGS!$B:$P,14,FALSE)</f>
        <v>EXPAND AND IMPROVE AVAILABLE AGRI-FISHERY AREAS FOR INCREASED PRODUCTION</v>
      </c>
      <c r="AC133" s="51" t="str">
        <f>VLOOKUP(Table3[[#This Row],[ACTIVITY]],TAGS!$B:$P,15,FALSE)</f>
        <v>Farm Inputs</v>
      </c>
      <c r="AD133" s="51" t="str">
        <f>VLOOKUP(Table3[[#This Row],[PI LEVEL 3]],'PI LEVEL'!$A:$G,7,FALSE)</f>
        <v>DA-Level Output</v>
      </c>
      <c r="AE133" s="47" t="s">
        <v>577</v>
      </c>
      <c r="AF133" s="51" t="str">
        <f>VLOOKUP(Table3[[#This Row],[ACTIVITY]],TAGS!$B:$P,3,FALSE)</f>
        <v>kilogram</v>
      </c>
      <c r="AG133" s="47" t="s">
        <v>334</v>
      </c>
      <c r="AH133" s="51" t="str">
        <f>VLOOKUP(Table3[[#This Row],[MONTH]],TAGS!$W$67:$Y$81,2,FALSE)</f>
        <v>3RD QTR</v>
      </c>
      <c r="AI133" s="51" t="str">
        <f>VLOOKUP(Table3[[#This Row],[MONTH]],TAGS!$W$67:$Y$81,3,FALSE)</f>
        <v>2ND SEMESTER</v>
      </c>
      <c r="AJ133" s="51">
        <f>VLOOKUP(Table3[[#This Row],[MONTH]],TAGS!$W$67:$Z$81,4,FALSE)</f>
        <v>2025</v>
      </c>
      <c r="AK133" s="47">
        <v>54300</v>
      </c>
      <c r="AL133" s="51" t="str">
        <f>VLOOKUP(Table3[[#This Row],[ACTIVITY]],TAGS!$B:$R,16,FALSE)</f>
        <v>YES</v>
      </c>
      <c r="AM133" s="47">
        <v>543</v>
      </c>
      <c r="AN133" s="47">
        <v>2443.5</v>
      </c>
      <c r="AO133" s="57">
        <f>SUM(Table3[[#This Row],[MALE BENEFICIARIES]:[FEMALE BENEFICIARIES]])</f>
        <v>0</v>
      </c>
      <c r="AP133" s="58"/>
      <c r="AQ133" s="58"/>
      <c r="AR133" s="58"/>
      <c r="AS133" s="58">
        <v>1</v>
      </c>
      <c r="AT133" s="59">
        <v>543</v>
      </c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  <c r="BM133" s="59"/>
    </row>
    <row r="134" spans="1:65">
      <c r="A134" s="51" t="str">
        <f>VLOOKUP(Table3[[#This Row],[OU]],OU!$A$15:$B$34,2,FALSE)</f>
        <v>RFOs</v>
      </c>
      <c r="B134" s="47" t="s">
        <v>5</v>
      </c>
      <c r="C134" s="47" t="s">
        <v>574</v>
      </c>
      <c r="D134" s="47"/>
      <c r="E134" s="47" t="s">
        <v>22</v>
      </c>
      <c r="F134" s="47" t="s">
        <v>646</v>
      </c>
      <c r="G13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13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21516000</v>
      </c>
      <c r="I134" s="52" t="str">
        <f>VLOOKUP(Table3[[#This Row],[PSGC]],DISTRICT!$D:$G,4,FALSE)</f>
        <v>1st</v>
      </c>
      <c r="J134" s="47" t="s">
        <v>578</v>
      </c>
      <c r="K134" s="51" t="str">
        <f>VLOOKUP(Table3[[#This Row],[SPECIFIC COMMODITY]],TAGS!$W$48:$X$53,2,FALSE)</f>
        <v>Corn</v>
      </c>
      <c r="L134" s="51" t="str">
        <f>VLOOKUP(Table3[[#This Row],[PREXC SUB-PROGRAM]],Table5[],2,FALSE)</f>
        <v>TECHNICAL AND SUPPORT SERVICES PROGRAM</v>
      </c>
      <c r="M134" s="51" t="str">
        <f>VLOOKUP(Table3[[#This Row],[COMMODITY PREXC SUB-PROGRAM]],TAGS!$U$54:$V$76,2,FALSE)</f>
        <v>PSS</v>
      </c>
      <c r="N134" s="47" t="s">
        <v>576</v>
      </c>
      <c r="O134" s="54" t="str">
        <f>VLOOKUP(Table3[[#This Row],[PI LEVEL 3]],'PI LEVEL'!A:C,3,FALSE)</f>
        <v>Fertilizers and other soil ammendment distributed</v>
      </c>
      <c r="P134" s="54" t="str">
        <f>VLOOKUP(Table3[[#This Row],[PI LEVEL 3]],Table53729[[Performance Indicator Level 3]:[Performance Indicator Level 1]],2,FALSE)</f>
        <v>Fertilizers distributed</v>
      </c>
      <c r="Q134" s="54" t="str">
        <f>VLOOKUP(Table3[[#This Row],[ACTIVITY]],TAGS!B:P,2,FALSE)</f>
        <v>Inorganic fertilizer distributed</v>
      </c>
      <c r="R134" s="47" t="s">
        <v>36</v>
      </c>
      <c r="S134" s="51" t="str">
        <f>VLOOKUP(Table3[[#This Row],[ACTIVITY]],TAGS!$B:$P,4,FALSE)</f>
        <v>Yellow Corn Production Enhancement Project</v>
      </c>
      <c r="T134" s="51" t="str">
        <f>VLOOKUP(Table3[[#This Row],[ACTIVITY]],TAGS!$B:$P,5,FALSE)</f>
        <v>Soil Fertilization</v>
      </c>
      <c r="U134" s="51" t="str">
        <f>VLOOKUP(Table3[[#This Row],[ACTIVITY]],TAGS!$B:$P,6,FALSE)</f>
        <v>Inorganic fertilizer</v>
      </c>
      <c r="V134" s="51" t="str">
        <f>VLOOKUP(Table3[[#This Row],[ACTIVITY]],TAGS!$B:$P,7,FALSE)</f>
        <v>NO</v>
      </c>
      <c r="W134" s="51" t="str">
        <f>VLOOKUP(Table3[[#This Row],[ACTIVITY]],TAGS!$B:$P,8,FALSE)</f>
        <v>PAP</v>
      </c>
      <c r="X134" s="51" t="str">
        <f>VLOOKUP(Table3[[#This Row],[ACTIVITY]],TAGS!$B:$P,10,FALSE)</f>
        <v>PIP</v>
      </c>
      <c r="Y134" s="51" t="str">
        <f>VLOOKUP(Table3[[#This Row],[ACTIVITY]],TAGS!$B:$P,11,FALSE)</f>
        <v>PICS</v>
      </c>
      <c r="Z134" s="51" t="str">
        <f>VLOOKUP(Table3[[#This Row],[ACTIVITY]],TAGS!$B:$P,12,FALSE)</f>
        <v>Consolidation</v>
      </c>
      <c r="AA134" s="51" t="str">
        <f>VLOOKUP(Table3[[#This Row],[ACTIVITY]],TAGS!$B:$P,13,FALSE)</f>
        <v>1. Bayanihan Agri Cluster</v>
      </c>
      <c r="AB134" s="51" t="str">
        <f>VLOOKUP(Table3[[#This Row],[ACTIVITY]],TAGS!$B:$P,14,FALSE)</f>
        <v>EXPAND AND IMPROVE AVAILABLE AGRI-FISHERY AREAS FOR INCREASED PRODUCTION</v>
      </c>
      <c r="AC134" s="51" t="str">
        <f>VLOOKUP(Table3[[#This Row],[ACTIVITY]],TAGS!$B:$P,15,FALSE)</f>
        <v>Farm Inputs</v>
      </c>
      <c r="AD134" s="51" t="str">
        <f>VLOOKUP(Table3[[#This Row],[PI LEVEL 3]],'PI LEVEL'!$A:$G,7,FALSE)</f>
        <v>DA-Level Output</v>
      </c>
      <c r="AE134" s="47" t="s">
        <v>577</v>
      </c>
      <c r="AF134" s="51" t="str">
        <f>VLOOKUP(Table3[[#This Row],[ACTIVITY]],TAGS!$B:$P,3,FALSE)</f>
        <v>kilogram</v>
      </c>
      <c r="AG134" s="47" t="s">
        <v>334</v>
      </c>
      <c r="AH134" s="51" t="str">
        <f>VLOOKUP(Table3[[#This Row],[MONTH]],TAGS!$W$67:$Y$81,2,FALSE)</f>
        <v>3RD QTR</v>
      </c>
      <c r="AI134" s="51" t="str">
        <f>VLOOKUP(Table3[[#This Row],[MONTH]],TAGS!$W$67:$Y$81,3,FALSE)</f>
        <v>2ND SEMESTER</v>
      </c>
      <c r="AJ134" s="51">
        <f>VLOOKUP(Table3[[#This Row],[MONTH]],TAGS!$W$67:$Z$81,4,FALSE)</f>
        <v>2025</v>
      </c>
      <c r="AK134" s="47">
        <v>29000</v>
      </c>
      <c r="AL134" s="51" t="str">
        <f>VLOOKUP(Table3[[#This Row],[ACTIVITY]],TAGS!$B:$R,16,FALSE)</f>
        <v>YES</v>
      </c>
      <c r="AM134" s="47">
        <v>290</v>
      </c>
      <c r="AN134" s="47">
        <v>1305</v>
      </c>
      <c r="AO134" s="57">
        <f>SUM(Table3[[#This Row],[MALE BENEFICIARIES]:[FEMALE BENEFICIARIES]])</f>
        <v>0</v>
      </c>
      <c r="AP134" s="58"/>
      <c r="AQ134" s="58"/>
      <c r="AR134" s="58"/>
      <c r="AS134" s="58">
        <v>1</v>
      </c>
      <c r="AT134" s="59">
        <v>290</v>
      </c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  <c r="BM134" s="59"/>
    </row>
    <row r="135" spans="1:65">
      <c r="A135" s="51" t="str">
        <f>VLOOKUP(Table3[[#This Row],[OU]],OU!$A$15:$B$34,2,FALSE)</f>
        <v>RFOs</v>
      </c>
      <c r="B135" s="47" t="s">
        <v>5</v>
      </c>
      <c r="C135" s="47" t="s">
        <v>574</v>
      </c>
      <c r="D135" s="47"/>
      <c r="E135" s="47" t="s">
        <v>22</v>
      </c>
      <c r="F135" s="47" t="s">
        <v>647</v>
      </c>
      <c r="G13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13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21523000</v>
      </c>
      <c r="I135" s="52" t="str">
        <f>VLOOKUP(Table3[[#This Row],[PSGC]],DISTRICT!$D:$G,4,FALSE)</f>
        <v>2nd</v>
      </c>
      <c r="J135" s="47" t="s">
        <v>578</v>
      </c>
      <c r="K135" s="51" t="str">
        <f>VLOOKUP(Table3[[#This Row],[SPECIFIC COMMODITY]],TAGS!$W$48:$X$53,2,FALSE)</f>
        <v>Corn</v>
      </c>
      <c r="L135" s="51" t="str">
        <f>VLOOKUP(Table3[[#This Row],[PREXC SUB-PROGRAM]],Table5[],2,FALSE)</f>
        <v>TECHNICAL AND SUPPORT SERVICES PROGRAM</v>
      </c>
      <c r="M135" s="51" t="str">
        <f>VLOOKUP(Table3[[#This Row],[COMMODITY PREXC SUB-PROGRAM]],TAGS!$U$54:$V$76,2,FALSE)</f>
        <v>PSS</v>
      </c>
      <c r="N135" s="47" t="s">
        <v>576</v>
      </c>
      <c r="O135" s="54" t="str">
        <f>VLOOKUP(Table3[[#This Row],[PI LEVEL 3]],'PI LEVEL'!A:C,3,FALSE)</f>
        <v>Fertilizers and other soil ammendment distributed</v>
      </c>
      <c r="P135" s="54" t="str">
        <f>VLOOKUP(Table3[[#This Row],[PI LEVEL 3]],Table53729[[Performance Indicator Level 3]:[Performance Indicator Level 1]],2,FALSE)</f>
        <v>Fertilizers distributed</v>
      </c>
      <c r="Q135" s="54" t="str">
        <f>VLOOKUP(Table3[[#This Row],[ACTIVITY]],TAGS!B:P,2,FALSE)</f>
        <v>Inorganic fertilizer distributed</v>
      </c>
      <c r="R135" s="47" t="s">
        <v>36</v>
      </c>
      <c r="S135" s="51" t="str">
        <f>VLOOKUP(Table3[[#This Row],[ACTIVITY]],TAGS!$B:$P,4,FALSE)</f>
        <v>Yellow Corn Production Enhancement Project</v>
      </c>
      <c r="T135" s="51" t="str">
        <f>VLOOKUP(Table3[[#This Row],[ACTIVITY]],TAGS!$B:$P,5,FALSE)</f>
        <v>Soil Fertilization</v>
      </c>
      <c r="U135" s="51" t="str">
        <f>VLOOKUP(Table3[[#This Row],[ACTIVITY]],TAGS!$B:$P,6,FALSE)</f>
        <v>Inorganic fertilizer</v>
      </c>
      <c r="V135" s="51" t="str">
        <f>VLOOKUP(Table3[[#This Row],[ACTIVITY]],TAGS!$B:$P,7,FALSE)</f>
        <v>NO</v>
      </c>
      <c r="W135" s="51" t="str">
        <f>VLOOKUP(Table3[[#This Row],[ACTIVITY]],TAGS!$B:$P,8,FALSE)</f>
        <v>PAP</v>
      </c>
      <c r="X135" s="51" t="str">
        <f>VLOOKUP(Table3[[#This Row],[ACTIVITY]],TAGS!$B:$P,10,FALSE)</f>
        <v>PIP</v>
      </c>
      <c r="Y135" s="51" t="str">
        <f>VLOOKUP(Table3[[#This Row],[ACTIVITY]],TAGS!$B:$P,11,FALSE)</f>
        <v>PICS</v>
      </c>
      <c r="Z135" s="51" t="str">
        <f>VLOOKUP(Table3[[#This Row],[ACTIVITY]],TAGS!$B:$P,12,FALSE)</f>
        <v>Consolidation</v>
      </c>
      <c r="AA135" s="51" t="str">
        <f>VLOOKUP(Table3[[#This Row],[ACTIVITY]],TAGS!$B:$P,13,FALSE)</f>
        <v>1. Bayanihan Agri Cluster</v>
      </c>
      <c r="AB135" s="51" t="str">
        <f>VLOOKUP(Table3[[#This Row],[ACTIVITY]],TAGS!$B:$P,14,FALSE)</f>
        <v>EXPAND AND IMPROVE AVAILABLE AGRI-FISHERY AREAS FOR INCREASED PRODUCTION</v>
      </c>
      <c r="AC135" s="51" t="str">
        <f>VLOOKUP(Table3[[#This Row],[ACTIVITY]],TAGS!$B:$P,15,FALSE)</f>
        <v>Farm Inputs</v>
      </c>
      <c r="AD135" s="51" t="str">
        <f>VLOOKUP(Table3[[#This Row],[PI LEVEL 3]],'PI LEVEL'!$A:$G,7,FALSE)</f>
        <v>DA-Level Output</v>
      </c>
      <c r="AE135" s="47" t="s">
        <v>577</v>
      </c>
      <c r="AF135" s="51" t="str">
        <f>VLOOKUP(Table3[[#This Row],[ACTIVITY]],TAGS!$B:$P,3,FALSE)</f>
        <v>kilogram</v>
      </c>
      <c r="AG135" s="47" t="s">
        <v>334</v>
      </c>
      <c r="AH135" s="51" t="str">
        <f>VLOOKUP(Table3[[#This Row],[MONTH]],TAGS!$W$67:$Y$81,2,FALSE)</f>
        <v>3RD QTR</v>
      </c>
      <c r="AI135" s="51" t="str">
        <f>VLOOKUP(Table3[[#This Row],[MONTH]],TAGS!$W$67:$Y$81,3,FALSE)</f>
        <v>2ND SEMESTER</v>
      </c>
      <c r="AJ135" s="51">
        <f>VLOOKUP(Table3[[#This Row],[MONTH]],TAGS!$W$67:$Z$81,4,FALSE)</f>
        <v>2025</v>
      </c>
      <c r="AK135" s="47">
        <v>500</v>
      </c>
      <c r="AL135" s="51" t="str">
        <f>VLOOKUP(Table3[[#This Row],[ACTIVITY]],TAGS!$B:$R,16,FALSE)</f>
        <v>YES</v>
      </c>
      <c r="AM135" s="47">
        <v>5</v>
      </c>
      <c r="AN135" s="47">
        <v>22.5</v>
      </c>
      <c r="AO135" s="57">
        <f>SUM(Table3[[#This Row],[MALE BENEFICIARIES]:[FEMALE BENEFICIARIES]])</f>
        <v>0</v>
      </c>
      <c r="AP135" s="58"/>
      <c r="AQ135" s="58"/>
      <c r="AR135" s="58"/>
      <c r="AS135" s="58">
        <v>1</v>
      </c>
      <c r="AT135" s="59">
        <v>5</v>
      </c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  <c r="BM135" s="59"/>
    </row>
    <row r="136" spans="1:65">
      <c r="A136" s="51" t="str">
        <f>VLOOKUP(Table3[[#This Row],[OU]],OU!$A$15:$B$34,2,FALSE)</f>
        <v>RFOs</v>
      </c>
      <c r="B136" s="47" t="s">
        <v>5</v>
      </c>
      <c r="C136" s="47" t="s">
        <v>574</v>
      </c>
      <c r="D136" s="47"/>
      <c r="E136" s="47" t="s">
        <v>22</v>
      </c>
      <c r="F136" s="47" t="s">
        <v>648</v>
      </c>
      <c r="G13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13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21510000</v>
      </c>
      <c r="I136" s="52" t="str">
        <f>VLOOKUP(Table3[[#This Row],[PSGC]],DISTRICT!$D:$G,4,FALSE)</f>
        <v>4th</v>
      </c>
      <c r="J136" s="47" t="s">
        <v>578</v>
      </c>
      <c r="K136" s="51" t="str">
        <f>VLOOKUP(Table3[[#This Row],[SPECIFIC COMMODITY]],TAGS!$W$48:$X$53,2,FALSE)</f>
        <v>Corn</v>
      </c>
      <c r="L136" s="51" t="str">
        <f>VLOOKUP(Table3[[#This Row],[PREXC SUB-PROGRAM]],Table5[],2,FALSE)</f>
        <v>TECHNICAL AND SUPPORT SERVICES PROGRAM</v>
      </c>
      <c r="M136" s="51" t="str">
        <f>VLOOKUP(Table3[[#This Row],[COMMODITY PREXC SUB-PROGRAM]],TAGS!$U$54:$V$76,2,FALSE)</f>
        <v>PSS</v>
      </c>
      <c r="N136" s="47" t="s">
        <v>576</v>
      </c>
      <c r="O136" s="54" t="str">
        <f>VLOOKUP(Table3[[#This Row],[PI LEVEL 3]],'PI LEVEL'!A:C,3,FALSE)</f>
        <v>Fertilizers and other soil ammendment distributed</v>
      </c>
      <c r="P136" s="54" t="str">
        <f>VLOOKUP(Table3[[#This Row],[PI LEVEL 3]],Table53729[[Performance Indicator Level 3]:[Performance Indicator Level 1]],2,FALSE)</f>
        <v>Fertilizers distributed</v>
      </c>
      <c r="Q136" s="54" t="str">
        <f>VLOOKUP(Table3[[#This Row],[ACTIVITY]],TAGS!B:P,2,FALSE)</f>
        <v>Inorganic fertilizer distributed</v>
      </c>
      <c r="R136" s="47" t="s">
        <v>36</v>
      </c>
      <c r="S136" s="51" t="str">
        <f>VLOOKUP(Table3[[#This Row],[ACTIVITY]],TAGS!$B:$P,4,FALSE)</f>
        <v>Yellow Corn Production Enhancement Project</v>
      </c>
      <c r="T136" s="51" t="str">
        <f>VLOOKUP(Table3[[#This Row],[ACTIVITY]],TAGS!$B:$P,5,FALSE)</f>
        <v>Soil Fertilization</v>
      </c>
      <c r="U136" s="51" t="str">
        <f>VLOOKUP(Table3[[#This Row],[ACTIVITY]],TAGS!$B:$P,6,FALSE)</f>
        <v>Inorganic fertilizer</v>
      </c>
      <c r="V136" s="51" t="str">
        <f>VLOOKUP(Table3[[#This Row],[ACTIVITY]],TAGS!$B:$P,7,FALSE)</f>
        <v>NO</v>
      </c>
      <c r="W136" s="51" t="str">
        <f>VLOOKUP(Table3[[#This Row],[ACTIVITY]],TAGS!$B:$P,8,FALSE)</f>
        <v>PAP</v>
      </c>
      <c r="X136" s="51" t="str">
        <f>VLOOKUP(Table3[[#This Row],[ACTIVITY]],TAGS!$B:$P,10,FALSE)</f>
        <v>PIP</v>
      </c>
      <c r="Y136" s="51" t="str">
        <f>VLOOKUP(Table3[[#This Row],[ACTIVITY]],TAGS!$B:$P,11,FALSE)</f>
        <v>PICS</v>
      </c>
      <c r="Z136" s="51" t="str">
        <f>VLOOKUP(Table3[[#This Row],[ACTIVITY]],TAGS!$B:$P,12,FALSE)</f>
        <v>Consolidation</v>
      </c>
      <c r="AA136" s="51" t="str">
        <f>VLOOKUP(Table3[[#This Row],[ACTIVITY]],TAGS!$B:$P,13,FALSE)</f>
        <v>1. Bayanihan Agri Cluster</v>
      </c>
      <c r="AB136" s="51" t="str">
        <f>VLOOKUP(Table3[[#This Row],[ACTIVITY]],TAGS!$B:$P,14,FALSE)</f>
        <v>EXPAND AND IMPROVE AVAILABLE AGRI-FISHERY AREAS FOR INCREASED PRODUCTION</v>
      </c>
      <c r="AC136" s="51" t="str">
        <f>VLOOKUP(Table3[[#This Row],[ACTIVITY]],TAGS!$B:$P,15,FALSE)</f>
        <v>Farm Inputs</v>
      </c>
      <c r="AD136" s="51" t="str">
        <f>VLOOKUP(Table3[[#This Row],[PI LEVEL 3]],'PI LEVEL'!$A:$G,7,FALSE)</f>
        <v>DA-Level Output</v>
      </c>
      <c r="AE136" s="47" t="s">
        <v>577</v>
      </c>
      <c r="AF136" s="51" t="str">
        <f>VLOOKUP(Table3[[#This Row],[ACTIVITY]],TAGS!$B:$P,3,FALSE)</f>
        <v>kilogram</v>
      </c>
      <c r="AG136" s="47" t="s">
        <v>334</v>
      </c>
      <c r="AH136" s="51" t="str">
        <f>VLOOKUP(Table3[[#This Row],[MONTH]],TAGS!$W$67:$Y$81,2,FALSE)</f>
        <v>3RD QTR</v>
      </c>
      <c r="AI136" s="51" t="str">
        <f>VLOOKUP(Table3[[#This Row],[MONTH]],TAGS!$W$67:$Y$81,3,FALSE)</f>
        <v>2ND SEMESTER</v>
      </c>
      <c r="AJ136" s="51">
        <f>VLOOKUP(Table3[[#This Row],[MONTH]],TAGS!$W$67:$Z$81,4,FALSE)</f>
        <v>2025</v>
      </c>
      <c r="AK136" s="47">
        <v>500</v>
      </c>
      <c r="AL136" s="51" t="str">
        <f>VLOOKUP(Table3[[#This Row],[ACTIVITY]],TAGS!$B:$R,16,FALSE)</f>
        <v>YES</v>
      </c>
      <c r="AM136" s="47">
        <v>5</v>
      </c>
      <c r="AN136" s="47">
        <v>22.5</v>
      </c>
      <c r="AO136" s="57">
        <f>SUM(Table3[[#This Row],[MALE BENEFICIARIES]:[FEMALE BENEFICIARIES]])</f>
        <v>0</v>
      </c>
      <c r="AP136" s="58"/>
      <c r="AQ136" s="58"/>
      <c r="AR136" s="58"/>
      <c r="AS136" s="58">
        <v>1</v>
      </c>
      <c r="AT136" s="59">
        <v>5</v>
      </c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</row>
    <row r="137" spans="1:65">
      <c r="A137" s="51" t="str">
        <f>VLOOKUP(Table3[[#This Row],[OU]],OU!$A$15:$B$34,2,FALSE)</f>
        <v>RFOs</v>
      </c>
      <c r="B137" s="47" t="s">
        <v>5</v>
      </c>
      <c r="C137" s="47" t="s">
        <v>574</v>
      </c>
      <c r="D137" s="47"/>
      <c r="E137" s="47" t="s">
        <v>22</v>
      </c>
      <c r="F137" s="47" t="s">
        <v>649</v>
      </c>
      <c r="G13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13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21525000</v>
      </c>
      <c r="I137" s="52" t="str">
        <f>VLOOKUP(Table3[[#This Row],[PSGC]],DISTRICT!$D:$G,4,FALSE)</f>
        <v>4th</v>
      </c>
      <c r="J137" s="47" t="s">
        <v>578</v>
      </c>
      <c r="K137" s="51" t="str">
        <f>VLOOKUP(Table3[[#This Row],[SPECIFIC COMMODITY]],TAGS!$W$48:$X$53,2,FALSE)</f>
        <v>Corn</v>
      </c>
      <c r="L137" s="51" t="str">
        <f>VLOOKUP(Table3[[#This Row],[PREXC SUB-PROGRAM]],Table5[],2,FALSE)</f>
        <v>TECHNICAL AND SUPPORT SERVICES PROGRAM</v>
      </c>
      <c r="M137" s="51" t="str">
        <f>VLOOKUP(Table3[[#This Row],[COMMODITY PREXC SUB-PROGRAM]],TAGS!$U$54:$V$76,2,FALSE)</f>
        <v>PSS</v>
      </c>
      <c r="N137" s="47" t="s">
        <v>576</v>
      </c>
      <c r="O137" s="54" t="str">
        <f>VLOOKUP(Table3[[#This Row],[PI LEVEL 3]],'PI LEVEL'!A:C,3,FALSE)</f>
        <v>Fertilizers and other soil ammendment distributed</v>
      </c>
      <c r="P137" s="54" t="str">
        <f>VLOOKUP(Table3[[#This Row],[PI LEVEL 3]],Table53729[[Performance Indicator Level 3]:[Performance Indicator Level 1]],2,FALSE)</f>
        <v>Fertilizers distributed</v>
      </c>
      <c r="Q137" s="54" t="str">
        <f>VLOOKUP(Table3[[#This Row],[ACTIVITY]],TAGS!B:P,2,FALSE)</f>
        <v>Inorganic fertilizer distributed</v>
      </c>
      <c r="R137" s="47" t="s">
        <v>36</v>
      </c>
      <c r="S137" s="51" t="str">
        <f>VLOOKUP(Table3[[#This Row],[ACTIVITY]],TAGS!$B:$P,4,FALSE)</f>
        <v>Yellow Corn Production Enhancement Project</v>
      </c>
      <c r="T137" s="51" t="str">
        <f>VLOOKUP(Table3[[#This Row],[ACTIVITY]],TAGS!$B:$P,5,FALSE)</f>
        <v>Soil Fertilization</v>
      </c>
      <c r="U137" s="51" t="str">
        <f>VLOOKUP(Table3[[#This Row],[ACTIVITY]],TAGS!$B:$P,6,FALSE)</f>
        <v>Inorganic fertilizer</v>
      </c>
      <c r="V137" s="51" t="str">
        <f>VLOOKUP(Table3[[#This Row],[ACTIVITY]],TAGS!$B:$P,7,FALSE)</f>
        <v>NO</v>
      </c>
      <c r="W137" s="51" t="str">
        <f>VLOOKUP(Table3[[#This Row],[ACTIVITY]],TAGS!$B:$P,8,FALSE)</f>
        <v>PAP</v>
      </c>
      <c r="X137" s="51" t="str">
        <f>VLOOKUP(Table3[[#This Row],[ACTIVITY]],TAGS!$B:$P,10,FALSE)</f>
        <v>PIP</v>
      </c>
      <c r="Y137" s="51" t="str">
        <f>VLOOKUP(Table3[[#This Row],[ACTIVITY]],TAGS!$B:$P,11,FALSE)</f>
        <v>PICS</v>
      </c>
      <c r="Z137" s="51" t="str">
        <f>VLOOKUP(Table3[[#This Row],[ACTIVITY]],TAGS!$B:$P,12,FALSE)</f>
        <v>Consolidation</v>
      </c>
      <c r="AA137" s="51" t="str">
        <f>VLOOKUP(Table3[[#This Row],[ACTIVITY]],TAGS!$B:$P,13,FALSE)</f>
        <v>1. Bayanihan Agri Cluster</v>
      </c>
      <c r="AB137" s="51" t="str">
        <f>VLOOKUP(Table3[[#This Row],[ACTIVITY]],TAGS!$B:$P,14,FALSE)</f>
        <v>EXPAND AND IMPROVE AVAILABLE AGRI-FISHERY AREAS FOR INCREASED PRODUCTION</v>
      </c>
      <c r="AC137" s="51" t="str">
        <f>VLOOKUP(Table3[[#This Row],[ACTIVITY]],TAGS!$B:$P,15,FALSE)</f>
        <v>Farm Inputs</v>
      </c>
      <c r="AD137" s="51" t="str">
        <f>VLOOKUP(Table3[[#This Row],[PI LEVEL 3]],'PI LEVEL'!$A:$G,7,FALSE)</f>
        <v>DA-Level Output</v>
      </c>
      <c r="AE137" s="47" t="s">
        <v>577</v>
      </c>
      <c r="AF137" s="51" t="str">
        <f>VLOOKUP(Table3[[#This Row],[ACTIVITY]],TAGS!$B:$P,3,FALSE)</f>
        <v>kilogram</v>
      </c>
      <c r="AG137" s="47" t="s">
        <v>334</v>
      </c>
      <c r="AH137" s="51" t="str">
        <f>VLOOKUP(Table3[[#This Row],[MONTH]],TAGS!$W$67:$Y$81,2,FALSE)</f>
        <v>3RD QTR</v>
      </c>
      <c r="AI137" s="51" t="str">
        <f>VLOOKUP(Table3[[#This Row],[MONTH]],TAGS!$W$67:$Y$81,3,FALSE)</f>
        <v>2ND SEMESTER</v>
      </c>
      <c r="AJ137" s="51">
        <f>VLOOKUP(Table3[[#This Row],[MONTH]],TAGS!$W$67:$Z$81,4,FALSE)</f>
        <v>2025</v>
      </c>
      <c r="AK137" s="47">
        <v>8600</v>
      </c>
      <c r="AL137" s="51" t="str">
        <f>VLOOKUP(Table3[[#This Row],[ACTIVITY]],TAGS!$B:$R,16,FALSE)</f>
        <v>YES</v>
      </c>
      <c r="AM137" s="47">
        <v>86</v>
      </c>
      <c r="AN137" s="47">
        <v>387</v>
      </c>
      <c r="AO137" s="57">
        <f>SUM(Table3[[#This Row],[MALE BENEFICIARIES]:[FEMALE BENEFICIARIES]])</f>
        <v>0</v>
      </c>
      <c r="AP137" s="58"/>
      <c r="AQ137" s="58"/>
      <c r="AR137" s="58"/>
      <c r="AS137" s="58">
        <v>1</v>
      </c>
      <c r="AT137" s="59">
        <v>86</v>
      </c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</row>
    <row r="138" spans="1:65">
      <c r="A138" s="51" t="str">
        <f>VLOOKUP(Table3[[#This Row],[OU]],OU!$A$15:$B$34,2,FALSE)</f>
        <v>RFOs</v>
      </c>
      <c r="B138" s="47" t="s">
        <v>5</v>
      </c>
      <c r="C138" s="47" t="s">
        <v>574</v>
      </c>
      <c r="D138" s="47"/>
      <c r="E138" s="47" t="s">
        <v>22</v>
      </c>
      <c r="F138" s="47" t="s">
        <v>650</v>
      </c>
      <c r="G13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13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21501000</v>
      </c>
      <c r="I138" s="52" t="str">
        <f>VLOOKUP(Table3[[#This Row],[PSGC]],DISTRICT!$D:$G,4,FALSE)</f>
        <v>3rd</v>
      </c>
      <c r="J138" s="47" t="s">
        <v>578</v>
      </c>
      <c r="K138" s="51" t="str">
        <f>VLOOKUP(Table3[[#This Row],[SPECIFIC COMMODITY]],TAGS!$W$48:$X$53,2,FALSE)</f>
        <v>Corn</v>
      </c>
      <c r="L138" s="51" t="str">
        <f>VLOOKUP(Table3[[#This Row],[PREXC SUB-PROGRAM]],Table5[],2,FALSE)</f>
        <v>TECHNICAL AND SUPPORT SERVICES PROGRAM</v>
      </c>
      <c r="M138" s="51" t="str">
        <f>VLOOKUP(Table3[[#This Row],[COMMODITY PREXC SUB-PROGRAM]],TAGS!$U$54:$V$76,2,FALSE)</f>
        <v>PSS</v>
      </c>
      <c r="N138" s="47" t="s">
        <v>576</v>
      </c>
      <c r="O138" s="54" t="str">
        <f>VLOOKUP(Table3[[#This Row],[PI LEVEL 3]],'PI LEVEL'!A:C,3,FALSE)</f>
        <v>Fertilizers and other soil ammendment distributed</v>
      </c>
      <c r="P138" s="54" t="str">
        <f>VLOOKUP(Table3[[#This Row],[PI LEVEL 3]],Table53729[[Performance Indicator Level 3]:[Performance Indicator Level 1]],2,FALSE)</f>
        <v>Fertilizers distributed</v>
      </c>
      <c r="Q138" s="54" t="str">
        <f>VLOOKUP(Table3[[#This Row],[ACTIVITY]],TAGS!B:P,2,FALSE)</f>
        <v>Inorganic fertilizer distributed</v>
      </c>
      <c r="R138" s="47" t="s">
        <v>36</v>
      </c>
      <c r="S138" s="51" t="str">
        <f>VLOOKUP(Table3[[#This Row],[ACTIVITY]],TAGS!$B:$P,4,FALSE)</f>
        <v>Yellow Corn Production Enhancement Project</v>
      </c>
      <c r="T138" s="51" t="str">
        <f>VLOOKUP(Table3[[#This Row],[ACTIVITY]],TAGS!$B:$P,5,FALSE)</f>
        <v>Soil Fertilization</v>
      </c>
      <c r="U138" s="51" t="str">
        <f>VLOOKUP(Table3[[#This Row],[ACTIVITY]],TAGS!$B:$P,6,FALSE)</f>
        <v>Inorganic fertilizer</v>
      </c>
      <c r="V138" s="51" t="str">
        <f>VLOOKUP(Table3[[#This Row],[ACTIVITY]],TAGS!$B:$P,7,FALSE)</f>
        <v>NO</v>
      </c>
      <c r="W138" s="51" t="str">
        <f>VLOOKUP(Table3[[#This Row],[ACTIVITY]],TAGS!$B:$P,8,FALSE)</f>
        <v>PAP</v>
      </c>
      <c r="X138" s="51" t="str">
        <f>VLOOKUP(Table3[[#This Row],[ACTIVITY]],TAGS!$B:$P,10,FALSE)</f>
        <v>PIP</v>
      </c>
      <c r="Y138" s="51" t="str">
        <f>VLOOKUP(Table3[[#This Row],[ACTIVITY]],TAGS!$B:$P,11,FALSE)</f>
        <v>PICS</v>
      </c>
      <c r="Z138" s="51" t="str">
        <f>VLOOKUP(Table3[[#This Row],[ACTIVITY]],TAGS!$B:$P,12,FALSE)</f>
        <v>Consolidation</v>
      </c>
      <c r="AA138" s="51" t="str">
        <f>VLOOKUP(Table3[[#This Row],[ACTIVITY]],TAGS!$B:$P,13,FALSE)</f>
        <v>1. Bayanihan Agri Cluster</v>
      </c>
      <c r="AB138" s="51" t="str">
        <f>VLOOKUP(Table3[[#This Row],[ACTIVITY]],TAGS!$B:$P,14,FALSE)</f>
        <v>EXPAND AND IMPROVE AVAILABLE AGRI-FISHERY AREAS FOR INCREASED PRODUCTION</v>
      </c>
      <c r="AC138" s="51" t="str">
        <f>VLOOKUP(Table3[[#This Row],[ACTIVITY]],TAGS!$B:$P,15,FALSE)</f>
        <v>Farm Inputs</v>
      </c>
      <c r="AD138" s="51" t="str">
        <f>VLOOKUP(Table3[[#This Row],[PI LEVEL 3]],'PI LEVEL'!$A:$G,7,FALSE)</f>
        <v>DA-Level Output</v>
      </c>
      <c r="AE138" s="47" t="s">
        <v>577</v>
      </c>
      <c r="AF138" s="51" t="str">
        <f>VLOOKUP(Table3[[#This Row],[ACTIVITY]],TAGS!$B:$P,3,FALSE)</f>
        <v>kilogram</v>
      </c>
      <c r="AG138" s="47" t="s">
        <v>334</v>
      </c>
      <c r="AH138" s="51" t="str">
        <f>VLOOKUP(Table3[[#This Row],[MONTH]],TAGS!$W$67:$Y$81,2,FALSE)</f>
        <v>3RD QTR</v>
      </c>
      <c r="AI138" s="51" t="str">
        <f>VLOOKUP(Table3[[#This Row],[MONTH]],TAGS!$W$67:$Y$81,3,FALSE)</f>
        <v>2ND SEMESTER</v>
      </c>
      <c r="AJ138" s="51">
        <f>VLOOKUP(Table3[[#This Row],[MONTH]],TAGS!$W$67:$Z$81,4,FALSE)</f>
        <v>2025</v>
      </c>
      <c r="AK138" s="47">
        <v>18500</v>
      </c>
      <c r="AL138" s="51" t="str">
        <f>VLOOKUP(Table3[[#This Row],[ACTIVITY]],TAGS!$B:$R,16,FALSE)</f>
        <v>YES</v>
      </c>
      <c r="AM138" s="47">
        <v>185</v>
      </c>
      <c r="AN138" s="47">
        <v>832.5</v>
      </c>
      <c r="AO138" s="57">
        <f>SUM(Table3[[#This Row],[MALE BENEFICIARIES]:[FEMALE BENEFICIARIES]])</f>
        <v>0</v>
      </c>
      <c r="AP138" s="58"/>
      <c r="AQ138" s="58"/>
      <c r="AR138" s="58"/>
      <c r="AS138" s="58">
        <v>1</v>
      </c>
      <c r="AT138" s="59">
        <v>185</v>
      </c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</row>
    <row r="139" spans="1:65">
      <c r="A139" s="51" t="str">
        <f>VLOOKUP(Table3[[#This Row],[OU]],OU!$A$15:$B$34,2,FALSE)</f>
        <v>RFOs</v>
      </c>
      <c r="B139" s="47" t="s">
        <v>5</v>
      </c>
      <c r="C139" s="47" t="s">
        <v>574</v>
      </c>
      <c r="D139" s="47"/>
      <c r="E139" s="47" t="s">
        <v>22</v>
      </c>
      <c r="F139" s="47" t="s">
        <v>651</v>
      </c>
      <c r="G13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13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21509000</v>
      </c>
      <c r="I139" s="52" t="str">
        <f>VLOOKUP(Table3[[#This Row],[PSGC]],DISTRICT!$D:$G,4,FALSE)</f>
        <v>3rd</v>
      </c>
      <c r="J139" s="47" t="s">
        <v>578</v>
      </c>
      <c r="K139" s="51" t="str">
        <f>VLOOKUP(Table3[[#This Row],[SPECIFIC COMMODITY]],TAGS!$W$48:$X$53,2,FALSE)</f>
        <v>Corn</v>
      </c>
      <c r="L139" s="51" t="str">
        <f>VLOOKUP(Table3[[#This Row],[PREXC SUB-PROGRAM]],Table5[],2,FALSE)</f>
        <v>TECHNICAL AND SUPPORT SERVICES PROGRAM</v>
      </c>
      <c r="M139" s="51" t="str">
        <f>VLOOKUP(Table3[[#This Row],[COMMODITY PREXC SUB-PROGRAM]],TAGS!$U$54:$V$76,2,FALSE)</f>
        <v>PSS</v>
      </c>
      <c r="N139" s="47" t="s">
        <v>576</v>
      </c>
      <c r="O139" s="54" t="str">
        <f>VLOOKUP(Table3[[#This Row],[PI LEVEL 3]],'PI LEVEL'!A:C,3,FALSE)</f>
        <v>Fertilizers and other soil ammendment distributed</v>
      </c>
      <c r="P139" s="54" t="str">
        <f>VLOOKUP(Table3[[#This Row],[PI LEVEL 3]],Table53729[[Performance Indicator Level 3]:[Performance Indicator Level 1]],2,FALSE)</f>
        <v>Fertilizers distributed</v>
      </c>
      <c r="Q139" s="54" t="str">
        <f>VLOOKUP(Table3[[#This Row],[ACTIVITY]],TAGS!B:P,2,FALSE)</f>
        <v>Inorganic fertilizer distributed</v>
      </c>
      <c r="R139" s="47" t="s">
        <v>36</v>
      </c>
      <c r="S139" s="51" t="str">
        <f>VLOOKUP(Table3[[#This Row],[ACTIVITY]],TAGS!$B:$P,4,FALSE)</f>
        <v>Yellow Corn Production Enhancement Project</v>
      </c>
      <c r="T139" s="51" t="str">
        <f>VLOOKUP(Table3[[#This Row],[ACTIVITY]],TAGS!$B:$P,5,FALSE)</f>
        <v>Soil Fertilization</v>
      </c>
      <c r="U139" s="51" t="str">
        <f>VLOOKUP(Table3[[#This Row],[ACTIVITY]],TAGS!$B:$P,6,FALSE)</f>
        <v>Inorganic fertilizer</v>
      </c>
      <c r="V139" s="51" t="str">
        <f>VLOOKUP(Table3[[#This Row],[ACTIVITY]],TAGS!$B:$P,7,FALSE)</f>
        <v>NO</v>
      </c>
      <c r="W139" s="51" t="str">
        <f>VLOOKUP(Table3[[#This Row],[ACTIVITY]],TAGS!$B:$P,8,FALSE)</f>
        <v>PAP</v>
      </c>
      <c r="X139" s="51" t="str">
        <f>VLOOKUP(Table3[[#This Row],[ACTIVITY]],TAGS!$B:$P,10,FALSE)</f>
        <v>PIP</v>
      </c>
      <c r="Y139" s="51" t="str">
        <f>VLOOKUP(Table3[[#This Row],[ACTIVITY]],TAGS!$B:$P,11,FALSE)</f>
        <v>PICS</v>
      </c>
      <c r="Z139" s="51" t="str">
        <f>VLOOKUP(Table3[[#This Row],[ACTIVITY]],TAGS!$B:$P,12,FALSE)</f>
        <v>Consolidation</v>
      </c>
      <c r="AA139" s="51" t="str">
        <f>VLOOKUP(Table3[[#This Row],[ACTIVITY]],TAGS!$B:$P,13,FALSE)</f>
        <v>1. Bayanihan Agri Cluster</v>
      </c>
      <c r="AB139" s="51" t="str">
        <f>VLOOKUP(Table3[[#This Row],[ACTIVITY]],TAGS!$B:$P,14,FALSE)</f>
        <v>EXPAND AND IMPROVE AVAILABLE AGRI-FISHERY AREAS FOR INCREASED PRODUCTION</v>
      </c>
      <c r="AC139" s="51" t="str">
        <f>VLOOKUP(Table3[[#This Row],[ACTIVITY]],TAGS!$B:$P,15,FALSE)</f>
        <v>Farm Inputs</v>
      </c>
      <c r="AD139" s="51" t="str">
        <f>VLOOKUP(Table3[[#This Row],[PI LEVEL 3]],'PI LEVEL'!$A:$G,7,FALSE)</f>
        <v>DA-Level Output</v>
      </c>
      <c r="AE139" s="47" t="s">
        <v>577</v>
      </c>
      <c r="AF139" s="51" t="str">
        <f>VLOOKUP(Table3[[#This Row],[ACTIVITY]],TAGS!$B:$P,3,FALSE)</f>
        <v>kilogram</v>
      </c>
      <c r="AG139" s="47" t="s">
        <v>334</v>
      </c>
      <c r="AH139" s="51" t="str">
        <f>VLOOKUP(Table3[[#This Row],[MONTH]],TAGS!$W$67:$Y$81,2,FALSE)</f>
        <v>3RD QTR</v>
      </c>
      <c r="AI139" s="51" t="str">
        <f>VLOOKUP(Table3[[#This Row],[MONTH]],TAGS!$W$67:$Y$81,3,FALSE)</f>
        <v>2ND SEMESTER</v>
      </c>
      <c r="AJ139" s="51">
        <f>VLOOKUP(Table3[[#This Row],[MONTH]],TAGS!$W$67:$Z$81,4,FALSE)</f>
        <v>2025</v>
      </c>
      <c r="AK139" s="47">
        <v>500</v>
      </c>
      <c r="AL139" s="51" t="str">
        <f>VLOOKUP(Table3[[#This Row],[ACTIVITY]],TAGS!$B:$R,16,FALSE)</f>
        <v>YES</v>
      </c>
      <c r="AM139" s="47">
        <v>5</v>
      </c>
      <c r="AN139" s="47">
        <v>22.5</v>
      </c>
      <c r="AO139" s="57">
        <f>SUM(Table3[[#This Row],[MALE BENEFICIARIES]:[FEMALE BENEFICIARIES]])</f>
        <v>0</v>
      </c>
      <c r="AP139" s="58"/>
      <c r="AQ139" s="58"/>
      <c r="AR139" s="58"/>
      <c r="AS139" s="58">
        <v>1</v>
      </c>
      <c r="AT139" s="59">
        <v>5</v>
      </c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</row>
    <row r="140" spans="1:65">
      <c r="A140" s="51" t="str">
        <f>VLOOKUP(Table3[[#This Row],[OU]],OU!$A$15:$B$34,2,FALSE)</f>
        <v>RFOs</v>
      </c>
      <c r="B140" s="47" t="s">
        <v>5</v>
      </c>
      <c r="C140" s="47" t="s">
        <v>574</v>
      </c>
      <c r="D140" s="47"/>
      <c r="E140" s="47" t="s">
        <v>22</v>
      </c>
      <c r="F140" s="47" t="s">
        <v>628</v>
      </c>
      <c r="G14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14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21517000</v>
      </c>
      <c r="I140" s="52" t="str">
        <f>VLOOKUP(Table3[[#This Row],[PSGC]],DISTRICT!$D:$G,4,FALSE)</f>
        <v>3rd</v>
      </c>
      <c r="J140" s="47" t="s">
        <v>578</v>
      </c>
      <c r="K140" s="51" t="str">
        <f>VLOOKUP(Table3[[#This Row],[SPECIFIC COMMODITY]],TAGS!$W$48:$X$53,2,FALSE)</f>
        <v>Corn</v>
      </c>
      <c r="L140" s="51" t="str">
        <f>VLOOKUP(Table3[[#This Row],[PREXC SUB-PROGRAM]],Table5[],2,FALSE)</f>
        <v>TECHNICAL AND SUPPORT SERVICES PROGRAM</v>
      </c>
      <c r="M140" s="51" t="str">
        <f>VLOOKUP(Table3[[#This Row],[COMMODITY PREXC SUB-PROGRAM]],TAGS!$U$54:$V$76,2,FALSE)</f>
        <v>PSS</v>
      </c>
      <c r="N140" s="47" t="s">
        <v>576</v>
      </c>
      <c r="O140" s="54" t="str">
        <f>VLOOKUP(Table3[[#This Row],[PI LEVEL 3]],'PI LEVEL'!A:C,3,FALSE)</f>
        <v>Fertilizers and other soil ammendment distributed</v>
      </c>
      <c r="P140" s="54" t="str">
        <f>VLOOKUP(Table3[[#This Row],[PI LEVEL 3]],Table53729[[Performance Indicator Level 3]:[Performance Indicator Level 1]],2,FALSE)</f>
        <v>Fertilizers distributed</v>
      </c>
      <c r="Q140" s="54" t="str">
        <f>VLOOKUP(Table3[[#This Row],[ACTIVITY]],TAGS!B:P,2,FALSE)</f>
        <v>Inorganic fertilizer distributed</v>
      </c>
      <c r="R140" s="47" t="s">
        <v>36</v>
      </c>
      <c r="S140" s="51" t="str">
        <f>VLOOKUP(Table3[[#This Row],[ACTIVITY]],TAGS!$B:$P,4,FALSE)</f>
        <v>Yellow Corn Production Enhancement Project</v>
      </c>
      <c r="T140" s="51" t="str">
        <f>VLOOKUP(Table3[[#This Row],[ACTIVITY]],TAGS!$B:$P,5,FALSE)</f>
        <v>Soil Fertilization</v>
      </c>
      <c r="U140" s="51" t="str">
        <f>VLOOKUP(Table3[[#This Row],[ACTIVITY]],TAGS!$B:$P,6,FALSE)</f>
        <v>Inorganic fertilizer</v>
      </c>
      <c r="V140" s="51" t="str">
        <f>VLOOKUP(Table3[[#This Row],[ACTIVITY]],TAGS!$B:$P,7,FALSE)</f>
        <v>NO</v>
      </c>
      <c r="W140" s="51" t="str">
        <f>VLOOKUP(Table3[[#This Row],[ACTIVITY]],TAGS!$B:$P,8,FALSE)</f>
        <v>PAP</v>
      </c>
      <c r="X140" s="51" t="str">
        <f>VLOOKUP(Table3[[#This Row],[ACTIVITY]],TAGS!$B:$P,10,FALSE)</f>
        <v>PIP</v>
      </c>
      <c r="Y140" s="51" t="str">
        <f>VLOOKUP(Table3[[#This Row],[ACTIVITY]],TAGS!$B:$P,11,FALSE)</f>
        <v>PICS</v>
      </c>
      <c r="Z140" s="51" t="str">
        <f>VLOOKUP(Table3[[#This Row],[ACTIVITY]],TAGS!$B:$P,12,FALSE)</f>
        <v>Consolidation</v>
      </c>
      <c r="AA140" s="51" t="str">
        <f>VLOOKUP(Table3[[#This Row],[ACTIVITY]],TAGS!$B:$P,13,FALSE)</f>
        <v>1. Bayanihan Agri Cluster</v>
      </c>
      <c r="AB140" s="51" t="str">
        <f>VLOOKUP(Table3[[#This Row],[ACTIVITY]],TAGS!$B:$P,14,FALSE)</f>
        <v>EXPAND AND IMPROVE AVAILABLE AGRI-FISHERY AREAS FOR INCREASED PRODUCTION</v>
      </c>
      <c r="AC140" s="51" t="str">
        <f>VLOOKUP(Table3[[#This Row],[ACTIVITY]],TAGS!$B:$P,15,FALSE)</f>
        <v>Farm Inputs</v>
      </c>
      <c r="AD140" s="51" t="str">
        <f>VLOOKUP(Table3[[#This Row],[PI LEVEL 3]],'PI LEVEL'!$A:$G,7,FALSE)</f>
        <v>DA-Level Output</v>
      </c>
      <c r="AE140" s="47" t="s">
        <v>577</v>
      </c>
      <c r="AF140" s="51" t="str">
        <f>VLOOKUP(Table3[[#This Row],[ACTIVITY]],TAGS!$B:$P,3,FALSE)</f>
        <v>kilogram</v>
      </c>
      <c r="AG140" s="47" t="s">
        <v>334</v>
      </c>
      <c r="AH140" s="51" t="str">
        <f>VLOOKUP(Table3[[#This Row],[MONTH]],TAGS!$W$67:$Y$81,2,FALSE)</f>
        <v>3RD QTR</v>
      </c>
      <c r="AI140" s="51" t="str">
        <f>VLOOKUP(Table3[[#This Row],[MONTH]],TAGS!$W$67:$Y$81,3,FALSE)</f>
        <v>2ND SEMESTER</v>
      </c>
      <c r="AJ140" s="51">
        <f>VLOOKUP(Table3[[#This Row],[MONTH]],TAGS!$W$67:$Z$81,4,FALSE)</f>
        <v>2025</v>
      </c>
      <c r="AK140" s="47">
        <v>20900</v>
      </c>
      <c r="AL140" s="51" t="str">
        <f>VLOOKUP(Table3[[#This Row],[ACTIVITY]],TAGS!$B:$R,16,FALSE)</f>
        <v>YES</v>
      </c>
      <c r="AM140" s="47">
        <v>209</v>
      </c>
      <c r="AN140" s="47">
        <v>940.5</v>
      </c>
      <c r="AO140" s="57">
        <f>SUM(Table3[[#This Row],[MALE BENEFICIARIES]:[FEMALE BENEFICIARIES]])</f>
        <v>0</v>
      </c>
      <c r="AP140" s="58"/>
      <c r="AQ140" s="58"/>
      <c r="AR140" s="58"/>
      <c r="AS140" s="58">
        <v>1</v>
      </c>
      <c r="AT140" s="59">
        <v>209</v>
      </c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</row>
    <row r="141" spans="1:65">
      <c r="A141" s="51" t="str">
        <f>VLOOKUP(Table3[[#This Row],[OU]],OU!$A$15:$B$34,2,FALSE)</f>
        <v>RFOs</v>
      </c>
      <c r="B141" s="47" t="s">
        <v>5</v>
      </c>
      <c r="C141" s="47" t="s">
        <v>574</v>
      </c>
      <c r="D141" s="47"/>
      <c r="E141" s="47" t="s">
        <v>22</v>
      </c>
      <c r="F141" s="47" t="s">
        <v>652</v>
      </c>
      <c r="G14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14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21520000</v>
      </c>
      <c r="I141" s="52" t="str">
        <f>VLOOKUP(Table3[[#This Row],[PSGC]],DISTRICT!$D:$G,4,FALSE)</f>
        <v>4th</v>
      </c>
      <c r="J141" s="47" t="s">
        <v>578</v>
      </c>
      <c r="K141" s="51" t="str">
        <f>VLOOKUP(Table3[[#This Row],[SPECIFIC COMMODITY]],TAGS!$W$48:$X$53,2,FALSE)</f>
        <v>Corn</v>
      </c>
      <c r="L141" s="51" t="str">
        <f>VLOOKUP(Table3[[#This Row],[PREXC SUB-PROGRAM]],Table5[],2,FALSE)</f>
        <v>TECHNICAL AND SUPPORT SERVICES PROGRAM</v>
      </c>
      <c r="M141" s="51" t="str">
        <f>VLOOKUP(Table3[[#This Row],[COMMODITY PREXC SUB-PROGRAM]],TAGS!$U$54:$V$76,2,FALSE)</f>
        <v>PSS</v>
      </c>
      <c r="N141" s="47" t="s">
        <v>576</v>
      </c>
      <c r="O141" s="54" t="str">
        <f>VLOOKUP(Table3[[#This Row],[PI LEVEL 3]],'PI LEVEL'!A:C,3,FALSE)</f>
        <v>Fertilizers and other soil ammendment distributed</v>
      </c>
      <c r="P141" s="54" t="str">
        <f>VLOOKUP(Table3[[#This Row],[PI LEVEL 3]],Table53729[[Performance Indicator Level 3]:[Performance Indicator Level 1]],2,FALSE)</f>
        <v>Fertilizers distributed</v>
      </c>
      <c r="Q141" s="54" t="str">
        <f>VLOOKUP(Table3[[#This Row],[ACTIVITY]],TAGS!B:P,2,FALSE)</f>
        <v>Inorganic fertilizer distributed</v>
      </c>
      <c r="R141" s="47" t="s">
        <v>36</v>
      </c>
      <c r="S141" s="51" t="str">
        <f>VLOOKUP(Table3[[#This Row],[ACTIVITY]],TAGS!$B:$P,4,FALSE)</f>
        <v>Yellow Corn Production Enhancement Project</v>
      </c>
      <c r="T141" s="51" t="str">
        <f>VLOOKUP(Table3[[#This Row],[ACTIVITY]],TAGS!$B:$P,5,FALSE)</f>
        <v>Soil Fertilization</v>
      </c>
      <c r="U141" s="51" t="str">
        <f>VLOOKUP(Table3[[#This Row],[ACTIVITY]],TAGS!$B:$P,6,FALSE)</f>
        <v>Inorganic fertilizer</v>
      </c>
      <c r="V141" s="51" t="str">
        <f>VLOOKUP(Table3[[#This Row],[ACTIVITY]],TAGS!$B:$P,7,FALSE)</f>
        <v>NO</v>
      </c>
      <c r="W141" s="51" t="str">
        <f>VLOOKUP(Table3[[#This Row],[ACTIVITY]],TAGS!$B:$P,8,FALSE)</f>
        <v>PAP</v>
      </c>
      <c r="X141" s="51" t="str">
        <f>VLOOKUP(Table3[[#This Row],[ACTIVITY]],TAGS!$B:$P,10,FALSE)</f>
        <v>PIP</v>
      </c>
      <c r="Y141" s="51" t="str">
        <f>VLOOKUP(Table3[[#This Row],[ACTIVITY]],TAGS!$B:$P,11,FALSE)</f>
        <v>PICS</v>
      </c>
      <c r="Z141" s="51" t="str">
        <f>VLOOKUP(Table3[[#This Row],[ACTIVITY]],TAGS!$B:$P,12,FALSE)</f>
        <v>Consolidation</v>
      </c>
      <c r="AA141" s="51" t="str">
        <f>VLOOKUP(Table3[[#This Row],[ACTIVITY]],TAGS!$B:$P,13,FALSE)</f>
        <v>1. Bayanihan Agri Cluster</v>
      </c>
      <c r="AB141" s="51" t="str">
        <f>VLOOKUP(Table3[[#This Row],[ACTIVITY]],TAGS!$B:$P,14,FALSE)</f>
        <v>EXPAND AND IMPROVE AVAILABLE AGRI-FISHERY AREAS FOR INCREASED PRODUCTION</v>
      </c>
      <c r="AC141" s="51" t="str">
        <f>VLOOKUP(Table3[[#This Row],[ACTIVITY]],TAGS!$B:$P,15,FALSE)</f>
        <v>Farm Inputs</v>
      </c>
      <c r="AD141" s="51" t="str">
        <f>VLOOKUP(Table3[[#This Row],[PI LEVEL 3]],'PI LEVEL'!$A:$G,7,FALSE)</f>
        <v>DA-Level Output</v>
      </c>
      <c r="AE141" s="47" t="s">
        <v>577</v>
      </c>
      <c r="AF141" s="51" t="str">
        <f>VLOOKUP(Table3[[#This Row],[ACTIVITY]],TAGS!$B:$P,3,FALSE)</f>
        <v>kilogram</v>
      </c>
      <c r="AG141" s="47" t="s">
        <v>334</v>
      </c>
      <c r="AH141" s="51" t="str">
        <f>VLOOKUP(Table3[[#This Row],[MONTH]],TAGS!$W$67:$Y$81,2,FALSE)</f>
        <v>3RD QTR</v>
      </c>
      <c r="AI141" s="51" t="str">
        <f>VLOOKUP(Table3[[#This Row],[MONTH]],TAGS!$W$67:$Y$81,3,FALSE)</f>
        <v>2ND SEMESTER</v>
      </c>
      <c r="AJ141" s="51">
        <f>VLOOKUP(Table3[[#This Row],[MONTH]],TAGS!$W$67:$Z$81,4,FALSE)</f>
        <v>2025</v>
      </c>
      <c r="AK141" s="47">
        <v>25300</v>
      </c>
      <c r="AL141" s="51" t="str">
        <f>VLOOKUP(Table3[[#This Row],[ACTIVITY]],TAGS!$B:$R,16,FALSE)</f>
        <v>YES</v>
      </c>
      <c r="AM141" s="47">
        <v>253</v>
      </c>
      <c r="AN141" s="47">
        <v>1138.5</v>
      </c>
      <c r="AO141" s="57">
        <f>SUM(Table3[[#This Row],[MALE BENEFICIARIES]:[FEMALE BENEFICIARIES]])</f>
        <v>0</v>
      </c>
      <c r="AP141" s="58"/>
      <c r="AQ141" s="58"/>
      <c r="AR141" s="58"/>
      <c r="AS141" s="58">
        <v>1</v>
      </c>
      <c r="AT141" s="59">
        <v>253</v>
      </c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</row>
    <row r="142" spans="1:65">
      <c r="A142" s="51" t="str">
        <f>VLOOKUP(Table3[[#This Row],[OU]],OU!$A$15:$B$34,2,FALSE)</f>
        <v>RFOs</v>
      </c>
      <c r="B142" s="47" t="s">
        <v>5</v>
      </c>
      <c r="C142" s="47" t="s">
        <v>574</v>
      </c>
      <c r="D142" s="47"/>
      <c r="E142" s="47" t="s">
        <v>22</v>
      </c>
      <c r="F142" s="47" t="s">
        <v>653</v>
      </c>
      <c r="G14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14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21521000</v>
      </c>
      <c r="I142" s="52" t="str">
        <f>VLOOKUP(Table3[[#This Row],[PSGC]],DISTRICT!$D:$G,4,FALSE)</f>
        <v>5th</v>
      </c>
      <c r="J142" s="47" t="s">
        <v>578</v>
      </c>
      <c r="K142" s="51" t="str">
        <f>VLOOKUP(Table3[[#This Row],[SPECIFIC COMMODITY]],TAGS!$W$48:$X$53,2,FALSE)</f>
        <v>Corn</v>
      </c>
      <c r="L142" s="51" t="str">
        <f>VLOOKUP(Table3[[#This Row],[PREXC SUB-PROGRAM]],Table5[],2,FALSE)</f>
        <v>TECHNICAL AND SUPPORT SERVICES PROGRAM</v>
      </c>
      <c r="M142" s="51" t="str">
        <f>VLOOKUP(Table3[[#This Row],[COMMODITY PREXC SUB-PROGRAM]],TAGS!$U$54:$V$76,2,FALSE)</f>
        <v>PSS</v>
      </c>
      <c r="N142" s="47" t="s">
        <v>576</v>
      </c>
      <c r="O142" s="54" t="str">
        <f>VLOOKUP(Table3[[#This Row],[PI LEVEL 3]],'PI LEVEL'!A:C,3,FALSE)</f>
        <v>Fertilizers and other soil ammendment distributed</v>
      </c>
      <c r="P142" s="54" t="str">
        <f>VLOOKUP(Table3[[#This Row],[PI LEVEL 3]],Table53729[[Performance Indicator Level 3]:[Performance Indicator Level 1]],2,FALSE)</f>
        <v>Fertilizers distributed</v>
      </c>
      <c r="Q142" s="54" t="str">
        <f>VLOOKUP(Table3[[#This Row],[ACTIVITY]],TAGS!B:P,2,FALSE)</f>
        <v>Inorganic fertilizer distributed</v>
      </c>
      <c r="R142" s="47" t="s">
        <v>36</v>
      </c>
      <c r="S142" s="51" t="str">
        <f>VLOOKUP(Table3[[#This Row],[ACTIVITY]],TAGS!$B:$P,4,FALSE)</f>
        <v>Yellow Corn Production Enhancement Project</v>
      </c>
      <c r="T142" s="51" t="str">
        <f>VLOOKUP(Table3[[#This Row],[ACTIVITY]],TAGS!$B:$P,5,FALSE)</f>
        <v>Soil Fertilization</v>
      </c>
      <c r="U142" s="51" t="str">
        <f>VLOOKUP(Table3[[#This Row],[ACTIVITY]],TAGS!$B:$P,6,FALSE)</f>
        <v>Inorganic fertilizer</v>
      </c>
      <c r="V142" s="51" t="str">
        <f>VLOOKUP(Table3[[#This Row],[ACTIVITY]],TAGS!$B:$P,7,FALSE)</f>
        <v>NO</v>
      </c>
      <c r="W142" s="51" t="str">
        <f>VLOOKUP(Table3[[#This Row],[ACTIVITY]],TAGS!$B:$P,8,FALSE)</f>
        <v>PAP</v>
      </c>
      <c r="X142" s="51" t="str">
        <f>VLOOKUP(Table3[[#This Row],[ACTIVITY]],TAGS!$B:$P,10,FALSE)</f>
        <v>PIP</v>
      </c>
      <c r="Y142" s="51" t="str">
        <f>VLOOKUP(Table3[[#This Row],[ACTIVITY]],TAGS!$B:$P,11,FALSE)</f>
        <v>PICS</v>
      </c>
      <c r="Z142" s="51" t="str">
        <f>VLOOKUP(Table3[[#This Row],[ACTIVITY]],TAGS!$B:$P,12,FALSE)</f>
        <v>Consolidation</v>
      </c>
      <c r="AA142" s="51" t="str">
        <f>VLOOKUP(Table3[[#This Row],[ACTIVITY]],TAGS!$B:$P,13,FALSE)</f>
        <v>1. Bayanihan Agri Cluster</v>
      </c>
      <c r="AB142" s="51" t="str">
        <f>VLOOKUP(Table3[[#This Row],[ACTIVITY]],TAGS!$B:$P,14,FALSE)</f>
        <v>EXPAND AND IMPROVE AVAILABLE AGRI-FISHERY AREAS FOR INCREASED PRODUCTION</v>
      </c>
      <c r="AC142" s="51" t="str">
        <f>VLOOKUP(Table3[[#This Row],[ACTIVITY]],TAGS!$B:$P,15,FALSE)</f>
        <v>Farm Inputs</v>
      </c>
      <c r="AD142" s="51" t="str">
        <f>VLOOKUP(Table3[[#This Row],[PI LEVEL 3]],'PI LEVEL'!$A:$G,7,FALSE)</f>
        <v>DA-Level Output</v>
      </c>
      <c r="AE142" s="47" t="s">
        <v>577</v>
      </c>
      <c r="AF142" s="51" t="str">
        <f>VLOOKUP(Table3[[#This Row],[ACTIVITY]],TAGS!$B:$P,3,FALSE)</f>
        <v>kilogram</v>
      </c>
      <c r="AG142" s="47" t="s">
        <v>334</v>
      </c>
      <c r="AH142" s="51" t="str">
        <f>VLOOKUP(Table3[[#This Row],[MONTH]],TAGS!$W$67:$Y$81,2,FALSE)</f>
        <v>3RD QTR</v>
      </c>
      <c r="AI142" s="51" t="str">
        <f>VLOOKUP(Table3[[#This Row],[MONTH]],TAGS!$W$67:$Y$81,3,FALSE)</f>
        <v>2ND SEMESTER</v>
      </c>
      <c r="AJ142" s="51">
        <f>VLOOKUP(Table3[[#This Row],[MONTH]],TAGS!$W$67:$Z$81,4,FALSE)</f>
        <v>2025</v>
      </c>
      <c r="AK142" s="47">
        <v>35400</v>
      </c>
      <c r="AL142" s="51" t="str">
        <f>VLOOKUP(Table3[[#This Row],[ACTIVITY]],TAGS!$B:$R,16,FALSE)</f>
        <v>YES</v>
      </c>
      <c r="AM142" s="47">
        <v>354</v>
      </c>
      <c r="AN142" s="47">
        <v>1593</v>
      </c>
      <c r="AO142" s="57">
        <f>SUM(Table3[[#This Row],[MALE BENEFICIARIES]:[FEMALE BENEFICIARIES]])</f>
        <v>0</v>
      </c>
      <c r="AP142" s="58"/>
      <c r="AQ142" s="58"/>
      <c r="AR142" s="58"/>
      <c r="AS142" s="58">
        <v>1</v>
      </c>
      <c r="AT142" s="59">
        <v>354</v>
      </c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</row>
    <row r="143" spans="1:65">
      <c r="A143" s="51" t="str">
        <f>VLOOKUP(Table3[[#This Row],[OU]],OU!$A$15:$B$34,2,FALSE)</f>
        <v>RFOs</v>
      </c>
      <c r="B143" s="47" t="s">
        <v>5</v>
      </c>
      <c r="C143" s="47" t="s">
        <v>574</v>
      </c>
      <c r="D143" s="47"/>
      <c r="E143" s="47" t="s">
        <v>22</v>
      </c>
      <c r="F143" s="47" t="s">
        <v>654</v>
      </c>
      <c r="G14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14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21526000</v>
      </c>
      <c r="I143" s="52" t="str">
        <f>VLOOKUP(Table3[[#This Row],[PSGC]],DISTRICT!$D:$G,4,FALSE)</f>
        <v>2nd</v>
      </c>
      <c r="J143" s="47" t="s">
        <v>578</v>
      </c>
      <c r="K143" s="51" t="str">
        <f>VLOOKUP(Table3[[#This Row],[SPECIFIC COMMODITY]],TAGS!$W$48:$X$53,2,FALSE)</f>
        <v>Corn</v>
      </c>
      <c r="L143" s="51" t="str">
        <f>VLOOKUP(Table3[[#This Row],[PREXC SUB-PROGRAM]],Table5[],2,FALSE)</f>
        <v>TECHNICAL AND SUPPORT SERVICES PROGRAM</v>
      </c>
      <c r="M143" s="51" t="str">
        <f>VLOOKUP(Table3[[#This Row],[COMMODITY PREXC SUB-PROGRAM]],TAGS!$U$54:$V$76,2,FALSE)</f>
        <v>PSS</v>
      </c>
      <c r="N143" s="47" t="s">
        <v>576</v>
      </c>
      <c r="O143" s="54" t="str">
        <f>VLOOKUP(Table3[[#This Row],[PI LEVEL 3]],'PI LEVEL'!A:C,3,FALSE)</f>
        <v>Fertilizers and other soil ammendment distributed</v>
      </c>
      <c r="P143" s="54" t="str">
        <f>VLOOKUP(Table3[[#This Row],[PI LEVEL 3]],Table53729[[Performance Indicator Level 3]:[Performance Indicator Level 1]],2,FALSE)</f>
        <v>Fertilizers distributed</v>
      </c>
      <c r="Q143" s="54" t="str">
        <f>VLOOKUP(Table3[[#This Row],[ACTIVITY]],TAGS!B:P,2,FALSE)</f>
        <v>Inorganic fertilizer distributed</v>
      </c>
      <c r="R143" s="47" t="s">
        <v>36</v>
      </c>
      <c r="S143" s="51" t="str">
        <f>VLOOKUP(Table3[[#This Row],[ACTIVITY]],TAGS!$B:$P,4,FALSE)</f>
        <v>Yellow Corn Production Enhancement Project</v>
      </c>
      <c r="T143" s="51" t="str">
        <f>VLOOKUP(Table3[[#This Row],[ACTIVITY]],TAGS!$B:$P,5,FALSE)</f>
        <v>Soil Fertilization</v>
      </c>
      <c r="U143" s="51" t="str">
        <f>VLOOKUP(Table3[[#This Row],[ACTIVITY]],TAGS!$B:$P,6,FALSE)</f>
        <v>Inorganic fertilizer</v>
      </c>
      <c r="V143" s="51" t="str">
        <f>VLOOKUP(Table3[[#This Row],[ACTIVITY]],TAGS!$B:$P,7,FALSE)</f>
        <v>NO</v>
      </c>
      <c r="W143" s="51" t="str">
        <f>VLOOKUP(Table3[[#This Row],[ACTIVITY]],TAGS!$B:$P,8,FALSE)</f>
        <v>PAP</v>
      </c>
      <c r="X143" s="51" t="str">
        <f>VLOOKUP(Table3[[#This Row],[ACTIVITY]],TAGS!$B:$P,10,FALSE)</f>
        <v>PIP</v>
      </c>
      <c r="Y143" s="51" t="str">
        <f>VLOOKUP(Table3[[#This Row],[ACTIVITY]],TAGS!$B:$P,11,FALSE)</f>
        <v>PICS</v>
      </c>
      <c r="Z143" s="51" t="str">
        <f>VLOOKUP(Table3[[#This Row],[ACTIVITY]],TAGS!$B:$P,12,FALSE)</f>
        <v>Consolidation</v>
      </c>
      <c r="AA143" s="51" t="str">
        <f>VLOOKUP(Table3[[#This Row],[ACTIVITY]],TAGS!$B:$P,13,FALSE)</f>
        <v>1. Bayanihan Agri Cluster</v>
      </c>
      <c r="AB143" s="51" t="str">
        <f>VLOOKUP(Table3[[#This Row],[ACTIVITY]],TAGS!$B:$P,14,FALSE)</f>
        <v>EXPAND AND IMPROVE AVAILABLE AGRI-FISHERY AREAS FOR INCREASED PRODUCTION</v>
      </c>
      <c r="AC143" s="51" t="str">
        <f>VLOOKUP(Table3[[#This Row],[ACTIVITY]],TAGS!$B:$P,15,FALSE)</f>
        <v>Farm Inputs</v>
      </c>
      <c r="AD143" s="51" t="str">
        <f>VLOOKUP(Table3[[#This Row],[PI LEVEL 3]],'PI LEVEL'!$A:$G,7,FALSE)</f>
        <v>DA-Level Output</v>
      </c>
      <c r="AE143" s="47" t="s">
        <v>577</v>
      </c>
      <c r="AF143" s="51" t="str">
        <f>VLOOKUP(Table3[[#This Row],[ACTIVITY]],TAGS!$B:$P,3,FALSE)</f>
        <v>kilogram</v>
      </c>
      <c r="AG143" s="47" t="s">
        <v>334</v>
      </c>
      <c r="AH143" s="51" t="str">
        <f>VLOOKUP(Table3[[#This Row],[MONTH]],TAGS!$W$67:$Y$81,2,FALSE)</f>
        <v>3RD QTR</v>
      </c>
      <c r="AI143" s="51" t="str">
        <f>VLOOKUP(Table3[[#This Row],[MONTH]],TAGS!$W$67:$Y$81,3,FALSE)</f>
        <v>2ND SEMESTER</v>
      </c>
      <c r="AJ143" s="51">
        <f>VLOOKUP(Table3[[#This Row],[MONTH]],TAGS!$W$67:$Z$81,4,FALSE)</f>
        <v>2025</v>
      </c>
      <c r="AK143" s="47">
        <v>21900</v>
      </c>
      <c r="AL143" s="51" t="str">
        <f>VLOOKUP(Table3[[#This Row],[ACTIVITY]],TAGS!$B:$R,16,FALSE)</f>
        <v>YES</v>
      </c>
      <c r="AM143" s="47">
        <v>219</v>
      </c>
      <c r="AN143" s="47">
        <v>985.5</v>
      </c>
      <c r="AO143" s="57">
        <f>SUM(Table3[[#This Row],[MALE BENEFICIARIES]:[FEMALE BENEFICIARIES]])</f>
        <v>0</v>
      </c>
      <c r="AP143" s="58"/>
      <c r="AQ143" s="58"/>
      <c r="AR143" s="58"/>
      <c r="AS143" s="58">
        <v>1</v>
      </c>
      <c r="AT143" s="59">
        <v>219</v>
      </c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</row>
    <row r="144" spans="1:65">
      <c r="A144" s="51" t="str">
        <f>VLOOKUP(Table3[[#This Row],[OU]],OU!$A$15:$B$34,2,FALSE)</f>
        <v>RFOs</v>
      </c>
      <c r="B144" s="47" t="s">
        <v>5</v>
      </c>
      <c r="C144" s="47" t="s">
        <v>574</v>
      </c>
      <c r="D144" s="47"/>
      <c r="E144" s="47" t="s">
        <v>22</v>
      </c>
      <c r="F144" s="47" t="s">
        <v>655</v>
      </c>
      <c r="G14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14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21504000</v>
      </c>
      <c r="I144" s="52" t="str">
        <f>VLOOKUP(Table3[[#This Row],[PSGC]],DISTRICT!$D:$G,4,FALSE)</f>
        <v>2nd</v>
      </c>
      <c r="J144" s="47" t="s">
        <v>578</v>
      </c>
      <c r="K144" s="51" t="str">
        <f>VLOOKUP(Table3[[#This Row],[SPECIFIC COMMODITY]],TAGS!$W$48:$X$53,2,FALSE)</f>
        <v>Corn</v>
      </c>
      <c r="L144" s="51" t="str">
        <f>VLOOKUP(Table3[[#This Row],[PREXC SUB-PROGRAM]],Table5[],2,FALSE)</f>
        <v>TECHNICAL AND SUPPORT SERVICES PROGRAM</v>
      </c>
      <c r="M144" s="51" t="str">
        <f>VLOOKUP(Table3[[#This Row],[COMMODITY PREXC SUB-PROGRAM]],TAGS!$U$54:$V$76,2,FALSE)</f>
        <v>PSS</v>
      </c>
      <c r="N144" s="47" t="s">
        <v>576</v>
      </c>
      <c r="O144" s="54" t="str">
        <f>VLOOKUP(Table3[[#This Row],[PI LEVEL 3]],'PI LEVEL'!A:C,3,FALSE)</f>
        <v>Fertilizers and other soil ammendment distributed</v>
      </c>
      <c r="P144" s="54" t="str">
        <f>VLOOKUP(Table3[[#This Row],[PI LEVEL 3]],Table53729[[Performance Indicator Level 3]:[Performance Indicator Level 1]],2,FALSE)</f>
        <v>Fertilizers distributed</v>
      </c>
      <c r="Q144" s="54" t="str">
        <f>VLOOKUP(Table3[[#This Row],[ACTIVITY]],TAGS!B:P,2,FALSE)</f>
        <v>Inorganic fertilizer distributed</v>
      </c>
      <c r="R144" s="47" t="s">
        <v>36</v>
      </c>
      <c r="S144" s="51" t="str">
        <f>VLOOKUP(Table3[[#This Row],[ACTIVITY]],TAGS!$B:$P,4,FALSE)</f>
        <v>Yellow Corn Production Enhancement Project</v>
      </c>
      <c r="T144" s="51" t="str">
        <f>VLOOKUP(Table3[[#This Row],[ACTIVITY]],TAGS!$B:$P,5,FALSE)</f>
        <v>Soil Fertilization</v>
      </c>
      <c r="U144" s="51" t="str">
        <f>VLOOKUP(Table3[[#This Row],[ACTIVITY]],TAGS!$B:$P,6,FALSE)</f>
        <v>Inorganic fertilizer</v>
      </c>
      <c r="V144" s="51" t="str">
        <f>VLOOKUP(Table3[[#This Row],[ACTIVITY]],TAGS!$B:$P,7,FALSE)</f>
        <v>NO</v>
      </c>
      <c r="W144" s="51" t="str">
        <f>VLOOKUP(Table3[[#This Row],[ACTIVITY]],TAGS!$B:$P,8,FALSE)</f>
        <v>PAP</v>
      </c>
      <c r="X144" s="51" t="str">
        <f>VLOOKUP(Table3[[#This Row],[ACTIVITY]],TAGS!$B:$P,10,FALSE)</f>
        <v>PIP</v>
      </c>
      <c r="Y144" s="51" t="str">
        <f>VLOOKUP(Table3[[#This Row],[ACTIVITY]],TAGS!$B:$P,11,FALSE)</f>
        <v>PICS</v>
      </c>
      <c r="Z144" s="51" t="str">
        <f>VLOOKUP(Table3[[#This Row],[ACTIVITY]],TAGS!$B:$P,12,FALSE)</f>
        <v>Consolidation</v>
      </c>
      <c r="AA144" s="51" t="str">
        <f>VLOOKUP(Table3[[#This Row],[ACTIVITY]],TAGS!$B:$P,13,FALSE)</f>
        <v>1. Bayanihan Agri Cluster</v>
      </c>
      <c r="AB144" s="51" t="str">
        <f>VLOOKUP(Table3[[#This Row],[ACTIVITY]],TAGS!$B:$P,14,FALSE)</f>
        <v>EXPAND AND IMPROVE AVAILABLE AGRI-FISHERY AREAS FOR INCREASED PRODUCTION</v>
      </c>
      <c r="AC144" s="51" t="str">
        <f>VLOOKUP(Table3[[#This Row],[ACTIVITY]],TAGS!$B:$P,15,FALSE)</f>
        <v>Farm Inputs</v>
      </c>
      <c r="AD144" s="51" t="str">
        <f>VLOOKUP(Table3[[#This Row],[PI LEVEL 3]],'PI LEVEL'!$A:$G,7,FALSE)</f>
        <v>DA-Level Output</v>
      </c>
      <c r="AE144" s="47" t="s">
        <v>577</v>
      </c>
      <c r="AF144" s="51" t="str">
        <f>VLOOKUP(Table3[[#This Row],[ACTIVITY]],TAGS!$B:$P,3,FALSE)</f>
        <v>kilogram</v>
      </c>
      <c r="AG144" s="47" t="s">
        <v>334</v>
      </c>
      <c r="AH144" s="51" t="str">
        <f>VLOOKUP(Table3[[#This Row],[MONTH]],TAGS!$W$67:$Y$81,2,FALSE)</f>
        <v>3RD QTR</v>
      </c>
      <c r="AI144" s="51" t="str">
        <f>VLOOKUP(Table3[[#This Row],[MONTH]],TAGS!$W$67:$Y$81,3,FALSE)</f>
        <v>2ND SEMESTER</v>
      </c>
      <c r="AJ144" s="51">
        <f>VLOOKUP(Table3[[#This Row],[MONTH]],TAGS!$W$67:$Z$81,4,FALSE)</f>
        <v>2025</v>
      </c>
      <c r="AK144" s="47">
        <v>66500</v>
      </c>
      <c r="AL144" s="51" t="str">
        <f>VLOOKUP(Table3[[#This Row],[ACTIVITY]],TAGS!$B:$R,16,FALSE)</f>
        <v>YES</v>
      </c>
      <c r="AM144" s="47">
        <v>665</v>
      </c>
      <c r="AN144" s="47">
        <v>2992.5</v>
      </c>
      <c r="AO144" s="57">
        <f>SUM(Table3[[#This Row],[MALE BENEFICIARIES]:[FEMALE BENEFICIARIES]])</f>
        <v>0</v>
      </c>
      <c r="AP144" s="58"/>
      <c r="AQ144" s="58"/>
      <c r="AR144" s="58"/>
      <c r="AS144" s="58">
        <v>2</v>
      </c>
      <c r="AT144" s="59">
        <v>665</v>
      </c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</row>
    <row r="145" spans="1:65">
      <c r="A145" s="51" t="str">
        <f>VLOOKUP(Table3[[#This Row],[OU]],OU!$A$15:$B$34,2,FALSE)</f>
        <v>RFOs</v>
      </c>
      <c r="B145" s="47" t="s">
        <v>5</v>
      </c>
      <c r="C145" s="47" t="s">
        <v>574</v>
      </c>
      <c r="D145" s="47"/>
      <c r="E145" s="47" t="s">
        <v>22</v>
      </c>
      <c r="F145" s="47" t="s">
        <v>656</v>
      </c>
      <c r="G14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14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21512000</v>
      </c>
      <c r="I145" s="52" t="str">
        <f>VLOOKUP(Table3[[#This Row],[PSGC]],DISTRICT!$D:$G,4,FALSE)</f>
        <v>3rd</v>
      </c>
      <c r="J145" s="47" t="s">
        <v>578</v>
      </c>
      <c r="K145" s="51" t="str">
        <f>VLOOKUP(Table3[[#This Row],[SPECIFIC COMMODITY]],TAGS!$W$48:$X$53,2,FALSE)</f>
        <v>Corn</v>
      </c>
      <c r="L145" s="51" t="str">
        <f>VLOOKUP(Table3[[#This Row],[PREXC SUB-PROGRAM]],Table5[],2,FALSE)</f>
        <v>TECHNICAL AND SUPPORT SERVICES PROGRAM</v>
      </c>
      <c r="M145" s="51" t="str">
        <f>VLOOKUP(Table3[[#This Row],[COMMODITY PREXC SUB-PROGRAM]],TAGS!$U$54:$V$76,2,FALSE)</f>
        <v>PSS</v>
      </c>
      <c r="N145" s="47" t="s">
        <v>576</v>
      </c>
      <c r="O145" s="54" t="str">
        <f>VLOOKUP(Table3[[#This Row],[PI LEVEL 3]],'PI LEVEL'!A:C,3,FALSE)</f>
        <v>Fertilizers and other soil ammendment distributed</v>
      </c>
      <c r="P145" s="54" t="str">
        <f>VLOOKUP(Table3[[#This Row],[PI LEVEL 3]],Table53729[[Performance Indicator Level 3]:[Performance Indicator Level 1]],2,FALSE)</f>
        <v>Fertilizers distributed</v>
      </c>
      <c r="Q145" s="54" t="str">
        <f>VLOOKUP(Table3[[#This Row],[ACTIVITY]],TAGS!B:P,2,FALSE)</f>
        <v>Inorganic fertilizer distributed</v>
      </c>
      <c r="R145" s="47" t="s">
        <v>36</v>
      </c>
      <c r="S145" s="51" t="str">
        <f>VLOOKUP(Table3[[#This Row],[ACTIVITY]],TAGS!$B:$P,4,FALSE)</f>
        <v>Yellow Corn Production Enhancement Project</v>
      </c>
      <c r="T145" s="51" t="str">
        <f>VLOOKUP(Table3[[#This Row],[ACTIVITY]],TAGS!$B:$P,5,FALSE)</f>
        <v>Soil Fertilization</v>
      </c>
      <c r="U145" s="51" t="str">
        <f>VLOOKUP(Table3[[#This Row],[ACTIVITY]],TAGS!$B:$P,6,FALSE)</f>
        <v>Inorganic fertilizer</v>
      </c>
      <c r="V145" s="51" t="str">
        <f>VLOOKUP(Table3[[#This Row],[ACTIVITY]],TAGS!$B:$P,7,FALSE)</f>
        <v>NO</v>
      </c>
      <c r="W145" s="51" t="str">
        <f>VLOOKUP(Table3[[#This Row],[ACTIVITY]],TAGS!$B:$P,8,FALSE)</f>
        <v>PAP</v>
      </c>
      <c r="X145" s="51" t="str">
        <f>VLOOKUP(Table3[[#This Row],[ACTIVITY]],TAGS!$B:$P,10,FALSE)</f>
        <v>PIP</v>
      </c>
      <c r="Y145" s="51" t="str">
        <f>VLOOKUP(Table3[[#This Row],[ACTIVITY]],TAGS!$B:$P,11,FALSE)</f>
        <v>PICS</v>
      </c>
      <c r="Z145" s="51" t="str">
        <f>VLOOKUP(Table3[[#This Row],[ACTIVITY]],TAGS!$B:$P,12,FALSE)</f>
        <v>Consolidation</v>
      </c>
      <c r="AA145" s="51" t="str">
        <f>VLOOKUP(Table3[[#This Row],[ACTIVITY]],TAGS!$B:$P,13,FALSE)</f>
        <v>1. Bayanihan Agri Cluster</v>
      </c>
      <c r="AB145" s="51" t="str">
        <f>VLOOKUP(Table3[[#This Row],[ACTIVITY]],TAGS!$B:$P,14,FALSE)</f>
        <v>EXPAND AND IMPROVE AVAILABLE AGRI-FISHERY AREAS FOR INCREASED PRODUCTION</v>
      </c>
      <c r="AC145" s="51" t="str">
        <f>VLOOKUP(Table3[[#This Row],[ACTIVITY]],TAGS!$B:$P,15,FALSE)</f>
        <v>Farm Inputs</v>
      </c>
      <c r="AD145" s="51" t="str">
        <f>VLOOKUP(Table3[[#This Row],[PI LEVEL 3]],'PI LEVEL'!$A:$G,7,FALSE)</f>
        <v>DA-Level Output</v>
      </c>
      <c r="AE145" s="47" t="s">
        <v>577</v>
      </c>
      <c r="AF145" s="51" t="str">
        <f>VLOOKUP(Table3[[#This Row],[ACTIVITY]],TAGS!$B:$P,3,FALSE)</f>
        <v>kilogram</v>
      </c>
      <c r="AG145" s="47" t="s">
        <v>334</v>
      </c>
      <c r="AH145" s="51" t="str">
        <f>VLOOKUP(Table3[[#This Row],[MONTH]],TAGS!$W$67:$Y$81,2,FALSE)</f>
        <v>3RD QTR</v>
      </c>
      <c r="AI145" s="51" t="str">
        <f>VLOOKUP(Table3[[#This Row],[MONTH]],TAGS!$W$67:$Y$81,3,FALSE)</f>
        <v>2ND SEMESTER</v>
      </c>
      <c r="AJ145" s="51">
        <f>VLOOKUP(Table3[[#This Row],[MONTH]],TAGS!$W$67:$Z$81,4,FALSE)</f>
        <v>2025</v>
      </c>
      <c r="AK145" s="47">
        <v>13900</v>
      </c>
      <c r="AL145" s="51" t="str">
        <f>VLOOKUP(Table3[[#This Row],[ACTIVITY]],TAGS!$B:$R,16,FALSE)</f>
        <v>YES</v>
      </c>
      <c r="AM145" s="47">
        <v>139</v>
      </c>
      <c r="AN145" s="47">
        <v>625.5</v>
      </c>
      <c r="AO145" s="57">
        <f>SUM(Table3[[#This Row],[MALE BENEFICIARIES]:[FEMALE BENEFICIARIES]])</f>
        <v>0</v>
      </c>
      <c r="AP145" s="58"/>
      <c r="AQ145" s="58"/>
      <c r="AR145" s="58"/>
      <c r="AS145" s="58">
        <v>1</v>
      </c>
      <c r="AT145" s="59">
        <v>139</v>
      </c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</row>
    <row r="146" spans="1:65">
      <c r="A146" s="51" t="str">
        <f>VLOOKUP(Table3[[#This Row],[OU]],OU!$A$15:$B$34,2,FALSE)</f>
        <v>RFOs</v>
      </c>
      <c r="B146" s="47" t="s">
        <v>5</v>
      </c>
      <c r="C146" s="47" t="s">
        <v>574</v>
      </c>
      <c r="D146" s="47"/>
      <c r="E146" s="47" t="s">
        <v>22</v>
      </c>
      <c r="F146" s="47" t="s">
        <v>657</v>
      </c>
      <c r="G14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14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21515000</v>
      </c>
      <c r="I146" s="52" t="str">
        <f>VLOOKUP(Table3[[#This Row],[PSGC]],DISTRICT!$D:$G,4,FALSE)</f>
        <v>4th</v>
      </c>
      <c r="J146" s="47" t="s">
        <v>578</v>
      </c>
      <c r="K146" s="51" t="str">
        <f>VLOOKUP(Table3[[#This Row],[SPECIFIC COMMODITY]],TAGS!$W$48:$X$53,2,FALSE)</f>
        <v>Corn</v>
      </c>
      <c r="L146" s="51" t="str">
        <f>VLOOKUP(Table3[[#This Row],[PREXC SUB-PROGRAM]],Table5[],2,FALSE)</f>
        <v>TECHNICAL AND SUPPORT SERVICES PROGRAM</v>
      </c>
      <c r="M146" s="51" t="str">
        <f>VLOOKUP(Table3[[#This Row],[COMMODITY PREXC SUB-PROGRAM]],TAGS!$U$54:$V$76,2,FALSE)</f>
        <v>PSS</v>
      </c>
      <c r="N146" s="47" t="s">
        <v>576</v>
      </c>
      <c r="O146" s="54" t="str">
        <f>VLOOKUP(Table3[[#This Row],[PI LEVEL 3]],'PI LEVEL'!A:C,3,FALSE)</f>
        <v>Fertilizers and other soil ammendment distributed</v>
      </c>
      <c r="P146" s="54" t="str">
        <f>VLOOKUP(Table3[[#This Row],[PI LEVEL 3]],Table53729[[Performance Indicator Level 3]:[Performance Indicator Level 1]],2,FALSE)</f>
        <v>Fertilizers distributed</v>
      </c>
      <c r="Q146" s="54" t="str">
        <f>VLOOKUP(Table3[[#This Row],[ACTIVITY]],TAGS!B:P,2,FALSE)</f>
        <v>Inorganic fertilizer distributed</v>
      </c>
      <c r="R146" s="47" t="s">
        <v>36</v>
      </c>
      <c r="S146" s="51" t="str">
        <f>VLOOKUP(Table3[[#This Row],[ACTIVITY]],TAGS!$B:$P,4,FALSE)</f>
        <v>Yellow Corn Production Enhancement Project</v>
      </c>
      <c r="T146" s="51" t="str">
        <f>VLOOKUP(Table3[[#This Row],[ACTIVITY]],TAGS!$B:$P,5,FALSE)</f>
        <v>Soil Fertilization</v>
      </c>
      <c r="U146" s="51" t="str">
        <f>VLOOKUP(Table3[[#This Row],[ACTIVITY]],TAGS!$B:$P,6,FALSE)</f>
        <v>Inorganic fertilizer</v>
      </c>
      <c r="V146" s="51" t="str">
        <f>VLOOKUP(Table3[[#This Row],[ACTIVITY]],TAGS!$B:$P,7,FALSE)</f>
        <v>NO</v>
      </c>
      <c r="W146" s="51" t="str">
        <f>VLOOKUP(Table3[[#This Row],[ACTIVITY]],TAGS!$B:$P,8,FALSE)</f>
        <v>PAP</v>
      </c>
      <c r="X146" s="51" t="str">
        <f>VLOOKUP(Table3[[#This Row],[ACTIVITY]],TAGS!$B:$P,10,FALSE)</f>
        <v>PIP</v>
      </c>
      <c r="Y146" s="51" t="str">
        <f>VLOOKUP(Table3[[#This Row],[ACTIVITY]],TAGS!$B:$P,11,FALSE)</f>
        <v>PICS</v>
      </c>
      <c r="Z146" s="51" t="str">
        <f>VLOOKUP(Table3[[#This Row],[ACTIVITY]],TAGS!$B:$P,12,FALSE)</f>
        <v>Consolidation</v>
      </c>
      <c r="AA146" s="51" t="str">
        <f>VLOOKUP(Table3[[#This Row],[ACTIVITY]],TAGS!$B:$P,13,FALSE)</f>
        <v>1. Bayanihan Agri Cluster</v>
      </c>
      <c r="AB146" s="51" t="str">
        <f>VLOOKUP(Table3[[#This Row],[ACTIVITY]],TAGS!$B:$P,14,FALSE)</f>
        <v>EXPAND AND IMPROVE AVAILABLE AGRI-FISHERY AREAS FOR INCREASED PRODUCTION</v>
      </c>
      <c r="AC146" s="51" t="str">
        <f>VLOOKUP(Table3[[#This Row],[ACTIVITY]],TAGS!$B:$P,15,FALSE)</f>
        <v>Farm Inputs</v>
      </c>
      <c r="AD146" s="51" t="str">
        <f>VLOOKUP(Table3[[#This Row],[PI LEVEL 3]],'PI LEVEL'!$A:$G,7,FALSE)</f>
        <v>DA-Level Output</v>
      </c>
      <c r="AE146" s="47" t="s">
        <v>577</v>
      </c>
      <c r="AF146" s="51" t="str">
        <f>VLOOKUP(Table3[[#This Row],[ACTIVITY]],TAGS!$B:$P,3,FALSE)</f>
        <v>kilogram</v>
      </c>
      <c r="AG146" s="47" t="s">
        <v>334</v>
      </c>
      <c r="AH146" s="51" t="str">
        <f>VLOOKUP(Table3[[#This Row],[MONTH]],TAGS!$W$67:$Y$81,2,FALSE)</f>
        <v>3RD QTR</v>
      </c>
      <c r="AI146" s="51" t="str">
        <f>VLOOKUP(Table3[[#This Row],[MONTH]],TAGS!$W$67:$Y$81,3,FALSE)</f>
        <v>2ND SEMESTER</v>
      </c>
      <c r="AJ146" s="51">
        <f>VLOOKUP(Table3[[#This Row],[MONTH]],TAGS!$W$67:$Z$81,4,FALSE)</f>
        <v>2025</v>
      </c>
      <c r="AK146" s="47">
        <v>16500</v>
      </c>
      <c r="AL146" s="51" t="str">
        <f>VLOOKUP(Table3[[#This Row],[ACTIVITY]],TAGS!$B:$R,16,FALSE)</f>
        <v>YES</v>
      </c>
      <c r="AM146" s="47">
        <v>165</v>
      </c>
      <c r="AN146" s="47">
        <v>742.5</v>
      </c>
      <c r="AO146" s="57">
        <f>SUM(Table3[[#This Row],[MALE BENEFICIARIES]:[FEMALE BENEFICIARIES]])</f>
        <v>0</v>
      </c>
      <c r="AP146" s="58"/>
      <c r="AQ146" s="58"/>
      <c r="AR146" s="58"/>
      <c r="AS146" s="58">
        <v>1</v>
      </c>
      <c r="AT146" s="59">
        <v>165</v>
      </c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</row>
    <row r="147" spans="1:65">
      <c r="A147" s="51" t="str">
        <f>VLOOKUP(Table3[[#This Row],[OU]],OU!$A$15:$B$34,2,FALSE)</f>
        <v>RFOs</v>
      </c>
      <c r="B147" s="47" t="s">
        <v>5</v>
      </c>
      <c r="C147" s="47" t="s">
        <v>574</v>
      </c>
      <c r="D147" s="47"/>
      <c r="E147" s="47" t="s">
        <v>22</v>
      </c>
      <c r="F147" s="47" t="s">
        <v>658</v>
      </c>
      <c r="G14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14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21519000</v>
      </c>
      <c r="I147" s="52" t="str">
        <f>VLOOKUP(Table3[[#This Row],[PSGC]],DISTRICT!$D:$G,4,FALSE)</f>
        <v>1st</v>
      </c>
      <c r="J147" s="47" t="s">
        <v>578</v>
      </c>
      <c r="K147" s="51" t="str">
        <f>VLOOKUP(Table3[[#This Row],[SPECIFIC COMMODITY]],TAGS!$W$48:$X$53,2,FALSE)</f>
        <v>Corn</v>
      </c>
      <c r="L147" s="51" t="str">
        <f>VLOOKUP(Table3[[#This Row],[PREXC SUB-PROGRAM]],Table5[],2,FALSE)</f>
        <v>TECHNICAL AND SUPPORT SERVICES PROGRAM</v>
      </c>
      <c r="M147" s="51" t="str">
        <f>VLOOKUP(Table3[[#This Row],[COMMODITY PREXC SUB-PROGRAM]],TAGS!$U$54:$V$76,2,FALSE)</f>
        <v>PSS</v>
      </c>
      <c r="N147" s="47" t="s">
        <v>576</v>
      </c>
      <c r="O147" s="54" t="str">
        <f>VLOOKUP(Table3[[#This Row],[PI LEVEL 3]],'PI LEVEL'!A:C,3,FALSE)</f>
        <v>Fertilizers and other soil ammendment distributed</v>
      </c>
      <c r="P147" s="54" t="str">
        <f>VLOOKUP(Table3[[#This Row],[PI LEVEL 3]],Table53729[[Performance Indicator Level 3]:[Performance Indicator Level 1]],2,FALSE)</f>
        <v>Fertilizers distributed</v>
      </c>
      <c r="Q147" s="54" t="str">
        <f>VLOOKUP(Table3[[#This Row],[ACTIVITY]],TAGS!B:P,2,FALSE)</f>
        <v>Inorganic fertilizer distributed</v>
      </c>
      <c r="R147" s="47" t="s">
        <v>36</v>
      </c>
      <c r="S147" s="51" t="str">
        <f>VLOOKUP(Table3[[#This Row],[ACTIVITY]],TAGS!$B:$P,4,FALSE)</f>
        <v>Yellow Corn Production Enhancement Project</v>
      </c>
      <c r="T147" s="51" t="str">
        <f>VLOOKUP(Table3[[#This Row],[ACTIVITY]],TAGS!$B:$P,5,FALSE)</f>
        <v>Soil Fertilization</v>
      </c>
      <c r="U147" s="51" t="str">
        <f>VLOOKUP(Table3[[#This Row],[ACTIVITY]],TAGS!$B:$P,6,FALSE)</f>
        <v>Inorganic fertilizer</v>
      </c>
      <c r="V147" s="51" t="str">
        <f>VLOOKUP(Table3[[#This Row],[ACTIVITY]],TAGS!$B:$P,7,FALSE)</f>
        <v>NO</v>
      </c>
      <c r="W147" s="51" t="str">
        <f>VLOOKUP(Table3[[#This Row],[ACTIVITY]],TAGS!$B:$P,8,FALSE)</f>
        <v>PAP</v>
      </c>
      <c r="X147" s="51" t="str">
        <f>VLOOKUP(Table3[[#This Row],[ACTIVITY]],TAGS!$B:$P,10,FALSE)</f>
        <v>PIP</v>
      </c>
      <c r="Y147" s="51" t="str">
        <f>VLOOKUP(Table3[[#This Row],[ACTIVITY]],TAGS!$B:$P,11,FALSE)</f>
        <v>PICS</v>
      </c>
      <c r="Z147" s="51" t="str">
        <f>VLOOKUP(Table3[[#This Row],[ACTIVITY]],TAGS!$B:$P,12,FALSE)</f>
        <v>Consolidation</v>
      </c>
      <c r="AA147" s="51" t="str">
        <f>VLOOKUP(Table3[[#This Row],[ACTIVITY]],TAGS!$B:$P,13,FALSE)</f>
        <v>1. Bayanihan Agri Cluster</v>
      </c>
      <c r="AB147" s="51" t="str">
        <f>VLOOKUP(Table3[[#This Row],[ACTIVITY]],TAGS!$B:$P,14,FALSE)</f>
        <v>EXPAND AND IMPROVE AVAILABLE AGRI-FISHERY AREAS FOR INCREASED PRODUCTION</v>
      </c>
      <c r="AC147" s="51" t="str">
        <f>VLOOKUP(Table3[[#This Row],[ACTIVITY]],TAGS!$B:$P,15,FALSE)</f>
        <v>Farm Inputs</v>
      </c>
      <c r="AD147" s="51" t="str">
        <f>VLOOKUP(Table3[[#This Row],[PI LEVEL 3]],'PI LEVEL'!$A:$G,7,FALSE)</f>
        <v>DA-Level Output</v>
      </c>
      <c r="AE147" s="47" t="s">
        <v>577</v>
      </c>
      <c r="AF147" s="51" t="str">
        <f>VLOOKUP(Table3[[#This Row],[ACTIVITY]],TAGS!$B:$P,3,FALSE)</f>
        <v>kilogram</v>
      </c>
      <c r="AG147" s="47" t="s">
        <v>334</v>
      </c>
      <c r="AH147" s="51" t="str">
        <f>VLOOKUP(Table3[[#This Row],[MONTH]],TAGS!$W$67:$Y$81,2,FALSE)</f>
        <v>3RD QTR</v>
      </c>
      <c r="AI147" s="51" t="str">
        <f>VLOOKUP(Table3[[#This Row],[MONTH]],TAGS!$W$67:$Y$81,3,FALSE)</f>
        <v>2ND SEMESTER</v>
      </c>
      <c r="AJ147" s="51">
        <f>VLOOKUP(Table3[[#This Row],[MONTH]],TAGS!$W$67:$Z$81,4,FALSE)</f>
        <v>2025</v>
      </c>
      <c r="AK147" s="47">
        <v>135000</v>
      </c>
      <c r="AL147" s="51" t="str">
        <f>VLOOKUP(Table3[[#This Row],[ACTIVITY]],TAGS!$B:$R,16,FALSE)</f>
        <v>YES</v>
      </c>
      <c r="AM147" s="47">
        <v>1350</v>
      </c>
      <c r="AN147" s="47">
        <v>6075</v>
      </c>
      <c r="AO147" s="57">
        <f>SUM(Table3[[#This Row],[MALE BENEFICIARIES]:[FEMALE BENEFICIARIES]])</f>
        <v>0</v>
      </c>
      <c r="AP147" s="58"/>
      <c r="AQ147" s="58"/>
      <c r="AR147" s="58"/>
      <c r="AS147" s="58">
        <v>3</v>
      </c>
      <c r="AT147" s="59">
        <v>1350</v>
      </c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</row>
    <row r="148" spans="1:65">
      <c r="A148" s="51" t="str">
        <f>VLOOKUP(Table3[[#This Row],[OU]],OU!$A$15:$B$34,2,FALSE)</f>
        <v>RFOs</v>
      </c>
      <c r="B148" s="47" t="s">
        <v>5</v>
      </c>
      <c r="C148" s="47" t="s">
        <v>574</v>
      </c>
      <c r="D148" s="47"/>
      <c r="E148" s="47" t="s">
        <v>22</v>
      </c>
      <c r="F148" s="47" t="s">
        <v>659</v>
      </c>
      <c r="G14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14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21527000</v>
      </c>
      <c r="I148" s="52" t="str">
        <f>VLOOKUP(Table3[[#This Row],[PSGC]],DISTRICT!$D:$G,4,FALSE)</f>
        <v>1st</v>
      </c>
      <c r="J148" s="47" t="s">
        <v>578</v>
      </c>
      <c r="K148" s="51" t="str">
        <f>VLOOKUP(Table3[[#This Row],[SPECIFIC COMMODITY]],TAGS!$W$48:$X$53,2,FALSE)</f>
        <v>Corn</v>
      </c>
      <c r="L148" s="51" t="str">
        <f>VLOOKUP(Table3[[#This Row],[PREXC SUB-PROGRAM]],Table5[],2,FALSE)</f>
        <v>TECHNICAL AND SUPPORT SERVICES PROGRAM</v>
      </c>
      <c r="M148" s="51" t="str">
        <f>VLOOKUP(Table3[[#This Row],[COMMODITY PREXC SUB-PROGRAM]],TAGS!$U$54:$V$76,2,FALSE)</f>
        <v>PSS</v>
      </c>
      <c r="N148" s="47" t="s">
        <v>576</v>
      </c>
      <c r="O148" s="54" t="str">
        <f>VLOOKUP(Table3[[#This Row],[PI LEVEL 3]],'PI LEVEL'!A:C,3,FALSE)</f>
        <v>Fertilizers and other soil ammendment distributed</v>
      </c>
      <c r="P148" s="54" t="str">
        <f>VLOOKUP(Table3[[#This Row],[PI LEVEL 3]],Table53729[[Performance Indicator Level 3]:[Performance Indicator Level 1]],2,FALSE)</f>
        <v>Fertilizers distributed</v>
      </c>
      <c r="Q148" s="54" t="str">
        <f>VLOOKUP(Table3[[#This Row],[ACTIVITY]],TAGS!B:P,2,FALSE)</f>
        <v>Inorganic fertilizer distributed</v>
      </c>
      <c r="R148" s="47" t="s">
        <v>36</v>
      </c>
      <c r="S148" s="51" t="str">
        <f>VLOOKUP(Table3[[#This Row],[ACTIVITY]],TAGS!$B:$P,4,FALSE)</f>
        <v>Yellow Corn Production Enhancement Project</v>
      </c>
      <c r="T148" s="51" t="str">
        <f>VLOOKUP(Table3[[#This Row],[ACTIVITY]],TAGS!$B:$P,5,FALSE)</f>
        <v>Soil Fertilization</v>
      </c>
      <c r="U148" s="51" t="str">
        <f>VLOOKUP(Table3[[#This Row],[ACTIVITY]],TAGS!$B:$P,6,FALSE)</f>
        <v>Inorganic fertilizer</v>
      </c>
      <c r="V148" s="51" t="str">
        <f>VLOOKUP(Table3[[#This Row],[ACTIVITY]],TAGS!$B:$P,7,FALSE)</f>
        <v>NO</v>
      </c>
      <c r="W148" s="51" t="str">
        <f>VLOOKUP(Table3[[#This Row],[ACTIVITY]],TAGS!$B:$P,8,FALSE)</f>
        <v>PAP</v>
      </c>
      <c r="X148" s="51" t="str">
        <f>VLOOKUP(Table3[[#This Row],[ACTIVITY]],TAGS!$B:$P,10,FALSE)</f>
        <v>PIP</v>
      </c>
      <c r="Y148" s="51" t="str">
        <f>VLOOKUP(Table3[[#This Row],[ACTIVITY]],TAGS!$B:$P,11,FALSE)</f>
        <v>PICS</v>
      </c>
      <c r="Z148" s="51" t="str">
        <f>VLOOKUP(Table3[[#This Row],[ACTIVITY]],TAGS!$B:$P,12,FALSE)</f>
        <v>Consolidation</v>
      </c>
      <c r="AA148" s="51" t="str">
        <f>VLOOKUP(Table3[[#This Row],[ACTIVITY]],TAGS!$B:$P,13,FALSE)</f>
        <v>1. Bayanihan Agri Cluster</v>
      </c>
      <c r="AB148" s="51" t="str">
        <f>VLOOKUP(Table3[[#This Row],[ACTIVITY]],TAGS!$B:$P,14,FALSE)</f>
        <v>EXPAND AND IMPROVE AVAILABLE AGRI-FISHERY AREAS FOR INCREASED PRODUCTION</v>
      </c>
      <c r="AC148" s="51" t="str">
        <f>VLOOKUP(Table3[[#This Row],[ACTIVITY]],TAGS!$B:$P,15,FALSE)</f>
        <v>Farm Inputs</v>
      </c>
      <c r="AD148" s="51" t="str">
        <f>VLOOKUP(Table3[[#This Row],[PI LEVEL 3]],'PI LEVEL'!$A:$G,7,FALSE)</f>
        <v>DA-Level Output</v>
      </c>
      <c r="AE148" s="47" t="s">
        <v>577</v>
      </c>
      <c r="AF148" s="51" t="str">
        <f>VLOOKUP(Table3[[#This Row],[ACTIVITY]],TAGS!$B:$P,3,FALSE)</f>
        <v>kilogram</v>
      </c>
      <c r="AG148" s="47" t="s">
        <v>334</v>
      </c>
      <c r="AH148" s="51" t="str">
        <f>VLOOKUP(Table3[[#This Row],[MONTH]],TAGS!$W$67:$Y$81,2,FALSE)</f>
        <v>3RD QTR</v>
      </c>
      <c r="AI148" s="51" t="str">
        <f>VLOOKUP(Table3[[#This Row],[MONTH]],TAGS!$W$67:$Y$81,3,FALSE)</f>
        <v>2ND SEMESTER</v>
      </c>
      <c r="AJ148" s="51">
        <f>VLOOKUP(Table3[[#This Row],[MONTH]],TAGS!$W$67:$Z$81,4,FALSE)</f>
        <v>2025</v>
      </c>
      <c r="AK148" s="47">
        <v>35200</v>
      </c>
      <c r="AL148" s="51" t="str">
        <f>VLOOKUP(Table3[[#This Row],[ACTIVITY]],TAGS!$B:$R,16,FALSE)</f>
        <v>YES</v>
      </c>
      <c r="AM148" s="47">
        <v>352</v>
      </c>
      <c r="AN148" s="47">
        <v>1584</v>
      </c>
      <c r="AO148" s="57">
        <f>SUM(Table3[[#This Row],[MALE BENEFICIARIES]:[FEMALE BENEFICIARIES]])</f>
        <v>0</v>
      </c>
      <c r="AP148" s="58"/>
      <c r="AQ148" s="58"/>
      <c r="AR148" s="58"/>
      <c r="AS148" s="58">
        <v>1</v>
      </c>
      <c r="AT148" s="59">
        <v>352</v>
      </c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</row>
    <row r="149" spans="1:65">
      <c r="A149" s="51" t="str">
        <f>VLOOKUP(Table3[[#This Row],[OU]],OU!$A$15:$B$34,2,FALSE)</f>
        <v>RFOs</v>
      </c>
      <c r="B149" s="47" t="s">
        <v>5</v>
      </c>
      <c r="C149" s="47" t="s">
        <v>574</v>
      </c>
      <c r="D149" s="47"/>
      <c r="E149" s="47" t="s">
        <v>22</v>
      </c>
      <c r="F149" s="47" t="s">
        <v>660</v>
      </c>
      <c r="G14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14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21528000</v>
      </c>
      <c r="I149" s="52" t="str">
        <f>VLOOKUP(Table3[[#This Row],[PSGC]],DISTRICT!$D:$G,4,FALSE)</f>
        <v>1st</v>
      </c>
      <c r="J149" s="47" t="s">
        <v>578</v>
      </c>
      <c r="K149" s="51" t="str">
        <f>VLOOKUP(Table3[[#This Row],[SPECIFIC COMMODITY]],TAGS!$W$48:$X$53,2,FALSE)</f>
        <v>Corn</v>
      </c>
      <c r="L149" s="51" t="str">
        <f>VLOOKUP(Table3[[#This Row],[PREXC SUB-PROGRAM]],Table5[],2,FALSE)</f>
        <v>TECHNICAL AND SUPPORT SERVICES PROGRAM</v>
      </c>
      <c r="M149" s="51" t="str">
        <f>VLOOKUP(Table3[[#This Row],[COMMODITY PREXC SUB-PROGRAM]],TAGS!$U$54:$V$76,2,FALSE)</f>
        <v>PSS</v>
      </c>
      <c r="N149" s="47" t="s">
        <v>576</v>
      </c>
      <c r="O149" s="54" t="str">
        <f>VLOOKUP(Table3[[#This Row],[PI LEVEL 3]],'PI LEVEL'!A:C,3,FALSE)</f>
        <v>Fertilizers and other soil ammendment distributed</v>
      </c>
      <c r="P149" s="54" t="str">
        <f>VLOOKUP(Table3[[#This Row],[PI LEVEL 3]],Table53729[[Performance Indicator Level 3]:[Performance Indicator Level 1]],2,FALSE)</f>
        <v>Fertilizers distributed</v>
      </c>
      <c r="Q149" s="54" t="str">
        <f>VLOOKUP(Table3[[#This Row],[ACTIVITY]],TAGS!B:P,2,FALSE)</f>
        <v>Inorganic fertilizer distributed</v>
      </c>
      <c r="R149" s="47" t="s">
        <v>36</v>
      </c>
      <c r="S149" s="51" t="str">
        <f>VLOOKUP(Table3[[#This Row],[ACTIVITY]],TAGS!$B:$P,4,FALSE)</f>
        <v>Yellow Corn Production Enhancement Project</v>
      </c>
      <c r="T149" s="51" t="str">
        <f>VLOOKUP(Table3[[#This Row],[ACTIVITY]],TAGS!$B:$P,5,FALSE)</f>
        <v>Soil Fertilization</v>
      </c>
      <c r="U149" s="51" t="str">
        <f>VLOOKUP(Table3[[#This Row],[ACTIVITY]],TAGS!$B:$P,6,FALSE)</f>
        <v>Inorganic fertilizer</v>
      </c>
      <c r="V149" s="51" t="str">
        <f>VLOOKUP(Table3[[#This Row],[ACTIVITY]],TAGS!$B:$P,7,FALSE)</f>
        <v>NO</v>
      </c>
      <c r="W149" s="51" t="str">
        <f>VLOOKUP(Table3[[#This Row],[ACTIVITY]],TAGS!$B:$P,8,FALSE)</f>
        <v>PAP</v>
      </c>
      <c r="X149" s="51" t="str">
        <f>VLOOKUP(Table3[[#This Row],[ACTIVITY]],TAGS!$B:$P,10,FALSE)</f>
        <v>PIP</v>
      </c>
      <c r="Y149" s="51" t="str">
        <f>VLOOKUP(Table3[[#This Row],[ACTIVITY]],TAGS!$B:$P,11,FALSE)</f>
        <v>PICS</v>
      </c>
      <c r="Z149" s="51" t="str">
        <f>VLOOKUP(Table3[[#This Row],[ACTIVITY]],TAGS!$B:$P,12,FALSE)</f>
        <v>Consolidation</v>
      </c>
      <c r="AA149" s="51" t="str">
        <f>VLOOKUP(Table3[[#This Row],[ACTIVITY]],TAGS!$B:$P,13,FALSE)</f>
        <v>1. Bayanihan Agri Cluster</v>
      </c>
      <c r="AB149" s="51" t="str">
        <f>VLOOKUP(Table3[[#This Row],[ACTIVITY]],TAGS!$B:$P,14,FALSE)</f>
        <v>EXPAND AND IMPROVE AVAILABLE AGRI-FISHERY AREAS FOR INCREASED PRODUCTION</v>
      </c>
      <c r="AC149" s="51" t="str">
        <f>VLOOKUP(Table3[[#This Row],[ACTIVITY]],TAGS!$B:$P,15,FALSE)</f>
        <v>Farm Inputs</v>
      </c>
      <c r="AD149" s="51" t="str">
        <f>VLOOKUP(Table3[[#This Row],[PI LEVEL 3]],'PI LEVEL'!$A:$G,7,FALSE)</f>
        <v>DA-Level Output</v>
      </c>
      <c r="AE149" s="47" t="s">
        <v>577</v>
      </c>
      <c r="AF149" s="51" t="str">
        <f>VLOOKUP(Table3[[#This Row],[ACTIVITY]],TAGS!$B:$P,3,FALSE)</f>
        <v>kilogram</v>
      </c>
      <c r="AG149" s="47" t="s">
        <v>334</v>
      </c>
      <c r="AH149" s="51" t="str">
        <f>VLOOKUP(Table3[[#This Row],[MONTH]],TAGS!$W$67:$Y$81,2,FALSE)</f>
        <v>3RD QTR</v>
      </c>
      <c r="AI149" s="51" t="str">
        <f>VLOOKUP(Table3[[#This Row],[MONTH]],TAGS!$W$67:$Y$81,3,FALSE)</f>
        <v>2ND SEMESTER</v>
      </c>
      <c r="AJ149" s="51">
        <f>VLOOKUP(Table3[[#This Row],[MONTH]],TAGS!$W$67:$Z$81,4,FALSE)</f>
        <v>2025</v>
      </c>
      <c r="AK149" s="47">
        <v>33300</v>
      </c>
      <c r="AL149" s="51" t="str">
        <f>VLOOKUP(Table3[[#This Row],[ACTIVITY]],TAGS!$B:$R,16,FALSE)</f>
        <v>YES</v>
      </c>
      <c r="AM149" s="47">
        <v>333</v>
      </c>
      <c r="AN149" s="47">
        <v>1498.5</v>
      </c>
      <c r="AO149" s="57">
        <f>SUM(Table3[[#This Row],[MALE BENEFICIARIES]:[FEMALE BENEFICIARIES]])</f>
        <v>0</v>
      </c>
      <c r="AP149" s="58"/>
      <c r="AQ149" s="58"/>
      <c r="AR149" s="58"/>
      <c r="AS149" s="58">
        <v>1</v>
      </c>
      <c r="AT149" s="59">
        <v>333</v>
      </c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</row>
    <row r="150" spans="1:65">
      <c r="A150" s="51" t="str">
        <f>VLOOKUP(Table3[[#This Row],[OU]],OU!$A$15:$B$34,2,FALSE)</f>
        <v>RFOs</v>
      </c>
      <c r="B150" s="47" t="s">
        <v>5</v>
      </c>
      <c r="C150" s="47" t="s">
        <v>574</v>
      </c>
      <c r="D150" s="47"/>
      <c r="E150" s="47" t="s">
        <v>22</v>
      </c>
      <c r="F150" s="47" t="s">
        <v>629</v>
      </c>
      <c r="G15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15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21529000</v>
      </c>
      <c r="I150" s="52" t="str">
        <f>VLOOKUP(Table3[[#This Row],[PSGC]],DISTRICT!$D:$G,4,FALSE)</f>
        <v>3rd</v>
      </c>
      <c r="J150" s="47" t="s">
        <v>578</v>
      </c>
      <c r="K150" s="51" t="str">
        <f>VLOOKUP(Table3[[#This Row],[SPECIFIC COMMODITY]],TAGS!$W$48:$X$53,2,FALSE)</f>
        <v>Corn</v>
      </c>
      <c r="L150" s="51" t="str">
        <f>VLOOKUP(Table3[[#This Row],[PREXC SUB-PROGRAM]],Table5[],2,FALSE)</f>
        <v>TECHNICAL AND SUPPORT SERVICES PROGRAM</v>
      </c>
      <c r="M150" s="51" t="str">
        <f>VLOOKUP(Table3[[#This Row],[COMMODITY PREXC SUB-PROGRAM]],TAGS!$U$54:$V$76,2,FALSE)</f>
        <v>PSS</v>
      </c>
      <c r="N150" s="47" t="s">
        <v>576</v>
      </c>
      <c r="O150" s="54" t="str">
        <f>VLOOKUP(Table3[[#This Row],[PI LEVEL 3]],'PI LEVEL'!A:C,3,FALSE)</f>
        <v>Fertilizers and other soil ammendment distributed</v>
      </c>
      <c r="P150" s="54" t="str">
        <f>VLOOKUP(Table3[[#This Row],[PI LEVEL 3]],Table53729[[Performance Indicator Level 3]:[Performance Indicator Level 1]],2,FALSE)</f>
        <v>Fertilizers distributed</v>
      </c>
      <c r="Q150" s="54" t="str">
        <f>VLOOKUP(Table3[[#This Row],[ACTIVITY]],TAGS!B:P,2,FALSE)</f>
        <v>Inorganic fertilizer distributed</v>
      </c>
      <c r="R150" s="47" t="s">
        <v>36</v>
      </c>
      <c r="S150" s="51" t="str">
        <f>VLOOKUP(Table3[[#This Row],[ACTIVITY]],TAGS!$B:$P,4,FALSE)</f>
        <v>Yellow Corn Production Enhancement Project</v>
      </c>
      <c r="T150" s="51" t="str">
        <f>VLOOKUP(Table3[[#This Row],[ACTIVITY]],TAGS!$B:$P,5,FALSE)</f>
        <v>Soil Fertilization</v>
      </c>
      <c r="U150" s="51" t="str">
        <f>VLOOKUP(Table3[[#This Row],[ACTIVITY]],TAGS!$B:$P,6,FALSE)</f>
        <v>Inorganic fertilizer</v>
      </c>
      <c r="V150" s="51" t="str">
        <f>VLOOKUP(Table3[[#This Row],[ACTIVITY]],TAGS!$B:$P,7,FALSE)</f>
        <v>NO</v>
      </c>
      <c r="W150" s="51" t="str">
        <f>VLOOKUP(Table3[[#This Row],[ACTIVITY]],TAGS!$B:$P,8,FALSE)</f>
        <v>PAP</v>
      </c>
      <c r="X150" s="51" t="str">
        <f>VLOOKUP(Table3[[#This Row],[ACTIVITY]],TAGS!$B:$P,10,FALSE)</f>
        <v>PIP</v>
      </c>
      <c r="Y150" s="51" t="str">
        <f>VLOOKUP(Table3[[#This Row],[ACTIVITY]],TAGS!$B:$P,11,FALSE)</f>
        <v>PICS</v>
      </c>
      <c r="Z150" s="51" t="str">
        <f>VLOOKUP(Table3[[#This Row],[ACTIVITY]],TAGS!$B:$P,12,FALSE)</f>
        <v>Consolidation</v>
      </c>
      <c r="AA150" s="51" t="str">
        <f>VLOOKUP(Table3[[#This Row],[ACTIVITY]],TAGS!$B:$P,13,FALSE)</f>
        <v>1. Bayanihan Agri Cluster</v>
      </c>
      <c r="AB150" s="51" t="str">
        <f>VLOOKUP(Table3[[#This Row],[ACTIVITY]],TAGS!$B:$P,14,FALSE)</f>
        <v>EXPAND AND IMPROVE AVAILABLE AGRI-FISHERY AREAS FOR INCREASED PRODUCTION</v>
      </c>
      <c r="AC150" s="51" t="str">
        <f>VLOOKUP(Table3[[#This Row],[ACTIVITY]],TAGS!$B:$P,15,FALSE)</f>
        <v>Farm Inputs</v>
      </c>
      <c r="AD150" s="51" t="str">
        <f>VLOOKUP(Table3[[#This Row],[PI LEVEL 3]],'PI LEVEL'!$A:$G,7,FALSE)</f>
        <v>DA-Level Output</v>
      </c>
      <c r="AE150" s="47" t="s">
        <v>577</v>
      </c>
      <c r="AF150" s="51" t="str">
        <f>VLOOKUP(Table3[[#This Row],[ACTIVITY]],TAGS!$B:$P,3,FALSE)</f>
        <v>kilogram</v>
      </c>
      <c r="AG150" s="47" t="s">
        <v>334</v>
      </c>
      <c r="AH150" s="51" t="str">
        <f>VLOOKUP(Table3[[#This Row],[MONTH]],TAGS!$W$67:$Y$81,2,FALSE)</f>
        <v>3RD QTR</v>
      </c>
      <c r="AI150" s="51" t="str">
        <f>VLOOKUP(Table3[[#This Row],[MONTH]],TAGS!$W$67:$Y$81,3,FALSE)</f>
        <v>2ND SEMESTER</v>
      </c>
      <c r="AJ150" s="51">
        <f>VLOOKUP(Table3[[#This Row],[MONTH]],TAGS!$W$67:$Z$81,4,FALSE)</f>
        <v>2025</v>
      </c>
      <c r="AK150" s="47">
        <v>26900</v>
      </c>
      <c r="AL150" s="51" t="str">
        <f>VLOOKUP(Table3[[#This Row],[ACTIVITY]],TAGS!$B:$R,16,FALSE)</f>
        <v>YES</v>
      </c>
      <c r="AM150" s="47">
        <v>269</v>
      </c>
      <c r="AN150" s="47">
        <v>1210.5</v>
      </c>
      <c r="AO150" s="57">
        <f>SUM(Table3[[#This Row],[MALE BENEFICIARIES]:[FEMALE BENEFICIARIES]])</f>
        <v>0</v>
      </c>
      <c r="AP150" s="58"/>
      <c r="AQ150" s="58"/>
      <c r="AR150" s="58"/>
      <c r="AS150" s="58">
        <v>1</v>
      </c>
      <c r="AT150" s="59">
        <v>269</v>
      </c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</row>
    <row r="151" spans="1:65">
      <c r="A151" s="51" t="str">
        <f>VLOOKUP(Table3[[#This Row],[OU]],OU!$A$15:$B$34,2,FALSE)</f>
        <v>RFOs</v>
      </c>
      <c r="B151" s="47" t="s">
        <v>5</v>
      </c>
      <c r="C151" s="47" t="s">
        <v>574</v>
      </c>
      <c r="D151" s="47"/>
      <c r="E151" s="47" t="s">
        <v>43</v>
      </c>
      <c r="F151" s="47" t="s">
        <v>622</v>
      </c>
      <c r="G15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15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23106000</v>
      </c>
      <c r="I151" s="52" t="str">
        <f>VLOOKUP(Table3[[#This Row],[PSGC]],DISTRICT!$D:$G,4,FALSE)</f>
        <v>1st</v>
      </c>
      <c r="J151" s="47" t="s">
        <v>578</v>
      </c>
      <c r="K151" s="51" t="str">
        <f>VLOOKUP(Table3[[#This Row],[SPECIFIC COMMODITY]],TAGS!$W$48:$X$53,2,FALSE)</f>
        <v>Corn</v>
      </c>
      <c r="L151" s="51" t="str">
        <f>VLOOKUP(Table3[[#This Row],[PREXC SUB-PROGRAM]],Table5[],2,FALSE)</f>
        <v>TECHNICAL AND SUPPORT SERVICES PROGRAM</v>
      </c>
      <c r="M151" s="51" t="str">
        <f>VLOOKUP(Table3[[#This Row],[COMMODITY PREXC SUB-PROGRAM]],TAGS!$U$54:$V$76,2,FALSE)</f>
        <v>PSS</v>
      </c>
      <c r="N151" s="47" t="s">
        <v>576</v>
      </c>
      <c r="O151" s="54" t="str">
        <f>VLOOKUP(Table3[[#This Row],[PI LEVEL 3]],'PI LEVEL'!A:C,3,FALSE)</f>
        <v>Fertilizers and other soil ammendment distributed</v>
      </c>
      <c r="P151" s="54" t="str">
        <f>VLOOKUP(Table3[[#This Row],[PI LEVEL 3]],Table53729[[Performance Indicator Level 3]:[Performance Indicator Level 1]],2,FALSE)</f>
        <v>Fertilizers distributed</v>
      </c>
      <c r="Q151" s="54" t="str">
        <f>VLOOKUP(Table3[[#This Row],[ACTIVITY]],TAGS!B:P,2,FALSE)</f>
        <v>Inorganic fertilizer distributed</v>
      </c>
      <c r="R151" s="47" t="s">
        <v>36</v>
      </c>
      <c r="S151" s="51" t="str">
        <f>VLOOKUP(Table3[[#This Row],[ACTIVITY]],TAGS!$B:$P,4,FALSE)</f>
        <v>Yellow Corn Production Enhancement Project</v>
      </c>
      <c r="T151" s="51" t="str">
        <f>VLOOKUP(Table3[[#This Row],[ACTIVITY]],TAGS!$B:$P,5,FALSE)</f>
        <v>Soil Fertilization</v>
      </c>
      <c r="U151" s="51" t="str">
        <f>VLOOKUP(Table3[[#This Row],[ACTIVITY]],TAGS!$B:$P,6,FALSE)</f>
        <v>Inorganic fertilizer</v>
      </c>
      <c r="V151" s="51" t="str">
        <f>VLOOKUP(Table3[[#This Row],[ACTIVITY]],TAGS!$B:$P,7,FALSE)</f>
        <v>NO</v>
      </c>
      <c r="W151" s="51" t="str">
        <f>VLOOKUP(Table3[[#This Row],[ACTIVITY]],TAGS!$B:$P,8,FALSE)</f>
        <v>PAP</v>
      </c>
      <c r="X151" s="51" t="str">
        <f>VLOOKUP(Table3[[#This Row],[ACTIVITY]],TAGS!$B:$P,10,FALSE)</f>
        <v>PIP</v>
      </c>
      <c r="Y151" s="51" t="str">
        <f>VLOOKUP(Table3[[#This Row],[ACTIVITY]],TAGS!$B:$P,11,FALSE)</f>
        <v>PICS</v>
      </c>
      <c r="Z151" s="51" t="str">
        <f>VLOOKUP(Table3[[#This Row],[ACTIVITY]],TAGS!$B:$P,12,FALSE)</f>
        <v>Consolidation</v>
      </c>
      <c r="AA151" s="51" t="str">
        <f>VLOOKUP(Table3[[#This Row],[ACTIVITY]],TAGS!$B:$P,13,FALSE)</f>
        <v>1. Bayanihan Agri Cluster</v>
      </c>
      <c r="AB151" s="51" t="str">
        <f>VLOOKUP(Table3[[#This Row],[ACTIVITY]],TAGS!$B:$P,14,FALSE)</f>
        <v>EXPAND AND IMPROVE AVAILABLE AGRI-FISHERY AREAS FOR INCREASED PRODUCTION</v>
      </c>
      <c r="AC151" s="51" t="str">
        <f>VLOOKUP(Table3[[#This Row],[ACTIVITY]],TAGS!$B:$P,15,FALSE)</f>
        <v>Farm Inputs</v>
      </c>
      <c r="AD151" s="51" t="str">
        <f>VLOOKUP(Table3[[#This Row],[PI LEVEL 3]],'PI LEVEL'!$A:$G,7,FALSE)</f>
        <v>DA-Level Output</v>
      </c>
      <c r="AE151" s="47" t="s">
        <v>577</v>
      </c>
      <c r="AF151" s="51" t="str">
        <f>VLOOKUP(Table3[[#This Row],[ACTIVITY]],TAGS!$B:$P,3,FALSE)</f>
        <v>kilogram</v>
      </c>
      <c r="AG151" s="47" t="s">
        <v>334</v>
      </c>
      <c r="AH151" s="51" t="str">
        <f>VLOOKUP(Table3[[#This Row],[MONTH]],TAGS!$W$67:$Y$81,2,FALSE)</f>
        <v>3RD QTR</v>
      </c>
      <c r="AI151" s="51" t="str">
        <f>VLOOKUP(Table3[[#This Row],[MONTH]],TAGS!$W$67:$Y$81,3,FALSE)</f>
        <v>2ND SEMESTER</v>
      </c>
      <c r="AJ151" s="51">
        <f>VLOOKUP(Table3[[#This Row],[MONTH]],TAGS!$W$67:$Z$81,4,FALSE)</f>
        <v>2025</v>
      </c>
      <c r="AK151" s="47">
        <v>76800</v>
      </c>
      <c r="AL151" s="51" t="str">
        <f>VLOOKUP(Table3[[#This Row],[ACTIVITY]],TAGS!$B:$R,16,FALSE)</f>
        <v>YES</v>
      </c>
      <c r="AM151" s="47">
        <v>768</v>
      </c>
      <c r="AN151" s="47">
        <v>3456</v>
      </c>
      <c r="AO151" s="57">
        <f>SUM(Table3[[#This Row],[MALE BENEFICIARIES]:[FEMALE BENEFICIARIES]])</f>
        <v>0</v>
      </c>
      <c r="AP151" s="58"/>
      <c r="AQ151" s="58"/>
      <c r="AR151" s="58"/>
      <c r="AS151" s="58">
        <v>1</v>
      </c>
      <c r="AT151" s="59">
        <v>768</v>
      </c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</row>
    <row r="152" spans="1:65">
      <c r="A152" s="51" t="str">
        <f>VLOOKUP(Table3[[#This Row],[OU]],OU!$A$15:$B$34,2,FALSE)</f>
        <v>RFOs</v>
      </c>
      <c r="B152" s="47" t="s">
        <v>5</v>
      </c>
      <c r="C152" s="47" t="s">
        <v>574</v>
      </c>
      <c r="D152" s="47"/>
      <c r="E152" s="47" t="s">
        <v>43</v>
      </c>
      <c r="F152" s="47" t="s">
        <v>630</v>
      </c>
      <c r="G15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15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23114000</v>
      </c>
      <c r="I152" s="52" t="str">
        <f>VLOOKUP(Table3[[#This Row],[PSGC]],DISTRICT!$D:$G,4,FALSE)</f>
        <v>1st</v>
      </c>
      <c r="J152" s="47" t="s">
        <v>578</v>
      </c>
      <c r="K152" s="51" t="str">
        <f>VLOOKUP(Table3[[#This Row],[SPECIFIC COMMODITY]],TAGS!$W$48:$X$53,2,FALSE)</f>
        <v>Corn</v>
      </c>
      <c r="L152" s="51" t="str">
        <f>VLOOKUP(Table3[[#This Row],[PREXC SUB-PROGRAM]],Table5[],2,FALSE)</f>
        <v>TECHNICAL AND SUPPORT SERVICES PROGRAM</v>
      </c>
      <c r="M152" s="51" t="str">
        <f>VLOOKUP(Table3[[#This Row],[COMMODITY PREXC SUB-PROGRAM]],TAGS!$U$54:$V$76,2,FALSE)</f>
        <v>PSS</v>
      </c>
      <c r="N152" s="47" t="s">
        <v>576</v>
      </c>
      <c r="O152" s="54" t="str">
        <f>VLOOKUP(Table3[[#This Row],[PI LEVEL 3]],'PI LEVEL'!A:C,3,FALSE)</f>
        <v>Fertilizers and other soil ammendment distributed</v>
      </c>
      <c r="P152" s="54" t="str">
        <f>VLOOKUP(Table3[[#This Row],[PI LEVEL 3]],Table53729[[Performance Indicator Level 3]:[Performance Indicator Level 1]],2,FALSE)</f>
        <v>Fertilizers distributed</v>
      </c>
      <c r="Q152" s="54" t="str">
        <f>VLOOKUP(Table3[[#This Row],[ACTIVITY]],TAGS!B:P,2,FALSE)</f>
        <v>Inorganic fertilizer distributed</v>
      </c>
      <c r="R152" s="47" t="s">
        <v>36</v>
      </c>
      <c r="S152" s="51" t="str">
        <f>VLOOKUP(Table3[[#This Row],[ACTIVITY]],TAGS!$B:$P,4,FALSE)</f>
        <v>Yellow Corn Production Enhancement Project</v>
      </c>
      <c r="T152" s="51" t="str">
        <f>VLOOKUP(Table3[[#This Row],[ACTIVITY]],TAGS!$B:$P,5,FALSE)</f>
        <v>Soil Fertilization</v>
      </c>
      <c r="U152" s="51" t="str">
        <f>VLOOKUP(Table3[[#This Row],[ACTIVITY]],TAGS!$B:$P,6,FALSE)</f>
        <v>Inorganic fertilizer</v>
      </c>
      <c r="V152" s="51" t="str">
        <f>VLOOKUP(Table3[[#This Row],[ACTIVITY]],TAGS!$B:$P,7,FALSE)</f>
        <v>NO</v>
      </c>
      <c r="W152" s="51" t="str">
        <f>VLOOKUP(Table3[[#This Row],[ACTIVITY]],TAGS!$B:$P,8,FALSE)</f>
        <v>PAP</v>
      </c>
      <c r="X152" s="51" t="str">
        <f>VLOOKUP(Table3[[#This Row],[ACTIVITY]],TAGS!$B:$P,10,FALSE)</f>
        <v>PIP</v>
      </c>
      <c r="Y152" s="51" t="str">
        <f>VLOOKUP(Table3[[#This Row],[ACTIVITY]],TAGS!$B:$P,11,FALSE)</f>
        <v>PICS</v>
      </c>
      <c r="Z152" s="51" t="str">
        <f>VLOOKUP(Table3[[#This Row],[ACTIVITY]],TAGS!$B:$P,12,FALSE)</f>
        <v>Consolidation</v>
      </c>
      <c r="AA152" s="51" t="str">
        <f>VLOOKUP(Table3[[#This Row],[ACTIVITY]],TAGS!$B:$P,13,FALSE)</f>
        <v>1. Bayanihan Agri Cluster</v>
      </c>
      <c r="AB152" s="51" t="str">
        <f>VLOOKUP(Table3[[#This Row],[ACTIVITY]],TAGS!$B:$P,14,FALSE)</f>
        <v>EXPAND AND IMPROVE AVAILABLE AGRI-FISHERY AREAS FOR INCREASED PRODUCTION</v>
      </c>
      <c r="AC152" s="51" t="str">
        <f>VLOOKUP(Table3[[#This Row],[ACTIVITY]],TAGS!$B:$P,15,FALSE)</f>
        <v>Farm Inputs</v>
      </c>
      <c r="AD152" s="51" t="str">
        <f>VLOOKUP(Table3[[#This Row],[PI LEVEL 3]],'PI LEVEL'!$A:$G,7,FALSE)</f>
        <v>DA-Level Output</v>
      </c>
      <c r="AE152" s="47" t="s">
        <v>577</v>
      </c>
      <c r="AF152" s="51" t="str">
        <f>VLOOKUP(Table3[[#This Row],[ACTIVITY]],TAGS!$B:$P,3,FALSE)</f>
        <v>kilogram</v>
      </c>
      <c r="AG152" s="47" t="s">
        <v>334</v>
      </c>
      <c r="AH152" s="51" t="str">
        <f>VLOOKUP(Table3[[#This Row],[MONTH]],TAGS!$W$67:$Y$81,2,FALSE)</f>
        <v>3RD QTR</v>
      </c>
      <c r="AI152" s="51" t="str">
        <f>VLOOKUP(Table3[[#This Row],[MONTH]],TAGS!$W$67:$Y$81,3,FALSE)</f>
        <v>2ND SEMESTER</v>
      </c>
      <c r="AJ152" s="51">
        <f>VLOOKUP(Table3[[#This Row],[MONTH]],TAGS!$W$67:$Z$81,4,FALSE)</f>
        <v>2025</v>
      </c>
      <c r="AK152" s="47">
        <v>213300</v>
      </c>
      <c r="AL152" s="51" t="str">
        <f>VLOOKUP(Table3[[#This Row],[ACTIVITY]],TAGS!$B:$R,16,FALSE)</f>
        <v>YES</v>
      </c>
      <c r="AM152" s="47">
        <v>2133</v>
      </c>
      <c r="AN152" s="47">
        <v>9598.5</v>
      </c>
      <c r="AO152" s="57">
        <f>SUM(Table3[[#This Row],[MALE BENEFICIARIES]:[FEMALE BENEFICIARIES]])</f>
        <v>0</v>
      </c>
      <c r="AP152" s="58"/>
      <c r="AQ152" s="58"/>
      <c r="AR152" s="58"/>
      <c r="AS152" s="58">
        <v>1</v>
      </c>
      <c r="AT152" s="59">
        <v>2133</v>
      </c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/>
      <c r="BF152" s="59"/>
      <c r="BG152" s="59"/>
      <c r="BH152" s="59"/>
      <c r="BI152" s="59"/>
      <c r="BJ152" s="59"/>
      <c r="BK152" s="59"/>
      <c r="BL152" s="59"/>
      <c r="BM152" s="59"/>
    </row>
    <row r="153" spans="1:65">
      <c r="A153" s="51" t="str">
        <f>VLOOKUP(Table3[[#This Row],[OU]],OU!$A$15:$B$34,2,FALSE)</f>
        <v>RFOs</v>
      </c>
      <c r="B153" s="47" t="s">
        <v>5</v>
      </c>
      <c r="C153" s="47" t="s">
        <v>574</v>
      </c>
      <c r="D153" s="47"/>
      <c r="E153" s="47" t="s">
        <v>43</v>
      </c>
      <c r="F153" s="47" t="s">
        <v>661</v>
      </c>
      <c r="G15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15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23118000</v>
      </c>
      <c r="I153" s="52" t="str">
        <f>VLOOKUP(Table3[[#This Row],[PSGC]],DISTRICT!$D:$G,4,FALSE)</f>
        <v>4th</v>
      </c>
      <c r="J153" s="47" t="s">
        <v>578</v>
      </c>
      <c r="K153" s="51" t="str">
        <f>VLOOKUP(Table3[[#This Row],[SPECIFIC COMMODITY]],TAGS!$W$48:$X$53,2,FALSE)</f>
        <v>Corn</v>
      </c>
      <c r="L153" s="51" t="str">
        <f>VLOOKUP(Table3[[#This Row],[PREXC SUB-PROGRAM]],Table5[],2,FALSE)</f>
        <v>TECHNICAL AND SUPPORT SERVICES PROGRAM</v>
      </c>
      <c r="M153" s="51" t="str">
        <f>VLOOKUP(Table3[[#This Row],[COMMODITY PREXC SUB-PROGRAM]],TAGS!$U$54:$V$76,2,FALSE)</f>
        <v>PSS</v>
      </c>
      <c r="N153" s="47" t="s">
        <v>576</v>
      </c>
      <c r="O153" s="54" t="str">
        <f>VLOOKUP(Table3[[#This Row],[PI LEVEL 3]],'PI LEVEL'!A:C,3,FALSE)</f>
        <v>Fertilizers and other soil ammendment distributed</v>
      </c>
      <c r="P153" s="54" t="str">
        <f>VLOOKUP(Table3[[#This Row],[PI LEVEL 3]],Table53729[[Performance Indicator Level 3]:[Performance Indicator Level 1]],2,FALSE)</f>
        <v>Fertilizers distributed</v>
      </c>
      <c r="Q153" s="54" t="str">
        <f>VLOOKUP(Table3[[#This Row],[ACTIVITY]],TAGS!B:P,2,FALSE)</f>
        <v>Inorganic fertilizer distributed</v>
      </c>
      <c r="R153" s="47" t="s">
        <v>36</v>
      </c>
      <c r="S153" s="51" t="str">
        <f>VLOOKUP(Table3[[#This Row],[ACTIVITY]],TAGS!$B:$P,4,FALSE)</f>
        <v>Yellow Corn Production Enhancement Project</v>
      </c>
      <c r="T153" s="51" t="str">
        <f>VLOOKUP(Table3[[#This Row],[ACTIVITY]],TAGS!$B:$P,5,FALSE)</f>
        <v>Soil Fertilization</v>
      </c>
      <c r="U153" s="51" t="str">
        <f>VLOOKUP(Table3[[#This Row],[ACTIVITY]],TAGS!$B:$P,6,FALSE)</f>
        <v>Inorganic fertilizer</v>
      </c>
      <c r="V153" s="51" t="str">
        <f>VLOOKUP(Table3[[#This Row],[ACTIVITY]],TAGS!$B:$P,7,FALSE)</f>
        <v>NO</v>
      </c>
      <c r="W153" s="51" t="str">
        <f>VLOOKUP(Table3[[#This Row],[ACTIVITY]],TAGS!$B:$P,8,FALSE)</f>
        <v>PAP</v>
      </c>
      <c r="X153" s="51" t="str">
        <f>VLOOKUP(Table3[[#This Row],[ACTIVITY]],TAGS!$B:$P,10,FALSE)</f>
        <v>PIP</v>
      </c>
      <c r="Y153" s="51" t="str">
        <f>VLOOKUP(Table3[[#This Row],[ACTIVITY]],TAGS!$B:$P,11,FALSE)</f>
        <v>PICS</v>
      </c>
      <c r="Z153" s="51" t="str">
        <f>VLOOKUP(Table3[[#This Row],[ACTIVITY]],TAGS!$B:$P,12,FALSE)</f>
        <v>Consolidation</v>
      </c>
      <c r="AA153" s="51" t="str">
        <f>VLOOKUP(Table3[[#This Row],[ACTIVITY]],TAGS!$B:$P,13,FALSE)</f>
        <v>1. Bayanihan Agri Cluster</v>
      </c>
      <c r="AB153" s="51" t="str">
        <f>VLOOKUP(Table3[[#This Row],[ACTIVITY]],TAGS!$B:$P,14,FALSE)</f>
        <v>EXPAND AND IMPROVE AVAILABLE AGRI-FISHERY AREAS FOR INCREASED PRODUCTION</v>
      </c>
      <c r="AC153" s="51" t="str">
        <f>VLOOKUP(Table3[[#This Row],[ACTIVITY]],TAGS!$B:$P,15,FALSE)</f>
        <v>Farm Inputs</v>
      </c>
      <c r="AD153" s="51" t="str">
        <f>VLOOKUP(Table3[[#This Row],[PI LEVEL 3]],'PI LEVEL'!$A:$G,7,FALSE)</f>
        <v>DA-Level Output</v>
      </c>
      <c r="AE153" s="47" t="s">
        <v>577</v>
      </c>
      <c r="AF153" s="51" t="str">
        <f>VLOOKUP(Table3[[#This Row],[ACTIVITY]],TAGS!$B:$P,3,FALSE)</f>
        <v>kilogram</v>
      </c>
      <c r="AG153" s="47" t="s">
        <v>334</v>
      </c>
      <c r="AH153" s="51" t="str">
        <f>VLOOKUP(Table3[[#This Row],[MONTH]],TAGS!$W$67:$Y$81,2,FALSE)</f>
        <v>3RD QTR</v>
      </c>
      <c r="AI153" s="51" t="str">
        <f>VLOOKUP(Table3[[#This Row],[MONTH]],TAGS!$W$67:$Y$81,3,FALSE)</f>
        <v>2ND SEMESTER</v>
      </c>
      <c r="AJ153" s="51">
        <f>VLOOKUP(Table3[[#This Row],[MONTH]],TAGS!$W$67:$Z$81,4,FALSE)</f>
        <v>2025</v>
      </c>
      <c r="AK153" s="47">
        <v>16700</v>
      </c>
      <c r="AL153" s="51" t="str">
        <f>VLOOKUP(Table3[[#This Row],[ACTIVITY]],TAGS!$B:$R,16,FALSE)</f>
        <v>YES</v>
      </c>
      <c r="AM153" s="47">
        <v>167</v>
      </c>
      <c r="AN153" s="47">
        <v>751.5</v>
      </c>
      <c r="AO153" s="57">
        <f>SUM(Table3[[#This Row],[MALE BENEFICIARIES]:[FEMALE BENEFICIARIES]])</f>
        <v>0</v>
      </c>
      <c r="AP153" s="58"/>
      <c r="AQ153" s="58"/>
      <c r="AR153" s="58"/>
      <c r="AS153" s="58">
        <v>1</v>
      </c>
      <c r="AT153" s="59">
        <v>167</v>
      </c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</row>
    <row r="154" spans="1:65">
      <c r="A154" s="51" t="str">
        <f>VLOOKUP(Table3[[#This Row],[OU]],OU!$A$15:$B$34,2,FALSE)</f>
        <v>RFOs</v>
      </c>
      <c r="B154" s="47" t="s">
        <v>5</v>
      </c>
      <c r="C154" s="47" t="s">
        <v>574</v>
      </c>
      <c r="D154" s="47"/>
      <c r="E154" s="47" t="s">
        <v>43</v>
      </c>
      <c r="F154" s="47" t="s">
        <v>623</v>
      </c>
      <c r="G15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15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23133000</v>
      </c>
      <c r="I154" s="52" t="str">
        <f>VLOOKUP(Table3[[#This Row],[PSGC]],DISTRICT!$D:$G,4,FALSE)</f>
        <v>2nd</v>
      </c>
      <c r="J154" s="47" t="s">
        <v>578</v>
      </c>
      <c r="K154" s="51" t="str">
        <f>VLOOKUP(Table3[[#This Row],[SPECIFIC COMMODITY]],TAGS!$W$48:$X$53,2,FALSE)</f>
        <v>Corn</v>
      </c>
      <c r="L154" s="51" t="str">
        <f>VLOOKUP(Table3[[#This Row],[PREXC SUB-PROGRAM]],Table5[],2,FALSE)</f>
        <v>TECHNICAL AND SUPPORT SERVICES PROGRAM</v>
      </c>
      <c r="M154" s="51" t="str">
        <f>VLOOKUP(Table3[[#This Row],[COMMODITY PREXC SUB-PROGRAM]],TAGS!$U$54:$V$76,2,FALSE)</f>
        <v>PSS</v>
      </c>
      <c r="N154" s="47" t="s">
        <v>576</v>
      </c>
      <c r="O154" s="54" t="str">
        <f>VLOOKUP(Table3[[#This Row],[PI LEVEL 3]],'PI LEVEL'!A:C,3,FALSE)</f>
        <v>Fertilizers and other soil ammendment distributed</v>
      </c>
      <c r="P154" s="54" t="str">
        <f>VLOOKUP(Table3[[#This Row],[PI LEVEL 3]],Table53729[[Performance Indicator Level 3]:[Performance Indicator Level 1]],2,FALSE)</f>
        <v>Fertilizers distributed</v>
      </c>
      <c r="Q154" s="54" t="str">
        <f>VLOOKUP(Table3[[#This Row],[ACTIVITY]],TAGS!B:P,2,FALSE)</f>
        <v>Inorganic fertilizer distributed</v>
      </c>
      <c r="R154" s="47" t="s">
        <v>36</v>
      </c>
      <c r="S154" s="51" t="str">
        <f>VLOOKUP(Table3[[#This Row],[ACTIVITY]],TAGS!$B:$P,4,FALSE)</f>
        <v>Yellow Corn Production Enhancement Project</v>
      </c>
      <c r="T154" s="51" t="str">
        <f>VLOOKUP(Table3[[#This Row],[ACTIVITY]],TAGS!$B:$P,5,FALSE)</f>
        <v>Soil Fertilization</v>
      </c>
      <c r="U154" s="51" t="str">
        <f>VLOOKUP(Table3[[#This Row],[ACTIVITY]],TAGS!$B:$P,6,FALSE)</f>
        <v>Inorganic fertilizer</v>
      </c>
      <c r="V154" s="51" t="str">
        <f>VLOOKUP(Table3[[#This Row],[ACTIVITY]],TAGS!$B:$P,7,FALSE)</f>
        <v>NO</v>
      </c>
      <c r="W154" s="51" t="str">
        <f>VLOOKUP(Table3[[#This Row],[ACTIVITY]],TAGS!$B:$P,8,FALSE)</f>
        <v>PAP</v>
      </c>
      <c r="X154" s="51" t="str">
        <f>VLOOKUP(Table3[[#This Row],[ACTIVITY]],TAGS!$B:$P,10,FALSE)</f>
        <v>PIP</v>
      </c>
      <c r="Y154" s="51" t="str">
        <f>VLOOKUP(Table3[[#This Row],[ACTIVITY]],TAGS!$B:$P,11,FALSE)</f>
        <v>PICS</v>
      </c>
      <c r="Z154" s="51" t="str">
        <f>VLOOKUP(Table3[[#This Row],[ACTIVITY]],TAGS!$B:$P,12,FALSE)</f>
        <v>Consolidation</v>
      </c>
      <c r="AA154" s="51" t="str">
        <f>VLOOKUP(Table3[[#This Row],[ACTIVITY]],TAGS!$B:$P,13,FALSE)</f>
        <v>1. Bayanihan Agri Cluster</v>
      </c>
      <c r="AB154" s="51" t="str">
        <f>VLOOKUP(Table3[[#This Row],[ACTIVITY]],TAGS!$B:$P,14,FALSE)</f>
        <v>EXPAND AND IMPROVE AVAILABLE AGRI-FISHERY AREAS FOR INCREASED PRODUCTION</v>
      </c>
      <c r="AC154" s="51" t="str">
        <f>VLOOKUP(Table3[[#This Row],[ACTIVITY]],TAGS!$B:$P,15,FALSE)</f>
        <v>Farm Inputs</v>
      </c>
      <c r="AD154" s="51" t="str">
        <f>VLOOKUP(Table3[[#This Row],[PI LEVEL 3]],'PI LEVEL'!$A:$G,7,FALSE)</f>
        <v>DA-Level Output</v>
      </c>
      <c r="AE154" s="47" t="s">
        <v>577</v>
      </c>
      <c r="AF154" s="51" t="str">
        <f>VLOOKUP(Table3[[#This Row],[ACTIVITY]],TAGS!$B:$P,3,FALSE)</f>
        <v>kilogram</v>
      </c>
      <c r="AG154" s="47" t="s">
        <v>334</v>
      </c>
      <c r="AH154" s="51" t="str">
        <f>VLOOKUP(Table3[[#This Row],[MONTH]],TAGS!$W$67:$Y$81,2,FALSE)</f>
        <v>3RD QTR</v>
      </c>
      <c r="AI154" s="51" t="str">
        <f>VLOOKUP(Table3[[#This Row],[MONTH]],TAGS!$W$67:$Y$81,3,FALSE)</f>
        <v>2ND SEMESTER</v>
      </c>
      <c r="AJ154" s="51">
        <f>VLOOKUP(Table3[[#This Row],[MONTH]],TAGS!$W$67:$Z$81,4,FALSE)</f>
        <v>2025</v>
      </c>
      <c r="AK154" s="47">
        <v>53600</v>
      </c>
      <c r="AL154" s="51" t="str">
        <f>VLOOKUP(Table3[[#This Row],[ACTIVITY]],TAGS!$B:$R,16,FALSE)</f>
        <v>YES</v>
      </c>
      <c r="AM154" s="47">
        <v>536</v>
      </c>
      <c r="AN154" s="47">
        <v>2412</v>
      </c>
      <c r="AO154" s="57">
        <f>SUM(Table3[[#This Row],[MALE BENEFICIARIES]:[FEMALE BENEFICIARIES]])</f>
        <v>0</v>
      </c>
      <c r="AP154" s="58"/>
      <c r="AQ154" s="58"/>
      <c r="AR154" s="58"/>
      <c r="AS154" s="58">
        <v>1</v>
      </c>
      <c r="AT154" s="59">
        <v>536</v>
      </c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</row>
    <row r="155" spans="1:65">
      <c r="A155" s="51" t="str">
        <f>VLOOKUP(Table3[[#This Row],[OU]],OU!$A$15:$B$34,2,FALSE)</f>
        <v>RFOs</v>
      </c>
      <c r="B155" s="47" t="s">
        <v>5</v>
      </c>
      <c r="C155" s="47" t="s">
        <v>574</v>
      </c>
      <c r="D155" s="47"/>
      <c r="E155" s="47" t="s">
        <v>43</v>
      </c>
      <c r="F155" s="47" t="s">
        <v>624</v>
      </c>
      <c r="G15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15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23134000</v>
      </c>
      <c r="I155" s="52" t="str">
        <f>VLOOKUP(Table3[[#This Row],[PSGC]],DISTRICT!$D:$G,4,FALSE)</f>
        <v>4th</v>
      </c>
      <c r="J155" s="47" t="s">
        <v>578</v>
      </c>
      <c r="K155" s="51" t="str">
        <f>VLOOKUP(Table3[[#This Row],[SPECIFIC COMMODITY]],TAGS!$W$48:$X$53,2,FALSE)</f>
        <v>Corn</v>
      </c>
      <c r="L155" s="51" t="str">
        <f>VLOOKUP(Table3[[#This Row],[PREXC SUB-PROGRAM]],Table5[],2,FALSE)</f>
        <v>TECHNICAL AND SUPPORT SERVICES PROGRAM</v>
      </c>
      <c r="M155" s="51" t="str">
        <f>VLOOKUP(Table3[[#This Row],[COMMODITY PREXC SUB-PROGRAM]],TAGS!$U$54:$V$76,2,FALSE)</f>
        <v>PSS</v>
      </c>
      <c r="N155" s="47" t="s">
        <v>576</v>
      </c>
      <c r="O155" s="54" t="str">
        <f>VLOOKUP(Table3[[#This Row],[PI LEVEL 3]],'PI LEVEL'!A:C,3,FALSE)</f>
        <v>Fertilizers and other soil ammendment distributed</v>
      </c>
      <c r="P155" s="54" t="str">
        <f>VLOOKUP(Table3[[#This Row],[PI LEVEL 3]],Table53729[[Performance Indicator Level 3]:[Performance Indicator Level 1]],2,FALSE)</f>
        <v>Fertilizers distributed</v>
      </c>
      <c r="Q155" s="54" t="str">
        <f>VLOOKUP(Table3[[#This Row],[ACTIVITY]],TAGS!B:P,2,FALSE)</f>
        <v>Inorganic fertilizer distributed</v>
      </c>
      <c r="R155" s="47" t="s">
        <v>36</v>
      </c>
      <c r="S155" s="51" t="str">
        <f>VLOOKUP(Table3[[#This Row],[ACTIVITY]],TAGS!$B:$P,4,FALSE)</f>
        <v>Yellow Corn Production Enhancement Project</v>
      </c>
      <c r="T155" s="51" t="str">
        <f>VLOOKUP(Table3[[#This Row],[ACTIVITY]],TAGS!$B:$P,5,FALSE)</f>
        <v>Soil Fertilization</v>
      </c>
      <c r="U155" s="51" t="str">
        <f>VLOOKUP(Table3[[#This Row],[ACTIVITY]],TAGS!$B:$P,6,FALSE)</f>
        <v>Inorganic fertilizer</v>
      </c>
      <c r="V155" s="51" t="str">
        <f>VLOOKUP(Table3[[#This Row],[ACTIVITY]],TAGS!$B:$P,7,FALSE)</f>
        <v>NO</v>
      </c>
      <c r="W155" s="51" t="str">
        <f>VLOOKUP(Table3[[#This Row],[ACTIVITY]],TAGS!$B:$P,8,FALSE)</f>
        <v>PAP</v>
      </c>
      <c r="X155" s="51" t="str">
        <f>VLOOKUP(Table3[[#This Row],[ACTIVITY]],TAGS!$B:$P,10,FALSE)</f>
        <v>PIP</v>
      </c>
      <c r="Y155" s="51" t="str">
        <f>VLOOKUP(Table3[[#This Row],[ACTIVITY]],TAGS!$B:$P,11,FALSE)</f>
        <v>PICS</v>
      </c>
      <c r="Z155" s="51" t="str">
        <f>VLOOKUP(Table3[[#This Row],[ACTIVITY]],TAGS!$B:$P,12,FALSE)</f>
        <v>Consolidation</v>
      </c>
      <c r="AA155" s="51" t="str">
        <f>VLOOKUP(Table3[[#This Row],[ACTIVITY]],TAGS!$B:$P,13,FALSE)</f>
        <v>1. Bayanihan Agri Cluster</v>
      </c>
      <c r="AB155" s="51" t="str">
        <f>VLOOKUP(Table3[[#This Row],[ACTIVITY]],TAGS!$B:$P,14,FALSE)</f>
        <v>EXPAND AND IMPROVE AVAILABLE AGRI-FISHERY AREAS FOR INCREASED PRODUCTION</v>
      </c>
      <c r="AC155" s="51" t="str">
        <f>VLOOKUP(Table3[[#This Row],[ACTIVITY]],TAGS!$B:$P,15,FALSE)</f>
        <v>Farm Inputs</v>
      </c>
      <c r="AD155" s="51" t="str">
        <f>VLOOKUP(Table3[[#This Row],[PI LEVEL 3]],'PI LEVEL'!$A:$G,7,FALSE)</f>
        <v>DA-Level Output</v>
      </c>
      <c r="AE155" s="47" t="s">
        <v>577</v>
      </c>
      <c r="AF155" s="51" t="str">
        <f>VLOOKUP(Table3[[#This Row],[ACTIVITY]],TAGS!$B:$P,3,FALSE)</f>
        <v>kilogram</v>
      </c>
      <c r="AG155" s="47" t="s">
        <v>334</v>
      </c>
      <c r="AH155" s="51" t="str">
        <f>VLOOKUP(Table3[[#This Row],[MONTH]],TAGS!$W$67:$Y$81,2,FALSE)</f>
        <v>3RD QTR</v>
      </c>
      <c r="AI155" s="51" t="str">
        <f>VLOOKUP(Table3[[#This Row],[MONTH]],TAGS!$W$67:$Y$81,3,FALSE)</f>
        <v>2ND SEMESTER</v>
      </c>
      <c r="AJ155" s="51">
        <f>VLOOKUP(Table3[[#This Row],[MONTH]],TAGS!$W$67:$Z$81,4,FALSE)</f>
        <v>2025</v>
      </c>
      <c r="AK155" s="47">
        <v>31000</v>
      </c>
      <c r="AL155" s="51" t="str">
        <f>VLOOKUP(Table3[[#This Row],[ACTIVITY]],TAGS!$B:$R,16,FALSE)</f>
        <v>YES</v>
      </c>
      <c r="AM155" s="47">
        <v>310</v>
      </c>
      <c r="AN155" s="47">
        <v>1395</v>
      </c>
      <c r="AO155" s="57">
        <f>SUM(Table3[[#This Row],[MALE BENEFICIARIES]:[FEMALE BENEFICIARIES]])</f>
        <v>0</v>
      </c>
      <c r="AP155" s="58"/>
      <c r="AQ155" s="58"/>
      <c r="AR155" s="58"/>
      <c r="AS155" s="58">
        <v>1</v>
      </c>
      <c r="AT155" s="59">
        <v>310</v>
      </c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</row>
    <row r="156" spans="1:65">
      <c r="A156" s="51" t="str">
        <f>VLOOKUP(Table3[[#This Row],[OU]],OU!$A$15:$B$34,2,FALSE)</f>
        <v>RFOs</v>
      </c>
      <c r="B156" s="47" t="s">
        <v>5</v>
      </c>
      <c r="C156" s="47" t="s">
        <v>574</v>
      </c>
      <c r="D156" s="47"/>
      <c r="E156" s="47" t="s">
        <v>43</v>
      </c>
      <c r="F156" s="47" t="s">
        <v>621</v>
      </c>
      <c r="G15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15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23136000</v>
      </c>
      <c r="I156" s="52" t="str">
        <f>VLOOKUP(Table3[[#This Row],[PSGC]],DISTRICT!$D:$G,4,FALSE)</f>
        <v>4th</v>
      </c>
      <c r="J156" s="47" t="s">
        <v>578</v>
      </c>
      <c r="K156" s="51" t="str">
        <f>VLOOKUP(Table3[[#This Row],[SPECIFIC COMMODITY]],TAGS!$W$48:$X$53,2,FALSE)</f>
        <v>Corn</v>
      </c>
      <c r="L156" s="51" t="str">
        <f>VLOOKUP(Table3[[#This Row],[PREXC SUB-PROGRAM]],Table5[],2,FALSE)</f>
        <v>TECHNICAL AND SUPPORT SERVICES PROGRAM</v>
      </c>
      <c r="M156" s="51" t="str">
        <f>VLOOKUP(Table3[[#This Row],[COMMODITY PREXC SUB-PROGRAM]],TAGS!$U$54:$V$76,2,FALSE)</f>
        <v>PSS</v>
      </c>
      <c r="N156" s="47" t="s">
        <v>576</v>
      </c>
      <c r="O156" s="54" t="str">
        <f>VLOOKUP(Table3[[#This Row],[PI LEVEL 3]],'PI LEVEL'!A:C,3,FALSE)</f>
        <v>Fertilizers and other soil ammendment distributed</v>
      </c>
      <c r="P156" s="54" t="str">
        <f>VLOOKUP(Table3[[#This Row],[PI LEVEL 3]],Table53729[[Performance Indicator Level 3]:[Performance Indicator Level 1]],2,FALSE)</f>
        <v>Fertilizers distributed</v>
      </c>
      <c r="Q156" s="54" t="str">
        <f>VLOOKUP(Table3[[#This Row],[ACTIVITY]],TAGS!B:P,2,FALSE)</f>
        <v>Inorganic fertilizer distributed</v>
      </c>
      <c r="R156" s="47" t="s">
        <v>36</v>
      </c>
      <c r="S156" s="51" t="str">
        <f>VLOOKUP(Table3[[#This Row],[ACTIVITY]],TAGS!$B:$P,4,FALSE)</f>
        <v>Yellow Corn Production Enhancement Project</v>
      </c>
      <c r="T156" s="51" t="str">
        <f>VLOOKUP(Table3[[#This Row],[ACTIVITY]],TAGS!$B:$P,5,FALSE)</f>
        <v>Soil Fertilization</v>
      </c>
      <c r="U156" s="51" t="str">
        <f>VLOOKUP(Table3[[#This Row],[ACTIVITY]],TAGS!$B:$P,6,FALSE)</f>
        <v>Inorganic fertilizer</v>
      </c>
      <c r="V156" s="51" t="str">
        <f>VLOOKUP(Table3[[#This Row],[ACTIVITY]],TAGS!$B:$P,7,FALSE)</f>
        <v>NO</v>
      </c>
      <c r="W156" s="51" t="str">
        <f>VLOOKUP(Table3[[#This Row],[ACTIVITY]],TAGS!$B:$P,8,FALSE)</f>
        <v>PAP</v>
      </c>
      <c r="X156" s="51" t="str">
        <f>VLOOKUP(Table3[[#This Row],[ACTIVITY]],TAGS!$B:$P,10,FALSE)</f>
        <v>PIP</v>
      </c>
      <c r="Y156" s="51" t="str">
        <f>VLOOKUP(Table3[[#This Row],[ACTIVITY]],TAGS!$B:$P,11,FALSE)</f>
        <v>PICS</v>
      </c>
      <c r="Z156" s="51" t="str">
        <f>VLOOKUP(Table3[[#This Row],[ACTIVITY]],TAGS!$B:$P,12,FALSE)</f>
        <v>Consolidation</v>
      </c>
      <c r="AA156" s="51" t="str">
        <f>VLOOKUP(Table3[[#This Row],[ACTIVITY]],TAGS!$B:$P,13,FALSE)</f>
        <v>1. Bayanihan Agri Cluster</v>
      </c>
      <c r="AB156" s="51" t="str">
        <f>VLOOKUP(Table3[[#This Row],[ACTIVITY]],TAGS!$B:$P,14,FALSE)</f>
        <v>EXPAND AND IMPROVE AVAILABLE AGRI-FISHERY AREAS FOR INCREASED PRODUCTION</v>
      </c>
      <c r="AC156" s="51" t="str">
        <f>VLOOKUP(Table3[[#This Row],[ACTIVITY]],TAGS!$B:$P,15,FALSE)</f>
        <v>Farm Inputs</v>
      </c>
      <c r="AD156" s="51" t="str">
        <f>VLOOKUP(Table3[[#This Row],[PI LEVEL 3]],'PI LEVEL'!$A:$G,7,FALSE)</f>
        <v>DA-Level Output</v>
      </c>
      <c r="AE156" s="47" t="s">
        <v>577</v>
      </c>
      <c r="AF156" s="51" t="str">
        <f>VLOOKUP(Table3[[#This Row],[ACTIVITY]],TAGS!$B:$P,3,FALSE)</f>
        <v>kilogram</v>
      </c>
      <c r="AG156" s="47" t="s">
        <v>334</v>
      </c>
      <c r="AH156" s="51" t="str">
        <f>VLOOKUP(Table3[[#This Row],[MONTH]],TAGS!$W$67:$Y$81,2,FALSE)</f>
        <v>3RD QTR</v>
      </c>
      <c r="AI156" s="51" t="str">
        <f>VLOOKUP(Table3[[#This Row],[MONTH]],TAGS!$W$67:$Y$81,3,FALSE)</f>
        <v>2ND SEMESTER</v>
      </c>
      <c r="AJ156" s="51">
        <f>VLOOKUP(Table3[[#This Row],[MONTH]],TAGS!$W$67:$Z$81,4,FALSE)</f>
        <v>2025</v>
      </c>
      <c r="AK156" s="47">
        <v>40200</v>
      </c>
      <c r="AL156" s="51" t="str">
        <f>VLOOKUP(Table3[[#This Row],[ACTIVITY]],TAGS!$B:$R,16,FALSE)</f>
        <v>YES</v>
      </c>
      <c r="AM156" s="47">
        <v>402</v>
      </c>
      <c r="AN156" s="47">
        <v>1809</v>
      </c>
      <c r="AO156" s="57">
        <f>SUM(Table3[[#This Row],[MALE BENEFICIARIES]:[FEMALE BENEFICIARIES]])</f>
        <v>0</v>
      </c>
      <c r="AP156" s="58"/>
      <c r="AQ156" s="58"/>
      <c r="AR156" s="58"/>
      <c r="AS156" s="58">
        <v>1</v>
      </c>
      <c r="AT156" s="59">
        <v>402</v>
      </c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</row>
    <row r="157" spans="1:65">
      <c r="A157" s="51" t="str">
        <f>VLOOKUP(Table3[[#This Row],[OU]],OU!$A$15:$B$34,2,FALSE)</f>
        <v>RFOs</v>
      </c>
      <c r="B157" s="47" t="s">
        <v>5</v>
      </c>
      <c r="C157" s="47" t="s">
        <v>574</v>
      </c>
      <c r="D157" s="47"/>
      <c r="E157" s="47" t="s">
        <v>43</v>
      </c>
      <c r="F157" s="47" t="s">
        <v>641</v>
      </c>
      <c r="G15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15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23137000</v>
      </c>
      <c r="I157" s="52" t="str">
        <f>VLOOKUP(Table3[[#This Row],[PSGC]],DISTRICT!$D:$G,4,FALSE)</f>
        <v>1st</v>
      </c>
      <c r="J157" s="47" t="s">
        <v>578</v>
      </c>
      <c r="K157" s="51" t="str">
        <f>VLOOKUP(Table3[[#This Row],[SPECIFIC COMMODITY]],TAGS!$W$48:$X$53,2,FALSE)</f>
        <v>Corn</v>
      </c>
      <c r="L157" s="51" t="str">
        <f>VLOOKUP(Table3[[#This Row],[PREXC SUB-PROGRAM]],Table5[],2,FALSE)</f>
        <v>TECHNICAL AND SUPPORT SERVICES PROGRAM</v>
      </c>
      <c r="M157" s="51" t="str">
        <f>VLOOKUP(Table3[[#This Row],[COMMODITY PREXC SUB-PROGRAM]],TAGS!$U$54:$V$76,2,FALSE)</f>
        <v>PSS</v>
      </c>
      <c r="N157" s="47" t="s">
        <v>576</v>
      </c>
      <c r="O157" s="54" t="str">
        <f>VLOOKUP(Table3[[#This Row],[PI LEVEL 3]],'PI LEVEL'!A:C,3,FALSE)</f>
        <v>Fertilizers and other soil ammendment distributed</v>
      </c>
      <c r="P157" s="54" t="str">
        <f>VLOOKUP(Table3[[#This Row],[PI LEVEL 3]],Table53729[[Performance Indicator Level 3]:[Performance Indicator Level 1]],2,FALSE)</f>
        <v>Fertilizers distributed</v>
      </c>
      <c r="Q157" s="54" t="str">
        <f>VLOOKUP(Table3[[#This Row],[ACTIVITY]],TAGS!B:P,2,FALSE)</f>
        <v>Inorganic fertilizer distributed</v>
      </c>
      <c r="R157" s="47" t="s">
        <v>36</v>
      </c>
      <c r="S157" s="51" t="str">
        <f>VLOOKUP(Table3[[#This Row],[ACTIVITY]],TAGS!$B:$P,4,FALSE)</f>
        <v>Yellow Corn Production Enhancement Project</v>
      </c>
      <c r="T157" s="51" t="str">
        <f>VLOOKUP(Table3[[#This Row],[ACTIVITY]],TAGS!$B:$P,5,FALSE)</f>
        <v>Soil Fertilization</v>
      </c>
      <c r="U157" s="51" t="str">
        <f>VLOOKUP(Table3[[#This Row],[ACTIVITY]],TAGS!$B:$P,6,FALSE)</f>
        <v>Inorganic fertilizer</v>
      </c>
      <c r="V157" s="51" t="str">
        <f>VLOOKUP(Table3[[#This Row],[ACTIVITY]],TAGS!$B:$P,7,FALSE)</f>
        <v>NO</v>
      </c>
      <c r="W157" s="51" t="str">
        <f>VLOOKUP(Table3[[#This Row],[ACTIVITY]],TAGS!$B:$P,8,FALSE)</f>
        <v>PAP</v>
      </c>
      <c r="X157" s="51" t="str">
        <f>VLOOKUP(Table3[[#This Row],[ACTIVITY]],TAGS!$B:$P,10,FALSE)</f>
        <v>PIP</v>
      </c>
      <c r="Y157" s="51" t="str">
        <f>VLOOKUP(Table3[[#This Row],[ACTIVITY]],TAGS!$B:$P,11,FALSE)</f>
        <v>PICS</v>
      </c>
      <c r="Z157" s="51" t="str">
        <f>VLOOKUP(Table3[[#This Row],[ACTIVITY]],TAGS!$B:$P,12,FALSE)</f>
        <v>Consolidation</v>
      </c>
      <c r="AA157" s="51" t="str">
        <f>VLOOKUP(Table3[[#This Row],[ACTIVITY]],TAGS!$B:$P,13,FALSE)</f>
        <v>1. Bayanihan Agri Cluster</v>
      </c>
      <c r="AB157" s="51" t="str">
        <f>VLOOKUP(Table3[[#This Row],[ACTIVITY]],TAGS!$B:$P,14,FALSE)</f>
        <v>EXPAND AND IMPROVE AVAILABLE AGRI-FISHERY AREAS FOR INCREASED PRODUCTION</v>
      </c>
      <c r="AC157" s="51" t="str">
        <f>VLOOKUP(Table3[[#This Row],[ACTIVITY]],TAGS!$B:$P,15,FALSE)</f>
        <v>Farm Inputs</v>
      </c>
      <c r="AD157" s="51" t="str">
        <f>VLOOKUP(Table3[[#This Row],[PI LEVEL 3]],'PI LEVEL'!$A:$G,7,FALSE)</f>
        <v>DA-Level Output</v>
      </c>
      <c r="AE157" s="47" t="s">
        <v>577</v>
      </c>
      <c r="AF157" s="51" t="str">
        <f>VLOOKUP(Table3[[#This Row],[ACTIVITY]],TAGS!$B:$P,3,FALSE)</f>
        <v>kilogram</v>
      </c>
      <c r="AG157" s="47" t="s">
        <v>334</v>
      </c>
      <c r="AH157" s="51" t="str">
        <f>VLOOKUP(Table3[[#This Row],[MONTH]],TAGS!$W$67:$Y$81,2,FALSE)</f>
        <v>3RD QTR</v>
      </c>
      <c r="AI157" s="51" t="str">
        <f>VLOOKUP(Table3[[#This Row],[MONTH]],TAGS!$W$67:$Y$81,3,FALSE)</f>
        <v>2ND SEMESTER</v>
      </c>
      <c r="AJ157" s="51">
        <f>VLOOKUP(Table3[[#This Row],[MONTH]],TAGS!$W$67:$Z$81,4,FALSE)</f>
        <v>2025</v>
      </c>
      <c r="AK157" s="47">
        <v>161600</v>
      </c>
      <c r="AL157" s="51" t="str">
        <f>VLOOKUP(Table3[[#This Row],[ACTIVITY]],TAGS!$B:$R,16,FALSE)</f>
        <v>YES</v>
      </c>
      <c r="AM157" s="47">
        <v>1616</v>
      </c>
      <c r="AN157" s="47">
        <v>7272</v>
      </c>
      <c r="AO157" s="57">
        <f>SUM(Table3[[#This Row],[MALE BENEFICIARIES]:[FEMALE BENEFICIARIES]])</f>
        <v>0</v>
      </c>
      <c r="AP157" s="58"/>
      <c r="AQ157" s="58"/>
      <c r="AR157" s="58"/>
      <c r="AS157" s="58">
        <v>2</v>
      </c>
      <c r="AT157" s="59">
        <v>1616</v>
      </c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</row>
    <row r="158" spans="1:65">
      <c r="A158" s="51" t="str">
        <f>VLOOKUP(Table3[[#This Row],[OU]],OU!$A$15:$B$34,2,FALSE)</f>
        <v>RFOs</v>
      </c>
      <c r="B158" s="47" t="s">
        <v>5</v>
      </c>
      <c r="C158" s="47" t="s">
        <v>574</v>
      </c>
      <c r="D158" s="47"/>
      <c r="E158" s="47" t="s">
        <v>43</v>
      </c>
      <c r="F158" s="47" t="s">
        <v>662</v>
      </c>
      <c r="G15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15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23104000</v>
      </c>
      <c r="I158" s="52" t="str">
        <f>VLOOKUP(Table3[[#This Row],[PSGC]],DISTRICT!$D:$G,4,FALSE)</f>
        <v>4th</v>
      </c>
      <c r="J158" s="47" t="s">
        <v>578</v>
      </c>
      <c r="K158" s="51" t="str">
        <f>VLOOKUP(Table3[[#This Row],[SPECIFIC COMMODITY]],TAGS!$W$48:$X$53,2,FALSE)</f>
        <v>Corn</v>
      </c>
      <c r="L158" s="51" t="str">
        <f>VLOOKUP(Table3[[#This Row],[PREXC SUB-PROGRAM]],Table5[],2,FALSE)</f>
        <v>TECHNICAL AND SUPPORT SERVICES PROGRAM</v>
      </c>
      <c r="M158" s="51" t="str">
        <f>VLOOKUP(Table3[[#This Row],[COMMODITY PREXC SUB-PROGRAM]],TAGS!$U$54:$V$76,2,FALSE)</f>
        <v>PSS</v>
      </c>
      <c r="N158" s="47" t="s">
        <v>576</v>
      </c>
      <c r="O158" s="54" t="str">
        <f>VLOOKUP(Table3[[#This Row],[PI LEVEL 3]],'PI LEVEL'!A:C,3,FALSE)</f>
        <v>Fertilizers and other soil ammendment distributed</v>
      </c>
      <c r="P158" s="54" t="str">
        <f>VLOOKUP(Table3[[#This Row],[PI LEVEL 3]],Table53729[[Performance Indicator Level 3]:[Performance Indicator Level 1]],2,FALSE)</f>
        <v>Fertilizers distributed</v>
      </c>
      <c r="Q158" s="54" t="str">
        <f>VLOOKUP(Table3[[#This Row],[ACTIVITY]],TAGS!B:P,2,FALSE)</f>
        <v>Inorganic fertilizer distributed</v>
      </c>
      <c r="R158" s="47" t="s">
        <v>36</v>
      </c>
      <c r="S158" s="51" t="str">
        <f>VLOOKUP(Table3[[#This Row],[ACTIVITY]],TAGS!$B:$P,4,FALSE)</f>
        <v>Yellow Corn Production Enhancement Project</v>
      </c>
      <c r="T158" s="51" t="str">
        <f>VLOOKUP(Table3[[#This Row],[ACTIVITY]],TAGS!$B:$P,5,FALSE)</f>
        <v>Soil Fertilization</v>
      </c>
      <c r="U158" s="51" t="str">
        <f>VLOOKUP(Table3[[#This Row],[ACTIVITY]],TAGS!$B:$P,6,FALSE)</f>
        <v>Inorganic fertilizer</v>
      </c>
      <c r="V158" s="51" t="str">
        <f>VLOOKUP(Table3[[#This Row],[ACTIVITY]],TAGS!$B:$P,7,FALSE)</f>
        <v>NO</v>
      </c>
      <c r="W158" s="51" t="str">
        <f>VLOOKUP(Table3[[#This Row],[ACTIVITY]],TAGS!$B:$P,8,FALSE)</f>
        <v>PAP</v>
      </c>
      <c r="X158" s="51" t="str">
        <f>VLOOKUP(Table3[[#This Row],[ACTIVITY]],TAGS!$B:$P,10,FALSE)</f>
        <v>PIP</v>
      </c>
      <c r="Y158" s="51" t="str">
        <f>VLOOKUP(Table3[[#This Row],[ACTIVITY]],TAGS!$B:$P,11,FALSE)</f>
        <v>PICS</v>
      </c>
      <c r="Z158" s="51" t="str">
        <f>VLOOKUP(Table3[[#This Row],[ACTIVITY]],TAGS!$B:$P,12,FALSE)</f>
        <v>Consolidation</v>
      </c>
      <c r="AA158" s="51" t="str">
        <f>VLOOKUP(Table3[[#This Row],[ACTIVITY]],TAGS!$B:$P,13,FALSE)</f>
        <v>1. Bayanihan Agri Cluster</v>
      </c>
      <c r="AB158" s="51" t="str">
        <f>VLOOKUP(Table3[[#This Row],[ACTIVITY]],TAGS!$B:$P,14,FALSE)</f>
        <v>EXPAND AND IMPROVE AVAILABLE AGRI-FISHERY AREAS FOR INCREASED PRODUCTION</v>
      </c>
      <c r="AC158" s="51" t="str">
        <f>VLOOKUP(Table3[[#This Row],[ACTIVITY]],TAGS!$B:$P,15,FALSE)</f>
        <v>Farm Inputs</v>
      </c>
      <c r="AD158" s="51" t="str">
        <f>VLOOKUP(Table3[[#This Row],[PI LEVEL 3]],'PI LEVEL'!$A:$G,7,FALSE)</f>
        <v>DA-Level Output</v>
      </c>
      <c r="AE158" s="47" t="s">
        <v>577</v>
      </c>
      <c r="AF158" s="51" t="str">
        <f>VLOOKUP(Table3[[#This Row],[ACTIVITY]],TAGS!$B:$P,3,FALSE)</f>
        <v>kilogram</v>
      </c>
      <c r="AG158" s="47" t="s">
        <v>334</v>
      </c>
      <c r="AH158" s="51" t="str">
        <f>VLOOKUP(Table3[[#This Row],[MONTH]],TAGS!$W$67:$Y$81,2,FALSE)</f>
        <v>3RD QTR</v>
      </c>
      <c r="AI158" s="51" t="str">
        <f>VLOOKUP(Table3[[#This Row],[MONTH]],TAGS!$W$67:$Y$81,3,FALSE)</f>
        <v>2ND SEMESTER</v>
      </c>
      <c r="AJ158" s="51">
        <f>VLOOKUP(Table3[[#This Row],[MONTH]],TAGS!$W$67:$Z$81,4,FALSE)</f>
        <v>2025</v>
      </c>
      <c r="AK158" s="47">
        <v>102300</v>
      </c>
      <c r="AL158" s="51" t="str">
        <f>VLOOKUP(Table3[[#This Row],[ACTIVITY]],TAGS!$B:$R,16,FALSE)</f>
        <v>YES</v>
      </c>
      <c r="AM158" s="47">
        <v>1023</v>
      </c>
      <c r="AN158" s="47">
        <v>4603.5</v>
      </c>
      <c r="AO158" s="57">
        <f>SUM(Table3[[#This Row],[MALE BENEFICIARIES]:[FEMALE BENEFICIARIES]])</f>
        <v>0</v>
      </c>
      <c r="AP158" s="58"/>
      <c r="AQ158" s="58"/>
      <c r="AR158" s="58"/>
      <c r="AS158" s="58">
        <v>1</v>
      </c>
      <c r="AT158" s="59">
        <v>1023</v>
      </c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</row>
    <row r="159" spans="1:65">
      <c r="A159" s="51" t="str">
        <f>VLOOKUP(Table3[[#This Row],[OU]],OU!$A$15:$B$34,2,FALSE)</f>
        <v>RFOs</v>
      </c>
      <c r="B159" s="47" t="s">
        <v>5</v>
      </c>
      <c r="C159" s="47" t="s">
        <v>574</v>
      </c>
      <c r="D159" s="47"/>
      <c r="E159" s="47" t="s">
        <v>43</v>
      </c>
      <c r="F159" s="47" t="s">
        <v>663</v>
      </c>
      <c r="G15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15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23113000</v>
      </c>
      <c r="I159" s="52" t="str">
        <f>VLOOKUP(Table3[[#This Row],[PSGC]],DISTRICT!$D:$G,4,FALSE)</f>
        <v>4th</v>
      </c>
      <c r="J159" s="47" t="s">
        <v>578</v>
      </c>
      <c r="K159" s="51" t="str">
        <f>VLOOKUP(Table3[[#This Row],[SPECIFIC COMMODITY]],TAGS!$W$48:$X$53,2,FALSE)</f>
        <v>Corn</v>
      </c>
      <c r="L159" s="51" t="str">
        <f>VLOOKUP(Table3[[#This Row],[PREXC SUB-PROGRAM]],Table5[],2,FALSE)</f>
        <v>TECHNICAL AND SUPPORT SERVICES PROGRAM</v>
      </c>
      <c r="M159" s="51" t="str">
        <f>VLOOKUP(Table3[[#This Row],[COMMODITY PREXC SUB-PROGRAM]],TAGS!$U$54:$V$76,2,FALSE)</f>
        <v>PSS</v>
      </c>
      <c r="N159" s="47" t="s">
        <v>576</v>
      </c>
      <c r="O159" s="54" t="str">
        <f>VLOOKUP(Table3[[#This Row],[PI LEVEL 3]],'PI LEVEL'!A:C,3,FALSE)</f>
        <v>Fertilizers and other soil ammendment distributed</v>
      </c>
      <c r="P159" s="54" t="str">
        <f>VLOOKUP(Table3[[#This Row],[PI LEVEL 3]],Table53729[[Performance Indicator Level 3]:[Performance Indicator Level 1]],2,FALSE)</f>
        <v>Fertilizers distributed</v>
      </c>
      <c r="Q159" s="54" t="str">
        <f>VLOOKUP(Table3[[#This Row],[ACTIVITY]],TAGS!B:P,2,FALSE)</f>
        <v>Inorganic fertilizer distributed</v>
      </c>
      <c r="R159" s="47" t="s">
        <v>36</v>
      </c>
      <c r="S159" s="51" t="str">
        <f>VLOOKUP(Table3[[#This Row],[ACTIVITY]],TAGS!$B:$P,4,FALSE)</f>
        <v>Yellow Corn Production Enhancement Project</v>
      </c>
      <c r="T159" s="51" t="str">
        <f>VLOOKUP(Table3[[#This Row],[ACTIVITY]],TAGS!$B:$P,5,FALSE)</f>
        <v>Soil Fertilization</v>
      </c>
      <c r="U159" s="51" t="str">
        <f>VLOOKUP(Table3[[#This Row],[ACTIVITY]],TAGS!$B:$P,6,FALSE)</f>
        <v>Inorganic fertilizer</v>
      </c>
      <c r="V159" s="51" t="str">
        <f>VLOOKUP(Table3[[#This Row],[ACTIVITY]],TAGS!$B:$P,7,FALSE)</f>
        <v>NO</v>
      </c>
      <c r="W159" s="51" t="str">
        <f>VLOOKUP(Table3[[#This Row],[ACTIVITY]],TAGS!$B:$P,8,FALSE)</f>
        <v>PAP</v>
      </c>
      <c r="X159" s="51" t="str">
        <f>VLOOKUP(Table3[[#This Row],[ACTIVITY]],TAGS!$B:$P,10,FALSE)</f>
        <v>PIP</v>
      </c>
      <c r="Y159" s="51" t="str">
        <f>VLOOKUP(Table3[[#This Row],[ACTIVITY]],TAGS!$B:$P,11,FALSE)</f>
        <v>PICS</v>
      </c>
      <c r="Z159" s="51" t="str">
        <f>VLOOKUP(Table3[[#This Row],[ACTIVITY]],TAGS!$B:$P,12,FALSE)</f>
        <v>Consolidation</v>
      </c>
      <c r="AA159" s="51" t="str">
        <f>VLOOKUP(Table3[[#This Row],[ACTIVITY]],TAGS!$B:$P,13,FALSE)</f>
        <v>1. Bayanihan Agri Cluster</v>
      </c>
      <c r="AB159" s="51" t="str">
        <f>VLOOKUP(Table3[[#This Row],[ACTIVITY]],TAGS!$B:$P,14,FALSE)</f>
        <v>EXPAND AND IMPROVE AVAILABLE AGRI-FISHERY AREAS FOR INCREASED PRODUCTION</v>
      </c>
      <c r="AC159" s="51" t="str">
        <f>VLOOKUP(Table3[[#This Row],[ACTIVITY]],TAGS!$B:$P,15,FALSE)</f>
        <v>Farm Inputs</v>
      </c>
      <c r="AD159" s="51" t="str">
        <f>VLOOKUP(Table3[[#This Row],[PI LEVEL 3]],'PI LEVEL'!$A:$G,7,FALSE)</f>
        <v>DA-Level Output</v>
      </c>
      <c r="AE159" s="47" t="s">
        <v>577</v>
      </c>
      <c r="AF159" s="51" t="str">
        <f>VLOOKUP(Table3[[#This Row],[ACTIVITY]],TAGS!$B:$P,3,FALSE)</f>
        <v>kilogram</v>
      </c>
      <c r="AG159" s="47" t="s">
        <v>334</v>
      </c>
      <c r="AH159" s="51" t="str">
        <f>VLOOKUP(Table3[[#This Row],[MONTH]],TAGS!$W$67:$Y$81,2,FALSE)</f>
        <v>3RD QTR</v>
      </c>
      <c r="AI159" s="51" t="str">
        <f>VLOOKUP(Table3[[#This Row],[MONTH]],TAGS!$W$67:$Y$81,3,FALSE)</f>
        <v>2ND SEMESTER</v>
      </c>
      <c r="AJ159" s="51">
        <f>VLOOKUP(Table3[[#This Row],[MONTH]],TAGS!$W$67:$Z$81,4,FALSE)</f>
        <v>2025</v>
      </c>
      <c r="AK159" s="47">
        <v>18500</v>
      </c>
      <c r="AL159" s="51" t="str">
        <f>VLOOKUP(Table3[[#This Row],[ACTIVITY]],TAGS!$B:$R,16,FALSE)</f>
        <v>YES</v>
      </c>
      <c r="AM159" s="47">
        <v>185</v>
      </c>
      <c r="AN159" s="47">
        <v>832.5</v>
      </c>
      <c r="AO159" s="57">
        <f>SUM(Table3[[#This Row],[MALE BENEFICIARIES]:[FEMALE BENEFICIARIES]])</f>
        <v>0</v>
      </c>
      <c r="AP159" s="58"/>
      <c r="AQ159" s="58"/>
      <c r="AR159" s="58"/>
      <c r="AS159" s="58">
        <v>1</v>
      </c>
      <c r="AT159" s="59">
        <v>185</v>
      </c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</row>
    <row r="160" spans="1:65">
      <c r="A160" s="51" t="str">
        <f>VLOOKUP(Table3[[#This Row],[OU]],OU!$A$15:$B$34,2,FALSE)</f>
        <v>RFOs</v>
      </c>
      <c r="B160" s="47" t="s">
        <v>5</v>
      </c>
      <c r="C160" s="47" t="s">
        <v>574</v>
      </c>
      <c r="D160" s="47"/>
      <c r="E160" s="47" t="s">
        <v>43</v>
      </c>
      <c r="F160" s="47" t="s">
        <v>664</v>
      </c>
      <c r="G16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16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23120000</v>
      </c>
      <c r="I160" s="52" t="str">
        <f>VLOOKUP(Table3[[#This Row],[PSGC]],DISTRICT!$D:$G,4,FALSE)</f>
        <v>4th</v>
      </c>
      <c r="J160" s="47" t="s">
        <v>578</v>
      </c>
      <c r="K160" s="51" t="str">
        <f>VLOOKUP(Table3[[#This Row],[SPECIFIC COMMODITY]],TAGS!$W$48:$X$53,2,FALSE)</f>
        <v>Corn</v>
      </c>
      <c r="L160" s="51" t="str">
        <f>VLOOKUP(Table3[[#This Row],[PREXC SUB-PROGRAM]],Table5[],2,FALSE)</f>
        <v>TECHNICAL AND SUPPORT SERVICES PROGRAM</v>
      </c>
      <c r="M160" s="51" t="str">
        <f>VLOOKUP(Table3[[#This Row],[COMMODITY PREXC SUB-PROGRAM]],TAGS!$U$54:$V$76,2,FALSE)</f>
        <v>PSS</v>
      </c>
      <c r="N160" s="47" t="s">
        <v>576</v>
      </c>
      <c r="O160" s="54" t="str">
        <f>VLOOKUP(Table3[[#This Row],[PI LEVEL 3]],'PI LEVEL'!A:C,3,FALSE)</f>
        <v>Fertilizers and other soil ammendment distributed</v>
      </c>
      <c r="P160" s="54" t="str">
        <f>VLOOKUP(Table3[[#This Row],[PI LEVEL 3]],Table53729[[Performance Indicator Level 3]:[Performance Indicator Level 1]],2,FALSE)</f>
        <v>Fertilizers distributed</v>
      </c>
      <c r="Q160" s="54" t="str">
        <f>VLOOKUP(Table3[[#This Row],[ACTIVITY]],TAGS!B:P,2,FALSE)</f>
        <v>Inorganic fertilizer distributed</v>
      </c>
      <c r="R160" s="47" t="s">
        <v>36</v>
      </c>
      <c r="S160" s="51" t="str">
        <f>VLOOKUP(Table3[[#This Row],[ACTIVITY]],TAGS!$B:$P,4,FALSE)</f>
        <v>Yellow Corn Production Enhancement Project</v>
      </c>
      <c r="T160" s="51" t="str">
        <f>VLOOKUP(Table3[[#This Row],[ACTIVITY]],TAGS!$B:$P,5,FALSE)</f>
        <v>Soil Fertilization</v>
      </c>
      <c r="U160" s="51" t="str">
        <f>VLOOKUP(Table3[[#This Row],[ACTIVITY]],TAGS!$B:$P,6,FALSE)</f>
        <v>Inorganic fertilizer</v>
      </c>
      <c r="V160" s="51" t="str">
        <f>VLOOKUP(Table3[[#This Row],[ACTIVITY]],TAGS!$B:$P,7,FALSE)</f>
        <v>NO</v>
      </c>
      <c r="W160" s="51" t="str">
        <f>VLOOKUP(Table3[[#This Row],[ACTIVITY]],TAGS!$B:$P,8,FALSE)</f>
        <v>PAP</v>
      </c>
      <c r="X160" s="51" t="str">
        <f>VLOOKUP(Table3[[#This Row],[ACTIVITY]],TAGS!$B:$P,10,FALSE)</f>
        <v>PIP</v>
      </c>
      <c r="Y160" s="51" t="str">
        <f>VLOOKUP(Table3[[#This Row],[ACTIVITY]],TAGS!$B:$P,11,FALSE)</f>
        <v>PICS</v>
      </c>
      <c r="Z160" s="51" t="str">
        <f>VLOOKUP(Table3[[#This Row],[ACTIVITY]],TAGS!$B:$P,12,FALSE)</f>
        <v>Consolidation</v>
      </c>
      <c r="AA160" s="51" t="str">
        <f>VLOOKUP(Table3[[#This Row],[ACTIVITY]],TAGS!$B:$P,13,FALSE)</f>
        <v>1. Bayanihan Agri Cluster</v>
      </c>
      <c r="AB160" s="51" t="str">
        <f>VLOOKUP(Table3[[#This Row],[ACTIVITY]],TAGS!$B:$P,14,FALSE)</f>
        <v>EXPAND AND IMPROVE AVAILABLE AGRI-FISHERY AREAS FOR INCREASED PRODUCTION</v>
      </c>
      <c r="AC160" s="51" t="str">
        <f>VLOOKUP(Table3[[#This Row],[ACTIVITY]],TAGS!$B:$P,15,FALSE)</f>
        <v>Farm Inputs</v>
      </c>
      <c r="AD160" s="51" t="str">
        <f>VLOOKUP(Table3[[#This Row],[PI LEVEL 3]],'PI LEVEL'!$A:$G,7,FALSE)</f>
        <v>DA-Level Output</v>
      </c>
      <c r="AE160" s="47" t="s">
        <v>577</v>
      </c>
      <c r="AF160" s="51" t="str">
        <f>VLOOKUP(Table3[[#This Row],[ACTIVITY]],TAGS!$B:$P,3,FALSE)</f>
        <v>kilogram</v>
      </c>
      <c r="AG160" s="47" t="s">
        <v>334</v>
      </c>
      <c r="AH160" s="51" t="str">
        <f>VLOOKUP(Table3[[#This Row],[MONTH]],TAGS!$W$67:$Y$81,2,FALSE)</f>
        <v>3RD QTR</v>
      </c>
      <c r="AI160" s="51" t="str">
        <f>VLOOKUP(Table3[[#This Row],[MONTH]],TAGS!$W$67:$Y$81,3,FALSE)</f>
        <v>2ND SEMESTER</v>
      </c>
      <c r="AJ160" s="51">
        <f>VLOOKUP(Table3[[#This Row],[MONTH]],TAGS!$W$67:$Z$81,4,FALSE)</f>
        <v>2025</v>
      </c>
      <c r="AK160" s="47">
        <v>51800</v>
      </c>
      <c r="AL160" s="51" t="str">
        <f>VLOOKUP(Table3[[#This Row],[ACTIVITY]],TAGS!$B:$R,16,FALSE)</f>
        <v>YES</v>
      </c>
      <c r="AM160" s="47">
        <v>518</v>
      </c>
      <c r="AN160" s="47">
        <v>2331</v>
      </c>
      <c r="AO160" s="57">
        <f>SUM(Table3[[#This Row],[MALE BENEFICIARIES]:[FEMALE BENEFICIARIES]])</f>
        <v>0</v>
      </c>
      <c r="AP160" s="58"/>
      <c r="AQ160" s="58"/>
      <c r="AR160" s="58"/>
      <c r="AS160" s="58">
        <v>1</v>
      </c>
      <c r="AT160" s="59">
        <v>518</v>
      </c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</row>
    <row r="161" spans="1:65">
      <c r="A161" s="51" t="str">
        <f>VLOOKUP(Table3[[#This Row],[OU]],OU!$A$15:$B$34,2,FALSE)</f>
        <v>RFOs</v>
      </c>
      <c r="B161" s="47" t="s">
        <v>5</v>
      </c>
      <c r="C161" s="47" t="s">
        <v>574</v>
      </c>
      <c r="D161" s="47"/>
      <c r="E161" s="47" t="s">
        <v>43</v>
      </c>
      <c r="F161" s="47" t="s">
        <v>665</v>
      </c>
      <c r="G16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16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23121000</v>
      </c>
      <c r="I161" s="52" t="str">
        <f>VLOOKUP(Table3[[#This Row],[PSGC]],DISTRICT!$D:$G,4,FALSE)</f>
        <v>1st</v>
      </c>
      <c r="J161" s="47" t="s">
        <v>578</v>
      </c>
      <c r="K161" s="51" t="str">
        <f>VLOOKUP(Table3[[#This Row],[SPECIFIC COMMODITY]],TAGS!$W$48:$X$53,2,FALSE)</f>
        <v>Corn</v>
      </c>
      <c r="L161" s="51" t="str">
        <f>VLOOKUP(Table3[[#This Row],[PREXC SUB-PROGRAM]],Table5[],2,FALSE)</f>
        <v>TECHNICAL AND SUPPORT SERVICES PROGRAM</v>
      </c>
      <c r="M161" s="51" t="str">
        <f>VLOOKUP(Table3[[#This Row],[COMMODITY PREXC SUB-PROGRAM]],TAGS!$U$54:$V$76,2,FALSE)</f>
        <v>PSS</v>
      </c>
      <c r="N161" s="47" t="s">
        <v>576</v>
      </c>
      <c r="O161" s="54" t="str">
        <f>VLOOKUP(Table3[[#This Row],[PI LEVEL 3]],'PI LEVEL'!A:C,3,FALSE)</f>
        <v>Fertilizers and other soil ammendment distributed</v>
      </c>
      <c r="P161" s="54" t="str">
        <f>VLOOKUP(Table3[[#This Row],[PI LEVEL 3]],Table53729[[Performance Indicator Level 3]:[Performance Indicator Level 1]],2,FALSE)</f>
        <v>Fertilizers distributed</v>
      </c>
      <c r="Q161" s="54" t="str">
        <f>VLOOKUP(Table3[[#This Row],[ACTIVITY]],TAGS!B:P,2,FALSE)</f>
        <v>Inorganic fertilizer distributed</v>
      </c>
      <c r="R161" s="47" t="s">
        <v>36</v>
      </c>
      <c r="S161" s="51" t="str">
        <f>VLOOKUP(Table3[[#This Row],[ACTIVITY]],TAGS!$B:$P,4,FALSE)</f>
        <v>Yellow Corn Production Enhancement Project</v>
      </c>
      <c r="T161" s="51" t="str">
        <f>VLOOKUP(Table3[[#This Row],[ACTIVITY]],TAGS!$B:$P,5,FALSE)</f>
        <v>Soil Fertilization</v>
      </c>
      <c r="U161" s="51" t="str">
        <f>VLOOKUP(Table3[[#This Row],[ACTIVITY]],TAGS!$B:$P,6,FALSE)</f>
        <v>Inorganic fertilizer</v>
      </c>
      <c r="V161" s="51" t="str">
        <f>VLOOKUP(Table3[[#This Row],[ACTIVITY]],TAGS!$B:$P,7,FALSE)</f>
        <v>NO</v>
      </c>
      <c r="W161" s="51" t="str">
        <f>VLOOKUP(Table3[[#This Row],[ACTIVITY]],TAGS!$B:$P,8,FALSE)</f>
        <v>PAP</v>
      </c>
      <c r="X161" s="51" t="str">
        <f>VLOOKUP(Table3[[#This Row],[ACTIVITY]],TAGS!$B:$P,10,FALSE)</f>
        <v>PIP</v>
      </c>
      <c r="Y161" s="51" t="str">
        <f>VLOOKUP(Table3[[#This Row],[ACTIVITY]],TAGS!$B:$P,11,FALSE)</f>
        <v>PICS</v>
      </c>
      <c r="Z161" s="51" t="str">
        <f>VLOOKUP(Table3[[#This Row],[ACTIVITY]],TAGS!$B:$P,12,FALSE)</f>
        <v>Consolidation</v>
      </c>
      <c r="AA161" s="51" t="str">
        <f>VLOOKUP(Table3[[#This Row],[ACTIVITY]],TAGS!$B:$P,13,FALSE)</f>
        <v>1. Bayanihan Agri Cluster</v>
      </c>
      <c r="AB161" s="51" t="str">
        <f>VLOOKUP(Table3[[#This Row],[ACTIVITY]],TAGS!$B:$P,14,FALSE)</f>
        <v>EXPAND AND IMPROVE AVAILABLE AGRI-FISHERY AREAS FOR INCREASED PRODUCTION</v>
      </c>
      <c r="AC161" s="51" t="str">
        <f>VLOOKUP(Table3[[#This Row],[ACTIVITY]],TAGS!$B:$P,15,FALSE)</f>
        <v>Farm Inputs</v>
      </c>
      <c r="AD161" s="51" t="str">
        <f>VLOOKUP(Table3[[#This Row],[PI LEVEL 3]],'PI LEVEL'!$A:$G,7,FALSE)</f>
        <v>DA-Level Output</v>
      </c>
      <c r="AE161" s="47" t="s">
        <v>577</v>
      </c>
      <c r="AF161" s="51" t="str">
        <f>VLOOKUP(Table3[[#This Row],[ACTIVITY]],TAGS!$B:$P,3,FALSE)</f>
        <v>kilogram</v>
      </c>
      <c r="AG161" s="47" t="s">
        <v>334</v>
      </c>
      <c r="AH161" s="51" t="str">
        <f>VLOOKUP(Table3[[#This Row],[MONTH]],TAGS!$W$67:$Y$81,2,FALSE)</f>
        <v>3RD QTR</v>
      </c>
      <c r="AI161" s="51" t="str">
        <f>VLOOKUP(Table3[[#This Row],[MONTH]],TAGS!$W$67:$Y$81,3,FALSE)</f>
        <v>2ND SEMESTER</v>
      </c>
      <c r="AJ161" s="51">
        <f>VLOOKUP(Table3[[#This Row],[MONTH]],TAGS!$W$67:$Z$81,4,FALSE)</f>
        <v>2025</v>
      </c>
      <c r="AK161" s="47">
        <v>500</v>
      </c>
      <c r="AL161" s="51" t="str">
        <f>VLOOKUP(Table3[[#This Row],[ACTIVITY]],TAGS!$B:$R,16,FALSE)</f>
        <v>YES</v>
      </c>
      <c r="AM161" s="47">
        <v>5</v>
      </c>
      <c r="AN161" s="47">
        <v>22.5</v>
      </c>
      <c r="AO161" s="57">
        <f>SUM(Table3[[#This Row],[MALE BENEFICIARIES]:[FEMALE BENEFICIARIES]])</f>
        <v>0</v>
      </c>
      <c r="AP161" s="58"/>
      <c r="AQ161" s="58"/>
      <c r="AR161" s="58"/>
      <c r="AS161" s="58">
        <v>1</v>
      </c>
      <c r="AT161" s="59">
        <v>5</v>
      </c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  <c r="BG161" s="59"/>
      <c r="BH161" s="59"/>
      <c r="BI161" s="59"/>
      <c r="BJ161" s="59"/>
      <c r="BK161" s="59"/>
      <c r="BL161" s="59"/>
      <c r="BM161" s="59"/>
    </row>
    <row r="162" spans="1:65">
      <c r="A162" s="51" t="str">
        <f>VLOOKUP(Table3[[#This Row],[OU]],OU!$A$15:$B$34,2,FALSE)</f>
        <v>RFOs</v>
      </c>
      <c r="B162" s="47" t="s">
        <v>5</v>
      </c>
      <c r="C162" s="47" t="s">
        <v>574</v>
      </c>
      <c r="D162" s="47"/>
      <c r="E162" s="47" t="s">
        <v>43</v>
      </c>
      <c r="F162" s="47" t="s">
        <v>666</v>
      </c>
      <c r="G16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16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23125000</v>
      </c>
      <c r="I162" s="52" t="str">
        <f>VLOOKUP(Table3[[#This Row],[PSGC]],DISTRICT!$D:$G,4,FALSE)</f>
        <v>4th</v>
      </c>
      <c r="J162" s="47" t="s">
        <v>578</v>
      </c>
      <c r="K162" s="51" t="str">
        <f>VLOOKUP(Table3[[#This Row],[SPECIFIC COMMODITY]],TAGS!$W$48:$X$53,2,FALSE)</f>
        <v>Corn</v>
      </c>
      <c r="L162" s="51" t="str">
        <f>VLOOKUP(Table3[[#This Row],[PREXC SUB-PROGRAM]],Table5[],2,FALSE)</f>
        <v>TECHNICAL AND SUPPORT SERVICES PROGRAM</v>
      </c>
      <c r="M162" s="51" t="str">
        <f>VLOOKUP(Table3[[#This Row],[COMMODITY PREXC SUB-PROGRAM]],TAGS!$U$54:$V$76,2,FALSE)</f>
        <v>PSS</v>
      </c>
      <c r="N162" s="47" t="s">
        <v>576</v>
      </c>
      <c r="O162" s="54" t="str">
        <f>VLOOKUP(Table3[[#This Row],[PI LEVEL 3]],'PI LEVEL'!A:C,3,FALSE)</f>
        <v>Fertilizers and other soil ammendment distributed</v>
      </c>
      <c r="P162" s="54" t="str">
        <f>VLOOKUP(Table3[[#This Row],[PI LEVEL 3]],Table53729[[Performance Indicator Level 3]:[Performance Indicator Level 1]],2,FALSE)</f>
        <v>Fertilizers distributed</v>
      </c>
      <c r="Q162" s="54" t="str">
        <f>VLOOKUP(Table3[[#This Row],[ACTIVITY]],TAGS!B:P,2,FALSE)</f>
        <v>Inorganic fertilizer distributed</v>
      </c>
      <c r="R162" s="47" t="s">
        <v>36</v>
      </c>
      <c r="S162" s="51" t="str">
        <f>VLOOKUP(Table3[[#This Row],[ACTIVITY]],TAGS!$B:$P,4,FALSE)</f>
        <v>Yellow Corn Production Enhancement Project</v>
      </c>
      <c r="T162" s="51" t="str">
        <f>VLOOKUP(Table3[[#This Row],[ACTIVITY]],TAGS!$B:$P,5,FALSE)</f>
        <v>Soil Fertilization</v>
      </c>
      <c r="U162" s="51" t="str">
        <f>VLOOKUP(Table3[[#This Row],[ACTIVITY]],TAGS!$B:$P,6,FALSE)</f>
        <v>Inorganic fertilizer</v>
      </c>
      <c r="V162" s="51" t="str">
        <f>VLOOKUP(Table3[[#This Row],[ACTIVITY]],TAGS!$B:$P,7,FALSE)</f>
        <v>NO</v>
      </c>
      <c r="W162" s="51" t="str">
        <f>VLOOKUP(Table3[[#This Row],[ACTIVITY]],TAGS!$B:$P,8,FALSE)</f>
        <v>PAP</v>
      </c>
      <c r="X162" s="51" t="str">
        <f>VLOOKUP(Table3[[#This Row],[ACTIVITY]],TAGS!$B:$P,10,FALSE)</f>
        <v>PIP</v>
      </c>
      <c r="Y162" s="51" t="str">
        <f>VLOOKUP(Table3[[#This Row],[ACTIVITY]],TAGS!$B:$P,11,FALSE)</f>
        <v>PICS</v>
      </c>
      <c r="Z162" s="51" t="str">
        <f>VLOOKUP(Table3[[#This Row],[ACTIVITY]],TAGS!$B:$P,12,FALSE)</f>
        <v>Consolidation</v>
      </c>
      <c r="AA162" s="51" t="str">
        <f>VLOOKUP(Table3[[#This Row],[ACTIVITY]],TAGS!$B:$P,13,FALSE)</f>
        <v>1. Bayanihan Agri Cluster</v>
      </c>
      <c r="AB162" s="51" t="str">
        <f>VLOOKUP(Table3[[#This Row],[ACTIVITY]],TAGS!$B:$P,14,FALSE)</f>
        <v>EXPAND AND IMPROVE AVAILABLE AGRI-FISHERY AREAS FOR INCREASED PRODUCTION</v>
      </c>
      <c r="AC162" s="51" t="str">
        <f>VLOOKUP(Table3[[#This Row],[ACTIVITY]],TAGS!$B:$P,15,FALSE)</f>
        <v>Farm Inputs</v>
      </c>
      <c r="AD162" s="51" t="str">
        <f>VLOOKUP(Table3[[#This Row],[PI LEVEL 3]],'PI LEVEL'!$A:$G,7,FALSE)</f>
        <v>DA-Level Output</v>
      </c>
      <c r="AE162" s="47" t="s">
        <v>577</v>
      </c>
      <c r="AF162" s="51" t="str">
        <f>VLOOKUP(Table3[[#This Row],[ACTIVITY]],TAGS!$B:$P,3,FALSE)</f>
        <v>kilogram</v>
      </c>
      <c r="AG162" s="47" t="s">
        <v>334</v>
      </c>
      <c r="AH162" s="51" t="str">
        <f>VLOOKUP(Table3[[#This Row],[MONTH]],TAGS!$W$67:$Y$81,2,FALSE)</f>
        <v>3RD QTR</v>
      </c>
      <c r="AI162" s="51" t="str">
        <f>VLOOKUP(Table3[[#This Row],[MONTH]],TAGS!$W$67:$Y$81,3,FALSE)</f>
        <v>2ND SEMESTER</v>
      </c>
      <c r="AJ162" s="51">
        <f>VLOOKUP(Table3[[#This Row],[MONTH]],TAGS!$W$67:$Z$81,4,FALSE)</f>
        <v>2025</v>
      </c>
      <c r="AK162" s="47">
        <v>38700</v>
      </c>
      <c r="AL162" s="51" t="str">
        <f>VLOOKUP(Table3[[#This Row],[ACTIVITY]],TAGS!$B:$R,16,FALSE)</f>
        <v>YES</v>
      </c>
      <c r="AM162" s="47">
        <v>387</v>
      </c>
      <c r="AN162" s="47">
        <v>1741.5</v>
      </c>
      <c r="AO162" s="57">
        <f>SUM(Table3[[#This Row],[MALE BENEFICIARIES]:[FEMALE BENEFICIARIES]])</f>
        <v>0</v>
      </c>
      <c r="AP162" s="58"/>
      <c r="AQ162" s="58"/>
      <c r="AR162" s="58"/>
      <c r="AS162" s="58">
        <v>1</v>
      </c>
      <c r="AT162" s="59">
        <v>387</v>
      </c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</row>
    <row r="163" spans="1:65">
      <c r="A163" s="51" t="str">
        <f>VLOOKUP(Table3[[#This Row],[OU]],OU!$A$15:$B$34,2,FALSE)</f>
        <v>RFOs</v>
      </c>
      <c r="B163" s="47" t="s">
        <v>5</v>
      </c>
      <c r="C163" s="47" t="s">
        <v>574</v>
      </c>
      <c r="D163" s="47"/>
      <c r="E163" s="47" t="s">
        <v>43</v>
      </c>
      <c r="F163" s="47" t="s">
        <v>667</v>
      </c>
      <c r="G16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16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23131000</v>
      </c>
      <c r="I163" s="52" t="str">
        <f>VLOOKUP(Table3[[#This Row],[PSGC]],DISTRICT!$D:$G,4,FALSE)</f>
        <v>1st</v>
      </c>
      <c r="J163" s="47" t="s">
        <v>578</v>
      </c>
      <c r="K163" s="51" t="str">
        <f>VLOOKUP(Table3[[#This Row],[SPECIFIC COMMODITY]],TAGS!$W$48:$X$53,2,FALSE)</f>
        <v>Corn</v>
      </c>
      <c r="L163" s="51" t="str">
        <f>VLOOKUP(Table3[[#This Row],[PREXC SUB-PROGRAM]],Table5[],2,FALSE)</f>
        <v>TECHNICAL AND SUPPORT SERVICES PROGRAM</v>
      </c>
      <c r="M163" s="51" t="str">
        <f>VLOOKUP(Table3[[#This Row],[COMMODITY PREXC SUB-PROGRAM]],TAGS!$U$54:$V$76,2,FALSE)</f>
        <v>PSS</v>
      </c>
      <c r="N163" s="47" t="s">
        <v>576</v>
      </c>
      <c r="O163" s="54" t="str">
        <f>VLOOKUP(Table3[[#This Row],[PI LEVEL 3]],'PI LEVEL'!A:C,3,FALSE)</f>
        <v>Fertilizers and other soil ammendment distributed</v>
      </c>
      <c r="P163" s="54" t="str">
        <f>VLOOKUP(Table3[[#This Row],[PI LEVEL 3]],Table53729[[Performance Indicator Level 3]:[Performance Indicator Level 1]],2,FALSE)</f>
        <v>Fertilizers distributed</v>
      </c>
      <c r="Q163" s="54" t="str">
        <f>VLOOKUP(Table3[[#This Row],[ACTIVITY]],TAGS!B:P,2,FALSE)</f>
        <v>Inorganic fertilizer distributed</v>
      </c>
      <c r="R163" s="47" t="s">
        <v>36</v>
      </c>
      <c r="S163" s="51" t="str">
        <f>VLOOKUP(Table3[[#This Row],[ACTIVITY]],TAGS!$B:$P,4,FALSE)</f>
        <v>Yellow Corn Production Enhancement Project</v>
      </c>
      <c r="T163" s="51" t="str">
        <f>VLOOKUP(Table3[[#This Row],[ACTIVITY]],TAGS!$B:$P,5,FALSE)</f>
        <v>Soil Fertilization</v>
      </c>
      <c r="U163" s="51" t="str">
        <f>VLOOKUP(Table3[[#This Row],[ACTIVITY]],TAGS!$B:$P,6,FALSE)</f>
        <v>Inorganic fertilizer</v>
      </c>
      <c r="V163" s="51" t="str">
        <f>VLOOKUP(Table3[[#This Row],[ACTIVITY]],TAGS!$B:$P,7,FALSE)</f>
        <v>NO</v>
      </c>
      <c r="W163" s="51" t="str">
        <f>VLOOKUP(Table3[[#This Row],[ACTIVITY]],TAGS!$B:$P,8,FALSE)</f>
        <v>PAP</v>
      </c>
      <c r="X163" s="51" t="str">
        <f>VLOOKUP(Table3[[#This Row],[ACTIVITY]],TAGS!$B:$P,10,FALSE)</f>
        <v>PIP</v>
      </c>
      <c r="Y163" s="51" t="str">
        <f>VLOOKUP(Table3[[#This Row],[ACTIVITY]],TAGS!$B:$P,11,FALSE)</f>
        <v>PICS</v>
      </c>
      <c r="Z163" s="51" t="str">
        <f>VLOOKUP(Table3[[#This Row],[ACTIVITY]],TAGS!$B:$P,12,FALSE)</f>
        <v>Consolidation</v>
      </c>
      <c r="AA163" s="51" t="str">
        <f>VLOOKUP(Table3[[#This Row],[ACTIVITY]],TAGS!$B:$P,13,FALSE)</f>
        <v>1. Bayanihan Agri Cluster</v>
      </c>
      <c r="AB163" s="51" t="str">
        <f>VLOOKUP(Table3[[#This Row],[ACTIVITY]],TAGS!$B:$P,14,FALSE)</f>
        <v>EXPAND AND IMPROVE AVAILABLE AGRI-FISHERY AREAS FOR INCREASED PRODUCTION</v>
      </c>
      <c r="AC163" s="51" t="str">
        <f>VLOOKUP(Table3[[#This Row],[ACTIVITY]],TAGS!$B:$P,15,FALSE)</f>
        <v>Farm Inputs</v>
      </c>
      <c r="AD163" s="51" t="str">
        <f>VLOOKUP(Table3[[#This Row],[PI LEVEL 3]],'PI LEVEL'!$A:$G,7,FALSE)</f>
        <v>DA-Level Output</v>
      </c>
      <c r="AE163" s="47" t="s">
        <v>577</v>
      </c>
      <c r="AF163" s="51" t="str">
        <f>VLOOKUP(Table3[[#This Row],[ACTIVITY]],TAGS!$B:$P,3,FALSE)</f>
        <v>kilogram</v>
      </c>
      <c r="AG163" s="47" t="s">
        <v>334</v>
      </c>
      <c r="AH163" s="51" t="str">
        <f>VLOOKUP(Table3[[#This Row],[MONTH]],TAGS!$W$67:$Y$81,2,FALSE)</f>
        <v>3RD QTR</v>
      </c>
      <c r="AI163" s="51" t="str">
        <f>VLOOKUP(Table3[[#This Row],[MONTH]],TAGS!$W$67:$Y$81,3,FALSE)</f>
        <v>2ND SEMESTER</v>
      </c>
      <c r="AJ163" s="51">
        <f>VLOOKUP(Table3[[#This Row],[MONTH]],TAGS!$W$67:$Z$81,4,FALSE)</f>
        <v>2025</v>
      </c>
      <c r="AK163" s="47">
        <v>102400</v>
      </c>
      <c r="AL163" s="51" t="str">
        <f>VLOOKUP(Table3[[#This Row],[ACTIVITY]],TAGS!$B:$R,16,FALSE)</f>
        <v>YES</v>
      </c>
      <c r="AM163" s="47">
        <v>1024</v>
      </c>
      <c r="AN163" s="47">
        <v>4608</v>
      </c>
      <c r="AO163" s="57">
        <f>SUM(Table3[[#This Row],[MALE BENEFICIARIES]:[FEMALE BENEFICIARIES]])</f>
        <v>0</v>
      </c>
      <c r="AP163" s="58"/>
      <c r="AQ163" s="58"/>
      <c r="AR163" s="58"/>
      <c r="AS163" s="58">
        <v>1</v>
      </c>
      <c r="AT163" s="59">
        <v>1024</v>
      </c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</row>
    <row r="164" spans="1:65">
      <c r="A164" s="51" t="str">
        <f>VLOOKUP(Table3[[#This Row],[OU]],OU!$A$15:$B$34,2,FALSE)</f>
        <v>RFOs</v>
      </c>
      <c r="B164" s="47" t="s">
        <v>5</v>
      </c>
      <c r="C164" s="47" t="s">
        <v>574</v>
      </c>
      <c r="D164" s="47"/>
      <c r="E164" s="47" t="s">
        <v>43</v>
      </c>
      <c r="F164" s="47" t="s">
        <v>668</v>
      </c>
      <c r="G16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3rd District</v>
      </c>
      <c r="H16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23101000</v>
      </c>
      <c r="I164" s="52" t="str">
        <f>VLOOKUP(Table3[[#This Row],[PSGC]],DISTRICT!$D:$G,4,FALSE)</f>
        <v>1st</v>
      </c>
      <c r="J164" s="47" t="s">
        <v>578</v>
      </c>
      <c r="K164" s="51" t="str">
        <f>VLOOKUP(Table3[[#This Row],[SPECIFIC COMMODITY]],TAGS!$W$48:$X$53,2,FALSE)</f>
        <v>Corn</v>
      </c>
      <c r="L164" s="51" t="str">
        <f>VLOOKUP(Table3[[#This Row],[PREXC SUB-PROGRAM]],Table5[],2,FALSE)</f>
        <v>TECHNICAL AND SUPPORT SERVICES PROGRAM</v>
      </c>
      <c r="M164" s="51" t="str">
        <f>VLOOKUP(Table3[[#This Row],[COMMODITY PREXC SUB-PROGRAM]],TAGS!$U$54:$V$76,2,FALSE)</f>
        <v>PSS</v>
      </c>
      <c r="N164" s="47" t="s">
        <v>576</v>
      </c>
      <c r="O164" s="54" t="str">
        <f>VLOOKUP(Table3[[#This Row],[PI LEVEL 3]],'PI LEVEL'!A:C,3,FALSE)</f>
        <v>Fertilizers and other soil ammendment distributed</v>
      </c>
      <c r="P164" s="54" t="str">
        <f>VLOOKUP(Table3[[#This Row],[PI LEVEL 3]],Table53729[[Performance Indicator Level 3]:[Performance Indicator Level 1]],2,FALSE)</f>
        <v>Fertilizers distributed</v>
      </c>
      <c r="Q164" s="54" t="str">
        <f>VLOOKUP(Table3[[#This Row],[ACTIVITY]],TAGS!B:P,2,FALSE)</f>
        <v>Inorganic fertilizer distributed</v>
      </c>
      <c r="R164" s="47" t="s">
        <v>36</v>
      </c>
      <c r="S164" s="51" t="str">
        <f>VLOOKUP(Table3[[#This Row],[ACTIVITY]],TAGS!$B:$P,4,FALSE)</f>
        <v>Yellow Corn Production Enhancement Project</v>
      </c>
      <c r="T164" s="51" t="str">
        <f>VLOOKUP(Table3[[#This Row],[ACTIVITY]],TAGS!$B:$P,5,FALSE)</f>
        <v>Soil Fertilization</v>
      </c>
      <c r="U164" s="51" t="str">
        <f>VLOOKUP(Table3[[#This Row],[ACTIVITY]],TAGS!$B:$P,6,FALSE)</f>
        <v>Inorganic fertilizer</v>
      </c>
      <c r="V164" s="51" t="str">
        <f>VLOOKUP(Table3[[#This Row],[ACTIVITY]],TAGS!$B:$P,7,FALSE)</f>
        <v>NO</v>
      </c>
      <c r="W164" s="51" t="str">
        <f>VLOOKUP(Table3[[#This Row],[ACTIVITY]],TAGS!$B:$P,8,FALSE)</f>
        <v>PAP</v>
      </c>
      <c r="X164" s="51" t="str">
        <f>VLOOKUP(Table3[[#This Row],[ACTIVITY]],TAGS!$B:$P,10,FALSE)</f>
        <v>PIP</v>
      </c>
      <c r="Y164" s="51" t="str">
        <f>VLOOKUP(Table3[[#This Row],[ACTIVITY]],TAGS!$B:$P,11,FALSE)</f>
        <v>PICS</v>
      </c>
      <c r="Z164" s="51" t="str">
        <f>VLOOKUP(Table3[[#This Row],[ACTIVITY]],TAGS!$B:$P,12,FALSE)</f>
        <v>Consolidation</v>
      </c>
      <c r="AA164" s="51" t="str">
        <f>VLOOKUP(Table3[[#This Row],[ACTIVITY]],TAGS!$B:$P,13,FALSE)</f>
        <v>1. Bayanihan Agri Cluster</v>
      </c>
      <c r="AB164" s="51" t="str">
        <f>VLOOKUP(Table3[[#This Row],[ACTIVITY]],TAGS!$B:$P,14,FALSE)</f>
        <v>EXPAND AND IMPROVE AVAILABLE AGRI-FISHERY AREAS FOR INCREASED PRODUCTION</v>
      </c>
      <c r="AC164" s="51" t="str">
        <f>VLOOKUP(Table3[[#This Row],[ACTIVITY]],TAGS!$B:$P,15,FALSE)</f>
        <v>Farm Inputs</v>
      </c>
      <c r="AD164" s="51" t="str">
        <f>VLOOKUP(Table3[[#This Row],[PI LEVEL 3]],'PI LEVEL'!$A:$G,7,FALSE)</f>
        <v>DA-Level Output</v>
      </c>
      <c r="AE164" s="47" t="s">
        <v>577</v>
      </c>
      <c r="AF164" s="51" t="str">
        <f>VLOOKUP(Table3[[#This Row],[ACTIVITY]],TAGS!$B:$P,3,FALSE)</f>
        <v>kilogram</v>
      </c>
      <c r="AG164" s="47" t="s">
        <v>334</v>
      </c>
      <c r="AH164" s="51" t="str">
        <f>VLOOKUP(Table3[[#This Row],[MONTH]],TAGS!$W$67:$Y$81,2,FALSE)</f>
        <v>3RD QTR</v>
      </c>
      <c r="AI164" s="51" t="str">
        <f>VLOOKUP(Table3[[#This Row],[MONTH]],TAGS!$W$67:$Y$81,3,FALSE)</f>
        <v>2ND SEMESTER</v>
      </c>
      <c r="AJ164" s="51">
        <f>VLOOKUP(Table3[[#This Row],[MONTH]],TAGS!$W$67:$Z$81,4,FALSE)</f>
        <v>2025</v>
      </c>
      <c r="AK164" s="47">
        <v>600</v>
      </c>
      <c r="AL164" s="51" t="str">
        <f>VLOOKUP(Table3[[#This Row],[ACTIVITY]],TAGS!$B:$R,16,FALSE)</f>
        <v>YES</v>
      </c>
      <c r="AM164" s="47">
        <v>6</v>
      </c>
      <c r="AN164" s="47">
        <v>27</v>
      </c>
      <c r="AO164" s="57">
        <f>SUM(Table3[[#This Row],[MALE BENEFICIARIES]:[FEMALE BENEFICIARIES]])</f>
        <v>0</v>
      </c>
      <c r="AP164" s="58"/>
      <c r="AQ164" s="58"/>
      <c r="AR164" s="58"/>
      <c r="AS164" s="58">
        <v>1</v>
      </c>
      <c r="AT164" s="59">
        <v>6</v>
      </c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</row>
    <row r="165" spans="1:65">
      <c r="A165" s="51" t="str">
        <f>VLOOKUP(Table3[[#This Row],[OU]],OU!$A$15:$B$34,2,FALSE)</f>
        <v>RFOs</v>
      </c>
      <c r="B165" s="47" t="s">
        <v>5</v>
      </c>
      <c r="C165" s="47" t="s">
        <v>574</v>
      </c>
      <c r="D165" s="47"/>
      <c r="E165" s="47" t="s">
        <v>43</v>
      </c>
      <c r="F165" s="47" t="s">
        <v>669</v>
      </c>
      <c r="G16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3rd District</v>
      </c>
      <c r="H16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23102000</v>
      </c>
      <c r="I165" s="52" t="str">
        <f>VLOOKUP(Table3[[#This Row],[PSGC]],DISTRICT!$D:$G,4,FALSE)</f>
        <v>3rd</v>
      </c>
      <c r="J165" s="47" t="s">
        <v>578</v>
      </c>
      <c r="K165" s="51" t="str">
        <f>VLOOKUP(Table3[[#This Row],[SPECIFIC COMMODITY]],TAGS!$W$48:$X$53,2,FALSE)</f>
        <v>Corn</v>
      </c>
      <c r="L165" s="51" t="str">
        <f>VLOOKUP(Table3[[#This Row],[PREXC SUB-PROGRAM]],Table5[],2,FALSE)</f>
        <v>TECHNICAL AND SUPPORT SERVICES PROGRAM</v>
      </c>
      <c r="M165" s="51" t="str">
        <f>VLOOKUP(Table3[[#This Row],[COMMODITY PREXC SUB-PROGRAM]],TAGS!$U$54:$V$76,2,FALSE)</f>
        <v>PSS</v>
      </c>
      <c r="N165" s="47" t="s">
        <v>576</v>
      </c>
      <c r="O165" s="54" t="str">
        <f>VLOOKUP(Table3[[#This Row],[PI LEVEL 3]],'PI LEVEL'!A:C,3,FALSE)</f>
        <v>Fertilizers and other soil ammendment distributed</v>
      </c>
      <c r="P165" s="54" t="str">
        <f>VLOOKUP(Table3[[#This Row],[PI LEVEL 3]],Table53729[[Performance Indicator Level 3]:[Performance Indicator Level 1]],2,FALSE)</f>
        <v>Fertilizers distributed</v>
      </c>
      <c r="Q165" s="54" t="str">
        <f>VLOOKUP(Table3[[#This Row],[ACTIVITY]],TAGS!B:P,2,FALSE)</f>
        <v>Inorganic fertilizer distributed</v>
      </c>
      <c r="R165" s="47" t="s">
        <v>36</v>
      </c>
      <c r="S165" s="51" t="str">
        <f>VLOOKUP(Table3[[#This Row],[ACTIVITY]],TAGS!$B:$P,4,FALSE)</f>
        <v>Yellow Corn Production Enhancement Project</v>
      </c>
      <c r="T165" s="51" t="str">
        <f>VLOOKUP(Table3[[#This Row],[ACTIVITY]],TAGS!$B:$P,5,FALSE)</f>
        <v>Soil Fertilization</v>
      </c>
      <c r="U165" s="51" t="str">
        <f>VLOOKUP(Table3[[#This Row],[ACTIVITY]],TAGS!$B:$P,6,FALSE)</f>
        <v>Inorganic fertilizer</v>
      </c>
      <c r="V165" s="51" t="str">
        <f>VLOOKUP(Table3[[#This Row],[ACTIVITY]],TAGS!$B:$P,7,FALSE)</f>
        <v>NO</v>
      </c>
      <c r="W165" s="51" t="str">
        <f>VLOOKUP(Table3[[#This Row],[ACTIVITY]],TAGS!$B:$P,8,FALSE)</f>
        <v>PAP</v>
      </c>
      <c r="X165" s="51" t="str">
        <f>VLOOKUP(Table3[[#This Row],[ACTIVITY]],TAGS!$B:$P,10,FALSE)</f>
        <v>PIP</v>
      </c>
      <c r="Y165" s="51" t="str">
        <f>VLOOKUP(Table3[[#This Row],[ACTIVITY]],TAGS!$B:$P,11,FALSE)</f>
        <v>PICS</v>
      </c>
      <c r="Z165" s="51" t="str">
        <f>VLOOKUP(Table3[[#This Row],[ACTIVITY]],TAGS!$B:$P,12,FALSE)</f>
        <v>Consolidation</v>
      </c>
      <c r="AA165" s="51" t="str">
        <f>VLOOKUP(Table3[[#This Row],[ACTIVITY]],TAGS!$B:$P,13,FALSE)</f>
        <v>1. Bayanihan Agri Cluster</v>
      </c>
      <c r="AB165" s="51" t="str">
        <f>VLOOKUP(Table3[[#This Row],[ACTIVITY]],TAGS!$B:$P,14,FALSE)</f>
        <v>EXPAND AND IMPROVE AVAILABLE AGRI-FISHERY AREAS FOR INCREASED PRODUCTION</v>
      </c>
      <c r="AC165" s="51" t="str">
        <f>VLOOKUP(Table3[[#This Row],[ACTIVITY]],TAGS!$B:$P,15,FALSE)</f>
        <v>Farm Inputs</v>
      </c>
      <c r="AD165" s="51" t="str">
        <f>VLOOKUP(Table3[[#This Row],[PI LEVEL 3]],'PI LEVEL'!$A:$G,7,FALSE)</f>
        <v>DA-Level Output</v>
      </c>
      <c r="AE165" s="47" t="s">
        <v>577</v>
      </c>
      <c r="AF165" s="51" t="str">
        <f>VLOOKUP(Table3[[#This Row],[ACTIVITY]],TAGS!$B:$P,3,FALSE)</f>
        <v>kilogram</v>
      </c>
      <c r="AG165" s="47" t="s">
        <v>334</v>
      </c>
      <c r="AH165" s="51" t="str">
        <f>VLOOKUP(Table3[[#This Row],[MONTH]],TAGS!$W$67:$Y$81,2,FALSE)</f>
        <v>3RD QTR</v>
      </c>
      <c r="AI165" s="51" t="str">
        <f>VLOOKUP(Table3[[#This Row],[MONTH]],TAGS!$W$67:$Y$81,3,FALSE)</f>
        <v>2ND SEMESTER</v>
      </c>
      <c r="AJ165" s="51">
        <f>VLOOKUP(Table3[[#This Row],[MONTH]],TAGS!$W$67:$Z$81,4,FALSE)</f>
        <v>2025</v>
      </c>
      <c r="AK165" s="47">
        <v>77300</v>
      </c>
      <c r="AL165" s="51" t="str">
        <f>VLOOKUP(Table3[[#This Row],[ACTIVITY]],TAGS!$B:$R,16,FALSE)</f>
        <v>YES</v>
      </c>
      <c r="AM165" s="47">
        <v>773</v>
      </c>
      <c r="AN165" s="47">
        <v>3478.5</v>
      </c>
      <c r="AO165" s="57">
        <f>SUM(Table3[[#This Row],[MALE BENEFICIARIES]:[FEMALE BENEFICIARIES]])</f>
        <v>0</v>
      </c>
      <c r="AP165" s="58"/>
      <c r="AQ165" s="58"/>
      <c r="AR165" s="58"/>
      <c r="AS165" s="58">
        <v>1</v>
      </c>
      <c r="AT165" s="59">
        <v>773</v>
      </c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</row>
    <row r="166" spans="1:65">
      <c r="A166" s="51" t="str">
        <f>VLOOKUP(Table3[[#This Row],[OU]],OU!$A$15:$B$34,2,FALSE)</f>
        <v>RFOs</v>
      </c>
      <c r="B166" s="47" t="s">
        <v>5</v>
      </c>
      <c r="C166" s="47" t="s">
        <v>574</v>
      </c>
      <c r="D166" s="47"/>
      <c r="E166" s="47" t="s">
        <v>43</v>
      </c>
      <c r="F166" s="47" t="s">
        <v>670</v>
      </c>
      <c r="G16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3rd District</v>
      </c>
      <c r="H16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23107000</v>
      </c>
      <c r="I166" s="52" t="str">
        <f>VLOOKUP(Table3[[#This Row],[PSGC]],DISTRICT!$D:$G,4,FALSE)</f>
        <v>3rd</v>
      </c>
      <c r="J166" s="47" t="s">
        <v>578</v>
      </c>
      <c r="K166" s="51" t="str">
        <f>VLOOKUP(Table3[[#This Row],[SPECIFIC COMMODITY]],TAGS!$W$48:$X$53,2,FALSE)</f>
        <v>Corn</v>
      </c>
      <c r="L166" s="51" t="str">
        <f>VLOOKUP(Table3[[#This Row],[PREXC SUB-PROGRAM]],Table5[],2,FALSE)</f>
        <v>TECHNICAL AND SUPPORT SERVICES PROGRAM</v>
      </c>
      <c r="M166" s="51" t="str">
        <f>VLOOKUP(Table3[[#This Row],[COMMODITY PREXC SUB-PROGRAM]],TAGS!$U$54:$V$76,2,FALSE)</f>
        <v>PSS</v>
      </c>
      <c r="N166" s="47" t="s">
        <v>576</v>
      </c>
      <c r="O166" s="54" t="str">
        <f>VLOOKUP(Table3[[#This Row],[PI LEVEL 3]],'PI LEVEL'!A:C,3,FALSE)</f>
        <v>Fertilizers and other soil ammendment distributed</v>
      </c>
      <c r="P166" s="54" t="str">
        <f>VLOOKUP(Table3[[#This Row],[PI LEVEL 3]],Table53729[[Performance Indicator Level 3]:[Performance Indicator Level 1]],2,FALSE)</f>
        <v>Fertilizers distributed</v>
      </c>
      <c r="Q166" s="54" t="str">
        <f>VLOOKUP(Table3[[#This Row],[ACTIVITY]],TAGS!B:P,2,FALSE)</f>
        <v>Inorganic fertilizer distributed</v>
      </c>
      <c r="R166" s="47" t="s">
        <v>36</v>
      </c>
      <c r="S166" s="51" t="str">
        <f>VLOOKUP(Table3[[#This Row],[ACTIVITY]],TAGS!$B:$P,4,FALSE)</f>
        <v>Yellow Corn Production Enhancement Project</v>
      </c>
      <c r="T166" s="51" t="str">
        <f>VLOOKUP(Table3[[#This Row],[ACTIVITY]],TAGS!$B:$P,5,FALSE)</f>
        <v>Soil Fertilization</v>
      </c>
      <c r="U166" s="51" t="str">
        <f>VLOOKUP(Table3[[#This Row],[ACTIVITY]],TAGS!$B:$P,6,FALSE)</f>
        <v>Inorganic fertilizer</v>
      </c>
      <c r="V166" s="51" t="str">
        <f>VLOOKUP(Table3[[#This Row],[ACTIVITY]],TAGS!$B:$P,7,FALSE)</f>
        <v>NO</v>
      </c>
      <c r="W166" s="51" t="str">
        <f>VLOOKUP(Table3[[#This Row],[ACTIVITY]],TAGS!$B:$P,8,FALSE)</f>
        <v>PAP</v>
      </c>
      <c r="X166" s="51" t="str">
        <f>VLOOKUP(Table3[[#This Row],[ACTIVITY]],TAGS!$B:$P,10,FALSE)</f>
        <v>PIP</v>
      </c>
      <c r="Y166" s="51" t="str">
        <f>VLOOKUP(Table3[[#This Row],[ACTIVITY]],TAGS!$B:$P,11,FALSE)</f>
        <v>PICS</v>
      </c>
      <c r="Z166" s="51" t="str">
        <f>VLOOKUP(Table3[[#This Row],[ACTIVITY]],TAGS!$B:$P,12,FALSE)</f>
        <v>Consolidation</v>
      </c>
      <c r="AA166" s="51" t="str">
        <f>VLOOKUP(Table3[[#This Row],[ACTIVITY]],TAGS!$B:$P,13,FALSE)</f>
        <v>1. Bayanihan Agri Cluster</v>
      </c>
      <c r="AB166" s="51" t="str">
        <f>VLOOKUP(Table3[[#This Row],[ACTIVITY]],TAGS!$B:$P,14,FALSE)</f>
        <v>EXPAND AND IMPROVE AVAILABLE AGRI-FISHERY AREAS FOR INCREASED PRODUCTION</v>
      </c>
      <c r="AC166" s="51" t="str">
        <f>VLOOKUP(Table3[[#This Row],[ACTIVITY]],TAGS!$B:$P,15,FALSE)</f>
        <v>Farm Inputs</v>
      </c>
      <c r="AD166" s="51" t="str">
        <f>VLOOKUP(Table3[[#This Row],[PI LEVEL 3]],'PI LEVEL'!$A:$G,7,FALSE)</f>
        <v>DA-Level Output</v>
      </c>
      <c r="AE166" s="47" t="s">
        <v>577</v>
      </c>
      <c r="AF166" s="51" t="str">
        <f>VLOOKUP(Table3[[#This Row],[ACTIVITY]],TAGS!$B:$P,3,FALSE)</f>
        <v>kilogram</v>
      </c>
      <c r="AG166" s="47" t="s">
        <v>334</v>
      </c>
      <c r="AH166" s="51" t="str">
        <f>VLOOKUP(Table3[[#This Row],[MONTH]],TAGS!$W$67:$Y$81,2,FALSE)</f>
        <v>3RD QTR</v>
      </c>
      <c r="AI166" s="51" t="str">
        <f>VLOOKUP(Table3[[#This Row],[MONTH]],TAGS!$W$67:$Y$81,3,FALSE)</f>
        <v>2ND SEMESTER</v>
      </c>
      <c r="AJ166" s="51">
        <f>VLOOKUP(Table3[[#This Row],[MONTH]],TAGS!$W$67:$Z$81,4,FALSE)</f>
        <v>2025</v>
      </c>
      <c r="AK166" s="47">
        <v>6100</v>
      </c>
      <c r="AL166" s="51" t="str">
        <f>VLOOKUP(Table3[[#This Row],[ACTIVITY]],TAGS!$B:$R,16,FALSE)</f>
        <v>YES</v>
      </c>
      <c r="AM166" s="47">
        <v>61</v>
      </c>
      <c r="AN166" s="47">
        <v>274.5</v>
      </c>
      <c r="AO166" s="57">
        <f>SUM(Table3[[#This Row],[MALE BENEFICIARIES]:[FEMALE BENEFICIARIES]])</f>
        <v>0</v>
      </c>
      <c r="AP166" s="58"/>
      <c r="AQ166" s="58"/>
      <c r="AR166" s="58"/>
      <c r="AS166" s="58">
        <v>1</v>
      </c>
      <c r="AT166" s="59">
        <v>61</v>
      </c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</row>
    <row r="167" spans="1:65">
      <c r="A167" s="51" t="str">
        <f>VLOOKUP(Table3[[#This Row],[OU]],OU!$A$15:$B$34,2,FALSE)</f>
        <v>RFOs</v>
      </c>
      <c r="B167" s="47" t="s">
        <v>5</v>
      </c>
      <c r="C167" s="47" t="s">
        <v>574</v>
      </c>
      <c r="D167" s="47"/>
      <c r="E167" s="47" t="s">
        <v>43</v>
      </c>
      <c r="F167" s="47" t="s">
        <v>671</v>
      </c>
      <c r="G16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3rd District</v>
      </c>
      <c r="H16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23124000</v>
      </c>
      <c r="I167" s="52" t="str">
        <f>VLOOKUP(Table3[[#This Row],[PSGC]],DISTRICT!$D:$G,4,FALSE)</f>
        <v>2nd</v>
      </c>
      <c r="J167" s="47" t="s">
        <v>578</v>
      </c>
      <c r="K167" s="51" t="str">
        <f>VLOOKUP(Table3[[#This Row],[SPECIFIC COMMODITY]],TAGS!$W$48:$X$53,2,FALSE)</f>
        <v>Corn</v>
      </c>
      <c r="L167" s="51" t="str">
        <f>VLOOKUP(Table3[[#This Row],[PREXC SUB-PROGRAM]],Table5[],2,FALSE)</f>
        <v>TECHNICAL AND SUPPORT SERVICES PROGRAM</v>
      </c>
      <c r="M167" s="51" t="str">
        <f>VLOOKUP(Table3[[#This Row],[COMMODITY PREXC SUB-PROGRAM]],TAGS!$U$54:$V$76,2,FALSE)</f>
        <v>PSS</v>
      </c>
      <c r="N167" s="47" t="s">
        <v>576</v>
      </c>
      <c r="O167" s="54" t="str">
        <f>VLOOKUP(Table3[[#This Row],[PI LEVEL 3]],'PI LEVEL'!A:C,3,FALSE)</f>
        <v>Fertilizers and other soil ammendment distributed</v>
      </c>
      <c r="P167" s="54" t="str">
        <f>VLOOKUP(Table3[[#This Row],[PI LEVEL 3]],Table53729[[Performance Indicator Level 3]:[Performance Indicator Level 1]],2,FALSE)</f>
        <v>Fertilizers distributed</v>
      </c>
      <c r="Q167" s="54" t="str">
        <f>VLOOKUP(Table3[[#This Row],[ACTIVITY]],TAGS!B:P,2,FALSE)</f>
        <v>Inorganic fertilizer distributed</v>
      </c>
      <c r="R167" s="47" t="s">
        <v>36</v>
      </c>
      <c r="S167" s="51" t="str">
        <f>VLOOKUP(Table3[[#This Row],[ACTIVITY]],TAGS!$B:$P,4,FALSE)</f>
        <v>Yellow Corn Production Enhancement Project</v>
      </c>
      <c r="T167" s="51" t="str">
        <f>VLOOKUP(Table3[[#This Row],[ACTIVITY]],TAGS!$B:$P,5,FALSE)</f>
        <v>Soil Fertilization</v>
      </c>
      <c r="U167" s="51" t="str">
        <f>VLOOKUP(Table3[[#This Row],[ACTIVITY]],TAGS!$B:$P,6,FALSE)</f>
        <v>Inorganic fertilizer</v>
      </c>
      <c r="V167" s="51" t="str">
        <f>VLOOKUP(Table3[[#This Row],[ACTIVITY]],TAGS!$B:$P,7,FALSE)</f>
        <v>NO</v>
      </c>
      <c r="W167" s="51" t="str">
        <f>VLOOKUP(Table3[[#This Row],[ACTIVITY]],TAGS!$B:$P,8,FALSE)</f>
        <v>PAP</v>
      </c>
      <c r="X167" s="51" t="str">
        <f>VLOOKUP(Table3[[#This Row],[ACTIVITY]],TAGS!$B:$P,10,FALSE)</f>
        <v>PIP</v>
      </c>
      <c r="Y167" s="51" t="str">
        <f>VLOOKUP(Table3[[#This Row],[ACTIVITY]],TAGS!$B:$P,11,FALSE)</f>
        <v>PICS</v>
      </c>
      <c r="Z167" s="51" t="str">
        <f>VLOOKUP(Table3[[#This Row],[ACTIVITY]],TAGS!$B:$P,12,FALSE)</f>
        <v>Consolidation</v>
      </c>
      <c r="AA167" s="51" t="str">
        <f>VLOOKUP(Table3[[#This Row],[ACTIVITY]],TAGS!$B:$P,13,FALSE)</f>
        <v>1. Bayanihan Agri Cluster</v>
      </c>
      <c r="AB167" s="51" t="str">
        <f>VLOOKUP(Table3[[#This Row],[ACTIVITY]],TAGS!$B:$P,14,FALSE)</f>
        <v>EXPAND AND IMPROVE AVAILABLE AGRI-FISHERY AREAS FOR INCREASED PRODUCTION</v>
      </c>
      <c r="AC167" s="51" t="str">
        <f>VLOOKUP(Table3[[#This Row],[ACTIVITY]],TAGS!$B:$P,15,FALSE)</f>
        <v>Farm Inputs</v>
      </c>
      <c r="AD167" s="51" t="str">
        <f>VLOOKUP(Table3[[#This Row],[PI LEVEL 3]],'PI LEVEL'!$A:$G,7,FALSE)</f>
        <v>DA-Level Output</v>
      </c>
      <c r="AE167" s="47" t="s">
        <v>577</v>
      </c>
      <c r="AF167" s="51" t="str">
        <f>VLOOKUP(Table3[[#This Row],[ACTIVITY]],TAGS!$B:$P,3,FALSE)</f>
        <v>kilogram</v>
      </c>
      <c r="AG167" s="47" t="s">
        <v>334</v>
      </c>
      <c r="AH167" s="51" t="str">
        <f>VLOOKUP(Table3[[#This Row],[MONTH]],TAGS!$W$67:$Y$81,2,FALSE)</f>
        <v>3RD QTR</v>
      </c>
      <c r="AI167" s="51" t="str">
        <f>VLOOKUP(Table3[[#This Row],[MONTH]],TAGS!$W$67:$Y$81,3,FALSE)</f>
        <v>2ND SEMESTER</v>
      </c>
      <c r="AJ167" s="51">
        <f>VLOOKUP(Table3[[#This Row],[MONTH]],TAGS!$W$67:$Z$81,4,FALSE)</f>
        <v>2025</v>
      </c>
      <c r="AK167" s="47">
        <v>2800</v>
      </c>
      <c r="AL167" s="51" t="str">
        <f>VLOOKUP(Table3[[#This Row],[ACTIVITY]],TAGS!$B:$R,16,FALSE)</f>
        <v>YES</v>
      </c>
      <c r="AM167" s="47">
        <v>28</v>
      </c>
      <c r="AN167" s="47">
        <v>126</v>
      </c>
      <c r="AO167" s="57">
        <f>SUM(Table3[[#This Row],[MALE BENEFICIARIES]:[FEMALE BENEFICIARIES]])</f>
        <v>0</v>
      </c>
      <c r="AP167" s="58"/>
      <c r="AQ167" s="58"/>
      <c r="AR167" s="58"/>
      <c r="AS167" s="58">
        <v>1</v>
      </c>
      <c r="AT167" s="59">
        <v>28</v>
      </c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</row>
    <row r="168" spans="1:65">
      <c r="A168" s="51" t="str">
        <f>VLOOKUP(Table3[[#This Row],[OU]],OU!$A$15:$B$34,2,FALSE)</f>
        <v>RFOs</v>
      </c>
      <c r="B168" s="47" t="s">
        <v>5</v>
      </c>
      <c r="C168" s="47" t="s">
        <v>574</v>
      </c>
      <c r="D168" s="47"/>
      <c r="E168" s="47" t="s">
        <v>43</v>
      </c>
      <c r="F168" s="47" t="s">
        <v>672</v>
      </c>
      <c r="G16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3rd District</v>
      </c>
      <c r="H16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23132000</v>
      </c>
      <c r="I168" s="52" t="str">
        <f>VLOOKUP(Table3[[#This Row],[PSGC]],DISTRICT!$D:$G,4,FALSE)</f>
        <v>1st</v>
      </c>
      <c r="J168" s="47" t="s">
        <v>578</v>
      </c>
      <c r="K168" s="51" t="str">
        <f>VLOOKUP(Table3[[#This Row],[SPECIFIC COMMODITY]],TAGS!$W$48:$X$53,2,FALSE)</f>
        <v>Corn</v>
      </c>
      <c r="L168" s="51" t="str">
        <f>VLOOKUP(Table3[[#This Row],[PREXC SUB-PROGRAM]],Table5[],2,FALSE)</f>
        <v>TECHNICAL AND SUPPORT SERVICES PROGRAM</v>
      </c>
      <c r="M168" s="51" t="str">
        <f>VLOOKUP(Table3[[#This Row],[COMMODITY PREXC SUB-PROGRAM]],TAGS!$U$54:$V$76,2,FALSE)</f>
        <v>PSS</v>
      </c>
      <c r="N168" s="47" t="s">
        <v>576</v>
      </c>
      <c r="O168" s="54" t="str">
        <f>VLOOKUP(Table3[[#This Row],[PI LEVEL 3]],'PI LEVEL'!A:C,3,FALSE)</f>
        <v>Fertilizers and other soil ammendment distributed</v>
      </c>
      <c r="P168" s="54" t="str">
        <f>VLOOKUP(Table3[[#This Row],[PI LEVEL 3]],Table53729[[Performance Indicator Level 3]:[Performance Indicator Level 1]],2,FALSE)</f>
        <v>Fertilizers distributed</v>
      </c>
      <c r="Q168" s="54" t="str">
        <f>VLOOKUP(Table3[[#This Row],[ACTIVITY]],TAGS!B:P,2,FALSE)</f>
        <v>Inorganic fertilizer distributed</v>
      </c>
      <c r="R168" s="47" t="s">
        <v>36</v>
      </c>
      <c r="S168" s="51" t="str">
        <f>VLOOKUP(Table3[[#This Row],[ACTIVITY]],TAGS!$B:$P,4,FALSE)</f>
        <v>Yellow Corn Production Enhancement Project</v>
      </c>
      <c r="T168" s="51" t="str">
        <f>VLOOKUP(Table3[[#This Row],[ACTIVITY]],TAGS!$B:$P,5,FALSE)</f>
        <v>Soil Fertilization</v>
      </c>
      <c r="U168" s="51" t="str">
        <f>VLOOKUP(Table3[[#This Row],[ACTIVITY]],TAGS!$B:$P,6,FALSE)</f>
        <v>Inorganic fertilizer</v>
      </c>
      <c r="V168" s="51" t="str">
        <f>VLOOKUP(Table3[[#This Row],[ACTIVITY]],TAGS!$B:$P,7,FALSE)</f>
        <v>NO</v>
      </c>
      <c r="W168" s="51" t="str">
        <f>VLOOKUP(Table3[[#This Row],[ACTIVITY]],TAGS!$B:$P,8,FALSE)</f>
        <v>PAP</v>
      </c>
      <c r="X168" s="51" t="str">
        <f>VLOOKUP(Table3[[#This Row],[ACTIVITY]],TAGS!$B:$P,10,FALSE)</f>
        <v>PIP</v>
      </c>
      <c r="Y168" s="51" t="str">
        <f>VLOOKUP(Table3[[#This Row],[ACTIVITY]],TAGS!$B:$P,11,FALSE)</f>
        <v>PICS</v>
      </c>
      <c r="Z168" s="51" t="str">
        <f>VLOOKUP(Table3[[#This Row],[ACTIVITY]],TAGS!$B:$P,12,FALSE)</f>
        <v>Consolidation</v>
      </c>
      <c r="AA168" s="51" t="str">
        <f>VLOOKUP(Table3[[#This Row],[ACTIVITY]],TAGS!$B:$P,13,FALSE)</f>
        <v>1. Bayanihan Agri Cluster</v>
      </c>
      <c r="AB168" s="51" t="str">
        <f>VLOOKUP(Table3[[#This Row],[ACTIVITY]],TAGS!$B:$P,14,FALSE)</f>
        <v>EXPAND AND IMPROVE AVAILABLE AGRI-FISHERY AREAS FOR INCREASED PRODUCTION</v>
      </c>
      <c r="AC168" s="51" t="str">
        <f>VLOOKUP(Table3[[#This Row],[ACTIVITY]],TAGS!$B:$P,15,FALSE)</f>
        <v>Farm Inputs</v>
      </c>
      <c r="AD168" s="51" t="str">
        <f>VLOOKUP(Table3[[#This Row],[PI LEVEL 3]],'PI LEVEL'!$A:$G,7,FALSE)</f>
        <v>DA-Level Output</v>
      </c>
      <c r="AE168" s="47" t="s">
        <v>577</v>
      </c>
      <c r="AF168" s="51" t="str">
        <f>VLOOKUP(Table3[[#This Row],[ACTIVITY]],TAGS!$B:$P,3,FALSE)</f>
        <v>kilogram</v>
      </c>
      <c r="AG168" s="47" t="s">
        <v>334</v>
      </c>
      <c r="AH168" s="51" t="str">
        <f>VLOOKUP(Table3[[#This Row],[MONTH]],TAGS!$W$67:$Y$81,2,FALSE)</f>
        <v>3RD QTR</v>
      </c>
      <c r="AI168" s="51" t="str">
        <f>VLOOKUP(Table3[[#This Row],[MONTH]],TAGS!$W$67:$Y$81,3,FALSE)</f>
        <v>2ND SEMESTER</v>
      </c>
      <c r="AJ168" s="51">
        <f>VLOOKUP(Table3[[#This Row],[MONTH]],TAGS!$W$67:$Z$81,4,FALSE)</f>
        <v>2025</v>
      </c>
      <c r="AK168" s="47">
        <v>7800</v>
      </c>
      <c r="AL168" s="51" t="str">
        <f>VLOOKUP(Table3[[#This Row],[ACTIVITY]],TAGS!$B:$R,16,FALSE)</f>
        <v>YES</v>
      </c>
      <c r="AM168" s="47">
        <v>78</v>
      </c>
      <c r="AN168" s="47">
        <v>351</v>
      </c>
      <c r="AO168" s="57">
        <f>SUM(Table3[[#This Row],[MALE BENEFICIARIES]:[FEMALE BENEFICIARIES]])</f>
        <v>0</v>
      </c>
      <c r="AP168" s="58"/>
      <c r="AQ168" s="58"/>
      <c r="AR168" s="58"/>
      <c r="AS168" s="58">
        <v>1</v>
      </c>
      <c r="AT168" s="59">
        <v>78</v>
      </c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</row>
    <row r="169" spans="1:65">
      <c r="A169" s="51" t="str">
        <f>VLOOKUP(Table3[[#This Row],[OU]],OU!$A$15:$B$34,2,FALSE)</f>
        <v>RFOs</v>
      </c>
      <c r="B169" s="47" t="s">
        <v>5</v>
      </c>
      <c r="C169" s="47" t="s">
        <v>574</v>
      </c>
      <c r="D169" s="47"/>
      <c r="E169" s="47" t="s">
        <v>43</v>
      </c>
      <c r="F169" s="47" t="s">
        <v>673</v>
      </c>
      <c r="G16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4th District</v>
      </c>
      <c r="H16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23135000</v>
      </c>
      <c r="I169" s="52" t="str">
        <f>VLOOKUP(Table3[[#This Row],[PSGC]],DISTRICT!$D:$G,4,FALSE)</f>
        <v>1st</v>
      </c>
      <c r="J169" s="47" t="s">
        <v>578</v>
      </c>
      <c r="K169" s="51" t="str">
        <f>VLOOKUP(Table3[[#This Row],[SPECIFIC COMMODITY]],TAGS!$W$48:$X$53,2,FALSE)</f>
        <v>Corn</v>
      </c>
      <c r="L169" s="51" t="str">
        <f>VLOOKUP(Table3[[#This Row],[PREXC SUB-PROGRAM]],Table5[],2,FALSE)</f>
        <v>TECHNICAL AND SUPPORT SERVICES PROGRAM</v>
      </c>
      <c r="M169" s="51" t="str">
        <f>VLOOKUP(Table3[[#This Row],[COMMODITY PREXC SUB-PROGRAM]],TAGS!$U$54:$V$76,2,FALSE)</f>
        <v>PSS</v>
      </c>
      <c r="N169" s="47" t="s">
        <v>576</v>
      </c>
      <c r="O169" s="54" t="str">
        <f>VLOOKUP(Table3[[#This Row],[PI LEVEL 3]],'PI LEVEL'!A:C,3,FALSE)</f>
        <v>Fertilizers and other soil ammendment distributed</v>
      </c>
      <c r="P169" s="54" t="str">
        <f>VLOOKUP(Table3[[#This Row],[PI LEVEL 3]],Table53729[[Performance Indicator Level 3]:[Performance Indicator Level 1]],2,FALSE)</f>
        <v>Fertilizers distributed</v>
      </c>
      <c r="Q169" s="54" t="str">
        <f>VLOOKUP(Table3[[#This Row],[ACTIVITY]],TAGS!B:P,2,FALSE)</f>
        <v>Inorganic fertilizer distributed</v>
      </c>
      <c r="R169" s="47" t="s">
        <v>36</v>
      </c>
      <c r="S169" s="51" t="str">
        <f>VLOOKUP(Table3[[#This Row],[ACTIVITY]],TAGS!$B:$P,4,FALSE)</f>
        <v>Yellow Corn Production Enhancement Project</v>
      </c>
      <c r="T169" s="51" t="str">
        <f>VLOOKUP(Table3[[#This Row],[ACTIVITY]],TAGS!$B:$P,5,FALSE)</f>
        <v>Soil Fertilization</v>
      </c>
      <c r="U169" s="51" t="str">
        <f>VLOOKUP(Table3[[#This Row],[ACTIVITY]],TAGS!$B:$P,6,FALSE)</f>
        <v>Inorganic fertilizer</v>
      </c>
      <c r="V169" s="51" t="str">
        <f>VLOOKUP(Table3[[#This Row],[ACTIVITY]],TAGS!$B:$P,7,FALSE)</f>
        <v>NO</v>
      </c>
      <c r="W169" s="51" t="str">
        <f>VLOOKUP(Table3[[#This Row],[ACTIVITY]],TAGS!$B:$P,8,FALSE)</f>
        <v>PAP</v>
      </c>
      <c r="X169" s="51" t="str">
        <f>VLOOKUP(Table3[[#This Row],[ACTIVITY]],TAGS!$B:$P,10,FALSE)</f>
        <v>PIP</v>
      </c>
      <c r="Y169" s="51" t="str">
        <f>VLOOKUP(Table3[[#This Row],[ACTIVITY]],TAGS!$B:$P,11,FALSE)</f>
        <v>PICS</v>
      </c>
      <c r="Z169" s="51" t="str">
        <f>VLOOKUP(Table3[[#This Row],[ACTIVITY]],TAGS!$B:$P,12,FALSE)</f>
        <v>Consolidation</v>
      </c>
      <c r="AA169" s="51" t="str">
        <f>VLOOKUP(Table3[[#This Row],[ACTIVITY]],TAGS!$B:$P,13,FALSE)</f>
        <v>1. Bayanihan Agri Cluster</v>
      </c>
      <c r="AB169" s="51" t="str">
        <f>VLOOKUP(Table3[[#This Row],[ACTIVITY]],TAGS!$B:$P,14,FALSE)</f>
        <v>EXPAND AND IMPROVE AVAILABLE AGRI-FISHERY AREAS FOR INCREASED PRODUCTION</v>
      </c>
      <c r="AC169" s="51" t="str">
        <f>VLOOKUP(Table3[[#This Row],[ACTIVITY]],TAGS!$B:$P,15,FALSE)</f>
        <v>Farm Inputs</v>
      </c>
      <c r="AD169" s="51" t="str">
        <f>VLOOKUP(Table3[[#This Row],[PI LEVEL 3]],'PI LEVEL'!$A:$G,7,FALSE)</f>
        <v>DA-Level Output</v>
      </c>
      <c r="AE169" s="47" t="s">
        <v>577</v>
      </c>
      <c r="AF169" s="51" t="str">
        <f>VLOOKUP(Table3[[#This Row],[ACTIVITY]],TAGS!$B:$P,3,FALSE)</f>
        <v>kilogram</v>
      </c>
      <c r="AG169" s="47" t="s">
        <v>334</v>
      </c>
      <c r="AH169" s="51" t="str">
        <f>VLOOKUP(Table3[[#This Row],[MONTH]],TAGS!$W$67:$Y$81,2,FALSE)</f>
        <v>3RD QTR</v>
      </c>
      <c r="AI169" s="51" t="str">
        <f>VLOOKUP(Table3[[#This Row],[MONTH]],TAGS!$W$67:$Y$81,3,FALSE)</f>
        <v>2ND SEMESTER</v>
      </c>
      <c r="AJ169" s="51">
        <f>VLOOKUP(Table3[[#This Row],[MONTH]],TAGS!$W$67:$Z$81,4,FALSE)</f>
        <v>2025</v>
      </c>
      <c r="AK169" s="47">
        <v>1100</v>
      </c>
      <c r="AL169" s="51" t="str">
        <f>VLOOKUP(Table3[[#This Row],[ACTIVITY]],TAGS!$B:$R,16,FALSE)</f>
        <v>YES</v>
      </c>
      <c r="AM169" s="47">
        <v>11</v>
      </c>
      <c r="AN169" s="47">
        <v>49.5</v>
      </c>
      <c r="AO169" s="57">
        <f>SUM(Table3[[#This Row],[MALE BENEFICIARIES]:[FEMALE BENEFICIARIES]])</f>
        <v>0</v>
      </c>
      <c r="AP169" s="58"/>
      <c r="AQ169" s="58"/>
      <c r="AR169" s="58"/>
      <c r="AS169" s="58">
        <v>1</v>
      </c>
      <c r="AT169" s="59">
        <v>11</v>
      </c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</row>
    <row r="170" spans="1:65">
      <c r="A170" s="51" t="str">
        <f>VLOOKUP(Table3[[#This Row],[OU]],OU!$A$15:$B$34,2,FALSE)</f>
        <v>RFOs</v>
      </c>
      <c r="B170" s="47" t="s">
        <v>5</v>
      </c>
      <c r="C170" s="47" t="s">
        <v>574</v>
      </c>
      <c r="D170" s="47"/>
      <c r="E170" s="47" t="s">
        <v>43</v>
      </c>
      <c r="F170" s="47" t="s">
        <v>674</v>
      </c>
      <c r="G17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4th District</v>
      </c>
      <c r="H17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23109000</v>
      </c>
      <c r="I170" s="52" t="str">
        <f>VLOOKUP(Table3[[#This Row],[PSGC]],DISTRICT!$D:$G,4,FALSE)</f>
        <v>3rd</v>
      </c>
      <c r="J170" s="47" t="s">
        <v>578</v>
      </c>
      <c r="K170" s="51" t="str">
        <f>VLOOKUP(Table3[[#This Row],[SPECIFIC COMMODITY]],TAGS!$W$48:$X$53,2,FALSE)</f>
        <v>Corn</v>
      </c>
      <c r="L170" s="51" t="str">
        <f>VLOOKUP(Table3[[#This Row],[PREXC SUB-PROGRAM]],Table5[],2,FALSE)</f>
        <v>TECHNICAL AND SUPPORT SERVICES PROGRAM</v>
      </c>
      <c r="M170" s="51" t="str">
        <f>VLOOKUP(Table3[[#This Row],[COMMODITY PREXC SUB-PROGRAM]],TAGS!$U$54:$V$76,2,FALSE)</f>
        <v>PSS</v>
      </c>
      <c r="N170" s="47" t="s">
        <v>576</v>
      </c>
      <c r="O170" s="54" t="str">
        <f>VLOOKUP(Table3[[#This Row],[PI LEVEL 3]],'PI LEVEL'!A:C,3,FALSE)</f>
        <v>Fertilizers and other soil ammendment distributed</v>
      </c>
      <c r="P170" s="54" t="str">
        <f>VLOOKUP(Table3[[#This Row],[PI LEVEL 3]],Table53729[[Performance Indicator Level 3]:[Performance Indicator Level 1]],2,FALSE)</f>
        <v>Fertilizers distributed</v>
      </c>
      <c r="Q170" s="54" t="str">
        <f>VLOOKUP(Table3[[#This Row],[ACTIVITY]],TAGS!B:P,2,FALSE)</f>
        <v>Inorganic fertilizer distributed</v>
      </c>
      <c r="R170" s="47" t="s">
        <v>36</v>
      </c>
      <c r="S170" s="51" t="str">
        <f>VLOOKUP(Table3[[#This Row],[ACTIVITY]],TAGS!$B:$P,4,FALSE)</f>
        <v>Yellow Corn Production Enhancement Project</v>
      </c>
      <c r="T170" s="51" t="str">
        <f>VLOOKUP(Table3[[#This Row],[ACTIVITY]],TAGS!$B:$P,5,FALSE)</f>
        <v>Soil Fertilization</v>
      </c>
      <c r="U170" s="51" t="str">
        <f>VLOOKUP(Table3[[#This Row],[ACTIVITY]],TAGS!$B:$P,6,FALSE)</f>
        <v>Inorganic fertilizer</v>
      </c>
      <c r="V170" s="51" t="str">
        <f>VLOOKUP(Table3[[#This Row],[ACTIVITY]],TAGS!$B:$P,7,FALSE)</f>
        <v>NO</v>
      </c>
      <c r="W170" s="51" t="str">
        <f>VLOOKUP(Table3[[#This Row],[ACTIVITY]],TAGS!$B:$P,8,FALSE)</f>
        <v>PAP</v>
      </c>
      <c r="X170" s="51" t="str">
        <f>VLOOKUP(Table3[[#This Row],[ACTIVITY]],TAGS!$B:$P,10,FALSE)</f>
        <v>PIP</v>
      </c>
      <c r="Y170" s="51" t="str">
        <f>VLOOKUP(Table3[[#This Row],[ACTIVITY]],TAGS!$B:$P,11,FALSE)</f>
        <v>PICS</v>
      </c>
      <c r="Z170" s="51" t="str">
        <f>VLOOKUP(Table3[[#This Row],[ACTIVITY]],TAGS!$B:$P,12,FALSE)</f>
        <v>Consolidation</v>
      </c>
      <c r="AA170" s="51" t="str">
        <f>VLOOKUP(Table3[[#This Row],[ACTIVITY]],TAGS!$B:$P,13,FALSE)</f>
        <v>1. Bayanihan Agri Cluster</v>
      </c>
      <c r="AB170" s="51" t="str">
        <f>VLOOKUP(Table3[[#This Row],[ACTIVITY]],TAGS!$B:$P,14,FALSE)</f>
        <v>EXPAND AND IMPROVE AVAILABLE AGRI-FISHERY AREAS FOR INCREASED PRODUCTION</v>
      </c>
      <c r="AC170" s="51" t="str">
        <f>VLOOKUP(Table3[[#This Row],[ACTIVITY]],TAGS!$B:$P,15,FALSE)</f>
        <v>Farm Inputs</v>
      </c>
      <c r="AD170" s="51" t="str">
        <f>VLOOKUP(Table3[[#This Row],[PI LEVEL 3]],'PI LEVEL'!$A:$G,7,FALSE)</f>
        <v>DA-Level Output</v>
      </c>
      <c r="AE170" s="47" t="s">
        <v>577</v>
      </c>
      <c r="AF170" s="51" t="str">
        <f>VLOOKUP(Table3[[#This Row],[ACTIVITY]],TAGS!$B:$P,3,FALSE)</f>
        <v>kilogram</v>
      </c>
      <c r="AG170" s="47" t="s">
        <v>334</v>
      </c>
      <c r="AH170" s="51" t="str">
        <f>VLOOKUP(Table3[[#This Row],[MONTH]],TAGS!$W$67:$Y$81,2,FALSE)</f>
        <v>3RD QTR</v>
      </c>
      <c r="AI170" s="51" t="str">
        <f>VLOOKUP(Table3[[#This Row],[MONTH]],TAGS!$W$67:$Y$81,3,FALSE)</f>
        <v>2ND SEMESTER</v>
      </c>
      <c r="AJ170" s="51">
        <f>VLOOKUP(Table3[[#This Row],[MONTH]],TAGS!$W$67:$Z$81,4,FALSE)</f>
        <v>2025</v>
      </c>
      <c r="AK170" s="47">
        <v>36600</v>
      </c>
      <c r="AL170" s="51" t="str">
        <f>VLOOKUP(Table3[[#This Row],[ACTIVITY]],TAGS!$B:$R,16,FALSE)</f>
        <v>YES</v>
      </c>
      <c r="AM170" s="47">
        <v>366</v>
      </c>
      <c r="AN170" s="47">
        <v>1647</v>
      </c>
      <c r="AO170" s="57">
        <f>SUM(Table3[[#This Row],[MALE BENEFICIARIES]:[FEMALE BENEFICIARIES]])</f>
        <v>0</v>
      </c>
      <c r="AP170" s="58"/>
      <c r="AQ170" s="58"/>
      <c r="AR170" s="58"/>
      <c r="AS170" s="58">
        <v>1</v>
      </c>
      <c r="AT170" s="59">
        <v>366</v>
      </c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</row>
    <row r="171" spans="1:65">
      <c r="A171" s="51" t="str">
        <f>VLOOKUP(Table3[[#This Row],[OU]],OU!$A$15:$B$34,2,FALSE)</f>
        <v>RFOs</v>
      </c>
      <c r="B171" s="47" t="s">
        <v>5</v>
      </c>
      <c r="C171" s="47" t="s">
        <v>574</v>
      </c>
      <c r="D171" s="47"/>
      <c r="E171" s="47" t="s">
        <v>43</v>
      </c>
      <c r="F171" s="47" t="s">
        <v>675</v>
      </c>
      <c r="G17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4th District</v>
      </c>
      <c r="H17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23115000</v>
      </c>
      <c r="I171" s="52" t="str">
        <f>VLOOKUP(Table3[[#This Row],[PSGC]],DISTRICT!$D:$G,4,FALSE)</f>
        <v>1st</v>
      </c>
      <c r="J171" s="47" t="s">
        <v>578</v>
      </c>
      <c r="K171" s="51" t="str">
        <f>VLOOKUP(Table3[[#This Row],[SPECIFIC COMMODITY]],TAGS!$W$48:$X$53,2,FALSE)</f>
        <v>Corn</v>
      </c>
      <c r="L171" s="51" t="str">
        <f>VLOOKUP(Table3[[#This Row],[PREXC SUB-PROGRAM]],Table5[],2,FALSE)</f>
        <v>TECHNICAL AND SUPPORT SERVICES PROGRAM</v>
      </c>
      <c r="M171" s="51" t="str">
        <f>VLOOKUP(Table3[[#This Row],[COMMODITY PREXC SUB-PROGRAM]],TAGS!$U$54:$V$76,2,FALSE)</f>
        <v>PSS</v>
      </c>
      <c r="N171" s="47" t="s">
        <v>576</v>
      </c>
      <c r="O171" s="54" t="str">
        <f>VLOOKUP(Table3[[#This Row],[PI LEVEL 3]],'PI LEVEL'!A:C,3,FALSE)</f>
        <v>Fertilizers and other soil ammendment distributed</v>
      </c>
      <c r="P171" s="54" t="str">
        <f>VLOOKUP(Table3[[#This Row],[PI LEVEL 3]],Table53729[[Performance Indicator Level 3]:[Performance Indicator Level 1]],2,FALSE)</f>
        <v>Fertilizers distributed</v>
      </c>
      <c r="Q171" s="54" t="str">
        <f>VLOOKUP(Table3[[#This Row],[ACTIVITY]],TAGS!B:P,2,FALSE)</f>
        <v>Inorganic fertilizer distributed</v>
      </c>
      <c r="R171" s="47" t="s">
        <v>36</v>
      </c>
      <c r="S171" s="51" t="str">
        <f>VLOOKUP(Table3[[#This Row],[ACTIVITY]],TAGS!$B:$P,4,FALSE)</f>
        <v>Yellow Corn Production Enhancement Project</v>
      </c>
      <c r="T171" s="51" t="str">
        <f>VLOOKUP(Table3[[#This Row],[ACTIVITY]],TAGS!$B:$P,5,FALSE)</f>
        <v>Soil Fertilization</v>
      </c>
      <c r="U171" s="51" t="str">
        <f>VLOOKUP(Table3[[#This Row],[ACTIVITY]],TAGS!$B:$P,6,FALSE)</f>
        <v>Inorganic fertilizer</v>
      </c>
      <c r="V171" s="51" t="str">
        <f>VLOOKUP(Table3[[#This Row],[ACTIVITY]],TAGS!$B:$P,7,FALSE)</f>
        <v>NO</v>
      </c>
      <c r="W171" s="51" t="str">
        <f>VLOOKUP(Table3[[#This Row],[ACTIVITY]],TAGS!$B:$P,8,FALSE)</f>
        <v>PAP</v>
      </c>
      <c r="X171" s="51" t="str">
        <f>VLOOKUP(Table3[[#This Row],[ACTIVITY]],TAGS!$B:$P,10,FALSE)</f>
        <v>PIP</v>
      </c>
      <c r="Y171" s="51" t="str">
        <f>VLOOKUP(Table3[[#This Row],[ACTIVITY]],TAGS!$B:$P,11,FALSE)</f>
        <v>PICS</v>
      </c>
      <c r="Z171" s="51" t="str">
        <f>VLOOKUP(Table3[[#This Row],[ACTIVITY]],TAGS!$B:$P,12,FALSE)</f>
        <v>Consolidation</v>
      </c>
      <c r="AA171" s="51" t="str">
        <f>VLOOKUP(Table3[[#This Row],[ACTIVITY]],TAGS!$B:$P,13,FALSE)</f>
        <v>1. Bayanihan Agri Cluster</v>
      </c>
      <c r="AB171" s="51" t="str">
        <f>VLOOKUP(Table3[[#This Row],[ACTIVITY]],TAGS!$B:$P,14,FALSE)</f>
        <v>EXPAND AND IMPROVE AVAILABLE AGRI-FISHERY AREAS FOR INCREASED PRODUCTION</v>
      </c>
      <c r="AC171" s="51" t="str">
        <f>VLOOKUP(Table3[[#This Row],[ACTIVITY]],TAGS!$B:$P,15,FALSE)</f>
        <v>Farm Inputs</v>
      </c>
      <c r="AD171" s="51" t="str">
        <f>VLOOKUP(Table3[[#This Row],[PI LEVEL 3]],'PI LEVEL'!$A:$G,7,FALSE)</f>
        <v>DA-Level Output</v>
      </c>
      <c r="AE171" s="47" t="s">
        <v>577</v>
      </c>
      <c r="AF171" s="51" t="str">
        <f>VLOOKUP(Table3[[#This Row],[ACTIVITY]],TAGS!$B:$P,3,FALSE)</f>
        <v>kilogram</v>
      </c>
      <c r="AG171" s="47" t="s">
        <v>334</v>
      </c>
      <c r="AH171" s="51" t="str">
        <f>VLOOKUP(Table3[[#This Row],[MONTH]],TAGS!$W$67:$Y$81,2,FALSE)</f>
        <v>3RD QTR</v>
      </c>
      <c r="AI171" s="51" t="str">
        <f>VLOOKUP(Table3[[#This Row],[MONTH]],TAGS!$W$67:$Y$81,3,FALSE)</f>
        <v>2ND SEMESTER</v>
      </c>
      <c r="AJ171" s="51">
        <f>VLOOKUP(Table3[[#This Row],[MONTH]],TAGS!$W$67:$Z$81,4,FALSE)</f>
        <v>2025</v>
      </c>
      <c r="AK171" s="47">
        <v>89500</v>
      </c>
      <c r="AL171" s="51" t="str">
        <f>VLOOKUP(Table3[[#This Row],[ACTIVITY]],TAGS!$B:$R,16,FALSE)</f>
        <v>YES</v>
      </c>
      <c r="AM171" s="47">
        <v>895</v>
      </c>
      <c r="AN171" s="47">
        <v>4027.5</v>
      </c>
      <c r="AO171" s="57">
        <f>SUM(Table3[[#This Row],[MALE BENEFICIARIES]:[FEMALE BENEFICIARIES]])</f>
        <v>0</v>
      </c>
      <c r="AP171" s="58"/>
      <c r="AQ171" s="58"/>
      <c r="AR171" s="58"/>
      <c r="AS171" s="58">
        <v>1</v>
      </c>
      <c r="AT171" s="59">
        <v>895</v>
      </c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</row>
    <row r="172" spans="1:65">
      <c r="A172" s="51" t="str">
        <f>VLOOKUP(Table3[[#This Row],[OU]],OU!$A$15:$B$34,2,FALSE)</f>
        <v>RFOs</v>
      </c>
      <c r="B172" s="47" t="s">
        <v>5</v>
      </c>
      <c r="C172" s="47" t="s">
        <v>574</v>
      </c>
      <c r="D172" s="47"/>
      <c r="E172" s="47" t="s">
        <v>43</v>
      </c>
      <c r="F172" s="47" t="s">
        <v>676</v>
      </c>
      <c r="G17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4th District</v>
      </c>
      <c r="H17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23127000</v>
      </c>
      <c r="I172" s="52" t="str">
        <f>VLOOKUP(Table3[[#This Row],[PSGC]],DISTRICT!$D:$G,4,FALSE)</f>
        <v>3rd</v>
      </c>
      <c r="J172" s="47" t="s">
        <v>578</v>
      </c>
      <c r="K172" s="51" t="str">
        <f>VLOOKUP(Table3[[#This Row],[SPECIFIC COMMODITY]],TAGS!$W$48:$X$53,2,FALSE)</f>
        <v>Corn</v>
      </c>
      <c r="L172" s="51" t="str">
        <f>VLOOKUP(Table3[[#This Row],[PREXC SUB-PROGRAM]],Table5[],2,FALSE)</f>
        <v>TECHNICAL AND SUPPORT SERVICES PROGRAM</v>
      </c>
      <c r="M172" s="51" t="str">
        <f>VLOOKUP(Table3[[#This Row],[COMMODITY PREXC SUB-PROGRAM]],TAGS!$U$54:$V$76,2,FALSE)</f>
        <v>PSS</v>
      </c>
      <c r="N172" s="47" t="s">
        <v>576</v>
      </c>
      <c r="O172" s="54" t="str">
        <f>VLOOKUP(Table3[[#This Row],[PI LEVEL 3]],'PI LEVEL'!A:C,3,FALSE)</f>
        <v>Fertilizers and other soil ammendment distributed</v>
      </c>
      <c r="P172" s="54" t="str">
        <f>VLOOKUP(Table3[[#This Row],[PI LEVEL 3]],Table53729[[Performance Indicator Level 3]:[Performance Indicator Level 1]],2,FALSE)</f>
        <v>Fertilizers distributed</v>
      </c>
      <c r="Q172" s="54" t="str">
        <f>VLOOKUP(Table3[[#This Row],[ACTIVITY]],TAGS!B:P,2,FALSE)</f>
        <v>Inorganic fertilizer distributed</v>
      </c>
      <c r="R172" s="47" t="s">
        <v>36</v>
      </c>
      <c r="S172" s="51" t="str">
        <f>VLOOKUP(Table3[[#This Row],[ACTIVITY]],TAGS!$B:$P,4,FALSE)</f>
        <v>Yellow Corn Production Enhancement Project</v>
      </c>
      <c r="T172" s="51" t="str">
        <f>VLOOKUP(Table3[[#This Row],[ACTIVITY]],TAGS!$B:$P,5,FALSE)</f>
        <v>Soil Fertilization</v>
      </c>
      <c r="U172" s="51" t="str">
        <f>VLOOKUP(Table3[[#This Row],[ACTIVITY]],TAGS!$B:$P,6,FALSE)</f>
        <v>Inorganic fertilizer</v>
      </c>
      <c r="V172" s="51" t="str">
        <f>VLOOKUP(Table3[[#This Row],[ACTIVITY]],TAGS!$B:$P,7,FALSE)</f>
        <v>NO</v>
      </c>
      <c r="W172" s="51" t="str">
        <f>VLOOKUP(Table3[[#This Row],[ACTIVITY]],TAGS!$B:$P,8,FALSE)</f>
        <v>PAP</v>
      </c>
      <c r="X172" s="51" t="str">
        <f>VLOOKUP(Table3[[#This Row],[ACTIVITY]],TAGS!$B:$P,10,FALSE)</f>
        <v>PIP</v>
      </c>
      <c r="Y172" s="51" t="str">
        <f>VLOOKUP(Table3[[#This Row],[ACTIVITY]],TAGS!$B:$P,11,FALSE)</f>
        <v>PICS</v>
      </c>
      <c r="Z172" s="51" t="str">
        <f>VLOOKUP(Table3[[#This Row],[ACTIVITY]],TAGS!$B:$P,12,FALSE)</f>
        <v>Consolidation</v>
      </c>
      <c r="AA172" s="51" t="str">
        <f>VLOOKUP(Table3[[#This Row],[ACTIVITY]],TAGS!$B:$P,13,FALSE)</f>
        <v>1. Bayanihan Agri Cluster</v>
      </c>
      <c r="AB172" s="51" t="str">
        <f>VLOOKUP(Table3[[#This Row],[ACTIVITY]],TAGS!$B:$P,14,FALSE)</f>
        <v>EXPAND AND IMPROVE AVAILABLE AGRI-FISHERY AREAS FOR INCREASED PRODUCTION</v>
      </c>
      <c r="AC172" s="51" t="str">
        <f>VLOOKUP(Table3[[#This Row],[ACTIVITY]],TAGS!$B:$P,15,FALSE)</f>
        <v>Farm Inputs</v>
      </c>
      <c r="AD172" s="51" t="str">
        <f>VLOOKUP(Table3[[#This Row],[PI LEVEL 3]],'PI LEVEL'!$A:$G,7,FALSE)</f>
        <v>DA-Level Output</v>
      </c>
      <c r="AE172" s="47" t="s">
        <v>577</v>
      </c>
      <c r="AF172" s="51" t="str">
        <f>VLOOKUP(Table3[[#This Row],[ACTIVITY]],TAGS!$B:$P,3,FALSE)</f>
        <v>kilogram</v>
      </c>
      <c r="AG172" s="47" t="s">
        <v>334</v>
      </c>
      <c r="AH172" s="51" t="str">
        <f>VLOOKUP(Table3[[#This Row],[MONTH]],TAGS!$W$67:$Y$81,2,FALSE)</f>
        <v>3RD QTR</v>
      </c>
      <c r="AI172" s="51" t="str">
        <f>VLOOKUP(Table3[[#This Row],[MONTH]],TAGS!$W$67:$Y$81,3,FALSE)</f>
        <v>2ND SEMESTER</v>
      </c>
      <c r="AJ172" s="51">
        <f>VLOOKUP(Table3[[#This Row],[MONTH]],TAGS!$W$67:$Z$81,4,FALSE)</f>
        <v>2025</v>
      </c>
      <c r="AK172" s="47">
        <v>40900</v>
      </c>
      <c r="AL172" s="51" t="str">
        <f>VLOOKUP(Table3[[#This Row],[ACTIVITY]],TAGS!$B:$R,16,FALSE)</f>
        <v>YES</v>
      </c>
      <c r="AM172" s="47">
        <v>409</v>
      </c>
      <c r="AN172" s="47">
        <v>1840.5</v>
      </c>
      <c r="AO172" s="57">
        <f>SUM(Table3[[#This Row],[MALE BENEFICIARIES]:[FEMALE BENEFICIARIES]])</f>
        <v>0</v>
      </c>
      <c r="AP172" s="58"/>
      <c r="AQ172" s="58"/>
      <c r="AR172" s="58"/>
      <c r="AS172" s="58">
        <v>1</v>
      </c>
      <c r="AT172" s="59">
        <v>409</v>
      </c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</row>
    <row r="173" spans="1:65">
      <c r="A173" s="51" t="str">
        <f>VLOOKUP(Table3[[#This Row],[OU]],OU!$A$15:$B$34,2,FALSE)</f>
        <v>RFOs</v>
      </c>
      <c r="B173" s="47" t="s">
        <v>5</v>
      </c>
      <c r="C173" s="47" t="s">
        <v>574</v>
      </c>
      <c r="D173" s="47"/>
      <c r="E173" s="47" t="s">
        <v>43</v>
      </c>
      <c r="F173" s="47" t="s">
        <v>677</v>
      </c>
      <c r="G17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5th District</v>
      </c>
      <c r="H17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23103000</v>
      </c>
      <c r="I173" s="52" t="str">
        <f>VLOOKUP(Table3[[#This Row],[PSGC]],DISTRICT!$D:$G,4,FALSE)</f>
        <v>3rd</v>
      </c>
      <c r="J173" s="47" t="s">
        <v>578</v>
      </c>
      <c r="K173" s="51" t="str">
        <f>VLOOKUP(Table3[[#This Row],[SPECIFIC COMMODITY]],TAGS!$W$48:$X$53,2,FALSE)</f>
        <v>Corn</v>
      </c>
      <c r="L173" s="51" t="str">
        <f>VLOOKUP(Table3[[#This Row],[PREXC SUB-PROGRAM]],Table5[],2,FALSE)</f>
        <v>TECHNICAL AND SUPPORT SERVICES PROGRAM</v>
      </c>
      <c r="M173" s="51" t="str">
        <f>VLOOKUP(Table3[[#This Row],[COMMODITY PREXC SUB-PROGRAM]],TAGS!$U$54:$V$76,2,FALSE)</f>
        <v>PSS</v>
      </c>
      <c r="N173" s="47" t="s">
        <v>576</v>
      </c>
      <c r="O173" s="54" t="str">
        <f>VLOOKUP(Table3[[#This Row],[PI LEVEL 3]],'PI LEVEL'!A:C,3,FALSE)</f>
        <v>Fertilizers and other soil ammendment distributed</v>
      </c>
      <c r="P173" s="54" t="str">
        <f>VLOOKUP(Table3[[#This Row],[PI LEVEL 3]],Table53729[[Performance Indicator Level 3]:[Performance Indicator Level 1]],2,FALSE)</f>
        <v>Fertilizers distributed</v>
      </c>
      <c r="Q173" s="54" t="str">
        <f>VLOOKUP(Table3[[#This Row],[ACTIVITY]],TAGS!B:P,2,FALSE)</f>
        <v>Inorganic fertilizer distributed</v>
      </c>
      <c r="R173" s="47" t="s">
        <v>36</v>
      </c>
      <c r="S173" s="51" t="str">
        <f>VLOOKUP(Table3[[#This Row],[ACTIVITY]],TAGS!$B:$P,4,FALSE)</f>
        <v>Yellow Corn Production Enhancement Project</v>
      </c>
      <c r="T173" s="51" t="str">
        <f>VLOOKUP(Table3[[#This Row],[ACTIVITY]],TAGS!$B:$P,5,FALSE)</f>
        <v>Soil Fertilization</v>
      </c>
      <c r="U173" s="51" t="str">
        <f>VLOOKUP(Table3[[#This Row],[ACTIVITY]],TAGS!$B:$P,6,FALSE)</f>
        <v>Inorganic fertilizer</v>
      </c>
      <c r="V173" s="51" t="str">
        <f>VLOOKUP(Table3[[#This Row],[ACTIVITY]],TAGS!$B:$P,7,FALSE)</f>
        <v>NO</v>
      </c>
      <c r="W173" s="51" t="str">
        <f>VLOOKUP(Table3[[#This Row],[ACTIVITY]],TAGS!$B:$P,8,FALSE)</f>
        <v>PAP</v>
      </c>
      <c r="X173" s="51" t="str">
        <f>VLOOKUP(Table3[[#This Row],[ACTIVITY]],TAGS!$B:$P,10,FALSE)</f>
        <v>PIP</v>
      </c>
      <c r="Y173" s="51" t="str">
        <f>VLOOKUP(Table3[[#This Row],[ACTIVITY]],TAGS!$B:$P,11,FALSE)</f>
        <v>PICS</v>
      </c>
      <c r="Z173" s="51" t="str">
        <f>VLOOKUP(Table3[[#This Row],[ACTIVITY]],TAGS!$B:$P,12,FALSE)</f>
        <v>Consolidation</v>
      </c>
      <c r="AA173" s="51" t="str">
        <f>VLOOKUP(Table3[[#This Row],[ACTIVITY]],TAGS!$B:$P,13,FALSE)</f>
        <v>1. Bayanihan Agri Cluster</v>
      </c>
      <c r="AB173" s="51" t="str">
        <f>VLOOKUP(Table3[[#This Row],[ACTIVITY]],TAGS!$B:$P,14,FALSE)</f>
        <v>EXPAND AND IMPROVE AVAILABLE AGRI-FISHERY AREAS FOR INCREASED PRODUCTION</v>
      </c>
      <c r="AC173" s="51" t="str">
        <f>VLOOKUP(Table3[[#This Row],[ACTIVITY]],TAGS!$B:$P,15,FALSE)</f>
        <v>Farm Inputs</v>
      </c>
      <c r="AD173" s="51" t="str">
        <f>VLOOKUP(Table3[[#This Row],[PI LEVEL 3]],'PI LEVEL'!$A:$G,7,FALSE)</f>
        <v>DA-Level Output</v>
      </c>
      <c r="AE173" s="47" t="s">
        <v>577</v>
      </c>
      <c r="AF173" s="51" t="str">
        <f>VLOOKUP(Table3[[#This Row],[ACTIVITY]],TAGS!$B:$P,3,FALSE)</f>
        <v>kilogram</v>
      </c>
      <c r="AG173" s="47" t="s">
        <v>334</v>
      </c>
      <c r="AH173" s="51" t="str">
        <f>VLOOKUP(Table3[[#This Row],[MONTH]],TAGS!$W$67:$Y$81,2,FALSE)</f>
        <v>3RD QTR</v>
      </c>
      <c r="AI173" s="51" t="str">
        <f>VLOOKUP(Table3[[#This Row],[MONTH]],TAGS!$W$67:$Y$81,3,FALSE)</f>
        <v>2ND SEMESTER</v>
      </c>
      <c r="AJ173" s="51">
        <f>VLOOKUP(Table3[[#This Row],[MONTH]],TAGS!$W$67:$Z$81,4,FALSE)</f>
        <v>2025</v>
      </c>
      <c r="AK173" s="47">
        <v>30000</v>
      </c>
      <c r="AL173" s="51" t="str">
        <f>VLOOKUP(Table3[[#This Row],[ACTIVITY]],TAGS!$B:$R,16,FALSE)</f>
        <v>YES</v>
      </c>
      <c r="AM173" s="47">
        <v>300</v>
      </c>
      <c r="AN173" s="47">
        <v>1350</v>
      </c>
      <c r="AO173" s="57">
        <f>SUM(Table3[[#This Row],[MALE BENEFICIARIES]:[FEMALE BENEFICIARIES]])</f>
        <v>0</v>
      </c>
      <c r="AP173" s="58"/>
      <c r="AQ173" s="58"/>
      <c r="AR173" s="58"/>
      <c r="AS173" s="58">
        <v>1</v>
      </c>
      <c r="AT173" s="59">
        <v>300</v>
      </c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</row>
    <row r="174" spans="1:65">
      <c r="A174" s="51" t="str">
        <f>VLOOKUP(Table3[[#This Row],[OU]],OU!$A$15:$B$34,2,FALSE)</f>
        <v>RFOs</v>
      </c>
      <c r="B174" s="47" t="s">
        <v>5</v>
      </c>
      <c r="C174" s="47" t="s">
        <v>574</v>
      </c>
      <c r="D174" s="47"/>
      <c r="E174" s="47" t="s">
        <v>43</v>
      </c>
      <c r="F174" s="47" t="s">
        <v>678</v>
      </c>
      <c r="G17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5th District</v>
      </c>
      <c r="H17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23105000</v>
      </c>
      <c r="I174" s="52" t="str">
        <f>VLOOKUP(Table3[[#This Row],[PSGC]],DISTRICT!$D:$G,4,FALSE)</f>
        <v>4th</v>
      </c>
      <c r="J174" s="47" t="s">
        <v>578</v>
      </c>
      <c r="K174" s="51" t="str">
        <f>VLOOKUP(Table3[[#This Row],[SPECIFIC COMMODITY]],TAGS!$W$48:$X$53,2,FALSE)</f>
        <v>Corn</v>
      </c>
      <c r="L174" s="51" t="str">
        <f>VLOOKUP(Table3[[#This Row],[PREXC SUB-PROGRAM]],Table5[],2,FALSE)</f>
        <v>TECHNICAL AND SUPPORT SERVICES PROGRAM</v>
      </c>
      <c r="M174" s="51" t="str">
        <f>VLOOKUP(Table3[[#This Row],[COMMODITY PREXC SUB-PROGRAM]],TAGS!$U$54:$V$76,2,FALSE)</f>
        <v>PSS</v>
      </c>
      <c r="N174" s="47" t="s">
        <v>576</v>
      </c>
      <c r="O174" s="54" t="str">
        <f>VLOOKUP(Table3[[#This Row],[PI LEVEL 3]],'PI LEVEL'!A:C,3,FALSE)</f>
        <v>Fertilizers and other soil ammendment distributed</v>
      </c>
      <c r="P174" s="54" t="str">
        <f>VLOOKUP(Table3[[#This Row],[PI LEVEL 3]],Table53729[[Performance Indicator Level 3]:[Performance Indicator Level 1]],2,FALSE)</f>
        <v>Fertilizers distributed</v>
      </c>
      <c r="Q174" s="54" t="str">
        <f>VLOOKUP(Table3[[#This Row],[ACTIVITY]],TAGS!B:P,2,FALSE)</f>
        <v>Inorganic fertilizer distributed</v>
      </c>
      <c r="R174" s="47" t="s">
        <v>36</v>
      </c>
      <c r="S174" s="51" t="str">
        <f>VLOOKUP(Table3[[#This Row],[ACTIVITY]],TAGS!$B:$P,4,FALSE)</f>
        <v>Yellow Corn Production Enhancement Project</v>
      </c>
      <c r="T174" s="51" t="str">
        <f>VLOOKUP(Table3[[#This Row],[ACTIVITY]],TAGS!$B:$P,5,FALSE)</f>
        <v>Soil Fertilization</v>
      </c>
      <c r="U174" s="51" t="str">
        <f>VLOOKUP(Table3[[#This Row],[ACTIVITY]],TAGS!$B:$P,6,FALSE)</f>
        <v>Inorganic fertilizer</v>
      </c>
      <c r="V174" s="51" t="str">
        <f>VLOOKUP(Table3[[#This Row],[ACTIVITY]],TAGS!$B:$P,7,FALSE)</f>
        <v>NO</v>
      </c>
      <c r="W174" s="51" t="str">
        <f>VLOOKUP(Table3[[#This Row],[ACTIVITY]],TAGS!$B:$P,8,FALSE)</f>
        <v>PAP</v>
      </c>
      <c r="X174" s="51" t="str">
        <f>VLOOKUP(Table3[[#This Row],[ACTIVITY]],TAGS!$B:$P,10,FALSE)</f>
        <v>PIP</v>
      </c>
      <c r="Y174" s="51" t="str">
        <f>VLOOKUP(Table3[[#This Row],[ACTIVITY]],TAGS!$B:$P,11,FALSE)</f>
        <v>PICS</v>
      </c>
      <c r="Z174" s="51" t="str">
        <f>VLOOKUP(Table3[[#This Row],[ACTIVITY]],TAGS!$B:$P,12,FALSE)</f>
        <v>Consolidation</v>
      </c>
      <c r="AA174" s="51" t="str">
        <f>VLOOKUP(Table3[[#This Row],[ACTIVITY]],TAGS!$B:$P,13,FALSE)</f>
        <v>1. Bayanihan Agri Cluster</v>
      </c>
      <c r="AB174" s="51" t="str">
        <f>VLOOKUP(Table3[[#This Row],[ACTIVITY]],TAGS!$B:$P,14,FALSE)</f>
        <v>EXPAND AND IMPROVE AVAILABLE AGRI-FISHERY AREAS FOR INCREASED PRODUCTION</v>
      </c>
      <c r="AC174" s="51" t="str">
        <f>VLOOKUP(Table3[[#This Row],[ACTIVITY]],TAGS!$B:$P,15,FALSE)</f>
        <v>Farm Inputs</v>
      </c>
      <c r="AD174" s="51" t="str">
        <f>VLOOKUP(Table3[[#This Row],[PI LEVEL 3]],'PI LEVEL'!$A:$G,7,FALSE)</f>
        <v>DA-Level Output</v>
      </c>
      <c r="AE174" s="47" t="s">
        <v>577</v>
      </c>
      <c r="AF174" s="51" t="str">
        <f>VLOOKUP(Table3[[#This Row],[ACTIVITY]],TAGS!$B:$P,3,FALSE)</f>
        <v>kilogram</v>
      </c>
      <c r="AG174" s="47" t="s">
        <v>334</v>
      </c>
      <c r="AH174" s="51" t="str">
        <f>VLOOKUP(Table3[[#This Row],[MONTH]],TAGS!$W$67:$Y$81,2,FALSE)</f>
        <v>3RD QTR</v>
      </c>
      <c r="AI174" s="51" t="str">
        <f>VLOOKUP(Table3[[#This Row],[MONTH]],TAGS!$W$67:$Y$81,3,FALSE)</f>
        <v>2ND SEMESTER</v>
      </c>
      <c r="AJ174" s="51">
        <f>VLOOKUP(Table3[[#This Row],[MONTH]],TAGS!$W$67:$Z$81,4,FALSE)</f>
        <v>2025</v>
      </c>
      <c r="AK174" s="47">
        <v>15200</v>
      </c>
      <c r="AL174" s="51" t="str">
        <f>VLOOKUP(Table3[[#This Row],[ACTIVITY]],TAGS!$B:$R,16,FALSE)</f>
        <v>YES</v>
      </c>
      <c r="AM174" s="47">
        <v>152</v>
      </c>
      <c r="AN174" s="47">
        <v>684</v>
      </c>
      <c r="AO174" s="57">
        <f>SUM(Table3[[#This Row],[MALE BENEFICIARIES]:[FEMALE BENEFICIARIES]])</f>
        <v>0</v>
      </c>
      <c r="AP174" s="58"/>
      <c r="AQ174" s="58"/>
      <c r="AR174" s="58"/>
      <c r="AS174" s="58">
        <v>1</v>
      </c>
      <c r="AT174" s="59">
        <v>152</v>
      </c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</row>
    <row r="175" spans="1:65">
      <c r="A175" s="51" t="str">
        <f>VLOOKUP(Table3[[#This Row],[OU]],OU!$A$15:$B$34,2,FALSE)</f>
        <v>RFOs</v>
      </c>
      <c r="B175" s="47" t="s">
        <v>5</v>
      </c>
      <c r="C175" s="47" t="s">
        <v>574</v>
      </c>
      <c r="D175" s="47"/>
      <c r="E175" s="47" t="s">
        <v>43</v>
      </c>
      <c r="F175" s="47" t="s">
        <v>679</v>
      </c>
      <c r="G17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5th District</v>
      </c>
      <c r="H17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23116000</v>
      </c>
      <c r="I175" s="52" t="str">
        <f>VLOOKUP(Table3[[#This Row],[PSGC]],DISTRICT!$D:$G,4,FALSE)</f>
        <v>5th</v>
      </c>
      <c r="J175" s="47" t="s">
        <v>578</v>
      </c>
      <c r="K175" s="51" t="str">
        <f>VLOOKUP(Table3[[#This Row],[SPECIFIC COMMODITY]],TAGS!$W$48:$X$53,2,FALSE)</f>
        <v>Corn</v>
      </c>
      <c r="L175" s="51" t="str">
        <f>VLOOKUP(Table3[[#This Row],[PREXC SUB-PROGRAM]],Table5[],2,FALSE)</f>
        <v>TECHNICAL AND SUPPORT SERVICES PROGRAM</v>
      </c>
      <c r="M175" s="51" t="str">
        <f>VLOOKUP(Table3[[#This Row],[COMMODITY PREXC SUB-PROGRAM]],TAGS!$U$54:$V$76,2,FALSE)</f>
        <v>PSS</v>
      </c>
      <c r="N175" s="47" t="s">
        <v>576</v>
      </c>
      <c r="O175" s="54" t="str">
        <f>VLOOKUP(Table3[[#This Row],[PI LEVEL 3]],'PI LEVEL'!A:C,3,FALSE)</f>
        <v>Fertilizers and other soil ammendment distributed</v>
      </c>
      <c r="P175" s="54" t="str">
        <f>VLOOKUP(Table3[[#This Row],[PI LEVEL 3]],Table53729[[Performance Indicator Level 3]:[Performance Indicator Level 1]],2,FALSE)</f>
        <v>Fertilizers distributed</v>
      </c>
      <c r="Q175" s="54" t="str">
        <f>VLOOKUP(Table3[[#This Row],[ACTIVITY]],TAGS!B:P,2,FALSE)</f>
        <v>Inorganic fertilizer distributed</v>
      </c>
      <c r="R175" s="47" t="s">
        <v>36</v>
      </c>
      <c r="S175" s="51" t="str">
        <f>VLOOKUP(Table3[[#This Row],[ACTIVITY]],TAGS!$B:$P,4,FALSE)</f>
        <v>Yellow Corn Production Enhancement Project</v>
      </c>
      <c r="T175" s="51" t="str">
        <f>VLOOKUP(Table3[[#This Row],[ACTIVITY]],TAGS!$B:$P,5,FALSE)</f>
        <v>Soil Fertilization</v>
      </c>
      <c r="U175" s="51" t="str">
        <f>VLOOKUP(Table3[[#This Row],[ACTIVITY]],TAGS!$B:$P,6,FALSE)</f>
        <v>Inorganic fertilizer</v>
      </c>
      <c r="V175" s="51" t="str">
        <f>VLOOKUP(Table3[[#This Row],[ACTIVITY]],TAGS!$B:$P,7,FALSE)</f>
        <v>NO</v>
      </c>
      <c r="W175" s="51" t="str">
        <f>VLOOKUP(Table3[[#This Row],[ACTIVITY]],TAGS!$B:$P,8,FALSE)</f>
        <v>PAP</v>
      </c>
      <c r="X175" s="51" t="str">
        <f>VLOOKUP(Table3[[#This Row],[ACTIVITY]],TAGS!$B:$P,10,FALSE)</f>
        <v>PIP</v>
      </c>
      <c r="Y175" s="51" t="str">
        <f>VLOOKUP(Table3[[#This Row],[ACTIVITY]],TAGS!$B:$P,11,FALSE)</f>
        <v>PICS</v>
      </c>
      <c r="Z175" s="51" t="str">
        <f>VLOOKUP(Table3[[#This Row],[ACTIVITY]],TAGS!$B:$P,12,FALSE)</f>
        <v>Consolidation</v>
      </c>
      <c r="AA175" s="51" t="str">
        <f>VLOOKUP(Table3[[#This Row],[ACTIVITY]],TAGS!$B:$P,13,FALSE)</f>
        <v>1. Bayanihan Agri Cluster</v>
      </c>
      <c r="AB175" s="51" t="str">
        <f>VLOOKUP(Table3[[#This Row],[ACTIVITY]],TAGS!$B:$P,14,FALSE)</f>
        <v>EXPAND AND IMPROVE AVAILABLE AGRI-FISHERY AREAS FOR INCREASED PRODUCTION</v>
      </c>
      <c r="AC175" s="51" t="str">
        <f>VLOOKUP(Table3[[#This Row],[ACTIVITY]],TAGS!$B:$P,15,FALSE)</f>
        <v>Farm Inputs</v>
      </c>
      <c r="AD175" s="51" t="str">
        <f>VLOOKUP(Table3[[#This Row],[PI LEVEL 3]],'PI LEVEL'!$A:$G,7,FALSE)</f>
        <v>DA-Level Output</v>
      </c>
      <c r="AE175" s="47" t="s">
        <v>577</v>
      </c>
      <c r="AF175" s="51" t="str">
        <f>VLOOKUP(Table3[[#This Row],[ACTIVITY]],TAGS!$B:$P,3,FALSE)</f>
        <v>kilogram</v>
      </c>
      <c r="AG175" s="47" t="s">
        <v>334</v>
      </c>
      <c r="AH175" s="51" t="str">
        <f>VLOOKUP(Table3[[#This Row],[MONTH]],TAGS!$W$67:$Y$81,2,FALSE)</f>
        <v>3RD QTR</v>
      </c>
      <c r="AI175" s="51" t="str">
        <f>VLOOKUP(Table3[[#This Row],[MONTH]],TAGS!$W$67:$Y$81,3,FALSE)</f>
        <v>2ND SEMESTER</v>
      </c>
      <c r="AJ175" s="51">
        <f>VLOOKUP(Table3[[#This Row],[MONTH]],TAGS!$W$67:$Z$81,4,FALSE)</f>
        <v>2025</v>
      </c>
      <c r="AK175" s="47">
        <v>8800</v>
      </c>
      <c r="AL175" s="51" t="str">
        <f>VLOOKUP(Table3[[#This Row],[ACTIVITY]],TAGS!$B:$R,16,FALSE)</f>
        <v>YES</v>
      </c>
      <c r="AM175" s="47">
        <v>88</v>
      </c>
      <c r="AN175" s="47">
        <v>396</v>
      </c>
      <c r="AO175" s="57">
        <f>SUM(Table3[[#This Row],[MALE BENEFICIARIES]:[FEMALE BENEFICIARIES]])</f>
        <v>0</v>
      </c>
      <c r="AP175" s="58"/>
      <c r="AQ175" s="58"/>
      <c r="AR175" s="58"/>
      <c r="AS175" s="58">
        <v>1</v>
      </c>
      <c r="AT175" s="59">
        <v>88</v>
      </c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</row>
    <row r="176" spans="1:65">
      <c r="A176" s="51" t="str">
        <f>VLOOKUP(Table3[[#This Row],[OU]],OU!$A$15:$B$34,2,FALSE)</f>
        <v>RFOs</v>
      </c>
      <c r="B176" s="47" t="s">
        <v>5</v>
      </c>
      <c r="C176" s="47" t="s">
        <v>574</v>
      </c>
      <c r="D176" s="47"/>
      <c r="E176" s="47" t="s">
        <v>43</v>
      </c>
      <c r="F176" s="47" t="s">
        <v>680</v>
      </c>
      <c r="G17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5th District</v>
      </c>
      <c r="H17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23119000</v>
      </c>
      <c r="I176" s="52" t="str">
        <f>VLOOKUP(Table3[[#This Row],[PSGC]],DISTRICT!$D:$G,4,FALSE)</f>
        <v>4th</v>
      </c>
      <c r="J176" s="47" t="s">
        <v>578</v>
      </c>
      <c r="K176" s="51" t="str">
        <f>VLOOKUP(Table3[[#This Row],[SPECIFIC COMMODITY]],TAGS!$W$48:$X$53,2,FALSE)</f>
        <v>Corn</v>
      </c>
      <c r="L176" s="51" t="str">
        <f>VLOOKUP(Table3[[#This Row],[PREXC SUB-PROGRAM]],Table5[],2,FALSE)</f>
        <v>TECHNICAL AND SUPPORT SERVICES PROGRAM</v>
      </c>
      <c r="M176" s="51" t="str">
        <f>VLOOKUP(Table3[[#This Row],[COMMODITY PREXC SUB-PROGRAM]],TAGS!$U$54:$V$76,2,FALSE)</f>
        <v>PSS</v>
      </c>
      <c r="N176" s="47" t="s">
        <v>576</v>
      </c>
      <c r="O176" s="54" t="str">
        <f>VLOOKUP(Table3[[#This Row],[PI LEVEL 3]],'PI LEVEL'!A:C,3,FALSE)</f>
        <v>Fertilizers and other soil ammendment distributed</v>
      </c>
      <c r="P176" s="54" t="str">
        <f>VLOOKUP(Table3[[#This Row],[PI LEVEL 3]],Table53729[[Performance Indicator Level 3]:[Performance Indicator Level 1]],2,FALSE)</f>
        <v>Fertilizers distributed</v>
      </c>
      <c r="Q176" s="54" t="str">
        <f>VLOOKUP(Table3[[#This Row],[ACTIVITY]],TAGS!B:P,2,FALSE)</f>
        <v>Inorganic fertilizer distributed</v>
      </c>
      <c r="R176" s="47" t="s">
        <v>36</v>
      </c>
      <c r="S176" s="51" t="str">
        <f>VLOOKUP(Table3[[#This Row],[ACTIVITY]],TAGS!$B:$P,4,FALSE)</f>
        <v>Yellow Corn Production Enhancement Project</v>
      </c>
      <c r="T176" s="51" t="str">
        <f>VLOOKUP(Table3[[#This Row],[ACTIVITY]],TAGS!$B:$P,5,FALSE)</f>
        <v>Soil Fertilization</v>
      </c>
      <c r="U176" s="51" t="str">
        <f>VLOOKUP(Table3[[#This Row],[ACTIVITY]],TAGS!$B:$P,6,FALSE)</f>
        <v>Inorganic fertilizer</v>
      </c>
      <c r="V176" s="51" t="str">
        <f>VLOOKUP(Table3[[#This Row],[ACTIVITY]],TAGS!$B:$P,7,FALSE)</f>
        <v>NO</v>
      </c>
      <c r="W176" s="51" t="str">
        <f>VLOOKUP(Table3[[#This Row],[ACTIVITY]],TAGS!$B:$P,8,FALSE)</f>
        <v>PAP</v>
      </c>
      <c r="X176" s="51" t="str">
        <f>VLOOKUP(Table3[[#This Row],[ACTIVITY]],TAGS!$B:$P,10,FALSE)</f>
        <v>PIP</v>
      </c>
      <c r="Y176" s="51" t="str">
        <f>VLOOKUP(Table3[[#This Row],[ACTIVITY]],TAGS!$B:$P,11,FALSE)</f>
        <v>PICS</v>
      </c>
      <c r="Z176" s="51" t="str">
        <f>VLOOKUP(Table3[[#This Row],[ACTIVITY]],TAGS!$B:$P,12,FALSE)</f>
        <v>Consolidation</v>
      </c>
      <c r="AA176" s="51" t="str">
        <f>VLOOKUP(Table3[[#This Row],[ACTIVITY]],TAGS!$B:$P,13,FALSE)</f>
        <v>1. Bayanihan Agri Cluster</v>
      </c>
      <c r="AB176" s="51" t="str">
        <f>VLOOKUP(Table3[[#This Row],[ACTIVITY]],TAGS!$B:$P,14,FALSE)</f>
        <v>EXPAND AND IMPROVE AVAILABLE AGRI-FISHERY AREAS FOR INCREASED PRODUCTION</v>
      </c>
      <c r="AC176" s="51" t="str">
        <f>VLOOKUP(Table3[[#This Row],[ACTIVITY]],TAGS!$B:$P,15,FALSE)</f>
        <v>Farm Inputs</v>
      </c>
      <c r="AD176" s="51" t="str">
        <f>VLOOKUP(Table3[[#This Row],[PI LEVEL 3]],'PI LEVEL'!$A:$G,7,FALSE)</f>
        <v>DA-Level Output</v>
      </c>
      <c r="AE176" s="47" t="s">
        <v>577</v>
      </c>
      <c r="AF176" s="51" t="str">
        <f>VLOOKUP(Table3[[#This Row],[ACTIVITY]],TAGS!$B:$P,3,FALSE)</f>
        <v>kilogram</v>
      </c>
      <c r="AG176" s="47" t="s">
        <v>334</v>
      </c>
      <c r="AH176" s="51" t="str">
        <f>VLOOKUP(Table3[[#This Row],[MONTH]],TAGS!$W$67:$Y$81,2,FALSE)</f>
        <v>3RD QTR</v>
      </c>
      <c r="AI176" s="51" t="str">
        <f>VLOOKUP(Table3[[#This Row],[MONTH]],TAGS!$W$67:$Y$81,3,FALSE)</f>
        <v>2ND SEMESTER</v>
      </c>
      <c r="AJ176" s="51">
        <f>VLOOKUP(Table3[[#This Row],[MONTH]],TAGS!$W$67:$Z$81,4,FALSE)</f>
        <v>2025</v>
      </c>
      <c r="AK176" s="47">
        <v>24000</v>
      </c>
      <c r="AL176" s="51" t="str">
        <f>VLOOKUP(Table3[[#This Row],[ACTIVITY]],TAGS!$B:$R,16,FALSE)</f>
        <v>YES</v>
      </c>
      <c r="AM176" s="47">
        <v>240</v>
      </c>
      <c r="AN176" s="47">
        <v>1080</v>
      </c>
      <c r="AO176" s="57">
        <f>SUM(Table3[[#This Row],[MALE BENEFICIARIES]:[FEMALE BENEFICIARIES]])</f>
        <v>0</v>
      </c>
      <c r="AP176" s="58"/>
      <c r="AQ176" s="58"/>
      <c r="AR176" s="58"/>
      <c r="AS176" s="58">
        <v>1</v>
      </c>
      <c r="AT176" s="59">
        <v>240</v>
      </c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</row>
    <row r="177" spans="1:65">
      <c r="A177" s="51" t="str">
        <f>VLOOKUP(Table3[[#This Row],[OU]],OU!$A$15:$B$34,2,FALSE)</f>
        <v>RFOs</v>
      </c>
      <c r="B177" s="47" t="s">
        <v>5</v>
      </c>
      <c r="C177" s="47" t="s">
        <v>574</v>
      </c>
      <c r="D177" s="47"/>
      <c r="E177" s="47" t="s">
        <v>43</v>
      </c>
      <c r="F177" s="47" t="s">
        <v>681</v>
      </c>
      <c r="G17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5th District</v>
      </c>
      <c r="H17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23122000</v>
      </c>
      <c r="I177" s="52" t="str">
        <f>VLOOKUP(Table3[[#This Row],[PSGC]],DISTRICT!$D:$G,4,FALSE)</f>
        <v>4th</v>
      </c>
      <c r="J177" s="47" t="s">
        <v>578</v>
      </c>
      <c r="K177" s="51" t="str">
        <f>VLOOKUP(Table3[[#This Row],[SPECIFIC COMMODITY]],TAGS!$W$48:$X$53,2,FALSE)</f>
        <v>Corn</v>
      </c>
      <c r="L177" s="51" t="str">
        <f>VLOOKUP(Table3[[#This Row],[PREXC SUB-PROGRAM]],Table5[],2,FALSE)</f>
        <v>TECHNICAL AND SUPPORT SERVICES PROGRAM</v>
      </c>
      <c r="M177" s="51" t="str">
        <f>VLOOKUP(Table3[[#This Row],[COMMODITY PREXC SUB-PROGRAM]],TAGS!$U$54:$V$76,2,FALSE)</f>
        <v>PSS</v>
      </c>
      <c r="N177" s="47" t="s">
        <v>576</v>
      </c>
      <c r="O177" s="54" t="str">
        <f>VLOOKUP(Table3[[#This Row],[PI LEVEL 3]],'PI LEVEL'!A:C,3,FALSE)</f>
        <v>Fertilizers and other soil ammendment distributed</v>
      </c>
      <c r="P177" s="54" t="str">
        <f>VLOOKUP(Table3[[#This Row],[PI LEVEL 3]],Table53729[[Performance Indicator Level 3]:[Performance Indicator Level 1]],2,FALSE)</f>
        <v>Fertilizers distributed</v>
      </c>
      <c r="Q177" s="54" t="str">
        <f>VLOOKUP(Table3[[#This Row],[ACTIVITY]],TAGS!B:P,2,FALSE)</f>
        <v>Inorganic fertilizer distributed</v>
      </c>
      <c r="R177" s="47" t="s">
        <v>36</v>
      </c>
      <c r="S177" s="51" t="str">
        <f>VLOOKUP(Table3[[#This Row],[ACTIVITY]],TAGS!$B:$P,4,FALSE)</f>
        <v>Yellow Corn Production Enhancement Project</v>
      </c>
      <c r="T177" s="51" t="str">
        <f>VLOOKUP(Table3[[#This Row],[ACTIVITY]],TAGS!$B:$P,5,FALSE)</f>
        <v>Soil Fertilization</v>
      </c>
      <c r="U177" s="51" t="str">
        <f>VLOOKUP(Table3[[#This Row],[ACTIVITY]],TAGS!$B:$P,6,FALSE)</f>
        <v>Inorganic fertilizer</v>
      </c>
      <c r="V177" s="51" t="str">
        <f>VLOOKUP(Table3[[#This Row],[ACTIVITY]],TAGS!$B:$P,7,FALSE)</f>
        <v>NO</v>
      </c>
      <c r="W177" s="51" t="str">
        <f>VLOOKUP(Table3[[#This Row],[ACTIVITY]],TAGS!$B:$P,8,FALSE)</f>
        <v>PAP</v>
      </c>
      <c r="X177" s="51" t="str">
        <f>VLOOKUP(Table3[[#This Row],[ACTIVITY]],TAGS!$B:$P,10,FALSE)</f>
        <v>PIP</v>
      </c>
      <c r="Y177" s="51" t="str">
        <f>VLOOKUP(Table3[[#This Row],[ACTIVITY]],TAGS!$B:$P,11,FALSE)</f>
        <v>PICS</v>
      </c>
      <c r="Z177" s="51" t="str">
        <f>VLOOKUP(Table3[[#This Row],[ACTIVITY]],TAGS!$B:$P,12,FALSE)</f>
        <v>Consolidation</v>
      </c>
      <c r="AA177" s="51" t="str">
        <f>VLOOKUP(Table3[[#This Row],[ACTIVITY]],TAGS!$B:$P,13,FALSE)</f>
        <v>1. Bayanihan Agri Cluster</v>
      </c>
      <c r="AB177" s="51" t="str">
        <f>VLOOKUP(Table3[[#This Row],[ACTIVITY]],TAGS!$B:$P,14,FALSE)</f>
        <v>EXPAND AND IMPROVE AVAILABLE AGRI-FISHERY AREAS FOR INCREASED PRODUCTION</v>
      </c>
      <c r="AC177" s="51" t="str">
        <f>VLOOKUP(Table3[[#This Row],[ACTIVITY]],TAGS!$B:$P,15,FALSE)</f>
        <v>Farm Inputs</v>
      </c>
      <c r="AD177" s="51" t="str">
        <f>VLOOKUP(Table3[[#This Row],[PI LEVEL 3]],'PI LEVEL'!$A:$G,7,FALSE)</f>
        <v>DA-Level Output</v>
      </c>
      <c r="AE177" s="47" t="s">
        <v>577</v>
      </c>
      <c r="AF177" s="51" t="str">
        <f>VLOOKUP(Table3[[#This Row],[ACTIVITY]],TAGS!$B:$P,3,FALSE)</f>
        <v>kilogram</v>
      </c>
      <c r="AG177" s="47" t="s">
        <v>334</v>
      </c>
      <c r="AH177" s="51" t="str">
        <f>VLOOKUP(Table3[[#This Row],[MONTH]],TAGS!$W$67:$Y$81,2,FALSE)</f>
        <v>3RD QTR</v>
      </c>
      <c r="AI177" s="51" t="str">
        <f>VLOOKUP(Table3[[#This Row],[MONTH]],TAGS!$W$67:$Y$81,3,FALSE)</f>
        <v>2ND SEMESTER</v>
      </c>
      <c r="AJ177" s="51">
        <f>VLOOKUP(Table3[[#This Row],[MONTH]],TAGS!$W$67:$Z$81,4,FALSE)</f>
        <v>2025</v>
      </c>
      <c r="AK177" s="47">
        <v>11900</v>
      </c>
      <c r="AL177" s="51" t="str">
        <f>VLOOKUP(Table3[[#This Row],[ACTIVITY]],TAGS!$B:$R,16,FALSE)</f>
        <v>YES</v>
      </c>
      <c r="AM177" s="47">
        <v>119</v>
      </c>
      <c r="AN177" s="47">
        <v>535.5</v>
      </c>
      <c r="AO177" s="57">
        <f>SUM(Table3[[#This Row],[MALE BENEFICIARIES]:[FEMALE BENEFICIARIES]])</f>
        <v>0</v>
      </c>
      <c r="AP177" s="58"/>
      <c r="AQ177" s="58"/>
      <c r="AR177" s="58"/>
      <c r="AS177" s="58">
        <v>1</v>
      </c>
      <c r="AT177" s="59">
        <v>119</v>
      </c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</row>
    <row r="178" spans="1:65">
      <c r="A178" s="51" t="str">
        <f>VLOOKUP(Table3[[#This Row],[OU]],OU!$A$15:$B$34,2,FALSE)</f>
        <v>RFOs</v>
      </c>
      <c r="B178" s="47" t="s">
        <v>5</v>
      </c>
      <c r="C178" s="47" t="s">
        <v>574</v>
      </c>
      <c r="D178" s="47"/>
      <c r="E178" s="47" t="s">
        <v>43</v>
      </c>
      <c r="F178" s="47" t="s">
        <v>682</v>
      </c>
      <c r="G17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5th District</v>
      </c>
      <c r="H17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23123000</v>
      </c>
      <c r="I178" s="52" t="str">
        <f>VLOOKUP(Table3[[#This Row],[PSGC]],DISTRICT!$D:$G,4,FALSE)</f>
        <v>4th</v>
      </c>
      <c r="J178" s="47" t="s">
        <v>578</v>
      </c>
      <c r="K178" s="51" t="str">
        <f>VLOOKUP(Table3[[#This Row],[SPECIFIC COMMODITY]],TAGS!$W$48:$X$53,2,FALSE)</f>
        <v>Corn</v>
      </c>
      <c r="L178" s="51" t="str">
        <f>VLOOKUP(Table3[[#This Row],[PREXC SUB-PROGRAM]],Table5[],2,FALSE)</f>
        <v>TECHNICAL AND SUPPORT SERVICES PROGRAM</v>
      </c>
      <c r="M178" s="51" t="str">
        <f>VLOOKUP(Table3[[#This Row],[COMMODITY PREXC SUB-PROGRAM]],TAGS!$U$54:$V$76,2,FALSE)</f>
        <v>PSS</v>
      </c>
      <c r="N178" s="47" t="s">
        <v>576</v>
      </c>
      <c r="O178" s="54" t="str">
        <f>VLOOKUP(Table3[[#This Row],[PI LEVEL 3]],'PI LEVEL'!A:C,3,FALSE)</f>
        <v>Fertilizers and other soil ammendment distributed</v>
      </c>
      <c r="P178" s="54" t="str">
        <f>VLOOKUP(Table3[[#This Row],[PI LEVEL 3]],Table53729[[Performance Indicator Level 3]:[Performance Indicator Level 1]],2,FALSE)</f>
        <v>Fertilizers distributed</v>
      </c>
      <c r="Q178" s="54" t="str">
        <f>VLOOKUP(Table3[[#This Row],[ACTIVITY]],TAGS!B:P,2,FALSE)</f>
        <v>Inorganic fertilizer distributed</v>
      </c>
      <c r="R178" s="47" t="s">
        <v>36</v>
      </c>
      <c r="S178" s="51" t="str">
        <f>VLOOKUP(Table3[[#This Row],[ACTIVITY]],TAGS!$B:$P,4,FALSE)</f>
        <v>Yellow Corn Production Enhancement Project</v>
      </c>
      <c r="T178" s="51" t="str">
        <f>VLOOKUP(Table3[[#This Row],[ACTIVITY]],TAGS!$B:$P,5,FALSE)</f>
        <v>Soil Fertilization</v>
      </c>
      <c r="U178" s="51" t="str">
        <f>VLOOKUP(Table3[[#This Row],[ACTIVITY]],TAGS!$B:$P,6,FALSE)</f>
        <v>Inorganic fertilizer</v>
      </c>
      <c r="V178" s="51" t="str">
        <f>VLOOKUP(Table3[[#This Row],[ACTIVITY]],TAGS!$B:$P,7,FALSE)</f>
        <v>NO</v>
      </c>
      <c r="W178" s="51" t="str">
        <f>VLOOKUP(Table3[[#This Row],[ACTIVITY]],TAGS!$B:$P,8,FALSE)</f>
        <v>PAP</v>
      </c>
      <c r="X178" s="51" t="str">
        <f>VLOOKUP(Table3[[#This Row],[ACTIVITY]],TAGS!$B:$P,10,FALSE)</f>
        <v>PIP</v>
      </c>
      <c r="Y178" s="51" t="str">
        <f>VLOOKUP(Table3[[#This Row],[ACTIVITY]],TAGS!$B:$P,11,FALSE)</f>
        <v>PICS</v>
      </c>
      <c r="Z178" s="51" t="str">
        <f>VLOOKUP(Table3[[#This Row],[ACTIVITY]],TAGS!$B:$P,12,FALSE)</f>
        <v>Consolidation</v>
      </c>
      <c r="AA178" s="51" t="str">
        <f>VLOOKUP(Table3[[#This Row],[ACTIVITY]],TAGS!$B:$P,13,FALSE)</f>
        <v>1. Bayanihan Agri Cluster</v>
      </c>
      <c r="AB178" s="51" t="str">
        <f>VLOOKUP(Table3[[#This Row],[ACTIVITY]],TAGS!$B:$P,14,FALSE)</f>
        <v>EXPAND AND IMPROVE AVAILABLE AGRI-FISHERY AREAS FOR INCREASED PRODUCTION</v>
      </c>
      <c r="AC178" s="51" t="str">
        <f>VLOOKUP(Table3[[#This Row],[ACTIVITY]],TAGS!$B:$P,15,FALSE)</f>
        <v>Farm Inputs</v>
      </c>
      <c r="AD178" s="51" t="str">
        <f>VLOOKUP(Table3[[#This Row],[PI LEVEL 3]],'PI LEVEL'!$A:$G,7,FALSE)</f>
        <v>DA-Level Output</v>
      </c>
      <c r="AE178" s="47" t="s">
        <v>577</v>
      </c>
      <c r="AF178" s="51" t="str">
        <f>VLOOKUP(Table3[[#This Row],[ACTIVITY]],TAGS!$B:$P,3,FALSE)</f>
        <v>kilogram</v>
      </c>
      <c r="AG178" s="47" t="s">
        <v>334</v>
      </c>
      <c r="AH178" s="51" t="str">
        <f>VLOOKUP(Table3[[#This Row],[MONTH]],TAGS!$W$67:$Y$81,2,FALSE)</f>
        <v>3RD QTR</v>
      </c>
      <c r="AI178" s="51" t="str">
        <f>VLOOKUP(Table3[[#This Row],[MONTH]],TAGS!$W$67:$Y$81,3,FALSE)</f>
        <v>2ND SEMESTER</v>
      </c>
      <c r="AJ178" s="51">
        <f>VLOOKUP(Table3[[#This Row],[MONTH]],TAGS!$W$67:$Z$81,4,FALSE)</f>
        <v>2025</v>
      </c>
      <c r="AK178" s="47">
        <v>41100</v>
      </c>
      <c r="AL178" s="51" t="str">
        <f>VLOOKUP(Table3[[#This Row],[ACTIVITY]],TAGS!$B:$R,16,FALSE)</f>
        <v>YES</v>
      </c>
      <c r="AM178" s="47">
        <v>411</v>
      </c>
      <c r="AN178" s="47">
        <v>1849.5</v>
      </c>
      <c r="AO178" s="57">
        <f>SUM(Table3[[#This Row],[MALE BENEFICIARIES]:[FEMALE BENEFICIARIES]])</f>
        <v>0</v>
      </c>
      <c r="AP178" s="58"/>
      <c r="AQ178" s="58"/>
      <c r="AR178" s="58"/>
      <c r="AS178" s="58">
        <v>1</v>
      </c>
      <c r="AT178" s="59">
        <v>411</v>
      </c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</row>
    <row r="179" spans="1:65">
      <c r="A179" s="51" t="str">
        <f>VLOOKUP(Table3[[#This Row],[OU]],OU!$A$15:$B$34,2,FALSE)</f>
        <v>RFOs</v>
      </c>
      <c r="B179" s="47" t="s">
        <v>5</v>
      </c>
      <c r="C179" s="47" t="s">
        <v>574</v>
      </c>
      <c r="D179" s="47"/>
      <c r="E179" s="47" t="s">
        <v>43</v>
      </c>
      <c r="F179" s="47" t="s">
        <v>683</v>
      </c>
      <c r="G17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5th District</v>
      </c>
      <c r="H17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23126000</v>
      </c>
      <c r="I179" s="52" t="str">
        <f>VLOOKUP(Table3[[#This Row],[PSGC]],DISTRICT!$D:$G,4,FALSE)</f>
        <v>1st</v>
      </c>
      <c r="J179" s="47" t="s">
        <v>578</v>
      </c>
      <c r="K179" s="51" t="str">
        <f>VLOOKUP(Table3[[#This Row],[SPECIFIC COMMODITY]],TAGS!$W$48:$X$53,2,FALSE)</f>
        <v>Corn</v>
      </c>
      <c r="L179" s="51" t="str">
        <f>VLOOKUP(Table3[[#This Row],[PREXC SUB-PROGRAM]],Table5[],2,FALSE)</f>
        <v>TECHNICAL AND SUPPORT SERVICES PROGRAM</v>
      </c>
      <c r="M179" s="51" t="str">
        <f>VLOOKUP(Table3[[#This Row],[COMMODITY PREXC SUB-PROGRAM]],TAGS!$U$54:$V$76,2,FALSE)</f>
        <v>PSS</v>
      </c>
      <c r="N179" s="47" t="s">
        <v>576</v>
      </c>
      <c r="O179" s="54" t="str">
        <f>VLOOKUP(Table3[[#This Row],[PI LEVEL 3]],'PI LEVEL'!A:C,3,FALSE)</f>
        <v>Fertilizers and other soil ammendment distributed</v>
      </c>
      <c r="P179" s="54" t="str">
        <f>VLOOKUP(Table3[[#This Row],[PI LEVEL 3]],Table53729[[Performance Indicator Level 3]:[Performance Indicator Level 1]],2,FALSE)</f>
        <v>Fertilizers distributed</v>
      </c>
      <c r="Q179" s="54" t="str">
        <f>VLOOKUP(Table3[[#This Row],[ACTIVITY]],TAGS!B:P,2,FALSE)</f>
        <v>Inorganic fertilizer distributed</v>
      </c>
      <c r="R179" s="47" t="s">
        <v>36</v>
      </c>
      <c r="S179" s="51" t="str">
        <f>VLOOKUP(Table3[[#This Row],[ACTIVITY]],TAGS!$B:$P,4,FALSE)</f>
        <v>Yellow Corn Production Enhancement Project</v>
      </c>
      <c r="T179" s="51" t="str">
        <f>VLOOKUP(Table3[[#This Row],[ACTIVITY]],TAGS!$B:$P,5,FALSE)</f>
        <v>Soil Fertilization</v>
      </c>
      <c r="U179" s="51" t="str">
        <f>VLOOKUP(Table3[[#This Row],[ACTIVITY]],TAGS!$B:$P,6,FALSE)</f>
        <v>Inorganic fertilizer</v>
      </c>
      <c r="V179" s="51" t="str">
        <f>VLOOKUP(Table3[[#This Row],[ACTIVITY]],TAGS!$B:$P,7,FALSE)</f>
        <v>NO</v>
      </c>
      <c r="W179" s="51" t="str">
        <f>VLOOKUP(Table3[[#This Row],[ACTIVITY]],TAGS!$B:$P,8,FALSE)</f>
        <v>PAP</v>
      </c>
      <c r="X179" s="51" t="str">
        <f>VLOOKUP(Table3[[#This Row],[ACTIVITY]],TAGS!$B:$P,10,FALSE)</f>
        <v>PIP</v>
      </c>
      <c r="Y179" s="51" t="str">
        <f>VLOOKUP(Table3[[#This Row],[ACTIVITY]],TAGS!$B:$P,11,FALSE)</f>
        <v>PICS</v>
      </c>
      <c r="Z179" s="51" t="str">
        <f>VLOOKUP(Table3[[#This Row],[ACTIVITY]],TAGS!$B:$P,12,FALSE)</f>
        <v>Consolidation</v>
      </c>
      <c r="AA179" s="51" t="str">
        <f>VLOOKUP(Table3[[#This Row],[ACTIVITY]],TAGS!$B:$P,13,FALSE)</f>
        <v>1. Bayanihan Agri Cluster</v>
      </c>
      <c r="AB179" s="51" t="str">
        <f>VLOOKUP(Table3[[#This Row],[ACTIVITY]],TAGS!$B:$P,14,FALSE)</f>
        <v>EXPAND AND IMPROVE AVAILABLE AGRI-FISHERY AREAS FOR INCREASED PRODUCTION</v>
      </c>
      <c r="AC179" s="51" t="str">
        <f>VLOOKUP(Table3[[#This Row],[ACTIVITY]],TAGS!$B:$P,15,FALSE)</f>
        <v>Farm Inputs</v>
      </c>
      <c r="AD179" s="51" t="str">
        <f>VLOOKUP(Table3[[#This Row],[PI LEVEL 3]],'PI LEVEL'!$A:$G,7,FALSE)</f>
        <v>DA-Level Output</v>
      </c>
      <c r="AE179" s="47" t="s">
        <v>577</v>
      </c>
      <c r="AF179" s="51" t="str">
        <f>VLOOKUP(Table3[[#This Row],[ACTIVITY]],TAGS!$B:$P,3,FALSE)</f>
        <v>kilogram</v>
      </c>
      <c r="AG179" s="47" t="s">
        <v>334</v>
      </c>
      <c r="AH179" s="51" t="str">
        <f>VLOOKUP(Table3[[#This Row],[MONTH]],TAGS!$W$67:$Y$81,2,FALSE)</f>
        <v>3RD QTR</v>
      </c>
      <c r="AI179" s="51" t="str">
        <f>VLOOKUP(Table3[[#This Row],[MONTH]],TAGS!$W$67:$Y$81,3,FALSE)</f>
        <v>2ND SEMESTER</v>
      </c>
      <c r="AJ179" s="51">
        <f>VLOOKUP(Table3[[#This Row],[MONTH]],TAGS!$W$67:$Z$81,4,FALSE)</f>
        <v>2025</v>
      </c>
      <c r="AK179" s="47">
        <v>25600</v>
      </c>
      <c r="AL179" s="51" t="str">
        <f>VLOOKUP(Table3[[#This Row],[ACTIVITY]],TAGS!$B:$R,16,FALSE)</f>
        <v>YES</v>
      </c>
      <c r="AM179" s="47">
        <v>256</v>
      </c>
      <c r="AN179" s="47">
        <v>1152</v>
      </c>
      <c r="AO179" s="57">
        <f>SUM(Table3[[#This Row],[MALE BENEFICIARIES]:[FEMALE BENEFICIARIES]])</f>
        <v>0</v>
      </c>
      <c r="AP179" s="58"/>
      <c r="AQ179" s="58"/>
      <c r="AR179" s="58"/>
      <c r="AS179" s="58">
        <v>1</v>
      </c>
      <c r="AT179" s="59">
        <v>256</v>
      </c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</row>
    <row r="180" spans="1:65">
      <c r="A180" s="51" t="str">
        <f>VLOOKUP(Table3[[#This Row],[OU]],OU!$A$15:$B$34,2,FALSE)</f>
        <v>RFOs</v>
      </c>
      <c r="B180" s="47" t="s">
        <v>5</v>
      </c>
      <c r="C180" s="47" t="s">
        <v>574</v>
      </c>
      <c r="D180" s="47"/>
      <c r="E180" s="47" t="s">
        <v>43</v>
      </c>
      <c r="F180" s="47" t="s">
        <v>684</v>
      </c>
      <c r="G18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5th District</v>
      </c>
      <c r="H18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23130000</v>
      </c>
      <c r="I180" s="52" t="str">
        <f>VLOOKUP(Table3[[#This Row],[PSGC]],DISTRICT!$D:$G,4,FALSE)</f>
        <v>4th</v>
      </c>
      <c r="J180" s="47" t="s">
        <v>578</v>
      </c>
      <c r="K180" s="51" t="str">
        <f>VLOOKUP(Table3[[#This Row],[SPECIFIC COMMODITY]],TAGS!$W$48:$X$53,2,FALSE)</f>
        <v>Corn</v>
      </c>
      <c r="L180" s="51" t="str">
        <f>VLOOKUP(Table3[[#This Row],[PREXC SUB-PROGRAM]],Table5[],2,FALSE)</f>
        <v>TECHNICAL AND SUPPORT SERVICES PROGRAM</v>
      </c>
      <c r="M180" s="51" t="str">
        <f>VLOOKUP(Table3[[#This Row],[COMMODITY PREXC SUB-PROGRAM]],TAGS!$U$54:$V$76,2,FALSE)</f>
        <v>PSS</v>
      </c>
      <c r="N180" s="47" t="s">
        <v>576</v>
      </c>
      <c r="O180" s="54" t="str">
        <f>VLOOKUP(Table3[[#This Row],[PI LEVEL 3]],'PI LEVEL'!A:C,3,FALSE)</f>
        <v>Fertilizers and other soil ammendment distributed</v>
      </c>
      <c r="P180" s="54" t="str">
        <f>VLOOKUP(Table3[[#This Row],[PI LEVEL 3]],Table53729[[Performance Indicator Level 3]:[Performance Indicator Level 1]],2,FALSE)</f>
        <v>Fertilizers distributed</v>
      </c>
      <c r="Q180" s="54" t="str">
        <f>VLOOKUP(Table3[[#This Row],[ACTIVITY]],TAGS!B:P,2,FALSE)</f>
        <v>Inorganic fertilizer distributed</v>
      </c>
      <c r="R180" s="47" t="s">
        <v>36</v>
      </c>
      <c r="S180" s="51" t="str">
        <f>VLOOKUP(Table3[[#This Row],[ACTIVITY]],TAGS!$B:$P,4,FALSE)</f>
        <v>Yellow Corn Production Enhancement Project</v>
      </c>
      <c r="T180" s="51" t="str">
        <f>VLOOKUP(Table3[[#This Row],[ACTIVITY]],TAGS!$B:$P,5,FALSE)</f>
        <v>Soil Fertilization</v>
      </c>
      <c r="U180" s="51" t="str">
        <f>VLOOKUP(Table3[[#This Row],[ACTIVITY]],TAGS!$B:$P,6,FALSE)</f>
        <v>Inorganic fertilizer</v>
      </c>
      <c r="V180" s="51" t="str">
        <f>VLOOKUP(Table3[[#This Row],[ACTIVITY]],TAGS!$B:$P,7,FALSE)</f>
        <v>NO</v>
      </c>
      <c r="W180" s="51" t="str">
        <f>VLOOKUP(Table3[[#This Row],[ACTIVITY]],TAGS!$B:$P,8,FALSE)</f>
        <v>PAP</v>
      </c>
      <c r="X180" s="51" t="str">
        <f>VLOOKUP(Table3[[#This Row],[ACTIVITY]],TAGS!$B:$P,10,FALSE)</f>
        <v>PIP</v>
      </c>
      <c r="Y180" s="51" t="str">
        <f>VLOOKUP(Table3[[#This Row],[ACTIVITY]],TAGS!$B:$P,11,FALSE)</f>
        <v>PICS</v>
      </c>
      <c r="Z180" s="51" t="str">
        <f>VLOOKUP(Table3[[#This Row],[ACTIVITY]],TAGS!$B:$P,12,FALSE)</f>
        <v>Consolidation</v>
      </c>
      <c r="AA180" s="51" t="str">
        <f>VLOOKUP(Table3[[#This Row],[ACTIVITY]],TAGS!$B:$P,13,FALSE)</f>
        <v>1. Bayanihan Agri Cluster</v>
      </c>
      <c r="AB180" s="51" t="str">
        <f>VLOOKUP(Table3[[#This Row],[ACTIVITY]],TAGS!$B:$P,14,FALSE)</f>
        <v>EXPAND AND IMPROVE AVAILABLE AGRI-FISHERY AREAS FOR INCREASED PRODUCTION</v>
      </c>
      <c r="AC180" s="51" t="str">
        <f>VLOOKUP(Table3[[#This Row],[ACTIVITY]],TAGS!$B:$P,15,FALSE)</f>
        <v>Farm Inputs</v>
      </c>
      <c r="AD180" s="51" t="str">
        <f>VLOOKUP(Table3[[#This Row],[PI LEVEL 3]],'PI LEVEL'!$A:$G,7,FALSE)</f>
        <v>DA-Level Output</v>
      </c>
      <c r="AE180" s="47" t="s">
        <v>577</v>
      </c>
      <c r="AF180" s="51" t="str">
        <f>VLOOKUP(Table3[[#This Row],[ACTIVITY]],TAGS!$B:$P,3,FALSE)</f>
        <v>kilogram</v>
      </c>
      <c r="AG180" s="47" t="s">
        <v>334</v>
      </c>
      <c r="AH180" s="51" t="str">
        <f>VLOOKUP(Table3[[#This Row],[MONTH]],TAGS!$W$67:$Y$81,2,FALSE)</f>
        <v>3RD QTR</v>
      </c>
      <c r="AI180" s="51" t="str">
        <f>VLOOKUP(Table3[[#This Row],[MONTH]],TAGS!$W$67:$Y$81,3,FALSE)</f>
        <v>2ND SEMESTER</v>
      </c>
      <c r="AJ180" s="51">
        <f>VLOOKUP(Table3[[#This Row],[MONTH]],TAGS!$W$67:$Z$81,4,FALSE)</f>
        <v>2025</v>
      </c>
      <c r="AK180" s="47">
        <v>3400</v>
      </c>
      <c r="AL180" s="51" t="str">
        <f>VLOOKUP(Table3[[#This Row],[ACTIVITY]],TAGS!$B:$R,16,FALSE)</f>
        <v>YES</v>
      </c>
      <c r="AM180" s="47">
        <v>34</v>
      </c>
      <c r="AN180" s="47">
        <v>153</v>
      </c>
      <c r="AO180" s="57">
        <f>SUM(Table3[[#This Row],[MALE BENEFICIARIES]:[FEMALE BENEFICIARIES]])</f>
        <v>0</v>
      </c>
      <c r="AP180" s="58"/>
      <c r="AQ180" s="58"/>
      <c r="AR180" s="58"/>
      <c r="AS180" s="58">
        <v>1</v>
      </c>
      <c r="AT180" s="59">
        <v>34</v>
      </c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</row>
    <row r="181" spans="1:65">
      <c r="A181" s="51" t="str">
        <f>VLOOKUP(Table3[[#This Row],[OU]],OU!$A$15:$B$34,2,FALSE)</f>
        <v>RFOs</v>
      </c>
      <c r="B181" s="47" t="s">
        <v>5</v>
      </c>
      <c r="C181" s="47" t="s">
        <v>574</v>
      </c>
      <c r="D181" s="47"/>
      <c r="E181" s="47" t="s">
        <v>43</v>
      </c>
      <c r="F181" s="47" t="s">
        <v>643</v>
      </c>
      <c r="G18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18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23108000</v>
      </c>
      <c r="I181" s="52" t="str">
        <f>VLOOKUP(Table3[[#This Row],[PSGC]],DISTRICT!$D:$G,4,FALSE)</f>
        <v>3rd</v>
      </c>
      <c r="J181" s="47" t="s">
        <v>578</v>
      </c>
      <c r="K181" s="51" t="str">
        <f>VLOOKUP(Table3[[#This Row],[SPECIFIC COMMODITY]],TAGS!$W$48:$X$53,2,FALSE)</f>
        <v>Corn</v>
      </c>
      <c r="L181" s="51" t="str">
        <f>VLOOKUP(Table3[[#This Row],[PREXC SUB-PROGRAM]],Table5[],2,FALSE)</f>
        <v>TECHNICAL AND SUPPORT SERVICES PROGRAM</v>
      </c>
      <c r="M181" s="51" t="str">
        <f>VLOOKUP(Table3[[#This Row],[COMMODITY PREXC SUB-PROGRAM]],TAGS!$U$54:$V$76,2,FALSE)</f>
        <v>PSS</v>
      </c>
      <c r="N181" s="47" t="s">
        <v>576</v>
      </c>
      <c r="O181" s="54" t="str">
        <f>VLOOKUP(Table3[[#This Row],[PI LEVEL 3]],'PI LEVEL'!A:C,3,FALSE)</f>
        <v>Fertilizers and other soil ammendment distributed</v>
      </c>
      <c r="P181" s="54" t="str">
        <f>VLOOKUP(Table3[[#This Row],[PI LEVEL 3]],Table53729[[Performance Indicator Level 3]:[Performance Indicator Level 1]],2,FALSE)</f>
        <v>Fertilizers distributed</v>
      </c>
      <c r="Q181" s="54" t="str">
        <f>VLOOKUP(Table3[[#This Row],[ACTIVITY]],TAGS!B:P,2,FALSE)</f>
        <v>Inorganic fertilizer distributed</v>
      </c>
      <c r="R181" s="47" t="s">
        <v>36</v>
      </c>
      <c r="S181" s="51" t="str">
        <f>VLOOKUP(Table3[[#This Row],[ACTIVITY]],TAGS!$B:$P,4,FALSE)</f>
        <v>Yellow Corn Production Enhancement Project</v>
      </c>
      <c r="T181" s="51" t="str">
        <f>VLOOKUP(Table3[[#This Row],[ACTIVITY]],TAGS!$B:$P,5,FALSE)</f>
        <v>Soil Fertilization</v>
      </c>
      <c r="U181" s="51" t="str">
        <f>VLOOKUP(Table3[[#This Row],[ACTIVITY]],TAGS!$B:$P,6,FALSE)</f>
        <v>Inorganic fertilizer</v>
      </c>
      <c r="V181" s="51" t="str">
        <f>VLOOKUP(Table3[[#This Row],[ACTIVITY]],TAGS!$B:$P,7,FALSE)</f>
        <v>NO</v>
      </c>
      <c r="W181" s="51" t="str">
        <f>VLOOKUP(Table3[[#This Row],[ACTIVITY]],TAGS!$B:$P,8,FALSE)</f>
        <v>PAP</v>
      </c>
      <c r="X181" s="51" t="str">
        <f>VLOOKUP(Table3[[#This Row],[ACTIVITY]],TAGS!$B:$P,10,FALSE)</f>
        <v>PIP</v>
      </c>
      <c r="Y181" s="51" t="str">
        <f>VLOOKUP(Table3[[#This Row],[ACTIVITY]],TAGS!$B:$P,11,FALSE)</f>
        <v>PICS</v>
      </c>
      <c r="Z181" s="51" t="str">
        <f>VLOOKUP(Table3[[#This Row],[ACTIVITY]],TAGS!$B:$P,12,FALSE)</f>
        <v>Consolidation</v>
      </c>
      <c r="AA181" s="51" t="str">
        <f>VLOOKUP(Table3[[#This Row],[ACTIVITY]],TAGS!$B:$P,13,FALSE)</f>
        <v>1. Bayanihan Agri Cluster</v>
      </c>
      <c r="AB181" s="51" t="str">
        <f>VLOOKUP(Table3[[#This Row],[ACTIVITY]],TAGS!$B:$P,14,FALSE)</f>
        <v>EXPAND AND IMPROVE AVAILABLE AGRI-FISHERY AREAS FOR INCREASED PRODUCTION</v>
      </c>
      <c r="AC181" s="51" t="str">
        <f>VLOOKUP(Table3[[#This Row],[ACTIVITY]],TAGS!$B:$P,15,FALSE)</f>
        <v>Farm Inputs</v>
      </c>
      <c r="AD181" s="51" t="str">
        <f>VLOOKUP(Table3[[#This Row],[PI LEVEL 3]],'PI LEVEL'!$A:$G,7,FALSE)</f>
        <v>DA-Level Output</v>
      </c>
      <c r="AE181" s="47" t="s">
        <v>577</v>
      </c>
      <c r="AF181" s="51" t="str">
        <f>VLOOKUP(Table3[[#This Row],[ACTIVITY]],TAGS!$B:$P,3,FALSE)</f>
        <v>kilogram</v>
      </c>
      <c r="AG181" s="47" t="s">
        <v>334</v>
      </c>
      <c r="AH181" s="51" t="str">
        <f>VLOOKUP(Table3[[#This Row],[MONTH]],TAGS!$W$67:$Y$81,2,FALSE)</f>
        <v>3RD QTR</v>
      </c>
      <c r="AI181" s="51" t="str">
        <f>VLOOKUP(Table3[[#This Row],[MONTH]],TAGS!$W$67:$Y$81,3,FALSE)</f>
        <v>2ND SEMESTER</v>
      </c>
      <c r="AJ181" s="51">
        <f>VLOOKUP(Table3[[#This Row],[MONTH]],TAGS!$W$67:$Z$81,4,FALSE)</f>
        <v>2025</v>
      </c>
      <c r="AK181" s="47">
        <v>146400</v>
      </c>
      <c r="AL181" s="51" t="str">
        <f>VLOOKUP(Table3[[#This Row],[ACTIVITY]],TAGS!$B:$R,16,FALSE)</f>
        <v>YES</v>
      </c>
      <c r="AM181" s="47">
        <v>1464</v>
      </c>
      <c r="AN181" s="47">
        <v>6588</v>
      </c>
      <c r="AO181" s="57">
        <f>SUM(Table3[[#This Row],[MALE BENEFICIARIES]:[FEMALE BENEFICIARIES]])</f>
        <v>0</v>
      </c>
      <c r="AP181" s="58"/>
      <c r="AQ181" s="58"/>
      <c r="AR181" s="58"/>
      <c r="AS181" s="58">
        <v>1</v>
      </c>
      <c r="AT181" s="59">
        <v>1464</v>
      </c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</row>
    <row r="182" spans="1:65">
      <c r="A182" s="51" t="str">
        <f>VLOOKUP(Table3[[#This Row],[OU]],OU!$A$15:$B$34,2,FALSE)</f>
        <v>RFOs</v>
      </c>
      <c r="B182" s="47" t="s">
        <v>5</v>
      </c>
      <c r="C182" s="47" t="s">
        <v>574</v>
      </c>
      <c r="D182" s="47"/>
      <c r="E182" s="47" t="s">
        <v>43</v>
      </c>
      <c r="F182" s="47" t="s">
        <v>685</v>
      </c>
      <c r="G18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18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23112000</v>
      </c>
      <c r="I182" s="52" t="str">
        <f>VLOOKUP(Table3[[#This Row],[PSGC]],DISTRICT!$D:$G,4,FALSE)</f>
        <v>1st</v>
      </c>
      <c r="J182" s="47" t="s">
        <v>578</v>
      </c>
      <c r="K182" s="51" t="str">
        <f>VLOOKUP(Table3[[#This Row],[SPECIFIC COMMODITY]],TAGS!$W$48:$X$53,2,FALSE)</f>
        <v>Corn</v>
      </c>
      <c r="L182" s="51" t="str">
        <f>VLOOKUP(Table3[[#This Row],[PREXC SUB-PROGRAM]],Table5[],2,FALSE)</f>
        <v>TECHNICAL AND SUPPORT SERVICES PROGRAM</v>
      </c>
      <c r="M182" s="51" t="str">
        <f>VLOOKUP(Table3[[#This Row],[COMMODITY PREXC SUB-PROGRAM]],TAGS!$U$54:$V$76,2,FALSE)</f>
        <v>PSS</v>
      </c>
      <c r="N182" s="47" t="s">
        <v>576</v>
      </c>
      <c r="O182" s="54" t="str">
        <f>VLOOKUP(Table3[[#This Row],[PI LEVEL 3]],'PI LEVEL'!A:C,3,FALSE)</f>
        <v>Fertilizers and other soil ammendment distributed</v>
      </c>
      <c r="P182" s="54" t="str">
        <f>VLOOKUP(Table3[[#This Row],[PI LEVEL 3]],Table53729[[Performance Indicator Level 3]:[Performance Indicator Level 1]],2,FALSE)</f>
        <v>Fertilizers distributed</v>
      </c>
      <c r="Q182" s="54" t="str">
        <f>VLOOKUP(Table3[[#This Row],[ACTIVITY]],TAGS!B:P,2,FALSE)</f>
        <v>Inorganic fertilizer distributed</v>
      </c>
      <c r="R182" s="47" t="s">
        <v>36</v>
      </c>
      <c r="S182" s="51" t="str">
        <f>VLOOKUP(Table3[[#This Row],[ACTIVITY]],TAGS!$B:$P,4,FALSE)</f>
        <v>Yellow Corn Production Enhancement Project</v>
      </c>
      <c r="T182" s="51" t="str">
        <f>VLOOKUP(Table3[[#This Row],[ACTIVITY]],TAGS!$B:$P,5,FALSE)</f>
        <v>Soil Fertilization</v>
      </c>
      <c r="U182" s="51" t="str">
        <f>VLOOKUP(Table3[[#This Row],[ACTIVITY]],TAGS!$B:$P,6,FALSE)</f>
        <v>Inorganic fertilizer</v>
      </c>
      <c r="V182" s="51" t="str">
        <f>VLOOKUP(Table3[[#This Row],[ACTIVITY]],TAGS!$B:$P,7,FALSE)</f>
        <v>NO</v>
      </c>
      <c r="W182" s="51" t="str">
        <f>VLOOKUP(Table3[[#This Row],[ACTIVITY]],TAGS!$B:$P,8,FALSE)</f>
        <v>PAP</v>
      </c>
      <c r="X182" s="51" t="str">
        <f>VLOOKUP(Table3[[#This Row],[ACTIVITY]],TAGS!$B:$P,10,FALSE)</f>
        <v>PIP</v>
      </c>
      <c r="Y182" s="51" t="str">
        <f>VLOOKUP(Table3[[#This Row],[ACTIVITY]],TAGS!$B:$P,11,FALSE)</f>
        <v>PICS</v>
      </c>
      <c r="Z182" s="51" t="str">
        <f>VLOOKUP(Table3[[#This Row],[ACTIVITY]],TAGS!$B:$P,12,FALSE)</f>
        <v>Consolidation</v>
      </c>
      <c r="AA182" s="51" t="str">
        <f>VLOOKUP(Table3[[#This Row],[ACTIVITY]],TAGS!$B:$P,13,FALSE)</f>
        <v>1. Bayanihan Agri Cluster</v>
      </c>
      <c r="AB182" s="51" t="str">
        <f>VLOOKUP(Table3[[#This Row],[ACTIVITY]],TAGS!$B:$P,14,FALSE)</f>
        <v>EXPAND AND IMPROVE AVAILABLE AGRI-FISHERY AREAS FOR INCREASED PRODUCTION</v>
      </c>
      <c r="AC182" s="51" t="str">
        <f>VLOOKUP(Table3[[#This Row],[ACTIVITY]],TAGS!$B:$P,15,FALSE)</f>
        <v>Farm Inputs</v>
      </c>
      <c r="AD182" s="51" t="str">
        <f>VLOOKUP(Table3[[#This Row],[PI LEVEL 3]],'PI LEVEL'!$A:$G,7,FALSE)</f>
        <v>DA-Level Output</v>
      </c>
      <c r="AE182" s="47" t="s">
        <v>577</v>
      </c>
      <c r="AF182" s="51" t="str">
        <f>VLOOKUP(Table3[[#This Row],[ACTIVITY]],TAGS!$B:$P,3,FALSE)</f>
        <v>kilogram</v>
      </c>
      <c r="AG182" s="47" t="s">
        <v>334</v>
      </c>
      <c r="AH182" s="51" t="str">
        <f>VLOOKUP(Table3[[#This Row],[MONTH]],TAGS!$W$67:$Y$81,2,FALSE)</f>
        <v>3RD QTR</v>
      </c>
      <c r="AI182" s="51" t="str">
        <f>VLOOKUP(Table3[[#This Row],[MONTH]],TAGS!$W$67:$Y$81,3,FALSE)</f>
        <v>2ND SEMESTER</v>
      </c>
      <c r="AJ182" s="51">
        <f>VLOOKUP(Table3[[#This Row],[MONTH]],TAGS!$W$67:$Z$81,4,FALSE)</f>
        <v>2025</v>
      </c>
      <c r="AK182" s="47">
        <v>129200</v>
      </c>
      <c r="AL182" s="51" t="str">
        <f>VLOOKUP(Table3[[#This Row],[ACTIVITY]],TAGS!$B:$R,16,FALSE)</f>
        <v>YES</v>
      </c>
      <c r="AM182" s="47">
        <v>1292</v>
      </c>
      <c r="AN182" s="47">
        <v>5814</v>
      </c>
      <c r="AO182" s="57">
        <f>SUM(Table3[[#This Row],[MALE BENEFICIARIES]:[FEMALE BENEFICIARIES]])</f>
        <v>0</v>
      </c>
      <c r="AP182" s="58"/>
      <c r="AQ182" s="58"/>
      <c r="AR182" s="58"/>
      <c r="AS182" s="58">
        <v>1</v>
      </c>
      <c r="AT182" s="59">
        <v>1292</v>
      </c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</row>
    <row r="183" spans="1:65">
      <c r="A183" s="51" t="str">
        <f>VLOOKUP(Table3[[#This Row],[OU]],OU!$A$15:$B$34,2,FALSE)</f>
        <v>RFOs</v>
      </c>
      <c r="B183" s="47" t="s">
        <v>5</v>
      </c>
      <c r="C183" s="47" t="s">
        <v>574</v>
      </c>
      <c r="D183" s="47"/>
      <c r="E183" s="47" t="s">
        <v>43</v>
      </c>
      <c r="F183" s="47" t="s">
        <v>631</v>
      </c>
      <c r="G18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18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23128000</v>
      </c>
      <c r="I183" s="52" t="str">
        <f>VLOOKUP(Table3[[#This Row],[PSGC]],DISTRICT!$D:$G,4,FALSE)</f>
        <v>4th</v>
      </c>
      <c r="J183" s="47" t="s">
        <v>578</v>
      </c>
      <c r="K183" s="51" t="str">
        <f>VLOOKUP(Table3[[#This Row],[SPECIFIC COMMODITY]],TAGS!$W$48:$X$53,2,FALSE)</f>
        <v>Corn</v>
      </c>
      <c r="L183" s="51" t="str">
        <f>VLOOKUP(Table3[[#This Row],[PREXC SUB-PROGRAM]],Table5[],2,FALSE)</f>
        <v>TECHNICAL AND SUPPORT SERVICES PROGRAM</v>
      </c>
      <c r="M183" s="51" t="str">
        <f>VLOOKUP(Table3[[#This Row],[COMMODITY PREXC SUB-PROGRAM]],TAGS!$U$54:$V$76,2,FALSE)</f>
        <v>PSS</v>
      </c>
      <c r="N183" s="47" t="s">
        <v>576</v>
      </c>
      <c r="O183" s="54" t="str">
        <f>VLOOKUP(Table3[[#This Row],[PI LEVEL 3]],'PI LEVEL'!A:C,3,FALSE)</f>
        <v>Fertilizers and other soil ammendment distributed</v>
      </c>
      <c r="P183" s="54" t="str">
        <f>VLOOKUP(Table3[[#This Row],[PI LEVEL 3]],Table53729[[Performance Indicator Level 3]:[Performance Indicator Level 1]],2,FALSE)</f>
        <v>Fertilizers distributed</v>
      </c>
      <c r="Q183" s="54" t="str">
        <f>VLOOKUP(Table3[[#This Row],[ACTIVITY]],TAGS!B:P,2,FALSE)</f>
        <v>Inorganic fertilizer distributed</v>
      </c>
      <c r="R183" s="47" t="s">
        <v>36</v>
      </c>
      <c r="S183" s="51" t="str">
        <f>VLOOKUP(Table3[[#This Row],[ACTIVITY]],TAGS!$B:$P,4,FALSE)</f>
        <v>Yellow Corn Production Enhancement Project</v>
      </c>
      <c r="T183" s="51" t="str">
        <f>VLOOKUP(Table3[[#This Row],[ACTIVITY]],TAGS!$B:$P,5,FALSE)</f>
        <v>Soil Fertilization</v>
      </c>
      <c r="U183" s="51" t="str">
        <f>VLOOKUP(Table3[[#This Row],[ACTIVITY]],TAGS!$B:$P,6,FALSE)</f>
        <v>Inorganic fertilizer</v>
      </c>
      <c r="V183" s="51" t="str">
        <f>VLOOKUP(Table3[[#This Row],[ACTIVITY]],TAGS!$B:$P,7,FALSE)</f>
        <v>NO</v>
      </c>
      <c r="W183" s="51" t="str">
        <f>VLOOKUP(Table3[[#This Row],[ACTIVITY]],TAGS!$B:$P,8,FALSE)</f>
        <v>PAP</v>
      </c>
      <c r="X183" s="51" t="str">
        <f>VLOOKUP(Table3[[#This Row],[ACTIVITY]],TAGS!$B:$P,10,FALSE)</f>
        <v>PIP</v>
      </c>
      <c r="Y183" s="51" t="str">
        <f>VLOOKUP(Table3[[#This Row],[ACTIVITY]],TAGS!$B:$P,11,FALSE)</f>
        <v>PICS</v>
      </c>
      <c r="Z183" s="51" t="str">
        <f>VLOOKUP(Table3[[#This Row],[ACTIVITY]],TAGS!$B:$P,12,FALSE)</f>
        <v>Consolidation</v>
      </c>
      <c r="AA183" s="51" t="str">
        <f>VLOOKUP(Table3[[#This Row],[ACTIVITY]],TAGS!$B:$P,13,FALSE)</f>
        <v>1. Bayanihan Agri Cluster</v>
      </c>
      <c r="AB183" s="51" t="str">
        <f>VLOOKUP(Table3[[#This Row],[ACTIVITY]],TAGS!$B:$P,14,FALSE)</f>
        <v>EXPAND AND IMPROVE AVAILABLE AGRI-FISHERY AREAS FOR INCREASED PRODUCTION</v>
      </c>
      <c r="AC183" s="51" t="str">
        <f>VLOOKUP(Table3[[#This Row],[ACTIVITY]],TAGS!$B:$P,15,FALSE)</f>
        <v>Farm Inputs</v>
      </c>
      <c r="AD183" s="51" t="str">
        <f>VLOOKUP(Table3[[#This Row],[PI LEVEL 3]],'PI LEVEL'!$A:$G,7,FALSE)</f>
        <v>DA-Level Output</v>
      </c>
      <c r="AE183" s="47" t="s">
        <v>577</v>
      </c>
      <c r="AF183" s="51" t="str">
        <f>VLOOKUP(Table3[[#This Row],[ACTIVITY]],TAGS!$B:$P,3,FALSE)</f>
        <v>kilogram</v>
      </c>
      <c r="AG183" s="47" t="s">
        <v>334</v>
      </c>
      <c r="AH183" s="51" t="str">
        <f>VLOOKUP(Table3[[#This Row],[MONTH]],TAGS!$W$67:$Y$81,2,FALSE)</f>
        <v>3RD QTR</v>
      </c>
      <c r="AI183" s="51" t="str">
        <f>VLOOKUP(Table3[[#This Row],[MONTH]],TAGS!$W$67:$Y$81,3,FALSE)</f>
        <v>2ND SEMESTER</v>
      </c>
      <c r="AJ183" s="51">
        <f>VLOOKUP(Table3[[#This Row],[MONTH]],TAGS!$W$67:$Z$81,4,FALSE)</f>
        <v>2025</v>
      </c>
      <c r="AK183" s="47">
        <v>65300</v>
      </c>
      <c r="AL183" s="51" t="str">
        <f>VLOOKUP(Table3[[#This Row],[ACTIVITY]],TAGS!$B:$R,16,FALSE)</f>
        <v>YES</v>
      </c>
      <c r="AM183" s="47">
        <v>653</v>
      </c>
      <c r="AN183" s="47">
        <v>2938.5</v>
      </c>
      <c r="AO183" s="57">
        <f>SUM(Table3[[#This Row],[MALE BENEFICIARIES]:[FEMALE BENEFICIARIES]])</f>
        <v>0</v>
      </c>
      <c r="AP183" s="58"/>
      <c r="AQ183" s="58"/>
      <c r="AR183" s="58"/>
      <c r="AS183" s="58">
        <v>1</v>
      </c>
      <c r="AT183" s="59">
        <v>653</v>
      </c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</row>
    <row r="184" spans="1:65">
      <c r="A184" s="51" t="str">
        <f>VLOOKUP(Table3[[#This Row],[OU]],OU!$A$15:$B$34,2,FALSE)</f>
        <v>RFOs</v>
      </c>
      <c r="B184" s="47" t="s">
        <v>5</v>
      </c>
      <c r="C184" s="47" t="s">
        <v>574</v>
      </c>
      <c r="D184" s="47"/>
      <c r="E184" s="47" t="s">
        <v>43</v>
      </c>
      <c r="F184" s="47" t="s">
        <v>686</v>
      </c>
      <c r="G18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18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23129000</v>
      </c>
      <c r="I184" s="52" t="str">
        <f>VLOOKUP(Table3[[#This Row],[PSGC]],DISTRICT!$D:$G,4,FALSE)</f>
        <v>5th</v>
      </c>
      <c r="J184" s="47" t="s">
        <v>578</v>
      </c>
      <c r="K184" s="51" t="str">
        <f>VLOOKUP(Table3[[#This Row],[SPECIFIC COMMODITY]],TAGS!$W$48:$X$53,2,FALSE)</f>
        <v>Corn</v>
      </c>
      <c r="L184" s="51" t="str">
        <f>VLOOKUP(Table3[[#This Row],[PREXC SUB-PROGRAM]],Table5[],2,FALSE)</f>
        <v>TECHNICAL AND SUPPORT SERVICES PROGRAM</v>
      </c>
      <c r="M184" s="51" t="str">
        <f>VLOOKUP(Table3[[#This Row],[COMMODITY PREXC SUB-PROGRAM]],TAGS!$U$54:$V$76,2,FALSE)</f>
        <v>PSS</v>
      </c>
      <c r="N184" s="47" t="s">
        <v>576</v>
      </c>
      <c r="O184" s="54" t="str">
        <f>VLOOKUP(Table3[[#This Row],[PI LEVEL 3]],'PI LEVEL'!A:C,3,FALSE)</f>
        <v>Fertilizers and other soil ammendment distributed</v>
      </c>
      <c r="P184" s="54" t="str">
        <f>VLOOKUP(Table3[[#This Row],[PI LEVEL 3]],Table53729[[Performance Indicator Level 3]:[Performance Indicator Level 1]],2,FALSE)</f>
        <v>Fertilizers distributed</v>
      </c>
      <c r="Q184" s="54" t="str">
        <f>VLOOKUP(Table3[[#This Row],[ACTIVITY]],TAGS!B:P,2,FALSE)</f>
        <v>Inorganic fertilizer distributed</v>
      </c>
      <c r="R184" s="47" t="s">
        <v>36</v>
      </c>
      <c r="S184" s="51" t="str">
        <f>VLOOKUP(Table3[[#This Row],[ACTIVITY]],TAGS!$B:$P,4,FALSE)</f>
        <v>Yellow Corn Production Enhancement Project</v>
      </c>
      <c r="T184" s="51" t="str">
        <f>VLOOKUP(Table3[[#This Row],[ACTIVITY]],TAGS!$B:$P,5,FALSE)</f>
        <v>Soil Fertilization</v>
      </c>
      <c r="U184" s="51" t="str">
        <f>VLOOKUP(Table3[[#This Row],[ACTIVITY]],TAGS!$B:$P,6,FALSE)</f>
        <v>Inorganic fertilizer</v>
      </c>
      <c r="V184" s="51" t="str">
        <f>VLOOKUP(Table3[[#This Row],[ACTIVITY]],TAGS!$B:$P,7,FALSE)</f>
        <v>NO</v>
      </c>
      <c r="W184" s="51" t="str">
        <f>VLOOKUP(Table3[[#This Row],[ACTIVITY]],TAGS!$B:$P,8,FALSE)</f>
        <v>PAP</v>
      </c>
      <c r="X184" s="51" t="str">
        <f>VLOOKUP(Table3[[#This Row],[ACTIVITY]],TAGS!$B:$P,10,FALSE)</f>
        <v>PIP</v>
      </c>
      <c r="Y184" s="51" t="str">
        <f>VLOOKUP(Table3[[#This Row],[ACTIVITY]],TAGS!$B:$P,11,FALSE)</f>
        <v>PICS</v>
      </c>
      <c r="Z184" s="51" t="str">
        <f>VLOOKUP(Table3[[#This Row],[ACTIVITY]],TAGS!$B:$P,12,FALSE)</f>
        <v>Consolidation</v>
      </c>
      <c r="AA184" s="51" t="str">
        <f>VLOOKUP(Table3[[#This Row],[ACTIVITY]],TAGS!$B:$P,13,FALSE)</f>
        <v>1. Bayanihan Agri Cluster</v>
      </c>
      <c r="AB184" s="51" t="str">
        <f>VLOOKUP(Table3[[#This Row],[ACTIVITY]],TAGS!$B:$P,14,FALSE)</f>
        <v>EXPAND AND IMPROVE AVAILABLE AGRI-FISHERY AREAS FOR INCREASED PRODUCTION</v>
      </c>
      <c r="AC184" s="51" t="str">
        <f>VLOOKUP(Table3[[#This Row],[ACTIVITY]],TAGS!$B:$P,15,FALSE)</f>
        <v>Farm Inputs</v>
      </c>
      <c r="AD184" s="51" t="str">
        <f>VLOOKUP(Table3[[#This Row],[PI LEVEL 3]],'PI LEVEL'!$A:$G,7,FALSE)</f>
        <v>DA-Level Output</v>
      </c>
      <c r="AE184" s="47" t="s">
        <v>577</v>
      </c>
      <c r="AF184" s="51" t="str">
        <f>VLOOKUP(Table3[[#This Row],[ACTIVITY]],TAGS!$B:$P,3,FALSE)</f>
        <v>kilogram</v>
      </c>
      <c r="AG184" s="47" t="s">
        <v>334</v>
      </c>
      <c r="AH184" s="51" t="str">
        <f>VLOOKUP(Table3[[#This Row],[MONTH]],TAGS!$W$67:$Y$81,2,FALSE)</f>
        <v>3RD QTR</v>
      </c>
      <c r="AI184" s="51" t="str">
        <f>VLOOKUP(Table3[[#This Row],[MONTH]],TAGS!$W$67:$Y$81,3,FALSE)</f>
        <v>2ND SEMESTER</v>
      </c>
      <c r="AJ184" s="51">
        <f>VLOOKUP(Table3[[#This Row],[MONTH]],TAGS!$W$67:$Z$81,4,FALSE)</f>
        <v>2025</v>
      </c>
      <c r="AK184" s="47">
        <v>2000</v>
      </c>
      <c r="AL184" s="51" t="str">
        <f>VLOOKUP(Table3[[#This Row],[ACTIVITY]],TAGS!$B:$R,16,FALSE)</f>
        <v>YES</v>
      </c>
      <c r="AM184" s="47">
        <v>20</v>
      </c>
      <c r="AN184" s="47">
        <v>90</v>
      </c>
      <c r="AO184" s="57">
        <f>SUM(Table3[[#This Row],[MALE BENEFICIARIES]:[FEMALE BENEFICIARIES]])</f>
        <v>0</v>
      </c>
      <c r="AP184" s="58"/>
      <c r="AQ184" s="58"/>
      <c r="AR184" s="58"/>
      <c r="AS184" s="58">
        <v>1</v>
      </c>
      <c r="AT184" s="59">
        <v>20</v>
      </c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</row>
    <row r="185" spans="1:65">
      <c r="A185" s="51" t="str">
        <f>VLOOKUP(Table3[[#This Row],[OU]],OU!$A$15:$B$34,2,FALSE)</f>
        <v>RFOs</v>
      </c>
      <c r="B185" s="47" t="s">
        <v>5</v>
      </c>
      <c r="C185" s="47" t="s">
        <v>574</v>
      </c>
      <c r="D185" s="47"/>
      <c r="E185" s="47" t="s">
        <v>63</v>
      </c>
      <c r="F185" s="47" t="s">
        <v>687</v>
      </c>
      <c r="G18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18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25014000</v>
      </c>
      <c r="I185" s="52" t="str">
        <f>VLOOKUP(Table3[[#This Row],[PSGC]],DISTRICT!$D:$G,4,FALSE)</f>
        <v>5th</v>
      </c>
      <c r="J185" s="47" t="s">
        <v>578</v>
      </c>
      <c r="K185" s="51" t="str">
        <f>VLOOKUP(Table3[[#This Row],[SPECIFIC COMMODITY]],TAGS!$W$48:$X$53,2,FALSE)</f>
        <v>Corn</v>
      </c>
      <c r="L185" s="51" t="str">
        <f>VLOOKUP(Table3[[#This Row],[PREXC SUB-PROGRAM]],Table5[],2,FALSE)</f>
        <v>TECHNICAL AND SUPPORT SERVICES PROGRAM</v>
      </c>
      <c r="M185" s="51" t="str">
        <f>VLOOKUP(Table3[[#This Row],[COMMODITY PREXC SUB-PROGRAM]],TAGS!$U$54:$V$76,2,FALSE)</f>
        <v>PSS</v>
      </c>
      <c r="N185" s="47" t="s">
        <v>576</v>
      </c>
      <c r="O185" s="54" t="str">
        <f>VLOOKUP(Table3[[#This Row],[PI LEVEL 3]],'PI LEVEL'!A:C,3,FALSE)</f>
        <v>Fertilizers and other soil ammendment distributed</v>
      </c>
      <c r="P185" s="54" t="str">
        <f>VLOOKUP(Table3[[#This Row],[PI LEVEL 3]],Table53729[[Performance Indicator Level 3]:[Performance Indicator Level 1]],2,FALSE)</f>
        <v>Fertilizers distributed</v>
      </c>
      <c r="Q185" s="54" t="str">
        <f>VLOOKUP(Table3[[#This Row],[ACTIVITY]],TAGS!B:P,2,FALSE)</f>
        <v>Inorganic fertilizer distributed</v>
      </c>
      <c r="R185" s="47" t="s">
        <v>36</v>
      </c>
      <c r="S185" s="51" t="str">
        <f>VLOOKUP(Table3[[#This Row],[ACTIVITY]],TAGS!$B:$P,4,FALSE)</f>
        <v>Yellow Corn Production Enhancement Project</v>
      </c>
      <c r="T185" s="51" t="str">
        <f>VLOOKUP(Table3[[#This Row],[ACTIVITY]],TAGS!$B:$P,5,FALSE)</f>
        <v>Soil Fertilization</v>
      </c>
      <c r="U185" s="51" t="str">
        <f>VLOOKUP(Table3[[#This Row],[ACTIVITY]],TAGS!$B:$P,6,FALSE)</f>
        <v>Inorganic fertilizer</v>
      </c>
      <c r="V185" s="51" t="str">
        <f>VLOOKUP(Table3[[#This Row],[ACTIVITY]],TAGS!$B:$P,7,FALSE)</f>
        <v>NO</v>
      </c>
      <c r="W185" s="51" t="str">
        <f>VLOOKUP(Table3[[#This Row],[ACTIVITY]],TAGS!$B:$P,8,FALSE)</f>
        <v>PAP</v>
      </c>
      <c r="X185" s="51" t="str">
        <f>VLOOKUP(Table3[[#This Row],[ACTIVITY]],TAGS!$B:$P,10,FALSE)</f>
        <v>PIP</v>
      </c>
      <c r="Y185" s="51" t="str">
        <f>VLOOKUP(Table3[[#This Row],[ACTIVITY]],TAGS!$B:$P,11,FALSE)</f>
        <v>PICS</v>
      </c>
      <c r="Z185" s="51" t="str">
        <f>VLOOKUP(Table3[[#This Row],[ACTIVITY]],TAGS!$B:$P,12,FALSE)</f>
        <v>Consolidation</v>
      </c>
      <c r="AA185" s="51" t="str">
        <f>VLOOKUP(Table3[[#This Row],[ACTIVITY]],TAGS!$B:$P,13,FALSE)</f>
        <v>1. Bayanihan Agri Cluster</v>
      </c>
      <c r="AB185" s="51" t="str">
        <f>VLOOKUP(Table3[[#This Row],[ACTIVITY]],TAGS!$B:$P,14,FALSE)</f>
        <v>EXPAND AND IMPROVE AVAILABLE AGRI-FISHERY AREAS FOR INCREASED PRODUCTION</v>
      </c>
      <c r="AC185" s="51" t="str">
        <f>VLOOKUP(Table3[[#This Row],[ACTIVITY]],TAGS!$B:$P,15,FALSE)</f>
        <v>Farm Inputs</v>
      </c>
      <c r="AD185" s="51" t="str">
        <f>VLOOKUP(Table3[[#This Row],[PI LEVEL 3]],'PI LEVEL'!$A:$G,7,FALSE)</f>
        <v>DA-Level Output</v>
      </c>
      <c r="AE185" s="47" t="s">
        <v>577</v>
      </c>
      <c r="AF185" s="51" t="str">
        <f>VLOOKUP(Table3[[#This Row],[ACTIVITY]],TAGS!$B:$P,3,FALSE)</f>
        <v>kilogram</v>
      </c>
      <c r="AG185" s="47" t="s">
        <v>334</v>
      </c>
      <c r="AH185" s="51" t="str">
        <f>VLOOKUP(Table3[[#This Row],[MONTH]],TAGS!$W$67:$Y$81,2,FALSE)</f>
        <v>3RD QTR</v>
      </c>
      <c r="AI185" s="51" t="str">
        <f>VLOOKUP(Table3[[#This Row],[MONTH]],TAGS!$W$67:$Y$81,3,FALSE)</f>
        <v>2ND SEMESTER</v>
      </c>
      <c r="AJ185" s="51">
        <f>VLOOKUP(Table3[[#This Row],[MONTH]],TAGS!$W$67:$Z$81,4,FALSE)</f>
        <v>2025</v>
      </c>
      <c r="AK185" s="47">
        <v>12400</v>
      </c>
      <c r="AL185" s="51" t="str">
        <f>VLOOKUP(Table3[[#This Row],[ACTIVITY]],TAGS!$B:$R,16,FALSE)</f>
        <v>YES</v>
      </c>
      <c r="AM185" s="47">
        <v>124</v>
      </c>
      <c r="AN185" s="47">
        <v>558</v>
      </c>
      <c r="AO185" s="57">
        <f>SUM(Table3[[#This Row],[MALE BENEFICIARIES]:[FEMALE BENEFICIARIES]])</f>
        <v>0</v>
      </c>
      <c r="AP185" s="58"/>
      <c r="AQ185" s="58"/>
      <c r="AR185" s="58"/>
      <c r="AS185" s="58">
        <v>1</v>
      </c>
      <c r="AT185" s="59">
        <v>124</v>
      </c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</row>
    <row r="186" spans="1:65">
      <c r="A186" s="51" t="str">
        <f>VLOOKUP(Table3[[#This Row],[OU]],OU!$A$15:$B$34,2,FALSE)</f>
        <v>RFOs</v>
      </c>
      <c r="B186" s="47" t="s">
        <v>5</v>
      </c>
      <c r="C186" s="47" t="s">
        <v>574</v>
      </c>
      <c r="D186" s="47"/>
      <c r="E186" s="47" t="s">
        <v>63</v>
      </c>
      <c r="F186" s="47" t="s">
        <v>688</v>
      </c>
      <c r="G18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18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25006000</v>
      </c>
      <c r="I186" s="52" t="str">
        <f>VLOOKUP(Table3[[#This Row],[PSGC]],DISTRICT!$D:$G,4,FALSE)</f>
        <v>4th</v>
      </c>
      <c r="J186" s="47" t="s">
        <v>578</v>
      </c>
      <c r="K186" s="51" t="str">
        <f>VLOOKUP(Table3[[#This Row],[SPECIFIC COMMODITY]],TAGS!$W$48:$X$53,2,FALSE)</f>
        <v>Corn</v>
      </c>
      <c r="L186" s="51" t="str">
        <f>VLOOKUP(Table3[[#This Row],[PREXC SUB-PROGRAM]],Table5[],2,FALSE)</f>
        <v>TECHNICAL AND SUPPORT SERVICES PROGRAM</v>
      </c>
      <c r="M186" s="51" t="str">
        <f>VLOOKUP(Table3[[#This Row],[COMMODITY PREXC SUB-PROGRAM]],TAGS!$U$54:$V$76,2,FALSE)</f>
        <v>PSS</v>
      </c>
      <c r="N186" s="47" t="s">
        <v>576</v>
      </c>
      <c r="O186" s="54" t="str">
        <f>VLOOKUP(Table3[[#This Row],[PI LEVEL 3]],'PI LEVEL'!A:C,3,FALSE)</f>
        <v>Fertilizers and other soil ammendment distributed</v>
      </c>
      <c r="P186" s="54" t="str">
        <f>VLOOKUP(Table3[[#This Row],[PI LEVEL 3]],Table53729[[Performance Indicator Level 3]:[Performance Indicator Level 1]],2,FALSE)</f>
        <v>Fertilizers distributed</v>
      </c>
      <c r="Q186" s="54" t="str">
        <f>VLOOKUP(Table3[[#This Row],[ACTIVITY]],TAGS!B:P,2,FALSE)</f>
        <v>Inorganic fertilizer distributed</v>
      </c>
      <c r="R186" s="47" t="s">
        <v>36</v>
      </c>
      <c r="S186" s="51" t="str">
        <f>VLOOKUP(Table3[[#This Row],[ACTIVITY]],TAGS!$B:$P,4,FALSE)</f>
        <v>Yellow Corn Production Enhancement Project</v>
      </c>
      <c r="T186" s="51" t="str">
        <f>VLOOKUP(Table3[[#This Row],[ACTIVITY]],TAGS!$B:$P,5,FALSE)</f>
        <v>Soil Fertilization</v>
      </c>
      <c r="U186" s="51" t="str">
        <f>VLOOKUP(Table3[[#This Row],[ACTIVITY]],TAGS!$B:$P,6,FALSE)</f>
        <v>Inorganic fertilizer</v>
      </c>
      <c r="V186" s="51" t="str">
        <f>VLOOKUP(Table3[[#This Row],[ACTIVITY]],TAGS!$B:$P,7,FALSE)</f>
        <v>NO</v>
      </c>
      <c r="W186" s="51" t="str">
        <f>VLOOKUP(Table3[[#This Row],[ACTIVITY]],TAGS!$B:$P,8,FALSE)</f>
        <v>PAP</v>
      </c>
      <c r="X186" s="51" t="str">
        <f>VLOOKUP(Table3[[#This Row],[ACTIVITY]],TAGS!$B:$P,10,FALSE)</f>
        <v>PIP</v>
      </c>
      <c r="Y186" s="51" t="str">
        <f>VLOOKUP(Table3[[#This Row],[ACTIVITY]],TAGS!$B:$P,11,FALSE)</f>
        <v>PICS</v>
      </c>
      <c r="Z186" s="51" t="str">
        <f>VLOOKUP(Table3[[#This Row],[ACTIVITY]],TAGS!$B:$P,12,FALSE)</f>
        <v>Consolidation</v>
      </c>
      <c r="AA186" s="51" t="str">
        <f>VLOOKUP(Table3[[#This Row],[ACTIVITY]],TAGS!$B:$P,13,FALSE)</f>
        <v>1. Bayanihan Agri Cluster</v>
      </c>
      <c r="AB186" s="51" t="str">
        <f>VLOOKUP(Table3[[#This Row],[ACTIVITY]],TAGS!$B:$P,14,FALSE)</f>
        <v>EXPAND AND IMPROVE AVAILABLE AGRI-FISHERY AREAS FOR INCREASED PRODUCTION</v>
      </c>
      <c r="AC186" s="51" t="str">
        <f>VLOOKUP(Table3[[#This Row],[ACTIVITY]],TAGS!$B:$P,15,FALSE)</f>
        <v>Farm Inputs</v>
      </c>
      <c r="AD186" s="51" t="str">
        <f>VLOOKUP(Table3[[#This Row],[PI LEVEL 3]],'PI LEVEL'!$A:$G,7,FALSE)</f>
        <v>DA-Level Output</v>
      </c>
      <c r="AE186" s="47" t="s">
        <v>577</v>
      </c>
      <c r="AF186" s="51" t="str">
        <f>VLOOKUP(Table3[[#This Row],[ACTIVITY]],TAGS!$B:$P,3,FALSE)</f>
        <v>kilogram</v>
      </c>
      <c r="AG186" s="47" t="s">
        <v>334</v>
      </c>
      <c r="AH186" s="51" t="str">
        <f>VLOOKUP(Table3[[#This Row],[MONTH]],TAGS!$W$67:$Y$81,2,FALSE)</f>
        <v>3RD QTR</v>
      </c>
      <c r="AI186" s="51" t="str">
        <f>VLOOKUP(Table3[[#This Row],[MONTH]],TAGS!$W$67:$Y$81,3,FALSE)</f>
        <v>2ND SEMESTER</v>
      </c>
      <c r="AJ186" s="51">
        <f>VLOOKUP(Table3[[#This Row],[MONTH]],TAGS!$W$67:$Z$81,4,FALSE)</f>
        <v>2025</v>
      </c>
      <c r="AK186" s="47">
        <v>21000</v>
      </c>
      <c r="AL186" s="51" t="str">
        <f>VLOOKUP(Table3[[#This Row],[ACTIVITY]],TAGS!$B:$R,16,FALSE)</f>
        <v>YES</v>
      </c>
      <c r="AM186" s="47">
        <v>210</v>
      </c>
      <c r="AN186" s="47">
        <v>945</v>
      </c>
      <c r="AO186" s="57">
        <f>SUM(Table3[[#This Row],[MALE BENEFICIARIES]:[FEMALE BENEFICIARIES]])</f>
        <v>0</v>
      </c>
      <c r="AP186" s="58"/>
      <c r="AQ186" s="58"/>
      <c r="AR186" s="58"/>
      <c r="AS186" s="58">
        <v>1</v>
      </c>
      <c r="AT186" s="59">
        <v>210</v>
      </c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</row>
    <row r="187" spans="1:65">
      <c r="A187" s="51" t="str">
        <f>VLOOKUP(Table3[[#This Row],[OU]],OU!$A$15:$B$34,2,FALSE)</f>
        <v>RFOs</v>
      </c>
      <c r="B187" s="47" t="s">
        <v>5</v>
      </c>
      <c r="C187" s="47" t="s">
        <v>574</v>
      </c>
      <c r="D187" s="47"/>
      <c r="E187" s="47" t="s">
        <v>63</v>
      </c>
      <c r="F187" s="47" t="s">
        <v>689</v>
      </c>
      <c r="G18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18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25013000</v>
      </c>
      <c r="I187" s="52" t="str">
        <f>VLOOKUP(Table3[[#This Row],[PSGC]],DISTRICT!$D:$G,4,FALSE)</f>
        <v>1st</v>
      </c>
      <c r="J187" s="47" t="s">
        <v>578</v>
      </c>
      <c r="K187" s="51" t="str">
        <f>VLOOKUP(Table3[[#This Row],[SPECIFIC COMMODITY]],TAGS!$W$48:$X$53,2,FALSE)</f>
        <v>Corn</v>
      </c>
      <c r="L187" s="51" t="str">
        <f>VLOOKUP(Table3[[#This Row],[PREXC SUB-PROGRAM]],Table5[],2,FALSE)</f>
        <v>TECHNICAL AND SUPPORT SERVICES PROGRAM</v>
      </c>
      <c r="M187" s="51" t="str">
        <f>VLOOKUP(Table3[[#This Row],[COMMODITY PREXC SUB-PROGRAM]],TAGS!$U$54:$V$76,2,FALSE)</f>
        <v>PSS</v>
      </c>
      <c r="N187" s="47" t="s">
        <v>576</v>
      </c>
      <c r="O187" s="54" t="str">
        <f>VLOOKUP(Table3[[#This Row],[PI LEVEL 3]],'PI LEVEL'!A:C,3,FALSE)</f>
        <v>Fertilizers and other soil ammendment distributed</v>
      </c>
      <c r="P187" s="54" t="str">
        <f>VLOOKUP(Table3[[#This Row],[PI LEVEL 3]],Table53729[[Performance Indicator Level 3]:[Performance Indicator Level 1]],2,FALSE)</f>
        <v>Fertilizers distributed</v>
      </c>
      <c r="Q187" s="54" t="str">
        <f>VLOOKUP(Table3[[#This Row],[ACTIVITY]],TAGS!B:P,2,FALSE)</f>
        <v>Inorganic fertilizer distributed</v>
      </c>
      <c r="R187" s="47" t="s">
        <v>36</v>
      </c>
      <c r="S187" s="51" t="str">
        <f>VLOOKUP(Table3[[#This Row],[ACTIVITY]],TAGS!$B:$P,4,FALSE)</f>
        <v>Yellow Corn Production Enhancement Project</v>
      </c>
      <c r="T187" s="51" t="str">
        <f>VLOOKUP(Table3[[#This Row],[ACTIVITY]],TAGS!$B:$P,5,FALSE)</f>
        <v>Soil Fertilization</v>
      </c>
      <c r="U187" s="51" t="str">
        <f>VLOOKUP(Table3[[#This Row],[ACTIVITY]],TAGS!$B:$P,6,FALSE)</f>
        <v>Inorganic fertilizer</v>
      </c>
      <c r="V187" s="51" t="str">
        <f>VLOOKUP(Table3[[#This Row],[ACTIVITY]],TAGS!$B:$P,7,FALSE)</f>
        <v>NO</v>
      </c>
      <c r="W187" s="51" t="str">
        <f>VLOOKUP(Table3[[#This Row],[ACTIVITY]],TAGS!$B:$P,8,FALSE)</f>
        <v>PAP</v>
      </c>
      <c r="X187" s="51" t="str">
        <f>VLOOKUP(Table3[[#This Row],[ACTIVITY]],TAGS!$B:$P,10,FALSE)</f>
        <v>PIP</v>
      </c>
      <c r="Y187" s="51" t="str">
        <f>VLOOKUP(Table3[[#This Row],[ACTIVITY]],TAGS!$B:$P,11,FALSE)</f>
        <v>PICS</v>
      </c>
      <c r="Z187" s="51" t="str">
        <f>VLOOKUP(Table3[[#This Row],[ACTIVITY]],TAGS!$B:$P,12,FALSE)</f>
        <v>Consolidation</v>
      </c>
      <c r="AA187" s="51" t="str">
        <f>VLOOKUP(Table3[[#This Row],[ACTIVITY]],TAGS!$B:$P,13,FALSE)</f>
        <v>1. Bayanihan Agri Cluster</v>
      </c>
      <c r="AB187" s="51" t="str">
        <f>VLOOKUP(Table3[[#This Row],[ACTIVITY]],TAGS!$B:$P,14,FALSE)</f>
        <v>EXPAND AND IMPROVE AVAILABLE AGRI-FISHERY AREAS FOR INCREASED PRODUCTION</v>
      </c>
      <c r="AC187" s="51" t="str">
        <f>VLOOKUP(Table3[[#This Row],[ACTIVITY]],TAGS!$B:$P,15,FALSE)</f>
        <v>Farm Inputs</v>
      </c>
      <c r="AD187" s="51" t="str">
        <f>VLOOKUP(Table3[[#This Row],[PI LEVEL 3]],'PI LEVEL'!$A:$G,7,FALSE)</f>
        <v>DA-Level Output</v>
      </c>
      <c r="AE187" s="47" t="s">
        <v>577</v>
      </c>
      <c r="AF187" s="51" t="str">
        <f>VLOOKUP(Table3[[#This Row],[ACTIVITY]],TAGS!$B:$P,3,FALSE)</f>
        <v>kilogram</v>
      </c>
      <c r="AG187" s="47" t="s">
        <v>334</v>
      </c>
      <c r="AH187" s="51" t="str">
        <f>VLOOKUP(Table3[[#This Row],[MONTH]],TAGS!$W$67:$Y$81,2,FALSE)</f>
        <v>3RD QTR</v>
      </c>
      <c r="AI187" s="51" t="str">
        <f>VLOOKUP(Table3[[#This Row],[MONTH]],TAGS!$W$67:$Y$81,3,FALSE)</f>
        <v>2ND SEMESTER</v>
      </c>
      <c r="AJ187" s="51">
        <f>VLOOKUP(Table3[[#This Row],[MONTH]],TAGS!$W$67:$Z$81,4,FALSE)</f>
        <v>2025</v>
      </c>
      <c r="AK187" s="47">
        <v>10000</v>
      </c>
      <c r="AL187" s="51" t="str">
        <f>VLOOKUP(Table3[[#This Row],[ACTIVITY]],TAGS!$B:$R,16,FALSE)</f>
        <v>YES</v>
      </c>
      <c r="AM187" s="47">
        <v>100</v>
      </c>
      <c r="AN187" s="47">
        <v>450</v>
      </c>
      <c r="AO187" s="57">
        <f>SUM(Table3[[#This Row],[MALE BENEFICIARIES]:[FEMALE BENEFICIARIES]])</f>
        <v>0</v>
      </c>
      <c r="AP187" s="58"/>
      <c r="AQ187" s="58"/>
      <c r="AR187" s="58"/>
      <c r="AS187" s="58">
        <v>1</v>
      </c>
      <c r="AT187" s="59">
        <v>100</v>
      </c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</row>
    <row r="188" spans="1:65">
      <c r="A188" s="51" t="str">
        <f>VLOOKUP(Table3[[#This Row],[OU]],OU!$A$15:$B$34,2,FALSE)</f>
        <v>RFOs</v>
      </c>
      <c r="B188" s="47" t="s">
        <v>5</v>
      </c>
      <c r="C188" s="47" t="s">
        <v>574</v>
      </c>
      <c r="D188" s="47"/>
      <c r="E188" s="47" t="s">
        <v>63</v>
      </c>
      <c r="F188" s="47" t="s">
        <v>690</v>
      </c>
      <c r="G18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18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25005000</v>
      </c>
      <c r="I188" s="52" t="str">
        <f>VLOOKUP(Table3[[#This Row],[PSGC]],DISTRICT!$D:$G,4,FALSE)</f>
        <v>1st</v>
      </c>
      <c r="J188" s="47" t="s">
        <v>578</v>
      </c>
      <c r="K188" s="51" t="str">
        <f>VLOOKUP(Table3[[#This Row],[SPECIFIC COMMODITY]],TAGS!$W$48:$X$53,2,FALSE)</f>
        <v>Corn</v>
      </c>
      <c r="L188" s="51" t="str">
        <f>VLOOKUP(Table3[[#This Row],[PREXC SUB-PROGRAM]],Table5[],2,FALSE)</f>
        <v>TECHNICAL AND SUPPORT SERVICES PROGRAM</v>
      </c>
      <c r="M188" s="51" t="str">
        <f>VLOOKUP(Table3[[#This Row],[COMMODITY PREXC SUB-PROGRAM]],TAGS!$U$54:$V$76,2,FALSE)</f>
        <v>PSS</v>
      </c>
      <c r="N188" s="47" t="s">
        <v>576</v>
      </c>
      <c r="O188" s="54" t="str">
        <f>VLOOKUP(Table3[[#This Row],[PI LEVEL 3]],'PI LEVEL'!A:C,3,FALSE)</f>
        <v>Fertilizers and other soil ammendment distributed</v>
      </c>
      <c r="P188" s="54" t="str">
        <f>VLOOKUP(Table3[[#This Row],[PI LEVEL 3]],Table53729[[Performance Indicator Level 3]:[Performance Indicator Level 1]],2,FALSE)</f>
        <v>Fertilizers distributed</v>
      </c>
      <c r="Q188" s="54" t="str">
        <f>VLOOKUP(Table3[[#This Row],[ACTIVITY]],TAGS!B:P,2,FALSE)</f>
        <v>Inorganic fertilizer distributed</v>
      </c>
      <c r="R188" s="47" t="s">
        <v>36</v>
      </c>
      <c r="S188" s="51" t="str">
        <f>VLOOKUP(Table3[[#This Row],[ACTIVITY]],TAGS!$B:$P,4,FALSE)</f>
        <v>Yellow Corn Production Enhancement Project</v>
      </c>
      <c r="T188" s="51" t="str">
        <f>VLOOKUP(Table3[[#This Row],[ACTIVITY]],TAGS!$B:$P,5,FALSE)</f>
        <v>Soil Fertilization</v>
      </c>
      <c r="U188" s="51" t="str">
        <f>VLOOKUP(Table3[[#This Row],[ACTIVITY]],TAGS!$B:$P,6,FALSE)</f>
        <v>Inorganic fertilizer</v>
      </c>
      <c r="V188" s="51" t="str">
        <f>VLOOKUP(Table3[[#This Row],[ACTIVITY]],TAGS!$B:$P,7,FALSE)</f>
        <v>NO</v>
      </c>
      <c r="W188" s="51" t="str">
        <f>VLOOKUP(Table3[[#This Row],[ACTIVITY]],TAGS!$B:$P,8,FALSE)</f>
        <v>PAP</v>
      </c>
      <c r="X188" s="51" t="str">
        <f>VLOOKUP(Table3[[#This Row],[ACTIVITY]],TAGS!$B:$P,10,FALSE)</f>
        <v>PIP</v>
      </c>
      <c r="Y188" s="51" t="str">
        <f>VLOOKUP(Table3[[#This Row],[ACTIVITY]],TAGS!$B:$P,11,FALSE)</f>
        <v>PICS</v>
      </c>
      <c r="Z188" s="51" t="str">
        <f>VLOOKUP(Table3[[#This Row],[ACTIVITY]],TAGS!$B:$P,12,FALSE)</f>
        <v>Consolidation</v>
      </c>
      <c r="AA188" s="51" t="str">
        <f>VLOOKUP(Table3[[#This Row],[ACTIVITY]],TAGS!$B:$P,13,FALSE)</f>
        <v>1. Bayanihan Agri Cluster</v>
      </c>
      <c r="AB188" s="51" t="str">
        <f>VLOOKUP(Table3[[#This Row],[ACTIVITY]],TAGS!$B:$P,14,FALSE)</f>
        <v>EXPAND AND IMPROVE AVAILABLE AGRI-FISHERY AREAS FOR INCREASED PRODUCTION</v>
      </c>
      <c r="AC188" s="51" t="str">
        <f>VLOOKUP(Table3[[#This Row],[ACTIVITY]],TAGS!$B:$P,15,FALSE)</f>
        <v>Farm Inputs</v>
      </c>
      <c r="AD188" s="51" t="str">
        <f>VLOOKUP(Table3[[#This Row],[PI LEVEL 3]],'PI LEVEL'!$A:$G,7,FALSE)</f>
        <v>DA-Level Output</v>
      </c>
      <c r="AE188" s="47" t="s">
        <v>577</v>
      </c>
      <c r="AF188" s="51" t="str">
        <f>VLOOKUP(Table3[[#This Row],[ACTIVITY]],TAGS!$B:$P,3,FALSE)</f>
        <v>kilogram</v>
      </c>
      <c r="AG188" s="47" t="s">
        <v>334</v>
      </c>
      <c r="AH188" s="51" t="str">
        <f>VLOOKUP(Table3[[#This Row],[MONTH]],TAGS!$W$67:$Y$81,2,FALSE)</f>
        <v>3RD QTR</v>
      </c>
      <c r="AI188" s="51" t="str">
        <f>VLOOKUP(Table3[[#This Row],[MONTH]],TAGS!$W$67:$Y$81,3,FALSE)</f>
        <v>2ND SEMESTER</v>
      </c>
      <c r="AJ188" s="51">
        <f>VLOOKUP(Table3[[#This Row],[MONTH]],TAGS!$W$67:$Z$81,4,FALSE)</f>
        <v>2025</v>
      </c>
      <c r="AK188" s="47">
        <v>7200</v>
      </c>
      <c r="AL188" s="51" t="str">
        <f>VLOOKUP(Table3[[#This Row],[ACTIVITY]],TAGS!$B:$R,16,FALSE)</f>
        <v>YES</v>
      </c>
      <c r="AM188" s="47">
        <v>72</v>
      </c>
      <c r="AN188" s="47">
        <v>324</v>
      </c>
      <c r="AO188" s="57">
        <f>SUM(Table3[[#This Row],[MALE BENEFICIARIES]:[FEMALE BENEFICIARIES]])</f>
        <v>0</v>
      </c>
      <c r="AP188" s="58"/>
      <c r="AQ188" s="58"/>
      <c r="AR188" s="58"/>
      <c r="AS188" s="58">
        <v>1</v>
      </c>
      <c r="AT188" s="59">
        <v>72</v>
      </c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</row>
    <row r="189" spans="1:65">
      <c r="A189" s="51" t="str">
        <f>VLOOKUP(Table3[[#This Row],[OU]],OU!$A$15:$B$34,2,FALSE)</f>
        <v>RFOs</v>
      </c>
      <c r="B189" s="47" t="s">
        <v>5</v>
      </c>
      <c r="C189" s="47" t="s">
        <v>574</v>
      </c>
      <c r="D189" s="47"/>
      <c r="E189" s="47" t="s">
        <v>63</v>
      </c>
      <c r="F189" s="47" t="s">
        <v>681</v>
      </c>
      <c r="G18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18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25011000</v>
      </c>
      <c r="I189" s="52" t="str">
        <f>VLOOKUP(Table3[[#This Row],[PSGC]],DISTRICT!$D:$G,4,FALSE)</f>
        <v>4th</v>
      </c>
      <c r="J189" s="47" t="s">
        <v>578</v>
      </c>
      <c r="K189" s="51" t="str">
        <f>VLOOKUP(Table3[[#This Row],[SPECIFIC COMMODITY]],TAGS!$W$48:$X$53,2,FALSE)</f>
        <v>Corn</v>
      </c>
      <c r="L189" s="51" t="str">
        <f>VLOOKUP(Table3[[#This Row],[PREXC SUB-PROGRAM]],Table5[],2,FALSE)</f>
        <v>TECHNICAL AND SUPPORT SERVICES PROGRAM</v>
      </c>
      <c r="M189" s="51" t="str">
        <f>VLOOKUP(Table3[[#This Row],[COMMODITY PREXC SUB-PROGRAM]],TAGS!$U$54:$V$76,2,FALSE)</f>
        <v>PSS</v>
      </c>
      <c r="N189" s="47" t="s">
        <v>576</v>
      </c>
      <c r="O189" s="54" t="str">
        <f>VLOOKUP(Table3[[#This Row],[PI LEVEL 3]],'PI LEVEL'!A:C,3,FALSE)</f>
        <v>Fertilizers and other soil ammendment distributed</v>
      </c>
      <c r="P189" s="54" t="str">
        <f>VLOOKUP(Table3[[#This Row],[PI LEVEL 3]],Table53729[[Performance Indicator Level 3]:[Performance Indicator Level 1]],2,FALSE)</f>
        <v>Fertilizers distributed</v>
      </c>
      <c r="Q189" s="54" t="str">
        <f>VLOOKUP(Table3[[#This Row],[ACTIVITY]],TAGS!B:P,2,FALSE)</f>
        <v>Inorganic fertilizer distributed</v>
      </c>
      <c r="R189" s="47" t="s">
        <v>36</v>
      </c>
      <c r="S189" s="51" t="str">
        <f>VLOOKUP(Table3[[#This Row],[ACTIVITY]],TAGS!$B:$P,4,FALSE)</f>
        <v>Yellow Corn Production Enhancement Project</v>
      </c>
      <c r="T189" s="51" t="str">
        <f>VLOOKUP(Table3[[#This Row],[ACTIVITY]],TAGS!$B:$P,5,FALSE)</f>
        <v>Soil Fertilization</v>
      </c>
      <c r="U189" s="51" t="str">
        <f>VLOOKUP(Table3[[#This Row],[ACTIVITY]],TAGS!$B:$P,6,FALSE)</f>
        <v>Inorganic fertilizer</v>
      </c>
      <c r="V189" s="51" t="str">
        <f>VLOOKUP(Table3[[#This Row],[ACTIVITY]],TAGS!$B:$P,7,FALSE)</f>
        <v>NO</v>
      </c>
      <c r="W189" s="51" t="str">
        <f>VLOOKUP(Table3[[#This Row],[ACTIVITY]],TAGS!$B:$P,8,FALSE)</f>
        <v>PAP</v>
      </c>
      <c r="X189" s="51" t="str">
        <f>VLOOKUP(Table3[[#This Row],[ACTIVITY]],TAGS!$B:$P,10,FALSE)</f>
        <v>PIP</v>
      </c>
      <c r="Y189" s="51" t="str">
        <f>VLOOKUP(Table3[[#This Row],[ACTIVITY]],TAGS!$B:$P,11,FALSE)</f>
        <v>PICS</v>
      </c>
      <c r="Z189" s="51" t="str">
        <f>VLOOKUP(Table3[[#This Row],[ACTIVITY]],TAGS!$B:$P,12,FALSE)</f>
        <v>Consolidation</v>
      </c>
      <c r="AA189" s="51" t="str">
        <f>VLOOKUP(Table3[[#This Row],[ACTIVITY]],TAGS!$B:$P,13,FALSE)</f>
        <v>1. Bayanihan Agri Cluster</v>
      </c>
      <c r="AB189" s="51" t="str">
        <f>VLOOKUP(Table3[[#This Row],[ACTIVITY]],TAGS!$B:$P,14,FALSE)</f>
        <v>EXPAND AND IMPROVE AVAILABLE AGRI-FISHERY AREAS FOR INCREASED PRODUCTION</v>
      </c>
      <c r="AC189" s="51" t="str">
        <f>VLOOKUP(Table3[[#This Row],[ACTIVITY]],TAGS!$B:$P,15,FALSE)</f>
        <v>Farm Inputs</v>
      </c>
      <c r="AD189" s="51" t="str">
        <f>VLOOKUP(Table3[[#This Row],[PI LEVEL 3]],'PI LEVEL'!$A:$G,7,FALSE)</f>
        <v>DA-Level Output</v>
      </c>
      <c r="AE189" s="47" t="s">
        <v>577</v>
      </c>
      <c r="AF189" s="51" t="str">
        <f>VLOOKUP(Table3[[#This Row],[ACTIVITY]],TAGS!$B:$P,3,FALSE)</f>
        <v>kilogram</v>
      </c>
      <c r="AG189" s="47" t="s">
        <v>334</v>
      </c>
      <c r="AH189" s="51" t="str">
        <f>VLOOKUP(Table3[[#This Row],[MONTH]],TAGS!$W$67:$Y$81,2,FALSE)</f>
        <v>3RD QTR</v>
      </c>
      <c r="AI189" s="51" t="str">
        <f>VLOOKUP(Table3[[#This Row],[MONTH]],TAGS!$W$67:$Y$81,3,FALSE)</f>
        <v>2ND SEMESTER</v>
      </c>
      <c r="AJ189" s="51">
        <f>VLOOKUP(Table3[[#This Row],[MONTH]],TAGS!$W$67:$Z$81,4,FALSE)</f>
        <v>2025</v>
      </c>
      <c r="AK189" s="47">
        <v>12200</v>
      </c>
      <c r="AL189" s="51" t="str">
        <f>VLOOKUP(Table3[[#This Row],[ACTIVITY]],TAGS!$B:$R,16,FALSE)</f>
        <v>YES</v>
      </c>
      <c r="AM189" s="47">
        <v>122</v>
      </c>
      <c r="AN189" s="47">
        <v>549</v>
      </c>
      <c r="AO189" s="57">
        <f>SUM(Table3[[#This Row],[MALE BENEFICIARIES]:[FEMALE BENEFICIARIES]])</f>
        <v>0</v>
      </c>
      <c r="AP189" s="58"/>
      <c r="AQ189" s="58"/>
      <c r="AR189" s="58"/>
      <c r="AS189" s="58">
        <v>1</v>
      </c>
      <c r="AT189" s="59">
        <v>122</v>
      </c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</row>
    <row r="190" spans="1:65">
      <c r="A190" s="51" t="str">
        <f>VLOOKUP(Table3[[#This Row],[OU]],OU!$A$15:$B$34,2,FALSE)</f>
        <v>RFOs</v>
      </c>
      <c r="B190" s="47" t="s">
        <v>5</v>
      </c>
      <c r="C190" s="47" t="s">
        <v>574</v>
      </c>
      <c r="D190" s="47"/>
      <c r="E190" s="47" t="s">
        <v>63</v>
      </c>
      <c r="F190" s="47" t="s">
        <v>691</v>
      </c>
      <c r="G19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19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25003000</v>
      </c>
      <c r="I190" s="52" t="str">
        <f>VLOOKUP(Table3[[#This Row],[PSGC]],DISTRICT!$D:$G,4,FALSE)</f>
        <v>2nd</v>
      </c>
      <c r="J190" s="47" t="s">
        <v>578</v>
      </c>
      <c r="K190" s="51" t="str">
        <f>VLOOKUP(Table3[[#This Row],[SPECIFIC COMMODITY]],TAGS!$W$48:$X$53,2,FALSE)</f>
        <v>Corn</v>
      </c>
      <c r="L190" s="51" t="str">
        <f>VLOOKUP(Table3[[#This Row],[PREXC SUB-PROGRAM]],Table5[],2,FALSE)</f>
        <v>TECHNICAL AND SUPPORT SERVICES PROGRAM</v>
      </c>
      <c r="M190" s="51" t="str">
        <f>VLOOKUP(Table3[[#This Row],[COMMODITY PREXC SUB-PROGRAM]],TAGS!$U$54:$V$76,2,FALSE)</f>
        <v>PSS</v>
      </c>
      <c r="N190" s="47" t="s">
        <v>576</v>
      </c>
      <c r="O190" s="54" t="str">
        <f>VLOOKUP(Table3[[#This Row],[PI LEVEL 3]],'PI LEVEL'!A:C,3,FALSE)</f>
        <v>Fertilizers and other soil ammendment distributed</v>
      </c>
      <c r="P190" s="54" t="str">
        <f>VLOOKUP(Table3[[#This Row],[PI LEVEL 3]],Table53729[[Performance Indicator Level 3]:[Performance Indicator Level 1]],2,FALSE)</f>
        <v>Fertilizers distributed</v>
      </c>
      <c r="Q190" s="54" t="str">
        <f>VLOOKUP(Table3[[#This Row],[ACTIVITY]],TAGS!B:P,2,FALSE)</f>
        <v>Inorganic fertilizer distributed</v>
      </c>
      <c r="R190" s="47" t="s">
        <v>36</v>
      </c>
      <c r="S190" s="51" t="str">
        <f>VLOOKUP(Table3[[#This Row],[ACTIVITY]],TAGS!$B:$P,4,FALSE)</f>
        <v>Yellow Corn Production Enhancement Project</v>
      </c>
      <c r="T190" s="51" t="str">
        <f>VLOOKUP(Table3[[#This Row],[ACTIVITY]],TAGS!$B:$P,5,FALSE)</f>
        <v>Soil Fertilization</v>
      </c>
      <c r="U190" s="51" t="str">
        <f>VLOOKUP(Table3[[#This Row],[ACTIVITY]],TAGS!$B:$P,6,FALSE)</f>
        <v>Inorganic fertilizer</v>
      </c>
      <c r="V190" s="51" t="str">
        <f>VLOOKUP(Table3[[#This Row],[ACTIVITY]],TAGS!$B:$P,7,FALSE)</f>
        <v>NO</v>
      </c>
      <c r="W190" s="51" t="str">
        <f>VLOOKUP(Table3[[#This Row],[ACTIVITY]],TAGS!$B:$P,8,FALSE)</f>
        <v>PAP</v>
      </c>
      <c r="X190" s="51" t="str">
        <f>VLOOKUP(Table3[[#This Row],[ACTIVITY]],TAGS!$B:$P,10,FALSE)</f>
        <v>PIP</v>
      </c>
      <c r="Y190" s="51" t="str">
        <f>VLOOKUP(Table3[[#This Row],[ACTIVITY]],TAGS!$B:$P,11,FALSE)</f>
        <v>PICS</v>
      </c>
      <c r="Z190" s="51" t="str">
        <f>VLOOKUP(Table3[[#This Row],[ACTIVITY]],TAGS!$B:$P,12,FALSE)</f>
        <v>Consolidation</v>
      </c>
      <c r="AA190" s="51" t="str">
        <f>VLOOKUP(Table3[[#This Row],[ACTIVITY]],TAGS!$B:$P,13,FALSE)</f>
        <v>1. Bayanihan Agri Cluster</v>
      </c>
      <c r="AB190" s="51" t="str">
        <f>VLOOKUP(Table3[[#This Row],[ACTIVITY]],TAGS!$B:$P,14,FALSE)</f>
        <v>EXPAND AND IMPROVE AVAILABLE AGRI-FISHERY AREAS FOR INCREASED PRODUCTION</v>
      </c>
      <c r="AC190" s="51" t="str">
        <f>VLOOKUP(Table3[[#This Row],[ACTIVITY]],TAGS!$B:$P,15,FALSE)</f>
        <v>Farm Inputs</v>
      </c>
      <c r="AD190" s="51" t="str">
        <f>VLOOKUP(Table3[[#This Row],[PI LEVEL 3]],'PI LEVEL'!$A:$G,7,FALSE)</f>
        <v>DA-Level Output</v>
      </c>
      <c r="AE190" s="47" t="s">
        <v>577</v>
      </c>
      <c r="AF190" s="51" t="str">
        <f>VLOOKUP(Table3[[#This Row],[ACTIVITY]],TAGS!$B:$P,3,FALSE)</f>
        <v>kilogram</v>
      </c>
      <c r="AG190" s="47" t="s">
        <v>334</v>
      </c>
      <c r="AH190" s="51" t="str">
        <f>VLOOKUP(Table3[[#This Row],[MONTH]],TAGS!$W$67:$Y$81,2,FALSE)</f>
        <v>3RD QTR</v>
      </c>
      <c r="AI190" s="51" t="str">
        <f>VLOOKUP(Table3[[#This Row],[MONTH]],TAGS!$W$67:$Y$81,3,FALSE)</f>
        <v>2ND SEMESTER</v>
      </c>
      <c r="AJ190" s="51">
        <f>VLOOKUP(Table3[[#This Row],[MONTH]],TAGS!$W$67:$Z$81,4,FALSE)</f>
        <v>2025</v>
      </c>
      <c r="AK190" s="47">
        <v>20400</v>
      </c>
      <c r="AL190" s="51" t="str">
        <f>VLOOKUP(Table3[[#This Row],[ACTIVITY]],TAGS!$B:$R,16,FALSE)</f>
        <v>YES</v>
      </c>
      <c r="AM190" s="47">
        <v>204</v>
      </c>
      <c r="AN190" s="47">
        <v>918</v>
      </c>
      <c r="AO190" s="57">
        <f>SUM(Table3[[#This Row],[MALE BENEFICIARIES]:[FEMALE BENEFICIARIES]])</f>
        <v>0</v>
      </c>
      <c r="AP190" s="58"/>
      <c r="AQ190" s="58"/>
      <c r="AR190" s="58"/>
      <c r="AS190" s="58">
        <v>1</v>
      </c>
      <c r="AT190" s="59">
        <v>204</v>
      </c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</row>
    <row r="191" spans="1:65">
      <c r="A191" s="51" t="str">
        <f>VLOOKUP(Table3[[#This Row],[OU]],OU!$A$15:$B$34,2,FALSE)</f>
        <v>RFOs</v>
      </c>
      <c r="B191" s="47" t="s">
        <v>5</v>
      </c>
      <c r="C191" s="47" t="s">
        <v>574</v>
      </c>
      <c r="D191" s="47"/>
      <c r="E191" s="47" t="s">
        <v>63</v>
      </c>
      <c r="F191" s="47" t="s">
        <v>692</v>
      </c>
      <c r="G19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19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25004000</v>
      </c>
      <c r="I191" s="52" t="str">
        <f>VLOOKUP(Table3[[#This Row],[PSGC]],DISTRICT!$D:$G,4,FALSE)</f>
        <v>1st</v>
      </c>
      <c r="J191" s="47" t="s">
        <v>578</v>
      </c>
      <c r="K191" s="51" t="str">
        <f>VLOOKUP(Table3[[#This Row],[SPECIFIC COMMODITY]],TAGS!$W$48:$X$53,2,FALSE)</f>
        <v>Corn</v>
      </c>
      <c r="L191" s="51" t="str">
        <f>VLOOKUP(Table3[[#This Row],[PREXC SUB-PROGRAM]],Table5[],2,FALSE)</f>
        <v>TECHNICAL AND SUPPORT SERVICES PROGRAM</v>
      </c>
      <c r="M191" s="51" t="str">
        <f>VLOOKUP(Table3[[#This Row],[COMMODITY PREXC SUB-PROGRAM]],TAGS!$U$54:$V$76,2,FALSE)</f>
        <v>PSS</v>
      </c>
      <c r="N191" s="47" t="s">
        <v>576</v>
      </c>
      <c r="O191" s="54" t="str">
        <f>VLOOKUP(Table3[[#This Row],[PI LEVEL 3]],'PI LEVEL'!A:C,3,FALSE)</f>
        <v>Fertilizers and other soil ammendment distributed</v>
      </c>
      <c r="P191" s="54" t="str">
        <f>VLOOKUP(Table3[[#This Row],[PI LEVEL 3]],Table53729[[Performance Indicator Level 3]:[Performance Indicator Level 1]],2,FALSE)</f>
        <v>Fertilizers distributed</v>
      </c>
      <c r="Q191" s="54" t="str">
        <f>VLOOKUP(Table3[[#This Row],[ACTIVITY]],TAGS!B:P,2,FALSE)</f>
        <v>Inorganic fertilizer distributed</v>
      </c>
      <c r="R191" s="47" t="s">
        <v>36</v>
      </c>
      <c r="S191" s="51" t="str">
        <f>VLOOKUP(Table3[[#This Row],[ACTIVITY]],TAGS!$B:$P,4,FALSE)</f>
        <v>Yellow Corn Production Enhancement Project</v>
      </c>
      <c r="T191" s="51" t="str">
        <f>VLOOKUP(Table3[[#This Row],[ACTIVITY]],TAGS!$B:$P,5,FALSE)</f>
        <v>Soil Fertilization</v>
      </c>
      <c r="U191" s="51" t="str">
        <f>VLOOKUP(Table3[[#This Row],[ACTIVITY]],TAGS!$B:$P,6,FALSE)</f>
        <v>Inorganic fertilizer</v>
      </c>
      <c r="V191" s="51" t="str">
        <f>VLOOKUP(Table3[[#This Row],[ACTIVITY]],TAGS!$B:$P,7,FALSE)</f>
        <v>NO</v>
      </c>
      <c r="W191" s="51" t="str">
        <f>VLOOKUP(Table3[[#This Row],[ACTIVITY]],TAGS!$B:$P,8,FALSE)</f>
        <v>PAP</v>
      </c>
      <c r="X191" s="51" t="str">
        <f>VLOOKUP(Table3[[#This Row],[ACTIVITY]],TAGS!$B:$P,10,FALSE)</f>
        <v>PIP</v>
      </c>
      <c r="Y191" s="51" t="str">
        <f>VLOOKUP(Table3[[#This Row],[ACTIVITY]],TAGS!$B:$P,11,FALSE)</f>
        <v>PICS</v>
      </c>
      <c r="Z191" s="51" t="str">
        <f>VLOOKUP(Table3[[#This Row],[ACTIVITY]],TAGS!$B:$P,12,FALSE)</f>
        <v>Consolidation</v>
      </c>
      <c r="AA191" s="51" t="str">
        <f>VLOOKUP(Table3[[#This Row],[ACTIVITY]],TAGS!$B:$P,13,FALSE)</f>
        <v>1. Bayanihan Agri Cluster</v>
      </c>
      <c r="AB191" s="51" t="str">
        <f>VLOOKUP(Table3[[#This Row],[ACTIVITY]],TAGS!$B:$P,14,FALSE)</f>
        <v>EXPAND AND IMPROVE AVAILABLE AGRI-FISHERY AREAS FOR INCREASED PRODUCTION</v>
      </c>
      <c r="AC191" s="51" t="str">
        <f>VLOOKUP(Table3[[#This Row],[ACTIVITY]],TAGS!$B:$P,15,FALSE)</f>
        <v>Farm Inputs</v>
      </c>
      <c r="AD191" s="51" t="str">
        <f>VLOOKUP(Table3[[#This Row],[PI LEVEL 3]],'PI LEVEL'!$A:$G,7,FALSE)</f>
        <v>DA-Level Output</v>
      </c>
      <c r="AE191" s="47" t="s">
        <v>577</v>
      </c>
      <c r="AF191" s="51" t="str">
        <f>VLOOKUP(Table3[[#This Row],[ACTIVITY]],TAGS!$B:$P,3,FALSE)</f>
        <v>kilogram</v>
      </c>
      <c r="AG191" s="47" t="s">
        <v>334</v>
      </c>
      <c r="AH191" s="51" t="str">
        <f>VLOOKUP(Table3[[#This Row],[MONTH]],TAGS!$W$67:$Y$81,2,FALSE)</f>
        <v>3RD QTR</v>
      </c>
      <c r="AI191" s="51" t="str">
        <f>VLOOKUP(Table3[[#This Row],[MONTH]],TAGS!$W$67:$Y$81,3,FALSE)</f>
        <v>2ND SEMESTER</v>
      </c>
      <c r="AJ191" s="51">
        <f>VLOOKUP(Table3[[#This Row],[MONTH]],TAGS!$W$67:$Z$81,4,FALSE)</f>
        <v>2025</v>
      </c>
      <c r="AK191" s="47">
        <v>5100</v>
      </c>
      <c r="AL191" s="51" t="str">
        <f>VLOOKUP(Table3[[#This Row],[ACTIVITY]],TAGS!$B:$R,16,FALSE)</f>
        <v>YES</v>
      </c>
      <c r="AM191" s="47">
        <v>51</v>
      </c>
      <c r="AN191" s="47">
        <v>229.5</v>
      </c>
      <c r="AO191" s="57">
        <f>SUM(Table3[[#This Row],[MALE BENEFICIARIES]:[FEMALE BENEFICIARIES]])</f>
        <v>0</v>
      </c>
      <c r="AP191" s="58"/>
      <c r="AQ191" s="58"/>
      <c r="AR191" s="58"/>
      <c r="AS191" s="58">
        <v>1</v>
      </c>
      <c r="AT191" s="59">
        <v>51</v>
      </c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</row>
    <row r="192" spans="1:65">
      <c r="A192" s="51" t="str">
        <f>VLOOKUP(Table3[[#This Row],[OU]],OU!$A$15:$B$34,2,FALSE)</f>
        <v>RFOs</v>
      </c>
      <c r="B192" s="47" t="s">
        <v>5</v>
      </c>
      <c r="C192" s="47" t="s">
        <v>574</v>
      </c>
      <c r="D192" s="47"/>
      <c r="E192" s="47" t="s">
        <v>63</v>
      </c>
      <c r="F192" s="47" t="s">
        <v>632</v>
      </c>
      <c r="G19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19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25007000</v>
      </c>
      <c r="I192" s="52" t="str">
        <f>VLOOKUP(Table3[[#This Row],[PSGC]],DISTRICT!$D:$G,4,FALSE)</f>
        <v>3rd</v>
      </c>
      <c r="J192" s="47" t="s">
        <v>578</v>
      </c>
      <c r="K192" s="51" t="str">
        <f>VLOOKUP(Table3[[#This Row],[SPECIFIC COMMODITY]],TAGS!$W$48:$X$53,2,FALSE)</f>
        <v>Corn</v>
      </c>
      <c r="L192" s="51" t="str">
        <f>VLOOKUP(Table3[[#This Row],[PREXC SUB-PROGRAM]],Table5[],2,FALSE)</f>
        <v>TECHNICAL AND SUPPORT SERVICES PROGRAM</v>
      </c>
      <c r="M192" s="51" t="str">
        <f>VLOOKUP(Table3[[#This Row],[COMMODITY PREXC SUB-PROGRAM]],TAGS!$U$54:$V$76,2,FALSE)</f>
        <v>PSS</v>
      </c>
      <c r="N192" s="47" t="s">
        <v>576</v>
      </c>
      <c r="O192" s="54" t="str">
        <f>VLOOKUP(Table3[[#This Row],[PI LEVEL 3]],'PI LEVEL'!A:C,3,FALSE)</f>
        <v>Fertilizers and other soil ammendment distributed</v>
      </c>
      <c r="P192" s="54" t="str">
        <f>VLOOKUP(Table3[[#This Row],[PI LEVEL 3]],Table53729[[Performance Indicator Level 3]:[Performance Indicator Level 1]],2,FALSE)</f>
        <v>Fertilizers distributed</v>
      </c>
      <c r="Q192" s="54" t="str">
        <f>VLOOKUP(Table3[[#This Row],[ACTIVITY]],TAGS!B:P,2,FALSE)</f>
        <v>Inorganic fertilizer distributed</v>
      </c>
      <c r="R192" s="47" t="s">
        <v>36</v>
      </c>
      <c r="S192" s="51" t="str">
        <f>VLOOKUP(Table3[[#This Row],[ACTIVITY]],TAGS!$B:$P,4,FALSE)</f>
        <v>Yellow Corn Production Enhancement Project</v>
      </c>
      <c r="T192" s="51" t="str">
        <f>VLOOKUP(Table3[[#This Row],[ACTIVITY]],TAGS!$B:$P,5,FALSE)</f>
        <v>Soil Fertilization</v>
      </c>
      <c r="U192" s="51" t="str">
        <f>VLOOKUP(Table3[[#This Row],[ACTIVITY]],TAGS!$B:$P,6,FALSE)</f>
        <v>Inorganic fertilizer</v>
      </c>
      <c r="V192" s="51" t="str">
        <f>VLOOKUP(Table3[[#This Row],[ACTIVITY]],TAGS!$B:$P,7,FALSE)</f>
        <v>NO</v>
      </c>
      <c r="W192" s="51" t="str">
        <f>VLOOKUP(Table3[[#This Row],[ACTIVITY]],TAGS!$B:$P,8,FALSE)</f>
        <v>PAP</v>
      </c>
      <c r="X192" s="51" t="str">
        <f>VLOOKUP(Table3[[#This Row],[ACTIVITY]],TAGS!$B:$P,10,FALSE)</f>
        <v>PIP</v>
      </c>
      <c r="Y192" s="51" t="str">
        <f>VLOOKUP(Table3[[#This Row],[ACTIVITY]],TAGS!$B:$P,11,FALSE)</f>
        <v>PICS</v>
      </c>
      <c r="Z192" s="51" t="str">
        <f>VLOOKUP(Table3[[#This Row],[ACTIVITY]],TAGS!$B:$P,12,FALSE)</f>
        <v>Consolidation</v>
      </c>
      <c r="AA192" s="51" t="str">
        <f>VLOOKUP(Table3[[#This Row],[ACTIVITY]],TAGS!$B:$P,13,FALSE)</f>
        <v>1. Bayanihan Agri Cluster</v>
      </c>
      <c r="AB192" s="51" t="str">
        <f>VLOOKUP(Table3[[#This Row],[ACTIVITY]],TAGS!$B:$P,14,FALSE)</f>
        <v>EXPAND AND IMPROVE AVAILABLE AGRI-FISHERY AREAS FOR INCREASED PRODUCTION</v>
      </c>
      <c r="AC192" s="51" t="str">
        <f>VLOOKUP(Table3[[#This Row],[ACTIVITY]],TAGS!$B:$P,15,FALSE)</f>
        <v>Farm Inputs</v>
      </c>
      <c r="AD192" s="51" t="str">
        <f>VLOOKUP(Table3[[#This Row],[PI LEVEL 3]],'PI LEVEL'!$A:$G,7,FALSE)</f>
        <v>DA-Level Output</v>
      </c>
      <c r="AE192" s="47" t="s">
        <v>577</v>
      </c>
      <c r="AF192" s="51" t="str">
        <f>VLOOKUP(Table3[[#This Row],[ACTIVITY]],TAGS!$B:$P,3,FALSE)</f>
        <v>kilogram</v>
      </c>
      <c r="AG192" s="47" t="s">
        <v>334</v>
      </c>
      <c r="AH192" s="51" t="str">
        <f>VLOOKUP(Table3[[#This Row],[MONTH]],TAGS!$W$67:$Y$81,2,FALSE)</f>
        <v>3RD QTR</v>
      </c>
      <c r="AI192" s="51" t="str">
        <f>VLOOKUP(Table3[[#This Row],[MONTH]],TAGS!$W$67:$Y$81,3,FALSE)</f>
        <v>2ND SEMESTER</v>
      </c>
      <c r="AJ192" s="51">
        <f>VLOOKUP(Table3[[#This Row],[MONTH]],TAGS!$W$67:$Z$81,4,FALSE)</f>
        <v>2025</v>
      </c>
      <c r="AK192" s="47">
        <v>500</v>
      </c>
      <c r="AL192" s="51" t="str">
        <f>VLOOKUP(Table3[[#This Row],[ACTIVITY]],TAGS!$B:$R,16,FALSE)</f>
        <v>YES</v>
      </c>
      <c r="AM192" s="47">
        <v>5</v>
      </c>
      <c r="AN192" s="47">
        <v>22.5</v>
      </c>
      <c r="AO192" s="57">
        <f>SUM(Table3[[#This Row],[MALE BENEFICIARIES]:[FEMALE BENEFICIARIES]])</f>
        <v>0</v>
      </c>
      <c r="AP192" s="58"/>
      <c r="AQ192" s="58"/>
      <c r="AR192" s="58"/>
      <c r="AS192" s="58">
        <v>1</v>
      </c>
      <c r="AT192" s="59">
        <v>5</v>
      </c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</row>
    <row r="193" spans="1:65">
      <c r="A193" s="51" t="str">
        <f>VLOOKUP(Table3[[#This Row],[OU]],OU!$A$15:$B$34,2,FALSE)</f>
        <v>RFOs</v>
      </c>
      <c r="B193" s="47" t="s">
        <v>5</v>
      </c>
      <c r="C193" s="47" t="s">
        <v>574</v>
      </c>
      <c r="D193" s="47"/>
      <c r="E193" s="47" t="s">
        <v>63</v>
      </c>
      <c r="F193" s="47" t="s">
        <v>693</v>
      </c>
      <c r="G19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19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25009000</v>
      </c>
      <c r="I193" s="52" t="str">
        <f>VLOOKUP(Table3[[#This Row],[PSGC]],DISTRICT!$D:$G,4,FALSE)</f>
        <v>3rd</v>
      </c>
      <c r="J193" s="47" t="s">
        <v>578</v>
      </c>
      <c r="K193" s="51" t="str">
        <f>VLOOKUP(Table3[[#This Row],[SPECIFIC COMMODITY]],TAGS!$W$48:$X$53,2,FALSE)</f>
        <v>Corn</v>
      </c>
      <c r="L193" s="51" t="str">
        <f>VLOOKUP(Table3[[#This Row],[PREXC SUB-PROGRAM]],Table5[],2,FALSE)</f>
        <v>TECHNICAL AND SUPPORT SERVICES PROGRAM</v>
      </c>
      <c r="M193" s="51" t="str">
        <f>VLOOKUP(Table3[[#This Row],[COMMODITY PREXC SUB-PROGRAM]],TAGS!$U$54:$V$76,2,FALSE)</f>
        <v>PSS</v>
      </c>
      <c r="N193" s="47" t="s">
        <v>576</v>
      </c>
      <c r="O193" s="54" t="str">
        <f>VLOOKUP(Table3[[#This Row],[PI LEVEL 3]],'PI LEVEL'!A:C,3,FALSE)</f>
        <v>Fertilizers and other soil ammendment distributed</v>
      </c>
      <c r="P193" s="54" t="str">
        <f>VLOOKUP(Table3[[#This Row],[PI LEVEL 3]],Table53729[[Performance Indicator Level 3]:[Performance Indicator Level 1]],2,FALSE)</f>
        <v>Fertilizers distributed</v>
      </c>
      <c r="Q193" s="54" t="str">
        <f>VLOOKUP(Table3[[#This Row],[ACTIVITY]],TAGS!B:P,2,FALSE)</f>
        <v>Inorganic fertilizer distributed</v>
      </c>
      <c r="R193" s="47" t="s">
        <v>36</v>
      </c>
      <c r="S193" s="51" t="str">
        <f>VLOOKUP(Table3[[#This Row],[ACTIVITY]],TAGS!$B:$P,4,FALSE)</f>
        <v>Yellow Corn Production Enhancement Project</v>
      </c>
      <c r="T193" s="51" t="str">
        <f>VLOOKUP(Table3[[#This Row],[ACTIVITY]],TAGS!$B:$P,5,FALSE)</f>
        <v>Soil Fertilization</v>
      </c>
      <c r="U193" s="51" t="str">
        <f>VLOOKUP(Table3[[#This Row],[ACTIVITY]],TAGS!$B:$P,6,FALSE)</f>
        <v>Inorganic fertilizer</v>
      </c>
      <c r="V193" s="51" t="str">
        <f>VLOOKUP(Table3[[#This Row],[ACTIVITY]],TAGS!$B:$P,7,FALSE)</f>
        <v>NO</v>
      </c>
      <c r="W193" s="51" t="str">
        <f>VLOOKUP(Table3[[#This Row],[ACTIVITY]],TAGS!$B:$P,8,FALSE)</f>
        <v>PAP</v>
      </c>
      <c r="X193" s="51" t="str">
        <f>VLOOKUP(Table3[[#This Row],[ACTIVITY]],TAGS!$B:$P,10,FALSE)</f>
        <v>PIP</v>
      </c>
      <c r="Y193" s="51" t="str">
        <f>VLOOKUP(Table3[[#This Row],[ACTIVITY]],TAGS!$B:$P,11,FALSE)</f>
        <v>PICS</v>
      </c>
      <c r="Z193" s="51" t="str">
        <f>VLOOKUP(Table3[[#This Row],[ACTIVITY]],TAGS!$B:$P,12,FALSE)</f>
        <v>Consolidation</v>
      </c>
      <c r="AA193" s="51" t="str">
        <f>VLOOKUP(Table3[[#This Row],[ACTIVITY]],TAGS!$B:$P,13,FALSE)</f>
        <v>1. Bayanihan Agri Cluster</v>
      </c>
      <c r="AB193" s="51" t="str">
        <f>VLOOKUP(Table3[[#This Row],[ACTIVITY]],TAGS!$B:$P,14,FALSE)</f>
        <v>EXPAND AND IMPROVE AVAILABLE AGRI-FISHERY AREAS FOR INCREASED PRODUCTION</v>
      </c>
      <c r="AC193" s="51" t="str">
        <f>VLOOKUP(Table3[[#This Row],[ACTIVITY]],TAGS!$B:$P,15,FALSE)</f>
        <v>Farm Inputs</v>
      </c>
      <c r="AD193" s="51" t="str">
        <f>VLOOKUP(Table3[[#This Row],[PI LEVEL 3]],'PI LEVEL'!$A:$G,7,FALSE)</f>
        <v>DA-Level Output</v>
      </c>
      <c r="AE193" s="47" t="s">
        <v>577</v>
      </c>
      <c r="AF193" s="51" t="str">
        <f>VLOOKUP(Table3[[#This Row],[ACTIVITY]],TAGS!$B:$P,3,FALSE)</f>
        <v>kilogram</v>
      </c>
      <c r="AG193" s="47" t="s">
        <v>334</v>
      </c>
      <c r="AH193" s="51" t="str">
        <f>VLOOKUP(Table3[[#This Row],[MONTH]],TAGS!$W$67:$Y$81,2,FALSE)</f>
        <v>3RD QTR</v>
      </c>
      <c r="AI193" s="51" t="str">
        <f>VLOOKUP(Table3[[#This Row],[MONTH]],TAGS!$W$67:$Y$81,3,FALSE)</f>
        <v>2ND SEMESTER</v>
      </c>
      <c r="AJ193" s="51">
        <f>VLOOKUP(Table3[[#This Row],[MONTH]],TAGS!$W$67:$Z$81,4,FALSE)</f>
        <v>2025</v>
      </c>
      <c r="AK193" s="47">
        <v>500</v>
      </c>
      <c r="AL193" s="51" t="str">
        <f>VLOOKUP(Table3[[#This Row],[ACTIVITY]],TAGS!$B:$R,16,FALSE)</f>
        <v>YES</v>
      </c>
      <c r="AM193" s="47">
        <v>5</v>
      </c>
      <c r="AN193" s="47">
        <v>22.5</v>
      </c>
      <c r="AO193" s="57">
        <f>SUM(Table3[[#This Row],[MALE BENEFICIARIES]:[FEMALE BENEFICIARIES]])</f>
        <v>0</v>
      </c>
      <c r="AP193" s="58"/>
      <c r="AQ193" s="58"/>
      <c r="AR193" s="58"/>
      <c r="AS193" s="58">
        <v>1</v>
      </c>
      <c r="AT193" s="59">
        <v>5</v>
      </c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</row>
    <row r="194" spans="1:65">
      <c r="A194" s="51" t="str">
        <f>VLOOKUP(Table3[[#This Row],[OU]],OU!$A$15:$B$34,2,FALSE)</f>
        <v>RFOs</v>
      </c>
      <c r="B194" s="47" t="s">
        <v>5</v>
      </c>
      <c r="C194" s="47" t="s">
        <v>574</v>
      </c>
      <c r="D194" s="47"/>
      <c r="E194" s="47" t="s">
        <v>63</v>
      </c>
      <c r="F194" s="47" t="s">
        <v>633</v>
      </c>
      <c r="G19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19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25010000</v>
      </c>
      <c r="I194" s="52" t="str">
        <f>VLOOKUP(Table3[[#This Row],[PSGC]],DISTRICT!$D:$G,4,FALSE)</f>
        <v>3rd</v>
      </c>
      <c r="J194" s="47" t="s">
        <v>578</v>
      </c>
      <c r="K194" s="51" t="str">
        <f>VLOOKUP(Table3[[#This Row],[SPECIFIC COMMODITY]],TAGS!$W$48:$X$53,2,FALSE)</f>
        <v>Corn</v>
      </c>
      <c r="L194" s="51" t="str">
        <f>VLOOKUP(Table3[[#This Row],[PREXC SUB-PROGRAM]],Table5[],2,FALSE)</f>
        <v>TECHNICAL AND SUPPORT SERVICES PROGRAM</v>
      </c>
      <c r="M194" s="51" t="str">
        <f>VLOOKUP(Table3[[#This Row],[COMMODITY PREXC SUB-PROGRAM]],TAGS!$U$54:$V$76,2,FALSE)</f>
        <v>PSS</v>
      </c>
      <c r="N194" s="47" t="s">
        <v>576</v>
      </c>
      <c r="O194" s="54" t="str">
        <f>VLOOKUP(Table3[[#This Row],[PI LEVEL 3]],'PI LEVEL'!A:C,3,FALSE)</f>
        <v>Fertilizers and other soil ammendment distributed</v>
      </c>
      <c r="P194" s="54" t="str">
        <f>VLOOKUP(Table3[[#This Row],[PI LEVEL 3]],Table53729[[Performance Indicator Level 3]:[Performance Indicator Level 1]],2,FALSE)</f>
        <v>Fertilizers distributed</v>
      </c>
      <c r="Q194" s="54" t="str">
        <f>VLOOKUP(Table3[[#This Row],[ACTIVITY]],TAGS!B:P,2,FALSE)</f>
        <v>Inorganic fertilizer distributed</v>
      </c>
      <c r="R194" s="47" t="s">
        <v>36</v>
      </c>
      <c r="S194" s="51" t="str">
        <f>VLOOKUP(Table3[[#This Row],[ACTIVITY]],TAGS!$B:$P,4,FALSE)</f>
        <v>Yellow Corn Production Enhancement Project</v>
      </c>
      <c r="T194" s="51" t="str">
        <f>VLOOKUP(Table3[[#This Row],[ACTIVITY]],TAGS!$B:$P,5,FALSE)</f>
        <v>Soil Fertilization</v>
      </c>
      <c r="U194" s="51" t="str">
        <f>VLOOKUP(Table3[[#This Row],[ACTIVITY]],TAGS!$B:$P,6,FALSE)</f>
        <v>Inorganic fertilizer</v>
      </c>
      <c r="V194" s="51" t="str">
        <f>VLOOKUP(Table3[[#This Row],[ACTIVITY]],TAGS!$B:$P,7,FALSE)</f>
        <v>NO</v>
      </c>
      <c r="W194" s="51" t="str">
        <f>VLOOKUP(Table3[[#This Row],[ACTIVITY]],TAGS!$B:$P,8,FALSE)</f>
        <v>PAP</v>
      </c>
      <c r="X194" s="51" t="str">
        <f>VLOOKUP(Table3[[#This Row],[ACTIVITY]],TAGS!$B:$P,10,FALSE)</f>
        <v>PIP</v>
      </c>
      <c r="Y194" s="51" t="str">
        <f>VLOOKUP(Table3[[#This Row],[ACTIVITY]],TAGS!$B:$P,11,FALSE)</f>
        <v>PICS</v>
      </c>
      <c r="Z194" s="51" t="str">
        <f>VLOOKUP(Table3[[#This Row],[ACTIVITY]],TAGS!$B:$P,12,FALSE)</f>
        <v>Consolidation</v>
      </c>
      <c r="AA194" s="51" t="str">
        <f>VLOOKUP(Table3[[#This Row],[ACTIVITY]],TAGS!$B:$P,13,FALSE)</f>
        <v>1. Bayanihan Agri Cluster</v>
      </c>
      <c r="AB194" s="51" t="str">
        <f>VLOOKUP(Table3[[#This Row],[ACTIVITY]],TAGS!$B:$P,14,FALSE)</f>
        <v>EXPAND AND IMPROVE AVAILABLE AGRI-FISHERY AREAS FOR INCREASED PRODUCTION</v>
      </c>
      <c r="AC194" s="51" t="str">
        <f>VLOOKUP(Table3[[#This Row],[ACTIVITY]],TAGS!$B:$P,15,FALSE)</f>
        <v>Farm Inputs</v>
      </c>
      <c r="AD194" s="51" t="str">
        <f>VLOOKUP(Table3[[#This Row],[PI LEVEL 3]],'PI LEVEL'!$A:$G,7,FALSE)</f>
        <v>DA-Level Output</v>
      </c>
      <c r="AE194" s="47" t="s">
        <v>577</v>
      </c>
      <c r="AF194" s="51" t="str">
        <f>VLOOKUP(Table3[[#This Row],[ACTIVITY]],TAGS!$B:$P,3,FALSE)</f>
        <v>kilogram</v>
      </c>
      <c r="AG194" s="47" t="s">
        <v>334</v>
      </c>
      <c r="AH194" s="51" t="str">
        <f>VLOOKUP(Table3[[#This Row],[MONTH]],TAGS!$W$67:$Y$81,2,FALSE)</f>
        <v>3RD QTR</v>
      </c>
      <c r="AI194" s="51" t="str">
        <f>VLOOKUP(Table3[[#This Row],[MONTH]],TAGS!$W$67:$Y$81,3,FALSE)</f>
        <v>2ND SEMESTER</v>
      </c>
      <c r="AJ194" s="51">
        <f>VLOOKUP(Table3[[#This Row],[MONTH]],TAGS!$W$67:$Z$81,4,FALSE)</f>
        <v>2025</v>
      </c>
      <c r="AK194" s="47">
        <v>700</v>
      </c>
      <c r="AL194" s="51" t="str">
        <f>VLOOKUP(Table3[[#This Row],[ACTIVITY]],TAGS!$B:$R,16,FALSE)</f>
        <v>YES</v>
      </c>
      <c r="AM194" s="47">
        <v>7</v>
      </c>
      <c r="AN194" s="47">
        <v>31.5</v>
      </c>
      <c r="AO194" s="57">
        <f>SUM(Table3[[#This Row],[MALE BENEFICIARIES]:[FEMALE BENEFICIARIES]])</f>
        <v>0</v>
      </c>
      <c r="AP194" s="58"/>
      <c r="AQ194" s="58"/>
      <c r="AR194" s="58"/>
      <c r="AS194" s="58">
        <v>1</v>
      </c>
      <c r="AT194" s="59">
        <v>7</v>
      </c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</row>
    <row r="195" spans="1:65">
      <c r="A195" s="51" t="str">
        <f>VLOOKUP(Table3[[#This Row],[OU]],OU!$A$15:$B$34,2,FALSE)</f>
        <v>RFOs</v>
      </c>
      <c r="B195" s="47" t="s">
        <v>5</v>
      </c>
      <c r="C195" s="47" t="s">
        <v>574</v>
      </c>
      <c r="D195" s="47"/>
      <c r="E195" s="47" t="s">
        <v>70</v>
      </c>
      <c r="F195" s="47" t="s">
        <v>634</v>
      </c>
      <c r="G19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19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25701000</v>
      </c>
      <c r="I195" s="52" t="str">
        <f>VLOOKUP(Table3[[#This Row],[PSGC]],DISTRICT!$D:$G,4,FALSE)</f>
        <v>3rd</v>
      </c>
      <c r="J195" s="47" t="s">
        <v>578</v>
      </c>
      <c r="K195" s="51" t="str">
        <f>VLOOKUP(Table3[[#This Row],[SPECIFIC COMMODITY]],TAGS!$W$48:$X$53,2,FALSE)</f>
        <v>Corn</v>
      </c>
      <c r="L195" s="51" t="str">
        <f>VLOOKUP(Table3[[#This Row],[PREXC SUB-PROGRAM]],Table5[],2,FALSE)</f>
        <v>TECHNICAL AND SUPPORT SERVICES PROGRAM</v>
      </c>
      <c r="M195" s="51" t="str">
        <f>VLOOKUP(Table3[[#This Row],[COMMODITY PREXC SUB-PROGRAM]],TAGS!$U$54:$V$76,2,FALSE)</f>
        <v>PSS</v>
      </c>
      <c r="N195" s="47" t="s">
        <v>576</v>
      </c>
      <c r="O195" s="54" t="str">
        <f>VLOOKUP(Table3[[#This Row],[PI LEVEL 3]],'PI LEVEL'!A:C,3,FALSE)</f>
        <v>Fertilizers and other soil ammendment distributed</v>
      </c>
      <c r="P195" s="54" t="str">
        <f>VLOOKUP(Table3[[#This Row],[PI LEVEL 3]],Table53729[[Performance Indicator Level 3]:[Performance Indicator Level 1]],2,FALSE)</f>
        <v>Fertilizers distributed</v>
      </c>
      <c r="Q195" s="54" t="str">
        <f>VLOOKUP(Table3[[#This Row],[ACTIVITY]],TAGS!B:P,2,FALSE)</f>
        <v>Inorganic fertilizer distributed</v>
      </c>
      <c r="R195" s="47" t="s">
        <v>36</v>
      </c>
      <c r="S195" s="51" t="str">
        <f>VLOOKUP(Table3[[#This Row],[ACTIVITY]],TAGS!$B:$P,4,FALSE)</f>
        <v>Yellow Corn Production Enhancement Project</v>
      </c>
      <c r="T195" s="51" t="str">
        <f>VLOOKUP(Table3[[#This Row],[ACTIVITY]],TAGS!$B:$P,5,FALSE)</f>
        <v>Soil Fertilization</v>
      </c>
      <c r="U195" s="51" t="str">
        <f>VLOOKUP(Table3[[#This Row],[ACTIVITY]],TAGS!$B:$P,6,FALSE)</f>
        <v>Inorganic fertilizer</v>
      </c>
      <c r="V195" s="51" t="str">
        <f>VLOOKUP(Table3[[#This Row],[ACTIVITY]],TAGS!$B:$P,7,FALSE)</f>
        <v>NO</v>
      </c>
      <c r="W195" s="51" t="str">
        <f>VLOOKUP(Table3[[#This Row],[ACTIVITY]],TAGS!$B:$P,8,FALSE)</f>
        <v>PAP</v>
      </c>
      <c r="X195" s="51" t="str">
        <f>VLOOKUP(Table3[[#This Row],[ACTIVITY]],TAGS!$B:$P,10,FALSE)</f>
        <v>PIP</v>
      </c>
      <c r="Y195" s="51" t="str">
        <f>VLOOKUP(Table3[[#This Row],[ACTIVITY]],TAGS!$B:$P,11,FALSE)</f>
        <v>PICS</v>
      </c>
      <c r="Z195" s="51" t="str">
        <f>VLOOKUP(Table3[[#This Row],[ACTIVITY]],TAGS!$B:$P,12,FALSE)</f>
        <v>Consolidation</v>
      </c>
      <c r="AA195" s="51" t="str">
        <f>VLOOKUP(Table3[[#This Row],[ACTIVITY]],TAGS!$B:$P,13,FALSE)</f>
        <v>1. Bayanihan Agri Cluster</v>
      </c>
      <c r="AB195" s="51" t="str">
        <f>VLOOKUP(Table3[[#This Row],[ACTIVITY]],TAGS!$B:$P,14,FALSE)</f>
        <v>EXPAND AND IMPROVE AVAILABLE AGRI-FISHERY AREAS FOR INCREASED PRODUCTION</v>
      </c>
      <c r="AC195" s="51" t="str">
        <f>VLOOKUP(Table3[[#This Row],[ACTIVITY]],TAGS!$B:$P,15,FALSE)</f>
        <v>Farm Inputs</v>
      </c>
      <c r="AD195" s="51" t="str">
        <f>VLOOKUP(Table3[[#This Row],[PI LEVEL 3]],'PI LEVEL'!$A:$G,7,FALSE)</f>
        <v>DA-Level Output</v>
      </c>
      <c r="AE195" s="47" t="s">
        <v>577</v>
      </c>
      <c r="AF195" s="51" t="str">
        <f>VLOOKUP(Table3[[#This Row],[ACTIVITY]],TAGS!$B:$P,3,FALSE)</f>
        <v>kilogram</v>
      </c>
      <c r="AG195" s="47" t="s">
        <v>334</v>
      </c>
      <c r="AH195" s="51" t="str">
        <f>VLOOKUP(Table3[[#This Row],[MONTH]],TAGS!$W$67:$Y$81,2,FALSE)</f>
        <v>3RD QTR</v>
      </c>
      <c r="AI195" s="51" t="str">
        <f>VLOOKUP(Table3[[#This Row],[MONTH]],TAGS!$W$67:$Y$81,3,FALSE)</f>
        <v>2ND SEMESTER</v>
      </c>
      <c r="AJ195" s="51">
        <f>VLOOKUP(Table3[[#This Row],[MONTH]],TAGS!$W$67:$Z$81,4,FALSE)</f>
        <v>2025</v>
      </c>
      <c r="AK195" s="47">
        <v>24100</v>
      </c>
      <c r="AL195" s="51" t="str">
        <f>VLOOKUP(Table3[[#This Row],[ACTIVITY]],TAGS!$B:$R,16,FALSE)</f>
        <v>YES</v>
      </c>
      <c r="AM195" s="47">
        <v>241</v>
      </c>
      <c r="AN195" s="47">
        <v>1084.5</v>
      </c>
      <c r="AO195" s="57">
        <f>SUM(Table3[[#This Row],[MALE BENEFICIARIES]:[FEMALE BENEFICIARIES]])</f>
        <v>0</v>
      </c>
      <c r="AP195" s="58"/>
      <c r="AQ195" s="58"/>
      <c r="AR195" s="58"/>
      <c r="AS195" s="58">
        <v>1</v>
      </c>
      <c r="AT195" s="59">
        <v>241</v>
      </c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</row>
    <row r="196" spans="1:65">
      <c r="A196" s="51" t="str">
        <f>VLOOKUP(Table3[[#This Row],[OU]],OU!$A$15:$B$34,2,FALSE)</f>
        <v>RFOs</v>
      </c>
      <c r="B196" s="47" t="s">
        <v>5</v>
      </c>
      <c r="C196" s="47" t="s">
        <v>574</v>
      </c>
      <c r="D196" s="47"/>
      <c r="E196" s="47" t="s">
        <v>70</v>
      </c>
      <c r="F196" s="47" t="s">
        <v>635</v>
      </c>
      <c r="G19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19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25702000</v>
      </c>
      <c r="I196" s="52" t="str">
        <f>VLOOKUP(Table3[[#This Row],[PSGC]],DISTRICT!$D:$G,4,FALSE)</f>
        <v>3rd</v>
      </c>
      <c r="J196" s="47" t="s">
        <v>578</v>
      </c>
      <c r="K196" s="51" t="str">
        <f>VLOOKUP(Table3[[#This Row],[SPECIFIC COMMODITY]],TAGS!$W$48:$X$53,2,FALSE)</f>
        <v>Corn</v>
      </c>
      <c r="L196" s="51" t="str">
        <f>VLOOKUP(Table3[[#This Row],[PREXC SUB-PROGRAM]],Table5[],2,FALSE)</f>
        <v>TECHNICAL AND SUPPORT SERVICES PROGRAM</v>
      </c>
      <c r="M196" s="51" t="str">
        <f>VLOOKUP(Table3[[#This Row],[COMMODITY PREXC SUB-PROGRAM]],TAGS!$U$54:$V$76,2,FALSE)</f>
        <v>PSS</v>
      </c>
      <c r="N196" s="47" t="s">
        <v>576</v>
      </c>
      <c r="O196" s="54" t="str">
        <f>VLOOKUP(Table3[[#This Row],[PI LEVEL 3]],'PI LEVEL'!A:C,3,FALSE)</f>
        <v>Fertilizers and other soil ammendment distributed</v>
      </c>
      <c r="P196" s="54" t="str">
        <f>VLOOKUP(Table3[[#This Row],[PI LEVEL 3]],Table53729[[Performance Indicator Level 3]:[Performance Indicator Level 1]],2,FALSE)</f>
        <v>Fertilizers distributed</v>
      </c>
      <c r="Q196" s="54" t="str">
        <f>VLOOKUP(Table3[[#This Row],[ACTIVITY]],TAGS!B:P,2,FALSE)</f>
        <v>Inorganic fertilizer distributed</v>
      </c>
      <c r="R196" s="47" t="s">
        <v>36</v>
      </c>
      <c r="S196" s="51" t="str">
        <f>VLOOKUP(Table3[[#This Row],[ACTIVITY]],TAGS!$B:$P,4,FALSE)</f>
        <v>Yellow Corn Production Enhancement Project</v>
      </c>
      <c r="T196" s="51" t="str">
        <f>VLOOKUP(Table3[[#This Row],[ACTIVITY]],TAGS!$B:$P,5,FALSE)</f>
        <v>Soil Fertilization</v>
      </c>
      <c r="U196" s="51" t="str">
        <f>VLOOKUP(Table3[[#This Row],[ACTIVITY]],TAGS!$B:$P,6,FALSE)</f>
        <v>Inorganic fertilizer</v>
      </c>
      <c r="V196" s="51" t="str">
        <f>VLOOKUP(Table3[[#This Row],[ACTIVITY]],TAGS!$B:$P,7,FALSE)</f>
        <v>NO</v>
      </c>
      <c r="W196" s="51" t="str">
        <f>VLOOKUP(Table3[[#This Row],[ACTIVITY]],TAGS!$B:$P,8,FALSE)</f>
        <v>PAP</v>
      </c>
      <c r="X196" s="51" t="str">
        <f>VLOOKUP(Table3[[#This Row],[ACTIVITY]],TAGS!$B:$P,10,FALSE)</f>
        <v>PIP</v>
      </c>
      <c r="Y196" s="51" t="str">
        <f>VLOOKUP(Table3[[#This Row],[ACTIVITY]],TAGS!$B:$P,11,FALSE)</f>
        <v>PICS</v>
      </c>
      <c r="Z196" s="51" t="str">
        <f>VLOOKUP(Table3[[#This Row],[ACTIVITY]],TAGS!$B:$P,12,FALSE)</f>
        <v>Consolidation</v>
      </c>
      <c r="AA196" s="51" t="str">
        <f>VLOOKUP(Table3[[#This Row],[ACTIVITY]],TAGS!$B:$P,13,FALSE)</f>
        <v>1. Bayanihan Agri Cluster</v>
      </c>
      <c r="AB196" s="51" t="str">
        <f>VLOOKUP(Table3[[#This Row],[ACTIVITY]],TAGS!$B:$P,14,FALSE)</f>
        <v>EXPAND AND IMPROVE AVAILABLE AGRI-FISHERY AREAS FOR INCREASED PRODUCTION</v>
      </c>
      <c r="AC196" s="51" t="str">
        <f>VLOOKUP(Table3[[#This Row],[ACTIVITY]],TAGS!$B:$P,15,FALSE)</f>
        <v>Farm Inputs</v>
      </c>
      <c r="AD196" s="51" t="str">
        <f>VLOOKUP(Table3[[#This Row],[PI LEVEL 3]],'PI LEVEL'!$A:$G,7,FALSE)</f>
        <v>DA-Level Output</v>
      </c>
      <c r="AE196" s="47" t="s">
        <v>577</v>
      </c>
      <c r="AF196" s="51" t="str">
        <f>VLOOKUP(Table3[[#This Row],[ACTIVITY]],TAGS!$B:$P,3,FALSE)</f>
        <v>kilogram</v>
      </c>
      <c r="AG196" s="47" t="s">
        <v>334</v>
      </c>
      <c r="AH196" s="51" t="str">
        <f>VLOOKUP(Table3[[#This Row],[MONTH]],TAGS!$W$67:$Y$81,2,FALSE)</f>
        <v>3RD QTR</v>
      </c>
      <c r="AI196" s="51" t="str">
        <f>VLOOKUP(Table3[[#This Row],[MONTH]],TAGS!$W$67:$Y$81,3,FALSE)</f>
        <v>2ND SEMESTER</v>
      </c>
      <c r="AJ196" s="51">
        <f>VLOOKUP(Table3[[#This Row],[MONTH]],TAGS!$W$67:$Z$81,4,FALSE)</f>
        <v>2025</v>
      </c>
      <c r="AK196" s="47">
        <v>19600</v>
      </c>
      <c r="AL196" s="51" t="str">
        <f>VLOOKUP(Table3[[#This Row],[ACTIVITY]],TAGS!$B:$R,16,FALSE)</f>
        <v>YES</v>
      </c>
      <c r="AM196" s="47">
        <v>196</v>
      </c>
      <c r="AN196" s="47">
        <v>882</v>
      </c>
      <c r="AO196" s="57">
        <f>SUM(Table3[[#This Row],[MALE BENEFICIARIES]:[FEMALE BENEFICIARIES]])</f>
        <v>0</v>
      </c>
      <c r="AP196" s="58"/>
      <c r="AQ196" s="58"/>
      <c r="AR196" s="58"/>
      <c r="AS196" s="58">
        <v>1</v>
      </c>
      <c r="AT196" s="59">
        <v>196</v>
      </c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  <c r="BG196" s="59"/>
      <c r="BH196" s="59"/>
      <c r="BI196" s="59"/>
      <c r="BJ196" s="59"/>
      <c r="BK196" s="59"/>
      <c r="BL196" s="59"/>
      <c r="BM196" s="59"/>
    </row>
    <row r="197" spans="1:65">
      <c r="A197" s="51" t="str">
        <f>VLOOKUP(Table3[[#This Row],[OU]],OU!$A$15:$B$34,2,FALSE)</f>
        <v>RFOs</v>
      </c>
      <c r="B197" s="47" t="s">
        <v>5</v>
      </c>
      <c r="C197" s="47" t="s">
        <v>574</v>
      </c>
      <c r="D197" s="47"/>
      <c r="E197" s="47" t="s">
        <v>70</v>
      </c>
      <c r="F197" s="47" t="s">
        <v>626</v>
      </c>
      <c r="G19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19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25703000</v>
      </c>
      <c r="I197" s="52" t="str">
        <f>VLOOKUP(Table3[[#This Row],[PSGC]],DISTRICT!$D:$G,4,FALSE)</f>
        <v>2nd</v>
      </c>
      <c r="J197" s="47" t="s">
        <v>578</v>
      </c>
      <c r="K197" s="51" t="str">
        <f>VLOOKUP(Table3[[#This Row],[SPECIFIC COMMODITY]],TAGS!$W$48:$X$53,2,FALSE)</f>
        <v>Corn</v>
      </c>
      <c r="L197" s="51" t="str">
        <f>VLOOKUP(Table3[[#This Row],[PREXC SUB-PROGRAM]],Table5[],2,FALSE)</f>
        <v>TECHNICAL AND SUPPORT SERVICES PROGRAM</v>
      </c>
      <c r="M197" s="51" t="str">
        <f>VLOOKUP(Table3[[#This Row],[COMMODITY PREXC SUB-PROGRAM]],TAGS!$U$54:$V$76,2,FALSE)</f>
        <v>PSS</v>
      </c>
      <c r="N197" s="47" t="s">
        <v>576</v>
      </c>
      <c r="O197" s="54" t="str">
        <f>VLOOKUP(Table3[[#This Row],[PI LEVEL 3]],'PI LEVEL'!A:C,3,FALSE)</f>
        <v>Fertilizers and other soil ammendment distributed</v>
      </c>
      <c r="P197" s="54" t="str">
        <f>VLOOKUP(Table3[[#This Row],[PI LEVEL 3]],Table53729[[Performance Indicator Level 3]:[Performance Indicator Level 1]],2,FALSE)</f>
        <v>Fertilizers distributed</v>
      </c>
      <c r="Q197" s="54" t="str">
        <f>VLOOKUP(Table3[[#This Row],[ACTIVITY]],TAGS!B:P,2,FALSE)</f>
        <v>Inorganic fertilizer distributed</v>
      </c>
      <c r="R197" s="47" t="s">
        <v>36</v>
      </c>
      <c r="S197" s="51" t="str">
        <f>VLOOKUP(Table3[[#This Row],[ACTIVITY]],TAGS!$B:$P,4,FALSE)</f>
        <v>Yellow Corn Production Enhancement Project</v>
      </c>
      <c r="T197" s="51" t="str">
        <f>VLOOKUP(Table3[[#This Row],[ACTIVITY]],TAGS!$B:$P,5,FALSE)</f>
        <v>Soil Fertilization</v>
      </c>
      <c r="U197" s="51" t="str">
        <f>VLOOKUP(Table3[[#This Row],[ACTIVITY]],TAGS!$B:$P,6,FALSE)</f>
        <v>Inorganic fertilizer</v>
      </c>
      <c r="V197" s="51" t="str">
        <f>VLOOKUP(Table3[[#This Row],[ACTIVITY]],TAGS!$B:$P,7,FALSE)</f>
        <v>NO</v>
      </c>
      <c r="W197" s="51" t="str">
        <f>VLOOKUP(Table3[[#This Row],[ACTIVITY]],TAGS!$B:$P,8,FALSE)</f>
        <v>PAP</v>
      </c>
      <c r="X197" s="51" t="str">
        <f>VLOOKUP(Table3[[#This Row],[ACTIVITY]],TAGS!$B:$P,10,FALSE)</f>
        <v>PIP</v>
      </c>
      <c r="Y197" s="51" t="str">
        <f>VLOOKUP(Table3[[#This Row],[ACTIVITY]],TAGS!$B:$P,11,FALSE)</f>
        <v>PICS</v>
      </c>
      <c r="Z197" s="51" t="str">
        <f>VLOOKUP(Table3[[#This Row],[ACTIVITY]],TAGS!$B:$P,12,FALSE)</f>
        <v>Consolidation</v>
      </c>
      <c r="AA197" s="51" t="str">
        <f>VLOOKUP(Table3[[#This Row],[ACTIVITY]],TAGS!$B:$P,13,FALSE)</f>
        <v>1. Bayanihan Agri Cluster</v>
      </c>
      <c r="AB197" s="51" t="str">
        <f>VLOOKUP(Table3[[#This Row],[ACTIVITY]],TAGS!$B:$P,14,FALSE)</f>
        <v>EXPAND AND IMPROVE AVAILABLE AGRI-FISHERY AREAS FOR INCREASED PRODUCTION</v>
      </c>
      <c r="AC197" s="51" t="str">
        <f>VLOOKUP(Table3[[#This Row],[ACTIVITY]],TAGS!$B:$P,15,FALSE)</f>
        <v>Farm Inputs</v>
      </c>
      <c r="AD197" s="51" t="str">
        <f>VLOOKUP(Table3[[#This Row],[PI LEVEL 3]],'PI LEVEL'!$A:$G,7,FALSE)</f>
        <v>DA-Level Output</v>
      </c>
      <c r="AE197" s="47" t="s">
        <v>577</v>
      </c>
      <c r="AF197" s="51" t="str">
        <f>VLOOKUP(Table3[[#This Row],[ACTIVITY]],TAGS!$B:$P,3,FALSE)</f>
        <v>kilogram</v>
      </c>
      <c r="AG197" s="47" t="s">
        <v>334</v>
      </c>
      <c r="AH197" s="51" t="str">
        <f>VLOOKUP(Table3[[#This Row],[MONTH]],TAGS!$W$67:$Y$81,2,FALSE)</f>
        <v>3RD QTR</v>
      </c>
      <c r="AI197" s="51" t="str">
        <f>VLOOKUP(Table3[[#This Row],[MONTH]],TAGS!$W$67:$Y$81,3,FALSE)</f>
        <v>2ND SEMESTER</v>
      </c>
      <c r="AJ197" s="51">
        <f>VLOOKUP(Table3[[#This Row],[MONTH]],TAGS!$W$67:$Z$81,4,FALSE)</f>
        <v>2025</v>
      </c>
      <c r="AK197" s="47">
        <v>51800</v>
      </c>
      <c r="AL197" s="51" t="str">
        <f>VLOOKUP(Table3[[#This Row],[ACTIVITY]],TAGS!$B:$R,16,FALSE)</f>
        <v>YES</v>
      </c>
      <c r="AM197" s="47">
        <v>518</v>
      </c>
      <c r="AN197" s="47">
        <v>2331</v>
      </c>
      <c r="AO197" s="57">
        <f>SUM(Table3[[#This Row],[MALE BENEFICIARIES]:[FEMALE BENEFICIARIES]])</f>
        <v>0</v>
      </c>
      <c r="AP197" s="58"/>
      <c r="AQ197" s="58"/>
      <c r="AR197" s="58"/>
      <c r="AS197" s="58">
        <v>1</v>
      </c>
      <c r="AT197" s="59">
        <v>518</v>
      </c>
      <c r="AU197" s="59"/>
      <c r="AV197" s="59"/>
      <c r="AW197" s="59"/>
      <c r="AX197" s="59"/>
      <c r="AY197" s="59"/>
      <c r="AZ197" s="59"/>
      <c r="BA197" s="59"/>
      <c r="BB197" s="59"/>
      <c r="BC197" s="59"/>
      <c r="BD197" s="59"/>
      <c r="BE197" s="59"/>
      <c r="BF197" s="59"/>
      <c r="BG197" s="59"/>
      <c r="BH197" s="59"/>
      <c r="BI197" s="59"/>
      <c r="BJ197" s="59"/>
      <c r="BK197" s="59"/>
      <c r="BL197" s="59"/>
      <c r="BM197" s="59"/>
    </row>
    <row r="198" spans="1:65">
      <c r="A198" s="51" t="str">
        <f>VLOOKUP(Table3[[#This Row],[OU]],OU!$A$15:$B$34,2,FALSE)</f>
        <v>RFOs</v>
      </c>
      <c r="B198" s="47" t="s">
        <v>5</v>
      </c>
      <c r="C198" s="47" t="s">
        <v>574</v>
      </c>
      <c r="D198" s="47"/>
      <c r="E198" s="47" t="s">
        <v>70</v>
      </c>
      <c r="F198" s="47" t="s">
        <v>636</v>
      </c>
      <c r="G19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19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25704000</v>
      </c>
      <c r="I198" s="52" t="str">
        <f>VLOOKUP(Table3[[#This Row],[PSGC]],DISTRICT!$D:$G,4,FALSE)</f>
        <v>1st</v>
      </c>
      <c r="J198" s="47" t="s">
        <v>578</v>
      </c>
      <c r="K198" s="51" t="str">
        <f>VLOOKUP(Table3[[#This Row],[SPECIFIC COMMODITY]],TAGS!$W$48:$X$53,2,FALSE)</f>
        <v>Corn</v>
      </c>
      <c r="L198" s="51" t="str">
        <f>VLOOKUP(Table3[[#This Row],[PREXC SUB-PROGRAM]],Table5[],2,FALSE)</f>
        <v>TECHNICAL AND SUPPORT SERVICES PROGRAM</v>
      </c>
      <c r="M198" s="51" t="str">
        <f>VLOOKUP(Table3[[#This Row],[COMMODITY PREXC SUB-PROGRAM]],TAGS!$U$54:$V$76,2,FALSE)</f>
        <v>PSS</v>
      </c>
      <c r="N198" s="47" t="s">
        <v>576</v>
      </c>
      <c r="O198" s="54" t="str">
        <f>VLOOKUP(Table3[[#This Row],[PI LEVEL 3]],'PI LEVEL'!A:C,3,FALSE)</f>
        <v>Fertilizers and other soil ammendment distributed</v>
      </c>
      <c r="P198" s="54" t="str">
        <f>VLOOKUP(Table3[[#This Row],[PI LEVEL 3]],Table53729[[Performance Indicator Level 3]:[Performance Indicator Level 1]],2,FALSE)</f>
        <v>Fertilizers distributed</v>
      </c>
      <c r="Q198" s="54" t="str">
        <f>VLOOKUP(Table3[[#This Row],[ACTIVITY]],TAGS!B:P,2,FALSE)</f>
        <v>Inorganic fertilizer distributed</v>
      </c>
      <c r="R198" s="47" t="s">
        <v>36</v>
      </c>
      <c r="S198" s="51" t="str">
        <f>VLOOKUP(Table3[[#This Row],[ACTIVITY]],TAGS!$B:$P,4,FALSE)</f>
        <v>Yellow Corn Production Enhancement Project</v>
      </c>
      <c r="T198" s="51" t="str">
        <f>VLOOKUP(Table3[[#This Row],[ACTIVITY]],TAGS!$B:$P,5,FALSE)</f>
        <v>Soil Fertilization</v>
      </c>
      <c r="U198" s="51" t="str">
        <f>VLOOKUP(Table3[[#This Row],[ACTIVITY]],TAGS!$B:$P,6,FALSE)</f>
        <v>Inorganic fertilizer</v>
      </c>
      <c r="V198" s="51" t="str">
        <f>VLOOKUP(Table3[[#This Row],[ACTIVITY]],TAGS!$B:$P,7,FALSE)</f>
        <v>NO</v>
      </c>
      <c r="W198" s="51" t="str">
        <f>VLOOKUP(Table3[[#This Row],[ACTIVITY]],TAGS!$B:$P,8,FALSE)</f>
        <v>PAP</v>
      </c>
      <c r="X198" s="51" t="str">
        <f>VLOOKUP(Table3[[#This Row],[ACTIVITY]],TAGS!$B:$P,10,FALSE)</f>
        <v>PIP</v>
      </c>
      <c r="Y198" s="51" t="str">
        <f>VLOOKUP(Table3[[#This Row],[ACTIVITY]],TAGS!$B:$P,11,FALSE)</f>
        <v>PICS</v>
      </c>
      <c r="Z198" s="51" t="str">
        <f>VLOOKUP(Table3[[#This Row],[ACTIVITY]],TAGS!$B:$P,12,FALSE)</f>
        <v>Consolidation</v>
      </c>
      <c r="AA198" s="51" t="str">
        <f>VLOOKUP(Table3[[#This Row],[ACTIVITY]],TAGS!$B:$P,13,FALSE)</f>
        <v>1. Bayanihan Agri Cluster</v>
      </c>
      <c r="AB198" s="51" t="str">
        <f>VLOOKUP(Table3[[#This Row],[ACTIVITY]],TAGS!$B:$P,14,FALSE)</f>
        <v>EXPAND AND IMPROVE AVAILABLE AGRI-FISHERY AREAS FOR INCREASED PRODUCTION</v>
      </c>
      <c r="AC198" s="51" t="str">
        <f>VLOOKUP(Table3[[#This Row],[ACTIVITY]],TAGS!$B:$P,15,FALSE)</f>
        <v>Farm Inputs</v>
      </c>
      <c r="AD198" s="51" t="str">
        <f>VLOOKUP(Table3[[#This Row],[PI LEVEL 3]],'PI LEVEL'!$A:$G,7,FALSE)</f>
        <v>DA-Level Output</v>
      </c>
      <c r="AE198" s="47" t="s">
        <v>577</v>
      </c>
      <c r="AF198" s="51" t="str">
        <f>VLOOKUP(Table3[[#This Row],[ACTIVITY]],TAGS!$B:$P,3,FALSE)</f>
        <v>kilogram</v>
      </c>
      <c r="AG198" s="47" t="s">
        <v>334</v>
      </c>
      <c r="AH198" s="51" t="str">
        <f>VLOOKUP(Table3[[#This Row],[MONTH]],TAGS!$W$67:$Y$81,2,FALSE)</f>
        <v>3RD QTR</v>
      </c>
      <c r="AI198" s="51" t="str">
        <f>VLOOKUP(Table3[[#This Row],[MONTH]],TAGS!$W$67:$Y$81,3,FALSE)</f>
        <v>2ND SEMESTER</v>
      </c>
      <c r="AJ198" s="51">
        <f>VLOOKUP(Table3[[#This Row],[MONTH]],TAGS!$W$67:$Z$81,4,FALSE)</f>
        <v>2025</v>
      </c>
      <c r="AK198" s="47">
        <v>71100</v>
      </c>
      <c r="AL198" s="51" t="str">
        <f>VLOOKUP(Table3[[#This Row],[ACTIVITY]],TAGS!$B:$R,16,FALSE)</f>
        <v>YES</v>
      </c>
      <c r="AM198" s="47">
        <v>711</v>
      </c>
      <c r="AN198" s="47">
        <v>3199.5</v>
      </c>
      <c r="AO198" s="57">
        <f>SUM(Table3[[#This Row],[MALE BENEFICIARIES]:[FEMALE BENEFICIARIES]])</f>
        <v>0</v>
      </c>
      <c r="AP198" s="58"/>
      <c r="AQ198" s="58"/>
      <c r="AR198" s="58"/>
      <c r="AS198" s="58">
        <v>1</v>
      </c>
      <c r="AT198" s="59">
        <v>711</v>
      </c>
      <c r="AU198" s="59"/>
      <c r="AV198" s="59"/>
      <c r="AW198" s="59"/>
      <c r="AX198" s="59"/>
      <c r="AY198" s="59"/>
      <c r="AZ198" s="59"/>
      <c r="BA198" s="59"/>
      <c r="BB198" s="59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</row>
    <row r="199" spans="1:65">
      <c r="A199" s="51" t="str">
        <f>VLOOKUP(Table3[[#This Row],[OU]],OU!$A$15:$B$34,2,FALSE)</f>
        <v>RFOs</v>
      </c>
      <c r="B199" s="47" t="s">
        <v>5</v>
      </c>
      <c r="C199" s="47" t="s">
        <v>574</v>
      </c>
      <c r="D199" s="47"/>
      <c r="E199" s="47" t="s">
        <v>70</v>
      </c>
      <c r="F199" s="47" t="s">
        <v>694</v>
      </c>
      <c r="G19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19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25706000</v>
      </c>
      <c r="I199" s="52" t="str">
        <f>VLOOKUP(Table3[[#This Row],[PSGC]],DISTRICT!$D:$G,4,FALSE)</f>
        <v>1st</v>
      </c>
      <c r="J199" s="47" t="s">
        <v>578</v>
      </c>
      <c r="K199" s="51" t="str">
        <f>VLOOKUP(Table3[[#This Row],[SPECIFIC COMMODITY]],TAGS!$W$48:$X$53,2,FALSE)</f>
        <v>Corn</v>
      </c>
      <c r="L199" s="51" t="str">
        <f>VLOOKUP(Table3[[#This Row],[PREXC SUB-PROGRAM]],Table5[],2,FALSE)</f>
        <v>TECHNICAL AND SUPPORT SERVICES PROGRAM</v>
      </c>
      <c r="M199" s="51" t="str">
        <f>VLOOKUP(Table3[[#This Row],[COMMODITY PREXC SUB-PROGRAM]],TAGS!$U$54:$V$76,2,FALSE)</f>
        <v>PSS</v>
      </c>
      <c r="N199" s="47" t="s">
        <v>576</v>
      </c>
      <c r="O199" s="54" t="str">
        <f>VLOOKUP(Table3[[#This Row],[PI LEVEL 3]],'PI LEVEL'!A:C,3,FALSE)</f>
        <v>Fertilizers and other soil ammendment distributed</v>
      </c>
      <c r="P199" s="54" t="str">
        <f>VLOOKUP(Table3[[#This Row],[PI LEVEL 3]],Table53729[[Performance Indicator Level 3]:[Performance Indicator Level 1]],2,FALSE)</f>
        <v>Fertilizers distributed</v>
      </c>
      <c r="Q199" s="54" t="str">
        <f>VLOOKUP(Table3[[#This Row],[ACTIVITY]],TAGS!B:P,2,FALSE)</f>
        <v>Inorganic fertilizer distributed</v>
      </c>
      <c r="R199" s="47" t="s">
        <v>36</v>
      </c>
      <c r="S199" s="51" t="str">
        <f>VLOOKUP(Table3[[#This Row],[ACTIVITY]],TAGS!$B:$P,4,FALSE)</f>
        <v>Yellow Corn Production Enhancement Project</v>
      </c>
      <c r="T199" s="51" t="str">
        <f>VLOOKUP(Table3[[#This Row],[ACTIVITY]],TAGS!$B:$P,5,FALSE)</f>
        <v>Soil Fertilization</v>
      </c>
      <c r="U199" s="51" t="str">
        <f>VLOOKUP(Table3[[#This Row],[ACTIVITY]],TAGS!$B:$P,6,FALSE)</f>
        <v>Inorganic fertilizer</v>
      </c>
      <c r="V199" s="51" t="str">
        <f>VLOOKUP(Table3[[#This Row],[ACTIVITY]],TAGS!$B:$P,7,FALSE)</f>
        <v>NO</v>
      </c>
      <c r="W199" s="51" t="str">
        <f>VLOOKUP(Table3[[#This Row],[ACTIVITY]],TAGS!$B:$P,8,FALSE)</f>
        <v>PAP</v>
      </c>
      <c r="X199" s="51" t="str">
        <f>VLOOKUP(Table3[[#This Row],[ACTIVITY]],TAGS!$B:$P,10,FALSE)</f>
        <v>PIP</v>
      </c>
      <c r="Y199" s="51" t="str">
        <f>VLOOKUP(Table3[[#This Row],[ACTIVITY]],TAGS!$B:$P,11,FALSE)</f>
        <v>PICS</v>
      </c>
      <c r="Z199" s="51" t="str">
        <f>VLOOKUP(Table3[[#This Row],[ACTIVITY]],TAGS!$B:$P,12,FALSE)</f>
        <v>Consolidation</v>
      </c>
      <c r="AA199" s="51" t="str">
        <f>VLOOKUP(Table3[[#This Row],[ACTIVITY]],TAGS!$B:$P,13,FALSE)</f>
        <v>1. Bayanihan Agri Cluster</v>
      </c>
      <c r="AB199" s="51" t="str">
        <f>VLOOKUP(Table3[[#This Row],[ACTIVITY]],TAGS!$B:$P,14,FALSE)</f>
        <v>EXPAND AND IMPROVE AVAILABLE AGRI-FISHERY AREAS FOR INCREASED PRODUCTION</v>
      </c>
      <c r="AC199" s="51" t="str">
        <f>VLOOKUP(Table3[[#This Row],[ACTIVITY]],TAGS!$B:$P,15,FALSE)</f>
        <v>Farm Inputs</v>
      </c>
      <c r="AD199" s="51" t="str">
        <f>VLOOKUP(Table3[[#This Row],[PI LEVEL 3]],'PI LEVEL'!$A:$G,7,FALSE)</f>
        <v>DA-Level Output</v>
      </c>
      <c r="AE199" s="47" t="s">
        <v>577</v>
      </c>
      <c r="AF199" s="51" t="str">
        <f>VLOOKUP(Table3[[#This Row],[ACTIVITY]],TAGS!$B:$P,3,FALSE)</f>
        <v>kilogram</v>
      </c>
      <c r="AG199" s="47" t="s">
        <v>334</v>
      </c>
      <c r="AH199" s="51" t="str">
        <f>VLOOKUP(Table3[[#This Row],[MONTH]],TAGS!$W$67:$Y$81,2,FALSE)</f>
        <v>3RD QTR</v>
      </c>
      <c r="AI199" s="51" t="str">
        <f>VLOOKUP(Table3[[#This Row],[MONTH]],TAGS!$W$67:$Y$81,3,FALSE)</f>
        <v>2ND SEMESTER</v>
      </c>
      <c r="AJ199" s="51">
        <f>VLOOKUP(Table3[[#This Row],[MONTH]],TAGS!$W$67:$Z$81,4,FALSE)</f>
        <v>2025</v>
      </c>
      <c r="AK199" s="47">
        <v>71900</v>
      </c>
      <c r="AL199" s="51" t="str">
        <f>VLOOKUP(Table3[[#This Row],[ACTIVITY]],TAGS!$B:$R,16,FALSE)</f>
        <v>YES</v>
      </c>
      <c r="AM199" s="47">
        <v>719</v>
      </c>
      <c r="AN199" s="47">
        <v>3235.5</v>
      </c>
      <c r="AO199" s="57">
        <f>SUM(Table3[[#This Row],[MALE BENEFICIARIES]:[FEMALE BENEFICIARIES]])</f>
        <v>0</v>
      </c>
      <c r="AP199" s="58"/>
      <c r="AQ199" s="58"/>
      <c r="AR199" s="58"/>
      <c r="AS199" s="58">
        <v>1</v>
      </c>
      <c r="AT199" s="59">
        <v>719</v>
      </c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</row>
    <row r="200" spans="1:65">
      <c r="A200" s="51" t="str">
        <f>VLOOKUP(Table3[[#This Row],[OU]],OU!$A$15:$B$34,2,FALSE)</f>
        <v>RFOs</v>
      </c>
      <c r="B200" s="47" t="s">
        <v>5</v>
      </c>
      <c r="C200" s="47" t="s">
        <v>574</v>
      </c>
      <c r="D200" s="47"/>
      <c r="E200" s="47" t="s">
        <v>70</v>
      </c>
      <c r="F200" s="47" t="s">
        <v>695</v>
      </c>
      <c r="G20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20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25705000</v>
      </c>
      <c r="I200" s="52" t="str">
        <f>VLOOKUP(Table3[[#This Row],[PSGC]],DISTRICT!$D:$G,4,FALSE)</f>
        <v>5th</v>
      </c>
      <c r="J200" s="47" t="s">
        <v>578</v>
      </c>
      <c r="K200" s="51" t="str">
        <f>VLOOKUP(Table3[[#This Row],[SPECIFIC COMMODITY]],TAGS!$W$48:$X$53,2,FALSE)</f>
        <v>Corn</v>
      </c>
      <c r="L200" s="51" t="str">
        <f>VLOOKUP(Table3[[#This Row],[PREXC SUB-PROGRAM]],Table5[],2,FALSE)</f>
        <v>TECHNICAL AND SUPPORT SERVICES PROGRAM</v>
      </c>
      <c r="M200" s="51" t="str">
        <f>VLOOKUP(Table3[[#This Row],[COMMODITY PREXC SUB-PROGRAM]],TAGS!$U$54:$V$76,2,FALSE)</f>
        <v>PSS</v>
      </c>
      <c r="N200" s="47" t="s">
        <v>576</v>
      </c>
      <c r="O200" s="54" t="str">
        <f>VLOOKUP(Table3[[#This Row],[PI LEVEL 3]],'PI LEVEL'!A:C,3,FALSE)</f>
        <v>Fertilizers and other soil ammendment distributed</v>
      </c>
      <c r="P200" s="54" t="str">
        <f>VLOOKUP(Table3[[#This Row],[PI LEVEL 3]],Table53729[[Performance Indicator Level 3]:[Performance Indicator Level 1]],2,FALSE)</f>
        <v>Fertilizers distributed</v>
      </c>
      <c r="Q200" s="54" t="str">
        <f>VLOOKUP(Table3[[#This Row],[ACTIVITY]],TAGS!B:P,2,FALSE)</f>
        <v>Inorganic fertilizer distributed</v>
      </c>
      <c r="R200" s="47" t="s">
        <v>36</v>
      </c>
      <c r="S200" s="51" t="str">
        <f>VLOOKUP(Table3[[#This Row],[ACTIVITY]],TAGS!$B:$P,4,FALSE)</f>
        <v>Yellow Corn Production Enhancement Project</v>
      </c>
      <c r="T200" s="51" t="str">
        <f>VLOOKUP(Table3[[#This Row],[ACTIVITY]],TAGS!$B:$P,5,FALSE)</f>
        <v>Soil Fertilization</v>
      </c>
      <c r="U200" s="51" t="str">
        <f>VLOOKUP(Table3[[#This Row],[ACTIVITY]],TAGS!$B:$P,6,FALSE)</f>
        <v>Inorganic fertilizer</v>
      </c>
      <c r="V200" s="51" t="str">
        <f>VLOOKUP(Table3[[#This Row],[ACTIVITY]],TAGS!$B:$P,7,FALSE)</f>
        <v>NO</v>
      </c>
      <c r="W200" s="51" t="str">
        <f>VLOOKUP(Table3[[#This Row],[ACTIVITY]],TAGS!$B:$P,8,FALSE)</f>
        <v>PAP</v>
      </c>
      <c r="X200" s="51" t="str">
        <f>VLOOKUP(Table3[[#This Row],[ACTIVITY]],TAGS!$B:$P,10,FALSE)</f>
        <v>PIP</v>
      </c>
      <c r="Y200" s="51" t="str">
        <f>VLOOKUP(Table3[[#This Row],[ACTIVITY]],TAGS!$B:$P,11,FALSE)</f>
        <v>PICS</v>
      </c>
      <c r="Z200" s="51" t="str">
        <f>VLOOKUP(Table3[[#This Row],[ACTIVITY]],TAGS!$B:$P,12,FALSE)</f>
        <v>Consolidation</v>
      </c>
      <c r="AA200" s="51" t="str">
        <f>VLOOKUP(Table3[[#This Row],[ACTIVITY]],TAGS!$B:$P,13,FALSE)</f>
        <v>1. Bayanihan Agri Cluster</v>
      </c>
      <c r="AB200" s="51" t="str">
        <f>VLOOKUP(Table3[[#This Row],[ACTIVITY]],TAGS!$B:$P,14,FALSE)</f>
        <v>EXPAND AND IMPROVE AVAILABLE AGRI-FISHERY AREAS FOR INCREASED PRODUCTION</v>
      </c>
      <c r="AC200" s="51" t="str">
        <f>VLOOKUP(Table3[[#This Row],[ACTIVITY]],TAGS!$B:$P,15,FALSE)</f>
        <v>Farm Inputs</v>
      </c>
      <c r="AD200" s="51" t="str">
        <f>VLOOKUP(Table3[[#This Row],[PI LEVEL 3]],'PI LEVEL'!$A:$G,7,FALSE)</f>
        <v>DA-Level Output</v>
      </c>
      <c r="AE200" s="47" t="s">
        <v>577</v>
      </c>
      <c r="AF200" s="51" t="str">
        <f>VLOOKUP(Table3[[#This Row],[ACTIVITY]],TAGS!$B:$P,3,FALSE)</f>
        <v>kilogram</v>
      </c>
      <c r="AG200" s="47" t="s">
        <v>334</v>
      </c>
      <c r="AH200" s="51" t="str">
        <f>VLOOKUP(Table3[[#This Row],[MONTH]],TAGS!$W$67:$Y$81,2,FALSE)</f>
        <v>3RD QTR</v>
      </c>
      <c r="AI200" s="51" t="str">
        <f>VLOOKUP(Table3[[#This Row],[MONTH]],TAGS!$W$67:$Y$81,3,FALSE)</f>
        <v>2ND SEMESTER</v>
      </c>
      <c r="AJ200" s="51">
        <f>VLOOKUP(Table3[[#This Row],[MONTH]],TAGS!$W$67:$Z$81,4,FALSE)</f>
        <v>2025</v>
      </c>
      <c r="AK200" s="47">
        <v>4000</v>
      </c>
      <c r="AL200" s="51" t="str">
        <f>VLOOKUP(Table3[[#This Row],[ACTIVITY]],TAGS!$B:$R,16,FALSE)</f>
        <v>YES</v>
      </c>
      <c r="AM200" s="47">
        <v>40</v>
      </c>
      <c r="AN200" s="47">
        <v>180</v>
      </c>
      <c r="AO200" s="57">
        <f>SUM(Table3[[#This Row],[MALE BENEFICIARIES]:[FEMALE BENEFICIARIES]])</f>
        <v>0</v>
      </c>
      <c r="AP200" s="58"/>
      <c r="AQ200" s="58"/>
      <c r="AR200" s="58"/>
      <c r="AS200" s="58">
        <v>1</v>
      </c>
      <c r="AT200" s="59">
        <v>40</v>
      </c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</row>
    <row r="201" spans="1:65">
      <c r="A201" s="51" t="str">
        <f>VLOOKUP(Table3[[#This Row],[OU]],OU!$A$15:$B$34,2,FALSE)</f>
        <v>RFOs</v>
      </c>
      <c r="B201" s="47" t="s">
        <v>5</v>
      </c>
      <c r="C201" s="47" t="s">
        <v>574</v>
      </c>
      <c r="D201" s="47"/>
      <c r="E201" s="47" t="s">
        <v>78</v>
      </c>
      <c r="F201" s="47" t="s">
        <v>77</v>
      </c>
      <c r="G20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0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01" s="52" t="e">
        <f>VLOOKUP(Table3[[#This Row],[PSGC]],DISTRICT!$D:$G,4,FALSE)</f>
        <v>#N/A</v>
      </c>
      <c r="J201" s="47" t="s">
        <v>578</v>
      </c>
      <c r="K201" s="51" t="str">
        <f>VLOOKUP(Table3[[#This Row],[SPECIFIC COMMODITY]],TAGS!$W$48:$X$53,2,FALSE)</f>
        <v>Corn</v>
      </c>
      <c r="L201" s="51" t="str">
        <f>VLOOKUP(Table3[[#This Row],[PREXC SUB-PROGRAM]],Table5[],2,FALSE)</f>
        <v>TECHNICAL AND SUPPORT SERVICES PROGRAM</v>
      </c>
      <c r="M201" s="51" t="str">
        <f>VLOOKUP(Table3[[#This Row],[COMMODITY PREXC SUB-PROGRAM]],TAGS!$U$54:$V$76,2,FALSE)</f>
        <v>PSS</v>
      </c>
      <c r="N201" s="47" t="s">
        <v>576</v>
      </c>
      <c r="O201" s="54" t="str">
        <f>VLOOKUP(Table3[[#This Row],[PI LEVEL 3]],'PI LEVEL'!A:C,3,FALSE)</f>
        <v>Seeds reserved</v>
      </c>
      <c r="P201" s="54" t="str">
        <f>VLOOKUP(Table3[[#This Row],[PI LEVEL 3]],Table53729[[Performance Indicator Level 3]:[Performance Indicator Level 1]],2,FALSE)</f>
        <v>Corn Seeds reserved</v>
      </c>
      <c r="Q201" s="54" t="str">
        <f>VLOOKUP(Table3[[#This Row],[ACTIVITY]],TAGS!B:P,2,FALSE)</f>
        <v>Yellow Corn Seeds reserved</v>
      </c>
      <c r="R201" s="47" t="s">
        <v>82</v>
      </c>
      <c r="S201" s="51" t="str">
        <f>VLOOKUP(Table3[[#This Row],[ACTIVITY]],TAGS!$B:$P,4,FALSE)</f>
        <v>Corn Seed Reserve</v>
      </c>
      <c r="T201" s="51" t="str">
        <f>VLOOKUP(Table3[[#This Row],[ACTIVITY]],TAGS!$B:$P,5,FALSE)</f>
        <v>Corn Seed Reserve</v>
      </c>
      <c r="U201" s="51" t="str">
        <f>VLOOKUP(Table3[[#This Row],[ACTIVITY]],TAGS!$B:$P,6,FALSE)</f>
        <v>Yellow corn seeds reserve</v>
      </c>
      <c r="V201" s="51" t="str">
        <f>VLOOKUP(Table3[[#This Row],[ACTIVITY]],TAGS!$B:$P,7,FALSE)</f>
        <v>YES</v>
      </c>
      <c r="W201" s="51" t="str">
        <f>VLOOKUP(Table3[[#This Row],[ACTIVITY]],TAGS!$B:$P,8,FALSE)</f>
        <v>PAP</v>
      </c>
      <c r="X201" s="51" t="str">
        <f>VLOOKUP(Table3[[#This Row],[ACTIVITY]],TAGS!$B:$P,10,FALSE)</f>
        <v>PIP</v>
      </c>
      <c r="Y201" s="51" t="str">
        <f>VLOOKUP(Table3[[#This Row],[ACTIVITY]],TAGS!$B:$P,11,FALSE)</f>
        <v>PICS</v>
      </c>
      <c r="Z201" s="51" t="str">
        <f>VLOOKUP(Table3[[#This Row],[ACTIVITY]],TAGS!$B:$P,12,FALSE)</f>
        <v>Modernization</v>
      </c>
      <c r="AA201" s="51" t="str">
        <f>VLOOKUP(Table3[[#This Row],[ACTIVITY]],TAGS!$B:$P,13,FALSE)</f>
        <v>9. Climate Change Adaptation &amp; Mitigation Measures</v>
      </c>
      <c r="AB201" s="51" t="str">
        <f>VLOOKUP(Table3[[#This Row],[ACTIVITY]],TAGS!$B:$P,14,FALSE)</f>
        <v>EXPAND AND IMPROVE AVAILABLE AGRI-FISHERY AREAS FOR INCREASED PRODUCTION</v>
      </c>
      <c r="AC201" s="51" t="str">
        <f>VLOOKUP(Table3[[#This Row],[ACTIVITY]],TAGS!$B:$P,15,FALSE)</f>
        <v>Seed Reserve</v>
      </c>
      <c r="AD201" s="51" t="str">
        <f>VLOOKUP(Table3[[#This Row],[PI LEVEL 3]],'PI LEVEL'!$A:$G,7,FALSE)</f>
        <v>DA-Level Output</v>
      </c>
      <c r="AE201" s="47" t="s">
        <v>577</v>
      </c>
      <c r="AF201" s="51" t="str">
        <f>VLOOKUP(Table3[[#This Row],[ACTIVITY]],TAGS!$B:$P,3,FALSE)</f>
        <v>kilogram</v>
      </c>
      <c r="AG201" s="47" t="s">
        <v>331</v>
      </c>
      <c r="AH201" s="51" t="str">
        <f>VLOOKUP(Table3[[#This Row],[MONTH]],TAGS!$W$67:$Y$81,2,FALSE)</f>
        <v>2ND QTR</v>
      </c>
      <c r="AI201" s="51" t="str">
        <f>VLOOKUP(Table3[[#This Row],[MONTH]],TAGS!$W$67:$Y$81,3,FALSE)</f>
        <v>1ST SEMESTER</v>
      </c>
      <c r="AJ201" s="51">
        <f>VLOOKUP(Table3[[#This Row],[MONTH]],TAGS!$W$67:$Z$81,4,FALSE)</f>
        <v>2025</v>
      </c>
      <c r="AK201" s="47">
        <v>3000</v>
      </c>
      <c r="AL201" s="51" t="str">
        <f>VLOOKUP(Table3[[#This Row],[ACTIVITY]],TAGS!$B:$R,16,FALSE)</f>
        <v>YES</v>
      </c>
      <c r="AM201" s="47">
        <f>Table3[[#This Row],[TARGET]]/20</f>
        <v>150</v>
      </c>
      <c r="AN201" s="47">
        <v>300</v>
      </c>
      <c r="AO201" s="57">
        <f>SUM(Table3[[#This Row],[MALE BENEFICIARIES]:[FEMALE BENEFICIARIES]])</f>
        <v>0</v>
      </c>
      <c r="AP201" s="58"/>
      <c r="AQ201" s="58"/>
      <c r="AR201" s="58"/>
      <c r="AS201" s="58"/>
      <c r="AT201" s="59" t="str">
        <f>VLOOKUP(Table3[[#This Row],[ACTIVITY]],TAGS!$B:$R,17,FALSE)</f>
        <v>NO</v>
      </c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</row>
    <row r="202" spans="1:65">
      <c r="A202" s="51" t="str">
        <f>VLOOKUP(Table3[[#This Row],[OU]],OU!$A$15:$B$34,2,FALSE)</f>
        <v>RFOs</v>
      </c>
      <c r="B202" s="47" t="s">
        <v>5</v>
      </c>
      <c r="C202" s="47" t="s">
        <v>574</v>
      </c>
      <c r="D202" s="47"/>
      <c r="E202" s="47" t="s">
        <v>78</v>
      </c>
      <c r="F202" s="47" t="s">
        <v>77</v>
      </c>
      <c r="G20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0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02" s="52" t="e">
        <f>VLOOKUP(Table3[[#This Row],[PSGC]],DISTRICT!$D:$G,4,FALSE)</f>
        <v>#N/A</v>
      </c>
      <c r="J202" s="47" t="s">
        <v>578</v>
      </c>
      <c r="K202" s="51" t="str">
        <f>VLOOKUP(Table3[[#This Row],[SPECIFIC COMMODITY]],TAGS!$W$48:$X$53,2,FALSE)</f>
        <v>Corn</v>
      </c>
      <c r="L202" s="51" t="str">
        <f>VLOOKUP(Table3[[#This Row],[PREXC SUB-PROGRAM]],Table5[],2,FALSE)</f>
        <v>TECHNICAL AND SUPPORT SERVICES PROGRAM</v>
      </c>
      <c r="M202" s="51" t="str">
        <f>VLOOKUP(Table3[[#This Row],[COMMODITY PREXC SUB-PROGRAM]],TAGS!$U$54:$V$76,2,FALSE)</f>
        <v>PSS</v>
      </c>
      <c r="N202" s="47" t="s">
        <v>576</v>
      </c>
      <c r="O202" s="54" t="str">
        <f>VLOOKUP(Table3[[#This Row],[PI LEVEL 3]],'PI LEVEL'!A:C,3,FALSE)</f>
        <v>Seeds reserved</v>
      </c>
      <c r="P202" s="54" t="str">
        <f>VLOOKUP(Table3[[#This Row],[PI LEVEL 3]],Table53729[[Performance Indicator Level 3]:[Performance Indicator Level 1]],2,FALSE)</f>
        <v>Corn Seeds reserved</v>
      </c>
      <c r="Q202" s="54" t="str">
        <f>VLOOKUP(Table3[[#This Row],[ACTIVITY]],TAGS!B:P,2,FALSE)</f>
        <v>Yellow Corn Seeds reserved</v>
      </c>
      <c r="R202" s="47" t="s">
        <v>84</v>
      </c>
      <c r="S202" s="51" t="str">
        <f>VLOOKUP(Table3[[#This Row],[ACTIVITY]],TAGS!$B:$P,4,FALSE)</f>
        <v>Corn Seed Reserve</v>
      </c>
      <c r="T202" s="51" t="str">
        <f>VLOOKUP(Table3[[#This Row],[ACTIVITY]],TAGS!$B:$P,5,FALSE)</f>
        <v>Corn Seed Reserve</v>
      </c>
      <c r="U202" s="51" t="str">
        <f>VLOOKUP(Table3[[#This Row],[ACTIVITY]],TAGS!$B:$P,6,FALSE)</f>
        <v>Yellow corn seeds reserve</v>
      </c>
      <c r="V202" s="51" t="str">
        <f>VLOOKUP(Table3[[#This Row],[ACTIVITY]],TAGS!$B:$P,7,FALSE)</f>
        <v>YES</v>
      </c>
      <c r="W202" s="51" t="str">
        <f>VLOOKUP(Table3[[#This Row],[ACTIVITY]],TAGS!$B:$P,8,FALSE)</f>
        <v>PAP</v>
      </c>
      <c r="X202" s="51" t="str">
        <f>VLOOKUP(Table3[[#This Row],[ACTIVITY]],TAGS!$B:$P,10,FALSE)</f>
        <v>PIP</v>
      </c>
      <c r="Y202" s="51" t="str">
        <f>VLOOKUP(Table3[[#This Row],[ACTIVITY]],TAGS!$B:$P,11,FALSE)</f>
        <v>PICS</v>
      </c>
      <c r="Z202" s="51" t="str">
        <f>VLOOKUP(Table3[[#This Row],[ACTIVITY]],TAGS!$B:$P,12,FALSE)</f>
        <v>Modernization</v>
      </c>
      <c r="AA202" s="51" t="str">
        <f>VLOOKUP(Table3[[#This Row],[ACTIVITY]],TAGS!$B:$P,13,FALSE)</f>
        <v>9. Climate Change Adaptation &amp; Mitigation Measures</v>
      </c>
      <c r="AB202" s="51" t="str">
        <f>VLOOKUP(Table3[[#This Row],[ACTIVITY]],TAGS!$B:$P,14,FALSE)</f>
        <v>EXPAND AND IMPROVE AVAILABLE AGRI-FISHERY AREAS FOR INCREASED PRODUCTION</v>
      </c>
      <c r="AC202" s="51" t="str">
        <f>VLOOKUP(Table3[[#This Row],[ACTIVITY]],TAGS!$B:$P,15,FALSE)</f>
        <v>Seed Reserve</v>
      </c>
      <c r="AD202" s="51" t="str">
        <f>VLOOKUP(Table3[[#This Row],[PI LEVEL 3]],'PI LEVEL'!$A:$G,7,FALSE)</f>
        <v>DA-Level Output</v>
      </c>
      <c r="AE202" s="47" t="s">
        <v>577</v>
      </c>
      <c r="AF202" s="51" t="str">
        <f>VLOOKUP(Table3[[#This Row],[ACTIVITY]],TAGS!$B:$P,3,FALSE)</f>
        <v>kilogram</v>
      </c>
      <c r="AG202" s="47" t="s">
        <v>332</v>
      </c>
      <c r="AH202" s="51" t="str">
        <f>VLOOKUP(Table3[[#This Row],[MONTH]],TAGS!$W$67:$Y$81,2,FALSE)</f>
        <v>2ND QTR</v>
      </c>
      <c r="AI202" s="51" t="str">
        <f>VLOOKUP(Table3[[#This Row],[MONTH]],TAGS!$W$67:$Y$81,3,FALSE)</f>
        <v>1ST SEMESTER</v>
      </c>
      <c r="AJ202" s="51">
        <f>VLOOKUP(Table3[[#This Row],[MONTH]],TAGS!$W$67:$Z$81,4,FALSE)</f>
        <v>2025</v>
      </c>
      <c r="AK202" s="47">
        <v>375894</v>
      </c>
      <c r="AL202" s="51" t="str">
        <f>VLOOKUP(Table3[[#This Row],[ACTIVITY]],TAGS!$B:$R,16,FALSE)</f>
        <v>YES</v>
      </c>
      <c r="AM202" s="47">
        <f>Table3[[#This Row],[TARGET]]/18</f>
        <v>20883</v>
      </c>
      <c r="AN202" s="47">
        <v>250596</v>
      </c>
      <c r="AO202" s="57">
        <f>SUM(Table3[[#This Row],[MALE BENEFICIARIES]:[FEMALE BENEFICIARIES]])</f>
        <v>0</v>
      </c>
      <c r="AP202" s="58"/>
      <c r="AQ202" s="58"/>
      <c r="AR202" s="58"/>
      <c r="AS202" s="58"/>
      <c r="AT202" s="59" t="str">
        <f>VLOOKUP(Table3[[#This Row],[ACTIVITY]],TAGS!$B:$R,17,FALSE)</f>
        <v>NO</v>
      </c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</row>
    <row r="203" spans="1:65">
      <c r="A203" s="51" t="str">
        <f>VLOOKUP(Table3[[#This Row],[OU]],OU!$A$15:$B$34,2,FALSE)</f>
        <v>RFOs</v>
      </c>
      <c r="B203" s="47" t="s">
        <v>5</v>
      </c>
      <c r="C203" s="47" t="s">
        <v>574</v>
      </c>
      <c r="D203" s="47"/>
      <c r="E203" s="47" t="s">
        <v>78</v>
      </c>
      <c r="F203" s="47" t="s">
        <v>77</v>
      </c>
      <c r="G20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0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03" s="52" t="e">
        <f>VLOOKUP(Table3[[#This Row],[PSGC]],DISTRICT!$D:$G,4,FALSE)</f>
        <v>#N/A</v>
      </c>
      <c r="J203" s="47" t="s">
        <v>578</v>
      </c>
      <c r="K203" s="51" t="str">
        <f>VLOOKUP(Table3[[#This Row],[SPECIFIC COMMODITY]],TAGS!$W$48:$X$53,2,FALSE)</f>
        <v>Corn</v>
      </c>
      <c r="L203" s="51" t="str">
        <f>VLOOKUP(Table3[[#This Row],[PREXC SUB-PROGRAM]],Table5[],2,FALSE)</f>
        <v>TECHNICAL AND SUPPORT SERVICES PROGRAM</v>
      </c>
      <c r="M203" s="51" t="str">
        <f>VLOOKUP(Table3[[#This Row],[COMMODITY PREXC SUB-PROGRAM]],TAGS!$U$54:$V$76,2,FALSE)</f>
        <v>PSS</v>
      </c>
      <c r="N203" s="47" t="s">
        <v>576</v>
      </c>
      <c r="O203" s="54" t="str">
        <f>VLOOKUP(Table3[[#This Row],[PI LEVEL 3]],'PI LEVEL'!A:C,3,FALSE)</f>
        <v>Agri-chemicals reserved</v>
      </c>
      <c r="P203" s="54" t="str">
        <f>VLOOKUP(Table3[[#This Row],[PI LEVEL 3]],Table53729[[Performance Indicator Level 3]:[Performance Indicator Level 1]],2,FALSE)</f>
        <v>Agri-chemicals reserved</v>
      </c>
      <c r="Q203" s="54" t="str">
        <f>VLOOKUP(Table3[[#This Row],[ACTIVITY]],TAGS!B:P,2,FALSE)</f>
        <v>Agri-chemicals reserved (liter)</v>
      </c>
      <c r="R203" s="47" t="s">
        <v>86</v>
      </c>
      <c r="S203" s="51" t="str">
        <f>VLOOKUP(Table3[[#This Row],[ACTIVITY]],TAGS!$B:$P,4,FALSE)</f>
        <v>Pest and Disease Management</v>
      </c>
      <c r="T203" s="51" t="str">
        <f>VLOOKUP(Table3[[#This Row],[ACTIVITY]],TAGS!$B:$P,5,FALSE)</f>
        <v>Agricultural Chemicals</v>
      </c>
      <c r="U203" s="51" t="str">
        <f>VLOOKUP(Table3[[#This Row],[ACTIVITY]],TAGS!$B:$P,6,FALSE)</f>
        <v>Insecticide (liquid)</v>
      </c>
      <c r="V203" s="51" t="str">
        <f>VLOOKUP(Table3[[#This Row],[ACTIVITY]],TAGS!$B:$P,7,FALSE)</f>
        <v>NO</v>
      </c>
      <c r="W203" s="51" t="str">
        <f>VLOOKUP(Table3[[#This Row],[ACTIVITY]],TAGS!$B:$P,8,FALSE)</f>
        <v>PAP</v>
      </c>
      <c r="X203" s="51" t="str">
        <f>VLOOKUP(Table3[[#This Row],[ACTIVITY]],TAGS!$B:$P,10,FALSE)</f>
        <v>PIP</v>
      </c>
      <c r="Y203" s="51" t="str">
        <f>VLOOKUP(Table3[[#This Row],[ACTIVITY]],TAGS!$B:$P,11,FALSE)</f>
        <v>PICS</v>
      </c>
      <c r="Z203" s="51" t="str">
        <f>VLOOKUP(Table3[[#This Row],[ACTIVITY]],TAGS!$B:$P,12,FALSE)</f>
        <v>Modernization</v>
      </c>
      <c r="AA203" s="51" t="str">
        <f>VLOOKUP(Table3[[#This Row],[ACTIVITY]],TAGS!$B:$P,13,FALSE)</f>
        <v>9. Climate Change Adaptation &amp; Mitigation Measures</v>
      </c>
      <c r="AB203" s="51" t="str">
        <f>VLOOKUP(Table3[[#This Row],[ACTIVITY]],TAGS!$B:$P,14,FALSE)</f>
        <v>EXPAND AND IMPROVE AVAILABLE AGRI-FISHERY AREAS FOR INCREASED PRODUCTION</v>
      </c>
      <c r="AC203" s="51" t="str">
        <f>VLOOKUP(Table3[[#This Row],[ACTIVITY]],TAGS!$B:$P,15,FALSE)</f>
        <v>Agrichemicals</v>
      </c>
      <c r="AD203" s="51" t="str">
        <f>VLOOKUP(Table3[[#This Row],[PI LEVEL 3]],'PI LEVEL'!$A:$G,7,FALSE)</f>
        <v>DA-Level Output</v>
      </c>
      <c r="AE203" s="47" t="s">
        <v>577</v>
      </c>
      <c r="AF203" s="51" t="str">
        <f>VLOOKUP(Table3[[#This Row],[ACTIVITY]],TAGS!$B:$P,3,FALSE)</f>
        <v>liter</v>
      </c>
      <c r="AG203" s="47" t="s">
        <v>331</v>
      </c>
      <c r="AH203" s="51" t="str">
        <f>VLOOKUP(Table3[[#This Row],[MONTH]],TAGS!$W$67:$Y$81,2,FALSE)</f>
        <v>2ND QTR</v>
      </c>
      <c r="AI203" s="51" t="str">
        <f>VLOOKUP(Table3[[#This Row],[MONTH]],TAGS!$W$67:$Y$81,3,FALSE)</f>
        <v>1ST SEMESTER</v>
      </c>
      <c r="AJ203" s="51">
        <f>VLOOKUP(Table3[[#This Row],[MONTH]],TAGS!$W$67:$Z$81,4,FALSE)</f>
        <v>2025</v>
      </c>
      <c r="AK203" s="47">
        <v>5000</v>
      </c>
      <c r="AL203" s="51" t="str">
        <f>VLOOKUP(Table3[[#This Row],[ACTIVITY]],TAGS!$B:$R,16,FALSE)</f>
        <v>YES</v>
      </c>
      <c r="AM203" s="47">
        <v>5000</v>
      </c>
      <c r="AN203" s="47">
        <v>6000</v>
      </c>
      <c r="AO203" s="57">
        <f>SUM(Table3[[#This Row],[MALE BENEFICIARIES]:[FEMALE BENEFICIARIES]])</f>
        <v>0</v>
      </c>
      <c r="AP203" s="58"/>
      <c r="AQ203" s="58"/>
      <c r="AR203" s="58"/>
      <c r="AS203" s="58"/>
      <c r="AT203" s="59" t="str">
        <f>VLOOKUP(Table3[[#This Row],[ACTIVITY]],TAGS!$B:$R,17,FALSE)</f>
        <v>NO</v>
      </c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</row>
    <row r="204" spans="1:65">
      <c r="A204" s="51" t="str">
        <f>VLOOKUP(Table3[[#This Row],[OU]],OU!$A$15:$B$34,2,FALSE)</f>
        <v>RFOs</v>
      </c>
      <c r="B204" s="47" t="s">
        <v>5</v>
      </c>
      <c r="C204" s="47" t="s">
        <v>574</v>
      </c>
      <c r="D204" s="47"/>
      <c r="E204" s="47" t="s">
        <v>78</v>
      </c>
      <c r="F204" s="47" t="s">
        <v>77</v>
      </c>
      <c r="G20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0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04" s="52" t="e">
        <f>VLOOKUP(Table3[[#This Row],[PSGC]],DISTRICT!$D:$G,4,FALSE)</f>
        <v>#N/A</v>
      </c>
      <c r="J204" s="47" t="s">
        <v>578</v>
      </c>
      <c r="K204" s="51" t="str">
        <f>VLOOKUP(Table3[[#This Row],[SPECIFIC COMMODITY]],TAGS!$W$48:$X$53,2,FALSE)</f>
        <v>Corn</v>
      </c>
      <c r="L204" s="51" t="str">
        <f>VLOOKUP(Table3[[#This Row],[PREXC SUB-PROGRAM]],Table5[],2,FALSE)</f>
        <v>TECHNICAL AND SUPPORT SERVICES PROGRAM</v>
      </c>
      <c r="M204" s="51" t="str">
        <f>VLOOKUP(Table3[[#This Row],[COMMODITY PREXC SUB-PROGRAM]],TAGS!$U$54:$V$76,2,FALSE)</f>
        <v>PSS</v>
      </c>
      <c r="N204" s="47" t="s">
        <v>576</v>
      </c>
      <c r="O204" s="54" t="str">
        <f>VLOOKUP(Table3[[#This Row],[PI LEVEL 3]],'PI LEVEL'!A:C,3,FALSE)</f>
        <v>Agri-chemicals reserved</v>
      </c>
      <c r="P204" s="54" t="str">
        <f>VLOOKUP(Table3[[#This Row],[PI LEVEL 3]],Table53729[[Performance Indicator Level 3]:[Performance Indicator Level 1]],2,FALSE)</f>
        <v>Agri-chemicals reserved</v>
      </c>
      <c r="Q204" s="54" t="str">
        <f>VLOOKUP(Table3[[#This Row],[ACTIVITY]],TAGS!B:P,2,FALSE)</f>
        <v>Agri-chemicals reserved (kg)</v>
      </c>
      <c r="R204" s="47" t="s">
        <v>88</v>
      </c>
      <c r="S204" s="51" t="str">
        <f>VLOOKUP(Table3[[#This Row],[ACTIVITY]],TAGS!$B:$P,4,FALSE)</f>
        <v>Pest and Disease Management</v>
      </c>
      <c r="T204" s="51" t="str">
        <f>VLOOKUP(Table3[[#This Row],[ACTIVITY]],TAGS!$B:$P,5,FALSE)</f>
        <v>Agricultural Chemicals</v>
      </c>
      <c r="U204" s="51" t="str">
        <f>VLOOKUP(Table3[[#This Row],[ACTIVITY]],TAGS!$B:$P,6,FALSE)</f>
        <v>Rodenticides</v>
      </c>
      <c r="V204" s="51" t="str">
        <f>VLOOKUP(Table3[[#This Row],[ACTIVITY]],TAGS!$B:$P,7,FALSE)</f>
        <v>NO</v>
      </c>
      <c r="W204" s="51" t="str">
        <f>VLOOKUP(Table3[[#This Row],[ACTIVITY]],TAGS!$B:$P,8,FALSE)</f>
        <v>PAP</v>
      </c>
      <c r="X204" s="51" t="str">
        <f>VLOOKUP(Table3[[#This Row],[ACTIVITY]],TAGS!$B:$P,10,FALSE)</f>
        <v>PIP</v>
      </c>
      <c r="Y204" s="51" t="str">
        <f>VLOOKUP(Table3[[#This Row],[ACTIVITY]],TAGS!$B:$P,11,FALSE)</f>
        <v>PICS</v>
      </c>
      <c r="Z204" s="51" t="str">
        <f>VLOOKUP(Table3[[#This Row],[ACTIVITY]],TAGS!$B:$P,12,FALSE)</f>
        <v>Modernization</v>
      </c>
      <c r="AA204" s="51" t="str">
        <f>VLOOKUP(Table3[[#This Row],[ACTIVITY]],TAGS!$B:$P,13,FALSE)</f>
        <v>9. Climate Change Adaptation &amp; Mitigation Measures</v>
      </c>
      <c r="AB204" s="51" t="str">
        <f>VLOOKUP(Table3[[#This Row],[ACTIVITY]],TAGS!$B:$P,14,FALSE)</f>
        <v>EXPAND AND IMPROVE AVAILABLE AGRI-FISHERY AREAS FOR INCREASED PRODUCTION</v>
      </c>
      <c r="AC204" s="51" t="str">
        <f>VLOOKUP(Table3[[#This Row],[ACTIVITY]],TAGS!$B:$P,15,FALSE)</f>
        <v>Agrichemicals</v>
      </c>
      <c r="AD204" s="51" t="str">
        <f>VLOOKUP(Table3[[#This Row],[PI LEVEL 3]],'PI LEVEL'!$A:$G,7,FALSE)</f>
        <v>DA-Level Output</v>
      </c>
      <c r="AE204" s="47" t="s">
        <v>577</v>
      </c>
      <c r="AF204" s="51" t="str">
        <f>VLOOKUP(Table3[[#This Row],[ACTIVITY]],TAGS!$B:$P,3,FALSE)</f>
        <v>kilogram</v>
      </c>
      <c r="AG204" s="47" t="s">
        <v>331</v>
      </c>
      <c r="AH204" s="51" t="str">
        <f>VLOOKUP(Table3[[#This Row],[MONTH]],TAGS!$W$67:$Y$81,2,FALSE)</f>
        <v>2ND QTR</v>
      </c>
      <c r="AI204" s="51" t="str">
        <f>VLOOKUP(Table3[[#This Row],[MONTH]],TAGS!$W$67:$Y$81,3,FALSE)</f>
        <v>1ST SEMESTER</v>
      </c>
      <c r="AJ204" s="51">
        <f>VLOOKUP(Table3[[#This Row],[MONTH]],TAGS!$W$67:$Z$81,4,FALSE)</f>
        <v>2025</v>
      </c>
      <c r="AK204" s="47">
        <v>50000</v>
      </c>
      <c r="AL204" s="51" t="str">
        <f>VLOOKUP(Table3[[#This Row],[ACTIVITY]],TAGS!$B:$R,16,FALSE)</f>
        <v>YES</v>
      </c>
      <c r="AM204" s="47">
        <v>1000</v>
      </c>
      <c r="AN204" s="47">
        <v>1500</v>
      </c>
      <c r="AO204" s="57">
        <f>SUM(Table3[[#This Row],[MALE BENEFICIARIES]:[FEMALE BENEFICIARIES]])</f>
        <v>0</v>
      </c>
      <c r="AP204" s="58"/>
      <c r="AQ204" s="58"/>
      <c r="AR204" s="58"/>
      <c r="AS204" s="58"/>
      <c r="AT204" s="59" t="str">
        <f>VLOOKUP(Table3[[#This Row],[ACTIVITY]],TAGS!$B:$R,17,FALSE)</f>
        <v>NO</v>
      </c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</row>
    <row r="205" spans="1:65">
      <c r="A205" s="51" t="str">
        <f>VLOOKUP(Table3[[#This Row],[OU]],OU!$A$15:$B$34,2,FALSE)</f>
        <v>RFOs</v>
      </c>
      <c r="B205" s="47" t="s">
        <v>5</v>
      </c>
      <c r="C205" s="47" t="s">
        <v>574</v>
      </c>
      <c r="D205" s="47"/>
      <c r="E205" s="47" t="s">
        <v>78</v>
      </c>
      <c r="F205" s="47" t="s">
        <v>77</v>
      </c>
      <c r="G20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0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05" s="52" t="e">
        <f>VLOOKUP(Table3[[#This Row],[PSGC]],DISTRICT!$D:$G,4,FALSE)</f>
        <v>#N/A</v>
      </c>
      <c r="J205" s="47" t="s">
        <v>578</v>
      </c>
      <c r="K205" s="51" t="str">
        <f>VLOOKUP(Table3[[#This Row],[SPECIFIC COMMODITY]],TAGS!$W$48:$X$53,2,FALSE)</f>
        <v>Corn</v>
      </c>
      <c r="L205" s="51" t="str">
        <f>VLOOKUP(Table3[[#This Row],[PREXC SUB-PROGRAM]],Table5[],2,FALSE)</f>
        <v>TECHNICAL AND SUPPORT SERVICES PROGRAM</v>
      </c>
      <c r="M205" s="51" t="str">
        <f>VLOOKUP(Table3[[#This Row],[COMMODITY PREXC SUB-PROGRAM]],TAGS!$U$54:$V$76,2,FALSE)</f>
        <v>PSS</v>
      </c>
      <c r="N205" s="47" t="s">
        <v>576</v>
      </c>
      <c r="O205" s="54" t="str">
        <f>VLOOKUP(Table3[[#This Row],[PI LEVEL 3]],'PI LEVEL'!A:C,3,FALSE)</f>
        <v>Agri-chemicals reserved</v>
      </c>
      <c r="P205" s="54" t="str">
        <f>VLOOKUP(Table3[[#This Row],[PI LEVEL 3]],Table53729[[Performance Indicator Level 3]:[Performance Indicator Level 1]],2,FALSE)</f>
        <v>Agri-chemicals reserved</v>
      </c>
      <c r="Q205" s="54" t="str">
        <f>VLOOKUP(Table3[[#This Row],[ACTIVITY]],TAGS!B:P,2,FALSE)</f>
        <v>Agri-chemicals reserved (pc)</v>
      </c>
      <c r="R205" s="47" t="s">
        <v>90</v>
      </c>
      <c r="S205" s="51" t="str">
        <f>VLOOKUP(Table3[[#This Row],[ACTIVITY]],TAGS!$B:$P,4,FALSE)</f>
        <v>Pest and Disease Management</v>
      </c>
      <c r="T205" s="51" t="str">
        <f>VLOOKUP(Table3[[#This Row],[ACTIVITY]],TAGS!$B:$P,5,FALSE)</f>
        <v>Agricultural Chemicals</v>
      </c>
      <c r="U205" s="51" t="str">
        <f>VLOOKUP(Table3[[#This Row],[ACTIVITY]],TAGS!$B:$P,6,FALSE)</f>
        <v>Pheromone lure</v>
      </c>
      <c r="V205" s="51" t="str">
        <f>VLOOKUP(Table3[[#This Row],[ACTIVITY]],TAGS!$B:$P,7,FALSE)</f>
        <v>NO</v>
      </c>
      <c r="W205" s="51" t="str">
        <f>VLOOKUP(Table3[[#This Row],[ACTIVITY]],TAGS!$B:$P,8,FALSE)</f>
        <v>PAP</v>
      </c>
      <c r="X205" s="51" t="str">
        <f>VLOOKUP(Table3[[#This Row],[ACTIVITY]],TAGS!$B:$P,10,FALSE)</f>
        <v>PIP</v>
      </c>
      <c r="Y205" s="51" t="str">
        <f>VLOOKUP(Table3[[#This Row],[ACTIVITY]],TAGS!$B:$P,11,FALSE)</f>
        <v>PICS</v>
      </c>
      <c r="Z205" s="51" t="str">
        <f>VLOOKUP(Table3[[#This Row],[ACTIVITY]],TAGS!$B:$P,12,FALSE)</f>
        <v>Modernization</v>
      </c>
      <c r="AA205" s="51" t="str">
        <f>VLOOKUP(Table3[[#This Row],[ACTIVITY]],TAGS!$B:$P,13,FALSE)</f>
        <v>9. Climate Change Adaptation &amp; Mitigation Measures</v>
      </c>
      <c r="AB205" s="51" t="str">
        <f>VLOOKUP(Table3[[#This Row],[ACTIVITY]],TAGS!$B:$P,14,FALSE)</f>
        <v>EXPAND AND IMPROVE AVAILABLE AGRI-FISHERY AREAS FOR INCREASED PRODUCTION</v>
      </c>
      <c r="AC205" s="51" t="str">
        <f>VLOOKUP(Table3[[#This Row],[ACTIVITY]],TAGS!$B:$P,15,FALSE)</f>
        <v>Agrichemicals</v>
      </c>
      <c r="AD205" s="51" t="str">
        <f>VLOOKUP(Table3[[#This Row],[PI LEVEL 3]],'PI LEVEL'!$A:$G,7,FALSE)</f>
        <v>DA-Level Output</v>
      </c>
      <c r="AE205" s="47" t="s">
        <v>577</v>
      </c>
      <c r="AF205" s="51" t="str">
        <f>VLOOKUP(Table3[[#This Row],[ACTIVITY]],TAGS!$B:$P,3,FALSE)</f>
        <v>piece</v>
      </c>
      <c r="AG205" s="47" t="s">
        <v>331</v>
      </c>
      <c r="AH205" s="51" t="str">
        <f>VLOOKUP(Table3[[#This Row],[MONTH]],TAGS!$W$67:$Y$81,2,FALSE)</f>
        <v>2ND QTR</v>
      </c>
      <c r="AI205" s="51" t="str">
        <f>VLOOKUP(Table3[[#This Row],[MONTH]],TAGS!$W$67:$Y$81,3,FALSE)</f>
        <v>1ST SEMESTER</v>
      </c>
      <c r="AJ205" s="51">
        <f>VLOOKUP(Table3[[#This Row],[MONTH]],TAGS!$W$67:$Z$81,4,FALSE)</f>
        <v>2025</v>
      </c>
      <c r="AK205" s="47">
        <v>5000</v>
      </c>
      <c r="AL205" s="51" t="str">
        <f>VLOOKUP(Table3[[#This Row],[ACTIVITY]],TAGS!$B:$R,16,FALSE)</f>
        <v>YES</v>
      </c>
      <c r="AM205" s="47">
        <v>5000</v>
      </c>
      <c r="AN205" s="47">
        <v>2750</v>
      </c>
      <c r="AO205" s="57">
        <f>SUM(Table3[[#This Row],[MALE BENEFICIARIES]:[FEMALE BENEFICIARIES]])</f>
        <v>0</v>
      </c>
      <c r="AP205" s="58"/>
      <c r="AQ205" s="58"/>
      <c r="AR205" s="58"/>
      <c r="AS205" s="58"/>
      <c r="AT205" s="59" t="str">
        <f>VLOOKUP(Table3[[#This Row],[ACTIVITY]],TAGS!$B:$R,17,FALSE)</f>
        <v>NO</v>
      </c>
      <c r="AU205" s="59"/>
      <c r="AV205" s="59"/>
      <c r="AW205" s="59"/>
      <c r="AX205" s="59"/>
      <c r="AY205" s="59"/>
      <c r="AZ205" s="59"/>
      <c r="BA205" s="59"/>
      <c r="BB205" s="59"/>
      <c r="BC205" s="59"/>
      <c r="BD205" s="59"/>
      <c r="BE205" s="59"/>
      <c r="BF205" s="59"/>
      <c r="BG205" s="59"/>
      <c r="BH205" s="59"/>
      <c r="BI205" s="59"/>
      <c r="BJ205" s="59"/>
      <c r="BK205" s="59"/>
      <c r="BL205" s="59"/>
      <c r="BM205" s="59"/>
    </row>
    <row r="206" spans="1:65">
      <c r="A206" s="51" t="str">
        <f>VLOOKUP(Table3[[#This Row],[OU]],OU!$A$15:$B$34,2,FALSE)</f>
        <v>RFOs</v>
      </c>
      <c r="B206" s="47" t="s">
        <v>5</v>
      </c>
      <c r="C206" s="47" t="s">
        <v>574</v>
      </c>
      <c r="D206" s="47"/>
      <c r="E206" s="47" t="s">
        <v>22</v>
      </c>
      <c r="F206" s="47" t="s">
        <v>696</v>
      </c>
      <c r="G20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20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21505000</v>
      </c>
      <c r="I206" s="52" t="str">
        <f>VLOOKUP(Table3[[#This Row],[PSGC]],DISTRICT!$D:$G,4,FALSE)</f>
        <v>1st</v>
      </c>
      <c r="J206" s="47" t="s">
        <v>579</v>
      </c>
      <c r="K206" s="51" t="str">
        <f>VLOOKUP(Table3[[#This Row],[SPECIFIC COMMODITY]],TAGS!$W$48:$X$53,2,FALSE)</f>
        <v>Cassava</v>
      </c>
      <c r="L206" s="51" t="str">
        <f>VLOOKUP(Table3[[#This Row],[PREXC SUB-PROGRAM]],Table5[],2,FALSE)</f>
        <v>TECHNICAL AND SUPPORT SERVICES PROGRAM</v>
      </c>
      <c r="M206" s="51" t="str">
        <f>VLOOKUP(Table3[[#This Row],[COMMODITY PREXC SUB-PROGRAM]],TAGS!$U$54:$V$76,2,FALSE)</f>
        <v>PSS</v>
      </c>
      <c r="N206" s="47" t="s">
        <v>580</v>
      </c>
      <c r="O206" s="54" t="str">
        <f>VLOOKUP(Table3[[#This Row],[PI LEVEL 3]],'PI LEVEL'!A:C,3,FALSE)</f>
        <v>Planting material distributed</v>
      </c>
      <c r="P206" s="54" t="str">
        <f>VLOOKUP(Table3[[#This Row],[PI LEVEL 3]],Table53729[[Performance Indicator Level 3]:[Performance Indicator Level 1]],2,FALSE)</f>
        <v>Planting material distributed</v>
      </c>
      <c r="Q206" s="54" t="str">
        <f>VLOOKUP(Table3[[#This Row],[ACTIVITY]],TAGS!B:P,2,FALSE)</f>
        <v>Cassava cutting distributed</v>
      </c>
      <c r="R206" s="47" t="s">
        <v>38</v>
      </c>
      <c r="S206" s="51" t="str">
        <f>VLOOKUP(Table3[[#This Row],[ACTIVITY]],TAGS!$B:$P,4,FALSE)</f>
        <v>Cassava Production Enhancement Project</v>
      </c>
      <c r="T206" s="51" t="str">
        <f>VLOOKUP(Table3[[#This Row],[ACTIVITY]],TAGS!$B:$P,5,FALSE)</f>
        <v>Cassava cuttings</v>
      </c>
      <c r="U206" s="51" t="str">
        <f>VLOOKUP(Table3[[#This Row],[ACTIVITY]],TAGS!$B:$P,6,FALSE)</f>
        <v>Cassava seed pieces</v>
      </c>
      <c r="V206" s="51" t="str">
        <f>VLOOKUP(Table3[[#This Row],[ACTIVITY]],TAGS!$B:$P,7,FALSE)</f>
        <v>NO</v>
      </c>
      <c r="W206" s="51" t="str">
        <f>VLOOKUP(Table3[[#This Row],[ACTIVITY]],TAGS!$B:$P,8,FALSE)</f>
        <v>PAP</v>
      </c>
      <c r="X206" s="51" t="str">
        <f>VLOOKUP(Table3[[#This Row],[ACTIVITY]],TAGS!$B:$P,10,FALSE)</f>
        <v>PIP</v>
      </c>
      <c r="Y206" s="51" t="str">
        <f>VLOOKUP(Table3[[#This Row],[ACTIVITY]],TAGS!$B:$P,11,FALSE)</f>
        <v>PICS</v>
      </c>
      <c r="Z206" s="51" t="str">
        <f>VLOOKUP(Table3[[#This Row],[ACTIVITY]],TAGS!$B:$P,12,FALSE)</f>
        <v>Consolidation</v>
      </c>
      <c r="AA206" s="51" t="str">
        <f>VLOOKUP(Table3[[#This Row],[ACTIVITY]],TAGS!$B:$P,13,FALSE)</f>
        <v>1. Bayanihan Agri Cluster</v>
      </c>
      <c r="AB206" s="51" t="str">
        <f>VLOOKUP(Table3[[#This Row],[ACTIVITY]],TAGS!$B:$P,14,FALSE)</f>
        <v>EXPAND AND IMPROVE AVAILABLE AGRI-FISHERY AREAS FOR INCREASED PRODUCTION</v>
      </c>
      <c r="AC206" s="51" t="str">
        <f>VLOOKUP(Table3[[#This Row],[ACTIVITY]],TAGS!$B:$P,15,FALSE)</f>
        <v>Farm Inputs</v>
      </c>
      <c r="AD206" s="51" t="str">
        <f>VLOOKUP(Table3[[#This Row],[PI LEVEL 3]],'PI LEVEL'!$A:$G,7,FALSE)</f>
        <v>DA-Level Output</v>
      </c>
      <c r="AE206" s="47" t="s">
        <v>577</v>
      </c>
      <c r="AF206" s="51" t="str">
        <f>VLOOKUP(Table3[[#This Row],[ACTIVITY]],TAGS!$B:$P,3,FALSE)</f>
        <v>piece</v>
      </c>
      <c r="AG206" s="47" t="s">
        <v>334</v>
      </c>
      <c r="AH206" s="51" t="str">
        <f>VLOOKUP(Table3[[#This Row],[MONTH]],TAGS!$W$67:$Y$81,2,FALSE)</f>
        <v>3RD QTR</v>
      </c>
      <c r="AI206" s="51" t="str">
        <f>VLOOKUP(Table3[[#This Row],[MONTH]],TAGS!$W$67:$Y$81,3,FALSE)</f>
        <v>2ND SEMESTER</v>
      </c>
      <c r="AJ206" s="51">
        <f>VLOOKUP(Table3[[#This Row],[MONTH]],TAGS!$W$67:$Z$81,4,FALSE)</f>
        <v>2025</v>
      </c>
      <c r="AK206" s="47">
        <v>20000</v>
      </c>
      <c r="AL206" s="51" t="str">
        <f>VLOOKUP(Table3[[#This Row],[ACTIVITY]],TAGS!$B:$R,16,FALSE)</f>
        <v>YES</v>
      </c>
      <c r="AM206" s="47">
        <v>2</v>
      </c>
      <c r="AN206" s="47">
        <v>20</v>
      </c>
      <c r="AO206" s="57">
        <f>SUM(Table3[[#This Row],[MALE BENEFICIARIES]:[FEMALE BENEFICIARIES]])</f>
        <v>0</v>
      </c>
      <c r="AP206" s="58"/>
      <c r="AQ206" s="58"/>
      <c r="AR206" s="58"/>
      <c r="AS206" s="58">
        <v>1</v>
      </c>
      <c r="AT206" s="59">
        <v>2</v>
      </c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</row>
    <row r="207" spans="1:65">
      <c r="A207" s="51" t="str">
        <f>VLOOKUP(Table3[[#This Row],[OU]],OU!$A$15:$B$34,2,FALSE)</f>
        <v>RFOs</v>
      </c>
      <c r="B207" s="47" t="s">
        <v>5</v>
      </c>
      <c r="C207" s="47" t="s">
        <v>574</v>
      </c>
      <c r="D207" s="47"/>
      <c r="E207" s="47" t="s">
        <v>22</v>
      </c>
      <c r="F207" s="47" t="s">
        <v>645</v>
      </c>
      <c r="G20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20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21508000</v>
      </c>
      <c r="I207" s="52" t="str">
        <f>VLOOKUP(Table3[[#This Row],[PSGC]],DISTRICT!$D:$G,4,FALSE)</f>
        <v>3rd</v>
      </c>
      <c r="J207" s="47" t="s">
        <v>579</v>
      </c>
      <c r="K207" s="51" t="str">
        <f>VLOOKUP(Table3[[#This Row],[SPECIFIC COMMODITY]],TAGS!$W$48:$X$53,2,FALSE)</f>
        <v>Cassava</v>
      </c>
      <c r="L207" s="51" t="str">
        <f>VLOOKUP(Table3[[#This Row],[PREXC SUB-PROGRAM]],Table5[],2,FALSE)</f>
        <v>TECHNICAL AND SUPPORT SERVICES PROGRAM</v>
      </c>
      <c r="M207" s="51" t="str">
        <f>VLOOKUP(Table3[[#This Row],[COMMODITY PREXC SUB-PROGRAM]],TAGS!$U$54:$V$76,2,FALSE)</f>
        <v>PSS</v>
      </c>
      <c r="N207" s="47" t="s">
        <v>580</v>
      </c>
      <c r="O207" s="54" t="str">
        <f>VLOOKUP(Table3[[#This Row],[PI LEVEL 3]],'PI LEVEL'!A:C,3,FALSE)</f>
        <v>Planting material distributed</v>
      </c>
      <c r="P207" s="54" t="str">
        <f>VLOOKUP(Table3[[#This Row],[PI LEVEL 3]],Table53729[[Performance Indicator Level 3]:[Performance Indicator Level 1]],2,FALSE)</f>
        <v>Planting material distributed</v>
      </c>
      <c r="Q207" s="54" t="str">
        <f>VLOOKUP(Table3[[#This Row],[ACTIVITY]],TAGS!B:P,2,FALSE)</f>
        <v>Cassava cutting distributed</v>
      </c>
      <c r="R207" s="47" t="s">
        <v>38</v>
      </c>
      <c r="S207" s="51" t="str">
        <f>VLOOKUP(Table3[[#This Row],[ACTIVITY]],TAGS!$B:$P,4,FALSE)</f>
        <v>Cassava Production Enhancement Project</v>
      </c>
      <c r="T207" s="51" t="str">
        <f>VLOOKUP(Table3[[#This Row],[ACTIVITY]],TAGS!$B:$P,5,FALSE)</f>
        <v>Cassava cuttings</v>
      </c>
      <c r="U207" s="51" t="str">
        <f>VLOOKUP(Table3[[#This Row],[ACTIVITY]],TAGS!$B:$P,6,FALSE)</f>
        <v>Cassava seed pieces</v>
      </c>
      <c r="V207" s="51" t="str">
        <f>VLOOKUP(Table3[[#This Row],[ACTIVITY]],TAGS!$B:$P,7,FALSE)</f>
        <v>NO</v>
      </c>
      <c r="W207" s="51" t="str">
        <f>VLOOKUP(Table3[[#This Row],[ACTIVITY]],TAGS!$B:$P,8,FALSE)</f>
        <v>PAP</v>
      </c>
      <c r="X207" s="51" t="str">
        <f>VLOOKUP(Table3[[#This Row],[ACTIVITY]],TAGS!$B:$P,10,FALSE)</f>
        <v>PIP</v>
      </c>
      <c r="Y207" s="51" t="str">
        <f>VLOOKUP(Table3[[#This Row],[ACTIVITY]],TAGS!$B:$P,11,FALSE)</f>
        <v>PICS</v>
      </c>
      <c r="Z207" s="51" t="str">
        <f>VLOOKUP(Table3[[#This Row],[ACTIVITY]],TAGS!$B:$P,12,FALSE)</f>
        <v>Consolidation</v>
      </c>
      <c r="AA207" s="51" t="str">
        <f>VLOOKUP(Table3[[#This Row],[ACTIVITY]],TAGS!$B:$P,13,FALSE)</f>
        <v>1. Bayanihan Agri Cluster</v>
      </c>
      <c r="AB207" s="51" t="str">
        <f>VLOOKUP(Table3[[#This Row],[ACTIVITY]],TAGS!$B:$P,14,FALSE)</f>
        <v>EXPAND AND IMPROVE AVAILABLE AGRI-FISHERY AREAS FOR INCREASED PRODUCTION</v>
      </c>
      <c r="AC207" s="51" t="str">
        <f>VLOOKUP(Table3[[#This Row],[ACTIVITY]],TAGS!$B:$P,15,FALSE)</f>
        <v>Farm Inputs</v>
      </c>
      <c r="AD207" s="51" t="str">
        <f>VLOOKUP(Table3[[#This Row],[PI LEVEL 3]],'PI LEVEL'!$A:$G,7,FALSE)</f>
        <v>DA-Level Output</v>
      </c>
      <c r="AE207" s="47" t="s">
        <v>577</v>
      </c>
      <c r="AF207" s="51" t="str">
        <f>VLOOKUP(Table3[[#This Row],[ACTIVITY]],TAGS!$B:$P,3,FALSE)</f>
        <v>piece</v>
      </c>
      <c r="AG207" s="47" t="s">
        <v>334</v>
      </c>
      <c r="AH207" s="51" t="str">
        <f>VLOOKUP(Table3[[#This Row],[MONTH]],TAGS!$W$67:$Y$81,2,FALSE)</f>
        <v>3RD QTR</v>
      </c>
      <c r="AI207" s="51" t="str">
        <f>VLOOKUP(Table3[[#This Row],[MONTH]],TAGS!$W$67:$Y$81,3,FALSE)</f>
        <v>2ND SEMESTER</v>
      </c>
      <c r="AJ207" s="51">
        <f>VLOOKUP(Table3[[#This Row],[MONTH]],TAGS!$W$67:$Z$81,4,FALSE)</f>
        <v>2025</v>
      </c>
      <c r="AK207" s="47">
        <v>45000</v>
      </c>
      <c r="AL207" s="51" t="str">
        <f>VLOOKUP(Table3[[#This Row],[ACTIVITY]],TAGS!$B:$R,16,FALSE)</f>
        <v>YES</v>
      </c>
      <c r="AM207" s="47">
        <v>4.5</v>
      </c>
      <c r="AN207" s="47">
        <v>45</v>
      </c>
      <c r="AO207" s="57">
        <f>SUM(Table3[[#This Row],[MALE BENEFICIARIES]:[FEMALE BENEFICIARIES]])</f>
        <v>0</v>
      </c>
      <c r="AP207" s="58"/>
      <c r="AQ207" s="58"/>
      <c r="AR207" s="58"/>
      <c r="AS207" s="58">
        <v>1</v>
      </c>
      <c r="AT207" s="59">
        <v>5</v>
      </c>
      <c r="AU207" s="59"/>
      <c r="AV207" s="59"/>
      <c r="AW207" s="59"/>
      <c r="AX207" s="59"/>
      <c r="AY207" s="59"/>
      <c r="AZ207" s="59"/>
      <c r="BA207" s="59"/>
      <c r="BB207" s="59"/>
      <c r="BC207" s="59"/>
      <c r="BD207" s="59"/>
      <c r="BE207" s="59"/>
      <c r="BF207" s="59"/>
      <c r="BG207" s="59"/>
      <c r="BH207" s="59"/>
      <c r="BI207" s="59"/>
      <c r="BJ207" s="59"/>
      <c r="BK207" s="59"/>
      <c r="BL207" s="59"/>
      <c r="BM207" s="59"/>
    </row>
    <row r="208" spans="1:65">
      <c r="A208" s="51" t="str">
        <f>VLOOKUP(Table3[[#This Row],[OU]],OU!$A$15:$B$34,2,FALSE)</f>
        <v>RFOs</v>
      </c>
      <c r="B208" s="47" t="s">
        <v>5</v>
      </c>
      <c r="C208" s="47" t="s">
        <v>574</v>
      </c>
      <c r="D208" s="47"/>
      <c r="E208" s="47" t="s">
        <v>22</v>
      </c>
      <c r="F208" s="47" t="s">
        <v>620</v>
      </c>
      <c r="G20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20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21518000</v>
      </c>
      <c r="I208" s="52" t="str">
        <f>VLOOKUP(Table3[[#This Row],[PSGC]],DISTRICT!$D:$G,4,FALSE)</f>
        <v>4th</v>
      </c>
      <c r="J208" s="47" t="s">
        <v>579</v>
      </c>
      <c r="K208" s="51" t="str">
        <f>VLOOKUP(Table3[[#This Row],[SPECIFIC COMMODITY]],TAGS!$W$48:$X$53,2,FALSE)</f>
        <v>Cassava</v>
      </c>
      <c r="L208" s="51" t="str">
        <f>VLOOKUP(Table3[[#This Row],[PREXC SUB-PROGRAM]],Table5[],2,FALSE)</f>
        <v>TECHNICAL AND SUPPORT SERVICES PROGRAM</v>
      </c>
      <c r="M208" s="51" t="str">
        <f>VLOOKUP(Table3[[#This Row],[COMMODITY PREXC SUB-PROGRAM]],TAGS!$U$54:$V$76,2,FALSE)</f>
        <v>PSS</v>
      </c>
      <c r="N208" s="47" t="s">
        <v>580</v>
      </c>
      <c r="O208" s="54" t="str">
        <f>VLOOKUP(Table3[[#This Row],[PI LEVEL 3]],'PI LEVEL'!A:C,3,FALSE)</f>
        <v>Planting material distributed</v>
      </c>
      <c r="P208" s="54" t="str">
        <f>VLOOKUP(Table3[[#This Row],[PI LEVEL 3]],Table53729[[Performance Indicator Level 3]:[Performance Indicator Level 1]],2,FALSE)</f>
        <v>Planting material distributed</v>
      </c>
      <c r="Q208" s="54" t="str">
        <f>VLOOKUP(Table3[[#This Row],[ACTIVITY]],TAGS!B:P,2,FALSE)</f>
        <v>Cassava cutting distributed</v>
      </c>
      <c r="R208" s="47" t="s">
        <v>38</v>
      </c>
      <c r="S208" s="51" t="str">
        <f>VLOOKUP(Table3[[#This Row],[ACTIVITY]],TAGS!$B:$P,4,FALSE)</f>
        <v>Cassava Production Enhancement Project</v>
      </c>
      <c r="T208" s="51" t="str">
        <f>VLOOKUP(Table3[[#This Row],[ACTIVITY]],TAGS!$B:$P,5,FALSE)</f>
        <v>Cassava cuttings</v>
      </c>
      <c r="U208" s="51" t="str">
        <f>VLOOKUP(Table3[[#This Row],[ACTIVITY]],TAGS!$B:$P,6,FALSE)</f>
        <v>Cassava seed pieces</v>
      </c>
      <c r="V208" s="51" t="str">
        <f>VLOOKUP(Table3[[#This Row],[ACTIVITY]],TAGS!$B:$P,7,FALSE)</f>
        <v>NO</v>
      </c>
      <c r="W208" s="51" t="str">
        <f>VLOOKUP(Table3[[#This Row],[ACTIVITY]],TAGS!$B:$P,8,FALSE)</f>
        <v>PAP</v>
      </c>
      <c r="X208" s="51" t="str">
        <f>VLOOKUP(Table3[[#This Row],[ACTIVITY]],TAGS!$B:$P,10,FALSE)</f>
        <v>PIP</v>
      </c>
      <c r="Y208" s="51" t="str">
        <f>VLOOKUP(Table3[[#This Row],[ACTIVITY]],TAGS!$B:$P,11,FALSE)</f>
        <v>PICS</v>
      </c>
      <c r="Z208" s="51" t="str">
        <f>VLOOKUP(Table3[[#This Row],[ACTIVITY]],TAGS!$B:$P,12,FALSE)</f>
        <v>Consolidation</v>
      </c>
      <c r="AA208" s="51" t="str">
        <f>VLOOKUP(Table3[[#This Row],[ACTIVITY]],TAGS!$B:$P,13,FALSE)</f>
        <v>1. Bayanihan Agri Cluster</v>
      </c>
      <c r="AB208" s="51" t="str">
        <f>VLOOKUP(Table3[[#This Row],[ACTIVITY]],TAGS!$B:$P,14,FALSE)</f>
        <v>EXPAND AND IMPROVE AVAILABLE AGRI-FISHERY AREAS FOR INCREASED PRODUCTION</v>
      </c>
      <c r="AC208" s="51" t="str">
        <f>VLOOKUP(Table3[[#This Row],[ACTIVITY]],TAGS!$B:$P,15,FALSE)</f>
        <v>Farm Inputs</v>
      </c>
      <c r="AD208" s="51" t="str">
        <f>VLOOKUP(Table3[[#This Row],[PI LEVEL 3]],'PI LEVEL'!$A:$G,7,FALSE)</f>
        <v>DA-Level Output</v>
      </c>
      <c r="AE208" s="47" t="s">
        <v>577</v>
      </c>
      <c r="AF208" s="51" t="str">
        <f>VLOOKUP(Table3[[#This Row],[ACTIVITY]],TAGS!$B:$P,3,FALSE)</f>
        <v>piece</v>
      </c>
      <c r="AG208" s="47" t="s">
        <v>334</v>
      </c>
      <c r="AH208" s="51" t="str">
        <f>VLOOKUP(Table3[[#This Row],[MONTH]],TAGS!$W$67:$Y$81,2,FALSE)</f>
        <v>3RD QTR</v>
      </c>
      <c r="AI208" s="51" t="str">
        <f>VLOOKUP(Table3[[#This Row],[MONTH]],TAGS!$W$67:$Y$81,3,FALSE)</f>
        <v>2ND SEMESTER</v>
      </c>
      <c r="AJ208" s="51">
        <f>VLOOKUP(Table3[[#This Row],[MONTH]],TAGS!$W$67:$Z$81,4,FALSE)</f>
        <v>2025</v>
      </c>
      <c r="AK208" s="47">
        <v>65000</v>
      </c>
      <c r="AL208" s="51" t="str">
        <f>VLOOKUP(Table3[[#This Row],[ACTIVITY]],TAGS!$B:$R,16,FALSE)</f>
        <v>YES</v>
      </c>
      <c r="AM208" s="47">
        <v>6.5</v>
      </c>
      <c r="AN208" s="47">
        <v>65</v>
      </c>
      <c r="AO208" s="57">
        <f>SUM(Table3[[#This Row],[MALE BENEFICIARIES]:[FEMALE BENEFICIARIES]])</f>
        <v>0</v>
      </c>
      <c r="AP208" s="58"/>
      <c r="AQ208" s="58"/>
      <c r="AR208" s="58"/>
      <c r="AS208" s="58">
        <v>1</v>
      </c>
      <c r="AT208" s="59">
        <v>7</v>
      </c>
      <c r="AU208" s="59"/>
      <c r="AV208" s="59"/>
      <c r="AW208" s="59"/>
      <c r="AX208" s="59"/>
      <c r="AY208" s="59"/>
      <c r="AZ208" s="59"/>
      <c r="BA208" s="59"/>
      <c r="BB208" s="59"/>
      <c r="BC208" s="59"/>
      <c r="BD208" s="59"/>
      <c r="BE208" s="59"/>
      <c r="BF208" s="59"/>
      <c r="BG208" s="59"/>
      <c r="BH208" s="59"/>
      <c r="BI208" s="59"/>
      <c r="BJ208" s="59"/>
      <c r="BK208" s="59"/>
      <c r="BL208" s="59"/>
      <c r="BM208" s="59"/>
    </row>
    <row r="209" spans="1:65">
      <c r="A209" s="51" t="str">
        <f>VLOOKUP(Table3[[#This Row],[OU]],OU!$A$15:$B$34,2,FALSE)</f>
        <v>RFOs</v>
      </c>
      <c r="B209" s="47" t="s">
        <v>5</v>
      </c>
      <c r="C209" s="47" t="s">
        <v>574</v>
      </c>
      <c r="D209" s="47"/>
      <c r="E209" s="47" t="s">
        <v>43</v>
      </c>
      <c r="F209" s="47" t="s">
        <v>630</v>
      </c>
      <c r="G20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20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23114000</v>
      </c>
      <c r="I209" s="52" t="str">
        <f>VLOOKUP(Table3[[#This Row],[PSGC]],DISTRICT!$D:$G,4,FALSE)</f>
        <v>1st</v>
      </c>
      <c r="J209" s="47" t="s">
        <v>579</v>
      </c>
      <c r="K209" s="51" t="str">
        <f>VLOOKUP(Table3[[#This Row],[SPECIFIC COMMODITY]],TAGS!$W$48:$X$53,2,FALSE)</f>
        <v>Cassava</v>
      </c>
      <c r="L209" s="51" t="str">
        <f>VLOOKUP(Table3[[#This Row],[PREXC SUB-PROGRAM]],Table5[],2,FALSE)</f>
        <v>TECHNICAL AND SUPPORT SERVICES PROGRAM</v>
      </c>
      <c r="M209" s="51" t="str">
        <f>VLOOKUP(Table3[[#This Row],[COMMODITY PREXC SUB-PROGRAM]],TAGS!$U$54:$V$76,2,FALSE)</f>
        <v>PSS</v>
      </c>
      <c r="N209" s="47" t="s">
        <v>580</v>
      </c>
      <c r="O209" s="54" t="str">
        <f>VLOOKUP(Table3[[#This Row],[PI LEVEL 3]],'PI LEVEL'!A:C,3,FALSE)</f>
        <v>Planting material distributed</v>
      </c>
      <c r="P209" s="54" t="str">
        <f>VLOOKUP(Table3[[#This Row],[PI LEVEL 3]],Table53729[[Performance Indicator Level 3]:[Performance Indicator Level 1]],2,FALSE)</f>
        <v>Planting material distributed</v>
      </c>
      <c r="Q209" s="54" t="str">
        <f>VLOOKUP(Table3[[#This Row],[ACTIVITY]],TAGS!B:P,2,FALSE)</f>
        <v>Cassava cutting distributed</v>
      </c>
      <c r="R209" s="47" t="s">
        <v>38</v>
      </c>
      <c r="S209" s="51" t="str">
        <f>VLOOKUP(Table3[[#This Row],[ACTIVITY]],TAGS!$B:$P,4,FALSE)</f>
        <v>Cassava Production Enhancement Project</v>
      </c>
      <c r="T209" s="51" t="str">
        <f>VLOOKUP(Table3[[#This Row],[ACTIVITY]],TAGS!$B:$P,5,FALSE)</f>
        <v>Cassava cuttings</v>
      </c>
      <c r="U209" s="51" t="str">
        <f>VLOOKUP(Table3[[#This Row],[ACTIVITY]],TAGS!$B:$P,6,FALSE)</f>
        <v>Cassava seed pieces</v>
      </c>
      <c r="V209" s="51" t="str">
        <f>VLOOKUP(Table3[[#This Row],[ACTIVITY]],TAGS!$B:$P,7,FALSE)</f>
        <v>NO</v>
      </c>
      <c r="W209" s="51" t="str">
        <f>VLOOKUP(Table3[[#This Row],[ACTIVITY]],TAGS!$B:$P,8,FALSE)</f>
        <v>PAP</v>
      </c>
      <c r="X209" s="51" t="str">
        <f>VLOOKUP(Table3[[#This Row],[ACTIVITY]],TAGS!$B:$P,10,FALSE)</f>
        <v>PIP</v>
      </c>
      <c r="Y209" s="51" t="str">
        <f>VLOOKUP(Table3[[#This Row],[ACTIVITY]],TAGS!$B:$P,11,FALSE)</f>
        <v>PICS</v>
      </c>
      <c r="Z209" s="51" t="str">
        <f>VLOOKUP(Table3[[#This Row],[ACTIVITY]],TAGS!$B:$P,12,FALSE)</f>
        <v>Consolidation</v>
      </c>
      <c r="AA209" s="51" t="str">
        <f>VLOOKUP(Table3[[#This Row],[ACTIVITY]],TAGS!$B:$P,13,FALSE)</f>
        <v>1. Bayanihan Agri Cluster</v>
      </c>
      <c r="AB209" s="51" t="str">
        <f>VLOOKUP(Table3[[#This Row],[ACTIVITY]],TAGS!$B:$P,14,FALSE)</f>
        <v>EXPAND AND IMPROVE AVAILABLE AGRI-FISHERY AREAS FOR INCREASED PRODUCTION</v>
      </c>
      <c r="AC209" s="51" t="str">
        <f>VLOOKUP(Table3[[#This Row],[ACTIVITY]],TAGS!$B:$P,15,FALSE)</f>
        <v>Farm Inputs</v>
      </c>
      <c r="AD209" s="51" t="str">
        <f>VLOOKUP(Table3[[#This Row],[PI LEVEL 3]],'PI LEVEL'!$A:$G,7,FALSE)</f>
        <v>DA-Level Output</v>
      </c>
      <c r="AE209" s="47" t="s">
        <v>577</v>
      </c>
      <c r="AF209" s="51" t="str">
        <f>VLOOKUP(Table3[[#This Row],[ACTIVITY]],TAGS!$B:$P,3,FALSE)</f>
        <v>piece</v>
      </c>
      <c r="AG209" s="47" t="s">
        <v>332</v>
      </c>
      <c r="AH209" s="51" t="str">
        <f>VLOOKUP(Table3[[#This Row],[MONTH]],TAGS!$W$67:$Y$81,2,FALSE)</f>
        <v>2ND QTR</v>
      </c>
      <c r="AI209" s="51" t="str">
        <f>VLOOKUP(Table3[[#This Row],[MONTH]],TAGS!$W$67:$Y$81,3,FALSE)</f>
        <v>1ST SEMESTER</v>
      </c>
      <c r="AJ209" s="51">
        <f>VLOOKUP(Table3[[#This Row],[MONTH]],TAGS!$W$67:$Z$81,4,FALSE)</f>
        <v>2025</v>
      </c>
      <c r="AK209" s="47">
        <v>155000</v>
      </c>
      <c r="AL209" s="51" t="str">
        <f>VLOOKUP(Table3[[#This Row],[ACTIVITY]],TAGS!$B:$R,16,FALSE)</f>
        <v>YES</v>
      </c>
      <c r="AM209" s="47">
        <v>15.5</v>
      </c>
      <c r="AN209" s="47">
        <v>155</v>
      </c>
      <c r="AO209" s="57">
        <f>SUM(Table3[[#This Row],[MALE BENEFICIARIES]:[FEMALE BENEFICIARIES]])</f>
        <v>0</v>
      </c>
      <c r="AP209" s="58"/>
      <c r="AQ209" s="58"/>
      <c r="AR209" s="58"/>
      <c r="AS209" s="58">
        <v>1</v>
      </c>
      <c r="AT209" s="59">
        <v>16</v>
      </c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</row>
    <row r="210" spans="1:65">
      <c r="A210" s="51" t="str">
        <f>VLOOKUP(Table3[[#This Row],[OU]],OU!$A$15:$B$34,2,FALSE)</f>
        <v>RFOs</v>
      </c>
      <c r="B210" s="47" t="s">
        <v>5</v>
      </c>
      <c r="C210" s="47" t="s">
        <v>574</v>
      </c>
      <c r="D210" s="47"/>
      <c r="E210" s="47" t="s">
        <v>43</v>
      </c>
      <c r="F210" s="47" t="s">
        <v>685</v>
      </c>
      <c r="G21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21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23112000</v>
      </c>
      <c r="I210" s="52" t="str">
        <f>VLOOKUP(Table3[[#This Row],[PSGC]],DISTRICT!$D:$G,4,FALSE)</f>
        <v>1st</v>
      </c>
      <c r="J210" s="47" t="s">
        <v>579</v>
      </c>
      <c r="K210" s="51" t="str">
        <f>VLOOKUP(Table3[[#This Row],[SPECIFIC COMMODITY]],TAGS!$W$48:$X$53,2,FALSE)</f>
        <v>Cassava</v>
      </c>
      <c r="L210" s="51" t="str">
        <f>VLOOKUP(Table3[[#This Row],[PREXC SUB-PROGRAM]],Table5[],2,FALSE)</f>
        <v>TECHNICAL AND SUPPORT SERVICES PROGRAM</v>
      </c>
      <c r="M210" s="51" t="str">
        <f>VLOOKUP(Table3[[#This Row],[COMMODITY PREXC SUB-PROGRAM]],TAGS!$U$54:$V$76,2,FALSE)</f>
        <v>PSS</v>
      </c>
      <c r="N210" s="47" t="s">
        <v>580</v>
      </c>
      <c r="O210" s="54" t="str">
        <f>VLOOKUP(Table3[[#This Row],[PI LEVEL 3]],'PI LEVEL'!A:C,3,FALSE)</f>
        <v>Planting material distributed</v>
      </c>
      <c r="P210" s="54" t="str">
        <f>VLOOKUP(Table3[[#This Row],[PI LEVEL 3]],Table53729[[Performance Indicator Level 3]:[Performance Indicator Level 1]],2,FALSE)</f>
        <v>Planting material distributed</v>
      </c>
      <c r="Q210" s="54" t="str">
        <f>VLOOKUP(Table3[[#This Row],[ACTIVITY]],TAGS!B:P,2,FALSE)</f>
        <v>Cassava cutting distributed</v>
      </c>
      <c r="R210" s="47" t="s">
        <v>38</v>
      </c>
      <c r="S210" s="51" t="str">
        <f>VLOOKUP(Table3[[#This Row],[ACTIVITY]],TAGS!$B:$P,4,FALSE)</f>
        <v>Cassava Production Enhancement Project</v>
      </c>
      <c r="T210" s="51" t="str">
        <f>VLOOKUP(Table3[[#This Row],[ACTIVITY]],TAGS!$B:$P,5,FALSE)</f>
        <v>Cassava cuttings</v>
      </c>
      <c r="U210" s="51" t="str">
        <f>VLOOKUP(Table3[[#This Row],[ACTIVITY]],TAGS!$B:$P,6,FALSE)</f>
        <v>Cassava seed pieces</v>
      </c>
      <c r="V210" s="51" t="str">
        <f>VLOOKUP(Table3[[#This Row],[ACTIVITY]],TAGS!$B:$P,7,FALSE)</f>
        <v>NO</v>
      </c>
      <c r="W210" s="51" t="str">
        <f>VLOOKUP(Table3[[#This Row],[ACTIVITY]],TAGS!$B:$P,8,FALSE)</f>
        <v>PAP</v>
      </c>
      <c r="X210" s="51" t="str">
        <f>VLOOKUP(Table3[[#This Row],[ACTIVITY]],TAGS!$B:$P,10,FALSE)</f>
        <v>PIP</v>
      </c>
      <c r="Y210" s="51" t="str">
        <f>VLOOKUP(Table3[[#This Row],[ACTIVITY]],TAGS!$B:$P,11,FALSE)</f>
        <v>PICS</v>
      </c>
      <c r="Z210" s="51" t="str">
        <f>VLOOKUP(Table3[[#This Row],[ACTIVITY]],TAGS!$B:$P,12,FALSE)</f>
        <v>Consolidation</v>
      </c>
      <c r="AA210" s="51" t="str">
        <f>VLOOKUP(Table3[[#This Row],[ACTIVITY]],TAGS!$B:$P,13,FALSE)</f>
        <v>1. Bayanihan Agri Cluster</v>
      </c>
      <c r="AB210" s="51" t="str">
        <f>VLOOKUP(Table3[[#This Row],[ACTIVITY]],TAGS!$B:$P,14,FALSE)</f>
        <v>EXPAND AND IMPROVE AVAILABLE AGRI-FISHERY AREAS FOR INCREASED PRODUCTION</v>
      </c>
      <c r="AC210" s="51" t="str">
        <f>VLOOKUP(Table3[[#This Row],[ACTIVITY]],TAGS!$B:$P,15,FALSE)</f>
        <v>Farm Inputs</v>
      </c>
      <c r="AD210" s="51" t="str">
        <f>VLOOKUP(Table3[[#This Row],[PI LEVEL 3]],'PI LEVEL'!$A:$G,7,FALSE)</f>
        <v>DA-Level Output</v>
      </c>
      <c r="AE210" s="47" t="s">
        <v>577</v>
      </c>
      <c r="AF210" s="51" t="str">
        <f>VLOOKUP(Table3[[#This Row],[ACTIVITY]],TAGS!$B:$P,3,FALSE)</f>
        <v>piece</v>
      </c>
      <c r="AG210" s="47" t="s">
        <v>333</v>
      </c>
      <c r="AH210" s="51" t="str">
        <f>VLOOKUP(Table3[[#This Row],[MONTH]],TAGS!$W$67:$Y$81,2,FALSE)</f>
        <v>3RD QTR</v>
      </c>
      <c r="AI210" s="51" t="str">
        <f>VLOOKUP(Table3[[#This Row],[MONTH]],TAGS!$W$67:$Y$81,3,FALSE)</f>
        <v>2ND SEMESTER</v>
      </c>
      <c r="AJ210" s="51">
        <f>VLOOKUP(Table3[[#This Row],[MONTH]],TAGS!$W$67:$Z$81,4,FALSE)</f>
        <v>2025</v>
      </c>
      <c r="AK210" s="47">
        <v>200000</v>
      </c>
      <c r="AL210" s="51" t="str">
        <f>VLOOKUP(Table3[[#This Row],[ACTIVITY]],TAGS!$B:$R,16,FALSE)</f>
        <v>YES</v>
      </c>
      <c r="AM210" s="47">
        <v>20</v>
      </c>
      <c r="AN210" s="47">
        <v>200</v>
      </c>
      <c r="AO210" s="57">
        <f>SUM(Table3[[#This Row],[MALE BENEFICIARIES]:[FEMALE BENEFICIARIES]])</f>
        <v>0</v>
      </c>
      <c r="AP210" s="58"/>
      <c r="AQ210" s="58"/>
      <c r="AR210" s="58"/>
      <c r="AS210" s="58">
        <v>1</v>
      </c>
      <c r="AT210" s="59">
        <v>20</v>
      </c>
      <c r="AU210" s="59"/>
      <c r="AV210" s="59"/>
      <c r="AW210" s="59"/>
      <c r="AX210" s="59"/>
      <c r="AY210" s="59"/>
      <c r="AZ210" s="59"/>
      <c r="BA210" s="59"/>
      <c r="BB210" s="59"/>
      <c r="BC210" s="59"/>
      <c r="BD210" s="59"/>
      <c r="BE210" s="59"/>
      <c r="BF210" s="59"/>
      <c r="BG210" s="59"/>
      <c r="BH210" s="59"/>
      <c r="BI210" s="59"/>
      <c r="BJ210" s="59"/>
      <c r="BK210" s="59"/>
      <c r="BL210" s="59"/>
      <c r="BM210" s="59"/>
    </row>
    <row r="211" spans="1:65">
      <c r="A211" s="51" t="str">
        <f>VLOOKUP(Table3[[#This Row],[OU]],OU!$A$15:$B$34,2,FALSE)</f>
        <v>RFOs</v>
      </c>
      <c r="B211" s="47" t="s">
        <v>5</v>
      </c>
      <c r="C211" s="47" t="s">
        <v>574</v>
      </c>
      <c r="D211" s="47"/>
      <c r="E211" s="47" t="s">
        <v>43</v>
      </c>
      <c r="F211" s="47" t="s">
        <v>667</v>
      </c>
      <c r="G21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21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23131000</v>
      </c>
      <c r="I211" s="52" t="str">
        <f>VLOOKUP(Table3[[#This Row],[PSGC]],DISTRICT!$D:$G,4,FALSE)</f>
        <v>1st</v>
      </c>
      <c r="J211" s="47" t="s">
        <v>579</v>
      </c>
      <c r="K211" s="51" t="str">
        <f>VLOOKUP(Table3[[#This Row],[SPECIFIC COMMODITY]],TAGS!$W$48:$X$53,2,FALSE)</f>
        <v>Cassava</v>
      </c>
      <c r="L211" s="51" t="str">
        <f>VLOOKUP(Table3[[#This Row],[PREXC SUB-PROGRAM]],Table5[],2,FALSE)</f>
        <v>TECHNICAL AND SUPPORT SERVICES PROGRAM</v>
      </c>
      <c r="M211" s="51" t="str">
        <f>VLOOKUP(Table3[[#This Row],[COMMODITY PREXC SUB-PROGRAM]],TAGS!$U$54:$V$76,2,FALSE)</f>
        <v>PSS</v>
      </c>
      <c r="N211" s="47" t="s">
        <v>580</v>
      </c>
      <c r="O211" s="54" t="str">
        <f>VLOOKUP(Table3[[#This Row],[PI LEVEL 3]],'PI LEVEL'!A:C,3,FALSE)</f>
        <v>Planting material distributed</v>
      </c>
      <c r="P211" s="54" t="str">
        <f>VLOOKUP(Table3[[#This Row],[PI LEVEL 3]],Table53729[[Performance Indicator Level 3]:[Performance Indicator Level 1]],2,FALSE)</f>
        <v>Planting material distributed</v>
      </c>
      <c r="Q211" s="54" t="str">
        <f>VLOOKUP(Table3[[#This Row],[ACTIVITY]],TAGS!B:P,2,FALSE)</f>
        <v>Cassava cutting distributed</v>
      </c>
      <c r="R211" s="47" t="s">
        <v>38</v>
      </c>
      <c r="S211" s="51" t="str">
        <f>VLOOKUP(Table3[[#This Row],[ACTIVITY]],TAGS!$B:$P,4,FALSE)</f>
        <v>Cassava Production Enhancement Project</v>
      </c>
      <c r="T211" s="51" t="str">
        <f>VLOOKUP(Table3[[#This Row],[ACTIVITY]],TAGS!$B:$P,5,FALSE)</f>
        <v>Cassava cuttings</v>
      </c>
      <c r="U211" s="51" t="str">
        <f>VLOOKUP(Table3[[#This Row],[ACTIVITY]],TAGS!$B:$P,6,FALSE)</f>
        <v>Cassava seed pieces</v>
      </c>
      <c r="V211" s="51" t="str">
        <f>VLOOKUP(Table3[[#This Row],[ACTIVITY]],TAGS!$B:$P,7,FALSE)</f>
        <v>NO</v>
      </c>
      <c r="W211" s="51" t="str">
        <f>VLOOKUP(Table3[[#This Row],[ACTIVITY]],TAGS!$B:$P,8,FALSE)</f>
        <v>PAP</v>
      </c>
      <c r="X211" s="51" t="str">
        <f>VLOOKUP(Table3[[#This Row],[ACTIVITY]],TAGS!$B:$P,10,FALSE)</f>
        <v>PIP</v>
      </c>
      <c r="Y211" s="51" t="str">
        <f>VLOOKUP(Table3[[#This Row],[ACTIVITY]],TAGS!$B:$P,11,FALSE)</f>
        <v>PICS</v>
      </c>
      <c r="Z211" s="51" t="str">
        <f>VLOOKUP(Table3[[#This Row],[ACTIVITY]],TAGS!$B:$P,12,FALSE)</f>
        <v>Consolidation</v>
      </c>
      <c r="AA211" s="51" t="str">
        <f>VLOOKUP(Table3[[#This Row],[ACTIVITY]],TAGS!$B:$P,13,FALSE)</f>
        <v>1. Bayanihan Agri Cluster</v>
      </c>
      <c r="AB211" s="51" t="str">
        <f>VLOOKUP(Table3[[#This Row],[ACTIVITY]],TAGS!$B:$P,14,FALSE)</f>
        <v>EXPAND AND IMPROVE AVAILABLE AGRI-FISHERY AREAS FOR INCREASED PRODUCTION</v>
      </c>
      <c r="AC211" s="51" t="str">
        <f>VLOOKUP(Table3[[#This Row],[ACTIVITY]],TAGS!$B:$P,15,FALSE)</f>
        <v>Farm Inputs</v>
      </c>
      <c r="AD211" s="51" t="str">
        <f>VLOOKUP(Table3[[#This Row],[PI LEVEL 3]],'PI LEVEL'!$A:$G,7,FALSE)</f>
        <v>DA-Level Output</v>
      </c>
      <c r="AE211" s="47" t="s">
        <v>577</v>
      </c>
      <c r="AF211" s="51" t="str">
        <f>VLOOKUP(Table3[[#This Row],[ACTIVITY]],TAGS!$B:$P,3,FALSE)</f>
        <v>piece</v>
      </c>
      <c r="AG211" s="47" t="s">
        <v>332</v>
      </c>
      <c r="AH211" s="51" t="str">
        <f>VLOOKUP(Table3[[#This Row],[MONTH]],TAGS!$W$67:$Y$81,2,FALSE)</f>
        <v>2ND QTR</v>
      </c>
      <c r="AI211" s="51" t="str">
        <f>VLOOKUP(Table3[[#This Row],[MONTH]],TAGS!$W$67:$Y$81,3,FALSE)</f>
        <v>1ST SEMESTER</v>
      </c>
      <c r="AJ211" s="51">
        <f>VLOOKUP(Table3[[#This Row],[MONTH]],TAGS!$W$67:$Z$81,4,FALSE)</f>
        <v>2025</v>
      </c>
      <c r="AK211" s="47">
        <v>100000</v>
      </c>
      <c r="AL211" s="51" t="str">
        <f>VLOOKUP(Table3[[#This Row],[ACTIVITY]],TAGS!$B:$R,16,FALSE)</f>
        <v>YES</v>
      </c>
      <c r="AM211" s="47">
        <v>10</v>
      </c>
      <c r="AN211" s="47">
        <v>100</v>
      </c>
      <c r="AO211" s="57">
        <f>SUM(Table3[[#This Row],[MALE BENEFICIARIES]:[FEMALE BENEFICIARIES]])</f>
        <v>0</v>
      </c>
      <c r="AP211" s="58"/>
      <c r="AQ211" s="58"/>
      <c r="AR211" s="58"/>
      <c r="AS211" s="58">
        <v>1</v>
      </c>
      <c r="AT211" s="59">
        <v>10</v>
      </c>
      <c r="AU211" s="59"/>
      <c r="AV211" s="59"/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</row>
    <row r="212" spans="1:65">
      <c r="A212" s="51" t="str">
        <f>VLOOKUP(Table3[[#This Row],[OU]],OU!$A$15:$B$34,2,FALSE)</f>
        <v>RFOs</v>
      </c>
      <c r="B212" s="47" t="s">
        <v>5</v>
      </c>
      <c r="C212" s="47" t="s">
        <v>574</v>
      </c>
      <c r="D212" s="47"/>
      <c r="E212" s="47" t="s">
        <v>63</v>
      </c>
      <c r="F212" s="47" t="s">
        <v>681</v>
      </c>
      <c r="G21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21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25011000</v>
      </c>
      <c r="I212" s="52" t="str">
        <f>VLOOKUP(Table3[[#This Row],[PSGC]],DISTRICT!$D:$G,4,FALSE)</f>
        <v>4th</v>
      </c>
      <c r="J212" s="47" t="s">
        <v>579</v>
      </c>
      <c r="K212" s="51" t="str">
        <f>VLOOKUP(Table3[[#This Row],[SPECIFIC COMMODITY]],TAGS!$W$48:$X$53,2,FALSE)</f>
        <v>Cassava</v>
      </c>
      <c r="L212" s="51" t="str">
        <f>VLOOKUP(Table3[[#This Row],[PREXC SUB-PROGRAM]],Table5[],2,FALSE)</f>
        <v>TECHNICAL AND SUPPORT SERVICES PROGRAM</v>
      </c>
      <c r="M212" s="51" t="str">
        <f>VLOOKUP(Table3[[#This Row],[COMMODITY PREXC SUB-PROGRAM]],TAGS!$U$54:$V$76,2,FALSE)</f>
        <v>PSS</v>
      </c>
      <c r="N212" s="47" t="s">
        <v>580</v>
      </c>
      <c r="O212" s="54" t="str">
        <f>VLOOKUP(Table3[[#This Row],[PI LEVEL 3]],'PI LEVEL'!A:C,3,FALSE)</f>
        <v>Planting material distributed</v>
      </c>
      <c r="P212" s="54" t="str">
        <f>VLOOKUP(Table3[[#This Row],[PI LEVEL 3]],Table53729[[Performance Indicator Level 3]:[Performance Indicator Level 1]],2,FALSE)</f>
        <v>Planting material distributed</v>
      </c>
      <c r="Q212" s="54" t="str">
        <f>VLOOKUP(Table3[[#This Row],[ACTIVITY]],TAGS!B:P,2,FALSE)</f>
        <v>Cassava cutting distributed</v>
      </c>
      <c r="R212" s="47" t="s">
        <v>38</v>
      </c>
      <c r="S212" s="51" t="str">
        <f>VLOOKUP(Table3[[#This Row],[ACTIVITY]],TAGS!$B:$P,4,FALSE)</f>
        <v>Cassava Production Enhancement Project</v>
      </c>
      <c r="T212" s="51" t="str">
        <f>VLOOKUP(Table3[[#This Row],[ACTIVITY]],TAGS!$B:$P,5,FALSE)</f>
        <v>Cassava cuttings</v>
      </c>
      <c r="U212" s="51" t="str">
        <f>VLOOKUP(Table3[[#This Row],[ACTIVITY]],TAGS!$B:$P,6,FALSE)</f>
        <v>Cassava seed pieces</v>
      </c>
      <c r="V212" s="51" t="str">
        <f>VLOOKUP(Table3[[#This Row],[ACTIVITY]],TAGS!$B:$P,7,FALSE)</f>
        <v>NO</v>
      </c>
      <c r="W212" s="51" t="str">
        <f>VLOOKUP(Table3[[#This Row],[ACTIVITY]],TAGS!$B:$P,8,FALSE)</f>
        <v>PAP</v>
      </c>
      <c r="X212" s="51" t="str">
        <f>VLOOKUP(Table3[[#This Row],[ACTIVITY]],TAGS!$B:$P,10,FALSE)</f>
        <v>PIP</v>
      </c>
      <c r="Y212" s="51" t="str">
        <f>VLOOKUP(Table3[[#This Row],[ACTIVITY]],TAGS!$B:$P,11,FALSE)</f>
        <v>PICS</v>
      </c>
      <c r="Z212" s="51" t="str">
        <f>VLOOKUP(Table3[[#This Row],[ACTIVITY]],TAGS!$B:$P,12,FALSE)</f>
        <v>Consolidation</v>
      </c>
      <c r="AA212" s="51" t="str">
        <f>VLOOKUP(Table3[[#This Row],[ACTIVITY]],TAGS!$B:$P,13,FALSE)</f>
        <v>1. Bayanihan Agri Cluster</v>
      </c>
      <c r="AB212" s="51" t="str">
        <f>VLOOKUP(Table3[[#This Row],[ACTIVITY]],TAGS!$B:$P,14,FALSE)</f>
        <v>EXPAND AND IMPROVE AVAILABLE AGRI-FISHERY AREAS FOR INCREASED PRODUCTION</v>
      </c>
      <c r="AC212" s="51" t="str">
        <f>VLOOKUP(Table3[[#This Row],[ACTIVITY]],TAGS!$B:$P,15,FALSE)</f>
        <v>Farm Inputs</v>
      </c>
      <c r="AD212" s="51" t="str">
        <f>VLOOKUP(Table3[[#This Row],[PI LEVEL 3]],'PI LEVEL'!$A:$G,7,FALSE)</f>
        <v>DA-Level Output</v>
      </c>
      <c r="AE212" s="47" t="s">
        <v>577</v>
      </c>
      <c r="AF212" s="51" t="str">
        <f>VLOOKUP(Table3[[#This Row],[ACTIVITY]],TAGS!$B:$P,3,FALSE)</f>
        <v>piece</v>
      </c>
      <c r="AG212" s="47" t="s">
        <v>337</v>
      </c>
      <c r="AH212" s="51" t="str">
        <f>VLOOKUP(Table3[[#This Row],[MONTH]],TAGS!$W$67:$Y$81,2,FALSE)</f>
        <v>4TH QTR</v>
      </c>
      <c r="AI212" s="51" t="str">
        <f>VLOOKUP(Table3[[#This Row],[MONTH]],TAGS!$W$67:$Y$81,3,FALSE)</f>
        <v>2ND SEMESTER</v>
      </c>
      <c r="AJ212" s="51">
        <f>VLOOKUP(Table3[[#This Row],[MONTH]],TAGS!$W$67:$Z$81,4,FALSE)</f>
        <v>2025</v>
      </c>
      <c r="AK212" s="47">
        <v>195000</v>
      </c>
      <c r="AL212" s="51" t="str">
        <f>VLOOKUP(Table3[[#This Row],[ACTIVITY]],TAGS!$B:$R,16,FALSE)</f>
        <v>YES</v>
      </c>
      <c r="AM212" s="47">
        <v>19.5</v>
      </c>
      <c r="AN212" s="47">
        <v>195</v>
      </c>
      <c r="AO212" s="57">
        <f>SUM(Table3[[#This Row],[MALE BENEFICIARIES]:[FEMALE BENEFICIARIES]])</f>
        <v>0</v>
      </c>
      <c r="AP212" s="58"/>
      <c r="AQ212" s="58"/>
      <c r="AR212" s="58"/>
      <c r="AS212" s="58">
        <v>1</v>
      </c>
      <c r="AT212" s="59">
        <v>20</v>
      </c>
      <c r="AU212" s="59"/>
      <c r="AV212" s="59"/>
      <c r="AW212" s="59"/>
      <c r="AX212" s="59"/>
      <c r="AY212" s="59"/>
      <c r="AZ212" s="59"/>
      <c r="BA212" s="59"/>
      <c r="BB212" s="59"/>
      <c r="BC212" s="59"/>
      <c r="BD212" s="59"/>
      <c r="BE212" s="59"/>
      <c r="BF212" s="59"/>
      <c r="BG212" s="59"/>
      <c r="BH212" s="59"/>
      <c r="BI212" s="59"/>
      <c r="BJ212" s="59"/>
      <c r="BK212" s="59"/>
      <c r="BL212" s="59"/>
      <c r="BM212" s="59"/>
    </row>
    <row r="213" spans="1:65">
      <c r="A213" s="51" t="str">
        <f>VLOOKUP(Table3[[#This Row],[OU]],OU!$A$15:$B$34,2,FALSE)</f>
        <v>RFOs</v>
      </c>
      <c r="B213" s="47" t="s">
        <v>5</v>
      </c>
      <c r="C213" s="47" t="s">
        <v>574</v>
      </c>
      <c r="D213" s="47"/>
      <c r="E213" s="47" t="s">
        <v>70</v>
      </c>
      <c r="F213" s="47" t="s">
        <v>636</v>
      </c>
      <c r="G21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21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25704000</v>
      </c>
      <c r="I213" s="52" t="str">
        <f>VLOOKUP(Table3[[#This Row],[PSGC]],DISTRICT!$D:$G,4,FALSE)</f>
        <v>1st</v>
      </c>
      <c r="J213" s="47" t="s">
        <v>579</v>
      </c>
      <c r="K213" s="51" t="str">
        <f>VLOOKUP(Table3[[#This Row],[SPECIFIC COMMODITY]],TAGS!$W$48:$X$53,2,FALSE)</f>
        <v>Cassava</v>
      </c>
      <c r="L213" s="51" t="str">
        <f>VLOOKUP(Table3[[#This Row],[PREXC SUB-PROGRAM]],Table5[],2,FALSE)</f>
        <v>TECHNICAL AND SUPPORT SERVICES PROGRAM</v>
      </c>
      <c r="M213" s="51" t="str">
        <f>VLOOKUP(Table3[[#This Row],[COMMODITY PREXC SUB-PROGRAM]],TAGS!$U$54:$V$76,2,FALSE)</f>
        <v>PSS</v>
      </c>
      <c r="N213" s="47" t="s">
        <v>580</v>
      </c>
      <c r="O213" s="54" t="str">
        <f>VLOOKUP(Table3[[#This Row],[PI LEVEL 3]],'PI LEVEL'!A:C,3,FALSE)</f>
        <v>Planting material distributed</v>
      </c>
      <c r="P213" s="54" t="str">
        <f>VLOOKUP(Table3[[#This Row],[PI LEVEL 3]],Table53729[[Performance Indicator Level 3]:[Performance Indicator Level 1]],2,FALSE)</f>
        <v>Planting material distributed</v>
      </c>
      <c r="Q213" s="54" t="str">
        <f>VLOOKUP(Table3[[#This Row],[ACTIVITY]],TAGS!B:P,2,FALSE)</f>
        <v>Cassava cutting distributed</v>
      </c>
      <c r="R213" s="47" t="s">
        <v>38</v>
      </c>
      <c r="S213" s="51" t="str">
        <f>VLOOKUP(Table3[[#This Row],[ACTIVITY]],TAGS!$B:$P,4,FALSE)</f>
        <v>Cassava Production Enhancement Project</v>
      </c>
      <c r="T213" s="51" t="str">
        <f>VLOOKUP(Table3[[#This Row],[ACTIVITY]],TAGS!$B:$P,5,FALSE)</f>
        <v>Cassava cuttings</v>
      </c>
      <c r="U213" s="51" t="str">
        <f>VLOOKUP(Table3[[#This Row],[ACTIVITY]],TAGS!$B:$P,6,FALSE)</f>
        <v>Cassava seed pieces</v>
      </c>
      <c r="V213" s="51" t="str">
        <f>VLOOKUP(Table3[[#This Row],[ACTIVITY]],TAGS!$B:$P,7,FALSE)</f>
        <v>NO</v>
      </c>
      <c r="W213" s="51" t="str">
        <f>VLOOKUP(Table3[[#This Row],[ACTIVITY]],TAGS!$B:$P,8,FALSE)</f>
        <v>PAP</v>
      </c>
      <c r="X213" s="51" t="str">
        <f>VLOOKUP(Table3[[#This Row],[ACTIVITY]],TAGS!$B:$P,10,FALSE)</f>
        <v>PIP</v>
      </c>
      <c r="Y213" s="51" t="str">
        <f>VLOOKUP(Table3[[#This Row],[ACTIVITY]],TAGS!$B:$P,11,FALSE)</f>
        <v>PICS</v>
      </c>
      <c r="Z213" s="51" t="str">
        <f>VLOOKUP(Table3[[#This Row],[ACTIVITY]],TAGS!$B:$P,12,FALSE)</f>
        <v>Consolidation</v>
      </c>
      <c r="AA213" s="51" t="str">
        <f>VLOOKUP(Table3[[#This Row],[ACTIVITY]],TAGS!$B:$P,13,FALSE)</f>
        <v>1. Bayanihan Agri Cluster</v>
      </c>
      <c r="AB213" s="51" t="str">
        <f>VLOOKUP(Table3[[#This Row],[ACTIVITY]],TAGS!$B:$P,14,FALSE)</f>
        <v>EXPAND AND IMPROVE AVAILABLE AGRI-FISHERY AREAS FOR INCREASED PRODUCTION</v>
      </c>
      <c r="AC213" s="51" t="str">
        <f>VLOOKUP(Table3[[#This Row],[ACTIVITY]],TAGS!$B:$P,15,FALSE)</f>
        <v>Farm Inputs</v>
      </c>
      <c r="AD213" s="51" t="str">
        <f>VLOOKUP(Table3[[#This Row],[PI LEVEL 3]],'PI LEVEL'!$A:$G,7,FALSE)</f>
        <v>DA-Level Output</v>
      </c>
      <c r="AE213" s="47" t="s">
        <v>577</v>
      </c>
      <c r="AF213" s="51" t="str">
        <f>VLOOKUP(Table3[[#This Row],[ACTIVITY]],TAGS!$B:$P,3,FALSE)</f>
        <v>piece</v>
      </c>
      <c r="AG213" s="47" t="s">
        <v>334</v>
      </c>
      <c r="AH213" s="51" t="str">
        <f>VLOOKUP(Table3[[#This Row],[MONTH]],TAGS!$W$67:$Y$81,2,FALSE)</f>
        <v>3RD QTR</v>
      </c>
      <c r="AI213" s="51" t="str">
        <f>VLOOKUP(Table3[[#This Row],[MONTH]],TAGS!$W$67:$Y$81,3,FALSE)</f>
        <v>2ND SEMESTER</v>
      </c>
      <c r="AJ213" s="51">
        <f>VLOOKUP(Table3[[#This Row],[MONTH]],TAGS!$W$67:$Z$81,4,FALSE)</f>
        <v>2025</v>
      </c>
      <c r="AK213" s="47">
        <v>195000</v>
      </c>
      <c r="AL213" s="51" t="str">
        <f>VLOOKUP(Table3[[#This Row],[ACTIVITY]],TAGS!$B:$R,16,FALSE)</f>
        <v>YES</v>
      </c>
      <c r="AM213" s="47">
        <v>19.5</v>
      </c>
      <c r="AN213" s="47">
        <v>195</v>
      </c>
      <c r="AO213" s="57">
        <f>SUM(Table3[[#This Row],[MALE BENEFICIARIES]:[FEMALE BENEFICIARIES]])</f>
        <v>0</v>
      </c>
      <c r="AP213" s="58"/>
      <c r="AQ213" s="58"/>
      <c r="AR213" s="58"/>
      <c r="AS213" s="58">
        <v>1</v>
      </c>
      <c r="AT213" s="59">
        <v>20</v>
      </c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/>
      <c r="BF213" s="59"/>
      <c r="BG213" s="59"/>
      <c r="BH213" s="59"/>
      <c r="BI213" s="59"/>
      <c r="BJ213" s="59"/>
      <c r="BK213" s="59"/>
      <c r="BL213" s="59"/>
      <c r="BM213" s="59"/>
    </row>
    <row r="214" spans="1:65">
      <c r="A214" s="51" t="str">
        <f>VLOOKUP(Table3[[#This Row],[OU]],OU!$A$15:$B$34,2,FALSE)</f>
        <v>RFOs</v>
      </c>
      <c r="B214" s="47" t="s">
        <v>5</v>
      </c>
      <c r="C214" s="47" t="s">
        <v>574</v>
      </c>
      <c r="D214" s="47"/>
      <c r="E214" s="47" t="s">
        <v>22</v>
      </c>
      <c r="F214" s="47" t="s">
        <v>696</v>
      </c>
      <c r="G21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21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21505000</v>
      </c>
      <c r="I214" s="52" t="str">
        <f>VLOOKUP(Table3[[#This Row],[PSGC]],DISTRICT!$D:$G,4,FALSE)</f>
        <v>1st</v>
      </c>
      <c r="J214" s="47" t="s">
        <v>579</v>
      </c>
      <c r="K214" s="51" t="str">
        <f>VLOOKUP(Table3[[#This Row],[SPECIFIC COMMODITY]],TAGS!$W$48:$X$53,2,FALSE)</f>
        <v>Cassava</v>
      </c>
      <c r="L214" s="51" t="str">
        <f>VLOOKUP(Table3[[#This Row],[PREXC SUB-PROGRAM]],Table5[],2,FALSE)</f>
        <v>TECHNICAL AND SUPPORT SERVICES PROGRAM</v>
      </c>
      <c r="M214" s="51" t="str">
        <f>VLOOKUP(Table3[[#This Row],[COMMODITY PREXC SUB-PROGRAM]],TAGS!$U$54:$V$76,2,FALSE)</f>
        <v>PSS</v>
      </c>
      <c r="N214" s="47" t="s">
        <v>580</v>
      </c>
      <c r="O214" s="54" t="str">
        <f>VLOOKUP(Table3[[#This Row],[PI LEVEL 3]],'PI LEVEL'!A:C,3,FALSE)</f>
        <v>Planting material distributed</v>
      </c>
      <c r="P214" s="54" t="str">
        <f>VLOOKUP(Table3[[#This Row],[PI LEVEL 3]],Table53729[[Performance Indicator Level 3]:[Performance Indicator Level 1]],2,FALSE)</f>
        <v>Planting material distributed</v>
      </c>
      <c r="Q214" s="54" t="str">
        <f>VLOOKUP(Table3[[#This Row],[ACTIVITY]],TAGS!B:P,2,FALSE)</f>
        <v>Cassava cutting distributed</v>
      </c>
      <c r="R214" s="47" t="s">
        <v>40</v>
      </c>
      <c r="S214" s="51" t="str">
        <f>VLOOKUP(Table3[[#This Row],[ACTIVITY]],TAGS!$B:$P,4,FALSE)</f>
        <v>Cassava Production Enhancement Project</v>
      </c>
      <c r="T214" s="51" t="str">
        <f>VLOOKUP(Table3[[#This Row],[ACTIVITY]],TAGS!$B:$P,5,FALSE)</f>
        <v>Cassava cuttings</v>
      </c>
      <c r="U214" s="51" t="str">
        <f>VLOOKUP(Table3[[#This Row],[ACTIVITY]],TAGS!$B:$P,6,FALSE)</f>
        <v>Cassava seed pieces</v>
      </c>
      <c r="V214" s="51" t="str">
        <f>VLOOKUP(Table3[[#This Row],[ACTIVITY]],TAGS!$B:$P,7,FALSE)</f>
        <v>NO</v>
      </c>
      <c r="W214" s="51" t="str">
        <f>VLOOKUP(Table3[[#This Row],[ACTIVITY]],TAGS!$B:$P,8,FALSE)</f>
        <v>PAP</v>
      </c>
      <c r="X214" s="51" t="str">
        <f>VLOOKUP(Table3[[#This Row],[ACTIVITY]],TAGS!$B:$P,10,FALSE)</f>
        <v>PIP</v>
      </c>
      <c r="Y214" s="51" t="str">
        <f>VLOOKUP(Table3[[#This Row],[ACTIVITY]],TAGS!$B:$P,11,FALSE)</f>
        <v>PICS</v>
      </c>
      <c r="Z214" s="51" t="str">
        <f>VLOOKUP(Table3[[#This Row],[ACTIVITY]],TAGS!$B:$P,12,FALSE)</f>
        <v>Consolidation</v>
      </c>
      <c r="AA214" s="51" t="str">
        <f>VLOOKUP(Table3[[#This Row],[ACTIVITY]],TAGS!$B:$P,13,FALSE)</f>
        <v>1. Bayanihan Agri Cluster</v>
      </c>
      <c r="AB214" s="51" t="str">
        <f>VLOOKUP(Table3[[#This Row],[ACTIVITY]],TAGS!$B:$P,14,FALSE)</f>
        <v>EXPAND AND IMPROVE AVAILABLE AGRI-FISHERY AREAS FOR INCREASED PRODUCTION</v>
      </c>
      <c r="AC214" s="51" t="str">
        <f>VLOOKUP(Table3[[#This Row],[ACTIVITY]],TAGS!$B:$P,15,FALSE)</f>
        <v>Farm Inputs</v>
      </c>
      <c r="AD214" s="51" t="str">
        <f>VLOOKUP(Table3[[#This Row],[PI LEVEL 3]],'PI LEVEL'!$A:$G,7,FALSE)</f>
        <v>DA-Level Output</v>
      </c>
      <c r="AE214" s="47" t="s">
        <v>577</v>
      </c>
      <c r="AF214" s="51" t="str">
        <f>VLOOKUP(Table3[[#This Row],[ACTIVITY]],TAGS!$B:$P,3,FALSE)</f>
        <v>piece</v>
      </c>
      <c r="AG214" s="47" t="s">
        <v>335</v>
      </c>
      <c r="AH214" s="51" t="str">
        <f>VLOOKUP(Table3[[#This Row],[MONTH]],TAGS!$W$67:$Y$81,2,FALSE)</f>
        <v>3RD QTR</v>
      </c>
      <c r="AI214" s="51" t="str">
        <f>VLOOKUP(Table3[[#This Row],[MONTH]],TAGS!$W$67:$Y$81,3,FALSE)</f>
        <v>2ND SEMESTER</v>
      </c>
      <c r="AJ214" s="51">
        <f>VLOOKUP(Table3[[#This Row],[MONTH]],TAGS!$W$67:$Z$81,4,FALSE)</f>
        <v>2025</v>
      </c>
      <c r="AK214" s="47">
        <v>120000</v>
      </c>
      <c r="AL214" s="51" t="str">
        <f>VLOOKUP(Table3[[#This Row],[ACTIVITY]],TAGS!$B:$R,16,FALSE)</f>
        <v>YES</v>
      </c>
      <c r="AM214" s="47">
        <v>12</v>
      </c>
      <c r="AN214" s="47">
        <v>180</v>
      </c>
      <c r="AO214" s="57">
        <f>SUM(Table3[[#This Row],[MALE BENEFICIARIES]:[FEMALE BENEFICIARIES]])</f>
        <v>0</v>
      </c>
      <c r="AP214" s="58"/>
      <c r="AQ214" s="58"/>
      <c r="AR214" s="58"/>
      <c r="AS214" s="58">
        <v>1</v>
      </c>
      <c r="AT214" s="59">
        <v>12</v>
      </c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</row>
    <row r="215" spans="1:65">
      <c r="A215" s="51" t="str">
        <f>VLOOKUP(Table3[[#This Row],[OU]],OU!$A$15:$B$34,2,FALSE)</f>
        <v>RFOs</v>
      </c>
      <c r="B215" s="47" t="s">
        <v>5</v>
      </c>
      <c r="C215" s="47" t="s">
        <v>574</v>
      </c>
      <c r="D215" s="47"/>
      <c r="E215" s="47" t="s">
        <v>22</v>
      </c>
      <c r="F215" s="47" t="s">
        <v>645</v>
      </c>
      <c r="G21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21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21508000</v>
      </c>
      <c r="I215" s="52" t="str">
        <f>VLOOKUP(Table3[[#This Row],[PSGC]],DISTRICT!$D:$G,4,FALSE)</f>
        <v>3rd</v>
      </c>
      <c r="J215" s="47" t="s">
        <v>579</v>
      </c>
      <c r="K215" s="51" t="str">
        <f>VLOOKUP(Table3[[#This Row],[SPECIFIC COMMODITY]],TAGS!$W$48:$X$53,2,FALSE)</f>
        <v>Cassava</v>
      </c>
      <c r="L215" s="51" t="str">
        <f>VLOOKUP(Table3[[#This Row],[PREXC SUB-PROGRAM]],Table5[],2,FALSE)</f>
        <v>TECHNICAL AND SUPPORT SERVICES PROGRAM</v>
      </c>
      <c r="M215" s="51" t="str">
        <f>VLOOKUP(Table3[[#This Row],[COMMODITY PREXC SUB-PROGRAM]],TAGS!$U$54:$V$76,2,FALSE)</f>
        <v>PSS</v>
      </c>
      <c r="N215" s="47" t="s">
        <v>580</v>
      </c>
      <c r="O215" s="54" t="str">
        <f>VLOOKUP(Table3[[#This Row],[PI LEVEL 3]],'PI LEVEL'!A:C,3,FALSE)</f>
        <v>Planting material distributed</v>
      </c>
      <c r="P215" s="54" t="str">
        <f>VLOOKUP(Table3[[#This Row],[PI LEVEL 3]],Table53729[[Performance Indicator Level 3]:[Performance Indicator Level 1]],2,FALSE)</f>
        <v>Planting material distributed</v>
      </c>
      <c r="Q215" s="54" t="str">
        <f>VLOOKUP(Table3[[#This Row],[ACTIVITY]],TAGS!B:P,2,FALSE)</f>
        <v>Cassava cutting distributed</v>
      </c>
      <c r="R215" s="47" t="s">
        <v>40</v>
      </c>
      <c r="S215" s="51" t="str">
        <f>VLOOKUP(Table3[[#This Row],[ACTIVITY]],TAGS!$B:$P,4,FALSE)</f>
        <v>Cassava Production Enhancement Project</v>
      </c>
      <c r="T215" s="51" t="str">
        <f>VLOOKUP(Table3[[#This Row],[ACTIVITY]],TAGS!$B:$P,5,FALSE)</f>
        <v>Cassava cuttings</v>
      </c>
      <c r="U215" s="51" t="str">
        <f>VLOOKUP(Table3[[#This Row],[ACTIVITY]],TAGS!$B:$P,6,FALSE)</f>
        <v>Cassava seed pieces</v>
      </c>
      <c r="V215" s="51" t="str">
        <f>VLOOKUP(Table3[[#This Row],[ACTIVITY]],TAGS!$B:$P,7,FALSE)</f>
        <v>NO</v>
      </c>
      <c r="W215" s="51" t="str">
        <f>VLOOKUP(Table3[[#This Row],[ACTIVITY]],TAGS!$B:$P,8,FALSE)</f>
        <v>PAP</v>
      </c>
      <c r="X215" s="51" t="str">
        <f>VLOOKUP(Table3[[#This Row],[ACTIVITY]],TAGS!$B:$P,10,FALSE)</f>
        <v>PIP</v>
      </c>
      <c r="Y215" s="51" t="str">
        <f>VLOOKUP(Table3[[#This Row],[ACTIVITY]],TAGS!$B:$P,11,FALSE)</f>
        <v>PICS</v>
      </c>
      <c r="Z215" s="51" t="str">
        <f>VLOOKUP(Table3[[#This Row],[ACTIVITY]],TAGS!$B:$P,12,FALSE)</f>
        <v>Consolidation</v>
      </c>
      <c r="AA215" s="51" t="str">
        <f>VLOOKUP(Table3[[#This Row],[ACTIVITY]],TAGS!$B:$P,13,FALSE)</f>
        <v>1. Bayanihan Agri Cluster</v>
      </c>
      <c r="AB215" s="51" t="str">
        <f>VLOOKUP(Table3[[#This Row],[ACTIVITY]],TAGS!$B:$P,14,FALSE)</f>
        <v>EXPAND AND IMPROVE AVAILABLE AGRI-FISHERY AREAS FOR INCREASED PRODUCTION</v>
      </c>
      <c r="AC215" s="51" t="str">
        <f>VLOOKUP(Table3[[#This Row],[ACTIVITY]],TAGS!$B:$P,15,FALSE)</f>
        <v>Farm Inputs</v>
      </c>
      <c r="AD215" s="51" t="str">
        <f>VLOOKUP(Table3[[#This Row],[PI LEVEL 3]],'PI LEVEL'!$A:$G,7,FALSE)</f>
        <v>DA-Level Output</v>
      </c>
      <c r="AE215" s="47" t="s">
        <v>577</v>
      </c>
      <c r="AF215" s="51" t="str">
        <f>VLOOKUP(Table3[[#This Row],[ACTIVITY]],TAGS!$B:$P,3,FALSE)</f>
        <v>piece</v>
      </c>
      <c r="AG215" s="47" t="s">
        <v>335</v>
      </c>
      <c r="AH215" s="51" t="str">
        <f>VLOOKUP(Table3[[#This Row],[MONTH]],TAGS!$W$67:$Y$81,2,FALSE)</f>
        <v>3RD QTR</v>
      </c>
      <c r="AI215" s="51" t="str">
        <f>VLOOKUP(Table3[[#This Row],[MONTH]],TAGS!$W$67:$Y$81,3,FALSE)</f>
        <v>2ND SEMESTER</v>
      </c>
      <c r="AJ215" s="51">
        <f>VLOOKUP(Table3[[#This Row],[MONTH]],TAGS!$W$67:$Z$81,4,FALSE)</f>
        <v>2025</v>
      </c>
      <c r="AK215" s="47">
        <v>120000</v>
      </c>
      <c r="AL215" s="51" t="str">
        <f>VLOOKUP(Table3[[#This Row],[ACTIVITY]],TAGS!$B:$R,16,FALSE)</f>
        <v>YES</v>
      </c>
      <c r="AM215" s="47">
        <v>12</v>
      </c>
      <c r="AN215" s="47">
        <v>180</v>
      </c>
      <c r="AO215" s="57">
        <f>SUM(Table3[[#This Row],[MALE BENEFICIARIES]:[FEMALE BENEFICIARIES]])</f>
        <v>0</v>
      </c>
      <c r="AP215" s="58"/>
      <c r="AQ215" s="58"/>
      <c r="AR215" s="58"/>
      <c r="AS215" s="58">
        <v>1</v>
      </c>
      <c r="AT215" s="59">
        <v>12</v>
      </c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</row>
    <row r="216" spans="1:65">
      <c r="A216" s="51" t="str">
        <f>VLOOKUP(Table3[[#This Row],[OU]],OU!$A$15:$B$34,2,FALSE)</f>
        <v>RFOs</v>
      </c>
      <c r="B216" s="47" t="s">
        <v>5</v>
      </c>
      <c r="C216" s="47" t="s">
        <v>574</v>
      </c>
      <c r="D216" s="47"/>
      <c r="E216" s="47" t="s">
        <v>43</v>
      </c>
      <c r="F216" s="47" t="s">
        <v>641</v>
      </c>
      <c r="G21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21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23137000</v>
      </c>
      <c r="I216" s="52" t="str">
        <f>VLOOKUP(Table3[[#This Row],[PSGC]],DISTRICT!$D:$G,4,FALSE)</f>
        <v>1st</v>
      </c>
      <c r="J216" s="47" t="s">
        <v>579</v>
      </c>
      <c r="K216" s="51" t="str">
        <f>VLOOKUP(Table3[[#This Row],[SPECIFIC COMMODITY]],TAGS!$W$48:$X$53,2,FALSE)</f>
        <v>Cassava</v>
      </c>
      <c r="L216" s="51" t="str">
        <f>VLOOKUP(Table3[[#This Row],[PREXC SUB-PROGRAM]],Table5[],2,FALSE)</f>
        <v>TECHNICAL AND SUPPORT SERVICES PROGRAM</v>
      </c>
      <c r="M216" s="51" t="str">
        <f>VLOOKUP(Table3[[#This Row],[COMMODITY PREXC SUB-PROGRAM]],TAGS!$U$54:$V$76,2,FALSE)</f>
        <v>PSS</v>
      </c>
      <c r="N216" s="47" t="s">
        <v>580</v>
      </c>
      <c r="O216" s="54" t="str">
        <f>VLOOKUP(Table3[[#This Row],[PI LEVEL 3]],'PI LEVEL'!A:C,3,FALSE)</f>
        <v>Planting material distributed</v>
      </c>
      <c r="P216" s="54" t="str">
        <f>VLOOKUP(Table3[[#This Row],[PI LEVEL 3]],Table53729[[Performance Indicator Level 3]:[Performance Indicator Level 1]],2,FALSE)</f>
        <v>Planting material distributed</v>
      </c>
      <c r="Q216" s="54" t="str">
        <f>VLOOKUP(Table3[[#This Row],[ACTIVITY]],TAGS!B:P,2,FALSE)</f>
        <v>Cassava cutting distributed</v>
      </c>
      <c r="R216" s="47" t="s">
        <v>40</v>
      </c>
      <c r="S216" s="51" t="str">
        <f>VLOOKUP(Table3[[#This Row],[ACTIVITY]],TAGS!$B:$P,4,FALSE)</f>
        <v>Cassava Production Enhancement Project</v>
      </c>
      <c r="T216" s="51" t="str">
        <f>VLOOKUP(Table3[[#This Row],[ACTIVITY]],TAGS!$B:$P,5,FALSE)</f>
        <v>Cassava cuttings</v>
      </c>
      <c r="U216" s="51" t="str">
        <f>VLOOKUP(Table3[[#This Row],[ACTIVITY]],TAGS!$B:$P,6,FALSE)</f>
        <v>Cassava seed pieces</v>
      </c>
      <c r="V216" s="51" t="str">
        <f>VLOOKUP(Table3[[#This Row],[ACTIVITY]],TAGS!$B:$P,7,FALSE)</f>
        <v>NO</v>
      </c>
      <c r="W216" s="51" t="str">
        <f>VLOOKUP(Table3[[#This Row],[ACTIVITY]],TAGS!$B:$P,8,FALSE)</f>
        <v>PAP</v>
      </c>
      <c r="X216" s="51" t="str">
        <f>VLOOKUP(Table3[[#This Row],[ACTIVITY]],TAGS!$B:$P,10,FALSE)</f>
        <v>PIP</v>
      </c>
      <c r="Y216" s="51" t="str">
        <f>VLOOKUP(Table3[[#This Row],[ACTIVITY]],TAGS!$B:$P,11,FALSE)</f>
        <v>PICS</v>
      </c>
      <c r="Z216" s="51" t="str">
        <f>VLOOKUP(Table3[[#This Row],[ACTIVITY]],TAGS!$B:$P,12,FALSE)</f>
        <v>Consolidation</v>
      </c>
      <c r="AA216" s="51" t="str">
        <f>VLOOKUP(Table3[[#This Row],[ACTIVITY]],TAGS!$B:$P,13,FALSE)</f>
        <v>1. Bayanihan Agri Cluster</v>
      </c>
      <c r="AB216" s="51" t="str">
        <f>VLOOKUP(Table3[[#This Row],[ACTIVITY]],TAGS!$B:$P,14,FALSE)</f>
        <v>EXPAND AND IMPROVE AVAILABLE AGRI-FISHERY AREAS FOR INCREASED PRODUCTION</v>
      </c>
      <c r="AC216" s="51" t="str">
        <f>VLOOKUP(Table3[[#This Row],[ACTIVITY]],TAGS!$B:$P,15,FALSE)</f>
        <v>Farm Inputs</v>
      </c>
      <c r="AD216" s="51" t="str">
        <f>VLOOKUP(Table3[[#This Row],[PI LEVEL 3]],'PI LEVEL'!$A:$G,7,FALSE)</f>
        <v>DA-Level Output</v>
      </c>
      <c r="AE216" s="47" t="s">
        <v>577</v>
      </c>
      <c r="AF216" s="51" t="str">
        <f>VLOOKUP(Table3[[#This Row],[ACTIVITY]],TAGS!$B:$P,3,FALSE)</f>
        <v>piece</v>
      </c>
      <c r="AG216" s="47" t="s">
        <v>332</v>
      </c>
      <c r="AH216" s="51" t="str">
        <f>VLOOKUP(Table3[[#This Row],[MONTH]],TAGS!$W$67:$Y$81,2,FALSE)</f>
        <v>2ND QTR</v>
      </c>
      <c r="AI216" s="51" t="str">
        <f>VLOOKUP(Table3[[#This Row],[MONTH]],TAGS!$W$67:$Y$81,3,FALSE)</f>
        <v>1ST SEMESTER</v>
      </c>
      <c r="AJ216" s="51">
        <f>VLOOKUP(Table3[[#This Row],[MONTH]],TAGS!$W$67:$Z$81,4,FALSE)</f>
        <v>2025</v>
      </c>
      <c r="AK216" s="47">
        <v>480000</v>
      </c>
      <c r="AL216" s="51" t="str">
        <f>VLOOKUP(Table3[[#This Row],[ACTIVITY]],TAGS!$B:$R,16,FALSE)</f>
        <v>YES</v>
      </c>
      <c r="AM216" s="47">
        <v>48</v>
      </c>
      <c r="AN216" s="47">
        <v>720</v>
      </c>
      <c r="AO216" s="57">
        <f>SUM(Table3[[#This Row],[MALE BENEFICIARIES]:[FEMALE BENEFICIARIES]])</f>
        <v>0</v>
      </c>
      <c r="AP216" s="58"/>
      <c r="AQ216" s="58"/>
      <c r="AR216" s="58"/>
      <c r="AS216" s="58">
        <v>1</v>
      </c>
      <c r="AT216" s="59">
        <v>48</v>
      </c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</row>
    <row r="217" spans="1:65">
      <c r="A217" s="51" t="str">
        <f>VLOOKUP(Table3[[#This Row],[OU]],OU!$A$15:$B$34,2,FALSE)</f>
        <v>RFOs</v>
      </c>
      <c r="B217" s="47" t="s">
        <v>5</v>
      </c>
      <c r="C217" s="47" t="s">
        <v>574</v>
      </c>
      <c r="D217" s="47"/>
      <c r="E217" s="47" t="s">
        <v>43</v>
      </c>
      <c r="F217" s="47" t="s">
        <v>661</v>
      </c>
      <c r="G21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21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23118000</v>
      </c>
      <c r="I217" s="52" t="str">
        <f>VLOOKUP(Table3[[#This Row],[PSGC]],DISTRICT!$D:$G,4,FALSE)</f>
        <v>4th</v>
      </c>
      <c r="J217" s="47" t="s">
        <v>579</v>
      </c>
      <c r="K217" s="51" t="str">
        <f>VLOOKUP(Table3[[#This Row],[SPECIFIC COMMODITY]],TAGS!$W$48:$X$53,2,FALSE)</f>
        <v>Cassava</v>
      </c>
      <c r="L217" s="51" t="str">
        <f>VLOOKUP(Table3[[#This Row],[PREXC SUB-PROGRAM]],Table5[],2,FALSE)</f>
        <v>TECHNICAL AND SUPPORT SERVICES PROGRAM</v>
      </c>
      <c r="M217" s="51" t="str">
        <f>VLOOKUP(Table3[[#This Row],[COMMODITY PREXC SUB-PROGRAM]],TAGS!$U$54:$V$76,2,FALSE)</f>
        <v>PSS</v>
      </c>
      <c r="N217" s="47" t="s">
        <v>580</v>
      </c>
      <c r="O217" s="54" t="str">
        <f>VLOOKUP(Table3[[#This Row],[PI LEVEL 3]],'PI LEVEL'!A:C,3,FALSE)</f>
        <v>Planting material distributed</v>
      </c>
      <c r="P217" s="54" t="str">
        <f>VLOOKUP(Table3[[#This Row],[PI LEVEL 3]],Table53729[[Performance Indicator Level 3]:[Performance Indicator Level 1]],2,FALSE)</f>
        <v>Planting material distributed</v>
      </c>
      <c r="Q217" s="54" t="str">
        <f>VLOOKUP(Table3[[#This Row],[ACTIVITY]],TAGS!B:P,2,FALSE)</f>
        <v>Cassava cutting distributed</v>
      </c>
      <c r="R217" s="47" t="s">
        <v>40</v>
      </c>
      <c r="S217" s="51" t="str">
        <f>VLOOKUP(Table3[[#This Row],[ACTIVITY]],TAGS!$B:$P,4,FALSE)</f>
        <v>Cassava Production Enhancement Project</v>
      </c>
      <c r="T217" s="51" t="str">
        <f>VLOOKUP(Table3[[#This Row],[ACTIVITY]],TAGS!$B:$P,5,FALSE)</f>
        <v>Cassava cuttings</v>
      </c>
      <c r="U217" s="51" t="str">
        <f>VLOOKUP(Table3[[#This Row],[ACTIVITY]],TAGS!$B:$P,6,FALSE)</f>
        <v>Cassava seed pieces</v>
      </c>
      <c r="V217" s="51" t="str">
        <f>VLOOKUP(Table3[[#This Row],[ACTIVITY]],TAGS!$B:$P,7,FALSE)</f>
        <v>NO</v>
      </c>
      <c r="W217" s="51" t="str">
        <f>VLOOKUP(Table3[[#This Row],[ACTIVITY]],TAGS!$B:$P,8,FALSE)</f>
        <v>PAP</v>
      </c>
      <c r="X217" s="51" t="str">
        <f>VLOOKUP(Table3[[#This Row],[ACTIVITY]],TAGS!$B:$P,10,FALSE)</f>
        <v>PIP</v>
      </c>
      <c r="Y217" s="51" t="str">
        <f>VLOOKUP(Table3[[#This Row],[ACTIVITY]],TAGS!$B:$P,11,FALSE)</f>
        <v>PICS</v>
      </c>
      <c r="Z217" s="51" t="str">
        <f>VLOOKUP(Table3[[#This Row],[ACTIVITY]],TAGS!$B:$P,12,FALSE)</f>
        <v>Consolidation</v>
      </c>
      <c r="AA217" s="51" t="str">
        <f>VLOOKUP(Table3[[#This Row],[ACTIVITY]],TAGS!$B:$P,13,FALSE)</f>
        <v>1. Bayanihan Agri Cluster</v>
      </c>
      <c r="AB217" s="51" t="str">
        <f>VLOOKUP(Table3[[#This Row],[ACTIVITY]],TAGS!$B:$P,14,FALSE)</f>
        <v>EXPAND AND IMPROVE AVAILABLE AGRI-FISHERY AREAS FOR INCREASED PRODUCTION</v>
      </c>
      <c r="AC217" s="51" t="str">
        <f>VLOOKUP(Table3[[#This Row],[ACTIVITY]],TAGS!$B:$P,15,FALSE)</f>
        <v>Farm Inputs</v>
      </c>
      <c r="AD217" s="51" t="str">
        <f>VLOOKUP(Table3[[#This Row],[PI LEVEL 3]],'PI LEVEL'!$A:$G,7,FALSE)</f>
        <v>DA-Level Output</v>
      </c>
      <c r="AE217" s="47" t="s">
        <v>577</v>
      </c>
      <c r="AF217" s="51" t="str">
        <f>VLOOKUP(Table3[[#This Row],[ACTIVITY]],TAGS!$B:$P,3,FALSE)</f>
        <v>piece</v>
      </c>
      <c r="AG217" s="47" t="s">
        <v>332</v>
      </c>
      <c r="AH217" s="51" t="str">
        <f>VLOOKUP(Table3[[#This Row],[MONTH]],TAGS!$W$67:$Y$81,2,FALSE)</f>
        <v>2ND QTR</v>
      </c>
      <c r="AI217" s="51" t="str">
        <f>VLOOKUP(Table3[[#This Row],[MONTH]],TAGS!$W$67:$Y$81,3,FALSE)</f>
        <v>1ST SEMESTER</v>
      </c>
      <c r="AJ217" s="51">
        <f>VLOOKUP(Table3[[#This Row],[MONTH]],TAGS!$W$67:$Z$81,4,FALSE)</f>
        <v>2025</v>
      </c>
      <c r="AK217" s="47">
        <v>250000</v>
      </c>
      <c r="AL217" s="51" t="str">
        <f>VLOOKUP(Table3[[#This Row],[ACTIVITY]],TAGS!$B:$R,16,FALSE)</f>
        <v>YES</v>
      </c>
      <c r="AM217" s="47">
        <v>25</v>
      </c>
      <c r="AN217" s="47">
        <v>375</v>
      </c>
      <c r="AO217" s="57">
        <f>SUM(Table3[[#This Row],[MALE BENEFICIARIES]:[FEMALE BENEFICIARIES]])</f>
        <v>0</v>
      </c>
      <c r="AP217" s="58"/>
      <c r="AQ217" s="58"/>
      <c r="AR217" s="58"/>
      <c r="AS217" s="58">
        <v>1</v>
      </c>
      <c r="AT217" s="59">
        <v>25</v>
      </c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  <c r="BG217" s="59"/>
      <c r="BH217" s="59"/>
      <c r="BI217" s="59"/>
      <c r="BJ217" s="59"/>
      <c r="BK217" s="59"/>
      <c r="BL217" s="59"/>
      <c r="BM217" s="59"/>
    </row>
    <row r="218" spans="1:65">
      <c r="A218" s="51" t="str">
        <f>VLOOKUP(Table3[[#This Row],[OU]],OU!$A$15:$B$34,2,FALSE)</f>
        <v>RFOs</v>
      </c>
      <c r="B218" s="47" t="s">
        <v>5</v>
      </c>
      <c r="C218" s="47" t="s">
        <v>574</v>
      </c>
      <c r="D218" s="47"/>
      <c r="E218" s="47" t="s">
        <v>43</v>
      </c>
      <c r="F218" s="47" t="s">
        <v>630</v>
      </c>
      <c r="G21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21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23114000</v>
      </c>
      <c r="I218" s="52" t="str">
        <f>VLOOKUP(Table3[[#This Row],[PSGC]],DISTRICT!$D:$G,4,FALSE)</f>
        <v>1st</v>
      </c>
      <c r="J218" s="47" t="s">
        <v>579</v>
      </c>
      <c r="K218" s="51" t="str">
        <f>VLOOKUP(Table3[[#This Row],[SPECIFIC COMMODITY]],TAGS!$W$48:$X$53,2,FALSE)</f>
        <v>Cassava</v>
      </c>
      <c r="L218" s="51" t="str">
        <f>VLOOKUP(Table3[[#This Row],[PREXC SUB-PROGRAM]],Table5[],2,FALSE)</f>
        <v>TECHNICAL AND SUPPORT SERVICES PROGRAM</v>
      </c>
      <c r="M218" s="51" t="str">
        <f>VLOOKUP(Table3[[#This Row],[COMMODITY PREXC SUB-PROGRAM]],TAGS!$U$54:$V$76,2,FALSE)</f>
        <v>PSS</v>
      </c>
      <c r="N218" s="47" t="s">
        <v>580</v>
      </c>
      <c r="O218" s="54" t="str">
        <f>VLOOKUP(Table3[[#This Row],[PI LEVEL 3]],'PI LEVEL'!A:C,3,FALSE)</f>
        <v>Planting material distributed</v>
      </c>
      <c r="P218" s="54" t="str">
        <f>VLOOKUP(Table3[[#This Row],[PI LEVEL 3]],Table53729[[Performance Indicator Level 3]:[Performance Indicator Level 1]],2,FALSE)</f>
        <v>Planting material distributed</v>
      </c>
      <c r="Q218" s="54" t="str">
        <f>VLOOKUP(Table3[[#This Row],[ACTIVITY]],TAGS!B:P,2,FALSE)</f>
        <v>Cassava cutting distributed</v>
      </c>
      <c r="R218" s="47" t="s">
        <v>40</v>
      </c>
      <c r="S218" s="51" t="str">
        <f>VLOOKUP(Table3[[#This Row],[ACTIVITY]],TAGS!$B:$P,4,FALSE)</f>
        <v>Cassava Production Enhancement Project</v>
      </c>
      <c r="T218" s="51" t="str">
        <f>VLOOKUP(Table3[[#This Row],[ACTIVITY]],TAGS!$B:$P,5,FALSE)</f>
        <v>Cassava cuttings</v>
      </c>
      <c r="U218" s="51" t="str">
        <f>VLOOKUP(Table3[[#This Row],[ACTIVITY]],TAGS!$B:$P,6,FALSE)</f>
        <v>Cassava seed pieces</v>
      </c>
      <c r="V218" s="51" t="str">
        <f>VLOOKUP(Table3[[#This Row],[ACTIVITY]],TAGS!$B:$P,7,FALSE)</f>
        <v>NO</v>
      </c>
      <c r="W218" s="51" t="str">
        <f>VLOOKUP(Table3[[#This Row],[ACTIVITY]],TAGS!$B:$P,8,FALSE)</f>
        <v>PAP</v>
      </c>
      <c r="X218" s="51" t="str">
        <f>VLOOKUP(Table3[[#This Row],[ACTIVITY]],TAGS!$B:$P,10,FALSE)</f>
        <v>PIP</v>
      </c>
      <c r="Y218" s="51" t="str">
        <f>VLOOKUP(Table3[[#This Row],[ACTIVITY]],TAGS!$B:$P,11,FALSE)</f>
        <v>PICS</v>
      </c>
      <c r="Z218" s="51" t="str">
        <f>VLOOKUP(Table3[[#This Row],[ACTIVITY]],TAGS!$B:$P,12,FALSE)</f>
        <v>Consolidation</v>
      </c>
      <c r="AA218" s="51" t="str">
        <f>VLOOKUP(Table3[[#This Row],[ACTIVITY]],TAGS!$B:$P,13,FALSE)</f>
        <v>1. Bayanihan Agri Cluster</v>
      </c>
      <c r="AB218" s="51" t="str">
        <f>VLOOKUP(Table3[[#This Row],[ACTIVITY]],TAGS!$B:$P,14,FALSE)</f>
        <v>EXPAND AND IMPROVE AVAILABLE AGRI-FISHERY AREAS FOR INCREASED PRODUCTION</v>
      </c>
      <c r="AC218" s="51" t="str">
        <f>VLOOKUP(Table3[[#This Row],[ACTIVITY]],TAGS!$B:$P,15,FALSE)</f>
        <v>Farm Inputs</v>
      </c>
      <c r="AD218" s="51" t="str">
        <f>VLOOKUP(Table3[[#This Row],[PI LEVEL 3]],'PI LEVEL'!$A:$G,7,FALSE)</f>
        <v>DA-Level Output</v>
      </c>
      <c r="AE218" s="47" t="s">
        <v>577</v>
      </c>
      <c r="AF218" s="51" t="str">
        <f>VLOOKUP(Table3[[#This Row],[ACTIVITY]],TAGS!$B:$P,3,FALSE)</f>
        <v>piece</v>
      </c>
      <c r="AG218" s="47" t="s">
        <v>333</v>
      </c>
      <c r="AH218" s="51" t="str">
        <f>VLOOKUP(Table3[[#This Row],[MONTH]],TAGS!$W$67:$Y$81,2,FALSE)</f>
        <v>3RD QTR</v>
      </c>
      <c r="AI218" s="51" t="str">
        <f>VLOOKUP(Table3[[#This Row],[MONTH]],TAGS!$W$67:$Y$81,3,FALSE)</f>
        <v>2ND SEMESTER</v>
      </c>
      <c r="AJ218" s="51">
        <f>VLOOKUP(Table3[[#This Row],[MONTH]],TAGS!$W$67:$Z$81,4,FALSE)</f>
        <v>2025</v>
      </c>
      <c r="AK218" s="47">
        <v>500000</v>
      </c>
      <c r="AL218" s="51" t="str">
        <f>VLOOKUP(Table3[[#This Row],[ACTIVITY]],TAGS!$B:$R,16,FALSE)</f>
        <v>YES</v>
      </c>
      <c r="AM218" s="47">
        <v>50</v>
      </c>
      <c r="AN218" s="47">
        <v>750</v>
      </c>
      <c r="AO218" s="57">
        <f>SUM(Table3[[#This Row],[MALE BENEFICIARIES]:[FEMALE BENEFICIARIES]])</f>
        <v>0</v>
      </c>
      <c r="AP218" s="58"/>
      <c r="AQ218" s="58"/>
      <c r="AR218" s="58"/>
      <c r="AS218" s="58">
        <v>1</v>
      </c>
      <c r="AT218" s="59">
        <v>50</v>
      </c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</row>
    <row r="219" spans="1:65">
      <c r="A219" s="51" t="str">
        <f>VLOOKUP(Table3[[#This Row],[OU]],OU!$A$15:$B$34,2,FALSE)</f>
        <v>RFOs</v>
      </c>
      <c r="B219" s="47" t="s">
        <v>5</v>
      </c>
      <c r="C219" s="47" t="s">
        <v>574</v>
      </c>
      <c r="D219" s="47"/>
      <c r="E219" s="47" t="s">
        <v>43</v>
      </c>
      <c r="F219" s="47" t="s">
        <v>664</v>
      </c>
      <c r="G21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21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23120000</v>
      </c>
      <c r="I219" s="52" t="str">
        <f>VLOOKUP(Table3[[#This Row],[PSGC]],DISTRICT!$D:$G,4,FALSE)</f>
        <v>4th</v>
      </c>
      <c r="J219" s="47" t="s">
        <v>579</v>
      </c>
      <c r="K219" s="51" t="str">
        <f>VLOOKUP(Table3[[#This Row],[SPECIFIC COMMODITY]],TAGS!$W$48:$X$53,2,FALSE)</f>
        <v>Cassava</v>
      </c>
      <c r="L219" s="51" t="str">
        <f>VLOOKUP(Table3[[#This Row],[PREXC SUB-PROGRAM]],Table5[],2,FALSE)</f>
        <v>TECHNICAL AND SUPPORT SERVICES PROGRAM</v>
      </c>
      <c r="M219" s="51" t="str">
        <f>VLOOKUP(Table3[[#This Row],[COMMODITY PREXC SUB-PROGRAM]],TAGS!$U$54:$V$76,2,FALSE)</f>
        <v>PSS</v>
      </c>
      <c r="N219" s="47" t="s">
        <v>580</v>
      </c>
      <c r="O219" s="54" t="str">
        <f>VLOOKUP(Table3[[#This Row],[PI LEVEL 3]],'PI LEVEL'!A:C,3,FALSE)</f>
        <v>Planting material distributed</v>
      </c>
      <c r="P219" s="54" t="str">
        <f>VLOOKUP(Table3[[#This Row],[PI LEVEL 3]],Table53729[[Performance Indicator Level 3]:[Performance Indicator Level 1]],2,FALSE)</f>
        <v>Planting material distributed</v>
      </c>
      <c r="Q219" s="54" t="str">
        <f>VLOOKUP(Table3[[#This Row],[ACTIVITY]],TAGS!B:P,2,FALSE)</f>
        <v>Cassava cutting distributed</v>
      </c>
      <c r="R219" s="47" t="s">
        <v>40</v>
      </c>
      <c r="S219" s="51" t="str">
        <f>VLOOKUP(Table3[[#This Row],[ACTIVITY]],TAGS!$B:$P,4,FALSE)</f>
        <v>Cassava Production Enhancement Project</v>
      </c>
      <c r="T219" s="51" t="str">
        <f>VLOOKUP(Table3[[#This Row],[ACTIVITY]],TAGS!$B:$P,5,FALSE)</f>
        <v>Cassava cuttings</v>
      </c>
      <c r="U219" s="51" t="str">
        <f>VLOOKUP(Table3[[#This Row],[ACTIVITY]],TAGS!$B:$P,6,FALSE)</f>
        <v>Cassava seed pieces</v>
      </c>
      <c r="V219" s="51" t="str">
        <f>VLOOKUP(Table3[[#This Row],[ACTIVITY]],TAGS!$B:$P,7,FALSE)</f>
        <v>NO</v>
      </c>
      <c r="W219" s="51" t="str">
        <f>VLOOKUP(Table3[[#This Row],[ACTIVITY]],TAGS!$B:$P,8,FALSE)</f>
        <v>PAP</v>
      </c>
      <c r="X219" s="51" t="str">
        <f>VLOOKUP(Table3[[#This Row],[ACTIVITY]],TAGS!$B:$P,10,FALSE)</f>
        <v>PIP</v>
      </c>
      <c r="Y219" s="51" t="str">
        <f>VLOOKUP(Table3[[#This Row],[ACTIVITY]],TAGS!$B:$P,11,FALSE)</f>
        <v>PICS</v>
      </c>
      <c r="Z219" s="51" t="str">
        <f>VLOOKUP(Table3[[#This Row],[ACTIVITY]],TAGS!$B:$P,12,FALSE)</f>
        <v>Consolidation</v>
      </c>
      <c r="AA219" s="51" t="str">
        <f>VLOOKUP(Table3[[#This Row],[ACTIVITY]],TAGS!$B:$P,13,FALSE)</f>
        <v>1. Bayanihan Agri Cluster</v>
      </c>
      <c r="AB219" s="51" t="str">
        <f>VLOOKUP(Table3[[#This Row],[ACTIVITY]],TAGS!$B:$P,14,FALSE)</f>
        <v>EXPAND AND IMPROVE AVAILABLE AGRI-FISHERY AREAS FOR INCREASED PRODUCTION</v>
      </c>
      <c r="AC219" s="51" t="str">
        <f>VLOOKUP(Table3[[#This Row],[ACTIVITY]],TAGS!$B:$P,15,FALSE)</f>
        <v>Farm Inputs</v>
      </c>
      <c r="AD219" s="51" t="str">
        <f>VLOOKUP(Table3[[#This Row],[PI LEVEL 3]],'PI LEVEL'!$A:$G,7,FALSE)</f>
        <v>DA-Level Output</v>
      </c>
      <c r="AE219" s="47" t="s">
        <v>577</v>
      </c>
      <c r="AF219" s="51" t="str">
        <f>VLOOKUP(Table3[[#This Row],[ACTIVITY]],TAGS!$B:$P,3,FALSE)</f>
        <v>piece</v>
      </c>
      <c r="AG219" s="47" t="s">
        <v>333</v>
      </c>
      <c r="AH219" s="51" t="str">
        <f>VLOOKUP(Table3[[#This Row],[MONTH]],TAGS!$W$67:$Y$81,2,FALSE)</f>
        <v>3RD QTR</v>
      </c>
      <c r="AI219" s="51" t="str">
        <f>VLOOKUP(Table3[[#This Row],[MONTH]],TAGS!$W$67:$Y$81,3,FALSE)</f>
        <v>2ND SEMESTER</v>
      </c>
      <c r="AJ219" s="51">
        <f>VLOOKUP(Table3[[#This Row],[MONTH]],TAGS!$W$67:$Z$81,4,FALSE)</f>
        <v>2025</v>
      </c>
      <c r="AK219" s="47">
        <v>300000</v>
      </c>
      <c r="AL219" s="51" t="str">
        <f>VLOOKUP(Table3[[#This Row],[ACTIVITY]],TAGS!$B:$R,16,FALSE)</f>
        <v>YES</v>
      </c>
      <c r="AM219" s="47">
        <v>30</v>
      </c>
      <c r="AN219" s="47">
        <v>450</v>
      </c>
      <c r="AO219" s="57">
        <f>SUM(Table3[[#This Row],[MALE BENEFICIARIES]:[FEMALE BENEFICIARIES]])</f>
        <v>0</v>
      </c>
      <c r="AP219" s="58"/>
      <c r="AQ219" s="58"/>
      <c r="AR219" s="58"/>
      <c r="AS219" s="58">
        <v>1</v>
      </c>
      <c r="AT219" s="59">
        <v>30</v>
      </c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</row>
    <row r="220" spans="1:65">
      <c r="A220" s="51" t="str">
        <f>VLOOKUP(Table3[[#This Row],[OU]],OU!$A$15:$B$34,2,FALSE)</f>
        <v>RFOs</v>
      </c>
      <c r="B220" s="47" t="s">
        <v>5</v>
      </c>
      <c r="C220" s="47" t="s">
        <v>574</v>
      </c>
      <c r="D220" s="47"/>
      <c r="E220" s="47" t="s">
        <v>43</v>
      </c>
      <c r="F220" s="47" t="s">
        <v>662</v>
      </c>
      <c r="G22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22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23104000</v>
      </c>
      <c r="I220" s="52" t="str">
        <f>VLOOKUP(Table3[[#This Row],[PSGC]],DISTRICT!$D:$G,4,FALSE)</f>
        <v>4th</v>
      </c>
      <c r="J220" s="47" t="s">
        <v>579</v>
      </c>
      <c r="K220" s="51" t="str">
        <f>VLOOKUP(Table3[[#This Row],[SPECIFIC COMMODITY]],TAGS!$W$48:$X$53,2,FALSE)</f>
        <v>Cassava</v>
      </c>
      <c r="L220" s="51" t="str">
        <f>VLOOKUP(Table3[[#This Row],[PREXC SUB-PROGRAM]],Table5[],2,FALSE)</f>
        <v>TECHNICAL AND SUPPORT SERVICES PROGRAM</v>
      </c>
      <c r="M220" s="51" t="str">
        <f>VLOOKUP(Table3[[#This Row],[COMMODITY PREXC SUB-PROGRAM]],TAGS!$U$54:$V$76,2,FALSE)</f>
        <v>PSS</v>
      </c>
      <c r="N220" s="47" t="s">
        <v>580</v>
      </c>
      <c r="O220" s="54" t="str">
        <f>VLOOKUP(Table3[[#This Row],[PI LEVEL 3]],'PI LEVEL'!A:C,3,FALSE)</f>
        <v>Planting material distributed</v>
      </c>
      <c r="P220" s="54" t="str">
        <f>VLOOKUP(Table3[[#This Row],[PI LEVEL 3]],Table53729[[Performance Indicator Level 3]:[Performance Indicator Level 1]],2,FALSE)</f>
        <v>Planting material distributed</v>
      </c>
      <c r="Q220" s="54" t="str">
        <f>VLOOKUP(Table3[[#This Row],[ACTIVITY]],TAGS!B:P,2,FALSE)</f>
        <v>Cassava cutting distributed</v>
      </c>
      <c r="R220" s="47" t="s">
        <v>40</v>
      </c>
      <c r="S220" s="51" t="str">
        <f>VLOOKUP(Table3[[#This Row],[ACTIVITY]],TAGS!$B:$P,4,FALSE)</f>
        <v>Cassava Production Enhancement Project</v>
      </c>
      <c r="T220" s="51" t="str">
        <f>VLOOKUP(Table3[[#This Row],[ACTIVITY]],TAGS!$B:$P,5,FALSE)</f>
        <v>Cassava cuttings</v>
      </c>
      <c r="U220" s="51" t="str">
        <f>VLOOKUP(Table3[[#This Row],[ACTIVITY]],TAGS!$B:$P,6,FALSE)</f>
        <v>Cassava seed pieces</v>
      </c>
      <c r="V220" s="51" t="str">
        <f>VLOOKUP(Table3[[#This Row],[ACTIVITY]],TAGS!$B:$P,7,FALSE)</f>
        <v>NO</v>
      </c>
      <c r="W220" s="51" t="str">
        <f>VLOOKUP(Table3[[#This Row],[ACTIVITY]],TAGS!$B:$P,8,FALSE)</f>
        <v>PAP</v>
      </c>
      <c r="X220" s="51" t="str">
        <f>VLOOKUP(Table3[[#This Row],[ACTIVITY]],TAGS!$B:$P,10,FALSE)</f>
        <v>PIP</v>
      </c>
      <c r="Y220" s="51" t="str">
        <f>VLOOKUP(Table3[[#This Row],[ACTIVITY]],TAGS!$B:$P,11,FALSE)</f>
        <v>PICS</v>
      </c>
      <c r="Z220" s="51" t="str">
        <f>VLOOKUP(Table3[[#This Row],[ACTIVITY]],TAGS!$B:$P,12,FALSE)</f>
        <v>Consolidation</v>
      </c>
      <c r="AA220" s="51" t="str">
        <f>VLOOKUP(Table3[[#This Row],[ACTIVITY]],TAGS!$B:$P,13,FALSE)</f>
        <v>1. Bayanihan Agri Cluster</v>
      </c>
      <c r="AB220" s="51" t="str">
        <f>VLOOKUP(Table3[[#This Row],[ACTIVITY]],TAGS!$B:$P,14,FALSE)</f>
        <v>EXPAND AND IMPROVE AVAILABLE AGRI-FISHERY AREAS FOR INCREASED PRODUCTION</v>
      </c>
      <c r="AC220" s="51" t="str">
        <f>VLOOKUP(Table3[[#This Row],[ACTIVITY]],TAGS!$B:$P,15,FALSE)</f>
        <v>Farm Inputs</v>
      </c>
      <c r="AD220" s="51" t="str">
        <f>VLOOKUP(Table3[[#This Row],[PI LEVEL 3]],'PI LEVEL'!$A:$G,7,FALSE)</f>
        <v>DA-Level Output</v>
      </c>
      <c r="AE220" s="47" t="s">
        <v>577</v>
      </c>
      <c r="AF220" s="51" t="str">
        <f>VLOOKUP(Table3[[#This Row],[ACTIVITY]],TAGS!$B:$P,3,FALSE)</f>
        <v>piece</v>
      </c>
      <c r="AG220" s="47" t="s">
        <v>334</v>
      </c>
      <c r="AH220" s="51" t="str">
        <f>VLOOKUP(Table3[[#This Row],[MONTH]],TAGS!$W$67:$Y$81,2,FALSE)</f>
        <v>3RD QTR</v>
      </c>
      <c r="AI220" s="51" t="str">
        <f>VLOOKUP(Table3[[#This Row],[MONTH]],TAGS!$W$67:$Y$81,3,FALSE)</f>
        <v>2ND SEMESTER</v>
      </c>
      <c r="AJ220" s="51">
        <f>VLOOKUP(Table3[[#This Row],[MONTH]],TAGS!$W$67:$Z$81,4,FALSE)</f>
        <v>2025</v>
      </c>
      <c r="AK220" s="47">
        <v>200000</v>
      </c>
      <c r="AL220" s="51" t="str">
        <f>VLOOKUP(Table3[[#This Row],[ACTIVITY]],TAGS!$B:$R,16,FALSE)</f>
        <v>YES</v>
      </c>
      <c r="AM220" s="47">
        <v>20</v>
      </c>
      <c r="AN220" s="47">
        <v>300</v>
      </c>
      <c r="AO220" s="57">
        <f>SUM(Table3[[#This Row],[MALE BENEFICIARIES]:[FEMALE BENEFICIARIES]])</f>
        <v>0</v>
      </c>
      <c r="AP220" s="58"/>
      <c r="AQ220" s="58"/>
      <c r="AR220" s="58"/>
      <c r="AS220" s="58">
        <v>1</v>
      </c>
      <c r="AT220" s="59">
        <v>20</v>
      </c>
      <c r="AU220" s="59"/>
      <c r="AV220" s="59"/>
      <c r="AW220" s="59"/>
      <c r="AX220" s="59"/>
      <c r="AY220" s="59"/>
      <c r="AZ220" s="59"/>
      <c r="BA220" s="59"/>
      <c r="BB220" s="59"/>
      <c r="BC220" s="59"/>
      <c r="BD220" s="59"/>
      <c r="BE220" s="59"/>
      <c r="BF220" s="59"/>
      <c r="BG220" s="59"/>
      <c r="BH220" s="59"/>
      <c r="BI220" s="59"/>
      <c r="BJ220" s="59"/>
      <c r="BK220" s="59"/>
      <c r="BL220" s="59"/>
      <c r="BM220" s="59"/>
    </row>
    <row r="221" spans="1:65">
      <c r="A221" s="51" t="str">
        <f>VLOOKUP(Table3[[#This Row],[OU]],OU!$A$15:$B$34,2,FALSE)</f>
        <v>RFOs</v>
      </c>
      <c r="B221" s="47" t="s">
        <v>5</v>
      </c>
      <c r="C221" s="47" t="s">
        <v>574</v>
      </c>
      <c r="D221" s="47"/>
      <c r="E221" s="47" t="s">
        <v>43</v>
      </c>
      <c r="F221" s="47" t="s">
        <v>667</v>
      </c>
      <c r="G22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22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23131000</v>
      </c>
      <c r="I221" s="52" t="str">
        <f>VLOOKUP(Table3[[#This Row],[PSGC]],DISTRICT!$D:$G,4,FALSE)</f>
        <v>1st</v>
      </c>
      <c r="J221" s="47" t="s">
        <v>579</v>
      </c>
      <c r="K221" s="51" t="str">
        <f>VLOOKUP(Table3[[#This Row],[SPECIFIC COMMODITY]],TAGS!$W$48:$X$53,2,FALSE)</f>
        <v>Cassava</v>
      </c>
      <c r="L221" s="51" t="str">
        <f>VLOOKUP(Table3[[#This Row],[PREXC SUB-PROGRAM]],Table5[],2,FALSE)</f>
        <v>TECHNICAL AND SUPPORT SERVICES PROGRAM</v>
      </c>
      <c r="M221" s="51" t="str">
        <f>VLOOKUP(Table3[[#This Row],[COMMODITY PREXC SUB-PROGRAM]],TAGS!$U$54:$V$76,2,FALSE)</f>
        <v>PSS</v>
      </c>
      <c r="N221" s="47" t="s">
        <v>580</v>
      </c>
      <c r="O221" s="54" t="str">
        <f>VLOOKUP(Table3[[#This Row],[PI LEVEL 3]],'PI LEVEL'!A:C,3,FALSE)</f>
        <v>Planting material distributed</v>
      </c>
      <c r="P221" s="54" t="str">
        <f>VLOOKUP(Table3[[#This Row],[PI LEVEL 3]],Table53729[[Performance Indicator Level 3]:[Performance Indicator Level 1]],2,FALSE)</f>
        <v>Planting material distributed</v>
      </c>
      <c r="Q221" s="54" t="str">
        <f>VLOOKUP(Table3[[#This Row],[ACTIVITY]],TAGS!B:P,2,FALSE)</f>
        <v>Cassava cutting distributed</v>
      </c>
      <c r="R221" s="47" t="s">
        <v>40</v>
      </c>
      <c r="S221" s="51" t="str">
        <f>VLOOKUP(Table3[[#This Row],[ACTIVITY]],TAGS!$B:$P,4,FALSE)</f>
        <v>Cassava Production Enhancement Project</v>
      </c>
      <c r="T221" s="51" t="str">
        <f>VLOOKUP(Table3[[#This Row],[ACTIVITY]],TAGS!$B:$P,5,FALSE)</f>
        <v>Cassava cuttings</v>
      </c>
      <c r="U221" s="51" t="str">
        <f>VLOOKUP(Table3[[#This Row],[ACTIVITY]],TAGS!$B:$P,6,FALSE)</f>
        <v>Cassava seed pieces</v>
      </c>
      <c r="V221" s="51" t="str">
        <f>VLOOKUP(Table3[[#This Row],[ACTIVITY]],TAGS!$B:$P,7,FALSE)</f>
        <v>NO</v>
      </c>
      <c r="W221" s="51" t="str">
        <f>VLOOKUP(Table3[[#This Row],[ACTIVITY]],TAGS!$B:$P,8,FALSE)</f>
        <v>PAP</v>
      </c>
      <c r="X221" s="51" t="str">
        <f>VLOOKUP(Table3[[#This Row],[ACTIVITY]],TAGS!$B:$P,10,FALSE)</f>
        <v>PIP</v>
      </c>
      <c r="Y221" s="51" t="str">
        <f>VLOOKUP(Table3[[#This Row],[ACTIVITY]],TAGS!$B:$P,11,FALSE)</f>
        <v>PICS</v>
      </c>
      <c r="Z221" s="51" t="str">
        <f>VLOOKUP(Table3[[#This Row],[ACTIVITY]],TAGS!$B:$P,12,FALSE)</f>
        <v>Consolidation</v>
      </c>
      <c r="AA221" s="51" t="str">
        <f>VLOOKUP(Table3[[#This Row],[ACTIVITY]],TAGS!$B:$P,13,FALSE)</f>
        <v>1. Bayanihan Agri Cluster</v>
      </c>
      <c r="AB221" s="51" t="str">
        <f>VLOOKUP(Table3[[#This Row],[ACTIVITY]],TAGS!$B:$P,14,FALSE)</f>
        <v>EXPAND AND IMPROVE AVAILABLE AGRI-FISHERY AREAS FOR INCREASED PRODUCTION</v>
      </c>
      <c r="AC221" s="51" t="str">
        <f>VLOOKUP(Table3[[#This Row],[ACTIVITY]],TAGS!$B:$P,15,FALSE)</f>
        <v>Farm Inputs</v>
      </c>
      <c r="AD221" s="51" t="str">
        <f>VLOOKUP(Table3[[#This Row],[PI LEVEL 3]],'PI LEVEL'!$A:$G,7,FALSE)</f>
        <v>DA-Level Output</v>
      </c>
      <c r="AE221" s="47" t="s">
        <v>577</v>
      </c>
      <c r="AF221" s="51" t="str">
        <f>VLOOKUP(Table3[[#This Row],[ACTIVITY]],TAGS!$B:$P,3,FALSE)</f>
        <v>piece</v>
      </c>
      <c r="AG221" s="47" t="s">
        <v>334</v>
      </c>
      <c r="AH221" s="51" t="str">
        <f>VLOOKUP(Table3[[#This Row],[MONTH]],TAGS!$W$67:$Y$81,2,FALSE)</f>
        <v>3RD QTR</v>
      </c>
      <c r="AI221" s="51" t="str">
        <f>VLOOKUP(Table3[[#This Row],[MONTH]],TAGS!$W$67:$Y$81,3,FALSE)</f>
        <v>2ND SEMESTER</v>
      </c>
      <c r="AJ221" s="51">
        <f>VLOOKUP(Table3[[#This Row],[MONTH]],TAGS!$W$67:$Z$81,4,FALSE)</f>
        <v>2025</v>
      </c>
      <c r="AK221" s="47">
        <v>500000</v>
      </c>
      <c r="AL221" s="51" t="str">
        <f>VLOOKUP(Table3[[#This Row],[ACTIVITY]],TAGS!$B:$R,16,FALSE)</f>
        <v>YES</v>
      </c>
      <c r="AM221" s="47">
        <v>50</v>
      </c>
      <c r="AN221" s="47">
        <v>750</v>
      </c>
      <c r="AO221" s="57">
        <f>SUM(Table3[[#This Row],[MALE BENEFICIARIES]:[FEMALE BENEFICIARIES]])</f>
        <v>0</v>
      </c>
      <c r="AP221" s="58"/>
      <c r="AQ221" s="58"/>
      <c r="AR221" s="58"/>
      <c r="AS221" s="58">
        <v>1</v>
      </c>
      <c r="AT221" s="59">
        <v>50</v>
      </c>
      <c r="AU221" s="59"/>
      <c r="AV221" s="59"/>
      <c r="AW221" s="59"/>
      <c r="AX221" s="59"/>
      <c r="AY221" s="59"/>
      <c r="AZ221" s="59"/>
      <c r="BA221" s="59"/>
      <c r="BB221" s="59"/>
      <c r="BC221" s="59"/>
      <c r="BD221" s="59"/>
      <c r="BE221" s="59"/>
      <c r="BF221" s="59"/>
      <c r="BG221" s="59"/>
      <c r="BH221" s="59"/>
      <c r="BI221" s="59"/>
      <c r="BJ221" s="59"/>
      <c r="BK221" s="59"/>
      <c r="BL221" s="59"/>
      <c r="BM221" s="59"/>
    </row>
    <row r="222" spans="1:65">
      <c r="A222" s="51" t="str">
        <f>VLOOKUP(Table3[[#This Row],[OU]],OU!$A$15:$B$34,2,FALSE)</f>
        <v>RFOs</v>
      </c>
      <c r="B222" s="47" t="s">
        <v>5</v>
      </c>
      <c r="C222" s="47" t="s">
        <v>574</v>
      </c>
      <c r="D222" s="47"/>
      <c r="E222" s="47" t="s">
        <v>43</v>
      </c>
      <c r="F222" s="47" t="s">
        <v>643</v>
      </c>
      <c r="G22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22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23108000</v>
      </c>
      <c r="I222" s="52" t="str">
        <f>VLOOKUP(Table3[[#This Row],[PSGC]],DISTRICT!$D:$G,4,FALSE)</f>
        <v>3rd</v>
      </c>
      <c r="J222" s="47" t="s">
        <v>579</v>
      </c>
      <c r="K222" s="51" t="str">
        <f>VLOOKUP(Table3[[#This Row],[SPECIFIC COMMODITY]],TAGS!$W$48:$X$53,2,FALSE)</f>
        <v>Cassava</v>
      </c>
      <c r="L222" s="51" t="str">
        <f>VLOOKUP(Table3[[#This Row],[PREXC SUB-PROGRAM]],Table5[],2,FALSE)</f>
        <v>TECHNICAL AND SUPPORT SERVICES PROGRAM</v>
      </c>
      <c r="M222" s="51" t="str">
        <f>VLOOKUP(Table3[[#This Row],[COMMODITY PREXC SUB-PROGRAM]],TAGS!$U$54:$V$76,2,FALSE)</f>
        <v>PSS</v>
      </c>
      <c r="N222" s="47" t="s">
        <v>580</v>
      </c>
      <c r="O222" s="54" t="str">
        <f>VLOOKUP(Table3[[#This Row],[PI LEVEL 3]],'PI LEVEL'!A:C,3,FALSE)</f>
        <v>Planting material distributed</v>
      </c>
      <c r="P222" s="54" t="str">
        <f>VLOOKUP(Table3[[#This Row],[PI LEVEL 3]],Table53729[[Performance Indicator Level 3]:[Performance Indicator Level 1]],2,FALSE)</f>
        <v>Planting material distributed</v>
      </c>
      <c r="Q222" s="54" t="str">
        <f>VLOOKUP(Table3[[#This Row],[ACTIVITY]],TAGS!B:P,2,FALSE)</f>
        <v>Cassava cutting distributed</v>
      </c>
      <c r="R222" s="47" t="s">
        <v>40</v>
      </c>
      <c r="S222" s="51" t="str">
        <f>VLOOKUP(Table3[[#This Row],[ACTIVITY]],TAGS!$B:$P,4,FALSE)</f>
        <v>Cassava Production Enhancement Project</v>
      </c>
      <c r="T222" s="51" t="str">
        <f>VLOOKUP(Table3[[#This Row],[ACTIVITY]],TAGS!$B:$P,5,FALSE)</f>
        <v>Cassava cuttings</v>
      </c>
      <c r="U222" s="51" t="str">
        <f>VLOOKUP(Table3[[#This Row],[ACTIVITY]],TAGS!$B:$P,6,FALSE)</f>
        <v>Cassava seed pieces</v>
      </c>
      <c r="V222" s="51" t="str">
        <f>VLOOKUP(Table3[[#This Row],[ACTIVITY]],TAGS!$B:$P,7,FALSE)</f>
        <v>NO</v>
      </c>
      <c r="W222" s="51" t="str">
        <f>VLOOKUP(Table3[[#This Row],[ACTIVITY]],TAGS!$B:$P,8,FALSE)</f>
        <v>PAP</v>
      </c>
      <c r="X222" s="51" t="str">
        <f>VLOOKUP(Table3[[#This Row],[ACTIVITY]],TAGS!$B:$P,10,FALSE)</f>
        <v>PIP</v>
      </c>
      <c r="Y222" s="51" t="str">
        <f>VLOOKUP(Table3[[#This Row],[ACTIVITY]],TAGS!$B:$P,11,FALSE)</f>
        <v>PICS</v>
      </c>
      <c r="Z222" s="51" t="str">
        <f>VLOOKUP(Table3[[#This Row],[ACTIVITY]],TAGS!$B:$P,12,FALSE)</f>
        <v>Consolidation</v>
      </c>
      <c r="AA222" s="51" t="str">
        <f>VLOOKUP(Table3[[#This Row],[ACTIVITY]],TAGS!$B:$P,13,FALSE)</f>
        <v>1. Bayanihan Agri Cluster</v>
      </c>
      <c r="AB222" s="51" t="str">
        <f>VLOOKUP(Table3[[#This Row],[ACTIVITY]],TAGS!$B:$P,14,FALSE)</f>
        <v>EXPAND AND IMPROVE AVAILABLE AGRI-FISHERY AREAS FOR INCREASED PRODUCTION</v>
      </c>
      <c r="AC222" s="51" t="str">
        <f>VLOOKUP(Table3[[#This Row],[ACTIVITY]],TAGS!$B:$P,15,FALSE)</f>
        <v>Farm Inputs</v>
      </c>
      <c r="AD222" s="51" t="str">
        <f>VLOOKUP(Table3[[#This Row],[PI LEVEL 3]],'PI LEVEL'!$A:$G,7,FALSE)</f>
        <v>DA-Level Output</v>
      </c>
      <c r="AE222" s="47" t="s">
        <v>577</v>
      </c>
      <c r="AF222" s="51" t="str">
        <f>VLOOKUP(Table3[[#This Row],[ACTIVITY]],TAGS!$B:$P,3,FALSE)</f>
        <v>piece</v>
      </c>
      <c r="AG222" s="47" t="s">
        <v>335</v>
      </c>
      <c r="AH222" s="51" t="str">
        <f>VLOOKUP(Table3[[#This Row],[MONTH]],TAGS!$W$67:$Y$81,2,FALSE)</f>
        <v>3RD QTR</v>
      </c>
      <c r="AI222" s="51" t="str">
        <f>VLOOKUP(Table3[[#This Row],[MONTH]],TAGS!$W$67:$Y$81,3,FALSE)</f>
        <v>2ND SEMESTER</v>
      </c>
      <c r="AJ222" s="51">
        <f>VLOOKUP(Table3[[#This Row],[MONTH]],TAGS!$W$67:$Z$81,4,FALSE)</f>
        <v>2025</v>
      </c>
      <c r="AK222" s="47">
        <v>500000</v>
      </c>
      <c r="AL222" s="51" t="str">
        <f>VLOOKUP(Table3[[#This Row],[ACTIVITY]],TAGS!$B:$R,16,FALSE)</f>
        <v>YES</v>
      </c>
      <c r="AM222" s="47">
        <v>50</v>
      </c>
      <c r="AN222" s="47">
        <v>750</v>
      </c>
      <c r="AO222" s="57">
        <f>SUM(Table3[[#This Row],[MALE BENEFICIARIES]:[FEMALE BENEFICIARIES]])</f>
        <v>0</v>
      </c>
      <c r="AP222" s="58"/>
      <c r="AQ222" s="58"/>
      <c r="AR222" s="58"/>
      <c r="AS222" s="58">
        <v>1</v>
      </c>
      <c r="AT222" s="59">
        <v>50</v>
      </c>
      <c r="AU222" s="59"/>
      <c r="AV222" s="59"/>
      <c r="AW222" s="59"/>
      <c r="AX222" s="59"/>
      <c r="AY222" s="59"/>
      <c r="AZ222" s="59"/>
      <c r="BA222" s="59"/>
      <c r="BB222" s="59"/>
      <c r="BC222" s="59"/>
      <c r="BD222" s="59"/>
      <c r="BE222" s="59"/>
      <c r="BF222" s="59"/>
      <c r="BG222" s="59"/>
      <c r="BH222" s="59"/>
      <c r="BI222" s="59"/>
      <c r="BJ222" s="59"/>
      <c r="BK222" s="59"/>
      <c r="BL222" s="59"/>
      <c r="BM222" s="59"/>
    </row>
    <row r="223" spans="1:65">
      <c r="A223" s="51" t="str">
        <f>VLOOKUP(Table3[[#This Row],[OU]],OU!$A$15:$B$34,2,FALSE)</f>
        <v>RFOs</v>
      </c>
      <c r="B223" s="47" t="s">
        <v>5</v>
      </c>
      <c r="C223" s="47" t="s">
        <v>574</v>
      </c>
      <c r="D223" s="47"/>
      <c r="E223" s="47" t="s">
        <v>43</v>
      </c>
      <c r="F223" s="47" t="s">
        <v>685</v>
      </c>
      <c r="G22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22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23112000</v>
      </c>
      <c r="I223" s="52" t="str">
        <f>VLOOKUP(Table3[[#This Row],[PSGC]],DISTRICT!$D:$G,4,FALSE)</f>
        <v>1st</v>
      </c>
      <c r="J223" s="47" t="s">
        <v>579</v>
      </c>
      <c r="K223" s="51" t="str">
        <f>VLOOKUP(Table3[[#This Row],[SPECIFIC COMMODITY]],TAGS!$W$48:$X$53,2,FALSE)</f>
        <v>Cassava</v>
      </c>
      <c r="L223" s="51" t="str">
        <f>VLOOKUP(Table3[[#This Row],[PREXC SUB-PROGRAM]],Table5[],2,FALSE)</f>
        <v>TECHNICAL AND SUPPORT SERVICES PROGRAM</v>
      </c>
      <c r="M223" s="51" t="str">
        <f>VLOOKUP(Table3[[#This Row],[COMMODITY PREXC SUB-PROGRAM]],TAGS!$U$54:$V$76,2,FALSE)</f>
        <v>PSS</v>
      </c>
      <c r="N223" s="47" t="s">
        <v>580</v>
      </c>
      <c r="O223" s="54" t="str">
        <f>VLOOKUP(Table3[[#This Row],[PI LEVEL 3]],'PI LEVEL'!A:C,3,FALSE)</f>
        <v>Planting material distributed</v>
      </c>
      <c r="P223" s="54" t="str">
        <f>VLOOKUP(Table3[[#This Row],[PI LEVEL 3]],Table53729[[Performance Indicator Level 3]:[Performance Indicator Level 1]],2,FALSE)</f>
        <v>Planting material distributed</v>
      </c>
      <c r="Q223" s="54" t="str">
        <f>VLOOKUP(Table3[[#This Row],[ACTIVITY]],TAGS!B:P,2,FALSE)</f>
        <v>Cassava cutting distributed</v>
      </c>
      <c r="R223" s="47" t="s">
        <v>40</v>
      </c>
      <c r="S223" s="51" t="str">
        <f>VLOOKUP(Table3[[#This Row],[ACTIVITY]],TAGS!$B:$P,4,FALSE)</f>
        <v>Cassava Production Enhancement Project</v>
      </c>
      <c r="T223" s="51" t="str">
        <f>VLOOKUP(Table3[[#This Row],[ACTIVITY]],TAGS!$B:$P,5,FALSE)</f>
        <v>Cassava cuttings</v>
      </c>
      <c r="U223" s="51" t="str">
        <f>VLOOKUP(Table3[[#This Row],[ACTIVITY]],TAGS!$B:$P,6,FALSE)</f>
        <v>Cassava seed pieces</v>
      </c>
      <c r="V223" s="51" t="str">
        <f>VLOOKUP(Table3[[#This Row],[ACTIVITY]],TAGS!$B:$P,7,FALSE)</f>
        <v>NO</v>
      </c>
      <c r="W223" s="51" t="str">
        <f>VLOOKUP(Table3[[#This Row],[ACTIVITY]],TAGS!$B:$P,8,FALSE)</f>
        <v>PAP</v>
      </c>
      <c r="X223" s="51" t="str">
        <f>VLOOKUP(Table3[[#This Row],[ACTIVITY]],TAGS!$B:$P,10,FALSE)</f>
        <v>PIP</v>
      </c>
      <c r="Y223" s="51" t="str">
        <f>VLOOKUP(Table3[[#This Row],[ACTIVITY]],TAGS!$B:$P,11,FALSE)</f>
        <v>PICS</v>
      </c>
      <c r="Z223" s="51" t="str">
        <f>VLOOKUP(Table3[[#This Row],[ACTIVITY]],TAGS!$B:$P,12,FALSE)</f>
        <v>Consolidation</v>
      </c>
      <c r="AA223" s="51" t="str">
        <f>VLOOKUP(Table3[[#This Row],[ACTIVITY]],TAGS!$B:$P,13,FALSE)</f>
        <v>1. Bayanihan Agri Cluster</v>
      </c>
      <c r="AB223" s="51" t="str">
        <f>VLOOKUP(Table3[[#This Row],[ACTIVITY]],TAGS!$B:$P,14,FALSE)</f>
        <v>EXPAND AND IMPROVE AVAILABLE AGRI-FISHERY AREAS FOR INCREASED PRODUCTION</v>
      </c>
      <c r="AC223" s="51" t="str">
        <f>VLOOKUP(Table3[[#This Row],[ACTIVITY]],TAGS!$B:$P,15,FALSE)</f>
        <v>Farm Inputs</v>
      </c>
      <c r="AD223" s="51" t="str">
        <f>VLOOKUP(Table3[[#This Row],[PI LEVEL 3]],'PI LEVEL'!$A:$G,7,FALSE)</f>
        <v>DA-Level Output</v>
      </c>
      <c r="AE223" s="47" t="s">
        <v>577</v>
      </c>
      <c r="AF223" s="51" t="str">
        <f>VLOOKUP(Table3[[#This Row],[ACTIVITY]],TAGS!$B:$P,3,FALSE)</f>
        <v>piece</v>
      </c>
      <c r="AG223" s="47" t="s">
        <v>336</v>
      </c>
      <c r="AH223" s="51" t="str">
        <f>VLOOKUP(Table3[[#This Row],[MONTH]],TAGS!$W$67:$Y$81,2,FALSE)</f>
        <v>4TH QTR</v>
      </c>
      <c r="AI223" s="51" t="str">
        <f>VLOOKUP(Table3[[#This Row],[MONTH]],TAGS!$W$67:$Y$81,3,FALSE)</f>
        <v>2ND SEMESTER</v>
      </c>
      <c r="AJ223" s="51">
        <f>VLOOKUP(Table3[[#This Row],[MONTH]],TAGS!$W$67:$Z$81,4,FALSE)</f>
        <v>2025</v>
      </c>
      <c r="AK223" s="47">
        <v>500000</v>
      </c>
      <c r="AL223" s="51" t="str">
        <f>VLOOKUP(Table3[[#This Row],[ACTIVITY]],TAGS!$B:$R,16,FALSE)</f>
        <v>YES</v>
      </c>
      <c r="AM223" s="47">
        <v>50</v>
      </c>
      <c r="AN223" s="47">
        <v>750</v>
      </c>
      <c r="AO223" s="57">
        <f>SUM(Table3[[#This Row],[MALE BENEFICIARIES]:[FEMALE BENEFICIARIES]])</f>
        <v>0</v>
      </c>
      <c r="AP223" s="58"/>
      <c r="AQ223" s="58"/>
      <c r="AR223" s="58"/>
      <c r="AS223" s="58">
        <v>1</v>
      </c>
      <c r="AT223" s="59">
        <v>50</v>
      </c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</row>
    <row r="224" spans="1:65">
      <c r="A224" s="51" t="str">
        <f>VLOOKUP(Table3[[#This Row],[OU]],OU!$A$15:$B$34,2,FALSE)</f>
        <v>RFOs</v>
      </c>
      <c r="B224" s="47" t="s">
        <v>5</v>
      </c>
      <c r="C224" s="47" t="s">
        <v>574</v>
      </c>
      <c r="D224" s="47"/>
      <c r="E224" s="47" t="s">
        <v>43</v>
      </c>
      <c r="F224" s="47" t="s">
        <v>675</v>
      </c>
      <c r="G22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4th District</v>
      </c>
      <c r="H22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23115000</v>
      </c>
      <c r="I224" s="52" t="str">
        <f>VLOOKUP(Table3[[#This Row],[PSGC]],DISTRICT!$D:$G,4,FALSE)</f>
        <v>1st</v>
      </c>
      <c r="J224" s="47" t="s">
        <v>579</v>
      </c>
      <c r="K224" s="51" t="str">
        <f>VLOOKUP(Table3[[#This Row],[SPECIFIC COMMODITY]],TAGS!$W$48:$X$53,2,FALSE)</f>
        <v>Cassava</v>
      </c>
      <c r="L224" s="51" t="str">
        <f>VLOOKUP(Table3[[#This Row],[PREXC SUB-PROGRAM]],Table5[],2,FALSE)</f>
        <v>TECHNICAL AND SUPPORT SERVICES PROGRAM</v>
      </c>
      <c r="M224" s="51" t="str">
        <f>VLOOKUP(Table3[[#This Row],[COMMODITY PREXC SUB-PROGRAM]],TAGS!$U$54:$V$76,2,FALSE)</f>
        <v>PSS</v>
      </c>
      <c r="N224" s="47" t="s">
        <v>580</v>
      </c>
      <c r="O224" s="54" t="str">
        <f>VLOOKUP(Table3[[#This Row],[PI LEVEL 3]],'PI LEVEL'!A:C,3,FALSE)</f>
        <v>Planting material distributed</v>
      </c>
      <c r="P224" s="54" t="str">
        <f>VLOOKUP(Table3[[#This Row],[PI LEVEL 3]],Table53729[[Performance Indicator Level 3]:[Performance Indicator Level 1]],2,FALSE)</f>
        <v>Planting material distributed</v>
      </c>
      <c r="Q224" s="54" t="str">
        <f>VLOOKUP(Table3[[#This Row],[ACTIVITY]],TAGS!B:P,2,FALSE)</f>
        <v>Cassava cutting distributed</v>
      </c>
      <c r="R224" s="47" t="s">
        <v>40</v>
      </c>
      <c r="S224" s="51" t="str">
        <f>VLOOKUP(Table3[[#This Row],[ACTIVITY]],TAGS!$B:$P,4,FALSE)</f>
        <v>Cassava Production Enhancement Project</v>
      </c>
      <c r="T224" s="51" t="str">
        <f>VLOOKUP(Table3[[#This Row],[ACTIVITY]],TAGS!$B:$P,5,FALSE)</f>
        <v>Cassava cuttings</v>
      </c>
      <c r="U224" s="51" t="str">
        <f>VLOOKUP(Table3[[#This Row],[ACTIVITY]],TAGS!$B:$P,6,FALSE)</f>
        <v>Cassava seed pieces</v>
      </c>
      <c r="V224" s="51" t="str">
        <f>VLOOKUP(Table3[[#This Row],[ACTIVITY]],TAGS!$B:$P,7,FALSE)</f>
        <v>NO</v>
      </c>
      <c r="W224" s="51" t="str">
        <f>VLOOKUP(Table3[[#This Row],[ACTIVITY]],TAGS!$B:$P,8,FALSE)</f>
        <v>PAP</v>
      </c>
      <c r="X224" s="51" t="str">
        <f>VLOOKUP(Table3[[#This Row],[ACTIVITY]],TAGS!$B:$P,10,FALSE)</f>
        <v>PIP</v>
      </c>
      <c r="Y224" s="51" t="str">
        <f>VLOOKUP(Table3[[#This Row],[ACTIVITY]],TAGS!$B:$P,11,FALSE)</f>
        <v>PICS</v>
      </c>
      <c r="Z224" s="51" t="str">
        <f>VLOOKUP(Table3[[#This Row],[ACTIVITY]],TAGS!$B:$P,12,FALSE)</f>
        <v>Consolidation</v>
      </c>
      <c r="AA224" s="51" t="str">
        <f>VLOOKUP(Table3[[#This Row],[ACTIVITY]],TAGS!$B:$P,13,FALSE)</f>
        <v>1. Bayanihan Agri Cluster</v>
      </c>
      <c r="AB224" s="51" t="str">
        <f>VLOOKUP(Table3[[#This Row],[ACTIVITY]],TAGS!$B:$P,14,FALSE)</f>
        <v>EXPAND AND IMPROVE AVAILABLE AGRI-FISHERY AREAS FOR INCREASED PRODUCTION</v>
      </c>
      <c r="AC224" s="51" t="str">
        <f>VLOOKUP(Table3[[#This Row],[ACTIVITY]],TAGS!$B:$P,15,FALSE)</f>
        <v>Farm Inputs</v>
      </c>
      <c r="AD224" s="51" t="str">
        <f>VLOOKUP(Table3[[#This Row],[PI LEVEL 3]],'PI LEVEL'!$A:$G,7,FALSE)</f>
        <v>DA-Level Output</v>
      </c>
      <c r="AE224" s="47" t="s">
        <v>577</v>
      </c>
      <c r="AF224" s="51" t="str">
        <f>VLOOKUP(Table3[[#This Row],[ACTIVITY]],TAGS!$B:$P,3,FALSE)</f>
        <v>piece</v>
      </c>
      <c r="AG224" s="47" t="s">
        <v>335</v>
      </c>
      <c r="AH224" s="51" t="str">
        <f>VLOOKUP(Table3[[#This Row],[MONTH]],TAGS!$W$67:$Y$81,2,FALSE)</f>
        <v>3RD QTR</v>
      </c>
      <c r="AI224" s="51" t="str">
        <f>VLOOKUP(Table3[[#This Row],[MONTH]],TAGS!$W$67:$Y$81,3,FALSE)</f>
        <v>2ND SEMESTER</v>
      </c>
      <c r="AJ224" s="51">
        <f>VLOOKUP(Table3[[#This Row],[MONTH]],TAGS!$W$67:$Z$81,4,FALSE)</f>
        <v>2025</v>
      </c>
      <c r="AK224" s="47">
        <v>450000</v>
      </c>
      <c r="AL224" s="51" t="str">
        <f>VLOOKUP(Table3[[#This Row],[ACTIVITY]],TAGS!$B:$R,16,FALSE)</f>
        <v>YES</v>
      </c>
      <c r="AM224" s="47">
        <v>45</v>
      </c>
      <c r="AN224" s="47">
        <v>675</v>
      </c>
      <c r="AO224" s="57">
        <f>SUM(Table3[[#This Row],[MALE BENEFICIARIES]:[FEMALE BENEFICIARIES]])</f>
        <v>0</v>
      </c>
      <c r="AP224" s="58"/>
      <c r="AQ224" s="58"/>
      <c r="AR224" s="58"/>
      <c r="AS224" s="58">
        <v>1</v>
      </c>
      <c r="AT224" s="59">
        <v>45</v>
      </c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</row>
    <row r="225" spans="1:65">
      <c r="A225" s="51" t="str">
        <f>VLOOKUP(Table3[[#This Row],[OU]],OU!$A$15:$B$34,2,FALSE)</f>
        <v>RFOs</v>
      </c>
      <c r="B225" s="47" t="s">
        <v>5</v>
      </c>
      <c r="C225" s="47" t="s">
        <v>574</v>
      </c>
      <c r="D225" s="47"/>
      <c r="E225" s="47" t="s">
        <v>63</v>
      </c>
      <c r="F225" s="47" t="s">
        <v>691</v>
      </c>
      <c r="G22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22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25003000</v>
      </c>
      <c r="I225" s="52" t="str">
        <f>VLOOKUP(Table3[[#This Row],[PSGC]],DISTRICT!$D:$G,4,FALSE)</f>
        <v>2nd</v>
      </c>
      <c r="J225" s="47" t="s">
        <v>579</v>
      </c>
      <c r="K225" s="51" t="str">
        <f>VLOOKUP(Table3[[#This Row],[SPECIFIC COMMODITY]],TAGS!$W$48:$X$53,2,FALSE)</f>
        <v>Cassava</v>
      </c>
      <c r="L225" s="51" t="str">
        <f>VLOOKUP(Table3[[#This Row],[PREXC SUB-PROGRAM]],Table5[],2,FALSE)</f>
        <v>TECHNICAL AND SUPPORT SERVICES PROGRAM</v>
      </c>
      <c r="M225" s="51" t="str">
        <f>VLOOKUP(Table3[[#This Row],[COMMODITY PREXC SUB-PROGRAM]],TAGS!$U$54:$V$76,2,FALSE)</f>
        <v>PSS</v>
      </c>
      <c r="N225" s="47" t="s">
        <v>580</v>
      </c>
      <c r="O225" s="54" t="str">
        <f>VLOOKUP(Table3[[#This Row],[PI LEVEL 3]],'PI LEVEL'!A:C,3,FALSE)</f>
        <v>Planting material distributed</v>
      </c>
      <c r="P225" s="54" t="str">
        <f>VLOOKUP(Table3[[#This Row],[PI LEVEL 3]],Table53729[[Performance Indicator Level 3]:[Performance Indicator Level 1]],2,FALSE)</f>
        <v>Planting material distributed</v>
      </c>
      <c r="Q225" s="54" t="str">
        <f>VLOOKUP(Table3[[#This Row],[ACTIVITY]],TAGS!B:P,2,FALSE)</f>
        <v>Cassava cutting distributed</v>
      </c>
      <c r="R225" s="47" t="s">
        <v>40</v>
      </c>
      <c r="S225" s="51" t="str">
        <f>VLOOKUP(Table3[[#This Row],[ACTIVITY]],TAGS!$B:$P,4,FALSE)</f>
        <v>Cassava Production Enhancement Project</v>
      </c>
      <c r="T225" s="51" t="str">
        <f>VLOOKUP(Table3[[#This Row],[ACTIVITY]],TAGS!$B:$P,5,FALSE)</f>
        <v>Cassava cuttings</v>
      </c>
      <c r="U225" s="51" t="str">
        <f>VLOOKUP(Table3[[#This Row],[ACTIVITY]],TAGS!$B:$P,6,FALSE)</f>
        <v>Cassava seed pieces</v>
      </c>
      <c r="V225" s="51" t="str">
        <f>VLOOKUP(Table3[[#This Row],[ACTIVITY]],TAGS!$B:$P,7,FALSE)</f>
        <v>NO</v>
      </c>
      <c r="W225" s="51" t="str">
        <f>VLOOKUP(Table3[[#This Row],[ACTIVITY]],TAGS!$B:$P,8,FALSE)</f>
        <v>PAP</v>
      </c>
      <c r="X225" s="51" t="str">
        <f>VLOOKUP(Table3[[#This Row],[ACTIVITY]],TAGS!$B:$P,10,FALSE)</f>
        <v>PIP</v>
      </c>
      <c r="Y225" s="51" t="str">
        <f>VLOOKUP(Table3[[#This Row],[ACTIVITY]],TAGS!$B:$P,11,FALSE)</f>
        <v>PICS</v>
      </c>
      <c r="Z225" s="51" t="str">
        <f>VLOOKUP(Table3[[#This Row],[ACTIVITY]],TAGS!$B:$P,12,FALSE)</f>
        <v>Consolidation</v>
      </c>
      <c r="AA225" s="51" t="str">
        <f>VLOOKUP(Table3[[#This Row],[ACTIVITY]],TAGS!$B:$P,13,FALSE)</f>
        <v>1. Bayanihan Agri Cluster</v>
      </c>
      <c r="AB225" s="51" t="str">
        <f>VLOOKUP(Table3[[#This Row],[ACTIVITY]],TAGS!$B:$P,14,FALSE)</f>
        <v>EXPAND AND IMPROVE AVAILABLE AGRI-FISHERY AREAS FOR INCREASED PRODUCTION</v>
      </c>
      <c r="AC225" s="51" t="str">
        <f>VLOOKUP(Table3[[#This Row],[ACTIVITY]],TAGS!$B:$P,15,FALSE)</f>
        <v>Farm Inputs</v>
      </c>
      <c r="AD225" s="51" t="str">
        <f>VLOOKUP(Table3[[#This Row],[PI LEVEL 3]],'PI LEVEL'!$A:$G,7,FALSE)</f>
        <v>DA-Level Output</v>
      </c>
      <c r="AE225" s="47" t="s">
        <v>577</v>
      </c>
      <c r="AF225" s="51" t="str">
        <f>VLOOKUP(Table3[[#This Row],[ACTIVITY]],TAGS!$B:$P,3,FALSE)</f>
        <v>piece</v>
      </c>
      <c r="AG225" s="47" t="s">
        <v>335</v>
      </c>
      <c r="AH225" s="51" t="str">
        <f>VLOOKUP(Table3[[#This Row],[MONTH]],TAGS!$W$67:$Y$81,2,FALSE)</f>
        <v>3RD QTR</v>
      </c>
      <c r="AI225" s="51" t="str">
        <f>VLOOKUP(Table3[[#This Row],[MONTH]],TAGS!$W$67:$Y$81,3,FALSE)</f>
        <v>2ND SEMESTER</v>
      </c>
      <c r="AJ225" s="51">
        <f>VLOOKUP(Table3[[#This Row],[MONTH]],TAGS!$W$67:$Z$81,4,FALSE)</f>
        <v>2025</v>
      </c>
      <c r="AK225" s="47">
        <v>100000</v>
      </c>
      <c r="AL225" s="51" t="str">
        <f>VLOOKUP(Table3[[#This Row],[ACTIVITY]],TAGS!$B:$R,16,FALSE)</f>
        <v>YES</v>
      </c>
      <c r="AM225" s="47">
        <v>10</v>
      </c>
      <c r="AN225" s="47">
        <v>150</v>
      </c>
      <c r="AO225" s="57">
        <f>SUM(Table3[[#This Row],[MALE BENEFICIARIES]:[FEMALE BENEFICIARIES]])</f>
        <v>0</v>
      </c>
      <c r="AP225" s="58"/>
      <c r="AQ225" s="58"/>
      <c r="AR225" s="58"/>
      <c r="AS225" s="58">
        <v>1</v>
      </c>
      <c r="AT225" s="59">
        <v>10</v>
      </c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</row>
    <row r="226" spans="1:65">
      <c r="A226" s="51" t="str">
        <f>VLOOKUP(Table3[[#This Row],[OU]],OU!$A$15:$B$34,2,FALSE)</f>
        <v>RFOs</v>
      </c>
      <c r="B226" s="47" t="s">
        <v>5</v>
      </c>
      <c r="C226" s="47" t="s">
        <v>574</v>
      </c>
      <c r="D226" s="47"/>
      <c r="E226" s="47" t="s">
        <v>70</v>
      </c>
      <c r="F226" s="47" t="s">
        <v>634</v>
      </c>
      <c r="G22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22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25701000</v>
      </c>
      <c r="I226" s="52" t="str">
        <f>VLOOKUP(Table3[[#This Row],[PSGC]],DISTRICT!$D:$G,4,FALSE)</f>
        <v>3rd</v>
      </c>
      <c r="J226" s="47" t="s">
        <v>579</v>
      </c>
      <c r="K226" s="51" t="str">
        <f>VLOOKUP(Table3[[#This Row],[SPECIFIC COMMODITY]],TAGS!$W$48:$X$53,2,FALSE)</f>
        <v>Cassava</v>
      </c>
      <c r="L226" s="51" t="str">
        <f>VLOOKUP(Table3[[#This Row],[PREXC SUB-PROGRAM]],Table5[],2,FALSE)</f>
        <v>TECHNICAL AND SUPPORT SERVICES PROGRAM</v>
      </c>
      <c r="M226" s="51" t="str">
        <f>VLOOKUP(Table3[[#This Row],[COMMODITY PREXC SUB-PROGRAM]],TAGS!$U$54:$V$76,2,FALSE)</f>
        <v>PSS</v>
      </c>
      <c r="N226" s="47" t="s">
        <v>580</v>
      </c>
      <c r="O226" s="54" t="str">
        <f>VLOOKUP(Table3[[#This Row],[PI LEVEL 3]],'PI LEVEL'!A:C,3,FALSE)</f>
        <v>Planting material distributed</v>
      </c>
      <c r="P226" s="54" t="str">
        <f>VLOOKUP(Table3[[#This Row],[PI LEVEL 3]],Table53729[[Performance Indicator Level 3]:[Performance Indicator Level 1]],2,FALSE)</f>
        <v>Planting material distributed</v>
      </c>
      <c r="Q226" s="54" t="str">
        <f>VLOOKUP(Table3[[#This Row],[ACTIVITY]],TAGS!B:P,2,FALSE)</f>
        <v>Cassava cutting distributed</v>
      </c>
      <c r="R226" s="47" t="s">
        <v>40</v>
      </c>
      <c r="S226" s="51" t="str">
        <f>VLOOKUP(Table3[[#This Row],[ACTIVITY]],TAGS!$B:$P,4,FALSE)</f>
        <v>Cassava Production Enhancement Project</v>
      </c>
      <c r="T226" s="51" t="str">
        <f>VLOOKUP(Table3[[#This Row],[ACTIVITY]],TAGS!$B:$P,5,FALSE)</f>
        <v>Cassava cuttings</v>
      </c>
      <c r="U226" s="51" t="str">
        <f>VLOOKUP(Table3[[#This Row],[ACTIVITY]],TAGS!$B:$P,6,FALSE)</f>
        <v>Cassava seed pieces</v>
      </c>
      <c r="V226" s="51" t="str">
        <f>VLOOKUP(Table3[[#This Row],[ACTIVITY]],TAGS!$B:$P,7,FALSE)</f>
        <v>NO</v>
      </c>
      <c r="W226" s="51" t="str">
        <f>VLOOKUP(Table3[[#This Row],[ACTIVITY]],TAGS!$B:$P,8,FALSE)</f>
        <v>PAP</v>
      </c>
      <c r="X226" s="51" t="str">
        <f>VLOOKUP(Table3[[#This Row],[ACTIVITY]],TAGS!$B:$P,10,FALSE)</f>
        <v>PIP</v>
      </c>
      <c r="Y226" s="51" t="str">
        <f>VLOOKUP(Table3[[#This Row],[ACTIVITY]],TAGS!$B:$P,11,FALSE)</f>
        <v>PICS</v>
      </c>
      <c r="Z226" s="51" t="str">
        <f>VLOOKUP(Table3[[#This Row],[ACTIVITY]],TAGS!$B:$P,12,FALSE)</f>
        <v>Consolidation</v>
      </c>
      <c r="AA226" s="51" t="str">
        <f>VLOOKUP(Table3[[#This Row],[ACTIVITY]],TAGS!$B:$P,13,FALSE)</f>
        <v>1. Bayanihan Agri Cluster</v>
      </c>
      <c r="AB226" s="51" t="str">
        <f>VLOOKUP(Table3[[#This Row],[ACTIVITY]],TAGS!$B:$P,14,FALSE)</f>
        <v>EXPAND AND IMPROVE AVAILABLE AGRI-FISHERY AREAS FOR INCREASED PRODUCTION</v>
      </c>
      <c r="AC226" s="51" t="str">
        <f>VLOOKUP(Table3[[#This Row],[ACTIVITY]],TAGS!$B:$P,15,FALSE)</f>
        <v>Farm Inputs</v>
      </c>
      <c r="AD226" s="51" t="str">
        <f>VLOOKUP(Table3[[#This Row],[PI LEVEL 3]],'PI LEVEL'!$A:$G,7,FALSE)</f>
        <v>DA-Level Output</v>
      </c>
      <c r="AE226" s="47" t="s">
        <v>577</v>
      </c>
      <c r="AF226" s="51" t="str">
        <f>VLOOKUP(Table3[[#This Row],[ACTIVITY]],TAGS!$B:$P,3,FALSE)</f>
        <v>piece</v>
      </c>
      <c r="AG226" s="47" t="s">
        <v>335</v>
      </c>
      <c r="AH226" s="51" t="str">
        <f>VLOOKUP(Table3[[#This Row],[MONTH]],TAGS!$W$67:$Y$81,2,FALSE)</f>
        <v>3RD QTR</v>
      </c>
      <c r="AI226" s="51" t="str">
        <f>VLOOKUP(Table3[[#This Row],[MONTH]],TAGS!$W$67:$Y$81,3,FALSE)</f>
        <v>2ND SEMESTER</v>
      </c>
      <c r="AJ226" s="51">
        <f>VLOOKUP(Table3[[#This Row],[MONTH]],TAGS!$W$67:$Z$81,4,FALSE)</f>
        <v>2025</v>
      </c>
      <c r="AK226" s="47">
        <v>490000</v>
      </c>
      <c r="AL226" s="51" t="str">
        <f>VLOOKUP(Table3[[#This Row],[ACTIVITY]],TAGS!$B:$R,16,FALSE)</f>
        <v>YES</v>
      </c>
      <c r="AM226" s="47">
        <v>49</v>
      </c>
      <c r="AN226" s="47">
        <v>735</v>
      </c>
      <c r="AO226" s="57">
        <f>SUM(Table3[[#This Row],[MALE BENEFICIARIES]:[FEMALE BENEFICIARIES]])</f>
        <v>0</v>
      </c>
      <c r="AP226" s="58"/>
      <c r="AQ226" s="58"/>
      <c r="AR226" s="58"/>
      <c r="AS226" s="58">
        <v>1</v>
      </c>
      <c r="AT226" s="59">
        <v>49</v>
      </c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</row>
    <row r="227" spans="1:65">
      <c r="A227" s="51" t="str">
        <f>VLOOKUP(Table3[[#This Row],[OU]],OU!$A$15:$B$34,2,FALSE)</f>
        <v>RFOs</v>
      </c>
      <c r="B227" s="47" t="s">
        <v>5</v>
      </c>
      <c r="C227" s="47" t="s">
        <v>574</v>
      </c>
      <c r="D227" s="47"/>
      <c r="E227" s="47" t="s">
        <v>70</v>
      </c>
      <c r="F227" s="47" t="s">
        <v>635</v>
      </c>
      <c r="G22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22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25702000</v>
      </c>
      <c r="I227" s="52" t="str">
        <f>VLOOKUP(Table3[[#This Row],[PSGC]],DISTRICT!$D:$G,4,FALSE)</f>
        <v>3rd</v>
      </c>
      <c r="J227" s="47" t="s">
        <v>579</v>
      </c>
      <c r="K227" s="51" t="str">
        <f>VLOOKUP(Table3[[#This Row],[SPECIFIC COMMODITY]],TAGS!$W$48:$X$53,2,FALSE)</f>
        <v>Cassava</v>
      </c>
      <c r="L227" s="51" t="str">
        <f>VLOOKUP(Table3[[#This Row],[PREXC SUB-PROGRAM]],Table5[],2,FALSE)</f>
        <v>TECHNICAL AND SUPPORT SERVICES PROGRAM</v>
      </c>
      <c r="M227" s="51" t="str">
        <f>VLOOKUP(Table3[[#This Row],[COMMODITY PREXC SUB-PROGRAM]],TAGS!$U$54:$V$76,2,FALSE)</f>
        <v>PSS</v>
      </c>
      <c r="N227" s="47" t="s">
        <v>580</v>
      </c>
      <c r="O227" s="54" t="str">
        <f>VLOOKUP(Table3[[#This Row],[PI LEVEL 3]],'PI LEVEL'!A:C,3,FALSE)</f>
        <v>Planting material distributed</v>
      </c>
      <c r="P227" s="54" t="str">
        <f>VLOOKUP(Table3[[#This Row],[PI LEVEL 3]],Table53729[[Performance Indicator Level 3]:[Performance Indicator Level 1]],2,FALSE)</f>
        <v>Planting material distributed</v>
      </c>
      <c r="Q227" s="54" t="str">
        <f>VLOOKUP(Table3[[#This Row],[ACTIVITY]],TAGS!B:P,2,FALSE)</f>
        <v>Cassava cutting distributed</v>
      </c>
      <c r="R227" s="47" t="s">
        <v>40</v>
      </c>
      <c r="S227" s="51" t="str">
        <f>VLOOKUP(Table3[[#This Row],[ACTIVITY]],TAGS!$B:$P,4,FALSE)</f>
        <v>Cassava Production Enhancement Project</v>
      </c>
      <c r="T227" s="51" t="str">
        <f>VLOOKUP(Table3[[#This Row],[ACTIVITY]],TAGS!$B:$P,5,FALSE)</f>
        <v>Cassava cuttings</v>
      </c>
      <c r="U227" s="51" t="str">
        <f>VLOOKUP(Table3[[#This Row],[ACTIVITY]],TAGS!$B:$P,6,FALSE)</f>
        <v>Cassava seed pieces</v>
      </c>
      <c r="V227" s="51" t="str">
        <f>VLOOKUP(Table3[[#This Row],[ACTIVITY]],TAGS!$B:$P,7,FALSE)</f>
        <v>NO</v>
      </c>
      <c r="W227" s="51" t="str">
        <f>VLOOKUP(Table3[[#This Row],[ACTIVITY]],TAGS!$B:$P,8,FALSE)</f>
        <v>PAP</v>
      </c>
      <c r="X227" s="51" t="str">
        <f>VLOOKUP(Table3[[#This Row],[ACTIVITY]],TAGS!$B:$P,10,FALSE)</f>
        <v>PIP</v>
      </c>
      <c r="Y227" s="51" t="str">
        <f>VLOOKUP(Table3[[#This Row],[ACTIVITY]],TAGS!$B:$P,11,FALSE)</f>
        <v>PICS</v>
      </c>
      <c r="Z227" s="51" t="str">
        <f>VLOOKUP(Table3[[#This Row],[ACTIVITY]],TAGS!$B:$P,12,FALSE)</f>
        <v>Consolidation</v>
      </c>
      <c r="AA227" s="51" t="str">
        <f>VLOOKUP(Table3[[#This Row],[ACTIVITY]],TAGS!$B:$P,13,FALSE)</f>
        <v>1. Bayanihan Agri Cluster</v>
      </c>
      <c r="AB227" s="51" t="str">
        <f>VLOOKUP(Table3[[#This Row],[ACTIVITY]],TAGS!$B:$P,14,FALSE)</f>
        <v>EXPAND AND IMPROVE AVAILABLE AGRI-FISHERY AREAS FOR INCREASED PRODUCTION</v>
      </c>
      <c r="AC227" s="51" t="str">
        <f>VLOOKUP(Table3[[#This Row],[ACTIVITY]],TAGS!$B:$P,15,FALSE)</f>
        <v>Farm Inputs</v>
      </c>
      <c r="AD227" s="51" t="str">
        <f>VLOOKUP(Table3[[#This Row],[PI LEVEL 3]],'PI LEVEL'!$A:$G,7,FALSE)</f>
        <v>DA-Level Output</v>
      </c>
      <c r="AE227" s="47" t="s">
        <v>577</v>
      </c>
      <c r="AF227" s="51" t="str">
        <f>VLOOKUP(Table3[[#This Row],[ACTIVITY]],TAGS!$B:$P,3,FALSE)</f>
        <v>piece</v>
      </c>
      <c r="AG227" s="47" t="s">
        <v>335</v>
      </c>
      <c r="AH227" s="51" t="str">
        <f>VLOOKUP(Table3[[#This Row],[MONTH]],TAGS!$W$67:$Y$81,2,FALSE)</f>
        <v>3RD QTR</v>
      </c>
      <c r="AI227" s="51" t="str">
        <f>VLOOKUP(Table3[[#This Row],[MONTH]],TAGS!$W$67:$Y$81,3,FALSE)</f>
        <v>2ND SEMESTER</v>
      </c>
      <c r="AJ227" s="51">
        <f>VLOOKUP(Table3[[#This Row],[MONTH]],TAGS!$W$67:$Z$81,4,FALSE)</f>
        <v>2025</v>
      </c>
      <c r="AK227" s="47">
        <v>490000</v>
      </c>
      <c r="AL227" s="51" t="str">
        <f>VLOOKUP(Table3[[#This Row],[ACTIVITY]],TAGS!$B:$R,16,FALSE)</f>
        <v>YES</v>
      </c>
      <c r="AM227" s="47">
        <v>49</v>
      </c>
      <c r="AN227" s="47">
        <v>735</v>
      </c>
      <c r="AO227" s="57">
        <f>SUM(Table3[[#This Row],[MALE BENEFICIARIES]:[FEMALE BENEFICIARIES]])</f>
        <v>0</v>
      </c>
      <c r="AP227" s="58"/>
      <c r="AQ227" s="58"/>
      <c r="AR227" s="58"/>
      <c r="AS227" s="58">
        <v>1</v>
      </c>
      <c r="AT227" s="59">
        <v>49</v>
      </c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</row>
    <row r="228" spans="1:65">
      <c r="A228" s="51" t="str">
        <f>VLOOKUP(Table3[[#This Row],[OU]],OU!$A$15:$B$34,2,FALSE)</f>
        <v>RFOs</v>
      </c>
      <c r="B228" s="47" t="s">
        <v>5</v>
      </c>
      <c r="C228" s="47" t="s">
        <v>574</v>
      </c>
      <c r="D228" s="47"/>
      <c r="E228" s="47" t="s">
        <v>22</v>
      </c>
      <c r="F228" s="47" t="s">
        <v>696</v>
      </c>
      <c r="G22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22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21505000</v>
      </c>
      <c r="I228" s="52" t="str">
        <f>VLOOKUP(Table3[[#This Row],[PSGC]],DISTRICT!$D:$G,4,FALSE)</f>
        <v>1st</v>
      </c>
      <c r="J228" s="47" t="s">
        <v>579</v>
      </c>
      <c r="K228" s="51" t="str">
        <f>VLOOKUP(Table3[[#This Row],[SPECIFIC COMMODITY]],TAGS!$W$48:$X$53,2,FALSE)</f>
        <v>Cassava</v>
      </c>
      <c r="L228" s="51" t="str">
        <f>VLOOKUP(Table3[[#This Row],[PREXC SUB-PROGRAM]],Table5[],2,FALSE)</f>
        <v>TECHNICAL AND SUPPORT SERVICES PROGRAM</v>
      </c>
      <c r="M228" s="51" t="str">
        <f>VLOOKUP(Table3[[#This Row],[COMMODITY PREXC SUB-PROGRAM]],TAGS!$U$54:$V$76,2,FALSE)</f>
        <v>PSS</v>
      </c>
      <c r="N228" s="47" t="s">
        <v>580</v>
      </c>
      <c r="O228" s="54" t="str">
        <f>VLOOKUP(Table3[[#This Row],[PI LEVEL 3]],'PI LEVEL'!A:C,3,FALSE)</f>
        <v>Fertilizers and other soil ammendment distributed</v>
      </c>
      <c r="P228" s="54" t="str">
        <f>VLOOKUP(Table3[[#This Row],[PI LEVEL 3]],Table53729[[Performance Indicator Level 3]:[Performance Indicator Level 1]],2,FALSE)</f>
        <v>Fertilizers distributed</v>
      </c>
      <c r="Q228" s="54" t="str">
        <f>VLOOKUP(Table3[[#This Row],[ACTIVITY]],TAGS!B:P,2,FALSE)</f>
        <v>Inorganic fertilizer distributed</v>
      </c>
      <c r="R228" s="47" t="s">
        <v>42</v>
      </c>
      <c r="S228" s="51" t="str">
        <f>VLOOKUP(Table3[[#This Row],[ACTIVITY]],TAGS!$B:$P,4,FALSE)</f>
        <v>Cassava Production Enhancement Project</v>
      </c>
      <c r="T228" s="51" t="str">
        <f>VLOOKUP(Table3[[#This Row],[ACTIVITY]],TAGS!$B:$P,5,FALSE)</f>
        <v>Soil Fertilization</v>
      </c>
      <c r="U228" s="51" t="str">
        <f>VLOOKUP(Table3[[#This Row],[ACTIVITY]],TAGS!$B:$P,6,FALSE)</f>
        <v>Inorganic fertilizer</v>
      </c>
      <c r="V228" s="51" t="str">
        <f>VLOOKUP(Table3[[#This Row],[ACTIVITY]],TAGS!$B:$P,7,FALSE)</f>
        <v>NO</v>
      </c>
      <c r="W228" s="51" t="str">
        <f>VLOOKUP(Table3[[#This Row],[ACTIVITY]],TAGS!$B:$P,8,FALSE)</f>
        <v>PAP</v>
      </c>
      <c r="X228" s="51" t="str">
        <f>VLOOKUP(Table3[[#This Row],[ACTIVITY]],TAGS!$B:$P,10,FALSE)</f>
        <v>PIP</v>
      </c>
      <c r="Y228" s="51" t="str">
        <f>VLOOKUP(Table3[[#This Row],[ACTIVITY]],TAGS!$B:$P,11,FALSE)</f>
        <v>PICS</v>
      </c>
      <c r="Z228" s="51" t="str">
        <f>VLOOKUP(Table3[[#This Row],[ACTIVITY]],TAGS!$B:$P,12,FALSE)</f>
        <v>Consolidation</v>
      </c>
      <c r="AA228" s="51" t="str">
        <f>VLOOKUP(Table3[[#This Row],[ACTIVITY]],TAGS!$B:$P,13,FALSE)</f>
        <v>1. Bayanihan Agri Cluster</v>
      </c>
      <c r="AB228" s="51" t="str">
        <f>VLOOKUP(Table3[[#This Row],[ACTIVITY]],TAGS!$B:$P,14,FALSE)</f>
        <v>EXPAND AND IMPROVE AVAILABLE AGRI-FISHERY AREAS FOR INCREASED PRODUCTION</v>
      </c>
      <c r="AC228" s="51" t="str">
        <f>VLOOKUP(Table3[[#This Row],[ACTIVITY]],TAGS!$B:$P,15,FALSE)</f>
        <v>Farm Inputs</v>
      </c>
      <c r="AD228" s="51" t="str">
        <f>VLOOKUP(Table3[[#This Row],[PI LEVEL 3]],'PI LEVEL'!$A:$G,7,FALSE)</f>
        <v>DA-Level Output</v>
      </c>
      <c r="AE228" s="47" t="s">
        <v>577</v>
      </c>
      <c r="AF228" s="51" t="str">
        <f>VLOOKUP(Table3[[#This Row],[ACTIVITY]],TAGS!$B:$P,3,FALSE)</f>
        <v>kilogram</v>
      </c>
      <c r="AG228" s="47" t="s">
        <v>334</v>
      </c>
      <c r="AH228" s="51" t="str">
        <f>VLOOKUP(Table3[[#This Row],[MONTH]],TAGS!$W$67:$Y$81,2,FALSE)</f>
        <v>3RD QTR</v>
      </c>
      <c r="AI228" s="51" t="str">
        <f>VLOOKUP(Table3[[#This Row],[MONTH]],TAGS!$W$67:$Y$81,3,FALSE)</f>
        <v>2ND SEMESTER</v>
      </c>
      <c r="AJ228" s="51">
        <f>VLOOKUP(Table3[[#This Row],[MONTH]],TAGS!$W$67:$Z$81,4,FALSE)</f>
        <v>2025</v>
      </c>
      <c r="AK228" s="47">
        <v>200</v>
      </c>
      <c r="AL228" s="51" t="str">
        <f>VLOOKUP(Table3[[#This Row],[ACTIVITY]],TAGS!$B:$R,16,FALSE)</f>
        <v>YES</v>
      </c>
      <c r="AM228" s="47">
        <v>2</v>
      </c>
      <c r="AN228" s="47">
        <v>9</v>
      </c>
      <c r="AO228" s="57">
        <f>SUM(Table3[[#This Row],[MALE BENEFICIARIES]:[FEMALE BENEFICIARIES]])</f>
        <v>0</v>
      </c>
      <c r="AP228" s="58"/>
      <c r="AQ228" s="58"/>
      <c r="AR228" s="58"/>
      <c r="AS228" s="58">
        <v>1</v>
      </c>
      <c r="AT228" s="59">
        <v>14</v>
      </c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</row>
    <row r="229" spans="1:65">
      <c r="A229" s="54" t="str">
        <f>VLOOKUP(Table3[[#This Row],[OU]],OU!$A$15:$B$34,2,FALSE)</f>
        <v>RFOs</v>
      </c>
      <c r="B229" s="47" t="s">
        <v>5</v>
      </c>
      <c r="C229" s="47" t="s">
        <v>574</v>
      </c>
      <c r="D229" s="60"/>
      <c r="E229" s="47" t="s">
        <v>22</v>
      </c>
      <c r="F229" s="47" t="s">
        <v>696</v>
      </c>
      <c r="G22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229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21505000</v>
      </c>
      <c r="I229" s="61" t="str">
        <f>VLOOKUP(Table3[[#This Row],[PSGC]],DISTRICT!$D:$G,4,FALSE)</f>
        <v>1st</v>
      </c>
      <c r="J229" s="47" t="s">
        <v>579</v>
      </c>
      <c r="K229" s="51" t="str">
        <f>VLOOKUP(Table3[[#This Row],[SPECIFIC COMMODITY]],TAGS!$W$48:$X$53,2,FALSE)</f>
        <v>Cassava</v>
      </c>
      <c r="L229" s="51" t="str">
        <f>VLOOKUP(Table3[[#This Row],[PREXC SUB-PROGRAM]],Table5[],2,FALSE)</f>
        <v>TECHNICAL AND SUPPORT SERVICES PROGRAM</v>
      </c>
      <c r="M229" s="51" t="str">
        <f>VLOOKUP(Table3[[#This Row],[COMMODITY PREXC SUB-PROGRAM]],TAGS!$U$54:$V$76,2,FALSE)</f>
        <v>PSS</v>
      </c>
      <c r="N229" s="47" t="s">
        <v>580</v>
      </c>
      <c r="O229" s="54" t="str">
        <f>VLOOKUP(Table3[[#This Row],[PI LEVEL 3]],'PI LEVEL'!A:C,3,FALSE)</f>
        <v>Fertilizers and other soil ammendment distributed</v>
      </c>
      <c r="P229" s="54" t="str">
        <f>VLOOKUP(Table3[[#This Row],[PI LEVEL 3]],Table53729[[Performance Indicator Level 3]:[Performance Indicator Level 1]],2,FALSE)</f>
        <v>Fertilizers distributed</v>
      </c>
      <c r="Q229" s="54" t="str">
        <f>VLOOKUP(Table3[[#This Row],[ACTIVITY]],TAGS!B:P,2,FALSE)</f>
        <v>Inorganic fertilizer distributed</v>
      </c>
      <c r="R229" s="47" t="s">
        <v>42</v>
      </c>
      <c r="S229" s="54" t="str">
        <f>VLOOKUP(Table3[[#This Row],[ACTIVITY]],TAGS!$B:$P,4,FALSE)</f>
        <v>Cassava Production Enhancement Project</v>
      </c>
      <c r="T229" s="54" t="str">
        <f>VLOOKUP(Table3[[#This Row],[ACTIVITY]],TAGS!$B:$P,5,FALSE)</f>
        <v>Soil Fertilization</v>
      </c>
      <c r="U229" s="54" t="str">
        <f>VLOOKUP(Table3[[#This Row],[ACTIVITY]],TAGS!$B:$P,6,FALSE)</f>
        <v>Inorganic fertilizer</v>
      </c>
      <c r="V229" s="54" t="str">
        <f>VLOOKUP(Table3[[#This Row],[ACTIVITY]],TAGS!$B:$P,7,FALSE)</f>
        <v>NO</v>
      </c>
      <c r="W229" s="54" t="str">
        <f>VLOOKUP(Table3[[#This Row],[ACTIVITY]],TAGS!$B:$P,8,FALSE)</f>
        <v>PAP</v>
      </c>
      <c r="X229" s="54" t="str">
        <f>VLOOKUP(Table3[[#This Row],[ACTIVITY]],TAGS!$B:$P,10,FALSE)</f>
        <v>PIP</v>
      </c>
      <c r="Y229" s="54" t="str">
        <f>VLOOKUP(Table3[[#This Row],[ACTIVITY]],TAGS!$B:$P,11,FALSE)</f>
        <v>PICS</v>
      </c>
      <c r="Z229" s="54" t="str">
        <f>VLOOKUP(Table3[[#This Row],[ACTIVITY]],TAGS!$B:$P,12,FALSE)</f>
        <v>Consolidation</v>
      </c>
      <c r="AA229" s="54" t="str">
        <f>VLOOKUP(Table3[[#This Row],[ACTIVITY]],TAGS!$B:$P,13,FALSE)</f>
        <v>1. Bayanihan Agri Cluster</v>
      </c>
      <c r="AB229" s="54" t="str">
        <f>VLOOKUP(Table3[[#This Row],[ACTIVITY]],TAGS!$B:$P,14,FALSE)</f>
        <v>EXPAND AND IMPROVE AVAILABLE AGRI-FISHERY AREAS FOR INCREASED PRODUCTION</v>
      </c>
      <c r="AC229" s="54" t="str">
        <f>VLOOKUP(Table3[[#This Row],[ACTIVITY]],TAGS!$B:$P,15,FALSE)</f>
        <v>Farm Inputs</v>
      </c>
      <c r="AD229" s="54" t="str">
        <f>VLOOKUP(Table3[[#This Row],[PI LEVEL 3]],'PI LEVEL'!$A:$G,7,FALSE)</f>
        <v>DA-Level Output</v>
      </c>
      <c r="AE229" s="47" t="s">
        <v>577</v>
      </c>
      <c r="AF229" s="54" t="str">
        <f>VLOOKUP(Table3[[#This Row],[ACTIVITY]],TAGS!$B:$P,3,FALSE)</f>
        <v>kilogram</v>
      </c>
      <c r="AG229" s="47" t="s">
        <v>335</v>
      </c>
      <c r="AH229" s="54" t="str">
        <f>VLOOKUP(Table3[[#This Row],[MONTH]],TAGS!$W$67:$Y$81,2,FALSE)</f>
        <v>3RD QTR</v>
      </c>
      <c r="AI229" s="54" t="str">
        <f>VLOOKUP(Table3[[#This Row],[MONTH]],TAGS!$W$67:$Y$81,3,FALSE)</f>
        <v>2ND SEMESTER</v>
      </c>
      <c r="AJ229" s="54">
        <f>VLOOKUP(Table3[[#This Row],[MONTH]],TAGS!$W$67:$Z$81,4,FALSE)</f>
        <v>2025</v>
      </c>
      <c r="AK229" s="60">
        <v>1200</v>
      </c>
      <c r="AL229" s="54" t="str">
        <f>VLOOKUP(Table3[[#This Row],[ACTIVITY]],TAGS!$B:$R,16,FALSE)</f>
        <v>YES</v>
      </c>
      <c r="AM229" s="60">
        <v>12</v>
      </c>
      <c r="AN229" s="47">
        <v>54</v>
      </c>
      <c r="AO229" s="57">
        <f>SUM(Table3[[#This Row],[MALE BENEFICIARIES]:[FEMALE BENEFICIARIES]])</f>
        <v>0</v>
      </c>
      <c r="AP229" s="62"/>
      <c r="AQ229" s="62"/>
      <c r="AR229" s="62"/>
      <c r="AS229" s="62">
        <v>1</v>
      </c>
      <c r="AT229" s="63" t="str">
        <f>VLOOKUP(Table3[[#This Row],[ACTIVITY]],TAGS!$B:$R,17,FALSE)</f>
        <v>YES</v>
      </c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</row>
    <row r="230" spans="1:65">
      <c r="A230" s="51" t="str">
        <f>VLOOKUP(Table3[[#This Row],[OU]],OU!$A$15:$B$34,2,FALSE)</f>
        <v>RFOs</v>
      </c>
      <c r="B230" s="47" t="s">
        <v>5</v>
      </c>
      <c r="C230" s="47" t="s">
        <v>574</v>
      </c>
      <c r="D230" s="47"/>
      <c r="E230" s="47" t="s">
        <v>22</v>
      </c>
      <c r="F230" s="47" t="s">
        <v>645</v>
      </c>
      <c r="G23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23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21508000</v>
      </c>
      <c r="I230" s="52" t="str">
        <f>VLOOKUP(Table3[[#This Row],[PSGC]],DISTRICT!$D:$G,4,FALSE)</f>
        <v>3rd</v>
      </c>
      <c r="J230" s="47" t="s">
        <v>579</v>
      </c>
      <c r="K230" s="51" t="str">
        <f>VLOOKUP(Table3[[#This Row],[SPECIFIC COMMODITY]],TAGS!$W$48:$X$53,2,FALSE)</f>
        <v>Cassava</v>
      </c>
      <c r="L230" s="51" t="str">
        <f>VLOOKUP(Table3[[#This Row],[PREXC SUB-PROGRAM]],Table5[],2,FALSE)</f>
        <v>TECHNICAL AND SUPPORT SERVICES PROGRAM</v>
      </c>
      <c r="M230" s="51" t="str">
        <f>VLOOKUP(Table3[[#This Row],[COMMODITY PREXC SUB-PROGRAM]],TAGS!$U$54:$V$76,2,FALSE)</f>
        <v>PSS</v>
      </c>
      <c r="N230" s="47" t="s">
        <v>580</v>
      </c>
      <c r="O230" s="54" t="str">
        <f>VLOOKUP(Table3[[#This Row],[PI LEVEL 3]],'PI LEVEL'!A:C,3,FALSE)</f>
        <v>Fertilizers and other soil ammendment distributed</v>
      </c>
      <c r="P230" s="54" t="str">
        <f>VLOOKUP(Table3[[#This Row],[PI LEVEL 3]],Table53729[[Performance Indicator Level 3]:[Performance Indicator Level 1]],2,FALSE)</f>
        <v>Fertilizers distributed</v>
      </c>
      <c r="Q230" s="54" t="str">
        <f>VLOOKUP(Table3[[#This Row],[ACTIVITY]],TAGS!B:P,2,FALSE)</f>
        <v>Inorganic fertilizer distributed</v>
      </c>
      <c r="R230" s="47" t="s">
        <v>42</v>
      </c>
      <c r="S230" s="51" t="str">
        <f>VLOOKUP(Table3[[#This Row],[ACTIVITY]],TAGS!$B:$P,4,FALSE)</f>
        <v>Cassava Production Enhancement Project</v>
      </c>
      <c r="T230" s="51" t="str">
        <f>VLOOKUP(Table3[[#This Row],[ACTIVITY]],TAGS!$B:$P,5,FALSE)</f>
        <v>Soil Fertilization</v>
      </c>
      <c r="U230" s="51" t="str">
        <f>VLOOKUP(Table3[[#This Row],[ACTIVITY]],TAGS!$B:$P,6,FALSE)</f>
        <v>Inorganic fertilizer</v>
      </c>
      <c r="V230" s="51" t="str">
        <f>VLOOKUP(Table3[[#This Row],[ACTIVITY]],TAGS!$B:$P,7,FALSE)</f>
        <v>NO</v>
      </c>
      <c r="W230" s="51" t="str">
        <f>VLOOKUP(Table3[[#This Row],[ACTIVITY]],TAGS!$B:$P,8,FALSE)</f>
        <v>PAP</v>
      </c>
      <c r="X230" s="51" t="str">
        <f>VLOOKUP(Table3[[#This Row],[ACTIVITY]],TAGS!$B:$P,10,FALSE)</f>
        <v>PIP</v>
      </c>
      <c r="Y230" s="51" t="str">
        <f>VLOOKUP(Table3[[#This Row],[ACTIVITY]],TAGS!$B:$P,11,FALSE)</f>
        <v>PICS</v>
      </c>
      <c r="Z230" s="51" t="str">
        <f>VLOOKUP(Table3[[#This Row],[ACTIVITY]],TAGS!$B:$P,12,FALSE)</f>
        <v>Consolidation</v>
      </c>
      <c r="AA230" s="51" t="str">
        <f>VLOOKUP(Table3[[#This Row],[ACTIVITY]],TAGS!$B:$P,13,FALSE)</f>
        <v>1. Bayanihan Agri Cluster</v>
      </c>
      <c r="AB230" s="51" t="str">
        <f>VLOOKUP(Table3[[#This Row],[ACTIVITY]],TAGS!$B:$P,14,FALSE)</f>
        <v>EXPAND AND IMPROVE AVAILABLE AGRI-FISHERY AREAS FOR INCREASED PRODUCTION</v>
      </c>
      <c r="AC230" s="51" t="str">
        <f>VLOOKUP(Table3[[#This Row],[ACTIVITY]],TAGS!$B:$P,15,FALSE)</f>
        <v>Farm Inputs</v>
      </c>
      <c r="AD230" s="51" t="str">
        <f>VLOOKUP(Table3[[#This Row],[PI LEVEL 3]],'PI LEVEL'!$A:$G,7,FALSE)</f>
        <v>DA-Level Output</v>
      </c>
      <c r="AE230" s="47" t="s">
        <v>577</v>
      </c>
      <c r="AF230" s="51" t="str">
        <f>VLOOKUP(Table3[[#This Row],[ACTIVITY]],TAGS!$B:$P,3,FALSE)</f>
        <v>kilogram</v>
      </c>
      <c r="AG230" s="47" t="s">
        <v>334</v>
      </c>
      <c r="AH230" s="51" t="str">
        <f>VLOOKUP(Table3[[#This Row],[MONTH]],TAGS!$W$67:$Y$81,2,FALSE)</f>
        <v>3RD QTR</v>
      </c>
      <c r="AI230" s="51" t="str">
        <f>VLOOKUP(Table3[[#This Row],[MONTH]],TAGS!$W$67:$Y$81,3,FALSE)</f>
        <v>2ND SEMESTER</v>
      </c>
      <c r="AJ230" s="51">
        <f>VLOOKUP(Table3[[#This Row],[MONTH]],TAGS!$W$67:$Z$81,4,FALSE)</f>
        <v>2025</v>
      </c>
      <c r="AK230" s="47">
        <v>450</v>
      </c>
      <c r="AL230" s="51" t="str">
        <f>VLOOKUP(Table3[[#This Row],[ACTIVITY]],TAGS!$B:$R,16,FALSE)</f>
        <v>YES</v>
      </c>
      <c r="AM230" s="47">
        <v>4.5</v>
      </c>
      <c r="AN230" s="47">
        <v>20.25</v>
      </c>
      <c r="AO230" s="57">
        <f>SUM(Table3[[#This Row],[MALE BENEFICIARIES]:[FEMALE BENEFICIARIES]])</f>
        <v>0</v>
      </c>
      <c r="AP230" s="58"/>
      <c r="AQ230" s="58"/>
      <c r="AR230" s="58"/>
      <c r="AS230" s="58">
        <v>1</v>
      </c>
      <c r="AT230" s="59">
        <v>17</v>
      </c>
      <c r="AU230" s="59"/>
      <c r="AV230" s="59"/>
      <c r="AW230" s="59"/>
      <c r="AX230" s="59"/>
      <c r="AY230" s="59"/>
      <c r="AZ230" s="59"/>
      <c r="BA230" s="59"/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</row>
    <row r="231" spans="1:65">
      <c r="A231" s="54" t="str">
        <f>VLOOKUP(Table3[[#This Row],[OU]],OU!$A$15:$B$34,2,FALSE)</f>
        <v>RFOs</v>
      </c>
      <c r="B231" s="47" t="s">
        <v>5</v>
      </c>
      <c r="C231" s="47" t="s">
        <v>574</v>
      </c>
      <c r="D231" s="60"/>
      <c r="E231" s="47" t="s">
        <v>22</v>
      </c>
      <c r="F231" s="47" t="s">
        <v>645</v>
      </c>
      <c r="G23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231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21508000</v>
      </c>
      <c r="I231" s="61" t="str">
        <f>VLOOKUP(Table3[[#This Row],[PSGC]],DISTRICT!$D:$G,4,FALSE)</f>
        <v>3rd</v>
      </c>
      <c r="J231" s="47" t="s">
        <v>579</v>
      </c>
      <c r="K231" s="51" t="str">
        <f>VLOOKUP(Table3[[#This Row],[SPECIFIC COMMODITY]],TAGS!$W$48:$X$53,2,FALSE)</f>
        <v>Cassava</v>
      </c>
      <c r="L231" s="51" t="str">
        <f>VLOOKUP(Table3[[#This Row],[PREXC SUB-PROGRAM]],Table5[],2,FALSE)</f>
        <v>TECHNICAL AND SUPPORT SERVICES PROGRAM</v>
      </c>
      <c r="M231" s="51" t="str">
        <f>VLOOKUP(Table3[[#This Row],[COMMODITY PREXC SUB-PROGRAM]],TAGS!$U$54:$V$76,2,FALSE)</f>
        <v>PSS</v>
      </c>
      <c r="N231" s="47" t="s">
        <v>580</v>
      </c>
      <c r="O231" s="54" t="str">
        <f>VLOOKUP(Table3[[#This Row],[PI LEVEL 3]],'PI LEVEL'!A:C,3,FALSE)</f>
        <v>Fertilizers and other soil ammendment distributed</v>
      </c>
      <c r="P231" s="54" t="str">
        <f>VLOOKUP(Table3[[#This Row],[PI LEVEL 3]],Table53729[[Performance Indicator Level 3]:[Performance Indicator Level 1]],2,FALSE)</f>
        <v>Fertilizers distributed</v>
      </c>
      <c r="Q231" s="54" t="str">
        <f>VLOOKUP(Table3[[#This Row],[ACTIVITY]],TAGS!B:P,2,FALSE)</f>
        <v>Inorganic fertilizer distributed</v>
      </c>
      <c r="R231" s="47" t="s">
        <v>42</v>
      </c>
      <c r="S231" s="54" t="str">
        <f>VLOOKUP(Table3[[#This Row],[ACTIVITY]],TAGS!$B:$P,4,FALSE)</f>
        <v>Cassava Production Enhancement Project</v>
      </c>
      <c r="T231" s="54" t="str">
        <f>VLOOKUP(Table3[[#This Row],[ACTIVITY]],TAGS!$B:$P,5,FALSE)</f>
        <v>Soil Fertilization</v>
      </c>
      <c r="U231" s="54" t="str">
        <f>VLOOKUP(Table3[[#This Row],[ACTIVITY]],TAGS!$B:$P,6,FALSE)</f>
        <v>Inorganic fertilizer</v>
      </c>
      <c r="V231" s="54" t="str">
        <f>VLOOKUP(Table3[[#This Row],[ACTIVITY]],TAGS!$B:$P,7,FALSE)</f>
        <v>NO</v>
      </c>
      <c r="W231" s="54" t="str">
        <f>VLOOKUP(Table3[[#This Row],[ACTIVITY]],TAGS!$B:$P,8,FALSE)</f>
        <v>PAP</v>
      </c>
      <c r="X231" s="54" t="str">
        <f>VLOOKUP(Table3[[#This Row],[ACTIVITY]],TAGS!$B:$P,10,FALSE)</f>
        <v>PIP</v>
      </c>
      <c r="Y231" s="54" t="str">
        <f>VLOOKUP(Table3[[#This Row],[ACTIVITY]],TAGS!$B:$P,11,FALSE)</f>
        <v>PICS</v>
      </c>
      <c r="Z231" s="54" t="str">
        <f>VLOOKUP(Table3[[#This Row],[ACTIVITY]],TAGS!$B:$P,12,FALSE)</f>
        <v>Consolidation</v>
      </c>
      <c r="AA231" s="54" t="str">
        <f>VLOOKUP(Table3[[#This Row],[ACTIVITY]],TAGS!$B:$P,13,FALSE)</f>
        <v>1. Bayanihan Agri Cluster</v>
      </c>
      <c r="AB231" s="54" t="str">
        <f>VLOOKUP(Table3[[#This Row],[ACTIVITY]],TAGS!$B:$P,14,FALSE)</f>
        <v>EXPAND AND IMPROVE AVAILABLE AGRI-FISHERY AREAS FOR INCREASED PRODUCTION</v>
      </c>
      <c r="AC231" s="54" t="str">
        <f>VLOOKUP(Table3[[#This Row],[ACTIVITY]],TAGS!$B:$P,15,FALSE)</f>
        <v>Farm Inputs</v>
      </c>
      <c r="AD231" s="54" t="str">
        <f>VLOOKUP(Table3[[#This Row],[PI LEVEL 3]],'PI LEVEL'!$A:$G,7,FALSE)</f>
        <v>DA-Level Output</v>
      </c>
      <c r="AE231" s="47" t="s">
        <v>577</v>
      </c>
      <c r="AF231" s="54" t="str">
        <f>VLOOKUP(Table3[[#This Row],[ACTIVITY]],TAGS!$B:$P,3,FALSE)</f>
        <v>kilogram</v>
      </c>
      <c r="AG231" s="47" t="s">
        <v>335</v>
      </c>
      <c r="AH231" s="54" t="str">
        <f>VLOOKUP(Table3[[#This Row],[MONTH]],TAGS!$W$67:$Y$81,2,FALSE)</f>
        <v>3RD QTR</v>
      </c>
      <c r="AI231" s="54" t="str">
        <f>VLOOKUP(Table3[[#This Row],[MONTH]],TAGS!$W$67:$Y$81,3,FALSE)</f>
        <v>2ND SEMESTER</v>
      </c>
      <c r="AJ231" s="54">
        <f>VLOOKUP(Table3[[#This Row],[MONTH]],TAGS!$W$67:$Z$81,4,FALSE)</f>
        <v>2025</v>
      </c>
      <c r="AK231" s="60">
        <v>1200</v>
      </c>
      <c r="AL231" s="54" t="str">
        <f>VLOOKUP(Table3[[#This Row],[ACTIVITY]],TAGS!$B:$R,16,FALSE)</f>
        <v>YES</v>
      </c>
      <c r="AM231" s="60">
        <v>12</v>
      </c>
      <c r="AN231" s="47">
        <v>54</v>
      </c>
      <c r="AO231" s="57">
        <f>SUM(Table3[[#This Row],[MALE BENEFICIARIES]:[FEMALE BENEFICIARIES]])</f>
        <v>0</v>
      </c>
      <c r="AP231" s="62"/>
      <c r="AQ231" s="62"/>
      <c r="AR231" s="62"/>
      <c r="AS231" s="62">
        <v>1</v>
      </c>
      <c r="AT231" s="63" t="str">
        <f>VLOOKUP(Table3[[#This Row],[ACTIVITY]],TAGS!$B:$R,17,FALSE)</f>
        <v>YES</v>
      </c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</row>
    <row r="232" spans="1:65">
      <c r="A232" s="51" t="str">
        <f>VLOOKUP(Table3[[#This Row],[OU]],OU!$A$15:$B$34,2,FALSE)</f>
        <v>RFOs</v>
      </c>
      <c r="B232" s="47" t="s">
        <v>5</v>
      </c>
      <c r="C232" s="47" t="s">
        <v>574</v>
      </c>
      <c r="D232" s="47"/>
      <c r="E232" s="47" t="s">
        <v>22</v>
      </c>
      <c r="F232" s="47" t="s">
        <v>620</v>
      </c>
      <c r="G23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23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21518000</v>
      </c>
      <c r="I232" s="52" t="str">
        <f>VLOOKUP(Table3[[#This Row],[PSGC]],DISTRICT!$D:$G,4,FALSE)</f>
        <v>4th</v>
      </c>
      <c r="J232" s="47" t="s">
        <v>579</v>
      </c>
      <c r="K232" s="51" t="str">
        <f>VLOOKUP(Table3[[#This Row],[SPECIFIC COMMODITY]],TAGS!$W$48:$X$53,2,FALSE)</f>
        <v>Cassava</v>
      </c>
      <c r="L232" s="51" t="str">
        <f>VLOOKUP(Table3[[#This Row],[PREXC SUB-PROGRAM]],Table5[],2,FALSE)</f>
        <v>TECHNICAL AND SUPPORT SERVICES PROGRAM</v>
      </c>
      <c r="M232" s="51" t="str">
        <f>VLOOKUP(Table3[[#This Row],[COMMODITY PREXC SUB-PROGRAM]],TAGS!$U$54:$V$76,2,FALSE)</f>
        <v>PSS</v>
      </c>
      <c r="N232" s="47" t="s">
        <v>580</v>
      </c>
      <c r="O232" s="54" t="str">
        <f>VLOOKUP(Table3[[#This Row],[PI LEVEL 3]],'PI LEVEL'!A:C,3,FALSE)</f>
        <v>Fertilizers and other soil ammendment distributed</v>
      </c>
      <c r="P232" s="54" t="str">
        <f>VLOOKUP(Table3[[#This Row],[PI LEVEL 3]],Table53729[[Performance Indicator Level 3]:[Performance Indicator Level 1]],2,FALSE)</f>
        <v>Fertilizers distributed</v>
      </c>
      <c r="Q232" s="54" t="str">
        <f>VLOOKUP(Table3[[#This Row],[ACTIVITY]],TAGS!B:P,2,FALSE)</f>
        <v>Inorganic fertilizer distributed</v>
      </c>
      <c r="R232" s="47" t="s">
        <v>42</v>
      </c>
      <c r="S232" s="51" t="str">
        <f>VLOOKUP(Table3[[#This Row],[ACTIVITY]],TAGS!$B:$P,4,FALSE)</f>
        <v>Cassava Production Enhancement Project</v>
      </c>
      <c r="T232" s="51" t="str">
        <f>VLOOKUP(Table3[[#This Row],[ACTIVITY]],TAGS!$B:$P,5,FALSE)</f>
        <v>Soil Fertilization</v>
      </c>
      <c r="U232" s="51" t="str">
        <f>VLOOKUP(Table3[[#This Row],[ACTIVITY]],TAGS!$B:$P,6,FALSE)</f>
        <v>Inorganic fertilizer</v>
      </c>
      <c r="V232" s="51" t="str">
        <f>VLOOKUP(Table3[[#This Row],[ACTIVITY]],TAGS!$B:$P,7,FALSE)</f>
        <v>NO</v>
      </c>
      <c r="W232" s="51" t="str">
        <f>VLOOKUP(Table3[[#This Row],[ACTIVITY]],TAGS!$B:$P,8,FALSE)</f>
        <v>PAP</v>
      </c>
      <c r="X232" s="51" t="str">
        <f>VLOOKUP(Table3[[#This Row],[ACTIVITY]],TAGS!$B:$P,10,FALSE)</f>
        <v>PIP</v>
      </c>
      <c r="Y232" s="51" t="str">
        <f>VLOOKUP(Table3[[#This Row],[ACTIVITY]],TAGS!$B:$P,11,FALSE)</f>
        <v>PICS</v>
      </c>
      <c r="Z232" s="51" t="str">
        <f>VLOOKUP(Table3[[#This Row],[ACTIVITY]],TAGS!$B:$P,12,FALSE)</f>
        <v>Consolidation</v>
      </c>
      <c r="AA232" s="51" t="str">
        <f>VLOOKUP(Table3[[#This Row],[ACTIVITY]],TAGS!$B:$P,13,FALSE)</f>
        <v>1. Bayanihan Agri Cluster</v>
      </c>
      <c r="AB232" s="51" t="str">
        <f>VLOOKUP(Table3[[#This Row],[ACTIVITY]],TAGS!$B:$P,14,FALSE)</f>
        <v>EXPAND AND IMPROVE AVAILABLE AGRI-FISHERY AREAS FOR INCREASED PRODUCTION</v>
      </c>
      <c r="AC232" s="51" t="str">
        <f>VLOOKUP(Table3[[#This Row],[ACTIVITY]],TAGS!$B:$P,15,FALSE)</f>
        <v>Farm Inputs</v>
      </c>
      <c r="AD232" s="51" t="str">
        <f>VLOOKUP(Table3[[#This Row],[PI LEVEL 3]],'PI LEVEL'!$A:$G,7,FALSE)</f>
        <v>DA-Level Output</v>
      </c>
      <c r="AE232" s="47" t="s">
        <v>577</v>
      </c>
      <c r="AF232" s="51" t="str">
        <f>VLOOKUP(Table3[[#This Row],[ACTIVITY]],TAGS!$B:$P,3,FALSE)</f>
        <v>kilogram</v>
      </c>
      <c r="AG232" s="47" t="s">
        <v>335</v>
      </c>
      <c r="AH232" s="51" t="str">
        <f>VLOOKUP(Table3[[#This Row],[MONTH]],TAGS!$W$67:$Y$81,2,FALSE)</f>
        <v>3RD QTR</v>
      </c>
      <c r="AI232" s="51" t="str">
        <f>VLOOKUP(Table3[[#This Row],[MONTH]],TAGS!$W$67:$Y$81,3,FALSE)</f>
        <v>2ND SEMESTER</v>
      </c>
      <c r="AJ232" s="51">
        <f>VLOOKUP(Table3[[#This Row],[MONTH]],TAGS!$W$67:$Z$81,4,FALSE)</f>
        <v>2025</v>
      </c>
      <c r="AK232" s="47">
        <v>650</v>
      </c>
      <c r="AL232" s="51" t="str">
        <f>VLOOKUP(Table3[[#This Row],[ACTIVITY]],TAGS!$B:$R,16,FALSE)</f>
        <v>YES</v>
      </c>
      <c r="AM232" s="47">
        <v>6.5</v>
      </c>
      <c r="AN232" s="47">
        <v>29.25</v>
      </c>
      <c r="AO232" s="57">
        <f>SUM(Table3[[#This Row],[MALE BENEFICIARIES]:[FEMALE BENEFICIARIES]])</f>
        <v>0</v>
      </c>
      <c r="AP232" s="58"/>
      <c r="AQ232" s="58"/>
      <c r="AR232" s="58"/>
      <c r="AS232" s="58">
        <v>1</v>
      </c>
      <c r="AT232" s="59">
        <v>6.5</v>
      </c>
      <c r="AU232" s="59"/>
      <c r="AV232" s="59"/>
      <c r="AW232" s="59"/>
      <c r="AX232" s="59"/>
      <c r="AY232" s="59"/>
      <c r="AZ232" s="59"/>
      <c r="BA232" s="59"/>
      <c r="BB232" s="59"/>
      <c r="BC232" s="59"/>
      <c r="BD232" s="59"/>
      <c r="BE232" s="59"/>
      <c r="BF232" s="59"/>
      <c r="BG232" s="59"/>
      <c r="BH232" s="59"/>
      <c r="BI232" s="59"/>
      <c r="BJ232" s="59"/>
      <c r="BK232" s="59"/>
      <c r="BL232" s="59"/>
      <c r="BM232" s="59"/>
    </row>
    <row r="233" spans="1:65">
      <c r="A233" s="51" t="str">
        <f>VLOOKUP(Table3[[#This Row],[OU]],OU!$A$15:$B$34,2,FALSE)</f>
        <v>RFOs</v>
      </c>
      <c r="B233" s="47" t="s">
        <v>5</v>
      </c>
      <c r="C233" s="47" t="s">
        <v>574</v>
      </c>
      <c r="D233" s="47"/>
      <c r="E233" s="47" t="s">
        <v>43</v>
      </c>
      <c r="F233" s="47" t="s">
        <v>630</v>
      </c>
      <c r="G23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23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23114000</v>
      </c>
      <c r="I233" s="52" t="str">
        <f>VLOOKUP(Table3[[#This Row],[PSGC]],DISTRICT!$D:$G,4,FALSE)</f>
        <v>1st</v>
      </c>
      <c r="J233" s="47" t="s">
        <v>579</v>
      </c>
      <c r="K233" s="51" t="str">
        <f>VLOOKUP(Table3[[#This Row],[SPECIFIC COMMODITY]],TAGS!$W$48:$X$53,2,FALSE)</f>
        <v>Cassava</v>
      </c>
      <c r="L233" s="51" t="str">
        <f>VLOOKUP(Table3[[#This Row],[PREXC SUB-PROGRAM]],Table5[],2,FALSE)</f>
        <v>TECHNICAL AND SUPPORT SERVICES PROGRAM</v>
      </c>
      <c r="M233" s="51" t="str">
        <f>VLOOKUP(Table3[[#This Row],[COMMODITY PREXC SUB-PROGRAM]],TAGS!$U$54:$V$76,2,FALSE)</f>
        <v>PSS</v>
      </c>
      <c r="N233" s="47" t="s">
        <v>580</v>
      </c>
      <c r="O233" s="54" t="str">
        <f>VLOOKUP(Table3[[#This Row],[PI LEVEL 3]],'PI LEVEL'!A:C,3,FALSE)</f>
        <v>Fertilizers and other soil ammendment distributed</v>
      </c>
      <c r="P233" s="54" t="str">
        <f>VLOOKUP(Table3[[#This Row],[PI LEVEL 3]],Table53729[[Performance Indicator Level 3]:[Performance Indicator Level 1]],2,FALSE)</f>
        <v>Fertilizers distributed</v>
      </c>
      <c r="Q233" s="54" t="str">
        <f>VLOOKUP(Table3[[#This Row],[ACTIVITY]],TAGS!B:P,2,FALSE)</f>
        <v>Inorganic fertilizer distributed</v>
      </c>
      <c r="R233" s="47" t="s">
        <v>42</v>
      </c>
      <c r="S233" s="51" t="str">
        <f>VLOOKUP(Table3[[#This Row],[ACTIVITY]],TAGS!$B:$P,4,FALSE)</f>
        <v>Cassava Production Enhancement Project</v>
      </c>
      <c r="T233" s="51" t="str">
        <f>VLOOKUP(Table3[[#This Row],[ACTIVITY]],TAGS!$B:$P,5,FALSE)</f>
        <v>Soil Fertilization</v>
      </c>
      <c r="U233" s="51" t="str">
        <f>VLOOKUP(Table3[[#This Row],[ACTIVITY]],TAGS!$B:$P,6,FALSE)</f>
        <v>Inorganic fertilizer</v>
      </c>
      <c r="V233" s="51" t="str">
        <f>VLOOKUP(Table3[[#This Row],[ACTIVITY]],TAGS!$B:$P,7,FALSE)</f>
        <v>NO</v>
      </c>
      <c r="W233" s="51" t="str">
        <f>VLOOKUP(Table3[[#This Row],[ACTIVITY]],TAGS!$B:$P,8,FALSE)</f>
        <v>PAP</v>
      </c>
      <c r="X233" s="51" t="str">
        <f>VLOOKUP(Table3[[#This Row],[ACTIVITY]],TAGS!$B:$P,10,FALSE)</f>
        <v>PIP</v>
      </c>
      <c r="Y233" s="51" t="str">
        <f>VLOOKUP(Table3[[#This Row],[ACTIVITY]],TAGS!$B:$P,11,FALSE)</f>
        <v>PICS</v>
      </c>
      <c r="Z233" s="51" t="str">
        <f>VLOOKUP(Table3[[#This Row],[ACTIVITY]],TAGS!$B:$P,12,FALSE)</f>
        <v>Consolidation</v>
      </c>
      <c r="AA233" s="51" t="str">
        <f>VLOOKUP(Table3[[#This Row],[ACTIVITY]],TAGS!$B:$P,13,FALSE)</f>
        <v>1. Bayanihan Agri Cluster</v>
      </c>
      <c r="AB233" s="51" t="str">
        <f>VLOOKUP(Table3[[#This Row],[ACTIVITY]],TAGS!$B:$P,14,FALSE)</f>
        <v>EXPAND AND IMPROVE AVAILABLE AGRI-FISHERY AREAS FOR INCREASED PRODUCTION</v>
      </c>
      <c r="AC233" s="51" t="str">
        <f>VLOOKUP(Table3[[#This Row],[ACTIVITY]],TAGS!$B:$P,15,FALSE)</f>
        <v>Farm Inputs</v>
      </c>
      <c r="AD233" s="51" t="str">
        <f>VLOOKUP(Table3[[#This Row],[PI LEVEL 3]],'PI LEVEL'!$A:$G,7,FALSE)</f>
        <v>DA-Level Output</v>
      </c>
      <c r="AE233" s="47" t="s">
        <v>577</v>
      </c>
      <c r="AF233" s="51" t="str">
        <f>VLOOKUP(Table3[[#This Row],[ACTIVITY]],TAGS!$B:$P,3,FALSE)</f>
        <v>kilogram</v>
      </c>
      <c r="AG233" s="47" t="s">
        <v>332</v>
      </c>
      <c r="AH233" s="51" t="str">
        <f>VLOOKUP(Table3[[#This Row],[MONTH]],TAGS!$W$67:$Y$81,2,FALSE)</f>
        <v>2ND QTR</v>
      </c>
      <c r="AI233" s="51" t="str">
        <f>VLOOKUP(Table3[[#This Row],[MONTH]],TAGS!$W$67:$Y$81,3,FALSE)</f>
        <v>1ST SEMESTER</v>
      </c>
      <c r="AJ233" s="51">
        <f>VLOOKUP(Table3[[#This Row],[MONTH]],TAGS!$W$67:$Z$81,4,FALSE)</f>
        <v>2025</v>
      </c>
      <c r="AK233" s="47">
        <v>1600</v>
      </c>
      <c r="AL233" s="51" t="str">
        <f>VLOOKUP(Table3[[#This Row],[ACTIVITY]],TAGS!$B:$R,16,FALSE)</f>
        <v>YES</v>
      </c>
      <c r="AM233" s="47">
        <v>16</v>
      </c>
      <c r="AN233" s="47">
        <v>72</v>
      </c>
      <c r="AO233" s="57">
        <f>SUM(Table3[[#This Row],[MALE BENEFICIARIES]:[FEMALE BENEFICIARIES]])</f>
        <v>0</v>
      </c>
      <c r="AP233" s="58"/>
      <c r="AQ233" s="58"/>
      <c r="AR233" s="58"/>
      <c r="AS233" s="58">
        <v>1</v>
      </c>
      <c r="AT233" s="59">
        <v>66</v>
      </c>
      <c r="AU233" s="59"/>
      <c r="AV233" s="59"/>
      <c r="AW233" s="59"/>
      <c r="AX233" s="59"/>
      <c r="AY233" s="59"/>
      <c r="AZ233" s="59"/>
      <c r="BA233" s="59"/>
      <c r="BB233" s="59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</row>
    <row r="234" spans="1:65">
      <c r="A234" s="54" t="str">
        <f>VLOOKUP(Table3[[#This Row],[OU]],OU!$A$15:$B$34,2,FALSE)</f>
        <v>RFOs</v>
      </c>
      <c r="B234" s="47" t="s">
        <v>5</v>
      </c>
      <c r="C234" s="47" t="s">
        <v>574</v>
      </c>
      <c r="D234" s="60"/>
      <c r="E234" s="47" t="s">
        <v>43</v>
      </c>
      <c r="F234" s="47" t="s">
        <v>630</v>
      </c>
      <c r="G23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234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23114000</v>
      </c>
      <c r="I234" s="61" t="str">
        <f>VLOOKUP(Table3[[#This Row],[PSGC]],DISTRICT!$D:$G,4,FALSE)</f>
        <v>1st</v>
      </c>
      <c r="J234" s="47" t="s">
        <v>579</v>
      </c>
      <c r="K234" s="51" t="str">
        <f>VLOOKUP(Table3[[#This Row],[SPECIFIC COMMODITY]],TAGS!$W$48:$X$53,2,FALSE)</f>
        <v>Cassava</v>
      </c>
      <c r="L234" s="51" t="str">
        <f>VLOOKUP(Table3[[#This Row],[PREXC SUB-PROGRAM]],Table5[],2,FALSE)</f>
        <v>TECHNICAL AND SUPPORT SERVICES PROGRAM</v>
      </c>
      <c r="M234" s="51" t="str">
        <f>VLOOKUP(Table3[[#This Row],[COMMODITY PREXC SUB-PROGRAM]],TAGS!$U$54:$V$76,2,FALSE)</f>
        <v>PSS</v>
      </c>
      <c r="N234" s="47" t="s">
        <v>580</v>
      </c>
      <c r="O234" s="54" t="str">
        <f>VLOOKUP(Table3[[#This Row],[PI LEVEL 3]],'PI LEVEL'!A:C,3,FALSE)</f>
        <v>Fertilizers and other soil ammendment distributed</v>
      </c>
      <c r="P234" s="54" t="str">
        <f>VLOOKUP(Table3[[#This Row],[PI LEVEL 3]],Table53729[[Performance Indicator Level 3]:[Performance Indicator Level 1]],2,FALSE)</f>
        <v>Fertilizers distributed</v>
      </c>
      <c r="Q234" s="54" t="str">
        <f>VLOOKUP(Table3[[#This Row],[ACTIVITY]],TAGS!B:P,2,FALSE)</f>
        <v>Inorganic fertilizer distributed</v>
      </c>
      <c r="R234" s="47" t="s">
        <v>42</v>
      </c>
      <c r="S234" s="54" t="str">
        <f>VLOOKUP(Table3[[#This Row],[ACTIVITY]],TAGS!$B:$P,4,FALSE)</f>
        <v>Cassava Production Enhancement Project</v>
      </c>
      <c r="T234" s="54" t="str">
        <f>VLOOKUP(Table3[[#This Row],[ACTIVITY]],TAGS!$B:$P,5,FALSE)</f>
        <v>Soil Fertilization</v>
      </c>
      <c r="U234" s="54" t="str">
        <f>VLOOKUP(Table3[[#This Row],[ACTIVITY]],TAGS!$B:$P,6,FALSE)</f>
        <v>Inorganic fertilizer</v>
      </c>
      <c r="V234" s="54" t="str">
        <f>VLOOKUP(Table3[[#This Row],[ACTIVITY]],TAGS!$B:$P,7,FALSE)</f>
        <v>NO</v>
      </c>
      <c r="W234" s="54" t="str">
        <f>VLOOKUP(Table3[[#This Row],[ACTIVITY]],TAGS!$B:$P,8,FALSE)</f>
        <v>PAP</v>
      </c>
      <c r="X234" s="54" t="str">
        <f>VLOOKUP(Table3[[#This Row],[ACTIVITY]],TAGS!$B:$P,10,FALSE)</f>
        <v>PIP</v>
      </c>
      <c r="Y234" s="54" t="str">
        <f>VLOOKUP(Table3[[#This Row],[ACTIVITY]],TAGS!$B:$P,11,FALSE)</f>
        <v>PICS</v>
      </c>
      <c r="Z234" s="54" t="str">
        <f>VLOOKUP(Table3[[#This Row],[ACTIVITY]],TAGS!$B:$P,12,FALSE)</f>
        <v>Consolidation</v>
      </c>
      <c r="AA234" s="54" t="str">
        <f>VLOOKUP(Table3[[#This Row],[ACTIVITY]],TAGS!$B:$P,13,FALSE)</f>
        <v>1. Bayanihan Agri Cluster</v>
      </c>
      <c r="AB234" s="54" t="str">
        <f>VLOOKUP(Table3[[#This Row],[ACTIVITY]],TAGS!$B:$P,14,FALSE)</f>
        <v>EXPAND AND IMPROVE AVAILABLE AGRI-FISHERY AREAS FOR INCREASED PRODUCTION</v>
      </c>
      <c r="AC234" s="54" t="str">
        <f>VLOOKUP(Table3[[#This Row],[ACTIVITY]],TAGS!$B:$P,15,FALSE)</f>
        <v>Farm Inputs</v>
      </c>
      <c r="AD234" s="54" t="str">
        <f>VLOOKUP(Table3[[#This Row],[PI LEVEL 3]],'PI LEVEL'!$A:$G,7,FALSE)</f>
        <v>DA-Level Output</v>
      </c>
      <c r="AE234" s="47" t="s">
        <v>577</v>
      </c>
      <c r="AF234" s="54" t="str">
        <f>VLOOKUP(Table3[[#This Row],[ACTIVITY]],TAGS!$B:$P,3,FALSE)</f>
        <v>kilogram</v>
      </c>
      <c r="AG234" s="47" t="s">
        <v>333</v>
      </c>
      <c r="AH234" s="54" t="str">
        <f>VLOOKUP(Table3[[#This Row],[MONTH]],TAGS!$W$67:$Y$81,2,FALSE)</f>
        <v>3RD QTR</v>
      </c>
      <c r="AI234" s="54" t="str">
        <f>VLOOKUP(Table3[[#This Row],[MONTH]],TAGS!$W$67:$Y$81,3,FALSE)</f>
        <v>2ND SEMESTER</v>
      </c>
      <c r="AJ234" s="54">
        <f>VLOOKUP(Table3[[#This Row],[MONTH]],TAGS!$W$67:$Z$81,4,FALSE)</f>
        <v>2025</v>
      </c>
      <c r="AK234" s="60">
        <v>5000</v>
      </c>
      <c r="AL234" s="54" t="str">
        <f>VLOOKUP(Table3[[#This Row],[ACTIVITY]],TAGS!$B:$R,16,FALSE)</f>
        <v>YES</v>
      </c>
      <c r="AM234" s="60">
        <v>50</v>
      </c>
      <c r="AN234" s="60">
        <v>225</v>
      </c>
      <c r="AO234" s="57">
        <f>SUM(Table3[[#This Row],[MALE BENEFICIARIES]:[FEMALE BENEFICIARIES]])</f>
        <v>0</v>
      </c>
      <c r="AP234" s="62"/>
      <c r="AQ234" s="62"/>
      <c r="AR234" s="62"/>
      <c r="AS234" s="62">
        <v>1</v>
      </c>
      <c r="AT234" s="63">
        <v>50</v>
      </c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63"/>
      <c r="BF234" s="63"/>
      <c r="BG234" s="63"/>
      <c r="BH234" s="63"/>
      <c r="BI234" s="63"/>
      <c r="BJ234" s="63"/>
      <c r="BK234" s="63"/>
      <c r="BL234" s="63"/>
      <c r="BM234" s="63"/>
    </row>
    <row r="235" spans="1:65">
      <c r="A235" s="51" t="str">
        <f>VLOOKUP(Table3[[#This Row],[OU]],OU!$A$15:$B$34,2,FALSE)</f>
        <v>RFOs</v>
      </c>
      <c r="B235" s="47" t="s">
        <v>5</v>
      </c>
      <c r="C235" s="47" t="s">
        <v>574</v>
      </c>
      <c r="D235" s="47"/>
      <c r="E235" s="47" t="s">
        <v>43</v>
      </c>
      <c r="F235" s="47" t="s">
        <v>641</v>
      </c>
      <c r="G23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23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23137000</v>
      </c>
      <c r="I235" s="52" t="str">
        <f>VLOOKUP(Table3[[#This Row],[PSGC]],DISTRICT!$D:$G,4,FALSE)</f>
        <v>1st</v>
      </c>
      <c r="J235" s="47" t="s">
        <v>579</v>
      </c>
      <c r="K235" s="51" t="str">
        <f>VLOOKUP(Table3[[#This Row],[SPECIFIC COMMODITY]],TAGS!$W$48:$X$53,2,FALSE)</f>
        <v>Cassava</v>
      </c>
      <c r="L235" s="51" t="str">
        <f>VLOOKUP(Table3[[#This Row],[PREXC SUB-PROGRAM]],Table5[],2,FALSE)</f>
        <v>TECHNICAL AND SUPPORT SERVICES PROGRAM</v>
      </c>
      <c r="M235" s="51" t="str">
        <f>VLOOKUP(Table3[[#This Row],[COMMODITY PREXC SUB-PROGRAM]],TAGS!$U$54:$V$76,2,FALSE)</f>
        <v>PSS</v>
      </c>
      <c r="N235" s="47" t="s">
        <v>580</v>
      </c>
      <c r="O235" s="54" t="str">
        <f>VLOOKUP(Table3[[#This Row],[PI LEVEL 3]],'PI LEVEL'!A:C,3,FALSE)</f>
        <v>Fertilizers and other soil ammendment distributed</v>
      </c>
      <c r="P235" s="54" t="str">
        <f>VLOOKUP(Table3[[#This Row],[PI LEVEL 3]],Table53729[[Performance Indicator Level 3]:[Performance Indicator Level 1]],2,FALSE)</f>
        <v>Fertilizers distributed</v>
      </c>
      <c r="Q235" s="54" t="str">
        <f>VLOOKUP(Table3[[#This Row],[ACTIVITY]],TAGS!B:P,2,FALSE)</f>
        <v>Inorganic fertilizer distributed</v>
      </c>
      <c r="R235" s="47" t="s">
        <v>42</v>
      </c>
      <c r="S235" s="51" t="str">
        <f>VLOOKUP(Table3[[#This Row],[ACTIVITY]],TAGS!$B:$P,4,FALSE)</f>
        <v>Cassava Production Enhancement Project</v>
      </c>
      <c r="T235" s="51" t="str">
        <f>VLOOKUP(Table3[[#This Row],[ACTIVITY]],TAGS!$B:$P,5,FALSE)</f>
        <v>Soil Fertilization</v>
      </c>
      <c r="U235" s="51" t="str">
        <f>VLOOKUP(Table3[[#This Row],[ACTIVITY]],TAGS!$B:$P,6,FALSE)</f>
        <v>Inorganic fertilizer</v>
      </c>
      <c r="V235" s="51" t="str">
        <f>VLOOKUP(Table3[[#This Row],[ACTIVITY]],TAGS!$B:$P,7,FALSE)</f>
        <v>NO</v>
      </c>
      <c r="W235" s="51" t="str">
        <f>VLOOKUP(Table3[[#This Row],[ACTIVITY]],TAGS!$B:$P,8,FALSE)</f>
        <v>PAP</v>
      </c>
      <c r="X235" s="51" t="str">
        <f>VLOOKUP(Table3[[#This Row],[ACTIVITY]],TAGS!$B:$P,10,FALSE)</f>
        <v>PIP</v>
      </c>
      <c r="Y235" s="51" t="str">
        <f>VLOOKUP(Table3[[#This Row],[ACTIVITY]],TAGS!$B:$P,11,FALSE)</f>
        <v>PICS</v>
      </c>
      <c r="Z235" s="51" t="str">
        <f>VLOOKUP(Table3[[#This Row],[ACTIVITY]],TAGS!$B:$P,12,FALSE)</f>
        <v>Consolidation</v>
      </c>
      <c r="AA235" s="51" t="str">
        <f>VLOOKUP(Table3[[#This Row],[ACTIVITY]],TAGS!$B:$P,13,FALSE)</f>
        <v>1. Bayanihan Agri Cluster</v>
      </c>
      <c r="AB235" s="51" t="str">
        <f>VLOOKUP(Table3[[#This Row],[ACTIVITY]],TAGS!$B:$P,14,FALSE)</f>
        <v>EXPAND AND IMPROVE AVAILABLE AGRI-FISHERY AREAS FOR INCREASED PRODUCTION</v>
      </c>
      <c r="AC235" s="51" t="str">
        <f>VLOOKUP(Table3[[#This Row],[ACTIVITY]],TAGS!$B:$P,15,FALSE)</f>
        <v>Farm Inputs</v>
      </c>
      <c r="AD235" s="51" t="str">
        <f>VLOOKUP(Table3[[#This Row],[PI LEVEL 3]],'PI LEVEL'!$A:$G,7,FALSE)</f>
        <v>DA-Level Output</v>
      </c>
      <c r="AE235" s="47" t="s">
        <v>577</v>
      </c>
      <c r="AF235" s="51" t="str">
        <f>VLOOKUP(Table3[[#This Row],[ACTIVITY]],TAGS!$B:$P,3,FALSE)</f>
        <v>kilogram</v>
      </c>
      <c r="AG235" s="47" t="s">
        <v>332</v>
      </c>
      <c r="AH235" s="51" t="str">
        <f>VLOOKUP(Table3[[#This Row],[MONTH]],TAGS!$W$67:$Y$81,2,FALSE)</f>
        <v>2ND QTR</v>
      </c>
      <c r="AI235" s="51" t="str">
        <f>VLOOKUP(Table3[[#This Row],[MONTH]],TAGS!$W$67:$Y$81,3,FALSE)</f>
        <v>1ST SEMESTER</v>
      </c>
      <c r="AJ235" s="51">
        <f>VLOOKUP(Table3[[#This Row],[MONTH]],TAGS!$W$67:$Z$81,4,FALSE)</f>
        <v>2025</v>
      </c>
      <c r="AK235" s="47">
        <v>4800</v>
      </c>
      <c r="AL235" s="51" t="str">
        <f>VLOOKUP(Table3[[#This Row],[ACTIVITY]],TAGS!$B:$R,16,FALSE)</f>
        <v>YES</v>
      </c>
      <c r="AM235" s="47">
        <v>48</v>
      </c>
      <c r="AN235" s="47">
        <v>216</v>
      </c>
      <c r="AO235" s="57">
        <f>SUM(Table3[[#This Row],[MALE BENEFICIARIES]:[FEMALE BENEFICIARIES]])</f>
        <v>0</v>
      </c>
      <c r="AP235" s="58"/>
      <c r="AQ235" s="58"/>
      <c r="AR235" s="58"/>
      <c r="AS235" s="58">
        <v>1</v>
      </c>
      <c r="AT235" s="59">
        <v>48</v>
      </c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</row>
    <row r="236" spans="1:65">
      <c r="A236" s="51" t="str">
        <f>VLOOKUP(Table3[[#This Row],[OU]],OU!$A$15:$B$34,2,FALSE)</f>
        <v>RFOs</v>
      </c>
      <c r="B236" s="47" t="s">
        <v>5</v>
      </c>
      <c r="C236" s="47" t="s">
        <v>574</v>
      </c>
      <c r="D236" s="47"/>
      <c r="E236" s="47" t="s">
        <v>43</v>
      </c>
      <c r="F236" s="47" t="s">
        <v>661</v>
      </c>
      <c r="G23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23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23118000</v>
      </c>
      <c r="I236" s="52" t="str">
        <f>VLOOKUP(Table3[[#This Row],[PSGC]],DISTRICT!$D:$G,4,FALSE)</f>
        <v>4th</v>
      </c>
      <c r="J236" s="47" t="s">
        <v>579</v>
      </c>
      <c r="K236" s="51" t="str">
        <f>VLOOKUP(Table3[[#This Row],[SPECIFIC COMMODITY]],TAGS!$W$48:$X$53,2,FALSE)</f>
        <v>Cassava</v>
      </c>
      <c r="L236" s="51" t="str">
        <f>VLOOKUP(Table3[[#This Row],[PREXC SUB-PROGRAM]],Table5[],2,FALSE)</f>
        <v>TECHNICAL AND SUPPORT SERVICES PROGRAM</v>
      </c>
      <c r="M236" s="51" t="str">
        <f>VLOOKUP(Table3[[#This Row],[COMMODITY PREXC SUB-PROGRAM]],TAGS!$U$54:$V$76,2,FALSE)</f>
        <v>PSS</v>
      </c>
      <c r="N236" s="47" t="s">
        <v>580</v>
      </c>
      <c r="O236" s="54" t="str">
        <f>VLOOKUP(Table3[[#This Row],[PI LEVEL 3]],'PI LEVEL'!A:C,3,FALSE)</f>
        <v>Fertilizers and other soil ammendment distributed</v>
      </c>
      <c r="P236" s="54" t="str">
        <f>VLOOKUP(Table3[[#This Row],[PI LEVEL 3]],Table53729[[Performance Indicator Level 3]:[Performance Indicator Level 1]],2,FALSE)</f>
        <v>Fertilizers distributed</v>
      </c>
      <c r="Q236" s="54" t="str">
        <f>VLOOKUP(Table3[[#This Row],[ACTIVITY]],TAGS!B:P,2,FALSE)</f>
        <v>Inorganic fertilizer distributed</v>
      </c>
      <c r="R236" s="47" t="s">
        <v>42</v>
      </c>
      <c r="S236" s="51" t="str">
        <f>VLOOKUP(Table3[[#This Row],[ACTIVITY]],TAGS!$B:$P,4,FALSE)</f>
        <v>Cassava Production Enhancement Project</v>
      </c>
      <c r="T236" s="51" t="str">
        <f>VLOOKUP(Table3[[#This Row],[ACTIVITY]],TAGS!$B:$P,5,FALSE)</f>
        <v>Soil Fertilization</v>
      </c>
      <c r="U236" s="51" t="str">
        <f>VLOOKUP(Table3[[#This Row],[ACTIVITY]],TAGS!$B:$P,6,FALSE)</f>
        <v>Inorganic fertilizer</v>
      </c>
      <c r="V236" s="51" t="str">
        <f>VLOOKUP(Table3[[#This Row],[ACTIVITY]],TAGS!$B:$P,7,FALSE)</f>
        <v>NO</v>
      </c>
      <c r="W236" s="51" t="str">
        <f>VLOOKUP(Table3[[#This Row],[ACTIVITY]],TAGS!$B:$P,8,FALSE)</f>
        <v>PAP</v>
      </c>
      <c r="X236" s="51" t="str">
        <f>VLOOKUP(Table3[[#This Row],[ACTIVITY]],TAGS!$B:$P,10,FALSE)</f>
        <v>PIP</v>
      </c>
      <c r="Y236" s="51" t="str">
        <f>VLOOKUP(Table3[[#This Row],[ACTIVITY]],TAGS!$B:$P,11,FALSE)</f>
        <v>PICS</v>
      </c>
      <c r="Z236" s="51" t="str">
        <f>VLOOKUP(Table3[[#This Row],[ACTIVITY]],TAGS!$B:$P,12,FALSE)</f>
        <v>Consolidation</v>
      </c>
      <c r="AA236" s="51" t="str">
        <f>VLOOKUP(Table3[[#This Row],[ACTIVITY]],TAGS!$B:$P,13,FALSE)</f>
        <v>1. Bayanihan Agri Cluster</v>
      </c>
      <c r="AB236" s="51" t="str">
        <f>VLOOKUP(Table3[[#This Row],[ACTIVITY]],TAGS!$B:$P,14,FALSE)</f>
        <v>EXPAND AND IMPROVE AVAILABLE AGRI-FISHERY AREAS FOR INCREASED PRODUCTION</v>
      </c>
      <c r="AC236" s="51" t="str">
        <f>VLOOKUP(Table3[[#This Row],[ACTIVITY]],TAGS!$B:$P,15,FALSE)</f>
        <v>Farm Inputs</v>
      </c>
      <c r="AD236" s="51" t="str">
        <f>VLOOKUP(Table3[[#This Row],[PI LEVEL 3]],'PI LEVEL'!$A:$G,7,FALSE)</f>
        <v>DA-Level Output</v>
      </c>
      <c r="AE236" s="47" t="s">
        <v>577</v>
      </c>
      <c r="AF236" s="51" t="str">
        <f>VLOOKUP(Table3[[#This Row],[ACTIVITY]],TAGS!$B:$P,3,FALSE)</f>
        <v>kilogram</v>
      </c>
      <c r="AG236" s="47" t="s">
        <v>332</v>
      </c>
      <c r="AH236" s="51" t="str">
        <f>VLOOKUP(Table3[[#This Row],[MONTH]],TAGS!$W$67:$Y$81,2,FALSE)</f>
        <v>2ND QTR</v>
      </c>
      <c r="AI236" s="51" t="str">
        <f>VLOOKUP(Table3[[#This Row],[MONTH]],TAGS!$W$67:$Y$81,3,FALSE)</f>
        <v>1ST SEMESTER</v>
      </c>
      <c r="AJ236" s="51">
        <f>VLOOKUP(Table3[[#This Row],[MONTH]],TAGS!$W$67:$Z$81,4,FALSE)</f>
        <v>2025</v>
      </c>
      <c r="AK236" s="47">
        <v>2500</v>
      </c>
      <c r="AL236" s="51" t="str">
        <f>VLOOKUP(Table3[[#This Row],[ACTIVITY]],TAGS!$B:$R,16,FALSE)</f>
        <v>YES</v>
      </c>
      <c r="AM236" s="47">
        <v>25</v>
      </c>
      <c r="AN236" s="47">
        <v>112.5</v>
      </c>
      <c r="AO236" s="57">
        <f>SUM(Table3[[#This Row],[MALE BENEFICIARIES]:[FEMALE BENEFICIARIES]])</f>
        <v>0</v>
      </c>
      <c r="AP236" s="58"/>
      <c r="AQ236" s="58"/>
      <c r="AR236" s="58"/>
      <c r="AS236" s="58">
        <v>1</v>
      </c>
      <c r="AT236" s="59">
        <v>25</v>
      </c>
      <c r="AU236" s="59"/>
      <c r="AV236" s="59"/>
      <c r="AW236" s="59"/>
      <c r="AX236" s="59"/>
      <c r="AY236" s="59"/>
      <c r="AZ236" s="59"/>
      <c r="BA236" s="59"/>
      <c r="BB236" s="59"/>
      <c r="BC236" s="59"/>
      <c r="BD236" s="59"/>
      <c r="BE236" s="59"/>
      <c r="BF236" s="59"/>
      <c r="BG236" s="59"/>
      <c r="BH236" s="59"/>
      <c r="BI236" s="59"/>
      <c r="BJ236" s="59"/>
      <c r="BK236" s="59"/>
      <c r="BL236" s="59"/>
      <c r="BM236" s="59"/>
    </row>
    <row r="237" spans="1:65">
      <c r="A237" s="51" t="str">
        <f>VLOOKUP(Table3[[#This Row],[OU]],OU!$A$15:$B$34,2,FALSE)</f>
        <v>RFOs</v>
      </c>
      <c r="B237" s="47" t="s">
        <v>5</v>
      </c>
      <c r="C237" s="47" t="s">
        <v>574</v>
      </c>
      <c r="D237" s="47"/>
      <c r="E237" s="47" t="s">
        <v>43</v>
      </c>
      <c r="F237" s="47" t="s">
        <v>664</v>
      </c>
      <c r="G23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23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23120000</v>
      </c>
      <c r="I237" s="52" t="str">
        <f>VLOOKUP(Table3[[#This Row],[PSGC]],DISTRICT!$D:$G,4,FALSE)</f>
        <v>4th</v>
      </c>
      <c r="J237" s="47" t="s">
        <v>579</v>
      </c>
      <c r="K237" s="51" t="str">
        <f>VLOOKUP(Table3[[#This Row],[SPECIFIC COMMODITY]],TAGS!$W$48:$X$53,2,FALSE)</f>
        <v>Cassava</v>
      </c>
      <c r="L237" s="51" t="str">
        <f>VLOOKUP(Table3[[#This Row],[PREXC SUB-PROGRAM]],Table5[],2,FALSE)</f>
        <v>TECHNICAL AND SUPPORT SERVICES PROGRAM</v>
      </c>
      <c r="M237" s="51" t="str">
        <f>VLOOKUP(Table3[[#This Row],[COMMODITY PREXC SUB-PROGRAM]],TAGS!$U$54:$V$76,2,FALSE)</f>
        <v>PSS</v>
      </c>
      <c r="N237" s="47" t="s">
        <v>580</v>
      </c>
      <c r="O237" s="54" t="str">
        <f>VLOOKUP(Table3[[#This Row],[PI LEVEL 3]],'PI LEVEL'!A:C,3,FALSE)</f>
        <v>Fertilizers and other soil ammendment distributed</v>
      </c>
      <c r="P237" s="54" t="str">
        <f>VLOOKUP(Table3[[#This Row],[PI LEVEL 3]],Table53729[[Performance Indicator Level 3]:[Performance Indicator Level 1]],2,FALSE)</f>
        <v>Fertilizers distributed</v>
      </c>
      <c r="Q237" s="54" t="str">
        <f>VLOOKUP(Table3[[#This Row],[ACTIVITY]],TAGS!B:P,2,FALSE)</f>
        <v>Inorganic fertilizer distributed</v>
      </c>
      <c r="R237" s="47" t="s">
        <v>42</v>
      </c>
      <c r="S237" s="51" t="str">
        <f>VLOOKUP(Table3[[#This Row],[ACTIVITY]],TAGS!$B:$P,4,FALSE)</f>
        <v>Cassava Production Enhancement Project</v>
      </c>
      <c r="T237" s="51" t="str">
        <f>VLOOKUP(Table3[[#This Row],[ACTIVITY]],TAGS!$B:$P,5,FALSE)</f>
        <v>Soil Fertilization</v>
      </c>
      <c r="U237" s="51" t="str">
        <f>VLOOKUP(Table3[[#This Row],[ACTIVITY]],TAGS!$B:$P,6,FALSE)</f>
        <v>Inorganic fertilizer</v>
      </c>
      <c r="V237" s="51" t="str">
        <f>VLOOKUP(Table3[[#This Row],[ACTIVITY]],TAGS!$B:$P,7,FALSE)</f>
        <v>NO</v>
      </c>
      <c r="W237" s="51" t="str">
        <f>VLOOKUP(Table3[[#This Row],[ACTIVITY]],TAGS!$B:$P,8,FALSE)</f>
        <v>PAP</v>
      </c>
      <c r="X237" s="51" t="str">
        <f>VLOOKUP(Table3[[#This Row],[ACTIVITY]],TAGS!$B:$P,10,FALSE)</f>
        <v>PIP</v>
      </c>
      <c r="Y237" s="51" t="str">
        <f>VLOOKUP(Table3[[#This Row],[ACTIVITY]],TAGS!$B:$P,11,FALSE)</f>
        <v>PICS</v>
      </c>
      <c r="Z237" s="51" t="str">
        <f>VLOOKUP(Table3[[#This Row],[ACTIVITY]],TAGS!$B:$P,12,FALSE)</f>
        <v>Consolidation</v>
      </c>
      <c r="AA237" s="51" t="str">
        <f>VLOOKUP(Table3[[#This Row],[ACTIVITY]],TAGS!$B:$P,13,FALSE)</f>
        <v>1. Bayanihan Agri Cluster</v>
      </c>
      <c r="AB237" s="51" t="str">
        <f>VLOOKUP(Table3[[#This Row],[ACTIVITY]],TAGS!$B:$P,14,FALSE)</f>
        <v>EXPAND AND IMPROVE AVAILABLE AGRI-FISHERY AREAS FOR INCREASED PRODUCTION</v>
      </c>
      <c r="AC237" s="51" t="str">
        <f>VLOOKUP(Table3[[#This Row],[ACTIVITY]],TAGS!$B:$P,15,FALSE)</f>
        <v>Farm Inputs</v>
      </c>
      <c r="AD237" s="51" t="str">
        <f>VLOOKUP(Table3[[#This Row],[PI LEVEL 3]],'PI LEVEL'!$A:$G,7,FALSE)</f>
        <v>DA-Level Output</v>
      </c>
      <c r="AE237" s="47" t="s">
        <v>577</v>
      </c>
      <c r="AF237" s="51" t="str">
        <f>VLOOKUP(Table3[[#This Row],[ACTIVITY]],TAGS!$B:$P,3,FALSE)</f>
        <v>kilogram</v>
      </c>
      <c r="AG237" s="47" t="s">
        <v>333</v>
      </c>
      <c r="AH237" s="51" t="str">
        <f>VLOOKUP(Table3[[#This Row],[MONTH]],TAGS!$W$67:$Y$81,2,FALSE)</f>
        <v>3RD QTR</v>
      </c>
      <c r="AI237" s="51" t="str">
        <f>VLOOKUP(Table3[[#This Row],[MONTH]],TAGS!$W$67:$Y$81,3,FALSE)</f>
        <v>2ND SEMESTER</v>
      </c>
      <c r="AJ237" s="51">
        <f>VLOOKUP(Table3[[#This Row],[MONTH]],TAGS!$W$67:$Z$81,4,FALSE)</f>
        <v>2025</v>
      </c>
      <c r="AK237" s="47">
        <v>3000</v>
      </c>
      <c r="AL237" s="51" t="str">
        <f>VLOOKUP(Table3[[#This Row],[ACTIVITY]],TAGS!$B:$R,16,FALSE)</f>
        <v>YES</v>
      </c>
      <c r="AM237" s="47">
        <v>30</v>
      </c>
      <c r="AN237" s="47">
        <v>135</v>
      </c>
      <c r="AO237" s="57">
        <f>SUM(Table3[[#This Row],[MALE BENEFICIARIES]:[FEMALE BENEFICIARIES]])</f>
        <v>0</v>
      </c>
      <c r="AP237" s="58"/>
      <c r="AQ237" s="58"/>
      <c r="AR237" s="58"/>
      <c r="AS237" s="58">
        <v>1</v>
      </c>
      <c r="AT237" s="59">
        <v>30</v>
      </c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  <c r="BG237" s="59"/>
      <c r="BH237" s="59"/>
      <c r="BI237" s="59"/>
      <c r="BJ237" s="59"/>
      <c r="BK237" s="59"/>
      <c r="BL237" s="59"/>
      <c r="BM237" s="59"/>
    </row>
    <row r="238" spans="1:65">
      <c r="A238" s="51" t="str">
        <f>VLOOKUP(Table3[[#This Row],[OU]],OU!$A$15:$B$34,2,FALSE)</f>
        <v>RFOs</v>
      </c>
      <c r="B238" s="47" t="s">
        <v>5</v>
      </c>
      <c r="C238" s="47" t="s">
        <v>574</v>
      </c>
      <c r="D238" s="47"/>
      <c r="E238" s="47" t="s">
        <v>43</v>
      </c>
      <c r="F238" s="47" t="s">
        <v>662</v>
      </c>
      <c r="G23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23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23104000</v>
      </c>
      <c r="I238" s="52" t="str">
        <f>VLOOKUP(Table3[[#This Row],[PSGC]],DISTRICT!$D:$G,4,FALSE)</f>
        <v>4th</v>
      </c>
      <c r="J238" s="47" t="s">
        <v>579</v>
      </c>
      <c r="K238" s="51" t="str">
        <f>VLOOKUP(Table3[[#This Row],[SPECIFIC COMMODITY]],TAGS!$W$48:$X$53,2,FALSE)</f>
        <v>Cassava</v>
      </c>
      <c r="L238" s="51" t="str">
        <f>VLOOKUP(Table3[[#This Row],[PREXC SUB-PROGRAM]],Table5[],2,FALSE)</f>
        <v>TECHNICAL AND SUPPORT SERVICES PROGRAM</v>
      </c>
      <c r="M238" s="51" t="str">
        <f>VLOOKUP(Table3[[#This Row],[COMMODITY PREXC SUB-PROGRAM]],TAGS!$U$54:$V$76,2,FALSE)</f>
        <v>PSS</v>
      </c>
      <c r="N238" s="47" t="s">
        <v>580</v>
      </c>
      <c r="O238" s="54" t="str">
        <f>VLOOKUP(Table3[[#This Row],[PI LEVEL 3]],'PI LEVEL'!A:C,3,FALSE)</f>
        <v>Fertilizers and other soil ammendment distributed</v>
      </c>
      <c r="P238" s="54" t="str">
        <f>VLOOKUP(Table3[[#This Row],[PI LEVEL 3]],Table53729[[Performance Indicator Level 3]:[Performance Indicator Level 1]],2,FALSE)</f>
        <v>Fertilizers distributed</v>
      </c>
      <c r="Q238" s="54" t="str">
        <f>VLOOKUP(Table3[[#This Row],[ACTIVITY]],TAGS!B:P,2,FALSE)</f>
        <v>Inorganic fertilizer distributed</v>
      </c>
      <c r="R238" s="47" t="s">
        <v>42</v>
      </c>
      <c r="S238" s="51" t="str">
        <f>VLOOKUP(Table3[[#This Row],[ACTIVITY]],TAGS!$B:$P,4,FALSE)</f>
        <v>Cassava Production Enhancement Project</v>
      </c>
      <c r="T238" s="51" t="str">
        <f>VLOOKUP(Table3[[#This Row],[ACTIVITY]],TAGS!$B:$P,5,FALSE)</f>
        <v>Soil Fertilization</v>
      </c>
      <c r="U238" s="51" t="str">
        <f>VLOOKUP(Table3[[#This Row],[ACTIVITY]],TAGS!$B:$P,6,FALSE)</f>
        <v>Inorganic fertilizer</v>
      </c>
      <c r="V238" s="51" t="str">
        <f>VLOOKUP(Table3[[#This Row],[ACTIVITY]],TAGS!$B:$P,7,FALSE)</f>
        <v>NO</v>
      </c>
      <c r="W238" s="51" t="str">
        <f>VLOOKUP(Table3[[#This Row],[ACTIVITY]],TAGS!$B:$P,8,FALSE)</f>
        <v>PAP</v>
      </c>
      <c r="X238" s="51" t="str">
        <f>VLOOKUP(Table3[[#This Row],[ACTIVITY]],TAGS!$B:$P,10,FALSE)</f>
        <v>PIP</v>
      </c>
      <c r="Y238" s="51" t="str">
        <f>VLOOKUP(Table3[[#This Row],[ACTIVITY]],TAGS!$B:$P,11,FALSE)</f>
        <v>PICS</v>
      </c>
      <c r="Z238" s="51" t="str">
        <f>VLOOKUP(Table3[[#This Row],[ACTIVITY]],TAGS!$B:$P,12,FALSE)</f>
        <v>Consolidation</v>
      </c>
      <c r="AA238" s="51" t="str">
        <f>VLOOKUP(Table3[[#This Row],[ACTIVITY]],TAGS!$B:$P,13,FALSE)</f>
        <v>1. Bayanihan Agri Cluster</v>
      </c>
      <c r="AB238" s="51" t="str">
        <f>VLOOKUP(Table3[[#This Row],[ACTIVITY]],TAGS!$B:$P,14,FALSE)</f>
        <v>EXPAND AND IMPROVE AVAILABLE AGRI-FISHERY AREAS FOR INCREASED PRODUCTION</v>
      </c>
      <c r="AC238" s="51" t="str">
        <f>VLOOKUP(Table3[[#This Row],[ACTIVITY]],TAGS!$B:$P,15,FALSE)</f>
        <v>Farm Inputs</v>
      </c>
      <c r="AD238" s="51" t="str">
        <f>VLOOKUP(Table3[[#This Row],[PI LEVEL 3]],'PI LEVEL'!$A:$G,7,FALSE)</f>
        <v>DA-Level Output</v>
      </c>
      <c r="AE238" s="47" t="s">
        <v>577</v>
      </c>
      <c r="AF238" s="51" t="str">
        <f>VLOOKUP(Table3[[#This Row],[ACTIVITY]],TAGS!$B:$P,3,FALSE)</f>
        <v>kilogram</v>
      </c>
      <c r="AG238" s="47" t="s">
        <v>334</v>
      </c>
      <c r="AH238" s="51" t="str">
        <f>VLOOKUP(Table3[[#This Row],[MONTH]],TAGS!$W$67:$Y$81,2,FALSE)</f>
        <v>3RD QTR</v>
      </c>
      <c r="AI238" s="51" t="str">
        <f>VLOOKUP(Table3[[#This Row],[MONTH]],TAGS!$W$67:$Y$81,3,FALSE)</f>
        <v>2ND SEMESTER</v>
      </c>
      <c r="AJ238" s="51">
        <f>VLOOKUP(Table3[[#This Row],[MONTH]],TAGS!$W$67:$Z$81,4,FALSE)</f>
        <v>2025</v>
      </c>
      <c r="AK238" s="47">
        <v>2000</v>
      </c>
      <c r="AL238" s="51" t="str">
        <f>VLOOKUP(Table3[[#This Row],[ACTIVITY]],TAGS!$B:$R,16,FALSE)</f>
        <v>YES</v>
      </c>
      <c r="AM238" s="47">
        <v>20</v>
      </c>
      <c r="AN238" s="47">
        <v>90</v>
      </c>
      <c r="AO238" s="57">
        <f>SUM(Table3[[#This Row],[MALE BENEFICIARIES]:[FEMALE BENEFICIARIES]])</f>
        <v>0</v>
      </c>
      <c r="AP238" s="58"/>
      <c r="AQ238" s="58"/>
      <c r="AR238" s="58"/>
      <c r="AS238" s="58">
        <v>1</v>
      </c>
      <c r="AT238" s="59">
        <v>20</v>
      </c>
      <c r="AU238" s="59"/>
      <c r="AV238" s="59"/>
      <c r="AW238" s="59"/>
      <c r="AX238" s="59"/>
      <c r="AY238" s="59"/>
      <c r="AZ238" s="59"/>
      <c r="BA238" s="59"/>
      <c r="BB238" s="59"/>
      <c r="BC238" s="59"/>
      <c r="BD238" s="59"/>
      <c r="BE238" s="59"/>
      <c r="BF238" s="59"/>
      <c r="BG238" s="59"/>
      <c r="BH238" s="59"/>
      <c r="BI238" s="59"/>
      <c r="BJ238" s="59"/>
      <c r="BK238" s="59"/>
      <c r="BL238" s="59"/>
      <c r="BM238" s="59"/>
    </row>
    <row r="239" spans="1:65">
      <c r="A239" s="54" t="str">
        <f>VLOOKUP(Table3[[#This Row],[OU]],OU!$A$15:$B$34,2,FALSE)</f>
        <v>RFOs</v>
      </c>
      <c r="B239" s="47" t="s">
        <v>5</v>
      </c>
      <c r="C239" s="47" t="s">
        <v>574</v>
      </c>
      <c r="D239" s="60"/>
      <c r="E239" s="47" t="s">
        <v>43</v>
      </c>
      <c r="F239" s="47" t="s">
        <v>667</v>
      </c>
      <c r="G23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239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23131000</v>
      </c>
      <c r="I239" s="61" t="str">
        <f>VLOOKUP(Table3[[#This Row],[PSGC]],DISTRICT!$D:$G,4,FALSE)</f>
        <v>1st</v>
      </c>
      <c r="J239" s="47" t="s">
        <v>579</v>
      </c>
      <c r="K239" s="51" t="str">
        <f>VLOOKUP(Table3[[#This Row],[SPECIFIC COMMODITY]],TAGS!$W$48:$X$53,2,FALSE)</f>
        <v>Cassava</v>
      </c>
      <c r="L239" s="51" t="str">
        <f>VLOOKUP(Table3[[#This Row],[PREXC SUB-PROGRAM]],Table5[],2,FALSE)</f>
        <v>TECHNICAL AND SUPPORT SERVICES PROGRAM</v>
      </c>
      <c r="M239" s="51" t="str">
        <f>VLOOKUP(Table3[[#This Row],[COMMODITY PREXC SUB-PROGRAM]],TAGS!$U$54:$V$76,2,FALSE)</f>
        <v>PSS</v>
      </c>
      <c r="N239" s="47" t="s">
        <v>580</v>
      </c>
      <c r="O239" s="54" t="str">
        <f>VLOOKUP(Table3[[#This Row],[PI LEVEL 3]],'PI LEVEL'!A:C,3,FALSE)</f>
        <v>Fertilizers and other soil ammendment distributed</v>
      </c>
      <c r="P239" s="54" t="str">
        <f>VLOOKUP(Table3[[#This Row],[PI LEVEL 3]],Table53729[[Performance Indicator Level 3]:[Performance Indicator Level 1]],2,FALSE)</f>
        <v>Fertilizers distributed</v>
      </c>
      <c r="Q239" s="54" t="str">
        <f>VLOOKUP(Table3[[#This Row],[ACTIVITY]],TAGS!B:P,2,FALSE)</f>
        <v>Inorganic fertilizer distributed</v>
      </c>
      <c r="R239" s="47" t="s">
        <v>42</v>
      </c>
      <c r="S239" s="54" t="str">
        <f>VLOOKUP(Table3[[#This Row],[ACTIVITY]],TAGS!$B:$P,4,FALSE)</f>
        <v>Cassava Production Enhancement Project</v>
      </c>
      <c r="T239" s="54" t="str">
        <f>VLOOKUP(Table3[[#This Row],[ACTIVITY]],TAGS!$B:$P,5,FALSE)</f>
        <v>Soil Fertilization</v>
      </c>
      <c r="U239" s="54" t="str">
        <f>VLOOKUP(Table3[[#This Row],[ACTIVITY]],TAGS!$B:$P,6,FALSE)</f>
        <v>Inorganic fertilizer</v>
      </c>
      <c r="V239" s="54" t="str">
        <f>VLOOKUP(Table3[[#This Row],[ACTIVITY]],TAGS!$B:$P,7,FALSE)</f>
        <v>NO</v>
      </c>
      <c r="W239" s="54" t="str">
        <f>VLOOKUP(Table3[[#This Row],[ACTIVITY]],TAGS!$B:$P,8,FALSE)</f>
        <v>PAP</v>
      </c>
      <c r="X239" s="54" t="str">
        <f>VLOOKUP(Table3[[#This Row],[ACTIVITY]],TAGS!$B:$P,10,FALSE)</f>
        <v>PIP</v>
      </c>
      <c r="Y239" s="54" t="str">
        <f>VLOOKUP(Table3[[#This Row],[ACTIVITY]],TAGS!$B:$P,11,FALSE)</f>
        <v>PICS</v>
      </c>
      <c r="Z239" s="54" t="str">
        <f>VLOOKUP(Table3[[#This Row],[ACTIVITY]],TAGS!$B:$P,12,FALSE)</f>
        <v>Consolidation</v>
      </c>
      <c r="AA239" s="54" t="str">
        <f>VLOOKUP(Table3[[#This Row],[ACTIVITY]],TAGS!$B:$P,13,FALSE)</f>
        <v>1. Bayanihan Agri Cluster</v>
      </c>
      <c r="AB239" s="54" t="str">
        <f>VLOOKUP(Table3[[#This Row],[ACTIVITY]],TAGS!$B:$P,14,FALSE)</f>
        <v>EXPAND AND IMPROVE AVAILABLE AGRI-FISHERY AREAS FOR INCREASED PRODUCTION</v>
      </c>
      <c r="AC239" s="54" t="str">
        <f>VLOOKUP(Table3[[#This Row],[ACTIVITY]],TAGS!$B:$P,15,FALSE)</f>
        <v>Farm Inputs</v>
      </c>
      <c r="AD239" s="54" t="str">
        <f>VLOOKUP(Table3[[#This Row],[PI LEVEL 3]],'PI LEVEL'!$A:$G,7,FALSE)</f>
        <v>DA-Level Output</v>
      </c>
      <c r="AE239" s="47" t="s">
        <v>577</v>
      </c>
      <c r="AF239" s="54" t="str">
        <f>VLOOKUP(Table3[[#This Row],[ACTIVITY]],TAGS!$B:$P,3,FALSE)</f>
        <v>kilogram</v>
      </c>
      <c r="AG239" s="47" t="s">
        <v>332</v>
      </c>
      <c r="AH239" s="54" t="str">
        <f>VLOOKUP(Table3[[#This Row],[MONTH]],TAGS!$W$67:$Y$81,2,FALSE)</f>
        <v>2ND QTR</v>
      </c>
      <c r="AI239" s="54" t="str">
        <f>VLOOKUP(Table3[[#This Row],[MONTH]],TAGS!$W$67:$Y$81,3,FALSE)</f>
        <v>1ST SEMESTER</v>
      </c>
      <c r="AJ239" s="54">
        <f>VLOOKUP(Table3[[#This Row],[MONTH]],TAGS!$W$67:$Z$81,4,FALSE)</f>
        <v>2025</v>
      </c>
      <c r="AK239" s="60">
        <v>1000</v>
      </c>
      <c r="AL239" s="54" t="str">
        <f>VLOOKUP(Table3[[#This Row],[ACTIVITY]],TAGS!$B:$R,16,FALSE)</f>
        <v>YES</v>
      </c>
      <c r="AM239" s="60">
        <v>10</v>
      </c>
      <c r="AN239" s="60">
        <v>45</v>
      </c>
      <c r="AO239" s="57">
        <f>SUM(Table3[[#This Row],[MALE BENEFICIARIES]:[FEMALE BENEFICIARIES]])</f>
        <v>0</v>
      </c>
      <c r="AP239" s="62"/>
      <c r="AQ239" s="62"/>
      <c r="AR239" s="62"/>
      <c r="AS239" s="62">
        <v>1</v>
      </c>
      <c r="AT239" s="63">
        <v>10</v>
      </c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  <c r="BI239" s="63"/>
      <c r="BJ239" s="63"/>
      <c r="BK239" s="63"/>
      <c r="BL239" s="63"/>
      <c r="BM239" s="63"/>
    </row>
    <row r="240" spans="1:65">
      <c r="A240" s="51" t="str">
        <f>VLOOKUP(Table3[[#This Row],[OU]],OU!$A$15:$B$34,2,FALSE)</f>
        <v>RFOs</v>
      </c>
      <c r="B240" s="47" t="s">
        <v>5</v>
      </c>
      <c r="C240" s="47" t="s">
        <v>574</v>
      </c>
      <c r="D240" s="47"/>
      <c r="E240" s="47" t="s">
        <v>43</v>
      </c>
      <c r="F240" s="47" t="s">
        <v>667</v>
      </c>
      <c r="G24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24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23131000</v>
      </c>
      <c r="I240" s="52" t="str">
        <f>VLOOKUP(Table3[[#This Row],[PSGC]],DISTRICT!$D:$G,4,FALSE)</f>
        <v>1st</v>
      </c>
      <c r="J240" s="47" t="s">
        <v>579</v>
      </c>
      <c r="K240" s="51" t="str">
        <f>VLOOKUP(Table3[[#This Row],[SPECIFIC COMMODITY]],TAGS!$W$48:$X$53,2,FALSE)</f>
        <v>Cassava</v>
      </c>
      <c r="L240" s="51" t="str">
        <f>VLOOKUP(Table3[[#This Row],[PREXC SUB-PROGRAM]],Table5[],2,FALSE)</f>
        <v>TECHNICAL AND SUPPORT SERVICES PROGRAM</v>
      </c>
      <c r="M240" s="51" t="str">
        <f>VLOOKUP(Table3[[#This Row],[COMMODITY PREXC SUB-PROGRAM]],TAGS!$U$54:$V$76,2,FALSE)</f>
        <v>PSS</v>
      </c>
      <c r="N240" s="47" t="s">
        <v>580</v>
      </c>
      <c r="O240" s="54" t="str">
        <f>VLOOKUP(Table3[[#This Row],[PI LEVEL 3]],'PI LEVEL'!A:C,3,FALSE)</f>
        <v>Fertilizers and other soil ammendment distributed</v>
      </c>
      <c r="P240" s="54" t="str">
        <f>VLOOKUP(Table3[[#This Row],[PI LEVEL 3]],Table53729[[Performance Indicator Level 3]:[Performance Indicator Level 1]],2,FALSE)</f>
        <v>Fertilizers distributed</v>
      </c>
      <c r="Q240" s="54" t="str">
        <f>VLOOKUP(Table3[[#This Row],[ACTIVITY]],TAGS!B:P,2,FALSE)</f>
        <v>Inorganic fertilizer distributed</v>
      </c>
      <c r="R240" s="47" t="s">
        <v>42</v>
      </c>
      <c r="S240" s="51" t="str">
        <f>VLOOKUP(Table3[[#This Row],[ACTIVITY]],TAGS!$B:$P,4,FALSE)</f>
        <v>Cassava Production Enhancement Project</v>
      </c>
      <c r="T240" s="51" t="str">
        <f>VLOOKUP(Table3[[#This Row],[ACTIVITY]],TAGS!$B:$P,5,FALSE)</f>
        <v>Soil Fertilization</v>
      </c>
      <c r="U240" s="51" t="str">
        <f>VLOOKUP(Table3[[#This Row],[ACTIVITY]],TAGS!$B:$P,6,FALSE)</f>
        <v>Inorganic fertilizer</v>
      </c>
      <c r="V240" s="51" t="str">
        <f>VLOOKUP(Table3[[#This Row],[ACTIVITY]],TAGS!$B:$P,7,FALSE)</f>
        <v>NO</v>
      </c>
      <c r="W240" s="51" t="str">
        <f>VLOOKUP(Table3[[#This Row],[ACTIVITY]],TAGS!$B:$P,8,FALSE)</f>
        <v>PAP</v>
      </c>
      <c r="X240" s="51" t="str">
        <f>VLOOKUP(Table3[[#This Row],[ACTIVITY]],TAGS!$B:$P,10,FALSE)</f>
        <v>PIP</v>
      </c>
      <c r="Y240" s="51" t="str">
        <f>VLOOKUP(Table3[[#This Row],[ACTIVITY]],TAGS!$B:$P,11,FALSE)</f>
        <v>PICS</v>
      </c>
      <c r="Z240" s="51" t="str">
        <f>VLOOKUP(Table3[[#This Row],[ACTIVITY]],TAGS!$B:$P,12,FALSE)</f>
        <v>Consolidation</v>
      </c>
      <c r="AA240" s="51" t="str">
        <f>VLOOKUP(Table3[[#This Row],[ACTIVITY]],TAGS!$B:$P,13,FALSE)</f>
        <v>1. Bayanihan Agri Cluster</v>
      </c>
      <c r="AB240" s="51" t="str">
        <f>VLOOKUP(Table3[[#This Row],[ACTIVITY]],TAGS!$B:$P,14,FALSE)</f>
        <v>EXPAND AND IMPROVE AVAILABLE AGRI-FISHERY AREAS FOR INCREASED PRODUCTION</v>
      </c>
      <c r="AC240" s="51" t="str">
        <f>VLOOKUP(Table3[[#This Row],[ACTIVITY]],TAGS!$B:$P,15,FALSE)</f>
        <v>Farm Inputs</v>
      </c>
      <c r="AD240" s="51" t="str">
        <f>VLOOKUP(Table3[[#This Row],[PI LEVEL 3]],'PI LEVEL'!$A:$G,7,FALSE)</f>
        <v>DA-Level Output</v>
      </c>
      <c r="AE240" s="47" t="s">
        <v>577</v>
      </c>
      <c r="AF240" s="51" t="str">
        <f>VLOOKUP(Table3[[#This Row],[ACTIVITY]],TAGS!$B:$P,3,FALSE)</f>
        <v>kilogram</v>
      </c>
      <c r="AG240" s="47" t="s">
        <v>334</v>
      </c>
      <c r="AH240" s="51" t="str">
        <f>VLOOKUP(Table3[[#This Row],[MONTH]],TAGS!$W$67:$Y$81,2,FALSE)</f>
        <v>3RD QTR</v>
      </c>
      <c r="AI240" s="51" t="str">
        <f>VLOOKUP(Table3[[#This Row],[MONTH]],TAGS!$W$67:$Y$81,3,FALSE)</f>
        <v>2ND SEMESTER</v>
      </c>
      <c r="AJ240" s="51">
        <f>VLOOKUP(Table3[[#This Row],[MONTH]],TAGS!$W$67:$Z$81,4,FALSE)</f>
        <v>2025</v>
      </c>
      <c r="AK240" s="47">
        <v>5000</v>
      </c>
      <c r="AL240" s="51" t="str">
        <f>VLOOKUP(Table3[[#This Row],[ACTIVITY]],TAGS!$B:$R,16,FALSE)</f>
        <v>YES</v>
      </c>
      <c r="AM240" s="47">
        <v>50</v>
      </c>
      <c r="AN240" s="47">
        <v>225</v>
      </c>
      <c r="AO240" s="57">
        <f>SUM(Table3[[#This Row],[MALE BENEFICIARIES]:[FEMALE BENEFICIARIES]])</f>
        <v>0</v>
      </c>
      <c r="AP240" s="58"/>
      <c r="AQ240" s="58"/>
      <c r="AR240" s="58"/>
      <c r="AS240" s="58">
        <v>1</v>
      </c>
      <c r="AT240" s="59">
        <v>50</v>
      </c>
      <c r="AU240" s="59"/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  <c r="BG240" s="59"/>
      <c r="BH240" s="59"/>
      <c r="BI240" s="59"/>
      <c r="BJ240" s="59"/>
      <c r="BK240" s="59"/>
      <c r="BL240" s="59"/>
      <c r="BM240" s="59"/>
    </row>
    <row r="241" spans="1:65">
      <c r="A241" s="51" t="str">
        <f>VLOOKUP(Table3[[#This Row],[OU]],OU!$A$15:$B$34,2,FALSE)</f>
        <v>RFOs</v>
      </c>
      <c r="B241" s="47" t="s">
        <v>5</v>
      </c>
      <c r="C241" s="47" t="s">
        <v>574</v>
      </c>
      <c r="D241" s="47"/>
      <c r="E241" s="47" t="s">
        <v>43</v>
      </c>
      <c r="F241" s="47" t="s">
        <v>643</v>
      </c>
      <c r="G24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24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23108000</v>
      </c>
      <c r="I241" s="52" t="str">
        <f>VLOOKUP(Table3[[#This Row],[PSGC]],DISTRICT!$D:$G,4,FALSE)</f>
        <v>3rd</v>
      </c>
      <c r="J241" s="47" t="s">
        <v>579</v>
      </c>
      <c r="K241" s="51" t="str">
        <f>VLOOKUP(Table3[[#This Row],[SPECIFIC COMMODITY]],TAGS!$W$48:$X$53,2,FALSE)</f>
        <v>Cassava</v>
      </c>
      <c r="L241" s="51" t="str">
        <f>VLOOKUP(Table3[[#This Row],[PREXC SUB-PROGRAM]],Table5[],2,FALSE)</f>
        <v>TECHNICAL AND SUPPORT SERVICES PROGRAM</v>
      </c>
      <c r="M241" s="51" t="str">
        <f>VLOOKUP(Table3[[#This Row],[COMMODITY PREXC SUB-PROGRAM]],TAGS!$U$54:$V$76,2,FALSE)</f>
        <v>PSS</v>
      </c>
      <c r="N241" s="47" t="s">
        <v>580</v>
      </c>
      <c r="O241" s="54" t="str">
        <f>VLOOKUP(Table3[[#This Row],[PI LEVEL 3]],'PI LEVEL'!A:C,3,FALSE)</f>
        <v>Fertilizers and other soil ammendment distributed</v>
      </c>
      <c r="P241" s="54" t="str">
        <f>VLOOKUP(Table3[[#This Row],[PI LEVEL 3]],Table53729[[Performance Indicator Level 3]:[Performance Indicator Level 1]],2,FALSE)</f>
        <v>Fertilizers distributed</v>
      </c>
      <c r="Q241" s="54" t="str">
        <f>VLOOKUP(Table3[[#This Row],[ACTIVITY]],TAGS!B:P,2,FALSE)</f>
        <v>Inorganic fertilizer distributed</v>
      </c>
      <c r="R241" s="47" t="s">
        <v>42</v>
      </c>
      <c r="S241" s="51" t="str">
        <f>VLOOKUP(Table3[[#This Row],[ACTIVITY]],TAGS!$B:$P,4,FALSE)</f>
        <v>Cassava Production Enhancement Project</v>
      </c>
      <c r="T241" s="51" t="str">
        <f>VLOOKUP(Table3[[#This Row],[ACTIVITY]],TAGS!$B:$P,5,FALSE)</f>
        <v>Soil Fertilization</v>
      </c>
      <c r="U241" s="51" t="str">
        <f>VLOOKUP(Table3[[#This Row],[ACTIVITY]],TAGS!$B:$P,6,FALSE)</f>
        <v>Inorganic fertilizer</v>
      </c>
      <c r="V241" s="51" t="str">
        <f>VLOOKUP(Table3[[#This Row],[ACTIVITY]],TAGS!$B:$P,7,FALSE)</f>
        <v>NO</v>
      </c>
      <c r="W241" s="51" t="str">
        <f>VLOOKUP(Table3[[#This Row],[ACTIVITY]],TAGS!$B:$P,8,FALSE)</f>
        <v>PAP</v>
      </c>
      <c r="X241" s="51" t="str">
        <f>VLOOKUP(Table3[[#This Row],[ACTIVITY]],TAGS!$B:$P,10,FALSE)</f>
        <v>PIP</v>
      </c>
      <c r="Y241" s="51" t="str">
        <f>VLOOKUP(Table3[[#This Row],[ACTIVITY]],TAGS!$B:$P,11,FALSE)</f>
        <v>PICS</v>
      </c>
      <c r="Z241" s="51" t="str">
        <f>VLOOKUP(Table3[[#This Row],[ACTIVITY]],TAGS!$B:$P,12,FALSE)</f>
        <v>Consolidation</v>
      </c>
      <c r="AA241" s="51" t="str">
        <f>VLOOKUP(Table3[[#This Row],[ACTIVITY]],TAGS!$B:$P,13,FALSE)</f>
        <v>1. Bayanihan Agri Cluster</v>
      </c>
      <c r="AB241" s="51" t="str">
        <f>VLOOKUP(Table3[[#This Row],[ACTIVITY]],TAGS!$B:$P,14,FALSE)</f>
        <v>EXPAND AND IMPROVE AVAILABLE AGRI-FISHERY AREAS FOR INCREASED PRODUCTION</v>
      </c>
      <c r="AC241" s="51" t="str">
        <f>VLOOKUP(Table3[[#This Row],[ACTIVITY]],TAGS!$B:$P,15,FALSE)</f>
        <v>Farm Inputs</v>
      </c>
      <c r="AD241" s="51" t="str">
        <f>VLOOKUP(Table3[[#This Row],[PI LEVEL 3]],'PI LEVEL'!$A:$G,7,FALSE)</f>
        <v>DA-Level Output</v>
      </c>
      <c r="AE241" s="47" t="s">
        <v>577</v>
      </c>
      <c r="AF241" s="51" t="str">
        <f>VLOOKUP(Table3[[#This Row],[ACTIVITY]],TAGS!$B:$P,3,FALSE)</f>
        <v>kilogram</v>
      </c>
      <c r="AG241" s="47" t="s">
        <v>335</v>
      </c>
      <c r="AH241" s="51" t="str">
        <f>VLOOKUP(Table3[[#This Row],[MONTH]],TAGS!$W$67:$Y$81,2,FALSE)</f>
        <v>3RD QTR</v>
      </c>
      <c r="AI241" s="51" t="str">
        <f>VLOOKUP(Table3[[#This Row],[MONTH]],TAGS!$W$67:$Y$81,3,FALSE)</f>
        <v>2ND SEMESTER</v>
      </c>
      <c r="AJ241" s="51">
        <f>VLOOKUP(Table3[[#This Row],[MONTH]],TAGS!$W$67:$Z$81,4,FALSE)</f>
        <v>2025</v>
      </c>
      <c r="AK241" s="47">
        <v>5000</v>
      </c>
      <c r="AL241" s="51" t="str">
        <f>VLOOKUP(Table3[[#This Row],[ACTIVITY]],TAGS!$B:$R,16,FALSE)</f>
        <v>YES</v>
      </c>
      <c r="AM241" s="47">
        <v>50</v>
      </c>
      <c r="AN241" s="47">
        <v>225</v>
      </c>
      <c r="AO241" s="57">
        <f>SUM(Table3[[#This Row],[MALE BENEFICIARIES]:[FEMALE BENEFICIARIES]])</f>
        <v>0</v>
      </c>
      <c r="AP241" s="58"/>
      <c r="AQ241" s="58"/>
      <c r="AR241" s="58"/>
      <c r="AS241" s="58">
        <v>1</v>
      </c>
      <c r="AT241" s="59">
        <v>50</v>
      </c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</row>
    <row r="242" spans="1:65">
      <c r="A242" s="54" t="str">
        <f>VLOOKUP(Table3[[#This Row],[OU]],OU!$A$15:$B$34,2,FALSE)</f>
        <v>RFOs</v>
      </c>
      <c r="B242" s="47" t="s">
        <v>5</v>
      </c>
      <c r="C242" s="47" t="s">
        <v>574</v>
      </c>
      <c r="D242" s="60"/>
      <c r="E242" s="47" t="s">
        <v>43</v>
      </c>
      <c r="F242" s="47" t="s">
        <v>685</v>
      </c>
      <c r="G24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242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23112000</v>
      </c>
      <c r="I242" s="61" t="str">
        <f>VLOOKUP(Table3[[#This Row],[PSGC]],DISTRICT!$D:$G,4,FALSE)</f>
        <v>1st</v>
      </c>
      <c r="J242" s="47" t="s">
        <v>579</v>
      </c>
      <c r="K242" s="51" t="str">
        <f>VLOOKUP(Table3[[#This Row],[SPECIFIC COMMODITY]],TAGS!$W$48:$X$53,2,FALSE)</f>
        <v>Cassava</v>
      </c>
      <c r="L242" s="51" t="str">
        <f>VLOOKUP(Table3[[#This Row],[PREXC SUB-PROGRAM]],Table5[],2,FALSE)</f>
        <v>TECHNICAL AND SUPPORT SERVICES PROGRAM</v>
      </c>
      <c r="M242" s="51" t="str">
        <f>VLOOKUP(Table3[[#This Row],[COMMODITY PREXC SUB-PROGRAM]],TAGS!$U$54:$V$76,2,FALSE)</f>
        <v>PSS</v>
      </c>
      <c r="N242" s="47" t="s">
        <v>580</v>
      </c>
      <c r="O242" s="54" t="str">
        <f>VLOOKUP(Table3[[#This Row],[PI LEVEL 3]],'PI LEVEL'!A:C,3,FALSE)</f>
        <v>Fertilizers and other soil ammendment distributed</v>
      </c>
      <c r="P242" s="54" t="str">
        <f>VLOOKUP(Table3[[#This Row],[PI LEVEL 3]],Table53729[[Performance Indicator Level 3]:[Performance Indicator Level 1]],2,FALSE)</f>
        <v>Fertilizers distributed</v>
      </c>
      <c r="Q242" s="54" t="str">
        <f>VLOOKUP(Table3[[#This Row],[ACTIVITY]],TAGS!B:P,2,FALSE)</f>
        <v>Inorganic fertilizer distributed</v>
      </c>
      <c r="R242" s="47" t="s">
        <v>42</v>
      </c>
      <c r="S242" s="54" t="str">
        <f>VLOOKUP(Table3[[#This Row],[ACTIVITY]],TAGS!$B:$P,4,FALSE)</f>
        <v>Cassava Production Enhancement Project</v>
      </c>
      <c r="T242" s="54" t="str">
        <f>VLOOKUP(Table3[[#This Row],[ACTIVITY]],TAGS!$B:$P,5,FALSE)</f>
        <v>Soil Fertilization</v>
      </c>
      <c r="U242" s="54" t="str">
        <f>VLOOKUP(Table3[[#This Row],[ACTIVITY]],TAGS!$B:$P,6,FALSE)</f>
        <v>Inorganic fertilizer</v>
      </c>
      <c r="V242" s="54" t="str">
        <f>VLOOKUP(Table3[[#This Row],[ACTIVITY]],TAGS!$B:$P,7,FALSE)</f>
        <v>NO</v>
      </c>
      <c r="W242" s="54" t="str">
        <f>VLOOKUP(Table3[[#This Row],[ACTIVITY]],TAGS!$B:$P,8,FALSE)</f>
        <v>PAP</v>
      </c>
      <c r="X242" s="54" t="str">
        <f>VLOOKUP(Table3[[#This Row],[ACTIVITY]],TAGS!$B:$P,10,FALSE)</f>
        <v>PIP</v>
      </c>
      <c r="Y242" s="54" t="str">
        <f>VLOOKUP(Table3[[#This Row],[ACTIVITY]],TAGS!$B:$P,11,FALSE)</f>
        <v>PICS</v>
      </c>
      <c r="Z242" s="54" t="str">
        <f>VLOOKUP(Table3[[#This Row],[ACTIVITY]],TAGS!$B:$P,12,FALSE)</f>
        <v>Consolidation</v>
      </c>
      <c r="AA242" s="54" t="str">
        <f>VLOOKUP(Table3[[#This Row],[ACTIVITY]],TAGS!$B:$P,13,FALSE)</f>
        <v>1. Bayanihan Agri Cluster</v>
      </c>
      <c r="AB242" s="54" t="str">
        <f>VLOOKUP(Table3[[#This Row],[ACTIVITY]],TAGS!$B:$P,14,FALSE)</f>
        <v>EXPAND AND IMPROVE AVAILABLE AGRI-FISHERY AREAS FOR INCREASED PRODUCTION</v>
      </c>
      <c r="AC242" s="54" t="str">
        <f>VLOOKUP(Table3[[#This Row],[ACTIVITY]],TAGS!$B:$P,15,FALSE)</f>
        <v>Farm Inputs</v>
      </c>
      <c r="AD242" s="54" t="str">
        <f>VLOOKUP(Table3[[#This Row],[PI LEVEL 3]],'PI LEVEL'!$A:$G,7,FALSE)</f>
        <v>DA-Level Output</v>
      </c>
      <c r="AE242" s="47" t="s">
        <v>577</v>
      </c>
      <c r="AF242" s="54" t="str">
        <f>VLOOKUP(Table3[[#This Row],[ACTIVITY]],TAGS!$B:$P,3,FALSE)</f>
        <v>kilogram</v>
      </c>
      <c r="AG242" s="47" t="s">
        <v>333</v>
      </c>
      <c r="AH242" s="54" t="str">
        <f>VLOOKUP(Table3[[#This Row],[MONTH]],TAGS!$W$67:$Y$81,2,FALSE)</f>
        <v>3RD QTR</v>
      </c>
      <c r="AI242" s="54" t="str">
        <f>VLOOKUP(Table3[[#This Row],[MONTH]],TAGS!$W$67:$Y$81,3,FALSE)</f>
        <v>2ND SEMESTER</v>
      </c>
      <c r="AJ242" s="54">
        <f>VLOOKUP(Table3[[#This Row],[MONTH]],TAGS!$W$67:$Z$81,4,FALSE)</f>
        <v>2025</v>
      </c>
      <c r="AK242" s="60">
        <v>2000</v>
      </c>
      <c r="AL242" s="54" t="str">
        <f>VLOOKUP(Table3[[#This Row],[ACTIVITY]],TAGS!$B:$R,16,FALSE)</f>
        <v>YES</v>
      </c>
      <c r="AM242" s="60">
        <v>20</v>
      </c>
      <c r="AN242" s="60">
        <v>90</v>
      </c>
      <c r="AO242" s="57">
        <f>SUM(Table3[[#This Row],[MALE BENEFICIARIES]:[FEMALE BENEFICIARIES]])</f>
        <v>0</v>
      </c>
      <c r="AP242" s="62"/>
      <c r="AQ242" s="62"/>
      <c r="AR242" s="62"/>
      <c r="AS242" s="62">
        <v>1</v>
      </c>
      <c r="AT242" s="63">
        <v>20</v>
      </c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</row>
    <row r="243" spans="1:65">
      <c r="A243" s="51" t="str">
        <f>VLOOKUP(Table3[[#This Row],[OU]],OU!$A$15:$B$34,2,FALSE)</f>
        <v>RFOs</v>
      </c>
      <c r="B243" s="47" t="s">
        <v>5</v>
      </c>
      <c r="C243" s="47" t="s">
        <v>574</v>
      </c>
      <c r="D243" s="47"/>
      <c r="E243" s="47" t="s">
        <v>43</v>
      </c>
      <c r="F243" s="47" t="s">
        <v>685</v>
      </c>
      <c r="G24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24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23112000</v>
      </c>
      <c r="I243" s="52" t="str">
        <f>VLOOKUP(Table3[[#This Row],[PSGC]],DISTRICT!$D:$G,4,FALSE)</f>
        <v>1st</v>
      </c>
      <c r="J243" s="47" t="s">
        <v>579</v>
      </c>
      <c r="K243" s="51" t="str">
        <f>VLOOKUP(Table3[[#This Row],[SPECIFIC COMMODITY]],TAGS!$W$48:$X$53,2,FALSE)</f>
        <v>Cassava</v>
      </c>
      <c r="L243" s="51" t="str">
        <f>VLOOKUP(Table3[[#This Row],[PREXC SUB-PROGRAM]],Table5[],2,FALSE)</f>
        <v>TECHNICAL AND SUPPORT SERVICES PROGRAM</v>
      </c>
      <c r="M243" s="51" t="str">
        <f>VLOOKUP(Table3[[#This Row],[COMMODITY PREXC SUB-PROGRAM]],TAGS!$U$54:$V$76,2,FALSE)</f>
        <v>PSS</v>
      </c>
      <c r="N243" s="47" t="s">
        <v>580</v>
      </c>
      <c r="O243" s="54" t="str">
        <f>VLOOKUP(Table3[[#This Row],[PI LEVEL 3]],'PI LEVEL'!A:C,3,FALSE)</f>
        <v>Fertilizers and other soil ammendment distributed</v>
      </c>
      <c r="P243" s="54" t="str">
        <f>VLOOKUP(Table3[[#This Row],[PI LEVEL 3]],Table53729[[Performance Indicator Level 3]:[Performance Indicator Level 1]],2,FALSE)</f>
        <v>Fertilizers distributed</v>
      </c>
      <c r="Q243" s="54" t="str">
        <f>VLOOKUP(Table3[[#This Row],[ACTIVITY]],TAGS!B:P,2,FALSE)</f>
        <v>Inorganic fertilizer distributed</v>
      </c>
      <c r="R243" s="47" t="s">
        <v>42</v>
      </c>
      <c r="S243" s="51" t="str">
        <f>VLOOKUP(Table3[[#This Row],[ACTIVITY]],TAGS!$B:$P,4,FALSE)</f>
        <v>Cassava Production Enhancement Project</v>
      </c>
      <c r="T243" s="51" t="str">
        <f>VLOOKUP(Table3[[#This Row],[ACTIVITY]],TAGS!$B:$P,5,FALSE)</f>
        <v>Soil Fertilization</v>
      </c>
      <c r="U243" s="51" t="str">
        <f>VLOOKUP(Table3[[#This Row],[ACTIVITY]],TAGS!$B:$P,6,FALSE)</f>
        <v>Inorganic fertilizer</v>
      </c>
      <c r="V243" s="51" t="str">
        <f>VLOOKUP(Table3[[#This Row],[ACTIVITY]],TAGS!$B:$P,7,FALSE)</f>
        <v>NO</v>
      </c>
      <c r="W243" s="51" t="str">
        <f>VLOOKUP(Table3[[#This Row],[ACTIVITY]],TAGS!$B:$P,8,FALSE)</f>
        <v>PAP</v>
      </c>
      <c r="X243" s="51" t="str">
        <f>VLOOKUP(Table3[[#This Row],[ACTIVITY]],TAGS!$B:$P,10,FALSE)</f>
        <v>PIP</v>
      </c>
      <c r="Y243" s="51" t="str">
        <f>VLOOKUP(Table3[[#This Row],[ACTIVITY]],TAGS!$B:$P,11,FALSE)</f>
        <v>PICS</v>
      </c>
      <c r="Z243" s="51" t="str">
        <f>VLOOKUP(Table3[[#This Row],[ACTIVITY]],TAGS!$B:$P,12,FALSE)</f>
        <v>Consolidation</v>
      </c>
      <c r="AA243" s="51" t="str">
        <f>VLOOKUP(Table3[[#This Row],[ACTIVITY]],TAGS!$B:$P,13,FALSE)</f>
        <v>1. Bayanihan Agri Cluster</v>
      </c>
      <c r="AB243" s="51" t="str">
        <f>VLOOKUP(Table3[[#This Row],[ACTIVITY]],TAGS!$B:$P,14,FALSE)</f>
        <v>EXPAND AND IMPROVE AVAILABLE AGRI-FISHERY AREAS FOR INCREASED PRODUCTION</v>
      </c>
      <c r="AC243" s="51" t="str">
        <f>VLOOKUP(Table3[[#This Row],[ACTIVITY]],TAGS!$B:$P,15,FALSE)</f>
        <v>Farm Inputs</v>
      </c>
      <c r="AD243" s="51" t="str">
        <f>VLOOKUP(Table3[[#This Row],[PI LEVEL 3]],'PI LEVEL'!$A:$G,7,FALSE)</f>
        <v>DA-Level Output</v>
      </c>
      <c r="AE243" s="47" t="s">
        <v>577</v>
      </c>
      <c r="AF243" s="51" t="str">
        <f>VLOOKUP(Table3[[#This Row],[ACTIVITY]],TAGS!$B:$P,3,FALSE)</f>
        <v>kilogram</v>
      </c>
      <c r="AG243" s="47" t="s">
        <v>336</v>
      </c>
      <c r="AH243" s="51" t="str">
        <f>VLOOKUP(Table3[[#This Row],[MONTH]],TAGS!$W$67:$Y$81,2,FALSE)</f>
        <v>4TH QTR</v>
      </c>
      <c r="AI243" s="51" t="str">
        <f>VLOOKUP(Table3[[#This Row],[MONTH]],TAGS!$W$67:$Y$81,3,FALSE)</f>
        <v>2ND SEMESTER</v>
      </c>
      <c r="AJ243" s="51">
        <f>VLOOKUP(Table3[[#This Row],[MONTH]],TAGS!$W$67:$Z$81,4,FALSE)</f>
        <v>2025</v>
      </c>
      <c r="AK243" s="47">
        <v>5000</v>
      </c>
      <c r="AL243" s="51" t="str">
        <f>VLOOKUP(Table3[[#This Row],[ACTIVITY]],TAGS!$B:$R,16,FALSE)</f>
        <v>YES</v>
      </c>
      <c r="AM243" s="47">
        <v>50</v>
      </c>
      <c r="AN243" s="47">
        <v>225</v>
      </c>
      <c r="AO243" s="57">
        <f>SUM(Table3[[#This Row],[MALE BENEFICIARIES]:[FEMALE BENEFICIARIES]])</f>
        <v>0</v>
      </c>
      <c r="AP243" s="58"/>
      <c r="AQ243" s="58"/>
      <c r="AR243" s="58"/>
      <c r="AS243" s="58">
        <v>1</v>
      </c>
      <c r="AT243" s="59">
        <v>50</v>
      </c>
      <c r="AU243" s="59"/>
      <c r="AV243" s="59"/>
      <c r="AW243" s="59"/>
      <c r="AX243" s="59"/>
      <c r="AY243" s="59"/>
      <c r="AZ243" s="59"/>
      <c r="BA243" s="59"/>
      <c r="BB243" s="59"/>
      <c r="BC243" s="59"/>
      <c r="BD243" s="59"/>
      <c r="BE243" s="59"/>
      <c r="BF243" s="59"/>
      <c r="BG243" s="59"/>
      <c r="BH243" s="59"/>
      <c r="BI243" s="59"/>
      <c r="BJ243" s="59"/>
      <c r="BK243" s="59"/>
      <c r="BL243" s="59"/>
      <c r="BM243" s="59"/>
    </row>
    <row r="244" spans="1:65">
      <c r="A244" s="51" t="str">
        <f>VLOOKUP(Table3[[#This Row],[OU]],OU!$A$15:$B$34,2,FALSE)</f>
        <v>RFOs</v>
      </c>
      <c r="B244" s="47" t="s">
        <v>5</v>
      </c>
      <c r="C244" s="47" t="s">
        <v>574</v>
      </c>
      <c r="D244" s="47"/>
      <c r="E244" s="47" t="s">
        <v>43</v>
      </c>
      <c r="F244" s="47" t="s">
        <v>675</v>
      </c>
      <c r="G24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4th District</v>
      </c>
      <c r="H24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23115000</v>
      </c>
      <c r="I244" s="52" t="str">
        <f>VLOOKUP(Table3[[#This Row],[PSGC]],DISTRICT!$D:$G,4,FALSE)</f>
        <v>1st</v>
      </c>
      <c r="J244" s="47" t="s">
        <v>579</v>
      </c>
      <c r="K244" s="51" t="str">
        <f>VLOOKUP(Table3[[#This Row],[SPECIFIC COMMODITY]],TAGS!$W$48:$X$53,2,FALSE)</f>
        <v>Cassava</v>
      </c>
      <c r="L244" s="51" t="str">
        <f>VLOOKUP(Table3[[#This Row],[PREXC SUB-PROGRAM]],Table5[],2,FALSE)</f>
        <v>TECHNICAL AND SUPPORT SERVICES PROGRAM</v>
      </c>
      <c r="M244" s="51" t="str">
        <f>VLOOKUP(Table3[[#This Row],[COMMODITY PREXC SUB-PROGRAM]],TAGS!$U$54:$V$76,2,FALSE)</f>
        <v>PSS</v>
      </c>
      <c r="N244" s="47" t="s">
        <v>580</v>
      </c>
      <c r="O244" s="54" t="str">
        <f>VLOOKUP(Table3[[#This Row],[PI LEVEL 3]],'PI LEVEL'!A:C,3,FALSE)</f>
        <v>Fertilizers and other soil ammendment distributed</v>
      </c>
      <c r="P244" s="54" t="str">
        <f>VLOOKUP(Table3[[#This Row],[PI LEVEL 3]],Table53729[[Performance Indicator Level 3]:[Performance Indicator Level 1]],2,FALSE)</f>
        <v>Fertilizers distributed</v>
      </c>
      <c r="Q244" s="54" t="str">
        <f>VLOOKUP(Table3[[#This Row],[ACTIVITY]],TAGS!B:P,2,FALSE)</f>
        <v>Inorganic fertilizer distributed</v>
      </c>
      <c r="R244" s="47" t="s">
        <v>42</v>
      </c>
      <c r="S244" s="51" t="str">
        <f>VLOOKUP(Table3[[#This Row],[ACTIVITY]],TAGS!$B:$P,4,FALSE)</f>
        <v>Cassava Production Enhancement Project</v>
      </c>
      <c r="T244" s="51" t="str">
        <f>VLOOKUP(Table3[[#This Row],[ACTIVITY]],TAGS!$B:$P,5,FALSE)</f>
        <v>Soil Fertilization</v>
      </c>
      <c r="U244" s="51" t="str">
        <f>VLOOKUP(Table3[[#This Row],[ACTIVITY]],TAGS!$B:$P,6,FALSE)</f>
        <v>Inorganic fertilizer</v>
      </c>
      <c r="V244" s="51" t="str">
        <f>VLOOKUP(Table3[[#This Row],[ACTIVITY]],TAGS!$B:$P,7,FALSE)</f>
        <v>NO</v>
      </c>
      <c r="W244" s="51" t="str">
        <f>VLOOKUP(Table3[[#This Row],[ACTIVITY]],TAGS!$B:$P,8,FALSE)</f>
        <v>PAP</v>
      </c>
      <c r="X244" s="51" t="str">
        <f>VLOOKUP(Table3[[#This Row],[ACTIVITY]],TAGS!$B:$P,10,FALSE)</f>
        <v>PIP</v>
      </c>
      <c r="Y244" s="51" t="str">
        <f>VLOOKUP(Table3[[#This Row],[ACTIVITY]],TAGS!$B:$P,11,FALSE)</f>
        <v>PICS</v>
      </c>
      <c r="Z244" s="51" t="str">
        <f>VLOOKUP(Table3[[#This Row],[ACTIVITY]],TAGS!$B:$P,12,FALSE)</f>
        <v>Consolidation</v>
      </c>
      <c r="AA244" s="51" t="str">
        <f>VLOOKUP(Table3[[#This Row],[ACTIVITY]],TAGS!$B:$P,13,FALSE)</f>
        <v>1. Bayanihan Agri Cluster</v>
      </c>
      <c r="AB244" s="51" t="str">
        <f>VLOOKUP(Table3[[#This Row],[ACTIVITY]],TAGS!$B:$P,14,FALSE)</f>
        <v>EXPAND AND IMPROVE AVAILABLE AGRI-FISHERY AREAS FOR INCREASED PRODUCTION</v>
      </c>
      <c r="AC244" s="51" t="str">
        <f>VLOOKUP(Table3[[#This Row],[ACTIVITY]],TAGS!$B:$P,15,FALSE)</f>
        <v>Farm Inputs</v>
      </c>
      <c r="AD244" s="51" t="str">
        <f>VLOOKUP(Table3[[#This Row],[PI LEVEL 3]],'PI LEVEL'!$A:$G,7,FALSE)</f>
        <v>DA-Level Output</v>
      </c>
      <c r="AE244" s="47" t="s">
        <v>577</v>
      </c>
      <c r="AF244" s="51" t="str">
        <f>VLOOKUP(Table3[[#This Row],[ACTIVITY]],TAGS!$B:$P,3,FALSE)</f>
        <v>kilogram</v>
      </c>
      <c r="AG244" s="47" t="s">
        <v>335</v>
      </c>
      <c r="AH244" s="51" t="str">
        <f>VLOOKUP(Table3[[#This Row],[MONTH]],TAGS!$W$67:$Y$81,2,FALSE)</f>
        <v>3RD QTR</v>
      </c>
      <c r="AI244" s="51" t="str">
        <f>VLOOKUP(Table3[[#This Row],[MONTH]],TAGS!$W$67:$Y$81,3,FALSE)</f>
        <v>2ND SEMESTER</v>
      </c>
      <c r="AJ244" s="51">
        <f>VLOOKUP(Table3[[#This Row],[MONTH]],TAGS!$W$67:$Z$81,4,FALSE)</f>
        <v>2025</v>
      </c>
      <c r="AK244" s="47">
        <v>4500</v>
      </c>
      <c r="AL244" s="51" t="str">
        <f>VLOOKUP(Table3[[#This Row],[ACTIVITY]],TAGS!$B:$R,16,FALSE)</f>
        <v>YES</v>
      </c>
      <c r="AM244" s="47">
        <v>45</v>
      </c>
      <c r="AN244" s="47">
        <v>202.5</v>
      </c>
      <c r="AO244" s="57">
        <f>SUM(Table3[[#This Row],[MALE BENEFICIARIES]:[FEMALE BENEFICIARIES]])</f>
        <v>0</v>
      </c>
      <c r="AP244" s="58"/>
      <c r="AQ244" s="58"/>
      <c r="AR244" s="58"/>
      <c r="AS244" s="58">
        <v>1</v>
      </c>
      <c r="AT244" s="59">
        <v>45</v>
      </c>
      <c r="AU244" s="59"/>
      <c r="AV244" s="59"/>
      <c r="AW244" s="59"/>
      <c r="AX244" s="59"/>
      <c r="AY244" s="59"/>
      <c r="AZ244" s="59"/>
      <c r="BA244" s="59"/>
      <c r="BB244" s="59"/>
      <c r="BC244" s="59"/>
      <c r="BD244" s="59"/>
      <c r="BE244" s="59"/>
      <c r="BF244" s="59"/>
      <c r="BG244" s="59"/>
      <c r="BH244" s="59"/>
      <c r="BI244" s="59"/>
      <c r="BJ244" s="59"/>
      <c r="BK244" s="59"/>
      <c r="BL244" s="59"/>
      <c r="BM244" s="59"/>
    </row>
    <row r="245" spans="1:65">
      <c r="A245" s="51" t="str">
        <f>VLOOKUP(Table3[[#This Row],[OU]],OU!$A$15:$B$34,2,FALSE)</f>
        <v>RFOs</v>
      </c>
      <c r="B245" s="47" t="s">
        <v>5</v>
      </c>
      <c r="C245" s="47" t="s">
        <v>574</v>
      </c>
      <c r="D245" s="47"/>
      <c r="E245" s="47" t="s">
        <v>63</v>
      </c>
      <c r="F245" s="47" t="s">
        <v>691</v>
      </c>
      <c r="G24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24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25003000</v>
      </c>
      <c r="I245" s="52" t="str">
        <f>VLOOKUP(Table3[[#This Row],[PSGC]],DISTRICT!$D:$G,4,FALSE)</f>
        <v>2nd</v>
      </c>
      <c r="J245" s="47" t="s">
        <v>579</v>
      </c>
      <c r="K245" s="51" t="str">
        <f>VLOOKUP(Table3[[#This Row],[SPECIFIC COMMODITY]],TAGS!$W$48:$X$53,2,FALSE)</f>
        <v>Cassava</v>
      </c>
      <c r="L245" s="51" t="str">
        <f>VLOOKUP(Table3[[#This Row],[PREXC SUB-PROGRAM]],Table5[],2,FALSE)</f>
        <v>TECHNICAL AND SUPPORT SERVICES PROGRAM</v>
      </c>
      <c r="M245" s="51" t="str">
        <f>VLOOKUP(Table3[[#This Row],[COMMODITY PREXC SUB-PROGRAM]],TAGS!$U$54:$V$76,2,FALSE)</f>
        <v>PSS</v>
      </c>
      <c r="N245" s="47" t="s">
        <v>580</v>
      </c>
      <c r="O245" s="54" t="str">
        <f>VLOOKUP(Table3[[#This Row],[PI LEVEL 3]],'PI LEVEL'!A:C,3,FALSE)</f>
        <v>Fertilizers and other soil ammendment distributed</v>
      </c>
      <c r="P245" s="54" t="str">
        <f>VLOOKUP(Table3[[#This Row],[PI LEVEL 3]],Table53729[[Performance Indicator Level 3]:[Performance Indicator Level 1]],2,FALSE)</f>
        <v>Fertilizers distributed</v>
      </c>
      <c r="Q245" s="54" t="str">
        <f>VLOOKUP(Table3[[#This Row],[ACTIVITY]],TAGS!B:P,2,FALSE)</f>
        <v>Inorganic fertilizer distributed</v>
      </c>
      <c r="R245" s="47" t="s">
        <v>42</v>
      </c>
      <c r="S245" s="51" t="str">
        <f>VLOOKUP(Table3[[#This Row],[ACTIVITY]],TAGS!$B:$P,4,FALSE)</f>
        <v>Cassava Production Enhancement Project</v>
      </c>
      <c r="T245" s="51" t="str">
        <f>VLOOKUP(Table3[[#This Row],[ACTIVITY]],TAGS!$B:$P,5,FALSE)</f>
        <v>Soil Fertilization</v>
      </c>
      <c r="U245" s="51" t="str">
        <f>VLOOKUP(Table3[[#This Row],[ACTIVITY]],TAGS!$B:$P,6,FALSE)</f>
        <v>Inorganic fertilizer</v>
      </c>
      <c r="V245" s="51" t="str">
        <f>VLOOKUP(Table3[[#This Row],[ACTIVITY]],TAGS!$B:$P,7,FALSE)</f>
        <v>NO</v>
      </c>
      <c r="W245" s="51" t="str">
        <f>VLOOKUP(Table3[[#This Row],[ACTIVITY]],TAGS!$B:$P,8,FALSE)</f>
        <v>PAP</v>
      </c>
      <c r="X245" s="51" t="str">
        <f>VLOOKUP(Table3[[#This Row],[ACTIVITY]],TAGS!$B:$P,10,FALSE)</f>
        <v>PIP</v>
      </c>
      <c r="Y245" s="51" t="str">
        <f>VLOOKUP(Table3[[#This Row],[ACTIVITY]],TAGS!$B:$P,11,FALSE)</f>
        <v>PICS</v>
      </c>
      <c r="Z245" s="51" t="str">
        <f>VLOOKUP(Table3[[#This Row],[ACTIVITY]],TAGS!$B:$P,12,FALSE)</f>
        <v>Consolidation</v>
      </c>
      <c r="AA245" s="51" t="str">
        <f>VLOOKUP(Table3[[#This Row],[ACTIVITY]],TAGS!$B:$P,13,FALSE)</f>
        <v>1. Bayanihan Agri Cluster</v>
      </c>
      <c r="AB245" s="51" t="str">
        <f>VLOOKUP(Table3[[#This Row],[ACTIVITY]],TAGS!$B:$P,14,FALSE)</f>
        <v>EXPAND AND IMPROVE AVAILABLE AGRI-FISHERY AREAS FOR INCREASED PRODUCTION</v>
      </c>
      <c r="AC245" s="51" t="str">
        <f>VLOOKUP(Table3[[#This Row],[ACTIVITY]],TAGS!$B:$P,15,FALSE)</f>
        <v>Farm Inputs</v>
      </c>
      <c r="AD245" s="51" t="str">
        <f>VLOOKUP(Table3[[#This Row],[PI LEVEL 3]],'PI LEVEL'!$A:$G,7,FALSE)</f>
        <v>DA-Level Output</v>
      </c>
      <c r="AE245" s="47" t="s">
        <v>577</v>
      </c>
      <c r="AF245" s="51" t="str">
        <f>VLOOKUP(Table3[[#This Row],[ACTIVITY]],TAGS!$B:$P,3,FALSE)</f>
        <v>kilogram</v>
      </c>
      <c r="AG245" s="47" t="s">
        <v>335</v>
      </c>
      <c r="AH245" s="51" t="str">
        <f>VLOOKUP(Table3[[#This Row],[MONTH]],TAGS!$W$67:$Y$81,2,FALSE)</f>
        <v>3RD QTR</v>
      </c>
      <c r="AI245" s="51" t="str">
        <f>VLOOKUP(Table3[[#This Row],[MONTH]],TAGS!$W$67:$Y$81,3,FALSE)</f>
        <v>2ND SEMESTER</v>
      </c>
      <c r="AJ245" s="51">
        <f>VLOOKUP(Table3[[#This Row],[MONTH]],TAGS!$W$67:$Z$81,4,FALSE)</f>
        <v>2025</v>
      </c>
      <c r="AK245" s="47">
        <v>1000</v>
      </c>
      <c r="AL245" s="51" t="str">
        <f>VLOOKUP(Table3[[#This Row],[ACTIVITY]],TAGS!$B:$R,16,FALSE)</f>
        <v>YES</v>
      </c>
      <c r="AM245" s="47">
        <v>10</v>
      </c>
      <c r="AN245" s="47">
        <v>45</v>
      </c>
      <c r="AO245" s="57">
        <f>SUM(Table3[[#This Row],[MALE BENEFICIARIES]:[FEMALE BENEFICIARIES]])</f>
        <v>0</v>
      </c>
      <c r="AP245" s="58"/>
      <c r="AQ245" s="58"/>
      <c r="AR245" s="58"/>
      <c r="AS245" s="58">
        <v>1</v>
      </c>
      <c r="AT245" s="59">
        <v>10</v>
      </c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  <c r="BG245" s="59"/>
      <c r="BH245" s="59"/>
      <c r="BI245" s="59"/>
      <c r="BJ245" s="59"/>
      <c r="BK245" s="59"/>
      <c r="BL245" s="59"/>
      <c r="BM245" s="59"/>
    </row>
    <row r="246" spans="1:65">
      <c r="A246" s="51" t="str">
        <f>VLOOKUP(Table3[[#This Row],[OU]],OU!$A$15:$B$34,2,FALSE)</f>
        <v>RFOs</v>
      </c>
      <c r="B246" s="47" t="s">
        <v>5</v>
      </c>
      <c r="C246" s="47" t="s">
        <v>574</v>
      </c>
      <c r="D246" s="47"/>
      <c r="E246" s="47" t="s">
        <v>63</v>
      </c>
      <c r="F246" s="47" t="s">
        <v>681</v>
      </c>
      <c r="G24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24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25011000</v>
      </c>
      <c r="I246" s="52" t="str">
        <f>VLOOKUP(Table3[[#This Row],[PSGC]],DISTRICT!$D:$G,4,FALSE)</f>
        <v>4th</v>
      </c>
      <c r="J246" s="47" t="s">
        <v>579</v>
      </c>
      <c r="K246" s="51" t="str">
        <f>VLOOKUP(Table3[[#This Row],[SPECIFIC COMMODITY]],TAGS!$W$48:$X$53,2,FALSE)</f>
        <v>Cassava</v>
      </c>
      <c r="L246" s="51" t="str">
        <f>VLOOKUP(Table3[[#This Row],[PREXC SUB-PROGRAM]],Table5[],2,FALSE)</f>
        <v>TECHNICAL AND SUPPORT SERVICES PROGRAM</v>
      </c>
      <c r="M246" s="51" t="str">
        <f>VLOOKUP(Table3[[#This Row],[COMMODITY PREXC SUB-PROGRAM]],TAGS!$U$54:$V$76,2,FALSE)</f>
        <v>PSS</v>
      </c>
      <c r="N246" s="47" t="s">
        <v>580</v>
      </c>
      <c r="O246" s="54" t="str">
        <f>VLOOKUP(Table3[[#This Row],[PI LEVEL 3]],'PI LEVEL'!A:C,3,FALSE)</f>
        <v>Fertilizers and other soil ammendment distributed</v>
      </c>
      <c r="P246" s="54" t="str">
        <f>VLOOKUP(Table3[[#This Row],[PI LEVEL 3]],Table53729[[Performance Indicator Level 3]:[Performance Indicator Level 1]],2,FALSE)</f>
        <v>Fertilizers distributed</v>
      </c>
      <c r="Q246" s="54" t="str">
        <f>VLOOKUP(Table3[[#This Row],[ACTIVITY]],TAGS!B:P,2,FALSE)</f>
        <v>Inorganic fertilizer distributed</v>
      </c>
      <c r="R246" s="47" t="s">
        <v>42</v>
      </c>
      <c r="S246" s="51" t="str">
        <f>VLOOKUP(Table3[[#This Row],[ACTIVITY]],TAGS!$B:$P,4,FALSE)</f>
        <v>Cassava Production Enhancement Project</v>
      </c>
      <c r="T246" s="51" t="str">
        <f>VLOOKUP(Table3[[#This Row],[ACTIVITY]],TAGS!$B:$P,5,FALSE)</f>
        <v>Soil Fertilization</v>
      </c>
      <c r="U246" s="51" t="str">
        <f>VLOOKUP(Table3[[#This Row],[ACTIVITY]],TAGS!$B:$P,6,FALSE)</f>
        <v>Inorganic fertilizer</v>
      </c>
      <c r="V246" s="51" t="str">
        <f>VLOOKUP(Table3[[#This Row],[ACTIVITY]],TAGS!$B:$P,7,FALSE)</f>
        <v>NO</v>
      </c>
      <c r="W246" s="51" t="str">
        <f>VLOOKUP(Table3[[#This Row],[ACTIVITY]],TAGS!$B:$P,8,FALSE)</f>
        <v>PAP</v>
      </c>
      <c r="X246" s="51" t="str">
        <f>VLOOKUP(Table3[[#This Row],[ACTIVITY]],TAGS!$B:$P,10,FALSE)</f>
        <v>PIP</v>
      </c>
      <c r="Y246" s="51" t="str">
        <f>VLOOKUP(Table3[[#This Row],[ACTIVITY]],TAGS!$B:$P,11,FALSE)</f>
        <v>PICS</v>
      </c>
      <c r="Z246" s="51" t="str">
        <f>VLOOKUP(Table3[[#This Row],[ACTIVITY]],TAGS!$B:$P,12,FALSE)</f>
        <v>Consolidation</v>
      </c>
      <c r="AA246" s="51" t="str">
        <f>VLOOKUP(Table3[[#This Row],[ACTIVITY]],TAGS!$B:$P,13,FALSE)</f>
        <v>1. Bayanihan Agri Cluster</v>
      </c>
      <c r="AB246" s="51" t="str">
        <f>VLOOKUP(Table3[[#This Row],[ACTIVITY]],TAGS!$B:$P,14,FALSE)</f>
        <v>EXPAND AND IMPROVE AVAILABLE AGRI-FISHERY AREAS FOR INCREASED PRODUCTION</v>
      </c>
      <c r="AC246" s="51" t="str">
        <f>VLOOKUP(Table3[[#This Row],[ACTIVITY]],TAGS!$B:$P,15,FALSE)</f>
        <v>Farm Inputs</v>
      </c>
      <c r="AD246" s="51" t="str">
        <f>VLOOKUP(Table3[[#This Row],[PI LEVEL 3]],'PI LEVEL'!$A:$G,7,FALSE)</f>
        <v>DA-Level Output</v>
      </c>
      <c r="AE246" s="47" t="s">
        <v>577</v>
      </c>
      <c r="AF246" s="51" t="str">
        <f>VLOOKUP(Table3[[#This Row],[ACTIVITY]],TAGS!$B:$P,3,FALSE)</f>
        <v>kilogram</v>
      </c>
      <c r="AG246" s="47" t="s">
        <v>337</v>
      </c>
      <c r="AH246" s="51" t="str">
        <f>VLOOKUP(Table3[[#This Row],[MONTH]],TAGS!$W$67:$Y$81,2,FALSE)</f>
        <v>4TH QTR</v>
      </c>
      <c r="AI246" s="51" t="str">
        <f>VLOOKUP(Table3[[#This Row],[MONTH]],TAGS!$W$67:$Y$81,3,FALSE)</f>
        <v>2ND SEMESTER</v>
      </c>
      <c r="AJ246" s="51">
        <f>VLOOKUP(Table3[[#This Row],[MONTH]],TAGS!$W$67:$Z$81,4,FALSE)</f>
        <v>2025</v>
      </c>
      <c r="AK246" s="47">
        <v>1950</v>
      </c>
      <c r="AL246" s="51" t="str">
        <f>VLOOKUP(Table3[[#This Row],[ACTIVITY]],TAGS!$B:$R,16,FALSE)</f>
        <v>YES</v>
      </c>
      <c r="AM246" s="47">
        <v>19.5</v>
      </c>
      <c r="AN246" s="47">
        <v>87.75</v>
      </c>
      <c r="AO246" s="57">
        <f>SUM(Table3[[#This Row],[MALE BENEFICIARIES]:[FEMALE BENEFICIARIES]])</f>
        <v>0</v>
      </c>
      <c r="AP246" s="58"/>
      <c r="AQ246" s="58"/>
      <c r="AR246" s="58"/>
      <c r="AS246" s="58">
        <v>1</v>
      </c>
      <c r="AT246" s="59">
        <v>20</v>
      </c>
      <c r="AU246" s="59"/>
      <c r="AV246" s="59"/>
      <c r="AW246" s="59"/>
      <c r="AX246" s="59"/>
      <c r="AY246" s="59"/>
      <c r="AZ246" s="59"/>
      <c r="BA246" s="59"/>
      <c r="BB246" s="59"/>
      <c r="BC246" s="59"/>
      <c r="BD246" s="59"/>
      <c r="BE246" s="59"/>
      <c r="BF246" s="59"/>
      <c r="BG246" s="59"/>
      <c r="BH246" s="59"/>
      <c r="BI246" s="59"/>
      <c r="BJ246" s="59"/>
      <c r="BK246" s="59"/>
      <c r="BL246" s="59"/>
      <c r="BM246" s="59"/>
    </row>
    <row r="247" spans="1:65">
      <c r="A247" s="51" t="str">
        <f>VLOOKUP(Table3[[#This Row],[OU]],OU!$A$15:$B$34,2,FALSE)</f>
        <v>RFOs</v>
      </c>
      <c r="B247" s="47" t="s">
        <v>5</v>
      </c>
      <c r="C247" s="47" t="s">
        <v>574</v>
      </c>
      <c r="D247" s="47"/>
      <c r="E247" s="47" t="s">
        <v>70</v>
      </c>
      <c r="F247" s="47" t="s">
        <v>634</v>
      </c>
      <c r="G24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24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25701000</v>
      </c>
      <c r="I247" s="52" t="str">
        <f>VLOOKUP(Table3[[#This Row],[PSGC]],DISTRICT!$D:$G,4,FALSE)</f>
        <v>3rd</v>
      </c>
      <c r="J247" s="47" t="s">
        <v>579</v>
      </c>
      <c r="K247" s="51" t="str">
        <f>VLOOKUP(Table3[[#This Row],[SPECIFIC COMMODITY]],TAGS!$W$48:$X$53,2,FALSE)</f>
        <v>Cassava</v>
      </c>
      <c r="L247" s="51" t="str">
        <f>VLOOKUP(Table3[[#This Row],[PREXC SUB-PROGRAM]],Table5[],2,FALSE)</f>
        <v>TECHNICAL AND SUPPORT SERVICES PROGRAM</v>
      </c>
      <c r="M247" s="51" t="str">
        <f>VLOOKUP(Table3[[#This Row],[COMMODITY PREXC SUB-PROGRAM]],TAGS!$U$54:$V$76,2,FALSE)</f>
        <v>PSS</v>
      </c>
      <c r="N247" s="47" t="s">
        <v>580</v>
      </c>
      <c r="O247" s="54" t="str">
        <f>VLOOKUP(Table3[[#This Row],[PI LEVEL 3]],'PI LEVEL'!A:C,3,FALSE)</f>
        <v>Fertilizers and other soil ammendment distributed</v>
      </c>
      <c r="P247" s="54" t="str">
        <f>VLOOKUP(Table3[[#This Row],[PI LEVEL 3]],Table53729[[Performance Indicator Level 3]:[Performance Indicator Level 1]],2,FALSE)</f>
        <v>Fertilizers distributed</v>
      </c>
      <c r="Q247" s="54" t="str">
        <f>VLOOKUP(Table3[[#This Row],[ACTIVITY]],TAGS!B:P,2,FALSE)</f>
        <v>Inorganic fertilizer distributed</v>
      </c>
      <c r="R247" s="47" t="s">
        <v>42</v>
      </c>
      <c r="S247" s="51" t="str">
        <f>VLOOKUP(Table3[[#This Row],[ACTIVITY]],TAGS!$B:$P,4,FALSE)</f>
        <v>Cassava Production Enhancement Project</v>
      </c>
      <c r="T247" s="51" t="str">
        <f>VLOOKUP(Table3[[#This Row],[ACTIVITY]],TAGS!$B:$P,5,FALSE)</f>
        <v>Soil Fertilization</v>
      </c>
      <c r="U247" s="51" t="str">
        <f>VLOOKUP(Table3[[#This Row],[ACTIVITY]],TAGS!$B:$P,6,FALSE)</f>
        <v>Inorganic fertilizer</v>
      </c>
      <c r="V247" s="51" t="str">
        <f>VLOOKUP(Table3[[#This Row],[ACTIVITY]],TAGS!$B:$P,7,FALSE)</f>
        <v>NO</v>
      </c>
      <c r="W247" s="51" t="str">
        <f>VLOOKUP(Table3[[#This Row],[ACTIVITY]],TAGS!$B:$P,8,FALSE)</f>
        <v>PAP</v>
      </c>
      <c r="X247" s="51" t="str">
        <f>VLOOKUP(Table3[[#This Row],[ACTIVITY]],TAGS!$B:$P,10,FALSE)</f>
        <v>PIP</v>
      </c>
      <c r="Y247" s="51" t="str">
        <f>VLOOKUP(Table3[[#This Row],[ACTIVITY]],TAGS!$B:$P,11,FALSE)</f>
        <v>PICS</v>
      </c>
      <c r="Z247" s="51" t="str">
        <f>VLOOKUP(Table3[[#This Row],[ACTIVITY]],TAGS!$B:$P,12,FALSE)</f>
        <v>Consolidation</v>
      </c>
      <c r="AA247" s="51" t="str">
        <f>VLOOKUP(Table3[[#This Row],[ACTIVITY]],TAGS!$B:$P,13,FALSE)</f>
        <v>1. Bayanihan Agri Cluster</v>
      </c>
      <c r="AB247" s="51" t="str">
        <f>VLOOKUP(Table3[[#This Row],[ACTIVITY]],TAGS!$B:$P,14,FALSE)</f>
        <v>EXPAND AND IMPROVE AVAILABLE AGRI-FISHERY AREAS FOR INCREASED PRODUCTION</v>
      </c>
      <c r="AC247" s="51" t="str">
        <f>VLOOKUP(Table3[[#This Row],[ACTIVITY]],TAGS!$B:$P,15,FALSE)</f>
        <v>Farm Inputs</v>
      </c>
      <c r="AD247" s="51" t="str">
        <f>VLOOKUP(Table3[[#This Row],[PI LEVEL 3]],'PI LEVEL'!$A:$G,7,FALSE)</f>
        <v>DA-Level Output</v>
      </c>
      <c r="AE247" s="47" t="s">
        <v>577</v>
      </c>
      <c r="AF247" s="51" t="str">
        <f>VLOOKUP(Table3[[#This Row],[ACTIVITY]],TAGS!$B:$P,3,FALSE)</f>
        <v>kilogram</v>
      </c>
      <c r="AG247" s="47" t="s">
        <v>335</v>
      </c>
      <c r="AH247" s="51" t="str">
        <f>VLOOKUP(Table3[[#This Row],[MONTH]],TAGS!$W$67:$Y$81,2,FALSE)</f>
        <v>3RD QTR</v>
      </c>
      <c r="AI247" s="51" t="str">
        <f>VLOOKUP(Table3[[#This Row],[MONTH]],TAGS!$W$67:$Y$81,3,FALSE)</f>
        <v>2ND SEMESTER</v>
      </c>
      <c r="AJ247" s="51">
        <f>VLOOKUP(Table3[[#This Row],[MONTH]],TAGS!$W$67:$Z$81,4,FALSE)</f>
        <v>2025</v>
      </c>
      <c r="AK247" s="47">
        <v>4900</v>
      </c>
      <c r="AL247" s="51" t="str">
        <f>VLOOKUP(Table3[[#This Row],[ACTIVITY]],TAGS!$B:$R,16,FALSE)</f>
        <v>YES</v>
      </c>
      <c r="AM247" s="47">
        <v>49</v>
      </c>
      <c r="AN247" s="47">
        <v>220.5</v>
      </c>
      <c r="AO247" s="57">
        <f>SUM(Table3[[#This Row],[MALE BENEFICIARIES]:[FEMALE BENEFICIARIES]])</f>
        <v>0</v>
      </c>
      <c r="AP247" s="58"/>
      <c r="AQ247" s="58"/>
      <c r="AR247" s="58"/>
      <c r="AS247" s="58">
        <v>1</v>
      </c>
      <c r="AT247" s="59">
        <v>49</v>
      </c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</row>
    <row r="248" spans="1:65">
      <c r="A248" s="51" t="str">
        <f>VLOOKUP(Table3[[#This Row],[OU]],OU!$A$15:$B$34,2,FALSE)</f>
        <v>RFOs</v>
      </c>
      <c r="B248" s="47" t="s">
        <v>5</v>
      </c>
      <c r="C248" s="47" t="s">
        <v>574</v>
      </c>
      <c r="D248" s="47"/>
      <c r="E248" s="47" t="s">
        <v>70</v>
      </c>
      <c r="F248" s="47" t="s">
        <v>635</v>
      </c>
      <c r="G24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24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25702000</v>
      </c>
      <c r="I248" s="52" t="str">
        <f>VLOOKUP(Table3[[#This Row],[PSGC]],DISTRICT!$D:$G,4,FALSE)</f>
        <v>3rd</v>
      </c>
      <c r="J248" s="47" t="s">
        <v>579</v>
      </c>
      <c r="K248" s="51" t="str">
        <f>VLOOKUP(Table3[[#This Row],[SPECIFIC COMMODITY]],TAGS!$W$48:$X$53,2,FALSE)</f>
        <v>Cassava</v>
      </c>
      <c r="L248" s="51" t="str">
        <f>VLOOKUP(Table3[[#This Row],[PREXC SUB-PROGRAM]],Table5[],2,FALSE)</f>
        <v>TECHNICAL AND SUPPORT SERVICES PROGRAM</v>
      </c>
      <c r="M248" s="51" t="str">
        <f>VLOOKUP(Table3[[#This Row],[COMMODITY PREXC SUB-PROGRAM]],TAGS!$U$54:$V$76,2,FALSE)</f>
        <v>PSS</v>
      </c>
      <c r="N248" s="47" t="s">
        <v>580</v>
      </c>
      <c r="O248" s="54" t="str">
        <f>VLOOKUP(Table3[[#This Row],[PI LEVEL 3]],'PI LEVEL'!A:C,3,FALSE)</f>
        <v>Fertilizers and other soil ammendment distributed</v>
      </c>
      <c r="P248" s="54" t="str">
        <f>VLOOKUP(Table3[[#This Row],[PI LEVEL 3]],Table53729[[Performance Indicator Level 3]:[Performance Indicator Level 1]],2,FALSE)</f>
        <v>Fertilizers distributed</v>
      </c>
      <c r="Q248" s="54" t="str">
        <f>VLOOKUP(Table3[[#This Row],[ACTIVITY]],TAGS!B:P,2,FALSE)</f>
        <v>Inorganic fertilizer distributed</v>
      </c>
      <c r="R248" s="47" t="s">
        <v>42</v>
      </c>
      <c r="S248" s="51" t="str">
        <f>VLOOKUP(Table3[[#This Row],[ACTIVITY]],TAGS!$B:$P,4,FALSE)</f>
        <v>Cassava Production Enhancement Project</v>
      </c>
      <c r="T248" s="51" t="str">
        <f>VLOOKUP(Table3[[#This Row],[ACTIVITY]],TAGS!$B:$P,5,FALSE)</f>
        <v>Soil Fertilization</v>
      </c>
      <c r="U248" s="51" t="str">
        <f>VLOOKUP(Table3[[#This Row],[ACTIVITY]],TAGS!$B:$P,6,FALSE)</f>
        <v>Inorganic fertilizer</v>
      </c>
      <c r="V248" s="51" t="str">
        <f>VLOOKUP(Table3[[#This Row],[ACTIVITY]],TAGS!$B:$P,7,FALSE)</f>
        <v>NO</v>
      </c>
      <c r="W248" s="51" t="str">
        <f>VLOOKUP(Table3[[#This Row],[ACTIVITY]],TAGS!$B:$P,8,FALSE)</f>
        <v>PAP</v>
      </c>
      <c r="X248" s="51" t="str">
        <f>VLOOKUP(Table3[[#This Row],[ACTIVITY]],TAGS!$B:$P,10,FALSE)</f>
        <v>PIP</v>
      </c>
      <c r="Y248" s="51" t="str">
        <f>VLOOKUP(Table3[[#This Row],[ACTIVITY]],TAGS!$B:$P,11,FALSE)</f>
        <v>PICS</v>
      </c>
      <c r="Z248" s="51" t="str">
        <f>VLOOKUP(Table3[[#This Row],[ACTIVITY]],TAGS!$B:$P,12,FALSE)</f>
        <v>Consolidation</v>
      </c>
      <c r="AA248" s="51" t="str">
        <f>VLOOKUP(Table3[[#This Row],[ACTIVITY]],TAGS!$B:$P,13,FALSE)</f>
        <v>1. Bayanihan Agri Cluster</v>
      </c>
      <c r="AB248" s="51" t="str">
        <f>VLOOKUP(Table3[[#This Row],[ACTIVITY]],TAGS!$B:$P,14,FALSE)</f>
        <v>EXPAND AND IMPROVE AVAILABLE AGRI-FISHERY AREAS FOR INCREASED PRODUCTION</v>
      </c>
      <c r="AC248" s="51" t="str">
        <f>VLOOKUP(Table3[[#This Row],[ACTIVITY]],TAGS!$B:$P,15,FALSE)</f>
        <v>Farm Inputs</v>
      </c>
      <c r="AD248" s="51" t="str">
        <f>VLOOKUP(Table3[[#This Row],[PI LEVEL 3]],'PI LEVEL'!$A:$G,7,FALSE)</f>
        <v>DA-Level Output</v>
      </c>
      <c r="AE248" s="47" t="s">
        <v>577</v>
      </c>
      <c r="AF248" s="51" t="str">
        <f>VLOOKUP(Table3[[#This Row],[ACTIVITY]],TAGS!$B:$P,3,FALSE)</f>
        <v>kilogram</v>
      </c>
      <c r="AG248" s="47" t="s">
        <v>335</v>
      </c>
      <c r="AH248" s="51" t="str">
        <f>VLOOKUP(Table3[[#This Row],[MONTH]],TAGS!$W$67:$Y$81,2,FALSE)</f>
        <v>3RD QTR</v>
      </c>
      <c r="AI248" s="51" t="str">
        <f>VLOOKUP(Table3[[#This Row],[MONTH]],TAGS!$W$67:$Y$81,3,FALSE)</f>
        <v>2ND SEMESTER</v>
      </c>
      <c r="AJ248" s="51">
        <f>VLOOKUP(Table3[[#This Row],[MONTH]],TAGS!$W$67:$Z$81,4,FALSE)</f>
        <v>2025</v>
      </c>
      <c r="AK248" s="47">
        <v>4900</v>
      </c>
      <c r="AL248" s="51" t="str">
        <f>VLOOKUP(Table3[[#This Row],[ACTIVITY]],TAGS!$B:$R,16,FALSE)</f>
        <v>YES</v>
      </c>
      <c r="AM248" s="47">
        <v>49</v>
      </c>
      <c r="AN248" s="47">
        <v>220.5</v>
      </c>
      <c r="AO248" s="57">
        <f>SUM(Table3[[#This Row],[MALE BENEFICIARIES]:[FEMALE BENEFICIARIES]])</f>
        <v>0</v>
      </c>
      <c r="AP248" s="58"/>
      <c r="AQ248" s="58"/>
      <c r="AR248" s="58"/>
      <c r="AS248" s="58">
        <v>1</v>
      </c>
      <c r="AT248" s="59">
        <v>49</v>
      </c>
      <c r="AU248" s="59"/>
      <c r="AV248" s="59"/>
      <c r="AW248" s="59"/>
      <c r="AX248" s="59"/>
      <c r="AY248" s="59"/>
      <c r="AZ248" s="59"/>
      <c r="BA248" s="59"/>
      <c r="BB248" s="59"/>
      <c r="BC248" s="59"/>
      <c r="BD248" s="59"/>
      <c r="BE248" s="59"/>
      <c r="BF248" s="59"/>
      <c r="BG248" s="59"/>
      <c r="BH248" s="59"/>
      <c r="BI248" s="59"/>
      <c r="BJ248" s="59"/>
      <c r="BK248" s="59"/>
      <c r="BL248" s="59"/>
      <c r="BM248" s="59"/>
    </row>
    <row r="249" spans="1:65">
      <c r="A249" s="51" t="str">
        <f>VLOOKUP(Table3[[#This Row],[OU]],OU!$A$15:$B$34,2,FALSE)</f>
        <v>RFOs</v>
      </c>
      <c r="B249" s="47" t="s">
        <v>5</v>
      </c>
      <c r="C249" s="47" t="s">
        <v>574</v>
      </c>
      <c r="D249" s="47"/>
      <c r="E249" s="47" t="s">
        <v>70</v>
      </c>
      <c r="F249" s="47" t="s">
        <v>636</v>
      </c>
      <c r="G24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24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25704000</v>
      </c>
      <c r="I249" s="52" t="str">
        <f>VLOOKUP(Table3[[#This Row],[PSGC]],DISTRICT!$D:$G,4,FALSE)</f>
        <v>1st</v>
      </c>
      <c r="J249" s="47" t="s">
        <v>579</v>
      </c>
      <c r="K249" s="51" t="str">
        <f>VLOOKUP(Table3[[#This Row],[SPECIFIC COMMODITY]],TAGS!$W$48:$X$53,2,FALSE)</f>
        <v>Cassava</v>
      </c>
      <c r="L249" s="51" t="str">
        <f>VLOOKUP(Table3[[#This Row],[PREXC SUB-PROGRAM]],Table5[],2,FALSE)</f>
        <v>TECHNICAL AND SUPPORT SERVICES PROGRAM</v>
      </c>
      <c r="M249" s="51" t="str">
        <f>VLOOKUP(Table3[[#This Row],[COMMODITY PREXC SUB-PROGRAM]],TAGS!$U$54:$V$76,2,FALSE)</f>
        <v>PSS</v>
      </c>
      <c r="N249" s="47" t="s">
        <v>580</v>
      </c>
      <c r="O249" s="54" t="str">
        <f>VLOOKUP(Table3[[#This Row],[PI LEVEL 3]],'PI LEVEL'!A:C,3,FALSE)</f>
        <v>Fertilizers and other soil ammendment distributed</v>
      </c>
      <c r="P249" s="54" t="str">
        <f>VLOOKUP(Table3[[#This Row],[PI LEVEL 3]],Table53729[[Performance Indicator Level 3]:[Performance Indicator Level 1]],2,FALSE)</f>
        <v>Fertilizers distributed</v>
      </c>
      <c r="Q249" s="54" t="str">
        <f>VLOOKUP(Table3[[#This Row],[ACTIVITY]],TAGS!B:P,2,FALSE)</f>
        <v>Inorganic fertilizer distributed</v>
      </c>
      <c r="R249" s="47" t="s">
        <v>42</v>
      </c>
      <c r="S249" s="51" t="str">
        <f>VLOOKUP(Table3[[#This Row],[ACTIVITY]],TAGS!$B:$P,4,FALSE)</f>
        <v>Cassava Production Enhancement Project</v>
      </c>
      <c r="T249" s="51" t="str">
        <f>VLOOKUP(Table3[[#This Row],[ACTIVITY]],TAGS!$B:$P,5,FALSE)</f>
        <v>Soil Fertilization</v>
      </c>
      <c r="U249" s="51" t="str">
        <f>VLOOKUP(Table3[[#This Row],[ACTIVITY]],TAGS!$B:$P,6,FALSE)</f>
        <v>Inorganic fertilizer</v>
      </c>
      <c r="V249" s="51" t="str">
        <f>VLOOKUP(Table3[[#This Row],[ACTIVITY]],TAGS!$B:$P,7,FALSE)</f>
        <v>NO</v>
      </c>
      <c r="W249" s="51" t="str">
        <f>VLOOKUP(Table3[[#This Row],[ACTIVITY]],TAGS!$B:$P,8,FALSE)</f>
        <v>PAP</v>
      </c>
      <c r="X249" s="51" t="str">
        <f>VLOOKUP(Table3[[#This Row],[ACTIVITY]],TAGS!$B:$P,10,FALSE)</f>
        <v>PIP</v>
      </c>
      <c r="Y249" s="51" t="str">
        <f>VLOOKUP(Table3[[#This Row],[ACTIVITY]],TAGS!$B:$P,11,FALSE)</f>
        <v>PICS</v>
      </c>
      <c r="Z249" s="51" t="str">
        <f>VLOOKUP(Table3[[#This Row],[ACTIVITY]],TAGS!$B:$P,12,FALSE)</f>
        <v>Consolidation</v>
      </c>
      <c r="AA249" s="51" t="str">
        <f>VLOOKUP(Table3[[#This Row],[ACTIVITY]],TAGS!$B:$P,13,FALSE)</f>
        <v>1. Bayanihan Agri Cluster</v>
      </c>
      <c r="AB249" s="51" t="str">
        <f>VLOOKUP(Table3[[#This Row],[ACTIVITY]],TAGS!$B:$P,14,FALSE)</f>
        <v>EXPAND AND IMPROVE AVAILABLE AGRI-FISHERY AREAS FOR INCREASED PRODUCTION</v>
      </c>
      <c r="AC249" s="51" t="str">
        <f>VLOOKUP(Table3[[#This Row],[ACTIVITY]],TAGS!$B:$P,15,FALSE)</f>
        <v>Farm Inputs</v>
      </c>
      <c r="AD249" s="51" t="str">
        <f>VLOOKUP(Table3[[#This Row],[PI LEVEL 3]],'PI LEVEL'!$A:$G,7,FALSE)</f>
        <v>DA-Level Output</v>
      </c>
      <c r="AE249" s="47" t="s">
        <v>577</v>
      </c>
      <c r="AF249" s="51" t="str">
        <f>VLOOKUP(Table3[[#This Row],[ACTIVITY]],TAGS!$B:$P,3,FALSE)</f>
        <v>kilogram</v>
      </c>
      <c r="AG249" s="47" t="s">
        <v>334</v>
      </c>
      <c r="AH249" s="51" t="str">
        <f>VLOOKUP(Table3[[#This Row],[MONTH]],TAGS!$W$67:$Y$81,2,FALSE)</f>
        <v>3RD QTR</v>
      </c>
      <c r="AI249" s="51" t="str">
        <f>VLOOKUP(Table3[[#This Row],[MONTH]],TAGS!$W$67:$Y$81,3,FALSE)</f>
        <v>2ND SEMESTER</v>
      </c>
      <c r="AJ249" s="51">
        <f>VLOOKUP(Table3[[#This Row],[MONTH]],TAGS!$W$67:$Z$81,4,FALSE)</f>
        <v>2025</v>
      </c>
      <c r="AK249" s="47">
        <v>1950</v>
      </c>
      <c r="AL249" s="51" t="str">
        <f>VLOOKUP(Table3[[#This Row],[ACTIVITY]],TAGS!$B:$R,16,FALSE)</f>
        <v>YES</v>
      </c>
      <c r="AM249" s="47">
        <v>19.5</v>
      </c>
      <c r="AN249" s="47">
        <v>87.75</v>
      </c>
      <c r="AO249" s="57">
        <f>SUM(Table3[[#This Row],[MALE BENEFICIARIES]:[FEMALE BENEFICIARIES]])</f>
        <v>0</v>
      </c>
      <c r="AP249" s="58"/>
      <c r="AQ249" s="58"/>
      <c r="AR249" s="58"/>
      <c r="AS249" s="58">
        <v>1</v>
      </c>
      <c r="AT249" s="59">
        <v>20</v>
      </c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</row>
    <row r="250" spans="1:65">
      <c r="A250" s="51" t="str">
        <f>VLOOKUP(Table3[[#This Row],[OU]],OU!$A$15:$B$34,2,FALSE)</f>
        <v>RFOs</v>
      </c>
      <c r="B250" s="47" t="s">
        <v>5</v>
      </c>
      <c r="C250" s="47" t="s">
        <v>574</v>
      </c>
      <c r="D250" s="47"/>
      <c r="E250" s="47" t="s">
        <v>78</v>
      </c>
      <c r="F250" s="47" t="s">
        <v>77</v>
      </c>
      <c r="G25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5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50" s="52" t="e">
        <f>VLOOKUP(Table3[[#This Row],[PSGC]],DISTRICT!$D:$G,4,FALSE)</f>
        <v>#N/A</v>
      </c>
      <c r="J250" s="47" t="s">
        <v>579</v>
      </c>
      <c r="K250" s="51" t="str">
        <f>VLOOKUP(Table3[[#This Row],[SPECIFIC COMMODITY]],TAGS!$W$48:$X$53,2,FALSE)</f>
        <v>Cassava</v>
      </c>
      <c r="L250" s="51" t="str">
        <f>VLOOKUP(Table3[[#This Row],[PREXC SUB-PROGRAM]],Table5[],2,FALSE)</f>
        <v>TECHNICAL AND SUPPORT SERVICES PROGRAM</v>
      </c>
      <c r="M250" s="51" t="str">
        <f>VLOOKUP(Table3[[#This Row],[COMMODITY PREXC SUB-PROGRAM]],TAGS!$U$54:$V$76,2,FALSE)</f>
        <v>PSS</v>
      </c>
      <c r="N250" s="47" t="s">
        <v>580</v>
      </c>
      <c r="O250" s="54" t="str">
        <f>VLOOKUP(Table3[[#This Row],[PI LEVEL 3]],'PI LEVEL'!A:C,3,FALSE)</f>
        <v>Agri-chemicals reserved</v>
      </c>
      <c r="P250" s="54" t="str">
        <f>VLOOKUP(Table3[[#This Row],[PI LEVEL 3]],Table53729[[Performance Indicator Level 3]:[Performance Indicator Level 1]],2,FALSE)</f>
        <v>Agri-chemicals reserved</v>
      </c>
      <c r="Q250" s="54" t="str">
        <f>VLOOKUP(Table3[[#This Row],[ACTIVITY]],TAGS!B:P,2,FALSE)</f>
        <v>Agri-chemicals reserved (pc)</v>
      </c>
      <c r="R250" s="47" t="s">
        <v>92</v>
      </c>
      <c r="S250" s="51" t="str">
        <f>VLOOKUP(Table3[[#This Row],[ACTIVITY]],TAGS!$B:$P,4,FALSE)</f>
        <v>Pest and Disease Management</v>
      </c>
      <c r="T250" s="51" t="str">
        <f>VLOOKUP(Table3[[#This Row],[ACTIVITY]],TAGS!$B:$P,5,FALSE)</f>
        <v>Agricultural Chemicals</v>
      </c>
      <c r="U250" s="51" t="str">
        <f>VLOOKUP(Table3[[#This Row],[ACTIVITY]],TAGS!$B:$P,6,FALSE)</f>
        <v>Streptomycin</v>
      </c>
      <c r="V250" s="51" t="str">
        <f>VLOOKUP(Table3[[#This Row],[ACTIVITY]],TAGS!$B:$P,7,FALSE)</f>
        <v>NO</v>
      </c>
      <c r="W250" s="51" t="str">
        <f>VLOOKUP(Table3[[#This Row],[ACTIVITY]],TAGS!$B:$P,8,FALSE)</f>
        <v>PAP</v>
      </c>
      <c r="X250" s="51" t="str">
        <f>VLOOKUP(Table3[[#This Row],[ACTIVITY]],TAGS!$B:$P,10,FALSE)</f>
        <v>PIP</v>
      </c>
      <c r="Y250" s="51" t="str">
        <f>VLOOKUP(Table3[[#This Row],[ACTIVITY]],TAGS!$B:$P,11,FALSE)</f>
        <v>PICS</v>
      </c>
      <c r="Z250" s="51" t="str">
        <f>VLOOKUP(Table3[[#This Row],[ACTIVITY]],TAGS!$B:$P,12,FALSE)</f>
        <v>Modernization</v>
      </c>
      <c r="AA250" s="51" t="str">
        <f>VLOOKUP(Table3[[#This Row],[ACTIVITY]],TAGS!$B:$P,13,FALSE)</f>
        <v>9. Climate Change Adaptation &amp; Mitigation Measures</v>
      </c>
      <c r="AB250" s="51" t="str">
        <f>VLOOKUP(Table3[[#This Row],[ACTIVITY]],TAGS!$B:$P,14,FALSE)</f>
        <v>EXPAND AND IMPROVE AVAILABLE AGRI-FISHERY AREAS FOR INCREASED PRODUCTION</v>
      </c>
      <c r="AC250" s="51" t="str">
        <f>VLOOKUP(Table3[[#This Row],[ACTIVITY]],TAGS!$B:$P,15,FALSE)</f>
        <v>Agrichemicals</v>
      </c>
      <c r="AD250" s="51" t="str">
        <f>VLOOKUP(Table3[[#This Row],[PI LEVEL 3]],'PI LEVEL'!$A:$G,7,FALSE)</f>
        <v>DA-Level Output</v>
      </c>
      <c r="AE250" s="47" t="s">
        <v>577</v>
      </c>
      <c r="AF250" s="51" t="str">
        <f>VLOOKUP(Table3[[#This Row],[ACTIVITY]],TAGS!$B:$P,3,FALSE)</f>
        <v>pack</v>
      </c>
      <c r="AG250" s="47" t="s">
        <v>331</v>
      </c>
      <c r="AH250" s="51" t="str">
        <f>VLOOKUP(Table3[[#This Row],[MONTH]],TAGS!$W$67:$Y$81,2,FALSE)</f>
        <v>2ND QTR</v>
      </c>
      <c r="AI250" s="51" t="str">
        <f>VLOOKUP(Table3[[#This Row],[MONTH]],TAGS!$W$67:$Y$81,3,FALSE)</f>
        <v>1ST SEMESTER</v>
      </c>
      <c r="AJ250" s="51">
        <f>VLOOKUP(Table3[[#This Row],[MONTH]],TAGS!$W$67:$Z$81,4,FALSE)</f>
        <v>2025</v>
      </c>
      <c r="AK250" s="47">
        <v>10000</v>
      </c>
      <c r="AL250" s="51" t="str">
        <f>VLOOKUP(Table3[[#This Row],[ACTIVITY]],TAGS!$B:$R,16,FALSE)</f>
        <v>YES</v>
      </c>
      <c r="AM250" s="47">
        <v>1000</v>
      </c>
      <c r="AN250" s="47">
        <v>4000</v>
      </c>
      <c r="AO250" s="57">
        <f>SUM(Table3[[#This Row],[MALE BENEFICIARIES]:[FEMALE BENEFICIARIES]])</f>
        <v>0</v>
      </c>
      <c r="AP250" s="58"/>
      <c r="AQ250" s="58"/>
      <c r="AR250" s="58"/>
      <c r="AS250" s="58"/>
      <c r="AT250" s="59" t="str">
        <f>VLOOKUP(Table3[[#This Row],[ACTIVITY]],TAGS!$B:$R,17,FALSE)</f>
        <v>NO</v>
      </c>
      <c r="AU250" s="59"/>
      <c r="AV250" s="59"/>
      <c r="AW250" s="59"/>
      <c r="AX250" s="59"/>
      <c r="AY250" s="59"/>
      <c r="AZ250" s="59"/>
      <c r="BA250" s="59"/>
      <c r="BB250" s="59"/>
      <c r="BC250" s="59"/>
      <c r="BD250" s="59"/>
      <c r="BE250" s="59"/>
      <c r="BF250" s="59"/>
      <c r="BG250" s="59"/>
      <c r="BH250" s="59"/>
      <c r="BI250" s="59"/>
      <c r="BJ250" s="59"/>
      <c r="BK250" s="59"/>
      <c r="BL250" s="59"/>
      <c r="BM250" s="59"/>
    </row>
    <row r="251" spans="1:65">
      <c r="A251" s="51" t="str">
        <f>VLOOKUP(Table3[[#This Row],[OU]],OU!$A$15:$B$34,2,FALSE)</f>
        <v>RFOs</v>
      </c>
      <c r="B251" s="47" t="s">
        <v>5</v>
      </c>
      <c r="C251" s="47" t="s">
        <v>574</v>
      </c>
      <c r="D251" s="47"/>
      <c r="E251" s="47" t="s">
        <v>43</v>
      </c>
      <c r="F251" s="47" t="s">
        <v>641</v>
      </c>
      <c r="G25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25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23137000</v>
      </c>
      <c r="I251" s="52" t="str">
        <f>VLOOKUP(Table3[[#This Row],[PSGC]],DISTRICT!$D:$G,4,FALSE)</f>
        <v>1st</v>
      </c>
      <c r="J251" s="47" t="s">
        <v>581</v>
      </c>
      <c r="K251" s="51" t="str">
        <f>VLOOKUP(Table3[[#This Row],[SPECIFIC COMMODITY]],TAGS!$W$48:$X$53,2,FALSE)</f>
        <v>Sorghum</v>
      </c>
      <c r="L251" s="51" t="str">
        <f>VLOOKUP(Table3[[#This Row],[PREXC SUB-PROGRAM]],Table5[],2,FALSE)</f>
        <v>TECHNICAL AND SUPPORT SERVICES PROGRAM</v>
      </c>
      <c r="M251" s="51" t="str">
        <f>VLOOKUP(Table3[[#This Row],[COMMODITY PREXC SUB-PROGRAM]],TAGS!$U$54:$V$76,2,FALSE)</f>
        <v>PSS</v>
      </c>
      <c r="N251" s="47" t="s">
        <v>582</v>
      </c>
      <c r="O251" s="54" t="str">
        <f>VLOOKUP(Table3[[#This Row],[PI LEVEL 3]],'PI LEVEL'!A:C,3,FALSE)</f>
        <v>Seeds distributed</v>
      </c>
      <c r="P251" s="54" t="str">
        <f>VLOOKUP(Table3[[#This Row],[PI LEVEL 3]],Table53729[[Performance Indicator Level 3]:[Performance Indicator Level 1]],2,FALSE)</f>
        <v>Other Seeds distributed</v>
      </c>
      <c r="Q251" s="54" t="str">
        <f>VLOOKUP(Table3[[#This Row],[ACTIVITY]],TAGS!B:P,2,FALSE)</f>
        <v>Sorghum Seeds distributed</v>
      </c>
      <c r="R251" s="47" t="s">
        <v>55</v>
      </c>
      <c r="S251" s="51" t="str">
        <f>VLOOKUP(Table3[[#This Row],[ACTIVITY]],TAGS!$B:$P,4,FALSE)</f>
        <v>Sorghum Production Enhancement Project</v>
      </c>
      <c r="T251" s="51" t="str">
        <f>VLOOKUP(Table3[[#This Row],[ACTIVITY]],TAGS!$B:$P,5,FALSE)</f>
        <v>Sorghum Seed Assistance</v>
      </c>
      <c r="U251" s="51" t="str">
        <f>VLOOKUP(Table3[[#This Row],[ACTIVITY]],TAGS!$B:$P,6,FALSE)</f>
        <v>Sorghum seeds</v>
      </c>
      <c r="V251" s="51" t="str">
        <f>VLOOKUP(Table3[[#This Row],[ACTIVITY]],TAGS!$B:$P,7,FALSE)</f>
        <v>NO</v>
      </c>
      <c r="W251" s="51" t="str">
        <f>VLOOKUP(Table3[[#This Row],[ACTIVITY]],TAGS!$B:$P,8,FALSE)</f>
        <v>PAP</v>
      </c>
      <c r="X251" s="51" t="str">
        <f>VLOOKUP(Table3[[#This Row],[ACTIVITY]],TAGS!$B:$P,10,FALSE)</f>
        <v>PIP</v>
      </c>
      <c r="Y251" s="51" t="str">
        <f>VLOOKUP(Table3[[#This Row],[ACTIVITY]],TAGS!$B:$P,11,FALSE)</f>
        <v>PICS</v>
      </c>
      <c r="Z251" s="51" t="str">
        <f>VLOOKUP(Table3[[#This Row],[ACTIVITY]],TAGS!$B:$P,12,FALSE)</f>
        <v>Consolidation</v>
      </c>
      <c r="AA251" s="51" t="str">
        <f>VLOOKUP(Table3[[#This Row],[ACTIVITY]],TAGS!$B:$P,13,FALSE)</f>
        <v>1. Bayanihan Agri Cluster</v>
      </c>
      <c r="AB251" s="51" t="str">
        <f>VLOOKUP(Table3[[#This Row],[ACTIVITY]],TAGS!$B:$P,14,FALSE)</f>
        <v>EXPAND AND IMPROVE AVAILABLE AGRI-FISHERY AREAS FOR INCREASED PRODUCTION</v>
      </c>
      <c r="AC251" s="51" t="str">
        <f>VLOOKUP(Table3[[#This Row],[ACTIVITY]],TAGS!$B:$P,15,FALSE)</f>
        <v>Farm Inputs</v>
      </c>
      <c r="AD251" s="51" t="str">
        <f>VLOOKUP(Table3[[#This Row],[PI LEVEL 3]],'PI LEVEL'!$A:$G,7,FALSE)</f>
        <v>DA-Level Output</v>
      </c>
      <c r="AE251" s="47" t="s">
        <v>577</v>
      </c>
      <c r="AF251" s="51" t="str">
        <f>VLOOKUP(Table3[[#This Row],[ACTIVITY]],TAGS!$B:$P,3,FALSE)</f>
        <v>kilogram</v>
      </c>
      <c r="AG251" s="47" t="s">
        <v>337</v>
      </c>
      <c r="AH251" s="51" t="str">
        <f>VLOOKUP(Table3[[#This Row],[MONTH]],TAGS!$W$67:$Y$81,2,FALSE)</f>
        <v>4TH QTR</v>
      </c>
      <c r="AI251" s="51" t="str">
        <f>VLOOKUP(Table3[[#This Row],[MONTH]],TAGS!$W$67:$Y$81,3,FALSE)</f>
        <v>2ND SEMESTER</v>
      </c>
      <c r="AJ251" s="51">
        <f>VLOOKUP(Table3[[#This Row],[MONTH]],TAGS!$W$67:$Z$81,4,FALSE)</f>
        <v>2025</v>
      </c>
      <c r="AK251" s="47">
        <v>20000</v>
      </c>
      <c r="AL251" s="51" t="str">
        <f>VLOOKUP(Table3[[#This Row],[ACTIVITY]],TAGS!$B:$R,16,FALSE)</f>
        <v>YES</v>
      </c>
      <c r="AM251" s="47">
        <v>1000</v>
      </c>
      <c r="AN251" s="47">
        <v>1750</v>
      </c>
      <c r="AO251" s="57">
        <f>SUM(Table3[[#This Row],[MALE BENEFICIARIES]:[FEMALE BENEFICIARIES]])</f>
        <v>0</v>
      </c>
      <c r="AP251" s="58"/>
      <c r="AQ251" s="58"/>
      <c r="AR251" s="58"/>
      <c r="AS251" s="58">
        <v>1</v>
      </c>
      <c r="AT251" s="59">
        <v>1000</v>
      </c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</row>
    <row r="252" spans="1:65">
      <c r="A252" s="51" t="str">
        <f>VLOOKUP(Table3[[#This Row],[OU]],OU!$A$15:$B$34,2,FALSE)</f>
        <v>RFOs</v>
      </c>
      <c r="B252" s="47" t="s">
        <v>5</v>
      </c>
      <c r="C252" s="47" t="s">
        <v>574</v>
      </c>
      <c r="D252" s="47"/>
      <c r="E252" s="47" t="s">
        <v>43</v>
      </c>
      <c r="F252" s="47" t="s">
        <v>641</v>
      </c>
      <c r="G25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25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23137000</v>
      </c>
      <c r="I252" s="52" t="str">
        <f>VLOOKUP(Table3[[#This Row],[PSGC]],DISTRICT!$D:$G,4,FALSE)</f>
        <v>1st</v>
      </c>
      <c r="J252" s="47" t="s">
        <v>581</v>
      </c>
      <c r="K252" s="51" t="str">
        <f>VLOOKUP(Table3[[#This Row],[SPECIFIC COMMODITY]],TAGS!$W$48:$X$53,2,FALSE)</f>
        <v>Sorghum</v>
      </c>
      <c r="L252" s="51" t="str">
        <f>VLOOKUP(Table3[[#This Row],[PREXC SUB-PROGRAM]],Table5[],2,FALSE)</f>
        <v>TECHNICAL AND SUPPORT SERVICES PROGRAM</v>
      </c>
      <c r="M252" s="51" t="str">
        <f>VLOOKUP(Table3[[#This Row],[COMMODITY PREXC SUB-PROGRAM]],TAGS!$U$54:$V$76,2,FALSE)</f>
        <v>PSS</v>
      </c>
      <c r="N252" s="47" t="s">
        <v>582</v>
      </c>
      <c r="O252" s="54" t="str">
        <f>VLOOKUP(Table3[[#This Row],[PI LEVEL 3]],'PI LEVEL'!A:C,3,FALSE)</f>
        <v>Fertilizers and other soil ammendment distributed</v>
      </c>
      <c r="P252" s="54" t="str">
        <f>VLOOKUP(Table3[[#This Row],[PI LEVEL 3]],Table53729[[Performance Indicator Level 3]:[Performance Indicator Level 1]],2,FALSE)</f>
        <v>Fertilizers distributed</v>
      </c>
      <c r="Q252" s="54" t="str">
        <f>VLOOKUP(Table3[[#This Row],[ACTIVITY]],TAGS!B:P,2,FALSE)</f>
        <v>Inorganic fertilizer distributed</v>
      </c>
      <c r="R252" s="47" t="s">
        <v>57</v>
      </c>
      <c r="S252" s="51" t="str">
        <f>VLOOKUP(Table3[[#This Row],[ACTIVITY]],TAGS!$B:$P,4,FALSE)</f>
        <v>Sorghum Production Enhancement Project</v>
      </c>
      <c r="T252" s="51" t="str">
        <f>VLOOKUP(Table3[[#This Row],[ACTIVITY]],TAGS!$B:$P,5,FALSE)</f>
        <v>Soil Fertilization</v>
      </c>
      <c r="U252" s="51" t="str">
        <f>VLOOKUP(Table3[[#This Row],[ACTIVITY]],TAGS!$B:$P,6,FALSE)</f>
        <v>Inorganic fertilizer</v>
      </c>
      <c r="V252" s="51" t="str">
        <f>VLOOKUP(Table3[[#This Row],[ACTIVITY]],TAGS!$B:$P,7,FALSE)</f>
        <v>NO</v>
      </c>
      <c r="W252" s="51" t="str">
        <f>VLOOKUP(Table3[[#This Row],[ACTIVITY]],TAGS!$B:$P,8,FALSE)</f>
        <v>PAP</v>
      </c>
      <c r="X252" s="51" t="str">
        <f>VLOOKUP(Table3[[#This Row],[ACTIVITY]],TAGS!$B:$P,10,FALSE)</f>
        <v>PIP</v>
      </c>
      <c r="Y252" s="51" t="str">
        <f>VLOOKUP(Table3[[#This Row],[ACTIVITY]],TAGS!$B:$P,11,FALSE)</f>
        <v>PICS</v>
      </c>
      <c r="Z252" s="51" t="str">
        <f>VLOOKUP(Table3[[#This Row],[ACTIVITY]],TAGS!$B:$P,12,FALSE)</f>
        <v>Consolidation</v>
      </c>
      <c r="AA252" s="51" t="str">
        <f>VLOOKUP(Table3[[#This Row],[ACTIVITY]],TAGS!$B:$P,13,FALSE)</f>
        <v>1. Bayanihan Agri Cluster</v>
      </c>
      <c r="AB252" s="51" t="str">
        <f>VLOOKUP(Table3[[#This Row],[ACTIVITY]],TAGS!$B:$P,14,FALSE)</f>
        <v>EXPAND AND IMPROVE AVAILABLE AGRI-FISHERY AREAS FOR INCREASED PRODUCTION</v>
      </c>
      <c r="AC252" s="51" t="str">
        <f>VLOOKUP(Table3[[#This Row],[ACTIVITY]],TAGS!$B:$P,15,FALSE)</f>
        <v>Farm Inputs</v>
      </c>
      <c r="AD252" s="51" t="str">
        <f>VLOOKUP(Table3[[#This Row],[PI LEVEL 3]],'PI LEVEL'!$A:$G,7,FALSE)</f>
        <v>DA-Level Output</v>
      </c>
      <c r="AE252" s="47" t="s">
        <v>577</v>
      </c>
      <c r="AF252" s="51" t="str">
        <f>VLOOKUP(Table3[[#This Row],[ACTIVITY]],TAGS!$B:$P,3,FALSE)</f>
        <v>kilogram</v>
      </c>
      <c r="AG252" s="47" t="s">
        <v>337</v>
      </c>
      <c r="AH252" s="51" t="str">
        <f>VLOOKUP(Table3[[#This Row],[MONTH]],TAGS!$W$67:$Y$81,2,FALSE)</f>
        <v>4TH QTR</v>
      </c>
      <c r="AI252" s="51" t="str">
        <f>VLOOKUP(Table3[[#This Row],[MONTH]],TAGS!$W$67:$Y$81,3,FALSE)</f>
        <v>2ND SEMESTER</v>
      </c>
      <c r="AJ252" s="51">
        <f>VLOOKUP(Table3[[#This Row],[MONTH]],TAGS!$W$67:$Z$81,4,FALSE)</f>
        <v>2025</v>
      </c>
      <c r="AK252" s="47">
        <v>100000</v>
      </c>
      <c r="AL252" s="51" t="str">
        <f>VLOOKUP(Table3[[#This Row],[ACTIVITY]],TAGS!$B:$R,16,FALSE)</f>
        <v>YES</v>
      </c>
      <c r="AM252" s="47">
        <v>1000</v>
      </c>
      <c r="AN252" s="47">
        <v>4500</v>
      </c>
      <c r="AO252" s="57">
        <f>SUM(Table3[[#This Row],[MALE BENEFICIARIES]:[FEMALE BENEFICIARIES]])</f>
        <v>0</v>
      </c>
      <c r="AP252" s="58"/>
      <c r="AQ252" s="58"/>
      <c r="AR252" s="58"/>
      <c r="AS252" s="58">
        <v>1</v>
      </c>
      <c r="AT252" s="59">
        <v>1000</v>
      </c>
      <c r="AU252" s="59"/>
      <c r="AV252" s="59"/>
      <c r="AW252" s="59"/>
      <c r="AX252" s="59"/>
      <c r="AY252" s="59"/>
      <c r="AZ252" s="59"/>
      <c r="BA252" s="59"/>
      <c r="BB252" s="59"/>
      <c r="BC252" s="59"/>
      <c r="BD252" s="59"/>
      <c r="BE252" s="59"/>
      <c r="BF252" s="59"/>
      <c r="BG252" s="59"/>
      <c r="BH252" s="59"/>
      <c r="BI252" s="59"/>
      <c r="BJ252" s="59"/>
      <c r="BK252" s="59"/>
      <c r="BL252" s="59"/>
      <c r="BM252" s="59"/>
    </row>
    <row r="253" spans="1:65">
      <c r="A253" s="51" t="str">
        <f>VLOOKUP(Table3[[#This Row],[OU]],OU!$A$15:$B$34,2,FALSE)</f>
        <v>RFOs</v>
      </c>
      <c r="B253" s="47" t="s">
        <v>5</v>
      </c>
      <c r="C253" s="47" t="s">
        <v>574</v>
      </c>
      <c r="D253" s="47"/>
      <c r="E253" s="47" t="s">
        <v>43</v>
      </c>
      <c r="F253" s="47" t="s">
        <v>643</v>
      </c>
      <c r="G25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25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23108000</v>
      </c>
      <c r="I253" s="52" t="str">
        <f>VLOOKUP(Table3[[#This Row],[PSGC]],DISTRICT!$D:$G,4,FALSE)</f>
        <v>3rd</v>
      </c>
      <c r="J253" s="47" t="s">
        <v>583</v>
      </c>
      <c r="K253" s="51" t="str">
        <f>VLOOKUP(Table3[[#This Row],[SPECIFIC COMMODITY]],TAGS!$W$48:$X$53,2,FALSE)</f>
        <v>Soybean</v>
      </c>
      <c r="L253" s="51" t="str">
        <f>VLOOKUP(Table3[[#This Row],[PREXC SUB-PROGRAM]],Table5[],2,FALSE)</f>
        <v>TECHNICAL AND SUPPORT SERVICES PROGRAM</v>
      </c>
      <c r="M253" s="51" t="str">
        <f>VLOOKUP(Table3[[#This Row],[COMMODITY PREXC SUB-PROGRAM]],TAGS!$U$54:$V$76,2,FALSE)</f>
        <v>PSS</v>
      </c>
      <c r="N253" s="47" t="s">
        <v>584</v>
      </c>
      <c r="O253" s="54" t="str">
        <f>VLOOKUP(Table3[[#This Row],[PI LEVEL 3]],'PI LEVEL'!A:C,3,FALSE)</f>
        <v>Seeds distributed</v>
      </c>
      <c r="P253" s="54" t="str">
        <f>VLOOKUP(Table3[[#This Row],[PI LEVEL 3]],Table53729[[Performance Indicator Level 3]:[Performance Indicator Level 1]],2,FALSE)</f>
        <v>Vegetable Seeds distributed</v>
      </c>
      <c r="Q253" s="54" t="str">
        <f>VLOOKUP(Table3[[#This Row],[ACTIVITY]],TAGS!B:P,2,FALSE)</f>
        <v>Soybean Seeds distributed</v>
      </c>
      <c r="R253" s="47" t="s">
        <v>59</v>
      </c>
      <c r="S253" s="51" t="str">
        <f>VLOOKUP(Table3[[#This Row],[ACTIVITY]],TAGS!$B:$P,4,FALSE)</f>
        <v>Soybean Production Enhancement Project</v>
      </c>
      <c r="T253" s="51" t="str">
        <f>VLOOKUP(Table3[[#This Row],[ACTIVITY]],TAGS!$B:$P,5,FALSE)</f>
        <v>Soybean Seed Assistance</v>
      </c>
      <c r="U253" s="51" t="str">
        <f>VLOOKUP(Table3[[#This Row],[ACTIVITY]],TAGS!$B:$P,6,FALSE)</f>
        <v>Soybean seeds</v>
      </c>
      <c r="V253" s="51" t="str">
        <f>VLOOKUP(Table3[[#This Row],[ACTIVITY]],TAGS!$B:$P,7,FALSE)</f>
        <v>NO</v>
      </c>
      <c r="W253" s="51" t="str">
        <f>VLOOKUP(Table3[[#This Row],[ACTIVITY]],TAGS!$B:$P,8,FALSE)</f>
        <v>PAP</v>
      </c>
      <c r="X253" s="51" t="str">
        <f>VLOOKUP(Table3[[#This Row],[ACTIVITY]],TAGS!$B:$P,10,FALSE)</f>
        <v>PIP</v>
      </c>
      <c r="Y253" s="51" t="str">
        <f>VLOOKUP(Table3[[#This Row],[ACTIVITY]],TAGS!$B:$P,11,FALSE)</f>
        <v>PICS</v>
      </c>
      <c r="Z253" s="51" t="str">
        <f>VLOOKUP(Table3[[#This Row],[ACTIVITY]],TAGS!$B:$P,12,FALSE)</f>
        <v>Consolidation</v>
      </c>
      <c r="AA253" s="51" t="str">
        <f>VLOOKUP(Table3[[#This Row],[ACTIVITY]],TAGS!$B:$P,13,FALSE)</f>
        <v>1. Bayanihan Agri Cluster</v>
      </c>
      <c r="AB253" s="51" t="str">
        <f>VLOOKUP(Table3[[#This Row],[ACTIVITY]],TAGS!$B:$P,14,FALSE)</f>
        <v>EXPAND AND IMPROVE AVAILABLE AGRI-FISHERY AREAS FOR INCREASED PRODUCTION</v>
      </c>
      <c r="AC253" s="51" t="str">
        <f>VLOOKUP(Table3[[#This Row],[ACTIVITY]],TAGS!$B:$P,15,FALSE)</f>
        <v>Farm Inputs</v>
      </c>
      <c r="AD253" s="51" t="str">
        <f>VLOOKUP(Table3[[#This Row],[PI LEVEL 3]],'PI LEVEL'!$A:$G,7,FALSE)</f>
        <v>DA-Level Output</v>
      </c>
      <c r="AE253" s="47" t="s">
        <v>577</v>
      </c>
      <c r="AF253" s="51" t="str">
        <f>VLOOKUP(Table3[[#This Row],[ACTIVITY]],TAGS!$B:$P,3,FALSE)</f>
        <v>kilogram</v>
      </c>
      <c r="AG253" s="47" t="s">
        <v>328</v>
      </c>
      <c r="AH253" s="51" t="str">
        <f>VLOOKUP(Table3[[#This Row],[MONTH]],TAGS!$W$67:$Y$81,2,FALSE)</f>
        <v>1ST QTR</v>
      </c>
      <c r="AI253" s="51" t="str">
        <f>VLOOKUP(Table3[[#This Row],[MONTH]],TAGS!$W$67:$Y$81,3,FALSE)</f>
        <v>1ST SEMESTER</v>
      </c>
      <c r="AJ253" s="51">
        <f>VLOOKUP(Table3[[#This Row],[MONTH]],TAGS!$W$67:$Z$81,4,FALSE)</f>
        <v>2025</v>
      </c>
      <c r="AK253" s="47">
        <v>1000</v>
      </c>
      <c r="AL253" s="51" t="str">
        <f>VLOOKUP(Table3[[#This Row],[ACTIVITY]],TAGS!$B:$R,16,FALSE)</f>
        <v>YES</v>
      </c>
      <c r="AM253" s="47">
        <v>25</v>
      </c>
      <c r="AN253" s="47">
        <v>50</v>
      </c>
      <c r="AO253" s="57">
        <f>SUM(Table3[[#This Row],[MALE BENEFICIARIES]:[FEMALE BENEFICIARIES]])</f>
        <v>0</v>
      </c>
      <c r="AP253" s="58"/>
      <c r="AQ253" s="58"/>
      <c r="AR253" s="58"/>
      <c r="AS253" s="58">
        <v>1</v>
      </c>
      <c r="AT253" s="59">
        <v>25</v>
      </c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</row>
    <row r="254" spans="1:65">
      <c r="A254" s="51" t="str">
        <f>VLOOKUP(Table3[[#This Row],[OU]],OU!$A$15:$B$34,2,FALSE)</f>
        <v>RFOs</v>
      </c>
      <c r="B254" s="47" t="s">
        <v>5</v>
      </c>
      <c r="C254" s="47" t="s">
        <v>574</v>
      </c>
      <c r="D254" s="47"/>
      <c r="E254" s="47" t="s">
        <v>43</v>
      </c>
      <c r="F254" s="47" t="s">
        <v>643</v>
      </c>
      <c r="G25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25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23108000</v>
      </c>
      <c r="I254" s="52" t="str">
        <f>VLOOKUP(Table3[[#This Row],[PSGC]],DISTRICT!$D:$G,4,FALSE)</f>
        <v>3rd</v>
      </c>
      <c r="J254" s="47" t="s">
        <v>583</v>
      </c>
      <c r="K254" s="51" t="str">
        <f>VLOOKUP(Table3[[#This Row],[SPECIFIC COMMODITY]],TAGS!$W$48:$X$53,2,FALSE)</f>
        <v>Soybean</v>
      </c>
      <c r="L254" s="51" t="str">
        <f>VLOOKUP(Table3[[#This Row],[PREXC SUB-PROGRAM]],Table5[],2,FALSE)</f>
        <v>TECHNICAL AND SUPPORT SERVICES PROGRAM</v>
      </c>
      <c r="M254" s="51" t="str">
        <f>VLOOKUP(Table3[[#This Row],[COMMODITY PREXC SUB-PROGRAM]],TAGS!$U$54:$V$76,2,FALSE)</f>
        <v>PSS</v>
      </c>
      <c r="N254" s="47" t="s">
        <v>584</v>
      </c>
      <c r="O254" s="54" t="str">
        <f>VLOOKUP(Table3[[#This Row],[PI LEVEL 3]],'PI LEVEL'!A:C,3,FALSE)</f>
        <v>Fertilizers and other soil ammendment distributed</v>
      </c>
      <c r="P254" s="54" t="str">
        <f>VLOOKUP(Table3[[#This Row],[PI LEVEL 3]],Table53729[[Performance Indicator Level 3]:[Performance Indicator Level 1]],2,FALSE)</f>
        <v>Fertilizers distributed</v>
      </c>
      <c r="Q254" s="54" t="str">
        <f>VLOOKUP(Table3[[#This Row],[ACTIVITY]],TAGS!B:P,2,FALSE)</f>
        <v>Inorganic fertilizer distributed</v>
      </c>
      <c r="R254" s="47" t="s">
        <v>61</v>
      </c>
      <c r="S254" s="51" t="str">
        <f>VLOOKUP(Table3[[#This Row],[ACTIVITY]],TAGS!$B:$P,4,FALSE)</f>
        <v>Soybean Production Enhancement Project</v>
      </c>
      <c r="T254" s="51" t="str">
        <f>VLOOKUP(Table3[[#This Row],[ACTIVITY]],TAGS!$B:$P,5,FALSE)</f>
        <v>Soil Fertilization</v>
      </c>
      <c r="U254" s="51" t="str">
        <f>VLOOKUP(Table3[[#This Row],[ACTIVITY]],TAGS!$B:$P,6,FALSE)</f>
        <v>Inorganic fertilizer</v>
      </c>
      <c r="V254" s="51" t="str">
        <f>VLOOKUP(Table3[[#This Row],[ACTIVITY]],TAGS!$B:$P,7,FALSE)</f>
        <v>NO</v>
      </c>
      <c r="W254" s="51" t="str">
        <f>VLOOKUP(Table3[[#This Row],[ACTIVITY]],TAGS!$B:$P,8,FALSE)</f>
        <v>PAP</v>
      </c>
      <c r="X254" s="51" t="str">
        <f>VLOOKUP(Table3[[#This Row],[ACTIVITY]],TAGS!$B:$P,10,FALSE)</f>
        <v>PIP</v>
      </c>
      <c r="Y254" s="51" t="str">
        <f>VLOOKUP(Table3[[#This Row],[ACTIVITY]],TAGS!$B:$P,11,FALSE)</f>
        <v>PICS</v>
      </c>
      <c r="Z254" s="51" t="str">
        <f>VLOOKUP(Table3[[#This Row],[ACTIVITY]],TAGS!$B:$P,12,FALSE)</f>
        <v>Consolidation</v>
      </c>
      <c r="AA254" s="51" t="str">
        <f>VLOOKUP(Table3[[#This Row],[ACTIVITY]],TAGS!$B:$P,13,FALSE)</f>
        <v>1. Bayanihan Agri Cluster</v>
      </c>
      <c r="AB254" s="51" t="str">
        <f>VLOOKUP(Table3[[#This Row],[ACTIVITY]],TAGS!$B:$P,14,FALSE)</f>
        <v>EXPAND AND IMPROVE AVAILABLE AGRI-FISHERY AREAS FOR INCREASED PRODUCTION</v>
      </c>
      <c r="AC254" s="51" t="str">
        <f>VLOOKUP(Table3[[#This Row],[ACTIVITY]],TAGS!$B:$P,15,FALSE)</f>
        <v>Farm Inputs</v>
      </c>
      <c r="AD254" s="51" t="str">
        <f>VLOOKUP(Table3[[#This Row],[PI LEVEL 3]],'PI LEVEL'!$A:$G,7,FALSE)</f>
        <v>DA-Level Output</v>
      </c>
      <c r="AE254" s="47" t="s">
        <v>577</v>
      </c>
      <c r="AF254" s="51" t="str">
        <f>VLOOKUP(Table3[[#This Row],[ACTIVITY]],TAGS!$B:$P,3,FALSE)</f>
        <v>kilogram</v>
      </c>
      <c r="AG254" s="47" t="s">
        <v>328</v>
      </c>
      <c r="AH254" s="51" t="str">
        <f>VLOOKUP(Table3[[#This Row],[MONTH]],TAGS!$W$67:$Y$81,2,FALSE)</f>
        <v>1ST QTR</v>
      </c>
      <c r="AI254" s="51" t="str">
        <f>VLOOKUP(Table3[[#This Row],[MONTH]],TAGS!$W$67:$Y$81,3,FALSE)</f>
        <v>1ST SEMESTER</v>
      </c>
      <c r="AJ254" s="51">
        <f>VLOOKUP(Table3[[#This Row],[MONTH]],TAGS!$W$67:$Z$81,4,FALSE)</f>
        <v>2025</v>
      </c>
      <c r="AK254" s="47">
        <v>2500</v>
      </c>
      <c r="AL254" s="51" t="str">
        <f>VLOOKUP(Table3[[#This Row],[ACTIVITY]],TAGS!$B:$R,16,FALSE)</f>
        <v>YES</v>
      </c>
      <c r="AM254" s="47">
        <v>25</v>
      </c>
      <c r="AN254" s="47">
        <v>113</v>
      </c>
      <c r="AO254" s="57">
        <f>SUM(Table3[[#This Row],[MALE BENEFICIARIES]:[FEMALE BENEFICIARIES]])</f>
        <v>0</v>
      </c>
      <c r="AP254" s="58"/>
      <c r="AQ254" s="58"/>
      <c r="AR254" s="58"/>
      <c r="AS254" s="58">
        <v>1</v>
      </c>
      <c r="AT254" s="59">
        <v>25</v>
      </c>
      <c r="AU254" s="59"/>
      <c r="AV254" s="59"/>
      <c r="AW254" s="59"/>
      <c r="AX254" s="59"/>
      <c r="AY254" s="59"/>
      <c r="AZ254" s="59"/>
      <c r="BA254" s="59"/>
      <c r="BB254" s="59"/>
      <c r="BC254" s="59"/>
      <c r="BD254" s="59"/>
      <c r="BE254" s="59"/>
      <c r="BF254" s="59"/>
      <c r="BG254" s="59"/>
      <c r="BH254" s="59"/>
      <c r="BI254" s="59"/>
      <c r="BJ254" s="59"/>
      <c r="BK254" s="59"/>
      <c r="BL254" s="59"/>
      <c r="BM254" s="59"/>
    </row>
    <row r="255" spans="1:65">
      <c r="A255" s="51" t="str">
        <f>VLOOKUP(Table3[[#This Row],[OU]],OU!$A$15:$B$34,2,FALSE)</f>
        <v>RFOs</v>
      </c>
      <c r="B255" s="47" t="s">
        <v>5</v>
      </c>
      <c r="C255" s="47" t="s">
        <v>574</v>
      </c>
      <c r="D255" s="47"/>
      <c r="E255" s="47" t="s">
        <v>78</v>
      </c>
      <c r="F255" s="47" t="s">
        <v>77</v>
      </c>
      <c r="G25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5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55" s="52" t="e">
        <f>VLOOKUP(Table3[[#This Row],[PSGC]],DISTRICT!$D:$G,4,FALSE)</f>
        <v>#N/A</v>
      </c>
      <c r="J255" s="47" t="s">
        <v>585</v>
      </c>
      <c r="K255" s="51" t="str">
        <f>VLOOKUP(Table3[[#This Row],[SPECIFIC COMMODITY]],TAGS!$W$48:$X$53,2,FALSE)</f>
        <v>Multi_commodity</v>
      </c>
      <c r="L255" s="51" t="str">
        <f>VLOOKUP(Table3[[#This Row],[PREXC SUB-PROGRAM]],Table5[],2,FALSE)</f>
        <v>TECHNICAL AND SUPPORT SERVICES PROGRAM</v>
      </c>
      <c r="M255" s="51" t="str">
        <f>VLOOKUP(Table3[[#This Row],[COMMODITY PREXC SUB-PROGRAM]],TAGS!$U$54:$V$76,2,FALSE)</f>
        <v>PSS</v>
      </c>
      <c r="N255" s="47" t="s">
        <v>586</v>
      </c>
      <c r="O255" s="54" t="str">
        <f>VLOOKUP(Table3[[#This Row],[PI LEVEL 3]],'PI LEVEL'!A:C,3,FALSE)</f>
        <v>Farm machinery and equipment procured for stations</v>
      </c>
      <c r="P255" s="54" t="str">
        <f>VLOOKUP(Table3[[#This Row],[PI LEVEL 3]],Table53729[[Performance Indicator Level 3]:[Performance Indicator Level 1]],2,FALSE)</f>
        <v>Farm machinery and equipment procured for stations</v>
      </c>
      <c r="Q255" s="54" t="str">
        <f>VLOOKUP(Table3[[#This Row],[ACTIVITY]],TAGS!B:P,2,FALSE)</f>
        <v>Production machinery and equipment procured for stations</v>
      </c>
      <c r="R255" s="47" t="s">
        <v>94</v>
      </c>
      <c r="S255" s="51" t="str">
        <f>VLOOKUP(Table3[[#This Row],[ACTIVITY]],TAGS!$B:$P,4,FALSE)</f>
        <v>DA Facilities Management</v>
      </c>
      <c r="T255" s="51" t="str">
        <f>VLOOKUP(Table3[[#This Row],[ACTIVITY]],TAGS!$B:$P,5,FALSE)</f>
        <v>Support to DA Stations</v>
      </c>
      <c r="U255" s="51" t="str">
        <f>VLOOKUP(Table3[[#This Row],[ACTIVITY]],TAGS!$B:$P,6,FALSE)</f>
        <v>Machinery &amp; Equipment for DA Stations</v>
      </c>
      <c r="V255" s="51" t="str">
        <f>VLOOKUP(Table3[[#This Row],[ACTIVITY]],TAGS!$B:$P,7,FALSE)</f>
        <v>NO</v>
      </c>
      <c r="W255" s="51" t="str">
        <f>VLOOKUP(Table3[[#This Row],[ACTIVITY]],TAGS!$B:$P,8,FALSE)</f>
        <v>PAP</v>
      </c>
      <c r="X255" s="51" t="str">
        <f>VLOOKUP(Table3[[#This Row],[ACTIVITY]],TAGS!$B:$P,10,FALSE)</f>
        <v>PIP</v>
      </c>
      <c r="Y255" s="51" t="str">
        <f>VLOOKUP(Table3[[#This Row],[ACTIVITY]],TAGS!$B:$P,11,FALSE)</f>
        <v>PICS</v>
      </c>
      <c r="Z255" s="51" t="str">
        <f>VLOOKUP(Table3[[#This Row],[ACTIVITY]],TAGS!$B:$P,12,FALSE)</f>
        <v>Modernization</v>
      </c>
      <c r="AA255" s="51" t="str">
        <f>VLOOKUP(Table3[[#This Row],[ACTIVITY]],TAGS!$B:$P,13,FALSE)</f>
        <v>8. Farm Mechanization and Farm Investments</v>
      </c>
      <c r="AB255" s="51">
        <f>VLOOKUP(Table3[[#This Row],[ACTIVITY]],TAGS!$B:$P,14,FALSE)</f>
        <v>0</v>
      </c>
      <c r="AC255" s="51" t="str">
        <f>VLOOKUP(Table3[[#This Row],[ACTIVITY]],TAGS!$B:$P,15,FALSE)</f>
        <v>DA Station</v>
      </c>
      <c r="AD255" s="51" t="str">
        <f>VLOOKUP(Table3[[#This Row],[PI LEVEL 3]],'PI LEVEL'!$A:$G,7,FALSE)</f>
        <v>DA-Level Output</v>
      </c>
      <c r="AE255" s="47" t="s">
        <v>577</v>
      </c>
      <c r="AF255" s="51" t="str">
        <f>VLOOKUP(Table3[[#This Row],[ACTIVITY]],TAGS!$B:$P,3,FALSE)</f>
        <v>number</v>
      </c>
      <c r="AG255" s="47" t="s">
        <v>333</v>
      </c>
      <c r="AH255" s="51" t="str">
        <f>VLOOKUP(Table3[[#This Row],[MONTH]],TAGS!$W$67:$Y$81,2,FALSE)</f>
        <v>3RD QTR</v>
      </c>
      <c r="AI255" s="51" t="str">
        <f>VLOOKUP(Table3[[#This Row],[MONTH]],TAGS!$W$67:$Y$81,3,FALSE)</f>
        <v>2ND SEMESTER</v>
      </c>
      <c r="AJ255" s="51">
        <f>VLOOKUP(Table3[[#This Row],[MONTH]],TAGS!$W$67:$Z$81,4,FALSE)</f>
        <v>2025</v>
      </c>
      <c r="AK255" s="47">
        <v>4</v>
      </c>
      <c r="AL255" s="51" t="str">
        <f>VLOOKUP(Table3[[#This Row],[ACTIVITY]],TAGS!$B:$R,16,FALSE)</f>
        <v>NO</v>
      </c>
      <c r="AM255" s="47"/>
      <c r="AN255" s="47">
        <v>1200</v>
      </c>
      <c r="AO255" s="57">
        <f>SUM(Table3[[#This Row],[MALE BENEFICIARIES]:[FEMALE BENEFICIARIES]])</f>
        <v>0</v>
      </c>
      <c r="AP255" s="58"/>
      <c r="AQ255" s="58"/>
      <c r="AR255" s="58"/>
      <c r="AS255" s="58"/>
      <c r="AT255" s="59" t="str">
        <f>VLOOKUP(Table3[[#This Row],[ACTIVITY]],TAGS!$B:$R,17,FALSE)</f>
        <v>NO</v>
      </c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</row>
    <row r="256" spans="1:65">
      <c r="A256" s="51" t="str">
        <f>VLOOKUP(Table3[[#This Row],[OU]],OU!$A$15:$B$34,2,FALSE)</f>
        <v>RFOs</v>
      </c>
      <c r="B256" s="47" t="s">
        <v>5</v>
      </c>
      <c r="C256" s="47" t="s">
        <v>574</v>
      </c>
      <c r="D256" s="47"/>
      <c r="E256" s="47" t="s">
        <v>78</v>
      </c>
      <c r="F256" s="47" t="s">
        <v>77</v>
      </c>
      <c r="G25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5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56" s="52" t="e">
        <f>VLOOKUP(Table3[[#This Row],[PSGC]],DISTRICT!$D:$G,4,FALSE)</f>
        <v>#N/A</v>
      </c>
      <c r="J256" s="47" t="s">
        <v>585</v>
      </c>
      <c r="K256" s="51" t="str">
        <f>VLOOKUP(Table3[[#This Row],[SPECIFIC COMMODITY]],TAGS!$W$48:$X$53,2,FALSE)</f>
        <v>Multi_commodity</v>
      </c>
      <c r="L256" s="51" t="str">
        <f>VLOOKUP(Table3[[#This Row],[PREXC SUB-PROGRAM]],Table5[],2,FALSE)</f>
        <v>TECHNICAL AND SUPPORT SERVICES PROGRAM</v>
      </c>
      <c r="M256" s="51" t="str">
        <f>VLOOKUP(Table3[[#This Row],[COMMODITY PREXC SUB-PROGRAM]],TAGS!$U$54:$V$76,2,FALSE)</f>
        <v>PSS</v>
      </c>
      <c r="N256" s="47" t="s">
        <v>586</v>
      </c>
      <c r="O256" s="54" t="str">
        <f>VLOOKUP(Table3[[#This Row],[PI LEVEL 3]],'PI LEVEL'!A:C,3,FALSE)</f>
        <v>Farm machinery and equipment procured for stations</v>
      </c>
      <c r="P256" s="54" t="str">
        <f>VLOOKUP(Table3[[#This Row],[PI LEVEL 3]],Table53729[[Performance Indicator Level 3]:[Performance Indicator Level 1]],2,FALSE)</f>
        <v>Farm machinery and equipment procured for stations</v>
      </c>
      <c r="Q256" s="54" t="str">
        <f>VLOOKUP(Table3[[#This Row],[ACTIVITY]],TAGS!B:P,2,FALSE)</f>
        <v>Postharvest machinery and equipment procured for stations</v>
      </c>
      <c r="R256" s="47" t="s">
        <v>96</v>
      </c>
      <c r="S256" s="51" t="str">
        <f>VLOOKUP(Table3[[#This Row],[ACTIVITY]],TAGS!$B:$P,4,FALSE)</f>
        <v>DA Facilities Management</v>
      </c>
      <c r="T256" s="51" t="str">
        <f>VLOOKUP(Table3[[#This Row],[ACTIVITY]],TAGS!$B:$P,5,FALSE)</f>
        <v>Support to DA Stations</v>
      </c>
      <c r="U256" s="51" t="str">
        <f>VLOOKUP(Table3[[#This Row],[ACTIVITY]],TAGS!$B:$P,6,FALSE)</f>
        <v>Machinery &amp; Equipment for DA Stations</v>
      </c>
      <c r="V256" s="51" t="str">
        <f>VLOOKUP(Table3[[#This Row],[ACTIVITY]],TAGS!$B:$P,7,FALSE)</f>
        <v>NO</v>
      </c>
      <c r="W256" s="51" t="str">
        <f>VLOOKUP(Table3[[#This Row],[ACTIVITY]],TAGS!$B:$P,8,FALSE)</f>
        <v>PAP</v>
      </c>
      <c r="X256" s="51" t="str">
        <f>VLOOKUP(Table3[[#This Row],[ACTIVITY]],TAGS!$B:$P,10,FALSE)</f>
        <v>PIP</v>
      </c>
      <c r="Y256" s="51" t="str">
        <f>VLOOKUP(Table3[[#This Row],[ACTIVITY]],TAGS!$B:$P,11,FALSE)</f>
        <v>PICS</v>
      </c>
      <c r="Z256" s="51" t="str">
        <f>VLOOKUP(Table3[[#This Row],[ACTIVITY]],TAGS!$B:$P,12,FALSE)</f>
        <v>Modernization</v>
      </c>
      <c r="AA256" s="51" t="str">
        <f>VLOOKUP(Table3[[#This Row],[ACTIVITY]],TAGS!$B:$P,13,FALSE)</f>
        <v>8. Farm Mechanization and Farm Investments</v>
      </c>
      <c r="AB256" s="51">
        <f>VLOOKUP(Table3[[#This Row],[ACTIVITY]],TAGS!$B:$P,14,FALSE)</f>
        <v>0</v>
      </c>
      <c r="AC256" s="51" t="str">
        <f>VLOOKUP(Table3[[#This Row],[ACTIVITY]],TAGS!$B:$P,15,FALSE)</f>
        <v>DA Station</v>
      </c>
      <c r="AD256" s="51" t="str">
        <f>VLOOKUP(Table3[[#This Row],[PI LEVEL 3]],'PI LEVEL'!$A:$G,7,FALSE)</f>
        <v>DA-Level Output</v>
      </c>
      <c r="AE256" s="47" t="s">
        <v>577</v>
      </c>
      <c r="AF256" s="51" t="str">
        <f>VLOOKUP(Table3[[#This Row],[ACTIVITY]],TAGS!$B:$P,3,FALSE)</f>
        <v>number</v>
      </c>
      <c r="AG256" s="47" t="s">
        <v>333</v>
      </c>
      <c r="AH256" s="51" t="str">
        <f>VLOOKUP(Table3[[#This Row],[MONTH]],TAGS!$W$67:$Y$81,2,FALSE)</f>
        <v>3RD QTR</v>
      </c>
      <c r="AI256" s="51" t="str">
        <f>VLOOKUP(Table3[[#This Row],[MONTH]],TAGS!$W$67:$Y$81,3,FALSE)</f>
        <v>2ND SEMESTER</v>
      </c>
      <c r="AJ256" s="51">
        <f>VLOOKUP(Table3[[#This Row],[MONTH]],TAGS!$W$67:$Z$81,4,FALSE)</f>
        <v>2025</v>
      </c>
      <c r="AK256" s="47">
        <v>4</v>
      </c>
      <c r="AL256" s="51" t="str">
        <f>VLOOKUP(Table3[[#This Row],[ACTIVITY]],TAGS!$B:$R,16,FALSE)</f>
        <v>NO</v>
      </c>
      <c r="AM256" s="47"/>
      <c r="AN256" s="47">
        <v>240</v>
      </c>
      <c r="AO256" s="57">
        <f>SUM(Table3[[#This Row],[MALE BENEFICIARIES]:[FEMALE BENEFICIARIES]])</f>
        <v>0</v>
      </c>
      <c r="AP256" s="58"/>
      <c r="AQ256" s="58"/>
      <c r="AR256" s="58"/>
      <c r="AS256" s="58"/>
      <c r="AT256" s="59" t="str">
        <f>VLOOKUP(Table3[[#This Row],[ACTIVITY]],TAGS!$B:$R,17,FALSE)</f>
        <v>NO</v>
      </c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</row>
    <row r="257" spans="1:65">
      <c r="A257" s="51" t="str">
        <f>VLOOKUP(Table3[[#This Row],[OU]],OU!$A$15:$B$34,2,FALSE)</f>
        <v>RFOs</v>
      </c>
      <c r="B257" s="47" t="s">
        <v>5</v>
      </c>
      <c r="C257" s="47" t="s">
        <v>574</v>
      </c>
      <c r="D257" s="47"/>
      <c r="E257" s="47" t="s">
        <v>78</v>
      </c>
      <c r="F257" s="47" t="s">
        <v>77</v>
      </c>
      <c r="G25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5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57" s="52" t="e">
        <f>VLOOKUP(Table3[[#This Row],[PSGC]],DISTRICT!$D:$G,4,FALSE)</f>
        <v>#N/A</v>
      </c>
      <c r="J257" s="47" t="s">
        <v>585</v>
      </c>
      <c r="K257" s="51" t="str">
        <f>VLOOKUP(Table3[[#This Row],[SPECIFIC COMMODITY]],TAGS!$W$48:$X$53,2,FALSE)</f>
        <v>Multi_commodity</v>
      </c>
      <c r="L257" s="51" t="str">
        <f>VLOOKUP(Table3[[#This Row],[PREXC SUB-PROGRAM]],Table5[],2,FALSE)</f>
        <v>TECHNICAL AND SUPPORT SERVICES PROGRAM</v>
      </c>
      <c r="M257" s="51" t="str">
        <f>VLOOKUP(Table3[[#This Row],[COMMODITY PREXC SUB-PROGRAM]],TAGS!$U$54:$V$76,2,FALSE)</f>
        <v>PSS</v>
      </c>
      <c r="N257" s="47" t="s">
        <v>586</v>
      </c>
      <c r="O257" s="54" t="str">
        <f>VLOOKUP(Table3[[#This Row],[PI LEVEL 3]],'PI LEVEL'!A:C,3,FALSE)</f>
        <v>Farm machinery and equipment procured for stations</v>
      </c>
      <c r="P257" s="54" t="str">
        <f>VLOOKUP(Table3[[#This Row],[PI LEVEL 3]],Table53729[[Performance Indicator Level 3]:[Performance Indicator Level 1]],2,FALSE)</f>
        <v>Farm machinery and equipment procured for stations</v>
      </c>
      <c r="Q257" s="54" t="str">
        <f>VLOOKUP(Table3[[#This Row],[ACTIVITY]],TAGS!B:P,2,FALSE)</f>
        <v>Postharvest machinery and equipment procured for stations</v>
      </c>
      <c r="R257" s="47" t="s">
        <v>98</v>
      </c>
      <c r="S257" s="51" t="str">
        <f>VLOOKUP(Table3[[#This Row],[ACTIVITY]],TAGS!$B:$P,4,FALSE)</f>
        <v>DA Facilities Management</v>
      </c>
      <c r="T257" s="51" t="str">
        <f>VLOOKUP(Table3[[#This Row],[ACTIVITY]],TAGS!$B:$P,5,FALSE)</f>
        <v>Support to DA Stations</v>
      </c>
      <c r="U257" s="51" t="str">
        <f>VLOOKUP(Table3[[#This Row],[ACTIVITY]],TAGS!$B:$P,6,FALSE)</f>
        <v>Machinery &amp; Equipment for DA Stations</v>
      </c>
      <c r="V257" s="51" t="str">
        <f>VLOOKUP(Table3[[#This Row],[ACTIVITY]],TAGS!$B:$P,7,FALSE)</f>
        <v>NO</v>
      </c>
      <c r="W257" s="51" t="str">
        <f>VLOOKUP(Table3[[#This Row],[ACTIVITY]],TAGS!$B:$P,8,FALSE)</f>
        <v>PAP</v>
      </c>
      <c r="X257" s="51" t="str">
        <f>VLOOKUP(Table3[[#This Row],[ACTIVITY]],TAGS!$B:$P,10,FALSE)</f>
        <v>PIP</v>
      </c>
      <c r="Y257" s="51" t="str">
        <f>VLOOKUP(Table3[[#This Row],[ACTIVITY]],TAGS!$B:$P,11,FALSE)</f>
        <v>PICS</v>
      </c>
      <c r="Z257" s="51" t="str">
        <f>VLOOKUP(Table3[[#This Row],[ACTIVITY]],TAGS!$B:$P,12,FALSE)</f>
        <v>Modernization</v>
      </c>
      <c r="AA257" s="51" t="str">
        <f>VLOOKUP(Table3[[#This Row],[ACTIVITY]],TAGS!$B:$P,13,FALSE)</f>
        <v>8. Farm Mechanization and Farm Investments</v>
      </c>
      <c r="AB257" s="51">
        <f>VLOOKUP(Table3[[#This Row],[ACTIVITY]],TAGS!$B:$P,14,FALSE)</f>
        <v>0</v>
      </c>
      <c r="AC257" s="51" t="str">
        <f>VLOOKUP(Table3[[#This Row],[ACTIVITY]],TAGS!$B:$P,15,FALSE)</f>
        <v>DA Station</v>
      </c>
      <c r="AD257" s="51" t="str">
        <f>VLOOKUP(Table3[[#This Row],[PI LEVEL 3]],'PI LEVEL'!$A:$G,7,FALSE)</f>
        <v>DA-Level Output</v>
      </c>
      <c r="AE257" s="47" t="s">
        <v>577</v>
      </c>
      <c r="AF257" s="51" t="str">
        <f>VLOOKUP(Table3[[#This Row],[ACTIVITY]],TAGS!$B:$P,3,FALSE)</f>
        <v>number</v>
      </c>
      <c r="AG257" s="47" t="s">
        <v>333</v>
      </c>
      <c r="AH257" s="51" t="str">
        <f>VLOOKUP(Table3[[#This Row],[MONTH]],TAGS!$W$67:$Y$81,2,FALSE)</f>
        <v>3RD QTR</v>
      </c>
      <c r="AI257" s="51" t="str">
        <f>VLOOKUP(Table3[[#This Row],[MONTH]],TAGS!$W$67:$Y$81,3,FALSE)</f>
        <v>2ND SEMESTER</v>
      </c>
      <c r="AJ257" s="51">
        <f>VLOOKUP(Table3[[#This Row],[MONTH]],TAGS!$W$67:$Z$81,4,FALSE)</f>
        <v>2025</v>
      </c>
      <c r="AK257" s="47">
        <v>4</v>
      </c>
      <c r="AL257" s="51" t="str">
        <f>VLOOKUP(Table3[[#This Row],[ACTIVITY]],TAGS!$B:$R,16,FALSE)</f>
        <v>NO</v>
      </c>
      <c r="AM257" s="47"/>
      <c r="AN257" s="47">
        <v>1200</v>
      </c>
      <c r="AO257" s="57">
        <f>SUM(Table3[[#This Row],[MALE BENEFICIARIES]:[FEMALE BENEFICIARIES]])</f>
        <v>0</v>
      </c>
      <c r="AP257" s="58"/>
      <c r="AQ257" s="58"/>
      <c r="AR257" s="58"/>
      <c r="AS257" s="58"/>
      <c r="AT257" s="59" t="str">
        <f>VLOOKUP(Table3[[#This Row],[ACTIVITY]],TAGS!$B:$R,17,FALSE)</f>
        <v>NO</v>
      </c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</row>
    <row r="258" spans="1:65">
      <c r="A258" s="51" t="str">
        <f>VLOOKUP(Table3[[#This Row],[OU]],OU!$A$15:$B$34,2,FALSE)</f>
        <v>RFOs</v>
      </c>
      <c r="B258" s="47" t="s">
        <v>5</v>
      </c>
      <c r="C258" s="47" t="s">
        <v>574</v>
      </c>
      <c r="D258" s="47"/>
      <c r="E258" s="47" t="s">
        <v>78</v>
      </c>
      <c r="F258" s="47" t="s">
        <v>77</v>
      </c>
      <c r="G25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5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58" s="52" t="e">
        <f>VLOOKUP(Table3[[#This Row],[PSGC]],DISTRICT!$D:$G,4,FALSE)</f>
        <v>#N/A</v>
      </c>
      <c r="J258" s="47" t="s">
        <v>585</v>
      </c>
      <c r="K258" s="51" t="str">
        <f>VLOOKUP(Table3[[#This Row],[SPECIFIC COMMODITY]],TAGS!$W$48:$X$53,2,FALSE)</f>
        <v>Multi_commodity</v>
      </c>
      <c r="L258" s="51" t="str">
        <f>VLOOKUP(Table3[[#This Row],[PREXC SUB-PROGRAM]],Table5[],2,FALSE)</f>
        <v>TECHNICAL AND SUPPORT SERVICES PROGRAM</v>
      </c>
      <c r="M258" s="51" t="str">
        <f>VLOOKUP(Table3[[#This Row],[COMMODITY PREXC SUB-PROGRAM]],TAGS!$U$54:$V$76,2,FALSE)</f>
        <v>PSS</v>
      </c>
      <c r="N258" s="47" t="s">
        <v>586</v>
      </c>
      <c r="O258" s="54" t="str">
        <f>VLOOKUP(Table3[[#This Row],[PI LEVEL 3]],'PI LEVEL'!A:C,3,FALSE)</f>
        <v>Farm machinery and equipment procured for stations</v>
      </c>
      <c r="P258" s="54" t="str">
        <f>VLOOKUP(Table3[[#This Row],[PI LEVEL 3]],Table53729[[Performance Indicator Level 3]:[Performance Indicator Level 1]],2,FALSE)</f>
        <v>Farm machinery and equipment procured for stations</v>
      </c>
      <c r="Q258" s="54" t="str">
        <f>VLOOKUP(Table3[[#This Row],[ACTIVITY]],TAGS!B:P,2,FALSE)</f>
        <v>Postharvest machinery and equipment procured for stations</v>
      </c>
      <c r="R258" s="47" t="s">
        <v>100</v>
      </c>
      <c r="S258" s="51" t="str">
        <f>VLOOKUP(Table3[[#This Row],[ACTIVITY]],TAGS!$B:$P,4,FALSE)</f>
        <v>DA Facilities Management</v>
      </c>
      <c r="T258" s="51" t="str">
        <f>VLOOKUP(Table3[[#This Row],[ACTIVITY]],TAGS!$B:$P,5,FALSE)</f>
        <v>Support to DA Stations</v>
      </c>
      <c r="U258" s="51" t="str">
        <f>VLOOKUP(Table3[[#This Row],[ACTIVITY]],TAGS!$B:$P,6,FALSE)</f>
        <v>Machinery &amp; Equipment for DA Stations</v>
      </c>
      <c r="V258" s="51" t="str">
        <f>VLOOKUP(Table3[[#This Row],[ACTIVITY]],TAGS!$B:$P,7,FALSE)</f>
        <v>NO</v>
      </c>
      <c r="W258" s="51" t="str">
        <f>VLOOKUP(Table3[[#This Row],[ACTIVITY]],TAGS!$B:$P,8,FALSE)</f>
        <v>PAP</v>
      </c>
      <c r="X258" s="51" t="str">
        <f>VLOOKUP(Table3[[#This Row],[ACTIVITY]],TAGS!$B:$P,10,FALSE)</f>
        <v>PIP</v>
      </c>
      <c r="Y258" s="51" t="str">
        <f>VLOOKUP(Table3[[#This Row],[ACTIVITY]],TAGS!$B:$P,11,FALSE)</f>
        <v>PICS</v>
      </c>
      <c r="Z258" s="51" t="str">
        <f>VLOOKUP(Table3[[#This Row],[ACTIVITY]],TAGS!$B:$P,12,FALSE)</f>
        <v>Modernization</v>
      </c>
      <c r="AA258" s="51" t="str">
        <f>VLOOKUP(Table3[[#This Row],[ACTIVITY]],TAGS!$B:$P,13,FALSE)</f>
        <v>8. Farm Mechanization and Farm Investments</v>
      </c>
      <c r="AB258" s="51">
        <f>VLOOKUP(Table3[[#This Row],[ACTIVITY]],TAGS!$B:$P,14,FALSE)</f>
        <v>0</v>
      </c>
      <c r="AC258" s="51" t="str">
        <f>VLOOKUP(Table3[[#This Row],[ACTIVITY]],TAGS!$B:$P,15,FALSE)</f>
        <v>DA Station</v>
      </c>
      <c r="AD258" s="51" t="str">
        <f>VLOOKUP(Table3[[#This Row],[PI LEVEL 3]],'PI LEVEL'!$A:$G,7,FALSE)</f>
        <v>DA-Level Output</v>
      </c>
      <c r="AE258" s="47" t="s">
        <v>577</v>
      </c>
      <c r="AF258" s="51" t="str">
        <f>VLOOKUP(Table3[[#This Row],[ACTIVITY]],TAGS!$B:$P,3,FALSE)</f>
        <v>number</v>
      </c>
      <c r="AG258" s="47" t="s">
        <v>333</v>
      </c>
      <c r="AH258" s="51" t="str">
        <f>VLOOKUP(Table3[[#This Row],[MONTH]],TAGS!$W$67:$Y$81,2,FALSE)</f>
        <v>3RD QTR</v>
      </c>
      <c r="AI258" s="51" t="str">
        <f>VLOOKUP(Table3[[#This Row],[MONTH]],TAGS!$W$67:$Y$81,3,FALSE)</f>
        <v>2ND SEMESTER</v>
      </c>
      <c r="AJ258" s="51">
        <f>VLOOKUP(Table3[[#This Row],[MONTH]],TAGS!$W$67:$Z$81,4,FALSE)</f>
        <v>2025</v>
      </c>
      <c r="AK258" s="47">
        <v>4</v>
      </c>
      <c r="AL258" s="51" t="str">
        <f>VLOOKUP(Table3[[#This Row],[ACTIVITY]],TAGS!$B:$R,16,FALSE)</f>
        <v>NO</v>
      </c>
      <c r="AM258" s="47"/>
      <c r="AN258" s="47">
        <v>300</v>
      </c>
      <c r="AO258" s="57">
        <f>SUM(Table3[[#This Row],[MALE BENEFICIARIES]:[FEMALE BENEFICIARIES]])</f>
        <v>0</v>
      </c>
      <c r="AP258" s="58"/>
      <c r="AQ258" s="58"/>
      <c r="AR258" s="58"/>
      <c r="AS258" s="58"/>
      <c r="AT258" s="59" t="str">
        <f>VLOOKUP(Table3[[#This Row],[ACTIVITY]],TAGS!$B:$R,17,FALSE)</f>
        <v>NO</v>
      </c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</row>
    <row r="259" spans="1:65">
      <c r="A259" s="51" t="str">
        <f>VLOOKUP(Table3[[#This Row],[OU]],OU!$A$15:$B$34,2,FALSE)</f>
        <v>RFOs</v>
      </c>
      <c r="B259" s="47" t="s">
        <v>5</v>
      </c>
      <c r="C259" s="47" t="s">
        <v>574</v>
      </c>
      <c r="D259" s="47"/>
      <c r="E259" s="47" t="s">
        <v>78</v>
      </c>
      <c r="F259" s="47" t="s">
        <v>77</v>
      </c>
      <c r="G25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5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59" s="52" t="e">
        <f>VLOOKUP(Table3[[#This Row],[PSGC]],DISTRICT!$D:$G,4,FALSE)</f>
        <v>#N/A</v>
      </c>
      <c r="J259" s="47" t="s">
        <v>585</v>
      </c>
      <c r="K259" s="51" t="str">
        <f>VLOOKUP(Table3[[#This Row],[SPECIFIC COMMODITY]],TAGS!$W$48:$X$53,2,FALSE)</f>
        <v>Multi_commodity</v>
      </c>
      <c r="L259" s="51" t="str">
        <f>VLOOKUP(Table3[[#This Row],[PREXC SUB-PROGRAM]],Table5[],2,FALSE)</f>
        <v>TECHNICAL AND SUPPORT SERVICES PROGRAM</v>
      </c>
      <c r="M259" s="51" t="str">
        <f>VLOOKUP(Table3[[#This Row],[COMMODITY PREXC SUB-PROGRAM]],TAGS!$U$54:$V$76,2,FALSE)</f>
        <v>PSS</v>
      </c>
      <c r="N259" s="47" t="s">
        <v>586</v>
      </c>
      <c r="O259" s="54" t="str">
        <f>VLOOKUP(Table3[[#This Row],[PI LEVEL 3]],'PI LEVEL'!A:C,3,FALSE)</f>
        <v>Farm machinery and equipment procured for stations</v>
      </c>
      <c r="P259" s="54" t="str">
        <f>VLOOKUP(Table3[[#This Row],[PI LEVEL 3]],Table53729[[Performance Indicator Level 3]:[Performance Indicator Level 1]],2,FALSE)</f>
        <v>Farm machinery and equipment procured for stations</v>
      </c>
      <c r="Q259" s="54" t="str">
        <f>VLOOKUP(Table3[[#This Row],[ACTIVITY]],TAGS!B:P,2,FALSE)</f>
        <v>Postharvest machinery and equipment procured for stations</v>
      </c>
      <c r="R259" s="47" t="s">
        <v>102</v>
      </c>
      <c r="S259" s="51" t="str">
        <f>VLOOKUP(Table3[[#This Row],[ACTIVITY]],TAGS!$B:$P,4,FALSE)</f>
        <v>DA Facilities Management</v>
      </c>
      <c r="T259" s="51" t="str">
        <f>VLOOKUP(Table3[[#This Row],[ACTIVITY]],TAGS!$B:$P,5,FALSE)</f>
        <v>Support to DA Stations</v>
      </c>
      <c r="U259" s="51" t="str">
        <f>VLOOKUP(Table3[[#This Row],[ACTIVITY]],TAGS!$B:$P,6,FALSE)</f>
        <v>Machinery &amp; Equipment for DA Stations</v>
      </c>
      <c r="V259" s="51" t="str">
        <f>VLOOKUP(Table3[[#This Row],[ACTIVITY]],TAGS!$B:$P,7,FALSE)</f>
        <v>NO</v>
      </c>
      <c r="W259" s="51" t="str">
        <f>VLOOKUP(Table3[[#This Row],[ACTIVITY]],TAGS!$B:$P,8,FALSE)</f>
        <v>PAP</v>
      </c>
      <c r="X259" s="51" t="str">
        <f>VLOOKUP(Table3[[#This Row],[ACTIVITY]],TAGS!$B:$P,10,FALSE)</f>
        <v>PIP</v>
      </c>
      <c r="Y259" s="51" t="str">
        <f>VLOOKUP(Table3[[#This Row],[ACTIVITY]],TAGS!$B:$P,11,FALSE)</f>
        <v>PICS</v>
      </c>
      <c r="Z259" s="51" t="str">
        <f>VLOOKUP(Table3[[#This Row],[ACTIVITY]],TAGS!$B:$P,12,FALSE)</f>
        <v>Modernization</v>
      </c>
      <c r="AA259" s="51" t="str">
        <f>VLOOKUP(Table3[[#This Row],[ACTIVITY]],TAGS!$B:$P,13,FALSE)</f>
        <v>8. Farm Mechanization and Farm Investments</v>
      </c>
      <c r="AB259" s="51">
        <f>VLOOKUP(Table3[[#This Row],[ACTIVITY]],TAGS!$B:$P,14,FALSE)</f>
        <v>0</v>
      </c>
      <c r="AC259" s="51" t="str">
        <f>VLOOKUP(Table3[[#This Row],[ACTIVITY]],TAGS!$B:$P,15,FALSE)</f>
        <v>DA Station</v>
      </c>
      <c r="AD259" s="51" t="str">
        <f>VLOOKUP(Table3[[#This Row],[PI LEVEL 3]],'PI LEVEL'!$A:$G,7,FALSE)</f>
        <v>DA-Level Output</v>
      </c>
      <c r="AE259" s="47" t="s">
        <v>577</v>
      </c>
      <c r="AF259" s="51" t="str">
        <f>VLOOKUP(Table3[[#This Row],[ACTIVITY]],TAGS!$B:$P,3,FALSE)</f>
        <v>number</v>
      </c>
      <c r="AG259" s="47" t="s">
        <v>334</v>
      </c>
      <c r="AH259" s="51" t="str">
        <f>VLOOKUP(Table3[[#This Row],[MONTH]],TAGS!$W$67:$Y$81,2,FALSE)</f>
        <v>3RD QTR</v>
      </c>
      <c r="AI259" s="51" t="str">
        <f>VLOOKUP(Table3[[#This Row],[MONTH]],TAGS!$W$67:$Y$81,3,FALSE)</f>
        <v>2ND SEMESTER</v>
      </c>
      <c r="AJ259" s="51">
        <f>VLOOKUP(Table3[[#This Row],[MONTH]],TAGS!$W$67:$Z$81,4,FALSE)</f>
        <v>2025</v>
      </c>
      <c r="AK259" s="47">
        <v>1</v>
      </c>
      <c r="AL259" s="51" t="str">
        <f>VLOOKUP(Table3[[#This Row],[ACTIVITY]],TAGS!$B:$R,16,FALSE)</f>
        <v>NO</v>
      </c>
      <c r="AM259" s="47"/>
      <c r="AN259" s="47">
        <v>2100</v>
      </c>
      <c r="AO259" s="57">
        <f>SUM(Table3[[#This Row],[MALE BENEFICIARIES]:[FEMALE BENEFICIARIES]])</f>
        <v>0</v>
      </c>
      <c r="AP259" s="58"/>
      <c r="AQ259" s="58"/>
      <c r="AR259" s="58"/>
      <c r="AS259" s="58"/>
      <c r="AT259" s="59" t="str">
        <f>VLOOKUP(Table3[[#This Row],[ACTIVITY]],TAGS!$B:$R,17,FALSE)</f>
        <v>NO</v>
      </c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</row>
    <row r="260" spans="1:65">
      <c r="A260" s="51" t="str">
        <f>VLOOKUP(Table3[[#This Row],[OU]],OU!$A$15:$B$34,2,FALSE)</f>
        <v>RFOs</v>
      </c>
      <c r="B260" s="47" t="s">
        <v>5</v>
      </c>
      <c r="C260" s="47" t="s">
        <v>574</v>
      </c>
      <c r="D260" s="47"/>
      <c r="E260" s="47" t="s">
        <v>78</v>
      </c>
      <c r="F260" s="47" t="s">
        <v>77</v>
      </c>
      <c r="G26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6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60" s="52" t="e">
        <f>VLOOKUP(Table3[[#This Row],[PSGC]],DISTRICT!$D:$G,4,FALSE)</f>
        <v>#N/A</v>
      </c>
      <c r="J260" s="47" t="s">
        <v>585</v>
      </c>
      <c r="K260" s="51" t="str">
        <f>VLOOKUP(Table3[[#This Row],[SPECIFIC COMMODITY]],TAGS!$W$48:$X$53,2,FALSE)</f>
        <v>Multi_commodity</v>
      </c>
      <c r="L260" s="51" t="str">
        <f>VLOOKUP(Table3[[#This Row],[PREXC SUB-PROGRAM]],Table5[],2,FALSE)</f>
        <v>TECHNICAL AND SUPPORT SERVICES PROGRAM</v>
      </c>
      <c r="M260" s="51" t="str">
        <f>VLOOKUP(Table3[[#This Row],[COMMODITY PREXC SUB-PROGRAM]],TAGS!$U$54:$V$76,2,FALSE)</f>
        <v>PSS</v>
      </c>
      <c r="N260" s="47" t="s">
        <v>586</v>
      </c>
      <c r="O260" s="54" t="str">
        <f>VLOOKUP(Table3[[#This Row],[PI LEVEL 3]],'PI LEVEL'!A:C,3,FALSE)</f>
        <v>Farm machinery and equipment procured for stations</v>
      </c>
      <c r="P260" s="54" t="str">
        <f>VLOOKUP(Table3[[#This Row],[PI LEVEL 3]],Table53729[[Performance Indicator Level 3]:[Performance Indicator Level 1]],2,FALSE)</f>
        <v>Farm machinery and equipment procured for stations</v>
      </c>
      <c r="Q260" s="54" t="str">
        <f>VLOOKUP(Table3[[#This Row],[ACTIVITY]],TAGS!B:P,2,FALSE)</f>
        <v>Production machinery and equipment procured for stations</v>
      </c>
      <c r="R260" s="47" t="s">
        <v>104</v>
      </c>
      <c r="S260" s="51" t="str">
        <f>VLOOKUP(Table3[[#This Row],[ACTIVITY]],TAGS!$B:$P,4,FALSE)</f>
        <v>DA Facilities Management</v>
      </c>
      <c r="T260" s="51" t="str">
        <f>VLOOKUP(Table3[[#This Row],[ACTIVITY]],TAGS!$B:$P,5,FALSE)</f>
        <v>Support to DA Stations</v>
      </c>
      <c r="U260" s="51" t="str">
        <f>VLOOKUP(Table3[[#This Row],[ACTIVITY]],TAGS!$B:$P,6,FALSE)</f>
        <v>Machinery &amp; Equipment for DA Stations</v>
      </c>
      <c r="V260" s="51" t="str">
        <f>VLOOKUP(Table3[[#This Row],[ACTIVITY]],TAGS!$B:$P,7,FALSE)</f>
        <v>NO</v>
      </c>
      <c r="W260" s="51" t="str">
        <f>VLOOKUP(Table3[[#This Row],[ACTIVITY]],TAGS!$B:$P,8,FALSE)</f>
        <v>PAP</v>
      </c>
      <c r="X260" s="51" t="str">
        <f>VLOOKUP(Table3[[#This Row],[ACTIVITY]],TAGS!$B:$P,10,FALSE)</f>
        <v>PIP</v>
      </c>
      <c r="Y260" s="51" t="str">
        <f>VLOOKUP(Table3[[#This Row],[ACTIVITY]],TAGS!$B:$P,11,FALSE)</f>
        <v>PICS</v>
      </c>
      <c r="Z260" s="51" t="str">
        <f>VLOOKUP(Table3[[#This Row],[ACTIVITY]],TAGS!$B:$P,12,FALSE)</f>
        <v>Modernization</v>
      </c>
      <c r="AA260" s="51" t="str">
        <f>VLOOKUP(Table3[[#This Row],[ACTIVITY]],TAGS!$B:$P,13,FALSE)</f>
        <v>8. Farm Mechanization and Farm Investments</v>
      </c>
      <c r="AB260" s="51">
        <f>VLOOKUP(Table3[[#This Row],[ACTIVITY]],TAGS!$B:$P,14,FALSE)</f>
        <v>0</v>
      </c>
      <c r="AC260" s="51" t="str">
        <f>VLOOKUP(Table3[[#This Row],[ACTIVITY]],TAGS!$B:$P,15,FALSE)</f>
        <v>DA Station</v>
      </c>
      <c r="AD260" s="51" t="str">
        <f>VLOOKUP(Table3[[#This Row],[PI LEVEL 3]],'PI LEVEL'!$A:$G,7,FALSE)</f>
        <v>DA-Level Output</v>
      </c>
      <c r="AE260" s="47" t="s">
        <v>577</v>
      </c>
      <c r="AF260" s="51" t="str">
        <f>VLOOKUP(Table3[[#This Row],[ACTIVITY]],TAGS!$B:$P,3,FALSE)</f>
        <v>number</v>
      </c>
      <c r="AG260" s="47" t="s">
        <v>336</v>
      </c>
      <c r="AH260" s="51" t="str">
        <f>VLOOKUP(Table3[[#This Row],[MONTH]],TAGS!$W$67:$Y$81,2,FALSE)</f>
        <v>4TH QTR</v>
      </c>
      <c r="AI260" s="51" t="str">
        <f>VLOOKUP(Table3[[#This Row],[MONTH]],TAGS!$W$67:$Y$81,3,FALSE)</f>
        <v>2ND SEMESTER</v>
      </c>
      <c r="AJ260" s="51">
        <f>VLOOKUP(Table3[[#This Row],[MONTH]],TAGS!$W$67:$Z$81,4,FALSE)</f>
        <v>2025</v>
      </c>
      <c r="AK260" s="47">
        <v>1</v>
      </c>
      <c r="AL260" s="51" t="str">
        <f>VLOOKUP(Table3[[#This Row],[ACTIVITY]],TAGS!$B:$R,16,FALSE)</f>
        <v>NO</v>
      </c>
      <c r="AM260" s="47"/>
      <c r="AN260" s="47">
        <v>3100</v>
      </c>
      <c r="AO260" s="57">
        <f>SUM(Table3[[#This Row],[MALE BENEFICIARIES]:[FEMALE BENEFICIARIES]])</f>
        <v>0</v>
      </c>
      <c r="AP260" s="58"/>
      <c r="AQ260" s="58"/>
      <c r="AR260" s="58"/>
      <c r="AS260" s="58"/>
      <c r="AT260" s="59" t="str">
        <f>VLOOKUP(Table3[[#This Row],[ACTIVITY]],TAGS!$B:$R,17,FALSE)</f>
        <v>NO</v>
      </c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</row>
    <row r="261" spans="1:65">
      <c r="A261" s="51" t="str">
        <f>VLOOKUP(Table3[[#This Row],[OU]],OU!$A$15:$B$34,2,FALSE)</f>
        <v>RFOs</v>
      </c>
      <c r="B261" s="47" t="s">
        <v>5</v>
      </c>
      <c r="C261" s="47" t="s">
        <v>574</v>
      </c>
      <c r="D261" s="47"/>
      <c r="E261" s="47" t="s">
        <v>70</v>
      </c>
      <c r="F261" s="47" t="s">
        <v>694</v>
      </c>
      <c r="G26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26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25706000</v>
      </c>
      <c r="I261" s="52" t="str">
        <f>VLOOKUP(Table3[[#This Row],[PSGC]],DISTRICT!$D:$G,4,FALSE)</f>
        <v>1st</v>
      </c>
      <c r="J261" s="47" t="s">
        <v>578</v>
      </c>
      <c r="K261" s="51" t="str">
        <f>VLOOKUP(Table3[[#This Row],[SPECIFIC COMMODITY]],TAGS!$W$48:$X$53,2,FALSE)</f>
        <v>Corn</v>
      </c>
      <c r="L261" s="51" t="str">
        <f>VLOOKUP(Table3[[#This Row],[PREXC SUB-PROGRAM]],Table5[],2,FALSE)</f>
        <v>TECHNICAL AND SUPPORT SERVICES PROGRAM</v>
      </c>
      <c r="M261" s="51" t="str">
        <f>VLOOKUP(Table3[[#This Row],[COMMODITY PREXC SUB-PROGRAM]],TAGS!$U$54:$V$76,2,FALSE)</f>
        <v>ESETS</v>
      </c>
      <c r="N261" s="47" t="s">
        <v>587</v>
      </c>
      <c r="O261" s="54" t="str">
        <f>VLOOKUP(Table3[[#This Row],[PI LEVEL 3]],'PI LEVEL'!A:C,3,FALSE)</f>
        <v>Technology demonstrations established/maintained</v>
      </c>
      <c r="P261" s="54" t="str">
        <f>VLOOKUP(Table3[[#This Row],[PI LEVEL 3]],Table53729[[Performance Indicator Level 3]:[Performance Indicator Level 1]],2,FALSE)</f>
        <v>Model Farms established</v>
      </c>
      <c r="Q261" s="54" t="str">
        <f>VLOOKUP(Table3[[#This Row],[ACTIVITY]],TAGS!B:P,2,FALSE)</f>
        <v>Model Farms established</v>
      </c>
      <c r="R261" s="47" t="s">
        <v>128</v>
      </c>
      <c r="S261" s="51" t="str">
        <f>VLOOKUP(Table3[[#This Row],[ACTIVITY]],TAGS!$B:$P,4,FALSE)</f>
        <v>Model Farm establishment</v>
      </c>
      <c r="T261" s="51" t="str">
        <f>VLOOKUP(Table3[[#This Row],[ACTIVITY]],TAGS!$B:$P,5,FALSE)</f>
        <v>Model farm</v>
      </c>
      <c r="U261" s="51" t="str">
        <f>VLOOKUP(Table3[[#This Row],[ACTIVITY]],TAGS!$B:$P,6,FALSE)</f>
        <v>Sustainable Land Resources Management Approach Site Establishment</v>
      </c>
      <c r="V261" s="51" t="str">
        <f>VLOOKUP(Table3[[#This Row],[ACTIVITY]],TAGS!$B:$P,7,FALSE)</f>
        <v>YES</v>
      </c>
      <c r="W261" s="51" t="str">
        <f>VLOOKUP(Table3[[#This Row],[ACTIVITY]],TAGS!$B:$P,8,FALSE)</f>
        <v>PAP</v>
      </c>
      <c r="X261" s="51" t="str">
        <f>VLOOKUP(Table3[[#This Row],[ACTIVITY]],TAGS!$B:$P,10,FALSE)</f>
        <v>PIP</v>
      </c>
      <c r="Y261" s="51" t="str">
        <f>VLOOKUP(Table3[[#This Row],[ACTIVITY]],TAGS!$B:$P,11,FALSE)</f>
        <v>PICS</v>
      </c>
      <c r="Z261" s="51" t="str">
        <f>VLOOKUP(Table3[[#This Row],[ACTIVITY]],TAGS!$B:$P,12,FALSE)</f>
        <v>Consolidation</v>
      </c>
      <c r="AA261" s="51" t="str">
        <f>VLOOKUP(Table3[[#This Row],[ACTIVITY]],TAGS!$B:$P,13,FALSE)</f>
        <v>1. Bayanihan Agri Cluster</v>
      </c>
      <c r="AB261" s="51" t="str">
        <f>VLOOKUP(Table3[[#This Row],[ACTIVITY]],TAGS!$B:$P,14,FALSE)</f>
        <v>EXPAND AND IMPROVE AVAILABLE AGRI-FISHERY AREAS FOR INCREASED PRODUCTION</v>
      </c>
      <c r="AC261" s="51" t="str">
        <f>VLOOKUP(Table3[[#This Row],[ACTIVITY]],TAGS!$B:$P,15,FALSE)</f>
        <v>Farm Inputs</v>
      </c>
      <c r="AD261" s="51" t="str">
        <f>VLOOKUP(Table3[[#This Row],[PI LEVEL 3]],'PI LEVEL'!$A:$G,7,FALSE)</f>
        <v>DA-Level Output</v>
      </c>
      <c r="AE261" s="47" t="s">
        <v>577</v>
      </c>
      <c r="AF261" s="51" t="str">
        <f>VLOOKUP(Table3[[#This Row],[ACTIVITY]],TAGS!$B:$P,3,FALSE)</f>
        <v>number</v>
      </c>
      <c r="AG261" s="47" t="s">
        <v>332</v>
      </c>
      <c r="AH261" s="51" t="str">
        <f>VLOOKUP(Table3[[#This Row],[MONTH]],TAGS!$W$67:$Y$81,2,FALSE)</f>
        <v>2ND QTR</v>
      </c>
      <c r="AI261" s="51" t="str">
        <f>VLOOKUP(Table3[[#This Row],[MONTH]],TAGS!$W$67:$Y$81,3,FALSE)</f>
        <v>1ST SEMESTER</v>
      </c>
      <c r="AJ261" s="51">
        <f>VLOOKUP(Table3[[#This Row],[MONTH]],TAGS!$W$67:$Z$81,4,FALSE)</f>
        <v>2025</v>
      </c>
      <c r="AK261" s="47">
        <v>1</v>
      </c>
      <c r="AL261" s="51" t="str">
        <f>VLOOKUP(Table3[[#This Row],[ACTIVITY]],TAGS!$B:$R,16,FALSE)</f>
        <v>YES</v>
      </c>
      <c r="AM261" s="47">
        <v>100</v>
      </c>
      <c r="AN261" s="47">
        <v>3000</v>
      </c>
      <c r="AO261" s="57">
        <f>SUM(Table3[[#This Row],[MALE BENEFICIARIES]:[FEMALE BENEFICIARIES]])</f>
        <v>0</v>
      </c>
      <c r="AP261" s="58"/>
      <c r="AQ261" s="58"/>
      <c r="AR261" s="58"/>
      <c r="AS261" s="58"/>
      <c r="AT261" s="59" t="str">
        <f>VLOOKUP(Table3[[#This Row],[ACTIVITY]],TAGS!$B:$R,17,FALSE)</f>
        <v>NO</v>
      </c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</row>
    <row r="262" spans="1:65">
      <c r="A262" s="51" t="str">
        <f>VLOOKUP(Table3[[#This Row],[OU]],OU!$A$15:$B$34,2,FALSE)</f>
        <v>RFOs</v>
      </c>
      <c r="B262" s="47" t="s">
        <v>5</v>
      </c>
      <c r="C262" s="47" t="s">
        <v>574</v>
      </c>
      <c r="D262" s="47"/>
      <c r="E262" s="47" t="s">
        <v>78</v>
      </c>
      <c r="F262" s="47" t="s">
        <v>77</v>
      </c>
      <c r="G26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6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62" s="52" t="e">
        <f>VLOOKUP(Table3[[#This Row],[PSGC]],DISTRICT!$D:$G,4,FALSE)</f>
        <v>#N/A</v>
      </c>
      <c r="J262" s="47" t="s">
        <v>578</v>
      </c>
      <c r="K262" s="51" t="str">
        <f>VLOOKUP(Table3[[#This Row],[SPECIFIC COMMODITY]],TAGS!$W$48:$X$53,2,FALSE)</f>
        <v>Corn</v>
      </c>
      <c r="L262" s="51" t="str">
        <f>VLOOKUP(Table3[[#This Row],[PREXC SUB-PROGRAM]],Table5[],2,FALSE)</f>
        <v>TECHNICAL AND SUPPORT SERVICES PROGRAM</v>
      </c>
      <c r="M262" s="51" t="str">
        <f>VLOOKUP(Table3[[#This Row],[COMMODITY PREXC SUB-PROGRAM]],TAGS!$U$54:$V$76,2,FALSE)</f>
        <v>ESETS</v>
      </c>
      <c r="N262" s="47" t="s">
        <v>587</v>
      </c>
      <c r="O262" s="54" t="str">
        <f>VLOOKUP(Table3[[#This Row],[PI LEVEL 3]],'PI LEVEL'!A:C,3,FALSE)</f>
        <v>Technology demonstrations established/maintained</v>
      </c>
      <c r="P262" s="54" t="str">
        <f>VLOOKUP(Table3[[#This Row],[PI LEVEL 3]],Table53729[[Performance Indicator Level 3]:[Performance Indicator Level 1]],2,FALSE)</f>
        <v>Techno demo established</v>
      </c>
      <c r="Q262" s="54" t="str">
        <f>VLOOKUP(Table3[[#This Row],[ACTIVITY]],TAGS!B:P,2,FALSE)</f>
        <v>Techno demo established</v>
      </c>
      <c r="R262" s="47" t="s">
        <v>133</v>
      </c>
      <c r="S262" s="51" t="str">
        <f>VLOOKUP(Table3[[#This Row],[ACTIVITY]],TAGS!$B:$P,4,FALSE)</f>
        <v>Techno Demo establishment</v>
      </c>
      <c r="T262" s="51" t="str">
        <f>VLOOKUP(Table3[[#This Row],[ACTIVITY]],TAGS!$B:$P,5,FALSE)</f>
        <v>Techno Demo</v>
      </c>
      <c r="U262" s="51" t="str">
        <f>VLOOKUP(Table3[[#This Row],[ACTIVITY]],TAGS!$B:$P,6,FALSE)</f>
        <v>Corn Derby</v>
      </c>
      <c r="V262" s="51" t="str">
        <f>VLOOKUP(Table3[[#This Row],[ACTIVITY]],TAGS!$B:$P,7,FALSE)</f>
        <v>NO</v>
      </c>
      <c r="W262" s="51" t="str">
        <f>VLOOKUP(Table3[[#This Row],[ACTIVITY]],TAGS!$B:$P,8,FALSE)</f>
        <v>PAP</v>
      </c>
      <c r="X262" s="51" t="str">
        <f>VLOOKUP(Table3[[#This Row],[ACTIVITY]],TAGS!$B:$P,10,FALSE)</f>
        <v>PIP</v>
      </c>
      <c r="Y262" s="51" t="str">
        <f>VLOOKUP(Table3[[#This Row],[ACTIVITY]],TAGS!$B:$P,11,FALSE)</f>
        <v>PICS</v>
      </c>
      <c r="Z262" s="51" t="str">
        <f>VLOOKUP(Table3[[#This Row],[ACTIVITY]],TAGS!$B:$P,12,FALSE)</f>
        <v>Consolidation</v>
      </c>
      <c r="AA262" s="51" t="str">
        <f>VLOOKUP(Table3[[#This Row],[ACTIVITY]],TAGS!$B:$P,13,FALSE)</f>
        <v>1. Bayanihan Agri Cluster</v>
      </c>
      <c r="AB262" s="51" t="str">
        <f>VLOOKUP(Table3[[#This Row],[ACTIVITY]],TAGS!$B:$P,14,FALSE)</f>
        <v>EXPAND AND IMPROVE AVAILABLE AGRI-FISHERY AREAS FOR INCREASED PRODUCTION</v>
      </c>
      <c r="AC262" s="51" t="str">
        <f>VLOOKUP(Table3[[#This Row],[ACTIVITY]],TAGS!$B:$P,15,FALSE)</f>
        <v>Other Intervetions</v>
      </c>
      <c r="AD262" s="51" t="str">
        <f>VLOOKUP(Table3[[#This Row],[PI LEVEL 3]],'PI LEVEL'!$A:$G,7,FALSE)</f>
        <v>DA-Level Output</v>
      </c>
      <c r="AE262" s="47" t="s">
        <v>577</v>
      </c>
      <c r="AF262" s="51" t="str">
        <f>VLOOKUP(Table3[[#This Row],[ACTIVITY]],TAGS!$B:$P,3,FALSE)</f>
        <v>number</v>
      </c>
      <c r="AG262" s="47" t="s">
        <v>332</v>
      </c>
      <c r="AH262" s="51" t="str">
        <f>VLOOKUP(Table3[[#This Row],[MONTH]],TAGS!$W$67:$Y$81,2,FALSE)</f>
        <v>2ND QTR</v>
      </c>
      <c r="AI262" s="51" t="str">
        <f>VLOOKUP(Table3[[#This Row],[MONTH]],TAGS!$W$67:$Y$81,3,FALSE)</f>
        <v>1ST SEMESTER</v>
      </c>
      <c r="AJ262" s="51">
        <f>VLOOKUP(Table3[[#This Row],[MONTH]],TAGS!$W$67:$Z$81,4,FALSE)</f>
        <v>2025</v>
      </c>
      <c r="AK262" s="47">
        <v>1</v>
      </c>
      <c r="AL262" s="51" t="str">
        <f>VLOOKUP(Table3[[#This Row],[ACTIVITY]],TAGS!$B:$R,16,FALSE)</f>
        <v>NO</v>
      </c>
      <c r="AM262" s="47">
        <v>5</v>
      </c>
      <c r="AN262" s="47">
        <v>1000</v>
      </c>
      <c r="AO262" s="57">
        <f>SUM(Table3[[#This Row],[MALE BENEFICIARIES]:[FEMALE BENEFICIARIES]])</f>
        <v>0</v>
      </c>
      <c r="AP262" s="58"/>
      <c r="AQ262" s="58"/>
      <c r="AR262" s="58"/>
      <c r="AS262" s="58"/>
      <c r="AT262" s="59" t="str">
        <f>VLOOKUP(Table3[[#This Row],[ACTIVITY]],TAGS!$B:$R,17,FALSE)</f>
        <v>NO</v>
      </c>
      <c r="AU262" s="59"/>
      <c r="AV262" s="59"/>
      <c r="AW262" s="59"/>
      <c r="AX262" s="59"/>
      <c r="AY262" s="59"/>
      <c r="AZ262" s="59"/>
      <c r="BA262" s="59"/>
      <c r="BB262" s="59"/>
      <c r="BC262" s="59"/>
      <c r="BD262" s="59"/>
      <c r="BE262" s="59"/>
      <c r="BF262" s="59"/>
      <c r="BG262" s="59"/>
      <c r="BH262" s="59"/>
      <c r="BI262" s="59"/>
      <c r="BJ262" s="59"/>
      <c r="BK262" s="59"/>
      <c r="BL262" s="59"/>
      <c r="BM262" s="59"/>
    </row>
    <row r="263" spans="1:65">
      <c r="A263" s="51" t="str">
        <f>VLOOKUP(Table3[[#This Row],[OU]],OU!$A$15:$B$34,2,FALSE)</f>
        <v>RFOs</v>
      </c>
      <c r="B263" s="47" t="s">
        <v>5</v>
      </c>
      <c r="C263" s="47" t="s">
        <v>574</v>
      </c>
      <c r="D263" s="47"/>
      <c r="E263" s="47" t="s">
        <v>78</v>
      </c>
      <c r="F263" s="47" t="s">
        <v>77</v>
      </c>
      <c r="G26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6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63" s="52" t="e">
        <f>VLOOKUP(Table3[[#This Row],[PSGC]],DISTRICT!$D:$G,4,FALSE)</f>
        <v>#N/A</v>
      </c>
      <c r="J263" s="47" t="s">
        <v>578</v>
      </c>
      <c r="K263" s="51" t="str">
        <f>VLOOKUP(Table3[[#This Row],[SPECIFIC COMMODITY]],TAGS!$W$48:$X$53,2,FALSE)</f>
        <v>Corn</v>
      </c>
      <c r="L263" s="51" t="str">
        <f>VLOOKUP(Table3[[#This Row],[PREXC SUB-PROGRAM]],Table5[],2,FALSE)</f>
        <v>TECHNICAL AND SUPPORT SERVICES PROGRAM</v>
      </c>
      <c r="M263" s="51" t="str">
        <f>VLOOKUP(Table3[[#This Row],[COMMODITY PREXC SUB-PROGRAM]],TAGS!$U$54:$V$76,2,FALSE)</f>
        <v>ESETS</v>
      </c>
      <c r="N263" s="47" t="s">
        <v>587</v>
      </c>
      <c r="O263" s="54" t="str">
        <f>VLOOKUP(Table3[[#This Row],[PI LEVEL 3]],'PI LEVEL'!A:C,3,FALSE)</f>
        <v>Extension support activities conducted</v>
      </c>
      <c r="P263" s="54" t="str">
        <f>VLOOKUP(Table3[[#This Row],[PI LEVEL 3]],Table53729[[Performance Indicator Level 3]:[Performance Indicator Level 1]],2,FALSE)</f>
        <v>Extension support activities conducted</v>
      </c>
      <c r="Q263" s="54" t="str">
        <f>VLOOKUP(Table3[[#This Row],[ACTIVITY]],TAGS!B:P,2,FALSE)</f>
        <v>Other extension support activities conducted</v>
      </c>
      <c r="R263" s="60" t="s">
        <v>165</v>
      </c>
      <c r="S263" s="51" t="str">
        <f>VLOOKUP(Table3[[#This Row],[ACTIVITY]],TAGS!$B:$P,4,FALSE)</f>
        <v>Special Events</v>
      </c>
      <c r="T263" s="51" t="str">
        <f>VLOOKUP(Table3[[#This Row],[ACTIVITY]],TAGS!$B:$P,5,FALSE)</f>
        <v>Special Events</v>
      </c>
      <c r="U263" s="51" t="str">
        <f>VLOOKUP(Table3[[#This Row],[ACTIVITY]],TAGS!$B:$P,6,FALSE)</f>
        <v>Corn and Cassava Congress</v>
      </c>
      <c r="V263" s="51" t="str">
        <f>VLOOKUP(Table3[[#This Row],[ACTIVITY]],TAGS!$B:$P,7,FALSE)</f>
        <v>NO</v>
      </c>
      <c r="W263" s="51" t="str">
        <f>VLOOKUP(Table3[[#This Row],[ACTIVITY]],TAGS!$B:$P,8,FALSE)</f>
        <v>PAP</v>
      </c>
      <c r="X263" s="51" t="str">
        <f>VLOOKUP(Table3[[#This Row],[ACTIVITY]],TAGS!$B:$P,10,FALSE)</f>
        <v>PIP</v>
      </c>
      <c r="Y263" s="51" t="str">
        <f>VLOOKUP(Table3[[#This Row],[ACTIVITY]],TAGS!$B:$P,11,FALSE)</f>
        <v>PICS</v>
      </c>
      <c r="Z263" s="51" t="str">
        <f>VLOOKUP(Table3[[#This Row],[ACTIVITY]],TAGS!$B:$P,12,FALSE)</f>
        <v>Strategic Communication</v>
      </c>
      <c r="AA263" s="51" t="str">
        <f>VLOOKUP(Table3[[#This Row],[ACTIVITY]],TAGS!$B:$P,13,FALSE)</f>
        <v>18. Strategic Communications​</v>
      </c>
      <c r="AB263" s="51" t="str">
        <f>VLOOKUP(Table3[[#This Row],[ACTIVITY]],TAGS!$B:$P,14,FALSE)</f>
        <v>STRONG PARTNERSHIP WITH THE FARMERS, FISHERFOLK, PRIVATE SECTOR, AND OTHER STAKEHOLDERS</v>
      </c>
      <c r="AC263" s="51" t="str">
        <f>VLOOKUP(Table3[[#This Row],[ACTIVITY]],TAGS!$B:$P,15,FALSE)</f>
        <v>Other Intervetions</v>
      </c>
      <c r="AD263" s="51" t="str">
        <f>VLOOKUP(Table3[[#This Row],[PI LEVEL 3]],'PI LEVEL'!$A:$G,7,FALSE)</f>
        <v>DA-Level Output</v>
      </c>
      <c r="AE263" s="47" t="s">
        <v>577</v>
      </c>
      <c r="AF263" s="51" t="str">
        <f>VLOOKUP(Table3[[#This Row],[ACTIVITY]],TAGS!$B:$P,3,FALSE)</f>
        <v>number</v>
      </c>
      <c r="AG263" s="47" t="s">
        <v>336</v>
      </c>
      <c r="AH263" s="51" t="str">
        <f>VLOOKUP(Table3[[#This Row],[MONTH]],TAGS!$W$67:$Y$81,2,FALSE)</f>
        <v>4TH QTR</v>
      </c>
      <c r="AI263" s="51" t="str">
        <f>VLOOKUP(Table3[[#This Row],[MONTH]],TAGS!$W$67:$Y$81,3,FALSE)</f>
        <v>2ND SEMESTER</v>
      </c>
      <c r="AJ263" s="51">
        <f>VLOOKUP(Table3[[#This Row],[MONTH]],TAGS!$W$67:$Z$81,4,FALSE)</f>
        <v>2025</v>
      </c>
      <c r="AK263" s="47"/>
      <c r="AL263" s="51" t="str">
        <f>VLOOKUP(Table3[[#This Row],[ACTIVITY]],TAGS!$B:$R,16,FALSE)</f>
        <v>NO</v>
      </c>
      <c r="AM263" s="47"/>
      <c r="AN263" s="47">
        <v>600</v>
      </c>
      <c r="AO263" s="57">
        <f>SUM(Table3[[#This Row],[MALE BENEFICIARIES]:[FEMALE BENEFICIARIES]])</f>
        <v>0</v>
      </c>
      <c r="AP263" s="58"/>
      <c r="AQ263" s="58"/>
      <c r="AR263" s="58"/>
      <c r="AS263" s="58"/>
      <c r="AT263" s="59" t="str">
        <f>VLOOKUP(Table3[[#This Row],[ACTIVITY]],TAGS!$B:$R,17,FALSE)</f>
        <v>NO</v>
      </c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  <c r="BG263" s="59"/>
      <c r="BH263" s="59"/>
      <c r="BI263" s="59"/>
      <c r="BJ263" s="59"/>
      <c r="BK263" s="59"/>
      <c r="BL263" s="59"/>
      <c r="BM263" s="59"/>
    </row>
    <row r="264" spans="1:65">
      <c r="A264" s="51" t="str">
        <f>VLOOKUP(Table3[[#This Row],[OU]],OU!$A$15:$B$34,2,FALSE)</f>
        <v>RFOs</v>
      </c>
      <c r="B264" s="47" t="s">
        <v>5</v>
      </c>
      <c r="C264" s="47" t="s">
        <v>574</v>
      </c>
      <c r="D264" s="47"/>
      <c r="E264" s="47" t="s">
        <v>78</v>
      </c>
      <c r="F264" s="47" t="s">
        <v>77</v>
      </c>
      <c r="G26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6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64" s="52" t="e">
        <f>VLOOKUP(Table3[[#This Row],[PSGC]],DISTRICT!$D:$G,4,FALSE)</f>
        <v>#N/A</v>
      </c>
      <c r="J264" s="47" t="s">
        <v>578</v>
      </c>
      <c r="K264" s="51" t="str">
        <f>VLOOKUP(Table3[[#This Row],[SPECIFIC COMMODITY]],TAGS!$W$48:$X$53,2,FALSE)</f>
        <v>Corn</v>
      </c>
      <c r="L264" s="51" t="str">
        <f>VLOOKUP(Table3[[#This Row],[PREXC SUB-PROGRAM]],Table5[],2,FALSE)</f>
        <v>TECHNICAL AND SUPPORT SERVICES PROGRAM</v>
      </c>
      <c r="M264" s="51" t="str">
        <f>VLOOKUP(Table3[[#This Row],[COMMODITY PREXC SUB-PROGRAM]],TAGS!$U$54:$V$76,2,FALSE)</f>
        <v>ESETS</v>
      </c>
      <c r="N264" s="47" t="s">
        <v>587</v>
      </c>
      <c r="O264" s="54" t="str">
        <f>VLOOKUP(Table3[[#This Row],[PI LEVEL 3]],'PI LEVEL'!A:C,3,FALSE)</f>
        <v>Training conducted</v>
      </c>
      <c r="P264" s="54" t="str">
        <f>VLOOKUP(Table3[[#This Row],[PI LEVEL 3]],Table53729[[Performance Indicator Level 3]:[Performance Indicator Level 1]],2,FALSE)</f>
        <v>Other training conducted</v>
      </c>
      <c r="Q264" s="54" t="str">
        <f>VLOOKUP(Table3[[#This Row],[ACTIVITY]],TAGS!B:P,2,FALSE)</f>
        <v>Other training conducted_Farmers/Fisherfolk/Other External Participants</v>
      </c>
      <c r="R264" s="47" t="s">
        <v>135</v>
      </c>
      <c r="S264" s="51" t="str">
        <f>VLOOKUP(Table3[[#This Row],[ACTIVITY]],TAGS!$B:$P,4,FALSE)</f>
        <v>Trainings</v>
      </c>
      <c r="T264" s="51" t="str">
        <f>VLOOKUP(Table3[[#This Row],[ACTIVITY]],TAGS!$B:$P,5,FALSE)</f>
        <v>Trainings</v>
      </c>
      <c r="U264" s="51" t="str">
        <f>VLOOKUP(Table3[[#This Row],[ACTIVITY]],TAGS!$B:$P,6,FALSE)</f>
        <v>Cluster Development training</v>
      </c>
      <c r="V264" s="51" t="str">
        <f>VLOOKUP(Table3[[#This Row],[ACTIVITY]],TAGS!$B:$P,7,FALSE)</f>
        <v>NO</v>
      </c>
      <c r="W264" s="51" t="str">
        <f>VLOOKUP(Table3[[#This Row],[ACTIVITY]],TAGS!$B:$P,8,FALSE)</f>
        <v>PAP</v>
      </c>
      <c r="X264" s="51" t="str">
        <f>VLOOKUP(Table3[[#This Row],[ACTIVITY]],TAGS!$B:$P,10,FALSE)</f>
        <v>PIP</v>
      </c>
      <c r="Y264" s="51" t="str">
        <f>VLOOKUP(Table3[[#This Row],[ACTIVITY]],TAGS!$B:$P,11,FALSE)</f>
        <v>PICS</v>
      </c>
      <c r="Z264" s="51" t="str">
        <f>VLOOKUP(Table3[[#This Row],[ACTIVITY]],TAGS!$B:$P,12,FALSE)</f>
        <v>Consolidation</v>
      </c>
      <c r="AA264" s="51" t="str">
        <f>VLOOKUP(Table3[[#This Row],[ACTIVITY]],TAGS!$B:$P,13,FALSE)</f>
        <v>1. Bayanihan Agri Cluster</v>
      </c>
      <c r="AB264" s="51">
        <f>VLOOKUP(Table3[[#This Row],[ACTIVITY]],TAGS!$B:$P,14,FALSE)</f>
        <v>0</v>
      </c>
      <c r="AC264" s="51" t="str">
        <f>VLOOKUP(Table3[[#This Row],[ACTIVITY]],TAGS!$B:$P,15,FALSE)</f>
        <v>Capacity Building</v>
      </c>
      <c r="AD264" s="51" t="str">
        <f>VLOOKUP(Table3[[#This Row],[PI LEVEL 3]],'PI LEVEL'!$A:$G,7,FALSE)</f>
        <v>PREXC/DA-Level Output</v>
      </c>
      <c r="AE264" s="47" t="s">
        <v>577</v>
      </c>
      <c r="AF264" s="51" t="str">
        <f>VLOOKUP(Table3[[#This Row],[ACTIVITY]],TAGS!$B:$P,3,FALSE)</f>
        <v>number</v>
      </c>
      <c r="AG264" s="47" t="s">
        <v>329</v>
      </c>
      <c r="AH264" s="51" t="str">
        <f>VLOOKUP(Table3[[#This Row],[MONTH]],TAGS!$W$67:$Y$81,2,FALSE)</f>
        <v>1ST QTR</v>
      </c>
      <c r="AI264" s="51" t="str">
        <f>VLOOKUP(Table3[[#This Row],[MONTH]],TAGS!$W$67:$Y$81,3,FALSE)</f>
        <v>1ST SEMESTER</v>
      </c>
      <c r="AJ264" s="51">
        <f>VLOOKUP(Table3[[#This Row],[MONTH]],TAGS!$W$67:$Z$81,4,FALSE)</f>
        <v>2025</v>
      </c>
      <c r="AK264" s="47">
        <v>1</v>
      </c>
      <c r="AL264" s="51" t="str">
        <f>VLOOKUP(Table3[[#This Row],[ACTIVITY]],TAGS!$B:$R,16,FALSE)</f>
        <v>NO</v>
      </c>
      <c r="AM264" s="47"/>
      <c r="AN264" s="47">
        <v>35</v>
      </c>
      <c r="AO264" s="57">
        <f>SUM(Table3[[#This Row],[MALE BENEFICIARIES]:[FEMALE BENEFICIARIES]])</f>
        <v>30</v>
      </c>
      <c r="AP264" s="58"/>
      <c r="AQ264" s="58">
        <v>24</v>
      </c>
      <c r="AR264" s="58">
        <v>6</v>
      </c>
      <c r="AS264" s="58"/>
      <c r="AT264" s="59" t="str">
        <f>VLOOKUP(Table3[[#This Row],[ACTIVITY]],TAGS!$B:$R,17,FALSE)</f>
        <v>NO</v>
      </c>
      <c r="AU264" s="59"/>
      <c r="AV264" s="59"/>
      <c r="AW264" s="59"/>
      <c r="AX264" s="59"/>
      <c r="AY264" s="59"/>
      <c r="AZ264" s="59"/>
      <c r="BA264" s="59"/>
      <c r="BB264" s="59"/>
      <c r="BC264" s="59"/>
      <c r="BD264" s="59"/>
      <c r="BE264" s="59"/>
      <c r="BF264" s="59"/>
      <c r="BG264" s="59"/>
      <c r="BH264" s="59"/>
      <c r="BI264" s="59"/>
      <c r="BJ264" s="59"/>
      <c r="BK264" s="59"/>
      <c r="BL264" s="59"/>
      <c r="BM264" s="59"/>
    </row>
    <row r="265" spans="1:65">
      <c r="A265" s="51" t="str">
        <f>VLOOKUP(Table3[[#This Row],[OU]],OU!$A$15:$B$34,2,FALSE)</f>
        <v>RFOs</v>
      </c>
      <c r="B265" s="47" t="s">
        <v>5</v>
      </c>
      <c r="C265" s="47" t="s">
        <v>574</v>
      </c>
      <c r="D265" s="47"/>
      <c r="E265" s="47" t="s">
        <v>78</v>
      </c>
      <c r="F265" s="47" t="s">
        <v>77</v>
      </c>
      <c r="G26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6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65" s="52" t="e">
        <f>VLOOKUP(Table3[[#This Row],[PSGC]],DISTRICT!$D:$G,4,FALSE)</f>
        <v>#N/A</v>
      </c>
      <c r="J265" s="47" t="s">
        <v>578</v>
      </c>
      <c r="K265" s="51" t="str">
        <f>VLOOKUP(Table3[[#This Row],[SPECIFIC COMMODITY]],TAGS!$W$48:$X$53,2,FALSE)</f>
        <v>Corn</v>
      </c>
      <c r="L265" s="51" t="str">
        <f>VLOOKUP(Table3[[#This Row],[PREXC SUB-PROGRAM]],Table5[],2,FALSE)</f>
        <v>TECHNICAL AND SUPPORT SERVICES PROGRAM</v>
      </c>
      <c r="M265" s="51" t="str">
        <f>VLOOKUP(Table3[[#This Row],[COMMODITY PREXC SUB-PROGRAM]],TAGS!$U$54:$V$76,2,FALSE)</f>
        <v>ESETS</v>
      </c>
      <c r="N265" s="47" t="s">
        <v>587</v>
      </c>
      <c r="O265" s="54" t="str">
        <f>VLOOKUP(Table3[[#This Row],[PI LEVEL 3]],'PI LEVEL'!A:C,3,FALSE)</f>
        <v>Training conducted</v>
      </c>
      <c r="P265" s="54" t="str">
        <f>VLOOKUP(Table3[[#This Row],[PI LEVEL 3]],Table53729[[Performance Indicator Level 3]:[Performance Indicator Level 1]],2,FALSE)</f>
        <v>Other training conducted</v>
      </c>
      <c r="Q265" s="54" t="str">
        <f>VLOOKUP(Table3[[#This Row],[ACTIVITY]],TAGS!B:P,2,FALSE)</f>
        <v>Other training conducted_Farmers/Fisherfolk/Other External Participants</v>
      </c>
      <c r="R265" s="47" t="s">
        <v>135</v>
      </c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47" t="s">
        <v>577</v>
      </c>
      <c r="AF265" s="51" t="str">
        <f>VLOOKUP(Table3[[#This Row],[ACTIVITY]],TAGS!$B:$P,3,FALSE)</f>
        <v>number</v>
      </c>
      <c r="AG265" s="47" t="s">
        <v>330</v>
      </c>
      <c r="AH265" s="51" t="str">
        <f>VLOOKUP(Table3[[#This Row],[MONTH]],TAGS!$W$67:$Y$81,2,FALSE)</f>
        <v>2ND QTR</v>
      </c>
      <c r="AI265" s="51" t="str">
        <f>VLOOKUP(Table3[[#This Row],[MONTH]],TAGS!$W$67:$Y$81,3,FALSE)</f>
        <v>1ST SEMESTER</v>
      </c>
      <c r="AJ265" s="51">
        <f>VLOOKUP(Table3[[#This Row],[MONTH]],TAGS!$W$67:$Z$81,4,FALSE)</f>
        <v>2025</v>
      </c>
      <c r="AK265" s="47">
        <v>1</v>
      </c>
      <c r="AL265" s="51" t="str">
        <f>VLOOKUP(Table3[[#This Row],[ACTIVITY]],TAGS!$B:$R,16,FALSE)</f>
        <v>NO</v>
      </c>
      <c r="AM265" s="47"/>
      <c r="AN265" s="47">
        <v>35</v>
      </c>
      <c r="AO265" s="57">
        <f>SUM(Table3[[#This Row],[MALE BENEFICIARIES]:[FEMALE BENEFICIARIES]])</f>
        <v>30</v>
      </c>
      <c r="AP265" s="58"/>
      <c r="AQ265" s="58">
        <v>24</v>
      </c>
      <c r="AR265" s="58">
        <v>6</v>
      </c>
      <c r="AS265" s="58"/>
      <c r="AT265" s="59" t="str">
        <f>VLOOKUP(Table3[[#This Row],[ACTIVITY]],TAGS!$B:$R,17,FALSE)</f>
        <v>NO</v>
      </c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</row>
    <row r="266" spans="1:65">
      <c r="A266" s="51" t="str">
        <f>VLOOKUP(Table3[[#This Row],[OU]],OU!$A$15:$B$34,2,FALSE)</f>
        <v>RFOs</v>
      </c>
      <c r="B266" s="47" t="s">
        <v>5</v>
      </c>
      <c r="C266" s="47" t="s">
        <v>574</v>
      </c>
      <c r="D266" s="47"/>
      <c r="E266" s="47" t="s">
        <v>78</v>
      </c>
      <c r="F266" s="47" t="s">
        <v>77</v>
      </c>
      <c r="G26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6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66" s="52" t="e">
        <f>VLOOKUP(Table3[[#This Row],[PSGC]],DISTRICT!$D:$G,4,FALSE)</f>
        <v>#N/A</v>
      </c>
      <c r="J266" s="47" t="s">
        <v>578</v>
      </c>
      <c r="K266" s="51" t="str">
        <f>VLOOKUP(Table3[[#This Row],[SPECIFIC COMMODITY]],TAGS!$W$48:$X$53,2,FALSE)</f>
        <v>Corn</v>
      </c>
      <c r="L266" s="51" t="str">
        <f>VLOOKUP(Table3[[#This Row],[PREXC SUB-PROGRAM]],Table5[],2,FALSE)</f>
        <v>TECHNICAL AND SUPPORT SERVICES PROGRAM</v>
      </c>
      <c r="M266" s="51" t="str">
        <f>VLOOKUP(Table3[[#This Row],[COMMODITY PREXC SUB-PROGRAM]],TAGS!$U$54:$V$76,2,FALSE)</f>
        <v>ESETS</v>
      </c>
      <c r="N266" s="47" t="s">
        <v>587</v>
      </c>
      <c r="O266" s="54" t="str">
        <f>VLOOKUP(Table3[[#This Row],[PI LEVEL 3]],'PI LEVEL'!A:C,3,FALSE)</f>
        <v>Training conducted</v>
      </c>
      <c r="P266" s="54" t="str">
        <f>VLOOKUP(Table3[[#This Row],[PI LEVEL 3]],Table53729[[Performance Indicator Level 3]:[Performance Indicator Level 1]],2,FALSE)</f>
        <v>Other training conducted</v>
      </c>
      <c r="Q266" s="54" t="str">
        <f>VLOOKUP(Table3[[#This Row],[ACTIVITY]],TAGS!B:P,2,FALSE)</f>
        <v>Other training conducted_Farmers/Fisherfolk/Other External Participants</v>
      </c>
      <c r="R266" s="47" t="s">
        <v>135</v>
      </c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47" t="s">
        <v>577</v>
      </c>
      <c r="AF266" s="51" t="str">
        <f>VLOOKUP(Table3[[#This Row],[ACTIVITY]],TAGS!$B:$P,3,FALSE)</f>
        <v>number</v>
      </c>
      <c r="AG266" s="47" t="s">
        <v>331</v>
      </c>
      <c r="AH266" s="51" t="str">
        <f>VLOOKUP(Table3[[#This Row],[MONTH]],TAGS!$W$67:$Y$81,2,FALSE)</f>
        <v>2ND QTR</v>
      </c>
      <c r="AI266" s="51" t="str">
        <f>VLOOKUP(Table3[[#This Row],[MONTH]],TAGS!$W$67:$Y$81,3,FALSE)</f>
        <v>1ST SEMESTER</v>
      </c>
      <c r="AJ266" s="51">
        <f>VLOOKUP(Table3[[#This Row],[MONTH]],TAGS!$W$67:$Z$81,4,FALSE)</f>
        <v>2025</v>
      </c>
      <c r="AK266" s="47">
        <v>1</v>
      </c>
      <c r="AL266" s="51" t="str">
        <f>VLOOKUP(Table3[[#This Row],[ACTIVITY]],TAGS!$B:$R,16,FALSE)</f>
        <v>NO</v>
      </c>
      <c r="AM266" s="47"/>
      <c r="AN266" s="47">
        <v>35</v>
      </c>
      <c r="AO266" s="57">
        <f>SUM(Table3[[#This Row],[MALE BENEFICIARIES]:[FEMALE BENEFICIARIES]])</f>
        <v>30</v>
      </c>
      <c r="AP266" s="58"/>
      <c r="AQ266" s="58">
        <v>24</v>
      </c>
      <c r="AR266" s="58">
        <v>6</v>
      </c>
      <c r="AS266" s="58"/>
      <c r="AT266" s="59" t="str">
        <f>VLOOKUP(Table3[[#This Row],[ACTIVITY]],TAGS!$B:$R,17,FALSE)</f>
        <v>NO</v>
      </c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</row>
    <row r="267" spans="1:65">
      <c r="A267" s="51" t="str">
        <f>VLOOKUP(Table3[[#This Row],[OU]],OU!$A$15:$B$34,2,FALSE)</f>
        <v>RFOs</v>
      </c>
      <c r="B267" s="47" t="s">
        <v>5</v>
      </c>
      <c r="C267" s="47" t="s">
        <v>574</v>
      </c>
      <c r="D267" s="47"/>
      <c r="E267" s="47" t="s">
        <v>78</v>
      </c>
      <c r="F267" s="47" t="s">
        <v>77</v>
      </c>
      <c r="G26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6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67" s="52" t="e">
        <f>VLOOKUP(Table3[[#This Row],[PSGC]],DISTRICT!$D:$G,4,FALSE)</f>
        <v>#N/A</v>
      </c>
      <c r="J267" s="47" t="s">
        <v>578</v>
      </c>
      <c r="K267" s="51" t="str">
        <f>VLOOKUP(Table3[[#This Row],[SPECIFIC COMMODITY]],TAGS!$W$48:$X$53,2,FALSE)</f>
        <v>Corn</v>
      </c>
      <c r="L267" s="51" t="str">
        <f>VLOOKUP(Table3[[#This Row],[PREXC SUB-PROGRAM]],Table5[],2,FALSE)</f>
        <v>TECHNICAL AND SUPPORT SERVICES PROGRAM</v>
      </c>
      <c r="M267" s="51" t="str">
        <f>VLOOKUP(Table3[[#This Row],[COMMODITY PREXC SUB-PROGRAM]],TAGS!$U$54:$V$76,2,FALSE)</f>
        <v>ESETS</v>
      </c>
      <c r="N267" s="47" t="s">
        <v>587</v>
      </c>
      <c r="O267" s="54" t="str">
        <f>VLOOKUP(Table3[[#This Row],[PI LEVEL 3]],'PI LEVEL'!A:C,3,FALSE)</f>
        <v>Training conducted</v>
      </c>
      <c r="P267" s="54" t="str">
        <f>VLOOKUP(Table3[[#This Row],[PI LEVEL 3]],Table53729[[Performance Indicator Level 3]:[Performance Indicator Level 1]],2,FALSE)</f>
        <v>Other training conducted</v>
      </c>
      <c r="Q267" s="54" t="str">
        <f>VLOOKUP(Table3[[#This Row],[ACTIVITY]],TAGS!B:P,2,FALSE)</f>
        <v>Other training conducted_Farmers/Fisherfolk/Other External Participants</v>
      </c>
      <c r="R267" s="47" t="s">
        <v>135</v>
      </c>
      <c r="S267" s="51" t="str">
        <f>VLOOKUP(Table3[[#This Row],[ACTIVITY]],TAGS!$B:$P,4,FALSE)</f>
        <v>Trainings</v>
      </c>
      <c r="T267" s="51" t="str">
        <f>VLOOKUP(Table3[[#This Row],[ACTIVITY]],TAGS!$B:$P,5,FALSE)</f>
        <v>Trainings</v>
      </c>
      <c r="U267" s="51" t="str">
        <f>VLOOKUP(Table3[[#This Row],[ACTIVITY]],TAGS!$B:$P,6,FALSE)</f>
        <v>Cluster Development training</v>
      </c>
      <c r="V267" s="51" t="str">
        <f>VLOOKUP(Table3[[#This Row],[ACTIVITY]],TAGS!$B:$P,7,FALSE)</f>
        <v>NO</v>
      </c>
      <c r="W267" s="51" t="str">
        <f>VLOOKUP(Table3[[#This Row],[ACTIVITY]],TAGS!$B:$P,8,FALSE)</f>
        <v>PAP</v>
      </c>
      <c r="X267" s="51" t="str">
        <f>VLOOKUP(Table3[[#This Row],[ACTIVITY]],TAGS!$B:$P,10,FALSE)</f>
        <v>PIP</v>
      </c>
      <c r="Y267" s="51" t="str">
        <f>VLOOKUP(Table3[[#This Row],[ACTIVITY]],TAGS!$B:$P,11,FALSE)</f>
        <v>PICS</v>
      </c>
      <c r="Z267" s="51" t="str">
        <f>VLOOKUP(Table3[[#This Row],[ACTIVITY]],TAGS!$B:$P,12,FALSE)</f>
        <v>Consolidation</v>
      </c>
      <c r="AA267" s="51" t="str">
        <f>VLOOKUP(Table3[[#This Row],[ACTIVITY]],TAGS!$B:$P,13,FALSE)</f>
        <v>1. Bayanihan Agri Cluster</v>
      </c>
      <c r="AB267" s="51">
        <f>VLOOKUP(Table3[[#This Row],[ACTIVITY]],TAGS!$B:$P,14,FALSE)</f>
        <v>0</v>
      </c>
      <c r="AC267" s="51" t="str">
        <f>VLOOKUP(Table3[[#This Row],[ACTIVITY]],TAGS!$B:$P,15,FALSE)</f>
        <v>Capacity Building</v>
      </c>
      <c r="AD267" s="51" t="str">
        <f>VLOOKUP(Table3[[#This Row],[PI LEVEL 3]],'PI LEVEL'!$A:$G,7,FALSE)</f>
        <v>PREXC/DA-Level Output</v>
      </c>
      <c r="AE267" s="47" t="s">
        <v>577</v>
      </c>
      <c r="AF267" s="51" t="str">
        <f>VLOOKUP(Table3[[#This Row],[ACTIVITY]],TAGS!$B:$P,3,FALSE)</f>
        <v>number</v>
      </c>
      <c r="AG267" s="47" t="s">
        <v>332</v>
      </c>
      <c r="AH267" s="51" t="str">
        <f>VLOOKUP(Table3[[#This Row],[MONTH]],TAGS!$W$67:$Y$81,2,FALSE)</f>
        <v>2ND QTR</v>
      </c>
      <c r="AI267" s="51" t="str">
        <f>VLOOKUP(Table3[[#This Row],[MONTH]],TAGS!$W$67:$Y$81,3,FALSE)</f>
        <v>1ST SEMESTER</v>
      </c>
      <c r="AJ267" s="51">
        <f>VLOOKUP(Table3[[#This Row],[MONTH]],TAGS!$W$67:$Z$81,4,FALSE)</f>
        <v>2025</v>
      </c>
      <c r="AK267" s="47">
        <v>1</v>
      </c>
      <c r="AL267" s="51" t="str">
        <f>VLOOKUP(Table3[[#This Row],[ACTIVITY]],TAGS!$B:$R,16,FALSE)</f>
        <v>NO</v>
      </c>
      <c r="AM267" s="47"/>
      <c r="AN267" s="47">
        <v>35</v>
      </c>
      <c r="AO267" s="57">
        <f>SUM(Table3[[#This Row],[MALE BENEFICIARIES]:[FEMALE BENEFICIARIES]])</f>
        <v>30</v>
      </c>
      <c r="AP267" s="58"/>
      <c r="AQ267" s="58">
        <v>24</v>
      </c>
      <c r="AR267" s="58">
        <v>6</v>
      </c>
      <c r="AS267" s="58"/>
      <c r="AT267" s="59" t="str">
        <f>VLOOKUP(Table3[[#This Row],[ACTIVITY]],TAGS!$B:$R,17,FALSE)</f>
        <v>NO</v>
      </c>
      <c r="AU267" s="59"/>
      <c r="AV267" s="59"/>
      <c r="AW267" s="59"/>
      <c r="AX267" s="59"/>
      <c r="AY267" s="59"/>
      <c r="AZ267" s="59"/>
      <c r="BA267" s="59"/>
      <c r="BB267" s="59"/>
      <c r="BC267" s="59"/>
      <c r="BD267" s="59"/>
      <c r="BE267" s="59"/>
      <c r="BF267" s="59"/>
      <c r="BG267" s="59"/>
      <c r="BH267" s="59"/>
      <c r="BI267" s="59"/>
      <c r="BJ267" s="59"/>
      <c r="BK267" s="59"/>
      <c r="BL267" s="59"/>
      <c r="BM267" s="59"/>
    </row>
    <row r="268" spans="1:65">
      <c r="A268" s="51" t="str">
        <f>VLOOKUP(Table3[[#This Row],[OU]],OU!$A$15:$B$34,2,FALSE)</f>
        <v>RFOs</v>
      </c>
      <c r="B268" s="47" t="s">
        <v>5</v>
      </c>
      <c r="C268" s="47" t="s">
        <v>574</v>
      </c>
      <c r="D268" s="47"/>
      <c r="E268" s="47" t="s">
        <v>78</v>
      </c>
      <c r="F268" s="47" t="s">
        <v>77</v>
      </c>
      <c r="G26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6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68" s="52" t="e">
        <f>VLOOKUP(Table3[[#This Row],[PSGC]],DISTRICT!$D:$G,4,FALSE)</f>
        <v>#N/A</v>
      </c>
      <c r="J268" s="47" t="s">
        <v>578</v>
      </c>
      <c r="K268" s="51" t="str">
        <f>VLOOKUP(Table3[[#This Row],[SPECIFIC COMMODITY]],TAGS!$W$48:$X$53,2,FALSE)</f>
        <v>Corn</v>
      </c>
      <c r="L268" s="51" t="str">
        <f>VLOOKUP(Table3[[#This Row],[PREXC SUB-PROGRAM]],Table5[],2,FALSE)</f>
        <v>TECHNICAL AND SUPPORT SERVICES PROGRAM</v>
      </c>
      <c r="M268" s="51" t="str">
        <f>VLOOKUP(Table3[[#This Row],[COMMODITY PREXC SUB-PROGRAM]],TAGS!$U$54:$V$76,2,FALSE)</f>
        <v>ESETS</v>
      </c>
      <c r="N268" s="47" t="s">
        <v>587</v>
      </c>
      <c r="O268" s="54" t="str">
        <f>VLOOKUP(Table3[[#This Row],[PI LEVEL 3]],'PI LEVEL'!A:C,3,FALSE)</f>
        <v>Training conducted</v>
      </c>
      <c r="P268" s="54" t="str">
        <f>VLOOKUP(Table3[[#This Row],[PI LEVEL 3]],Table53729[[Performance Indicator Level 3]:[Performance Indicator Level 1]],2,FALSE)</f>
        <v>Other training conducted</v>
      </c>
      <c r="Q268" s="54" t="str">
        <f>VLOOKUP(Table3[[#This Row],[ACTIVITY]],TAGS!B:P,2,FALSE)</f>
        <v>Other training conducted_Farmers/Fisherfolk/Other External Participants</v>
      </c>
      <c r="R268" s="47" t="s">
        <v>135</v>
      </c>
      <c r="S268" s="51" t="str">
        <f>VLOOKUP(Table3[[#This Row],[ACTIVITY]],TAGS!$B:$P,4,FALSE)</f>
        <v>Trainings</v>
      </c>
      <c r="T268" s="51" t="str">
        <f>VLOOKUP(Table3[[#This Row],[ACTIVITY]],TAGS!$B:$P,5,FALSE)</f>
        <v>Trainings</v>
      </c>
      <c r="U268" s="51" t="str">
        <f>VLOOKUP(Table3[[#This Row],[ACTIVITY]],TAGS!$B:$P,6,FALSE)</f>
        <v>Cluster Development training</v>
      </c>
      <c r="V268" s="51" t="str">
        <f>VLOOKUP(Table3[[#This Row],[ACTIVITY]],TAGS!$B:$P,7,FALSE)</f>
        <v>NO</v>
      </c>
      <c r="W268" s="51" t="str">
        <f>VLOOKUP(Table3[[#This Row],[ACTIVITY]],TAGS!$B:$P,8,FALSE)</f>
        <v>PAP</v>
      </c>
      <c r="X268" s="51" t="str">
        <f>VLOOKUP(Table3[[#This Row],[ACTIVITY]],TAGS!$B:$P,10,FALSE)</f>
        <v>PIP</v>
      </c>
      <c r="Y268" s="51" t="str">
        <f>VLOOKUP(Table3[[#This Row],[ACTIVITY]],TAGS!$B:$P,11,FALSE)</f>
        <v>PICS</v>
      </c>
      <c r="Z268" s="51" t="str">
        <f>VLOOKUP(Table3[[#This Row],[ACTIVITY]],TAGS!$B:$P,12,FALSE)</f>
        <v>Consolidation</v>
      </c>
      <c r="AA268" s="51" t="str">
        <f>VLOOKUP(Table3[[#This Row],[ACTIVITY]],TAGS!$B:$P,13,FALSE)</f>
        <v>1. Bayanihan Agri Cluster</v>
      </c>
      <c r="AB268" s="51">
        <f>VLOOKUP(Table3[[#This Row],[ACTIVITY]],TAGS!$B:$P,14,FALSE)</f>
        <v>0</v>
      </c>
      <c r="AC268" s="51" t="str">
        <f>VLOOKUP(Table3[[#This Row],[ACTIVITY]],TAGS!$B:$P,15,FALSE)</f>
        <v>Capacity Building</v>
      </c>
      <c r="AD268" s="51" t="str">
        <f>VLOOKUP(Table3[[#This Row],[PI LEVEL 3]],'PI LEVEL'!$A:$G,7,FALSE)</f>
        <v>PREXC/DA-Level Output</v>
      </c>
      <c r="AE268" s="47" t="s">
        <v>577</v>
      </c>
      <c r="AF268" s="51" t="str">
        <f>VLOOKUP(Table3[[#This Row],[ACTIVITY]],TAGS!$B:$P,3,FALSE)</f>
        <v>number</v>
      </c>
      <c r="AG268" s="47" t="s">
        <v>333</v>
      </c>
      <c r="AH268" s="51" t="str">
        <f>VLOOKUP(Table3[[#This Row],[MONTH]],TAGS!$W$67:$Y$81,2,FALSE)</f>
        <v>3RD QTR</v>
      </c>
      <c r="AI268" s="51" t="str">
        <f>VLOOKUP(Table3[[#This Row],[MONTH]],TAGS!$W$67:$Y$81,3,FALSE)</f>
        <v>2ND SEMESTER</v>
      </c>
      <c r="AJ268" s="51">
        <f>VLOOKUP(Table3[[#This Row],[MONTH]],TAGS!$W$67:$Z$81,4,FALSE)</f>
        <v>2025</v>
      </c>
      <c r="AK268" s="47">
        <v>1</v>
      </c>
      <c r="AL268" s="51" t="str">
        <f>VLOOKUP(Table3[[#This Row],[ACTIVITY]],TAGS!$B:$R,16,FALSE)</f>
        <v>NO</v>
      </c>
      <c r="AM268" s="47"/>
      <c r="AN268" s="47">
        <v>35</v>
      </c>
      <c r="AO268" s="57">
        <f>SUM(Table3[[#This Row],[MALE BENEFICIARIES]:[FEMALE BENEFICIARIES]])</f>
        <v>30</v>
      </c>
      <c r="AP268" s="58"/>
      <c r="AQ268" s="58">
        <v>24</v>
      </c>
      <c r="AR268" s="58">
        <v>6</v>
      </c>
      <c r="AS268" s="58"/>
      <c r="AT268" s="59" t="str">
        <f>VLOOKUP(Table3[[#This Row],[ACTIVITY]],TAGS!$B:$R,17,FALSE)</f>
        <v>NO</v>
      </c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</row>
    <row r="269" spans="1:65">
      <c r="A269" s="51" t="str">
        <f>VLOOKUP(Table3[[#This Row],[OU]],OU!$A$15:$B$34,2,FALSE)</f>
        <v>RFOs</v>
      </c>
      <c r="B269" s="47" t="s">
        <v>5</v>
      </c>
      <c r="C269" s="47" t="s">
        <v>574</v>
      </c>
      <c r="D269" s="47"/>
      <c r="E269" s="47" t="s">
        <v>78</v>
      </c>
      <c r="F269" s="47" t="s">
        <v>77</v>
      </c>
      <c r="G26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6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69" s="52" t="e">
        <f>VLOOKUP(Table3[[#This Row],[PSGC]],DISTRICT!$D:$G,4,FALSE)</f>
        <v>#N/A</v>
      </c>
      <c r="J269" s="47" t="s">
        <v>578</v>
      </c>
      <c r="K269" s="51" t="str">
        <f>VLOOKUP(Table3[[#This Row],[SPECIFIC COMMODITY]],TAGS!$W$48:$X$53,2,FALSE)</f>
        <v>Corn</v>
      </c>
      <c r="L269" s="51" t="str">
        <f>VLOOKUP(Table3[[#This Row],[PREXC SUB-PROGRAM]],Table5[],2,FALSE)</f>
        <v>TECHNICAL AND SUPPORT SERVICES PROGRAM</v>
      </c>
      <c r="M269" s="51" t="str">
        <f>VLOOKUP(Table3[[#This Row],[COMMODITY PREXC SUB-PROGRAM]],TAGS!$U$54:$V$76,2,FALSE)</f>
        <v>ESETS</v>
      </c>
      <c r="N269" s="47" t="s">
        <v>587</v>
      </c>
      <c r="O269" s="54" t="str">
        <f>VLOOKUP(Table3[[#This Row],[PI LEVEL 3]],'PI LEVEL'!A:C,3,FALSE)</f>
        <v>Training conducted</v>
      </c>
      <c r="P269" s="54" t="str">
        <f>VLOOKUP(Table3[[#This Row],[PI LEVEL 3]],Table53729[[Performance Indicator Level 3]:[Performance Indicator Level 1]],2,FALSE)</f>
        <v>Other training conducted</v>
      </c>
      <c r="Q269" s="54" t="str">
        <f>VLOOKUP(Table3[[#This Row],[ACTIVITY]],TAGS!B:P,2,FALSE)</f>
        <v>Other training conducted_Farmers/Fisherfolk/Other External Participants</v>
      </c>
      <c r="R269" s="47" t="s">
        <v>135</v>
      </c>
      <c r="S269" s="51" t="str">
        <f>VLOOKUP(Table3[[#This Row],[ACTIVITY]],TAGS!$B:$P,4,FALSE)</f>
        <v>Trainings</v>
      </c>
      <c r="T269" s="51" t="str">
        <f>VLOOKUP(Table3[[#This Row],[ACTIVITY]],TAGS!$B:$P,5,FALSE)</f>
        <v>Trainings</v>
      </c>
      <c r="U269" s="51" t="str">
        <f>VLOOKUP(Table3[[#This Row],[ACTIVITY]],TAGS!$B:$P,6,FALSE)</f>
        <v>Cluster Development training</v>
      </c>
      <c r="V269" s="51" t="str">
        <f>VLOOKUP(Table3[[#This Row],[ACTIVITY]],TAGS!$B:$P,7,FALSE)</f>
        <v>NO</v>
      </c>
      <c r="W269" s="51" t="str">
        <f>VLOOKUP(Table3[[#This Row],[ACTIVITY]],TAGS!$B:$P,8,FALSE)</f>
        <v>PAP</v>
      </c>
      <c r="X269" s="51" t="str">
        <f>VLOOKUP(Table3[[#This Row],[ACTIVITY]],TAGS!$B:$P,10,FALSE)</f>
        <v>PIP</v>
      </c>
      <c r="Y269" s="51" t="str">
        <f>VLOOKUP(Table3[[#This Row],[ACTIVITY]],TAGS!$B:$P,11,FALSE)</f>
        <v>PICS</v>
      </c>
      <c r="Z269" s="51" t="str">
        <f>VLOOKUP(Table3[[#This Row],[ACTIVITY]],TAGS!$B:$P,12,FALSE)</f>
        <v>Consolidation</v>
      </c>
      <c r="AA269" s="51" t="str">
        <f>VLOOKUP(Table3[[#This Row],[ACTIVITY]],TAGS!$B:$P,13,FALSE)</f>
        <v>1. Bayanihan Agri Cluster</v>
      </c>
      <c r="AB269" s="51">
        <f>VLOOKUP(Table3[[#This Row],[ACTIVITY]],TAGS!$B:$P,14,FALSE)</f>
        <v>0</v>
      </c>
      <c r="AC269" s="51" t="str">
        <f>VLOOKUP(Table3[[#This Row],[ACTIVITY]],TAGS!$B:$P,15,FALSE)</f>
        <v>Capacity Building</v>
      </c>
      <c r="AD269" s="51" t="str">
        <f>VLOOKUP(Table3[[#This Row],[PI LEVEL 3]],'PI LEVEL'!$A:$G,7,FALSE)</f>
        <v>PREXC/DA-Level Output</v>
      </c>
      <c r="AE269" s="47" t="s">
        <v>577</v>
      </c>
      <c r="AF269" s="51" t="str">
        <f>VLOOKUP(Table3[[#This Row],[ACTIVITY]],TAGS!$B:$P,3,FALSE)</f>
        <v>number</v>
      </c>
      <c r="AG269" s="47" t="s">
        <v>334</v>
      </c>
      <c r="AH269" s="51" t="str">
        <f>VLOOKUP(Table3[[#This Row],[MONTH]],TAGS!$W$67:$Y$81,2,FALSE)</f>
        <v>3RD QTR</v>
      </c>
      <c r="AI269" s="51" t="str">
        <f>VLOOKUP(Table3[[#This Row],[MONTH]],TAGS!$W$67:$Y$81,3,FALSE)</f>
        <v>2ND SEMESTER</v>
      </c>
      <c r="AJ269" s="51">
        <f>VLOOKUP(Table3[[#This Row],[MONTH]],TAGS!$W$67:$Z$81,4,FALSE)</f>
        <v>2025</v>
      </c>
      <c r="AK269" s="47">
        <v>1</v>
      </c>
      <c r="AL269" s="51" t="str">
        <f>VLOOKUP(Table3[[#This Row],[ACTIVITY]],TAGS!$B:$R,16,FALSE)</f>
        <v>NO</v>
      </c>
      <c r="AM269" s="47"/>
      <c r="AN269" s="47">
        <v>35</v>
      </c>
      <c r="AO269" s="57">
        <f>SUM(Table3[[#This Row],[MALE BENEFICIARIES]:[FEMALE BENEFICIARIES]])</f>
        <v>30</v>
      </c>
      <c r="AP269" s="58"/>
      <c r="AQ269" s="58">
        <v>24</v>
      </c>
      <c r="AR269" s="58">
        <v>6</v>
      </c>
      <c r="AS269" s="58"/>
      <c r="AT269" s="59" t="str">
        <f>VLOOKUP(Table3[[#This Row],[ACTIVITY]],TAGS!$B:$R,17,FALSE)</f>
        <v>NO</v>
      </c>
      <c r="AU269" s="59"/>
      <c r="AV269" s="59"/>
      <c r="AW269" s="59"/>
      <c r="AX269" s="59"/>
      <c r="AY269" s="59"/>
      <c r="AZ269" s="59"/>
      <c r="BA269" s="59"/>
      <c r="BB269" s="59"/>
      <c r="BC269" s="59"/>
      <c r="BD269" s="59"/>
      <c r="BE269" s="59"/>
      <c r="BF269" s="59"/>
      <c r="BG269" s="59"/>
      <c r="BH269" s="59"/>
      <c r="BI269" s="59"/>
      <c r="BJ269" s="59"/>
      <c r="BK269" s="59"/>
      <c r="BL269" s="59"/>
      <c r="BM269" s="59"/>
    </row>
    <row r="270" spans="1:65">
      <c r="A270" s="51" t="str">
        <f>VLOOKUP(Table3[[#This Row],[OU]],OU!$A$15:$B$34,2,FALSE)</f>
        <v>RFOs</v>
      </c>
      <c r="B270" s="47" t="s">
        <v>5</v>
      </c>
      <c r="C270" s="47" t="s">
        <v>574</v>
      </c>
      <c r="D270" s="47"/>
      <c r="E270" s="47" t="s">
        <v>78</v>
      </c>
      <c r="F270" s="47" t="s">
        <v>77</v>
      </c>
      <c r="G27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7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70" s="52" t="e">
        <f>VLOOKUP(Table3[[#This Row],[PSGC]],DISTRICT!$D:$G,4,FALSE)</f>
        <v>#N/A</v>
      </c>
      <c r="J270" s="47" t="s">
        <v>578</v>
      </c>
      <c r="K270" s="51" t="str">
        <f>VLOOKUP(Table3[[#This Row],[SPECIFIC COMMODITY]],TAGS!$W$48:$X$53,2,FALSE)</f>
        <v>Corn</v>
      </c>
      <c r="L270" s="51" t="str">
        <f>VLOOKUP(Table3[[#This Row],[PREXC SUB-PROGRAM]],Table5[],2,FALSE)</f>
        <v>TECHNICAL AND SUPPORT SERVICES PROGRAM</v>
      </c>
      <c r="M270" s="51" t="str">
        <f>VLOOKUP(Table3[[#This Row],[COMMODITY PREXC SUB-PROGRAM]],TAGS!$U$54:$V$76,2,FALSE)</f>
        <v>ESETS</v>
      </c>
      <c r="N270" s="47" t="s">
        <v>587</v>
      </c>
      <c r="O270" s="54" t="str">
        <f>VLOOKUP(Table3[[#This Row],[PI LEVEL 3]],'PI LEVEL'!A:C,3,FALSE)</f>
        <v>Training conducted</v>
      </c>
      <c r="P270" s="54" t="str">
        <f>VLOOKUP(Table3[[#This Row],[PI LEVEL 3]],Table53729[[Performance Indicator Level 3]:[Performance Indicator Level 1]],2,FALSE)</f>
        <v>Other training conducted</v>
      </c>
      <c r="Q270" s="54" t="str">
        <f>VLOOKUP(Table3[[#This Row],[ACTIVITY]],TAGS!B:P,2,FALSE)</f>
        <v>Other training conducted_Farmers/Fisherfolk/Other External Participants</v>
      </c>
      <c r="R270" s="47" t="s">
        <v>137</v>
      </c>
      <c r="S270" s="51" t="str">
        <f>VLOOKUP(Table3[[#This Row],[ACTIVITY]],TAGS!$B:$P,4,FALSE)</f>
        <v>Trainings</v>
      </c>
      <c r="T270" s="51" t="str">
        <f>VLOOKUP(Table3[[#This Row],[ACTIVITY]],TAGS!$B:$P,5,FALSE)</f>
        <v>Trainings</v>
      </c>
      <c r="U270" s="51" t="str">
        <f>VLOOKUP(Table3[[#This Row],[ACTIVITY]],TAGS!$B:$P,6,FALSE)</f>
        <v>Corn Livelihood training</v>
      </c>
      <c r="V270" s="51" t="str">
        <f>VLOOKUP(Table3[[#This Row],[ACTIVITY]],TAGS!$B:$P,7,FALSE)</f>
        <v>NO</v>
      </c>
      <c r="W270" s="51" t="str">
        <f>VLOOKUP(Table3[[#This Row],[ACTIVITY]],TAGS!$B:$P,8,FALSE)</f>
        <v>PAP</v>
      </c>
      <c r="X270" s="51" t="str">
        <f>VLOOKUP(Table3[[#This Row],[ACTIVITY]],TAGS!$B:$P,10,FALSE)</f>
        <v>PIP</v>
      </c>
      <c r="Y270" s="51" t="str">
        <f>VLOOKUP(Table3[[#This Row],[ACTIVITY]],TAGS!$B:$P,11,FALSE)</f>
        <v>PICS</v>
      </c>
      <c r="Z270" s="51" t="str">
        <f>VLOOKUP(Table3[[#This Row],[ACTIVITY]],TAGS!$B:$P,12,FALSE)</f>
        <v>Consolidation</v>
      </c>
      <c r="AA270" s="51" t="str">
        <f>VLOOKUP(Table3[[#This Row],[ACTIVITY]],TAGS!$B:$P,13,FALSE)</f>
        <v>1. Bayanihan Agri Cluster</v>
      </c>
      <c r="AB270" s="51" t="str">
        <f>VLOOKUP(Table3[[#This Row],[ACTIVITY]],TAGS!$B:$P,14,FALSE)</f>
        <v>IMPROVE AND EXPAND LOCAL AND INTERNATIONAL MARKET ACCESS</v>
      </c>
      <c r="AC270" s="51" t="str">
        <f>VLOOKUP(Table3[[#This Row],[ACTIVITY]],TAGS!$B:$P,15,FALSE)</f>
        <v>Capacity Building</v>
      </c>
      <c r="AD270" s="51" t="str">
        <f>VLOOKUP(Table3[[#This Row],[PI LEVEL 3]],'PI LEVEL'!$A:$G,7,FALSE)</f>
        <v>PREXC/DA-Level Output</v>
      </c>
      <c r="AE270" s="47" t="s">
        <v>588</v>
      </c>
      <c r="AF270" s="51" t="str">
        <f>VLOOKUP(Table3[[#This Row],[ACTIVITY]],TAGS!$B:$P,3,FALSE)</f>
        <v>number</v>
      </c>
      <c r="AG270" s="47" t="s">
        <v>330</v>
      </c>
      <c r="AH270" s="51" t="str">
        <f>VLOOKUP(Table3[[#This Row],[MONTH]],TAGS!$W$67:$Y$81,2,FALSE)</f>
        <v>2ND QTR</v>
      </c>
      <c r="AI270" s="51" t="str">
        <f>VLOOKUP(Table3[[#This Row],[MONTH]],TAGS!$W$67:$Y$81,3,FALSE)</f>
        <v>1ST SEMESTER</v>
      </c>
      <c r="AJ270" s="51">
        <f>VLOOKUP(Table3[[#This Row],[MONTH]],TAGS!$W$67:$Z$81,4,FALSE)</f>
        <v>2025</v>
      </c>
      <c r="AK270" s="47">
        <v>1</v>
      </c>
      <c r="AL270" s="51" t="str">
        <f>VLOOKUP(Table3[[#This Row],[ACTIVITY]],TAGS!$B:$R,16,FALSE)</f>
        <v>NO</v>
      </c>
      <c r="AM270" s="47"/>
      <c r="AN270" s="47">
        <v>50</v>
      </c>
      <c r="AO270" s="57">
        <f>SUM(Table3[[#This Row],[MALE BENEFICIARIES]:[FEMALE BENEFICIARIES]])</f>
        <v>30</v>
      </c>
      <c r="AP270" s="58"/>
      <c r="AQ270" s="58"/>
      <c r="AR270" s="58">
        <v>30</v>
      </c>
      <c r="AS270" s="58"/>
      <c r="AT270" s="59" t="str">
        <f>VLOOKUP(Table3[[#This Row],[ACTIVITY]],TAGS!$B:$R,17,FALSE)</f>
        <v>NO</v>
      </c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</row>
    <row r="271" spans="1:65">
      <c r="A271" s="51" t="str">
        <f>VLOOKUP(Table3[[#This Row],[OU]],OU!$A$15:$B$34,2,FALSE)</f>
        <v>RFOs</v>
      </c>
      <c r="B271" s="47" t="s">
        <v>5</v>
      </c>
      <c r="C271" s="47" t="s">
        <v>574</v>
      </c>
      <c r="D271" s="47"/>
      <c r="E271" s="47" t="s">
        <v>78</v>
      </c>
      <c r="F271" s="47" t="s">
        <v>77</v>
      </c>
      <c r="G27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7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71" s="52" t="e">
        <f>VLOOKUP(Table3[[#This Row],[PSGC]],DISTRICT!$D:$G,4,FALSE)</f>
        <v>#N/A</v>
      </c>
      <c r="J271" s="47" t="s">
        <v>578</v>
      </c>
      <c r="K271" s="51" t="str">
        <f>VLOOKUP(Table3[[#This Row],[SPECIFIC COMMODITY]],TAGS!$W$48:$X$53,2,FALSE)</f>
        <v>Corn</v>
      </c>
      <c r="L271" s="51" t="str">
        <f>VLOOKUP(Table3[[#This Row],[PREXC SUB-PROGRAM]],Table5[],2,FALSE)</f>
        <v>TECHNICAL AND SUPPORT SERVICES PROGRAM</v>
      </c>
      <c r="M271" s="51" t="str">
        <f>VLOOKUP(Table3[[#This Row],[COMMODITY PREXC SUB-PROGRAM]],TAGS!$U$54:$V$76,2,FALSE)</f>
        <v>ESETS</v>
      </c>
      <c r="N271" s="47" t="s">
        <v>587</v>
      </c>
      <c r="O271" s="54" t="str">
        <f>VLOOKUP(Table3[[#This Row],[PI LEVEL 3]],'PI LEVEL'!A:C,3,FALSE)</f>
        <v>Training conducted</v>
      </c>
      <c r="P271" s="54" t="str">
        <f>VLOOKUP(Table3[[#This Row],[PI LEVEL 3]],Table53729[[Performance Indicator Level 3]:[Performance Indicator Level 1]],2,FALSE)</f>
        <v>Other training conducted</v>
      </c>
      <c r="Q271" s="54" t="str">
        <f>VLOOKUP(Table3[[#This Row],[ACTIVITY]],TAGS!B:P,2,FALSE)</f>
        <v>Other training conducted_Farmers/Fisherfolk/Other External Participants</v>
      </c>
      <c r="R271" s="47" t="s">
        <v>137</v>
      </c>
      <c r="S271" s="51" t="str">
        <f>VLOOKUP(Table3[[#This Row],[ACTIVITY]],TAGS!$B:$P,4,FALSE)</f>
        <v>Trainings</v>
      </c>
      <c r="T271" s="51" t="str">
        <f>VLOOKUP(Table3[[#This Row],[ACTIVITY]],TAGS!$B:$P,5,FALSE)</f>
        <v>Trainings</v>
      </c>
      <c r="U271" s="51" t="str">
        <f>VLOOKUP(Table3[[#This Row],[ACTIVITY]],TAGS!$B:$P,6,FALSE)</f>
        <v>Corn Livelihood training</v>
      </c>
      <c r="V271" s="51" t="str">
        <f>VLOOKUP(Table3[[#This Row],[ACTIVITY]],TAGS!$B:$P,7,FALSE)</f>
        <v>NO</v>
      </c>
      <c r="W271" s="51" t="str">
        <f>VLOOKUP(Table3[[#This Row],[ACTIVITY]],TAGS!$B:$P,8,FALSE)</f>
        <v>PAP</v>
      </c>
      <c r="X271" s="51" t="str">
        <f>VLOOKUP(Table3[[#This Row],[ACTIVITY]],TAGS!$B:$P,10,FALSE)</f>
        <v>PIP</v>
      </c>
      <c r="Y271" s="51" t="str">
        <f>VLOOKUP(Table3[[#This Row],[ACTIVITY]],TAGS!$B:$P,11,FALSE)</f>
        <v>PICS</v>
      </c>
      <c r="Z271" s="51" t="str">
        <f>VLOOKUP(Table3[[#This Row],[ACTIVITY]],TAGS!$B:$P,12,FALSE)</f>
        <v>Consolidation</v>
      </c>
      <c r="AA271" s="51" t="str">
        <f>VLOOKUP(Table3[[#This Row],[ACTIVITY]],TAGS!$B:$P,13,FALSE)</f>
        <v>1. Bayanihan Agri Cluster</v>
      </c>
      <c r="AB271" s="51" t="str">
        <f>VLOOKUP(Table3[[#This Row],[ACTIVITY]],TAGS!$B:$P,14,FALSE)</f>
        <v>IMPROVE AND EXPAND LOCAL AND INTERNATIONAL MARKET ACCESS</v>
      </c>
      <c r="AC271" s="51" t="str">
        <f>VLOOKUP(Table3[[#This Row],[ACTIVITY]],TAGS!$B:$P,15,FALSE)</f>
        <v>Capacity Building</v>
      </c>
      <c r="AD271" s="51" t="str">
        <f>VLOOKUP(Table3[[#This Row],[PI LEVEL 3]],'PI LEVEL'!$A:$G,7,FALSE)</f>
        <v>PREXC/DA-Level Output</v>
      </c>
      <c r="AE271" s="47" t="s">
        <v>588</v>
      </c>
      <c r="AF271" s="51" t="str">
        <f>VLOOKUP(Table3[[#This Row],[ACTIVITY]],TAGS!$B:$P,3,FALSE)</f>
        <v>number</v>
      </c>
      <c r="AG271" s="47" t="s">
        <v>331</v>
      </c>
      <c r="AH271" s="51" t="str">
        <f>VLOOKUP(Table3[[#This Row],[MONTH]],TAGS!$W$67:$Y$81,2,FALSE)</f>
        <v>2ND QTR</v>
      </c>
      <c r="AI271" s="51" t="str">
        <f>VLOOKUP(Table3[[#This Row],[MONTH]],TAGS!$W$67:$Y$81,3,FALSE)</f>
        <v>1ST SEMESTER</v>
      </c>
      <c r="AJ271" s="51">
        <f>VLOOKUP(Table3[[#This Row],[MONTH]],TAGS!$W$67:$Z$81,4,FALSE)</f>
        <v>2025</v>
      </c>
      <c r="AK271" s="47">
        <v>1</v>
      </c>
      <c r="AL271" s="51" t="str">
        <f>VLOOKUP(Table3[[#This Row],[ACTIVITY]],TAGS!$B:$R,16,FALSE)</f>
        <v>NO</v>
      </c>
      <c r="AM271" s="47"/>
      <c r="AN271" s="47">
        <v>50</v>
      </c>
      <c r="AO271" s="57">
        <f>SUM(Table3[[#This Row],[MALE BENEFICIARIES]:[FEMALE BENEFICIARIES]])</f>
        <v>30</v>
      </c>
      <c r="AP271" s="58"/>
      <c r="AQ271" s="58"/>
      <c r="AR271" s="58">
        <v>30</v>
      </c>
      <c r="AS271" s="58"/>
      <c r="AT271" s="59" t="str">
        <f>VLOOKUP(Table3[[#This Row],[ACTIVITY]],TAGS!$B:$R,17,FALSE)</f>
        <v>NO</v>
      </c>
      <c r="AU271" s="59"/>
      <c r="AV271" s="59"/>
      <c r="AW271" s="59"/>
      <c r="AX271" s="59"/>
      <c r="AY271" s="59"/>
      <c r="AZ271" s="59"/>
      <c r="BA271" s="59"/>
      <c r="BB271" s="59"/>
      <c r="BC271" s="59"/>
      <c r="BD271" s="59"/>
      <c r="BE271" s="59"/>
      <c r="BF271" s="59"/>
      <c r="BG271" s="59"/>
      <c r="BH271" s="59"/>
      <c r="BI271" s="59"/>
      <c r="BJ271" s="59"/>
      <c r="BK271" s="59"/>
      <c r="BL271" s="59"/>
      <c r="BM271" s="59"/>
    </row>
    <row r="272" spans="1:65">
      <c r="A272" s="51" t="str">
        <f>VLOOKUP(Table3[[#This Row],[OU]],OU!$A$15:$B$34,2,FALSE)</f>
        <v>RFOs</v>
      </c>
      <c r="B272" s="47" t="s">
        <v>5</v>
      </c>
      <c r="C272" s="47" t="s">
        <v>574</v>
      </c>
      <c r="D272" s="47"/>
      <c r="E272" s="47" t="s">
        <v>78</v>
      </c>
      <c r="F272" s="47" t="s">
        <v>77</v>
      </c>
      <c r="G27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7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72" s="52" t="e">
        <f>VLOOKUP(Table3[[#This Row],[PSGC]],DISTRICT!$D:$G,4,FALSE)</f>
        <v>#N/A</v>
      </c>
      <c r="J272" s="47" t="s">
        <v>578</v>
      </c>
      <c r="K272" s="51" t="str">
        <f>VLOOKUP(Table3[[#This Row],[SPECIFIC COMMODITY]],TAGS!$W$48:$X$53,2,FALSE)</f>
        <v>Corn</v>
      </c>
      <c r="L272" s="51" t="str">
        <f>VLOOKUP(Table3[[#This Row],[PREXC SUB-PROGRAM]],Table5[],2,FALSE)</f>
        <v>TECHNICAL AND SUPPORT SERVICES PROGRAM</v>
      </c>
      <c r="M272" s="51" t="str">
        <f>VLOOKUP(Table3[[#This Row],[COMMODITY PREXC SUB-PROGRAM]],TAGS!$U$54:$V$76,2,FALSE)</f>
        <v>ESETS</v>
      </c>
      <c r="N272" s="47" t="s">
        <v>587</v>
      </c>
      <c r="O272" s="54" t="str">
        <f>VLOOKUP(Table3[[#This Row],[PI LEVEL 3]],'PI LEVEL'!A:C,3,FALSE)</f>
        <v>Training conducted</v>
      </c>
      <c r="P272" s="54" t="str">
        <f>VLOOKUP(Table3[[#This Row],[PI LEVEL 3]],Table53729[[Performance Indicator Level 3]:[Performance Indicator Level 1]],2,FALSE)</f>
        <v>Other training conducted</v>
      </c>
      <c r="Q272" s="54" t="str">
        <f>VLOOKUP(Table3[[#This Row],[ACTIVITY]],TAGS!B:P,2,FALSE)</f>
        <v>Other training conducted_Farmers/Fisherfolk/Other External Participants</v>
      </c>
      <c r="R272" s="47" t="s">
        <v>137</v>
      </c>
      <c r="S272" s="51" t="str">
        <f>VLOOKUP(Table3[[#This Row],[ACTIVITY]],TAGS!$B:$P,4,FALSE)</f>
        <v>Trainings</v>
      </c>
      <c r="T272" s="51" t="str">
        <f>VLOOKUP(Table3[[#This Row],[ACTIVITY]],TAGS!$B:$P,5,FALSE)</f>
        <v>Trainings</v>
      </c>
      <c r="U272" s="51" t="str">
        <f>VLOOKUP(Table3[[#This Row],[ACTIVITY]],TAGS!$B:$P,6,FALSE)</f>
        <v>Corn Livelihood training</v>
      </c>
      <c r="V272" s="51" t="str">
        <f>VLOOKUP(Table3[[#This Row],[ACTIVITY]],TAGS!$B:$P,7,FALSE)</f>
        <v>NO</v>
      </c>
      <c r="W272" s="51" t="str">
        <f>VLOOKUP(Table3[[#This Row],[ACTIVITY]],TAGS!$B:$P,8,FALSE)</f>
        <v>PAP</v>
      </c>
      <c r="X272" s="51" t="str">
        <f>VLOOKUP(Table3[[#This Row],[ACTIVITY]],TAGS!$B:$P,10,FALSE)</f>
        <v>PIP</v>
      </c>
      <c r="Y272" s="51" t="str">
        <f>VLOOKUP(Table3[[#This Row],[ACTIVITY]],TAGS!$B:$P,11,FALSE)</f>
        <v>PICS</v>
      </c>
      <c r="Z272" s="51" t="str">
        <f>VLOOKUP(Table3[[#This Row],[ACTIVITY]],TAGS!$B:$P,12,FALSE)</f>
        <v>Consolidation</v>
      </c>
      <c r="AA272" s="51" t="str">
        <f>VLOOKUP(Table3[[#This Row],[ACTIVITY]],TAGS!$B:$P,13,FALSE)</f>
        <v>1. Bayanihan Agri Cluster</v>
      </c>
      <c r="AB272" s="51" t="str">
        <f>VLOOKUP(Table3[[#This Row],[ACTIVITY]],TAGS!$B:$P,14,FALSE)</f>
        <v>IMPROVE AND EXPAND LOCAL AND INTERNATIONAL MARKET ACCESS</v>
      </c>
      <c r="AC272" s="51" t="str">
        <f>VLOOKUP(Table3[[#This Row],[ACTIVITY]],TAGS!$B:$P,15,FALSE)</f>
        <v>Capacity Building</v>
      </c>
      <c r="AD272" s="51" t="str">
        <f>VLOOKUP(Table3[[#This Row],[PI LEVEL 3]],'PI LEVEL'!$A:$G,7,FALSE)</f>
        <v>PREXC/DA-Level Output</v>
      </c>
      <c r="AE272" s="47" t="s">
        <v>588</v>
      </c>
      <c r="AF272" s="51" t="str">
        <f>VLOOKUP(Table3[[#This Row],[ACTIVITY]],TAGS!$B:$P,3,FALSE)</f>
        <v>number</v>
      </c>
      <c r="AG272" s="47" t="s">
        <v>332</v>
      </c>
      <c r="AH272" s="51" t="str">
        <f>VLOOKUP(Table3[[#This Row],[MONTH]],TAGS!$W$67:$Y$81,2,FALSE)</f>
        <v>2ND QTR</v>
      </c>
      <c r="AI272" s="51" t="str">
        <f>VLOOKUP(Table3[[#This Row],[MONTH]],TAGS!$W$67:$Y$81,3,FALSE)</f>
        <v>1ST SEMESTER</v>
      </c>
      <c r="AJ272" s="51">
        <f>VLOOKUP(Table3[[#This Row],[MONTH]],TAGS!$W$67:$Z$81,4,FALSE)</f>
        <v>2025</v>
      </c>
      <c r="AK272" s="47">
        <v>1</v>
      </c>
      <c r="AL272" s="51" t="str">
        <f>VLOOKUP(Table3[[#This Row],[ACTIVITY]],TAGS!$B:$R,16,FALSE)</f>
        <v>NO</v>
      </c>
      <c r="AM272" s="47"/>
      <c r="AN272" s="47">
        <v>50</v>
      </c>
      <c r="AO272" s="57">
        <f>SUM(Table3[[#This Row],[MALE BENEFICIARIES]:[FEMALE BENEFICIARIES]])</f>
        <v>30</v>
      </c>
      <c r="AP272" s="58"/>
      <c r="AQ272" s="58"/>
      <c r="AR272" s="58">
        <v>30</v>
      </c>
      <c r="AS272" s="58"/>
      <c r="AT272" s="59" t="str">
        <f>VLOOKUP(Table3[[#This Row],[ACTIVITY]],TAGS!$B:$R,17,FALSE)</f>
        <v>NO</v>
      </c>
      <c r="AU272" s="59"/>
      <c r="AV272" s="59"/>
      <c r="AW272" s="59"/>
      <c r="AX272" s="59"/>
      <c r="AY272" s="59"/>
      <c r="AZ272" s="59"/>
      <c r="BA272" s="59"/>
      <c r="BB272" s="59"/>
      <c r="BC272" s="59"/>
      <c r="BD272" s="59"/>
      <c r="BE272" s="59"/>
      <c r="BF272" s="59"/>
      <c r="BG272" s="59"/>
      <c r="BH272" s="59"/>
      <c r="BI272" s="59"/>
      <c r="BJ272" s="59"/>
      <c r="BK272" s="59"/>
      <c r="BL272" s="59"/>
      <c r="BM272" s="59"/>
    </row>
    <row r="273" spans="1:65">
      <c r="A273" s="51" t="str">
        <f>VLOOKUP(Table3[[#This Row],[OU]],OU!$A$15:$B$34,2,FALSE)</f>
        <v>RFOs</v>
      </c>
      <c r="B273" s="47" t="s">
        <v>5</v>
      </c>
      <c r="C273" s="47" t="s">
        <v>574</v>
      </c>
      <c r="D273" s="47"/>
      <c r="E273" s="47" t="s">
        <v>78</v>
      </c>
      <c r="F273" s="47" t="s">
        <v>77</v>
      </c>
      <c r="G27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7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73" s="52" t="e">
        <f>VLOOKUP(Table3[[#This Row],[PSGC]],DISTRICT!$D:$G,4,FALSE)</f>
        <v>#N/A</v>
      </c>
      <c r="J273" s="47" t="s">
        <v>578</v>
      </c>
      <c r="K273" s="51" t="str">
        <f>VLOOKUP(Table3[[#This Row],[SPECIFIC COMMODITY]],TAGS!$W$48:$X$53,2,FALSE)</f>
        <v>Corn</v>
      </c>
      <c r="L273" s="51" t="str">
        <f>VLOOKUP(Table3[[#This Row],[PREXC SUB-PROGRAM]],Table5[],2,FALSE)</f>
        <v>TECHNICAL AND SUPPORT SERVICES PROGRAM</v>
      </c>
      <c r="M273" s="51" t="str">
        <f>VLOOKUP(Table3[[#This Row],[COMMODITY PREXC SUB-PROGRAM]],TAGS!$U$54:$V$76,2,FALSE)</f>
        <v>ESETS</v>
      </c>
      <c r="N273" s="47" t="s">
        <v>587</v>
      </c>
      <c r="O273" s="54" t="str">
        <f>VLOOKUP(Table3[[#This Row],[PI LEVEL 3]],'PI LEVEL'!A:C,3,FALSE)</f>
        <v>Training conducted</v>
      </c>
      <c r="P273" s="54" t="str">
        <f>VLOOKUP(Table3[[#This Row],[PI LEVEL 3]],Table53729[[Performance Indicator Level 3]:[Performance Indicator Level 1]],2,FALSE)</f>
        <v>Other training conducted</v>
      </c>
      <c r="Q273" s="54" t="str">
        <f>VLOOKUP(Table3[[#This Row],[ACTIVITY]],TAGS!B:P,2,FALSE)</f>
        <v>Other training conducted_Farmers/Fisherfolk/Other External Participants</v>
      </c>
      <c r="R273" s="47" t="s">
        <v>137</v>
      </c>
      <c r="S273" s="51" t="str">
        <f>VLOOKUP(Table3[[#This Row],[ACTIVITY]],TAGS!$B:$P,4,FALSE)</f>
        <v>Trainings</v>
      </c>
      <c r="T273" s="51" t="str">
        <f>VLOOKUP(Table3[[#This Row],[ACTIVITY]],TAGS!$B:$P,5,FALSE)</f>
        <v>Trainings</v>
      </c>
      <c r="U273" s="51" t="str">
        <f>VLOOKUP(Table3[[#This Row],[ACTIVITY]],TAGS!$B:$P,6,FALSE)</f>
        <v>Corn Livelihood training</v>
      </c>
      <c r="V273" s="51" t="str">
        <f>VLOOKUP(Table3[[#This Row],[ACTIVITY]],TAGS!$B:$P,7,FALSE)</f>
        <v>NO</v>
      </c>
      <c r="W273" s="51" t="str">
        <f>VLOOKUP(Table3[[#This Row],[ACTIVITY]],TAGS!$B:$P,8,FALSE)</f>
        <v>PAP</v>
      </c>
      <c r="X273" s="51" t="str">
        <f>VLOOKUP(Table3[[#This Row],[ACTIVITY]],TAGS!$B:$P,10,FALSE)</f>
        <v>PIP</v>
      </c>
      <c r="Y273" s="51" t="str">
        <f>VLOOKUP(Table3[[#This Row],[ACTIVITY]],TAGS!$B:$P,11,FALSE)</f>
        <v>PICS</v>
      </c>
      <c r="Z273" s="51" t="str">
        <f>VLOOKUP(Table3[[#This Row],[ACTIVITY]],TAGS!$B:$P,12,FALSE)</f>
        <v>Consolidation</v>
      </c>
      <c r="AA273" s="51" t="str">
        <f>VLOOKUP(Table3[[#This Row],[ACTIVITY]],TAGS!$B:$P,13,FALSE)</f>
        <v>1. Bayanihan Agri Cluster</v>
      </c>
      <c r="AB273" s="51" t="str">
        <f>VLOOKUP(Table3[[#This Row],[ACTIVITY]],TAGS!$B:$P,14,FALSE)</f>
        <v>IMPROVE AND EXPAND LOCAL AND INTERNATIONAL MARKET ACCESS</v>
      </c>
      <c r="AC273" s="51" t="str">
        <f>VLOOKUP(Table3[[#This Row],[ACTIVITY]],TAGS!$B:$P,15,FALSE)</f>
        <v>Capacity Building</v>
      </c>
      <c r="AD273" s="51" t="str">
        <f>VLOOKUP(Table3[[#This Row],[PI LEVEL 3]],'PI LEVEL'!$A:$G,7,FALSE)</f>
        <v>PREXC/DA-Level Output</v>
      </c>
      <c r="AE273" s="47" t="s">
        <v>588</v>
      </c>
      <c r="AF273" s="51" t="str">
        <f>VLOOKUP(Table3[[#This Row],[ACTIVITY]],TAGS!$B:$P,3,FALSE)</f>
        <v>number</v>
      </c>
      <c r="AG273" s="47" t="s">
        <v>333</v>
      </c>
      <c r="AH273" s="51" t="str">
        <f>VLOOKUP(Table3[[#This Row],[MONTH]],TAGS!$W$67:$Y$81,2,FALSE)</f>
        <v>3RD QTR</v>
      </c>
      <c r="AI273" s="51" t="str">
        <f>VLOOKUP(Table3[[#This Row],[MONTH]],TAGS!$W$67:$Y$81,3,FALSE)</f>
        <v>2ND SEMESTER</v>
      </c>
      <c r="AJ273" s="51">
        <f>VLOOKUP(Table3[[#This Row],[MONTH]],TAGS!$W$67:$Z$81,4,FALSE)</f>
        <v>2025</v>
      </c>
      <c r="AK273" s="47">
        <v>1</v>
      </c>
      <c r="AL273" s="51" t="str">
        <f>VLOOKUP(Table3[[#This Row],[ACTIVITY]],TAGS!$B:$R,16,FALSE)</f>
        <v>NO</v>
      </c>
      <c r="AM273" s="47"/>
      <c r="AN273" s="47">
        <v>50</v>
      </c>
      <c r="AO273" s="57">
        <f>SUM(Table3[[#This Row],[MALE BENEFICIARIES]:[FEMALE BENEFICIARIES]])</f>
        <v>30</v>
      </c>
      <c r="AP273" s="58"/>
      <c r="AQ273" s="58"/>
      <c r="AR273" s="58">
        <v>30</v>
      </c>
      <c r="AS273" s="58"/>
      <c r="AT273" s="59" t="str">
        <f>VLOOKUP(Table3[[#This Row],[ACTIVITY]],TAGS!$B:$R,17,FALSE)</f>
        <v>NO</v>
      </c>
      <c r="AU273" s="59"/>
      <c r="AV273" s="59"/>
      <c r="AW273" s="59"/>
      <c r="AX273" s="59"/>
      <c r="AY273" s="59"/>
      <c r="AZ273" s="59"/>
      <c r="BA273" s="59"/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</row>
    <row r="274" spans="1:65">
      <c r="A274" s="51" t="str">
        <f>VLOOKUP(Table3[[#This Row],[OU]],OU!$A$15:$B$34,2,FALSE)</f>
        <v>RFOs</v>
      </c>
      <c r="B274" s="47" t="s">
        <v>5</v>
      </c>
      <c r="C274" s="47" t="s">
        <v>574</v>
      </c>
      <c r="D274" s="47"/>
      <c r="E274" s="47" t="s">
        <v>78</v>
      </c>
      <c r="F274" s="47" t="s">
        <v>77</v>
      </c>
      <c r="G27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7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74" s="52" t="e">
        <f>VLOOKUP(Table3[[#This Row],[PSGC]],DISTRICT!$D:$G,4,FALSE)</f>
        <v>#N/A</v>
      </c>
      <c r="J274" s="47" t="s">
        <v>578</v>
      </c>
      <c r="K274" s="51" t="str">
        <f>VLOOKUP(Table3[[#This Row],[SPECIFIC COMMODITY]],TAGS!$W$48:$X$53,2,FALSE)</f>
        <v>Corn</v>
      </c>
      <c r="L274" s="51" t="str">
        <f>VLOOKUP(Table3[[#This Row],[PREXC SUB-PROGRAM]],Table5[],2,FALSE)</f>
        <v>TECHNICAL AND SUPPORT SERVICES PROGRAM</v>
      </c>
      <c r="M274" s="51" t="str">
        <f>VLOOKUP(Table3[[#This Row],[COMMODITY PREXC SUB-PROGRAM]],TAGS!$U$54:$V$76,2,FALSE)</f>
        <v>ESETS</v>
      </c>
      <c r="N274" s="47" t="s">
        <v>587</v>
      </c>
      <c r="O274" s="54" t="str">
        <f>VLOOKUP(Table3[[#This Row],[PI LEVEL 3]],'PI LEVEL'!A:C,3,FALSE)</f>
        <v>Training conducted</v>
      </c>
      <c r="P274" s="54" t="str">
        <f>VLOOKUP(Table3[[#This Row],[PI LEVEL 3]],Table53729[[Performance Indicator Level 3]:[Performance Indicator Level 1]],2,FALSE)</f>
        <v>Other training conducted</v>
      </c>
      <c r="Q274" s="54" t="str">
        <f>VLOOKUP(Table3[[#This Row],[ACTIVITY]],TAGS!B:P,2,FALSE)</f>
        <v>Other training conducted_Farmers/Fisherfolk/Other External Participants</v>
      </c>
      <c r="R274" s="47" t="s">
        <v>139</v>
      </c>
      <c r="S274" s="51" t="str">
        <f>VLOOKUP(Table3[[#This Row],[ACTIVITY]],TAGS!$B:$P,4,FALSE)</f>
        <v>Trainings</v>
      </c>
      <c r="T274" s="51" t="str">
        <f>VLOOKUP(Table3[[#This Row],[ACTIVITY]],TAGS!$B:$P,5,FALSE)</f>
        <v>Trainings</v>
      </c>
      <c r="U274" s="51" t="str">
        <f>VLOOKUP(Table3[[#This Row],[ACTIVITY]],TAGS!$B:$P,6,FALSE)</f>
        <v>Corn Production Training</v>
      </c>
      <c r="V274" s="51" t="str">
        <f>VLOOKUP(Table3[[#This Row],[ACTIVITY]],TAGS!$B:$P,7,FALSE)</f>
        <v>NO</v>
      </c>
      <c r="W274" s="51" t="str">
        <f>VLOOKUP(Table3[[#This Row],[ACTIVITY]],TAGS!$B:$P,8,FALSE)</f>
        <v>PAP</v>
      </c>
      <c r="X274" s="51" t="str">
        <f>VLOOKUP(Table3[[#This Row],[ACTIVITY]],TAGS!$B:$P,10,FALSE)</f>
        <v>PIP</v>
      </c>
      <c r="Y274" s="51" t="str">
        <f>VLOOKUP(Table3[[#This Row],[ACTIVITY]],TAGS!$B:$P,11,FALSE)</f>
        <v>PICS</v>
      </c>
      <c r="Z274" s="51" t="str">
        <f>VLOOKUP(Table3[[#This Row],[ACTIVITY]],TAGS!$B:$P,12,FALSE)</f>
        <v>Consolidation</v>
      </c>
      <c r="AA274" s="51" t="str">
        <f>VLOOKUP(Table3[[#This Row],[ACTIVITY]],TAGS!$B:$P,13,FALSE)</f>
        <v>1. Bayanihan Agri Cluster</v>
      </c>
      <c r="AB274" s="51" t="str">
        <f>VLOOKUP(Table3[[#This Row],[ACTIVITY]],TAGS!$B:$P,14,FALSE)</f>
        <v>EXPAND AND IMPROVE AVAILABLE AGRI-FISHERY AREAS FOR INCREASED PRODUCTION</v>
      </c>
      <c r="AC274" s="51" t="str">
        <f>VLOOKUP(Table3[[#This Row],[ACTIVITY]],TAGS!$B:$P,15,FALSE)</f>
        <v>Capacity Building</v>
      </c>
      <c r="AD274" s="51" t="str">
        <f>VLOOKUP(Table3[[#This Row],[PI LEVEL 3]],'PI LEVEL'!$A:$G,7,FALSE)</f>
        <v>PREXC/DA-Level Output</v>
      </c>
      <c r="AE274" s="47" t="s">
        <v>577</v>
      </c>
      <c r="AF274" s="51" t="str">
        <f>VLOOKUP(Table3[[#This Row],[ACTIVITY]],TAGS!$B:$P,3,FALSE)</f>
        <v>number</v>
      </c>
      <c r="AG274" s="47" t="s">
        <v>330</v>
      </c>
      <c r="AH274" s="51" t="str">
        <f>VLOOKUP(Table3[[#This Row],[MONTH]],TAGS!$W$67:$Y$81,2,FALSE)</f>
        <v>2ND QTR</v>
      </c>
      <c r="AI274" s="51" t="str">
        <f>VLOOKUP(Table3[[#This Row],[MONTH]],TAGS!$W$67:$Y$81,3,FALSE)</f>
        <v>1ST SEMESTER</v>
      </c>
      <c r="AJ274" s="51">
        <f>VLOOKUP(Table3[[#This Row],[MONTH]],TAGS!$W$67:$Z$81,4,FALSE)</f>
        <v>2025</v>
      </c>
      <c r="AK274" s="47">
        <v>1</v>
      </c>
      <c r="AL274" s="51" t="str">
        <f>VLOOKUP(Table3[[#This Row],[ACTIVITY]],TAGS!$B:$R,16,FALSE)</f>
        <v>NO</v>
      </c>
      <c r="AM274" s="47"/>
      <c r="AN274" s="47">
        <v>35</v>
      </c>
      <c r="AO274" s="57">
        <f>SUM(Table3[[#This Row],[MALE BENEFICIARIES]:[FEMALE BENEFICIARIES]])</f>
        <v>30</v>
      </c>
      <c r="AP274" s="58"/>
      <c r="AQ274" s="58">
        <v>24</v>
      </c>
      <c r="AR274" s="58">
        <v>6</v>
      </c>
      <c r="AS274" s="58"/>
      <c r="AT274" s="59" t="str">
        <f>VLOOKUP(Table3[[#This Row],[ACTIVITY]],TAGS!$B:$R,17,FALSE)</f>
        <v>NO</v>
      </c>
      <c r="AU274" s="59"/>
      <c r="AV274" s="59"/>
      <c r="AW274" s="59"/>
      <c r="AX274" s="59"/>
      <c r="AY274" s="59"/>
      <c r="AZ274" s="59"/>
      <c r="BA274" s="59"/>
      <c r="BB274" s="59"/>
      <c r="BC274" s="59"/>
      <c r="BD274" s="59"/>
      <c r="BE274" s="59"/>
      <c r="BF274" s="59"/>
      <c r="BG274" s="59"/>
      <c r="BH274" s="59"/>
      <c r="BI274" s="59"/>
      <c r="BJ274" s="59"/>
      <c r="BK274" s="59"/>
      <c r="BL274" s="59"/>
      <c r="BM274" s="59"/>
    </row>
    <row r="275" spans="1:65">
      <c r="A275" s="51" t="str">
        <f>VLOOKUP(Table3[[#This Row],[OU]],OU!$A$15:$B$34,2,FALSE)</f>
        <v>RFOs</v>
      </c>
      <c r="B275" s="47" t="s">
        <v>5</v>
      </c>
      <c r="C275" s="47" t="s">
        <v>574</v>
      </c>
      <c r="D275" s="47"/>
      <c r="E275" s="47" t="s">
        <v>78</v>
      </c>
      <c r="F275" s="47" t="s">
        <v>77</v>
      </c>
      <c r="G27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7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75" s="52" t="e">
        <f>VLOOKUP(Table3[[#This Row],[PSGC]],DISTRICT!$D:$G,4,FALSE)</f>
        <v>#N/A</v>
      </c>
      <c r="J275" s="47" t="s">
        <v>578</v>
      </c>
      <c r="K275" s="51" t="str">
        <f>VLOOKUP(Table3[[#This Row],[SPECIFIC COMMODITY]],TAGS!$W$48:$X$53,2,FALSE)</f>
        <v>Corn</v>
      </c>
      <c r="L275" s="51" t="str">
        <f>VLOOKUP(Table3[[#This Row],[PREXC SUB-PROGRAM]],Table5[],2,FALSE)</f>
        <v>TECHNICAL AND SUPPORT SERVICES PROGRAM</v>
      </c>
      <c r="M275" s="51" t="str">
        <f>VLOOKUP(Table3[[#This Row],[COMMODITY PREXC SUB-PROGRAM]],TAGS!$U$54:$V$76,2,FALSE)</f>
        <v>ESETS</v>
      </c>
      <c r="N275" s="47" t="s">
        <v>587</v>
      </c>
      <c r="O275" s="54" t="str">
        <f>VLOOKUP(Table3[[#This Row],[PI LEVEL 3]],'PI LEVEL'!A:C,3,FALSE)</f>
        <v>Training conducted</v>
      </c>
      <c r="P275" s="54" t="str">
        <f>VLOOKUP(Table3[[#This Row],[PI LEVEL 3]],Table53729[[Performance Indicator Level 3]:[Performance Indicator Level 1]],2,FALSE)</f>
        <v>Other training conducted</v>
      </c>
      <c r="Q275" s="54" t="str">
        <f>VLOOKUP(Table3[[#This Row],[ACTIVITY]],TAGS!B:P,2,FALSE)</f>
        <v>Other training conducted_Farmers/Fisherfolk/Other External Participants</v>
      </c>
      <c r="R275" s="47" t="s">
        <v>139</v>
      </c>
      <c r="S275" s="51" t="str">
        <f>VLOOKUP(Table3[[#This Row],[ACTIVITY]],TAGS!$B:$P,4,FALSE)</f>
        <v>Trainings</v>
      </c>
      <c r="T275" s="51" t="str">
        <f>VLOOKUP(Table3[[#This Row],[ACTIVITY]],TAGS!$B:$P,5,FALSE)</f>
        <v>Trainings</v>
      </c>
      <c r="U275" s="51" t="str">
        <f>VLOOKUP(Table3[[#This Row],[ACTIVITY]],TAGS!$B:$P,6,FALSE)</f>
        <v>Corn Production Training</v>
      </c>
      <c r="V275" s="51" t="str">
        <f>VLOOKUP(Table3[[#This Row],[ACTIVITY]],TAGS!$B:$P,7,FALSE)</f>
        <v>NO</v>
      </c>
      <c r="W275" s="51" t="str">
        <f>VLOOKUP(Table3[[#This Row],[ACTIVITY]],TAGS!$B:$P,8,FALSE)</f>
        <v>PAP</v>
      </c>
      <c r="X275" s="51" t="str">
        <f>VLOOKUP(Table3[[#This Row],[ACTIVITY]],TAGS!$B:$P,10,FALSE)</f>
        <v>PIP</v>
      </c>
      <c r="Y275" s="51" t="str">
        <f>VLOOKUP(Table3[[#This Row],[ACTIVITY]],TAGS!$B:$P,11,FALSE)</f>
        <v>PICS</v>
      </c>
      <c r="Z275" s="51" t="str">
        <f>VLOOKUP(Table3[[#This Row],[ACTIVITY]],TAGS!$B:$P,12,FALSE)</f>
        <v>Consolidation</v>
      </c>
      <c r="AA275" s="51" t="str">
        <f>VLOOKUP(Table3[[#This Row],[ACTIVITY]],TAGS!$B:$P,13,FALSE)</f>
        <v>1. Bayanihan Agri Cluster</v>
      </c>
      <c r="AB275" s="51" t="str">
        <f>VLOOKUP(Table3[[#This Row],[ACTIVITY]],TAGS!$B:$P,14,FALSE)</f>
        <v>EXPAND AND IMPROVE AVAILABLE AGRI-FISHERY AREAS FOR INCREASED PRODUCTION</v>
      </c>
      <c r="AC275" s="51" t="str">
        <f>VLOOKUP(Table3[[#This Row],[ACTIVITY]],TAGS!$B:$P,15,FALSE)</f>
        <v>Capacity Building</v>
      </c>
      <c r="AD275" s="51" t="str">
        <f>VLOOKUP(Table3[[#This Row],[PI LEVEL 3]],'PI LEVEL'!$A:$G,7,FALSE)</f>
        <v>PREXC/DA-Level Output</v>
      </c>
      <c r="AE275" s="47" t="s">
        <v>577</v>
      </c>
      <c r="AF275" s="51" t="str">
        <f>VLOOKUP(Table3[[#This Row],[ACTIVITY]],TAGS!$B:$P,3,FALSE)</f>
        <v>number</v>
      </c>
      <c r="AG275" s="47" t="s">
        <v>331</v>
      </c>
      <c r="AH275" s="51" t="str">
        <f>VLOOKUP(Table3[[#This Row],[MONTH]],TAGS!$W$67:$Y$81,2,FALSE)</f>
        <v>2ND QTR</v>
      </c>
      <c r="AI275" s="51" t="str">
        <f>VLOOKUP(Table3[[#This Row],[MONTH]],TAGS!$W$67:$Y$81,3,FALSE)</f>
        <v>1ST SEMESTER</v>
      </c>
      <c r="AJ275" s="51">
        <f>VLOOKUP(Table3[[#This Row],[MONTH]],TAGS!$W$67:$Z$81,4,FALSE)</f>
        <v>2025</v>
      </c>
      <c r="AK275" s="47">
        <v>1</v>
      </c>
      <c r="AL275" s="51" t="str">
        <f>VLOOKUP(Table3[[#This Row],[ACTIVITY]],TAGS!$B:$R,16,FALSE)</f>
        <v>NO</v>
      </c>
      <c r="AM275" s="47"/>
      <c r="AN275" s="47">
        <v>35</v>
      </c>
      <c r="AO275" s="57">
        <f>SUM(Table3[[#This Row],[MALE BENEFICIARIES]:[FEMALE BENEFICIARIES]])</f>
        <v>30</v>
      </c>
      <c r="AP275" s="58"/>
      <c r="AQ275" s="58">
        <v>24</v>
      </c>
      <c r="AR275" s="58">
        <v>6</v>
      </c>
      <c r="AS275" s="58"/>
      <c r="AT275" s="59" t="str">
        <f>VLOOKUP(Table3[[#This Row],[ACTIVITY]],TAGS!$B:$R,17,FALSE)</f>
        <v>NO</v>
      </c>
      <c r="AU275" s="59"/>
      <c r="AV275" s="59"/>
      <c r="AW275" s="59"/>
      <c r="AX275" s="59"/>
      <c r="AY275" s="59"/>
      <c r="AZ275" s="59"/>
      <c r="BA275" s="59"/>
      <c r="BB275" s="59"/>
      <c r="BC275" s="59"/>
      <c r="BD275" s="59"/>
      <c r="BE275" s="59"/>
      <c r="BF275" s="59"/>
      <c r="BG275" s="59"/>
      <c r="BH275" s="59"/>
      <c r="BI275" s="59"/>
      <c r="BJ275" s="59"/>
      <c r="BK275" s="59"/>
      <c r="BL275" s="59"/>
      <c r="BM275" s="59"/>
    </row>
    <row r="276" spans="1:65">
      <c r="A276" s="51" t="str">
        <f>VLOOKUP(Table3[[#This Row],[OU]],OU!$A$15:$B$34,2,FALSE)</f>
        <v>RFOs</v>
      </c>
      <c r="B276" s="47" t="s">
        <v>5</v>
      </c>
      <c r="C276" s="47" t="s">
        <v>574</v>
      </c>
      <c r="D276" s="47"/>
      <c r="E276" s="47" t="s">
        <v>78</v>
      </c>
      <c r="F276" s="47" t="s">
        <v>77</v>
      </c>
      <c r="G27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7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76" s="52" t="e">
        <f>VLOOKUP(Table3[[#This Row],[PSGC]],DISTRICT!$D:$G,4,FALSE)</f>
        <v>#N/A</v>
      </c>
      <c r="J276" s="47" t="s">
        <v>578</v>
      </c>
      <c r="K276" s="51" t="str">
        <f>VLOOKUP(Table3[[#This Row],[SPECIFIC COMMODITY]],TAGS!$W$48:$X$53,2,FALSE)</f>
        <v>Corn</v>
      </c>
      <c r="L276" s="51" t="str">
        <f>VLOOKUP(Table3[[#This Row],[PREXC SUB-PROGRAM]],Table5[],2,FALSE)</f>
        <v>TECHNICAL AND SUPPORT SERVICES PROGRAM</v>
      </c>
      <c r="M276" s="51" t="str">
        <f>VLOOKUP(Table3[[#This Row],[COMMODITY PREXC SUB-PROGRAM]],TAGS!$U$54:$V$76,2,FALSE)</f>
        <v>ESETS</v>
      </c>
      <c r="N276" s="47" t="s">
        <v>587</v>
      </c>
      <c r="O276" s="54" t="str">
        <f>VLOOKUP(Table3[[#This Row],[PI LEVEL 3]],'PI LEVEL'!A:C,3,FALSE)</f>
        <v>Training conducted</v>
      </c>
      <c r="P276" s="54" t="str">
        <f>VLOOKUP(Table3[[#This Row],[PI LEVEL 3]],Table53729[[Performance Indicator Level 3]:[Performance Indicator Level 1]],2,FALSE)</f>
        <v>Other training conducted</v>
      </c>
      <c r="Q276" s="54" t="str">
        <f>VLOOKUP(Table3[[#This Row],[ACTIVITY]],TAGS!B:P,2,FALSE)</f>
        <v>Other training conducted_Farmers/Fisherfolk/Other External Participants</v>
      </c>
      <c r="R276" s="47" t="s">
        <v>139</v>
      </c>
      <c r="S276" s="51" t="str">
        <f>VLOOKUP(Table3[[#This Row],[ACTIVITY]],TAGS!$B:$P,4,FALSE)</f>
        <v>Trainings</v>
      </c>
      <c r="T276" s="51" t="str">
        <f>VLOOKUP(Table3[[#This Row],[ACTIVITY]],TAGS!$B:$P,5,FALSE)</f>
        <v>Trainings</v>
      </c>
      <c r="U276" s="51" t="str">
        <f>VLOOKUP(Table3[[#This Row],[ACTIVITY]],TAGS!$B:$P,6,FALSE)</f>
        <v>Corn Production Training</v>
      </c>
      <c r="V276" s="51" t="str">
        <f>VLOOKUP(Table3[[#This Row],[ACTIVITY]],TAGS!$B:$P,7,FALSE)</f>
        <v>NO</v>
      </c>
      <c r="W276" s="51" t="str">
        <f>VLOOKUP(Table3[[#This Row],[ACTIVITY]],TAGS!$B:$P,8,FALSE)</f>
        <v>PAP</v>
      </c>
      <c r="X276" s="51" t="str">
        <f>VLOOKUP(Table3[[#This Row],[ACTIVITY]],TAGS!$B:$P,10,FALSE)</f>
        <v>PIP</v>
      </c>
      <c r="Y276" s="51" t="str">
        <f>VLOOKUP(Table3[[#This Row],[ACTIVITY]],TAGS!$B:$P,11,FALSE)</f>
        <v>PICS</v>
      </c>
      <c r="Z276" s="51" t="str">
        <f>VLOOKUP(Table3[[#This Row],[ACTIVITY]],TAGS!$B:$P,12,FALSE)</f>
        <v>Consolidation</v>
      </c>
      <c r="AA276" s="51" t="str">
        <f>VLOOKUP(Table3[[#This Row],[ACTIVITY]],TAGS!$B:$P,13,FALSE)</f>
        <v>1. Bayanihan Agri Cluster</v>
      </c>
      <c r="AB276" s="51" t="str">
        <f>VLOOKUP(Table3[[#This Row],[ACTIVITY]],TAGS!$B:$P,14,FALSE)</f>
        <v>EXPAND AND IMPROVE AVAILABLE AGRI-FISHERY AREAS FOR INCREASED PRODUCTION</v>
      </c>
      <c r="AC276" s="51" t="str">
        <f>VLOOKUP(Table3[[#This Row],[ACTIVITY]],TAGS!$B:$P,15,FALSE)</f>
        <v>Capacity Building</v>
      </c>
      <c r="AD276" s="51" t="str">
        <f>VLOOKUP(Table3[[#This Row],[PI LEVEL 3]],'PI LEVEL'!$A:$G,7,FALSE)</f>
        <v>PREXC/DA-Level Output</v>
      </c>
      <c r="AE276" s="47" t="s">
        <v>577</v>
      </c>
      <c r="AF276" s="51" t="str">
        <f>VLOOKUP(Table3[[#This Row],[ACTIVITY]],TAGS!$B:$P,3,FALSE)</f>
        <v>number</v>
      </c>
      <c r="AG276" s="47" t="s">
        <v>332</v>
      </c>
      <c r="AH276" s="51" t="str">
        <f>VLOOKUP(Table3[[#This Row],[MONTH]],TAGS!$W$67:$Y$81,2,FALSE)</f>
        <v>2ND QTR</v>
      </c>
      <c r="AI276" s="51" t="str">
        <f>VLOOKUP(Table3[[#This Row],[MONTH]],TAGS!$W$67:$Y$81,3,FALSE)</f>
        <v>1ST SEMESTER</v>
      </c>
      <c r="AJ276" s="51">
        <f>VLOOKUP(Table3[[#This Row],[MONTH]],TAGS!$W$67:$Z$81,4,FALSE)</f>
        <v>2025</v>
      </c>
      <c r="AK276" s="47">
        <v>1</v>
      </c>
      <c r="AL276" s="51" t="str">
        <f>VLOOKUP(Table3[[#This Row],[ACTIVITY]],TAGS!$B:$R,16,FALSE)</f>
        <v>NO</v>
      </c>
      <c r="AM276" s="47"/>
      <c r="AN276" s="47">
        <v>35</v>
      </c>
      <c r="AO276" s="57">
        <f>SUM(Table3[[#This Row],[MALE BENEFICIARIES]:[FEMALE BENEFICIARIES]])</f>
        <v>30</v>
      </c>
      <c r="AP276" s="58"/>
      <c r="AQ276" s="58">
        <v>24</v>
      </c>
      <c r="AR276" s="58">
        <v>6</v>
      </c>
      <c r="AS276" s="58"/>
      <c r="AT276" s="59" t="str">
        <f>VLOOKUP(Table3[[#This Row],[ACTIVITY]],TAGS!$B:$R,17,FALSE)</f>
        <v>NO</v>
      </c>
      <c r="AU276" s="59"/>
      <c r="AV276" s="59"/>
      <c r="AW276" s="59"/>
      <c r="AX276" s="59"/>
      <c r="AY276" s="59"/>
      <c r="AZ276" s="59"/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/>
    </row>
    <row r="277" spans="1:65">
      <c r="A277" s="51" t="str">
        <f>VLOOKUP(Table3[[#This Row],[OU]],OU!$A$15:$B$34,2,FALSE)</f>
        <v>RFOs</v>
      </c>
      <c r="B277" s="47" t="s">
        <v>5</v>
      </c>
      <c r="C277" s="47" t="s">
        <v>574</v>
      </c>
      <c r="D277" s="47"/>
      <c r="E277" s="47" t="s">
        <v>78</v>
      </c>
      <c r="F277" s="47" t="s">
        <v>77</v>
      </c>
      <c r="G27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7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77" s="52" t="e">
        <f>VLOOKUP(Table3[[#This Row],[PSGC]],DISTRICT!$D:$G,4,FALSE)</f>
        <v>#N/A</v>
      </c>
      <c r="J277" s="47" t="s">
        <v>578</v>
      </c>
      <c r="K277" s="51" t="str">
        <f>VLOOKUP(Table3[[#This Row],[SPECIFIC COMMODITY]],TAGS!$W$48:$X$53,2,FALSE)</f>
        <v>Corn</v>
      </c>
      <c r="L277" s="51" t="str">
        <f>VLOOKUP(Table3[[#This Row],[PREXC SUB-PROGRAM]],Table5[],2,FALSE)</f>
        <v>TECHNICAL AND SUPPORT SERVICES PROGRAM</v>
      </c>
      <c r="M277" s="51" t="str">
        <f>VLOOKUP(Table3[[#This Row],[COMMODITY PREXC SUB-PROGRAM]],TAGS!$U$54:$V$76,2,FALSE)</f>
        <v>ESETS</v>
      </c>
      <c r="N277" s="47" t="s">
        <v>587</v>
      </c>
      <c r="O277" s="54" t="str">
        <f>VLOOKUP(Table3[[#This Row],[PI LEVEL 3]],'PI LEVEL'!A:C,3,FALSE)</f>
        <v>Training conducted</v>
      </c>
      <c r="P277" s="54" t="str">
        <f>VLOOKUP(Table3[[#This Row],[PI LEVEL 3]],Table53729[[Performance Indicator Level 3]:[Performance Indicator Level 1]],2,FALSE)</f>
        <v>Other training conducted</v>
      </c>
      <c r="Q277" s="54" t="str">
        <f>VLOOKUP(Table3[[#This Row],[ACTIVITY]],TAGS!B:P,2,FALSE)</f>
        <v>Other training conducted_Farmers/Fisherfolk/Other External Participants</v>
      </c>
      <c r="R277" s="47" t="s">
        <v>139</v>
      </c>
      <c r="S277" s="51" t="str">
        <f>VLOOKUP(Table3[[#This Row],[ACTIVITY]],TAGS!$B:$P,4,FALSE)</f>
        <v>Trainings</v>
      </c>
      <c r="T277" s="51" t="str">
        <f>VLOOKUP(Table3[[#This Row],[ACTIVITY]],TAGS!$B:$P,5,FALSE)</f>
        <v>Trainings</v>
      </c>
      <c r="U277" s="51" t="str">
        <f>VLOOKUP(Table3[[#This Row],[ACTIVITY]],TAGS!$B:$P,6,FALSE)</f>
        <v>Corn Production Training</v>
      </c>
      <c r="V277" s="51" t="str">
        <f>VLOOKUP(Table3[[#This Row],[ACTIVITY]],TAGS!$B:$P,7,FALSE)</f>
        <v>NO</v>
      </c>
      <c r="W277" s="51" t="str">
        <f>VLOOKUP(Table3[[#This Row],[ACTIVITY]],TAGS!$B:$P,8,FALSE)</f>
        <v>PAP</v>
      </c>
      <c r="X277" s="51" t="str">
        <f>VLOOKUP(Table3[[#This Row],[ACTIVITY]],TAGS!$B:$P,10,FALSE)</f>
        <v>PIP</v>
      </c>
      <c r="Y277" s="51" t="str">
        <f>VLOOKUP(Table3[[#This Row],[ACTIVITY]],TAGS!$B:$P,11,FALSE)</f>
        <v>PICS</v>
      </c>
      <c r="Z277" s="51" t="str">
        <f>VLOOKUP(Table3[[#This Row],[ACTIVITY]],TAGS!$B:$P,12,FALSE)</f>
        <v>Consolidation</v>
      </c>
      <c r="AA277" s="51" t="str">
        <f>VLOOKUP(Table3[[#This Row],[ACTIVITY]],TAGS!$B:$P,13,FALSE)</f>
        <v>1. Bayanihan Agri Cluster</v>
      </c>
      <c r="AB277" s="51" t="str">
        <f>VLOOKUP(Table3[[#This Row],[ACTIVITY]],TAGS!$B:$P,14,FALSE)</f>
        <v>EXPAND AND IMPROVE AVAILABLE AGRI-FISHERY AREAS FOR INCREASED PRODUCTION</v>
      </c>
      <c r="AC277" s="51" t="str">
        <f>VLOOKUP(Table3[[#This Row],[ACTIVITY]],TAGS!$B:$P,15,FALSE)</f>
        <v>Capacity Building</v>
      </c>
      <c r="AD277" s="51" t="str">
        <f>VLOOKUP(Table3[[#This Row],[PI LEVEL 3]],'PI LEVEL'!$A:$G,7,FALSE)</f>
        <v>PREXC/DA-Level Output</v>
      </c>
      <c r="AE277" s="47" t="s">
        <v>577</v>
      </c>
      <c r="AF277" s="51" t="str">
        <f>VLOOKUP(Table3[[#This Row],[ACTIVITY]],TAGS!$B:$P,3,FALSE)</f>
        <v>number</v>
      </c>
      <c r="AG277" s="47" t="s">
        <v>333</v>
      </c>
      <c r="AH277" s="51" t="str">
        <f>VLOOKUP(Table3[[#This Row],[MONTH]],TAGS!$W$67:$Y$81,2,FALSE)</f>
        <v>3RD QTR</v>
      </c>
      <c r="AI277" s="51" t="str">
        <f>VLOOKUP(Table3[[#This Row],[MONTH]],TAGS!$W$67:$Y$81,3,FALSE)</f>
        <v>2ND SEMESTER</v>
      </c>
      <c r="AJ277" s="51">
        <f>VLOOKUP(Table3[[#This Row],[MONTH]],TAGS!$W$67:$Z$81,4,FALSE)</f>
        <v>2025</v>
      </c>
      <c r="AK277" s="47">
        <v>1</v>
      </c>
      <c r="AL277" s="51" t="str">
        <f>VLOOKUP(Table3[[#This Row],[ACTIVITY]],TAGS!$B:$R,16,FALSE)</f>
        <v>NO</v>
      </c>
      <c r="AM277" s="47"/>
      <c r="AN277" s="47">
        <v>35</v>
      </c>
      <c r="AO277" s="57">
        <f>SUM(Table3[[#This Row],[MALE BENEFICIARIES]:[FEMALE BENEFICIARIES]])</f>
        <v>30</v>
      </c>
      <c r="AP277" s="58"/>
      <c r="AQ277" s="58">
        <v>24</v>
      </c>
      <c r="AR277" s="58">
        <v>6</v>
      </c>
      <c r="AS277" s="58"/>
      <c r="AT277" s="59" t="str">
        <f>VLOOKUP(Table3[[#This Row],[ACTIVITY]],TAGS!$B:$R,17,FALSE)</f>
        <v>NO</v>
      </c>
      <c r="AU277" s="59"/>
      <c r="AV277" s="59"/>
      <c r="AW277" s="59"/>
      <c r="AX277" s="59"/>
      <c r="AY277" s="59"/>
      <c r="AZ277" s="59"/>
      <c r="BA277" s="59"/>
      <c r="BB277" s="59"/>
      <c r="BC277" s="59"/>
      <c r="BD277" s="59"/>
      <c r="BE277" s="59"/>
      <c r="BF277" s="59"/>
      <c r="BG277" s="59"/>
      <c r="BH277" s="59"/>
      <c r="BI277" s="59"/>
      <c r="BJ277" s="59"/>
      <c r="BK277" s="59"/>
      <c r="BL277" s="59"/>
      <c r="BM277" s="59"/>
    </row>
    <row r="278" spans="1:65">
      <c r="A278" s="51" t="str">
        <f>VLOOKUP(Table3[[#This Row],[OU]],OU!$A$15:$B$34,2,FALSE)</f>
        <v>RFOs</v>
      </c>
      <c r="B278" s="47" t="s">
        <v>5</v>
      </c>
      <c r="C278" s="47" t="s">
        <v>574</v>
      </c>
      <c r="D278" s="47"/>
      <c r="E278" s="47" t="s">
        <v>78</v>
      </c>
      <c r="F278" s="47" t="s">
        <v>77</v>
      </c>
      <c r="G27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7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78" s="52" t="e">
        <f>VLOOKUP(Table3[[#This Row],[PSGC]],DISTRICT!$D:$G,4,FALSE)</f>
        <v>#N/A</v>
      </c>
      <c r="J278" s="47" t="s">
        <v>578</v>
      </c>
      <c r="K278" s="51" t="str">
        <f>VLOOKUP(Table3[[#This Row],[SPECIFIC COMMODITY]],TAGS!$W$48:$X$53,2,FALSE)</f>
        <v>Corn</v>
      </c>
      <c r="L278" s="51" t="str">
        <f>VLOOKUP(Table3[[#This Row],[PREXC SUB-PROGRAM]],Table5[],2,FALSE)</f>
        <v>TECHNICAL AND SUPPORT SERVICES PROGRAM</v>
      </c>
      <c r="M278" s="51" t="str">
        <f>VLOOKUP(Table3[[#This Row],[COMMODITY PREXC SUB-PROGRAM]],TAGS!$U$54:$V$76,2,FALSE)</f>
        <v>ESETS</v>
      </c>
      <c r="N278" s="47" t="s">
        <v>587</v>
      </c>
      <c r="O278" s="54" t="str">
        <f>VLOOKUP(Table3[[#This Row],[PI LEVEL 3]],'PI LEVEL'!A:C,3,FALSE)</f>
        <v>Training conducted</v>
      </c>
      <c r="P278" s="54" t="str">
        <f>VLOOKUP(Table3[[#This Row],[PI LEVEL 3]],Table53729[[Performance Indicator Level 3]:[Performance Indicator Level 1]],2,FALSE)</f>
        <v>Other training conducted</v>
      </c>
      <c r="Q278" s="54" t="str">
        <f>VLOOKUP(Table3[[#This Row],[ACTIVITY]],TAGS!B:P,2,FALSE)</f>
        <v>Other training conducted_Farmers/Fisherfolk/Other External Participants</v>
      </c>
      <c r="R278" s="47" t="s">
        <v>141</v>
      </c>
      <c r="S278" s="51" t="str">
        <f>VLOOKUP(Table3[[#This Row],[ACTIVITY]],TAGS!$B:$P,4,FALSE)</f>
        <v>Trainings</v>
      </c>
      <c r="T278" s="51" t="str">
        <f>VLOOKUP(Table3[[#This Row],[ACTIVITY]],TAGS!$B:$P,5,FALSE)</f>
        <v>Trainings</v>
      </c>
      <c r="U278" s="51" t="str">
        <f>VLOOKUP(Table3[[#This Row],[ACTIVITY]],TAGS!$B:$P,6,FALSE)</f>
        <v>Integrated Pest Management Training</v>
      </c>
      <c r="V278" s="51" t="str">
        <f>VLOOKUP(Table3[[#This Row],[ACTIVITY]],TAGS!$B:$P,7,FALSE)</f>
        <v>NO</v>
      </c>
      <c r="W278" s="51" t="str">
        <f>VLOOKUP(Table3[[#This Row],[ACTIVITY]],TAGS!$B:$P,8,FALSE)</f>
        <v>PAP</v>
      </c>
      <c r="X278" s="51" t="str">
        <f>VLOOKUP(Table3[[#This Row],[ACTIVITY]],TAGS!$B:$P,10,FALSE)</f>
        <v>PIP</v>
      </c>
      <c r="Y278" s="51" t="str">
        <f>VLOOKUP(Table3[[#This Row],[ACTIVITY]],TAGS!$B:$P,11,FALSE)</f>
        <v>PICS</v>
      </c>
      <c r="Z278" s="51" t="str">
        <f>VLOOKUP(Table3[[#This Row],[ACTIVITY]],TAGS!$B:$P,12,FALSE)</f>
        <v>Modernization</v>
      </c>
      <c r="AA278" s="51" t="str">
        <f>VLOOKUP(Table3[[#This Row],[ACTIVITY]],TAGS!$B:$P,13,FALSE)</f>
        <v>9. Climate Change Adaptation &amp; Mitigation Measures</v>
      </c>
      <c r="AB278" s="51" t="str">
        <f>VLOOKUP(Table3[[#This Row],[ACTIVITY]],TAGS!$B:$P,14,FALSE)</f>
        <v>EXPAND AND IMPROVE AVAILABLE AGRI-FISHERY AREAS FOR INCREASED PRODUCTION</v>
      </c>
      <c r="AC278" s="51" t="str">
        <f>VLOOKUP(Table3[[#This Row],[ACTIVITY]],TAGS!$B:$P,15,FALSE)</f>
        <v>Capacity Building</v>
      </c>
      <c r="AD278" s="51" t="str">
        <f>VLOOKUP(Table3[[#This Row],[PI LEVEL 3]],'PI LEVEL'!$A:$G,7,FALSE)</f>
        <v>PREXC/DA-Level Output</v>
      </c>
      <c r="AE278" s="47" t="s">
        <v>577</v>
      </c>
      <c r="AF278" s="51" t="str">
        <f>VLOOKUP(Table3[[#This Row],[ACTIVITY]],TAGS!$B:$P,3,FALSE)</f>
        <v>number</v>
      </c>
      <c r="AG278" s="47" t="s">
        <v>331</v>
      </c>
      <c r="AH278" s="51" t="str">
        <f>VLOOKUP(Table3[[#This Row],[MONTH]],TAGS!$W$67:$Y$81,2,FALSE)</f>
        <v>2ND QTR</v>
      </c>
      <c r="AI278" s="51" t="str">
        <f>VLOOKUP(Table3[[#This Row],[MONTH]],TAGS!$W$67:$Y$81,3,FALSE)</f>
        <v>1ST SEMESTER</v>
      </c>
      <c r="AJ278" s="51">
        <f>VLOOKUP(Table3[[#This Row],[MONTH]],TAGS!$W$67:$Z$81,4,FALSE)</f>
        <v>2025</v>
      </c>
      <c r="AK278" s="47">
        <v>2</v>
      </c>
      <c r="AL278" s="51" t="str">
        <f>VLOOKUP(Table3[[#This Row],[ACTIVITY]],TAGS!$B:$R,16,FALSE)</f>
        <v>NO</v>
      </c>
      <c r="AM278" s="47"/>
      <c r="AN278" s="47">
        <v>200</v>
      </c>
      <c r="AO278" s="57">
        <f>SUM(Table3[[#This Row],[MALE BENEFICIARIES]:[FEMALE BENEFICIARIES]])</f>
        <v>60</v>
      </c>
      <c r="AP278" s="58"/>
      <c r="AQ278" s="58">
        <v>48</v>
      </c>
      <c r="AR278" s="58">
        <v>12</v>
      </c>
      <c r="AS278" s="58"/>
      <c r="AT278" s="59" t="str">
        <f>VLOOKUP(Table3[[#This Row],[ACTIVITY]],TAGS!$B:$R,17,FALSE)</f>
        <v>NO</v>
      </c>
      <c r="AU278" s="59"/>
      <c r="AV278" s="59"/>
      <c r="AW278" s="59"/>
      <c r="AX278" s="59"/>
      <c r="AY278" s="59"/>
      <c r="AZ278" s="59"/>
      <c r="BA278" s="59"/>
      <c r="BB278" s="59"/>
      <c r="BC278" s="59"/>
      <c r="BD278" s="59"/>
      <c r="BE278" s="59"/>
      <c r="BF278" s="59"/>
      <c r="BG278" s="59"/>
      <c r="BH278" s="59"/>
      <c r="BI278" s="59"/>
      <c r="BJ278" s="59"/>
      <c r="BK278" s="59"/>
      <c r="BL278" s="59"/>
      <c r="BM278" s="59"/>
    </row>
    <row r="279" spans="1:65">
      <c r="A279" s="51" t="str">
        <f>VLOOKUP(Table3[[#This Row],[OU]],OU!$A$15:$B$34,2,FALSE)</f>
        <v>RFOs</v>
      </c>
      <c r="B279" s="47" t="s">
        <v>5</v>
      </c>
      <c r="C279" s="47" t="s">
        <v>574</v>
      </c>
      <c r="D279" s="47"/>
      <c r="E279" s="47" t="s">
        <v>78</v>
      </c>
      <c r="F279" s="47" t="s">
        <v>77</v>
      </c>
      <c r="G27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7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79" s="52" t="e">
        <f>VLOOKUP(Table3[[#This Row],[PSGC]],DISTRICT!$D:$G,4,FALSE)</f>
        <v>#N/A</v>
      </c>
      <c r="J279" s="47" t="s">
        <v>578</v>
      </c>
      <c r="K279" s="51" t="str">
        <f>VLOOKUP(Table3[[#This Row],[SPECIFIC COMMODITY]],TAGS!$W$48:$X$53,2,FALSE)</f>
        <v>Corn</v>
      </c>
      <c r="L279" s="51" t="str">
        <f>VLOOKUP(Table3[[#This Row],[PREXC SUB-PROGRAM]],Table5[],2,FALSE)</f>
        <v>TECHNICAL AND SUPPORT SERVICES PROGRAM</v>
      </c>
      <c r="M279" s="51" t="str">
        <f>VLOOKUP(Table3[[#This Row],[COMMODITY PREXC SUB-PROGRAM]],TAGS!$U$54:$V$76,2,FALSE)</f>
        <v>ESETS</v>
      </c>
      <c r="N279" s="47" t="s">
        <v>587</v>
      </c>
      <c r="O279" s="54" t="str">
        <f>VLOOKUP(Table3[[#This Row],[PI LEVEL 3]],'PI LEVEL'!A:C,3,FALSE)</f>
        <v>Training conducted</v>
      </c>
      <c r="P279" s="54" t="str">
        <f>VLOOKUP(Table3[[#This Row],[PI LEVEL 3]],Table53729[[Performance Indicator Level 3]:[Performance Indicator Level 1]],2,FALSE)</f>
        <v>Other training conducted</v>
      </c>
      <c r="Q279" s="54" t="str">
        <f>VLOOKUP(Table3[[#This Row],[ACTIVITY]],TAGS!B:P,2,FALSE)</f>
        <v>Other training conducted_Farmers/Fisherfolk/Other External Participants</v>
      </c>
      <c r="R279" s="47" t="s">
        <v>141</v>
      </c>
      <c r="S279" s="51" t="str">
        <f>VLOOKUP(Table3[[#This Row],[ACTIVITY]],TAGS!$B:$P,4,FALSE)</f>
        <v>Trainings</v>
      </c>
      <c r="T279" s="51" t="str">
        <f>VLOOKUP(Table3[[#This Row],[ACTIVITY]],TAGS!$B:$P,5,FALSE)</f>
        <v>Trainings</v>
      </c>
      <c r="U279" s="51" t="str">
        <f>VLOOKUP(Table3[[#This Row],[ACTIVITY]],TAGS!$B:$P,6,FALSE)</f>
        <v>Integrated Pest Management Training</v>
      </c>
      <c r="V279" s="51" t="str">
        <f>VLOOKUP(Table3[[#This Row],[ACTIVITY]],TAGS!$B:$P,7,FALSE)</f>
        <v>NO</v>
      </c>
      <c r="W279" s="51" t="str">
        <f>VLOOKUP(Table3[[#This Row],[ACTIVITY]],TAGS!$B:$P,8,FALSE)</f>
        <v>PAP</v>
      </c>
      <c r="X279" s="51" t="str">
        <f>VLOOKUP(Table3[[#This Row],[ACTIVITY]],TAGS!$B:$P,10,FALSE)</f>
        <v>PIP</v>
      </c>
      <c r="Y279" s="51" t="str">
        <f>VLOOKUP(Table3[[#This Row],[ACTIVITY]],TAGS!$B:$P,11,FALSE)</f>
        <v>PICS</v>
      </c>
      <c r="Z279" s="51" t="str">
        <f>VLOOKUP(Table3[[#This Row],[ACTIVITY]],TAGS!$B:$P,12,FALSE)</f>
        <v>Modernization</v>
      </c>
      <c r="AA279" s="51" t="str">
        <f>VLOOKUP(Table3[[#This Row],[ACTIVITY]],TAGS!$B:$P,13,FALSE)</f>
        <v>9. Climate Change Adaptation &amp; Mitigation Measures</v>
      </c>
      <c r="AB279" s="51" t="str">
        <f>VLOOKUP(Table3[[#This Row],[ACTIVITY]],TAGS!$B:$P,14,FALSE)</f>
        <v>EXPAND AND IMPROVE AVAILABLE AGRI-FISHERY AREAS FOR INCREASED PRODUCTION</v>
      </c>
      <c r="AC279" s="51" t="str">
        <f>VLOOKUP(Table3[[#This Row],[ACTIVITY]],TAGS!$B:$P,15,FALSE)</f>
        <v>Capacity Building</v>
      </c>
      <c r="AD279" s="51" t="str">
        <f>VLOOKUP(Table3[[#This Row],[PI LEVEL 3]],'PI LEVEL'!$A:$G,7,FALSE)</f>
        <v>PREXC/DA-Level Output</v>
      </c>
      <c r="AE279" s="47" t="s">
        <v>577</v>
      </c>
      <c r="AF279" s="51" t="str">
        <f>VLOOKUP(Table3[[#This Row],[ACTIVITY]],TAGS!$B:$P,3,FALSE)</f>
        <v>number</v>
      </c>
      <c r="AG279" s="47" t="s">
        <v>336</v>
      </c>
      <c r="AH279" s="51" t="str">
        <f>VLOOKUP(Table3[[#This Row],[MONTH]],TAGS!$W$67:$Y$81,2,FALSE)</f>
        <v>4TH QTR</v>
      </c>
      <c r="AI279" s="51" t="str">
        <f>VLOOKUP(Table3[[#This Row],[MONTH]],TAGS!$W$67:$Y$81,3,FALSE)</f>
        <v>2ND SEMESTER</v>
      </c>
      <c r="AJ279" s="51">
        <f>VLOOKUP(Table3[[#This Row],[MONTH]],TAGS!$W$67:$Z$81,4,FALSE)</f>
        <v>2025</v>
      </c>
      <c r="AK279" s="47">
        <v>2</v>
      </c>
      <c r="AL279" s="51" t="str">
        <f>VLOOKUP(Table3[[#This Row],[ACTIVITY]],TAGS!$B:$R,16,FALSE)</f>
        <v>NO</v>
      </c>
      <c r="AM279" s="47"/>
      <c r="AN279" s="47">
        <v>200</v>
      </c>
      <c r="AO279" s="57">
        <f>SUM(Table3[[#This Row],[MALE BENEFICIARIES]:[FEMALE BENEFICIARIES]])</f>
        <v>60</v>
      </c>
      <c r="AP279" s="58"/>
      <c r="AQ279" s="58">
        <v>48</v>
      </c>
      <c r="AR279" s="58">
        <v>12</v>
      </c>
      <c r="AS279" s="58"/>
      <c r="AT279" s="59" t="str">
        <f>VLOOKUP(Table3[[#This Row],[ACTIVITY]],TAGS!$B:$R,17,FALSE)</f>
        <v>NO</v>
      </c>
      <c r="AU279" s="59"/>
      <c r="AV279" s="59"/>
      <c r="AW279" s="59"/>
      <c r="AX279" s="59"/>
      <c r="AY279" s="59"/>
      <c r="AZ279" s="59"/>
      <c r="BA279" s="59"/>
      <c r="BB279" s="59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</row>
    <row r="280" spans="1:65">
      <c r="A280" s="51" t="str">
        <f>VLOOKUP(Table3[[#This Row],[OU]],OU!$A$15:$B$34,2,FALSE)</f>
        <v>RFOs</v>
      </c>
      <c r="B280" s="47" t="s">
        <v>5</v>
      </c>
      <c r="C280" s="47" t="s">
        <v>574</v>
      </c>
      <c r="D280" s="47"/>
      <c r="E280" s="47" t="s">
        <v>78</v>
      </c>
      <c r="F280" s="47" t="s">
        <v>77</v>
      </c>
      <c r="G28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8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80" s="52" t="e">
        <f>VLOOKUP(Table3[[#This Row],[PSGC]],DISTRICT!$D:$G,4,FALSE)</f>
        <v>#N/A</v>
      </c>
      <c r="J280" s="47" t="s">
        <v>578</v>
      </c>
      <c r="K280" s="51" t="str">
        <f>VLOOKUP(Table3[[#This Row],[SPECIFIC COMMODITY]],TAGS!$W$48:$X$53,2,FALSE)</f>
        <v>Corn</v>
      </c>
      <c r="L280" s="51" t="str">
        <f>VLOOKUP(Table3[[#This Row],[PREXC SUB-PROGRAM]],Table5[],2,FALSE)</f>
        <v>TECHNICAL AND SUPPORT SERVICES PROGRAM</v>
      </c>
      <c r="M280" s="51" t="str">
        <f>VLOOKUP(Table3[[#This Row],[COMMODITY PREXC SUB-PROGRAM]],TAGS!$U$54:$V$76,2,FALSE)</f>
        <v>ESETS</v>
      </c>
      <c r="N280" s="47" t="s">
        <v>587</v>
      </c>
      <c r="O280" s="54" t="str">
        <f>VLOOKUP(Table3[[#This Row],[PI LEVEL 3]],'PI LEVEL'!A:C,3,FALSE)</f>
        <v>Training conducted</v>
      </c>
      <c r="P280" s="54" t="str">
        <f>VLOOKUP(Table3[[#This Row],[PI LEVEL 3]],Table53729[[Performance Indicator Level 3]:[Performance Indicator Level 1]],2,FALSE)</f>
        <v>Other training conducted</v>
      </c>
      <c r="Q280" s="54" t="str">
        <f>VLOOKUP(Table3[[#This Row],[ACTIVITY]],TAGS!B:P,2,FALSE)</f>
        <v>Other training conducted_Farmers/Fisherfolk/Other External Participants</v>
      </c>
      <c r="R280" s="47" t="s">
        <v>143</v>
      </c>
      <c r="S280" s="51" t="str">
        <f>VLOOKUP(Table3[[#This Row],[ACTIVITY]],TAGS!$B:$P,4,FALSE)</f>
        <v>Trainings</v>
      </c>
      <c r="T280" s="51" t="str">
        <f>VLOOKUP(Table3[[#This Row],[ACTIVITY]],TAGS!$B:$P,5,FALSE)</f>
        <v>Trainings</v>
      </c>
      <c r="U280" s="51" t="str">
        <f>VLOOKUP(Table3[[#This Row],[ACTIVITY]],TAGS!$B:$P,6,FALSE)</f>
        <v>Training on Operation and Maintenance of Farm Machinery and Equipment</v>
      </c>
      <c r="V280" s="51" t="str">
        <f>VLOOKUP(Table3[[#This Row],[ACTIVITY]],TAGS!$B:$P,7,FALSE)</f>
        <v>NO</v>
      </c>
      <c r="W280" s="51" t="str">
        <f>VLOOKUP(Table3[[#This Row],[ACTIVITY]],TAGS!$B:$P,8,FALSE)</f>
        <v>PAP</v>
      </c>
      <c r="X280" s="51" t="str">
        <f>VLOOKUP(Table3[[#This Row],[ACTIVITY]],TAGS!$B:$P,10,FALSE)</f>
        <v>PIP</v>
      </c>
      <c r="Y280" s="51" t="str">
        <f>VLOOKUP(Table3[[#This Row],[ACTIVITY]],TAGS!$B:$P,11,FALSE)</f>
        <v>PICS</v>
      </c>
      <c r="Z280" s="51" t="str">
        <f>VLOOKUP(Table3[[#This Row],[ACTIVITY]],TAGS!$B:$P,12,FALSE)</f>
        <v>Consolidation</v>
      </c>
      <c r="AA280" s="51" t="str">
        <f>VLOOKUP(Table3[[#This Row],[ACTIVITY]],TAGS!$B:$P,13,FALSE)</f>
        <v>1. Bayanihan Agri Cluster</v>
      </c>
      <c r="AB280" s="51" t="str">
        <f>VLOOKUP(Table3[[#This Row],[ACTIVITY]],TAGS!$B:$P,14,FALSE)</f>
        <v>DEVELOP AND IMPROVE POST-HARVEST SYSTEMS AND INFRASTRUCTURE</v>
      </c>
      <c r="AC280" s="51" t="str">
        <f>VLOOKUP(Table3[[#This Row],[ACTIVITY]],TAGS!$B:$P,15,FALSE)</f>
        <v>Capacity Building</v>
      </c>
      <c r="AD280" s="51" t="str">
        <f>VLOOKUP(Table3[[#This Row],[PI LEVEL 3]],'PI LEVEL'!$A:$G,7,FALSE)</f>
        <v>PREXC/DA-Level Output</v>
      </c>
      <c r="AE280" s="47" t="s">
        <v>577</v>
      </c>
      <c r="AF280" s="51" t="str">
        <f>VLOOKUP(Table3[[#This Row],[ACTIVITY]],TAGS!$B:$P,3,FALSE)</f>
        <v>number</v>
      </c>
      <c r="AG280" s="47" t="s">
        <v>334</v>
      </c>
      <c r="AH280" s="51" t="str">
        <f>VLOOKUP(Table3[[#This Row],[MONTH]],TAGS!$W$67:$Y$81,2,FALSE)</f>
        <v>3RD QTR</v>
      </c>
      <c r="AI280" s="51" t="str">
        <f>VLOOKUP(Table3[[#This Row],[MONTH]],TAGS!$W$67:$Y$81,3,FALSE)</f>
        <v>2ND SEMESTER</v>
      </c>
      <c r="AJ280" s="51">
        <f>VLOOKUP(Table3[[#This Row],[MONTH]],TAGS!$W$67:$Z$81,4,FALSE)</f>
        <v>2025</v>
      </c>
      <c r="AK280" s="47">
        <v>1</v>
      </c>
      <c r="AL280" s="51" t="str">
        <f>VLOOKUP(Table3[[#This Row],[ACTIVITY]],TAGS!$B:$R,16,FALSE)</f>
        <v>NO</v>
      </c>
      <c r="AM280" s="47"/>
      <c r="AN280" s="47">
        <v>100</v>
      </c>
      <c r="AO280" s="57">
        <f>SUM(Table3[[#This Row],[MALE BENEFICIARIES]:[FEMALE BENEFICIARIES]])</f>
        <v>30</v>
      </c>
      <c r="AP280" s="58"/>
      <c r="AQ280" s="58">
        <v>30</v>
      </c>
      <c r="AR280" s="58"/>
      <c r="AS280" s="58"/>
      <c r="AT280" s="59" t="str">
        <f>VLOOKUP(Table3[[#This Row],[ACTIVITY]],TAGS!$B:$R,17,FALSE)</f>
        <v>NO</v>
      </c>
      <c r="AU280" s="59"/>
      <c r="AV280" s="59"/>
      <c r="AW280" s="59"/>
      <c r="AX280" s="59"/>
      <c r="AY280" s="59"/>
      <c r="AZ280" s="59"/>
      <c r="BA280" s="59"/>
      <c r="BB280" s="59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</row>
    <row r="281" spans="1:65">
      <c r="A281" s="51" t="str">
        <f>VLOOKUP(Table3[[#This Row],[OU]],OU!$A$15:$B$34,2,FALSE)</f>
        <v>RFOs</v>
      </c>
      <c r="B281" s="47" t="s">
        <v>5</v>
      </c>
      <c r="C281" s="47" t="s">
        <v>574</v>
      </c>
      <c r="D281" s="47"/>
      <c r="E281" s="47" t="s">
        <v>78</v>
      </c>
      <c r="F281" s="47" t="s">
        <v>77</v>
      </c>
      <c r="G28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8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81" s="52" t="e">
        <f>VLOOKUP(Table3[[#This Row],[PSGC]],DISTRICT!$D:$G,4,FALSE)</f>
        <v>#N/A</v>
      </c>
      <c r="J281" s="47" t="s">
        <v>578</v>
      </c>
      <c r="K281" s="51" t="str">
        <f>VLOOKUP(Table3[[#This Row],[SPECIFIC COMMODITY]],TAGS!$W$48:$X$53,2,FALSE)</f>
        <v>Corn</v>
      </c>
      <c r="L281" s="51" t="str">
        <f>VLOOKUP(Table3[[#This Row],[PREXC SUB-PROGRAM]],Table5[],2,FALSE)</f>
        <v>TECHNICAL AND SUPPORT SERVICES PROGRAM</v>
      </c>
      <c r="M281" s="51" t="str">
        <f>VLOOKUP(Table3[[#This Row],[COMMODITY PREXC SUB-PROGRAM]],TAGS!$U$54:$V$76,2,FALSE)</f>
        <v>ESETS</v>
      </c>
      <c r="N281" s="47" t="s">
        <v>587</v>
      </c>
      <c r="O281" s="54" t="str">
        <f>VLOOKUP(Table3[[#This Row],[PI LEVEL 3]],'PI LEVEL'!A:C,3,FALSE)</f>
        <v>Training conducted</v>
      </c>
      <c r="P281" s="54" t="str">
        <f>VLOOKUP(Table3[[#This Row],[PI LEVEL 3]],Table53729[[Performance Indicator Level 3]:[Performance Indicator Level 1]],2,FALSE)</f>
        <v>Other training conducted</v>
      </c>
      <c r="Q281" s="54" t="str">
        <f>VLOOKUP(Table3[[#This Row],[ACTIVITY]],TAGS!B:P,2,FALSE)</f>
        <v>Other training conducted_Farmers/Fisherfolk/Other External Participants</v>
      </c>
      <c r="R281" s="47" t="s">
        <v>143</v>
      </c>
      <c r="S281" s="51" t="str">
        <f>VLOOKUP(Table3[[#This Row],[ACTIVITY]],TAGS!$B:$P,4,FALSE)</f>
        <v>Trainings</v>
      </c>
      <c r="T281" s="51" t="str">
        <f>VLOOKUP(Table3[[#This Row],[ACTIVITY]],TAGS!$B:$P,5,FALSE)</f>
        <v>Trainings</v>
      </c>
      <c r="U281" s="51" t="str">
        <f>VLOOKUP(Table3[[#This Row],[ACTIVITY]],TAGS!$B:$P,6,FALSE)</f>
        <v>Training on Operation and Maintenance of Farm Machinery and Equipment</v>
      </c>
      <c r="V281" s="51" t="str">
        <f>VLOOKUP(Table3[[#This Row],[ACTIVITY]],TAGS!$B:$P,7,FALSE)</f>
        <v>NO</v>
      </c>
      <c r="W281" s="51" t="str">
        <f>VLOOKUP(Table3[[#This Row],[ACTIVITY]],TAGS!$B:$P,8,FALSE)</f>
        <v>PAP</v>
      </c>
      <c r="X281" s="51" t="str">
        <f>VLOOKUP(Table3[[#This Row],[ACTIVITY]],TAGS!$B:$P,10,FALSE)</f>
        <v>PIP</v>
      </c>
      <c r="Y281" s="51" t="str">
        <f>VLOOKUP(Table3[[#This Row],[ACTIVITY]],TAGS!$B:$P,11,FALSE)</f>
        <v>PICS</v>
      </c>
      <c r="Z281" s="51" t="str">
        <f>VLOOKUP(Table3[[#This Row],[ACTIVITY]],TAGS!$B:$P,12,FALSE)</f>
        <v>Consolidation</v>
      </c>
      <c r="AA281" s="51" t="str">
        <f>VLOOKUP(Table3[[#This Row],[ACTIVITY]],TAGS!$B:$P,13,FALSE)</f>
        <v>1. Bayanihan Agri Cluster</v>
      </c>
      <c r="AB281" s="51" t="str">
        <f>VLOOKUP(Table3[[#This Row],[ACTIVITY]],TAGS!$B:$P,14,FALSE)</f>
        <v>DEVELOP AND IMPROVE POST-HARVEST SYSTEMS AND INFRASTRUCTURE</v>
      </c>
      <c r="AC281" s="51" t="str">
        <f>VLOOKUP(Table3[[#This Row],[ACTIVITY]],TAGS!$B:$P,15,FALSE)</f>
        <v>Capacity Building</v>
      </c>
      <c r="AD281" s="51" t="str">
        <f>VLOOKUP(Table3[[#This Row],[PI LEVEL 3]],'PI LEVEL'!$A:$G,7,FALSE)</f>
        <v>PREXC/DA-Level Output</v>
      </c>
      <c r="AE281" s="47" t="s">
        <v>577</v>
      </c>
      <c r="AF281" s="51" t="str">
        <f>VLOOKUP(Table3[[#This Row],[ACTIVITY]],TAGS!$B:$P,3,FALSE)</f>
        <v>number</v>
      </c>
      <c r="AG281" s="47" t="s">
        <v>335</v>
      </c>
      <c r="AH281" s="51" t="str">
        <f>VLOOKUP(Table3[[#This Row],[MONTH]],TAGS!$W$67:$Y$81,2,FALSE)</f>
        <v>3RD QTR</v>
      </c>
      <c r="AI281" s="51" t="str">
        <f>VLOOKUP(Table3[[#This Row],[MONTH]],TAGS!$W$67:$Y$81,3,FALSE)</f>
        <v>2ND SEMESTER</v>
      </c>
      <c r="AJ281" s="51">
        <f>VLOOKUP(Table3[[#This Row],[MONTH]],TAGS!$W$67:$Z$81,4,FALSE)</f>
        <v>2025</v>
      </c>
      <c r="AK281" s="47">
        <v>1</v>
      </c>
      <c r="AL281" s="51" t="str">
        <f>VLOOKUP(Table3[[#This Row],[ACTIVITY]],TAGS!$B:$R,16,FALSE)</f>
        <v>NO</v>
      </c>
      <c r="AM281" s="47"/>
      <c r="AN281" s="47">
        <v>100</v>
      </c>
      <c r="AO281" s="57">
        <f>SUM(Table3[[#This Row],[MALE BENEFICIARIES]:[FEMALE BENEFICIARIES]])</f>
        <v>30</v>
      </c>
      <c r="AP281" s="58"/>
      <c r="AQ281" s="58">
        <v>30</v>
      </c>
      <c r="AR281" s="58"/>
      <c r="AS281" s="58"/>
      <c r="AT281" s="59" t="str">
        <f>VLOOKUP(Table3[[#This Row],[ACTIVITY]],TAGS!$B:$R,17,FALSE)</f>
        <v>NO</v>
      </c>
      <c r="AU281" s="59"/>
      <c r="AV281" s="59"/>
      <c r="AW281" s="59"/>
      <c r="AX281" s="59"/>
      <c r="AY281" s="59"/>
      <c r="AZ281" s="59"/>
      <c r="BA281" s="59"/>
      <c r="BB281" s="59"/>
      <c r="BC281" s="59"/>
      <c r="BD281" s="59"/>
      <c r="BE281" s="59"/>
      <c r="BF281" s="59"/>
      <c r="BG281" s="59"/>
      <c r="BH281" s="59"/>
      <c r="BI281" s="59"/>
      <c r="BJ281" s="59"/>
      <c r="BK281" s="59"/>
      <c r="BL281" s="59"/>
      <c r="BM281" s="59"/>
    </row>
    <row r="282" spans="1:65">
      <c r="A282" s="51" t="str">
        <f>VLOOKUP(Table3[[#This Row],[OU]],OU!$A$15:$B$34,2,FALSE)</f>
        <v>RFOs</v>
      </c>
      <c r="B282" s="47" t="s">
        <v>5</v>
      </c>
      <c r="C282" s="47" t="s">
        <v>574</v>
      </c>
      <c r="D282" s="47"/>
      <c r="E282" s="47" t="s">
        <v>78</v>
      </c>
      <c r="F282" s="47" t="s">
        <v>77</v>
      </c>
      <c r="G28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8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82" s="52" t="e">
        <f>VLOOKUP(Table3[[#This Row],[PSGC]],DISTRICT!$D:$G,4,FALSE)</f>
        <v>#N/A</v>
      </c>
      <c r="J282" s="47" t="s">
        <v>578</v>
      </c>
      <c r="K282" s="51" t="str">
        <f>VLOOKUP(Table3[[#This Row],[SPECIFIC COMMODITY]],TAGS!$W$48:$X$53,2,FALSE)</f>
        <v>Corn</v>
      </c>
      <c r="L282" s="51" t="str">
        <f>VLOOKUP(Table3[[#This Row],[PREXC SUB-PROGRAM]],Table5[],2,FALSE)</f>
        <v>TECHNICAL AND SUPPORT SERVICES PROGRAM</v>
      </c>
      <c r="M282" s="51" t="str">
        <f>VLOOKUP(Table3[[#This Row],[COMMODITY PREXC SUB-PROGRAM]],TAGS!$U$54:$V$76,2,FALSE)</f>
        <v>ESETS</v>
      </c>
      <c r="N282" s="47" t="s">
        <v>587</v>
      </c>
      <c r="O282" s="54" t="str">
        <f>VLOOKUP(Table3[[#This Row],[PI LEVEL 3]],'PI LEVEL'!A:C,3,FALSE)</f>
        <v>Training conducted</v>
      </c>
      <c r="P282" s="54" t="str">
        <f>VLOOKUP(Table3[[#This Row],[PI LEVEL 3]],Table53729[[Performance Indicator Level 3]:[Performance Indicator Level 1]],2,FALSE)</f>
        <v>Other training conducted</v>
      </c>
      <c r="Q282" s="54" t="str">
        <f>VLOOKUP(Table3[[#This Row],[ACTIVITY]],TAGS!B:P,2,FALSE)</f>
        <v>Other training conducted_Farmers/Fisherfolk/Other External Participants</v>
      </c>
      <c r="R282" s="47" t="s">
        <v>143</v>
      </c>
      <c r="S282" s="51" t="str">
        <f>VLOOKUP(Table3[[#This Row],[ACTIVITY]],TAGS!$B:$P,4,FALSE)</f>
        <v>Trainings</v>
      </c>
      <c r="T282" s="51" t="str">
        <f>VLOOKUP(Table3[[#This Row],[ACTIVITY]],TAGS!$B:$P,5,FALSE)</f>
        <v>Trainings</v>
      </c>
      <c r="U282" s="51" t="str">
        <f>VLOOKUP(Table3[[#This Row],[ACTIVITY]],TAGS!$B:$P,6,FALSE)</f>
        <v>Training on Operation and Maintenance of Farm Machinery and Equipment</v>
      </c>
      <c r="V282" s="51" t="str">
        <f>VLOOKUP(Table3[[#This Row],[ACTIVITY]],TAGS!$B:$P,7,FALSE)</f>
        <v>NO</v>
      </c>
      <c r="W282" s="51" t="str">
        <f>VLOOKUP(Table3[[#This Row],[ACTIVITY]],TAGS!$B:$P,8,FALSE)</f>
        <v>PAP</v>
      </c>
      <c r="X282" s="51" t="str">
        <f>VLOOKUP(Table3[[#This Row],[ACTIVITY]],TAGS!$B:$P,10,FALSE)</f>
        <v>PIP</v>
      </c>
      <c r="Y282" s="51" t="str">
        <f>VLOOKUP(Table3[[#This Row],[ACTIVITY]],TAGS!$B:$P,11,FALSE)</f>
        <v>PICS</v>
      </c>
      <c r="Z282" s="51" t="str">
        <f>VLOOKUP(Table3[[#This Row],[ACTIVITY]],TAGS!$B:$P,12,FALSE)</f>
        <v>Consolidation</v>
      </c>
      <c r="AA282" s="51" t="str">
        <f>VLOOKUP(Table3[[#This Row],[ACTIVITY]],TAGS!$B:$P,13,FALSE)</f>
        <v>1. Bayanihan Agri Cluster</v>
      </c>
      <c r="AB282" s="51" t="str">
        <f>VLOOKUP(Table3[[#This Row],[ACTIVITY]],TAGS!$B:$P,14,FALSE)</f>
        <v>DEVELOP AND IMPROVE POST-HARVEST SYSTEMS AND INFRASTRUCTURE</v>
      </c>
      <c r="AC282" s="51" t="str">
        <f>VLOOKUP(Table3[[#This Row],[ACTIVITY]],TAGS!$B:$P,15,FALSE)</f>
        <v>Capacity Building</v>
      </c>
      <c r="AD282" s="51" t="str">
        <f>VLOOKUP(Table3[[#This Row],[PI LEVEL 3]],'PI LEVEL'!$A:$G,7,FALSE)</f>
        <v>PREXC/DA-Level Output</v>
      </c>
      <c r="AE282" s="47" t="s">
        <v>577</v>
      </c>
      <c r="AF282" s="51" t="str">
        <f>VLOOKUP(Table3[[#This Row],[ACTIVITY]],TAGS!$B:$P,3,FALSE)</f>
        <v>number</v>
      </c>
      <c r="AG282" s="47" t="s">
        <v>336</v>
      </c>
      <c r="AH282" s="51" t="str">
        <f>VLOOKUP(Table3[[#This Row],[MONTH]],TAGS!$W$67:$Y$81,2,FALSE)</f>
        <v>4TH QTR</v>
      </c>
      <c r="AI282" s="51" t="str">
        <f>VLOOKUP(Table3[[#This Row],[MONTH]],TAGS!$W$67:$Y$81,3,FALSE)</f>
        <v>2ND SEMESTER</v>
      </c>
      <c r="AJ282" s="51">
        <f>VLOOKUP(Table3[[#This Row],[MONTH]],TAGS!$W$67:$Z$81,4,FALSE)</f>
        <v>2025</v>
      </c>
      <c r="AK282" s="47">
        <v>1</v>
      </c>
      <c r="AL282" s="51" t="str">
        <f>VLOOKUP(Table3[[#This Row],[ACTIVITY]],TAGS!$B:$R,16,FALSE)</f>
        <v>NO</v>
      </c>
      <c r="AM282" s="47"/>
      <c r="AN282" s="47">
        <v>100</v>
      </c>
      <c r="AO282" s="57">
        <f>SUM(Table3[[#This Row],[MALE BENEFICIARIES]:[FEMALE BENEFICIARIES]])</f>
        <v>30</v>
      </c>
      <c r="AP282" s="58"/>
      <c r="AQ282" s="58">
        <v>30</v>
      </c>
      <c r="AR282" s="58"/>
      <c r="AS282" s="58"/>
      <c r="AT282" s="59" t="str">
        <f>VLOOKUP(Table3[[#This Row],[ACTIVITY]],TAGS!$B:$R,17,FALSE)</f>
        <v>NO</v>
      </c>
      <c r="AU282" s="59"/>
      <c r="AV282" s="59"/>
      <c r="AW282" s="59"/>
      <c r="AX282" s="59"/>
      <c r="AY282" s="59"/>
      <c r="AZ282" s="59"/>
      <c r="BA282" s="59"/>
      <c r="BB282" s="59"/>
      <c r="BC282" s="59"/>
      <c r="BD282" s="59"/>
      <c r="BE282" s="59"/>
      <c r="BF282" s="59"/>
      <c r="BG282" s="59"/>
      <c r="BH282" s="59"/>
      <c r="BI282" s="59"/>
      <c r="BJ282" s="59"/>
      <c r="BK282" s="59"/>
      <c r="BL282" s="59"/>
      <c r="BM282" s="59"/>
    </row>
    <row r="283" spans="1:65">
      <c r="A283" s="51" t="str">
        <f>VLOOKUP(Table3[[#This Row],[OU]],OU!$A$15:$B$34,2,FALSE)</f>
        <v>RFOs</v>
      </c>
      <c r="B283" s="47" t="s">
        <v>5</v>
      </c>
      <c r="C283" s="47" t="s">
        <v>574</v>
      </c>
      <c r="D283" s="47"/>
      <c r="E283" s="47" t="s">
        <v>78</v>
      </c>
      <c r="F283" s="47" t="s">
        <v>77</v>
      </c>
      <c r="G28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8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83" s="52" t="e">
        <f>VLOOKUP(Table3[[#This Row],[PSGC]],DISTRICT!$D:$G,4,FALSE)</f>
        <v>#N/A</v>
      </c>
      <c r="J283" s="47" t="s">
        <v>578</v>
      </c>
      <c r="K283" s="51" t="str">
        <f>VLOOKUP(Table3[[#This Row],[SPECIFIC COMMODITY]],TAGS!$W$48:$X$53,2,FALSE)</f>
        <v>Corn</v>
      </c>
      <c r="L283" s="51" t="str">
        <f>VLOOKUP(Table3[[#This Row],[PREXC SUB-PROGRAM]],Table5[],2,FALSE)</f>
        <v>TECHNICAL AND SUPPORT SERVICES PROGRAM</v>
      </c>
      <c r="M283" s="51" t="str">
        <f>VLOOKUP(Table3[[#This Row],[COMMODITY PREXC SUB-PROGRAM]],TAGS!$U$54:$V$76,2,FALSE)</f>
        <v>ESETS</v>
      </c>
      <c r="N283" s="47" t="s">
        <v>587</v>
      </c>
      <c r="O283" s="54" t="str">
        <f>VLOOKUP(Table3[[#This Row],[PI LEVEL 3]],'PI LEVEL'!A:C,3,FALSE)</f>
        <v>Knowledge Products disseminated</v>
      </c>
      <c r="P283" s="54" t="str">
        <f>VLOOKUP(Table3[[#This Row],[PI LEVEL 3]],Table53729[[Performance Indicator Level 3]:[Performance Indicator Level 1]],2,FALSE)</f>
        <v>Knowledge Products disseminated</v>
      </c>
      <c r="Q283" s="54" t="str">
        <f>VLOOKUP(Table3[[#This Row],[ACTIVITY]],TAGS!B:P,2,FALSE)</f>
        <v>Knowledge Products disseminated</v>
      </c>
      <c r="R283" s="47" t="s">
        <v>145</v>
      </c>
      <c r="S283" s="51" t="str">
        <f>VLOOKUP(Table3[[#This Row],[ACTIVITY]],TAGS!$B:$P,4,FALSE)</f>
        <v>Information, Education, and Communication Activities</v>
      </c>
      <c r="T283" s="51" t="str">
        <f>VLOOKUP(Table3[[#This Row],[ACTIVITY]],TAGS!$B:$P,5,FALSE)</f>
        <v>Information, Education, and Communication Activities</v>
      </c>
      <c r="U283" s="51" t="str">
        <f>VLOOKUP(Table3[[#This Row],[ACTIVITY]],TAGS!$B:$P,6,FALSE)</f>
        <v>IEC materials</v>
      </c>
      <c r="V283" s="51" t="str">
        <f>VLOOKUP(Table3[[#This Row],[ACTIVITY]],TAGS!$B:$P,7,FALSE)</f>
        <v>NO</v>
      </c>
      <c r="W283" s="51" t="str">
        <f>VLOOKUP(Table3[[#This Row],[ACTIVITY]],TAGS!$B:$P,8,FALSE)</f>
        <v>PAP</v>
      </c>
      <c r="X283" s="51" t="str">
        <f>VLOOKUP(Table3[[#This Row],[ACTIVITY]],TAGS!$B:$P,10,FALSE)</f>
        <v>PIP</v>
      </c>
      <c r="Y283" s="51" t="str">
        <f>VLOOKUP(Table3[[#This Row],[ACTIVITY]],TAGS!$B:$P,11,FALSE)</f>
        <v>PICS</v>
      </c>
      <c r="Z283" s="51" t="str">
        <f>VLOOKUP(Table3[[#This Row],[ACTIVITY]],TAGS!$B:$P,12,FALSE)</f>
        <v>Strategic Communication</v>
      </c>
      <c r="AA283" s="51" t="str">
        <f>VLOOKUP(Table3[[#This Row],[ACTIVITY]],TAGS!$B:$P,13,FALSE)</f>
        <v>18. Strategic Communications​</v>
      </c>
      <c r="AB283" s="51">
        <f>VLOOKUP(Table3[[#This Row],[ACTIVITY]],TAGS!$B:$P,14,FALSE)</f>
        <v>0</v>
      </c>
      <c r="AC283" s="51" t="str">
        <f>VLOOKUP(Table3[[#This Row],[ACTIVITY]],TAGS!$B:$P,15,FALSE)</f>
        <v>IEC</v>
      </c>
      <c r="AD283" s="51" t="str">
        <f>VLOOKUP(Table3[[#This Row],[PI LEVEL 3]],'PI LEVEL'!$A:$G,7,FALSE)</f>
        <v>DA-Level Output</v>
      </c>
      <c r="AE283" s="47" t="s">
        <v>577</v>
      </c>
      <c r="AF283" s="51" t="str">
        <f>VLOOKUP(Table3[[#This Row],[ACTIVITY]],TAGS!$B:$P,3,FALSE)</f>
        <v>Print disseminated</v>
      </c>
      <c r="AG283" s="47" t="s">
        <v>330</v>
      </c>
      <c r="AH283" s="51" t="str">
        <f>VLOOKUP(Table3[[#This Row],[MONTH]],TAGS!$W$67:$Y$81,2,FALSE)</f>
        <v>2ND QTR</v>
      </c>
      <c r="AI283" s="51" t="str">
        <f>VLOOKUP(Table3[[#This Row],[MONTH]],TAGS!$W$67:$Y$81,3,FALSE)</f>
        <v>1ST SEMESTER</v>
      </c>
      <c r="AJ283" s="51">
        <f>VLOOKUP(Table3[[#This Row],[MONTH]],TAGS!$W$67:$Z$81,4,FALSE)</f>
        <v>2025</v>
      </c>
      <c r="AK283" s="47">
        <v>1000</v>
      </c>
      <c r="AL283" s="51" t="str">
        <f>VLOOKUP(Table3[[#This Row],[ACTIVITY]],TAGS!$B:$R,16,FALSE)</f>
        <v>NO</v>
      </c>
      <c r="AM283" s="47"/>
      <c r="AN283" s="55">
        <v>33.3333333333333</v>
      </c>
      <c r="AO283" s="57">
        <f>SUM(Table3[[#This Row],[MALE BENEFICIARIES]:[FEMALE BENEFICIARIES]])</f>
        <v>0</v>
      </c>
      <c r="AP283" s="58"/>
      <c r="AQ283" s="58"/>
      <c r="AR283" s="58"/>
      <c r="AS283" s="58"/>
      <c r="AT283" s="59" t="str">
        <f>VLOOKUP(Table3[[#This Row],[ACTIVITY]],TAGS!$B:$R,17,FALSE)</f>
        <v>NO</v>
      </c>
      <c r="AU283" s="59"/>
      <c r="AV283" s="59"/>
      <c r="AW283" s="59"/>
      <c r="AX283" s="59"/>
      <c r="AY283" s="59"/>
      <c r="AZ283" s="59"/>
      <c r="BA283" s="59"/>
      <c r="BB283" s="59"/>
      <c r="BC283" s="59"/>
      <c r="BD283" s="59"/>
      <c r="BE283" s="59"/>
      <c r="BF283" s="59"/>
      <c r="BG283" s="59"/>
      <c r="BH283" s="59"/>
      <c r="BI283" s="59"/>
      <c r="BJ283" s="59"/>
      <c r="BK283" s="59"/>
      <c r="BL283" s="59"/>
      <c r="BM283" s="59"/>
    </row>
    <row r="284" spans="1:65">
      <c r="A284" s="51" t="str">
        <f>VLOOKUP(Table3[[#This Row],[OU]],OU!$A$15:$B$34,2,FALSE)</f>
        <v>RFOs</v>
      </c>
      <c r="B284" s="47" t="s">
        <v>5</v>
      </c>
      <c r="C284" s="47" t="s">
        <v>574</v>
      </c>
      <c r="D284" s="47"/>
      <c r="E284" s="47" t="s">
        <v>78</v>
      </c>
      <c r="F284" s="47" t="s">
        <v>77</v>
      </c>
      <c r="G28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8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84" s="52" t="e">
        <f>VLOOKUP(Table3[[#This Row],[PSGC]],DISTRICT!$D:$G,4,FALSE)</f>
        <v>#N/A</v>
      </c>
      <c r="J284" s="47" t="s">
        <v>578</v>
      </c>
      <c r="K284" s="51" t="str">
        <f>VLOOKUP(Table3[[#This Row],[SPECIFIC COMMODITY]],TAGS!$W$48:$X$53,2,FALSE)</f>
        <v>Corn</v>
      </c>
      <c r="L284" s="51" t="str">
        <f>VLOOKUP(Table3[[#This Row],[PREXC SUB-PROGRAM]],Table5[],2,FALSE)</f>
        <v>TECHNICAL AND SUPPORT SERVICES PROGRAM</v>
      </c>
      <c r="M284" s="51" t="str">
        <f>VLOOKUP(Table3[[#This Row],[COMMODITY PREXC SUB-PROGRAM]],TAGS!$U$54:$V$76,2,FALSE)</f>
        <v>ESETS</v>
      </c>
      <c r="N284" s="47" t="s">
        <v>587</v>
      </c>
      <c r="O284" s="54" t="str">
        <f>VLOOKUP(Table3[[#This Row],[PI LEVEL 3]],'PI LEVEL'!A:C,3,FALSE)</f>
        <v>Knowledge Products disseminated</v>
      </c>
      <c r="P284" s="54" t="str">
        <f>VLOOKUP(Table3[[#This Row],[PI LEVEL 3]],Table53729[[Performance Indicator Level 3]:[Performance Indicator Level 1]],2,FALSE)</f>
        <v>Knowledge Products disseminated</v>
      </c>
      <c r="Q284" s="54" t="str">
        <f>VLOOKUP(Table3[[#This Row],[ACTIVITY]],TAGS!B:P,2,FALSE)</f>
        <v>Knowledge Products disseminated</v>
      </c>
      <c r="R284" s="47" t="s">
        <v>145</v>
      </c>
      <c r="S284" s="51" t="str">
        <f>VLOOKUP(Table3[[#This Row],[ACTIVITY]],TAGS!$B:$P,4,FALSE)</f>
        <v>Information, Education, and Communication Activities</v>
      </c>
      <c r="T284" s="51" t="str">
        <f>VLOOKUP(Table3[[#This Row],[ACTIVITY]],TAGS!$B:$P,5,FALSE)</f>
        <v>Information, Education, and Communication Activities</v>
      </c>
      <c r="U284" s="51" t="str">
        <f>VLOOKUP(Table3[[#This Row],[ACTIVITY]],TAGS!$B:$P,6,FALSE)</f>
        <v>IEC materials</v>
      </c>
      <c r="V284" s="51" t="str">
        <f>VLOOKUP(Table3[[#This Row],[ACTIVITY]],TAGS!$B:$P,7,FALSE)</f>
        <v>NO</v>
      </c>
      <c r="W284" s="51" t="str">
        <f>VLOOKUP(Table3[[#This Row],[ACTIVITY]],TAGS!$B:$P,8,FALSE)</f>
        <v>PAP</v>
      </c>
      <c r="X284" s="51" t="str">
        <f>VLOOKUP(Table3[[#This Row],[ACTIVITY]],TAGS!$B:$P,10,FALSE)</f>
        <v>PIP</v>
      </c>
      <c r="Y284" s="51" t="str">
        <f>VLOOKUP(Table3[[#This Row],[ACTIVITY]],TAGS!$B:$P,11,FALSE)</f>
        <v>PICS</v>
      </c>
      <c r="Z284" s="51" t="str">
        <f>VLOOKUP(Table3[[#This Row],[ACTIVITY]],TAGS!$B:$P,12,FALSE)</f>
        <v>Strategic Communication</v>
      </c>
      <c r="AA284" s="51" t="str">
        <f>VLOOKUP(Table3[[#This Row],[ACTIVITY]],TAGS!$B:$P,13,FALSE)</f>
        <v>18. Strategic Communications​</v>
      </c>
      <c r="AB284" s="51">
        <f>VLOOKUP(Table3[[#This Row],[ACTIVITY]],TAGS!$B:$P,14,FALSE)</f>
        <v>0</v>
      </c>
      <c r="AC284" s="51" t="str">
        <f>VLOOKUP(Table3[[#This Row],[ACTIVITY]],TAGS!$B:$P,15,FALSE)</f>
        <v>IEC</v>
      </c>
      <c r="AD284" s="51" t="str">
        <f>VLOOKUP(Table3[[#This Row],[PI LEVEL 3]],'PI LEVEL'!$A:$G,7,FALSE)</f>
        <v>DA-Level Output</v>
      </c>
      <c r="AE284" s="47" t="s">
        <v>577</v>
      </c>
      <c r="AF284" s="51" t="str">
        <f>VLOOKUP(Table3[[#This Row],[ACTIVITY]],TAGS!$B:$P,3,FALSE)</f>
        <v>Print disseminated</v>
      </c>
      <c r="AG284" s="47" t="s">
        <v>331</v>
      </c>
      <c r="AH284" s="51" t="str">
        <f>VLOOKUP(Table3[[#This Row],[MONTH]],TAGS!$W$67:$Y$81,2,FALSE)</f>
        <v>2ND QTR</v>
      </c>
      <c r="AI284" s="51" t="str">
        <f>VLOOKUP(Table3[[#This Row],[MONTH]],TAGS!$W$67:$Y$81,3,FALSE)</f>
        <v>1ST SEMESTER</v>
      </c>
      <c r="AJ284" s="51">
        <f>VLOOKUP(Table3[[#This Row],[MONTH]],TAGS!$W$67:$Z$81,4,FALSE)</f>
        <v>2025</v>
      </c>
      <c r="AK284" s="47">
        <v>1000</v>
      </c>
      <c r="AL284" s="51" t="str">
        <f>VLOOKUP(Table3[[#This Row],[ACTIVITY]],TAGS!$B:$R,16,FALSE)</f>
        <v>NO</v>
      </c>
      <c r="AM284" s="47"/>
      <c r="AN284" s="55">
        <v>33.3333333333333</v>
      </c>
      <c r="AO284" s="57">
        <f>SUM(Table3[[#This Row],[MALE BENEFICIARIES]:[FEMALE BENEFICIARIES]])</f>
        <v>0</v>
      </c>
      <c r="AP284" s="58"/>
      <c r="AQ284" s="58"/>
      <c r="AR284" s="58"/>
      <c r="AS284" s="58"/>
      <c r="AT284" s="59" t="str">
        <f>VLOOKUP(Table3[[#This Row],[ACTIVITY]],TAGS!$B:$R,17,FALSE)</f>
        <v>NO</v>
      </c>
      <c r="AU284" s="59"/>
      <c r="AV284" s="59"/>
      <c r="AW284" s="59"/>
      <c r="AX284" s="59"/>
      <c r="AY284" s="59"/>
      <c r="AZ284" s="59"/>
      <c r="BA284" s="59"/>
      <c r="BB284" s="59"/>
      <c r="BC284" s="59"/>
      <c r="BD284" s="59"/>
      <c r="BE284" s="59"/>
      <c r="BF284" s="59"/>
      <c r="BG284" s="59"/>
      <c r="BH284" s="59"/>
      <c r="BI284" s="59"/>
      <c r="BJ284" s="59"/>
      <c r="BK284" s="59"/>
      <c r="BL284" s="59"/>
      <c r="BM284" s="59"/>
    </row>
    <row r="285" spans="1:65">
      <c r="A285" s="51" t="str">
        <f>VLOOKUP(Table3[[#This Row],[OU]],OU!$A$15:$B$34,2,FALSE)</f>
        <v>RFOs</v>
      </c>
      <c r="B285" s="47" t="s">
        <v>5</v>
      </c>
      <c r="C285" s="47" t="s">
        <v>574</v>
      </c>
      <c r="D285" s="47"/>
      <c r="E285" s="47" t="s">
        <v>78</v>
      </c>
      <c r="F285" s="47" t="s">
        <v>77</v>
      </c>
      <c r="G28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8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85" s="52" t="e">
        <f>VLOOKUP(Table3[[#This Row],[PSGC]],DISTRICT!$D:$G,4,FALSE)</f>
        <v>#N/A</v>
      </c>
      <c r="J285" s="47" t="s">
        <v>578</v>
      </c>
      <c r="K285" s="51" t="str">
        <f>VLOOKUP(Table3[[#This Row],[SPECIFIC COMMODITY]],TAGS!$W$48:$X$53,2,FALSE)</f>
        <v>Corn</v>
      </c>
      <c r="L285" s="51" t="str">
        <f>VLOOKUP(Table3[[#This Row],[PREXC SUB-PROGRAM]],Table5[],2,FALSE)</f>
        <v>TECHNICAL AND SUPPORT SERVICES PROGRAM</v>
      </c>
      <c r="M285" s="51" t="str">
        <f>VLOOKUP(Table3[[#This Row],[COMMODITY PREXC SUB-PROGRAM]],TAGS!$U$54:$V$76,2,FALSE)</f>
        <v>ESETS</v>
      </c>
      <c r="N285" s="47" t="s">
        <v>587</v>
      </c>
      <c r="O285" s="54" t="str">
        <f>VLOOKUP(Table3[[#This Row],[PI LEVEL 3]],'PI LEVEL'!A:C,3,FALSE)</f>
        <v>Knowledge Products disseminated</v>
      </c>
      <c r="P285" s="54" t="str">
        <f>VLOOKUP(Table3[[#This Row],[PI LEVEL 3]],Table53729[[Performance Indicator Level 3]:[Performance Indicator Level 1]],2,FALSE)</f>
        <v>Knowledge Products disseminated</v>
      </c>
      <c r="Q285" s="54" t="str">
        <f>VLOOKUP(Table3[[#This Row],[ACTIVITY]],TAGS!B:P,2,FALSE)</f>
        <v>Knowledge Products disseminated</v>
      </c>
      <c r="R285" s="47" t="s">
        <v>145</v>
      </c>
      <c r="S285" s="51" t="str">
        <f>VLOOKUP(Table3[[#This Row],[ACTIVITY]],TAGS!$B:$P,4,FALSE)</f>
        <v>Information, Education, and Communication Activities</v>
      </c>
      <c r="T285" s="51" t="str">
        <f>VLOOKUP(Table3[[#This Row],[ACTIVITY]],TAGS!$B:$P,5,FALSE)</f>
        <v>Information, Education, and Communication Activities</v>
      </c>
      <c r="U285" s="51" t="str">
        <f>VLOOKUP(Table3[[#This Row],[ACTIVITY]],TAGS!$B:$P,6,FALSE)</f>
        <v>IEC materials</v>
      </c>
      <c r="V285" s="51" t="str">
        <f>VLOOKUP(Table3[[#This Row],[ACTIVITY]],TAGS!$B:$P,7,FALSE)</f>
        <v>NO</v>
      </c>
      <c r="W285" s="51" t="str">
        <f>VLOOKUP(Table3[[#This Row],[ACTIVITY]],TAGS!$B:$P,8,FALSE)</f>
        <v>PAP</v>
      </c>
      <c r="X285" s="51" t="str">
        <f>VLOOKUP(Table3[[#This Row],[ACTIVITY]],TAGS!$B:$P,10,FALSE)</f>
        <v>PIP</v>
      </c>
      <c r="Y285" s="51" t="str">
        <f>VLOOKUP(Table3[[#This Row],[ACTIVITY]],TAGS!$B:$P,11,FALSE)</f>
        <v>PICS</v>
      </c>
      <c r="Z285" s="51" t="str">
        <f>VLOOKUP(Table3[[#This Row],[ACTIVITY]],TAGS!$B:$P,12,FALSE)</f>
        <v>Strategic Communication</v>
      </c>
      <c r="AA285" s="51" t="str">
        <f>VLOOKUP(Table3[[#This Row],[ACTIVITY]],TAGS!$B:$P,13,FALSE)</f>
        <v>18. Strategic Communications​</v>
      </c>
      <c r="AB285" s="51">
        <f>VLOOKUP(Table3[[#This Row],[ACTIVITY]],TAGS!$B:$P,14,FALSE)</f>
        <v>0</v>
      </c>
      <c r="AC285" s="51" t="str">
        <f>VLOOKUP(Table3[[#This Row],[ACTIVITY]],TAGS!$B:$P,15,FALSE)</f>
        <v>IEC</v>
      </c>
      <c r="AD285" s="51" t="str">
        <f>VLOOKUP(Table3[[#This Row],[PI LEVEL 3]],'PI LEVEL'!$A:$G,7,FALSE)</f>
        <v>DA-Level Output</v>
      </c>
      <c r="AE285" s="47" t="s">
        <v>577</v>
      </c>
      <c r="AF285" s="51" t="str">
        <f>VLOOKUP(Table3[[#This Row],[ACTIVITY]],TAGS!$B:$P,3,FALSE)</f>
        <v>Print disseminated</v>
      </c>
      <c r="AG285" s="47" t="s">
        <v>332</v>
      </c>
      <c r="AH285" s="51" t="str">
        <f>VLOOKUP(Table3[[#This Row],[MONTH]],TAGS!$W$67:$Y$81,2,FALSE)</f>
        <v>2ND QTR</v>
      </c>
      <c r="AI285" s="51" t="str">
        <f>VLOOKUP(Table3[[#This Row],[MONTH]],TAGS!$W$67:$Y$81,3,FALSE)</f>
        <v>1ST SEMESTER</v>
      </c>
      <c r="AJ285" s="51">
        <f>VLOOKUP(Table3[[#This Row],[MONTH]],TAGS!$W$67:$Z$81,4,FALSE)</f>
        <v>2025</v>
      </c>
      <c r="AK285" s="47">
        <v>1000</v>
      </c>
      <c r="AL285" s="51" t="str">
        <f>VLOOKUP(Table3[[#This Row],[ACTIVITY]],TAGS!$B:$R,16,FALSE)</f>
        <v>NO</v>
      </c>
      <c r="AM285" s="47"/>
      <c r="AN285" s="55">
        <v>33.3333333333333</v>
      </c>
      <c r="AO285" s="57">
        <f>SUM(Table3[[#This Row],[MALE BENEFICIARIES]:[FEMALE BENEFICIARIES]])</f>
        <v>0</v>
      </c>
      <c r="AP285" s="58"/>
      <c r="AQ285" s="58"/>
      <c r="AR285" s="58"/>
      <c r="AS285" s="58"/>
      <c r="AT285" s="59" t="str">
        <f>VLOOKUP(Table3[[#This Row],[ACTIVITY]],TAGS!$B:$R,17,FALSE)</f>
        <v>NO</v>
      </c>
      <c r="AU285" s="59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  <c r="BG285" s="59"/>
      <c r="BH285" s="59"/>
      <c r="BI285" s="59"/>
      <c r="BJ285" s="59"/>
      <c r="BK285" s="59"/>
      <c r="BL285" s="59"/>
      <c r="BM285" s="59"/>
    </row>
    <row r="286" spans="1:65">
      <c r="A286" s="51" t="str">
        <f>VLOOKUP(Table3[[#This Row],[OU]],OU!$A$15:$B$34,2,FALSE)</f>
        <v>RFOs</v>
      </c>
      <c r="B286" s="47" t="s">
        <v>5</v>
      </c>
      <c r="C286" s="47" t="s">
        <v>574</v>
      </c>
      <c r="D286" s="47"/>
      <c r="E286" s="47" t="s">
        <v>78</v>
      </c>
      <c r="F286" s="47" t="s">
        <v>77</v>
      </c>
      <c r="G28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8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86" s="52" t="e">
        <f>VLOOKUP(Table3[[#This Row],[PSGC]],DISTRICT!$D:$G,4,FALSE)</f>
        <v>#N/A</v>
      </c>
      <c r="J286" s="47" t="s">
        <v>578</v>
      </c>
      <c r="K286" s="51" t="str">
        <f>VLOOKUP(Table3[[#This Row],[SPECIFIC COMMODITY]],TAGS!$W$48:$X$53,2,FALSE)</f>
        <v>Corn</v>
      </c>
      <c r="L286" s="51" t="str">
        <f>VLOOKUP(Table3[[#This Row],[PREXC SUB-PROGRAM]],Table5[],2,FALSE)</f>
        <v>TECHNICAL AND SUPPORT SERVICES PROGRAM</v>
      </c>
      <c r="M286" s="51" t="str">
        <f>VLOOKUP(Table3[[#This Row],[COMMODITY PREXC SUB-PROGRAM]],TAGS!$U$54:$V$76,2,FALSE)</f>
        <v>ESETS</v>
      </c>
      <c r="N286" s="47" t="s">
        <v>587</v>
      </c>
      <c r="O286" s="54" t="str">
        <f>VLOOKUP(Table3[[#This Row],[PI LEVEL 3]],'PI LEVEL'!A:C,3,FALSE)</f>
        <v>Knowledge Products disseminated</v>
      </c>
      <c r="P286" s="54" t="str">
        <f>VLOOKUP(Table3[[#This Row],[PI LEVEL 3]],Table53729[[Performance Indicator Level 3]:[Performance Indicator Level 1]],2,FALSE)</f>
        <v>Knowledge Products disseminated</v>
      </c>
      <c r="Q286" s="54" t="str">
        <f>VLOOKUP(Table3[[#This Row],[ACTIVITY]],TAGS!B:P,2,FALSE)</f>
        <v>Knowledge Products disseminated</v>
      </c>
      <c r="R286" s="47" t="s">
        <v>145</v>
      </c>
      <c r="S286" s="51" t="str">
        <f>VLOOKUP(Table3[[#This Row],[ACTIVITY]],TAGS!$B:$P,4,FALSE)</f>
        <v>Information, Education, and Communication Activities</v>
      </c>
      <c r="T286" s="51" t="str">
        <f>VLOOKUP(Table3[[#This Row],[ACTIVITY]],TAGS!$B:$P,5,FALSE)</f>
        <v>Information, Education, and Communication Activities</v>
      </c>
      <c r="U286" s="51" t="str">
        <f>VLOOKUP(Table3[[#This Row],[ACTIVITY]],TAGS!$B:$P,6,FALSE)</f>
        <v>IEC materials</v>
      </c>
      <c r="V286" s="51" t="str">
        <f>VLOOKUP(Table3[[#This Row],[ACTIVITY]],TAGS!$B:$P,7,FALSE)</f>
        <v>NO</v>
      </c>
      <c r="W286" s="51" t="str">
        <f>VLOOKUP(Table3[[#This Row],[ACTIVITY]],TAGS!$B:$P,8,FALSE)</f>
        <v>PAP</v>
      </c>
      <c r="X286" s="51" t="str">
        <f>VLOOKUP(Table3[[#This Row],[ACTIVITY]],TAGS!$B:$P,10,FALSE)</f>
        <v>PIP</v>
      </c>
      <c r="Y286" s="51" t="str">
        <f>VLOOKUP(Table3[[#This Row],[ACTIVITY]],TAGS!$B:$P,11,FALSE)</f>
        <v>PICS</v>
      </c>
      <c r="Z286" s="51" t="str">
        <f>VLOOKUP(Table3[[#This Row],[ACTIVITY]],TAGS!$B:$P,12,FALSE)</f>
        <v>Strategic Communication</v>
      </c>
      <c r="AA286" s="51" t="str">
        <f>VLOOKUP(Table3[[#This Row],[ACTIVITY]],TAGS!$B:$P,13,FALSE)</f>
        <v>18. Strategic Communications​</v>
      </c>
      <c r="AB286" s="51">
        <f>VLOOKUP(Table3[[#This Row],[ACTIVITY]],TAGS!$B:$P,14,FALSE)</f>
        <v>0</v>
      </c>
      <c r="AC286" s="51" t="str">
        <f>VLOOKUP(Table3[[#This Row],[ACTIVITY]],TAGS!$B:$P,15,FALSE)</f>
        <v>IEC</v>
      </c>
      <c r="AD286" s="51" t="str">
        <f>VLOOKUP(Table3[[#This Row],[PI LEVEL 3]],'PI LEVEL'!$A:$G,7,FALSE)</f>
        <v>DA-Level Output</v>
      </c>
      <c r="AE286" s="47" t="s">
        <v>577</v>
      </c>
      <c r="AF286" s="51" t="str">
        <f>VLOOKUP(Table3[[#This Row],[ACTIVITY]],TAGS!$B:$P,3,FALSE)</f>
        <v>Print disseminated</v>
      </c>
      <c r="AG286" s="47" t="s">
        <v>333</v>
      </c>
      <c r="AH286" s="51" t="str">
        <f>VLOOKUP(Table3[[#This Row],[MONTH]],TAGS!$W$67:$Y$81,2,FALSE)</f>
        <v>3RD QTR</v>
      </c>
      <c r="AI286" s="51" t="str">
        <f>VLOOKUP(Table3[[#This Row],[MONTH]],TAGS!$W$67:$Y$81,3,FALSE)</f>
        <v>2ND SEMESTER</v>
      </c>
      <c r="AJ286" s="51">
        <f>VLOOKUP(Table3[[#This Row],[MONTH]],TAGS!$W$67:$Z$81,4,FALSE)</f>
        <v>2025</v>
      </c>
      <c r="AK286" s="47">
        <v>1000</v>
      </c>
      <c r="AL286" s="51" t="str">
        <f>VLOOKUP(Table3[[#This Row],[ACTIVITY]],TAGS!$B:$R,16,FALSE)</f>
        <v>NO</v>
      </c>
      <c r="AM286" s="47"/>
      <c r="AN286" s="55">
        <v>33.3333333333333</v>
      </c>
      <c r="AO286" s="57">
        <f>SUM(Table3[[#This Row],[MALE BENEFICIARIES]:[FEMALE BENEFICIARIES]])</f>
        <v>0</v>
      </c>
      <c r="AP286" s="58"/>
      <c r="AQ286" s="58"/>
      <c r="AR286" s="58"/>
      <c r="AS286" s="58"/>
      <c r="AT286" s="59" t="str">
        <f>VLOOKUP(Table3[[#This Row],[ACTIVITY]],TAGS!$B:$R,17,FALSE)</f>
        <v>NO</v>
      </c>
      <c r="AU286" s="59"/>
      <c r="AV286" s="59"/>
      <c r="AW286" s="59"/>
      <c r="AX286" s="59"/>
      <c r="AY286" s="59"/>
      <c r="AZ286" s="59"/>
      <c r="BA286" s="59"/>
      <c r="BB286" s="59"/>
      <c r="BC286" s="59"/>
      <c r="BD286" s="59"/>
      <c r="BE286" s="59"/>
      <c r="BF286" s="59"/>
      <c r="BG286" s="59"/>
      <c r="BH286" s="59"/>
      <c r="BI286" s="59"/>
      <c r="BJ286" s="59"/>
      <c r="BK286" s="59"/>
      <c r="BL286" s="59"/>
      <c r="BM286" s="59"/>
    </row>
    <row r="287" spans="1:65">
      <c r="A287" s="51" t="str">
        <f>VLOOKUP(Table3[[#This Row],[OU]],OU!$A$15:$B$34,2,FALSE)</f>
        <v>RFOs</v>
      </c>
      <c r="B287" s="47" t="s">
        <v>5</v>
      </c>
      <c r="C287" s="47" t="s">
        <v>574</v>
      </c>
      <c r="D287" s="47"/>
      <c r="E287" s="47" t="s">
        <v>78</v>
      </c>
      <c r="F287" s="47" t="s">
        <v>77</v>
      </c>
      <c r="G28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8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87" s="52" t="e">
        <f>VLOOKUP(Table3[[#This Row],[PSGC]],DISTRICT!$D:$G,4,FALSE)</f>
        <v>#N/A</v>
      </c>
      <c r="J287" s="47" t="s">
        <v>578</v>
      </c>
      <c r="K287" s="51" t="str">
        <f>VLOOKUP(Table3[[#This Row],[SPECIFIC COMMODITY]],TAGS!$W$48:$X$53,2,FALSE)</f>
        <v>Corn</v>
      </c>
      <c r="L287" s="51" t="str">
        <f>VLOOKUP(Table3[[#This Row],[PREXC SUB-PROGRAM]],Table5[],2,FALSE)</f>
        <v>TECHNICAL AND SUPPORT SERVICES PROGRAM</v>
      </c>
      <c r="M287" s="51" t="str">
        <f>VLOOKUP(Table3[[#This Row],[COMMODITY PREXC SUB-PROGRAM]],TAGS!$U$54:$V$76,2,FALSE)</f>
        <v>ESETS</v>
      </c>
      <c r="N287" s="47" t="s">
        <v>587</v>
      </c>
      <c r="O287" s="54" t="str">
        <f>VLOOKUP(Table3[[#This Row],[PI LEVEL 3]],'PI LEVEL'!A:C,3,FALSE)</f>
        <v>Knowledge Products disseminated</v>
      </c>
      <c r="P287" s="54" t="str">
        <f>VLOOKUP(Table3[[#This Row],[PI LEVEL 3]],Table53729[[Performance Indicator Level 3]:[Performance Indicator Level 1]],2,FALSE)</f>
        <v>Knowledge Products disseminated</v>
      </c>
      <c r="Q287" s="54" t="str">
        <f>VLOOKUP(Table3[[#This Row],[ACTIVITY]],TAGS!B:P,2,FALSE)</f>
        <v>Knowledge Products disseminated</v>
      </c>
      <c r="R287" s="47" t="s">
        <v>145</v>
      </c>
      <c r="S287" s="51" t="str">
        <f>VLOOKUP(Table3[[#This Row],[ACTIVITY]],TAGS!$B:$P,4,FALSE)</f>
        <v>Information, Education, and Communication Activities</v>
      </c>
      <c r="T287" s="51" t="str">
        <f>VLOOKUP(Table3[[#This Row],[ACTIVITY]],TAGS!$B:$P,5,FALSE)</f>
        <v>Information, Education, and Communication Activities</v>
      </c>
      <c r="U287" s="51" t="str">
        <f>VLOOKUP(Table3[[#This Row],[ACTIVITY]],TAGS!$B:$P,6,FALSE)</f>
        <v>IEC materials</v>
      </c>
      <c r="V287" s="51" t="str">
        <f>VLOOKUP(Table3[[#This Row],[ACTIVITY]],TAGS!$B:$P,7,FALSE)</f>
        <v>NO</v>
      </c>
      <c r="W287" s="51" t="str">
        <f>VLOOKUP(Table3[[#This Row],[ACTIVITY]],TAGS!$B:$P,8,FALSE)</f>
        <v>PAP</v>
      </c>
      <c r="X287" s="51" t="str">
        <f>VLOOKUP(Table3[[#This Row],[ACTIVITY]],TAGS!$B:$P,10,FALSE)</f>
        <v>PIP</v>
      </c>
      <c r="Y287" s="51" t="str">
        <f>VLOOKUP(Table3[[#This Row],[ACTIVITY]],TAGS!$B:$P,11,FALSE)</f>
        <v>PICS</v>
      </c>
      <c r="Z287" s="51" t="str">
        <f>VLOOKUP(Table3[[#This Row],[ACTIVITY]],TAGS!$B:$P,12,FALSE)</f>
        <v>Strategic Communication</v>
      </c>
      <c r="AA287" s="51" t="str">
        <f>VLOOKUP(Table3[[#This Row],[ACTIVITY]],TAGS!$B:$P,13,FALSE)</f>
        <v>18. Strategic Communications​</v>
      </c>
      <c r="AB287" s="51">
        <f>VLOOKUP(Table3[[#This Row],[ACTIVITY]],TAGS!$B:$P,14,FALSE)</f>
        <v>0</v>
      </c>
      <c r="AC287" s="51" t="str">
        <f>VLOOKUP(Table3[[#This Row],[ACTIVITY]],TAGS!$B:$P,15,FALSE)</f>
        <v>IEC</v>
      </c>
      <c r="AD287" s="51" t="str">
        <f>VLOOKUP(Table3[[#This Row],[PI LEVEL 3]],'PI LEVEL'!$A:$G,7,FALSE)</f>
        <v>DA-Level Output</v>
      </c>
      <c r="AE287" s="47" t="s">
        <v>577</v>
      </c>
      <c r="AF287" s="51" t="str">
        <f>VLOOKUP(Table3[[#This Row],[ACTIVITY]],TAGS!$B:$P,3,FALSE)</f>
        <v>Print disseminated</v>
      </c>
      <c r="AG287" s="47" t="s">
        <v>334</v>
      </c>
      <c r="AH287" s="51" t="str">
        <f>VLOOKUP(Table3[[#This Row],[MONTH]],TAGS!$W$67:$Y$81,2,FALSE)</f>
        <v>3RD QTR</v>
      </c>
      <c r="AI287" s="51" t="str">
        <f>VLOOKUP(Table3[[#This Row],[MONTH]],TAGS!$W$67:$Y$81,3,FALSE)</f>
        <v>2ND SEMESTER</v>
      </c>
      <c r="AJ287" s="51">
        <f>VLOOKUP(Table3[[#This Row],[MONTH]],TAGS!$W$67:$Z$81,4,FALSE)</f>
        <v>2025</v>
      </c>
      <c r="AK287" s="47">
        <v>1000</v>
      </c>
      <c r="AL287" s="51" t="str">
        <f>VLOOKUP(Table3[[#This Row],[ACTIVITY]],TAGS!$B:$R,16,FALSE)</f>
        <v>NO</v>
      </c>
      <c r="AM287" s="47"/>
      <c r="AN287" s="55">
        <v>33.3333333333333</v>
      </c>
      <c r="AO287" s="57">
        <f>SUM(Table3[[#This Row],[MALE BENEFICIARIES]:[FEMALE BENEFICIARIES]])</f>
        <v>0</v>
      </c>
      <c r="AP287" s="58"/>
      <c r="AQ287" s="58"/>
      <c r="AR287" s="58"/>
      <c r="AS287" s="58"/>
      <c r="AT287" s="59" t="str">
        <f>VLOOKUP(Table3[[#This Row],[ACTIVITY]],TAGS!$B:$R,17,FALSE)</f>
        <v>NO</v>
      </c>
      <c r="AU287" s="59"/>
      <c r="AV287" s="59"/>
      <c r="AW287" s="59"/>
      <c r="AX287" s="59"/>
      <c r="AY287" s="59"/>
      <c r="AZ287" s="59"/>
      <c r="BA287" s="59"/>
      <c r="BB287" s="59"/>
      <c r="BC287" s="59"/>
      <c r="BD287" s="59"/>
      <c r="BE287" s="59"/>
      <c r="BF287" s="59"/>
      <c r="BG287" s="59"/>
      <c r="BH287" s="59"/>
      <c r="BI287" s="59"/>
      <c r="BJ287" s="59"/>
      <c r="BK287" s="59"/>
      <c r="BL287" s="59"/>
      <c r="BM287" s="59"/>
    </row>
    <row r="288" spans="1:65">
      <c r="A288" s="51" t="str">
        <f>VLOOKUP(Table3[[#This Row],[OU]],OU!$A$15:$B$34,2,FALSE)</f>
        <v>RFOs</v>
      </c>
      <c r="B288" s="47" t="s">
        <v>5</v>
      </c>
      <c r="C288" s="47" t="s">
        <v>574</v>
      </c>
      <c r="D288" s="47"/>
      <c r="E288" s="47" t="s">
        <v>78</v>
      </c>
      <c r="F288" s="47" t="s">
        <v>77</v>
      </c>
      <c r="G28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8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88" s="52" t="e">
        <f>VLOOKUP(Table3[[#This Row],[PSGC]],DISTRICT!$D:$G,4,FALSE)</f>
        <v>#N/A</v>
      </c>
      <c r="J288" s="47" t="s">
        <v>578</v>
      </c>
      <c r="K288" s="51" t="str">
        <f>VLOOKUP(Table3[[#This Row],[SPECIFIC COMMODITY]],TAGS!$W$48:$X$53,2,FALSE)</f>
        <v>Corn</v>
      </c>
      <c r="L288" s="51" t="str">
        <f>VLOOKUP(Table3[[#This Row],[PREXC SUB-PROGRAM]],Table5[],2,FALSE)</f>
        <v>TECHNICAL AND SUPPORT SERVICES PROGRAM</v>
      </c>
      <c r="M288" s="51" t="str">
        <f>VLOOKUP(Table3[[#This Row],[COMMODITY PREXC SUB-PROGRAM]],TAGS!$U$54:$V$76,2,FALSE)</f>
        <v>ESETS</v>
      </c>
      <c r="N288" s="47" t="s">
        <v>587</v>
      </c>
      <c r="O288" s="54" t="str">
        <f>VLOOKUP(Table3[[#This Row],[PI LEVEL 3]],'PI LEVEL'!A:C,3,FALSE)</f>
        <v>Knowledge Products disseminated</v>
      </c>
      <c r="P288" s="54" t="str">
        <f>VLOOKUP(Table3[[#This Row],[PI LEVEL 3]],Table53729[[Performance Indicator Level 3]:[Performance Indicator Level 1]],2,FALSE)</f>
        <v>Knowledge Products disseminated</v>
      </c>
      <c r="Q288" s="54" t="str">
        <f>VLOOKUP(Table3[[#This Row],[ACTIVITY]],TAGS!B:P,2,FALSE)</f>
        <v>Knowledge Products disseminated</v>
      </c>
      <c r="R288" s="47" t="s">
        <v>145</v>
      </c>
      <c r="S288" s="51" t="str">
        <f>VLOOKUP(Table3[[#This Row],[ACTIVITY]],TAGS!$B:$P,4,FALSE)</f>
        <v>Information, Education, and Communication Activities</v>
      </c>
      <c r="T288" s="51" t="str">
        <f>VLOOKUP(Table3[[#This Row],[ACTIVITY]],TAGS!$B:$P,5,FALSE)</f>
        <v>Information, Education, and Communication Activities</v>
      </c>
      <c r="U288" s="51" t="str">
        <f>VLOOKUP(Table3[[#This Row],[ACTIVITY]],TAGS!$B:$P,6,FALSE)</f>
        <v>IEC materials</v>
      </c>
      <c r="V288" s="51" t="str">
        <f>VLOOKUP(Table3[[#This Row],[ACTIVITY]],TAGS!$B:$P,7,FALSE)</f>
        <v>NO</v>
      </c>
      <c r="W288" s="51" t="str">
        <f>VLOOKUP(Table3[[#This Row],[ACTIVITY]],TAGS!$B:$P,8,FALSE)</f>
        <v>PAP</v>
      </c>
      <c r="X288" s="51" t="str">
        <f>VLOOKUP(Table3[[#This Row],[ACTIVITY]],TAGS!$B:$P,10,FALSE)</f>
        <v>PIP</v>
      </c>
      <c r="Y288" s="51" t="str">
        <f>VLOOKUP(Table3[[#This Row],[ACTIVITY]],TAGS!$B:$P,11,FALSE)</f>
        <v>PICS</v>
      </c>
      <c r="Z288" s="51" t="str">
        <f>VLOOKUP(Table3[[#This Row],[ACTIVITY]],TAGS!$B:$P,12,FALSE)</f>
        <v>Strategic Communication</v>
      </c>
      <c r="AA288" s="51" t="str">
        <f>VLOOKUP(Table3[[#This Row],[ACTIVITY]],TAGS!$B:$P,13,FALSE)</f>
        <v>18. Strategic Communications​</v>
      </c>
      <c r="AB288" s="51">
        <f>VLOOKUP(Table3[[#This Row],[ACTIVITY]],TAGS!$B:$P,14,FALSE)</f>
        <v>0</v>
      </c>
      <c r="AC288" s="51" t="str">
        <f>VLOOKUP(Table3[[#This Row],[ACTIVITY]],TAGS!$B:$P,15,FALSE)</f>
        <v>IEC</v>
      </c>
      <c r="AD288" s="51" t="str">
        <f>VLOOKUP(Table3[[#This Row],[PI LEVEL 3]],'PI LEVEL'!$A:$G,7,FALSE)</f>
        <v>DA-Level Output</v>
      </c>
      <c r="AE288" s="47" t="s">
        <v>577</v>
      </c>
      <c r="AF288" s="51" t="str">
        <f>VLOOKUP(Table3[[#This Row],[ACTIVITY]],TAGS!$B:$P,3,FALSE)</f>
        <v>Print disseminated</v>
      </c>
      <c r="AG288" s="47" t="s">
        <v>335</v>
      </c>
      <c r="AH288" s="51" t="str">
        <f>VLOOKUP(Table3[[#This Row],[MONTH]],TAGS!$W$67:$Y$81,2,FALSE)</f>
        <v>3RD QTR</v>
      </c>
      <c r="AI288" s="51" t="str">
        <f>VLOOKUP(Table3[[#This Row],[MONTH]],TAGS!$W$67:$Y$81,3,FALSE)</f>
        <v>2ND SEMESTER</v>
      </c>
      <c r="AJ288" s="51">
        <f>VLOOKUP(Table3[[#This Row],[MONTH]],TAGS!$W$67:$Z$81,4,FALSE)</f>
        <v>2025</v>
      </c>
      <c r="AK288" s="47">
        <v>1000</v>
      </c>
      <c r="AL288" s="51" t="str">
        <f>VLOOKUP(Table3[[#This Row],[ACTIVITY]],TAGS!$B:$R,16,FALSE)</f>
        <v>NO</v>
      </c>
      <c r="AM288" s="47"/>
      <c r="AN288" s="55">
        <v>33.3333333333333</v>
      </c>
      <c r="AO288" s="57">
        <f>SUM(Table3[[#This Row],[MALE BENEFICIARIES]:[FEMALE BENEFICIARIES]])</f>
        <v>0</v>
      </c>
      <c r="AP288" s="58"/>
      <c r="AQ288" s="58"/>
      <c r="AR288" s="58"/>
      <c r="AS288" s="58"/>
      <c r="AT288" s="59" t="str">
        <f>VLOOKUP(Table3[[#This Row],[ACTIVITY]],TAGS!$B:$R,17,FALSE)</f>
        <v>NO</v>
      </c>
      <c r="AU288" s="59"/>
      <c r="AV288" s="59"/>
      <c r="AW288" s="59"/>
      <c r="AX288" s="59"/>
      <c r="AY288" s="59"/>
      <c r="AZ288" s="59"/>
      <c r="BA288" s="59"/>
      <c r="BB288" s="59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</row>
    <row r="289" spans="1:65">
      <c r="A289" s="51" t="str">
        <f>VLOOKUP(Table3[[#This Row],[OU]],OU!$A$15:$B$34,2,FALSE)</f>
        <v>RFOs</v>
      </c>
      <c r="B289" s="47" t="s">
        <v>5</v>
      </c>
      <c r="C289" s="47" t="s">
        <v>574</v>
      </c>
      <c r="D289" s="47"/>
      <c r="E289" s="47" t="s">
        <v>22</v>
      </c>
      <c r="F289" s="47" t="s">
        <v>645</v>
      </c>
      <c r="G28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28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21508000</v>
      </c>
      <c r="I289" s="52" t="str">
        <f>VLOOKUP(Table3[[#This Row],[PSGC]],DISTRICT!$D:$G,4,FALSE)</f>
        <v>3rd</v>
      </c>
      <c r="J289" s="47" t="s">
        <v>579</v>
      </c>
      <c r="K289" s="51" t="str">
        <f>VLOOKUP(Table3[[#This Row],[SPECIFIC COMMODITY]],TAGS!$W$48:$X$53,2,FALSE)</f>
        <v>Cassava</v>
      </c>
      <c r="L289" s="51" t="str">
        <f>VLOOKUP(Table3[[#This Row],[PREXC SUB-PROGRAM]],Table5[],2,FALSE)</f>
        <v>TECHNICAL AND SUPPORT SERVICES PROGRAM</v>
      </c>
      <c r="M289" s="51" t="str">
        <f>VLOOKUP(Table3[[#This Row],[COMMODITY PREXC SUB-PROGRAM]],TAGS!$U$54:$V$76,2,FALSE)</f>
        <v>ESETS</v>
      </c>
      <c r="N289" s="47" t="s">
        <v>589</v>
      </c>
      <c r="O289" s="54" t="str">
        <f>VLOOKUP(Table3[[#This Row],[PI LEVEL 3]],'PI LEVEL'!A:C,3,FALSE)</f>
        <v>Technology demonstrations established/maintained</v>
      </c>
      <c r="P289" s="54" t="str">
        <f>VLOOKUP(Table3[[#This Row],[PI LEVEL 3]],Table53729[[Performance Indicator Level 3]:[Performance Indicator Level 1]],2,FALSE)</f>
        <v>Model Farms established</v>
      </c>
      <c r="Q289" s="54" t="str">
        <f>VLOOKUP(Table3[[#This Row],[ACTIVITY]],TAGS!B:P,2,FALSE)</f>
        <v>Model Farms established</v>
      </c>
      <c r="R289" s="47" t="s">
        <v>107</v>
      </c>
      <c r="S289" s="51" t="str">
        <f>VLOOKUP(Table3[[#This Row],[ACTIVITY]],TAGS!$B:$P,4,FALSE)</f>
        <v>Model Farm establishment</v>
      </c>
      <c r="T289" s="51" t="str">
        <f>VLOOKUP(Table3[[#This Row],[ACTIVITY]],TAGS!$B:$P,5,FALSE)</f>
        <v>Model farm</v>
      </c>
      <c r="U289" s="51" t="str">
        <f>VLOOKUP(Table3[[#This Row],[ACTIVITY]],TAGS!$B:$P,6,FALSE)</f>
        <v>Cassava model farm</v>
      </c>
      <c r="V289" s="51" t="str">
        <f>VLOOKUP(Table3[[#This Row],[ACTIVITY]],TAGS!$B:$P,7,FALSE)</f>
        <v>YES</v>
      </c>
      <c r="W289" s="51" t="str">
        <f>VLOOKUP(Table3[[#This Row],[ACTIVITY]],TAGS!$B:$P,8,FALSE)</f>
        <v>PAP</v>
      </c>
      <c r="X289" s="51" t="str">
        <f>VLOOKUP(Table3[[#This Row],[ACTIVITY]],TAGS!$B:$P,10,FALSE)</f>
        <v>PIP</v>
      </c>
      <c r="Y289" s="51" t="str">
        <f>VLOOKUP(Table3[[#This Row],[ACTIVITY]],TAGS!$B:$P,11,FALSE)</f>
        <v>PICS</v>
      </c>
      <c r="Z289" s="51" t="str">
        <f>VLOOKUP(Table3[[#This Row],[ACTIVITY]],TAGS!$B:$P,12,FALSE)</f>
        <v>Consolidation</v>
      </c>
      <c r="AA289" s="51" t="str">
        <f>VLOOKUP(Table3[[#This Row],[ACTIVITY]],TAGS!$B:$P,13,FALSE)</f>
        <v>1. Bayanihan Agri Cluster</v>
      </c>
      <c r="AB289" s="51" t="str">
        <f>VLOOKUP(Table3[[#This Row],[ACTIVITY]],TAGS!$B:$P,14,FALSE)</f>
        <v>EXPAND AND IMPROVE AVAILABLE AGRI-FISHERY AREAS FOR INCREASED PRODUCTION</v>
      </c>
      <c r="AC289" s="51" t="str">
        <f>VLOOKUP(Table3[[#This Row],[ACTIVITY]],TAGS!$B:$P,15,FALSE)</f>
        <v>Farm Inputs</v>
      </c>
      <c r="AD289" s="51" t="str">
        <f>VLOOKUP(Table3[[#This Row],[PI LEVEL 3]],'PI LEVEL'!$A:$G,7,FALSE)</f>
        <v>DA-Level Output</v>
      </c>
      <c r="AE289" s="47" t="s">
        <v>577</v>
      </c>
      <c r="AF289" s="51" t="str">
        <f>VLOOKUP(Table3[[#This Row],[ACTIVITY]],TAGS!$B:$P,3,FALSE)</f>
        <v>number</v>
      </c>
      <c r="AG289" s="47" t="s">
        <v>333</v>
      </c>
      <c r="AH289" s="51" t="str">
        <f>VLOOKUP(Table3[[#This Row],[MONTH]],TAGS!$W$67:$Y$81,2,FALSE)</f>
        <v>3RD QTR</v>
      </c>
      <c r="AI289" s="51" t="str">
        <f>VLOOKUP(Table3[[#This Row],[MONTH]],TAGS!$W$67:$Y$81,3,FALSE)</f>
        <v>2ND SEMESTER</v>
      </c>
      <c r="AJ289" s="51">
        <f>VLOOKUP(Table3[[#This Row],[MONTH]],TAGS!$W$67:$Z$81,4,FALSE)</f>
        <v>2025</v>
      </c>
      <c r="AK289" s="47">
        <v>1</v>
      </c>
      <c r="AL289" s="51" t="str">
        <f>VLOOKUP(Table3[[#This Row],[ACTIVITY]],TAGS!$B:$R,16,FALSE)</f>
        <v>YES</v>
      </c>
      <c r="AM289" s="47">
        <v>20</v>
      </c>
      <c r="AN289" s="47">
        <v>650</v>
      </c>
      <c r="AO289" s="57">
        <f>SUM(Table3[[#This Row],[MALE BENEFICIARIES]:[FEMALE BENEFICIARIES]])</f>
        <v>0</v>
      </c>
      <c r="AP289" s="58"/>
      <c r="AQ289" s="58"/>
      <c r="AR289" s="58"/>
      <c r="AS289" s="58"/>
      <c r="AT289" s="59" t="str">
        <f>VLOOKUP(Table3[[#This Row],[ACTIVITY]],TAGS!$B:$R,17,FALSE)</f>
        <v>NO</v>
      </c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</row>
    <row r="290" spans="1:65">
      <c r="A290" s="51" t="str">
        <f>VLOOKUP(Table3[[#This Row],[OU]],OU!$A$15:$B$34,2,FALSE)</f>
        <v>RFOs</v>
      </c>
      <c r="B290" s="47" t="s">
        <v>5</v>
      </c>
      <c r="C290" s="47" t="s">
        <v>574</v>
      </c>
      <c r="D290" s="47"/>
      <c r="E290" s="47" t="s">
        <v>78</v>
      </c>
      <c r="F290" s="47" t="s">
        <v>77</v>
      </c>
      <c r="G29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9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90" s="52" t="e">
        <f>VLOOKUP(Table3[[#This Row],[PSGC]],DISTRICT!$D:$G,4,FALSE)</f>
        <v>#N/A</v>
      </c>
      <c r="J290" s="47" t="s">
        <v>579</v>
      </c>
      <c r="K290" s="51" t="str">
        <f>VLOOKUP(Table3[[#This Row],[SPECIFIC COMMODITY]],TAGS!$W$48:$X$53,2,FALSE)</f>
        <v>Cassava</v>
      </c>
      <c r="L290" s="51" t="str">
        <f>VLOOKUP(Table3[[#This Row],[PREXC SUB-PROGRAM]],Table5[],2,FALSE)</f>
        <v>TECHNICAL AND SUPPORT SERVICES PROGRAM</v>
      </c>
      <c r="M290" s="51" t="str">
        <f>VLOOKUP(Table3[[#This Row],[COMMODITY PREXC SUB-PROGRAM]],TAGS!$U$54:$V$76,2,FALSE)</f>
        <v>ESETS</v>
      </c>
      <c r="N290" s="47" t="s">
        <v>589</v>
      </c>
      <c r="O290" s="54" t="str">
        <f>VLOOKUP(Table3[[#This Row],[PI LEVEL 3]],'PI LEVEL'!A:C,3,FALSE)</f>
        <v>Training conducted</v>
      </c>
      <c r="P290" s="54" t="str">
        <f>VLOOKUP(Table3[[#This Row],[PI LEVEL 3]],Table53729[[Performance Indicator Level 3]:[Performance Indicator Level 1]],2,FALSE)</f>
        <v>Other training conducted</v>
      </c>
      <c r="Q290" s="54" t="str">
        <f>VLOOKUP(Table3[[#This Row],[ACTIVITY]],TAGS!B:P,2,FALSE)</f>
        <v>Other training conducted_Farmers/Fisherfolk/Other External Participants</v>
      </c>
      <c r="R290" s="47" t="s">
        <v>147</v>
      </c>
      <c r="S290" s="51" t="str">
        <f>VLOOKUP(Table3[[#This Row],[ACTIVITY]],TAGS!$B:$P,4,FALSE)</f>
        <v>Trainings</v>
      </c>
      <c r="T290" s="51" t="str">
        <f>VLOOKUP(Table3[[#This Row],[ACTIVITY]],TAGS!$B:$P,5,FALSE)</f>
        <v>Trainings</v>
      </c>
      <c r="U290" s="51" t="str">
        <f>VLOOKUP(Table3[[#This Row],[ACTIVITY]],TAGS!$B:$P,6,FALSE)</f>
        <v>Cassava Livelihood training</v>
      </c>
      <c r="V290" s="51" t="str">
        <f>VLOOKUP(Table3[[#This Row],[ACTIVITY]],TAGS!$B:$P,7,FALSE)</f>
        <v>NO</v>
      </c>
      <c r="W290" s="51" t="str">
        <f>VLOOKUP(Table3[[#This Row],[ACTIVITY]],TAGS!$B:$P,8,FALSE)</f>
        <v>PAP</v>
      </c>
      <c r="X290" s="51" t="str">
        <f>VLOOKUP(Table3[[#This Row],[ACTIVITY]],TAGS!$B:$P,10,FALSE)</f>
        <v>PIP</v>
      </c>
      <c r="Y290" s="51" t="str">
        <f>VLOOKUP(Table3[[#This Row],[ACTIVITY]],TAGS!$B:$P,11,FALSE)</f>
        <v>PICS</v>
      </c>
      <c r="Z290" s="51" t="str">
        <f>VLOOKUP(Table3[[#This Row],[ACTIVITY]],TAGS!$B:$P,12,FALSE)</f>
        <v>Consolidation</v>
      </c>
      <c r="AA290" s="51" t="str">
        <f>VLOOKUP(Table3[[#This Row],[ACTIVITY]],TAGS!$B:$P,13,FALSE)</f>
        <v>1. Bayanihan Agri Cluster</v>
      </c>
      <c r="AB290" s="51" t="str">
        <f>VLOOKUP(Table3[[#This Row],[ACTIVITY]],TAGS!$B:$P,14,FALSE)</f>
        <v>IMPROVE AND EXPAND LOCAL AND INTERNATIONAL MARKET ACCESS</v>
      </c>
      <c r="AC290" s="51" t="str">
        <f>VLOOKUP(Table3[[#This Row],[ACTIVITY]],TAGS!$B:$P,15,FALSE)</f>
        <v>Capacity Building</v>
      </c>
      <c r="AD290" s="51" t="str">
        <f>VLOOKUP(Table3[[#This Row],[PI LEVEL 3]],'PI LEVEL'!$A:$G,7,FALSE)</f>
        <v>PREXC/DA-Level Output</v>
      </c>
      <c r="AE290" s="47" t="s">
        <v>588</v>
      </c>
      <c r="AF290" s="51" t="str">
        <f>VLOOKUP(Table3[[#This Row],[ACTIVITY]],TAGS!$B:$P,3,FALSE)</f>
        <v>number</v>
      </c>
      <c r="AG290" s="47" t="s">
        <v>330</v>
      </c>
      <c r="AH290" s="51" t="str">
        <f>VLOOKUP(Table3[[#This Row],[MONTH]],TAGS!$W$67:$Y$81,2,FALSE)</f>
        <v>2ND QTR</v>
      </c>
      <c r="AI290" s="51" t="str">
        <f>VLOOKUP(Table3[[#This Row],[MONTH]],TAGS!$W$67:$Y$81,3,FALSE)</f>
        <v>1ST SEMESTER</v>
      </c>
      <c r="AJ290" s="51">
        <f>VLOOKUP(Table3[[#This Row],[MONTH]],TAGS!$W$67:$Z$81,4,FALSE)</f>
        <v>2025</v>
      </c>
      <c r="AK290" s="47">
        <v>1</v>
      </c>
      <c r="AL290" s="51" t="str">
        <f>VLOOKUP(Table3[[#This Row],[ACTIVITY]],TAGS!$B:$R,16,FALSE)</f>
        <v>NO</v>
      </c>
      <c r="AM290" s="47"/>
      <c r="AN290" s="47">
        <v>50</v>
      </c>
      <c r="AO290" s="57">
        <f>SUM(Table3[[#This Row],[MALE BENEFICIARIES]:[FEMALE BENEFICIARIES]])</f>
        <v>30</v>
      </c>
      <c r="AP290" s="58"/>
      <c r="AQ290" s="58"/>
      <c r="AR290" s="58">
        <v>30</v>
      </c>
      <c r="AS290" s="58"/>
      <c r="AT290" s="59" t="str">
        <f>VLOOKUP(Table3[[#This Row],[ACTIVITY]],TAGS!$B:$R,17,FALSE)</f>
        <v>NO</v>
      </c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59"/>
      <c r="BG290" s="59"/>
      <c r="BH290" s="59"/>
      <c r="BI290" s="59"/>
      <c r="BJ290" s="59"/>
      <c r="BK290" s="59"/>
      <c r="BL290" s="59"/>
      <c r="BM290" s="59"/>
    </row>
    <row r="291" spans="1:65">
      <c r="A291" s="51" t="str">
        <f>VLOOKUP(Table3[[#This Row],[OU]],OU!$A$15:$B$34,2,FALSE)</f>
        <v>RFOs</v>
      </c>
      <c r="B291" s="47" t="s">
        <v>5</v>
      </c>
      <c r="C291" s="47" t="s">
        <v>574</v>
      </c>
      <c r="D291" s="47"/>
      <c r="E291" s="47" t="s">
        <v>78</v>
      </c>
      <c r="F291" s="47" t="s">
        <v>77</v>
      </c>
      <c r="G29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9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91" s="52" t="e">
        <f>VLOOKUP(Table3[[#This Row],[PSGC]],DISTRICT!$D:$G,4,FALSE)</f>
        <v>#N/A</v>
      </c>
      <c r="J291" s="47" t="s">
        <v>579</v>
      </c>
      <c r="K291" s="51" t="str">
        <f>VLOOKUP(Table3[[#This Row],[SPECIFIC COMMODITY]],TAGS!$W$48:$X$53,2,FALSE)</f>
        <v>Cassava</v>
      </c>
      <c r="L291" s="51" t="str">
        <f>VLOOKUP(Table3[[#This Row],[PREXC SUB-PROGRAM]],Table5[],2,FALSE)</f>
        <v>TECHNICAL AND SUPPORT SERVICES PROGRAM</v>
      </c>
      <c r="M291" s="51" t="str">
        <f>VLOOKUP(Table3[[#This Row],[COMMODITY PREXC SUB-PROGRAM]],TAGS!$U$54:$V$76,2,FALSE)</f>
        <v>ESETS</v>
      </c>
      <c r="N291" s="47" t="s">
        <v>589</v>
      </c>
      <c r="O291" s="54" t="str">
        <f>VLOOKUP(Table3[[#This Row],[PI LEVEL 3]],'PI LEVEL'!A:C,3,FALSE)</f>
        <v>Training conducted</v>
      </c>
      <c r="P291" s="54" t="str">
        <f>VLOOKUP(Table3[[#This Row],[PI LEVEL 3]],Table53729[[Performance Indicator Level 3]:[Performance Indicator Level 1]],2,FALSE)</f>
        <v>Other training conducted</v>
      </c>
      <c r="Q291" s="54" t="str">
        <f>VLOOKUP(Table3[[#This Row],[ACTIVITY]],TAGS!B:P,2,FALSE)</f>
        <v>Other training conducted_Farmers/Fisherfolk/Other External Participants</v>
      </c>
      <c r="R291" s="47" t="s">
        <v>147</v>
      </c>
      <c r="S291" s="51" t="str">
        <f>VLOOKUP(Table3[[#This Row],[ACTIVITY]],TAGS!$B:$P,4,FALSE)</f>
        <v>Trainings</v>
      </c>
      <c r="T291" s="51" t="str">
        <f>VLOOKUP(Table3[[#This Row],[ACTIVITY]],TAGS!$B:$P,5,FALSE)</f>
        <v>Trainings</v>
      </c>
      <c r="U291" s="51" t="str">
        <f>VLOOKUP(Table3[[#This Row],[ACTIVITY]],TAGS!$B:$P,6,FALSE)</f>
        <v>Cassava Livelihood training</v>
      </c>
      <c r="V291" s="51" t="str">
        <f>VLOOKUP(Table3[[#This Row],[ACTIVITY]],TAGS!$B:$P,7,FALSE)</f>
        <v>NO</v>
      </c>
      <c r="W291" s="51" t="str">
        <f>VLOOKUP(Table3[[#This Row],[ACTIVITY]],TAGS!$B:$P,8,FALSE)</f>
        <v>PAP</v>
      </c>
      <c r="X291" s="51" t="str">
        <f>VLOOKUP(Table3[[#This Row],[ACTIVITY]],TAGS!$B:$P,10,FALSE)</f>
        <v>PIP</v>
      </c>
      <c r="Y291" s="51" t="str">
        <f>VLOOKUP(Table3[[#This Row],[ACTIVITY]],TAGS!$B:$P,11,FALSE)</f>
        <v>PICS</v>
      </c>
      <c r="Z291" s="51" t="str">
        <f>VLOOKUP(Table3[[#This Row],[ACTIVITY]],TAGS!$B:$P,12,FALSE)</f>
        <v>Consolidation</v>
      </c>
      <c r="AA291" s="51" t="str">
        <f>VLOOKUP(Table3[[#This Row],[ACTIVITY]],TAGS!$B:$P,13,FALSE)</f>
        <v>1. Bayanihan Agri Cluster</v>
      </c>
      <c r="AB291" s="51" t="str">
        <f>VLOOKUP(Table3[[#This Row],[ACTIVITY]],TAGS!$B:$P,14,FALSE)</f>
        <v>IMPROVE AND EXPAND LOCAL AND INTERNATIONAL MARKET ACCESS</v>
      </c>
      <c r="AC291" s="51" t="str">
        <f>VLOOKUP(Table3[[#This Row],[ACTIVITY]],TAGS!$B:$P,15,FALSE)</f>
        <v>Capacity Building</v>
      </c>
      <c r="AD291" s="51" t="str">
        <f>VLOOKUP(Table3[[#This Row],[PI LEVEL 3]],'PI LEVEL'!$A:$G,7,FALSE)</f>
        <v>PREXC/DA-Level Output</v>
      </c>
      <c r="AE291" s="47" t="s">
        <v>588</v>
      </c>
      <c r="AF291" s="51" t="str">
        <f>VLOOKUP(Table3[[#This Row],[ACTIVITY]],TAGS!$B:$P,3,FALSE)</f>
        <v>number</v>
      </c>
      <c r="AG291" s="47" t="s">
        <v>331</v>
      </c>
      <c r="AH291" s="51" t="str">
        <f>VLOOKUP(Table3[[#This Row],[MONTH]],TAGS!$W$67:$Y$81,2,FALSE)</f>
        <v>2ND QTR</v>
      </c>
      <c r="AI291" s="51" t="str">
        <f>VLOOKUP(Table3[[#This Row],[MONTH]],TAGS!$W$67:$Y$81,3,FALSE)</f>
        <v>1ST SEMESTER</v>
      </c>
      <c r="AJ291" s="51">
        <f>VLOOKUP(Table3[[#This Row],[MONTH]],TAGS!$W$67:$Z$81,4,FALSE)</f>
        <v>2025</v>
      </c>
      <c r="AK291" s="47">
        <v>1</v>
      </c>
      <c r="AL291" s="51" t="str">
        <f>VLOOKUP(Table3[[#This Row],[ACTIVITY]],TAGS!$B:$R,16,FALSE)</f>
        <v>NO</v>
      </c>
      <c r="AM291" s="47"/>
      <c r="AN291" s="47">
        <v>50</v>
      </c>
      <c r="AO291" s="57">
        <f>SUM(Table3[[#This Row],[MALE BENEFICIARIES]:[FEMALE BENEFICIARIES]])</f>
        <v>30</v>
      </c>
      <c r="AP291" s="58"/>
      <c r="AQ291" s="58"/>
      <c r="AR291" s="58">
        <v>30</v>
      </c>
      <c r="AS291" s="58"/>
      <c r="AT291" s="59" t="str">
        <f>VLOOKUP(Table3[[#This Row],[ACTIVITY]],TAGS!$B:$R,17,FALSE)</f>
        <v>NO</v>
      </c>
      <c r="AU291" s="59"/>
      <c r="AV291" s="59"/>
      <c r="AW291" s="59"/>
      <c r="AX291" s="59"/>
      <c r="AY291" s="59"/>
      <c r="AZ291" s="59"/>
      <c r="BA291" s="59"/>
      <c r="BB291" s="59"/>
      <c r="BC291" s="59"/>
      <c r="BD291" s="59"/>
      <c r="BE291" s="59"/>
      <c r="BF291" s="59"/>
      <c r="BG291" s="59"/>
      <c r="BH291" s="59"/>
      <c r="BI291" s="59"/>
      <c r="BJ291" s="59"/>
      <c r="BK291" s="59"/>
      <c r="BL291" s="59"/>
      <c r="BM291" s="59"/>
    </row>
    <row r="292" spans="1:65">
      <c r="A292" s="51" t="str">
        <f>VLOOKUP(Table3[[#This Row],[OU]],OU!$A$15:$B$34,2,FALSE)</f>
        <v>RFOs</v>
      </c>
      <c r="B292" s="47" t="s">
        <v>5</v>
      </c>
      <c r="C292" s="47" t="s">
        <v>574</v>
      </c>
      <c r="D292" s="47"/>
      <c r="E292" s="47" t="s">
        <v>78</v>
      </c>
      <c r="F292" s="47" t="s">
        <v>77</v>
      </c>
      <c r="G29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9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92" s="52" t="e">
        <f>VLOOKUP(Table3[[#This Row],[PSGC]],DISTRICT!$D:$G,4,FALSE)</f>
        <v>#N/A</v>
      </c>
      <c r="J292" s="47" t="s">
        <v>579</v>
      </c>
      <c r="K292" s="51" t="str">
        <f>VLOOKUP(Table3[[#This Row],[SPECIFIC COMMODITY]],TAGS!$W$48:$X$53,2,FALSE)</f>
        <v>Cassava</v>
      </c>
      <c r="L292" s="51" t="str">
        <f>VLOOKUP(Table3[[#This Row],[PREXC SUB-PROGRAM]],Table5[],2,FALSE)</f>
        <v>TECHNICAL AND SUPPORT SERVICES PROGRAM</v>
      </c>
      <c r="M292" s="51" t="str">
        <f>VLOOKUP(Table3[[#This Row],[COMMODITY PREXC SUB-PROGRAM]],TAGS!$U$54:$V$76,2,FALSE)</f>
        <v>ESETS</v>
      </c>
      <c r="N292" s="47" t="s">
        <v>589</v>
      </c>
      <c r="O292" s="54" t="str">
        <f>VLOOKUP(Table3[[#This Row],[PI LEVEL 3]],'PI LEVEL'!A:C,3,FALSE)</f>
        <v>Training conducted</v>
      </c>
      <c r="P292" s="54" t="str">
        <f>VLOOKUP(Table3[[#This Row],[PI LEVEL 3]],Table53729[[Performance Indicator Level 3]:[Performance Indicator Level 1]],2,FALSE)</f>
        <v>Other training conducted</v>
      </c>
      <c r="Q292" s="54" t="str">
        <f>VLOOKUP(Table3[[#This Row],[ACTIVITY]],TAGS!B:P,2,FALSE)</f>
        <v>Other training conducted_Farmers/Fisherfolk/Other External Participants</v>
      </c>
      <c r="R292" s="47" t="s">
        <v>147</v>
      </c>
      <c r="S292" s="51" t="str">
        <f>VLOOKUP(Table3[[#This Row],[ACTIVITY]],TAGS!$B:$P,4,FALSE)</f>
        <v>Trainings</v>
      </c>
      <c r="T292" s="51" t="str">
        <f>VLOOKUP(Table3[[#This Row],[ACTIVITY]],TAGS!$B:$P,5,FALSE)</f>
        <v>Trainings</v>
      </c>
      <c r="U292" s="51" t="str">
        <f>VLOOKUP(Table3[[#This Row],[ACTIVITY]],TAGS!$B:$P,6,FALSE)</f>
        <v>Cassava Livelihood training</v>
      </c>
      <c r="V292" s="51" t="str">
        <f>VLOOKUP(Table3[[#This Row],[ACTIVITY]],TAGS!$B:$P,7,FALSE)</f>
        <v>NO</v>
      </c>
      <c r="W292" s="51" t="str">
        <f>VLOOKUP(Table3[[#This Row],[ACTIVITY]],TAGS!$B:$P,8,FALSE)</f>
        <v>PAP</v>
      </c>
      <c r="X292" s="51" t="str">
        <f>VLOOKUP(Table3[[#This Row],[ACTIVITY]],TAGS!$B:$P,10,FALSE)</f>
        <v>PIP</v>
      </c>
      <c r="Y292" s="51" t="str">
        <f>VLOOKUP(Table3[[#This Row],[ACTIVITY]],TAGS!$B:$P,11,FALSE)</f>
        <v>PICS</v>
      </c>
      <c r="Z292" s="51" t="str">
        <f>VLOOKUP(Table3[[#This Row],[ACTIVITY]],TAGS!$B:$P,12,FALSE)</f>
        <v>Consolidation</v>
      </c>
      <c r="AA292" s="51" t="str">
        <f>VLOOKUP(Table3[[#This Row],[ACTIVITY]],TAGS!$B:$P,13,FALSE)</f>
        <v>1. Bayanihan Agri Cluster</v>
      </c>
      <c r="AB292" s="51" t="str">
        <f>VLOOKUP(Table3[[#This Row],[ACTIVITY]],TAGS!$B:$P,14,FALSE)</f>
        <v>IMPROVE AND EXPAND LOCAL AND INTERNATIONAL MARKET ACCESS</v>
      </c>
      <c r="AC292" s="51" t="str">
        <f>VLOOKUP(Table3[[#This Row],[ACTIVITY]],TAGS!$B:$P,15,FALSE)</f>
        <v>Capacity Building</v>
      </c>
      <c r="AD292" s="51" t="str">
        <f>VLOOKUP(Table3[[#This Row],[PI LEVEL 3]],'PI LEVEL'!$A:$G,7,FALSE)</f>
        <v>PREXC/DA-Level Output</v>
      </c>
      <c r="AE292" s="47" t="s">
        <v>588</v>
      </c>
      <c r="AF292" s="51" t="str">
        <f>VLOOKUP(Table3[[#This Row],[ACTIVITY]],TAGS!$B:$P,3,FALSE)</f>
        <v>number</v>
      </c>
      <c r="AG292" s="47" t="s">
        <v>332</v>
      </c>
      <c r="AH292" s="51" t="str">
        <f>VLOOKUP(Table3[[#This Row],[MONTH]],TAGS!$W$67:$Y$81,2,FALSE)</f>
        <v>2ND QTR</v>
      </c>
      <c r="AI292" s="51" t="str">
        <f>VLOOKUP(Table3[[#This Row],[MONTH]],TAGS!$W$67:$Y$81,3,FALSE)</f>
        <v>1ST SEMESTER</v>
      </c>
      <c r="AJ292" s="51">
        <f>VLOOKUP(Table3[[#This Row],[MONTH]],TAGS!$W$67:$Z$81,4,FALSE)</f>
        <v>2025</v>
      </c>
      <c r="AK292" s="47">
        <v>1</v>
      </c>
      <c r="AL292" s="51" t="str">
        <f>VLOOKUP(Table3[[#This Row],[ACTIVITY]],TAGS!$B:$R,16,FALSE)</f>
        <v>NO</v>
      </c>
      <c r="AM292" s="47"/>
      <c r="AN292" s="47">
        <v>50</v>
      </c>
      <c r="AO292" s="57">
        <f>SUM(Table3[[#This Row],[MALE BENEFICIARIES]:[FEMALE BENEFICIARIES]])</f>
        <v>30</v>
      </c>
      <c r="AP292" s="58"/>
      <c r="AQ292" s="58"/>
      <c r="AR292" s="58">
        <v>30</v>
      </c>
      <c r="AS292" s="58"/>
      <c r="AT292" s="59" t="str">
        <f>VLOOKUP(Table3[[#This Row],[ACTIVITY]],TAGS!$B:$R,17,FALSE)</f>
        <v>NO</v>
      </c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</row>
    <row r="293" spans="1:65">
      <c r="A293" s="51" t="str">
        <f>VLOOKUP(Table3[[#This Row],[OU]],OU!$A$15:$B$34,2,FALSE)</f>
        <v>RFOs</v>
      </c>
      <c r="B293" s="47" t="s">
        <v>5</v>
      </c>
      <c r="C293" s="47" t="s">
        <v>574</v>
      </c>
      <c r="D293" s="47"/>
      <c r="E293" s="47" t="s">
        <v>78</v>
      </c>
      <c r="F293" s="47" t="s">
        <v>77</v>
      </c>
      <c r="G29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9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93" s="52" t="e">
        <f>VLOOKUP(Table3[[#This Row],[PSGC]],DISTRICT!$D:$G,4,FALSE)</f>
        <v>#N/A</v>
      </c>
      <c r="J293" s="47" t="s">
        <v>579</v>
      </c>
      <c r="K293" s="51" t="str">
        <f>VLOOKUP(Table3[[#This Row],[SPECIFIC COMMODITY]],TAGS!$W$48:$X$53,2,FALSE)</f>
        <v>Cassava</v>
      </c>
      <c r="L293" s="51" t="str">
        <f>VLOOKUP(Table3[[#This Row],[PREXC SUB-PROGRAM]],Table5[],2,FALSE)</f>
        <v>TECHNICAL AND SUPPORT SERVICES PROGRAM</v>
      </c>
      <c r="M293" s="51" t="str">
        <f>VLOOKUP(Table3[[#This Row],[COMMODITY PREXC SUB-PROGRAM]],TAGS!$U$54:$V$76,2,FALSE)</f>
        <v>ESETS</v>
      </c>
      <c r="N293" s="47" t="s">
        <v>589</v>
      </c>
      <c r="O293" s="54" t="str">
        <f>VLOOKUP(Table3[[#This Row],[PI LEVEL 3]],'PI LEVEL'!A:C,3,FALSE)</f>
        <v>Training conducted</v>
      </c>
      <c r="P293" s="54" t="str">
        <f>VLOOKUP(Table3[[#This Row],[PI LEVEL 3]],Table53729[[Performance Indicator Level 3]:[Performance Indicator Level 1]],2,FALSE)</f>
        <v>Other training conducted</v>
      </c>
      <c r="Q293" s="54" t="str">
        <f>VLOOKUP(Table3[[#This Row],[ACTIVITY]],TAGS!B:P,2,FALSE)</f>
        <v>Other training conducted_Farmers/Fisherfolk/Other External Participants</v>
      </c>
      <c r="R293" s="47" t="s">
        <v>147</v>
      </c>
      <c r="S293" s="51" t="str">
        <f>VLOOKUP(Table3[[#This Row],[ACTIVITY]],TAGS!$B:$P,4,FALSE)</f>
        <v>Trainings</v>
      </c>
      <c r="T293" s="51" t="str">
        <f>VLOOKUP(Table3[[#This Row],[ACTIVITY]],TAGS!$B:$P,5,FALSE)</f>
        <v>Trainings</v>
      </c>
      <c r="U293" s="51" t="str">
        <f>VLOOKUP(Table3[[#This Row],[ACTIVITY]],TAGS!$B:$P,6,FALSE)</f>
        <v>Cassava Livelihood training</v>
      </c>
      <c r="V293" s="51" t="str">
        <f>VLOOKUP(Table3[[#This Row],[ACTIVITY]],TAGS!$B:$P,7,FALSE)</f>
        <v>NO</v>
      </c>
      <c r="W293" s="51" t="str">
        <f>VLOOKUP(Table3[[#This Row],[ACTIVITY]],TAGS!$B:$P,8,FALSE)</f>
        <v>PAP</v>
      </c>
      <c r="X293" s="51" t="str">
        <f>VLOOKUP(Table3[[#This Row],[ACTIVITY]],TAGS!$B:$P,10,FALSE)</f>
        <v>PIP</v>
      </c>
      <c r="Y293" s="51" t="str">
        <f>VLOOKUP(Table3[[#This Row],[ACTIVITY]],TAGS!$B:$P,11,FALSE)</f>
        <v>PICS</v>
      </c>
      <c r="Z293" s="51" t="str">
        <f>VLOOKUP(Table3[[#This Row],[ACTIVITY]],TAGS!$B:$P,12,FALSE)</f>
        <v>Consolidation</v>
      </c>
      <c r="AA293" s="51" t="str">
        <f>VLOOKUP(Table3[[#This Row],[ACTIVITY]],TAGS!$B:$P,13,FALSE)</f>
        <v>1. Bayanihan Agri Cluster</v>
      </c>
      <c r="AB293" s="51" t="str">
        <f>VLOOKUP(Table3[[#This Row],[ACTIVITY]],TAGS!$B:$P,14,FALSE)</f>
        <v>IMPROVE AND EXPAND LOCAL AND INTERNATIONAL MARKET ACCESS</v>
      </c>
      <c r="AC293" s="51" t="str">
        <f>VLOOKUP(Table3[[#This Row],[ACTIVITY]],TAGS!$B:$P,15,FALSE)</f>
        <v>Capacity Building</v>
      </c>
      <c r="AD293" s="51" t="str">
        <f>VLOOKUP(Table3[[#This Row],[PI LEVEL 3]],'PI LEVEL'!$A:$G,7,FALSE)</f>
        <v>PREXC/DA-Level Output</v>
      </c>
      <c r="AE293" s="47" t="s">
        <v>588</v>
      </c>
      <c r="AF293" s="51" t="str">
        <f>VLOOKUP(Table3[[#This Row],[ACTIVITY]],TAGS!$B:$P,3,FALSE)</f>
        <v>number</v>
      </c>
      <c r="AG293" s="47" t="s">
        <v>333</v>
      </c>
      <c r="AH293" s="51" t="str">
        <f>VLOOKUP(Table3[[#This Row],[MONTH]],TAGS!$W$67:$Y$81,2,FALSE)</f>
        <v>3RD QTR</v>
      </c>
      <c r="AI293" s="51" t="str">
        <f>VLOOKUP(Table3[[#This Row],[MONTH]],TAGS!$W$67:$Y$81,3,FALSE)</f>
        <v>2ND SEMESTER</v>
      </c>
      <c r="AJ293" s="51">
        <f>VLOOKUP(Table3[[#This Row],[MONTH]],TAGS!$W$67:$Z$81,4,FALSE)</f>
        <v>2025</v>
      </c>
      <c r="AK293" s="47">
        <v>1</v>
      </c>
      <c r="AL293" s="51" t="str">
        <f>VLOOKUP(Table3[[#This Row],[ACTIVITY]],TAGS!$B:$R,16,FALSE)</f>
        <v>NO</v>
      </c>
      <c r="AM293" s="47"/>
      <c r="AN293" s="47">
        <v>50</v>
      </c>
      <c r="AO293" s="57">
        <f>SUM(Table3[[#This Row],[MALE BENEFICIARIES]:[FEMALE BENEFICIARIES]])</f>
        <v>30</v>
      </c>
      <c r="AP293" s="58"/>
      <c r="AQ293" s="58"/>
      <c r="AR293" s="58">
        <v>30</v>
      </c>
      <c r="AS293" s="58"/>
      <c r="AT293" s="59" t="str">
        <f>VLOOKUP(Table3[[#This Row],[ACTIVITY]],TAGS!$B:$R,17,FALSE)</f>
        <v>NO</v>
      </c>
      <c r="AU293" s="59"/>
      <c r="AV293" s="59"/>
      <c r="AW293" s="59"/>
      <c r="AX293" s="59"/>
      <c r="AY293" s="59"/>
      <c r="AZ293" s="59"/>
      <c r="BA293" s="59"/>
      <c r="BB293" s="59"/>
      <c r="BC293" s="59"/>
      <c r="BD293" s="59"/>
      <c r="BE293" s="59"/>
      <c r="BF293" s="59"/>
      <c r="BG293" s="59"/>
      <c r="BH293" s="59"/>
      <c r="BI293" s="59"/>
      <c r="BJ293" s="59"/>
      <c r="BK293" s="59"/>
      <c r="BL293" s="59"/>
      <c r="BM293" s="59"/>
    </row>
    <row r="294" spans="1:65">
      <c r="A294" s="51" t="str">
        <f>VLOOKUP(Table3[[#This Row],[OU]],OU!$A$15:$B$34,2,FALSE)</f>
        <v>RFOs</v>
      </c>
      <c r="B294" s="47" t="s">
        <v>5</v>
      </c>
      <c r="C294" s="47" t="s">
        <v>574</v>
      </c>
      <c r="D294" s="47"/>
      <c r="E294" s="47" t="s">
        <v>78</v>
      </c>
      <c r="F294" s="47" t="s">
        <v>77</v>
      </c>
      <c r="G29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9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94" s="52" t="e">
        <f>VLOOKUP(Table3[[#This Row],[PSGC]],DISTRICT!$D:$G,4,FALSE)</f>
        <v>#N/A</v>
      </c>
      <c r="J294" s="47" t="s">
        <v>579</v>
      </c>
      <c r="K294" s="51" t="str">
        <f>VLOOKUP(Table3[[#This Row],[SPECIFIC COMMODITY]],TAGS!$W$48:$X$53,2,FALSE)</f>
        <v>Cassava</v>
      </c>
      <c r="L294" s="51" t="str">
        <f>VLOOKUP(Table3[[#This Row],[PREXC SUB-PROGRAM]],Table5[],2,FALSE)</f>
        <v>TECHNICAL AND SUPPORT SERVICES PROGRAM</v>
      </c>
      <c r="M294" s="51" t="str">
        <f>VLOOKUP(Table3[[#This Row],[COMMODITY PREXC SUB-PROGRAM]],TAGS!$U$54:$V$76,2,FALSE)</f>
        <v>ESETS</v>
      </c>
      <c r="N294" s="47" t="s">
        <v>589</v>
      </c>
      <c r="O294" s="54" t="str">
        <f>VLOOKUP(Table3[[#This Row],[PI LEVEL 3]],'PI LEVEL'!A:C,3,FALSE)</f>
        <v>Training conducted</v>
      </c>
      <c r="P294" s="54" t="str">
        <f>VLOOKUP(Table3[[#This Row],[PI LEVEL 3]],Table53729[[Performance Indicator Level 3]:[Performance Indicator Level 1]],2,FALSE)</f>
        <v>Other training conducted</v>
      </c>
      <c r="Q294" s="54" t="str">
        <f>VLOOKUP(Table3[[#This Row],[ACTIVITY]],TAGS!B:P,2,FALSE)</f>
        <v>Other training conducted_Farmers/Fisherfolk/Other External Participants</v>
      </c>
      <c r="R294" s="47" t="s">
        <v>149</v>
      </c>
      <c r="S294" s="51" t="str">
        <f>VLOOKUP(Table3[[#This Row],[ACTIVITY]],TAGS!$B:$P,4,FALSE)</f>
        <v>Trainings</v>
      </c>
      <c r="T294" s="51" t="str">
        <f>VLOOKUP(Table3[[#This Row],[ACTIVITY]],TAGS!$B:$P,5,FALSE)</f>
        <v>Trainings</v>
      </c>
      <c r="U294" s="51" t="str">
        <f>VLOOKUP(Table3[[#This Row],[ACTIVITY]],TAGS!$B:$P,6,FALSE)</f>
        <v>Cassava Production Training</v>
      </c>
      <c r="V294" s="51" t="str">
        <f>VLOOKUP(Table3[[#This Row],[ACTIVITY]],TAGS!$B:$P,7,FALSE)</f>
        <v>NO</v>
      </c>
      <c r="W294" s="51" t="str">
        <f>VLOOKUP(Table3[[#This Row],[ACTIVITY]],TAGS!$B:$P,8,FALSE)</f>
        <v>PAP</v>
      </c>
      <c r="X294" s="51" t="str">
        <f>VLOOKUP(Table3[[#This Row],[ACTIVITY]],TAGS!$B:$P,10,FALSE)</f>
        <v>PIP</v>
      </c>
      <c r="Y294" s="51" t="str">
        <f>VLOOKUP(Table3[[#This Row],[ACTIVITY]],TAGS!$B:$P,11,FALSE)</f>
        <v>PICS</v>
      </c>
      <c r="Z294" s="51" t="str">
        <f>VLOOKUP(Table3[[#This Row],[ACTIVITY]],TAGS!$B:$P,12,FALSE)</f>
        <v>Consolidation</v>
      </c>
      <c r="AA294" s="51" t="str">
        <f>VLOOKUP(Table3[[#This Row],[ACTIVITY]],TAGS!$B:$P,13,FALSE)</f>
        <v>1. Bayanihan Agri Cluster</v>
      </c>
      <c r="AB294" s="51" t="str">
        <f>VLOOKUP(Table3[[#This Row],[ACTIVITY]],TAGS!$B:$P,14,FALSE)</f>
        <v>EXPAND AND IMPROVE AVAILABLE AGRI-FISHERY AREAS FOR INCREASED PRODUCTION</v>
      </c>
      <c r="AC294" s="51" t="str">
        <f>VLOOKUP(Table3[[#This Row],[ACTIVITY]],TAGS!$B:$P,15,FALSE)</f>
        <v>Capacity Building</v>
      </c>
      <c r="AD294" s="51" t="str">
        <f>VLOOKUP(Table3[[#This Row],[PI LEVEL 3]],'PI LEVEL'!$A:$G,7,FALSE)</f>
        <v>PREXC/DA-Level Output</v>
      </c>
      <c r="AE294" s="47" t="s">
        <v>577</v>
      </c>
      <c r="AF294" s="51" t="str">
        <f>VLOOKUP(Table3[[#This Row],[ACTIVITY]],TAGS!$B:$P,3,FALSE)</f>
        <v>number</v>
      </c>
      <c r="AG294" s="47" t="s">
        <v>330</v>
      </c>
      <c r="AH294" s="51" t="str">
        <f>VLOOKUP(Table3[[#This Row],[MONTH]],TAGS!$W$67:$Y$81,2,FALSE)</f>
        <v>2ND QTR</v>
      </c>
      <c r="AI294" s="51" t="str">
        <f>VLOOKUP(Table3[[#This Row],[MONTH]],TAGS!$W$67:$Y$81,3,FALSE)</f>
        <v>1ST SEMESTER</v>
      </c>
      <c r="AJ294" s="51">
        <f>VLOOKUP(Table3[[#This Row],[MONTH]],TAGS!$W$67:$Z$81,4,FALSE)</f>
        <v>2025</v>
      </c>
      <c r="AK294" s="47">
        <v>1</v>
      </c>
      <c r="AL294" s="51" t="str">
        <f>VLOOKUP(Table3[[#This Row],[ACTIVITY]],TAGS!$B:$R,16,FALSE)</f>
        <v>NO</v>
      </c>
      <c r="AM294" s="47"/>
      <c r="AN294" s="47">
        <v>35</v>
      </c>
      <c r="AO294" s="57">
        <f>SUM(Table3[[#This Row],[MALE BENEFICIARIES]:[FEMALE BENEFICIARIES]])</f>
        <v>30</v>
      </c>
      <c r="AP294" s="58"/>
      <c r="AQ294" s="58">
        <v>24</v>
      </c>
      <c r="AR294" s="58">
        <v>6</v>
      </c>
      <c r="AS294" s="58"/>
      <c r="AT294" s="59" t="str">
        <f>VLOOKUP(Table3[[#This Row],[ACTIVITY]],TAGS!$B:$R,17,FALSE)</f>
        <v>NO</v>
      </c>
      <c r="AU294" s="59"/>
      <c r="AV294" s="59"/>
      <c r="AW294" s="59"/>
      <c r="AX294" s="59"/>
      <c r="AY294" s="59"/>
      <c r="AZ294" s="59"/>
      <c r="BA294" s="59"/>
      <c r="BB294" s="59"/>
      <c r="BC294" s="59"/>
      <c r="BD294" s="59"/>
      <c r="BE294" s="59"/>
      <c r="BF294" s="59"/>
      <c r="BG294" s="59"/>
      <c r="BH294" s="59"/>
      <c r="BI294" s="59"/>
      <c r="BJ294" s="59"/>
      <c r="BK294" s="59"/>
      <c r="BL294" s="59"/>
      <c r="BM294" s="59"/>
    </row>
    <row r="295" spans="1:65">
      <c r="A295" s="51" t="str">
        <f>VLOOKUP(Table3[[#This Row],[OU]],OU!$A$15:$B$34,2,FALSE)</f>
        <v>RFOs</v>
      </c>
      <c r="B295" s="47" t="s">
        <v>5</v>
      </c>
      <c r="C295" s="47" t="s">
        <v>574</v>
      </c>
      <c r="D295" s="47"/>
      <c r="E295" s="47" t="s">
        <v>78</v>
      </c>
      <c r="F295" s="47" t="s">
        <v>77</v>
      </c>
      <c r="G29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9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95" s="52" t="e">
        <f>VLOOKUP(Table3[[#This Row],[PSGC]],DISTRICT!$D:$G,4,FALSE)</f>
        <v>#N/A</v>
      </c>
      <c r="J295" s="47" t="s">
        <v>579</v>
      </c>
      <c r="K295" s="51" t="str">
        <f>VLOOKUP(Table3[[#This Row],[SPECIFIC COMMODITY]],TAGS!$W$48:$X$53,2,FALSE)</f>
        <v>Cassava</v>
      </c>
      <c r="L295" s="51" t="str">
        <f>VLOOKUP(Table3[[#This Row],[PREXC SUB-PROGRAM]],Table5[],2,FALSE)</f>
        <v>TECHNICAL AND SUPPORT SERVICES PROGRAM</v>
      </c>
      <c r="M295" s="51" t="str">
        <f>VLOOKUP(Table3[[#This Row],[COMMODITY PREXC SUB-PROGRAM]],TAGS!$U$54:$V$76,2,FALSE)</f>
        <v>ESETS</v>
      </c>
      <c r="N295" s="47" t="s">
        <v>589</v>
      </c>
      <c r="O295" s="54" t="str">
        <f>VLOOKUP(Table3[[#This Row],[PI LEVEL 3]],'PI LEVEL'!A:C,3,FALSE)</f>
        <v>Training conducted</v>
      </c>
      <c r="P295" s="54" t="str">
        <f>VLOOKUP(Table3[[#This Row],[PI LEVEL 3]],Table53729[[Performance Indicator Level 3]:[Performance Indicator Level 1]],2,FALSE)</f>
        <v>Other training conducted</v>
      </c>
      <c r="Q295" s="54" t="str">
        <f>VLOOKUP(Table3[[#This Row],[ACTIVITY]],TAGS!B:P,2,FALSE)</f>
        <v>Other training conducted_Farmers/Fisherfolk/Other External Participants</v>
      </c>
      <c r="R295" s="47" t="s">
        <v>149</v>
      </c>
      <c r="S295" s="51" t="str">
        <f>VLOOKUP(Table3[[#This Row],[ACTIVITY]],TAGS!$B:$P,4,FALSE)</f>
        <v>Trainings</v>
      </c>
      <c r="T295" s="51" t="str">
        <f>VLOOKUP(Table3[[#This Row],[ACTIVITY]],TAGS!$B:$P,5,FALSE)</f>
        <v>Trainings</v>
      </c>
      <c r="U295" s="51" t="str">
        <f>VLOOKUP(Table3[[#This Row],[ACTIVITY]],TAGS!$B:$P,6,FALSE)</f>
        <v>Cassava Production Training</v>
      </c>
      <c r="V295" s="51" t="str">
        <f>VLOOKUP(Table3[[#This Row],[ACTIVITY]],TAGS!$B:$P,7,FALSE)</f>
        <v>NO</v>
      </c>
      <c r="W295" s="51" t="str">
        <f>VLOOKUP(Table3[[#This Row],[ACTIVITY]],TAGS!$B:$P,8,FALSE)</f>
        <v>PAP</v>
      </c>
      <c r="X295" s="51" t="str">
        <f>VLOOKUP(Table3[[#This Row],[ACTIVITY]],TAGS!$B:$P,10,FALSE)</f>
        <v>PIP</v>
      </c>
      <c r="Y295" s="51" t="str">
        <f>VLOOKUP(Table3[[#This Row],[ACTIVITY]],TAGS!$B:$P,11,FALSE)</f>
        <v>PICS</v>
      </c>
      <c r="Z295" s="51" t="str">
        <f>VLOOKUP(Table3[[#This Row],[ACTIVITY]],TAGS!$B:$P,12,FALSE)</f>
        <v>Consolidation</v>
      </c>
      <c r="AA295" s="51" t="str">
        <f>VLOOKUP(Table3[[#This Row],[ACTIVITY]],TAGS!$B:$P,13,FALSE)</f>
        <v>1. Bayanihan Agri Cluster</v>
      </c>
      <c r="AB295" s="51" t="str">
        <f>VLOOKUP(Table3[[#This Row],[ACTIVITY]],TAGS!$B:$P,14,FALSE)</f>
        <v>EXPAND AND IMPROVE AVAILABLE AGRI-FISHERY AREAS FOR INCREASED PRODUCTION</v>
      </c>
      <c r="AC295" s="51" t="str">
        <f>VLOOKUP(Table3[[#This Row],[ACTIVITY]],TAGS!$B:$P,15,FALSE)</f>
        <v>Capacity Building</v>
      </c>
      <c r="AD295" s="51" t="str">
        <f>VLOOKUP(Table3[[#This Row],[PI LEVEL 3]],'PI LEVEL'!$A:$G,7,FALSE)</f>
        <v>PREXC/DA-Level Output</v>
      </c>
      <c r="AE295" s="47" t="s">
        <v>577</v>
      </c>
      <c r="AF295" s="51" t="str">
        <f>VLOOKUP(Table3[[#This Row],[ACTIVITY]],TAGS!$B:$P,3,FALSE)</f>
        <v>number</v>
      </c>
      <c r="AG295" s="47" t="s">
        <v>331</v>
      </c>
      <c r="AH295" s="51" t="str">
        <f>VLOOKUP(Table3[[#This Row],[MONTH]],TAGS!$W$67:$Y$81,2,FALSE)</f>
        <v>2ND QTR</v>
      </c>
      <c r="AI295" s="51" t="str">
        <f>VLOOKUP(Table3[[#This Row],[MONTH]],TAGS!$W$67:$Y$81,3,FALSE)</f>
        <v>1ST SEMESTER</v>
      </c>
      <c r="AJ295" s="51">
        <f>VLOOKUP(Table3[[#This Row],[MONTH]],TAGS!$W$67:$Z$81,4,FALSE)</f>
        <v>2025</v>
      </c>
      <c r="AK295" s="47">
        <v>1</v>
      </c>
      <c r="AL295" s="51" t="str">
        <f>VLOOKUP(Table3[[#This Row],[ACTIVITY]],TAGS!$B:$R,16,FALSE)</f>
        <v>NO</v>
      </c>
      <c r="AM295" s="47"/>
      <c r="AN295" s="47">
        <v>35</v>
      </c>
      <c r="AO295" s="57">
        <f>SUM(Table3[[#This Row],[MALE BENEFICIARIES]:[FEMALE BENEFICIARIES]])</f>
        <v>30</v>
      </c>
      <c r="AP295" s="58"/>
      <c r="AQ295" s="58">
        <v>24</v>
      </c>
      <c r="AR295" s="58">
        <v>6</v>
      </c>
      <c r="AS295" s="58"/>
      <c r="AT295" s="59" t="str">
        <f>VLOOKUP(Table3[[#This Row],[ACTIVITY]],TAGS!$B:$R,17,FALSE)</f>
        <v>NO</v>
      </c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</row>
    <row r="296" spans="1:65">
      <c r="A296" s="51" t="str">
        <f>VLOOKUP(Table3[[#This Row],[OU]],OU!$A$15:$B$34,2,FALSE)</f>
        <v>RFOs</v>
      </c>
      <c r="B296" s="47" t="s">
        <v>5</v>
      </c>
      <c r="C296" s="47" t="s">
        <v>574</v>
      </c>
      <c r="D296" s="47"/>
      <c r="E296" s="47" t="s">
        <v>78</v>
      </c>
      <c r="F296" s="47" t="s">
        <v>77</v>
      </c>
      <c r="G29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9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96" s="52" t="e">
        <f>VLOOKUP(Table3[[#This Row],[PSGC]],DISTRICT!$D:$G,4,FALSE)</f>
        <v>#N/A</v>
      </c>
      <c r="J296" s="47" t="s">
        <v>579</v>
      </c>
      <c r="K296" s="51" t="str">
        <f>VLOOKUP(Table3[[#This Row],[SPECIFIC COMMODITY]],TAGS!$W$48:$X$53,2,FALSE)</f>
        <v>Cassava</v>
      </c>
      <c r="L296" s="51" t="str">
        <f>VLOOKUP(Table3[[#This Row],[PREXC SUB-PROGRAM]],Table5[],2,FALSE)</f>
        <v>TECHNICAL AND SUPPORT SERVICES PROGRAM</v>
      </c>
      <c r="M296" s="51" t="str">
        <f>VLOOKUP(Table3[[#This Row],[COMMODITY PREXC SUB-PROGRAM]],TAGS!$U$54:$V$76,2,FALSE)</f>
        <v>ESETS</v>
      </c>
      <c r="N296" s="47" t="s">
        <v>589</v>
      </c>
      <c r="O296" s="54" t="str">
        <f>VLOOKUP(Table3[[#This Row],[PI LEVEL 3]],'PI LEVEL'!A:C,3,FALSE)</f>
        <v>Training conducted</v>
      </c>
      <c r="P296" s="54" t="str">
        <f>VLOOKUP(Table3[[#This Row],[PI LEVEL 3]],Table53729[[Performance Indicator Level 3]:[Performance Indicator Level 1]],2,FALSE)</f>
        <v>Other training conducted</v>
      </c>
      <c r="Q296" s="54" t="str">
        <f>VLOOKUP(Table3[[#This Row],[ACTIVITY]],TAGS!B:P,2,FALSE)</f>
        <v>Other training conducted_Farmers/Fisherfolk/Other External Participants</v>
      </c>
      <c r="R296" s="47" t="s">
        <v>149</v>
      </c>
      <c r="S296" s="51" t="str">
        <f>VLOOKUP(Table3[[#This Row],[ACTIVITY]],TAGS!$B:$P,4,FALSE)</f>
        <v>Trainings</v>
      </c>
      <c r="T296" s="51" t="str">
        <f>VLOOKUP(Table3[[#This Row],[ACTIVITY]],TAGS!$B:$P,5,FALSE)</f>
        <v>Trainings</v>
      </c>
      <c r="U296" s="51" t="str">
        <f>VLOOKUP(Table3[[#This Row],[ACTIVITY]],TAGS!$B:$P,6,FALSE)</f>
        <v>Cassava Production Training</v>
      </c>
      <c r="V296" s="51" t="str">
        <f>VLOOKUP(Table3[[#This Row],[ACTIVITY]],TAGS!$B:$P,7,FALSE)</f>
        <v>NO</v>
      </c>
      <c r="W296" s="51" t="str">
        <f>VLOOKUP(Table3[[#This Row],[ACTIVITY]],TAGS!$B:$P,8,FALSE)</f>
        <v>PAP</v>
      </c>
      <c r="X296" s="51" t="str">
        <f>VLOOKUP(Table3[[#This Row],[ACTIVITY]],TAGS!$B:$P,10,FALSE)</f>
        <v>PIP</v>
      </c>
      <c r="Y296" s="51" t="str">
        <f>VLOOKUP(Table3[[#This Row],[ACTIVITY]],TAGS!$B:$P,11,FALSE)</f>
        <v>PICS</v>
      </c>
      <c r="Z296" s="51" t="str">
        <f>VLOOKUP(Table3[[#This Row],[ACTIVITY]],TAGS!$B:$P,12,FALSE)</f>
        <v>Consolidation</v>
      </c>
      <c r="AA296" s="51" t="str">
        <f>VLOOKUP(Table3[[#This Row],[ACTIVITY]],TAGS!$B:$P,13,FALSE)</f>
        <v>1. Bayanihan Agri Cluster</v>
      </c>
      <c r="AB296" s="51" t="str">
        <f>VLOOKUP(Table3[[#This Row],[ACTIVITY]],TAGS!$B:$P,14,FALSE)</f>
        <v>EXPAND AND IMPROVE AVAILABLE AGRI-FISHERY AREAS FOR INCREASED PRODUCTION</v>
      </c>
      <c r="AC296" s="51" t="str">
        <f>VLOOKUP(Table3[[#This Row],[ACTIVITY]],TAGS!$B:$P,15,FALSE)</f>
        <v>Capacity Building</v>
      </c>
      <c r="AD296" s="51" t="str">
        <f>VLOOKUP(Table3[[#This Row],[PI LEVEL 3]],'PI LEVEL'!$A:$G,7,FALSE)</f>
        <v>PREXC/DA-Level Output</v>
      </c>
      <c r="AE296" s="47" t="s">
        <v>577</v>
      </c>
      <c r="AF296" s="51" t="str">
        <f>VLOOKUP(Table3[[#This Row],[ACTIVITY]],TAGS!$B:$P,3,FALSE)</f>
        <v>number</v>
      </c>
      <c r="AG296" s="47" t="s">
        <v>332</v>
      </c>
      <c r="AH296" s="51" t="str">
        <f>VLOOKUP(Table3[[#This Row],[MONTH]],TAGS!$W$67:$Y$81,2,FALSE)</f>
        <v>2ND QTR</v>
      </c>
      <c r="AI296" s="51" t="str">
        <f>VLOOKUP(Table3[[#This Row],[MONTH]],TAGS!$W$67:$Y$81,3,FALSE)</f>
        <v>1ST SEMESTER</v>
      </c>
      <c r="AJ296" s="51">
        <f>VLOOKUP(Table3[[#This Row],[MONTH]],TAGS!$W$67:$Z$81,4,FALSE)</f>
        <v>2025</v>
      </c>
      <c r="AK296" s="47">
        <v>1</v>
      </c>
      <c r="AL296" s="51" t="str">
        <f>VLOOKUP(Table3[[#This Row],[ACTIVITY]],TAGS!$B:$R,16,FALSE)</f>
        <v>NO</v>
      </c>
      <c r="AM296" s="47"/>
      <c r="AN296" s="47">
        <v>35</v>
      </c>
      <c r="AO296" s="57">
        <f>SUM(Table3[[#This Row],[MALE BENEFICIARIES]:[FEMALE BENEFICIARIES]])</f>
        <v>30</v>
      </c>
      <c r="AP296" s="58"/>
      <c r="AQ296" s="58">
        <v>24</v>
      </c>
      <c r="AR296" s="58">
        <v>6</v>
      </c>
      <c r="AS296" s="58"/>
      <c r="AT296" s="59" t="str">
        <f>VLOOKUP(Table3[[#This Row],[ACTIVITY]],TAGS!$B:$R,17,FALSE)</f>
        <v>NO</v>
      </c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E296" s="59"/>
      <c r="BF296" s="59"/>
      <c r="BG296" s="59"/>
      <c r="BH296" s="59"/>
      <c r="BI296" s="59"/>
      <c r="BJ296" s="59"/>
      <c r="BK296" s="59"/>
      <c r="BL296" s="59"/>
      <c r="BM296" s="59"/>
    </row>
    <row r="297" spans="1:65">
      <c r="A297" s="51" t="str">
        <f>VLOOKUP(Table3[[#This Row],[OU]],OU!$A$15:$B$34,2,FALSE)</f>
        <v>RFOs</v>
      </c>
      <c r="B297" s="47" t="s">
        <v>5</v>
      </c>
      <c r="C297" s="47" t="s">
        <v>574</v>
      </c>
      <c r="D297" s="47"/>
      <c r="E297" s="47" t="s">
        <v>78</v>
      </c>
      <c r="F297" s="47" t="s">
        <v>77</v>
      </c>
      <c r="G29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9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97" s="52" t="e">
        <f>VLOOKUP(Table3[[#This Row],[PSGC]],DISTRICT!$D:$G,4,FALSE)</f>
        <v>#N/A</v>
      </c>
      <c r="J297" s="47" t="s">
        <v>579</v>
      </c>
      <c r="K297" s="51" t="str">
        <f>VLOOKUP(Table3[[#This Row],[SPECIFIC COMMODITY]],TAGS!$W$48:$X$53,2,FALSE)</f>
        <v>Cassava</v>
      </c>
      <c r="L297" s="51" t="str">
        <f>VLOOKUP(Table3[[#This Row],[PREXC SUB-PROGRAM]],Table5[],2,FALSE)</f>
        <v>TECHNICAL AND SUPPORT SERVICES PROGRAM</v>
      </c>
      <c r="M297" s="51" t="str">
        <f>VLOOKUP(Table3[[#This Row],[COMMODITY PREXC SUB-PROGRAM]],TAGS!$U$54:$V$76,2,FALSE)</f>
        <v>ESETS</v>
      </c>
      <c r="N297" s="47" t="s">
        <v>589</v>
      </c>
      <c r="O297" s="54" t="str">
        <f>VLOOKUP(Table3[[#This Row],[PI LEVEL 3]],'PI LEVEL'!A:C,3,FALSE)</f>
        <v>Training conducted</v>
      </c>
      <c r="P297" s="54" t="str">
        <f>VLOOKUP(Table3[[#This Row],[PI LEVEL 3]],Table53729[[Performance Indicator Level 3]:[Performance Indicator Level 1]],2,FALSE)</f>
        <v>Other training conducted</v>
      </c>
      <c r="Q297" s="54" t="str">
        <f>VLOOKUP(Table3[[#This Row],[ACTIVITY]],TAGS!B:P,2,FALSE)</f>
        <v>Other training conducted_Farmers/Fisherfolk/Other External Participants</v>
      </c>
      <c r="R297" s="47" t="s">
        <v>149</v>
      </c>
      <c r="S297" s="51" t="str">
        <f>VLOOKUP(Table3[[#This Row],[ACTIVITY]],TAGS!$B:$P,4,FALSE)</f>
        <v>Trainings</v>
      </c>
      <c r="T297" s="51" t="str">
        <f>VLOOKUP(Table3[[#This Row],[ACTIVITY]],TAGS!$B:$P,5,FALSE)</f>
        <v>Trainings</v>
      </c>
      <c r="U297" s="51" t="str">
        <f>VLOOKUP(Table3[[#This Row],[ACTIVITY]],TAGS!$B:$P,6,FALSE)</f>
        <v>Cassava Production Training</v>
      </c>
      <c r="V297" s="51" t="str">
        <f>VLOOKUP(Table3[[#This Row],[ACTIVITY]],TAGS!$B:$P,7,FALSE)</f>
        <v>NO</v>
      </c>
      <c r="W297" s="51" t="str">
        <f>VLOOKUP(Table3[[#This Row],[ACTIVITY]],TAGS!$B:$P,8,FALSE)</f>
        <v>PAP</v>
      </c>
      <c r="X297" s="51" t="str">
        <f>VLOOKUP(Table3[[#This Row],[ACTIVITY]],TAGS!$B:$P,10,FALSE)</f>
        <v>PIP</v>
      </c>
      <c r="Y297" s="51" t="str">
        <f>VLOOKUP(Table3[[#This Row],[ACTIVITY]],TAGS!$B:$P,11,FALSE)</f>
        <v>PICS</v>
      </c>
      <c r="Z297" s="51" t="str">
        <f>VLOOKUP(Table3[[#This Row],[ACTIVITY]],TAGS!$B:$P,12,FALSE)</f>
        <v>Consolidation</v>
      </c>
      <c r="AA297" s="51" t="str">
        <f>VLOOKUP(Table3[[#This Row],[ACTIVITY]],TAGS!$B:$P,13,FALSE)</f>
        <v>1. Bayanihan Agri Cluster</v>
      </c>
      <c r="AB297" s="51" t="str">
        <f>VLOOKUP(Table3[[#This Row],[ACTIVITY]],TAGS!$B:$P,14,FALSE)</f>
        <v>EXPAND AND IMPROVE AVAILABLE AGRI-FISHERY AREAS FOR INCREASED PRODUCTION</v>
      </c>
      <c r="AC297" s="51" t="str">
        <f>VLOOKUP(Table3[[#This Row],[ACTIVITY]],TAGS!$B:$P,15,FALSE)</f>
        <v>Capacity Building</v>
      </c>
      <c r="AD297" s="51" t="str">
        <f>VLOOKUP(Table3[[#This Row],[PI LEVEL 3]],'PI LEVEL'!$A:$G,7,FALSE)</f>
        <v>PREXC/DA-Level Output</v>
      </c>
      <c r="AE297" s="47" t="s">
        <v>577</v>
      </c>
      <c r="AF297" s="51" t="str">
        <f>VLOOKUP(Table3[[#This Row],[ACTIVITY]],TAGS!$B:$P,3,FALSE)</f>
        <v>number</v>
      </c>
      <c r="AG297" s="47" t="s">
        <v>333</v>
      </c>
      <c r="AH297" s="51" t="str">
        <f>VLOOKUP(Table3[[#This Row],[MONTH]],TAGS!$W$67:$Y$81,2,FALSE)</f>
        <v>3RD QTR</v>
      </c>
      <c r="AI297" s="51" t="str">
        <f>VLOOKUP(Table3[[#This Row],[MONTH]],TAGS!$W$67:$Y$81,3,FALSE)</f>
        <v>2ND SEMESTER</v>
      </c>
      <c r="AJ297" s="51">
        <f>VLOOKUP(Table3[[#This Row],[MONTH]],TAGS!$W$67:$Z$81,4,FALSE)</f>
        <v>2025</v>
      </c>
      <c r="AK297" s="47">
        <v>1</v>
      </c>
      <c r="AL297" s="51" t="str">
        <f>VLOOKUP(Table3[[#This Row],[ACTIVITY]],TAGS!$B:$R,16,FALSE)</f>
        <v>NO</v>
      </c>
      <c r="AM297" s="47"/>
      <c r="AN297" s="47">
        <v>35</v>
      </c>
      <c r="AO297" s="57">
        <f>SUM(Table3[[#This Row],[MALE BENEFICIARIES]:[FEMALE BENEFICIARIES]])</f>
        <v>30</v>
      </c>
      <c r="AP297" s="58"/>
      <c r="AQ297" s="58">
        <v>24</v>
      </c>
      <c r="AR297" s="58">
        <v>6</v>
      </c>
      <c r="AS297" s="58"/>
      <c r="AT297" s="59" t="str">
        <f>VLOOKUP(Table3[[#This Row],[ACTIVITY]],TAGS!$B:$R,17,FALSE)</f>
        <v>NO</v>
      </c>
      <c r="AU297" s="59"/>
      <c r="AV297" s="59"/>
      <c r="AW297" s="59"/>
      <c r="AX297" s="59"/>
      <c r="AY297" s="59"/>
      <c r="AZ297" s="59"/>
      <c r="BA297" s="59"/>
      <c r="BB297" s="59"/>
      <c r="BC297" s="59"/>
      <c r="BD297" s="59"/>
      <c r="BE297" s="59"/>
      <c r="BF297" s="59"/>
      <c r="BG297" s="59"/>
      <c r="BH297" s="59"/>
      <c r="BI297" s="59"/>
      <c r="BJ297" s="59"/>
      <c r="BK297" s="59"/>
      <c r="BL297" s="59"/>
      <c r="BM297" s="59"/>
    </row>
    <row r="298" spans="1:65">
      <c r="A298" s="51" t="str">
        <f>VLOOKUP(Table3[[#This Row],[OU]],OU!$A$15:$B$34,2,FALSE)</f>
        <v>RFOs</v>
      </c>
      <c r="B298" s="47" t="s">
        <v>5</v>
      </c>
      <c r="C298" s="47" t="s">
        <v>574</v>
      </c>
      <c r="D298" s="47"/>
      <c r="E298" s="47" t="s">
        <v>78</v>
      </c>
      <c r="F298" s="47" t="s">
        <v>77</v>
      </c>
      <c r="G29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9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98" s="52" t="e">
        <f>VLOOKUP(Table3[[#This Row],[PSGC]],DISTRICT!$D:$G,4,FALSE)</f>
        <v>#N/A</v>
      </c>
      <c r="J298" s="47" t="s">
        <v>579</v>
      </c>
      <c r="K298" s="51" t="str">
        <f>VLOOKUP(Table3[[#This Row],[SPECIFIC COMMODITY]],TAGS!$W$48:$X$53,2,FALSE)</f>
        <v>Cassava</v>
      </c>
      <c r="L298" s="51" t="str">
        <f>VLOOKUP(Table3[[#This Row],[PREXC SUB-PROGRAM]],Table5[],2,FALSE)</f>
        <v>TECHNICAL AND SUPPORT SERVICES PROGRAM</v>
      </c>
      <c r="M298" s="51" t="str">
        <f>VLOOKUP(Table3[[#This Row],[COMMODITY PREXC SUB-PROGRAM]],TAGS!$U$54:$V$76,2,FALSE)</f>
        <v>ESETS</v>
      </c>
      <c r="N298" s="47" t="s">
        <v>589</v>
      </c>
      <c r="O298" s="54" t="str">
        <f>VLOOKUP(Table3[[#This Row],[PI LEVEL 3]],'PI LEVEL'!A:C,3,FALSE)</f>
        <v>Knowledge Products disseminated</v>
      </c>
      <c r="P298" s="54" t="str">
        <f>VLOOKUP(Table3[[#This Row],[PI LEVEL 3]],Table53729[[Performance Indicator Level 3]:[Performance Indicator Level 1]],2,FALSE)</f>
        <v>Knowledge Products disseminated</v>
      </c>
      <c r="Q298" s="54" t="str">
        <f>VLOOKUP(Table3[[#This Row],[ACTIVITY]],TAGS!B:P,2,FALSE)</f>
        <v>Knowledge Products disseminated</v>
      </c>
      <c r="R298" s="47" t="s">
        <v>151</v>
      </c>
      <c r="S298" s="51" t="str">
        <f>VLOOKUP(Table3[[#This Row],[ACTIVITY]],TAGS!$B:$P,4,FALSE)</f>
        <v>Information, Education, and Communication Activities</v>
      </c>
      <c r="T298" s="51" t="str">
        <f>VLOOKUP(Table3[[#This Row],[ACTIVITY]],TAGS!$B:$P,5,FALSE)</f>
        <v>Information, Education, and Communication Activities</v>
      </c>
      <c r="U298" s="51" t="str">
        <f>VLOOKUP(Table3[[#This Row],[ACTIVITY]],TAGS!$B:$P,6,FALSE)</f>
        <v>IEC materials</v>
      </c>
      <c r="V298" s="51" t="str">
        <f>VLOOKUP(Table3[[#This Row],[ACTIVITY]],TAGS!$B:$P,7,FALSE)</f>
        <v>NO</v>
      </c>
      <c r="W298" s="51" t="str">
        <f>VLOOKUP(Table3[[#This Row],[ACTIVITY]],TAGS!$B:$P,8,FALSE)</f>
        <v>PAP</v>
      </c>
      <c r="X298" s="51" t="str">
        <f>VLOOKUP(Table3[[#This Row],[ACTIVITY]],TAGS!$B:$P,10,FALSE)</f>
        <v>PIP</v>
      </c>
      <c r="Y298" s="51" t="str">
        <f>VLOOKUP(Table3[[#This Row],[ACTIVITY]],TAGS!$B:$P,11,FALSE)</f>
        <v>PICS</v>
      </c>
      <c r="Z298" s="51" t="str">
        <f>VLOOKUP(Table3[[#This Row],[ACTIVITY]],TAGS!$B:$P,12,FALSE)</f>
        <v>Strategic Communication</v>
      </c>
      <c r="AA298" s="51" t="str">
        <f>VLOOKUP(Table3[[#This Row],[ACTIVITY]],TAGS!$B:$P,13,FALSE)</f>
        <v>18. Strategic Communications​</v>
      </c>
      <c r="AB298" s="51">
        <f>VLOOKUP(Table3[[#This Row],[ACTIVITY]],TAGS!$B:$P,14,FALSE)</f>
        <v>0</v>
      </c>
      <c r="AC298" s="51" t="str">
        <f>VLOOKUP(Table3[[#This Row],[ACTIVITY]],TAGS!$B:$P,15,FALSE)</f>
        <v>IEC</v>
      </c>
      <c r="AD298" s="51" t="str">
        <f>VLOOKUP(Table3[[#This Row],[PI LEVEL 3]],'PI LEVEL'!$A:$G,7,FALSE)</f>
        <v>DA-Level Output</v>
      </c>
      <c r="AE298" s="47" t="s">
        <v>577</v>
      </c>
      <c r="AF298" s="51" t="str">
        <f>VLOOKUP(Table3[[#This Row],[ACTIVITY]],TAGS!$B:$P,3,FALSE)</f>
        <v>Print disseminated</v>
      </c>
      <c r="AG298" s="47" t="s">
        <v>333</v>
      </c>
      <c r="AH298" s="51" t="str">
        <f>VLOOKUP(Table3[[#This Row],[MONTH]],TAGS!$W$67:$Y$81,2,FALSE)</f>
        <v>3RD QTR</v>
      </c>
      <c r="AI298" s="51" t="str">
        <f>VLOOKUP(Table3[[#This Row],[MONTH]],TAGS!$W$67:$Y$81,3,FALSE)</f>
        <v>2ND SEMESTER</v>
      </c>
      <c r="AJ298" s="51">
        <f>VLOOKUP(Table3[[#This Row],[MONTH]],TAGS!$W$67:$Z$81,4,FALSE)</f>
        <v>2025</v>
      </c>
      <c r="AK298" s="47">
        <v>1000</v>
      </c>
      <c r="AL298" s="51" t="str">
        <f>VLOOKUP(Table3[[#This Row],[ACTIVITY]],TAGS!$B:$R,16,FALSE)</f>
        <v>NO</v>
      </c>
      <c r="AM298" s="47"/>
      <c r="AN298" s="47">
        <v>30</v>
      </c>
      <c r="AO298" s="57">
        <f>SUM(Table3[[#This Row],[MALE BENEFICIARIES]:[FEMALE BENEFICIARIES]])</f>
        <v>0</v>
      </c>
      <c r="AP298" s="58"/>
      <c r="AQ298" s="58"/>
      <c r="AR298" s="58"/>
      <c r="AS298" s="58"/>
      <c r="AT298" s="59" t="str">
        <f>VLOOKUP(Table3[[#This Row],[ACTIVITY]],TAGS!$B:$R,17,FALSE)</f>
        <v>NO</v>
      </c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</row>
    <row r="299" spans="1:65">
      <c r="A299" s="51" t="str">
        <f>VLOOKUP(Table3[[#This Row],[OU]],OU!$A$15:$B$34,2,FALSE)</f>
        <v>RFOs</v>
      </c>
      <c r="B299" s="47" t="s">
        <v>5</v>
      </c>
      <c r="C299" s="47" t="s">
        <v>574</v>
      </c>
      <c r="D299" s="47"/>
      <c r="E299" s="47" t="s">
        <v>78</v>
      </c>
      <c r="F299" s="47" t="s">
        <v>77</v>
      </c>
      <c r="G29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29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299" s="52" t="e">
        <f>VLOOKUP(Table3[[#This Row],[PSGC]],DISTRICT!$D:$G,4,FALSE)</f>
        <v>#N/A</v>
      </c>
      <c r="J299" s="47" t="s">
        <v>579</v>
      </c>
      <c r="K299" s="51" t="str">
        <f>VLOOKUP(Table3[[#This Row],[SPECIFIC COMMODITY]],TAGS!$W$48:$X$53,2,FALSE)</f>
        <v>Cassava</v>
      </c>
      <c r="L299" s="51" t="str">
        <f>VLOOKUP(Table3[[#This Row],[PREXC SUB-PROGRAM]],Table5[],2,FALSE)</f>
        <v>TECHNICAL AND SUPPORT SERVICES PROGRAM</v>
      </c>
      <c r="M299" s="51" t="str">
        <f>VLOOKUP(Table3[[#This Row],[COMMODITY PREXC SUB-PROGRAM]],TAGS!$U$54:$V$76,2,FALSE)</f>
        <v>ESETS</v>
      </c>
      <c r="N299" s="47" t="s">
        <v>589</v>
      </c>
      <c r="O299" s="54" t="str">
        <f>VLOOKUP(Table3[[#This Row],[PI LEVEL 3]],'PI LEVEL'!A:C,3,FALSE)</f>
        <v>Knowledge Products disseminated</v>
      </c>
      <c r="P299" s="54" t="str">
        <f>VLOOKUP(Table3[[#This Row],[PI LEVEL 3]],Table53729[[Performance Indicator Level 3]:[Performance Indicator Level 1]],2,FALSE)</f>
        <v>Knowledge Products disseminated</v>
      </c>
      <c r="Q299" s="54" t="str">
        <f>VLOOKUP(Table3[[#This Row],[ACTIVITY]],TAGS!B:P,2,FALSE)</f>
        <v>Knowledge Products disseminated</v>
      </c>
      <c r="R299" s="47" t="s">
        <v>151</v>
      </c>
      <c r="S299" s="51" t="str">
        <f>VLOOKUP(Table3[[#This Row],[ACTIVITY]],TAGS!$B:$P,4,FALSE)</f>
        <v>Information, Education, and Communication Activities</v>
      </c>
      <c r="T299" s="51" t="str">
        <f>VLOOKUP(Table3[[#This Row],[ACTIVITY]],TAGS!$B:$P,5,FALSE)</f>
        <v>Information, Education, and Communication Activities</v>
      </c>
      <c r="U299" s="51" t="str">
        <f>VLOOKUP(Table3[[#This Row],[ACTIVITY]],TAGS!$B:$P,6,FALSE)</f>
        <v>IEC materials</v>
      </c>
      <c r="V299" s="51" t="str">
        <f>VLOOKUP(Table3[[#This Row],[ACTIVITY]],TAGS!$B:$P,7,FALSE)</f>
        <v>NO</v>
      </c>
      <c r="W299" s="51" t="str">
        <f>VLOOKUP(Table3[[#This Row],[ACTIVITY]],TAGS!$B:$P,8,FALSE)</f>
        <v>PAP</v>
      </c>
      <c r="X299" s="51" t="str">
        <f>VLOOKUP(Table3[[#This Row],[ACTIVITY]],TAGS!$B:$P,10,FALSE)</f>
        <v>PIP</v>
      </c>
      <c r="Y299" s="51" t="str">
        <f>VLOOKUP(Table3[[#This Row],[ACTIVITY]],TAGS!$B:$P,11,FALSE)</f>
        <v>PICS</v>
      </c>
      <c r="Z299" s="51" t="str">
        <f>VLOOKUP(Table3[[#This Row],[ACTIVITY]],TAGS!$B:$P,12,FALSE)</f>
        <v>Strategic Communication</v>
      </c>
      <c r="AA299" s="51" t="str">
        <f>VLOOKUP(Table3[[#This Row],[ACTIVITY]],TAGS!$B:$P,13,FALSE)</f>
        <v>18. Strategic Communications​</v>
      </c>
      <c r="AB299" s="51">
        <f>VLOOKUP(Table3[[#This Row],[ACTIVITY]],TAGS!$B:$P,14,FALSE)</f>
        <v>0</v>
      </c>
      <c r="AC299" s="51" t="str">
        <f>VLOOKUP(Table3[[#This Row],[ACTIVITY]],TAGS!$B:$P,15,FALSE)</f>
        <v>IEC</v>
      </c>
      <c r="AD299" s="51" t="str">
        <f>VLOOKUP(Table3[[#This Row],[PI LEVEL 3]],'PI LEVEL'!$A:$G,7,FALSE)</f>
        <v>DA-Level Output</v>
      </c>
      <c r="AE299" s="47" t="s">
        <v>577</v>
      </c>
      <c r="AF299" s="51" t="str">
        <f>VLOOKUP(Table3[[#This Row],[ACTIVITY]],TAGS!$B:$P,3,FALSE)</f>
        <v>Print disseminated</v>
      </c>
      <c r="AG299" s="47" t="s">
        <v>334</v>
      </c>
      <c r="AH299" s="51" t="str">
        <f>VLOOKUP(Table3[[#This Row],[MONTH]],TAGS!$W$67:$Y$81,2,FALSE)</f>
        <v>3RD QTR</v>
      </c>
      <c r="AI299" s="51" t="str">
        <f>VLOOKUP(Table3[[#This Row],[MONTH]],TAGS!$W$67:$Y$81,3,FALSE)</f>
        <v>2ND SEMESTER</v>
      </c>
      <c r="AJ299" s="51">
        <f>VLOOKUP(Table3[[#This Row],[MONTH]],TAGS!$W$67:$Z$81,4,FALSE)</f>
        <v>2025</v>
      </c>
      <c r="AK299" s="47">
        <v>1000</v>
      </c>
      <c r="AL299" s="51" t="str">
        <f>VLOOKUP(Table3[[#This Row],[ACTIVITY]],TAGS!$B:$R,16,FALSE)</f>
        <v>NO</v>
      </c>
      <c r="AM299" s="47"/>
      <c r="AN299" s="47">
        <v>30</v>
      </c>
      <c r="AO299" s="57">
        <f>SUM(Table3[[#This Row],[MALE BENEFICIARIES]:[FEMALE BENEFICIARIES]])</f>
        <v>0</v>
      </c>
      <c r="AP299" s="58"/>
      <c r="AQ299" s="58"/>
      <c r="AR299" s="58"/>
      <c r="AS299" s="58"/>
      <c r="AT299" s="59" t="str">
        <f>VLOOKUP(Table3[[#This Row],[ACTIVITY]],TAGS!$B:$R,17,FALSE)</f>
        <v>NO</v>
      </c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</row>
    <row r="300" spans="1:65">
      <c r="A300" s="51" t="str">
        <f>VLOOKUP(Table3[[#This Row],[OU]],OU!$A$15:$B$34,2,FALSE)</f>
        <v>RFOs</v>
      </c>
      <c r="B300" s="47" t="s">
        <v>5</v>
      </c>
      <c r="C300" s="47" t="s">
        <v>574</v>
      </c>
      <c r="D300" s="47"/>
      <c r="E300" s="47" t="s">
        <v>78</v>
      </c>
      <c r="F300" s="47" t="s">
        <v>77</v>
      </c>
      <c r="G30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30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300" s="52" t="e">
        <f>VLOOKUP(Table3[[#This Row],[PSGC]],DISTRICT!$D:$G,4,FALSE)</f>
        <v>#N/A</v>
      </c>
      <c r="J300" s="47" t="s">
        <v>579</v>
      </c>
      <c r="K300" s="51" t="str">
        <f>VLOOKUP(Table3[[#This Row],[SPECIFIC COMMODITY]],TAGS!$W$48:$X$53,2,FALSE)</f>
        <v>Cassava</v>
      </c>
      <c r="L300" s="51" t="str">
        <f>VLOOKUP(Table3[[#This Row],[PREXC SUB-PROGRAM]],Table5[],2,FALSE)</f>
        <v>TECHNICAL AND SUPPORT SERVICES PROGRAM</v>
      </c>
      <c r="M300" s="51" t="str">
        <f>VLOOKUP(Table3[[#This Row],[COMMODITY PREXC SUB-PROGRAM]],TAGS!$U$54:$V$76,2,FALSE)</f>
        <v>ESETS</v>
      </c>
      <c r="N300" s="47" t="s">
        <v>589</v>
      </c>
      <c r="O300" s="54" t="str">
        <f>VLOOKUP(Table3[[#This Row],[PI LEVEL 3]],'PI LEVEL'!A:C,3,FALSE)</f>
        <v>Knowledge Products disseminated</v>
      </c>
      <c r="P300" s="54" t="str">
        <f>VLOOKUP(Table3[[#This Row],[PI LEVEL 3]],Table53729[[Performance Indicator Level 3]:[Performance Indicator Level 1]],2,FALSE)</f>
        <v>Knowledge Products disseminated</v>
      </c>
      <c r="Q300" s="54" t="str">
        <f>VLOOKUP(Table3[[#This Row],[ACTIVITY]],TAGS!B:P,2,FALSE)</f>
        <v>Knowledge Products disseminated</v>
      </c>
      <c r="R300" s="47" t="s">
        <v>151</v>
      </c>
      <c r="S300" s="51" t="str">
        <f>VLOOKUP(Table3[[#This Row],[ACTIVITY]],TAGS!$B:$P,4,FALSE)</f>
        <v>Information, Education, and Communication Activities</v>
      </c>
      <c r="T300" s="51" t="str">
        <f>VLOOKUP(Table3[[#This Row],[ACTIVITY]],TAGS!$B:$P,5,FALSE)</f>
        <v>Information, Education, and Communication Activities</v>
      </c>
      <c r="U300" s="51" t="str">
        <f>VLOOKUP(Table3[[#This Row],[ACTIVITY]],TAGS!$B:$P,6,FALSE)</f>
        <v>IEC materials</v>
      </c>
      <c r="V300" s="51" t="str">
        <f>VLOOKUP(Table3[[#This Row],[ACTIVITY]],TAGS!$B:$P,7,FALSE)</f>
        <v>NO</v>
      </c>
      <c r="W300" s="51" t="str">
        <f>VLOOKUP(Table3[[#This Row],[ACTIVITY]],TAGS!$B:$P,8,FALSE)</f>
        <v>PAP</v>
      </c>
      <c r="X300" s="51" t="str">
        <f>VLOOKUP(Table3[[#This Row],[ACTIVITY]],TAGS!$B:$P,10,FALSE)</f>
        <v>PIP</v>
      </c>
      <c r="Y300" s="51" t="str">
        <f>VLOOKUP(Table3[[#This Row],[ACTIVITY]],TAGS!$B:$P,11,FALSE)</f>
        <v>PICS</v>
      </c>
      <c r="Z300" s="51" t="str">
        <f>VLOOKUP(Table3[[#This Row],[ACTIVITY]],TAGS!$B:$P,12,FALSE)</f>
        <v>Strategic Communication</v>
      </c>
      <c r="AA300" s="51" t="str">
        <f>VLOOKUP(Table3[[#This Row],[ACTIVITY]],TAGS!$B:$P,13,FALSE)</f>
        <v>18. Strategic Communications​</v>
      </c>
      <c r="AB300" s="51">
        <f>VLOOKUP(Table3[[#This Row],[ACTIVITY]],TAGS!$B:$P,14,FALSE)</f>
        <v>0</v>
      </c>
      <c r="AC300" s="51" t="str">
        <f>VLOOKUP(Table3[[#This Row],[ACTIVITY]],TAGS!$B:$P,15,FALSE)</f>
        <v>IEC</v>
      </c>
      <c r="AD300" s="51" t="str">
        <f>VLOOKUP(Table3[[#This Row],[PI LEVEL 3]],'PI LEVEL'!$A:$G,7,FALSE)</f>
        <v>DA-Level Output</v>
      </c>
      <c r="AE300" s="47" t="s">
        <v>577</v>
      </c>
      <c r="AF300" s="51" t="str">
        <f>VLOOKUP(Table3[[#This Row],[ACTIVITY]],TAGS!$B:$P,3,FALSE)</f>
        <v>Print disseminated</v>
      </c>
      <c r="AG300" s="47" t="s">
        <v>335</v>
      </c>
      <c r="AH300" s="51" t="str">
        <f>VLOOKUP(Table3[[#This Row],[MONTH]],TAGS!$W$67:$Y$81,2,FALSE)</f>
        <v>3RD QTR</v>
      </c>
      <c r="AI300" s="51" t="str">
        <f>VLOOKUP(Table3[[#This Row],[MONTH]],TAGS!$W$67:$Y$81,3,FALSE)</f>
        <v>2ND SEMESTER</v>
      </c>
      <c r="AJ300" s="51">
        <f>VLOOKUP(Table3[[#This Row],[MONTH]],TAGS!$W$67:$Z$81,4,FALSE)</f>
        <v>2025</v>
      </c>
      <c r="AK300" s="47">
        <v>1000</v>
      </c>
      <c r="AL300" s="51" t="str">
        <f>VLOOKUP(Table3[[#This Row],[ACTIVITY]],TAGS!$B:$R,16,FALSE)</f>
        <v>NO</v>
      </c>
      <c r="AM300" s="47"/>
      <c r="AN300" s="47">
        <v>30</v>
      </c>
      <c r="AO300" s="57">
        <f>SUM(Table3[[#This Row],[MALE BENEFICIARIES]:[FEMALE BENEFICIARIES]])</f>
        <v>0</v>
      </c>
      <c r="AP300" s="58"/>
      <c r="AQ300" s="58"/>
      <c r="AR300" s="58"/>
      <c r="AS300" s="58"/>
      <c r="AT300" s="59" t="str">
        <f>VLOOKUP(Table3[[#This Row],[ACTIVITY]],TAGS!$B:$R,17,FALSE)</f>
        <v>NO</v>
      </c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</row>
    <row r="301" spans="1:65">
      <c r="A301" s="51" t="str">
        <f>VLOOKUP(Table3[[#This Row],[OU]],OU!$A$15:$B$34,2,FALSE)</f>
        <v>RFOs</v>
      </c>
      <c r="B301" s="47" t="s">
        <v>5</v>
      </c>
      <c r="C301" s="47" t="s">
        <v>574</v>
      </c>
      <c r="D301" s="47"/>
      <c r="E301" s="47" t="s">
        <v>78</v>
      </c>
      <c r="F301" s="47" t="s">
        <v>77</v>
      </c>
      <c r="G30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30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301" s="52" t="e">
        <f>VLOOKUP(Table3[[#This Row],[PSGC]],DISTRICT!$D:$G,4,FALSE)</f>
        <v>#N/A</v>
      </c>
      <c r="J301" s="47" t="s">
        <v>579</v>
      </c>
      <c r="K301" s="51" t="str">
        <f>VLOOKUP(Table3[[#This Row],[SPECIFIC COMMODITY]],TAGS!$W$48:$X$53,2,FALSE)</f>
        <v>Cassava</v>
      </c>
      <c r="L301" s="51" t="str">
        <f>VLOOKUP(Table3[[#This Row],[PREXC SUB-PROGRAM]],Table5[],2,FALSE)</f>
        <v>TECHNICAL AND SUPPORT SERVICES PROGRAM</v>
      </c>
      <c r="M301" s="51" t="str">
        <f>VLOOKUP(Table3[[#This Row],[COMMODITY PREXC SUB-PROGRAM]],TAGS!$U$54:$V$76,2,FALSE)</f>
        <v>ESETS</v>
      </c>
      <c r="N301" s="47" t="s">
        <v>589</v>
      </c>
      <c r="O301" s="54" t="str">
        <f>VLOOKUP(Table3[[#This Row],[PI LEVEL 3]],'PI LEVEL'!A:C,3,FALSE)</f>
        <v>Knowledge Products disseminated</v>
      </c>
      <c r="P301" s="54" t="str">
        <f>VLOOKUP(Table3[[#This Row],[PI LEVEL 3]],Table53729[[Performance Indicator Level 3]:[Performance Indicator Level 1]],2,FALSE)</f>
        <v>Knowledge Products disseminated</v>
      </c>
      <c r="Q301" s="54" t="str">
        <f>VLOOKUP(Table3[[#This Row],[ACTIVITY]],TAGS!B:P,2,FALSE)</f>
        <v>Knowledge Products disseminated</v>
      </c>
      <c r="R301" s="47" t="s">
        <v>151</v>
      </c>
      <c r="S301" s="51" t="str">
        <f>VLOOKUP(Table3[[#This Row],[ACTIVITY]],TAGS!$B:$P,4,FALSE)</f>
        <v>Information, Education, and Communication Activities</v>
      </c>
      <c r="T301" s="51" t="str">
        <f>VLOOKUP(Table3[[#This Row],[ACTIVITY]],TAGS!$B:$P,5,FALSE)</f>
        <v>Information, Education, and Communication Activities</v>
      </c>
      <c r="U301" s="51" t="str">
        <f>VLOOKUP(Table3[[#This Row],[ACTIVITY]],TAGS!$B:$P,6,FALSE)</f>
        <v>IEC materials</v>
      </c>
      <c r="V301" s="51" t="str">
        <f>VLOOKUP(Table3[[#This Row],[ACTIVITY]],TAGS!$B:$P,7,FALSE)</f>
        <v>NO</v>
      </c>
      <c r="W301" s="51" t="str">
        <f>VLOOKUP(Table3[[#This Row],[ACTIVITY]],TAGS!$B:$P,8,FALSE)</f>
        <v>PAP</v>
      </c>
      <c r="X301" s="51" t="str">
        <f>VLOOKUP(Table3[[#This Row],[ACTIVITY]],TAGS!$B:$P,10,FALSE)</f>
        <v>PIP</v>
      </c>
      <c r="Y301" s="51" t="str">
        <f>VLOOKUP(Table3[[#This Row],[ACTIVITY]],TAGS!$B:$P,11,FALSE)</f>
        <v>PICS</v>
      </c>
      <c r="Z301" s="51" t="str">
        <f>VLOOKUP(Table3[[#This Row],[ACTIVITY]],TAGS!$B:$P,12,FALSE)</f>
        <v>Strategic Communication</v>
      </c>
      <c r="AA301" s="51" t="str">
        <f>VLOOKUP(Table3[[#This Row],[ACTIVITY]],TAGS!$B:$P,13,FALSE)</f>
        <v>18. Strategic Communications​</v>
      </c>
      <c r="AB301" s="51">
        <f>VLOOKUP(Table3[[#This Row],[ACTIVITY]],TAGS!$B:$P,14,FALSE)</f>
        <v>0</v>
      </c>
      <c r="AC301" s="51" t="str">
        <f>VLOOKUP(Table3[[#This Row],[ACTIVITY]],TAGS!$B:$P,15,FALSE)</f>
        <v>IEC</v>
      </c>
      <c r="AD301" s="51" t="str">
        <f>VLOOKUP(Table3[[#This Row],[PI LEVEL 3]],'PI LEVEL'!$A:$G,7,FALSE)</f>
        <v>DA-Level Output</v>
      </c>
      <c r="AE301" s="47" t="s">
        <v>577</v>
      </c>
      <c r="AF301" s="51" t="str">
        <f>VLOOKUP(Table3[[#This Row],[ACTIVITY]],TAGS!$B:$P,3,FALSE)</f>
        <v>Print disseminated</v>
      </c>
      <c r="AG301" s="47" t="s">
        <v>336</v>
      </c>
      <c r="AH301" s="51" t="str">
        <f>VLOOKUP(Table3[[#This Row],[MONTH]],TAGS!$W$67:$Y$81,2,FALSE)</f>
        <v>4TH QTR</v>
      </c>
      <c r="AI301" s="51" t="str">
        <f>VLOOKUP(Table3[[#This Row],[MONTH]],TAGS!$W$67:$Y$81,3,FALSE)</f>
        <v>2ND SEMESTER</v>
      </c>
      <c r="AJ301" s="51">
        <f>VLOOKUP(Table3[[#This Row],[MONTH]],TAGS!$W$67:$Z$81,4,FALSE)</f>
        <v>2025</v>
      </c>
      <c r="AK301" s="47">
        <v>1000</v>
      </c>
      <c r="AL301" s="51" t="str">
        <f>VLOOKUP(Table3[[#This Row],[ACTIVITY]],TAGS!$B:$R,16,FALSE)</f>
        <v>NO</v>
      </c>
      <c r="AM301" s="47"/>
      <c r="AN301" s="47">
        <v>30</v>
      </c>
      <c r="AO301" s="57">
        <f>SUM(Table3[[#This Row],[MALE BENEFICIARIES]:[FEMALE BENEFICIARIES]])</f>
        <v>0</v>
      </c>
      <c r="AP301" s="58"/>
      <c r="AQ301" s="58"/>
      <c r="AR301" s="58"/>
      <c r="AS301" s="58"/>
      <c r="AT301" s="59" t="str">
        <f>VLOOKUP(Table3[[#This Row],[ACTIVITY]],TAGS!$B:$R,17,FALSE)</f>
        <v>NO</v>
      </c>
      <c r="AU301" s="59"/>
      <c r="AV301" s="59"/>
      <c r="AW301" s="59"/>
      <c r="AX301" s="59"/>
      <c r="AY301" s="59"/>
      <c r="AZ301" s="59"/>
      <c r="BA301" s="59"/>
      <c r="BB301" s="59"/>
      <c r="BC301" s="59"/>
      <c r="BD301" s="59"/>
      <c r="BE301" s="59"/>
      <c r="BF301" s="59"/>
      <c r="BG301" s="59"/>
      <c r="BH301" s="59"/>
      <c r="BI301" s="59"/>
      <c r="BJ301" s="59"/>
      <c r="BK301" s="59"/>
      <c r="BL301" s="59"/>
      <c r="BM301" s="59"/>
    </row>
    <row r="302" spans="1:65">
      <c r="A302" s="51" t="str">
        <f>VLOOKUP(Table3[[#This Row],[OU]],OU!$A$15:$B$34,2,FALSE)</f>
        <v>RFOs</v>
      </c>
      <c r="B302" s="47" t="s">
        <v>5</v>
      </c>
      <c r="C302" s="47" t="s">
        <v>574</v>
      </c>
      <c r="D302" s="47"/>
      <c r="E302" s="47" t="s">
        <v>78</v>
      </c>
      <c r="F302" s="47" t="s">
        <v>77</v>
      </c>
      <c r="G30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30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302" s="52" t="e">
        <f>VLOOKUP(Table3[[#This Row],[PSGC]],DISTRICT!$D:$G,4,FALSE)</f>
        <v>#N/A</v>
      </c>
      <c r="J302" s="47" t="s">
        <v>579</v>
      </c>
      <c r="K302" s="51" t="str">
        <f>VLOOKUP(Table3[[#This Row],[SPECIFIC COMMODITY]],TAGS!$W$48:$X$53,2,FALSE)</f>
        <v>Cassava</v>
      </c>
      <c r="L302" s="51" t="str">
        <f>VLOOKUP(Table3[[#This Row],[PREXC SUB-PROGRAM]],Table5[],2,FALSE)</f>
        <v>TECHNICAL AND SUPPORT SERVICES PROGRAM</v>
      </c>
      <c r="M302" s="51" t="str">
        <f>VLOOKUP(Table3[[#This Row],[COMMODITY PREXC SUB-PROGRAM]],TAGS!$U$54:$V$76,2,FALSE)</f>
        <v>ESETS</v>
      </c>
      <c r="N302" s="47" t="s">
        <v>589</v>
      </c>
      <c r="O302" s="54" t="str">
        <f>VLOOKUP(Table3[[#This Row],[PI LEVEL 3]],'PI LEVEL'!A:C,3,FALSE)</f>
        <v>Knowledge Products disseminated</v>
      </c>
      <c r="P302" s="54" t="str">
        <f>VLOOKUP(Table3[[#This Row],[PI LEVEL 3]],Table53729[[Performance Indicator Level 3]:[Performance Indicator Level 1]],2,FALSE)</f>
        <v>Knowledge Products disseminated</v>
      </c>
      <c r="Q302" s="54" t="str">
        <f>VLOOKUP(Table3[[#This Row],[ACTIVITY]],TAGS!B:P,2,FALSE)</f>
        <v>Knowledge Products disseminated</v>
      </c>
      <c r="R302" s="47" t="s">
        <v>151</v>
      </c>
      <c r="S302" s="51" t="str">
        <f>VLOOKUP(Table3[[#This Row],[ACTIVITY]],TAGS!$B:$P,4,FALSE)</f>
        <v>Information, Education, and Communication Activities</v>
      </c>
      <c r="T302" s="51" t="str">
        <f>VLOOKUP(Table3[[#This Row],[ACTIVITY]],TAGS!$B:$P,5,FALSE)</f>
        <v>Information, Education, and Communication Activities</v>
      </c>
      <c r="U302" s="51" t="str">
        <f>VLOOKUP(Table3[[#This Row],[ACTIVITY]],TAGS!$B:$P,6,FALSE)</f>
        <v>IEC materials</v>
      </c>
      <c r="V302" s="51" t="str">
        <f>VLOOKUP(Table3[[#This Row],[ACTIVITY]],TAGS!$B:$P,7,FALSE)</f>
        <v>NO</v>
      </c>
      <c r="W302" s="51" t="str">
        <f>VLOOKUP(Table3[[#This Row],[ACTIVITY]],TAGS!$B:$P,8,FALSE)</f>
        <v>PAP</v>
      </c>
      <c r="X302" s="51" t="str">
        <f>VLOOKUP(Table3[[#This Row],[ACTIVITY]],TAGS!$B:$P,10,FALSE)</f>
        <v>PIP</v>
      </c>
      <c r="Y302" s="51" t="str">
        <f>VLOOKUP(Table3[[#This Row],[ACTIVITY]],TAGS!$B:$P,11,FALSE)</f>
        <v>PICS</v>
      </c>
      <c r="Z302" s="51" t="str">
        <f>VLOOKUP(Table3[[#This Row],[ACTIVITY]],TAGS!$B:$P,12,FALSE)</f>
        <v>Strategic Communication</v>
      </c>
      <c r="AA302" s="51" t="str">
        <f>VLOOKUP(Table3[[#This Row],[ACTIVITY]],TAGS!$B:$P,13,FALSE)</f>
        <v>18. Strategic Communications​</v>
      </c>
      <c r="AB302" s="51">
        <f>VLOOKUP(Table3[[#This Row],[ACTIVITY]],TAGS!$B:$P,14,FALSE)</f>
        <v>0</v>
      </c>
      <c r="AC302" s="51" t="str">
        <f>VLOOKUP(Table3[[#This Row],[ACTIVITY]],TAGS!$B:$P,15,FALSE)</f>
        <v>IEC</v>
      </c>
      <c r="AD302" s="51" t="str">
        <f>VLOOKUP(Table3[[#This Row],[PI LEVEL 3]],'PI LEVEL'!$A:$G,7,FALSE)</f>
        <v>DA-Level Output</v>
      </c>
      <c r="AE302" s="47" t="s">
        <v>577</v>
      </c>
      <c r="AF302" s="51" t="str">
        <f>VLOOKUP(Table3[[#This Row],[ACTIVITY]],TAGS!$B:$P,3,FALSE)</f>
        <v>Print disseminated</v>
      </c>
      <c r="AG302" s="47" t="s">
        <v>337</v>
      </c>
      <c r="AH302" s="51" t="str">
        <f>VLOOKUP(Table3[[#This Row],[MONTH]],TAGS!$W$67:$Y$81,2,FALSE)</f>
        <v>4TH QTR</v>
      </c>
      <c r="AI302" s="51" t="str">
        <f>VLOOKUP(Table3[[#This Row],[MONTH]],TAGS!$W$67:$Y$81,3,FALSE)</f>
        <v>2ND SEMESTER</v>
      </c>
      <c r="AJ302" s="51">
        <f>VLOOKUP(Table3[[#This Row],[MONTH]],TAGS!$W$67:$Z$81,4,FALSE)</f>
        <v>2025</v>
      </c>
      <c r="AK302" s="47">
        <v>1000</v>
      </c>
      <c r="AL302" s="51" t="str">
        <f>VLOOKUP(Table3[[#This Row],[ACTIVITY]],TAGS!$B:$R,16,FALSE)</f>
        <v>NO</v>
      </c>
      <c r="AM302" s="47"/>
      <c r="AN302" s="47">
        <v>30</v>
      </c>
      <c r="AO302" s="57">
        <f>SUM(Table3[[#This Row],[MALE BENEFICIARIES]:[FEMALE BENEFICIARIES]])</f>
        <v>0</v>
      </c>
      <c r="AP302" s="58"/>
      <c r="AQ302" s="58"/>
      <c r="AR302" s="58"/>
      <c r="AS302" s="58"/>
      <c r="AT302" s="59" t="str">
        <f>VLOOKUP(Table3[[#This Row],[ACTIVITY]],TAGS!$B:$R,17,FALSE)</f>
        <v>NO</v>
      </c>
      <c r="AU302" s="59"/>
      <c r="AV302" s="59"/>
      <c r="AW302" s="59"/>
      <c r="AX302" s="59"/>
      <c r="AY302" s="59"/>
      <c r="AZ302" s="59"/>
      <c r="BA302" s="59"/>
      <c r="BB302" s="59"/>
      <c r="BC302" s="59"/>
      <c r="BD302" s="59"/>
      <c r="BE302" s="59"/>
      <c r="BF302" s="59"/>
      <c r="BG302" s="59"/>
      <c r="BH302" s="59"/>
      <c r="BI302" s="59"/>
      <c r="BJ302" s="59"/>
      <c r="BK302" s="59"/>
      <c r="BL302" s="59"/>
      <c r="BM302" s="59"/>
    </row>
    <row r="303" spans="1:65">
      <c r="A303" s="51" t="str">
        <f>VLOOKUP(Table3[[#This Row],[OU]],OU!$A$15:$B$34,2,FALSE)</f>
        <v>RFOs</v>
      </c>
      <c r="B303" s="47" t="s">
        <v>5</v>
      </c>
      <c r="C303" s="47" t="s">
        <v>574</v>
      </c>
      <c r="D303" s="47"/>
      <c r="E303" s="47" t="s">
        <v>43</v>
      </c>
      <c r="F303" s="47" t="s">
        <v>641</v>
      </c>
      <c r="G30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30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23137000</v>
      </c>
      <c r="I303" s="52" t="str">
        <f>VLOOKUP(Table3[[#This Row],[PSGC]],DISTRICT!$D:$G,4,FALSE)</f>
        <v>1st</v>
      </c>
      <c r="J303" s="47" t="s">
        <v>581</v>
      </c>
      <c r="K303" s="51" t="str">
        <f>VLOOKUP(Table3[[#This Row],[SPECIFIC COMMODITY]],TAGS!$W$48:$X$53,2,FALSE)</f>
        <v>Sorghum</v>
      </c>
      <c r="L303" s="51" t="str">
        <f>VLOOKUP(Table3[[#This Row],[PREXC SUB-PROGRAM]],Table5[],2,FALSE)</f>
        <v>TECHNICAL AND SUPPORT SERVICES PROGRAM</v>
      </c>
      <c r="M303" s="51" t="str">
        <f>VLOOKUP(Table3[[#This Row],[COMMODITY PREXC SUB-PROGRAM]],TAGS!$U$54:$V$76,2,FALSE)</f>
        <v>ESETS</v>
      </c>
      <c r="N303" s="47" t="s">
        <v>590</v>
      </c>
      <c r="O303" s="54" t="str">
        <f>VLOOKUP(Table3[[#This Row],[PI LEVEL 3]],'PI LEVEL'!A:C,3,FALSE)</f>
        <v>Technology demonstrations established/maintained</v>
      </c>
      <c r="P303" s="54" t="str">
        <f>VLOOKUP(Table3[[#This Row],[PI LEVEL 3]],Table53729[[Performance Indicator Level 3]:[Performance Indicator Level 1]],2,FALSE)</f>
        <v>Model Farms established</v>
      </c>
      <c r="Q303" s="54" t="str">
        <f>VLOOKUP(Table3[[#This Row],[ACTIVITY]],TAGS!B:P,2,FALSE)</f>
        <v>Model Farms established</v>
      </c>
      <c r="R303" s="47" t="s">
        <v>115</v>
      </c>
      <c r="S303" s="51" t="str">
        <f>VLOOKUP(Table3[[#This Row],[ACTIVITY]],TAGS!$B:$P,4,FALSE)</f>
        <v>Model Farm establishment</v>
      </c>
      <c r="T303" s="51" t="str">
        <f>VLOOKUP(Table3[[#This Row],[ACTIVITY]],TAGS!$B:$P,5,FALSE)</f>
        <v>Model farm</v>
      </c>
      <c r="U303" s="51" t="str">
        <f>VLOOKUP(Table3[[#This Row],[ACTIVITY]],TAGS!$B:$P,6,FALSE)</f>
        <v>Sorghum model farm</v>
      </c>
      <c r="V303" s="51" t="str">
        <f>VLOOKUP(Table3[[#This Row],[ACTIVITY]],TAGS!$B:$P,7,FALSE)</f>
        <v>YES</v>
      </c>
      <c r="W303" s="51" t="str">
        <f>VLOOKUP(Table3[[#This Row],[ACTIVITY]],TAGS!$B:$P,8,FALSE)</f>
        <v>PAP</v>
      </c>
      <c r="X303" s="51" t="str">
        <f>VLOOKUP(Table3[[#This Row],[ACTIVITY]],TAGS!$B:$P,10,FALSE)</f>
        <v>PIP</v>
      </c>
      <c r="Y303" s="51" t="str">
        <f>VLOOKUP(Table3[[#This Row],[ACTIVITY]],TAGS!$B:$P,11,FALSE)</f>
        <v>PICS</v>
      </c>
      <c r="Z303" s="51" t="str">
        <f>VLOOKUP(Table3[[#This Row],[ACTIVITY]],TAGS!$B:$P,12,FALSE)</f>
        <v>Consolidation</v>
      </c>
      <c r="AA303" s="51" t="str">
        <f>VLOOKUP(Table3[[#This Row],[ACTIVITY]],TAGS!$B:$P,13,FALSE)</f>
        <v>1. Bayanihan Agri Cluster</v>
      </c>
      <c r="AB303" s="51" t="str">
        <f>VLOOKUP(Table3[[#This Row],[ACTIVITY]],TAGS!$B:$P,14,FALSE)</f>
        <v>EXPAND AND IMPROVE AVAILABLE AGRI-FISHERY AREAS FOR INCREASED PRODUCTION</v>
      </c>
      <c r="AC303" s="51" t="str">
        <f>VLOOKUP(Table3[[#This Row],[ACTIVITY]],TAGS!$B:$P,15,FALSE)</f>
        <v>Farm Inputs</v>
      </c>
      <c r="AD303" s="51" t="str">
        <f>VLOOKUP(Table3[[#This Row],[PI LEVEL 3]],'PI LEVEL'!$A:$G,7,FALSE)</f>
        <v>DA-Level Output</v>
      </c>
      <c r="AE303" s="47" t="s">
        <v>577</v>
      </c>
      <c r="AF303" s="51" t="str">
        <f>VLOOKUP(Table3[[#This Row],[ACTIVITY]],TAGS!$B:$P,3,FALSE)</f>
        <v>number</v>
      </c>
      <c r="AG303" s="47" t="s">
        <v>337</v>
      </c>
      <c r="AH303" s="51" t="str">
        <f>VLOOKUP(Table3[[#This Row],[MONTH]],TAGS!$W$67:$Y$81,2,FALSE)</f>
        <v>4TH QTR</v>
      </c>
      <c r="AI303" s="51" t="str">
        <f>VLOOKUP(Table3[[#This Row],[MONTH]],TAGS!$W$67:$Y$81,3,FALSE)</f>
        <v>2ND SEMESTER</v>
      </c>
      <c r="AJ303" s="51">
        <f>VLOOKUP(Table3[[#This Row],[MONTH]],TAGS!$W$67:$Z$81,4,FALSE)</f>
        <v>2025</v>
      </c>
      <c r="AK303" s="47">
        <v>1</v>
      </c>
      <c r="AL303" s="51" t="str">
        <f>VLOOKUP(Table3[[#This Row],[ACTIVITY]],TAGS!$B:$R,16,FALSE)</f>
        <v>YES</v>
      </c>
      <c r="AM303" s="47">
        <v>10</v>
      </c>
      <c r="AN303" s="47">
        <v>280</v>
      </c>
      <c r="AO303" s="57">
        <f>SUM(Table3[[#This Row],[MALE BENEFICIARIES]:[FEMALE BENEFICIARIES]])</f>
        <v>0</v>
      </c>
      <c r="AP303" s="58"/>
      <c r="AQ303" s="58"/>
      <c r="AR303" s="58"/>
      <c r="AS303" s="58"/>
      <c r="AT303" s="59" t="str">
        <f>VLOOKUP(Table3[[#This Row],[ACTIVITY]],TAGS!$B:$R,17,FALSE)</f>
        <v>NO</v>
      </c>
      <c r="AU303" s="59"/>
      <c r="AV303" s="59"/>
      <c r="AW303" s="59"/>
      <c r="AX303" s="59"/>
      <c r="AY303" s="59"/>
      <c r="AZ303" s="59"/>
      <c r="BA303" s="59"/>
      <c r="BB303" s="59"/>
      <c r="BC303" s="59"/>
      <c r="BD303" s="59"/>
      <c r="BE303" s="59"/>
      <c r="BF303" s="59"/>
      <c r="BG303" s="59"/>
      <c r="BH303" s="59"/>
      <c r="BI303" s="59"/>
      <c r="BJ303" s="59"/>
      <c r="BK303" s="59"/>
      <c r="BL303" s="59"/>
      <c r="BM303" s="59"/>
    </row>
    <row r="304" spans="1:65">
      <c r="A304" s="51" t="str">
        <f>VLOOKUP(Table3[[#This Row],[OU]],OU!$A$15:$B$34,2,FALSE)</f>
        <v>RFOs</v>
      </c>
      <c r="B304" s="47" t="s">
        <v>5</v>
      </c>
      <c r="C304" s="47" t="s">
        <v>574</v>
      </c>
      <c r="D304" s="47"/>
      <c r="E304" s="47" t="s">
        <v>43</v>
      </c>
      <c r="F304" s="47" t="s">
        <v>641</v>
      </c>
      <c r="G30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30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23137000</v>
      </c>
      <c r="I304" s="52" t="str">
        <f>VLOOKUP(Table3[[#This Row],[PSGC]],DISTRICT!$D:$G,4,FALSE)</f>
        <v>1st</v>
      </c>
      <c r="J304" s="47" t="s">
        <v>581</v>
      </c>
      <c r="K304" s="51" t="str">
        <f>VLOOKUP(Table3[[#This Row],[SPECIFIC COMMODITY]],TAGS!$W$48:$X$53,2,FALSE)</f>
        <v>Sorghum</v>
      </c>
      <c r="L304" s="51" t="str">
        <f>VLOOKUP(Table3[[#This Row],[PREXC SUB-PROGRAM]],Table5[],2,FALSE)</f>
        <v>TECHNICAL AND SUPPORT SERVICES PROGRAM</v>
      </c>
      <c r="M304" s="51" t="str">
        <f>VLOOKUP(Table3[[#This Row],[COMMODITY PREXC SUB-PROGRAM]],TAGS!$U$54:$V$76,2,FALSE)</f>
        <v>ESETS</v>
      </c>
      <c r="N304" s="47" t="s">
        <v>590</v>
      </c>
      <c r="O304" s="54" t="str">
        <f>VLOOKUP(Table3[[#This Row],[PI LEVEL 3]],'PI LEVEL'!A:C,3,FALSE)</f>
        <v>Technology demonstrations established/maintained</v>
      </c>
      <c r="P304" s="54" t="str">
        <f>VLOOKUP(Table3[[#This Row],[PI LEVEL 3]],Table53729[[Performance Indicator Level 3]:[Performance Indicator Level 1]],2,FALSE)</f>
        <v>Techno demo established</v>
      </c>
      <c r="Q304" s="54" t="str">
        <f>VLOOKUP(Table3[[#This Row],[ACTIVITY]],TAGS!B:P,2,FALSE)</f>
        <v>Techno demo established</v>
      </c>
      <c r="R304" s="47" t="s">
        <v>117</v>
      </c>
      <c r="S304" s="51" t="str">
        <f>VLOOKUP(Table3[[#This Row],[ACTIVITY]],TAGS!$B:$P,4,FALSE)</f>
        <v>Techno Demo establishment</v>
      </c>
      <c r="T304" s="51" t="str">
        <f>VLOOKUP(Table3[[#This Row],[ACTIVITY]],TAGS!$B:$P,5,FALSE)</f>
        <v>Techno Demo</v>
      </c>
      <c r="U304" s="51" t="str">
        <f>VLOOKUP(Table3[[#This Row],[ACTIVITY]],TAGS!$B:$P,6,FALSE)</f>
        <v>Sorghum techno demo</v>
      </c>
      <c r="V304" s="51" t="str">
        <f>VLOOKUP(Table3[[#This Row],[ACTIVITY]],TAGS!$B:$P,7,FALSE)</f>
        <v>YES</v>
      </c>
      <c r="W304" s="51" t="str">
        <f>VLOOKUP(Table3[[#This Row],[ACTIVITY]],TAGS!$B:$P,8,FALSE)</f>
        <v>PAP</v>
      </c>
      <c r="X304" s="51" t="str">
        <f>VLOOKUP(Table3[[#This Row],[ACTIVITY]],TAGS!$B:$P,10,FALSE)</f>
        <v>PIP</v>
      </c>
      <c r="Y304" s="51" t="str">
        <f>VLOOKUP(Table3[[#This Row],[ACTIVITY]],TAGS!$B:$P,11,FALSE)</f>
        <v>PICS</v>
      </c>
      <c r="Z304" s="51" t="str">
        <f>VLOOKUP(Table3[[#This Row],[ACTIVITY]],TAGS!$B:$P,12,FALSE)</f>
        <v>Consolidation</v>
      </c>
      <c r="AA304" s="51" t="str">
        <f>VLOOKUP(Table3[[#This Row],[ACTIVITY]],TAGS!$B:$P,13,FALSE)</f>
        <v>1. Bayanihan Agri Cluster</v>
      </c>
      <c r="AB304" s="51" t="str">
        <f>VLOOKUP(Table3[[#This Row],[ACTIVITY]],TAGS!$B:$P,14,FALSE)</f>
        <v>EXPAND AND IMPROVE AVAILABLE AGRI-FISHERY AREAS FOR INCREASED PRODUCTION</v>
      </c>
      <c r="AC304" s="51" t="str">
        <f>VLOOKUP(Table3[[#This Row],[ACTIVITY]],TAGS!$B:$P,15,FALSE)</f>
        <v>Farm Inputs</v>
      </c>
      <c r="AD304" s="51" t="str">
        <f>VLOOKUP(Table3[[#This Row],[PI LEVEL 3]],'PI LEVEL'!$A:$G,7,FALSE)</f>
        <v>DA-Level Output</v>
      </c>
      <c r="AE304" s="47" t="s">
        <v>577</v>
      </c>
      <c r="AF304" s="51" t="str">
        <f>VLOOKUP(Table3[[#This Row],[ACTIVITY]],TAGS!$B:$P,3,FALSE)</f>
        <v>number</v>
      </c>
      <c r="AG304" s="47" t="s">
        <v>337</v>
      </c>
      <c r="AH304" s="51" t="str">
        <f>VLOOKUP(Table3[[#This Row],[MONTH]],TAGS!$W$67:$Y$81,2,FALSE)</f>
        <v>4TH QTR</v>
      </c>
      <c r="AI304" s="51" t="str">
        <f>VLOOKUP(Table3[[#This Row],[MONTH]],TAGS!$W$67:$Y$81,3,FALSE)</f>
        <v>2ND SEMESTER</v>
      </c>
      <c r="AJ304" s="51">
        <f>VLOOKUP(Table3[[#This Row],[MONTH]],TAGS!$W$67:$Z$81,4,FALSE)</f>
        <v>2025</v>
      </c>
      <c r="AK304" s="47">
        <v>4</v>
      </c>
      <c r="AL304" s="51" t="str">
        <f>VLOOKUP(Table3[[#This Row],[ACTIVITY]],TAGS!$B:$R,16,FALSE)</f>
        <v>YES</v>
      </c>
      <c r="AM304" s="47">
        <v>4</v>
      </c>
      <c r="AN304" s="47">
        <v>160</v>
      </c>
      <c r="AO304" s="57">
        <f>SUM(Table3[[#This Row],[MALE BENEFICIARIES]:[FEMALE BENEFICIARIES]])</f>
        <v>0</v>
      </c>
      <c r="AP304" s="58"/>
      <c r="AQ304" s="58"/>
      <c r="AR304" s="58"/>
      <c r="AS304" s="58"/>
      <c r="AT304" s="59" t="str">
        <f>VLOOKUP(Table3[[#This Row],[ACTIVITY]],TAGS!$B:$R,17,FALSE)</f>
        <v>NO</v>
      </c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</row>
    <row r="305" spans="1:65">
      <c r="A305" s="51" t="str">
        <f>VLOOKUP(Table3[[#This Row],[OU]],OU!$A$15:$B$34,2,FALSE)</f>
        <v>RFOs</v>
      </c>
      <c r="B305" s="47" t="s">
        <v>5</v>
      </c>
      <c r="C305" s="47" t="s">
        <v>574</v>
      </c>
      <c r="D305" s="47"/>
      <c r="E305" s="47" t="s">
        <v>78</v>
      </c>
      <c r="F305" s="47" t="s">
        <v>77</v>
      </c>
      <c r="G30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30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305" s="52" t="e">
        <f>VLOOKUP(Table3[[#This Row],[PSGC]],DISTRICT!$D:$G,4,FALSE)</f>
        <v>#N/A</v>
      </c>
      <c r="J305" s="47" t="s">
        <v>581</v>
      </c>
      <c r="K305" s="51" t="str">
        <f>VLOOKUP(Table3[[#This Row],[SPECIFIC COMMODITY]],TAGS!$W$48:$X$53,2,FALSE)</f>
        <v>Sorghum</v>
      </c>
      <c r="L305" s="51" t="str">
        <f>VLOOKUP(Table3[[#This Row],[PREXC SUB-PROGRAM]],Table5[],2,FALSE)</f>
        <v>TECHNICAL AND SUPPORT SERVICES PROGRAM</v>
      </c>
      <c r="M305" s="51" t="str">
        <f>VLOOKUP(Table3[[#This Row],[COMMODITY PREXC SUB-PROGRAM]],TAGS!$U$54:$V$76,2,FALSE)</f>
        <v>ESETS</v>
      </c>
      <c r="N305" s="47" t="s">
        <v>590</v>
      </c>
      <c r="O305" s="54" t="str">
        <f>VLOOKUP(Table3[[#This Row],[PI LEVEL 3]],'PI LEVEL'!A:C,3,FALSE)</f>
        <v>Training conducted</v>
      </c>
      <c r="P305" s="54" t="str">
        <f>VLOOKUP(Table3[[#This Row],[PI LEVEL 3]],Table53729[[Performance Indicator Level 3]:[Performance Indicator Level 1]],2,FALSE)</f>
        <v>Other training conducted</v>
      </c>
      <c r="Q305" s="54" t="str">
        <f>VLOOKUP(Table3[[#This Row],[ACTIVITY]],TAGS!B:P,2,FALSE)</f>
        <v>Other training conducted_Farmers/Fisherfolk/Other External Participants</v>
      </c>
      <c r="R305" s="47" t="s">
        <v>153</v>
      </c>
      <c r="S305" s="51" t="str">
        <f>VLOOKUP(Table3[[#This Row],[ACTIVITY]],TAGS!$B:$P,4,FALSE)</f>
        <v>Trainings</v>
      </c>
      <c r="T305" s="51" t="str">
        <f>VLOOKUP(Table3[[#This Row],[ACTIVITY]],TAGS!$B:$P,5,FALSE)</f>
        <v>Trainings</v>
      </c>
      <c r="U305" s="51" t="str">
        <f>VLOOKUP(Table3[[#This Row],[ACTIVITY]],TAGS!$B:$P,6,FALSE)</f>
        <v>Sorghum Production Training </v>
      </c>
      <c r="V305" s="51" t="str">
        <f>VLOOKUP(Table3[[#This Row],[ACTIVITY]],TAGS!$B:$P,7,FALSE)</f>
        <v>NO</v>
      </c>
      <c r="W305" s="51" t="str">
        <f>VLOOKUP(Table3[[#This Row],[ACTIVITY]],TAGS!$B:$P,8,FALSE)</f>
        <v>PAP</v>
      </c>
      <c r="X305" s="51" t="str">
        <f>VLOOKUP(Table3[[#This Row],[ACTIVITY]],TAGS!$B:$P,10,FALSE)</f>
        <v>PIP</v>
      </c>
      <c r="Y305" s="51" t="str">
        <f>VLOOKUP(Table3[[#This Row],[ACTIVITY]],TAGS!$B:$P,11,FALSE)</f>
        <v>PICS</v>
      </c>
      <c r="Z305" s="51" t="str">
        <f>VLOOKUP(Table3[[#This Row],[ACTIVITY]],TAGS!$B:$P,12,FALSE)</f>
        <v>Consolidation</v>
      </c>
      <c r="AA305" s="51" t="str">
        <f>VLOOKUP(Table3[[#This Row],[ACTIVITY]],TAGS!$B:$P,13,FALSE)</f>
        <v>1. Bayanihan Agri Cluster</v>
      </c>
      <c r="AB305" s="51" t="str">
        <f>VLOOKUP(Table3[[#This Row],[ACTIVITY]],TAGS!$B:$P,14,FALSE)</f>
        <v>EXPAND AND IMPROVE AVAILABLE AGRI-FISHERY AREAS FOR INCREASED PRODUCTION</v>
      </c>
      <c r="AC305" s="51" t="str">
        <f>VLOOKUP(Table3[[#This Row],[ACTIVITY]],TAGS!$B:$P,15,FALSE)</f>
        <v>Capacity Building</v>
      </c>
      <c r="AD305" s="51" t="str">
        <f>VLOOKUP(Table3[[#This Row],[PI LEVEL 3]],'PI LEVEL'!$A:$G,7,FALSE)</f>
        <v>PREXC/DA-Level Output</v>
      </c>
      <c r="AE305" s="47" t="s">
        <v>577</v>
      </c>
      <c r="AF305" s="51" t="str">
        <f>VLOOKUP(Table3[[#This Row],[ACTIVITY]],TAGS!$B:$P,3,FALSE)</f>
        <v>number</v>
      </c>
      <c r="AG305" s="47" t="s">
        <v>333</v>
      </c>
      <c r="AH305" s="51" t="str">
        <f>VLOOKUP(Table3[[#This Row],[MONTH]],TAGS!$W$67:$Y$81,2,FALSE)</f>
        <v>3RD QTR</v>
      </c>
      <c r="AI305" s="51" t="str">
        <f>VLOOKUP(Table3[[#This Row],[MONTH]],TAGS!$W$67:$Y$81,3,FALSE)</f>
        <v>2ND SEMESTER</v>
      </c>
      <c r="AJ305" s="51">
        <f>VLOOKUP(Table3[[#This Row],[MONTH]],TAGS!$W$67:$Z$81,4,FALSE)</f>
        <v>2025</v>
      </c>
      <c r="AK305" s="47">
        <v>1</v>
      </c>
      <c r="AL305" s="51" t="str">
        <f>VLOOKUP(Table3[[#This Row],[ACTIVITY]],TAGS!$B:$R,16,FALSE)</f>
        <v>NO</v>
      </c>
      <c r="AM305" s="47"/>
      <c r="AN305" s="47">
        <v>35</v>
      </c>
      <c r="AO305" s="57">
        <f>SUM(Table3[[#This Row],[MALE BENEFICIARIES]:[FEMALE BENEFICIARIES]])</f>
        <v>30</v>
      </c>
      <c r="AP305" s="58"/>
      <c r="AQ305" s="58">
        <v>24</v>
      </c>
      <c r="AR305" s="58">
        <v>6</v>
      </c>
      <c r="AS305" s="58"/>
      <c r="AT305" s="59" t="str">
        <f>VLOOKUP(Table3[[#This Row],[ACTIVITY]],TAGS!$B:$R,17,FALSE)</f>
        <v>NO</v>
      </c>
      <c r="AU305" s="59"/>
      <c r="AV305" s="59"/>
      <c r="AW305" s="59"/>
      <c r="AX305" s="59"/>
      <c r="AY305" s="59"/>
      <c r="AZ305" s="59"/>
      <c r="BA305" s="59"/>
      <c r="BB305" s="59"/>
      <c r="BC305" s="59"/>
      <c r="BD305" s="59"/>
      <c r="BE305" s="59"/>
      <c r="BF305" s="59"/>
      <c r="BG305" s="59"/>
      <c r="BH305" s="59"/>
      <c r="BI305" s="59"/>
      <c r="BJ305" s="59"/>
      <c r="BK305" s="59"/>
      <c r="BL305" s="59"/>
      <c r="BM305" s="59"/>
    </row>
    <row r="306" spans="1:65">
      <c r="A306" s="51" t="str">
        <f>VLOOKUP(Table3[[#This Row],[OU]],OU!$A$15:$B$34,2,FALSE)</f>
        <v>RFOs</v>
      </c>
      <c r="B306" s="47" t="s">
        <v>5</v>
      </c>
      <c r="C306" s="47" t="s">
        <v>574</v>
      </c>
      <c r="D306" s="47"/>
      <c r="E306" s="47" t="s">
        <v>78</v>
      </c>
      <c r="F306" s="47" t="s">
        <v>77</v>
      </c>
      <c r="G30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30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306" s="52" t="e">
        <f>VLOOKUP(Table3[[#This Row],[PSGC]],DISTRICT!$D:$G,4,FALSE)</f>
        <v>#N/A</v>
      </c>
      <c r="J306" s="47" t="s">
        <v>581</v>
      </c>
      <c r="K306" s="51" t="str">
        <f>VLOOKUP(Table3[[#This Row],[SPECIFIC COMMODITY]],TAGS!$W$48:$X$53,2,FALSE)</f>
        <v>Sorghum</v>
      </c>
      <c r="L306" s="51" t="str">
        <f>VLOOKUP(Table3[[#This Row],[PREXC SUB-PROGRAM]],Table5[],2,FALSE)</f>
        <v>TECHNICAL AND SUPPORT SERVICES PROGRAM</v>
      </c>
      <c r="M306" s="51" t="str">
        <f>VLOOKUP(Table3[[#This Row],[COMMODITY PREXC SUB-PROGRAM]],TAGS!$U$54:$V$76,2,FALSE)</f>
        <v>ESETS</v>
      </c>
      <c r="N306" s="47" t="s">
        <v>590</v>
      </c>
      <c r="O306" s="54" t="str">
        <f>VLOOKUP(Table3[[#This Row],[PI LEVEL 3]],'PI LEVEL'!A:C,3,FALSE)</f>
        <v>Training conducted</v>
      </c>
      <c r="P306" s="54" t="str">
        <f>VLOOKUP(Table3[[#This Row],[PI LEVEL 3]],Table53729[[Performance Indicator Level 3]:[Performance Indicator Level 1]],2,FALSE)</f>
        <v>Other training conducted</v>
      </c>
      <c r="Q306" s="54" t="str">
        <f>VLOOKUP(Table3[[#This Row],[ACTIVITY]],TAGS!B:P,2,FALSE)</f>
        <v>Other training conducted_Farmers/Fisherfolk/Other External Participants</v>
      </c>
      <c r="R306" s="47" t="s">
        <v>153</v>
      </c>
      <c r="S306" s="51" t="str">
        <f>VLOOKUP(Table3[[#This Row],[ACTIVITY]],TAGS!$B:$P,4,FALSE)</f>
        <v>Trainings</v>
      </c>
      <c r="T306" s="51" t="str">
        <f>VLOOKUP(Table3[[#This Row],[ACTIVITY]],TAGS!$B:$P,5,FALSE)</f>
        <v>Trainings</v>
      </c>
      <c r="U306" s="51" t="str">
        <f>VLOOKUP(Table3[[#This Row],[ACTIVITY]],TAGS!$B:$P,6,FALSE)</f>
        <v>Sorghum Production Training </v>
      </c>
      <c r="V306" s="51" t="str">
        <f>VLOOKUP(Table3[[#This Row],[ACTIVITY]],TAGS!$B:$P,7,FALSE)</f>
        <v>NO</v>
      </c>
      <c r="W306" s="51" t="str">
        <f>VLOOKUP(Table3[[#This Row],[ACTIVITY]],TAGS!$B:$P,8,FALSE)</f>
        <v>PAP</v>
      </c>
      <c r="X306" s="51" t="str">
        <f>VLOOKUP(Table3[[#This Row],[ACTIVITY]],TAGS!$B:$P,10,FALSE)</f>
        <v>PIP</v>
      </c>
      <c r="Y306" s="51" t="str">
        <f>VLOOKUP(Table3[[#This Row],[ACTIVITY]],TAGS!$B:$P,11,FALSE)</f>
        <v>PICS</v>
      </c>
      <c r="Z306" s="51" t="str">
        <f>VLOOKUP(Table3[[#This Row],[ACTIVITY]],TAGS!$B:$P,12,FALSE)</f>
        <v>Consolidation</v>
      </c>
      <c r="AA306" s="51" t="str">
        <f>VLOOKUP(Table3[[#This Row],[ACTIVITY]],TAGS!$B:$P,13,FALSE)</f>
        <v>1. Bayanihan Agri Cluster</v>
      </c>
      <c r="AB306" s="51" t="str">
        <f>VLOOKUP(Table3[[#This Row],[ACTIVITY]],TAGS!$B:$P,14,FALSE)</f>
        <v>EXPAND AND IMPROVE AVAILABLE AGRI-FISHERY AREAS FOR INCREASED PRODUCTION</v>
      </c>
      <c r="AC306" s="51" t="str">
        <f>VLOOKUP(Table3[[#This Row],[ACTIVITY]],TAGS!$B:$P,15,FALSE)</f>
        <v>Capacity Building</v>
      </c>
      <c r="AD306" s="51" t="str">
        <f>VLOOKUP(Table3[[#This Row],[PI LEVEL 3]],'PI LEVEL'!$A:$G,7,FALSE)</f>
        <v>PREXC/DA-Level Output</v>
      </c>
      <c r="AE306" s="47" t="s">
        <v>577</v>
      </c>
      <c r="AF306" s="51" t="str">
        <f>VLOOKUP(Table3[[#This Row],[ACTIVITY]],TAGS!$B:$P,3,FALSE)</f>
        <v>number</v>
      </c>
      <c r="AG306" s="47" t="s">
        <v>334</v>
      </c>
      <c r="AH306" s="51" t="str">
        <f>VLOOKUP(Table3[[#This Row],[MONTH]],TAGS!$W$67:$Y$81,2,FALSE)</f>
        <v>3RD QTR</v>
      </c>
      <c r="AI306" s="51" t="str">
        <f>VLOOKUP(Table3[[#This Row],[MONTH]],TAGS!$W$67:$Y$81,3,FALSE)</f>
        <v>2ND SEMESTER</v>
      </c>
      <c r="AJ306" s="51">
        <f>VLOOKUP(Table3[[#This Row],[MONTH]],TAGS!$W$67:$Z$81,4,FALSE)</f>
        <v>2025</v>
      </c>
      <c r="AK306" s="47">
        <v>1</v>
      </c>
      <c r="AL306" s="51" t="str">
        <f>VLOOKUP(Table3[[#This Row],[ACTIVITY]],TAGS!$B:$R,16,FALSE)</f>
        <v>NO</v>
      </c>
      <c r="AM306" s="47"/>
      <c r="AN306" s="47">
        <v>35</v>
      </c>
      <c r="AO306" s="57">
        <f>SUM(Table3[[#This Row],[MALE BENEFICIARIES]:[FEMALE BENEFICIARIES]])</f>
        <v>30</v>
      </c>
      <c r="AP306" s="58"/>
      <c r="AQ306" s="58">
        <v>24</v>
      </c>
      <c r="AR306" s="58">
        <v>6</v>
      </c>
      <c r="AS306" s="58"/>
      <c r="AT306" s="59" t="str">
        <f>VLOOKUP(Table3[[#This Row],[ACTIVITY]],TAGS!$B:$R,17,FALSE)</f>
        <v>NO</v>
      </c>
      <c r="AU306" s="59"/>
      <c r="AV306" s="59"/>
      <c r="AW306" s="59"/>
      <c r="AX306" s="59"/>
      <c r="AY306" s="59"/>
      <c r="AZ306" s="59"/>
      <c r="BA306" s="59"/>
      <c r="BB306" s="59"/>
      <c r="BC306" s="59"/>
      <c r="BD306" s="59"/>
      <c r="BE306" s="59"/>
      <c r="BF306" s="59"/>
      <c r="BG306" s="59"/>
      <c r="BH306" s="59"/>
      <c r="BI306" s="59"/>
      <c r="BJ306" s="59"/>
      <c r="BK306" s="59"/>
      <c r="BL306" s="59"/>
      <c r="BM306" s="59"/>
    </row>
    <row r="307" spans="1:65">
      <c r="A307" s="51" t="str">
        <f>VLOOKUP(Table3[[#This Row],[OU]],OU!$A$15:$B$34,2,FALSE)</f>
        <v>RFOs</v>
      </c>
      <c r="B307" s="47" t="s">
        <v>5</v>
      </c>
      <c r="C307" s="47" t="s">
        <v>574</v>
      </c>
      <c r="D307" s="47"/>
      <c r="E307" s="47" t="s">
        <v>78</v>
      </c>
      <c r="F307" s="47" t="s">
        <v>77</v>
      </c>
      <c r="G30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30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307" s="52" t="e">
        <f>VLOOKUP(Table3[[#This Row],[PSGC]],DISTRICT!$D:$G,4,FALSE)</f>
        <v>#N/A</v>
      </c>
      <c r="J307" s="47" t="s">
        <v>581</v>
      </c>
      <c r="K307" s="51" t="str">
        <f>VLOOKUP(Table3[[#This Row],[SPECIFIC COMMODITY]],TAGS!$W$48:$X$53,2,FALSE)</f>
        <v>Sorghum</v>
      </c>
      <c r="L307" s="51" t="str">
        <f>VLOOKUP(Table3[[#This Row],[PREXC SUB-PROGRAM]],Table5[],2,FALSE)</f>
        <v>TECHNICAL AND SUPPORT SERVICES PROGRAM</v>
      </c>
      <c r="M307" s="51" t="str">
        <f>VLOOKUP(Table3[[#This Row],[COMMODITY PREXC SUB-PROGRAM]],TAGS!$U$54:$V$76,2,FALSE)</f>
        <v>ESETS</v>
      </c>
      <c r="N307" s="47" t="s">
        <v>590</v>
      </c>
      <c r="O307" s="54" t="str">
        <f>VLOOKUP(Table3[[#This Row],[PI LEVEL 3]],'PI LEVEL'!A:C,3,FALSE)</f>
        <v>Training conducted</v>
      </c>
      <c r="P307" s="54" t="str">
        <f>VLOOKUP(Table3[[#This Row],[PI LEVEL 3]],Table53729[[Performance Indicator Level 3]:[Performance Indicator Level 1]],2,FALSE)</f>
        <v>Other training conducted</v>
      </c>
      <c r="Q307" s="54" t="str">
        <f>VLOOKUP(Table3[[#This Row],[ACTIVITY]],TAGS!B:P,2,FALSE)</f>
        <v>Other training conducted_Farmers/Fisherfolk/Other External Participants</v>
      </c>
      <c r="R307" s="47" t="s">
        <v>153</v>
      </c>
      <c r="S307" s="51" t="str">
        <f>VLOOKUP(Table3[[#This Row],[ACTIVITY]],TAGS!$B:$P,4,FALSE)</f>
        <v>Trainings</v>
      </c>
      <c r="T307" s="51" t="str">
        <f>VLOOKUP(Table3[[#This Row],[ACTIVITY]],TAGS!$B:$P,5,FALSE)</f>
        <v>Trainings</v>
      </c>
      <c r="U307" s="51" t="str">
        <f>VLOOKUP(Table3[[#This Row],[ACTIVITY]],TAGS!$B:$P,6,FALSE)</f>
        <v>Sorghum Production Training </v>
      </c>
      <c r="V307" s="51" t="str">
        <f>VLOOKUP(Table3[[#This Row],[ACTIVITY]],TAGS!$B:$P,7,FALSE)</f>
        <v>NO</v>
      </c>
      <c r="W307" s="51" t="str">
        <f>VLOOKUP(Table3[[#This Row],[ACTIVITY]],TAGS!$B:$P,8,FALSE)</f>
        <v>PAP</v>
      </c>
      <c r="X307" s="51" t="str">
        <f>VLOOKUP(Table3[[#This Row],[ACTIVITY]],TAGS!$B:$P,10,FALSE)</f>
        <v>PIP</v>
      </c>
      <c r="Y307" s="51" t="str">
        <f>VLOOKUP(Table3[[#This Row],[ACTIVITY]],TAGS!$B:$P,11,FALSE)</f>
        <v>PICS</v>
      </c>
      <c r="Z307" s="51" t="str">
        <f>VLOOKUP(Table3[[#This Row],[ACTIVITY]],TAGS!$B:$P,12,FALSE)</f>
        <v>Consolidation</v>
      </c>
      <c r="AA307" s="51" t="str">
        <f>VLOOKUP(Table3[[#This Row],[ACTIVITY]],TAGS!$B:$P,13,FALSE)</f>
        <v>1. Bayanihan Agri Cluster</v>
      </c>
      <c r="AB307" s="51" t="str">
        <f>VLOOKUP(Table3[[#This Row],[ACTIVITY]],TAGS!$B:$P,14,FALSE)</f>
        <v>EXPAND AND IMPROVE AVAILABLE AGRI-FISHERY AREAS FOR INCREASED PRODUCTION</v>
      </c>
      <c r="AC307" s="51" t="str">
        <f>VLOOKUP(Table3[[#This Row],[ACTIVITY]],TAGS!$B:$P,15,FALSE)</f>
        <v>Capacity Building</v>
      </c>
      <c r="AD307" s="51" t="str">
        <f>VLOOKUP(Table3[[#This Row],[PI LEVEL 3]],'PI LEVEL'!$A:$G,7,FALSE)</f>
        <v>PREXC/DA-Level Output</v>
      </c>
      <c r="AE307" s="47" t="s">
        <v>577</v>
      </c>
      <c r="AF307" s="51" t="str">
        <f>VLOOKUP(Table3[[#This Row],[ACTIVITY]],TAGS!$B:$P,3,FALSE)</f>
        <v>number</v>
      </c>
      <c r="AG307" s="47" t="s">
        <v>335</v>
      </c>
      <c r="AH307" s="51" t="str">
        <f>VLOOKUP(Table3[[#This Row],[MONTH]],TAGS!$W$67:$Y$81,2,FALSE)</f>
        <v>3RD QTR</v>
      </c>
      <c r="AI307" s="51" t="str">
        <f>VLOOKUP(Table3[[#This Row],[MONTH]],TAGS!$W$67:$Y$81,3,FALSE)</f>
        <v>2ND SEMESTER</v>
      </c>
      <c r="AJ307" s="51">
        <f>VLOOKUP(Table3[[#This Row],[MONTH]],TAGS!$W$67:$Z$81,4,FALSE)</f>
        <v>2025</v>
      </c>
      <c r="AK307" s="47">
        <v>2</v>
      </c>
      <c r="AL307" s="51" t="str">
        <f>VLOOKUP(Table3[[#This Row],[ACTIVITY]],TAGS!$B:$R,16,FALSE)</f>
        <v>NO</v>
      </c>
      <c r="AM307" s="47"/>
      <c r="AN307" s="47">
        <v>70</v>
      </c>
      <c r="AO307" s="57">
        <f>SUM(Table3[[#This Row],[MALE BENEFICIARIES]:[FEMALE BENEFICIARIES]])</f>
        <v>60</v>
      </c>
      <c r="AP307" s="58"/>
      <c r="AQ307" s="58">
        <v>48</v>
      </c>
      <c r="AR307" s="58">
        <v>12</v>
      </c>
      <c r="AS307" s="58"/>
      <c r="AT307" s="59" t="str">
        <f>VLOOKUP(Table3[[#This Row],[ACTIVITY]],TAGS!$B:$R,17,FALSE)</f>
        <v>NO</v>
      </c>
      <c r="AU307" s="59"/>
      <c r="AV307" s="59"/>
      <c r="AW307" s="59"/>
      <c r="AX307" s="59"/>
      <c r="AY307" s="59"/>
      <c r="AZ307" s="59"/>
      <c r="BA307" s="59"/>
      <c r="BB307" s="59"/>
      <c r="BC307" s="59"/>
      <c r="BD307" s="59"/>
      <c r="BE307" s="59"/>
      <c r="BF307" s="59"/>
      <c r="BG307" s="59"/>
      <c r="BH307" s="59"/>
      <c r="BI307" s="59"/>
      <c r="BJ307" s="59"/>
      <c r="BK307" s="59"/>
      <c r="BL307" s="59"/>
      <c r="BM307" s="59"/>
    </row>
    <row r="308" spans="1:65">
      <c r="A308" s="51" t="str">
        <f>VLOOKUP(Table3[[#This Row],[OU]],OU!$A$15:$B$34,2,FALSE)</f>
        <v>RFOs</v>
      </c>
      <c r="B308" s="47" t="s">
        <v>5</v>
      </c>
      <c r="C308" s="47" t="s">
        <v>574</v>
      </c>
      <c r="D308" s="47"/>
      <c r="E308" s="47" t="s">
        <v>78</v>
      </c>
      <c r="F308" s="47" t="s">
        <v>77</v>
      </c>
      <c r="G30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30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308" s="52" t="e">
        <f>VLOOKUP(Table3[[#This Row],[PSGC]],DISTRICT!$D:$G,4,FALSE)</f>
        <v>#N/A</v>
      </c>
      <c r="J308" s="47" t="s">
        <v>581</v>
      </c>
      <c r="K308" s="51" t="str">
        <f>VLOOKUP(Table3[[#This Row],[SPECIFIC COMMODITY]],TAGS!$W$48:$X$53,2,FALSE)</f>
        <v>Sorghum</v>
      </c>
      <c r="L308" s="51" t="str">
        <f>VLOOKUP(Table3[[#This Row],[PREXC SUB-PROGRAM]],Table5[],2,FALSE)</f>
        <v>TECHNICAL AND SUPPORT SERVICES PROGRAM</v>
      </c>
      <c r="M308" s="51" t="str">
        <f>VLOOKUP(Table3[[#This Row],[COMMODITY PREXC SUB-PROGRAM]],TAGS!$U$54:$V$76,2,FALSE)</f>
        <v>ESETS</v>
      </c>
      <c r="N308" s="47" t="s">
        <v>590</v>
      </c>
      <c r="O308" s="54" t="str">
        <f>VLOOKUP(Table3[[#This Row],[PI LEVEL 3]],'PI LEVEL'!A:C,3,FALSE)</f>
        <v>Knowledge Products disseminated</v>
      </c>
      <c r="P308" s="54" t="str">
        <f>VLOOKUP(Table3[[#This Row],[PI LEVEL 3]],Table53729[[Performance Indicator Level 3]:[Performance Indicator Level 1]],2,FALSE)</f>
        <v>Knowledge Products disseminated</v>
      </c>
      <c r="Q308" s="54" t="str">
        <f>VLOOKUP(Table3[[#This Row],[ACTIVITY]],TAGS!B:P,2,FALSE)</f>
        <v>Knowledge Products disseminated</v>
      </c>
      <c r="R308" s="47" t="s">
        <v>155</v>
      </c>
      <c r="S308" s="51" t="str">
        <f>VLOOKUP(Table3[[#This Row],[ACTIVITY]],TAGS!$B:$P,4,FALSE)</f>
        <v>Information, Education, and Communication Activities</v>
      </c>
      <c r="T308" s="51" t="str">
        <f>VLOOKUP(Table3[[#This Row],[ACTIVITY]],TAGS!$B:$P,5,FALSE)</f>
        <v>Information, Education, and Communication Activities</v>
      </c>
      <c r="U308" s="51" t="str">
        <f>VLOOKUP(Table3[[#This Row],[ACTIVITY]],TAGS!$B:$P,6,FALSE)</f>
        <v>IEC materials</v>
      </c>
      <c r="V308" s="51" t="str">
        <f>VLOOKUP(Table3[[#This Row],[ACTIVITY]],TAGS!$B:$P,7,FALSE)</f>
        <v>NO</v>
      </c>
      <c r="W308" s="51" t="str">
        <f>VLOOKUP(Table3[[#This Row],[ACTIVITY]],TAGS!$B:$P,8,FALSE)</f>
        <v>PAP</v>
      </c>
      <c r="X308" s="51" t="str">
        <f>VLOOKUP(Table3[[#This Row],[ACTIVITY]],TAGS!$B:$P,10,FALSE)</f>
        <v>PIP</v>
      </c>
      <c r="Y308" s="51" t="str">
        <f>VLOOKUP(Table3[[#This Row],[ACTIVITY]],TAGS!$B:$P,11,FALSE)</f>
        <v>PICS</v>
      </c>
      <c r="Z308" s="51" t="str">
        <f>VLOOKUP(Table3[[#This Row],[ACTIVITY]],TAGS!$B:$P,12,FALSE)</f>
        <v>Strategic Communication</v>
      </c>
      <c r="AA308" s="51" t="str">
        <f>VLOOKUP(Table3[[#This Row],[ACTIVITY]],TAGS!$B:$P,13,FALSE)</f>
        <v>18. Strategic Communications​</v>
      </c>
      <c r="AB308" s="51">
        <f>VLOOKUP(Table3[[#This Row],[ACTIVITY]],TAGS!$B:$P,14,FALSE)</f>
        <v>0</v>
      </c>
      <c r="AC308" s="51" t="str">
        <f>VLOOKUP(Table3[[#This Row],[ACTIVITY]],TAGS!$B:$P,15,FALSE)</f>
        <v>IEC</v>
      </c>
      <c r="AD308" s="51" t="str">
        <f>VLOOKUP(Table3[[#This Row],[PI LEVEL 3]],'PI LEVEL'!$A:$G,7,FALSE)</f>
        <v>DA-Level Output</v>
      </c>
      <c r="AE308" s="47" t="s">
        <v>577</v>
      </c>
      <c r="AF308" s="51" t="str">
        <f>VLOOKUP(Table3[[#This Row],[ACTIVITY]],TAGS!$B:$P,3,FALSE)</f>
        <v>Print disseminated</v>
      </c>
      <c r="AG308" s="47" t="s">
        <v>333</v>
      </c>
      <c r="AH308" s="51" t="str">
        <f>VLOOKUP(Table3[[#This Row],[MONTH]],TAGS!$W$67:$Y$81,2,FALSE)</f>
        <v>3RD QTR</v>
      </c>
      <c r="AI308" s="51" t="str">
        <f>VLOOKUP(Table3[[#This Row],[MONTH]],TAGS!$W$67:$Y$81,3,FALSE)</f>
        <v>2ND SEMESTER</v>
      </c>
      <c r="AJ308" s="51">
        <f>VLOOKUP(Table3[[#This Row],[MONTH]],TAGS!$W$67:$Z$81,4,FALSE)</f>
        <v>2025</v>
      </c>
      <c r="AK308" s="47">
        <v>200</v>
      </c>
      <c r="AL308" s="51" t="str">
        <f>VLOOKUP(Table3[[#This Row],[ACTIVITY]],TAGS!$B:$R,16,FALSE)</f>
        <v>NO</v>
      </c>
      <c r="AM308" s="47"/>
      <c r="AN308" s="47">
        <v>50</v>
      </c>
      <c r="AO308" s="57">
        <f>SUM(Table3[[#This Row],[MALE BENEFICIARIES]:[FEMALE BENEFICIARIES]])</f>
        <v>0</v>
      </c>
      <c r="AP308" s="58"/>
      <c r="AQ308" s="58"/>
      <c r="AR308" s="58"/>
      <c r="AS308" s="58"/>
      <c r="AT308" s="59" t="str">
        <f>VLOOKUP(Table3[[#This Row],[ACTIVITY]],TAGS!$B:$R,17,FALSE)</f>
        <v>NO</v>
      </c>
      <c r="AU308" s="59"/>
      <c r="AV308" s="59"/>
      <c r="AW308" s="59"/>
      <c r="AX308" s="59"/>
      <c r="AY308" s="59"/>
      <c r="AZ308" s="59"/>
      <c r="BA308" s="59"/>
      <c r="BB308" s="59"/>
      <c r="BC308" s="59"/>
      <c r="BD308" s="59"/>
      <c r="BE308" s="59"/>
      <c r="BF308" s="59"/>
      <c r="BG308" s="59"/>
      <c r="BH308" s="59"/>
      <c r="BI308" s="59"/>
      <c r="BJ308" s="59"/>
      <c r="BK308" s="59"/>
      <c r="BL308" s="59"/>
      <c r="BM308" s="59"/>
    </row>
    <row r="309" spans="1:65">
      <c r="A309" s="51" t="str">
        <f>VLOOKUP(Table3[[#This Row],[OU]],OU!$A$15:$B$34,2,FALSE)</f>
        <v>RFOs</v>
      </c>
      <c r="B309" s="47" t="s">
        <v>5</v>
      </c>
      <c r="C309" s="47" t="s">
        <v>574</v>
      </c>
      <c r="D309" s="47"/>
      <c r="E309" s="47" t="s">
        <v>43</v>
      </c>
      <c r="F309" s="47" t="s">
        <v>643</v>
      </c>
      <c r="G30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30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23108000</v>
      </c>
      <c r="I309" s="52" t="str">
        <f>VLOOKUP(Table3[[#This Row],[PSGC]],DISTRICT!$D:$G,4,FALSE)</f>
        <v>3rd</v>
      </c>
      <c r="J309" s="47" t="s">
        <v>583</v>
      </c>
      <c r="K309" s="51" t="str">
        <f>VLOOKUP(Table3[[#This Row],[SPECIFIC COMMODITY]],TAGS!$W$48:$X$53,2,FALSE)</f>
        <v>Soybean</v>
      </c>
      <c r="L309" s="51" t="str">
        <f>VLOOKUP(Table3[[#This Row],[PREXC SUB-PROGRAM]],Table5[],2,FALSE)</f>
        <v>TECHNICAL AND SUPPORT SERVICES PROGRAM</v>
      </c>
      <c r="M309" s="51" t="str">
        <f>VLOOKUP(Table3[[#This Row],[COMMODITY PREXC SUB-PROGRAM]],TAGS!$U$54:$V$76,2,FALSE)</f>
        <v>ESETS</v>
      </c>
      <c r="N309" s="47" t="s">
        <v>591</v>
      </c>
      <c r="O309" s="54" t="str">
        <f>VLOOKUP(Table3[[#This Row],[PI LEVEL 3]],'PI LEVEL'!A:C,3,FALSE)</f>
        <v>Technology demonstrations established/maintained</v>
      </c>
      <c r="P309" s="54" t="str">
        <f>VLOOKUP(Table3[[#This Row],[PI LEVEL 3]],Table53729[[Performance Indicator Level 3]:[Performance Indicator Level 1]],2,FALSE)</f>
        <v>Model Farms established</v>
      </c>
      <c r="Q309" s="54" t="str">
        <f>VLOOKUP(Table3[[#This Row],[ACTIVITY]],TAGS!B:P,2,FALSE)</f>
        <v>Model Farms established</v>
      </c>
      <c r="R309" s="47" t="s">
        <v>119</v>
      </c>
      <c r="S309" s="51" t="str">
        <f>VLOOKUP(Table3[[#This Row],[ACTIVITY]],TAGS!$B:$P,4,FALSE)</f>
        <v>Model Farm establishment</v>
      </c>
      <c r="T309" s="51" t="str">
        <f>VLOOKUP(Table3[[#This Row],[ACTIVITY]],TAGS!$B:$P,5,FALSE)</f>
        <v>Model farm</v>
      </c>
      <c r="U309" s="51" t="str">
        <f>VLOOKUP(Table3[[#This Row],[ACTIVITY]],TAGS!$B:$P,6,FALSE)</f>
        <v>Soybean model farm</v>
      </c>
      <c r="V309" s="51" t="str">
        <f>VLOOKUP(Table3[[#This Row],[ACTIVITY]],TAGS!$B:$P,7,FALSE)</f>
        <v>YES</v>
      </c>
      <c r="W309" s="51" t="str">
        <f>VLOOKUP(Table3[[#This Row],[ACTIVITY]],TAGS!$B:$P,8,FALSE)</f>
        <v>PAP</v>
      </c>
      <c r="X309" s="51" t="str">
        <f>VLOOKUP(Table3[[#This Row],[ACTIVITY]],TAGS!$B:$P,10,FALSE)</f>
        <v>PIP</v>
      </c>
      <c r="Y309" s="51" t="str">
        <f>VLOOKUP(Table3[[#This Row],[ACTIVITY]],TAGS!$B:$P,11,FALSE)</f>
        <v>PICS</v>
      </c>
      <c r="Z309" s="51" t="str">
        <f>VLOOKUP(Table3[[#This Row],[ACTIVITY]],TAGS!$B:$P,12,FALSE)</f>
        <v>Consolidation</v>
      </c>
      <c r="AA309" s="51" t="str">
        <f>VLOOKUP(Table3[[#This Row],[ACTIVITY]],TAGS!$B:$P,13,FALSE)</f>
        <v>1. Bayanihan Agri Cluster</v>
      </c>
      <c r="AB309" s="51" t="str">
        <f>VLOOKUP(Table3[[#This Row],[ACTIVITY]],TAGS!$B:$P,14,FALSE)</f>
        <v>EXPAND AND IMPROVE AVAILABLE AGRI-FISHERY AREAS FOR INCREASED PRODUCTION</v>
      </c>
      <c r="AC309" s="51" t="str">
        <f>VLOOKUP(Table3[[#This Row],[ACTIVITY]],TAGS!$B:$P,15,FALSE)</f>
        <v>Farm Inputs</v>
      </c>
      <c r="AD309" s="51" t="str">
        <f>VLOOKUP(Table3[[#This Row],[PI LEVEL 3]],'PI LEVEL'!$A:$G,7,FALSE)</f>
        <v>DA-Level Output</v>
      </c>
      <c r="AE309" s="47" t="s">
        <v>577</v>
      </c>
      <c r="AF309" s="51" t="str">
        <f>VLOOKUP(Table3[[#This Row],[ACTIVITY]],TAGS!$B:$P,3,FALSE)</f>
        <v>number</v>
      </c>
      <c r="AG309" s="47" t="s">
        <v>328</v>
      </c>
      <c r="AH309" s="51" t="str">
        <f>VLOOKUP(Table3[[#This Row],[MONTH]],TAGS!$W$67:$Y$81,2,FALSE)</f>
        <v>1ST QTR</v>
      </c>
      <c r="AI309" s="51" t="str">
        <f>VLOOKUP(Table3[[#This Row],[MONTH]],TAGS!$W$67:$Y$81,3,FALSE)</f>
        <v>1ST SEMESTER</v>
      </c>
      <c r="AJ309" s="51">
        <f>VLOOKUP(Table3[[#This Row],[MONTH]],TAGS!$W$67:$Z$81,4,FALSE)</f>
        <v>2025</v>
      </c>
      <c r="AK309" s="47">
        <v>1</v>
      </c>
      <c r="AL309" s="51" t="str">
        <f>VLOOKUP(Table3[[#This Row],[ACTIVITY]],TAGS!$B:$R,16,FALSE)</f>
        <v>YES</v>
      </c>
      <c r="AM309" s="47">
        <v>10</v>
      </c>
      <c r="AN309" s="47">
        <v>330</v>
      </c>
      <c r="AO309" s="57">
        <f>SUM(Table3[[#This Row],[MALE BENEFICIARIES]:[FEMALE BENEFICIARIES]])</f>
        <v>0</v>
      </c>
      <c r="AP309" s="58"/>
      <c r="AQ309" s="58"/>
      <c r="AR309" s="58"/>
      <c r="AS309" s="58"/>
      <c r="AT309" s="59" t="str">
        <f>VLOOKUP(Table3[[#This Row],[ACTIVITY]],TAGS!$B:$R,17,FALSE)</f>
        <v>NO</v>
      </c>
      <c r="AU309" s="59"/>
      <c r="AV309" s="59"/>
      <c r="AW309" s="59"/>
      <c r="AX309" s="59"/>
      <c r="AY309" s="59"/>
      <c r="AZ309" s="59"/>
      <c r="BA309" s="59"/>
      <c r="BB309" s="59"/>
      <c r="BC309" s="59"/>
      <c r="BD309" s="59"/>
      <c r="BE309" s="59"/>
      <c r="BF309" s="59"/>
      <c r="BG309" s="59"/>
      <c r="BH309" s="59"/>
      <c r="BI309" s="59"/>
      <c r="BJ309" s="59"/>
      <c r="BK309" s="59"/>
      <c r="BL309" s="59"/>
      <c r="BM309" s="59"/>
    </row>
    <row r="310" spans="1:65">
      <c r="A310" s="51" t="str">
        <f>VLOOKUP(Table3[[#This Row],[OU]],OU!$A$15:$B$34,2,FALSE)</f>
        <v>RFOs</v>
      </c>
      <c r="B310" s="47" t="s">
        <v>5</v>
      </c>
      <c r="C310" s="47" t="s">
        <v>574</v>
      </c>
      <c r="D310" s="47"/>
      <c r="E310" s="47" t="s">
        <v>43</v>
      </c>
      <c r="F310" s="47" t="s">
        <v>643</v>
      </c>
      <c r="G31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31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23108000</v>
      </c>
      <c r="I310" s="52" t="str">
        <f>VLOOKUP(Table3[[#This Row],[PSGC]],DISTRICT!$D:$G,4,FALSE)</f>
        <v>3rd</v>
      </c>
      <c r="J310" s="47" t="s">
        <v>583</v>
      </c>
      <c r="K310" s="51" t="str">
        <f>VLOOKUP(Table3[[#This Row],[SPECIFIC COMMODITY]],TAGS!$W$48:$X$53,2,FALSE)</f>
        <v>Soybean</v>
      </c>
      <c r="L310" s="51" t="str">
        <f>VLOOKUP(Table3[[#This Row],[PREXC SUB-PROGRAM]],Table5[],2,FALSE)</f>
        <v>TECHNICAL AND SUPPORT SERVICES PROGRAM</v>
      </c>
      <c r="M310" s="51" t="str">
        <f>VLOOKUP(Table3[[#This Row],[COMMODITY PREXC SUB-PROGRAM]],TAGS!$U$54:$V$76,2,FALSE)</f>
        <v>ESETS</v>
      </c>
      <c r="N310" s="47" t="s">
        <v>591</v>
      </c>
      <c r="O310" s="54" t="str">
        <f>VLOOKUP(Table3[[#This Row],[PI LEVEL 3]],'PI LEVEL'!A:C,3,FALSE)</f>
        <v>Technology demonstrations established/maintained</v>
      </c>
      <c r="P310" s="54" t="str">
        <f>VLOOKUP(Table3[[#This Row],[PI LEVEL 3]],Table53729[[Performance Indicator Level 3]:[Performance Indicator Level 1]],2,FALSE)</f>
        <v>Techno demo established</v>
      </c>
      <c r="Q310" s="54" t="str">
        <f>VLOOKUP(Table3[[#This Row],[ACTIVITY]],TAGS!B:P,2,FALSE)</f>
        <v>Techno demo established</v>
      </c>
      <c r="R310" s="47" t="s">
        <v>121</v>
      </c>
      <c r="S310" s="51" t="str">
        <f>VLOOKUP(Table3[[#This Row],[ACTIVITY]],TAGS!$B:$P,4,FALSE)</f>
        <v>Techno Demo establishment</v>
      </c>
      <c r="T310" s="51" t="str">
        <f>VLOOKUP(Table3[[#This Row],[ACTIVITY]],TAGS!$B:$P,5,FALSE)</f>
        <v>Techno Demo</v>
      </c>
      <c r="U310" s="51" t="str">
        <f>VLOOKUP(Table3[[#This Row],[ACTIVITY]],TAGS!$B:$P,6,FALSE)</f>
        <v>Soybean techno demo</v>
      </c>
      <c r="V310" s="51" t="str">
        <f>VLOOKUP(Table3[[#This Row],[ACTIVITY]],TAGS!$B:$P,7,FALSE)</f>
        <v>YES</v>
      </c>
      <c r="W310" s="51" t="str">
        <f>VLOOKUP(Table3[[#This Row],[ACTIVITY]],TAGS!$B:$P,8,FALSE)</f>
        <v>PAP</v>
      </c>
      <c r="X310" s="51" t="str">
        <f>VLOOKUP(Table3[[#This Row],[ACTIVITY]],TAGS!$B:$P,10,FALSE)</f>
        <v>PIP</v>
      </c>
      <c r="Y310" s="51" t="str">
        <f>VLOOKUP(Table3[[#This Row],[ACTIVITY]],TAGS!$B:$P,11,FALSE)</f>
        <v>PICS</v>
      </c>
      <c r="Z310" s="51" t="str">
        <f>VLOOKUP(Table3[[#This Row],[ACTIVITY]],TAGS!$B:$P,12,FALSE)</f>
        <v>Consolidation</v>
      </c>
      <c r="AA310" s="51" t="str">
        <f>VLOOKUP(Table3[[#This Row],[ACTIVITY]],TAGS!$B:$P,13,FALSE)</f>
        <v>1. Bayanihan Agri Cluster</v>
      </c>
      <c r="AB310" s="51" t="str">
        <f>VLOOKUP(Table3[[#This Row],[ACTIVITY]],TAGS!$B:$P,14,FALSE)</f>
        <v>EXPAND AND IMPROVE AVAILABLE AGRI-FISHERY AREAS FOR INCREASED PRODUCTION</v>
      </c>
      <c r="AC310" s="51" t="str">
        <f>VLOOKUP(Table3[[#This Row],[ACTIVITY]],TAGS!$B:$P,15,FALSE)</f>
        <v>Farm Inputs</v>
      </c>
      <c r="AD310" s="51" t="str">
        <f>VLOOKUP(Table3[[#This Row],[PI LEVEL 3]],'PI LEVEL'!$A:$G,7,FALSE)</f>
        <v>DA-Level Output</v>
      </c>
      <c r="AE310" s="47" t="s">
        <v>577</v>
      </c>
      <c r="AF310" s="51" t="str">
        <f>VLOOKUP(Table3[[#This Row],[ACTIVITY]],TAGS!$B:$P,3,FALSE)</f>
        <v>number</v>
      </c>
      <c r="AG310" s="47" t="s">
        <v>328</v>
      </c>
      <c r="AH310" s="51" t="str">
        <f>VLOOKUP(Table3[[#This Row],[MONTH]],TAGS!$W$67:$Y$81,2,FALSE)</f>
        <v>1ST QTR</v>
      </c>
      <c r="AI310" s="51" t="str">
        <f>VLOOKUP(Table3[[#This Row],[MONTH]],TAGS!$W$67:$Y$81,3,FALSE)</f>
        <v>1ST SEMESTER</v>
      </c>
      <c r="AJ310" s="51">
        <f>VLOOKUP(Table3[[#This Row],[MONTH]],TAGS!$W$67:$Z$81,4,FALSE)</f>
        <v>2025</v>
      </c>
      <c r="AK310" s="47">
        <v>1</v>
      </c>
      <c r="AL310" s="51" t="str">
        <f>VLOOKUP(Table3[[#This Row],[ACTIVITY]],TAGS!$B:$R,16,FALSE)</f>
        <v>YES</v>
      </c>
      <c r="AM310" s="47">
        <v>4</v>
      </c>
      <c r="AN310" s="47">
        <v>200</v>
      </c>
      <c r="AO310" s="57">
        <f>SUM(Table3[[#This Row],[MALE BENEFICIARIES]:[FEMALE BENEFICIARIES]])</f>
        <v>0</v>
      </c>
      <c r="AP310" s="58"/>
      <c r="AQ310" s="58"/>
      <c r="AR310" s="58"/>
      <c r="AS310" s="58"/>
      <c r="AT310" s="59" t="str">
        <f>VLOOKUP(Table3[[#This Row],[ACTIVITY]],TAGS!$B:$R,17,FALSE)</f>
        <v>NO</v>
      </c>
      <c r="AU310" s="59"/>
      <c r="AV310" s="59"/>
      <c r="AW310" s="59"/>
      <c r="AX310" s="59"/>
      <c r="AY310" s="59"/>
      <c r="AZ310" s="59"/>
      <c r="BA310" s="59"/>
      <c r="BB310" s="59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</row>
    <row r="311" spans="1:65">
      <c r="A311" s="51" t="str">
        <f>VLOOKUP(Table3[[#This Row],[OU]],OU!$A$15:$B$34,2,FALSE)</f>
        <v>RFOs</v>
      </c>
      <c r="B311" s="47" t="s">
        <v>5</v>
      </c>
      <c r="C311" s="47" t="s">
        <v>574</v>
      </c>
      <c r="D311" s="47"/>
      <c r="E311" s="47" t="s">
        <v>78</v>
      </c>
      <c r="F311" s="47" t="s">
        <v>77</v>
      </c>
      <c r="G31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31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311" s="52" t="e">
        <f>VLOOKUP(Table3[[#This Row],[PSGC]],DISTRICT!$D:$G,4,FALSE)</f>
        <v>#N/A</v>
      </c>
      <c r="J311" s="47" t="s">
        <v>583</v>
      </c>
      <c r="K311" s="51" t="str">
        <f>VLOOKUP(Table3[[#This Row],[SPECIFIC COMMODITY]],TAGS!$W$48:$X$53,2,FALSE)</f>
        <v>Soybean</v>
      </c>
      <c r="L311" s="51" t="str">
        <f>VLOOKUP(Table3[[#This Row],[PREXC SUB-PROGRAM]],Table5[],2,FALSE)</f>
        <v>TECHNICAL AND SUPPORT SERVICES PROGRAM</v>
      </c>
      <c r="M311" s="51" t="str">
        <f>VLOOKUP(Table3[[#This Row],[COMMODITY PREXC SUB-PROGRAM]],TAGS!$U$54:$V$76,2,FALSE)</f>
        <v>ESETS</v>
      </c>
      <c r="N311" s="47" t="s">
        <v>591</v>
      </c>
      <c r="O311" s="54" t="str">
        <f>VLOOKUP(Table3[[#This Row],[PI LEVEL 3]],'PI LEVEL'!A:C,3,FALSE)</f>
        <v>Training conducted</v>
      </c>
      <c r="P311" s="54" t="str">
        <f>VLOOKUP(Table3[[#This Row],[PI LEVEL 3]],Table53729[[Performance Indicator Level 3]:[Performance Indicator Level 1]],2,FALSE)</f>
        <v>Other training conducted</v>
      </c>
      <c r="Q311" s="54" t="str">
        <f>VLOOKUP(Table3[[#This Row],[ACTIVITY]],TAGS!B:P,2,FALSE)</f>
        <v>Other training conducted_Farmers/Fisherfolk/Other External Participants</v>
      </c>
      <c r="R311" s="47" t="s">
        <v>157</v>
      </c>
      <c r="S311" s="51" t="str">
        <f>VLOOKUP(Table3[[#This Row],[ACTIVITY]],TAGS!$B:$P,4,FALSE)</f>
        <v>Trainings</v>
      </c>
      <c r="T311" s="51" t="str">
        <f>VLOOKUP(Table3[[#This Row],[ACTIVITY]],TAGS!$B:$P,5,FALSE)</f>
        <v>Trainings</v>
      </c>
      <c r="U311" s="51" t="str">
        <f>VLOOKUP(Table3[[#This Row],[ACTIVITY]],TAGS!$B:$P,6,FALSE)</f>
        <v>Soybean Production Training </v>
      </c>
      <c r="V311" s="51" t="str">
        <f>VLOOKUP(Table3[[#This Row],[ACTIVITY]],TAGS!$B:$P,7,FALSE)</f>
        <v>NO</v>
      </c>
      <c r="W311" s="51" t="str">
        <f>VLOOKUP(Table3[[#This Row],[ACTIVITY]],TAGS!$B:$P,8,FALSE)</f>
        <v>PAP</v>
      </c>
      <c r="X311" s="51" t="str">
        <f>VLOOKUP(Table3[[#This Row],[ACTIVITY]],TAGS!$B:$P,10,FALSE)</f>
        <v>PIP</v>
      </c>
      <c r="Y311" s="51" t="str">
        <f>VLOOKUP(Table3[[#This Row],[ACTIVITY]],TAGS!$B:$P,11,FALSE)</f>
        <v>PICS</v>
      </c>
      <c r="Z311" s="51" t="str">
        <f>VLOOKUP(Table3[[#This Row],[ACTIVITY]],TAGS!$B:$P,12,FALSE)</f>
        <v>Consolidation</v>
      </c>
      <c r="AA311" s="51" t="str">
        <f>VLOOKUP(Table3[[#This Row],[ACTIVITY]],TAGS!$B:$P,13,FALSE)</f>
        <v>1. Bayanihan Agri Cluster</v>
      </c>
      <c r="AB311" s="51" t="str">
        <f>VLOOKUP(Table3[[#This Row],[ACTIVITY]],TAGS!$B:$P,14,FALSE)</f>
        <v>EXPAND AND IMPROVE AVAILABLE AGRI-FISHERY AREAS FOR INCREASED PRODUCTION</v>
      </c>
      <c r="AC311" s="51" t="str">
        <f>VLOOKUP(Table3[[#This Row],[ACTIVITY]],TAGS!$B:$P,15,FALSE)</f>
        <v>Capacity Building</v>
      </c>
      <c r="AD311" s="51" t="str">
        <f>VLOOKUP(Table3[[#This Row],[PI LEVEL 3]],'PI LEVEL'!$A:$G,7,FALSE)</f>
        <v>PREXC/DA-Level Output</v>
      </c>
      <c r="AE311" s="47" t="s">
        <v>577</v>
      </c>
      <c r="AF311" s="51" t="str">
        <f>VLOOKUP(Table3[[#This Row],[ACTIVITY]],TAGS!$B:$P,3,FALSE)</f>
        <v>number</v>
      </c>
      <c r="AG311" s="47" t="s">
        <v>328</v>
      </c>
      <c r="AH311" s="51" t="str">
        <f>VLOOKUP(Table3[[#This Row],[MONTH]],TAGS!$W$67:$Y$81,2,FALSE)</f>
        <v>1ST QTR</v>
      </c>
      <c r="AI311" s="51" t="str">
        <f>VLOOKUP(Table3[[#This Row],[MONTH]],TAGS!$W$67:$Y$81,3,FALSE)</f>
        <v>1ST SEMESTER</v>
      </c>
      <c r="AJ311" s="51">
        <f>VLOOKUP(Table3[[#This Row],[MONTH]],TAGS!$W$67:$Z$81,4,FALSE)</f>
        <v>2025</v>
      </c>
      <c r="AK311" s="47">
        <v>2</v>
      </c>
      <c r="AL311" s="51" t="str">
        <f>VLOOKUP(Table3[[#This Row],[ACTIVITY]],TAGS!$B:$R,16,FALSE)</f>
        <v>NO</v>
      </c>
      <c r="AM311" s="47"/>
      <c r="AN311" s="47">
        <v>70</v>
      </c>
      <c r="AO311" s="57">
        <f>SUM(Table3[[#This Row],[MALE BENEFICIARIES]:[FEMALE BENEFICIARIES]])</f>
        <v>60</v>
      </c>
      <c r="AP311" s="58"/>
      <c r="AQ311" s="58">
        <v>48</v>
      </c>
      <c r="AR311" s="58">
        <v>12</v>
      </c>
      <c r="AS311" s="58"/>
      <c r="AT311" s="59" t="str">
        <f>VLOOKUP(Table3[[#This Row],[ACTIVITY]],TAGS!$B:$R,17,FALSE)</f>
        <v>NO</v>
      </c>
      <c r="AU311" s="59"/>
      <c r="AV311" s="59"/>
      <c r="AW311" s="59"/>
      <c r="AX311" s="59"/>
      <c r="AY311" s="59"/>
      <c r="AZ311" s="59"/>
      <c r="BA311" s="59"/>
      <c r="BB311" s="59"/>
      <c r="BC311" s="59"/>
      <c r="BD311" s="59"/>
      <c r="BE311" s="59"/>
      <c r="BF311" s="59"/>
      <c r="BG311" s="59"/>
      <c r="BH311" s="59"/>
      <c r="BI311" s="59"/>
      <c r="BJ311" s="59"/>
      <c r="BK311" s="59"/>
      <c r="BL311" s="59"/>
      <c r="BM311" s="59"/>
    </row>
    <row r="312" spans="1:65">
      <c r="A312" s="51" t="str">
        <f>VLOOKUP(Table3[[#This Row],[OU]],OU!$A$15:$B$34,2,FALSE)</f>
        <v>RFOs</v>
      </c>
      <c r="B312" s="47" t="s">
        <v>5</v>
      </c>
      <c r="C312" s="47" t="s">
        <v>574</v>
      </c>
      <c r="D312" s="47"/>
      <c r="E312" s="47" t="s">
        <v>78</v>
      </c>
      <c r="F312" s="47" t="s">
        <v>77</v>
      </c>
      <c r="G31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31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312" s="52" t="e">
        <f>VLOOKUP(Table3[[#This Row],[PSGC]],DISTRICT!$D:$G,4,FALSE)</f>
        <v>#N/A</v>
      </c>
      <c r="J312" s="47" t="s">
        <v>583</v>
      </c>
      <c r="K312" s="51" t="str">
        <f>VLOOKUP(Table3[[#This Row],[SPECIFIC COMMODITY]],TAGS!$W$48:$X$53,2,FALSE)</f>
        <v>Soybean</v>
      </c>
      <c r="L312" s="51" t="str">
        <f>VLOOKUP(Table3[[#This Row],[PREXC SUB-PROGRAM]],Table5[],2,FALSE)</f>
        <v>TECHNICAL AND SUPPORT SERVICES PROGRAM</v>
      </c>
      <c r="M312" s="51" t="str">
        <f>VLOOKUP(Table3[[#This Row],[COMMODITY PREXC SUB-PROGRAM]],TAGS!$U$54:$V$76,2,FALSE)</f>
        <v>ESETS</v>
      </c>
      <c r="N312" s="47" t="s">
        <v>591</v>
      </c>
      <c r="O312" s="54" t="str">
        <f>VLOOKUP(Table3[[#This Row],[PI LEVEL 3]],'PI LEVEL'!A:C,3,FALSE)</f>
        <v>Training conducted</v>
      </c>
      <c r="P312" s="54" t="str">
        <f>VLOOKUP(Table3[[#This Row],[PI LEVEL 3]],Table53729[[Performance Indicator Level 3]:[Performance Indicator Level 1]],2,FALSE)</f>
        <v>Other training conducted</v>
      </c>
      <c r="Q312" s="54" t="str">
        <f>VLOOKUP(Table3[[#This Row],[ACTIVITY]],TAGS!B:P,2,FALSE)</f>
        <v>Other training conducted_Farmers/Fisherfolk/Other External Participants</v>
      </c>
      <c r="R312" s="47" t="s">
        <v>157</v>
      </c>
      <c r="S312" s="51" t="str">
        <f>VLOOKUP(Table3[[#This Row],[ACTIVITY]],TAGS!$B:$P,4,FALSE)</f>
        <v>Trainings</v>
      </c>
      <c r="T312" s="51" t="str">
        <f>VLOOKUP(Table3[[#This Row],[ACTIVITY]],TAGS!$B:$P,5,FALSE)</f>
        <v>Trainings</v>
      </c>
      <c r="U312" s="51" t="str">
        <f>VLOOKUP(Table3[[#This Row],[ACTIVITY]],TAGS!$B:$P,6,FALSE)</f>
        <v>Soybean Production Training </v>
      </c>
      <c r="V312" s="51" t="str">
        <f>VLOOKUP(Table3[[#This Row],[ACTIVITY]],TAGS!$B:$P,7,FALSE)</f>
        <v>NO</v>
      </c>
      <c r="W312" s="51" t="str">
        <f>VLOOKUP(Table3[[#This Row],[ACTIVITY]],TAGS!$B:$P,8,FALSE)</f>
        <v>PAP</v>
      </c>
      <c r="X312" s="51" t="str">
        <f>VLOOKUP(Table3[[#This Row],[ACTIVITY]],TAGS!$B:$P,10,FALSE)</f>
        <v>PIP</v>
      </c>
      <c r="Y312" s="51" t="str">
        <f>VLOOKUP(Table3[[#This Row],[ACTIVITY]],TAGS!$B:$P,11,FALSE)</f>
        <v>PICS</v>
      </c>
      <c r="Z312" s="51" t="str">
        <f>VLOOKUP(Table3[[#This Row],[ACTIVITY]],TAGS!$B:$P,12,FALSE)</f>
        <v>Consolidation</v>
      </c>
      <c r="AA312" s="51" t="str">
        <f>VLOOKUP(Table3[[#This Row],[ACTIVITY]],TAGS!$B:$P,13,FALSE)</f>
        <v>1. Bayanihan Agri Cluster</v>
      </c>
      <c r="AB312" s="51" t="str">
        <f>VLOOKUP(Table3[[#This Row],[ACTIVITY]],TAGS!$B:$P,14,FALSE)</f>
        <v>EXPAND AND IMPROVE AVAILABLE AGRI-FISHERY AREAS FOR INCREASED PRODUCTION</v>
      </c>
      <c r="AC312" s="51" t="str">
        <f>VLOOKUP(Table3[[#This Row],[ACTIVITY]],TAGS!$B:$P,15,FALSE)</f>
        <v>Capacity Building</v>
      </c>
      <c r="AD312" s="51" t="str">
        <f>VLOOKUP(Table3[[#This Row],[PI LEVEL 3]],'PI LEVEL'!$A:$G,7,FALSE)</f>
        <v>PREXC/DA-Level Output</v>
      </c>
      <c r="AE312" s="47" t="s">
        <v>577</v>
      </c>
      <c r="AF312" s="51" t="str">
        <f>VLOOKUP(Table3[[#This Row],[ACTIVITY]],TAGS!$B:$P,3,FALSE)</f>
        <v>number</v>
      </c>
      <c r="AG312" s="47" t="s">
        <v>329</v>
      </c>
      <c r="AH312" s="51" t="str">
        <f>VLOOKUP(Table3[[#This Row],[MONTH]],TAGS!$W$67:$Y$81,2,FALSE)</f>
        <v>1ST QTR</v>
      </c>
      <c r="AI312" s="51" t="str">
        <f>VLOOKUP(Table3[[#This Row],[MONTH]],TAGS!$W$67:$Y$81,3,FALSE)</f>
        <v>1ST SEMESTER</v>
      </c>
      <c r="AJ312" s="51">
        <f>VLOOKUP(Table3[[#This Row],[MONTH]],TAGS!$W$67:$Z$81,4,FALSE)</f>
        <v>2025</v>
      </c>
      <c r="AK312" s="47">
        <v>2</v>
      </c>
      <c r="AL312" s="51" t="str">
        <f>VLOOKUP(Table3[[#This Row],[ACTIVITY]],TAGS!$B:$R,16,FALSE)</f>
        <v>NO</v>
      </c>
      <c r="AM312" s="47"/>
      <c r="AN312" s="47">
        <v>70</v>
      </c>
      <c r="AO312" s="57">
        <f>SUM(Table3[[#This Row],[MALE BENEFICIARIES]:[FEMALE BENEFICIARIES]])</f>
        <v>60</v>
      </c>
      <c r="AP312" s="58"/>
      <c r="AQ312" s="58">
        <v>48</v>
      </c>
      <c r="AR312" s="58">
        <v>12</v>
      </c>
      <c r="AS312" s="58"/>
      <c r="AT312" s="59" t="str">
        <f>VLOOKUP(Table3[[#This Row],[ACTIVITY]],TAGS!$B:$R,17,FALSE)</f>
        <v>NO</v>
      </c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  <c r="BF312" s="59"/>
      <c r="BG312" s="59"/>
      <c r="BH312" s="59"/>
      <c r="BI312" s="59"/>
      <c r="BJ312" s="59"/>
      <c r="BK312" s="59"/>
      <c r="BL312" s="59"/>
      <c r="BM312" s="59"/>
    </row>
    <row r="313" spans="1:65">
      <c r="A313" s="51" t="str">
        <f>VLOOKUP(Table3[[#This Row],[OU]],OU!$A$15:$B$34,2,FALSE)</f>
        <v>RFOs</v>
      </c>
      <c r="B313" s="47" t="s">
        <v>5</v>
      </c>
      <c r="C313" s="47" t="s">
        <v>574</v>
      </c>
      <c r="D313" s="47"/>
      <c r="E313" s="47" t="s">
        <v>78</v>
      </c>
      <c r="F313" s="47" t="s">
        <v>77</v>
      </c>
      <c r="G31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31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313" s="52" t="e">
        <f>VLOOKUP(Table3[[#This Row],[PSGC]],DISTRICT!$D:$G,4,FALSE)</f>
        <v>#N/A</v>
      </c>
      <c r="J313" s="47" t="s">
        <v>583</v>
      </c>
      <c r="K313" s="51" t="str">
        <f>VLOOKUP(Table3[[#This Row],[SPECIFIC COMMODITY]],TAGS!$W$48:$X$53,2,FALSE)</f>
        <v>Soybean</v>
      </c>
      <c r="L313" s="51" t="str">
        <f>VLOOKUP(Table3[[#This Row],[PREXC SUB-PROGRAM]],Table5[],2,FALSE)</f>
        <v>TECHNICAL AND SUPPORT SERVICES PROGRAM</v>
      </c>
      <c r="M313" s="51" t="str">
        <f>VLOOKUP(Table3[[#This Row],[COMMODITY PREXC SUB-PROGRAM]],TAGS!$U$54:$V$76,2,FALSE)</f>
        <v>ESETS</v>
      </c>
      <c r="N313" s="47" t="s">
        <v>591</v>
      </c>
      <c r="O313" s="54" t="str">
        <f>VLOOKUP(Table3[[#This Row],[PI LEVEL 3]],'PI LEVEL'!A:C,3,FALSE)</f>
        <v>Knowledge Products disseminated</v>
      </c>
      <c r="P313" s="54" t="str">
        <f>VLOOKUP(Table3[[#This Row],[PI LEVEL 3]],Table53729[[Performance Indicator Level 3]:[Performance Indicator Level 1]],2,FALSE)</f>
        <v>Knowledge Products disseminated</v>
      </c>
      <c r="Q313" s="54" t="str">
        <f>VLOOKUP(Table3[[#This Row],[ACTIVITY]],TAGS!B:P,2,FALSE)</f>
        <v>Knowledge Products disseminated</v>
      </c>
      <c r="R313" s="47" t="s">
        <v>159</v>
      </c>
      <c r="S313" s="51" t="str">
        <f>VLOOKUP(Table3[[#This Row],[ACTIVITY]],TAGS!$B:$P,4,FALSE)</f>
        <v>Information, Education, and Communication Activities</v>
      </c>
      <c r="T313" s="51" t="str">
        <f>VLOOKUP(Table3[[#This Row],[ACTIVITY]],TAGS!$B:$P,5,FALSE)</f>
        <v>Information, Education, and Communication Activities</v>
      </c>
      <c r="U313" s="51" t="str">
        <f>VLOOKUP(Table3[[#This Row],[ACTIVITY]],TAGS!$B:$P,6,FALSE)</f>
        <v>IEC materials</v>
      </c>
      <c r="V313" s="51" t="str">
        <f>VLOOKUP(Table3[[#This Row],[ACTIVITY]],TAGS!$B:$P,7,FALSE)</f>
        <v>NO</v>
      </c>
      <c r="W313" s="51" t="str">
        <f>VLOOKUP(Table3[[#This Row],[ACTIVITY]],TAGS!$B:$P,8,FALSE)</f>
        <v>PAP</v>
      </c>
      <c r="X313" s="51" t="str">
        <f>VLOOKUP(Table3[[#This Row],[ACTIVITY]],TAGS!$B:$P,10,FALSE)</f>
        <v>PIP</v>
      </c>
      <c r="Y313" s="51" t="str">
        <f>VLOOKUP(Table3[[#This Row],[ACTIVITY]],TAGS!$B:$P,11,FALSE)</f>
        <v>PICS</v>
      </c>
      <c r="Z313" s="51" t="str">
        <f>VLOOKUP(Table3[[#This Row],[ACTIVITY]],TAGS!$B:$P,12,FALSE)</f>
        <v>Strategic Communication</v>
      </c>
      <c r="AA313" s="51" t="str">
        <f>VLOOKUP(Table3[[#This Row],[ACTIVITY]],TAGS!$B:$P,13,FALSE)</f>
        <v>18. Strategic Communications​</v>
      </c>
      <c r="AB313" s="51">
        <f>VLOOKUP(Table3[[#This Row],[ACTIVITY]],TAGS!$B:$P,14,FALSE)</f>
        <v>0</v>
      </c>
      <c r="AC313" s="51" t="str">
        <f>VLOOKUP(Table3[[#This Row],[ACTIVITY]],TAGS!$B:$P,15,FALSE)</f>
        <v>IEC</v>
      </c>
      <c r="AD313" s="51" t="str">
        <f>VLOOKUP(Table3[[#This Row],[PI LEVEL 3]],'PI LEVEL'!$A:$G,7,FALSE)</f>
        <v>DA-Level Output</v>
      </c>
      <c r="AE313" s="47" t="s">
        <v>577</v>
      </c>
      <c r="AF313" s="51" t="str">
        <f>VLOOKUP(Table3[[#This Row],[ACTIVITY]],TAGS!$B:$P,3,FALSE)</f>
        <v>Print disseminated</v>
      </c>
      <c r="AG313" s="47" t="s">
        <v>328</v>
      </c>
      <c r="AH313" s="51" t="str">
        <f>VLOOKUP(Table3[[#This Row],[MONTH]],TAGS!$W$67:$Y$81,2,FALSE)</f>
        <v>1ST QTR</v>
      </c>
      <c r="AI313" s="51" t="str">
        <f>VLOOKUP(Table3[[#This Row],[MONTH]],TAGS!$W$67:$Y$81,3,FALSE)</f>
        <v>1ST SEMESTER</v>
      </c>
      <c r="AJ313" s="51">
        <f>VLOOKUP(Table3[[#This Row],[MONTH]],TAGS!$W$67:$Z$81,4,FALSE)</f>
        <v>2025</v>
      </c>
      <c r="AK313" s="47">
        <v>200</v>
      </c>
      <c r="AL313" s="51" t="str">
        <f>VLOOKUP(Table3[[#This Row],[ACTIVITY]],TAGS!$B:$R,16,FALSE)</f>
        <v>NO</v>
      </c>
      <c r="AM313" s="47"/>
      <c r="AN313" s="47">
        <v>50</v>
      </c>
      <c r="AO313" s="57">
        <f>SUM(Table3[[#This Row],[MALE BENEFICIARIES]:[FEMALE BENEFICIARIES]])</f>
        <v>0</v>
      </c>
      <c r="AP313" s="58"/>
      <c r="AQ313" s="58"/>
      <c r="AR313" s="58"/>
      <c r="AS313" s="58"/>
      <c r="AT313" s="59" t="str">
        <f>VLOOKUP(Table3[[#This Row],[ACTIVITY]],TAGS!$B:$R,17,FALSE)</f>
        <v>NO</v>
      </c>
      <c r="AU313" s="59"/>
      <c r="AV313" s="59"/>
      <c r="AW313" s="59"/>
      <c r="AX313" s="59"/>
      <c r="AY313" s="59"/>
      <c r="AZ313" s="59"/>
      <c r="BA313" s="59"/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</row>
    <row r="314" spans="1:65">
      <c r="A314" s="51" t="str">
        <f>VLOOKUP(Table3[[#This Row],[OU]],OU!$A$15:$B$34,2,FALSE)</f>
        <v>RFOs</v>
      </c>
      <c r="B314" s="47" t="s">
        <v>5</v>
      </c>
      <c r="C314" s="47" t="s">
        <v>574</v>
      </c>
      <c r="D314" s="47"/>
      <c r="E314" s="47" t="s">
        <v>22</v>
      </c>
      <c r="F314" s="47" t="s">
        <v>655</v>
      </c>
      <c r="G31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31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21504000</v>
      </c>
      <c r="I314" s="52" t="str">
        <f>VLOOKUP(Table3[[#This Row],[PSGC]],DISTRICT!$D:$G,4,FALSE)</f>
        <v>2nd</v>
      </c>
      <c r="J314" s="47" t="s">
        <v>585</v>
      </c>
      <c r="K314" s="51" t="str">
        <f>VLOOKUP(Table3[[#This Row],[SPECIFIC COMMODITY]],TAGS!$W$48:$X$53,2,FALSE)</f>
        <v>Multi_commodity</v>
      </c>
      <c r="L314" s="51" t="str">
        <f>VLOOKUP(Table3[[#This Row],[PREXC SUB-PROGRAM]],Table5[],2,FALSE)</f>
        <v>TECHNICAL AND SUPPORT SERVICES PROGRAM</v>
      </c>
      <c r="M314" s="51" t="str">
        <f>VLOOKUP(Table3[[#This Row],[COMMODITY PREXC SUB-PROGRAM]],TAGS!$U$54:$V$76,2,FALSE)</f>
        <v>ESETS</v>
      </c>
      <c r="N314" s="47" t="s">
        <v>592</v>
      </c>
      <c r="O314" s="54" t="str">
        <f>VLOOKUP(Table3[[#This Row],[PI LEVEL 3]],'PI LEVEL'!A:C,3,FALSE)</f>
        <v>Individuals given incentives, recognition, and awards</v>
      </c>
      <c r="P314" s="54" t="str">
        <f>VLOOKUP(Table3[[#This Row],[PI LEVEL 3]],Table53729[[Performance Indicator Level 3]:[Performance Indicator Level 1]],2,FALSE)</f>
        <v>AEWs-extension workers given incentives</v>
      </c>
      <c r="Q314" s="54" t="str">
        <f>VLOOKUP(Table3[[#This Row],[ACTIVITY]],TAGS!B:P,2,FALSE)</f>
        <v>AEWs-extension workers given incentives</v>
      </c>
      <c r="R314" s="47" t="s">
        <v>109</v>
      </c>
      <c r="S314" s="51" t="str">
        <f>VLOOKUP(Table3[[#This Row],[ACTIVITY]],TAGS!$B:$P,4,FALSE)</f>
        <v>Extension Workers Incentives</v>
      </c>
      <c r="T314" s="51" t="str">
        <f>VLOOKUP(Table3[[#This Row],[ACTIVITY]],TAGS!$B:$P,5,FALSE)</f>
        <v>Incentives Given</v>
      </c>
      <c r="U314" s="51" t="str">
        <f>VLOOKUP(Table3[[#This Row],[ACTIVITY]],TAGS!$B:$P,6,FALSE)</f>
        <v>Provincial Coordinator</v>
      </c>
      <c r="V314" s="51" t="str">
        <f>VLOOKUP(Table3[[#This Row],[ACTIVITY]],TAGS!$B:$P,7,FALSE)</f>
        <v>NO</v>
      </c>
      <c r="W314" s="51" t="str">
        <f>VLOOKUP(Table3[[#This Row],[ACTIVITY]],TAGS!$B:$P,8,FALSE)</f>
        <v>PAP</v>
      </c>
      <c r="X314" s="51" t="str">
        <f>VLOOKUP(Table3[[#This Row],[ACTIVITY]],TAGS!$B:$P,10,FALSE)</f>
        <v>PIP</v>
      </c>
      <c r="Y314" s="51" t="str">
        <f>VLOOKUP(Table3[[#This Row],[ACTIVITY]],TAGS!$B:$P,11,FALSE)</f>
        <v>PICS</v>
      </c>
      <c r="Z314" s="51" t="str">
        <f>VLOOKUP(Table3[[#This Row],[ACTIVITY]],TAGS!$B:$P,12,FALSE)</f>
        <v>Consolidation</v>
      </c>
      <c r="AA314" s="51" t="str">
        <f>VLOOKUP(Table3[[#This Row],[ACTIVITY]],TAGS!$B:$P,13,FALSE)</f>
        <v>3. PAFES</v>
      </c>
      <c r="AB314" s="51" t="str">
        <f>VLOOKUP(Table3[[#This Row],[ACTIVITY]],TAGS!$B:$P,14,FALSE)</f>
        <v>STRONG PARTNERSHIP WITH THE FARMERS, FISHERFOLK, PRIVATE SECTOR, AND OTHER STAKEHOLDERS</v>
      </c>
      <c r="AC314" s="51" t="str">
        <f>VLOOKUP(Table3[[#This Row],[ACTIVITY]],TAGS!$B:$P,15,FALSE)</f>
        <v>Other Intervetions</v>
      </c>
      <c r="AD314" s="51" t="str">
        <f>VLOOKUP(Table3[[#This Row],[PI LEVEL 3]],'PI LEVEL'!$A:$G,7,FALSE)</f>
        <v>DA-Level Output</v>
      </c>
      <c r="AE314" s="47" t="s">
        <v>577</v>
      </c>
      <c r="AF314" s="51" t="str">
        <f>VLOOKUP(Table3[[#This Row],[ACTIVITY]],TAGS!$B:$P,3,FALSE)</f>
        <v>number</v>
      </c>
      <c r="AG314" s="47" t="s">
        <v>338</v>
      </c>
      <c r="AH314" s="51" t="str">
        <f>VLOOKUP(Table3[[#This Row],[MONTH]],TAGS!$W$67:$Y$81,2,FALSE)</f>
        <v>4TH QTR</v>
      </c>
      <c r="AI314" s="51" t="str">
        <f>VLOOKUP(Table3[[#This Row],[MONTH]],TAGS!$W$67:$Y$81,3,FALSE)</f>
        <v>2ND SEMESTER</v>
      </c>
      <c r="AJ314" s="51">
        <f>VLOOKUP(Table3[[#This Row],[MONTH]],TAGS!$W$67:$Z$81,4,FALSE)</f>
        <v>2025</v>
      </c>
      <c r="AK314" s="47">
        <v>1</v>
      </c>
      <c r="AL314" s="51" t="str">
        <f>VLOOKUP(Table3[[#This Row],[ACTIVITY]],TAGS!$B:$R,16,FALSE)</f>
        <v>NO</v>
      </c>
      <c r="AM314" s="47"/>
      <c r="AN314" s="47">
        <v>48</v>
      </c>
      <c r="AO314" s="57">
        <f>SUM(Table3[[#This Row],[MALE BENEFICIARIES]:[FEMALE BENEFICIARIES]])</f>
        <v>0</v>
      </c>
      <c r="AP314" s="58"/>
      <c r="AQ314" s="58"/>
      <c r="AR314" s="58"/>
      <c r="AS314" s="58"/>
      <c r="AT314" s="59" t="str">
        <f>VLOOKUP(Table3[[#This Row],[ACTIVITY]],TAGS!$B:$R,17,FALSE)</f>
        <v>NO</v>
      </c>
      <c r="AU314" s="59"/>
      <c r="AV314" s="59"/>
      <c r="AW314" s="59"/>
      <c r="AX314" s="59"/>
      <c r="AY314" s="59"/>
      <c r="AZ314" s="59"/>
      <c r="BA314" s="59"/>
      <c r="BB314" s="59"/>
      <c r="BC314" s="59"/>
      <c r="BD314" s="59"/>
      <c r="BE314" s="59"/>
      <c r="BF314" s="59"/>
      <c r="BG314" s="59"/>
      <c r="BH314" s="59"/>
      <c r="BI314" s="59"/>
      <c r="BJ314" s="59"/>
      <c r="BK314" s="59"/>
      <c r="BL314" s="59"/>
      <c r="BM314" s="59"/>
    </row>
    <row r="315" spans="1:65">
      <c r="A315" s="51" t="str">
        <f>VLOOKUP(Table3[[#This Row],[OU]],OU!$A$15:$B$34,2,FALSE)</f>
        <v>RFOs</v>
      </c>
      <c r="B315" s="47" t="s">
        <v>5</v>
      </c>
      <c r="C315" s="47" t="s">
        <v>574</v>
      </c>
      <c r="D315" s="47"/>
      <c r="E315" s="47" t="s">
        <v>43</v>
      </c>
      <c r="F315" s="47" t="s">
        <v>630</v>
      </c>
      <c r="G31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31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23114000</v>
      </c>
      <c r="I315" s="52" t="str">
        <f>VLOOKUP(Table3[[#This Row],[PSGC]],DISTRICT!$D:$G,4,FALSE)</f>
        <v>1st</v>
      </c>
      <c r="J315" s="47" t="s">
        <v>585</v>
      </c>
      <c r="K315" s="51" t="str">
        <f>VLOOKUP(Table3[[#This Row],[SPECIFIC COMMODITY]],TAGS!$W$48:$X$53,2,FALSE)</f>
        <v>Multi_commodity</v>
      </c>
      <c r="L315" s="51" t="str">
        <f>VLOOKUP(Table3[[#This Row],[PREXC SUB-PROGRAM]],Table5[],2,FALSE)</f>
        <v>TECHNICAL AND SUPPORT SERVICES PROGRAM</v>
      </c>
      <c r="M315" s="51" t="str">
        <f>VLOOKUP(Table3[[#This Row],[COMMODITY PREXC SUB-PROGRAM]],TAGS!$U$54:$V$76,2,FALSE)</f>
        <v>ESETS</v>
      </c>
      <c r="N315" s="47" t="s">
        <v>592</v>
      </c>
      <c r="O315" s="54" t="str">
        <f>VLOOKUP(Table3[[#This Row],[PI LEVEL 3]],'PI LEVEL'!A:C,3,FALSE)</f>
        <v>Individuals given incentives, recognition, and awards</v>
      </c>
      <c r="P315" s="54" t="str">
        <f>VLOOKUP(Table3[[#This Row],[PI LEVEL 3]],Table53729[[Performance Indicator Level 3]:[Performance Indicator Level 1]],2,FALSE)</f>
        <v>AEWs-extension workers given incentives</v>
      </c>
      <c r="Q315" s="54" t="str">
        <f>VLOOKUP(Table3[[#This Row],[ACTIVITY]],TAGS!B:P,2,FALSE)</f>
        <v>AEWs-extension workers given incentives</v>
      </c>
      <c r="R315" s="47" t="s">
        <v>109</v>
      </c>
      <c r="S315" s="51" t="str">
        <f>VLOOKUP(Table3[[#This Row],[ACTIVITY]],TAGS!$B:$P,4,FALSE)</f>
        <v>Extension Workers Incentives</v>
      </c>
      <c r="T315" s="51" t="str">
        <f>VLOOKUP(Table3[[#This Row],[ACTIVITY]],TAGS!$B:$P,5,FALSE)</f>
        <v>Incentives Given</v>
      </c>
      <c r="U315" s="51" t="str">
        <f>VLOOKUP(Table3[[#This Row],[ACTIVITY]],TAGS!$B:$P,6,FALSE)</f>
        <v>Provincial Coordinator</v>
      </c>
      <c r="V315" s="51" t="str">
        <f>VLOOKUP(Table3[[#This Row],[ACTIVITY]],TAGS!$B:$P,7,FALSE)</f>
        <v>NO</v>
      </c>
      <c r="W315" s="51" t="str">
        <f>VLOOKUP(Table3[[#This Row],[ACTIVITY]],TAGS!$B:$P,8,FALSE)</f>
        <v>PAP</v>
      </c>
      <c r="X315" s="51" t="str">
        <f>VLOOKUP(Table3[[#This Row],[ACTIVITY]],TAGS!$B:$P,10,FALSE)</f>
        <v>PIP</v>
      </c>
      <c r="Y315" s="51" t="str">
        <f>VLOOKUP(Table3[[#This Row],[ACTIVITY]],TAGS!$B:$P,11,FALSE)</f>
        <v>PICS</v>
      </c>
      <c r="Z315" s="51" t="str">
        <f>VLOOKUP(Table3[[#This Row],[ACTIVITY]],TAGS!$B:$P,12,FALSE)</f>
        <v>Consolidation</v>
      </c>
      <c r="AA315" s="51" t="str">
        <f>VLOOKUP(Table3[[#This Row],[ACTIVITY]],TAGS!$B:$P,13,FALSE)</f>
        <v>3. PAFES</v>
      </c>
      <c r="AB315" s="51" t="str">
        <f>VLOOKUP(Table3[[#This Row],[ACTIVITY]],TAGS!$B:$P,14,FALSE)</f>
        <v>STRONG PARTNERSHIP WITH THE FARMERS, FISHERFOLK, PRIVATE SECTOR, AND OTHER STAKEHOLDERS</v>
      </c>
      <c r="AC315" s="51" t="str">
        <f>VLOOKUP(Table3[[#This Row],[ACTIVITY]],TAGS!$B:$P,15,FALSE)</f>
        <v>Other Intervetions</v>
      </c>
      <c r="AD315" s="51" t="str">
        <f>VLOOKUP(Table3[[#This Row],[PI LEVEL 3]],'PI LEVEL'!$A:$G,7,FALSE)</f>
        <v>DA-Level Output</v>
      </c>
      <c r="AE315" s="47" t="s">
        <v>577</v>
      </c>
      <c r="AF315" s="51" t="str">
        <f>VLOOKUP(Table3[[#This Row],[ACTIVITY]],TAGS!$B:$P,3,FALSE)</f>
        <v>number</v>
      </c>
      <c r="AG315" s="47" t="s">
        <v>338</v>
      </c>
      <c r="AH315" s="51" t="str">
        <f>VLOOKUP(Table3[[#This Row],[MONTH]],TAGS!$W$67:$Y$81,2,FALSE)</f>
        <v>4TH QTR</v>
      </c>
      <c r="AI315" s="51" t="str">
        <f>VLOOKUP(Table3[[#This Row],[MONTH]],TAGS!$W$67:$Y$81,3,FALSE)</f>
        <v>2ND SEMESTER</v>
      </c>
      <c r="AJ315" s="51">
        <f>VLOOKUP(Table3[[#This Row],[MONTH]],TAGS!$W$67:$Z$81,4,FALSE)</f>
        <v>2025</v>
      </c>
      <c r="AK315" s="47">
        <v>1</v>
      </c>
      <c r="AL315" s="51" t="str">
        <f>VLOOKUP(Table3[[#This Row],[ACTIVITY]],TAGS!$B:$R,16,FALSE)</f>
        <v>NO</v>
      </c>
      <c r="AM315" s="47"/>
      <c r="AN315" s="47">
        <v>48</v>
      </c>
      <c r="AO315" s="57">
        <f>SUM(Table3[[#This Row],[MALE BENEFICIARIES]:[FEMALE BENEFICIARIES]])</f>
        <v>0</v>
      </c>
      <c r="AP315" s="58"/>
      <c r="AQ315" s="58"/>
      <c r="AR315" s="58"/>
      <c r="AS315" s="58"/>
      <c r="AT315" s="59" t="str">
        <f>VLOOKUP(Table3[[#This Row],[ACTIVITY]],TAGS!$B:$R,17,FALSE)</f>
        <v>NO</v>
      </c>
      <c r="AU315" s="59"/>
      <c r="AV315" s="59"/>
      <c r="AW315" s="59"/>
      <c r="AX315" s="59"/>
      <c r="AY315" s="59"/>
      <c r="AZ315" s="59"/>
      <c r="BA315" s="59"/>
      <c r="BB315" s="59"/>
      <c r="BC315" s="59"/>
      <c r="BD315" s="59"/>
      <c r="BE315" s="59"/>
      <c r="BF315" s="59"/>
      <c r="BG315" s="59"/>
      <c r="BH315" s="59"/>
      <c r="BI315" s="59"/>
      <c r="BJ315" s="59"/>
      <c r="BK315" s="59"/>
      <c r="BL315" s="59"/>
      <c r="BM315" s="59"/>
    </row>
    <row r="316" spans="1:65">
      <c r="A316" s="51" t="str">
        <f>VLOOKUP(Table3[[#This Row],[OU]],OU!$A$15:$B$34,2,FALSE)</f>
        <v>RFOs</v>
      </c>
      <c r="B316" s="47" t="s">
        <v>5</v>
      </c>
      <c r="C316" s="47" t="s">
        <v>574</v>
      </c>
      <c r="D316" s="47"/>
      <c r="E316" s="47" t="s">
        <v>63</v>
      </c>
      <c r="F316" s="47" t="s">
        <v>690</v>
      </c>
      <c r="G31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31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25005000</v>
      </c>
      <c r="I316" s="52" t="str">
        <f>VLOOKUP(Table3[[#This Row],[PSGC]],DISTRICT!$D:$G,4,FALSE)</f>
        <v>1st</v>
      </c>
      <c r="J316" s="47" t="s">
        <v>585</v>
      </c>
      <c r="K316" s="51" t="str">
        <f>VLOOKUP(Table3[[#This Row],[SPECIFIC COMMODITY]],TAGS!$W$48:$X$53,2,FALSE)</f>
        <v>Multi_commodity</v>
      </c>
      <c r="L316" s="51" t="str">
        <f>VLOOKUP(Table3[[#This Row],[PREXC SUB-PROGRAM]],Table5[],2,FALSE)</f>
        <v>TECHNICAL AND SUPPORT SERVICES PROGRAM</v>
      </c>
      <c r="M316" s="51" t="str">
        <f>VLOOKUP(Table3[[#This Row],[COMMODITY PREXC SUB-PROGRAM]],TAGS!$U$54:$V$76,2,FALSE)</f>
        <v>ESETS</v>
      </c>
      <c r="N316" s="47" t="s">
        <v>592</v>
      </c>
      <c r="O316" s="54" t="str">
        <f>VLOOKUP(Table3[[#This Row],[PI LEVEL 3]],'PI LEVEL'!A:C,3,FALSE)</f>
        <v>Individuals given incentives, recognition, and awards</v>
      </c>
      <c r="P316" s="54" t="str">
        <f>VLOOKUP(Table3[[#This Row],[PI LEVEL 3]],Table53729[[Performance Indicator Level 3]:[Performance Indicator Level 1]],2,FALSE)</f>
        <v>AEWs-extension workers given incentives</v>
      </c>
      <c r="Q316" s="54" t="str">
        <f>VLOOKUP(Table3[[#This Row],[ACTIVITY]],TAGS!B:P,2,FALSE)</f>
        <v>AEWs-extension workers given incentives</v>
      </c>
      <c r="R316" s="47" t="s">
        <v>109</v>
      </c>
      <c r="S316" s="51" t="str">
        <f>VLOOKUP(Table3[[#This Row],[ACTIVITY]],TAGS!$B:$P,4,FALSE)</f>
        <v>Extension Workers Incentives</v>
      </c>
      <c r="T316" s="51" t="str">
        <f>VLOOKUP(Table3[[#This Row],[ACTIVITY]],TAGS!$B:$P,5,FALSE)</f>
        <v>Incentives Given</v>
      </c>
      <c r="U316" s="51" t="str">
        <f>VLOOKUP(Table3[[#This Row],[ACTIVITY]],TAGS!$B:$P,6,FALSE)</f>
        <v>Provincial Coordinator</v>
      </c>
      <c r="V316" s="51" t="str">
        <f>VLOOKUP(Table3[[#This Row],[ACTIVITY]],TAGS!$B:$P,7,FALSE)</f>
        <v>NO</v>
      </c>
      <c r="W316" s="51" t="str">
        <f>VLOOKUP(Table3[[#This Row],[ACTIVITY]],TAGS!$B:$P,8,FALSE)</f>
        <v>PAP</v>
      </c>
      <c r="X316" s="51" t="str">
        <f>VLOOKUP(Table3[[#This Row],[ACTIVITY]],TAGS!$B:$P,10,FALSE)</f>
        <v>PIP</v>
      </c>
      <c r="Y316" s="51" t="str">
        <f>VLOOKUP(Table3[[#This Row],[ACTIVITY]],TAGS!$B:$P,11,FALSE)</f>
        <v>PICS</v>
      </c>
      <c r="Z316" s="51" t="str">
        <f>VLOOKUP(Table3[[#This Row],[ACTIVITY]],TAGS!$B:$P,12,FALSE)</f>
        <v>Consolidation</v>
      </c>
      <c r="AA316" s="51" t="str">
        <f>VLOOKUP(Table3[[#This Row],[ACTIVITY]],TAGS!$B:$P,13,FALSE)</f>
        <v>3. PAFES</v>
      </c>
      <c r="AB316" s="51" t="str">
        <f>VLOOKUP(Table3[[#This Row],[ACTIVITY]],TAGS!$B:$P,14,FALSE)</f>
        <v>STRONG PARTNERSHIP WITH THE FARMERS, FISHERFOLK, PRIVATE SECTOR, AND OTHER STAKEHOLDERS</v>
      </c>
      <c r="AC316" s="51" t="str">
        <f>VLOOKUP(Table3[[#This Row],[ACTIVITY]],TAGS!$B:$P,15,FALSE)</f>
        <v>Other Intervetions</v>
      </c>
      <c r="AD316" s="51" t="str">
        <f>VLOOKUP(Table3[[#This Row],[PI LEVEL 3]],'PI LEVEL'!$A:$G,7,FALSE)</f>
        <v>DA-Level Output</v>
      </c>
      <c r="AE316" s="47" t="s">
        <v>577</v>
      </c>
      <c r="AF316" s="51" t="str">
        <f>VLOOKUP(Table3[[#This Row],[ACTIVITY]],TAGS!$B:$P,3,FALSE)</f>
        <v>number</v>
      </c>
      <c r="AG316" s="47" t="s">
        <v>338</v>
      </c>
      <c r="AH316" s="51" t="str">
        <f>VLOOKUP(Table3[[#This Row],[MONTH]],TAGS!$W$67:$Y$81,2,FALSE)</f>
        <v>4TH QTR</v>
      </c>
      <c r="AI316" s="51" t="str">
        <f>VLOOKUP(Table3[[#This Row],[MONTH]],TAGS!$W$67:$Y$81,3,FALSE)</f>
        <v>2ND SEMESTER</v>
      </c>
      <c r="AJ316" s="51">
        <f>VLOOKUP(Table3[[#This Row],[MONTH]],TAGS!$W$67:$Z$81,4,FALSE)</f>
        <v>2025</v>
      </c>
      <c r="AK316" s="47">
        <v>1</v>
      </c>
      <c r="AL316" s="51" t="str">
        <f>VLOOKUP(Table3[[#This Row],[ACTIVITY]],TAGS!$B:$R,16,FALSE)</f>
        <v>NO</v>
      </c>
      <c r="AM316" s="47"/>
      <c r="AN316" s="47">
        <v>48</v>
      </c>
      <c r="AO316" s="57">
        <f>SUM(Table3[[#This Row],[MALE BENEFICIARIES]:[FEMALE BENEFICIARIES]])</f>
        <v>0</v>
      </c>
      <c r="AP316" s="58"/>
      <c r="AQ316" s="58"/>
      <c r="AR316" s="58"/>
      <c r="AS316" s="58"/>
      <c r="AT316" s="59" t="str">
        <f>VLOOKUP(Table3[[#This Row],[ACTIVITY]],TAGS!$B:$R,17,FALSE)</f>
        <v>NO</v>
      </c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</row>
    <row r="317" spans="1:65">
      <c r="A317" s="51" t="str">
        <f>VLOOKUP(Table3[[#This Row],[OU]],OU!$A$15:$B$34,2,FALSE)</f>
        <v>RFOs</v>
      </c>
      <c r="B317" s="47" t="s">
        <v>5</v>
      </c>
      <c r="C317" s="47" t="s">
        <v>574</v>
      </c>
      <c r="D317" s="47"/>
      <c r="E317" s="47" t="s">
        <v>70</v>
      </c>
      <c r="F317" s="47" t="s">
        <v>635</v>
      </c>
      <c r="G31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31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25702000</v>
      </c>
      <c r="I317" s="52" t="str">
        <f>VLOOKUP(Table3[[#This Row],[PSGC]],DISTRICT!$D:$G,4,FALSE)</f>
        <v>3rd</v>
      </c>
      <c r="J317" s="47" t="s">
        <v>585</v>
      </c>
      <c r="K317" s="51" t="str">
        <f>VLOOKUP(Table3[[#This Row],[SPECIFIC COMMODITY]],TAGS!$W$48:$X$53,2,FALSE)</f>
        <v>Multi_commodity</v>
      </c>
      <c r="L317" s="51" t="str">
        <f>VLOOKUP(Table3[[#This Row],[PREXC SUB-PROGRAM]],Table5[],2,FALSE)</f>
        <v>TECHNICAL AND SUPPORT SERVICES PROGRAM</v>
      </c>
      <c r="M317" s="51" t="str">
        <f>VLOOKUP(Table3[[#This Row],[COMMODITY PREXC SUB-PROGRAM]],TAGS!$U$54:$V$76,2,FALSE)</f>
        <v>ESETS</v>
      </c>
      <c r="N317" s="47" t="s">
        <v>592</v>
      </c>
      <c r="O317" s="54" t="str">
        <f>VLOOKUP(Table3[[#This Row],[PI LEVEL 3]],'PI LEVEL'!A:C,3,FALSE)</f>
        <v>Individuals given incentives, recognition, and awards</v>
      </c>
      <c r="P317" s="54" t="str">
        <f>VLOOKUP(Table3[[#This Row],[PI LEVEL 3]],Table53729[[Performance Indicator Level 3]:[Performance Indicator Level 1]],2,FALSE)</f>
        <v>AEWs-extension workers given incentives</v>
      </c>
      <c r="Q317" s="54" t="str">
        <f>VLOOKUP(Table3[[#This Row],[ACTIVITY]],TAGS!B:P,2,FALSE)</f>
        <v>AEWs-extension workers given incentives</v>
      </c>
      <c r="R317" s="47" t="s">
        <v>109</v>
      </c>
      <c r="S317" s="51" t="str">
        <f>VLOOKUP(Table3[[#This Row],[ACTIVITY]],TAGS!$B:$P,4,FALSE)</f>
        <v>Extension Workers Incentives</v>
      </c>
      <c r="T317" s="51" t="str">
        <f>VLOOKUP(Table3[[#This Row],[ACTIVITY]],TAGS!$B:$P,5,FALSE)</f>
        <v>Incentives Given</v>
      </c>
      <c r="U317" s="51" t="str">
        <f>VLOOKUP(Table3[[#This Row],[ACTIVITY]],TAGS!$B:$P,6,FALSE)</f>
        <v>Provincial Coordinator</v>
      </c>
      <c r="V317" s="51" t="str">
        <f>VLOOKUP(Table3[[#This Row],[ACTIVITY]],TAGS!$B:$P,7,FALSE)</f>
        <v>NO</v>
      </c>
      <c r="W317" s="51" t="str">
        <f>VLOOKUP(Table3[[#This Row],[ACTIVITY]],TAGS!$B:$P,8,FALSE)</f>
        <v>PAP</v>
      </c>
      <c r="X317" s="51" t="str">
        <f>VLOOKUP(Table3[[#This Row],[ACTIVITY]],TAGS!$B:$P,10,FALSE)</f>
        <v>PIP</v>
      </c>
      <c r="Y317" s="51" t="str">
        <f>VLOOKUP(Table3[[#This Row],[ACTIVITY]],TAGS!$B:$P,11,FALSE)</f>
        <v>PICS</v>
      </c>
      <c r="Z317" s="51" t="str">
        <f>VLOOKUP(Table3[[#This Row],[ACTIVITY]],TAGS!$B:$P,12,FALSE)</f>
        <v>Consolidation</v>
      </c>
      <c r="AA317" s="51" t="str">
        <f>VLOOKUP(Table3[[#This Row],[ACTIVITY]],TAGS!$B:$P,13,FALSE)</f>
        <v>3. PAFES</v>
      </c>
      <c r="AB317" s="51" t="str">
        <f>VLOOKUP(Table3[[#This Row],[ACTIVITY]],TAGS!$B:$P,14,FALSE)</f>
        <v>STRONG PARTNERSHIP WITH THE FARMERS, FISHERFOLK, PRIVATE SECTOR, AND OTHER STAKEHOLDERS</v>
      </c>
      <c r="AC317" s="51" t="str">
        <f>VLOOKUP(Table3[[#This Row],[ACTIVITY]],TAGS!$B:$P,15,FALSE)</f>
        <v>Other Intervetions</v>
      </c>
      <c r="AD317" s="51" t="str">
        <f>VLOOKUP(Table3[[#This Row],[PI LEVEL 3]],'PI LEVEL'!$A:$G,7,FALSE)</f>
        <v>DA-Level Output</v>
      </c>
      <c r="AE317" s="47" t="s">
        <v>577</v>
      </c>
      <c r="AF317" s="51" t="str">
        <f>VLOOKUP(Table3[[#This Row],[ACTIVITY]],TAGS!$B:$P,3,FALSE)</f>
        <v>number</v>
      </c>
      <c r="AG317" s="47" t="s">
        <v>338</v>
      </c>
      <c r="AH317" s="51" t="str">
        <f>VLOOKUP(Table3[[#This Row],[MONTH]],TAGS!$W$67:$Y$81,2,FALSE)</f>
        <v>4TH QTR</v>
      </c>
      <c r="AI317" s="51" t="str">
        <f>VLOOKUP(Table3[[#This Row],[MONTH]],TAGS!$W$67:$Y$81,3,FALSE)</f>
        <v>2ND SEMESTER</v>
      </c>
      <c r="AJ317" s="51">
        <f>VLOOKUP(Table3[[#This Row],[MONTH]],TAGS!$W$67:$Z$81,4,FALSE)</f>
        <v>2025</v>
      </c>
      <c r="AK317" s="47">
        <v>1</v>
      </c>
      <c r="AL317" s="51" t="str">
        <f>VLOOKUP(Table3[[#This Row],[ACTIVITY]],TAGS!$B:$R,16,FALSE)</f>
        <v>NO</v>
      </c>
      <c r="AM317" s="47"/>
      <c r="AN317" s="47">
        <v>48</v>
      </c>
      <c r="AO317" s="57">
        <f>SUM(Table3[[#This Row],[MALE BENEFICIARIES]:[FEMALE BENEFICIARIES]])</f>
        <v>0</v>
      </c>
      <c r="AP317" s="58"/>
      <c r="AQ317" s="58"/>
      <c r="AR317" s="58"/>
      <c r="AS317" s="58"/>
      <c r="AT317" s="59" t="str">
        <f>VLOOKUP(Table3[[#This Row],[ACTIVITY]],TAGS!$B:$R,17,FALSE)</f>
        <v>NO</v>
      </c>
      <c r="AU317" s="59"/>
      <c r="AV317" s="59"/>
      <c r="AW317" s="59"/>
      <c r="AX317" s="59"/>
      <c r="AY317" s="59"/>
      <c r="AZ317" s="59"/>
      <c r="BA317" s="59"/>
      <c r="BB317" s="59"/>
      <c r="BC317" s="59"/>
      <c r="BD317" s="59"/>
      <c r="BE317" s="59"/>
      <c r="BF317" s="59"/>
      <c r="BG317" s="59"/>
      <c r="BH317" s="59"/>
      <c r="BI317" s="59"/>
      <c r="BJ317" s="59"/>
      <c r="BK317" s="59"/>
      <c r="BL317" s="59"/>
      <c r="BM317" s="59"/>
    </row>
    <row r="318" spans="1:65">
      <c r="A318" s="51" t="str">
        <f>VLOOKUP(Table3[[#This Row],[OU]],OU!$A$15:$B$34,2,FALSE)</f>
        <v>RFOs</v>
      </c>
      <c r="B318" s="47" t="s">
        <v>5</v>
      </c>
      <c r="C318" s="47" t="s">
        <v>574</v>
      </c>
      <c r="D318" s="47"/>
      <c r="E318" s="47" t="s">
        <v>22</v>
      </c>
      <c r="F318" s="47" t="s">
        <v>629</v>
      </c>
      <c r="G31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31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21529000</v>
      </c>
      <c r="I318" s="52" t="str">
        <f>VLOOKUP(Table3[[#This Row],[PSGC]],DISTRICT!$D:$G,4,FALSE)</f>
        <v>3rd</v>
      </c>
      <c r="J318" s="47" t="s">
        <v>585</v>
      </c>
      <c r="K318" s="51" t="str">
        <f>VLOOKUP(Table3[[#This Row],[SPECIFIC COMMODITY]],TAGS!$W$48:$X$53,2,FALSE)</f>
        <v>Multi_commodity</v>
      </c>
      <c r="L318" s="51" t="str">
        <f>VLOOKUP(Table3[[#This Row],[PREXC SUB-PROGRAM]],Table5[],2,FALSE)</f>
        <v>TECHNICAL AND SUPPORT SERVICES PROGRAM</v>
      </c>
      <c r="M318" s="51" t="str">
        <f>VLOOKUP(Table3[[#This Row],[COMMODITY PREXC SUB-PROGRAM]],TAGS!$U$54:$V$76,2,FALSE)</f>
        <v>ESETS</v>
      </c>
      <c r="N318" s="47" t="s">
        <v>592</v>
      </c>
      <c r="O318" s="54" t="str">
        <f>VLOOKUP(Table3[[#This Row],[PI LEVEL 3]],'PI LEVEL'!A:C,3,FALSE)</f>
        <v>Individuals given incentives, recognition, and awards</v>
      </c>
      <c r="P318" s="54" t="str">
        <f>VLOOKUP(Table3[[#This Row],[PI LEVEL 3]],Table53729[[Performance Indicator Level 3]:[Performance Indicator Level 1]],2,FALSE)</f>
        <v>AEWs-extension workers given incentives</v>
      </c>
      <c r="Q318" s="54" t="str">
        <f>VLOOKUP(Table3[[#This Row],[ACTIVITY]],TAGS!B:P,2,FALSE)</f>
        <v>AEWs-extension workers given incentives</v>
      </c>
      <c r="R318" s="47" t="s">
        <v>111</v>
      </c>
      <c r="S318" s="51" t="str">
        <f>VLOOKUP(Table3[[#This Row],[ACTIVITY]],TAGS!$B:$P,4,FALSE)</f>
        <v>Extension Workers Incentives</v>
      </c>
      <c r="T318" s="51" t="str">
        <f>VLOOKUP(Table3[[#This Row],[ACTIVITY]],TAGS!$B:$P,5,FALSE)</f>
        <v>Incentives Given</v>
      </c>
      <c r="U318" s="51" t="str">
        <f>VLOOKUP(Table3[[#This Row],[ACTIVITY]],TAGS!$B:$P,6,FALSE)</f>
        <v>Municipal Agriculturist</v>
      </c>
      <c r="V318" s="51" t="str">
        <f>VLOOKUP(Table3[[#This Row],[ACTIVITY]],TAGS!$B:$P,7,FALSE)</f>
        <v>NO</v>
      </c>
      <c r="W318" s="51" t="str">
        <f>VLOOKUP(Table3[[#This Row],[ACTIVITY]],TAGS!$B:$P,8,FALSE)</f>
        <v>PAP</v>
      </c>
      <c r="X318" s="51" t="str">
        <f>VLOOKUP(Table3[[#This Row],[ACTIVITY]],TAGS!$B:$P,10,FALSE)</f>
        <v>PIP</v>
      </c>
      <c r="Y318" s="51" t="str">
        <f>VLOOKUP(Table3[[#This Row],[ACTIVITY]],TAGS!$B:$P,11,FALSE)</f>
        <v>PICS</v>
      </c>
      <c r="Z318" s="51" t="str">
        <f>VLOOKUP(Table3[[#This Row],[ACTIVITY]],TAGS!$B:$P,12,FALSE)</f>
        <v>Consolidation</v>
      </c>
      <c r="AA318" s="51" t="str">
        <f>VLOOKUP(Table3[[#This Row],[ACTIVITY]],TAGS!$B:$P,13,FALSE)</f>
        <v>3. PAFES</v>
      </c>
      <c r="AB318" s="51" t="str">
        <f>VLOOKUP(Table3[[#This Row],[ACTIVITY]],TAGS!$B:$P,14,FALSE)</f>
        <v>STRONG PARTNERSHIP WITH THE FARMERS, FISHERFOLK, PRIVATE SECTOR, AND OTHER STAKEHOLDERS</v>
      </c>
      <c r="AC318" s="51" t="str">
        <f>VLOOKUP(Table3[[#This Row],[ACTIVITY]],TAGS!$B:$P,15,FALSE)</f>
        <v>Other Intervetions</v>
      </c>
      <c r="AD318" s="51" t="str">
        <f>VLOOKUP(Table3[[#This Row],[PI LEVEL 3]],'PI LEVEL'!$A:$G,7,FALSE)</f>
        <v>DA-Level Output</v>
      </c>
      <c r="AE318" s="47" t="s">
        <v>577</v>
      </c>
      <c r="AF318" s="51" t="str">
        <f>VLOOKUP(Table3[[#This Row],[ACTIVITY]],TAGS!$B:$P,3,FALSE)</f>
        <v>number</v>
      </c>
      <c r="AG318" s="47" t="s">
        <v>338</v>
      </c>
      <c r="AH318" s="51" t="str">
        <f>VLOOKUP(Table3[[#This Row],[MONTH]],TAGS!$W$67:$Y$81,2,FALSE)</f>
        <v>4TH QTR</v>
      </c>
      <c r="AI318" s="51" t="str">
        <f>VLOOKUP(Table3[[#This Row],[MONTH]],TAGS!$W$67:$Y$81,3,FALSE)</f>
        <v>2ND SEMESTER</v>
      </c>
      <c r="AJ318" s="51">
        <f>VLOOKUP(Table3[[#This Row],[MONTH]],TAGS!$W$67:$Z$81,4,FALSE)</f>
        <v>2025</v>
      </c>
      <c r="AK318" s="47">
        <v>1</v>
      </c>
      <c r="AL318" s="51" t="str">
        <f>VLOOKUP(Table3[[#This Row],[ACTIVITY]],TAGS!$B:$R,16,FALSE)</f>
        <v>NO</v>
      </c>
      <c r="AM318" s="47"/>
      <c r="AN318" s="47">
        <v>48</v>
      </c>
      <c r="AO318" s="57">
        <f>SUM(Table3[[#This Row],[MALE BENEFICIARIES]:[FEMALE BENEFICIARIES]])</f>
        <v>0</v>
      </c>
      <c r="AP318" s="58"/>
      <c r="AQ318" s="58"/>
      <c r="AR318" s="58"/>
      <c r="AS318" s="58"/>
      <c r="AT318" s="59" t="str">
        <f>VLOOKUP(Table3[[#This Row],[ACTIVITY]],TAGS!$B:$R,17,FALSE)</f>
        <v>NO</v>
      </c>
      <c r="AU318" s="59"/>
      <c r="AV318" s="59"/>
      <c r="AW318" s="59"/>
      <c r="AX318" s="59"/>
      <c r="AY318" s="59"/>
      <c r="AZ318" s="59"/>
      <c r="BA318" s="59"/>
      <c r="BB318" s="59"/>
      <c r="BC318" s="59"/>
      <c r="BD318" s="59"/>
      <c r="BE318" s="59"/>
      <c r="BF318" s="59"/>
      <c r="BG318" s="59"/>
      <c r="BH318" s="59"/>
      <c r="BI318" s="59"/>
      <c r="BJ318" s="59"/>
      <c r="BK318" s="59"/>
      <c r="BL318" s="59"/>
      <c r="BM318" s="59"/>
    </row>
    <row r="319" spans="1:65">
      <c r="A319" s="51" t="str">
        <f>VLOOKUP(Table3[[#This Row],[OU]],OU!$A$15:$B$34,2,FALSE)</f>
        <v>RFOs</v>
      </c>
      <c r="B319" s="47" t="s">
        <v>5</v>
      </c>
      <c r="C319" s="47" t="s">
        <v>574</v>
      </c>
      <c r="D319" s="47"/>
      <c r="E319" s="47" t="s">
        <v>22</v>
      </c>
      <c r="F319" s="47" t="s">
        <v>644</v>
      </c>
      <c r="G31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31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21506000</v>
      </c>
      <c r="I319" s="52" t="str">
        <f>VLOOKUP(Table3[[#This Row],[PSGC]],DISTRICT!$D:$G,4,FALSE)</f>
        <v>1st</v>
      </c>
      <c r="J319" s="47" t="s">
        <v>585</v>
      </c>
      <c r="K319" s="51" t="str">
        <f>VLOOKUP(Table3[[#This Row],[SPECIFIC COMMODITY]],TAGS!$W$48:$X$53,2,FALSE)</f>
        <v>Multi_commodity</v>
      </c>
      <c r="L319" s="51" t="str">
        <f>VLOOKUP(Table3[[#This Row],[PREXC SUB-PROGRAM]],Table5[],2,FALSE)</f>
        <v>TECHNICAL AND SUPPORT SERVICES PROGRAM</v>
      </c>
      <c r="M319" s="51" t="str">
        <f>VLOOKUP(Table3[[#This Row],[COMMODITY PREXC SUB-PROGRAM]],TAGS!$U$54:$V$76,2,FALSE)</f>
        <v>ESETS</v>
      </c>
      <c r="N319" s="47" t="s">
        <v>592</v>
      </c>
      <c r="O319" s="54" t="str">
        <f>VLOOKUP(Table3[[#This Row],[PI LEVEL 3]],'PI LEVEL'!A:C,3,FALSE)</f>
        <v>Individuals given incentives, recognition, and awards</v>
      </c>
      <c r="P319" s="54" t="str">
        <f>VLOOKUP(Table3[[#This Row],[PI LEVEL 3]],Table53729[[Performance Indicator Level 3]:[Performance Indicator Level 1]],2,FALSE)</f>
        <v>AEWs-extension workers given incentives</v>
      </c>
      <c r="Q319" s="54" t="str">
        <f>VLOOKUP(Table3[[#This Row],[ACTIVITY]],TAGS!B:P,2,FALSE)</f>
        <v>AEWs-extension workers given incentives</v>
      </c>
      <c r="R319" s="47" t="s">
        <v>111</v>
      </c>
      <c r="S319" s="51" t="str">
        <f>VLOOKUP(Table3[[#This Row],[ACTIVITY]],TAGS!$B:$P,4,FALSE)</f>
        <v>Extension Workers Incentives</v>
      </c>
      <c r="T319" s="51" t="str">
        <f>VLOOKUP(Table3[[#This Row],[ACTIVITY]],TAGS!$B:$P,5,FALSE)</f>
        <v>Incentives Given</v>
      </c>
      <c r="U319" s="51" t="str">
        <f>VLOOKUP(Table3[[#This Row],[ACTIVITY]],TAGS!$B:$P,6,FALSE)</f>
        <v>Municipal Agriculturist</v>
      </c>
      <c r="V319" s="51" t="str">
        <f>VLOOKUP(Table3[[#This Row],[ACTIVITY]],TAGS!$B:$P,7,FALSE)</f>
        <v>NO</v>
      </c>
      <c r="W319" s="51" t="str">
        <f>VLOOKUP(Table3[[#This Row],[ACTIVITY]],TAGS!$B:$P,8,FALSE)</f>
        <v>PAP</v>
      </c>
      <c r="X319" s="51" t="str">
        <f>VLOOKUP(Table3[[#This Row],[ACTIVITY]],TAGS!$B:$P,10,FALSE)</f>
        <v>PIP</v>
      </c>
      <c r="Y319" s="51" t="str">
        <f>VLOOKUP(Table3[[#This Row],[ACTIVITY]],TAGS!$B:$P,11,FALSE)</f>
        <v>PICS</v>
      </c>
      <c r="Z319" s="51" t="str">
        <f>VLOOKUP(Table3[[#This Row],[ACTIVITY]],TAGS!$B:$P,12,FALSE)</f>
        <v>Consolidation</v>
      </c>
      <c r="AA319" s="51" t="str">
        <f>VLOOKUP(Table3[[#This Row],[ACTIVITY]],TAGS!$B:$P,13,FALSE)</f>
        <v>3. PAFES</v>
      </c>
      <c r="AB319" s="51" t="str">
        <f>VLOOKUP(Table3[[#This Row],[ACTIVITY]],TAGS!$B:$P,14,FALSE)</f>
        <v>STRONG PARTNERSHIP WITH THE FARMERS, FISHERFOLK, PRIVATE SECTOR, AND OTHER STAKEHOLDERS</v>
      </c>
      <c r="AC319" s="51" t="str">
        <f>VLOOKUP(Table3[[#This Row],[ACTIVITY]],TAGS!$B:$P,15,FALSE)</f>
        <v>Other Intervetions</v>
      </c>
      <c r="AD319" s="51" t="str">
        <f>VLOOKUP(Table3[[#This Row],[PI LEVEL 3]],'PI LEVEL'!$A:$G,7,FALSE)</f>
        <v>DA-Level Output</v>
      </c>
      <c r="AE319" s="47" t="s">
        <v>577</v>
      </c>
      <c r="AF319" s="51" t="str">
        <f>VLOOKUP(Table3[[#This Row],[ACTIVITY]],TAGS!$B:$P,3,FALSE)</f>
        <v>number</v>
      </c>
      <c r="AG319" s="47" t="s">
        <v>338</v>
      </c>
      <c r="AH319" s="51" t="str">
        <f>VLOOKUP(Table3[[#This Row],[MONTH]],TAGS!$W$67:$Y$81,2,FALSE)</f>
        <v>4TH QTR</v>
      </c>
      <c r="AI319" s="51" t="str">
        <f>VLOOKUP(Table3[[#This Row],[MONTH]],TAGS!$W$67:$Y$81,3,FALSE)</f>
        <v>2ND SEMESTER</v>
      </c>
      <c r="AJ319" s="51">
        <f>VLOOKUP(Table3[[#This Row],[MONTH]],TAGS!$W$67:$Z$81,4,FALSE)</f>
        <v>2025</v>
      </c>
      <c r="AK319" s="47">
        <v>1</v>
      </c>
      <c r="AL319" s="51" t="str">
        <f>VLOOKUP(Table3[[#This Row],[ACTIVITY]],TAGS!$B:$R,16,FALSE)</f>
        <v>NO</v>
      </c>
      <c r="AM319" s="47"/>
      <c r="AN319" s="47">
        <v>48</v>
      </c>
      <c r="AO319" s="57">
        <f>SUM(Table3[[#This Row],[MALE BENEFICIARIES]:[FEMALE BENEFICIARIES]])</f>
        <v>0</v>
      </c>
      <c r="AP319" s="58"/>
      <c r="AQ319" s="58"/>
      <c r="AR319" s="58"/>
      <c r="AS319" s="58"/>
      <c r="AT319" s="59" t="str">
        <f>VLOOKUP(Table3[[#This Row],[ACTIVITY]],TAGS!$B:$R,17,FALSE)</f>
        <v>NO</v>
      </c>
      <c r="AU319" s="59"/>
      <c r="AV319" s="59"/>
      <c r="AW319" s="59"/>
      <c r="AX319" s="59"/>
      <c r="AY319" s="59"/>
      <c r="AZ319" s="59"/>
      <c r="BA319" s="59"/>
      <c r="BB319" s="59"/>
      <c r="BC319" s="59"/>
      <c r="BD319" s="59"/>
      <c r="BE319" s="59"/>
      <c r="BF319" s="59"/>
      <c r="BG319" s="59"/>
      <c r="BH319" s="59"/>
      <c r="BI319" s="59"/>
      <c r="BJ319" s="59"/>
      <c r="BK319" s="59"/>
      <c r="BL319" s="59"/>
      <c r="BM319" s="59"/>
    </row>
    <row r="320" spans="1:65">
      <c r="A320" s="51" t="str">
        <f>VLOOKUP(Table3[[#This Row],[OU]],OU!$A$15:$B$34,2,FALSE)</f>
        <v>RFOs</v>
      </c>
      <c r="B320" s="47" t="s">
        <v>5</v>
      </c>
      <c r="C320" s="47" t="s">
        <v>574</v>
      </c>
      <c r="D320" s="47"/>
      <c r="E320" s="47" t="s">
        <v>22</v>
      </c>
      <c r="F320" s="47" t="s">
        <v>652</v>
      </c>
      <c r="G32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32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21520000</v>
      </c>
      <c r="I320" s="52" t="str">
        <f>VLOOKUP(Table3[[#This Row],[PSGC]],DISTRICT!$D:$G,4,FALSE)</f>
        <v>4th</v>
      </c>
      <c r="J320" s="47" t="s">
        <v>585</v>
      </c>
      <c r="K320" s="51" t="str">
        <f>VLOOKUP(Table3[[#This Row],[SPECIFIC COMMODITY]],TAGS!$W$48:$X$53,2,FALSE)</f>
        <v>Multi_commodity</v>
      </c>
      <c r="L320" s="51" t="str">
        <f>VLOOKUP(Table3[[#This Row],[PREXC SUB-PROGRAM]],Table5[],2,FALSE)</f>
        <v>TECHNICAL AND SUPPORT SERVICES PROGRAM</v>
      </c>
      <c r="M320" s="51" t="str">
        <f>VLOOKUP(Table3[[#This Row],[COMMODITY PREXC SUB-PROGRAM]],TAGS!$U$54:$V$76,2,FALSE)</f>
        <v>ESETS</v>
      </c>
      <c r="N320" s="47" t="s">
        <v>592</v>
      </c>
      <c r="O320" s="54" t="str">
        <f>VLOOKUP(Table3[[#This Row],[PI LEVEL 3]],'PI LEVEL'!A:C,3,FALSE)</f>
        <v>Individuals given incentives, recognition, and awards</v>
      </c>
      <c r="P320" s="54" t="str">
        <f>VLOOKUP(Table3[[#This Row],[PI LEVEL 3]],Table53729[[Performance Indicator Level 3]:[Performance Indicator Level 1]],2,FALSE)</f>
        <v>AEWs-extension workers given incentives</v>
      </c>
      <c r="Q320" s="54" t="str">
        <f>VLOOKUP(Table3[[#This Row],[ACTIVITY]],TAGS!B:P,2,FALSE)</f>
        <v>AEWs-extension workers given incentives</v>
      </c>
      <c r="R320" s="47" t="s">
        <v>111</v>
      </c>
      <c r="S320" s="51" t="str">
        <f>VLOOKUP(Table3[[#This Row],[ACTIVITY]],TAGS!$B:$P,4,FALSE)</f>
        <v>Extension Workers Incentives</v>
      </c>
      <c r="T320" s="51" t="str">
        <f>VLOOKUP(Table3[[#This Row],[ACTIVITY]],TAGS!$B:$P,5,FALSE)</f>
        <v>Incentives Given</v>
      </c>
      <c r="U320" s="51" t="str">
        <f>VLOOKUP(Table3[[#This Row],[ACTIVITY]],TAGS!$B:$P,6,FALSE)</f>
        <v>Municipal Agriculturist</v>
      </c>
      <c r="V320" s="51" t="str">
        <f>VLOOKUP(Table3[[#This Row],[ACTIVITY]],TAGS!$B:$P,7,FALSE)</f>
        <v>NO</v>
      </c>
      <c r="W320" s="51" t="str">
        <f>VLOOKUP(Table3[[#This Row],[ACTIVITY]],TAGS!$B:$P,8,FALSE)</f>
        <v>PAP</v>
      </c>
      <c r="X320" s="51" t="str">
        <f>VLOOKUP(Table3[[#This Row],[ACTIVITY]],TAGS!$B:$P,10,FALSE)</f>
        <v>PIP</v>
      </c>
      <c r="Y320" s="51" t="str">
        <f>VLOOKUP(Table3[[#This Row],[ACTIVITY]],TAGS!$B:$P,11,FALSE)</f>
        <v>PICS</v>
      </c>
      <c r="Z320" s="51" t="str">
        <f>VLOOKUP(Table3[[#This Row],[ACTIVITY]],TAGS!$B:$P,12,FALSE)</f>
        <v>Consolidation</v>
      </c>
      <c r="AA320" s="51" t="str">
        <f>VLOOKUP(Table3[[#This Row],[ACTIVITY]],TAGS!$B:$P,13,FALSE)</f>
        <v>3. PAFES</v>
      </c>
      <c r="AB320" s="51" t="str">
        <f>VLOOKUP(Table3[[#This Row],[ACTIVITY]],TAGS!$B:$P,14,FALSE)</f>
        <v>STRONG PARTNERSHIP WITH THE FARMERS, FISHERFOLK, PRIVATE SECTOR, AND OTHER STAKEHOLDERS</v>
      </c>
      <c r="AC320" s="51" t="str">
        <f>VLOOKUP(Table3[[#This Row],[ACTIVITY]],TAGS!$B:$P,15,FALSE)</f>
        <v>Other Intervetions</v>
      </c>
      <c r="AD320" s="51" t="str">
        <f>VLOOKUP(Table3[[#This Row],[PI LEVEL 3]],'PI LEVEL'!$A:$G,7,FALSE)</f>
        <v>DA-Level Output</v>
      </c>
      <c r="AE320" s="47" t="s">
        <v>577</v>
      </c>
      <c r="AF320" s="51" t="str">
        <f>VLOOKUP(Table3[[#This Row],[ACTIVITY]],TAGS!$B:$P,3,FALSE)</f>
        <v>number</v>
      </c>
      <c r="AG320" s="47" t="s">
        <v>338</v>
      </c>
      <c r="AH320" s="51" t="str">
        <f>VLOOKUP(Table3[[#This Row],[MONTH]],TAGS!$W$67:$Y$81,2,FALSE)</f>
        <v>4TH QTR</v>
      </c>
      <c r="AI320" s="51" t="str">
        <f>VLOOKUP(Table3[[#This Row],[MONTH]],TAGS!$W$67:$Y$81,3,FALSE)</f>
        <v>2ND SEMESTER</v>
      </c>
      <c r="AJ320" s="51">
        <f>VLOOKUP(Table3[[#This Row],[MONTH]],TAGS!$W$67:$Z$81,4,FALSE)</f>
        <v>2025</v>
      </c>
      <c r="AK320" s="47">
        <v>1</v>
      </c>
      <c r="AL320" s="51" t="str">
        <f>VLOOKUP(Table3[[#This Row],[ACTIVITY]],TAGS!$B:$R,16,FALSE)</f>
        <v>NO</v>
      </c>
      <c r="AM320" s="47"/>
      <c r="AN320" s="47">
        <v>48</v>
      </c>
      <c r="AO320" s="57">
        <f>SUM(Table3[[#This Row],[MALE BENEFICIARIES]:[FEMALE BENEFICIARIES]])</f>
        <v>0</v>
      </c>
      <c r="AP320" s="58"/>
      <c r="AQ320" s="58"/>
      <c r="AR320" s="58"/>
      <c r="AS320" s="58"/>
      <c r="AT320" s="59" t="str">
        <f>VLOOKUP(Table3[[#This Row],[ACTIVITY]],TAGS!$B:$R,17,FALSE)</f>
        <v>NO</v>
      </c>
      <c r="AU320" s="59"/>
      <c r="AV320" s="59"/>
      <c r="AW320" s="59"/>
      <c r="AX320" s="59"/>
      <c r="AY320" s="59"/>
      <c r="AZ320" s="59"/>
      <c r="BA320" s="59"/>
      <c r="BB320" s="59"/>
      <c r="BC320" s="59"/>
      <c r="BD320" s="59"/>
      <c r="BE320" s="59"/>
      <c r="BF320" s="59"/>
      <c r="BG320" s="59"/>
      <c r="BH320" s="59"/>
      <c r="BI320" s="59"/>
      <c r="BJ320" s="59"/>
      <c r="BK320" s="59"/>
      <c r="BL320" s="59"/>
      <c r="BM320" s="59"/>
    </row>
    <row r="321" spans="1:65">
      <c r="A321" s="51" t="str">
        <f>VLOOKUP(Table3[[#This Row],[OU]],OU!$A$15:$B$34,2,FALSE)</f>
        <v>RFOs</v>
      </c>
      <c r="B321" s="47" t="s">
        <v>5</v>
      </c>
      <c r="C321" s="47" t="s">
        <v>574</v>
      </c>
      <c r="D321" s="47"/>
      <c r="E321" s="47" t="s">
        <v>43</v>
      </c>
      <c r="F321" s="47" t="s">
        <v>662</v>
      </c>
      <c r="G32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32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23104000</v>
      </c>
      <c r="I321" s="52" t="str">
        <f>VLOOKUP(Table3[[#This Row],[PSGC]],DISTRICT!$D:$G,4,FALSE)</f>
        <v>4th</v>
      </c>
      <c r="J321" s="47" t="s">
        <v>585</v>
      </c>
      <c r="K321" s="51" t="str">
        <f>VLOOKUP(Table3[[#This Row],[SPECIFIC COMMODITY]],TAGS!$W$48:$X$53,2,FALSE)</f>
        <v>Multi_commodity</v>
      </c>
      <c r="L321" s="51" t="str">
        <f>VLOOKUP(Table3[[#This Row],[PREXC SUB-PROGRAM]],Table5[],2,FALSE)</f>
        <v>TECHNICAL AND SUPPORT SERVICES PROGRAM</v>
      </c>
      <c r="M321" s="51" t="str">
        <f>VLOOKUP(Table3[[#This Row],[COMMODITY PREXC SUB-PROGRAM]],TAGS!$U$54:$V$76,2,FALSE)</f>
        <v>ESETS</v>
      </c>
      <c r="N321" s="47" t="s">
        <v>592</v>
      </c>
      <c r="O321" s="54" t="str">
        <f>VLOOKUP(Table3[[#This Row],[PI LEVEL 3]],'PI LEVEL'!A:C,3,FALSE)</f>
        <v>Individuals given incentives, recognition, and awards</v>
      </c>
      <c r="P321" s="54" t="str">
        <f>VLOOKUP(Table3[[#This Row],[PI LEVEL 3]],Table53729[[Performance Indicator Level 3]:[Performance Indicator Level 1]],2,FALSE)</f>
        <v>AEWs-extension workers given incentives</v>
      </c>
      <c r="Q321" s="54" t="str">
        <f>VLOOKUP(Table3[[#This Row],[ACTIVITY]],TAGS!B:P,2,FALSE)</f>
        <v>AEWs-extension workers given incentives</v>
      </c>
      <c r="R321" s="47" t="s">
        <v>111</v>
      </c>
      <c r="S321" s="51" t="str">
        <f>VLOOKUP(Table3[[#This Row],[ACTIVITY]],TAGS!$B:$P,4,FALSE)</f>
        <v>Extension Workers Incentives</v>
      </c>
      <c r="T321" s="51" t="str">
        <f>VLOOKUP(Table3[[#This Row],[ACTIVITY]],TAGS!$B:$P,5,FALSE)</f>
        <v>Incentives Given</v>
      </c>
      <c r="U321" s="51" t="str">
        <f>VLOOKUP(Table3[[#This Row],[ACTIVITY]],TAGS!$B:$P,6,FALSE)</f>
        <v>Municipal Agriculturist</v>
      </c>
      <c r="V321" s="51" t="str">
        <f>VLOOKUP(Table3[[#This Row],[ACTIVITY]],TAGS!$B:$P,7,FALSE)</f>
        <v>NO</v>
      </c>
      <c r="W321" s="51" t="str">
        <f>VLOOKUP(Table3[[#This Row],[ACTIVITY]],TAGS!$B:$P,8,FALSE)</f>
        <v>PAP</v>
      </c>
      <c r="X321" s="51" t="str">
        <f>VLOOKUP(Table3[[#This Row],[ACTIVITY]],TAGS!$B:$P,10,FALSE)</f>
        <v>PIP</v>
      </c>
      <c r="Y321" s="51" t="str">
        <f>VLOOKUP(Table3[[#This Row],[ACTIVITY]],TAGS!$B:$P,11,FALSE)</f>
        <v>PICS</v>
      </c>
      <c r="Z321" s="51" t="str">
        <f>VLOOKUP(Table3[[#This Row],[ACTIVITY]],TAGS!$B:$P,12,FALSE)</f>
        <v>Consolidation</v>
      </c>
      <c r="AA321" s="51" t="str">
        <f>VLOOKUP(Table3[[#This Row],[ACTIVITY]],TAGS!$B:$P,13,FALSE)</f>
        <v>3. PAFES</v>
      </c>
      <c r="AB321" s="51" t="str">
        <f>VLOOKUP(Table3[[#This Row],[ACTIVITY]],TAGS!$B:$P,14,FALSE)</f>
        <v>STRONG PARTNERSHIP WITH THE FARMERS, FISHERFOLK, PRIVATE SECTOR, AND OTHER STAKEHOLDERS</v>
      </c>
      <c r="AC321" s="51" t="str">
        <f>VLOOKUP(Table3[[#This Row],[ACTIVITY]],TAGS!$B:$P,15,FALSE)</f>
        <v>Other Intervetions</v>
      </c>
      <c r="AD321" s="51" t="str">
        <f>VLOOKUP(Table3[[#This Row],[PI LEVEL 3]],'PI LEVEL'!$A:$G,7,FALSE)</f>
        <v>DA-Level Output</v>
      </c>
      <c r="AE321" s="47" t="s">
        <v>577</v>
      </c>
      <c r="AF321" s="51" t="str">
        <f>VLOOKUP(Table3[[#This Row],[ACTIVITY]],TAGS!$B:$P,3,FALSE)</f>
        <v>number</v>
      </c>
      <c r="AG321" s="47" t="s">
        <v>338</v>
      </c>
      <c r="AH321" s="51" t="str">
        <f>VLOOKUP(Table3[[#This Row],[MONTH]],TAGS!$W$67:$Y$81,2,FALSE)</f>
        <v>4TH QTR</v>
      </c>
      <c r="AI321" s="51" t="str">
        <f>VLOOKUP(Table3[[#This Row],[MONTH]],TAGS!$W$67:$Y$81,3,FALSE)</f>
        <v>2ND SEMESTER</v>
      </c>
      <c r="AJ321" s="51">
        <f>VLOOKUP(Table3[[#This Row],[MONTH]],TAGS!$W$67:$Z$81,4,FALSE)</f>
        <v>2025</v>
      </c>
      <c r="AK321" s="47">
        <v>1</v>
      </c>
      <c r="AL321" s="51" t="str">
        <f>VLOOKUP(Table3[[#This Row],[ACTIVITY]],TAGS!$B:$R,16,FALSE)</f>
        <v>NO</v>
      </c>
      <c r="AM321" s="47"/>
      <c r="AN321" s="47">
        <v>48</v>
      </c>
      <c r="AO321" s="57">
        <f>SUM(Table3[[#This Row],[MALE BENEFICIARIES]:[FEMALE BENEFICIARIES]])</f>
        <v>0</v>
      </c>
      <c r="AP321" s="58"/>
      <c r="AQ321" s="58"/>
      <c r="AR321" s="58"/>
      <c r="AS321" s="58"/>
      <c r="AT321" s="59" t="str">
        <f>VLOOKUP(Table3[[#This Row],[ACTIVITY]],TAGS!$B:$R,17,FALSE)</f>
        <v>NO</v>
      </c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/>
      <c r="BF321" s="59"/>
      <c r="BG321" s="59"/>
      <c r="BH321" s="59"/>
      <c r="BI321" s="59"/>
      <c r="BJ321" s="59"/>
      <c r="BK321" s="59"/>
      <c r="BL321" s="59"/>
      <c r="BM321" s="59"/>
    </row>
    <row r="322" spans="1:65">
      <c r="A322" s="51" t="str">
        <f>VLOOKUP(Table3[[#This Row],[OU]],OU!$A$15:$B$34,2,FALSE)</f>
        <v>RFOs</v>
      </c>
      <c r="B322" s="47" t="s">
        <v>5</v>
      </c>
      <c r="C322" s="47" t="s">
        <v>574</v>
      </c>
      <c r="D322" s="47"/>
      <c r="E322" s="47" t="s">
        <v>43</v>
      </c>
      <c r="F322" s="47" t="s">
        <v>664</v>
      </c>
      <c r="G32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32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23120000</v>
      </c>
      <c r="I322" s="52" t="str">
        <f>VLOOKUP(Table3[[#This Row],[PSGC]],DISTRICT!$D:$G,4,FALSE)</f>
        <v>4th</v>
      </c>
      <c r="J322" s="47" t="s">
        <v>585</v>
      </c>
      <c r="K322" s="51" t="str">
        <f>VLOOKUP(Table3[[#This Row],[SPECIFIC COMMODITY]],TAGS!$W$48:$X$53,2,FALSE)</f>
        <v>Multi_commodity</v>
      </c>
      <c r="L322" s="51" t="str">
        <f>VLOOKUP(Table3[[#This Row],[PREXC SUB-PROGRAM]],Table5[],2,FALSE)</f>
        <v>TECHNICAL AND SUPPORT SERVICES PROGRAM</v>
      </c>
      <c r="M322" s="51" t="str">
        <f>VLOOKUP(Table3[[#This Row],[COMMODITY PREXC SUB-PROGRAM]],TAGS!$U$54:$V$76,2,FALSE)</f>
        <v>ESETS</v>
      </c>
      <c r="N322" s="47" t="s">
        <v>592</v>
      </c>
      <c r="O322" s="54" t="str">
        <f>VLOOKUP(Table3[[#This Row],[PI LEVEL 3]],'PI LEVEL'!A:C,3,FALSE)</f>
        <v>Individuals given incentives, recognition, and awards</v>
      </c>
      <c r="P322" s="54" t="str">
        <f>VLOOKUP(Table3[[#This Row],[PI LEVEL 3]],Table53729[[Performance Indicator Level 3]:[Performance Indicator Level 1]],2,FALSE)</f>
        <v>AEWs-extension workers given incentives</v>
      </c>
      <c r="Q322" s="54" t="str">
        <f>VLOOKUP(Table3[[#This Row],[ACTIVITY]],TAGS!B:P,2,FALSE)</f>
        <v>AEWs-extension workers given incentives</v>
      </c>
      <c r="R322" s="47" t="s">
        <v>111</v>
      </c>
      <c r="S322" s="51" t="str">
        <f>VLOOKUP(Table3[[#This Row],[ACTIVITY]],TAGS!$B:$P,4,FALSE)</f>
        <v>Extension Workers Incentives</v>
      </c>
      <c r="T322" s="51" t="str">
        <f>VLOOKUP(Table3[[#This Row],[ACTIVITY]],TAGS!$B:$P,5,FALSE)</f>
        <v>Incentives Given</v>
      </c>
      <c r="U322" s="51" t="str">
        <f>VLOOKUP(Table3[[#This Row],[ACTIVITY]],TAGS!$B:$P,6,FALSE)</f>
        <v>Municipal Agriculturist</v>
      </c>
      <c r="V322" s="51" t="str">
        <f>VLOOKUP(Table3[[#This Row],[ACTIVITY]],TAGS!$B:$P,7,FALSE)</f>
        <v>NO</v>
      </c>
      <c r="W322" s="51" t="str">
        <f>VLOOKUP(Table3[[#This Row],[ACTIVITY]],TAGS!$B:$P,8,FALSE)</f>
        <v>PAP</v>
      </c>
      <c r="X322" s="51" t="str">
        <f>VLOOKUP(Table3[[#This Row],[ACTIVITY]],TAGS!$B:$P,10,FALSE)</f>
        <v>PIP</v>
      </c>
      <c r="Y322" s="51" t="str">
        <f>VLOOKUP(Table3[[#This Row],[ACTIVITY]],TAGS!$B:$P,11,FALSE)</f>
        <v>PICS</v>
      </c>
      <c r="Z322" s="51" t="str">
        <f>VLOOKUP(Table3[[#This Row],[ACTIVITY]],TAGS!$B:$P,12,FALSE)</f>
        <v>Consolidation</v>
      </c>
      <c r="AA322" s="51" t="str">
        <f>VLOOKUP(Table3[[#This Row],[ACTIVITY]],TAGS!$B:$P,13,FALSE)</f>
        <v>3. PAFES</v>
      </c>
      <c r="AB322" s="51" t="str">
        <f>VLOOKUP(Table3[[#This Row],[ACTIVITY]],TAGS!$B:$P,14,FALSE)</f>
        <v>STRONG PARTNERSHIP WITH THE FARMERS, FISHERFOLK, PRIVATE SECTOR, AND OTHER STAKEHOLDERS</v>
      </c>
      <c r="AC322" s="51" t="str">
        <f>VLOOKUP(Table3[[#This Row],[ACTIVITY]],TAGS!$B:$P,15,FALSE)</f>
        <v>Other Intervetions</v>
      </c>
      <c r="AD322" s="51" t="str">
        <f>VLOOKUP(Table3[[#This Row],[PI LEVEL 3]],'PI LEVEL'!$A:$G,7,FALSE)</f>
        <v>DA-Level Output</v>
      </c>
      <c r="AE322" s="47" t="s">
        <v>577</v>
      </c>
      <c r="AF322" s="51" t="str">
        <f>VLOOKUP(Table3[[#This Row],[ACTIVITY]],TAGS!$B:$P,3,FALSE)</f>
        <v>number</v>
      </c>
      <c r="AG322" s="47" t="s">
        <v>338</v>
      </c>
      <c r="AH322" s="51" t="str">
        <f>VLOOKUP(Table3[[#This Row],[MONTH]],TAGS!$W$67:$Y$81,2,FALSE)</f>
        <v>4TH QTR</v>
      </c>
      <c r="AI322" s="51" t="str">
        <f>VLOOKUP(Table3[[#This Row],[MONTH]],TAGS!$W$67:$Y$81,3,FALSE)</f>
        <v>2ND SEMESTER</v>
      </c>
      <c r="AJ322" s="51">
        <f>VLOOKUP(Table3[[#This Row],[MONTH]],TAGS!$W$67:$Z$81,4,FALSE)</f>
        <v>2025</v>
      </c>
      <c r="AK322" s="47">
        <v>1</v>
      </c>
      <c r="AL322" s="51" t="str">
        <f>VLOOKUP(Table3[[#This Row],[ACTIVITY]],TAGS!$B:$R,16,FALSE)</f>
        <v>NO</v>
      </c>
      <c r="AM322" s="47"/>
      <c r="AN322" s="47">
        <v>48</v>
      </c>
      <c r="AO322" s="57">
        <f>SUM(Table3[[#This Row],[MALE BENEFICIARIES]:[FEMALE BENEFICIARIES]])</f>
        <v>0</v>
      </c>
      <c r="AP322" s="58"/>
      <c r="AQ322" s="58"/>
      <c r="AR322" s="58"/>
      <c r="AS322" s="58"/>
      <c r="AT322" s="59" t="str">
        <f>VLOOKUP(Table3[[#This Row],[ACTIVITY]],TAGS!$B:$R,17,FALSE)</f>
        <v>NO</v>
      </c>
      <c r="AU322" s="59"/>
      <c r="AV322" s="59"/>
      <c r="AW322" s="59"/>
      <c r="AX322" s="59"/>
      <c r="AY322" s="59"/>
      <c r="AZ322" s="59"/>
      <c r="BA322" s="59"/>
      <c r="BB322" s="59"/>
      <c r="BC322" s="59"/>
      <c r="BD322" s="59"/>
      <c r="BE322" s="59"/>
      <c r="BF322" s="59"/>
      <c r="BG322" s="59"/>
      <c r="BH322" s="59"/>
      <c r="BI322" s="59"/>
      <c r="BJ322" s="59"/>
      <c r="BK322" s="59"/>
      <c r="BL322" s="59"/>
      <c r="BM322" s="59"/>
    </row>
    <row r="323" spans="1:65">
      <c r="A323" s="51" t="str">
        <f>VLOOKUP(Table3[[#This Row],[OU]],OU!$A$15:$B$34,2,FALSE)</f>
        <v>RFOs</v>
      </c>
      <c r="B323" s="47" t="s">
        <v>5</v>
      </c>
      <c r="C323" s="47" t="s">
        <v>574</v>
      </c>
      <c r="D323" s="47"/>
      <c r="E323" s="47" t="s">
        <v>43</v>
      </c>
      <c r="F323" s="47" t="s">
        <v>682</v>
      </c>
      <c r="G32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5th District</v>
      </c>
      <c r="H32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23123000</v>
      </c>
      <c r="I323" s="52" t="str">
        <f>VLOOKUP(Table3[[#This Row],[PSGC]],DISTRICT!$D:$G,4,FALSE)</f>
        <v>4th</v>
      </c>
      <c r="J323" s="47" t="s">
        <v>585</v>
      </c>
      <c r="K323" s="51" t="str">
        <f>VLOOKUP(Table3[[#This Row],[SPECIFIC COMMODITY]],TAGS!$W$48:$X$53,2,FALSE)</f>
        <v>Multi_commodity</v>
      </c>
      <c r="L323" s="51" t="str">
        <f>VLOOKUP(Table3[[#This Row],[PREXC SUB-PROGRAM]],Table5[],2,FALSE)</f>
        <v>TECHNICAL AND SUPPORT SERVICES PROGRAM</v>
      </c>
      <c r="M323" s="51" t="str">
        <f>VLOOKUP(Table3[[#This Row],[COMMODITY PREXC SUB-PROGRAM]],TAGS!$U$54:$V$76,2,FALSE)</f>
        <v>ESETS</v>
      </c>
      <c r="N323" s="47" t="s">
        <v>592</v>
      </c>
      <c r="O323" s="54" t="str">
        <f>VLOOKUP(Table3[[#This Row],[PI LEVEL 3]],'PI LEVEL'!A:C,3,FALSE)</f>
        <v>Individuals given incentives, recognition, and awards</v>
      </c>
      <c r="P323" s="54" t="str">
        <f>VLOOKUP(Table3[[#This Row],[PI LEVEL 3]],Table53729[[Performance Indicator Level 3]:[Performance Indicator Level 1]],2,FALSE)</f>
        <v>AEWs-extension workers given incentives</v>
      </c>
      <c r="Q323" s="54" t="str">
        <f>VLOOKUP(Table3[[#This Row],[ACTIVITY]],TAGS!B:P,2,FALSE)</f>
        <v>AEWs-extension workers given incentives</v>
      </c>
      <c r="R323" s="47" t="s">
        <v>111</v>
      </c>
      <c r="S323" s="51" t="str">
        <f>VLOOKUP(Table3[[#This Row],[ACTIVITY]],TAGS!$B:$P,4,FALSE)</f>
        <v>Extension Workers Incentives</v>
      </c>
      <c r="T323" s="51" t="str">
        <f>VLOOKUP(Table3[[#This Row],[ACTIVITY]],TAGS!$B:$P,5,FALSE)</f>
        <v>Incentives Given</v>
      </c>
      <c r="U323" s="51" t="str">
        <f>VLOOKUP(Table3[[#This Row],[ACTIVITY]],TAGS!$B:$P,6,FALSE)</f>
        <v>Municipal Agriculturist</v>
      </c>
      <c r="V323" s="51" t="str">
        <f>VLOOKUP(Table3[[#This Row],[ACTIVITY]],TAGS!$B:$P,7,FALSE)</f>
        <v>NO</v>
      </c>
      <c r="W323" s="51" t="str">
        <f>VLOOKUP(Table3[[#This Row],[ACTIVITY]],TAGS!$B:$P,8,FALSE)</f>
        <v>PAP</v>
      </c>
      <c r="X323" s="51" t="str">
        <f>VLOOKUP(Table3[[#This Row],[ACTIVITY]],TAGS!$B:$P,10,FALSE)</f>
        <v>PIP</v>
      </c>
      <c r="Y323" s="51" t="str">
        <f>VLOOKUP(Table3[[#This Row],[ACTIVITY]],TAGS!$B:$P,11,FALSE)</f>
        <v>PICS</v>
      </c>
      <c r="Z323" s="51" t="str">
        <f>VLOOKUP(Table3[[#This Row],[ACTIVITY]],TAGS!$B:$P,12,FALSE)</f>
        <v>Consolidation</v>
      </c>
      <c r="AA323" s="51" t="str">
        <f>VLOOKUP(Table3[[#This Row],[ACTIVITY]],TAGS!$B:$P,13,FALSE)</f>
        <v>3. PAFES</v>
      </c>
      <c r="AB323" s="51" t="str">
        <f>VLOOKUP(Table3[[#This Row],[ACTIVITY]],TAGS!$B:$P,14,FALSE)</f>
        <v>STRONG PARTNERSHIP WITH THE FARMERS, FISHERFOLK, PRIVATE SECTOR, AND OTHER STAKEHOLDERS</v>
      </c>
      <c r="AC323" s="51" t="str">
        <f>VLOOKUP(Table3[[#This Row],[ACTIVITY]],TAGS!$B:$P,15,FALSE)</f>
        <v>Other Intervetions</v>
      </c>
      <c r="AD323" s="51" t="str">
        <f>VLOOKUP(Table3[[#This Row],[PI LEVEL 3]],'PI LEVEL'!$A:$G,7,FALSE)</f>
        <v>DA-Level Output</v>
      </c>
      <c r="AE323" s="47" t="s">
        <v>577</v>
      </c>
      <c r="AF323" s="51" t="str">
        <f>VLOOKUP(Table3[[#This Row],[ACTIVITY]],TAGS!$B:$P,3,FALSE)</f>
        <v>number</v>
      </c>
      <c r="AG323" s="47" t="s">
        <v>338</v>
      </c>
      <c r="AH323" s="51" t="str">
        <f>VLOOKUP(Table3[[#This Row],[MONTH]],TAGS!$W$67:$Y$81,2,FALSE)</f>
        <v>4TH QTR</v>
      </c>
      <c r="AI323" s="51" t="str">
        <f>VLOOKUP(Table3[[#This Row],[MONTH]],TAGS!$W$67:$Y$81,3,FALSE)</f>
        <v>2ND SEMESTER</v>
      </c>
      <c r="AJ323" s="51">
        <f>VLOOKUP(Table3[[#This Row],[MONTH]],TAGS!$W$67:$Z$81,4,FALSE)</f>
        <v>2025</v>
      </c>
      <c r="AK323" s="47">
        <v>1</v>
      </c>
      <c r="AL323" s="51" t="str">
        <f>VLOOKUP(Table3[[#This Row],[ACTIVITY]],TAGS!$B:$R,16,FALSE)</f>
        <v>NO</v>
      </c>
      <c r="AM323" s="47"/>
      <c r="AN323" s="47">
        <v>48</v>
      </c>
      <c r="AO323" s="57">
        <f>SUM(Table3[[#This Row],[MALE BENEFICIARIES]:[FEMALE BENEFICIARIES]])</f>
        <v>0</v>
      </c>
      <c r="AP323" s="58"/>
      <c r="AQ323" s="58"/>
      <c r="AR323" s="58"/>
      <c r="AS323" s="58"/>
      <c r="AT323" s="59" t="str">
        <f>VLOOKUP(Table3[[#This Row],[ACTIVITY]],TAGS!$B:$R,17,FALSE)</f>
        <v>NO</v>
      </c>
      <c r="AU323" s="59"/>
      <c r="AV323" s="59"/>
      <c r="AW323" s="59"/>
      <c r="AX323" s="59"/>
      <c r="AY323" s="59"/>
      <c r="AZ323" s="59"/>
      <c r="BA323" s="59"/>
      <c r="BB323" s="59"/>
      <c r="BC323" s="59"/>
      <c r="BD323" s="59"/>
      <c r="BE323" s="59"/>
      <c r="BF323" s="59"/>
      <c r="BG323" s="59"/>
      <c r="BH323" s="59"/>
      <c r="BI323" s="59"/>
      <c r="BJ323" s="59"/>
      <c r="BK323" s="59"/>
      <c r="BL323" s="59"/>
      <c r="BM323" s="59"/>
    </row>
    <row r="324" spans="1:65">
      <c r="A324" s="51" t="str">
        <f>VLOOKUP(Table3[[#This Row],[OU]],OU!$A$15:$B$34,2,FALSE)</f>
        <v>RFOs</v>
      </c>
      <c r="B324" s="47" t="s">
        <v>5</v>
      </c>
      <c r="C324" s="47" t="s">
        <v>574</v>
      </c>
      <c r="D324" s="47"/>
      <c r="E324" s="47" t="s">
        <v>43</v>
      </c>
      <c r="F324" s="47" t="s">
        <v>667</v>
      </c>
      <c r="G32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32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23131000</v>
      </c>
      <c r="I324" s="52" t="str">
        <f>VLOOKUP(Table3[[#This Row],[PSGC]],DISTRICT!$D:$G,4,FALSE)</f>
        <v>1st</v>
      </c>
      <c r="J324" s="47" t="s">
        <v>585</v>
      </c>
      <c r="K324" s="51" t="str">
        <f>VLOOKUP(Table3[[#This Row],[SPECIFIC COMMODITY]],TAGS!$W$48:$X$53,2,FALSE)</f>
        <v>Multi_commodity</v>
      </c>
      <c r="L324" s="51" t="str">
        <f>VLOOKUP(Table3[[#This Row],[PREXC SUB-PROGRAM]],Table5[],2,FALSE)</f>
        <v>TECHNICAL AND SUPPORT SERVICES PROGRAM</v>
      </c>
      <c r="M324" s="51" t="str">
        <f>VLOOKUP(Table3[[#This Row],[COMMODITY PREXC SUB-PROGRAM]],TAGS!$U$54:$V$76,2,FALSE)</f>
        <v>ESETS</v>
      </c>
      <c r="N324" s="47" t="s">
        <v>592</v>
      </c>
      <c r="O324" s="54" t="str">
        <f>VLOOKUP(Table3[[#This Row],[PI LEVEL 3]],'PI LEVEL'!A:C,3,FALSE)</f>
        <v>Individuals given incentives, recognition, and awards</v>
      </c>
      <c r="P324" s="54" t="str">
        <f>VLOOKUP(Table3[[#This Row],[PI LEVEL 3]],Table53729[[Performance Indicator Level 3]:[Performance Indicator Level 1]],2,FALSE)</f>
        <v>AEWs-extension workers given incentives</v>
      </c>
      <c r="Q324" s="54" t="str">
        <f>VLOOKUP(Table3[[#This Row],[ACTIVITY]],TAGS!B:P,2,FALSE)</f>
        <v>AEWs-extension workers given incentives</v>
      </c>
      <c r="R324" s="47" t="s">
        <v>111</v>
      </c>
      <c r="S324" s="51" t="str">
        <f>VLOOKUP(Table3[[#This Row],[ACTIVITY]],TAGS!$B:$P,4,FALSE)</f>
        <v>Extension Workers Incentives</v>
      </c>
      <c r="T324" s="51" t="str">
        <f>VLOOKUP(Table3[[#This Row],[ACTIVITY]],TAGS!$B:$P,5,FALSE)</f>
        <v>Incentives Given</v>
      </c>
      <c r="U324" s="51" t="str">
        <f>VLOOKUP(Table3[[#This Row],[ACTIVITY]],TAGS!$B:$P,6,FALSE)</f>
        <v>Municipal Agriculturist</v>
      </c>
      <c r="V324" s="51" t="str">
        <f>VLOOKUP(Table3[[#This Row],[ACTIVITY]],TAGS!$B:$P,7,FALSE)</f>
        <v>NO</v>
      </c>
      <c r="W324" s="51" t="str">
        <f>VLOOKUP(Table3[[#This Row],[ACTIVITY]],TAGS!$B:$P,8,FALSE)</f>
        <v>PAP</v>
      </c>
      <c r="X324" s="51" t="str">
        <f>VLOOKUP(Table3[[#This Row],[ACTIVITY]],TAGS!$B:$P,10,FALSE)</f>
        <v>PIP</v>
      </c>
      <c r="Y324" s="51" t="str">
        <f>VLOOKUP(Table3[[#This Row],[ACTIVITY]],TAGS!$B:$P,11,FALSE)</f>
        <v>PICS</v>
      </c>
      <c r="Z324" s="51" t="str">
        <f>VLOOKUP(Table3[[#This Row],[ACTIVITY]],TAGS!$B:$P,12,FALSE)</f>
        <v>Consolidation</v>
      </c>
      <c r="AA324" s="51" t="str">
        <f>VLOOKUP(Table3[[#This Row],[ACTIVITY]],TAGS!$B:$P,13,FALSE)</f>
        <v>3. PAFES</v>
      </c>
      <c r="AB324" s="51" t="str">
        <f>VLOOKUP(Table3[[#This Row],[ACTIVITY]],TAGS!$B:$P,14,FALSE)</f>
        <v>STRONG PARTNERSHIP WITH THE FARMERS, FISHERFOLK, PRIVATE SECTOR, AND OTHER STAKEHOLDERS</v>
      </c>
      <c r="AC324" s="51" t="str">
        <f>VLOOKUP(Table3[[#This Row],[ACTIVITY]],TAGS!$B:$P,15,FALSE)</f>
        <v>Other Intervetions</v>
      </c>
      <c r="AD324" s="51" t="str">
        <f>VLOOKUP(Table3[[#This Row],[PI LEVEL 3]],'PI LEVEL'!$A:$G,7,FALSE)</f>
        <v>DA-Level Output</v>
      </c>
      <c r="AE324" s="47" t="s">
        <v>577</v>
      </c>
      <c r="AF324" s="51" t="str">
        <f>VLOOKUP(Table3[[#This Row],[ACTIVITY]],TAGS!$B:$P,3,FALSE)</f>
        <v>number</v>
      </c>
      <c r="AG324" s="47" t="s">
        <v>338</v>
      </c>
      <c r="AH324" s="51" t="str">
        <f>VLOOKUP(Table3[[#This Row],[MONTH]],TAGS!$W$67:$Y$81,2,FALSE)</f>
        <v>4TH QTR</v>
      </c>
      <c r="AI324" s="51" t="str">
        <f>VLOOKUP(Table3[[#This Row],[MONTH]],TAGS!$W$67:$Y$81,3,FALSE)</f>
        <v>2ND SEMESTER</v>
      </c>
      <c r="AJ324" s="51">
        <f>VLOOKUP(Table3[[#This Row],[MONTH]],TAGS!$W$67:$Z$81,4,FALSE)</f>
        <v>2025</v>
      </c>
      <c r="AK324" s="47">
        <v>1</v>
      </c>
      <c r="AL324" s="51" t="str">
        <f>VLOOKUP(Table3[[#This Row],[ACTIVITY]],TAGS!$B:$R,16,FALSE)</f>
        <v>NO</v>
      </c>
      <c r="AM324" s="47"/>
      <c r="AN324" s="47">
        <v>48</v>
      </c>
      <c r="AO324" s="57">
        <f>SUM(Table3[[#This Row],[MALE BENEFICIARIES]:[FEMALE BENEFICIARIES]])</f>
        <v>0</v>
      </c>
      <c r="AP324" s="58"/>
      <c r="AQ324" s="58"/>
      <c r="AR324" s="58"/>
      <c r="AS324" s="58"/>
      <c r="AT324" s="59" t="str">
        <f>VLOOKUP(Table3[[#This Row],[ACTIVITY]],TAGS!$B:$R,17,FALSE)</f>
        <v>NO</v>
      </c>
      <c r="AU324" s="59"/>
      <c r="AV324" s="59"/>
      <c r="AW324" s="59"/>
      <c r="AX324" s="59"/>
      <c r="AY324" s="59"/>
      <c r="AZ324" s="59"/>
      <c r="BA324" s="59"/>
      <c r="BB324" s="59"/>
      <c r="BC324" s="59"/>
      <c r="BD324" s="59"/>
      <c r="BE324" s="59"/>
      <c r="BF324" s="59"/>
      <c r="BG324" s="59"/>
      <c r="BH324" s="59"/>
      <c r="BI324" s="59"/>
      <c r="BJ324" s="59"/>
      <c r="BK324" s="59"/>
      <c r="BL324" s="59"/>
      <c r="BM324" s="59"/>
    </row>
    <row r="325" spans="1:65">
      <c r="A325" s="51" t="str">
        <f>VLOOKUP(Table3[[#This Row],[OU]],OU!$A$15:$B$34,2,FALSE)</f>
        <v>RFOs</v>
      </c>
      <c r="B325" s="47" t="s">
        <v>5</v>
      </c>
      <c r="C325" s="47" t="s">
        <v>574</v>
      </c>
      <c r="D325" s="47"/>
      <c r="E325" s="47" t="s">
        <v>43</v>
      </c>
      <c r="F325" s="47" t="s">
        <v>674</v>
      </c>
      <c r="G32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4th District</v>
      </c>
      <c r="H32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23109000</v>
      </c>
      <c r="I325" s="52" t="str">
        <f>VLOOKUP(Table3[[#This Row],[PSGC]],DISTRICT!$D:$G,4,FALSE)</f>
        <v>3rd</v>
      </c>
      <c r="J325" s="47" t="s">
        <v>585</v>
      </c>
      <c r="K325" s="51" t="str">
        <f>VLOOKUP(Table3[[#This Row],[SPECIFIC COMMODITY]],TAGS!$W$48:$X$53,2,FALSE)</f>
        <v>Multi_commodity</v>
      </c>
      <c r="L325" s="51" t="str">
        <f>VLOOKUP(Table3[[#This Row],[PREXC SUB-PROGRAM]],Table5[],2,FALSE)</f>
        <v>TECHNICAL AND SUPPORT SERVICES PROGRAM</v>
      </c>
      <c r="M325" s="51" t="str">
        <f>VLOOKUP(Table3[[#This Row],[COMMODITY PREXC SUB-PROGRAM]],TAGS!$U$54:$V$76,2,FALSE)</f>
        <v>ESETS</v>
      </c>
      <c r="N325" s="47" t="s">
        <v>592</v>
      </c>
      <c r="O325" s="54" t="str">
        <f>VLOOKUP(Table3[[#This Row],[PI LEVEL 3]],'PI LEVEL'!A:C,3,FALSE)</f>
        <v>Individuals given incentives, recognition, and awards</v>
      </c>
      <c r="P325" s="54" t="str">
        <f>VLOOKUP(Table3[[#This Row],[PI LEVEL 3]],Table53729[[Performance Indicator Level 3]:[Performance Indicator Level 1]],2,FALSE)</f>
        <v>AEWs-extension workers given incentives</v>
      </c>
      <c r="Q325" s="54" t="str">
        <f>VLOOKUP(Table3[[#This Row],[ACTIVITY]],TAGS!B:P,2,FALSE)</f>
        <v>AEWs-extension workers given incentives</v>
      </c>
      <c r="R325" s="47" t="s">
        <v>111</v>
      </c>
      <c r="S325" s="51" t="str">
        <f>VLOOKUP(Table3[[#This Row],[ACTIVITY]],TAGS!$B:$P,4,FALSE)</f>
        <v>Extension Workers Incentives</v>
      </c>
      <c r="T325" s="51" t="str">
        <f>VLOOKUP(Table3[[#This Row],[ACTIVITY]],TAGS!$B:$P,5,FALSE)</f>
        <v>Incentives Given</v>
      </c>
      <c r="U325" s="51" t="str">
        <f>VLOOKUP(Table3[[#This Row],[ACTIVITY]],TAGS!$B:$P,6,FALSE)</f>
        <v>Municipal Agriculturist</v>
      </c>
      <c r="V325" s="51" t="str">
        <f>VLOOKUP(Table3[[#This Row],[ACTIVITY]],TAGS!$B:$P,7,FALSE)</f>
        <v>NO</v>
      </c>
      <c r="W325" s="51" t="str">
        <f>VLOOKUP(Table3[[#This Row],[ACTIVITY]],TAGS!$B:$P,8,FALSE)</f>
        <v>PAP</v>
      </c>
      <c r="X325" s="51" t="str">
        <f>VLOOKUP(Table3[[#This Row],[ACTIVITY]],TAGS!$B:$P,10,FALSE)</f>
        <v>PIP</v>
      </c>
      <c r="Y325" s="51" t="str">
        <f>VLOOKUP(Table3[[#This Row],[ACTIVITY]],TAGS!$B:$P,11,FALSE)</f>
        <v>PICS</v>
      </c>
      <c r="Z325" s="51" t="str">
        <f>VLOOKUP(Table3[[#This Row],[ACTIVITY]],TAGS!$B:$P,12,FALSE)</f>
        <v>Consolidation</v>
      </c>
      <c r="AA325" s="51" t="str">
        <f>VLOOKUP(Table3[[#This Row],[ACTIVITY]],TAGS!$B:$P,13,FALSE)</f>
        <v>3. PAFES</v>
      </c>
      <c r="AB325" s="51" t="str">
        <f>VLOOKUP(Table3[[#This Row],[ACTIVITY]],TAGS!$B:$P,14,FALSE)</f>
        <v>STRONG PARTNERSHIP WITH THE FARMERS, FISHERFOLK, PRIVATE SECTOR, AND OTHER STAKEHOLDERS</v>
      </c>
      <c r="AC325" s="51" t="str">
        <f>VLOOKUP(Table3[[#This Row],[ACTIVITY]],TAGS!$B:$P,15,FALSE)</f>
        <v>Other Intervetions</v>
      </c>
      <c r="AD325" s="51" t="str">
        <f>VLOOKUP(Table3[[#This Row],[PI LEVEL 3]],'PI LEVEL'!$A:$G,7,FALSE)</f>
        <v>DA-Level Output</v>
      </c>
      <c r="AE325" s="47" t="s">
        <v>577</v>
      </c>
      <c r="AF325" s="51" t="str">
        <f>VLOOKUP(Table3[[#This Row],[ACTIVITY]],TAGS!$B:$P,3,FALSE)</f>
        <v>number</v>
      </c>
      <c r="AG325" s="47" t="s">
        <v>338</v>
      </c>
      <c r="AH325" s="51" t="str">
        <f>VLOOKUP(Table3[[#This Row],[MONTH]],TAGS!$W$67:$Y$81,2,FALSE)</f>
        <v>4TH QTR</v>
      </c>
      <c r="AI325" s="51" t="str">
        <f>VLOOKUP(Table3[[#This Row],[MONTH]],TAGS!$W$67:$Y$81,3,FALSE)</f>
        <v>2ND SEMESTER</v>
      </c>
      <c r="AJ325" s="51">
        <f>VLOOKUP(Table3[[#This Row],[MONTH]],TAGS!$W$67:$Z$81,4,FALSE)</f>
        <v>2025</v>
      </c>
      <c r="AK325" s="47">
        <v>1</v>
      </c>
      <c r="AL325" s="51" t="str">
        <f>VLOOKUP(Table3[[#This Row],[ACTIVITY]],TAGS!$B:$R,16,FALSE)</f>
        <v>NO</v>
      </c>
      <c r="AM325" s="47"/>
      <c r="AN325" s="47">
        <v>48</v>
      </c>
      <c r="AO325" s="57">
        <f>SUM(Table3[[#This Row],[MALE BENEFICIARIES]:[FEMALE BENEFICIARIES]])</f>
        <v>0</v>
      </c>
      <c r="AP325" s="58"/>
      <c r="AQ325" s="58"/>
      <c r="AR325" s="58"/>
      <c r="AS325" s="58"/>
      <c r="AT325" s="59" t="str">
        <f>VLOOKUP(Table3[[#This Row],[ACTIVITY]],TAGS!$B:$R,17,FALSE)</f>
        <v>NO</v>
      </c>
      <c r="AU325" s="59"/>
      <c r="AV325" s="59"/>
      <c r="AW325" s="59"/>
      <c r="AX325" s="59"/>
      <c r="AY325" s="59"/>
      <c r="AZ325" s="59"/>
      <c r="BA325" s="59"/>
      <c r="BB325" s="59"/>
      <c r="BC325" s="59"/>
      <c r="BD325" s="59"/>
      <c r="BE325" s="59"/>
      <c r="BF325" s="59"/>
      <c r="BG325" s="59"/>
      <c r="BH325" s="59"/>
      <c r="BI325" s="59"/>
      <c r="BJ325" s="59"/>
      <c r="BK325" s="59"/>
      <c r="BL325" s="59"/>
      <c r="BM325" s="59"/>
    </row>
    <row r="326" spans="1:65">
      <c r="A326" s="51" t="str">
        <f>VLOOKUP(Table3[[#This Row],[OU]],OU!$A$15:$B$34,2,FALSE)</f>
        <v>RFOs</v>
      </c>
      <c r="B326" s="47" t="s">
        <v>5</v>
      </c>
      <c r="C326" s="47" t="s">
        <v>574</v>
      </c>
      <c r="D326" s="47"/>
      <c r="E326" s="47" t="s">
        <v>43</v>
      </c>
      <c r="F326" s="47" t="s">
        <v>675</v>
      </c>
      <c r="G32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4th District</v>
      </c>
      <c r="H32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23115000</v>
      </c>
      <c r="I326" s="52" t="str">
        <f>VLOOKUP(Table3[[#This Row],[PSGC]],DISTRICT!$D:$G,4,FALSE)</f>
        <v>1st</v>
      </c>
      <c r="J326" s="47" t="s">
        <v>585</v>
      </c>
      <c r="K326" s="51" t="str">
        <f>VLOOKUP(Table3[[#This Row],[SPECIFIC COMMODITY]],TAGS!$W$48:$X$53,2,FALSE)</f>
        <v>Multi_commodity</v>
      </c>
      <c r="L326" s="51" t="str">
        <f>VLOOKUP(Table3[[#This Row],[PREXC SUB-PROGRAM]],Table5[],2,FALSE)</f>
        <v>TECHNICAL AND SUPPORT SERVICES PROGRAM</v>
      </c>
      <c r="M326" s="51" t="str">
        <f>VLOOKUP(Table3[[#This Row],[COMMODITY PREXC SUB-PROGRAM]],TAGS!$U$54:$V$76,2,FALSE)</f>
        <v>ESETS</v>
      </c>
      <c r="N326" s="47" t="s">
        <v>592</v>
      </c>
      <c r="O326" s="54" t="str">
        <f>VLOOKUP(Table3[[#This Row],[PI LEVEL 3]],'PI LEVEL'!A:C,3,FALSE)</f>
        <v>Individuals given incentives, recognition, and awards</v>
      </c>
      <c r="P326" s="54" t="str">
        <f>VLOOKUP(Table3[[#This Row],[PI LEVEL 3]],Table53729[[Performance Indicator Level 3]:[Performance Indicator Level 1]],2,FALSE)</f>
        <v>AEWs-extension workers given incentives</v>
      </c>
      <c r="Q326" s="54" t="str">
        <f>VLOOKUP(Table3[[#This Row],[ACTIVITY]],TAGS!B:P,2,FALSE)</f>
        <v>AEWs-extension workers given incentives</v>
      </c>
      <c r="R326" s="47" t="s">
        <v>111</v>
      </c>
      <c r="S326" s="51" t="str">
        <f>VLOOKUP(Table3[[#This Row],[ACTIVITY]],TAGS!$B:$P,4,FALSE)</f>
        <v>Extension Workers Incentives</v>
      </c>
      <c r="T326" s="51" t="str">
        <f>VLOOKUP(Table3[[#This Row],[ACTIVITY]],TAGS!$B:$P,5,FALSE)</f>
        <v>Incentives Given</v>
      </c>
      <c r="U326" s="51" t="str">
        <f>VLOOKUP(Table3[[#This Row],[ACTIVITY]],TAGS!$B:$P,6,FALSE)</f>
        <v>Municipal Agriculturist</v>
      </c>
      <c r="V326" s="51" t="str">
        <f>VLOOKUP(Table3[[#This Row],[ACTIVITY]],TAGS!$B:$P,7,FALSE)</f>
        <v>NO</v>
      </c>
      <c r="W326" s="51" t="str">
        <f>VLOOKUP(Table3[[#This Row],[ACTIVITY]],TAGS!$B:$P,8,FALSE)</f>
        <v>PAP</v>
      </c>
      <c r="X326" s="51" t="str">
        <f>VLOOKUP(Table3[[#This Row],[ACTIVITY]],TAGS!$B:$P,10,FALSE)</f>
        <v>PIP</v>
      </c>
      <c r="Y326" s="51" t="str">
        <f>VLOOKUP(Table3[[#This Row],[ACTIVITY]],TAGS!$B:$P,11,FALSE)</f>
        <v>PICS</v>
      </c>
      <c r="Z326" s="51" t="str">
        <f>VLOOKUP(Table3[[#This Row],[ACTIVITY]],TAGS!$B:$P,12,FALSE)</f>
        <v>Consolidation</v>
      </c>
      <c r="AA326" s="51" t="str">
        <f>VLOOKUP(Table3[[#This Row],[ACTIVITY]],TAGS!$B:$P,13,FALSE)</f>
        <v>3. PAFES</v>
      </c>
      <c r="AB326" s="51" t="str">
        <f>VLOOKUP(Table3[[#This Row],[ACTIVITY]],TAGS!$B:$P,14,FALSE)</f>
        <v>STRONG PARTNERSHIP WITH THE FARMERS, FISHERFOLK, PRIVATE SECTOR, AND OTHER STAKEHOLDERS</v>
      </c>
      <c r="AC326" s="51" t="str">
        <f>VLOOKUP(Table3[[#This Row],[ACTIVITY]],TAGS!$B:$P,15,FALSE)</f>
        <v>Other Intervetions</v>
      </c>
      <c r="AD326" s="51" t="str">
        <f>VLOOKUP(Table3[[#This Row],[PI LEVEL 3]],'PI LEVEL'!$A:$G,7,FALSE)</f>
        <v>DA-Level Output</v>
      </c>
      <c r="AE326" s="47" t="s">
        <v>577</v>
      </c>
      <c r="AF326" s="51" t="str">
        <f>VLOOKUP(Table3[[#This Row],[ACTIVITY]],TAGS!$B:$P,3,FALSE)</f>
        <v>number</v>
      </c>
      <c r="AG326" s="47" t="s">
        <v>338</v>
      </c>
      <c r="AH326" s="51" t="str">
        <f>VLOOKUP(Table3[[#This Row],[MONTH]],TAGS!$W$67:$Y$81,2,FALSE)</f>
        <v>4TH QTR</v>
      </c>
      <c r="AI326" s="51" t="str">
        <f>VLOOKUP(Table3[[#This Row],[MONTH]],TAGS!$W$67:$Y$81,3,FALSE)</f>
        <v>2ND SEMESTER</v>
      </c>
      <c r="AJ326" s="51">
        <f>VLOOKUP(Table3[[#This Row],[MONTH]],TAGS!$W$67:$Z$81,4,FALSE)</f>
        <v>2025</v>
      </c>
      <c r="AK326" s="47">
        <v>1</v>
      </c>
      <c r="AL326" s="51" t="str">
        <f>VLOOKUP(Table3[[#This Row],[ACTIVITY]],TAGS!$B:$R,16,FALSE)</f>
        <v>NO</v>
      </c>
      <c r="AM326" s="47"/>
      <c r="AN326" s="47">
        <v>48</v>
      </c>
      <c r="AO326" s="57">
        <f>SUM(Table3[[#This Row],[MALE BENEFICIARIES]:[FEMALE BENEFICIARIES]])</f>
        <v>0</v>
      </c>
      <c r="AP326" s="58"/>
      <c r="AQ326" s="58"/>
      <c r="AR326" s="58"/>
      <c r="AS326" s="58"/>
      <c r="AT326" s="59" t="str">
        <f>VLOOKUP(Table3[[#This Row],[ACTIVITY]],TAGS!$B:$R,17,FALSE)</f>
        <v>NO</v>
      </c>
      <c r="AU326" s="59"/>
      <c r="AV326" s="59"/>
      <c r="AW326" s="59"/>
      <c r="AX326" s="59"/>
      <c r="AY326" s="59"/>
      <c r="AZ326" s="59"/>
      <c r="BA326" s="59"/>
      <c r="BB326" s="59"/>
      <c r="BC326" s="59"/>
      <c r="BD326" s="59"/>
      <c r="BE326" s="59"/>
      <c r="BF326" s="59"/>
      <c r="BG326" s="59"/>
      <c r="BH326" s="59"/>
      <c r="BI326" s="59"/>
      <c r="BJ326" s="59"/>
      <c r="BK326" s="59"/>
      <c r="BL326" s="59"/>
      <c r="BM326" s="59"/>
    </row>
    <row r="327" spans="1:65">
      <c r="A327" s="51" t="str">
        <f>VLOOKUP(Table3[[#This Row],[OU]],OU!$A$15:$B$34,2,FALSE)</f>
        <v>RFOs</v>
      </c>
      <c r="B327" s="47" t="s">
        <v>5</v>
      </c>
      <c r="C327" s="47" t="s">
        <v>574</v>
      </c>
      <c r="D327" s="47"/>
      <c r="E327" s="47" t="s">
        <v>43</v>
      </c>
      <c r="F327" s="47" t="s">
        <v>676</v>
      </c>
      <c r="G32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4th District</v>
      </c>
      <c r="H32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23127000</v>
      </c>
      <c r="I327" s="52" t="str">
        <f>VLOOKUP(Table3[[#This Row],[PSGC]],DISTRICT!$D:$G,4,FALSE)</f>
        <v>3rd</v>
      </c>
      <c r="J327" s="47" t="s">
        <v>585</v>
      </c>
      <c r="K327" s="51" t="str">
        <f>VLOOKUP(Table3[[#This Row],[SPECIFIC COMMODITY]],TAGS!$W$48:$X$53,2,FALSE)</f>
        <v>Multi_commodity</v>
      </c>
      <c r="L327" s="51" t="str">
        <f>VLOOKUP(Table3[[#This Row],[PREXC SUB-PROGRAM]],Table5[],2,FALSE)</f>
        <v>TECHNICAL AND SUPPORT SERVICES PROGRAM</v>
      </c>
      <c r="M327" s="51" t="str">
        <f>VLOOKUP(Table3[[#This Row],[COMMODITY PREXC SUB-PROGRAM]],TAGS!$U$54:$V$76,2,FALSE)</f>
        <v>ESETS</v>
      </c>
      <c r="N327" s="47" t="s">
        <v>592</v>
      </c>
      <c r="O327" s="54" t="str">
        <f>VLOOKUP(Table3[[#This Row],[PI LEVEL 3]],'PI LEVEL'!A:C,3,FALSE)</f>
        <v>Individuals given incentives, recognition, and awards</v>
      </c>
      <c r="P327" s="54" t="str">
        <f>VLOOKUP(Table3[[#This Row],[PI LEVEL 3]],Table53729[[Performance Indicator Level 3]:[Performance Indicator Level 1]],2,FALSE)</f>
        <v>AEWs-extension workers given incentives</v>
      </c>
      <c r="Q327" s="54" t="str">
        <f>VLOOKUP(Table3[[#This Row],[ACTIVITY]],TAGS!B:P,2,FALSE)</f>
        <v>AEWs-extension workers given incentives</v>
      </c>
      <c r="R327" s="47" t="s">
        <v>111</v>
      </c>
      <c r="S327" s="51" t="str">
        <f>VLOOKUP(Table3[[#This Row],[ACTIVITY]],TAGS!$B:$P,4,FALSE)</f>
        <v>Extension Workers Incentives</v>
      </c>
      <c r="T327" s="51" t="str">
        <f>VLOOKUP(Table3[[#This Row],[ACTIVITY]],TAGS!$B:$P,5,FALSE)</f>
        <v>Incentives Given</v>
      </c>
      <c r="U327" s="51" t="str">
        <f>VLOOKUP(Table3[[#This Row],[ACTIVITY]],TAGS!$B:$P,6,FALSE)</f>
        <v>Municipal Agriculturist</v>
      </c>
      <c r="V327" s="51" t="str">
        <f>VLOOKUP(Table3[[#This Row],[ACTIVITY]],TAGS!$B:$P,7,FALSE)</f>
        <v>NO</v>
      </c>
      <c r="W327" s="51" t="str">
        <f>VLOOKUP(Table3[[#This Row],[ACTIVITY]],TAGS!$B:$P,8,FALSE)</f>
        <v>PAP</v>
      </c>
      <c r="X327" s="51" t="str">
        <f>VLOOKUP(Table3[[#This Row],[ACTIVITY]],TAGS!$B:$P,10,FALSE)</f>
        <v>PIP</v>
      </c>
      <c r="Y327" s="51" t="str">
        <f>VLOOKUP(Table3[[#This Row],[ACTIVITY]],TAGS!$B:$P,11,FALSE)</f>
        <v>PICS</v>
      </c>
      <c r="Z327" s="51" t="str">
        <f>VLOOKUP(Table3[[#This Row],[ACTIVITY]],TAGS!$B:$P,12,FALSE)</f>
        <v>Consolidation</v>
      </c>
      <c r="AA327" s="51" t="str">
        <f>VLOOKUP(Table3[[#This Row],[ACTIVITY]],TAGS!$B:$P,13,FALSE)</f>
        <v>3. PAFES</v>
      </c>
      <c r="AB327" s="51" t="str">
        <f>VLOOKUP(Table3[[#This Row],[ACTIVITY]],TAGS!$B:$P,14,FALSE)</f>
        <v>STRONG PARTNERSHIP WITH THE FARMERS, FISHERFOLK, PRIVATE SECTOR, AND OTHER STAKEHOLDERS</v>
      </c>
      <c r="AC327" s="51" t="str">
        <f>VLOOKUP(Table3[[#This Row],[ACTIVITY]],TAGS!$B:$P,15,FALSE)</f>
        <v>Other Intervetions</v>
      </c>
      <c r="AD327" s="51" t="str">
        <f>VLOOKUP(Table3[[#This Row],[PI LEVEL 3]],'PI LEVEL'!$A:$G,7,FALSE)</f>
        <v>DA-Level Output</v>
      </c>
      <c r="AE327" s="47" t="s">
        <v>577</v>
      </c>
      <c r="AF327" s="51" t="str">
        <f>VLOOKUP(Table3[[#This Row],[ACTIVITY]],TAGS!$B:$P,3,FALSE)</f>
        <v>number</v>
      </c>
      <c r="AG327" s="47" t="s">
        <v>338</v>
      </c>
      <c r="AH327" s="51" t="str">
        <f>VLOOKUP(Table3[[#This Row],[MONTH]],TAGS!$W$67:$Y$81,2,FALSE)</f>
        <v>4TH QTR</v>
      </c>
      <c r="AI327" s="51" t="str">
        <f>VLOOKUP(Table3[[#This Row],[MONTH]],TAGS!$W$67:$Y$81,3,FALSE)</f>
        <v>2ND SEMESTER</v>
      </c>
      <c r="AJ327" s="51">
        <f>VLOOKUP(Table3[[#This Row],[MONTH]],TAGS!$W$67:$Z$81,4,FALSE)</f>
        <v>2025</v>
      </c>
      <c r="AK327" s="47">
        <v>1</v>
      </c>
      <c r="AL327" s="51" t="str">
        <f>VLOOKUP(Table3[[#This Row],[ACTIVITY]],TAGS!$B:$R,16,FALSE)</f>
        <v>NO</v>
      </c>
      <c r="AM327" s="47"/>
      <c r="AN327" s="47">
        <v>48</v>
      </c>
      <c r="AO327" s="57">
        <f>SUM(Table3[[#This Row],[MALE BENEFICIARIES]:[FEMALE BENEFICIARIES]])</f>
        <v>0</v>
      </c>
      <c r="AP327" s="58"/>
      <c r="AQ327" s="58"/>
      <c r="AR327" s="58"/>
      <c r="AS327" s="58"/>
      <c r="AT327" s="59" t="str">
        <f>VLOOKUP(Table3[[#This Row],[ACTIVITY]],TAGS!$B:$R,17,FALSE)</f>
        <v>NO</v>
      </c>
      <c r="AU327" s="59"/>
      <c r="AV327" s="59"/>
      <c r="AW327" s="59"/>
      <c r="AX327" s="59"/>
      <c r="AY327" s="59"/>
      <c r="AZ327" s="59"/>
      <c r="BA327" s="59"/>
      <c r="BB327" s="59"/>
      <c r="BC327" s="59"/>
      <c r="BD327" s="59"/>
      <c r="BE327" s="59"/>
      <c r="BF327" s="59"/>
      <c r="BG327" s="59"/>
      <c r="BH327" s="59"/>
      <c r="BI327" s="59"/>
      <c r="BJ327" s="59"/>
      <c r="BK327" s="59"/>
      <c r="BL327" s="59"/>
      <c r="BM327" s="59"/>
    </row>
    <row r="328" spans="1:65">
      <c r="A328" s="51" t="str">
        <f>VLOOKUP(Table3[[#This Row],[OU]],OU!$A$15:$B$34,2,FALSE)</f>
        <v>RFOs</v>
      </c>
      <c r="B328" s="47" t="s">
        <v>5</v>
      </c>
      <c r="C328" s="47" t="s">
        <v>574</v>
      </c>
      <c r="D328" s="47"/>
      <c r="E328" s="47" t="s">
        <v>43</v>
      </c>
      <c r="F328" s="47" t="s">
        <v>685</v>
      </c>
      <c r="G32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32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23112000</v>
      </c>
      <c r="I328" s="52" t="str">
        <f>VLOOKUP(Table3[[#This Row],[PSGC]],DISTRICT!$D:$G,4,FALSE)</f>
        <v>1st</v>
      </c>
      <c r="J328" s="47" t="s">
        <v>585</v>
      </c>
      <c r="K328" s="51" t="str">
        <f>VLOOKUP(Table3[[#This Row],[SPECIFIC COMMODITY]],TAGS!$W$48:$X$53,2,FALSE)</f>
        <v>Multi_commodity</v>
      </c>
      <c r="L328" s="51" t="str">
        <f>VLOOKUP(Table3[[#This Row],[PREXC SUB-PROGRAM]],Table5[],2,FALSE)</f>
        <v>TECHNICAL AND SUPPORT SERVICES PROGRAM</v>
      </c>
      <c r="M328" s="51" t="str">
        <f>VLOOKUP(Table3[[#This Row],[COMMODITY PREXC SUB-PROGRAM]],TAGS!$U$54:$V$76,2,FALSE)</f>
        <v>ESETS</v>
      </c>
      <c r="N328" s="47" t="s">
        <v>592</v>
      </c>
      <c r="O328" s="54" t="str">
        <f>VLOOKUP(Table3[[#This Row],[PI LEVEL 3]],'PI LEVEL'!A:C,3,FALSE)</f>
        <v>Individuals given incentives, recognition, and awards</v>
      </c>
      <c r="P328" s="54" t="str">
        <f>VLOOKUP(Table3[[#This Row],[PI LEVEL 3]],Table53729[[Performance Indicator Level 3]:[Performance Indicator Level 1]],2,FALSE)</f>
        <v>AEWs-extension workers given incentives</v>
      </c>
      <c r="Q328" s="54" t="str">
        <f>VLOOKUP(Table3[[#This Row],[ACTIVITY]],TAGS!B:P,2,FALSE)</f>
        <v>AEWs-extension workers given incentives</v>
      </c>
      <c r="R328" s="47" t="s">
        <v>111</v>
      </c>
      <c r="S328" s="51" t="str">
        <f>VLOOKUP(Table3[[#This Row],[ACTIVITY]],TAGS!$B:$P,4,FALSE)</f>
        <v>Extension Workers Incentives</v>
      </c>
      <c r="T328" s="51" t="str">
        <f>VLOOKUP(Table3[[#This Row],[ACTIVITY]],TAGS!$B:$P,5,FALSE)</f>
        <v>Incentives Given</v>
      </c>
      <c r="U328" s="51" t="str">
        <f>VLOOKUP(Table3[[#This Row],[ACTIVITY]],TAGS!$B:$P,6,FALSE)</f>
        <v>Municipal Agriculturist</v>
      </c>
      <c r="V328" s="51" t="str">
        <f>VLOOKUP(Table3[[#This Row],[ACTIVITY]],TAGS!$B:$P,7,FALSE)</f>
        <v>NO</v>
      </c>
      <c r="W328" s="51" t="str">
        <f>VLOOKUP(Table3[[#This Row],[ACTIVITY]],TAGS!$B:$P,8,FALSE)</f>
        <v>PAP</v>
      </c>
      <c r="X328" s="51" t="str">
        <f>VLOOKUP(Table3[[#This Row],[ACTIVITY]],TAGS!$B:$P,10,FALSE)</f>
        <v>PIP</v>
      </c>
      <c r="Y328" s="51" t="str">
        <f>VLOOKUP(Table3[[#This Row],[ACTIVITY]],TAGS!$B:$P,11,FALSE)</f>
        <v>PICS</v>
      </c>
      <c r="Z328" s="51" t="str">
        <f>VLOOKUP(Table3[[#This Row],[ACTIVITY]],TAGS!$B:$P,12,FALSE)</f>
        <v>Consolidation</v>
      </c>
      <c r="AA328" s="51" t="str">
        <f>VLOOKUP(Table3[[#This Row],[ACTIVITY]],TAGS!$B:$P,13,FALSE)</f>
        <v>3. PAFES</v>
      </c>
      <c r="AB328" s="51" t="str">
        <f>VLOOKUP(Table3[[#This Row],[ACTIVITY]],TAGS!$B:$P,14,FALSE)</f>
        <v>STRONG PARTNERSHIP WITH THE FARMERS, FISHERFOLK, PRIVATE SECTOR, AND OTHER STAKEHOLDERS</v>
      </c>
      <c r="AC328" s="51" t="str">
        <f>VLOOKUP(Table3[[#This Row],[ACTIVITY]],TAGS!$B:$P,15,FALSE)</f>
        <v>Other Intervetions</v>
      </c>
      <c r="AD328" s="51" t="str">
        <f>VLOOKUP(Table3[[#This Row],[PI LEVEL 3]],'PI LEVEL'!$A:$G,7,FALSE)</f>
        <v>DA-Level Output</v>
      </c>
      <c r="AE328" s="47" t="s">
        <v>577</v>
      </c>
      <c r="AF328" s="51" t="str">
        <f>VLOOKUP(Table3[[#This Row],[ACTIVITY]],TAGS!$B:$P,3,FALSE)</f>
        <v>number</v>
      </c>
      <c r="AG328" s="47" t="s">
        <v>338</v>
      </c>
      <c r="AH328" s="51" t="str">
        <f>VLOOKUP(Table3[[#This Row],[MONTH]],TAGS!$W$67:$Y$81,2,FALSE)</f>
        <v>4TH QTR</v>
      </c>
      <c r="AI328" s="51" t="str">
        <f>VLOOKUP(Table3[[#This Row],[MONTH]],TAGS!$W$67:$Y$81,3,FALSE)</f>
        <v>2ND SEMESTER</v>
      </c>
      <c r="AJ328" s="51">
        <f>VLOOKUP(Table3[[#This Row],[MONTH]],TAGS!$W$67:$Z$81,4,FALSE)</f>
        <v>2025</v>
      </c>
      <c r="AK328" s="47">
        <v>1</v>
      </c>
      <c r="AL328" s="51" t="str">
        <f>VLOOKUP(Table3[[#This Row],[ACTIVITY]],TAGS!$B:$R,16,FALSE)</f>
        <v>NO</v>
      </c>
      <c r="AM328" s="47"/>
      <c r="AN328" s="47">
        <v>48</v>
      </c>
      <c r="AO328" s="57">
        <f>SUM(Table3[[#This Row],[MALE BENEFICIARIES]:[FEMALE BENEFICIARIES]])</f>
        <v>0</v>
      </c>
      <c r="AP328" s="58"/>
      <c r="AQ328" s="58"/>
      <c r="AR328" s="58"/>
      <c r="AS328" s="58"/>
      <c r="AT328" s="59" t="str">
        <f>VLOOKUP(Table3[[#This Row],[ACTIVITY]],TAGS!$B:$R,17,FALSE)</f>
        <v>NO</v>
      </c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  <c r="BF328" s="59"/>
      <c r="BG328" s="59"/>
      <c r="BH328" s="59"/>
      <c r="BI328" s="59"/>
      <c r="BJ328" s="59"/>
      <c r="BK328" s="59"/>
      <c r="BL328" s="59"/>
      <c r="BM328" s="59"/>
    </row>
    <row r="329" spans="1:65">
      <c r="A329" s="51" t="str">
        <f>VLOOKUP(Table3[[#This Row],[OU]],OU!$A$15:$B$34,2,FALSE)</f>
        <v>RFOs</v>
      </c>
      <c r="B329" s="47" t="s">
        <v>5</v>
      </c>
      <c r="C329" s="47" t="s">
        <v>574</v>
      </c>
      <c r="D329" s="47"/>
      <c r="E329" s="47" t="s">
        <v>70</v>
      </c>
      <c r="F329" s="47" t="s">
        <v>636</v>
      </c>
      <c r="G32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32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25704000</v>
      </c>
      <c r="I329" s="52" t="str">
        <f>VLOOKUP(Table3[[#This Row],[PSGC]],DISTRICT!$D:$G,4,FALSE)</f>
        <v>1st</v>
      </c>
      <c r="J329" s="47" t="s">
        <v>585</v>
      </c>
      <c r="K329" s="51" t="str">
        <f>VLOOKUP(Table3[[#This Row],[SPECIFIC COMMODITY]],TAGS!$W$48:$X$53,2,FALSE)</f>
        <v>Multi_commodity</v>
      </c>
      <c r="L329" s="51" t="str">
        <f>VLOOKUP(Table3[[#This Row],[PREXC SUB-PROGRAM]],Table5[],2,FALSE)</f>
        <v>TECHNICAL AND SUPPORT SERVICES PROGRAM</v>
      </c>
      <c r="M329" s="51" t="str">
        <f>VLOOKUP(Table3[[#This Row],[COMMODITY PREXC SUB-PROGRAM]],TAGS!$U$54:$V$76,2,FALSE)</f>
        <v>ESETS</v>
      </c>
      <c r="N329" s="47" t="s">
        <v>592</v>
      </c>
      <c r="O329" s="54" t="str">
        <f>VLOOKUP(Table3[[#This Row],[PI LEVEL 3]],'PI LEVEL'!A:C,3,FALSE)</f>
        <v>Individuals given incentives, recognition, and awards</v>
      </c>
      <c r="P329" s="54" t="str">
        <f>VLOOKUP(Table3[[#This Row],[PI LEVEL 3]],Table53729[[Performance Indicator Level 3]:[Performance Indicator Level 1]],2,FALSE)</f>
        <v>AEWs-extension workers given incentives</v>
      </c>
      <c r="Q329" s="54" t="str">
        <f>VLOOKUP(Table3[[#This Row],[ACTIVITY]],TAGS!B:P,2,FALSE)</f>
        <v>AEWs-extension workers given incentives</v>
      </c>
      <c r="R329" s="47" t="s">
        <v>111</v>
      </c>
      <c r="S329" s="51" t="str">
        <f>VLOOKUP(Table3[[#This Row],[ACTIVITY]],TAGS!$B:$P,4,FALSE)</f>
        <v>Extension Workers Incentives</v>
      </c>
      <c r="T329" s="51" t="str">
        <f>VLOOKUP(Table3[[#This Row],[ACTIVITY]],TAGS!$B:$P,5,FALSE)</f>
        <v>Incentives Given</v>
      </c>
      <c r="U329" s="51" t="str">
        <f>VLOOKUP(Table3[[#This Row],[ACTIVITY]],TAGS!$B:$P,6,FALSE)</f>
        <v>Municipal Agriculturist</v>
      </c>
      <c r="V329" s="51" t="str">
        <f>VLOOKUP(Table3[[#This Row],[ACTIVITY]],TAGS!$B:$P,7,FALSE)</f>
        <v>NO</v>
      </c>
      <c r="W329" s="51" t="str">
        <f>VLOOKUP(Table3[[#This Row],[ACTIVITY]],TAGS!$B:$P,8,FALSE)</f>
        <v>PAP</v>
      </c>
      <c r="X329" s="51" t="str">
        <f>VLOOKUP(Table3[[#This Row],[ACTIVITY]],TAGS!$B:$P,10,FALSE)</f>
        <v>PIP</v>
      </c>
      <c r="Y329" s="51" t="str">
        <f>VLOOKUP(Table3[[#This Row],[ACTIVITY]],TAGS!$B:$P,11,FALSE)</f>
        <v>PICS</v>
      </c>
      <c r="Z329" s="51" t="str">
        <f>VLOOKUP(Table3[[#This Row],[ACTIVITY]],TAGS!$B:$P,12,FALSE)</f>
        <v>Consolidation</v>
      </c>
      <c r="AA329" s="51" t="str">
        <f>VLOOKUP(Table3[[#This Row],[ACTIVITY]],TAGS!$B:$P,13,FALSE)</f>
        <v>3. PAFES</v>
      </c>
      <c r="AB329" s="51" t="str">
        <f>VLOOKUP(Table3[[#This Row],[ACTIVITY]],TAGS!$B:$P,14,FALSE)</f>
        <v>STRONG PARTNERSHIP WITH THE FARMERS, FISHERFOLK, PRIVATE SECTOR, AND OTHER STAKEHOLDERS</v>
      </c>
      <c r="AC329" s="51" t="str">
        <f>VLOOKUP(Table3[[#This Row],[ACTIVITY]],TAGS!$B:$P,15,FALSE)</f>
        <v>Other Intervetions</v>
      </c>
      <c r="AD329" s="51" t="str">
        <f>VLOOKUP(Table3[[#This Row],[PI LEVEL 3]],'PI LEVEL'!$A:$G,7,FALSE)</f>
        <v>DA-Level Output</v>
      </c>
      <c r="AE329" s="47" t="s">
        <v>577</v>
      </c>
      <c r="AF329" s="51" t="str">
        <f>VLOOKUP(Table3[[#This Row],[ACTIVITY]],TAGS!$B:$P,3,FALSE)</f>
        <v>number</v>
      </c>
      <c r="AG329" s="47" t="s">
        <v>338</v>
      </c>
      <c r="AH329" s="51" t="str">
        <f>VLOOKUP(Table3[[#This Row],[MONTH]],TAGS!$W$67:$Y$81,2,FALSE)</f>
        <v>4TH QTR</v>
      </c>
      <c r="AI329" s="51" t="str">
        <f>VLOOKUP(Table3[[#This Row],[MONTH]],TAGS!$W$67:$Y$81,3,FALSE)</f>
        <v>2ND SEMESTER</v>
      </c>
      <c r="AJ329" s="51">
        <f>VLOOKUP(Table3[[#This Row],[MONTH]],TAGS!$W$67:$Z$81,4,FALSE)</f>
        <v>2025</v>
      </c>
      <c r="AK329" s="47">
        <v>1</v>
      </c>
      <c r="AL329" s="51" t="str">
        <f>VLOOKUP(Table3[[#This Row],[ACTIVITY]],TAGS!$B:$R,16,FALSE)</f>
        <v>NO</v>
      </c>
      <c r="AM329" s="47"/>
      <c r="AN329" s="47">
        <v>48</v>
      </c>
      <c r="AO329" s="57">
        <f>SUM(Table3[[#This Row],[MALE BENEFICIARIES]:[FEMALE BENEFICIARIES]])</f>
        <v>0</v>
      </c>
      <c r="AP329" s="58"/>
      <c r="AQ329" s="58"/>
      <c r="AR329" s="58"/>
      <c r="AS329" s="58"/>
      <c r="AT329" s="59" t="str">
        <f>VLOOKUP(Table3[[#This Row],[ACTIVITY]],TAGS!$B:$R,17,FALSE)</f>
        <v>NO</v>
      </c>
      <c r="AU329" s="59"/>
      <c r="AV329" s="59"/>
      <c r="AW329" s="59"/>
      <c r="AX329" s="59"/>
      <c r="AY329" s="59"/>
      <c r="AZ329" s="59"/>
      <c r="BA329" s="59"/>
      <c r="BB329" s="59"/>
      <c r="BC329" s="59"/>
      <c r="BD329" s="59"/>
      <c r="BE329" s="59"/>
      <c r="BF329" s="59"/>
      <c r="BG329" s="59"/>
      <c r="BH329" s="59"/>
      <c r="BI329" s="59"/>
      <c r="BJ329" s="59"/>
      <c r="BK329" s="59"/>
      <c r="BL329" s="59"/>
      <c r="BM329" s="59"/>
    </row>
    <row r="330" spans="1:65">
      <c r="A330" s="51" t="str">
        <f>VLOOKUP(Table3[[#This Row],[OU]],OU!$A$15:$B$34,2,FALSE)</f>
        <v>RFOs</v>
      </c>
      <c r="B330" s="47" t="s">
        <v>5</v>
      </c>
      <c r="C330" s="47" t="s">
        <v>574</v>
      </c>
      <c r="D330" s="47"/>
      <c r="E330" s="47" t="s">
        <v>22</v>
      </c>
      <c r="F330" s="47" t="s">
        <v>655</v>
      </c>
      <c r="G33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33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21504000</v>
      </c>
      <c r="I330" s="52" t="str">
        <f>VLOOKUP(Table3[[#This Row],[PSGC]],DISTRICT!$D:$G,4,FALSE)</f>
        <v>2nd</v>
      </c>
      <c r="J330" s="47" t="s">
        <v>585</v>
      </c>
      <c r="K330" s="51" t="str">
        <f>VLOOKUP(Table3[[#This Row],[SPECIFIC COMMODITY]],TAGS!$W$48:$X$53,2,FALSE)</f>
        <v>Multi_commodity</v>
      </c>
      <c r="L330" s="51" t="str">
        <f>VLOOKUP(Table3[[#This Row],[PREXC SUB-PROGRAM]],Table5[],2,FALSE)</f>
        <v>TECHNICAL AND SUPPORT SERVICES PROGRAM</v>
      </c>
      <c r="M330" s="51" t="str">
        <f>VLOOKUP(Table3[[#This Row],[COMMODITY PREXC SUB-PROGRAM]],TAGS!$U$54:$V$76,2,FALSE)</f>
        <v>ESETS</v>
      </c>
      <c r="N330" s="47" t="s">
        <v>592</v>
      </c>
      <c r="O330" s="54" t="str">
        <f>VLOOKUP(Table3[[#This Row],[PI LEVEL 3]],'PI LEVEL'!A:C,3,FALSE)</f>
        <v>Individuals given incentives, recognition, and awards</v>
      </c>
      <c r="P330" s="54" t="str">
        <f>VLOOKUP(Table3[[#This Row],[PI LEVEL 3]],Table53729[[Performance Indicator Level 3]:[Performance Indicator Level 1]],2,FALSE)</f>
        <v>AEWs-extension workers given incentives</v>
      </c>
      <c r="Q330" s="54" t="str">
        <f>VLOOKUP(Table3[[#This Row],[ACTIVITY]],TAGS!B:P,2,FALSE)</f>
        <v>AEWs-extension workers given incentives</v>
      </c>
      <c r="R330" s="47" t="s">
        <v>113</v>
      </c>
      <c r="S330" s="51" t="str">
        <f>VLOOKUP(Table3[[#This Row],[ACTIVITY]],TAGS!$B:$P,4,FALSE)</f>
        <v>Extension Workers Incentives</v>
      </c>
      <c r="T330" s="51" t="str">
        <f>VLOOKUP(Table3[[#This Row],[ACTIVITY]],TAGS!$B:$P,5,FALSE)</f>
        <v>Incentives Given</v>
      </c>
      <c r="U330" s="51" t="str">
        <f>VLOOKUP(Table3[[#This Row],[ACTIVITY]],TAGS!$B:$P,6,FALSE)</f>
        <v>Agricultural Extension Worker</v>
      </c>
      <c r="V330" s="51" t="str">
        <f>VLOOKUP(Table3[[#This Row],[ACTIVITY]],TAGS!$B:$P,7,FALSE)</f>
        <v>NO</v>
      </c>
      <c r="W330" s="51" t="str">
        <f>VLOOKUP(Table3[[#This Row],[ACTIVITY]],TAGS!$B:$P,8,FALSE)</f>
        <v>PAP</v>
      </c>
      <c r="X330" s="51" t="str">
        <f>VLOOKUP(Table3[[#This Row],[ACTIVITY]],TAGS!$B:$P,10,FALSE)</f>
        <v>PIP</v>
      </c>
      <c r="Y330" s="51" t="str">
        <f>VLOOKUP(Table3[[#This Row],[ACTIVITY]],TAGS!$B:$P,11,FALSE)</f>
        <v>PICS</v>
      </c>
      <c r="Z330" s="51" t="str">
        <f>VLOOKUP(Table3[[#This Row],[ACTIVITY]],TAGS!$B:$P,12,FALSE)</f>
        <v>Consolidation</v>
      </c>
      <c r="AA330" s="51" t="str">
        <f>VLOOKUP(Table3[[#This Row],[ACTIVITY]],TAGS!$B:$P,13,FALSE)</f>
        <v>3. PAFES</v>
      </c>
      <c r="AB330" s="51" t="str">
        <f>VLOOKUP(Table3[[#This Row],[ACTIVITY]],TAGS!$B:$P,14,FALSE)</f>
        <v>STRONG PARTNERSHIP WITH THE FARMERS, FISHERFOLK, PRIVATE SECTOR, AND OTHER STAKEHOLDERS</v>
      </c>
      <c r="AC330" s="51" t="str">
        <f>VLOOKUP(Table3[[#This Row],[ACTIVITY]],TAGS!$B:$P,15,FALSE)</f>
        <v>Other Intervetions</v>
      </c>
      <c r="AD330" s="51" t="str">
        <f>VLOOKUP(Table3[[#This Row],[PI LEVEL 3]],'PI LEVEL'!$A:$G,7,FALSE)</f>
        <v>DA-Level Output</v>
      </c>
      <c r="AE330" s="47" t="s">
        <v>577</v>
      </c>
      <c r="AF330" s="51" t="str">
        <f>VLOOKUP(Table3[[#This Row],[ACTIVITY]],TAGS!$B:$P,3,FALSE)</f>
        <v>number</v>
      </c>
      <c r="AG330" s="47" t="s">
        <v>338</v>
      </c>
      <c r="AH330" s="51" t="str">
        <f>VLOOKUP(Table3[[#This Row],[MONTH]],TAGS!$W$67:$Y$81,2,FALSE)</f>
        <v>4TH QTR</v>
      </c>
      <c r="AI330" s="51" t="str">
        <f>VLOOKUP(Table3[[#This Row],[MONTH]],TAGS!$W$67:$Y$81,3,FALSE)</f>
        <v>2ND SEMESTER</v>
      </c>
      <c r="AJ330" s="51">
        <f>VLOOKUP(Table3[[#This Row],[MONTH]],TAGS!$W$67:$Z$81,4,FALSE)</f>
        <v>2025</v>
      </c>
      <c r="AK330" s="47">
        <v>9</v>
      </c>
      <c r="AL330" s="51" t="str">
        <f>VLOOKUP(Table3[[#This Row],[ACTIVITY]],TAGS!$B:$R,16,FALSE)</f>
        <v>NO</v>
      </c>
      <c r="AM330" s="47"/>
      <c r="AN330" s="47">
        <v>378</v>
      </c>
      <c r="AO330" s="57">
        <f>SUM(Table3[[#This Row],[MALE BENEFICIARIES]:[FEMALE BENEFICIARIES]])</f>
        <v>0</v>
      </c>
      <c r="AP330" s="58"/>
      <c r="AQ330" s="58"/>
      <c r="AR330" s="58"/>
      <c r="AS330" s="58"/>
      <c r="AT330" s="59" t="str">
        <f>VLOOKUP(Table3[[#This Row],[ACTIVITY]],TAGS!$B:$R,17,FALSE)</f>
        <v>NO</v>
      </c>
      <c r="AU330" s="59"/>
      <c r="AV330" s="59"/>
      <c r="AW330" s="59"/>
      <c r="AX330" s="59"/>
      <c r="AY330" s="59"/>
      <c r="AZ330" s="59"/>
      <c r="BA330" s="59"/>
      <c r="BB330" s="59"/>
      <c r="BC330" s="59"/>
      <c r="BD330" s="59"/>
      <c r="BE330" s="59"/>
      <c r="BF330" s="59"/>
      <c r="BG330" s="59"/>
      <c r="BH330" s="59"/>
      <c r="BI330" s="59"/>
      <c r="BJ330" s="59"/>
      <c r="BK330" s="59"/>
      <c r="BL330" s="59"/>
      <c r="BM330" s="59"/>
    </row>
    <row r="331" spans="1:65">
      <c r="A331" s="51" t="str">
        <f>VLOOKUP(Table3[[#This Row],[OU]],OU!$A$15:$B$34,2,FALSE)</f>
        <v>RFOs</v>
      </c>
      <c r="B331" s="47" t="s">
        <v>5</v>
      </c>
      <c r="C331" s="47" t="s">
        <v>574</v>
      </c>
      <c r="D331" s="47"/>
      <c r="E331" s="47" t="s">
        <v>22</v>
      </c>
      <c r="F331" s="47" t="s">
        <v>619</v>
      </c>
      <c r="G33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33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21502000</v>
      </c>
      <c r="I331" s="52" t="str">
        <f>VLOOKUP(Table3[[#This Row],[PSGC]],DISTRICT!$D:$G,4,FALSE)</f>
        <v>3rd</v>
      </c>
      <c r="J331" s="47" t="s">
        <v>585</v>
      </c>
      <c r="K331" s="51" t="str">
        <f>VLOOKUP(Table3[[#This Row],[SPECIFIC COMMODITY]],TAGS!$W$48:$X$53,2,FALSE)</f>
        <v>Multi_commodity</v>
      </c>
      <c r="L331" s="51" t="str">
        <f>VLOOKUP(Table3[[#This Row],[PREXC SUB-PROGRAM]],Table5[],2,FALSE)</f>
        <v>TECHNICAL AND SUPPORT SERVICES PROGRAM</v>
      </c>
      <c r="M331" s="51" t="str">
        <f>VLOOKUP(Table3[[#This Row],[COMMODITY PREXC SUB-PROGRAM]],TAGS!$U$54:$V$76,2,FALSE)</f>
        <v>ESETS</v>
      </c>
      <c r="N331" s="47" t="s">
        <v>592</v>
      </c>
      <c r="O331" s="54" t="str">
        <f>VLOOKUP(Table3[[#This Row],[PI LEVEL 3]],'PI LEVEL'!A:C,3,FALSE)</f>
        <v>Individuals given incentives, recognition, and awards</v>
      </c>
      <c r="P331" s="54" t="str">
        <f>VLOOKUP(Table3[[#This Row],[PI LEVEL 3]],Table53729[[Performance Indicator Level 3]:[Performance Indicator Level 1]],2,FALSE)</f>
        <v>AEWs-extension workers given incentives</v>
      </c>
      <c r="Q331" s="54" t="str">
        <f>VLOOKUP(Table3[[#This Row],[ACTIVITY]],TAGS!B:P,2,FALSE)</f>
        <v>AEWs-extension workers given incentives</v>
      </c>
      <c r="R331" s="47" t="s">
        <v>113</v>
      </c>
      <c r="S331" s="51" t="str">
        <f>VLOOKUP(Table3[[#This Row],[ACTIVITY]],TAGS!$B:$P,4,FALSE)</f>
        <v>Extension Workers Incentives</v>
      </c>
      <c r="T331" s="51" t="str">
        <f>VLOOKUP(Table3[[#This Row],[ACTIVITY]],TAGS!$B:$P,5,FALSE)</f>
        <v>Incentives Given</v>
      </c>
      <c r="U331" s="51" t="str">
        <f>VLOOKUP(Table3[[#This Row],[ACTIVITY]],TAGS!$B:$P,6,FALSE)</f>
        <v>Agricultural Extension Worker</v>
      </c>
      <c r="V331" s="51" t="str">
        <f>VLOOKUP(Table3[[#This Row],[ACTIVITY]],TAGS!$B:$P,7,FALSE)</f>
        <v>NO</v>
      </c>
      <c r="W331" s="51" t="str">
        <f>VLOOKUP(Table3[[#This Row],[ACTIVITY]],TAGS!$B:$P,8,FALSE)</f>
        <v>PAP</v>
      </c>
      <c r="X331" s="51" t="str">
        <f>VLOOKUP(Table3[[#This Row],[ACTIVITY]],TAGS!$B:$P,10,FALSE)</f>
        <v>PIP</v>
      </c>
      <c r="Y331" s="51" t="str">
        <f>VLOOKUP(Table3[[#This Row],[ACTIVITY]],TAGS!$B:$P,11,FALSE)</f>
        <v>PICS</v>
      </c>
      <c r="Z331" s="51" t="str">
        <f>VLOOKUP(Table3[[#This Row],[ACTIVITY]],TAGS!$B:$P,12,FALSE)</f>
        <v>Consolidation</v>
      </c>
      <c r="AA331" s="51" t="str">
        <f>VLOOKUP(Table3[[#This Row],[ACTIVITY]],TAGS!$B:$P,13,FALSE)</f>
        <v>3. PAFES</v>
      </c>
      <c r="AB331" s="51" t="str">
        <f>VLOOKUP(Table3[[#This Row],[ACTIVITY]],TAGS!$B:$P,14,FALSE)</f>
        <v>STRONG PARTNERSHIP WITH THE FARMERS, FISHERFOLK, PRIVATE SECTOR, AND OTHER STAKEHOLDERS</v>
      </c>
      <c r="AC331" s="51" t="str">
        <f>VLOOKUP(Table3[[#This Row],[ACTIVITY]],TAGS!$B:$P,15,FALSE)</f>
        <v>Other Intervetions</v>
      </c>
      <c r="AD331" s="51" t="str">
        <f>VLOOKUP(Table3[[#This Row],[PI LEVEL 3]],'PI LEVEL'!$A:$G,7,FALSE)</f>
        <v>DA-Level Output</v>
      </c>
      <c r="AE331" s="47" t="s">
        <v>577</v>
      </c>
      <c r="AF331" s="51" t="str">
        <f>VLOOKUP(Table3[[#This Row],[ACTIVITY]],TAGS!$B:$P,3,FALSE)</f>
        <v>number</v>
      </c>
      <c r="AG331" s="47" t="s">
        <v>338</v>
      </c>
      <c r="AH331" s="51" t="str">
        <f>VLOOKUP(Table3[[#This Row],[MONTH]],TAGS!$W$67:$Y$81,2,FALSE)</f>
        <v>4TH QTR</v>
      </c>
      <c r="AI331" s="51" t="str">
        <f>VLOOKUP(Table3[[#This Row],[MONTH]],TAGS!$W$67:$Y$81,3,FALSE)</f>
        <v>2ND SEMESTER</v>
      </c>
      <c r="AJ331" s="51">
        <f>VLOOKUP(Table3[[#This Row],[MONTH]],TAGS!$W$67:$Z$81,4,FALSE)</f>
        <v>2025</v>
      </c>
      <c r="AK331" s="47">
        <v>3</v>
      </c>
      <c r="AL331" s="51" t="str">
        <f>VLOOKUP(Table3[[#This Row],[ACTIVITY]],TAGS!$B:$R,16,FALSE)</f>
        <v>NO</v>
      </c>
      <c r="AM331" s="47"/>
      <c r="AN331" s="47">
        <v>126</v>
      </c>
      <c r="AO331" s="57">
        <f>SUM(Table3[[#This Row],[MALE BENEFICIARIES]:[FEMALE BENEFICIARIES]])</f>
        <v>0</v>
      </c>
      <c r="AP331" s="58"/>
      <c r="AQ331" s="58"/>
      <c r="AR331" s="58"/>
      <c r="AS331" s="58"/>
      <c r="AT331" s="59" t="str">
        <f>VLOOKUP(Table3[[#This Row],[ACTIVITY]],TAGS!$B:$R,17,FALSE)</f>
        <v>NO</v>
      </c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</row>
    <row r="332" spans="1:65">
      <c r="A332" s="51" t="str">
        <f>VLOOKUP(Table3[[#This Row],[OU]],OU!$A$15:$B$34,2,FALSE)</f>
        <v>RFOs</v>
      </c>
      <c r="B332" s="47" t="s">
        <v>5</v>
      </c>
      <c r="C332" s="47" t="s">
        <v>574</v>
      </c>
      <c r="D332" s="47"/>
      <c r="E332" s="47" t="s">
        <v>22</v>
      </c>
      <c r="F332" s="47" t="s">
        <v>697</v>
      </c>
      <c r="G33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33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21503000</v>
      </c>
      <c r="I332" s="52" t="str">
        <f>VLOOKUP(Table3[[#This Row],[PSGC]],DISTRICT!$D:$G,4,FALSE)</f>
        <v>3rd</v>
      </c>
      <c r="J332" s="47" t="s">
        <v>585</v>
      </c>
      <c r="K332" s="51" t="str">
        <f>VLOOKUP(Table3[[#This Row],[SPECIFIC COMMODITY]],TAGS!$W$48:$X$53,2,FALSE)</f>
        <v>Multi_commodity</v>
      </c>
      <c r="L332" s="51" t="str">
        <f>VLOOKUP(Table3[[#This Row],[PREXC SUB-PROGRAM]],Table5[],2,FALSE)</f>
        <v>TECHNICAL AND SUPPORT SERVICES PROGRAM</v>
      </c>
      <c r="M332" s="51" t="str">
        <f>VLOOKUP(Table3[[#This Row],[COMMODITY PREXC SUB-PROGRAM]],TAGS!$U$54:$V$76,2,FALSE)</f>
        <v>ESETS</v>
      </c>
      <c r="N332" s="47" t="s">
        <v>592</v>
      </c>
      <c r="O332" s="54" t="str">
        <f>VLOOKUP(Table3[[#This Row],[PI LEVEL 3]],'PI LEVEL'!A:C,3,FALSE)</f>
        <v>Individuals given incentives, recognition, and awards</v>
      </c>
      <c r="P332" s="54" t="str">
        <f>VLOOKUP(Table3[[#This Row],[PI LEVEL 3]],Table53729[[Performance Indicator Level 3]:[Performance Indicator Level 1]],2,FALSE)</f>
        <v>AEWs-extension workers given incentives</v>
      </c>
      <c r="Q332" s="54" t="str">
        <f>VLOOKUP(Table3[[#This Row],[ACTIVITY]],TAGS!B:P,2,FALSE)</f>
        <v>AEWs-extension workers given incentives</v>
      </c>
      <c r="R332" s="47" t="s">
        <v>113</v>
      </c>
      <c r="S332" s="51" t="str">
        <f>VLOOKUP(Table3[[#This Row],[ACTIVITY]],TAGS!$B:$P,4,FALSE)</f>
        <v>Extension Workers Incentives</v>
      </c>
      <c r="T332" s="51" t="str">
        <f>VLOOKUP(Table3[[#This Row],[ACTIVITY]],TAGS!$B:$P,5,FALSE)</f>
        <v>Incentives Given</v>
      </c>
      <c r="U332" s="51" t="str">
        <f>VLOOKUP(Table3[[#This Row],[ACTIVITY]],TAGS!$B:$P,6,FALSE)</f>
        <v>Agricultural Extension Worker</v>
      </c>
      <c r="V332" s="51" t="str">
        <f>VLOOKUP(Table3[[#This Row],[ACTIVITY]],TAGS!$B:$P,7,FALSE)</f>
        <v>NO</v>
      </c>
      <c r="W332" s="51" t="str">
        <f>VLOOKUP(Table3[[#This Row],[ACTIVITY]],TAGS!$B:$P,8,FALSE)</f>
        <v>PAP</v>
      </c>
      <c r="X332" s="51" t="str">
        <f>VLOOKUP(Table3[[#This Row],[ACTIVITY]],TAGS!$B:$P,10,FALSE)</f>
        <v>PIP</v>
      </c>
      <c r="Y332" s="51" t="str">
        <f>VLOOKUP(Table3[[#This Row],[ACTIVITY]],TAGS!$B:$P,11,FALSE)</f>
        <v>PICS</v>
      </c>
      <c r="Z332" s="51" t="str">
        <f>VLOOKUP(Table3[[#This Row],[ACTIVITY]],TAGS!$B:$P,12,FALSE)</f>
        <v>Consolidation</v>
      </c>
      <c r="AA332" s="51" t="str">
        <f>VLOOKUP(Table3[[#This Row],[ACTIVITY]],TAGS!$B:$P,13,FALSE)</f>
        <v>3. PAFES</v>
      </c>
      <c r="AB332" s="51" t="str">
        <f>VLOOKUP(Table3[[#This Row],[ACTIVITY]],TAGS!$B:$P,14,FALSE)</f>
        <v>STRONG PARTNERSHIP WITH THE FARMERS, FISHERFOLK, PRIVATE SECTOR, AND OTHER STAKEHOLDERS</v>
      </c>
      <c r="AC332" s="51" t="str">
        <f>VLOOKUP(Table3[[#This Row],[ACTIVITY]],TAGS!$B:$P,15,FALSE)</f>
        <v>Other Intervetions</v>
      </c>
      <c r="AD332" s="51" t="str">
        <f>VLOOKUP(Table3[[#This Row],[PI LEVEL 3]],'PI LEVEL'!$A:$G,7,FALSE)</f>
        <v>DA-Level Output</v>
      </c>
      <c r="AE332" s="47" t="s">
        <v>577</v>
      </c>
      <c r="AF332" s="51" t="str">
        <f>VLOOKUP(Table3[[#This Row],[ACTIVITY]],TAGS!$B:$P,3,FALSE)</f>
        <v>number</v>
      </c>
      <c r="AG332" s="47" t="s">
        <v>338</v>
      </c>
      <c r="AH332" s="51" t="str">
        <f>VLOOKUP(Table3[[#This Row],[MONTH]],TAGS!$W$67:$Y$81,2,FALSE)</f>
        <v>4TH QTR</v>
      </c>
      <c r="AI332" s="51" t="str">
        <f>VLOOKUP(Table3[[#This Row],[MONTH]],TAGS!$W$67:$Y$81,3,FALSE)</f>
        <v>2ND SEMESTER</v>
      </c>
      <c r="AJ332" s="51">
        <f>VLOOKUP(Table3[[#This Row],[MONTH]],TAGS!$W$67:$Z$81,4,FALSE)</f>
        <v>2025</v>
      </c>
      <c r="AK332" s="47">
        <v>1</v>
      </c>
      <c r="AL332" s="51" t="str">
        <f>VLOOKUP(Table3[[#This Row],[ACTIVITY]],TAGS!$B:$R,16,FALSE)</f>
        <v>NO</v>
      </c>
      <c r="AM332" s="47"/>
      <c r="AN332" s="47">
        <v>42</v>
      </c>
      <c r="AO332" s="57">
        <f>SUM(Table3[[#This Row],[MALE BENEFICIARIES]:[FEMALE BENEFICIARIES]])</f>
        <v>0</v>
      </c>
      <c r="AP332" s="58"/>
      <c r="AQ332" s="58"/>
      <c r="AR332" s="58"/>
      <c r="AS332" s="58"/>
      <c r="AT332" s="59" t="str">
        <f>VLOOKUP(Table3[[#This Row],[ACTIVITY]],TAGS!$B:$R,17,FALSE)</f>
        <v>NO</v>
      </c>
      <c r="AU332" s="59"/>
      <c r="AV332" s="59"/>
      <c r="AW332" s="59"/>
      <c r="AX332" s="59"/>
      <c r="AY332" s="59"/>
      <c r="AZ332" s="59"/>
      <c r="BA332" s="59"/>
      <c r="BB332" s="59"/>
      <c r="BC332" s="59"/>
      <c r="BD332" s="59"/>
      <c r="BE332" s="59"/>
      <c r="BF332" s="59"/>
      <c r="BG332" s="59"/>
      <c r="BH332" s="59"/>
      <c r="BI332" s="59"/>
      <c r="BJ332" s="59"/>
      <c r="BK332" s="59"/>
      <c r="BL332" s="59"/>
      <c r="BM332" s="59"/>
    </row>
    <row r="333" spans="1:65">
      <c r="A333" s="51" t="str">
        <f>VLOOKUP(Table3[[#This Row],[OU]],OU!$A$15:$B$34,2,FALSE)</f>
        <v>RFOs</v>
      </c>
      <c r="B333" s="47" t="s">
        <v>5</v>
      </c>
      <c r="C333" s="47" t="s">
        <v>574</v>
      </c>
      <c r="D333" s="47"/>
      <c r="E333" s="47" t="s">
        <v>22</v>
      </c>
      <c r="F333" s="47" t="s">
        <v>644</v>
      </c>
      <c r="G33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33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21506000</v>
      </c>
      <c r="I333" s="52" t="str">
        <f>VLOOKUP(Table3[[#This Row],[PSGC]],DISTRICT!$D:$G,4,FALSE)</f>
        <v>1st</v>
      </c>
      <c r="J333" s="47" t="s">
        <v>585</v>
      </c>
      <c r="K333" s="51" t="str">
        <f>VLOOKUP(Table3[[#This Row],[SPECIFIC COMMODITY]],TAGS!$W$48:$X$53,2,FALSE)</f>
        <v>Multi_commodity</v>
      </c>
      <c r="L333" s="51" t="str">
        <f>VLOOKUP(Table3[[#This Row],[PREXC SUB-PROGRAM]],Table5[],2,FALSE)</f>
        <v>TECHNICAL AND SUPPORT SERVICES PROGRAM</v>
      </c>
      <c r="M333" s="51" t="str">
        <f>VLOOKUP(Table3[[#This Row],[COMMODITY PREXC SUB-PROGRAM]],TAGS!$U$54:$V$76,2,FALSE)</f>
        <v>ESETS</v>
      </c>
      <c r="N333" s="47" t="s">
        <v>592</v>
      </c>
      <c r="O333" s="54" t="str">
        <f>VLOOKUP(Table3[[#This Row],[PI LEVEL 3]],'PI LEVEL'!A:C,3,FALSE)</f>
        <v>Individuals given incentives, recognition, and awards</v>
      </c>
      <c r="P333" s="54" t="str">
        <f>VLOOKUP(Table3[[#This Row],[PI LEVEL 3]],Table53729[[Performance Indicator Level 3]:[Performance Indicator Level 1]],2,FALSE)</f>
        <v>AEWs-extension workers given incentives</v>
      </c>
      <c r="Q333" s="54" t="str">
        <f>VLOOKUP(Table3[[#This Row],[ACTIVITY]],TAGS!B:P,2,FALSE)</f>
        <v>AEWs-extension workers given incentives</v>
      </c>
      <c r="R333" s="47" t="s">
        <v>113</v>
      </c>
      <c r="S333" s="51" t="str">
        <f>VLOOKUP(Table3[[#This Row],[ACTIVITY]],TAGS!$B:$P,4,FALSE)</f>
        <v>Extension Workers Incentives</v>
      </c>
      <c r="T333" s="51" t="str">
        <f>VLOOKUP(Table3[[#This Row],[ACTIVITY]],TAGS!$B:$P,5,FALSE)</f>
        <v>Incentives Given</v>
      </c>
      <c r="U333" s="51" t="str">
        <f>VLOOKUP(Table3[[#This Row],[ACTIVITY]],TAGS!$B:$P,6,FALSE)</f>
        <v>Agricultural Extension Worker</v>
      </c>
      <c r="V333" s="51" t="str">
        <f>VLOOKUP(Table3[[#This Row],[ACTIVITY]],TAGS!$B:$P,7,FALSE)</f>
        <v>NO</v>
      </c>
      <c r="W333" s="51" t="str">
        <f>VLOOKUP(Table3[[#This Row],[ACTIVITY]],TAGS!$B:$P,8,FALSE)</f>
        <v>PAP</v>
      </c>
      <c r="X333" s="51" t="str">
        <f>VLOOKUP(Table3[[#This Row],[ACTIVITY]],TAGS!$B:$P,10,FALSE)</f>
        <v>PIP</v>
      </c>
      <c r="Y333" s="51" t="str">
        <f>VLOOKUP(Table3[[#This Row],[ACTIVITY]],TAGS!$B:$P,11,FALSE)</f>
        <v>PICS</v>
      </c>
      <c r="Z333" s="51" t="str">
        <f>VLOOKUP(Table3[[#This Row],[ACTIVITY]],TAGS!$B:$P,12,FALSE)</f>
        <v>Consolidation</v>
      </c>
      <c r="AA333" s="51" t="str">
        <f>VLOOKUP(Table3[[#This Row],[ACTIVITY]],TAGS!$B:$P,13,FALSE)</f>
        <v>3. PAFES</v>
      </c>
      <c r="AB333" s="51" t="str">
        <f>VLOOKUP(Table3[[#This Row],[ACTIVITY]],TAGS!$B:$P,14,FALSE)</f>
        <v>STRONG PARTNERSHIP WITH THE FARMERS, FISHERFOLK, PRIVATE SECTOR, AND OTHER STAKEHOLDERS</v>
      </c>
      <c r="AC333" s="51" t="str">
        <f>VLOOKUP(Table3[[#This Row],[ACTIVITY]],TAGS!$B:$P,15,FALSE)</f>
        <v>Other Intervetions</v>
      </c>
      <c r="AD333" s="51" t="str">
        <f>VLOOKUP(Table3[[#This Row],[PI LEVEL 3]],'PI LEVEL'!$A:$G,7,FALSE)</f>
        <v>DA-Level Output</v>
      </c>
      <c r="AE333" s="47" t="s">
        <v>577</v>
      </c>
      <c r="AF333" s="51" t="str">
        <f>VLOOKUP(Table3[[#This Row],[ACTIVITY]],TAGS!$B:$P,3,FALSE)</f>
        <v>number</v>
      </c>
      <c r="AG333" s="47" t="s">
        <v>338</v>
      </c>
      <c r="AH333" s="51" t="str">
        <f>VLOOKUP(Table3[[#This Row],[MONTH]],TAGS!$W$67:$Y$81,2,FALSE)</f>
        <v>4TH QTR</v>
      </c>
      <c r="AI333" s="51" t="str">
        <f>VLOOKUP(Table3[[#This Row],[MONTH]],TAGS!$W$67:$Y$81,3,FALSE)</f>
        <v>2ND SEMESTER</v>
      </c>
      <c r="AJ333" s="51">
        <f>VLOOKUP(Table3[[#This Row],[MONTH]],TAGS!$W$67:$Z$81,4,FALSE)</f>
        <v>2025</v>
      </c>
      <c r="AK333" s="47">
        <v>3</v>
      </c>
      <c r="AL333" s="51" t="str">
        <f>VLOOKUP(Table3[[#This Row],[ACTIVITY]],TAGS!$B:$R,16,FALSE)</f>
        <v>NO</v>
      </c>
      <c r="AM333" s="47"/>
      <c r="AN333" s="47">
        <v>126</v>
      </c>
      <c r="AO333" s="57">
        <f>SUM(Table3[[#This Row],[MALE BENEFICIARIES]:[FEMALE BENEFICIARIES]])</f>
        <v>0</v>
      </c>
      <c r="AP333" s="58"/>
      <c r="AQ333" s="58"/>
      <c r="AR333" s="58"/>
      <c r="AS333" s="58"/>
      <c r="AT333" s="59" t="str">
        <f>VLOOKUP(Table3[[#This Row],[ACTIVITY]],TAGS!$B:$R,17,FALSE)</f>
        <v>NO</v>
      </c>
      <c r="AU333" s="59"/>
      <c r="AV333" s="59"/>
      <c r="AW333" s="59"/>
      <c r="AX333" s="59"/>
      <c r="AY333" s="59"/>
      <c r="AZ333" s="59"/>
      <c r="BA333" s="59"/>
      <c r="BB333" s="59"/>
      <c r="BC333" s="59"/>
      <c r="BD333" s="59"/>
      <c r="BE333" s="59"/>
      <c r="BF333" s="59"/>
      <c r="BG333" s="59"/>
      <c r="BH333" s="59"/>
      <c r="BI333" s="59"/>
      <c r="BJ333" s="59"/>
      <c r="BK333" s="59"/>
      <c r="BL333" s="59"/>
      <c r="BM333" s="59"/>
    </row>
    <row r="334" spans="1:65">
      <c r="A334" s="51" t="str">
        <f>VLOOKUP(Table3[[#This Row],[OU]],OU!$A$15:$B$34,2,FALSE)</f>
        <v>RFOs</v>
      </c>
      <c r="B334" s="47" t="s">
        <v>5</v>
      </c>
      <c r="C334" s="47" t="s">
        <v>574</v>
      </c>
      <c r="D334" s="47"/>
      <c r="E334" s="47" t="s">
        <v>22</v>
      </c>
      <c r="F334" s="47" t="s">
        <v>645</v>
      </c>
      <c r="G33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33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21508000</v>
      </c>
      <c r="I334" s="52" t="str">
        <f>VLOOKUP(Table3[[#This Row],[PSGC]],DISTRICT!$D:$G,4,FALSE)</f>
        <v>3rd</v>
      </c>
      <c r="J334" s="47" t="s">
        <v>585</v>
      </c>
      <c r="K334" s="51" t="str">
        <f>VLOOKUP(Table3[[#This Row],[SPECIFIC COMMODITY]],TAGS!$W$48:$X$53,2,FALSE)</f>
        <v>Multi_commodity</v>
      </c>
      <c r="L334" s="51" t="str">
        <f>VLOOKUP(Table3[[#This Row],[PREXC SUB-PROGRAM]],Table5[],2,FALSE)</f>
        <v>TECHNICAL AND SUPPORT SERVICES PROGRAM</v>
      </c>
      <c r="M334" s="51" t="str">
        <f>VLOOKUP(Table3[[#This Row],[COMMODITY PREXC SUB-PROGRAM]],TAGS!$U$54:$V$76,2,FALSE)</f>
        <v>ESETS</v>
      </c>
      <c r="N334" s="47" t="s">
        <v>592</v>
      </c>
      <c r="O334" s="54" t="str">
        <f>VLOOKUP(Table3[[#This Row],[PI LEVEL 3]],'PI LEVEL'!A:C,3,FALSE)</f>
        <v>Individuals given incentives, recognition, and awards</v>
      </c>
      <c r="P334" s="54" t="str">
        <f>VLOOKUP(Table3[[#This Row],[PI LEVEL 3]],Table53729[[Performance Indicator Level 3]:[Performance Indicator Level 1]],2,FALSE)</f>
        <v>AEWs-extension workers given incentives</v>
      </c>
      <c r="Q334" s="54" t="str">
        <f>VLOOKUP(Table3[[#This Row],[ACTIVITY]],TAGS!B:P,2,FALSE)</f>
        <v>AEWs-extension workers given incentives</v>
      </c>
      <c r="R334" s="47" t="s">
        <v>113</v>
      </c>
      <c r="S334" s="51" t="str">
        <f>VLOOKUP(Table3[[#This Row],[ACTIVITY]],TAGS!$B:$P,4,FALSE)</f>
        <v>Extension Workers Incentives</v>
      </c>
      <c r="T334" s="51" t="str">
        <f>VLOOKUP(Table3[[#This Row],[ACTIVITY]],TAGS!$B:$P,5,FALSE)</f>
        <v>Incentives Given</v>
      </c>
      <c r="U334" s="51" t="str">
        <f>VLOOKUP(Table3[[#This Row],[ACTIVITY]],TAGS!$B:$P,6,FALSE)</f>
        <v>Agricultural Extension Worker</v>
      </c>
      <c r="V334" s="51" t="str">
        <f>VLOOKUP(Table3[[#This Row],[ACTIVITY]],TAGS!$B:$P,7,FALSE)</f>
        <v>NO</v>
      </c>
      <c r="W334" s="51" t="str">
        <f>VLOOKUP(Table3[[#This Row],[ACTIVITY]],TAGS!$B:$P,8,FALSE)</f>
        <v>PAP</v>
      </c>
      <c r="X334" s="51" t="str">
        <f>VLOOKUP(Table3[[#This Row],[ACTIVITY]],TAGS!$B:$P,10,FALSE)</f>
        <v>PIP</v>
      </c>
      <c r="Y334" s="51" t="str">
        <f>VLOOKUP(Table3[[#This Row],[ACTIVITY]],TAGS!$B:$P,11,FALSE)</f>
        <v>PICS</v>
      </c>
      <c r="Z334" s="51" t="str">
        <f>VLOOKUP(Table3[[#This Row],[ACTIVITY]],TAGS!$B:$P,12,FALSE)</f>
        <v>Consolidation</v>
      </c>
      <c r="AA334" s="51" t="str">
        <f>VLOOKUP(Table3[[#This Row],[ACTIVITY]],TAGS!$B:$P,13,FALSE)</f>
        <v>3. PAFES</v>
      </c>
      <c r="AB334" s="51" t="str">
        <f>VLOOKUP(Table3[[#This Row],[ACTIVITY]],TAGS!$B:$P,14,FALSE)</f>
        <v>STRONG PARTNERSHIP WITH THE FARMERS, FISHERFOLK, PRIVATE SECTOR, AND OTHER STAKEHOLDERS</v>
      </c>
      <c r="AC334" s="51" t="str">
        <f>VLOOKUP(Table3[[#This Row],[ACTIVITY]],TAGS!$B:$P,15,FALSE)</f>
        <v>Other Intervetions</v>
      </c>
      <c r="AD334" s="51" t="str">
        <f>VLOOKUP(Table3[[#This Row],[PI LEVEL 3]],'PI LEVEL'!$A:$G,7,FALSE)</f>
        <v>DA-Level Output</v>
      </c>
      <c r="AE334" s="47" t="s">
        <v>577</v>
      </c>
      <c r="AF334" s="51" t="str">
        <f>VLOOKUP(Table3[[#This Row],[ACTIVITY]],TAGS!$B:$P,3,FALSE)</f>
        <v>number</v>
      </c>
      <c r="AG334" s="47" t="s">
        <v>338</v>
      </c>
      <c r="AH334" s="51" t="str">
        <f>VLOOKUP(Table3[[#This Row],[MONTH]],TAGS!$W$67:$Y$81,2,FALSE)</f>
        <v>4TH QTR</v>
      </c>
      <c r="AI334" s="51" t="str">
        <f>VLOOKUP(Table3[[#This Row],[MONTH]],TAGS!$W$67:$Y$81,3,FALSE)</f>
        <v>2ND SEMESTER</v>
      </c>
      <c r="AJ334" s="51">
        <f>VLOOKUP(Table3[[#This Row],[MONTH]],TAGS!$W$67:$Z$81,4,FALSE)</f>
        <v>2025</v>
      </c>
      <c r="AK334" s="47">
        <v>1</v>
      </c>
      <c r="AL334" s="51" t="str">
        <f>VLOOKUP(Table3[[#This Row],[ACTIVITY]],TAGS!$B:$R,16,FALSE)</f>
        <v>NO</v>
      </c>
      <c r="AM334" s="47"/>
      <c r="AN334" s="47">
        <v>42</v>
      </c>
      <c r="AO334" s="57">
        <f>SUM(Table3[[#This Row],[MALE BENEFICIARIES]:[FEMALE BENEFICIARIES]])</f>
        <v>0</v>
      </c>
      <c r="AP334" s="58"/>
      <c r="AQ334" s="58"/>
      <c r="AR334" s="58"/>
      <c r="AS334" s="58"/>
      <c r="AT334" s="59" t="str">
        <f>VLOOKUP(Table3[[#This Row],[ACTIVITY]],TAGS!$B:$R,17,FALSE)</f>
        <v>NO</v>
      </c>
      <c r="AU334" s="59"/>
      <c r="AV334" s="59"/>
      <c r="AW334" s="59"/>
      <c r="AX334" s="59"/>
      <c r="AY334" s="59"/>
      <c r="AZ334" s="59"/>
      <c r="BA334" s="59"/>
      <c r="BB334" s="59"/>
      <c r="BC334" s="59"/>
      <c r="BD334" s="59"/>
      <c r="BE334" s="59"/>
      <c r="BF334" s="59"/>
      <c r="BG334" s="59"/>
      <c r="BH334" s="59"/>
      <c r="BI334" s="59"/>
      <c r="BJ334" s="59"/>
      <c r="BK334" s="59"/>
      <c r="BL334" s="59"/>
      <c r="BM334" s="59"/>
    </row>
    <row r="335" spans="1:65">
      <c r="A335" s="51" t="str">
        <f>VLOOKUP(Table3[[#This Row],[OU]],OU!$A$15:$B$34,2,FALSE)</f>
        <v>RFOs</v>
      </c>
      <c r="B335" s="47" t="s">
        <v>5</v>
      </c>
      <c r="C335" s="47" t="s">
        <v>574</v>
      </c>
      <c r="D335" s="47"/>
      <c r="E335" s="47" t="s">
        <v>22</v>
      </c>
      <c r="F335" s="47" t="s">
        <v>651</v>
      </c>
      <c r="G33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33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21509000</v>
      </c>
      <c r="I335" s="52" t="str">
        <f>VLOOKUP(Table3[[#This Row],[PSGC]],DISTRICT!$D:$G,4,FALSE)</f>
        <v>3rd</v>
      </c>
      <c r="J335" s="47" t="s">
        <v>585</v>
      </c>
      <c r="K335" s="51" t="str">
        <f>VLOOKUP(Table3[[#This Row],[SPECIFIC COMMODITY]],TAGS!$W$48:$X$53,2,FALSE)</f>
        <v>Multi_commodity</v>
      </c>
      <c r="L335" s="51" t="str">
        <f>VLOOKUP(Table3[[#This Row],[PREXC SUB-PROGRAM]],Table5[],2,FALSE)</f>
        <v>TECHNICAL AND SUPPORT SERVICES PROGRAM</v>
      </c>
      <c r="M335" s="51" t="str">
        <f>VLOOKUP(Table3[[#This Row],[COMMODITY PREXC SUB-PROGRAM]],TAGS!$U$54:$V$76,2,FALSE)</f>
        <v>ESETS</v>
      </c>
      <c r="N335" s="47" t="s">
        <v>592</v>
      </c>
      <c r="O335" s="54" t="str">
        <f>VLOOKUP(Table3[[#This Row],[PI LEVEL 3]],'PI LEVEL'!A:C,3,FALSE)</f>
        <v>Individuals given incentives, recognition, and awards</v>
      </c>
      <c r="P335" s="54" t="str">
        <f>VLOOKUP(Table3[[#This Row],[PI LEVEL 3]],Table53729[[Performance Indicator Level 3]:[Performance Indicator Level 1]],2,FALSE)</f>
        <v>AEWs-extension workers given incentives</v>
      </c>
      <c r="Q335" s="54" t="str">
        <f>VLOOKUP(Table3[[#This Row],[ACTIVITY]],TAGS!B:P,2,FALSE)</f>
        <v>AEWs-extension workers given incentives</v>
      </c>
      <c r="R335" s="47" t="s">
        <v>113</v>
      </c>
      <c r="S335" s="51" t="str">
        <f>VLOOKUP(Table3[[#This Row],[ACTIVITY]],TAGS!$B:$P,4,FALSE)</f>
        <v>Extension Workers Incentives</v>
      </c>
      <c r="T335" s="51" t="str">
        <f>VLOOKUP(Table3[[#This Row],[ACTIVITY]],TAGS!$B:$P,5,FALSE)</f>
        <v>Incentives Given</v>
      </c>
      <c r="U335" s="51" t="str">
        <f>VLOOKUP(Table3[[#This Row],[ACTIVITY]],TAGS!$B:$P,6,FALSE)</f>
        <v>Agricultural Extension Worker</v>
      </c>
      <c r="V335" s="51" t="str">
        <f>VLOOKUP(Table3[[#This Row],[ACTIVITY]],TAGS!$B:$P,7,FALSE)</f>
        <v>NO</v>
      </c>
      <c r="W335" s="51" t="str">
        <f>VLOOKUP(Table3[[#This Row],[ACTIVITY]],TAGS!$B:$P,8,FALSE)</f>
        <v>PAP</v>
      </c>
      <c r="X335" s="51" t="str">
        <f>VLOOKUP(Table3[[#This Row],[ACTIVITY]],TAGS!$B:$P,10,FALSE)</f>
        <v>PIP</v>
      </c>
      <c r="Y335" s="51" t="str">
        <f>VLOOKUP(Table3[[#This Row],[ACTIVITY]],TAGS!$B:$P,11,FALSE)</f>
        <v>PICS</v>
      </c>
      <c r="Z335" s="51" t="str">
        <f>VLOOKUP(Table3[[#This Row],[ACTIVITY]],TAGS!$B:$P,12,FALSE)</f>
        <v>Consolidation</v>
      </c>
      <c r="AA335" s="51" t="str">
        <f>VLOOKUP(Table3[[#This Row],[ACTIVITY]],TAGS!$B:$P,13,FALSE)</f>
        <v>3. PAFES</v>
      </c>
      <c r="AB335" s="51" t="str">
        <f>VLOOKUP(Table3[[#This Row],[ACTIVITY]],TAGS!$B:$P,14,FALSE)</f>
        <v>STRONG PARTNERSHIP WITH THE FARMERS, FISHERFOLK, PRIVATE SECTOR, AND OTHER STAKEHOLDERS</v>
      </c>
      <c r="AC335" s="51" t="str">
        <f>VLOOKUP(Table3[[#This Row],[ACTIVITY]],TAGS!$B:$P,15,FALSE)</f>
        <v>Other Intervetions</v>
      </c>
      <c r="AD335" s="51" t="str">
        <f>VLOOKUP(Table3[[#This Row],[PI LEVEL 3]],'PI LEVEL'!$A:$G,7,FALSE)</f>
        <v>DA-Level Output</v>
      </c>
      <c r="AE335" s="47" t="s">
        <v>577</v>
      </c>
      <c r="AF335" s="51" t="str">
        <f>VLOOKUP(Table3[[#This Row],[ACTIVITY]],TAGS!$B:$P,3,FALSE)</f>
        <v>number</v>
      </c>
      <c r="AG335" s="47" t="s">
        <v>338</v>
      </c>
      <c r="AH335" s="51" t="str">
        <f>VLOOKUP(Table3[[#This Row],[MONTH]],TAGS!$W$67:$Y$81,2,FALSE)</f>
        <v>4TH QTR</v>
      </c>
      <c r="AI335" s="51" t="str">
        <f>VLOOKUP(Table3[[#This Row],[MONTH]],TAGS!$W$67:$Y$81,3,FALSE)</f>
        <v>2ND SEMESTER</v>
      </c>
      <c r="AJ335" s="51">
        <f>VLOOKUP(Table3[[#This Row],[MONTH]],TAGS!$W$67:$Z$81,4,FALSE)</f>
        <v>2025</v>
      </c>
      <c r="AK335" s="47">
        <v>1</v>
      </c>
      <c r="AL335" s="51" t="str">
        <f>VLOOKUP(Table3[[#This Row],[ACTIVITY]],TAGS!$B:$R,16,FALSE)</f>
        <v>NO</v>
      </c>
      <c r="AM335" s="47"/>
      <c r="AN335" s="47">
        <v>42</v>
      </c>
      <c r="AO335" s="57">
        <f>SUM(Table3[[#This Row],[MALE BENEFICIARIES]:[FEMALE BENEFICIARIES]])</f>
        <v>0</v>
      </c>
      <c r="AP335" s="58"/>
      <c r="AQ335" s="58"/>
      <c r="AR335" s="58"/>
      <c r="AS335" s="58"/>
      <c r="AT335" s="59" t="str">
        <f>VLOOKUP(Table3[[#This Row],[ACTIVITY]],TAGS!$B:$R,17,FALSE)</f>
        <v>NO</v>
      </c>
      <c r="AU335" s="59"/>
      <c r="AV335" s="59"/>
      <c r="AW335" s="59"/>
      <c r="AX335" s="59"/>
      <c r="AY335" s="59"/>
      <c r="AZ335" s="59"/>
      <c r="BA335" s="59"/>
      <c r="BB335" s="59"/>
      <c r="BC335" s="59"/>
      <c r="BD335" s="59"/>
      <c r="BE335" s="59"/>
      <c r="BF335" s="59"/>
      <c r="BG335" s="59"/>
      <c r="BH335" s="59"/>
      <c r="BI335" s="59"/>
      <c r="BJ335" s="59"/>
      <c r="BK335" s="59"/>
      <c r="BL335" s="59"/>
      <c r="BM335" s="59"/>
    </row>
    <row r="336" spans="1:65">
      <c r="A336" s="51" t="str">
        <f>VLOOKUP(Table3[[#This Row],[OU]],OU!$A$15:$B$34,2,FALSE)</f>
        <v>RFOs</v>
      </c>
      <c r="B336" s="47" t="s">
        <v>5</v>
      </c>
      <c r="C336" s="47" t="s">
        <v>574</v>
      </c>
      <c r="D336" s="47"/>
      <c r="E336" s="47" t="s">
        <v>22</v>
      </c>
      <c r="F336" s="47" t="s">
        <v>648</v>
      </c>
      <c r="G33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33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21510000</v>
      </c>
      <c r="I336" s="52" t="str">
        <f>VLOOKUP(Table3[[#This Row],[PSGC]],DISTRICT!$D:$G,4,FALSE)</f>
        <v>4th</v>
      </c>
      <c r="J336" s="47" t="s">
        <v>585</v>
      </c>
      <c r="K336" s="51" t="str">
        <f>VLOOKUP(Table3[[#This Row],[SPECIFIC COMMODITY]],TAGS!$W$48:$X$53,2,FALSE)</f>
        <v>Multi_commodity</v>
      </c>
      <c r="L336" s="51" t="str">
        <f>VLOOKUP(Table3[[#This Row],[PREXC SUB-PROGRAM]],Table5[],2,FALSE)</f>
        <v>TECHNICAL AND SUPPORT SERVICES PROGRAM</v>
      </c>
      <c r="M336" s="51" t="str">
        <f>VLOOKUP(Table3[[#This Row],[COMMODITY PREXC SUB-PROGRAM]],TAGS!$U$54:$V$76,2,FALSE)</f>
        <v>ESETS</v>
      </c>
      <c r="N336" s="47" t="s">
        <v>592</v>
      </c>
      <c r="O336" s="54" t="str">
        <f>VLOOKUP(Table3[[#This Row],[PI LEVEL 3]],'PI LEVEL'!A:C,3,FALSE)</f>
        <v>Individuals given incentives, recognition, and awards</v>
      </c>
      <c r="P336" s="54" t="str">
        <f>VLOOKUP(Table3[[#This Row],[PI LEVEL 3]],Table53729[[Performance Indicator Level 3]:[Performance Indicator Level 1]],2,FALSE)</f>
        <v>AEWs-extension workers given incentives</v>
      </c>
      <c r="Q336" s="54" t="str">
        <f>VLOOKUP(Table3[[#This Row],[ACTIVITY]],TAGS!B:P,2,FALSE)</f>
        <v>AEWs-extension workers given incentives</v>
      </c>
      <c r="R336" s="47" t="s">
        <v>113</v>
      </c>
      <c r="S336" s="51" t="str">
        <f>VLOOKUP(Table3[[#This Row],[ACTIVITY]],TAGS!$B:$P,4,FALSE)</f>
        <v>Extension Workers Incentives</v>
      </c>
      <c r="T336" s="51" t="str">
        <f>VLOOKUP(Table3[[#This Row],[ACTIVITY]],TAGS!$B:$P,5,FALSE)</f>
        <v>Incentives Given</v>
      </c>
      <c r="U336" s="51" t="str">
        <f>VLOOKUP(Table3[[#This Row],[ACTIVITY]],TAGS!$B:$P,6,FALSE)</f>
        <v>Agricultural Extension Worker</v>
      </c>
      <c r="V336" s="51" t="str">
        <f>VLOOKUP(Table3[[#This Row],[ACTIVITY]],TAGS!$B:$P,7,FALSE)</f>
        <v>NO</v>
      </c>
      <c r="W336" s="51" t="str">
        <f>VLOOKUP(Table3[[#This Row],[ACTIVITY]],TAGS!$B:$P,8,FALSE)</f>
        <v>PAP</v>
      </c>
      <c r="X336" s="51" t="str">
        <f>VLOOKUP(Table3[[#This Row],[ACTIVITY]],TAGS!$B:$P,10,FALSE)</f>
        <v>PIP</v>
      </c>
      <c r="Y336" s="51" t="str">
        <f>VLOOKUP(Table3[[#This Row],[ACTIVITY]],TAGS!$B:$P,11,FALSE)</f>
        <v>PICS</v>
      </c>
      <c r="Z336" s="51" t="str">
        <f>VLOOKUP(Table3[[#This Row],[ACTIVITY]],TAGS!$B:$P,12,FALSE)</f>
        <v>Consolidation</v>
      </c>
      <c r="AA336" s="51" t="str">
        <f>VLOOKUP(Table3[[#This Row],[ACTIVITY]],TAGS!$B:$P,13,FALSE)</f>
        <v>3. PAFES</v>
      </c>
      <c r="AB336" s="51" t="str">
        <f>VLOOKUP(Table3[[#This Row],[ACTIVITY]],TAGS!$B:$P,14,FALSE)</f>
        <v>STRONG PARTNERSHIP WITH THE FARMERS, FISHERFOLK, PRIVATE SECTOR, AND OTHER STAKEHOLDERS</v>
      </c>
      <c r="AC336" s="51" t="str">
        <f>VLOOKUP(Table3[[#This Row],[ACTIVITY]],TAGS!$B:$P,15,FALSE)</f>
        <v>Other Intervetions</v>
      </c>
      <c r="AD336" s="51" t="str">
        <f>VLOOKUP(Table3[[#This Row],[PI LEVEL 3]],'PI LEVEL'!$A:$G,7,FALSE)</f>
        <v>DA-Level Output</v>
      </c>
      <c r="AE336" s="47" t="s">
        <v>577</v>
      </c>
      <c r="AF336" s="51" t="str">
        <f>VLOOKUP(Table3[[#This Row],[ACTIVITY]],TAGS!$B:$P,3,FALSE)</f>
        <v>number</v>
      </c>
      <c r="AG336" s="47" t="s">
        <v>338</v>
      </c>
      <c r="AH336" s="51" t="str">
        <f>VLOOKUP(Table3[[#This Row],[MONTH]],TAGS!$W$67:$Y$81,2,FALSE)</f>
        <v>4TH QTR</v>
      </c>
      <c r="AI336" s="51" t="str">
        <f>VLOOKUP(Table3[[#This Row],[MONTH]],TAGS!$W$67:$Y$81,3,FALSE)</f>
        <v>2ND SEMESTER</v>
      </c>
      <c r="AJ336" s="51">
        <f>VLOOKUP(Table3[[#This Row],[MONTH]],TAGS!$W$67:$Z$81,4,FALSE)</f>
        <v>2025</v>
      </c>
      <c r="AK336" s="47">
        <v>1</v>
      </c>
      <c r="AL336" s="51" t="str">
        <f>VLOOKUP(Table3[[#This Row],[ACTIVITY]],TAGS!$B:$R,16,FALSE)</f>
        <v>NO</v>
      </c>
      <c r="AM336" s="47"/>
      <c r="AN336" s="47">
        <v>42</v>
      </c>
      <c r="AO336" s="57">
        <f>SUM(Table3[[#This Row],[MALE BENEFICIARIES]:[FEMALE BENEFICIARIES]])</f>
        <v>0</v>
      </c>
      <c r="AP336" s="58"/>
      <c r="AQ336" s="58"/>
      <c r="AR336" s="58"/>
      <c r="AS336" s="58"/>
      <c r="AT336" s="59" t="str">
        <f>VLOOKUP(Table3[[#This Row],[ACTIVITY]],TAGS!$B:$R,17,FALSE)</f>
        <v>NO</v>
      </c>
      <c r="AU336" s="59"/>
      <c r="AV336" s="59"/>
      <c r="AW336" s="59"/>
      <c r="AX336" s="59"/>
      <c r="AY336" s="59"/>
      <c r="AZ336" s="59"/>
      <c r="BA336" s="59"/>
      <c r="BB336" s="59"/>
      <c r="BC336" s="59"/>
      <c r="BD336" s="59"/>
      <c r="BE336" s="59"/>
      <c r="BF336" s="59"/>
      <c r="BG336" s="59"/>
      <c r="BH336" s="59"/>
      <c r="BI336" s="59"/>
      <c r="BJ336" s="59"/>
      <c r="BK336" s="59"/>
      <c r="BL336" s="59"/>
      <c r="BM336" s="59"/>
    </row>
    <row r="337" spans="1:65">
      <c r="A337" s="51" t="str">
        <f>VLOOKUP(Table3[[#This Row],[OU]],OU!$A$15:$B$34,2,FALSE)</f>
        <v>RFOs</v>
      </c>
      <c r="B337" s="47" t="s">
        <v>5</v>
      </c>
      <c r="C337" s="47" t="s">
        <v>574</v>
      </c>
      <c r="D337" s="47"/>
      <c r="E337" s="47" t="s">
        <v>22</v>
      </c>
      <c r="F337" s="47" t="s">
        <v>656</v>
      </c>
      <c r="G33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33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21512000</v>
      </c>
      <c r="I337" s="52" t="str">
        <f>VLOOKUP(Table3[[#This Row],[PSGC]],DISTRICT!$D:$G,4,FALSE)</f>
        <v>3rd</v>
      </c>
      <c r="J337" s="47" t="s">
        <v>585</v>
      </c>
      <c r="K337" s="51" t="str">
        <f>VLOOKUP(Table3[[#This Row],[SPECIFIC COMMODITY]],TAGS!$W$48:$X$53,2,FALSE)</f>
        <v>Multi_commodity</v>
      </c>
      <c r="L337" s="51" t="str">
        <f>VLOOKUP(Table3[[#This Row],[PREXC SUB-PROGRAM]],Table5[],2,FALSE)</f>
        <v>TECHNICAL AND SUPPORT SERVICES PROGRAM</v>
      </c>
      <c r="M337" s="51" t="str">
        <f>VLOOKUP(Table3[[#This Row],[COMMODITY PREXC SUB-PROGRAM]],TAGS!$U$54:$V$76,2,FALSE)</f>
        <v>ESETS</v>
      </c>
      <c r="N337" s="47" t="s">
        <v>592</v>
      </c>
      <c r="O337" s="54" t="str">
        <f>VLOOKUP(Table3[[#This Row],[PI LEVEL 3]],'PI LEVEL'!A:C,3,FALSE)</f>
        <v>Individuals given incentives, recognition, and awards</v>
      </c>
      <c r="P337" s="54" t="str">
        <f>VLOOKUP(Table3[[#This Row],[PI LEVEL 3]],Table53729[[Performance Indicator Level 3]:[Performance Indicator Level 1]],2,FALSE)</f>
        <v>AEWs-extension workers given incentives</v>
      </c>
      <c r="Q337" s="54" t="str">
        <f>VLOOKUP(Table3[[#This Row],[ACTIVITY]],TAGS!B:P,2,FALSE)</f>
        <v>AEWs-extension workers given incentives</v>
      </c>
      <c r="R337" s="47" t="s">
        <v>113</v>
      </c>
      <c r="S337" s="51" t="str">
        <f>VLOOKUP(Table3[[#This Row],[ACTIVITY]],TAGS!$B:$P,4,FALSE)</f>
        <v>Extension Workers Incentives</v>
      </c>
      <c r="T337" s="51" t="str">
        <f>VLOOKUP(Table3[[#This Row],[ACTIVITY]],TAGS!$B:$P,5,FALSE)</f>
        <v>Incentives Given</v>
      </c>
      <c r="U337" s="51" t="str">
        <f>VLOOKUP(Table3[[#This Row],[ACTIVITY]],TAGS!$B:$P,6,FALSE)</f>
        <v>Agricultural Extension Worker</v>
      </c>
      <c r="V337" s="51" t="str">
        <f>VLOOKUP(Table3[[#This Row],[ACTIVITY]],TAGS!$B:$P,7,FALSE)</f>
        <v>NO</v>
      </c>
      <c r="W337" s="51" t="str">
        <f>VLOOKUP(Table3[[#This Row],[ACTIVITY]],TAGS!$B:$P,8,FALSE)</f>
        <v>PAP</v>
      </c>
      <c r="X337" s="51" t="str">
        <f>VLOOKUP(Table3[[#This Row],[ACTIVITY]],TAGS!$B:$P,10,FALSE)</f>
        <v>PIP</v>
      </c>
      <c r="Y337" s="51" t="str">
        <f>VLOOKUP(Table3[[#This Row],[ACTIVITY]],TAGS!$B:$P,11,FALSE)</f>
        <v>PICS</v>
      </c>
      <c r="Z337" s="51" t="str">
        <f>VLOOKUP(Table3[[#This Row],[ACTIVITY]],TAGS!$B:$P,12,FALSE)</f>
        <v>Consolidation</v>
      </c>
      <c r="AA337" s="51" t="str">
        <f>VLOOKUP(Table3[[#This Row],[ACTIVITY]],TAGS!$B:$P,13,FALSE)</f>
        <v>3. PAFES</v>
      </c>
      <c r="AB337" s="51" t="str">
        <f>VLOOKUP(Table3[[#This Row],[ACTIVITY]],TAGS!$B:$P,14,FALSE)</f>
        <v>STRONG PARTNERSHIP WITH THE FARMERS, FISHERFOLK, PRIVATE SECTOR, AND OTHER STAKEHOLDERS</v>
      </c>
      <c r="AC337" s="51" t="str">
        <f>VLOOKUP(Table3[[#This Row],[ACTIVITY]],TAGS!$B:$P,15,FALSE)</f>
        <v>Other Intervetions</v>
      </c>
      <c r="AD337" s="51" t="str">
        <f>VLOOKUP(Table3[[#This Row],[PI LEVEL 3]],'PI LEVEL'!$A:$G,7,FALSE)</f>
        <v>DA-Level Output</v>
      </c>
      <c r="AE337" s="47" t="s">
        <v>577</v>
      </c>
      <c r="AF337" s="51" t="str">
        <f>VLOOKUP(Table3[[#This Row],[ACTIVITY]],TAGS!$B:$P,3,FALSE)</f>
        <v>number</v>
      </c>
      <c r="AG337" s="47" t="s">
        <v>338</v>
      </c>
      <c r="AH337" s="51" t="str">
        <f>VLOOKUP(Table3[[#This Row],[MONTH]],TAGS!$W$67:$Y$81,2,FALSE)</f>
        <v>4TH QTR</v>
      </c>
      <c r="AI337" s="51" t="str">
        <f>VLOOKUP(Table3[[#This Row],[MONTH]],TAGS!$W$67:$Y$81,3,FALSE)</f>
        <v>2ND SEMESTER</v>
      </c>
      <c r="AJ337" s="51">
        <f>VLOOKUP(Table3[[#This Row],[MONTH]],TAGS!$W$67:$Z$81,4,FALSE)</f>
        <v>2025</v>
      </c>
      <c r="AK337" s="47">
        <v>3</v>
      </c>
      <c r="AL337" s="51" t="str">
        <f>VLOOKUP(Table3[[#This Row],[ACTIVITY]],TAGS!$B:$R,16,FALSE)</f>
        <v>NO</v>
      </c>
      <c r="AM337" s="47"/>
      <c r="AN337" s="47">
        <v>126</v>
      </c>
      <c r="AO337" s="57">
        <f>SUM(Table3[[#This Row],[MALE BENEFICIARIES]:[FEMALE BENEFICIARIES]])</f>
        <v>0</v>
      </c>
      <c r="AP337" s="58"/>
      <c r="AQ337" s="58"/>
      <c r="AR337" s="58"/>
      <c r="AS337" s="58"/>
      <c r="AT337" s="59" t="str">
        <f>VLOOKUP(Table3[[#This Row],[ACTIVITY]],TAGS!$B:$R,17,FALSE)</f>
        <v>NO</v>
      </c>
      <c r="AU337" s="59"/>
      <c r="AV337" s="59"/>
      <c r="AW337" s="59"/>
      <c r="AX337" s="59"/>
      <c r="AY337" s="59"/>
      <c r="AZ337" s="59"/>
      <c r="BA337" s="59"/>
      <c r="BB337" s="59"/>
      <c r="BC337" s="59"/>
      <c r="BD337" s="59"/>
      <c r="BE337" s="59"/>
      <c r="BF337" s="59"/>
      <c r="BG337" s="59"/>
      <c r="BH337" s="59"/>
      <c r="BI337" s="59"/>
      <c r="BJ337" s="59"/>
      <c r="BK337" s="59"/>
      <c r="BL337" s="59"/>
      <c r="BM337" s="59"/>
    </row>
    <row r="338" spans="1:65">
      <c r="A338" s="51" t="str">
        <f>VLOOKUP(Table3[[#This Row],[OU]],OU!$A$15:$B$34,2,FALSE)</f>
        <v>RFOs</v>
      </c>
      <c r="B338" s="47" t="s">
        <v>5</v>
      </c>
      <c r="C338" s="47" t="s">
        <v>574</v>
      </c>
      <c r="D338" s="47"/>
      <c r="E338" s="47" t="s">
        <v>22</v>
      </c>
      <c r="F338" s="47" t="s">
        <v>639</v>
      </c>
      <c r="G33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33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21513000</v>
      </c>
      <c r="I338" s="52" t="str">
        <f>VLOOKUP(Table3[[#This Row],[PSGC]],DISTRICT!$D:$G,4,FALSE)</f>
        <v>1st</v>
      </c>
      <c r="J338" s="47" t="s">
        <v>585</v>
      </c>
      <c r="K338" s="51" t="str">
        <f>VLOOKUP(Table3[[#This Row],[SPECIFIC COMMODITY]],TAGS!$W$48:$X$53,2,FALSE)</f>
        <v>Multi_commodity</v>
      </c>
      <c r="L338" s="51" t="str">
        <f>VLOOKUP(Table3[[#This Row],[PREXC SUB-PROGRAM]],Table5[],2,FALSE)</f>
        <v>TECHNICAL AND SUPPORT SERVICES PROGRAM</v>
      </c>
      <c r="M338" s="51" t="str">
        <f>VLOOKUP(Table3[[#This Row],[COMMODITY PREXC SUB-PROGRAM]],TAGS!$U$54:$V$76,2,FALSE)</f>
        <v>ESETS</v>
      </c>
      <c r="N338" s="47" t="s">
        <v>592</v>
      </c>
      <c r="O338" s="54" t="str">
        <f>VLOOKUP(Table3[[#This Row],[PI LEVEL 3]],'PI LEVEL'!A:C,3,FALSE)</f>
        <v>Individuals given incentives, recognition, and awards</v>
      </c>
      <c r="P338" s="54" t="str">
        <f>VLOOKUP(Table3[[#This Row],[PI LEVEL 3]],Table53729[[Performance Indicator Level 3]:[Performance Indicator Level 1]],2,FALSE)</f>
        <v>AEWs-extension workers given incentives</v>
      </c>
      <c r="Q338" s="54" t="str">
        <f>VLOOKUP(Table3[[#This Row],[ACTIVITY]],TAGS!B:P,2,FALSE)</f>
        <v>AEWs-extension workers given incentives</v>
      </c>
      <c r="R338" s="47" t="s">
        <v>113</v>
      </c>
      <c r="S338" s="51" t="str">
        <f>VLOOKUP(Table3[[#This Row],[ACTIVITY]],TAGS!$B:$P,4,FALSE)</f>
        <v>Extension Workers Incentives</v>
      </c>
      <c r="T338" s="51" t="str">
        <f>VLOOKUP(Table3[[#This Row],[ACTIVITY]],TAGS!$B:$P,5,FALSE)</f>
        <v>Incentives Given</v>
      </c>
      <c r="U338" s="51" t="str">
        <f>VLOOKUP(Table3[[#This Row],[ACTIVITY]],TAGS!$B:$P,6,FALSE)</f>
        <v>Agricultural Extension Worker</v>
      </c>
      <c r="V338" s="51" t="str">
        <f>VLOOKUP(Table3[[#This Row],[ACTIVITY]],TAGS!$B:$P,7,FALSE)</f>
        <v>NO</v>
      </c>
      <c r="W338" s="51" t="str">
        <f>VLOOKUP(Table3[[#This Row],[ACTIVITY]],TAGS!$B:$P,8,FALSE)</f>
        <v>PAP</v>
      </c>
      <c r="X338" s="51" t="str">
        <f>VLOOKUP(Table3[[#This Row],[ACTIVITY]],TAGS!$B:$P,10,FALSE)</f>
        <v>PIP</v>
      </c>
      <c r="Y338" s="51" t="str">
        <f>VLOOKUP(Table3[[#This Row],[ACTIVITY]],TAGS!$B:$P,11,FALSE)</f>
        <v>PICS</v>
      </c>
      <c r="Z338" s="51" t="str">
        <f>VLOOKUP(Table3[[#This Row],[ACTIVITY]],TAGS!$B:$P,12,FALSE)</f>
        <v>Consolidation</v>
      </c>
      <c r="AA338" s="51" t="str">
        <f>VLOOKUP(Table3[[#This Row],[ACTIVITY]],TAGS!$B:$P,13,FALSE)</f>
        <v>3. PAFES</v>
      </c>
      <c r="AB338" s="51" t="str">
        <f>VLOOKUP(Table3[[#This Row],[ACTIVITY]],TAGS!$B:$P,14,FALSE)</f>
        <v>STRONG PARTNERSHIP WITH THE FARMERS, FISHERFOLK, PRIVATE SECTOR, AND OTHER STAKEHOLDERS</v>
      </c>
      <c r="AC338" s="51" t="str">
        <f>VLOOKUP(Table3[[#This Row],[ACTIVITY]],TAGS!$B:$P,15,FALSE)</f>
        <v>Other Intervetions</v>
      </c>
      <c r="AD338" s="51" t="str">
        <f>VLOOKUP(Table3[[#This Row],[PI LEVEL 3]],'PI LEVEL'!$A:$G,7,FALSE)</f>
        <v>DA-Level Output</v>
      </c>
      <c r="AE338" s="47" t="s">
        <v>577</v>
      </c>
      <c r="AF338" s="51" t="str">
        <f>VLOOKUP(Table3[[#This Row],[ACTIVITY]],TAGS!$B:$P,3,FALSE)</f>
        <v>number</v>
      </c>
      <c r="AG338" s="47" t="s">
        <v>338</v>
      </c>
      <c r="AH338" s="51" t="str">
        <f>VLOOKUP(Table3[[#This Row],[MONTH]],TAGS!$W$67:$Y$81,2,FALSE)</f>
        <v>4TH QTR</v>
      </c>
      <c r="AI338" s="51" t="str">
        <f>VLOOKUP(Table3[[#This Row],[MONTH]],TAGS!$W$67:$Y$81,3,FALSE)</f>
        <v>2ND SEMESTER</v>
      </c>
      <c r="AJ338" s="51">
        <f>VLOOKUP(Table3[[#This Row],[MONTH]],TAGS!$W$67:$Z$81,4,FALSE)</f>
        <v>2025</v>
      </c>
      <c r="AK338" s="47">
        <v>1</v>
      </c>
      <c r="AL338" s="51" t="str">
        <f>VLOOKUP(Table3[[#This Row],[ACTIVITY]],TAGS!$B:$R,16,FALSE)</f>
        <v>NO</v>
      </c>
      <c r="AM338" s="47"/>
      <c r="AN338" s="47">
        <v>42</v>
      </c>
      <c r="AO338" s="57">
        <f>SUM(Table3[[#This Row],[MALE BENEFICIARIES]:[FEMALE BENEFICIARIES]])</f>
        <v>0</v>
      </c>
      <c r="AP338" s="58"/>
      <c r="AQ338" s="58"/>
      <c r="AR338" s="58"/>
      <c r="AS338" s="58"/>
      <c r="AT338" s="59" t="str">
        <f>VLOOKUP(Table3[[#This Row],[ACTIVITY]],TAGS!$B:$R,17,FALSE)</f>
        <v>NO</v>
      </c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</row>
    <row r="339" spans="1:65">
      <c r="A339" s="51" t="str">
        <f>VLOOKUP(Table3[[#This Row],[OU]],OU!$A$15:$B$34,2,FALSE)</f>
        <v>RFOs</v>
      </c>
      <c r="B339" s="47" t="s">
        <v>5</v>
      </c>
      <c r="C339" s="47" t="s">
        <v>574</v>
      </c>
      <c r="D339" s="47"/>
      <c r="E339" s="47" t="s">
        <v>22</v>
      </c>
      <c r="F339" s="47" t="s">
        <v>627</v>
      </c>
      <c r="G33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33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21514000</v>
      </c>
      <c r="I339" s="52" t="str">
        <f>VLOOKUP(Table3[[#This Row],[PSGC]],DISTRICT!$D:$G,4,FALSE)</f>
        <v>1st</v>
      </c>
      <c r="J339" s="47" t="s">
        <v>585</v>
      </c>
      <c r="K339" s="51" t="str">
        <f>VLOOKUP(Table3[[#This Row],[SPECIFIC COMMODITY]],TAGS!$W$48:$X$53,2,FALSE)</f>
        <v>Multi_commodity</v>
      </c>
      <c r="L339" s="51" t="str">
        <f>VLOOKUP(Table3[[#This Row],[PREXC SUB-PROGRAM]],Table5[],2,FALSE)</f>
        <v>TECHNICAL AND SUPPORT SERVICES PROGRAM</v>
      </c>
      <c r="M339" s="51" t="str">
        <f>VLOOKUP(Table3[[#This Row],[COMMODITY PREXC SUB-PROGRAM]],TAGS!$U$54:$V$76,2,FALSE)</f>
        <v>ESETS</v>
      </c>
      <c r="N339" s="47" t="s">
        <v>592</v>
      </c>
      <c r="O339" s="54" t="str">
        <f>VLOOKUP(Table3[[#This Row],[PI LEVEL 3]],'PI LEVEL'!A:C,3,FALSE)</f>
        <v>Individuals given incentives, recognition, and awards</v>
      </c>
      <c r="P339" s="54" t="str">
        <f>VLOOKUP(Table3[[#This Row],[PI LEVEL 3]],Table53729[[Performance Indicator Level 3]:[Performance Indicator Level 1]],2,FALSE)</f>
        <v>AEWs-extension workers given incentives</v>
      </c>
      <c r="Q339" s="54" t="str">
        <f>VLOOKUP(Table3[[#This Row],[ACTIVITY]],TAGS!B:P,2,FALSE)</f>
        <v>AEWs-extension workers given incentives</v>
      </c>
      <c r="R339" s="47" t="s">
        <v>113</v>
      </c>
      <c r="S339" s="51" t="str">
        <f>VLOOKUP(Table3[[#This Row],[ACTIVITY]],TAGS!$B:$P,4,FALSE)</f>
        <v>Extension Workers Incentives</v>
      </c>
      <c r="T339" s="51" t="str">
        <f>VLOOKUP(Table3[[#This Row],[ACTIVITY]],TAGS!$B:$P,5,FALSE)</f>
        <v>Incentives Given</v>
      </c>
      <c r="U339" s="51" t="str">
        <f>VLOOKUP(Table3[[#This Row],[ACTIVITY]],TAGS!$B:$P,6,FALSE)</f>
        <v>Agricultural Extension Worker</v>
      </c>
      <c r="V339" s="51" t="str">
        <f>VLOOKUP(Table3[[#This Row],[ACTIVITY]],TAGS!$B:$P,7,FALSE)</f>
        <v>NO</v>
      </c>
      <c r="W339" s="51" t="str">
        <f>VLOOKUP(Table3[[#This Row],[ACTIVITY]],TAGS!$B:$P,8,FALSE)</f>
        <v>PAP</v>
      </c>
      <c r="X339" s="51" t="str">
        <f>VLOOKUP(Table3[[#This Row],[ACTIVITY]],TAGS!$B:$P,10,FALSE)</f>
        <v>PIP</v>
      </c>
      <c r="Y339" s="51" t="str">
        <f>VLOOKUP(Table3[[#This Row],[ACTIVITY]],TAGS!$B:$P,11,FALSE)</f>
        <v>PICS</v>
      </c>
      <c r="Z339" s="51" t="str">
        <f>VLOOKUP(Table3[[#This Row],[ACTIVITY]],TAGS!$B:$P,12,FALSE)</f>
        <v>Consolidation</v>
      </c>
      <c r="AA339" s="51" t="str">
        <f>VLOOKUP(Table3[[#This Row],[ACTIVITY]],TAGS!$B:$P,13,FALSE)</f>
        <v>3. PAFES</v>
      </c>
      <c r="AB339" s="51" t="str">
        <f>VLOOKUP(Table3[[#This Row],[ACTIVITY]],TAGS!$B:$P,14,FALSE)</f>
        <v>STRONG PARTNERSHIP WITH THE FARMERS, FISHERFOLK, PRIVATE SECTOR, AND OTHER STAKEHOLDERS</v>
      </c>
      <c r="AC339" s="51" t="str">
        <f>VLOOKUP(Table3[[#This Row],[ACTIVITY]],TAGS!$B:$P,15,FALSE)</f>
        <v>Other Intervetions</v>
      </c>
      <c r="AD339" s="51" t="str">
        <f>VLOOKUP(Table3[[#This Row],[PI LEVEL 3]],'PI LEVEL'!$A:$G,7,FALSE)</f>
        <v>DA-Level Output</v>
      </c>
      <c r="AE339" s="47" t="s">
        <v>577</v>
      </c>
      <c r="AF339" s="51" t="str">
        <f>VLOOKUP(Table3[[#This Row],[ACTIVITY]],TAGS!$B:$P,3,FALSE)</f>
        <v>number</v>
      </c>
      <c r="AG339" s="47" t="s">
        <v>338</v>
      </c>
      <c r="AH339" s="51" t="str">
        <f>VLOOKUP(Table3[[#This Row],[MONTH]],TAGS!$W$67:$Y$81,2,FALSE)</f>
        <v>4TH QTR</v>
      </c>
      <c r="AI339" s="51" t="str">
        <f>VLOOKUP(Table3[[#This Row],[MONTH]],TAGS!$W$67:$Y$81,3,FALSE)</f>
        <v>2ND SEMESTER</v>
      </c>
      <c r="AJ339" s="51">
        <f>VLOOKUP(Table3[[#This Row],[MONTH]],TAGS!$W$67:$Z$81,4,FALSE)</f>
        <v>2025</v>
      </c>
      <c r="AK339" s="47">
        <v>3</v>
      </c>
      <c r="AL339" s="51" t="str">
        <f>VLOOKUP(Table3[[#This Row],[ACTIVITY]],TAGS!$B:$R,16,FALSE)</f>
        <v>NO</v>
      </c>
      <c r="AM339" s="47"/>
      <c r="AN339" s="47">
        <v>126</v>
      </c>
      <c r="AO339" s="57">
        <f>SUM(Table3[[#This Row],[MALE BENEFICIARIES]:[FEMALE BENEFICIARIES]])</f>
        <v>0</v>
      </c>
      <c r="AP339" s="58"/>
      <c r="AQ339" s="58"/>
      <c r="AR339" s="58"/>
      <c r="AS339" s="58"/>
      <c r="AT339" s="59" t="str">
        <f>VLOOKUP(Table3[[#This Row],[ACTIVITY]],TAGS!$B:$R,17,FALSE)</f>
        <v>NO</v>
      </c>
      <c r="AU339" s="59"/>
      <c r="AV339" s="59"/>
      <c r="AW339" s="59"/>
      <c r="AX339" s="59"/>
      <c r="AY339" s="59"/>
      <c r="AZ339" s="59"/>
      <c r="BA339" s="59"/>
      <c r="BB339" s="59"/>
      <c r="BC339" s="59"/>
      <c r="BD339" s="59"/>
      <c r="BE339" s="59"/>
      <c r="BF339" s="59"/>
      <c r="BG339" s="59"/>
      <c r="BH339" s="59"/>
      <c r="BI339" s="59"/>
      <c r="BJ339" s="59"/>
      <c r="BK339" s="59"/>
      <c r="BL339" s="59"/>
      <c r="BM339" s="59"/>
    </row>
    <row r="340" spans="1:65">
      <c r="A340" s="51" t="str">
        <f>VLOOKUP(Table3[[#This Row],[OU]],OU!$A$15:$B$34,2,FALSE)</f>
        <v>RFOs</v>
      </c>
      <c r="B340" s="47" t="s">
        <v>5</v>
      </c>
      <c r="C340" s="47" t="s">
        <v>574</v>
      </c>
      <c r="D340" s="47"/>
      <c r="E340" s="47" t="s">
        <v>22</v>
      </c>
      <c r="F340" s="47" t="s">
        <v>657</v>
      </c>
      <c r="G34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34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21515000</v>
      </c>
      <c r="I340" s="52" t="str">
        <f>VLOOKUP(Table3[[#This Row],[PSGC]],DISTRICT!$D:$G,4,FALSE)</f>
        <v>4th</v>
      </c>
      <c r="J340" s="47" t="s">
        <v>585</v>
      </c>
      <c r="K340" s="51" t="str">
        <f>VLOOKUP(Table3[[#This Row],[SPECIFIC COMMODITY]],TAGS!$W$48:$X$53,2,FALSE)</f>
        <v>Multi_commodity</v>
      </c>
      <c r="L340" s="51" t="str">
        <f>VLOOKUP(Table3[[#This Row],[PREXC SUB-PROGRAM]],Table5[],2,FALSE)</f>
        <v>TECHNICAL AND SUPPORT SERVICES PROGRAM</v>
      </c>
      <c r="M340" s="51" t="str">
        <f>VLOOKUP(Table3[[#This Row],[COMMODITY PREXC SUB-PROGRAM]],TAGS!$U$54:$V$76,2,FALSE)</f>
        <v>ESETS</v>
      </c>
      <c r="N340" s="47" t="s">
        <v>592</v>
      </c>
      <c r="O340" s="54" t="str">
        <f>VLOOKUP(Table3[[#This Row],[PI LEVEL 3]],'PI LEVEL'!A:C,3,FALSE)</f>
        <v>Individuals given incentives, recognition, and awards</v>
      </c>
      <c r="P340" s="54" t="str">
        <f>VLOOKUP(Table3[[#This Row],[PI LEVEL 3]],Table53729[[Performance Indicator Level 3]:[Performance Indicator Level 1]],2,FALSE)</f>
        <v>AEWs-extension workers given incentives</v>
      </c>
      <c r="Q340" s="54" t="str">
        <f>VLOOKUP(Table3[[#This Row],[ACTIVITY]],TAGS!B:P,2,FALSE)</f>
        <v>AEWs-extension workers given incentives</v>
      </c>
      <c r="R340" s="47" t="s">
        <v>113</v>
      </c>
      <c r="S340" s="51" t="str">
        <f>VLOOKUP(Table3[[#This Row],[ACTIVITY]],TAGS!$B:$P,4,FALSE)</f>
        <v>Extension Workers Incentives</v>
      </c>
      <c r="T340" s="51" t="str">
        <f>VLOOKUP(Table3[[#This Row],[ACTIVITY]],TAGS!$B:$P,5,FALSE)</f>
        <v>Incentives Given</v>
      </c>
      <c r="U340" s="51" t="str">
        <f>VLOOKUP(Table3[[#This Row],[ACTIVITY]],TAGS!$B:$P,6,FALSE)</f>
        <v>Agricultural Extension Worker</v>
      </c>
      <c r="V340" s="51" t="str">
        <f>VLOOKUP(Table3[[#This Row],[ACTIVITY]],TAGS!$B:$P,7,FALSE)</f>
        <v>NO</v>
      </c>
      <c r="W340" s="51" t="str">
        <f>VLOOKUP(Table3[[#This Row],[ACTIVITY]],TAGS!$B:$P,8,FALSE)</f>
        <v>PAP</v>
      </c>
      <c r="X340" s="51" t="str">
        <f>VLOOKUP(Table3[[#This Row],[ACTIVITY]],TAGS!$B:$P,10,FALSE)</f>
        <v>PIP</v>
      </c>
      <c r="Y340" s="51" t="str">
        <f>VLOOKUP(Table3[[#This Row],[ACTIVITY]],TAGS!$B:$P,11,FALSE)</f>
        <v>PICS</v>
      </c>
      <c r="Z340" s="51" t="str">
        <f>VLOOKUP(Table3[[#This Row],[ACTIVITY]],TAGS!$B:$P,12,FALSE)</f>
        <v>Consolidation</v>
      </c>
      <c r="AA340" s="51" t="str">
        <f>VLOOKUP(Table3[[#This Row],[ACTIVITY]],TAGS!$B:$P,13,FALSE)</f>
        <v>3. PAFES</v>
      </c>
      <c r="AB340" s="51" t="str">
        <f>VLOOKUP(Table3[[#This Row],[ACTIVITY]],TAGS!$B:$P,14,FALSE)</f>
        <v>STRONG PARTNERSHIP WITH THE FARMERS, FISHERFOLK, PRIVATE SECTOR, AND OTHER STAKEHOLDERS</v>
      </c>
      <c r="AC340" s="51" t="str">
        <f>VLOOKUP(Table3[[#This Row],[ACTIVITY]],TAGS!$B:$P,15,FALSE)</f>
        <v>Other Intervetions</v>
      </c>
      <c r="AD340" s="51" t="str">
        <f>VLOOKUP(Table3[[#This Row],[PI LEVEL 3]],'PI LEVEL'!$A:$G,7,FALSE)</f>
        <v>DA-Level Output</v>
      </c>
      <c r="AE340" s="47" t="s">
        <v>577</v>
      </c>
      <c r="AF340" s="51" t="str">
        <f>VLOOKUP(Table3[[#This Row],[ACTIVITY]],TAGS!$B:$P,3,FALSE)</f>
        <v>number</v>
      </c>
      <c r="AG340" s="47" t="s">
        <v>338</v>
      </c>
      <c r="AH340" s="51" t="str">
        <f>VLOOKUP(Table3[[#This Row],[MONTH]],TAGS!$W$67:$Y$81,2,FALSE)</f>
        <v>4TH QTR</v>
      </c>
      <c r="AI340" s="51" t="str">
        <f>VLOOKUP(Table3[[#This Row],[MONTH]],TAGS!$W$67:$Y$81,3,FALSE)</f>
        <v>2ND SEMESTER</v>
      </c>
      <c r="AJ340" s="51">
        <f>VLOOKUP(Table3[[#This Row],[MONTH]],TAGS!$W$67:$Z$81,4,FALSE)</f>
        <v>2025</v>
      </c>
      <c r="AK340" s="47">
        <v>2</v>
      </c>
      <c r="AL340" s="51" t="str">
        <f>VLOOKUP(Table3[[#This Row],[ACTIVITY]],TAGS!$B:$R,16,FALSE)</f>
        <v>NO</v>
      </c>
      <c r="AM340" s="47"/>
      <c r="AN340" s="47">
        <v>84</v>
      </c>
      <c r="AO340" s="57">
        <f>SUM(Table3[[#This Row],[MALE BENEFICIARIES]:[FEMALE BENEFICIARIES]])</f>
        <v>0</v>
      </c>
      <c r="AP340" s="58"/>
      <c r="AQ340" s="58"/>
      <c r="AR340" s="58"/>
      <c r="AS340" s="58"/>
      <c r="AT340" s="59" t="str">
        <f>VLOOKUP(Table3[[#This Row],[ACTIVITY]],TAGS!$B:$R,17,FALSE)</f>
        <v>NO</v>
      </c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</row>
    <row r="341" spans="1:65">
      <c r="A341" s="51" t="str">
        <f>VLOOKUP(Table3[[#This Row],[OU]],OU!$A$15:$B$34,2,FALSE)</f>
        <v>RFOs</v>
      </c>
      <c r="B341" s="47" t="s">
        <v>5</v>
      </c>
      <c r="C341" s="47" t="s">
        <v>574</v>
      </c>
      <c r="D341" s="47"/>
      <c r="E341" s="47" t="s">
        <v>22</v>
      </c>
      <c r="F341" s="47" t="s">
        <v>628</v>
      </c>
      <c r="G34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34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21517000</v>
      </c>
      <c r="I341" s="52" t="str">
        <f>VLOOKUP(Table3[[#This Row],[PSGC]],DISTRICT!$D:$G,4,FALSE)</f>
        <v>3rd</v>
      </c>
      <c r="J341" s="47" t="s">
        <v>585</v>
      </c>
      <c r="K341" s="51" t="str">
        <f>VLOOKUP(Table3[[#This Row],[SPECIFIC COMMODITY]],TAGS!$W$48:$X$53,2,FALSE)</f>
        <v>Multi_commodity</v>
      </c>
      <c r="L341" s="51" t="str">
        <f>VLOOKUP(Table3[[#This Row],[PREXC SUB-PROGRAM]],Table5[],2,FALSE)</f>
        <v>TECHNICAL AND SUPPORT SERVICES PROGRAM</v>
      </c>
      <c r="M341" s="51" t="str">
        <f>VLOOKUP(Table3[[#This Row],[COMMODITY PREXC SUB-PROGRAM]],TAGS!$U$54:$V$76,2,FALSE)</f>
        <v>ESETS</v>
      </c>
      <c r="N341" s="47" t="s">
        <v>592</v>
      </c>
      <c r="O341" s="54" t="str">
        <f>VLOOKUP(Table3[[#This Row],[PI LEVEL 3]],'PI LEVEL'!A:C,3,FALSE)</f>
        <v>Individuals given incentives, recognition, and awards</v>
      </c>
      <c r="P341" s="54" t="str">
        <f>VLOOKUP(Table3[[#This Row],[PI LEVEL 3]],Table53729[[Performance Indicator Level 3]:[Performance Indicator Level 1]],2,FALSE)</f>
        <v>AEWs-extension workers given incentives</v>
      </c>
      <c r="Q341" s="54" t="str">
        <f>VLOOKUP(Table3[[#This Row],[ACTIVITY]],TAGS!B:P,2,FALSE)</f>
        <v>AEWs-extension workers given incentives</v>
      </c>
      <c r="R341" s="47" t="s">
        <v>113</v>
      </c>
      <c r="S341" s="51" t="str">
        <f>VLOOKUP(Table3[[#This Row],[ACTIVITY]],TAGS!$B:$P,4,FALSE)</f>
        <v>Extension Workers Incentives</v>
      </c>
      <c r="T341" s="51" t="str">
        <f>VLOOKUP(Table3[[#This Row],[ACTIVITY]],TAGS!$B:$P,5,FALSE)</f>
        <v>Incentives Given</v>
      </c>
      <c r="U341" s="51" t="str">
        <f>VLOOKUP(Table3[[#This Row],[ACTIVITY]],TAGS!$B:$P,6,FALSE)</f>
        <v>Agricultural Extension Worker</v>
      </c>
      <c r="V341" s="51" t="str">
        <f>VLOOKUP(Table3[[#This Row],[ACTIVITY]],TAGS!$B:$P,7,FALSE)</f>
        <v>NO</v>
      </c>
      <c r="W341" s="51" t="str">
        <f>VLOOKUP(Table3[[#This Row],[ACTIVITY]],TAGS!$B:$P,8,FALSE)</f>
        <v>PAP</v>
      </c>
      <c r="X341" s="51" t="str">
        <f>VLOOKUP(Table3[[#This Row],[ACTIVITY]],TAGS!$B:$P,10,FALSE)</f>
        <v>PIP</v>
      </c>
      <c r="Y341" s="51" t="str">
        <f>VLOOKUP(Table3[[#This Row],[ACTIVITY]],TAGS!$B:$P,11,FALSE)</f>
        <v>PICS</v>
      </c>
      <c r="Z341" s="51" t="str">
        <f>VLOOKUP(Table3[[#This Row],[ACTIVITY]],TAGS!$B:$P,12,FALSE)</f>
        <v>Consolidation</v>
      </c>
      <c r="AA341" s="51" t="str">
        <f>VLOOKUP(Table3[[#This Row],[ACTIVITY]],TAGS!$B:$P,13,FALSE)</f>
        <v>3. PAFES</v>
      </c>
      <c r="AB341" s="51" t="str">
        <f>VLOOKUP(Table3[[#This Row],[ACTIVITY]],TAGS!$B:$P,14,FALSE)</f>
        <v>STRONG PARTNERSHIP WITH THE FARMERS, FISHERFOLK, PRIVATE SECTOR, AND OTHER STAKEHOLDERS</v>
      </c>
      <c r="AC341" s="51" t="str">
        <f>VLOOKUP(Table3[[#This Row],[ACTIVITY]],TAGS!$B:$P,15,FALSE)</f>
        <v>Other Intervetions</v>
      </c>
      <c r="AD341" s="51" t="str">
        <f>VLOOKUP(Table3[[#This Row],[PI LEVEL 3]],'PI LEVEL'!$A:$G,7,FALSE)</f>
        <v>DA-Level Output</v>
      </c>
      <c r="AE341" s="47" t="s">
        <v>577</v>
      </c>
      <c r="AF341" s="51" t="str">
        <f>VLOOKUP(Table3[[#This Row],[ACTIVITY]],TAGS!$B:$P,3,FALSE)</f>
        <v>number</v>
      </c>
      <c r="AG341" s="47" t="s">
        <v>338</v>
      </c>
      <c r="AH341" s="51" t="str">
        <f>VLOOKUP(Table3[[#This Row],[MONTH]],TAGS!$W$67:$Y$81,2,FALSE)</f>
        <v>4TH QTR</v>
      </c>
      <c r="AI341" s="51" t="str">
        <f>VLOOKUP(Table3[[#This Row],[MONTH]],TAGS!$W$67:$Y$81,3,FALSE)</f>
        <v>2ND SEMESTER</v>
      </c>
      <c r="AJ341" s="51">
        <f>VLOOKUP(Table3[[#This Row],[MONTH]],TAGS!$W$67:$Z$81,4,FALSE)</f>
        <v>2025</v>
      </c>
      <c r="AK341" s="47">
        <v>3</v>
      </c>
      <c r="AL341" s="51" t="str">
        <f>VLOOKUP(Table3[[#This Row],[ACTIVITY]],TAGS!$B:$R,16,FALSE)</f>
        <v>NO</v>
      </c>
      <c r="AM341" s="47"/>
      <c r="AN341" s="47">
        <v>126</v>
      </c>
      <c r="AO341" s="57">
        <f>SUM(Table3[[#This Row],[MALE BENEFICIARIES]:[FEMALE BENEFICIARIES]])</f>
        <v>0</v>
      </c>
      <c r="AP341" s="58"/>
      <c r="AQ341" s="58"/>
      <c r="AR341" s="58"/>
      <c r="AS341" s="58"/>
      <c r="AT341" s="59" t="str">
        <f>VLOOKUP(Table3[[#This Row],[ACTIVITY]],TAGS!$B:$R,17,FALSE)</f>
        <v>NO</v>
      </c>
      <c r="AU341" s="59"/>
      <c r="AV341" s="59"/>
      <c r="AW341" s="59"/>
      <c r="AX341" s="59"/>
      <c r="AY341" s="59"/>
      <c r="AZ341" s="59"/>
      <c r="BA341" s="59"/>
      <c r="BB341" s="59"/>
      <c r="BC341" s="59"/>
      <c r="BD341" s="59"/>
      <c r="BE341" s="59"/>
      <c r="BF341" s="59"/>
      <c r="BG341" s="59"/>
      <c r="BH341" s="59"/>
      <c r="BI341" s="59"/>
      <c r="BJ341" s="59"/>
      <c r="BK341" s="59"/>
      <c r="BL341" s="59"/>
      <c r="BM341" s="59"/>
    </row>
    <row r="342" spans="1:65">
      <c r="A342" s="51" t="str">
        <f>VLOOKUP(Table3[[#This Row],[OU]],OU!$A$15:$B$34,2,FALSE)</f>
        <v>RFOs</v>
      </c>
      <c r="B342" s="47" t="s">
        <v>5</v>
      </c>
      <c r="C342" s="47" t="s">
        <v>574</v>
      </c>
      <c r="D342" s="47"/>
      <c r="E342" s="47" t="s">
        <v>22</v>
      </c>
      <c r="F342" s="47" t="s">
        <v>620</v>
      </c>
      <c r="G34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34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21518000</v>
      </c>
      <c r="I342" s="52" t="str">
        <f>VLOOKUP(Table3[[#This Row],[PSGC]],DISTRICT!$D:$G,4,FALSE)</f>
        <v>4th</v>
      </c>
      <c r="J342" s="47" t="s">
        <v>585</v>
      </c>
      <c r="K342" s="51" t="str">
        <f>VLOOKUP(Table3[[#This Row],[SPECIFIC COMMODITY]],TAGS!$W$48:$X$53,2,FALSE)</f>
        <v>Multi_commodity</v>
      </c>
      <c r="L342" s="51" t="str">
        <f>VLOOKUP(Table3[[#This Row],[PREXC SUB-PROGRAM]],Table5[],2,FALSE)</f>
        <v>TECHNICAL AND SUPPORT SERVICES PROGRAM</v>
      </c>
      <c r="M342" s="51" t="str">
        <f>VLOOKUP(Table3[[#This Row],[COMMODITY PREXC SUB-PROGRAM]],TAGS!$U$54:$V$76,2,FALSE)</f>
        <v>ESETS</v>
      </c>
      <c r="N342" s="47" t="s">
        <v>592</v>
      </c>
      <c r="O342" s="54" t="str">
        <f>VLOOKUP(Table3[[#This Row],[PI LEVEL 3]],'PI LEVEL'!A:C,3,FALSE)</f>
        <v>Individuals given incentives, recognition, and awards</v>
      </c>
      <c r="P342" s="54" t="str">
        <f>VLOOKUP(Table3[[#This Row],[PI LEVEL 3]],Table53729[[Performance Indicator Level 3]:[Performance Indicator Level 1]],2,FALSE)</f>
        <v>AEWs-extension workers given incentives</v>
      </c>
      <c r="Q342" s="54" t="str">
        <f>VLOOKUP(Table3[[#This Row],[ACTIVITY]],TAGS!B:P,2,FALSE)</f>
        <v>AEWs-extension workers given incentives</v>
      </c>
      <c r="R342" s="47" t="s">
        <v>113</v>
      </c>
      <c r="S342" s="51" t="str">
        <f>VLOOKUP(Table3[[#This Row],[ACTIVITY]],TAGS!$B:$P,4,FALSE)</f>
        <v>Extension Workers Incentives</v>
      </c>
      <c r="T342" s="51" t="str">
        <f>VLOOKUP(Table3[[#This Row],[ACTIVITY]],TAGS!$B:$P,5,FALSE)</f>
        <v>Incentives Given</v>
      </c>
      <c r="U342" s="51" t="str">
        <f>VLOOKUP(Table3[[#This Row],[ACTIVITY]],TAGS!$B:$P,6,FALSE)</f>
        <v>Agricultural Extension Worker</v>
      </c>
      <c r="V342" s="51" t="str">
        <f>VLOOKUP(Table3[[#This Row],[ACTIVITY]],TAGS!$B:$P,7,FALSE)</f>
        <v>NO</v>
      </c>
      <c r="W342" s="51" t="str">
        <f>VLOOKUP(Table3[[#This Row],[ACTIVITY]],TAGS!$B:$P,8,FALSE)</f>
        <v>PAP</v>
      </c>
      <c r="X342" s="51" t="str">
        <f>VLOOKUP(Table3[[#This Row],[ACTIVITY]],TAGS!$B:$P,10,FALSE)</f>
        <v>PIP</v>
      </c>
      <c r="Y342" s="51" t="str">
        <f>VLOOKUP(Table3[[#This Row],[ACTIVITY]],TAGS!$B:$P,11,FALSE)</f>
        <v>PICS</v>
      </c>
      <c r="Z342" s="51" t="str">
        <f>VLOOKUP(Table3[[#This Row],[ACTIVITY]],TAGS!$B:$P,12,FALSE)</f>
        <v>Consolidation</v>
      </c>
      <c r="AA342" s="51" t="str">
        <f>VLOOKUP(Table3[[#This Row],[ACTIVITY]],TAGS!$B:$P,13,FALSE)</f>
        <v>3. PAFES</v>
      </c>
      <c r="AB342" s="51" t="str">
        <f>VLOOKUP(Table3[[#This Row],[ACTIVITY]],TAGS!$B:$P,14,FALSE)</f>
        <v>STRONG PARTNERSHIP WITH THE FARMERS, FISHERFOLK, PRIVATE SECTOR, AND OTHER STAKEHOLDERS</v>
      </c>
      <c r="AC342" s="51" t="str">
        <f>VLOOKUP(Table3[[#This Row],[ACTIVITY]],TAGS!$B:$P,15,FALSE)</f>
        <v>Other Intervetions</v>
      </c>
      <c r="AD342" s="51" t="str">
        <f>VLOOKUP(Table3[[#This Row],[PI LEVEL 3]],'PI LEVEL'!$A:$G,7,FALSE)</f>
        <v>DA-Level Output</v>
      </c>
      <c r="AE342" s="47" t="s">
        <v>577</v>
      </c>
      <c r="AF342" s="51" t="str">
        <f>VLOOKUP(Table3[[#This Row],[ACTIVITY]],TAGS!$B:$P,3,FALSE)</f>
        <v>number</v>
      </c>
      <c r="AG342" s="47" t="s">
        <v>338</v>
      </c>
      <c r="AH342" s="51" t="str">
        <f>VLOOKUP(Table3[[#This Row],[MONTH]],TAGS!$W$67:$Y$81,2,FALSE)</f>
        <v>4TH QTR</v>
      </c>
      <c r="AI342" s="51" t="str">
        <f>VLOOKUP(Table3[[#This Row],[MONTH]],TAGS!$W$67:$Y$81,3,FALSE)</f>
        <v>2ND SEMESTER</v>
      </c>
      <c r="AJ342" s="51">
        <f>VLOOKUP(Table3[[#This Row],[MONTH]],TAGS!$W$67:$Z$81,4,FALSE)</f>
        <v>2025</v>
      </c>
      <c r="AK342" s="47">
        <v>1</v>
      </c>
      <c r="AL342" s="51" t="str">
        <f>VLOOKUP(Table3[[#This Row],[ACTIVITY]],TAGS!$B:$R,16,FALSE)</f>
        <v>NO</v>
      </c>
      <c r="AM342" s="47"/>
      <c r="AN342" s="47">
        <v>42</v>
      </c>
      <c r="AO342" s="57">
        <f>SUM(Table3[[#This Row],[MALE BENEFICIARIES]:[FEMALE BENEFICIARIES]])</f>
        <v>0</v>
      </c>
      <c r="AP342" s="58"/>
      <c r="AQ342" s="58"/>
      <c r="AR342" s="58"/>
      <c r="AS342" s="58"/>
      <c r="AT342" s="59" t="str">
        <f>VLOOKUP(Table3[[#This Row],[ACTIVITY]],TAGS!$B:$R,17,FALSE)</f>
        <v>NO</v>
      </c>
      <c r="AU342" s="59"/>
      <c r="AV342" s="59"/>
      <c r="AW342" s="59"/>
      <c r="AX342" s="59"/>
      <c r="AY342" s="59"/>
      <c r="AZ342" s="59"/>
      <c r="BA342" s="59"/>
      <c r="BB342" s="59"/>
      <c r="BC342" s="59"/>
      <c r="BD342" s="59"/>
      <c r="BE342" s="59"/>
      <c r="BF342" s="59"/>
      <c r="BG342" s="59"/>
      <c r="BH342" s="59"/>
      <c r="BI342" s="59"/>
      <c r="BJ342" s="59"/>
      <c r="BK342" s="59"/>
      <c r="BL342" s="59"/>
      <c r="BM342" s="59"/>
    </row>
    <row r="343" spans="1:65">
      <c r="A343" s="51" t="str">
        <f>VLOOKUP(Table3[[#This Row],[OU]],OU!$A$15:$B$34,2,FALSE)</f>
        <v>RFOs</v>
      </c>
      <c r="B343" s="47" t="s">
        <v>5</v>
      </c>
      <c r="C343" s="47" t="s">
        <v>574</v>
      </c>
      <c r="D343" s="47"/>
      <c r="E343" s="47" t="s">
        <v>22</v>
      </c>
      <c r="F343" s="47" t="s">
        <v>658</v>
      </c>
      <c r="G34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34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21519000</v>
      </c>
      <c r="I343" s="52" t="str">
        <f>VLOOKUP(Table3[[#This Row],[PSGC]],DISTRICT!$D:$G,4,FALSE)</f>
        <v>1st</v>
      </c>
      <c r="J343" s="47" t="s">
        <v>585</v>
      </c>
      <c r="K343" s="51" t="str">
        <f>VLOOKUP(Table3[[#This Row],[SPECIFIC COMMODITY]],TAGS!$W$48:$X$53,2,FALSE)</f>
        <v>Multi_commodity</v>
      </c>
      <c r="L343" s="51" t="str">
        <f>VLOOKUP(Table3[[#This Row],[PREXC SUB-PROGRAM]],Table5[],2,FALSE)</f>
        <v>TECHNICAL AND SUPPORT SERVICES PROGRAM</v>
      </c>
      <c r="M343" s="51" t="str">
        <f>VLOOKUP(Table3[[#This Row],[COMMODITY PREXC SUB-PROGRAM]],TAGS!$U$54:$V$76,2,FALSE)</f>
        <v>ESETS</v>
      </c>
      <c r="N343" s="47" t="s">
        <v>592</v>
      </c>
      <c r="O343" s="54" t="str">
        <f>VLOOKUP(Table3[[#This Row],[PI LEVEL 3]],'PI LEVEL'!A:C,3,FALSE)</f>
        <v>Individuals given incentives, recognition, and awards</v>
      </c>
      <c r="P343" s="54" t="str">
        <f>VLOOKUP(Table3[[#This Row],[PI LEVEL 3]],Table53729[[Performance Indicator Level 3]:[Performance Indicator Level 1]],2,FALSE)</f>
        <v>AEWs-extension workers given incentives</v>
      </c>
      <c r="Q343" s="54" t="str">
        <f>VLOOKUP(Table3[[#This Row],[ACTIVITY]],TAGS!B:P,2,FALSE)</f>
        <v>AEWs-extension workers given incentives</v>
      </c>
      <c r="R343" s="47" t="s">
        <v>113</v>
      </c>
      <c r="S343" s="51" t="str">
        <f>VLOOKUP(Table3[[#This Row],[ACTIVITY]],TAGS!$B:$P,4,FALSE)</f>
        <v>Extension Workers Incentives</v>
      </c>
      <c r="T343" s="51" t="str">
        <f>VLOOKUP(Table3[[#This Row],[ACTIVITY]],TAGS!$B:$P,5,FALSE)</f>
        <v>Incentives Given</v>
      </c>
      <c r="U343" s="51" t="str">
        <f>VLOOKUP(Table3[[#This Row],[ACTIVITY]],TAGS!$B:$P,6,FALSE)</f>
        <v>Agricultural Extension Worker</v>
      </c>
      <c r="V343" s="51" t="str">
        <f>VLOOKUP(Table3[[#This Row],[ACTIVITY]],TAGS!$B:$P,7,FALSE)</f>
        <v>NO</v>
      </c>
      <c r="W343" s="51" t="str">
        <f>VLOOKUP(Table3[[#This Row],[ACTIVITY]],TAGS!$B:$P,8,FALSE)</f>
        <v>PAP</v>
      </c>
      <c r="X343" s="51" t="str">
        <f>VLOOKUP(Table3[[#This Row],[ACTIVITY]],TAGS!$B:$P,10,FALSE)</f>
        <v>PIP</v>
      </c>
      <c r="Y343" s="51" t="str">
        <f>VLOOKUP(Table3[[#This Row],[ACTIVITY]],TAGS!$B:$P,11,FALSE)</f>
        <v>PICS</v>
      </c>
      <c r="Z343" s="51" t="str">
        <f>VLOOKUP(Table3[[#This Row],[ACTIVITY]],TAGS!$B:$P,12,FALSE)</f>
        <v>Consolidation</v>
      </c>
      <c r="AA343" s="51" t="str">
        <f>VLOOKUP(Table3[[#This Row],[ACTIVITY]],TAGS!$B:$P,13,FALSE)</f>
        <v>3. PAFES</v>
      </c>
      <c r="AB343" s="51" t="str">
        <f>VLOOKUP(Table3[[#This Row],[ACTIVITY]],TAGS!$B:$P,14,FALSE)</f>
        <v>STRONG PARTNERSHIP WITH THE FARMERS, FISHERFOLK, PRIVATE SECTOR, AND OTHER STAKEHOLDERS</v>
      </c>
      <c r="AC343" s="51" t="str">
        <f>VLOOKUP(Table3[[#This Row],[ACTIVITY]],TAGS!$B:$P,15,FALSE)</f>
        <v>Other Intervetions</v>
      </c>
      <c r="AD343" s="51" t="str">
        <f>VLOOKUP(Table3[[#This Row],[PI LEVEL 3]],'PI LEVEL'!$A:$G,7,FALSE)</f>
        <v>DA-Level Output</v>
      </c>
      <c r="AE343" s="47" t="s">
        <v>577</v>
      </c>
      <c r="AF343" s="51" t="str">
        <f>VLOOKUP(Table3[[#This Row],[ACTIVITY]],TAGS!$B:$P,3,FALSE)</f>
        <v>number</v>
      </c>
      <c r="AG343" s="47" t="s">
        <v>338</v>
      </c>
      <c r="AH343" s="51" t="str">
        <f>VLOOKUP(Table3[[#This Row],[MONTH]],TAGS!$W$67:$Y$81,2,FALSE)</f>
        <v>4TH QTR</v>
      </c>
      <c r="AI343" s="51" t="str">
        <f>VLOOKUP(Table3[[#This Row],[MONTH]],TAGS!$W$67:$Y$81,3,FALSE)</f>
        <v>2ND SEMESTER</v>
      </c>
      <c r="AJ343" s="51">
        <f>VLOOKUP(Table3[[#This Row],[MONTH]],TAGS!$W$67:$Z$81,4,FALSE)</f>
        <v>2025</v>
      </c>
      <c r="AK343" s="47">
        <v>3</v>
      </c>
      <c r="AL343" s="51" t="str">
        <f>VLOOKUP(Table3[[#This Row],[ACTIVITY]],TAGS!$B:$R,16,FALSE)</f>
        <v>NO</v>
      </c>
      <c r="AM343" s="47"/>
      <c r="AN343" s="47">
        <v>126</v>
      </c>
      <c r="AO343" s="57">
        <f>SUM(Table3[[#This Row],[MALE BENEFICIARIES]:[FEMALE BENEFICIARIES]])</f>
        <v>0</v>
      </c>
      <c r="AP343" s="58"/>
      <c r="AQ343" s="58"/>
      <c r="AR343" s="58"/>
      <c r="AS343" s="58"/>
      <c r="AT343" s="59" t="str">
        <f>VLOOKUP(Table3[[#This Row],[ACTIVITY]],TAGS!$B:$R,17,FALSE)</f>
        <v>NO</v>
      </c>
      <c r="AU343" s="59"/>
      <c r="AV343" s="59"/>
      <c r="AW343" s="59"/>
      <c r="AX343" s="59"/>
      <c r="AY343" s="59"/>
      <c r="AZ343" s="59"/>
      <c r="BA343" s="59"/>
      <c r="BB343" s="59"/>
      <c r="BC343" s="59"/>
      <c r="BD343" s="59"/>
      <c r="BE343" s="59"/>
      <c r="BF343" s="59"/>
      <c r="BG343" s="59"/>
      <c r="BH343" s="59"/>
      <c r="BI343" s="59"/>
      <c r="BJ343" s="59"/>
      <c r="BK343" s="59"/>
      <c r="BL343" s="59"/>
      <c r="BM343" s="59"/>
    </row>
    <row r="344" spans="1:65">
      <c r="A344" s="51" t="str">
        <f>VLOOKUP(Table3[[#This Row],[OU]],OU!$A$15:$B$34,2,FALSE)</f>
        <v>RFOs</v>
      </c>
      <c r="B344" s="47" t="s">
        <v>5</v>
      </c>
      <c r="C344" s="47" t="s">
        <v>574</v>
      </c>
      <c r="D344" s="47"/>
      <c r="E344" s="47" t="s">
        <v>22</v>
      </c>
      <c r="F344" s="47" t="s">
        <v>652</v>
      </c>
      <c r="G34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34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21520000</v>
      </c>
      <c r="I344" s="52" t="str">
        <f>VLOOKUP(Table3[[#This Row],[PSGC]],DISTRICT!$D:$G,4,FALSE)</f>
        <v>4th</v>
      </c>
      <c r="J344" s="47" t="s">
        <v>585</v>
      </c>
      <c r="K344" s="51" t="str">
        <f>VLOOKUP(Table3[[#This Row],[SPECIFIC COMMODITY]],TAGS!$W$48:$X$53,2,FALSE)</f>
        <v>Multi_commodity</v>
      </c>
      <c r="L344" s="51" t="str">
        <f>VLOOKUP(Table3[[#This Row],[PREXC SUB-PROGRAM]],Table5[],2,FALSE)</f>
        <v>TECHNICAL AND SUPPORT SERVICES PROGRAM</v>
      </c>
      <c r="M344" s="51" t="str">
        <f>VLOOKUP(Table3[[#This Row],[COMMODITY PREXC SUB-PROGRAM]],TAGS!$U$54:$V$76,2,FALSE)</f>
        <v>ESETS</v>
      </c>
      <c r="N344" s="47" t="s">
        <v>592</v>
      </c>
      <c r="O344" s="54" t="str">
        <f>VLOOKUP(Table3[[#This Row],[PI LEVEL 3]],'PI LEVEL'!A:C,3,FALSE)</f>
        <v>Individuals given incentives, recognition, and awards</v>
      </c>
      <c r="P344" s="54" t="str">
        <f>VLOOKUP(Table3[[#This Row],[PI LEVEL 3]],Table53729[[Performance Indicator Level 3]:[Performance Indicator Level 1]],2,FALSE)</f>
        <v>AEWs-extension workers given incentives</v>
      </c>
      <c r="Q344" s="54" t="str">
        <f>VLOOKUP(Table3[[#This Row],[ACTIVITY]],TAGS!B:P,2,FALSE)</f>
        <v>AEWs-extension workers given incentives</v>
      </c>
      <c r="R344" s="47" t="s">
        <v>113</v>
      </c>
      <c r="S344" s="51" t="str">
        <f>VLOOKUP(Table3[[#This Row],[ACTIVITY]],TAGS!$B:$P,4,FALSE)</f>
        <v>Extension Workers Incentives</v>
      </c>
      <c r="T344" s="51" t="str">
        <f>VLOOKUP(Table3[[#This Row],[ACTIVITY]],TAGS!$B:$P,5,FALSE)</f>
        <v>Incentives Given</v>
      </c>
      <c r="U344" s="51" t="str">
        <f>VLOOKUP(Table3[[#This Row],[ACTIVITY]],TAGS!$B:$P,6,FALSE)</f>
        <v>Agricultural Extension Worker</v>
      </c>
      <c r="V344" s="51" t="str">
        <f>VLOOKUP(Table3[[#This Row],[ACTIVITY]],TAGS!$B:$P,7,FALSE)</f>
        <v>NO</v>
      </c>
      <c r="W344" s="51" t="str">
        <f>VLOOKUP(Table3[[#This Row],[ACTIVITY]],TAGS!$B:$P,8,FALSE)</f>
        <v>PAP</v>
      </c>
      <c r="X344" s="51" t="str">
        <f>VLOOKUP(Table3[[#This Row],[ACTIVITY]],TAGS!$B:$P,10,FALSE)</f>
        <v>PIP</v>
      </c>
      <c r="Y344" s="51" t="str">
        <f>VLOOKUP(Table3[[#This Row],[ACTIVITY]],TAGS!$B:$P,11,FALSE)</f>
        <v>PICS</v>
      </c>
      <c r="Z344" s="51" t="str">
        <f>VLOOKUP(Table3[[#This Row],[ACTIVITY]],TAGS!$B:$P,12,FALSE)</f>
        <v>Consolidation</v>
      </c>
      <c r="AA344" s="51" t="str">
        <f>VLOOKUP(Table3[[#This Row],[ACTIVITY]],TAGS!$B:$P,13,FALSE)</f>
        <v>3. PAFES</v>
      </c>
      <c r="AB344" s="51" t="str">
        <f>VLOOKUP(Table3[[#This Row],[ACTIVITY]],TAGS!$B:$P,14,FALSE)</f>
        <v>STRONG PARTNERSHIP WITH THE FARMERS, FISHERFOLK, PRIVATE SECTOR, AND OTHER STAKEHOLDERS</v>
      </c>
      <c r="AC344" s="51" t="str">
        <f>VLOOKUP(Table3[[#This Row],[ACTIVITY]],TAGS!$B:$P,15,FALSE)</f>
        <v>Other Intervetions</v>
      </c>
      <c r="AD344" s="51" t="str">
        <f>VLOOKUP(Table3[[#This Row],[PI LEVEL 3]],'PI LEVEL'!$A:$G,7,FALSE)</f>
        <v>DA-Level Output</v>
      </c>
      <c r="AE344" s="47" t="s">
        <v>577</v>
      </c>
      <c r="AF344" s="51" t="str">
        <f>VLOOKUP(Table3[[#This Row],[ACTIVITY]],TAGS!$B:$P,3,FALSE)</f>
        <v>number</v>
      </c>
      <c r="AG344" s="47" t="s">
        <v>338</v>
      </c>
      <c r="AH344" s="51" t="str">
        <f>VLOOKUP(Table3[[#This Row],[MONTH]],TAGS!$W$67:$Y$81,2,FALSE)</f>
        <v>4TH QTR</v>
      </c>
      <c r="AI344" s="51" t="str">
        <f>VLOOKUP(Table3[[#This Row],[MONTH]],TAGS!$W$67:$Y$81,3,FALSE)</f>
        <v>2ND SEMESTER</v>
      </c>
      <c r="AJ344" s="51">
        <f>VLOOKUP(Table3[[#This Row],[MONTH]],TAGS!$W$67:$Z$81,4,FALSE)</f>
        <v>2025</v>
      </c>
      <c r="AK344" s="47">
        <v>1</v>
      </c>
      <c r="AL344" s="51" t="str">
        <f>VLOOKUP(Table3[[#This Row],[ACTIVITY]],TAGS!$B:$R,16,FALSE)</f>
        <v>NO</v>
      </c>
      <c r="AM344" s="47"/>
      <c r="AN344" s="47">
        <v>42</v>
      </c>
      <c r="AO344" s="57">
        <f>SUM(Table3[[#This Row],[MALE BENEFICIARIES]:[FEMALE BENEFICIARIES]])</f>
        <v>0</v>
      </c>
      <c r="AP344" s="58"/>
      <c r="AQ344" s="58"/>
      <c r="AR344" s="58"/>
      <c r="AS344" s="58"/>
      <c r="AT344" s="59" t="str">
        <f>VLOOKUP(Table3[[#This Row],[ACTIVITY]],TAGS!$B:$R,17,FALSE)</f>
        <v>NO</v>
      </c>
      <c r="AU344" s="59"/>
      <c r="AV344" s="59"/>
      <c r="AW344" s="59"/>
      <c r="AX344" s="59"/>
      <c r="AY344" s="59"/>
      <c r="AZ344" s="59"/>
      <c r="BA344" s="59"/>
      <c r="BB344" s="59"/>
      <c r="BC344" s="59"/>
      <c r="BD344" s="59"/>
      <c r="BE344" s="59"/>
      <c r="BF344" s="59"/>
      <c r="BG344" s="59"/>
      <c r="BH344" s="59"/>
      <c r="BI344" s="59"/>
      <c r="BJ344" s="59"/>
      <c r="BK344" s="59"/>
      <c r="BL344" s="59"/>
      <c r="BM344" s="59"/>
    </row>
    <row r="345" spans="1:65">
      <c r="A345" s="51" t="str">
        <f>VLOOKUP(Table3[[#This Row],[OU]],OU!$A$15:$B$34,2,FALSE)</f>
        <v>RFOs</v>
      </c>
      <c r="B345" s="47" t="s">
        <v>5</v>
      </c>
      <c r="C345" s="47" t="s">
        <v>574</v>
      </c>
      <c r="D345" s="47"/>
      <c r="E345" s="47" t="s">
        <v>22</v>
      </c>
      <c r="F345" s="47" t="s">
        <v>653</v>
      </c>
      <c r="G34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34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21521000</v>
      </c>
      <c r="I345" s="52" t="str">
        <f>VLOOKUP(Table3[[#This Row],[PSGC]],DISTRICT!$D:$G,4,FALSE)</f>
        <v>5th</v>
      </c>
      <c r="J345" s="47" t="s">
        <v>585</v>
      </c>
      <c r="K345" s="51" t="str">
        <f>VLOOKUP(Table3[[#This Row],[SPECIFIC COMMODITY]],TAGS!$W$48:$X$53,2,FALSE)</f>
        <v>Multi_commodity</v>
      </c>
      <c r="L345" s="51" t="str">
        <f>VLOOKUP(Table3[[#This Row],[PREXC SUB-PROGRAM]],Table5[],2,FALSE)</f>
        <v>TECHNICAL AND SUPPORT SERVICES PROGRAM</v>
      </c>
      <c r="M345" s="51" t="str">
        <f>VLOOKUP(Table3[[#This Row],[COMMODITY PREXC SUB-PROGRAM]],TAGS!$U$54:$V$76,2,FALSE)</f>
        <v>ESETS</v>
      </c>
      <c r="N345" s="47" t="s">
        <v>592</v>
      </c>
      <c r="O345" s="54" t="str">
        <f>VLOOKUP(Table3[[#This Row],[PI LEVEL 3]],'PI LEVEL'!A:C,3,FALSE)</f>
        <v>Individuals given incentives, recognition, and awards</v>
      </c>
      <c r="P345" s="54" t="str">
        <f>VLOOKUP(Table3[[#This Row],[PI LEVEL 3]],Table53729[[Performance Indicator Level 3]:[Performance Indicator Level 1]],2,FALSE)</f>
        <v>AEWs-extension workers given incentives</v>
      </c>
      <c r="Q345" s="54" t="str">
        <f>VLOOKUP(Table3[[#This Row],[ACTIVITY]],TAGS!B:P,2,FALSE)</f>
        <v>AEWs-extension workers given incentives</v>
      </c>
      <c r="R345" s="47" t="s">
        <v>113</v>
      </c>
      <c r="S345" s="51" t="str">
        <f>VLOOKUP(Table3[[#This Row],[ACTIVITY]],TAGS!$B:$P,4,FALSE)</f>
        <v>Extension Workers Incentives</v>
      </c>
      <c r="T345" s="51" t="str">
        <f>VLOOKUP(Table3[[#This Row],[ACTIVITY]],TAGS!$B:$P,5,FALSE)</f>
        <v>Incentives Given</v>
      </c>
      <c r="U345" s="51" t="str">
        <f>VLOOKUP(Table3[[#This Row],[ACTIVITY]],TAGS!$B:$P,6,FALSE)</f>
        <v>Agricultural Extension Worker</v>
      </c>
      <c r="V345" s="51" t="str">
        <f>VLOOKUP(Table3[[#This Row],[ACTIVITY]],TAGS!$B:$P,7,FALSE)</f>
        <v>NO</v>
      </c>
      <c r="W345" s="51" t="str">
        <f>VLOOKUP(Table3[[#This Row],[ACTIVITY]],TAGS!$B:$P,8,FALSE)</f>
        <v>PAP</v>
      </c>
      <c r="X345" s="51" t="str">
        <f>VLOOKUP(Table3[[#This Row],[ACTIVITY]],TAGS!$B:$P,10,FALSE)</f>
        <v>PIP</v>
      </c>
      <c r="Y345" s="51" t="str">
        <f>VLOOKUP(Table3[[#This Row],[ACTIVITY]],TAGS!$B:$P,11,FALSE)</f>
        <v>PICS</v>
      </c>
      <c r="Z345" s="51" t="str">
        <f>VLOOKUP(Table3[[#This Row],[ACTIVITY]],TAGS!$B:$P,12,FALSE)</f>
        <v>Consolidation</v>
      </c>
      <c r="AA345" s="51" t="str">
        <f>VLOOKUP(Table3[[#This Row],[ACTIVITY]],TAGS!$B:$P,13,FALSE)</f>
        <v>3. PAFES</v>
      </c>
      <c r="AB345" s="51" t="str">
        <f>VLOOKUP(Table3[[#This Row],[ACTIVITY]],TAGS!$B:$P,14,FALSE)</f>
        <v>STRONG PARTNERSHIP WITH THE FARMERS, FISHERFOLK, PRIVATE SECTOR, AND OTHER STAKEHOLDERS</v>
      </c>
      <c r="AC345" s="51" t="str">
        <f>VLOOKUP(Table3[[#This Row],[ACTIVITY]],TAGS!$B:$P,15,FALSE)</f>
        <v>Other Intervetions</v>
      </c>
      <c r="AD345" s="51" t="str">
        <f>VLOOKUP(Table3[[#This Row],[PI LEVEL 3]],'PI LEVEL'!$A:$G,7,FALSE)</f>
        <v>DA-Level Output</v>
      </c>
      <c r="AE345" s="47" t="s">
        <v>577</v>
      </c>
      <c r="AF345" s="51" t="str">
        <f>VLOOKUP(Table3[[#This Row],[ACTIVITY]],TAGS!$B:$P,3,FALSE)</f>
        <v>number</v>
      </c>
      <c r="AG345" s="47" t="s">
        <v>338</v>
      </c>
      <c r="AH345" s="51" t="str">
        <f>VLOOKUP(Table3[[#This Row],[MONTH]],TAGS!$W$67:$Y$81,2,FALSE)</f>
        <v>4TH QTR</v>
      </c>
      <c r="AI345" s="51" t="str">
        <f>VLOOKUP(Table3[[#This Row],[MONTH]],TAGS!$W$67:$Y$81,3,FALSE)</f>
        <v>2ND SEMESTER</v>
      </c>
      <c r="AJ345" s="51">
        <f>VLOOKUP(Table3[[#This Row],[MONTH]],TAGS!$W$67:$Z$81,4,FALSE)</f>
        <v>2025</v>
      </c>
      <c r="AK345" s="47">
        <v>2</v>
      </c>
      <c r="AL345" s="51" t="str">
        <f>VLOOKUP(Table3[[#This Row],[ACTIVITY]],TAGS!$B:$R,16,FALSE)</f>
        <v>NO</v>
      </c>
      <c r="AM345" s="47"/>
      <c r="AN345" s="47">
        <v>84</v>
      </c>
      <c r="AO345" s="57">
        <f>SUM(Table3[[#This Row],[MALE BENEFICIARIES]:[FEMALE BENEFICIARIES]])</f>
        <v>0</v>
      </c>
      <c r="AP345" s="58"/>
      <c r="AQ345" s="58"/>
      <c r="AR345" s="58"/>
      <c r="AS345" s="58"/>
      <c r="AT345" s="59" t="str">
        <f>VLOOKUP(Table3[[#This Row],[ACTIVITY]],TAGS!$B:$R,17,FALSE)</f>
        <v>NO</v>
      </c>
      <c r="AU345" s="59"/>
      <c r="AV345" s="59"/>
      <c r="AW345" s="59"/>
      <c r="AX345" s="59"/>
      <c r="AY345" s="59"/>
      <c r="AZ345" s="59"/>
      <c r="BA345" s="59"/>
      <c r="BB345" s="59"/>
      <c r="BC345" s="59"/>
      <c r="BD345" s="59"/>
      <c r="BE345" s="59"/>
      <c r="BF345" s="59"/>
      <c r="BG345" s="59"/>
      <c r="BH345" s="59"/>
      <c r="BI345" s="59"/>
      <c r="BJ345" s="59"/>
      <c r="BK345" s="59"/>
      <c r="BL345" s="59"/>
      <c r="BM345" s="59"/>
    </row>
    <row r="346" spans="1:65">
      <c r="A346" s="51" t="str">
        <f>VLOOKUP(Table3[[#This Row],[OU]],OU!$A$15:$B$34,2,FALSE)</f>
        <v>RFOs</v>
      </c>
      <c r="B346" s="47" t="s">
        <v>5</v>
      </c>
      <c r="C346" s="47" t="s">
        <v>574</v>
      </c>
      <c r="D346" s="47"/>
      <c r="E346" s="47" t="s">
        <v>22</v>
      </c>
      <c r="F346" s="47" t="s">
        <v>649</v>
      </c>
      <c r="G34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34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21525000</v>
      </c>
      <c r="I346" s="52" t="str">
        <f>VLOOKUP(Table3[[#This Row],[PSGC]],DISTRICT!$D:$G,4,FALSE)</f>
        <v>4th</v>
      </c>
      <c r="J346" s="47" t="s">
        <v>585</v>
      </c>
      <c r="K346" s="51" t="str">
        <f>VLOOKUP(Table3[[#This Row],[SPECIFIC COMMODITY]],TAGS!$W$48:$X$53,2,FALSE)</f>
        <v>Multi_commodity</v>
      </c>
      <c r="L346" s="51" t="str">
        <f>VLOOKUP(Table3[[#This Row],[PREXC SUB-PROGRAM]],Table5[],2,FALSE)</f>
        <v>TECHNICAL AND SUPPORT SERVICES PROGRAM</v>
      </c>
      <c r="M346" s="51" t="str">
        <f>VLOOKUP(Table3[[#This Row],[COMMODITY PREXC SUB-PROGRAM]],TAGS!$U$54:$V$76,2,FALSE)</f>
        <v>ESETS</v>
      </c>
      <c r="N346" s="47" t="s">
        <v>592</v>
      </c>
      <c r="O346" s="54" t="str">
        <f>VLOOKUP(Table3[[#This Row],[PI LEVEL 3]],'PI LEVEL'!A:C,3,FALSE)</f>
        <v>Individuals given incentives, recognition, and awards</v>
      </c>
      <c r="P346" s="54" t="str">
        <f>VLOOKUP(Table3[[#This Row],[PI LEVEL 3]],Table53729[[Performance Indicator Level 3]:[Performance Indicator Level 1]],2,FALSE)</f>
        <v>AEWs-extension workers given incentives</v>
      </c>
      <c r="Q346" s="54" t="str">
        <f>VLOOKUP(Table3[[#This Row],[ACTIVITY]],TAGS!B:P,2,FALSE)</f>
        <v>AEWs-extension workers given incentives</v>
      </c>
      <c r="R346" s="47" t="s">
        <v>113</v>
      </c>
      <c r="S346" s="51" t="str">
        <f>VLOOKUP(Table3[[#This Row],[ACTIVITY]],TAGS!$B:$P,4,FALSE)</f>
        <v>Extension Workers Incentives</v>
      </c>
      <c r="T346" s="51" t="str">
        <f>VLOOKUP(Table3[[#This Row],[ACTIVITY]],TAGS!$B:$P,5,FALSE)</f>
        <v>Incentives Given</v>
      </c>
      <c r="U346" s="51" t="str">
        <f>VLOOKUP(Table3[[#This Row],[ACTIVITY]],TAGS!$B:$P,6,FALSE)</f>
        <v>Agricultural Extension Worker</v>
      </c>
      <c r="V346" s="51" t="str">
        <f>VLOOKUP(Table3[[#This Row],[ACTIVITY]],TAGS!$B:$P,7,FALSE)</f>
        <v>NO</v>
      </c>
      <c r="W346" s="51" t="str">
        <f>VLOOKUP(Table3[[#This Row],[ACTIVITY]],TAGS!$B:$P,8,FALSE)</f>
        <v>PAP</v>
      </c>
      <c r="X346" s="51" t="str">
        <f>VLOOKUP(Table3[[#This Row],[ACTIVITY]],TAGS!$B:$P,10,FALSE)</f>
        <v>PIP</v>
      </c>
      <c r="Y346" s="51" t="str">
        <f>VLOOKUP(Table3[[#This Row],[ACTIVITY]],TAGS!$B:$P,11,FALSE)</f>
        <v>PICS</v>
      </c>
      <c r="Z346" s="51" t="str">
        <f>VLOOKUP(Table3[[#This Row],[ACTIVITY]],TAGS!$B:$P,12,FALSE)</f>
        <v>Consolidation</v>
      </c>
      <c r="AA346" s="51" t="str">
        <f>VLOOKUP(Table3[[#This Row],[ACTIVITY]],TAGS!$B:$P,13,FALSE)</f>
        <v>3. PAFES</v>
      </c>
      <c r="AB346" s="51" t="str">
        <f>VLOOKUP(Table3[[#This Row],[ACTIVITY]],TAGS!$B:$P,14,FALSE)</f>
        <v>STRONG PARTNERSHIP WITH THE FARMERS, FISHERFOLK, PRIVATE SECTOR, AND OTHER STAKEHOLDERS</v>
      </c>
      <c r="AC346" s="51" t="str">
        <f>VLOOKUP(Table3[[#This Row],[ACTIVITY]],TAGS!$B:$P,15,FALSE)</f>
        <v>Other Intervetions</v>
      </c>
      <c r="AD346" s="51" t="str">
        <f>VLOOKUP(Table3[[#This Row],[PI LEVEL 3]],'PI LEVEL'!$A:$G,7,FALSE)</f>
        <v>DA-Level Output</v>
      </c>
      <c r="AE346" s="47" t="s">
        <v>577</v>
      </c>
      <c r="AF346" s="51" t="str">
        <f>VLOOKUP(Table3[[#This Row],[ACTIVITY]],TAGS!$B:$P,3,FALSE)</f>
        <v>number</v>
      </c>
      <c r="AG346" s="47" t="s">
        <v>338</v>
      </c>
      <c r="AH346" s="51" t="str">
        <f>VLOOKUP(Table3[[#This Row],[MONTH]],TAGS!$W$67:$Y$81,2,FALSE)</f>
        <v>4TH QTR</v>
      </c>
      <c r="AI346" s="51" t="str">
        <f>VLOOKUP(Table3[[#This Row],[MONTH]],TAGS!$W$67:$Y$81,3,FALSE)</f>
        <v>2ND SEMESTER</v>
      </c>
      <c r="AJ346" s="51">
        <f>VLOOKUP(Table3[[#This Row],[MONTH]],TAGS!$W$67:$Z$81,4,FALSE)</f>
        <v>2025</v>
      </c>
      <c r="AK346" s="47">
        <v>1</v>
      </c>
      <c r="AL346" s="51" t="str">
        <f>VLOOKUP(Table3[[#This Row],[ACTIVITY]],TAGS!$B:$R,16,FALSE)</f>
        <v>NO</v>
      </c>
      <c r="AM346" s="47"/>
      <c r="AN346" s="47">
        <v>42</v>
      </c>
      <c r="AO346" s="57">
        <f>SUM(Table3[[#This Row],[MALE BENEFICIARIES]:[FEMALE BENEFICIARIES]])</f>
        <v>0</v>
      </c>
      <c r="AP346" s="58"/>
      <c r="AQ346" s="58"/>
      <c r="AR346" s="58"/>
      <c r="AS346" s="58"/>
      <c r="AT346" s="59" t="str">
        <f>VLOOKUP(Table3[[#This Row],[ACTIVITY]],TAGS!$B:$R,17,FALSE)</f>
        <v>NO</v>
      </c>
      <c r="AU346" s="59"/>
      <c r="AV346" s="59"/>
      <c r="AW346" s="59"/>
      <c r="AX346" s="59"/>
      <c r="AY346" s="59"/>
      <c r="AZ346" s="59"/>
      <c r="BA346" s="59"/>
      <c r="BB346" s="59"/>
      <c r="BC346" s="59"/>
      <c r="BD346" s="59"/>
      <c r="BE346" s="59"/>
      <c r="BF346" s="59"/>
      <c r="BG346" s="59"/>
      <c r="BH346" s="59"/>
      <c r="BI346" s="59"/>
      <c r="BJ346" s="59"/>
      <c r="BK346" s="59"/>
      <c r="BL346" s="59"/>
      <c r="BM346" s="59"/>
    </row>
    <row r="347" spans="1:65">
      <c r="A347" s="51" t="str">
        <f>VLOOKUP(Table3[[#This Row],[OU]],OU!$A$15:$B$34,2,FALSE)</f>
        <v>RFOs</v>
      </c>
      <c r="B347" s="47" t="s">
        <v>5</v>
      </c>
      <c r="C347" s="47" t="s">
        <v>574</v>
      </c>
      <c r="D347" s="47"/>
      <c r="E347" s="47" t="s">
        <v>22</v>
      </c>
      <c r="F347" s="47" t="s">
        <v>654</v>
      </c>
      <c r="G34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34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21526000</v>
      </c>
      <c r="I347" s="52" t="str">
        <f>VLOOKUP(Table3[[#This Row],[PSGC]],DISTRICT!$D:$G,4,FALSE)</f>
        <v>2nd</v>
      </c>
      <c r="J347" s="47" t="s">
        <v>585</v>
      </c>
      <c r="K347" s="51" t="str">
        <f>VLOOKUP(Table3[[#This Row],[SPECIFIC COMMODITY]],TAGS!$W$48:$X$53,2,FALSE)</f>
        <v>Multi_commodity</v>
      </c>
      <c r="L347" s="51" t="str">
        <f>VLOOKUP(Table3[[#This Row],[PREXC SUB-PROGRAM]],Table5[],2,FALSE)</f>
        <v>TECHNICAL AND SUPPORT SERVICES PROGRAM</v>
      </c>
      <c r="M347" s="51" t="str">
        <f>VLOOKUP(Table3[[#This Row],[COMMODITY PREXC SUB-PROGRAM]],TAGS!$U$54:$V$76,2,FALSE)</f>
        <v>ESETS</v>
      </c>
      <c r="N347" s="47" t="s">
        <v>592</v>
      </c>
      <c r="O347" s="54" t="str">
        <f>VLOOKUP(Table3[[#This Row],[PI LEVEL 3]],'PI LEVEL'!A:C,3,FALSE)</f>
        <v>Individuals given incentives, recognition, and awards</v>
      </c>
      <c r="P347" s="54" t="str">
        <f>VLOOKUP(Table3[[#This Row],[PI LEVEL 3]],Table53729[[Performance Indicator Level 3]:[Performance Indicator Level 1]],2,FALSE)</f>
        <v>AEWs-extension workers given incentives</v>
      </c>
      <c r="Q347" s="54" t="str">
        <f>VLOOKUP(Table3[[#This Row],[ACTIVITY]],TAGS!B:P,2,FALSE)</f>
        <v>AEWs-extension workers given incentives</v>
      </c>
      <c r="R347" s="47" t="s">
        <v>113</v>
      </c>
      <c r="S347" s="51" t="str">
        <f>VLOOKUP(Table3[[#This Row],[ACTIVITY]],TAGS!$B:$P,4,FALSE)</f>
        <v>Extension Workers Incentives</v>
      </c>
      <c r="T347" s="51" t="str">
        <f>VLOOKUP(Table3[[#This Row],[ACTIVITY]],TAGS!$B:$P,5,FALSE)</f>
        <v>Incentives Given</v>
      </c>
      <c r="U347" s="51" t="str">
        <f>VLOOKUP(Table3[[#This Row],[ACTIVITY]],TAGS!$B:$P,6,FALSE)</f>
        <v>Agricultural Extension Worker</v>
      </c>
      <c r="V347" s="51" t="str">
        <f>VLOOKUP(Table3[[#This Row],[ACTIVITY]],TAGS!$B:$P,7,FALSE)</f>
        <v>NO</v>
      </c>
      <c r="W347" s="51" t="str">
        <f>VLOOKUP(Table3[[#This Row],[ACTIVITY]],TAGS!$B:$P,8,FALSE)</f>
        <v>PAP</v>
      </c>
      <c r="X347" s="51" t="str">
        <f>VLOOKUP(Table3[[#This Row],[ACTIVITY]],TAGS!$B:$P,10,FALSE)</f>
        <v>PIP</v>
      </c>
      <c r="Y347" s="51" t="str">
        <f>VLOOKUP(Table3[[#This Row],[ACTIVITY]],TAGS!$B:$P,11,FALSE)</f>
        <v>PICS</v>
      </c>
      <c r="Z347" s="51" t="str">
        <f>VLOOKUP(Table3[[#This Row],[ACTIVITY]],TAGS!$B:$P,12,FALSE)</f>
        <v>Consolidation</v>
      </c>
      <c r="AA347" s="51" t="str">
        <f>VLOOKUP(Table3[[#This Row],[ACTIVITY]],TAGS!$B:$P,13,FALSE)</f>
        <v>3. PAFES</v>
      </c>
      <c r="AB347" s="51" t="str">
        <f>VLOOKUP(Table3[[#This Row],[ACTIVITY]],TAGS!$B:$P,14,FALSE)</f>
        <v>STRONG PARTNERSHIP WITH THE FARMERS, FISHERFOLK, PRIVATE SECTOR, AND OTHER STAKEHOLDERS</v>
      </c>
      <c r="AC347" s="51" t="str">
        <f>VLOOKUP(Table3[[#This Row],[ACTIVITY]],TAGS!$B:$P,15,FALSE)</f>
        <v>Other Intervetions</v>
      </c>
      <c r="AD347" s="51" t="str">
        <f>VLOOKUP(Table3[[#This Row],[PI LEVEL 3]],'PI LEVEL'!$A:$G,7,FALSE)</f>
        <v>DA-Level Output</v>
      </c>
      <c r="AE347" s="47" t="s">
        <v>577</v>
      </c>
      <c r="AF347" s="51" t="str">
        <f>VLOOKUP(Table3[[#This Row],[ACTIVITY]],TAGS!$B:$P,3,FALSE)</f>
        <v>number</v>
      </c>
      <c r="AG347" s="47" t="s">
        <v>338</v>
      </c>
      <c r="AH347" s="51" t="str">
        <f>VLOOKUP(Table3[[#This Row],[MONTH]],TAGS!$W$67:$Y$81,2,FALSE)</f>
        <v>4TH QTR</v>
      </c>
      <c r="AI347" s="51" t="str">
        <f>VLOOKUP(Table3[[#This Row],[MONTH]],TAGS!$W$67:$Y$81,3,FALSE)</f>
        <v>2ND SEMESTER</v>
      </c>
      <c r="AJ347" s="51">
        <f>VLOOKUP(Table3[[#This Row],[MONTH]],TAGS!$W$67:$Z$81,4,FALSE)</f>
        <v>2025</v>
      </c>
      <c r="AK347" s="47">
        <v>4</v>
      </c>
      <c r="AL347" s="51" t="str">
        <f>VLOOKUP(Table3[[#This Row],[ACTIVITY]],TAGS!$B:$R,16,FALSE)</f>
        <v>NO</v>
      </c>
      <c r="AM347" s="47"/>
      <c r="AN347" s="47">
        <v>168</v>
      </c>
      <c r="AO347" s="57">
        <f>SUM(Table3[[#This Row],[MALE BENEFICIARIES]:[FEMALE BENEFICIARIES]])</f>
        <v>0</v>
      </c>
      <c r="AP347" s="58"/>
      <c r="AQ347" s="58"/>
      <c r="AR347" s="58"/>
      <c r="AS347" s="58"/>
      <c r="AT347" s="59" t="str">
        <f>VLOOKUP(Table3[[#This Row],[ACTIVITY]],TAGS!$B:$R,17,FALSE)</f>
        <v>NO</v>
      </c>
      <c r="AU347" s="59"/>
      <c r="AV347" s="59"/>
      <c r="AW347" s="59"/>
      <c r="AX347" s="59"/>
      <c r="AY347" s="59"/>
      <c r="AZ347" s="59"/>
      <c r="BA347" s="59"/>
      <c r="BB347" s="59"/>
      <c r="BC347" s="59"/>
      <c r="BD347" s="59"/>
      <c r="BE347" s="59"/>
      <c r="BF347" s="59"/>
      <c r="BG347" s="59"/>
      <c r="BH347" s="59"/>
      <c r="BI347" s="59"/>
      <c r="BJ347" s="59"/>
      <c r="BK347" s="59"/>
      <c r="BL347" s="59"/>
      <c r="BM347" s="59"/>
    </row>
    <row r="348" spans="1:65">
      <c r="A348" s="51" t="str">
        <f>VLOOKUP(Table3[[#This Row],[OU]],OU!$A$15:$B$34,2,FALSE)</f>
        <v>RFOs</v>
      </c>
      <c r="B348" s="47" t="s">
        <v>5</v>
      </c>
      <c r="C348" s="47" t="s">
        <v>574</v>
      </c>
      <c r="D348" s="47"/>
      <c r="E348" s="47" t="s">
        <v>22</v>
      </c>
      <c r="F348" s="47" t="s">
        <v>659</v>
      </c>
      <c r="G34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34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21527000</v>
      </c>
      <c r="I348" s="52" t="str">
        <f>VLOOKUP(Table3[[#This Row],[PSGC]],DISTRICT!$D:$G,4,FALSE)</f>
        <v>1st</v>
      </c>
      <c r="J348" s="47" t="s">
        <v>585</v>
      </c>
      <c r="K348" s="51" t="str">
        <f>VLOOKUP(Table3[[#This Row],[SPECIFIC COMMODITY]],TAGS!$W$48:$X$53,2,FALSE)</f>
        <v>Multi_commodity</v>
      </c>
      <c r="L348" s="51" t="str">
        <f>VLOOKUP(Table3[[#This Row],[PREXC SUB-PROGRAM]],Table5[],2,FALSE)</f>
        <v>TECHNICAL AND SUPPORT SERVICES PROGRAM</v>
      </c>
      <c r="M348" s="51" t="str">
        <f>VLOOKUP(Table3[[#This Row],[COMMODITY PREXC SUB-PROGRAM]],TAGS!$U$54:$V$76,2,FALSE)</f>
        <v>ESETS</v>
      </c>
      <c r="N348" s="47" t="s">
        <v>592</v>
      </c>
      <c r="O348" s="54" t="str">
        <f>VLOOKUP(Table3[[#This Row],[PI LEVEL 3]],'PI LEVEL'!A:C,3,FALSE)</f>
        <v>Individuals given incentives, recognition, and awards</v>
      </c>
      <c r="P348" s="54" t="str">
        <f>VLOOKUP(Table3[[#This Row],[PI LEVEL 3]],Table53729[[Performance Indicator Level 3]:[Performance Indicator Level 1]],2,FALSE)</f>
        <v>AEWs-extension workers given incentives</v>
      </c>
      <c r="Q348" s="54" t="str">
        <f>VLOOKUP(Table3[[#This Row],[ACTIVITY]],TAGS!B:P,2,FALSE)</f>
        <v>AEWs-extension workers given incentives</v>
      </c>
      <c r="R348" s="47" t="s">
        <v>113</v>
      </c>
      <c r="S348" s="51" t="str">
        <f>VLOOKUP(Table3[[#This Row],[ACTIVITY]],TAGS!$B:$P,4,FALSE)</f>
        <v>Extension Workers Incentives</v>
      </c>
      <c r="T348" s="51" t="str">
        <f>VLOOKUP(Table3[[#This Row],[ACTIVITY]],TAGS!$B:$P,5,FALSE)</f>
        <v>Incentives Given</v>
      </c>
      <c r="U348" s="51" t="str">
        <f>VLOOKUP(Table3[[#This Row],[ACTIVITY]],TAGS!$B:$P,6,FALSE)</f>
        <v>Agricultural Extension Worker</v>
      </c>
      <c r="V348" s="51" t="str">
        <f>VLOOKUP(Table3[[#This Row],[ACTIVITY]],TAGS!$B:$P,7,FALSE)</f>
        <v>NO</v>
      </c>
      <c r="W348" s="51" t="str">
        <f>VLOOKUP(Table3[[#This Row],[ACTIVITY]],TAGS!$B:$P,8,FALSE)</f>
        <v>PAP</v>
      </c>
      <c r="X348" s="51" t="str">
        <f>VLOOKUP(Table3[[#This Row],[ACTIVITY]],TAGS!$B:$P,10,FALSE)</f>
        <v>PIP</v>
      </c>
      <c r="Y348" s="51" t="str">
        <f>VLOOKUP(Table3[[#This Row],[ACTIVITY]],TAGS!$B:$P,11,FALSE)</f>
        <v>PICS</v>
      </c>
      <c r="Z348" s="51" t="str">
        <f>VLOOKUP(Table3[[#This Row],[ACTIVITY]],TAGS!$B:$P,12,FALSE)</f>
        <v>Consolidation</v>
      </c>
      <c r="AA348" s="51" t="str">
        <f>VLOOKUP(Table3[[#This Row],[ACTIVITY]],TAGS!$B:$P,13,FALSE)</f>
        <v>3. PAFES</v>
      </c>
      <c r="AB348" s="51" t="str">
        <f>VLOOKUP(Table3[[#This Row],[ACTIVITY]],TAGS!$B:$P,14,FALSE)</f>
        <v>STRONG PARTNERSHIP WITH THE FARMERS, FISHERFOLK, PRIVATE SECTOR, AND OTHER STAKEHOLDERS</v>
      </c>
      <c r="AC348" s="51" t="str">
        <f>VLOOKUP(Table3[[#This Row],[ACTIVITY]],TAGS!$B:$P,15,FALSE)</f>
        <v>Other Intervetions</v>
      </c>
      <c r="AD348" s="51" t="str">
        <f>VLOOKUP(Table3[[#This Row],[PI LEVEL 3]],'PI LEVEL'!$A:$G,7,FALSE)</f>
        <v>DA-Level Output</v>
      </c>
      <c r="AE348" s="47" t="s">
        <v>577</v>
      </c>
      <c r="AF348" s="51" t="str">
        <f>VLOOKUP(Table3[[#This Row],[ACTIVITY]],TAGS!$B:$P,3,FALSE)</f>
        <v>number</v>
      </c>
      <c r="AG348" s="47" t="s">
        <v>338</v>
      </c>
      <c r="AH348" s="51" t="str">
        <f>VLOOKUP(Table3[[#This Row],[MONTH]],TAGS!$W$67:$Y$81,2,FALSE)</f>
        <v>4TH QTR</v>
      </c>
      <c r="AI348" s="51" t="str">
        <f>VLOOKUP(Table3[[#This Row],[MONTH]],TAGS!$W$67:$Y$81,3,FALSE)</f>
        <v>2ND SEMESTER</v>
      </c>
      <c r="AJ348" s="51">
        <f>VLOOKUP(Table3[[#This Row],[MONTH]],TAGS!$W$67:$Z$81,4,FALSE)</f>
        <v>2025</v>
      </c>
      <c r="AK348" s="47">
        <v>5</v>
      </c>
      <c r="AL348" s="51" t="str">
        <f>VLOOKUP(Table3[[#This Row],[ACTIVITY]],TAGS!$B:$R,16,FALSE)</f>
        <v>NO</v>
      </c>
      <c r="AM348" s="47"/>
      <c r="AN348" s="47">
        <v>210</v>
      </c>
      <c r="AO348" s="57">
        <f>SUM(Table3[[#This Row],[MALE BENEFICIARIES]:[FEMALE BENEFICIARIES]])</f>
        <v>0</v>
      </c>
      <c r="AP348" s="58"/>
      <c r="AQ348" s="58"/>
      <c r="AR348" s="58"/>
      <c r="AS348" s="58"/>
      <c r="AT348" s="59" t="str">
        <f>VLOOKUP(Table3[[#This Row],[ACTIVITY]],TAGS!$B:$R,17,FALSE)</f>
        <v>NO</v>
      </c>
      <c r="AU348" s="59"/>
      <c r="AV348" s="59"/>
      <c r="AW348" s="59"/>
      <c r="AX348" s="59"/>
      <c r="AY348" s="59"/>
      <c r="AZ348" s="59"/>
      <c r="BA348" s="59"/>
      <c r="BB348" s="59"/>
      <c r="BC348" s="59"/>
      <c r="BD348" s="59"/>
      <c r="BE348" s="59"/>
      <c r="BF348" s="59"/>
      <c r="BG348" s="59"/>
      <c r="BH348" s="59"/>
      <c r="BI348" s="59"/>
      <c r="BJ348" s="59"/>
      <c r="BK348" s="59"/>
      <c r="BL348" s="59"/>
      <c r="BM348" s="59"/>
    </row>
    <row r="349" spans="1:65">
      <c r="A349" s="51" t="str">
        <f>VLOOKUP(Table3[[#This Row],[OU]],OU!$A$15:$B$34,2,FALSE)</f>
        <v>RFOs</v>
      </c>
      <c r="B349" s="47" t="s">
        <v>5</v>
      </c>
      <c r="C349" s="47" t="s">
        <v>574</v>
      </c>
      <c r="D349" s="47"/>
      <c r="E349" s="47" t="s">
        <v>22</v>
      </c>
      <c r="F349" s="47" t="s">
        <v>660</v>
      </c>
      <c r="G34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34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21528000</v>
      </c>
      <c r="I349" s="52" t="str">
        <f>VLOOKUP(Table3[[#This Row],[PSGC]],DISTRICT!$D:$G,4,FALSE)</f>
        <v>1st</v>
      </c>
      <c r="J349" s="47" t="s">
        <v>585</v>
      </c>
      <c r="K349" s="51" t="str">
        <f>VLOOKUP(Table3[[#This Row],[SPECIFIC COMMODITY]],TAGS!$W$48:$X$53,2,FALSE)</f>
        <v>Multi_commodity</v>
      </c>
      <c r="L349" s="51" t="str">
        <f>VLOOKUP(Table3[[#This Row],[PREXC SUB-PROGRAM]],Table5[],2,FALSE)</f>
        <v>TECHNICAL AND SUPPORT SERVICES PROGRAM</v>
      </c>
      <c r="M349" s="51" t="str">
        <f>VLOOKUP(Table3[[#This Row],[COMMODITY PREXC SUB-PROGRAM]],TAGS!$U$54:$V$76,2,FALSE)</f>
        <v>ESETS</v>
      </c>
      <c r="N349" s="47" t="s">
        <v>592</v>
      </c>
      <c r="O349" s="54" t="str">
        <f>VLOOKUP(Table3[[#This Row],[PI LEVEL 3]],'PI LEVEL'!A:C,3,FALSE)</f>
        <v>Individuals given incentives, recognition, and awards</v>
      </c>
      <c r="P349" s="54" t="str">
        <f>VLOOKUP(Table3[[#This Row],[PI LEVEL 3]],Table53729[[Performance Indicator Level 3]:[Performance Indicator Level 1]],2,FALSE)</f>
        <v>AEWs-extension workers given incentives</v>
      </c>
      <c r="Q349" s="54" t="str">
        <f>VLOOKUP(Table3[[#This Row],[ACTIVITY]],TAGS!B:P,2,FALSE)</f>
        <v>AEWs-extension workers given incentives</v>
      </c>
      <c r="R349" s="47" t="s">
        <v>113</v>
      </c>
      <c r="S349" s="51" t="str">
        <f>VLOOKUP(Table3[[#This Row],[ACTIVITY]],TAGS!$B:$P,4,FALSE)</f>
        <v>Extension Workers Incentives</v>
      </c>
      <c r="T349" s="51" t="str">
        <f>VLOOKUP(Table3[[#This Row],[ACTIVITY]],TAGS!$B:$P,5,FALSE)</f>
        <v>Incentives Given</v>
      </c>
      <c r="U349" s="51" t="str">
        <f>VLOOKUP(Table3[[#This Row],[ACTIVITY]],TAGS!$B:$P,6,FALSE)</f>
        <v>Agricultural Extension Worker</v>
      </c>
      <c r="V349" s="51" t="str">
        <f>VLOOKUP(Table3[[#This Row],[ACTIVITY]],TAGS!$B:$P,7,FALSE)</f>
        <v>NO</v>
      </c>
      <c r="W349" s="51" t="str">
        <f>VLOOKUP(Table3[[#This Row],[ACTIVITY]],TAGS!$B:$P,8,FALSE)</f>
        <v>PAP</v>
      </c>
      <c r="X349" s="51" t="str">
        <f>VLOOKUP(Table3[[#This Row],[ACTIVITY]],TAGS!$B:$P,10,FALSE)</f>
        <v>PIP</v>
      </c>
      <c r="Y349" s="51" t="str">
        <f>VLOOKUP(Table3[[#This Row],[ACTIVITY]],TAGS!$B:$P,11,FALSE)</f>
        <v>PICS</v>
      </c>
      <c r="Z349" s="51" t="str">
        <f>VLOOKUP(Table3[[#This Row],[ACTIVITY]],TAGS!$B:$P,12,FALSE)</f>
        <v>Consolidation</v>
      </c>
      <c r="AA349" s="51" t="str">
        <f>VLOOKUP(Table3[[#This Row],[ACTIVITY]],TAGS!$B:$P,13,FALSE)</f>
        <v>3. PAFES</v>
      </c>
      <c r="AB349" s="51" t="str">
        <f>VLOOKUP(Table3[[#This Row],[ACTIVITY]],TAGS!$B:$P,14,FALSE)</f>
        <v>STRONG PARTNERSHIP WITH THE FARMERS, FISHERFOLK, PRIVATE SECTOR, AND OTHER STAKEHOLDERS</v>
      </c>
      <c r="AC349" s="51" t="str">
        <f>VLOOKUP(Table3[[#This Row],[ACTIVITY]],TAGS!$B:$P,15,FALSE)</f>
        <v>Other Intervetions</v>
      </c>
      <c r="AD349" s="51" t="str">
        <f>VLOOKUP(Table3[[#This Row],[PI LEVEL 3]],'PI LEVEL'!$A:$G,7,FALSE)</f>
        <v>DA-Level Output</v>
      </c>
      <c r="AE349" s="47" t="s">
        <v>577</v>
      </c>
      <c r="AF349" s="51" t="str">
        <f>VLOOKUP(Table3[[#This Row],[ACTIVITY]],TAGS!$B:$P,3,FALSE)</f>
        <v>number</v>
      </c>
      <c r="AG349" s="47" t="s">
        <v>338</v>
      </c>
      <c r="AH349" s="51" t="str">
        <f>VLOOKUP(Table3[[#This Row],[MONTH]],TAGS!$W$67:$Y$81,2,FALSE)</f>
        <v>4TH QTR</v>
      </c>
      <c r="AI349" s="51" t="str">
        <f>VLOOKUP(Table3[[#This Row],[MONTH]],TAGS!$W$67:$Y$81,3,FALSE)</f>
        <v>2ND SEMESTER</v>
      </c>
      <c r="AJ349" s="51">
        <f>VLOOKUP(Table3[[#This Row],[MONTH]],TAGS!$W$67:$Z$81,4,FALSE)</f>
        <v>2025</v>
      </c>
      <c r="AK349" s="47">
        <v>2</v>
      </c>
      <c r="AL349" s="51" t="str">
        <f>VLOOKUP(Table3[[#This Row],[ACTIVITY]],TAGS!$B:$R,16,FALSE)</f>
        <v>NO</v>
      </c>
      <c r="AM349" s="47"/>
      <c r="AN349" s="47">
        <v>84</v>
      </c>
      <c r="AO349" s="57">
        <f>SUM(Table3[[#This Row],[MALE BENEFICIARIES]:[FEMALE BENEFICIARIES]])</f>
        <v>0</v>
      </c>
      <c r="AP349" s="58"/>
      <c r="AQ349" s="58"/>
      <c r="AR349" s="58"/>
      <c r="AS349" s="58"/>
      <c r="AT349" s="59" t="str">
        <f>VLOOKUP(Table3[[#This Row],[ACTIVITY]],TAGS!$B:$R,17,FALSE)</f>
        <v>NO</v>
      </c>
      <c r="AU349" s="59"/>
      <c r="AV349" s="59"/>
      <c r="AW349" s="59"/>
      <c r="AX349" s="59"/>
      <c r="AY349" s="59"/>
      <c r="AZ349" s="59"/>
      <c r="BA349" s="59"/>
      <c r="BB349" s="59"/>
      <c r="BC349" s="59"/>
      <c r="BD349" s="59"/>
      <c r="BE349" s="59"/>
      <c r="BF349" s="59"/>
      <c r="BG349" s="59"/>
      <c r="BH349" s="59"/>
      <c r="BI349" s="59"/>
      <c r="BJ349" s="59"/>
      <c r="BK349" s="59"/>
      <c r="BL349" s="59"/>
      <c r="BM349" s="59"/>
    </row>
    <row r="350" spans="1:65">
      <c r="A350" s="51" t="str">
        <f>VLOOKUP(Table3[[#This Row],[OU]],OU!$A$15:$B$34,2,FALSE)</f>
        <v>RFOs</v>
      </c>
      <c r="B350" s="47" t="s">
        <v>5</v>
      </c>
      <c r="C350" s="47" t="s">
        <v>574</v>
      </c>
      <c r="D350" s="47"/>
      <c r="E350" s="47" t="s">
        <v>22</v>
      </c>
      <c r="F350" s="47" t="s">
        <v>629</v>
      </c>
      <c r="G35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35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21529000</v>
      </c>
      <c r="I350" s="52" t="str">
        <f>VLOOKUP(Table3[[#This Row],[PSGC]],DISTRICT!$D:$G,4,FALSE)</f>
        <v>3rd</v>
      </c>
      <c r="J350" s="47" t="s">
        <v>585</v>
      </c>
      <c r="K350" s="51" t="str">
        <f>VLOOKUP(Table3[[#This Row],[SPECIFIC COMMODITY]],TAGS!$W$48:$X$53,2,FALSE)</f>
        <v>Multi_commodity</v>
      </c>
      <c r="L350" s="51" t="str">
        <f>VLOOKUP(Table3[[#This Row],[PREXC SUB-PROGRAM]],Table5[],2,FALSE)</f>
        <v>TECHNICAL AND SUPPORT SERVICES PROGRAM</v>
      </c>
      <c r="M350" s="51" t="str">
        <f>VLOOKUP(Table3[[#This Row],[COMMODITY PREXC SUB-PROGRAM]],TAGS!$U$54:$V$76,2,FALSE)</f>
        <v>ESETS</v>
      </c>
      <c r="N350" s="47" t="s">
        <v>592</v>
      </c>
      <c r="O350" s="54" t="str">
        <f>VLOOKUP(Table3[[#This Row],[PI LEVEL 3]],'PI LEVEL'!A:C,3,FALSE)</f>
        <v>Individuals given incentives, recognition, and awards</v>
      </c>
      <c r="P350" s="54" t="str">
        <f>VLOOKUP(Table3[[#This Row],[PI LEVEL 3]],Table53729[[Performance Indicator Level 3]:[Performance Indicator Level 1]],2,FALSE)</f>
        <v>AEWs-extension workers given incentives</v>
      </c>
      <c r="Q350" s="54" t="str">
        <f>VLOOKUP(Table3[[#This Row],[ACTIVITY]],TAGS!B:P,2,FALSE)</f>
        <v>AEWs-extension workers given incentives</v>
      </c>
      <c r="R350" s="47" t="s">
        <v>113</v>
      </c>
      <c r="S350" s="51" t="str">
        <f>VLOOKUP(Table3[[#This Row],[ACTIVITY]],TAGS!$B:$P,4,FALSE)</f>
        <v>Extension Workers Incentives</v>
      </c>
      <c r="T350" s="51" t="str">
        <f>VLOOKUP(Table3[[#This Row],[ACTIVITY]],TAGS!$B:$P,5,FALSE)</f>
        <v>Incentives Given</v>
      </c>
      <c r="U350" s="51" t="str">
        <f>VLOOKUP(Table3[[#This Row],[ACTIVITY]],TAGS!$B:$P,6,FALSE)</f>
        <v>Agricultural Extension Worker</v>
      </c>
      <c r="V350" s="51" t="str">
        <f>VLOOKUP(Table3[[#This Row],[ACTIVITY]],TAGS!$B:$P,7,FALSE)</f>
        <v>NO</v>
      </c>
      <c r="W350" s="51" t="str">
        <f>VLOOKUP(Table3[[#This Row],[ACTIVITY]],TAGS!$B:$P,8,FALSE)</f>
        <v>PAP</v>
      </c>
      <c r="X350" s="51" t="str">
        <f>VLOOKUP(Table3[[#This Row],[ACTIVITY]],TAGS!$B:$P,10,FALSE)</f>
        <v>PIP</v>
      </c>
      <c r="Y350" s="51" t="str">
        <f>VLOOKUP(Table3[[#This Row],[ACTIVITY]],TAGS!$B:$P,11,FALSE)</f>
        <v>PICS</v>
      </c>
      <c r="Z350" s="51" t="str">
        <f>VLOOKUP(Table3[[#This Row],[ACTIVITY]],TAGS!$B:$P,12,FALSE)</f>
        <v>Consolidation</v>
      </c>
      <c r="AA350" s="51" t="str">
        <f>VLOOKUP(Table3[[#This Row],[ACTIVITY]],TAGS!$B:$P,13,FALSE)</f>
        <v>3. PAFES</v>
      </c>
      <c r="AB350" s="51" t="str">
        <f>VLOOKUP(Table3[[#This Row],[ACTIVITY]],TAGS!$B:$P,14,FALSE)</f>
        <v>STRONG PARTNERSHIP WITH THE FARMERS, FISHERFOLK, PRIVATE SECTOR, AND OTHER STAKEHOLDERS</v>
      </c>
      <c r="AC350" s="51" t="str">
        <f>VLOOKUP(Table3[[#This Row],[ACTIVITY]],TAGS!$B:$P,15,FALSE)</f>
        <v>Other Intervetions</v>
      </c>
      <c r="AD350" s="51" t="str">
        <f>VLOOKUP(Table3[[#This Row],[PI LEVEL 3]],'PI LEVEL'!$A:$G,7,FALSE)</f>
        <v>DA-Level Output</v>
      </c>
      <c r="AE350" s="47" t="s">
        <v>577</v>
      </c>
      <c r="AF350" s="51" t="str">
        <f>VLOOKUP(Table3[[#This Row],[ACTIVITY]],TAGS!$B:$P,3,FALSE)</f>
        <v>number</v>
      </c>
      <c r="AG350" s="47" t="s">
        <v>338</v>
      </c>
      <c r="AH350" s="51" t="str">
        <f>VLOOKUP(Table3[[#This Row],[MONTH]],TAGS!$W$67:$Y$81,2,FALSE)</f>
        <v>4TH QTR</v>
      </c>
      <c r="AI350" s="51" t="str">
        <f>VLOOKUP(Table3[[#This Row],[MONTH]],TAGS!$W$67:$Y$81,3,FALSE)</f>
        <v>2ND SEMESTER</v>
      </c>
      <c r="AJ350" s="51">
        <f>VLOOKUP(Table3[[#This Row],[MONTH]],TAGS!$W$67:$Z$81,4,FALSE)</f>
        <v>2025</v>
      </c>
      <c r="AK350" s="47">
        <v>3</v>
      </c>
      <c r="AL350" s="51" t="str">
        <f>VLOOKUP(Table3[[#This Row],[ACTIVITY]],TAGS!$B:$R,16,FALSE)</f>
        <v>NO</v>
      </c>
      <c r="AM350" s="47"/>
      <c r="AN350" s="47">
        <v>126</v>
      </c>
      <c r="AO350" s="57">
        <f>SUM(Table3[[#This Row],[MALE BENEFICIARIES]:[FEMALE BENEFICIARIES]])</f>
        <v>0</v>
      </c>
      <c r="AP350" s="58"/>
      <c r="AQ350" s="58"/>
      <c r="AR350" s="58"/>
      <c r="AS350" s="58"/>
      <c r="AT350" s="59" t="str">
        <f>VLOOKUP(Table3[[#This Row],[ACTIVITY]],TAGS!$B:$R,17,FALSE)</f>
        <v>NO</v>
      </c>
      <c r="AU350" s="59"/>
      <c r="AV350" s="59"/>
      <c r="AW350" s="59"/>
      <c r="AX350" s="59"/>
      <c r="AY350" s="59"/>
      <c r="AZ350" s="59"/>
      <c r="BA350" s="59"/>
      <c r="BB350" s="59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</row>
    <row r="351" spans="1:65">
      <c r="A351" s="51" t="str">
        <f>VLOOKUP(Table3[[#This Row],[OU]],OU!$A$15:$B$34,2,FALSE)</f>
        <v>RFOs</v>
      </c>
      <c r="B351" s="47" t="s">
        <v>5</v>
      </c>
      <c r="C351" s="47" t="s">
        <v>574</v>
      </c>
      <c r="D351" s="47"/>
      <c r="E351" s="47" t="s">
        <v>43</v>
      </c>
      <c r="F351" s="47" t="s">
        <v>669</v>
      </c>
      <c r="G35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3rd District</v>
      </c>
      <c r="H35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23102000</v>
      </c>
      <c r="I351" s="52" t="str">
        <f>VLOOKUP(Table3[[#This Row],[PSGC]],DISTRICT!$D:$G,4,FALSE)</f>
        <v>3rd</v>
      </c>
      <c r="J351" s="47" t="s">
        <v>585</v>
      </c>
      <c r="K351" s="51" t="str">
        <f>VLOOKUP(Table3[[#This Row],[SPECIFIC COMMODITY]],TAGS!$W$48:$X$53,2,FALSE)</f>
        <v>Multi_commodity</v>
      </c>
      <c r="L351" s="51" t="str">
        <f>VLOOKUP(Table3[[#This Row],[PREXC SUB-PROGRAM]],Table5[],2,FALSE)</f>
        <v>TECHNICAL AND SUPPORT SERVICES PROGRAM</v>
      </c>
      <c r="M351" s="51" t="str">
        <f>VLOOKUP(Table3[[#This Row],[COMMODITY PREXC SUB-PROGRAM]],TAGS!$U$54:$V$76,2,FALSE)</f>
        <v>ESETS</v>
      </c>
      <c r="N351" s="47" t="s">
        <v>592</v>
      </c>
      <c r="O351" s="54" t="str">
        <f>VLOOKUP(Table3[[#This Row],[PI LEVEL 3]],'PI LEVEL'!A:C,3,FALSE)</f>
        <v>Individuals given incentives, recognition, and awards</v>
      </c>
      <c r="P351" s="54" t="str">
        <f>VLOOKUP(Table3[[#This Row],[PI LEVEL 3]],Table53729[[Performance Indicator Level 3]:[Performance Indicator Level 1]],2,FALSE)</f>
        <v>AEWs-extension workers given incentives</v>
      </c>
      <c r="Q351" s="54" t="str">
        <f>VLOOKUP(Table3[[#This Row],[ACTIVITY]],TAGS!B:P,2,FALSE)</f>
        <v>AEWs-extension workers given incentives</v>
      </c>
      <c r="R351" s="47" t="s">
        <v>113</v>
      </c>
      <c r="S351" s="51" t="str">
        <f>VLOOKUP(Table3[[#This Row],[ACTIVITY]],TAGS!$B:$P,4,FALSE)</f>
        <v>Extension Workers Incentives</v>
      </c>
      <c r="T351" s="51" t="str">
        <f>VLOOKUP(Table3[[#This Row],[ACTIVITY]],TAGS!$B:$P,5,FALSE)</f>
        <v>Incentives Given</v>
      </c>
      <c r="U351" s="51" t="str">
        <f>VLOOKUP(Table3[[#This Row],[ACTIVITY]],TAGS!$B:$P,6,FALSE)</f>
        <v>Agricultural Extension Worker</v>
      </c>
      <c r="V351" s="51" t="str">
        <f>VLOOKUP(Table3[[#This Row],[ACTIVITY]],TAGS!$B:$P,7,FALSE)</f>
        <v>NO</v>
      </c>
      <c r="W351" s="51" t="str">
        <f>VLOOKUP(Table3[[#This Row],[ACTIVITY]],TAGS!$B:$P,8,FALSE)</f>
        <v>PAP</v>
      </c>
      <c r="X351" s="51" t="str">
        <f>VLOOKUP(Table3[[#This Row],[ACTIVITY]],TAGS!$B:$P,10,FALSE)</f>
        <v>PIP</v>
      </c>
      <c r="Y351" s="51" t="str">
        <f>VLOOKUP(Table3[[#This Row],[ACTIVITY]],TAGS!$B:$P,11,FALSE)</f>
        <v>PICS</v>
      </c>
      <c r="Z351" s="51" t="str">
        <f>VLOOKUP(Table3[[#This Row],[ACTIVITY]],TAGS!$B:$P,12,FALSE)</f>
        <v>Consolidation</v>
      </c>
      <c r="AA351" s="51" t="str">
        <f>VLOOKUP(Table3[[#This Row],[ACTIVITY]],TAGS!$B:$P,13,FALSE)</f>
        <v>3. PAFES</v>
      </c>
      <c r="AB351" s="51" t="str">
        <f>VLOOKUP(Table3[[#This Row],[ACTIVITY]],TAGS!$B:$P,14,FALSE)</f>
        <v>STRONG PARTNERSHIP WITH THE FARMERS, FISHERFOLK, PRIVATE SECTOR, AND OTHER STAKEHOLDERS</v>
      </c>
      <c r="AC351" s="51" t="str">
        <f>VLOOKUP(Table3[[#This Row],[ACTIVITY]],TAGS!$B:$P,15,FALSE)</f>
        <v>Other Intervetions</v>
      </c>
      <c r="AD351" s="51" t="str">
        <f>VLOOKUP(Table3[[#This Row],[PI LEVEL 3]],'PI LEVEL'!$A:$G,7,FALSE)</f>
        <v>DA-Level Output</v>
      </c>
      <c r="AE351" s="47" t="s">
        <v>577</v>
      </c>
      <c r="AF351" s="51" t="str">
        <f>VLOOKUP(Table3[[#This Row],[ACTIVITY]],TAGS!$B:$P,3,FALSE)</f>
        <v>number</v>
      </c>
      <c r="AG351" s="47" t="s">
        <v>338</v>
      </c>
      <c r="AH351" s="51" t="str">
        <f>VLOOKUP(Table3[[#This Row],[MONTH]],TAGS!$W$67:$Y$81,2,FALSE)</f>
        <v>4TH QTR</v>
      </c>
      <c r="AI351" s="51" t="str">
        <f>VLOOKUP(Table3[[#This Row],[MONTH]],TAGS!$W$67:$Y$81,3,FALSE)</f>
        <v>2ND SEMESTER</v>
      </c>
      <c r="AJ351" s="51">
        <f>VLOOKUP(Table3[[#This Row],[MONTH]],TAGS!$W$67:$Z$81,4,FALSE)</f>
        <v>2025</v>
      </c>
      <c r="AK351" s="47">
        <v>2</v>
      </c>
      <c r="AL351" s="51" t="str">
        <f>VLOOKUP(Table3[[#This Row],[ACTIVITY]],TAGS!$B:$R,16,FALSE)</f>
        <v>NO</v>
      </c>
      <c r="AM351" s="47"/>
      <c r="AN351" s="47">
        <v>84</v>
      </c>
      <c r="AO351" s="57">
        <f>SUM(Table3[[#This Row],[MALE BENEFICIARIES]:[FEMALE BENEFICIARIES]])</f>
        <v>0</v>
      </c>
      <c r="AP351" s="58"/>
      <c r="AQ351" s="58"/>
      <c r="AR351" s="58"/>
      <c r="AS351" s="58"/>
      <c r="AT351" s="59" t="str">
        <f>VLOOKUP(Table3[[#This Row],[ACTIVITY]],TAGS!$B:$R,17,FALSE)</f>
        <v>NO</v>
      </c>
      <c r="AU351" s="59"/>
      <c r="AV351" s="59"/>
      <c r="AW351" s="59"/>
      <c r="AX351" s="59"/>
      <c r="AY351" s="59"/>
      <c r="AZ351" s="59"/>
      <c r="BA351" s="59"/>
      <c r="BB351" s="59"/>
      <c r="BC351" s="59"/>
      <c r="BD351" s="59"/>
      <c r="BE351" s="59"/>
      <c r="BF351" s="59"/>
      <c r="BG351" s="59"/>
      <c r="BH351" s="59"/>
      <c r="BI351" s="59"/>
      <c r="BJ351" s="59"/>
      <c r="BK351" s="59"/>
      <c r="BL351" s="59"/>
      <c r="BM351" s="59"/>
    </row>
    <row r="352" spans="1:65">
      <c r="A352" s="51" t="str">
        <f>VLOOKUP(Table3[[#This Row],[OU]],OU!$A$15:$B$34,2,FALSE)</f>
        <v>RFOs</v>
      </c>
      <c r="B352" s="47" t="s">
        <v>5</v>
      </c>
      <c r="C352" s="47" t="s">
        <v>574</v>
      </c>
      <c r="D352" s="47"/>
      <c r="E352" s="47" t="s">
        <v>43</v>
      </c>
      <c r="F352" s="47" t="s">
        <v>662</v>
      </c>
      <c r="G35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35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23104000</v>
      </c>
      <c r="I352" s="52" t="str">
        <f>VLOOKUP(Table3[[#This Row],[PSGC]],DISTRICT!$D:$G,4,FALSE)</f>
        <v>4th</v>
      </c>
      <c r="J352" s="47" t="s">
        <v>585</v>
      </c>
      <c r="K352" s="51" t="str">
        <f>VLOOKUP(Table3[[#This Row],[SPECIFIC COMMODITY]],TAGS!$W$48:$X$53,2,FALSE)</f>
        <v>Multi_commodity</v>
      </c>
      <c r="L352" s="51" t="str">
        <f>VLOOKUP(Table3[[#This Row],[PREXC SUB-PROGRAM]],Table5[],2,FALSE)</f>
        <v>TECHNICAL AND SUPPORT SERVICES PROGRAM</v>
      </c>
      <c r="M352" s="51" t="str">
        <f>VLOOKUP(Table3[[#This Row],[COMMODITY PREXC SUB-PROGRAM]],TAGS!$U$54:$V$76,2,FALSE)</f>
        <v>ESETS</v>
      </c>
      <c r="N352" s="47" t="s">
        <v>592</v>
      </c>
      <c r="O352" s="54" t="str">
        <f>VLOOKUP(Table3[[#This Row],[PI LEVEL 3]],'PI LEVEL'!A:C,3,FALSE)</f>
        <v>Individuals given incentives, recognition, and awards</v>
      </c>
      <c r="P352" s="54" t="str">
        <f>VLOOKUP(Table3[[#This Row],[PI LEVEL 3]],Table53729[[Performance Indicator Level 3]:[Performance Indicator Level 1]],2,FALSE)</f>
        <v>AEWs-extension workers given incentives</v>
      </c>
      <c r="Q352" s="54" t="str">
        <f>VLOOKUP(Table3[[#This Row],[ACTIVITY]],TAGS!B:P,2,FALSE)</f>
        <v>AEWs-extension workers given incentives</v>
      </c>
      <c r="R352" s="47" t="s">
        <v>113</v>
      </c>
      <c r="S352" s="51" t="str">
        <f>VLOOKUP(Table3[[#This Row],[ACTIVITY]],TAGS!$B:$P,4,FALSE)</f>
        <v>Extension Workers Incentives</v>
      </c>
      <c r="T352" s="51" t="str">
        <f>VLOOKUP(Table3[[#This Row],[ACTIVITY]],TAGS!$B:$P,5,FALSE)</f>
        <v>Incentives Given</v>
      </c>
      <c r="U352" s="51" t="str">
        <f>VLOOKUP(Table3[[#This Row],[ACTIVITY]],TAGS!$B:$P,6,FALSE)</f>
        <v>Agricultural Extension Worker</v>
      </c>
      <c r="V352" s="51" t="str">
        <f>VLOOKUP(Table3[[#This Row],[ACTIVITY]],TAGS!$B:$P,7,FALSE)</f>
        <v>NO</v>
      </c>
      <c r="W352" s="51" t="str">
        <f>VLOOKUP(Table3[[#This Row],[ACTIVITY]],TAGS!$B:$P,8,FALSE)</f>
        <v>PAP</v>
      </c>
      <c r="X352" s="51" t="str">
        <f>VLOOKUP(Table3[[#This Row],[ACTIVITY]],TAGS!$B:$P,10,FALSE)</f>
        <v>PIP</v>
      </c>
      <c r="Y352" s="51" t="str">
        <f>VLOOKUP(Table3[[#This Row],[ACTIVITY]],TAGS!$B:$P,11,FALSE)</f>
        <v>PICS</v>
      </c>
      <c r="Z352" s="51" t="str">
        <f>VLOOKUP(Table3[[#This Row],[ACTIVITY]],TAGS!$B:$P,12,FALSE)</f>
        <v>Consolidation</v>
      </c>
      <c r="AA352" s="51" t="str">
        <f>VLOOKUP(Table3[[#This Row],[ACTIVITY]],TAGS!$B:$P,13,FALSE)</f>
        <v>3. PAFES</v>
      </c>
      <c r="AB352" s="51" t="str">
        <f>VLOOKUP(Table3[[#This Row],[ACTIVITY]],TAGS!$B:$P,14,FALSE)</f>
        <v>STRONG PARTNERSHIP WITH THE FARMERS, FISHERFOLK, PRIVATE SECTOR, AND OTHER STAKEHOLDERS</v>
      </c>
      <c r="AC352" s="51" t="str">
        <f>VLOOKUP(Table3[[#This Row],[ACTIVITY]],TAGS!$B:$P,15,FALSE)</f>
        <v>Other Intervetions</v>
      </c>
      <c r="AD352" s="51" t="str">
        <f>VLOOKUP(Table3[[#This Row],[PI LEVEL 3]],'PI LEVEL'!$A:$G,7,FALSE)</f>
        <v>DA-Level Output</v>
      </c>
      <c r="AE352" s="47" t="s">
        <v>577</v>
      </c>
      <c r="AF352" s="51" t="str">
        <f>VLOOKUP(Table3[[#This Row],[ACTIVITY]],TAGS!$B:$P,3,FALSE)</f>
        <v>number</v>
      </c>
      <c r="AG352" s="47" t="s">
        <v>338</v>
      </c>
      <c r="AH352" s="51" t="str">
        <f>VLOOKUP(Table3[[#This Row],[MONTH]],TAGS!$W$67:$Y$81,2,FALSE)</f>
        <v>4TH QTR</v>
      </c>
      <c r="AI352" s="51" t="str">
        <f>VLOOKUP(Table3[[#This Row],[MONTH]],TAGS!$W$67:$Y$81,3,FALSE)</f>
        <v>2ND SEMESTER</v>
      </c>
      <c r="AJ352" s="51">
        <f>VLOOKUP(Table3[[#This Row],[MONTH]],TAGS!$W$67:$Z$81,4,FALSE)</f>
        <v>2025</v>
      </c>
      <c r="AK352" s="47">
        <v>2</v>
      </c>
      <c r="AL352" s="51" t="str">
        <f>VLOOKUP(Table3[[#This Row],[ACTIVITY]],TAGS!$B:$R,16,FALSE)</f>
        <v>NO</v>
      </c>
      <c r="AM352" s="47"/>
      <c r="AN352" s="47">
        <v>84</v>
      </c>
      <c r="AO352" s="57">
        <f>SUM(Table3[[#This Row],[MALE BENEFICIARIES]:[FEMALE BENEFICIARIES]])</f>
        <v>0</v>
      </c>
      <c r="AP352" s="58"/>
      <c r="AQ352" s="58"/>
      <c r="AR352" s="58"/>
      <c r="AS352" s="58"/>
      <c r="AT352" s="59" t="str">
        <f>VLOOKUP(Table3[[#This Row],[ACTIVITY]],TAGS!$B:$R,17,FALSE)</f>
        <v>NO</v>
      </c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</row>
    <row r="353" spans="1:65">
      <c r="A353" s="51" t="str">
        <f>VLOOKUP(Table3[[#This Row],[OU]],OU!$A$15:$B$34,2,FALSE)</f>
        <v>RFOs</v>
      </c>
      <c r="B353" s="47" t="s">
        <v>5</v>
      </c>
      <c r="C353" s="47" t="s">
        <v>574</v>
      </c>
      <c r="D353" s="47"/>
      <c r="E353" s="47" t="s">
        <v>43</v>
      </c>
      <c r="F353" s="47" t="s">
        <v>622</v>
      </c>
      <c r="G35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35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23106000</v>
      </c>
      <c r="I353" s="52" t="str">
        <f>VLOOKUP(Table3[[#This Row],[PSGC]],DISTRICT!$D:$G,4,FALSE)</f>
        <v>1st</v>
      </c>
      <c r="J353" s="47" t="s">
        <v>585</v>
      </c>
      <c r="K353" s="51" t="str">
        <f>VLOOKUP(Table3[[#This Row],[SPECIFIC COMMODITY]],TAGS!$W$48:$X$53,2,FALSE)</f>
        <v>Multi_commodity</v>
      </c>
      <c r="L353" s="51" t="str">
        <f>VLOOKUP(Table3[[#This Row],[PREXC SUB-PROGRAM]],Table5[],2,FALSE)</f>
        <v>TECHNICAL AND SUPPORT SERVICES PROGRAM</v>
      </c>
      <c r="M353" s="51" t="str">
        <f>VLOOKUP(Table3[[#This Row],[COMMODITY PREXC SUB-PROGRAM]],TAGS!$U$54:$V$76,2,FALSE)</f>
        <v>ESETS</v>
      </c>
      <c r="N353" s="47" t="s">
        <v>592</v>
      </c>
      <c r="O353" s="54" t="str">
        <f>VLOOKUP(Table3[[#This Row],[PI LEVEL 3]],'PI LEVEL'!A:C,3,FALSE)</f>
        <v>Individuals given incentives, recognition, and awards</v>
      </c>
      <c r="P353" s="54" t="str">
        <f>VLOOKUP(Table3[[#This Row],[PI LEVEL 3]],Table53729[[Performance Indicator Level 3]:[Performance Indicator Level 1]],2,FALSE)</f>
        <v>AEWs-extension workers given incentives</v>
      </c>
      <c r="Q353" s="54" t="str">
        <f>VLOOKUP(Table3[[#This Row],[ACTIVITY]],TAGS!B:P,2,FALSE)</f>
        <v>AEWs-extension workers given incentives</v>
      </c>
      <c r="R353" s="47" t="s">
        <v>113</v>
      </c>
      <c r="S353" s="51" t="str">
        <f>VLOOKUP(Table3[[#This Row],[ACTIVITY]],TAGS!$B:$P,4,FALSE)</f>
        <v>Extension Workers Incentives</v>
      </c>
      <c r="T353" s="51" t="str">
        <f>VLOOKUP(Table3[[#This Row],[ACTIVITY]],TAGS!$B:$P,5,FALSE)</f>
        <v>Incentives Given</v>
      </c>
      <c r="U353" s="51" t="str">
        <f>VLOOKUP(Table3[[#This Row],[ACTIVITY]],TAGS!$B:$P,6,FALSE)</f>
        <v>Agricultural Extension Worker</v>
      </c>
      <c r="V353" s="51" t="str">
        <f>VLOOKUP(Table3[[#This Row],[ACTIVITY]],TAGS!$B:$P,7,FALSE)</f>
        <v>NO</v>
      </c>
      <c r="W353" s="51" t="str">
        <f>VLOOKUP(Table3[[#This Row],[ACTIVITY]],TAGS!$B:$P,8,FALSE)</f>
        <v>PAP</v>
      </c>
      <c r="X353" s="51" t="str">
        <f>VLOOKUP(Table3[[#This Row],[ACTIVITY]],TAGS!$B:$P,10,FALSE)</f>
        <v>PIP</v>
      </c>
      <c r="Y353" s="51" t="str">
        <f>VLOOKUP(Table3[[#This Row],[ACTIVITY]],TAGS!$B:$P,11,FALSE)</f>
        <v>PICS</v>
      </c>
      <c r="Z353" s="51" t="str">
        <f>VLOOKUP(Table3[[#This Row],[ACTIVITY]],TAGS!$B:$P,12,FALSE)</f>
        <v>Consolidation</v>
      </c>
      <c r="AA353" s="51" t="str">
        <f>VLOOKUP(Table3[[#This Row],[ACTIVITY]],TAGS!$B:$P,13,FALSE)</f>
        <v>3. PAFES</v>
      </c>
      <c r="AB353" s="51" t="str">
        <f>VLOOKUP(Table3[[#This Row],[ACTIVITY]],TAGS!$B:$P,14,FALSE)</f>
        <v>STRONG PARTNERSHIP WITH THE FARMERS, FISHERFOLK, PRIVATE SECTOR, AND OTHER STAKEHOLDERS</v>
      </c>
      <c r="AC353" s="51" t="str">
        <f>VLOOKUP(Table3[[#This Row],[ACTIVITY]],TAGS!$B:$P,15,FALSE)</f>
        <v>Other Intervetions</v>
      </c>
      <c r="AD353" s="51" t="str">
        <f>VLOOKUP(Table3[[#This Row],[PI LEVEL 3]],'PI LEVEL'!$A:$G,7,FALSE)</f>
        <v>DA-Level Output</v>
      </c>
      <c r="AE353" s="47" t="s">
        <v>577</v>
      </c>
      <c r="AF353" s="51" t="str">
        <f>VLOOKUP(Table3[[#This Row],[ACTIVITY]],TAGS!$B:$P,3,FALSE)</f>
        <v>number</v>
      </c>
      <c r="AG353" s="47" t="s">
        <v>338</v>
      </c>
      <c r="AH353" s="51" t="str">
        <f>VLOOKUP(Table3[[#This Row],[MONTH]],TAGS!$W$67:$Y$81,2,FALSE)</f>
        <v>4TH QTR</v>
      </c>
      <c r="AI353" s="51" t="str">
        <f>VLOOKUP(Table3[[#This Row],[MONTH]],TAGS!$W$67:$Y$81,3,FALSE)</f>
        <v>2ND SEMESTER</v>
      </c>
      <c r="AJ353" s="51">
        <f>VLOOKUP(Table3[[#This Row],[MONTH]],TAGS!$W$67:$Z$81,4,FALSE)</f>
        <v>2025</v>
      </c>
      <c r="AK353" s="47">
        <v>4</v>
      </c>
      <c r="AL353" s="51" t="str">
        <f>VLOOKUP(Table3[[#This Row],[ACTIVITY]],TAGS!$B:$R,16,FALSE)</f>
        <v>NO</v>
      </c>
      <c r="AM353" s="47"/>
      <c r="AN353" s="47">
        <v>168</v>
      </c>
      <c r="AO353" s="57">
        <f>SUM(Table3[[#This Row],[MALE BENEFICIARIES]:[FEMALE BENEFICIARIES]])</f>
        <v>0</v>
      </c>
      <c r="AP353" s="58"/>
      <c r="AQ353" s="58"/>
      <c r="AR353" s="58"/>
      <c r="AS353" s="58"/>
      <c r="AT353" s="59" t="str">
        <f>VLOOKUP(Table3[[#This Row],[ACTIVITY]],TAGS!$B:$R,17,FALSE)</f>
        <v>NO</v>
      </c>
      <c r="AU353" s="59"/>
      <c r="AV353" s="59"/>
      <c r="AW353" s="59"/>
      <c r="AX353" s="59"/>
      <c r="AY353" s="59"/>
      <c r="AZ353" s="59"/>
      <c r="BA353" s="59"/>
      <c r="BB353" s="59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</row>
    <row r="354" spans="1:65">
      <c r="A354" s="51" t="str">
        <f>VLOOKUP(Table3[[#This Row],[OU]],OU!$A$15:$B$34,2,FALSE)</f>
        <v>RFOs</v>
      </c>
      <c r="B354" s="47" t="s">
        <v>5</v>
      </c>
      <c r="C354" s="47" t="s">
        <v>574</v>
      </c>
      <c r="D354" s="47"/>
      <c r="E354" s="47" t="s">
        <v>43</v>
      </c>
      <c r="F354" s="47" t="s">
        <v>643</v>
      </c>
      <c r="G35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35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23108000</v>
      </c>
      <c r="I354" s="52" t="str">
        <f>VLOOKUP(Table3[[#This Row],[PSGC]],DISTRICT!$D:$G,4,FALSE)</f>
        <v>3rd</v>
      </c>
      <c r="J354" s="47" t="s">
        <v>585</v>
      </c>
      <c r="K354" s="51" t="str">
        <f>VLOOKUP(Table3[[#This Row],[SPECIFIC COMMODITY]],TAGS!$W$48:$X$53,2,FALSE)</f>
        <v>Multi_commodity</v>
      </c>
      <c r="L354" s="51" t="str">
        <f>VLOOKUP(Table3[[#This Row],[PREXC SUB-PROGRAM]],Table5[],2,FALSE)</f>
        <v>TECHNICAL AND SUPPORT SERVICES PROGRAM</v>
      </c>
      <c r="M354" s="51" t="str">
        <f>VLOOKUP(Table3[[#This Row],[COMMODITY PREXC SUB-PROGRAM]],TAGS!$U$54:$V$76,2,FALSE)</f>
        <v>ESETS</v>
      </c>
      <c r="N354" s="47" t="s">
        <v>592</v>
      </c>
      <c r="O354" s="54" t="str">
        <f>VLOOKUP(Table3[[#This Row],[PI LEVEL 3]],'PI LEVEL'!A:C,3,FALSE)</f>
        <v>Individuals given incentives, recognition, and awards</v>
      </c>
      <c r="P354" s="54" t="str">
        <f>VLOOKUP(Table3[[#This Row],[PI LEVEL 3]],Table53729[[Performance Indicator Level 3]:[Performance Indicator Level 1]],2,FALSE)</f>
        <v>AEWs-extension workers given incentives</v>
      </c>
      <c r="Q354" s="54" t="str">
        <f>VLOOKUP(Table3[[#This Row],[ACTIVITY]],TAGS!B:P,2,FALSE)</f>
        <v>AEWs-extension workers given incentives</v>
      </c>
      <c r="R354" s="47" t="s">
        <v>113</v>
      </c>
      <c r="S354" s="51" t="str">
        <f>VLOOKUP(Table3[[#This Row],[ACTIVITY]],TAGS!$B:$P,4,FALSE)</f>
        <v>Extension Workers Incentives</v>
      </c>
      <c r="T354" s="51" t="str">
        <f>VLOOKUP(Table3[[#This Row],[ACTIVITY]],TAGS!$B:$P,5,FALSE)</f>
        <v>Incentives Given</v>
      </c>
      <c r="U354" s="51" t="str">
        <f>VLOOKUP(Table3[[#This Row],[ACTIVITY]],TAGS!$B:$P,6,FALSE)</f>
        <v>Agricultural Extension Worker</v>
      </c>
      <c r="V354" s="51" t="str">
        <f>VLOOKUP(Table3[[#This Row],[ACTIVITY]],TAGS!$B:$P,7,FALSE)</f>
        <v>NO</v>
      </c>
      <c r="W354" s="51" t="str">
        <f>VLOOKUP(Table3[[#This Row],[ACTIVITY]],TAGS!$B:$P,8,FALSE)</f>
        <v>PAP</v>
      </c>
      <c r="X354" s="51" t="str">
        <f>VLOOKUP(Table3[[#This Row],[ACTIVITY]],TAGS!$B:$P,10,FALSE)</f>
        <v>PIP</v>
      </c>
      <c r="Y354" s="51" t="str">
        <f>VLOOKUP(Table3[[#This Row],[ACTIVITY]],TAGS!$B:$P,11,FALSE)</f>
        <v>PICS</v>
      </c>
      <c r="Z354" s="51" t="str">
        <f>VLOOKUP(Table3[[#This Row],[ACTIVITY]],TAGS!$B:$P,12,FALSE)</f>
        <v>Consolidation</v>
      </c>
      <c r="AA354" s="51" t="str">
        <f>VLOOKUP(Table3[[#This Row],[ACTIVITY]],TAGS!$B:$P,13,FALSE)</f>
        <v>3. PAFES</v>
      </c>
      <c r="AB354" s="51" t="str">
        <f>VLOOKUP(Table3[[#This Row],[ACTIVITY]],TAGS!$B:$P,14,FALSE)</f>
        <v>STRONG PARTNERSHIP WITH THE FARMERS, FISHERFOLK, PRIVATE SECTOR, AND OTHER STAKEHOLDERS</v>
      </c>
      <c r="AC354" s="51" t="str">
        <f>VLOOKUP(Table3[[#This Row],[ACTIVITY]],TAGS!$B:$P,15,FALSE)</f>
        <v>Other Intervetions</v>
      </c>
      <c r="AD354" s="51" t="str">
        <f>VLOOKUP(Table3[[#This Row],[PI LEVEL 3]],'PI LEVEL'!$A:$G,7,FALSE)</f>
        <v>DA-Level Output</v>
      </c>
      <c r="AE354" s="47" t="s">
        <v>577</v>
      </c>
      <c r="AF354" s="51" t="str">
        <f>VLOOKUP(Table3[[#This Row],[ACTIVITY]],TAGS!$B:$P,3,FALSE)</f>
        <v>number</v>
      </c>
      <c r="AG354" s="47" t="s">
        <v>338</v>
      </c>
      <c r="AH354" s="51" t="str">
        <f>VLOOKUP(Table3[[#This Row],[MONTH]],TAGS!$W$67:$Y$81,2,FALSE)</f>
        <v>4TH QTR</v>
      </c>
      <c r="AI354" s="51" t="str">
        <f>VLOOKUP(Table3[[#This Row],[MONTH]],TAGS!$W$67:$Y$81,3,FALSE)</f>
        <v>2ND SEMESTER</v>
      </c>
      <c r="AJ354" s="51">
        <f>VLOOKUP(Table3[[#This Row],[MONTH]],TAGS!$W$67:$Z$81,4,FALSE)</f>
        <v>2025</v>
      </c>
      <c r="AK354" s="47">
        <v>10</v>
      </c>
      <c r="AL354" s="51" t="str">
        <f>VLOOKUP(Table3[[#This Row],[ACTIVITY]],TAGS!$B:$R,16,FALSE)</f>
        <v>NO</v>
      </c>
      <c r="AM354" s="47"/>
      <c r="AN354" s="47">
        <v>420</v>
      </c>
      <c r="AO354" s="57">
        <f>SUM(Table3[[#This Row],[MALE BENEFICIARIES]:[FEMALE BENEFICIARIES]])</f>
        <v>0</v>
      </c>
      <c r="AP354" s="58"/>
      <c r="AQ354" s="58"/>
      <c r="AR354" s="58"/>
      <c r="AS354" s="58"/>
      <c r="AT354" s="59" t="str">
        <f>VLOOKUP(Table3[[#This Row],[ACTIVITY]],TAGS!$B:$R,17,FALSE)</f>
        <v>NO</v>
      </c>
      <c r="AU354" s="59"/>
      <c r="AV354" s="59"/>
      <c r="AW354" s="59"/>
      <c r="AX354" s="59"/>
      <c r="AY354" s="59"/>
      <c r="AZ354" s="59"/>
      <c r="BA354" s="59"/>
      <c r="BB354" s="59"/>
      <c r="BC354" s="59"/>
      <c r="BD354" s="59"/>
      <c r="BE354" s="59"/>
      <c r="BF354" s="59"/>
      <c r="BG354" s="59"/>
      <c r="BH354" s="59"/>
      <c r="BI354" s="59"/>
      <c r="BJ354" s="59"/>
      <c r="BK354" s="59"/>
      <c r="BL354" s="59"/>
      <c r="BM354" s="59"/>
    </row>
    <row r="355" spans="1:65">
      <c r="A355" s="51" t="str">
        <f>VLOOKUP(Table3[[#This Row],[OU]],OU!$A$15:$B$34,2,FALSE)</f>
        <v>RFOs</v>
      </c>
      <c r="B355" s="47" t="s">
        <v>5</v>
      </c>
      <c r="C355" s="47" t="s">
        <v>574</v>
      </c>
      <c r="D355" s="47"/>
      <c r="E355" s="47" t="s">
        <v>43</v>
      </c>
      <c r="F355" s="47" t="s">
        <v>630</v>
      </c>
      <c r="G35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35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23114000</v>
      </c>
      <c r="I355" s="52" t="str">
        <f>VLOOKUP(Table3[[#This Row],[PSGC]],DISTRICT!$D:$G,4,FALSE)</f>
        <v>1st</v>
      </c>
      <c r="J355" s="47" t="s">
        <v>585</v>
      </c>
      <c r="K355" s="51" t="str">
        <f>VLOOKUP(Table3[[#This Row],[SPECIFIC COMMODITY]],TAGS!$W$48:$X$53,2,FALSE)</f>
        <v>Multi_commodity</v>
      </c>
      <c r="L355" s="51" t="str">
        <f>VLOOKUP(Table3[[#This Row],[PREXC SUB-PROGRAM]],Table5[],2,FALSE)</f>
        <v>TECHNICAL AND SUPPORT SERVICES PROGRAM</v>
      </c>
      <c r="M355" s="51" t="str">
        <f>VLOOKUP(Table3[[#This Row],[COMMODITY PREXC SUB-PROGRAM]],TAGS!$U$54:$V$76,2,FALSE)</f>
        <v>ESETS</v>
      </c>
      <c r="N355" s="47" t="s">
        <v>592</v>
      </c>
      <c r="O355" s="54" t="str">
        <f>VLOOKUP(Table3[[#This Row],[PI LEVEL 3]],'PI LEVEL'!A:C,3,FALSE)</f>
        <v>Individuals given incentives, recognition, and awards</v>
      </c>
      <c r="P355" s="54" t="str">
        <f>VLOOKUP(Table3[[#This Row],[PI LEVEL 3]],Table53729[[Performance Indicator Level 3]:[Performance Indicator Level 1]],2,FALSE)</f>
        <v>AEWs-extension workers given incentives</v>
      </c>
      <c r="Q355" s="54" t="str">
        <f>VLOOKUP(Table3[[#This Row],[ACTIVITY]],TAGS!B:P,2,FALSE)</f>
        <v>AEWs-extension workers given incentives</v>
      </c>
      <c r="R355" s="47" t="s">
        <v>113</v>
      </c>
      <c r="S355" s="51" t="str">
        <f>VLOOKUP(Table3[[#This Row],[ACTIVITY]],TAGS!$B:$P,4,FALSE)</f>
        <v>Extension Workers Incentives</v>
      </c>
      <c r="T355" s="51" t="str">
        <f>VLOOKUP(Table3[[#This Row],[ACTIVITY]],TAGS!$B:$P,5,FALSE)</f>
        <v>Incentives Given</v>
      </c>
      <c r="U355" s="51" t="str">
        <f>VLOOKUP(Table3[[#This Row],[ACTIVITY]],TAGS!$B:$P,6,FALSE)</f>
        <v>Agricultural Extension Worker</v>
      </c>
      <c r="V355" s="51" t="str">
        <f>VLOOKUP(Table3[[#This Row],[ACTIVITY]],TAGS!$B:$P,7,FALSE)</f>
        <v>NO</v>
      </c>
      <c r="W355" s="51" t="str">
        <f>VLOOKUP(Table3[[#This Row],[ACTIVITY]],TAGS!$B:$P,8,FALSE)</f>
        <v>PAP</v>
      </c>
      <c r="X355" s="51" t="str">
        <f>VLOOKUP(Table3[[#This Row],[ACTIVITY]],TAGS!$B:$P,10,FALSE)</f>
        <v>PIP</v>
      </c>
      <c r="Y355" s="51" t="str">
        <f>VLOOKUP(Table3[[#This Row],[ACTIVITY]],TAGS!$B:$P,11,FALSE)</f>
        <v>PICS</v>
      </c>
      <c r="Z355" s="51" t="str">
        <f>VLOOKUP(Table3[[#This Row],[ACTIVITY]],TAGS!$B:$P,12,FALSE)</f>
        <v>Consolidation</v>
      </c>
      <c r="AA355" s="51" t="str">
        <f>VLOOKUP(Table3[[#This Row],[ACTIVITY]],TAGS!$B:$P,13,FALSE)</f>
        <v>3. PAFES</v>
      </c>
      <c r="AB355" s="51" t="str">
        <f>VLOOKUP(Table3[[#This Row],[ACTIVITY]],TAGS!$B:$P,14,FALSE)</f>
        <v>STRONG PARTNERSHIP WITH THE FARMERS, FISHERFOLK, PRIVATE SECTOR, AND OTHER STAKEHOLDERS</v>
      </c>
      <c r="AC355" s="51" t="str">
        <f>VLOOKUP(Table3[[#This Row],[ACTIVITY]],TAGS!$B:$P,15,FALSE)</f>
        <v>Other Intervetions</v>
      </c>
      <c r="AD355" s="51" t="str">
        <f>VLOOKUP(Table3[[#This Row],[PI LEVEL 3]],'PI LEVEL'!$A:$G,7,FALSE)</f>
        <v>DA-Level Output</v>
      </c>
      <c r="AE355" s="47" t="s">
        <v>577</v>
      </c>
      <c r="AF355" s="51" t="str">
        <f>VLOOKUP(Table3[[#This Row],[ACTIVITY]],TAGS!$B:$P,3,FALSE)</f>
        <v>number</v>
      </c>
      <c r="AG355" s="47" t="s">
        <v>338</v>
      </c>
      <c r="AH355" s="51" t="str">
        <f>VLOOKUP(Table3[[#This Row],[MONTH]],TAGS!$W$67:$Y$81,2,FALSE)</f>
        <v>4TH QTR</v>
      </c>
      <c r="AI355" s="51" t="str">
        <f>VLOOKUP(Table3[[#This Row],[MONTH]],TAGS!$W$67:$Y$81,3,FALSE)</f>
        <v>2ND SEMESTER</v>
      </c>
      <c r="AJ355" s="51">
        <f>VLOOKUP(Table3[[#This Row],[MONTH]],TAGS!$W$67:$Z$81,4,FALSE)</f>
        <v>2025</v>
      </c>
      <c r="AK355" s="47">
        <v>4</v>
      </c>
      <c r="AL355" s="51" t="str">
        <f>VLOOKUP(Table3[[#This Row],[ACTIVITY]],TAGS!$B:$R,16,FALSE)</f>
        <v>NO</v>
      </c>
      <c r="AM355" s="47"/>
      <c r="AN355" s="47">
        <v>168</v>
      </c>
      <c r="AO355" s="57">
        <f>SUM(Table3[[#This Row],[MALE BENEFICIARIES]:[FEMALE BENEFICIARIES]])</f>
        <v>0</v>
      </c>
      <c r="AP355" s="58"/>
      <c r="AQ355" s="58"/>
      <c r="AR355" s="58"/>
      <c r="AS355" s="58"/>
      <c r="AT355" s="59" t="str">
        <f>VLOOKUP(Table3[[#This Row],[ACTIVITY]],TAGS!$B:$R,17,FALSE)</f>
        <v>NO</v>
      </c>
      <c r="AU355" s="59"/>
      <c r="AV355" s="59"/>
      <c r="AW355" s="59"/>
      <c r="AX355" s="59"/>
      <c r="AY355" s="59"/>
      <c r="AZ355" s="59"/>
      <c r="BA355" s="59"/>
      <c r="BB355" s="59"/>
      <c r="BC355" s="59"/>
      <c r="BD355" s="59"/>
      <c r="BE355" s="59"/>
      <c r="BF355" s="59"/>
      <c r="BG355" s="59"/>
      <c r="BH355" s="59"/>
      <c r="BI355" s="59"/>
      <c r="BJ355" s="59"/>
      <c r="BK355" s="59"/>
      <c r="BL355" s="59"/>
      <c r="BM355" s="59"/>
    </row>
    <row r="356" spans="1:65">
      <c r="A356" s="51" t="str">
        <f>VLOOKUP(Table3[[#This Row],[OU]],OU!$A$15:$B$34,2,FALSE)</f>
        <v>RFOs</v>
      </c>
      <c r="B356" s="47" t="s">
        <v>5</v>
      </c>
      <c r="C356" s="47" t="s">
        <v>574</v>
      </c>
      <c r="D356" s="47"/>
      <c r="E356" s="47" t="s">
        <v>43</v>
      </c>
      <c r="F356" s="47" t="s">
        <v>674</v>
      </c>
      <c r="G35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4th District</v>
      </c>
      <c r="H35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23109000</v>
      </c>
      <c r="I356" s="52" t="str">
        <f>VLOOKUP(Table3[[#This Row],[PSGC]],DISTRICT!$D:$G,4,FALSE)</f>
        <v>3rd</v>
      </c>
      <c r="J356" s="47" t="s">
        <v>585</v>
      </c>
      <c r="K356" s="51" t="str">
        <f>VLOOKUP(Table3[[#This Row],[SPECIFIC COMMODITY]],TAGS!$W$48:$X$53,2,FALSE)</f>
        <v>Multi_commodity</v>
      </c>
      <c r="L356" s="51" t="str">
        <f>VLOOKUP(Table3[[#This Row],[PREXC SUB-PROGRAM]],Table5[],2,FALSE)</f>
        <v>TECHNICAL AND SUPPORT SERVICES PROGRAM</v>
      </c>
      <c r="M356" s="51" t="str">
        <f>VLOOKUP(Table3[[#This Row],[COMMODITY PREXC SUB-PROGRAM]],TAGS!$U$54:$V$76,2,FALSE)</f>
        <v>ESETS</v>
      </c>
      <c r="N356" s="47" t="s">
        <v>592</v>
      </c>
      <c r="O356" s="54" t="str">
        <f>VLOOKUP(Table3[[#This Row],[PI LEVEL 3]],'PI LEVEL'!A:C,3,FALSE)</f>
        <v>Individuals given incentives, recognition, and awards</v>
      </c>
      <c r="P356" s="54" t="str">
        <f>VLOOKUP(Table3[[#This Row],[PI LEVEL 3]],Table53729[[Performance Indicator Level 3]:[Performance Indicator Level 1]],2,FALSE)</f>
        <v>AEWs-extension workers given incentives</v>
      </c>
      <c r="Q356" s="54" t="str">
        <f>VLOOKUP(Table3[[#This Row],[ACTIVITY]],TAGS!B:P,2,FALSE)</f>
        <v>AEWs-extension workers given incentives</v>
      </c>
      <c r="R356" s="47" t="s">
        <v>113</v>
      </c>
      <c r="S356" s="51" t="str">
        <f>VLOOKUP(Table3[[#This Row],[ACTIVITY]],TAGS!$B:$P,4,FALSE)</f>
        <v>Extension Workers Incentives</v>
      </c>
      <c r="T356" s="51" t="str">
        <f>VLOOKUP(Table3[[#This Row],[ACTIVITY]],TAGS!$B:$P,5,FALSE)</f>
        <v>Incentives Given</v>
      </c>
      <c r="U356" s="51" t="str">
        <f>VLOOKUP(Table3[[#This Row],[ACTIVITY]],TAGS!$B:$P,6,FALSE)</f>
        <v>Agricultural Extension Worker</v>
      </c>
      <c r="V356" s="51" t="str">
        <f>VLOOKUP(Table3[[#This Row],[ACTIVITY]],TAGS!$B:$P,7,FALSE)</f>
        <v>NO</v>
      </c>
      <c r="W356" s="51" t="str">
        <f>VLOOKUP(Table3[[#This Row],[ACTIVITY]],TAGS!$B:$P,8,FALSE)</f>
        <v>PAP</v>
      </c>
      <c r="X356" s="51" t="str">
        <f>VLOOKUP(Table3[[#This Row],[ACTIVITY]],TAGS!$B:$P,10,FALSE)</f>
        <v>PIP</v>
      </c>
      <c r="Y356" s="51" t="str">
        <f>VLOOKUP(Table3[[#This Row],[ACTIVITY]],TAGS!$B:$P,11,FALSE)</f>
        <v>PICS</v>
      </c>
      <c r="Z356" s="51" t="str">
        <f>VLOOKUP(Table3[[#This Row],[ACTIVITY]],TAGS!$B:$P,12,FALSE)</f>
        <v>Consolidation</v>
      </c>
      <c r="AA356" s="51" t="str">
        <f>VLOOKUP(Table3[[#This Row],[ACTIVITY]],TAGS!$B:$P,13,FALSE)</f>
        <v>3. PAFES</v>
      </c>
      <c r="AB356" s="51" t="str">
        <f>VLOOKUP(Table3[[#This Row],[ACTIVITY]],TAGS!$B:$P,14,FALSE)</f>
        <v>STRONG PARTNERSHIP WITH THE FARMERS, FISHERFOLK, PRIVATE SECTOR, AND OTHER STAKEHOLDERS</v>
      </c>
      <c r="AC356" s="51" t="str">
        <f>VLOOKUP(Table3[[#This Row],[ACTIVITY]],TAGS!$B:$P,15,FALSE)</f>
        <v>Other Intervetions</v>
      </c>
      <c r="AD356" s="51" t="str">
        <f>VLOOKUP(Table3[[#This Row],[PI LEVEL 3]],'PI LEVEL'!$A:$G,7,FALSE)</f>
        <v>DA-Level Output</v>
      </c>
      <c r="AE356" s="47" t="s">
        <v>577</v>
      </c>
      <c r="AF356" s="51" t="str">
        <f>VLOOKUP(Table3[[#This Row],[ACTIVITY]],TAGS!$B:$P,3,FALSE)</f>
        <v>number</v>
      </c>
      <c r="AG356" s="47" t="s">
        <v>338</v>
      </c>
      <c r="AH356" s="51" t="str">
        <f>VLOOKUP(Table3[[#This Row],[MONTH]],TAGS!$W$67:$Y$81,2,FALSE)</f>
        <v>4TH QTR</v>
      </c>
      <c r="AI356" s="51" t="str">
        <f>VLOOKUP(Table3[[#This Row],[MONTH]],TAGS!$W$67:$Y$81,3,FALSE)</f>
        <v>2ND SEMESTER</v>
      </c>
      <c r="AJ356" s="51">
        <f>VLOOKUP(Table3[[#This Row],[MONTH]],TAGS!$W$67:$Z$81,4,FALSE)</f>
        <v>2025</v>
      </c>
      <c r="AK356" s="47">
        <v>2</v>
      </c>
      <c r="AL356" s="51" t="str">
        <f>VLOOKUP(Table3[[#This Row],[ACTIVITY]],TAGS!$B:$R,16,FALSE)</f>
        <v>NO</v>
      </c>
      <c r="AM356" s="47"/>
      <c r="AN356" s="47">
        <v>84</v>
      </c>
      <c r="AO356" s="57">
        <f>SUM(Table3[[#This Row],[MALE BENEFICIARIES]:[FEMALE BENEFICIARIES]])</f>
        <v>0</v>
      </c>
      <c r="AP356" s="58"/>
      <c r="AQ356" s="58"/>
      <c r="AR356" s="58"/>
      <c r="AS356" s="58"/>
      <c r="AT356" s="59" t="str">
        <f>VLOOKUP(Table3[[#This Row],[ACTIVITY]],TAGS!$B:$R,17,FALSE)</f>
        <v>NO</v>
      </c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  <c r="BF356" s="59"/>
      <c r="BG356" s="59"/>
      <c r="BH356" s="59"/>
      <c r="BI356" s="59"/>
      <c r="BJ356" s="59"/>
      <c r="BK356" s="59"/>
      <c r="BL356" s="59"/>
      <c r="BM356" s="59"/>
    </row>
    <row r="357" spans="1:65">
      <c r="A357" s="51" t="str">
        <f>VLOOKUP(Table3[[#This Row],[OU]],OU!$A$15:$B$34,2,FALSE)</f>
        <v>RFOs</v>
      </c>
      <c r="B357" s="47" t="s">
        <v>5</v>
      </c>
      <c r="C357" s="47" t="s">
        <v>574</v>
      </c>
      <c r="D357" s="47"/>
      <c r="E357" s="47" t="s">
        <v>43</v>
      </c>
      <c r="F357" s="47" t="s">
        <v>685</v>
      </c>
      <c r="G35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35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23112000</v>
      </c>
      <c r="I357" s="52" t="str">
        <f>VLOOKUP(Table3[[#This Row],[PSGC]],DISTRICT!$D:$G,4,FALSE)</f>
        <v>1st</v>
      </c>
      <c r="J357" s="47" t="s">
        <v>585</v>
      </c>
      <c r="K357" s="51" t="str">
        <f>VLOOKUP(Table3[[#This Row],[SPECIFIC COMMODITY]],TAGS!$W$48:$X$53,2,FALSE)</f>
        <v>Multi_commodity</v>
      </c>
      <c r="L357" s="51" t="str">
        <f>VLOOKUP(Table3[[#This Row],[PREXC SUB-PROGRAM]],Table5[],2,FALSE)</f>
        <v>TECHNICAL AND SUPPORT SERVICES PROGRAM</v>
      </c>
      <c r="M357" s="51" t="str">
        <f>VLOOKUP(Table3[[#This Row],[COMMODITY PREXC SUB-PROGRAM]],TAGS!$U$54:$V$76,2,FALSE)</f>
        <v>ESETS</v>
      </c>
      <c r="N357" s="47" t="s">
        <v>592</v>
      </c>
      <c r="O357" s="54" t="str">
        <f>VLOOKUP(Table3[[#This Row],[PI LEVEL 3]],'PI LEVEL'!A:C,3,FALSE)</f>
        <v>Individuals given incentives, recognition, and awards</v>
      </c>
      <c r="P357" s="54" t="str">
        <f>VLOOKUP(Table3[[#This Row],[PI LEVEL 3]],Table53729[[Performance Indicator Level 3]:[Performance Indicator Level 1]],2,FALSE)</f>
        <v>AEWs-extension workers given incentives</v>
      </c>
      <c r="Q357" s="54" t="str">
        <f>VLOOKUP(Table3[[#This Row],[ACTIVITY]],TAGS!B:P,2,FALSE)</f>
        <v>AEWs-extension workers given incentives</v>
      </c>
      <c r="R357" s="47" t="s">
        <v>113</v>
      </c>
      <c r="S357" s="51" t="str">
        <f>VLOOKUP(Table3[[#This Row],[ACTIVITY]],TAGS!$B:$P,4,FALSE)</f>
        <v>Extension Workers Incentives</v>
      </c>
      <c r="T357" s="51" t="str">
        <f>VLOOKUP(Table3[[#This Row],[ACTIVITY]],TAGS!$B:$P,5,FALSE)</f>
        <v>Incentives Given</v>
      </c>
      <c r="U357" s="51" t="str">
        <f>VLOOKUP(Table3[[#This Row],[ACTIVITY]],TAGS!$B:$P,6,FALSE)</f>
        <v>Agricultural Extension Worker</v>
      </c>
      <c r="V357" s="51" t="str">
        <f>VLOOKUP(Table3[[#This Row],[ACTIVITY]],TAGS!$B:$P,7,FALSE)</f>
        <v>NO</v>
      </c>
      <c r="W357" s="51" t="str">
        <f>VLOOKUP(Table3[[#This Row],[ACTIVITY]],TAGS!$B:$P,8,FALSE)</f>
        <v>PAP</v>
      </c>
      <c r="X357" s="51" t="str">
        <f>VLOOKUP(Table3[[#This Row],[ACTIVITY]],TAGS!$B:$P,10,FALSE)</f>
        <v>PIP</v>
      </c>
      <c r="Y357" s="51" t="str">
        <f>VLOOKUP(Table3[[#This Row],[ACTIVITY]],TAGS!$B:$P,11,FALSE)</f>
        <v>PICS</v>
      </c>
      <c r="Z357" s="51" t="str">
        <f>VLOOKUP(Table3[[#This Row],[ACTIVITY]],TAGS!$B:$P,12,FALSE)</f>
        <v>Consolidation</v>
      </c>
      <c r="AA357" s="51" t="str">
        <f>VLOOKUP(Table3[[#This Row],[ACTIVITY]],TAGS!$B:$P,13,FALSE)</f>
        <v>3. PAFES</v>
      </c>
      <c r="AB357" s="51" t="str">
        <f>VLOOKUP(Table3[[#This Row],[ACTIVITY]],TAGS!$B:$P,14,FALSE)</f>
        <v>STRONG PARTNERSHIP WITH THE FARMERS, FISHERFOLK, PRIVATE SECTOR, AND OTHER STAKEHOLDERS</v>
      </c>
      <c r="AC357" s="51" t="str">
        <f>VLOOKUP(Table3[[#This Row],[ACTIVITY]],TAGS!$B:$P,15,FALSE)</f>
        <v>Other Intervetions</v>
      </c>
      <c r="AD357" s="51" t="str">
        <f>VLOOKUP(Table3[[#This Row],[PI LEVEL 3]],'PI LEVEL'!$A:$G,7,FALSE)</f>
        <v>DA-Level Output</v>
      </c>
      <c r="AE357" s="47" t="s">
        <v>577</v>
      </c>
      <c r="AF357" s="51" t="str">
        <f>VLOOKUP(Table3[[#This Row],[ACTIVITY]],TAGS!$B:$P,3,FALSE)</f>
        <v>number</v>
      </c>
      <c r="AG357" s="47" t="s">
        <v>338</v>
      </c>
      <c r="AH357" s="51" t="str">
        <f>VLOOKUP(Table3[[#This Row],[MONTH]],TAGS!$W$67:$Y$81,2,FALSE)</f>
        <v>4TH QTR</v>
      </c>
      <c r="AI357" s="51" t="str">
        <f>VLOOKUP(Table3[[#This Row],[MONTH]],TAGS!$W$67:$Y$81,3,FALSE)</f>
        <v>2ND SEMESTER</v>
      </c>
      <c r="AJ357" s="51">
        <f>VLOOKUP(Table3[[#This Row],[MONTH]],TAGS!$W$67:$Z$81,4,FALSE)</f>
        <v>2025</v>
      </c>
      <c r="AK357" s="47">
        <v>2</v>
      </c>
      <c r="AL357" s="51" t="str">
        <f>VLOOKUP(Table3[[#This Row],[ACTIVITY]],TAGS!$B:$R,16,FALSE)</f>
        <v>NO</v>
      </c>
      <c r="AM357" s="47"/>
      <c r="AN357" s="47">
        <v>84</v>
      </c>
      <c r="AO357" s="57">
        <f>SUM(Table3[[#This Row],[MALE BENEFICIARIES]:[FEMALE BENEFICIARIES]])</f>
        <v>0</v>
      </c>
      <c r="AP357" s="58"/>
      <c r="AQ357" s="58"/>
      <c r="AR357" s="58"/>
      <c r="AS357" s="58"/>
      <c r="AT357" s="59" t="str">
        <f>VLOOKUP(Table3[[#This Row],[ACTIVITY]],TAGS!$B:$R,17,FALSE)</f>
        <v>NO</v>
      </c>
      <c r="AU357" s="59"/>
      <c r="AV357" s="59"/>
      <c r="AW357" s="59"/>
      <c r="AX357" s="59"/>
      <c r="AY357" s="59"/>
      <c r="AZ357" s="59"/>
      <c r="BA357" s="59"/>
      <c r="BB357" s="59"/>
      <c r="BC357" s="59"/>
      <c r="BD357" s="59"/>
      <c r="BE357" s="59"/>
      <c r="BF357" s="59"/>
      <c r="BG357" s="59"/>
      <c r="BH357" s="59"/>
      <c r="BI357" s="59"/>
      <c r="BJ357" s="59"/>
      <c r="BK357" s="59"/>
      <c r="BL357" s="59"/>
      <c r="BM357" s="59"/>
    </row>
    <row r="358" spans="1:65">
      <c r="A358" s="51" t="str">
        <f>VLOOKUP(Table3[[#This Row],[OU]],OU!$A$15:$B$34,2,FALSE)</f>
        <v>RFOs</v>
      </c>
      <c r="B358" s="47" t="s">
        <v>5</v>
      </c>
      <c r="C358" s="47" t="s">
        <v>574</v>
      </c>
      <c r="D358" s="47"/>
      <c r="E358" s="47" t="s">
        <v>43</v>
      </c>
      <c r="F358" s="47" t="s">
        <v>663</v>
      </c>
      <c r="G35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35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23113000</v>
      </c>
      <c r="I358" s="52" t="str">
        <f>VLOOKUP(Table3[[#This Row],[PSGC]],DISTRICT!$D:$G,4,FALSE)</f>
        <v>4th</v>
      </c>
      <c r="J358" s="47" t="s">
        <v>585</v>
      </c>
      <c r="K358" s="51" t="str">
        <f>VLOOKUP(Table3[[#This Row],[SPECIFIC COMMODITY]],TAGS!$W$48:$X$53,2,FALSE)</f>
        <v>Multi_commodity</v>
      </c>
      <c r="L358" s="51" t="str">
        <f>VLOOKUP(Table3[[#This Row],[PREXC SUB-PROGRAM]],Table5[],2,FALSE)</f>
        <v>TECHNICAL AND SUPPORT SERVICES PROGRAM</v>
      </c>
      <c r="M358" s="51" t="str">
        <f>VLOOKUP(Table3[[#This Row],[COMMODITY PREXC SUB-PROGRAM]],TAGS!$U$54:$V$76,2,FALSE)</f>
        <v>ESETS</v>
      </c>
      <c r="N358" s="47" t="s">
        <v>592</v>
      </c>
      <c r="O358" s="54" t="str">
        <f>VLOOKUP(Table3[[#This Row],[PI LEVEL 3]],'PI LEVEL'!A:C,3,FALSE)</f>
        <v>Individuals given incentives, recognition, and awards</v>
      </c>
      <c r="P358" s="54" t="str">
        <f>VLOOKUP(Table3[[#This Row],[PI LEVEL 3]],Table53729[[Performance Indicator Level 3]:[Performance Indicator Level 1]],2,FALSE)</f>
        <v>AEWs-extension workers given incentives</v>
      </c>
      <c r="Q358" s="54" t="str">
        <f>VLOOKUP(Table3[[#This Row],[ACTIVITY]],TAGS!B:P,2,FALSE)</f>
        <v>AEWs-extension workers given incentives</v>
      </c>
      <c r="R358" s="47" t="s">
        <v>113</v>
      </c>
      <c r="S358" s="51" t="str">
        <f>VLOOKUP(Table3[[#This Row],[ACTIVITY]],TAGS!$B:$P,4,FALSE)</f>
        <v>Extension Workers Incentives</v>
      </c>
      <c r="T358" s="51" t="str">
        <f>VLOOKUP(Table3[[#This Row],[ACTIVITY]],TAGS!$B:$P,5,FALSE)</f>
        <v>Incentives Given</v>
      </c>
      <c r="U358" s="51" t="str">
        <f>VLOOKUP(Table3[[#This Row],[ACTIVITY]],TAGS!$B:$P,6,FALSE)</f>
        <v>Agricultural Extension Worker</v>
      </c>
      <c r="V358" s="51" t="str">
        <f>VLOOKUP(Table3[[#This Row],[ACTIVITY]],TAGS!$B:$P,7,FALSE)</f>
        <v>NO</v>
      </c>
      <c r="W358" s="51" t="str">
        <f>VLOOKUP(Table3[[#This Row],[ACTIVITY]],TAGS!$B:$P,8,FALSE)</f>
        <v>PAP</v>
      </c>
      <c r="X358" s="51" t="str">
        <f>VLOOKUP(Table3[[#This Row],[ACTIVITY]],TAGS!$B:$P,10,FALSE)</f>
        <v>PIP</v>
      </c>
      <c r="Y358" s="51" t="str">
        <f>VLOOKUP(Table3[[#This Row],[ACTIVITY]],TAGS!$B:$P,11,FALSE)</f>
        <v>PICS</v>
      </c>
      <c r="Z358" s="51" t="str">
        <f>VLOOKUP(Table3[[#This Row],[ACTIVITY]],TAGS!$B:$P,12,FALSE)</f>
        <v>Consolidation</v>
      </c>
      <c r="AA358" s="51" t="str">
        <f>VLOOKUP(Table3[[#This Row],[ACTIVITY]],TAGS!$B:$P,13,FALSE)</f>
        <v>3. PAFES</v>
      </c>
      <c r="AB358" s="51" t="str">
        <f>VLOOKUP(Table3[[#This Row],[ACTIVITY]],TAGS!$B:$P,14,FALSE)</f>
        <v>STRONG PARTNERSHIP WITH THE FARMERS, FISHERFOLK, PRIVATE SECTOR, AND OTHER STAKEHOLDERS</v>
      </c>
      <c r="AC358" s="51" t="str">
        <f>VLOOKUP(Table3[[#This Row],[ACTIVITY]],TAGS!$B:$P,15,FALSE)</f>
        <v>Other Intervetions</v>
      </c>
      <c r="AD358" s="51" t="str">
        <f>VLOOKUP(Table3[[#This Row],[PI LEVEL 3]],'PI LEVEL'!$A:$G,7,FALSE)</f>
        <v>DA-Level Output</v>
      </c>
      <c r="AE358" s="47" t="s">
        <v>577</v>
      </c>
      <c r="AF358" s="51" t="str">
        <f>VLOOKUP(Table3[[#This Row],[ACTIVITY]],TAGS!$B:$P,3,FALSE)</f>
        <v>number</v>
      </c>
      <c r="AG358" s="47" t="s">
        <v>338</v>
      </c>
      <c r="AH358" s="51" t="str">
        <f>VLOOKUP(Table3[[#This Row],[MONTH]],TAGS!$W$67:$Y$81,2,FALSE)</f>
        <v>4TH QTR</v>
      </c>
      <c r="AI358" s="51" t="str">
        <f>VLOOKUP(Table3[[#This Row],[MONTH]],TAGS!$W$67:$Y$81,3,FALSE)</f>
        <v>2ND SEMESTER</v>
      </c>
      <c r="AJ358" s="51">
        <f>VLOOKUP(Table3[[#This Row],[MONTH]],TAGS!$W$67:$Z$81,4,FALSE)</f>
        <v>2025</v>
      </c>
      <c r="AK358" s="47">
        <v>2</v>
      </c>
      <c r="AL358" s="51" t="str">
        <f>VLOOKUP(Table3[[#This Row],[ACTIVITY]],TAGS!$B:$R,16,FALSE)</f>
        <v>NO</v>
      </c>
      <c r="AM358" s="47"/>
      <c r="AN358" s="47">
        <v>84</v>
      </c>
      <c r="AO358" s="57">
        <f>SUM(Table3[[#This Row],[MALE BENEFICIARIES]:[FEMALE BENEFICIARIES]])</f>
        <v>0</v>
      </c>
      <c r="AP358" s="58"/>
      <c r="AQ358" s="58"/>
      <c r="AR358" s="58"/>
      <c r="AS358" s="58"/>
      <c r="AT358" s="59" t="str">
        <f>VLOOKUP(Table3[[#This Row],[ACTIVITY]],TAGS!$B:$R,17,FALSE)</f>
        <v>NO</v>
      </c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  <c r="BF358" s="59"/>
      <c r="BG358" s="59"/>
      <c r="BH358" s="59"/>
      <c r="BI358" s="59"/>
      <c r="BJ358" s="59"/>
      <c r="BK358" s="59"/>
      <c r="BL358" s="59"/>
      <c r="BM358" s="59"/>
    </row>
    <row r="359" spans="1:65">
      <c r="A359" s="51" t="str">
        <f>VLOOKUP(Table3[[#This Row],[OU]],OU!$A$15:$B$34,2,FALSE)</f>
        <v>RFOs</v>
      </c>
      <c r="B359" s="47" t="s">
        <v>5</v>
      </c>
      <c r="C359" s="47" t="s">
        <v>574</v>
      </c>
      <c r="D359" s="47"/>
      <c r="E359" s="47" t="s">
        <v>43</v>
      </c>
      <c r="F359" s="47" t="s">
        <v>675</v>
      </c>
      <c r="G35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4th District</v>
      </c>
      <c r="H35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23115000</v>
      </c>
      <c r="I359" s="52" t="str">
        <f>VLOOKUP(Table3[[#This Row],[PSGC]],DISTRICT!$D:$G,4,FALSE)</f>
        <v>1st</v>
      </c>
      <c r="J359" s="47" t="s">
        <v>585</v>
      </c>
      <c r="K359" s="51" t="str">
        <f>VLOOKUP(Table3[[#This Row],[SPECIFIC COMMODITY]],TAGS!$W$48:$X$53,2,FALSE)</f>
        <v>Multi_commodity</v>
      </c>
      <c r="L359" s="51" t="str">
        <f>VLOOKUP(Table3[[#This Row],[PREXC SUB-PROGRAM]],Table5[],2,FALSE)</f>
        <v>TECHNICAL AND SUPPORT SERVICES PROGRAM</v>
      </c>
      <c r="M359" s="51" t="str">
        <f>VLOOKUP(Table3[[#This Row],[COMMODITY PREXC SUB-PROGRAM]],TAGS!$U$54:$V$76,2,FALSE)</f>
        <v>ESETS</v>
      </c>
      <c r="N359" s="47" t="s">
        <v>592</v>
      </c>
      <c r="O359" s="54" t="str">
        <f>VLOOKUP(Table3[[#This Row],[PI LEVEL 3]],'PI LEVEL'!A:C,3,FALSE)</f>
        <v>Individuals given incentives, recognition, and awards</v>
      </c>
      <c r="P359" s="54" t="str">
        <f>VLOOKUP(Table3[[#This Row],[PI LEVEL 3]],Table53729[[Performance Indicator Level 3]:[Performance Indicator Level 1]],2,FALSE)</f>
        <v>AEWs-extension workers given incentives</v>
      </c>
      <c r="Q359" s="54" t="str">
        <f>VLOOKUP(Table3[[#This Row],[ACTIVITY]],TAGS!B:P,2,FALSE)</f>
        <v>AEWs-extension workers given incentives</v>
      </c>
      <c r="R359" s="47" t="s">
        <v>113</v>
      </c>
      <c r="S359" s="51" t="str">
        <f>VLOOKUP(Table3[[#This Row],[ACTIVITY]],TAGS!$B:$P,4,FALSE)</f>
        <v>Extension Workers Incentives</v>
      </c>
      <c r="T359" s="51" t="str">
        <f>VLOOKUP(Table3[[#This Row],[ACTIVITY]],TAGS!$B:$P,5,FALSE)</f>
        <v>Incentives Given</v>
      </c>
      <c r="U359" s="51" t="str">
        <f>VLOOKUP(Table3[[#This Row],[ACTIVITY]],TAGS!$B:$P,6,FALSE)</f>
        <v>Agricultural Extension Worker</v>
      </c>
      <c r="V359" s="51" t="str">
        <f>VLOOKUP(Table3[[#This Row],[ACTIVITY]],TAGS!$B:$P,7,FALSE)</f>
        <v>NO</v>
      </c>
      <c r="W359" s="51" t="str">
        <f>VLOOKUP(Table3[[#This Row],[ACTIVITY]],TAGS!$B:$P,8,FALSE)</f>
        <v>PAP</v>
      </c>
      <c r="X359" s="51" t="str">
        <f>VLOOKUP(Table3[[#This Row],[ACTIVITY]],TAGS!$B:$P,10,FALSE)</f>
        <v>PIP</v>
      </c>
      <c r="Y359" s="51" t="str">
        <f>VLOOKUP(Table3[[#This Row],[ACTIVITY]],TAGS!$B:$P,11,FALSE)</f>
        <v>PICS</v>
      </c>
      <c r="Z359" s="51" t="str">
        <f>VLOOKUP(Table3[[#This Row],[ACTIVITY]],TAGS!$B:$P,12,FALSE)</f>
        <v>Consolidation</v>
      </c>
      <c r="AA359" s="51" t="str">
        <f>VLOOKUP(Table3[[#This Row],[ACTIVITY]],TAGS!$B:$P,13,FALSE)</f>
        <v>3. PAFES</v>
      </c>
      <c r="AB359" s="51" t="str">
        <f>VLOOKUP(Table3[[#This Row],[ACTIVITY]],TAGS!$B:$P,14,FALSE)</f>
        <v>STRONG PARTNERSHIP WITH THE FARMERS, FISHERFOLK, PRIVATE SECTOR, AND OTHER STAKEHOLDERS</v>
      </c>
      <c r="AC359" s="51" t="str">
        <f>VLOOKUP(Table3[[#This Row],[ACTIVITY]],TAGS!$B:$P,15,FALSE)</f>
        <v>Other Intervetions</v>
      </c>
      <c r="AD359" s="51" t="str">
        <f>VLOOKUP(Table3[[#This Row],[PI LEVEL 3]],'PI LEVEL'!$A:$G,7,FALSE)</f>
        <v>DA-Level Output</v>
      </c>
      <c r="AE359" s="47" t="s">
        <v>577</v>
      </c>
      <c r="AF359" s="51" t="str">
        <f>VLOOKUP(Table3[[#This Row],[ACTIVITY]],TAGS!$B:$P,3,FALSE)</f>
        <v>number</v>
      </c>
      <c r="AG359" s="47" t="s">
        <v>338</v>
      </c>
      <c r="AH359" s="51" t="str">
        <f>VLOOKUP(Table3[[#This Row],[MONTH]],TAGS!$W$67:$Y$81,2,FALSE)</f>
        <v>4TH QTR</v>
      </c>
      <c r="AI359" s="51" t="str">
        <f>VLOOKUP(Table3[[#This Row],[MONTH]],TAGS!$W$67:$Y$81,3,FALSE)</f>
        <v>2ND SEMESTER</v>
      </c>
      <c r="AJ359" s="51">
        <f>VLOOKUP(Table3[[#This Row],[MONTH]],TAGS!$W$67:$Z$81,4,FALSE)</f>
        <v>2025</v>
      </c>
      <c r="AK359" s="47">
        <v>4</v>
      </c>
      <c r="AL359" s="51" t="str">
        <f>VLOOKUP(Table3[[#This Row],[ACTIVITY]],TAGS!$B:$R,16,FALSE)</f>
        <v>NO</v>
      </c>
      <c r="AM359" s="47"/>
      <c r="AN359" s="47">
        <v>168</v>
      </c>
      <c r="AO359" s="57">
        <f>SUM(Table3[[#This Row],[MALE BENEFICIARIES]:[FEMALE BENEFICIARIES]])</f>
        <v>0</v>
      </c>
      <c r="AP359" s="58"/>
      <c r="AQ359" s="58"/>
      <c r="AR359" s="58"/>
      <c r="AS359" s="58"/>
      <c r="AT359" s="59" t="str">
        <f>VLOOKUP(Table3[[#This Row],[ACTIVITY]],TAGS!$B:$R,17,FALSE)</f>
        <v>NO</v>
      </c>
      <c r="AU359" s="59"/>
      <c r="AV359" s="59"/>
      <c r="AW359" s="59"/>
      <c r="AX359" s="59"/>
      <c r="AY359" s="59"/>
      <c r="AZ359" s="59"/>
      <c r="BA359" s="59"/>
      <c r="BB359" s="59"/>
      <c r="BC359" s="59"/>
      <c r="BD359" s="59"/>
      <c r="BE359" s="59"/>
      <c r="BF359" s="59"/>
      <c r="BG359" s="59"/>
      <c r="BH359" s="59"/>
      <c r="BI359" s="59"/>
      <c r="BJ359" s="59"/>
      <c r="BK359" s="59"/>
      <c r="BL359" s="59"/>
      <c r="BM359" s="59"/>
    </row>
    <row r="360" spans="1:65">
      <c r="A360" s="51" t="str">
        <f>VLOOKUP(Table3[[#This Row],[OU]],OU!$A$15:$B$34,2,FALSE)</f>
        <v>RFOs</v>
      </c>
      <c r="B360" s="47" t="s">
        <v>5</v>
      </c>
      <c r="C360" s="47" t="s">
        <v>574</v>
      </c>
      <c r="D360" s="47"/>
      <c r="E360" s="47" t="s">
        <v>43</v>
      </c>
      <c r="F360" s="47" t="s">
        <v>679</v>
      </c>
      <c r="G36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5th District</v>
      </c>
      <c r="H36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23116000</v>
      </c>
      <c r="I360" s="52" t="str">
        <f>VLOOKUP(Table3[[#This Row],[PSGC]],DISTRICT!$D:$G,4,FALSE)</f>
        <v>5th</v>
      </c>
      <c r="J360" s="47" t="s">
        <v>585</v>
      </c>
      <c r="K360" s="51" t="str">
        <f>VLOOKUP(Table3[[#This Row],[SPECIFIC COMMODITY]],TAGS!$W$48:$X$53,2,FALSE)</f>
        <v>Multi_commodity</v>
      </c>
      <c r="L360" s="51" t="str">
        <f>VLOOKUP(Table3[[#This Row],[PREXC SUB-PROGRAM]],Table5[],2,FALSE)</f>
        <v>TECHNICAL AND SUPPORT SERVICES PROGRAM</v>
      </c>
      <c r="M360" s="51" t="str">
        <f>VLOOKUP(Table3[[#This Row],[COMMODITY PREXC SUB-PROGRAM]],TAGS!$U$54:$V$76,2,FALSE)</f>
        <v>ESETS</v>
      </c>
      <c r="N360" s="47" t="s">
        <v>592</v>
      </c>
      <c r="O360" s="54" t="str">
        <f>VLOOKUP(Table3[[#This Row],[PI LEVEL 3]],'PI LEVEL'!A:C,3,FALSE)</f>
        <v>Individuals given incentives, recognition, and awards</v>
      </c>
      <c r="P360" s="54" t="str">
        <f>VLOOKUP(Table3[[#This Row],[PI LEVEL 3]],Table53729[[Performance Indicator Level 3]:[Performance Indicator Level 1]],2,FALSE)</f>
        <v>AEWs-extension workers given incentives</v>
      </c>
      <c r="Q360" s="54" t="str">
        <f>VLOOKUP(Table3[[#This Row],[ACTIVITY]],TAGS!B:P,2,FALSE)</f>
        <v>AEWs-extension workers given incentives</v>
      </c>
      <c r="R360" s="47" t="s">
        <v>113</v>
      </c>
      <c r="S360" s="51" t="str">
        <f>VLOOKUP(Table3[[#This Row],[ACTIVITY]],TAGS!$B:$P,4,FALSE)</f>
        <v>Extension Workers Incentives</v>
      </c>
      <c r="T360" s="51" t="str">
        <f>VLOOKUP(Table3[[#This Row],[ACTIVITY]],TAGS!$B:$P,5,FALSE)</f>
        <v>Incentives Given</v>
      </c>
      <c r="U360" s="51" t="str">
        <f>VLOOKUP(Table3[[#This Row],[ACTIVITY]],TAGS!$B:$P,6,FALSE)</f>
        <v>Agricultural Extension Worker</v>
      </c>
      <c r="V360" s="51" t="str">
        <f>VLOOKUP(Table3[[#This Row],[ACTIVITY]],TAGS!$B:$P,7,FALSE)</f>
        <v>NO</v>
      </c>
      <c r="W360" s="51" t="str">
        <f>VLOOKUP(Table3[[#This Row],[ACTIVITY]],TAGS!$B:$P,8,FALSE)</f>
        <v>PAP</v>
      </c>
      <c r="X360" s="51" t="str">
        <f>VLOOKUP(Table3[[#This Row],[ACTIVITY]],TAGS!$B:$P,10,FALSE)</f>
        <v>PIP</v>
      </c>
      <c r="Y360" s="51" t="str">
        <f>VLOOKUP(Table3[[#This Row],[ACTIVITY]],TAGS!$B:$P,11,FALSE)</f>
        <v>PICS</v>
      </c>
      <c r="Z360" s="51" t="str">
        <f>VLOOKUP(Table3[[#This Row],[ACTIVITY]],TAGS!$B:$P,12,FALSE)</f>
        <v>Consolidation</v>
      </c>
      <c r="AA360" s="51" t="str">
        <f>VLOOKUP(Table3[[#This Row],[ACTIVITY]],TAGS!$B:$P,13,FALSE)</f>
        <v>3. PAFES</v>
      </c>
      <c r="AB360" s="51" t="str">
        <f>VLOOKUP(Table3[[#This Row],[ACTIVITY]],TAGS!$B:$P,14,FALSE)</f>
        <v>STRONG PARTNERSHIP WITH THE FARMERS, FISHERFOLK, PRIVATE SECTOR, AND OTHER STAKEHOLDERS</v>
      </c>
      <c r="AC360" s="51" t="str">
        <f>VLOOKUP(Table3[[#This Row],[ACTIVITY]],TAGS!$B:$P,15,FALSE)</f>
        <v>Other Intervetions</v>
      </c>
      <c r="AD360" s="51" t="str">
        <f>VLOOKUP(Table3[[#This Row],[PI LEVEL 3]],'PI LEVEL'!$A:$G,7,FALSE)</f>
        <v>DA-Level Output</v>
      </c>
      <c r="AE360" s="47" t="s">
        <v>577</v>
      </c>
      <c r="AF360" s="51" t="str">
        <f>VLOOKUP(Table3[[#This Row],[ACTIVITY]],TAGS!$B:$P,3,FALSE)</f>
        <v>number</v>
      </c>
      <c r="AG360" s="47" t="s">
        <v>338</v>
      </c>
      <c r="AH360" s="51" t="str">
        <f>VLOOKUP(Table3[[#This Row],[MONTH]],TAGS!$W$67:$Y$81,2,FALSE)</f>
        <v>4TH QTR</v>
      </c>
      <c r="AI360" s="51" t="str">
        <f>VLOOKUP(Table3[[#This Row],[MONTH]],TAGS!$W$67:$Y$81,3,FALSE)</f>
        <v>2ND SEMESTER</v>
      </c>
      <c r="AJ360" s="51">
        <f>VLOOKUP(Table3[[#This Row],[MONTH]],TAGS!$W$67:$Z$81,4,FALSE)</f>
        <v>2025</v>
      </c>
      <c r="AK360" s="47">
        <v>1</v>
      </c>
      <c r="AL360" s="51" t="str">
        <f>VLOOKUP(Table3[[#This Row],[ACTIVITY]],TAGS!$B:$R,16,FALSE)</f>
        <v>NO</v>
      </c>
      <c r="AM360" s="47"/>
      <c r="AN360" s="47">
        <v>42</v>
      </c>
      <c r="AO360" s="57">
        <f>SUM(Table3[[#This Row],[MALE BENEFICIARIES]:[FEMALE BENEFICIARIES]])</f>
        <v>0</v>
      </c>
      <c r="AP360" s="58"/>
      <c r="AQ360" s="58"/>
      <c r="AR360" s="58"/>
      <c r="AS360" s="58"/>
      <c r="AT360" s="59" t="str">
        <f>VLOOKUP(Table3[[#This Row],[ACTIVITY]],TAGS!$B:$R,17,FALSE)</f>
        <v>NO</v>
      </c>
      <c r="AU360" s="59"/>
      <c r="AV360" s="59"/>
      <c r="AW360" s="59"/>
      <c r="AX360" s="59"/>
      <c r="AY360" s="59"/>
      <c r="AZ360" s="59"/>
      <c r="BA360" s="59"/>
      <c r="BB360" s="59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  <c r="BM360" s="59"/>
    </row>
    <row r="361" spans="1:65">
      <c r="A361" s="51" t="str">
        <f>VLOOKUP(Table3[[#This Row],[OU]],OU!$A$15:$B$34,2,FALSE)</f>
        <v>RFOs</v>
      </c>
      <c r="B361" s="47" t="s">
        <v>5</v>
      </c>
      <c r="C361" s="47" t="s">
        <v>574</v>
      </c>
      <c r="D361" s="47"/>
      <c r="E361" s="47" t="s">
        <v>43</v>
      </c>
      <c r="F361" s="47" t="s">
        <v>661</v>
      </c>
      <c r="G36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36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23118000</v>
      </c>
      <c r="I361" s="52" t="str">
        <f>VLOOKUP(Table3[[#This Row],[PSGC]],DISTRICT!$D:$G,4,FALSE)</f>
        <v>4th</v>
      </c>
      <c r="J361" s="47" t="s">
        <v>585</v>
      </c>
      <c r="K361" s="51" t="str">
        <f>VLOOKUP(Table3[[#This Row],[SPECIFIC COMMODITY]],TAGS!$W$48:$X$53,2,FALSE)</f>
        <v>Multi_commodity</v>
      </c>
      <c r="L361" s="51" t="str">
        <f>VLOOKUP(Table3[[#This Row],[PREXC SUB-PROGRAM]],Table5[],2,FALSE)</f>
        <v>TECHNICAL AND SUPPORT SERVICES PROGRAM</v>
      </c>
      <c r="M361" s="51" t="str">
        <f>VLOOKUP(Table3[[#This Row],[COMMODITY PREXC SUB-PROGRAM]],TAGS!$U$54:$V$76,2,FALSE)</f>
        <v>ESETS</v>
      </c>
      <c r="N361" s="47" t="s">
        <v>592</v>
      </c>
      <c r="O361" s="54" t="str">
        <f>VLOOKUP(Table3[[#This Row],[PI LEVEL 3]],'PI LEVEL'!A:C,3,FALSE)</f>
        <v>Individuals given incentives, recognition, and awards</v>
      </c>
      <c r="P361" s="54" t="str">
        <f>VLOOKUP(Table3[[#This Row],[PI LEVEL 3]],Table53729[[Performance Indicator Level 3]:[Performance Indicator Level 1]],2,FALSE)</f>
        <v>AEWs-extension workers given incentives</v>
      </c>
      <c r="Q361" s="54" t="str">
        <f>VLOOKUP(Table3[[#This Row],[ACTIVITY]],TAGS!B:P,2,FALSE)</f>
        <v>AEWs-extension workers given incentives</v>
      </c>
      <c r="R361" s="47" t="s">
        <v>113</v>
      </c>
      <c r="S361" s="51" t="str">
        <f>VLOOKUP(Table3[[#This Row],[ACTIVITY]],TAGS!$B:$P,4,FALSE)</f>
        <v>Extension Workers Incentives</v>
      </c>
      <c r="T361" s="51" t="str">
        <f>VLOOKUP(Table3[[#This Row],[ACTIVITY]],TAGS!$B:$P,5,FALSE)</f>
        <v>Incentives Given</v>
      </c>
      <c r="U361" s="51" t="str">
        <f>VLOOKUP(Table3[[#This Row],[ACTIVITY]],TAGS!$B:$P,6,FALSE)</f>
        <v>Agricultural Extension Worker</v>
      </c>
      <c r="V361" s="51" t="str">
        <f>VLOOKUP(Table3[[#This Row],[ACTIVITY]],TAGS!$B:$P,7,FALSE)</f>
        <v>NO</v>
      </c>
      <c r="W361" s="51" t="str">
        <f>VLOOKUP(Table3[[#This Row],[ACTIVITY]],TAGS!$B:$P,8,FALSE)</f>
        <v>PAP</v>
      </c>
      <c r="X361" s="51" t="str">
        <f>VLOOKUP(Table3[[#This Row],[ACTIVITY]],TAGS!$B:$P,10,FALSE)</f>
        <v>PIP</v>
      </c>
      <c r="Y361" s="51" t="str">
        <f>VLOOKUP(Table3[[#This Row],[ACTIVITY]],TAGS!$B:$P,11,FALSE)</f>
        <v>PICS</v>
      </c>
      <c r="Z361" s="51" t="str">
        <f>VLOOKUP(Table3[[#This Row],[ACTIVITY]],TAGS!$B:$P,12,FALSE)</f>
        <v>Consolidation</v>
      </c>
      <c r="AA361" s="51" t="str">
        <f>VLOOKUP(Table3[[#This Row],[ACTIVITY]],TAGS!$B:$P,13,FALSE)</f>
        <v>3. PAFES</v>
      </c>
      <c r="AB361" s="51" t="str">
        <f>VLOOKUP(Table3[[#This Row],[ACTIVITY]],TAGS!$B:$P,14,FALSE)</f>
        <v>STRONG PARTNERSHIP WITH THE FARMERS, FISHERFOLK, PRIVATE SECTOR, AND OTHER STAKEHOLDERS</v>
      </c>
      <c r="AC361" s="51" t="str">
        <f>VLOOKUP(Table3[[#This Row],[ACTIVITY]],TAGS!$B:$P,15,FALSE)</f>
        <v>Other Intervetions</v>
      </c>
      <c r="AD361" s="51" t="str">
        <f>VLOOKUP(Table3[[#This Row],[PI LEVEL 3]],'PI LEVEL'!$A:$G,7,FALSE)</f>
        <v>DA-Level Output</v>
      </c>
      <c r="AE361" s="47" t="s">
        <v>577</v>
      </c>
      <c r="AF361" s="51" t="str">
        <f>VLOOKUP(Table3[[#This Row],[ACTIVITY]],TAGS!$B:$P,3,FALSE)</f>
        <v>number</v>
      </c>
      <c r="AG361" s="47" t="s">
        <v>338</v>
      </c>
      <c r="AH361" s="51" t="str">
        <f>VLOOKUP(Table3[[#This Row],[MONTH]],TAGS!$W$67:$Y$81,2,FALSE)</f>
        <v>4TH QTR</v>
      </c>
      <c r="AI361" s="51" t="str">
        <f>VLOOKUP(Table3[[#This Row],[MONTH]],TAGS!$W$67:$Y$81,3,FALSE)</f>
        <v>2ND SEMESTER</v>
      </c>
      <c r="AJ361" s="51">
        <f>VLOOKUP(Table3[[#This Row],[MONTH]],TAGS!$W$67:$Z$81,4,FALSE)</f>
        <v>2025</v>
      </c>
      <c r="AK361" s="47">
        <v>2</v>
      </c>
      <c r="AL361" s="51" t="str">
        <f>VLOOKUP(Table3[[#This Row],[ACTIVITY]],TAGS!$B:$R,16,FALSE)</f>
        <v>NO</v>
      </c>
      <c r="AM361" s="47"/>
      <c r="AN361" s="47">
        <v>84</v>
      </c>
      <c r="AO361" s="57">
        <f>SUM(Table3[[#This Row],[MALE BENEFICIARIES]:[FEMALE BENEFICIARIES]])</f>
        <v>0</v>
      </c>
      <c r="AP361" s="58"/>
      <c r="AQ361" s="58"/>
      <c r="AR361" s="58"/>
      <c r="AS361" s="58"/>
      <c r="AT361" s="59" t="str">
        <f>VLOOKUP(Table3[[#This Row],[ACTIVITY]],TAGS!$B:$R,17,FALSE)</f>
        <v>NO</v>
      </c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  <c r="BM361" s="59"/>
    </row>
    <row r="362" spans="1:65">
      <c r="A362" s="51" t="str">
        <f>VLOOKUP(Table3[[#This Row],[OU]],OU!$A$15:$B$34,2,FALSE)</f>
        <v>RFOs</v>
      </c>
      <c r="B362" s="47" t="s">
        <v>5</v>
      </c>
      <c r="C362" s="47" t="s">
        <v>574</v>
      </c>
      <c r="D362" s="47"/>
      <c r="E362" s="47" t="s">
        <v>43</v>
      </c>
      <c r="F362" s="47" t="s">
        <v>664</v>
      </c>
      <c r="G36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36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23120000</v>
      </c>
      <c r="I362" s="52" t="str">
        <f>VLOOKUP(Table3[[#This Row],[PSGC]],DISTRICT!$D:$G,4,FALSE)</f>
        <v>4th</v>
      </c>
      <c r="J362" s="47" t="s">
        <v>585</v>
      </c>
      <c r="K362" s="51" t="str">
        <f>VLOOKUP(Table3[[#This Row],[SPECIFIC COMMODITY]],TAGS!$W$48:$X$53,2,FALSE)</f>
        <v>Multi_commodity</v>
      </c>
      <c r="L362" s="51" t="str">
        <f>VLOOKUP(Table3[[#This Row],[PREXC SUB-PROGRAM]],Table5[],2,FALSE)</f>
        <v>TECHNICAL AND SUPPORT SERVICES PROGRAM</v>
      </c>
      <c r="M362" s="51" t="str">
        <f>VLOOKUP(Table3[[#This Row],[COMMODITY PREXC SUB-PROGRAM]],TAGS!$U$54:$V$76,2,FALSE)</f>
        <v>ESETS</v>
      </c>
      <c r="N362" s="47" t="s">
        <v>592</v>
      </c>
      <c r="O362" s="54" t="str">
        <f>VLOOKUP(Table3[[#This Row],[PI LEVEL 3]],'PI LEVEL'!A:C,3,FALSE)</f>
        <v>Individuals given incentives, recognition, and awards</v>
      </c>
      <c r="P362" s="54" t="str">
        <f>VLOOKUP(Table3[[#This Row],[PI LEVEL 3]],Table53729[[Performance Indicator Level 3]:[Performance Indicator Level 1]],2,FALSE)</f>
        <v>AEWs-extension workers given incentives</v>
      </c>
      <c r="Q362" s="54" t="str">
        <f>VLOOKUP(Table3[[#This Row],[ACTIVITY]],TAGS!B:P,2,FALSE)</f>
        <v>AEWs-extension workers given incentives</v>
      </c>
      <c r="R362" s="47" t="s">
        <v>113</v>
      </c>
      <c r="S362" s="51" t="str">
        <f>VLOOKUP(Table3[[#This Row],[ACTIVITY]],TAGS!$B:$P,4,FALSE)</f>
        <v>Extension Workers Incentives</v>
      </c>
      <c r="T362" s="51" t="str">
        <f>VLOOKUP(Table3[[#This Row],[ACTIVITY]],TAGS!$B:$P,5,FALSE)</f>
        <v>Incentives Given</v>
      </c>
      <c r="U362" s="51" t="str">
        <f>VLOOKUP(Table3[[#This Row],[ACTIVITY]],TAGS!$B:$P,6,FALSE)</f>
        <v>Agricultural Extension Worker</v>
      </c>
      <c r="V362" s="51" t="str">
        <f>VLOOKUP(Table3[[#This Row],[ACTIVITY]],TAGS!$B:$P,7,FALSE)</f>
        <v>NO</v>
      </c>
      <c r="W362" s="51" t="str">
        <f>VLOOKUP(Table3[[#This Row],[ACTIVITY]],TAGS!$B:$P,8,FALSE)</f>
        <v>PAP</v>
      </c>
      <c r="X362" s="51" t="str">
        <f>VLOOKUP(Table3[[#This Row],[ACTIVITY]],TAGS!$B:$P,10,FALSE)</f>
        <v>PIP</v>
      </c>
      <c r="Y362" s="51" t="str">
        <f>VLOOKUP(Table3[[#This Row],[ACTIVITY]],TAGS!$B:$P,11,FALSE)</f>
        <v>PICS</v>
      </c>
      <c r="Z362" s="51" t="str">
        <f>VLOOKUP(Table3[[#This Row],[ACTIVITY]],TAGS!$B:$P,12,FALSE)</f>
        <v>Consolidation</v>
      </c>
      <c r="AA362" s="51" t="str">
        <f>VLOOKUP(Table3[[#This Row],[ACTIVITY]],TAGS!$B:$P,13,FALSE)</f>
        <v>3. PAFES</v>
      </c>
      <c r="AB362" s="51" t="str">
        <f>VLOOKUP(Table3[[#This Row],[ACTIVITY]],TAGS!$B:$P,14,FALSE)</f>
        <v>STRONG PARTNERSHIP WITH THE FARMERS, FISHERFOLK, PRIVATE SECTOR, AND OTHER STAKEHOLDERS</v>
      </c>
      <c r="AC362" s="51" t="str">
        <f>VLOOKUP(Table3[[#This Row],[ACTIVITY]],TAGS!$B:$P,15,FALSE)</f>
        <v>Other Intervetions</v>
      </c>
      <c r="AD362" s="51" t="str">
        <f>VLOOKUP(Table3[[#This Row],[PI LEVEL 3]],'PI LEVEL'!$A:$G,7,FALSE)</f>
        <v>DA-Level Output</v>
      </c>
      <c r="AE362" s="47" t="s">
        <v>577</v>
      </c>
      <c r="AF362" s="51" t="str">
        <f>VLOOKUP(Table3[[#This Row],[ACTIVITY]],TAGS!$B:$P,3,FALSE)</f>
        <v>number</v>
      </c>
      <c r="AG362" s="47" t="s">
        <v>338</v>
      </c>
      <c r="AH362" s="51" t="str">
        <f>VLOOKUP(Table3[[#This Row],[MONTH]],TAGS!$W$67:$Y$81,2,FALSE)</f>
        <v>4TH QTR</v>
      </c>
      <c r="AI362" s="51" t="str">
        <f>VLOOKUP(Table3[[#This Row],[MONTH]],TAGS!$W$67:$Y$81,3,FALSE)</f>
        <v>2ND SEMESTER</v>
      </c>
      <c r="AJ362" s="51">
        <f>VLOOKUP(Table3[[#This Row],[MONTH]],TAGS!$W$67:$Z$81,4,FALSE)</f>
        <v>2025</v>
      </c>
      <c r="AK362" s="47">
        <v>2</v>
      </c>
      <c r="AL362" s="51" t="str">
        <f>VLOOKUP(Table3[[#This Row],[ACTIVITY]],TAGS!$B:$R,16,FALSE)</f>
        <v>NO</v>
      </c>
      <c r="AM362" s="47"/>
      <c r="AN362" s="47">
        <v>84</v>
      </c>
      <c r="AO362" s="57">
        <f>SUM(Table3[[#This Row],[MALE BENEFICIARIES]:[FEMALE BENEFICIARIES]])</f>
        <v>0</v>
      </c>
      <c r="AP362" s="58"/>
      <c r="AQ362" s="58"/>
      <c r="AR362" s="58"/>
      <c r="AS362" s="58"/>
      <c r="AT362" s="59" t="str">
        <f>VLOOKUP(Table3[[#This Row],[ACTIVITY]],TAGS!$B:$R,17,FALSE)</f>
        <v>NO</v>
      </c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  <c r="BM362" s="59"/>
    </row>
    <row r="363" spans="1:65">
      <c r="A363" s="51" t="str">
        <f>VLOOKUP(Table3[[#This Row],[OU]],OU!$A$15:$B$34,2,FALSE)</f>
        <v>RFOs</v>
      </c>
      <c r="B363" s="47" t="s">
        <v>5</v>
      </c>
      <c r="C363" s="47" t="s">
        <v>574</v>
      </c>
      <c r="D363" s="47"/>
      <c r="E363" s="47" t="s">
        <v>43</v>
      </c>
      <c r="F363" s="47" t="s">
        <v>682</v>
      </c>
      <c r="G36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5th District</v>
      </c>
      <c r="H36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23123000</v>
      </c>
      <c r="I363" s="52" t="str">
        <f>VLOOKUP(Table3[[#This Row],[PSGC]],DISTRICT!$D:$G,4,FALSE)</f>
        <v>4th</v>
      </c>
      <c r="J363" s="47" t="s">
        <v>585</v>
      </c>
      <c r="K363" s="51" t="str">
        <f>VLOOKUP(Table3[[#This Row],[SPECIFIC COMMODITY]],TAGS!$W$48:$X$53,2,FALSE)</f>
        <v>Multi_commodity</v>
      </c>
      <c r="L363" s="51" t="str">
        <f>VLOOKUP(Table3[[#This Row],[PREXC SUB-PROGRAM]],Table5[],2,FALSE)</f>
        <v>TECHNICAL AND SUPPORT SERVICES PROGRAM</v>
      </c>
      <c r="M363" s="51" t="str">
        <f>VLOOKUP(Table3[[#This Row],[COMMODITY PREXC SUB-PROGRAM]],TAGS!$U$54:$V$76,2,FALSE)</f>
        <v>ESETS</v>
      </c>
      <c r="N363" s="47" t="s">
        <v>592</v>
      </c>
      <c r="O363" s="54" t="str">
        <f>VLOOKUP(Table3[[#This Row],[PI LEVEL 3]],'PI LEVEL'!A:C,3,FALSE)</f>
        <v>Individuals given incentives, recognition, and awards</v>
      </c>
      <c r="P363" s="54" t="str">
        <f>VLOOKUP(Table3[[#This Row],[PI LEVEL 3]],Table53729[[Performance Indicator Level 3]:[Performance Indicator Level 1]],2,FALSE)</f>
        <v>AEWs-extension workers given incentives</v>
      </c>
      <c r="Q363" s="54" t="str">
        <f>VLOOKUP(Table3[[#This Row],[ACTIVITY]],TAGS!B:P,2,FALSE)</f>
        <v>AEWs-extension workers given incentives</v>
      </c>
      <c r="R363" s="47" t="s">
        <v>113</v>
      </c>
      <c r="S363" s="51" t="str">
        <f>VLOOKUP(Table3[[#This Row],[ACTIVITY]],TAGS!$B:$P,4,FALSE)</f>
        <v>Extension Workers Incentives</v>
      </c>
      <c r="T363" s="51" t="str">
        <f>VLOOKUP(Table3[[#This Row],[ACTIVITY]],TAGS!$B:$P,5,FALSE)</f>
        <v>Incentives Given</v>
      </c>
      <c r="U363" s="51" t="str">
        <f>VLOOKUP(Table3[[#This Row],[ACTIVITY]],TAGS!$B:$P,6,FALSE)</f>
        <v>Agricultural Extension Worker</v>
      </c>
      <c r="V363" s="51" t="str">
        <f>VLOOKUP(Table3[[#This Row],[ACTIVITY]],TAGS!$B:$P,7,FALSE)</f>
        <v>NO</v>
      </c>
      <c r="W363" s="51" t="str">
        <f>VLOOKUP(Table3[[#This Row],[ACTIVITY]],TAGS!$B:$P,8,FALSE)</f>
        <v>PAP</v>
      </c>
      <c r="X363" s="51" t="str">
        <f>VLOOKUP(Table3[[#This Row],[ACTIVITY]],TAGS!$B:$P,10,FALSE)</f>
        <v>PIP</v>
      </c>
      <c r="Y363" s="51" t="str">
        <f>VLOOKUP(Table3[[#This Row],[ACTIVITY]],TAGS!$B:$P,11,FALSE)</f>
        <v>PICS</v>
      </c>
      <c r="Z363" s="51" t="str">
        <f>VLOOKUP(Table3[[#This Row],[ACTIVITY]],TAGS!$B:$P,12,FALSE)</f>
        <v>Consolidation</v>
      </c>
      <c r="AA363" s="51" t="str">
        <f>VLOOKUP(Table3[[#This Row],[ACTIVITY]],TAGS!$B:$P,13,FALSE)</f>
        <v>3. PAFES</v>
      </c>
      <c r="AB363" s="51" t="str">
        <f>VLOOKUP(Table3[[#This Row],[ACTIVITY]],TAGS!$B:$P,14,FALSE)</f>
        <v>STRONG PARTNERSHIP WITH THE FARMERS, FISHERFOLK, PRIVATE SECTOR, AND OTHER STAKEHOLDERS</v>
      </c>
      <c r="AC363" s="51" t="str">
        <f>VLOOKUP(Table3[[#This Row],[ACTIVITY]],TAGS!$B:$P,15,FALSE)</f>
        <v>Other Intervetions</v>
      </c>
      <c r="AD363" s="51" t="str">
        <f>VLOOKUP(Table3[[#This Row],[PI LEVEL 3]],'PI LEVEL'!$A:$G,7,FALSE)</f>
        <v>DA-Level Output</v>
      </c>
      <c r="AE363" s="47" t="s">
        <v>577</v>
      </c>
      <c r="AF363" s="51" t="str">
        <f>VLOOKUP(Table3[[#This Row],[ACTIVITY]],TAGS!$B:$P,3,FALSE)</f>
        <v>number</v>
      </c>
      <c r="AG363" s="47" t="s">
        <v>338</v>
      </c>
      <c r="AH363" s="51" t="str">
        <f>VLOOKUP(Table3[[#This Row],[MONTH]],TAGS!$W$67:$Y$81,2,FALSE)</f>
        <v>4TH QTR</v>
      </c>
      <c r="AI363" s="51" t="str">
        <f>VLOOKUP(Table3[[#This Row],[MONTH]],TAGS!$W$67:$Y$81,3,FALSE)</f>
        <v>2ND SEMESTER</v>
      </c>
      <c r="AJ363" s="51">
        <f>VLOOKUP(Table3[[#This Row],[MONTH]],TAGS!$W$67:$Z$81,4,FALSE)</f>
        <v>2025</v>
      </c>
      <c r="AK363" s="47">
        <v>1</v>
      </c>
      <c r="AL363" s="51" t="str">
        <f>VLOOKUP(Table3[[#This Row],[ACTIVITY]],TAGS!$B:$R,16,FALSE)</f>
        <v>NO</v>
      </c>
      <c r="AM363" s="47"/>
      <c r="AN363" s="47">
        <v>42</v>
      </c>
      <c r="AO363" s="57">
        <f>SUM(Table3[[#This Row],[MALE BENEFICIARIES]:[FEMALE BENEFICIARIES]])</f>
        <v>0</v>
      </c>
      <c r="AP363" s="58"/>
      <c r="AQ363" s="58"/>
      <c r="AR363" s="58"/>
      <c r="AS363" s="58"/>
      <c r="AT363" s="59" t="str">
        <f>VLOOKUP(Table3[[#This Row],[ACTIVITY]],TAGS!$B:$R,17,FALSE)</f>
        <v>NO</v>
      </c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/>
    </row>
    <row r="364" spans="1:65">
      <c r="A364" s="51" t="str">
        <f>VLOOKUP(Table3[[#This Row],[OU]],OU!$A$15:$B$34,2,FALSE)</f>
        <v>RFOs</v>
      </c>
      <c r="B364" s="47" t="s">
        <v>5</v>
      </c>
      <c r="C364" s="47" t="s">
        <v>574</v>
      </c>
      <c r="D364" s="47"/>
      <c r="E364" s="47" t="s">
        <v>43</v>
      </c>
      <c r="F364" s="47" t="s">
        <v>666</v>
      </c>
      <c r="G36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36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23125000</v>
      </c>
      <c r="I364" s="52" t="str">
        <f>VLOOKUP(Table3[[#This Row],[PSGC]],DISTRICT!$D:$G,4,FALSE)</f>
        <v>4th</v>
      </c>
      <c r="J364" s="47" t="s">
        <v>585</v>
      </c>
      <c r="K364" s="51" t="str">
        <f>VLOOKUP(Table3[[#This Row],[SPECIFIC COMMODITY]],TAGS!$W$48:$X$53,2,FALSE)</f>
        <v>Multi_commodity</v>
      </c>
      <c r="L364" s="51" t="str">
        <f>VLOOKUP(Table3[[#This Row],[PREXC SUB-PROGRAM]],Table5[],2,FALSE)</f>
        <v>TECHNICAL AND SUPPORT SERVICES PROGRAM</v>
      </c>
      <c r="M364" s="51" t="str">
        <f>VLOOKUP(Table3[[#This Row],[COMMODITY PREXC SUB-PROGRAM]],TAGS!$U$54:$V$76,2,FALSE)</f>
        <v>ESETS</v>
      </c>
      <c r="N364" s="47" t="s">
        <v>592</v>
      </c>
      <c r="O364" s="54" t="str">
        <f>VLOOKUP(Table3[[#This Row],[PI LEVEL 3]],'PI LEVEL'!A:C,3,FALSE)</f>
        <v>Individuals given incentives, recognition, and awards</v>
      </c>
      <c r="P364" s="54" t="str">
        <f>VLOOKUP(Table3[[#This Row],[PI LEVEL 3]],Table53729[[Performance Indicator Level 3]:[Performance Indicator Level 1]],2,FALSE)</f>
        <v>AEWs-extension workers given incentives</v>
      </c>
      <c r="Q364" s="54" t="str">
        <f>VLOOKUP(Table3[[#This Row],[ACTIVITY]],TAGS!B:P,2,FALSE)</f>
        <v>AEWs-extension workers given incentives</v>
      </c>
      <c r="R364" s="47" t="s">
        <v>113</v>
      </c>
      <c r="S364" s="51" t="str">
        <f>VLOOKUP(Table3[[#This Row],[ACTIVITY]],TAGS!$B:$P,4,FALSE)</f>
        <v>Extension Workers Incentives</v>
      </c>
      <c r="T364" s="51" t="str">
        <f>VLOOKUP(Table3[[#This Row],[ACTIVITY]],TAGS!$B:$P,5,FALSE)</f>
        <v>Incentives Given</v>
      </c>
      <c r="U364" s="51" t="str">
        <f>VLOOKUP(Table3[[#This Row],[ACTIVITY]],TAGS!$B:$P,6,FALSE)</f>
        <v>Agricultural Extension Worker</v>
      </c>
      <c r="V364" s="51" t="str">
        <f>VLOOKUP(Table3[[#This Row],[ACTIVITY]],TAGS!$B:$P,7,FALSE)</f>
        <v>NO</v>
      </c>
      <c r="W364" s="51" t="str">
        <f>VLOOKUP(Table3[[#This Row],[ACTIVITY]],TAGS!$B:$P,8,FALSE)</f>
        <v>PAP</v>
      </c>
      <c r="X364" s="51" t="str">
        <f>VLOOKUP(Table3[[#This Row],[ACTIVITY]],TAGS!$B:$P,10,FALSE)</f>
        <v>PIP</v>
      </c>
      <c r="Y364" s="51" t="str">
        <f>VLOOKUP(Table3[[#This Row],[ACTIVITY]],TAGS!$B:$P,11,FALSE)</f>
        <v>PICS</v>
      </c>
      <c r="Z364" s="51" t="str">
        <f>VLOOKUP(Table3[[#This Row],[ACTIVITY]],TAGS!$B:$P,12,FALSE)</f>
        <v>Consolidation</v>
      </c>
      <c r="AA364" s="51" t="str">
        <f>VLOOKUP(Table3[[#This Row],[ACTIVITY]],TAGS!$B:$P,13,FALSE)</f>
        <v>3. PAFES</v>
      </c>
      <c r="AB364" s="51" t="str">
        <f>VLOOKUP(Table3[[#This Row],[ACTIVITY]],TAGS!$B:$P,14,FALSE)</f>
        <v>STRONG PARTNERSHIP WITH THE FARMERS, FISHERFOLK, PRIVATE SECTOR, AND OTHER STAKEHOLDERS</v>
      </c>
      <c r="AC364" s="51" t="str">
        <f>VLOOKUP(Table3[[#This Row],[ACTIVITY]],TAGS!$B:$P,15,FALSE)</f>
        <v>Other Intervetions</v>
      </c>
      <c r="AD364" s="51" t="str">
        <f>VLOOKUP(Table3[[#This Row],[PI LEVEL 3]],'PI LEVEL'!$A:$G,7,FALSE)</f>
        <v>DA-Level Output</v>
      </c>
      <c r="AE364" s="47" t="s">
        <v>577</v>
      </c>
      <c r="AF364" s="51" t="str">
        <f>VLOOKUP(Table3[[#This Row],[ACTIVITY]],TAGS!$B:$P,3,FALSE)</f>
        <v>number</v>
      </c>
      <c r="AG364" s="47" t="s">
        <v>338</v>
      </c>
      <c r="AH364" s="51" t="str">
        <f>VLOOKUP(Table3[[#This Row],[MONTH]],TAGS!$W$67:$Y$81,2,FALSE)</f>
        <v>4TH QTR</v>
      </c>
      <c r="AI364" s="51" t="str">
        <f>VLOOKUP(Table3[[#This Row],[MONTH]],TAGS!$W$67:$Y$81,3,FALSE)</f>
        <v>2ND SEMESTER</v>
      </c>
      <c r="AJ364" s="51">
        <f>VLOOKUP(Table3[[#This Row],[MONTH]],TAGS!$W$67:$Z$81,4,FALSE)</f>
        <v>2025</v>
      </c>
      <c r="AK364" s="47">
        <v>1</v>
      </c>
      <c r="AL364" s="51" t="str">
        <f>VLOOKUP(Table3[[#This Row],[ACTIVITY]],TAGS!$B:$R,16,FALSE)</f>
        <v>NO</v>
      </c>
      <c r="AM364" s="47"/>
      <c r="AN364" s="47">
        <v>42</v>
      </c>
      <c r="AO364" s="57">
        <f>SUM(Table3[[#This Row],[MALE BENEFICIARIES]:[FEMALE BENEFICIARIES]])</f>
        <v>0</v>
      </c>
      <c r="AP364" s="58"/>
      <c r="AQ364" s="58"/>
      <c r="AR364" s="58"/>
      <c r="AS364" s="58"/>
      <c r="AT364" s="59" t="str">
        <f>VLOOKUP(Table3[[#This Row],[ACTIVITY]],TAGS!$B:$R,17,FALSE)</f>
        <v>NO</v>
      </c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</row>
    <row r="365" spans="1:65">
      <c r="A365" s="51" t="str">
        <f>VLOOKUP(Table3[[#This Row],[OU]],OU!$A$15:$B$34,2,FALSE)</f>
        <v>RFOs</v>
      </c>
      <c r="B365" s="47" t="s">
        <v>5</v>
      </c>
      <c r="C365" s="47" t="s">
        <v>574</v>
      </c>
      <c r="D365" s="47"/>
      <c r="E365" s="47" t="s">
        <v>43</v>
      </c>
      <c r="F365" s="47" t="s">
        <v>676</v>
      </c>
      <c r="G36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4th District</v>
      </c>
      <c r="H36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23127000</v>
      </c>
      <c r="I365" s="52" t="str">
        <f>VLOOKUP(Table3[[#This Row],[PSGC]],DISTRICT!$D:$G,4,FALSE)</f>
        <v>3rd</v>
      </c>
      <c r="J365" s="47" t="s">
        <v>585</v>
      </c>
      <c r="K365" s="51" t="str">
        <f>VLOOKUP(Table3[[#This Row],[SPECIFIC COMMODITY]],TAGS!$W$48:$X$53,2,FALSE)</f>
        <v>Multi_commodity</v>
      </c>
      <c r="L365" s="51" t="str">
        <f>VLOOKUP(Table3[[#This Row],[PREXC SUB-PROGRAM]],Table5[],2,FALSE)</f>
        <v>TECHNICAL AND SUPPORT SERVICES PROGRAM</v>
      </c>
      <c r="M365" s="51" t="str">
        <f>VLOOKUP(Table3[[#This Row],[COMMODITY PREXC SUB-PROGRAM]],TAGS!$U$54:$V$76,2,FALSE)</f>
        <v>ESETS</v>
      </c>
      <c r="N365" s="47" t="s">
        <v>592</v>
      </c>
      <c r="O365" s="54" t="str">
        <f>VLOOKUP(Table3[[#This Row],[PI LEVEL 3]],'PI LEVEL'!A:C,3,FALSE)</f>
        <v>Individuals given incentives, recognition, and awards</v>
      </c>
      <c r="P365" s="54" t="str">
        <f>VLOOKUP(Table3[[#This Row],[PI LEVEL 3]],Table53729[[Performance Indicator Level 3]:[Performance Indicator Level 1]],2,FALSE)</f>
        <v>AEWs-extension workers given incentives</v>
      </c>
      <c r="Q365" s="54" t="str">
        <f>VLOOKUP(Table3[[#This Row],[ACTIVITY]],TAGS!B:P,2,FALSE)</f>
        <v>AEWs-extension workers given incentives</v>
      </c>
      <c r="R365" s="47" t="s">
        <v>113</v>
      </c>
      <c r="S365" s="51" t="str">
        <f>VLOOKUP(Table3[[#This Row],[ACTIVITY]],TAGS!$B:$P,4,FALSE)</f>
        <v>Extension Workers Incentives</v>
      </c>
      <c r="T365" s="51" t="str">
        <f>VLOOKUP(Table3[[#This Row],[ACTIVITY]],TAGS!$B:$P,5,FALSE)</f>
        <v>Incentives Given</v>
      </c>
      <c r="U365" s="51" t="str">
        <f>VLOOKUP(Table3[[#This Row],[ACTIVITY]],TAGS!$B:$P,6,FALSE)</f>
        <v>Agricultural Extension Worker</v>
      </c>
      <c r="V365" s="51" t="str">
        <f>VLOOKUP(Table3[[#This Row],[ACTIVITY]],TAGS!$B:$P,7,FALSE)</f>
        <v>NO</v>
      </c>
      <c r="W365" s="51" t="str">
        <f>VLOOKUP(Table3[[#This Row],[ACTIVITY]],TAGS!$B:$P,8,FALSE)</f>
        <v>PAP</v>
      </c>
      <c r="X365" s="51" t="str">
        <f>VLOOKUP(Table3[[#This Row],[ACTIVITY]],TAGS!$B:$P,10,FALSE)</f>
        <v>PIP</v>
      </c>
      <c r="Y365" s="51" t="str">
        <f>VLOOKUP(Table3[[#This Row],[ACTIVITY]],TAGS!$B:$P,11,FALSE)</f>
        <v>PICS</v>
      </c>
      <c r="Z365" s="51" t="str">
        <f>VLOOKUP(Table3[[#This Row],[ACTIVITY]],TAGS!$B:$P,12,FALSE)</f>
        <v>Consolidation</v>
      </c>
      <c r="AA365" s="51" t="str">
        <f>VLOOKUP(Table3[[#This Row],[ACTIVITY]],TAGS!$B:$P,13,FALSE)</f>
        <v>3. PAFES</v>
      </c>
      <c r="AB365" s="51" t="str">
        <f>VLOOKUP(Table3[[#This Row],[ACTIVITY]],TAGS!$B:$P,14,FALSE)</f>
        <v>STRONG PARTNERSHIP WITH THE FARMERS, FISHERFOLK, PRIVATE SECTOR, AND OTHER STAKEHOLDERS</v>
      </c>
      <c r="AC365" s="51" t="str">
        <f>VLOOKUP(Table3[[#This Row],[ACTIVITY]],TAGS!$B:$P,15,FALSE)</f>
        <v>Other Intervetions</v>
      </c>
      <c r="AD365" s="51" t="str">
        <f>VLOOKUP(Table3[[#This Row],[PI LEVEL 3]],'PI LEVEL'!$A:$G,7,FALSE)</f>
        <v>DA-Level Output</v>
      </c>
      <c r="AE365" s="47" t="s">
        <v>577</v>
      </c>
      <c r="AF365" s="51" t="str">
        <f>VLOOKUP(Table3[[#This Row],[ACTIVITY]],TAGS!$B:$P,3,FALSE)</f>
        <v>number</v>
      </c>
      <c r="AG365" s="47" t="s">
        <v>338</v>
      </c>
      <c r="AH365" s="51" t="str">
        <f>VLOOKUP(Table3[[#This Row],[MONTH]],TAGS!$W$67:$Y$81,2,FALSE)</f>
        <v>4TH QTR</v>
      </c>
      <c r="AI365" s="51" t="str">
        <f>VLOOKUP(Table3[[#This Row],[MONTH]],TAGS!$W$67:$Y$81,3,FALSE)</f>
        <v>2ND SEMESTER</v>
      </c>
      <c r="AJ365" s="51">
        <f>VLOOKUP(Table3[[#This Row],[MONTH]],TAGS!$W$67:$Z$81,4,FALSE)</f>
        <v>2025</v>
      </c>
      <c r="AK365" s="47">
        <v>4</v>
      </c>
      <c r="AL365" s="51" t="str">
        <f>VLOOKUP(Table3[[#This Row],[ACTIVITY]],TAGS!$B:$R,16,FALSE)</f>
        <v>NO</v>
      </c>
      <c r="AM365" s="47"/>
      <c r="AN365" s="47">
        <v>168</v>
      </c>
      <c r="AO365" s="57">
        <f>SUM(Table3[[#This Row],[MALE BENEFICIARIES]:[FEMALE BENEFICIARIES]])</f>
        <v>0</v>
      </c>
      <c r="AP365" s="58"/>
      <c r="AQ365" s="58"/>
      <c r="AR365" s="58"/>
      <c r="AS365" s="58"/>
      <c r="AT365" s="59" t="str">
        <f>VLOOKUP(Table3[[#This Row],[ACTIVITY]],TAGS!$B:$R,17,FALSE)</f>
        <v>NO</v>
      </c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</row>
    <row r="366" spans="1:65">
      <c r="A366" s="51" t="str">
        <f>VLOOKUP(Table3[[#This Row],[OU]],OU!$A$15:$B$34,2,FALSE)</f>
        <v>RFOs</v>
      </c>
      <c r="B366" s="47" t="s">
        <v>5</v>
      </c>
      <c r="C366" s="47" t="s">
        <v>574</v>
      </c>
      <c r="D366" s="47"/>
      <c r="E366" s="47" t="s">
        <v>43</v>
      </c>
      <c r="F366" s="47" t="s">
        <v>631</v>
      </c>
      <c r="G36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36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23128000</v>
      </c>
      <c r="I366" s="52" t="str">
        <f>VLOOKUP(Table3[[#This Row],[PSGC]],DISTRICT!$D:$G,4,FALSE)</f>
        <v>4th</v>
      </c>
      <c r="J366" s="47" t="s">
        <v>585</v>
      </c>
      <c r="K366" s="51" t="str">
        <f>VLOOKUP(Table3[[#This Row],[SPECIFIC COMMODITY]],TAGS!$W$48:$X$53,2,FALSE)</f>
        <v>Multi_commodity</v>
      </c>
      <c r="L366" s="51" t="str">
        <f>VLOOKUP(Table3[[#This Row],[PREXC SUB-PROGRAM]],Table5[],2,FALSE)</f>
        <v>TECHNICAL AND SUPPORT SERVICES PROGRAM</v>
      </c>
      <c r="M366" s="51" t="str">
        <f>VLOOKUP(Table3[[#This Row],[COMMODITY PREXC SUB-PROGRAM]],TAGS!$U$54:$V$76,2,FALSE)</f>
        <v>ESETS</v>
      </c>
      <c r="N366" s="47" t="s">
        <v>592</v>
      </c>
      <c r="O366" s="54" t="str">
        <f>VLOOKUP(Table3[[#This Row],[PI LEVEL 3]],'PI LEVEL'!A:C,3,FALSE)</f>
        <v>Individuals given incentives, recognition, and awards</v>
      </c>
      <c r="P366" s="54" t="str">
        <f>VLOOKUP(Table3[[#This Row],[PI LEVEL 3]],Table53729[[Performance Indicator Level 3]:[Performance Indicator Level 1]],2,FALSE)</f>
        <v>AEWs-extension workers given incentives</v>
      </c>
      <c r="Q366" s="54" t="str">
        <f>VLOOKUP(Table3[[#This Row],[ACTIVITY]],TAGS!B:P,2,FALSE)</f>
        <v>AEWs-extension workers given incentives</v>
      </c>
      <c r="R366" s="47" t="s">
        <v>113</v>
      </c>
      <c r="S366" s="51" t="str">
        <f>VLOOKUP(Table3[[#This Row],[ACTIVITY]],TAGS!$B:$P,4,FALSE)</f>
        <v>Extension Workers Incentives</v>
      </c>
      <c r="T366" s="51" t="str">
        <f>VLOOKUP(Table3[[#This Row],[ACTIVITY]],TAGS!$B:$P,5,FALSE)</f>
        <v>Incentives Given</v>
      </c>
      <c r="U366" s="51" t="str">
        <f>VLOOKUP(Table3[[#This Row],[ACTIVITY]],TAGS!$B:$P,6,FALSE)</f>
        <v>Agricultural Extension Worker</v>
      </c>
      <c r="V366" s="51" t="str">
        <f>VLOOKUP(Table3[[#This Row],[ACTIVITY]],TAGS!$B:$P,7,FALSE)</f>
        <v>NO</v>
      </c>
      <c r="W366" s="51" t="str">
        <f>VLOOKUP(Table3[[#This Row],[ACTIVITY]],TAGS!$B:$P,8,FALSE)</f>
        <v>PAP</v>
      </c>
      <c r="X366" s="51" t="str">
        <f>VLOOKUP(Table3[[#This Row],[ACTIVITY]],TAGS!$B:$P,10,FALSE)</f>
        <v>PIP</v>
      </c>
      <c r="Y366" s="51" t="str">
        <f>VLOOKUP(Table3[[#This Row],[ACTIVITY]],TAGS!$B:$P,11,FALSE)</f>
        <v>PICS</v>
      </c>
      <c r="Z366" s="51" t="str">
        <f>VLOOKUP(Table3[[#This Row],[ACTIVITY]],TAGS!$B:$P,12,FALSE)</f>
        <v>Consolidation</v>
      </c>
      <c r="AA366" s="51" t="str">
        <f>VLOOKUP(Table3[[#This Row],[ACTIVITY]],TAGS!$B:$P,13,FALSE)</f>
        <v>3. PAFES</v>
      </c>
      <c r="AB366" s="51" t="str">
        <f>VLOOKUP(Table3[[#This Row],[ACTIVITY]],TAGS!$B:$P,14,FALSE)</f>
        <v>STRONG PARTNERSHIP WITH THE FARMERS, FISHERFOLK, PRIVATE SECTOR, AND OTHER STAKEHOLDERS</v>
      </c>
      <c r="AC366" s="51" t="str">
        <f>VLOOKUP(Table3[[#This Row],[ACTIVITY]],TAGS!$B:$P,15,FALSE)</f>
        <v>Other Intervetions</v>
      </c>
      <c r="AD366" s="51" t="str">
        <f>VLOOKUP(Table3[[#This Row],[PI LEVEL 3]],'PI LEVEL'!$A:$G,7,FALSE)</f>
        <v>DA-Level Output</v>
      </c>
      <c r="AE366" s="47" t="s">
        <v>577</v>
      </c>
      <c r="AF366" s="51" t="str">
        <f>VLOOKUP(Table3[[#This Row],[ACTIVITY]],TAGS!$B:$P,3,FALSE)</f>
        <v>number</v>
      </c>
      <c r="AG366" s="47" t="s">
        <v>338</v>
      </c>
      <c r="AH366" s="51" t="str">
        <f>VLOOKUP(Table3[[#This Row],[MONTH]],TAGS!$W$67:$Y$81,2,FALSE)</f>
        <v>4TH QTR</v>
      </c>
      <c r="AI366" s="51" t="str">
        <f>VLOOKUP(Table3[[#This Row],[MONTH]],TAGS!$W$67:$Y$81,3,FALSE)</f>
        <v>2ND SEMESTER</v>
      </c>
      <c r="AJ366" s="51">
        <f>VLOOKUP(Table3[[#This Row],[MONTH]],TAGS!$W$67:$Z$81,4,FALSE)</f>
        <v>2025</v>
      </c>
      <c r="AK366" s="47">
        <v>3</v>
      </c>
      <c r="AL366" s="51" t="str">
        <f>VLOOKUP(Table3[[#This Row],[ACTIVITY]],TAGS!$B:$R,16,FALSE)</f>
        <v>NO</v>
      </c>
      <c r="AM366" s="47"/>
      <c r="AN366" s="47">
        <v>126</v>
      </c>
      <c r="AO366" s="57">
        <f>SUM(Table3[[#This Row],[MALE BENEFICIARIES]:[FEMALE BENEFICIARIES]])</f>
        <v>0</v>
      </c>
      <c r="AP366" s="58"/>
      <c r="AQ366" s="58"/>
      <c r="AR366" s="58"/>
      <c r="AS366" s="58"/>
      <c r="AT366" s="59" t="str">
        <f>VLOOKUP(Table3[[#This Row],[ACTIVITY]],TAGS!$B:$R,17,FALSE)</f>
        <v>NO</v>
      </c>
      <c r="AU366" s="59"/>
      <c r="AV366" s="59"/>
      <c r="AW366" s="59"/>
      <c r="AX366" s="59"/>
      <c r="AY366" s="59"/>
      <c r="AZ366" s="59"/>
      <c r="BA366" s="59"/>
      <c r="BB366" s="59"/>
      <c r="BC366" s="59"/>
      <c r="BD366" s="59"/>
      <c r="BE366" s="59"/>
      <c r="BF366" s="59"/>
      <c r="BG366" s="59"/>
      <c r="BH366" s="59"/>
      <c r="BI366" s="59"/>
      <c r="BJ366" s="59"/>
      <c r="BK366" s="59"/>
      <c r="BL366" s="59"/>
      <c r="BM366" s="59"/>
    </row>
    <row r="367" spans="1:65">
      <c r="A367" s="51" t="str">
        <f>VLOOKUP(Table3[[#This Row],[OU]],OU!$A$15:$B$34,2,FALSE)</f>
        <v>RFOs</v>
      </c>
      <c r="B367" s="47" t="s">
        <v>5</v>
      </c>
      <c r="C367" s="47" t="s">
        <v>574</v>
      </c>
      <c r="D367" s="47"/>
      <c r="E367" s="47" t="s">
        <v>43</v>
      </c>
      <c r="F367" s="47" t="s">
        <v>667</v>
      </c>
      <c r="G36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36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23131000</v>
      </c>
      <c r="I367" s="52" t="str">
        <f>VLOOKUP(Table3[[#This Row],[PSGC]],DISTRICT!$D:$G,4,FALSE)</f>
        <v>1st</v>
      </c>
      <c r="J367" s="47" t="s">
        <v>585</v>
      </c>
      <c r="K367" s="51" t="str">
        <f>VLOOKUP(Table3[[#This Row],[SPECIFIC COMMODITY]],TAGS!$W$48:$X$53,2,FALSE)</f>
        <v>Multi_commodity</v>
      </c>
      <c r="L367" s="51" t="str">
        <f>VLOOKUP(Table3[[#This Row],[PREXC SUB-PROGRAM]],Table5[],2,FALSE)</f>
        <v>TECHNICAL AND SUPPORT SERVICES PROGRAM</v>
      </c>
      <c r="M367" s="51" t="str">
        <f>VLOOKUP(Table3[[#This Row],[COMMODITY PREXC SUB-PROGRAM]],TAGS!$U$54:$V$76,2,FALSE)</f>
        <v>ESETS</v>
      </c>
      <c r="N367" s="47" t="s">
        <v>592</v>
      </c>
      <c r="O367" s="54" t="str">
        <f>VLOOKUP(Table3[[#This Row],[PI LEVEL 3]],'PI LEVEL'!A:C,3,FALSE)</f>
        <v>Individuals given incentives, recognition, and awards</v>
      </c>
      <c r="P367" s="54" t="str">
        <f>VLOOKUP(Table3[[#This Row],[PI LEVEL 3]],Table53729[[Performance Indicator Level 3]:[Performance Indicator Level 1]],2,FALSE)</f>
        <v>AEWs-extension workers given incentives</v>
      </c>
      <c r="Q367" s="54" t="str">
        <f>VLOOKUP(Table3[[#This Row],[ACTIVITY]],TAGS!B:P,2,FALSE)</f>
        <v>AEWs-extension workers given incentives</v>
      </c>
      <c r="R367" s="47" t="s">
        <v>113</v>
      </c>
      <c r="S367" s="51" t="str">
        <f>VLOOKUP(Table3[[#This Row],[ACTIVITY]],TAGS!$B:$P,4,FALSE)</f>
        <v>Extension Workers Incentives</v>
      </c>
      <c r="T367" s="51" t="str">
        <f>VLOOKUP(Table3[[#This Row],[ACTIVITY]],TAGS!$B:$P,5,FALSE)</f>
        <v>Incentives Given</v>
      </c>
      <c r="U367" s="51" t="str">
        <f>VLOOKUP(Table3[[#This Row],[ACTIVITY]],TAGS!$B:$P,6,FALSE)</f>
        <v>Agricultural Extension Worker</v>
      </c>
      <c r="V367" s="51" t="str">
        <f>VLOOKUP(Table3[[#This Row],[ACTIVITY]],TAGS!$B:$P,7,FALSE)</f>
        <v>NO</v>
      </c>
      <c r="W367" s="51" t="str">
        <f>VLOOKUP(Table3[[#This Row],[ACTIVITY]],TAGS!$B:$P,8,FALSE)</f>
        <v>PAP</v>
      </c>
      <c r="X367" s="51" t="str">
        <f>VLOOKUP(Table3[[#This Row],[ACTIVITY]],TAGS!$B:$P,10,FALSE)</f>
        <v>PIP</v>
      </c>
      <c r="Y367" s="51" t="str">
        <f>VLOOKUP(Table3[[#This Row],[ACTIVITY]],TAGS!$B:$P,11,FALSE)</f>
        <v>PICS</v>
      </c>
      <c r="Z367" s="51" t="str">
        <f>VLOOKUP(Table3[[#This Row],[ACTIVITY]],TAGS!$B:$P,12,FALSE)</f>
        <v>Consolidation</v>
      </c>
      <c r="AA367" s="51" t="str">
        <f>VLOOKUP(Table3[[#This Row],[ACTIVITY]],TAGS!$B:$P,13,FALSE)</f>
        <v>3. PAFES</v>
      </c>
      <c r="AB367" s="51" t="str">
        <f>VLOOKUP(Table3[[#This Row],[ACTIVITY]],TAGS!$B:$P,14,FALSE)</f>
        <v>STRONG PARTNERSHIP WITH THE FARMERS, FISHERFOLK, PRIVATE SECTOR, AND OTHER STAKEHOLDERS</v>
      </c>
      <c r="AC367" s="51" t="str">
        <f>VLOOKUP(Table3[[#This Row],[ACTIVITY]],TAGS!$B:$P,15,FALSE)</f>
        <v>Other Intervetions</v>
      </c>
      <c r="AD367" s="51" t="str">
        <f>VLOOKUP(Table3[[#This Row],[PI LEVEL 3]],'PI LEVEL'!$A:$G,7,FALSE)</f>
        <v>DA-Level Output</v>
      </c>
      <c r="AE367" s="47" t="s">
        <v>577</v>
      </c>
      <c r="AF367" s="51" t="str">
        <f>VLOOKUP(Table3[[#This Row],[ACTIVITY]],TAGS!$B:$P,3,FALSE)</f>
        <v>number</v>
      </c>
      <c r="AG367" s="47" t="s">
        <v>338</v>
      </c>
      <c r="AH367" s="51" t="str">
        <f>VLOOKUP(Table3[[#This Row],[MONTH]],TAGS!$W$67:$Y$81,2,FALSE)</f>
        <v>4TH QTR</v>
      </c>
      <c r="AI367" s="51" t="str">
        <f>VLOOKUP(Table3[[#This Row],[MONTH]],TAGS!$W$67:$Y$81,3,FALSE)</f>
        <v>2ND SEMESTER</v>
      </c>
      <c r="AJ367" s="51">
        <f>VLOOKUP(Table3[[#This Row],[MONTH]],TAGS!$W$67:$Z$81,4,FALSE)</f>
        <v>2025</v>
      </c>
      <c r="AK367" s="47">
        <v>5</v>
      </c>
      <c r="AL367" s="51" t="str">
        <f>VLOOKUP(Table3[[#This Row],[ACTIVITY]],TAGS!$B:$R,16,FALSE)</f>
        <v>NO</v>
      </c>
      <c r="AM367" s="47"/>
      <c r="AN367" s="47">
        <v>210</v>
      </c>
      <c r="AO367" s="57">
        <f>SUM(Table3[[#This Row],[MALE BENEFICIARIES]:[FEMALE BENEFICIARIES]])</f>
        <v>0</v>
      </c>
      <c r="AP367" s="58"/>
      <c r="AQ367" s="58"/>
      <c r="AR367" s="58"/>
      <c r="AS367" s="58"/>
      <c r="AT367" s="59" t="str">
        <f>VLOOKUP(Table3[[#This Row],[ACTIVITY]],TAGS!$B:$R,17,FALSE)</f>
        <v>NO</v>
      </c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</row>
    <row r="368" spans="1:65">
      <c r="A368" s="51" t="str">
        <f>VLOOKUP(Table3[[#This Row],[OU]],OU!$A$15:$B$34,2,FALSE)</f>
        <v>RFOs</v>
      </c>
      <c r="B368" s="47" t="s">
        <v>5</v>
      </c>
      <c r="C368" s="47" t="s">
        <v>574</v>
      </c>
      <c r="D368" s="47"/>
      <c r="E368" s="47" t="s">
        <v>43</v>
      </c>
      <c r="F368" s="47" t="s">
        <v>623</v>
      </c>
      <c r="G36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36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23133000</v>
      </c>
      <c r="I368" s="52" t="str">
        <f>VLOOKUP(Table3[[#This Row],[PSGC]],DISTRICT!$D:$G,4,FALSE)</f>
        <v>2nd</v>
      </c>
      <c r="J368" s="47" t="s">
        <v>585</v>
      </c>
      <c r="K368" s="51" t="str">
        <f>VLOOKUP(Table3[[#This Row],[SPECIFIC COMMODITY]],TAGS!$W$48:$X$53,2,FALSE)</f>
        <v>Multi_commodity</v>
      </c>
      <c r="L368" s="51" t="str">
        <f>VLOOKUP(Table3[[#This Row],[PREXC SUB-PROGRAM]],Table5[],2,FALSE)</f>
        <v>TECHNICAL AND SUPPORT SERVICES PROGRAM</v>
      </c>
      <c r="M368" s="51" t="str">
        <f>VLOOKUP(Table3[[#This Row],[COMMODITY PREXC SUB-PROGRAM]],TAGS!$U$54:$V$76,2,FALSE)</f>
        <v>ESETS</v>
      </c>
      <c r="N368" s="47" t="s">
        <v>592</v>
      </c>
      <c r="O368" s="54" t="str">
        <f>VLOOKUP(Table3[[#This Row],[PI LEVEL 3]],'PI LEVEL'!A:C,3,FALSE)</f>
        <v>Individuals given incentives, recognition, and awards</v>
      </c>
      <c r="P368" s="54" t="str">
        <f>VLOOKUP(Table3[[#This Row],[PI LEVEL 3]],Table53729[[Performance Indicator Level 3]:[Performance Indicator Level 1]],2,FALSE)</f>
        <v>AEWs-extension workers given incentives</v>
      </c>
      <c r="Q368" s="54" t="str">
        <f>VLOOKUP(Table3[[#This Row],[ACTIVITY]],TAGS!B:P,2,FALSE)</f>
        <v>AEWs-extension workers given incentives</v>
      </c>
      <c r="R368" s="47" t="s">
        <v>113</v>
      </c>
      <c r="S368" s="51" t="str">
        <f>VLOOKUP(Table3[[#This Row],[ACTIVITY]],TAGS!$B:$P,4,FALSE)</f>
        <v>Extension Workers Incentives</v>
      </c>
      <c r="T368" s="51" t="str">
        <f>VLOOKUP(Table3[[#This Row],[ACTIVITY]],TAGS!$B:$P,5,FALSE)</f>
        <v>Incentives Given</v>
      </c>
      <c r="U368" s="51" t="str">
        <f>VLOOKUP(Table3[[#This Row],[ACTIVITY]],TAGS!$B:$P,6,FALSE)</f>
        <v>Agricultural Extension Worker</v>
      </c>
      <c r="V368" s="51" t="str">
        <f>VLOOKUP(Table3[[#This Row],[ACTIVITY]],TAGS!$B:$P,7,FALSE)</f>
        <v>NO</v>
      </c>
      <c r="W368" s="51" t="str">
        <f>VLOOKUP(Table3[[#This Row],[ACTIVITY]],TAGS!$B:$P,8,FALSE)</f>
        <v>PAP</v>
      </c>
      <c r="X368" s="51" t="str">
        <f>VLOOKUP(Table3[[#This Row],[ACTIVITY]],TAGS!$B:$P,10,FALSE)</f>
        <v>PIP</v>
      </c>
      <c r="Y368" s="51" t="str">
        <f>VLOOKUP(Table3[[#This Row],[ACTIVITY]],TAGS!$B:$P,11,FALSE)</f>
        <v>PICS</v>
      </c>
      <c r="Z368" s="51" t="str">
        <f>VLOOKUP(Table3[[#This Row],[ACTIVITY]],TAGS!$B:$P,12,FALSE)</f>
        <v>Consolidation</v>
      </c>
      <c r="AA368" s="51" t="str">
        <f>VLOOKUP(Table3[[#This Row],[ACTIVITY]],TAGS!$B:$P,13,FALSE)</f>
        <v>3. PAFES</v>
      </c>
      <c r="AB368" s="51" t="str">
        <f>VLOOKUP(Table3[[#This Row],[ACTIVITY]],TAGS!$B:$P,14,FALSE)</f>
        <v>STRONG PARTNERSHIP WITH THE FARMERS, FISHERFOLK, PRIVATE SECTOR, AND OTHER STAKEHOLDERS</v>
      </c>
      <c r="AC368" s="51" t="str">
        <f>VLOOKUP(Table3[[#This Row],[ACTIVITY]],TAGS!$B:$P,15,FALSE)</f>
        <v>Other Intervetions</v>
      </c>
      <c r="AD368" s="51" t="str">
        <f>VLOOKUP(Table3[[#This Row],[PI LEVEL 3]],'PI LEVEL'!$A:$G,7,FALSE)</f>
        <v>DA-Level Output</v>
      </c>
      <c r="AE368" s="47" t="s">
        <v>577</v>
      </c>
      <c r="AF368" s="51" t="str">
        <f>VLOOKUP(Table3[[#This Row],[ACTIVITY]],TAGS!$B:$P,3,FALSE)</f>
        <v>number</v>
      </c>
      <c r="AG368" s="47" t="s">
        <v>338</v>
      </c>
      <c r="AH368" s="51" t="str">
        <f>VLOOKUP(Table3[[#This Row],[MONTH]],TAGS!$W$67:$Y$81,2,FALSE)</f>
        <v>4TH QTR</v>
      </c>
      <c r="AI368" s="51" t="str">
        <f>VLOOKUP(Table3[[#This Row],[MONTH]],TAGS!$W$67:$Y$81,3,FALSE)</f>
        <v>2ND SEMESTER</v>
      </c>
      <c r="AJ368" s="51">
        <f>VLOOKUP(Table3[[#This Row],[MONTH]],TAGS!$W$67:$Z$81,4,FALSE)</f>
        <v>2025</v>
      </c>
      <c r="AK368" s="47">
        <v>2</v>
      </c>
      <c r="AL368" s="51" t="str">
        <f>VLOOKUP(Table3[[#This Row],[ACTIVITY]],TAGS!$B:$R,16,FALSE)</f>
        <v>NO</v>
      </c>
      <c r="AM368" s="47"/>
      <c r="AN368" s="47">
        <v>84</v>
      </c>
      <c r="AO368" s="57">
        <f>SUM(Table3[[#This Row],[MALE BENEFICIARIES]:[FEMALE BENEFICIARIES]])</f>
        <v>0</v>
      </c>
      <c r="AP368" s="58"/>
      <c r="AQ368" s="58"/>
      <c r="AR368" s="58"/>
      <c r="AS368" s="58"/>
      <c r="AT368" s="59" t="str">
        <f>VLOOKUP(Table3[[#This Row],[ACTIVITY]],TAGS!$B:$R,17,FALSE)</f>
        <v>NO</v>
      </c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</row>
    <row r="369" spans="1:65">
      <c r="A369" s="51" t="str">
        <f>VLOOKUP(Table3[[#This Row],[OU]],OU!$A$15:$B$34,2,FALSE)</f>
        <v>RFOs</v>
      </c>
      <c r="B369" s="47" t="s">
        <v>5</v>
      </c>
      <c r="C369" s="47" t="s">
        <v>574</v>
      </c>
      <c r="D369" s="47"/>
      <c r="E369" s="47" t="s">
        <v>43</v>
      </c>
      <c r="F369" s="47" t="s">
        <v>624</v>
      </c>
      <c r="G36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36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23134000</v>
      </c>
      <c r="I369" s="52" t="str">
        <f>VLOOKUP(Table3[[#This Row],[PSGC]],DISTRICT!$D:$G,4,FALSE)</f>
        <v>4th</v>
      </c>
      <c r="J369" s="47" t="s">
        <v>585</v>
      </c>
      <c r="K369" s="51" t="str">
        <f>VLOOKUP(Table3[[#This Row],[SPECIFIC COMMODITY]],TAGS!$W$48:$X$53,2,FALSE)</f>
        <v>Multi_commodity</v>
      </c>
      <c r="L369" s="51" t="str">
        <f>VLOOKUP(Table3[[#This Row],[PREXC SUB-PROGRAM]],Table5[],2,FALSE)</f>
        <v>TECHNICAL AND SUPPORT SERVICES PROGRAM</v>
      </c>
      <c r="M369" s="51" t="str">
        <f>VLOOKUP(Table3[[#This Row],[COMMODITY PREXC SUB-PROGRAM]],TAGS!$U$54:$V$76,2,FALSE)</f>
        <v>ESETS</v>
      </c>
      <c r="N369" s="47" t="s">
        <v>592</v>
      </c>
      <c r="O369" s="54" t="str">
        <f>VLOOKUP(Table3[[#This Row],[PI LEVEL 3]],'PI LEVEL'!A:C,3,FALSE)</f>
        <v>Individuals given incentives, recognition, and awards</v>
      </c>
      <c r="P369" s="54" t="str">
        <f>VLOOKUP(Table3[[#This Row],[PI LEVEL 3]],Table53729[[Performance Indicator Level 3]:[Performance Indicator Level 1]],2,FALSE)</f>
        <v>AEWs-extension workers given incentives</v>
      </c>
      <c r="Q369" s="54" t="str">
        <f>VLOOKUP(Table3[[#This Row],[ACTIVITY]],TAGS!B:P,2,FALSE)</f>
        <v>AEWs-extension workers given incentives</v>
      </c>
      <c r="R369" s="47" t="s">
        <v>113</v>
      </c>
      <c r="S369" s="51" t="str">
        <f>VLOOKUP(Table3[[#This Row],[ACTIVITY]],TAGS!$B:$P,4,FALSE)</f>
        <v>Extension Workers Incentives</v>
      </c>
      <c r="T369" s="51" t="str">
        <f>VLOOKUP(Table3[[#This Row],[ACTIVITY]],TAGS!$B:$P,5,FALSE)</f>
        <v>Incentives Given</v>
      </c>
      <c r="U369" s="51" t="str">
        <f>VLOOKUP(Table3[[#This Row],[ACTIVITY]],TAGS!$B:$P,6,FALSE)</f>
        <v>Agricultural Extension Worker</v>
      </c>
      <c r="V369" s="51" t="str">
        <f>VLOOKUP(Table3[[#This Row],[ACTIVITY]],TAGS!$B:$P,7,FALSE)</f>
        <v>NO</v>
      </c>
      <c r="W369" s="51" t="str">
        <f>VLOOKUP(Table3[[#This Row],[ACTIVITY]],TAGS!$B:$P,8,FALSE)</f>
        <v>PAP</v>
      </c>
      <c r="X369" s="51" t="str">
        <f>VLOOKUP(Table3[[#This Row],[ACTIVITY]],TAGS!$B:$P,10,FALSE)</f>
        <v>PIP</v>
      </c>
      <c r="Y369" s="51" t="str">
        <f>VLOOKUP(Table3[[#This Row],[ACTIVITY]],TAGS!$B:$P,11,FALSE)</f>
        <v>PICS</v>
      </c>
      <c r="Z369" s="51" t="str">
        <f>VLOOKUP(Table3[[#This Row],[ACTIVITY]],TAGS!$B:$P,12,FALSE)</f>
        <v>Consolidation</v>
      </c>
      <c r="AA369" s="51" t="str">
        <f>VLOOKUP(Table3[[#This Row],[ACTIVITY]],TAGS!$B:$P,13,FALSE)</f>
        <v>3. PAFES</v>
      </c>
      <c r="AB369" s="51" t="str">
        <f>VLOOKUP(Table3[[#This Row],[ACTIVITY]],TAGS!$B:$P,14,FALSE)</f>
        <v>STRONG PARTNERSHIP WITH THE FARMERS, FISHERFOLK, PRIVATE SECTOR, AND OTHER STAKEHOLDERS</v>
      </c>
      <c r="AC369" s="51" t="str">
        <f>VLOOKUP(Table3[[#This Row],[ACTIVITY]],TAGS!$B:$P,15,FALSE)</f>
        <v>Other Intervetions</v>
      </c>
      <c r="AD369" s="51" t="str">
        <f>VLOOKUP(Table3[[#This Row],[PI LEVEL 3]],'PI LEVEL'!$A:$G,7,FALSE)</f>
        <v>DA-Level Output</v>
      </c>
      <c r="AE369" s="47" t="s">
        <v>577</v>
      </c>
      <c r="AF369" s="51" t="str">
        <f>VLOOKUP(Table3[[#This Row],[ACTIVITY]],TAGS!$B:$P,3,FALSE)</f>
        <v>number</v>
      </c>
      <c r="AG369" s="47" t="s">
        <v>338</v>
      </c>
      <c r="AH369" s="51" t="str">
        <f>VLOOKUP(Table3[[#This Row],[MONTH]],TAGS!$W$67:$Y$81,2,FALSE)</f>
        <v>4TH QTR</v>
      </c>
      <c r="AI369" s="51" t="str">
        <f>VLOOKUP(Table3[[#This Row],[MONTH]],TAGS!$W$67:$Y$81,3,FALSE)</f>
        <v>2ND SEMESTER</v>
      </c>
      <c r="AJ369" s="51">
        <f>VLOOKUP(Table3[[#This Row],[MONTH]],TAGS!$W$67:$Z$81,4,FALSE)</f>
        <v>2025</v>
      </c>
      <c r="AK369" s="47">
        <v>6</v>
      </c>
      <c r="AL369" s="51" t="str">
        <f>VLOOKUP(Table3[[#This Row],[ACTIVITY]],TAGS!$B:$R,16,FALSE)</f>
        <v>NO</v>
      </c>
      <c r="AM369" s="47"/>
      <c r="AN369" s="47">
        <v>252</v>
      </c>
      <c r="AO369" s="57">
        <f>SUM(Table3[[#This Row],[MALE BENEFICIARIES]:[FEMALE BENEFICIARIES]])</f>
        <v>0</v>
      </c>
      <c r="AP369" s="58"/>
      <c r="AQ369" s="58"/>
      <c r="AR369" s="58"/>
      <c r="AS369" s="58"/>
      <c r="AT369" s="59" t="str">
        <f>VLOOKUP(Table3[[#This Row],[ACTIVITY]],TAGS!$B:$R,17,FALSE)</f>
        <v>NO</v>
      </c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</row>
    <row r="370" spans="1:65">
      <c r="A370" s="51" t="str">
        <f>VLOOKUP(Table3[[#This Row],[OU]],OU!$A$15:$B$34,2,FALSE)</f>
        <v>RFOs</v>
      </c>
      <c r="B370" s="47" t="s">
        <v>5</v>
      </c>
      <c r="C370" s="47" t="s">
        <v>574</v>
      </c>
      <c r="D370" s="47"/>
      <c r="E370" s="47" t="s">
        <v>43</v>
      </c>
      <c r="F370" s="47" t="s">
        <v>621</v>
      </c>
      <c r="G37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37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23136000</v>
      </c>
      <c r="I370" s="52" t="str">
        <f>VLOOKUP(Table3[[#This Row],[PSGC]],DISTRICT!$D:$G,4,FALSE)</f>
        <v>4th</v>
      </c>
      <c r="J370" s="47" t="s">
        <v>585</v>
      </c>
      <c r="K370" s="51" t="str">
        <f>VLOOKUP(Table3[[#This Row],[SPECIFIC COMMODITY]],TAGS!$W$48:$X$53,2,FALSE)</f>
        <v>Multi_commodity</v>
      </c>
      <c r="L370" s="51" t="str">
        <f>VLOOKUP(Table3[[#This Row],[PREXC SUB-PROGRAM]],Table5[],2,FALSE)</f>
        <v>TECHNICAL AND SUPPORT SERVICES PROGRAM</v>
      </c>
      <c r="M370" s="51" t="str">
        <f>VLOOKUP(Table3[[#This Row],[COMMODITY PREXC SUB-PROGRAM]],TAGS!$U$54:$V$76,2,FALSE)</f>
        <v>ESETS</v>
      </c>
      <c r="N370" s="47" t="s">
        <v>592</v>
      </c>
      <c r="O370" s="54" t="str">
        <f>VLOOKUP(Table3[[#This Row],[PI LEVEL 3]],'PI LEVEL'!A:C,3,FALSE)</f>
        <v>Individuals given incentives, recognition, and awards</v>
      </c>
      <c r="P370" s="54" t="str">
        <f>VLOOKUP(Table3[[#This Row],[PI LEVEL 3]],Table53729[[Performance Indicator Level 3]:[Performance Indicator Level 1]],2,FALSE)</f>
        <v>AEWs-extension workers given incentives</v>
      </c>
      <c r="Q370" s="54" t="str">
        <f>VLOOKUP(Table3[[#This Row],[ACTIVITY]],TAGS!B:P,2,FALSE)</f>
        <v>AEWs-extension workers given incentives</v>
      </c>
      <c r="R370" s="47" t="s">
        <v>113</v>
      </c>
      <c r="S370" s="51" t="str">
        <f>VLOOKUP(Table3[[#This Row],[ACTIVITY]],TAGS!$B:$P,4,FALSE)</f>
        <v>Extension Workers Incentives</v>
      </c>
      <c r="T370" s="51" t="str">
        <f>VLOOKUP(Table3[[#This Row],[ACTIVITY]],TAGS!$B:$P,5,FALSE)</f>
        <v>Incentives Given</v>
      </c>
      <c r="U370" s="51" t="str">
        <f>VLOOKUP(Table3[[#This Row],[ACTIVITY]],TAGS!$B:$P,6,FALSE)</f>
        <v>Agricultural Extension Worker</v>
      </c>
      <c r="V370" s="51" t="str">
        <f>VLOOKUP(Table3[[#This Row],[ACTIVITY]],TAGS!$B:$P,7,FALSE)</f>
        <v>NO</v>
      </c>
      <c r="W370" s="51" t="str">
        <f>VLOOKUP(Table3[[#This Row],[ACTIVITY]],TAGS!$B:$P,8,FALSE)</f>
        <v>PAP</v>
      </c>
      <c r="X370" s="51" t="str">
        <f>VLOOKUP(Table3[[#This Row],[ACTIVITY]],TAGS!$B:$P,10,FALSE)</f>
        <v>PIP</v>
      </c>
      <c r="Y370" s="51" t="str">
        <f>VLOOKUP(Table3[[#This Row],[ACTIVITY]],TAGS!$B:$P,11,FALSE)</f>
        <v>PICS</v>
      </c>
      <c r="Z370" s="51" t="str">
        <f>VLOOKUP(Table3[[#This Row],[ACTIVITY]],TAGS!$B:$P,12,FALSE)</f>
        <v>Consolidation</v>
      </c>
      <c r="AA370" s="51" t="str">
        <f>VLOOKUP(Table3[[#This Row],[ACTIVITY]],TAGS!$B:$P,13,FALSE)</f>
        <v>3. PAFES</v>
      </c>
      <c r="AB370" s="51" t="str">
        <f>VLOOKUP(Table3[[#This Row],[ACTIVITY]],TAGS!$B:$P,14,FALSE)</f>
        <v>STRONG PARTNERSHIP WITH THE FARMERS, FISHERFOLK, PRIVATE SECTOR, AND OTHER STAKEHOLDERS</v>
      </c>
      <c r="AC370" s="51" t="str">
        <f>VLOOKUP(Table3[[#This Row],[ACTIVITY]],TAGS!$B:$P,15,FALSE)</f>
        <v>Other Intervetions</v>
      </c>
      <c r="AD370" s="51" t="str">
        <f>VLOOKUP(Table3[[#This Row],[PI LEVEL 3]],'PI LEVEL'!$A:$G,7,FALSE)</f>
        <v>DA-Level Output</v>
      </c>
      <c r="AE370" s="47" t="s">
        <v>577</v>
      </c>
      <c r="AF370" s="51" t="str">
        <f>VLOOKUP(Table3[[#This Row],[ACTIVITY]],TAGS!$B:$P,3,FALSE)</f>
        <v>number</v>
      </c>
      <c r="AG370" s="47" t="s">
        <v>338</v>
      </c>
      <c r="AH370" s="51" t="str">
        <f>VLOOKUP(Table3[[#This Row],[MONTH]],TAGS!$W$67:$Y$81,2,FALSE)</f>
        <v>4TH QTR</v>
      </c>
      <c r="AI370" s="51" t="str">
        <f>VLOOKUP(Table3[[#This Row],[MONTH]],TAGS!$W$67:$Y$81,3,FALSE)</f>
        <v>2ND SEMESTER</v>
      </c>
      <c r="AJ370" s="51">
        <f>VLOOKUP(Table3[[#This Row],[MONTH]],TAGS!$W$67:$Z$81,4,FALSE)</f>
        <v>2025</v>
      </c>
      <c r="AK370" s="47">
        <v>1</v>
      </c>
      <c r="AL370" s="51" t="str">
        <f>VLOOKUP(Table3[[#This Row],[ACTIVITY]],TAGS!$B:$R,16,FALSE)</f>
        <v>NO</v>
      </c>
      <c r="AM370" s="47"/>
      <c r="AN370" s="47">
        <v>42</v>
      </c>
      <c r="AO370" s="57">
        <f>SUM(Table3[[#This Row],[MALE BENEFICIARIES]:[FEMALE BENEFICIARIES]])</f>
        <v>0</v>
      </c>
      <c r="AP370" s="58"/>
      <c r="AQ370" s="58"/>
      <c r="AR370" s="58"/>
      <c r="AS370" s="58"/>
      <c r="AT370" s="59" t="str">
        <f>VLOOKUP(Table3[[#This Row],[ACTIVITY]],TAGS!$B:$R,17,FALSE)</f>
        <v>NO</v>
      </c>
      <c r="AU370" s="59"/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</row>
    <row r="371" spans="1:65">
      <c r="A371" s="51" t="str">
        <f>VLOOKUP(Table3[[#This Row],[OU]],OU!$A$15:$B$34,2,FALSE)</f>
        <v>RFOs</v>
      </c>
      <c r="B371" s="47" t="s">
        <v>5</v>
      </c>
      <c r="C371" s="47" t="s">
        <v>574</v>
      </c>
      <c r="D371" s="47"/>
      <c r="E371" s="47" t="s">
        <v>43</v>
      </c>
      <c r="F371" s="47" t="s">
        <v>641</v>
      </c>
      <c r="G37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37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23137000</v>
      </c>
      <c r="I371" s="52" t="str">
        <f>VLOOKUP(Table3[[#This Row],[PSGC]],DISTRICT!$D:$G,4,FALSE)</f>
        <v>1st</v>
      </c>
      <c r="J371" s="47" t="s">
        <v>585</v>
      </c>
      <c r="K371" s="51" t="str">
        <f>VLOOKUP(Table3[[#This Row],[SPECIFIC COMMODITY]],TAGS!$W$48:$X$53,2,FALSE)</f>
        <v>Multi_commodity</v>
      </c>
      <c r="L371" s="51" t="str">
        <f>VLOOKUP(Table3[[#This Row],[PREXC SUB-PROGRAM]],Table5[],2,FALSE)</f>
        <v>TECHNICAL AND SUPPORT SERVICES PROGRAM</v>
      </c>
      <c r="M371" s="51" t="str">
        <f>VLOOKUP(Table3[[#This Row],[COMMODITY PREXC SUB-PROGRAM]],TAGS!$U$54:$V$76,2,FALSE)</f>
        <v>ESETS</v>
      </c>
      <c r="N371" s="47" t="s">
        <v>592</v>
      </c>
      <c r="O371" s="54" t="str">
        <f>VLOOKUP(Table3[[#This Row],[PI LEVEL 3]],'PI LEVEL'!A:C,3,FALSE)</f>
        <v>Individuals given incentives, recognition, and awards</v>
      </c>
      <c r="P371" s="54" t="str">
        <f>VLOOKUP(Table3[[#This Row],[PI LEVEL 3]],Table53729[[Performance Indicator Level 3]:[Performance Indicator Level 1]],2,FALSE)</f>
        <v>AEWs-extension workers given incentives</v>
      </c>
      <c r="Q371" s="54" t="str">
        <f>VLOOKUP(Table3[[#This Row],[ACTIVITY]],TAGS!B:P,2,FALSE)</f>
        <v>AEWs-extension workers given incentives</v>
      </c>
      <c r="R371" s="47" t="s">
        <v>113</v>
      </c>
      <c r="S371" s="51" t="str">
        <f>VLOOKUP(Table3[[#This Row],[ACTIVITY]],TAGS!$B:$P,4,FALSE)</f>
        <v>Extension Workers Incentives</v>
      </c>
      <c r="T371" s="51" t="str">
        <f>VLOOKUP(Table3[[#This Row],[ACTIVITY]],TAGS!$B:$P,5,FALSE)</f>
        <v>Incentives Given</v>
      </c>
      <c r="U371" s="51" t="str">
        <f>VLOOKUP(Table3[[#This Row],[ACTIVITY]],TAGS!$B:$P,6,FALSE)</f>
        <v>Agricultural Extension Worker</v>
      </c>
      <c r="V371" s="51" t="str">
        <f>VLOOKUP(Table3[[#This Row],[ACTIVITY]],TAGS!$B:$P,7,FALSE)</f>
        <v>NO</v>
      </c>
      <c r="W371" s="51" t="str">
        <f>VLOOKUP(Table3[[#This Row],[ACTIVITY]],TAGS!$B:$P,8,FALSE)</f>
        <v>PAP</v>
      </c>
      <c r="X371" s="51" t="str">
        <f>VLOOKUP(Table3[[#This Row],[ACTIVITY]],TAGS!$B:$P,10,FALSE)</f>
        <v>PIP</v>
      </c>
      <c r="Y371" s="51" t="str">
        <f>VLOOKUP(Table3[[#This Row],[ACTIVITY]],TAGS!$B:$P,11,FALSE)</f>
        <v>PICS</v>
      </c>
      <c r="Z371" s="51" t="str">
        <f>VLOOKUP(Table3[[#This Row],[ACTIVITY]],TAGS!$B:$P,12,FALSE)</f>
        <v>Consolidation</v>
      </c>
      <c r="AA371" s="51" t="str">
        <f>VLOOKUP(Table3[[#This Row],[ACTIVITY]],TAGS!$B:$P,13,FALSE)</f>
        <v>3. PAFES</v>
      </c>
      <c r="AB371" s="51" t="str">
        <f>VLOOKUP(Table3[[#This Row],[ACTIVITY]],TAGS!$B:$P,14,FALSE)</f>
        <v>STRONG PARTNERSHIP WITH THE FARMERS, FISHERFOLK, PRIVATE SECTOR, AND OTHER STAKEHOLDERS</v>
      </c>
      <c r="AC371" s="51" t="str">
        <f>VLOOKUP(Table3[[#This Row],[ACTIVITY]],TAGS!$B:$P,15,FALSE)</f>
        <v>Other Intervetions</v>
      </c>
      <c r="AD371" s="51" t="str">
        <f>VLOOKUP(Table3[[#This Row],[PI LEVEL 3]],'PI LEVEL'!$A:$G,7,FALSE)</f>
        <v>DA-Level Output</v>
      </c>
      <c r="AE371" s="47" t="s">
        <v>577</v>
      </c>
      <c r="AF371" s="51" t="str">
        <f>VLOOKUP(Table3[[#This Row],[ACTIVITY]],TAGS!$B:$P,3,FALSE)</f>
        <v>number</v>
      </c>
      <c r="AG371" s="47" t="s">
        <v>338</v>
      </c>
      <c r="AH371" s="51" t="str">
        <f>VLOOKUP(Table3[[#This Row],[MONTH]],TAGS!$W$67:$Y$81,2,FALSE)</f>
        <v>4TH QTR</v>
      </c>
      <c r="AI371" s="51" t="str">
        <f>VLOOKUP(Table3[[#This Row],[MONTH]],TAGS!$W$67:$Y$81,3,FALSE)</f>
        <v>2ND SEMESTER</v>
      </c>
      <c r="AJ371" s="51">
        <f>VLOOKUP(Table3[[#This Row],[MONTH]],TAGS!$W$67:$Z$81,4,FALSE)</f>
        <v>2025</v>
      </c>
      <c r="AK371" s="47">
        <v>3</v>
      </c>
      <c r="AL371" s="51" t="str">
        <f>VLOOKUP(Table3[[#This Row],[ACTIVITY]],TAGS!$B:$R,16,FALSE)</f>
        <v>NO</v>
      </c>
      <c r="AM371" s="47"/>
      <c r="AN371" s="47">
        <v>126</v>
      </c>
      <c r="AO371" s="57">
        <f>SUM(Table3[[#This Row],[MALE BENEFICIARIES]:[FEMALE BENEFICIARIES]])</f>
        <v>0</v>
      </c>
      <c r="AP371" s="58"/>
      <c r="AQ371" s="58"/>
      <c r="AR371" s="58"/>
      <c r="AS371" s="58"/>
      <c r="AT371" s="59" t="str">
        <f>VLOOKUP(Table3[[#This Row],[ACTIVITY]],TAGS!$B:$R,17,FALSE)</f>
        <v>NO</v>
      </c>
      <c r="AU371" s="59"/>
      <c r="AV371" s="59"/>
      <c r="AW371" s="59"/>
      <c r="AX371" s="59"/>
      <c r="AY371" s="59"/>
      <c r="AZ371" s="59"/>
      <c r="BA371" s="59"/>
      <c r="BB371" s="59"/>
      <c r="BC371" s="59"/>
      <c r="BD371" s="59"/>
      <c r="BE371" s="59"/>
      <c r="BF371" s="59"/>
      <c r="BG371" s="59"/>
      <c r="BH371" s="59"/>
      <c r="BI371" s="59"/>
      <c r="BJ371" s="59"/>
      <c r="BK371" s="59"/>
      <c r="BL371" s="59"/>
      <c r="BM371" s="59"/>
    </row>
    <row r="372" spans="1:65">
      <c r="A372" s="51" t="str">
        <f>VLOOKUP(Table3[[#This Row],[OU]],OU!$A$15:$B$34,2,FALSE)</f>
        <v>RFOs</v>
      </c>
      <c r="B372" s="47" t="s">
        <v>5</v>
      </c>
      <c r="C372" s="47" t="s">
        <v>574</v>
      </c>
      <c r="D372" s="47"/>
      <c r="E372" s="47" t="s">
        <v>63</v>
      </c>
      <c r="F372" s="47" t="s">
        <v>691</v>
      </c>
      <c r="G37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37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25003000</v>
      </c>
      <c r="I372" s="52" t="str">
        <f>VLOOKUP(Table3[[#This Row],[PSGC]],DISTRICT!$D:$G,4,FALSE)</f>
        <v>2nd</v>
      </c>
      <c r="J372" s="47" t="s">
        <v>585</v>
      </c>
      <c r="K372" s="51" t="str">
        <f>VLOOKUP(Table3[[#This Row],[SPECIFIC COMMODITY]],TAGS!$W$48:$X$53,2,FALSE)</f>
        <v>Multi_commodity</v>
      </c>
      <c r="L372" s="51" t="str">
        <f>VLOOKUP(Table3[[#This Row],[PREXC SUB-PROGRAM]],Table5[],2,FALSE)</f>
        <v>TECHNICAL AND SUPPORT SERVICES PROGRAM</v>
      </c>
      <c r="M372" s="51" t="str">
        <f>VLOOKUP(Table3[[#This Row],[COMMODITY PREXC SUB-PROGRAM]],TAGS!$U$54:$V$76,2,FALSE)</f>
        <v>ESETS</v>
      </c>
      <c r="N372" s="47" t="s">
        <v>592</v>
      </c>
      <c r="O372" s="54" t="str">
        <f>VLOOKUP(Table3[[#This Row],[PI LEVEL 3]],'PI LEVEL'!A:C,3,FALSE)</f>
        <v>Individuals given incentives, recognition, and awards</v>
      </c>
      <c r="P372" s="54" t="str">
        <f>VLOOKUP(Table3[[#This Row],[PI LEVEL 3]],Table53729[[Performance Indicator Level 3]:[Performance Indicator Level 1]],2,FALSE)</f>
        <v>AEWs-extension workers given incentives</v>
      </c>
      <c r="Q372" s="54" t="str">
        <f>VLOOKUP(Table3[[#This Row],[ACTIVITY]],TAGS!B:P,2,FALSE)</f>
        <v>AEWs-extension workers given incentives</v>
      </c>
      <c r="R372" s="47" t="s">
        <v>113</v>
      </c>
      <c r="S372" s="51" t="str">
        <f>VLOOKUP(Table3[[#This Row],[ACTIVITY]],TAGS!$B:$P,4,FALSE)</f>
        <v>Extension Workers Incentives</v>
      </c>
      <c r="T372" s="51" t="str">
        <f>VLOOKUP(Table3[[#This Row],[ACTIVITY]],TAGS!$B:$P,5,FALSE)</f>
        <v>Incentives Given</v>
      </c>
      <c r="U372" s="51" t="str">
        <f>VLOOKUP(Table3[[#This Row],[ACTIVITY]],TAGS!$B:$P,6,FALSE)</f>
        <v>Agricultural Extension Worker</v>
      </c>
      <c r="V372" s="51" t="str">
        <f>VLOOKUP(Table3[[#This Row],[ACTIVITY]],TAGS!$B:$P,7,FALSE)</f>
        <v>NO</v>
      </c>
      <c r="W372" s="51" t="str">
        <f>VLOOKUP(Table3[[#This Row],[ACTIVITY]],TAGS!$B:$P,8,FALSE)</f>
        <v>PAP</v>
      </c>
      <c r="X372" s="51" t="str">
        <f>VLOOKUP(Table3[[#This Row],[ACTIVITY]],TAGS!$B:$P,10,FALSE)</f>
        <v>PIP</v>
      </c>
      <c r="Y372" s="51" t="str">
        <f>VLOOKUP(Table3[[#This Row],[ACTIVITY]],TAGS!$B:$P,11,FALSE)</f>
        <v>PICS</v>
      </c>
      <c r="Z372" s="51" t="str">
        <f>VLOOKUP(Table3[[#This Row],[ACTIVITY]],TAGS!$B:$P,12,FALSE)</f>
        <v>Consolidation</v>
      </c>
      <c r="AA372" s="51" t="str">
        <f>VLOOKUP(Table3[[#This Row],[ACTIVITY]],TAGS!$B:$P,13,FALSE)</f>
        <v>3. PAFES</v>
      </c>
      <c r="AB372" s="51" t="str">
        <f>VLOOKUP(Table3[[#This Row],[ACTIVITY]],TAGS!$B:$P,14,FALSE)</f>
        <v>STRONG PARTNERSHIP WITH THE FARMERS, FISHERFOLK, PRIVATE SECTOR, AND OTHER STAKEHOLDERS</v>
      </c>
      <c r="AC372" s="51" t="str">
        <f>VLOOKUP(Table3[[#This Row],[ACTIVITY]],TAGS!$B:$P,15,FALSE)</f>
        <v>Other Intervetions</v>
      </c>
      <c r="AD372" s="51" t="str">
        <f>VLOOKUP(Table3[[#This Row],[PI LEVEL 3]],'PI LEVEL'!$A:$G,7,FALSE)</f>
        <v>DA-Level Output</v>
      </c>
      <c r="AE372" s="47" t="s">
        <v>577</v>
      </c>
      <c r="AF372" s="51" t="str">
        <f>VLOOKUP(Table3[[#This Row],[ACTIVITY]],TAGS!$B:$P,3,FALSE)</f>
        <v>number</v>
      </c>
      <c r="AG372" s="47" t="s">
        <v>338</v>
      </c>
      <c r="AH372" s="51" t="str">
        <f>VLOOKUP(Table3[[#This Row],[MONTH]],TAGS!$W$67:$Y$81,2,FALSE)</f>
        <v>4TH QTR</v>
      </c>
      <c r="AI372" s="51" t="str">
        <f>VLOOKUP(Table3[[#This Row],[MONTH]],TAGS!$W$67:$Y$81,3,FALSE)</f>
        <v>2ND SEMESTER</v>
      </c>
      <c r="AJ372" s="51">
        <f>VLOOKUP(Table3[[#This Row],[MONTH]],TAGS!$W$67:$Z$81,4,FALSE)</f>
        <v>2025</v>
      </c>
      <c r="AK372" s="47">
        <v>1</v>
      </c>
      <c r="AL372" s="51" t="str">
        <f>VLOOKUP(Table3[[#This Row],[ACTIVITY]],TAGS!$B:$R,16,FALSE)</f>
        <v>NO</v>
      </c>
      <c r="AM372" s="47"/>
      <c r="AN372" s="47">
        <v>42</v>
      </c>
      <c r="AO372" s="57">
        <f>SUM(Table3[[#This Row],[MALE BENEFICIARIES]:[FEMALE BENEFICIARIES]])</f>
        <v>0</v>
      </c>
      <c r="AP372" s="58"/>
      <c r="AQ372" s="58"/>
      <c r="AR372" s="58"/>
      <c r="AS372" s="58"/>
      <c r="AT372" s="59" t="str">
        <f>VLOOKUP(Table3[[#This Row],[ACTIVITY]],TAGS!$B:$R,17,FALSE)</f>
        <v>NO</v>
      </c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</row>
    <row r="373" spans="1:65">
      <c r="A373" s="51" t="str">
        <f>VLOOKUP(Table3[[#This Row],[OU]],OU!$A$15:$B$34,2,FALSE)</f>
        <v>RFOs</v>
      </c>
      <c r="B373" s="47" t="s">
        <v>5</v>
      </c>
      <c r="C373" s="47" t="s">
        <v>574</v>
      </c>
      <c r="D373" s="47"/>
      <c r="E373" s="47" t="s">
        <v>63</v>
      </c>
      <c r="F373" s="47" t="s">
        <v>692</v>
      </c>
      <c r="G37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37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25004000</v>
      </c>
      <c r="I373" s="52" t="str">
        <f>VLOOKUP(Table3[[#This Row],[PSGC]],DISTRICT!$D:$G,4,FALSE)</f>
        <v>1st</v>
      </c>
      <c r="J373" s="47" t="s">
        <v>585</v>
      </c>
      <c r="K373" s="51" t="str">
        <f>VLOOKUP(Table3[[#This Row],[SPECIFIC COMMODITY]],TAGS!$W$48:$X$53,2,FALSE)</f>
        <v>Multi_commodity</v>
      </c>
      <c r="L373" s="51" t="str">
        <f>VLOOKUP(Table3[[#This Row],[PREXC SUB-PROGRAM]],Table5[],2,FALSE)</f>
        <v>TECHNICAL AND SUPPORT SERVICES PROGRAM</v>
      </c>
      <c r="M373" s="51" t="str">
        <f>VLOOKUP(Table3[[#This Row],[COMMODITY PREXC SUB-PROGRAM]],TAGS!$U$54:$V$76,2,FALSE)</f>
        <v>ESETS</v>
      </c>
      <c r="N373" s="47" t="s">
        <v>592</v>
      </c>
      <c r="O373" s="54" t="str">
        <f>VLOOKUP(Table3[[#This Row],[PI LEVEL 3]],'PI LEVEL'!A:C,3,FALSE)</f>
        <v>Individuals given incentives, recognition, and awards</v>
      </c>
      <c r="P373" s="54" t="str">
        <f>VLOOKUP(Table3[[#This Row],[PI LEVEL 3]],Table53729[[Performance Indicator Level 3]:[Performance Indicator Level 1]],2,FALSE)</f>
        <v>AEWs-extension workers given incentives</v>
      </c>
      <c r="Q373" s="54" t="str">
        <f>VLOOKUP(Table3[[#This Row],[ACTIVITY]],TAGS!B:P,2,FALSE)</f>
        <v>AEWs-extension workers given incentives</v>
      </c>
      <c r="R373" s="47" t="s">
        <v>113</v>
      </c>
      <c r="S373" s="51" t="str">
        <f>VLOOKUP(Table3[[#This Row],[ACTIVITY]],TAGS!$B:$P,4,FALSE)</f>
        <v>Extension Workers Incentives</v>
      </c>
      <c r="T373" s="51" t="str">
        <f>VLOOKUP(Table3[[#This Row],[ACTIVITY]],TAGS!$B:$P,5,FALSE)</f>
        <v>Incentives Given</v>
      </c>
      <c r="U373" s="51" t="str">
        <f>VLOOKUP(Table3[[#This Row],[ACTIVITY]],TAGS!$B:$P,6,FALSE)</f>
        <v>Agricultural Extension Worker</v>
      </c>
      <c r="V373" s="51" t="str">
        <f>VLOOKUP(Table3[[#This Row],[ACTIVITY]],TAGS!$B:$P,7,FALSE)</f>
        <v>NO</v>
      </c>
      <c r="W373" s="51" t="str">
        <f>VLOOKUP(Table3[[#This Row],[ACTIVITY]],TAGS!$B:$P,8,FALSE)</f>
        <v>PAP</v>
      </c>
      <c r="X373" s="51" t="str">
        <f>VLOOKUP(Table3[[#This Row],[ACTIVITY]],TAGS!$B:$P,10,FALSE)</f>
        <v>PIP</v>
      </c>
      <c r="Y373" s="51" t="str">
        <f>VLOOKUP(Table3[[#This Row],[ACTIVITY]],TAGS!$B:$P,11,FALSE)</f>
        <v>PICS</v>
      </c>
      <c r="Z373" s="51" t="str">
        <f>VLOOKUP(Table3[[#This Row],[ACTIVITY]],TAGS!$B:$P,12,FALSE)</f>
        <v>Consolidation</v>
      </c>
      <c r="AA373" s="51" t="str">
        <f>VLOOKUP(Table3[[#This Row],[ACTIVITY]],TAGS!$B:$P,13,FALSE)</f>
        <v>3. PAFES</v>
      </c>
      <c r="AB373" s="51" t="str">
        <f>VLOOKUP(Table3[[#This Row],[ACTIVITY]],TAGS!$B:$P,14,FALSE)</f>
        <v>STRONG PARTNERSHIP WITH THE FARMERS, FISHERFOLK, PRIVATE SECTOR, AND OTHER STAKEHOLDERS</v>
      </c>
      <c r="AC373" s="51" t="str">
        <f>VLOOKUP(Table3[[#This Row],[ACTIVITY]],TAGS!$B:$P,15,FALSE)</f>
        <v>Other Intervetions</v>
      </c>
      <c r="AD373" s="51" t="str">
        <f>VLOOKUP(Table3[[#This Row],[PI LEVEL 3]],'PI LEVEL'!$A:$G,7,FALSE)</f>
        <v>DA-Level Output</v>
      </c>
      <c r="AE373" s="47" t="s">
        <v>577</v>
      </c>
      <c r="AF373" s="51" t="str">
        <f>VLOOKUP(Table3[[#This Row],[ACTIVITY]],TAGS!$B:$P,3,FALSE)</f>
        <v>number</v>
      </c>
      <c r="AG373" s="47" t="s">
        <v>338</v>
      </c>
      <c r="AH373" s="51" t="str">
        <f>VLOOKUP(Table3[[#This Row],[MONTH]],TAGS!$W$67:$Y$81,2,FALSE)</f>
        <v>4TH QTR</v>
      </c>
      <c r="AI373" s="51" t="str">
        <f>VLOOKUP(Table3[[#This Row],[MONTH]],TAGS!$W$67:$Y$81,3,FALSE)</f>
        <v>2ND SEMESTER</v>
      </c>
      <c r="AJ373" s="51">
        <f>VLOOKUP(Table3[[#This Row],[MONTH]],TAGS!$W$67:$Z$81,4,FALSE)</f>
        <v>2025</v>
      </c>
      <c r="AK373" s="47">
        <v>1</v>
      </c>
      <c r="AL373" s="51" t="str">
        <f>VLOOKUP(Table3[[#This Row],[ACTIVITY]],TAGS!$B:$R,16,FALSE)</f>
        <v>NO</v>
      </c>
      <c r="AM373" s="47"/>
      <c r="AN373" s="47">
        <v>42</v>
      </c>
      <c r="AO373" s="57">
        <f>SUM(Table3[[#This Row],[MALE BENEFICIARIES]:[FEMALE BENEFICIARIES]])</f>
        <v>0</v>
      </c>
      <c r="AP373" s="58"/>
      <c r="AQ373" s="58"/>
      <c r="AR373" s="58"/>
      <c r="AS373" s="58"/>
      <c r="AT373" s="59" t="str">
        <f>VLOOKUP(Table3[[#This Row],[ACTIVITY]],TAGS!$B:$R,17,FALSE)</f>
        <v>NO</v>
      </c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</row>
    <row r="374" spans="1:65">
      <c r="A374" s="51" t="str">
        <f>VLOOKUP(Table3[[#This Row],[OU]],OU!$A$15:$B$34,2,FALSE)</f>
        <v>RFOs</v>
      </c>
      <c r="B374" s="47" t="s">
        <v>5</v>
      </c>
      <c r="C374" s="47" t="s">
        <v>574</v>
      </c>
      <c r="D374" s="47"/>
      <c r="E374" s="47" t="s">
        <v>63</v>
      </c>
      <c r="F374" s="47" t="s">
        <v>690</v>
      </c>
      <c r="G37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37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25005000</v>
      </c>
      <c r="I374" s="52" t="str">
        <f>VLOOKUP(Table3[[#This Row],[PSGC]],DISTRICT!$D:$G,4,FALSE)</f>
        <v>1st</v>
      </c>
      <c r="J374" s="47" t="s">
        <v>585</v>
      </c>
      <c r="K374" s="51" t="str">
        <f>VLOOKUP(Table3[[#This Row],[SPECIFIC COMMODITY]],TAGS!$W$48:$X$53,2,FALSE)</f>
        <v>Multi_commodity</v>
      </c>
      <c r="L374" s="51" t="str">
        <f>VLOOKUP(Table3[[#This Row],[PREXC SUB-PROGRAM]],Table5[],2,FALSE)</f>
        <v>TECHNICAL AND SUPPORT SERVICES PROGRAM</v>
      </c>
      <c r="M374" s="51" t="str">
        <f>VLOOKUP(Table3[[#This Row],[COMMODITY PREXC SUB-PROGRAM]],TAGS!$U$54:$V$76,2,FALSE)</f>
        <v>ESETS</v>
      </c>
      <c r="N374" s="47" t="s">
        <v>592</v>
      </c>
      <c r="O374" s="54" t="str">
        <f>VLOOKUP(Table3[[#This Row],[PI LEVEL 3]],'PI LEVEL'!A:C,3,FALSE)</f>
        <v>Individuals given incentives, recognition, and awards</v>
      </c>
      <c r="P374" s="54" t="str">
        <f>VLOOKUP(Table3[[#This Row],[PI LEVEL 3]],Table53729[[Performance Indicator Level 3]:[Performance Indicator Level 1]],2,FALSE)</f>
        <v>AEWs-extension workers given incentives</v>
      </c>
      <c r="Q374" s="54" t="str">
        <f>VLOOKUP(Table3[[#This Row],[ACTIVITY]],TAGS!B:P,2,FALSE)</f>
        <v>AEWs-extension workers given incentives</v>
      </c>
      <c r="R374" s="47" t="s">
        <v>113</v>
      </c>
      <c r="S374" s="51" t="str">
        <f>VLOOKUP(Table3[[#This Row],[ACTIVITY]],TAGS!$B:$P,4,FALSE)</f>
        <v>Extension Workers Incentives</v>
      </c>
      <c r="T374" s="51" t="str">
        <f>VLOOKUP(Table3[[#This Row],[ACTIVITY]],TAGS!$B:$P,5,FALSE)</f>
        <v>Incentives Given</v>
      </c>
      <c r="U374" s="51" t="str">
        <f>VLOOKUP(Table3[[#This Row],[ACTIVITY]],TAGS!$B:$P,6,FALSE)</f>
        <v>Agricultural Extension Worker</v>
      </c>
      <c r="V374" s="51" t="str">
        <f>VLOOKUP(Table3[[#This Row],[ACTIVITY]],TAGS!$B:$P,7,FALSE)</f>
        <v>NO</v>
      </c>
      <c r="W374" s="51" t="str">
        <f>VLOOKUP(Table3[[#This Row],[ACTIVITY]],TAGS!$B:$P,8,FALSE)</f>
        <v>PAP</v>
      </c>
      <c r="X374" s="51" t="str">
        <f>VLOOKUP(Table3[[#This Row],[ACTIVITY]],TAGS!$B:$P,10,FALSE)</f>
        <v>PIP</v>
      </c>
      <c r="Y374" s="51" t="str">
        <f>VLOOKUP(Table3[[#This Row],[ACTIVITY]],TAGS!$B:$P,11,FALSE)</f>
        <v>PICS</v>
      </c>
      <c r="Z374" s="51" t="str">
        <f>VLOOKUP(Table3[[#This Row],[ACTIVITY]],TAGS!$B:$P,12,FALSE)</f>
        <v>Consolidation</v>
      </c>
      <c r="AA374" s="51" t="str">
        <f>VLOOKUP(Table3[[#This Row],[ACTIVITY]],TAGS!$B:$P,13,FALSE)</f>
        <v>3. PAFES</v>
      </c>
      <c r="AB374" s="51" t="str">
        <f>VLOOKUP(Table3[[#This Row],[ACTIVITY]],TAGS!$B:$P,14,FALSE)</f>
        <v>STRONG PARTNERSHIP WITH THE FARMERS, FISHERFOLK, PRIVATE SECTOR, AND OTHER STAKEHOLDERS</v>
      </c>
      <c r="AC374" s="51" t="str">
        <f>VLOOKUP(Table3[[#This Row],[ACTIVITY]],TAGS!$B:$P,15,FALSE)</f>
        <v>Other Intervetions</v>
      </c>
      <c r="AD374" s="51" t="str">
        <f>VLOOKUP(Table3[[#This Row],[PI LEVEL 3]],'PI LEVEL'!$A:$G,7,FALSE)</f>
        <v>DA-Level Output</v>
      </c>
      <c r="AE374" s="47" t="s">
        <v>577</v>
      </c>
      <c r="AF374" s="51" t="str">
        <f>VLOOKUP(Table3[[#This Row],[ACTIVITY]],TAGS!$B:$P,3,FALSE)</f>
        <v>number</v>
      </c>
      <c r="AG374" s="47" t="s">
        <v>338</v>
      </c>
      <c r="AH374" s="51" t="str">
        <f>VLOOKUP(Table3[[#This Row],[MONTH]],TAGS!$W$67:$Y$81,2,FALSE)</f>
        <v>4TH QTR</v>
      </c>
      <c r="AI374" s="51" t="str">
        <f>VLOOKUP(Table3[[#This Row],[MONTH]],TAGS!$W$67:$Y$81,3,FALSE)</f>
        <v>2ND SEMESTER</v>
      </c>
      <c r="AJ374" s="51">
        <f>VLOOKUP(Table3[[#This Row],[MONTH]],TAGS!$W$67:$Z$81,4,FALSE)</f>
        <v>2025</v>
      </c>
      <c r="AK374" s="47">
        <v>9</v>
      </c>
      <c r="AL374" s="51" t="str">
        <f>VLOOKUP(Table3[[#This Row],[ACTIVITY]],TAGS!$B:$R,16,FALSE)</f>
        <v>NO</v>
      </c>
      <c r="AM374" s="47"/>
      <c r="AN374" s="47">
        <v>378</v>
      </c>
      <c r="AO374" s="57">
        <f>SUM(Table3[[#This Row],[MALE BENEFICIARIES]:[FEMALE BENEFICIARIES]])</f>
        <v>0</v>
      </c>
      <c r="AP374" s="58"/>
      <c r="AQ374" s="58"/>
      <c r="AR374" s="58"/>
      <c r="AS374" s="58"/>
      <c r="AT374" s="59" t="str">
        <f>VLOOKUP(Table3[[#This Row],[ACTIVITY]],TAGS!$B:$R,17,FALSE)</f>
        <v>NO</v>
      </c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  <c r="BF374" s="59"/>
      <c r="BG374" s="59"/>
      <c r="BH374" s="59"/>
      <c r="BI374" s="59"/>
      <c r="BJ374" s="59"/>
      <c r="BK374" s="59"/>
      <c r="BL374" s="59"/>
      <c r="BM374" s="59"/>
    </row>
    <row r="375" spans="1:65">
      <c r="A375" s="51" t="str">
        <f>VLOOKUP(Table3[[#This Row],[OU]],OU!$A$15:$B$34,2,FALSE)</f>
        <v>RFOs</v>
      </c>
      <c r="B375" s="47" t="s">
        <v>5</v>
      </c>
      <c r="C375" s="47" t="s">
        <v>574</v>
      </c>
      <c r="D375" s="47"/>
      <c r="E375" s="47" t="s">
        <v>63</v>
      </c>
      <c r="F375" s="47" t="s">
        <v>688</v>
      </c>
      <c r="G37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37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25006000</v>
      </c>
      <c r="I375" s="52" t="str">
        <f>VLOOKUP(Table3[[#This Row],[PSGC]],DISTRICT!$D:$G,4,FALSE)</f>
        <v>4th</v>
      </c>
      <c r="J375" s="47" t="s">
        <v>585</v>
      </c>
      <c r="K375" s="51" t="str">
        <f>VLOOKUP(Table3[[#This Row],[SPECIFIC COMMODITY]],TAGS!$W$48:$X$53,2,FALSE)</f>
        <v>Multi_commodity</v>
      </c>
      <c r="L375" s="51" t="str">
        <f>VLOOKUP(Table3[[#This Row],[PREXC SUB-PROGRAM]],Table5[],2,FALSE)</f>
        <v>TECHNICAL AND SUPPORT SERVICES PROGRAM</v>
      </c>
      <c r="M375" s="51" t="str">
        <f>VLOOKUP(Table3[[#This Row],[COMMODITY PREXC SUB-PROGRAM]],TAGS!$U$54:$V$76,2,FALSE)</f>
        <v>ESETS</v>
      </c>
      <c r="N375" s="47" t="s">
        <v>592</v>
      </c>
      <c r="O375" s="54" t="str">
        <f>VLOOKUP(Table3[[#This Row],[PI LEVEL 3]],'PI LEVEL'!A:C,3,FALSE)</f>
        <v>Individuals given incentives, recognition, and awards</v>
      </c>
      <c r="P375" s="54" t="str">
        <f>VLOOKUP(Table3[[#This Row],[PI LEVEL 3]],Table53729[[Performance Indicator Level 3]:[Performance Indicator Level 1]],2,FALSE)</f>
        <v>AEWs-extension workers given incentives</v>
      </c>
      <c r="Q375" s="54" t="str">
        <f>VLOOKUP(Table3[[#This Row],[ACTIVITY]],TAGS!B:P,2,FALSE)</f>
        <v>AEWs-extension workers given incentives</v>
      </c>
      <c r="R375" s="47" t="s">
        <v>113</v>
      </c>
      <c r="S375" s="51" t="str">
        <f>VLOOKUP(Table3[[#This Row],[ACTIVITY]],TAGS!$B:$P,4,FALSE)</f>
        <v>Extension Workers Incentives</v>
      </c>
      <c r="T375" s="51" t="str">
        <f>VLOOKUP(Table3[[#This Row],[ACTIVITY]],TAGS!$B:$P,5,FALSE)</f>
        <v>Incentives Given</v>
      </c>
      <c r="U375" s="51" t="str">
        <f>VLOOKUP(Table3[[#This Row],[ACTIVITY]],TAGS!$B:$P,6,FALSE)</f>
        <v>Agricultural Extension Worker</v>
      </c>
      <c r="V375" s="51" t="str">
        <f>VLOOKUP(Table3[[#This Row],[ACTIVITY]],TAGS!$B:$P,7,FALSE)</f>
        <v>NO</v>
      </c>
      <c r="W375" s="51" t="str">
        <f>VLOOKUP(Table3[[#This Row],[ACTIVITY]],TAGS!$B:$P,8,FALSE)</f>
        <v>PAP</v>
      </c>
      <c r="X375" s="51" t="str">
        <f>VLOOKUP(Table3[[#This Row],[ACTIVITY]],TAGS!$B:$P,10,FALSE)</f>
        <v>PIP</v>
      </c>
      <c r="Y375" s="51" t="str">
        <f>VLOOKUP(Table3[[#This Row],[ACTIVITY]],TAGS!$B:$P,11,FALSE)</f>
        <v>PICS</v>
      </c>
      <c r="Z375" s="51" t="str">
        <f>VLOOKUP(Table3[[#This Row],[ACTIVITY]],TAGS!$B:$P,12,FALSE)</f>
        <v>Consolidation</v>
      </c>
      <c r="AA375" s="51" t="str">
        <f>VLOOKUP(Table3[[#This Row],[ACTIVITY]],TAGS!$B:$P,13,FALSE)</f>
        <v>3. PAFES</v>
      </c>
      <c r="AB375" s="51" t="str">
        <f>VLOOKUP(Table3[[#This Row],[ACTIVITY]],TAGS!$B:$P,14,FALSE)</f>
        <v>STRONG PARTNERSHIP WITH THE FARMERS, FISHERFOLK, PRIVATE SECTOR, AND OTHER STAKEHOLDERS</v>
      </c>
      <c r="AC375" s="51" t="str">
        <f>VLOOKUP(Table3[[#This Row],[ACTIVITY]],TAGS!$B:$P,15,FALSE)</f>
        <v>Other Intervetions</v>
      </c>
      <c r="AD375" s="51" t="str">
        <f>VLOOKUP(Table3[[#This Row],[PI LEVEL 3]],'PI LEVEL'!$A:$G,7,FALSE)</f>
        <v>DA-Level Output</v>
      </c>
      <c r="AE375" s="47" t="s">
        <v>577</v>
      </c>
      <c r="AF375" s="51" t="str">
        <f>VLOOKUP(Table3[[#This Row],[ACTIVITY]],TAGS!$B:$P,3,FALSE)</f>
        <v>number</v>
      </c>
      <c r="AG375" s="47" t="s">
        <v>338</v>
      </c>
      <c r="AH375" s="51" t="str">
        <f>VLOOKUP(Table3[[#This Row],[MONTH]],TAGS!$W$67:$Y$81,2,FALSE)</f>
        <v>4TH QTR</v>
      </c>
      <c r="AI375" s="51" t="str">
        <f>VLOOKUP(Table3[[#This Row],[MONTH]],TAGS!$W$67:$Y$81,3,FALSE)</f>
        <v>2ND SEMESTER</v>
      </c>
      <c r="AJ375" s="51">
        <f>VLOOKUP(Table3[[#This Row],[MONTH]],TAGS!$W$67:$Z$81,4,FALSE)</f>
        <v>2025</v>
      </c>
      <c r="AK375" s="47">
        <v>2</v>
      </c>
      <c r="AL375" s="51" t="str">
        <f>VLOOKUP(Table3[[#This Row],[ACTIVITY]],TAGS!$B:$R,16,FALSE)</f>
        <v>NO</v>
      </c>
      <c r="AM375" s="47"/>
      <c r="AN375" s="47">
        <v>84</v>
      </c>
      <c r="AO375" s="57">
        <f>SUM(Table3[[#This Row],[MALE BENEFICIARIES]:[FEMALE BENEFICIARIES]])</f>
        <v>0</v>
      </c>
      <c r="AP375" s="58"/>
      <c r="AQ375" s="58"/>
      <c r="AR375" s="58"/>
      <c r="AS375" s="58"/>
      <c r="AT375" s="59" t="str">
        <f>VLOOKUP(Table3[[#This Row],[ACTIVITY]],TAGS!$B:$R,17,FALSE)</f>
        <v>NO</v>
      </c>
      <c r="AU375" s="59"/>
      <c r="AV375" s="59"/>
      <c r="AW375" s="59"/>
      <c r="AX375" s="59"/>
      <c r="AY375" s="59"/>
      <c r="AZ375" s="59"/>
      <c r="BA375" s="59"/>
      <c r="BB375" s="59"/>
      <c r="BC375" s="59"/>
      <c r="BD375" s="59"/>
      <c r="BE375" s="59"/>
      <c r="BF375" s="59"/>
      <c r="BG375" s="59"/>
      <c r="BH375" s="59"/>
      <c r="BI375" s="59"/>
      <c r="BJ375" s="59"/>
      <c r="BK375" s="59"/>
      <c r="BL375" s="59"/>
      <c r="BM375" s="59"/>
    </row>
    <row r="376" spans="1:65">
      <c r="A376" s="51" t="str">
        <f>VLOOKUP(Table3[[#This Row],[OU]],OU!$A$15:$B$34,2,FALSE)</f>
        <v>RFOs</v>
      </c>
      <c r="B376" s="47" t="s">
        <v>5</v>
      </c>
      <c r="C376" s="47" t="s">
        <v>574</v>
      </c>
      <c r="D376" s="47"/>
      <c r="E376" s="47" t="s">
        <v>63</v>
      </c>
      <c r="F376" s="47" t="s">
        <v>693</v>
      </c>
      <c r="G37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37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25009000</v>
      </c>
      <c r="I376" s="52" t="str">
        <f>VLOOKUP(Table3[[#This Row],[PSGC]],DISTRICT!$D:$G,4,FALSE)</f>
        <v>3rd</v>
      </c>
      <c r="J376" s="47" t="s">
        <v>585</v>
      </c>
      <c r="K376" s="51" t="str">
        <f>VLOOKUP(Table3[[#This Row],[SPECIFIC COMMODITY]],TAGS!$W$48:$X$53,2,FALSE)</f>
        <v>Multi_commodity</v>
      </c>
      <c r="L376" s="51" t="str">
        <f>VLOOKUP(Table3[[#This Row],[PREXC SUB-PROGRAM]],Table5[],2,FALSE)</f>
        <v>TECHNICAL AND SUPPORT SERVICES PROGRAM</v>
      </c>
      <c r="M376" s="51" t="str">
        <f>VLOOKUP(Table3[[#This Row],[COMMODITY PREXC SUB-PROGRAM]],TAGS!$U$54:$V$76,2,FALSE)</f>
        <v>ESETS</v>
      </c>
      <c r="N376" s="47" t="s">
        <v>592</v>
      </c>
      <c r="O376" s="54" t="str">
        <f>VLOOKUP(Table3[[#This Row],[PI LEVEL 3]],'PI LEVEL'!A:C,3,FALSE)</f>
        <v>Individuals given incentives, recognition, and awards</v>
      </c>
      <c r="P376" s="54" t="str">
        <f>VLOOKUP(Table3[[#This Row],[PI LEVEL 3]],Table53729[[Performance Indicator Level 3]:[Performance Indicator Level 1]],2,FALSE)</f>
        <v>AEWs-extension workers given incentives</v>
      </c>
      <c r="Q376" s="54" t="str">
        <f>VLOOKUP(Table3[[#This Row],[ACTIVITY]],TAGS!B:P,2,FALSE)</f>
        <v>AEWs-extension workers given incentives</v>
      </c>
      <c r="R376" s="47" t="s">
        <v>113</v>
      </c>
      <c r="S376" s="51" t="str">
        <f>VLOOKUP(Table3[[#This Row],[ACTIVITY]],TAGS!$B:$P,4,FALSE)</f>
        <v>Extension Workers Incentives</v>
      </c>
      <c r="T376" s="51" t="str">
        <f>VLOOKUP(Table3[[#This Row],[ACTIVITY]],TAGS!$B:$P,5,FALSE)</f>
        <v>Incentives Given</v>
      </c>
      <c r="U376" s="51" t="str">
        <f>VLOOKUP(Table3[[#This Row],[ACTIVITY]],TAGS!$B:$P,6,FALSE)</f>
        <v>Agricultural Extension Worker</v>
      </c>
      <c r="V376" s="51" t="str">
        <f>VLOOKUP(Table3[[#This Row],[ACTIVITY]],TAGS!$B:$P,7,FALSE)</f>
        <v>NO</v>
      </c>
      <c r="W376" s="51" t="str">
        <f>VLOOKUP(Table3[[#This Row],[ACTIVITY]],TAGS!$B:$P,8,FALSE)</f>
        <v>PAP</v>
      </c>
      <c r="X376" s="51" t="str">
        <f>VLOOKUP(Table3[[#This Row],[ACTIVITY]],TAGS!$B:$P,10,FALSE)</f>
        <v>PIP</v>
      </c>
      <c r="Y376" s="51" t="str">
        <f>VLOOKUP(Table3[[#This Row],[ACTIVITY]],TAGS!$B:$P,11,FALSE)</f>
        <v>PICS</v>
      </c>
      <c r="Z376" s="51" t="str">
        <f>VLOOKUP(Table3[[#This Row],[ACTIVITY]],TAGS!$B:$P,12,FALSE)</f>
        <v>Consolidation</v>
      </c>
      <c r="AA376" s="51" t="str">
        <f>VLOOKUP(Table3[[#This Row],[ACTIVITY]],TAGS!$B:$P,13,FALSE)</f>
        <v>3. PAFES</v>
      </c>
      <c r="AB376" s="51" t="str">
        <f>VLOOKUP(Table3[[#This Row],[ACTIVITY]],TAGS!$B:$P,14,FALSE)</f>
        <v>STRONG PARTNERSHIP WITH THE FARMERS, FISHERFOLK, PRIVATE SECTOR, AND OTHER STAKEHOLDERS</v>
      </c>
      <c r="AC376" s="51" t="str">
        <f>VLOOKUP(Table3[[#This Row],[ACTIVITY]],TAGS!$B:$P,15,FALSE)</f>
        <v>Other Intervetions</v>
      </c>
      <c r="AD376" s="51" t="str">
        <f>VLOOKUP(Table3[[#This Row],[PI LEVEL 3]],'PI LEVEL'!$A:$G,7,FALSE)</f>
        <v>DA-Level Output</v>
      </c>
      <c r="AE376" s="47" t="s">
        <v>577</v>
      </c>
      <c r="AF376" s="51" t="str">
        <f>VLOOKUP(Table3[[#This Row],[ACTIVITY]],TAGS!$B:$P,3,FALSE)</f>
        <v>number</v>
      </c>
      <c r="AG376" s="47" t="s">
        <v>338</v>
      </c>
      <c r="AH376" s="51" t="str">
        <f>VLOOKUP(Table3[[#This Row],[MONTH]],TAGS!$W$67:$Y$81,2,FALSE)</f>
        <v>4TH QTR</v>
      </c>
      <c r="AI376" s="51" t="str">
        <f>VLOOKUP(Table3[[#This Row],[MONTH]],TAGS!$W$67:$Y$81,3,FALSE)</f>
        <v>2ND SEMESTER</v>
      </c>
      <c r="AJ376" s="51">
        <f>VLOOKUP(Table3[[#This Row],[MONTH]],TAGS!$W$67:$Z$81,4,FALSE)</f>
        <v>2025</v>
      </c>
      <c r="AK376" s="47">
        <v>1</v>
      </c>
      <c r="AL376" s="51" t="str">
        <f>VLOOKUP(Table3[[#This Row],[ACTIVITY]],TAGS!$B:$R,16,FALSE)</f>
        <v>NO</v>
      </c>
      <c r="AM376" s="47"/>
      <c r="AN376" s="47">
        <v>42</v>
      </c>
      <c r="AO376" s="57">
        <f>SUM(Table3[[#This Row],[MALE BENEFICIARIES]:[FEMALE BENEFICIARIES]])</f>
        <v>0</v>
      </c>
      <c r="AP376" s="58"/>
      <c r="AQ376" s="58"/>
      <c r="AR376" s="58"/>
      <c r="AS376" s="58"/>
      <c r="AT376" s="59" t="str">
        <f>VLOOKUP(Table3[[#This Row],[ACTIVITY]],TAGS!$B:$R,17,FALSE)</f>
        <v>NO</v>
      </c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</row>
    <row r="377" spans="1:65">
      <c r="A377" s="51" t="str">
        <f>VLOOKUP(Table3[[#This Row],[OU]],OU!$A$15:$B$34,2,FALSE)</f>
        <v>RFOs</v>
      </c>
      <c r="B377" s="47" t="s">
        <v>5</v>
      </c>
      <c r="C377" s="47" t="s">
        <v>574</v>
      </c>
      <c r="D377" s="47"/>
      <c r="E377" s="47" t="s">
        <v>63</v>
      </c>
      <c r="F377" s="47" t="s">
        <v>681</v>
      </c>
      <c r="G37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37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25011000</v>
      </c>
      <c r="I377" s="52" t="str">
        <f>VLOOKUP(Table3[[#This Row],[PSGC]],DISTRICT!$D:$G,4,FALSE)</f>
        <v>4th</v>
      </c>
      <c r="J377" s="47" t="s">
        <v>585</v>
      </c>
      <c r="K377" s="51" t="str">
        <f>VLOOKUP(Table3[[#This Row],[SPECIFIC COMMODITY]],TAGS!$W$48:$X$53,2,FALSE)</f>
        <v>Multi_commodity</v>
      </c>
      <c r="L377" s="51" t="str">
        <f>VLOOKUP(Table3[[#This Row],[PREXC SUB-PROGRAM]],Table5[],2,FALSE)</f>
        <v>TECHNICAL AND SUPPORT SERVICES PROGRAM</v>
      </c>
      <c r="M377" s="51" t="str">
        <f>VLOOKUP(Table3[[#This Row],[COMMODITY PREXC SUB-PROGRAM]],TAGS!$U$54:$V$76,2,FALSE)</f>
        <v>ESETS</v>
      </c>
      <c r="N377" s="47" t="s">
        <v>592</v>
      </c>
      <c r="O377" s="54" t="str">
        <f>VLOOKUP(Table3[[#This Row],[PI LEVEL 3]],'PI LEVEL'!A:C,3,FALSE)</f>
        <v>Individuals given incentives, recognition, and awards</v>
      </c>
      <c r="P377" s="54" t="str">
        <f>VLOOKUP(Table3[[#This Row],[PI LEVEL 3]],Table53729[[Performance Indicator Level 3]:[Performance Indicator Level 1]],2,FALSE)</f>
        <v>AEWs-extension workers given incentives</v>
      </c>
      <c r="Q377" s="54" t="str">
        <f>VLOOKUP(Table3[[#This Row],[ACTIVITY]],TAGS!B:P,2,FALSE)</f>
        <v>AEWs-extension workers given incentives</v>
      </c>
      <c r="R377" s="47" t="s">
        <v>113</v>
      </c>
      <c r="S377" s="51" t="str">
        <f>VLOOKUP(Table3[[#This Row],[ACTIVITY]],TAGS!$B:$P,4,FALSE)</f>
        <v>Extension Workers Incentives</v>
      </c>
      <c r="T377" s="51" t="str">
        <f>VLOOKUP(Table3[[#This Row],[ACTIVITY]],TAGS!$B:$P,5,FALSE)</f>
        <v>Incentives Given</v>
      </c>
      <c r="U377" s="51" t="str">
        <f>VLOOKUP(Table3[[#This Row],[ACTIVITY]],TAGS!$B:$P,6,FALSE)</f>
        <v>Agricultural Extension Worker</v>
      </c>
      <c r="V377" s="51" t="str">
        <f>VLOOKUP(Table3[[#This Row],[ACTIVITY]],TAGS!$B:$P,7,FALSE)</f>
        <v>NO</v>
      </c>
      <c r="W377" s="51" t="str">
        <f>VLOOKUP(Table3[[#This Row],[ACTIVITY]],TAGS!$B:$P,8,FALSE)</f>
        <v>PAP</v>
      </c>
      <c r="X377" s="51" t="str">
        <f>VLOOKUP(Table3[[#This Row],[ACTIVITY]],TAGS!$B:$P,10,FALSE)</f>
        <v>PIP</v>
      </c>
      <c r="Y377" s="51" t="str">
        <f>VLOOKUP(Table3[[#This Row],[ACTIVITY]],TAGS!$B:$P,11,FALSE)</f>
        <v>PICS</v>
      </c>
      <c r="Z377" s="51" t="str">
        <f>VLOOKUP(Table3[[#This Row],[ACTIVITY]],TAGS!$B:$P,12,FALSE)</f>
        <v>Consolidation</v>
      </c>
      <c r="AA377" s="51" t="str">
        <f>VLOOKUP(Table3[[#This Row],[ACTIVITY]],TAGS!$B:$P,13,FALSE)</f>
        <v>3. PAFES</v>
      </c>
      <c r="AB377" s="51" t="str">
        <f>VLOOKUP(Table3[[#This Row],[ACTIVITY]],TAGS!$B:$P,14,FALSE)</f>
        <v>STRONG PARTNERSHIP WITH THE FARMERS, FISHERFOLK, PRIVATE SECTOR, AND OTHER STAKEHOLDERS</v>
      </c>
      <c r="AC377" s="51" t="str">
        <f>VLOOKUP(Table3[[#This Row],[ACTIVITY]],TAGS!$B:$P,15,FALSE)</f>
        <v>Other Intervetions</v>
      </c>
      <c r="AD377" s="51" t="str">
        <f>VLOOKUP(Table3[[#This Row],[PI LEVEL 3]],'PI LEVEL'!$A:$G,7,FALSE)</f>
        <v>DA-Level Output</v>
      </c>
      <c r="AE377" s="47" t="s">
        <v>577</v>
      </c>
      <c r="AF377" s="51" t="str">
        <f>VLOOKUP(Table3[[#This Row],[ACTIVITY]],TAGS!$B:$P,3,FALSE)</f>
        <v>number</v>
      </c>
      <c r="AG377" s="47" t="s">
        <v>338</v>
      </c>
      <c r="AH377" s="51" t="str">
        <f>VLOOKUP(Table3[[#This Row],[MONTH]],TAGS!$W$67:$Y$81,2,FALSE)</f>
        <v>4TH QTR</v>
      </c>
      <c r="AI377" s="51" t="str">
        <f>VLOOKUP(Table3[[#This Row],[MONTH]],TAGS!$W$67:$Y$81,3,FALSE)</f>
        <v>2ND SEMESTER</v>
      </c>
      <c r="AJ377" s="51">
        <f>VLOOKUP(Table3[[#This Row],[MONTH]],TAGS!$W$67:$Z$81,4,FALSE)</f>
        <v>2025</v>
      </c>
      <c r="AK377" s="47">
        <v>4</v>
      </c>
      <c r="AL377" s="51" t="str">
        <f>VLOOKUP(Table3[[#This Row],[ACTIVITY]],TAGS!$B:$R,16,FALSE)</f>
        <v>NO</v>
      </c>
      <c r="AM377" s="47"/>
      <c r="AN377" s="47">
        <v>168</v>
      </c>
      <c r="AO377" s="57">
        <f>SUM(Table3[[#This Row],[MALE BENEFICIARIES]:[FEMALE BENEFICIARIES]])</f>
        <v>0</v>
      </c>
      <c r="AP377" s="58"/>
      <c r="AQ377" s="58"/>
      <c r="AR377" s="58"/>
      <c r="AS377" s="58"/>
      <c r="AT377" s="59" t="str">
        <f>VLOOKUP(Table3[[#This Row],[ACTIVITY]],TAGS!$B:$R,17,FALSE)</f>
        <v>NO</v>
      </c>
      <c r="AU377" s="59"/>
      <c r="AV377" s="59"/>
      <c r="AW377" s="59"/>
      <c r="AX377" s="59"/>
      <c r="AY377" s="59"/>
      <c r="AZ377" s="59"/>
      <c r="BA377" s="59"/>
      <c r="BB377" s="59"/>
      <c r="BC377" s="59"/>
      <c r="BD377" s="59"/>
      <c r="BE377" s="59"/>
      <c r="BF377" s="59"/>
      <c r="BG377" s="59"/>
      <c r="BH377" s="59"/>
      <c r="BI377" s="59"/>
      <c r="BJ377" s="59"/>
      <c r="BK377" s="59"/>
      <c r="BL377" s="59"/>
      <c r="BM377" s="59"/>
    </row>
    <row r="378" spans="1:65">
      <c r="A378" s="51" t="str">
        <f>VLOOKUP(Table3[[#This Row],[OU]],OU!$A$15:$B$34,2,FALSE)</f>
        <v>RFOs</v>
      </c>
      <c r="B378" s="47" t="s">
        <v>5</v>
      </c>
      <c r="C378" s="47" t="s">
        <v>574</v>
      </c>
      <c r="D378" s="47"/>
      <c r="E378" s="47" t="s">
        <v>63</v>
      </c>
      <c r="F378" s="47" t="s">
        <v>687</v>
      </c>
      <c r="G37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37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25014000</v>
      </c>
      <c r="I378" s="52" t="str">
        <f>VLOOKUP(Table3[[#This Row],[PSGC]],DISTRICT!$D:$G,4,FALSE)</f>
        <v>5th</v>
      </c>
      <c r="J378" s="47" t="s">
        <v>585</v>
      </c>
      <c r="K378" s="51" t="str">
        <f>VLOOKUP(Table3[[#This Row],[SPECIFIC COMMODITY]],TAGS!$W$48:$X$53,2,FALSE)</f>
        <v>Multi_commodity</v>
      </c>
      <c r="L378" s="51" t="str">
        <f>VLOOKUP(Table3[[#This Row],[PREXC SUB-PROGRAM]],Table5[],2,FALSE)</f>
        <v>TECHNICAL AND SUPPORT SERVICES PROGRAM</v>
      </c>
      <c r="M378" s="51" t="str">
        <f>VLOOKUP(Table3[[#This Row],[COMMODITY PREXC SUB-PROGRAM]],TAGS!$U$54:$V$76,2,FALSE)</f>
        <v>ESETS</v>
      </c>
      <c r="N378" s="47" t="s">
        <v>592</v>
      </c>
      <c r="O378" s="54" t="str">
        <f>VLOOKUP(Table3[[#This Row],[PI LEVEL 3]],'PI LEVEL'!A:C,3,FALSE)</f>
        <v>Individuals given incentives, recognition, and awards</v>
      </c>
      <c r="P378" s="54" t="str">
        <f>VLOOKUP(Table3[[#This Row],[PI LEVEL 3]],Table53729[[Performance Indicator Level 3]:[Performance Indicator Level 1]],2,FALSE)</f>
        <v>AEWs-extension workers given incentives</v>
      </c>
      <c r="Q378" s="54" t="str">
        <f>VLOOKUP(Table3[[#This Row],[ACTIVITY]],TAGS!B:P,2,FALSE)</f>
        <v>AEWs-extension workers given incentives</v>
      </c>
      <c r="R378" s="47" t="s">
        <v>113</v>
      </c>
      <c r="S378" s="51" t="str">
        <f>VLOOKUP(Table3[[#This Row],[ACTIVITY]],TAGS!$B:$P,4,FALSE)</f>
        <v>Extension Workers Incentives</v>
      </c>
      <c r="T378" s="51" t="str">
        <f>VLOOKUP(Table3[[#This Row],[ACTIVITY]],TAGS!$B:$P,5,FALSE)</f>
        <v>Incentives Given</v>
      </c>
      <c r="U378" s="51" t="str">
        <f>VLOOKUP(Table3[[#This Row],[ACTIVITY]],TAGS!$B:$P,6,FALSE)</f>
        <v>Agricultural Extension Worker</v>
      </c>
      <c r="V378" s="51" t="str">
        <f>VLOOKUP(Table3[[#This Row],[ACTIVITY]],TAGS!$B:$P,7,FALSE)</f>
        <v>NO</v>
      </c>
      <c r="W378" s="51" t="str">
        <f>VLOOKUP(Table3[[#This Row],[ACTIVITY]],TAGS!$B:$P,8,FALSE)</f>
        <v>PAP</v>
      </c>
      <c r="X378" s="51" t="str">
        <f>VLOOKUP(Table3[[#This Row],[ACTIVITY]],TAGS!$B:$P,10,FALSE)</f>
        <v>PIP</v>
      </c>
      <c r="Y378" s="51" t="str">
        <f>VLOOKUP(Table3[[#This Row],[ACTIVITY]],TAGS!$B:$P,11,FALSE)</f>
        <v>PICS</v>
      </c>
      <c r="Z378" s="51" t="str">
        <f>VLOOKUP(Table3[[#This Row],[ACTIVITY]],TAGS!$B:$P,12,FALSE)</f>
        <v>Consolidation</v>
      </c>
      <c r="AA378" s="51" t="str">
        <f>VLOOKUP(Table3[[#This Row],[ACTIVITY]],TAGS!$B:$P,13,FALSE)</f>
        <v>3. PAFES</v>
      </c>
      <c r="AB378" s="51" t="str">
        <f>VLOOKUP(Table3[[#This Row],[ACTIVITY]],TAGS!$B:$P,14,FALSE)</f>
        <v>STRONG PARTNERSHIP WITH THE FARMERS, FISHERFOLK, PRIVATE SECTOR, AND OTHER STAKEHOLDERS</v>
      </c>
      <c r="AC378" s="51" t="str">
        <f>VLOOKUP(Table3[[#This Row],[ACTIVITY]],TAGS!$B:$P,15,FALSE)</f>
        <v>Other Intervetions</v>
      </c>
      <c r="AD378" s="51" t="str">
        <f>VLOOKUP(Table3[[#This Row],[PI LEVEL 3]],'PI LEVEL'!$A:$G,7,FALSE)</f>
        <v>DA-Level Output</v>
      </c>
      <c r="AE378" s="47" t="s">
        <v>577</v>
      </c>
      <c r="AF378" s="51" t="str">
        <f>VLOOKUP(Table3[[#This Row],[ACTIVITY]],TAGS!$B:$P,3,FALSE)</f>
        <v>number</v>
      </c>
      <c r="AG378" s="47" t="s">
        <v>338</v>
      </c>
      <c r="AH378" s="51" t="str">
        <f>VLOOKUP(Table3[[#This Row],[MONTH]],TAGS!$W$67:$Y$81,2,FALSE)</f>
        <v>4TH QTR</v>
      </c>
      <c r="AI378" s="51" t="str">
        <f>VLOOKUP(Table3[[#This Row],[MONTH]],TAGS!$W$67:$Y$81,3,FALSE)</f>
        <v>2ND SEMESTER</v>
      </c>
      <c r="AJ378" s="51">
        <f>VLOOKUP(Table3[[#This Row],[MONTH]],TAGS!$W$67:$Z$81,4,FALSE)</f>
        <v>2025</v>
      </c>
      <c r="AK378" s="47">
        <v>2</v>
      </c>
      <c r="AL378" s="51" t="str">
        <f>VLOOKUP(Table3[[#This Row],[ACTIVITY]],TAGS!$B:$R,16,FALSE)</f>
        <v>NO</v>
      </c>
      <c r="AM378" s="47"/>
      <c r="AN378" s="47">
        <v>84</v>
      </c>
      <c r="AO378" s="57">
        <f>SUM(Table3[[#This Row],[MALE BENEFICIARIES]:[FEMALE BENEFICIARIES]])</f>
        <v>0</v>
      </c>
      <c r="AP378" s="58"/>
      <c r="AQ378" s="58"/>
      <c r="AR378" s="58"/>
      <c r="AS378" s="58"/>
      <c r="AT378" s="59" t="str">
        <f>VLOOKUP(Table3[[#This Row],[ACTIVITY]],TAGS!$B:$R,17,FALSE)</f>
        <v>NO</v>
      </c>
      <c r="AU378" s="59"/>
      <c r="AV378" s="59"/>
      <c r="AW378" s="59"/>
      <c r="AX378" s="59"/>
      <c r="AY378" s="59"/>
      <c r="AZ378" s="59"/>
      <c r="BA378" s="59"/>
      <c r="BB378" s="59"/>
      <c r="BC378" s="59"/>
      <c r="BD378" s="59"/>
      <c r="BE378" s="59"/>
      <c r="BF378" s="59"/>
      <c r="BG378" s="59"/>
      <c r="BH378" s="59"/>
      <c r="BI378" s="59"/>
      <c r="BJ378" s="59"/>
      <c r="BK378" s="59"/>
      <c r="BL378" s="59"/>
      <c r="BM378" s="59"/>
    </row>
    <row r="379" spans="1:65">
      <c r="A379" s="51" t="str">
        <f>VLOOKUP(Table3[[#This Row],[OU]],OU!$A$15:$B$34,2,FALSE)</f>
        <v>RFOs</v>
      </c>
      <c r="B379" s="47" t="s">
        <v>5</v>
      </c>
      <c r="C379" s="47" t="s">
        <v>574</v>
      </c>
      <c r="D379" s="47"/>
      <c r="E379" s="47" t="s">
        <v>63</v>
      </c>
      <c r="F379" s="47" t="s">
        <v>689</v>
      </c>
      <c r="G37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37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25013000</v>
      </c>
      <c r="I379" s="52" t="str">
        <f>VLOOKUP(Table3[[#This Row],[PSGC]],DISTRICT!$D:$G,4,FALSE)</f>
        <v>1st</v>
      </c>
      <c r="J379" s="47" t="s">
        <v>585</v>
      </c>
      <c r="K379" s="51" t="str">
        <f>VLOOKUP(Table3[[#This Row],[SPECIFIC COMMODITY]],TAGS!$W$48:$X$53,2,FALSE)</f>
        <v>Multi_commodity</v>
      </c>
      <c r="L379" s="51" t="str">
        <f>VLOOKUP(Table3[[#This Row],[PREXC SUB-PROGRAM]],Table5[],2,FALSE)</f>
        <v>TECHNICAL AND SUPPORT SERVICES PROGRAM</v>
      </c>
      <c r="M379" s="51" t="str">
        <f>VLOOKUP(Table3[[#This Row],[COMMODITY PREXC SUB-PROGRAM]],TAGS!$U$54:$V$76,2,FALSE)</f>
        <v>ESETS</v>
      </c>
      <c r="N379" s="47" t="s">
        <v>592</v>
      </c>
      <c r="O379" s="54" t="str">
        <f>VLOOKUP(Table3[[#This Row],[PI LEVEL 3]],'PI LEVEL'!A:C,3,FALSE)</f>
        <v>Individuals given incentives, recognition, and awards</v>
      </c>
      <c r="P379" s="54" t="str">
        <f>VLOOKUP(Table3[[#This Row],[PI LEVEL 3]],Table53729[[Performance Indicator Level 3]:[Performance Indicator Level 1]],2,FALSE)</f>
        <v>AEWs-extension workers given incentives</v>
      </c>
      <c r="Q379" s="54" t="str">
        <f>VLOOKUP(Table3[[#This Row],[ACTIVITY]],TAGS!B:P,2,FALSE)</f>
        <v>AEWs-extension workers given incentives</v>
      </c>
      <c r="R379" s="47" t="s">
        <v>113</v>
      </c>
      <c r="S379" s="51" t="str">
        <f>VLOOKUP(Table3[[#This Row],[ACTIVITY]],TAGS!$B:$P,4,FALSE)</f>
        <v>Extension Workers Incentives</v>
      </c>
      <c r="T379" s="51" t="str">
        <f>VLOOKUP(Table3[[#This Row],[ACTIVITY]],TAGS!$B:$P,5,FALSE)</f>
        <v>Incentives Given</v>
      </c>
      <c r="U379" s="51" t="str">
        <f>VLOOKUP(Table3[[#This Row],[ACTIVITY]],TAGS!$B:$P,6,FALSE)</f>
        <v>Agricultural Extension Worker</v>
      </c>
      <c r="V379" s="51" t="str">
        <f>VLOOKUP(Table3[[#This Row],[ACTIVITY]],TAGS!$B:$P,7,FALSE)</f>
        <v>NO</v>
      </c>
      <c r="W379" s="51" t="str">
        <f>VLOOKUP(Table3[[#This Row],[ACTIVITY]],TAGS!$B:$P,8,FALSE)</f>
        <v>PAP</v>
      </c>
      <c r="X379" s="51" t="str">
        <f>VLOOKUP(Table3[[#This Row],[ACTIVITY]],TAGS!$B:$P,10,FALSE)</f>
        <v>PIP</v>
      </c>
      <c r="Y379" s="51" t="str">
        <f>VLOOKUP(Table3[[#This Row],[ACTIVITY]],TAGS!$B:$P,11,FALSE)</f>
        <v>PICS</v>
      </c>
      <c r="Z379" s="51" t="str">
        <f>VLOOKUP(Table3[[#This Row],[ACTIVITY]],TAGS!$B:$P,12,FALSE)</f>
        <v>Consolidation</v>
      </c>
      <c r="AA379" s="51" t="str">
        <f>VLOOKUP(Table3[[#This Row],[ACTIVITY]],TAGS!$B:$P,13,FALSE)</f>
        <v>3. PAFES</v>
      </c>
      <c r="AB379" s="51" t="str">
        <f>VLOOKUP(Table3[[#This Row],[ACTIVITY]],TAGS!$B:$P,14,FALSE)</f>
        <v>STRONG PARTNERSHIP WITH THE FARMERS, FISHERFOLK, PRIVATE SECTOR, AND OTHER STAKEHOLDERS</v>
      </c>
      <c r="AC379" s="51" t="str">
        <f>VLOOKUP(Table3[[#This Row],[ACTIVITY]],TAGS!$B:$P,15,FALSE)</f>
        <v>Other Intervetions</v>
      </c>
      <c r="AD379" s="51" t="str">
        <f>VLOOKUP(Table3[[#This Row],[PI LEVEL 3]],'PI LEVEL'!$A:$G,7,FALSE)</f>
        <v>DA-Level Output</v>
      </c>
      <c r="AE379" s="47" t="s">
        <v>577</v>
      </c>
      <c r="AF379" s="51" t="str">
        <f>VLOOKUP(Table3[[#This Row],[ACTIVITY]],TAGS!$B:$P,3,FALSE)</f>
        <v>number</v>
      </c>
      <c r="AG379" s="47" t="s">
        <v>338</v>
      </c>
      <c r="AH379" s="51" t="str">
        <f>VLOOKUP(Table3[[#This Row],[MONTH]],TAGS!$W$67:$Y$81,2,FALSE)</f>
        <v>4TH QTR</v>
      </c>
      <c r="AI379" s="51" t="str">
        <f>VLOOKUP(Table3[[#This Row],[MONTH]],TAGS!$W$67:$Y$81,3,FALSE)</f>
        <v>2ND SEMESTER</v>
      </c>
      <c r="AJ379" s="51">
        <f>VLOOKUP(Table3[[#This Row],[MONTH]],TAGS!$W$67:$Z$81,4,FALSE)</f>
        <v>2025</v>
      </c>
      <c r="AK379" s="47">
        <v>2</v>
      </c>
      <c r="AL379" s="51" t="str">
        <f>VLOOKUP(Table3[[#This Row],[ACTIVITY]],TAGS!$B:$R,16,FALSE)</f>
        <v>NO</v>
      </c>
      <c r="AM379" s="47"/>
      <c r="AN379" s="47">
        <v>84</v>
      </c>
      <c r="AO379" s="57">
        <f>SUM(Table3[[#This Row],[MALE BENEFICIARIES]:[FEMALE BENEFICIARIES]])</f>
        <v>0</v>
      </c>
      <c r="AP379" s="58"/>
      <c r="AQ379" s="58"/>
      <c r="AR379" s="58"/>
      <c r="AS379" s="58"/>
      <c r="AT379" s="59" t="str">
        <f>VLOOKUP(Table3[[#This Row],[ACTIVITY]],TAGS!$B:$R,17,FALSE)</f>
        <v>NO</v>
      </c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</row>
    <row r="380" spans="1:65">
      <c r="A380" s="51" t="str">
        <f>VLOOKUP(Table3[[#This Row],[OU]],OU!$A$15:$B$34,2,FALSE)</f>
        <v>RFOs</v>
      </c>
      <c r="B380" s="47" t="s">
        <v>5</v>
      </c>
      <c r="C380" s="47" t="s">
        <v>574</v>
      </c>
      <c r="D380" s="47"/>
      <c r="E380" s="47" t="s">
        <v>70</v>
      </c>
      <c r="F380" s="47" t="s">
        <v>634</v>
      </c>
      <c r="G38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38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25701000</v>
      </c>
      <c r="I380" s="52" t="str">
        <f>VLOOKUP(Table3[[#This Row],[PSGC]],DISTRICT!$D:$G,4,FALSE)</f>
        <v>3rd</v>
      </c>
      <c r="J380" s="47" t="s">
        <v>585</v>
      </c>
      <c r="K380" s="51" t="str">
        <f>VLOOKUP(Table3[[#This Row],[SPECIFIC COMMODITY]],TAGS!$W$48:$X$53,2,FALSE)</f>
        <v>Multi_commodity</v>
      </c>
      <c r="L380" s="51" t="str">
        <f>VLOOKUP(Table3[[#This Row],[PREXC SUB-PROGRAM]],Table5[],2,FALSE)</f>
        <v>TECHNICAL AND SUPPORT SERVICES PROGRAM</v>
      </c>
      <c r="M380" s="51" t="str">
        <f>VLOOKUP(Table3[[#This Row],[COMMODITY PREXC SUB-PROGRAM]],TAGS!$U$54:$V$76,2,FALSE)</f>
        <v>ESETS</v>
      </c>
      <c r="N380" s="47" t="s">
        <v>592</v>
      </c>
      <c r="O380" s="54" t="str">
        <f>VLOOKUP(Table3[[#This Row],[PI LEVEL 3]],'PI LEVEL'!A:C,3,FALSE)</f>
        <v>Individuals given incentives, recognition, and awards</v>
      </c>
      <c r="P380" s="54" t="str">
        <f>VLOOKUP(Table3[[#This Row],[PI LEVEL 3]],Table53729[[Performance Indicator Level 3]:[Performance Indicator Level 1]],2,FALSE)</f>
        <v>AEWs-extension workers given incentives</v>
      </c>
      <c r="Q380" s="54" t="str">
        <f>VLOOKUP(Table3[[#This Row],[ACTIVITY]],TAGS!B:P,2,FALSE)</f>
        <v>AEWs-extension workers given incentives</v>
      </c>
      <c r="R380" s="47" t="s">
        <v>113</v>
      </c>
      <c r="S380" s="51" t="str">
        <f>VLOOKUP(Table3[[#This Row],[ACTIVITY]],TAGS!$B:$P,4,FALSE)</f>
        <v>Extension Workers Incentives</v>
      </c>
      <c r="T380" s="51" t="str">
        <f>VLOOKUP(Table3[[#This Row],[ACTIVITY]],TAGS!$B:$P,5,FALSE)</f>
        <v>Incentives Given</v>
      </c>
      <c r="U380" s="51" t="str">
        <f>VLOOKUP(Table3[[#This Row],[ACTIVITY]],TAGS!$B:$P,6,FALSE)</f>
        <v>Agricultural Extension Worker</v>
      </c>
      <c r="V380" s="51" t="str">
        <f>VLOOKUP(Table3[[#This Row],[ACTIVITY]],TAGS!$B:$P,7,FALSE)</f>
        <v>NO</v>
      </c>
      <c r="W380" s="51" t="str">
        <f>VLOOKUP(Table3[[#This Row],[ACTIVITY]],TAGS!$B:$P,8,FALSE)</f>
        <v>PAP</v>
      </c>
      <c r="X380" s="51" t="str">
        <f>VLOOKUP(Table3[[#This Row],[ACTIVITY]],TAGS!$B:$P,10,FALSE)</f>
        <v>PIP</v>
      </c>
      <c r="Y380" s="51" t="str">
        <f>VLOOKUP(Table3[[#This Row],[ACTIVITY]],TAGS!$B:$P,11,FALSE)</f>
        <v>PICS</v>
      </c>
      <c r="Z380" s="51" t="str">
        <f>VLOOKUP(Table3[[#This Row],[ACTIVITY]],TAGS!$B:$P,12,FALSE)</f>
        <v>Consolidation</v>
      </c>
      <c r="AA380" s="51" t="str">
        <f>VLOOKUP(Table3[[#This Row],[ACTIVITY]],TAGS!$B:$P,13,FALSE)</f>
        <v>3. PAFES</v>
      </c>
      <c r="AB380" s="51" t="str">
        <f>VLOOKUP(Table3[[#This Row],[ACTIVITY]],TAGS!$B:$P,14,FALSE)</f>
        <v>STRONG PARTNERSHIP WITH THE FARMERS, FISHERFOLK, PRIVATE SECTOR, AND OTHER STAKEHOLDERS</v>
      </c>
      <c r="AC380" s="51" t="str">
        <f>VLOOKUP(Table3[[#This Row],[ACTIVITY]],TAGS!$B:$P,15,FALSE)</f>
        <v>Other Intervetions</v>
      </c>
      <c r="AD380" s="51" t="str">
        <f>VLOOKUP(Table3[[#This Row],[PI LEVEL 3]],'PI LEVEL'!$A:$G,7,FALSE)</f>
        <v>DA-Level Output</v>
      </c>
      <c r="AE380" s="47" t="s">
        <v>577</v>
      </c>
      <c r="AF380" s="51" t="str">
        <f>VLOOKUP(Table3[[#This Row],[ACTIVITY]],TAGS!$B:$P,3,FALSE)</f>
        <v>number</v>
      </c>
      <c r="AG380" s="47" t="s">
        <v>338</v>
      </c>
      <c r="AH380" s="51" t="str">
        <f>VLOOKUP(Table3[[#This Row],[MONTH]],TAGS!$W$67:$Y$81,2,FALSE)</f>
        <v>4TH QTR</v>
      </c>
      <c r="AI380" s="51" t="str">
        <f>VLOOKUP(Table3[[#This Row],[MONTH]],TAGS!$W$67:$Y$81,3,FALSE)</f>
        <v>2ND SEMESTER</v>
      </c>
      <c r="AJ380" s="51">
        <f>VLOOKUP(Table3[[#This Row],[MONTH]],TAGS!$W$67:$Z$81,4,FALSE)</f>
        <v>2025</v>
      </c>
      <c r="AK380" s="47">
        <v>2</v>
      </c>
      <c r="AL380" s="51" t="str">
        <f>VLOOKUP(Table3[[#This Row],[ACTIVITY]],TAGS!$B:$R,16,FALSE)</f>
        <v>NO</v>
      </c>
      <c r="AM380" s="47"/>
      <c r="AN380" s="47">
        <v>84</v>
      </c>
      <c r="AO380" s="57">
        <f>SUM(Table3[[#This Row],[MALE BENEFICIARIES]:[FEMALE BENEFICIARIES]])</f>
        <v>0</v>
      </c>
      <c r="AP380" s="58"/>
      <c r="AQ380" s="58"/>
      <c r="AR380" s="58"/>
      <c r="AS380" s="58"/>
      <c r="AT380" s="59" t="str">
        <f>VLOOKUP(Table3[[#This Row],[ACTIVITY]],TAGS!$B:$R,17,FALSE)</f>
        <v>NO</v>
      </c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  <c r="BF380" s="59"/>
      <c r="BG380" s="59"/>
      <c r="BH380" s="59"/>
      <c r="BI380" s="59"/>
      <c r="BJ380" s="59"/>
      <c r="BK380" s="59"/>
      <c r="BL380" s="59"/>
      <c r="BM380" s="59"/>
    </row>
    <row r="381" spans="1:65">
      <c r="A381" s="51" t="str">
        <f>VLOOKUP(Table3[[#This Row],[OU]],OU!$A$15:$B$34,2,FALSE)</f>
        <v>RFOs</v>
      </c>
      <c r="B381" s="47" t="s">
        <v>5</v>
      </c>
      <c r="C381" s="47" t="s">
        <v>574</v>
      </c>
      <c r="D381" s="47"/>
      <c r="E381" s="47" t="s">
        <v>70</v>
      </c>
      <c r="F381" s="47" t="s">
        <v>635</v>
      </c>
      <c r="G38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38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25702000</v>
      </c>
      <c r="I381" s="52" t="str">
        <f>VLOOKUP(Table3[[#This Row],[PSGC]],DISTRICT!$D:$G,4,FALSE)</f>
        <v>3rd</v>
      </c>
      <c r="J381" s="47" t="s">
        <v>585</v>
      </c>
      <c r="K381" s="51" t="str">
        <f>VLOOKUP(Table3[[#This Row],[SPECIFIC COMMODITY]],TAGS!$W$48:$X$53,2,FALSE)</f>
        <v>Multi_commodity</v>
      </c>
      <c r="L381" s="51" t="str">
        <f>VLOOKUP(Table3[[#This Row],[PREXC SUB-PROGRAM]],Table5[],2,FALSE)</f>
        <v>TECHNICAL AND SUPPORT SERVICES PROGRAM</v>
      </c>
      <c r="M381" s="51" t="str">
        <f>VLOOKUP(Table3[[#This Row],[COMMODITY PREXC SUB-PROGRAM]],TAGS!$U$54:$V$76,2,FALSE)</f>
        <v>ESETS</v>
      </c>
      <c r="N381" s="47" t="s">
        <v>592</v>
      </c>
      <c r="O381" s="54" t="str">
        <f>VLOOKUP(Table3[[#This Row],[PI LEVEL 3]],'PI LEVEL'!A:C,3,FALSE)</f>
        <v>Individuals given incentives, recognition, and awards</v>
      </c>
      <c r="P381" s="54" t="str">
        <f>VLOOKUP(Table3[[#This Row],[PI LEVEL 3]],Table53729[[Performance Indicator Level 3]:[Performance Indicator Level 1]],2,FALSE)</f>
        <v>AEWs-extension workers given incentives</v>
      </c>
      <c r="Q381" s="54" t="str">
        <f>VLOOKUP(Table3[[#This Row],[ACTIVITY]],TAGS!B:P,2,FALSE)</f>
        <v>AEWs-extension workers given incentives</v>
      </c>
      <c r="R381" s="47" t="s">
        <v>113</v>
      </c>
      <c r="S381" s="51" t="str">
        <f>VLOOKUP(Table3[[#This Row],[ACTIVITY]],TAGS!$B:$P,4,FALSE)</f>
        <v>Extension Workers Incentives</v>
      </c>
      <c r="T381" s="51" t="str">
        <f>VLOOKUP(Table3[[#This Row],[ACTIVITY]],TAGS!$B:$P,5,FALSE)</f>
        <v>Incentives Given</v>
      </c>
      <c r="U381" s="51" t="str">
        <f>VLOOKUP(Table3[[#This Row],[ACTIVITY]],TAGS!$B:$P,6,FALSE)</f>
        <v>Agricultural Extension Worker</v>
      </c>
      <c r="V381" s="51" t="str">
        <f>VLOOKUP(Table3[[#This Row],[ACTIVITY]],TAGS!$B:$P,7,FALSE)</f>
        <v>NO</v>
      </c>
      <c r="W381" s="51" t="str">
        <f>VLOOKUP(Table3[[#This Row],[ACTIVITY]],TAGS!$B:$P,8,FALSE)</f>
        <v>PAP</v>
      </c>
      <c r="X381" s="51" t="str">
        <f>VLOOKUP(Table3[[#This Row],[ACTIVITY]],TAGS!$B:$P,10,FALSE)</f>
        <v>PIP</v>
      </c>
      <c r="Y381" s="51" t="str">
        <f>VLOOKUP(Table3[[#This Row],[ACTIVITY]],TAGS!$B:$P,11,FALSE)</f>
        <v>PICS</v>
      </c>
      <c r="Z381" s="51" t="str">
        <f>VLOOKUP(Table3[[#This Row],[ACTIVITY]],TAGS!$B:$P,12,FALSE)</f>
        <v>Consolidation</v>
      </c>
      <c r="AA381" s="51" t="str">
        <f>VLOOKUP(Table3[[#This Row],[ACTIVITY]],TAGS!$B:$P,13,FALSE)</f>
        <v>3. PAFES</v>
      </c>
      <c r="AB381" s="51" t="str">
        <f>VLOOKUP(Table3[[#This Row],[ACTIVITY]],TAGS!$B:$P,14,FALSE)</f>
        <v>STRONG PARTNERSHIP WITH THE FARMERS, FISHERFOLK, PRIVATE SECTOR, AND OTHER STAKEHOLDERS</v>
      </c>
      <c r="AC381" s="51" t="str">
        <f>VLOOKUP(Table3[[#This Row],[ACTIVITY]],TAGS!$B:$P,15,FALSE)</f>
        <v>Other Intervetions</v>
      </c>
      <c r="AD381" s="51" t="str">
        <f>VLOOKUP(Table3[[#This Row],[PI LEVEL 3]],'PI LEVEL'!$A:$G,7,FALSE)</f>
        <v>DA-Level Output</v>
      </c>
      <c r="AE381" s="47" t="s">
        <v>577</v>
      </c>
      <c r="AF381" s="51" t="str">
        <f>VLOOKUP(Table3[[#This Row],[ACTIVITY]],TAGS!$B:$P,3,FALSE)</f>
        <v>number</v>
      </c>
      <c r="AG381" s="47" t="s">
        <v>338</v>
      </c>
      <c r="AH381" s="51" t="str">
        <f>VLOOKUP(Table3[[#This Row],[MONTH]],TAGS!$W$67:$Y$81,2,FALSE)</f>
        <v>4TH QTR</v>
      </c>
      <c r="AI381" s="51" t="str">
        <f>VLOOKUP(Table3[[#This Row],[MONTH]],TAGS!$W$67:$Y$81,3,FALSE)</f>
        <v>2ND SEMESTER</v>
      </c>
      <c r="AJ381" s="51">
        <f>VLOOKUP(Table3[[#This Row],[MONTH]],TAGS!$W$67:$Z$81,4,FALSE)</f>
        <v>2025</v>
      </c>
      <c r="AK381" s="47">
        <v>6</v>
      </c>
      <c r="AL381" s="51" t="str">
        <f>VLOOKUP(Table3[[#This Row],[ACTIVITY]],TAGS!$B:$R,16,FALSE)</f>
        <v>NO</v>
      </c>
      <c r="AM381" s="47"/>
      <c r="AN381" s="47">
        <v>252</v>
      </c>
      <c r="AO381" s="57">
        <f>SUM(Table3[[#This Row],[MALE BENEFICIARIES]:[FEMALE BENEFICIARIES]])</f>
        <v>0</v>
      </c>
      <c r="AP381" s="58"/>
      <c r="AQ381" s="58"/>
      <c r="AR381" s="58"/>
      <c r="AS381" s="58"/>
      <c r="AT381" s="59" t="str">
        <f>VLOOKUP(Table3[[#This Row],[ACTIVITY]],TAGS!$B:$R,17,FALSE)</f>
        <v>NO</v>
      </c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</row>
    <row r="382" spans="1:65">
      <c r="A382" s="51" t="str">
        <f>VLOOKUP(Table3[[#This Row],[OU]],OU!$A$15:$B$34,2,FALSE)</f>
        <v>RFOs</v>
      </c>
      <c r="B382" s="47" t="s">
        <v>5</v>
      </c>
      <c r="C382" s="47" t="s">
        <v>574</v>
      </c>
      <c r="D382" s="47"/>
      <c r="E382" s="47" t="s">
        <v>70</v>
      </c>
      <c r="F382" s="47" t="s">
        <v>626</v>
      </c>
      <c r="G38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38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25703000</v>
      </c>
      <c r="I382" s="52" t="str">
        <f>VLOOKUP(Table3[[#This Row],[PSGC]],DISTRICT!$D:$G,4,FALSE)</f>
        <v>2nd</v>
      </c>
      <c r="J382" s="47" t="s">
        <v>585</v>
      </c>
      <c r="K382" s="51" t="str">
        <f>VLOOKUP(Table3[[#This Row],[SPECIFIC COMMODITY]],TAGS!$W$48:$X$53,2,FALSE)</f>
        <v>Multi_commodity</v>
      </c>
      <c r="L382" s="51" t="str">
        <f>VLOOKUP(Table3[[#This Row],[PREXC SUB-PROGRAM]],Table5[],2,FALSE)</f>
        <v>TECHNICAL AND SUPPORT SERVICES PROGRAM</v>
      </c>
      <c r="M382" s="51" t="str">
        <f>VLOOKUP(Table3[[#This Row],[COMMODITY PREXC SUB-PROGRAM]],TAGS!$U$54:$V$76,2,FALSE)</f>
        <v>ESETS</v>
      </c>
      <c r="N382" s="47" t="s">
        <v>592</v>
      </c>
      <c r="O382" s="54" t="str">
        <f>VLOOKUP(Table3[[#This Row],[PI LEVEL 3]],'PI LEVEL'!A:C,3,FALSE)</f>
        <v>Individuals given incentives, recognition, and awards</v>
      </c>
      <c r="P382" s="54" t="str">
        <f>VLOOKUP(Table3[[#This Row],[PI LEVEL 3]],Table53729[[Performance Indicator Level 3]:[Performance Indicator Level 1]],2,FALSE)</f>
        <v>AEWs-extension workers given incentives</v>
      </c>
      <c r="Q382" s="54" t="str">
        <f>VLOOKUP(Table3[[#This Row],[ACTIVITY]],TAGS!B:P,2,FALSE)</f>
        <v>AEWs-extension workers given incentives</v>
      </c>
      <c r="R382" s="47" t="s">
        <v>113</v>
      </c>
      <c r="S382" s="51" t="str">
        <f>VLOOKUP(Table3[[#This Row],[ACTIVITY]],TAGS!$B:$P,4,FALSE)</f>
        <v>Extension Workers Incentives</v>
      </c>
      <c r="T382" s="51" t="str">
        <f>VLOOKUP(Table3[[#This Row],[ACTIVITY]],TAGS!$B:$P,5,FALSE)</f>
        <v>Incentives Given</v>
      </c>
      <c r="U382" s="51" t="str">
        <f>VLOOKUP(Table3[[#This Row],[ACTIVITY]],TAGS!$B:$P,6,FALSE)</f>
        <v>Agricultural Extension Worker</v>
      </c>
      <c r="V382" s="51" t="str">
        <f>VLOOKUP(Table3[[#This Row],[ACTIVITY]],TAGS!$B:$P,7,FALSE)</f>
        <v>NO</v>
      </c>
      <c r="W382" s="51" t="str">
        <f>VLOOKUP(Table3[[#This Row],[ACTIVITY]],TAGS!$B:$P,8,FALSE)</f>
        <v>PAP</v>
      </c>
      <c r="X382" s="51" t="str">
        <f>VLOOKUP(Table3[[#This Row],[ACTIVITY]],TAGS!$B:$P,10,FALSE)</f>
        <v>PIP</v>
      </c>
      <c r="Y382" s="51" t="str">
        <f>VLOOKUP(Table3[[#This Row],[ACTIVITY]],TAGS!$B:$P,11,FALSE)</f>
        <v>PICS</v>
      </c>
      <c r="Z382" s="51" t="str">
        <f>VLOOKUP(Table3[[#This Row],[ACTIVITY]],TAGS!$B:$P,12,FALSE)</f>
        <v>Consolidation</v>
      </c>
      <c r="AA382" s="51" t="str">
        <f>VLOOKUP(Table3[[#This Row],[ACTIVITY]],TAGS!$B:$P,13,FALSE)</f>
        <v>3. PAFES</v>
      </c>
      <c r="AB382" s="51" t="str">
        <f>VLOOKUP(Table3[[#This Row],[ACTIVITY]],TAGS!$B:$P,14,FALSE)</f>
        <v>STRONG PARTNERSHIP WITH THE FARMERS, FISHERFOLK, PRIVATE SECTOR, AND OTHER STAKEHOLDERS</v>
      </c>
      <c r="AC382" s="51" t="str">
        <f>VLOOKUP(Table3[[#This Row],[ACTIVITY]],TAGS!$B:$P,15,FALSE)</f>
        <v>Other Intervetions</v>
      </c>
      <c r="AD382" s="51" t="str">
        <f>VLOOKUP(Table3[[#This Row],[PI LEVEL 3]],'PI LEVEL'!$A:$G,7,FALSE)</f>
        <v>DA-Level Output</v>
      </c>
      <c r="AE382" s="47" t="s">
        <v>577</v>
      </c>
      <c r="AF382" s="51" t="str">
        <f>VLOOKUP(Table3[[#This Row],[ACTIVITY]],TAGS!$B:$P,3,FALSE)</f>
        <v>number</v>
      </c>
      <c r="AG382" s="47" t="s">
        <v>338</v>
      </c>
      <c r="AH382" s="51" t="str">
        <f>VLOOKUP(Table3[[#This Row],[MONTH]],TAGS!$W$67:$Y$81,2,FALSE)</f>
        <v>4TH QTR</v>
      </c>
      <c r="AI382" s="51" t="str">
        <f>VLOOKUP(Table3[[#This Row],[MONTH]],TAGS!$W$67:$Y$81,3,FALSE)</f>
        <v>2ND SEMESTER</v>
      </c>
      <c r="AJ382" s="51">
        <f>VLOOKUP(Table3[[#This Row],[MONTH]],TAGS!$W$67:$Z$81,4,FALSE)</f>
        <v>2025</v>
      </c>
      <c r="AK382" s="47">
        <v>6</v>
      </c>
      <c r="AL382" s="51" t="str">
        <f>VLOOKUP(Table3[[#This Row],[ACTIVITY]],TAGS!$B:$R,16,FALSE)</f>
        <v>NO</v>
      </c>
      <c r="AM382" s="47"/>
      <c r="AN382" s="47">
        <v>252</v>
      </c>
      <c r="AO382" s="57">
        <f>SUM(Table3[[#This Row],[MALE BENEFICIARIES]:[FEMALE BENEFICIARIES]])</f>
        <v>0</v>
      </c>
      <c r="AP382" s="58"/>
      <c r="AQ382" s="58"/>
      <c r="AR382" s="58"/>
      <c r="AS382" s="58"/>
      <c r="AT382" s="59" t="str">
        <f>VLOOKUP(Table3[[#This Row],[ACTIVITY]],TAGS!$B:$R,17,FALSE)</f>
        <v>NO</v>
      </c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</row>
    <row r="383" spans="1:65">
      <c r="A383" s="51" t="str">
        <f>VLOOKUP(Table3[[#This Row],[OU]],OU!$A$15:$B$34,2,FALSE)</f>
        <v>RFOs</v>
      </c>
      <c r="B383" s="47" t="s">
        <v>5</v>
      </c>
      <c r="C383" s="47" t="s">
        <v>574</v>
      </c>
      <c r="D383" s="47"/>
      <c r="E383" s="47" t="s">
        <v>70</v>
      </c>
      <c r="F383" s="47" t="s">
        <v>636</v>
      </c>
      <c r="G38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38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25704000</v>
      </c>
      <c r="I383" s="52" t="str">
        <f>VLOOKUP(Table3[[#This Row],[PSGC]],DISTRICT!$D:$G,4,FALSE)</f>
        <v>1st</v>
      </c>
      <c r="J383" s="47" t="s">
        <v>585</v>
      </c>
      <c r="K383" s="51" t="str">
        <f>VLOOKUP(Table3[[#This Row],[SPECIFIC COMMODITY]],TAGS!$W$48:$X$53,2,FALSE)</f>
        <v>Multi_commodity</v>
      </c>
      <c r="L383" s="51" t="str">
        <f>VLOOKUP(Table3[[#This Row],[PREXC SUB-PROGRAM]],Table5[],2,FALSE)</f>
        <v>TECHNICAL AND SUPPORT SERVICES PROGRAM</v>
      </c>
      <c r="M383" s="51" t="str">
        <f>VLOOKUP(Table3[[#This Row],[COMMODITY PREXC SUB-PROGRAM]],TAGS!$U$54:$V$76,2,FALSE)</f>
        <v>ESETS</v>
      </c>
      <c r="N383" s="47" t="s">
        <v>592</v>
      </c>
      <c r="O383" s="54" t="str">
        <f>VLOOKUP(Table3[[#This Row],[PI LEVEL 3]],'PI LEVEL'!A:C,3,FALSE)</f>
        <v>Individuals given incentives, recognition, and awards</v>
      </c>
      <c r="P383" s="54" t="str">
        <f>VLOOKUP(Table3[[#This Row],[PI LEVEL 3]],Table53729[[Performance Indicator Level 3]:[Performance Indicator Level 1]],2,FALSE)</f>
        <v>AEWs-extension workers given incentives</v>
      </c>
      <c r="Q383" s="54" t="str">
        <f>VLOOKUP(Table3[[#This Row],[ACTIVITY]],TAGS!B:P,2,FALSE)</f>
        <v>AEWs-extension workers given incentives</v>
      </c>
      <c r="R383" s="47" t="s">
        <v>113</v>
      </c>
      <c r="S383" s="51" t="str">
        <f>VLOOKUP(Table3[[#This Row],[ACTIVITY]],TAGS!$B:$P,4,FALSE)</f>
        <v>Extension Workers Incentives</v>
      </c>
      <c r="T383" s="51" t="str">
        <f>VLOOKUP(Table3[[#This Row],[ACTIVITY]],TAGS!$B:$P,5,FALSE)</f>
        <v>Incentives Given</v>
      </c>
      <c r="U383" s="51" t="str">
        <f>VLOOKUP(Table3[[#This Row],[ACTIVITY]],TAGS!$B:$P,6,FALSE)</f>
        <v>Agricultural Extension Worker</v>
      </c>
      <c r="V383" s="51" t="str">
        <f>VLOOKUP(Table3[[#This Row],[ACTIVITY]],TAGS!$B:$P,7,FALSE)</f>
        <v>NO</v>
      </c>
      <c r="W383" s="51" t="str">
        <f>VLOOKUP(Table3[[#This Row],[ACTIVITY]],TAGS!$B:$P,8,FALSE)</f>
        <v>PAP</v>
      </c>
      <c r="X383" s="51" t="str">
        <f>VLOOKUP(Table3[[#This Row],[ACTIVITY]],TAGS!$B:$P,10,FALSE)</f>
        <v>PIP</v>
      </c>
      <c r="Y383" s="51" t="str">
        <f>VLOOKUP(Table3[[#This Row],[ACTIVITY]],TAGS!$B:$P,11,FALSE)</f>
        <v>PICS</v>
      </c>
      <c r="Z383" s="51" t="str">
        <f>VLOOKUP(Table3[[#This Row],[ACTIVITY]],TAGS!$B:$P,12,FALSE)</f>
        <v>Consolidation</v>
      </c>
      <c r="AA383" s="51" t="str">
        <f>VLOOKUP(Table3[[#This Row],[ACTIVITY]],TAGS!$B:$P,13,FALSE)</f>
        <v>3. PAFES</v>
      </c>
      <c r="AB383" s="51" t="str">
        <f>VLOOKUP(Table3[[#This Row],[ACTIVITY]],TAGS!$B:$P,14,FALSE)</f>
        <v>STRONG PARTNERSHIP WITH THE FARMERS, FISHERFOLK, PRIVATE SECTOR, AND OTHER STAKEHOLDERS</v>
      </c>
      <c r="AC383" s="51" t="str">
        <f>VLOOKUP(Table3[[#This Row],[ACTIVITY]],TAGS!$B:$P,15,FALSE)</f>
        <v>Other Intervetions</v>
      </c>
      <c r="AD383" s="51" t="str">
        <f>VLOOKUP(Table3[[#This Row],[PI LEVEL 3]],'PI LEVEL'!$A:$G,7,FALSE)</f>
        <v>DA-Level Output</v>
      </c>
      <c r="AE383" s="47" t="s">
        <v>577</v>
      </c>
      <c r="AF383" s="51" t="str">
        <f>VLOOKUP(Table3[[#This Row],[ACTIVITY]],TAGS!$B:$P,3,FALSE)</f>
        <v>number</v>
      </c>
      <c r="AG383" s="47" t="s">
        <v>338</v>
      </c>
      <c r="AH383" s="51" t="str">
        <f>VLOOKUP(Table3[[#This Row],[MONTH]],TAGS!$W$67:$Y$81,2,FALSE)</f>
        <v>4TH QTR</v>
      </c>
      <c r="AI383" s="51" t="str">
        <f>VLOOKUP(Table3[[#This Row],[MONTH]],TAGS!$W$67:$Y$81,3,FALSE)</f>
        <v>2ND SEMESTER</v>
      </c>
      <c r="AJ383" s="51">
        <f>VLOOKUP(Table3[[#This Row],[MONTH]],TAGS!$W$67:$Z$81,4,FALSE)</f>
        <v>2025</v>
      </c>
      <c r="AK383" s="47">
        <v>7</v>
      </c>
      <c r="AL383" s="51" t="str">
        <f>VLOOKUP(Table3[[#This Row],[ACTIVITY]],TAGS!$B:$R,16,FALSE)</f>
        <v>NO</v>
      </c>
      <c r="AM383" s="47"/>
      <c r="AN383" s="47">
        <v>294</v>
      </c>
      <c r="AO383" s="57">
        <f>SUM(Table3[[#This Row],[MALE BENEFICIARIES]:[FEMALE BENEFICIARIES]])</f>
        <v>0</v>
      </c>
      <c r="AP383" s="58"/>
      <c r="AQ383" s="58"/>
      <c r="AR383" s="58"/>
      <c r="AS383" s="58"/>
      <c r="AT383" s="59" t="str">
        <f>VLOOKUP(Table3[[#This Row],[ACTIVITY]],TAGS!$B:$R,17,FALSE)</f>
        <v>NO</v>
      </c>
      <c r="AU383" s="59"/>
      <c r="AV383" s="59"/>
      <c r="AW383" s="59"/>
      <c r="AX383" s="59"/>
      <c r="AY383" s="59"/>
      <c r="AZ383" s="59"/>
      <c r="BA383" s="59"/>
      <c r="BB383" s="59"/>
      <c r="BC383" s="59"/>
      <c r="BD383" s="59"/>
      <c r="BE383" s="59"/>
      <c r="BF383" s="59"/>
      <c r="BG383" s="59"/>
      <c r="BH383" s="59"/>
      <c r="BI383" s="59"/>
      <c r="BJ383" s="59"/>
      <c r="BK383" s="59"/>
      <c r="BL383" s="59"/>
      <c r="BM383" s="59"/>
    </row>
    <row r="384" spans="1:65">
      <c r="A384" s="51" t="str">
        <f>VLOOKUP(Table3[[#This Row],[OU]],OU!$A$15:$B$34,2,FALSE)</f>
        <v>RFOs</v>
      </c>
      <c r="B384" s="47" t="s">
        <v>5</v>
      </c>
      <c r="C384" s="47" t="s">
        <v>574</v>
      </c>
      <c r="D384" s="47"/>
      <c r="E384" s="47" t="s">
        <v>70</v>
      </c>
      <c r="F384" s="47" t="s">
        <v>694</v>
      </c>
      <c r="G38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38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25706000</v>
      </c>
      <c r="I384" s="52" t="str">
        <f>VLOOKUP(Table3[[#This Row],[PSGC]],DISTRICT!$D:$G,4,FALSE)</f>
        <v>1st</v>
      </c>
      <c r="J384" s="47" t="s">
        <v>585</v>
      </c>
      <c r="K384" s="51" t="str">
        <f>VLOOKUP(Table3[[#This Row],[SPECIFIC COMMODITY]],TAGS!$W$48:$X$53,2,FALSE)</f>
        <v>Multi_commodity</v>
      </c>
      <c r="L384" s="51" t="str">
        <f>VLOOKUP(Table3[[#This Row],[PREXC SUB-PROGRAM]],Table5[],2,FALSE)</f>
        <v>TECHNICAL AND SUPPORT SERVICES PROGRAM</v>
      </c>
      <c r="M384" s="51" t="str">
        <f>VLOOKUP(Table3[[#This Row],[COMMODITY PREXC SUB-PROGRAM]],TAGS!$U$54:$V$76,2,FALSE)</f>
        <v>ESETS</v>
      </c>
      <c r="N384" s="47" t="s">
        <v>592</v>
      </c>
      <c r="O384" s="54" t="str">
        <f>VLOOKUP(Table3[[#This Row],[PI LEVEL 3]],'PI LEVEL'!A:C,3,FALSE)</f>
        <v>Individuals given incentives, recognition, and awards</v>
      </c>
      <c r="P384" s="54" t="str">
        <f>VLOOKUP(Table3[[#This Row],[PI LEVEL 3]],Table53729[[Performance Indicator Level 3]:[Performance Indicator Level 1]],2,FALSE)</f>
        <v>AEWs-extension workers given incentives</v>
      </c>
      <c r="Q384" s="54" t="str">
        <f>VLOOKUP(Table3[[#This Row],[ACTIVITY]],TAGS!B:P,2,FALSE)</f>
        <v>AEWs-extension workers given incentives</v>
      </c>
      <c r="R384" s="47" t="s">
        <v>113</v>
      </c>
      <c r="S384" s="51" t="str">
        <f>VLOOKUP(Table3[[#This Row],[ACTIVITY]],TAGS!$B:$P,4,FALSE)</f>
        <v>Extension Workers Incentives</v>
      </c>
      <c r="T384" s="51" t="str">
        <f>VLOOKUP(Table3[[#This Row],[ACTIVITY]],TAGS!$B:$P,5,FALSE)</f>
        <v>Incentives Given</v>
      </c>
      <c r="U384" s="51" t="str">
        <f>VLOOKUP(Table3[[#This Row],[ACTIVITY]],TAGS!$B:$P,6,FALSE)</f>
        <v>Agricultural Extension Worker</v>
      </c>
      <c r="V384" s="51" t="str">
        <f>VLOOKUP(Table3[[#This Row],[ACTIVITY]],TAGS!$B:$P,7,FALSE)</f>
        <v>NO</v>
      </c>
      <c r="W384" s="51" t="str">
        <f>VLOOKUP(Table3[[#This Row],[ACTIVITY]],TAGS!$B:$P,8,FALSE)</f>
        <v>PAP</v>
      </c>
      <c r="X384" s="51" t="str">
        <f>VLOOKUP(Table3[[#This Row],[ACTIVITY]],TAGS!$B:$P,10,FALSE)</f>
        <v>PIP</v>
      </c>
      <c r="Y384" s="51" t="str">
        <f>VLOOKUP(Table3[[#This Row],[ACTIVITY]],TAGS!$B:$P,11,FALSE)</f>
        <v>PICS</v>
      </c>
      <c r="Z384" s="51" t="str">
        <f>VLOOKUP(Table3[[#This Row],[ACTIVITY]],TAGS!$B:$P,12,FALSE)</f>
        <v>Consolidation</v>
      </c>
      <c r="AA384" s="51" t="str">
        <f>VLOOKUP(Table3[[#This Row],[ACTIVITY]],TAGS!$B:$P,13,FALSE)</f>
        <v>3. PAFES</v>
      </c>
      <c r="AB384" s="51" t="str">
        <f>VLOOKUP(Table3[[#This Row],[ACTIVITY]],TAGS!$B:$P,14,FALSE)</f>
        <v>STRONG PARTNERSHIP WITH THE FARMERS, FISHERFOLK, PRIVATE SECTOR, AND OTHER STAKEHOLDERS</v>
      </c>
      <c r="AC384" s="51" t="str">
        <f>VLOOKUP(Table3[[#This Row],[ACTIVITY]],TAGS!$B:$P,15,FALSE)</f>
        <v>Other Intervetions</v>
      </c>
      <c r="AD384" s="51" t="str">
        <f>VLOOKUP(Table3[[#This Row],[PI LEVEL 3]],'PI LEVEL'!$A:$G,7,FALSE)</f>
        <v>DA-Level Output</v>
      </c>
      <c r="AE384" s="47" t="s">
        <v>577</v>
      </c>
      <c r="AF384" s="51" t="str">
        <f>VLOOKUP(Table3[[#This Row],[ACTIVITY]],TAGS!$B:$P,3,FALSE)</f>
        <v>number</v>
      </c>
      <c r="AG384" s="47" t="s">
        <v>338</v>
      </c>
      <c r="AH384" s="51" t="str">
        <f>VLOOKUP(Table3[[#This Row],[MONTH]],TAGS!$W$67:$Y$81,2,FALSE)</f>
        <v>4TH QTR</v>
      </c>
      <c r="AI384" s="51" t="str">
        <f>VLOOKUP(Table3[[#This Row],[MONTH]],TAGS!$W$67:$Y$81,3,FALSE)</f>
        <v>2ND SEMESTER</v>
      </c>
      <c r="AJ384" s="51">
        <f>VLOOKUP(Table3[[#This Row],[MONTH]],TAGS!$W$67:$Z$81,4,FALSE)</f>
        <v>2025</v>
      </c>
      <c r="AK384" s="47">
        <v>10</v>
      </c>
      <c r="AL384" s="51" t="str">
        <f>VLOOKUP(Table3[[#This Row],[ACTIVITY]],TAGS!$B:$R,16,FALSE)</f>
        <v>NO</v>
      </c>
      <c r="AM384" s="47"/>
      <c r="AN384" s="47">
        <v>420</v>
      </c>
      <c r="AO384" s="57">
        <f>SUM(Table3[[#This Row],[MALE BENEFICIARIES]:[FEMALE BENEFICIARIES]])</f>
        <v>0</v>
      </c>
      <c r="AP384" s="58"/>
      <c r="AQ384" s="58"/>
      <c r="AR384" s="58"/>
      <c r="AS384" s="58"/>
      <c r="AT384" s="59" t="str">
        <f>VLOOKUP(Table3[[#This Row],[ACTIVITY]],TAGS!$B:$R,17,FALSE)</f>
        <v>NO</v>
      </c>
      <c r="AU384" s="59"/>
      <c r="AV384" s="59"/>
      <c r="AW384" s="59"/>
      <c r="AX384" s="59"/>
      <c r="AY384" s="59"/>
      <c r="AZ384" s="59"/>
      <c r="BA384" s="59"/>
      <c r="BB384" s="59"/>
      <c r="BC384" s="59"/>
      <c r="BD384" s="59"/>
      <c r="BE384" s="59"/>
      <c r="BF384" s="59"/>
      <c r="BG384" s="59"/>
      <c r="BH384" s="59"/>
      <c r="BI384" s="59"/>
      <c r="BJ384" s="59"/>
      <c r="BK384" s="59"/>
      <c r="BL384" s="59"/>
      <c r="BM384" s="59"/>
    </row>
    <row r="385" spans="1:65">
      <c r="A385" s="51" t="str">
        <f>VLOOKUP(Table3[[#This Row],[OU]],OU!$A$15:$B$34,2,FALSE)</f>
        <v>RFOs</v>
      </c>
      <c r="B385" s="47" t="s">
        <v>5</v>
      </c>
      <c r="C385" s="47" t="s">
        <v>574</v>
      </c>
      <c r="D385" s="47"/>
      <c r="E385" s="47" t="s">
        <v>78</v>
      </c>
      <c r="F385" s="47" t="s">
        <v>77</v>
      </c>
      <c r="G38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38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385" s="52" t="e">
        <f>VLOOKUP(Table3[[#This Row],[PSGC]],DISTRICT!$D:$G,4,FALSE)</f>
        <v>#N/A</v>
      </c>
      <c r="J385" s="47" t="s">
        <v>585</v>
      </c>
      <c r="K385" s="51" t="str">
        <f>VLOOKUP(Table3[[#This Row],[SPECIFIC COMMODITY]],TAGS!$W$48:$X$53,2,FALSE)</f>
        <v>Multi_commodity</v>
      </c>
      <c r="L385" s="51" t="str">
        <f>VLOOKUP(Table3[[#This Row],[PREXC SUB-PROGRAM]],Table5[],2,FALSE)</f>
        <v>TECHNICAL AND SUPPORT SERVICES PROGRAM</v>
      </c>
      <c r="M385" s="51" t="str">
        <f>VLOOKUP(Table3[[#This Row],[COMMODITY PREXC SUB-PROGRAM]],TAGS!$U$54:$V$76,2,FALSE)</f>
        <v>ESETS</v>
      </c>
      <c r="N385" s="47" t="s">
        <v>592</v>
      </c>
      <c r="O385" s="54" t="str">
        <f>VLOOKUP(Table3[[#This Row],[PI LEVEL 3]],'PI LEVEL'!A:C,3,FALSE)</f>
        <v>Extension support activities conducted</v>
      </c>
      <c r="P385" s="54" t="str">
        <f>VLOOKUP(Table3[[#This Row],[PI LEVEL 3]],Table53729[[Performance Indicator Level 3]:[Performance Indicator Level 1]],2,FALSE)</f>
        <v>Extension support activities conducted</v>
      </c>
      <c r="Q385" s="54" t="str">
        <f>VLOOKUP(Table3[[#This Row],[ACTIVITY]],TAGS!B:P,2,FALSE)</f>
        <v>Other extension support activities conducted</v>
      </c>
      <c r="R385" s="47" t="s">
        <v>161</v>
      </c>
      <c r="S385" s="51" t="str">
        <f>VLOOKUP(Table3[[#This Row],[ACTIVITY]],TAGS!$B:$P,4,FALSE)</f>
        <v>Information, Education, and Communication Activities</v>
      </c>
      <c r="T385" s="51" t="str">
        <f>VLOOKUP(Table3[[#This Row],[ACTIVITY]],TAGS!$B:$P,5,FALSE)</f>
        <v>Information, Education, and Communication Activities</v>
      </c>
      <c r="U385" s="51" t="str">
        <f>VLOOKUP(Table3[[#This Row],[ACTIVITY]],TAGS!$B:$P,6,FALSE)</f>
        <v>Radio Plugs</v>
      </c>
      <c r="V385" s="51" t="str">
        <f>VLOOKUP(Table3[[#This Row],[ACTIVITY]],TAGS!$B:$P,7,FALSE)</f>
        <v>NO</v>
      </c>
      <c r="W385" s="51" t="str">
        <f>VLOOKUP(Table3[[#This Row],[ACTIVITY]],TAGS!$B:$P,8,FALSE)</f>
        <v>PAP</v>
      </c>
      <c r="X385" s="51" t="str">
        <f>VLOOKUP(Table3[[#This Row],[ACTIVITY]],TAGS!$B:$P,10,FALSE)</f>
        <v>PIP</v>
      </c>
      <c r="Y385" s="51" t="str">
        <f>VLOOKUP(Table3[[#This Row],[ACTIVITY]],TAGS!$B:$P,11,FALSE)</f>
        <v>PICS</v>
      </c>
      <c r="Z385" s="51" t="str">
        <f>VLOOKUP(Table3[[#This Row],[ACTIVITY]],TAGS!$B:$P,12,FALSE)</f>
        <v>Strategic Communication</v>
      </c>
      <c r="AA385" s="51" t="str">
        <f>VLOOKUP(Table3[[#This Row],[ACTIVITY]],TAGS!$B:$P,13,FALSE)</f>
        <v>18. Strategic Communications​</v>
      </c>
      <c r="AB385" s="51">
        <f>VLOOKUP(Table3[[#This Row],[ACTIVITY]],TAGS!$B:$P,14,FALSE)</f>
        <v>0</v>
      </c>
      <c r="AC385" s="51" t="str">
        <f>VLOOKUP(Table3[[#This Row],[ACTIVITY]],TAGS!$B:$P,15,FALSE)</f>
        <v>IEC</v>
      </c>
      <c r="AD385" s="51" t="str">
        <f>VLOOKUP(Table3[[#This Row],[PI LEVEL 3]],'PI LEVEL'!$A:$G,7,FALSE)</f>
        <v>DA-Level Output</v>
      </c>
      <c r="AE385" s="47" t="s">
        <v>577</v>
      </c>
      <c r="AF385" s="51" t="str">
        <f>VLOOKUP(Table3[[#This Row],[ACTIVITY]],TAGS!$B:$P,3,FALSE)</f>
        <v>no. of times aired</v>
      </c>
      <c r="AG385" s="47" t="s">
        <v>328</v>
      </c>
      <c r="AH385" s="51" t="str">
        <f>VLOOKUP(Table3[[#This Row],[MONTH]],TAGS!$W$67:$Y$81,2,FALSE)</f>
        <v>1ST QTR</v>
      </c>
      <c r="AI385" s="51" t="str">
        <f>VLOOKUP(Table3[[#This Row],[MONTH]],TAGS!$W$67:$Y$81,3,FALSE)</f>
        <v>1ST SEMESTER</v>
      </c>
      <c r="AJ385" s="51">
        <f>VLOOKUP(Table3[[#This Row],[MONTH]],TAGS!$W$67:$Z$81,4,FALSE)</f>
        <v>2025</v>
      </c>
      <c r="AK385" s="47">
        <v>1</v>
      </c>
      <c r="AL385" s="51" t="str">
        <f>VLOOKUP(Table3[[#This Row],[ACTIVITY]],TAGS!$B:$R,16,FALSE)</f>
        <v>NO</v>
      </c>
      <c r="AM385" s="47"/>
      <c r="AN385" s="47">
        <f>350/5</f>
        <v>70</v>
      </c>
      <c r="AO385" s="57">
        <f>SUM(Table3[[#This Row],[MALE BENEFICIARIES]:[FEMALE BENEFICIARIES]])</f>
        <v>0</v>
      </c>
      <c r="AP385" s="58"/>
      <c r="AQ385" s="58"/>
      <c r="AR385" s="58"/>
      <c r="AS385" s="58"/>
      <c r="AT385" s="59" t="str">
        <f>VLOOKUP(Table3[[#This Row],[ACTIVITY]],TAGS!$B:$R,17,FALSE)</f>
        <v>NO</v>
      </c>
      <c r="AU385" s="59"/>
      <c r="AV385" s="59"/>
      <c r="AW385" s="59"/>
      <c r="AX385" s="59"/>
      <c r="AY385" s="59"/>
      <c r="AZ385" s="59"/>
      <c r="BA385" s="59"/>
      <c r="BB385" s="59"/>
      <c r="BC385" s="59"/>
      <c r="BD385" s="59"/>
      <c r="BE385" s="59"/>
      <c r="BF385" s="59"/>
      <c r="BG385" s="59"/>
      <c r="BH385" s="59"/>
      <c r="BI385" s="59"/>
      <c r="BJ385" s="59"/>
      <c r="BK385" s="59"/>
      <c r="BL385" s="59"/>
      <c r="BM385" s="59"/>
    </row>
    <row r="386" spans="1:65">
      <c r="A386" s="51" t="str">
        <f>VLOOKUP(Table3[[#This Row],[OU]],OU!$A$15:$B$34,2,FALSE)</f>
        <v>RFOs</v>
      </c>
      <c r="B386" s="47" t="s">
        <v>5</v>
      </c>
      <c r="C386" s="47" t="s">
        <v>574</v>
      </c>
      <c r="D386" s="47"/>
      <c r="E386" s="47" t="s">
        <v>78</v>
      </c>
      <c r="F386" s="47" t="s">
        <v>77</v>
      </c>
      <c r="G38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38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386" s="52" t="e">
        <f>VLOOKUP(Table3[[#This Row],[PSGC]],DISTRICT!$D:$G,4,FALSE)</f>
        <v>#N/A</v>
      </c>
      <c r="J386" s="47" t="s">
        <v>585</v>
      </c>
      <c r="K386" s="51" t="str">
        <f>VLOOKUP(Table3[[#This Row],[SPECIFIC COMMODITY]],TAGS!$W$48:$X$53,2,FALSE)</f>
        <v>Multi_commodity</v>
      </c>
      <c r="L386" s="51" t="str">
        <f>VLOOKUP(Table3[[#This Row],[PREXC SUB-PROGRAM]],Table5[],2,FALSE)</f>
        <v>TECHNICAL AND SUPPORT SERVICES PROGRAM</v>
      </c>
      <c r="M386" s="51" t="str">
        <f>VLOOKUP(Table3[[#This Row],[COMMODITY PREXC SUB-PROGRAM]],TAGS!$U$54:$V$76,2,FALSE)</f>
        <v>ESETS</v>
      </c>
      <c r="N386" s="47" t="s">
        <v>592</v>
      </c>
      <c r="O386" s="54" t="str">
        <f>VLOOKUP(Table3[[#This Row],[PI LEVEL 3]],'PI LEVEL'!A:C,3,FALSE)</f>
        <v>Extension support activities conducted</v>
      </c>
      <c r="P386" s="54" t="str">
        <f>VLOOKUP(Table3[[#This Row],[PI LEVEL 3]],Table53729[[Performance Indicator Level 3]:[Performance Indicator Level 1]],2,FALSE)</f>
        <v>Extension support activities conducted</v>
      </c>
      <c r="Q386" s="54" t="str">
        <f>VLOOKUP(Table3[[#This Row],[ACTIVITY]],TAGS!B:P,2,FALSE)</f>
        <v>Other extension support activities conducted</v>
      </c>
      <c r="R386" s="47" t="s">
        <v>161</v>
      </c>
      <c r="S386" s="51" t="str">
        <f>VLOOKUP(Table3[[#This Row],[ACTIVITY]],TAGS!$B:$P,4,FALSE)</f>
        <v>Information, Education, and Communication Activities</v>
      </c>
      <c r="T386" s="51" t="str">
        <f>VLOOKUP(Table3[[#This Row],[ACTIVITY]],TAGS!$B:$P,5,FALSE)</f>
        <v>Information, Education, and Communication Activities</v>
      </c>
      <c r="U386" s="51" t="str">
        <f>VLOOKUP(Table3[[#This Row],[ACTIVITY]],TAGS!$B:$P,6,FALSE)</f>
        <v>Radio Plugs</v>
      </c>
      <c r="V386" s="51" t="str">
        <f>VLOOKUP(Table3[[#This Row],[ACTIVITY]],TAGS!$B:$P,7,FALSE)</f>
        <v>NO</v>
      </c>
      <c r="W386" s="51" t="str">
        <f>VLOOKUP(Table3[[#This Row],[ACTIVITY]],TAGS!$B:$P,8,FALSE)</f>
        <v>PAP</v>
      </c>
      <c r="X386" s="51" t="str">
        <f>VLOOKUP(Table3[[#This Row],[ACTIVITY]],TAGS!$B:$P,10,FALSE)</f>
        <v>PIP</v>
      </c>
      <c r="Y386" s="51" t="str">
        <f>VLOOKUP(Table3[[#This Row],[ACTIVITY]],TAGS!$B:$P,11,FALSE)</f>
        <v>PICS</v>
      </c>
      <c r="Z386" s="51" t="str">
        <f>VLOOKUP(Table3[[#This Row],[ACTIVITY]],TAGS!$B:$P,12,FALSE)</f>
        <v>Strategic Communication</v>
      </c>
      <c r="AA386" s="51" t="str">
        <f>VLOOKUP(Table3[[#This Row],[ACTIVITY]],TAGS!$B:$P,13,FALSE)</f>
        <v>18. Strategic Communications​</v>
      </c>
      <c r="AB386" s="51">
        <f>VLOOKUP(Table3[[#This Row],[ACTIVITY]],TAGS!$B:$P,14,FALSE)</f>
        <v>0</v>
      </c>
      <c r="AC386" s="51" t="str">
        <f>VLOOKUP(Table3[[#This Row],[ACTIVITY]],TAGS!$B:$P,15,FALSE)</f>
        <v>IEC</v>
      </c>
      <c r="AD386" s="51" t="str">
        <f>VLOOKUP(Table3[[#This Row],[PI LEVEL 3]],'PI LEVEL'!$A:$G,7,FALSE)</f>
        <v>DA-Level Output</v>
      </c>
      <c r="AE386" s="47" t="s">
        <v>577</v>
      </c>
      <c r="AF386" s="51" t="str">
        <f>VLOOKUP(Table3[[#This Row],[ACTIVITY]],TAGS!$B:$P,3,FALSE)</f>
        <v>no. of times aired</v>
      </c>
      <c r="AG386" s="47" t="s">
        <v>329</v>
      </c>
      <c r="AH386" s="51" t="str">
        <f>VLOOKUP(Table3[[#This Row],[MONTH]],TAGS!$W$67:$Y$81,2,FALSE)</f>
        <v>1ST QTR</v>
      </c>
      <c r="AI386" s="51" t="str">
        <f>VLOOKUP(Table3[[#This Row],[MONTH]],TAGS!$W$67:$Y$81,3,FALSE)</f>
        <v>1ST SEMESTER</v>
      </c>
      <c r="AJ386" s="51">
        <f>VLOOKUP(Table3[[#This Row],[MONTH]],TAGS!$W$67:$Z$81,4,FALSE)</f>
        <v>2025</v>
      </c>
      <c r="AK386" s="47">
        <v>1</v>
      </c>
      <c r="AL386" s="51" t="str">
        <f>VLOOKUP(Table3[[#This Row],[ACTIVITY]],TAGS!$B:$R,16,FALSE)</f>
        <v>NO</v>
      </c>
      <c r="AM386" s="47"/>
      <c r="AN386" s="47">
        <f t="shared" ref="AN386:AN389" si="0">350/5</f>
        <v>70</v>
      </c>
      <c r="AO386" s="57">
        <f>SUM(Table3[[#This Row],[MALE BENEFICIARIES]:[FEMALE BENEFICIARIES]])</f>
        <v>0</v>
      </c>
      <c r="AP386" s="58"/>
      <c r="AQ386" s="58"/>
      <c r="AR386" s="58"/>
      <c r="AS386" s="58"/>
      <c r="AT386" s="59" t="str">
        <f>VLOOKUP(Table3[[#This Row],[ACTIVITY]],TAGS!$B:$R,17,FALSE)</f>
        <v>NO</v>
      </c>
      <c r="AU386" s="59"/>
      <c r="AV386" s="59"/>
      <c r="AW386" s="59"/>
      <c r="AX386" s="59"/>
      <c r="AY386" s="59"/>
      <c r="AZ386" s="59"/>
      <c r="BA386" s="59"/>
      <c r="BB386" s="59"/>
      <c r="BC386" s="59"/>
      <c r="BD386" s="59"/>
      <c r="BE386" s="59"/>
      <c r="BF386" s="59"/>
      <c r="BG386" s="59"/>
      <c r="BH386" s="59"/>
      <c r="BI386" s="59"/>
      <c r="BJ386" s="59"/>
      <c r="BK386" s="59"/>
      <c r="BL386" s="59"/>
      <c r="BM386" s="59"/>
    </row>
    <row r="387" spans="1:65">
      <c r="A387" s="51" t="str">
        <f>VLOOKUP(Table3[[#This Row],[OU]],OU!$A$15:$B$34,2,FALSE)</f>
        <v>RFOs</v>
      </c>
      <c r="B387" s="47" t="s">
        <v>5</v>
      </c>
      <c r="C387" s="47" t="s">
        <v>574</v>
      </c>
      <c r="D387" s="47"/>
      <c r="E387" s="47" t="s">
        <v>78</v>
      </c>
      <c r="F387" s="47" t="s">
        <v>77</v>
      </c>
      <c r="G38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38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387" s="52" t="e">
        <f>VLOOKUP(Table3[[#This Row],[PSGC]],DISTRICT!$D:$G,4,FALSE)</f>
        <v>#N/A</v>
      </c>
      <c r="J387" s="47" t="s">
        <v>585</v>
      </c>
      <c r="K387" s="51" t="str">
        <f>VLOOKUP(Table3[[#This Row],[SPECIFIC COMMODITY]],TAGS!$W$48:$X$53,2,FALSE)</f>
        <v>Multi_commodity</v>
      </c>
      <c r="L387" s="51" t="str">
        <f>VLOOKUP(Table3[[#This Row],[PREXC SUB-PROGRAM]],Table5[],2,FALSE)</f>
        <v>TECHNICAL AND SUPPORT SERVICES PROGRAM</v>
      </c>
      <c r="M387" s="51" t="str">
        <f>VLOOKUP(Table3[[#This Row],[COMMODITY PREXC SUB-PROGRAM]],TAGS!$U$54:$V$76,2,FALSE)</f>
        <v>ESETS</v>
      </c>
      <c r="N387" s="47" t="s">
        <v>592</v>
      </c>
      <c r="O387" s="54" t="str">
        <f>VLOOKUP(Table3[[#This Row],[PI LEVEL 3]],'PI LEVEL'!A:C,3,FALSE)</f>
        <v>Extension support activities conducted</v>
      </c>
      <c r="P387" s="54" t="str">
        <f>VLOOKUP(Table3[[#This Row],[PI LEVEL 3]],Table53729[[Performance Indicator Level 3]:[Performance Indicator Level 1]],2,FALSE)</f>
        <v>Extension support activities conducted</v>
      </c>
      <c r="Q387" s="54" t="str">
        <f>VLOOKUP(Table3[[#This Row],[ACTIVITY]],TAGS!B:P,2,FALSE)</f>
        <v>Other extension support activities conducted</v>
      </c>
      <c r="R387" s="47" t="s">
        <v>161</v>
      </c>
      <c r="S387" s="51" t="str">
        <f>VLOOKUP(Table3[[#This Row],[ACTIVITY]],TAGS!$B:$P,4,FALSE)</f>
        <v>Information, Education, and Communication Activities</v>
      </c>
      <c r="T387" s="51" t="str">
        <f>VLOOKUP(Table3[[#This Row],[ACTIVITY]],TAGS!$B:$P,5,FALSE)</f>
        <v>Information, Education, and Communication Activities</v>
      </c>
      <c r="U387" s="51" t="str">
        <f>VLOOKUP(Table3[[#This Row],[ACTIVITY]],TAGS!$B:$P,6,FALSE)</f>
        <v>Radio Plugs</v>
      </c>
      <c r="V387" s="51" t="str">
        <f>VLOOKUP(Table3[[#This Row],[ACTIVITY]],TAGS!$B:$P,7,FALSE)</f>
        <v>NO</v>
      </c>
      <c r="W387" s="51" t="str">
        <f>VLOOKUP(Table3[[#This Row],[ACTIVITY]],TAGS!$B:$P,8,FALSE)</f>
        <v>PAP</v>
      </c>
      <c r="X387" s="51" t="str">
        <f>VLOOKUP(Table3[[#This Row],[ACTIVITY]],TAGS!$B:$P,10,FALSE)</f>
        <v>PIP</v>
      </c>
      <c r="Y387" s="51" t="str">
        <f>VLOOKUP(Table3[[#This Row],[ACTIVITY]],TAGS!$B:$P,11,FALSE)</f>
        <v>PICS</v>
      </c>
      <c r="Z387" s="51" t="str">
        <f>VLOOKUP(Table3[[#This Row],[ACTIVITY]],TAGS!$B:$P,12,FALSE)</f>
        <v>Strategic Communication</v>
      </c>
      <c r="AA387" s="51" t="str">
        <f>VLOOKUP(Table3[[#This Row],[ACTIVITY]],TAGS!$B:$P,13,FALSE)</f>
        <v>18. Strategic Communications​</v>
      </c>
      <c r="AB387" s="51">
        <f>VLOOKUP(Table3[[#This Row],[ACTIVITY]],TAGS!$B:$P,14,FALSE)</f>
        <v>0</v>
      </c>
      <c r="AC387" s="51" t="str">
        <f>VLOOKUP(Table3[[#This Row],[ACTIVITY]],TAGS!$B:$P,15,FALSE)</f>
        <v>IEC</v>
      </c>
      <c r="AD387" s="51" t="str">
        <f>VLOOKUP(Table3[[#This Row],[PI LEVEL 3]],'PI LEVEL'!$A:$G,7,FALSE)</f>
        <v>DA-Level Output</v>
      </c>
      <c r="AE387" s="47" t="s">
        <v>577</v>
      </c>
      <c r="AF387" s="51" t="str">
        <f>VLOOKUP(Table3[[#This Row],[ACTIVITY]],TAGS!$B:$P,3,FALSE)</f>
        <v>no. of times aired</v>
      </c>
      <c r="AG387" s="47" t="s">
        <v>330</v>
      </c>
      <c r="AH387" s="51" t="str">
        <f>VLOOKUP(Table3[[#This Row],[MONTH]],TAGS!$W$67:$Y$81,2,FALSE)</f>
        <v>2ND QTR</v>
      </c>
      <c r="AI387" s="51" t="str">
        <f>VLOOKUP(Table3[[#This Row],[MONTH]],TAGS!$W$67:$Y$81,3,FALSE)</f>
        <v>1ST SEMESTER</v>
      </c>
      <c r="AJ387" s="51">
        <f>VLOOKUP(Table3[[#This Row],[MONTH]],TAGS!$W$67:$Z$81,4,FALSE)</f>
        <v>2025</v>
      </c>
      <c r="AK387" s="47">
        <v>1</v>
      </c>
      <c r="AL387" s="51" t="str">
        <f>VLOOKUP(Table3[[#This Row],[ACTIVITY]],TAGS!$B:$R,16,FALSE)</f>
        <v>NO</v>
      </c>
      <c r="AM387" s="47"/>
      <c r="AN387" s="47">
        <f t="shared" si="0"/>
        <v>70</v>
      </c>
      <c r="AO387" s="57">
        <f>SUM(Table3[[#This Row],[MALE BENEFICIARIES]:[FEMALE BENEFICIARIES]])</f>
        <v>0</v>
      </c>
      <c r="AP387" s="58"/>
      <c r="AQ387" s="58"/>
      <c r="AR387" s="58"/>
      <c r="AS387" s="58"/>
      <c r="AT387" s="59" t="str">
        <f>VLOOKUP(Table3[[#This Row],[ACTIVITY]],TAGS!$B:$R,17,FALSE)</f>
        <v>NO</v>
      </c>
      <c r="AU387" s="59"/>
      <c r="AV387" s="59"/>
      <c r="AW387" s="59"/>
      <c r="AX387" s="59"/>
      <c r="AY387" s="59"/>
      <c r="AZ387" s="59"/>
      <c r="BA387" s="59"/>
      <c r="BB387" s="59"/>
      <c r="BC387" s="59"/>
      <c r="BD387" s="59"/>
      <c r="BE387" s="59"/>
      <c r="BF387" s="59"/>
      <c r="BG387" s="59"/>
      <c r="BH387" s="59"/>
      <c r="BI387" s="59"/>
      <c r="BJ387" s="59"/>
      <c r="BK387" s="59"/>
      <c r="BL387" s="59"/>
      <c r="BM387" s="59"/>
    </row>
    <row r="388" spans="1:65">
      <c r="A388" s="51" t="str">
        <f>VLOOKUP(Table3[[#This Row],[OU]],OU!$A$15:$B$34,2,FALSE)</f>
        <v>RFOs</v>
      </c>
      <c r="B388" s="47" t="s">
        <v>5</v>
      </c>
      <c r="C388" s="47" t="s">
        <v>574</v>
      </c>
      <c r="D388" s="47"/>
      <c r="E388" s="47" t="s">
        <v>78</v>
      </c>
      <c r="F388" s="47" t="s">
        <v>77</v>
      </c>
      <c r="G38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38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388" s="52" t="e">
        <f>VLOOKUP(Table3[[#This Row],[PSGC]],DISTRICT!$D:$G,4,FALSE)</f>
        <v>#N/A</v>
      </c>
      <c r="J388" s="47" t="s">
        <v>585</v>
      </c>
      <c r="K388" s="51" t="str">
        <f>VLOOKUP(Table3[[#This Row],[SPECIFIC COMMODITY]],TAGS!$W$48:$X$53,2,FALSE)</f>
        <v>Multi_commodity</v>
      </c>
      <c r="L388" s="51" t="str">
        <f>VLOOKUP(Table3[[#This Row],[PREXC SUB-PROGRAM]],Table5[],2,FALSE)</f>
        <v>TECHNICAL AND SUPPORT SERVICES PROGRAM</v>
      </c>
      <c r="M388" s="51" t="str">
        <f>VLOOKUP(Table3[[#This Row],[COMMODITY PREXC SUB-PROGRAM]],TAGS!$U$54:$V$76,2,FALSE)</f>
        <v>ESETS</v>
      </c>
      <c r="N388" s="47" t="s">
        <v>592</v>
      </c>
      <c r="O388" s="54" t="str">
        <f>VLOOKUP(Table3[[#This Row],[PI LEVEL 3]],'PI LEVEL'!A:C,3,FALSE)</f>
        <v>Extension support activities conducted</v>
      </c>
      <c r="P388" s="54" t="str">
        <f>VLOOKUP(Table3[[#This Row],[PI LEVEL 3]],Table53729[[Performance Indicator Level 3]:[Performance Indicator Level 1]],2,FALSE)</f>
        <v>Extension support activities conducted</v>
      </c>
      <c r="Q388" s="54" t="str">
        <f>VLOOKUP(Table3[[#This Row],[ACTIVITY]],TAGS!B:P,2,FALSE)</f>
        <v>Other extension support activities conducted</v>
      </c>
      <c r="R388" s="47" t="s">
        <v>161</v>
      </c>
      <c r="S388" s="51" t="str">
        <f>VLOOKUP(Table3[[#This Row],[ACTIVITY]],TAGS!$B:$P,4,FALSE)</f>
        <v>Information, Education, and Communication Activities</v>
      </c>
      <c r="T388" s="51" t="str">
        <f>VLOOKUP(Table3[[#This Row],[ACTIVITY]],TAGS!$B:$P,5,FALSE)</f>
        <v>Information, Education, and Communication Activities</v>
      </c>
      <c r="U388" s="51" t="str">
        <f>VLOOKUP(Table3[[#This Row],[ACTIVITY]],TAGS!$B:$P,6,FALSE)</f>
        <v>Radio Plugs</v>
      </c>
      <c r="V388" s="51" t="str">
        <f>VLOOKUP(Table3[[#This Row],[ACTIVITY]],TAGS!$B:$P,7,FALSE)</f>
        <v>NO</v>
      </c>
      <c r="W388" s="51" t="str">
        <f>VLOOKUP(Table3[[#This Row],[ACTIVITY]],TAGS!$B:$P,8,FALSE)</f>
        <v>PAP</v>
      </c>
      <c r="X388" s="51" t="str">
        <f>VLOOKUP(Table3[[#This Row],[ACTIVITY]],TAGS!$B:$P,10,FALSE)</f>
        <v>PIP</v>
      </c>
      <c r="Y388" s="51" t="str">
        <f>VLOOKUP(Table3[[#This Row],[ACTIVITY]],TAGS!$B:$P,11,FALSE)</f>
        <v>PICS</v>
      </c>
      <c r="Z388" s="51" t="str">
        <f>VLOOKUP(Table3[[#This Row],[ACTIVITY]],TAGS!$B:$P,12,FALSE)</f>
        <v>Strategic Communication</v>
      </c>
      <c r="AA388" s="51" t="str">
        <f>VLOOKUP(Table3[[#This Row],[ACTIVITY]],TAGS!$B:$P,13,FALSE)</f>
        <v>18. Strategic Communications​</v>
      </c>
      <c r="AB388" s="51">
        <f>VLOOKUP(Table3[[#This Row],[ACTIVITY]],TAGS!$B:$P,14,FALSE)</f>
        <v>0</v>
      </c>
      <c r="AC388" s="51" t="str">
        <f>VLOOKUP(Table3[[#This Row],[ACTIVITY]],TAGS!$B:$P,15,FALSE)</f>
        <v>IEC</v>
      </c>
      <c r="AD388" s="51" t="str">
        <f>VLOOKUP(Table3[[#This Row],[PI LEVEL 3]],'PI LEVEL'!$A:$G,7,FALSE)</f>
        <v>DA-Level Output</v>
      </c>
      <c r="AE388" s="47" t="s">
        <v>577</v>
      </c>
      <c r="AF388" s="51" t="str">
        <f>VLOOKUP(Table3[[#This Row],[ACTIVITY]],TAGS!$B:$P,3,FALSE)</f>
        <v>no. of times aired</v>
      </c>
      <c r="AG388" s="47" t="s">
        <v>331</v>
      </c>
      <c r="AH388" s="51" t="str">
        <f>VLOOKUP(Table3[[#This Row],[MONTH]],TAGS!$W$67:$Y$81,2,FALSE)</f>
        <v>2ND QTR</v>
      </c>
      <c r="AI388" s="51" t="str">
        <f>VLOOKUP(Table3[[#This Row],[MONTH]],TAGS!$W$67:$Y$81,3,FALSE)</f>
        <v>1ST SEMESTER</v>
      </c>
      <c r="AJ388" s="51">
        <f>VLOOKUP(Table3[[#This Row],[MONTH]],TAGS!$W$67:$Z$81,4,FALSE)</f>
        <v>2025</v>
      </c>
      <c r="AK388" s="47">
        <v>1</v>
      </c>
      <c r="AL388" s="51" t="str">
        <f>VLOOKUP(Table3[[#This Row],[ACTIVITY]],TAGS!$B:$R,16,FALSE)</f>
        <v>NO</v>
      </c>
      <c r="AM388" s="47"/>
      <c r="AN388" s="47">
        <f t="shared" si="0"/>
        <v>70</v>
      </c>
      <c r="AO388" s="57">
        <f>SUM(Table3[[#This Row],[MALE BENEFICIARIES]:[FEMALE BENEFICIARIES]])</f>
        <v>0</v>
      </c>
      <c r="AP388" s="58"/>
      <c r="AQ388" s="58"/>
      <c r="AR388" s="58"/>
      <c r="AS388" s="58"/>
      <c r="AT388" s="59" t="str">
        <f>VLOOKUP(Table3[[#This Row],[ACTIVITY]],TAGS!$B:$R,17,FALSE)</f>
        <v>NO</v>
      </c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</row>
    <row r="389" spans="1:65">
      <c r="A389" s="51" t="str">
        <f>VLOOKUP(Table3[[#This Row],[OU]],OU!$A$15:$B$34,2,FALSE)</f>
        <v>RFOs</v>
      </c>
      <c r="B389" s="47" t="s">
        <v>5</v>
      </c>
      <c r="C389" s="47" t="s">
        <v>574</v>
      </c>
      <c r="D389" s="47"/>
      <c r="E389" s="47" t="s">
        <v>78</v>
      </c>
      <c r="F389" s="47" t="s">
        <v>77</v>
      </c>
      <c r="G38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38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389" s="52" t="e">
        <f>VLOOKUP(Table3[[#This Row],[PSGC]],DISTRICT!$D:$G,4,FALSE)</f>
        <v>#N/A</v>
      </c>
      <c r="J389" s="47" t="s">
        <v>585</v>
      </c>
      <c r="K389" s="51" t="str">
        <f>VLOOKUP(Table3[[#This Row],[SPECIFIC COMMODITY]],TAGS!$W$48:$X$53,2,FALSE)</f>
        <v>Multi_commodity</v>
      </c>
      <c r="L389" s="51" t="str">
        <f>VLOOKUP(Table3[[#This Row],[PREXC SUB-PROGRAM]],Table5[],2,FALSE)</f>
        <v>TECHNICAL AND SUPPORT SERVICES PROGRAM</v>
      </c>
      <c r="M389" s="51" t="str">
        <f>VLOOKUP(Table3[[#This Row],[COMMODITY PREXC SUB-PROGRAM]],TAGS!$U$54:$V$76,2,FALSE)</f>
        <v>ESETS</v>
      </c>
      <c r="N389" s="47" t="s">
        <v>592</v>
      </c>
      <c r="O389" s="54" t="str">
        <f>VLOOKUP(Table3[[#This Row],[PI LEVEL 3]],'PI LEVEL'!A:C,3,FALSE)</f>
        <v>Extension support activities conducted</v>
      </c>
      <c r="P389" s="54" t="str">
        <f>VLOOKUP(Table3[[#This Row],[PI LEVEL 3]],Table53729[[Performance Indicator Level 3]:[Performance Indicator Level 1]],2,FALSE)</f>
        <v>Extension support activities conducted</v>
      </c>
      <c r="Q389" s="54" t="str">
        <f>VLOOKUP(Table3[[#This Row],[ACTIVITY]],TAGS!B:P,2,FALSE)</f>
        <v>Other extension support activities conducted</v>
      </c>
      <c r="R389" s="47" t="s">
        <v>161</v>
      </c>
      <c r="S389" s="51" t="str">
        <f>VLOOKUP(Table3[[#This Row],[ACTIVITY]],TAGS!$B:$P,4,FALSE)</f>
        <v>Information, Education, and Communication Activities</v>
      </c>
      <c r="T389" s="51" t="str">
        <f>VLOOKUP(Table3[[#This Row],[ACTIVITY]],TAGS!$B:$P,5,FALSE)</f>
        <v>Information, Education, and Communication Activities</v>
      </c>
      <c r="U389" s="51" t="str">
        <f>VLOOKUP(Table3[[#This Row],[ACTIVITY]],TAGS!$B:$P,6,FALSE)</f>
        <v>Radio Plugs</v>
      </c>
      <c r="V389" s="51" t="str">
        <f>VLOOKUP(Table3[[#This Row],[ACTIVITY]],TAGS!$B:$P,7,FALSE)</f>
        <v>NO</v>
      </c>
      <c r="W389" s="51" t="str">
        <f>VLOOKUP(Table3[[#This Row],[ACTIVITY]],TAGS!$B:$P,8,FALSE)</f>
        <v>PAP</v>
      </c>
      <c r="X389" s="51" t="str">
        <f>VLOOKUP(Table3[[#This Row],[ACTIVITY]],TAGS!$B:$P,10,FALSE)</f>
        <v>PIP</v>
      </c>
      <c r="Y389" s="51" t="str">
        <f>VLOOKUP(Table3[[#This Row],[ACTIVITY]],TAGS!$B:$P,11,FALSE)</f>
        <v>PICS</v>
      </c>
      <c r="Z389" s="51" t="str">
        <f>VLOOKUP(Table3[[#This Row],[ACTIVITY]],TAGS!$B:$P,12,FALSE)</f>
        <v>Strategic Communication</v>
      </c>
      <c r="AA389" s="51" t="str">
        <f>VLOOKUP(Table3[[#This Row],[ACTIVITY]],TAGS!$B:$P,13,FALSE)</f>
        <v>18. Strategic Communications​</v>
      </c>
      <c r="AB389" s="51">
        <f>VLOOKUP(Table3[[#This Row],[ACTIVITY]],TAGS!$B:$P,14,FALSE)</f>
        <v>0</v>
      </c>
      <c r="AC389" s="51" t="str">
        <f>VLOOKUP(Table3[[#This Row],[ACTIVITY]],TAGS!$B:$P,15,FALSE)</f>
        <v>IEC</v>
      </c>
      <c r="AD389" s="51" t="str">
        <f>VLOOKUP(Table3[[#This Row],[PI LEVEL 3]],'PI LEVEL'!$A:$G,7,FALSE)</f>
        <v>DA-Level Output</v>
      </c>
      <c r="AE389" s="47" t="s">
        <v>577</v>
      </c>
      <c r="AF389" s="51" t="str">
        <f>VLOOKUP(Table3[[#This Row],[ACTIVITY]],TAGS!$B:$P,3,FALSE)</f>
        <v>no. of times aired</v>
      </c>
      <c r="AG389" s="47" t="s">
        <v>332</v>
      </c>
      <c r="AH389" s="51" t="str">
        <f>VLOOKUP(Table3[[#This Row],[MONTH]],TAGS!$W$67:$Y$81,2,FALSE)</f>
        <v>2ND QTR</v>
      </c>
      <c r="AI389" s="51" t="str">
        <f>VLOOKUP(Table3[[#This Row],[MONTH]],TAGS!$W$67:$Y$81,3,FALSE)</f>
        <v>1ST SEMESTER</v>
      </c>
      <c r="AJ389" s="51">
        <f>VLOOKUP(Table3[[#This Row],[MONTH]],TAGS!$W$67:$Z$81,4,FALSE)</f>
        <v>2025</v>
      </c>
      <c r="AK389" s="47">
        <v>1</v>
      </c>
      <c r="AL389" s="51" t="str">
        <f>VLOOKUP(Table3[[#This Row],[ACTIVITY]],TAGS!$B:$R,16,FALSE)</f>
        <v>NO</v>
      </c>
      <c r="AM389" s="47"/>
      <c r="AN389" s="47">
        <f t="shared" si="0"/>
        <v>70</v>
      </c>
      <c r="AO389" s="57">
        <f>SUM(Table3[[#This Row],[MALE BENEFICIARIES]:[FEMALE BENEFICIARIES]])</f>
        <v>0</v>
      </c>
      <c r="AP389" s="58"/>
      <c r="AQ389" s="58"/>
      <c r="AR389" s="58"/>
      <c r="AS389" s="58"/>
      <c r="AT389" s="59" t="str">
        <f>VLOOKUP(Table3[[#This Row],[ACTIVITY]],TAGS!$B:$R,17,FALSE)</f>
        <v>NO</v>
      </c>
      <c r="AU389" s="59"/>
      <c r="AV389" s="59"/>
      <c r="AW389" s="59"/>
      <c r="AX389" s="59"/>
      <c r="AY389" s="59"/>
      <c r="AZ389" s="59"/>
      <c r="BA389" s="59"/>
      <c r="BB389" s="59"/>
      <c r="BC389" s="59"/>
      <c r="BD389" s="59"/>
      <c r="BE389" s="59"/>
      <c r="BF389" s="59"/>
      <c r="BG389" s="59"/>
      <c r="BH389" s="59"/>
      <c r="BI389" s="59"/>
      <c r="BJ389" s="59"/>
      <c r="BK389" s="59"/>
      <c r="BL389" s="59"/>
      <c r="BM389" s="59"/>
    </row>
    <row r="390" spans="1:65">
      <c r="A390" s="51" t="str">
        <f>VLOOKUP(Table3[[#This Row],[OU]],OU!$A$15:$B$34,2,FALSE)</f>
        <v>RFOs</v>
      </c>
      <c r="B390" s="47" t="s">
        <v>5</v>
      </c>
      <c r="C390" s="47" t="s">
        <v>574</v>
      </c>
      <c r="D390" s="47"/>
      <c r="E390" s="47" t="s">
        <v>78</v>
      </c>
      <c r="F390" s="47" t="s">
        <v>77</v>
      </c>
      <c r="G39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39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390" s="52" t="e">
        <f>VLOOKUP(Table3[[#This Row],[PSGC]],DISTRICT!$D:$G,4,FALSE)</f>
        <v>#N/A</v>
      </c>
      <c r="J390" s="47" t="s">
        <v>585</v>
      </c>
      <c r="K390" s="51" t="str">
        <f>VLOOKUP(Table3[[#This Row],[SPECIFIC COMMODITY]],TAGS!$W$48:$X$53,2,FALSE)</f>
        <v>Multi_commodity</v>
      </c>
      <c r="L390" s="51" t="str">
        <f>VLOOKUP(Table3[[#This Row],[PREXC SUB-PROGRAM]],Table5[],2,FALSE)</f>
        <v>TECHNICAL AND SUPPORT SERVICES PROGRAM</v>
      </c>
      <c r="M390" s="51" t="str">
        <f>VLOOKUP(Table3[[#This Row],[COMMODITY PREXC SUB-PROGRAM]],TAGS!$U$54:$V$76,2,FALSE)</f>
        <v>ESETS</v>
      </c>
      <c r="N390" s="47" t="s">
        <v>592</v>
      </c>
      <c r="O390" s="54" t="str">
        <f>VLOOKUP(Table3[[#This Row],[PI LEVEL 3]],'PI LEVEL'!A:C,3,FALSE)</f>
        <v>Extension support activities conducted</v>
      </c>
      <c r="P390" s="54" t="str">
        <f>VLOOKUP(Table3[[#This Row],[PI LEVEL 3]],Table53729[[Performance Indicator Level 3]:[Performance Indicator Level 1]],2,FALSE)</f>
        <v>Extension support activities conducted</v>
      </c>
      <c r="Q390" s="54" t="str">
        <f>VLOOKUP(Table3[[#This Row],[ACTIVITY]],TAGS!B:P,2,FALSE)</f>
        <v>Other extension support activities conducted</v>
      </c>
      <c r="R390" s="47" t="s">
        <v>163</v>
      </c>
      <c r="S390" s="51" t="str">
        <f>VLOOKUP(Table3[[#This Row],[ACTIVITY]],TAGS!$B:$P,4,FALSE)</f>
        <v>Information, Education, and Communication Activities</v>
      </c>
      <c r="T390" s="51" t="str">
        <f>VLOOKUP(Table3[[#This Row],[ACTIVITY]],TAGS!$B:$P,5,FALSE)</f>
        <v>Information, Education, and Communication Activities</v>
      </c>
      <c r="U390" s="51" t="str">
        <f>VLOOKUP(Table3[[#This Row],[ACTIVITY]],TAGS!$B:$P,6,FALSE)</f>
        <v>TV Plugs</v>
      </c>
      <c r="V390" s="51" t="str">
        <f>VLOOKUP(Table3[[#This Row],[ACTIVITY]],TAGS!$B:$P,7,FALSE)</f>
        <v>NO</v>
      </c>
      <c r="W390" s="51" t="str">
        <f>VLOOKUP(Table3[[#This Row],[ACTIVITY]],TAGS!$B:$P,8,FALSE)</f>
        <v>PAP</v>
      </c>
      <c r="X390" s="51" t="str">
        <f>VLOOKUP(Table3[[#This Row],[ACTIVITY]],TAGS!$B:$P,10,FALSE)</f>
        <v>PIP</v>
      </c>
      <c r="Y390" s="51" t="str">
        <f>VLOOKUP(Table3[[#This Row],[ACTIVITY]],TAGS!$B:$P,11,FALSE)</f>
        <v>PICS</v>
      </c>
      <c r="Z390" s="51" t="str">
        <f>VLOOKUP(Table3[[#This Row],[ACTIVITY]],TAGS!$B:$P,12,FALSE)</f>
        <v>Strategic Communication</v>
      </c>
      <c r="AA390" s="51" t="str">
        <f>VLOOKUP(Table3[[#This Row],[ACTIVITY]],TAGS!$B:$P,13,FALSE)</f>
        <v>18. Strategic Communications​</v>
      </c>
      <c r="AB390" s="51">
        <f>VLOOKUP(Table3[[#This Row],[ACTIVITY]],TAGS!$B:$P,14,FALSE)</f>
        <v>0</v>
      </c>
      <c r="AC390" s="51" t="str">
        <f>VLOOKUP(Table3[[#This Row],[ACTIVITY]],TAGS!$B:$P,15,FALSE)</f>
        <v>IEC</v>
      </c>
      <c r="AD390" s="51" t="str">
        <f>VLOOKUP(Table3[[#This Row],[PI LEVEL 3]],'PI LEVEL'!$A:$G,7,FALSE)</f>
        <v>DA-Level Output</v>
      </c>
      <c r="AE390" s="47" t="s">
        <v>577</v>
      </c>
      <c r="AF390" s="51" t="str">
        <f>VLOOKUP(Table3[[#This Row],[ACTIVITY]],TAGS!$B:$P,3,FALSE)</f>
        <v>no. of times aired</v>
      </c>
      <c r="AG390" s="47" t="s">
        <v>328</v>
      </c>
      <c r="AH390" s="51" t="str">
        <f>VLOOKUP(Table3[[#This Row],[MONTH]],TAGS!$W$67:$Y$81,2,FALSE)</f>
        <v>1ST QTR</v>
      </c>
      <c r="AI390" s="51" t="str">
        <f>VLOOKUP(Table3[[#This Row],[MONTH]],TAGS!$W$67:$Y$81,3,FALSE)</f>
        <v>1ST SEMESTER</v>
      </c>
      <c r="AJ390" s="51">
        <f>VLOOKUP(Table3[[#This Row],[MONTH]],TAGS!$W$67:$Z$81,4,FALSE)</f>
        <v>2025</v>
      </c>
      <c r="AK390" s="47">
        <v>1</v>
      </c>
      <c r="AL390" s="51" t="str">
        <f>VLOOKUP(Table3[[#This Row],[ACTIVITY]],TAGS!$B:$R,16,FALSE)</f>
        <v>NO</v>
      </c>
      <c r="AM390" s="47"/>
      <c r="AN390" s="47">
        <f>400/5</f>
        <v>80</v>
      </c>
      <c r="AO390" s="57">
        <f>SUM(Table3[[#This Row],[MALE BENEFICIARIES]:[FEMALE BENEFICIARIES]])</f>
        <v>0</v>
      </c>
      <c r="AP390" s="58"/>
      <c r="AQ390" s="58"/>
      <c r="AR390" s="58"/>
      <c r="AS390" s="58"/>
      <c r="AT390" s="59" t="str">
        <f>VLOOKUP(Table3[[#This Row],[ACTIVITY]],TAGS!$B:$R,17,FALSE)</f>
        <v>NO</v>
      </c>
      <c r="AU390" s="59"/>
      <c r="AV390" s="59"/>
      <c r="AW390" s="59"/>
      <c r="AX390" s="59"/>
      <c r="AY390" s="59"/>
      <c r="AZ390" s="59"/>
      <c r="BA390" s="59"/>
      <c r="BB390" s="59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</row>
    <row r="391" spans="1:65">
      <c r="A391" s="51" t="str">
        <f>VLOOKUP(Table3[[#This Row],[OU]],OU!$A$15:$B$34,2,FALSE)</f>
        <v>RFOs</v>
      </c>
      <c r="B391" s="47" t="s">
        <v>5</v>
      </c>
      <c r="C391" s="47" t="s">
        <v>574</v>
      </c>
      <c r="D391" s="47"/>
      <c r="E391" s="47" t="s">
        <v>78</v>
      </c>
      <c r="F391" s="47" t="s">
        <v>77</v>
      </c>
      <c r="G39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39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391" s="52" t="e">
        <f>VLOOKUP(Table3[[#This Row],[PSGC]],DISTRICT!$D:$G,4,FALSE)</f>
        <v>#N/A</v>
      </c>
      <c r="J391" s="47" t="s">
        <v>585</v>
      </c>
      <c r="K391" s="51" t="str">
        <f>VLOOKUP(Table3[[#This Row],[SPECIFIC COMMODITY]],TAGS!$W$48:$X$53,2,FALSE)</f>
        <v>Multi_commodity</v>
      </c>
      <c r="L391" s="51" t="str">
        <f>VLOOKUP(Table3[[#This Row],[PREXC SUB-PROGRAM]],Table5[],2,FALSE)</f>
        <v>TECHNICAL AND SUPPORT SERVICES PROGRAM</v>
      </c>
      <c r="M391" s="51" t="str">
        <f>VLOOKUP(Table3[[#This Row],[COMMODITY PREXC SUB-PROGRAM]],TAGS!$U$54:$V$76,2,FALSE)</f>
        <v>ESETS</v>
      </c>
      <c r="N391" s="47" t="s">
        <v>592</v>
      </c>
      <c r="O391" s="54" t="str">
        <f>VLOOKUP(Table3[[#This Row],[PI LEVEL 3]],'PI LEVEL'!A:C,3,FALSE)</f>
        <v>Extension support activities conducted</v>
      </c>
      <c r="P391" s="54" t="str">
        <f>VLOOKUP(Table3[[#This Row],[PI LEVEL 3]],Table53729[[Performance Indicator Level 3]:[Performance Indicator Level 1]],2,FALSE)</f>
        <v>Extension support activities conducted</v>
      </c>
      <c r="Q391" s="54" t="str">
        <f>VLOOKUP(Table3[[#This Row],[ACTIVITY]],TAGS!B:P,2,FALSE)</f>
        <v>Other extension support activities conducted</v>
      </c>
      <c r="R391" s="47" t="s">
        <v>163</v>
      </c>
      <c r="S391" s="51" t="str">
        <f>VLOOKUP(Table3[[#This Row],[ACTIVITY]],TAGS!$B:$P,4,FALSE)</f>
        <v>Information, Education, and Communication Activities</v>
      </c>
      <c r="T391" s="51" t="str">
        <f>VLOOKUP(Table3[[#This Row],[ACTIVITY]],TAGS!$B:$P,5,FALSE)</f>
        <v>Information, Education, and Communication Activities</v>
      </c>
      <c r="U391" s="51" t="str">
        <f>VLOOKUP(Table3[[#This Row],[ACTIVITY]],TAGS!$B:$P,6,FALSE)</f>
        <v>TV Plugs</v>
      </c>
      <c r="V391" s="51" t="str">
        <f>VLOOKUP(Table3[[#This Row],[ACTIVITY]],TAGS!$B:$P,7,FALSE)</f>
        <v>NO</v>
      </c>
      <c r="W391" s="51" t="str">
        <f>VLOOKUP(Table3[[#This Row],[ACTIVITY]],TAGS!$B:$P,8,FALSE)</f>
        <v>PAP</v>
      </c>
      <c r="X391" s="51" t="str">
        <f>VLOOKUP(Table3[[#This Row],[ACTIVITY]],TAGS!$B:$P,10,FALSE)</f>
        <v>PIP</v>
      </c>
      <c r="Y391" s="51" t="str">
        <f>VLOOKUP(Table3[[#This Row],[ACTIVITY]],TAGS!$B:$P,11,FALSE)</f>
        <v>PICS</v>
      </c>
      <c r="Z391" s="51" t="str">
        <f>VLOOKUP(Table3[[#This Row],[ACTIVITY]],TAGS!$B:$P,12,FALSE)</f>
        <v>Strategic Communication</v>
      </c>
      <c r="AA391" s="51" t="str">
        <f>VLOOKUP(Table3[[#This Row],[ACTIVITY]],TAGS!$B:$P,13,FALSE)</f>
        <v>18. Strategic Communications​</v>
      </c>
      <c r="AB391" s="51">
        <f>VLOOKUP(Table3[[#This Row],[ACTIVITY]],TAGS!$B:$P,14,FALSE)</f>
        <v>0</v>
      </c>
      <c r="AC391" s="51" t="str">
        <f>VLOOKUP(Table3[[#This Row],[ACTIVITY]],TAGS!$B:$P,15,FALSE)</f>
        <v>IEC</v>
      </c>
      <c r="AD391" s="51" t="str">
        <f>VLOOKUP(Table3[[#This Row],[PI LEVEL 3]],'PI LEVEL'!$A:$G,7,FALSE)</f>
        <v>DA-Level Output</v>
      </c>
      <c r="AE391" s="47" t="s">
        <v>577</v>
      </c>
      <c r="AF391" s="51" t="str">
        <f>VLOOKUP(Table3[[#This Row],[ACTIVITY]],TAGS!$B:$P,3,FALSE)</f>
        <v>no. of times aired</v>
      </c>
      <c r="AG391" s="47" t="s">
        <v>330</v>
      </c>
      <c r="AH391" s="51" t="str">
        <f>VLOOKUP(Table3[[#This Row],[MONTH]],TAGS!$W$67:$Y$81,2,FALSE)</f>
        <v>2ND QTR</v>
      </c>
      <c r="AI391" s="51" t="str">
        <f>VLOOKUP(Table3[[#This Row],[MONTH]],TAGS!$W$67:$Y$81,3,FALSE)</f>
        <v>1ST SEMESTER</v>
      </c>
      <c r="AJ391" s="51">
        <f>VLOOKUP(Table3[[#This Row],[MONTH]],TAGS!$W$67:$Z$81,4,FALSE)</f>
        <v>2025</v>
      </c>
      <c r="AK391" s="47">
        <v>1</v>
      </c>
      <c r="AL391" s="51" t="str">
        <f>VLOOKUP(Table3[[#This Row],[ACTIVITY]],TAGS!$B:$R,16,FALSE)</f>
        <v>NO</v>
      </c>
      <c r="AM391" s="47"/>
      <c r="AN391" s="47">
        <f t="shared" ref="AN391:AN394" si="1">400/5</f>
        <v>80</v>
      </c>
      <c r="AO391" s="57">
        <f>SUM(Table3[[#This Row],[MALE BENEFICIARIES]:[FEMALE BENEFICIARIES]])</f>
        <v>0</v>
      </c>
      <c r="AP391" s="58"/>
      <c r="AQ391" s="58"/>
      <c r="AR391" s="58"/>
      <c r="AS391" s="58"/>
      <c r="AT391" s="59" t="str">
        <f>VLOOKUP(Table3[[#This Row],[ACTIVITY]],TAGS!$B:$R,17,FALSE)</f>
        <v>NO</v>
      </c>
      <c r="AU391" s="59"/>
      <c r="AV391" s="59"/>
      <c r="AW391" s="59"/>
      <c r="AX391" s="59"/>
      <c r="AY391" s="59"/>
      <c r="AZ391" s="59"/>
      <c r="BA391" s="59"/>
      <c r="BB391" s="59"/>
      <c r="BC391" s="59"/>
      <c r="BD391" s="59"/>
      <c r="BE391" s="59"/>
      <c r="BF391" s="59"/>
      <c r="BG391" s="59"/>
      <c r="BH391" s="59"/>
      <c r="BI391" s="59"/>
      <c r="BJ391" s="59"/>
      <c r="BK391" s="59"/>
      <c r="BL391" s="59"/>
      <c r="BM391" s="59"/>
    </row>
    <row r="392" spans="1:65">
      <c r="A392" s="51" t="str">
        <f>VLOOKUP(Table3[[#This Row],[OU]],OU!$A$15:$B$34,2,FALSE)</f>
        <v>RFOs</v>
      </c>
      <c r="B392" s="47" t="s">
        <v>5</v>
      </c>
      <c r="C392" s="47" t="s">
        <v>574</v>
      </c>
      <c r="D392" s="47"/>
      <c r="E392" s="47" t="s">
        <v>78</v>
      </c>
      <c r="F392" s="47" t="s">
        <v>77</v>
      </c>
      <c r="G39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39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392" s="52" t="e">
        <f>VLOOKUP(Table3[[#This Row],[PSGC]],DISTRICT!$D:$G,4,FALSE)</f>
        <v>#N/A</v>
      </c>
      <c r="J392" s="47" t="s">
        <v>585</v>
      </c>
      <c r="K392" s="51" t="str">
        <f>VLOOKUP(Table3[[#This Row],[SPECIFIC COMMODITY]],TAGS!$W$48:$X$53,2,FALSE)</f>
        <v>Multi_commodity</v>
      </c>
      <c r="L392" s="51" t="str">
        <f>VLOOKUP(Table3[[#This Row],[PREXC SUB-PROGRAM]],Table5[],2,FALSE)</f>
        <v>TECHNICAL AND SUPPORT SERVICES PROGRAM</v>
      </c>
      <c r="M392" s="51" t="str">
        <f>VLOOKUP(Table3[[#This Row],[COMMODITY PREXC SUB-PROGRAM]],TAGS!$U$54:$V$76,2,FALSE)</f>
        <v>ESETS</v>
      </c>
      <c r="N392" s="47" t="s">
        <v>592</v>
      </c>
      <c r="O392" s="54" t="str">
        <f>VLOOKUP(Table3[[#This Row],[PI LEVEL 3]],'PI LEVEL'!A:C,3,FALSE)</f>
        <v>Extension support activities conducted</v>
      </c>
      <c r="P392" s="54" t="str">
        <f>VLOOKUP(Table3[[#This Row],[PI LEVEL 3]],Table53729[[Performance Indicator Level 3]:[Performance Indicator Level 1]],2,FALSE)</f>
        <v>Extension support activities conducted</v>
      </c>
      <c r="Q392" s="54" t="str">
        <f>VLOOKUP(Table3[[#This Row],[ACTIVITY]],TAGS!B:P,2,FALSE)</f>
        <v>Other extension support activities conducted</v>
      </c>
      <c r="R392" s="47" t="s">
        <v>163</v>
      </c>
      <c r="S392" s="51" t="str">
        <f>VLOOKUP(Table3[[#This Row],[ACTIVITY]],TAGS!$B:$P,4,FALSE)</f>
        <v>Information, Education, and Communication Activities</v>
      </c>
      <c r="T392" s="51" t="str">
        <f>VLOOKUP(Table3[[#This Row],[ACTIVITY]],TAGS!$B:$P,5,FALSE)</f>
        <v>Information, Education, and Communication Activities</v>
      </c>
      <c r="U392" s="51" t="str">
        <f>VLOOKUP(Table3[[#This Row],[ACTIVITY]],TAGS!$B:$P,6,FALSE)</f>
        <v>TV Plugs</v>
      </c>
      <c r="V392" s="51" t="str">
        <f>VLOOKUP(Table3[[#This Row],[ACTIVITY]],TAGS!$B:$P,7,FALSE)</f>
        <v>NO</v>
      </c>
      <c r="W392" s="51" t="str">
        <f>VLOOKUP(Table3[[#This Row],[ACTIVITY]],TAGS!$B:$P,8,FALSE)</f>
        <v>PAP</v>
      </c>
      <c r="X392" s="51" t="str">
        <f>VLOOKUP(Table3[[#This Row],[ACTIVITY]],TAGS!$B:$P,10,FALSE)</f>
        <v>PIP</v>
      </c>
      <c r="Y392" s="51" t="str">
        <f>VLOOKUP(Table3[[#This Row],[ACTIVITY]],TAGS!$B:$P,11,FALSE)</f>
        <v>PICS</v>
      </c>
      <c r="Z392" s="51" t="str">
        <f>VLOOKUP(Table3[[#This Row],[ACTIVITY]],TAGS!$B:$P,12,FALSE)</f>
        <v>Strategic Communication</v>
      </c>
      <c r="AA392" s="51" t="str">
        <f>VLOOKUP(Table3[[#This Row],[ACTIVITY]],TAGS!$B:$P,13,FALSE)</f>
        <v>18. Strategic Communications​</v>
      </c>
      <c r="AB392" s="51">
        <f>VLOOKUP(Table3[[#This Row],[ACTIVITY]],TAGS!$B:$P,14,FALSE)</f>
        <v>0</v>
      </c>
      <c r="AC392" s="51" t="str">
        <f>VLOOKUP(Table3[[#This Row],[ACTIVITY]],TAGS!$B:$P,15,FALSE)</f>
        <v>IEC</v>
      </c>
      <c r="AD392" s="51" t="str">
        <f>VLOOKUP(Table3[[#This Row],[PI LEVEL 3]],'PI LEVEL'!$A:$G,7,FALSE)</f>
        <v>DA-Level Output</v>
      </c>
      <c r="AE392" s="47" t="s">
        <v>577</v>
      </c>
      <c r="AF392" s="51" t="str">
        <f>VLOOKUP(Table3[[#This Row],[ACTIVITY]],TAGS!$B:$P,3,FALSE)</f>
        <v>no. of times aired</v>
      </c>
      <c r="AG392" s="47" t="s">
        <v>332</v>
      </c>
      <c r="AH392" s="51" t="str">
        <f>VLOOKUP(Table3[[#This Row],[MONTH]],TAGS!$W$67:$Y$81,2,FALSE)</f>
        <v>2ND QTR</v>
      </c>
      <c r="AI392" s="51" t="str">
        <f>VLOOKUP(Table3[[#This Row],[MONTH]],TAGS!$W$67:$Y$81,3,FALSE)</f>
        <v>1ST SEMESTER</v>
      </c>
      <c r="AJ392" s="51">
        <f>VLOOKUP(Table3[[#This Row],[MONTH]],TAGS!$W$67:$Z$81,4,FALSE)</f>
        <v>2025</v>
      </c>
      <c r="AK392" s="47">
        <v>1</v>
      </c>
      <c r="AL392" s="51" t="str">
        <f>VLOOKUP(Table3[[#This Row],[ACTIVITY]],TAGS!$B:$R,16,FALSE)</f>
        <v>NO</v>
      </c>
      <c r="AM392" s="47"/>
      <c r="AN392" s="47">
        <f t="shared" si="1"/>
        <v>80</v>
      </c>
      <c r="AO392" s="57">
        <f>SUM(Table3[[#This Row],[MALE BENEFICIARIES]:[FEMALE BENEFICIARIES]])</f>
        <v>0</v>
      </c>
      <c r="AP392" s="58"/>
      <c r="AQ392" s="58"/>
      <c r="AR392" s="58"/>
      <c r="AS392" s="58"/>
      <c r="AT392" s="59" t="str">
        <f>VLOOKUP(Table3[[#This Row],[ACTIVITY]],TAGS!$B:$R,17,FALSE)</f>
        <v>NO</v>
      </c>
      <c r="AU392" s="59"/>
      <c r="AV392" s="59"/>
      <c r="AW392" s="59"/>
      <c r="AX392" s="59"/>
      <c r="AY392" s="59"/>
      <c r="AZ392" s="59"/>
      <c r="BA392" s="59"/>
      <c r="BB392" s="59"/>
      <c r="BC392" s="59"/>
      <c r="BD392" s="59"/>
      <c r="BE392" s="59"/>
      <c r="BF392" s="59"/>
      <c r="BG392" s="59"/>
      <c r="BH392" s="59"/>
      <c r="BI392" s="59"/>
      <c r="BJ392" s="59"/>
      <c r="BK392" s="59"/>
      <c r="BL392" s="59"/>
      <c r="BM392" s="59"/>
    </row>
    <row r="393" spans="1:65">
      <c r="A393" s="51" t="str">
        <f>VLOOKUP(Table3[[#This Row],[OU]],OU!$A$15:$B$34,2,FALSE)</f>
        <v>RFOs</v>
      </c>
      <c r="B393" s="47" t="s">
        <v>5</v>
      </c>
      <c r="C393" s="47" t="s">
        <v>574</v>
      </c>
      <c r="D393" s="47"/>
      <c r="E393" s="47" t="s">
        <v>78</v>
      </c>
      <c r="F393" s="47" t="s">
        <v>77</v>
      </c>
      <c r="G39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39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393" s="52" t="e">
        <f>VLOOKUP(Table3[[#This Row],[PSGC]],DISTRICT!$D:$G,4,FALSE)</f>
        <v>#N/A</v>
      </c>
      <c r="J393" s="47" t="s">
        <v>585</v>
      </c>
      <c r="K393" s="51" t="str">
        <f>VLOOKUP(Table3[[#This Row],[SPECIFIC COMMODITY]],TAGS!$W$48:$X$53,2,FALSE)</f>
        <v>Multi_commodity</v>
      </c>
      <c r="L393" s="51" t="str">
        <f>VLOOKUP(Table3[[#This Row],[PREXC SUB-PROGRAM]],Table5[],2,FALSE)</f>
        <v>TECHNICAL AND SUPPORT SERVICES PROGRAM</v>
      </c>
      <c r="M393" s="51" t="str">
        <f>VLOOKUP(Table3[[#This Row],[COMMODITY PREXC SUB-PROGRAM]],TAGS!$U$54:$V$76,2,FALSE)</f>
        <v>ESETS</v>
      </c>
      <c r="N393" s="47" t="s">
        <v>592</v>
      </c>
      <c r="O393" s="54" t="str">
        <f>VLOOKUP(Table3[[#This Row],[PI LEVEL 3]],'PI LEVEL'!A:C,3,FALSE)</f>
        <v>Extension support activities conducted</v>
      </c>
      <c r="P393" s="54" t="str">
        <f>VLOOKUP(Table3[[#This Row],[PI LEVEL 3]],Table53729[[Performance Indicator Level 3]:[Performance Indicator Level 1]],2,FALSE)</f>
        <v>Extension support activities conducted</v>
      </c>
      <c r="Q393" s="54" t="str">
        <f>VLOOKUP(Table3[[#This Row],[ACTIVITY]],TAGS!B:P,2,FALSE)</f>
        <v>Other extension support activities conducted</v>
      </c>
      <c r="R393" s="47" t="s">
        <v>163</v>
      </c>
      <c r="S393" s="51" t="str">
        <f>VLOOKUP(Table3[[#This Row],[ACTIVITY]],TAGS!$B:$P,4,FALSE)</f>
        <v>Information, Education, and Communication Activities</v>
      </c>
      <c r="T393" s="51" t="str">
        <f>VLOOKUP(Table3[[#This Row],[ACTIVITY]],TAGS!$B:$P,5,FALSE)</f>
        <v>Information, Education, and Communication Activities</v>
      </c>
      <c r="U393" s="51" t="str">
        <f>VLOOKUP(Table3[[#This Row],[ACTIVITY]],TAGS!$B:$P,6,FALSE)</f>
        <v>TV Plugs</v>
      </c>
      <c r="V393" s="51" t="str">
        <f>VLOOKUP(Table3[[#This Row],[ACTIVITY]],TAGS!$B:$P,7,FALSE)</f>
        <v>NO</v>
      </c>
      <c r="W393" s="51" t="str">
        <f>VLOOKUP(Table3[[#This Row],[ACTIVITY]],TAGS!$B:$P,8,FALSE)</f>
        <v>PAP</v>
      </c>
      <c r="X393" s="51" t="str">
        <f>VLOOKUP(Table3[[#This Row],[ACTIVITY]],TAGS!$B:$P,10,FALSE)</f>
        <v>PIP</v>
      </c>
      <c r="Y393" s="51" t="str">
        <f>VLOOKUP(Table3[[#This Row],[ACTIVITY]],TAGS!$B:$P,11,FALSE)</f>
        <v>PICS</v>
      </c>
      <c r="Z393" s="51" t="str">
        <f>VLOOKUP(Table3[[#This Row],[ACTIVITY]],TAGS!$B:$P,12,FALSE)</f>
        <v>Strategic Communication</v>
      </c>
      <c r="AA393" s="51" t="str">
        <f>VLOOKUP(Table3[[#This Row],[ACTIVITY]],TAGS!$B:$P,13,FALSE)</f>
        <v>18. Strategic Communications​</v>
      </c>
      <c r="AB393" s="51">
        <f>VLOOKUP(Table3[[#This Row],[ACTIVITY]],TAGS!$B:$P,14,FALSE)</f>
        <v>0</v>
      </c>
      <c r="AC393" s="51" t="str">
        <f>VLOOKUP(Table3[[#This Row],[ACTIVITY]],TAGS!$B:$P,15,FALSE)</f>
        <v>IEC</v>
      </c>
      <c r="AD393" s="51" t="str">
        <f>VLOOKUP(Table3[[#This Row],[PI LEVEL 3]],'PI LEVEL'!$A:$G,7,FALSE)</f>
        <v>DA-Level Output</v>
      </c>
      <c r="AE393" s="47" t="s">
        <v>577</v>
      </c>
      <c r="AF393" s="51" t="str">
        <f>VLOOKUP(Table3[[#This Row],[ACTIVITY]],TAGS!$B:$P,3,FALSE)</f>
        <v>no. of times aired</v>
      </c>
      <c r="AG393" s="47" t="s">
        <v>334</v>
      </c>
      <c r="AH393" s="51" t="str">
        <f>VLOOKUP(Table3[[#This Row],[MONTH]],TAGS!$W$67:$Y$81,2,FALSE)</f>
        <v>3RD QTR</v>
      </c>
      <c r="AI393" s="51" t="str">
        <f>VLOOKUP(Table3[[#This Row],[MONTH]],TAGS!$W$67:$Y$81,3,FALSE)</f>
        <v>2ND SEMESTER</v>
      </c>
      <c r="AJ393" s="51">
        <f>VLOOKUP(Table3[[#This Row],[MONTH]],TAGS!$W$67:$Z$81,4,FALSE)</f>
        <v>2025</v>
      </c>
      <c r="AK393" s="47">
        <v>1</v>
      </c>
      <c r="AL393" s="51" t="str">
        <f>VLOOKUP(Table3[[#This Row],[ACTIVITY]],TAGS!$B:$R,16,FALSE)</f>
        <v>NO</v>
      </c>
      <c r="AM393" s="47"/>
      <c r="AN393" s="47">
        <f t="shared" si="1"/>
        <v>80</v>
      </c>
      <c r="AO393" s="57">
        <f>SUM(Table3[[#This Row],[MALE BENEFICIARIES]:[FEMALE BENEFICIARIES]])</f>
        <v>0</v>
      </c>
      <c r="AP393" s="58"/>
      <c r="AQ393" s="58"/>
      <c r="AR393" s="58"/>
      <c r="AS393" s="58"/>
      <c r="AT393" s="59" t="str">
        <f>VLOOKUP(Table3[[#This Row],[ACTIVITY]],TAGS!$B:$R,17,FALSE)</f>
        <v>NO</v>
      </c>
      <c r="AU393" s="59"/>
      <c r="AV393" s="59"/>
      <c r="AW393" s="59"/>
      <c r="AX393" s="59"/>
      <c r="AY393" s="59"/>
      <c r="AZ393" s="59"/>
      <c r="BA393" s="59"/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</row>
    <row r="394" spans="1:65">
      <c r="A394" s="51" t="str">
        <f>VLOOKUP(Table3[[#This Row],[OU]],OU!$A$15:$B$34,2,FALSE)</f>
        <v>RFOs</v>
      </c>
      <c r="B394" s="47" t="s">
        <v>5</v>
      </c>
      <c r="C394" s="47" t="s">
        <v>574</v>
      </c>
      <c r="D394" s="47"/>
      <c r="E394" s="47" t="s">
        <v>78</v>
      </c>
      <c r="F394" s="47" t="s">
        <v>77</v>
      </c>
      <c r="G39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39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394" s="52" t="e">
        <f>VLOOKUP(Table3[[#This Row],[PSGC]],DISTRICT!$D:$G,4,FALSE)</f>
        <v>#N/A</v>
      </c>
      <c r="J394" s="47" t="s">
        <v>585</v>
      </c>
      <c r="K394" s="51" t="str">
        <f>VLOOKUP(Table3[[#This Row],[SPECIFIC COMMODITY]],TAGS!$W$48:$X$53,2,FALSE)</f>
        <v>Multi_commodity</v>
      </c>
      <c r="L394" s="51" t="str">
        <f>VLOOKUP(Table3[[#This Row],[PREXC SUB-PROGRAM]],Table5[],2,FALSE)</f>
        <v>TECHNICAL AND SUPPORT SERVICES PROGRAM</v>
      </c>
      <c r="M394" s="51" t="str">
        <f>VLOOKUP(Table3[[#This Row],[COMMODITY PREXC SUB-PROGRAM]],TAGS!$U$54:$V$76,2,FALSE)</f>
        <v>ESETS</v>
      </c>
      <c r="N394" s="47" t="s">
        <v>592</v>
      </c>
      <c r="O394" s="54" t="str">
        <f>VLOOKUP(Table3[[#This Row],[PI LEVEL 3]],'PI LEVEL'!A:C,3,FALSE)</f>
        <v>Extension support activities conducted</v>
      </c>
      <c r="P394" s="54" t="str">
        <f>VLOOKUP(Table3[[#This Row],[PI LEVEL 3]],Table53729[[Performance Indicator Level 3]:[Performance Indicator Level 1]],2,FALSE)</f>
        <v>Extension support activities conducted</v>
      </c>
      <c r="Q394" s="54" t="str">
        <f>VLOOKUP(Table3[[#This Row],[ACTIVITY]],TAGS!B:P,2,FALSE)</f>
        <v>Other extension support activities conducted</v>
      </c>
      <c r="R394" s="47" t="s">
        <v>163</v>
      </c>
      <c r="S394" s="51" t="str">
        <f>VLOOKUP(Table3[[#This Row],[ACTIVITY]],TAGS!$B:$P,4,FALSE)</f>
        <v>Information, Education, and Communication Activities</v>
      </c>
      <c r="T394" s="51" t="str">
        <f>VLOOKUP(Table3[[#This Row],[ACTIVITY]],TAGS!$B:$P,5,FALSE)</f>
        <v>Information, Education, and Communication Activities</v>
      </c>
      <c r="U394" s="51" t="str">
        <f>VLOOKUP(Table3[[#This Row],[ACTIVITY]],TAGS!$B:$P,6,FALSE)</f>
        <v>TV Plugs</v>
      </c>
      <c r="V394" s="51" t="str">
        <f>VLOOKUP(Table3[[#This Row],[ACTIVITY]],TAGS!$B:$P,7,FALSE)</f>
        <v>NO</v>
      </c>
      <c r="W394" s="51" t="str">
        <f>VLOOKUP(Table3[[#This Row],[ACTIVITY]],TAGS!$B:$P,8,FALSE)</f>
        <v>PAP</v>
      </c>
      <c r="X394" s="51" t="str">
        <f>VLOOKUP(Table3[[#This Row],[ACTIVITY]],TAGS!$B:$P,10,FALSE)</f>
        <v>PIP</v>
      </c>
      <c r="Y394" s="51" t="str">
        <f>VLOOKUP(Table3[[#This Row],[ACTIVITY]],TAGS!$B:$P,11,FALSE)</f>
        <v>PICS</v>
      </c>
      <c r="Z394" s="51" t="str">
        <f>VLOOKUP(Table3[[#This Row],[ACTIVITY]],TAGS!$B:$P,12,FALSE)</f>
        <v>Strategic Communication</v>
      </c>
      <c r="AA394" s="51" t="str">
        <f>VLOOKUP(Table3[[#This Row],[ACTIVITY]],TAGS!$B:$P,13,FALSE)</f>
        <v>18. Strategic Communications​</v>
      </c>
      <c r="AB394" s="51">
        <f>VLOOKUP(Table3[[#This Row],[ACTIVITY]],TAGS!$B:$P,14,FALSE)</f>
        <v>0</v>
      </c>
      <c r="AC394" s="51" t="str">
        <f>VLOOKUP(Table3[[#This Row],[ACTIVITY]],TAGS!$B:$P,15,FALSE)</f>
        <v>IEC</v>
      </c>
      <c r="AD394" s="51" t="str">
        <f>VLOOKUP(Table3[[#This Row],[PI LEVEL 3]],'PI LEVEL'!$A:$G,7,FALSE)</f>
        <v>DA-Level Output</v>
      </c>
      <c r="AE394" s="47" t="s">
        <v>577</v>
      </c>
      <c r="AF394" s="51" t="str">
        <f>VLOOKUP(Table3[[#This Row],[ACTIVITY]],TAGS!$B:$P,3,FALSE)</f>
        <v>no. of times aired</v>
      </c>
      <c r="AG394" s="47" t="s">
        <v>336</v>
      </c>
      <c r="AH394" s="51" t="str">
        <f>VLOOKUP(Table3[[#This Row],[MONTH]],TAGS!$W$67:$Y$81,2,FALSE)</f>
        <v>4TH QTR</v>
      </c>
      <c r="AI394" s="51" t="str">
        <f>VLOOKUP(Table3[[#This Row],[MONTH]],TAGS!$W$67:$Y$81,3,FALSE)</f>
        <v>2ND SEMESTER</v>
      </c>
      <c r="AJ394" s="51">
        <f>VLOOKUP(Table3[[#This Row],[MONTH]],TAGS!$W$67:$Z$81,4,FALSE)</f>
        <v>2025</v>
      </c>
      <c r="AK394" s="47">
        <v>1</v>
      </c>
      <c r="AL394" s="51" t="str">
        <f>VLOOKUP(Table3[[#This Row],[ACTIVITY]],TAGS!$B:$R,16,FALSE)</f>
        <v>NO</v>
      </c>
      <c r="AM394" s="47"/>
      <c r="AN394" s="47">
        <f t="shared" si="1"/>
        <v>80</v>
      </c>
      <c r="AO394" s="57">
        <f>SUM(Table3[[#This Row],[MALE BENEFICIARIES]:[FEMALE BENEFICIARIES]])</f>
        <v>0</v>
      </c>
      <c r="AP394" s="58"/>
      <c r="AQ394" s="58"/>
      <c r="AR394" s="58"/>
      <c r="AS394" s="58"/>
      <c r="AT394" s="59" t="str">
        <f>VLOOKUP(Table3[[#This Row],[ACTIVITY]],TAGS!$B:$R,17,FALSE)</f>
        <v>NO</v>
      </c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</row>
    <row r="395" spans="1:65">
      <c r="A395" s="51" t="str">
        <f>VLOOKUP(Table3[[#This Row],[OU]],OU!$A$15:$B$34,2,FALSE)</f>
        <v>RFOs</v>
      </c>
      <c r="B395" s="47" t="s">
        <v>5</v>
      </c>
      <c r="C395" s="47" t="s">
        <v>574</v>
      </c>
      <c r="D395" s="47"/>
      <c r="E395" s="47" t="s">
        <v>78</v>
      </c>
      <c r="F395" s="47" t="s">
        <v>77</v>
      </c>
      <c r="G39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39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395" s="52" t="e">
        <f>VLOOKUP(Table3[[#This Row],[PSGC]],DISTRICT!$D:$G,4,FALSE)</f>
        <v>#N/A</v>
      </c>
      <c r="J395" s="47" t="s">
        <v>578</v>
      </c>
      <c r="K395" s="51" t="str">
        <f>VLOOKUP(Table3[[#This Row],[SPECIFIC COMMODITY]],TAGS!$W$48:$X$53,2,FALSE)</f>
        <v>Corn</v>
      </c>
      <c r="L395" s="51" t="str">
        <f>VLOOKUP(Table3[[#This Row],[PREXC SUB-PROGRAM]],Table5[],2,FALSE)</f>
        <v>TECHNICAL AND SUPPORT SERVICES PROGRAM</v>
      </c>
      <c r="M395" s="51" t="str">
        <f>VLOOKUP(Table3[[#This Row],[COMMODITY PREXC SUB-PROGRAM]],TAGS!$U$54:$V$76,2,FALSE)</f>
        <v>RND</v>
      </c>
      <c r="N395" s="47" t="s">
        <v>593</v>
      </c>
      <c r="O395" s="54" t="str">
        <f>VLOOKUP(Table3[[#This Row],[PI LEVEL 3]],'PI LEVEL'!A:C,3,FALSE)</f>
        <v>Research and development activities conducted</v>
      </c>
      <c r="P395" s="54" t="str">
        <f>VLOOKUP(Table3[[#This Row],[PI LEVEL 3]],Table53729[[Performance Indicator Level 3]:[Performance Indicator Level 1]],2,FALSE)</f>
        <v>Production-related R4D activities conducted</v>
      </c>
      <c r="Q395" s="54" t="str">
        <f>VLOOKUP(Table3[[#This Row],[ACTIVITY]],TAGS!B:P,2,FALSE)</f>
        <v>New Production-related R4D activities conducted</v>
      </c>
      <c r="R395" s="47" t="s">
        <v>168</v>
      </c>
      <c r="S395" s="51" t="str">
        <f>VLOOKUP(Table3[[#This Row],[ACTIVITY]],TAGS!$B:$P,4,FALSE)</f>
        <v>R&amp;D conducted</v>
      </c>
      <c r="T395" s="51" t="str">
        <f>VLOOKUP(Table3[[#This Row],[ACTIVITY]],TAGS!$B:$P,5,FALSE)</f>
        <v>RFOs &amp; Bureaus conducted R&amp;D</v>
      </c>
      <c r="U395" s="51" t="str">
        <f>VLOOKUP(Table3[[#This Row],[ACTIVITY]],TAGS!$B:$P,6,FALSE)</f>
        <v>New R&amp;D</v>
      </c>
      <c r="V395" s="51" t="str">
        <f>VLOOKUP(Table3[[#This Row],[ACTIVITY]],TAGS!$B:$P,7,FALSE)</f>
        <v>NO</v>
      </c>
      <c r="W395" s="51" t="str">
        <f>VLOOKUP(Table3[[#This Row],[ACTIVITY]],TAGS!$B:$P,8,FALSE)</f>
        <v>Research</v>
      </c>
      <c r="X395" s="51" t="str">
        <f>VLOOKUP(Table3[[#This Row],[ACTIVITY]],TAGS!$B:$P,10,FALSE)</f>
        <v>PIP</v>
      </c>
      <c r="Y395" s="51" t="str">
        <f>VLOOKUP(Table3[[#This Row],[ACTIVITY]],TAGS!$B:$P,11,FALSE)</f>
        <v>PICS</v>
      </c>
      <c r="Z395" s="51" t="str">
        <f>VLOOKUP(Table3[[#This Row],[ACTIVITY]],TAGS!$B:$P,12,FALSE)</f>
        <v>Modernization</v>
      </c>
      <c r="AA395" s="51">
        <f>VLOOKUP(Table3[[#This Row],[ACTIVITY]],TAGS!$B:$P,13,FALSE)</f>
        <v>0</v>
      </c>
      <c r="AB395" s="51" t="str">
        <f>VLOOKUP(Table3[[#This Row],[ACTIVITY]],TAGS!$B:$P,14,FALSE)</f>
        <v>EXPAND AND IMPROVE AVAILABLE AGRI-FISHERY AREAS FOR INCREASED PRODUCTION</v>
      </c>
      <c r="AC395" s="51" t="str">
        <f>VLOOKUP(Table3[[#This Row],[ACTIVITY]],TAGS!$B:$P,15,FALSE)</f>
        <v>R&amp;D</v>
      </c>
      <c r="AD395" s="51" t="str">
        <f>VLOOKUP(Table3[[#This Row],[PI LEVEL 3]],'PI LEVEL'!$A:$G,7,FALSE)</f>
        <v>DA-Level Output</v>
      </c>
      <c r="AE395" s="47" t="s">
        <v>577</v>
      </c>
      <c r="AF395" s="51" t="str">
        <f>VLOOKUP(Table3[[#This Row],[ACTIVITY]],TAGS!$B:$P,3,FALSE)</f>
        <v>number</v>
      </c>
      <c r="AG395" s="47" t="s">
        <v>338</v>
      </c>
      <c r="AH395" s="51" t="str">
        <f>VLOOKUP(Table3[[#This Row],[MONTH]],TAGS!$W$67:$Y$81,2,FALSE)</f>
        <v>4TH QTR</v>
      </c>
      <c r="AI395" s="51" t="str">
        <f>VLOOKUP(Table3[[#This Row],[MONTH]],TAGS!$W$67:$Y$81,3,FALSE)</f>
        <v>2ND SEMESTER</v>
      </c>
      <c r="AJ395" s="51">
        <f>VLOOKUP(Table3[[#This Row],[MONTH]],TAGS!$W$67:$Z$81,4,FALSE)</f>
        <v>2025</v>
      </c>
      <c r="AK395" s="47">
        <v>1</v>
      </c>
      <c r="AL395" s="51" t="str">
        <f>VLOOKUP(Table3[[#This Row],[ACTIVITY]],TAGS!$B:$R,16,FALSE)</f>
        <v>NO</v>
      </c>
      <c r="AM395" s="47"/>
      <c r="AN395" s="47">
        <v>5500</v>
      </c>
      <c r="AO395" s="57">
        <f>SUM(Table3[[#This Row],[MALE BENEFICIARIES]:[FEMALE BENEFICIARIES]])</f>
        <v>0</v>
      </c>
      <c r="AP395" s="58"/>
      <c r="AQ395" s="58"/>
      <c r="AR395" s="58"/>
      <c r="AS395" s="58"/>
      <c r="AT395" s="59" t="str">
        <f>VLOOKUP(Table3[[#This Row],[ACTIVITY]],TAGS!$B:$R,17,FALSE)</f>
        <v>NO</v>
      </c>
      <c r="AU395" s="59"/>
      <c r="AV395" s="59"/>
      <c r="AW395" s="59"/>
      <c r="AX395" s="59"/>
      <c r="AY395" s="59"/>
      <c r="AZ395" s="59"/>
      <c r="BA395" s="59"/>
      <c r="BB395" s="59"/>
      <c r="BC395" s="59"/>
      <c r="BD395" s="59"/>
      <c r="BE395" s="59"/>
      <c r="BF395" s="59"/>
      <c r="BG395" s="59"/>
      <c r="BH395" s="59"/>
      <c r="BI395" s="59"/>
      <c r="BJ395" s="59"/>
      <c r="BK395" s="59"/>
      <c r="BL395" s="59"/>
      <c r="BM395" s="59"/>
    </row>
    <row r="396" spans="1:65">
      <c r="A396" s="51" t="str">
        <f>VLOOKUP(Table3[[#This Row],[OU]],OU!$A$15:$B$34,2,FALSE)</f>
        <v>RFOs</v>
      </c>
      <c r="B396" s="47" t="s">
        <v>5</v>
      </c>
      <c r="C396" s="47" t="s">
        <v>574</v>
      </c>
      <c r="D396" s="47" t="s">
        <v>698</v>
      </c>
      <c r="E396" s="47" t="s">
        <v>22</v>
      </c>
      <c r="F396" s="47" t="s">
        <v>639</v>
      </c>
      <c r="G39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39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21513000</v>
      </c>
      <c r="I396" s="52" t="str">
        <f>VLOOKUP(Table3[[#This Row],[PSGC]],DISTRICT!$D:$G,4,FALSE)</f>
        <v>1st</v>
      </c>
      <c r="J396" s="47" t="s">
        <v>578</v>
      </c>
      <c r="K396" s="51" t="str">
        <f>VLOOKUP(Table3[[#This Row],[SPECIFIC COMMODITY]],TAGS!$W$48:$X$53,2,FALSE)</f>
        <v>Corn</v>
      </c>
      <c r="L396" s="51" t="str">
        <f>VLOOKUP(Table3[[#This Row],[PREXC SUB-PROGRAM]],Table5[],2,FALSE)</f>
        <v>AGRICULTURAL  MACHINERY, EQUIPMENT, FACILITIES AND INFRASTRUCTURE PROGRAM</v>
      </c>
      <c r="M396" s="51" t="str">
        <f>VLOOKUP(Table3[[#This Row],[COMMODITY PREXC SUB-PROGRAM]],TAGS!$U$54:$V$76,2,FALSE)</f>
        <v>AMEFSS</v>
      </c>
      <c r="N396" s="47" t="s">
        <v>594</v>
      </c>
      <c r="O396" s="54" t="str">
        <f>VLOOKUP(Table3[[#This Row],[PI LEVEL 3]],'PI LEVEL'!A:C,3,FALSE)</f>
        <v>Production machinery and equipment distributed</v>
      </c>
      <c r="P396" s="54" t="str">
        <f>VLOOKUP(Table3[[#This Row],[PI LEVEL 3]],Table53729[[Performance Indicator Level 3]:[Performance Indicator Level 1]],2,FALSE)</f>
        <v>Agricultural tractor distributed</v>
      </c>
      <c r="Q396" s="54" t="str">
        <f>VLOOKUP(Table3[[#This Row],[ACTIVITY]],TAGS!B:P,2,FALSE)</f>
        <v>Four-Wheel Tractor Distributed</v>
      </c>
      <c r="R396" s="47" t="s">
        <v>171</v>
      </c>
      <c r="S396" s="51" t="str">
        <f>VLOOKUP(Table3[[#This Row],[ACTIVITY]],TAGS!$B:$P,4,FALSE)</f>
        <v>Production related machinery &amp; equipment</v>
      </c>
      <c r="T396" s="51" t="str">
        <f>VLOOKUP(Table3[[#This Row],[ACTIVITY]],TAGS!$B:$P,5,FALSE)</f>
        <v>Production-related</v>
      </c>
      <c r="U396" s="51" t="str">
        <f>VLOOKUP(Table3[[#This Row],[ACTIVITY]],TAGS!$B:$P,6,FALSE)</f>
        <v>Tractor</v>
      </c>
      <c r="V396" s="51" t="str">
        <f>VLOOKUP(Table3[[#This Row],[ACTIVITY]],TAGS!$B:$P,7,FALSE)</f>
        <v>NO</v>
      </c>
      <c r="W396" s="51" t="str">
        <f>VLOOKUP(Table3[[#This Row],[ACTIVITY]],TAGS!$B:$P,8,FALSE)</f>
        <v>PAP</v>
      </c>
      <c r="X396" s="51" t="str">
        <f>VLOOKUP(Table3[[#This Row],[ACTIVITY]],TAGS!$B:$P,10,FALSE)</f>
        <v>PIP</v>
      </c>
      <c r="Y396" s="51" t="str">
        <f>VLOOKUP(Table3[[#This Row],[ACTIVITY]],TAGS!$B:$P,11,FALSE)</f>
        <v>PICS</v>
      </c>
      <c r="Z396" s="51" t="str">
        <f>VLOOKUP(Table3[[#This Row],[ACTIVITY]],TAGS!$B:$P,12,FALSE)</f>
        <v>Modernization</v>
      </c>
      <c r="AA396" s="51" t="str">
        <f>VLOOKUP(Table3[[#This Row],[ACTIVITY]],TAGS!$B:$P,13,FALSE)</f>
        <v>8. Farm Mechanization and Farm Investments</v>
      </c>
      <c r="AB396" s="51" t="str">
        <f>VLOOKUP(Table3[[#This Row],[ACTIVITY]],TAGS!$B:$P,14,FALSE)</f>
        <v>MECHANIZE AND MODERNIZE AGRI-FISHERY PRODUCTION SYSTEMS</v>
      </c>
      <c r="AC396" s="51" t="str">
        <f>VLOOKUP(Table3[[#This Row],[ACTIVITY]],TAGS!$B:$P,15,FALSE)</f>
        <v>Production-related</v>
      </c>
      <c r="AD396" s="51" t="str">
        <f>VLOOKUP(Table3[[#This Row],[PI LEVEL 3]],'PI LEVEL'!$A:$G,7,FALSE)</f>
        <v>DA-Level Output</v>
      </c>
      <c r="AE396" s="47" t="s">
        <v>577</v>
      </c>
      <c r="AF396" s="51" t="str">
        <f>VLOOKUP(Table3[[#This Row],[ACTIVITY]],TAGS!$B:$P,3,FALSE)</f>
        <v>number</v>
      </c>
      <c r="AG396" s="47" t="s">
        <v>336</v>
      </c>
      <c r="AH396" s="51" t="str">
        <f>VLOOKUP(Table3[[#This Row],[MONTH]],TAGS!$W$67:$Y$81,2,FALSE)</f>
        <v>4TH QTR</v>
      </c>
      <c r="AI396" s="51" t="str">
        <f>VLOOKUP(Table3[[#This Row],[MONTH]],TAGS!$W$67:$Y$81,3,FALSE)</f>
        <v>2ND SEMESTER</v>
      </c>
      <c r="AJ396" s="51">
        <f>VLOOKUP(Table3[[#This Row],[MONTH]],TAGS!$W$67:$Z$81,4,FALSE)</f>
        <v>2025</v>
      </c>
      <c r="AK396" s="47">
        <v>1</v>
      </c>
      <c r="AL396" s="51" t="str">
        <f>VLOOKUP(Table3[[#This Row],[ACTIVITY]],TAGS!$B:$R,16,FALSE)</f>
        <v>NO</v>
      </c>
      <c r="AM396" s="47"/>
      <c r="AN396" s="47">
        <v>3100</v>
      </c>
      <c r="AO396" s="57">
        <f>SUM(Table3[[#This Row],[MALE BENEFICIARIES]:[FEMALE BENEFICIARIES]])</f>
        <v>0</v>
      </c>
      <c r="AP396" s="58"/>
      <c r="AQ396" s="58"/>
      <c r="AR396" s="58"/>
      <c r="AS396" s="58">
        <v>1</v>
      </c>
      <c r="AT396" s="59" t="str">
        <f>VLOOKUP(Table3[[#This Row],[ACTIVITY]],TAGS!$B:$R,17,FALSE)</f>
        <v>YES</v>
      </c>
      <c r="AU396" s="59"/>
      <c r="AV396" s="59"/>
      <c r="AW396" s="59"/>
      <c r="AX396" s="59"/>
      <c r="AY396" s="59"/>
      <c r="AZ396" s="59"/>
      <c r="BA396" s="59"/>
      <c r="BB396" s="59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</row>
    <row r="397" spans="1:65">
      <c r="A397" s="51" t="str">
        <f>VLOOKUP(Table3[[#This Row],[OU]],OU!$A$15:$B$34,2,FALSE)</f>
        <v>RFOs</v>
      </c>
      <c r="B397" s="47" t="s">
        <v>5</v>
      </c>
      <c r="C397" s="47" t="s">
        <v>574</v>
      </c>
      <c r="D397" s="47" t="s">
        <v>699</v>
      </c>
      <c r="E397" s="47" t="s">
        <v>22</v>
      </c>
      <c r="F397" s="47" t="s">
        <v>644</v>
      </c>
      <c r="G39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39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21506000</v>
      </c>
      <c r="I397" s="52" t="str">
        <f>VLOOKUP(Table3[[#This Row],[PSGC]],DISTRICT!$D:$G,4,FALSE)</f>
        <v>1st</v>
      </c>
      <c r="J397" s="47" t="s">
        <v>578</v>
      </c>
      <c r="K397" s="51" t="str">
        <f>VLOOKUP(Table3[[#This Row],[SPECIFIC COMMODITY]],TAGS!$W$48:$X$53,2,FALSE)</f>
        <v>Corn</v>
      </c>
      <c r="L397" s="51" t="str">
        <f>VLOOKUP(Table3[[#This Row],[PREXC SUB-PROGRAM]],Table5[],2,FALSE)</f>
        <v>AGRICULTURAL  MACHINERY, EQUIPMENT, FACILITIES AND INFRASTRUCTURE PROGRAM</v>
      </c>
      <c r="M397" s="51" t="str">
        <f>VLOOKUP(Table3[[#This Row],[COMMODITY PREXC SUB-PROGRAM]],TAGS!$U$54:$V$76,2,FALSE)</f>
        <v>AMEFSS</v>
      </c>
      <c r="N397" s="47" t="s">
        <v>594</v>
      </c>
      <c r="O397" s="54" t="str">
        <f>VLOOKUP(Table3[[#This Row],[PI LEVEL 3]],'PI LEVEL'!A:C,3,FALSE)</f>
        <v>Production machinery and equipment distributed</v>
      </c>
      <c r="P397" s="54" t="str">
        <f>VLOOKUP(Table3[[#This Row],[PI LEVEL 3]],Table53729[[Performance Indicator Level 3]:[Performance Indicator Level 1]],2,FALSE)</f>
        <v>Agricultural tractor distributed</v>
      </c>
      <c r="Q397" s="54" t="str">
        <f>VLOOKUP(Table3[[#This Row],[ACTIVITY]],TAGS!B:P,2,FALSE)</f>
        <v>Four-Wheel Tractor Distributed</v>
      </c>
      <c r="R397" s="47" t="s">
        <v>171</v>
      </c>
      <c r="S397" s="51" t="str">
        <f>VLOOKUP(Table3[[#This Row],[ACTIVITY]],TAGS!$B:$P,4,FALSE)</f>
        <v>Production related machinery &amp; equipment</v>
      </c>
      <c r="T397" s="51" t="str">
        <f>VLOOKUP(Table3[[#This Row],[ACTIVITY]],TAGS!$B:$P,5,FALSE)</f>
        <v>Production-related</v>
      </c>
      <c r="U397" s="51" t="str">
        <f>VLOOKUP(Table3[[#This Row],[ACTIVITY]],TAGS!$B:$P,6,FALSE)</f>
        <v>Tractor</v>
      </c>
      <c r="V397" s="51" t="str">
        <f>VLOOKUP(Table3[[#This Row],[ACTIVITY]],TAGS!$B:$P,7,FALSE)</f>
        <v>NO</v>
      </c>
      <c r="W397" s="51" t="str">
        <f>VLOOKUP(Table3[[#This Row],[ACTIVITY]],TAGS!$B:$P,8,FALSE)</f>
        <v>PAP</v>
      </c>
      <c r="X397" s="51" t="str">
        <f>VLOOKUP(Table3[[#This Row],[ACTIVITY]],TAGS!$B:$P,10,FALSE)</f>
        <v>PIP</v>
      </c>
      <c r="Y397" s="51" t="str">
        <f>VLOOKUP(Table3[[#This Row],[ACTIVITY]],TAGS!$B:$P,11,FALSE)</f>
        <v>PICS</v>
      </c>
      <c r="Z397" s="51" t="str">
        <f>VLOOKUP(Table3[[#This Row],[ACTIVITY]],TAGS!$B:$P,12,FALSE)</f>
        <v>Modernization</v>
      </c>
      <c r="AA397" s="51" t="str">
        <f>VLOOKUP(Table3[[#This Row],[ACTIVITY]],TAGS!$B:$P,13,FALSE)</f>
        <v>8. Farm Mechanization and Farm Investments</v>
      </c>
      <c r="AB397" s="51" t="str">
        <f>VLOOKUP(Table3[[#This Row],[ACTIVITY]],TAGS!$B:$P,14,FALSE)</f>
        <v>MECHANIZE AND MODERNIZE AGRI-FISHERY PRODUCTION SYSTEMS</v>
      </c>
      <c r="AC397" s="51" t="str">
        <f>VLOOKUP(Table3[[#This Row],[ACTIVITY]],TAGS!$B:$P,15,FALSE)</f>
        <v>Production-related</v>
      </c>
      <c r="AD397" s="51" t="str">
        <f>VLOOKUP(Table3[[#This Row],[PI LEVEL 3]],'PI LEVEL'!$A:$G,7,FALSE)</f>
        <v>DA-Level Output</v>
      </c>
      <c r="AE397" s="47" t="s">
        <v>577</v>
      </c>
      <c r="AF397" s="51" t="str">
        <f>VLOOKUP(Table3[[#This Row],[ACTIVITY]],TAGS!$B:$P,3,FALSE)</f>
        <v>number</v>
      </c>
      <c r="AG397" s="47" t="s">
        <v>336</v>
      </c>
      <c r="AH397" s="51" t="str">
        <f>VLOOKUP(Table3[[#This Row],[MONTH]],TAGS!$W$67:$Y$81,2,FALSE)</f>
        <v>4TH QTR</v>
      </c>
      <c r="AI397" s="51" t="str">
        <f>VLOOKUP(Table3[[#This Row],[MONTH]],TAGS!$W$67:$Y$81,3,FALSE)</f>
        <v>2ND SEMESTER</v>
      </c>
      <c r="AJ397" s="51">
        <f>VLOOKUP(Table3[[#This Row],[MONTH]],TAGS!$W$67:$Z$81,4,FALSE)</f>
        <v>2025</v>
      </c>
      <c r="AK397" s="47">
        <v>1</v>
      </c>
      <c r="AL397" s="51" t="str">
        <f>VLOOKUP(Table3[[#This Row],[ACTIVITY]],TAGS!$B:$R,16,FALSE)</f>
        <v>NO</v>
      </c>
      <c r="AM397" s="47"/>
      <c r="AN397" s="47">
        <v>3100</v>
      </c>
      <c r="AO397" s="57">
        <f>SUM(Table3[[#This Row],[MALE BENEFICIARIES]:[FEMALE BENEFICIARIES]])</f>
        <v>0</v>
      </c>
      <c r="AP397" s="58"/>
      <c r="AQ397" s="58"/>
      <c r="AR397" s="58"/>
      <c r="AS397" s="58">
        <v>1</v>
      </c>
      <c r="AT397" s="59" t="str">
        <f>VLOOKUP(Table3[[#This Row],[ACTIVITY]],TAGS!$B:$R,17,FALSE)</f>
        <v>YES</v>
      </c>
      <c r="AU397" s="59"/>
      <c r="AV397" s="59"/>
      <c r="AW397" s="59"/>
      <c r="AX397" s="59"/>
      <c r="AY397" s="59"/>
      <c r="AZ397" s="59"/>
      <c r="BA397" s="59"/>
      <c r="BB397" s="59"/>
      <c r="BC397" s="59"/>
      <c r="BD397" s="59"/>
      <c r="BE397" s="59"/>
      <c r="BF397" s="59"/>
      <c r="BG397" s="59"/>
      <c r="BH397" s="59"/>
      <c r="BI397" s="59"/>
      <c r="BJ397" s="59"/>
      <c r="BK397" s="59"/>
      <c r="BL397" s="59"/>
      <c r="BM397" s="59"/>
    </row>
    <row r="398" spans="1:65">
      <c r="A398" s="51" t="str">
        <f>VLOOKUP(Table3[[#This Row],[OU]],OU!$A$15:$B$34,2,FALSE)</f>
        <v>RFOs</v>
      </c>
      <c r="B398" s="47" t="s">
        <v>5</v>
      </c>
      <c r="C398" s="47" t="s">
        <v>574</v>
      </c>
      <c r="D398" s="47" t="s">
        <v>700</v>
      </c>
      <c r="E398" s="47" t="s">
        <v>22</v>
      </c>
      <c r="F398" s="47" t="s">
        <v>628</v>
      </c>
      <c r="G39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39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21517000</v>
      </c>
      <c r="I398" s="52" t="str">
        <f>VLOOKUP(Table3[[#This Row],[PSGC]],DISTRICT!$D:$G,4,FALSE)</f>
        <v>3rd</v>
      </c>
      <c r="J398" s="47" t="s">
        <v>578</v>
      </c>
      <c r="K398" s="51" t="str">
        <f>VLOOKUP(Table3[[#This Row],[SPECIFIC COMMODITY]],TAGS!$W$48:$X$53,2,FALSE)</f>
        <v>Corn</v>
      </c>
      <c r="L398" s="51" t="str">
        <f>VLOOKUP(Table3[[#This Row],[PREXC SUB-PROGRAM]],Table5[],2,FALSE)</f>
        <v>AGRICULTURAL  MACHINERY, EQUIPMENT, FACILITIES AND INFRASTRUCTURE PROGRAM</v>
      </c>
      <c r="M398" s="51" t="str">
        <f>VLOOKUP(Table3[[#This Row],[COMMODITY PREXC SUB-PROGRAM]],TAGS!$U$54:$V$76,2,FALSE)</f>
        <v>AMEFSS</v>
      </c>
      <c r="N398" s="47" t="s">
        <v>594</v>
      </c>
      <c r="O398" s="54" t="str">
        <f>VLOOKUP(Table3[[#This Row],[PI LEVEL 3]],'PI LEVEL'!A:C,3,FALSE)</f>
        <v>Production machinery and equipment distributed</v>
      </c>
      <c r="P398" s="54" t="str">
        <f>VLOOKUP(Table3[[#This Row],[PI LEVEL 3]],Table53729[[Performance Indicator Level 3]:[Performance Indicator Level 1]],2,FALSE)</f>
        <v>Agricultural tractor distributed</v>
      </c>
      <c r="Q398" s="54" t="str">
        <f>VLOOKUP(Table3[[#This Row],[ACTIVITY]],TAGS!B:P,2,FALSE)</f>
        <v>Four-Wheel Tractor Distributed</v>
      </c>
      <c r="R398" s="47" t="s">
        <v>171</v>
      </c>
      <c r="S398" s="51" t="str">
        <f>VLOOKUP(Table3[[#This Row],[ACTIVITY]],TAGS!$B:$P,4,FALSE)</f>
        <v>Production related machinery &amp; equipment</v>
      </c>
      <c r="T398" s="51" t="str">
        <f>VLOOKUP(Table3[[#This Row],[ACTIVITY]],TAGS!$B:$P,5,FALSE)</f>
        <v>Production-related</v>
      </c>
      <c r="U398" s="51" t="str">
        <f>VLOOKUP(Table3[[#This Row],[ACTIVITY]],TAGS!$B:$P,6,FALSE)</f>
        <v>Tractor</v>
      </c>
      <c r="V398" s="51" t="str">
        <f>VLOOKUP(Table3[[#This Row],[ACTIVITY]],TAGS!$B:$P,7,FALSE)</f>
        <v>NO</v>
      </c>
      <c r="W398" s="51" t="str">
        <f>VLOOKUP(Table3[[#This Row],[ACTIVITY]],TAGS!$B:$P,8,FALSE)</f>
        <v>PAP</v>
      </c>
      <c r="X398" s="51" t="str">
        <f>VLOOKUP(Table3[[#This Row],[ACTIVITY]],TAGS!$B:$P,10,FALSE)</f>
        <v>PIP</v>
      </c>
      <c r="Y398" s="51" t="str">
        <f>VLOOKUP(Table3[[#This Row],[ACTIVITY]],TAGS!$B:$P,11,FALSE)</f>
        <v>PICS</v>
      </c>
      <c r="Z398" s="51" t="str">
        <f>VLOOKUP(Table3[[#This Row],[ACTIVITY]],TAGS!$B:$P,12,FALSE)</f>
        <v>Modernization</v>
      </c>
      <c r="AA398" s="51" t="str">
        <f>VLOOKUP(Table3[[#This Row],[ACTIVITY]],TAGS!$B:$P,13,FALSE)</f>
        <v>8. Farm Mechanization and Farm Investments</v>
      </c>
      <c r="AB398" s="51" t="str">
        <f>VLOOKUP(Table3[[#This Row],[ACTIVITY]],TAGS!$B:$P,14,FALSE)</f>
        <v>MECHANIZE AND MODERNIZE AGRI-FISHERY PRODUCTION SYSTEMS</v>
      </c>
      <c r="AC398" s="51" t="str">
        <f>VLOOKUP(Table3[[#This Row],[ACTIVITY]],TAGS!$B:$P,15,FALSE)</f>
        <v>Production-related</v>
      </c>
      <c r="AD398" s="51" t="str">
        <f>VLOOKUP(Table3[[#This Row],[PI LEVEL 3]],'PI LEVEL'!$A:$G,7,FALSE)</f>
        <v>DA-Level Output</v>
      </c>
      <c r="AE398" s="47" t="s">
        <v>577</v>
      </c>
      <c r="AF398" s="51" t="str">
        <f>VLOOKUP(Table3[[#This Row],[ACTIVITY]],TAGS!$B:$P,3,FALSE)</f>
        <v>number</v>
      </c>
      <c r="AG398" s="47" t="s">
        <v>336</v>
      </c>
      <c r="AH398" s="51" t="str">
        <f>VLOOKUP(Table3[[#This Row],[MONTH]],TAGS!$W$67:$Y$81,2,FALSE)</f>
        <v>4TH QTR</v>
      </c>
      <c r="AI398" s="51" t="str">
        <f>VLOOKUP(Table3[[#This Row],[MONTH]],TAGS!$W$67:$Y$81,3,FALSE)</f>
        <v>2ND SEMESTER</v>
      </c>
      <c r="AJ398" s="51">
        <f>VLOOKUP(Table3[[#This Row],[MONTH]],TAGS!$W$67:$Z$81,4,FALSE)</f>
        <v>2025</v>
      </c>
      <c r="AK398" s="47">
        <v>1</v>
      </c>
      <c r="AL398" s="51" t="str">
        <f>VLOOKUP(Table3[[#This Row],[ACTIVITY]],TAGS!$B:$R,16,FALSE)</f>
        <v>NO</v>
      </c>
      <c r="AM398" s="47"/>
      <c r="AN398" s="47">
        <v>3100</v>
      </c>
      <c r="AO398" s="57">
        <f>SUM(Table3[[#This Row],[MALE BENEFICIARIES]:[FEMALE BENEFICIARIES]])</f>
        <v>0</v>
      </c>
      <c r="AP398" s="58"/>
      <c r="AQ398" s="58"/>
      <c r="AR398" s="58"/>
      <c r="AS398" s="58">
        <v>1</v>
      </c>
      <c r="AT398" s="59" t="str">
        <f>VLOOKUP(Table3[[#This Row],[ACTIVITY]],TAGS!$B:$R,17,FALSE)</f>
        <v>YES</v>
      </c>
      <c r="AU398" s="59"/>
      <c r="AV398" s="59"/>
      <c r="AW398" s="59"/>
      <c r="AX398" s="59"/>
      <c r="AY398" s="59"/>
      <c r="AZ398" s="59"/>
      <c r="BA398" s="59"/>
      <c r="BB398" s="59"/>
      <c r="BC398" s="59"/>
      <c r="BD398" s="59"/>
      <c r="BE398" s="59"/>
      <c r="BF398" s="59"/>
      <c r="BG398" s="59"/>
      <c r="BH398" s="59"/>
      <c r="BI398" s="59"/>
      <c r="BJ398" s="59"/>
      <c r="BK398" s="59"/>
      <c r="BL398" s="59"/>
      <c r="BM398" s="59"/>
    </row>
    <row r="399" spans="1:65">
      <c r="A399" s="51" t="str">
        <f>VLOOKUP(Table3[[#This Row],[OU]],OU!$A$15:$B$34,2,FALSE)</f>
        <v>RFOs</v>
      </c>
      <c r="B399" s="47" t="s">
        <v>5</v>
      </c>
      <c r="C399" s="47" t="s">
        <v>574</v>
      </c>
      <c r="D399" s="47" t="s">
        <v>701</v>
      </c>
      <c r="E399" s="47" t="s">
        <v>43</v>
      </c>
      <c r="F399" s="47" t="s">
        <v>630</v>
      </c>
      <c r="G39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39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23114000</v>
      </c>
      <c r="I399" s="52" t="str">
        <f>VLOOKUP(Table3[[#This Row],[PSGC]],DISTRICT!$D:$G,4,FALSE)</f>
        <v>1st</v>
      </c>
      <c r="J399" s="47" t="s">
        <v>578</v>
      </c>
      <c r="K399" s="51" t="str">
        <f>VLOOKUP(Table3[[#This Row],[SPECIFIC COMMODITY]],TAGS!$W$48:$X$53,2,FALSE)</f>
        <v>Corn</v>
      </c>
      <c r="L399" s="51" t="str">
        <f>VLOOKUP(Table3[[#This Row],[PREXC SUB-PROGRAM]],Table5[],2,FALSE)</f>
        <v>AGRICULTURAL  MACHINERY, EQUIPMENT, FACILITIES AND INFRASTRUCTURE PROGRAM</v>
      </c>
      <c r="M399" s="51" t="str">
        <f>VLOOKUP(Table3[[#This Row],[COMMODITY PREXC SUB-PROGRAM]],TAGS!$U$54:$V$76,2,FALSE)</f>
        <v>AMEFSS</v>
      </c>
      <c r="N399" s="47" t="s">
        <v>594</v>
      </c>
      <c r="O399" s="54" t="str">
        <f>VLOOKUP(Table3[[#This Row],[PI LEVEL 3]],'PI LEVEL'!A:C,3,FALSE)</f>
        <v>Production machinery and equipment distributed</v>
      </c>
      <c r="P399" s="54" t="str">
        <f>VLOOKUP(Table3[[#This Row],[PI LEVEL 3]],Table53729[[Performance Indicator Level 3]:[Performance Indicator Level 1]],2,FALSE)</f>
        <v>Agricultural tractor distributed</v>
      </c>
      <c r="Q399" s="54" t="str">
        <f>VLOOKUP(Table3[[#This Row],[ACTIVITY]],TAGS!B:P,2,FALSE)</f>
        <v>Four-Wheel Tractor Distributed</v>
      </c>
      <c r="R399" s="47" t="s">
        <v>171</v>
      </c>
      <c r="S399" s="51" t="str">
        <f>VLOOKUP(Table3[[#This Row],[ACTIVITY]],TAGS!$B:$P,4,FALSE)</f>
        <v>Production related machinery &amp; equipment</v>
      </c>
      <c r="T399" s="51" t="str">
        <f>VLOOKUP(Table3[[#This Row],[ACTIVITY]],TAGS!$B:$P,5,FALSE)</f>
        <v>Production-related</v>
      </c>
      <c r="U399" s="51" t="str">
        <f>VLOOKUP(Table3[[#This Row],[ACTIVITY]],TAGS!$B:$P,6,FALSE)</f>
        <v>Tractor</v>
      </c>
      <c r="V399" s="51" t="str">
        <f>VLOOKUP(Table3[[#This Row],[ACTIVITY]],TAGS!$B:$P,7,FALSE)</f>
        <v>NO</v>
      </c>
      <c r="W399" s="51" t="str">
        <f>VLOOKUP(Table3[[#This Row],[ACTIVITY]],TAGS!$B:$P,8,FALSE)</f>
        <v>PAP</v>
      </c>
      <c r="X399" s="51" t="str">
        <f>VLOOKUP(Table3[[#This Row],[ACTIVITY]],TAGS!$B:$P,10,FALSE)</f>
        <v>PIP</v>
      </c>
      <c r="Y399" s="51" t="str">
        <f>VLOOKUP(Table3[[#This Row],[ACTIVITY]],TAGS!$B:$P,11,FALSE)</f>
        <v>PICS</v>
      </c>
      <c r="Z399" s="51" t="str">
        <f>VLOOKUP(Table3[[#This Row],[ACTIVITY]],TAGS!$B:$P,12,FALSE)</f>
        <v>Modernization</v>
      </c>
      <c r="AA399" s="51" t="str">
        <f>VLOOKUP(Table3[[#This Row],[ACTIVITY]],TAGS!$B:$P,13,FALSE)</f>
        <v>8. Farm Mechanization and Farm Investments</v>
      </c>
      <c r="AB399" s="51" t="str">
        <f>VLOOKUP(Table3[[#This Row],[ACTIVITY]],TAGS!$B:$P,14,FALSE)</f>
        <v>MECHANIZE AND MODERNIZE AGRI-FISHERY PRODUCTION SYSTEMS</v>
      </c>
      <c r="AC399" s="51" t="str">
        <f>VLOOKUP(Table3[[#This Row],[ACTIVITY]],TAGS!$B:$P,15,FALSE)</f>
        <v>Production-related</v>
      </c>
      <c r="AD399" s="51" t="str">
        <f>VLOOKUP(Table3[[#This Row],[PI LEVEL 3]],'PI LEVEL'!$A:$G,7,FALSE)</f>
        <v>DA-Level Output</v>
      </c>
      <c r="AE399" s="47" t="s">
        <v>577</v>
      </c>
      <c r="AF399" s="51" t="str">
        <f>VLOOKUP(Table3[[#This Row],[ACTIVITY]],TAGS!$B:$P,3,FALSE)</f>
        <v>number</v>
      </c>
      <c r="AG399" s="47" t="s">
        <v>336</v>
      </c>
      <c r="AH399" s="51" t="str">
        <f>VLOOKUP(Table3[[#This Row],[MONTH]],TAGS!$W$67:$Y$81,2,FALSE)</f>
        <v>4TH QTR</v>
      </c>
      <c r="AI399" s="51" t="str">
        <f>VLOOKUP(Table3[[#This Row],[MONTH]],TAGS!$W$67:$Y$81,3,FALSE)</f>
        <v>2ND SEMESTER</v>
      </c>
      <c r="AJ399" s="51">
        <f>VLOOKUP(Table3[[#This Row],[MONTH]],TAGS!$W$67:$Z$81,4,FALSE)</f>
        <v>2025</v>
      </c>
      <c r="AK399" s="47">
        <v>1</v>
      </c>
      <c r="AL399" s="51" t="str">
        <f>VLOOKUP(Table3[[#This Row],[ACTIVITY]],TAGS!$B:$R,16,FALSE)</f>
        <v>NO</v>
      </c>
      <c r="AM399" s="47"/>
      <c r="AN399" s="47">
        <v>3100</v>
      </c>
      <c r="AO399" s="57">
        <f>SUM(Table3[[#This Row],[MALE BENEFICIARIES]:[FEMALE BENEFICIARIES]])</f>
        <v>0</v>
      </c>
      <c r="AP399" s="58"/>
      <c r="AQ399" s="58"/>
      <c r="AR399" s="58"/>
      <c r="AS399" s="58">
        <v>1</v>
      </c>
      <c r="AT399" s="59" t="str">
        <f>VLOOKUP(Table3[[#This Row],[ACTIVITY]],TAGS!$B:$R,17,FALSE)</f>
        <v>YES</v>
      </c>
      <c r="AU399" s="59"/>
      <c r="AV399" s="59"/>
      <c r="AW399" s="59"/>
      <c r="AX399" s="59"/>
      <c r="AY399" s="59"/>
      <c r="AZ399" s="59"/>
      <c r="BA399" s="59"/>
      <c r="BB399" s="59"/>
      <c r="BC399" s="59"/>
      <c r="BD399" s="59"/>
      <c r="BE399" s="59"/>
      <c r="BF399" s="59"/>
      <c r="BG399" s="59"/>
      <c r="BH399" s="59"/>
      <c r="BI399" s="59"/>
      <c r="BJ399" s="59"/>
      <c r="BK399" s="59"/>
      <c r="BL399" s="59"/>
      <c r="BM399" s="59"/>
    </row>
    <row r="400" spans="1:65">
      <c r="A400" s="51" t="str">
        <f>VLOOKUP(Table3[[#This Row],[OU]],OU!$A$15:$B$34,2,FALSE)</f>
        <v>RFOs</v>
      </c>
      <c r="B400" s="47" t="s">
        <v>5</v>
      </c>
      <c r="C400" s="47" t="s">
        <v>574</v>
      </c>
      <c r="D400" s="47" t="s">
        <v>702</v>
      </c>
      <c r="E400" s="47" t="s">
        <v>43</v>
      </c>
      <c r="F400" s="47" t="s">
        <v>622</v>
      </c>
      <c r="G40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0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23106000</v>
      </c>
      <c r="I400" s="52" t="str">
        <f>VLOOKUP(Table3[[#This Row],[PSGC]],DISTRICT!$D:$G,4,FALSE)</f>
        <v>1st</v>
      </c>
      <c r="J400" s="47" t="s">
        <v>578</v>
      </c>
      <c r="K400" s="51" t="str">
        <f>VLOOKUP(Table3[[#This Row],[SPECIFIC COMMODITY]],TAGS!$W$48:$X$53,2,FALSE)</f>
        <v>Corn</v>
      </c>
      <c r="L400" s="51" t="str">
        <f>VLOOKUP(Table3[[#This Row],[PREXC SUB-PROGRAM]],Table5[],2,FALSE)</f>
        <v>AGRICULTURAL  MACHINERY, EQUIPMENT, FACILITIES AND INFRASTRUCTURE PROGRAM</v>
      </c>
      <c r="M400" s="51" t="str">
        <f>VLOOKUP(Table3[[#This Row],[COMMODITY PREXC SUB-PROGRAM]],TAGS!$U$54:$V$76,2,FALSE)</f>
        <v>AMEFSS</v>
      </c>
      <c r="N400" s="47" t="s">
        <v>594</v>
      </c>
      <c r="O400" s="54" t="str">
        <f>VLOOKUP(Table3[[#This Row],[PI LEVEL 3]],'PI LEVEL'!A:C,3,FALSE)</f>
        <v>Production machinery and equipment distributed</v>
      </c>
      <c r="P400" s="54" t="str">
        <f>VLOOKUP(Table3[[#This Row],[PI LEVEL 3]],Table53729[[Performance Indicator Level 3]:[Performance Indicator Level 1]],2,FALSE)</f>
        <v>Agricultural tractor distributed</v>
      </c>
      <c r="Q400" s="54" t="str">
        <f>VLOOKUP(Table3[[#This Row],[ACTIVITY]],TAGS!B:P,2,FALSE)</f>
        <v>Four-Wheel Tractor Distributed</v>
      </c>
      <c r="R400" s="47" t="s">
        <v>171</v>
      </c>
      <c r="S400" s="51" t="str">
        <f>VLOOKUP(Table3[[#This Row],[ACTIVITY]],TAGS!$B:$P,4,FALSE)</f>
        <v>Production related machinery &amp; equipment</v>
      </c>
      <c r="T400" s="51" t="str">
        <f>VLOOKUP(Table3[[#This Row],[ACTIVITY]],TAGS!$B:$P,5,FALSE)</f>
        <v>Production-related</v>
      </c>
      <c r="U400" s="51" t="str">
        <f>VLOOKUP(Table3[[#This Row],[ACTIVITY]],TAGS!$B:$P,6,FALSE)</f>
        <v>Tractor</v>
      </c>
      <c r="V400" s="51" t="str">
        <f>VLOOKUP(Table3[[#This Row],[ACTIVITY]],TAGS!$B:$P,7,FALSE)</f>
        <v>NO</v>
      </c>
      <c r="W400" s="51" t="str">
        <f>VLOOKUP(Table3[[#This Row],[ACTIVITY]],TAGS!$B:$P,8,FALSE)</f>
        <v>PAP</v>
      </c>
      <c r="X400" s="51" t="str">
        <f>VLOOKUP(Table3[[#This Row],[ACTIVITY]],TAGS!$B:$P,10,FALSE)</f>
        <v>PIP</v>
      </c>
      <c r="Y400" s="51" t="str">
        <f>VLOOKUP(Table3[[#This Row],[ACTIVITY]],TAGS!$B:$P,11,FALSE)</f>
        <v>PICS</v>
      </c>
      <c r="Z400" s="51" t="str">
        <f>VLOOKUP(Table3[[#This Row],[ACTIVITY]],TAGS!$B:$P,12,FALSE)</f>
        <v>Modernization</v>
      </c>
      <c r="AA400" s="51" t="str">
        <f>VLOOKUP(Table3[[#This Row],[ACTIVITY]],TAGS!$B:$P,13,FALSE)</f>
        <v>8. Farm Mechanization and Farm Investments</v>
      </c>
      <c r="AB400" s="51" t="str">
        <f>VLOOKUP(Table3[[#This Row],[ACTIVITY]],TAGS!$B:$P,14,FALSE)</f>
        <v>MECHANIZE AND MODERNIZE AGRI-FISHERY PRODUCTION SYSTEMS</v>
      </c>
      <c r="AC400" s="51" t="str">
        <f>VLOOKUP(Table3[[#This Row],[ACTIVITY]],TAGS!$B:$P,15,FALSE)</f>
        <v>Production-related</v>
      </c>
      <c r="AD400" s="51" t="str">
        <f>VLOOKUP(Table3[[#This Row],[PI LEVEL 3]],'PI LEVEL'!$A:$G,7,FALSE)</f>
        <v>DA-Level Output</v>
      </c>
      <c r="AE400" s="47" t="s">
        <v>577</v>
      </c>
      <c r="AF400" s="51" t="str">
        <f>VLOOKUP(Table3[[#This Row],[ACTIVITY]],TAGS!$B:$P,3,FALSE)</f>
        <v>number</v>
      </c>
      <c r="AG400" s="47" t="s">
        <v>336</v>
      </c>
      <c r="AH400" s="51" t="str">
        <f>VLOOKUP(Table3[[#This Row],[MONTH]],TAGS!$W$67:$Y$81,2,FALSE)</f>
        <v>4TH QTR</v>
      </c>
      <c r="AI400" s="51" t="str">
        <f>VLOOKUP(Table3[[#This Row],[MONTH]],TAGS!$W$67:$Y$81,3,FALSE)</f>
        <v>2ND SEMESTER</v>
      </c>
      <c r="AJ400" s="51">
        <f>VLOOKUP(Table3[[#This Row],[MONTH]],TAGS!$W$67:$Z$81,4,FALSE)</f>
        <v>2025</v>
      </c>
      <c r="AK400" s="47">
        <v>1</v>
      </c>
      <c r="AL400" s="51" t="str">
        <f>VLOOKUP(Table3[[#This Row],[ACTIVITY]],TAGS!$B:$R,16,FALSE)</f>
        <v>NO</v>
      </c>
      <c r="AM400" s="47"/>
      <c r="AN400" s="47">
        <v>3100</v>
      </c>
      <c r="AO400" s="57">
        <f>SUM(Table3[[#This Row],[MALE BENEFICIARIES]:[FEMALE BENEFICIARIES]])</f>
        <v>0</v>
      </c>
      <c r="AP400" s="58"/>
      <c r="AQ400" s="58"/>
      <c r="AR400" s="58"/>
      <c r="AS400" s="58">
        <v>1</v>
      </c>
      <c r="AT400" s="59" t="str">
        <f>VLOOKUP(Table3[[#This Row],[ACTIVITY]],TAGS!$B:$R,17,FALSE)</f>
        <v>YES</v>
      </c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</row>
    <row r="401" spans="1:65">
      <c r="A401" s="51" t="str">
        <f>VLOOKUP(Table3[[#This Row],[OU]],OU!$A$15:$B$34,2,FALSE)</f>
        <v>RFOs</v>
      </c>
      <c r="B401" s="47" t="s">
        <v>5</v>
      </c>
      <c r="C401" s="47" t="s">
        <v>574</v>
      </c>
      <c r="D401" s="47" t="s">
        <v>703</v>
      </c>
      <c r="E401" s="47" t="s">
        <v>43</v>
      </c>
      <c r="F401" s="47" t="s">
        <v>623</v>
      </c>
      <c r="G40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0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23133000</v>
      </c>
      <c r="I401" s="52" t="str">
        <f>VLOOKUP(Table3[[#This Row],[PSGC]],DISTRICT!$D:$G,4,FALSE)</f>
        <v>2nd</v>
      </c>
      <c r="J401" s="47" t="s">
        <v>578</v>
      </c>
      <c r="K401" s="51" t="str">
        <f>VLOOKUP(Table3[[#This Row],[SPECIFIC COMMODITY]],TAGS!$W$48:$X$53,2,FALSE)</f>
        <v>Corn</v>
      </c>
      <c r="L401" s="51" t="str">
        <f>VLOOKUP(Table3[[#This Row],[PREXC SUB-PROGRAM]],Table5[],2,FALSE)</f>
        <v>AGRICULTURAL  MACHINERY, EQUIPMENT, FACILITIES AND INFRASTRUCTURE PROGRAM</v>
      </c>
      <c r="M401" s="51" t="str">
        <f>VLOOKUP(Table3[[#This Row],[COMMODITY PREXC SUB-PROGRAM]],TAGS!$U$54:$V$76,2,FALSE)</f>
        <v>AMEFSS</v>
      </c>
      <c r="N401" s="47" t="s">
        <v>594</v>
      </c>
      <c r="O401" s="54" t="str">
        <f>VLOOKUP(Table3[[#This Row],[PI LEVEL 3]],'PI LEVEL'!A:C,3,FALSE)</f>
        <v>Production machinery and equipment distributed</v>
      </c>
      <c r="P401" s="54" t="str">
        <f>VLOOKUP(Table3[[#This Row],[PI LEVEL 3]],Table53729[[Performance Indicator Level 3]:[Performance Indicator Level 1]],2,FALSE)</f>
        <v>Agricultural tractor distributed</v>
      </c>
      <c r="Q401" s="54" t="str">
        <f>VLOOKUP(Table3[[#This Row],[ACTIVITY]],TAGS!B:P,2,FALSE)</f>
        <v>Four-Wheel Tractor Distributed</v>
      </c>
      <c r="R401" s="47" t="s">
        <v>171</v>
      </c>
      <c r="S401" s="51" t="str">
        <f>VLOOKUP(Table3[[#This Row],[ACTIVITY]],TAGS!$B:$P,4,FALSE)</f>
        <v>Production related machinery &amp; equipment</v>
      </c>
      <c r="T401" s="51" t="str">
        <f>VLOOKUP(Table3[[#This Row],[ACTIVITY]],TAGS!$B:$P,5,FALSE)</f>
        <v>Production-related</v>
      </c>
      <c r="U401" s="51" t="str">
        <f>VLOOKUP(Table3[[#This Row],[ACTIVITY]],TAGS!$B:$P,6,FALSE)</f>
        <v>Tractor</v>
      </c>
      <c r="V401" s="51" t="str">
        <f>VLOOKUP(Table3[[#This Row],[ACTIVITY]],TAGS!$B:$P,7,FALSE)</f>
        <v>NO</v>
      </c>
      <c r="W401" s="51" t="str">
        <f>VLOOKUP(Table3[[#This Row],[ACTIVITY]],TAGS!$B:$P,8,FALSE)</f>
        <v>PAP</v>
      </c>
      <c r="X401" s="51" t="str">
        <f>VLOOKUP(Table3[[#This Row],[ACTIVITY]],TAGS!$B:$P,10,FALSE)</f>
        <v>PIP</v>
      </c>
      <c r="Y401" s="51" t="str">
        <f>VLOOKUP(Table3[[#This Row],[ACTIVITY]],TAGS!$B:$P,11,FALSE)</f>
        <v>PICS</v>
      </c>
      <c r="Z401" s="51" t="str">
        <f>VLOOKUP(Table3[[#This Row],[ACTIVITY]],TAGS!$B:$P,12,FALSE)</f>
        <v>Modernization</v>
      </c>
      <c r="AA401" s="51" t="str">
        <f>VLOOKUP(Table3[[#This Row],[ACTIVITY]],TAGS!$B:$P,13,FALSE)</f>
        <v>8. Farm Mechanization and Farm Investments</v>
      </c>
      <c r="AB401" s="51" t="str">
        <f>VLOOKUP(Table3[[#This Row],[ACTIVITY]],TAGS!$B:$P,14,FALSE)</f>
        <v>MECHANIZE AND MODERNIZE AGRI-FISHERY PRODUCTION SYSTEMS</v>
      </c>
      <c r="AC401" s="51" t="str">
        <f>VLOOKUP(Table3[[#This Row],[ACTIVITY]],TAGS!$B:$P,15,FALSE)</f>
        <v>Production-related</v>
      </c>
      <c r="AD401" s="51" t="str">
        <f>VLOOKUP(Table3[[#This Row],[PI LEVEL 3]],'PI LEVEL'!$A:$G,7,FALSE)</f>
        <v>DA-Level Output</v>
      </c>
      <c r="AE401" s="47" t="s">
        <v>577</v>
      </c>
      <c r="AF401" s="51" t="str">
        <f>VLOOKUP(Table3[[#This Row],[ACTIVITY]],TAGS!$B:$P,3,FALSE)</f>
        <v>number</v>
      </c>
      <c r="AG401" s="47" t="s">
        <v>336</v>
      </c>
      <c r="AH401" s="51" t="str">
        <f>VLOOKUP(Table3[[#This Row],[MONTH]],TAGS!$W$67:$Y$81,2,FALSE)</f>
        <v>4TH QTR</v>
      </c>
      <c r="AI401" s="51" t="str">
        <f>VLOOKUP(Table3[[#This Row],[MONTH]],TAGS!$W$67:$Y$81,3,FALSE)</f>
        <v>2ND SEMESTER</v>
      </c>
      <c r="AJ401" s="51">
        <f>VLOOKUP(Table3[[#This Row],[MONTH]],TAGS!$W$67:$Z$81,4,FALSE)</f>
        <v>2025</v>
      </c>
      <c r="AK401" s="47">
        <v>1</v>
      </c>
      <c r="AL401" s="51" t="str">
        <f>VLOOKUP(Table3[[#This Row],[ACTIVITY]],TAGS!$B:$R,16,FALSE)</f>
        <v>NO</v>
      </c>
      <c r="AM401" s="47"/>
      <c r="AN401" s="47">
        <v>3100</v>
      </c>
      <c r="AO401" s="57">
        <f>SUM(Table3[[#This Row],[MALE BENEFICIARIES]:[FEMALE BENEFICIARIES]])</f>
        <v>0</v>
      </c>
      <c r="AP401" s="58"/>
      <c r="AQ401" s="58"/>
      <c r="AR401" s="58"/>
      <c r="AS401" s="58">
        <v>1</v>
      </c>
      <c r="AT401" s="59" t="str">
        <f>VLOOKUP(Table3[[#This Row],[ACTIVITY]],TAGS!$B:$R,17,FALSE)</f>
        <v>YES</v>
      </c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  <c r="BF401" s="59"/>
      <c r="BG401" s="59"/>
      <c r="BH401" s="59"/>
      <c r="BI401" s="59"/>
      <c r="BJ401" s="59"/>
      <c r="BK401" s="59"/>
      <c r="BL401" s="59"/>
      <c r="BM401" s="59"/>
    </row>
    <row r="402" spans="1:65">
      <c r="A402" s="51" t="str">
        <f>VLOOKUP(Table3[[#This Row],[OU]],OU!$A$15:$B$34,2,FALSE)</f>
        <v>RFOs</v>
      </c>
      <c r="B402" s="47" t="s">
        <v>5</v>
      </c>
      <c r="C402" s="47" t="s">
        <v>574</v>
      </c>
      <c r="D402" s="47" t="s">
        <v>704</v>
      </c>
      <c r="E402" s="47" t="s">
        <v>43</v>
      </c>
      <c r="F402" s="47" t="s">
        <v>672</v>
      </c>
      <c r="G40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3rd District</v>
      </c>
      <c r="H40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23132000</v>
      </c>
      <c r="I402" s="52" t="str">
        <f>VLOOKUP(Table3[[#This Row],[PSGC]],DISTRICT!$D:$G,4,FALSE)</f>
        <v>1st</v>
      </c>
      <c r="J402" s="47" t="s">
        <v>578</v>
      </c>
      <c r="K402" s="51" t="str">
        <f>VLOOKUP(Table3[[#This Row],[SPECIFIC COMMODITY]],TAGS!$W$48:$X$53,2,FALSE)</f>
        <v>Corn</v>
      </c>
      <c r="L402" s="51" t="str">
        <f>VLOOKUP(Table3[[#This Row],[PREXC SUB-PROGRAM]],Table5[],2,FALSE)</f>
        <v>AGRICULTURAL  MACHINERY, EQUIPMENT, FACILITIES AND INFRASTRUCTURE PROGRAM</v>
      </c>
      <c r="M402" s="51" t="str">
        <f>VLOOKUP(Table3[[#This Row],[COMMODITY PREXC SUB-PROGRAM]],TAGS!$U$54:$V$76,2,FALSE)</f>
        <v>AMEFSS</v>
      </c>
      <c r="N402" s="47" t="s">
        <v>594</v>
      </c>
      <c r="O402" s="54" t="str">
        <f>VLOOKUP(Table3[[#This Row],[PI LEVEL 3]],'PI LEVEL'!A:C,3,FALSE)</f>
        <v>Production machinery and equipment distributed</v>
      </c>
      <c r="P402" s="54" t="str">
        <f>VLOOKUP(Table3[[#This Row],[PI LEVEL 3]],Table53729[[Performance Indicator Level 3]:[Performance Indicator Level 1]],2,FALSE)</f>
        <v>Agricultural tractor distributed</v>
      </c>
      <c r="Q402" s="54" t="str">
        <f>VLOOKUP(Table3[[#This Row],[ACTIVITY]],TAGS!B:P,2,FALSE)</f>
        <v>Four-Wheel Tractor Distributed</v>
      </c>
      <c r="R402" s="47" t="s">
        <v>171</v>
      </c>
      <c r="S402" s="51" t="str">
        <f>VLOOKUP(Table3[[#This Row],[ACTIVITY]],TAGS!$B:$P,4,FALSE)</f>
        <v>Production related machinery &amp; equipment</v>
      </c>
      <c r="T402" s="51" t="str">
        <f>VLOOKUP(Table3[[#This Row],[ACTIVITY]],TAGS!$B:$P,5,FALSE)</f>
        <v>Production-related</v>
      </c>
      <c r="U402" s="51" t="str">
        <f>VLOOKUP(Table3[[#This Row],[ACTIVITY]],TAGS!$B:$P,6,FALSE)</f>
        <v>Tractor</v>
      </c>
      <c r="V402" s="51" t="str">
        <f>VLOOKUP(Table3[[#This Row],[ACTIVITY]],TAGS!$B:$P,7,FALSE)</f>
        <v>NO</v>
      </c>
      <c r="W402" s="51" t="str">
        <f>VLOOKUP(Table3[[#This Row],[ACTIVITY]],TAGS!$B:$P,8,FALSE)</f>
        <v>PAP</v>
      </c>
      <c r="X402" s="51" t="str">
        <f>VLOOKUP(Table3[[#This Row],[ACTIVITY]],TAGS!$B:$P,10,FALSE)</f>
        <v>PIP</v>
      </c>
      <c r="Y402" s="51" t="str">
        <f>VLOOKUP(Table3[[#This Row],[ACTIVITY]],TAGS!$B:$P,11,FALSE)</f>
        <v>PICS</v>
      </c>
      <c r="Z402" s="51" t="str">
        <f>VLOOKUP(Table3[[#This Row],[ACTIVITY]],TAGS!$B:$P,12,FALSE)</f>
        <v>Modernization</v>
      </c>
      <c r="AA402" s="51" t="str">
        <f>VLOOKUP(Table3[[#This Row],[ACTIVITY]],TAGS!$B:$P,13,FALSE)</f>
        <v>8. Farm Mechanization and Farm Investments</v>
      </c>
      <c r="AB402" s="51" t="str">
        <f>VLOOKUP(Table3[[#This Row],[ACTIVITY]],TAGS!$B:$P,14,FALSE)</f>
        <v>MECHANIZE AND MODERNIZE AGRI-FISHERY PRODUCTION SYSTEMS</v>
      </c>
      <c r="AC402" s="51" t="str">
        <f>VLOOKUP(Table3[[#This Row],[ACTIVITY]],TAGS!$B:$P,15,FALSE)</f>
        <v>Production-related</v>
      </c>
      <c r="AD402" s="51" t="str">
        <f>VLOOKUP(Table3[[#This Row],[PI LEVEL 3]],'PI LEVEL'!$A:$G,7,FALSE)</f>
        <v>DA-Level Output</v>
      </c>
      <c r="AE402" s="47" t="s">
        <v>577</v>
      </c>
      <c r="AF402" s="51" t="str">
        <f>VLOOKUP(Table3[[#This Row],[ACTIVITY]],TAGS!$B:$P,3,FALSE)</f>
        <v>number</v>
      </c>
      <c r="AG402" s="47" t="s">
        <v>336</v>
      </c>
      <c r="AH402" s="51" t="str">
        <f>VLOOKUP(Table3[[#This Row],[MONTH]],TAGS!$W$67:$Y$81,2,FALSE)</f>
        <v>4TH QTR</v>
      </c>
      <c r="AI402" s="51" t="str">
        <f>VLOOKUP(Table3[[#This Row],[MONTH]],TAGS!$W$67:$Y$81,3,FALSE)</f>
        <v>2ND SEMESTER</v>
      </c>
      <c r="AJ402" s="51">
        <f>VLOOKUP(Table3[[#This Row],[MONTH]],TAGS!$W$67:$Z$81,4,FALSE)</f>
        <v>2025</v>
      </c>
      <c r="AK402" s="47">
        <v>1</v>
      </c>
      <c r="AL402" s="51" t="str">
        <f>VLOOKUP(Table3[[#This Row],[ACTIVITY]],TAGS!$B:$R,16,FALSE)</f>
        <v>NO</v>
      </c>
      <c r="AM402" s="47"/>
      <c r="AN402" s="47">
        <v>3100</v>
      </c>
      <c r="AO402" s="57">
        <f>SUM(Table3[[#This Row],[MALE BENEFICIARIES]:[FEMALE BENEFICIARIES]])</f>
        <v>0</v>
      </c>
      <c r="AP402" s="58"/>
      <c r="AQ402" s="58"/>
      <c r="AR402" s="58"/>
      <c r="AS402" s="58">
        <v>1</v>
      </c>
      <c r="AT402" s="59" t="str">
        <f>VLOOKUP(Table3[[#This Row],[ACTIVITY]],TAGS!$B:$R,17,FALSE)</f>
        <v>YES</v>
      </c>
      <c r="AU402" s="59"/>
      <c r="AV402" s="59"/>
      <c r="AW402" s="59"/>
      <c r="AX402" s="59"/>
      <c r="AY402" s="59"/>
      <c r="AZ402" s="59"/>
      <c r="BA402" s="59"/>
      <c r="BB402" s="59"/>
      <c r="BC402" s="59"/>
      <c r="BD402" s="59"/>
      <c r="BE402" s="59"/>
      <c r="BF402" s="59"/>
      <c r="BG402" s="59"/>
      <c r="BH402" s="59"/>
      <c r="BI402" s="59"/>
      <c r="BJ402" s="59"/>
      <c r="BK402" s="59"/>
      <c r="BL402" s="59"/>
      <c r="BM402" s="59"/>
    </row>
    <row r="403" spans="1:65">
      <c r="A403" s="51" t="str">
        <f>VLOOKUP(Table3[[#This Row],[OU]],OU!$A$15:$B$34,2,FALSE)</f>
        <v>RFOs</v>
      </c>
      <c r="B403" s="47" t="s">
        <v>5</v>
      </c>
      <c r="C403" s="47" t="s">
        <v>574</v>
      </c>
      <c r="D403" s="47" t="s">
        <v>704</v>
      </c>
      <c r="E403" s="47" t="s">
        <v>43</v>
      </c>
      <c r="F403" s="47" t="s">
        <v>672</v>
      </c>
      <c r="G40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3rd District</v>
      </c>
      <c r="H40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23132000</v>
      </c>
      <c r="I403" s="52" t="str">
        <f>VLOOKUP(Table3[[#This Row],[PSGC]],DISTRICT!$D:$G,4,FALSE)</f>
        <v>1st</v>
      </c>
      <c r="J403" s="47" t="s">
        <v>578</v>
      </c>
      <c r="K403" s="51" t="str">
        <f>VLOOKUP(Table3[[#This Row],[SPECIFIC COMMODITY]],TAGS!$W$48:$X$53,2,FALSE)</f>
        <v>Corn</v>
      </c>
      <c r="L403" s="51" t="str">
        <f>VLOOKUP(Table3[[#This Row],[PREXC SUB-PROGRAM]],Table5[],2,FALSE)</f>
        <v>AGRICULTURAL  MACHINERY, EQUIPMENT, FACILITIES AND INFRASTRUCTURE PROGRAM</v>
      </c>
      <c r="M403" s="51" t="str">
        <f>VLOOKUP(Table3[[#This Row],[COMMODITY PREXC SUB-PROGRAM]],TAGS!$U$54:$V$76,2,FALSE)</f>
        <v>AMEFSS</v>
      </c>
      <c r="N403" s="47" t="s">
        <v>594</v>
      </c>
      <c r="O403" s="54" t="str">
        <f>VLOOKUP(Table3[[#This Row],[PI LEVEL 3]],'PI LEVEL'!A:C,3,FALSE)</f>
        <v>Production machinery and equipment distributed</v>
      </c>
      <c r="P403" s="54" t="str">
        <f>VLOOKUP(Table3[[#This Row],[PI LEVEL 3]],Table53729[[Performance Indicator Level 3]:[Performance Indicator Level 1]],2,FALSE)</f>
        <v>Agricultural tractor distributed</v>
      </c>
      <c r="Q403" s="54" t="str">
        <f>VLOOKUP(Table3[[#This Row],[ACTIVITY]],TAGS!B:P,2,FALSE)</f>
        <v>Four-Wheel Tractor Distributed</v>
      </c>
      <c r="R403" s="47" t="s">
        <v>171</v>
      </c>
      <c r="S403" s="51" t="str">
        <f>VLOOKUP(Table3[[#This Row],[ACTIVITY]],TAGS!$B:$P,4,FALSE)</f>
        <v>Production related machinery &amp; equipment</v>
      </c>
      <c r="T403" s="51" t="str">
        <f>VLOOKUP(Table3[[#This Row],[ACTIVITY]],TAGS!$B:$P,5,FALSE)</f>
        <v>Production-related</v>
      </c>
      <c r="U403" s="51" t="str">
        <f>VLOOKUP(Table3[[#This Row],[ACTIVITY]],TAGS!$B:$P,6,FALSE)</f>
        <v>Tractor</v>
      </c>
      <c r="V403" s="51" t="str">
        <f>VLOOKUP(Table3[[#This Row],[ACTIVITY]],TAGS!$B:$P,7,FALSE)</f>
        <v>NO</v>
      </c>
      <c r="W403" s="51" t="str">
        <f>VLOOKUP(Table3[[#This Row],[ACTIVITY]],TAGS!$B:$P,8,FALSE)</f>
        <v>PAP</v>
      </c>
      <c r="X403" s="51" t="str">
        <f>VLOOKUP(Table3[[#This Row],[ACTIVITY]],TAGS!$B:$P,10,FALSE)</f>
        <v>PIP</v>
      </c>
      <c r="Y403" s="51" t="str">
        <f>VLOOKUP(Table3[[#This Row],[ACTIVITY]],TAGS!$B:$P,11,FALSE)</f>
        <v>PICS</v>
      </c>
      <c r="Z403" s="51" t="str">
        <f>VLOOKUP(Table3[[#This Row],[ACTIVITY]],TAGS!$B:$P,12,FALSE)</f>
        <v>Modernization</v>
      </c>
      <c r="AA403" s="51" t="str">
        <f>VLOOKUP(Table3[[#This Row],[ACTIVITY]],TAGS!$B:$P,13,FALSE)</f>
        <v>8. Farm Mechanization and Farm Investments</v>
      </c>
      <c r="AB403" s="51" t="str">
        <f>VLOOKUP(Table3[[#This Row],[ACTIVITY]],TAGS!$B:$P,14,FALSE)</f>
        <v>MECHANIZE AND MODERNIZE AGRI-FISHERY PRODUCTION SYSTEMS</v>
      </c>
      <c r="AC403" s="51" t="str">
        <f>VLOOKUP(Table3[[#This Row],[ACTIVITY]],TAGS!$B:$P,15,FALSE)</f>
        <v>Production-related</v>
      </c>
      <c r="AD403" s="51" t="str">
        <f>VLOOKUP(Table3[[#This Row],[PI LEVEL 3]],'PI LEVEL'!$A:$G,7,FALSE)</f>
        <v>DA-Level Output</v>
      </c>
      <c r="AE403" s="47" t="s">
        <v>577</v>
      </c>
      <c r="AF403" s="51" t="str">
        <f>VLOOKUP(Table3[[#This Row],[ACTIVITY]],TAGS!$B:$P,3,FALSE)</f>
        <v>number</v>
      </c>
      <c r="AG403" s="47" t="s">
        <v>336</v>
      </c>
      <c r="AH403" s="51" t="str">
        <f>VLOOKUP(Table3[[#This Row],[MONTH]],TAGS!$W$67:$Y$81,2,FALSE)</f>
        <v>4TH QTR</v>
      </c>
      <c r="AI403" s="51" t="str">
        <f>VLOOKUP(Table3[[#This Row],[MONTH]],TAGS!$W$67:$Y$81,3,FALSE)</f>
        <v>2ND SEMESTER</v>
      </c>
      <c r="AJ403" s="51">
        <f>VLOOKUP(Table3[[#This Row],[MONTH]],TAGS!$W$67:$Z$81,4,FALSE)</f>
        <v>2025</v>
      </c>
      <c r="AK403" s="47">
        <v>1</v>
      </c>
      <c r="AL403" s="51" t="str">
        <f>VLOOKUP(Table3[[#This Row],[ACTIVITY]],TAGS!$B:$R,16,FALSE)</f>
        <v>NO</v>
      </c>
      <c r="AM403" s="47"/>
      <c r="AN403" s="47">
        <v>3100</v>
      </c>
      <c r="AO403" s="57">
        <f>SUM(Table3[[#This Row],[MALE BENEFICIARIES]:[FEMALE BENEFICIARIES]])</f>
        <v>0</v>
      </c>
      <c r="AP403" s="58"/>
      <c r="AQ403" s="58"/>
      <c r="AR403" s="58"/>
      <c r="AS403" s="58">
        <v>1</v>
      </c>
      <c r="AT403" s="59" t="str">
        <f>VLOOKUP(Table3[[#This Row],[ACTIVITY]],TAGS!$B:$R,17,FALSE)</f>
        <v>YES</v>
      </c>
      <c r="AU403" s="59"/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  <c r="BF403" s="59"/>
      <c r="BG403" s="59"/>
      <c r="BH403" s="59"/>
      <c r="BI403" s="59"/>
      <c r="BJ403" s="59"/>
      <c r="BK403" s="59"/>
      <c r="BL403" s="59"/>
      <c r="BM403" s="59"/>
    </row>
    <row r="404" spans="1:65">
      <c r="A404" s="51" t="str">
        <f>VLOOKUP(Table3[[#This Row],[OU]],OU!$A$15:$B$34,2,FALSE)</f>
        <v>RFOs</v>
      </c>
      <c r="B404" s="47" t="s">
        <v>5</v>
      </c>
      <c r="C404" s="47" t="s">
        <v>574</v>
      </c>
      <c r="D404" s="53" t="s">
        <v>705</v>
      </c>
      <c r="E404" s="47" t="s">
        <v>70</v>
      </c>
      <c r="F404" s="47" t="s">
        <v>626</v>
      </c>
      <c r="G40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40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25703000</v>
      </c>
      <c r="I404" s="52" t="str">
        <f>VLOOKUP(Table3[[#This Row],[PSGC]],DISTRICT!$D:$G,4,FALSE)</f>
        <v>2nd</v>
      </c>
      <c r="J404" s="47" t="s">
        <v>578</v>
      </c>
      <c r="K404" s="51" t="str">
        <f>VLOOKUP(Table3[[#This Row],[SPECIFIC COMMODITY]],TAGS!$W$48:$X$53,2,FALSE)</f>
        <v>Corn</v>
      </c>
      <c r="L404" s="51" t="str">
        <f>VLOOKUP(Table3[[#This Row],[PREXC SUB-PROGRAM]],Table5[],2,FALSE)</f>
        <v>AGRICULTURAL  MACHINERY, EQUIPMENT, FACILITIES AND INFRASTRUCTURE PROGRAM</v>
      </c>
      <c r="M404" s="51" t="str">
        <f>VLOOKUP(Table3[[#This Row],[COMMODITY PREXC SUB-PROGRAM]],TAGS!$U$54:$V$76,2,FALSE)</f>
        <v>AMEFSS</v>
      </c>
      <c r="N404" s="47" t="s">
        <v>594</v>
      </c>
      <c r="O404" s="54" t="str">
        <f>VLOOKUP(Table3[[#This Row],[PI LEVEL 3]],'PI LEVEL'!A:C,3,FALSE)</f>
        <v>Production machinery and equipment distributed</v>
      </c>
      <c r="P404" s="54" t="str">
        <f>VLOOKUP(Table3[[#This Row],[PI LEVEL 3]],Table53729[[Performance Indicator Level 3]:[Performance Indicator Level 1]],2,FALSE)</f>
        <v>Agricultural tractor distributed</v>
      </c>
      <c r="Q404" s="54" t="str">
        <f>VLOOKUP(Table3[[#This Row],[ACTIVITY]],TAGS!B:P,2,FALSE)</f>
        <v>Four-Wheel Tractor Distributed</v>
      </c>
      <c r="R404" s="47" t="s">
        <v>171</v>
      </c>
      <c r="S404" s="51" t="str">
        <f>VLOOKUP(Table3[[#This Row],[ACTIVITY]],TAGS!$B:$P,4,FALSE)</f>
        <v>Production related machinery &amp; equipment</v>
      </c>
      <c r="T404" s="51" t="str">
        <f>VLOOKUP(Table3[[#This Row],[ACTIVITY]],TAGS!$B:$P,5,FALSE)</f>
        <v>Production-related</v>
      </c>
      <c r="U404" s="51" t="str">
        <f>VLOOKUP(Table3[[#This Row],[ACTIVITY]],TAGS!$B:$P,6,FALSE)</f>
        <v>Tractor</v>
      </c>
      <c r="V404" s="51" t="str">
        <f>VLOOKUP(Table3[[#This Row],[ACTIVITY]],TAGS!$B:$P,7,FALSE)</f>
        <v>NO</v>
      </c>
      <c r="W404" s="51" t="str">
        <f>VLOOKUP(Table3[[#This Row],[ACTIVITY]],TAGS!$B:$P,8,FALSE)</f>
        <v>PAP</v>
      </c>
      <c r="X404" s="51" t="str">
        <f>VLOOKUP(Table3[[#This Row],[ACTIVITY]],TAGS!$B:$P,10,FALSE)</f>
        <v>PIP</v>
      </c>
      <c r="Y404" s="51" t="str">
        <f>VLOOKUP(Table3[[#This Row],[ACTIVITY]],TAGS!$B:$P,11,FALSE)</f>
        <v>PICS</v>
      </c>
      <c r="Z404" s="51" t="str">
        <f>VLOOKUP(Table3[[#This Row],[ACTIVITY]],TAGS!$B:$P,12,FALSE)</f>
        <v>Modernization</v>
      </c>
      <c r="AA404" s="51" t="str">
        <f>VLOOKUP(Table3[[#This Row],[ACTIVITY]],TAGS!$B:$P,13,FALSE)</f>
        <v>8. Farm Mechanization and Farm Investments</v>
      </c>
      <c r="AB404" s="51" t="str">
        <f>VLOOKUP(Table3[[#This Row],[ACTIVITY]],TAGS!$B:$P,14,FALSE)</f>
        <v>MECHANIZE AND MODERNIZE AGRI-FISHERY PRODUCTION SYSTEMS</v>
      </c>
      <c r="AC404" s="51" t="str">
        <f>VLOOKUP(Table3[[#This Row],[ACTIVITY]],TAGS!$B:$P,15,FALSE)</f>
        <v>Production-related</v>
      </c>
      <c r="AD404" s="51" t="str">
        <f>VLOOKUP(Table3[[#This Row],[PI LEVEL 3]],'PI LEVEL'!$A:$G,7,FALSE)</f>
        <v>DA-Level Output</v>
      </c>
      <c r="AE404" s="47" t="s">
        <v>577</v>
      </c>
      <c r="AF404" s="51" t="str">
        <f>VLOOKUP(Table3[[#This Row],[ACTIVITY]],TAGS!$B:$P,3,FALSE)</f>
        <v>number</v>
      </c>
      <c r="AG404" s="47" t="s">
        <v>336</v>
      </c>
      <c r="AH404" s="51" t="str">
        <f>VLOOKUP(Table3[[#This Row],[MONTH]],TAGS!$W$67:$Y$81,2,FALSE)</f>
        <v>4TH QTR</v>
      </c>
      <c r="AI404" s="51" t="str">
        <f>VLOOKUP(Table3[[#This Row],[MONTH]],TAGS!$W$67:$Y$81,3,FALSE)</f>
        <v>2ND SEMESTER</v>
      </c>
      <c r="AJ404" s="51">
        <f>VLOOKUP(Table3[[#This Row],[MONTH]],TAGS!$W$67:$Z$81,4,FALSE)</f>
        <v>2025</v>
      </c>
      <c r="AK404" s="47">
        <v>1</v>
      </c>
      <c r="AL404" s="51" t="str">
        <f>VLOOKUP(Table3[[#This Row],[ACTIVITY]],TAGS!$B:$R,16,FALSE)</f>
        <v>NO</v>
      </c>
      <c r="AM404" s="47"/>
      <c r="AN404" s="47">
        <v>3100</v>
      </c>
      <c r="AO404" s="57">
        <f>SUM(Table3[[#This Row],[MALE BENEFICIARIES]:[FEMALE BENEFICIARIES]])</f>
        <v>0</v>
      </c>
      <c r="AP404" s="58"/>
      <c r="AQ404" s="58"/>
      <c r="AR404" s="58"/>
      <c r="AS404" s="58">
        <v>1</v>
      </c>
      <c r="AT404" s="59" t="str">
        <f>VLOOKUP(Table3[[#This Row],[ACTIVITY]],TAGS!$B:$R,17,FALSE)</f>
        <v>YES</v>
      </c>
      <c r="AU404" s="59"/>
      <c r="AV404" s="59"/>
      <c r="AW404" s="59"/>
      <c r="AX404" s="59"/>
      <c r="AY404" s="59"/>
      <c r="AZ404" s="59"/>
      <c r="BA404" s="59"/>
      <c r="BB404" s="59"/>
      <c r="BC404" s="59"/>
      <c r="BD404" s="59"/>
      <c r="BE404" s="59"/>
      <c r="BF404" s="59"/>
      <c r="BG404" s="59"/>
      <c r="BH404" s="59"/>
      <c r="BI404" s="59"/>
      <c r="BJ404" s="59"/>
      <c r="BK404" s="59"/>
      <c r="BL404" s="59"/>
      <c r="BM404" s="59"/>
    </row>
    <row r="405" spans="1:65">
      <c r="A405" s="51" t="str">
        <f>VLOOKUP(Table3[[#This Row],[OU]],OU!$A$15:$B$34,2,FALSE)</f>
        <v>RFOs</v>
      </c>
      <c r="B405" s="47" t="s">
        <v>5</v>
      </c>
      <c r="C405" s="47" t="s">
        <v>574</v>
      </c>
      <c r="D405" s="53" t="s">
        <v>706</v>
      </c>
      <c r="E405" s="47" t="s">
        <v>70</v>
      </c>
      <c r="F405" s="47" t="s">
        <v>636</v>
      </c>
      <c r="G40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40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25704000</v>
      </c>
      <c r="I405" s="52" t="str">
        <f>VLOOKUP(Table3[[#This Row],[PSGC]],DISTRICT!$D:$G,4,FALSE)</f>
        <v>1st</v>
      </c>
      <c r="J405" s="47" t="s">
        <v>578</v>
      </c>
      <c r="K405" s="51" t="str">
        <f>VLOOKUP(Table3[[#This Row],[SPECIFIC COMMODITY]],TAGS!$W$48:$X$53,2,FALSE)</f>
        <v>Corn</v>
      </c>
      <c r="L405" s="51" t="str">
        <f>VLOOKUP(Table3[[#This Row],[PREXC SUB-PROGRAM]],Table5[],2,FALSE)</f>
        <v>AGRICULTURAL  MACHINERY, EQUIPMENT, FACILITIES AND INFRASTRUCTURE PROGRAM</v>
      </c>
      <c r="M405" s="51" t="str">
        <f>VLOOKUP(Table3[[#This Row],[COMMODITY PREXC SUB-PROGRAM]],TAGS!$U$54:$V$76,2,FALSE)</f>
        <v>AMEFSS</v>
      </c>
      <c r="N405" s="47" t="s">
        <v>594</v>
      </c>
      <c r="O405" s="54" t="str">
        <f>VLOOKUP(Table3[[#This Row],[PI LEVEL 3]],'PI LEVEL'!A:C,3,FALSE)</f>
        <v>Production machinery and equipment distributed</v>
      </c>
      <c r="P405" s="54" t="str">
        <f>VLOOKUP(Table3[[#This Row],[PI LEVEL 3]],Table53729[[Performance Indicator Level 3]:[Performance Indicator Level 1]],2,FALSE)</f>
        <v>Agricultural tractor distributed</v>
      </c>
      <c r="Q405" s="54" t="str">
        <f>VLOOKUP(Table3[[#This Row],[ACTIVITY]],TAGS!B:P,2,FALSE)</f>
        <v>Four-Wheel Tractor Distributed</v>
      </c>
      <c r="R405" s="47" t="s">
        <v>171</v>
      </c>
      <c r="S405" s="51" t="str">
        <f>VLOOKUP(Table3[[#This Row],[ACTIVITY]],TAGS!$B:$P,4,FALSE)</f>
        <v>Production related machinery &amp; equipment</v>
      </c>
      <c r="T405" s="51" t="str">
        <f>VLOOKUP(Table3[[#This Row],[ACTIVITY]],TAGS!$B:$P,5,FALSE)</f>
        <v>Production-related</v>
      </c>
      <c r="U405" s="51" t="str">
        <f>VLOOKUP(Table3[[#This Row],[ACTIVITY]],TAGS!$B:$P,6,FALSE)</f>
        <v>Tractor</v>
      </c>
      <c r="V405" s="51" t="str">
        <f>VLOOKUP(Table3[[#This Row],[ACTIVITY]],TAGS!$B:$P,7,FALSE)</f>
        <v>NO</v>
      </c>
      <c r="W405" s="51" t="str">
        <f>VLOOKUP(Table3[[#This Row],[ACTIVITY]],TAGS!$B:$P,8,FALSE)</f>
        <v>PAP</v>
      </c>
      <c r="X405" s="51" t="str">
        <f>VLOOKUP(Table3[[#This Row],[ACTIVITY]],TAGS!$B:$P,10,FALSE)</f>
        <v>PIP</v>
      </c>
      <c r="Y405" s="51" t="str">
        <f>VLOOKUP(Table3[[#This Row],[ACTIVITY]],TAGS!$B:$P,11,FALSE)</f>
        <v>PICS</v>
      </c>
      <c r="Z405" s="51" t="str">
        <f>VLOOKUP(Table3[[#This Row],[ACTIVITY]],TAGS!$B:$P,12,FALSE)</f>
        <v>Modernization</v>
      </c>
      <c r="AA405" s="51" t="str">
        <f>VLOOKUP(Table3[[#This Row],[ACTIVITY]],TAGS!$B:$P,13,FALSE)</f>
        <v>8. Farm Mechanization and Farm Investments</v>
      </c>
      <c r="AB405" s="51" t="str">
        <f>VLOOKUP(Table3[[#This Row],[ACTIVITY]],TAGS!$B:$P,14,FALSE)</f>
        <v>MECHANIZE AND MODERNIZE AGRI-FISHERY PRODUCTION SYSTEMS</v>
      </c>
      <c r="AC405" s="51" t="str">
        <f>VLOOKUP(Table3[[#This Row],[ACTIVITY]],TAGS!$B:$P,15,FALSE)</f>
        <v>Production-related</v>
      </c>
      <c r="AD405" s="51" t="str">
        <f>VLOOKUP(Table3[[#This Row],[PI LEVEL 3]],'PI LEVEL'!$A:$G,7,FALSE)</f>
        <v>DA-Level Output</v>
      </c>
      <c r="AE405" s="47" t="s">
        <v>577</v>
      </c>
      <c r="AF405" s="51" t="str">
        <f>VLOOKUP(Table3[[#This Row],[ACTIVITY]],TAGS!$B:$P,3,FALSE)</f>
        <v>number</v>
      </c>
      <c r="AG405" s="47" t="s">
        <v>336</v>
      </c>
      <c r="AH405" s="51" t="str">
        <f>VLOOKUP(Table3[[#This Row],[MONTH]],TAGS!$W$67:$Y$81,2,FALSE)</f>
        <v>4TH QTR</v>
      </c>
      <c r="AI405" s="51" t="str">
        <f>VLOOKUP(Table3[[#This Row],[MONTH]],TAGS!$W$67:$Y$81,3,FALSE)</f>
        <v>2ND SEMESTER</v>
      </c>
      <c r="AJ405" s="51">
        <f>VLOOKUP(Table3[[#This Row],[MONTH]],TAGS!$W$67:$Z$81,4,FALSE)</f>
        <v>2025</v>
      </c>
      <c r="AK405" s="47">
        <v>1</v>
      </c>
      <c r="AL405" s="51" t="str">
        <f>VLOOKUP(Table3[[#This Row],[ACTIVITY]],TAGS!$B:$R,16,FALSE)</f>
        <v>NO</v>
      </c>
      <c r="AM405" s="47"/>
      <c r="AN405" s="47">
        <v>3100</v>
      </c>
      <c r="AO405" s="57">
        <f>SUM(Table3[[#This Row],[MALE BENEFICIARIES]:[FEMALE BENEFICIARIES]])</f>
        <v>0</v>
      </c>
      <c r="AP405" s="58"/>
      <c r="AQ405" s="58"/>
      <c r="AR405" s="58"/>
      <c r="AS405" s="58">
        <v>1</v>
      </c>
      <c r="AT405" s="59" t="str">
        <f>VLOOKUP(Table3[[#This Row],[ACTIVITY]],TAGS!$B:$R,17,FALSE)</f>
        <v>YES</v>
      </c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  <c r="BF405" s="59"/>
      <c r="BG405" s="59"/>
      <c r="BH405" s="59"/>
      <c r="BI405" s="59"/>
      <c r="BJ405" s="59"/>
      <c r="BK405" s="59"/>
      <c r="BL405" s="59"/>
      <c r="BM405" s="59"/>
    </row>
    <row r="406" spans="1:65">
      <c r="A406" s="51" t="str">
        <f>VLOOKUP(Table3[[#This Row],[OU]],OU!$A$15:$B$34,2,FALSE)</f>
        <v>RFOs</v>
      </c>
      <c r="B406" s="47" t="s">
        <v>5</v>
      </c>
      <c r="C406" s="47" t="s">
        <v>574</v>
      </c>
      <c r="D406" s="53" t="s">
        <v>707</v>
      </c>
      <c r="E406" s="47" t="s">
        <v>43</v>
      </c>
      <c r="F406" s="47" t="s">
        <v>677</v>
      </c>
      <c r="G40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5th District</v>
      </c>
      <c r="H40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23103000</v>
      </c>
      <c r="I406" s="52" t="str">
        <f>VLOOKUP(Table3[[#This Row],[PSGC]],DISTRICT!$D:$G,4,FALSE)</f>
        <v>3rd</v>
      </c>
      <c r="J406" s="47" t="s">
        <v>578</v>
      </c>
      <c r="K406" s="51" t="str">
        <f>VLOOKUP(Table3[[#This Row],[SPECIFIC COMMODITY]],TAGS!$W$48:$X$53,2,FALSE)</f>
        <v>Corn</v>
      </c>
      <c r="L406" s="51" t="str">
        <f>VLOOKUP(Table3[[#This Row],[PREXC SUB-PROGRAM]],Table5[],2,FALSE)</f>
        <v>AGRICULTURAL  MACHINERY, EQUIPMENT, FACILITIES AND INFRASTRUCTURE PROGRAM</v>
      </c>
      <c r="M406" s="51" t="str">
        <f>VLOOKUP(Table3[[#This Row],[COMMODITY PREXC SUB-PROGRAM]],TAGS!$U$54:$V$76,2,FALSE)</f>
        <v>AMEFSS</v>
      </c>
      <c r="N406" s="47" t="s">
        <v>594</v>
      </c>
      <c r="O406" s="54" t="str">
        <f>VLOOKUP(Table3[[#This Row],[PI LEVEL 3]],'PI LEVEL'!A:C,3,FALSE)</f>
        <v>Production machinery and equipment distributed</v>
      </c>
      <c r="P406" s="54" t="str">
        <f>VLOOKUP(Table3[[#This Row],[PI LEVEL 3]],Table53729[[Performance Indicator Level 3]:[Performance Indicator Level 1]],2,FALSE)</f>
        <v>Agricultural tractor distributed</v>
      </c>
      <c r="Q406" s="54" t="str">
        <f>VLOOKUP(Table3[[#This Row],[ACTIVITY]],TAGS!B:P,2,FALSE)</f>
        <v>Four-Wheel Tractor Distributed</v>
      </c>
      <c r="R406" s="47" t="s">
        <v>171</v>
      </c>
      <c r="S406" s="51" t="str">
        <f>VLOOKUP(Table3[[#This Row],[ACTIVITY]],TAGS!$B:$P,4,FALSE)</f>
        <v>Production related machinery &amp; equipment</v>
      </c>
      <c r="T406" s="51" t="str">
        <f>VLOOKUP(Table3[[#This Row],[ACTIVITY]],TAGS!$B:$P,5,FALSE)</f>
        <v>Production-related</v>
      </c>
      <c r="U406" s="51" t="str">
        <f>VLOOKUP(Table3[[#This Row],[ACTIVITY]],TAGS!$B:$P,6,FALSE)</f>
        <v>Tractor</v>
      </c>
      <c r="V406" s="51" t="str">
        <f>VLOOKUP(Table3[[#This Row],[ACTIVITY]],TAGS!$B:$P,7,FALSE)</f>
        <v>NO</v>
      </c>
      <c r="W406" s="51" t="str">
        <f>VLOOKUP(Table3[[#This Row],[ACTIVITY]],TAGS!$B:$P,8,FALSE)</f>
        <v>PAP</v>
      </c>
      <c r="X406" s="51" t="str">
        <f>VLOOKUP(Table3[[#This Row],[ACTIVITY]],TAGS!$B:$P,10,FALSE)</f>
        <v>PIP</v>
      </c>
      <c r="Y406" s="51" t="str">
        <f>VLOOKUP(Table3[[#This Row],[ACTIVITY]],TAGS!$B:$P,11,FALSE)</f>
        <v>PICS</v>
      </c>
      <c r="Z406" s="51" t="str">
        <f>VLOOKUP(Table3[[#This Row],[ACTIVITY]],TAGS!$B:$P,12,FALSE)</f>
        <v>Modernization</v>
      </c>
      <c r="AA406" s="51" t="str">
        <f>VLOOKUP(Table3[[#This Row],[ACTIVITY]],TAGS!$B:$P,13,FALSE)</f>
        <v>8. Farm Mechanization and Farm Investments</v>
      </c>
      <c r="AB406" s="51" t="str">
        <f>VLOOKUP(Table3[[#This Row],[ACTIVITY]],TAGS!$B:$P,14,FALSE)</f>
        <v>MECHANIZE AND MODERNIZE AGRI-FISHERY PRODUCTION SYSTEMS</v>
      </c>
      <c r="AC406" s="51" t="str">
        <f>VLOOKUP(Table3[[#This Row],[ACTIVITY]],TAGS!$B:$P,15,FALSE)</f>
        <v>Production-related</v>
      </c>
      <c r="AD406" s="51" t="str">
        <f>VLOOKUP(Table3[[#This Row],[PI LEVEL 3]],'PI LEVEL'!$A:$G,7,FALSE)</f>
        <v>DA-Level Output</v>
      </c>
      <c r="AE406" s="47" t="s">
        <v>577</v>
      </c>
      <c r="AF406" s="51" t="str">
        <f>VLOOKUP(Table3[[#This Row],[ACTIVITY]],TAGS!$B:$P,3,FALSE)</f>
        <v>number</v>
      </c>
      <c r="AG406" s="47" t="s">
        <v>336</v>
      </c>
      <c r="AH406" s="51" t="str">
        <f>VLOOKUP(Table3[[#This Row],[MONTH]],TAGS!$W$67:$Y$81,2,FALSE)</f>
        <v>4TH QTR</v>
      </c>
      <c r="AI406" s="51" t="str">
        <f>VLOOKUP(Table3[[#This Row],[MONTH]],TAGS!$W$67:$Y$81,3,FALSE)</f>
        <v>2ND SEMESTER</v>
      </c>
      <c r="AJ406" s="51">
        <f>VLOOKUP(Table3[[#This Row],[MONTH]],TAGS!$W$67:$Z$81,4,FALSE)</f>
        <v>2025</v>
      </c>
      <c r="AK406" s="47">
        <v>1</v>
      </c>
      <c r="AL406" s="51" t="str">
        <f>VLOOKUP(Table3[[#This Row],[ACTIVITY]],TAGS!$B:$R,16,FALSE)</f>
        <v>NO</v>
      </c>
      <c r="AM406" s="47"/>
      <c r="AN406" s="47">
        <v>5000</v>
      </c>
      <c r="AO406" s="57">
        <f>SUM(Table3[[#This Row],[MALE BENEFICIARIES]:[FEMALE BENEFICIARIES]])</f>
        <v>0</v>
      </c>
      <c r="AP406" s="58"/>
      <c r="AQ406" s="58"/>
      <c r="AR406" s="58"/>
      <c r="AS406" s="58">
        <v>1</v>
      </c>
      <c r="AT406" s="59" t="str">
        <f>VLOOKUP(Table3[[#This Row],[ACTIVITY]],TAGS!$B:$R,17,FALSE)</f>
        <v>YES</v>
      </c>
      <c r="AU406" s="59"/>
      <c r="AV406" s="59"/>
      <c r="AW406" s="59"/>
      <c r="AX406" s="59"/>
      <c r="AY406" s="59"/>
      <c r="AZ406" s="59"/>
      <c r="BA406" s="59"/>
      <c r="BB406" s="59"/>
      <c r="BC406" s="59"/>
      <c r="BD406" s="59"/>
      <c r="BE406" s="59"/>
      <c r="BF406" s="59"/>
      <c r="BG406" s="59"/>
      <c r="BH406" s="59"/>
      <c r="BI406" s="59"/>
      <c r="BJ406" s="59"/>
      <c r="BK406" s="59"/>
      <c r="BL406" s="59"/>
      <c r="BM406" s="59"/>
    </row>
    <row r="407" spans="1:65">
      <c r="A407" s="51" t="str">
        <f>VLOOKUP(Table3[[#This Row],[OU]],OU!$A$15:$B$34,2,FALSE)</f>
        <v>RFOs</v>
      </c>
      <c r="B407" s="47" t="s">
        <v>5</v>
      </c>
      <c r="C407" s="47" t="s">
        <v>574</v>
      </c>
      <c r="D407" s="53" t="s">
        <v>638</v>
      </c>
      <c r="E407" s="47" t="s">
        <v>22</v>
      </c>
      <c r="F407" s="47" t="s">
        <v>639</v>
      </c>
      <c r="G40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40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21513000</v>
      </c>
      <c r="I407" s="52" t="str">
        <f>VLOOKUP(Table3[[#This Row],[PSGC]],DISTRICT!$D:$G,4,FALSE)</f>
        <v>1st</v>
      </c>
      <c r="J407" s="47" t="s">
        <v>578</v>
      </c>
      <c r="K407" s="51" t="str">
        <f>VLOOKUP(Table3[[#This Row],[SPECIFIC COMMODITY]],TAGS!$W$48:$X$53,2,FALSE)</f>
        <v>Corn</v>
      </c>
      <c r="L407" s="51" t="str">
        <f>VLOOKUP(Table3[[#This Row],[PREXC SUB-PROGRAM]],Table5[],2,FALSE)</f>
        <v>AGRICULTURAL  MACHINERY, EQUIPMENT, FACILITIES AND INFRASTRUCTURE PROGRAM</v>
      </c>
      <c r="M407" s="51" t="str">
        <f>VLOOKUP(Table3[[#This Row],[COMMODITY PREXC SUB-PROGRAM]],TAGS!$U$54:$V$76,2,FALSE)</f>
        <v>AMEFSS</v>
      </c>
      <c r="N407" s="47" t="s">
        <v>594</v>
      </c>
      <c r="O407" s="54" t="str">
        <f>VLOOKUP(Table3[[#This Row],[PI LEVEL 3]],'PI LEVEL'!A:C,3,FALSE)</f>
        <v>Production machinery and equipment distributed</v>
      </c>
      <c r="P407" s="54" t="str">
        <f>VLOOKUP(Table3[[#This Row],[PI LEVEL 3]],Table53729[[Performance Indicator Level 3]:[Performance Indicator Level 1]],2,FALSE)</f>
        <v>Seeding machinery and equipment distributed</v>
      </c>
      <c r="Q407" s="54" t="str">
        <f>VLOOKUP(Table3[[#This Row],[ACTIVITY]],TAGS!B:P,2,FALSE)</f>
        <v>Seeder distributed</v>
      </c>
      <c r="R407" s="47" t="s">
        <v>173</v>
      </c>
      <c r="S407" s="51" t="str">
        <f>VLOOKUP(Table3[[#This Row],[ACTIVITY]],TAGS!$B:$P,4,FALSE)</f>
        <v>Production related machinery &amp; equipment</v>
      </c>
      <c r="T407" s="51" t="str">
        <f>VLOOKUP(Table3[[#This Row],[ACTIVITY]],TAGS!$B:$P,5,FALSE)</f>
        <v>Production-related</v>
      </c>
      <c r="U407" s="51" t="str">
        <f>VLOOKUP(Table3[[#This Row],[ACTIVITY]],TAGS!$B:$P,6,FALSE)</f>
        <v>Corn Seeder</v>
      </c>
      <c r="V407" s="51" t="str">
        <f>VLOOKUP(Table3[[#This Row],[ACTIVITY]],TAGS!$B:$P,7,FALSE)</f>
        <v>NO</v>
      </c>
      <c r="W407" s="51" t="str">
        <f>VLOOKUP(Table3[[#This Row],[ACTIVITY]],TAGS!$B:$P,8,FALSE)</f>
        <v>PAP</v>
      </c>
      <c r="X407" s="51" t="str">
        <f>VLOOKUP(Table3[[#This Row],[ACTIVITY]],TAGS!$B:$P,10,FALSE)</f>
        <v>PIP</v>
      </c>
      <c r="Y407" s="51" t="str">
        <f>VLOOKUP(Table3[[#This Row],[ACTIVITY]],TAGS!$B:$P,11,FALSE)</f>
        <v>PICS</v>
      </c>
      <c r="Z407" s="51" t="str">
        <f>VLOOKUP(Table3[[#This Row],[ACTIVITY]],TAGS!$B:$P,12,FALSE)</f>
        <v>Modernization</v>
      </c>
      <c r="AA407" s="51" t="str">
        <f>VLOOKUP(Table3[[#This Row],[ACTIVITY]],TAGS!$B:$P,13,FALSE)</f>
        <v>8. Farm Mechanization and Farm Investments</v>
      </c>
      <c r="AB407" s="51" t="str">
        <f>VLOOKUP(Table3[[#This Row],[ACTIVITY]],TAGS!$B:$P,14,FALSE)</f>
        <v>MECHANIZE AND MODERNIZE AGRI-FISHERY PRODUCTION SYSTEMS</v>
      </c>
      <c r="AC407" s="51" t="str">
        <f>VLOOKUP(Table3[[#This Row],[ACTIVITY]],TAGS!$B:$P,15,FALSE)</f>
        <v>Production-related</v>
      </c>
      <c r="AD407" s="51" t="str">
        <f>VLOOKUP(Table3[[#This Row],[PI LEVEL 3]],'PI LEVEL'!$A:$G,7,FALSE)</f>
        <v>DA-Level Output</v>
      </c>
      <c r="AE407" s="47" t="s">
        <v>577</v>
      </c>
      <c r="AF407" s="51" t="str">
        <f>VLOOKUP(Table3[[#This Row],[ACTIVITY]],TAGS!$B:$P,3,FALSE)</f>
        <v>number</v>
      </c>
      <c r="AG407" s="47" t="s">
        <v>335</v>
      </c>
      <c r="AH407" s="51" t="str">
        <f>VLOOKUP(Table3[[#This Row],[MONTH]],TAGS!$W$67:$Y$81,2,FALSE)</f>
        <v>3RD QTR</v>
      </c>
      <c r="AI407" s="51" t="str">
        <f>VLOOKUP(Table3[[#This Row],[MONTH]],TAGS!$W$67:$Y$81,3,FALSE)</f>
        <v>2ND SEMESTER</v>
      </c>
      <c r="AJ407" s="51">
        <f>VLOOKUP(Table3[[#This Row],[MONTH]],TAGS!$W$67:$Z$81,4,FALSE)</f>
        <v>2025</v>
      </c>
      <c r="AK407" s="47">
        <v>1</v>
      </c>
      <c r="AL407" s="51" t="str">
        <f>VLOOKUP(Table3[[#This Row],[ACTIVITY]],TAGS!$B:$R,16,FALSE)</f>
        <v>NO</v>
      </c>
      <c r="AM407" s="47"/>
      <c r="AN407" s="47">
        <v>800</v>
      </c>
      <c r="AO407" s="57">
        <f>SUM(Table3[[#This Row],[MALE BENEFICIARIES]:[FEMALE BENEFICIARIES]])</f>
        <v>0</v>
      </c>
      <c r="AP407" s="58"/>
      <c r="AQ407" s="58"/>
      <c r="AR407" s="58"/>
      <c r="AS407" s="58">
        <v>1</v>
      </c>
      <c r="AT407" s="59" t="str">
        <f>VLOOKUP(Table3[[#This Row],[ACTIVITY]],TAGS!$B:$R,17,FALSE)</f>
        <v>YES</v>
      </c>
      <c r="AU407" s="59"/>
      <c r="AV407" s="59"/>
      <c r="AW407" s="59"/>
      <c r="AX407" s="59"/>
      <c r="AY407" s="59"/>
      <c r="AZ407" s="59"/>
      <c r="BA407" s="59"/>
      <c r="BB407" s="59"/>
      <c r="BC407" s="59"/>
      <c r="BD407" s="59"/>
      <c r="BE407" s="59"/>
      <c r="BF407" s="59"/>
      <c r="BG407" s="59"/>
      <c r="BH407" s="59"/>
      <c r="BI407" s="59"/>
      <c r="BJ407" s="59"/>
      <c r="BK407" s="59"/>
      <c r="BL407" s="59"/>
      <c r="BM407" s="59"/>
    </row>
    <row r="408" spans="1:65">
      <c r="A408" s="51" t="str">
        <f>VLOOKUP(Table3[[#This Row],[OU]],OU!$A$15:$B$34,2,FALSE)</f>
        <v>RFOs</v>
      </c>
      <c r="B408" s="47" t="s">
        <v>5</v>
      </c>
      <c r="C408" s="47" t="s">
        <v>574</v>
      </c>
      <c r="D408" s="53" t="s">
        <v>701</v>
      </c>
      <c r="E408" s="47" t="s">
        <v>43</v>
      </c>
      <c r="F408" s="47" t="s">
        <v>630</v>
      </c>
      <c r="G40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0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23114000</v>
      </c>
      <c r="I408" s="52" t="str">
        <f>VLOOKUP(Table3[[#This Row],[PSGC]],DISTRICT!$D:$G,4,FALSE)</f>
        <v>1st</v>
      </c>
      <c r="J408" s="47" t="s">
        <v>578</v>
      </c>
      <c r="K408" s="51" t="str">
        <f>VLOOKUP(Table3[[#This Row],[SPECIFIC COMMODITY]],TAGS!$W$48:$X$53,2,FALSE)</f>
        <v>Corn</v>
      </c>
      <c r="L408" s="51" t="str">
        <f>VLOOKUP(Table3[[#This Row],[PREXC SUB-PROGRAM]],Table5[],2,FALSE)</f>
        <v>AGRICULTURAL  MACHINERY, EQUIPMENT, FACILITIES AND INFRASTRUCTURE PROGRAM</v>
      </c>
      <c r="M408" s="51" t="str">
        <f>VLOOKUP(Table3[[#This Row],[COMMODITY PREXC SUB-PROGRAM]],TAGS!$U$54:$V$76,2,FALSE)</f>
        <v>AMEFSS</v>
      </c>
      <c r="N408" s="47" t="s">
        <v>594</v>
      </c>
      <c r="O408" s="54" t="str">
        <f>VLOOKUP(Table3[[#This Row],[PI LEVEL 3]],'PI LEVEL'!A:C,3,FALSE)</f>
        <v>Production machinery and equipment distributed</v>
      </c>
      <c r="P408" s="54" t="str">
        <f>VLOOKUP(Table3[[#This Row],[PI LEVEL 3]],Table53729[[Performance Indicator Level 3]:[Performance Indicator Level 1]],2,FALSE)</f>
        <v>Seeding machinery and equipment distributed</v>
      </c>
      <c r="Q408" s="54" t="str">
        <f>VLOOKUP(Table3[[#This Row],[ACTIVITY]],TAGS!B:P,2,FALSE)</f>
        <v>Seeder distributed</v>
      </c>
      <c r="R408" s="47" t="s">
        <v>173</v>
      </c>
      <c r="S408" s="51" t="str">
        <f>VLOOKUP(Table3[[#This Row],[ACTIVITY]],TAGS!$B:$P,4,FALSE)</f>
        <v>Production related machinery &amp; equipment</v>
      </c>
      <c r="T408" s="51" t="str">
        <f>VLOOKUP(Table3[[#This Row],[ACTIVITY]],TAGS!$B:$P,5,FALSE)</f>
        <v>Production-related</v>
      </c>
      <c r="U408" s="51" t="str">
        <f>VLOOKUP(Table3[[#This Row],[ACTIVITY]],TAGS!$B:$P,6,FALSE)</f>
        <v>Corn Seeder</v>
      </c>
      <c r="V408" s="51" t="str">
        <f>VLOOKUP(Table3[[#This Row],[ACTIVITY]],TAGS!$B:$P,7,FALSE)</f>
        <v>NO</v>
      </c>
      <c r="W408" s="51" t="str">
        <f>VLOOKUP(Table3[[#This Row],[ACTIVITY]],TAGS!$B:$P,8,FALSE)</f>
        <v>PAP</v>
      </c>
      <c r="X408" s="51" t="str">
        <f>VLOOKUP(Table3[[#This Row],[ACTIVITY]],TAGS!$B:$P,10,FALSE)</f>
        <v>PIP</v>
      </c>
      <c r="Y408" s="51" t="str">
        <f>VLOOKUP(Table3[[#This Row],[ACTIVITY]],TAGS!$B:$P,11,FALSE)</f>
        <v>PICS</v>
      </c>
      <c r="Z408" s="51" t="str">
        <f>VLOOKUP(Table3[[#This Row],[ACTIVITY]],TAGS!$B:$P,12,FALSE)</f>
        <v>Modernization</v>
      </c>
      <c r="AA408" s="51" t="str">
        <f>VLOOKUP(Table3[[#This Row],[ACTIVITY]],TAGS!$B:$P,13,FALSE)</f>
        <v>8. Farm Mechanization and Farm Investments</v>
      </c>
      <c r="AB408" s="51" t="str">
        <f>VLOOKUP(Table3[[#This Row],[ACTIVITY]],TAGS!$B:$P,14,FALSE)</f>
        <v>MECHANIZE AND MODERNIZE AGRI-FISHERY PRODUCTION SYSTEMS</v>
      </c>
      <c r="AC408" s="51" t="str">
        <f>VLOOKUP(Table3[[#This Row],[ACTIVITY]],TAGS!$B:$P,15,FALSE)</f>
        <v>Production-related</v>
      </c>
      <c r="AD408" s="51" t="str">
        <f>VLOOKUP(Table3[[#This Row],[PI LEVEL 3]],'PI LEVEL'!$A:$G,7,FALSE)</f>
        <v>DA-Level Output</v>
      </c>
      <c r="AE408" s="47" t="s">
        <v>577</v>
      </c>
      <c r="AF408" s="51" t="str">
        <f>VLOOKUP(Table3[[#This Row],[ACTIVITY]],TAGS!$B:$P,3,FALSE)</f>
        <v>number</v>
      </c>
      <c r="AG408" s="47" t="s">
        <v>335</v>
      </c>
      <c r="AH408" s="51" t="str">
        <f>VLOOKUP(Table3[[#This Row],[MONTH]],TAGS!$W$67:$Y$81,2,FALSE)</f>
        <v>3RD QTR</v>
      </c>
      <c r="AI408" s="51" t="str">
        <f>VLOOKUP(Table3[[#This Row],[MONTH]],TAGS!$W$67:$Y$81,3,FALSE)</f>
        <v>2ND SEMESTER</v>
      </c>
      <c r="AJ408" s="51">
        <f>VLOOKUP(Table3[[#This Row],[MONTH]],TAGS!$W$67:$Z$81,4,FALSE)</f>
        <v>2025</v>
      </c>
      <c r="AK408" s="47">
        <v>1</v>
      </c>
      <c r="AL408" s="51" t="str">
        <f>VLOOKUP(Table3[[#This Row],[ACTIVITY]],TAGS!$B:$R,16,FALSE)</f>
        <v>NO</v>
      </c>
      <c r="AM408" s="47"/>
      <c r="AN408" s="47">
        <v>800</v>
      </c>
      <c r="AO408" s="57">
        <f>SUM(Table3[[#This Row],[MALE BENEFICIARIES]:[FEMALE BENEFICIARIES]])</f>
        <v>0</v>
      </c>
      <c r="AP408" s="58"/>
      <c r="AQ408" s="58"/>
      <c r="AR408" s="58"/>
      <c r="AS408" s="58">
        <v>1</v>
      </c>
      <c r="AT408" s="59" t="str">
        <f>VLOOKUP(Table3[[#This Row],[ACTIVITY]],TAGS!$B:$R,17,FALSE)</f>
        <v>YES</v>
      </c>
      <c r="AU408" s="59"/>
      <c r="AV408" s="59"/>
      <c r="AW408" s="59"/>
      <c r="AX408" s="59"/>
      <c r="AY408" s="59"/>
      <c r="AZ408" s="59"/>
      <c r="BA408" s="59"/>
      <c r="BB408" s="59"/>
      <c r="BC408" s="59"/>
      <c r="BD408" s="59"/>
      <c r="BE408" s="59"/>
      <c r="BF408" s="59"/>
      <c r="BG408" s="59"/>
      <c r="BH408" s="59"/>
      <c r="BI408" s="59"/>
      <c r="BJ408" s="59"/>
      <c r="BK408" s="59"/>
      <c r="BL408" s="59"/>
      <c r="BM408" s="59"/>
    </row>
    <row r="409" spans="1:65">
      <c r="A409" s="51" t="str">
        <f>VLOOKUP(Table3[[#This Row],[OU]],OU!$A$15:$B$34,2,FALSE)</f>
        <v>RFOs</v>
      </c>
      <c r="B409" s="47" t="s">
        <v>5</v>
      </c>
      <c r="C409" s="47" t="s">
        <v>574</v>
      </c>
      <c r="D409" s="53" t="s">
        <v>706</v>
      </c>
      <c r="E409" s="47" t="s">
        <v>70</v>
      </c>
      <c r="F409" s="47" t="s">
        <v>636</v>
      </c>
      <c r="G40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40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25704000</v>
      </c>
      <c r="I409" s="52" t="str">
        <f>VLOOKUP(Table3[[#This Row],[PSGC]],DISTRICT!$D:$G,4,FALSE)</f>
        <v>1st</v>
      </c>
      <c r="J409" s="47" t="s">
        <v>578</v>
      </c>
      <c r="K409" s="51" t="str">
        <f>VLOOKUP(Table3[[#This Row],[SPECIFIC COMMODITY]],TAGS!$W$48:$X$53,2,FALSE)</f>
        <v>Corn</v>
      </c>
      <c r="L409" s="51" t="str">
        <f>VLOOKUP(Table3[[#This Row],[PREXC SUB-PROGRAM]],Table5[],2,FALSE)</f>
        <v>AGRICULTURAL  MACHINERY, EQUIPMENT, FACILITIES AND INFRASTRUCTURE PROGRAM</v>
      </c>
      <c r="M409" s="51" t="str">
        <f>VLOOKUP(Table3[[#This Row],[COMMODITY PREXC SUB-PROGRAM]],TAGS!$U$54:$V$76,2,FALSE)</f>
        <v>AMEFSS</v>
      </c>
      <c r="N409" s="47" t="s">
        <v>594</v>
      </c>
      <c r="O409" s="54" t="str">
        <f>VLOOKUP(Table3[[#This Row],[PI LEVEL 3]],'PI LEVEL'!A:C,3,FALSE)</f>
        <v>Production machinery and equipment distributed</v>
      </c>
      <c r="P409" s="54" t="str">
        <f>VLOOKUP(Table3[[#This Row],[PI LEVEL 3]],Table53729[[Performance Indicator Level 3]:[Performance Indicator Level 1]],2,FALSE)</f>
        <v>Seeding machinery and equipment distributed</v>
      </c>
      <c r="Q409" s="54" t="str">
        <f>VLOOKUP(Table3[[#This Row],[ACTIVITY]],TAGS!B:P,2,FALSE)</f>
        <v>Seeder distributed</v>
      </c>
      <c r="R409" s="47" t="s">
        <v>173</v>
      </c>
      <c r="S409" s="51" t="str">
        <f>VLOOKUP(Table3[[#This Row],[ACTIVITY]],TAGS!$B:$P,4,FALSE)</f>
        <v>Production related machinery &amp; equipment</v>
      </c>
      <c r="T409" s="51" t="str">
        <f>VLOOKUP(Table3[[#This Row],[ACTIVITY]],TAGS!$B:$P,5,FALSE)</f>
        <v>Production-related</v>
      </c>
      <c r="U409" s="51" t="str">
        <f>VLOOKUP(Table3[[#This Row],[ACTIVITY]],TAGS!$B:$P,6,FALSE)</f>
        <v>Corn Seeder</v>
      </c>
      <c r="V409" s="51" t="str">
        <f>VLOOKUP(Table3[[#This Row],[ACTIVITY]],TAGS!$B:$P,7,FALSE)</f>
        <v>NO</v>
      </c>
      <c r="W409" s="51" t="str">
        <f>VLOOKUP(Table3[[#This Row],[ACTIVITY]],TAGS!$B:$P,8,FALSE)</f>
        <v>PAP</v>
      </c>
      <c r="X409" s="51" t="str">
        <f>VLOOKUP(Table3[[#This Row],[ACTIVITY]],TAGS!$B:$P,10,FALSE)</f>
        <v>PIP</v>
      </c>
      <c r="Y409" s="51" t="str">
        <f>VLOOKUP(Table3[[#This Row],[ACTIVITY]],TAGS!$B:$P,11,FALSE)</f>
        <v>PICS</v>
      </c>
      <c r="Z409" s="51" t="str">
        <f>VLOOKUP(Table3[[#This Row],[ACTIVITY]],TAGS!$B:$P,12,FALSE)</f>
        <v>Modernization</v>
      </c>
      <c r="AA409" s="51" t="str">
        <f>VLOOKUP(Table3[[#This Row],[ACTIVITY]],TAGS!$B:$P,13,FALSE)</f>
        <v>8. Farm Mechanization and Farm Investments</v>
      </c>
      <c r="AB409" s="51" t="str">
        <f>VLOOKUP(Table3[[#This Row],[ACTIVITY]],TAGS!$B:$P,14,FALSE)</f>
        <v>MECHANIZE AND MODERNIZE AGRI-FISHERY PRODUCTION SYSTEMS</v>
      </c>
      <c r="AC409" s="51" t="str">
        <f>VLOOKUP(Table3[[#This Row],[ACTIVITY]],TAGS!$B:$P,15,FALSE)</f>
        <v>Production-related</v>
      </c>
      <c r="AD409" s="51" t="str">
        <f>VLOOKUP(Table3[[#This Row],[PI LEVEL 3]],'PI LEVEL'!$A:$G,7,FALSE)</f>
        <v>DA-Level Output</v>
      </c>
      <c r="AE409" s="47" t="s">
        <v>577</v>
      </c>
      <c r="AF409" s="51" t="str">
        <f>VLOOKUP(Table3[[#This Row],[ACTIVITY]],TAGS!$B:$P,3,FALSE)</f>
        <v>number</v>
      </c>
      <c r="AG409" s="47" t="s">
        <v>335</v>
      </c>
      <c r="AH409" s="51" t="str">
        <f>VLOOKUP(Table3[[#This Row],[MONTH]],TAGS!$W$67:$Y$81,2,FALSE)</f>
        <v>3RD QTR</v>
      </c>
      <c r="AI409" s="51" t="str">
        <f>VLOOKUP(Table3[[#This Row],[MONTH]],TAGS!$W$67:$Y$81,3,FALSE)</f>
        <v>2ND SEMESTER</v>
      </c>
      <c r="AJ409" s="51">
        <f>VLOOKUP(Table3[[#This Row],[MONTH]],TAGS!$W$67:$Z$81,4,FALSE)</f>
        <v>2025</v>
      </c>
      <c r="AK409" s="47">
        <v>1</v>
      </c>
      <c r="AL409" s="51" t="str">
        <f>VLOOKUP(Table3[[#This Row],[ACTIVITY]],TAGS!$B:$R,16,FALSE)</f>
        <v>NO</v>
      </c>
      <c r="AM409" s="47"/>
      <c r="AN409" s="47">
        <v>800</v>
      </c>
      <c r="AO409" s="57">
        <f>SUM(Table3[[#This Row],[MALE BENEFICIARIES]:[FEMALE BENEFICIARIES]])</f>
        <v>0</v>
      </c>
      <c r="AP409" s="58"/>
      <c r="AQ409" s="58"/>
      <c r="AR409" s="58"/>
      <c r="AS409" s="58">
        <v>1</v>
      </c>
      <c r="AT409" s="59" t="str">
        <f>VLOOKUP(Table3[[#This Row],[ACTIVITY]],TAGS!$B:$R,17,FALSE)</f>
        <v>YES</v>
      </c>
      <c r="AU409" s="59"/>
      <c r="AV409" s="59"/>
      <c r="AW409" s="59"/>
      <c r="AX409" s="59"/>
      <c r="AY409" s="59"/>
      <c r="AZ409" s="59"/>
      <c r="BA409" s="59"/>
      <c r="BB409" s="59"/>
      <c r="BC409" s="59"/>
      <c r="BD409" s="59"/>
      <c r="BE409" s="59"/>
      <c r="BF409" s="59"/>
      <c r="BG409" s="59"/>
      <c r="BH409" s="59"/>
      <c r="BI409" s="59"/>
      <c r="BJ409" s="59"/>
      <c r="BK409" s="59"/>
      <c r="BL409" s="59"/>
      <c r="BM409" s="59"/>
    </row>
    <row r="410" spans="1:65">
      <c r="A410" s="51" t="str">
        <f>VLOOKUP(Table3[[#This Row],[OU]],OU!$A$15:$B$34,2,FALSE)</f>
        <v>RFOs</v>
      </c>
      <c r="B410" s="47" t="s">
        <v>5</v>
      </c>
      <c r="C410" s="47" t="s">
        <v>574</v>
      </c>
      <c r="D410" s="53" t="s">
        <v>708</v>
      </c>
      <c r="E410" s="47" t="s">
        <v>22</v>
      </c>
      <c r="F410" s="47" t="s">
        <v>644</v>
      </c>
      <c r="G41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41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21506000</v>
      </c>
      <c r="I410" s="52" t="str">
        <f>VLOOKUP(Table3[[#This Row],[PSGC]],DISTRICT!$D:$G,4,FALSE)</f>
        <v>1st</v>
      </c>
      <c r="J410" s="47" t="s">
        <v>578</v>
      </c>
      <c r="K410" s="51" t="str">
        <f>VLOOKUP(Table3[[#This Row],[SPECIFIC COMMODITY]],TAGS!$W$48:$X$53,2,FALSE)</f>
        <v>Corn</v>
      </c>
      <c r="L410" s="51" t="str">
        <f>VLOOKUP(Table3[[#This Row],[PREXC SUB-PROGRAM]],Table5[],2,FALSE)</f>
        <v>AGRICULTURAL  MACHINERY, EQUIPMENT, FACILITIES AND INFRASTRUCTURE PROGRAM</v>
      </c>
      <c r="M410" s="51" t="str">
        <f>VLOOKUP(Table3[[#This Row],[COMMODITY PREXC SUB-PROGRAM]],TAGS!$U$54:$V$76,2,FALSE)</f>
        <v>AMEFSS</v>
      </c>
      <c r="N410" s="47" t="s">
        <v>594</v>
      </c>
      <c r="O410" s="54" t="str">
        <f>VLOOKUP(Table3[[#This Row],[PI LEVEL 3]],'PI LEVEL'!A:C,3,FALSE)</f>
        <v>Production machinery and equipment distributed</v>
      </c>
      <c r="P410" s="54" t="str">
        <f>VLOOKUP(Table3[[#This Row],[PI LEVEL 3]],Table53729[[Performance Indicator Level 3]:[Performance Indicator Level 1]],2,FALSE)</f>
        <v>Seeding machinery and equipment distributed</v>
      </c>
      <c r="Q410" s="54" t="str">
        <f>VLOOKUP(Table3[[#This Row],[ACTIVITY]],TAGS!B:P,2,FALSE)</f>
        <v>Seeder distributed</v>
      </c>
      <c r="R410" s="47" t="s">
        <v>175</v>
      </c>
      <c r="S410" s="51" t="str">
        <f>VLOOKUP(Table3[[#This Row],[ACTIVITY]],TAGS!$B:$P,4,FALSE)</f>
        <v>Production related machinery &amp; equipment</v>
      </c>
      <c r="T410" s="51" t="str">
        <f>VLOOKUP(Table3[[#This Row],[ACTIVITY]],TAGS!$B:$P,5,FALSE)</f>
        <v>Production-related</v>
      </c>
      <c r="U410" s="51" t="str">
        <f>VLOOKUP(Table3[[#This Row],[ACTIVITY]],TAGS!$B:$P,6,FALSE)</f>
        <v>Corn Seeder</v>
      </c>
      <c r="V410" s="51" t="str">
        <f>VLOOKUP(Table3[[#This Row],[ACTIVITY]],TAGS!$B:$P,7,FALSE)</f>
        <v>NO</v>
      </c>
      <c r="W410" s="51" t="str">
        <f>VLOOKUP(Table3[[#This Row],[ACTIVITY]],TAGS!$B:$P,8,FALSE)</f>
        <v>PAP</v>
      </c>
      <c r="X410" s="51" t="str">
        <f>VLOOKUP(Table3[[#This Row],[ACTIVITY]],TAGS!$B:$P,10,FALSE)</f>
        <v>PIP</v>
      </c>
      <c r="Y410" s="51" t="str">
        <f>VLOOKUP(Table3[[#This Row],[ACTIVITY]],TAGS!$B:$P,11,FALSE)</f>
        <v>PICS</v>
      </c>
      <c r="Z410" s="51" t="str">
        <f>VLOOKUP(Table3[[#This Row],[ACTIVITY]],TAGS!$B:$P,12,FALSE)</f>
        <v>Modernization</v>
      </c>
      <c r="AA410" s="51" t="str">
        <f>VLOOKUP(Table3[[#This Row],[ACTIVITY]],TAGS!$B:$P,13,FALSE)</f>
        <v>8. Farm Mechanization and Farm Investments</v>
      </c>
      <c r="AB410" s="51" t="str">
        <f>VLOOKUP(Table3[[#This Row],[ACTIVITY]],TAGS!$B:$P,14,FALSE)</f>
        <v>MECHANIZE AND MODERNIZE AGRI-FISHERY PRODUCTION SYSTEMS</v>
      </c>
      <c r="AC410" s="51" t="str">
        <f>VLOOKUP(Table3[[#This Row],[ACTIVITY]],TAGS!$B:$P,15,FALSE)</f>
        <v>Production-related</v>
      </c>
      <c r="AD410" s="51" t="str">
        <f>VLOOKUP(Table3[[#This Row],[PI LEVEL 3]],'PI LEVEL'!$A:$G,7,FALSE)</f>
        <v>DA-Level Output</v>
      </c>
      <c r="AE410" s="47" t="s">
        <v>577</v>
      </c>
      <c r="AF410" s="51" t="str">
        <f>VLOOKUP(Table3[[#This Row],[ACTIVITY]],TAGS!$B:$P,3,FALSE)</f>
        <v>number</v>
      </c>
      <c r="AG410" s="47" t="s">
        <v>335</v>
      </c>
      <c r="AH410" s="51" t="str">
        <f>VLOOKUP(Table3[[#This Row],[MONTH]],TAGS!$W$67:$Y$81,2,FALSE)</f>
        <v>3RD QTR</v>
      </c>
      <c r="AI410" s="51" t="str">
        <f>VLOOKUP(Table3[[#This Row],[MONTH]],TAGS!$W$67:$Y$81,3,FALSE)</f>
        <v>2ND SEMESTER</v>
      </c>
      <c r="AJ410" s="51">
        <f>VLOOKUP(Table3[[#This Row],[MONTH]],TAGS!$W$67:$Z$81,4,FALSE)</f>
        <v>2025</v>
      </c>
      <c r="AK410" s="47">
        <v>1</v>
      </c>
      <c r="AL410" s="51" t="str">
        <f>VLOOKUP(Table3[[#This Row],[ACTIVITY]],TAGS!$B:$R,16,FALSE)</f>
        <v>NO</v>
      </c>
      <c r="AM410" s="47"/>
      <c r="AN410" s="47">
        <v>200</v>
      </c>
      <c r="AO410" s="57">
        <f>SUM(Table3[[#This Row],[MALE BENEFICIARIES]:[FEMALE BENEFICIARIES]])</f>
        <v>0</v>
      </c>
      <c r="AP410" s="58"/>
      <c r="AQ410" s="58"/>
      <c r="AR410" s="58"/>
      <c r="AS410" s="58">
        <v>1</v>
      </c>
      <c r="AT410" s="59" t="str">
        <f>VLOOKUP(Table3[[#This Row],[ACTIVITY]],TAGS!$B:$R,17,FALSE)</f>
        <v>YES</v>
      </c>
      <c r="AU410" s="59"/>
      <c r="AV410" s="59"/>
      <c r="AW410" s="59"/>
      <c r="AX410" s="59"/>
      <c r="AY410" s="59"/>
      <c r="AZ410" s="59"/>
      <c r="BA410" s="59"/>
      <c r="BB410" s="59"/>
      <c r="BC410" s="59"/>
      <c r="BD410" s="59"/>
      <c r="BE410" s="59"/>
      <c r="BF410" s="59"/>
      <c r="BG410" s="59"/>
      <c r="BH410" s="59"/>
      <c r="BI410" s="59"/>
      <c r="BJ410" s="59"/>
      <c r="BK410" s="59"/>
      <c r="BL410" s="59"/>
      <c r="BM410" s="59"/>
    </row>
    <row r="411" spans="1:65">
      <c r="A411" s="51" t="str">
        <f>VLOOKUP(Table3[[#This Row],[OU]],OU!$A$15:$B$34,2,FALSE)</f>
        <v>RFOs</v>
      </c>
      <c r="B411" s="47" t="s">
        <v>5</v>
      </c>
      <c r="C411" s="47" t="s">
        <v>574</v>
      </c>
      <c r="D411" s="53" t="s">
        <v>699</v>
      </c>
      <c r="E411" s="47" t="s">
        <v>22</v>
      </c>
      <c r="F411" s="47" t="s">
        <v>644</v>
      </c>
      <c r="G41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41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21506000</v>
      </c>
      <c r="I411" s="52" t="str">
        <f>VLOOKUP(Table3[[#This Row],[PSGC]],DISTRICT!$D:$G,4,FALSE)</f>
        <v>1st</v>
      </c>
      <c r="J411" s="47" t="s">
        <v>578</v>
      </c>
      <c r="K411" s="51" t="str">
        <f>VLOOKUP(Table3[[#This Row],[SPECIFIC COMMODITY]],TAGS!$W$48:$X$53,2,FALSE)</f>
        <v>Corn</v>
      </c>
      <c r="L411" s="51" t="str">
        <f>VLOOKUP(Table3[[#This Row],[PREXC SUB-PROGRAM]],Table5[],2,FALSE)</f>
        <v>AGRICULTURAL  MACHINERY, EQUIPMENT, FACILITIES AND INFRASTRUCTURE PROGRAM</v>
      </c>
      <c r="M411" s="51" t="str">
        <f>VLOOKUP(Table3[[#This Row],[COMMODITY PREXC SUB-PROGRAM]],TAGS!$U$54:$V$76,2,FALSE)</f>
        <v>AMEFSS</v>
      </c>
      <c r="N411" s="47" t="s">
        <v>594</v>
      </c>
      <c r="O411" s="54" t="str">
        <f>VLOOKUP(Table3[[#This Row],[PI LEVEL 3]],'PI LEVEL'!A:C,3,FALSE)</f>
        <v>Production machinery and equipment distributed</v>
      </c>
      <c r="P411" s="54" t="str">
        <f>VLOOKUP(Table3[[#This Row],[PI LEVEL 3]],Table53729[[Performance Indicator Level 3]:[Performance Indicator Level 1]],2,FALSE)</f>
        <v>Seeding machinery and equipment distributed</v>
      </c>
      <c r="Q411" s="54" t="str">
        <f>VLOOKUP(Table3[[#This Row],[ACTIVITY]],TAGS!B:P,2,FALSE)</f>
        <v>Seeder distributed</v>
      </c>
      <c r="R411" s="47" t="s">
        <v>175</v>
      </c>
      <c r="S411" s="51" t="str">
        <f>VLOOKUP(Table3[[#This Row],[ACTIVITY]],TAGS!$B:$P,4,FALSE)</f>
        <v>Production related machinery &amp; equipment</v>
      </c>
      <c r="T411" s="51" t="str">
        <f>VLOOKUP(Table3[[#This Row],[ACTIVITY]],TAGS!$B:$P,5,FALSE)</f>
        <v>Production-related</v>
      </c>
      <c r="U411" s="51" t="str">
        <f>VLOOKUP(Table3[[#This Row],[ACTIVITY]],TAGS!$B:$P,6,FALSE)</f>
        <v>Corn Seeder</v>
      </c>
      <c r="V411" s="51" t="str">
        <f>VLOOKUP(Table3[[#This Row],[ACTIVITY]],TAGS!$B:$P,7,FALSE)</f>
        <v>NO</v>
      </c>
      <c r="W411" s="51" t="str">
        <f>VLOOKUP(Table3[[#This Row],[ACTIVITY]],TAGS!$B:$P,8,FALSE)</f>
        <v>PAP</v>
      </c>
      <c r="X411" s="51" t="str">
        <f>VLOOKUP(Table3[[#This Row],[ACTIVITY]],TAGS!$B:$P,10,FALSE)</f>
        <v>PIP</v>
      </c>
      <c r="Y411" s="51" t="str">
        <f>VLOOKUP(Table3[[#This Row],[ACTIVITY]],TAGS!$B:$P,11,FALSE)</f>
        <v>PICS</v>
      </c>
      <c r="Z411" s="51" t="str">
        <f>VLOOKUP(Table3[[#This Row],[ACTIVITY]],TAGS!$B:$P,12,FALSE)</f>
        <v>Modernization</v>
      </c>
      <c r="AA411" s="51" t="str">
        <f>VLOOKUP(Table3[[#This Row],[ACTIVITY]],TAGS!$B:$P,13,FALSE)</f>
        <v>8. Farm Mechanization and Farm Investments</v>
      </c>
      <c r="AB411" s="51" t="str">
        <f>VLOOKUP(Table3[[#This Row],[ACTIVITY]],TAGS!$B:$P,14,FALSE)</f>
        <v>MECHANIZE AND MODERNIZE AGRI-FISHERY PRODUCTION SYSTEMS</v>
      </c>
      <c r="AC411" s="51" t="str">
        <f>VLOOKUP(Table3[[#This Row],[ACTIVITY]],TAGS!$B:$P,15,FALSE)</f>
        <v>Production-related</v>
      </c>
      <c r="AD411" s="51" t="str">
        <f>VLOOKUP(Table3[[#This Row],[PI LEVEL 3]],'PI LEVEL'!$A:$G,7,FALSE)</f>
        <v>DA-Level Output</v>
      </c>
      <c r="AE411" s="47" t="s">
        <v>577</v>
      </c>
      <c r="AF411" s="51" t="str">
        <f>VLOOKUP(Table3[[#This Row],[ACTIVITY]],TAGS!$B:$P,3,FALSE)</f>
        <v>number</v>
      </c>
      <c r="AG411" s="47" t="s">
        <v>335</v>
      </c>
      <c r="AH411" s="51" t="str">
        <f>VLOOKUP(Table3[[#This Row],[MONTH]],TAGS!$W$67:$Y$81,2,FALSE)</f>
        <v>3RD QTR</v>
      </c>
      <c r="AI411" s="51" t="str">
        <f>VLOOKUP(Table3[[#This Row],[MONTH]],TAGS!$W$67:$Y$81,3,FALSE)</f>
        <v>2ND SEMESTER</v>
      </c>
      <c r="AJ411" s="51">
        <f>VLOOKUP(Table3[[#This Row],[MONTH]],TAGS!$W$67:$Z$81,4,FALSE)</f>
        <v>2025</v>
      </c>
      <c r="AK411" s="47">
        <v>1</v>
      </c>
      <c r="AL411" s="51" t="str">
        <f>VLOOKUP(Table3[[#This Row],[ACTIVITY]],TAGS!$B:$R,16,FALSE)</f>
        <v>NO</v>
      </c>
      <c r="AM411" s="47"/>
      <c r="AN411" s="47">
        <v>200</v>
      </c>
      <c r="AO411" s="57">
        <f>SUM(Table3[[#This Row],[MALE BENEFICIARIES]:[FEMALE BENEFICIARIES]])</f>
        <v>0</v>
      </c>
      <c r="AP411" s="58"/>
      <c r="AQ411" s="58"/>
      <c r="AR411" s="58"/>
      <c r="AS411" s="58">
        <v>1</v>
      </c>
      <c r="AT411" s="59" t="str">
        <f>VLOOKUP(Table3[[#This Row],[ACTIVITY]],TAGS!$B:$R,17,FALSE)</f>
        <v>YES</v>
      </c>
      <c r="AU411" s="59"/>
      <c r="AV411" s="59"/>
      <c r="AW411" s="59"/>
      <c r="AX411" s="59"/>
      <c r="AY411" s="59"/>
      <c r="AZ411" s="59"/>
      <c r="BA411" s="59"/>
      <c r="BB411" s="59"/>
      <c r="BC411" s="59"/>
      <c r="BD411" s="59"/>
      <c r="BE411" s="59"/>
      <c r="BF411" s="59"/>
      <c r="BG411" s="59"/>
      <c r="BH411" s="59"/>
      <c r="BI411" s="59"/>
      <c r="BJ411" s="59"/>
      <c r="BK411" s="59"/>
      <c r="BL411" s="59"/>
      <c r="BM411" s="59"/>
    </row>
    <row r="412" spans="1:65">
      <c r="A412" s="51" t="str">
        <f>VLOOKUP(Table3[[#This Row],[OU]],OU!$A$15:$B$34,2,FALSE)</f>
        <v>RFOs</v>
      </c>
      <c r="B412" s="47" t="s">
        <v>5</v>
      </c>
      <c r="C412" s="47" t="s">
        <v>574</v>
      </c>
      <c r="D412" s="53" t="s">
        <v>709</v>
      </c>
      <c r="E412" s="47" t="s">
        <v>22</v>
      </c>
      <c r="F412" s="47" t="s">
        <v>645</v>
      </c>
      <c r="G41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41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21508000</v>
      </c>
      <c r="I412" s="52" t="str">
        <f>VLOOKUP(Table3[[#This Row],[PSGC]],DISTRICT!$D:$G,4,FALSE)</f>
        <v>3rd</v>
      </c>
      <c r="J412" s="47" t="s">
        <v>578</v>
      </c>
      <c r="K412" s="51" t="str">
        <f>VLOOKUP(Table3[[#This Row],[SPECIFIC COMMODITY]],TAGS!$W$48:$X$53,2,FALSE)</f>
        <v>Corn</v>
      </c>
      <c r="L412" s="51" t="str">
        <f>VLOOKUP(Table3[[#This Row],[PREXC SUB-PROGRAM]],Table5[],2,FALSE)</f>
        <v>AGRICULTURAL  MACHINERY, EQUIPMENT, FACILITIES AND INFRASTRUCTURE PROGRAM</v>
      </c>
      <c r="M412" s="51" t="str">
        <f>VLOOKUP(Table3[[#This Row],[COMMODITY PREXC SUB-PROGRAM]],TAGS!$U$54:$V$76,2,FALSE)</f>
        <v>AMEFSS</v>
      </c>
      <c r="N412" s="47" t="s">
        <v>594</v>
      </c>
      <c r="O412" s="54" t="str">
        <f>VLOOKUP(Table3[[#This Row],[PI LEVEL 3]],'PI LEVEL'!A:C,3,FALSE)</f>
        <v>Production machinery and equipment distributed</v>
      </c>
      <c r="P412" s="54" t="str">
        <f>VLOOKUP(Table3[[#This Row],[PI LEVEL 3]],Table53729[[Performance Indicator Level 3]:[Performance Indicator Level 1]],2,FALSE)</f>
        <v>Seeding machinery and equipment distributed</v>
      </c>
      <c r="Q412" s="54" t="str">
        <f>VLOOKUP(Table3[[#This Row],[ACTIVITY]],TAGS!B:P,2,FALSE)</f>
        <v>Seeder distributed</v>
      </c>
      <c r="R412" s="47" t="s">
        <v>175</v>
      </c>
      <c r="S412" s="51" t="str">
        <f>VLOOKUP(Table3[[#This Row],[ACTIVITY]],TAGS!$B:$P,4,FALSE)</f>
        <v>Production related machinery &amp; equipment</v>
      </c>
      <c r="T412" s="51" t="str">
        <f>VLOOKUP(Table3[[#This Row],[ACTIVITY]],TAGS!$B:$P,5,FALSE)</f>
        <v>Production-related</v>
      </c>
      <c r="U412" s="51" t="str">
        <f>VLOOKUP(Table3[[#This Row],[ACTIVITY]],TAGS!$B:$P,6,FALSE)</f>
        <v>Corn Seeder</v>
      </c>
      <c r="V412" s="51" t="str">
        <f>VLOOKUP(Table3[[#This Row],[ACTIVITY]],TAGS!$B:$P,7,FALSE)</f>
        <v>NO</v>
      </c>
      <c r="W412" s="51" t="str">
        <f>VLOOKUP(Table3[[#This Row],[ACTIVITY]],TAGS!$B:$P,8,FALSE)</f>
        <v>PAP</v>
      </c>
      <c r="X412" s="51" t="str">
        <f>VLOOKUP(Table3[[#This Row],[ACTIVITY]],TAGS!$B:$P,10,FALSE)</f>
        <v>PIP</v>
      </c>
      <c r="Y412" s="51" t="str">
        <f>VLOOKUP(Table3[[#This Row],[ACTIVITY]],TAGS!$B:$P,11,FALSE)</f>
        <v>PICS</v>
      </c>
      <c r="Z412" s="51" t="str">
        <f>VLOOKUP(Table3[[#This Row],[ACTIVITY]],TAGS!$B:$P,12,FALSE)</f>
        <v>Modernization</v>
      </c>
      <c r="AA412" s="51" t="str">
        <f>VLOOKUP(Table3[[#This Row],[ACTIVITY]],TAGS!$B:$P,13,FALSE)</f>
        <v>8. Farm Mechanization and Farm Investments</v>
      </c>
      <c r="AB412" s="51" t="str">
        <f>VLOOKUP(Table3[[#This Row],[ACTIVITY]],TAGS!$B:$P,14,FALSE)</f>
        <v>MECHANIZE AND MODERNIZE AGRI-FISHERY PRODUCTION SYSTEMS</v>
      </c>
      <c r="AC412" s="51" t="str">
        <f>VLOOKUP(Table3[[#This Row],[ACTIVITY]],TAGS!$B:$P,15,FALSE)</f>
        <v>Production-related</v>
      </c>
      <c r="AD412" s="51" t="str">
        <f>VLOOKUP(Table3[[#This Row],[PI LEVEL 3]],'PI LEVEL'!$A:$G,7,FALSE)</f>
        <v>DA-Level Output</v>
      </c>
      <c r="AE412" s="47" t="s">
        <v>577</v>
      </c>
      <c r="AF412" s="51" t="str">
        <f>VLOOKUP(Table3[[#This Row],[ACTIVITY]],TAGS!$B:$P,3,FALSE)</f>
        <v>number</v>
      </c>
      <c r="AG412" s="47" t="s">
        <v>335</v>
      </c>
      <c r="AH412" s="51" t="str">
        <f>VLOOKUP(Table3[[#This Row],[MONTH]],TAGS!$W$67:$Y$81,2,FALSE)</f>
        <v>3RD QTR</v>
      </c>
      <c r="AI412" s="51" t="str">
        <f>VLOOKUP(Table3[[#This Row],[MONTH]],TAGS!$W$67:$Y$81,3,FALSE)</f>
        <v>2ND SEMESTER</v>
      </c>
      <c r="AJ412" s="51">
        <f>VLOOKUP(Table3[[#This Row],[MONTH]],TAGS!$W$67:$Z$81,4,FALSE)</f>
        <v>2025</v>
      </c>
      <c r="AK412" s="47">
        <v>1</v>
      </c>
      <c r="AL412" s="51" t="str">
        <f>VLOOKUP(Table3[[#This Row],[ACTIVITY]],TAGS!$B:$R,16,FALSE)</f>
        <v>NO</v>
      </c>
      <c r="AM412" s="47"/>
      <c r="AN412" s="47">
        <v>200</v>
      </c>
      <c r="AO412" s="57">
        <f>SUM(Table3[[#This Row],[MALE BENEFICIARIES]:[FEMALE BENEFICIARIES]])</f>
        <v>0</v>
      </c>
      <c r="AP412" s="58"/>
      <c r="AQ412" s="58"/>
      <c r="AR412" s="58"/>
      <c r="AS412" s="58">
        <v>1</v>
      </c>
      <c r="AT412" s="59" t="str">
        <f>VLOOKUP(Table3[[#This Row],[ACTIVITY]],TAGS!$B:$R,17,FALSE)</f>
        <v>YES</v>
      </c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</row>
    <row r="413" spans="1:65">
      <c r="A413" s="51" t="str">
        <f>VLOOKUP(Table3[[#This Row],[OU]],OU!$A$15:$B$34,2,FALSE)</f>
        <v>RFOs</v>
      </c>
      <c r="B413" s="47" t="s">
        <v>5</v>
      </c>
      <c r="C413" s="47" t="s">
        <v>574</v>
      </c>
      <c r="D413" s="53" t="s">
        <v>701</v>
      </c>
      <c r="E413" s="47" t="s">
        <v>43</v>
      </c>
      <c r="F413" s="47" t="s">
        <v>630</v>
      </c>
      <c r="G41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1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23114000</v>
      </c>
      <c r="I413" s="52" t="str">
        <f>VLOOKUP(Table3[[#This Row],[PSGC]],DISTRICT!$D:$G,4,FALSE)</f>
        <v>1st</v>
      </c>
      <c r="J413" s="47" t="s">
        <v>578</v>
      </c>
      <c r="K413" s="51" t="str">
        <f>VLOOKUP(Table3[[#This Row],[SPECIFIC COMMODITY]],TAGS!$W$48:$X$53,2,FALSE)</f>
        <v>Corn</v>
      </c>
      <c r="L413" s="51" t="str">
        <f>VLOOKUP(Table3[[#This Row],[PREXC SUB-PROGRAM]],Table5[],2,FALSE)</f>
        <v>AGRICULTURAL  MACHINERY, EQUIPMENT, FACILITIES AND INFRASTRUCTURE PROGRAM</v>
      </c>
      <c r="M413" s="51" t="str">
        <f>VLOOKUP(Table3[[#This Row],[COMMODITY PREXC SUB-PROGRAM]],TAGS!$U$54:$V$76,2,FALSE)</f>
        <v>AMEFSS</v>
      </c>
      <c r="N413" s="47" t="s">
        <v>594</v>
      </c>
      <c r="O413" s="54" t="str">
        <f>VLOOKUP(Table3[[#This Row],[PI LEVEL 3]],'PI LEVEL'!A:C,3,FALSE)</f>
        <v>Production machinery and equipment distributed</v>
      </c>
      <c r="P413" s="54" t="str">
        <f>VLOOKUP(Table3[[#This Row],[PI LEVEL 3]],Table53729[[Performance Indicator Level 3]:[Performance Indicator Level 1]],2,FALSE)</f>
        <v>Seeding machinery and equipment distributed</v>
      </c>
      <c r="Q413" s="54" t="str">
        <f>VLOOKUP(Table3[[#This Row],[ACTIVITY]],TAGS!B:P,2,FALSE)</f>
        <v>Seeder distributed</v>
      </c>
      <c r="R413" s="47" t="s">
        <v>175</v>
      </c>
      <c r="S413" s="51" t="str">
        <f>VLOOKUP(Table3[[#This Row],[ACTIVITY]],TAGS!$B:$P,4,FALSE)</f>
        <v>Production related machinery &amp; equipment</v>
      </c>
      <c r="T413" s="51" t="str">
        <f>VLOOKUP(Table3[[#This Row],[ACTIVITY]],TAGS!$B:$P,5,FALSE)</f>
        <v>Production-related</v>
      </c>
      <c r="U413" s="51" t="str">
        <f>VLOOKUP(Table3[[#This Row],[ACTIVITY]],TAGS!$B:$P,6,FALSE)</f>
        <v>Corn Seeder</v>
      </c>
      <c r="V413" s="51" t="str">
        <f>VLOOKUP(Table3[[#This Row],[ACTIVITY]],TAGS!$B:$P,7,FALSE)</f>
        <v>NO</v>
      </c>
      <c r="W413" s="51" t="str">
        <f>VLOOKUP(Table3[[#This Row],[ACTIVITY]],TAGS!$B:$P,8,FALSE)</f>
        <v>PAP</v>
      </c>
      <c r="X413" s="51" t="str">
        <f>VLOOKUP(Table3[[#This Row],[ACTIVITY]],TAGS!$B:$P,10,FALSE)</f>
        <v>PIP</v>
      </c>
      <c r="Y413" s="51" t="str">
        <f>VLOOKUP(Table3[[#This Row],[ACTIVITY]],TAGS!$B:$P,11,FALSE)</f>
        <v>PICS</v>
      </c>
      <c r="Z413" s="51" t="str">
        <f>VLOOKUP(Table3[[#This Row],[ACTIVITY]],TAGS!$B:$P,12,FALSE)</f>
        <v>Modernization</v>
      </c>
      <c r="AA413" s="51" t="str">
        <f>VLOOKUP(Table3[[#This Row],[ACTIVITY]],TAGS!$B:$P,13,FALSE)</f>
        <v>8. Farm Mechanization and Farm Investments</v>
      </c>
      <c r="AB413" s="51" t="str">
        <f>VLOOKUP(Table3[[#This Row],[ACTIVITY]],TAGS!$B:$P,14,FALSE)</f>
        <v>MECHANIZE AND MODERNIZE AGRI-FISHERY PRODUCTION SYSTEMS</v>
      </c>
      <c r="AC413" s="51" t="str">
        <f>VLOOKUP(Table3[[#This Row],[ACTIVITY]],TAGS!$B:$P,15,FALSE)</f>
        <v>Production-related</v>
      </c>
      <c r="AD413" s="51" t="str">
        <f>VLOOKUP(Table3[[#This Row],[PI LEVEL 3]],'PI LEVEL'!$A:$G,7,FALSE)</f>
        <v>DA-Level Output</v>
      </c>
      <c r="AE413" s="47" t="s">
        <v>577</v>
      </c>
      <c r="AF413" s="51" t="str">
        <f>VLOOKUP(Table3[[#This Row],[ACTIVITY]],TAGS!$B:$P,3,FALSE)</f>
        <v>number</v>
      </c>
      <c r="AG413" s="47" t="s">
        <v>335</v>
      </c>
      <c r="AH413" s="51" t="str">
        <f>VLOOKUP(Table3[[#This Row],[MONTH]],TAGS!$W$67:$Y$81,2,FALSE)</f>
        <v>3RD QTR</v>
      </c>
      <c r="AI413" s="51" t="str">
        <f>VLOOKUP(Table3[[#This Row],[MONTH]],TAGS!$W$67:$Y$81,3,FALSE)</f>
        <v>2ND SEMESTER</v>
      </c>
      <c r="AJ413" s="51">
        <f>VLOOKUP(Table3[[#This Row],[MONTH]],TAGS!$W$67:$Z$81,4,FALSE)</f>
        <v>2025</v>
      </c>
      <c r="AK413" s="47">
        <v>1</v>
      </c>
      <c r="AL413" s="51" t="str">
        <f>VLOOKUP(Table3[[#This Row],[ACTIVITY]],TAGS!$B:$R,16,FALSE)</f>
        <v>NO</v>
      </c>
      <c r="AM413" s="47"/>
      <c r="AN413" s="47">
        <v>200</v>
      </c>
      <c r="AO413" s="57">
        <f>SUM(Table3[[#This Row],[MALE BENEFICIARIES]:[FEMALE BENEFICIARIES]])</f>
        <v>0</v>
      </c>
      <c r="AP413" s="58"/>
      <c r="AQ413" s="58"/>
      <c r="AR413" s="58"/>
      <c r="AS413" s="58">
        <v>1</v>
      </c>
      <c r="AT413" s="59" t="str">
        <f>VLOOKUP(Table3[[#This Row],[ACTIVITY]],TAGS!$B:$R,17,FALSE)</f>
        <v>YES</v>
      </c>
      <c r="AU413" s="59"/>
      <c r="AV413" s="59"/>
      <c r="AW413" s="59"/>
      <c r="AX413" s="59"/>
      <c r="AY413" s="59"/>
      <c r="AZ413" s="59"/>
      <c r="BA413" s="59"/>
      <c r="BB413" s="59"/>
      <c r="BC413" s="59"/>
      <c r="BD413" s="59"/>
      <c r="BE413" s="59"/>
      <c r="BF413" s="59"/>
      <c r="BG413" s="59"/>
      <c r="BH413" s="59"/>
      <c r="BI413" s="59"/>
      <c r="BJ413" s="59"/>
      <c r="BK413" s="59"/>
      <c r="BL413" s="59"/>
      <c r="BM413" s="59"/>
    </row>
    <row r="414" spans="1:65">
      <c r="A414" s="51" t="str">
        <f>VLOOKUP(Table3[[#This Row],[OU]],OU!$A$15:$B$34,2,FALSE)</f>
        <v>RFOs</v>
      </c>
      <c r="B414" s="47" t="s">
        <v>5</v>
      </c>
      <c r="C414" s="47" t="s">
        <v>574</v>
      </c>
      <c r="D414" s="53" t="s">
        <v>702</v>
      </c>
      <c r="E414" s="47" t="s">
        <v>43</v>
      </c>
      <c r="F414" s="47" t="s">
        <v>622</v>
      </c>
      <c r="G41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1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23106000</v>
      </c>
      <c r="I414" s="52" t="str">
        <f>VLOOKUP(Table3[[#This Row],[PSGC]],DISTRICT!$D:$G,4,FALSE)</f>
        <v>1st</v>
      </c>
      <c r="J414" s="47" t="s">
        <v>578</v>
      </c>
      <c r="K414" s="51" t="str">
        <f>VLOOKUP(Table3[[#This Row],[SPECIFIC COMMODITY]],TAGS!$W$48:$X$53,2,FALSE)</f>
        <v>Corn</v>
      </c>
      <c r="L414" s="51" t="str">
        <f>VLOOKUP(Table3[[#This Row],[PREXC SUB-PROGRAM]],Table5[],2,FALSE)</f>
        <v>AGRICULTURAL  MACHINERY, EQUIPMENT, FACILITIES AND INFRASTRUCTURE PROGRAM</v>
      </c>
      <c r="M414" s="51" t="str">
        <f>VLOOKUP(Table3[[#This Row],[COMMODITY PREXC SUB-PROGRAM]],TAGS!$U$54:$V$76,2,FALSE)</f>
        <v>AMEFSS</v>
      </c>
      <c r="N414" s="47" t="s">
        <v>594</v>
      </c>
      <c r="O414" s="54" t="str">
        <f>VLOOKUP(Table3[[#This Row],[PI LEVEL 3]],'PI LEVEL'!A:C,3,FALSE)</f>
        <v>Production machinery and equipment distributed</v>
      </c>
      <c r="P414" s="54" t="str">
        <f>VLOOKUP(Table3[[#This Row],[PI LEVEL 3]],Table53729[[Performance Indicator Level 3]:[Performance Indicator Level 1]],2,FALSE)</f>
        <v>Seeding machinery and equipment distributed</v>
      </c>
      <c r="Q414" s="54" t="str">
        <f>VLOOKUP(Table3[[#This Row],[ACTIVITY]],TAGS!B:P,2,FALSE)</f>
        <v>Seeder distributed</v>
      </c>
      <c r="R414" s="47" t="s">
        <v>175</v>
      </c>
      <c r="S414" s="51" t="str">
        <f>VLOOKUP(Table3[[#This Row],[ACTIVITY]],TAGS!$B:$P,4,FALSE)</f>
        <v>Production related machinery &amp; equipment</v>
      </c>
      <c r="T414" s="51" t="str">
        <f>VLOOKUP(Table3[[#This Row],[ACTIVITY]],TAGS!$B:$P,5,FALSE)</f>
        <v>Production-related</v>
      </c>
      <c r="U414" s="51" t="str">
        <f>VLOOKUP(Table3[[#This Row],[ACTIVITY]],TAGS!$B:$P,6,FALSE)</f>
        <v>Corn Seeder</v>
      </c>
      <c r="V414" s="51" t="str">
        <f>VLOOKUP(Table3[[#This Row],[ACTIVITY]],TAGS!$B:$P,7,FALSE)</f>
        <v>NO</v>
      </c>
      <c r="W414" s="51" t="str">
        <f>VLOOKUP(Table3[[#This Row],[ACTIVITY]],TAGS!$B:$P,8,FALSE)</f>
        <v>PAP</v>
      </c>
      <c r="X414" s="51" t="str">
        <f>VLOOKUP(Table3[[#This Row],[ACTIVITY]],TAGS!$B:$P,10,FALSE)</f>
        <v>PIP</v>
      </c>
      <c r="Y414" s="51" t="str">
        <f>VLOOKUP(Table3[[#This Row],[ACTIVITY]],TAGS!$B:$P,11,FALSE)</f>
        <v>PICS</v>
      </c>
      <c r="Z414" s="51" t="str">
        <f>VLOOKUP(Table3[[#This Row],[ACTIVITY]],TAGS!$B:$P,12,FALSE)</f>
        <v>Modernization</v>
      </c>
      <c r="AA414" s="51" t="str">
        <f>VLOOKUP(Table3[[#This Row],[ACTIVITY]],TAGS!$B:$P,13,FALSE)</f>
        <v>8. Farm Mechanization and Farm Investments</v>
      </c>
      <c r="AB414" s="51" t="str">
        <f>VLOOKUP(Table3[[#This Row],[ACTIVITY]],TAGS!$B:$P,14,FALSE)</f>
        <v>MECHANIZE AND MODERNIZE AGRI-FISHERY PRODUCTION SYSTEMS</v>
      </c>
      <c r="AC414" s="51" t="str">
        <f>VLOOKUP(Table3[[#This Row],[ACTIVITY]],TAGS!$B:$P,15,FALSE)</f>
        <v>Production-related</v>
      </c>
      <c r="AD414" s="51" t="str">
        <f>VLOOKUP(Table3[[#This Row],[PI LEVEL 3]],'PI LEVEL'!$A:$G,7,FALSE)</f>
        <v>DA-Level Output</v>
      </c>
      <c r="AE414" s="47" t="s">
        <v>577</v>
      </c>
      <c r="AF414" s="51" t="str">
        <f>VLOOKUP(Table3[[#This Row],[ACTIVITY]],TAGS!$B:$P,3,FALSE)</f>
        <v>number</v>
      </c>
      <c r="AG414" s="47" t="s">
        <v>335</v>
      </c>
      <c r="AH414" s="51" t="str">
        <f>VLOOKUP(Table3[[#This Row],[MONTH]],TAGS!$W$67:$Y$81,2,FALSE)</f>
        <v>3RD QTR</v>
      </c>
      <c r="AI414" s="51" t="str">
        <f>VLOOKUP(Table3[[#This Row],[MONTH]],TAGS!$W$67:$Y$81,3,FALSE)</f>
        <v>2ND SEMESTER</v>
      </c>
      <c r="AJ414" s="51">
        <f>VLOOKUP(Table3[[#This Row],[MONTH]],TAGS!$W$67:$Z$81,4,FALSE)</f>
        <v>2025</v>
      </c>
      <c r="AK414" s="47">
        <v>1</v>
      </c>
      <c r="AL414" s="51" t="str">
        <f>VLOOKUP(Table3[[#This Row],[ACTIVITY]],TAGS!$B:$R,16,FALSE)</f>
        <v>NO</v>
      </c>
      <c r="AM414" s="47"/>
      <c r="AN414" s="47">
        <v>200</v>
      </c>
      <c r="AO414" s="57">
        <f>SUM(Table3[[#This Row],[MALE BENEFICIARIES]:[FEMALE BENEFICIARIES]])</f>
        <v>0</v>
      </c>
      <c r="AP414" s="58"/>
      <c r="AQ414" s="58"/>
      <c r="AR414" s="58"/>
      <c r="AS414" s="58">
        <v>1</v>
      </c>
      <c r="AT414" s="59" t="str">
        <f>VLOOKUP(Table3[[#This Row],[ACTIVITY]],TAGS!$B:$R,17,FALSE)</f>
        <v>YES</v>
      </c>
      <c r="AU414" s="59"/>
      <c r="AV414" s="59"/>
      <c r="AW414" s="59"/>
      <c r="AX414" s="59"/>
      <c r="AY414" s="59"/>
      <c r="AZ414" s="59"/>
      <c r="BA414" s="59"/>
      <c r="BB414" s="59"/>
      <c r="BC414" s="59"/>
      <c r="BD414" s="59"/>
      <c r="BE414" s="59"/>
      <c r="BF414" s="59"/>
      <c r="BG414" s="59"/>
      <c r="BH414" s="59"/>
      <c r="BI414" s="59"/>
      <c r="BJ414" s="59"/>
      <c r="BK414" s="59"/>
      <c r="BL414" s="59"/>
      <c r="BM414" s="59"/>
    </row>
    <row r="415" spans="1:65">
      <c r="A415" s="51" t="str">
        <f>VLOOKUP(Table3[[#This Row],[OU]],OU!$A$15:$B$34,2,FALSE)</f>
        <v>RFOs</v>
      </c>
      <c r="B415" s="47" t="s">
        <v>5</v>
      </c>
      <c r="C415" s="47" t="s">
        <v>574</v>
      </c>
      <c r="D415" s="53" t="s">
        <v>710</v>
      </c>
      <c r="E415" s="47" t="s">
        <v>43</v>
      </c>
      <c r="F415" s="47" t="s">
        <v>666</v>
      </c>
      <c r="G41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41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23125000</v>
      </c>
      <c r="I415" s="52" t="str">
        <f>VLOOKUP(Table3[[#This Row],[PSGC]],DISTRICT!$D:$G,4,FALSE)</f>
        <v>4th</v>
      </c>
      <c r="J415" s="47" t="s">
        <v>578</v>
      </c>
      <c r="K415" s="51" t="str">
        <f>VLOOKUP(Table3[[#This Row],[SPECIFIC COMMODITY]],TAGS!$W$48:$X$53,2,FALSE)</f>
        <v>Corn</v>
      </c>
      <c r="L415" s="51" t="str">
        <f>VLOOKUP(Table3[[#This Row],[PREXC SUB-PROGRAM]],Table5[],2,FALSE)</f>
        <v>AGRICULTURAL  MACHINERY, EQUIPMENT, FACILITIES AND INFRASTRUCTURE PROGRAM</v>
      </c>
      <c r="M415" s="51" t="str">
        <f>VLOOKUP(Table3[[#This Row],[COMMODITY PREXC SUB-PROGRAM]],TAGS!$U$54:$V$76,2,FALSE)</f>
        <v>AMEFSS</v>
      </c>
      <c r="N415" s="47" t="s">
        <v>594</v>
      </c>
      <c r="O415" s="54" t="str">
        <f>VLOOKUP(Table3[[#This Row],[PI LEVEL 3]],'PI LEVEL'!A:C,3,FALSE)</f>
        <v>Production machinery and equipment distributed</v>
      </c>
      <c r="P415" s="54" t="str">
        <f>VLOOKUP(Table3[[#This Row],[PI LEVEL 3]],Table53729[[Performance Indicator Level 3]:[Performance Indicator Level 1]],2,FALSE)</f>
        <v>Seeding machinery and equipment distributed</v>
      </c>
      <c r="Q415" s="54" t="str">
        <f>VLOOKUP(Table3[[#This Row],[ACTIVITY]],TAGS!B:P,2,FALSE)</f>
        <v>Seeder distributed</v>
      </c>
      <c r="R415" s="47" t="s">
        <v>175</v>
      </c>
      <c r="S415" s="51" t="str">
        <f>VLOOKUP(Table3[[#This Row],[ACTIVITY]],TAGS!$B:$P,4,FALSE)</f>
        <v>Production related machinery &amp; equipment</v>
      </c>
      <c r="T415" s="51" t="str">
        <f>VLOOKUP(Table3[[#This Row],[ACTIVITY]],TAGS!$B:$P,5,FALSE)</f>
        <v>Production-related</v>
      </c>
      <c r="U415" s="51" t="str">
        <f>VLOOKUP(Table3[[#This Row],[ACTIVITY]],TAGS!$B:$P,6,FALSE)</f>
        <v>Corn Seeder</v>
      </c>
      <c r="V415" s="51" t="str">
        <f>VLOOKUP(Table3[[#This Row],[ACTIVITY]],TAGS!$B:$P,7,FALSE)</f>
        <v>NO</v>
      </c>
      <c r="W415" s="51" t="str">
        <f>VLOOKUP(Table3[[#This Row],[ACTIVITY]],TAGS!$B:$P,8,FALSE)</f>
        <v>PAP</v>
      </c>
      <c r="X415" s="51" t="str">
        <f>VLOOKUP(Table3[[#This Row],[ACTIVITY]],TAGS!$B:$P,10,FALSE)</f>
        <v>PIP</v>
      </c>
      <c r="Y415" s="51" t="str">
        <f>VLOOKUP(Table3[[#This Row],[ACTIVITY]],TAGS!$B:$P,11,FALSE)</f>
        <v>PICS</v>
      </c>
      <c r="Z415" s="51" t="str">
        <f>VLOOKUP(Table3[[#This Row],[ACTIVITY]],TAGS!$B:$P,12,FALSE)</f>
        <v>Modernization</v>
      </c>
      <c r="AA415" s="51" t="str">
        <f>VLOOKUP(Table3[[#This Row],[ACTIVITY]],TAGS!$B:$P,13,FALSE)</f>
        <v>8. Farm Mechanization and Farm Investments</v>
      </c>
      <c r="AB415" s="51" t="str">
        <f>VLOOKUP(Table3[[#This Row],[ACTIVITY]],TAGS!$B:$P,14,FALSE)</f>
        <v>MECHANIZE AND MODERNIZE AGRI-FISHERY PRODUCTION SYSTEMS</v>
      </c>
      <c r="AC415" s="51" t="str">
        <f>VLOOKUP(Table3[[#This Row],[ACTIVITY]],TAGS!$B:$P,15,FALSE)</f>
        <v>Production-related</v>
      </c>
      <c r="AD415" s="51" t="str">
        <f>VLOOKUP(Table3[[#This Row],[PI LEVEL 3]],'PI LEVEL'!$A:$G,7,FALSE)</f>
        <v>DA-Level Output</v>
      </c>
      <c r="AE415" s="47" t="s">
        <v>577</v>
      </c>
      <c r="AF415" s="51" t="str">
        <f>VLOOKUP(Table3[[#This Row],[ACTIVITY]],TAGS!$B:$P,3,FALSE)</f>
        <v>number</v>
      </c>
      <c r="AG415" s="47" t="s">
        <v>335</v>
      </c>
      <c r="AH415" s="51" t="str">
        <f>VLOOKUP(Table3[[#This Row],[MONTH]],TAGS!$W$67:$Y$81,2,FALSE)</f>
        <v>3RD QTR</v>
      </c>
      <c r="AI415" s="51" t="str">
        <f>VLOOKUP(Table3[[#This Row],[MONTH]],TAGS!$W$67:$Y$81,3,FALSE)</f>
        <v>2ND SEMESTER</v>
      </c>
      <c r="AJ415" s="51">
        <f>VLOOKUP(Table3[[#This Row],[MONTH]],TAGS!$W$67:$Z$81,4,FALSE)</f>
        <v>2025</v>
      </c>
      <c r="AK415" s="47">
        <v>1</v>
      </c>
      <c r="AL415" s="51" t="str">
        <f>VLOOKUP(Table3[[#This Row],[ACTIVITY]],TAGS!$B:$R,16,FALSE)</f>
        <v>NO</v>
      </c>
      <c r="AM415" s="47"/>
      <c r="AN415" s="47">
        <v>200</v>
      </c>
      <c r="AO415" s="57">
        <f>SUM(Table3[[#This Row],[MALE BENEFICIARIES]:[FEMALE BENEFICIARIES]])</f>
        <v>0</v>
      </c>
      <c r="AP415" s="58"/>
      <c r="AQ415" s="58"/>
      <c r="AR415" s="58"/>
      <c r="AS415" s="58">
        <v>1</v>
      </c>
      <c r="AT415" s="59" t="str">
        <f>VLOOKUP(Table3[[#This Row],[ACTIVITY]],TAGS!$B:$R,17,FALSE)</f>
        <v>YES</v>
      </c>
      <c r="AU415" s="59"/>
      <c r="AV415" s="59"/>
      <c r="AW415" s="59"/>
      <c r="AX415" s="59"/>
      <c r="AY415" s="59"/>
      <c r="AZ415" s="59"/>
      <c r="BA415" s="59"/>
      <c r="BB415" s="59"/>
      <c r="BC415" s="59"/>
      <c r="BD415" s="59"/>
      <c r="BE415" s="59"/>
      <c r="BF415" s="59"/>
      <c r="BG415" s="59"/>
      <c r="BH415" s="59"/>
      <c r="BI415" s="59"/>
      <c r="BJ415" s="59"/>
      <c r="BK415" s="59"/>
      <c r="BL415" s="59"/>
      <c r="BM415" s="59"/>
    </row>
    <row r="416" spans="1:65">
      <c r="A416" s="51" t="str">
        <f>VLOOKUP(Table3[[#This Row],[OU]],OU!$A$15:$B$34,2,FALSE)</f>
        <v>RFOs</v>
      </c>
      <c r="B416" s="47" t="s">
        <v>5</v>
      </c>
      <c r="C416" s="47" t="s">
        <v>574</v>
      </c>
      <c r="D416" s="53" t="s">
        <v>711</v>
      </c>
      <c r="E416" s="47" t="s">
        <v>43</v>
      </c>
      <c r="F416" s="47" t="s">
        <v>676</v>
      </c>
      <c r="G41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4th District</v>
      </c>
      <c r="H41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23127000</v>
      </c>
      <c r="I416" s="52" t="str">
        <f>VLOOKUP(Table3[[#This Row],[PSGC]],DISTRICT!$D:$G,4,FALSE)</f>
        <v>3rd</v>
      </c>
      <c r="J416" s="47" t="s">
        <v>578</v>
      </c>
      <c r="K416" s="51" t="str">
        <f>VLOOKUP(Table3[[#This Row],[SPECIFIC COMMODITY]],TAGS!$W$48:$X$53,2,FALSE)</f>
        <v>Corn</v>
      </c>
      <c r="L416" s="51" t="str">
        <f>VLOOKUP(Table3[[#This Row],[PREXC SUB-PROGRAM]],Table5[],2,FALSE)</f>
        <v>AGRICULTURAL  MACHINERY, EQUIPMENT, FACILITIES AND INFRASTRUCTURE PROGRAM</v>
      </c>
      <c r="M416" s="51" t="str">
        <f>VLOOKUP(Table3[[#This Row],[COMMODITY PREXC SUB-PROGRAM]],TAGS!$U$54:$V$76,2,FALSE)</f>
        <v>AMEFSS</v>
      </c>
      <c r="N416" s="47" t="s">
        <v>594</v>
      </c>
      <c r="O416" s="54" t="str">
        <f>VLOOKUP(Table3[[#This Row],[PI LEVEL 3]],'PI LEVEL'!A:C,3,FALSE)</f>
        <v>Production machinery and equipment distributed</v>
      </c>
      <c r="P416" s="54" t="str">
        <f>VLOOKUP(Table3[[#This Row],[PI LEVEL 3]],Table53729[[Performance Indicator Level 3]:[Performance Indicator Level 1]],2,FALSE)</f>
        <v>Seeding machinery and equipment distributed</v>
      </c>
      <c r="Q416" s="54" t="str">
        <f>VLOOKUP(Table3[[#This Row],[ACTIVITY]],TAGS!B:P,2,FALSE)</f>
        <v>Seeder distributed</v>
      </c>
      <c r="R416" s="47" t="s">
        <v>175</v>
      </c>
      <c r="S416" s="51" t="str">
        <f>VLOOKUP(Table3[[#This Row],[ACTIVITY]],TAGS!$B:$P,4,FALSE)</f>
        <v>Production related machinery &amp; equipment</v>
      </c>
      <c r="T416" s="51" t="str">
        <f>VLOOKUP(Table3[[#This Row],[ACTIVITY]],TAGS!$B:$P,5,FALSE)</f>
        <v>Production-related</v>
      </c>
      <c r="U416" s="51" t="str">
        <f>VLOOKUP(Table3[[#This Row],[ACTIVITY]],TAGS!$B:$P,6,FALSE)</f>
        <v>Corn Seeder</v>
      </c>
      <c r="V416" s="51" t="str">
        <f>VLOOKUP(Table3[[#This Row],[ACTIVITY]],TAGS!$B:$P,7,FALSE)</f>
        <v>NO</v>
      </c>
      <c r="W416" s="51" t="str">
        <f>VLOOKUP(Table3[[#This Row],[ACTIVITY]],TAGS!$B:$P,8,FALSE)</f>
        <v>PAP</v>
      </c>
      <c r="X416" s="51" t="str">
        <f>VLOOKUP(Table3[[#This Row],[ACTIVITY]],TAGS!$B:$P,10,FALSE)</f>
        <v>PIP</v>
      </c>
      <c r="Y416" s="51" t="str">
        <f>VLOOKUP(Table3[[#This Row],[ACTIVITY]],TAGS!$B:$P,11,FALSE)</f>
        <v>PICS</v>
      </c>
      <c r="Z416" s="51" t="str">
        <f>VLOOKUP(Table3[[#This Row],[ACTIVITY]],TAGS!$B:$P,12,FALSE)</f>
        <v>Modernization</v>
      </c>
      <c r="AA416" s="51" t="str">
        <f>VLOOKUP(Table3[[#This Row],[ACTIVITY]],TAGS!$B:$P,13,FALSE)</f>
        <v>8. Farm Mechanization and Farm Investments</v>
      </c>
      <c r="AB416" s="51" t="str">
        <f>VLOOKUP(Table3[[#This Row],[ACTIVITY]],TAGS!$B:$P,14,FALSE)</f>
        <v>MECHANIZE AND MODERNIZE AGRI-FISHERY PRODUCTION SYSTEMS</v>
      </c>
      <c r="AC416" s="51" t="str">
        <f>VLOOKUP(Table3[[#This Row],[ACTIVITY]],TAGS!$B:$P,15,FALSE)</f>
        <v>Production-related</v>
      </c>
      <c r="AD416" s="51" t="str">
        <f>VLOOKUP(Table3[[#This Row],[PI LEVEL 3]],'PI LEVEL'!$A:$G,7,FALSE)</f>
        <v>DA-Level Output</v>
      </c>
      <c r="AE416" s="47" t="s">
        <v>577</v>
      </c>
      <c r="AF416" s="51" t="str">
        <f>VLOOKUP(Table3[[#This Row],[ACTIVITY]],TAGS!$B:$P,3,FALSE)</f>
        <v>number</v>
      </c>
      <c r="AG416" s="47" t="s">
        <v>335</v>
      </c>
      <c r="AH416" s="51" t="str">
        <f>VLOOKUP(Table3[[#This Row],[MONTH]],TAGS!$W$67:$Y$81,2,FALSE)</f>
        <v>3RD QTR</v>
      </c>
      <c r="AI416" s="51" t="str">
        <f>VLOOKUP(Table3[[#This Row],[MONTH]],TAGS!$W$67:$Y$81,3,FALSE)</f>
        <v>2ND SEMESTER</v>
      </c>
      <c r="AJ416" s="51">
        <f>VLOOKUP(Table3[[#This Row],[MONTH]],TAGS!$W$67:$Z$81,4,FALSE)</f>
        <v>2025</v>
      </c>
      <c r="AK416" s="47">
        <v>1</v>
      </c>
      <c r="AL416" s="51" t="str">
        <f>VLOOKUP(Table3[[#This Row],[ACTIVITY]],TAGS!$B:$R,16,FALSE)</f>
        <v>NO</v>
      </c>
      <c r="AM416" s="47"/>
      <c r="AN416" s="47">
        <v>200</v>
      </c>
      <c r="AO416" s="57">
        <f>SUM(Table3[[#This Row],[MALE BENEFICIARIES]:[FEMALE BENEFICIARIES]])</f>
        <v>0</v>
      </c>
      <c r="AP416" s="58"/>
      <c r="AQ416" s="58"/>
      <c r="AR416" s="58"/>
      <c r="AS416" s="58">
        <v>1</v>
      </c>
      <c r="AT416" s="59" t="str">
        <f>VLOOKUP(Table3[[#This Row],[ACTIVITY]],TAGS!$B:$R,17,FALSE)</f>
        <v>YES</v>
      </c>
      <c r="AU416" s="59"/>
      <c r="AV416" s="59"/>
      <c r="AW416" s="59"/>
      <c r="AX416" s="59"/>
      <c r="AY416" s="59"/>
      <c r="AZ416" s="59"/>
      <c r="BA416" s="59"/>
      <c r="BB416" s="59"/>
      <c r="BC416" s="59"/>
      <c r="BD416" s="59"/>
      <c r="BE416" s="59"/>
      <c r="BF416" s="59"/>
      <c r="BG416" s="59"/>
      <c r="BH416" s="59"/>
      <c r="BI416" s="59"/>
      <c r="BJ416" s="59"/>
      <c r="BK416" s="59"/>
      <c r="BL416" s="59"/>
      <c r="BM416" s="59"/>
    </row>
    <row r="417" spans="1:65">
      <c r="A417" s="51" t="str">
        <f>VLOOKUP(Table3[[#This Row],[OU]],OU!$A$15:$B$34,2,FALSE)</f>
        <v>RFOs</v>
      </c>
      <c r="B417" s="47" t="s">
        <v>5</v>
      </c>
      <c r="C417" s="47" t="s">
        <v>574</v>
      </c>
      <c r="D417" s="53" t="s">
        <v>712</v>
      </c>
      <c r="E417" s="47" t="s">
        <v>43</v>
      </c>
      <c r="F417" s="47" t="s">
        <v>685</v>
      </c>
      <c r="G41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41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23112000</v>
      </c>
      <c r="I417" s="52" t="str">
        <f>VLOOKUP(Table3[[#This Row],[PSGC]],DISTRICT!$D:$G,4,FALSE)</f>
        <v>1st</v>
      </c>
      <c r="J417" s="47" t="s">
        <v>578</v>
      </c>
      <c r="K417" s="51" t="str">
        <f>VLOOKUP(Table3[[#This Row],[SPECIFIC COMMODITY]],TAGS!$W$48:$X$53,2,FALSE)</f>
        <v>Corn</v>
      </c>
      <c r="L417" s="51" t="str">
        <f>VLOOKUP(Table3[[#This Row],[PREXC SUB-PROGRAM]],Table5[],2,FALSE)</f>
        <v>AGRICULTURAL  MACHINERY, EQUIPMENT, FACILITIES AND INFRASTRUCTURE PROGRAM</v>
      </c>
      <c r="M417" s="51" t="str">
        <f>VLOOKUP(Table3[[#This Row],[COMMODITY PREXC SUB-PROGRAM]],TAGS!$U$54:$V$76,2,FALSE)</f>
        <v>AMEFSS</v>
      </c>
      <c r="N417" s="47" t="s">
        <v>594</v>
      </c>
      <c r="O417" s="54" t="str">
        <f>VLOOKUP(Table3[[#This Row],[PI LEVEL 3]],'PI LEVEL'!A:C,3,FALSE)</f>
        <v>Production machinery and equipment distributed</v>
      </c>
      <c r="P417" s="54" t="str">
        <f>VLOOKUP(Table3[[#This Row],[PI LEVEL 3]],Table53729[[Performance Indicator Level 3]:[Performance Indicator Level 1]],2,FALSE)</f>
        <v>Seeding machinery and equipment distributed</v>
      </c>
      <c r="Q417" s="54" t="str">
        <f>VLOOKUP(Table3[[#This Row],[ACTIVITY]],TAGS!B:P,2,FALSE)</f>
        <v>Seeder distributed</v>
      </c>
      <c r="R417" s="47" t="s">
        <v>175</v>
      </c>
      <c r="S417" s="51" t="str">
        <f>VLOOKUP(Table3[[#This Row],[ACTIVITY]],TAGS!$B:$P,4,FALSE)</f>
        <v>Production related machinery &amp; equipment</v>
      </c>
      <c r="T417" s="51" t="str">
        <f>VLOOKUP(Table3[[#This Row],[ACTIVITY]],TAGS!$B:$P,5,FALSE)</f>
        <v>Production-related</v>
      </c>
      <c r="U417" s="51" t="str">
        <f>VLOOKUP(Table3[[#This Row],[ACTIVITY]],TAGS!$B:$P,6,FALSE)</f>
        <v>Corn Seeder</v>
      </c>
      <c r="V417" s="51" t="str">
        <f>VLOOKUP(Table3[[#This Row],[ACTIVITY]],TAGS!$B:$P,7,FALSE)</f>
        <v>NO</v>
      </c>
      <c r="W417" s="51" t="str">
        <f>VLOOKUP(Table3[[#This Row],[ACTIVITY]],TAGS!$B:$P,8,FALSE)</f>
        <v>PAP</v>
      </c>
      <c r="X417" s="51" t="str">
        <f>VLOOKUP(Table3[[#This Row],[ACTIVITY]],TAGS!$B:$P,10,FALSE)</f>
        <v>PIP</v>
      </c>
      <c r="Y417" s="51" t="str">
        <f>VLOOKUP(Table3[[#This Row],[ACTIVITY]],TAGS!$B:$P,11,FALSE)</f>
        <v>PICS</v>
      </c>
      <c r="Z417" s="51" t="str">
        <f>VLOOKUP(Table3[[#This Row],[ACTIVITY]],TAGS!$B:$P,12,FALSE)</f>
        <v>Modernization</v>
      </c>
      <c r="AA417" s="51" t="str">
        <f>VLOOKUP(Table3[[#This Row],[ACTIVITY]],TAGS!$B:$P,13,FALSE)</f>
        <v>8. Farm Mechanization and Farm Investments</v>
      </c>
      <c r="AB417" s="51" t="str">
        <f>VLOOKUP(Table3[[#This Row],[ACTIVITY]],TAGS!$B:$P,14,FALSE)</f>
        <v>MECHANIZE AND MODERNIZE AGRI-FISHERY PRODUCTION SYSTEMS</v>
      </c>
      <c r="AC417" s="51" t="str">
        <f>VLOOKUP(Table3[[#This Row],[ACTIVITY]],TAGS!$B:$P,15,FALSE)</f>
        <v>Production-related</v>
      </c>
      <c r="AD417" s="51" t="str">
        <f>VLOOKUP(Table3[[#This Row],[PI LEVEL 3]],'PI LEVEL'!$A:$G,7,FALSE)</f>
        <v>DA-Level Output</v>
      </c>
      <c r="AE417" s="47" t="s">
        <v>577</v>
      </c>
      <c r="AF417" s="51" t="str">
        <f>VLOOKUP(Table3[[#This Row],[ACTIVITY]],TAGS!$B:$P,3,FALSE)</f>
        <v>number</v>
      </c>
      <c r="AG417" s="47" t="s">
        <v>335</v>
      </c>
      <c r="AH417" s="51" t="str">
        <f>VLOOKUP(Table3[[#This Row],[MONTH]],TAGS!$W$67:$Y$81,2,FALSE)</f>
        <v>3RD QTR</v>
      </c>
      <c r="AI417" s="51" t="str">
        <f>VLOOKUP(Table3[[#This Row],[MONTH]],TAGS!$W$67:$Y$81,3,FALSE)</f>
        <v>2ND SEMESTER</v>
      </c>
      <c r="AJ417" s="51">
        <f>VLOOKUP(Table3[[#This Row],[MONTH]],TAGS!$W$67:$Z$81,4,FALSE)</f>
        <v>2025</v>
      </c>
      <c r="AK417" s="47">
        <v>1</v>
      </c>
      <c r="AL417" s="51" t="str">
        <f>VLOOKUP(Table3[[#This Row],[ACTIVITY]],TAGS!$B:$R,16,FALSE)</f>
        <v>NO</v>
      </c>
      <c r="AM417" s="47"/>
      <c r="AN417" s="47">
        <v>200</v>
      </c>
      <c r="AO417" s="57">
        <f>SUM(Table3[[#This Row],[MALE BENEFICIARIES]:[FEMALE BENEFICIARIES]])</f>
        <v>0</v>
      </c>
      <c r="AP417" s="58"/>
      <c r="AQ417" s="58"/>
      <c r="AR417" s="58"/>
      <c r="AS417" s="58">
        <v>1</v>
      </c>
      <c r="AT417" s="59" t="str">
        <f>VLOOKUP(Table3[[#This Row],[ACTIVITY]],TAGS!$B:$R,17,FALSE)</f>
        <v>YES</v>
      </c>
      <c r="AU417" s="59"/>
      <c r="AV417" s="59"/>
      <c r="AW417" s="59"/>
      <c r="AX417" s="59"/>
      <c r="AY417" s="59"/>
      <c r="AZ417" s="59"/>
      <c r="BA417" s="59"/>
      <c r="BB417" s="59"/>
      <c r="BC417" s="59"/>
      <c r="BD417" s="59"/>
      <c r="BE417" s="59"/>
      <c r="BF417" s="59"/>
      <c r="BG417" s="59"/>
      <c r="BH417" s="59"/>
      <c r="BI417" s="59"/>
      <c r="BJ417" s="59"/>
      <c r="BK417" s="59"/>
      <c r="BL417" s="59"/>
      <c r="BM417" s="59"/>
    </row>
    <row r="418" spans="1:65">
      <c r="A418" s="51" t="str">
        <f>VLOOKUP(Table3[[#This Row],[OU]],OU!$A$15:$B$34,2,FALSE)</f>
        <v>RFOs</v>
      </c>
      <c r="B418" s="47" t="s">
        <v>5</v>
      </c>
      <c r="C418" s="47" t="s">
        <v>574</v>
      </c>
      <c r="D418" s="53" t="s">
        <v>706</v>
      </c>
      <c r="E418" s="47" t="s">
        <v>70</v>
      </c>
      <c r="F418" s="47" t="s">
        <v>636</v>
      </c>
      <c r="G41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41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25704000</v>
      </c>
      <c r="I418" s="52" t="str">
        <f>VLOOKUP(Table3[[#This Row],[PSGC]],DISTRICT!$D:$G,4,FALSE)</f>
        <v>1st</v>
      </c>
      <c r="J418" s="47" t="s">
        <v>578</v>
      </c>
      <c r="K418" s="51" t="str">
        <f>VLOOKUP(Table3[[#This Row],[SPECIFIC COMMODITY]],TAGS!$W$48:$X$53,2,FALSE)</f>
        <v>Corn</v>
      </c>
      <c r="L418" s="51" t="str">
        <f>VLOOKUP(Table3[[#This Row],[PREXC SUB-PROGRAM]],Table5[],2,FALSE)</f>
        <v>AGRICULTURAL  MACHINERY, EQUIPMENT, FACILITIES AND INFRASTRUCTURE PROGRAM</v>
      </c>
      <c r="M418" s="51" t="str">
        <f>VLOOKUP(Table3[[#This Row],[COMMODITY PREXC SUB-PROGRAM]],TAGS!$U$54:$V$76,2,FALSE)</f>
        <v>AMEFSS</v>
      </c>
      <c r="N418" s="47" t="s">
        <v>594</v>
      </c>
      <c r="O418" s="54" t="str">
        <f>VLOOKUP(Table3[[#This Row],[PI LEVEL 3]],'PI LEVEL'!A:C,3,FALSE)</f>
        <v>Production machinery and equipment distributed</v>
      </c>
      <c r="P418" s="54" t="str">
        <f>VLOOKUP(Table3[[#This Row],[PI LEVEL 3]],Table53729[[Performance Indicator Level 3]:[Performance Indicator Level 1]],2,FALSE)</f>
        <v>Seeding machinery and equipment distributed</v>
      </c>
      <c r="Q418" s="54" t="str">
        <f>VLOOKUP(Table3[[#This Row],[ACTIVITY]],TAGS!B:P,2,FALSE)</f>
        <v>Seeder distributed</v>
      </c>
      <c r="R418" s="47" t="s">
        <v>175</v>
      </c>
      <c r="S418" s="51" t="str">
        <f>VLOOKUP(Table3[[#This Row],[ACTIVITY]],TAGS!$B:$P,4,FALSE)</f>
        <v>Production related machinery &amp; equipment</v>
      </c>
      <c r="T418" s="51" t="str">
        <f>VLOOKUP(Table3[[#This Row],[ACTIVITY]],TAGS!$B:$P,5,FALSE)</f>
        <v>Production-related</v>
      </c>
      <c r="U418" s="51" t="str">
        <f>VLOOKUP(Table3[[#This Row],[ACTIVITY]],TAGS!$B:$P,6,FALSE)</f>
        <v>Corn Seeder</v>
      </c>
      <c r="V418" s="51" t="str">
        <f>VLOOKUP(Table3[[#This Row],[ACTIVITY]],TAGS!$B:$P,7,FALSE)</f>
        <v>NO</v>
      </c>
      <c r="W418" s="51" t="str">
        <f>VLOOKUP(Table3[[#This Row],[ACTIVITY]],TAGS!$B:$P,8,FALSE)</f>
        <v>PAP</v>
      </c>
      <c r="X418" s="51" t="str">
        <f>VLOOKUP(Table3[[#This Row],[ACTIVITY]],TAGS!$B:$P,10,FALSE)</f>
        <v>PIP</v>
      </c>
      <c r="Y418" s="51" t="str">
        <f>VLOOKUP(Table3[[#This Row],[ACTIVITY]],TAGS!$B:$P,11,FALSE)</f>
        <v>PICS</v>
      </c>
      <c r="Z418" s="51" t="str">
        <f>VLOOKUP(Table3[[#This Row],[ACTIVITY]],TAGS!$B:$P,12,FALSE)</f>
        <v>Modernization</v>
      </c>
      <c r="AA418" s="51" t="str">
        <f>VLOOKUP(Table3[[#This Row],[ACTIVITY]],TAGS!$B:$P,13,FALSE)</f>
        <v>8. Farm Mechanization and Farm Investments</v>
      </c>
      <c r="AB418" s="51" t="str">
        <f>VLOOKUP(Table3[[#This Row],[ACTIVITY]],TAGS!$B:$P,14,FALSE)</f>
        <v>MECHANIZE AND MODERNIZE AGRI-FISHERY PRODUCTION SYSTEMS</v>
      </c>
      <c r="AC418" s="51" t="str">
        <f>VLOOKUP(Table3[[#This Row],[ACTIVITY]],TAGS!$B:$P,15,FALSE)</f>
        <v>Production-related</v>
      </c>
      <c r="AD418" s="51" t="str">
        <f>VLOOKUP(Table3[[#This Row],[PI LEVEL 3]],'PI LEVEL'!$A:$G,7,FALSE)</f>
        <v>DA-Level Output</v>
      </c>
      <c r="AE418" s="47" t="s">
        <v>577</v>
      </c>
      <c r="AF418" s="51" t="str">
        <f>VLOOKUP(Table3[[#This Row],[ACTIVITY]],TAGS!$B:$P,3,FALSE)</f>
        <v>number</v>
      </c>
      <c r="AG418" s="47" t="s">
        <v>335</v>
      </c>
      <c r="AH418" s="51" t="str">
        <f>VLOOKUP(Table3[[#This Row],[MONTH]],TAGS!$W$67:$Y$81,2,FALSE)</f>
        <v>3RD QTR</v>
      </c>
      <c r="AI418" s="51" t="str">
        <f>VLOOKUP(Table3[[#This Row],[MONTH]],TAGS!$W$67:$Y$81,3,FALSE)</f>
        <v>2ND SEMESTER</v>
      </c>
      <c r="AJ418" s="51">
        <f>VLOOKUP(Table3[[#This Row],[MONTH]],TAGS!$W$67:$Z$81,4,FALSE)</f>
        <v>2025</v>
      </c>
      <c r="AK418" s="47">
        <v>1</v>
      </c>
      <c r="AL418" s="51" t="str">
        <f>VLOOKUP(Table3[[#This Row],[ACTIVITY]],TAGS!$B:$R,16,FALSE)</f>
        <v>NO</v>
      </c>
      <c r="AM418" s="47"/>
      <c r="AN418" s="47">
        <v>200</v>
      </c>
      <c r="AO418" s="57">
        <f>SUM(Table3[[#This Row],[MALE BENEFICIARIES]:[FEMALE BENEFICIARIES]])</f>
        <v>0</v>
      </c>
      <c r="AP418" s="58"/>
      <c r="AQ418" s="58"/>
      <c r="AR418" s="58"/>
      <c r="AS418" s="58">
        <v>1</v>
      </c>
      <c r="AT418" s="59" t="str">
        <f>VLOOKUP(Table3[[#This Row],[ACTIVITY]],TAGS!$B:$R,17,FALSE)</f>
        <v>YES</v>
      </c>
      <c r="AU418" s="59"/>
      <c r="AV418" s="59"/>
      <c r="AW418" s="59"/>
      <c r="AX418" s="59"/>
      <c r="AY418" s="59"/>
      <c r="AZ418" s="59"/>
      <c r="BA418" s="59"/>
      <c r="BB418" s="59"/>
      <c r="BC418" s="59"/>
      <c r="BD418" s="59"/>
      <c r="BE418" s="59"/>
      <c r="BF418" s="59"/>
      <c r="BG418" s="59"/>
      <c r="BH418" s="59"/>
      <c r="BI418" s="59"/>
      <c r="BJ418" s="59"/>
      <c r="BK418" s="59"/>
      <c r="BL418" s="59"/>
      <c r="BM418" s="59"/>
    </row>
    <row r="419" spans="1:65">
      <c r="A419" s="51" t="str">
        <f>VLOOKUP(Table3[[#This Row],[OU]],OU!$A$15:$B$34,2,FALSE)</f>
        <v>RFOs</v>
      </c>
      <c r="B419" s="47" t="s">
        <v>5</v>
      </c>
      <c r="C419" s="47" t="s">
        <v>574</v>
      </c>
      <c r="D419" s="64" t="s">
        <v>713</v>
      </c>
      <c r="E419" s="47" t="s">
        <v>70</v>
      </c>
      <c r="F419" s="47" t="s">
        <v>634</v>
      </c>
      <c r="G41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41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25701000</v>
      </c>
      <c r="I419" s="52" t="str">
        <f>VLOOKUP(Table3[[#This Row],[PSGC]],DISTRICT!$D:$G,4,FALSE)</f>
        <v>3rd</v>
      </c>
      <c r="J419" s="47" t="s">
        <v>578</v>
      </c>
      <c r="K419" s="51" t="str">
        <f>VLOOKUP(Table3[[#This Row],[SPECIFIC COMMODITY]],TAGS!$W$48:$X$53,2,FALSE)</f>
        <v>Corn</v>
      </c>
      <c r="L419" s="51" t="str">
        <f>VLOOKUP(Table3[[#This Row],[PREXC SUB-PROGRAM]],Table5[],2,FALSE)</f>
        <v>AGRICULTURAL  MACHINERY, EQUIPMENT, FACILITIES AND INFRASTRUCTURE PROGRAM</v>
      </c>
      <c r="M419" s="51" t="str">
        <f>VLOOKUP(Table3[[#This Row],[COMMODITY PREXC SUB-PROGRAM]],TAGS!$U$54:$V$76,2,FALSE)</f>
        <v>AMEFSS</v>
      </c>
      <c r="N419" s="47" t="s">
        <v>594</v>
      </c>
      <c r="O419" s="54" t="str">
        <f>VLOOKUP(Table3[[#This Row],[PI LEVEL 3]],'PI LEVEL'!A:C,3,FALSE)</f>
        <v>Production machinery and equipment distributed</v>
      </c>
      <c r="P419" s="54" t="str">
        <f>VLOOKUP(Table3[[#This Row],[PI LEVEL 3]],Table53729[[Performance Indicator Level 3]:[Performance Indicator Level 1]],2,FALSE)</f>
        <v>Seeding machinery and equipment distributed</v>
      </c>
      <c r="Q419" s="54" t="str">
        <f>VLOOKUP(Table3[[#This Row],[ACTIVITY]],TAGS!B:P,2,FALSE)</f>
        <v>Seeder distributed</v>
      </c>
      <c r="R419" s="47" t="s">
        <v>175</v>
      </c>
      <c r="S419" s="51" t="str">
        <f>VLOOKUP(Table3[[#This Row],[ACTIVITY]],TAGS!$B:$P,4,FALSE)</f>
        <v>Production related machinery &amp; equipment</v>
      </c>
      <c r="T419" s="51" t="str">
        <f>VLOOKUP(Table3[[#This Row],[ACTIVITY]],TAGS!$B:$P,5,FALSE)</f>
        <v>Production-related</v>
      </c>
      <c r="U419" s="51" t="str">
        <f>VLOOKUP(Table3[[#This Row],[ACTIVITY]],TAGS!$B:$P,6,FALSE)</f>
        <v>Corn Seeder</v>
      </c>
      <c r="V419" s="51" t="str">
        <f>VLOOKUP(Table3[[#This Row],[ACTIVITY]],TAGS!$B:$P,7,FALSE)</f>
        <v>NO</v>
      </c>
      <c r="W419" s="51" t="str">
        <f>VLOOKUP(Table3[[#This Row],[ACTIVITY]],TAGS!$B:$P,8,FALSE)</f>
        <v>PAP</v>
      </c>
      <c r="X419" s="51" t="str">
        <f>VLOOKUP(Table3[[#This Row],[ACTIVITY]],TAGS!$B:$P,10,FALSE)</f>
        <v>PIP</v>
      </c>
      <c r="Y419" s="51" t="str">
        <f>VLOOKUP(Table3[[#This Row],[ACTIVITY]],TAGS!$B:$P,11,FALSE)</f>
        <v>PICS</v>
      </c>
      <c r="Z419" s="51" t="str">
        <f>VLOOKUP(Table3[[#This Row],[ACTIVITY]],TAGS!$B:$P,12,FALSE)</f>
        <v>Modernization</v>
      </c>
      <c r="AA419" s="51" t="str">
        <f>VLOOKUP(Table3[[#This Row],[ACTIVITY]],TAGS!$B:$P,13,FALSE)</f>
        <v>8. Farm Mechanization and Farm Investments</v>
      </c>
      <c r="AB419" s="51" t="str">
        <f>VLOOKUP(Table3[[#This Row],[ACTIVITY]],TAGS!$B:$P,14,FALSE)</f>
        <v>MECHANIZE AND MODERNIZE AGRI-FISHERY PRODUCTION SYSTEMS</v>
      </c>
      <c r="AC419" s="51" t="str">
        <f>VLOOKUP(Table3[[#This Row],[ACTIVITY]],TAGS!$B:$P,15,FALSE)</f>
        <v>Production-related</v>
      </c>
      <c r="AD419" s="51" t="str">
        <f>VLOOKUP(Table3[[#This Row],[PI LEVEL 3]],'PI LEVEL'!$A:$G,7,FALSE)</f>
        <v>DA-Level Output</v>
      </c>
      <c r="AE419" s="47" t="s">
        <v>577</v>
      </c>
      <c r="AF419" s="51" t="str">
        <f>VLOOKUP(Table3[[#This Row],[ACTIVITY]],TAGS!$B:$P,3,FALSE)</f>
        <v>number</v>
      </c>
      <c r="AG419" s="47" t="s">
        <v>335</v>
      </c>
      <c r="AH419" s="51" t="str">
        <f>VLOOKUP(Table3[[#This Row],[MONTH]],TAGS!$W$67:$Y$81,2,FALSE)</f>
        <v>3RD QTR</v>
      </c>
      <c r="AI419" s="51" t="str">
        <f>VLOOKUP(Table3[[#This Row],[MONTH]],TAGS!$W$67:$Y$81,3,FALSE)</f>
        <v>2ND SEMESTER</v>
      </c>
      <c r="AJ419" s="51">
        <f>VLOOKUP(Table3[[#This Row],[MONTH]],TAGS!$W$67:$Z$81,4,FALSE)</f>
        <v>2025</v>
      </c>
      <c r="AK419" s="47">
        <v>1</v>
      </c>
      <c r="AL419" s="51" t="str">
        <f>VLOOKUP(Table3[[#This Row],[ACTIVITY]],TAGS!$B:$R,16,FALSE)</f>
        <v>NO</v>
      </c>
      <c r="AM419" s="47"/>
      <c r="AN419" s="47">
        <v>200</v>
      </c>
      <c r="AO419" s="57">
        <f>SUM(Table3[[#This Row],[MALE BENEFICIARIES]:[FEMALE BENEFICIARIES]])</f>
        <v>0</v>
      </c>
      <c r="AP419" s="58"/>
      <c r="AQ419" s="58"/>
      <c r="AR419" s="58"/>
      <c r="AS419" s="58">
        <v>1</v>
      </c>
      <c r="AT419" s="59" t="str">
        <f>VLOOKUP(Table3[[#This Row],[ACTIVITY]],TAGS!$B:$R,17,FALSE)</f>
        <v>YES</v>
      </c>
      <c r="AU419" s="59"/>
      <c r="AV419" s="59"/>
      <c r="AW419" s="59"/>
      <c r="AX419" s="59"/>
      <c r="AY419" s="59"/>
      <c r="AZ419" s="59"/>
      <c r="BA419" s="59"/>
      <c r="BB419" s="59"/>
      <c r="BC419" s="59"/>
      <c r="BD419" s="59"/>
      <c r="BE419" s="59"/>
      <c r="BF419" s="59"/>
      <c r="BG419" s="59"/>
      <c r="BH419" s="59"/>
      <c r="BI419" s="59"/>
      <c r="BJ419" s="59"/>
      <c r="BK419" s="59"/>
      <c r="BL419" s="59"/>
      <c r="BM419" s="59"/>
    </row>
    <row r="420" spans="1:65">
      <c r="A420" s="51" t="str">
        <f>VLOOKUP(Table3[[#This Row],[OU]],OU!$A$15:$B$34,2,FALSE)</f>
        <v>RFOs</v>
      </c>
      <c r="B420" s="47" t="s">
        <v>5</v>
      </c>
      <c r="C420" s="47" t="s">
        <v>574</v>
      </c>
      <c r="D420" s="64" t="s">
        <v>700</v>
      </c>
      <c r="E420" s="47" t="s">
        <v>22</v>
      </c>
      <c r="F420" s="47" t="s">
        <v>628</v>
      </c>
      <c r="G42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42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21517000</v>
      </c>
      <c r="I420" s="52" t="str">
        <f>VLOOKUP(Table3[[#This Row],[PSGC]],DISTRICT!$D:$G,4,FALSE)</f>
        <v>3rd</v>
      </c>
      <c r="J420" s="47" t="s">
        <v>578</v>
      </c>
      <c r="K420" s="51" t="str">
        <f>VLOOKUP(Table3[[#This Row],[SPECIFIC COMMODITY]],TAGS!$W$48:$X$53,2,FALSE)</f>
        <v>Corn</v>
      </c>
      <c r="L420" s="51" t="str">
        <f>VLOOKUP(Table3[[#This Row],[PREXC SUB-PROGRAM]],Table5[],2,FALSE)</f>
        <v>AGRICULTURAL  MACHINERY, EQUIPMENT, FACILITIES AND INFRASTRUCTURE PROGRAM</v>
      </c>
      <c r="M420" s="51" t="str">
        <f>VLOOKUP(Table3[[#This Row],[COMMODITY PREXC SUB-PROGRAM]],TAGS!$U$54:$V$76,2,FALSE)</f>
        <v>AMEFSS</v>
      </c>
      <c r="N420" s="47" t="s">
        <v>594</v>
      </c>
      <c r="O420" s="54" t="str">
        <f>VLOOKUP(Table3[[#This Row],[PI LEVEL 3]],'PI LEVEL'!A:C,3,FALSE)</f>
        <v>Production machinery and equipment distributed</v>
      </c>
      <c r="P420" s="54" t="str">
        <f>VLOOKUP(Table3[[#This Row],[PI LEVEL 3]],Table53729[[Performance Indicator Level 3]:[Performance Indicator Level 1]],2,FALSE)</f>
        <v>Seeding machinery and equipment distributed</v>
      </c>
      <c r="Q420" s="54" t="str">
        <f>VLOOKUP(Table3[[#This Row],[ACTIVITY]],TAGS!B:P,2,FALSE)</f>
        <v>Seeder distributed</v>
      </c>
      <c r="R420" s="47" t="s">
        <v>177</v>
      </c>
      <c r="S420" s="51" t="str">
        <f>VLOOKUP(Table3[[#This Row],[ACTIVITY]],TAGS!$B:$P,4,FALSE)</f>
        <v>Production related machinery &amp; equipment</v>
      </c>
      <c r="T420" s="51" t="str">
        <f>VLOOKUP(Table3[[#This Row],[ACTIVITY]],TAGS!$B:$P,5,FALSE)</f>
        <v>Production-related</v>
      </c>
      <c r="U420" s="51" t="str">
        <f>VLOOKUP(Table3[[#This Row],[ACTIVITY]],TAGS!$B:$P,6,FALSE)</f>
        <v>Corn Seeder</v>
      </c>
      <c r="V420" s="51" t="str">
        <f>VLOOKUP(Table3[[#This Row],[ACTIVITY]],TAGS!$B:$P,7,FALSE)</f>
        <v>NO</v>
      </c>
      <c r="W420" s="51" t="str">
        <f>VLOOKUP(Table3[[#This Row],[ACTIVITY]],TAGS!$B:$P,8,FALSE)</f>
        <v>PAP</v>
      </c>
      <c r="X420" s="51" t="str">
        <f>VLOOKUP(Table3[[#This Row],[ACTIVITY]],TAGS!$B:$P,10,FALSE)</f>
        <v>PIP</v>
      </c>
      <c r="Y420" s="51" t="str">
        <f>VLOOKUP(Table3[[#This Row],[ACTIVITY]],TAGS!$B:$P,11,FALSE)</f>
        <v>PICS</v>
      </c>
      <c r="Z420" s="51" t="str">
        <f>VLOOKUP(Table3[[#This Row],[ACTIVITY]],TAGS!$B:$P,12,FALSE)</f>
        <v>Modernization</v>
      </c>
      <c r="AA420" s="51" t="str">
        <f>VLOOKUP(Table3[[#This Row],[ACTIVITY]],TAGS!$B:$P,13,FALSE)</f>
        <v>8. Farm Mechanization and Farm Investments</v>
      </c>
      <c r="AB420" s="51" t="str">
        <f>VLOOKUP(Table3[[#This Row],[ACTIVITY]],TAGS!$B:$P,14,FALSE)</f>
        <v>MECHANIZE AND MODERNIZE AGRI-FISHERY PRODUCTION SYSTEMS</v>
      </c>
      <c r="AC420" s="51" t="str">
        <f>VLOOKUP(Table3[[#This Row],[ACTIVITY]],TAGS!$B:$P,15,FALSE)</f>
        <v>Production-related</v>
      </c>
      <c r="AD420" s="51" t="str">
        <f>VLOOKUP(Table3[[#This Row],[PI LEVEL 3]],'PI LEVEL'!$A:$G,7,FALSE)</f>
        <v>DA-Level Output</v>
      </c>
      <c r="AE420" s="47" t="s">
        <v>577</v>
      </c>
      <c r="AF420" s="51" t="str">
        <f>VLOOKUP(Table3[[#This Row],[ACTIVITY]],TAGS!$B:$P,3,FALSE)</f>
        <v>number</v>
      </c>
      <c r="AG420" s="47" t="s">
        <v>335</v>
      </c>
      <c r="AH420" s="51" t="str">
        <f>VLOOKUP(Table3[[#This Row],[MONTH]],TAGS!$W$67:$Y$81,2,FALSE)</f>
        <v>3RD QTR</v>
      </c>
      <c r="AI420" s="51" t="str">
        <f>VLOOKUP(Table3[[#This Row],[MONTH]],TAGS!$W$67:$Y$81,3,FALSE)</f>
        <v>2ND SEMESTER</v>
      </c>
      <c r="AJ420" s="51">
        <f>VLOOKUP(Table3[[#This Row],[MONTH]],TAGS!$W$67:$Z$81,4,FALSE)</f>
        <v>2025</v>
      </c>
      <c r="AK420" s="47">
        <v>5</v>
      </c>
      <c r="AL420" s="51" t="str">
        <f>VLOOKUP(Table3[[#This Row],[ACTIVITY]],TAGS!$B:$R,16,FALSE)</f>
        <v>NO</v>
      </c>
      <c r="AM420" s="47"/>
      <c r="AN420" s="47">
        <v>1500</v>
      </c>
      <c r="AO420" s="57">
        <f>SUM(Table3[[#This Row],[MALE BENEFICIARIES]:[FEMALE BENEFICIARIES]])</f>
        <v>0</v>
      </c>
      <c r="AP420" s="58"/>
      <c r="AQ420" s="58"/>
      <c r="AR420" s="58"/>
      <c r="AS420" s="58">
        <v>1</v>
      </c>
      <c r="AT420" s="59" t="str">
        <f>VLOOKUP(Table3[[#This Row],[ACTIVITY]],TAGS!$B:$R,17,FALSE)</f>
        <v>YES</v>
      </c>
      <c r="AU420" s="59"/>
      <c r="AV420" s="59"/>
      <c r="AW420" s="59"/>
      <c r="AX420" s="59"/>
      <c r="AY420" s="59"/>
      <c r="AZ420" s="59"/>
      <c r="BA420" s="59"/>
      <c r="BB420" s="59"/>
      <c r="BC420" s="59"/>
      <c r="BD420" s="59"/>
      <c r="BE420" s="59"/>
      <c r="BF420" s="59"/>
      <c r="BG420" s="59"/>
      <c r="BH420" s="59"/>
      <c r="BI420" s="59"/>
      <c r="BJ420" s="59"/>
      <c r="BK420" s="59"/>
      <c r="BL420" s="59"/>
      <c r="BM420" s="59"/>
    </row>
    <row r="421" spans="1:65">
      <c r="A421" s="51" t="str">
        <f>VLOOKUP(Table3[[#This Row],[OU]],OU!$A$15:$B$34,2,FALSE)</f>
        <v>RFOs</v>
      </c>
      <c r="B421" s="47" t="s">
        <v>5</v>
      </c>
      <c r="C421" s="47" t="s">
        <v>574</v>
      </c>
      <c r="D421" s="64" t="s">
        <v>714</v>
      </c>
      <c r="E421" s="47" t="s">
        <v>22</v>
      </c>
      <c r="F421" s="47" t="s">
        <v>628</v>
      </c>
      <c r="G42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42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21517000</v>
      </c>
      <c r="I421" s="52" t="str">
        <f>VLOOKUP(Table3[[#This Row],[PSGC]],DISTRICT!$D:$G,4,FALSE)</f>
        <v>3rd</v>
      </c>
      <c r="J421" s="47" t="s">
        <v>578</v>
      </c>
      <c r="K421" s="51" t="str">
        <f>VLOOKUP(Table3[[#This Row],[SPECIFIC COMMODITY]],TAGS!$W$48:$X$53,2,FALSE)</f>
        <v>Corn</v>
      </c>
      <c r="L421" s="51" t="str">
        <f>VLOOKUP(Table3[[#This Row],[PREXC SUB-PROGRAM]],Table5[],2,FALSE)</f>
        <v>AGRICULTURAL  MACHINERY, EQUIPMENT, FACILITIES AND INFRASTRUCTURE PROGRAM</v>
      </c>
      <c r="M421" s="51" t="str">
        <f>VLOOKUP(Table3[[#This Row],[COMMODITY PREXC SUB-PROGRAM]],TAGS!$U$54:$V$76,2,FALSE)</f>
        <v>AMEFSS</v>
      </c>
      <c r="N421" s="47" t="s">
        <v>594</v>
      </c>
      <c r="O421" s="54" t="str">
        <f>VLOOKUP(Table3[[#This Row],[PI LEVEL 3]],'PI LEVEL'!A:C,3,FALSE)</f>
        <v>Production machinery and equipment distributed</v>
      </c>
      <c r="P421" s="54" t="str">
        <f>VLOOKUP(Table3[[#This Row],[PI LEVEL 3]],Table53729[[Performance Indicator Level 3]:[Performance Indicator Level 1]],2,FALSE)</f>
        <v>Seeding machinery and equipment distributed</v>
      </c>
      <c r="Q421" s="54" t="str">
        <f>VLOOKUP(Table3[[#This Row],[ACTIVITY]],TAGS!B:P,2,FALSE)</f>
        <v>Seeder distributed</v>
      </c>
      <c r="R421" s="47" t="s">
        <v>177</v>
      </c>
      <c r="S421" s="51" t="str">
        <f>VLOOKUP(Table3[[#This Row],[ACTIVITY]],TAGS!$B:$P,4,FALSE)</f>
        <v>Production related machinery &amp; equipment</v>
      </c>
      <c r="T421" s="51" t="str">
        <f>VLOOKUP(Table3[[#This Row],[ACTIVITY]],TAGS!$B:$P,5,FALSE)</f>
        <v>Production-related</v>
      </c>
      <c r="U421" s="51" t="str">
        <f>VLOOKUP(Table3[[#This Row],[ACTIVITY]],TAGS!$B:$P,6,FALSE)</f>
        <v>Corn Seeder</v>
      </c>
      <c r="V421" s="51" t="str">
        <f>VLOOKUP(Table3[[#This Row],[ACTIVITY]],TAGS!$B:$P,7,FALSE)</f>
        <v>NO</v>
      </c>
      <c r="W421" s="51" t="str">
        <f>VLOOKUP(Table3[[#This Row],[ACTIVITY]],TAGS!$B:$P,8,FALSE)</f>
        <v>PAP</v>
      </c>
      <c r="X421" s="51" t="str">
        <f>VLOOKUP(Table3[[#This Row],[ACTIVITY]],TAGS!$B:$P,10,FALSE)</f>
        <v>PIP</v>
      </c>
      <c r="Y421" s="51" t="str">
        <f>VLOOKUP(Table3[[#This Row],[ACTIVITY]],TAGS!$B:$P,11,FALSE)</f>
        <v>PICS</v>
      </c>
      <c r="Z421" s="51" t="str">
        <f>VLOOKUP(Table3[[#This Row],[ACTIVITY]],TAGS!$B:$P,12,FALSE)</f>
        <v>Modernization</v>
      </c>
      <c r="AA421" s="51" t="str">
        <f>VLOOKUP(Table3[[#This Row],[ACTIVITY]],TAGS!$B:$P,13,FALSE)</f>
        <v>8. Farm Mechanization and Farm Investments</v>
      </c>
      <c r="AB421" s="51" t="str">
        <f>VLOOKUP(Table3[[#This Row],[ACTIVITY]],TAGS!$B:$P,14,FALSE)</f>
        <v>MECHANIZE AND MODERNIZE AGRI-FISHERY PRODUCTION SYSTEMS</v>
      </c>
      <c r="AC421" s="51" t="str">
        <f>VLOOKUP(Table3[[#This Row],[ACTIVITY]],TAGS!$B:$P,15,FALSE)</f>
        <v>Production-related</v>
      </c>
      <c r="AD421" s="51" t="str">
        <f>VLOOKUP(Table3[[#This Row],[PI LEVEL 3]],'PI LEVEL'!$A:$G,7,FALSE)</f>
        <v>DA-Level Output</v>
      </c>
      <c r="AE421" s="47" t="s">
        <v>577</v>
      </c>
      <c r="AF421" s="51" t="str">
        <f>VLOOKUP(Table3[[#This Row],[ACTIVITY]],TAGS!$B:$P,3,FALSE)</f>
        <v>number</v>
      </c>
      <c r="AG421" s="47" t="s">
        <v>335</v>
      </c>
      <c r="AH421" s="51" t="str">
        <f>VLOOKUP(Table3[[#This Row],[MONTH]],TAGS!$W$67:$Y$81,2,FALSE)</f>
        <v>3RD QTR</v>
      </c>
      <c r="AI421" s="51" t="str">
        <f>VLOOKUP(Table3[[#This Row],[MONTH]],TAGS!$W$67:$Y$81,3,FALSE)</f>
        <v>2ND SEMESTER</v>
      </c>
      <c r="AJ421" s="51">
        <f>VLOOKUP(Table3[[#This Row],[MONTH]],TAGS!$W$67:$Z$81,4,FALSE)</f>
        <v>2025</v>
      </c>
      <c r="AK421" s="47">
        <v>5</v>
      </c>
      <c r="AL421" s="51" t="str">
        <f>VLOOKUP(Table3[[#This Row],[ACTIVITY]],TAGS!$B:$R,16,FALSE)</f>
        <v>NO</v>
      </c>
      <c r="AM421" s="47"/>
      <c r="AN421" s="47">
        <v>1500</v>
      </c>
      <c r="AO421" s="57">
        <f>SUM(Table3[[#This Row],[MALE BENEFICIARIES]:[FEMALE BENEFICIARIES]])</f>
        <v>0</v>
      </c>
      <c r="AP421" s="58"/>
      <c r="AQ421" s="58"/>
      <c r="AR421" s="58"/>
      <c r="AS421" s="58">
        <v>1</v>
      </c>
      <c r="AT421" s="59" t="str">
        <f>VLOOKUP(Table3[[#This Row],[ACTIVITY]],TAGS!$B:$R,17,FALSE)</f>
        <v>YES</v>
      </c>
      <c r="AU421" s="59"/>
      <c r="AV421" s="59"/>
      <c r="AW421" s="59"/>
      <c r="AX421" s="59"/>
      <c r="AY421" s="59"/>
      <c r="AZ421" s="59"/>
      <c r="BA421" s="59"/>
      <c r="BB421" s="59"/>
      <c r="BC421" s="59"/>
      <c r="BD421" s="59"/>
      <c r="BE421" s="59"/>
      <c r="BF421" s="59"/>
      <c r="BG421" s="59"/>
      <c r="BH421" s="59"/>
      <c r="BI421" s="59"/>
      <c r="BJ421" s="59"/>
      <c r="BK421" s="59"/>
      <c r="BL421" s="59"/>
      <c r="BM421" s="59"/>
    </row>
    <row r="422" spans="1:65">
      <c r="A422" s="51" t="str">
        <f>VLOOKUP(Table3[[#This Row],[OU]],OU!$A$15:$B$34,2,FALSE)</f>
        <v>RFOs</v>
      </c>
      <c r="B422" s="47" t="s">
        <v>5</v>
      </c>
      <c r="C422" s="47" t="s">
        <v>574</v>
      </c>
      <c r="D422" s="64" t="s">
        <v>715</v>
      </c>
      <c r="E422" s="47" t="s">
        <v>22</v>
      </c>
      <c r="F422" s="47" t="s">
        <v>658</v>
      </c>
      <c r="G42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42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21519000</v>
      </c>
      <c r="I422" s="52" t="str">
        <f>VLOOKUP(Table3[[#This Row],[PSGC]],DISTRICT!$D:$G,4,FALSE)</f>
        <v>1st</v>
      </c>
      <c r="J422" s="47" t="s">
        <v>578</v>
      </c>
      <c r="K422" s="51" t="str">
        <f>VLOOKUP(Table3[[#This Row],[SPECIFIC COMMODITY]],TAGS!$W$48:$X$53,2,FALSE)</f>
        <v>Corn</v>
      </c>
      <c r="L422" s="51" t="str">
        <f>VLOOKUP(Table3[[#This Row],[PREXC SUB-PROGRAM]],Table5[],2,FALSE)</f>
        <v>AGRICULTURAL  MACHINERY, EQUIPMENT, FACILITIES AND INFRASTRUCTURE PROGRAM</v>
      </c>
      <c r="M422" s="51" t="str">
        <f>VLOOKUP(Table3[[#This Row],[COMMODITY PREXC SUB-PROGRAM]],TAGS!$U$54:$V$76,2,FALSE)</f>
        <v>AMEFSS</v>
      </c>
      <c r="N422" s="47" t="s">
        <v>594</v>
      </c>
      <c r="O422" s="54" t="str">
        <f>VLOOKUP(Table3[[#This Row],[PI LEVEL 3]],'PI LEVEL'!A:C,3,FALSE)</f>
        <v>Production machinery and equipment distributed</v>
      </c>
      <c r="P422" s="54" t="str">
        <f>VLOOKUP(Table3[[#This Row],[PI LEVEL 3]],Table53729[[Performance Indicator Level 3]:[Performance Indicator Level 1]],2,FALSE)</f>
        <v>Seeding machinery and equipment distributed</v>
      </c>
      <c r="Q422" s="54" t="str">
        <f>VLOOKUP(Table3[[#This Row],[ACTIVITY]],TAGS!B:P,2,FALSE)</f>
        <v>Seeder distributed</v>
      </c>
      <c r="R422" s="47" t="s">
        <v>177</v>
      </c>
      <c r="S422" s="51" t="str">
        <f>VLOOKUP(Table3[[#This Row],[ACTIVITY]],TAGS!$B:$P,4,FALSE)</f>
        <v>Production related machinery &amp; equipment</v>
      </c>
      <c r="T422" s="51" t="str">
        <f>VLOOKUP(Table3[[#This Row],[ACTIVITY]],TAGS!$B:$P,5,FALSE)</f>
        <v>Production-related</v>
      </c>
      <c r="U422" s="51" t="str">
        <f>VLOOKUP(Table3[[#This Row],[ACTIVITY]],TAGS!$B:$P,6,FALSE)</f>
        <v>Corn Seeder</v>
      </c>
      <c r="V422" s="51" t="str">
        <f>VLOOKUP(Table3[[#This Row],[ACTIVITY]],TAGS!$B:$P,7,FALSE)</f>
        <v>NO</v>
      </c>
      <c r="W422" s="51" t="str">
        <f>VLOOKUP(Table3[[#This Row],[ACTIVITY]],TAGS!$B:$P,8,FALSE)</f>
        <v>PAP</v>
      </c>
      <c r="X422" s="51" t="str">
        <f>VLOOKUP(Table3[[#This Row],[ACTIVITY]],TAGS!$B:$P,10,FALSE)</f>
        <v>PIP</v>
      </c>
      <c r="Y422" s="51" t="str">
        <f>VLOOKUP(Table3[[#This Row],[ACTIVITY]],TAGS!$B:$P,11,FALSE)</f>
        <v>PICS</v>
      </c>
      <c r="Z422" s="51" t="str">
        <f>VLOOKUP(Table3[[#This Row],[ACTIVITY]],TAGS!$B:$P,12,FALSE)</f>
        <v>Modernization</v>
      </c>
      <c r="AA422" s="51" t="str">
        <f>VLOOKUP(Table3[[#This Row],[ACTIVITY]],TAGS!$B:$P,13,FALSE)</f>
        <v>8. Farm Mechanization and Farm Investments</v>
      </c>
      <c r="AB422" s="51" t="str">
        <f>VLOOKUP(Table3[[#This Row],[ACTIVITY]],TAGS!$B:$P,14,FALSE)</f>
        <v>MECHANIZE AND MODERNIZE AGRI-FISHERY PRODUCTION SYSTEMS</v>
      </c>
      <c r="AC422" s="51" t="str">
        <f>VLOOKUP(Table3[[#This Row],[ACTIVITY]],TAGS!$B:$P,15,FALSE)</f>
        <v>Production-related</v>
      </c>
      <c r="AD422" s="51" t="str">
        <f>VLOOKUP(Table3[[#This Row],[PI LEVEL 3]],'PI LEVEL'!$A:$G,7,FALSE)</f>
        <v>DA-Level Output</v>
      </c>
      <c r="AE422" s="47" t="s">
        <v>577</v>
      </c>
      <c r="AF422" s="51" t="str">
        <f>VLOOKUP(Table3[[#This Row],[ACTIVITY]],TAGS!$B:$P,3,FALSE)</f>
        <v>number</v>
      </c>
      <c r="AG422" s="47" t="s">
        <v>335</v>
      </c>
      <c r="AH422" s="51" t="str">
        <f>VLOOKUP(Table3[[#This Row],[MONTH]],TAGS!$W$67:$Y$81,2,FALSE)</f>
        <v>3RD QTR</v>
      </c>
      <c r="AI422" s="51" t="str">
        <f>VLOOKUP(Table3[[#This Row],[MONTH]],TAGS!$W$67:$Y$81,3,FALSE)</f>
        <v>2ND SEMESTER</v>
      </c>
      <c r="AJ422" s="51">
        <f>VLOOKUP(Table3[[#This Row],[MONTH]],TAGS!$W$67:$Z$81,4,FALSE)</f>
        <v>2025</v>
      </c>
      <c r="AK422" s="47">
        <v>5</v>
      </c>
      <c r="AL422" s="51" t="str">
        <f>VLOOKUP(Table3[[#This Row],[ACTIVITY]],TAGS!$B:$R,16,FALSE)</f>
        <v>NO</v>
      </c>
      <c r="AM422" s="47"/>
      <c r="AN422" s="47">
        <v>1500</v>
      </c>
      <c r="AO422" s="57">
        <f>SUM(Table3[[#This Row],[MALE BENEFICIARIES]:[FEMALE BENEFICIARIES]])</f>
        <v>0</v>
      </c>
      <c r="AP422" s="58"/>
      <c r="AQ422" s="58"/>
      <c r="AR422" s="58"/>
      <c r="AS422" s="58">
        <v>1</v>
      </c>
      <c r="AT422" s="59" t="str">
        <f>VLOOKUP(Table3[[#This Row],[ACTIVITY]],TAGS!$B:$R,17,FALSE)</f>
        <v>YES</v>
      </c>
      <c r="AU422" s="59"/>
      <c r="AV422" s="59"/>
      <c r="AW422" s="59"/>
      <c r="AX422" s="59"/>
      <c r="AY422" s="59"/>
      <c r="AZ422" s="59"/>
      <c r="BA422" s="59"/>
      <c r="BB422" s="59"/>
      <c r="BC422" s="59"/>
      <c r="BD422" s="59"/>
      <c r="BE422" s="59"/>
      <c r="BF422" s="59"/>
      <c r="BG422" s="59"/>
      <c r="BH422" s="59"/>
      <c r="BI422" s="59"/>
      <c r="BJ422" s="59"/>
      <c r="BK422" s="59"/>
      <c r="BL422" s="59"/>
      <c r="BM422" s="59"/>
    </row>
    <row r="423" spans="1:65">
      <c r="A423" s="51" t="str">
        <f>VLOOKUP(Table3[[#This Row],[OU]],OU!$A$15:$B$34,2,FALSE)</f>
        <v>RFOs</v>
      </c>
      <c r="B423" s="47" t="s">
        <v>5</v>
      </c>
      <c r="C423" s="47" t="s">
        <v>574</v>
      </c>
      <c r="D423" s="64" t="s">
        <v>716</v>
      </c>
      <c r="E423" s="47" t="s">
        <v>43</v>
      </c>
      <c r="F423" s="47" t="s">
        <v>661</v>
      </c>
      <c r="G42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2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23118000</v>
      </c>
      <c r="I423" s="52" t="str">
        <f>VLOOKUP(Table3[[#This Row],[PSGC]],DISTRICT!$D:$G,4,FALSE)</f>
        <v>4th</v>
      </c>
      <c r="J423" s="47" t="s">
        <v>578</v>
      </c>
      <c r="K423" s="51" t="str">
        <f>VLOOKUP(Table3[[#This Row],[SPECIFIC COMMODITY]],TAGS!$W$48:$X$53,2,FALSE)</f>
        <v>Corn</v>
      </c>
      <c r="L423" s="51" t="str">
        <f>VLOOKUP(Table3[[#This Row],[PREXC SUB-PROGRAM]],Table5[],2,FALSE)</f>
        <v>AGRICULTURAL  MACHINERY, EQUIPMENT, FACILITIES AND INFRASTRUCTURE PROGRAM</v>
      </c>
      <c r="M423" s="51" t="str">
        <f>VLOOKUP(Table3[[#This Row],[COMMODITY PREXC SUB-PROGRAM]],TAGS!$U$54:$V$76,2,FALSE)</f>
        <v>AMEFSS</v>
      </c>
      <c r="N423" s="47" t="s">
        <v>594</v>
      </c>
      <c r="O423" s="54" t="str">
        <f>VLOOKUP(Table3[[#This Row],[PI LEVEL 3]],'PI LEVEL'!A:C,3,FALSE)</f>
        <v>Production machinery and equipment distributed</v>
      </c>
      <c r="P423" s="54" t="str">
        <f>VLOOKUP(Table3[[#This Row],[PI LEVEL 3]],Table53729[[Performance Indicator Level 3]:[Performance Indicator Level 1]],2,FALSE)</f>
        <v>Seeding machinery and equipment distributed</v>
      </c>
      <c r="Q423" s="54" t="str">
        <f>VLOOKUP(Table3[[#This Row],[ACTIVITY]],TAGS!B:P,2,FALSE)</f>
        <v>Seeder distributed</v>
      </c>
      <c r="R423" s="47" t="s">
        <v>177</v>
      </c>
      <c r="S423" s="51" t="str">
        <f>VLOOKUP(Table3[[#This Row],[ACTIVITY]],TAGS!$B:$P,4,FALSE)</f>
        <v>Production related machinery &amp; equipment</v>
      </c>
      <c r="T423" s="51" t="str">
        <f>VLOOKUP(Table3[[#This Row],[ACTIVITY]],TAGS!$B:$P,5,FALSE)</f>
        <v>Production-related</v>
      </c>
      <c r="U423" s="51" t="str">
        <f>VLOOKUP(Table3[[#This Row],[ACTIVITY]],TAGS!$B:$P,6,FALSE)</f>
        <v>Corn Seeder</v>
      </c>
      <c r="V423" s="51" t="str">
        <f>VLOOKUP(Table3[[#This Row],[ACTIVITY]],TAGS!$B:$P,7,FALSE)</f>
        <v>NO</v>
      </c>
      <c r="W423" s="51" t="str">
        <f>VLOOKUP(Table3[[#This Row],[ACTIVITY]],TAGS!$B:$P,8,FALSE)</f>
        <v>PAP</v>
      </c>
      <c r="X423" s="51" t="str">
        <f>VLOOKUP(Table3[[#This Row],[ACTIVITY]],TAGS!$B:$P,10,FALSE)</f>
        <v>PIP</v>
      </c>
      <c r="Y423" s="51" t="str">
        <f>VLOOKUP(Table3[[#This Row],[ACTIVITY]],TAGS!$B:$P,11,FALSE)</f>
        <v>PICS</v>
      </c>
      <c r="Z423" s="51" t="str">
        <f>VLOOKUP(Table3[[#This Row],[ACTIVITY]],TAGS!$B:$P,12,FALSE)</f>
        <v>Modernization</v>
      </c>
      <c r="AA423" s="51" t="str">
        <f>VLOOKUP(Table3[[#This Row],[ACTIVITY]],TAGS!$B:$P,13,FALSE)</f>
        <v>8. Farm Mechanization and Farm Investments</v>
      </c>
      <c r="AB423" s="51" t="str">
        <f>VLOOKUP(Table3[[#This Row],[ACTIVITY]],TAGS!$B:$P,14,FALSE)</f>
        <v>MECHANIZE AND MODERNIZE AGRI-FISHERY PRODUCTION SYSTEMS</v>
      </c>
      <c r="AC423" s="51" t="str">
        <f>VLOOKUP(Table3[[#This Row],[ACTIVITY]],TAGS!$B:$P,15,FALSE)</f>
        <v>Production-related</v>
      </c>
      <c r="AD423" s="51" t="str">
        <f>VLOOKUP(Table3[[#This Row],[PI LEVEL 3]],'PI LEVEL'!$A:$G,7,FALSE)</f>
        <v>DA-Level Output</v>
      </c>
      <c r="AE423" s="47" t="s">
        <v>577</v>
      </c>
      <c r="AF423" s="51" t="str">
        <f>VLOOKUP(Table3[[#This Row],[ACTIVITY]],TAGS!$B:$P,3,FALSE)</f>
        <v>number</v>
      </c>
      <c r="AG423" s="47" t="s">
        <v>335</v>
      </c>
      <c r="AH423" s="51" t="str">
        <f>VLOOKUP(Table3[[#This Row],[MONTH]],TAGS!$W$67:$Y$81,2,FALSE)</f>
        <v>3RD QTR</v>
      </c>
      <c r="AI423" s="51" t="str">
        <f>VLOOKUP(Table3[[#This Row],[MONTH]],TAGS!$W$67:$Y$81,3,FALSE)</f>
        <v>2ND SEMESTER</v>
      </c>
      <c r="AJ423" s="51">
        <f>VLOOKUP(Table3[[#This Row],[MONTH]],TAGS!$W$67:$Z$81,4,FALSE)</f>
        <v>2025</v>
      </c>
      <c r="AK423" s="47">
        <v>5</v>
      </c>
      <c r="AL423" s="51" t="str">
        <f>VLOOKUP(Table3[[#This Row],[ACTIVITY]],TAGS!$B:$R,16,FALSE)</f>
        <v>NO</v>
      </c>
      <c r="AM423" s="47"/>
      <c r="AN423" s="47">
        <v>1500</v>
      </c>
      <c r="AO423" s="57">
        <f>SUM(Table3[[#This Row],[MALE BENEFICIARIES]:[FEMALE BENEFICIARIES]])</f>
        <v>0</v>
      </c>
      <c r="AP423" s="58"/>
      <c r="AQ423" s="58"/>
      <c r="AR423" s="58"/>
      <c r="AS423" s="58">
        <v>1</v>
      </c>
      <c r="AT423" s="59" t="str">
        <f>VLOOKUP(Table3[[#This Row],[ACTIVITY]],TAGS!$B:$R,17,FALSE)</f>
        <v>YES</v>
      </c>
      <c r="AU423" s="59"/>
      <c r="AV423" s="59"/>
      <c r="AW423" s="59"/>
      <c r="AX423" s="59"/>
      <c r="AY423" s="59"/>
      <c r="AZ423" s="59"/>
      <c r="BA423" s="59"/>
      <c r="BB423" s="59"/>
      <c r="BC423" s="59"/>
      <c r="BD423" s="59"/>
      <c r="BE423" s="59"/>
      <c r="BF423" s="59"/>
      <c r="BG423" s="59"/>
      <c r="BH423" s="59"/>
      <c r="BI423" s="59"/>
      <c r="BJ423" s="59"/>
      <c r="BK423" s="59"/>
      <c r="BL423" s="59"/>
      <c r="BM423" s="59"/>
    </row>
    <row r="424" spans="1:65">
      <c r="A424" s="51" t="str">
        <f>VLOOKUP(Table3[[#This Row],[OU]],OU!$A$15:$B$34,2,FALSE)</f>
        <v>RFOs</v>
      </c>
      <c r="B424" s="47" t="s">
        <v>5</v>
      </c>
      <c r="C424" s="47" t="s">
        <v>574</v>
      </c>
      <c r="D424" s="53" t="s">
        <v>717</v>
      </c>
      <c r="E424" s="47" t="s">
        <v>43</v>
      </c>
      <c r="F424" s="65" t="s">
        <v>630</v>
      </c>
      <c r="G42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2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23114000</v>
      </c>
      <c r="I424" s="52" t="str">
        <f>VLOOKUP(Table3[[#This Row],[PSGC]],DISTRICT!$D:$G,4,FALSE)</f>
        <v>1st</v>
      </c>
      <c r="J424" s="47" t="s">
        <v>578</v>
      </c>
      <c r="K424" s="51" t="str">
        <f>VLOOKUP(Table3[[#This Row],[SPECIFIC COMMODITY]],TAGS!$W$48:$X$53,2,FALSE)</f>
        <v>Corn</v>
      </c>
      <c r="L424" s="51" t="str">
        <f>VLOOKUP(Table3[[#This Row],[PREXC SUB-PROGRAM]],Table5[],2,FALSE)</f>
        <v>AGRICULTURAL  MACHINERY, EQUIPMENT, FACILITIES AND INFRASTRUCTURE PROGRAM</v>
      </c>
      <c r="M424" s="51" t="str">
        <f>VLOOKUP(Table3[[#This Row],[COMMODITY PREXC SUB-PROGRAM]],TAGS!$U$54:$V$76,2,FALSE)</f>
        <v>AMEFSS</v>
      </c>
      <c r="N424" s="47" t="s">
        <v>594</v>
      </c>
      <c r="O424" s="54" t="str">
        <f>VLOOKUP(Table3[[#This Row],[PI LEVEL 3]],'PI LEVEL'!A:C,3,FALSE)</f>
        <v>Production machinery and equipment distributed</v>
      </c>
      <c r="P424" s="54" t="str">
        <f>VLOOKUP(Table3[[#This Row],[PI LEVEL 3]],Table53729[[Performance Indicator Level 3]:[Performance Indicator Level 1]],2,FALSE)</f>
        <v>Seeding machinery and equipment distributed</v>
      </c>
      <c r="Q424" s="54" t="str">
        <f>VLOOKUP(Table3[[#This Row],[ACTIVITY]],TAGS!B:P,2,FALSE)</f>
        <v>Seeder distributed</v>
      </c>
      <c r="R424" s="47" t="s">
        <v>177</v>
      </c>
      <c r="S424" s="51" t="str">
        <f>VLOOKUP(Table3[[#This Row],[ACTIVITY]],TAGS!$B:$P,4,FALSE)</f>
        <v>Production related machinery &amp; equipment</v>
      </c>
      <c r="T424" s="51" t="str">
        <f>VLOOKUP(Table3[[#This Row],[ACTIVITY]],TAGS!$B:$P,5,FALSE)</f>
        <v>Production-related</v>
      </c>
      <c r="U424" s="51" t="str">
        <f>VLOOKUP(Table3[[#This Row],[ACTIVITY]],TAGS!$B:$P,6,FALSE)</f>
        <v>Corn Seeder</v>
      </c>
      <c r="V424" s="51" t="str">
        <f>VLOOKUP(Table3[[#This Row],[ACTIVITY]],TAGS!$B:$P,7,FALSE)</f>
        <v>NO</v>
      </c>
      <c r="W424" s="51" t="str">
        <f>VLOOKUP(Table3[[#This Row],[ACTIVITY]],TAGS!$B:$P,8,FALSE)</f>
        <v>PAP</v>
      </c>
      <c r="X424" s="51" t="str">
        <f>VLOOKUP(Table3[[#This Row],[ACTIVITY]],TAGS!$B:$P,10,FALSE)</f>
        <v>PIP</v>
      </c>
      <c r="Y424" s="51" t="str">
        <f>VLOOKUP(Table3[[#This Row],[ACTIVITY]],TAGS!$B:$P,11,FALSE)</f>
        <v>PICS</v>
      </c>
      <c r="Z424" s="51" t="str">
        <f>VLOOKUP(Table3[[#This Row],[ACTIVITY]],TAGS!$B:$P,12,FALSE)</f>
        <v>Modernization</v>
      </c>
      <c r="AA424" s="51" t="str">
        <f>VLOOKUP(Table3[[#This Row],[ACTIVITY]],TAGS!$B:$P,13,FALSE)</f>
        <v>8. Farm Mechanization and Farm Investments</v>
      </c>
      <c r="AB424" s="51" t="str">
        <f>VLOOKUP(Table3[[#This Row],[ACTIVITY]],TAGS!$B:$P,14,FALSE)</f>
        <v>MECHANIZE AND MODERNIZE AGRI-FISHERY PRODUCTION SYSTEMS</v>
      </c>
      <c r="AC424" s="51" t="str">
        <f>VLOOKUP(Table3[[#This Row],[ACTIVITY]],TAGS!$B:$P,15,FALSE)</f>
        <v>Production-related</v>
      </c>
      <c r="AD424" s="51" t="str">
        <f>VLOOKUP(Table3[[#This Row],[PI LEVEL 3]],'PI LEVEL'!$A:$G,7,FALSE)</f>
        <v>DA-Level Output</v>
      </c>
      <c r="AE424" s="47" t="s">
        <v>577</v>
      </c>
      <c r="AF424" s="51" t="str">
        <f>VLOOKUP(Table3[[#This Row],[ACTIVITY]],TAGS!$B:$P,3,FALSE)</f>
        <v>number</v>
      </c>
      <c r="AG424" s="47" t="s">
        <v>335</v>
      </c>
      <c r="AH424" s="51" t="str">
        <f>VLOOKUP(Table3[[#This Row],[MONTH]],TAGS!$W$67:$Y$81,2,FALSE)</f>
        <v>3RD QTR</v>
      </c>
      <c r="AI424" s="51" t="str">
        <f>VLOOKUP(Table3[[#This Row],[MONTH]],TAGS!$W$67:$Y$81,3,FALSE)</f>
        <v>2ND SEMESTER</v>
      </c>
      <c r="AJ424" s="51">
        <f>VLOOKUP(Table3[[#This Row],[MONTH]],TAGS!$W$67:$Z$81,4,FALSE)</f>
        <v>2025</v>
      </c>
      <c r="AK424" s="47">
        <v>5</v>
      </c>
      <c r="AL424" s="51" t="str">
        <f>VLOOKUP(Table3[[#This Row],[ACTIVITY]],TAGS!$B:$R,16,FALSE)</f>
        <v>NO</v>
      </c>
      <c r="AM424" s="47"/>
      <c r="AN424" s="47">
        <v>1500</v>
      </c>
      <c r="AO424" s="57">
        <f>SUM(Table3[[#This Row],[MALE BENEFICIARIES]:[FEMALE BENEFICIARIES]])</f>
        <v>0</v>
      </c>
      <c r="AP424" s="68"/>
      <c r="AQ424" s="68"/>
      <c r="AR424" s="68"/>
      <c r="AS424" s="68">
        <v>1</v>
      </c>
      <c r="AT424" s="59" t="str">
        <f>VLOOKUP(Table3[[#This Row],[ACTIVITY]],TAGS!$B:$R,17,FALSE)</f>
        <v>YES</v>
      </c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</row>
    <row r="425" s="48" customFormat="1" spans="1:65">
      <c r="A425" s="66" t="str">
        <f>VLOOKUP(Table3[[#This Row],[OU]],OU!$A$15:$B$34,2,FALSE)</f>
        <v>RFOs</v>
      </c>
      <c r="B425" s="65" t="s">
        <v>5</v>
      </c>
      <c r="C425" s="65" t="s">
        <v>574</v>
      </c>
      <c r="D425" s="64" t="s">
        <v>718</v>
      </c>
      <c r="E425" s="65" t="s">
        <v>43</v>
      </c>
      <c r="F425" s="47" t="s">
        <v>675</v>
      </c>
      <c r="G425" s="67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4th District</v>
      </c>
      <c r="H425" s="67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23115000</v>
      </c>
      <c r="I425" s="67" t="str">
        <f>VLOOKUP(Table3[[#This Row],[PSGC]],DISTRICT!$D:$G,4,FALSE)</f>
        <v>1st</v>
      </c>
      <c r="J425" s="65" t="s">
        <v>578</v>
      </c>
      <c r="K425" s="51" t="str">
        <f>VLOOKUP(Table3[[#This Row],[SPECIFIC COMMODITY]],TAGS!$W$48:$X$53,2,FALSE)</f>
        <v>Corn</v>
      </c>
      <c r="L425" s="51" t="str">
        <f>VLOOKUP(Table3[[#This Row],[PREXC SUB-PROGRAM]],Table5[],2,FALSE)</f>
        <v>AGRICULTURAL  MACHINERY, EQUIPMENT, FACILITIES AND INFRASTRUCTURE PROGRAM</v>
      </c>
      <c r="M425" s="51" t="str">
        <f>VLOOKUP(Table3[[#This Row],[COMMODITY PREXC SUB-PROGRAM]],TAGS!$U$54:$V$76,2,FALSE)</f>
        <v>AMEFSS</v>
      </c>
      <c r="N425" s="65" t="s">
        <v>594</v>
      </c>
      <c r="O425" s="54" t="str">
        <f>VLOOKUP(Table3[[#This Row],[PI LEVEL 3]],'PI LEVEL'!A:C,3,FALSE)</f>
        <v>Production machinery and equipment distributed</v>
      </c>
      <c r="P425" s="54" t="str">
        <f>VLOOKUP(Table3[[#This Row],[PI LEVEL 3]],Table53729[[Performance Indicator Level 3]:[Performance Indicator Level 1]],2,FALSE)</f>
        <v>Seeding machinery and equipment distributed</v>
      </c>
      <c r="Q425" s="54" t="str">
        <f>VLOOKUP(Table3[[#This Row],[ACTIVITY]],TAGS!B:P,2,FALSE)</f>
        <v>Seeder distributed</v>
      </c>
      <c r="R425" s="65" t="s">
        <v>177</v>
      </c>
      <c r="S425" s="66" t="str">
        <f>VLOOKUP(Table3[[#This Row],[ACTIVITY]],TAGS!$B:$P,4,FALSE)</f>
        <v>Production related machinery &amp; equipment</v>
      </c>
      <c r="T425" s="66" t="str">
        <f>VLOOKUP(Table3[[#This Row],[ACTIVITY]],TAGS!$B:$P,5,FALSE)</f>
        <v>Production-related</v>
      </c>
      <c r="U425" s="66" t="str">
        <f>VLOOKUP(Table3[[#This Row],[ACTIVITY]],TAGS!$B:$P,6,FALSE)</f>
        <v>Corn Seeder</v>
      </c>
      <c r="V425" s="66" t="str">
        <f>VLOOKUP(Table3[[#This Row],[ACTIVITY]],TAGS!$B:$P,7,FALSE)</f>
        <v>NO</v>
      </c>
      <c r="W425" s="66" t="str">
        <f>VLOOKUP(Table3[[#This Row],[ACTIVITY]],TAGS!$B:$P,8,FALSE)</f>
        <v>PAP</v>
      </c>
      <c r="X425" s="66" t="str">
        <f>VLOOKUP(Table3[[#This Row],[ACTIVITY]],TAGS!$B:$P,10,FALSE)</f>
        <v>PIP</v>
      </c>
      <c r="Y425" s="66" t="str">
        <f>VLOOKUP(Table3[[#This Row],[ACTIVITY]],TAGS!$B:$P,11,FALSE)</f>
        <v>PICS</v>
      </c>
      <c r="Z425" s="66" t="str">
        <f>VLOOKUP(Table3[[#This Row],[ACTIVITY]],TAGS!$B:$P,12,FALSE)</f>
        <v>Modernization</v>
      </c>
      <c r="AA425" s="66" t="str">
        <f>VLOOKUP(Table3[[#This Row],[ACTIVITY]],TAGS!$B:$P,13,FALSE)</f>
        <v>8. Farm Mechanization and Farm Investments</v>
      </c>
      <c r="AB425" s="66" t="str">
        <f>VLOOKUP(Table3[[#This Row],[ACTIVITY]],TAGS!$B:$P,14,FALSE)</f>
        <v>MECHANIZE AND MODERNIZE AGRI-FISHERY PRODUCTION SYSTEMS</v>
      </c>
      <c r="AC425" s="66" t="str">
        <f>VLOOKUP(Table3[[#This Row],[ACTIVITY]],TAGS!$B:$P,15,FALSE)</f>
        <v>Production-related</v>
      </c>
      <c r="AD425" s="66" t="str">
        <f>VLOOKUP(Table3[[#This Row],[PI LEVEL 3]],'PI LEVEL'!$A:$G,7,FALSE)</f>
        <v>DA-Level Output</v>
      </c>
      <c r="AE425" s="65" t="s">
        <v>577</v>
      </c>
      <c r="AF425" s="66" t="str">
        <f>VLOOKUP(Table3[[#This Row],[ACTIVITY]],TAGS!$B:$P,3,FALSE)</f>
        <v>number</v>
      </c>
      <c r="AG425" s="65" t="s">
        <v>335</v>
      </c>
      <c r="AH425" s="66" t="str">
        <f>VLOOKUP(Table3[[#This Row],[MONTH]],TAGS!$W$67:$Y$81,2,FALSE)</f>
        <v>3RD QTR</v>
      </c>
      <c r="AI425" s="66" t="str">
        <f>VLOOKUP(Table3[[#This Row],[MONTH]],TAGS!$W$67:$Y$81,3,FALSE)</f>
        <v>2ND SEMESTER</v>
      </c>
      <c r="AJ425" s="66">
        <f>VLOOKUP(Table3[[#This Row],[MONTH]],TAGS!$W$67:$Z$81,4,FALSE)</f>
        <v>2025</v>
      </c>
      <c r="AK425" s="65">
        <v>5</v>
      </c>
      <c r="AL425" s="66" t="str">
        <f>VLOOKUP(Table3[[#This Row],[ACTIVITY]],TAGS!$B:$R,16,FALSE)</f>
        <v>NO</v>
      </c>
      <c r="AM425" s="65"/>
      <c r="AN425" s="65">
        <v>1500</v>
      </c>
      <c r="AO425" s="57">
        <f>SUM(Table3[[#This Row],[MALE BENEFICIARIES]:[FEMALE BENEFICIARIES]])</f>
        <v>0</v>
      </c>
      <c r="AP425" s="69"/>
      <c r="AQ425" s="69"/>
      <c r="AR425" s="69"/>
      <c r="AS425" s="69">
        <v>1</v>
      </c>
      <c r="AT425" s="70" t="str">
        <f>VLOOKUP(Table3[[#This Row],[ACTIVITY]],TAGS!$B:$R,17,FALSE)</f>
        <v>YES</v>
      </c>
      <c r="AU425" s="70"/>
      <c r="AV425" s="70"/>
      <c r="AW425" s="70"/>
      <c r="AX425" s="70"/>
      <c r="AY425" s="70"/>
      <c r="AZ425" s="70"/>
      <c r="BA425" s="70"/>
      <c r="BB425" s="70"/>
      <c r="BC425" s="70"/>
      <c r="BD425" s="70"/>
      <c r="BE425" s="70"/>
      <c r="BF425" s="70"/>
      <c r="BG425" s="70"/>
      <c r="BH425" s="70"/>
      <c r="BI425" s="70"/>
      <c r="BJ425" s="70"/>
      <c r="BK425" s="70"/>
      <c r="BL425" s="70"/>
      <c r="BM425" s="70"/>
    </row>
    <row r="426" spans="1:65">
      <c r="A426" s="51" t="str">
        <f>VLOOKUP(Table3[[#This Row],[OU]],OU!$A$15:$B$34,2,FALSE)</f>
        <v>RFOs</v>
      </c>
      <c r="B426" s="47" t="s">
        <v>5</v>
      </c>
      <c r="C426" s="47" t="s">
        <v>574</v>
      </c>
      <c r="D426" s="64" t="s">
        <v>719</v>
      </c>
      <c r="E426" s="47" t="s">
        <v>43</v>
      </c>
      <c r="F426" s="47" t="s">
        <v>685</v>
      </c>
      <c r="G42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42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23112000</v>
      </c>
      <c r="I426" s="52" t="str">
        <f>VLOOKUP(Table3[[#This Row],[PSGC]],DISTRICT!$D:$G,4,FALSE)</f>
        <v>1st</v>
      </c>
      <c r="J426" s="47" t="s">
        <v>578</v>
      </c>
      <c r="K426" s="51" t="str">
        <f>VLOOKUP(Table3[[#This Row],[SPECIFIC COMMODITY]],TAGS!$W$48:$X$53,2,FALSE)</f>
        <v>Corn</v>
      </c>
      <c r="L426" s="51" t="str">
        <f>VLOOKUP(Table3[[#This Row],[PREXC SUB-PROGRAM]],Table5[],2,FALSE)</f>
        <v>AGRICULTURAL  MACHINERY, EQUIPMENT, FACILITIES AND INFRASTRUCTURE PROGRAM</v>
      </c>
      <c r="M426" s="51" t="str">
        <f>VLOOKUP(Table3[[#This Row],[COMMODITY PREXC SUB-PROGRAM]],TAGS!$U$54:$V$76,2,FALSE)</f>
        <v>AMEFSS</v>
      </c>
      <c r="N426" s="47" t="s">
        <v>594</v>
      </c>
      <c r="O426" s="54" t="str">
        <f>VLOOKUP(Table3[[#This Row],[PI LEVEL 3]],'PI LEVEL'!A:C,3,FALSE)</f>
        <v>Production machinery and equipment distributed</v>
      </c>
      <c r="P426" s="54" t="str">
        <f>VLOOKUP(Table3[[#This Row],[PI LEVEL 3]],Table53729[[Performance Indicator Level 3]:[Performance Indicator Level 1]],2,FALSE)</f>
        <v>Seeding machinery and equipment distributed</v>
      </c>
      <c r="Q426" s="54" t="str">
        <f>VLOOKUP(Table3[[#This Row],[ACTIVITY]],TAGS!B:P,2,FALSE)</f>
        <v>Seeder distributed</v>
      </c>
      <c r="R426" s="47" t="s">
        <v>177</v>
      </c>
      <c r="S426" s="51" t="str">
        <f>VLOOKUP(Table3[[#This Row],[ACTIVITY]],TAGS!$B:$P,4,FALSE)</f>
        <v>Production related machinery &amp; equipment</v>
      </c>
      <c r="T426" s="51" t="str">
        <f>VLOOKUP(Table3[[#This Row],[ACTIVITY]],TAGS!$B:$P,5,FALSE)</f>
        <v>Production-related</v>
      </c>
      <c r="U426" s="51" t="str">
        <f>VLOOKUP(Table3[[#This Row],[ACTIVITY]],TAGS!$B:$P,6,FALSE)</f>
        <v>Corn Seeder</v>
      </c>
      <c r="V426" s="51" t="str">
        <f>VLOOKUP(Table3[[#This Row],[ACTIVITY]],TAGS!$B:$P,7,FALSE)</f>
        <v>NO</v>
      </c>
      <c r="W426" s="51" t="str">
        <f>VLOOKUP(Table3[[#This Row],[ACTIVITY]],TAGS!$B:$P,8,FALSE)</f>
        <v>PAP</v>
      </c>
      <c r="X426" s="51" t="str">
        <f>VLOOKUP(Table3[[#This Row],[ACTIVITY]],TAGS!$B:$P,10,FALSE)</f>
        <v>PIP</v>
      </c>
      <c r="Y426" s="51" t="str">
        <f>VLOOKUP(Table3[[#This Row],[ACTIVITY]],TAGS!$B:$P,11,FALSE)</f>
        <v>PICS</v>
      </c>
      <c r="Z426" s="51" t="str">
        <f>VLOOKUP(Table3[[#This Row],[ACTIVITY]],TAGS!$B:$P,12,FALSE)</f>
        <v>Modernization</v>
      </c>
      <c r="AA426" s="51" t="str">
        <f>VLOOKUP(Table3[[#This Row],[ACTIVITY]],TAGS!$B:$P,13,FALSE)</f>
        <v>8. Farm Mechanization and Farm Investments</v>
      </c>
      <c r="AB426" s="51" t="str">
        <f>VLOOKUP(Table3[[#This Row],[ACTIVITY]],TAGS!$B:$P,14,FALSE)</f>
        <v>MECHANIZE AND MODERNIZE AGRI-FISHERY PRODUCTION SYSTEMS</v>
      </c>
      <c r="AC426" s="51" t="str">
        <f>VLOOKUP(Table3[[#This Row],[ACTIVITY]],TAGS!$B:$P,15,FALSE)</f>
        <v>Production-related</v>
      </c>
      <c r="AD426" s="51" t="str">
        <f>VLOOKUP(Table3[[#This Row],[PI LEVEL 3]],'PI LEVEL'!$A:$G,7,FALSE)</f>
        <v>DA-Level Output</v>
      </c>
      <c r="AE426" s="47" t="s">
        <v>577</v>
      </c>
      <c r="AF426" s="51" t="str">
        <f>VLOOKUP(Table3[[#This Row],[ACTIVITY]],TAGS!$B:$P,3,FALSE)</f>
        <v>number</v>
      </c>
      <c r="AG426" s="47" t="s">
        <v>335</v>
      </c>
      <c r="AH426" s="51" t="str">
        <f>VLOOKUP(Table3[[#This Row],[MONTH]],TAGS!$W$67:$Y$81,2,FALSE)</f>
        <v>3RD QTR</v>
      </c>
      <c r="AI426" s="51" t="str">
        <f>VLOOKUP(Table3[[#This Row],[MONTH]],TAGS!$W$67:$Y$81,3,FALSE)</f>
        <v>2ND SEMESTER</v>
      </c>
      <c r="AJ426" s="51">
        <f>VLOOKUP(Table3[[#This Row],[MONTH]],TAGS!$W$67:$Z$81,4,FALSE)</f>
        <v>2025</v>
      </c>
      <c r="AK426" s="47">
        <v>5</v>
      </c>
      <c r="AL426" s="51" t="str">
        <f>VLOOKUP(Table3[[#This Row],[ACTIVITY]],TAGS!$B:$R,16,FALSE)</f>
        <v>NO</v>
      </c>
      <c r="AM426" s="47"/>
      <c r="AN426" s="47">
        <v>1500</v>
      </c>
      <c r="AO426" s="57">
        <f>SUM(Table3[[#This Row],[MALE BENEFICIARIES]:[FEMALE BENEFICIARIES]])</f>
        <v>0</v>
      </c>
      <c r="AP426" s="58"/>
      <c r="AQ426" s="58"/>
      <c r="AR426" s="58"/>
      <c r="AS426" s="58">
        <v>1</v>
      </c>
      <c r="AT426" s="59" t="str">
        <f>VLOOKUP(Table3[[#This Row],[ACTIVITY]],TAGS!$B:$R,17,FALSE)</f>
        <v>YES</v>
      </c>
      <c r="AU426" s="59"/>
      <c r="AV426" s="59"/>
      <c r="AW426" s="59"/>
      <c r="AX426" s="59"/>
      <c r="AY426" s="59"/>
      <c r="AZ426" s="59"/>
      <c r="BA426" s="59"/>
      <c r="BB426" s="59"/>
      <c r="BC426" s="59"/>
      <c r="BD426" s="59"/>
      <c r="BE426" s="59"/>
      <c r="BF426" s="59"/>
      <c r="BG426" s="59"/>
      <c r="BH426" s="59"/>
      <c r="BI426" s="59"/>
      <c r="BJ426" s="59"/>
      <c r="BK426" s="59"/>
      <c r="BL426" s="59"/>
      <c r="BM426" s="59"/>
    </row>
    <row r="427" spans="1:65">
      <c r="A427" s="51" t="str">
        <f>VLOOKUP(Table3[[#This Row],[OU]],OU!$A$15:$B$34,2,FALSE)</f>
        <v>RFOs</v>
      </c>
      <c r="B427" s="47" t="s">
        <v>5</v>
      </c>
      <c r="C427" s="47" t="s">
        <v>574</v>
      </c>
      <c r="D427" s="64" t="s">
        <v>720</v>
      </c>
      <c r="E427" s="47" t="s">
        <v>63</v>
      </c>
      <c r="F427" s="47" t="s">
        <v>681</v>
      </c>
      <c r="G42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42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25011000</v>
      </c>
      <c r="I427" s="52" t="str">
        <f>VLOOKUP(Table3[[#This Row],[PSGC]],DISTRICT!$D:$G,4,FALSE)</f>
        <v>4th</v>
      </c>
      <c r="J427" s="47" t="s">
        <v>578</v>
      </c>
      <c r="K427" s="51" t="str">
        <f>VLOOKUP(Table3[[#This Row],[SPECIFIC COMMODITY]],TAGS!$W$48:$X$53,2,FALSE)</f>
        <v>Corn</v>
      </c>
      <c r="L427" s="51" t="str">
        <f>VLOOKUP(Table3[[#This Row],[PREXC SUB-PROGRAM]],Table5[],2,FALSE)</f>
        <v>AGRICULTURAL  MACHINERY, EQUIPMENT, FACILITIES AND INFRASTRUCTURE PROGRAM</v>
      </c>
      <c r="M427" s="51" t="str">
        <f>VLOOKUP(Table3[[#This Row],[COMMODITY PREXC SUB-PROGRAM]],TAGS!$U$54:$V$76,2,FALSE)</f>
        <v>AMEFSS</v>
      </c>
      <c r="N427" s="47" t="s">
        <v>594</v>
      </c>
      <c r="O427" s="54" t="str">
        <f>VLOOKUP(Table3[[#This Row],[PI LEVEL 3]],'PI LEVEL'!A:C,3,FALSE)</f>
        <v>Production machinery and equipment distributed</v>
      </c>
      <c r="P427" s="54" t="str">
        <f>VLOOKUP(Table3[[#This Row],[PI LEVEL 3]],Table53729[[Performance Indicator Level 3]:[Performance Indicator Level 1]],2,FALSE)</f>
        <v>Seeding machinery and equipment distributed</v>
      </c>
      <c r="Q427" s="54" t="str">
        <f>VLOOKUP(Table3[[#This Row],[ACTIVITY]],TAGS!B:P,2,FALSE)</f>
        <v>Seeder distributed</v>
      </c>
      <c r="R427" s="47" t="s">
        <v>177</v>
      </c>
      <c r="S427" s="51" t="str">
        <f>VLOOKUP(Table3[[#This Row],[ACTIVITY]],TAGS!$B:$P,4,FALSE)</f>
        <v>Production related machinery &amp; equipment</v>
      </c>
      <c r="T427" s="51" t="str">
        <f>VLOOKUP(Table3[[#This Row],[ACTIVITY]],TAGS!$B:$P,5,FALSE)</f>
        <v>Production-related</v>
      </c>
      <c r="U427" s="51" t="str">
        <f>VLOOKUP(Table3[[#This Row],[ACTIVITY]],TAGS!$B:$P,6,FALSE)</f>
        <v>Corn Seeder</v>
      </c>
      <c r="V427" s="51" t="str">
        <f>VLOOKUP(Table3[[#This Row],[ACTIVITY]],TAGS!$B:$P,7,FALSE)</f>
        <v>NO</v>
      </c>
      <c r="W427" s="51" t="str">
        <f>VLOOKUP(Table3[[#This Row],[ACTIVITY]],TAGS!$B:$P,8,FALSE)</f>
        <v>PAP</v>
      </c>
      <c r="X427" s="51" t="str">
        <f>VLOOKUP(Table3[[#This Row],[ACTIVITY]],TAGS!$B:$P,10,FALSE)</f>
        <v>PIP</v>
      </c>
      <c r="Y427" s="51" t="str">
        <f>VLOOKUP(Table3[[#This Row],[ACTIVITY]],TAGS!$B:$P,11,FALSE)</f>
        <v>PICS</v>
      </c>
      <c r="Z427" s="51" t="str">
        <f>VLOOKUP(Table3[[#This Row],[ACTIVITY]],TAGS!$B:$P,12,FALSE)</f>
        <v>Modernization</v>
      </c>
      <c r="AA427" s="51" t="str">
        <f>VLOOKUP(Table3[[#This Row],[ACTIVITY]],TAGS!$B:$P,13,FALSE)</f>
        <v>8. Farm Mechanization and Farm Investments</v>
      </c>
      <c r="AB427" s="51" t="str">
        <f>VLOOKUP(Table3[[#This Row],[ACTIVITY]],TAGS!$B:$P,14,FALSE)</f>
        <v>MECHANIZE AND MODERNIZE AGRI-FISHERY PRODUCTION SYSTEMS</v>
      </c>
      <c r="AC427" s="51" t="str">
        <f>VLOOKUP(Table3[[#This Row],[ACTIVITY]],TAGS!$B:$P,15,FALSE)</f>
        <v>Production-related</v>
      </c>
      <c r="AD427" s="51" t="str">
        <f>VLOOKUP(Table3[[#This Row],[PI LEVEL 3]],'PI LEVEL'!$A:$G,7,FALSE)</f>
        <v>DA-Level Output</v>
      </c>
      <c r="AE427" s="47" t="s">
        <v>577</v>
      </c>
      <c r="AF427" s="51" t="str">
        <f>VLOOKUP(Table3[[#This Row],[ACTIVITY]],TAGS!$B:$P,3,FALSE)</f>
        <v>number</v>
      </c>
      <c r="AG427" s="47" t="s">
        <v>335</v>
      </c>
      <c r="AH427" s="51" t="str">
        <f>VLOOKUP(Table3[[#This Row],[MONTH]],TAGS!$W$67:$Y$81,2,FALSE)</f>
        <v>3RD QTR</v>
      </c>
      <c r="AI427" s="51" t="str">
        <f>VLOOKUP(Table3[[#This Row],[MONTH]],TAGS!$W$67:$Y$81,3,FALSE)</f>
        <v>2ND SEMESTER</v>
      </c>
      <c r="AJ427" s="51">
        <f>VLOOKUP(Table3[[#This Row],[MONTH]],TAGS!$W$67:$Z$81,4,FALSE)</f>
        <v>2025</v>
      </c>
      <c r="AK427" s="47">
        <v>5</v>
      </c>
      <c r="AL427" s="51" t="str">
        <f>VLOOKUP(Table3[[#This Row],[ACTIVITY]],TAGS!$B:$R,16,FALSE)</f>
        <v>NO</v>
      </c>
      <c r="AM427" s="47"/>
      <c r="AN427" s="47">
        <v>1500</v>
      </c>
      <c r="AO427" s="57">
        <f>SUM(Table3[[#This Row],[MALE BENEFICIARIES]:[FEMALE BENEFICIARIES]])</f>
        <v>0</v>
      </c>
      <c r="AP427" s="58"/>
      <c r="AQ427" s="58"/>
      <c r="AR427" s="58"/>
      <c r="AS427" s="58">
        <v>1</v>
      </c>
      <c r="AT427" s="59" t="str">
        <f>VLOOKUP(Table3[[#This Row],[ACTIVITY]],TAGS!$B:$R,17,FALSE)</f>
        <v>YES</v>
      </c>
      <c r="AU427" s="59"/>
      <c r="AV427" s="59"/>
      <c r="AW427" s="59"/>
      <c r="AX427" s="59"/>
      <c r="AY427" s="59"/>
      <c r="AZ427" s="59"/>
      <c r="BA427" s="59"/>
      <c r="BB427" s="59"/>
      <c r="BC427" s="59"/>
      <c r="BD427" s="59"/>
      <c r="BE427" s="59"/>
      <c r="BF427" s="59"/>
      <c r="BG427" s="59"/>
      <c r="BH427" s="59"/>
      <c r="BI427" s="59"/>
      <c r="BJ427" s="59"/>
      <c r="BK427" s="59"/>
      <c r="BL427" s="59"/>
      <c r="BM427" s="59"/>
    </row>
    <row r="428" spans="1:65">
      <c r="A428" s="51" t="str">
        <f>VLOOKUP(Table3[[#This Row],[OU]],OU!$A$15:$B$34,2,FALSE)</f>
        <v>RFOs</v>
      </c>
      <c r="B428" s="47" t="s">
        <v>5</v>
      </c>
      <c r="C428" s="47" t="s">
        <v>574</v>
      </c>
      <c r="D428" s="64" t="s">
        <v>721</v>
      </c>
      <c r="E428" s="47" t="s">
        <v>70</v>
      </c>
      <c r="F428" s="47" t="s">
        <v>635</v>
      </c>
      <c r="G42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42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25702000</v>
      </c>
      <c r="I428" s="52" t="str">
        <f>VLOOKUP(Table3[[#This Row],[PSGC]],DISTRICT!$D:$G,4,FALSE)</f>
        <v>3rd</v>
      </c>
      <c r="J428" s="47" t="s">
        <v>578</v>
      </c>
      <c r="K428" s="51" t="str">
        <f>VLOOKUP(Table3[[#This Row],[SPECIFIC COMMODITY]],TAGS!$W$48:$X$53,2,FALSE)</f>
        <v>Corn</v>
      </c>
      <c r="L428" s="51" t="str">
        <f>VLOOKUP(Table3[[#This Row],[PREXC SUB-PROGRAM]],Table5[],2,FALSE)</f>
        <v>AGRICULTURAL  MACHINERY, EQUIPMENT, FACILITIES AND INFRASTRUCTURE PROGRAM</v>
      </c>
      <c r="M428" s="51" t="str">
        <f>VLOOKUP(Table3[[#This Row],[COMMODITY PREXC SUB-PROGRAM]],TAGS!$U$54:$V$76,2,FALSE)</f>
        <v>AMEFSS</v>
      </c>
      <c r="N428" s="47" t="s">
        <v>594</v>
      </c>
      <c r="O428" s="54" t="str">
        <f>VLOOKUP(Table3[[#This Row],[PI LEVEL 3]],'PI LEVEL'!A:C,3,FALSE)</f>
        <v>Production machinery and equipment distributed</v>
      </c>
      <c r="P428" s="54" t="str">
        <f>VLOOKUP(Table3[[#This Row],[PI LEVEL 3]],Table53729[[Performance Indicator Level 3]:[Performance Indicator Level 1]],2,FALSE)</f>
        <v>Seeding machinery and equipment distributed</v>
      </c>
      <c r="Q428" s="54" t="str">
        <f>VLOOKUP(Table3[[#This Row],[ACTIVITY]],TAGS!B:P,2,FALSE)</f>
        <v>Seeder distributed</v>
      </c>
      <c r="R428" s="47" t="s">
        <v>177</v>
      </c>
      <c r="S428" s="51" t="str">
        <f>VLOOKUP(Table3[[#This Row],[ACTIVITY]],TAGS!$B:$P,4,FALSE)</f>
        <v>Production related machinery &amp; equipment</v>
      </c>
      <c r="T428" s="51" t="str">
        <f>VLOOKUP(Table3[[#This Row],[ACTIVITY]],TAGS!$B:$P,5,FALSE)</f>
        <v>Production-related</v>
      </c>
      <c r="U428" s="51" t="str">
        <f>VLOOKUP(Table3[[#This Row],[ACTIVITY]],TAGS!$B:$P,6,FALSE)</f>
        <v>Corn Seeder</v>
      </c>
      <c r="V428" s="51" t="str">
        <f>VLOOKUP(Table3[[#This Row],[ACTIVITY]],TAGS!$B:$P,7,FALSE)</f>
        <v>NO</v>
      </c>
      <c r="W428" s="51" t="str">
        <f>VLOOKUP(Table3[[#This Row],[ACTIVITY]],TAGS!$B:$P,8,FALSE)</f>
        <v>PAP</v>
      </c>
      <c r="X428" s="51" t="str">
        <f>VLOOKUP(Table3[[#This Row],[ACTIVITY]],TAGS!$B:$P,10,FALSE)</f>
        <v>PIP</v>
      </c>
      <c r="Y428" s="51" t="str">
        <f>VLOOKUP(Table3[[#This Row],[ACTIVITY]],TAGS!$B:$P,11,FALSE)</f>
        <v>PICS</v>
      </c>
      <c r="Z428" s="51" t="str">
        <f>VLOOKUP(Table3[[#This Row],[ACTIVITY]],TAGS!$B:$P,12,FALSE)</f>
        <v>Modernization</v>
      </c>
      <c r="AA428" s="51" t="str">
        <f>VLOOKUP(Table3[[#This Row],[ACTIVITY]],TAGS!$B:$P,13,FALSE)</f>
        <v>8. Farm Mechanization and Farm Investments</v>
      </c>
      <c r="AB428" s="51" t="str">
        <f>VLOOKUP(Table3[[#This Row],[ACTIVITY]],TAGS!$B:$P,14,FALSE)</f>
        <v>MECHANIZE AND MODERNIZE AGRI-FISHERY PRODUCTION SYSTEMS</v>
      </c>
      <c r="AC428" s="51" t="str">
        <f>VLOOKUP(Table3[[#This Row],[ACTIVITY]],TAGS!$B:$P,15,FALSE)</f>
        <v>Production-related</v>
      </c>
      <c r="AD428" s="51" t="str">
        <f>VLOOKUP(Table3[[#This Row],[PI LEVEL 3]],'PI LEVEL'!$A:$G,7,FALSE)</f>
        <v>DA-Level Output</v>
      </c>
      <c r="AE428" s="47" t="s">
        <v>577</v>
      </c>
      <c r="AF428" s="51" t="str">
        <f>VLOOKUP(Table3[[#This Row],[ACTIVITY]],TAGS!$B:$P,3,FALSE)</f>
        <v>number</v>
      </c>
      <c r="AG428" s="47" t="s">
        <v>335</v>
      </c>
      <c r="AH428" s="51" t="str">
        <f>VLOOKUP(Table3[[#This Row],[MONTH]],TAGS!$W$67:$Y$81,2,FALSE)</f>
        <v>3RD QTR</v>
      </c>
      <c r="AI428" s="51" t="str">
        <f>VLOOKUP(Table3[[#This Row],[MONTH]],TAGS!$W$67:$Y$81,3,FALSE)</f>
        <v>2ND SEMESTER</v>
      </c>
      <c r="AJ428" s="51">
        <f>VLOOKUP(Table3[[#This Row],[MONTH]],TAGS!$W$67:$Z$81,4,FALSE)</f>
        <v>2025</v>
      </c>
      <c r="AK428" s="47">
        <v>5</v>
      </c>
      <c r="AL428" s="51" t="str">
        <f>VLOOKUP(Table3[[#This Row],[ACTIVITY]],TAGS!$B:$R,16,FALSE)</f>
        <v>NO</v>
      </c>
      <c r="AM428" s="47"/>
      <c r="AN428" s="47">
        <v>1500</v>
      </c>
      <c r="AO428" s="57">
        <f>SUM(Table3[[#This Row],[MALE BENEFICIARIES]:[FEMALE BENEFICIARIES]])</f>
        <v>0</v>
      </c>
      <c r="AP428" s="58"/>
      <c r="AQ428" s="58"/>
      <c r="AR428" s="58"/>
      <c r="AS428" s="58">
        <v>1</v>
      </c>
      <c r="AT428" s="59" t="str">
        <f>VLOOKUP(Table3[[#This Row],[ACTIVITY]],TAGS!$B:$R,17,FALSE)</f>
        <v>YES</v>
      </c>
      <c r="AU428" s="59"/>
      <c r="AV428" s="59"/>
      <c r="AW428" s="59"/>
      <c r="AX428" s="59"/>
      <c r="AY428" s="59"/>
      <c r="AZ428" s="59"/>
      <c r="BA428" s="59"/>
      <c r="BB428" s="59"/>
      <c r="BC428" s="59"/>
      <c r="BD428" s="59"/>
      <c r="BE428" s="59"/>
      <c r="BF428" s="59"/>
      <c r="BG428" s="59"/>
      <c r="BH428" s="59"/>
      <c r="BI428" s="59"/>
      <c r="BJ428" s="59"/>
      <c r="BK428" s="59"/>
      <c r="BL428" s="59"/>
      <c r="BM428" s="59"/>
    </row>
    <row r="429" spans="1:65">
      <c r="A429" s="51" t="str">
        <f>VLOOKUP(Table3[[#This Row],[OU]],OU!$A$15:$B$34,2,FALSE)</f>
        <v>RFOs</v>
      </c>
      <c r="B429" s="47" t="s">
        <v>5</v>
      </c>
      <c r="C429" s="47" t="s">
        <v>574</v>
      </c>
      <c r="D429" s="64" t="s">
        <v>722</v>
      </c>
      <c r="E429" s="47" t="s">
        <v>70</v>
      </c>
      <c r="F429" s="47" t="s">
        <v>636</v>
      </c>
      <c r="G42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42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25704000</v>
      </c>
      <c r="I429" s="52" t="str">
        <f>VLOOKUP(Table3[[#This Row],[PSGC]],DISTRICT!$D:$G,4,FALSE)</f>
        <v>1st</v>
      </c>
      <c r="J429" s="47" t="s">
        <v>578</v>
      </c>
      <c r="K429" s="51" t="str">
        <f>VLOOKUP(Table3[[#This Row],[SPECIFIC COMMODITY]],TAGS!$W$48:$X$53,2,FALSE)</f>
        <v>Corn</v>
      </c>
      <c r="L429" s="51" t="str">
        <f>VLOOKUP(Table3[[#This Row],[PREXC SUB-PROGRAM]],Table5[],2,FALSE)</f>
        <v>AGRICULTURAL  MACHINERY, EQUIPMENT, FACILITIES AND INFRASTRUCTURE PROGRAM</v>
      </c>
      <c r="M429" s="51" t="str">
        <f>VLOOKUP(Table3[[#This Row],[COMMODITY PREXC SUB-PROGRAM]],TAGS!$U$54:$V$76,2,FALSE)</f>
        <v>AMEFSS</v>
      </c>
      <c r="N429" s="47" t="s">
        <v>594</v>
      </c>
      <c r="O429" s="54" t="str">
        <f>VLOOKUP(Table3[[#This Row],[PI LEVEL 3]],'PI LEVEL'!A:C,3,FALSE)</f>
        <v>Production machinery and equipment distributed</v>
      </c>
      <c r="P429" s="54" t="str">
        <f>VLOOKUP(Table3[[#This Row],[PI LEVEL 3]],Table53729[[Performance Indicator Level 3]:[Performance Indicator Level 1]],2,FALSE)</f>
        <v>Seeding machinery and equipment distributed</v>
      </c>
      <c r="Q429" s="54" t="str">
        <f>VLOOKUP(Table3[[#This Row],[ACTIVITY]],TAGS!B:P,2,FALSE)</f>
        <v>Seeder distributed</v>
      </c>
      <c r="R429" s="47" t="s">
        <v>177</v>
      </c>
      <c r="S429" s="51" t="str">
        <f>VLOOKUP(Table3[[#This Row],[ACTIVITY]],TAGS!$B:$P,4,FALSE)</f>
        <v>Production related machinery &amp; equipment</v>
      </c>
      <c r="T429" s="51" t="str">
        <f>VLOOKUP(Table3[[#This Row],[ACTIVITY]],TAGS!$B:$P,5,FALSE)</f>
        <v>Production-related</v>
      </c>
      <c r="U429" s="51" t="str">
        <f>VLOOKUP(Table3[[#This Row],[ACTIVITY]],TAGS!$B:$P,6,FALSE)</f>
        <v>Corn Seeder</v>
      </c>
      <c r="V429" s="51" t="str">
        <f>VLOOKUP(Table3[[#This Row],[ACTIVITY]],TAGS!$B:$P,7,FALSE)</f>
        <v>NO</v>
      </c>
      <c r="W429" s="51" t="str">
        <f>VLOOKUP(Table3[[#This Row],[ACTIVITY]],TAGS!$B:$P,8,FALSE)</f>
        <v>PAP</v>
      </c>
      <c r="X429" s="51" t="str">
        <f>VLOOKUP(Table3[[#This Row],[ACTIVITY]],TAGS!$B:$P,10,FALSE)</f>
        <v>PIP</v>
      </c>
      <c r="Y429" s="51" t="str">
        <f>VLOOKUP(Table3[[#This Row],[ACTIVITY]],TAGS!$B:$P,11,FALSE)</f>
        <v>PICS</v>
      </c>
      <c r="Z429" s="51" t="str">
        <f>VLOOKUP(Table3[[#This Row],[ACTIVITY]],TAGS!$B:$P,12,FALSE)</f>
        <v>Modernization</v>
      </c>
      <c r="AA429" s="51" t="str">
        <f>VLOOKUP(Table3[[#This Row],[ACTIVITY]],TAGS!$B:$P,13,FALSE)</f>
        <v>8. Farm Mechanization and Farm Investments</v>
      </c>
      <c r="AB429" s="51" t="str">
        <f>VLOOKUP(Table3[[#This Row],[ACTIVITY]],TAGS!$B:$P,14,FALSE)</f>
        <v>MECHANIZE AND MODERNIZE AGRI-FISHERY PRODUCTION SYSTEMS</v>
      </c>
      <c r="AC429" s="51" t="str">
        <f>VLOOKUP(Table3[[#This Row],[ACTIVITY]],TAGS!$B:$P,15,FALSE)</f>
        <v>Production-related</v>
      </c>
      <c r="AD429" s="51" t="str">
        <f>VLOOKUP(Table3[[#This Row],[PI LEVEL 3]],'PI LEVEL'!$A:$G,7,FALSE)</f>
        <v>DA-Level Output</v>
      </c>
      <c r="AE429" s="47" t="s">
        <v>577</v>
      </c>
      <c r="AF429" s="51" t="str">
        <f>VLOOKUP(Table3[[#This Row],[ACTIVITY]],TAGS!$B:$P,3,FALSE)</f>
        <v>number</v>
      </c>
      <c r="AG429" s="47" t="s">
        <v>335</v>
      </c>
      <c r="AH429" s="51" t="str">
        <f>VLOOKUP(Table3[[#This Row],[MONTH]],TAGS!$W$67:$Y$81,2,FALSE)</f>
        <v>3RD QTR</v>
      </c>
      <c r="AI429" s="51" t="str">
        <f>VLOOKUP(Table3[[#This Row],[MONTH]],TAGS!$W$67:$Y$81,3,FALSE)</f>
        <v>2ND SEMESTER</v>
      </c>
      <c r="AJ429" s="51">
        <f>VLOOKUP(Table3[[#This Row],[MONTH]],TAGS!$W$67:$Z$81,4,FALSE)</f>
        <v>2025</v>
      </c>
      <c r="AK429" s="47">
        <v>5</v>
      </c>
      <c r="AL429" s="51" t="str">
        <f>VLOOKUP(Table3[[#This Row],[ACTIVITY]],TAGS!$B:$R,16,FALSE)</f>
        <v>NO</v>
      </c>
      <c r="AM429" s="47"/>
      <c r="AN429" s="47">
        <v>1500</v>
      </c>
      <c r="AO429" s="57">
        <f>SUM(Table3[[#This Row],[MALE BENEFICIARIES]:[FEMALE BENEFICIARIES]])</f>
        <v>0</v>
      </c>
      <c r="AP429" s="58"/>
      <c r="AQ429" s="58"/>
      <c r="AR429" s="58"/>
      <c r="AS429" s="58">
        <v>1</v>
      </c>
      <c r="AT429" s="59" t="str">
        <f>VLOOKUP(Table3[[#This Row],[ACTIVITY]],TAGS!$B:$R,17,FALSE)</f>
        <v>YES</v>
      </c>
      <c r="AU429" s="59"/>
      <c r="AV429" s="59"/>
      <c r="AW429" s="59"/>
      <c r="AX429" s="59"/>
      <c r="AY429" s="59"/>
      <c r="AZ429" s="59"/>
      <c r="BA429" s="59"/>
      <c r="BB429" s="59"/>
      <c r="BC429" s="59"/>
      <c r="BD429" s="59"/>
      <c r="BE429" s="59"/>
      <c r="BF429" s="59"/>
      <c r="BG429" s="59"/>
      <c r="BH429" s="59"/>
      <c r="BI429" s="59"/>
      <c r="BJ429" s="59"/>
      <c r="BK429" s="59"/>
      <c r="BL429" s="59"/>
      <c r="BM429" s="59"/>
    </row>
    <row r="430" spans="1:65">
      <c r="A430" s="51" t="str">
        <f>VLOOKUP(Table3[[#This Row],[OU]],OU!$A$15:$B$34,2,FALSE)</f>
        <v>RFOs</v>
      </c>
      <c r="B430" s="47" t="s">
        <v>5</v>
      </c>
      <c r="C430" s="47" t="s">
        <v>574</v>
      </c>
      <c r="D430" s="53" t="s">
        <v>638</v>
      </c>
      <c r="E430" s="47" t="s">
        <v>22</v>
      </c>
      <c r="F430" s="47" t="s">
        <v>639</v>
      </c>
      <c r="G43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43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21513000</v>
      </c>
      <c r="I430" s="52" t="str">
        <f>VLOOKUP(Table3[[#This Row],[PSGC]],DISTRICT!$D:$G,4,FALSE)</f>
        <v>1st</v>
      </c>
      <c r="J430" s="47" t="s">
        <v>578</v>
      </c>
      <c r="K430" s="51" t="str">
        <f>VLOOKUP(Table3[[#This Row],[SPECIFIC COMMODITY]],TAGS!$W$48:$X$53,2,FALSE)</f>
        <v>Corn</v>
      </c>
      <c r="L430" s="51" t="str">
        <f>VLOOKUP(Table3[[#This Row],[PREXC SUB-PROGRAM]],Table5[],2,FALSE)</f>
        <v>AGRICULTURAL  MACHINERY, EQUIPMENT, FACILITIES AND INFRASTRUCTURE PROGRAM</v>
      </c>
      <c r="M430" s="51" t="str">
        <f>VLOOKUP(Table3[[#This Row],[COMMODITY PREXC SUB-PROGRAM]],TAGS!$U$54:$V$76,2,FALSE)</f>
        <v>AMEFSS</v>
      </c>
      <c r="N430" s="47" t="s">
        <v>594</v>
      </c>
      <c r="O430" s="54" t="str">
        <f>VLOOKUP(Table3[[#This Row],[PI LEVEL 3]],'PI LEVEL'!A:C,3,FALSE)</f>
        <v>Production machinery and equipment distributed</v>
      </c>
      <c r="P430" s="54" t="str">
        <f>VLOOKUP(Table3[[#This Row],[PI LEVEL 3]],Table53729[[Performance Indicator Level 3]:[Performance Indicator Level 1]],2,FALSE)</f>
        <v>Seeding machinery and equipment distributed</v>
      </c>
      <c r="Q430" s="54" t="str">
        <f>VLOOKUP(Table3[[#This Row],[ACTIVITY]],TAGS!B:P,2,FALSE)</f>
        <v>Seeder distributed</v>
      </c>
      <c r="R430" s="47" t="s">
        <v>179</v>
      </c>
      <c r="S430" s="51" t="str">
        <f>VLOOKUP(Table3[[#This Row],[ACTIVITY]],TAGS!$B:$P,4,FALSE)</f>
        <v>Production related machinery &amp; equipment</v>
      </c>
      <c r="T430" s="51" t="str">
        <f>VLOOKUP(Table3[[#This Row],[ACTIVITY]],TAGS!$B:$P,5,FALSE)</f>
        <v>Production-related</v>
      </c>
      <c r="U430" s="51" t="str">
        <f>VLOOKUP(Table3[[#This Row],[ACTIVITY]],TAGS!$B:$P,6,FALSE)</f>
        <v>Corn Seeder</v>
      </c>
      <c r="V430" s="51" t="str">
        <f>VLOOKUP(Table3[[#This Row],[ACTIVITY]],TAGS!$B:$P,7,FALSE)</f>
        <v>NO</v>
      </c>
      <c r="W430" s="51" t="str">
        <f>VLOOKUP(Table3[[#This Row],[ACTIVITY]],TAGS!$B:$P,8,FALSE)</f>
        <v>PAP</v>
      </c>
      <c r="X430" s="51" t="str">
        <f>VLOOKUP(Table3[[#This Row],[ACTIVITY]],TAGS!$B:$P,10,FALSE)</f>
        <v>PIP</v>
      </c>
      <c r="Y430" s="51" t="str">
        <f>VLOOKUP(Table3[[#This Row],[ACTIVITY]],TAGS!$B:$P,11,FALSE)</f>
        <v>PICS</v>
      </c>
      <c r="Z430" s="51" t="str">
        <f>VLOOKUP(Table3[[#This Row],[ACTIVITY]],TAGS!$B:$P,12,FALSE)</f>
        <v>Modernization</v>
      </c>
      <c r="AA430" s="51" t="str">
        <f>VLOOKUP(Table3[[#This Row],[ACTIVITY]],TAGS!$B:$P,13,FALSE)</f>
        <v>8. Farm Mechanization and Farm Investments</v>
      </c>
      <c r="AB430" s="51" t="str">
        <f>VLOOKUP(Table3[[#This Row],[ACTIVITY]],TAGS!$B:$P,14,FALSE)</f>
        <v>MECHANIZE AND MODERNIZE AGRI-FISHERY PRODUCTION SYSTEMS</v>
      </c>
      <c r="AC430" s="51" t="str">
        <f>VLOOKUP(Table3[[#This Row],[ACTIVITY]],TAGS!$B:$P,15,FALSE)</f>
        <v>Production-related</v>
      </c>
      <c r="AD430" s="51" t="str">
        <f>VLOOKUP(Table3[[#This Row],[PI LEVEL 3]],'PI LEVEL'!$A:$G,7,FALSE)</f>
        <v>DA-Level Output</v>
      </c>
      <c r="AE430" s="47" t="s">
        <v>577</v>
      </c>
      <c r="AF430" s="51" t="str">
        <f>VLOOKUP(Table3[[#This Row],[ACTIVITY]],TAGS!$B:$P,3,FALSE)</f>
        <v>number</v>
      </c>
      <c r="AG430" s="47" t="s">
        <v>335</v>
      </c>
      <c r="AH430" s="51" t="str">
        <f>VLOOKUP(Table3[[#This Row],[MONTH]],TAGS!$W$67:$Y$81,2,FALSE)</f>
        <v>3RD QTR</v>
      </c>
      <c r="AI430" s="51" t="str">
        <f>VLOOKUP(Table3[[#This Row],[MONTH]],TAGS!$W$67:$Y$81,3,FALSE)</f>
        <v>2ND SEMESTER</v>
      </c>
      <c r="AJ430" s="51">
        <f>VLOOKUP(Table3[[#This Row],[MONTH]],TAGS!$W$67:$Z$81,4,FALSE)</f>
        <v>2025</v>
      </c>
      <c r="AK430" s="47">
        <v>1</v>
      </c>
      <c r="AL430" s="51" t="str">
        <f>VLOOKUP(Table3[[#This Row],[ACTIVITY]],TAGS!$B:$R,16,FALSE)</f>
        <v>NO</v>
      </c>
      <c r="AM430" s="47"/>
      <c r="AN430" s="47">
        <v>1800</v>
      </c>
      <c r="AO430" s="57">
        <f>SUM(Table3[[#This Row],[MALE BENEFICIARIES]:[FEMALE BENEFICIARIES]])</f>
        <v>0</v>
      </c>
      <c r="AP430" s="58"/>
      <c r="AQ430" s="58"/>
      <c r="AR430" s="58"/>
      <c r="AS430" s="58">
        <v>1</v>
      </c>
      <c r="AT430" s="59" t="str">
        <f>VLOOKUP(Table3[[#This Row],[ACTIVITY]],TAGS!$B:$R,17,FALSE)</f>
        <v>YES</v>
      </c>
      <c r="AU430" s="59"/>
      <c r="AV430" s="59"/>
      <c r="AW430" s="59"/>
      <c r="AX430" s="59"/>
      <c r="AY430" s="59"/>
      <c r="AZ430" s="59"/>
      <c r="BA430" s="59"/>
      <c r="BB430" s="59"/>
      <c r="BC430" s="59"/>
      <c r="BD430" s="59"/>
      <c r="BE430" s="59"/>
      <c r="BF430" s="59"/>
      <c r="BG430" s="59"/>
      <c r="BH430" s="59"/>
      <c r="BI430" s="59"/>
      <c r="BJ430" s="59"/>
      <c r="BK430" s="59"/>
      <c r="BL430" s="59"/>
      <c r="BM430" s="59"/>
    </row>
    <row r="431" spans="1:65">
      <c r="A431" s="51" t="str">
        <f>VLOOKUP(Table3[[#This Row],[OU]],OU!$A$15:$B$34,2,FALSE)</f>
        <v>RFOs</v>
      </c>
      <c r="B431" s="47" t="s">
        <v>5</v>
      </c>
      <c r="C431" s="47" t="s">
        <v>574</v>
      </c>
      <c r="D431" s="53" t="s">
        <v>723</v>
      </c>
      <c r="E431" s="47" t="s">
        <v>22</v>
      </c>
      <c r="F431" s="47" t="s">
        <v>645</v>
      </c>
      <c r="G43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43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21508000</v>
      </c>
      <c r="I431" s="52" t="str">
        <f>VLOOKUP(Table3[[#This Row],[PSGC]],DISTRICT!$D:$G,4,FALSE)</f>
        <v>3rd</v>
      </c>
      <c r="J431" s="47" t="s">
        <v>578</v>
      </c>
      <c r="K431" s="51" t="str">
        <f>VLOOKUP(Table3[[#This Row],[SPECIFIC COMMODITY]],TAGS!$W$48:$X$53,2,FALSE)</f>
        <v>Corn</v>
      </c>
      <c r="L431" s="51" t="str">
        <f>VLOOKUP(Table3[[#This Row],[PREXC SUB-PROGRAM]],Table5[],2,FALSE)</f>
        <v>AGRICULTURAL  MACHINERY, EQUIPMENT, FACILITIES AND INFRASTRUCTURE PROGRAM</v>
      </c>
      <c r="M431" s="51" t="str">
        <f>VLOOKUP(Table3[[#This Row],[COMMODITY PREXC SUB-PROGRAM]],TAGS!$U$54:$V$76,2,FALSE)</f>
        <v>AMEFSS</v>
      </c>
      <c r="N431" s="47" t="s">
        <v>594</v>
      </c>
      <c r="O431" s="54" t="str">
        <f>VLOOKUP(Table3[[#This Row],[PI LEVEL 3]],'PI LEVEL'!A:C,3,FALSE)</f>
        <v>Production machinery and equipment distributed</v>
      </c>
      <c r="P431" s="54" t="str">
        <f>VLOOKUP(Table3[[#This Row],[PI LEVEL 3]],Table53729[[Performance Indicator Level 3]:[Performance Indicator Level 1]],2,FALSE)</f>
        <v>Crop harvesting machinery and equipment distributed</v>
      </c>
      <c r="Q431" s="54" t="str">
        <f>VLOOKUP(Table3[[#This Row],[ACTIVITY]],TAGS!B:P,2,FALSE)</f>
        <v>Combine Harvester distributed</v>
      </c>
      <c r="R431" s="47" t="s">
        <v>181</v>
      </c>
      <c r="S431" s="51" t="str">
        <f>VLOOKUP(Table3[[#This Row],[ACTIVITY]],TAGS!$B:$P,4,FALSE)</f>
        <v>Production related machinery &amp; equipment</v>
      </c>
      <c r="T431" s="51" t="str">
        <f>VLOOKUP(Table3[[#This Row],[ACTIVITY]],TAGS!$B:$P,5,FALSE)</f>
        <v>Production-related</v>
      </c>
      <c r="U431" s="51" t="str">
        <f>VLOOKUP(Table3[[#This Row],[ACTIVITY]],TAGS!$B:$P,6,FALSE)</f>
        <v>Combine Harvester</v>
      </c>
      <c r="V431" s="51" t="str">
        <f>VLOOKUP(Table3[[#This Row],[ACTIVITY]],TAGS!$B:$P,7,FALSE)</f>
        <v>NO</v>
      </c>
      <c r="W431" s="51" t="str">
        <f>VLOOKUP(Table3[[#This Row],[ACTIVITY]],TAGS!$B:$P,8,FALSE)</f>
        <v>PAP</v>
      </c>
      <c r="X431" s="51" t="str">
        <f>VLOOKUP(Table3[[#This Row],[ACTIVITY]],TAGS!$B:$P,10,FALSE)</f>
        <v>PIP</v>
      </c>
      <c r="Y431" s="51" t="str">
        <f>VLOOKUP(Table3[[#This Row],[ACTIVITY]],TAGS!$B:$P,11,FALSE)</f>
        <v>PICS</v>
      </c>
      <c r="Z431" s="51" t="str">
        <f>VLOOKUP(Table3[[#This Row],[ACTIVITY]],TAGS!$B:$P,12,FALSE)</f>
        <v>Modernization</v>
      </c>
      <c r="AA431" s="51" t="str">
        <f>VLOOKUP(Table3[[#This Row],[ACTIVITY]],TAGS!$B:$P,13,FALSE)</f>
        <v>8. Farm Mechanization and Farm Investments</v>
      </c>
      <c r="AB431" s="51" t="str">
        <f>VLOOKUP(Table3[[#This Row],[ACTIVITY]],TAGS!$B:$P,14,FALSE)</f>
        <v>MECHANIZE AND MODERNIZE AGRI-FISHERY PRODUCTION SYSTEMS</v>
      </c>
      <c r="AC431" s="51" t="str">
        <f>VLOOKUP(Table3[[#This Row],[ACTIVITY]],TAGS!$B:$P,15,FALSE)</f>
        <v>Production-related</v>
      </c>
      <c r="AD431" s="51" t="str">
        <f>VLOOKUP(Table3[[#This Row],[PI LEVEL 3]],'PI LEVEL'!$A:$G,7,FALSE)</f>
        <v>DA-Level Output</v>
      </c>
      <c r="AE431" s="47" t="s">
        <v>577</v>
      </c>
      <c r="AF431" s="51" t="str">
        <f>VLOOKUP(Table3[[#This Row],[ACTIVITY]],TAGS!$B:$P,3,FALSE)</f>
        <v>number</v>
      </c>
      <c r="AG431" s="47" t="s">
        <v>336</v>
      </c>
      <c r="AH431" s="51" t="str">
        <f>VLOOKUP(Table3[[#This Row],[MONTH]],TAGS!$W$67:$Y$81,2,FALSE)</f>
        <v>4TH QTR</v>
      </c>
      <c r="AI431" s="51" t="str">
        <f>VLOOKUP(Table3[[#This Row],[MONTH]],TAGS!$W$67:$Y$81,3,FALSE)</f>
        <v>2ND SEMESTER</v>
      </c>
      <c r="AJ431" s="51">
        <f>VLOOKUP(Table3[[#This Row],[MONTH]],TAGS!$W$67:$Z$81,4,FALSE)</f>
        <v>2025</v>
      </c>
      <c r="AK431" s="47">
        <v>1</v>
      </c>
      <c r="AL431" s="51" t="str">
        <f>VLOOKUP(Table3[[#This Row],[ACTIVITY]],TAGS!$B:$R,16,FALSE)</f>
        <v>NO</v>
      </c>
      <c r="AM431" s="47"/>
      <c r="AN431" s="47">
        <v>2100</v>
      </c>
      <c r="AO431" s="57">
        <f>SUM(Table3[[#This Row],[MALE BENEFICIARIES]:[FEMALE BENEFICIARIES]])</f>
        <v>0</v>
      </c>
      <c r="AP431" s="58"/>
      <c r="AQ431" s="58"/>
      <c r="AR431" s="58"/>
      <c r="AS431" s="58">
        <v>1</v>
      </c>
      <c r="AT431" s="59" t="str">
        <f>VLOOKUP(Table3[[#This Row],[ACTIVITY]],TAGS!$B:$R,17,FALSE)</f>
        <v>YES</v>
      </c>
      <c r="AU431" s="59"/>
      <c r="AV431" s="59"/>
      <c r="AW431" s="59"/>
      <c r="AX431" s="59"/>
      <c r="AY431" s="59"/>
      <c r="AZ431" s="59"/>
      <c r="BA431" s="59"/>
      <c r="BB431" s="59"/>
      <c r="BC431" s="59"/>
      <c r="BD431" s="59"/>
      <c r="BE431" s="59"/>
      <c r="BF431" s="59"/>
      <c r="BG431" s="59"/>
      <c r="BH431" s="59"/>
      <c r="BI431" s="59"/>
      <c r="BJ431" s="59"/>
      <c r="BK431" s="59"/>
      <c r="BL431" s="59"/>
      <c r="BM431" s="59"/>
    </row>
    <row r="432" spans="1:65">
      <c r="A432" s="51" t="str">
        <f>VLOOKUP(Table3[[#This Row],[OU]],OU!$A$15:$B$34,2,FALSE)</f>
        <v>RFOs</v>
      </c>
      <c r="B432" s="47" t="s">
        <v>5</v>
      </c>
      <c r="C432" s="47" t="s">
        <v>574</v>
      </c>
      <c r="D432" s="64" t="s">
        <v>724</v>
      </c>
      <c r="E432" s="47" t="s">
        <v>22</v>
      </c>
      <c r="F432" s="47" t="s">
        <v>628</v>
      </c>
      <c r="G43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43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21517000</v>
      </c>
      <c r="I432" s="52" t="str">
        <f>VLOOKUP(Table3[[#This Row],[PSGC]],DISTRICT!$D:$G,4,FALSE)</f>
        <v>3rd</v>
      </c>
      <c r="J432" s="47" t="s">
        <v>578</v>
      </c>
      <c r="K432" s="51" t="str">
        <f>VLOOKUP(Table3[[#This Row],[SPECIFIC COMMODITY]],TAGS!$W$48:$X$53,2,FALSE)</f>
        <v>Corn</v>
      </c>
      <c r="L432" s="51" t="str">
        <f>VLOOKUP(Table3[[#This Row],[PREXC SUB-PROGRAM]],Table5[],2,FALSE)</f>
        <v>AGRICULTURAL  MACHINERY, EQUIPMENT, FACILITIES AND INFRASTRUCTURE PROGRAM</v>
      </c>
      <c r="M432" s="51" t="str">
        <f>VLOOKUP(Table3[[#This Row],[COMMODITY PREXC SUB-PROGRAM]],TAGS!$U$54:$V$76,2,FALSE)</f>
        <v>AMEFSS</v>
      </c>
      <c r="N432" s="47" t="s">
        <v>594</v>
      </c>
      <c r="O432" s="54" t="str">
        <f>VLOOKUP(Table3[[#This Row],[PI LEVEL 3]],'PI LEVEL'!A:C,3,FALSE)</f>
        <v>Production machinery and equipment distributed</v>
      </c>
      <c r="P432" s="54" t="str">
        <f>VLOOKUP(Table3[[#This Row],[PI LEVEL 3]],Table53729[[Performance Indicator Level 3]:[Performance Indicator Level 1]],2,FALSE)</f>
        <v>Crop harvesting machinery and equipment distributed</v>
      </c>
      <c r="Q432" s="54" t="str">
        <f>VLOOKUP(Table3[[#This Row],[ACTIVITY]],TAGS!B:P,2,FALSE)</f>
        <v>Combine Harvester distributed</v>
      </c>
      <c r="R432" s="47" t="s">
        <v>181</v>
      </c>
      <c r="S432" s="51" t="str">
        <f>VLOOKUP(Table3[[#This Row],[ACTIVITY]],TAGS!$B:$P,4,FALSE)</f>
        <v>Production related machinery &amp; equipment</v>
      </c>
      <c r="T432" s="51" t="str">
        <f>VLOOKUP(Table3[[#This Row],[ACTIVITY]],TAGS!$B:$P,5,FALSE)</f>
        <v>Production-related</v>
      </c>
      <c r="U432" s="51" t="str">
        <f>VLOOKUP(Table3[[#This Row],[ACTIVITY]],TAGS!$B:$P,6,FALSE)</f>
        <v>Combine Harvester</v>
      </c>
      <c r="V432" s="51" t="str">
        <f>VLOOKUP(Table3[[#This Row],[ACTIVITY]],TAGS!$B:$P,7,FALSE)</f>
        <v>NO</v>
      </c>
      <c r="W432" s="51" t="str">
        <f>VLOOKUP(Table3[[#This Row],[ACTIVITY]],TAGS!$B:$P,8,FALSE)</f>
        <v>PAP</v>
      </c>
      <c r="X432" s="51" t="str">
        <f>VLOOKUP(Table3[[#This Row],[ACTIVITY]],TAGS!$B:$P,10,FALSE)</f>
        <v>PIP</v>
      </c>
      <c r="Y432" s="51" t="str">
        <f>VLOOKUP(Table3[[#This Row],[ACTIVITY]],TAGS!$B:$P,11,FALSE)</f>
        <v>PICS</v>
      </c>
      <c r="Z432" s="51" t="str">
        <f>VLOOKUP(Table3[[#This Row],[ACTIVITY]],TAGS!$B:$P,12,FALSE)</f>
        <v>Modernization</v>
      </c>
      <c r="AA432" s="51" t="str">
        <f>VLOOKUP(Table3[[#This Row],[ACTIVITY]],TAGS!$B:$P,13,FALSE)</f>
        <v>8. Farm Mechanization and Farm Investments</v>
      </c>
      <c r="AB432" s="51" t="str">
        <f>VLOOKUP(Table3[[#This Row],[ACTIVITY]],TAGS!$B:$P,14,FALSE)</f>
        <v>MECHANIZE AND MODERNIZE AGRI-FISHERY PRODUCTION SYSTEMS</v>
      </c>
      <c r="AC432" s="51" t="str">
        <f>VLOOKUP(Table3[[#This Row],[ACTIVITY]],TAGS!$B:$P,15,FALSE)</f>
        <v>Production-related</v>
      </c>
      <c r="AD432" s="51" t="str">
        <f>VLOOKUP(Table3[[#This Row],[PI LEVEL 3]],'PI LEVEL'!$A:$G,7,FALSE)</f>
        <v>DA-Level Output</v>
      </c>
      <c r="AE432" s="47" t="s">
        <v>577</v>
      </c>
      <c r="AF432" s="51" t="str">
        <f>VLOOKUP(Table3[[#This Row],[ACTIVITY]],TAGS!$B:$P,3,FALSE)</f>
        <v>number</v>
      </c>
      <c r="AG432" s="47" t="s">
        <v>336</v>
      </c>
      <c r="AH432" s="51" t="str">
        <f>VLOOKUP(Table3[[#This Row],[MONTH]],TAGS!$W$67:$Y$81,2,FALSE)</f>
        <v>4TH QTR</v>
      </c>
      <c r="AI432" s="51" t="str">
        <f>VLOOKUP(Table3[[#This Row],[MONTH]],TAGS!$W$67:$Y$81,3,FALSE)</f>
        <v>2ND SEMESTER</v>
      </c>
      <c r="AJ432" s="51">
        <f>VLOOKUP(Table3[[#This Row],[MONTH]],TAGS!$W$67:$Z$81,4,FALSE)</f>
        <v>2025</v>
      </c>
      <c r="AK432" s="47">
        <v>1</v>
      </c>
      <c r="AL432" s="51" t="str">
        <f>VLOOKUP(Table3[[#This Row],[ACTIVITY]],TAGS!$B:$R,16,FALSE)</f>
        <v>NO</v>
      </c>
      <c r="AM432" s="47"/>
      <c r="AN432" s="47">
        <v>2100</v>
      </c>
      <c r="AO432" s="57">
        <f>SUM(Table3[[#This Row],[MALE BENEFICIARIES]:[FEMALE BENEFICIARIES]])</f>
        <v>0</v>
      </c>
      <c r="AP432" s="58"/>
      <c r="AQ432" s="58"/>
      <c r="AR432" s="58"/>
      <c r="AS432" s="58">
        <v>1</v>
      </c>
      <c r="AT432" s="59" t="str">
        <f>VLOOKUP(Table3[[#This Row],[ACTIVITY]],TAGS!$B:$R,17,FALSE)</f>
        <v>YES</v>
      </c>
      <c r="AU432" s="59"/>
      <c r="AV432" s="59"/>
      <c r="AW432" s="59"/>
      <c r="AX432" s="59"/>
      <c r="AY432" s="59"/>
      <c r="AZ432" s="59"/>
      <c r="BA432" s="59"/>
      <c r="BB432" s="59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</row>
    <row r="433" spans="1:65">
      <c r="A433" s="51" t="str">
        <f>VLOOKUP(Table3[[#This Row],[OU]],OU!$A$15:$B$34,2,FALSE)</f>
        <v>RFOs</v>
      </c>
      <c r="B433" s="47" t="s">
        <v>5</v>
      </c>
      <c r="C433" s="47" t="s">
        <v>574</v>
      </c>
      <c r="D433" s="64" t="s">
        <v>700</v>
      </c>
      <c r="E433" s="47" t="s">
        <v>22</v>
      </c>
      <c r="F433" s="47" t="s">
        <v>628</v>
      </c>
      <c r="G43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43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21517000</v>
      </c>
      <c r="I433" s="52" t="str">
        <f>VLOOKUP(Table3[[#This Row],[PSGC]],DISTRICT!$D:$G,4,FALSE)</f>
        <v>3rd</v>
      </c>
      <c r="J433" s="47" t="s">
        <v>578</v>
      </c>
      <c r="K433" s="51" t="str">
        <f>VLOOKUP(Table3[[#This Row],[SPECIFIC COMMODITY]],TAGS!$W$48:$X$53,2,FALSE)</f>
        <v>Corn</v>
      </c>
      <c r="L433" s="51" t="str">
        <f>VLOOKUP(Table3[[#This Row],[PREXC SUB-PROGRAM]],Table5[],2,FALSE)</f>
        <v>AGRICULTURAL  MACHINERY, EQUIPMENT, FACILITIES AND INFRASTRUCTURE PROGRAM</v>
      </c>
      <c r="M433" s="51" t="str">
        <f>VLOOKUP(Table3[[#This Row],[COMMODITY PREXC SUB-PROGRAM]],TAGS!$U$54:$V$76,2,FALSE)</f>
        <v>AMEFSS</v>
      </c>
      <c r="N433" s="47" t="s">
        <v>594</v>
      </c>
      <c r="O433" s="54" t="str">
        <f>VLOOKUP(Table3[[#This Row],[PI LEVEL 3]],'PI LEVEL'!A:C,3,FALSE)</f>
        <v>Production machinery and equipment distributed</v>
      </c>
      <c r="P433" s="54" t="str">
        <f>VLOOKUP(Table3[[#This Row],[PI LEVEL 3]],Table53729[[Performance Indicator Level 3]:[Performance Indicator Level 1]],2,FALSE)</f>
        <v>Crop harvesting machinery and equipment distributed</v>
      </c>
      <c r="Q433" s="54" t="str">
        <f>VLOOKUP(Table3[[#This Row],[ACTIVITY]],TAGS!B:P,2,FALSE)</f>
        <v>Combine Harvester distributed</v>
      </c>
      <c r="R433" s="47" t="s">
        <v>181</v>
      </c>
      <c r="S433" s="51" t="str">
        <f>VLOOKUP(Table3[[#This Row],[ACTIVITY]],TAGS!$B:$P,4,FALSE)</f>
        <v>Production related machinery &amp; equipment</v>
      </c>
      <c r="T433" s="51" t="str">
        <f>VLOOKUP(Table3[[#This Row],[ACTIVITY]],TAGS!$B:$P,5,FALSE)</f>
        <v>Production-related</v>
      </c>
      <c r="U433" s="51" t="str">
        <f>VLOOKUP(Table3[[#This Row],[ACTIVITY]],TAGS!$B:$P,6,FALSE)</f>
        <v>Combine Harvester</v>
      </c>
      <c r="V433" s="51" t="str">
        <f>VLOOKUP(Table3[[#This Row],[ACTIVITY]],TAGS!$B:$P,7,FALSE)</f>
        <v>NO</v>
      </c>
      <c r="W433" s="51" t="str">
        <f>VLOOKUP(Table3[[#This Row],[ACTIVITY]],TAGS!$B:$P,8,FALSE)</f>
        <v>PAP</v>
      </c>
      <c r="X433" s="51" t="str">
        <f>VLOOKUP(Table3[[#This Row],[ACTIVITY]],TAGS!$B:$P,10,FALSE)</f>
        <v>PIP</v>
      </c>
      <c r="Y433" s="51" t="str">
        <f>VLOOKUP(Table3[[#This Row],[ACTIVITY]],TAGS!$B:$P,11,FALSE)</f>
        <v>PICS</v>
      </c>
      <c r="Z433" s="51" t="str">
        <f>VLOOKUP(Table3[[#This Row],[ACTIVITY]],TAGS!$B:$P,12,FALSE)</f>
        <v>Modernization</v>
      </c>
      <c r="AA433" s="51" t="str">
        <f>VLOOKUP(Table3[[#This Row],[ACTIVITY]],TAGS!$B:$P,13,FALSE)</f>
        <v>8. Farm Mechanization and Farm Investments</v>
      </c>
      <c r="AB433" s="51" t="str">
        <f>VLOOKUP(Table3[[#This Row],[ACTIVITY]],TAGS!$B:$P,14,FALSE)</f>
        <v>MECHANIZE AND MODERNIZE AGRI-FISHERY PRODUCTION SYSTEMS</v>
      </c>
      <c r="AC433" s="51" t="str">
        <f>VLOOKUP(Table3[[#This Row],[ACTIVITY]],TAGS!$B:$P,15,FALSE)</f>
        <v>Production-related</v>
      </c>
      <c r="AD433" s="51" t="str">
        <f>VLOOKUP(Table3[[#This Row],[PI LEVEL 3]],'PI LEVEL'!$A:$G,7,FALSE)</f>
        <v>DA-Level Output</v>
      </c>
      <c r="AE433" s="47" t="s">
        <v>577</v>
      </c>
      <c r="AF433" s="51" t="str">
        <f>VLOOKUP(Table3[[#This Row],[ACTIVITY]],TAGS!$B:$P,3,FALSE)</f>
        <v>number</v>
      </c>
      <c r="AG433" s="47" t="s">
        <v>336</v>
      </c>
      <c r="AH433" s="51" t="str">
        <f>VLOOKUP(Table3[[#This Row],[MONTH]],TAGS!$W$67:$Y$81,2,FALSE)</f>
        <v>4TH QTR</v>
      </c>
      <c r="AI433" s="51" t="str">
        <f>VLOOKUP(Table3[[#This Row],[MONTH]],TAGS!$W$67:$Y$81,3,FALSE)</f>
        <v>2ND SEMESTER</v>
      </c>
      <c r="AJ433" s="51">
        <f>VLOOKUP(Table3[[#This Row],[MONTH]],TAGS!$W$67:$Z$81,4,FALSE)</f>
        <v>2025</v>
      </c>
      <c r="AK433" s="47">
        <v>1</v>
      </c>
      <c r="AL433" s="51" t="str">
        <f>VLOOKUP(Table3[[#This Row],[ACTIVITY]],TAGS!$B:$R,16,FALSE)</f>
        <v>NO</v>
      </c>
      <c r="AM433" s="47"/>
      <c r="AN433" s="47">
        <v>2100</v>
      </c>
      <c r="AO433" s="57">
        <f>SUM(Table3[[#This Row],[MALE BENEFICIARIES]:[FEMALE BENEFICIARIES]])</f>
        <v>0</v>
      </c>
      <c r="AP433" s="58"/>
      <c r="AQ433" s="58"/>
      <c r="AR433" s="58"/>
      <c r="AS433" s="58">
        <v>1</v>
      </c>
      <c r="AT433" s="59" t="str">
        <f>VLOOKUP(Table3[[#This Row],[ACTIVITY]],TAGS!$B:$R,17,FALSE)</f>
        <v>YES</v>
      </c>
      <c r="AU433" s="59"/>
      <c r="AV433" s="59"/>
      <c r="AW433" s="59"/>
      <c r="AX433" s="59"/>
      <c r="AY433" s="59"/>
      <c r="AZ433" s="59"/>
      <c r="BA433" s="59"/>
      <c r="BB433" s="59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</row>
    <row r="434" s="48" customFormat="1" ht="30" spans="1:65">
      <c r="A434" s="66" t="str">
        <f>VLOOKUP(Table3[[#This Row],[OU]],OU!$A$15:$B$34,2,FALSE)</f>
        <v>RFOs</v>
      </c>
      <c r="B434" s="65" t="s">
        <v>5</v>
      </c>
      <c r="C434" s="65" t="s">
        <v>574</v>
      </c>
      <c r="D434" s="64" t="s">
        <v>717</v>
      </c>
      <c r="E434" s="65" t="s">
        <v>43</v>
      </c>
      <c r="F434" s="65" t="s">
        <v>630</v>
      </c>
      <c r="G434" s="67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34" s="67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23114000</v>
      </c>
      <c r="I434" s="67" t="str">
        <f>VLOOKUP(Table3[[#This Row],[PSGC]],DISTRICT!$D:$G,4,FALSE)</f>
        <v>1st</v>
      </c>
      <c r="J434" s="65" t="s">
        <v>578</v>
      </c>
      <c r="K434" s="51" t="str">
        <f>VLOOKUP(Table3[[#This Row],[SPECIFIC COMMODITY]],TAGS!$W$48:$X$53,2,FALSE)</f>
        <v>Corn</v>
      </c>
      <c r="L434" s="51" t="str">
        <f>VLOOKUP(Table3[[#This Row],[PREXC SUB-PROGRAM]],Table5[],2,FALSE)</f>
        <v>AGRICULTURAL  MACHINERY, EQUIPMENT, FACILITIES AND INFRASTRUCTURE PROGRAM</v>
      </c>
      <c r="M434" s="51" t="str">
        <f>VLOOKUP(Table3[[#This Row],[COMMODITY PREXC SUB-PROGRAM]],TAGS!$U$54:$V$76,2,FALSE)</f>
        <v>AMEFSS</v>
      </c>
      <c r="N434" s="65" t="s">
        <v>594</v>
      </c>
      <c r="O434" s="54" t="str">
        <f>VLOOKUP(Table3[[#This Row],[PI LEVEL 3]],'PI LEVEL'!A:C,3,FALSE)</f>
        <v>Production machinery and equipment distributed</v>
      </c>
      <c r="P434" s="54" t="str">
        <f>VLOOKUP(Table3[[#This Row],[PI LEVEL 3]],Table53729[[Performance Indicator Level 3]:[Performance Indicator Level 1]],2,FALSE)</f>
        <v>Crop harvesting machinery and equipment distributed</v>
      </c>
      <c r="Q434" s="54" t="str">
        <f>VLOOKUP(Table3[[#This Row],[ACTIVITY]],TAGS!B:P,2,FALSE)</f>
        <v>Combine Harvester distributed</v>
      </c>
      <c r="R434" s="65" t="s">
        <v>181</v>
      </c>
      <c r="S434" s="66" t="str">
        <f>VLOOKUP(Table3[[#This Row],[ACTIVITY]],TAGS!$B:$P,4,FALSE)</f>
        <v>Production related machinery &amp; equipment</v>
      </c>
      <c r="T434" s="66" t="str">
        <f>VLOOKUP(Table3[[#This Row],[ACTIVITY]],TAGS!$B:$P,5,FALSE)</f>
        <v>Production-related</v>
      </c>
      <c r="U434" s="66" t="str">
        <f>VLOOKUP(Table3[[#This Row],[ACTIVITY]],TAGS!$B:$P,6,FALSE)</f>
        <v>Combine Harvester</v>
      </c>
      <c r="V434" s="66" t="str">
        <f>VLOOKUP(Table3[[#This Row],[ACTIVITY]],TAGS!$B:$P,7,FALSE)</f>
        <v>NO</v>
      </c>
      <c r="W434" s="66" t="str">
        <f>VLOOKUP(Table3[[#This Row],[ACTIVITY]],TAGS!$B:$P,8,FALSE)</f>
        <v>PAP</v>
      </c>
      <c r="X434" s="66" t="str">
        <f>VLOOKUP(Table3[[#This Row],[ACTIVITY]],TAGS!$B:$P,10,FALSE)</f>
        <v>PIP</v>
      </c>
      <c r="Y434" s="66" t="str">
        <f>VLOOKUP(Table3[[#This Row],[ACTIVITY]],TAGS!$B:$P,11,FALSE)</f>
        <v>PICS</v>
      </c>
      <c r="Z434" s="66" t="str">
        <f>VLOOKUP(Table3[[#This Row],[ACTIVITY]],TAGS!$B:$P,12,FALSE)</f>
        <v>Modernization</v>
      </c>
      <c r="AA434" s="66" t="str">
        <f>VLOOKUP(Table3[[#This Row],[ACTIVITY]],TAGS!$B:$P,13,FALSE)</f>
        <v>8. Farm Mechanization and Farm Investments</v>
      </c>
      <c r="AB434" s="66" t="str">
        <f>VLOOKUP(Table3[[#This Row],[ACTIVITY]],TAGS!$B:$P,14,FALSE)</f>
        <v>MECHANIZE AND MODERNIZE AGRI-FISHERY PRODUCTION SYSTEMS</v>
      </c>
      <c r="AC434" s="66" t="str">
        <f>VLOOKUP(Table3[[#This Row],[ACTIVITY]],TAGS!$B:$P,15,FALSE)</f>
        <v>Production-related</v>
      </c>
      <c r="AD434" s="66" t="str">
        <f>VLOOKUP(Table3[[#This Row],[PI LEVEL 3]],'PI LEVEL'!$A:$G,7,FALSE)</f>
        <v>DA-Level Output</v>
      </c>
      <c r="AE434" s="65" t="s">
        <v>577</v>
      </c>
      <c r="AF434" s="66" t="str">
        <f>VLOOKUP(Table3[[#This Row],[ACTIVITY]],TAGS!$B:$P,3,FALSE)</f>
        <v>number</v>
      </c>
      <c r="AG434" s="65" t="s">
        <v>336</v>
      </c>
      <c r="AH434" s="66" t="str">
        <f>VLOOKUP(Table3[[#This Row],[MONTH]],TAGS!$W$67:$Y$81,2,FALSE)</f>
        <v>4TH QTR</v>
      </c>
      <c r="AI434" s="66" t="str">
        <f>VLOOKUP(Table3[[#This Row],[MONTH]],TAGS!$W$67:$Y$81,3,FALSE)</f>
        <v>2ND SEMESTER</v>
      </c>
      <c r="AJ434" s="66">
        <f>VLOOKUP(Table3[[#This Row],[MONTH]],TAGS!$W$67:$Z$81,4,FALSE)</f>
        <v>2025</v>
      </c>
      <c r="AK434" s="65">
        <v>1</v>
      </c>
      <c r="AL434" s="66" t="str">
        <f>VLOOKUP(Table3[[#This Row],[ACTIVITY]],TAGS!$B:$R,16,FALSE)</f>
        <v>NO</v>
      </c>
      <c r="AM434" s="65"/>
      <c r="AN434" s="65">
        <v>2100</v>
      </c>
      <c r="AO434" s="57">
        <f>SUM(Table3[[#This Row],[MALE BENEFICIARIES]:[FEMALE BENEFICIARIES]])</f>
        <v>0</v>
      </c>
      <c r="AP434" s="69"/>
      <c r="AQ434" s="69"/>
      <c r="AR434" s="69"/>
      <c r="AS434" s="69">
        <v>1</v>
      </c>
      <c r="AT434" s="70" t="str">
        <f>VLOOKUP(Table3[[#This Row],[ACTIVITY]],TAGS!$B:$R,17,FALSE)</f>
        <v>YES</v>
      </c>
      <c r="AU434" s="70"/>
      <c r="AV434" s="70"/>
      <c r="AW434" s="70"/>
      <c r="AX434" s="70"/>
      <c r="AY434" s="70"/>
      <c r="AZ434" s="70"/>
      <c r="BA434" s="70"/>
      <c r="BB434" s="70"/>
      <c r="BC434" s="70"/>
      <c r="BD434" s="70"/>
      <c r="BE434" s="70"/>
      <c r="BF434" s="70"/>
      <c r="BG434" s="70"/>
      <c r="BH434" s="70"/>
      <c r="BI434" s="70"/>
      <c r="BJ434" s="70"/>
      <c r="BK434" s="70"/>
      <c r="BL434" s="70"/>
      <c r="BM434" s="70"/>
    </row>
    <row r="435" spans="1:65">
      <c r="A435" s="51" t="str">
        <f>VLOOKUP(Table3[[#This Row],[OU]],OU!$A$15:$B$34,2,FALSE)</f>
        <v>RFOs</v>
      </c>
      <c r="B435" s="47" t="s">
        <v>5</v>
      </c>
      <c r="C435" s="47" t="s">
        <v>574</v>
      </c>
      <c r="D435" s="64" t="s">
        <v>710</v>
      </c>
      <c r="E435" s="47" t="s">
        <v>43</v>
      </c>
      <c r="F435" s="47" t="s">
        <v>666</v>
      </c>
      <c r="G43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43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23125000</v>
      </c>
      <c r="I435" s="52" t="str">
        <f>VLOOKUP(Table3[[#This Row],[PSGC]],DISTRICT!$D:$G,4,FALSE)</f>
        <v>4th</v>
      </c>
      <c r="J435" s="47" t="s">
        <v>578</v>
      </c>
      <c r="K435" s="51" t="str">
        <f>VLOOKUP(Table3[[#This Row],[SPECIFIC COMMODITY]],TAGS!$W$48:$X$53,2,FALSE)</f>
        <v>Corn</v>
      </c>
      <c r="L435" s="51" t="str">
        <f>VLOOKUP(Table3[[#This Row],[PREXC SUB-PROGRAM]],Table5[],2,FALSE)</f>
        <v>AGRICULTURAL  MACHINERY, EQUIPMENT, FACILITIES AND INFRASTRUCTURE PROGRAM</v>
      </c>
      <c r="M435" s="51" t="str">
        <f>VLOOKUP(Table3[[#This Row],[COMMODITY PREXC SUB-PROGRAM]],TAGS!$U$54:$V$76,2,FALSE)</f>
        <v>AMEFSS</v>
      </c>
      <c r="N435" s="47" t="s">
        <v>594</v>
      </c>
      <c r="O435" s="54" t="str">
        <f>VLOOKUP(Table3[[#This Row],[PI LEVEL 3]],'PI LEVEL'!A:C,3,FALSE)</f>
        <v>Production machinery and equipment distributed</v>
      </c>
      <c r="P435" s="54" t="str">
        <f>VLOOKUP(Table3[[#This Row],[PI LEVEL 3]],Table53729[[Performance Indicator Level 3]:[Performance Indicator Level 1]],2,FALSE)</f>
        <v>Crop harvesting machinery and equipment distributed</v>
      </c>
      <c r="Q435" s="54" t="str">
        <f>VLOOKUP(Table3[[#This Row],[ACTIVITY]],TAGS!B:P,2,FALSE)</f>
        <v>Combine Harvester distributed</v>
      </c>
      <c r="R435" s="47" t="s">
        <v>181</v>
      </c>
      <c r="S435" s="51" t="str">
        <f>VLOOKUP(Table3[[#This Row],[ACTIVITY]],TAGS!$B:$P,4,FALSE)</f>
        <v>Production related machinery &amp; equipment</v>
      </c>
      <c r="T435" s="51" t="str">
        <f>VLOOKUP(Table3[[#This Row],[ACTIVITY]],TAGS!$B:$P,5,FALSE)</f>
        <v>Production-related</v>
      </c>
      <c r="U435" s="51" t="str">
        <f>VLOOKUP(Table3[[#This Row],[ACTIVITY]],TAGS!$B:$P,6,FALSE)</f>
        <v>Combine Harvester</v>
      </c>
      <c r="V435" s="51" t="str">
        <f>VLOOKUP(Table3[[#This Row],[ACTIVITY]],TAGS!$B:$P,7,FALSE)</f>
        <v>NO</v>
      </c>
      <c r="W435" s="51" t="str">
        <f>VLOOKUP(Table3[[#This Row],[ACTIVITY]],TAGS!$B:$P,8,FALSE)</f>
        <v>PAP</v>
      </c>
      <c r="X435" s="51" t="str">
        <f>VLOOKUP(Table3[[#This Row],[ACTIVITY]],TAGS!$B:$P,10,FALSE)</f>
        <v>PIP</v>
      </c>
      <c r="Y435" s="51" t="str">
        <f>VLOOKUP(Table3[[#This Row],[ACTIVITY]],TAGS!$B:$P,11,FALSE)</f>
        <v>PICS</v>
      </c>
      <c r="Z435" s="51" t="str">
        <f>VLOOKUP(Table3[[#This Row],[ACTIVITY]],TAGS!$B:$P,12,FALSE)</f>
        <v>Modernization</v>
      </c>
      <c r="AA435" s="51" t="str">
        <f>VLOOKUP(Table3[[#This Row],[ACTIVITY]],TAGS!$B:$P,13,FALSE)</f>
        <v>8. Farm Mechanization and Farm Investments</v>
      </c>
      <c r="AB435" s="51" t="str">
        <f>VLOOKUP(Table3[[#This Row],[ACTIVITY]],TAGS!$B:$P,14,FALSE)</f>
        <v>MECHANIZE AND MODERNIZE AGRI-FISHERY PRODUCTION SYSTEMS</v>
      </c>
      <c r="AC435" s="51" t="str">
        <f>VLOOKUP(Table3[[#This Row],[ACTIVITY]],TAGS!$B:$P,15,FALSE)</f>
        <v>Production-related</v>
      </c>
      <c r="AD435" s="51" t="str">
        <f>VLOOKUP(Table3[[#This Row],[PI LEVEL 3]],'PI LEVEL'!$A:$G,7,FALSE)</f>
        <v>DA-Level Output</v>
      </c>
      <c r="AE435" s="47" t="s">
        <v>577</v>
      </c>
      <c r="AF435" s="51" t="str">
        <f>VLOOKUP(Table3[[#This Row],[ACTIVITY]],TAGS!$B:$P,3,FALSE)</f>
        <v>number</v>
      </c>
      <c r="AG435" s="47" t="s">
        <v>336</v>
      </c>
      <c r="AH435" s="51" t="str">
        <f>VLOOKUP(Table3[[#This Row],[MONTH]],TAGS!$W$67:$Y$81,2,FALSE)</f>
        <v>4TH QTR</v>
      </c>
      <c r="AI435" s="51" t="str">
        <f>VLOOKUP(Table3[[#This Row],[MONTH]],TAGS!$W$67:$Y$81,3,FALSE)</f>
        <v>2ND SEMESTER</v>
      </c>
      <c r="AJ435" s="51">
        <f>VLOOKUP(Table3[[#This Row],[MONTH]],TAGS!$W$67:$Z$81,4,FALSE)</f>
        <v>2025</v>
      </c>
      <c r="AK435" s="47">
        <v>1</v>
      </c>
      <c r="AL435" s="51" t="str">
        <f>VLOOKUP(Table3[[#This Row],[ACTIVITY]],TAGS!$B:$R,16,FALSE)</f>
        <v>NO</v>
      </c>
      <c r="AM435" s="47"/>
      <c r="AN435" s="47">
        <v>2100</v>
      </c>
      <c r="AO435" s="57">
        <f>SUM(Table3[[#This Row],[MALE BENEFICIARIES]:[FEMALE BENEFICIARIES]])</f>
        <v>0</v>
      </c>
      <c r="AP435" s="58"/>
      <c r="AQ435" s="58"/>
      <c r="AR435" s="58"/>
      <c r="AS435" s="58">
        <v>1</v>
      </c>
      <c r="AT435" s="59" t="str">
        <f>VLOOKUP(Table3[[#This Row],[ACTIVITY]],TAGS!$B:$R,17,FALSE)</f>
        <v>YES</v>
      </c>
      <c r="AU435" s="59"/>
      <c r="AV435" s="59"/>
      <c r="AW435" s="59"/>
      <c r="AX435" s="59"/>
      <c r="AY435" s="59"/>
      <c r="AZ435" s="59"/>
      <c r="BA435" s="59"/>
      <c r="BB435" s="59"/>
      <c r="BC435" s="59"/>
      <c r="BD435" s="59"/>
      <c r="BE435" s="59"/>
      <c r="BF435" s="59"/>
      <c r="BG435" s="59"/>
      <c r="BH435" s="59"/>
      <c r="BI435" s="59"/>
      <c r="BJ435" s="59"/>
      <c r="BK435" s="59"/>
      <c r="BL435" s="59"/>
      <c r="BM435" s="59"/>
    </row>
    <row r="436" spans="1:65">
      <c r="A436" s="51" t="str">
        <f>VLOOKUP(Table3[[#This Row],[OU]],OU!$A$15:$B$34,2,FALSE)</f>
        <v>RFOs</v>
      </c>
      <c r="B436" s="47" t="s">
        <v>5</v>
      </c>
      <c r="C436" s="47" t="s">
        <v>574</v>
      </c>
      <c r="D436" s="64" t="s">
        <v>725</v>
      </c>
      <c r="E436" s="47" t="s">
        <v>43</v>
      </c>
      <c r="F436" s="47" t="s">
        <v>664</v>
      </c>
      <c r="G43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43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23120000</v>
      </c>
      <c r="I436" s="52" t="str">
        <f>VLOOKUP(Table3[[#This Row],[PSGC]],DISTRICT!$D:$G,4,FALSE)</f>
        <v>4th</v>
      </c>
      <c r="J436" s="47" t="s">
        <v>578</v>
      </c>
      <c r="K436" s="51" t="str">
        <f>VLOOKUP(Table3[[#This Row],[SPECIFIC COMMODITY]],TAGS!$W$48:$X$53,2,FALSE)</f>
        <v>Corn</v>
      </c>
      <c r="L436" s="51" t="str">
        <f>VLOOKUP(Table3[[#This Row],[PREXC SUB-PROGRAM]],Table5[],2,FALSE)</f>
        <v>AGRICULTURAL  MACHINERY, EQUIPMENT, FACILITIES AND INFRASTRUCTURE PROGRAM</v>
      </c>
      <c r="M436" s="51" t="str">
        <f>VLOOKUP(Table3[[#This Row],[COMMODITY PREXC SUB-PROGRAM]],TAGS!$U$54:$V$76,2,FALSE)</f>
        <v>AMEFSS</v>
      </c>
      <c r="N436" s="47" t="s">
        <v>594</v>
      </c>
      <c r="O436" s="54" t="str">
        <f>VLOOKUP(Table3[[#This Row],[PI LEVEL 3]],'PI LEVEL'!A:C,3,FALSE)</f>
        <v>Production machinery and equipment distributed</v>
      </c>
      <c r="P436" s="54" t="str">
        <f>VLOOKUP(Table3[[#This Row],[PI LEVEL 3]],Table53729[[Performance Indicator Level 3]:[Performance Indicator Level 1]],2,FALSE)</f>
        <v>Crop harvesting machinery and equipment distributed</v>
      </c>
      <c r="Q436" s="54" t="str">
        <f>VLOOKUP(Table3[[#This Row],[ACTIVITY]],TAGS!B:P,2,FALSE)</f>
        <v>Combine Harvester distributed</v>
      </c>
      <c r="R436" s="47" t="s">
        <v>181</v>
      </c>
      <c r="S436" s="51" t="str">
        <f>VLOOKUP(Table3[[#This Row],[ACTIVITY]],TAGS!$B:$P,4,FALSE)</f>
        <v>Production related machinery &amp; equipment</v>
      </c>
      <c r="T436" s="51" t="str">
        <f>VLOOKUP(Table3[[#This Row],[ACTIVITY]],TAGS!$B:$P,5,FALSE)</f>
        <v>Production-related</v>
      </c>
      <c r="U436" s="51" t="str">
        <f>VLOOKUP(Table3[[#This Row],[ACTIVITY]],TAGS!$B:$P,6,FALSE)</f>
        <v>Combine Harvester</v>
      </c>
      <c r="V436" s="51" t="str">
        <f>VLOOKUP(Table3[[#This Row],[ACTIVITY]],TAGS!$B:$P,7,FALSE)</f>
        <v>NO</v>
      </c>
      <c r="W436" s="51" t="str">
        <f>VLOOKUP(Table3[[#This Row],[ACTIVITY]],TAGS!$B:$P,8,FALSE)</f>
        <v>PAP</v>
      </c>
      <c r="X436" s="51" t="str">
        <f>VLOOKUP(Table3[[#This Row],[ACTIVITY]],TAGS!$B:$P,10,FALSE)</f>
        <v>PIP</v>
      </c>
      <c r="Y436" s="51" t="str">
        <f>VLOOKUP(Table3[[#This Row],[ACTIVITY]],TAGS!$B:$P,11,FALSE)</f>
        <v>PICS</v>
      </c>
      <c r="Z436" s="51" t="str">
        <f>VLOOKUP(Table3[[#This Row],[ACTIVITY]],TAGS!$B:$P,12,FALSE)</f>
        <v>Modernization</v>
      </c>
      <c r="AA436" s="51" t="str">
        <f>VLOOKUP(Table3[[#This Row],[ACTIVITY]],TAGS!$B:$P,13,FALSE)</f>
        <v>8. Farm Mechanization and Farm Investments</v>
      </c>
      <c r="AB436" s="51" t="str">
        <f>VLOOKUP(Table3[[#This Row],[ACTIVITY]],TAGS!$B:$P,14,FALSE)</f>
        <v>MECHANIZE AND MODERNIZE AGRI-FISHERY PRODUCTION SYSTEMS</v>
      </c>
      <c r="AC436" s="51" t="str">
        <f>VLOOKUP(Table3[[#This Row],[ACTIVITY]],TAGS!$B:$P,15,FALSE)</f>
        <v>Production-related</v>
      </c>
      <c r="AD436" s="51" t="str">
        <f>VLOOKUP(Table3[[#This Row],[PI LEVEL 3]],'PI LEVEL'!$A:$G,7,FALSE)</f>
        <v>DA-Level Output</v>
      </c>
      <c r="AE436" s="47" t="s">
        <v>577</v>
      </c>
      <c r="AF436" s="51" t="str">
        <f>VLOOKUP(Table3[[#This Row],[ACTIVITY]],TAGS!$B:$P,3,FALSE)</f>
        <v>number</v>
      </c>
      <c r="AG436" s="47" t="s">
        <v>336</v>
      </c>
      <c r="AH436" s="51" t="str">
        <f>VLOOKUP(Table3[[#This Row],[MONTH]],TAGS!$W$67:$Y$81,2,FALSE)</f>
        <v>4TH QTR</v>
      </c>
      <c r="AI436" s="51" t="str">
        <f>VLOOKUP(Table3[[#This Row],[MONTH]],TAGS!$W$67:$Y$81,3,FALSE)</f>
        <v>2ND SEMESTER</v>
      </c>
      <c r="AJ436" s="51">
        <f>VLOOKUP(Table3[[#This Row],[MONTH]],TAGS!$W$67:$Z$81,4,FALSE)</f>
        <v>2025</v>
      </c>
      <c r="AK436" s="47">
        <v>1</v>
      </c>
      <c r="AL436" s="51" t="str">
        <f>VLOOKUP(Table3[[#This Row],[ACTIVITY]],TAGS!$B:$R,16,FALSE)</f>
        <v>NO</v>
      </c>
      <c r="AM436" s="47"/>
      <c r="AN436" s="47">
        <v>2100</v>
      </c>
      <c r="AO436" s="57">
        <f>SUM(Table3[[#This Row],[MALE BENEFICIARIES]:[FEMALE BENEFICIARIES]])</f>
        <v>0</v>
      </c>
      <c r="AP436" s="58"/>
      <c r="AQ436" s="58"/>
      <c r="AR436" s="58"/>
      <c r="AS436" s="58">
        <v>1</v>
      </c>
      <c r="AT436" s="59" t="str">
        <f>VLOOKUP(Table3[[#This Row],[ACTIVITY]],TAGS!$B:$R,17,FALSE)</f>
        <v>YES</v>
      </c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</row>
    <row r="437" spans="1:65">
      <c r="A437" s="51" t="str">
        <f>VLOOKUP(Table3[[#This Row],[OU]],OU!$A$15:$B$34,2,FALSE)</f>
        <v>RFOs</v>
      </c>
      <c r="B437" s="47" t="s">
        <v>5</v>
      </c>
      <c r="C437" s="47" t="s">
        <v>574</v>
      </c>
      <c r="D437" s="53" t="s">
        <v>726</v>
      </c>
      <c r="E437" s="47" t="s">
        <v>43</v>
      </c>
      <c r="F437" s="47" t="s">
        <v>669</v>
      </c>
      <c r="G43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3rd District</v>
      </c>
      <c r="H43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23102000</v>
      </c>
      <c r="I437" s="52" t="str">
        <f>VLOOKUP(Table3[[#This Row],[PSGC]],DISTRICT!$D:$G,4,FALSE)</f>
        <v>3rd</v>
      </c>
      <c r="J437" s="47" t="s">
        <v>578</v>
      </c>
      <c r="K437" s="51" t="str">
        <f>VLOOKUP(Table3[[#This Row],[SPECIFIC COMMODITY]],TAGS!$W$48:$X$53,2,FALSE)</f>
        <v>Corn</v>
      </c>
      <c r="L437" s="51" t="str">
        <f>VLOOKUP(Table3[[#This Row],[PREXC SUB-PROGRAM]],Table5[],2,FALSE)</f>
        <v>AGRICULTURAL  MACHINERY, EQUIPMENT, FACILITIES AND INFRASTRUCTURE PROGRAM</v>
      </c>
      <c r="M437" s="51" t="str">
        <f>VLOOKUP(Table3[[#This Row],[COMMODITY PREXC SUB-PROGRAM]],TAGS!$U$54:$V$76,2,FALSE)</f>
        <v>AMEFSS</v>
      </c>
      <c r="N437" s="47" t="s">
        <v>594</v>
      </c>
      <c r="O437" s="54" t="str">
        <f>VLOOKUP(Table3[[#This Row],[PI LEVEL 3]],'PI LEVEL'!A:C,3,FALSE)</f>
        <v>Production machinery and equipment distributed</v>
      </c>
      <c r="P437" s="54" t="str">
        <f>VLOOKUP(Table3[[#This Row],[PI LEVEL 3]],Table53729[[Performance Indicator Level 3]:[Performance Indicator Level 1]],2,FALSE)</f>
        <v>Crop harvesting machinery and equipment distributed</v>
      </c>
      <c r="Q437" s="54" t="str">
        <f>VLOOKUP(Table3[[#This Row],[ACTIVITY]],TAGS!B:P,2,FALSE)</f>
        <v>Combine Harvester distributed</v>
      </c>
      <c r="R437" s="47" t="s">
        <v>181</v>
      </c>
      <c r="S437" s="51" t="str">
        <f>VLOOKUP(Table3[[#This Row],[ACTIVITY]],TAGS!$B:$P,4,FALSE)</f>
        <v>Production related machinery &amp; equipment</v>
      </c>
      <c r="T437" s="51" t="str">
        <f>VLOOKUP(Table3[[#This Row],[ACTIVITY]],TAGS!$B:$P,5,FALSE)</f>
        <v>Production-related</v>
      </c>
      <c r="U437" s="51" t="str">
        <f>VLOOKUP(Table3[[#This Row],[ACTIVITY]],TAGS!$B:$P,6,FALSE)</f>
        <v>Combine Harvester</v>
      </c>
      <c r="V437" s="51" t="str">
        <f>VLOOKUP(Table3[[#This Row],[ACTIVITY]],TAGS!$B:$P,7,FALSE)</f>
        <v>NO</v>
      </c>
      <c r="W437" s="51" t="str">
        <f>VLOOKUP(Table3[[#This Row],[ACTIVITY]],TAGS!$B:$P,8,FALSE)</f>
        <v>PAP</v>
      </c>
      <c r="X437" s="51" t="str">
        <f>VLOOKUP(Table3[[#This Row],[ACTIVITY]],TAGS!$B:$P,10,FALSE)</f>
        <v>PIP</v>
      </c>
      <c r="Y437" s="51" t="str">
        <f>VLOOKUP(Table3[[#This Row],[ACTIVITY]],TAGS!$B:$P,11,FALSE)</f>
        <v>PICS</v>
      </c>
      <c r="Z437" s="51" t="str">
        <f>VLOOKUP(Table3[[#This Row],[ACTIVITY]],TAGS!$B:$P,12,FALSE)</f>
        <v>Modernization</v>
      </c>
      <c r="AA437" s="51" t="str">
        <f>VLOOKUP(Table3[[#This Row],[ACTIVITY]],TAGS!$B:$P,13,FALSE)</f>
        <v>8. Farm Mechanization and Farm Investments</v>
      </c>
      <c r="AB437" s="51" t="str">
        <f>VLOOKUP(Table3[[#This Row],[ACTIVITY]],TAGS!$B:$P,14,FALSE)</f>
        <v>MECHANIZE AND MODERNIZE AGRI-FISHERY PRODUCTION SYSTEMS</v>
      </c>
      <c r="AC437" s="51" t="str">
        <f>VLOOKUP(Table3[[#This Row],[ACTIVITY]],TAGS!$B:$P,15,FALSE)</f>
        <v>Production-related</v>
      </c>
      <c r="AD437" s="51" t="str">
        <f>VLOOKUP(Table3[[#This Row],[PI LEVEL 3]],'PI LEVEL'!$A:$G,7,FALSE)</f>
        <v>DA-Level Output</v>
      </c>
      <c r="AE437" s="47" t="s">
        <v>577</v>
      </c>
      <c r="AF437" s="51" t="str">
        <f>VLOOKUP(Table3[[#This Row],[ACTIVITY]],TAGS!$B:$P,3,FALSE)</f>
        <v>number</v>
      </c>
      <c r="AG437" s="47" t="s">
        <v>336</v>
      </c>
      <c r="AH437" s="51" t="str">
        <f>VLOOKUP(Table3[[#This Row],[MONTH]],TAGS!$W$67:$Y$81,2,FALSE)</f>
        <v>4TH QTR</v>
      </c>
      <c r="AI437" s="51" t="str">
        <f>VLOOKUP(Table3[[#This Row],[MONTH]],TAGS!$W$67:$Y$81,3,FALSE)</f>
        <v>2ND SEMESTER</v>
      </c>
      <c r="AJ437" s="51">
        <f>VLOOKUP(Table3[[#This Row],[MONTH]],TAGS!$W$67:$Z$81,4,FALSE)</f>
        <v>2025</v>
      </c>
      <c r="AK437" s="47">
        <v>1</v>
      </c>
      <c r="AL437" s="51" t="str">
        <f>VLOOKUP(Table3[[#This Row],[ACTIVITY]],TAGS!$B:$R,16,FALSE)</f>
        <v>NO</v>
      </c>
      <c r="AM437" s="47"/>
      <c r="AN437" s="47">
        <v>2100</v>
      </c>
      <c r="AO437" s="57">
        <f>SUM(Table3[[#This Row],[MALE BENEFICIARIES]:[FEMALE BENEFICIARIES]])</f>
        <v>0</v>
      </c>
      <c r="AP437" s="58"/>
      <c r="AQ437" s="58"/>
      <c r="AR437" s="58"/>
      <c r="AS437" s="58">
        <v>1</v>
      </c>
      <c r="AT437" s="59" t="str">
        <f>VLOOKUP(Table3[[#This Row],[ACTIVITY]],TAGS!$B:$R,17,FALSE)</f>
        <v>YES</v>
      </c>
      <c r="AU437" s="59"/>
      <c r="AV437" s="59"/>
      <c r="AW437" s="59"/>
      <c r="AX437" s="59"/>
      <c r="AY437" s="59"/>
      <c r="AZ437" s="59"/>
      <c r="BA437" s="59"/>
      <c r="BB437" s="59"/>
      <c r="BC437" s="59"/>
      <c r="BD437" s="59"/>
      <c r="BE437" s="59"/>
      <c r="BF437" s="59"/>
      <c r="BG437" s="59"/>
      <c r="BH437" s="59"/>
      <c r="BI437" s="59"/>
      <c r="BJ437" s="59"/>
      <c r="BK437" s="59"/>
      <c r="BL437" s="59"/>
      <c r="BM437" s="59"/>
    </row>
    <row r="438" spans="1:65">
      <c r="A438" s="51" t="str">
        <f>VLOOKUP(Table3[[#This Row],[OU]],OU!$A$15:$B$34,2,FALSE)</f>
        <v>RFOs</v>
      </c>
      <c r="B438" s="47" t="s">
        <v>5</v>
      </c>
      <c r="C438" s="47" t="s">
        <v>574</v>
      </c>
      <c r="D438" s="64" t="s">
        <v>727</v>
      </c>
      <c r="E438" s="47" t="s">
        <v>43</v>
      </c>
      <c r="F438" s="47" t="s">
        <v>674</v>
      </c>
      <c r="G43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4th District</v>
      </c>
      <c r="H43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23109000</v>
      </c>
      <c r="I438" s="52" t="str">
        <f>VLOOKUP(Table3[[#This Row],[PSGC]],DISTRICT!$D:$G,4,FALSE)</f>
        <v>3rd</v>
      </c>
      <c r="J438" s="47" t="s">
        <v>578</v>
      </c>
      <c r="K438" s="51" t="str">
        <f>VLOOKUP(Table3[[#This Row],[SPECIFIC COMMODITY]],TAGS!$W$48:$X$53,2,FALSE)</f>
        <v>Corn</v>
      </c>
      <c r="L438" s="51" t="str">
        <f>VLOOKUP(Table3[[#This Row],[PREXC SUB-PROGRAM]],Table5[],2,FALSE)</f>
        <v>AGRICULTURAL  MACHINERY, EQUIPMENT, FACILITIES AND INFRASTRUCTURE PROGRAM</v>
      </c>
      <c r="M438" s="51" t="str">
        <f>VLOOKUP(Table3[[#This Row],[COMMODITY PREXC SUB-PROGRAM]],TAGS!$U$54:$V$76,2,FALSE)</f>
        <v>AMEFSS</v>
      </c>
      <c r="N438" s="47" t="s">
        <v>594</v>
      </c>
      <c r="O438" s="54" t="str">
        <f>VLOOKUP(Table3[[#This Row],[PI LEVEL 3]],'PI LEVEL'!A:C,3,FALSE)</f>
        <v>Production machinery and equipment distributed</v>
      </c>
      <c r="P438" s="54" t="str">
        <f>VLOOKUP(Table3[[#This Row],[PI LEVEL 3]],Table53729[[Performance Indicator Level 3]:[Performance Indicator Level 1]],2,FALSE)</f>
        <v>Crop harvesting machinery and equipment distributed</v>
      </c>
      <c r="Q438" s="54" t="str">
        <f>VLOOKUP(Table3[[#This Row],[ACTIVITY]],TAGS!B:P,2,FALSE)</f>
        <v>Combine Harvester distributed</v>
      </c>
      <c r="R438" s="47" t="s">
        <v>181</v>
      </c>
      <c r="S438" s="51" t="str">
        <f>VLOOKUP(Table3[[#This Row],[ACTIVITY]],TAGS!$B:$P,4,FALSE)</f>
        <v>Production related machinery &amp; equipment</v>
      </c>
      <c r="T438" s="51" t="str">
        <f>VLOOKUP(Table3[[#This Row],[ACTIVITY]],TAGS!$B:$P,5,FALSE)</f>
        <v>Production-related</v>
      </c>
      <c r="U438" s="51" t="str">
        <f>VLOOKUP(Table3[[#This Row],[ACTIVITY]],TAGS!$B:$P,6,FALSE)</f>
        <v>Combine Harvester</v>
      </c>
      <c r="V438" s="51" t="str">
        <f>VLOOKUP(Table3[[#This Row],[ACTIVITY]],TAGS!$B:$P,7,FALSE)</f>
        <v>NO</v>
      </c>
      <c r="W438" s="51" t="str">
        <f>VLOOKUP(Table3[[#This Row],[ACTIVITY]],TAGS!$B:$P,8,FALSE)</f>
        <v>PAP</v>
      </c>
      <c r="X438" s="51" t="str">
        <f>VLOOKUP(Table3[[#This Row],[ACTIVITY]],TAGS!$B:$P,10,FALSE)</f>
        <v>PIP</v>
      </c>
      <c r="Y438" s="51" t="str">
        <f>VLOOKUP(Table3[[#This Row],[ACTIVITY]],TAGS!$B:$P,11,FALSE)</f>
        <v>PICS</v>
      </c>
      <c r="Z438" s="51" t="str">
        <f>VLOOKUP(Table3[[#This Row],[ACTIVITY]],TAGS!$B:$P,12,FALSE)</f>
        <v>Modernization</v>
      </c>
      <c r="AA438" s="51" t="str">
        <f>VLOOKUP(Table3[[#This Row],[ACTIVITY]],TAGS!$B:$P,13,FALSE)</f>
        <v>8. Farm Mechanization and Farm Investments</v>
      </c>
      <c r="AB438" s="51" t="str">
        <f>VLOOKUP(Table3[[#This Row],[ACTIVITY]],TAGS!$B:$P,14,FALSE)</f>
        <v>MECHANIZE AND MODERNIZE AGRI-FISHERY PRODUCTION SYSTEMS</v>
      </c>
      <c r="AC438" s="51" t="str">
        <f>VLOOKUP(Table3[[#This Row],[ACTIVITY]],TAGS!$B:$P,15,FALSE)</f>
        <v>Production-related</v>
      </c>
      <c r="AD438" s="51" t="str">
        <f>VLOOKUP(Table3[[#This Row],[PI LEVEL 3]],'PI LEVEL'!$A:$G,7,FALSE)</f>
        <v>DA-Level Output</v>
      </c>
      <c r="AE438" s="47" t="s">
        <v>577</v>
      </c>
      <c r="AF438" s="51" t="str">
        <f>VLOOKUP(Table3[[#This Row],[ACTIVITY]],TAGS!$B:$P,3,FALSE)</f>
        <v>number</v>
      </c>
      <c r="AG438" s="47" t="s">
        <v>336</v>
      </c>
      <c r="AH438" s="51" t="str">
        <f>VLOOKUP(Table3[[#This Row],[MONTH]],TAGS!$W$67:$Y$81,2,FALSE)</f>
        <v>4TH QTR</v>
      </c>
      <c r="AI438" s="51" t="str">
        <f>VLOOKUP(Table3[[#This Row],[MONTH]],TAGS!$W$67:$Y$81,3,FALSE)</f>
        <v>2ND SEMESTER</v>
      </c>
      <c r="AJ438" s="51">
        <f>VLOOKUP(Table3[[#This Row],[MONTH]],TAGS!$W$67:$Z$81,4,FALSE)</f>
        <v>2025</v>
      </c>
      <c r="AK438" s="47">
        <v>1</v>
      </c>
      <c r="AL438" s="51" t="str">
        <f>VLOOKUP(Table3[[#This Row],[ACTIVITY]],TAGS!$B:$R,16,FALSE)</f>
        <v>NO</v>
      </c>
      <c r="AM438" s="47"/>
      <c r="AN438" s="47">
        <v>2100</v>
      </c>
      <c r="AO438" s="57">
        <f>SUM(Table3[[#This Row],[MALE BENEFICIARIES]:[FEMALE BENEFICIARIES]])</f>
        <v>0</v>
      </c>
      <c r="AP438" s="58"/>
      <c r="AQ438" s="58"/>
      <c r="AR438" s="58"/>
      <c r="AS438" s="58">
        <v>1</v>
      </c>
      <c r="AT438" s="59" t="str">
        <f>VLOOKUP(Table3[[#This Row],[ACTIVITY]],TAGS!$B:$R,17,FALSE)</f>
        <v>YES</v>
      </c>
      <c r="AU438" s="59"/>
      <c r="AV438" s="59"/>
      <c r="AW438" s="59"/>
      <c r="AX438" s="59"/>
      <c r="AY438" s="59"/>
      <c r="AZ438" s="59"/>
      <c r="BA438" s="59"/>
      <c r="BB438" s="59"/>
      <c r="BC438" s="59"/>
      <c r="BD438" s="59"/>
      <c r="BE438" s="59"/>
      <c r="BF438" s="59"/>
      <c r="BG438" s="59"/>
      <c r="BH438" s="59"/>
      <c r="BI438" s="59"/>
      <c r="BJ438" s="59"/>
      <c r="BK438" s="59"/>
      <c r="BL438" s="59"/>
      <c r="BM438" s="59"/>
    </row>
    <row r="439" spans="1:65">
      <c r="A439" s="51" t="str">
        <f>VLOOKUP(Table3[[#This Row],[OU]],OU!$A$15:$B$34,2,FALSE)</f>
        <v>RFOs</v>
      </c>
      <c r="B439" s="47" t="s">
        <v>5</v>
      </c>
      <c r="C439" s="47" t="s">
        <v>574</v>
      </c>
      <c r="D439" s="64" t="s">
        <v>713</v>
      </c>
      <c r="E439" s="47" t="s">
        <v>70</v>
      </c>
      <c r="F439" s="47" t="s">
        <v>634</v>
      </c>
      <c r="G43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43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25701000</v>
      </c>
      <c r="I439" s="52" t="str">
        <f>VLOOKUP(Table3[[#This Row],[PSGC]],DISTRICT!$D:$G,4,FALSE)</f>
        <v>3rd</v>
      </c>
      <c r="J439" s="47" t="s">
        <v>578</v>
      </c>
      <c r="K439" s="51" t="str">
        <f>VLOOKUP(Table3[[#This Row],[SPECIFIC COMMODITY]],TAGS!$W$48:$X$53,2,FALSE)</f>
        <v>Corn</v>
      </c>
      <c r="L439" s="51" t="str">
        <f>VLOOKUP(Table3[[#This Row],[PREXC SUB-PROGRAM]],Table5[],2,FALSE)</f>
        <v>AGRICULTURAL  MACHINERY, EQUIPMENT, FACILITIES AND INFRASTRUCTURE PROGRAM</v>
      </c>
      <c r="M439" s="51" t="str">
        <f>VLOOKUP(Table3[[#This Row],[COMMODITY PREXC SUB-PROGRAM]],TAGS!$U$54:$V$76,2,FALSE)</f>
        <v>AMEFSS</v>
      </c>
      <c r="N439" s="47" t="s">
        <v>594</v>
      </c>
      <c r="O439" s="54" t="str">
        <f>VLOOKUP(Table3[[#This Row],[PI LEVEL 3]],'PI LEVEL'!A:C,3,FALSE)</f>
        <v>Production machinery and equipment distributed</v>
      </c>
      <c r="P439" s="54" t="str">
        <f>VLOOKUP(Table3[[#This Row],[PI LEVEL 3]],Table53729[[Performance Indicator Level 3]:[Performance Indicator Level 1]],2,FALSE)</f>
        <v>Crop harvesting machinery and equipment distributed</v>
      </c>
      <c r="Q439" s="54" t="str">
        <f>VLOOKUP(Table3[[#This Row],[ACTIVITY]],TAGS!B:P,2,FALSE)</f>
        <v>Combine Harvester distributed</v>
      </c>
      <c r="R439" s="47" t="s">
        <v>181</v>
      </c>
      <c r="S439" s="51" t="str">
        <f>VLOOKUP(Table3[[#This Row],[ACTIVITY]],TAGS!$B:$P,4,FALSE)</f>
        <v>Production related machinery &amp; equipment</v>
      </c>
      <c r="T439" s="51" t="str">
        <f>VLOOKUP(Table3[[#This Row],[ACTIVITY]],TAGS!$B:$P,5,FALSE)</f>
        <v>Production-related</v>
      </c>
      <c r="U439" s="51" t="str">
        <f>VLOOKUP(Table3[[#This Row],[ACTIVITY]],TAGS!$B:$P,6,FALSE)</f>
        <v>Combine Harvester</v>
      </c>
      <c r="V439" s="51" t="str">
        <f>VLOOKUP(Table3[[#This Row],[ACTIVITY]],TAGS!$B:$P,7,FALSE)</f>
        <v>NO</v>
      </c>
      <c r="W439" s="51" t="str">
        <f>VLOOKUP(Table3[[#This Row],[ACTIVITY]],TAGS!$B:$P,8,FALSE)</f>
        <v>PAP</v>
      </c>
      <c r="X439" s="51" t="str">
        <f>VLOOKUP(Table3[[#This Row],[ACTIVITY]],TAGS!$B:$P,10,FALSE)</f>
        <v>PIP</v>
      </c>
      <c r="Y439" s="51" t="str">
        <f>VLOOKUP(Table3[[#This Row],[ACTIVITY]],TAGS!$B:$P,11,FALSE)</f>
        <v>PICS</v>
      </c>
      <c r="Z439" s="51" t="str">
        <f>VLOOKUP(Table3[[#This Row],[ACTIVITY]],TAGS!$B:$P,12,FALSE)</f>
        <v>Modernization</v>
      </c>
      <c r="AA439" s="51" t="str">
        <f>VLOOKUP(Table3[[#This Row],[ACTIVITY]],TAGS!$B:$P,13,FALSE)</f>
        <v>8. Farm Mechanization and Farm Investments</v>
      </c>
      <c r="AB439" s="51" t="str">
        <f>VLOOKUP(Table3[[#This Row],[ACTIVITY]],TAGS!$B:$P,14,FALSE)</f>
        <v>MECHANIZE AND MODERNIZE AGRI-FISHERY PRODUCTION SYSTEMS</v>
      </c>
      <c r="AC439" s="51" t="str">
        <f>VLOOKUP(Table3[[#This Row],[ACTIVITY]],TAGS!$B:$P,15,FALSE)</f>
        <v>Production-related</v>
      </c>
      <c r="AD439" s="51" t="str">
        <f>VLOOKUP(Table3[[#This Row],[PI LEVEL 3]],'PI LEVEL'!$A:$G,7,FALSE)</f>
        <v>DA-Level Output</v>
      </c>
      <c r="AE439" s="47" t="s">
        <v>577</v>
      </c>
      <c r="AF439" s="51" t="str">
        <f>VLOOKUP(Table3[[#This Row],[ACTIVITY]],TAGS!$B:$P,3,FALSE)</f>
        <v>number</v>
      </c>
      <c r="AG439" s="47" t="s">
        <v>336</v>
      </c>
      <c r="AH439" s="51" t="str">
        <f>VLOOKUP(Table3[[#This Row],[MONTH]],TAGS!$W$67:$Y$81,2,FALSE)</f>
        <v>4TH QTR</v>
      </c>
      <c r="AI439" s="51" t="str">
        <f>VLOOKUP(Table3[[#This Row],[MONTH]],TAGS!$W$67:$Y$81,3,FALSE)</f>
        <v>2ND SEMESTER</v>
      </c>
      <c r="AJ439" s="51">
        <f>VLOOKUP(Table3[[#This Row],[MONTH]],TAGS!$W$67:$Z$81,4,FALSE)</f>
        <v>2025</v>
      </c>
      <c r="AK439" s="47">
        <v>1</v>
      </c>
      <c r="AL439" s="51" t="str">
        <f>VLOOKUP(Table3[[#This Row],[ACTIVITY]],TAGS!$B:$R,16,FALSE)</f>
        <v>NO</v>
      </c>
      <c r="AM439" s="47"/>
      <c r="AN439" s="47">
        <v>2100</v>
      </c>
      <c r="AO439" s="57">
        <f>SUM(Table3[[#This Row],[MALE BENEFICIARIES]:[FEMALE BENEFICIARIES]])</f>
        <v>0</v>
      </c>
      <c r="AP439" s="58"/>
      <c r="AQ439" s="58"/>
      <c r="AR439" s="58"/>
      <c r="AS439" s="58">
        <v>1</v>
      </c>
      <c r="AT439" s="59" t="str">
        <f>VLOOKUP(Table3[[#This Row],[ACTIVITY]],TAGS!$B:$R,17,FALSE)</f>
        <v>YES</v>
      </c>
      <c r="AU439" s="59"/>
      <c r="AV439" s="59"/>
      <c r="AW439" s="59"/>
      <c r="AX439" s="59"/>
      <c r="AY439" s="59"/>
      <c r="AZ439" s="59"/>
      <c r="BA439" s="59"/>
      <c r="BB439" s="59"/>
      <c r="BC439" s="59"/>
      <c r="BD439" s="59"/>
      <c r="BE439" s="59"/>
      <c r="BF439" s="59"/>
      <c r="BG439" s="59"/>
      <c r="BH439" s="59"/>
      <c r="BI439" s="59"/>
      <c r="BJ439" s="59"/>
      <c r="BK439" s="59"/>
      <c r="BL439" s="59"/>
      <c r="BM439" s="59"/>
    </row>
    <row r="440" spans="1:65">
      <c r="A440" s="51" t="str">
        <f>VLOOKUP(Table3[[#This Row],[OU]],OU!$A$15:$B$34,2,FALSE)</f>
        <v>RFOs</v>
      </c>
      <c r="B440" s="47" t="s">
        <v>5</v>
      </c>
      <c r="C440" s="47" t="s">
        <v>574</v>
      </c>
      <c r="D440" s="53" t="s">
        <v>728</v>
      </c>
      <c r="E440" s="47" t="s">
        <v>70</v>
      </c>
      <c r="F440" s="47" t="s">
        <v>694</v>
      </c>
      <c r="G44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44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25706000</v>
      </c>
      <c r="I440" s="52" t="str">
        <f>VLOOKUP(Table3[[#This Row],[PSGC]],DISTRICT!$D:$G,4,FALSE)</f>
        <v>1st</v>
      </c>
      <c r="J440" s="47" t="s">
        <v>578</v>
      </c>
      <c r="K440" s="51" t="str">
        <f>VLOOKUP(Table3[[#This Row],[SPECIFIC COMMODITY]],TAGS!$W$48:$X$53,2,FALSE)</f>
        <v>Corn</v>
      </c>
      <c r="L440" s="51" t="str">
        <f>VLOOKUP(Table3[[#This Row],[PREXC SUB-PROGRAM]],Table5[],2,FALSE)</f>
        <v>AGRICULTURAL  MACHINERY, EQUIPMENT, FACILITIES AND INFRASTRUCTURE PROGRAM</v>
      </c>
      <c r="M440" s="51" t="str">
        <f>VLOOKUP(Table3[[#This Row],[COMMODITY PREXC SUB-PROGRAM]],TAGS!$U$54:$V$76,2,FALSE)</f>
        <v>AMEFSS</v>
      </c>
      <c r="N440" s="47" t="s">
        <v>594</v>
      </c>
      <c r="O440" s="54" t="str">
        <f>VLOOKUP(Table3[[#This Row],[PI LEVEL 3]],'PI LEVEL'!A:C,3,FALSE)</f>
        <v>Production machinery and equipment distributed</v>
      </c>
      <c r="P440" s="54" t="str">
        <f>VLOOKUP(Table3[[#This Row],[PI LEVEL 3]],Table53729[[Performance Indicator Level 3]:[Performance Indicator Level 1]],2,FALSE)</f>
        <v>Crop harvesting machinery and equipment distributed</v>
      </c>
      <c r="Q440" s="54" t="str">
        <f>VLOOKUP(Table3[[#This Row],[ACTIVITY]],TAGS!B:P,2,FALSE)</f>
        <v>Combine Harvester distributed</v>
      </c>
      <c r="R440" s="47" t="s">
        <v>181</v>
      </c>
      <c r="S440" s="51" t="str">
        <f>VLOOKUP(Table3[[#This Row],[ACTIVITY]],TAGS!$B:$P,4,FALSE)</f>
        <v>Production related machinery &amp; equipment</v>
      </c>
      <c r="T440" s="51" t="str">
        <f>VLOOKUP(Table3[[#This Row],[ACTIVITY]],TAGS!$B:$P,5,FALSE)</f>
        <v>Production-related</v>
      </c>
      <c r="U440" s="51" t="str">
        <f>VLOOKUP(Table3[[#This Row],[ACTIVITY]],TAGS!$B:$P,6,FALSE)</f>
        <v>Combine Harvester</v>
      </c>
      <c r="V440" s="51" t="str">
        <f>VLOOKUP(Table3[[#This Row],[ACTIVITY]],TAGS!$B:$P,7,FALSE)</f>
        <v>NO</v>
      </c>
      <c r="W440" s="51" t="str">
        <f>VLOOKUP(Table3[[#This Row],[ACTIVITY]],TAGS!$B:$P,8,FALSE)</f>
        <v>PAP</v>
      </c>
      <c r="X440" s="51" t="str">
        <f>VLOOKUP(Table3[[#This Row],[ACTIVITY]],TAGS!$B:$P,10,FALSE)</f>
        <v>PIP</v>
      </c>
      <c r="Y440" s="51" t="str">
        <f>VLOOKUP(Table3[[#This Row],[ACTIVITY]],TAGS!$B:$P,11,FALSE)</f>
        <v>PICS</v>
      </c>
      <c r="Z440" s="51" t="str">
        <f>VLOOKUP(Table3[[#This Row],[ACTIVITY]],TAGS!$B:$P,12,FALSE)</f>
        <v>Modernization</v>
      </c>
      <c r="AA440" s="51" t="str">
        <f>VLOOKUP(Table3[[#This Row],[ACTIVITY]],TAGS!$B:$P,13,FALSE)</f>
        <v>8. Farm Mechanization and Farm Investments</v>
      </c>
      <c r="AB440" s="51" t="str">
        <f>VLOOKUP(Table3[[#This Row],[ACTIVITY]],TAGS!$B:$P,14,FALSE)</f>
        <v>MECHANIZE AND MODERNIZE AGRI-FISHERY PRODUCTION SYSTEMS</v>
      </c>
      <c r="AC440" s="51" t="str">
        <f>VLOOKUP(Table3[[#This Row],[ACTIVITY]],TAGS!$B:$P,15,FALSE)</f>
        <v>Production-related</v>
      </c>
      <c r="AD440" s="51" t="str">
        <f>VLOOKUP(Table3[[#This Row],[PI LEVEL 3]],'PI LEVEL'!$A:$G,7,FALSE)</f>
        <v>DA-Level Output</v>
      </c>
      <c r="AE440" s="47" t="s">
        <v>577</v>
      </c>
      <c r="AF440" s="51" t="str">
        <f>VLOOKUP(Table3[[#This Row],[ACTIVITY]],TAGS!$B:$P,3,FALSE)</f>
        <v>number</v>
      </c>
      <c r="AG440" s="47" t="s">
        <v>336</v>
      </c>
      <c r="AH440" s="51" t="str">
        <f>VLOOKUP(Table3[[#This Row],[MONTH]],TAGS!$W$67:$Y$81,2,FALSE)</f>
        <v>4TH QTR</v>
      </c>
      <c r="AI440" s="51" t="str">
        <f>VLOOKUP(Table3[[#This Row],[MONTH]],TAGS!$W$67:$Y$81,3,FALSE)</f>
        <v>2ND SEMESTER</v>
      </c>
      <c r="AJ440" s="51">
        <f>VLOOKUP(Table3[[#This Row],[MONTH]],TAGS!$W$67:$Z$81,4,FALSE)</f>
        <v>2025</v>
      </c>
      <c r="AK440" s="47">
        <v>1</v>
      </c>
      <c r="AL440" s="51" t="str">
        <f>VLOOKUP(Table3[[#This Row],[ACTIVITY]],TAGS!$B:$R,16,FALSE)</f>
        <v>NO</v>
      </c>
      <c r="AM440" s="47"/>
      <c r="AN440" s="47">
        <v>2100</v>
      </c>
      <c r="AO440" s="57">
        <f>SUM(Table3[[#This Row],[MALE BENEFICIARIES]:[FEMALE BENEFICIARIES]])</f>
        <v>0</v>
      </c>
      <c r="AP440" s="58"/>
      <c r="AQ440" s="58"/>
      <c r="AR440" s="58"/>
      <c r="AS440" s="58">
        <v>1</v>
      </c>
      <c r="AT440" s="59" t="str">
        <f>VLOOKUP(Table3[[#This Row],[ACTIVITY]],TAGS!$B:$R,17,FALSE)</f>
        <v>YES</v>
      </c>
      <c r="AU440" s="59"/>
      <c r="AV440" s="59"/>
      <c r="AW440" s="59"/>
      <c r="AX440" s="59"/>
      <c r="AY440" s="59"/>
      <c r="AZ440" s="59"/>
      <c r="BA440" s="59"/>
      <c r="BB440" s="59"/>
      <c r="BC440" s="59"/>
      <c r="BD440" s="59"/>
      <c r="BE440" s="59"/>
      <c r="BF440" s="59"/>
      <c r="BG440" s="59"/>
      <c r="BH440" s="59"/>
      <c r="BI440" s="59"/>
      <c r="BJ440" s="59"/>
      <c r="BK440" s="59"/>
      <c r="BL440" s="59"/>
      <c r="BM440" s="59"/>
    </row>
    <row r="441" spans="1:65">
      <c r="A441" s="51" t="str">
        <f>VLOOKUP(Table3[[#This Row],[OU]],OU!$A$15:$B$34,2,FALSE)</f>
        <v>RFOs</v>
      </c>
      <c r="B441" s="47" t="s">
        <v>5</v>
      </c>
      <c r="C441" s="47" t="s">
        <v>574</v>
      </c>
      <c r="D441" s="64" t="s">
        <v>729</v>
      </c>
      <c r="E441" s="47" t="s">
        <v>22</v>
      </c>
      <c r="F441" s="47" t="s">
        <v>660</v>
      </c>
      <c r="G44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44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21528000</v>
      </c>
      <c r="I441" s="52" t="str">
        <f>VLOOKUP(Table3[[#This Row],[PSGC]],DISTRICT!$D:$G,4,FALSE)</f>
        <v>1st</v>
      </c>
      <c r="J441" s="47" t="s">
        <v>578</v>
      </c>
      <c r="K441" s="51" t="str">
        <f>VLOOKUP(Table3[[#This Row],[SPECIFIC COMMODITY]],TAGS!$W$48:$X$53,2,FALSE)</f>
        <v>Corn</v>
      </c>
      <c r="L441" s="51" t="str">
        <f>VLOOKUP(Table3[[#This Row],[PREXC SUB-PROGRAM]],Table5[],2,FALSE)</f>
        <v>AGRICULTURAL  MACHINERY, EQUIPMENT, FACILITIES AND INFRASTRUCTURE PROGRAM</v>
      </c>
      <c r="M441" s="51" t="str">
        <f>VLOOKUP(Table3[[#This Row],[COMMODITY PREXC SUB-PROGRAM]],TAGS!$U$54:$V$76,2,FALSE)</f>
        <v>AMEFSS</v>
      </c>
      <c r="N441" s="47" t="s">
        <v>594</v>
      </c>
      <c r="O441" s="54" t="str">
        <f>VLOOKUP(Table3[[#This Row],[PI LEVEL 3]],'PI LEVEL'!A:C,3,FALSE)</f>
        <v>Commodity transport and logistics machinery and equipment distributed</v>
      </c>
      <c r="P441" s="54" t="str">
        <f>VLOOKUP(Table3[[#This Row],[PI LEVEL 3]],Table53729[[Performance Indicator Level 3]:[Performance Indicator Level 1]],2,FALSE)</f>
        <v>Hauling machinery and equipment distributed</v>
      </c>
      <c r="Q441" s="54" t="str">
        <f>VLOOKUP(Table3[[#This Row],[ACTIVITY]],TAGS!B:P,2,FALSE)</f>
        <v>Hauling vehicle distributed</v>
      </c>
      <c r="R441" s="47" t="s">
        <v>183</v>
      </c>
      <c r="S441" s="51" t="str">
        <f>VLOOKUP(Table3[[#This Row],[ACTIVITY]],TAGS!$B:$P,4,FALSE)</f>
        <v>Postharvest related machinery &amp; equipment</v>
      </c>
      <c r="T441" s="51" t="str">
        <f>VLOOKUP(Table3[[#This Row],[ACTIVITY]],TAGS!$B:$P,5,FALSE)</f>
        <v>Postharvest-related</v>
      </c>
      <c r="U441" s="51" t="str">
        <f>VLOOKUP(Table3[[#This Row],[ACTIVITY]],TAGS!$B:$P,6,FALSE)</f>
        <v>Hauling truck</v>
      </c>
      <c r="V441" s="51" t="str">
        <f>VLOOKUP(Table3[[#This Row],[ACTIVITY]],TAGS!$B:$P,7,FALSE)</f>
        <v>NO</v>
      </c>
      <c r="W441" s="51" t="str">
        <f>VLOOKUP(Table3[[#This Row],[ACTIVITY]],TAGS!$B:$P,8,FALSE)</f>
        <v>PAP</v>
      </c>
      <c r="X441" s="51" t="str">
        <f>VLOOKUP(Table3[[#This Row],[ACTIVITY]],TAGS!$B:$P,10,FALSE)</f>
        <v>PIP</v>
      </c>
      <c r="Y441" s="51" t="str">
        <f>VLOOKUP(Table3[[#This Row],[ACTIVITY]],TAGS!$B:$P,11,FALSE)</f>
        <v>PICS</v>
      </c>
      <c r="Z441" s="51" t="str">
        <f>VLOOKUP(Table3[[#This Row],[ACTIVITY]],TAGS!$B:$P,12,FALSE)</f>
        <v>Modernization</v>
      </c>
      <c r="AA441" s="51" t="str">
        <f>VLOOKUP(Table3[[#This Row],[ACTIVITY]],TAGS!$B:$P,13,FALSE)</f>
        <v>8. Farm Mechanization and Farm Investments</v>
      </c>
      <c r="AB441" s="51" t="str">
        <f>VLOOKUP(Table3[[#This Row],[ACTIVITY]],TAGS!$B:$P,14,FALSE)</f>
        <v>DEVELOP EFFICIENT LOGISTICS SYSTEMS FOR BOTH INPUT AND PRODUCTION OUTPUT</v>
      </c>
      <c r="AC441" s="51" t="str">
        <f>VLOOKUP(Table3[[#This Row],[ACTIVITY]],TAGS!$B:$P,15,FALSE)</f>
        <v>Postharvest-related</v>
      </c>
      <c r="AD441" s="51" t="str">
        <f>VLOOKUP(Table3[[#This Row],[PI LEVEL 3]],'PI LEVEL'!$A:$G,7,FALSE)</f>
        <v>DA-Level Output</v>
      </c>
      <c r="AE441" s="47" t="s">
        <v>577</v>
      </c>
      <c r="AF441" s="51" t="str">
        <f>VLOOKUP(Table3[[#This Row],[ACTIVITY]],TAGS!$B:$P,3,FALSE)</f>
        <v>number</v>
      </c>
      <c r="AG441" s="47" t="s">
        <v>336</v>
      </c>
      <c r="AH441" s="51" t="str">
        <f>VLOOKUP(Table3[[#This Row],[MONTH]],TAGS!$W$67:$Y$81,2,FALSE)</f>
        <v>4TH QTR</v>
      </c>
      <c r="AI441" s="51" t="str">
        <f>VLOOKUP(Table3[[#This Row],[MONTH]],TAGS!$W$67:$Y$81,3,FALSE)</f>
        <v>2ND SEMESTER</v>
      </c>
      <c r="AJ441" s="51">
        <f>VLOOKUP(Table3[[#This Row],[MONTH]],TAGS!$W$67:$Z$81,4,FALSE)</f>
        <v>2025</v>
      </c>
      <c r="AK441" s="47">
        <v>1</v>
      </c>
      <c r="AL441" s="51" t="str">
        <f>VLOOKUP(Table3[[#This Row],[ACTIVITY]],TAGS!$B:$R,16,FALSE)</f>
        <v>NO</v>
      </c>
      <c r="AM441" s="47"/>
      <c r="AN441" s="47">
        <v>2200</v>
      </c>
      <c r="AO441" s="57">
        <f>SUM(Table3[[#This Row],[MALE BENEFICIARIES]:[FEMALE BENEFICIARIES]])</f>
        <v>0</v>
      </c>
      <c r="AP441" s="58"/>
      <c r="AQ441" s="58"/>
      <c r="AR441" s="58"/>
      <c r="AS441" s="58">
        <v>1</v>
      </c>
      <c r="AT441" s="59" t="str">
        <f>VLOOKUP(Table3[[#This Row],[ACTIVITY]],TAGS!$B:$R,17,FALSE)</f>
        <v>YES</v>
      </c>
      <c r="AU441" s="59"/>
      <c r="AV441" s="59"/>
      <c r="AW441" s="59"/>
      <c r="AX441" s="59"/>
      <c r="AY441" s="59"/>
      <c r="AZ441" s="59"/>
      <c r="BA441" s="59"/>
      <c r="BB441" s="59"/>
      <c r="BC441" s="59"/>
      <c r="BD441" s="59"/>
      <c r="BE441" s="59"/>
      <c r="BF441" s="59"/>
      <c r="BG441" s="59"/>
      <c r="BH441" s="59"/>
      <c r="BI441" s="59"/>
      <c r="BJ441" s="59"/>
      <c r="BK441" s="59"/>
      <c r="BL441" s="59"/>
      <c r="BM441" s="59"/>
    </row>
    <row r="442" spans="1:65">
      <c r="A442" s="51" t="str">
        <f>VLOOKUP(Table3[[#This Row],[OU]],OU!$A$15:$B$34,2,FALSE)</f>
        <v>RFOs</v>
      </c>
      <c r="B442" s="47" t="s">
        <v>5</v>
      </c>
      <c r="C442" s="47" t="s">
        <v>574</v>
      </c>
      <c r="D442" s="53" t="s">
        <v>726</v>
      </c>
      <c r="E442" s="47" t="s">
        <v>43</v>
      </c>
      <c r="F442" s="47" t="s">
        <v>669</v>
      </c>
      <c r="G44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3rd District</v>
      </c>
      <c r="H44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23102000</v>
      </c>
      <c r="I442" s="52" t="str">
        <f>VLOOKUP(Table3[[#This Row],[PSGC]],DISTRICT!$D:$G,4,FALSE)</f>
        <v>3rd</v>
      </c>
      <c r="J442" s="47" t="s">
        <v>578</v>
      </c>
      <c r="K442" s="51" t="str">
        <f>VLOOKUP(Table3[[#This Row],[SPECIFIC COMMODITY]],TAGS!$W$48:$X$53,2,FALSE)</f>
        <v>Corn</v>
      </c>
      <c r="L442" s="51" t="str">
        <f>VLOOKUP(Table3[[#This Row],[PREXC SUB-PROGRAM]],Table5[],2,FALSE)</f>
        <v>AGRICULTURAL  MACHINERY, EQUIPMENT, FACILITIES AND INFRASTRUCTURE PROGRAM</v>
      </c>
      <c r="M442" s="51" t="str">
        <f>VLOOKUP(Table3[[#This Row],[COMMODITY PREXC SUB-PROGRAM]],TAGS!$U$54:$V$76,2,FALSE)</f>
        <v>AMEFSS</v>
      </c>
      <c r="N442" s="47" t="s">
        <v>594</v>
      </c>
      <c r="O442" s="54" t="str">
        <f>VLOOKUP(Table3[[#This Row],[PI LEVEL 3]],'PI LEVEL'!A:C,3,FALSE)</f>
        <v>Commodity transport and logistics machinery and equipment distributed</v>
      </c>
      <c r="P442" s="54" t="str">
        <f>VLOOKUP(Table3[[#This Row],[PI LEVEL 3]],Table53729[[Performance Indicator Level 3]:[Performance Indicator Level 1]],2,FALSE)</f>
        <v>Hauling machinery and equipment distributed</v>
      </c>
      <c r="Q442" s="54" t="str">
        <f>VLOOKUP(Table3[[#This Row],[ACTIVITY]],TAGS!B:P,2,FALSE)</f>
        <v>Hauling vehicle distributed</v>
      </c>
      <c r="R442" s="47" t="s">
        <v>183</v>
      </c>
      <c r="S442" s="51" t="str">
        <f>VLOOKUP(Table3[[#This Row],[ACTIVITY]],TAGS!$B:$P,4,FALSE)</f>
        <v>Postharvest related machinery &amp; equipment</v>
      </c>
      <c r="T442" s="51" t="str">
        <f>VLOOKUP(Table3[[#This Row],[ACTIVITY]],TAGS!$B:$P,5,FALSE)</f>
        <v>Postharvest-related</v>
      </c>
      <c r="U442" s="51" t="str">
        <f>VLOOKUP(Table3[[#This Row],[ACTIVITY]],TAGS!$B:$P,6,FALSE)</f>
        <v>Hauling truck</v>
      </c>
      <c r="V442" s="51" t="str">
        <f>VLOOKUP(Table3[[#This Row],[ACTIVITY]],TAGS!$B:$P,7,FALSE)</f>
        <v>NO</v>
      </c>
      <c r="W442" s="51" t="str">
        <f>VLOOKUP(Table3[[#This Row],[ACTIVITY]],TAGS!$B:$P,8,FALSE)</f>
        <v>PAP</v>
      </c>
      <c r="X442" s="51" t="str">
        <f>VLOOKUP(Table3[[#This Row],[ACTIVITY]],TAGS!$B:$P,10,FALSE)</f>
        <v>PIP</v>
      </c>
      <c r="Y442" s="51" t="str">
        <f>VLOOKUP(Table3[[#This Row],[ACTIVITY]],TAGS!$B:$P,11,FALSE)</f>
        <v>PICS</v>
      </c>
      <c r="Z442" s="51" t="str">
        <f>VLOOKUP(Table3[[#This Row],[ACTIVITY]],TAGS!$B:$P,12,FALSE)</f>
        <v>Modernization</v>
      </c>
      <c r="AA442" s="51" t="str">
        <f>VLOOKUP(Table3[[#This Row],[ACTIVITY]],TAGS!$B:$P,13,FALSE)</f>
        <v>8. Farm Mechanization and Farm Investments</v>
      </c>
      <c r="AB442" s="51" t="str">
        <f>VLOOKUP(Table3[[#This Row],[ACTIVITY]],TAGS!$B:$P,14,FALSE)</f>
        <v>DEVELOP EFFICIENT LOGISTICS SYSTEMS FOR BOTH INPUT AND PRODUCTION OUTPUT</v>
      </c>
      <c r="AC442" s="51" t="str">
        <f>VLOOKUP(Table3[[#This Row],[ACTIVITY]],TAGS!$B:$P,15,FALSE)</f>
        <v>Postharvest-related</v>
      </c>
      <c r="AD442" s="51" t="str">
        <f>VLOOKUP(Table3[[#This Row],[PI LEVEL 3]],'PI LEVEL'!$A:$G,7,FALSE)</f>
        <v>DA-Level Output</v>
      </c>
      <c r="AE442" s="47" t="s">
        <v>577</v>
      </c>
      <c r="AF442" s="51" t="str">
        <f>VLOOKUP(Table3[[#This Row],[ACTIVITY]],TAGS!$B:$P,3,FALSE)</f>
        <v>number</v>
      </c>
      <c r="AG442" s="47" t="s">
        <v>336</v>
      </c>
      <c r="AH442" s="51" t="str">
        <f>VLOOKUP(Table3[[#This Row],[MONTH]],TAGS!$W$67:$Y$81,2,FALSE)</f>
        <v>4TH QTR</v>
      </c>
      <c r="AI442" s="51" t="str">
        <f>VLOOKUP(Table3[[#This Row],[MONTH]],TAGS!$W$67:$Y$81,3,FALSE)</f>
        <v>2ND SEMESTER</v>
      </c>
      <c r="AJ442" s="51">
        <f>VLOOKUP(Table3[[#This Row],[MONTH]],TAGS!$W$67:$Z$81,4,FALSE)</f>
        <v>2025</v>
      </c>
      <c r="AK442" s="47">
        <v>1</v>
      </c>
      <c r="AL442" s="51" t="str">
        <f>VLOOKUP(Table3[[#This Row],[ACTIVITY]],TAGS!$B:$R,16,FALSE)</f>
        <v>NO</v>
      </c>
      <c r="AM442" s="47"/>
      <c r="AN442" s="47">
        <v>2200</v>
      </c>
      <c r="AO442" s="57">
        <f>SUM(Table3[[#This Row],[MALE BENEFICIARIES]:[FEMALE BENEFICIARIES]])</f>
        <v>0</v>
      </c>
      <c r="AP442" s="58"/>
      <c r="AQ442" s="58"/>
      <c r="AR442" s="58"/>
      <c r="AS442" s="58">
        <v>1</v>
      </c>
      <c r="AT442" s="59" t="str">
        <f>VLOOKUP(Table3[[#This Row],[ACTIVITY]],TAGS!$B:$R,17,FALSE)</f>
        <v>YES</v>
      </c>
      <c r="AU442" s="59"/>
      <c r="AV442" s="59"/>
      <c r="AW442" s="59"/>
      <c r="AX442" s="59"/>
      <c r="AY442" s="59"/>
      <c r="AZ442" s="59"/>
      <c r="BA442" s="59"/>
      <c r="BB442" s="59"/>
      <c r="BC442" s="59"/>
      <c r="BD442" s="59"/>
      <c r="BE442" s="59"/>
      <c r="BF442" s="59"/>
      <c r="BG442" s="59"/>
      <c r="BH442" s="59"/>
      <c r="BI442" s="59"/>
      <c r="BJ442" s="59"/>
      <c r="BK442" s="59"/>
      <c r="BL442" s="59"/>
      <c r="BM442" s="59"/>
    </row>
    <row r="443" spans="1:65">
      <c r="A443" s="51" t="str">
        <f>VLOOKUP(Table3[[#This Row],[OU]],OU!$A$15:$B$34,2,FALSE)</f>
        <v>RFOs</v>
      </c>
      <c r="B443" s="47" t="s">
        <v>5</v>
      </c>
      <c r="C443" s="47" t="s">
        <v>574</v>
      </c>
      <c r="D443" s="64" t="s">
        <v>730</v>
      </c>
      <c r="E443" s="47" t="s">
        <v>43</v>
      </c>
      <c r="F443" s="47" t="s">
        <v>685</v>
      </c>
      <c r="G44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44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23112000</v>
      </c>
      <c r="I443" s="52" t="str">
        <f>VLOOKUP(Table3[[#This Row],[PSGC]],DISTRICT!$D:$G,4,FALSE)</f>
        <v>1st</v>
      </c>
      <c r="J443" s="47" t="s">
        <v>578</v>
      </c>
      <c r="K443" s="51" t="str">
        <f>VLOOKUP(Table3[[#This Row],[SPECIFIC COMMODITY]],TAGS!$W$48:$X$53,2,FALSE)</f>
        <v>Corn</v>
      </c>
      <c r="L443" s="51" t="str">
        <f>VLOOKUP(Table3[[#This Row],[PREXC SUB-PROGRAM]],Table5[],2,FALSE)</f>
        <v>AGRICULTURAL  MACHINERY, EQUIPMENT, FACILITIES AND INFRASTRUCTURE PROGRAM</v>
      </c>
      <c r="M443" s="51" t="str">
        <f>VLOOKUP(Table3[[#This Row],[COMMODITY PREXC SUB-PROGRAM]],TAGS!$U$54:$V$76,2,FALSE)</f>
        <v>AMEFSS</v>
      </c>
      <c r="N443" s="47" t="s">
        <v>594</v>
      </c>
      <c r="O443" s="54" t="str">
        <f>VLOOKUP(Table3[[#This Row],[PI LEVEL 3]],'PI LEVEL'!A:C,3,FALSE)</f>
        <v>Commodity transport and logistics machinery and equipment distributed</v>
      </c>
      <c r="P443" s="54" t="str">
        <f>VLOOKUP(Table3[[#This Row],[PI LEVEL 3]],Table53729[[Performance Indicator Level 3]:[Performance Indicator Level 1]],2,FALSE)</f>
        <v>Hauling machinery and equipment distributed</v>
      </c>
      <c r="Q443" s="54" t="str">
        <f>VLOOKUP(Table3[[#This Row],[ACTIVITY]],TAGS!B:P,2,FALSE)</f>
        <v>Hauling vehicle distributed</v>
      </c>
      <c r="R443" s="47" t="s">
        <v>183</v>
      </c>
      <c r="S443" s="51" t="str">
        <f>VLOOKUP(Table3[[#This Row],[ACTIVITY]],TAGS!$B:$P,4,FALSE)</f>
        <v>Postharvest related machinery &amp; equipment</v>
      </c>
      <c r="T443" s="51" t="str">
        <f>VLOOKUP(Table3[[#This Row],[ACTIVITY]],TAGS!$B:$P,5,FALSE)</f>
        <v>Postharvest-related</v>
      </c>
      <c r="U443" s="51" t="str">
        <f>VLOOKUP(Table3[[#This Row],[ACTIVITY]],TAGS!$B:$P,6,FALSE)</f>
        <v>Hauling truck</v>
      </c>
      <c r="V443" s="51" t="str">
        <f>VLOOKUP(Table3[[#This Row],[ACTIVITY]],TAGS!$B:$P,7,FALSE)</f>
        <v>NO</v>
      </c>
      <c r="W443" s="51" t="str">
        <f>VLOOKUP(Table3[[#This Row],[ACTIVITY]],TAGS!$B:$P,8,FALSE)</f>
        <v>PAP</v>
      </c>
      <c r="X443" s="51" t="str">
        <f>VLOOKUP(Table3[[#This Row],[ACTIVITY]],TAGS!$B:$P,10,FALSE)</f>
        <v>PIP</v>
      </c>
      <c r="Y443" s="51" t="str">
        <f>VLOOKUP(Table3[[#This Row],[ACTIVITY]],TAGS!$B:$P,11,FALSE)</f>
        <v>PICS</v>
      </c>
      <c r="Z443" s="51" t="str">
        <f>VLOOKUP(Table3[[#This Row],[ACTIVITY]],TAGS!$B:$P,12,FALSE)</f>
        <v>Modernization</v>
      </c>
      <c r="AA443" s="51" t="str">
        <f>VLOOKUP(Table3[[#This Row],[ACTIVITY]],TAGS!$B:$P,13,FALSE)</f>
        <v>8. Farm Mechanization and Farm Investments</v>
      </c>
      <c r="AB443" s="51" t="str">
        <f>VLOOKUP(Table3[[#This Row],[ACTIVITY]],TAGS!$B:$P,14,FALSE)</f>
        <v>DEVELOP EFFICIENT LOGISTICS SYSTEMS FOR BOTH INPUT AND PRODUCTION OUTPUT</v>
      </c>
      <c r="AC443" s="51" t="str">
        <f>VLOOKUP(Table3[[#This Row],[ACTIVITY]],TAGS!$B:$P,15,FALSE)</f>
        <v>Postharvest-related</v>
      </c>
      <c r="AD443" s="51" t="str">
        <f>VLOOKUP(Table3[[#This Row],[PI LEVEL 3]],'PI LEVEL'!$A:$G,7,FALSE)</f>
        <v>DA-Level Output</v>
      </c>
      <c r="AE443" s="47" t="s">
        <v>577</v>
      </c>
      <c r="AF443" s="51" t="str">
        <f>VLOOKUP(Table3[[#This Row],[ACTIVITY]],TAGS!$B:$P,3,FALSE)</f>
        <v>number</v>
      </c>
      <c r="AG443" s="47" t="s">
        <v>336</v>
      </c>
      <c r="AH443" s="51" t="str">
        <f>VLOOKUP(Table3[[#This Row],[MONTH]],TAGS!$W$67:$Y$81,2,FALSE)</f>
        <v>4TH QTR</v>
      </c>
      <c r="AI443" s="51" t="str">
        <f>VLOOKUP(Table3[[#This Row],[MONTH]],TAGS!$W$67:$Y$81,3,FALSE)</f>
        <v>2ND SEMESTER</v>
      </c>
      <c r="AJ443" s="51">
        <f>VLOOKUP(Table3[[#This Row],[MONTH]],TAGS!$W$67:$Z$81,4,FALSE)</f>
        <v>2025</v>
      </c>
      <c r="AK443" s="47">
        <v>1</v>
      </c>
      <c r="AL443" s="51" t="str">
        <f>VLOOKUP(Table3[[#This Row],[ACTIVITY]],TAGS!$B:$R,16,FALSE)</f>
        <v>NO</v>
      </c>
      <c r="AM443" s="47"/>
      <c r="AN443" s="47">
        <v>2200</v>
      </c>
      <c r="AO443" s="57">
        <f>SUM(Table3[[#This Row],[MALE BENEFICIARIES]:[FEMALE BENEFICIARIES]])</f>
        <v>0</v>
      </c>
      <c r="AP443" s="58"/>
      <c r="AQ443" s="58"/>
      <c r="AR443" s="58"/>
      <c r="AS443" s="58">
        <v>1</v>
      </c>
      <c r="AT443" s="59" t="str">
        <f>VLOOKUP(Table3[[#This Row],[ACTIVITY]],TAGS!$B:$R,17,FALSE)</f>
        <v>YES</v>
      </c>
      <c r="AU443" s="59"/>
      <c r="AV443" s="59"/>
      <c r="AW443" s="59"/>
      <c r="AX443" s="59"/>
      <c r="AY443" s="59"/>
      <c r="AZ443" s="59"/>
      <c r="BA443" s="59"/>
      <c r="BB443" s="59"/>
      <c r="BC443" s="59"/>
      <c r="BD443" s="59"/>
      <c r="BE443" s="59"/>
      <c r="BF443" s="59"/>
      <c r="BG443" s="59"/>
      <c r="BH443" s="59"/>
      <c r="BI443" s="59"/>
      <c r="BJ443" s="59"/>
      <c r="BK443" s="59"/>
      <c r="BL443" s="59"/>
      <c r="BM443" s="59"/>
    </row>
    <row r="444" spans="1:65">
      <c r="A444" s="51" t="str">
        <f>VLOOKUP(Table3[[#This Row],[OU]],OU!$A$15:$B$34,2,FALSE)</f>
        <v>RFOs</v>
      </c>
      <c r="B444" s="47" t="s">
        <v>5</v>
      </c>
      <c r="C444" s="47" t="s">
        <v>574</v>
      </c>
      <c r="D444" s="64" t="s">
        <v>720</v>
      </c>
      <c r="E444" s="47" t="s">
        <v>63</v>
      </c>
      <c r="F444" s="47" t="s">
        <v>681</v>
      </c>
      <c r="G44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 Vizcaya, Lone District</v>
      </c>
      <c r="H44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25011000</v>
      </c>
      <c r="I444" s="52" t="str">
        <f>VLOOKUP(Table3[[#This Row],[PSGC]],DISTRICT!$D:$G,4,FALSE)</f>
        <v>4th</v>
      </c>
      <c r="J444" s="47" t="s">
        <v>578</v>
      </c>
      <c r="K444" s="51" t="str">
        <f>VLOOKUP(Table3[[#This Row],[SPECIFIC COMMODITY]],TAGS!$W$48:$X$53,2,FALSE)</f>
        <v>Corn</v>
      </c>
      <c r="L444" s="51" t="str">
        <f>VLOOKUP(Table3[[#This Row],[PREXC SUB-PROGRAM]],Table5[],2,FALSE)</f>
        <v>AGRICULTURAL  MACHINERY, EQUIPMENT, FACILITIES AND INFRASTRUCTURE PROGRAM</v>
      </c>
      <c r="M444" s="51" t="str">
        <f>VLOOKUP(Table3[[#This Row],[COMMODITY PREXC SUB-PROGRAM]],TAGS!$U$54:$V$76,2,FALSE)</f>
        <v>AMEFSS</v>
      </c>
      <c r="N444" s="47" t="s">
        <v>594</v>
      </c>
      <c r="O444" s="54" t="str">
        <f>VLOOKUP(Table3[[#This Row],[PI LEVEL 3]],'PI LEVEL'!A:C,3,FALSE)</f>
        <v>Commodity transport and logistics machinery and equipment distributed</v>
      </c>
      <c r="P444" s="54" t="str">
        <f>VLOOKUP(Table3[[#This Row],[PI LEVEL 3]],Table53729[[Performance Indicator Level 3]:[Performance Indicator Level 1]],2,FALSE)</f>
        <v>Hauling machinery and equipment distributed</v>
      </c>
      <c r="Q444" s="54" t="str">
        <f>VLOOKUP(Table3[[#This Row],[ACTIVITY]],TAGS!B:P,2,FALSE)</f>
        <v>Hauling vehicle distributed</v>
      </c>
      <c r="R444" s="47" t="s">
        <v>183</v>
      </c>
      <c r="S444" s="51" t="str">
        <f>VLOOKUP(Table3[[#This Row],[ACTIVITY]],TAGS!$B:$P,4,FALSE)</f>
        <v>Postharvest related machinery &amp; equipment</v>
      </c>
      <c r="T444" s="51" t="str">
        <f>VLOOKUP(Table3[[#This Row],[ACTIVITY]],TAGS!$B:$P,5,FALSE)</f>
        <v>Postharvest-related</v>
      </c>
      <c r="U444" s="51" t="str">
        <f>VLOOKUP(Table3[[#This Row],[ACTIVITY]],TAGS!$B:$P,6,FALSE)</f>
        <v>Hauling truck</v>
      </c>
      <c r="V444" s="51" t="str">
        <f>VLOOKUP(Table3[[#This Row],[ACTIVITY]],TAGS!$B:$P,7,FALSE)</f>
        <v>NO</v>
      </c>
      <c r="W444" s="51" t="str">
        <f>VLOOKUP(Table3[[#This Row],[ACTIVITY]],TAGS!$B:$P,8,FALSE)</f>
        <v>PAP</v>
      </c>
      <c r="X444" s="51" t="str">
        <f>VLOOKUP(Table3[[#This Row],[ACTIVITY]],TAGS!$B:$P,10,FALSE)</f>
        <v>PIP</v>
      </c>
      <c r="Y444" s="51" t="str">
        <f>VLOOKUP(Table3[[#This Row],[ACTIVITY]],TAGS!$B:$P,11,FALSE)</f>
        <v>PICS</v>
      </c>
      <c r="Z444" s="51" t="str">
        <f>VLOOKUP(Table3[[#This Row],[ACTIVITY]],TAGS!$B:$P,12,FALSE)</f>
        <v>Modernization</v>
      </c>
      <c r="AA444" s="51" t="str">
        <f>VLOOKUP(Table3[[#This Row],[ACTIVITY]],TAGS!$B:$P,13,FALSE)</f>
        <v>8. Farm Mechanization and Farm Investments</v>
      </c>
      <c r="AB444" s="51" t="str">
        <f>VLOOKUP(Table3[[#This Row],[ACTIVITY]],TAGS!$B:$P,14,FALSE)</f>
        <v>DEVELOP EFFICIENT LOGISTICS SYSTEMS FOR BOTH INPUT AND PRODUCTION OUTPUT</v>
      </c>
      <c r="AC444" s="51" t="str">
        <f>VLOOKUP(Table3[[#This Row],[ACTIVITY]],TAGS!$B:$P,15,FALSE)</f>
        <v>Postharvest-related</v>
      </c>
      <c r="AD444" s="51" t="str">
        <f>VLOOKUP(Table3[[#This Row],[PI LEVEL 3]],'PI LEVEL'!$A:$G,7,FALSE)</f>
        <v>DA-Level Output</v>
      </c>
      <c r="AE444" s="47" t="s">
        <v>577</v>
      </c>
      <c r="AF444" s="51" t="str">
        <f>VLOOKUP(Table3[[#This Row],[ACTIVITY]],TAGS!$B:$P,3,FALSE)</f>
        <v>number</v>
      </c>
      <c r="AG444" s="47" t="s">
        <v>336</v>
      </c>
      <c r="AH444" s="51" t="str">
        <f>VLOOKUP(Table3[[#This Row],[MONTH]],TAGS!$W$67:$Y$81,2,FALSE)</f>
        <v>4TH QTR</v>
      </c>
      <c r="AI444" s="51" t="str">
        <f>VLOOKUP(Table3[[#This Row],[MONTH]],TAGS!$W$67:$Y$81,3,FALSE)</f>
        <v>2ND SEMESTER</v>
      </c>
      <c r="AJ444" s="51">
        <f>VLOOKUP(Table3[[#This Row],[MONTH]],TAGS!$W$67:$Z$81,4,FALSE)</f>
        <v>2025</v>
      </c>
      <c r="AK444" s="47">
        <v>1</v>
      </c>
      <c r="AL444" s="51" t="str">
        <f>VLOOKUP(Table3[[#This Row],[ACTIVITY]],TAGS!$B:$R,16,FALSE)</f>
        <v>NO</v>
      </c>
      <c r="AM444" s="47"/>
      <c r="AN444" s="47">
        <v>2200</v>
      </c>
      <c r="AO444" s="57">
        <f>SUM(Table3[[#This Row],[MALE BENEFICIARIES]:[FEMALE BENEFICIARIES]])</f>
        <v>0</v>
      </c>
      <c r="AP444" s="58"/>
      <c r="AQ444" s="58"/>
      <c r="AR444" s="58"/>
      <c r="AS444" s="58">
        <v>1</v>
      </c>
      <c r="AT444" s="59" t="str">
        <f>VLOOKUP(Table3[[#This Row],[ACTIVITY]],TAGS!$B:$R,17,FALSE)</f>
        <v>YES</v>
      </c>
      <c r="AU444" s="59"/>
      <c r="AV444" s="59"/>
      <c r="AW444" s="59"/>
      <c r="AX444" s="59"/>
      <c r="AY444" s="59"/>
      <c r="AZ444" s="59"/>
      <c r="BA444" s="59"/>
      <c r="BB444" s="59"/>
      <c r="BC444" s="59"/>
      <c r="BD444" s="59"/>
      <c r="BE444" s="59"/>
      <c r="BF444" s="59"/>
      <c r="BG444" s="59"/>
      <c r="BH444" s="59"/>
      <c r="BI444" s="59"/>
      <c r="BJ444" s="59"/>
      <c r="BK444" s="59"/>
      <c r="BL444" s="59"/>
      <c r="BM444" s="59"/>
    </row>
    <row r="445" spans="1:65">
      <c r="A445" s="51" t="str">
        <f>VLOOKUP(Table3[[#This Row],[OU]],OU!$A$15:$B$34,2,FALSE)</f>
        <v>RFOs</v>
      </c>
      <c r="B445" s="47" t="s">
        <v>5</v>
      </c>
      <c r="C445" s="47" t="s">
        <v>574</v>
      </c>
      <c r="D445" s="53" t="s">
        <v>706</v>
      </c>
      <c r="E445" s="47" t="s">
        <v>70</v>
      </c>
      <c r="F445" s="47" t="s">
        <v>636</v>
      </c>
      <c r="G44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44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25704000</v>
      </c>
      <c r="I445" s="52" t="str">
        <f>VLOOKUP(Table3[[#This Row],[PSGC]],DISTRICT!$D:$G,4,FALSE)</f>
        <v>1st</v>
      </c>
      <c r="J445" s="47" t="s">
        <v>578</v>
      </c>
      <c r="K445" s="51" t="str">
        <f>VLOOKUP(Table3[[#This Row],[SPECIFIC COMMODITY]],TAGS!$W$48:$X$53,2,FALSE)</f>
        <v>Corn</v>
      </c>
      <c r="L445" s="51" t="str">
        <f>VLOOKUP(Table3[[#This Row],[PREXC SUB-PROGRAM]],Table5[],2,FALSE)</f>
        <v>AGRICULTURAL  MACHINERY, EQUIPMENT, FACILITIES AND INFRASTRUCTURE PROGRAM</v>
      </c>
      <c r="M445" s="51" t="str">
        <f>VLOOKUP(Table3[[#This Row],[COMMODITY PREXC SUB-PROGRAM]],TAGS!$U$54:$V$76,2,FALSE)</f>
        <v>AMEFSS</v>
      </c>
      <c r="N445" s="47" t="s">
        <v>594</v>
      </c>
      <c r="O445" s="54" t="str">
        <f>VLOOKUP(Table3[[#This Row],[PI LEVEL 3]],'PI LEVEL'!A:C,3,FALSE)</f>
        <v>Commodity transport and logistics machinery and equipment distributed</v>
      </c>
      <c r="P445" s="54" t="str">
        <f>VLOOKUP(Table3[[#This Row],[PI LEVEL 3]],Table53729[[Performance Indicator Level 3]:[Performance Indicator Level 1]],2,FALSE)</f>
        <v>Hauling machinery and equipment distributed</v>
      </c>
      <c r="Q445" s="54" t="str">
        <f>VLOOKUP(Table3[[#This Row],[ACTIVITY]],TAGS!B:P,2,FALSE)</f>
        <v>Hauling vehicle distributed</v>
      </c>
      <c r="R445" s="47" t="s">
        <v>183</v>
      </c>
      <c r="S445" s="51" t="str">
        <f>VLOOKUP(Table3[[#This Row],[ACTIVITY]],TAGS!$B:$P,4,FALSE)</f>
        <v>Postharvest related machinery &amp; equipment</v>
      </c>
      <c r="T445" s="51" t="str">
        <f>VLOOKUP(Table3[[#This Row],[ACTIVITY]],TAGS!$B:$P,5,FALSE)</f>
        <v>Postharvest-related</v>
      </c>
      <c r="U445" s="51" t="str">
        <f>VLOOKUP(Table3[[#This Row],[ACTIVITY]],TAGS!$B:$P,6,FALSE)</f>
        <v>Hauling truck</v>
      </c>
      <c r="V445" s="51" t="str">
        <f>VLOOKUP(Table3[[#This Row],[ACTIVITY]],TAGS!$B:$P,7,FALSE)</f>
        <v>NO</v>
      </c>
      <c r="W445" s="51" t="str">
        <f>VLOOKUP(Table3[[#This Row],[ACTIVITY]],TAGS!$B:$P,8,FALSE)</f>
        <v>PAP</v>
      </c>
      <c r="X445" s="51" t="str">
        <f>VLOOKUP(Table3[[#This Row],[ACTIVITY]],TAGS!$B:$P,10,FALSE)</f>
        <v>PIP</v>
      </c>
      <c r="Y445" s="51" t="str">
        <f>VLOOKUP(Table3[[#This Row],[ACTIVITY]],TAGS!$B:$P,11,FALSE)</f>
        <v>PICS</v>
      </c>
      <c r="Z445" s="51" t="str">
        <f>VLOOKUP(Table3[[#This Row],[ACTIVITY]],TAGS!$B:$P,12,FALSE)</f>
        <v>Modernization</v>
      </c>
      <c r="AA445" s="51" t="str">
        <f>VLOOKUP(Table3[[#This Row],[ACTIVITY]],TAGS!$B:$P,13,FALSE)</f>
        <v>8. Farm Mechanization and Farm Investments</v>
      </c>
      <c r="AB445" s="51" t="str">
        <f>VLOOKUP(Table3[[#This Row],[ACTIVITY]],TAGS!$B:$P,14,FALSE)</f>
        <v>DEVELOP EFFICIENT LOGISTICS SYSTEMS FOR BOTH INPUT AND PRODUCTION OUTPUT</v>
      </c>
      <c r="AC445" s="51" t="str">
        <f>VLOOKUP(Table3[[#This Row],[ACTIVITY]],TAGS!$B:$P,15,FALSE)</f>
        <v>Postharvest-related</v>
      </c>
      <c r="AD445" s="51" t="str">
        <f>VLOOKUP(Table3[[#This Row],[PI LEVEL 3]],'PI LEVEL'!$A:$G,7,FALSE)</f>
        <v>DA-Level Output</v>
      </c>
      <c r="AE445" s="47" t="s">
        <v>577</v>
      </c>
      <c r="AF445" s="51" t="str">
        <f>VLOOKUP(Table3[[#This Row],[ACTIVITY]],TAGS!$B:$P,3,FALSE)</f>
        <v>number</v>
      </c>
      <c r="AG445" s="47" t="s">
        <v>336</v>
      </c>
      <c r="AH445" s="51" t="str">
        <f>VLOOKUP(Table3[[#This Row],[MONTH]],TAGS!$W$67:$Y$81,2,FALSE)</f>
        <v>4TH QTR</v>
      </c>
      <c r="AI445" s="51" t="str">
        <f>VLOOKUP(Table3[[#This Row],[MONTH]],TAGS!$W$67:$Y$81,3,FALSE)</f>
        <v>2ND SEMESTER</v>
      </c>
      <c r="AJ445" s="51">
        <f>VLOOKUP(Table3[[#This Row],[MONTH]],TAGS!$W$67:$Z$81,4,FALSE)</f>
        <v>2025</v>
      </c>
      <c r="AK445" s="47">
        <v>1</v>
      </c>
      <c r="AL445" s="51" t="str">
        <f>VLOOKUP(Table3[[#This Row],[ACTIVITY]],TAGS!$B:$R,16,FALSE)</f>
        <v>NO</v>
      </c>
      <c r="AM445" s="47"/>
      <c r="AN445" s="47">
        <v>2200</v>
      </c>
      <c r="AO445" s="57">
        <f>SUM(Table3[[#This Row],[MALE BENEFICIARIES]:[FEMALE BENEFICIARIES]])</f>
        <v>0</v>
      </c>
      <c r="AP445" s="58"/>
      <c r="AQ445" s="58"/>
      <c r="AR445" s="58"/>
      <c r="AS445" s="58">
        <v>1</v>
      </c>
      <c r="AT445" s="59" t="str">
        <f>VLOOKUP(Table3[[#This Row],[ACTIVITY]],TAGS!$B:$R,17,FALSE)</f>
        <v>YES</v>
      </c>
      <c r="AU445" s="59"/>
      <c r="AV445" s="59"/>
      <c r="AW445" s="59"/>
      <c r="AX445" s="59"/>
      <c r="AY445" s="59"/>
      <c r="AZ445" s="59"/>
      <c r="BA445" s="59"/>
      <c r="BB445" s="59"/>
      <c r="BC445" s="59"/>
      <c r="BD445" s="59"/>
      <c r="BE445" s="59"/>
      <c r="BF445" s="59"/>
      <c r="BG445" s="59"/>
      <c r="BH445" s="59"/>
      <c r="BI445" s="59"/>
      <c r="BJ445" s="59"/>
      <c r="BK445" s="59"/>
      <c r="BL445" s="59"/>
      <c r="BM445" s="59"/>
    </row>
    <row r="446" spans="1:65">
      <c r="A446" s="51" t="str">
        <f>VLOOKUP(Table3[[#This Row],[OU]],OU!$A$15:$B$34,2,FALSE)</f>
        <v>RFOs</v>
      </c>
      <c r="B446" s="47" t="s">
        <v>5</v>
      </c>
      <c r="C446" s="47" t="s">
        <v>574</v>
      </c>
      <c r="D446" s="64" t="s">
        <v>637</v>
      </c>
      <c r="E446" s="47" t="s">
        <v>22</v>
      </c>
      <c r="F446" s="47" t="s">
        <v>619</v>
      </c>
      <c r="G44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44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21502000</v>
      </c>
      <c r="I446" s="52" t="str">
        <f>VLOOKUP(Table3[[#This Row],[PSGC]],DISTRICT!$D:$G,4,FALSE)</f>
        <v>3rd</v>
      </c>
      <c r="J446" s="47" t="s">
        <v>578</v>
      </c>
      <c r="K446" s="51" t="str">
        <f>VLOOKUP(Table3[[#This Row],[SPECIFIC COMMODITY]],TAGS!$W$48:$X$53,2,FALSE)</f>
        <v>Corn</v>
      </c>
      <c r="L446" s="51" t="str">
        <f>VLOOKUP(Table3[[#This Row],[PREXC SUB-PROGRAM]],Table5[],2,FALSE)</f>
        <v>AGRICULTURAL  MACHINERY, EQUIPMENT, FACILITIES AND INFRASTRUCTURE PROGRAM</v>
      </c>
      <c r="M446" s="51" t="str">
        <f>VLOOKUP(Table3[[#This Row],[COMMODITY PREXC SUB-PROGRAM]],TAGS!$U$54:$V$76,2,FALSE)</f>
        <v>AMEFSS</v>
      </c>
      <c r="N446" s="47" t="s">
        <v>594</v>
      </c>
      <c r="O446" s="54" t="str">
        <f>VLOOKUP(Table3[[#This Row],[PI LEVEL 3]],'PI LEVEL'!A:C,3,FALSE)</f>
        <v>Postharvest machinery and equipment distributed</v>
      </c>
      <c r="P446" s="54" t="str">
        <f>VLOOKUP(Table3[[#This Row],[PI LEVEL 3]],Table53729[[Performance Indicator Level 3]:[Performance Indicator Level 1]],2,FALSE)</f>
        <v>Crop processing machinery and equipment distributed</v>
      </c>
      <c r="Q446" s="54" t="str">
        <f>VLOOKUP(Table3[[#This Row],[ACTIVITY]],TAGS!B:P,2,FALSE)</f>
        <v>Milling equipment distributed</v>
      </c>
      <c r="R446" s="47" t="s">
        <v>185</v>
      </c>
      <c r="S446" s="51" t="str">
        <f>VLOOKUP(Table3[[#This Row],[ACTIVITY]],TAGS!$B:$P,4,FALSE)</f>
        <v>Processing related machinery &amp; equipment</v>
      </c>
      <c r="T446" s="51" t="str">
        <f>VLOOKUP(Table3[[#This Row],[ACTIVITY]],TAGS!$B:$P,5,FALSE)</f>
        <v>Processing-related</v>
      </c>
      <c r="U446" s="51" t="str">
        <f>VLOOKUP(Table3[[#This Row],[ACTIVITY]],TAGS!$B:$P,6,FALSE)</f>
        <v>Corn mill</v>
      </c>
      <c r="V446" s="51" t="str">
        <f>VLOOKUP(Table3[[#This Row],[ACTIVITY]],TAGS!$B:$P,7,FALSE)</f>
        <v>NO</v>
      </c>
      <c r="W446" s="51" t="str">
        <f>VLOOKUP(Table3[[#This Row],[ACTIVITY]],TAGS!$B:$P,8,FALSE)</f>
        <v>PAP</v>
      </c>
      <c r="X446" s="51" t="str">
        <f>VLOOKUP(Table3[[#This Row],[ACTIVITY]],TAGS!$B:$P,10,FALSE)</f>
        <v>PIP</v>
      </c>
      <c r="Y446" s="51" t="str">
        <f>VLOOKUP(Table3[[#This Row],[ACTIVITY]],TAGS!$B:$P,11,FALSE)</f>
        <v>PICS</v>
      </c>
      <c r="Z446" s="51" t="str">
        <f>VLOOKUP(Table3[[#This Row],[ACTIVITY]],TAGS!$B:$P,12,FALSE)</f>
        <v>Modernization</v>
      </c>
      <c r="AA446" s="51" t="str">
        <f>VLOOKUP(Table3[[#This Row],[ACTIVITY]],TAGS!$B:$P,13,FALSE)</f>
        <v>8. Farm Mechanization and Farm Investments</v>
      </c>
      <c r="AB446" s="51" t="str">
        <f>VLOOKUP(Table3[[#This Row],[ACTIVITY]],TAGS!$B:$P,14,FALSE)</f>
        <v>DEVELOP AND IMPROVE POST-HARVEST SYSTEMS AND INFRASTRUCTURE</v>
      </c>
      <c r="AC446" s="51" t="str">
        <f>VLOOKUP(Table3[[#This Row],[ACTIVITY]],TAGS!$B:$P,15,FALSE)</f>
        <v>Processing-related</v>
      </c>
      <c r="AD446" s="51" t="str">
        <f>VLOOKUP(Table3[[#This Row],[PI LEVEL 3]],'PI LEVEL'!$A:$G,7,FALSE)</f>
        <v>DA-Level Output</v>
      </c>
      <c r="AE446" s="47" t="s">
        <v>577</v>
      </c>
      <c r="AF446" s="51" t="str">
        <f>VLOOKUP(Table3[[#This Row],[ACTIVITY]],TAGS!$B:$P,3,FALSE)</f>
        <v>number</v>
      </c>
      <c r="AG446" s="47" t="s">
        <v>336</v>
      </c>
      <c r="AH446" s="51" t="str">
        <f>VLOOKUP(Table3[[#This Row],[MONTH]],TAGS!$W$67:$Y$81,2,FALSE)</f>
        <v>4TH QTR</v>
      </c>
      <c r="AI446" s="51" t="str">
        <f>VLOOKUP(Table3[[#This Row],[MONTH]],TAGS!$W$67:$Y$81,3,FALSE)</f>
        <v>2ND SEMESTER</v>
      </c>
      <c r="AJ446" s="51">
        <f>VLOOKUP(Table3[[#This Row],[MONTH]],TAGS!$W$67:$Z$81,4,FALSE)</f>
        <v>2025</v>
      </c>
      <c r="AK446" s="47">
        <v>1</v>
      </c>
      <c r="AL446" s="51" t="str">
        <f>VLOOKUP(Table3[[#This Row],[ACTIVITY]],TAGS!$B:$R,16,FALSE)</f>
        <v>NO</v>
      </c>
      <c r="AM446" s="47"/>
      <c r="AN446" s="47">
        <v>2200</v>
      </c>
      <c r="AO446" s="57">
        <f>SUM(Table3[[#This Row],[MALE BENEFICIARIES]:[FEMALE BENEFICIARIES]])</f>
        <v>0</v>
      </c>
      <c r="AP446" s="58"/>
      <c r="AQ446" s="58"/>
      <c r="AR446" s="58"/>
      <c r="AS446" s="58">
        <v>1</v>
      </c>
      <c r="AT446" s="59" t="str">
        <f>VLOOKUP(Table3[[#This Row],[ACTIVITY]],TAGS!$B:$R,17,FALSE)</f>
        <v>YES</v>
      </c>
      <c r="AU446" s="59"/>
      <c r="AV446" s="59"/>
      <c r="AW446" s="59"/>
      <c r="AX446" s="59"/>
      <c r="AY446" s="59"/>
      <c r="AZ446" s="59"/>
      <c r="BA446" s="59"/>
      <c r="BB446" s="59"/>
      <c r="BC446" s="59"/>
      <c r="BD446" s="59"/>
      <c r="BE446" s="59"/>
      <c r="BF446" s="59"/>
      <c r="BG446" s="59"/>
      <c r="BH446" s="59"/>
      <c r="BI446" s="59"/>
      <c r="BJ446" s="59"/>
      <c r="BK446" s="59"/>
      <c r="BL446" s="59"/>
      <c r="BM446" s="59"/>
    </row>
    <row r="447" spans="1:65">
      <c r="A447" s="51" t="str">
        <f>VLOOKUP(Table3[[#This Row],[OU]],OU!$A$15:$B$34,2,FALSE)</f>
        <v>RFOs</v>
      </c>
      <c r="B447" s="47" t="s">
        <v>5</v>
      </c>
      <c r="C447" s="47" t="s">
        <v>574</v>
      </c>
      <c r="D447" s="64"/>
      <c r="E447" s="47" t="s">
        <v>43</v>
      </c>
      <c r="F447" s="47" t="s">
        <v>643</v>
      </c>
      <c r="G44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44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23108000</v>
      </c>
      <c r="I447" s="52" t="str">
        <f>VLOOKUP(Table3[[#This Row],[PSGC]],DISTRICT!$D:$G,4,FALSE)</f>
        <v>3rd</v>
      </c>
      <c r="J447" s="47" t="s">
        <v>578</v>
      </c>
      <c r="K447" s="51" t="str">
        <f>VLOOKUP(Table3[[#This Row],[SPECIFIC COMMODITY]],TAGS!$W$48:$X$53,2,FALSE)</f>
        <v>Corn</v>
      </c>
      <c r="L447" s="51" t="str">
        <f>VLOOKUP(Table3[[#This Row],[PREXC SUB-PROGRAM]],Table5[],2,FALSE)</f>
        <v>AGRICULTURAL  MACHINERY, EQUIPMENT, FACILITIES AND INFRASTRUCTURE PROGRAM</v>
      </c>
      <c r="M447" s="51" t="str">
        <f>VLOOKUP(Table3[[#This Row],[COMMODITY PREXC SUB-PROGRAM]],TAGS!$U$54:$V$76,2,FALSE)</f>
        <v>AMEFSS</v>
      </c>
      <c r="N447" s="47" t="s">
        <v>594</v>
      </c>
      <c r="O447" s="54" t="str">
        <f>VLOOKUP(Table3[[#This Row],[PI LEVEL 3]],'PI LEVEL'!A:C,3,FALSE)</f>
        <v>Postharvest machinery and equipment distributed</v>
      </c>
      <c r="P447" s="54" t="str">
        <f>VLOOKUP(Table3[[#This Row],[PI LEVEL 3]],Table53729[[Performance Indicator Level 3]:[Performance Indicator Level 1]],2,FALSE)</f>
        <v>Crop processing machinery and equipment distributed</v>
      </c>
      <c r="Q447" s="54" t="str">
        <f>VLOOKUP(Table3[[#This Row],[ACTIVITY]],TAGS!B:P,2,FALSE)</f>
        <v>Milling equipment distributed</v>
      </c>
      <c r="R447" s="47" t="s">
        <v>185</v>
      </c>
      <c r="S447" s="51" t="str">
        <f>VLOOKUP(Table3[[#This Row],[ACTIVITY]],TAGS!$B:$P,4,FALSE)</f>
        <v>Processing related machinery &amp; equipment</v>
      </c>
      <c r="T447" s="51" t="str">
        <f>VLOOKUP(Table3[[#This Row],[ACTIVITY]],TAGS!$B:$P,5,FALSE)</f>
        <v>Processing-related</v>
      </c>
      <c r="U447" s="51" t="str">
        <f>VLOOKUP(Table3[[#This Row],[ACTIVITY]],TAGS!$B:$P,6,FALSE)</f>
        <v>Corn mill</v>
      </c>
      <c r="V447" s="51" t="str">
        <f>VLOOKUP(Table3[[#This Row],[ACTIVITY]],TAGS!$B:$P,7,FALSE)</f>
        <v>NO</v>
      </c>
      <c r="W447" s="51" t="str">
        <f>VLOOKUP(Table3[[#This Row],[ACTIVITY]],TAGS!$B:$P,8,FALSE)</f>
        <v>PAP</v>
      </c>
      <c r="X447" s="51" t="str">
        <f>VLOOKUP(Table3[[#This Row],[ACTIVITY]],TAGS!$B:$P,10,FALSE)</f>
        <v>PIP</v>
      </c>
      <c r="Y447" s="51" t="str">
        <f>VLOOKUP(Table3[[#This Row],[ACTIVITY]],TAGS!$B:$P,11,FALSE)</f>
        <v>PICS</v>
      </c>
      <c r="Z447" s="51" t="str">
        <f>VLOOKUP(Table3[[#This Row],[ACTIVITY]],TAGS!$B:$P,12,FALSE)</f>
        <v>Modernization</v>
      </c>
      <c r="AA447" s="51" t="str">
        <f>VLOOKUP(Table3[[#This Row],[ACTIVITY]],TAGS!$B:$P,13,FALSE)</f>
        <v>8. Farm Mechanization and Farm Investments</v>
      </c>
      <c r="AB447" s="51" t="str">
        <f>VLOOKUP(Table3[[#This Row],[ACTIVITY]],TAGS!$B:$P,14,FALSE)</f>
        <v>DEVELOP AND IMPROVE POST-HARVEST SYSTEMS AND INFRASTRUCTURE</v>
      </c>
      <c r="AC447" s="51" t="str">
        <f>VLOOKUP(Table3[[#This Row],[ACTIVITY]],TAGS!$B:$P,15,FALSE)</f>
        <v>Processing-related</v>
      </c>
      <c r="AD447" s="51" t="str">
        <f>VLOOKUP(Table3[[#This Row],[PI LEVEL 3]],'PI LEVEL'!$A:$G,7,FALSE)</f>
        <v>DA-Level Output</v>
      </c>
      <c r="AE447" s="47" t="s">
        <v>577</v>
      </c>
      <c r="AF447" s="51" t="str">
        <f>VLOOKUP(Table3[[#This Row],[ACTIVITY]],TAGS!$B:$P,3,FALSE)</f>
        <v>number</v>
      </c>
      <c r="AG447" s="47" t="s">
        <v>336</v>
      </c>
      <c r="AH447" s="51" t="str">
        <f>VLOOKUP(Table3[[#This Row],[MONTH]],TAGS!$W$67:$Y$81,2,FALSE)</f>
        <v>4TH QTR</v>
      </c>
      <c r="AI447" s="51" t="str">
        <f>VLOOKUP(Table3[[#This Row],[MONTH]],TAGS!$W$67:$Y$81,3,FALSE)</f>
        <v>2ND SEMESTER</v>
      </c>
      <c r="AJ447" s="51">
        <f>VLOOKUP(Table3[[#This Row],[MONTH]],TAGS!$W$67:$Z$81,4,FALSE)</f>
        <v>2025</v>
      </c>
      <c r="AK447" s="47">
        <v>1</v>
      </c>
      <c r="AL447" s="51" t="str">
        <f>VLOOKUP(Table3[[#This Row],[ACTIVITY]],TAGS!$B:$R,16,FALSE)</f>
        <v>NO</v>
      </c>
      <c r="AM447" s="47"/>
      <c r="AN447" s="47">
        <v>2200</v>
      </c>
      <c r="AO447" s="57">
        <f>SUM(Table3[[#This Row],[MALE BENEFICIARIES]:[FEMALE BENEFICIARIES]])</f>
        <v>0</v>
      </c>
      <c r="AP447" s="58"/>
      <c r="AQ447" s="58"/>
      <c r="AR447" s="58"/>
      <c r="AS447" s="58">
        <v>1</v>
      </c>
      <c r="AT447" s="59" t="str">
        <f>VLOOKUP(Table3[[#This Row],[ACTIVITY]],TAGS!$B:$R,17,FALSE)</f>
        <v>YES</v>
      </c>
      <c r="AU447" s="59"/>
      <c r="AV447" s="59"/>
      <c r="AW447" s="59"/>
      <c r="AX447" s="59"/>
      <c r="AY447" s="59"/>
      <c r="AZ447" s="59"/>
      <c r="BA447" s="59"/>
      <c r="BB447" s="59"/>
      <c r="BC447" s="59"/>
      <c r="BD447" s="59"/>
      <c r="BE447" s="59"/>
      <c r="BF447" s="59"/>
      <c r="BG447" s="59"/>
      <c r="BH447" s="59"/>
      <c r="BI447" s="59"/>
      <c r="BJ447" s="59"/>
      <c r="BK447" s="59"/>
      <c r="BL447" s="59"/>
      <c r="BM447" s="59"/>
    </row>
    <row r="448" spans="1:65">
      <c r="A448" s="51" t="str">
        <f>VLOOKUP(Table3[[#This Row],[OU]],OU!$A$15:$B$34,2,FALSE)</f>
        <v>RFOs</v>
      </c>
      <c r="B448" s="47" t="s">
        <v>5</v>
      </c>
      <c r="C448" s="47" t="s">
        <v>574</v>
      </c>
      <c r="D448" s="64" t="s">
        <v>731</v>
      </c>
      <c r="E448" s="47" t="s">
        <v>43</v>
      </c>
      <c r="F448" s="47" t="s">
        <v>641</v>
      </c>
      <c r="G44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4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23137000</v>
      </c>
      <c r="I448" s="52" t="str">
        <f>VLOOKUP(Table3[[#This Row],[PSGC]],DISTRICT!$D:$G,4,FALSE)</f>
        <v>1st</v>
      </c>
      <c r="J448" s="47" t="s">
        <v>578</v>
      </c>
      <c r="K448" s="51" t="str">
        <f>VLOOKUP(Table3[[#This Row],[SPECIFIC COMMODITY]],TAGS!$W$48:$X$53,2,FALSE)</f>
        <v>Corn</v>
      </c>
      <c r="L448" s="51" t="str">
        <f>VLOOKUP(Table3[[#This Row],[PREXC SUB-PROGRAM]],Table5[],2,FALSE)</f>
        <v>AGRICULTURAL  MACHINERY, EQUIPMENT, FACILITIES AND INFRASTRUCTURE PROGRAM</v>
      </c>
      <c r="M448" s="51" t="str">
        <f>VLOOKUP(Table3[[#This Row],[COMMODITY PREXC SUB-PROGRAM]],TAGS!$U$54:$V$76,2,FALSE)</f>
        <v>AMEFSS</v>
      </c>
      <c r="N448" s="47" t="s">
        <v>594</v>
      </c>
      <c r="O448" s="54" t="str">
        <f>VLOOKUP(Table3[[#This Row],[PI LEVEL 3]],'PI LEVEL'!A:C,3,FALSE)</f>
        <v>Postharvest facility constructed</v>
      </c>
      <c r="P448" s="54" t="str">
        <f>VLOOKUP(Table3[[#This Row],[PI LEVEL 3]],Table53729[[Performance Indicator Level 3]:[Performance Indicator Level 1]],2,FALSE)</f>
        <v>Crop drying facility constructed</v>
      </c>
      <c r="Q448" s="54" t="str">
        <f>VLOOKUP(Table3[[#This Row],[ACTIVITY]],TAGS!B:P,2,FALSE)</f>
        <v>Multi-crop drying pavement (MCDP) constructed</v>
      </c>
      <c r="R448" s="47" t="s">
        <v>194</v>
      </c>
      <c r="S448" s="51" t="str">
        <f>VLOOKUP(Table3[[#This Row],[ACTIVITY]],TAGS!$B:$P,4,FALSE)</f>
        <v>Postharvest facilities</v>
      </c>
      <c r="T448" s="51" t="str">
        <f>VLOOKUP(Table3[[#This Row],[ACTIVITY]],TAGS!$B:$P,5,FALSE)</f>
        <v>Postharvest facilities</v>
      </c>
      <c r="U448" s="51" t="str">
        <f>VLOOKUP(Table3[[#This Row],[ACTIVITY]],TAGS!$B:$P,6,FALSE)</f>
        <v>Multi Crop Drying Pavement (MCDP) </v>
      </c>
      <c r="V448" s="51" t="str">
        <f>VLOOKUP(Table3[[#This Row],[ACTIVITY]],TAGS!$B:$P,7,FALSE)</f>
        <v>YES</v>
      </c>
      <c r="W448" s="51" t="str">
        <f>VLOOKUP(Table3[[#This Row],[ACTIVITY]],TAGS!$B:$P,8,FALSE)</f>
        <v>PAP</v>
      </c>
      <c r="X448" s="51" t="str">
        <f>VLOOKUP(Table3[[#This Row],[ACTIVITY]],TAGS!$B:$P,10,FALSE)</f>
        <v>PIP</v>
      </c>
      <c r="Y448" s="51" t="str">
        <f>VLOOKUP(Table3[[#This Row],[ACTIVITY]],TAGS!$B:$P,11,FALSE)</f>
        <v>PICS</v>
      </c>
      <c r="Z448" s="51" t="str">
        <f>VLOOKUP(Table3[[#This Row],[ACTIVITY]],TAGS!$B:$P,12,FALSE)</f>
        <v>Modernization</v>
      </c>
      <c r="AA448" s="51" t="str">
        <f>VLOOKUP(Table3[[#This Row],[ACTIVITY]],TAGS!$B:$P,13,FALSE)</f>
        <v>8. Farm Mechanization and Farm Investments</v>
      </c>
      <c r="AB448" s="51" t="str">
        <f>VLOOKUP(Table3[[#This Row],[ACTIVITY]],TAGS!$B:$P,14,FALSE)</f>
        <v>DEVELOP AND IMPROVE POST-HARVEST SYSTEMS AND INFRASTRUCTURE</v>
      </c>
      <c r="AC448" s="51" t="str">
        <f>VLOOKUP(Table3[[#This Row],[ACTIVITY]],TAGS!$B:$P,15,FALSE)</f>
        <v>Postharvest facilities</v>
      </c>
      <c r="AD448" s="51" t="str">
        <f>VLOOKUP(Table3[[#This Row],[PI LEVEL 3]],'PI LEVEL'!$A:$G,7,FALSE)</f>
        <v>DA-Level Output</v>
      </c>
      <c r="AE448" s="47" t="s">
        <v>577</v>
      </c>
      <c r="AF448" s="51" t="str">
        <f>VLOOKUP(Table3[[#This Row],[ACTIVITY]],TAGS!$B:$P,3,FALSE)</f>
        <v>number</v>
      </c>
      <c r="AG448" s="47" t="s">
        <v>336</v>
      </c>
      <c r="AH448" s="51" t="str">
        <f>VLOOKUP(Table3[[#This Row],[MONTH]],TAGS!$W$67:$Y$81,2,FALSE)</f>
        <v>4TH QTR</v>
      </c>
      <c r="AI448" s="51" t="str">
        <f>VLOOKUP(Table3[[#This Row],[MONTH]],TAGS!$W$67:$Y$81,3,FALSE)</f>
        <v>2ND SEMESTER</v>
      </c>
      <c r="AJ448" s="51">
        <f>VLOOKUP(Table3[[#This Row],[MONTH]],TAGS!$W$67:$Z$81,4,FALSE)</f>
        <v>2025</v>
      </c>
      <c r="AK448" s="47">
        <v>1</v>
      </c>
      <c r="AL448" s="51" t="str">
        <f>VLOOKUP(Table3[[#This Row],[ACTIVITY]],TAGS!$B:$R,16,FALSE)</f>
        <v>NO</v>
      </c>
      <c r="AM448" s="47"/>
      <c r="AN448" s="47">
        <v>1000</v>
      </c>
      <c r="AO448" s="57">
        <f>SUM(Table3[[#This Row],[MALE BENEFICIARIES]:[FEMALE BENEFICIARIES]])</f>
        <v>0</v>
      </c>
      <c r="AP448" s="58"/>
      <c r="AQ448" s="58"/>
      <c r="AR448" s="58"/>
      <c r="AS448" s="58">
        <v>1</v>
      </c>
      <c r="AT448" s="59" t="str">
        <f>VLOOKUP(Table3[[#This Row],[ACTIVITY]],TAGS!$B:$R,17,FALSE)</f>
        <v>YES</v>
      </c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</row>
    <row r="449" spans="1:65">
      <c r="A449" s="51" t="str">
        <f>VLOOKUP(Table3[[#This Row],[OU]],OU!$A$15:$B$34,2,FALSE)</f>
        <v>RFOs</v>
      </c>
      <c r="B449" s="47" t="s">
        <v>5</v>
      </c>
      <c r="C449" s="47" t="s">
        <v>574</v>
      </c>
      <c r="D449" s="47" t="s">
        <v>642</v>
      </c>
      <c r="E449" s="47" t="s">
        <v>43</v>
      </c>
      <c r="F449" s="47" t="s">
        <v>643</v>
      </c>
      <c r="G44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44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23108000</v>
      </c>
      <c r="I449" s="52" t="str">
        <f>VLOOKUP(Table3[[#This Row],[PSGC]],DISTRICT!$D:$G,4,FALSE)</f>
        <v>3rd</v>
      </c>
      <c r="J449" s="47" t="s">
        <v>578</v>
      </c>
      <c r="K449" s="51" t="str">
        <f>VLOOKUP(Table3[[#This Row],[SPECIFIC COMMODITY]],TAGS!$W$48:$X$53,2,FALSE)</f>
        <v>Corn</v>
      </c>
      <c r="L449" s="51" t="str">
        <f>VLOOKUP(Table3[[#This Row],[PREXC SUB-PROGRAM]],Table5[],2,FALSE)</f>
        <v>AGRICULTURAL  MACHINERY, EQUIPMENT, FACILITIES AND INFRASTRUCTURE PROGRAM</v>
      </c>
      <c r="M449" s="51" t="str">
        <f>VLOOKUP(Table3[[#This Row],[COMMODITY PREXC SUB-PROGRAM]],TAGS!$U$54:$V$76,2,FALSE)</f>
        <v>AMEFSS</v>
      </c>
      <c r="N449" s="47" t="s">
        <v>594</v>
      </c>
      <c r="O449" s="54" t="str">
        <f>VLOOKUP(Table3[[#This Row],[PI LEVEL 3]],'PI LEVEL'!A:C,3,FALSE)</f>
        <v>Postharvest facility constructed</v>
      </c>
      <c r="P449" s="54" t="str">
        <f>VLOOKUP(Table3[[#This Row],[PI LEVEL 3]],Table53729[[Performance Indicator Level 3]:[Performance Indicator Level 1]],2,FALSE)</f>
        <v>Crop drying facility constructed</v>
      </c>
      <c r="Q449" s="54" t="str">
        <f>VLOOKUP(Table3[[#This Row],[ACTIVITY]],TAGS!B:P,2,FALSE)</f>
        <v>Multi-crop drying pavement (MCDP) constructed</v>
      </c>
      <c r="R449" s="47" t="s">
        <v>194</v>
      </c>
      <c r="S449" s="51" t="str">
        <f>VLOOKUP(Table3[[#This Row],[ACTIVITY]],TAGS!$B:$P,4,FALSE)</f>
        <v>Postharvest facilities</v>
      </c>
      <c r="T449" s="51" t="str">
        <f>VLOOKUP(Table3[[#This Row],[ACTIVITY]],TAGS!$B:$P,5,FALSE)</f>
        <v>Postharvest facilities</v>
      </c>
      <c r="U449" s="51" t="str">
        <f>VLOOKUP(Table3[[#This Row],[ACTIVITY]],TAGS!$B:$P,6,FALSE)</f>
        <v>Multi Crop Drying Pavement (MCDP) </v>
      </c>
      <c r="V449" s="51" t="str">
        <f>VLOOKUP(Table3[[#This Row],[ACTIVITY]],TAGS!$B:$P,7,FALSE)</f>
        <v>YES</v>
      </c>
      <c r="W449" s="51" t="str">
        <f>VLOOKUP(Table3[[#This Row],[ACTIVITY]],TAGS!$B:$P,8,FALSE)</f>
        <v>PAP</v>
      </c>
      <c r="X449" s="51" t="str">
        <f>VLOOKUP(Table3[[#This Row],[ACTIVITY]],TAGS!$B:$P,10,FALSE)</f>
        <v>PIP</v>
      </c>
      <c r="Y449" s="51" t="str">
        <f>VLOOKUP(Table3[[#This Row],[ACTIVITY]],TAGS!$B:$P,11,FALSE)</f>
        <v>PICS</v>
      </c>
      <c r="Z449" s="51" t="str">
        <f>VLOOKUP(Table3[[#This Row],[ACTIVITY]],TAGS!$B:$P,12,FALSE)</f>
        <v>Modernization</v>
      </c>
      <c r="AA449" s="51" t="str">
        <f>VLOOKUP(Table3[[#This Row],[ACTIVITY]],TAGS!$B:$P,13,FALSE)</f>
        <v>8. Farm Mechanization and Farm Investments</v>
      </c>
      <c r="AB449" s="51" t="str">
        <f>VLOOKUP(Table3[[#This Row],[ACTIVITY]],TAGS!$B:$P,14,FALSE)</f>
        <v>DEVELOP AND IMPROVE POST-HARVEST SYSTEMS AND INFRASTRUCTURE</v>
      </c>
      <c r="AC449" s="51" t="str">
        <f>VLOOKUP(Table3[[#This Row],[ACTIVITY]],TAGS!$B:$P,15,FALSE)</f>
        <v>Postharvest facilities</v>
      </c>
      <c r="AD449" s="51" t="str">
        <f>VLOOKUP(Table3[[#This Row],[PI LEVEL 3]],'PI LEVEL'!$A:$G,7,FALSE)</f>
        <v>DA-Level Output</v>
      </c>
      <c r="AE449" s="47" t="s">
        <v>577</v>
      </c>
      <c r="AF449" s="51" t="str">
        <f>VLOOKUP(Table3[[#This Row],[ACTIVITY]],TAGS!$B:$P,3,FALSE)</f>
        <v>number</v>
      </c>
      <c r="AG449" s="47" t="s">
        <v>336</v>
      </c>
      <c r="AH449" s="51" t="str">
        <f>VLOOKUP(Table3[[#This Row],[MONTH]],TAGS!$W$67:$Y$81,2,FALSE)</f>
        <v>4TH QTR</v>
      </c>
      <c r="AI449" s="51" t="str">
        <f>VLOOKUP(Table3[[#This Row],[MONTH]],TAGS!$W$67:$Y$81,3,FALSE)</f>
        <v>2ND SEMESTER</v>
      </c>
      <c r="AJ449" s="51">
        <f>VLOOKUP(Table3[[#This Row],[MONTH]],TAGS!$W$67:$Z$81,4,FALSE)</f>
        <v>2025</v>
      </c>
      <c r="AK449" s="47">
        <v>1</v>
      </c>
      <c r="AL449" s="51" t="str">
        <f>VLOOKUP(Table3[[#This Row],[ACTIVITY]],TAGS!$B:$R,16,FALSE)</f>
        <v>NO</v>
      </c>
      <c r="AM449" s="47"/>
      <c r="AN449" s="47">
        <v>1000</v>
      </c>
      <c r="AO449" s="57">
        <f>SUM(Table3[[#This Row],[MALE BENEFICIARIES]:[FEMALE BENEFICIARIES]])</f>
        <v>0</v>
      </c>
      <c r="AP449" s="58"/>
      <c r="AQ449" s="58"/>
      <c r="AR449" s="58"/>
      <c r="AS449" s="58">
        <v>1</v>
      </c>
      <c r="AT449" s="59" t="str">
        <f>VLOOKUP(Table3[[#This Row],[ACTIVITY]],TAGS!$B:$R,17,FALSE)</f>
        <v>YES</v>
      </c>
      <c r="AU449" s="59"/>
      <c r="AV449" s="59"/>
      <c r="AW449" s="59"/>
      <c r="AX449" s="59"/>
      <c r="AY449" s="59"/>
      <c r="AZ449" s="59"/>
      <c r="BA449" s="59"/>
      <c r="BB449" s="59"/>
      <c r="BC449" s="59"/>
      <c r="BD449" s="59"/>
      <c r="BE449" s="59"/>
      <c r="BF449" s="59"/>
      <c r="BG449" s="59"/>
      <c r="BH449" s="59"/>
      <c r="BI449" s="59"/>
      <c r="BJ449" s="59"/>
      <c r="BK449" s="59"/>
      <c r="BL449" s="59"/>
      <c r="BM449" s="59"/>
    </row>
    <row r="450" spans="1:65">
      <c r="A450" s="51" t="str">
        <f>VLOOKUP(Table3[[#This Row],[OU]],OU!$A$15:$B$34,2,FALSE)</f>
        <v>RFOs</v>
      </c>
      <c r="B450" s="47" t="s">
        <v>5</v>
      </c>
      <c r="C450" s="47" t="s">
        <v>574</v>
      </c>
      <c r="D450" s="47" t="s">
        <v>732</v>
      </c>
      <c r="E450" s="47" t="s">
        <v>70</v>
      </c>
      <c r="F450" s="47" t="s">
        <v>634</v>
      </c>
      <c r="G45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45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25701000</v>
      </c>
      <c r="I450" s="52" t="str">
        <f>VLOOKUP(Table3[[#This Row],[PSGC]],DISTRICT!$D:$G,4,FALSE)</f>
        <v>3rd</v>
      </c>
      <c r="J450" s="47" t="s">
        <v>578</v>
      </c>
      <c r="K450" s="51" t="str">
        <f>VLOOKUP(Table3[[#This Row],[SPECIFIC COMMODITY]],TAGS!$W$48:$X$53,2,FALSE)</f>
        <v>Corn</v>
      </c>
      <c r="L450" s="51" t="str">
        <f>VLOOKUP(Table3[[#This Row],[PREXC SUB-PROGRAM]],Table5[],2,FALSE)</f>
        <v>AGRICULTURAL  MACHINERY, EQUIPMENT, FACILITIES AND INFRASTRUCTURE PROGRAM</v>
      </c>
      <c r="M450" s="51" t="str">
        <f>VLOOKUP(Table3[[#This Row],[COMMODITY PREXC SUB-PROGRAM]],TAGS!$U$54:$V$76,2,FALSE)</f>
        <v>AMEFSS</v>
      </c>
      <c r="N450" s="47" t="s">
        <v>594</v>
      </c>
      <c r="O450" s="54" t="str">
        <f>VLOOKUP(Table3[[#This Row],[PI LEVEL 3]],'PI LEVEL'!A:C,3,FALSE)</f>
        <v>Postharvest facility constructed</v>
      </c>
      <c r="P450" s="54" t="str">
        <f>VLOOKUP(Table3[[#This Row],[PI LEVEL 3]],Table53729[[Performance Indicator Level 3]:[Performance Indicator Level 1]],2,FALSE)</f>
        <v>Crop drying facility constructed</v>
      </c>
      <c r="Q450" s="54" t="str">
        <f>VLOOKUP(Table3[[#This Row],[ACTIVITY]],TAGS!B:P,2,FALSE)</f>
        <v>Multi-crop drying pavement (MCDP) constructed</v>
      </c>
      <c r="R450" s="47" t="s">
        <v>194</v>
      </c>
      <c r="S450" s="51" t="str">
        <f>VLOOKUP(Table3[[#This Row],[ACTIVITY]],TAGS!$B:$P,4,FALSE)</f>
        <v>Postharvest facilities</v>
      </c>
      <c r="T450" s="51" t="str">
        <f>VLOOKUP(Table3[[#This Row],[ACTIVITY]],TAGS!$B:$P,5,FALSE)</f>
        <v>Postharvest facilities</v>
      </c>
      <c r="U450" s="51" t="str">
        <f>VLOOKUP(Table3[[#This Row],[ACTIVITY]],TAGS!$B:$P,6,FALSE)</f>
        <v>Multi Crop Drying Pavement (MCDP) </v>
      </c>
      <c r="V450" s="51" t="str">
        <f>VLOOKUP(Table3[[#This Row],[ACTIVITY]],TAGS!$B:$P,7,FALSE)</f>
        <v>YES</v>
      </c>
      <c r="W450" s="51" t="str">
        <f>VLOOKUP(Table3[[#This Row],[ACTIVITY]],TAGS!$B:$P,8,FALSE)</f>
        <v>PAP</v>
      </c>
      <c r="X450" s="51" t="str">
        <f>VLOOKUP(Table3[[#This Row],[ACTIVITY]],TAGS!$B:$P,10,FALSE)</f>
        <v>PIP</v>
      </c>
      <c r="Y450" s="51" t="str">
        <f>VLOOKUP(Table3[[#This Row],[ACTIVITY]],TAGS!$B:$P,11,FALSE)</f>
        <v>PICS</v>
      </c>
      <c r="Z450" s="51" t="str">
        <f>VLOOKUP(Table3[[#This Row],[ACTIVITY]],TAGS!$B:$P,12,FALSE)</f>
        <v>Modernization</v>
      </c>
      <c r="AA450" s="51" t="str">
        <f>VLOOKUP(Table3[[#This Row],[ACTIVITY]],TAGS!$B:$P,13,FALSE)</f>
        <v>8. Farm Mechanization and Farm Investments</v>
      </c>
      <c r="AB450" s="51" t="str">
        <f>VLOOKUP(Table3[[#This Row],[ACTIVITY]],TAGS!$B:$P,14,FALSE)</f>
        <v>DEVELOP AND IMPROVE POST-HARVEST SYSTEMS AND INFRASTRUCTURE</v>
      </c>
      <c r="AC450" s="51" t="str">
        <f>VLOOKUP(Table3[[#This Row],[ACTIVITY]],TAGS!$B:$P,15,FALSE)</f>
        <v>Postharvest facilities</v>
      </c>
      <c r="AD450" s="51" t="str">
        <f>VLOOKUP(Table3[[#This Row],[PI LEVEL 3]],'PI LEVEL'!$A:$G,7,FALSE)</f>
        <v>DA-Level Output</v>
      </c>
      <c r="AE450" s="47" t="s">
        <v>577</v>
      </c>
      <c r="AF450" s="51" t="str">
        <f>VLOOKUP(Table3[[#This Row],[ACTIVITY]],TAGS!$B:$P,3,FALSE)</f>
        <v>number</v>
      </c>
      <c r="AG450" s="47" t="s">
        <v>336</v>
      </c>
      <c r="AH450" s="51" t="str">
        <f>VLOOKUP(Table3[[#This Row],[MONTH]],TAGS!$W$67:$Y$81,2,FALSE)</f>
        <v>4TH QTR</v>
      </c>
      <c r="AI450" s="51" t="str">
        <f>VLOOKUP(Table3[[#This Row],[MONTH]],TAGS!$W$67:$Y$81,3,FALSE)</f>
        <v>2ND SEMESTER</v>
      </c>
      <c r="AJ450" s="51">
        <f>VLOOKUP(Table3[[#This Row],[MONTH]],TAGS!$W$67:$Z$81,4,FALSE)</f>
        <v>2025</v>
      </c>
      <c r="AK450" s="47">
        <v>1</v>
      </c>
      <c r="AL450" s="51" t="str">
        <f>VLOOKUP(Table3[[#This Row],[ACTIVITY]],TAGS!$B:$R,16,FALSE)</f>
        <v>NO</v>
      </c>
      <c r="AM450" s="47"/>
      <c r="AN450" s="47">
        <v>1000</v>
      </c>
      <c r="AO450" s="57">
        <f>SUM(Table3[[#This Row],[MALE BENEFICIARIES]:[FEMALE BENEFICIARIES]])</f>
        <v>0</v>
      </c>
      <c r="AP450" s="58"/>
      <c r="AQ450" s="58"/>
      <c r="AR450" s="58"/>
      <c r="AS450" s="58">
        <v>1</v>
      </c>
      <c r="AT450" s="59" t="str">
        <f>VLOOKUP(Table3[[#This Row],[ACTIVITY]],TAGS!$B:$R,17,FALSE)</f>
        <v>YES</v>
      </c>
      <c r="AU450" s="59"/>
      <c r="AV450" s="59"/>
      <c r="AW450" s="59"/>
      <c r="AX450" s="59"/>
      <c r="AY450" s="59"/>
      <c r="AZ450" s="59"/>
      <c r="BA450" s="59"/>
      <c r="BB450" s="59"/>
      <c r="BC450" s="59"/>
      <c r="BD450" s="59"/>
      <c r="BE450" s="59"/>
      <c r="BF450" s="59"/>
      <c r="BG450" s="59"/>
      <c r="BH450" s="59"/>
      <c r="BI450" s="59"/>
      <c r="BJ450" s="59"/>
      <c r="BK450" s="59"/>
      <c r="BL450" s="59"/>
      <c r="BM450" s="59"/>
    </row>
    <row r="451" spans="1:65">
      <c r="A451" s="51" t="str">
        <f>VLOOKUP(Table3[[#This Row],[OU]],OU!$A$15:$B$34,2,FALSE)</f>
        <v>RFOs</v>
      </c>
      <c r="B451" s="47" t="s">
        <v>5</v>
      </c>
      <c r="C451" s="47" t="s">
        <v>574</v>
      </c>
      <c r="D451" s="47" t="s">
        <v>733</v>
      </c>
      <c r="E451" s="47" t="s">
        <v>70</v>
      </c>
      <c r="F451" s="47" t="s">
        <v>635</v>
      </c>
      <c r="G45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45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25702000</v>
      </c>
      <c r="I451" s="52" t="str">
        <f>VLOOKUP(Table3[[#This Row],[PSGC]],DISTRICT!$D:$G,4,FALSE)</f>
        <v>3rd</v>
      </c>
      <c r="J451" s="47" t="s">
        <v>578</v>
      </c>
      <c r="K451" s="51" t="str">
        <f>VLOOKUP(Table3[[#This Row],[SPECIFIC COMMODITY]],TAGS!$W$48:$X$53,2,FALSE)</f>
        <v>Corn</v>
      </c>
      <c r="L451" s="51" t="str">
        <f>VLOOKUP(Table3[[#This Row],[PREXC SUB-PROGRAM]],Table5[],2,FALSE)</f>
        <v>AGRICULTURAL  MACHINERY, EQUIPMENT, FACILITIES AND INFRASTRUCTURE PROGRAM</v>
      </c>
      <c r="M451" s="51" t="str">
        <f>VLOOKUP(Table3[[#This Row],[COMMODITY PREXC SUB-PROGRAM]],TAGS!$U$54:$V$76,2,FALSE)</f>
        <v>AMEFSS</v>
      </c>
      <c r="N451" s="47" t="s">
        <v>594</v>
      </c>
      <c r="O451" s="54" t="str">
        <f>VLOOKUP(Table3[[#This Row],[PI LEVEL 3]],'PI LEVEL'!A:C,3,FALSE)</f>
        <v>Postharvest facility constructed</v>
      </c>
      <c r="P451" s="54" t="str">
        <f>VLOOKUP(Table3[[#This Row],[PI LEVEL 3]],Table53729[[Performance Indicator Level 3]:[Performance Indicator Level 1]],2,FALSE)</f>
        <v>Crop drying facility constructed</v>
      </c>
      <c r="Q451" s="54" t="str">
        <f>VLOOKUP(Table3[[#This Row],[ACTIVITY]],TAGS!B:P,2,FALSE)</f>
        <v>Multi-crop drying pavement (MCDP) constructed</v>
      </c>
      <c r="R451" s="47" t="s">
        <v>194</v>
      </c>
      <c r="S451" s="51" t="str">
        <f>VLOOKUP(Table3[[#This Row],[ACTIVITY]],TAGS!$B:$P,4,FALSE)</f>
        <v>Postharvest facilities</v>
      </c>
      <c r="T451" s="51" t="str">
        <f>VLOOKUP(Table3[[#This Row],[ACTIVITY]],TAGS!$B:$P,5,FALSE)</f>
        <v>Postharvest facilities</v>
      </c>
      <c r="U451" s="51" t="str">
        <f>VLOOKUP(Table3[[#This Row],[ACTIVITY]],TAGS!$B:$P,6,FALSE)</f>
        <v>Multi Crop Drying Pavement (MCDP) </v>
      </c>
      <c r="V451" s="51" t="str">
        <f>VLOOKUP(Table3[[#This Row],[ACTIVITY]],TAGS!$B:$P,7,FALSE)</f>
        <v>YES</v>
      </c>
      <c r="W451" s="51" t="str">
        <f>VLOOKUP(Table3[[#This Row],[ACTIVITY]],TAGS!$B:$P,8,FALSE)</f>
        <v>PAP</v>
      </c>
      <c r="X451" s="51" t="str">
        <f>VLOOKUP(Table3[[#This Row],[ACTIVITY]],TAGS!$B:$P,10,FALSE)</f>
        <v>PIP</v>
      </c>
      <c r="Y451" s="51" t="str">
        <f>VLOOKUP(Table3[[#This Row],[ACTIVITY]],TAGS!$B:$P,11,FALSE)</f>
        <v>PICS</v>
      </c>
      <c r="Z451" s="51" t="str">
        <f>VLOOKUP(Table3[[#This Row],[ACTIVITY]],TAGS!$B:$P,12,FALSE)</f>
        <v>Modernization</v>
      </c>
      <c r="AA451" s="51" t="str">
        <f>VLOOKUP(Table3[[#This Row],[ACTIVITY]],TAGS!$B:$P,13,FALSE)</f>
        <v>8. Farm Mechanization and Farm Investments</v>
      </c>
      <c r="AB451" s="51" t="str">
        <f>VLOOKUP(Table3[[#This Row],[ACTIVITY]],TAGS!$B:$P,14,FALSE)</f>
        <v>DEVELOP AND IMPROVE POST-HARVEST SYSTEMS AND INFRASTRUCTURE</v>
      </c>
      <c r="AC451" s="51" t="str">
        <f>VLOOKUP(Table3[[#This Row],[ACTIVITY]],TAGS!$B:$P,15,FALSE)</f>
        <v>Postharvest facilities</v>
      </c>
      <c r="AD451" s="51" t="str">
        <f>VLOOKUP(Table3[[#This Row],[PI LEVEL 3]],'PI LEVEL'!$A:$G,7,FALSE)</f>
        <v>DA-Level Output</v>
      </c>
      <c r="AE451" s="47" t="s">
        <v>577</v>
      </c>
      <c r="AF451" s="51" t="str">
        <f>VLOOKUP(Table3[[#This Row],[ACTIVITY]],TAGS!$B:$P,3,FALSE)</f>
        <v>number</v>
      </c>
      <c r="AG451" s="47" t="s">
        <v>337</v>
      </c>
      <c r="AH451" s="51" t="str">
        <f>VLOOKUP(Table3[[#This Row],[MONTH]],TAGS!$W$67:$Y$81,2,FALSE)</f>
        <v>4TH QTR</v>
      </c>
      <c r="AI451" s="51" t="str">
        <f>VLOOKUP(Table3[[#This Row],[MONTH]],TAGS!$W$67:$Y$81,3,FALSE)</f>
        <v>2ND SEMESTER</v>
      </c>
      <c r="AJ451" s="51">
        <f>VLOOKUP(Table3[[#This Row],[MONTH]],TAGS!$W$67:$Z$81,4,FALSE)</f>
        <v>2025</v>
      </c>
      <c r="AK451" s="47">
        <v>1</v>
      </c>
      <c r="AL451" s="51" t="str">
        <f>VLOOKUP(Table3[[#This Row],[ACTIVITY]],TAGS!$B:$R,16,FALSE)</f>
        <v>NO</v>
      </c>
      <c r="AM451" s="47"/>
      <c r="AN451" s="47">
        <v>1000</v>
      </c>
      <c r="AO451" s="57">
        <f>SUM(Table3[[#This Row],[MALE BENEFICIARIES]:[FEMALE BENEFICIARIES]])</f>
        <v>0</v>
      </c>
      <c r="AP451" s="58"/>
      <c r="AQ451" s="58"/>
      <c r="AR451" s="58"/>
      <c r="AS451" s="58">
        <v>1</v>
      </c>
      <c r="AT451" s="59" t="str">
        <f>VLOOKUP(Table3[[#This Row],[ACTIVITY]],TAGS!$B:$R,17,FALSE)</f>
        <v>YES</v>
      </c>
      <c r="AU451" s="59"/>
      <c r="AV451" s="59"/>
      <c r="AW451" s="59"/>
      <c r="AX451" s="59"/>
      <c r="AY451" s="59"/>
      <c r="AZ451" s="59"/>
      <c r="BA451" s="59"/>
      <c r="BB451" s="59"/>
      <c r="BC451" s="59"/>
      <c r="BD451" s="59"/>
      <c r="BE451" s="59"/>
      <c r="BF451" s="59"/>
      <c r="BG451" s="59"/>
      <c r="BH451" s="59"/>
      <c r="BI451" s="59"/>
      <c r="BJ451" s="59"/>
      <c r="BK451" s="59"/>
      <c r="BL451" s="59"/>
      <c r="BM451" s="59"/>
    </row>
    <row r="452" spans="1:65">
      <c r="A452" s="51" t="str">
        <f>VLOOKUP(Table3[[#This Row],[OU]],OU!$A$15:$B$34,2,FALSE)</f>
        <v>RFOs</v>
      </c>
      <c r="B452" s="47" t="s">
        <v>5</v>
      </c>
      <c r="C452" s="47" t="s">
        <v>574</v>
      </c>
      <c r="D452" s="47" t="s">
        <v>734</v>
      </c>
      <c r="E452" s="47" t="s">
        <v>70</v>
      </c>
      <c r="F452" s="47" t="s">
        <v>626</v>
      </c>
      <c r="G45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45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25703000</v>
      </c>
      <c r="I452" s="52" t="str">
        <f>VLOOKUP(Table3[[#This Row],[PSGC]],DISTRICT!$D:$G,4,FALSE)</f>
        <v>2nd</v>
      </c>
      <c r="J452" s="47" t="s">
        <v>578</v>
      </c>
      <c r="K452" s="51" t="str">
        <f>VLOOKUP(Table3[[#This Row],[SPECIFIC COMMODITY]],TAGS!$W$48:$X$53,2,FALSE)</f>
        <v>Corn</v>
      </c>
      <c r="L452" s="51" t="str">
        <f>VLOOKUP(Table3[[#This Row],[PREXC SUB-PROGRAM]],Table5[],2,FALSE)</f>
        <v>AGRICULTURAL  MACHINERY, EQUIPMENT, FACILITIES AND INFRASTRUCTURE PROGRAM</v>
      </c>
      <c r="M452" s="51" t="str">
        <f>VLOOKUP(Table3[[#This Row],[COMMODITY PREXC SUB-PROGRAM]],TAGS!$U$54:$V$76,2,FALSE)</f>
        <v>AMEFSS</v>
      </c>
      <c r="N452" s="47" t="s">
        <v>594</v>
      </c>
      <c r="O452" s="54" t="str">
        <f>VLOOKUP(Table3[[#This Row],[PI LEVEL 3]],'PI LEVEL'!A:C,3,FALSE)</f>
        <v>Postharvest facility constructed</v>
      </c>
      <c r="P452" s="54" t="str">
        <f>VLOOKUP(Table3[[#This Row],[PI LEVEL 3]],Table53729[[Performance Indicator Level 3]:[Performance Indicator Level 1]],2,FALSE)</f>
        <v>Crop drying facility constructed</v>
      </c>
      <c r="Q452" s="54" t="str">
        <f>VLOOKUP(Table3[[#This Row],[ACTIVITY]],TAGS!B:P,2,FALSE)</f>
        <v>Multi-crop drying pavement (MCDP) constructed</v>
      </c>
      <c r="R452" s="47" t="s">
        <v>194</v>
      </c>
      <c r="S452" s="51" t="str">
        <f>VLOOKUP(Table3[[#This Row],[ACTIVITY]],TAGS!$B:$P,4,FALSE)</f>
        <v>Postharvest facilities</v>
      </c>
      <c r="T452" s="51" t="str">
        <f>VLOOKUP(Table3[[#This Row],[ACTIVITY]],TAGS!$B:$P,5,FALSE)</f>
        <v>Postharvest facilities</v>
      </c>
      <c r="U452" s="51" t="str">
        <f>VLOOKUP(Table3[[#This Row],[ACTIVITY]],TAGS!$B:$P,6,FALSE)</f>
        <v>Multi Crop Drying Pavement (MCDP) </v>
      </c>
      <c r="V452" s="51" t="str">
        <f>VLOOKUP(Table3[[#This Row],[ACTIVITY]],TAGS!$B:$P,7,FALSE)</f>
        <v>YES</v>
      </c>
      <c r="W452" s="51" t="str">
        <f>VLOOKUP(Table3[[#This Row],[ACTIVITY]],TAGS!$B:$P,8,FALSE)</f>
        <v>PAP</v>
      </c>
      <c r="X452" s="51" t="str">
        <f>VLOOKUP(Table3[[#This Row],[ACTIVITY]],TAGS!$B:$P,10,FALSE)</f>
        <v>PIP</v>
      </c>
      <c r="Y452" s="51" t="str">
        <f>VLOOKUP(Table3[[#This Row],[ACTIVITY]],TAGS!$B:$P,11,FALSE)</f>
        <v>PICS</v>
      </c>
      <c r="Z452" s="51" t="str">
        <f>VLOOKUP(Table3[[#This Row],[ACTIVITY]],TAGS!$B:$P,12,FALSE)</f>
        <v>Modernization</v>
      </c>
      <c r="AA452" s="51" t="str">
        <f>VLOOKUP(Table3[[#This Row],[ACTIVITY]],TAGS!$B:$P,13,FALSE)</f>
        <v>8. Farm Mechanization and Farm Investments</v>
      </c>
      <c r="AB452" s="51" t="str">
        <f>VLOOKUP(Table3[[#This Row],[ACTIVITY]],TAGS!$B:$P,14,FALSE)</f>
        <v>DEVELOP AND IMPROVE POST-HARVEST SYSTEMS AND INFRASTRUCTURE</v>
      </c>
      <c r="AC452" s="51" t="str">
        <f>VLOOKUP(Table3[[#This Row],[ACTIVITY]],TAGS!$B:$P,15,FALSE)</f>
        <v>Postharvest facilities</v>
      </c>
      <c r="AD452" s="51" t="str">
        <f>VLOOKUP(Table3[[#This Row],[PI LEVEL 3]],'PI LEVEL'!$A:$G,7,FALSE)</f>
        <v>DA-Level Output</v>
      </c>
      <c r="AE452" s="47" t="s">
        <v>577</v>
      </c>
      <c r="AF452" s="51" t="str">
        <f>VLOOKUP(Table3[[#This Row],[ACTIVITY]],TAGS!$B:$P,3,FALSE)</f>
        <v>number</v>
      </c>
      <c r="AG452" s="47" t="s">
        <v>337</v>
      </c>
      <c r="AH452" s="51" t="str">
        <f>VLOOKUP(Table3[[#This Row],[MONTH]],TAGS!$W$67:$Y$81,2,FALSE)</f>
        <v>4TH QTR</v>
      </c>
      <c r="AI452" s="51" t="str">
        <f>VLOOKUP(Table3[[#This Row],[MONTH]],TAGS!$W$67:$Y$81,3,FALSE)</f>
        <v>2ND SEMESTER</v>
      </c>
      <c r="AJ452" s="51">
        <f>VLOOKUP(Table3[[#This Row],[MONTH]],TAGS!$W$67:$Z$81,4,FALSE)</f>
        <v>2025</v>
      </c>
      <c r="AK452" s="47">
        <v>1</v>
      </c>
      <c r="AL452" s="51" t="str">
        <f>VLOOKUP(Table3[[#This Row],[ACTIVITY]],TAGS!$B:$R,16,FALSE)</f>
        <v>NO</v>
      </c>
      <c r="AM452" s="47"/>
      <c r="AN452" s="47">
        <v>1000</v>
      </c>
      <c r="AO452" s="57">
        <f>SUM(Table3[[#This Row],[MALE BENEFICIARIES]:[FEMALE BENEFICIARIES]])</f>
        <v>0</v>
      </c>
      <c r="AP452" s="58"/>
      <c r="AQ452" s="58"/>
      <c r="AR452" s="58"/>
      <c r="AS452" s="58">
        <v>1</v>
      </c>
      <c r="AT452" s="59" t="str">
        <f>VLOOKUP(Table3[[#This Row],[ACTIVITY]],TAGS!$B:$R,17,FALSE)</f>
        <v>YES</v>
      </c>
      <c r="AU452" s="59"/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</row>
    <row r="453" spans="1:65">
      <c r="A453" s="51" t="str">
        <f>VLOOKUP(Table3[[#This Row],[OU]],OU!$A$15:$B$34,2,FALSE)</f>
        <v>RFOs</v>
      </c>
      <c r="B453" s="47" t="s">
        <v>5</v>
      </c>
      <c r="C453" s="47" t="s">
        <v>574</v>
      </c>
      <c r="D453" t="s">
        <v>735</v>
      </c>
      <c r="E453" s="47" t="s">
        <v>43</v>
      </c>
      <c r="F453" s="47" t="s">
        <v>661</v>
      </c>
      <c r="G45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5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23118000</v>
      </c>
      <c r="I453" s="52" t="str">
        <f>VLOOKUP(Table3[[#This Row],[PSGC]],DISTRICT!$D:$G,4,FALSE)</f>
        <v>4th</v>
      </c>
      <c r="J453" s="47" t="s">
        <v>579</v>
      </c>
      <c r="K453" s="51" t="str">
        <f>VLOOKUP(Table3[[#This Row],[SPECIFIC COMMODITY]],TAGS!$W$48:$X$53,2,FALSE)</f>
        <v>Cassava</v>
      </c>
      <c r="L453" s="51" t="str">
        <f>VLOOKUP(Table3[[#This Row],[PREXC SUB-PROGRAM]],Table5[],2,FALSE)</f>
        <v>AGRICULTURAL  MACHINERY, EQUIPMENT, FACILITIES AND INFRASTRUCTURE PROGRAM</v>
      </c>
      <c r="M453" s="51" t="str">
        <f>VLOOKUP(Table3[[#This Row],[COMMODITY PREXC SUB-PROGRAM]],TAGS!$U$54:$V$76,2,FALSE)</f>
        <v>AMEFSS</v>
      </c>
      <c r="N453" s="47" t="s">
        <v>595</v>
      </c>
      <c r="O453" s="54" t="str">
        <f>VLOOKUP(Table3[[#This Row],[PI LEVEL 3]],'PI LEVEL'!A:C,3,FALSE)</f>
        <v>Other machinery and equipment distributed</v>
      </c>
      <c r="P453" s="54" t="str">
        <f>VLOOKUP(Table3[[#This Row],[PI LEVEL 3]],Table53729[[Performance Indicator Level 3]:[Performance Indicator Level 1]],2,FALSE)</f>
        <v>Other machinery and equipment distributed</v>
      </c>
      <c r="Q453" s="54" t="str">
        <f>VLOOKUP(Table3[[#This Row],[ACTIVITY]],TAGS!B:P,2,FALSE)</f>
        <v>Solar Bubble Dryer distributed_PSS</v>
      </c>
      <c r="R453" s="47" t="s">
        <v>196</v>
      </c>
      <c r="S453" s="51" t="str">
        <f>VLOOKUP(Table3[[#This Row],[ACTIVITY]],TAGS!$B:$P,4,FALSE)</f>
        <v>Postharvest related machinery &amp; equipment</v>
      </c>
      <c r="T453" s="51" t="str">
        <f>VLOOKUP(Table3[[#This Row],[ACTIVITY]],TAGS!$B:$P,5,FALSE)</f>
        <v>Postharvest-related</v>
      </c>
      <c r="U453" s="51" t="str">
        <f>VLOOKUP(Table3[[#This Row],[ACTIVITY]],TAGS!$B:$P,6,FALSE)</f>
        <v>Solar Bubble Dryer</v>
      </c>
      <c r="V453" s="51" t="str">
        <f>VLOOKUP(Table3[[#This Row],[ACTIVITY]],TAGS!$B:$P,7,FALSE)</f>
        <v>YES</v>
      </c>
      <c r="W453" s="51" t="str">
        <f>VLOOKUP(Table3[[#This Row],[ACTIVITY]],TAGS!$B:$P,8,FALSE)</f>
        <v>PAP</v>
      </c>
      <c r="X453" s="51" t="str">
        <f>VLOOKUP(Table3[[#This Row],[ACTIVITY]],TAGS!$B:$P,10,FALSE)</f>
        <v>PIP</v>
      </c>
      <c r="Y453" s="51" t="str">
        <f>VLOOKUP(Table3[[#This Row],[ACTIVITY]],TAGS!$B:$P,11,FALSE)</f>
        <v>PICS</v>
      </c>
      <c r="Z453" s="51" t="str">
        <f>VLOOKUP(Table3[[#This Row],[ACTIVITY]],TAGS!$B:$P,12,FALSE)</f>
        <v>Modernization</v>
      </c>
      <c r="AA453" s="51" t="str">
        <f>VLOOKUP(Table3[[#This Row],[ACTIVITY]],TAGS!$B:$P,13,FALSE)</f>
        <v>8. Farm Mechanization and Farm Investments</v>
      </c>
      <c r="AB453" s="51" t="str">
        <f>VLOOKUP(Table3[[#This Row],[ACTIVITY]],TAGS!$B:$P,14,FALSE)</f>
        <v>DEVELOP AND IMPROVE POST-HARVEST SYSTEMS AND INFRASTRUCTURE</v>
      </c>
      <c r="AC453" s="51" t="str">
        <f>VLOOKUP(Table3[[#This Row],[ACTIVITY]],TAGS!$B:$P,15,FALSE)</f>
        <v>Postharvest-related</v>
      </c>
      <c r="AD453" s="51" t="str">
        <f>VLOOKUP(Table3[[#This Row],[PI LEVEL 3]],'PI LEVEL'!$A:$G,7,FALSE)</f>
        <v>DA-Level Output</v>
      </c>
      <c r="AE453" s="47" t="s">
        <v>577</v>
      </c>
      <c r="AF453" s="51" t="str">
        <f>VLOOKUP(Table3[[#This Row],[ACTIVITY]],TAGS!$B:$P,3,FALSE)</f>
        <v>number</v>
      </c>
      <c r="AG453" s="47" t="s">
        <v>335</v>
      </c>
      <c r="AH453" s="51" t="str">
        <f>VLOOKUP(Table3[[#This Row],[MONTH]],TAGS!$W$67:$Y$81,2,FALSE)</f>
        <v>3RD QTR</v>
      </c>
      <c r="AI453" s="51" t="str">
        <f>VLOOKUP(Table3[[#This Row],[MONTH]],TAGS!$W$67:$Y$81,3,FALSE)</f>
        <v>2ND SEMESTER</v>
      </c>
      <c r="AJ453" s="51">
        <f>VLOOKUP(Table3[[#This Row],[MONTH]],TAGS!$W$67:$Z$81,4,FALSE)</f>
        <v>2025</v>
      </c>
      <c r="AK453" s="47">
        <v>10</v>
      </c>
      <c r="AL453" s="51" t="str">
        <f>VLOOKUP(Table3[[#This Row],[ACTIVITY]],TAGS!$B:$R,16,FALSE)</f>
        <v>NO</v>
      </c>
      <c r="AM453" s="47"/>
      <c r="AN453" s="47">
        <v>2000</v>
      </c>
      <c r="AO453" s="57">
        <f>SUM(Table3[[#This Row],[MALE BENEFICIARIES]:[FEMALE BENEFICIARIES]])</f>
        <v>0</v>
      </c>
      <c r="AP453" s="58"/>
      <c r="AQ453" s="58"/>
      <c r="AR453" s="58"/>
      <c r="AS453" s="58">
        <v>1</v>
      </c>
      <c r="AT453" s="59" t="str">
        <f>VLOOKUP(Table3[[#This Row],[ACTIVITY]],TAGS!$B:$R,17,FALSE)</f>
        <v>YES</v>
      </c>
      <c r="AU453" s="59"/>
      <c r="AV453" s="59"/>
      <c r="AW453" s="59"/>
      <c r="AX453" s="59"/>
      <c r="AY453" s="59"/>
      <c r="AZ453" s="59"/>
      <c r="BA453" s="59"/>
      <c r="BB453" s="59"/>
      <c r="BC453" s="59"/>
      <c r="BD453" s="59"/>
      <c r="BE453" s="59"/>
      <c r="BF453" s="59"/>
      <c r="BG453" s="59"/>
      <c r="BH453" s="59"/>
      <c r="BI453" s="59"/>
      <c r="BJ453" s="59"/>
      <c r="BK453" s="59"/>
      <c r="BL453" s="59"/>
      <c r="BM453" s="59"/>
    </row>
    <row r="454" spans="1:65">
      <c r="A454" s="51" t="str">
        <f>VLOOKUP(Table3[[#This Row],[OU]],OU!$A$15:$B$34,2,FALSE)</f>
        <v>RFOs</v>
      </c>
      <c r="B454" s="47" t="s">
        <v>5</v>
      </c>
      <c r="C454" s="47" t="s">
        <v>574</v>
      </c>
      <c r="D454" t="s">
        <v>718</v>
      </c>
      <c r="E454" s="47" t="s">
        <v>43</v>
      </c>
      <c r="F454" s="47" t="s">
        <v>675</v>
      </c>
      <c r="G45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4th District</v>
      </c>
      <c r="H45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23115000</v>
      </c>
      <c r="I454" s="52" t="str">
        <f>VLOOKUP(Table3[[#This Row],[PSGC]],DISTRICT!$D:$G,4,FALSE)</f>
        <v>1st</v>
      </c>
      <c r="J454" s="47" t="s">
        <v>579</v>
      </c>
      <c r="K454" s="51" t="str">
        <f>VLOOKUP(Table3[[#This Row],[SPECIFIC COMMODITY]],TAGS!$W$48:$X$53,2,FALSE)</f>
        <v>Cassava</v>
      </c>
      <c r="L454" s="51" t="str">
        <f>VLOOKUP(Table3[[#This Row],[PREXC SUB-PROGRAM]],Table5[],2,FALSE)</f>
        <v>AGRICULTURAL  MACHINERY, EQUIPMENT, FACILITIES AND INFRASTRUCTURE PROGRAM</v>
      </c>
      <c r="M454" s="51" t="str">
        <f>VLOOKUP(Table3[[#This Row],[COMMODITY PREXC SUB-PROGRAM]],TAGS!$U$54:$V$76,2,FALSE)</f>
        <v>AMEFSS</v>
      </c>
      <c r="N454" s="47" t="s">
        <v>595</v>
      </c>
      <c r="O454" s="54" t="str">
        <f>VLOOKUP(Table3[[#This Row],[PI LEVEL 3]],'PI LEVEL'!A:C,3,FALSE)</f>
        <v>Other machinery and equipment distributed</v>
      </c>
      <c r="P454" s="54" t="str">
        <f>VLOOKUP(Table3[[#This Row],[PI LEVEL 3]],Table53729[[Performance Indicator Level 3]:[Performance Indicator Level 1]],2,FALSE)</f>
        <v>Other machinery and equipment distributed</v>
      </c>
      <c r="Q454" s="54" t="str">
        <f>VLOOKUP(Table3[[#This Row],[ACTIVITY]],TAGS!B:P,2,FALSE)</f>
        <v>Solar Bubble Dryer distributed_PSS</v>
      </c>
      <c r="R454" s="47" t="s">
        <v>196</v>
      </c>
      <c r="S454" s="51" t="str">
        <f>VLOOKUP(Table3[[#This Row],[ACTIVITY]],TAGS!$B:$P,4,FALSE)</f>
        <v>Postharvest related machinery &amp; equipment</v>
      </c>
      <c r="T454" s="51" t="str">
        <f>VLOOKUP(Table3[[#This Row],[ACTIVITY]],TAGS!$B:$P,5,FALSE)</f>
        <v>Postharvest-related</v>
      </c>
      <c r="U454" s="51" t="str">
        <f>VLOOKUP(Table3[[#This Row],[ACTIVITY]],TAGS!$B:$P,6,FALSE)</f>
        <v>Solar Bubble Dryer</v>
      </c>
      <c r="V454" s="51" t="str">
        <f>VLOOKUP(Table3[[#This Row],[ACTIVITY]],TAGS!$B:$P,7,FALSE)</f>
        <v>YES</v>
      </c>
      <c r="W454" s="51" t="str">
        <f>VLOOKUP(Table3[[#This Row],[ACTIVITY]],TAGS!$B:$P,8,FALSE)</f>
        <v>PAP</v>
      </c>
      <c r="X454" s="51" t="str">
        <f>VLOOKUP(Table3[[#This Row],[ACTIVITY]],TAGS!$B:$P,10,FALSE)</f>
        <v>PIP</v>
      </c>
      <c r="Y454" s="51" t="str">
        <f>VLOOKUP(Table3[[#This Row],[ACTIVITY]],TAGS!$B:$P,11,FALSE)</f>
        <v>PICS</v>
      </c>
      <c r="Z454" s="51" t="str">
        <f>VLOOKUP(Table3[[#This Row],[ACTIVITY]],TAGS!$B:$P,12,FALSE)</f>
        <v>Modernization</v>
      </c>
      <c r="AA454" s="51" t="str">
        <f>VLOOKUP(Table3[[#This Row],[ACTIVITY]],TAGS!$B:$P,13,FALSE)</f>
        <v>8. Farm Mechanization and Farm Investments</v>
      </c>
      <c r="AB454" s="51" t="str">
        <f>VLOOKUP(Table3[[#This Row],[ACTIVITY]],TAGS!$B:$P,14,FALSE)</f>
        <v>DEVELOP AND IMPROVE POST-HARVEST SYSTEMS AND INFRASTRUCTURE</v>
      </c>
      <c r="AC454" s="51" t="str">
        <f>VLOOKUP(Table3[[#This Row],[ACTIVITY]],TAGS!$B:$P,15,FALSE)</f>
        <v>Postharvest-related</v>
      </c>
      <c r="AD454" s="51" t="str">
        <f>VLOOKUP(Table3[[#This Row],[PI LEVEL 3]],'PI LEVEL'!$A:$G,7,FALSE)</f>
        <v>DA-Level Output</v>
      </c>
      <c r="AE454" s="47" t="s">
        <v>577</v>
      </c>
      <c r="AF454" s="51" t="str">
        <f>VLOOKUP(Table3[[#This Row],[ACTIVITY]],TAGS!$B:$P,3,FALSE)</f>
        <v>number</v>
      </c>
      <c r="AG454" s="47" t="s">
        <v>335</v>
      </c>
      <c r="AH454" s="51" t="str">
        <f>VLOOKUP(Table3[[#This Row],[MONTH]],TAGS!$W$67:$Y$81,2,FALSE)</f>
        <v>3RD QTR</v>
      </c>
      <c r="AI454" s="51" t="str">
        <f>VLOOKUP(Table3[[#This Row],[MONTH]],TAGS!$W$67:$Y$81,3,FALSE)</f>
        <v>2ND SEMESTER</v>
      </c>
      <c r="AJ454" s="51">
        <f>VLOOKUP(Table3[[#This Row],[MONTH]],TAGS!$W$67:$Z$81,4,FALSE)</f>
        <v>2025</v>
      </c>
      <c r="AK454" s="47">
        <v>5</v>
      </c>
      <c r="AL454" s="51" t="str">
        <f>VLOOKUP(Table3[[#This Row],[ACTIVITY]],TAGS!$B:$R,16,FALSE)</f>
        <v>NO</v>
      </c>
      <c r="AM454" s="47"/>
      <c r="AN454" s="47">
        <v>1000</v>
      </c>
      <c r="AO454" s="57">
        <f>SUM(Table3[[#This Row],[MALE BENEFICIARIES]:[FEMALE BENEFICIARIES]])</f>
        <v>0</v>
      </c>
      <c r="AP454" s="58"/>
      <c r="AQ454" s="58"/>
      <c r="AR454" s="58"/>
      <c r="AS454" s="58">
        <v>1</v>
      </c>
      <c r="AT454" s="59" t="str">
        <f>VLOOKUP(Table3[[#This Row],[ACTIVITY]],TAGS!$B:$R,17,FALSE)</f>
        <v>YES</v>
      </c>
      <c r="AU454" s="59"/>
      <c r="AV454" s="59"/>
      <c r="AW454" s="59"/>
      <c r="AX454" s="59"/>
      <c r="AY454" s="59"/>
      <c r="AZ454" s="59"/>
      <c r="BA454" s="59"/>
      <c r="BB454" s="59"/>
      <c r="BC454" s="59"/>
      <c r="BD454" s="59"/>
      <c r="BE454" s="59"/>
      <c r="BF454" s="59"/>
      <c r="BG454" s="59"/>
      <c r="BH454" s="59"/>
      <c r="BI454" s="59"/>
      <c r="BJ454" s="59"/>
      <c r="BK454" s="59"/>
      <c r="BL454" s="59"/>
      <c r="BM454" s="59"/>
    </row>
    <row r="455" spans="1:65">
      <c r="A455" s="51" t="str">
        <f>VLOOKUP(Table3[[#This Row],[OU]],OU!$A$15:$B$34,2,FALSE)</f>
        <v>RFOs</v>
      </c>
      <c r="B455" s="47" t="s">
        <v>5</v>
      </c>
      <c r="C455" s="47" t="s">
        <v>574</v>
      </c>
      <c r="D455" t="s">
        <v>736</v>
      </c>
      <c r="E455" s="47" t="s">
        <v>43</v>
      </c>
      <c r="F455" s="47" t="s">
        <v>643</v>
      </c>
      <c r="G45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45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23108000</v>
      </c>
      <c r="I455" s="52" t="str">
        <f>VLOOKUP(Table3[[#This Row],[PSGC]],DISTRICT!$D:$G,4,FALSE)</f>
        <v>3rd</v>
      </c>
      <c r="J455" s="47" t="s">
        <v>579</v>
      </c>
      <c r="K455" s="51" t="str">
        <f>VLOOKUP(Table3[[#This Row],[SPECIFIC COMMODITY]],TAGS!$W$48:$X$53,2,FALSE)</f>
        <v>Cassava</v>
      </c>
      <c r="L455" s="51" t="str">
        <f>VLOOKUP(Table3[[#This Row],[PREXC SUB-PROGRAM]],Table5[],2,FALSE)</f>
        <v>AGRICULTURAL  MACHINERY, EQUIPMENT, FACILITIES AND INFRASTRUCTURE PROGRAM</v>
      </c>
      <c r="M455" s="51" t="str">
        <f>VLOOKUP(Table3[[#This Row],[COMMODITY PREXC SUB-PROGRAM]],TAGS!$U$54:$V$76,2,FALSE)</f>
        <v>AMEFSS</v>
      </c>
      <c r="N455" s="47" t="s">
        <v>595</v>
      </c>
      <c r="O455" s="54" t="str">
        <f>VLOOKUP(Table3[[#This Row],[PI LEVEL 3]],'PI LEVEL'!A:C,3,FALSE)</f>
        <v>Other machinery and equipment distributed</v>
      </c>
      <c r="P455" s="54" t="str">
        <f>VLOOKUP(Table3[[#This Row],[PI LEVEL 3]],Table53729[[Performance Indicator Level 3]:[Performance Indicator Level 1]],2,FALSE)</f>
        <v>Other machinery and equipment distributed</v>
      </c>
      <c r="Q455" s="54" t="str">
        <f>VLOOKUP(Table3[[#This Row],[ACTIVITY]],TAGS!B:P,2,FALSE)</f>
        <v>Solar Bubble Dryer distributed_PSS</v>
      </c>
      <c r="R455" s="47" t="s">
        <v>196</v>
      </c>
      <c r="S455" s="51" t="str">
        <f>VLOOKUP(Table3[[#This Row],[ACTIVITY]],TAGS!$B:$P,4,FALSE)</f>
        <v>Postharvest related machinery &amp; equipment</v>
      </c>
      <c r="T455" s="51" t="str">
        <f>VLOOKUP(Table3[[#This Row],[ACTIVITY]],TAGS!$B:$P,5,FALSE)</f>
        <v>Postharvest-related</v>
      </c>
      <c r="U455" s="51" t="str">
        <f>VLOOKUP(Table3[[#This Row],[ACTIVITY]],TAGS!$B:$P,6,FALSE)</f>
        <v>Solar Bubble Dryer</v>
      </c>
      <c r="V455" s="51" t="str">
        <f>VLOOKUP(Table3[[#This Row],[ACTIVITY]],TAGS!$B:$P,7,FALSE)</f>
        <v>YES</v>
      </c>
      <c r="W455" s="51" t="str">
        <f>VLOOKUP(Table3[[#This Row],[ACTIVITY]],TAGS!$B:$P,8,FALSE)</f>
        <v>PAP</v>
      </c>
      <c r="X455" s="51" t="str">
        <f>VLOOKUP(Table3[[#This Row],[ACTIVITY]],TAGS!$B:$P,10,FALSE)</f>
        <v>PIP</v>
      </c>
      <c r="Y455" s="51" t="str">
        <f>VLOOKUP(Table3[[#This Row],[ACTIVITY]],TAGS!$B:$P,11,FALSE)</f>
        <v>PICS</v>
      </c>
      <c r="Z455" s="51" t="str">
        <f>VLOOKUP(Table3[[#This Row],[ACTIVITY]],TAGS!$B:$P,12,FALSE)</f>
        <v>Modernization</v>
      </c>
      <c r="AA455" s="51" t="str">
        <f>VLOOKUP(Table3[[#This Row],[ACTIVITY]],TAGS!$B:$P,13,FALSE)</f>
        <v>8. Farm Mechanization and Farm Investments</v>
      </c>
      <c r="AB455" s="51" t="str">
        <f>VLOOKUP(Table3[[#This Row],[ACTIVITY]],TAGS!$B:$P,14,FALSE)</f>
        <v>DEVELOP AND IMPROVE POST-HARVEST SYSTEMS AND INFRASTRUCTURE</v>
      </c>
      <c r="AC455" s="51" t="str">
        <f>VLOOKUP(Table3[[#This Row],[ACTIVITY]],TAGS!$B:$P,15,FALSE)</f>
        <v>Postharvest-related</v>
      </c>
      <c r="AD455" s="51" t="str">
        <f>VLOOKUP(Table3[[#This Row],[PI LEVEL 3]],'PI LEVEL'!$A:$G,7,FALSE)</f>
        <v>DA-Level Output</v>
      </c>
      <c r="AE455" s="47" t="s">
        <v>577</v>
      </c>
      <c r="AF455" s="51" t="str">
        <f>VLOOKUP(Table3[[#This Row],[ACTIVITY]],TAGS!$B:$P,3,FALSE)</f>
        <v>number</v>
      </c>
      <c r="AG455" s="47" t="s">
        <v>335</v>
      </c>
      <c r="AH455" s="51" t="str">
        <f>VLOOKUP(Table3[[#This Row],[MONTH]],TAGS!$W$67:$Y$81,2,FALSE)</f>
        <v>3RD QTR</v>
      </c>
      <c r="AI455" s="51" t="str">
        <f>VLOOKUP(Table3[[#This Row],[MONTH]],TAGS!$W$67:$Y$81,3,FALSE)</f>
        <v>2ND SEMESTER</v>
      </c>
      <c r="AJ455" s="51">
        <f>VLOOKUP(Table3[[#This Row],[MONTH]],TAGS!$W$67:$Z$81,4,FALSE)</f>
        <v>2025</v>
      </c>
      <c r="AK455" s="47">
        <v>5</v>
      </c>
      <c r="AL455" s="51" t="str">
        <f>VLOOKUP(Table3[[#This Row],[ACTIVITY]],TAGS!$B:$R,16,FALSE)</f>
        <v>NO</v>
      </c>
      <c r="AM455" s="47"/>
      <c r="AN455" s="47">
        <v>1000</v>
      </c>
      <c r="AO455" s="57">
        <f>SUM(Table3[[#This Row],[MALE BENEFICIARIES]:[FEMALE BENEFICIARIES]])</f>
        <v>0</v>
      </c>
      <c r="AP455" s="58"/>
      <c r="AQ455" s="58"/>
      <c r="AR455" s="58"/>
      <c r="AS455" s="58">
        <v>1</v>
      </c>
      <c r="AT455" s="59" t="str">
        <f>VLOOKUP(Table3[[#This Row],[ACTIVITY]],TAGS!$B:$R,17,FALSE)</f>
        <v>YES</v>
      </c>
      <c r="AU455" s="59"/>
      <c r="AV455" s="59"/>
      <c r="AW455" s="59"/>
      <c r="AX455" s="59"/>
      <c r="AY455" s="59"/>
      <c r="AZ455" s="59"/>
      <c r="BA455" s="59"/>
      <c r="BB455" s="59"/>
      <c r="BC455" s="59"/>
      <c r="BD455" s="59"/>
      <c r="BE455" s="59"/>
      <c r="BF455" s="59"/>
      <c r="BG455" s="59"/>
      <c r="BH455" s="59"/>
      <c r="BI455" s="59"/>
      <c r="BJ455" s="59"/>
      <c r="BK455" s="59"/>
      <c r="BL455" s="59"/>
      <c r="BM455" s="59"/>
    </row>
    <row r="456" spans="1:65">
      <c r="A456" s="51" t="str">
        <f>VLOOKUP(Table3[[#This Row],[OU]],OU!$A$15:$B$34,2,FALSE)</f>
        <v>RFOs</v>
      </c>
      <c r="B456" s="47" t="s">
        <v>5</v>
      </c>
      <c r="C456" s="47" t="s">
        <v>574</v>
      </c>
      <c r="D456" s="47" t="s">
        <v>737</v>
      </c>
      <c r="E456" s="47" t="s">
        <v>43</v>
      </c>
      <c r="F456" s="47" t="s">
        <v>667</v>
      </c>
      <c r="G45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45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23131000</v>
      </c>
      <c r="I456" s="52" t="str">
        <f>VLOOKUP(Table3[[#This Row],[PSGC]],DISTRICT!$D:$G,4,FALSE)</f>
        <v>1st</v>
      </c>
      <c r="J456" s="47" t="s">
        <v>579</v>
      </c>
      <c r="K456" s="51" t="str">
        <f>VLOOKUP(Table3[[#This Row],[SPECIFIC COMMODITY]],TAGS!$W$48:$X$53,2,FALSE)</f>
        <v>Cassava</v>
      </c>
      <c r="L456" s="51" t="str">
        <f>VLOOKUP(Table3[[#This Row],[PREXC SUB-PROGRAM]],Table5[],2,FALSE)</f>
        <v>AGRICULTURAL  MACHINERY, EQUIPMENT, FACILITIES AND INFRASTRUCTURE PROGRAM</v>
      </c>
      <c r="M456" s="51" t="str">
        <f>VLOOKUP(Table3[[#This Row],[COMMODITY PREXC SUB-PROGRAM]],TAGS!$U$54:$V$76,2,FALSE)</f>
        <v>AMEFSS</v>
      </c>
      <c r="N456" s="47" t="s">
        <v>595</v>
      </c>
      <c r="O456" s="54" t="str">
        <f>VLOOKUP(Table3[[#This Row],[PI LEVEL 3]],'PI LEVEL'!A:C,3,FALSE)</f>
        <v>Other infrastructure constructed</v>
      </c>
      <c r="P456" s="54" t="str">
        <f>VLOOKUP(Table3[[#This Row],[PI LEVEL 3]],Table53729[[Performance Indicator Level 3]:[Performance Indicator Level 1]],2,FALSE)</f>
        <v>Other infrastructure constructed</v>
      </c>
      <c r="Q456" s="54" t="str">
        <f>VLOOKUP(Table3[[#This Row],[ACTIVITY]],TAGS!B:P,2,FALSE)</f>
        <v>Water treatment system facility constructed</v>
      </c>
      <c r="R456" s="47" t="s">
        <v>198</v>
      </c>
      <c r="S456" s="51" t="str">
        <f>VLOOKUP(Table3[[#This Row],[ACTIVITY]],TAGS!$B:$P,4,FALSE)</f>
        <v>Processing related machinery &amp; equipment</v>
      </c>
      <c r="T456" s="51" t="str">
        <f>VLOOKUP(Table3[[#This Row],[ACTIVITY]],TAGS!$B:$P,5,FALSE)</f>
        <v>Processing-related</v>
      </c>
      <c r="U456" s="51" t="str">
        <f>VLOOKUP(Table3[[#This Row],[ACTIVITY]],TAGS!$B:$P,6,FALSE)</f>
        <v>Waster Water Treatment System</v>
      </c>
      <c r="V456" s="51" t="str">
        <f>VLOOKUP(Table3[[#This Row],[ACTIVITY]],TAGS!$B:$P,7,FALSE)</f>
        <v>NO</v>
      </c>
      <c r="W456" s="51" t="str">
        <f>VLOOKUP(Table3[[#This Row],[ACTIVITY]],TAGS!$B:$P,8,FALSE)</f>
        <v>PAP</v>
      </c>
      <c r="X456" s="51" t="str">
        <f>VLOOKUP(Table3[[#This Row],[ACTIVITY]],TAGS!$B:$P,10,FALSE)</f>
        <v>PIP</v>
      </c>
      <c r="Y456" s="51" t="str">
        <f>VLOOKUP(Table3[[#This Row],[ACTIVITY]],TAGS!$B:$P,11,FALSE)</f>
        <v>PICS</v>
      </c>
      <c r="Z456" s="51" t="str">
        <f>VLOOKUP(Table3[[#This Row],[ACTIVITY]],TAGS!$B:$P,12,FALSE)</f>
        <v>Modernization</v>
      </c>
      <c r="AA456" s="51" t="str">
        <f>VLOOKUP(Table3[[#This Row],[ACTIVITY]],TAGS!$B:$P,13,FALSE)</f>
        <v>8. Farm Mechanization and Farm Investments</v>
      </c>
      <c r="AB456" s="51" t="str">
        <f>VLOOKUP(Table3[[#This Row],[ACTIVITY]],TAGS!$B:$P,14,FALSE)</f>
        <v>DEVELOP AND IMPROVE POST-HARVEST SYSTEMS AND INFRASTRUCTURE</v>
      </c>
      <c r="AC456" s="51" t="str">
        <f>VLOOKUP(Table3[[#This Row],[ACTIVITY]],TAGS!$B:$P,15,FALSE)</f>
        <v>Processing facilities</v>
      </c>
      <c r="AD456" s="51" t="str">
        <f>VLOOKUP(Table3[[#This Row],[PI LEVEL 3]],'PI LEVEL'!$A:$G,7,FALSE)</f>
        <v>DA-Level Output</v>
      </c>
      <c r="AE456" s="47" t="s">
        <v>577</v>
      </c>
      <c r="AF456" s="51" t="str">
        <f>VLOOKUP(Table3[[#This Row],[ACTIVITY]],TAGS!$B:$P,3,FALSE)</f>
        <v>number</v>
      </c>
      <c r="AG456" s="47" t="s">
        <v>338</v>
      </c>
      <c r="AH456" s="51" t="str">
        <f>VLOOKUP(Table3[[#This Row],[MONTH]],TAGS!$W$67:$Y$81,2,FALSE)</f>
        <v>4TH QTR</v>
      </c>
      <c r="AI456" s="51" t="str">
        <f>VLOOKUP(Table3[[#This Row],[MONTH]],TAGS!$W$67:$Y$81,3,FALSE)</f>
        <v>2ND SEMESTER</v>
      </c>
      <c r="AJ456" s="51">
        <f>VLOOKUP(Table3[[#This Row],[MONTH]],TAGS!$W$67:$Z$81,4,FALSE)</f>
        <v>2025</v>
      </c>
      <c r="AK456" s="47">
        <v>1</v>
      </c>
      <c r="AL456" s="51" t="str">
        <f>VLOOKUP(Table3[[#This Row],[ACTIVITY]],TAGS!$B:$R,16,FALSE)</f>
        <v>NO</v>
      </c>
      <c r="AM456" s="47"/>
      <c r="AN456" s="47">
        <v>20000</v>
      </c>
      <c r="AO456" s="57">
        <f>SUM(Table3[[#This Row],[MALE BENEFICIARIES]:[FEMALE BENEFICIARIES]])</f>
        <v>0</v>
      </c>
      <c r="AP456" s="58"/>
      <c r="AQ456" s="58"/>
      <c r="AR456" s="58"/>
      <c r="AS456" s="58">
        <v>1</v>
      </c>
      <c r="AT456" s="59" t="str">
        <f>VLOOKUP(Table3[[#This Row],[ACTIVITY]],TAGS!$B:$R,17,FALSE)</f>
        <v>YES</v>
      </c>
      <c r="AU456" s="59"/>
      <c r="AV456" s="59"/>
      <c r="AW456" s="59"/>
      <c r="AX456" s="59"/>
      <c r="AY456" s="59"/>
      <c r="AZ456" s="59"/>
      <c r="BA456" s="59"/>
      <c r="BB456" s="59"/>
      <c r="BC456" s="59"/>
      <c r="BD456" s="59"/>
      <c r="BE456" s="59"/>
      <c r="BF456" s="59"/>
      <c r="BG456" s="59"/>
      <c r="BH456" s="59"/>
      <c r="BI456" s="59"/>
      <c r="BJ456" s="59"/>
      <c r="BK456" s="59"/>
      <c r="BL456" s="59"/>
      <c r="BM456" s="59"/>
    </row>
    <row r="457" spans="1:65">
      <c r="A457" s="51" t="str">
        <f>VLOOKUP(Table3[[#This Row],[OU]],OU!$A$15:$B$34,2,FALSE)</f>
        <v>RFOs</v>
      </c>
      <c r="B457" s="47" t="s">
        <v>5</v>
      </c>
      <c r="C457" s="47" t="s">
        <v>574</v>
      </c>
      <c r="D457" s="47" t="s">
        <v>738</v>
      </c>
      <c r="E457" s="47" t="s">
        <v>22</v>
      </c>
      <c r="F457" s="47" t="s">
        <v>619</v>
      </c>
      <c r="G45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45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21502000</v>
      </c>
      <c r="I457" s="52" t="str">
        <f>VLOOKUP(Table3[[#This Row],[PSGC]],DISTRICT!$D:$G,4,FALSE)</f>
        <v>3rd</v>
      </c>
      <c r="J457" s="47" t="s">
        <v>578</v>
      </c>
      <c r="K457" s="51" t="str">
        <f>VLOOKUP(Table3[[#This Row],[SPECIFIC COMMODITY]],TAGS!$W$48:$X$53,2,FALSE)</f>
        <v>Corn</v>
      </c>
      <c r="L457" s="51" t="str">
        <f>VLOOKUP(Table3[[#This Row],[PREXC SUB-PROGRAM]],Table5[],2,FALSE)</f>
        <v>AGRICULTURAL  MACHINERY, EQUIPMENT, FACILITIES AND INFRASTRUCTURE PROGRAM</v>
      </c>
      <c r="M457" s="51" t="str">
        <f>VLOOKUP(Table3[[#This Row],[COMMODITY PREXC SUB-PROGRAM]],TAGS!$U$54:$V$76,2,FALSE)</f>
        <v>INS</v>
      </c>
      <c r="N457" s="47" t="s">
        <v>596</v>
      </c>
      <c r="O457" s="54" t="str">
        <f>VLOOKUP(Table3[[#This Row],[PI LEVEL 3]],'PI LEVEL'!A:C,3,FALSE)</f>
        <v>Irrigation machinery distributed</v>
      </c>
      <c r="P457" s="54" t="str">
        <f>VLOOKUP(Table3[[#This Row],[PI LEVEL 3]],Table53729[[Performance Indicator Level 3]:[Performance Indicator Level 1]],2,FALSE)</f>
        <v>Irrigation machinery distributed</v>
      </c>
      <c r="Q457" s="54" t="str">
        <f>VLOOKUP(Table3[[#This Row],[ACTIVITY]],TAGS!B:P,2,FALSE)</f>
        <v>Pump and Engine Set distributed</v>
      </c>
      <c r="R457" s="47" t="s">
        <v>210</v>
      </c>
      <c r="S457" s="51" t="str">
        <f>VLOOKUP(Table3[[#This Row],[ACTIVITY]],TAGS!$B:$P,4,FALSE)</f>
        <v>Small-scale Irrigation Projects</v>
      </c>
      <c r="T457" s="51" t="str">
        <f>VLOOKUP(Table3[[#This Row],[ACTIVITY]],TAGS!$B:$P,5,FALSE)</f>
        <v>Small-scale Irrigation Projects (SSIPs)</v>
      </c>
      <c r="U457" s="51" t="str">
        <f>VLOOKUP(Table3[[#This Row],[ACTIVITY]],TAGS!$B:$P,6,FALSE)</f>
        <v>Open Source Pumping Set</v>
      </c>
      <c r="V457" s="51" t="str">
        <f>VLOOKUP(Table3[[#This Row],[ACTIVITY]],TAGS!$B:$P,7,FALSE)</f>
        <v>YES</v>
      </c>
      <c r="W457" s="51" t="str">
        <f>VLOOKUP(Table3[[#This Row],[ACTIVITY]],TAGS!$B:$P,8,FALSE)</f>
        <v>PAP</v>
      </c>
      <c r="X457" s="51" t="str">
        <f>VLOOKUP(Table3[[#This Row],[ACTIVITY]],TAGS!$B:$P,10,FALSE)</f>
        <v>PIP</v>
      </c>
      <c r="Y457" s="51" t="str">
        <f>VLOOKUP(Table3[[#This Row],[ACTIVITY]],TAGS!$B:$P,11,FALSE)</f>
        <v>PICS</v>
      </c>
      <c r="Z457" s="51" t="str">
        <f>VLOOKUP(Table3[[#This Row],[ACTIVITY]],TAGS!$B:$P,12,FALSE)</f>
        <v>Modernization</v>
      </c>
      <c r="AA457" s="51" t="str">
        <f>VLOOKUP(Table3[[#This Row],[ACTIVITY]],TAGS!$B:$P,13,FALSE)</f>
        <v>8. Farm Mechanization and Farm Investments</v>
      </c>
      <c r="AB457" s="51" t="str">
        <f>VLOOKUP(Table3[[#This Row],[ACTIVITY]],TAGS!$B:$P,14,FALSE)</f>
        <v>EXPAND AND IMPROVE AVAILABLE AGRI-FISHERY AREAS FOR INCREASED PRODUCTION</v>
      </c>
      <c r="AC457" s="51" t="str">
        <f>VLOOKUP(Table3[[#This Row],[ACTIVITY]],TAGS!$B:$P,15,FALSE)</f>
        <v>Irrigation</v>
      </c>
      <c r="AD457" s="51" t="str">
        <f>VLOOKUP(Table3[[#This Row],[PI LEVEL 3]],'PI LEVEL'!$A:$G,7,FALSE)</f>
        <v>DA-Level Output</v>
      </c>
      <c r="AE457" s="47" t="s">
        <v>577</v>
      </c>
      <c r="AF457" s="51" t="str">
        <f>VLOOKUP(Table3[[#This Row],[ACTIVITY]],TAGS!$B:$P,3,FALSE)</f>
        <v>number</v>
      </c>
      <c r="AG457" s="47" t="s">
        <v>334</v>
      </c>
      <c r="AH457" s="51" t="str">
        <f>VLOOKUP(Table3[[#This Row],[MONTH]],TAGS!$W$67:$Y$81,2,FALSE)</f>
        <v>3RD QTR</v>
      </c>
      <c r="AI457" s="51" t="str">
        <f>VLOOKUP(Table3[[#This Row],[MONTH]],TAGS!$W$67:$Y$81,3,FALSE)</f>
        <v>2ND SEMESTER</v>
      </c>
      <c r="AJ457" s="51">
        <f>VLOOKUP(Table3[[#This Row],[MONTH]],TAGS!$W$67:$Z$81,4,FALSE)</f>
        <v>2025</v>
      </c>
      <c r="AK457" s="47">
        <v>10</v>
      </c>
      <c r="AL457" s="51" t="str">
        <f>VLOOKUP(Table3[[#This Row],[ACTIVITY]],TAGS!$B:$R,16,FALSE)</f>
        <v>YES</v>
      </c>
      <c r="AM457" s="47">
        <v>30</v>
      </c>
      <c r="AN457" s="47">
        <v>1000</v>
      </c>
      <c r="AO457" s="57">
        <f>SUM(Table3[[#This Row],[MALE BENEFICIARIES]:[FEMALE BENEFICIARIES]])</f>
        <v>0</v>
      </c>
      <c r="AP457" s="58"/>
      <c r="AQ457" s="58"/>
      <c r="AR457" s="58"/>
      <c r="AS457" s="58">
        <v>1</v>
      </c>
      <c r="AT457" s="59" t="str">
        <f>VLOOKUP(Table3[[#This Row],[ACTIVITY]],TAGS!$B:$R,17,FALSE)</f>
        <v>YES</v>
      </c>
      <c r="AU457" s="59"/>
      <c r="AV457" s="59"/>
      <c r="AW457" s="59"/>
      <c r="AX457" s="59"/>
      <c r="AY457" s="59"/>
      <c r="AZ457" s="59"/>
      <c r="BA457" s="59"/>
      <c r="BB457" s="59"/>
      <c r="BC457" s="59"/>
      <c r="BD457" s="59"/>
      <c r="BE457" s="59"/>
      <c r="BF457" s="59"/>
      <c r="BG457" s="59"/>
      <c r="BH457" s="59"/>
      <c r="BI457" s="59"/>
      <c r="BJ457" s="59"/>
      <c r="BK457" s="59"/>
      <c r="BL457" s="59"/>
      <c r="BM457" s="59"/>
    </row>
    <row r="458" spans="1:65">
      <c r="A458" s="54" t="str">
        <f>VLOOKUP(Table3[[#This Row],[OU]],OU!$A$15:$B$34,2,FALSE)</f>
        <v>RFOs</v>
      </c>
      <c r="B458" s="47" t="s">
        <v>5</v>
      </c>
      <c r="C458" s="47" t="s">
        <v>574</v>
      </c>
      <c r="D458" s="60"/>
      <c r="E458" s="47" t="s">
        <v>22</v>
      </c>
      <c r="F458" s="47" t="s">
        <v>619</v>
      </c>
      <c r="G45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458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21502000</v>
      </c>
      <c r="I458" s="61" t="str">
        <f>VLOOKUP(Table3[[#This Row],[PSGC]],DISTRICT!$D:$G,4,FALSE)</f>
        <v>3rd</v>
      </c>
      <c r="J458" s="47" t="s">
        <v>578</v>
      </c>
      <c r="K458" s="51" t="str">
        <f>VLOOKUP(Table3[[#This Row],[SPECIFIC COMMODITY]],TAGS!$W$48:$X$53,2,FALSE)</f>
        <v>Corn</v>
      </c>
      <c r="L458" s="51" t="str">
        <f>VLOOKUP(Table3[[#This Row],[PREXC SUB-PROGRAM]],Table5[],2,FALSE)</f>
        <v>AGRICULTURAL  MACHINERY, EQUIPMENT, FACILITIES AND INFRASTRUCTURE PROGRAM</v>
      </c>
      <c r="M458" s="51" t="str">
        <f>VLOOKUP(Table3[[#This Row],[COMMODITY PREXC SUB-PROGRAM]],TAGS!$U$54:$V$76,2,FALSE)</f>
        <v>INS</v>
      </c>
      <c r="N458" s="47" t="s">
        <v>596</v>
      </c>
      <c r="O458" s="54" t="str">
        <f>VLOOKUP(Table3[[#This Row],[PI LEVEL 3]],'PI LEVEL'!A:C,3,FALSE)</f>
        <v>Service area generated from the establishment and installation of small-scale irrigation projects</v>
      </c>
      <c r="P458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458" s="54" t="str">
        <f>VLOOKUP(Table3[[#This Row],[ACTIVITY]],TAGS!B:P,2,FALSE)</f>
        <v>Service area generated from distribution of Pump and engine set</v>
      </c>
      <c r="R458" s="47" t="s">
        <v>214</v>
      </c>
      <c r="S458" s="54" t="str">
        <f>VLOOKUP(Table3[[#This Row],[ACTIVITY]],TAGS!$B:$P,4,FALSE)</f>
        <v>Service area generated</v>
      </c>
      <c r="T458" s="54" t="str">
        <f>VLOOKUP(Table3[[#This Row],[ACTIVITY]],TAGS!$B:$P,5,FALSE)</f>
        <v>Service area generated</v>
      </c>
      <c r="U458" s="54" t="str">
        <f>VLOOKUP(Table3[[#This Row],[ACTIVITY]],TAGS!$B:$P,6,FALSE)</f>
        <v>Service area generated</v>
      </c>
      <c r="V458" s="54" t="str">
        <f>VLOOKUP(Table3[[#This Row],[ACTIVITY]],TAGS!$B:$P,7,FALSE)</f>
        <v>NO</v>
      </c>
      <c r="W458" s="54" t="str">
        <f>VLOOKUP(Table3[[#This Row],[ACTIVITY]],TAGS!$B:$P,8,FALSE)</f>
        <v>PAP</v>
      </c>
      <c r="X458" s="54" t="str">
        <f>VLOOKUP(Table3[[#This Row],[ACTIVITY]],TAGS!$B:$P,10,FALSE)</f>
        <v>PIP</v>
      </c>
      <c r="Y458" s="54" t="str">
        <f>VLOOKUP(Table3[[#This Row],[ACTIVITY]],TAGS!$B:$P,11,FALSE)</f>
        <v>PICS</v>
      </c>
      <c r="Z458" s="54">
        <f>VLOOKUP(Table3[[#This Row],[ACTIVITY]],TAGS!$B:$P,12,FALSE)</f>
        <v>0</v>
      </c>
      <c r="AA458" s="54">
        <f>VLOOKUP(Table3[[#This Row],[ACTIVITY]],TAGS!$B:$P,13,FALSE)</f>
        <v>0</v>
      </c>
      <c r="AB458" s="54">
        <f>VLOOKUP(Table3[[#This Row],[ACTIVITY]],TAGS!$B:$P,14,FALSE)</f>
        <v>0</v>
      </c>
      <c r="AC458" s="54">
        <f>VLOOKUP(Table3[[#This Row],[ACTIVITY]],TAGS!$B:$P,15,FALSE)</f>
        <v>0</v>
      </c>
      <c r="AD458" s="54" t="str">
        <f>VLOOKUP(Table3[[#This Row],[PI LEVEL 3]],'PI LEVEL'!$A:$G,7,FALSE)</f>
        <v>PREXC/DA-Level Output</v>
      </c>
      <c r="AE458" s="47" t="s">
        <v>577</v>
      </c>
      <c r="AF458" s="54" t="str">
        <f>VLOOKUP(Table3[[#This Row],[ACTIVITY]],TAGS!$B:$P,3,FALSE)</f>
        <v>hectare</v>
      </c>
      <c r="AG458" s="47" t="s">
        <v>334</v>
      </c>
      <c r="AH458" s="54" t="str">
        <f>VLOOKUP(Table3[[#This Row],[MONTH]],TAGS!$W$67:$Y$81,2,FALSE)</f>
        <v>3RD QTR</v>
      </c>
      <c r="AI458" s="54" t="str">
        <f>VLOOKUP(Table3[[#This Row],[MONTH]],TAGS!$W$67:$Y$81,3,FALSE)</f>
        <v>2ND SEMESTER</v>
      </c>
      <c r="AJ458" s="54">
        <f>VLOOKUP(Table3[[#This Row],[MONTH]],TAGS!$W$67:$Z$81,4,FALSE)</f>
        <v>2025</v>
      </c>
      <c r="AK458" s="60">
        <v>30</v>
      </c>
      <c r="AL458" s="54" t="str">
        <f>VLOOKUP(Table3[[#This Row],[ACTIVITY]],TAGS!$B:$R,16,FALSE)</f>
        <v>NO</v>
      </c>
      <c r="AM458" s="60"/>
      <c r="AN458" s="60"/>
      <c r="AO458" s="57">
        <f>SUM(Table3[[#This Row],[MALE BENEFICIARIES]:[FEMALE BENEFICIARIES]])</f>
        <v>0</v>
      </c>
      <c r="AP458" s="62"/>
      <c r="AQ458" s="62"/>
      <c r="AR458" s="62"/>
      <c r="AS458" s="62"/>
      <c r="AT458" s="63" t="str">
        <f>VLOOKUP(Table3[[#This Row],[ACTIVITY]],TAGS!$B:$R,17,FALSE)</f>
        <v>NO</v>
      </c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  <c r="BI458" s="63"/>
      <c r="BJ458" s="63"/>
      <c r="BK458" s="63"/>
      <c r="BL458" s="63"/>
      <c r="BM458" s="63"/>
    </row>
    <row r="459" spans="1:65">
      <c r="A459" s="51" t="str">
        <f>VLOOKUP(Table3[[#This Row],[OU]],OU!$A$15:$B$34,2,FALSE)</f>
        <v>RFOs</v>
      </c>
      <c r="B459" s="47" t="s">
        <v>5</v>
      </c>
      <c r="C459" s="47" t="s">
        <v>574</v>
      </c>
      <c r="D459" s="47" t="s">
        <v>739</v>
      </c>
      <c r="E459" s="47" t="s">
        <v>22</v>
      </c>
      <c r="F459" s="47" t="s">
        <v>619</v>
      </c>
      <c r="G45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45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21502000</v>
      </c>
      <c r="I459" s="52" t="str">
        <f>VLOOKUP(Table3[[#This Row],[PSGC]],DISTRICT!$D:$G,4,FALSE)</f>
        <v>3rd</v>
      </c>
      <c r="J459" s="47" t="s">
        <v>578</v>
      </c>
      <c r="K459" s="51" t="str">
        <f>VLOOKUP(Table3[[#This Row],[SPECIFIC COMMODITY]],TAGS!$W$48:$X$53,2,FALSE)</f>
        <v>Corn</v>
      </c>
      <c r="L459" s="51" t="str">
        <f>VLOOKUP(Table3[[#This Row],[PREXC SUB-PROGRAM]],Table5[],2,FALSE)</f>
        <v>AGRICULTURAL  MACHINERY, EQUIPMENT, FACILITIES AND INFRASTRUCTURE PROGRAM</v>
      </c>
      <c r="M459" s="51" t="str">
        <f>VLOOKUP(Table3[[#This Row],[COMMODITY PREXC SUB-PROGRAM]],TAGS!$U$54:$V$76,2,FALSE)</f>
        <v>INS</v>
      </c>
      <c r="N459" s="47" t="s">
        <v>596</v>
      </c>
      <c r="O459" s="54" t="str">
        <f>VLOOKUP(Table3[[#This Row],[PI LEVEL 3]],'PI LEVEL'!A:C,3,FALSE)</f>
        <v>Irrigation machinery distributed</v>
      </c>
      <c r="P459" s="54" t="str">
        <f>VLOOKUP(Table3[[#This Row],[PI LEVEL 3]],Table53729[[Performance Indicator Level 3]:[Performance Indicator Level 1]],2,FALSE)</f>
        <v>Irrigation machinery distributed</v>
      </c>
      <c r="Q459" s="54" t="str">
        <f>VLOOKUP(Table3[[#This Row],[ACTIVITY]],TAGS!B:P,2,FALSE)</f>
        <v>Pump and Engine Set distributed</v>
      </c>
      <c r="R459" s="47" t="s">
        <v>210</v>
      </c>
      <c r="S459" s="51" t="str">
        <f>VLOOKUP(Table3[[#This Row],[ACTIVITY]],TAGS!$B:$P,4,FALSE)</f>
        <v>Small-scale Irrigation Projects</v>
      </c>
      <c r="T459" s="51" t="str">
        <f>VLOOKUP(Table3[[#This Row],[ACTIVITY]],TAGS!$B:$P,5,FALSE)</f>
        <v>Small-scale Irrigation Projects (SSIPs)</v>
      </c>
      <c r="U459" s="51" t="str">
        <f>VLOOKUP(Table3[[#This Row],[ACTIVITY]],TAGS!$B:$P,6,FALSE)</f>
        <v>Open Source Pumping Set</v>
      </c>
      <c r="V459" s="51" t="str">
        <f>VLOOKUP(Table3[[#This Row],[ACTIVITY]],TAGS!$B:$P,7,FALSE)</f>
        <v>YES</v>
      </c>
      <c r="W459" s="51" t="str">
        <f>VLOOKUP(Table3[[#This Row],[ACTIVITY]],TAGS!$B:$P,8,FALSE)</f>
        <v>PAP</v>
      </c>
      <c r="X459" s="51" t="str">
        <f>VLOOKUP(Table3[[#This Row],[ACTIVITY]],TAGS!$B:$P,10,FALSE)</f>
        <v>PIP</v>
      </c>
      <c r="Y459" s="51" t="str">
        <f>VLOOKUP(Table3[[#This Row],[ACTIVITY]],TAGS!$B:$P,11,FALSE)</f>
        <v>PICS</v>
      </c>
      <c r="Z459" s="51" t="str">
        <f>VLOOKUP(Table3[[#This Row],[ACTIVITY]],TAGS!$B:$P,12,FALSE)</f>
        <v>Modernization</v>
      </c>
      <c r="AA459" s="51" t="str">
        <f>VLOOKUP(Table3[[#This Row],[ACTIVITY]],TAGS!$B:$P,13,FALSE)</f>
        <v>8. Farm Mechanization and Farm Investments</v>
      </c>
      <c r="AB459" s="51" t="str">
        <f>VLOOKUP(Table3[[#This Row],[ACTIVITY]],TAGS!$B:$P,14,FALSE)</f>
        <v>EXPAND AND IMPROVE AVAILABLE AGRI-FISHERY AREAS FOR INCREASED PRODUCTION</v>
      </c>
      <c r="AC459" s="51" t="str">
        <f>VLOOKUP(Table3[[#This Row],[ACTIVITY]],TAGS!$B:$P,15,FALSE)</f>
        <v>Irrigation</v>
      </c>
      <c r="AD459" s="51" t="str">
        <f>VLOOKUP(Table3[[#This Row],[PI LEVEL 3]],'PI LEVEL'!$A:$G,7,FALSE)</f>
        <v>DA-Level Output</v>
      </c>
      <c r="AE459" s="47" t="s">
        <v>577</v>
      </c>
      <c r="AF459" s="51" t="str">
        <f>VLOOKUP(Table3[[#This Row],[ACTIVITY]],TAGS!$B:$P,3,FALSE)</f>
        <v>number</v>
      </c>
      <c r="AG459" s="47" t="s">
        <v>334</v>
      </c>
      <c r="AH459" s="51" t="str">
        <f>VLOOKUP(Table3[[#This Row],[MONTH]],TAGS!$W$67:$Y$81,2,FALSE)</f>
        <v>3RD QTR</v>
      </c>
      <c r="AI459" s="51" t="str">
        <f>VLOOKUP(Table3[[#This Row],[MONTH]],TAGS!$W$67:$Y$81,3,FALSE)</f>
        <v>2ND SEMESTER</v>
      </c>
      <c r="AJ459" s="51">
        <f>VLOOKUP(Table3[[#This Row],[MONTH]],TAGS!$W$67:$Z$81,4,FALSE)</f>
        <v>2025</v>
      </c>
      <c r="AK459" s="47">
        <v>10</v>
      </c>
      <c r="AL459" s="51" t="str">
        <f>VLOOKUP(Table3[[#This Row],[ACTIVITY]],TAGS!$B:$R,16,FALSE)</f>
        <v>YES</v>
      </c>
      <c r="AM459" s="47">
        <v>30</v>
      </c>
      <c r="AN459" s="47">
        <v>1000</v>
      </c>
      <c r="AO459" s="57">
        <f>SUM(Table3[[#This Row],[MALE BENEFICIARIES]:[FEMALE BENEFICIARIES]])</f>
        <v>0</v>
      </c>
      <c r="AP459" s="58"/>
      <c r="AQ459" s="58"/>
      <c r="AR459" s="58"/>
      <c r="AS459" s="58">
        <v>1</v>
      </c>
      <c r="AT459" s="59" t="str">
        <f>VLOOKUP(Table3[[#This Row],[ACTIVITY]],TAGS!$B:$R,17,FALSE)</f>
        <v>YES</v>
      </c>
      <c r="AU459" s="59"/>
      <c r="AV459" s="59"/>
      <c r="AW459" s="59"/>
      <c r="AX459" s="59"/>
      <c r="AY459" s="59"/>
      <c r="AZ459" s="59"/>
      <c r="BA459" s="59"/>
      <c r="BB459" s="59"/>
      <c r="BC459" s="59"/>
      <c r="BD459" s="59"/>
      <c r="BE459" s="59"/>
      <c r="BF459" s="59"/>
      <c r="BG459" s="59"/>
      <c r="BH459" s="59"/>
      <c r="BI459" s="59"/>
      <c r="BJ459" s="59"/>
      <c r="BK459" s="59"/>
      <c r="BL459" s="59"/>
      <c r="BM459" s="59"/>
    </row>
    <row r="460" spans="1:65">
      <c r="A460" s="54" t="str">
        <f>VLOOKUP(Table3[[#This Row],[OU]],OU!$A$15:$B$34,2,FALSE)</f>
        <v>RFOs</v>
      </c>
      <c r="B460" s="47" t="s">
        <v>5</v>
      </c>
      <c r="C460" s="47" t="s">
        <v>574</v>
      </c>
      <c r="D460" s="60"/>
      <c r="E460" s="47" t="s">
        <v>22</v>
      </c>
      <c r="F460" s="47" t="s">
        <v>619</v>
      </c>
      <c r="G46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460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21502000</v>
      </c>
      <c r="I460" s="61" t="str">
        <f>VLOOKUP(Table3[[#This Row],[PSGC]],DISTRICT!$D:$G,4,FALSE)</f>
        <v>3rd</v>
      </c>
      <c r="J460" s="47" t="s">
        <v>578</v>
      </c>
      <c r="K460" s="51" t="str">
        <f>VLOOKUP(Table3[[#This Row],[SPECIFIC COMMODITY]],TAGS!$W$48:$X$53,2,FALSE)</f>
        <v>Corn</v>
      </c>
      <c r="L460" s="51" t="str">
        <f>VLOOKUP(Table3[[#This Row],[PREXC SUB-PROGRAM]],Table5[],2,FALSE)</f>
        <v>AGRICULTURAL  MACHINERY, EQUIPMENT, FACILITIES AND INFRASTRUCTURE PROGRAM</v>
      </c>
      <c r="M460" s="51" t="str">
        <f>VLOOKUP(Table3[[#This Row],[COMMODITY PREXC SUB-PROGRAM]],TAGS!$U$54:$V$76,2,FALSE)</f>
        <v>INS</v>
      </c>
      <c r="N460" s="47" t="s">
        <v>596</v>
      </c>
      <c r="O460" s="54" t="str">
        <f>VLOOKUP(Table3[[#This Row],[PI LEVEL 3]],'PI LEVEL'!A:C,3,FALSE)</f>
        <v>Service area generated from the establishment and installation of small-scale irrigation projects</v>
      </c>
      <c r="P460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460" s="54" t="str">
        <f>VLOOKUP(Table3[[#This Row],[ACTIVITY]],TAGS!B:P,2,FALSE)</f>
        <v>Service area generated from distribution of Pump and engine set</v>
      </c>
      <c r="R460" s="47" t="s">
        <v>214</v>
      </c>
      <c r="S460" s="54" t="str">
        <f>VLOOKUP(Table3[[#This Row],[ACTIVITY]],TAGS!$B:$P,4,FALSE)</f>
        <v>Service area generated</v>
      </c>
      <c r="T460" s="54" t="str">
        <f>VLOOKUP(Table3[[#This Row],[ACTIVITY]],TAGS!$B:$P,5,FALSE)</f>
        <v>Service area generated</v>
      </c>
      <c r="U460" s="54" t="str">
        <f>VLOOKUP(Table3[[#This Row],[ACTIVITY]],TAGS!$B:$P,6,FALSE)</f>
        <v>Service area generated</v>
      </c>
      <c r="V460" s="54" t="str">
        <f>VLOOKUP(Table3[[#This Row],[ACTIVITY]],TAGS!$B:$P,7,FALSE)</f>
        <v>NO</v>
      </c>
      <c r="W460" s="54" t="str">
        <f>VLOOKUP(Table3[[#This Row],[ACTIVITY]],TAGS!$B:$P,8,FALSE)</f>
        <v>PAP</v>
      </c>
      <c r="X460" s="54" t="str">
        <f>VLOOKUP(Table3[[#This Row],[ACTIVITY]],TAGS!$B:$P,10,FALSE)</f>
        <v>PIP</v>
      </c>
      <c r="Y460" s="54" t="str">
        <f>VLOOKUP(Table3[[#This Row],[ACTIVITY]],TAGS!$B:$P,11,FALSE)</f>
        <v>PICS</v>
      </c>
      <c r="Z460" s="54">
        <f>VLOOKUP(Table3[[#This Row],[ACTIVITY]],TAGS!$B:$P,12,FALSE)</f>
        <v>0</v>
      </c>
      <c r="AA460" s="54">
        <f>VLOOKUP(Table3[[#This Row],[ACTIVITY]],TAGS!$B:$P,13,FALSE)</f>
        <v>0</v>
      </c>
      <c r="AB460" s="54">
        <f>VLOOKUP(Table3[[#This Row],[ACTIVITY]],TAGS!$B:$P,14,FALSE)</f>
        <v>0</v>
      </c>
      <c r="AC460" s="54">
        <f>VLOOKUP(Table3[[#This Row],[ACTIVITY]],TAGS!$B:$P,15,FALSE)</f>
        <v>0</v>
      </c>
      <c r="AD460" s="54" t="str">
        <f>VLOOKUP(Table3[[#This Row],[PI LEVEL 3]],'PI LEVEL'!$A:$G,7,FALSE)</f>
        <v>PREXC/DA-Level Output</v>
      </c>
      <c r="AE460" s="47" t="s">
        <v>577</v>
      </c>
      <c r="AF460" s="54" t="str">
        <f>VLOOKUP(Table3[[#This Row],[ACTIVITY]],TAGS!$B:$P,3,FALSE)</f>
        <v>hectare</v>
      </c>
      <c r="AG460" s="47" t="s">
        <v>334</v>
      </c>
      <c r="AH460" s="54" t="str">
        <f>VLOOKUP(Table3[[#This Row],[MONTH]],TAGS!$W$67:$Y$81,2,FALSE)</f>
        <v>3RD QTR</v>
      </c>
      <c r="AI460" s="54" t="str">
        <f>VLOOKUP(Table3[[#This Row],[MONTH]],TAGS!$W$67:$Y$81,3,FALSE)</f>
        <v>2ND SEMESTER</v>
      </c>
      <c r="AJ460" s="54">
        <f>VLOOKUP(Table3[[#This Row],[MONTH]],TAGS!$W$67:$Z$81,4,FALSE)</f>
        <v>2025</v>
      </c>
      <c r="AK460" s="60">
        <v>30</v>
      </c>
      <c r="AL460" s="54" t="str">
        <f>VLOOKUP(Table3[[#This Row],[ACTIVITY]],TAGS!$B:$R,16,FALSE)</f>
        <v>NO</v>
      </c>
      <c r="AM460" s="60"/>
      <c r="AN460" s="60"/>
      <c r="AO460" s="57">
        <f>SUM(Table3[[#This Row],[MALE BENEFICIARIES]:[FEMALE BENEFICIARIES]])</f>
        <v>0</v>
      </c>
      <c r="AP460" s="62"/>
      <c r="AQ460" s="62"/>
      <c r="AR460" s="62"/>
      <c r="AS460" s="62"/>
      <c r="AT460" s="63" t="str">
        <f>VLOOKUP(Table3[[#This Row],[ACTIVITY]],TAGS!$B:$R,17,FALSE)</f>
        <v>NO</v>
      </c>
      <c r="AU460" s="63"/>
      <c r="AV460" s="63"/>
      <c r="AW460" s="63"/>
      <c r="AX460" s="63"/>
      <c r="AY460" s="63"/>
      <c r="AZ460" s="63"/>
      <c r="BA460" s="63"/>
      <c r="BB460" s="63"/>
      <c r="BC460" s="63"/>
      <c r="BD460" s="63"/>
      <c r="BE460" s="63"/>
      <c r="BF460" s="63"/>
      <c r="BG460" s="63"/>
      <c r="BH460" s="63"/>
      <c r="BI460" s="63"/>
      <c r="BJ460" s="63"/>
      <c r="BK460" s="63"/>
      <c r="BL460" s="63"/>
      <c r="BM460" s="63"/>
    </row>
    <row r="461" spans="1:65">
      <c r="A461" s="51" t="str">
        <f>VLOOKUP(Table3[[#This Row],[OU]],OU!$A$15:$B$34,2,FALSE)</f>
        <v>RFOs</v>
      </c>
      <c r="B461" s="47" t="s">
        <v>5</v>
      </c>
      <c r="C461" s="47" t="s">
        <v>574</v>
      </c>
      <c r="D461" s="47" t="s">
        <v>637</v>
      </c>
      <c r="E461" s="47" t="s">
        <v>22</v>
      </c>
      <c r="F461" s="47" t="s">
        <v>619</v>
      </c>
      <c r="G46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46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21502000</v>
      </c>
      <c r="I461" s="52" t="str">
        <f>VLOOKUP(Table3[[#This Row],[PSGC]],DISTRICT!$D:$G,4,FALSE)</f>
        <v>3rd</v>
      </c>
      <c r="J461" s="47" t="s">
        <v>578</v>
      </c>
      <c r="K461" s="51" t="str">
        <f>VLOOKUP(Table3[[#This Row],[SPECIFIC COMMODITY]],TAGS!$W$48:$X$53,2,FALSE)</f>
        <v>Corn</v>
      </c>
      <c r="L461" s="51" t="str">
        <f>VLOOKUP(Table3[[#This Row],[PREXC SUB-PROGRAM]],Table5[],2,FALSE)</f>
        <v>AGRICULTURAL  MACHINERY, EQUIPMENT, FACILITIES AND INFRASTRUCTURE PROGRAM</v>
      </c>
      <c r="M461" s="51" t="str">
        <f>VLOOKUP(Table3[[#This Row],[COMMODITY PREXC SUB-PROGRAM]],TAGS!$U$54:$V$76,2,FALSE)</f>
        <v>INS</v>
      </c>
      <c r="N461" s="47" t="s">
        <v>596</v>
      </c>
      <c r="O461" s="54" t="str">
        <f>VLOOKUP(Table3[[#This Row],[PI LEVEL 3]],'PI LEVEL'!A:C,3,FALSE)</f>
        <v>Irrigation machinery distributed</v>
      </c>
      <c r="P461" s="54" t="str">
        <f>VLOOKUP(Table3[[#This Row],[PI LEVEL 3]],Table53729[[Performance Indicator Level 3]:[Performance Indicator Level 1]],2,FALSE)</f>
        <v>Irrigation machinery distributed</v>
      </c>
      <c r="Q461" s="54" t="str">
        <f>VLOOKUP(Table3[[#This Row],[ACTIVITY]],TAGS!B:P,2,FALSE)</f>
        <v>Pump and Engine Set distributed</v>
      </c>
      <c r="R461" s="47" t="s">
        <v>210</v>
      </c>
      <c r="S461" s="51" t="str">
        <f>VLOOKUP(Table3[[#This Row],[ACTIVITY]],TAGS!$B:$P,4,FALSE)</f>
        <v>Small-scale Irrigation Projects</v>
      </c>
      <c r="T461" s="51" t="str">
        <f>VLOOKUP(Table3[[#This Row],[ACTIVITY]],TAGS!$B:$P,5,FALSE)</f>
        <v>Small-scale Irrigation Projects (SSIPs)</v>
      </c>
      <c r="U461" s="51" t="str">
        <f>VLOOKUP(Table3[[#This Row],[ACTIVITY]],TAGS!$B:$P,6,FALSE)</f>
        <v>Open Source Pumping Set</v>
      </c>
      <c r="V461" s="51" t="str">
        <f>VLOOKUP(Table3[[#This Row],[ACTIVITY]],TAGS!$B:$P,7,FALSE)</f>
        <v>YES</v>
      </c>
      <c r="W461" s="51" t="str">
        <f>VLOOKUP(Table3[[#This Row],[ACTIVITY]],TAGS!$B:$P,8,FALSE)</f>
        <v>PAP</v>
      </c>
      <c r="X461" s="51" t="str">
        <f>VLOOKUP(Table3[[#This Row],[ACTIVITY]],TAGS!$B:$P,10,FALSE)</f>
        <v>PIP</v>
      </c>
      <c r="Y461" s="51" t="str">
        <f>VLOOKUP(Table3[[#This Row],[ACTIVITY]],TAGS!$B:$P,11,FALSE)</f>
        <v>PICS</v>
      </c>
      <c r="Z461" s="51" t="str">
        <f>VLOOKUP(Table3[[#This Row],[ACTIVITY]],TAGS!$B:$P,12,FALSE)</f>
        <v>Modernization</v>
      </c>
      <c r="AA461" s="51" t="str">
        <f>VLOOKUP(Table3[[#This Row],[ACTIVITY]],TAGS!$B:$P,13,FALSE)</f>
        <v>8. Farm Mechanization and Farm Investments</v>
      </c>
      <c r="AB461" s="51" t="str">
        <f>VLOOKUP(Table3[[#This Row],[ACTIVITY]],TAGS!$B:$P,14,FALSE)</f>
        <v>EXPAND AND IMPROVE AVAILABLE AGRI-FISHERY AREAS FOR INCREASED PRODUCTION</v>
      </c>
      <c r="AC461" s="51" t="str">
        <f>VLOOKUP(Table3[[#This Row],[ACTIVITY]],TAGS!$B:$P,15,FALSE)</f>
        <v>Irrigation</v>
      </c>
      <c r="AD461" s="51" t="str">
        <f>VLOOKUP(Table3[[#This Row],[PI LEVEL 3]],'PI LEVEL'!$A:$G,7,FALSE)</f>
        <v>DA-Level Output</v>
      </c>
      <c r="AE461" s="47" t="s">
        <v>577</v>
      </c>
      <c r="AF461" s="51" t="str">
        <f>VLOOKUP(Table3[[#This Row],[ACTIVITY]],TAGS!$B:$P,3,FALSE)</f>
        <v>number</v>
      </c>
      <c r="AG461" s="47" t="s">
        <v>334</v>
      </c>
      <c r="AH461" s="51" t="str">
        <f>VLOOKUP(Table3[[#This Row],[MONTH]],TAGS!$W$67:$Y$81,2,FALSE)</f>
        <v>3RD QTR</v>
      </c>
      <c r="AI461" s="51" t="str">
        <f>VLOOKUP(Table3[[#This Row],[MONTH]],TAGS!$W$67:$Y$81,3,FALSE)</f>
        <v>2ND SEMESTER</v>
      </c>
      <c r="AJ461" s="51">
        <f>VLOOKUP(Table3[[#This Row],[MONTH]],TAGS!$W$67:$Z$81,4,FALSE)</f>
        <v>2025</v>
      </c>
      <c r="AK461" s="47">
        <v>10</v>
      </c>
      <c r="AL461" s="51" t="str">
        <f>VLOOKUP(Table3[[#This Row],[ACTIVITY]],TAGS!$B:$R,16,FALSE)</f>
        <v>YES</v>
      </c>
      <c r="AM461" s="47">
        <v>30</v>
      </c>
      <c r="AN461" s="47">
        <v>1000</v>
      </c>
      <c r="AO461" s="57">
        <f>SUM(Table3[[#This Row],[MALE BENEFICIARIES]:[FEMALE BENEFICIARIES]])</f>
        <v>0</v>
      </c>
      <c r="AP461" s="58"/>
      <c r="AQ461" s="58"/>
      <c r="AR461" s="58"/>
      <c r="AS461" s="58">
        <v>1</v>
      </c>
      <c r="AT461" s="59" t="str">
        <f>VLOOKUP(Table3[[#This Row],[ACTIVITY]],TAGS!$B:$R,17,FALSE)</f>
        <v>YES</v>
      </c>
      <c r="AU461" s="59"/>
      <c r="AV461" s="59"/>
      <c r="AW461" s="59"/>
      <c r="AX461" s="59"/>
      <c r="AY461" s="59"/>
      <c r="AZ461" s="59"/>
      <c r="BA461" s="59"/>
      <c r="BB461" s="59"/>
      <c r="BC461" s="59"/>
      <c r="BD461" s="59"/>
      <c r="BE461" s="59"/>
      <c r="BF461" s="59"/>
      <c r="BG461" s="59"/>
      <c r="BH461" s="59"/>
      <c r="BI461" s="59"/>
      <c r="BJ461" s="59"/>
      <c r="BK461" s="59"/>
      <c r="BL461" s="59"/>
      <c r="BM461" s="59"/>
    </row>
    <row r="462" spans="1:65">
      <c r="A462" s="54" t="str">
        <f>VLOOKUP(Table3[[#This Row],[OU]],OU!$A$15:$B$34,2,FALSE)</f>
        <v>RFOs</v>
      </c>
      <c r="B462" s="47" t="s">
        <v>5</v>
      </c>
      <c r="C462" s="47" t="s">
        <v>574</v>
      </c>
      <c r="D462" s="60"/>
      <c r="E462" s="47" t="s">
        <v>22</v>
      </c>
      <c r="F462" s="47" t="s">
        <v>619</v>
      </c>
      <c r="G46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1st District</v>
      </c>
      <c r="H462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21502000</v>
      </c>
      <c r="I462" s="61" t="str">
        <f>VLOOKUP(Table3[[#This Row],[PSGC]],DISTRICT!$D:$G,4,FALSE)</f>
        <v>3rd</v>
      </c>
      <c r="J462" s="47" t="s">
        <v>578</v>
      </c>
      <c r="K462" s="51" t="str">
        <f>VLOOKUP(Table3[[#This Row],[SPECIFIC COMMODITY]],TAGS!$W$48:$X$53,2,FALSE)</f>
        <v>Corn</v>
      </c>
      <c r="L462" s="51" t="str">
        <f>VLOOKUP(Table3[[#This Row],[PREXC SUB-PROGRAM]],Table5[],2,FALSE)</f>
        <v>AGRICULTURAL  MACHINERY, EQUIPMENT, FACILITIES AND INFRASTRUCTURE PROGRAM</v>
      </c>
      <c r="M462" s="51" t="str">
        <f>VLOOKUP(Table3[[#This Row],[COMMODITY PREXC SUB-PROGRAM]],TAGS!$U$54:$V$76,2,FALSE)</f>
        <v>INS</v>
      </c>
      <c r="N462" s="47" t="s">
        <v>596</v>
      </c>
      <c r="O462" s="54" t="str">
        <f>VLOOKUP(Table3[[#This Row],[PI LEVEL 3]],'PI LEVEL'!A:C,3,FALSE)</f>
        <v>Service area generated from the establishment and installation of small-scale irrigation projects</v>
      </c>
      <c r="P462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462" s="54" t="str">
        <f>VLOOKUP(Table3[[#This Row],[ACTIVITY]],TAGS!B:P,2,FALSE)</f>
        <v>Service area generated from distribution of Pump and engine set</v>
      </c>
      <c r="R462" s="47" t="s">
        <v>214</v>
      </c>
      <c r="S462" s="54" t="str">
        <f>VLOOKUP(Table3[[#This Row],[ACTIVITY]],TAGS!$B:$P,4,FALSE)</f>
        <v>Service area generated</v>
      </c>
      <c r="T462" s="54" t="str">
        <f>VLOOKUP(Table3[[#This Row],[ACTIVITY]],TAGS!$B:$P,5,FALSE)</f>
        <v>Service area generated</v>
      </c>
      <c r="U462" s="54" t="str">
        <f>VLOOKUP(Table3[[#This Row],[ACTIVITY]],TAGS!$B:$P,6,FALSE)</f>
        <v>Service area generated</v>
      </c>
      <c r="V462" s="54" t="str">
        <f>VLOOKUP(Table3[[#This Row],[ACTIVITY]],TAGS!$B:$P,7,FALSE)</f>
        <v>NO</v>
      </c>
      <c r="W462" s="54" t="str">
        <f>VLOOKUP(Table3[[#This Row],[ACTIVITY]],TAGS!$B:$P,8,FALSE)</f>
        <v>PAP</v>
      </c>
      <c r="X462" s="54" t="str">
        <f>VLOOKUP(Table3[[#This Row],[ACTIVITY]],TAGS!$B:$P,10,FALSE)</f>
        <v>PIP</v>
      </c>
      <c r="Y462" s="54" t="str">
        <f>VLOOKUP(Table3[[#This Row],[ACTIVITY]],TAGS!$B:$P,11,FALSE)</f>
        <v>PICS</v>
      </c>
      <c r="Z462" s="54">
        <f>VLOOKUP(Table3[[#This Row],[ACTIVITY]],TAGS!$B:$P,12,FALSE)</f>
        <v>0</v>
      </c>
      <c r="AA462" s="54">
        <f>VLOOKUP(Table3[[#This Row],[ACTIVITY]],TAGS!$B:$P,13,FALSE)</f>
        <v>0</v>
      </c>
      <c r="AB462" s="54">
        <f>VLOOKUP(Table3[[#This Row],[ACTIVITY]],TAGS!$B:$P,14,FALSE)</f>
        <v>0</v>
      </c>
      <c r="AC462" s="54">
        <f>VLOOKUP(Table3[[#This Row],[ACTIVITY]],TAGS!$B:$P,15,FALSE)</f>
        <v>0</v>
      </c>
      <c r="AD462" s="54" t="str">
        <f>VLOOKUP(Table3[[#This Row],[PI LEVEL 3]],'PI LEVEL'!$A:$G,7,FALSE)</f>
        <v>PREXC/DA-Level Output</v>
      </c>
      <c r="AE462" s="47" t="s">
        <v>577</v>
      </c>
      <c r="AF462" s="54" t="str">
        <f>VLOOKUP(Table3[[#This Row],[ACTIVITY]],TAGS!$B:$P,3,FALSE)</f>
        <v>hectare</v>
      </c>
      <c r="AG462" s="47" t="s">
        <v>334</v>
      </c>
      <c r="AH462" s="54" t="str">
        <f>VLOOKUP(Table3[[#This Row],[MONTH]],TAGS!$W$67:$Y$81,2,FALSE)</f>
        <v>3RD QTR</v>
      </c>
      <c r="AI462" s="54" t="str">
        <f>VLOOKUP(Table3[[#This Row],[MONTH]],TAGS!$W$67:$Y$81,3,FALSE)</f>
        <v>2ND SEMESTER</v>
      </c>
      <c r="AJ462" s="54">
        <f>VLOOKUP(Table3[[#This Row],[MONTH]],TAGS!$W$67:$Z$81,4,FALSE)</f>
        <v>2025</v>
      </c>
      <c r="AK462" s="60">
        <v>30</v>
      </c>
      <c r="AL462" s="54" t="str">
        <f>VLOOKUP(Table3[[#This Row],[ACTIVITY]],TAGS!$B:$R,16,FALSE)</f>
        <v>NO</v>
      </c>
      <c r="AM462" s="60"/>
      <c r="AN462" s="60"/>
      <c r="AO462" s="57">
        <f>SUM(Table3[[#This Row],[MALE BENEFICIARIES]:[FEMALE BENEFICIARIES]])</f>
        <v>0</v>
      </c>
      <c r="AP462" s="62"/>
      <c r="AQ462" s="62"/>
      <c r="AR462" s="62"/>
      <c r="AS462" s="62"/>
      <c r="AT462" s="63" t="str">
        <f>VLOOKUP(Table3[[#This Row],[ACTIVITY]],TAGS!$B:$R,17,FALSE)</f>
        <v>NO</v>
      </c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</row>
    <row r="463" spans="1:65">
      <c r="A463" s="51" t="str">
        <f>VLOOKUP(Table3[[#This Row],[OU]],OU!$A$15:$B$34,2,FALSE)</f>
        <v>RFOs</v>
      </c>
      <c r="B463" s="47" t="s">
        <v>5</v>
      </c>
      <c r="C463" s="47" t="s">
        <v>574</v>
      </c>
      <c r="D463" s="47" t="s">
        <v>740</v>
      </c>
      <c r="E463" s="47" t="s">
        <v>22</v>
      </c>
      <c r="F463" s="47" t="s">
        <v>652</v>
      </c>
      <c r="G46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46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21520000</v>
      </c>
      <c r="I463" s="52" t="str">
        <f>VLOOKUP(Table3[[#This Row],[PSGC]],DISTRICT!$D:$G,4,FALSE)</f>
        <v>4th</v>
      </c>
      <c r="J463" s="47" t="s">
        <v>578</v>
      </c>
      <c r="K463" s="51" t="str">
        <f>VLOOKUP(Table3[[#This Row],[SPECIFIC COMMODITY]],TAGS!$W$48:$X$53,2,FALSE)</f>
        <v>Corn</v>
      </c>
      <c r="L463" s="51" t="str">
        <f>VLOOKUP(Table3[[#This Row],[PREXC SUB-PROGRAM]],Table5[],2,FALSE)</f>
        <v>AGRICULTURAL  MACHINERY, EQUIPMENT, FACILITIES AND INFRASTRUCTURE PROGRAM</v>
      </c>
      <c r="M463" s="51" t="str">
        <f>VLOOKUP(Table3[[#This Row],[COMMODITY PREXC SUB-PROGRAM]],TAGS!$U$54:$V$76,2,FALSE)</f>
        <v>INS</v>
      </c>
      <c r="N463" s="47" t="s">
        <v>596</v>
      </c>
      <c r="O463" s="54" t="str">
        <f>VLOOKUP(Table3[[#This Row],[PI LEVEL 3]],'PI LEVEL'!A:C,3,FALSE)</f>
        <v>Irrigation machinery distributed</v>
      </c>
      <c r="P463" s="54" t="str">
        <f>VLOOKUP(Table3[[#This Row],[PI LEVEL 3]],Table53729[[Performance Indicator Level 3]:[Performance Indicator Level 1]],2,FALSE)</f>
        <v>Irrigation machinery distributed</v>
      </c>
      <c r="Q463" s="54" t="str">
        <f>VLOOKUP(Table3[[#This Row],[ACTIVITY]],TAGS!B:P,2,FALSE)</f>
        <v>Pump and Engine Set distributed</v>
      </c>
      <c r="R463" s="47" t="s">
        <v>210</v>
      </c>
      <c r="S463" s="51" t="str">
        <f>VLOOKUP(Table3[[#This Row],[ACTIVITY]],TAGS!$B:$P,4,FALSE)</f>
        <v>Small-scale Irrigation Projects</v>
      </c>
      <c r="T463" s="51" t="str">
        <f>VLOOKUP(Table3[[#This Row],[ACTIVITY]],TAGS!$B:$P,5,FALSE)</f>
        <v>Small-scale Irrigation Projects (SSIPs)</v>
      </c>
      <c r="U463" s="51" t="str">
        <f>VLOOKUP(Table3[[#This Row],[ACTIVITY]],TAGS!$B:$P,6,FALSE)</f>
        <v>Open Source Pumping Set</v>
      </c>
      <c r="V463" s="51" t="str">
        <f>VLOOKUP(Table3[[#This Row],[ACTIVITY]],TAGS!$B:$P,7,FALSE)</f>
        <v>YES</v>
      </c>
      <c r="W463" s="51" t="str">
        <f>VLOOKUP(Table3[[#This Row],[ACTIVITY]],TAGS!$B:$P,8,FALSE)</f>
        <v>PAP</v>
      </c>
      <c r="X463" s="51" t="str">
        <f>VLOOKUP(Table3[[#This Row],[ACTIVITY]],TAGS!$B:$P,10,FALSE)</f>
        <v>PIP</v>
      </c>
      <c r="Y463" s="51" t="str">
        <f>VLOOKUP(Table3[[#This Row],[ACTIVITY]],TAGS!$B:$P,11,FALSE)</f>
        <v>PICS</v>
      </c>
      <c r="Z463" s="51" t="str">
        <f>VLOOKUP(Table3[[#This Row],[ACTIVITY]],TAGS!$B:$P,12,FALSE)</f>
        <v>Modernization</v>
      </c>
      <c r="AA463" s="51" t="str">
        <f>VLOOKUP(Table3[[#This Row],[ACTIVITY]],TAGS!$B:$P,13,FALSE)</f>
        <v>8. Farm Mechanization and Farm Investments</v>
      </c>
      <c r="AB463" s="51" t="str">
        <f>VLOOKUP(Table3[[#This Row],[ACTIVITY]],TAGS!$B:$P,14,FALSE)</f>
        <v>EXPAND AND IMPROVE AVAILABLE AGRI-FISHERY AREAS FOR INCREASED PRODUCTION</v>
      </c>
      <c r="AC463" s="51" t="str">
        <f>VLOOKUP(Table3[[#This Row],[ACTIVITY]],TAGS!$B:$P,15,FALSE)</f>
        <v>Irrigation</v>
      </c>
      <c r="AD463" s="51" t="str">
        <f>VLOOKUP(Table3[[#This Row],[PI LEVEL 3]],'PI LEVEL'!$A:$G,7,FALSE)</f>
        <v>DA-Level Output</v>
      </c>
      <c r="AE463" s="47" t="s">
        <v>577</v>
      </c>
      <c r="AF463" s="51" t="str">
        <f>VLOOKUP(Table3[[#This Row],[ACTIVITY]],TAGS!$B:$P,3,FALSE)</f>
        <v>number</v>
      </c>
      <c r="AG463" s="47" t="s">
        <v>334</v>
      </c>
      <c r="AH463" s="51" t="str">
        <f>VLOOKUP(Table3[[#This Row],[MONTH]],TAGS!$W$67:$Y$81,2,FALSE)</f>
        <v>3RD QTR</v>
      </c>
      <c r="AI463" s="51" t="str">
        <f>VLOOKUP(Table3[[#This Row],[MONTH]],TAGS!$W$67:$Y$81,3,FALSE)</f>
        <v>2ND SEMESTER</v>
      </c>
      <c r="AJ463" s="51">
        <f>VLOOKUP(Table3[[#This Row],[MONTH]],TAGS!$W$67:$Z$81,4,FALSE)</f>
        <v>2025</v>
      </c>
      <c r="AK463" s="47">
        <v>10</v>
      </c>
      <c r="AL463" s="51" t="str">
        <f>VLOOKUP(Table3[[#This Row],[ACTIVITY]],TAGS!$B:$R,16,FALSE)</f>
        <v>YES</v>
      </c>
      <c r="AM463" s="47">
        <v>30</v>
      </c>
      <c r="AN463" s="47">
        <v>1000</v>
      </c>
      <c r="AO463" s="57">
        <f>SUM(Table3[[#This Row],[MALE BENEFICIARIES]:[FEMALE BENEFICIARIES]])</f>
        <v>0</v>
      </c>
      <c r="AP463" s="58"/>
      <c r="AQ463" s="58"/>
      <c r="AR463" s="58"/>
      <c r="AS463" s="58">
        <v>1</v>
      </c>
      <c r="AT463" s="59" t="str">
        <f>VLOOKUP(Table3[[#This Row],[ACTIVITY]],TAGS!$B:$R,17,FALSE)</f>
        <v>YES</v>
      </c>
      <c r="AU463" s="59"/>
      <c r="AV463" s="59"/>
      <c r="AW463" s="59"/>
      <c r="AX463" s="59"/>
      <c r="AY463" s="59"/>
      <c r="AZ463" s="59"/>
      <c r="BA463" s="59"/>
      <c r="BB463" s="59"/>
      <c r="BC463" s="59"/>
      <c r="BD463" s="59"/>
      <c r="BE463" s="59"/>
      <c r="BF463" s="59"/>
      <c r="BG463" s="59"/>
      <c r="BH463" s="59"/>
      <c r="BI463" s="59"/>
      <c r="BJ463" s="59"/>
      <c r="BK463" s="59"/>
      <c r="BL463" s="59"/>
      <c r="BM463" s="59"/>
    </row>
    <row r="464" spans="1:65">
      <c r="A464" s="54" t="str">
        <f>VLOOKUP(Table3[[#This Row],[OU]],OU!$A$15:$B$34,2,FALSE)</f>
        <v>RFOs</v>
      </c>
      <c r="B464" s="47" t="s">
        <v>5</v>
      </c>
      <c r="C464" s="47" t="s">
        <v>574</v>
      </c>
      <c r="D464" s="60"/>
      <c r="E464" s="47" t="s">
        <v>22</v>
      </c>
      <c r="F464" s="47" t="s">
        <v>652</v>
      </c>
      <c r="G46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464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21520000</v>
      </c>
      <c r="I464" s="61" t="str">
        <f>VLOOKUP(Table3[[#This Row],[PSGC]],DISTRICT!$D:$G,4,FALSE)</f>
        <v>4th</v>
      </c>
      <c r="J464" s="47" t="s">
        <v>578</v>
      </c>
      <c r="K464" s="51" t="str">
        <f>VLOOKUP(Table3[[#This Row],[SPECIFIC COMMODITY]],TAGS!$W$48:$X$53,2,FALSE)</f>
        <v>Corn</v>
      </c>
      <c r="L464" s="51" t="str">
        <f>VLOOKUP(Table3[[#This Row],[PREXC SUB-PROGRAM]],Table5[],2,FALSE)</f>
        <v>AGRICULTURAL  MACHINERY, EQUIPMENT, FACILITIES AND INFRASTRUCTURE PROGRAM</v>
      </c>
      <c r="M464" s="51" t="str">
        <f>VLOOKUP(Table3[[#This Row],[COMMODITY PREXC SUB-PROGRAM]],TAGS!$U$54:$V$76,2,FALSE)</f>
        <v>INS</v>
      </c>
      <c r="N464" s="47" t="s">
        <v>596</v>
      </c>
      <c r="O464" s="54" t="str">
        <f>VLOOKUP(Table3[[#This Row],[PI LEVEL 3]],'PI LEVEL'!A:C,3,FALSE)</f>
        <v>Service area generated from the establishment and installation of small-scale irrigation projects</v>
      </c>
      <c r="P464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464" s="54" t="str">
        <f>VLOOKUP(Table3[[#This Row],[ACTIVITY]],TAGS!B:P,2,FALSE)</f>
        <v>Service area generated from distribution of Pump and engine set</v>
      </c>
      <c r="R464" s="47" t="s">
        <v>214</v>
      </c>
      <c r="S464" s="54" t="str">
        <f>VLOOKUP(Table3[[#This Row],[ACTIVITY]],TAGS!$B:$P,4,FALSE)</f>
        <v>Service area generated</v>
      </c>
      <c r="T464" s="54" t="str">
        <f>VLOOKUP(Table3[[#This Row],[ACTIVITY]],TAGS!$B:$P,5,FALSE)</f>
        <v>Service area generated</v>
      </c>
      <c r="U464" s="54" t="str">
        <f>VLOOKUP(Table3[[#This Row],[ACTIVITY]],TAGS!$B:$P,6,FALSE)</f>
        <v>Service area generated</v>
      </c>
      <c r="V464" s="54" t="str">
        <f>VLOOKUP(Table3[[#This Row],[ACTIVITY]],TAGS!$B:$P,7,FALSE)</f>
        <v>NO</v>
      </c>
      <c r="W464" s="54" t="str">
        <f>VLOOKUP(Table3[[#This Row],[ACTIVITY]],TAGS!$B:$P,8,FALSE)</f>
        <v>PAP</v>
      </c>
      <c r="X464" s="54" t="str">
        <f>VLOOKUP(Table3[[#This Row],[ACTIVITY]],TAGS!$B:$P,10,FALSE)</f>
        <v>PIP</v>
      </c>
      <c r="Y464" s="54" t="str">
        <f>VLOOKUP(Table3[[#This Row],[ACTIVITY]],TAGS!$B:$P,11,FALSE)</f>
        <v>PICS</v>
      </c>
      <c r="Z464" s="54">
        <f>VLOOKUP(Table3[[#This Row],[ACTIVITY]],TAGS!$B:$P,12,FALSE)</f>
        <v>0</v>
      </c>
      <c r="AA464" s="54">
        <f>VLOOKUP(Table3[[#This Row],[ACTIVITY]],TAGS!$B:$P,13,FALSE)</f>
        <v>0</v>
      </c>
      <c r="AB464" s="54">
        <f>VLOOKUP(Table3[[#This Row],[ACTIVITY]],TAGS!$B:$P,14,FALSE)</f>
        <v>0</v>
      </c>
      <c r="AC464" s="54">
        <f>VLOOKUP(Table3[[#This Row],[ACTIVITY]],TAGS!$B:$P,15,FALSE)</f>
        <v>0</v>
      </c>
      <c r="AD464" s="54" t="str">
        <f>VLOOKUP(Table3[[#This Row],[PI LEVEL 3]],'PI LEVEL'!$A:$G,7,FALSE)</f>
        <v>PREXC/DA-Level Output</v>
      </c>
      <c r="AE464" s="47" t="s">
        <v>577</v>
      </c>
      <c r="AF464" s="54" t="str">
        <f>VLOOKUP(Table3[[#This Row],[ACTIVITY]],TAGS!$B:$P,3,FALSE)</f>
        <v>hectare</v>
      </c>
      <c r="AG464" s="47" t="s">
        <v>334</v>
      </c>
      <c r="AH464" s="54" t="str">
        <f>VLOOKUP(Table3[[#This Row],[MONTH]],TAGS!$W$67:$Y$81,2,FALSE)</f>
        <v>3RD QTR</v>
      </c>
      <c r="AI464" s="54" t="str">
        <f>VLOOKUP(Table3[[#This Row],[MONTH]],TAGS!$W$67:$Y$81,3,FALSE)</f>
        <v>2ND SEMESTER</v>
      </c>
      <c r="AJ464" s="54">
        <f>VLOOKUP(Table3[[#This Row],[MONTH]],TAGS!$W$67:$Z$81,4,FALSE)</f>
        <v>2025</v>
      </c>
      <c r="AK464" s="60">
        <v>30</v>
      </c>
      <c r="AL464" s="54" t="str">
        <f>VLOOKUP(Table3[[#This Row],[ACTIVITY]],TAGS!$B:$R,16,FALSE)</f>
        <v>NO</v>
      </c>
      <c r="AM464" s="60"/>
      <c r="AN464" s="60"/>
      <c r="AO464" s="57">
        <f>SUM(Table3[[#This Row],[MALE BENEFICIARIES]:[FEMALE BENEFICIARIES]])</f>
        <v>0</v>
      </c>
      <c r="AP464" s="62"/>
      <c r="AQ464" s="62"/>
      <c r="AR464" s="62"/>
      <c r="AS464" s="62"/>
      <c r="AT464" s="63" t="str">
        <f>VLOOKUP(Table3[[#This Row],[ACTIVITY]],TAGS!$B:$R,17,FALSE)</f>
        <v>NO</v>
      </c>
      <c r="AU464" s="63"/>
      <c r="AV464" s="63"/>
      <c r="AW464" s="63"/>
      <c r="AX464" s="63"/>
      <c r="AY464" s="63"/>
      <c r="AZ464" s="63"/>
      <c r="BA464" s="63"/>
      <c r="BB464" s="63"/>
      <c r="BC464" s="63"/>
      <c r="BD464" s="63"/>
      <c r="BE464" s="63"/>
      <c r="BF464" s="63"/>
      <c r="BG464" s="63"/>
      <c r="BH464" s="63"/>
      <c r="BI464" s="63"/>
      <c r="BJ464" s="63"/>
      <c r="BK464" s="63"/>
      <c r="BL464" s="63"/>
      <c r="BM464" s="63"/>
    </row>
    <row r="465" spans="1:65">
      <c r="A465" s="51" t="str">
        <f>VLOOKUP(Table3[[#This Row],[OU]],OU!$A$15:$B$34,2,FALSE)</f>
        <v>RFOs</v>
      </c>
      <c r="B465" s="47" t="s">
        <v>5</v>
      </c>
      <c r="C465" s="47" t="s">
        <v>574</v>
      </c>
      <c r="D465" s="47" t="s">
        <v>741</v>
      </c>
      <c r="E465" s="47" t="s">
        <v>22</v>
      </c>
      <c r="F465" s="47" t="s">
        <v>652</v>
      </c>
      <c r="G46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46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21520000</v>
      </c>
      <c r="I465" s="52" t="str">
        <f>VLOOKUP(Table3[[#This Row],[PSGC]],DISTRICT!$D:$G,4,FALSE)</f>
        <v>4th</v>
      </c>
      <c r="J465" s="47" t="s">
        <v>578</v>
      </c>
      <c r="K465" s="51" t="str">
        <f>VLOOKUP(Table3[[#This Row],[SPECIFIC COMMODITY]],TAGS!$W$48:$X$53,2,FALSE)</f>
        <v>Corn</v>
      </c>
      <c r="L465" s="51" t="str">
        <f>VLOOKUP(Table3[[#This Row],[PREXC SUB-PROGRAM]],Table5[],2,FALSE)</f>
        <v>AGRICULTURAL  MACHINERY, EQUIPMENT, FACILITIES AND INFRASTRUCTURE PROGRAM</v>
      </c>
      <c r="M465" s="51" t="str">
        <f>VLOOKUP(Table3[[#This Row],[COMMODITY PREXC SUB-PROGRAM]],TAGS!$U$54:$V$76,2,FALSE)</f>
        <v>INS</v>
      </c>
      <c r="N465" s="47" t="s">
        <v>596</v>
      </c>
      <c r="O465" s="54" t="str">
        <f>VLOOKUP(Table3[[#This Row],[PI LEVEL 3]],'PI LEVEL'!A:C,3,FALSE)</f>
        <v>Irrigation machinery distributed</v>
      </c>
      <c r="P465" s="54" t="str">
        <f>VLOOKUP(Table3[[#This Row],[PI LEVEL 3]],Table53729[[Performance Indicator Level 3]:[Performance Indicator Level 1]],2,FALSE)</f>
        <v>Irrigation machinery distributed</v>
      </c>
      <c r="Q465" s="54" t="str">
        <f>VLOOKUP(Table3[[#This Row],[ACTIVITY]],TAGS!B:P,2,FALSE)</f>
        <v>Pump and Engine Set distributed</v>
      </c>
      <c r="R465" s="47" t="s">
        <v>210</v>
      </c>
      <c r="S465" s="51" t="str">
        <f>VLOOKUP(Table3[[#This Row],[ACTIVITY]],TAGS!$B:$P,4,FALSE)</f>
        <v>Small-scale Irrigation Projects</v>
      </c>
      <c r="T465" s="51" t="str">
        <f>VLOOKUP(Table3[[#This Row],[ACTIVITY]],TAGS!$B:$P,5,FALSE)</f>
        <v>Small-scale Irrigation Projects (SSIPs)</v>
      </c>
      <c r="U465" s="51" t="str">
        <f>VLOOKUP(Table3[[#This Row],[ACTIVITY]],TAGS!$B:$P,6,FALSE)</f>
        <v>Open Source Pumping Set</v>
      </c>
      <c r="V465" s="51" t="str">
        <f>VLOOKUP(Table3[[#This Row],[ACTIVITY]],TAGS!$B:$P,7,FALSE)</f>
        <v>YES</v>
      </c>
      <c r="W465" s="51" t="str">
        <f>VLOOKUP(Table3[[#This Row],[ACTIVITY]],TAGS!$B:$P,8,FALSE)</f>
        <v>PAP</v>
      </c>
      <c r="X465" s="51" t="str">
        <f>VLOOKUP(Table3[[#This Row],[ACTIVITY]],TAGS!$B:$P,10,FALSE)</f>
        <v>PIP</v>
      </c>
      <c r="Y465" s="51" t="str">
        <f>VLOOKUP(Table3[[#This Row],[ACTIVITY]],TAGS!$B:$P,11,FALSE)</f>
        <v>PICS</v>
      </c>
      <c r="Z465" s="51" t="str">
        <f>VLOOKUP(Table3[[#This Row],[ACTIVITY]],TAGS!$B:$P,12,FALSE)</f>
        <v>Modernization</v>
      </c>
      <c r="AA465" s="51" t="str">
        <f>VLOOKUP(Table3[[#This Row],[ACTIVITY]],TAGS!$B:$P,13,FALSE)</f>
        <v>8. Farm Mechanization and Farm Investments</v>
      </c>
      <c r="AB465" s="51" t="str">
        <f>VLOOKUP(Table3[[#This Row],[ACTIVITY]],TAGS!$B:$P,14,FALSE)</f>
        <v>EXPAND AND IMPROVE AVAILABLE AGRI-FISHERY AREAS FOR INCREASED PRODUCTION</v>
      </c>
      <c r="AC465" s="51" t="str">
        <f>VLOOKUP(Table3[[#This Row],[ACTIVITY]],TAGS!$B:$P,15,FALSE)</f>
        <v>Irrigation</v>
      </c>
      <c r="AD465" s="51" t="str">
        <f>VLOOKUP(Table3[[#This Row],[PI LEVEL 3]],'PI LEVEL'!$A:$G,7,FALSE)</f>
        <v>DA-Level Output</v>
      </c>
      <c r="AE465" s="47" t="s">
        <v>577</v>
      </c>
      <c r="AF465" s="51" t="str">
        <f>VLOOKUP(Table3[[#This Row],[ACTIVITY]],TAGS!$B:$P,3,FALSE)</f>
        <v>number</v>
      </c>
      <c r="AG465" s="47" t="s">
        <v>334</v>
      </c>
      <c r="AH465" s="51" t="str">
        <f>VLOOKUP(Table3[[#This Row],[MONTH]],TAGS!$W$67:$Y$81,2,FALSE)</f>
        <v>3RD QTR</v>
      </c>
      <c r="AI465" s="51" t="str">
        <f>VLOOKUP(Table3[[#This Row],[MONTH]],TAGS!$W$67:$Y$81,3,FALSE)</f>
        <v>2ND SEMESTER</v>
      </c>
      <c r="AJ465" s="51">
        <f>VLOOKUP(Table3[[#This Row],[MONTH]],TAGS!$W$67:$Z$81,4,FALSE)</f>
        <v>2025</v>
      </c>
      <c r="AK465" s="47">
        <v>10</v>
      </c>
      <c r="AL465" s="51" t="str">
        <f>VLOOKUP(Table3[[#This Row],[ACTIVITY]],TAGS!$B:$R,16,FALSE)</f>
        <v>YES</v>
      </c>
      <c r="AM465" s="47">
        <v>30</v>
      </c>
      <c r="AN465" s="47">
        <v>1000</v>
      </c>
      <c r="AO465" s="57">
        <f>SUM(Table3[[#This Row],[MALE BENEFICIARIES]:[FEMALE BENEFICIARIES]])</f>
        <v>0</v>
      </c>
      <c r="AP465" s="58"/>
      <c r="AQ465" s="58"/>
      <c r="AR465" s="58"/>
      <c r="AS465" s="58">
        <v>1</v>
      </c>
      <c r="AT465" s="59" t="str">
        <f>VLOOKUP(Table3[[#This Row],[ACTIVITY]],TAGS!$B:$R,17,FALSE)</f>
        <v>YES</v>
      </c>
      <c r="AU465" s="59"/>
      <c r="AV465" s="59"/>
      <c r="AW465" s="59"/>
      <c r="AX465" s="59"/>
      <c r="AY465" s="59"/>
      <c r="AZ465" s="59"/>
      <c r="BA465" s="59"/>
      <c r="BB465" s="59"/>
      <c r="BC465" s="59"/>
      <c r="BD465" s="59"/>
      <c r="BE465" s="59"/>
      <c r="BF465" s="59"/>
      <c r="BG465" s="59"/>
      <c r="BH465" s="59"/>
      <c r="BI465" s="59"/>
      <c r="BJ465" s="59"/>
      <c r="BK465" s="59"/>
      <c r="BL465" s="59"/>
      <c r="BM465" s="59"/>
    </row>
    <row r="466" spans="1:65">
      <c r="A466" s="54" t="str">
        <f>VLOOKUP(Table3[[#This Row],[OU]],OU!$A$15:$B$34,2,FALSE)</f>
        <v>RFOs</v>
      </c>
      <c r="B466" s="47" t="s">
        <v>5</v>
      </c>
      <c r="C466" s="47" t="s">
        <v>574</v>
      </c>
      <c r="D466" s="60"/>
      <c r="E466" s="47" t="s">
        <v>22</v>
      </c>
      <c r="F466" s="47" t="s">
        <v>652</v>
      </c>
      <c r="G46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466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21520000</v>
      </c>
      <c r="I466" s="61" t="str">
        <f>VLOOKUP(Table3[[#This Row],[PSGC]],DISTRICT!$D:$G,4,FALSE)</f>
        <v>4th</v>
      </c>
      <c r="J466" s="47" t="s">
        <v>578</v>
      </c>
      <c r="K466" s="51" t="str">
        <f>VLOOKUP(Table3[[#This Row],[SPECIFIC COMMODITY]],TAGS!$W$48:$X$53,2,FALSE)</f>
        <v>Corn</v>
      </c>
      <c r="L466" s="51" t="str">
        <f>VLOOKUP(Table3[[#This Row],[PREXC SUB-PROGRAM]],Table5[],2,FALSE)</f>
        <v>AGRICULTURAL  MACHINERY, EQUIPMENT, FACILITIES AND INFRASTRUCTURE PROGRAM</v>
      </c>
      <c r="M466" s="51" t="str">
        <f>VLOOKUP(Table3[[#This Row],[COMMODITY PREXC SUB-PROGRAM]],TAGS!$U$54:$V$76,2,FALSE)</f>
        <v>INS</v>
      </c>
      <c r="N466" s="47" t="s">
        <v>596</v>
      </c>
      <c r="O466" s="54" t="str">
        <f>VLOOKUP(Table3[[#This Row],[PI LEVEL 3]],'PI LEVEL'!A:C,3,FALSE)</f>
        <v>Service area generated from the establishment and installation of small-scale irrigation projects</v>
      </c>
      <c r="P466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466" s="54" t="str">
        <f>VLOOKUP(Table3[[#This Row],[ACTIVITY]],TAGS!B:P,2,FALSE)</f>
        <v>Service area generated from distribution of Pump and engine set</v>
      </c>
      <c r="R466" s="47" t="s">
        <v>214</v>
      </c>
      <c r="S466" s="54" t="str">
        <f>VLOOKUP(Table3[[#This Row],[ACTIVITY]],TAGS!$B:$P,4,FALSE)</f>
        <v>Service area generated</v>
      </c>
      <c r="T466" s="54" t="str">
        <f>VLOOKUP(Table3[[#This Row],[ACTIVITY]],TAGS!$B:$P,5,FALSE)</f>
        <v>Service area generated</v>
      </c>
      <c r="U466" s="54" t="str">
        <f>VLOOKUP(Table3[[#This Row],[ACTIVITY]],TAGS!$B:$P,6,FALSE)</f>
        <v>Service area generated</v>
      </c>
      <c r="V466" s="54" t="str">
        <f>VLOOKUP(Table3[[#This Row],[ACTIVITY]],TAGS!$B:$P,7,FALSE)</f>
        <v>NO</v>
      </c>
      <c r="W466" s="54" t="str">
        <f>VLOOKUP(Table3[[#This Row],[ACTIVITY]],TAGS!$B:$P,8,FALSE)</f>
        <v>PAP</v>
      </c>
      <c r="X466" s="54" t="str">
        <f>VLOOKUP(Table3[[#This Row],[ACTIVITY]],TAGS!$B:$P,10,FALSE)</f>
        <v>PIP</v>
      </c>
      <c r="Y466" s="54" t="str">
        <f>VLOOKUP(Table3[[#This Row],[ACTIVITY]],TAGS!$B:$P,11,FALSE)</f>
        <v>PICS</v>
      </c>
      <c r="Z466" s="54">
        <f>VLOOKUP(Table3[[#This Row],[ACTIVITY]],TAGS!$B:$P,12,FALSE)</f>
        <v>0</v>
      </c>
      <c r="AA466" s="54">
        <f>VLOOKUP(Table3[[#This Row],[ACTIVITY]],TAGS!$B:$P,13,FALSE)</f>
        <v>0</v>
      </c>
      <c r="AB466" s="54">
        <f>VLOOKUP(Table3[[#This Row],[ACTIVITY]],TAGS!$B:$P,14,FALSE)</f>
        <v>0</v>
      </c>
      <c r="AC466" s="54">
        <f>VLOOKUP(Table3[[#This Row],[ACTIVITY]],TAGS!$B:$P,15,FALSE)</f>
        <v>0</v>
      </c>
      <c r="AD466" s="54" t="str">
        <f>VLOOKUP(Table3[[#This Row],[PI LEVEL 3]],'PI LEVEL'!$A:$G,7,FALSE)</f>
        <v>PREXC/DA-Level Output</v>
      </c>
      <c r="AE466" s="47" t="s">
        <v>577</v>
      </c>
      <c r="AF466" s="54" t="str">
        <f>VLOOKUP(Table3[[#This Row],[ACTIVITY]],TAGS!$B:$P,3,FALSE)</f>
        <v>hectare</v>
      </c>
      <c r="AG466" s="47" t="s">
        <v>334</v>
      </c>
      <c r="AH466" s="54" t="str">
        <f>VLOOKUP(Table3[[#This Row],[MONTH]],TAGS!$W$67:$Y$81,2,FALSE)</f>
        <v>3RD QTR</v>
      </c>
      <c r="AI466" s="54" t="str">
        <f>VLOOKUP(Table3[[#This Row],[MONTH]],TAGS!$W$67:$Y$81,3,FALSE)</f>
        <v>2ND SEMESTER</v>
      </c>
      <c r="AJ466" s="54">
        <f>VLOOKUP(Table3[[#This Row],[MONTH]],TAGS!$W$67:$Z$81,4,FALSE)</f>
        <v>2025</v>
      </c>
      <c r="AK466" s="60">
        <v>30</v>
      </c>
      <c r="AL466" s="54" t="str">
        <f>VLOOKUP(Table3[[#This Row],[ACTIVITY]],TAGS!$B:$R,16,FALSE)</f>
        <v>NO</v>
      </c>
      <c r="AM466" s="60"/>
      <c r="AN466" s="60"/>
      <c r="AO466" s="57">
        <f>SUM(Table3[[#This Row],[MALE BENEFICIARIES]:[FEMALE BENEFICIARIES]])</f>
        <v>0</v>
      </c>
      <c r="AP466" s="62"/>
      <c r="AQ466" s="62"/>
      <c r="AR466" s="62"/>
      <c r="AS466" s="62"/>
      <c r="AT466" s="63" t="str">
        <f>VLOOKUP(Table3[[#This Row],[ACTIVITY]],TAGS!$B:$R,17,FALSE)</f>
        <v>NO</v>
      </c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  <c r="BI466" s="63"/>
      <c r="BJ466" s="63"/>
      <c r="BK466" s="63"/>
      <c r="BL466" s="63"/>
      <c r="BM466" s="63"/>
    </row>
    <row r="467" spans="1:65">
      <c r="A467" s="51" t="str">
        <f>VLOOKUP(Table3[[#This Row],[OU]],OU!$A$15:$B$34,2,FALSE)</f>
        <v>RFOs</v>
      </c>
      <c r="B467" s="47" t="s">
        <v>5</v>
      </c>
      <c r="C467" s="47" t="s">
        <v>574</v>
      </c>
      <c r="D467" s="47" t="s">
        <v>742</v>
      </c>
      <c r="E467" s="47" t="s">
        <v>22</v>
      </c>
      <c r="F467" s="47" t="s">
        <v>620</v>
      </c>
      <c r="G46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46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21518000</v>
      </c>
      <c r="I467" s="52" t="str">
        <f>VLOOKUP(Table3[[#This Row],[PSGC]],DISTRICT!$D:$G,4,FALSE)</f>
        <v>4th</v>
      </c>
      <c r="J467" s="47" t="s">
        <v>578</v>
      </c>
      <c r="K467" s="51" t="str">
        <f>VLOOKUP(Table3[[#This Row],[SPECIFIC COMMODITY]],TAGS!$W$48:$X$53,2,FALSE)</f>
        <v>Corn</v>
      </c>
      <c r="L467" s="51" t="str">
        <f>VLOOKUP(Table3[[#This Row],[PREXC SUB-PROGRAM]],Table5[],2,FALSE)</f>
        <v>AGRICULTURAL  MACHINERY, EQUIPMENT, FACILITIES AND INFRASTRUCTURE PROGRAM</v>
      </c>
      <c r="M467" s="51" t="str">
        <f>VLOOKUP(Table3[[#This Row],[COMMODITY PREXC SUB-PROGRAM]],TAGS!$U$54:$V$76,2,FALSE)</f>
        <v>INS</v>
      </c>
      <c r="N467" s="47" t="s">
        <v>596</v>
      </c>
      <c r="O467" s="54" t="str">
        <f>VLOOKUP(Table3[[#This Row],[PI LEVEL 3]],'PI LEVEL'!A:C,3,FALSE)</f>
        <v>Irrigation machinery distributed</v>
      </c>
      <c r="P467" s="54" t="str">
        <f>VLOOKUP(Table3[[#This Row],[PI LEVEL 3]],Table53729[[Performance Indicator Level 3]:[Performance Indicator Level 1]],2,FALSE)</f>
        <v>Irrigation machinery distributed</v>
      </c>
      <c r="Q467" s="54" t="str">
        <f>VLOOKUP(Table3[[#This Row],[ACTIVITY]],TAGS!B:P,2,FALSE)</f>
        <v>Pump and Engine Set distributed</v>
      </c>
      <c r="R467" s="47" t="s">
        <v>210</v>
      </c>
      <c r="S467" s="51" t="str">
        <f>VLOOKUP(Table3[[#This Row],[ACTIVITY]],TAGS!$B:$P,4,FALSE)</f>
        <v>Small-scale Irrigation Projects</v>
      </c>
      <c r="T467" s="51" t="str">
        <f>VLOOKUP(Table3[[#This Row],[ACTIVITY]],TAGS!$B:$P,5,FALSE)</f>
        <v>Small-scale Irrigation Projects (SSIPs)</v>
      </c>
      <c r="U467" s="51" t="str">
        <f>VLOOKUP(Table3[[#This Row],[ACTIVITY]],TAGS!$B:$P,6,FALSE)</f>
        <v>Open Source Pumping Set</v>
      </c>
      <c r="V467" s="51" t="str">
        <f>VLOOKUP(Table3[[#This Row],[ACTIVITY]],TAGS!$B:$P,7,FALSE)</f>
        <v>YES</v>
      </c>
      <c r="W467" s="51" t="str">
        <f>VLOOKUP(Table3[[#This Row],[ACTIVITY]],TAGS!$B:$P,8,FALSE)</f>
        <v>PAP</v>
      </c>
      <c r="X467" s="51" t="str">
        <f>VLOOKUP(Table3[[#This Row],[ACTIVITY]],TAGS!$B:$P,10,FALSE)</f>
        <v>PIP</v>
      </c>
      <c r="Y467" s="51" t="str">
        <f>VLOOKUP(Table3[[#This Row],[ACTIVITY]],TAGS!$B:$P,11,FALSE)</f>
        <v>PICS</v>
      </c>
      <c r="Z467" s="51" t="str">
        <f>VLOOKUP(Table3[[#This Row],[ACTIVITY]],TAGS!$B:$P,12,FALSE)</f>
        <v>Modernization</v>
      </c>
      <c r="AA467" s="51" t="str">
        <f>VLOOKUP(Table3[[#This Row],[ACTIVITY]],TAGS!$B:$P,13,FALSE)</f>
        <v>8. Farm Mechanization and Farm Investments</v>
      </c>
      <c r="AB467" s="51" t="str">
        <f>VLOOKUP(Table3[[#This Row],[ACTIVITY]],TAGS!$B:$P,14,FALSE)</f>
        <v>EXPAND AND IMPROVE AVAILABLE AGRI-FISHERY AREAS FOR INCREASED PRODUCTION</v>
      </c>
      <c r="AC467" s="51" t="str">
        <f>VLOOKUP(Table3[[#This Row],[ACTIVITY]],TAGS!$B:$P,15,FALSE)</f>
        <v>Irrigation</v>
      </c>
      <c r="AD467" s="51" t="str">
        <f>VLOOKUP(Table3[[#This Row],[PI LEVEL 3]],'PI LEVEL'!$A:$G,7,FALSE)</f>
        <v>DA-Level Output</v>
      </c>
      <c r="AE467" s="47" t="s">
        <v>577</v>
      </c>
      <c r="AF467" s="51" t="str">
        <f>VLOOKUP(Table3[[#This Row],[ACTIVITY]],TAGS!$B:$P,3,FALSE)</f>
        <v>number</v>
      </c>
      <c r="AG467" s="47" t="s">
        <v>335</v>
      </c>
      <c r="AH467" s="51" t="str">
        <f>VLOOKUP(Table3[[#This Row],[MONTH]],TAGS!$W$67:$Y$81,2,FALSE)</f>
        <v>3RD QTR</v>
      </c>
      <c r="AI467" s="51" t="str">
        <f>VLOOKUP(Table3[[#This Row],[MONTH]],TAGS!$W$67:$Y$81,3,FALSE)</f>
        <v>2ND SEMESTER</v>
      </c>
      <c r="AJ467" s="51">
        <f>VLOOKUP(Table3[[#This Row],[MONTH]],TAGS!$W$67:$Z$81,4,FALSE)</f>
        <v>2025</v>
      </c>
      <c r="AK467" s="47">
        <v>10</v>
      </c>
      <c r="AL467" s="51" t="str">
        <f>VLOOKUP(Table3[[#This Row],[ACTIVITY]],TAGS!$B:$R,16,FALSE)</f>
        <v>YES</v>
      </c>
      <c r="AM467" s="47">
        <v>30</v>
      </c>
      <c r="AN467" s="47">
        <v>1000</v>
      </c>
      <c r="AO467" s="57">
        <f>SUM(Table3[[#This Row],[MALE BENEFICIARIES]:[FEMALE BENEFICIARIES]])</f>
        <v>0</v>
      </c>
      <c r="AP467" s="58"/>
      <c r="AQ467" s="58"/>
      <c r="AR467" s="58"/>
      <c r="AS467" s="58">
        <v>1</v>
      </c>
      <c r="AT467" s="59" t="str">
        <f>VLOOKUP(Table3[[#This Row],[ACTIVITY]],TAGS!$B:$R,17,FALSE)</f>
        <v>YES</v>
      </c>
      <c r="AU467" s="59"/>
      <c r="AV467" s="59"/>
      <c r="AW467" s="59"/>
      <c r="AX467" s="59"/>
      <c r="AY467" s="59"/>
      <c r="AZ467" s="59"/>
      <c r="BA467" s="59"/>
      <c r="BB467" s="59"/>
      <c r="BC467" s="59"/>
      <c r="BD467" s="59"/>
      <c r="BE467" s="59"/>
      <c r="BF467" s="59"/>
      <c r="BG467" s="59"/>
      <c r="BH467" s="59"/>
      <c r="BI467" s="59"/>
      <c r="BJ467" s="59"/>
      <c r="BK467" s="59"/>
      <c r="BL467" s="59"/>
      <c r="BM467" s="59"/>
    </row>
    <row r="468" spans="1:65">
      <c r="A468" s="54" t="str">
        <f>VLOOKUP(Table3[[#This Row],[OU]],OU!$A$15:$B$34,2,FALSE)</f>
        <v>RFOs</v>
      </c>
      <c r="B468" s="47" t="s">
        <v>5</v>
      </c>
      <c r="C468" s="47" t="s">
        <v>574</v>
      </c>
      <c r="D468" s="60"/>
      <c r="E468" s="47" t="s">
        <v>22</v>
      </c>
      <c r="F468" s="47" t="s">
        <v>620</v>
      </c>
      <c r="G46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468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21518000</v>
      </c>
      <c r="I468" s="61" t="str">
        <f>VLOOKUP(Table3[[#This Row],[PSGC]],DISTRICT!$D:$G,4,FALSE)</f>
        <v>4th</v>
      </c>
      <c r="J468" s="47" t="s">
        <v>578</v>
      </c>
      <c r="K468" s="51" t="str">
        <f>VLOOKUP(Table3[[#This Row],[SPECIFIC COMMODITY]],TAGS!$W$48:$X$53,2,FALSE)</f>
        <v>Corn</v>
      </c>
      <c r="L468" s="51" t="str">
        <f>VLOOKUP(Table3[[#This Row],[PREXC SUB-PROGRAM]],Table5[],2,FALSE)</f>
        <v>AGRICULTURAL  MACHINERY, EQUIPMENT, FACILITIES AND INFRASTRUCTURE PROGRAM</v>
      </c>
      <c r="M468" s="51" t="str">
        <f>VLOOKUP(Table3[[#This Row],[COMMODITY PREXC SUB-PROGRAM]],TAGS!$U$54:$V$76,2,FALSE)</f>
        <v>INS</v>
      </c>
      <c r="N468" s="47" t="s">
        <v>596</v>
      </c>
      <c r="O468" s="54" t="str">
        <f>VLOOKUP(Table3[[#This Row],[PI LEVEL 3]],'PI LEVEL'!A:C,3,FALSE)</f>
        <v>Service area generated from the establishment and installation of small-scale irrigation projects</v>
      </c>
      <c r="P468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468" s="54" t="str">
        <f>VLOOKUP(Table3[[#This Row],[ACTIVITY]],TAGS!B:P,2,FALSE)</f>
        <v>Service area generated from distribution of Pump and engine set</v>
      </c>
      <c r="R468" s="47" t="s">
        <v>214</v>
      </c>
      <c r="S468" s="54" t="str">
        <f>VLOOKUP(Table3[[#This Row],[ACTIVITY]],TAGS!$B:$P,4,FALSE)</f>
        <v>Service area generated</v>
      </c>
      <c r="T468" s="54" t="str">
        <f>VLOOKUP(Table3[[#This Row],[ACTIVITY]],TAGS!$B:$P,5,FALSE)</f>
        <v>Service area generated</v>
      </c>
      <c r="U468" s="54" t="str">
        <f>VLOOKUP(Table3[[#This Row],[ACTIVITY]],TAGS!$B:$P,6,FALSE)</f>
        <v>Service area generated</v>
      </c>
      <c r="V468" s="54" t="str">
        <f>VLOOKUP(Table3[[#This Row],[ACTIVITY]],TAGS!$B:$P,7,FALSE)</f>
        <v>NO</v>
      </c>
      <c r="W468" s="54" t="str">
        <f>VLOOKUP(Table3[[#This Row],[ACTIVITY]],TAGS!$B:$P,8,FALSE)</f>
        <v>PAP</v>
      </c>
      <c r="X468" s="54" t="str">
        <f>VLOOKUP(Table3[[#This Row],[ACTIVITY]],TAGS!$B:$P,10,FALSE)</f>
        <v>PIP</v>
      </c>
      <c r="Y468" s="54" t="str">
        <f>VLOOKUP(Table3[[#This Row],[ACTIVITY]],TAGS!$B:$P,11,FALSE)</f>
        <v>PICS</v>
      </c>
      <c r="Z468" s="54">
        <f>VLOOKUP(Table3[[#This Row],[ACTIVITY]],TAGS!$B:$P,12,FALSE)</f>
        <v>0</v>
      </c>
      <c r="AA468" s="54">
        <f>VLOOKUP(Table3[[#This Row],[ACTIVITY]],TAGS!$B:$P,13,FALSE)</f>
        <v>0</v>
      </c>
      <c r="AB468" s="54">
        <f>VLOOKUP(Table3[[#This Row],[ACTIVITY]],TAGS!$B:$P,14,FALSE)</f>
        <v>0</v>
      </c>
      <c r="AC468" s="54">
        <f>VLOOKUP(Table3[[#This Row],[ACTIVITY]],TAGS!$B:$P,15,FALSE)</f>
        <v>0</v>
      </c>
      <c r="AD468" s="54" t="str">
        <f>VLOOKUP(Table3[[#This Row],[PI LEVEL 3]],'PI LEVEL'!$A:$G,7,FALSE)</f>
        <v>PREXC/DA-Level Output</v>
      </c>
      <c r="AE468" s="47" t="s">
        <v>577</v>
      </c>
      <c r="AF468" s="54" t="str">
        <f>VLOOKUP(Table3[[#This Row],[ACTIVITY]],TAGS!$B:$P,3,FALSE)</f>
        <v>hectare</v>
      </c>
      <c r="AG468" s="47" t="s">
        <v>335</v>
      </c>
      <c r="AH468" s="54" t="str">
        <f>VLOOKUP(Table3[[#This Row],[MONTH]],TAGS!$W$67:$Y$81,2,FALSE)</f>
        <v>3RD QTR</v>
      </c>
      <c r="AI468" s="54" t="str">
        <f>VLOOKUP(Table3[[#This Row],[MONTH]],TAGS!$W$67:$Y$81,3,FALSE)</f>
        <v>2ND SEMESTER</v>
      </c>
      <c r="AJ468" s="54">
        <f>VLOOKUP(Table3[[#This Row],[MONTH]],TAGS!$W$67:$Z$81,4,FALSE)</f>
        <v>2025</v>
      </c>
      <c r="AK468" s="60">
        <v>30</v>
      </c>
      <c r="AL468" s="54" t="str">
        <f>VLOOKUP(Table3[[#This Row],[ACTIVITY]],TAGS!$B:$R,16,FALSE)</f>
        <v>NO</v>
      </c>
      <c r="AM468" s="60"/>
      <c r="AN468" s="60"/>
      <c r="AO468" s="57">
        <f>SUM(Table3[[#This Row],[MALE BENEFICIARIES]:[FEMALE BENEFICIARIES]])</f>
        <v>0</v>
      </c>
      <c r="AP468" s="62"/>
      <c r="AQ468" s="62"/>
      <c r="AR468" s="62"/>
      <c r="AS468" s="62"/>
      <c r="AT468" s="63" t="str">
        <f>VLOOKUP(Table3[[#This Row],[ACTIVITY]],TAGS!$B:$R,17,FALSE)</f>
        <v>NO</v>
      </c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  <c r="BI468" s="63"/>
      <c r="BJ468" s="63"/>
      <c r="BK468" s="63"/>
      <c r="BL468" s="63"/>
      <c r="BM468" s="63"/>
    </row>
    <row r="469" spans="1:65">
      <c r="A469" s="51" t="str">
        <f>VLOOKUP(Table3[[#This Row],[OU]],OU!$A$15:$B$34,2,FALSE)</f>
        <v>RFOs</v>
      </c>
      <c r="B469" s="47" t="s">
        <v>5</v>
      </c>
      <c r="C469" s="47" t="s">
        <v>574</v>
      </c>
      <c r="D469" s="47" t="s">
        <v>743</v>
      </c>
      <c r="E469" s="47" t="s">
        <v>22</v>
      </c>
      <c r="F469" s="47" t="s">
        <v>657</v>
      </c>
      <c r="G46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46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21515000</v>
      </c>
      <c r="I469" s="52" t="str">
        <f>VLOOKUP(Table3[[#This Row],[PSGC]],DISTRICT!$D:$G,4,FALSE)</f>
        <v>4th</v>
      </c>
      <c r="J469" s="47" t="s">
        <v>578</v>
      </c>
      <c r="K469" s="51" t="str">
        <f>VLOOKUP(Table3[[#This Row],[SPECIFIC COMMODITY]],TAGS!$W$48:$X$53,2,FALSE)</f>
        <v>Corn</v>
      </c>
      <c r="L469" s="51" t="str">
        <f>VLOOKUP(Table3[[#This Row],[PREXC SUB-PROGRAM]],Table5[],2,FALSE)</f>
        <v>AGRICULTURAL  MACHINERY, EQUIPMENT, FACILITIES AND INFRASTRUCTURE PROGRAM</v>
      </c>
      <c r="M469" s="51" t="str">
        <f>VLOOKUP(Table3[[#This Row],[COMMODITY PREXC SUB-PROGRAM]],TAGS!$U$54:$V$76,2,FALSE)</f>
        <v>INS</v>
      </c>
      <c r="N469" s="47" t="s">
        <v>596</v>
      </c>
      <c r="O469" s="54" t="str">
        <f>VLOOKUP(Table3[[#This Row],[PI LEVEL 3]],'PI LEVEL'!A:C,3,FALSE)</f>
        <v>Irrigation machinery distributed</v>
      </c>
      <c r="P469" s="54" t="str">
        <f>VLOOKUP(Table3[[#This Row],[PI LEVEL 3]],Table53729[[Performance Indicator Level 3]:[Performance Indicator Level 1]],2,FALSE)</f>
        <v>Irrigation machinery distributed</v>
      </c>
      <c r="Q469" s="54" t="str">
        <f>VLOOKUP(Table3[[#This Row],[ACTIVITY]],TAGS!B:P,2,FALSE)</f>
        <v>Pump and Engine Set distributed</v>
      </c>
      <c r="R469" s="47" t="s">
        <v>210</v>
      </c>
      <c r="S469" s="51" t="str">
        <f>VLOOKUP(Table3[[#This Row],[ACTIVITY]],TAGS!$B:$P,4,FALSE)</f>
        <v>Small-scale Irrigation Projects</v>
      </c>
      <c r="T469" s="51" t="str">
        <f>VLOOKUP(Table3[[#This Row],[ACTIVITY]],TAGS!$B:$P,5,FALSE)</f>
        <v>Small-scale Irrigation Projects (SSIPs)</v>
      </c>
      <c r="U469" s="51" t="str">
        <f>VLOOKUP(Table3[[#This Row],[ACTIVITY]],TAGS!$B:$P,6,FALSE)</f>
        <v>Open Source Pumping Set</v>
      </c>
      <c r="V469" s="51" t="str">
        <f>VLOOKUP(Table3[[#This Row],[ACTIVITY]],TAGS!$B:$P,7,FALSE)</f>
        <v>YES</v>
      </c>
      <c r="W469" s="51" t="str">
        <f>VLOOKUP(Table3[[#This Row],[ACTIVITY]],TAGS!$B:$P,8,FALSE)</f>
        <v>PAP</v>
      </c>
      <c r="X469" s="51" t="str">
        <f>VLOOKUP(Table3[[#This Row],[ACTIVITY]],TAGS!$B:$P,10,FALSE)</f>
        <v>PIP</v>
      </c>
      <c r="Y469" s="51" t="str">
        <f>VLOOKUP(Table3[[#This Row],[ACTIVITY]],TAGS!$B:$P,11,FALSE)</f>
        <v>PICS</v>
      </c>
      <c r="Z469" s="51" t="str">
        <f>VLOOKUP(Table3[[#This Row],[ACTIVITY]],TAGS!$B:$P,12,FALSE)</f>
        <v>Modernization</v>
      </c>
      <c r="AA469" s="51" t="str">
        <f>VLOOKUP(Table3[[#This Row],[ACTIVITY]],TAGS!$B:$P,13,FALSE)</f>
        <v>8. Farm Mechanization and Farm Investments</v>
      </c>
      <c r="AB469" s="51" t="str">
        <f>VLOOKUP(Table3[[#This Row],[ACTIVITY]],TAGS!$B:$P,14,FALSE)</f>
        <v>EXPAND AND IMPROVE AVAILABLE AGRI-FISHERY AREAS FOR INCREASED PRODUCTION</v>
      </c>
      <c r="AC469" s="51" t="str">
        <f>VLOOKUP(Table3[[#This Row],[ACTIVITY]],TAGS!$B:$P,15,FALSE)</f>
        <v>Irrigation</v>
      </c>
      <c r="AD469" s="51" t="str">
        <f>VLOOKUP(Table3[[#This Row],[PI LEVEL 3]],'PI LEVEL'!$A:$G,7,FALSE)</f>
        <v>DA-Level Output</v>
      </c>
      <c r="AE469" s="47" t="s">
        <v>577</v>
      </c>
      <c r="AF469" s="51" t="str">
        <f>VLOOKUP(Table3[[#This Row],[ACTIVITY]],TAGS!$B:$P,3,FALSE)</f>
        <v>number</v>
      </c>
      <c r="AG469" s="47" t="s">
        <v>335</v>
      </c>
      <c r="AH469" s="51" t="str">
        <f>VLOOKUP(Table3[[#This Row],[MONTH]],TAGS!$W$67:$Y$81,2,FALSE)</f>
        <v>3RD QTR</v>
      </c>
      <c r="AI469" s="51" t="str">
        <f>VLOOKUP(Table3[[#This Row],[MONTH]],TAGS!$W$67:$Y$81,3,FALSE)</f>
        <v>2ND SEMESTER</v>
      </c>
      <c r="AJ469" s="51">
        <f>VLOOKUP(Table3[[#This Row],[MONTH]],TAGS!$W$67:$Z$81,4,FALSE)</f>
        <v>2025</v>
      </c>
      <c r="AK469" s="47">
        <v>10</v>
      </c>
      <c r="AL469" s="51" t="str">
        <f>VLOOKUP(Table3[[#This Row],[ACTIVITY]],TAGS!$B:$R,16,FALSE)</f>
        <v>YES</v>
      </c>
      <c r="AM469" s="47">
        <v>30</v>
      </c>
      <c r="AN469" s="47">
        <v>1000</v>
      </c>
      <c r="AO469" s="57">
        <f>SUM(Table3[[#This Row],[MALE BENEFICIARIES]:[FEMALE BENEFICIARIES]])</f>
        <v>0</v>
      </c>
      <c r="AP469" s="58"/>
      <c r="AQ469" s="58"/>
      <c r="AR469" s="58"/>
      <c r="AS469" s="58">
        <v>1</v>
      </c>
      <c r="AT469" s="59" t="str">
        <f>VLOOKUP(Table3[[#This Row],[ACTIVITY]],TAGS!$B:$R,17,FALSE)</f>
        <v>YES</v>
      </c>
      <c r="AU469" s="59"/>
      <c r="AV469" s="59"/>
      <c r="AW469" s="59"/>
      <c r="AX469" s="59"/>
      <c r="AY469" s="59"/>
      <c r="AZ469" s="59"/>
      <c r="BA469" s="59"/>
      <c r="BB469" s="59"/>
      <c r="BC469" s="59"/>
      <c r="BD469" s="59"/>
      <c r="BE469" s="59"/>
      <c r="BF469" s="59"/>
      <c r="BG469" s="59"/>
      <c r="BH469" s="59"/>
      <c r="BI469" s="59"/>
      <c r="BJ469" s="59"/>
      <c r="BK469" s="59"/>
      <c r="BL469" s="59"/>
      <c r="BM469" s="59"/>
    </row>
    <row r="470" spans="1:65">
      <c r="A470" s="54" t="str">
        <f>VLOOKUP(Table3[[#This Row],[OU]],OU!$A$15:$B$34,2,FALSE)</f>
        <v>RFOs</v>
      </c>
      <c r="B470" s="47" t="s">
        <v>5</v>
      </c>
      <c r="C470" s="47" t="s">
        <v>574</v>
      </c>
      <c r="D470" s="60"/>
      <c r="E470" s="47" t="s">
        <v>22</v>
      </c>
      <c r="F470" s="47" t="s">
        <v>657</v>
      </c>
      <c r="G47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470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21515000</v>
      </c>
      <c r="I470" s="61" t="str">
        <f>VLOOKUP(Table3[[#This Row],[PSGC]],DISTRICT!$D:$G,4,FALSE)</f>
        <v>4th</v>
      </c>
      <c r="J470" s="47" t="s">
        <v>578</v>
      </c>
      <c r="K470" s="51" t="str">
        <f>VLOOKUP(Table3[[#This Row],[SPECIFIC COMMODITY]],TAGS!$W$48:$X$53,2,FALSE)</f>
        <v>Corn</v>
      </c>
      <c r="L470" s="51" t="str">
        <f>VLOOKUP(Table3[[#This Row],[PREXC SUB-PROGRAM]],Table5[],2,FALSE)</f>
        <v>AGRICULTURAL  MACHINERY, EQUIPMENT, FACILITIES AND INFRASTRUCTURE PROGRAM</v>
      </c>
      <c r="M470" s="51" t="str">
        <f>VLOOKUP(Table3[[#This Row],[COMMODITY PREXC SUB-PROGRAM]],TAGS!$U$54:$V$76,2,FALSE)</f>
        <v>INS</v>
      </c>
      <c r="N470" s="47" t="s">
        <v>596</v>
      </c>
      <c r="O470" s="54" t="str">
        <f>VLOOKUP(Table3[[#This Row],[PI LEVEL 3]],'PI LEVEL'!A:C,3,FALSE)</f>
        <v>Service area generated from the establishment and installation of small-scale irrigation projects</v>
      </c>
      <c r="P470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470" s="54" t="str">
        <f>VLOOKUP(Table3[[#This Row],[ACTIVITY]],TAGS!B:P,2,FALSE)</f>
        <v>Service area generated from distribution of Pump and engine set</v>
      </c>
      <c r="R470" s="47" t="s">
        <v>214</v>
      </c>
      <c r="S470" s="54" t="str">
        <f>VLOOKUP(Table3[[#This Row],[ACTIVITY]],TAGS!$B:$P,4,FALSE)</f>
        <v>Service area generated</v>
      </c>
      <c r="T470" s="54" t="str">
        <f>VLOOKUP(Table3[[#This Row],[ACTIVITY]],TAGS!$B:$P,5,FALSE)</f>
        <v>Service area generated</v>
      </c>
      <c r="U470" s="54" t="str">
        <f>VLOOKUP(Table3[[#This Row],[ACTIVITY]],TAGS!$B:$P,6,FALSE)</f>
        <v>Service area generated</v>
      </c>
      <c r="V470" s="54" t="str">
        <f>VLOOKUP(Table3[[#This Row],[ACTIVITY]],TAGS!$B:$P,7,FALSE)</f>
        <v>NO</v>
      </c>
      <c r="W470" s="54" t="str">
        <f>VLOOKUP(Table3[[#This Row],[ACTIVITY]],TAGS!$B:$P,8,FALSE)</f>
        <v>PAP</v>
      </c>
      <c r="X470" s="54" t="str">
        <f>VLOOKUP(Table3[[#This Row],[ACTIVITY]],TAGS!$B:$P,10,FALSE)</f>
        <v>PIP</v>
      </c>
      <c r="Y470" s="54" t="str">
        <f>VLOOKUP(Table3[[#This Row],[ACTIVITY]],TAGS!$B:$P,11,FALSE)</f>
        <v>PICS</v>
      </c>
      <c r="Z470" s="54">
        <f>VLOOKUP(Table3[[#This Row],[ACTIVITY]],TAGS!$B:$P,12,FALSE)</f>
        <v>0</v>
      </c>
      <c r="AA470" s="54">
        <f>VLOOKUP(Table3[[#This Row],[ACTIVITY]],TAGS!$B:$P,13,FALSE)</f>
        <v>0</v>
      </c>
      <c r="AB470" s="54">
        <f>VLOOKUP(Table3[[#This Row],[ACTIVITY]],TAGS!$B:$P,14,FALSE)</f>
        <v>0</v>
      </c>
      <c r="AC470" s="54">
        <f>VLOOKUP(Table3[[#This Row],[ACTIVITY]],TAGS!$B:$P,15,FALSE)</f>
        <v>0</v>
      </c>
      <c r="AD470" s="54" t="str">
        <f>VLOOKUP(Table3[[#This Row],[PI LEVEL 3]],'PI LEVEL'!$A:$G,7,FALSE)</f>
        <v>PREXC/DA-Level Output</v>
      </c>
      <c r="AE470" s="47" t="s">
        <v>577</v>
      </c>
      <c r="AF470" s="54" t="str">
        <f>VLOOKUP(Table3[[#This Row],[ACTIVITY]],TAGS!$B:$P,3,FALSE)</f>
        <v>hectare</v>
      </c>
      <c r="AG470" s="47" t="s">
        <v>335</v>
      </c>
      <c r="AH470" s="54" t="str">
        <f>VLOOKUP(Table3[[#This Row],[MONTH]],TAGS!$W$67:$Y$81,2,FALSE)</f>
        <v>3RD QTR</v>
      </c>
      <c r="AI470" s="54" t="str">
        <f>VLOOKUP(Table3[[#This Row],[MONTH]],TAGS!$W$67:$Y$81,3,FALSE)</f>
        <v>2ND SEMESTER</v>
      </c>
      <c r="AJ470" s="54">
        <f>VLOOKUP(Table3[[#This Row],[MONTH]],TAGS!$W$67:$Z$81,4,FALSE)</f>
        <v>2025</v>
      </c>
      <c r="AK470" s="60">
        <v>30</v>
      </c>
      <c r="AL470" s="54" t="str">
        <f>VLOOKUP(Table3[[#This Row],[ACTIVITY]],TAGS!$B:$R,16,FALSE)</f>
        <v>NO</v>
      </c>
      <c r="AM470" s="60"/>
      <c r="AN470" s="60"/>
      <c r="AO470" s="57">
        <f>SUM(Table3[[#This Row],[MALE BENEFICIARIES]:[FEMALE BENEFICIARIES]])</f>
        <v>0</v>
      </c>
      <c r="AP470" s="62"/>
      <c r="AQ470" s="62"/>
      <c r="AR470" s="62"/>
      <c r="AS470" s="62"/>
      <c r="AT470" s="63" t="str">
        <f>VLOOKUP(Table3[[#This Row],[ACTIVITY]],TAGS!$B:$R,17,FALSE)</f>
        <v>NO</v>
      </c>
      <c r="AU470" s="63"/>
      <c r="AV470" s="63"/>
      <c r="AW470" s="63"/>
      <c r="AX470" s="63"/>
      <c r="AY470" s="63"/>
      <c r="AZ470" s="63"/>
      <c r="BA470" s="63"/>
      <c r="BB470" s="63"/>
      <c r="BC470" s="63"/>
      <c r="BD470" s="63"/>
      <c r="BE470" s="63"/>
      <c r="BF470" s="63"/>
      <c r="BG470" s="63"/>
      <c r="BH470" s="63"/>
      <c r="BI470" s="63"/>
      <c r="BJ470" s="63"/>
      <c r="BK470" s="63"/>
      <c r="BL470" s="63"/>
      <c r="BM470" s="63"/>
    </row>
    <row r="471" spans="1:65">
      <c r="A471" s="51" t="str">
        <f>VLOOKUP(Table3[[#This Row],[OU]],OU!$A$15:$B$34,2,FALSE)</f>
        <v>RFOs</v>
      </c>
      <c r="B471" s="47" t="s">
        <v>5</v>
      </c>
      <c r="C471" s="47" t="s">
        <v>574</v>
      </c>
      <c r="D471" s="47" t="s">
        <v>744</v>
      </c>
      <c r="E471" s="47" t="s">
        <v>22</v>
      </c>
      <c r="F471" s="47" t="s">
        <v>656</v>
      </c>
      <c r="G47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47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21512000</v>
      </c>
      <c r="I471" s="52" t="str">
        <f>VLOOKUP(Table3[[#This Row],[PSGC]],DISTRICT!$D:$G,4,FALSE)</f>
        <v>3rd</v>
      </c>
      <c r="J471" s="47" t="s">
        <v>578</v>
      </c>
      <c r="K471" s="51" t="str">
        <f>VLOOKUP(Table3[[#This Row],[SPECIFIC COMMODITY]],TAGS!$W$48:$X$53,2,FALSE)</f>
        <v>Corn</v>
      </c>
      <c r="L471" s="51" t="str">
        <f>VLOOKUP(Table3[[#This Row],[PREXC SUB-PROGRAM]],Table5[],2,FALSE)</f>
        <v>AGRICULTURAL  MACHINERY, EQUIPMENT, FACILITIES AND INFRASTRUCTURE PROGRAM</v>
      </c>
      <c r="M471" s="51" t="str">
        <f>VLOOKUP(Table3[[#This Row],[COMMODITY PREXC SUB-PROGRAM]],TAGS!$U$54:$V$76,2,FALSE)</f>
        <v>INS</v>
      </c>
      <c r="N471" s="47" t="s">
        <v>596</v>
      </c>
      <c r="O471" s="54" t="str">
        <f>VLOOKUP(Table3[[#This Row],[PI LEVEL 3]],'PI LEVEL'!A:C,3,FALSE)</f>
        <v>Irrigation machinery distributed</v>
      </c>
      <c r="P471" s="54" t="str">
        <f>VLOOKUP(Table3[[#This Row],[PI LEVEL 3]],Table53729[[Performance Indicator Level 3]:[Performance Indicator Level 1]],2,FALSE)</f>
        <v>Irrigation machinery distributed</v>
      </c>
      <c r="Q471" s="54" t="str">
        <f>VLOOKUP(Table3[[#This Row],[ACTIVITY]],TAGS!B:P,2,FALSE)</f>
        <v>Pump and Engine Set distributed</v>
      </c>
      <c r="R471" s="47" t="s">
        <v>210</v>
      </c>
      <c r="S471" s="51" t="str">
        <f>VLOOKUP(Table3[[#This Row],[ACTIVITY]],TAGS!$B:$P,4,FALSE)</f>
        <v>Small-scale Irrigation Projects</v>
      </c>
      <c r="T471" s="51" t="str">
        <f>VLOOKUP(Table3[[#This Row],[ACTIVITY]],TAGS!$B:$P,5,FALSE)</f>
        <v>Small-scale Irrigation Projects (SSIPs)</v>
      </c>
      <c r="U471" s="51" t="str">
        <f>VLOOKUP(Table3[[#This Row],[ACTIVITY]],TAGS!$B:$P,6,FALSE)</f>
        <v>Open Source Pumping Set</v>
      </c>
      <c r="V471" s="51" t="str">
        <f>VLOOKUP(Table3[[#This Row],[ACTIVITY]],TAGS!$B:$P,7,FALSE)</f>
        <v>YES</v>
      </c>
      <c r="W471" s="51" t="str">
        <f>VLOOKUP(Table3[[#This Row],[ACTIVITY]],TAGS!$B:$P,8,FALSE)</f>
        <v>PAP</v>
      </c>
      <c r="X471" s="51" t="str">
        <f>VLOOKUP(Table3[[#This Row],[ACTIVITY]],TAGS!$B:$P,10,FALSE)</f>
        <v>PIP</v>
      </c>
      <c r="Y471" s="51" t="str">
        <f>VLOOKUP(Table3[[#This Row],[ACTIVITY]],TAGS!$B:$P,11,FALSE)</f>
        <v>PICS</v>
      </c>
      <c r="Z471" s="51" t="str">
        <f>VLOOKUP(Table3[[#This Row],[ACTIVITY]],TAGS!$B:$P,12,FALSE)</f>
        <v>Modernization</v>
      </c>
      <c r="AA471" s="51" t="str">
        <f>VLOOKUP(Table3[[#This Row],[ACTIVITY]],TAGS!$B:$P,13,FALSE)</f>
        <v>8. Farm Mechanization and Farm Investments</v>
      </c>
      <c r="AB471" s="51" t="str">
        <f>VLOOKUP(Table3[[#This Row],[ACTIVITY]],TAGS!$B:$P,14,FALSE)</f>
        <v>EXPAND AND IMPROVE AVAILABLE AGRI-FISHERY AREAS FOR INCREASED PRODUCTION</v>
      </c>
      <c r="AC471" s="51" t="str">
        <f>VLOOKUP(Table3[[#This Row],[ACTIVITY]],TAGS!$B:$P,15,FALSE)</f>
        <v>Irrigation</v>
      </c>
      <c r="AD471" s="51" t="str">
        <f>VLOOKUP(Table3[[#This Row],[PI LEVEL 3]],'PI LEVEL'!$A:$G,7,FALSE)</f>
        <v>DA-Level Output</v>
      </c>
      <c r="AE471" s="47" t="s">
        <v>577</v>
      </c>
      <c r="AF471" s="51" t="str">
        <f>VLOOKUP(Table3[[#This Row],[ACTIVITY]],TAGS!$B:$P,3,FALSE)</f>
        <v>number</v>
      </c>
      <c r="AG471" s="47" t="s">
        <v>335</v>
      </c>
      <c r="AH471" s="51" t="str">
        <f>VLOOKUP(Table3[[#This Row],[MONTH]],TAGS!$W$67:$Y$81,2,FALSE)</f>
        <v>3RD QTR</v>
      </c>
      <c r="AI471" s="51" t="str">
        <f>VLOOKUP(Table3[[#This Row],[MONTH]],TAGS!$W$67:$Y$81,3,FALSE)</f>
        <v>2ND SEMESTER</v>
      </c>
      <c r="AJ471" s="51">
        <f>VLOOKUP(Table3[[#This Row],[MONTH]],TAGS!$W$67:$Z$81,4,FALSE)</f>
        <v>2025</v>
      </c>
      <c r="AK471" s="47">
        <v>10</v>
      </c>
      <c r="AL471" s="51" t="str">
        <f>VLOOKUP(Table3[[#This Row],[ACTIVITY]],TAGS!$B:$R,16,FALSE)</f>
        <v>YES</v>
      </c>
      <c r="AM471" s="47">
        <v>30</v>
      </c>
      <c r="AN471" s="47">
        <v>1000</v>
      </c>
      <c r="AO471" s="57">
        <f>SUM(Table3[[#This Row],[MALE BENEFICIARIES]:[FEMALE BENEFICIARIES]])</f>
        <v>0</v>
      </c>
      <c r="AP471" s="58"/>
      <c r="AQ471" s="58"/>
      <c r="AR471" s="58"/>
      <c r="AS471" s="58">
        <v>1</v>
      </c>
      <c r="AT471" s="59" t="str">
        <f>VLOOKUP(Table3[[#This Row],[ACTIVITY]],TAGS!$B:$R,17,FALSE)</f>
        <v>YES</v>
      </c>
      <c r="AU471" s="59"/>
      <c r="AV471" s="59"/>
      <c r="AW471" s="59"/>
      <c r="AX471" s="59"/>
      <c r="AY471" s="59"/>
      <c r="AZ471" s="59"/>
      <c r="BA471" s="59"/>
      <c r="BB471" s="59"/>
      <c r="BC471" s="59"/>
      <c r="BD471" s="59"/>
      <c r="BE471" s="59"/>
      <c r="BF471" s="59"/>
      <c r="BG471" s="59"/>
      <c r="BH471" s="59"/>
      <c r="BI471" s="59"/>
      <c r="BJ471" s="59"/>
      <c r="BK471" s="59"/>
      <c r="BL471" s="59"/>
      <c r="BM471" s="59"/>
    </row>
    <row r="472" spans="1:65">
      <c r="A472" s="54" t="str">
        <f>VLOOKUP(Table3[[#This Row],[OU]],OU!$A$15:$B$34,2,FALSE)</f>
        <v>RFOs</v>
      </c>
      <c r="B472" s="47" t="s">
        <v>5</v>
      </c>
      <c r="C472" s="47" t="s">
        <v>574</v>
      </c>
      <c r="D472" s="60"/>
      <c r="E472" s="47" t="s">
        <v>22</v>
      </c>
      <c r="F472" s="47" t="s">
        <v>656</v>
      </c>
      <c r="G47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472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21512000</v>
      </c>
      <c r="I472" s="61" t="str">
        <f>VLOOKUP(Table3[[#This Row],[PSGC]],DISTRICT!$D:$G,4,FALSE)</f>
        <v>3rd</v>
      </c>
      <c r="J472" s="47" t="s">
        <v>578</v>
      </c>
      <c r="K472" s="51" t="str">
        <f>VLOOKUP(Table3[[#This Row],[SPECIFIC COMMODITY]],TAGS!$W$48:$X$53,2,FALSE)</f>
        <v>Corn</v>
      </c>
      <c r="L472" s="51" t="str">
        <f>VLOOKUP(Table3[[#This Row],[PREXC SUB-PROGRAM]],Table5[],2,FALSE)</f>
        <v>AGRICULTURAL  MACHINERY, EQUIPMENT, FACILITIES AND INFRASTRUCTURE PROGRAM</v>
      </c>
      <c r="M472" s="51" t="str">
        <f>VLOOKUP(Table3[[#This Row],[COMMODITY PREXC SUB-PROGRAM]],TAGS!$U$54:$V$76,2,FALSE)</f>
        <v>INS</v>
      </c>
      <c r="N472" s="47" t="s">
        <v>596</v>
      </c>
      <c r="O472" s="54" t="str">
        <f>VLOOKUP(Table3[[#This Row],[PI LEVEL 3]],'PI LEVEL'!A:C,3,FALSE)</f>
        <v>Service area generated from the establishment and installation of small-scale irrigation projects</v>
      </c>
      <c r="P472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472" s="54" t="str">
        <f>VLOOKUP(Table3[[#This Row],[ACTIVITY]],TAGS!B:P,2,FALSE)</f>
        <v>Service area generated from distribution of Pump and engine set</v>
      </c>
      <c r="R472" s="47" t="s">
        <v>214</v>
      </c>
      <c r="S472" s="54" t="str">
        <f>VLOOKUP(Table3[[#This Row],[ACTIVITY]],TAGS!$B:$P,4,FALSE)</f>
        <v>Service area generated</v>
      </c>
      <c r="T472" s="54" t="str">
        <f>VLOOKUP(Table3[[#This Row],[ACTIVITY]],TAGS!$B:$P,5,FALSE)</f>
        <v>Service area generated</v>
      </c>
      <c r="U472" s="54" t="str">
        <f>VLOOKUP(Table3[[#This Row],[ACTIVITY]],TAGS!$B:$P,6,FALSE)</f>
        <v>Service area generated</v>
      </c>
      <c r="V472" s="54" t="str">
        <f>VLOOKUP(Table3[[#This Row],[ACTIVITY]],TAGS!$B:$P,7,FALSE)</f>
        <v>NO</v>
      </c>
      <c r="W472" s="54" t="str">
        <f>VLOOKUP(Table3[[#This Row],[ACTIVITY]],TAGS!$B:$P,8,FALSE)</f>
        <v>PAP</v>
      </c>
      <c r="X472" s="54" t="str">
        <f>VLOOKUP(Table3[[#This Row],[ACTIVITY]],TAGS!$B:$P,10,FALSE)</f>
        <v>PIP</v>
      </c>
      <c r="Y472" s="54" t="str">
        <f>VLOOKUP(Table3[[#This Row],[ACTIVITY]],TAGS!$B:$P,11,FALSE)</f>
        <v>PICS</v>
      </c>
      <c r="Z472" s="54">
        <f>VLOOKUP(Table3[[#This Row],[ACTIVITY]],TAGS!$B:$P,12,FALSE)</f>
        <v>0</v>
      </c>
      <c r="AA472" s="54">
        <f>VLOOKUP(Table3[[#This Row],[ACTIVITY]],TAGS!$B:$P,13,FALSE)</f>
        <v>0</v>
      </c>
      <c r="AB472" s="54">
        <f>VLOOKUP(Table3[[#This Row],[ACTIVITY]],TAGS!$B:$P,14,FALSE)</f>
        <v>0</v>
      </c>
      <c r="AC472" s="54">
        <f>VLOOKUP(Table3[[#This Row],[ACTIVITY]],TAGS!$B:$P,15,FALSE)</f>
        <v>0</v>
      </c>
      <c r="AD472" s="54" t="str">
        <f>VLOOKUP(Table3[[#This Row],[PI LEVEL 3]],'PI LEVEL'!$A:$G,7,FALSE)</f>
        <v>PREXC/DA-Level Output</v>
      </c>
      <c r="AE472" s="47" t="s">
        <v>577</v>
      </c>
      <c r="AF472" s="54" t="str">
        <f>VLOOKUP(Table3[[#This Row],[ACTIVITY]],TAGS!$B:$P,3,FALSE)</f>
        <v>hectare</v>
      </c>
      <c r="AG472" s="47" t="s">
        <v>335</v>
      </c>
      <c r="AH472" s="54" t="str">
        <f>VLOOKUP(Table3[[#This Row],[MONTH]],TAGS!$W$67:$Y$81,2,FALSE)</f>
        <v>3RD QTR</v>
      </c>
      <c r="AI472" s="54" t="str">
        <f>VLOOKUP(Table3[[#This Row],[MONTH]],TAGS!$W$67:$Y$81,3,FALSE)</f>
        <v>2ND SEMESTER</v>
      </c>
      <c r="AJ472" s="54">
        <f>VLOOKUP(Table3[[#This Row],[MONTH]],TAGS!$W$67:$Z$81,4,FALSE)</f>
        <v>2025</v>
      </c>
      <c r="AK472" s="60">
        <v>30</v>
      </c>
      <c r="AL472" s="54" t="str">
        <f>VLOOKUP(Table3[[#This Row],[ACTIVITY]],TAGS!$B:$R,16,FALSE)</f>
        <v>NO</v>
      </c>
      <c r="AM472" s="60"/>
      <c r="AN472" s="60"/>
      <c r="AO472" s="57">
        <f>SUM(Table3[[#This Row],[MALE BENEFICIARIES]:[FEMALE BENEFICIARIES]])</f>
        <v>0</v>
      </c>
      <c r="AP472" s="62"/>
      <c r="AQ472" s="62"/>
      <c r="AR472" s="62"/>
      <c r="AS472" s="62"/>
      <c r="AT472" s="63" t="str">
        <f>VLOOKUP(Table3[[#This Row],[ACTIVITY]],TAGS!$B:$R,17,FALSE)</f>
        <v>NO</v>
      </c>
      <c r="AU472" s="63"/>
      <c r="AV472" s="63"/>
      <c r="AW472" s="63"/>
      <c r="AX472" s="63"/>
      <c r="AY472" s="63"/>
      <c r="AZ472" s="63"/>
      <c r="BA472" s="63"/>
      <c r="BB472" s="63"/>
      <c r="BC472" s="63"/>
      <c r="BD472" s="63"/>
      <c r="BE472" s="63"/>
      <c r="BF472" s="63"/>
      <c r="BG472" s="63"/>
      <c r="BH472" s="63"/>
      <c r="BI472" s="63"/>
      <c r="BJ472" s="63"/>
      <c r="BK472" s="63"/>
      <c r="BL472" s="63"/>
      <c r="BM472" s="63"/>
    </row>
    <row r="473" spans="1:65">
      <c r="A473" s="51" t="str">
        <f>VLOOKUP(Table3[[#This Row],[OU]],OU!$A$15:$B$34,2,FALSE)</f>
        <v>RFOs</v>
      </c>
      <c r="B473" s="47" t="s">
        <v>5</v>
      </c>
      <c r="C473" s="47" t="s">
        <v>574</v>
      </c>
      <c r="D473" s="47" t="s">
        <v>745</v>
      </c>
      <c r="E473" s="47" t="s">
        <v>22</v>
      </c>
      <c r="F473" s="47" t="s">
        <v>656</v>
      </c>
      <c r="G47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47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21512000</v>
      </c>
      <c r="I473" s="52" t="str">
        <f>VLOOKUP(Table3[[#This Row],[PSGC]],DISTRICT!$D:$G,4,FALSE)</f>
        <v>3rd</v>
      </c>
      <c r="J473" s="47" t="s">
        <v>578</v>
      </c>
      <c r="K473" s="51" t="str">
        <f>VLOOKUP(Table3[[#This Row],[SPECIFIC COMMODITY]],TAGS!$W$48:$X$53,2,FALSE)</f>
        <v>Corn</v>
      </c>
      <c r="L473" s="51" t="str">
        <f>VLOOKUP(Table3[[#This Row],[PREXC SUB-PROGRAM]],Table5[],2,FALSE)</f>
        <v>AGRICULTURAL  MACHINERY, EQUIPMENT, FACILITIES AND INFRASTRUCTURE PROGRAM</v>
      </c>
      <c r="M473" s="51" t="str">
        <f>VLOOKUP(Table3[[#This Row],[COMMODITY PREXC SUB-PROGRAM]],TAGS!$U$54:$V$76,2,FALSE)</f>
        <v>INS</v>
      </c>
      <c r="N473" s="47" t="s">
        <v>596</v>
      </c>
      <c r="O473" s="54" t="str">
        <f>VLOOKUP(Table3[[#This Row],[PI LEVEL 3]],'PI LEVEL'!A:C,3,FALSE)</f>
        <v>Irrigation machinery distributed</v>
      </c>
      <c r="P473" s="54" t="str">
        <f>VLOOKUP(Table3[[#This Row],[PI LEVEL 3]],Table53729[[Performance Indicator Level 3]:[Performance Indicator Level 1]],2,FALSE)</f>
        <v>Irrigation machinery distributed</v>
      </c>
      <c r="Q473" s="54" t="str">
        <f>VLOOKUP(Table3[[#This Row],[ACTIVITY]],TAGS!B:P,2,FALSE)</f>
        <v>Pump and Engine Set distributed</v>
      </c>
      <c r="R473" s="47" t="s">
        <v>210</v>
      </c>
      <c r="S473" s="51" t="str">
        <f>VLOOKUP(Table3[[#This Row],[ACTIVITY]],TAGS!$B:$P,4,FALSE)</f>
        <v>Small-scale Irrigation Projects</v>
      </c>
      <c r="T473" s="51" t="str">
        <f>VLOOKUP(Table3[[#This Row],[ACTIVITY]],TAGS!$B:$P,5,FALSE)</f>
        <v>Small-scale Irrigation Projects (SSIPs)</v>
      </c>
      <c r="U473" s="51" t="str">
        <f>VLOOKUP(Table3[[#This Row],[ACTIVITY]],TAGS!$B:$P,6,FALSE)</f>
        <v>Open Source Pumping Set</v>
      </c>
      <c r="V473" s="51" t="str">
        <f>VLOOKUP(Table3[[#This Row],[ACTIVITY]],TAGS!$B:$P,7,FALSE)</f>
        <v>YES</v>
      </c>
      <c r="W473" s="51" t="str">
        <f>VLOOKUP(Table3[[#This Row],[ACTIVITY]],TAGS!$B:$P,8,FALSE)</f>
        <v>PAP</v>
      </c>
      <c r="X473" s="51" t="str">
        <f>VLOOKUP(Table3[[#This Row],[ACTIVITY]],TAGS!$B:$P,10,FALSE)</f>
        <v>PIP</v>
      </c>
      <c r="Y473" s="51" t="str">
        <f>VLOOKUP(Table3[[#This Row],[ACTIVITY]],TAGS!$B:$P,11,FALSE)</f>
        <v>PICS</v>
      </c>
      <c r="Z473" s="51" t="str">
        <f>VLOOKUP(Table3[[#This Row],[ACTIVITY]],TAGS!$B:$P,12,FALSE)</f>
        <v>Modernization</v>
      </c>
      <c r="AA473" s="51" t="str">
        <f>VLOOKUP(Table3[[#This Row],[ACTIVITY]],TAGS!$B:$P,13,FALSE)</f>
        <v>8. Farm Mechanization and Farm Investments</v>
      </c>
      <c r="AB473" s="51" t="str">
        <f>VLOOKUP(Table3[[#This Row],[ACTIVITY]],TAGS!$B:$P,14,FALSE)</f>
        <v>EXPAND AND IMPROVE AVAILABLE AGRI-FISHERY AREAS FOR INCREASED PRODUCTION</v>
      </c>
      <c r="AC473" s="51" t="str">
        <f>VLOOKUP(Table3[[#This Row],[ACTIVITY]],TAGS!$B:$P,15,FALSE)</f>
        <v>Irrigation</v>
      </c>
      <c r="AD473" s="51" t="str">
        <f>VLOOKUP(Table3[[#This Row],[PI LEVEL 3]],'PI LEVEL'!$A:$G,7,FALSE)</f>
        <v>DA-Level Output</v>
      </c>
      <c r="AE473" s="47" t="s">
        <v>577</v>
      </c>
      <c r="AF473" s="51" t="str">
        <f>VLOOKUP(Table3[[#This Row],[ACTIVITY]],TAGS!$B:$P,3,FALSE)</f>
        <v>number</v>
      </c>
      <c r="AG473" s="47" t="s">
        <v>335</v>
      </c>
      <c r="AH473" s="51" t="str">
        <f>VLOOKUP(Table3[[#This Row],[MONTH]],TAGS!$W$67:$Y$81,2,FALSE)</f>
        <v>3RD QTR</v>
      </c>
      <c r="AI473" s="51" t="str">
        <f>VLOOKUP(Table3[[#This Row],[MONTH]],TAGS!$W$67:$Y$81,3,FALSE)</f>
        <v>2ND SEMESTER</v>
      </c>
      <c r="AJ473" s="51">
        <f>VLOOKUP(Table3[[#This Row],[MONTH]],TAGS!$W$67:$Z$81,4,FALSE)</f>
        <v>2025</v>
      </c>
      <c r="AK473" s="47">
        <v>10</v>
      </c>
      <c r="AL473" s="51" t="str">
        <f>VLOOKUP(Table3[[#This Row],[ACTIVITY]],TAGS!$B:$R,16,FALSE)</f>
        <v>YES</v>
      </c>
      <c r="AM473" s="47">
        <v>30</v>
      </c>
      <c r="AN473" s="47">
        <v>1000</v>
      </c>
      <c r="AO473" s="57">
        <f>SUM(Table3[[#This Row],[MALE BENEFICIARIES]:[FEMALE BENEFICIARIES]])</f>
        <v>0</v>
      </c>
      <c r="AP473" s="58"/>
      <c r="AQ473" s="58"/>
      <c r="AR473" s="58"/>
      <c r="AS473" s="58">
        <v>1</v>
      </c>
      <c r="AT473" s="59" t="str">
        <f>VLOOKUP(Table3[[#This Row],[ACTIVITY]],TAGS!$B:$R,17,FALSE)</f>
        <v>YES</v>
      </c>
      <c r="AU473" s="59"/>
      <c r="AV473" s="59"/>
      <c r="AW473" s="59"/>
      <c r="AX473" s="59"/>
      <c r="AY473" s="59"/>
      <c r="AZ473" s="59"/>
      <c r="BA473" s="59"/>
      <c r="BB473" s="59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</row>
    <row r="474" spans="1:65">
      <c r="A474" s="54" t="str">
        <f>VLOOKUP(Table3[[#This Row],[OU]],OU!$A$15:$B$34,2,FALSE)</f>
        <v>RFOs</v>
      </c>
      <c r="B474" s="47" t="s">
        <v>5</v>
      </c>
      <c r="C474" s="47" t="s">
        <v>574</v>
      </c>
      <c r="D474" s="60"/>
      <c r="E474" s="47" t="s">
        <v>22</v>
      </c>
      <c r="F474" s="47" t="s">
        <v>656</v>
      </c>
      <c r="G47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474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21512000</v>
      </c>
      <c r="I474" s="61" t="str">
        <f>VLOOKUP(Table3[[#This Row],[PSGC]],DISTRICT!$D:$G,4,FALSE)</f>
        <v>3rd</v>
      </c>
      <c r="J474" s="47" t="s">
        <v>578</v>
      </c>
      <c r="K474" s="51" t="str">
        <f>VLOOKUP(Table3[[#This Row],[SPECIFIC COMMODITY]],TAGS!$W$48:$X$53,2,FALSE)</f>
        <v>Corn</v>
      </c>
      <c r="L474" s="51" t="str">
        <f>VLOOKUP(Table3[[#This Row],[PREXC SUB-PROGRAM]],Table5[],2,FALSE)</f>
        <v>AGRICULTURAL  MACHINERY, EQUIPMENT, FACILITIES AND INFRASTRUCTURE PROGRAM</v>
      </c>
      <c r="M474" s="51" t="str">
        <f>VLOOKUP(Table3[[#This Row],[COMMODITY PREXC SUB-PROGRAM]],TAGS!$U$54:$V$76,2,FALSE)</f>
        <v>INS</v>
      </c>
      <c r="N474" s="47" t="s">
        <v>596</v>
      </c>
      <c r="O474" s="54" t="str">
        <f>VLOOKUP(Table3[[#This Row],[PI LEVEL 3]],'PI LEVEL'!A:C,3,FALSE)</f>
        <v>Service area generated from the establishment and installation of small-scale irrigation projects</v>
      </c>
      <c r="P474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474" s="54" t="str">
        <f>VLOOKUP(Table3[[#This Row],[ACTIVITY]],TAGS!B:P,2,FALSE)</f>
        <v>Service area generated from distribution of Pump and engine set</v>
      </c>
      <c r="R474" s="47" t="s">
        <v>214</v>
      </c>
      <c r="S474" s="54" t="str">
        <f>VLOOKUP(Table3[[#This Row],[ACTIVITY]],TAGS!$B:$P,4,FALSE)</f>
        <v>Service area generated</v>
      </c>
      <c r="T474" s="54" t="str">
        <f>VLOOKUP(Table3[[#This Row],[ACTIVITY]],TAGS!$B:$P,5,FALSE)</f>
        <v>Service area generated</v>
      </c>
      <c r="U474" s="54" t="str">
        <f>VLOOKUP(Table3[[#This Row],[ACTIVITY]],TAGS!$B:$P,6,FALSE)</f>
        <v>Service area generated</v>
      </c>
      <c r="V474" s="54" t="str">
        <f>VLOOKUP(Table3[[#This Row],[ACTIVITY]],TAGS!$B:$P,7,FALSE)</f>
        <v>NO</v>
      </c>
      <c r="W474" s="54" t="str">
        <f>VLOOKUP(Table3[[#This Row],[ACTIVITY]],TAGS!$B:$P,8,FALSE)</f>
        <v>PAP</v>
      </c>
      <c r="X474" s="54" t="str">
        <f>VLOOKUP(Table3[[#This Row],[ACTIVITY]],TAGS!$B:$P,10,FALSE)</f>
        <v>PIP</v>
      </c>
      <c r="Y474" s="54" t="str">
        <f>VLOOKUP(Table3[[#This Row],[ACTIVITY]],TAGS!$B:$P,11,FALSE)</f>
        <v>PICS</v>
      </c>
      <c r="Z474" s="54">
        <f>VLOOKUP(Table3[[#This Row],[ACTIVITY]],TAGS!$B:$P,12,FALSE)</f>
        <v>0</v>
      </c>
      <c r="AA474" s="54">
        <f>VLOOKUP(Table3[[#This Row],[ACTIVITY]],TAGS!$B:$P,13,FALSE)</f>
        <v>0</v>
      </c>
      <c r="AB474" s="54">
        <f>VLOOKUP(Table3[[#This Row],[ACTIVITY]],TAGS!$B:$P,14,FALSE)</f>
        <v>0</v>
      </c>
      <c r="AC474" s="54">
        <f>VLOOKUP(Table3[[#This Row],[ACTIVITY]],TAGS!$B:$P,15,FALSE)</f>
        <v>0</v>
      </c>
      <c r="AD474" s="54" t="str">
        <f>VLOOKUP(Table3[[#This Row],[PI LEVEL 3]],'PI LEVEL'!$A:$G,7,FALSE)</f>
        <v>PREXC/DA-Level Output</v>
      </c>
      <c r="AE474" s="47" t="s">
        <v>577</v>
      </c>
      <c r="AF474" s="54" t="str">
        <f>VLOOKUP(Table3[[#This Row],[ACTIVITY]],TAGS!$B:$P,3,FALSE)</f>
        <v>hectare</v>
      </c>
      <c r="AG474" s="47" t="s">
        <v>335</v>
      </c>
      <c r="AH474" s="54" t="str">
        <f>VLOOKUP(Table3[[#This Row],[MONTH]],TAGS!$W$67:$Y$81,2,FALSE)</f>
        <v>3RD QTR</v>
      </c>
      <c r="AI474" s="54" t="str">
        <f>VLOOKUP(Table3[[#This Row],[MONTH]],TAGS!$W$67:$Y$81,3,FALSE)</f>
        <v>2ND SEMESTER</v>
      </c>
      <c r="AJ474" s="54">
        <f>VLOOKUP(Table3[[#This Row],[MONTH]],TAGS!$W$67:$Z$81,4,FALSE)</f>
        <v>2025</v>
      </c>
      <c r="AK474" s="60">
        <v>30</v>
      </c>
      <c r="AL474" s="54" t="str">
        <f>VLOOKUP(Table3[[#This Row],[ACTIVITY]],TAGS!$B:$R,16,FALSE)</f>
        <v>NO</v>
      </c>
      <c r="AM474" s="60"/>
      <c r="AN474" s="60"/>
      <c r="AO474" s="57">
        <f>SUM(Table3[[#This Row],[MALE BENEFICIARIES]:[FEMALE BENEFICIARIES]])</f>
        <v>0</v>
      </c>
      <c r="AP474" s="62"/>
      <c r="AQ474" s="62"/>
      <c r="AR474" s="62"/>
      <c r="AS474" s="62"/>
      <c r="AT474" s="63" t="str">
        <f>VLOOKUP(Table3[[#This Row],[ACTIVITY]],TAGS!$B:$R,17,FALSE)</f>
        <v>NO</v>
      </c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</row>
    <row r="475" spans="1:65">
      <c r="A475" s="51" t="str">
        <f>VLOOKUP(Table3[[#This Row],[OU]],OU!$A$15:$B$34,2,FALSE)</f>
        <v>RFOs</v>
      </c>
      <c r="B475" s="47" t="s">
        <v>5</v>
      </c>
      <c r="C475" s="47" t="s">
        <v>574</v>
      </c>
      <c r="D475" s="47" t="s">
        <v>746</v>
      </c>
      <c r="E475" s="47" t="s">
        <v>22</v>
      </c>
      <c r="F475" s="47" t="s">
        <v>656</v>
      </c>
      <c r="G47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47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21512000</v>
      </c>
      <c r="I475" s="52" t="str">
        <f>VLOOKUP(Table3[[#This Row],[PSGC]],DISTRICT!$D:$G,4,FALSE)</f>
        <v>3rd</v>
      </c>
      <c r="J475" s="47" t="s">
        <v>578</v>
      </c>
      <c r="K475" s="51" t="str">
        <f>VLOOKUP(Table3[[#This Row],[SPECIFIC COMMODITY]],TAGS!$W$48:$X$53,2,FALSE)</f>
        <v>Corn</v>
      </c>
      <c r="L475" s="51" t="str">
        <f>VLOOKUP(Table3[[#This Row],[PREXC SUB-PROGRAM]],Table5[],2,FALSE)</f>
        <v>AGRICULTURAL  MACHINERY, EQUIPMENT, FACILITIES AND INFRASTRUCTURE PROGRAM</v>
      </c>
      <c r="M475" s="51" t="str">
        <f>VLOOKUP(Table3[[#This Row],[COMMODITY PREXC SUB-PROGRAM]],TAGS!$U$54:$V$76,2,FALSE)</f>
        <v>INS</v>
      </c>
      <c r="N475" s="47" t="s">
        <v>596</v>
      </c>
      <c r="O475" s="54" t="str">
        <f>VLOOKUP(Table3[[#This Row],[PI LEVEL 3]],'PI LEVEL'!A:C,3,FALSE)</f>
        <v>Irrigation machinery distributed</v>
      </c>
      <c r="P475" s="54" t="str">
        <f>VLOOKUP(Table3[[#This Row],[PI LEVEL 3]],Table53729[[Performance Indicator Level 3]:[Performance Indicator Level 1]],2,FALSE)</f>
        <v>Irrigation machinery distributed</v>
      </c>
      <c r="Q475" s="54" t="str">
        <f>VLOOKUP(Table3[[#This Row],[ACTIVITY]],TAGS!B:P,2,FALSE)</f>
        <v>Pump and Engine Set distributed</v>
      </c>
      <c r="R475" s="47" t="s">
        <v>210</v>
      </c>
      <c r="S475" s="51" t="str">
        <f>VLOOKUP(Table3[[#This Row],[ACTIVITY]],TAGS!$B:$P,4,FALSE)</f>
        <v>Small-scale Irrigation Projects</v>
      </c>
      <c r="T475" s="51" t="str">
        <f>VLOOKUP(Table3[[#This Row],[ACTIVITY]],TAGS!$B:$P,5,FALSE)</f>
        <v>Small-scale Irrigation Projects (SSIPs)</v>
      </c>
      <c r="U475" s="51" t="str">
        <f>VLOOKUP(Table3[[#This Row],[ACTIVITY]],TAGS!$B:$P,6,FALSE)</f>
        <v>Open Source Pumping Set</v>
      </c>
      <c r="V475" s="51" t="str">
        <f>VLOOKUP(Table3[[#This Row],[ACTIVITY]],TAGS!$B:$P,7,FALSE)</f>
        <v>YES</v>
      </c>
      <c r="W475" s="51" t="str">
        <f>VLOOKUP(Table3[[#This Row],[ACTIVITY]],TAGS!$B:$P,8,FALSE)</f>
        <v>PAP</v>
      </c>
      <c r="X475" s="51" t="str">
        <f>VLOOKUP(Table3[[#This Row],[ACTIVITY]],TAGS!$B:$P,10,FALSE)</f>
        <v>PIP</v>
      </c>
      <c r="Y475" s="51" t="str">
        <f>VLOOKUP(Table3[[#This Row],[ACTIVITY]],TAGS!$B:$P,11,FALSE)</f>
        <v>PICS</v>
      </c>
      <c r="Z475" s="51" t="str">
        <f>VLOOKUP(Table3[[#This Row],[ACTIVITY]],TAGS!$B:$P,12,FALSE)</f>
        <v>Modernization</v>
      </c>
      <c r="AA475" s="51" t="str">
        <f>VLOOKUP(Table3[[#This Row],[ACTIVITY]],TAGS!$B:$P,13,FALSE)</f>
        <v>8. Farm Mechanization and Farm Investments</v>
      </c>
      <c r="AB475" s="51" t="str">
        <f>VLOOKUP(Table3[[#This Row],[ACTIVITY]],TAGS!$B:$P,14,FALSE)</f>
        <v>EXPAND AND IMPROVE AVAILABLE AGRI-FISHERY AREAS FOR INCREASED PRODUCTION</v>
      </c>
      <c r="AC475" s="51" t="str">
        <f>VLOOKUP(Table3[[#This Row],[ACTIVITY]],TAGS!$B:$P,15,FALSE)</f>
        <v>Irrigation</v>
      </c>
      <c r="AD475" s="51" t="str">
        <f>VLOOKUP(Table3[[#This Row],[PI LEVEL 3]],'PI LEVEL'!$A:$G,7,FALSE)</f>
        <v>DA-Level Output</v>
      </c>
      <c r="AE475" s="47" t="s">
        <v>577</v>
      </c>
      <c r="AF475" s="51" t="str">
        <f>VLOOKUP(Table3[[#This Row],[ACTIVITY]],TAGS!$B:$P,3,FALSE)</f>
        <v>number</v>
      </c>
      <c r="AG475" s="47" t="s">
        <v>335</v>
      </c>
      <c r="AH475" s="51" t="str">
        <f>VLOOKUP(Table3[[#This Row],[MONTH]],TAGS!$W$67:$Y$81,2,FALSE)</f>
        <v>3RD QTR</v>
      </c>
      <c r="AI475" s="51" t="str">
        <f>VLOOKUP(Table3[[#This Row],[MONTH]],TAGS!$W$67:$Y$81,3,FALSE)</f>
        <v>2ND SEMESTER</v>
      </c>
      <c r="AJ475" s="51">
        <f>VLOOKUP(Table3[[#This Row],[MONTH]],TAGS!$W$67:$Z$81,4,FALSE)</f>
        <v>2025</v>
      </c>
      <c r="AK475" s="47">
        <v>10</v>
      </c>
      <c r="AL475" s="51" t="str">
        <f>VLOOKUP(Table3[[#This Row],[ACTIVITY]],TAGS!$B:$R,16,FALSE)</f>
        <v>YES</v>
      </c>
      <c r="AM475" s="47">
        <v>30</v>
      </c>
      <c r="AN475" s="47">
        <v>1000</v>
      </c>
      <c r="AO475" s="57">
        <f>SUM(Table3[[#This Row],[MALE BENEFICIARIES]:[FEMALE BENEFICIARIES]])</f>
        <v>0</v>
      </c>
      <c r="AP475" s="58"/>
      <c r="AQ475" s="58"/>
      <c r="AR475" s="58"/>
      <c r="AS475" s="58">
        <v>1</v>
      </c>
      <c r="AT475" s="59" t="str">
        <f>VLOOKUP(Table3[[#This Row],[ACTIVITY]],TAGS!$B:$R,17,FALSE)</f>
        <v>YES</v>
      </c>
      <c r="AU475" s="59"/>
      <c r="AV475" s="59"/>
      <c r="AW475" s="59"/>
      <c r="AX475" s="59"/>
      <c r="AY475" s="59"/>
      <c r="AZ475" s="59"/>
      <c r="BA475" s="59"/>
      <c r="BB475" s="59"/>
      <c r="BC475" s="59"/>
      <c r="BD475" s="59"/>
      <c r="BE475" s="59"/>
      <c r="BF475" s="59"/>
      <c r="BG475" s="59"/>
      <c r="BH475" s="59"/>
      <c r="BI475" s="59"/>
      <c r="BJ475" s="59"/>
      <c r="BK475" s="59"/>
      <c r="BL475" s="59"/>
      <c r="BM475" s="59"/>
    </row>
    <row r="476" spans="1:65">
      <c r="A476" s="54" t="str">
        <f>VLOOKUP(Table3[[#This Row],[OU]],OU!$A$15:$B$34,2,FALSE)</f>
        <v>RFOs</v>
      </c>
      <c r="B476" s="47" t="s">
        <v>5</v>
      </c>
      <c r="C476" s="47" t="s">
        <v>574</v>
      </c>
      <c r="D476" s="60"/>
      <c r="E476" s="47" t="s">
        <v>22</v>
      </c>
      <c r="F476" s="47" t="s">
        <v>656</v>
      </c>
      <c r="G47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3rd District</v>
      </c>
      <c r="H476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21512000</v>
      </c>
      <c r="I476" s="61" t="str">
        <f>VLOOKUP(Table3[[#This Row],[PSGC]],DISTRICT!$D:$G,4,FALSE)</f>
        <v>3rd</v>
      </c>
      <c r="J476" s="47" t="s">
        <v>578</v>
      </c>
      <c r="K476" s="51" t="str">
        <f>VLOOKUP(Table3[[#This Row],[SPECIFIC COMMODITY]],TAGS!$W$48:$X$53,2,FALSE)</f>
        <v>Corn</v>
      </c>
      <c r="L476" s="51" t="str">
        <f>VLOOKUP(Table3[[#This Row],[PREXC SUB-PROGRAM]],Table5[],2,FALSE)</f>
        <v>AGRICULTURAL  MACHINERY, EQUIPMENT, FACILITIES AND INFRASTRUCTURE PROGRAM</v>
      </c>
      <c r="M476" s="51" t="str">
        <f>VLOOKUP(Table3[[#This Row],[COMMODITY PREXC SUB-PROGRAM]],TAGS!$U$54:$V$76,2,FALSE)</f>
        <v>INS</v>
      </c>
      <c r="N476" s="47" t="s">
        <v>596</v>
      </c>
      <c r="O476" s="54" t="str">
        <f>VLOOKUP(Table3[[#This Row],[PI LEVEL 3]],'PI LEVEL'!A:C,3,FALSE)</f>
        <v>Service area generated from the establishment and installation of small-scale irrigation projects</v>
      </c>
      <c r="P476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476" s="54" t="str">
        <f>VLOOKUP(Table3[[#This Row],[ACTIVITY]],TAGS!B:P,2,FALSE)</f>
        <v>Service area generated from distribution of Pump and engine set</v>
      </c>
      <c r="R476" s="47" t="s">
        <v>214</v>
      </c>
      <c r="S476" s="54" t="str">
        <f>VLOOKUP(Table3[[#This Row],[ACTIVITY]],TAGS!$B:$P,4,FALSE)</f>
        <v>Service area generated</v>
      </c>
      <c r="T476" s="54" t="str">
        <f>VLOOKUP(Table3[[#This Row],[ACTIVITY]],TAGS!$B:$P,5,FALSE)</f>
        <v>Service area generated</v>
      </c>
      <c r="U476" s="54" t="str">
        <f>VLOOKUP(Table3[[#This Row],[ACTIVITY]],TAGS!$B:$P,6,FALSE)</f>
        <v>Service area generated</v>
      </c>
      <c r="V476" s="54" t="str">
        <f>VLOOKUP(Table3[[#This Row],[ACTIVITY]],TAGS!$B:$P,7,FALSE)</f>
        <v>NO</v>
      </c>
      <c r="W476" s="54" t="str">
        <f>VLOOKUP(Table3[[#This Row],[ACTIVITY]],TAGS!$B:$P,8,FALSE)</f>
        <v>PAP</v>
      </c>
      <c r="X476" s="54" t="str">
        <f>VLOOKUP(Table3[[#This Row],[ACTIVITY]],TAGS!$B:$P,10,FALSE)</f>
        <v>PIP</v>
      </c>
      <c r="Y476" s="54" t="str">
        <f>VLOOKUP(Table3[[#This Row],[ACTIVITY]],TAGS!$B:$P,11,FALSE)</f>
        <v>PICS</v>
      </c>
      <c r="Z476" s="54">
        <f>VLOOKUP(Table3[[#This Row],[ACTIVITY]],TAGS!$B:$P,12,FALSE)</f>
        <v>0</v>
      </c>
      <c r="AA476" s="54">
        <f>VLOOKUP(Table3[[#This Row],[ACTIVITY]],TAGS!$B:$P,13,FALSE)</f>
        <v>0</v>
      </c>
      <c r="AB476" s="54">
        <f>VLOOKUP(Table3[[#This Row],[ACTIVITY]],TAGS!$B:$P,14,FALSE)</f>
        <v>0</v>
      </c>
      <c r="AC476" s="54">
        <f>VLOOKUP(Table3[[#This Row],[ACTIVITY]],TAGS!$B:$P,15,FALSE)</f>
        <v>0</v>
      </c>
      <c r="AD476" s="54" t="str">
        <f>VLOOKUP(Table3[[#This Row],[PI LEVEL 3]],'PI LEVEL'!$A:$G,7,FALSE)</f>
        <v>PREXC/DA-Level Output</v>
      </c>
      <c r="AE476" s="47" t="s">
        <v>577</v>
      </c>
      <c r="AF476" s="54" t="str">
        <f>VLOOKUP(Table3[[#This Row],[ACTIVITY]],TAGS!$B:$P,3,FALSE)</f>
        <v>hectare</v>
      </c>
      <c r="AG476" s="47" t="s">
        <v>335</v>
      </c>
      <c r="AH476" s="54" t="str">
        <f>VLOOKUP(Table3[[#This Row],[MONTH]],TAGS!$W$67:$Y$81,2,FALSE)</f>
        <v>3RD QTR</v>
      </c>
      <c r="AI476" s="54" t="str">
        <f>VLOOKUP(Table3[[#This Row],[MONTH]],TAGS!$W$67:$Y$81,3,FALSE)</f>
        <v>2ND SEMESTER</v>
      </c>
      <c r="AJ476" s="54">
        <f>VLOOKUP(Table3[[#This Row],[MONTH]],TAGS!$W$67:$Z$81,4,FALSE)</f>
        <v>2025</v>
      </c>
      <c r="AK476" s="60">
        <v>30</v>
      </c>
      <c r="AL476" s="54" t="str">
        <f>VLOOKUP(Table3[[#This Row],[ACTIVITY]],TAGS!$B:$R,16,FALSE)</f>
        <v>NO</v>
      </c>
      <c r="AM476" s="60"/>
      <c r="AN476" s="60"/>
      <c r="AO476" s="57">
        <f>SUM(Table3[[#This Row],[MALE BENEFICIARIES]:[FEMALE BENEFICIARIES]])</f>
        <v>0</v>
      </c>
      <c r="AP476" s="62"/>
      <c r="AQ476" s="62"/>
      <c r="AR476" s="62"/>
      <c r="AS476" s="62"/>
      <c r="AT476" s="63" t="str">
        <f>VLOOKUP(Table3[[#This Row],[ACTIVITY]],TAGS!$B:$R,17,FALSE)</f>
        <v>NO</v>
      </c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3"/>
      <c r="BF476" s="63"/>
      <c r="BG476" s="63"/>
      <c r="BH476" s="63"/>
      <c r="BI476" s="63"/>
      <c r="BJ476" s="63"/>
      <c r="BK476" s="63"/>
      <c r="BL476" s="63"/>
      <c r="BM476" s="63"/>
    </row>
    <row r="477" spans="1:65">
      <c r="A477" s="51" t="str">
        <f>VLOOKUP(Table3[[#This Row],[OU]],OU!$A$15:$B$34,2,FALSE)</f>
        <v>RFOs</v>
      </c>
      <c r="B477" s="47" t="s">
        <v>5</v>
      </c>
      <c r="C477" s="47" t="s">
        <v>574</v>
      </c>
      <c r="D477" s="47" t="s">
        <v>747</v>
      </c>
      <c r="E477" s="47" t="s">
        <v>43</v>
      </c>
      <c r="F477" s="47" t="s">
        <v>623</v>
      </c>
      <c r="G47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7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23133000</v>
      </c>
      <c r="I477" s="52" t="str">
        <f>VLOOKUP(Table3[[#This Row],[PSGC]],DISTRICT!$D:$G,4,FALSE)</f>
        <v>2nd</v>
      </c>
      <c r="J477" s="47" t="s">
        <v>578</v>
      </c>
      <c r="K477" s="51" t="str">
        <f>VLOOKUP(Table3[[#This Row],[SPECIFIC COMMODITY]],TAGS!$W$48:$X$53,2,FALSE)</f>
        <v>Corn</v>
      </c>
      <c r="L477" s="51" t="str">
        <f>VLOOKUP(Table3[[#This Row],[PREXC SUB-PROGRAM]],Table5[],2,FALSE)</f>
        <v>AGRICULTURAL  MACHINERY, EQUIPMENT, FACILITIES AND INFRASTRUCTURE PROGRAM</v>
      </c>
      <c r="M477" s="51" t="str">
        <f>VLOOKUP(Table3[[#This Row],[COMMODITY PREXC SUB-PROGRAM]],TAGS!$U$54:$V$76,2,FALSE)</f>
        <v>INS</v>
      </c>
      <c r="N477" s="47" t="s">
        <v>596</v>
      </c>
      <c r="O477" s="54" t="str">
        <f>VLOOKUP(Table3[[#This Row],[PI LEVEL 3]],'PI LEVEL'!A:C,3,FALSE)</f>
        <v>Irrigation machinery distributed</v>
      </c>
      <c r="P477" s="54" t="str">
        <f>VLOOKUP(Table3[[#This Row],[PI LEVEL 3]],Table53729[[Performance Indicator Level 3]:[Performance Indicator Level 1]],2,FALSE)</f>
        <v>Irrigation machinery distributed</v>
      </c>
      <c r="Q477" s="54" t="str">
        <f>VLOOKUP(Table3[[#This Row],[ACTIVITY]],TAGS!B:P,2,FALSE)</f>
        <v>Pump and Engine Set distributed</v>
      </c>
      <c r="R477" s="47" t="s">
        <v>210</v>
      </c>
      <c r="S477" s="51" t="str">
        <f>VLOOKUP(Table3[[#This Row],[ACTIVITY]],TAGS!$B:$P,4,FALSE)</f>
        <v>Small-scale Irrigation Projects</v>
      </c>
      <c r="T477" s="51" t="str">
        <f>VLOOKUP(Table3[[#This Row],[ACTIVITY]],TAGS!$B:$P,5,FALSE)</f>
        <v>Small-scale Irrigation Projects (SSIPs)</v>
      </c>
      <c r="U477" s="51" t="str">
        <f>VLOOKUP(Table3[[#This Row],[ACTIVITY]],TAGS!$B:$P,6,FALSE)</f>
        <v>Open Source Pumping Set</v>
      </c>
      <c r="V477" s="51" t="str">
        <f>VLOOKUP(Table3[[#This Row],[ACTIVITY]],TAGS!$B:$P,7,FALSE)</f>
        <v>YES</v>
      </c>
      <c r="W477" s="51" t="str">
        <f>VLOOKUP(Table3[[#This Row],[ACTIVITY]],TAGS!$B:$P,8,FALSE)</f>
        <v>PAP</v>
      </c>
      <c r="X477" s="51" t="str">
        <f>VLOOKUP(Table3[[#This Row],[ACTIVITY]],TAGS!$B:$P,10,FALSE)</f>
        <v>PIP</v>
      </c>
      <c r="Y477" s="51" t="str">
        <f>VLOOKUP(Table3[[#This Row],[ACTIVITY]],TAGS!$B:$P,11,FALSE)</f>
        <v>PICS</v>
      </c>
      <c r="Z477" s="51" t="str">
        <f>VLOOKUP(Table3[[#This Row],[ACTIVITY]],TAGS!$B:$P,12,FALSE)</f>
        <v>Modernization</v>
      </c>
      <c r="AA477" s="51" t="str">
        <f>VLOOKUP(Table3[[#This Row],[ACTIVITY]],TAGS!$B:$P,13,FALSE)</f>
        <v>8. Farm Mechanization and Farm Investments</v>
      </c>
      <c r="AB477" s="51" t="str">
        <f>VLOOKUP(Table3[[#This Row],[ACTIVITY]],TAGS!$B:$P,14,FALSE)</f>
        <v>EXPAND AND IMPROVE AVAILABLE AGRI-FISHERY AREAS FOR INCREASED PRODUCTION</v>
      </c>
      <c r="AC477" s="51" t="str">
        <f>VLOOKUP(Table3[[#This Row],[ACTIVITY]],TAGS!$B:$P,15,FALSE)</f>
        <v>Irrigation</v>
      </c>
      <c r="AD477" s="51" t="str">
        <f>VLOOKUP(Table3[[#This Row],[PI LEVEL 3]],'PI LEVEL'!$A:$G,7,FALSE)</f>
        <v>DA-Level Output</v>
      </c>
      <c r="AE477" s="47" t="s">
        <v>577</v>
      </c>
      <c r="AF477" s="51" t="str">
        <f>VLOOKUP(Table3[[#This Row],[ACTIVITY]],TAGS!$B:$P,3,FALSE)</f>
        <v>number</v>
      </c>
      <c r="AG477" s="47" t="s">
        <v>334</v>
      </c>
      <c r="AH477" s="51" t="str">
        <f>VLOOKUP(Table3[[#This Row],[MONTH]],TAGS!$W$67:$Y$81,2,FALSE)</f>
        <v>3RD QTR</v>
      </c>
      <c r="AI477" s="51" t="str">
        <f>VLOOKUP(Table3[[#This Row],[MONTH]],TAGS!$W$67:$Y$81,3,FALSE)</f>
        <v>2ND SEMESTER</v>
      </c>
      <c r="AJ477" s="51">
        <f>VLOOKUP(Table3[[#This Row],[MONTH]],TAGS!$W$67:$Z$81,4,FALSE)</f>
        <v>2025</v>
      </c>
      <c r="AK477" s="47">
        <v>10</v>
      </c>
      <c r="AL477" s="51" t="str">
        <f>VLOOKUP(Table3[[#This Row],[ACTIVITY]],TAGS!$B:$R,16,FALSE)</f>
        <v>YES</v>
      </c>
      <c r="AM477" s="47">
        <v>30</v>
      </c>
      <c r="AN477" s="47">
        <v>1000</v>
      </c>
      <c r="AO477" s="57">
        <f>SUM(Table3[[#This Row],[MALE BENEFICIARIES]:[FEMALE BENEFICIARIES]])</f>
        <v>0</v>
      </c>
      <c r="AP477" s="58"/>
      <c r="AQ477" s="58"/>
      <c r="AR477" s="58"/>
      <c r="AS477" s="58">
        <v>1</v>
      </c>
      <c r="AT477" s="59" t="str">
        <f>VLOOKUP(Table3[[#This Row],[ACTIVITY]],TAGS!$B:$R,17,FALSE)</f>
        <v>YES</v>
      </c>
      <c r="AU477" s="59"/>
      <c r="AV477" s="59"/>
      <c r="AW477" s="59"/>
      <c r="AX477" s="59"/>
      <c r="AY477" s="59"/>
      <c r="AZ477" s="59"/>
      <c r="BA477" s="59"/>
      <c r="BB477" s="59"/>
      <c r="BC477" s="59"/>
      <c r="BD477" s="59"/>
      <c r="BE477" s="59"/>
      <c r="BF477" s="59"/>
      <c r="BG477" s="59"/>
      <c r="BH477" s="59"/>
      <c r="BI477" s="59"/>
      <c r="BJ477" s="59"/>
      <c r="BK477" s="59"/>
      <c r="BL477" s="59"/>
      <c r="BM477" s="59"/>
    </row>
    <row r="478" spans="1:65">
      <c r="A478" s="54" t="str">
        <f>VLOOKUP(Table3[[#This Row],[OU]],OU!$A$15:$B$34,2,FALSE)</f>
        <v>RFOs</v>
      </c>
      <c r="B478" s="47" t="s">
        <v>5</v>
      </c>
      <c r="C478" s="47" t="s">
        <v>574</v>
      </c>
      <c r="D478" s="60"/>
      <c r="E478" s="47" t="s">
        <v>43</v>
      </c>
      <c r="F478" s="47" t="s">
        <v>623</v>
      </c>
      <c r="G47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78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23133000</v>
      </c>
      <c r="I478" s="61" t="str">
        <f>VLOOKUP(Table3[[#This Row],[PSGC]],DISTRICT!$D:$G,4,FALSE)</f>
        <v>2nd</v>
      </c>
      <c r="J478" s="47" t="s">
        <v>578</v>
      </c>
      <c r="K478" s="51" t="str">
        <f>VLOOKUP(Table3[[#This Row],[SPECIFIC COMMODITY]],TAGS!$W$48:$X$53,2,FALSE)</f>
        <v>Corn</v>
      </c>
      <c r="L478" s="51" t="str">
        <f>VLOOKUP(Table3[[#This Row],[PREXC SUB-PROGRAM]],Table5[],2,FALSE)</f>
        <v>AGRICULTURAL  MACHINERY, EQUIPMENT, FACILITIES AND INFRASTRUCTURE PROGRAM</v>
      </c>
      <c r="M478" s="51" t="str">
        <f>VLOOKUP(Table3[[#This Row],[COMMODITY PREXC SUB-PROGRAM]],TAGS!$U$54:$V$76,2,FALSE)</f>
        <v>INS</v>
      </c>
      <c r="N478" s="47" t="s">
        <v>596</v>
      </c>
      <c r="O478" s="54" t="str">
        <f>VLOOKUP(Table3[[#This Row],[PI LEVEL 3]],'PI LEVEL'!A:C,3,FALSE)</f>
        <v>Service area generated from the establishment and installation of small-scale irrigation projects</v>
      </c>
      <c r="P478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478" s="54" t="str">
        <f>VLOOKUP(Table3[[#This Row],[ACTIVITY]],TAGS!B:P,2,FALSE)</f>
        <v>Service area generated from distribution of Pump and engine set</v>
      </c>
      <c r="R478" s="47" t="s">
        <v>214</v>
      </c>
      <c r="S478" s="54" t="str">
        <f>VLOOKUP(Table3[[#This Row],[ACTIVITY]],TAGS!$B:$P,4,FALSE)</f>
        <v>Service area generated</v>
      </c>
      <c r="T478" s="54" t="str">
        <f>VLOOKUP(Table3[[#This Row],[ACTIVITY]],TAGS!$B:$P,5,FALSE)</f>
        <v>Service area generated</v>
      </c>
      <c r="U478" s="54" t="str">
        <f>VLOOKUP(Table3[[#This Row],[ACTIVITY]],TAGS!$B:$P,6,FALSE)</f>
        <v>Service area generated</v>
      </c>
      <c r="V478" s="54" t="str">
        <f>VLOOKUP(Table3[[#This Row],[ACTIVITY]],TAGS!$B:$P,7,FALSE)</f>
        <v>NO</v>
      </c>
      <c r="W478" s="54" t="str">
        <f>VLOOKUP(Table3[[#This Row],[ACTIVITY]],TAGS!$B:$P,8,FALSE)</f>
        <v>PAP</v>
      </c>
      <c r="X478" s="54" t="str">
        <f>VLOOKUP(Table3[[#This Row],[ACTIVITY]],TAGS!$B:$P,10,FALSE)</f>
        <v>PIP</v>
      </c>
      <c r="Y478" s="54" t="str">
        <f>VLOOKUP(Table3[[#This Row],[ACTIVITY]],TAGS!$B:$P,11,FALSE)</f>
        <v>PICS</v>
      </c>
      <c r="Z478" s="54">
        <f>VLOOKUP(Table3[[#This Row],[ACTIVITY]],TAGS!$B:$P,12,FALSE)</f>
        <v>0</v>
      </c>
      <c r="AA478" s="54">
        <f>VLOOKUP(Table3[[#This Row],[ACTIVITY]],TAGS!$B:$P,13,FALSE)</f>
        <v>0</v>
      </c>
      <c r="AB478" s="54">
        <f>VLOOKUP(Table3[[#This Row],[ACTIVITY]],TAGS!$B:$P,14,FALSE)</f>
        <v>0</v>
      </c>
      <c r="AC478" s="54">
        <f>VLOOKUP(Table3[[#This Row],[ACTIVITY]],TAGS!$B:$P,15,FALSE)</f>
        <v>0</v>
      </c>
      <c r="AD478" s="54" t="str">
        <f>VLOOKUP(Table3[[#This Row],[PI LEVEL 3]],'PI LEVEL'!$A:$G,7,FALSE)</f>
        <v>PREXC/DA-Level Output</v>
      </c>
      <c r="AE478" s="47" t="s">
        <v>577</v>
      </c>
      <c r="AF478" s="54" t="str">
        <f>VLOOKUP(Table3[[#This Row],[ACTIVITY]],TAGS!$B:$P,3,FALSE)</f>
        <v>hectare</v>
      </c>
      <c r="AG478" s="47" t="s">
        <v>334</v>
      </c>
      <c r="AH478" s="54" t="str">
        <f>VLOOKUP(Table3[[#This Row],[MONTH]],TAGS!$W$67:$Y$81,2,FALSE)</f>
        <v>3RD QTR</v>
      </c>
      <c r="AI478" s="54" t="str">
        <f>VLOOKUP(Table3[[#This Row],[MONTH]],TAGS!$W$67:$Y$81,3,FALSE)</f>
        <v>2ND SEMESTER</v>
      </c>
      <c r="AJ478" s="54">
        <f>VLOOKUP(Table3[[#This Row],[MONTH]],TAGS!$W$67:$Z$81,4,FALSE)</f>
        <v>2025</v>
      </c>
      <c r="AK478" s="60">
        <v>30</v>
      </c>
      <c r="AL478" s="54" t="str">
        <f>VLOOKUP(Table3[[#This Row],[ACTIVITY]],TAGS!$B:$R,16,FALSE)</f>
        <v>NO</v>
      </c>
      <c r="AM478" s="60"/>
      <c r="AN478" s="60"/>
      <c r="AO478" s="57">
        <f>SUM(Table3[[#This Row],[MALE BENEFICIARIES]:[FEMALE BENEFICIARIES]])</f>
        <v>0</v>
      </c>
      <c r="AP478" s="62"/>
      <c r="AQ478" s="62"/>
      <c r="AR478" s="62"/>
      <c r="AS478" s="62"/>
      <c r="AT478" s="63" t="str">
        <f>VLOOKUP(Table3[[#This Row],[ACTIVITY]],TAGS!$B:$R,17,FALSE)</f>
        <v>NO</v>
      </c>
      <c r="AU478" s="63"/>
      <c r="AV478" s="63"/>
      <c r="AW478" s="63"/>
      <c r="AX478" s="63"/>
      <c r="AY478" s="63"/>
      <c r="AZ478" s="63"/>
      <c r="BA478" s="63"/>
      <c r="BB478" s="63"/>
      <c r="BC478" s="63"/>
      <c r="BD478" s="63"/>
      <c r="BE478" s="63"/>
      <c r="BF478" s="63"/>
      <c r="BG478" s="63"/>
      <c r="BH478" s="63"/>
      <c r="BI478" s="63"/>
      <c r="BJ478" s="63"/>
      <c r="BK478" s="63"/>
      <c r="BL478" s="63"/>
      <c r="BM478" s="63"/>
    </row>
    <row r="479" spans="1:65">
      <c r="A479" s="51" t="str">
        <f>VLOOKUP(Table3[[#This Row],[OU]],OU!$A$15:$B$34,2,FALSE)</f>
        <v>RFOs</v>
      </c>
      <c r="B479" s="47" t="s">
        <v>5</v>
      </c>
      <c r="C479" s="47" t="s">
        <v>574</v>
      </c>
      <c r="D479" s="47" t="s">
        <v>748</v>
      </c>
      <c r="E479" s="47" t="s">
        <v>43</v>
      </c>
      <c r="F479" s="47" t="s">
        <v>623</v>
      </c>
      <c r="G47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7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23133000</v>
      </c>
      <c r="I479" s="52" t="str">
        <f>VLOOKUP(Table3[[#This Row],[PSGC]],DISTRICT!$D:$G,4,FALSE)</f>
        <v>2nd</v>
      </c>
      <c r="J479" s="47" t="s">
        <v>578</v>
      </c>
      <c r="K479" s="51" t="str">
        <f>VLOOKUP(Table3[[#This Row],[SPECIFIC COMMODITY]],TAGS!$W$48:$X$53,2,FALSE)</f>
        <v>Corn</v>
      </c>
      <c r="L479" s="51" t="str">
        <f>VLOOKUP(Table3[[#This Row],[PREXC SUB-PROGRAM]],Table5[],2,FALSE)</f>
        <v>AGRICULTURAL  MACHINERY, EQUIPMENT, FACILITIES AND INFRASTRUCTURE PROGRAM</v>
      </c>
      <c r="M479" s="51" t="str">
        <f>VLOOKUP(Table3[[#This Row],[COMMODITY PREXC SUB-PROGRAM]],TAGS!$U$54:$V$76,2,FALSE)</f>
        <v>INS</v>
      </c>
      <c r="N479" s="47" t="s">
        <v>596</v>
      </c>
      <c r="O479" s="54" t="str">
        <f>VLOOKUP(Table3[[#This Row],[PI LEVEL 3]],'PI LEVEL'!A:C,3,FALSE)</f>
        <v>Irrigation machinery distributed</v>
      </c>
      <c r="P479" s="54" t="str">
        <f>VLOOKUP(Table3[[#This Row],[PI LEVEL 3]],Table53729[[Performance Indicator Level 3]:[Performance Indicator Level 1]],2,FALSE)</f>
        <v>Irrigation machinery distributed</v>
      </c>
      <c r="Q479" s="54" t="str">
        <f>VLOOKUP(Table3[[#This Row],[ACTIVITY]],TAGS!B:P,2,FALSE)</f>
        <v>Pump and Engine Set distributed</v>
      </c>
      <c r="R479" s="47" t="s">
        <v>210</v>
      </c>
      <c r="S479" s="51" t="str">
        <f>VLOOKUP(Table3[[#This Row],[ACTIVITY]],TAGS!$B:$P,4,FALSE)</f>
        <v>Small-scale Irrigation Projects</v>
      </c>
      <c r="T479" s="51" t="str">
        <f>VLOOKUP(Table3[[#This Row],[ACTIVITY]],TAGS!$B:$P,5,FALSE)</f>
        <v>Small-scale Irrigation Projects (SSIPs)</v>
      </c>
      <c r="U479" s="51" t="str">
        <f>VLOOKUP(Table3[[#This Row],[ACTIVITY]],TAGS!$B:$P,6,FALSE)</f>
        <v>Open Source Pumping Set</v>
      </c>
      <c r="V479" s="51" t="str">
        <f>VLOOKUP(Table3[[#This Row],[ACTIVITY]],TAGS!$B:$P,7,FALSE)</f>
        <v>YES</v>
      </c>
      <c r="W479" s="51" t="str">
        <f>VLOOKUP(Table3[[#This Row],[ACTIVITY]],TAGS!$B:$P,8,FALSE)</f>
        <v>PAP</v>
      </c>
      <c r="X479" s="51" t="str">
        <f>VLOOKUP(Table3[[#This Row],[ACTIVITY]],TAGS!$B:$P,10,FALSE)</f>
        <v>PIP</v>
      </c>
      <c r="Y479" s="51" t="str">
        <f>VLOOKUP(Table3[[#This Row],[ACTIVITY]],TAGS!$B:$P,11,FALSE)</f>
        <v>PICS</v>
      </c>
      <c r="Z479" s="51" t="str">
        <f>VLOOKUP(Table3[[#This Row],[ACTIVITY]],TAGS!$B:$P,12,FALSE)</f>
        <v>Modernization</v>
      </c>
      <c r="AA479" s="51" t="str">
        <f>VLOOKUP(Table3[[#This Row],[ACTIVITY]],TAGS!$B:$P,13,FALSE)</f>
        <v>8. Farm Mechanization and Farm Investments</v>
      </c>
      <c r="AB479" s="51" t="str">
        <f>VLOOKUP(Table3[[#This Row],[ACTIVITY]],TAGS!$B:$P,14,FALSE)</f>
        <v>EXPAND AND IMPROVE AVAILABLE AGRI-FISHERY AREAS FOR INCREASED PRODUCTION</v>
      </c>
      <c r="AC479" s="51" t="str">
        <f>VLOOKUP(Table3[[#This Row],[ACTIVITY]],TAGS!$B:$P,15,FALSE)</f>
        <v>Irrigation</v>
      </c>
      <c r="AD479" s="51" t="str">
        <f>VLOOKUP(Table3[[#This Row],[PI LEVEL 3]],'PI LEVEL'!$A:$G,7,FALSE)</f>
        <v>DA-Level Output</v>
      </c>
      <c r="AE479" s="47" t="s">
        <v>577</v>
      </c>
      <c r="AF479" s="51" t="str">
        <f>VLOOKUP(Table3[[#This Row],[ACTIVITY]],TAGS!$B:$P,3,FALSE)</f>
        <v>number</v>
      </c>
      <c r="AG479" s="47" t="s">
        <v>334</v>
      </c>
      <c r="AH479" s="51" t="str">
        <f>VLOOKUP(Table3[[#This Row],[MONTH]],TAGS!$W$67:$Y$81,2,FALSE)</f>
        <v>3RD QTR</v>
      </c>
      <c r="AI479" s="51" t="str">
        <f>VLOOKUP(Table3[[#This Row],[MONTH]],TAGS!$W$67:$Y$81,3,FALSE)</f>
        <v>2ND SEMESTER</v>
      </c>
      <c r="AJ479" s="51">
        <f>VLOOKUP(Table3[[#This Row],[MONTH]],TAGS!$W$67:$Z$81,4,FALSE)</f>
        <v>2025</v>
      </c>
      <c r="AK479" s="47">
        <v>10</v>
      </c>
      <c r="AL479" s="51" t="str">
        <f>VLOOKUP(Table3[[#This Row],[ACTIVITY]],TAGS!$B:$R,16,FALSE)</f>
        <v>YES</v>
      </c>
      <c r="AM479" s="47">
        <v>30</v>
      </c>
      <c r="AN479" s="47">
        <v>1000</v>
      </c>
      <c r="AO479" s="57">
        <f>SUM(Table3[[#This Row],[MALE BENEFICIARIES]:[FEMALE BENEFICIARIES]])</f>
        <v>0</v>
      </c>
      <c r="AP479" s="58"/>
      <c r="AQ479" s="58"/>
      <c r="AR479" s="58"/>
      <c r="AS479" s="58">
        <v>1</v>
      </c>
      <c r="AT479" s="59" t="str">
        <f>VLOOKUP(Table3[[#This Row],[ACTIVITY]],TAGS!$B:$R,17,FALSE)</f>
        <v>YES</v>
      </c>
      <c r="AU479" s="59"/>
      <c r="AV479" s="59"/>
      <c r="AW479" s="59"/>
      <c r="AX479" s="59"/>
      <c r="AY479" s="59"/>
      <c r="AZ479" s="59"/>
      <c r="BA479" s="59"/>
      <c r="BB479" s="59"/>
      <c r="BC479" s="59"/>
      <c r="BD479" s="59"/>
      <c r="BE479" s="59"/>
      <c r="BF479" s="59"/>
      <c r="BG479" s="59"/>
      <c r="BH479" s="59"/>
      <c r="BI479" s="59"/>
      <c r="BJ479" s="59"/>
      <c r="BK479" s="59"/>
      <c r="BL479" s="59"/>
      <c r="BM479" s="59"/>
    </row>
    <row r="480" spans="1:65">
      <c r="A480" s="54" t="str">
        <f>VLOOKUP(Table3[[#This Row],[OU]],OU!$A$15:$B$34,2,FALSE)</f>
        <v>RFOs</v>
      </c>
      <c r="B480" s="47" t="s">
        <v>5</v>
      </c>
      <c r="C480" s="47" t="s">
        <v>574</v>
      </c>
      <c r="D480" s="60"/>
      <c r="E480" s="47" t="s">
        <v>43</v>
      </c>
      <c r="F480" s="47" t="s">
        <v>623</v>
      </c>
      <c r="G48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80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23133000</v>
      </c>
      <c r="I480" s="61" t="str">
        <f>VLOOKUP(Table3[[#This Row],[PSGC]],DISTRICT!$D:$G,4,FALSE)</f>
        <v>2nd</v>
      </c>
      <c r="J480" s="47" t="s">
        <v>578</v>
      </c>
      <c r="K480" s="51" t="str">
        <f>VLOOKUP(Table3[[#This Row],[SPECIFIC COMMODITY]],TAGS!$W$48:$X$53,2,FALSE)</f>
        <v>Corn</v>
      </c>
      <c r="L480" s="51" t="str">
        <f>VLOOKUP(Table3[[#This Row],[PREXC SUB-PROGRAM]],Table5[],2,FALSE)</f>
        <v>AGRICULTURAL  MACHINERY, EQUIPMENT, FACILITIES AND INFRASTRUCTURE PROGRAM</v>
      </c>
      <c r="M480" s="51" t="str">
        <f>VLOOKUP(Table3[[#This Row],[COMMODITY PREXC SUB-PROGRAM]],TAGS!$U$54:$V$76,2,FALSE)</f>
        <v>INS</v>
      </c>
      <c r="N480" s="47" t="s">
        <v>596</v>
      </c>
      <c r="O480" s="54" t="str">
        <f>VLOOKUP(Table3[[#This Row],[PI LEVEL 3]],'PI LEVEL'!A:C,3,FALSE)</f>
        <v>Service area generated from the establishment and installation of small-scale irrigation projects</v>
      </c>
      <c r="P480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480" s="54" t="str">
        <f>VLOOKUP(Table3[[#This Row],[ACTIVITY]],TAGS!B:P,2,FALSE)</f>
        <v>Service area generated from distribution of Pump and engine set</v>
      </c>
      <c r="R480" s="47" t="s">
        <v>214</v>
      </c>
      <c r="S480" s="54" t="str">
        <f>VLOOKUP(Table3[[#This Row],[ACTIVITY]],TAGS!$B:$P,4,FALSE)</f>
        <v>Service area generated</v>
      </c>
      <c r="T480" s="54" t="str">
        <f>VLOOKUP(Table3[[#This Row],[ACTIVITY]],TAGS!$B:$P,5,FALSE)</f>
        <v>Service area generated</v>
      </c>
      <c r="U480" s="54" t="str">
        <f>VLOOKUP(Table3[[#This Row],[ACTIVITY]],TAGS!$B:$P,6,FALSE)</f>
        <v>Service area generated</v>
      </c>
      <c r="V480" s="54" t="str">
        <f>VLOOKUP(Table3[[#This Row],[ACTIVITY]],TAGS!$B:$P,7,FALSE)</f>
        <v>NO</v>
      </c>
      <c r="W480" s="54" t="str">
        <f>VLOOKUP(Table3[[#This Row],[ACTIVITY]],TAGS!$B:$P,8,FALSE)</f>
        <v>PAP</v>
      </c>
      <c r="X480" s="54" t="str">
        <f>VLOOKUP(Table3[[#This Row],[ACTIVITY]],TAGS!$B:$P,10,FALSE)</f>
        <v>PIP</v>
      </c>
      <c r="Y480" s="54" t="str">
        <f>VLOOKUP(Table3[[#This Row],[ACTIVITY]],TAGS!$B:$P,11,FALSE)</f>
        <v>PICS</v>
      </c>
      <c r="Z480" s="54">
        <f>VLOOKUP(Table3[[#This Row],[ACTIVITY]],TAGS!$B:$P,12,FALSE)</f>
        <v>0</v>
      </c>
      <c r="AA480" s="54">
        <f>VLOOKUP(Table3[[#This Row],[ACTIVITY]],TAGS!$B:$P,13,FALSE)</f>
        <v>0</v>
      </c>
      <c r="AB480" s="54">
        <f>VLOOKUP(Table3[[#This Row],[ACTIVITY]],TAGS!$B:$P,14,FALSE)</f>
        <v>0</v>
      </c>
      <c r="AC480" s="54">
        <f>VLOOKUP(Table3[[#This Row],[ACTIVITY]],TAGS!$B:$P,15,FALSE)</f>
        <v>0</v>
      </c>
      <c r="AD480" s="54" t="str">
        <f>VLOOKUP(Table3[[#This Row],[PI LEVEL 3]],'PI LEVEL'!$A:$G,7,FALSE)</f>
        <v>PREXC/DA-Level Output</v>
      </c>
      <c r="AE480" s="47" t="s">
        <v>577</v>
      </c>
      <c r="AF480" s="54" t="str">
        <f>VLOOKUP(Table3[[#This Row],[ACTIVITY]],TAGS!$B:$P,3,FALSE)</f>
        <v>hectare</v>
      </c>
      <c r="AG480" s="47" t="s">
        <v>334</v>
      </c>
      <c r="AH480" s="54" t="str">
        <f>VLOOKUP(Table3[[#This Row],[MONTH]],TAGS!$W$67:$Y$81,2,FALSE)</f>
        <v>3RD QTR</v>
      </c>
      <c r="AI480" s="54" t="str">
        <f>VLOOKUP(Table3[[#This Row],[MONTH]],TAGS!$W$67:$Y$81,3,FALSE)</f>
        <v>2ND SEMESTER</v>
      </c>
      <c r="AJ480" s="54">
        <f>VLOOKUP(Table3[[#This Row],[MONTH]],TAGS!$W$67:$Z$81,4,FALSE)</f>
        <v>2025</v>
      </c>
      <c r="AK480" s="60">
        <v>30</v>
      </c>
      <c r="AL480" s="54" t="str">
        <f>VLOOKUP(Table3[[#This Row],[ACTIVITY]],TAGS!$B:$R,16,FALSE)</f>
        <v>NO</v>
      </c>
      <c r="AM480" s="60"/>
      <c r="AN480" s="60"/>
      <c r="AO480" s="57">
        <f>SUM(Table3[[#This Row],[MALE BENEFICIARIES]:[FEMALE BENEFICIARIES]])</f>
        <v>0</v>
      </c>
      <c r="AP480" s="62"/>
      <c r="AQ480" s="62"/>
      <c r="AR480" s="62"/>
      <c r="AS480" s="62"/>
      <c r="AT480" s="63" t="str">
        <f>VLOOKUP(Table3[[#This Row],[ACTIVITY]],TAGS!$B:$R,17,FALSE)</f>
        <v>NO</v>
      </c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63"/>
      <c r="BF480" s="63"/>
      <c r="BG480" s="63"/>
      <c r="BH480" s="63"/>
      <c r="BI480" s="63"/>
      <c r="BJ480" s="63"/>
      <c r="BK480" s="63"/>
      <c r="BL480" s="63"/>
      <c r="BM480" s="63"/>
    </row>
    <row r="481" spans="1:65">
      <c r="A481" s="51" t="str">
        <f>VLOOKUP(Table3[[#This Row],[OU]],OU!$A$15:$B$34,2,FALSE)</f>
        <v>RFOs</v>
      </c>
      <c r="B481" s="47" t="s">
        <v>5</v>
      </c>
      <c r="C481" s="47" t="s">
        <v>574</v>
      </c>
      <c r="D481" s="47" t="s">
        <v>749</v>
      </c>
      <c r="E481" s="47" t="s">
        <v>43</v>
      </c>
      <c r="F481" s="47" t="s">
        <v>622</v>
      </c>
      <c r="G48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8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23106000</v>
      </c>
      <c r="I481" s="52" t="str">
        <f>VLOOKUP(Table3[[#This Row],[PSGC]],DISTRICT!$D:$G,4,FALSE)</f>
        <v>1st</v>
      </c>
      <c r="J481" s="47" t="s">
        <v>578</v>
      </c>
      <c r="K481" s="51" t="str">
        <f>VLOOKUP(Table3[[#This Row],[SPECIFIC COMMODITY]],TAGS!$W$48:$X$53,2,FALSE)</f>
        <v>Corn</v>
      </c>
      <c r="L481" s="51" t="str">
        <f>VLOOKUP(Table3[[#This Row],[PREXC SUB-PROGRAM]],Table5[],2,FALSE)</f>
        <v>AGRICULTURAL  MACHINERY, EQUIPMENT, FACILITIES AND INFRASTRUCTURE PROGRAM</v>
      </c>
      <c r="M481" s="51" t="str">
        <f>VLOOKUP(Table3[[#This Row],[COMMODITY PREXC SUB-PROGRAM]],TAGS!$U$54:$V$76,2,FALSE)</f>
        <v>INS</v>
      </c>
      <c r="N481" s="47" t="s">
        <v>596</v>
      </c>
      <c r="O481" s="54" t="str">
        <f>VLOOKUP(Table3[[#This Row],[PI LEVEL 3]],'PI LEVEL'!A:C,3,FALSE)</f>
        <v>Irrigation machinery distributed</v>
      </c>
      <c r="P481" s="54" t="str">
        <f>VLOOKUP(Table3[[#This Row],[PI LEVEL 3]],Table53729[[Performance Indicator Level 3]:[Performance Indicator Level 1]],2,FALSE)</f>
        <v>Irrigation machinery distributed</v>
      </c>
      <c r="Q481" s="54" t="str">
        <f>VLOOKUP(Table3[[#This Row],[ACTIVITY]],TAGS!B:P,2,FALSE)</f>
        <v>Pump and Engine Set distributed</v>
      </c>
      <c r="R481" s="47" t="s">
        <v>210</v>
      </c>
      <c r="S481" s="51" t="str">
        <f>VLOOKUP(Table3[[#This Row],[ACTIVITY]],TAGS!$B:$P,4,FALSE)</f>
        <v>Small-scale Irrigation Projects</v>
      </c>
      <c r="T481" s="51" t="str">
        <f>VLOOKUP(Table3[[#This Row],[ACTIVITY]],TAGS!$B:$P,5,FALSE)</f>
        <v>Small-scale Irrigation Projects (SSIPs)</v>
      </c>
      <c r="U481" s="51" t="str">
        <f>VLOOKUP(Table3[[#This Row],[ACTIVITY]],TAGS!$B:$P,6,FALSE)</f>
        <v>Open Source Pumping Set</v>
      </c>
      <c r="V481" s="51" t="str">
        <f>VLOOKUP(Table3[[#This Row],[ACTIVITY]],TAGS!$B:$P,7,FALSE)</f>
        <v>YES</v>
      </c>
      <c r="W481" s="51" t="str">
        <f>VLOOKUP(Table3[[#This Row],[ACTIVITY]],TAGS!$B:$P,8,FALSE)</f>
        <v>PAP</v>
      </c>
      <c r="X481" s="51" t="str">
        <f>VLOOKUP(Table3[[#This Row],[ACTIVITY]],TAGS!$B:$P,10,FALSE)</f>
        <v>PIP</v>
      </c>
      <c r="Y481" s="51" t="str">
        <f>VLOOKUP(Table3[[#This Row],[ACTIVITY]],TAGS!$B:$P,11,FALSE)</f>
        <v>PICS</v>
      </c>
      <c r="Z481" s="51" t="str">
        <f>VLOOKUP(Table3[[#This Row],[ACTIVITY]],TAGS!$B:$P,12,FALSE)</f>
        <v>Modernization</v>
      </c>
      <c r="AA481" s="51" t="str">
        <f>VLOOKUP(Table3[[#This Row],[ACTIVITY]],TAGS!$B:$P,13,FALSE)</f>
        <v>8. Farm Mechanization and Farm Investments</v>
      </c>
      <c r="AB481" s="51" t="str">
        <f>VLOOKUP(Table3[[#This Row],[ACTIVITY]],TAGS!$B:$P,14,FALSE)</f>
        <v>EXPAND AND IMPROVE AVAILABLE AGRI-FISHERY AREAS FOR INCREASED PRODUCTION</v>
      </c>
      <c r="AC481" s="51" t="str">
        <f>VLOOKUP(Table3[[#This Row],[ACTIVITY]],TAGS!$B:$P,15,FALSE)</f>
        <v>Irrigation</v>
      </c>
      <c r="AD481" s="51" t="str">
        <f>VLOOKUP(Table3[[#This Row],[PI LEVEL 3]],'PI LEVEL'!$A:$G,7,FALSE)</f>
        <v>DA-Level Output</v>
      </c>
      <c r="AE481" s="47" t="s">
        <v>577</v>
      </c>
      <c r="AF481" s="51" t="str">
        <f>VLOOKUP(Table3[[#This Row],[ACTIVITY]],TAGS!$B:$P,3,FALSE)</f>
        <v>number</v>
      </c>
      <c r="AG481" s="47" t="s">
        <v>334</v>
      </c>
      <c r="AH481" s="51" t="str">
        <f>VLOOKUP(Table3[[#This Row],[MONTH]],TAGS!$W$67:$Y$81,2,FALSE)</f>
        <v>3RD QTR</v>
      </c>
      <c r="AI481" s="51" t="str">
        <f>VLOOKUP(Table3[[#This Row],[MONTH]],TAGS!$W$67:$Y$81,3,FALSE)</f>
        <v>2ND SEMESTER</v>
      </c>
      <c r="AJ481" s="51">
        <f>VLOOKUP(Table3[[#This Row],[MONTH]],TAGS!$W$67:$Z$81,4,FALSE)</f>
        <v>2025</v>
      </c>
      <c r="AK481" s="47">
        <v>10</v>
      </c>
      <c r="AL481" s="51" t="str">
        <f>VLOOKUP(Table3[[#This Row],[ACTIVITY]],TAGS!$B:$R,16,FALSE)</f>
        <v>YES</v>
      </c>
      <c r="AM481" s="47">
        <v>30</v>
      </c>
      <c r="AN481" s="47">
        <v>1000</v>
      </c>
      <c r="AO481" s="57">
        <f>SUM(Table3[[#This Row],[MALE BENEFICIARIES]:[FEMALE BENEFICIARIES]])</f>
        <v>0</v>
      </c>
      <c r="AP481" s="58"/>
      <c r="AQ481" s="58"/>
      <c r="AR481" s="58"/>
      <c r="AS481" s="58">
        <v>1</v>
      </c>
      <c r="AT481" s="59" t="str">
        <f>VLOOKUP(Table3[[#This Row],[ACTIVITY]],TAGS!$B:$R,17,FALSE)</f>
        <v>YES</v>
      </c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  <c r="BG481" s="59"/>
      <c r="BH481" s="59"/>
      <c r="BI481" s="59"/>
      <c r="BJ481" s="59"/>
      <c r="BK481" s="59"/>
      <c r="BL481" s="59"/>
      <c r="BM481" s="59"/>
    </row>
    <row r="482" spans="1:65">
      <c r="A482" s="54" t="str">
        <f>VLOOKUP(Table3[[#This Row],[OU]],OU!$A$15:$B$34,2,FALSE)</f>
        <v>RFOs</v>
      </c>
      <c r="B482" s="47" t="s">
        <v>5</v>
      </c>
      <c r="C482" s="47" t="s">
        <v>574</v>
      </c>
      <c r="D482" s="60"/>
      <c r="E482" s="47" t="s">
        <v>43</v>
      </c>
      <c r="F482" s="47" t="s">
        <v>622</v>
      </c>
      <c r="G48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82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23106000</v>
      </c>
      <c r="I482" s="61" t="str">
        <f>VLOOKUP(Table3[[#This Row],[PSGC]],DISTRICT!$D:$G,4,FALSE)</f>
        <v>1st</v>
      </c>
      <c r="J482" s="47" t="s">
        <v>578</v>
      </c>
      <c r="K482" s="51" t="str">
        <f>VLOOKUP(Table3[[#This Row],[SPECIFIC COMMODITY]],TAGS!$W$48:$X$53,2,FALSE)</f>
        <v>Corn</v>
      </c>
      <c r="L482" s="51" t="str">
        <f>VLOOKUP(Table3[[#This Row],[PREXC SUB-PROGRAM]],Table5[],2,FALSE)</f>
        <v>AGRICULTURAL  MACHINERY, EQUIPMENT, FACILITIES AND INFRASTRUCTURE PROGRAM</v>
      </c>
      <c r="M482" s="51" t="str">
        <f>VLOOKUP(Table3[[#This Row],[COMMODITY PREXC SUB-PROGRAM]],TAGS!$U$54:$V$76,2,FALSE)</f>
        <v>INS</v>
      </c>
      <c r="N482" s="47" t="s">
        <v>596</v>
      </c>
      <c r="O482" s="54" t="str">
        <f>VLOOKUP(Table3[[#This Row],[PI LEVEL 3]],'PI LEVEL'!A:C,3,FALSE)</f>
        <v>Service area generated from the establishment and installation of small-scale irrigation projects</v>
      </c>
      <c r="P482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482" s="54" t="str">
        <f>VLOOKUP(Table3[[#This Row],[ACTIVITY]],TAGS!B:P,2,FALSE)</f>
        <v>Service area generated from distribution of Pump and engine set</v>
      </c>
      <c r="R482" s="47" t="s">
        <v>214</v>
      </c>
      <c r="S482" s="54" t="str">
        <f>VLOOKUP(Table3[[#This Row],[ACTIVITY]],TAGS!$B:$P,4,FALSE)</f>
        <v>Service area generated</v>
      </c>
      <c r="T482" s="54" t="str">
        <f>VLOOKUP(Table3[[#This Row],[ACTIVITY]],TAGS!$B:$P,5,FALSE)</f>
        <v>Service area generated</v>
      </c>
      <c r="U482" s="54" t="str">
        <f>VLOOKUP(Table3[[#This Row],[ACTIVITY]],TAGS!$B:$P,6,FALSE)</f>
        <v>Service area generated</v>
      </c>
      <c r="V482" s="54" t="str">
        <f>VLOOKUP(Table3[[#This Row],[ACTIVITY]],TAGS!$B:$P,7,FALSE)</f>
        <v>NO</v>
      </c>
      <c r="W482" s="54" t="str">
        <f>VLOOKUP(Table3[[#This Row],[ACTIVITY]],TAGS!$B:$P,8,FALSE)</f>
        <v>PAP</v>
      </c>
      <c r="X482" s="54" t="str">
        <f>VLOOKUP(Table3[[#This Row],[ACTIVITY]],TAGS!$B:$P,10,FALSE)</f>
        <v>PIP</v>
      </c>
      <c r="Y482" s="54" t="str">
        <f>VLOOKUP(Table3[[#This Row],[ACTIVITY]],TAGS!$B:$P,11,FALSE)</f>
        <v>PICS</v>
      </c>
      <c r="Z482" s="54">
        <f>VLOOKUP(Table3[[#This Row],[ACTIVITY]],TAGS!$B:$P,12,FALSE)</f>
        <v>0</v>
      </c>
      <c r="AA482" s="54">
        <f>VLOOKUP(Table3[[#This Row],[ACTIVITY]],TAGS!$B:$P,13,FALSE)</f>
        <v>0</v>
      </c>
      <c r="AB482" s="54">
        <f>VLOOKUP(Table3[[#This Row],[ACTIVITY]],TAGS!$B:$P,14,FALSE)</f>
        <v>0</v>
      </c>
      <c r="AC482" s="54">
        <f>VLOOKUP(Table3[[#This Row],[ACTIVITY]],TAGS!$B:$P,15,FALSE)</f>
        <v>0</v>
      </c>
      <c r="AD482" s="54" t="str">
        <f>VLOOKUP(Table3[[#This Row],[PI LEVEL 3]],'PI LEVEL'!$A:$G,7,FALSE)</f>
        <v>PREXC/DA-Level Output</v>
      </c>
      <c r="AE482" s="47" t="s">
        <v>577</v>
      </c>
      <c r="AF482" s="54" t="str">
        <f>VLOOKUP(Table3[[#This Row],[ACTIVITY]],TAGS!$B:$P,3,FALSE)</f>
        <v>hectare</v>
      </c>
      <c r="AG482" s="47" t="s">
        <v>334</v>
      </c>
      <c r="AH482" s="54" t="str">
        <f>VLOOKUP(Table3[[#This Row],[MONTH]],TAGS!$W$67:$Y$81,2,FALSE)</f>
        <v>3RD QTR</v>
      </c>
      <c r="AI482" s="54" t="str">
        <f>VLOOKUP(Table3[[#This Row],[MONTH]],TAGS!$W$67:$Y$81,3,FALSE)</f>
        <v>2ND SEMESTER</v>
      </c>
      <c r="AJ482" s="54">
        <f>VLOOKUP(Table3[[#This Row],[MONTH]],TAGS!$W$67:$Z$81,4,FALSE)</f>
        <v>2025</v>
      </c>
      <c r="AK482" s="60">
        <v>30</v>
      </c>
      <c r="AL482" s="54" t="str">
        <f>VLOOKUP(Table3[[#This Row],[ACTIVITY]],TAGS!$B:$R,16,FALSE)</f>
        <v>NO</v>
      </c>
      <c r="AM482" s="60"/>
      <c r="AN482" s="60"/>
      <c r="AO482" s="57">
        <f>SUM(Table3[[#This Row],[MALE BENEFICIARIES]:[FEMALE BENEFICIARIES]])</f>
        <v>0</v>
      </c>
      <c r="AP482" s="62"/>
      <c r="AQ482" s="62"/>
      <c r="AR482" s="62"/>
      <c r="AS482" s="62"/>
      <c r="AT482" s="63" t="str">
        <f>VLOOKUP(Table3[[#This Row],[ACTIVITY]],TAGS!$B:$R,17,FALSE)</f>
        <v>NO</v>
      </c>
      <c r="AU482" s="63"/>
      <c r="AV482" s="63"/>
      <c r="AW482" s="63"/>
      <c r="AX482" s="63"/>
      <c r="AY482" s="63"/>
      <c r="AZ482" s="63"/>
      <c r="BA482" s="63"/>
      <c r="BB482" s="63"/>
      <c r="BC482" s="63"/>
      <c r="BD482" s="63"/>
      <c r="BE482" s="63"/>
      <c r="BF482" s="63"/>
      <c r="BG482" s="63"/>
      <c r="BH482" s="63"/>
      <c r="BI482" s="63"/>
      <c r="BJ482" s="63"/>
      <c r="BK482" s="63"/>
      <c r="BL482" s="63"/>
      <c r="BM482" s="63"/>
    </row>
    <row r="483" spans="1:65">
      <c r="A483" s="51" t="str">
        <f>VLOOKUP(Table3[[#This Row],[OU]],OU!$A$15:$B$34,2,FALSE)</f>
        <v>RFOs</v>
      </c>
      <c r="B483" s="47" t="s">
        <v>5</v>
      </c>
      <c r="C483" s="47" t="s">
        <v>574</v>
      </c>
      <c r="D483" s="47" t="s">
        <v>717</v>
      </c>
      <c r="E483" s="47" t="s">
        <v>43</v>
      </c>
      <c r="F483" s="47" t="s">
        <v>630</v>
      </c>
      <c r="G48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8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23114000</v>
      </c>
      <c r="I483" s="52" t="str">
        <f>VLOOKUP(Table3[[#This Row],[PSGC]],DISTRICT!$D:$G,4,FALSE)</f>
        <v>1st</v>
      </c>
      <c r="J483" s="47" t="s">
        <v>578</v>
      </c>
      <c r="K483" s="51" t="str">
        <f>VLOOKUP(Table3[[#This Row],[SPECIFIC COMMODITY]],TAGS!$W$48:$X$53,2,FALSE)</f>
        <v>Corn</v>
      </c>
      <c r="L483" s="51" t="str">
        <f>VLOOKUP(Table3[[#This Row],[PREXC SUB-PROGRAM]],Table5[],2,FALSE)</f>
        <v>AGRICULTURAL  MACHINERY, EQUIPMENT, FACILITIES AND INFRASTRUCTURE PROGRAM</v>
      </c>
      <c r="M483" s="51" t="str">
        <f>VLOOKUP(Table3[[#This Row],[COMMODITY PREXC SUB-PROGRAM]],TAGS!$U$54:$V$76,2,FALSE)</f>
        <v>INS</v>
      </c>
      <c r="N483" s="47" t="s">
        <v>596</v>
      </c>
      <c r="O483" s="54" t="str">
        <f>VLOOKUP(Table3[[#This Row],[PI LEVEL 3]],'PI LEVEL'!A:C,3,FALSE)</f>
        <v>Irrigation machinery distributed</v>
      </c>
      <c r="P483" s="54" t="str">
        <f>VLOOKUP(Table3[[#This Row],[PI LEVEL 3]],Table53729[[Performance Indicator Level 3]:[Performance Indicator Level 1]],2,FALSE)</f>
        <v>Irrigation machinery distributed</v>
      </c>
      <c r="Q483" s="54" t="str">
        <f>VLOOKUP(Table3[[#This Row],[ACTIVITY]],TAGS!B:P,2,FALSE)</f>
        <v>Pump and Engine Set distributed</v>
      </c>
      <c r="R483" s="47" t="s">
        <v>210</v>
      </c>
      <c r="S483" s="51" t="str">
        <f>VLOOKUP(Table3[[#This Row],[ACTIVITY]],TAGS!$B:$P,4,FALSE)</f>
        <v>Small-scale Irrigation Projects</v>
      </c>
      <c r="T483" s="51" t="str">
        <f>VLOOKUP(Table3[[#This Row],[ACTIVITY]],TAGS!$B:$P,5,FALSE)</f>
        <v>Small-scale Irrigation Projects (SSIPs)</v>
      </c>
      <c r="U483" s="51" t="str">
        <f>VLOOKUP(Table3[[#This Row],[ACTIVITY]],TAGS!$B:$P,6,FALSE)</f>
        <v>Open Source Pumping Set</v>
      </c>
      <c r="V483" s="51" t="str">
        <f>VLOOKUP(Table3[[#This Row],[ACTIVITY]],TAGS!$B:$P,7,FALSE)</f>
        <v>YES</v>
      </c>
      <c r="W483" s="51" t="str">
        <f>VLOOKUP(Table3[[#This Row],[ACTIVITY]],TAGS!$B:$P,8,FALSE)</f>
        <v>PAP</v>
      </c>
      <c r="X483" s="51" t="str">
        <f>VLOOKUP(Table3[[#This Row],[ACTIVITY]],TAGS!$B:$P,10,FALSE)</f>
        <v>PIP</v>
      </c>
      <c r="Y483" s="51" t="str">
        <f>VLOOKUP(Table3[[#This Row],[ACTIVITY]],TAGS!$B:$P,11,FALSE)</f>
        <v>PICS</v>
      </c>
      <c r="Z483" s="51" t="str">
        <f>VLOOKUP(Table3[[#This Row],[ACTIVITY]],TAGS!$B:$P,12,FALSE)</f>
        <v>Modernization</v>
      </c>
      <c r="AA483" s="51" t="str">
        <f>VLOOKUP(Table3[[#This Row],[ACTIVITY]],TAGS!$B:$P,13,FALSE)</f>
        <v>8. Farm Mechanization and Farm Investments</v>
      </c>
      <c r="AB483" s="51" t="str">
        <f>VLOOKUP(Table3[[#This Row],[ACTIVITY]],TAGS!$B:$P,14,FALSE)</f>
        <v>EXPAND AND IMPROVE AVAILABLE AGRI-FISHERY AREAS FOR INCREASED PRODUCTION</v>
      </c>
      <c r="AC483" s="51" t="str">
        <f>VLOOKUP(Table3[[#This Row],[ACTIVITY]],TAGS!$B:$P,15,FALSE)</f>
        <v>Irrigation</v>
      </c>
      <c r="AD483" s="51" t="str">
        <f>VLOOKUP(Table3[[#This Row],[PI LEVEL 3]],'PI LEVEL'!$A:$G,7,FALSE)</f>
        <v>DA-Level Output</v>
      </c>
      <c r="AE483" s="47" t="s">
        <v>577</v>
      </c>
      <c r="AF483" s="51" t="str">
        <f>VLOOKUP(Table3[[#This Row],[ACTIVITY]],TAGS!$B:$P,3,FALSE)</f>
        <v>number</v>
      </c>
      <c r="AG483" s="47" t="s">
        <v>334</v>
      </c>
      <c r="AH483" s="51" t="str">
        <f>VLOOKUP(Table3[[#This Row],[MONTH]],TAGS!$W$67:$Y$81,2,FALSE)</f>
        <v>3RD QTR</v>
      </c>
      <c r="AI483" s="51" t="str">
        <f>VLOOKUP(Table3[[#This Row],[MONTH]],TAGS!$W$67:$Y$81,3,FALSE)</f>
        <v>2ND SEMESTER</v>
      </c>
      <c r="AJ483" s="51">
        <f>VLOOKUP(Table3[[#This Row],[MONTH]],TAGS!$W$67:$Z$81,4,FALSE)</f>
        <v>2025</v>
      </c>
      <c r="AK483" s="47">
        <v>10</v>
      </c>
      <c r="AL483" s="51" t="str">
        <f>VLOOKUP(Table3[[#This Row],[ACTIVITY]],TAGS!$B:$R,16,FALSE)</f>
        <v>YES</v>
      </c>
      <c r="AM483" s="47">
        <v>30</v>
      </c>
      <c r="AN483" s="47">
        <v>1000</v>
      </c>
      <c r="AO483" s="57">
        <f>SUM(Table3[[#This Row],[MALE BENEFICIARIES]:[FEMALE BENEFICIARIES]])</f>
        <v>0</v>
      </c>
      <c r="AP483" s="58"/>
      <c r="AQ483" s="58"/>
      <c r="AR483" s="58"/>
      <c r="AS483" s="58">
        <v>1</v>
      </c>
      <c r="AT483" s="59" t="str">
        <f>VLOOKUP(Table3[[#This Row],[ACTIVITY]],TAGS!$B:$R,17,FALSE)</f>
        <v>YES</v>
      </c>
      <c r="AU483" s="59"/>
      <c r="AV483" s="59"/>
      <c r="AW483" s="59"/>
      <c r="AX483" s="59"/>
      <c r="AY483" s="59"/>
      <c r="AZ483" s="59"/>
      <c r="BA483" s="59"/>
      <c r="BB483" s="59"/>
      <c r="BC483" s="59"/>
      <c r="BD483" s="59"/>
      <c r="BE483" s="59"/>
      <c r="BF483" s="59"/>
      <c r="BG483" s="59"/>
      <c r="BH483" s="59"/>
      <c r="BI483" s="59"/>
      <c r="BJ483" s="59"/>
      <c r="BK483" s="59"/>
      <c r="BL483" s="59"/>
      <c r="BM483" s="59"/>
    </row>
    <row r="484" spans="1:65">
      <c r="A484" s="54" t="str">
        <f>VLOOKUP(Table3[[#This Row],[OU]],OU!$A$15:$B$34,2,FALSE)</f>
        <v>RFOs</v>
      </c>
      <c r="B484" s="47" t="s">
        <v>5</v>
      </c>
      <c r="C484" s="47" t="s">
        <v>574</v>
      </c>
      <c r="D484" s="60"/>
      <c r="E484" s="47" t="s">
        <v>43</v>
      </c>
      <c r="F484" s="47" t="s">
        <v>630</v>
      </c>
      <c r="G48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84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23114000</v>
      </c>
      <c r="I484" s="61" t="str">
        <f>VLOOKUP(Table3[[#This Row],[PSGC]],DISTRICT!$D:$G,4,FALSE)</f>
        <v>1st</v>
      </c>
      <c r="J484" s="47" t="s">
        <v>578</v>
      </c>
      <c r="K484" s="51" t="str">
        <f>VLOOKUP(Table3[[#This Row],[SPECIFIC COMMODITY]],TAGS!$W$48:$X$53,2,FALSE)</f>
        <v>Corn</v>
      </c>
      <c r="L484" s="51" t="str">
        <f>VLOOKUP(Table3[[#This Row],[PREXC SUB-PROGRAM]],Table5[],2,FALSE)</f>
        <v>AGRICULTURAL  MACHINERY, EQUIPMENT, FACILITIES AND INFRASTRUCTURE PROGRAM</v>
      </c>
      <c r="M484" s="51" t="str">
        <f>VLOOKUP(Table3[[#This Row],[COMMODITY PREXC SUB-PROGRAM]],TAGS!$U$54:$V$76,2,FALSE)</f>
        <v>INS</v>
      </c>
      <c r="N484" s="47" t="s">
        <v>596</v>
      </c>
      <c r="O484" s="54" t="str">
        <f>VLOOKUP(Table3[[#This Row],[PI LEVEL 3]],'PI LEVEL'!A:C,3,FALSE)</f>
        <v>Service area generated from the establishment and installation of small-scale irrigation projects</v>
      </c>
      <c r="P484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484" s="54" t="str">
        <f>VLOOKUP(Table3[[#This Row],[ACTIVITY]],TAGS!B:P,2,FALSE)</f>
        <v>Service area generated from distribution of Pump and engine set</v>
      </c>
      <c r="R484" s="47" t="s">
        <v>214</v>
      </c>
      <c r="S484" s="54" t="str">
        <f>VLOOKUP(Table3[[#This Row],[ACTIVITY]],TAGS!$B:$P,4,FALSE)</f>
        <v>Service area generated</v>
      </c>
      <c r="T484" s="54" t="str">
        <f>VLOOKUP(Table3[[#This Row],[ACTIVITY]],TAGS!$B:$P,5,FALSE)</f>
        <v>Service area generated</v>
      </c>
      <c r="U484" s="54" t="str">
        <f>VLOOKUP(Table3[[#This Row],[ACTIVITY]],TAGS!$B:$P,6,FALSE)</f>
        <v>Service area generated</v>
      </c>
      <c r="V484" s="54" t="str">
        <f>VLOOKUP(Table3[[#This Row],[ACTIVITY]],TAGS!$B:$P,7,FALSE)</f>
        <v>NO</v>
      </c>
      <c r="W484" s="54" t="str">
        <f>VLOOKUP(Table3[[#This Row],[ACTIVITY]],TAGS!$B:$P,8,FALSE)</f>
        <v>PAP</v>
      </c>
      <c r="X484" s="54" t="str">
        <f>VLOOKUP(Table3[[#This Row],[ACTIVITY]],TAGS!$B:$P,10,FALSE)</f>
        <v>PIP</v>
      </c>
      <c r="Y484" s="54" t="str">
        <f>VLOOKUP(Table3[[#This Row],[ACTIVITY]],TAGS!$B:$P,11,FALSE)</f>
        <v>PICS</v>
      </c>
      <c r="Z484" s="54">
        <f>VLOOKUP(Table3[[#This Row],[ACTIVITY]],TAGS!$B:$P,12,FALSE)</f>
        <v>0</v>
      </c>
      <c r="AA484" s="54">
        <f>VLOOKUP(Table3[[#This Row],[ACTIVITY]],TAGS!$B:$P,13,FALSE)</f>
        <v>0</v>
      </c>
      <c r="AB484" s="54">
        <f>VLOOKUP(Table3[[#This Row],[ACTIVITY]],TAGS!$B:$P,14,FALSE)</f>
        <v>0</v>
      </c>
      <c r="AC484" s="54">
        <f>VLOOKUP(Table3[[#This Row],[ACTIVITY]],TAGS!$B:$P,15,FALSE)</f>
        <v>0</v>
      </c>
      <c r="AD484" s="54" t="str">
        <f>VLOOKUP(Table3[[#This Row],[PI LEVEL 3]],'PI LEVEL'!$A:$G,7,FALSE)</f>
        <v>PREXC/DA-Level Output</v>
      </c>
      <c r="AE484" s="47" t="s">
        <v>577</v>
      </c>
      <c r="AF484" s="54" t="str">
        <f>VLOOKUP(Table3[[#This Row],[ACTIVITY]],TAGS!$B:$P,3,FALSE)</f>
        <v>hectare</v>
      </c>
      <c r="AG484" s="47" t="s">
        <v>334</v>
      </c>
      <c r="AH484" s="54" t="str">
        <f>VLOOKUP(Table3[[#This Row],[MONTH]],TAGS!$W$67:$Y$81,2,FALSE)</f>
        <v>3RD QTR</v>
      </c>
      <c r="AI484" s="54" t="str">
        <f>VLOOKUP(Table3[[#This Row],[MONTH]],TAGS!$W$67:$Y$81,3,FALSE)</f>
        <v>2ND SEMESTER</v>
      </c>
      <c r="AJ484" s="54">
        <f>VLOOKUP(Table3[[#This Row],[MONTH]],TAGS!$W$67:$Z$81,4,FALSE)</f>
        <v>2025</v>
      </c>
      <c r="AK484" s="60">
        <v>30</v>
      </c>
      <c r="AL484" s="54" t="str">
        <f>VLOOKUP(Table3[[#This Row],[ACTIVITY]],TAGS!$B:$R,16,FALSE)</f>
        <v>NO</v>
      </c>
      <c r="AM484" s="60"/>
      <c r="AN484" s="60"/>
      <c r="AO484" s="57">
        <f>SUM(Table3[[#This Row],[MALE BENEFICIARIES]:[FEMALE BENEFICIARIES]])</f>
        <v>0</v>
      </c>
      <c r="AP484" s="62"/>
      <c r="AQ484" s="62"/>
      <c r="AR484" s="62"/>
      <c r="AS484" s="62"/>
      <c r="AT484" s="63" t="str">
        <f>VLOOKUP(Table3[[#This Row],[ACTIVITY]],TAGS!$B:$R,17,FALSE)</f>
        <v>NO</v>
      </c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63"/>
      <c r="BF484" s="63"/>
      <c r="BG484" s="63"/>
      <c r="BH484" s="63"/>
      <c r="BI484" s="63"/>
      <c r="BJ484" s="63"/>
      <c r="BK484" s="63"/>
      <c r="BL484" s="63"/>
      <c r="BM484" s="63"/>
    </row>
    <row r="485" spans="1:65">
      <c r="A485" s="51" t="str">
        <f>VLOOKUP(Table3[[#This Row],[OU]],OU!$A$15:$B$34,2,FALSE)</f>
        <v>RFOs</v>
      </c>
      <c r="B485" s="47" t="s">
        <v>5</v>
      </c>
      <c r="C485" s="47" t="s">
        <v>574</v>
      </c>
      <c r="D485" s="47" t="s">
        <v>750</v>
      </c>
      <c r="E485" s="47" t="s">
        <v>43</v>
      </c>
      <c r="F485" s="47" t="s">
        <v>630</v>
      </c>
      <c r="G48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8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23114000</v>
      </c>
      <c r="I485" s="52" t="str">
        <f>VLOOKUP(Table3[[#This Row],[PSGC]],DISTRICT!$D:$G,4,FALSE)</f>
        <v>1st</v>
      </c>
      <c r="J485" s="47" t="s">
        <v>578</v>
      </c>
      <c r="K485" s="51" t="str">
        <f>VLOOKUP(Table3[[#This Row],[SPECIFIC COMMODITY]],TAGS!$W$48:$X$53,2,FALSE)</f>
        <v>Corn</v>
      </c>
      <c r="L485" s="51" t="str">
        <f>VLOOKUP(Table3[[#This Row],[PREXC SUB-PROGRAM]],Table5[],2,FALSE)</f>
        <v>AGRICULTURAL  MACHINERY, EQUIPMENT, FACILITIES AND INFRASTRUCTURE PROGRAM</v>
      </c>
      <c r="M485" s="51" t="str">
        <f>VLOOKUP(Table3[[#This Row],[COMMODITY PREXC SUB-PROGRAM]],TAGS!$U$54:$V$76,2,FALSE)</f>
        <v>INS</v>
      </c>
      <c r="N485" s="47" t="s">
        <v>596</v>
      </c>
      <c r="O485" s="54" t="str">
        <f>VLOOKUP(Table3[[#This Row],[PI LEVEL 3]],'PI LEVEL'!A:C,3,FALSE)</f>
        <v>Irrigation machinery distributed</v>
      </c>
      <c r="P485" s="54" t="str">
        <f>VLOOKUP(Table3[[#This Row],[PI LEVEL 3]],Table53729[[Performance Indicator Level 3]:[Performance Indicator Level 1]],2,FALSE)</f>
        <v>Irrigation machinery distributed</v>
      </c>
      <c r="Q485" s="54" t="str">
        <f>VLOOKUP(Table3[[#This Row],[ACTIVITY]],TAGS!B:P,2,FALSE)</f>
        <v>Pump and Engine Set distributed</v>
      </c>
      <c r="R485" s="47" t="s">
        <v>210</v>
      </c>
      <c r="S485" s="51" t="str">
        <f>VLOOKUP(Table3[[#This Row],[ACTIVITY]],TAGS!$B:$P,4,FALSE)</f>
        <v>Small-scale Irrigation Projects</v>
      </c>
      <c r="T485" s="51" t="str">
        <f>VLOOKUP(Table3[[#This Row],[ACTIVITY]],TAGS!$B:$P,5,FALSE)</f>
        <v>Small-scale Irrigation Projects (SSIPs)</v>
      </c>
      <c r="U485" s="51" t="str">
        <f>VLOOKUP(Table3[[#This Row],[ACTIVITY]],TAGS!$B:$P,6,FALSE)</f>
        <v>Open Source Pumping Set</v>
      </c>
      <c r="V485" s="51" t="str">
        <f>VLOOKUP(Table3[[#This Row],[ACTIVITY]],TAGS!$B:$P,7,FALSE)</f>
        <v>YES</v>
      </c>
      <c r="W485" s="51" t="str">
        <f>VLOOKUP(Table3[[#This Row],[ACTIVITY]],TAGS!$B:$P,8,FALSE)</f>
        <v>PAP</v>
      </c>
      <c r="X485" s="51" t="str">
        <f>VLOOKUP(Table3[[#This Row],[ACTIVITY]],TAGS!$B:$P,10,FALSE)</f>
        <v>PIP</v>
      </c>
      <c r="Y485" s="51" t="str">
        <f>VLOOKUP(Table3[[#This Row],[ACTIVITY]],TAGS!$B:$P,11,FALSE)</f>
        <v>PICS</v>
      </c>
      <c r="Z485" s="51" t="str">
        <f>VLOOKUP(Table3[[#This Row],[ACTIVITY]],TAGS!$B:$P,12,FALSE)</f>
        <v>Modernization</v>
      </c>
      <c r="AA485" s="51" t="str">
        <f>VLOOKUP(Table3[[#This Row],[ACTIVITY]],TAGS!$B:$P,13,FALSE)</f>
        <v>8. Farm Mechanization and Farm Investments</v>
      </c>
      <c r="AB485" s="51" t="str">
        <f>VLOOKUP(Table3[[#This Row],[ACTIVITY]],TAGS!$B:$P,14,FALSE)</f>
        <v>EXPAND AND IMPROVE AVAILABLE AGRI-FISHERY AREAS FOR INCREASED PRODUCTION</v>
      </c>
      <c r="AC485" s="51" t="str">
        <f>VLOOKUP(Table3[[#This Row],[ACTIVITY]],TAGS!$B:$P,15,FALSE)</f>
        <v>Irrigation</v>
      </c>
      <c r="AD485" s="51" t="str">
        <f>VLOOKUP(Table3[[#This Row],[PI LEVEL 3]],'PI LEVEL'!$A:$G,7,FALSE)</f>
        <v>DA-Level Output</v>
      </c>
      <c r="AE485" s="47" t="s">
        <v>577</v>
      </c>
      <c r="AF485" s="51" t="str">
        <f>VLOOKUP(Table3[[#This Row],[ACTIVITY]],TAGS!$B:$P,3,FALSE)</f>
        <v>number</v>
      </c>
      <c r="AG485" s="47" t="s">
        <v>334</v>
      </c>
      <c r="AH485" s="51" t="str">
        <f>VLOOKUP(Table3[[#This Row],[MONTH]],TAGS!$W$67:$Y$81,2,FALSE)</f>
        <v>3RD QTR</v>
      </c>
      <c r="AI485" s="51" t="str">
        <f>VLOOKUP(Table3[[#This Row],[MONTH]],TAGS!$W$67:$Y$81,3,FALSE)</f>
        <v>2ND SEMESTER</v>
      </c>
      <c r="AJ485" s="51">
        <f>VLOOKUP(Table3[[#This Row],[MONTH]],TAGS!$W$67:$Z$81,4,FALSE)</f>
        <v>2025</v>
      </c>
      <c r="AK485" s="47">
        <v>10</v>
      </c>
      <c r="AL485" s="51" t="str">
        <f>VLOOKUP(Table3[[#This Row],[ACTIVITY]],TAGS!$B:$R,16,FALSE)</f>
        <v>YES</v>
      </c>
      <c r="AM485" s="47">
        <v>30</v>
      </c>
      <c r="AN485" s="47">
        <v>1000</v>
      </c>
      <c r="AO485" s="57">
        <f>SUM(Table3[[#This Row],[MALE BENEFICIARIES]:[FEMALE BENEFICIARIES]])</f>
        <v>0</v>
      </c>
      <c r="AP485" s="58"/>
      <c r="AQ485" s="58"/>
      <c r="AR485" s="58"/>
      <c r="AS485" s="58">
        <v>1</v>
      </c>
      <c r="AT485" s="59" t="str">
        <f>VLOOKUP(Table3[[#This Row],[ACTIVITY]],TAGS!$B:$R,17,FALSE)</f>
        <v>YES</v>
      </c>
      <c r="AU485" s="59"/>
      <c r="AV485" s="59"/>
      <c r="AW485" s="59"/>
      <c r="AX485" s="59"/>
      <c r="AY485" s="59"/>
      <c r="AZ485" s="59"/>
      <c r="BA485" s="59"/>
      <c r="BB485" s="59"/>
      <c r="BC485" s="59"/>
      <c r="BD485" s="59"/>
      <c r="BE485" s="59"/>
      <c r="BF485" s="59"/>
      <c r="BG485" s="59"/>
      <c r="BH485" s="59"/>
      <c r="BI485" s="59"/>
      <c r="BJ485" s="59"/>
      <c r="BK485" s="59"/>
      <c r="BL485" s="59"/>
      <c r="BM485" s="59"/>
    </row>
    <row r="486" spans="1:65">
      <c r="A486" s="54" t="str">
        <f>VLOOKUP(Table3[[#This Row],[OU]],OU!$A$15:$B$34,2,FALSE)</f>
        <v>RFOs</v>
      </c>
      <c r="B486" s="47" t="s">
        <v>5</v>
      </c>
      <c r="C486" s="47" t="s">
        <v>574</v>
      </c>
      <c r="D486" s="60"/>
      <c r="E486" s="47" t="s">
        <v>43</v>
      </c>
      <c r="F486" s="47" t="s">
        <v>630</v>
      </c>
      <c r="G48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86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23114000</v>
      </c>
      <c r="I486" s="61" t="str">
        <f>VLOOKUP(Table3[[#This Row],[PSGC]],DISTRICT!$D:$G,4,FALSE)</f>
        <v>1st</v>
      </c>
      <c r="J486" s="47" t="s">
        <v>578</v>
      </c>
      <c r="K486" s="51" t="str">
        <f>VLOOKUP(Table3[[#This Row],[SPECIFIC COMMODITY]],TAGS!$W$48:$X$53,2,FALSE)</f>
        <v>Corn</v>
      </c>
      <c r="L486" s="51" t="str">
        <f>VLOOKUP(Table3[[#This Row],[PREXC SUB-PROGRAM]],Table5[],2,FALSE)</f>
        <v>AGRICULTURAL  MACHINERY, EQUIPMENT, FACILITIES AND INFRASTRUCTURE PROGRAM</v>
      </c>
      <c r="M486" s="51" t="str">
        <f>VLOOKUP(Table3[[#This Row],[COMMODITY PREXC SUB-PROGRAM]],TAGS!$U$54:$V$76,2,FALSE)</f>
        <v>INS</v>
      </c>
      <c r="N486" s="47" t="s">
        <v>596</v>
      </c>
      <c r="O486" s="54" t="str">
        <f>VLOOKUP(Table3[[#This Row],[PI LEVEL 3]],'PI LEVEL'!A:C,3,FALSE)</f>
        <v>Service area generated from the establishment and installation of small-scale irrigation projects</v>
      </c>
      <c r="P486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486" s="54" t="str">
        <f>VLOOKUP(Table3[[#This Row],[ACTIVITY]],TAGS!B:P,2,FALSE)</f>
        <v>Service area generated from distribution of Pump and engine set</v>
      </c>
      <c r="R486" s="47" t="s">
        <v>214</v>
      </c>
      <c r="S486" s="54" t="str">
        <f>VLOOKUP(Table3[[#This Row],[ACTIVITY]],TAGS!$B:$P,4,FALSE)</f>
        <v>Service area generated</v>
      </c>
      <c r="T486" s="54" t="str">
        <f>VLOOKUP(Table3[[#This Row],[ACTIVITY]],TAGS!$B:$P,5,FALSE)</f>
        <v>Service area generated</v>
      </c>
      <c r="U486" s="54" t="str">
        <f>VLOOKUP(Table3[[#This Row],[ACTIVITY]],TAGS!$B:$P,6,FALSE)</f>
        <v>Service area generated</v>
      </c>
      <c r="V486" s="54" t="str">
        <f>VLOOKUP(Table3[[#This Row],[ACTIVITY]],TAGS!$B:$P,7,FALSE)</f>
        <v>NO</v>
      </c>
      <c r="W486" s="54" t="str">
        <f>VLOOKUP(Table3[[#This Row],[ACTIVITY]],TAGS!$B:$P,8,FALSE)</f>
        <v>PAP</v>
      </c>
      <c r="X486" s="54" t="str">
        <f>VLOOKUP(Table3[[#This Row],[ACTIVITY]],TAGS!$B:$P,10,FALSE)</f>
        <v>PIP</v>
      </c>
      <c r="Y486" s="54" t="str">
        <f>VLOOKUP(Table3[[#This Row],[ACTIVITY]],TAGS!$B:$P,11,FALSE)</f>
        <v>PICS</v>
      </c>
      <c r="Z486" s="54">
        <f>VLOOKUP(Table3[[#This Row],[ACTIVITY]],TAGS!$B:$P,12,FALSE)</f>
        <v>0</v>
      </c>
      <c r="AA486" s="54">
        <f>VLOOKUP(Table3[[#This Row],[ACTIVITY]],TAGS!$B:$P,13,FALSE)</f>
        <v>0</v>
      </c>
      <c r="AB486" s="54">
        <f>VLOOKUP(Table3[[#This Row],[ACTIVITY]],TAGS!$B:$P,14,FALSE)</f>
        <v>0</v>
      </c>
      <c r="AC486" s="54">
        <f>VLOOKUP(Table3[[#This Row],[ACTIVITY]],TAGS!$B:$P,15,FALSE)</f>
        <v>0</v>
      </c>
      <c r="AD486" s="54" t="str">
        <f>VLOOKUP(Table3[[#This Row],[PI LEVEL 3]],'PI LEVEL'!$A:$G,7,FALSE)</f>
        <v>PREXC/DA-Level Output</v>
      </c>
      <c r="AE486" s="47" t="s">
        <v>577</v>
      </c>
      <c r="AF486" s="54" t="str">
        <f>VLOOKUP(Table3[[#This Row],[ACTIVITY]],TAGS!$B:$P,3,FALSE)</f>
        <v>hectare</v>
      </c>
      <c r="AG486" s="47" t="s">
        <v>334</v>
      </c>
      <c r="AH486" s="54" t="str">
        <f>VLOOKUP(Table3[[#This Row],[MONTH]],TAGS!$W$67:$Y$81,2,FALSE)</f>
        <v>3RD QTR</v>
      </c>
      <c r="AI486" s="54" t="str">
        <f>VLOOKUP(Table3[[#This Row],[MONTH]],TAGS!$W$67:$Y$81,3,FALSE)</f>
        <v>2ND SEMESTER</v>
      </c>
      <c r="AJ486" s="54">
        <f>VLOOKUP(Table3[[#This Row],[MONTH]],TAGS!$W$67:$Z$81,4,FALSE)</f>
        <v>2025</v>
      </c>
      <c r="AK486" s="60">
        <v>30</v>
      </c>
      <c r="AL486" s="54" t="str">
        <f>VLOOKUP(Table3[[#This Row],[ACTIVITY]],TAGS!$B:$R,16,FALSE)</f>
        <v>NO</v>
      </c>
      <c r="AM486" s="60"/>
      <c r="AN486" s="60"/>
      <c r="AO486" s="57">
        <f>SUM(Table3[[#This Row],[MALE BENEFICIARIES]:[FEMALE BENEFICIARIES]])</f>
        <v>0</v>
      </c>
      <c r="AP486" s="62"/>
      <c r="AQ486" s="62"/>
      <c r="AR486" s="62"/>
      <c r="AS486" s="62"/>
      <c r="AT486" s="63" t="str">
        <f>VLOOKUP(Table3[[#This Row],[ACTIVITY]],TAGS!$B:$R,17,FALSE)</f>
        <v>NO</v>
      </c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</row>
    <row r="487" spans="1:65">
      <c r="A487" s="51" t="str">
        <f>VLOOKUP(Table3[[#This Row],[OU]],OU!$A$15:$B$34,2,FALSE)</f>
        <v>RFOs</v>
      </c>
      <c r="B487" s="47" t="s">
        <v>5</v>
      </c>
      <c r="C487" s="47" t="s">
        <v>574</v>
      </c>
      <c r="D487" s="47" t="s">
        <v>751</v>
      </c>
      <c r="E487" s="47" t="s">
        <v>43</v>
      </c>
      <c r="F487" s="47" t="s">
        <v>630</v>
      </c>
      <c r="G48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8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23114000</v>
      </c>
      <c r="I487" s="52" t="str">
        <f>VLOOKUP(Table3[[#This Row],[PSGC]],DISTRICT!$D:$G,4,FALSE)</f>
        <v>1st</v>
      </c>
      <c r="J487" s="47" t="s">
        <v>578</v>
      </c>
      <c r="K487" s="51" t="str">
        <f>VLOOKUP(Table3[[#This Row],[SPECIFIC COMMODITY]],TAGS!$W$48:$X$53,2,FALSE)</f>
        <v>Corn</v>
      </c>
      <c r="L487" s="51" t="str">
        <f>VLOOKUP(Table3[[#This Row],[PREXC SUB-PROGRAM]],Table5[],2,FALSE)</f>
        <v>AGRICULTURAL  MACHINERY, EQUIPMENT, FACILITIES AND INFRASTRUCTURE PROGRAM</v>
      </c>
      <c r="M487" s="51" t="str">
        <f>VLOOKUP(Table3[[#This Row],[COMMODITY PREXC SUB-PROGRAM]],TAGS!$U$54:$V$76,2,FALSE)</f>
        <v>INS</v>
      </c>
      <c r="N487" s="47" t="s">
        <v>596</v>
      </c>
      <c r="O487" s="54" t="str">
        <f>VLOOKUP(Table3[[#This Row],[PI LEVEL 3]],'PI LEVEL'!A:C,3,FALSE)</f>
        <v>Irrigation machinery distributed</v>
      </c>
      <c r="P487" s="54" t="str">
        <f>VLOOKUP(Table3[[#This Row],[PI LEVEL 3]],Table53729[[Performance Indicator Level 3]:[Performance Indicator Level 1]],2,FALSE)</f>
        <v>Irrigation machinery distributed</v>
      </c>
      <c r="Q487" s="54" t="str">
        <f>VLOOKUP(Table3[[#This Row],[ACTIVITY]],TAGS!B:P,2,FALSE)</f>
        <v>Pump and Engine Set distributed</v>
      </c>
      <c r="R487" s="47" t="s">
        <v>210</v>
      </c>
      <c r="S487" s="51" t="str">
        <f>VLOOKUP(Table3[[#This Row],[ACTIVITY]],TAGS!$B:$P,4,FALSE)</f>
        <v>Small-scale Irrigation Projects</v>
      </c>
      <c r="T487" s="51" t="str">
        <f>VLOOKUP(Table3[[#This Row],[ACTIVITY]],TAGS!$B:$P,5,FALSE)</f>
        <v>Small-scale Irrigation Projects (SSIPs)</v>
      </c>
      <c r="U487" s="51" t="str">
        <f>VLOOKUP(Table3[[#This Row],[ACTIVITY]],TAGS!$B:$P,6,FALSE)</f>
        <v>Open Source Pumping Set</v>
      </c>
      <c r="V487" s="51" t="str">
        <f>VLOOKUP(Table3[[#This Row],[ACTIVITY]],TAGS!$B:$P,7,FALSE)</f>
        <v>YES</v>
      </c>
      <c r="W487" s="51" t="str">
        <f>VLOOKUP(Table3[[#This Row],[ACTIVITY]],TAGS!$B:$P,8,FALSE)</f>
        <v>PAP</v>
      </c>
      <c r="X487" s="51" t="str">
        <f>VLOOKUP(Table3[[#This Row],[ACTIVITY]],TAGS!$B:$P,10,FALSE)</f>
        <v>PIP</v>
      </c>
      <c r="Y487" s="51" t="str">
        <f>VLOOKUP(Table3[[#This Row],[ACTIVITY]],TAGS!$B:$P,11,FALSE)</f>
        <v>PICS</v>
      </c>
      <c r="Z487" s="51" t="str">
        <f>VLOOKUP(Table3[[#This Row],[ACTIVITY]],TAGS!$B:$P,12,FALSE)</f>
        <v>Modernization</v>
      </c>
      <c r="AA487" s="51" t="str">
        <f>VLOOKUP(Table3[[#This Row],[ACTIVITY]],TAGS!$B:$P,13,FALSE)</f>
        <v>8. Farm Mechanization and Farm Investments</v>
      </c>
      <c r="AB487" s="51" t="str">
        <f>VLOOKUP(Table3[[#This Row],[ACTIVITY]],TAGS!$B:$P,14,FALSE)</f>
        <v>EXPAND AND IMPROVE AVAILABLE AGRI-FISHERY AREAS FOR INCREASED PRODUCTION</v>
      </c>
      <c r="AC487" s="51" t="str">
        <f>VLOOKUP(Table3[[#This Row],[ACTIVITY]],TAGS!$B:$P,15,FALSE)</f>
        <v>Irrigation</v>
      </c>
      <c r="AD487" s="51" t="str">
        <f>VLOOKUP(Table3[[#This Row],[PI LEVEL 3]],'PI LEVEL'!$A:$G,7,FALSE)</f>
        <v>DA-Level Output</v>
      </c>
      <c r="AE487" s="47" t="s">
        <v>577</v>
      </c>
      <c r="AF487" s="51" t="str">
        <f>VLOOKUP(Table3[[#This Row],[ACTIVITY]],TAGS!$B:$P,3,FALSE)</f>
        <v>number</v>
      </c>
      <c r="AG487" s="47" t="s">
        <v>335</v>
      </c>
      <c r="AH487" s="51" t="str">
        <f>VLOOKUP(Table3[[#This Row],[MONTH]],TAGS!$W$67:$Y$81,2,FALSE)</f>
        <v>3RD QTR</v>
      </c>
      <c r="AI487" s="51" t="str">
        <f>VLOOKUP(Table3[[#This Row],[MONTH]],TAGS!$W$67:$Y$81,3,FALSE)</f>
        <v>2ND SEMESTER</v>
      </c>
      <c r="AJ487" s="51">
        <f>VLOOKUP(Table3[[#This Row],[MONTH]],TAGS!$W$67:$Z$81,4,FALSE)</f>
        <v>2025</v>
      </c>
      <c r="AK487" s="47">
        <v>10</v>
      </c>
      <c r="AL487" s="51" t="str">
        <f>VLOOKUP(Table3[[#This Row],[ACTIVITY]],TAGS!$B:$R,16,FALSE)</f>
        <v>YES</v>
      </c>
      <c r="AM487" s="47">
        <v>30</v>
      </c>
      <c r="AN487" s="47">
        <v>1000</v>
      </c>
      <c r="AO487" s="57">
        <f>SUM(Table3[[#This Row],[MALE BENEFICIARIES]:[FEMALE BENEFICIARIES]])</f>
        <v>0</v>
      </c>
      <c r="AP487" s="58"/>
      <c r="AQ487" s="58"/>
      <c r="AR487" s="58"/>
      <c r="AS487" s="58">
        <v>1</v>
      </c>
      <c r="AT487" s="59" t="str">
        <f>VLOOKUP(Table3[[#This Row],[ACTIVITY]],TAGS!$B:$R,17,FALSE)</f>
        <v>YES</v>
      </c>
      <c r="AU487" s="59"/>
      <c r="AV487" s="59"/>
      <c r="AW487" s="59"/>
      <c r="AX487" s="59"/>
      <c r="AY487" s="59"/>
      <c r="AZ487" s="59"/>
      <c r="BA487" s="59"/>
      <c r="BB487" s="59"/>
      <c r="BC487" s="59"/>
      <c r="BD487" s="59"/>
      <c r="BE487" s="59"/>
      <c r="BF487" s="59"/>
      <c r="BG487" s="59"/>
      <c r="BH487" s="59"/>
      <c r="BI487" s="59"/>
      <c r="BJ487" s="59"/>
      <c r="BK487" s="59"/>
      <c r="BL487" s="59"/>
      <c r="BM487" s="59"/>
    </row>
    <row r="488" spans="1:65">
      <c r="A488" s="54" t="str">
        <f>VLOOKUP(Table3[[#This Row],[OU]],OU!$A$15:$B$34,2,FALSE)</f>
        <v>RFOs</v>
      </c>
      <c r="B488" s="47" t="s">
        <v>5</v>
      </c>
      <c r="C488" s="47" t="s">
        <v>574</v>
      </c>
      <c r="D488" s="60"/>
      <c r="E488" s="47" t="s">
        <v>43</v>
      </c>
      <c r="F488" s="47" t="s">
        <v>630</v>
      </c>
      <c r="G48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88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23114000</v>
      </c>
      <c r="I488" s="61" t="str">
        <f>VLOOKUP(Table3[[#This Row],[PSGC]],DISTRICT!$D:$G,4,FALSE)</f>
        <v>1st</v>
      </c>
      <c r="J488" s="47" t="s">
        <v>578</v>
      </c>
      <c r="K488" s="51" t="str">
        <f>VLOOKUP(Table3[[#This Row],[SPECIFIC COMMODITY]],TAGS!$W$48:$X$53,2,FALSE)</f>
        <v>Corn</v>
      </c>
      <c r="L488" s="51" t="str">
        <f>VLOOKUP(Table3[[#This Row],[PREXC SUB-PROGRAM]],Table5[],2,FALSE)</f>
        <v>AGRICULTURAL  MACHINERY, EQUIPMENT, FACILITIES AND INFRASTRUCTURE PROGRAM</v>
      </c>
      <c r="M488" s="51" t="str">
        <f>VLOOKUP(Table3[[#This Row],[COMMODITY PREXC SUB-PROGRAM]],TAGS!$U$54:$V$76,2,FALSE)</f>
        <v>INS</v>
      </c>
      <c r="N488" s="47" t="s">
        <v>596</v>
      </c>
      <c r="O488" s="54" t="str">
        <f>VLOOKUP(Table3[[#This Row],[PI LEVEL 3]],'PI LEVEL'!A:C,3,FALSE)</f>
        <v>Service area generated from the establishment and installation of small-scale irrigation projects</v>
      </c>
      <c r="P488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488" s="54" t="str">
        <f>VLOOKUP(Table3[[#This Row],[ACTIVITY]],TAGS!B:P,2,FALSE)</f>
        <v>Service area generated from distribution of Pump and engine set</v>
      </c>
      <c r="R488" s="47" t="s">
        <v>214</v>
      </c>
      <c r="S488" s="54" t="str">
        <f>VLOOKUP(Table3[[#This Row],[ACTIVITY]],TAGS!$B:$P,4,FALSE)</f>
        <v>Service area generated</v>
      </c>
      <c r="T488" s="54" t="str">
        <f>VLOOKUP(Table3[[#This Row],[ACTIVITY]],TAGS!$B:$P,5,FALSE)</f>
        <v>Service area generated</v>
      </c>
      <c r="U488" s="54" t="str">
        <f>VLOOKUP(Table3[[#This Row],[ACTIVITY]],TAGS!$B:$P,6,FALSE)</f>
        <v>Service area generated</v>
      </c>
      <c r="V488" s="54" t="str">
        <f>VLOOKUP(Table3[[#This Row],[ACTIVITY]],TAGS!$B:$P,7,FALSE)</f>
        <v>NO</v>
      </c>
      <c r="W488" s="54" t="str">
        <f>VLOOKUP(Table3[[#This Row],[ACTIVITY]],TAGS!$B:$P,8,FALSE)</f>
        <v>PAP</v>
      </c>
      <c r="X488" s="54" t="str">
        <f>VLOOKUP(Table3[[#This Row],[ACTIVITY]],TAGS!$B:$P,10,FALSE)</f>
        <v>PIP</v>
      </c>
      <c r="Y488" s="54" t="str">
        <f>VLOOKUP(Table3[[#This Row],[ACTIVITY]],TAGS!$B:$P,11,FALSE)</f>
        <v>PICS</v>
      </c>
      <c r="Z488" s="54">
        <f>VLOOKUP(Table3[[#This Row],[ACTIVITY]],TAGS!$B:$P,12,FALSE)</f>
        <v>0</v>
      </c>
      <c r="AA488" s="54">
        <f>VLOOKUP(Table3[[#This Row],[ACTIVITY]],TAGS!$B:$P,13,FALSE)</f>
        <v>0</v>
      </c>
      <c r="AB488" s="54">
        <f>VLOOKUP(Table3[[#This Row],[ACTIVITY]],TAGS!$B:$P,14,FALSE)</f>
        <v>0</v>
      </c>
      <c r="AC488" s="54">
        <f>VLOOKUP(Table3[[#This Row],[ACTIVITY]],TAGS!$B:$P,15,FALSE)</f>
        <v>0</v>
      </c>
      <c r="AD488" s="54" t="str">
        <f>VLOOKUP(Table3[[#This Row],[PI LEVEL 3]],'PI LEVEL'!$A:$G,7,FALSE)</f>
        <v>PREXC/DA-Level Output</v>
      </c>
      <c r="AE488" s="47" t="s">
        <v>577</v>
      </c>
      <c r="AF488" s="54" t="str">
        <f>VLOOKUP(Table3[[#This Row],[ACTIVITY]],TAGS!$B:$P,3,FALSE)</f>
        <v>hectare</v>
      </c>
      <c r="AG488" s="47" t="s">
        <v>335</v>
      </c>
      <c r="AH488" s="54" t="str">
        <f>VLOOKUP(Table3[[#This Row],[MONTH]],TAGS!$W$67:$Y$81,2,FALSE)</f>
        <v>3RD QTR</v>
      </c>
      <c r="AI488" s="54" t="str">
        <f>VLOOKUP(Table3[[#This Row],[MONTH]],TAGS!$W$67:$Y$81,3,FALSE)</f>
        <v>2ND SEMESTER</v>
      </c>
      <c r="AJ488" s="54">
        <f>VLOOKUP(Table3[[#This Row],[MONTH]],TAGS!$W$67:$Z$81,4,FALSE)</f>
        <v>2025</v>
      </c>
      <c r="AK488" s="60">
        <v>30</v>
      </c>
      <c r="AL488" s="54" t="str">
        <f>VLOOKUP(Table3[[#This Row],[ACTIVITY]],TAGS!$B:$R,16,FALSE)</f>
        <v>NO</v>
      </c>
      <c r="AM488" s="60"/>
      <c r="AN488" s="60"/>
      <c r="AO488" s="57">
        <f>SUM(Table3[[#This Row],[MALE BENEFICIARIES]:[FEMALE BENEFICIARIES]])</f>
        <v>0</v>
      </c>
      <c r="AP488" s="62"/>
      <c r="AQ488" s="62"/>
      <c r="AR488" s="62"/>
      <c r="AS488" s="62"/>
      <c r="AT488" s="63" t="str">
        <f>VLOOKUP(Table3[[#This Row],[ACTIVITY]],TAGS!$B:$R,17,FALSE)</f>
        <v>NO</v>
      </c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63"/>
      <c r="BF488" s="63"/>
      <c r="BG488" s="63"/>
      <c r="BH488" s="63"/>
      <c r="BI488" s="63"/>
      <c r="BJ488" s="63"/>
      <c r="BK488" s="63"/>
      <c r="BL488" s="63"/>
      <c r="BM488" s="63"/>
    </row>
    <row r="489" spans="1:65">
      <c r="A489" s="51" t="str">
        <f>VLOOKUP(Table3[[#This Row],[OU]],OU!$A$15:$B$34,2,FALSE)</f>
        <v>RFOs</v>
      </c>
      <c r="B489" s="47" t="s">
        <v>5</v>
      </c>
      <c r="C489" s="47" t="s">
        <v>574</v>
      </c>
      <c r="D489" s="47" t="s">
        <v>752</v>
      </c>
      <c r="E489" s="47" t="s">
        <v>43</v>
      </c>
      <c r="F489" s="47" t="s">
        <v>624</v>
      </c>
      <c r="G48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8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23134000</v>
      </c>
      <c r="I489" s="52" t="str">
        <f>VLOOKUP(Table3[[#This Row],[PSGC]],DISTRICT!$D:$G,4,FALSE)</f>
        <v>4th</v>
      </c>
      <c r="J489" s="47" t="s">
        <v>578</v>
      </c>
      <c r="K489" s="51" t="str">
        <f>VLOOKUP(Table3[[#This Row],[SPECIFIC COMMODITY]],TAGS!$W$48:$X$53,2,FALSE)</f>
        <v>Corn</v>
      </c>
      <c r="L489" s="51" t="str">
        <f>VLOOKUP(Table3[[#This Row],[PREXC SUB-PROGRAM]],Table5[],2,FALSE)</f>
        <v>AGRICULTURAL  MACHINERY, EQUIPMENT, FACILITIES AND INFRASTRUCTURE PROGRAM</v>
      </c>
      <c r="M489" s="51" t="str">
        <f>VLOOKUP(Table3[[#This Row],[COMMODITY PREXC SUB-PROGRAM]],TAGS!$U$54:$V$76,2,FALSE)</f>
        <v>INS</v>
      </c>
      <c r="N489" s="47" t="s">
        <v>596</v>
      </c>
      <c r="O489" s="54" t="str">
        <f>VLOOKUP(Table3[[#This Row],[PI LEVEL 3]],'PI LEVEL'!A:C,3,FALSE)</f>
        <v>Irrigation machinery distributed</v>
      </c>
      <c r="P489" s="54" t="str">
        <f>VLOOKUP(Table3[[#This Row],[PI LEVEL 3]],Table53729[[Performance Indicator Level 3]:[Performance Indicator Level 1]],2,FALSE)</f>
        <v>Irrigation machinery distributed</v>
      </c>
      <c r="Q489" s="54" t="str">
        <f>VLOOKUP(Table3[[#This Row],[ACTIVITY]],TAGS!B:P,2,FALSE)</f>
        <v>Pump and Engine Set distributed</v>
      </c>
      <c r="R489" s="47" t="s">
        <v>210</v>
      </c>
      <c r="S489" s="51" t="str">
        <f>VLOOKUP(Table3[[#This Row],[ACTIVITY]],TAGS!$B:$P,4,FALSE)</f>
        <v>Small-scale Irrigation Projects</v>
      </c>
      <c r="T489" s="51" t="str">
        <f>VLOOKUP(Table3[[#This Row],[ACTIVITY]],TAGS!$B:$P,5,FALSE)</f>
        <v>Small-scale Irrigation Projects (SSIPs)</v>
      </c>
      <c r="U489" s="51" t="str">
        <f>VLOOKUP(Table3[[#This Row],[ACTIVITY]],TAGS!$B:$P,6,FALSE)</f>
        <v>Open Source Pumping Set</v>
      </c>
      <c r="V489" s="51" t="str">
        <f>VLOOKUP(Table3[[#This Row],[ACTIVITY]],TAGS!$B:$P,7,FALSE)</f>
        <v>YES</v>
      </c>
      <c r="W489" s="51" t="str">
        <f>VLOOKUP(Table3[[#This Row],[ACTIVITY]],TAGS!$B:$P,8,FALSE)</f>
        <v>PAP</v>
      </c>
      <c r="X489" s="51" t="str">
        <f>VLOOKUP(Table3[[#This Row],[ACTIVITY]],TAGS!$B:$P,10,FALSE)</f>
        <v>PIP</v>
      </c>
      <c r="Y489" s="51" t="str">
        <f>VLOOKUP(Table3[[#This Row],[ACTIVITY]],TAGS!$B:$P,11,FALSE)</f>
        <v>PICS</v>
      </c>
      <c r="Z489" s="51" t="str">
        <f>VLOOKUP(Table3[[#This Row],[ACTIVITY]],TAGS!$B:$P,12,FALSE)</f>
        <v>Modernization</v>
      </c>
      <c r="AA489" s="51" t="str">
        <f>VLOOKUP(Table3[[#This Row],[ACTIVITY]],TAGS!$B:$P,13,FALSE)</f>
        <v>8. Farm Mechanization and Farm Investments</v>
      </c>
      <c r="AB489" s="51" t="str">
        <f>VLOOKUP(Table3[[#This Row],[ACTIVITY]],TAGS!$B:$P,14,FALSE)</f>
        <v>EXPAND AND IMPROVE AVAILABLE AGRI-FISHERY AREAS FOR INCREASED PRODUCTION</v>
      </c>
      <c r="AC489" s="51" t="str">
        <f>VLOOKUP(Table3[[#This Row],[ACTIVITY]],TAGS!$B:$P,15,FALSE)</f>
        <v>Irrigation</v>
      </c>
      <c r="AD489" s="51" t="str">
        <f>VLOOKUP(Table3[[#This Row],[PI LEVEL 3]],'PI LEVEL'!$A:$G,7,FALSE)</f>
        <v>DA-Level Output</v>
      </c>
      <c r="AE489" s="47" t="s">
        <v>577</v>
      </c>
      <c r="AF489" s="51" t="str">
        <f>VLOOKUP(Table3[[#This Row],[ACTIVITY]],TAGS!$B:$P,3,FALSE)</f>
        <v>number</v>
      </c>
      <c r="AG489" s="47" t="s">
        <v>335</v>
      </c>
      <c r="AH489" s="51" t="str">
        <f>VLOOKUP(Table3[[#This Row],[MONTH]],TAGS!$W$67:$Y$81,2,FALSE)</f>
        <v>3RD QTR</v>
      </c>
      <c r="AI489" s="51" t="str">
        <f>VLOOKUP(Table3[[#This Row],[MONTH]],TAGS!$W$67:$Y$81,3,FALSE)</f>
        <v>2ND SEMESTER</v>
      </c>
      <c r="AJ489" s="51">
        <f>VLOOKUP(Table3[[#This Row],[MONTH]],TAGS!$W$67:$Z$81,4,FALSE)</f>
        <v>2025</v>
      </c>
      <c r="AK489" s="47">
        <v>10</v>
      </c>
      <c r="AL489" s="51" t="str">
        <f>VLOOKUP(Table3[[#This Row],[ACTIVITY]],TAGS!$B:$R,16,FALSE)</f>
        <v>YES</v>
      </c>
      <c r="AM489" s="47">
        <v>30</v>
      </c>
      <c r="AN489" s="47">
        <v>1000</v>
      </c>
      <c r="AO489" s="57">
        <f>SUM(Table3[[#This Row],[MALE BENEFICIARIES]:[FEMALE BENEFICIARIES]])</f>
        <v>0</v>
      </c>
      <c r="AP489" s="58"/>
      <c r="AQ489" s="58"/>
      <c r="AR489" s="58"/>
      <c r="AS489" s="58">
        <v>1</v>
      </c>
      <c r="AT489" s="59" t="str">
        <f>VLOOKUP(Table3[[#This Row],[ACTIVITY]],TAGS!$B:$R,17,FALSE)</f>
        <v>YES</v>
      </c>
      <c r="AU489" s="59"/>
      <c r="AV489" s="59"/>
      <c r="AW489" s="59"/>
      <c r="AX489" s="59"/>
      <c r="AY489" s="59"/>
      <c r="AZ489" s="59"/>
      <c r="BA489" s="59"/>
      <c r="BB489" s="59"/>
      <c r="BC489" s="59"/>
      <c r="BD489" s="59"/>
      <c r="BE489" s="59"/>
      <c r="BF489" s="59"/>
      <c r="BG489" s="59"/>
      <c r="BH489" s="59"/>
      <c r="BI489" s="59"/>
      <c r="BJ489" s="59"/>
      <c r="BK489" s="59"/>
      <c r="BL489" s="59"/>
      <c r="BM489" s="59"/>
    </row>
    <row r="490" spans="1:65">
      <c r="A490" s="54" t="str">
        <f>VLOOKUP(Table3[[#This Row],[OU]],OU!$A$15:$B$34,2,FALSE)</f>
        <v>RFOs</v>
      </c>
      <c r="B490" s="47" t="s">
        <v>5</v>
      </c>
      <c r="C490" s="47" t="s">
        <v>574</v>
      </c>
      <c r="D490" s="60"/>
      <c r="E490" s="47" t="s">
        <v>43</v>
      </c>
      <c r="F490" s="47" t="s">
        <v>624</v>
      </c>
      <c r="G49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490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23134000</v>
      </c>
      <c r="I490" s="61" t="str">
        <f>VLOOKUP(Table3[[#This Row],[PSGC]],DISTRICT!$D:$G,4,FALSE)</f>
        <v>4th</v>
      </c>
      <c r="J490" s="47" t="s">
        <v>578</v>
      </c>
      <c r="K490" s="51" t="str">
        <f>VLOOKUP(Table3[[#This Row],[SPECIFIC COMMODITY]],TAGS!$W$48:$X$53,2,FALSE)</f>
        <v>Corn</v>
      </c>
      <c r="L490" s="51" t="str">
        <f>VLOOKUP(Table3[[#This Row],[PREXC SUB-PROGRAM]],Table5[],2,FALSE)</f>
        <v>AGRICULTURAL  MACHINERY, EQUIPMENT, FACILITIES AND INFRASTRUCTURE PROGRAM</v>
      </c>
      <c r="M490" s="51" t="str">
        <f>VLOOKUP(Table3[[#This Row],[COMMODITY PREXC SUB-PROGRAM]],TAGS!$U$54:$V$76,2,FALSE)</f>
        <v>INS</v>
      </c>
      <c r="N490" s="47" t="s">
        <v>596</v>
      </c>
      <c r="O490" s="54" t="str">
        <f>VLOOKUP(Table3[[#This Row],[PI LEVEL 3]],'PI LEVEL'!A:C,3,FALSE)</f>
        <v>Service area generated from the establishment and installation of small-scale irrigation projects</v>
      </c>
      <c r="P490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490" s="54" t="str">
        <f>VLOOKUP(Table3[[#This Row],[ACTIVITY]],TAGS!B:P,2,FALSE)</f>
        <v>Service area generated from distribution of Pump and engine set</v>
      </c>
      <c r="R490" s="47" t="s">
        <v>214</v>
      </c>
      <c r="S490" s="54" t="str">
        <f>VLOOKUP(Table3[[#This Row],[ACTIVITY]],TAGS!$B:$P,4,FALSE)</f>
        <v>Service area generated</v>
      </c>
      <c r="T490" s="54" t="str">
        <f>VLOOKUP(Table3[[#This Row],[ACTIVITY]],TAGS!$B:$P,5,FALSE)</f>
        <v>Service area generated</v>
      </c>
      <c r="U490" s="54" t="str">
        <f>VLOOKUP(Table3[[#This Row],[ACTIVITY]],TAGS!$B:$P,6,FALSE)</f>
        <v>Service area generated</v>
      </c>
      <c r="V490" s="54" t="str">
        <f>VLOOKUP(Table3[[#This Row],[ACTIVITY]],TAGS!$B:$P,7,FALSE)</f>
        <v>NO</v>
      </c>
      <c r="W490" s="54" t="str">
        <f>VLOOKUP(Table3[[#This Row],[ACTIVITY]],TAGS!$B:$P,8,FALSE)</f>
        <v>PAP</v>
      </c>
      <c r="X490" s="54" t="str">
        <f>VLOOKUP(Table3[[#This Row],[ACTIVITY]],TAGS!$B:$P,10,FALSE)</f>
        <v>PIP</v>
      </c>
      <c r="Y490" s="54" t="str">
        <f>VLOOKUP(Table3[[#This Row],[ACTIVITY]],TAGS!$B:$P,11,FALSE)</f>
        <v>PICS</v>
      </c>
      <c r="Z490" s="54">
        <f>VLOOKUP(Table3[[#This Row],[ACTIVITY]],TAGS!$B:$P,12,FALSE)</f>
        <v>0</v>
      </c>
      <c r="AA490" s="54">
        <f>VLOOKUP(Table3[[#This Row],[ACTIVITY]],TAGS!$B:$P,13,FALSE)</f>
        <v>0</v>
      </c>
      <c r="AB490" s="54">
        <f>VLOOKUP(Table3[[#This Row],[ACTIVITY]],TAGS!$B:$P,14,FALSE)</f>
        <v>0</v>
      </c>
      <c r="AC490" s="54">
        <f>VLOOKUP(Table3[[#This Row],[ACTIVITY]],TAGS!$B:$P,15,FALSE)</f>
        <v>0</v>
      </c>
      <c r="AD490" s="54" t="str">
        <f>VLOOKUP(Table3[[#This Row],[PI LEVEL 3]],'PI LEVEL'!$A:$G,7,FALSE)</f>
        <v>PREXC/DA-Level Output</v>
      </c>
      <c r="AE490" s="47" t="s">
        <v>577</v>
      </c>
      <c r="AF490" s="54" t="str">
        <f>VLOOKUP(Table3[[#This Row],[ACTIVITY]],TAGS!$B:$P,3,FALSE)</f>
        <v>hectare</v>
      </c>
      <c r="AG490" s="47" t="s">
        <v>335</v>
      </c>
      <c r="AH490" s="54" t="str">
        <f>VLOOKUP(Table3[[#This Row],[MONTH]],TAGS!$W$67:$Y$81,2,FALSE)</f>
        <v>3RD QTR</v>
      </c>
      <c r="AI490" s="54" t="str">
        <f>VLOOKUP(Table3[[#This Row],[MONTH]],TAGS!$W$67:$Y$81,3,FALSE)</f>
        <v>2ND SEMESTER</v>
      </c>
      <c r="AJ490" s="54">
        <f>VLOOKUP(Table3[[#This Row],[MONTH]],TAGS!$W$67:$Z$81,4,FALSE)</f>
        <v>2025</v>
      </c>
      <c r="AK490" s="60">
        <v>30</v>
      </c>
      <c r="AL490" s="54" t="str">
        <f>VLOOKUP(Table3[[#This Row],[ACTIVITY]],TAGS!$B:$R,16,FALSE)</f>
        <v>NO</v>
      </c>
      <c r="AM490" s="60"/>
      <c r="AN490" s="60"/>
      <c r="AO490" s="57">
        <f>SUM(Table3[[#This Row],[MALE BENEFICIARIES]:[FEMALE BENEFICIARIES]])</f>
        <v>0</v>
      </c>
      <c r="AP490" s="62"/>
      <c r="AQ490" s="62"/>
      <c r="AR490" s="62"/>
      <c r="AS490" s="62"/>
      <c r="AT490" s="63" t="str">
        <f>VLOOKUP(Table3[[#This Row],[ACTIVITY]],TAGS!$B:$R,17,FALSE)</f>
        <v>NO</v>
      </c>
      <c r="AU490" s="63"/>
      <c r="AV490" s="63"/>
      <c r="AW490" s="63"/>
      <c r="AX490" s="63"/>
      <c r="AY490" s="63"/>
      <c r="AZ490" s="63"/>
      <c r="BA490" s="63"/>
      <c r="BB490" s="63"/>
      <c r="BC490" s="63"/>
      <c r="BD490" s="63"/>
      <c r="BE490" s="63"/>
      <c r="BF490" s="63"/>
      <c r="BG490" s="63"/>
      <c r="BH490" s="63"/>
      <c r="BI490" s="63"/>
      <c r="BJ490" s="63"/>
      <c r="BK490" s="63"/>
      <c r="BL490" s="63"/>
      <c r="BM490" s="63"/>
    </row>
    <row r="491" spans="1:65">
      <c r="A491" s="51" t="str">
        <f>VLOOKUP(Table3[[#This Row],[OU]],OU!$A$15:$B$34,2,FALSE)</f>
        <v>RFOs</v>
      </c>
      <c r="B491" s="47" t="s">
        <v>5</v>
      </c>
      <c r="C491" s="47" t="s">
        <v>574</v>
      </c>
      <c r="D491" s="47" t="s">
        <v>753</v>
      </c>
      <c r="E491" s="47" t="s">
        <v>43</v>
      </c>
      <c r="F491" s="47" t="s">
        <v>662</v>
      </c>
      <c r="G49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49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23104000</v>
      </c>
      <c r="I491" s="52" t="str">
        <f>VLOOKUP(Table3[[#This Row],[PSGC]],DISTRICT!$D:$G,4,FALSE)</f>
        <v>4th</v>
      </c>
      <c r="J491" s="47" t="s">
        <v>578</v>
      </c>
      <c r="K491" s="51" t="str">
        <f>VLOOKUP(Table3[[#This Row],[SPECIFIC COMMODITY]],TAGS!$W$48:$X$53,2,FALSE)</f>
        <v>Corn</v>
      </c>
      <c r="L491" s="51" t="str">
        <f>VLOOKUP(Table3[[#This Row],[PREXC SUB-PROGRAM]],Table5[],2,FALSE)</f>
        <v>AGRICULTURAL  MACHINERY, EQUIPMENT, FACILITIES AND INFRASTRUCTURE PROGRAM</v>
      </c>
      <c r="M491" s="51" t="str">
        <f>VLOOKUP(Table3[[#This Row],[COMMODITY PREXC SUB-PROGRAM]],TAGS!$U$54:$V$76,2,FALSE)</f>
        <v>INS</v>
      </c>
      <c r="N491" s="47" t="s">
        <v>596</v>
      </c>
      <c r="O491" s="54" t="str">
        <f>VLOOKUP(Table3[[#This Row],[PI LEVEL 3]],'PI LEVEL'!A:C,3,FALSE)</f>
        <v>Irrigation machinery distributed</v>
      </c>
      <c r="P491" s="54" t="str">
        <f>VLOOKUP(Table3[[#This Row],[PI LEVEL 3]],Table53729[[Performance Indicator Level 3]:[Performance Indicator Level 1]],2,FALSE)</f>
        <v>Irrigation machinery distributed</v>
      </c>
      <c r="Q491" s="54" t="str">
        <f>VLOOKUP(Table3[[#This Row],[ACTIVITY]],TAGS!B:P,2,FALSE)</f>
        <v>Pump and Engine Set distributed</v>
      </c>
      <c r="R491" s="47" t="s">
        <v>210</v>
      </c>
      <c r="S491" s="51" t="str">
        <f>VLOOKUP(Table3[[#This Row],[ACTIVITY]],TAGS!$B:$P,4,FALSE)</f>
        <v>Small-scale Irrigation Projects</v>
      </c>
      <c r="T491" s="51" t="str">
        <f>VLOOKUP(Table3[[#This Row],[ACTIVITY]],TAGS!$B:$P,5,FALSE)</f>
        <v>Small-scale Irrigation Projects (SSIPs)</v>
      </c>
      <c r="U491" s="51" t="str">
        <f>VLOOKUP(Table3[[#This Row],[ACTIVITY]],TAGS!$B:$P,6,FALSE)</f>
        <v>Open Source Pumping Set</v>
      </c>
      <c r="V491" s="51" t="str">
        <f>VLOOKUP(Table3[[#This Row],[ACTIVITY]],TAGS!$B:$P,7,FALSE)</f>
        <v>YES</v>
      </c>
      <c r="W491" s="51" t="str">
        <f>VLOOKUP(Table3[[#This Row],[ACTIVITY]],TAGS!$B:$P,8,FALSE)</f>
        <v>PAP</v>
      </c>
      <c r="X491" s="51" t="str">
        <f>VLOOKUP(Table3[[#This Row],[ACTIVITY]],TAGS!$B:$P,10,FALSE)</f>
        <v>PIP</v>
      </c>
      <c r="Y491" s="51" t="str">
        <f>VLOOKUP(Table3[[#This Row],[ACTIVITY]],TAGS!$B:$P,11,FALSE)</f>
        <v>PICS</v>
      </c>
      <c r="Z491" s="51" t="str">
        <f>VLOOKUP(Table3[[#This Row],[ACTIVITY]],TAGS!$B:$P,12,FALSE)</f>
        <v>Modernization</v>
      </c>
      <c r="AA491" s="51" t="str">
        <f>VLOOKUP(Table3[[#This Row],[ACTIVITY]],TAGS!$B:$P,13,FALSE)</f>
        <v>8. Farm Mechanization and Farm Investments</v>
      </c>
      <c r="AB491" s="51" t="str">
        <f>VLOOKUP(Table3[[#This Row],[ACTIVITY]],TAGS!$B:$P,14,FALSE)</f>
        <v>EXPAND AND IMPROVE AVAILABLE AGRI-FISHERY AREAS FOR INCREASED PRODUCTION</v>
      </c>
      <c r="AC491" s="51" t="str">
        <f>VLOOKUP(Table3[[#This Row],[ACTIVITY]],TAGS!$B:$P,15,FALSE)</f>
        <v>Irrigation</v>
      </c>
      <c r="AD491" s="51" t="str">
        <f>VLOOKUP(Table3[[#This Row],[PI LEVEL 3]],'PI LEVEL'!$A:$G,7,FALSE)</f>
        <v>DA-Level Output</v>
      </c>
      <c r="AE491" s="47" t="s">
        <v>577</v>
      </c>
      <c r="AF491" s="51" t="str">
        <f>VLOOKUP(Table3[[#This Row],[ACTIVITY]],TAGS!$B:$P,3,FALSE)</f>
        <v>number</v>
      </c>
      <c r="AG491" s="47" t="s">
        <v>335</v>
      </c>
      <c r="AH491" s="51" t="str">
        <f>VLOOKUP(Table3[[#This Row],[MONTH]],TAGS!$W$67:$Y$81,2,FALSE)</f>
        <v>3RD QTR</v>
      </c>
      <c r="AI491" s="51" t="str">
        <f>VLOOKUP(Table3[[#This Row],[MONTH]],TAGS!$W$67:$Y$81,3,FALSE)</f>
        <v>2ND SEMESTER</v>
      </c>
      <c r="AJ491" s="51">
        <f>VLOOKUP(Table3[[#This Row],[MONTH]],TAGS!$W$67:$Z$81,4,FALSE)</f>
        <v>2025</v>
      </c>
      <c r="AK491" s="47">
        <v>10</v>
      </c>
      <c r="AL491" s="51" t="str">
        <f>VLOOKUP(Table3[[#This Row],[ACTIVITY]],TAGS!$B:$R,16,FALSE)</f>
        <v>YES</v>
      </c>
      <c r="AM491" s="47">
        <v>30</v>
      </c>
      <c r="AN491" s="47">
        <v>1000</v>
      </c>
      <c r="AO491" s="57">
        <f>SUM(Table3[[#This Row],[MALE BENEFICIARIES]:[FEMALE BENEFICIARIES]])</f>
        <v>0</v>
      </c>
      <c r="AP491" s="58"/>
      <c r="AQ491" s="58"/>
      <c r="AR491" s="58"/>
      <c r="AS491" s="58">
        <v>1</v>
      </c>
      <c r="AT491" s="59" t="str">
        <f>VLOOKUP(Table3[[#This Row],[ACTIVITY]],TAGS!$B:$R,17,FALSE)</f>
        <v>YES</v>
      </c>
      <c r="AU491" s="59"/>
      <c r="AV491" s="59"/>
      <c r="AW491" s="59"/>
      <c r="AX491" s="59"/>
      <c r="AY491" s="59"/>
      <c r="AZ491" s="59"/>
      <c r="BA491" s="59"/>
      <c r="BB491" s="59"/>
      <c r="BC491" s="59"/>
      <c r="BD491" s="59"/>
      <c r="BE491" s="59"/>
      <c r="BF491" s="59"/>
      <c r="BG491" s="59"/>
      <c r="BH491" s="59"/>
      <c r="BI491" s="59"/>
      <c r="BJ491" s="59"/>
      <c r="BK491" s="59"/>
      <c r="BL491" s="59"/>
      <c r="BM491" s="59"/>
    </row>
    <row r="492" spans="1:65">
      <c r="A492" s="54" t="str">
        <f>VLOOKUP(Table3[[#This Row],[OU]],OU!$A$15:$B$34,2,FALSE)</f>
        <v>RFOs</v>
      </c>
      <c r="B492" s="47" t="s">
        <v>5</v>
      </c>
      <c r="C492" s="47" t="s">
        <v>574</v>
      </c>
      <c r="D492" s="60"/>
      <c r="E492" s="47" t="s">
        <v>43</v>
      </c>
      <c r="F492" s="47" t="s">
        <v>662</v>
      </c>
      <c r="G49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492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23104000</v>
      </c>
      <c r="I492" s="61" t="str">
        <f>VLOOKUP(Table3[[#This Row],[PSGC]],DISTRICT!$D:$G,4,FALSE)</f>
        <v>4th</v>
      </c>
      <c r="J492" s="47" t="s">
        <v>578</v>
      </c>
      <c r="K492" s="51" t="str">
        <f>VLOOKUP(Table3[[#This Row],[SPECIFIC COMMODITY]],TAGS!$W$48:$X$53,2,FALSE)</f>
        <v>Corn</v>
      </c>
      <c r="L492" s="51" t="str">
        <f>VLOOKUP(Table3[[#This Row],[PREXC SUB-PROGRAM]],Table5[],2,FALSE)</f>
        <v>AGRICULTURAL  MACHINERY, EQUIPMENT, FACILITIES AND INFRASTRUCTURE PROGRAM</v>
      </c>
      <c r="M492" s="51" t="str">
        <f>VLOOKUP(Table3[[#This Row],[COMMODITY PREXC SUB-PROGRAM]],TAGS!$U$54:$V$76,2,FALSE)</f>
        <v>INS</v>
      </c>
      <c r="N492" s="47" t="s">
        <v>596</v>
      </c>
      <c r="O492" s="54" t="str">
        <f>VLOOKUP(Table3[[#This Row],[PI LEVEL 3]],'PI LEVEL'!A:C,3,FALSE)</f>
        <v>Service area generated from the establishment and installation of small-scale irrigation projects</v>
      </c>
      <c r="P492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492" s="54" t="str">
        <f>VLOOKUP(Table3[[#This Row],[ACTIVITY]],TAGS!B:P,2,FALSE)</f>
        <v>Service area generated from distribution of Pump and engine set</v>
      </c>
      <c r="R492" s="47" t="s">
        <v>214</v>
      </c>
      <c r="S492" s="54" t="str">
        <f>VLOOKUP(Table3[[#This Row],[ACTIVITY]],TAGS!$B:$P,4,FALSE)</f>
        <v>Service area generated</v>
      </c>
      <c r="T492" s="54" t="str">
        <f>VLOOKUP(Table3[[#This Row],[ACTIVITY]],TAGS!$B:$P,5,FALSE)</f>
        <v>Service area generated</v>
      </c>
      <c r="U492" s="54" t="str">
        <f>VLOOKUP(Table3[[#This Row],[ACTIVITY]],TAGS!$B:$P,6,FALSE)</f>
        <v>Service area generated</v>
      </c>
      <c r="V492" s="54" t="str">
        <f>VLOOKUP(Table3[[#This Row],[ACTIVITY]],TAGS!$B:$P,7,FALSE)</f>
        <v>NO</v>
      </c>
      <c r="W492" s="54" t="str">
        <f>VLOOKUP(Table3[[#This Row],[ACTIVITY]],TAGS!$B:$P,8,FALSE)</f>
        <v>PAP</v>
      </c>
      <c r="X492" s="54" t="str">
        <f>VLOOKUP(Table3[[#This Row],[ACTIVITY]],TAGS!$B:$P,10,FALSE)</f>
        <v>PIP</v>
      </c>
      <c r="Y492" s="54" t="str">
        <f>VLOOKUP(Table3[[#This Row],[ACTIVITY]],TAGS!$B:$P,11,FALSE)</f>
        <v>PICS</v>
      </c>
      <c r="Z492" s="54">
        <f>VLOOKUP(Table3[[#This Row],[ACTIVITY]],TAGS!$B:$P,12,FALSE)</f>
        <v>0</v>
      </c>
      <c r="AA492" s="54">
        <f>VLOOKUP(Table3[[#This Row],[ACTIVITY]],TAGS!$B:$P,13,FALSE)</f>
        <v>0</v>
      </c>
      <c r="AB492" s="54">
        <f>VLOOKUP(Table3[[#This Row],[ACTIVITY]],TAGS!$B:$P,14,FALSE)</f>
        <v>0</v>
      </c>
      <c r="AC492" s="54">
        <f>VLOOKUP(Table3[[#This Row],[ACTIVITY]],TAGS!$B:$P,15,FALSE)</f>
        <v>0</v>
      </c>
      <c r="AD492" s="54" t="str">
        <f>VLOOKUP(Table3[[#This Row],[PI LEVEL 3]],'PI LEVEL'!$A:$G,7,FALSE)</f>
        <v>PREXC/DA-Level Output</v>
      </c>
      <c r="AE492" s="47" t="s">
        <v>577</v>
      </c>
      <c r="AF492" s="54" t="str">
        <f>VLOOKUP(Table3[[#This Row],[ACTIVITY]],TAGS!$B:$P,3,FALSE)</f>
        <v>hectare</v>
      </c>
      <c r="AG492" s="47" t="s">
        <v>335</v>
      </c>
      <c r="AH492" s="54" t="str">
        <f>VLOOKUP(Table3[[#This Row],[MONTH]],TAGS!$W$67:$Y$81,2,FALSE)</f>
        <v>3RD QTR</v>
      </c>
      <c r="AI492" s="54" t="str">
        <f>VLOOKUP(Table3[[#This Row],[MONTH]],TAGS!$W$67:$Y$81,3,FALSE)</f>
        <v>2ND SEMESTER</v>
      </c>
      <c r="AJ492" s="54">
        <f>VLOOKUP(Table3[[#This Row],[MONTH]],TAGS!$W$67:$Z$81,4,FALSE)</f>
        <v>2025</v>
      </c>
      <c r="AK492" s="60">
        <v>30</v>
      </c>
      <c r="AL492" s="54" t="str">
        <f>VLOOKUP(Table3[[#This Row],[ACTIVITY]],TAGS!$B:$R,16,FALSE)</f>
        <v>NO</v>
      </c>
      <c r="AM492" s="60"/>
      <c r="AN492" s="60"/>
      <c r="AO492" s="57">
        <f>SUM(Table3[[#This Row],[MALE BENEFICIARIES]:[FEMALE BENEFICIARIES]])</f>
        <v>0</v>
      </c>
      <c r="AP492" s="62"/>
      <c r="AQ492" s="62"/>
      <c r="AR492" s="62"/>
      <c r="AS492" s="62"/>
      <c r="AT492" s="63" t="str">
        <f>VLOOKUP(Table3[[#This Row],[ACTIVITY]],TAGS!$B:$R,17,FALSE)</f>
        <v>NO</v>
      </c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63"/>
      <c r="BF492" s="63"/>
      <c r="BG492" s="63"/>
      <c r="BH492" s="63"/>
      <c r="BI492" s="63"/>
      <c r="BJ492" s="63"/>
      <c r="BK492" s="63"/>
      <c r="BL492" s="63"/>
      <c r="BM492" s="63"/>
    </row>
    <row r="493" spans="1:65">
      <c r="A493" s="51" t="str">
        <f>VLOOKUP(Table3[[#This Row],[OU]],OU!$A$15:$B$34,2,FALSE)</f>
        <v>RFOs</v>
      </c>
      <c r="B493" s="47" t="s">
        <v>5</v>
      </c>
      <c r="C493" s="47" t="s">
        <v>574</v>
      </c>
      <c r="D493" s="47" t="s">
        <v>754</v>
      </c>
      <c r="E493" s="47" t="s">
        <v>43</v>
      </c>
      <c r="F493" s="47" t="s">
        <v>662</v>
      </c>
      <c r="G49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49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23104000</v>
      </c>
      <c r="I493" s="52" t="str">
        <f>VLOOKUP(Table3[[#This Row],[PSGC]],DISTRICT!$D:$G,4,FALSE)</f>
        <v>4th</v>
      </c>
      <c r="J493" s="47" t="s">
        <v>578</v>
      </c>
      <c r="K493" s="51" t="str">
        <f>VLOOKUP(Table3[[#This Row],[SPECIFIC COMMODITY]],TAGS!$W$48:$X$53,2,FALSE)</f>
        <v>Corn</v>
      </c>
      <c r="L493" s="51" t="str">
        <f>VLOOKUP(Table3[[#This Row],[PREXC SUB-PROGRAM]],Table5[],2,FALSE)</f>
        <v>AGRICULTURAL  MACHINERY, EQUIPMENT, FACILITIES AND INFRASTRUCTURE PROGRAM</v>
      </c>
      <c r="M493" s="51" t="str">
        <f>VLOOKUP(Table3[[#This Row],[COMMODITY PREXC SUB-PROGRAM]],TAGS!$U$54:$V$76,2,FALSE)</f>
        <v>INS</v>
      </c>
      <c r="N493" s="47" t="s">
        <v>596</v>
      </c>
      <c r="O493" s="54" t="str">
        <f>VLOOKUP(Table3[[#This Row],[PI LEVEL 3]],'PI LEVEL'!A:C,3,FALSE)</f>
        <v>Irrigation machinery distributed</v>
      </c>
      <c r="P493" s="54" t="str">
        <f>VLOOKUP(Table3[[#This Row],[PI LEVEL 3]],Table53729[[Performance Indicator Level 3]:[Performance Indicator Level 1]],2,FALSE)</f>
        <v>Irrigation machinery distributed</v>
      </c>
      <c r="Q493" s="54" t="str">
        <f>VLOOKUP(Table3[[#This Row],[ACTIVITY]],TAGS!B:P,2,FALSE)</f>
        <v>Pump and Engine Set distributed</v>
      </c>
      <c r="R493" s="47" t="s">
        <v>210</v>
      </c>
      <c r="S493" s="51" t="str">
        <f>VLOOKUP(Table3[[#This Row],[ACTIVITY]],TAGS!$B:$P,4,FALSE)</f>
        <v>Small-scale Irrigation Projects</v>
      </c>
      <c r="T493" s="51" t="str">
        <f>VLOOKUP(Table3[[#This Row],[ACTIVITY]],TAGS!$B:$P,5,FALSE)</f>
        <v>Small-scale Irrigation Projects (SSIPs)</v>
      </c>
      <c r="U493" s="51" t="str">
        <f>VLOOKUP(Table3[[#This Row],[ACTIVITY]],TAGS!$B:$P,6,FALSE)</f>
        <v>Open Source Pumping Set</v>
      </c>
      <c r="V493" s="51" t="str">
        <f>VLOOKUP(Table3[[#This Row],[ACTIVITY]],TAGS!$B:$P,7,FALSE)</f>
        <v>YES</v>
      </c>
      <c r="W493" s="51" t="str">
        <f>VLOOKUP(Table3[[#This Row],[ACTIVITY]],TAGS!$B:$P,8,FALSE)</f>
        <v>PAP</v>
      </c>
      <c r="X493" s="51" t="str">
        <f>VLOOKUP(Table3[[#This Row],[ACTIVITY]],TAGS!$B:$P,10,FALSE)</f>
        <v>PIP</v>
      </c>
      <c r="Y493" s="51" t="str">
        <f>VLOOKUP(Table3[[#This Row],[ACTIVITY]],TAGS!$B:$P,11,FALSE)</f>
        <v>PICS</v>
      </c>
      <c r="Z493" s="51" t="str">
        <f>VLOOKUP(Table3[[#This Row],[ACTIVITY]],TAGS!$B:$P,12,FALSE)</f>
        <v>Modernization</v>
      </c>
      <c r="AA493" s="51" t="str">
        <f>VLOOKUP(Table3[[#This Row],[ACTIVITY]],TAGS!$B:$P,13,FALSE)</f>
        <v>8. Farm Mechanization and Farm Investments</v>
      </c>
      <c r="AB493" s="51" t="str">
        <f>VLOOKUP(Table3[[#This Row],[ACTIVITY]],TAGS!$B:$P,14,FALSE)</f>
        <v>EXPAND AND IMPROVE AVAILABLE AGRI-FISHERY AREAS FOR INCREASED PRODUCTION</v>
      </c>
      <c r="AC493" s="51" t="str">
        <f>VLOOKUP(Table3[[#This Row],[ACTIVITY]],TAGS!$B:$P,15,FALSE)</f>
        <v>Irrigation</v>
      </c>
      <c r="AD493" s="51" t="str">
        <f>VLOOKUP(Table3[[#This Row],[PI LEVEL 3]],'PI LEVEL'!$A:$G,7,FALSE)</f>
        <v>DA-Level Output</v>
      </c>
      <c r="AE493" s="47" t="s">
        <v>577</v>
      </c>
      <c r="AF493" s="51" t="str">
        <f>VLOOKUP(Table3[[#This Row],[ACTIVITY]],TAGS!$B:$P,3,FALSE)</f>
        <v>number</v>
      </c>
      <c r="AG493" s="47" t="s">
        <v>335</v>
      </c>
      <c r="AH493" s="51" t="str">
        <f>VLOOKUP(Table3[[#This Row],[MONTH]],TAGS!$W$67:$Y$81,2,FALSE)</f>
        <v>3RD QTR</v>
      </c>
      <c r="AI493" s="51" t="str">
        <f>VLOOKUP(Table3[[#This Row],[MONTH]],TAGS!$W$67:$Y$81,3,FALSE)</f>
        <v>2ND SEMESTER</v>
      </c>
      <c r="AJ493" s="51">
        <f>VLOOKUP(Table3[[#This Row],[MONTH]],TAGS!$W$67:$Z$81,4,FALSE)</f>
        <v>2025</v>
      </c>
      <c r="AK493" s="47">
        <v>10</v>
      </c>
      <c r="AL493" s="51" t="str">
        <f>VLOOKUP(Table3[[#This Row],[ACTIVITY]],TAGS!$B:$R,16,FALSE)</f>
        <v>YES</v>
      </c>
      <c r="AM493" s="47">
        <v>30</v>
      </c>
      <c r="AN493" s="47">
        <v>1000</v>
      </c>
      <c r="AO493" s="57">
        <f>SUM(Table3[[#This Row],[MALE BENEFICIARIES]:[FEMALE BENEFICIARIES]])</f>
        <v>0</v>
      </c>
      <c r="AP493" s="58"/>
      <c r="AQ493" s="58"/>
      <c r="AR493" s="58"/>
      <c r="AS493" s="58">
        <v>1</v>
      </c>
      <c r="AT493" s="59" t="str">
        <f>VLOOKUP(Table3[[#This Row],[ACTIVITY]],TAGS!$B:$R,17,FALSE)</f>
        <v>YES</v>
      </c>
      <c r="AU493" s="59"/>
      <c r="AV493" s="59"/>
      <c r="AW493" s="59"/>
      <c r="AX493" s="59"/>
      <c r="AY493" s="59"/>
      <c r="AZ493" s="59"/>
      <c r="BA493" s="59"/>
      <c r="BB493" s="59"/>
      <c r="BC493" s="59"/>
      <c r="BD493" s="59"/>
      <c r="BE493" s="59"/>
      <c r="BF493" s="59"/>
      <c r="BG493" s="59"/>
      <c r="BH493" s="59"/>
      <c r="BI493" s="59"/>
      <c r="BJ493" s="59"/>
      <c r="BK493" s="59"/>
      <c r="BL493" s="59"/>
      <c r="BM493" s="59"/>
    </row>
    <row r="494" spans="1:65">
      <c r="A494" s="54" t="str">
        <f>VLOOKUP(Table3[[#This Row],[OU]],OU!$A$15:$B$34,2,FALSE)</f>
        <v>RFOs</v>
      </c>
      <c r="B494" s="47" t="s">
        <v>5</v>
      </c>
      <c r="C494" s="47" t="s">
        <v>574</v>
      </c>
      <c r="D494" s="60"/>
      <c r="E494" s="47" t="s">
        <v>43</v>
      </c>
      <c r="F494" s="47" t="s">
        <v>662</v>
      </c>
      <c r="G49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2nd District</v>
      </c>
      <c r="H494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23104000</v>
      </c>
      <c r="I494" s="61" t="str">
        <f>VLOOKUP(Table3[[#This Row],[PSGC]],DISTRICT!$D:$G,4,FALSE)</f>
        <v>4th</v>
      </c>
      <c r="J494" s="47" t="s">
        <v>578</v>
      </c>
      <c r="K494" s="51" t="str">
        <f>VLOOKUP(Table3[[#This Row],[SPECIFIC COMMODITY]],TAGS!$W$48:$X$53,2,FALSE)</f>
        <v>Corn</v>
      </c>
      <c r="L494" s="51" t="str">
        <f>VLOOKUP(Table3[[#This Row],[PREXC SUB-PROGRAM]],Table5[],2,FALSE)</f>
        <v>AGRICULTURAL  MACHINERY, EQUIPMENT, FACILITIES AND INFRASTRUCTURE PROGRAM</v>
      </c>
      <c r="M494" s="51" t="str">
        <f>VLOOKUP(Table3[[#This Row],[COMMODITY PREXC SUB-PROGRAM]],TAGS!$U$54:$V$76,2,FALSE)</f>
        <v>INS</v>
      </c>
      <c r="N494" s="47" t="s">
        <v>596</v>
      </c>
      <c r="O494" s="54" t="str">
        <f>VLOOKUP(Table3[[#This Row],[PI LEVEL 3]],'PI LEVEL'!A:C,3,FALSE)</f>
        <v>Service area generated from the establishment and installation of small-scale irrigation projects</v>
      </c>
      <c r="P494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494" s="54" t="str">
        <f>VLOOKUP(Table3[[#This Row],[ACTIVITY]],TAGS!B:P,2,FALSE)</f>
        <v>Service area generated from distribution of Pump and engine set</v>
      </c>
      <c r="R494" s="47" t="s">
        <v>214</v>
      </c>
      <c r="S494" s="54" t="str">
        <f>VLOOKUP(Table3[[#This Row],[ACTIVITY]],TAGS!$B:$P,4,FALSE)</f>
        <v>Service area generated</v>
      </c>
      <c r="T494" s="54" t="str">
        <f>VLOOKUP(Table3[[#This Row],[ACTIVITY]],TAGS!$B:$P,5,FALSE)</f>
        <v>Service area generated</v>
      </c>
      <c r="U494" s="54" t="str">
        <f>VLOOKUP(Table3[[#This Row],[ACTIVITY]],TAGS!$B:$P,6,FALSE)</f>
        <v>Service area generated</v>
      </c>
      <c r="V494" s="54" t="str">
        <f>VLOOKUP(Table3[[#This Row],[ACTIVITY]],TAGS!$B:$P,7,FALSE)</f>
        <v>NO</v>
      </c>
      <c r="W494" s="54" t="str">
        <f>VLOOKUP(Table3[[#This Row],[ACTIVITY]],TAGS!$B:$P,8,FALSE)</f>
        <v>PAP</v>
      </c>
      <c r="X494" s="54" t="str">
        <f>VLOOKUP(Table3[[#This Row],[ACTIVITY]],TAGS!$B:$P,10,FALSE)</f>
        <v>PIP</v>
      </c>
      <c r="Y494" s="54" t="str">
        <f>VLOOKUP(Table3[[#This Row],[ACTIVITY]],TAGS!$B:$P,11,FALSE)</f>
        <v>PICS</v>
      </c>
      <c r="Z494" s="54">
        <f>VLOOKUP(Table3[[#This Row],[ACTIVITY]],TAGS!$B:$P,12,FALSE)</f>
        <v>0</v>
      </c>
      <c r="AA494" s="54">
        <f>VLOOKUP(Table3[[#This Row],[ACTIVITY]],TAGS!$B:$P,13,FALSE)</f>
        <v>0</v>
      </c>
      <c r="AB494" s="54">
        <f>VLOOKUP(Table3[[#This Row],[ACTIVITY]],TAGS!$B:$P,14,FALSE)</f>
        <v>0</v>
      </c>
      <c r="AC494" s="54">
        <f>VLOOKUP(Table3[[#This Row],[ACTIVITY]],TAGS!$B:$P,15,FALSE)</f>
        <v>0</v>
      </c>
      <c r="AD494" s="54" t="str">
        <f>VLOOKUP(Table3[[#This Row],[PI LEVEL 3]],'PI LEVEL'!$A:$G,7,FALSE)</f>
        <v>PREXC/DA-Level Output</v>
      </c>
      <c r="AE494" s="47" t="s">
        <v>577</v>
      </c>
      <c r="AF494" s="54" t="str">
        <f>VLOOKUP(Table3[[#This Row],[ACTIVITY]],TAGS!$B:$P,3,FALSE)</f>
        <v>hectare</v>
      </c>
      <c r="AG494" s="47" t="s">
        <v>335</v>
      </c>
      <c r="AH494" s="54" t="str">
        <f>VLOOKUP(Table3[[#This Row],[MONTH]],TAGS!$W$67:$Y$81,2,FALSE)</f>
        <v>3RD QTR</v>
      </c>
      <c r="AI494" s="54" t="str">
        <f>VLOOKUP(Table3[[#This Row],[MONTH]],TAGS!$W$67:$Y$81,3,FALSE)</f>
        <v>2ND SEMESTER</v>
      </c>
      <c r="AJ494" s="54">
        <f>VLOOKUP(Table3[[#This Row],[MONTH]],TAGS!$W$67:$Z$81,4,FALSE)</f>
        <v>2025</v>
      </c>
      <c r="AK494" s="60">
        <v>30</v>
      </c>
      <c r="AL494" s="54" t="str">
        <f>VLOOKUP(Table3[[#This Row],[ACTIVITY]],TAGS!$B:$R,16,FALSE)</f>
        <v>NO</v>
      </c>
      <c r="AM494" s="60"/>
      <c r="AN494" s="60"/>
      <c r="AO494" s="57">
        <f>SUM(Table3[[#This Row],[MALE BENEFICIARIES]:[FEMALE BENEFICIARIES]])</f>
        <v>0</v>
      </c>
      <c r="AP494" s="62"/>
      <c r="AQ494" s="62"/>
      <c r="AR494" s="62"/>
      <c r="AS494" s="62"/>
      <c r="AT494" s="63" t="str">
        <f>VLOOKUP(Table3[[#This Row],[ACTIVITY]],TAGS!$B:$R,17,FALSE)</f>
        <v>NO</v>
      </c>
      <c r="AU494" s="63"/>
      <c r="AV494" s="63"/>
      <c r="AW494" s="63"/>
      <c r="AX494" s="63"/>
      <c r="AY494" s="63"/>
      <c r="AZ494" s="63"/>
      <c r="BA494" s="63"/>
      <c r="BB494" s="63"/>
      <c r="BC494" s="63"/>
      <c r="BD494" s="63"/>
      <c r="BE494" s="63"/>
      <c r="BF494" s="63"/>
      <c r="BG494" s="63"/>
      <c r="BH494" s="63"/>
      <c r="BI494" s="63"/>
      <c r="BJ494" s="63"/>
      <c r="BK494" s="63"/>
      <c r="BL494" s="63"/>
      <c r="BM494" s="63"/>
    </row>
    <row r="495" spans="1:65">
      <c r="A495" s="51" t="str">
        <f>VLOOKUP(Table3[[#This Row],[OU]],OU!$A$15:$B$34,2,FALSE)</f>
        <v>RFOs</v>
      </c>
      <c r="B495" s="47" t="s">
        <v>5</v>
      </c>
      <c r="C495" s="47" t="s">
        <v>574</v>
      </c>
      <c r="D495" s="47" t="s">
        <v>755</v>
      </c>
      <c r="E495" s="47" t="s">
        <v>43</v>
      </c>
      <c r="F495" s="47" t="s">
        <v>677</v>
      </c>
      <c r="G49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5th District</v>
      </c>
      <c r="H49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23103000</v>
      </c>
      <c r="I495" s="52" t="str">
        <f>VLOOKUP(Table3[[#This Row],[PSGC]],DISTRICT!$D:$G,4,FALSE)</f>
        <v>3rd</v>
      </c>
      <c r="J495" s="47" t="s">
        <v>578</v>
      </c>
      <c r="K495" s="51" t="str">
        <f>VLOOKUP(Table3[[#This Row],[SPECIFIC COMMODITY]],TAGS!$W$48:$X$53,2,FALSE)</f>
        <v>Corn</v>
      </c>
      <c r="L495" s="51" t="str">
        <f>VLOOKUP(Table3[[#This Row],[PREXC SUB-PROGRAM]],Table5[],2,FALSE)</f>
        <v>AGRICULTURAL  MACHINERY, EQUIPMENT, FACILITIES AND INFRASTRUCTURE PROGRAM</v>
      </c>
      <c r="M495" s="51" t="str">
        <f>VLOOKUP(Table3[[#This Row],[COMMODITY PREXC SUB-PROGRAM]],TAGS!$U$54:$V$76,2,FALSE)</f>
        <v>INS</v>
      </c>
      <c r="N495" s="47" t="s">
        <v>596</v>
      </c>
      <c r="O495" s="54" t="str">
        <f>VLOOKUP(Table3[[#This Row],[PI LEVEL 3]],'PI LEVEL'!A:C,3,FALSE)</f>
        <v>Irrigation machinery distributed</v>
      </c>
      <c r="P495" s="54" t="str">
        <f>VLOOKUP(Table3[[#This Row],[PI LEVEL 3]],Table53729[[Performance Indicator Level 3]:[Performance Indicator Level 1]],2,FALSE)</f>
        <v>Irrigation machinery distributed</v>
      </c>
      <c r="Q495" s="54" t="str">
        <f>VLOOKUP(Table3[[#This Row],[ACTIVITY]],TAGS!B:P,2,FALSE)</f>
        <v>Pump and Engine Set distributed</v>
      </c>
      <c r="R495" s="47" t="s">
        <v>210</v>
      </c>
      <c r="S495" s="51" t="str">
        <f>VLOOKUP(Table3[[#This Row],[ACTIVITY]],TAGS!$B:$P,4,FALSE)</f>
        <v>Small-scale Irrigation Projects</v>
      </c>
      <c r="T495" s="51" t="str">
        <f>VLOOKUP(Table3[[#This Row],[ACTIVITY]],TAGS!$B:$P,5,FALSE)</f>
        <v>Small-scale Irrigation Projects (SSIPs)</v>
      </c>
      <c r="U495" s="51" t="str">
        <f>VLOOKUP(Table3[[#This Row],[ACTIVITY]],TAGS!$B:$P,6,FALSE)</f>
        <v>Open Source Pumping Set</v>
      </c>
      <c r="V495" s="51" t="str">
        <f>VLOOKUP(Table3[[#This Row],[ACTIVITY]],TAGS!$B:$P,7,FALSE)</f>
        <v>YES</v>
      </c>
      <c r="W495" s="51" t="str">
        <f>VLOOKUP(Table3[[#This Row],[ACTIVITY]],TAGS!$B:$P,8,FALSE)</f>
        <v>PAP</v>
      </c>
      <c r="X495" s="51" t="str">
        <f>VLOOKUP(Table3[[#This Row],[ACTIVITY]],TAGS!$B:$P,10,FALSE)</f>
        <v>PIP</v>
      </c>
      <c r="Y495" s="51" t="str">
        <f>VLOOKUP(Table3[[#This Row],[ACTIVITY]],TAGS!$B:$P,11,FALSE)</f>
        <v>PICS</v>
      </c>
      <c r="Z495" s="51" t="str">
        <f>VLOOKUP(Table3[[#This Row],[ACTIVITY]],TAGS!$B:$P,12,FALSE)</f>
        <v>Modernization</v>
      </c>
      <c r="AA495" s="51" t="str">
        <f>VLOOKUP(Table3[[#This Row],[ACTIVITY]],TAGS!$B:$P,13,FALSE)</f>
        <v>8. Farm Mechanization and Farm Investments</v>
      </c>
      <c r="AB495" s="51" t="str">
        <f>VLOOKUP(Table3[[#This Row],[ACTIVITY]],TAGS!$B:$P,14,FALSE)</f>
        <v>EXPAND AND IMPROVE AVAILABLE AGRI-FISHERY AREAS FOR INCREASED PRODUCTION</v>
      </c>
      <c r="AC495" s="51" t="str">
        <f>VLOOKUP(Table3[[#This Row],[ACTIVITY]],TAGS!$B:$P,15,FALSE)</f>
        <v>Irrigation</v>
      </c>
      <c r="AD495" s="51" t="str">
        <f>VLOOKUP(Table3[[#This Row],[PI LEVEL 3]],'PI LEVEL'!$A:$G,7,FALSE)</f>
        <v>DA-Level Output</v>
      </c>
      <c r="AE495" s="47" t="s">
        <v>577</v>
      </c>
      <c r="AF495" s="51" t="str">
        <f>VLOOKUP(Table3[[#This Row],[ACTIVITY]],TAGS!$B:$P,3,FALSE)</f>
        <v>number</v>
      </c>
      <c r="AG495" s="47" t="s">
        <v>335</v>
      </c>
      <c r="AH495" s="51" t="str">
        <f>VLOOKUP(Table3[[#This Row],[MONTH]],TAGS!$W$67:$Y$81,2,FALSE)</f>
        <v>3RD QTR</v>
      </c>
      <c r="AI495" s="51" t="str">
        <f>VLOOKUP(Table3[[#This Row],[MONTH]],TAGS!$W$67:$Y$81,3,FALSE)</f>
        <v>2ND SEMESTER</v>
      </c>
      <c r="AJ495" s="51">
        <f>VLOOKUP(Table3[[#This Row],[MONTH]],TAGS!$W$67:$Z$81,4,FALSE)</f>
        <v>2025</v>
      </c>
      <c r="AK495" s="47">
        <v>10</v>
      </c>
      <c r="AL495" s="51" t="str">
        <f>VLOOKUP(Table3[[#This Row],[ACTIVITY]],TAGS!$B:$R,16,FALSE)</f>
        <v>YES</v>
      </c>
      <c r="AM495" s="47">
        <v>30</v>
      </c>
      <c r="AN495" s="47">
        <v>1000</v>
      </c>
      <c r="AO495" s="57">
        <f>SUM(Table3[[#This Row],[MALE BENEFICIARIES]:[FEMALE BENEFICIARIES]])</f>
        <v>0</v>
      </c>
      <c r="AP495" s="58"/>
      <c r="AQ495" s="58"/>
      <c r="AR495" s="58"/>
      <c r="AS495" s="58">
        <v>1</v>
      </c>
      <c r="AT495" s="59" t="str">
        <f>VLOOKUP(Table3[[#This Row],[ACTIVITY]],TAGS!$B:$R,17,FALSE)</f>
        <v>YES</v>
      </c>
      <c r="AU495" s="59"/>
      <c r="AV495" s="59"/>
      <c r="AW495" s="59"/>
      <c r="AX495" s="59"/>
      <c r="AY495" s="59"/>
      <c r="AZ495" s="59"/>
      <c r="BA495" s="59"/>
      <c r="BB495" s="59"/>
      <c r="BC495" s="59"/>
      <c r="BD495" s="59"/>
      <c r="BE495" s="59"/>
      <c r="BF495" s="59"/>
      <c r="BG495" s="59"/>
      <c r="BH495" s="59"/>
      <c r="BI495" s="59"/>
      <c r="BJ495" s="59"/>
      <c r="BK495" s="59"/>
      <c r="BL495" s="59"/>
      <c r="BM495" s="59"/>
    </row>
    <row r="496" spans="1:65">
      <c r="A496" s="54" t="str">
        <f>VLOOKUP(Table3[[#This Row],[OU]],OU!$A$15:$B$34,2,FALSE)</f>
        <v>RFOs</v>
      </c>
      <c r="B496" s="47" t="s">
        <v>5</v>
      </c>
      <c r="C496" s="47" t="s">
        <v>574</v>
      </c>
      <c r="D496" s="60"/>
      <c r="E496" s="47" t="s">
        <v>43</v>
      </c>
      <c r="F496" s="47" t="s">
        <v>677</v>
      </c>
      <c r="G49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5th District</v>
      </c>
      <c r="H496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23103000</v>
      </c>
      <c r="I496" s="61" t="str">
        <f>VLOOKUP(Table3[[#This Row],[PSGC]],DISTRICT!$D:$G,4,FALSE)</f>
        <v>3rd</v>
      </c>
      <c r="J496" s="47" t="s">
        <v>578</v>
      </c>
      <c r="K496" s="51" t="str">
        <f>VLOOKUP(Table3[[#This Row],[SPECIFIC COMMODITY]],TAGS!$W$48:$X$53,2,FALSE)</f>
        <v>Corn</v>
      </c>
      <c r="L496" s="51" t="str">
        <f>VLOOKUP(Table3[[#This Row],[PREXC SUB-PROGRAM]],Table5[],2,FALSE)</f>
        <v>AGRICULTURAL  MACHINERY, EQUIPMENT, FACILITIES AND INFRASTRUCTURE PROGRAM</v>
      </c>
      <c r="M496" s="51" t="str">
        <f>VLOOKUP(Table3[[#This Row],[COMMODITY PREXC SUB-PROGRAM]],TAGS!$U$54:$V$76,2,FALSE)</f>
        <v>INS</v>
      </c>
      <c r="N496" s="47" t="s">
        <v>596</v>
      </c>
      <c r="O496" s="54" t="str">
        <f>VLOOKUP(Table3[[#This Row],[PI LEVEL 3]],'PI LEVEL'!A:C,3,FALSE)</f>
        <v>Service area generated from the establishment and installation of small-scale irrigation projects</v>
      </c>
      <c r="P496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496" s="54" t="str">
        <f>VLOOKUP(Table3[[#This Row],[ACTIVITY]],TAGS!B:P,2,FALSE)</f>
        <v>Service area generated from distribution of Pump and engine set</v>
      </c>
      <c r="R496" s="47" t="s">
        <v>214</v>
      </c>
      <c r="S496" s="54" t="str">
        <f>VLOOKUP(Table3[[#This Row],[ACTIVITY]],TAGS!$B:$P,4,FALSE)</f>
        <v>Service area generated</v>
      </c>
      <c r="T496" s="54" t="str">
        <f>VLOOKUP(Table3[[#This Row],[ACTIVITY]],TAGS!$B:$P,5,FALSE)</f>
        <v>Service area generated</v>
      </c>
      <c r="U496" s="54" t="str">
        <f>VLOOKUP(Table3[[#This Row],[ACTIVITY]],TAGS!$B:$P,6,FALSE)</f>
        <v>Service area generated</v>
      </c>
      <c r="V496" s="54" t="str">
        <f>VLOOKUP(Table3[[#This Row],[ACTIVITY]],TAGS!$B:$P,7,FALSE)</f>
        <v>NO</v>
      </c>
      <c r="W496" s="54" t="str">
        <f>VLOOKUP(Table3[[#This Row],[ACTIVITY]],TAGS!$B:$P,8,FALSE)</f>
        <v>PAP</v>
      </c>
      <c r="X496" s="54" t="str">
        <f>VLOOKUP(Table3[[#This Row],[ACTIVITY]],TAGS!$B:$P,10,FALSE)</f>
        <v>PIP</v>
      </c>
      <c r="Y496" s="54" t="str">
        <f>VLOOKUP(Table3[[#This Row],[ACTIVITY]],TAGS!$B:$P,11,FALSE)</f>
        <v>PICS</v>
      </c>
      <c r="Z496" s="54">
        <f>VLOOKUP(Table3[[#This Row],[ACTIVITY]],TAGS!$B:$P,12,FALSE)</f>
        <v>0</v>
      </c>
      <c r="AA496" s="54">
        <f>VLOOKUP(Table3[[#This Row],[ACTIVITY]],TAGS!$B:$P,13,FALSE)</f>
        <v>0</v>
      </c>
      <c r="AB496" s="54">
        <f>VLOOKUP(Table3[[#This Row],[ACTIVITY]],TAGS!$B:$P,14,FALSE)</f>
        <v>0</v>
      </c>
      <c r="AC496" s="54">
        <f>VLOOKUP(Table3[[#This Row],[ACTIVITY]],TAGS!$B:$P,15,FALSE)</f>
        <v>0</v>
      </c>
      <c r="AD496" s="54" t="str">
        <f>VLOOKUP(Table3[[#This Row],[PI LEVEL 3]],'PI LEVEL'!$A:$G,7,FALSE)</f>
        <v>PREXC/DA-Level Output</v>
      </c>
      <c r="AE496" s="47" t="s">
        <v>577</v>
      </c>
      <c r="AF496" s="54" t="str">
        <f>VLOOKUP(Table3[[#This Row],[ACTIVITY]],TAGS!$B:$P,3,FALSE)</f>
        <v>hectare</v>
      </c>
      <c r="AG496" s="47" t="s">
        <v>335</v>
      </c>
      <c r="AH496" s="54" t="str">
        <f>VLOOKUP(Table3[[#This Row],[MONTH]],TAGS!$W$67:$Y$81,2,FALSE)</f>
        <v>3RD QTR</v>
      </c>
      <c r="AI496" s="54" t="str">
        <f>VLOOKUP(Table3[[#This Row],[MONTH]],TAGS!$W$67:$Y$81,3,FALSE)</f>
        <v>2ND SEMESTER</v>
      </c>
      <c r="AJ496" s="54">
        <f>VLOOKUP(Table3[[#This Row],[MONTH]],TAGS!$W$67:$Z$81,4,FALSE)</f>
        <v>2025</v>
      </c>
      <c r="AK496" s="60">
        <v>30</v>
      </c>
      <c r="AL496" s="54" t="str">
        <f>VLOOKUP(Table3[[#This Row],[ACTIVITY]],TAGS!$B:$R,16,FALSE)</f>
        <v>NO</v>
      </c>
      <c r="AM496" s="60"/>
      <c r="AN496" s="60"/>
      <c r="AO496" s="57">
        <f>SUM(Table3[[#This Row],[MALE BENEFICIARIES]:[FEMALE BENEFICIARIES]])</f>
        <v>0</v>
      </c>
      <c r="AP496" s="62"/>
      <c r="AQ496" s="62"/>
      <c r="AR496" s="62"/>
      <c r="AS496" s="62"/>
      <c r="AT496" s="63" t="str">
        <f>VLOOKUP(Table3[[#This Row],[ACTIVITY]],TAGS!$B:$R,17,FALSE)</f>
        <v>NO</v>
      </c>
      <c r="AU496" s="63"/>
      <c r="AV496" s="63"/>
      <c r="AW496" s="63"/>
      <c r="AX496" s="63"/>
      <c r="AY496" s="63"/>
      <c r="AZ496" s="63"/>
      <c r="BA496" s="63"/>
      <c r="BB496" s="63"/>
      <c r="BC496" s="63"/>
      <c r="BD496" s="63"/>
      <c r="BE496" s="63"/>
      <c r="BF496" s="63"/>
      <c r="BG496" s="63"/>
      <c r="BH496" s="63"/>
      <c r="BI496" s="63"/>
      <c r="BJ496" s="63"/>
      <c r="BK496" s="63"/>
      <c r="BL496" s="63"/>
      <c r="BM496" s="63"/>
    </row>
    <row r="497" spans="1:65">
      <c r="A497" s="51" t="str">
        <f>VLOOKUP(Table3[[#This Row],[OU]],OU!$A$15:$B$34,2,FALSE)</f>
        <v>RFOs</v>
      </c>
      <c r="B497" s="47" t="s">
        <v>5</v>
      </c>
      <c r="C497" s="47" t="s">
        <v>574</v>
      </c>
      <c r="D497" s="47" t="s">
        <v>756</v>
      </c>
      <c r="E497" s="47" t="s">
        <v>43</v>
      </c>
      <c r="F497" s="47" t="s">
        <v>643</v>
      </c>
      <c r="G49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49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23108000</v>
      </c>
      <c r="I497" s="52" t="str">
        <f>VLOOKUP(Table3[[#This Row],[PSGC]],DISTRICT!$D:$G,4,FALSE)</f>
        <v>3rd</v>
      </c>
      <c r="J497" s="47" t="s">
        <v>578</v>
      </c>
      <c r="K497" s="51" t="str">
        <f>VLOOKUP(Table3[[#This Row],[SPECIFIC COMMODITY]],TAGS!$W$48:$X$53,2,FALSE)</f>
        <v>Corn</v>
      </c>
      <c r="L497" s="51" t="str">
        <f>VLOOKUP(Table3[[#This Row],[PREXC SUB-PROGRAM]],Table5[],2,FALSE)</f>
        <v>AGRICULTURAL  MACHINERY, EQUIPMENT, FACILITIES AND INFRASTRUCTURE PROGRAM</v>
      </c>
      <c r="M497" s="51" t="str">
        <f>VLOOKUP(Table3[[#This Row],[COMMODITY PREXC SUB-PROGRAM]],TAGS!$U$54:$V$76,2,FALSE)</f>
        <v>INS</v>
      </c>
      <c r="N497" s="47" t="s">
        <v>596</v>
      </c>
      <c r="O497" s="54" t="str">
        <f>VLOOKUP(Table3[[#This Row],[PI LEVEL 3]],'PI LEVEL'!A:C,3,FALSE)</f>
        <v>Irrigation machinery distributed</v>
      </c>
      <c r="P497" s="54" t="str">
        <f>VLOOKUP(Table3[[#This Row],[PI LEVEL 3]],Table53729[[Performance Indicator Level 3]:[Performance Indicator Level 1]],2,FALSE)</f>
        <v>Irrigation machinery distributed</v>
      </c>
      <c r="Q497" s="54" t="str">
        <f>VLOOKUP(Table3[[#This Row],[ACTIVITY]],TAGS!B:P,2,FALSE)</f>
        <v>Pump and Engine Set distributed</v>
      </c>
      <c r="R497" s="47" t="s">
        <v>210</v>
      </c>
      <c r="S497" s="51" t="str">
        <f>VLOOKUP(Table3[[#This Row],[ACTIVITY]],TAGS!$B:$P,4,FALSE)</f>
        <v>Small-scale Irrigation Projects</v>
      </c>
      <c r="T497" s="51" t="str">
        <f>VLOOKUP(Table3[[#This Row],[ACTIVITY]],TAGS!$B:$P,5,FALSE)</f>
        <v>Small-scale Irrigation Projects (SSIPs)</v>
      </c>
      <c r="U497" s="51" t="str">
        <f>VLOOKUP(Table3[[#This Row],[ACTIVITY]],TAGS!$B:$P,6,FALSE)</f>
        <v>Open Source Pumping Set</v>
      </c>
      <c r="V497" s="51" t="str">
        <f>VLOOKUP(Table3[[#This Row],[ACTIVITY]],TAGS!$B:$P,7,FALSE)</f>
        <v>YES</v>
      </c>
      <c r="W497" s="51" t="str">
        <f>VLOOKUP(Table3[[#This Row],[ACTIVITY]],TAGS!$B:$P,8,FALSE)</f>
        <v>PAP</v>
      </c>
      <c r="X497" s="51" t="str">
        <f>VLOOKUP(Table3[[#This Row],[ACTIVITY]],TAGS!$B:$P,10,FALSE)</f>
        <v>PIP</v>
      </c>
      <c r="Y497" s="51" t="str">
        <f>VLOOKUP(Table3[[#This Row],[ACTIVITY]],TAGS!$B:$P,11,FALSE)</f>
        <v>PICS</v>
      </c>
      <c r="Z497" s="51" t="str">
        <f>VLOOKUP(Table3[[#This Row],[ACTIVITY]],TAGS!$B:$P,12,FALSE)</f>
        <v>Modernization</v>
      </c>
      <c r="AA497" s="51" t="str">
        <f>VLOOKUP(Table3[[#This Row],[ACTIVITY]],TAGS!$B:$P,13,FALSE)</f>
        <v>8. Farm Mechanization and Farm Investments</v>
      </c>
      <c r="AB497" s="51" t="str">
        <f>VLOOKUP(Table3[[#This Row],[ACTIVITY]],TAGS!$B:$P,14,FALSE)</f>
        <v>EXPAND AND IMPROVE AVAILABLE AGRI-FISHERY AREAS FOR INCREASED PRODUCTION</v>
      </c>
      <c r="AC497" s="51" t="str">
        <f>VLOOKUP(Table3[[#This Row],[ACTIVITY]],TAGS!$B:$P,15,FALSE)</f>
        <v>Irrigation</v>
      </c>
      <c r="AD497" s="51" t="str">
        <f>VLOOKUP(Table3[[#This Row],[PI LEVEL 3]],'PI LEVEL'!$A:$G,7,FALSE)</f>
        <v>DA-Level Output</v>
      </c>
      <c r="AE497" s="47" t="s">
        <v>577</v>
      </c>
      <c r="AF497" s="51" t="str">
        <f>VLOOKUP(Table3[[#This Row],[ACTIVITY]],TAGS!$B:$P,3,FALSE)</f>
        <v>number</v>
      </c>
      <c r="AG497" s="47" t="s">
        <v>336</v>
      </c>
      <c r="AH497" s="51" t="str">
        <f>VLOOKUP(Table3[[#This Row],[MONTH]],TAGS!$W$67:$Y$81,2,FALSE)</f>
        <v>4TH QTR</v>
      </c>
      <c r="AI497" s="51" t="str">
        <f>VLOOKUP(Table3[[#This Row],[MONTH]],TAGS!$W$67:$Y$81,3,FALSE)</f>
        <v>2ND SEMESTER</v>
      </c>
      <c r="AJ497" s="51">
        <f>VLOOKUP(Table3[[#This Row],[MONTH]],TAGS!$W$67:$Z$81,4,FALSE)</f>
        <v>2025</v>
      </c>
      <c r="AK497" s="47">
        <v>10</v>
      </c>
      <c r="AL497" s="51" t="str">
        <f>VLOOKUP(Table3[[#This Row],[ACTIVITY]],TAGS!$B:$R,16,FALSE)</f>
        <v>YES</v>
      </c>
      <c r="AM497" s="47">
        <v>30</v>
      </c>
      <c r="AN497" s="47">
        <v>1000</v>
      </c>
      <c r="AO497" s="57">
        <f>SUM(Table3[[#This Row],[MALE BENEFICIARIES]:[FEMALE BENEFICIARIES]])</f>
        <v>0</v>
      </c>
      <c r="AP497" s="58"/>
      <c r="AQ497" s="58"/>
      <c r="AR497" s="58"/>
      <c r="AS497" s="58">
        <v>1</v>
      </c>
      <c r="AT497" s="59" t="str">
        <f>VLOOKUP(Table3[[#This Row],[ACTIVITY]],TAGS!$B:$R,17,FALSE)</f>
        <v>YES</v>
      </c>
      <c r="AU497" s="59"/>
      <c r="AV497" s="59"/>
      <c r="AW497" s="59"/>
      <c r="AX497" s="59"/>
      <c r="AY497" s="59"/>
      <c r="AZ497" s="59"/>
      <c r="BA497" s="59"/>
      <c r="BB497" s="59"/>
      <c r="BC497" s="59"/>
      <c r="BD497" s="59"/>
      <c r="BE497" s="59"/>
      <c r="BF497" s="59"/>
      <c r="BG497" s="59"/>
      <c r="BH497" s="59"/>
      <c r="BI497" s="59"/>
      <c r="BJ497" s="59"/>
      <c r="BK497" s="59"/>
      <c r="BL497" s="59"/>
      <c r="BM497" s="59"/>
    </row>
    <row r="498" spans="1:65">
      <c r="A498" s="54" t="str">
        <f>VLOOKUP(Table3[[#This Row],[OU]],OU!$A$15:$B$34,2,FALSE)</f>
        <v>RFOs</v>
      </c>
      <c r="B498" s="47" t="s">
        <v>5</v>
      </c>
      <c r="C498" s="47" t="s">
        <v>574</v>
      </c>
      <c r="D498" s="60"/>
      <c r="E498" s="47" t="s">
        <v>43</v>
      </c>
      <c r="F498" s="47" t="s">
        <v>643</v>
      </c>
      <c r="G49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498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23108000</v>
      </c>
      <c r="I498" s="61" t="str">
        <f>VLOOKUP(Table3[[#This Row],[PSGC]],DISTRICT!$D:$G,4,FALSE)</f>
        <v>3rd</v>
      </c>
      <c r="J498" s="47" t="s">
        <v>578</v>
      </c>
      <c r="K498" s="51" t="str">
        <f>VLOOKUP(Table3[[#This Row],[SPECIFIC COMMODITY]],TAGS!$W$48:$X$53,2,FALSE)</f>
        <v>Corn</v>
      </c>
      <c r="L498" s="51" t="str">
        <f>VLOOKUP(Table3[[#This Row],[PREXC SUB-PROGRAM]],Table5[],2,FALSE)</f>
        <v>AGRICULTURAL  MACHINERY, EQUIPMENT, FACILITIES AND INFRASTRUCTURE PROGRAM</v>
      </c>
      <c r="M498" s="51" t="str">
        <f>VLOOKUP(Table3[[#This Row],[COMMODITY PREXC SUB-PROGRAM]],TAGS!$U$54:$V$76,2,FALSE)</f>
        <v>INS</v>
      </c>
      <c r="N498" s="47" t="s">
        <v>596</v>
      </c>
      <c r="O498" s="54" t="str">
        <f>VLOOKUP(Table3[[#This Row],[PI LEVEL 3]],'PI LEVEL'!A:C,3,FALSE)</f>
        <v>Service area generated from the establishment and installation of small-scale irrigation projects</v>
      </c>
      <c r="P498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498" s="54" t="str">
        <f>VLOOKUP(Table3[[#This Row],[ACTIVITY]],TAGS!B:P,2,FALSE)</f>
        <v>Service area generated from distribution of Pump and engine set</v>
      </c>
      <c r="R498" s="47" t="s">
        <v>214</v>
      </c>
      <c r="S498" s="54" t="str">
        <f>VLOOKUP(Table3[[#This Row],[ACTIVITY]],TAGS!$B:$P,4,FALSE)</f>
        <v>Service area generated</v>
      </c>
      <c r="T498" s="54" t="str">
        <f>VLOOKUP(Table3[[#This Row],[ACTIVITY]],TAGS!$B:$P,5,FALSE)</f>
        <v>Service area generated</v>
      </c>
      <c r="U498" s="54" t="str">
        <f>VLOOKUP(Table3[[#This Row],[ACTIVITY]],TAGS!$B:$P,6,FALSE)</f>
        <v>Service area generated</v>
      </c>
      <c r="V498" s="54" t="str">
        <f>VLOOKUP(Table3[[#This Row],[ACTIVITY]],TAGS!$B:$P,7,FALSE)</f>
        <v>NO</v>
      </c>
      <c r="W498" s="54" t="str">
        <f>VLOOKUP(Table3[[#This Row],[ACTIVITY]],TAGS!$B:$P,8,FALSE)</f>
        <v>PAP</v>
      </c>
      <c r="X498" s="54" t="str">
        <f>VLOOKUP(Table3[[#This Row],[ACTIVITY]],TAGS!$B:$P,10,FALSE)</f>
        <v>PIP</v>
      </c>
      <c r="Y498" s="54" t="str">
        <f>VLOOKUP(Table3[[#This Row],[ACTIVITY]],TAGS!$B:$P,11,FALSE)</f>
        <v>PICS</v>
      </c>
      <c r="Z498" s="54">
        <f>VLOOKUP(Table3[[#This Row],[ACTIVITY]],TAGS!$B:$P,12,FALSE)</f>
        <v>0</v>
      </c>
      <c r="AA498" s="54">
        <f>VLOOKUP(Table3[[#This Row],[ACTIVITY]],TAGS!$B:$P,13,FALSE)</f>
        <v>0</v>
      </c>
      <c r="AB498" s="54">
        <f>VLOOKUP(Table3[[#This Row],[ACTIVITY]],TAGS!$B:$P,14,FALSE)</f>
        <v>0</v>
      </c>
      <c r="AC498" s="54">
        <f>VLOOKUP(Table3[[#This Row],[ACTIVITY]],TAGS!$B:$P,15,FALSE)</f>
        <v>0</v>
      </c>
      <c r="AD498" s="54" t="str">
        <f>VLOOKUP(Table3[[#This Row],[PI LEVEL 3]],'PI LEVEL'!$A:$G,7,FALSE)</f>
        <v>PREXC/DA-Level Output</v>
      </c>
      <c r="AE498" s="47" t="s">
        <v>577</v>
      </c>
      <c r="AF498" s="54" t="str">
        <f>VLOOKUP(Table3[[#This Row],[ACTIVITY]],TAGS!$B:$P,3,FALSE)</f>
        <v>hectare</v>
      </c>
      <c r="AG498" s="47" t="s">
        <v>336</v>
      </c>
      <c r="AH498" s="54" t="str">
        <f>VLOOKUP(Table3[[#This Row],[MONTH]],TAGS!$W$67:$Y$81,2,FALSE)</f>
        <v>4TH QTR</v>
      </c>
      <c r="AI498" s="54" t="str">
        <f>VLOOKUP(Table3[[#This Row],[MONTH]],TAGS!$W$67:$Y$81,3,FALSE)</f>
        <v>2ND SEMESTER</v>
      </c>
      <c r="AJ498" s="54">
        <f>VLOOKUP(Table3[[#This Row],[MONTH]],TAGS!$W$67:$Z$81,4,FALSE)</f>
        <v>2025</v>
      </c>
      <c r="AK498" s="60">
        <v>30</v>
      </c>
      <c r="AL498" s="54" t="str">
        <f>VLOOKUP(Table3[[#This Row],[ACTIVITY]],TAGS!$B:$R,16,FALSE)</f>
        <v>NO</v>
      </c>
      <c r="AM498" s="60"/>
      <c r="AN498" s="60"/>
      <c r="AO498" s="57">
        <f>SUM(Table3[[#This Row],[MALE BENEFICIARIES]:[FEMALE BENEFICIARIES]])</f>
        <v>0</v>
      </c>
      <c r="AP498" s="62"/>
      <c r="AQ498" s="62"/>
      <c r="AR498" s="62"/>
      <c r="AS498" s="62"/>
      <c r="AT498" s="63" t="str">
        <f>VLOOKUP(Table3[[#This Row],[ACTIVITY]],TAGS!$B:$R,17,FALSE)</f>
        <v>NO</v>
      </c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  <c r="BI498" s="63"/>
      <c r="BJ498" s="63"/>
      <c r="BK498" s="63"/>
      <c r="BL498" s="63"/>
      <c r="BM498" s="63"/>
    </row>
    <row r="499" spans="1:65">
      <c r="A499" s="51" t="str">
        <f>VLOOKUP(Table3[[#This Row],[OU]],OU!$A$15:$B$34,2,FALSE)</f>
        <v>RFOs</v>
      </c>
      <c r="B499" s="47" t="s">
        <v>5</v>
      </c>
      <c r="C499" s="47" t="s">
        <v>574</v>
      </c>
      <c r="D499" s="47" t="s">
        <v>757</v>
      </c>
      <c r="E499" s="47" t="s">
        <v>43</v>
      </c>
      <c r="F499" s="47" t="s">
        <v>643</v>
      </c>
      <c r="G49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49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23108000</v>
      </c>
      <c r="I499" s="52" t="str">
        <f>VLOOKUP(Table3[[#This Row],[PSGC]],DISTRICT!$D:$G,4,FALSE)</f>
        <v>3rd</v>
      </c>
      <c r="J499" s="47" t="s">
        <v>578</v>
      </c>
      <c r="K499" s="51" t="str">
        <f>VLOOKUP(Table3[[#This Row],[SPECIFIC COMMODITY]],TAGS!$W$48:$X$53,2,FALSE)</f>
        <v>Corn</v>
      </c>
      <c r="L499" s="51" t="str">
        <f>VLOOKUP(Table3[[#This Row],[PREXC SUB-PROGRAM]],Table5[],2,FALSE)</f>
        <v>AGRICULTURAL  MACHINERY, EQUIPMENT, FACILITIES AND INFRASTRUCTURE PROGRAM</v>
      </c>
      <c r="M499" s="51" t="str">
        <f>VLOOKUP(Table3[[#This Row],[COMMODITY PREXC SUB-PROGRAM]],TAGS!$U$54:$V$76,2,FALSE)</f>
        <v>INS</v>
      </c>
      <c r="N499" s="47" t="s">
        <v>596</v>
      </c>
      <c r="O499" s="54" t="str">
        <f>VLOOKUP(Table3[[#This Row],[PI LEVEL 3]],'PI LEVEL'!A:C,3,FALSE)</f>
        <v>Irrigation machinery distributed</v>
      </c>
      <c r="P499" s="54" t="str">
        <f>VLOOKUP(Table3[[#This Row],[PI LEVEL 3]],Table53729[[Performance Indicator Level 3]:[Performance Indicator Level 1]],2,FALSE)</f>
        <v>Irrigation machinery distributed</v>
      </c>
      <c r="Q499" s="54" t="str">
        <f>VLOOKUP(Table3[[#This Row],[ACTIVITY]],TAGS!B:P,2,FALSE)</f>
        <v>Pump and Engine Set distributed</v>
      </c>
      <c r="R499" s="47" t="s">
        <v>210</v>
      </c>
      <c r="S499" s="51" t="str">
        <f>VLOOKUP(Table3[[#This Row],[ACTIVITY]],TAGS!$B:$P,4,FALSE)</f>
        <v>Small-scale Irrigation Projects</v>
      </c>
      <c r="T499" s="51" t="str">
        <f>VLOOKUP(Table3[[#This Row],[ACTIVITY]],TAGS!$B:$P,5,FALSE)</f>
        <v>Small-scale Irrigation Projects (SSIPs)</v>
      </c>
      <c r="U499" s="51" t="str">
        <f>VLOOKUP(Table3[[#This Row],[ACTIVITY]],TAGS!$B:$P,6,FALSE)</f>
        <v>Open Source Pumping Set</v>
      </c>
      <c r="V499" s="51" t="str">
        <f>VLOOKUP(Table3[[#This Row],[ACTIVITY]],TAGS!$B:$P,7,FALSE)</f>
        <v>YES</v>
      </c>
      <c r="W499" s="51" t="str">
        <f>VLOOKUP(Table3[[#This Row],[ACTIVITY]],TAGS!$B:$P,8,FALSE)</f>
        <v>PAP</v>
      </c>
      <c r="X499" s="51" t="str">
        <f>VLOOKUP(Table3[[#This Row],[ACTIVITY]],TAGS!$B:$P,10,FALSE)</f>
        <v>PIP</v>
      </c>
      <c r="Y499" s="51" t="str">
        <f>VLOOKUP(Table3[[#This Row],[ACTIVITY]],TAGS!$B:$P,11,FALSE)</f>
        <v>PICS</v>
      </c>
      <c r="Z499" s="51" t="str">
        <f>VLOOKUP(Table3[[#This Row],[ACTIVITY]],TAGS!$B:$P,12,FALSE)</f>
        <v>Modernization</v>
      </c>
      <c r="AA499" s="51" t="str">
        <f>VLOOKUP(Table3[[#This Row],[ACTIVITY]],TAGS!$B:$P,13,FALSE)</f>
        <v>8. Farm Mechanization and Farm Investments</v>
      </c>
      <c r="AB499" s="51" t="str">
        <f>VLOOKUP(Table3[[#This Row],[ACTIVITY]],TAGS!$B:$P,14,FALSE)</f>
        <v>EXPAND AND IMPROVE AVAILABLE AGRI-FISHERY AREAS FOR INCREASED PRODUCTION</v>
      </c>
      <c r="AC499" s="51" t="str">
        <f>VLOOKUP(Table3[[#This Row],[ACTIVITY]],TAGS!$B:$P,15,FALSE)</f>
        <v>Irrigation</v>
      </c>
      <c r="AD499" s="51" t="str">
        <f>VLOOKUP(Table3[[#This Row],[PI LEVEL 3]],'PI LEVEL'!$A:$G,7,FALSE)</f>
        <v>DA-Level Output</v>
      </c>
      <c r="AE499" s="47" t="s">
        <v>577</v>
      </c>
      <c r="AF499" s="51" t="str">
        <f>VLOOKUP(Table3[[#This Row],[ACTIVITY]],TAGS!$B:$P,3,FALSE)</f>
        <v>number</v>
      </c>
      <c r="AG499" s="47" t="s">
        <v>336</v>
      </c>
      <c r="AH499" s="51" t="str">
        <f>VLOOKUP(Table3[[#This Row],[MONTH]],TAGS!$W$67:$Y$81,2,FALSE)</f>
        <v>4TH QTR</v>
      </c>
      <c r="AI499" s="51" t="str">
        <f>VLOOKUP(Table3[[#This Row],[MONTH]],TAGS!$W$67:$Y$81,3,FALSE)</f>
        <v>2ND SEMESTER</v>
      </c>
      <c r="AJ499" s="51">
        <f>VLOOKUP(Table3[[#This Row],[MONTH]],TAGS!$W$67:$Z$81,4,FALSE)</f>
        <v>2025</v>
      </c>
      <c r="AK499" s="47">
        <v>10</v>
      </c>
      <c r="AL499" s="51" t="str">
        <f>VLOOKUP(Table3[[#This Row],[ACTIVITY]],TAGS!$B:$R,16,FALSE)</f>
        <v>YES</v>
      </c>
      <c r="AM499" s="47">
        <v>30</v>
      </c>
      <c r="AN499" s="47">
        <v>1000</v>
      </c>
      <c r="AO499" s="57">
        <f>SUM(Table3[[#This Row],[MALE BENEFICIARIES]:[FEMALE BENEFICIARIES]])</f>
        <v>0</v>
      </c>
      <c r="AP499" s="58"/>
      <c r="AQ499" s="58"/>
      <c r="AR499" s="58"/>
      <c r="AS499" s="58">
        <v>1</v>
      </c>
      <c r="AT499" s="59" t="str">
        <f>VLOOKUP(Table3[[#This Row],[ACTIVITY]],TAGS!$B:$R,17,FALSE)</f>
        <v>YES</v>
      </c>
      <c r="AU499" s="59"/>
      <c r="AV499" s="59"/>
      <c r="AW499" s="59"/>
      <c r="AX499" s="59"/>
      <c r="AY499" s="59"/>
      <c r="AZ499" s="59"/>
      <c r="BA499" s="59"/>
      <c r="BB499" s="59"/>
      <c r="BC499" s="59"/>
      <c r="BD499" s="59"/>
      <c r="BE499" s="59"/>
      <c r="BF499" s="59"/>
      <c r="BG499" s="59"/>
      <c r="BH499" s="59"/>
      <c r="BI499" s="59"/>
      <c r="BJ499" s="59"/>
      <c r="BK499" s="59"/>
      <c r="BL499" s="59"/>
      <c r="BM499" s="59"/>
    </row>
    <row r="500" spans="1:65">
      <c r="A500" s="54" t="str">
        <f>VLOOKUP(Table3[[#This Row],[OU]],OU!$A$15:$B$34,2,FALSE)</f>
        <v>RFOs</v>
      </c>
      <c r="B500" s="47" t="s">
        <v>5</v>
      </c>
      <c r="C500" s="47" t="s">
        <v>574</v>
      </c>
      <c r="D500" s="60"/>
      <c r="E500" s="47" t="s">
        <v>43</v>
      </c>
      <c r="F500" s="47" t="s">
        <v>643</v>
      </c>
      <c r="G50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6th District</v>
      </c>
      <c r="H500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23108000</v>
      </c>
      <c r="I500" s="61" t="str">
        <f>VLOOKUP(Table3[[#This Row],[PSGC]],DISTRICT!$D:$G,4,FALSE)</f>
        <v>3rd</v>
      </c>
      <c r="J500" s="47" t="s">
        <v>578</v>
      </c>
      <c r="K500" s="51" t="str">
        <f>VLOOKUP(Table3[[#This Row],[SPECIFIC COMMODITY]],TAGS!$W$48:$X$53,2,FALSE)</f>
        <v>Corn</v>
      </c>
      <c r="L500" s="51" t="str">
        <f>VLOOKUP(Table3[[#This Row],[PREXC SUB-PROGRAM]],Table5[],2,FALSE)</f>
        <v>AGRICULTURAL  MACHINERY, EQUIPMENT, FACILITIES AND INFRASTRUCTURE PROGRAM</v>
      </c>
      <c r="M500" s="51" t="str">
        <f>VLOOKUP(Table3[[#This Row],[COMMODITY PREXC SUB-PROGRAM]],TAGS!$U$54:$V$76,2,FALSE)</f>
        <v>INS</v>
      </c>
      <c r="N500" s="47" t="s">
        <v>596</v>
      </c>
      <c r="O500" s="54" t="str">
        <f>VLOOKUP(Table3[[#This Row],[PI LEVEL 3]],'PI LEVEL'!A:C,3,FALSE)</f>
        <v>Service area generated from the establishment and installation of small-scale irrigation projects</v>
      </c>
      <c r="P500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500" s="54" t="str">
        <f>VLOOKUP(Table3[[#This Row],[ACTIVITY]],TAGS!B:P,2,FALSE)</f>
        <v>Service area generated from distribution of Pump and engine set</v>
      </c>
      <c r="R500" s="47" t="s">
        <v>214</v>
      </c>
      <c r="S500" s="54" t="str">
        <f>VLOOKUP(Table3[[#This Row],[ACTIVITY]],TAGS!$B:$P,4,FALSE)</f>
        <v>Service area generated</v>
      </c>
      <c r="T500" s="54" t="str">
        <f>VLOOKUP(Table3[[#This Row],[ACTIVITY]],TAGS!$B:$P,5,FALSE)</f>
        <v>Service area generated</v>
      </c>
      <c r="U500" s="54" t="str">
        <f>VLOOKUP(Table3[[#This Row],[ACTIVITY]],TAGS!$B:$P,6,FALSE)</f>
        <v>Service area generated</v>
      </c>
      <c r="V500" s="54" t="str">
        <f>VLOOKUP(Table3[[#This Row],[ACTIVITY]],TAGS!$B:$P,7,FALSE)</f>
        <v>NO</v>
      </c>
      <c r="W500" s="54" t="str">
        <f>VLOOKUP(Table3[[#This Row],[ACTIVITY]],TAGS!$B:$P,8,FALSE)</f>
        <v>PAP</v>
      </c>
      <c r="X500" s="54" t="str">
        <f>VLOOKUP(Table3[[#This Row],[ACTIVITY]],TAGS!$B:$P,10,FALSE)</f>
        <v>PIP</v>
      </c>
      <c r="Y500" s="54" t="str">
        <f>VLOOKUP(Table3[[#This Row],[ACTIVITY]],TAGS!$B:$P,11,FALSE)</f>
        <v>PICS</v>
      </c>
      <c r="Z500" s="54">
        <f>VLOOKUP(Table3[[#This Row],[ACTIVITY]],TAGS!$B:$P,12,FALSE)</f>
        <v>0</v>
      </c>
      <c r="AA500" s="54">
        <f>VLOOKUP(Table3[[#This Row],[ACTIVITY]],TAGS!$B:$P,13,FALSE)</f>
        <v>0</v>
      </c>
      <c r="AB500" s="54">
        <f>VLOOKUP(Table3[[#This Row],[ACTIVITY]],TAGS!$B:$P,14,FALSE)</f>
        <v>0</v>
      </c>
      <c r="AC500" s="54">
        <f>VLOOKUP(Table3[[#This Row],[ACTIVITY]],TAGS!$B:$P,15,FALSE)</f>
        <v>0</v>
      </c>
      <c r="AD500" s="54" t="str">
        <f>VLOOKUP(Table3[[#This Row],[PI LEVEL 3]],'PI LEVEL'!$A:$G,7,FALSE)</f>
        <v>PREXC/DA-Level Output</v>
      </c>
      <c r="AE500" s="47" t="s">
        <v>577</v>
      </c>
      <c r="AF500" s="54" t="str">
        <f>VLOOKUP(Table3[[#This Row],[ACTIVITY]],TAGS!$B:$P,3,FALSE)</f>
        <v>hectare</v>
      </c>
      <c r="AG500" s="47" t="s">
        <v>336</v>
      </c>
      <c r="AH500" s="54" t="str">
        <f>VLOOKUP(Table3[[#This Row],[MONTH]],TAGS!$W$67:$Y$81,2,FALSE)</f>
        <v>4TH QTR</v>
      </c>
      <c r="AI500" s="54" t="str">
        <f>VLOOKUP(Table3[[#This Row],[MONTH]],TAGS!$W$67:$Y$81,3,FALSE)</f>
        <v>2ND SEMESTER</v>
      </c>
      <c r="AJ500" s="54">
        <f>VLOOKUP(Table3[[#This Row],[MONTH]],TAGS!$W$67:$Z$81,4,FALSE)</f>
        <v>2025</v>
      </c>
      <c r="AK500" s="60">
        <v>30</v>
      </c>
      <c r="AL500" s="54" t="str">
        <f>VLOOKUP(Table3[[#This Row],[ACTIVITY]],TAGS!$B:$R,16,FALSE)</f>
        <v>NO</v>
      </c>
      <c r="AM500" s="60"/>
      <c r="AN500" s="60"/>
      <c r="AO500" s="57">
        <f>SUM(Table3[[#This Row],[MALE BENEFICIARIES]:[FEMALE BENEFICIARIES]])</f>
        <v>0</v>
      </c>
      <c r="AP500" s="62"/>
      <c r="AQ500" s="62"/>
      <c r="AR500" s="62"/>
      <c r="AS500" s="62"/>
      <c r="AT500" s="63" t="str">
        <f>VLOOKUP(Table3[[#This Row],[ACTIVITY]],TAGS!$B:$R,17,FALSE)</f>
        <v>NO</v>
      </c>
      <c r="AU500" s="63"/>
      <c r="AV500" s="63"/>
      <c r="AW500" s="63"/>
      <c r="AX500" s="63"/>
      <c r="AY500" s="63"/>
      <c r="AZ500" s="63"/>
      <c r="BA500" s="63"/>
      <c r="BB500" s="63"/>
      <c r="BC500" s="63"/>
      <c r="BD500" s="63"/>
      <c r="BE500" s="63"/>
      <c r="BF500" s="63"/>
      <c r="BG500" s="63"/>
      <c r="BH500" s="63"/>
      <c r="BI500" s="63"/>
      <c r="BJ500" s="63"/>
      <c r="BK500" s="63"/>
      <c r="BL500" s="63"/>
      <c r="BM500" s="63"/>
    </row>
    <row r="501" spans="1:65">
      <c r="A501" s="51" t="str">
        <f>VLOOKUP(Table3[[#This Row],[OU]],OU!$A$15:$B$34,2,FALSE)</f>
        <v>RFOs</v>
      </c>
      <c r="B501" s="47" t="s">
        <v>5</v>
      </c>
      <c r="C501" s="47" t="s">
        <v>574</v>
      </c>
      <c r="D501" s="47" t="s">
        <v>721</v>
      </c>
      <c r="E501" s="47" t="s">
        <v>70</v>
      </c>
      <c r="F501" s="47" t="s">
        <v>635</v>
      </c>
      <c r="G50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50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25702000</v>
      </c>
      <c r="I501" s="52" t="str">
        <f>VLOOKUP(Table3[[#This Row],[PSGC]],DISTRICT!$D:$G,4,FALSE)</f>
        <v>3rd</v>
      </c>
      <c r="J501" s="47" t="s">
        <v>578</v>
      </c>
      <c r="K501" s="51" t="str">
        <f>VLOOKUP(Table3[[#This Row],[SPECIFIC COMMODITY]],TAGS!$W$48:$X$53,2,FALSE)</f>
        <v>Corn</v>
      </c>
      <c r="L501" s="51" t="str">
        <f>VLOOKUP(Table3[[#This Row],[PREXC SUB-PROGRAM]],Table5[],2,FALSE)</f>
        <v>AGRICULTURAL  MACHINERY, EQUIPMENT, FACILITIES AND INFRASTRUCTURE PROGRAM</v>
      </c>
      <c r="M501" s="51" t="str">
        <f>VLOOKUP(Table3[[#This Row],[COMMODITY PREXC SUB-PROGRAM]],TAGS!$U$54:$V$76,2,FALSE)</f>
        <v>INS</v>
      </c>
      <c r="N501" s="47" t="s">
        <v>596</v>
      </c>
      <c r="O501" s="54" t="str">
        <f>VLOOKUP(Table3[[#This Row],[PI LEVEL 3]],'PI LEVEL'!A:C,3,FALSE)</f>
        <v>Irrigation machinery distributed</v>
      </c>
      <c r="P501" s="54" t="str">
        <f>VLOOKUP(Table3[[#This Row],[PI LEVEL 3]],Table53729[[Performance Indicator Level 3]:[Performance Indicator Level 1]],2,FALSE)</f>
        <v>Irrigation machinery distributed</v>
      </c>
      <c r="Q501" s="54" t="str">
        <f>VLOOKUP(Table3[[#This Row],[ACTIVITY]],TAGS!B:P,2,FALSE)</f>
        <v>Pump and Engine Set distributed</v>
      </c>
      <c r="R501" s="47" t="s">
        <v>210</v>
      </c>
      <c r="S501" s="51" t="str">
        <f>VLOOKUP(Table3[[#This Row],[ACTIVITY]],TAGS!$B:$P,4,FALSE)</f>
        <v>Small-scale Irrigation Projects</v>
      </c>
      <c r="T501" s="51" t="str">
        <f>VLOOKUP(Table3[[#This Row],[ACTIVITY]],TAGS!$B:$P,5,FALSE)</f>
        <v>Small-scale Irrigation Projects (SSIPs)</v>
      </c>
      <c r="U501" s="51" t="str">
        <f>VLOOKUP(Table3[[#This Row],[ACTIVITY]],TAGS!$B:$P,6,FALSE)</f>
        <v>Open Source Pumping Set</v>
      </c>
      <c r="V501" s="51" t="str">
        <f>VLOOKUP(Table3[[#This Row],[ACTIVITY]],TAGS!$B:$P,7,FALSE)</f>
        <v>YES</v>
      </c>
      <c r="W501" s="51" t="str">
        <f>VLOOKUP(Table3[[#This Row],[ACTIVITY]],TAGS!$B:$P,8,FALSE)</f>
        <v>PAP</v>
      </c>
      <c r="X501" s="51" t="str">
        <f>VLOOKUP(Table3[[#This Row],[ACTIVITY]],TAGS!$B:$P,10,FALSE)</f>
        <v>PIP</v>
      </c>
      <c r="Y501" s="51" t="str">
        <f>VLOOKUP(Table3[[#This Row],[ACTIVITY]],TAGS!$B:$P,11,FALSE)</f>
        <v>PICS</v>
      </c>
      <c r="Z501" s="51" t="str">
        <f>VLOOKUP(Table3[[#This Row],[ACTIVITY]],TAGS!$B:$P,12,FALSE)</f>
        <v>Modernization</v>
      </c>
      <c r="AA501" s="51" t="str">
        <f>VLOOKUP(Table3[[#This Row],[ACTIVITY]],TAGS!$B:$P,13,FALSE)</f>
        <v>8. Farm Mechanization and Farm Investments</v>
      </c>
      <c r="AB501" s="51" t="str">
        <f>VLOOKUP(Table3[[#This Row],[ACTIVITY]],TAGS!$B:$P,14,FALSE)</f>
        <v>EXPAND AND IMPROVE AVAILABLE AGRI-FISHERY AREAS FOR INCREASED PRODUCTION</v>
      </c>
      <c r="AC501" s="51" t="str">
        <f>VLOOKUP(Table3[[#This Row],[ACTIVITY]],TAGS!$B:$P,15,FALSE)</f>
        <v>Irrigation</v>
      </c>
      <c r="AD501" s="51" t="str">
        <f>VLOOKUP(Table3[[#This Row],[PI LEVEL 3]],'PI LEVEL'!$A:$G,7,FALSE)</f>
        <v>DA-Level Output</v>
      </c>
      <c r="AE501" s="47" t="s">
        <v>577</v>
      </c>
      <c r="AF501" s="51" t="str">
        <f>VLOOKUP(Table3[[#This Row],[ACTIVITY]],TAGS!$B:$P,3,FALSE)</f>
        <v>number</v>
      </c>
      <c r="AG501" s="47" t="s">
        <v>336</v>
      </c>
      <c r="AH501" s="51" t="str">
        <f>VLOOKUP(Table3[[#This Row],[MONTH]],TAGS!$W$67:$Y$81,2,FALSE)</f>
        <v>4TH QTR</v>
      </c>
      <c r="AI501" s="51" t="str">
        <f>VLOOKUP(Table3[[#This Row],[MONTH]],TAGS!$W$67:$Y$81,3,FALSE)</f>
        <v>2ND SEMESTER</v>
      </c>
      <c r="AJ501" s="51">
        <f>VLOOKUP(Table3[[#This Row],[MONTH]],TAGS!$W$67:$Z$81,4,FALSE)</f>
        <v>2025</v>
      </c>
      <c r="AK501" s="47">
        <v>10</v>
      </c>
      <c r="AL501" s="51" t="str">
        <f>VLOOKUP(Table3[[#This Row],[ACTIVITY]],TAGS!$B:$R,16,FALSE)</f>
        <v>YES</v>
      </c>
      <c r="AM501" s="47">
        <v>30</v>
      </c>
      <c r="AN501" s="47">
        <v>1000</v>
      </c>
      <c r="AO501" s="57">
        <f>SUM(Table3[[#This Row],[MALE BENEFICIARIES]:[FEMALE BENEFICIARIES]])</f>
        <v>0</v>
      </c>
      <c r="AP501" s="58"/>
      <c r="AQ501" s="58"/>
      <c r="AR501" s="58"/>
      <c r="AS501" s="58">
        <v>1</v>
      </c>
      <c r="AT501" s="59" t="str">
        <f>VLOOKUP(Table3[[#This Row],[ACTIVITY]],TAGS!$B:$R,17,FALSE)</f>
        <v>YES</v>
      </c>
      <c r="AU501" s="59"/>
      <c r="AV501" s="59"/>
      <c r="AW501" s="59"/>
      <c r="AX501" s="59"/>
      <c r="AY501" s="59"/>
      <c r="AZ501" s="59"/>
      <c r="BA501" s="59"/>
      <c r="BB501" s="59"/>
      <c r="BC501" s="59"/>
      <c r="BD501" s="59"/>
      <c r="BE501" s="59"/>
      <c r="BF501" s="59"/>
      <c r="BG501" s="59"/>
      <c r="BH501" s="59"/>
      <c r="BI501" s="59"/>
      <c r="BJ501" s="59"/>
      <c r="BK501" s="59"/>
      <c r="BL501" s="59"/>
      <c r="BM501" s="59"/>
    </row>
    <row r="502" spans="1:65">
      <c r="A502" s="54" t="str">
        <f>VLOOKUP(Table3[[#This Row],[OU]],OU!$A$15:$B$34,2,FALSE)</f>
        <v>RFOs</v>
      </c>
      <c r="B502" s="47" t="s">
        <v>5</v>
      </c>
      <c r="C502" s="47" t="s">
        <v>574</v>
      </c>
      <c r="D502" s="60"/>
      <c r="E502" s="47" t="s">
        <v>70</v>
      </c>
      <c r="F502" s="47" t="s">
        <v>635</v>
      </c>
      <c r="G50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502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25702000</v>
      </c>
      <c r="I502" s="61" t="str">
        <f>VLOOKUP(Table3[[#This Row],[PSGC]],DISTRICT!$D:$G,4,FALSE)</f>
        <v>3rd</v>
      </c>
      <c r="J502" s="47" t="s">
        <v>578</v>
      </c>
      <c r="K502" s="51" t="str">
        <f>VLOOKUP(Table3[[#This Row],[SPECIFIC COMMODITY]],TAGS!$W$48:$X$53,2,FALSE)</f>
        <v>Corn</v>
      </c>
      <c r="L502" s="51" t="str">
        <f>VLOOKUP(Table3[[#This Row],[PREXC SUB-PROGRAM]],Table5[],2,FALSE)</f>
        <v>AGRICULTURAL  MACHINERY, EQUIPMENT, FACILITIES AND INFRASTRUCTURE PROGRAM</v>
      </c>
      <c r="M502" s="51" t="str">
        <f>VLOOKUP(Table3[[#This Row],[COMMODITY PREXC SUB-PROGRAM]],TAGS!$U$54:$V$76,2,FALSE)</f>
        <v>INS</v>
      </c>
      <c r="N502" s="47" t="s">
        <v>596</v>
      </c>
      <c r="O502" s="54" t="str">
        <f>VLOOKUP(Table3[[#This Row],[PI LEVEL 3]],'PI LEVEL'!A:C,3,FALSE)</f>
        <v>Service area generated from the establishment and installation of small-scale irrigation projects</v>
      </c>
      <c r="P502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502" s="54" t="str">
        <f>VLOOKUP(Table3[[#This Row],[ACTIVITY]],TAGS!B:P,2,FALSE)</f>
        <v>Service area generated from distribution of Pump and engine set</v>
      </c>
      <c r="R502" s="47" t="s">
        <v>214</v>
      </c>
      <c r="S502" s="54" t="str">
        <f>VLOOKUP(Table3[[#This Row],[ACTIVITY]],TAGS!$B:$P,4,FALSE)</f>
        <v>Service area generated</v>
      </c>
      <c r="T502" s="54" t="str">
        <f>VLOOKUP(Table3[[#This Row],[ACTIVITY]],TAGS!$B:$P,5,FALSE)</f>
        <v>Service area generated</v>
      </c>
      <c r="U502" s="54" t="str">
        <f>VLOOKUP(Table3[[#This Row],[ACTIVITY]],TAGS!$B:$P,6,FALSE)</f>
        <v>Service area generated</v>
      </c>
      <c r="V502" s="54" t="str">
        <f>VLOOKUP(Table3[[#This Row],[ACTIVITY]],TAGS!$B:$P,7,FALSE)</f>
        <v>NO</v>
      </c>
      <c r="W502" s="54" t="str">
        <f>VLOOKUP(Table3[[#This Row],[ACTIVITY]],TAGS!$B:$P,8,FALSE)</f>
        <v>PAP</v>
      </c>
      <c r="X502" s="54" t="str">
        <f>VLOOKUP(Table3[[#This Row],[ACTIVITY]],TAGS!$B:$P,10,FALSE)</f>
        <v>PIP</v>
      </c>
      <c r="Y502" s="54" t="str">
        <f>VLOOKUP(Table3[[#This Row],[ACTIVITY]],TAGS!$B:$P,11,FALSE)</f>
        <v>PICS</v>
      </c>
      <c r="Z502" s="54">
        <f>VLOOKUP(Table3[[#This Row],[ACTIVITY]],TAGS!$B:$P,12,FALSE)</f>
        <v>0</v>
      </c>
      <c r="AA502" s="54">
        <f>VLOOKUP(Table3[[#This Row],[ACTIVITY]],TAGS!$B:$P,13,FALSE)</f>
        <v>0</v>
      </c>
      <c r="AB502" s="54">
        <f>VLOOKUP(Table3[[#This Row],[ACTIVITY]],TAGS!$B:$P,14,FALSE)</f>
        <v>0</v>
      </c>
      <c r="AC502" s="54">
        <f>VLOOKUP(Table3[[#This Row],[ACTIVITY]],TAGS!$B:$P,15,FALSE)</f>
        <v>0</v>
      </c>
      <c r="AD502" s="54" t="str">
        <f>VLOOKUP(Table3[[#This Row],[PI LEVEL 3]],'PI LEVEL'!$A:$G,7,FALSE)</f>
        <v>PREXC/DA-Level Output</v>
      </c>
      <c r="AE502" s="47" t="s">
        <v>577</v>
      </c>
      <c r="AF502" s="54" t="str">
        <f>VLOOKUP(Table3[[#This Row],[ACTIVITY]],TAGS!$B:$P,3,FALSE)</f>
        <v>hectare</v>
      </c>
      <c r="AG502" s="47" t="s">
        <v>336</v>
      </c>
      <c r="AH502" s="54" t="str">
        <f>VLOOKUP(Table3[[#This Row],[MONTH]],TAGS!$W$67:$Y$81,2,FALSE)</f>
        <v>4TH QTR</v>
      </c>
      <c r="AI502" s="54" t="str">
        <f>VLOOKUP(Table3[[#This Row],[MONTH]],TAGS!$W$67:$Y$81,3,FALSE)</f>
        <v>2ND SEMESTER</v>
      </c>
      <c r="AJ502" s="54">
        <f>VLOOKUP(Table3[[#This Row],[MONTH]],TAGS!$W$67:$Z$81,4,FALSE)</f>
        <v>2025</v>
      </c>
      <c r="AK502" s="60">
        <v>30</v>
      </c>
      <c r="AL502" s="54" t="str">
        <f>VLOOKUP(Table3[[#This Row],[ACTIVITY]],TAGS!$B:$R,16,FALSE)</f>
        <v>NO</v>
      </c>
      <c r="AM502" s="60"/>
      <c r="AN502" s="60"/>
      <c r="AO502" s="57">
        <f>SUM(Table3[[#This Row],[MALE BENEFICIARIES]:[FEMALE BENEFICIARIES]])</f>
        <v>0</v>
      </c>
      <c r="AP502" s="62"/>
      <c r="AQ502" s="62"/>
      <c r="AR502" s="62"/>
      <c r="AS502" s="62"/>
      <c r="AT502" s="63" t="str">
        <f>VLOOKUP(Table3[[#This Row],[ACTIVITY]],TAGS!$B:$R,17,FALSE)</f>
        <v>NO</v>
      </c>
      <c r="AU502" s="63"/>
      <c r="AV502" s="63"/>
      <c r="AW502" s="63"/>
      <c r="AX502" s="63"/>
      <c r="AY502" s="63"/>
      <c r="AZ502" s="63"/>
      <c r="BA502" s="63"/>
      <c r="BB502" s="63"/>
      <c r="BC502" s="63"/>
      <c r="BD502" s="63"/>
      <c r="BE502" s="63"/>
      <c r="BF502" s="63"/>
      <c r="BG502" s="63"/>
      <c r="BH502" s="63"/>
      <c r="BI502" s="63"/>
      <c r="BJ502" s="63"/>
      <c r="BK502" s="63"/>
      <c r="BL502" s="63"/>
      <c r="BM502" s="63"/>
    </row>
    <row r="503" spans="1:65">
      <c r="A503" s="51" t="str">
        <f>VLOOKUP(Table3[[#This Row],[OU]],OU!$A$15:$B$34,2,FALSE)</f>
        <v>RFOs</v>
      </c>
      <c r="B503" s="47" t="s">
        <v>5</v>
      </c>
      <c r="C503" s="47" t="s">
        <v>574</v>
      </c>
      <c r="D503" s="47" t="s">
        <v>758</v>
      </c>
      <c r="E503" s="47" t="s">
        <v>70</v>
      </c>
      <c r="F503" s="47" t="s">
        <v>626</v>
      </c>
      <c r="G50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50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25703000</v>
      </c>
      <c r="I503" s="52" t="str">
        <f>VLOOKUP(Table3[[#This Row],[PSGC]],DISTRICT!$D:$G,4,FALSE)</f>
        <v>2nd</v>
      </c>
      <c r="J503" s="47" t="s">
        <v>578</v>
      </c>
      <c r="K503" s="51" t="str">
        <f>VLOOKUP(Table3[[#This Row],[SPECIFIC COMMODITY]],TAGS!$W$48:$X$53,2,FALSE)</f>
        <v>Corn</v>
      </c>
      <c r="L503" s="51" t="str">
        <f>VLOOKUP(Table3[[#This Row],[PREXC SUB-PROGRAM]],Table5[],2,FALSE)</f>
        <v>AGRICULTURAL  MACHINERY, EQUIPMENT, FACILITIES AND INFRASTRUCTURE PROGRAM</v>
      </c>
      <c r="M503" s="51" t="str">
        <f>VLOOKUP(Table3[[#This Row],[COMMODITY PREXC SUB-PROGRAM]],TAGS!$U$54:$V$76,2,FALSE)</f>
        <v>INS</v>
      </c>
      <c r="N503" s="47" t="s">
        <v>596</v>
      </c>
      <c r="O503" s="54" t="str">
        <f>VLOOKUP(Table3[[#This Row],[PI LEVEL 3]],'PI LEVEL'!A:C,3,FALSE)</f>
        <v>Irrigation machinery distributed</v>
      </c>
      <c r="P503" s="54" t="str">
        <f>VLOOKUP(Table3[[#This Row],[PI LEVEL 3]],Table53729[[Performance Indicator Level 3]:[Performance Indicator Level 1]],2,FALSE)</f>
        <v>Irrigation machinery distributed</v>
      </c>
      <c r="Q503" s="54" t="str">
        <f>VLOOKUP(Table3[[#This Row],[ACTIVITY]],TAGS!B:P,2,FALSE)</f>
        <v>Pump and Engine Set distributed</v>
      </c>
      <c r="R503" s="47" t="s">
        <v>210</v>
      </c>
      <c r="S503" s="51" t="str">
        <f>VLOOKUP(Table3[[#This Row],[ACTIVITY]],TAGS!$B:$P,4,FALSE)</f>
        <v>Small-scale Irrigation Projects</v>
      </c>
      <c r="T503" s="51" t="str">
        <f>VLOOKUP(Table3[[#This Row],[ACTIVITY]],TAGS!$B:$P,5,FALSE)</f>
        <v>Small-scale Irrigation Projects (SSIPs)</v>
      </c>
      <c r="U503" s="51" t="str">
        <f>VLOOKUP(Table3[[#This Row],[ACTIVITY]],TAGS!$B:$P,6,FALSE)</f>
        <v>Open Source Pumping Set</v>
      </c>
      <c r="V503" s="51" t="str">
        <f>VLOOKUP(Table3[[#This Row],[ACTIVITY]],TAGS!$B:$P,7,FALSE)</f>
        <v>YES</v>
      </c>
      <c r="W503" s="51" t="str">
        <f>VLOOKUP(Table3[[#This Row],[ACTIVITY]],TAGS!$B:$P,8,FALSE)</f>
        <v>PAP</v>
      </c>
      <c r="X503" s="51" t="str">
        <f>VLOOKUP(Table3[[#This Row],[ACTIVITY]],TAGS!$B:$P,10,FALSE)</f>
        <v>PIP</v>
      </c>
      <c r="Y503" s="51" t="str">
        <f>VLOOKUP(Table3[[#This Row],[ACTIVITY]],TAGS!$B:$P,11,FALSE)</f>
        <v>PICS</v>
      </c>
      <c r="Z503" s="51" t="str">
        <f>VLOOKUP(Table3[[#This Row],[ACTIVITY]],TAGS!$B:$P,12,FALSE)</f>
        <v>Modernization</v>
      </c>
      <c r="AA503" s="51" t="str">
        <f>VLOOKUP(Table3[[#This Row],[ACTIVITY]],TAGS!$B:$P,13,FALSE)</f>
        <v>8. Farm Mechanization and Farm Investments</v>
      </c>
      <c r="AB503" s="51" t="str">
        <f>VLOOKUP(Table3[[#This Row],[ACTIVITY]],TAGS!$B:$P,14,FALSE)</f>
        <v>EXPAND AND IMPROVE AVAILABLE AGRI-FISHERY AREAS FOR INCREASED PRODUCTION</v>
      </c>
      <c r="AC503" s="51" t="str">
        <f>VLOOKUP(Table3[[#This Row],[ACTIVITY]],TAGS!$B:$P,15,FALSE)</f>
        <v>Irrigation</v>
      </c>
      <c r="AD503" s="51" t="str">
        <f>VLOOKUP(Table3[[#This Row],[PI LEVEL 3]],'PI LEVEL'!$A:$G,7,FALSE)</f>
        <v>DA-Level Output</v>
      </c>
      <c r="AE503" s="47" t="s">
        <v>577</v>
      </c>
      <c r="AF503" s="51" t="str">
        <f>VLOOKUP(Table3[[#This Row],[ACTIVITY]],TAGS!$B:$P,3,FALSE)</f>
        <v>number</v>
      </c>
      <c r="AG503" s="47" t="s">
        <v>336</v>
      </c>
      <c r="AH503" s="51" t="str">
        <f>VLOOKUP(Table3[[#This Row],[MONTH]],TAGS!$W$67:$Y$81,2,FALSE)</f>
        <v>4TH QTR</v>
      </c>
      <c r="AI503" s="51" t="str">
        <f>VLOOKUP(Table3[[#This Row],[MONTH]],TAGS!$W$67:$Y$81,3,FALSE)</f>
        <v>2ND SEMESTER</v>
      </c>
      <c r="AJ503" s="51">
        <f>VLOOKUP(Table3[[#This Row],[MONTH]],TAGS!$W$67:$Z$81,4,FALSE)</f>
        <v>2025</v>
      </c>
      <c r="AK503" s="47">
        <v>10</v>
      </c>
      <c r="AL503" s="51" t="str">
        <f>VLOOKUP(Table3[[#This Row],[ACTIVITY]],TAGS!$B:$R,16,FALSE)</f>
        <v>YES</v>
      </c>
      <c r="AM503" s="47">
        <v>30</v>
      </c>
      <c r="AN503" s="47">
        <v>1000</v>
      </c>
      <c r="AO503" s="57">
        <f>SUM(Table3[[#This Row],[MALE BENEFICIARIES]:[FEMALE BENEFICIARIES]])</f>
        <v>0</v>
      </c>
      <c r="AP503" s="58"/>
      <c r="AQ503" s="58"/>
      <c r="AR503" s="58"/>
      <c r="AS503" s="58">
        <v>1</v>
      </c>
      <c r="AT503" s="59" t="str">
        <f>VLOOKUP(Table3[[#This Row],[ACTIVITY]],TAGS!$B:$R,17,FALSE)</f>
        <v>YES</v>
      </c>
      <c r="AU503" s="59"/>
      <c r="AV503" s="59"/>
      <c r="AW503" s="59"/>
      <c r="AX503" s="59"/>
      <c r="AY503" s="59"/>
      <c r="AZ503" s="59"/>
      <c r="BA503" s="59"/>
      <c r="BB503" s="59"/>
      <c r="BC503" s="59"/>
      <c r="BD503" s="59"/>
      <c r="BE503" s="59"/>
      <c r="BF503" s="59"/>
      <c r="BG503" s="59"/>
      <c r="BH503" s="59"/>
      <c r="BI503" s="59"/>
      <c r="BJ503" s="59"/>
      <c r="BK503" s="59"/>
      <c r="BL503" s="59"/>
      <c r="BM503" s="59"/>
    </row>
    <row r="504" spans="1:65">
      <c r="A504" s="54" t="str">
        <f>VLOOKUP(Table3[[#This Row],[OU]],OU!$A$15:$B$34,2,FALSE)</f>
        <v>RFOs</v>
      </c>
      <c r="B504" s="47" t="s">
        <v>5</v>
      </c>
      <c r="C504" s="47" t="s">
        <v>574</v>
      </c>
      <c r="D504" s="60"/>
      <c r="E504" s="47" t="s">
        <v>70</v>
      </c>
      <c r="F504" s="47" t="s">
        <v>626</v>
      </c>
      <c r="G50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504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25703000</v>
      </c>
      <c r="I504" s="61" t="str">
        <f>VLOOKUP(Table3[[#This Row],[PSGC]],DISTRICT!$D:$G,4,FALSE)</f>
        <v>2nd</v>
      </c>
      <c r="J504" s="47" t="s">
        <v>578</v>
      </c>
      <c r="K504" s="51" t="str">
        <f>VLOOKUP(Table3[[#This Row],[SPECIFIC COMMODITY]],TAGS!$W$48:$X$53,2,FALSE)</f>
        <v>Corn</v>
      </c>
      <c r="L504" s="51" t="str">
        <f>VLOOKUP(Table3[[#This Row],[PREXC SUB-PROGRAM]],Table5[],2,FALSE)</f>
        <v>AGRICULTURAL  MACHINERY, EQUIPMENT, FACILITIES AND INFRASTRUCTURE PROGRAM</v>
      </c>
      <c r="M504" s="51" t="str">
        <f>VLOOKUP(Table3[[#This Row],[COMMODITY PREXC SUB-PROGRAM]],TAGS!$U$54:$V$76,2,FALSE)</f>
        <v>INS</v>
      </c>
      <c r="N504" s="47" t="s">
        <v>596</v>
      </c>
      <c r="O504" s="54" t="str">
        <f>VLOOKUP(Table3[[#This Row],[PI LEVEL 3]],'PI LEVEL'!A:C,3,FALSE)</f>
        <v>Service area generated from the establishment and installation of small-scale irrigation projects</v>
      </c>
      <c r="P504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504" s="54" t="str">
        <f>VLOOKUP(Table3[[#This Row],[ACTIVITY]],TAGS!B:P,2,FALSE)</f>
        <v>Service area generated from distribution of Pump and engine set</v>
      </c>
      <c r="R504" s="47" t="s">
        <v>214</v>
      </c>
      <c r="S504" s="54" t="str">
        <f>VLOOKUP(Table3[[#This Row],[ACTIVITY]],TAGS!$B:$P,4,FALSE)</f>
        <v>Service area generated</v>
      </c>
      <c r="T504" s="54" t="str">
        <f>VLOOKUP(Table3[[#This Row],[ACTIVITY]],TAGS!$B:$P,5,FALSE)</f>
        <v>Service area generated</v>
      </c>
      <c r="U504" s="54" t="str">
        <f>VLOOKUP(Table3[[#This Row],[ACTIVITY]],TAGS!$B:$P,6,FALSE)</f>
        <v>Service area generated</v>
      </c>
      <c r="V504" s="54" t="str">
        <f>VLOOKUP(Table3[[#This Row],[ACTIVITY]],TAGS!$B:$P,7,FALSE)</f>
        <v>NO</v>
      </c>
      <c r="W504" s="54" t="str">
        <f>VLOOKUP(Table3[[#This Row],[ACTIVITY]],TAGS!$B:$P,8,FALSE)</f>
        <v>PAP</v>
      </c>
      <c r="X504" s="54" t="str">
        <f>VLOOKUP(Table3[[#This Row],[ACTIVITY]],TAGS!$B:$P,10,FALSE)</f>
        <v>PIP</v>
      </c>
      <c r="Y504" s="54" t="str">
        <f>VLOOKUP(Table3[[#This Row],[ACTIVITY]],TAGS!$B:$P,11,FALSE)</f>
        <v>PICS</v>
      </c>
      <c r="Z504" s="54">
        <f>VLOOKUP(Table3[[#This Row],[ACTIVITY]],TAGS!$B:$P,12,FALSE)</f>
        <v>0</v>
      </c>
      <c r="AA504" s="54">
        <f>VLOOKUP(Table3[[#This Row],[ACTIVITY]],TAGS!$B:$P,13,FALSE)</f>
        <v>0</v>
      </c>
      <c r="AB504" s="54">
        <f>VLOOKUP(Table3[[#This Row],[ACTIVITY]],TAGS!$B:$P,14,FALSE)</f>
        <v>0</v>
      </c>
      <c r="AC504" s="54">
        <f>VLOOKUP(Table3[[#This Row],[ACTIVITY]],TAGS!$B:$P,15,FALSE)</f>
        <v>0</v>
      </c>
      <c r="AD504" s="54" t="str">
        <f>VLOOKUP(Table3[[#This Row],[PI LEVEL 3]],'PI LEVEL'!$A:$G,7,FALSE)</f>
        <v>PREXC/DA-Level Output</v>
      </c>
      <c r="AE504" s="47" t="s">
        <v>577</v>
      </c>
      <c r="AF504" s="54" t="str">
        <f>VLOOKUP(Table3[[#This Row],[ACTIVITY]],TAGS!$B:$P,3,FALSE)</f>
        <v>hectare</v>
      </c>
      <c r="AG504" s="47" t="s">
        <v>336</v>
      </c>
      <c r="AH504" s="54" t="str">
        <f>VLOOKUP(Table3[[#This Row],[MONTH]],TAGS!$W$67:$Y$81,2,FALSE)</f>
        <v>4TH QTR</v>
      </c>
      <c r="AI504" s="54" t="str">
        <f>VLOOKUP(Table3[[#This Row],[MONTH]],TAGS!$W$67:$Y$81,3,FALSE)</f>
        <v>2ND SEMESTER</v>
      </c>
      <c r="AJ504" s="54">
        <f>VLOOKUP(Table3[[#This Row],[MONTH]],TAGS!$W$67:$Z$81,4,FALSE)</f>
        <v>2025</v>
      </c>
      <c r="AK504" s="60">
        <v>30</v>
      </c>
      <c r="AL504" s="54" t="str">
        <f>VLOOKUP(Table3[[#This Row],[ACTIVITY]],TAGS!$B:$R,16,FALSE)</f>
        <v>NO</v>
      </c>
      <c r="AM504" s="60"/>
      <c r="AN504" s="60"/>
      <c r="AO504" s="57">
        <f>SUM(Table3[[#This Row],[MALE BENEFICIARIES]:[FEMALE BENEFICIARIES]])</f>
        <v>0</v>
      </c>
      <c r="AP504" s="62"/>
      <c r="AQ504" s="62"/>
      <c r="AR504" s="62"/>
      <c r="AS504" s="62"/>
      <c r="AT504" s="63" t="str">
        <f>VLOOKUP(Table3[[#This Row],[ACTIVITY]],TAGS!$B:$R,17,FALSE)</f>
        <v>NO</v>
      </c>
      <c r="AU504" s="63"/>
      <c r="AV504" s="63"/>
      <c r="AW504" s="63"/>
      <c r="AX504" s="63"/>
      <c r="AY504" s="63"/>
      <c r="AZ504" s="63"/>
      <c r="BA504" s="63"/>
      <c r="BB504" s="63"/>
      <c r="BC504" s="63"/>
      <c r="BD504" s="63"/>
      <c r="BE504" s="63"/>
      <c r="BF504" s="63"/>
      <c r="BG504" s="63"/>
      <c r="BH504" s="63"/>
      <c r="BI504" s="63"/>
      <c r="BJ504" s="63"/>
      <c r="BK504" s="63"/>
      <c r="BL504" s="63"/>
      <c r="BM504" s="63"/>
    </row>
    <row r="505" spans="1:65">
      <c r="A505" s="51" t="str">
        <f>VLOOKUP(Table3[[#This Row],[OU]],OU!$A$15:$B$34,2,FALSE)</f>
        <v>RFOs</v>
      </c>
      <c r="B505" s="47" t="s">
        <v>5</v>
      </c>
      <c r="C505" s="47" t="s">
        <v>574</v>
      </c>
      <c r="D505" s="47" t="s">
        <v>759</v>
      </c>
      <c r="E505" s="47" t="s">
        <v>70</v>
      </c>
      <c r="F505" s="47" t="s">
        <v>694</v>
      </c>
      <c r="G50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50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25706000</v>
      </c>
      <c r="I505" s="52" t="str">
        <f>VLOOKUP(Table3[[#This Row],[PSGC]],DISTRICT!$D:$G,4,FALSE)</f>
        <v>1st</v>
      </c>
      <c r="J505" s="47" t="s">
        <v>578</v>
      </c>
      <c r="K505" s="51" t="str">
        <f>VLOOKUP(Table3[[#This Row],[SPECIFIC COMMODITY]],TAGS!$W$48:$X$53,2,FALSE)</f>
        <v>Corn</v>
      </c>
      <c r="L505" s="51" t="str">
        <f>VLOOKUP(Table3[[#This Row],[PREXC SUB-PROGRAM]],Table5[],2,FALSE)</f>
        <v>AGRICULTURAL  MACHINERY, EQUIPMENT, FACILITIES AND INFRASTRUCTURE PROGRAM</v>
      </c>
      <c r="M505" s="51" t="str">
        <f>VLOOKUP(Table3[[#This Row],[COMMODITY PREXC SUB-PROGRAM]],TAGS!$U$54:$V$76,2,FALSE)</f>
        <v>INS</v>
      </c>
      <c r="N505" s="47" t="s">
        <v>596</v>
      </c>
      <c r="O505" s="54" t="str">
        <f>VLOOKUP(Table3[[#This Row],[PI LEVEL 3]],'PI LEVEL'!A:C,3,FALSE)</f>
        <v>Irrigation machinery distributed</v>
      </c>
      <c r="P505" s="54" t="str">
        <f>VLOOKUP(Table3[[#This Row],[PI LEVEL 3]],Table53729[[Performance Indicator Level 3]:[Performance Indicator Level 1]],2,FALSE)</f>
        <v>Irrigation machinery distributed</v>
      </c>
      <c r="Q505" s="54" t="str">
        <f>VLOOKUP(Table3[[#This Row],[ACTIVITY]],TAGS!B:P,2,FALSE)</f>
        <v>Pump and Engine Set distributed</v>
      </c>
      <c r="R505" s="47" t="s">
        <v>210</v>
      </c>
      <c r="S505" s="51" t="str">
        <f>VLOOKUP(Table3[[#This Row],[ACTIVITY]],TAGS!$B:$P,4,FALSE)</f>
        <v>Small-scale Irrigation Projects</v>
      </c>
      <c r="T505" s="51" t="str">
        <f>VLOOKUP(Table3[[#This Row],[ACTIVITY]],TAGS!$B:$P,5,FALSE)</f>
        <v>Small-scale Irrigation Projects (SSIPs)</v>
      </c>
      <c r="U505" s="51" t="str">
        <f>VLOOKUP(Table3[[#This Row],[ACTIVITY]],TAGS!$B:$P,6,FALSE)</f>
        <v>Open Source Pumping Set</v>
      </c>
      <c r="V505" s="51" t="str">
        <f>VLOOKUP(Table3[[#This Row],[ACTIVITY]],TAGS!$B:$P,7,FALSE)</f>
        <v>YES</v>
      </c>
      <c r="W505" s="51" t="str">
        <f>VLOOKUP(Table3[[#This Row],[ACTIVITY]],TAGS!$B:$P,8,FALSE)</f>
        <v>PAP</v>
      </c>
      <c r="X505" s="51" t="str">
        <f>VLOOKUP(Table3[[#This Row],[ACTIVITY]],TAGS!$B:$P,10,FALSE)</f>
        <v>PIP</v>
      </c>
      <c r="Y505" s="51" t="str">
        <f>VLOOKUP(Table3[[#This Row],[ACTIVITY]],TAGS!$B:$P,11,FALSE)</f>
        <v>PICS</v>
      </c>
      <c r="Z505" s="51" t="str">
        <f>VLOOKUP(Table3[[#This Row],[ACTIVITY]],TAGS!$B:$P,12,FALSE)</f>
        <v>Modernization</v>
      </c>
      <c r="AA505" s="51" t="str">
        <f>VLOOKUP(Table3[[#This Row],[ACTIVITY]],TAGS!$B:$P,13,FALSE)</f>
        <v>8. Farm Mechanization and Farm Investments</v>
      </c>
      <c r="AB505" s="51" t="str">
        <f>VLOOKUP(Table3[[#This Row],[ACTIVITY]],TAGS!$B:$P,14,FALSE)</f>
        <v>EXPAND AND IMPROVE AVAILABLE AGRI-FISHERY AREAS FOR INCREASED PRODUCTION</v>
      </c>
      <c r="AC505" s="51" t="str">
        <f>VLOOKUP(Table3[[#This Row],[ACTIVITY]],TAGS!$B:$P,15,FALSE)</f>
        <v>Irrigation</v>
      </c>
      <c r="AD505" s="51" t="str">
        <f>VLOOKUP(Table3[[#This Row],[PI LEVEL 3]],'PI LEVEL'!$A:$G,7,FALSE)</f>
        <v>DA-Level Output</v>
      </c>
      <c r="AE505" s="47" t="s">
        <v>577</v>
      </c>
      <c r="AF505" s="51" t="str">
        <f>VLOOKUP(Table3[[#This Row],[ACTIVITY]],TAGS!$B:$P,3,FALSE)</f>
        <v>number</v>
      </c>
      <c r="AG505" s="47" t="s">
        <v>336</v>
      </c>
      <c r="AH505" s="51" t="str">
        <f>VLOOKUP(Table3[[#This Row],[MONTH]],TAGS!$W$67:$Y$81,2,FALSE)</f>
        <v>4TH QTR</v>
      </c>
      <c r="AI505" s="51" t="str">
        <f>VLOOKUP(Table3[[#This Row],[MONTH]],TAGS!$W$67:$Y$81,3,FALSE)</f>
        <v>2ND SEMESTER</v>
      </c>
      <c r="AJ505" s="51">
        <f>VLOOKUP(Table3[[#This Row],[MONTH]],TAGS!$W$67:$Z$81,4,FALSE)</f>
        <v>2025</v>
      </c>
      <c r="AK505" s="47">
        <v>10</v>
      </c>
      <c r="AL505" s="51" t="str">
        <f>VLOOKUP(Table3[[#This Row],[ACTIVITY]],TAGS!$B:$R,16,FALSE)</f>
        <v>YES</v>
      </c>
      <c r="AM505" s="47">
        <v>30</v>
      </c>
      <c r="AN505" s="47">
        <v>1000</v>
      </c>
      <c r="AO505" s="57">
        <f>SUM(Table3[[#This Row],[MALE BENEFICIARIES]:[FEMALE BENEFICIARIES]])</f>
        <v>0</v>
      </c>
      <c r="AP505" s="58"/>
      <c r="AQ505" s="58"/>
      <c r="AR505" s="58"/>
      <c r="AS505" s="58">
        <v>1</v>
      </c>
      <c r="AT505" s="59" t="str">
        <f>VLOOKUP(Table3[[#This Row],[ACTIVITY]],TAGS!$B:$R,17,FALSE)</f>
        <v>YES</v>
      </c>
      <c r="AU505" s="59"/>
      <c r="AV505" s="59"/>
      <c r="AW505" s="59"/>
      <c r="AX505" s="59"/>
      <c r="AY505" s="59"/>
      <c r="AZ505" s="59"/>
      <c r="BA505" s="59"/>
      <c r="BB505" s="59"/>
      <c r="BC505" s="59"/>
      <c r="BD505" s="59"/>
      <c r="BE505" s="59"/>
      <c r="BF505" s="59"/>
      <c r="BG505" s="59"/>
      <c r="BH505" s="59"/>
      <c r="BI505" s="59"/>
      <c r="BJ505" s="59"/>
      <c r="BK505" s="59"/>
      <c r="BL505" s="59"/>
      <c r="BM505" s="59"/>
    </row>
    <row r="506" spans="1:65">
      <c r="A506" s="54" t="str">
        <f>VLOOKUP(Table3[[#This Row],[OU]],OU!$A$15:$B$34,2,FALSE)</f>
        <v>RFOs</v>
      </c>
      <c r="B506" s="47" t="s">
        <v>5</v>
      </c>
      <c r="C506" s="47" t="s">
        <v>574</v>
      </c>
      <c r="D506" s="60"/>
      <c r="E506" s="47" t="s">
        <v>70</v>
      </c>
      <c r="F506" s="47" t="s">
        <v>694</v>
      </c>
      <c r="G50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506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25706000</v>
      </c>
      <c r="I506" s="61" t="str">
        <f>VLOOKUP(Table3[[#This Row],[PSGC]],DISTRICT!$D:$G,4,FALSE)</f>
        <v>1st</v>
      </c>
      <c r="J506" s="47" t="s">
        <v>578</v>
      </c>
      <c r="K506" s="51" t="str">
        <f>VLOOKUP(Table3[[#This Row],[SPECIFIC COMMODITY]],TAGS!$W$48:$X$53,2,FALSE)</f>
        <v>Corn</v>
      </c>
      <c r="L506" s="51" t="str">
        <f>VLOOKUP(Table3[[#This Row],[PREXC SUB-PROGRAM]],Table5[],2,FALSE)</f>
        <v>AGRICULTURAL  MACHINERY, EQUIPMENT, FACILITIES AND INFRASTRUCTURE PROGRAM</v>
      </c>
      <c r="M506" s="51" t="str">
        <f>VLOOKUP(Table3[[#This Row],[COMMODITY PREXC SUB-PROGRAM]],TAGS!$U$54:$V$76,2,FALSE)</f>
        <v>INS</v>
      </c>
      <c r="N506" s="47" t="s">
        <v>596</v>
      </c>
      <c r="O506" s="54" t="str">
        <f>VLOOKUP(Table3[[#This Row],[PI LEVEL 3]],'PI LEVEL'!A:C,3,FALSE)</f>
        <v>Service area generated from the establishment and installation of small-scale irrigation projects</v>
      </c>
      <c r="P506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506" s="54" t="str">
        <f>VLOOKUP(Table3[[#This Row],[ACTIVITY]],TAGS!B:P,2,FALSE)</f>
        <v>Service area generated from distribution of Pump and engine set</v>
      </c>
      <c r="R506" s="47" t="s">
        <v>214</v>
      </c>
      <c r="S506" s="54" t="str">
        <f>VLOOKUP(Table3[[#This Row],[ACTIVITY]],TAGS!$B:$P,4,FALSE)</f>
        <v>Service area generated</v>
      </c>
      <c r="T506" s="54" t="str">
        <f>VLOOKUP(Table3[[#This Row],[ACTIVITY]],TAGS!$B:$P,5,FALSE)</f>
        <v>Service area generated</v>
      </c>
      <c r="U506" s="54" t="str">
        <f>VLOOKUP(Table3[[#This Row],[ACTIVITY]],TAGS!$B:$P,6,FALSE)</f>
        <v>Service area generated</v>
      </c>
      <c r="V506" s="54" t="str">
        <f>VLOOKUP(Table3[[#This Row],[ACTIVITY]],TAGS!$B:$P,7,FALSE)</f>
        <v>NO</v>
      </c>
      <c r="W506" s="54" t="str">
        <f>VLOOKUP(Table3[[#This Row],[ACTIVITY]],TAGS!$B:$P,8,FALSE)</f>
        <v>PAP</v>
      </c>
      <c r="X506" s="54" t="str">
        <f>VLOOKUP(Table3[[#This Row],[ACTIVITY]],TAGS!$B:$P,10,FALSE)</f>
        <v>PIP</v>
      </c>
      <c r="Y506" s="54" t="str">
        <f>VLOOKUP(Table3[[#This Row],[ACTIVITY]],TAGS!$B:$P,11,FALSE)</f>
        <v>PICS</v>
      </c>
      <c r="Z506" s="54">
        <f>VLOOKUP(Table3[[#This Row],[ACTIVITY]],TAGS!$B:$P,12,FALSE)</f>
        <v>0</v>
      </c>
      <c r="AA506" s="54">
        <f>VLOOKUP(Table3[[#This Row],[ACTIVITY]],TAGS!$B:$P,13,FALSE)</f>
        <v>0</v>
      </c>
      <c r="AB506" s="54">
        <f>VLOOKUP(Table3[[#This Row],[ACTIVITY]],TAGS!$B:$P,14,FALSE)</f>
        <v>0</v>
      </c>
      <c r="AC506" s="54">
        <f>VLOOKUP(Table3[[#This Row],[ACTIVITY]],TAGS!$B:$P,15,FALSE)</f>
        <v>0</v>
      </c>
      <c r="AD506" s="54" t="str">
        <f>VLOOKUP(Table3[[#This Row],[PI LEVEL 3]],'PI LEVEL'!$A:$G,7,FALSE)</f>
        <v>PREXC/DA-Level Output</v>
      </c>
      <c r="AE506" s="47" t="s">
        <v>577</v>
      </c>
      <c r="AF506" s="54" t="str">
        <f>VLOOKUP(Table3[[#This Row],[ACTIVITY]],TAGS!$B:$P,3,FALSE)</f>
        <v>hectare</v>
      </c>
      <c r="AG506" s="47" t="s">
        <v>336</v>
      </c>
      <c r="AH506" s="54" t="str">
        <f>VLOOKUP(Table3[[#This Row],[MONTH]],TAGS!$W$67:$Y$81,2,FALSE)</f>
        <v>4TH QTR</v>
      </c>
      <c r="AI506" s="54" t="str">
        <f>VLOOKUP(Table3[[#This Row],[MONTH]],TAGS!$W$67:$Y$81,3,FALSE)</f>
        <v>2ND SEMESTER</v>
      </c>
      <c r="AJ506" s="54">
        <f>VLOOKUP(Table3[[#This Row],[MONTH]],TAGS!$W$67:$Z$81,4,FALSE)</f>
        <v>2025</v>
      </c>
      <c r="AK506" s="60">
        <v>30</v>
      </c>
      <c r="AL506" s="54" t="str">
        <f>VLOOKUP(Table3[[#This Row],[ACTIVITY]],TAGS!$B:$R,16,FALSE)</f>
        <v>NO</v>
      </c>
      <c r="AM506" s="60"/>
      <c r="AN506" s="60"/>
      <c r="AO506" s="57">
        <f>SUM(Table3[[#This Row],[MALE BENEFICIARIES]:[FEMALE BENEFICIARIES]])</f>
        <v>0</v>
      </c>
      <c r="AP506" s="62"/>
      <c r="AQ506" s="62"/>
      <c r="AR506" s="62"/>
      <c r="AS506" s="62"/>
      <c r="AT506" s="63" t="str">
        <f>VLOOKUP(Table3[[#This Row],[ACTIVITY]],TAGS!$B:$R,17,FALSE)</f>
        <v>NO</v>
      </c>
      <c r="AU506" s="63"/>
      <c r="AV506" s="63"/>
      <c r="AW506" s="63"/>
      <c r="AX506" s="63"/>
      <c r="AY506" s="63"/>
      <c r="AZ506" s="63"/>
      <c r="BA506" s="63"/>
      <c r="BB506" s="63"/>
      <c r="BC506" s="63"/>
      <c r="BD506" s="63"/>
      <c r="BE506" s="63"/>
      <c r="BF506" s="63"/>
      <c r="BG506" s="63"/>
      <c r="BH506" s="63"/>
      <c r="BI506" s="63"/>
      <c r="BJ506" s="63"/>
      <c r="BK506" s="63"/>
      <c r="BL506" s="63"/>
      <c r="BM506" s="63"/>
    </row>
    <row r="507" spans="1:65">
      <c r="A507" s="51" t="str">
        <f>VLOOKUP(Table3[[#This Row],[OU]],OU!$A$15:$B$34,2,FALSE)</f>
        <v>RFOs</v>
      </c>
      <c r="B507" s="47" t="s">
        <v>5</v>
      </c>
      <c r="C507" s="47" t="s">
        <v>574</v>
      </c>
      <c r="D507" s="47" t="s">
        <v>700</v>
      </c>
      <c r="E507" s="47" t="s">
        <v>22</v>
      </c>
      <c r="F507" s="47" t="s">
        <v>628</v>
      </c>
      <c r="G50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50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21517000</v>
      </c>
      <c r="I507" s="52" t="str">
        <f>VLOOKUP(Table3[[#This Row],[PSGC]],DISTRICT!$D:$G,4,FALSE)</f>
        <v>3rd</v>
      </c>
      <c r="J507" s="47" t="s">
        <v>578</v>
      </c>
      <c r="K507" s="51" t="str">
        <f>VLOOKUP(Table3[[#This Row],[SPECIFIC COMMODITY]],TAGS!$W$48:$X$53,2,FALSE)</f>
        <v>Corn</v>
      </c>
      <c r="L507" s="51" t="str">
        <f>VLOOKUP(Table3[[#This Row],[PREXC SUB-PROGRAM]],Table5[],2,FALSE)</f>
        <v>AGRICULTURAL  MACHINERY, EQUIPMENT, FACILITIES AND INFRASTRUCTURE PROGRAM</v>
      </c>
      <c r="M507" s="51" t="str">
        <f>VLOOKUP(Table3[[#This Row],[COMMODITY PREXC SUB-PROGRAM]],TAGS!$U$54:$V$76,2,FALSE)</f>
        <v>INS</v>
      </c>
      <c r="N507" s="47" t="s">
        <v>596</v>
      </c>
      <c r="O507" s="54" t="str">
        <f>VLOOKUP(Table3[[#This Row],[PI LEVEL 3]],'PI LEVEL'!A:C,3,FALSE)</f>
        <v>Irrigation machinery distributed</v>
      </c>
      <c r="P507" s="54" t="str">
        <f>VLOOKUP(Table3[[#This Row],[PI LEVEL 3]],Table53729[[Performance Indicator Level 3]:[Performance Indicator Level 1]],2,FALSE)</f>
        <v>Irrigation machinery distributed</v>
      </c>
      <c r="Q507" s="54" t="str">
        <f>VLOOKUP(Table3[[#This Row],[ACTIVITY]],TAGS!B:P,2,FALSE)</f>
        <v>Pump and Engine Set distributed</v>
      </c>
      <c r="R507" s="47" t="s">
        <v>212</v>
      </c>
      <c r="S507" s="51" t="str">
        <f>VLOOKUP(Table3[[#This Row],[ACTIVITY]],TAGS!$B:$P,4,FALSE)</f>
        <v>Small-scale Irrigation Projects</v>
      </c>
      <c r="T507" s="51" t="str">
        <f>VLOOKUP(Table3[[#This Row],[ACTIVITY]],TAGS!$B:$P,5,FALSE)</f>
        <v>Small-scale Irrigation Projects (SSIPs)</v>
      </c>
      <c r="U507" s="51" t="str">
        <f>VLOOKUP(Table3[[#This Row],[ACTIVITY]],TAGS!$B:$P,6,FALSE)</f>
        <v>Mobile Solar-powered Irrigation System</v>
      </c>
      <c r="V507" s="51" t="str">
        <f>VLOOKUP(Table3[[#This Row],[ACTIVITY]],TAGS!$B:$P,7,FALSE)</f>
        <v>YES</v>
      </c>
      <c r="W507" s="51" t="str">
        <f>VLOOKUP(Table3[[#This Row],[ACTIVITY]],TAGS!$B:$P,8,FALSE)</f>
        <v>PAP</v>
      </c>
      <c r="X507" s="51" t="str">
        <f>VLOOKUP(Table3[[#This Row],[ACTIVITY]],TAGS!$B:$P,10,FALSE)</f>
        <v>PIP</v>
      </c>
      <c r="Y507" s="51" t="str">
        <f>VLOOKUP(Table3[[#This Row],[ACTIVITY]],TAGS!$B:$P,11,FALSE)</f>
        <v>PICS</v>
      </c>
      <c r="Z507" s="51" t="str">
        <f>VLOOKUP(Table3[[#This Row],[ACTIVITY]],TAGS!$B:$P,12,FALSE)</f>
        <v>Modernization</v>
      </c>
      <c r="AA507" s="51" t="str">
        <f>VLOOKUP(Table3[[#This Row],[ACTIVITY]],TAGS!$B:$P,13,FALSE)</f>
        <v>8. Farm Mechanization and Farm Investments</v>
      </c>
      <c r="AB507" s="51" t="str">
        <f>VLOOKUP(Table3[[#This Row],[ACTIVITY]],TAGS!$B:$P,14,FALSE)</f>
        <v>EXPAND AND IMPROVE AVAILABLE AGRI-FISHERY AREAS FOR INCREASED PRODUCTION</v>
      </c>
      <c r="AC507" s="51" t="str">
        <f>VLOOKUP(Table3[[#This Row],[ACTIVITY]],TAGS!$B:$P,15,FALSE)</f>
        <v>Irrigation</v>
      </c>
      <c r="AD507" s="51" t="str">
        <f>VLOOKUP(Table3[[#This Row],[PI LEVEL 3]],'PI LEVEL'!$A:$G,7,FALSE)</f>
        <v>DA-Level Output</v>
      </c>
      <c r="AE507" s="47" t="s">
        <v>577</v>
      </c>
      <c r="AF507" s="51" t="str">
        <f>VLOOKUP(Table3[[#This Row],[ACTIVITY]],TAGS!$B:$P,3,FALSE)</f>
        <v>number</v>
      </c>
      <c r="AG507" s="47" t="s">
        <v>336</v>
      </c>
      <c r="AH507" s="51" t="str">
        <f>VLOOKUP(Table3[[#This Row],[MONTH]],TAGS!$W$67:$Y$81,2,FALSE)</f>
        <v>4TH QTR</v>
      </c>
      <c r="AI507" s="51" t="str">
        <f>VLOOKUP(Table3[[#This Row],[MONTH]],TAGS!$W$67:$Y$81,3,FALSE)</f>
        <v>2ND SEMESTER</v>
      </c>
      <c r="AJ507" s="51">
        <f>VLOOKUP(Table3[[#This Row],[MONTH]],TAGS!$W$67:$Z$81,4,FALSE)</f>
        <v>2025</v>
      </c>
      <c r="AK507" s="47">
        <v>1</v>
      </c>
      <c r="AL507" s="51" t="str">
        <f>VLOOKUP(Table3[[#This Row],[ACTIVITY]],TAGS!$B:$R,16,FALSE)</f>
        <v>YES</v>
      </c>
      <c r="AM507" s="47">
        <v>2</v>
      </c>
      <c r="AN507" s="47">
        <v>2000</v>
      </c>
      <c r="AO507" s="57">
        <f>SUM(Table3[[#This Row],[MALE BENEFICIARIES]:[FEMALE BENEFICIARIES]])</f>
        <v>0</v>
      </c>
      <c r="AP507" s="58"/>
      <c r="AQ507" s="58"/>
      <c r="AR507" s="58"/>
      <c r="AS507" s="58">
        <v>1</v>
      </c>
      <c r="AT507" s="59" t="str">
        <f>VLOOKUP(Table3[[#This Row],[ACTIVITY]],TAGS!$B:$R,17,FALSE)</f>
        <v>YES</v>
      </c>
      <c r="AU507" s="59"/>
      <c r="AV507" s="59"/>
      <c r="AW507" s="59"/>
      <c r="AX507" s="59"/>
      <c r="AY507" s="59"/>
      <c r="AZ507" s="59"/>
      <c r="BA507" s="59"/>
      <c r="BB507" s="59"/>
      <c r="BC507" s="59"/>
      <c r="BD507" s="59"/>
      <c r="BE507" s="59"/>
      <c r="BF507" s="59"/>
      <c r="BG507" s="59"/>
      <c r="BH507" s="59"/>
      <c r="BI507" s="59"/>
      <c r="BJ507" s="59"/>
      <c r="BK507" s="59"/>
      <c r="BL507" s="59"/>
      <c r="BM507" s="59"/>
    </row>
    <row r="508" spans="1:65">
      <c r="A508" s="54" t="str">
        <f>VLOOKUP(Table3[[#This Row],[OU]],OU!$A$15:$B$34,2,FALSE)</f>
        <v>RFOs</v>
      </c>
      <c r="B508" s="47" t="s">
        <v>5</v>
      </c>
      <c r="C508" s="47" t="s">
        <v>574</v>
      </c>
      <c r="D508" s="60"/>
      <c r="E508" s="47" t="s">
        <v>22</v>
      </c>
      <c r="F508" s="47" t="s">
        <v>628</v>
      </c>
      <c r="G50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508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21517000</v>
      </c>
      <c r="I508" s="61" t="str">
        <f>VLOOKUP(Table3[[#This Row],[PSGC]],DISTRICT!$D:$G,4,FALSE)</f>
        <v>3rd</v>
      </c>
      <c r="J508" s="47" t="s">
        <v>578</v>
      </c>
      <c r="K508" s="51" t="str">
        <f>VLOOKUP(Table3[[#This Row],[SPECIFIC COMMODITY]],TAGS!$W$48:$X$53,2,FALSE)</f>
        <v>Corn</v>
      </c>
      <c r="L508" s="51" t="str">
        <f>VLOOKUP(Table3[[#This Row],[PREXC SUB-PROGRAM]],Table5[],2,FALSE)</f>
        <v>AGRICULTURAL  MACHINERY, EQUIPMENT, FACILITIES AND INFRASTRUCTURE PROGRAM</v>
      </c>
      <c r="M508" s="51" t="str">
        <f>VLOOKUP(Table3[[#This Row],[COMMODITY PREXC SUB-PROGRAM]],TAGS!$U$54:$V$76,2,FALSE)</f>
        <v>INS</v>
      </c>
      <c r="N508" s="47" t="s">
        <v>596</v>
      </c>
      <c r="O508" s="54" t="str">
        <f>VLOOKUP(Table3[[#This Row],[PI LEVEL 3]],'PI LEVEL'!A:C,3,FALSE)</f>
        <v>Service area generated from the establishment and installation of small-scale irrigation projects</v>
      </c>
      <c r="P508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508" s="54" t="str">
        <f>VLOOKUP(Table3[[#This Row],[ACTIVITY]],TAGS!B:P,2,FALSE)</f>
        <v>Service area generated from construction of Solar-powered irrigation system (SPIS)</v>
      </c>
      <c r="R508" s="47" t="s">
        <v>216</v>
      </c>
      <c r="S508" s="54" t="str">
        <f>VLOOKUP(Table3[[#This Row],[ACTIVITY]],TAGS!$B:$P,4,FALSE)</f>
        <v>Service area generated</v>
      </c>
      <c r="T508" s="54" t="str">
        <f>VLOOKUP(Table3[[#This Row],[ACTIVITY]],TAGS!$B:$P,5,FALSE)</f>
        <v>Service area generated</v>
      </c>
      <c r="U508" s="54" t="str">
        <f>VLOOKUP(Table3[[#This Row],[ACTIVITY]],TAGS!$B:$P,6,FALSE)</f>
        <v>Service area generated</v>
      </c>
      <c r="V508" s="54" t="str">
        <f>VLOOKUP(Table3[[#This Row],[ACTIVITY]],TAGS!$B:$P,7,FALSE)</f>
        <v>NO</v>
      </c>
      <c r="W508" s="54" t="str">
        <f>VLOOKUP(Table3[[#This Row],[ACTIVITY]],TAGS!$B:$P,8,FALSE)</f>
        <v>PAP</v>
      </c>
      <c r="X508" s="54" t="str">
        <f>VLOOKUP(Table3[[#This Row],[ACTIVITY]],TAGS!$B:$P,10,FALSE)</f>
        <v>PIP</v>
      </c>
      <c r="Y508" s="54" t="str">
        <f>VLOOKUP(Table3[[#This Row],[ACTIVITY]],TAGS!$B:$P,11,FALSE)</f>
        <v>PICS</v>
      </c>
      <c r="Z508" s="54">
        <f>VLOOKUP(Table3[[#This Row],[ACTIVITY]],TAGS!$B:$P,12,FALSE)</f>
        <v>0</v>
      </c>
      <c r="AA508" s="54">
        <f>VLOOKUP(Table3[[#This Row],[ACTIVITY]],TAGS!$B:$P,13,FALSE)</f>
        <v>0</v>
      </c>
      <c r="AB508" s="54">
        <f>VLOOKUP(Table3[[#This Row],[ACTIVITY]],TAGS!$B:$P,14,FALSE)</f>
        <v>0</v>
      </c>
      <c r="AC508" s="54">
        <f>VLOOKUP(Table3[[#This Row],[ACTIVITY]],TAGS!$B:$P,15,FALSE)</f>
        <v>0</v>
      </c>
      <c r="AD508" s="54" t="str">
        <f>VLOOKUP(Table3[[#This Row],[PI LEVEL 3]],'PI LEVEL'!$A:$G,7,FALSE)</f>
        <v>PREXC/DA-Level Output</v>
      </c>
      <c r="AE508" s="47" t="s">
        <v>577</v>
      </c>
      <c r="AF508" s="54" t="str">
        <f>VLOOKUP(Table3[[#This Row],[ACTIVITY]],TAGS!$B:$P,3,FALSE)</f>
        <v>hectare</v>
      </c>
      <c r="AG508" s="47" t="s">
        <v>336</v>
      </c>
      <c r="AH508" s="54" t="str">
        <f>VLOOKUP(Table3[[#This Row],[MONTH]],TAGS!$W$67:$Y$81,2,FALSE)</f>
        <v>4TH QTR</v>
      </c>
      <c r="AI508" s="54" t="str">
        <f>VLOOKUP(Table3[[#This Row],[MONTH]],TAGS!$W$67:$Y$81,3,FALSE)</f>
        <v>2ND SEMESTER</v>
      </c>
      <c r="AJ508" s="54">
        <f>VLOOKUP(Table3[[#This Row],[MONTH]],TAGS!$W$67:$Z$81,4,FALSE)</f>
        <v>2025</v>
      </c>
      <c r="AK508" s="60">
        <v>2</v>
      </c>
      <c r="AL508" s="54" t="str">
        <f>VLOOKUP(Table3[[#This Row],[ACTIVITY]],TAGS!$B:$R,16,FALSE)</f>
        <v>NO</v>
      </c>
      <c r="AM508" s="60"/>
      <c r="AN508" s="60"/>
      <c r="AO508" s="57">
        <f>SUM(Table3[[#This Row],[MALE BENEFICIARIES]:[FEMALE BENEFICIARIES]])</f>
        <v>0</v>
      </c>
      <c r="AP508" s="62"/>
      <c r="AQ508" s="62"/>
      <c r="AR508" s="62"/>
      <c r="AS508" s="62"/>
      <c r="AT508" s="63" t="str">
        <f>VLOOKUP(Table3[[#This Row],[ACTIVITY]],TAGS!$B:$R,17,FALSE)</f>
        <v>NO</v>
      </c>
      <c r="AU508" s="63"/>
      <c r="AV508" s="63"/>
      <c r="AW508" s="63"/>
      <c r="AX508" s="63"/>
      <c r="AY508" s="63"/>
      <c r="AZ508" s="63"/>
      <c r="BA508" s="63"/>
      <c r="BB508" s="63"/>
      <c r="BC508" s="63"/>
      <c r="BD508" s="63"/>
      <c r="BE508" s="63"/>
      <c r="BF508" s="63"/>
      <c r="BG508" s="63"/>
      <c r="BH508" s="63"/>
      <c r="BI508" s="63"/>
      <c r="BJ508" s="63"/>
      <c r="BK508" s="63"/>
      <c r="BL508" s="63"/>
      <c r="BM508" s="63"/>
    </row>
    <row r="509" spans="1:65">
      <c r="A509" s="51" t="str">
        <f>VLOOKUP(Table3[[#This Row],[OU]],OU!$A$15:$B$34,2,FALSE)</f>
        <v>RFOs</v>
      </c>
      <c r="B509" s="47" t="s">
        <v>5</v>
      </c>
      <c r="C509" s="47" t="s">
        <v>574</v>
      </c>
      <c r="D509" s="47" t="s">
        <v>760</v>
      </c>
      <c r="E509" s="47" t="s">
        <v>22</v>
      </c>
      <c r="F509" s="47" t="s">
        <v>628</v>
      </c>
      <c r="G50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50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21517000</v>
      </c>
      <c r="I509" s="52" t="str">
        <f>VLOOKUP(Table3[[#This Row],[PSGC]],DISTRICT!$D:$G,4,FALSE)</f>
        <v>3rd</v>
      </c>
      <c r="J509" s="47" t="s">
        <v>578</v>
      </c>
      <c r="K509" s="51" t="str">
        <f>VLOOKUP(Table3[[#This Row],[SPECIFIC COMMODITY]],TAGS!$W$48:$X$53,2,FALSE)</f>
        <v>Corn</v>
      </c>
      <c r="L509" s="51" t="str">
        <f>VLOOKUP(Table3[[#This Row],[PREXC SUB-PROGRAM]],Table5[],2,FALSE)</f>
        <v>AGRICULTURAL  MACHINERY, EQUIPMENT, FACILITIES AND INFRASTRUCTURE PROGRAM</v>
      </c>
      <c r="M509" s="51" t="str">
        <f>VLOOKUP(Table3[[#This Row],[COMMODITY PREXC SUB-PROGRAM]],TAGS!$U$54:$V$76,2,FALSE)</f>
        <v>INS</v>
      </c>
      <c r="N509" s="47" t="s">
        <v>596</v>
      </c>
      <c r="O509" s="54" t="str">
        <f>VLOOKUP(Table3[[#This Row],[PI LEVEL 3]],'PI LEVEL'!A:C,3,FALSE)</f>
        <v>Irrigation machinery distributed</v>
      </c>
      <c r="P509" s="54" t="str">
        <f>VLOOKUP(Table3[[#This Row],[PI LEVEL 3]],Table53729[[Performance Indicator Level 3]:[Performance Indicator Level 1]],2,FALSE)</f>
        <v>Irrigation machinery distributed</v>
      </c>
      <c r="Q509" s="54" t="str">
        <f>VLOOKUP(Table3[[#This Row],[ACTIVITY]],TAGS!B:P,2,FALSE)</f>
        <v>Pump and Engine Set distributed</v>
      </c>
      <c r="R509" s="47" t="s">
        <v>212</v>
      </c>
      <c r="S509" s="51" t="str">
        <f>VLOOKUP(Table3[[#This Row],[ACTIVITY]],TAGS!$B:$P,4,FALSE)</f>
        <v>Small-scale Irrigation Projects</v>
      </c>
      <c r="T509" s="51" t="str">
        <f>VLOOKUP(Table3[[#This Row],[ACTIVITY]],TAGS!$B:$P,5,FALSE)</f>
        <v>Small-scale Irrigation Projects (SSIPs)</v>
      </c>
      <c r="U509" s="51" t="str">
        <f>VLOOKUP(Table3[[#This Row],[ACTIVITY]],TAGS!$B:$P,6,FALSE)</f>
        <v>Mobile Solar-powered Irrigation System</v>
      </c>
      <c r="V509" s="51" t="str">
        <f>VLOOKUP(Table3[[#This Row],[ACTIVITY]],TAGS!$B:$P,7,FALSE)</f>
        <v>YES</v>
      </c>
      <c r="W509" s="51" t="str">
        <f>VLOOKUP(Table3[[#This Row],[ACTIVITY]],TAGS!$B:$P,8,FALSE)</f>
        <v>PAP</v>
      </c>
      <c r="X509" s="51" t="str">
        <f>VLOOKUP(Table3[[#This Row],[ACTIVITY]],TAGS!$B:$P,10,FALSE)</f>
        <v>PIP</v>
      </c>
      <c r="Y509" s="51" t="str">
        <f>VLOOKUP(Table3[[#This Row],[ACTIVITY]],TAGS!$B:$P,11,FALSE)</f>
        <v>PICS</v>
      </c>
      <c r="Z509" s="51" t="str">
        <f>VLOOKUP(Table3[[#This Row],[ACTIVITY]],TAGS!$B:$P,12,FALSE)</f>
        <v>Modernization</v>
      </c>
      <c r="AA509" s="51" t="str">
        <f>VLOOKUP(Table3[[#This Row],[ACTIVITY]],TAGS!$B:$P,13,FALSE)</f>
        <v>8. Farm Mechanization and Farm Investments</v>
      </c>
      <c r="AB509" s="51" t="str">
        <f>VLOOKUP(Table3[[#This Row],[ACTIVITY]],TAGS!$B:$P,14,FALSE)</f>
        <v>EXPAND AND IMPROVE AVAILABLE AGRI-FISHERY AREAS FOR INCREASED PRODUCTION</v>
      </c>
      <c r="AC509" s="51" t="str">
        <f>VLOOKUP(Table3[[#This Row],[ACTIVITY]],TAGS!$B:$P,15,FALSE)</f>
        <v>Irrigation</v>
      </c>
      <c r="AD509" s="51" t="str">
        <f>VLOOKUP(Table3[[#This Row],[PI LEVEL 3]],'PI LEVEL'!$A:$G,7,FALSE)</f>
        <v>DA-Level Output</v>
      </c>
      <c r="AE509" s="47" t="s">
        <v>577</v>
      </c>
      <c r="AF509" s="51" t="str">
        <f>VLOOKUP(Table3[[#This Row],[ACTIVITY]],TAGS!$B:$P,3,FALSE)</f>
        <v>number</v>
      </c>
      <c r="AG509" s="47" t="s">
        <v>337</v>
      </c>
      <c r="AH509" s="51" t="str">
        <f>VLOOKUP(Table3[[#This Row],[MONTH]],TAGS!$W$67:$Y$81,2,FALSE)</f>
        <v>4TH QTR</v>
      </c>
      <c r="AI509" s="51" t="str">
        <f>VLOOKUP(Table3[[#This Row],[MONTH]],TAGS!$W$67:$Y$81,3,FALSE)</f>
        <v>2ND SEMESTER</v>
      </c>
      <c r="AJ509" s="51">
        <f>VLOOKUP(Table3[[#This Row],[MONTH]],TAGS!$W$67:$Z$81,4,FALSE)</f>
        <v>2025</v>
      </c>
      <c r="AK509" s="47">
        <v>1</v>
      </c>
      <c r="AL509" s="51" t="str">
        <f>VLOOKUP(Table3[[#This Row],[ACTIVITY]],TAGS!$B:$R,16,FALSE)</f>
        <v>YES</v>
      </c>
      <c r="AM509" s="47">
        <v>2</v>
      </c>
      <c r="AN509" s="47">
        <v>2000</v>
      </c>
      <c r="AO509" s="57">
        <f>SUM(Table3[[#This Row],[MALE BENEFICIARIES]:[FEMALE BENEFICIARIES]])</f>
        <v>0</v>
      </c>
      <c r="AP509" s="58"/>
      <c r="AQ509" s="58"/>
      <c r="AR509" s="58"/>
      <c r="AS509" s="58">
        <v>1</v>
      </c>
      <c r="AT509" s="59" t="str">
        <f>VLOOKUP(Table3[[#This Row],[ACTIVITY]],TAGS!$B:$R,17,FALSE)</f>
        <v>YES</v>
      </c>
      <c r="AU509" s="59"/>
      <c r="AV509" s="59"/>
      <c r="AW509" s="59"/>
      <c r="AX509" s="59"/>
      <c r="AY509" s="59"/>
      <c r="AZ509" s="59"/>
      <c r="BA509" s="59"/>
      <c r="BB509" s="59"/>
      <c r="BC509" s="59"/>
      <c r="BD509" s="59"/>
      <c r="BE509" s="59"/>
      <c r="BF509" s="59"/>
      <c r="BG509" s="59"/>
      <c r="BH509" s="59"/>
      <c r="BI509" s="59"/>
      <c r="BJ509" s="59"/>
      <c r="BK509" s="59"/>
      <c r="BL509" s="59"/>
      <c r="BM509" s="59"/>
    </row>
    <row r="510" spans="1:65">
      <c r="A510" s="54" t="str">
        <f>VLOOKUP(Table3[[#This Row],[OU]],OU!$A$15:$B$34,2,FALSE)</f>
        <v>RFOs</v>
      </c>
      <c r="B510" s="47" t="s">
        <v>5</v>
      </c>
      <c r="C510" s="47" t="s">
        <v>574</v>
      </c>
      <c r="D510" s="60"/>
      <c r="E510" s="47" t="s">
        <v>22</v>
      </c>
      <c r="F510" s="47" t="s">
        <v>628</v>
      </c>
      <c r="G51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Cagayan, 2nd District</v>
      </c>
      <c r="H510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21517000</v>
      </c>
      <c r="I510" s="61" t="str">
        <f>VLOOKUP(Table3[[#This Row],[PSGC]],DISTRICT!$D:$G,4,FALSE)</f>
        <v>3rd</v>
      </c>
      <c r="J510" s="47" t="s">
        <v>578</v>
      </c>
      <c r="K510" s="51" t="str">
        <f>VLOOKUP(Table3[[#This Row],[SPECIFIC COMMODITY]],TAGS!$W$48:$X$53,2,FALSE)</f>
        <v>Corn</v>
      </c>
      <c r="L510" s="51" t="str">
        <f>VLOOKUP(Table3[[#This Row],[PREXC SUB-PROGRAM]],Table5[],2,FALSE)</f>
        <v>AGRICULTURAL  MACHINERY, EQUIPMENT, FACILITIES AND INFRASTRUCTURE PROGRAM</v>
      </c>
      <c r="M510" s="51" t="str">
        <f>VLOOKUP(Table3[[#This Row],[COMMODITY PREXC SUB-PROGRAM]],TAGS!$U$54:$V$76,2,FALSE)</f>
        <v>INS</v>
      </c>
      <c r="N510" s="47" t="s">
        <v>596</v>
      </c>
      <c r="O510" s="54" t="str">
        <f>VLOOKUP(Table3[[#This Row],[PI LEVEL 3]],'PI LEVEL'!A:C,3,FALSE)</f>
        <v>Service area generated from the establishment and installation of small-scale irrigation projects</v>
      </c>
      <c r="P510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510" s="54" t="str">
        <f>VLOOKUP(Table3[[#This Row],[ACTIVITY]],TAGS!B:P,2,FALSE)</f>
        <v>Service area generated from construction of Solar-powered irrigation system (SPIS)</v>
      </c>
      <c r="R510" s="47" t="s">
        <v>216</v>
      </c>
      <c r="S510" s="54" t="str">
        <f>VLOOKUP(Table3[[#This Row],[ACTIVITY]],TAGS!$B:$P,4,FALSE)</f>
        <v>Service area generated</v>
      </c>
      <c r="T510" s="54" t="str">
        <f>VLOOKUP(Table3[[#This Row],[ACTIVITY]],TAGS!$B:$P,5,FALSE)</f>
        <v>Service area generated</v>
      </c>
      <c r="U510" s="54" t="str">
        <f>VLOOKUP(Table3[[#This Row],[ACTIVITY]],TAGS!$B:$P,6,FALSE)</f>
        <v>Service area generated</v>
      </c>
      <c r="V510" s="54" t="str">
        <f>VLOOKUP(Table3[[#This Row],[ACTIVITY]],TAGS!$B:$P,7,FALSE)</f>
        <v>NO</v>
      </c>
      <c r="W510" s="54" t="str">
        <f>VLOOKUP(Table3[[#This Row],[ACTIVITY]],TAGS!$B:$P,8,FALSE)</f>
        <v>PAP</v>
      </c>
      <c r="X510" s="54" t="str">
        <f>VLOOKUP(Table3[[#This Row],[ACTIVITY]],TAGS!$B:$P,10,FALSE)</f>
        <v>PIP</v>
      </c>
      <c r="Y510" s="54" t="str">
        <f>VLOOKUP(Table3[[#This Row],[ACTIVITY]],TAGS!$B:$P,11,FALSE)</f>
        <v>PICS</v>
      </c>
      <c r="Z510" s="54">
        <f>VLOOKUP(Table3[[#This Row],[ACTIVITY]],TAGS!$B:$P,12,FALSE)</f>
        <v>0</v>
      </c>
      <c r="AA510" s="54">
        <f>VLOOKUP(Table3[[#This Row],[ACTIVITY]],TAGS!$B:$P,13,FALSE)</f>
        <v>0</v>
      </c>
      <c r="AB510" s="54">
        <f>VLOOKUP(Table3[[#This Row],[ACTIVITY]],TAGS!$B:$P,14,FALSE)</f>
        <v>0</v>
      </c>
      <c r="AC510" s="54">
        <f>VLOOKUP(Table3[[#This Row],[ACTIVITY]],TAGS!$B:$P,15,FALSE)</f>
        <v>0</v>
      </c>
      <c r="AD510" s="54" t="str">
        <f>VLOOKUP(Table3[[#This Row],[PI LEVEL 3]],'PI LEVEL'!$A:$G,7,FALSE)</f>
        <v>PREXC/DA-Level Output</v>
      </c>
      <c r="AE510" s="47" t="s">
        <v>577</v>
      </c>
      <c r="AF510" s="54" t="str">
        <f>VLOOKUP(Table3[[#This Row],[ACTIVITY]],TAGS!$B:$P,3,FALSE)</f>
        <v>hectare</v>
      </c>
      <c r="AG510" s="47" t="s">
        <v>337</v>
      </c>
      <c r="AH510" s="54" t="str">
        <f>VLOOKUP(Table3[[#This Row],[MONTH]],TAGS!$W$67:$Y$81,2,FALSE)</f>
        <v>4TH QTR</v>
      </c>
      <c r="AI510" s="54" t="str">
        <f>VLOOKUP(Table3[[#This Row],[MONTH]],TAGS!$W$67:$Y$81,3,FALSE)</f>
        <v>2ND SEMESTER</v>
      </c>
      <c r="AJ510" s="54">
        <f>VLOOKUP(Table3[[#This Row],[MONTH]],TAGS!$W$67:$Z$81,4,FALSE)</f>
        <v>2025</v>
      </c>
      <c r="AK510" s="60">
        <v>2</v>
      </c>
      <c r="AL510" s="54" t="str">
        <f>VLOOKUP(Table3[[#This Row],[ACTIVITY]],TAGS!$B:$R,16,FALSE)</f>
        <v>NO</v>
      </c>
      <c r="AM510" s="60"/>
      <c r="AN510" s="60"/>
      <c r="AO510" s="57">
        <f>SUM(Table3[[#This Row],[MALE BENEFICIARIES]:[FEMALE BENEFICIARIES]])</f>
        <v>0</v>
      </c>
      <c r="AP510" s="62"/>
      <c r="AQ510" s="62"/>
      <c r="AR510" s="62"/>
      <c r="AS510" s="62"/>
      <c r="AT510" s="63" t="str">
        <f>VLOOKUP(Table3[[#This Row],[ACTIVITY]],TAGS!$B:$R,17,FALSE)</f>
        <v>NO</v>
      </c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  <c r="BM510" s="63"/>
    </row>
    <row r="511" spans="1:65">
      <c r="A511" s="51" t="str">
        <f>VLOOKUP(Table3[[#This Row],[OU]],OU!$A$15:$B$34,2,FALSE)</f>
        <v>RFOs</v>
      </c>
      <c r="B511" s="47" t="s">
        <v>5</v>
      </c>
      <c r="C511" s="47" t="s">
        <v>574</v>
      </c>
      <c r="D511" s="47" t="s">
        <v>750</v>
      </c>
      <c r="E511" s="47" t="s">
        <v>43</v>
      </c>
      <c r="F511" s="47" t="s">
        <v>630</v>
      </c>
      <c r="G51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51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23114000</v>
      </c>
      <c r="I511" s="52" t="str">
        <f>VLOOKUP(Table3[[#This Row],[PSGC]],DISTRICT!$D:$G,4,FALSE)</f>
        <v>1st</v>
      </c>
      <c r="J511" s="47" t="s">
        <v>578</v>
      </c>
      <c r="K511" s="51" t="str">
        <f>VLOOKUP(Table3[[#This Row],[SPECIFIC COMMODITY]],TAGS!$W$48:$X$53,2,FALSE)</f>
        <v>Corn</v>
      </c>
      <c r="L511" s="51" t="str">
        <f>VLOOKUP(Table3[[#This Row],[PREXC SUB-PROGRAM]],Table5[],2,FALSE)</f>
        <v>AGRICULTURAL  MACHINERY, EQUIPMENT, FACILITIES AND INFRASTRUCTURE PROGRAM</v>
      </c>
      <c r="M511" s="51" t="str">
        <f>VLOOKUP(Table3[[#This Row],[COMMODITY PREXC SUB-PROGRAM]],TAGS!$U$54:$V$76,2,FALSE)</f>
        <v>INS</v>
      </c>
      <c r="N511" s="47" t="s">
        <v>596</v>
      </c>
      <c r="O511" s="54" t="str">
        <f>VLOOKUP(Table3[[#This Row],[PI LEVEL 3]],'PI LEVEL'!A:C,3,FALSE)</f>
        <v>Irrigation machinery distributed</v>
      </c>
      <c r="P511" s="54" t="str">
        <f>VLOOKUP(Table3[[#This Row],[PI LEVEL 3]],Table53729[[Performance Indicator Level 3]:[Performance Indicator Level 1]],2,FALSE)</f>
        <v>Irrigation machinery distributed</v>
      </c>
      <c r="Q511" s="54" t="str">
        <f>VLOOKUP(Table3[[#This Row],[ACTIVITY]],TAGS!B:P,2,FALSE)</f>
        <v>Pump and Engine Set distributed</v>
      </c>
      <c r="R511" s="47" t="s">
        <v>212</v>
      </c>
      <c r="S511" s="51" t="str">
        <f>VLOOKUP(Table3[[#This Row],[ACTIVITY]],TAGS!$B:$P,4,FALSE)</f>
        <v>Small-scale Irrigation Projects</v>
      </c>
      <c r="T511" s="51" t="str">
        <f>VLOOKUP(Table3[[#This Row],[ACTIVITY]],TAGS!$B:$P,5,FALSE)</f>
        <v>Small-scale Irrigation Projects (SSIPs)</v>
      </c>
      <c r="U511" s="51" t="str">
        <f>VLOOKUP(Table3[[#This Row],[ACTIVITY]],TAGS!$B:$P,6,FALSE)</f>
        <v>Mobile Solar-powered Irrigation System</v>
      </c>
      <c r="V511" s="51" t="str">
        <f>VLOOKUP(Table3[[#This Row],[ACTIVITY]],TAGS!$B:$P,7,FALSE)</f>
        <v>YES</v>
      </c>
      <c r="W511" s="51" t="str">
        <f>VLOOKUP(Table3[[#This Row],[ACTIVITY]],TAGS!$B:$P,8,FALSE)</f>
        <v>PAP</v>
      </c>
      <c r="X511" s="51" t="str">
        <f>VLOOKUP(Table3[[#This Row],[ACTIVITY]],TAGS!$B:$P,10,FALSE)</f>
        <v>PIP</v>
      </c>
      <c r="Y511" s="51" t="str">
        <f>VLOOKUP(Table3[[#This Row],[ACTIVITY]],TAGS!$B:$P,11,FALSE)</f>
        <v>PICS</v>
      </c>
      <c r="Z511" s="51" t="str">
        <f>VLOOKUP(Table3[[#This Row],[ACTIVITY]],TAGS!$B:$P,12,FALSE)</f>
        <v>Modernization</v>
      </c>
      <c r="AA511" s="51" t="str">
        <f>VLOOKUP(Table3[[#This Row],[ACTIVITY]],TAGS!$B:$P,13,FALSE)</f>
        <v>8. Farm Mechanization and Farm Investments</v>
      </c>
      <c r="AB511" s="51" t="str">
        <f>VLOOKUP(Table3[[#This Row],[ACTIVITY]],TAGS!$B:$P,14,FALSE)</f>
        <v>EXPAND AND IMPROVE AVAILABLE AGRI-FISHERY AREAS FOR INCREASED PRODUCTION</v>
      </c>
      <c r="AC511" s="51" t="str">
        <f>VLOOKUP(Table3[[#This Row],[ACTIVITY]],TAGS!$B:$P,15,FALSE)</f>
        <v>Irrigation</v>
      </c>
      <c r="AD511" s="51" t="str">
        <f>VLOOKUP(Table3[[#This Row],[PI LEVEL 3]],'PI LEVEL'!$A:$G,7,FALSE)</f>
        <v>DA-Level Output</v>
      </c>
      <c r="AE511" s="47" t="s">
        <v>577</v>
      </c>
      <c r="AF511" s="51" t="str">
        <f>VLOOKUP(Table3[[#This Row],[ACTIVITY]],TAGS!$B:$P,3,FALSE)</f>
        <v>number</v>
      </c>
      <c r="AG511" s="47" t="s">
        <v>336</v>
      </c>
      <c r="AH511" s="51" t="str">
        <f>VLOOKUP(Table3[[#This Row],[MONTH]],TAGS!$W$67:$Y$81,2,FALSE)</f>
        <v>4TH QTR</v>
      </c>
      <c r="AI511" s="51" t="str">
        <f>VLOOKUP(Table3[[#This Row],[MONTH]],TAGS!$W$67:$Y$81,3,FALSE)</f>
        <v>2ND SEMESTER</v>
      </c>
      <c r="AJ511" s="51">
        <f>VLOOKUP(Table3[[#This Row],[MONTH]],TAGS!$W$67:$Z$81,4,FALSE)</f>
        <v>2025</v>
      </c>
      <c r="AK511" s="47">
        <v>1</v>
      </c>
      <c r="AL511" s="51" t="str">
        <f>VLOOKUP(Table3[[#This Row],[ACTIVITY]],TAGS!$B:$R,16,FALSE)</f>
        <v>YES</v>
      </c>
      <c r="AM511" s="47">
        <v>2</v>
      </c>
      <c r="AN511" s="47">
        <v>2000</v>
      </c>
      <c r="AO511" s="57">
        <f>SUM(Table3[[#This Row],[MALE BENEFICIARIES]:[FEMALE BENEFICIARIES]])</f>
        <v>0</v>
      </c>
      <c r="AP511" s="58"/>
      <c r="AQ511" s="58"/>
      <c r="AR511" s="58"/>
      <c r="AS511" s="58">
        <v>1</v>
      </c>
      <c r="AT511" s="59" t="str">
        <f>VLOOKUP(Table3[[#This Row],[ACTIVITY]],TAGS!$B:$R,17,FALSE)</f>
        <v>YES</v>
      </c>
      <c r="AU511" s="59"/>
      <c r="AV511" s="59"/>
      <c r="AW511" s="59"/>
      <c r="AX511" s="59"/>
      <c r="AY511" s="59"/>
      <c r="AZ511" s="59"/>
      <c r="BA511" s="59"/>
      <c r="BB511" s="59"/>
      <c r="BC511" s="59"/>
      <c r="BD511" s="59"/>
      <c r="BE511" s="59"/>
      <c r="BF511" s="59"/>
      <c r="BG511" s="59"/>
      <c r="BH511" s="59"/>
      <c r="BI511" s="59"/>
      <c r="BJ511" s="59"/>
      <c r="BK511" s="59"/>
      <c r="BL511" s="59"/>
      <c r="BM511" s="59"/>
    </row>
    <row r="512" spans="1:65">
      <c r="A512" s="54" t="str">
        <f>VLOOKUP(Table3[[#This Row],[OU]],OU!$A$15:$B$34,2,FALSE)</f>
        <v>RFOs</v>
      </c>
      <c r="B512" s="47" t="s">
        <v>5</v>
      </c>
      <c r="C512" s="47" t="s">
        <v>574</v>
      </c>
      <c r="D512" s="60"/>
      <c r="E512" s="47" t="s">
        <v>43</v>
      </c>
      <c r="F512" s="47" t="s">
        <v>630</v>
      </c>
      <c r="G51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1st District</v>
      </c>
      <c r="H512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23114000</v>
      </c>
      <c r="I512" s="61" t="str">
        <f>VLOOKUP(Table3[[#This Row],[PSGC]],DISTRICT!$D:$G,4,FALSE)</f>
        <v>1st</v>
      </c>
      <c r="J512" s="47" t="s">
        <v>578</v>
      </c>
      <c r="K512" s="51" t="str">
        <f>VLOOKUP(Table3[[#This Row],[SPECIFIC COMMODITY]],TAGS!$W$48:$X$53,2,FALSE)</f>
        <v>Corn</v>
      </c>
      <c r="L512" s="51" t="str">
        <f>VLOOKUP(Table3[[#This Row],[PREXC SUB-PROGRAM]],Table5[],2,FALSE)</f>
        <v>AGRICULTURAL  MACHINERY, EQUIPMENT, FACILITIES AND INFRASTRUCTURE PROGRAM</v>
      </c>
      <c r="M512" s="51" t="str">
        <f>VLOOKUP(Table3[[#This Row],[COMMODITY PREXC SUB-PROGRAM]],TAGS!$U$54:$V$76,2,FALSE)</f>
        <v>INS</v>
      </c>
      <c r="N512" s="47" t="s">
        <v>596</v>
      </c>
      <c r="O512" s="54" t="str">
        <f>VLOOKUP(Table3[[#This Row],[PI LEVEL 3]],'PI LEVEL'!A:C,3,FALSE)</f>
        <v>Service area generated from the establishment and installation of small-scale irrigation projects</v>
      </c>
      <c r="P512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512" s="54" t="str">
        <f>VLOOKUP(Table3[[#This Row],[ACTIVITY]],TAGS!B:P,2,FALSE)</f>
        <v>Service area generated from construction of Solar-powered irrigation system (SPIS)</v>
      </c>
      <c r="R512" s="47" t="s">
        <v>216</v>
      </c>
      <c r="S512" s="54" t="str">
        <f>VLOOKUP(Table3[[#This Row],[ACTIVITY]],TAGS!$B:$P,4,FALSE)</f>
        <v>Service area generated</v>
      </c>
      <c r="T512" s="54" t="str">
        <f>VLOOKUP(Table3[[#This Row],[ACTIVITY]],TAGS!$B:$P,5,FALSE)</f>
        <v>Service area generated</v>
      </c>
      <c r="U512" s="54" t="str">
        <f>VLOOKUP(Table3[[#This Row],[ACTIVITY]],TAGS!$B:$P,6,FALSE)</f>
        <v>Service area generated</v>
      </c>
      <c r="V512" s="54" t="str">
        <f>VLOOKUP(Table3[[#This Row],[ACTIVITY]],TAGS!$B:$P,7,FALSE)</f>
        <v>NO</v>
      </c>
      <c r="W512" s="54" t="str">
        <f>VLOOKUP(Table3[[#This Row],[ACTIVITY]],TAGS!$B:$P,8,FALSE)</f>
        <v>PAP</v>
      </c>
      <c r="X512" s="54" t="str">
        <f>VLOOKUP(Table3[[#This Row],[ACTIVITY]],TAGS!$B:$P,10,FALSE)</f>
        <v>PIP</v>
      </c>
      <c r="Y512" s="54" t="str">
        <f>VLOOKUP(Table3[[#This Row],[ACTIVITY]],TAGS!$B:$P,11,FALSE)</f>
        <v>PICS</v>
      </c>
      <c r="Z512" s="54">
        <f>VLOOKUP(Table3[[#This Row],[ACTIVITY]],TAGS!$B:$P,12,FALSE)</f>
        <v>0</v>
      </c>
      <c r="AA512" s="54">
        <f>VLOOKUP(Table3[[#This Row],[ACTIVITY]],TAGS!$B:$P,13,FALSE)</f>
        <v>0</v>
      </c>
      <c r="AB512" s="54">
        <f>VLOOKUP(Table3[[#This Row],[ACTIVITY]],TAGS!$B:$P,14,FALSE)</f>
        <v>0</v>
      </c>
      <c r="AC512" s="54">
        <f>VLOOKUP(Table3[[#This Row],[ACTIVITY]],TAGS!$B:$P,15,FALSE)</f>
        <v>0</v>
      </c>
      <c r="AD512" s="54" t="str">
        <f>VLOOKUP(Table3[[#This Row],[PI LEVEL 3]],'PI LEVEL'!$A:$G,7,FALSE)</f>
        <v>PREXC/DA-Level Output</v>
      </c>
      <c r="AE512" s="47" t="s">
        <v>577</v>
      </c>
      <c r="AF512" s="54" t="str">
        <f>VLOOKUP(Table3[[#This Row],[ACTIVITY]],TAGS!$B:$P,3,FALSE)</f>
        <v>hectare</v>
      </c>
      <c r="AG512" s="47" t="s">
        <v>336</v>
      </c>
      <c r="AH512" s="54" t="str">
        <f>VLOOKUP(Table3[[#This Row],[MONTH]],TAGS!$W$67:$Y$81,2,FALSE)</f>
        <v>4TH QTR</v>
      </c>
      <c r="AI512" s="54" t="str">
        <f>VLOOKUP(Table3[[#This Row],[MONTH]],TAGS!$W$67:$Y$81,3,FALSE)</f>
        <v>2ND SEMESTER</v>
      </c>
      <c r="AJ512" s="54">
        <f>VLOOKUP(Table3[[#This Row],[MONTH]],TAGS!$W$67:$Z$81,4,FALSE)</f>
        <v>2025</v>
      </c>
      <c r="AK512" s="60">
        <v>2</v>
      </c>
      <c r="AL512" s="54" t="str">
        <f>VLOOKUP(Table3[[#This Row],[ACTIVITY]],TAGS!$B:$R,16,FALSE)</f>
        <v>NO</v>
      </c>
      <c r="AM512" s="60"/>
      <c r="AN512" s="60"/>
      <c r="AO512" s="57">
        <f>SUM(Table3[[#This Row],[MALE BENEFICIARIES]:[FEMALE BENEFICIARIES]])</f>
        <v>0</v>
      </c>
      <c r="AP512" s="62"/>
      <c r="AQ512" s="62"/>
      <c r="AR512" s="62"/>
      <c r="AS512" s="62"/>
      <c r="AT512" s="63" t="str">
        <f>VLOOKUP(Table3[[#This Row],[ACTIVITY]],TAGS!$B:$R,17,FALSE)</f>
        <v>NO</v>
      </c>
      <c r="AU512" s="63"/>
      <c r="AV512" s="63"/>
      <c r="AW512" s="63"/>
      <c r="AX512" s="63"/>
      <c r="AY512" s="63"/>
      <c r="AZ512" s="63"/>
      <c r="BA512" s="63"/>
      <c r="BB512" s="63"/>
      <c r="BC512" s="63"/>
      <c r="BD512" s="63"/>
      <c r="BE512" s="63"/>
      <c r="BF512" s="63"/>
      <c r="BG512" s="63"/>
      <c r="BH512" s="63"/>
      <c r="BI512" s="63"/>
      <c r="BJ512" s="63"/>
      <c r="BK512" s="63"/>
      <c r="BL512" s="63"/>
      <c r="BM512" s="63"/>
    </row>
    <row r="513" spans="1:65">
      <c r="A513" s="51" t="str">
        <f>VLOOKUP(Table3[[#This Row],[OU]],OU!$A$15:$B$34,2,FALSE)</f>
        <v>RFOs</v>
      </c>
      <c r="B513" s="47" t="s">
        <v>5</v>
      </c>
      <c r="C513" s="47" t="s">
        <v>574</v>
      </c>
      <c r="D513" s="47" t="s">
        <v>718</v>
      </c>
      <c r="E513" s="47" t="s">
        <v>43</v>
      </c>
      <c r="F513" s="47" t="s">
        <v>675</v>
      </c>
      <c r="G51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4th District</v>
      </c>
      <c r="H51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23115000</v>
      </c>
      <c r="I513" s="52" t="str">
        <f>VLOOKUP(Table3[[#This Row],[PSGC]],DISTRICT!$D:$G,4,FALSE)</f>
        <v>1st</v>
      </c>
      <c r="J513" s="47" t="s">
        <v>578</v>
      </c>
      <c r="K513" s="51" t="str">
        <f>VLOOKUP(Table3[[#This Row],[SPECIFIC COMMODITY]],TAGS!$W$48:$X$53,2,FALSE)</f>
        <v>Corn</v>
      </c>
      <c r="L513" s="51" t="str">
        <f>VLOOKUP(Table3[[#This Row],[PREXC SUB-PROGRAM]],Table5[],2,FALSE)</f>
        <v>AGRICULTURAL  MACHINERY, EQUIPMENT, FACILITIES AND INFRASTRUCTURE PROGRAM</v>
      </c>
      <c r="M513" s="51" t="str">
        <f>VLOOKUP(Table3[[#This Row],[COMMODITY PREXC SUB-PROGRAM]],TAGS!$U$54:$V$76,2,FALSE)</f>
        <v>INS</v>
      </c>
      <c r="N513" s="47" t="s">
        <v>596</v>
      </c>
      <c r="O513" s="54" t="str">
        <f>VLOOKUP(Table3[[#This Row],[PI LEVEL 3]],'PI LEVEL'!A:C,3,FALSE)</f>
        <v>Irrigation machinery distributed</v>
      </c>
      <c r="P513" s="54" t="str">
        <f>VLOOKUP(Table3[[#This Row],[PI LEVEL 3]],Table53729[[Performance Indicator Level 3]:[Performance Indicator Level 1]],2,FALSE)</f>
        <v>Irrigation machinery distributed</v>
      </c>
      <c r="Q513" s="54" t="str">
        <f>VLOOKUP(Table3[[#This Row],[ACTIVITY]],TAGS!B:P,2,FALSE)</f>
        <v>Pump and Engine Set distributed</v>
      </c>
      <c r="R513" s="47" t="s">
        <v>212</v>
      </c>
      <c r="S513" s="51" t="str">
        <f>VLOOKUP(Table3[[#This Row],[ACTIVITY]],TAGS!$B:$P,4,FALSE)</f>
        <v>Small-scale Irrigation Projects</v>
      </c>
      <c r="T513" s="51" t="str">
        <f>VLOOKUP(Table3[[#This Row],[ACTIVITY]],TAGS!$B:$P,5,FALSE)</f>
        <v>Small-scale Irrigation Projects (SSIPs)</v>
      </c>
      <c r="U513" s="51" t="str">
        <f>VLOOKUP(Table3[[#This Row],[ACTIVITY]],TAGS!$B:$P,6,FALSE)</f>
        <v>Mobile Solar-powered Irrigation System</v>
      </c>
      <c r="V513" s="51" t="str">
        <f>VLOOKUP(Table3[[#This Row],[ACTIVITY]],TAGS!$B:$P,7,FALSE)</f>
        <v>YES</v>
      </c>
      <c r="W513" s="51" t="str">
        <f>VLOOKUP(Table3[[#This Row],[ACTIVITY]],TAGS!$B:$P,8,FALSE)</f>
        <v>PAP</v>
      </c>
      <c r="X513" s="51" t="str">
        <f>VLOOKUP(Table3[[#This Row],[ACTIVITY]],TAGS!$B:$P,10,FALSE)</f>
        <v>PIP</v>
      </c>
      <c r="Y513" s="51" t="str">
        <f>VLOOKUP(Table3[[#This Row],[ACTIVITY]],TAGS!$B:$P,11,FALSE)</f>
        <v>PICS</v>
      </c>
      <c r="Z513" s="51" t="str">
        <f>VLOOKUP(Table3[[#This Row],[ACTIVITY]],TAGS!$B:$P,12,FALSE)</f>
        <v>Modernization</v>
      </c>
      <c r="AA513" s="51" t="str">
        <f>VLOOKUP(Table3[[#This Row],[ACTIVITY]],TAGS!$B:$P,13,FALSE)</f>
        <v>8. Farm Mechanization and Farm Investments</v>
      </c>
      <c r="AB513" s="51" t="str">
        <f>VLOOKUP(Table3[[#This Row],[ACTIVITY]],TAGS!$B:$P,14,FALSE)</f>
        <v>EXPAND AND IMPROVE AVAILABLE AGRI-FISHERY AREAS FOR INCREASED PRODUCTION</v>
      </c>
      <c r="AC513" s="51" t="str">
        <f>VLOOKUP(Table3[[#This Row],[ACTIVITY]],TAGS!$B:$P,15,FALSE)</f>
        <v>Irrigation</v>
      </c>
      <c r="AD513" s="51" t="str">
        <f>VLOOKUP(Table3[[#This Row],[PI LEVEL 3]],'PI LEVEL'!$A:$G,7,FALSE)</f>
        <v>DA-Level Output</v>
      </c>
      <c r="AE513" s="47" t="s">
        <v>577</v>
      </c>
      <c r="AF513" s="51" t="str">
        <f>VLOOKUP(Table3[[#This Row],[ACTIVITY]],TAGS!$B:$P,3,FALSE)</f>
        <v>number</v>
      </c>
      <c r="AG513" s="47" t="s">
        <v>337</v>
      </c>
      <c r="AH513" s="51" t="str">
        <f>VLOOKUP(Table3[[#This Row],[MONTH]],TAGS!$W$67:$Y$81,2,FALSE)</f>
        <v>4TH QTR</v>
      </c>
      <c r="AI513" s="51" t="str">
        <f>VLOOKUP(Table3[[#This Row],[MONTH]],TAGS!$W$67:$Y$81,3,FALSE)</f>
        <v>2ND SEMESTER</v>
      </c>
      <c r="AJ513" s="51">
        <f>VLOOKUP(Table3[[#This Row],[MONTH]],TAGS!$W$67:$Z$81,4,FALSE)</f>
        <v>2025</v>
      </c>
      <c r="AK513" s="47">
        <v>1</v>
      </c>
      <c r="AL513" s="51" t="str">
        <f>VLOOKUP(Table3[[#This Row],[ACTIVITY]],TAGS!$B:$R,16,FALSE)</f>
        <v>YES</v>
      </c>
      <c r="AM513" s="47">
        <v>2</v>
      </c>
      <c r="AN513" s="47">
        <v>2000</v>
      </c>
      <c r="AO513" s="57">
        <f>SUM(Table3[[#This Row],[MALE BENEFICIARIES]:[FEMALE BENEFICIARIES]])</f>
        <v>0</v>
      </c>
      <c r="AP513" s="58"/>
      <c r="AQ513" s="58"/>
      <c r="AR513" s="58"/>
      <c r="AS513" s="58">
        <v>1</v>
      </c>
      <c r="AT513" s="59" t="str">
        <f>VLOOKUP(Table3[[#This Row],[ACTIVITY]],TAGS!$B:$R,17,FALSE)</f>
        <v>YES</v>
      </c>
      <c r="AU513" s="59"/>
      <c r="AV513" s="59"/>
      <c r="AW513" s="59"/>
      <c r="AX513" s="59"/>
      <c r="AY513" s="59"/>
      <c r="AZ513" s="59"/>
      <c r="BA513" s="59"/>
      <c r="BB513" s="59"/>
      <c r="BC513" s="59"/>
      <c r="BD513" s="59"/>
      <c r="BE513" s="59"/>
      <c r="BF513" s="59"/>
      <c r="BG513" s="59"/>
      <c r="BH513" s="59"/>
      <c r="BI513" s="59"/>
      <c r="BJ513" s="59"/>
      <c r="BK513" s="59"/>
      <c r="BL513" s="59"/>
      <c r="BM513" s="59"/>
    </row>
    <row r="514" spans="1:65">
      <c r="A514" s="54" t="str">
        <f>VLOOKUP(Table3[[#This Row],[OU]],OU!$A$15:$B$34,2,FALSE)</f>
        <v>RFOs</v>
      </c>
      <c r="B514" s="47" t="s">
        <v>5</v>
      </c>
      <c r="C514" s="47" t="s">
        <v>574</v>
      </c>
      <c r="D514" s="60"/>
      <c r="E514" s="47" t="s">
        <v>43</v>
      </c>
      <c r="F514" s="47" t="s">
        <v>675</v>
      </c>
      <c r="G51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Isabela, 4th District</v>
      </c>
      <c r="H514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23115000</v>
      </c>
      <c r="I514" s="61" t="str">
        <f>VLOOKUP(Table3[[#This Row],[PSGC]],DISTRICT!$D:$G,4,FALSE)</f>
        <v>1st</v>
      </c>
      <c r="J514" s="47" t="s">
        <v>578</v>
      </c>
      <c r="K514" s="51" t="str">
        <f>VLOOKUP(Table3[[#This Row],[SPECIFIC COMMODITY]],TAGS!$W$48:$X$53,2,FALSE)</f>
        <v>Corn</v>
      </c>
      <c r="L514" s="51" t="str">
        <f>VLOOKUP(Table3[[#This Row],[PREXC SUB-PROGRAM]],Table5[],2,FALSE)</f>
        <v>AGRICULTURAL  MACHINERY, EQUIPMENT, FACILITIES AND INFRASTRUCTURE PROGRAM</v>
      </c>
      <c r="M514" s="51" t="str">
        <f>VLOOKUP(Table3[[#This Row],[COMMODITY PREXC SUB-PROGRAM]],TAGS!$U$54:$V$76,2,FALSE)</f>
        <v>INS</v>
      </c>
      <c r="N514" s="47" t="s">
        <v>596</v>
      </c>
      <c r="O514" s="54" t="str">
        <f>VLOOKUP(Table3[[#This Row],[PI LEVEL 3]],'PI LEVEL'!A:C,3,FALSE)</f>
        <v>Service area generated from the establishment and installation of small-scale irrigation projects</v>
      </c>
      <c r="P514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514" s="54" t="str">
        <f>VLOOKUP(Table3[[#This Row],[ACTIVITY]],TAGS!B:P,2,FALSE)</f>
        <v>Service area generated from construction of Solar-powered irrigation system (SPIS)</v>
      </c>
      <c r="R514" s="47" t="s">
        <v>216</v>
      </c>
      <c r="S514" s="54" t="str">
        <f>VLOOKUP(Table3[[#This Row],[ACTIVITY]],TAGS!$B:$P,4,FALSE)</f>
        <v>Service area generated</v>
      </c>
      <c r="T514" s="54" t="str">
        <f>VLOOKUP(Table3[[#This Row],[ACTIVITY]],TAGS!$B:$P,5,FALSE)</f>
        <v>Service area generated</v>
      </c>
      <c r="U514" s="54" t="str">
        <f>VLOOKUP(Table3[[#This Row],[ACTIVITY]],TAGS!$B:$P,6,FALSE)</f>
        <v>Service area generated</v>
      </c>
      <c r="V514" s="54" t="str">
        <f>VLOOKUP(Table3[[#This Row],[ACTIVITY]],TAGS!$B:$P,7,FALSE)</f>
        <v>NO</v>
      </c>
      <c r="W514" s="54" t="str">
        <f>VLOOKUP(Table3[[#This Row],[ACTIVITY]],TAGS!$B:$P,8,FALSE)</f>
        <v>PAP</v>
      </c>
      <c r="X514" s="54" t="str">
        <f>VLOOKUP(Table3[[#This Row],[ACTIVITY]],TAGS!$B:$P,10,FALSE)</f>
        <v>PIP</v>
      </c>
      <c r="Y514" s="54" t="str">
        <f>VLOOKUP(Table3[[#This Row],[ACTIVITY]],TAGS!$B:$P,11,FALSE)</f>
        <v>PICS</v>
      </c>
      <c r="Z514" s="54">
        <f>VLOOKUP(Table3[[#This Row],[ACTIVITY]],TAGS!$B:$P,12,FALSE)</f>
        <v>0</v>
      </c>
      <c r="AA514" s="54">
        <f>VLOOKUP(Table3[[#This Row],[ACTIVITY]],TAGS!$B:$P,13,FALSE)</f>
        <v>0</v>
      </c>
      <c r="AB514" s="54">
        <f>VLOOKUP(Table3[[#This Row],[ACTIVITY]],TAGS!$B:$P,14,FALSE)</f>
        <v>0</v>
      </c>
      <c r="AC514" s="54">
        <f>VLOOKUP(Table3[[#This Row],[ACTIVITY]],TAGS!$B:$P,15,FALSE)</f>
        <v>0</v>
      </c>
      <c r="AD514" s="54" t="str">
        <f>VLOOKUP(Table3[[#This Row],[PI LEVEL 3]],'PI LEVEL'!$A:$G,7,FALSE)</f>
        <v>PREXC/DA-Level Output</v>
      </c>
      <c r="AE514" s="47" t="s">
        <v>577</v>
      </c>
      <c r="AF514" s="54" t="str">
        <f>VLOOKUP(Table3[[#This Row],[ACTIVITY]],TAGS!$B:$P,3,FALSE)</f>
        <v>hectare</v>
      </c>
      <c r="AG514" s="47" t="s">
        <v>337</v>
      </c>
      <c r="AH514" s="54" t="str">
        <f>VLOOKUP(Table3[[#This Row],[MONTH]],TAGS!$W$67:$Y$81,2,FALSE)</f>
        <v>4TH QTR</v>
      </c>
      <c r="AI514" s="54" t="str">
        <f>VLOOKUP(Table3[[#This Row],[MONTH]],TAGS!$W$67:$Y$81,3,FALSE)</f>
        <v>2ND SEMESTER</v>
      </c>
      <c r="AJ514" s="54">
        <f>VLOOKUP(Table3[[#This Row],[MONTH]],TAGS!$W$67:$Z$81,4,FALSE)</f>
        <v>2025</v>
      </c>
      <c r="AK514" s="60">
        <v>2</v>
      </c>
      <c r="AL514" s="54" t="str">
        <f>VLOOKUP(Table3[[#This Row],[ACTIVITY]],TAGS!$B:$R,16,FALSE)</f>
        <v>NO</v>
      </c>
      <c r="AM514" s="60"/>
      <c r="AN514" s="60"/>
      <c r="AO514" s="57">
        <f>SUM(Table3[[#This Row],[MALE BENEFICIARIES]:[FEMALE BENEFICIARIES]])</f>
        <v>0</v>
      </c>
      <c r="AP514" s="62"/>
      <c r="AQ514" s="62"/>
      <c r="AR514" s="62"/>
      <c r="AS514" s="62"/>
      <c r="AT514" s="63" t="str">
        <f>VLOOKUP(Table3[[#This Row],[ACTIVITY]],TAGS!$B:$R,17,FALSE)</f>
        <v>NO</v>
      </c>
      <c r="AU514" s="63"/>
      <c r="AV514" s="63"/>
      <c r="AW514" s="63"/>
      <c r="AX514" s="63"/>
      <c r="AY514" s="63"/>
      <c r="AZ514" s="63"/>
      <c r="BA514" s="63"/>
      <c r="BB514" s="63"/>
      <c r="BC514" s="63"/>
      <c r="BD514" s="63"/>
      <c r="BE514" s="63"/>
      <c r="BF514" s="63"/>
      <c r="BG514" s="63"/>
      <c r="BH514" s="63"/>
      <c r="BI514" s="63"/>
      <c r="BJ514" s="63"/>
      <c r="BK514" s="63"/>
      <c r="BL514" s="63"/>
      <c r="BM514" s="63"/>
    </row>
    <row r="515" spans="1:65">
      <c r="A515" s="51" t="str">
        <f>VLOOKUP(Table3[[#This Row],[OU]],OU!$A$15:$B$34,2,FALSE)</f>
        <v>RFOs</v>
      </c>
      <c r="B515" s="47" t="s">
        <v>5</v>
      </c>
      <c r="C515" s="47" t="s">
        <v>574</v>
      </c>
      <c r="D515" s="47" t="s">
        <v>713</v>
      </c>
      <c r="E515" s="47" t="s">
        <v>70</v>
      </c>
      <c r="F515" s="47" t="s">
        <v>634</v>
      </c>
      <c r="G51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51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25701000</v>
      </c>
      <c r="I515" s="52" t="str">
        <f>VLOOKUP(Table3[[#This Row],[PSGC]],DISTRICT!$D:$G,4,FALSE)</f>
        <v>3rd</v>
      </c>
      <c r="J515" s="47" t="s">
        <v>578</v>
      </c>
      <c r="K515" s="51" t="str">
        <f>VLOOKUP(Table3[[#This Row],[SPECIFIC COMMODITY]],TAGS!$W$48:$X$53,2,FALSE)</f>
        <v>Corn</v>
      </c>
      <c r="L515" s="51" t="str">
        <f>VLOOKUP(Table3[[#This Row],[PREXC SUB-PROGRAM]],Table5[],2,FALSE)</f>
        <v>AGRICULTURAL  MACHINERY, EQUIPMENT, FACILITIES AND INFRASTRUCTURE PROGRAM</v>
      </c>
      <c r="M515" s="51" t="str">
        <f>VLOOKUP(Table3[[#This Row],[COMMODITY PREXC SUB-PROGRAM]],TAGS!$U$54:$V$76,2,FALSE)</f>
        <v>INS</v>
      </c>
      <c r="N515" s="47" t="s">
        <v>596</v>
      </c>
      <c r="O515" s="54" t="str">
        <f>VLOOKUP(Table3[[#This Row],[PI LEVEL 3]],'PI LEVEL'!A:C,3,FALSE)</f>
        <v>Irrigation machinery distributed</v>
      </c>
      <c r="P515" s="54" t="str">
        <f>VLOOKUP(Table3[[#This Row],[PI LEVEL 3]],Table53729[[Performance Indicator Level 3]:[Performance Indicator Level 1]],2,FALSE)</f>
        <v>Irrigation machinery distributed</v>
      </c>
      <c r="Q515" s="54" t="str">
        <f>VLOOKUP(Table3[[#This Row],[ACTIVITY]],TAGS!B:P,2,FALSE)</f>
        <v>Pump and Engine Set distributed</v>
      </c>
      <c r="R515" s="47" t="s">
        <v>212</v>
      </c>
      <c r="S515" s="51" t="str">
        <f>VLOOKUP(Table3[[#This Row],[ACTIVITY]],TAGS!$B:$P,4,FALSE)</f>
        <v>Small-scale Irrigation Projects</v>
      </c>
      <c r="T515" s="51" t="str">
        <f>VLOOKUP(Table3[[#This Row],[ACTIVITY]],TAGS!$B:$P,5,FALSE)</f>
        <v>Small-scale Irrigation Projects (SSIPs)</v>
      </c>
      <c r="U515" s="51" t="str">
        <f>VLOOKUP(Table3[[#This Row],[ACTIVITY]],TAGS!$B:$P,6,FALSE)</f>
        <v>Mobile Solar-powered Irrigation System</v>
      </c>
      <c r="V515" s="51" t="str">
        <f>VLOOKUP(Table3[[#This Row],[ACTIVITY]],TAGS!$B:$P,7,FALSE)</f>
        <v>YES</v>
      </c>
      <c r="W515" s="51" t="str">
        <f>VLOOKUP(Table3[[#This Row],[ACTIVITY]],TAGS!$B:$P,8,FALSE)</f>
        <v>PAP</v>
      </c>
      <c r="X515" s="51" t="str">
        <f>VLOOKUP(Table3[[#This Row],[ACTIVITY]],TAGS!$B:$P,10,FALSE)</f>
        <v>PIP</v>
      </c>
      <c r="Y515" s="51" t="str">
        <f>VLOOKUP(Table3[[#This Row],[ACTIVITY]],TAGS!$B:$P,11,FALSE)</f>
        <v>PICS</v>
      </c>
      <c r="Z515" s="51" t="str">
        <f>VLOOKUP(Table3[[#This Row],[ACTIVITY]],TAGS!$B:$P,12,FALSE)</f>
        <v>Modernization</v>
      </c>
      <c r="AA515" s="51" t="str">
        <f>VLOOKUP(Table3[[#This Row],[ACTIVITY]],TAGS!$B:$P,13,FALSE)</f>
        <v>8. Farm Mechanization and Farm Investments</v>
      </c>
      <c r="AB515" s="51" t="str">
        <f>VLOOKUP(Table3[[#This Row],[ACTIVITY]],TAGS!$B:$P,14,FALSE)</f>
        <v>EXPAND AND IMPROVE AVAILABLE AGRI-FISHERY AREAS FOR INCREASED PRODUCTION</v>
      </c>
      <c r="AC515" s="51" t="str">
        <f>VLOOKUP(Table3[[#This Row],[ACTIVITY]],TAGS!$B:$P,15,FALSE)</f>
        <v>Irrigation</v>
      </c>
      <c r="AD515" s="51" t="str">
        <f>VLOOKUP(Table3[[#This Row],[PI LEVEL 3]],'PI LEVEL'!$A:$G,7,FALSE)</f>
        <v>DA-Level Output</v>
      </c>
      <c r="AE515" s="47" t="s">
        <v>577</v>
      </c>
      <c r="AF515" s="51" t="str">
        <f>VLOOKUP(Table3[[#This Row],[ACTIVITY]],TAGS!$B:$P,3,FALSE)</f>
        <v>number</v>
      </c>
      <c r="AG515" s="47" t="s">
        <v>337</v>
      </c>
      <c r="AH515" s="51" t="str">
        <f>VLOOKUP(Table3[[#This Row],[MONTH]],TAGS!$W$67:$Y$81,2,FALSE)</f>
        <v>4TH QTR</v>
      </c>
      <c r="AI515" s="51" t="str">
        <f>VLOOKUP(Table3[[#This Row],[MONTH]],TAGS!$W$67:$Y$81,3,FALSE)</f>
        <v>2ND SEMESTER</v>
      </c>
      <c r="AJ515" s="51">
        <f>VLOOKUP(Table3[[#This Row],[MONTH]],TAGS!$W$67:$Z$81,4,FALSE)</f>
        <v>2025</v>
      </c>
      <c r="AK515" s="47">
        <v>1</v>
      </c>
      <c r="AL515" s="51" t="str">
        <f>VLOOKUP(Table3[[#This Row],[ACTIVITY]],TAGS!$B:$R,16,FALSE)</f>
        <v>YES</v>
      </c>
      <c r="AM515" s="47">
        <v>2</v>
      </c>
      <c r="AN515" s="47">
        <v>2000</v>
      </c>
      <c r="AO515" s="57">
        <f>SUM(Table3[[#This Row],[MALE BENEFICIARIES]:[FEMALE BENEFICIARIES]])</f>
        <v>0</v>
      </c>
      <c r="AP515" s="58"/>
      <c r="AQ515" s="58"/>
      <c r="AR515" s="58"/>
      <c r="AS515" s="58">
        <v>1</v>
      </c>
      <c r="AT515" s="59" t="str">
        <f>VLOOKUP(Table3[[#This Row],[ACTIVITY]],TAGS!$B:$R,17,FALSE)</f>
        <v>YES</v>
      </c>
      <c r="AU515" s="59"/>
      <c r="AV515" s="59"/>
      <c r="AW515" s="59"/>
      <c r="AX515" s="59"/>
      <c r="AY515" s="59"/>
      <c r="AZ515" s="59"/>
      <c r="BA515" s="59"/>
      <c r="BB515" s="59"/>
      <c r="BC515" s="59"/>
      <c r="BD515" s="59"/>
      <c r="BE515" s="59"/>
      <c r="BF515" s="59"/>
      <c r="BG515" s="59"/>
      <c r="BH515" s="59"/>
      <c r="BI515" s="59"/>
      <c r="BJ515" s="59"/>
      <c r="BK515" s="59"/>
      <c r="BL515" s="59"/>
      <c r="BM515" s="59"/>
    </row>
    <row r="516" spans="1:65">
      <c r="A516" s="54" t="str">
        <f>VLOOKUP(Table3[[#This Row],[OU]],OU!$A$15:$B$34,2,FALSE)</f>
        <v>RFOs</v>
      </c>
      <c r="B516" s="47" t="s">
        <v>5</v>
      </c>
      <c r="C516" s="47" t="s">
        <v>574</v>
      </c>
      <c r="D516" s="60"/>
      <c r="E516" s="47" t="s">
        <v>70</v>
      </c>
      <c r="F516" s="47" t="s">
        <v>634</v>
      </c>
      <c r="G51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Quirino, 1st District</v>
      </c>
      <c r="H516" s="61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25701000</v>
      </c>
      <c r="I516" s="61" t="str">
        <f>VLOOKUP(Table3[[#This Row],[PSGC]],DISTRICT!$D:$G,4,FALSE)</f>
        <v>3rd</v>
      </c>
      <c r="J516" s="47" t="s">
        <v>578</v>
      </c>
      <c r="K516" s="51" t="str">
        <f>VLOOKUP(Table3[[#This Row],[SPECIFIC COMMODITY]],TAGS!$W$48:$X$53,2,FALSE)</f>
        <v>Corn</v>
      </c>
      <c r="L516" s="51" t="str">
        <f>VLOOKUP(Table3[[#This Row],[PREXC SUB-PROGRAM]],Table5[],2,FALSE)</f>
        <v>AGRICULTURAL  MACHINERY, EQUIPMENT, FACILITIES AND INFRASTRUCTURE PROGRAM</v>
      </c>
      <c r="M516" s="51" t="str">
        <f>VLOOKUP(Table3[[#This Row],[COMMODITY PREXC SUB-PROGRAM]],TAGS!$U$54:$V$76,2,FALSE)</f>
        <v>INS</v>
      </c>
      <c r="N516" s="47" t="s">
        <v>596</v>
      </c>
      <c r="O516" s="54" t="str">
        <f>VLOOKUP(Table3[[#This Row],[PI LEVEL 3]],'PI LEVEL'!A:C,3,FALSE)</f>
        <v>Service area generated from the establishment and installation of small-scale irrigation projects</v>
      </c>
      <c r="P516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516" s="54" t="str">
        <f>VLOOKUP(Table3[[#This Row],[ACTIVITY]],TAGS!B:P,2,FALSE)</f>
        <v>Service area generated from construction of Solar-powered irrigation system (SPIS)</v>
      </c>
      <c r="R516" s="47" t="s">
        <v>216</v>
      </c>
      <c r="S516" s="54" t="str">
        <f>VLOOKUP(Table3[[#This Row],[ACTIVITY]],TAGS!$B:$P,4,FALSE)</f>
        <v>Service area generated</v>
      </c>
      <c r="T516" s="54" t="str">
        <f>VLOOKUP(Table3[[#This Row],[ACTIVITY]],TAGS!$B:$P,5,FALSE)</f>
        <v>Service area generated</v>
      </c>
      <c r="U516" s="54" t="str">
        <f>VLOOKUP(Table3[[#This Row],[ACTIVITY]],TAGS!$B:$P,6,FALSE)</f>
        <v>Service area generated</v>
      </c>
      <c r="V516" s="54" t="str">
        <f>VLOOKUP(Table3[[#This Row],[ACTIVITY]],TAGS!$B:$P,7,FALSE)</f>
        <v>NO</v>
      </c>
      <c r="W516" s="54" t="str">
        <f>VLOOKUP(Table3[[#This Row],[ACTIVITY]],TAGS!$B:$P,8,FALSE)</f>
        <v>PAP</v>
      </c>
      <c r="X516" s="54" t="str">
        <f>VLOOKUP(Table3[[#This Row],[ACTIVITY]],TAGS!$B:$P,10,FALSE)</f>
        <v>PIP</v>
      </c>
      <c r="Y516" s="54" t="str">
        <f>VLOOKUP(Table3[[#This Row],[ACTIVITY]],TAGS!$B:$P,11,FALSE)</f>
        <v>PICS</v>
      </c>
      <c r="Z516" s="54">
        <f>VLOOKUP(Table3[[#This Row],[ACTIVITY]],TAGS!$B:$P,12,FALSE)</f>
        <v>0</v>
      </c>
      <c r="AA516" s="54">
        <f>VLOOKUP(Table3[[#This Row],[ACTIVITY]],TAGS!$B:$P,13,FALSE)</f>
        <v>0</v>
      </c>
      <c r="AB516" s="54">
        <f>VLOOKUP(Table3[[#This Row],[ACTIVITY]],TAGS!$B:$P,14,FALSE)</f>
        <v>0</v>
      </c>
      <c r="AC516" s="54">
        <f>VLOOKUP(Table3[[#This Row],[ACTIVITY]],TAGS!$B:$P,15,FALSE)</f>
        <v>0</v>
      </c>
      <c r="AD516" s="54" t="str">
        <f>VLOOKUP(Table3[[#This Row],[PI LEVEL 3]],'PI LEVEL'!$A:$G,7,FALSE)</f>
        <v>PREXC/DA-Level Output</v>
      </c>
      <c r="AE516" s="47" t="s">
        <v>577</v>
      </c>
      <c r="AF516" s="54" t="str">
        <f>VLOOKUP(Table3[[#This Row],[ACTIVITY]],TAGS!$B:$P,3,FALSE)</f>
        <v>hectare</v>
      </c>
      <c r="AG516" s="47" t="s">
        <v>337</v>
      </c>
      <c r="AH516" s="54" t="str">
        <f>VLOOKUP(Table3[[#This Row],[MONTH]],TAGS!$W$67:$Y$81,2,FALSE)</f>
        <v>4TH QTR</v>
      </c>
      <c r="AI516" s="54" t="str">
        <f>VLOOKUP(Table3[[#This Row],[MONTH]],TAGS!$W$67:$Y$81,3,FALSE)</f>
        <v>2ND SEMESTER</v>
      </c>
      <c r="AJ516" s="54">
        <f>VLOOKUP(Table3[[#This Row],[MONTH]],TAGS!$W$67:$Z$81,4,FALSE)</f>
        <v>2025</v>
      </c>
      <c r="AK516" s="60">
        <v>2</v>
      </c>
      <c r="AL516" s="54" t="str">
        <f>VLOOKUP(Table3[[#This Row],[ACTIVITY]],TAGS!$B:$R,16,FALSE)</f>
        <v>NO</v>
      </c>
      <c r="AM516" s="60"/>
      <c r="AN516" s="60"/>
      <c r="AO516" s="57">
        <f>SUM(Table3[[#This Row],[MALE BENEFICIARIES]:[FEMALE BENEFICIARIES]])</f>
        <v>0</v>
      </c>
      <c r="AP516" s="62"/>
      <c r="AQ516" s="62"/>
      <c r="AR516" s="62"/>
      <c r="AS516" s="62"/>
      <c r="AT516" s="63" t="str">
        <f>VLOOKUP(Table3[[#This Row],[ACTIVITY]],TAGS!$B:$R,17,FALSE)</f>
        <v>NO</v>
      </c>
      <c r="AU516" s="63"/>
      <c r="AV516" s="63"/>
      <c r="AW516" s="63"/>
      <c r="AX516" s="63"/>
      <c r="AY516" s="63"/>
      <c r="AZ516" s="63"/>
      <c r="BA516" s="63"/>
      <c r="BB516" s="63"/>
      <c r="BC516" s="63"/>
      <c r="BD516" s="63"/>
      <c r="BE516" s="63"/>
      <c r="BF516" s="63"/>
      <c r="BG516" s="63"/>
      <c r="BH516" s="63"/>
      <c r="BI516" s="63"/>
      <c r="BJ516" s="63"/>
      <c r="BK516" s="63"/>
      <c r="BL516" s="63"/>
      <c r="BM516" s="63"/>
    </row>
    <row r="517" spans="1:65">
      <c r="A517" s="51" t="str">
        <f>VLOOKUP(Table3[[#This Row],[OU]],OU!$A$15:$B$34,2,FALSE)</f>
        <v>RFOs</v>
      </c>
      <c r="B517" s="47" t="s">
        <v>5</v>
      </c>
      <c r="C517" s="47" t="s">
        <v>574</v>
      </c>
      <c r="D517" s="47"/>
      <c r="E517" s="47" t="s">
        <v>78</v>
      </c>
      <c r="F517" s="47" t="s">
        <v>77</v>
      </c>
      <c r="G51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1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17" s="52" t="e">
        <f>VLOOKUP(Table3[[#This Row],[PSGC]],DISTRICT!$D:$G,4,FALSE)</f>
        <v>#N/A</v>
      </c>
      <c r="J517" s="47" t="s">
        <v>585</v>
      </c>
      <c r="K517" s="51" t="str">
        <f>VLOOKUP(Table3[[#This Row],[SPECIFIC COMMODITY]],TAGS!$W$48:$X$53,2,FALSE)</f>
        <v>Multi_commodity</v>
      </c>
      <c r="L517" s="51" t="str">
        <f>VLOOKUP(Table3[[#This Row],[PREXC SUB-PROGRAM]],Table5[],2,FALSE)</f>
        <v>FIELD PROGRAMS MANAGEMENT ACTIVITIES</v>
      </c>
      <c r="M517" s="51" t="str">
        <f>VLOOKUP(Table3[[#This Row],[COMMODITY PREXC SUB-PROGRAM]],TAGS!$U$54:$V$76,2,FALSE)</f>
        <v>FPMA</v>
      </c>
      <c r="N517" s="47" t="s">
        <v>597</v>
      </c>
      <c r="O517" s="54" t="str">
        <f>VLOOKUP(Table3[[#This Row],[PI LEVEL 3]],'PI LEVEL'!A:C,3,FALSE)</f>
        <v>National/Regional Field Monitoring conducted</v>
      </c>
      <c r="P517" s="54" t="str">
        <f>VLOOKUP(Table3[[#This Row],[PI LEVEL 3]],Table53729[[Performance Indicator Level 3]:[Performance Indicator Level 1]],2,FALSE)</f>
        <v>National/Regional Field Monitoring conducted</v>
      </c>
      <c r="Q517" s="54" t="str">
        <f>VLOOKUP(Table3[[#This Row],[ACTIVITY]],TAGS!B:P,2,FALSE)</f>
        <v>National/Regional Field Monitoring conducted</v>
      </c>
      <c r="R517" s="47" t="s">
        <v>227</v>
      </c>
      <c r="S517" s="51" t="str">
        <f>VLOOKUP(Table3[[#This Row],[ACTIVITY]],TAGS!$B:$P,4,FALSE)</f>
        <v>FPMA</v>
      </c>
      <c r="T517" s="51" t="str">
        <f>VLOOKUP(Table3[[#This Row],[ACTIVITY]],TAGS!$B:$P,5,FALSE)</f>
        <v>FPMA</v>
      </c>
      <c r="U517" s="51" t="str">
        <f>VLOOKUP(Table3[[#This Row],[ACTIVITY]],TAGS!$B:$P,6,FALSE)</f>
        <v>Salary (Staff)</v>
      </c>
      <c r="V517" s="51" t="str">
        <f>VLOOKUP(Table3[[#This Row],[ACTIVITY]],TAGS!$B:$P,7,FALSE)</f>
        <v>NO</v>
      </c>
      <c r="W517" s="51" t="str">
        <f>VLOOKUP(Table3[[#This Row],[ACTIVITY]],TAGS!$B:$P,8,FALSE)</f>
        <v>Overhead</v>
      </c>
      <c r="X517" s="51" t="str">
        <f>VLOOKUP(Table3[[#This Row],[ACTIVITY]],TAGS!$B:$P,10,FALSE)</f>
        <v>NON-PIP</v>
      </c>
      <c r="Y517" s="51" t="str">
        <f>VLOOKUP(Table3[[#This Row],[ACTIVITY]],TAGS!$B:$P,11,FALSE)</f>
        <v>NON-PICS</v>
      </c>
      <c r="Z517" s="51">
        <f>VLOOKUP(Table3[[#This Row],[ACTIVITY]],TAGS!$B:$P,12,FALSE)</f>
        <v>0</v>
      </c>
      <c r="AA517" s="51">
        <f>VLOOKUP(Table3[[#This Row],[ACTIVITY]],TAGS!$B:$P,13,FALSE)</f>
        <v>0</v>
      </c>
      <c r="AB517" s="51">
        <f>VLOOKUP(Table3[[#This Row],[ACTIVITY]],TAGS!$B:$P,14,FALSE)</f>
        <v>0</v>
      </c>
      <c r="AC517" s="51" t="str">
        <f>VLOOKUP(Table3[[#This Row],[ACTIVITY]],TAGS!$B:$P,15,FALSE)</f>
        <v>Existing</v>
      </c>
      <c r="AD517" s="51">
        <f>VLOOKUP(Table3[[#This Row],[PI LEVEL 3]],'PI LEVEL'!$A:$G,7,FALSE)</f>
        <v>0</v>
      </c>
      <c r="AE517" s="47" t="s">
        <v>577</v>
      </c>
      <c r="AF517" s="51" t="str">
        <f>VLOOKUP(Table3[[#This Row],[ACTIVITY]],TAGS!$B:$P,3,FALSE)</f>
        <v>number</v>
      </c>
      <c r="AG517" s="47" t="s">
        <v>327</v>
      </c>
      <c r="AH517" s="51" t="str">
        <f>VLOOKUP(Table3[[#This Row],[MONTH]],TAGS!$W$67:$Y$81,2,FALSE)</f>
        <v>1ST QTR</v>
      </c>
      <c r="AI517" s="51" t="str">
        <f>VLOOKUP(Table3[[#This Row],[MONTH]],TAGS!$W$67:$Y$81,3,FALSE)</f>
        <v>1ST SEMESTER</v>
      </c>
      <c r="AJ517" s="51">
        <f>VLOOKUP(Table3[[#This Row],[MONTH]],TAGS!$W$67:$Z$81,4,FALSE)</f>
        <v>2025</v>
      </c>
      <c r="AK517" s="47">
        <v>60</v>
      </c>
      <c r="AL517" s="51" t="str">
        <f>VLOOKUP(Table3[[#This Row],[ACTIVITY]],TAGS!$B:$R,16,FALSE)</f>
        <v>NO</v>
      </c>
      <c r="AM517" s="47"/>
      <c r="AN517" s="47">
        <v>1250</v>
      </c>
      <c r="AO517" s="57">
        <f>SUM(Table3[[#This Row],[MALE BENEFICIARIES]:[FEMALE BENEFICIARIES]])</f>
        <v>0</v>
      </c>
      <c r="AP517" s="58"/>
      <c r="AQ517" s="58"/>
      <c r="AR517" s="58"/>
      <c r="AS517" s="58"/>
      <c r="AT517" s="59">
        <f>VLOOKUP(Table3[[#This Row],[ACTIVITY]],TAGS!$B:$R,17,FALSE)</f>
        <v>0</v>
      </c>
      <c r="AU517" s="59"/>
      <c r="AV517" s="59"/>
      <c r="AW517" s="59"/>
      <c r="AX517" s="59"/>
      <c r="AY517" s="59"/>
      <c r="AZ517" s="59"/>
      <c r="BA517" s="59"/>
      <c r="BB517" s="59"/>
      <c r="BC517" s="59"/>
      <c r="BD517" s="59"/>
      <c r="BE517" s="59"/>
      <c r="BF517" s="59"/>
      <c r="BG517" s="59"/>
      <c r="BH517" s="59"/>
      <c r="BI517" s="59"/>
      <c r="BJ517" s="59"/>
      <c r="BK517" s="59"/>
      <c r="BL517" s="59"/>
      <c r="BM517" s="59"/>
    </row>
    <row r="518" spans="1:65">
      <c r="A518" s="51" t="str">
        <f>VLOOKUP(Table3[[#This Row],[OU]],OU!$A$15:$B$34,2,FALSE)</f>
        <v>RFOs</v>
      </c>
      <c r="B518" s="47" t="s">
        <v>5</v>
      </c>
      <c r="C518" s="47" t="s">
        <v>574</v>
      </c>
      <c r="D518" s="47"/>
      <c r="E518" s="47" t="s">
        <v>78</v>
      </c>
      <c r="F518" s="47" t="s">
        <v>77</v>
      </c>
      <c r="G51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1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18" s="52" t="e">
        <f>VLOOKUP(Table3[[#This Row],[PSGC]],DISTRICT!$D:$G,4,FALSE)</f>
        <v>#N/A</v>
      </c>
      <c r="J518" s="47" t="s">
        <v>585</v>
      </c>
      <c r="K518" s="51" t="str">
        <f>VLOOKUP(Table3[[#This Row],[SPECIFIC COMMODITY]],TAGS!$W$48:$X$53,2,FALSE)</f>
        <v>Multi_commodity</v>
      </c>
      <c r="L518" s="51" t="str">
        <f>VLOOKUP(Table3[[#This Row],[PREXC SUB-PROGRAM]],Table5[],2,FALSE)</f>
        <v>FIELD PROGRAMS MANAGEMENT ACTIVITIES</v>
      </c>
      <c r="M518" s="51" t="str">
        <f>VLOOKUP(Table3[[#This Row],[COMMODITY PREXC SUB-PROGRAM]],TAGS!$U$54:$V$76,2,FALSE)</f>
        <v>FPMA</v>
      </c>
      <c r="N518" s="47" t="s">
        <v>597</v>
      </c>
      <c r="O518" s="54" t="str">
        <f>VLOOKUP(Table3[[#This Row],[PI LEVEL 3]],'PI LEVEL'!A:C,3,FALSE)</f>
        <v>National/Regional Field Monitoring conducted</v>
      </c>
      <c r="P518" s="54" t="str">
        <f>VLOOKUP(Table3[[#This Row],[PI LEVEL 3]],Table53729[[Performance Indicator Level 3]:[Performance Indicator Level 1]],2,FALSE)</f>
        <v>National/Regional Field Monitoring conducted</v>
      </c>
      <c r="Q518" s="54" t="str">
        <f>VLOOKUP(Table3[[#This Row],[ACTIVITY]],TAGS!B:P,2,FALSE)</f>
        <v>National/Regional Field Monitoring conducted</v>
      </c>
      <c r="R518" s="47" t="s">
        <v>227</v>
      </c>
      <c r="S518" s="51" t="str">
        <f>VLOOKUP(Table3[[#This Row],[ACTIVITY]],TAGS!$B:$P,4,FALSE)</f>
        <v>FPMA</v>
      </c>
      <c r="T518" s="51" t="str">
        <f>VLOOKUP(Table3[[#This Row],[ACTIVITY]],TAGS!$B:$P,5,FALSE)</f>
        <v>FPMA</v>
      </c>
      <c r="U518" s="51" t="str">
        <f>VLOOKUP(Table3[[#This Row],[ACTIVITY]],TAGS!$B:$P,6,FALSE)</f>
        <v>Salary (Staff)</v>
      </c>
      <c r="V518" s="51" t="str">
        <f>VLOOKUP(Table3[[#This Row],[ACTIVITY]],TAGS!$B:$P,7,FALSE)</f>
        <v>NO</v>
      </c>
      <c r="W518" s="51" t="str">
        <f>VLOOKUP(Table3[[#This Row],[ACTIVITY]],TAGS!$B:$P,8,FALSE)</f>
        <v>Overhead</v>
      </c>
      <c r="X518" s="51" t="str">
        <f>VLOOKUP(Table3[[#This Row],[ACTIVITY]],TAGS!$B:$P,10,FALSE)</f>
        <v>NON-PIP</v>
      </c>
      <c r="Y518" s="51" t="str">
        <f>VLOOKUP(Table3[[#This Row],[ACTIVITY]],TAGS!$B:$P,11,FALSE)</f>
        <v>NON-PICS</v>
      </c>
      <c r="Z518" s="51">
        <f>VLOOKUP(Table3[[#This Row],[ACTIVITY]],TAGS!$B:$P,12,FALSE)</f>
        <v>0</v>
      </c>
      <c r="AA518" s="51">
        <f>VLOOKUP(Table3[[#This Row],[ACTIVITY]],TAGS!$B:$P,13,FALSE)</f>
        <v>0</v>
      </c>
      <c r="AB518" s="51">
        <f>VLOOKUP(Table3[[#This Row],[ACTIVITY]],TAGS!$B:$P,14,FALSE)</f>
        <v>0</v>
      </c>
      <c r="AC518" s="51" t="str">
        <f>VLOOKUP(Table3[[#This Row],[ACTIVITY]],TAGS!$B:$P,15,FALSE)</f>
        <v>Existing</v>
      </c>
      <c r="AD518" s="51">
        <f>VLOOKUP(Table3[[#This Row],[PI LEVEL 3]],'PI LEVEL'!$A:$G,7,FALSE)</f>
        <v>0</v>
      </c>
      <c r="AE518" s="47" t="s">
        <v>577</v>
      </c>
      <c r="AF518" s="51" t="str">
        <f>VLOOKUP(Table3[[#This Row],[ACTIVITY]],TAGS!$B:$P,3,FALSE)</f>
        <v>number</v>
      </c>
      <c r="AG518" s="47" t="s">
        <v>328</v>
      </c>
      <c r="AH518" s="51" t="str">
        <f>VLOOKUP(Table3[[#This Row],[MONTH]],TAGS!$W$67:$Y$81,2,FALSE)</f>
        <v>1ST QTR</v>
      </c>
      <c r="AI518" s="51" t="str">
        <f>VLOOKUP(Table3[[#This Row],[MONTH]],TAGS!$W$67:$Y$81,3,FALSE)</f>
        <v>1ST SEMESTER</v>
      </c>
      <c r="AJ518" s="51">
        <f>VLOOKUP(Table3[[#This Row],[MONTH]],TAGS!$W$67:$Z$81,4,FALSE)</f>
        <v>2025</v>
      </c>
      <c r="AK518" s="47">
        <v>60</v>
      </c>
      <c r="AL518" s="51" t="str">
        <f>VLOOKUP(Table3[[#This Row],[ACTIVITY]],TAGS!$B:$R,16,FALSE)</f>
        <v>NO</v>
      </c>
      <c r="AM518" s="47"/>
      <c r="AN518" s="47">
        <v>1250</v>
      </c>
      <c r="AO518" s="57">
        <f>SUM(Table3[[#This Row],[MALE BENEFICIARIES]:[FEMALE BENEFICIARIES]])</f>
        <v>0</v>
      </c>
      <c r="AP518" s="58"/>
      <c r="AQ518" s="58"/>
      <c r="AR518" s="58"/>
      <c r="AS518" s="58"/>
      <c r="AT518" s="59">
        <f>VLOOKUP(Table3[[#This Row],[ACTIVITY]],TAGS!$B:$R,17,FALSE)</f>
        <v>0</v>
      </c>
      <c r="AU518" s="59"/>
      <c r="AV518" s="59"/>
      <c r="AW518" s="59"/>
      <c r="AX518" s="59"/>
      <c r="AY518" s="59"/>
      <c r="AZ518" s="59"/>
      <c r="BA518" s="59"/>
      <c r="BB518" s="59"/>
      <c r="BC518" s="59"/>
      <c r="BD518" s="59"/>
      <c r="BE518" s="59"/>
      <c r="BF518" s="59"/>
      <c r="BG518" s="59"/>
      <c r="BH518" s="59"/>
      <c r="BI518" s="59"/>
      <c r="BJ518" s="59"/>
      <c r="BK518" s="59"/>
      <c r="BL518" s="59"/>
      <c r="BM518" s="59"/>
    </row>
    <row r="519" spans="1:65">
      <c r="A519" s="51" t="str">
        <f>VLOOKUP(Table3[[#This Row],[OU]],OU!$A$15:$B$34,2,FALSE)</f>
        <v>RFOs</v>
      </c>
      <c r="B519" s="47" t="s">
        <v>5</v>
      </c>
      <c r="C519" s="47" t="s">
        <v>574</v>
      </c>
      <c r="D519" s="47"/>
      <c r="E519" s="47" t="s">
        <v>78</v>
      </c>
      <c r="F519" s="47" t="s">
        <v>77</v>
      </c>
      <c r="G51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1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19" s="52" t="e">
        <f>VLOOKUP(Table3[[#This Row],[PSGC]],DISTRICT!$D:$G,4,FALSE)</f>
        <v>#N/A</v>
      </c>
      <c r="J519" s="47" t="s">
        <v>585</v>
      </c>
      <c r="K519" s="51" t="str">
        <f>VLOOKUP(Table3[[#This Row],[SPECIFIC COMMODITY]],TAGS!$W$48:$X$53,2,FALSE)</f>
        <v>Multi_commodity</v>
      </c>
      <c r="L519" s="51" t="str">
        <f>VLOOKUP(Table3[[#This Row],[PREXC SUB-PROGRAM]],Table5[],2,FALSE)</f>
        <v>FIELD PROGRAMS MANAGEMENT ACTIVITIES</v>
      </c>
      <c r="M519" s="51" t="str">
        <f>VLOOKUP(Table3[[#This Row],[COMMODITY PREXC SUB-PROGRAM]],TAGS!$U$54:$V$76,2,FALSE)</f>
        <v>FPMA</v>
      </c>
      <c r="N519" s="47" t="s">
        <v>597</v>
      </c>
      <c r="O519" s="54" t="str">
        <f>VLOOKUP(Table3[[#This Row],[PI LEVEL 3]],'PI LEVEL'!A:C,3,FALSE)</f>
        <v>National/Regional Field Monitoring conducted</v>
      </c>
      <c r="P519" s="54" t="str">
        <f>VLOOKUP(Table3[[#This Row],[PI LEVEL 3]],Table53729[[Performance Indicator Level 3]:[Performance Indicator Level 1]],2,FALSE)</f>
        <v>National/Regional Field Monitoring conducted</v>
      </c>
      <c r="Q519" s="54" t="str">
        <f>VLOOKUP(Table3[[#This Row],[ACTIVITY]],TAGS!B:P,2,FALSE)</f>
        <v>National/Regional Field Monitoring conducted</v>
      </c>
      <c r="R519" s="47" t="s">
        <v>227</v>
      </c>
      <c r="S519" s="51" t="str">
        <f>VLOOKUP(Table3[[#This Row],[ACTIVITY]],TAGS!$B:$P,4,FALSE)</f>
        <v>FPMA</v>
      </c>
      <c r="T519" s="51" t="str">
        <f>VLOOKUP(Table3[[#This Row],[ACTIVITY]],TAGS!$B:$P,5,FALSE)</f>
        <v>FPMA</v>
      </c>
      <c r="U519" s="51" t="str">
        <f>VLOOKUP(Table3[[#This Row],[ACTIVITY]],TAGS!$B:$P,6,FALSE)</f>
        <v>Salary (Staff)</v>
      </c>
      <c r="V519" s="51" t="str">
        <f>VLOOKUP(Table3[[#This Row],[ACTIVITY]],TAGS!$B:$P,7,FALSE)</f>
        <v>NO</v>
      </c>
      <c r="W519" s="51" t="str">
        <f>VLOOKUP(Table3[[#This Row],[ACTIVITY]],TAGS!$B:$P,8,FALSE)</f>
        <v>Overhead</v>
      </c>
      <c r="X519" s="51" t="str">
        <f>VLOOKUP(Table3[[#This Row],[ACTIVITY]],TAGS!$B:$P,10,FALSE)</f>
        <v>NON-PIP</v>
      </c>
      <c r="Y519" s="51" t="str">
        <f>VLOOKUP(Table3[[#This Row],[ACTIVITY]],TAGS!$B:$P,11,FALSE)</f>
        <v>NON-PICS</v>
      </c>
      <c r="Z519" s="51">
        <f>VLOOKUP(Table3[[#This Row],[ACTIVITY]],TAGS!$B:$P,12,FALSE)</f>
        <v>0</v>
      </c>
      <c r="AA519" s="51">
        <f>VLOOKUP(Table3[[#This Row],[ACTIVITY]],TAGS!$B:$P,13,FALSE)</f>
        <v>0</v>
      </c>
      <c r="AB519" s="51">
        <f>VLOOKUP(Table3[[#This Row],[ACTIVITY]],TAGS!$B:$P,14,FALSE)</f>
        <v>0</v>
      </c>
      <c r="AC519" s="51" t="str">
        <f>VLOOKUP(Table3[[#This Row],[ACTIVITY]],TAGS!$B:$P,15,FALSE)</f>
        <v>Existing</v>
      </c>
      <c r="AD519" s="51">
        <f>VLOOKUP(Table3[[#This Row],[PI LEVEL 3]],'PI LEVEL'!$A:$G,7,FALSE)</f>
        <v>0</v>
      </c>
      <c r="AE519" s="47" t="s">
        <v>577</v>
      </c>
      <c r="AF519" s="51" t="str">
        <f>VLOOKUP(Table3[[#This Row],[ACTIVITY]],TAGS!$B:$P,3,FALSE)</f>
        <v>number</v>
      </c>
      <c r="AG519" s="47" t="s">
        <v>329</v>
      </c>
      <c r="AH519" s="51" t="str">
        <f>VLOOKUP(Table3[[#This Row],[MONTH]],TAGS!$W$67:$Y$81,2,FALSE)</f>
        <v>1ST QTR</v>
      </c>
      <c r="AI519" s="51" t="str">
        <f>VLOOKUP(Table3[[#This Row],[MONTH]],TAGS!$W$67:$Y$81,3,FALSE)</f>
        <v>1ST SEMESTER</v>
      </c>
      <c r="AJ519" s="51">
        <f>VLOOKUP(Table3[[#This Row],[MONTH]],TAGS!$W$67:$Z$81,4,FALSE)</f>
        <v>2025</v>
      </c>
      <c r="AK519" s="47">
        <v>60</v>
      </c>
      <c r="AL519" s="51" t="str">
        <f>VLOOKUP(Table3[[#This Row],[ACTIVITY]],TAGS!$B:$R,16,FALSE)</f>
        <v>NO</v>
      </c>
      <c r="AM519" s="47"/>
      <c r="AN519" s="47">
        <v>1250</v>
      </c>
      <c r="AO519" s="57">
        <f>SUM(Table3[[#This Row],[MALE BENEFICIARIES]:[FEMALE BENEFICIARIES]])</f>
        <v>0</v>
      </c>
      <c r="AP519" s="58"/>
      <c r="AQ519" s="58"/>
      <c r="AR519" s="58"/>
      <c r="AS519" s="58"/>
      <c r="AT519" s="59">
        <f>VLOOKUP(Table3[[#This Row],[ACTIVITY]],TAGS!$B:$R,17,FALSE)</f>
        <v>0</v>
      </c>
      <c r="AU519" s="59"/>
      <c r="AV519" s="59"/>
      <c r="AW519" s="59"/>
      <c r="AX519" s="59"/>
      <c r="AY519" s="59"/>
      <c r="AZ519" s="59"/>
      <c r="BA519" s="59"/>
      <c r="BB519" s="59"/>
      <c r="BC519" s="59"/>
      <c r="BD519" s="59"/>
      <c r="BE519" s="59"/>
      <c r="BF519" s="59"/>
      <c r="BG519" s="59"/>
      <c r="BH519" s="59"/>
      <c r="BI519" s="59"/>
      <c r="BJ519" s="59"/>
      <c r="BK519" s="59"/>
      <c r="BL519" s="59"/>
      <c r="BM519" s="59"/>
    </row>
    <row r="520" spans="1:65">
      <c r="A520" s="51" t="str">
        <f>VLOOKUP(Table3[[#This Row],[OU]],OU!$A$15:$B$34,2,FALSE)</f>
        <v>RFOs</v>
      </c>
      <c r="B520" s="47" t="s">
        <v>5</v>
      </c>
      <c r="C520" s="47" t="s">
        <v>574</v>
      </c>
      <c r="D520" s="47"/>
      <c r="E520" s="47" t="s">
        <v>78</v>
      </c>
      <c r="F520" s="47" t="s">
        <v>77</v>
      </c>
      <c r="G52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2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20" s="52" t="e">
        <f>VLOOKUP(Table3[[#This Row],[PSGC]],DISTRICT!$D:$G,4,FALSE)</f>
        <v>#N/A</v>
      </c>
      <c r="J520" s="47" t="s">
        <v>585</v>
      </c>
      <c r="K520" s="51" t="str">
        <f>VLOOKUP(Table3[[#This Row],[SPECIFIC COMMODITY]],TAGS!$W$48:$X$53,2,FALSE)</f>
        <v>Multi_commodity</v>
      </c>
      <c r="L520" s="51" t="str">
        <f>VLOOKUP(Table3[[#This Row],[PREXC SUB-PROGRAM]],Table5[],2,FALSE)</f>
        <v>FIELD PROGRAMS MANAGEMENT ACTIVITIES</v>
      </c>
      <c r="M520" s="51" t="str">
        <f>VLOOKUP(Table3[[#This Row],[COMMODITY PREXC SUB-PROGRAM]],TAGS!$U$54:$V$76,2,FALSE)</f>
        <v>FPMA</v>
      </c>
      <c r="N520" s="47" t="s">
        <v>597</v>
      </c>
      <c r="O520" s="54" t="str">
        <f>VLOOKUP(Table3[[#This Row],[PI LEVEL 3]],'PI LEVEL'!A:C,3,FALSE)</f>
        <v>National/Regional Field Monitoring conducted</v>
      </c>
      <c r="P520" s="54" t="str">
        <f>VLOOKUP(Table3[[#This Row],[PI LEVEL 3]],Table53729[[Performance Indicator Level 3]:[Performance Indicator Level 1]],2,FALSE)</f>
        <v>National/Regional Field Monitoring conducted</v>
      </c>
      <c r="Q520" s="54" t="str">
        <f>VLOOKUP(Table3[[#This Row],[ACTIVITY]],TAGS!B:P,2,FALSE)</f>
        <v>National/Regional Field Monitoring conducted</v>
      </c>
      <c r="R520" s="47" t="s">
        <v>227</v>
      </c>
      <c r="S520" s="51" t="str">
        <f>VLOOKUP(Table3[[#This Row],[ACTIVITY]],TAGS!$B:$P,4,FALSE)</f>
        <v>FPMA</v>
      </c>
      <c r="T520" s="51" t="str">
        <f>VLOOKUP(Table3[[#This Row],[ACTIVITY]],TAGS!$B:$P,5,FALSE)</f>
        <v>FPMA</v>
      </c>
      <c r="U520" s="51" t="str">
        <f>VLOOKUP(Table3[[#This Row],[ACTIVITY]],TAGS!$B:$P,6,FALSE)</f>
        <v>Salary (Staff)</v>
      </c>
      <c r="V520" s="51" t="str">
        <f>VLOOKUP(Table3[[#This Row],[ACTIVITY]],TAGS!$B:$P,7,FALSE)</f>
        <v>NO</v>
      </c>
      <c r="W520" s="51" t="str">
        <f>VLOOKUP(Table3[[#This Row],[ACTIVITY]],TAGS!$B:$P,8,FALSE)</f>
        <v>Overhead</v>
      </c>
      <c r="X520" s="51" t="str">
        <f>VLOOKUP(Table3[[#This Row],[ACTIVITY]],TAGS!$B:$P,10,FALSE)</f>
        <v>NON-PIP</v>
      </c>
      <c r="Y520" s="51" t="str">
        <f>VLOOKUP(Table3[[#This Row],[ACTIVITY]],TAGS!$B:$P,11,FALSE)</f>
        <v>NON-PICS</v>
      </c>
      <c r="Z520" s="51">
        <f>VLOOKUP(Table3[[#This Row],[ACTIVITY]],TAGS!$B:$P,12,FALSE)</f>
        <v>0</v>
      </c>
      <c r="AA520" s="51">
        <f>VLOOKUP(Table3[[#This Row],[ACTIVITY]],TAGS!$B:$P,13,FALSE)</f>
        <v>0</v>
      </c>
      <c r="AB520" s="51">
        <f>VLOOKUP(Table3[[#This Row],[ACTIVITY]],TAGS!$B:$P,14,FALSE)</f>
        <v>0</v>
      </c>
      <c r="AC520" s="51" t="str">
        <f>VLOOKUP(Table3[[#This Row],[ACTIVITY]],TAGS!$B:$P,15,FALSE)</f>
        <v>Existing</v>
      </c>
      <c r="AD520" s="51">
        <f>VLOOKUP(Table3[[#This Row],[PI LEVEL 3]],'PI LEVEL'!$A:$G,7,FALSE)</f>
        <v>0</v>
      </c>
      <c r="AE520" s="47" t="s">
        <v>577</v>
      </c>
      <c r="AF520" s="51" t="str">
        <f>VLOOKUP(Table3[[#This Row],[ACTIVITY]],TAGS!$B:$P,3,FALSE)</f>
        <v>number</v>
      </c>
      <c r="AG520" s="47" t="s">
        <v>330</v>
      </c>
      <c r="AH520" s="51" t="str">
        <f>VLOOKUP(Table3[[#This Row],[MONTH]],TAGS!$W$67:$Y$81,2,FALSE)</f>
        <v>2ND QTR</v>
      </c>
      <c r="AI520" s="51" t="str">
        <f>VLOOKUP(Table3[[#This Row],[MONTH]],TAGS!$W$67:$Y$81,3,FALSE)</f>
        <v>1ST SEMESTER</v>
      </c>
      <c r="AJ520" s="51">
        <f>VLOOKUP(Table3[[#This Row],[MONTH]],TAGS!$W$67:$Z$81,4,FALSE)</f>
        <v>2025</v>
      </c>
      <c r="AK520" s="47">
        <v>60</v>
      </c>
      <c r="AL520" s="51" t="str">
        <f>VLOOKUP(Table3[[#This Row],[ACTIVITY]],TAGS!$B:$R,16,FALSE)</f>
        <v>NO</v>
      </c>
      <c r="AM520" s="47"/>
      <c r="AN520" s="47">
        <v>1250</v>
      </c>
      <c r="AO520" s="57">
        <f>SUM(Table3[[#This Row],[MALE BENEFICIARIES]:[FEMALE BENEFICIARIES]])</f>
        <v>0</v>
      </c>
      <c r="AP520" s="58"/>
      <c r="AQ520" s="58"/>
      <c r="AR520" s="58"/>
      <c r="AS520" s="58"/>
      <c r="AT520" s="59">
        <f>VLOOKUP(Table3[[#This Row],[ACTIVITY]],TAGS!$B:$R,17,FALSE)</f>
        <v>0</v>
      </c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  <c r="BG520" s="59"/>
      <c r="BH520" s="59"/>
      <c r="BI520" s="59"/>
      <c r="BJ520" s="59"/>
      <c r="BK520" s="59"/>
      <c r="BL520" s="59"/>
      <c r="BM520" s="59"/>
    </row>
    <row r="521" spans="1:65">
      <c r="A521" s="51" t="str">
        <f>VLOOKUP(Table3[[#This Row],[OU]],OU!$A$15:$B$34,2,FALSE)</f>
        <v>RFOs</v>
      </c>
      <c r="B521" s="47" t="s">
        <v>5</v>
      </c>
      <c r="C521" s="47" t="s">
        <v>574</v>
      </c>
      <c r="D521" s="47"/>
      <c r="E521" s="47" t="s">
        <v>78</v>
      </c>
      <c r="F521" s="47" t="s">
        <v>77</v>
      </c>
      <c r="G52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2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21" s="52" t="e">
        <f>VLOOKUP(Table3[[#This Row],[PSGC]],DISTRICT!$D:$G,4,FALSE)</f>
        <v>#N/A</v>
      </c>
      <c r="J521" s="47" t="s">
        <v>585</v>
      </c>
      <c r="K521" s="51" t="str">
        <f>VLOOKUP(Table3[[#This Row],[SPECIFIC COMMODITY]],TAGS!$W$48:$X$53,2,FALSE)</f>
        <v>Multi_commodity</v>
      </c>
      <c r="L521" s="51" t="str">
        <f>VLOOKUP(Table3[[#This Row],[PREXC SUB-PROGRAM]],Table5[],2,FALSE)</f>
        <v>FIELD PROGRAMS MANAGEMENT ACTIVITIES</v>
      </c>
      <c r="M521" s="51" t="str">
        <f>VLOOKUP(Table3[[#This Row],[COMMODITY PREXC SUB-PROGRAM]],TAGS!$U$54:$V$76,2,FALSE)</f>
        <v>FPMA</v>
      </c>
      <c r="N521" s="47" t="s">
        <v>597</v>
      </c>
      <c r="O521" s="54" t="str">
        <f>VLOOKUP(Table3[[#This Row],[PI LEVEL 3]],'PI LEVEL'!A:C,3,FALSE)</f>
        <v>National/Regional Field Monitoring conducted</v>
      </c>
      <c r="P521" s="54" t="str">
        <f>VLOOKUP(Table3[[#This Row],[PI LEVEL 3]],Table53729[[Performance Indicator Level 3]:[Performance Indicator Level 1]],2,FALSE)</f>
        <v>National/Regional Field Monitoring conducted</v>
      </c>
      <c r="Q521" s="54" t="str">
        <f>VLOOKUP(Table3[[#This Row],[ACTIVITY]],TAGS!B:P,2,FALSE)</f>
        <v>National/Regional Field Monitoring conducted</v>
      </c>
      <c r="R521" s="47" t="s">
        <v>227</v>
      </c>
      <c r="S521" s="51" t="str">
        <f>VLOOKUP(Table3[[#This Row],[ACTIVITY]],TAGS!$B:$P,4,FALSE)</f>
        <v>FPMA</v>
      </c>
      <c r="T521" s="51" t="str">
        <f>VLOOKUP(Table3[[#This Row],[ACTIVITY]],TAGS!$B:$P,5,FALSE)</f>
        <v>FPMA</v>
      </c>
      <c r="U521" s="51" t="str">
        <f>VLOOKUP(Table3[[#This Row],[ACTIVITY]],TAGS!$B:$P,6,FALSE)</f>
        <v>Salary (Staff)</v>
      </c>
      <c r="V521" s="51" t="str">
        <f>VLOOKUP(Table3[[#This Row],[ACTIVITY]],TAGS!$B:$P,7,FALSE)</f>
        <v>NO</v>
      </c>
      <c r="W521" s="51" t="str">
        <f>VLOOKUP(Table3[[#This Row],[ACTIVITY]],TAGS!$B:$P,8,FALSE)</f>
        <v>Overhead</v>
      </c>
      <c r="X521" s="51" t="str">
        <f>VLOOKUP(Table3[[#This Row],[ACTIVITY]],TAGS!$B:$P,10,FALSE)</f>
        <v>NON-PIP</v>
      </c>
      <c r="Y521" s="51" t="str">
        <f>VLOOKUP(Table3[[#This Row],[ACTIVITY]],TAGS!$B:$P,11,FALSE)</f>
        <v>NON-PICS</v>
      </c>
      <c r="Z521" s="51">
        <f>VLOOKUP(Table3[[#This Row],[ACTIVITY]],TAGS!$B:$P,12,FALSE)</f>
        <v>0</v>
      </c>
      <c r="AA521" s="51">
        <f>VLOOKUP(Table3[[#This Row],[ACTIVITY]],TAGS!$B:$P,13,FALSE)</f>
        <v>0</v>
      </c>
      <c r="AB521" s="51">
        <f>VLOOKUP(Table3[[#This Row],[ACTIVITY]],TAGS!$B:$P,14,FALSE)</f>
        <v>0</v>
      </c>
      <c r="AC521" s="51" t="str">
        <f>VLOOKUP(Table3[[#This Row],[ACTIVITY]],TAGS!$B:$P,15,FALSE)</f>
        <v>Existing</v>
      </c>
      <c r="AD521" s="51">
        <f>VLOOKUP(Table3[[#This Row],[PI LEVEL 3]],'PI LEVEL'!$A:$G,7,FALSE)</f>
        <v>0</v>
      </c>
      <c r="AE521" s="47" t="s">
        <v>577</v>
      </c>
      <c r="AF521" s="51" t="str">
        <f>VLOOKUP(Table3[[#This Row],[ACTIVITY]],TAGS!$B:$P,3,FALSE)</f>
        <v>number</v>
      </c>
      <c r="AG521" s="47" t="s">
        <v>331</v>
      </c>
      <c r="AH521" s="51" t="str">
        <f>VLOOKUP(Table3[[#This Row],[MONTH]],TAGS!$W$67:$Y$81,2,FALSE)</f>
        <v>2ND QTR</v>
      </c>
      <c r="AI521" s="51" t="str">
        <f>VLOOKUP(Table3[[#This Row],[MONTH]],TAGS!$W$67:$Y$81,3,FALSE)</f>
        <v>1ST SEMESTER</v>
      </c>
      <c r="AJ521" s="51">
        <f>VLOOKUP(Table3[[#This Row],[MONTH]],TAGS!$W$67:$Z$81,4,FALSE)</f>
        <v>2025</v>
      </c>
      <c r="AK521" s="47">
        <v>60</v>
      </c>
      <c r="AL521" s="51" t="str">
        <f>VLOOKUP(Table3[[#This Row],[ACTIVITY]],TAGS!$B:$R,16,FALSE)</f>
        <v>NO</v>
      </c>
      <c r="AM521" s="47"/>
      <c r="AN521" s="47">
        <v>1250</v>
      </c>
      <c r="AO521" s="57">
        <f>SUM(Table3[[#This Row],[MALE BENEFICIARIES]:[FEMALE BENEFICIARIES]])</f>
        <v>0</v>
      </c>
      <c r="AP521" s="58"/>
      <c r="AQ521" s="58"/>
      <c r="AR521" s="58"/>
      <c r="AS521" s="58"/>
      <c r="AT521" s="59">
        <f>VLOOKUP(Table3[[#This Row],[ACTIVITY]],TAGS!$B:$R,17,FALSE)</f>
        <v>0</v>
      </c>
      <c r="AU521" s="59"/>
      <c r="AV521" s="59"/>
      <c r="AW521" s="59"/>
      <c r="AX521" s="59"/>
      <c r="AY521" s="59"/>
      <c r="AZ521" s="59"/>
      <c r="BA521" s="59"/>
      <c r="BB521" s="59"/>
      <c r="BC521" s="59"/>
      <c r="BD521" s="59"/>
      <c r="BE521" s="59"/>
      <c r="BF521" s="59"/>
      <c r="BG521" s="59"/>
      <c r="BH521" s="59"/>
      <c r="BI521" s="59"/>
      <c r="BJ521" s="59"/>
      <c r="BK521" s="59"/>
      <c r="BL521" s="59"/>
      <c r="BM521" s="59"/>
    </row>
    <row r="522" spans="1:65">
      <c r="A522" s="51" t="str">
        <f>VLOOKUP(Table3[[#This Row],[OU]],OU!$A$15:$B$34,2,FALSE)</f>
        <v>RFOs</v>
      </c>
      <c r="B522" s="47" t="s">
        <v>5</v>
      </c>
      <c r="C522" s="47" t="s">
        <v>574</v>
      </c>
      <c r="D522" s="47"/>
      <c r="E522" s="47" t="s">
        <v>78</v>
      </c>
      <c r="F522" s="47" t="s">
        <v>77</v>
      </c>
      <c r="G52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2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22" s="52" t="e">
        <f>VLOOKUP(Table3[[#This Row],[PSGC]],DISTRICT!$D:$G,4,FALSE)</f>
        <v>#N/A</v>
      </c>
      <c r="J522" s="47" t="s">
        <v>585</v>
      </c>
      <c r="K522" s="51" t="str">
        <f>VLOOKUP(Table3[[#This Row],[SPECIFIC COMMODITY]],TAGS!$W$48:$X$53,2,FALSE)</f>
        <v>Multi_commodity</v>
      </c>
      <c r="L522" s="51" t="str">
        <f>VLOOKUP(Table3[[#This Row],[PREXC SUB-PROGRAM]],Table5[],2,FALSE)</f>
        <v>FIELD PROGRAMS MANAGEMENT ACTIVITIES</v>
      </c>
      <c r="M522" s="51" t="str">
        <f>VLOOKUP(Table3[[#This Row],[COMMODITY PREXC SUB-PROGRAM]],TAGS!$U$54:$V$76,2,FALSE)</f>
        <v>FPMA</v>
      </c>
      <c r="N522" s="47" t="s">
        <v>597</v>
      </c>
      <c r="O522" s="54" t="str">
        <f>VLOOKUP(Table3[[#This Row],[PI LEVEL 3]],'PI LEVEL'!A:C,3,FALSE)</f>
        <v>National/Regional Field Monitoring conducted</v>
      </c>
      <c r="P522" s="54" t="str">
        <f>VLOOKUP(Table3[[#This Row],[PI LEVEL 3]],Table53729[[Performance Indicator Level 3]:[Performance Indicator Level 1]],2,FALSE)</f>
        <v>National/Regional Field Monitoring conducted</v>
      </c>
      <c r="Q522" s="54" t="str">
        <f>VLOOKUP(Table3[[#This Row],[ACTIVITY]],TAGS!B:P,2,FALSE)</f>
        <v>National/Regional Field Monitoring conducted</v>
      </c>
      <c r="R522" s="47" t="s">
        <v>227</v>
      </c>
      <c r="S522" s="51" t="str">
        <f>VLOOKUP(Table3[[#This Row],[ACTIVITY]],TAGS!$B:$P,4,FALSE)</f>
        <v>FPMA</v>
      </c>
      <c r="T522" s="51" t="str">
        <f>VLOOKUP(Table3[[#This Row],[ACTIVITY]],TAGS!$B:$P,5,FALSE)</f>
        <v>FPMA</v>
      </c>
      <c r="U522" s="51" t="str">
        <f>VLOOKUP(Table3[[#This Row],[ACTIVITY]],TAGS!$B:$P,6,FALSE)</f>
        <v>Salary (Staff)</v>
      </c>
      <c r="V522" s="51" t="str">
        <f>VLOOKUP(Table3[[#This Row],[ACTIVITY]],TAGS!$B:$P,7,FALSE)</f>
        <v>NO</v>
      </c>
      <c r="W522" s="51" t="str">
        <f>VLOOKUP(Table3[[#This Row],[ACTIVITY]],TAGS!$B:$P,8,FALSE)</f>
        <v>Overhead</v>
      </c>
      <c r="X522" s="51" t="str">
        <f>VLOOKUP(Table3[[#This Row],[ACTIVITY]],TAGS!$B:$P,10,FALSE)</f>
        <v>NON-PIP</v>
      </c>
      <c r="Y522" s="51" t="str">
        <f>VLOOKUP(Table3[[#This Row],[ACTIVITY]],TAGS!$B:$P,11,FALSE)</f>
        <v>NON-PICS</v>
      </c>
      <c r="Z522" s="51">
        <f>VLOOKUP(Table3[[#This Row],[ACTIVITY]],TAGS!$B:$P,12,FALSE)</f>
        <v>0</v>
      </c>
      <c r="AA522" s="51">
        <f>VLOOKUP(Table3[[#This Row],[ACTIVITY]],TAGS!$B:$P,13,FALSE)</f>
        <v>0</v>
      </c>
      <c r="AB522" s="51">
        <f>VLOOKUP(Table3[[#This Row],[ACTIVITY]],TAGS!$B:$P,14,FALSE)</f>
        <v>0</v>
      </c>
      <c r="AC522" s="51" t="str">
        <f>VLOOKUP(Table3[[#This Row],[ACTIVITY]],TAGS!$B:$P,15,FALSE)</f>
        <v>Existing</v>
      </c>
      <c r="AD522" s="51">
        <f>VLOOKUP(Table3[[#This Row],[PI LEVEL 3]],'PI LEVEL'!$A:$G,7,FALSE)</f>
        <v>0</v>
      </c>
      <c r="AE522" s="47" t="s">
        <v>577</v>
      </c>
      <c r="AF522" s="51" t="str">
        <f>VLOOKUP(Table3[[#This Row],[ACTIVITY]],TAGS!$B:$P,3,FALSE)</f>
        <v>number</v>
      </c>
      <c r="AG522" s="47" t="s">
        <v>332</v>
      </c>
      <c r="AH522" s="51" t="str">
        <f>VLOOKUP(Table3[[#This Row],[MONTH]],TAGS!$W$67:$Y$81,2,FALSE)</f>
        <v>2ND QTR</v>
      </c>
      <c r="AI522" s="51" t="str">
        <f>VLOOKUP(Table3[[#This Row],[MONTH]],TAGS!$W$67:$Y$81,3,FALSE)</f>
        <v>1ST SEMESTER</v>
      </c>
      <c r="AJ522" s="51">
        <f>VLOOKUP(Table3[[#This Row],[MONTH]],TAGS!$W$67:$Z$81,4,FALSE)</f>
        <v>2025</v>
      </c>
      <c r="AK522" s="47">
        <v>60</v>
      </c>
      <c r="AL522" s="51" t="str">
        <f>VLOOKUP(Table3[[#This Row],[ACTIVITY]],TAGS!$B:$R,16,FALSE)</f>
        <v>NO</v>
      </c>
      <c r="AM522" s="47"/>
      <c r="AN522" s="47">
        <v>1250</v>
      </c>
      <c r="AO522" s="57">
        <f>SUM(Table3[[#This Row],[MALE BENEFICIARIES]:[FEMALE BENEFICIARIES]])</f>
        <v>0</v>
      </c>
      <c r="AP522" s="58"/>
      <c r="AQ522" s="58"/>
      <c r="AR522" s="58"/>
      <c r="AS522" s="58"/>
      <c r="AT522" s="59">
        <f>VLOOKUP(Table3[[#This Row],[ACTIVITY]],TAGS!$B:$R,17,FALSE)</f>
        <v>0</v>
      </c>
      <c r="AU522" s="59"/>
      <c r="AV522" s="59"/>
      <c r="AW522" s="59"/>
      <c r="AX522" s="59"/>
      <c r="AY522" s="59"/>
      <c r="AZ522" s="59"/>
      <c r="BA522" s="59"/>
      <c r="BB522" s="59"/>
      <c r="BC522" s="59"/>
      <c r="BD522" s="59"/>
      <c r="BE522" s="59"/>
      <c r="BF522" s="59"/>
      <c r="BG522" s="59"/>
      <c r="BH522" s="59"/>
      <c r="BI522" s="59"/>
      <c r="BJ522" s="59"/>
      <c r="BK522" s="59"/>
      <c r="BL522" s="59"/>
      <c r="BM522" s="59"/>
    </row>
    <row r="523" spans="1:65">
      <c r="A523" s="51" t="str">
        <f>VLOOKUP(Table3[[#This Row],[OU]],OU!$A$15:$B$34,2,FALSE)</f>
        <v>RFOs</v>
      </c>
      <c r="B523" s="47" t="s">
        <v>5</v>
      </c>
      <c r="C523" s="47" t="s">
        <v>574</v>
      </c>
      <c r="D523" s="47"/>
      <c r="E523" s="47" t="s">
        <v>78</v>
      </c>
      <c r="F523" s="47" t="s">
        <v>77</v>
      </c>
      <c r="G52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2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23" s="52" t="e">
        <f>VLOOKUP(Table3[[#This Row],[PSGC]],DISTRICT!$D:$G,4,FALSE)</f>
        <v>#N/A</v>
      </c>
      <c r="J523" s="47" t="s">
        <v>585</v>
      </c>
      <c r="K523" s="51" t="str">
        <f>VLOOKUP(Table3[[#This Row],[SPECIFIC COMMODITY]],TAGS!$W$48:$X$53,2,FALSE)</f>
        <v>Multi_commodity</v>
      </c>
      <c r="L523" s="51" t="str">
        <f>VLOOKUP(Table3[[#This Row],[PREXC SUB-PROGRAM]],Table5[],2,FALSE)</f>
        <v>FIELD PROGRAMS MANAGEMENT ACTIVITIES</v>
      </c>
      <c r="M523" s="51" t="str">
        <f>VLOOKUP(Table3[[#This Row],[COMMODITY PREXC SUB-PROGRAM]],TAGS!$U$54:$V$76,2,FALSE)</f>
        <v>FPMA</v>
      </c>
      <c r="N523" s="47" t="s">
        <v>597</v>
      </c>
      <c r="O523" s="54" t="str">
        <f>VLOOKUP(Table3[[#This Row],[PI LEVEL 3]],'PI LEVEL'!A:C,3,FALSE)</f>
        <v>National/Regional Field Monitoring conducted</v>
      </c>
      <c r="P523" s="54" t="str">
        <f>VLOOKUP(Table3[[#This Row],[PI LEVEL 3]],Table53729[[Performance Indicator Level 3]:[Performance Indicator Level 1]],2,FALSE)</f>
        <v>National/Regional Field Monitoring conducted</v>
      </c>
      <c r="Q523" s="54" t="str">
        <f>VLOOKUP(Table3[[#This Row],[ACTIVITY]],TAGS!B:P,2,FALSE)</f>
        <v>National/Regional Field Monitoring conducted</v>
      </c>
      <c r="R523" s="47" t="s">
        <v>227</v>
      </c>
      <c r="S523" s="51" t="str">
        <f>VLOOKUP(Table3[[#This Row],[ACTIVITY]],TAGS!$B:$P,4,FALSE)</f>
        <v>FPMA</v>
      </c>
      <c r="T523" s="51" t="str">
        <f>VLOOKUP(Table3[[#This Row],[ACTIVITY]],TAGS!$B:$P,5,FALSE)</f>
        <v>FPMA</v>
      </c>
      <c r="U523" s="51" t="str">
        <f>VLOOKUP(Table3[[#This Row],[ACTIVITY]],TAGS!$B:$P,6,FALSE)</f>
        <v>Salary (Staff)</v>
      </c>
      <c r="V523" s="51" t="str">
        <f>VLOOKUP(Table3[[#This Row],[ACTIVITY]],TAGS!$B:$P,7,FALSE)</f>
        <v>NO</v>
      </c>
      <c r="W523" s="51" t="str">
        <f>VLOOKUP(Table3[[#This Row],[ACTIVITY]],TAGS!$B:$P,8,FALSE)</f>
        <v>Overhead</v>
      </c>
      <c r="X523" s="51" t="str">
        <f>VLOOKUP(Table3[[#This Row],[ACTIVITY]],TAGS!$B:$P,10,FALSE)</f>
        <v>NON-PIP</v>
      </c>
      <c r="Y523" s="51" t="str">
        <f>VLOOKUP(Table3[[#This Row],[ACTIVITY]],TAGS!$B:$P,11,FALSE)</f>
        <v>NON-PICS</v>
      </c>
      <c r="Z523" s="51">
        <f>VLOOKUP(Table3[[#This Row],[ACTIVITY]],TAGS!$B:$P,12,FALSE)</f>
        <v>0</v>
      </c>
      <c r="AA523" s="51">
        <f>VLOOKUP(Table3[[#This Row],[ACTIVITY]],TAGS!$B:$P,13,FALSE)</f>
        <v>0</v>
      </c>
      <c r="AB523" s="51">
        <f>VLOOKUP(Table3[[#This Row],[ACTIVITY]],TAGS!$B:$P,14,FALSE)</f>
        <v>0</v>
      </c>
      <c r="AC523" s="51" t="str">
        <f>VLOOKUP(Table3[[#This Row],[ACTIVITY]],TAGS!$B:$P,15,FALSE)</f>
        <v>Existing</v>
      </c>
      <c r="AD523" s="51">
        <f>VLOOKUP(Table3[[#This Row],[PI LEVEL 3]],'PI LEVEL'!$A:$G,7,FALSE)</f>
        <v>0</v>
      </c>
      <c r="AE523" s="47" t="s">
        <v>577</v>
      </c>
      <c r="AF523" s="51" t="str">
        <f>VLOOKUP(Table3[[#This Row],[ACTIVITY]],TAGS!$B:$P,3,FALSE)</f>
        <v>number</v>
      </c>
      <c r="AG523" s="47" t="s">
        <v>333</v>
      </c>
      <c r="AH523" s="51" t="str">
        <f>VLOOKUP(Table3[[#This Row],[MONTH]],TAGS!$W$67:$Y$81,2,FALSE)</f>
        <v>3RD QTR</v>
      </c>
      <c r="AI523" s="51" t="str">
        <f>VLOOKUP(Table3[[#This Row],[MONTH]],TAGS!$W$67:$Y$81,3,FALSE)</f>
        <v>2ND SEMESTER</v>
      </c>
      <c r="AJ523" s="51">
        <f>VLOOKUP(Table3[[#This Row],[MONTH]],TAGS!$W$67:$Z$81,4,FALSE)</f>
        <v>2025</v>
      </c>
      <c r="AK523" s="47">
        <v>60</v>
      </c>
      <c r="AL523" s="51" t="str">
        <f>VLOOKUP(Table3[[#This Row],[ACTIVITY]],TAGS!$B:$R,16,FALSE)</f>
        <v>NO</v>
      </c>
      <c r="AM523" s="47"/>
      <c r="AN523" s="47">
        <v>1250</v>
      </c>
      <c r="AO523" s="57">
        <f>SUM(Table3[[#This Row],[MALE BENEFICIARIES]:[FEMALE BENEFICIARIES]])</f>
        <v>0</v>
      </c>
      <c r="AP523" s="58"/>
      <c r="AQ523" s="58"/>
      <c r="AR523" s="58"/>
      <c r="AS523" s="58"/>
      <c r="AT523" s="59">
        <f>VLOOKUP(Table3[[#This Row],[ACTIVITY]],TAGS!$B:$R,17,FALSE)</f>
        <v>0</v>
      </c>
      <c r="AU523" s="59"/>
      <c r="AV523" s="59"/>
      <c r="AW523" s="59"/>
      <c r="AX523" s="59"/>
      <c r="AY523" s="59"/>
      <c r="AZ523" s="59"/>
      <c r="BA523" s="59"/>
      <c r="BB523" s="59"/>
      <c r="BC523" s="59"/>
      <c r="BD523" s="59"/>
      <c r="BE523" s="59"/>
      <c r="BF523" s="59"/>
      <c r="BG523" s="59"/>
      <c r="BH523" s="59"/>
      <c r="BI523" s="59"/>
      <c r="BJ523" s="59"/>
      <c r="BK523" s="59"/>
      <c r="BL523" s="59"/>
      <c r="BM523" s="59"/>
    </row>
    <row r="524" spans="1:65">
      <c r="A524" s="51" t="str">
        <f>VLOOKUP(Table3[[#This Row],[OU]],OU!$A$15:$B$34,2,FALSE)</f>
        <v>RFOs</v>
      </c>
      <c r="B524" s="47" t="s">
        <v>5</v>
      </c>
      <c r="C524" s="47" t="s">
        <v>574</v>
      </c>
      <c r="D524" s="47"/>
      <c r="E524" s="47" t="s">
        <v>78</v>
      </c>
      <c r="F524" s="47" t="s">
        <v>77</v>
      </c>
      <c r="G52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2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24" s="52" t="e">
        <f>VLOOKUP(Table3[[#This Row],[PSGC]],DISTRICT!$D:$G,4,FALSE)</f>
        <v>#N/A</v>
      </c>
      <c r="J524" s="47" t="s">
        <v>585</v>
      </c>
      <c r="K524" s="51" t="str">
        <f>VLOOKUP(Table3[[#This Row],[SPECIFIC COMMODITY]],TAGS!$W$48:$X$53,2,FALSE)</f>
        <v>Multi_commodity</v>
      </c>
      <c r="L524" s="51" t="str">
        <f>VLOOKUP(Table3[[#This Row],[PREXC SUB-PROGRAM]],Table5[],2,FALSE)</f>
        <v>FIELD PROGRAMS MANAGEMENT ACTIVITIES</v>
      </c>
      <c r="M524" s="51" t="str">
        <f>VLOOKUP(Table3[[#This Row],[COMMODITY PREXC SUB-PROGRAM]],TAGS!$U$54:$V$76,2,FALSE)</f>
        <v>FPMA</v>
      </c>
      <c r="N524" s="47" t="s">
        <v>597</v>
      </c>
      <c r="O524" s="54" t="str">
        <f>VLOOKUP(Table3[[#This Row],[PI LEVEL 3]],'PI LEVEL'!A:C,3,FALSE)</f>
        <v>National/Regional Field Monitoring conducted</v>
      </c>
      <c r="P524" s="54" t="str">
        <f>VLOOKUP(Table3[[#This Row],[PI LEVEL 3]],Table53729[[Performance Indicator Level 3]:[Performance Indicator Level 1]],2,FALSE)</f>
        <v>National/Regional Field Monitoring conducted</v>
      </c>
      <c r="Q524" s="54" t="str">
        <f>VLOOKUP(Table3[[#This Row],[ACTIVITY]],TAGS!B:P,2,FALSE)</f>
        <v>National/Regional Field Monitoring conducted</v>
      </c>
      <c r="R524" s="47" t="s">
        <v>227</v>
      </c>
      <c r="S524" s="51" t="str">
        <f>VLOOKUP(Table3[[#This Row],[ACTIVITY]],TAGS!$B:$P,4,FALSE)</f>
        <v>FPMA</v>
      </c>
      <c r="T524" s="51" t="str">
        <f>VLOOKUP(Table3[[#This Row],[ACTIVITY]],TAGS!$B:$P,5,FALSE)</f>
        <v>FPMA</v>
      </c>
      <c r="U524" s="51" t="str">
        <f>VLOOKUP(Table3[[#This Row],[ACTIVITY]],TAGS!$B:$P,6,FALSE)</f>
        <v>Salary (Staff)</v>
      </c>
      <c r="V524" s="51" t="str">
        <f>VLOOKUP(Table3[[#This Row],[ACTIVITY]],TAGS!$B:$P,7,FALSE)</f>
        <v>NO</v>
      </c>
      <c r="W524" s="51" t="str">
        <f>VLOOKUP(Table3[[#This Row],[ACTIVITY]],TAGS!$B:$P,8,FALSE)</f>
        <v>Overhead</v>
      </c>
      <c r="X524" s="51" t="str">
        <f>VLOOKUP(Table3[[#This Row],[ACTIVITY]],TAGS!$B:$P,10,FALSE)</f>
        <v>NON-PIP</v>
      </c>
      <c r="Y524" s="51" t="str">
        <f>VLOOKUP(Table3[[#This Row],[ACTIVITY]],TAGS!$B:$P,11,FALSE)</f>
        <v>NON-PICS</v>
      </c>
      <c r="Z524" s="51">
        <f>VLOOKUP(Table3[[#This Row],[ACTIVITY]],TAGS!$B:$P,12,FALSE)</f>
        <v>0</v>
      </c>
      <c r="AA524" s="51">
        <f>VLOOKUP(Table3[[#This Row],[ACTIVITY]],TAGS!$B:$P,13,FALSE)</f>
        <v>0</v>
      </c>
      <c r="AB524" s="51">
        <f>VLOOKUP(Table3[[#This Row],[ACTIVITY]],TAGS!$B:$P,14,FALSE)</f>
        <v>0</v>
      </c>
      <c r="AC524" s="51" t="str">
        <f>VLOOKUP(Table3[[#This Row],[ACTIVITY]],TAGS!$B:$P,15,FALSE)</f>
        <v>Existing</v>
      </c>
      <c r="AD524" s="51">
        <f>VLOOKUP(Table3[[#This Row],[PI LEVEL 3]],'PI LEVEL'!$A:$G,7,FALSE)</f>
        <v>0</v>
      </c>
      <c r="AE524" s="47" t="s">
        <v>577</v>
      </c>
      <c r="AF524" s="51" t="str">
        <f>VLOOKUP(Table3[[#This Row],[ACTIVITY]],TAGS!$B:$P,3,FALSE)</f>
        <v>number</v>
      </c>
      <c r="AG524" s="47" t="s">
        <v>334</v>
      </c>
      <c r="AH524" s="51" t="str">
        <f>VLOOKUP(Table3[[#This Row],[MONTH]],TAGS!$W$67:$Y$81,2,FALSE)</f>
        <v>3RD QTR</v>
      </c>
      <c r="AI524" s="51" t="str">
        <f>VLOOKUP(Table3[[#This Row],[MONTH]],TAGS!$W$67:$Y$81,3,FALSE)</f>
        <v>2ND SEMESTER</v>
      </c>
      <c r="AJ524" s="51">
        <f>VLOOKUP(Table3[[#This Row],[MONTH]],TAGS!$W$67:$Z$81,4,FALSE)</f>
        <v>2025</v>
      </c>
      <c r="AK524" s="47">
        <v>60</v>
      </c>
      <c r="AL524" s="51" t="str">
        <f>VLOOKUP(Table3[[#This Row],[ACTIVITY]],TAGS!$B:$R,16,FALSE)</f>
        <v>NO</v>
      </c>
      <c r="AM524" s="47"/>
      <c r="AN524" s="47">
        <v>1250</v>
      </c>
      <c r="AO524" s="57">
        <f>SUM(Table3[[#This Row],[MALE BENEFICIARIES]:[FEMALE BENEFICIARIES]])</f>
        <v>0</v>
      </c>
      <c r="AP524" s="58"/>
      <c r="AQ524" s="58"/>
      <c r="AR524" s="58"/>
      <c r="AS524" s="58"/>
      <c r="AT524" s="59">
        <f>VLOOKUP(Table3[[#This Row],[ACTIVITY]],TAGS!$B:$R,17,FALSE)</f>
        <v>0</v>
      </c>
      <c r="AU524" s="59"/>
      <c r="AV524" s="59"/>
      <c r="AW524" s="59"/>
      <c r="AX524" s="59"/>
      <c r="AY524" s="59"/>
      <c r="AZ524" s="59"/>
      <c r="BA524" s="59"/>
      <c r="BB524" s="59"/>
      <c r="BC524" s="59"/>
      <c r="BD524" s="59"/>
      <c r="BE524" s="59"/>
      <c r="BF524" s="59"/>
      <c r="BG524" s="59"/>
      <c r="BH524" s="59"/>
      <c r="BI524" s="59"/>
      <c r="BJ524" s="59"/>
      <c r="BK524" s="59"/>
      <c r="BL524" s="59"/>
      <c r="BM524" s="59"/>
    </row>
    <row r="525" spans="1:65">
      <c r="A525" s="51" t="str">
        <f>VLOOKUP(Table3[[#This Row],[OU]],OU!$A$15:$B$34,2,FALSE)</f>
        <v>RFOs</v>
      </c>
      <c r="B525" s="47" t="s">
        <v>5</v>
      </c>
      <c r="C525" s="47" t="s">
        <v>574</v>
      </c>
      <c r="D525" s="47"/>
      <c r="E525" s="47" t="s">
        <v>78</v>
      </c>
      <c r="F525" s="47" t="s">
        <v>77</v>
      </c>
      <c r="G52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2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25" s="52" t="e">
        <f>VLOOKUP(Table3[[#This Row],[PSGC]],DISTRICT!$D:$G,4,FALSE)</f>
        <v>#N/A</v>
      </c>
      <c r="J525" s="47" t="s">
        <v>585</v>
      </c>
      <c r="K525" s="51" t="str">
        <f>VLOOKUP(Table3[[#This Row],[SPECIFIC COMMODITY]],TAGS!$W$48:$X$53,2,FALSE)</f>
        <v>Multi_commodity</v>
      </c>
      <c r="L525" s="51" t="str">
        <f>VLOOKUP(Table3[[#This Row],[PREXC SUB-PROGRAM]],Table5[],2,FALSE)</f>
        <v>FIELD PROGRAMS MANAGEMENT ACTIVITIES</v>
      </c>
      <c r="M525" s="51" t="str">
        <f>VLOOKUP(Table3[[#This Row],[COMMODITY PREXC SUB-PROGRAM]],TAGS!$U$54:$V$76,2,FALSE)</f>
        <v>FPMA</v>
      </c>
      <c r="N525" s="47" t="s">
        <v>597</v>
      </c>
      <c r="O525" s="54" t="str">
        <f>VLOOKUP(Table3[[#This Row],[PI LEVEL 3]],'PI LEVEL'!A:C,3,FALSE)</f>
        <v>National/Regional Field Monitoring conducted</v>
      </c>
      <c r="P525" s="54" t="str">
        <f>VLOOKUP(Table3[[#This Row],[PI LEVEL 3]],Table53729[[Performance Indicator Level 3]:[Performance Indicator Level 1]],2,FALSE)</f>
        <v>National/Regional Field Monitoring conducted</v>
      </c>
      <c r="Q525" s="54" t="str">
        <f>VLOOKUP(Table3[[#This Row],[ACTIVITY]],TAGS!B:P,2,FALSE)</f>
        <v>National/Regional Field Monitoring conducted</v>
      </c>
      <c r="R525" s="47" t="s">
        <v>227</v>
      </c>
      <c r="S525" s="51" t="str">
        <f>VLOOKUP(Table3[[#This Row],[ACTIVITY]],TAGS!$B:$P,4,FALSE)</f>
        <v>FPMA</v>
      </c>
      <c r="T525" s="51" t="str">
        <f>VLOOKUP(Table3[[#This Row],[ACTIVITY]],TAGS!$B:$P,5,FALSE)</f>
        <v>FPMA</v>
      </c>
      <c r="U525" s="51" t="str">
        <f>VLOOKUP(Table3[[#This Row],[ACTIVITY]],TAGS!$B:$P,6,FALSE)</f>
        <v>Salary (Staff)</v>
      </c>
      <c r="V525" s="51" t="str">
        <f>VLOOKUP(Table3[[#This Row],[ACTIVITY]],TAGS!$B:$P,7,FALSE)</f>
        <v>NO</v>
      </c>
      <c r="W525" s="51" t="str">
        <f>VLOOKUP(Table3[[#This Row],[ACTIVITY]],TAGS!$B:$P,8,FALSE)</f>
        <v>Overhead</v>
      </c>
      <c r="X525" s="51" t="str">
        <f>VLOOKUP(Table3[[#This Row],[ACTIVITY]],TAGS!$B:$P,10,FALSE)</f>
        <v>NON-PIP</v>
      </c>
      <c r="Y525" s="51" t="str">
        <f>VLOOKUP(Table3[[#This Row],[ACTIVITY]],TAGS!$B:$P,11,FALSE)</f>
        <v>NON-PICS</v>
      </c>
      <c r="Z525" s="51">
        <f>VLOOKUP(Table3[[#This Row],[ACTIVITY]],TAGS!$B:$P,12,FALSE)</f>
        <v>0</v>
      </c>
      <c r="AA525" s="51">
        <f>VLOOKUP(Table3[[#This Row],[ACTIVITY]],TAGS!$B:$P,13,FALSE)</f>
        <v>0</v>
      </c>
      <c r="AB525" s="51">
        <f>VLOOKUP(Table3[[#This Row],[ACTIVITY]],TAGS!$B:$P,14,FALSE)</f>
        <v>0</v>
      </c>
      <c r="AC525" s="51" t="str">
        <f>VLOOKUP(Table3[[#This Row],[ACTIVITY]],TAGS!$B:$P,15,FALSE)</f>
        <v>Existing</v>
      </c>
      <c r="AD525" s="51">
        <f>VLOOKUP(Table3[[#This Row],[PI LEVEL 3]],'PI LEVEL'!$A:$G,7,FALSE)</f>
        <v>0</v>
      </c>
      <c r="AE525" s="47" t="s">
        <v>577</v>
      </c>
      <c r="AF525" s="51" t="str">
        <f>VLOOKUP(Table3[[#This Row],[ACTIVITY]],TAGS!$B:$P,3,FALSE)</f>
        <v>number</v>
      </c>
      <c r="AG525" s="47" t="s">
        <v>335</v>
      </c>
      <c r="AH525" s="51" t="str">
        <f>VLOOKUP(Table3[[#This Row],[MONTH]],TAGS!$W$67:$Y$81,2,FALSE)</f>
        <v>3RD QTR</v>
      </c>
      <c r="AI525" s="51" t="str">
        <f>VLOOKUP(Table3[[#This Row],[MONTH]],TAGS!$W$67:$Y$81,3,FALSE)</f>
        <v>2ND SEMESTER</v>
      </c>
      <c r="AJ525" s="51">
        <f>VLOOKUP(Table3[[#This Row],[MONTH]],TAGS!$W$67:$Z$81,4,FALSE)</f>
        <v>2025</v>
      </c>
      <c r="AK525" s="47">
        <v>60</v>
      </c>
      <c r="AL525" s="51" t="str">
        <f>VLOOKUP(Table3[[#This Row],[ACTIVITY]],TAGS!$B:$R,16,FALSE)</f>
        <v>NO</v>
      </c>
      <c r="AM525" s="47"/>
      <c r="AN525" s="47">
        <v>1250</v>
      </c>
      <c r="AO525" s="57">
        <f>SUM(Table3[[#This Row],[MALE BENEFICIARIES]:[FEMALE BENEFICIARIES]])</f>
        <v>0</v>
      </c>
      <c r="AP525" s="58"/>
      <c r="AQ525" s="58"/>
      <c r="AR525" s="58"/>
      <c r="AS525" s="58"/>
      <c r="AT525" s="59">
        <f>VLOOKUP(Table3[[#This Row],[ACTIVITY]],TAGS!$B:$R,17,FALSE)</f>
        <v>0</v>
      </c>
      <c r="AU525" s="59"/>
      <c r="AV525" s="59"/>
      <c r="AW525" s="59"/>
      <c r="AX525" s="59"/>
      <c r="AY525" s="59"/>
      <c r="AZ525" s="59"/>
      <c r="BA525" s="59"/>
      <c r="BB525" s="59"/>
      <c r="BC525" s="59"/>
      <c r="BD525" s="59"/>
      <c r="BE525" s="59"/>
      <c r="BF525" s="59"/>
      <c r="BG525" s="59"/>
      <c r="BH525" s="59"/>
      <c r="BI525" s="59"/>
      <c r="BJ525" s="59"/>
      <c r="BK525" s="59"/>
      <c r="BL525" s="59"/>
      <c r="BM525" s="59"/>
    </row>
    <row r="526" spans="1:65">
      <c r="A526" s="51" t="str">
        <f>VLOOKUP(Table3[[#This Row],[OU]],OU!$A$15:$B$34,2,FALSE)</f>
        <v>RFOs</v>
      </c>
      <c r="B526" s="47" t="s">
        <v>5</v>
      </c>
      <c r="C526" s="47" t="s">
        <v>574</v>
      </c>
      <c r="D526" s="47"/>
      <c r="E526" s="47" t="s">
        <v>78</v>
      </c>
      <c r="F526" s="47" t="s">
        <v>77</v>
      </c>
      <c r="G52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2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26" s="52" t="e">
        <f>VLOOKUP(Table3[[#This Row],[PSGC]],DISTRICT!$D:$G,4,FALSE)</f>
        <v>#N/A</v>
      </c>
      <c r="J526" s="47" t="s">
        <v>585</v>
      </c>
      <c r="K526" s="51" t="str">
        <f>VLOOKUP(Table3[[#This Row],[SPECIFIC COMMODITY]],TAGS!$W$48:$X$53,2,FALSE)</f>
        <v>Multi_commodity</v>
      </c>
      <c r="L526" s="51" t="str">
        <f>VLOOKUP(Table3[[#This Row],[PREXC SUB-PROGRAM]],Table5[],2,FALSE)</f>
        <v>FIELD PROGRAMS MANAGEMENT ACTIVITIES</v>
      </c>
      <c r="M526" s="51" t="str">
        <f>VLOOKUP(Table3[[#This Row],[COMMODITY PREXC SUB-PROGRAM]],TAGS!$U$54:$V$76,2,FALSE)</f>
        <v>FPMA</v>
      </c>
      <c r="N526" s="47" t="s">
        <v>597</v>
      </c>
      <c r="O526" s="54" t="str">
        <f>VLOOKUP(Table3[[#This Row],[PI LEVEL 3]],'PI LEVEL'!A:C,3,FALSE)</f>
        <v>National/Regional Field Monitoring conducted</v>
      </c>
      <c r="P526" s="54" t="str">
        <f>VLOOKUP(Table3[[#This Row],[PI LEVEL 3]],Table53729[[Performance Indicator Level 3]:[Performance Indicator Level 1]],2,FALSE)</f>
        <v>National/Regional Field Monitoring conducted</v>
      </c>
      <c r="Q526" s="54" t="str">
        <f>VLOOKUP(Table3[[#This Row],[ACTIVITY]],TAGS!B:P,2,FALSE)</f>
        <v>National/Regional Field Monitoring conducted</v>
      </c>
      <c r="R526" s="47" t="s">
        <v>227</v>
      </c>
      <c r="S526" s="51" t="str">
        <f>VLOOKUP(Table3[[#This Row],[ACTIVITY]],TAGS!$B:$P,4,FALSE)</f>
        <v>FPMA</v>
      </c>
      <c r="T526" s="51" t="str">
        <f>VLOOKUP(Table3[[#This Row],[ACTIVITY]],TAGS!$B:$P,5,FALSE)</f>
        <v>FPMA</v>
      </c>
      <c r="U526" s="51" t="str">
        <f>VLOOKUP(Table3[[#This Row],[ACTIVITY]],TAGS!$B:$P,6,FALSE)</f>
        <v>Salary (Staff)</v>
      </c>
      <c r="V526" s="51" t="str">
        <f>VLOOKUP(Table3[[#This Row],[ACTIVITY]],TAGS!$B:$P,7,FALSE)</f>
        <v>NO</v>
      </c>
      <c r="W526" s="51" t="str">
        <f>VLOOKUP(Table3[[#This Row],[ACTIVITY]],TAGS!$B:$P,8,FALSE)</f>
        <v>Overhead</v>
      </c>
      <c r="X526" s="51" t="str">
        <f>VLOOKUP(Table3[[#This Row],[ACTIVITY]],TAGS!$B:$P,10,FALSE)</f>
        <v>NON-PIP</v>
      </c>
      <c r="Y526" s="51" t="str">
        <f>VLOOKUP(Table3[[#This Row],[ACTIVITY]],TAGS!$B:$P,11,FALSE)</f>
        <v>NON-PICS</v>
      </c>
      <c r="Z526" s="51">
        <f>VLOOKUP(Table3[[#This Row],[ACTIVITY]],TAGS!$B:$P,12,FALSE)</f>
        <v>0</v>
      </c>
      <c r="AA526" s="51">
        <f>VLOOKUP(Table3[[#This Row],[ACTIVITY]],TAGS!$B:$P,13,FALSE)</f>
        <v>0</v>
      </c>
      <c r="AB526" s="51">
        <f>VLOOKUP(Table3[[#This Row],[ACTIVITY]],TAGS!$B:$P,14,FALSE)</f>
        <v>0</v>
      </c>
      <c r="AC526" s="51" t="str">
        <f>VLOOKUP(Table3[[#This Row],[ACTIVITY]],TAGS!$B:$P,15,FALSE)</f>
        <v>Existing</v>
      </c>
      <c r="AD526" s="51">
        <f>VLOOKUP(Table3[[#This Row],[PI LEVEL 3]],'PI LEVEL'!$A:$G,7,FALSE)</f>
        <v>0</v>
      </c>
      <c r="AE526" s="47" t="s">
        <v>577</v>
      </c>
      <c r="AF526" s="51" t="str">
        <f>VLOOKUP(Table3[[#This Row],[ACTIVITY]],TAGS!$B:$P,3,FALSE)</f>
        <v>number</v>
      </c>
      <c r="AG526" s="47" t="s">
        <v>336</v>
      </c>
      <c r="AH526" s="51" t="str">
        <f>VLOOKUP(Table3[[#This Row],[MONTH]],TAGS!$W$67:$Y$81,2,FALSE)</f>
        <v>4TH QTR</v>
      </c>
      <c r="AI526" s="51" t="str">
        <f>VLOOKUP(Table3[[#This Row],[MONTH]],TAGS!$W$67:$Y$81,3,FALSE)</f>
        <v>2ND SEMESTER</v>
      </c>
      <c r="AJ526" s="51">
        <f>VLOOKUP(Table3[[#This Row],[MONTH]],TAGS!$W$67:$Z$81,4,FALSE)</f>
        <v>2025</v>
      </c>
      <c r="AK526" s="47">
        <v>60</v>
      </c>
      <c r="AL526" s="51" t="str">
        <f>VLOOKUP(Table3[[#This Row],[ACTIVITY]],TAGS!$B:$R,16,FALSE)</f>
        <v>NO</v>
      </c>
      <c r="AM526" s="47"/>
      <c r="AN526" s="47">
        <v>1250</v>
      </c>
      <c r="AO526" s="57">
        <f>SUM(Table3[[#This Row],[MALE BENEFICIARIES]:[FEMALE BENEFICIARIES]])</f>
        <v>0</v>
      </c>
      <c r="AP526" s="58"/>
      <c r="AQ526" s="58"/>
      <c r="AR526" s="58"/>
      <c r="AS526" s="58"/>
      <c r="AT526" s="59">
        <f>VLOOKUP(Table3[[#This Row],[ACTIVITY]],TAGS!$B:$R,17,FALSE)</f>
        <v>0</v>
      </c>
      <c r="AU526" s="59"/>
      <c r="AV526" s="59"/>
      <c r="AW526" s="59"/>
      <c r="AX526" s="59"/>
      <c r="AY526" s="59"/>
      <c r="AZ526" s="59"/>
      <c r="BA526" s="59"/>
      <c r="BB526" s="59"/>
      <c r="BC526" s="59"/>
      <c r="BD526" s="59"/>
      <c r="BE526" s="59"/>
      <c r="BF526" s="59"/>
      <c r="BG526" s="59"/>
      <c r="BH526" s="59"/>
      <c r="BI526" s="59"/>
      <c r="BJ526" s="59"/>
      <c r="BK526" s="59"/>
      <c r="BL526" s="59"/>
      <c r="BM526" s="59"/>
    </row>
    <row r="527" spans="1:65">
      <c r="A527" s="51" t="str">
        <f>VLOOKUP(Table3[[#This Row],[OU]],OU!$A$15:$B$34,2,FALSE)</f>
        <v>RFOs</v>
      </c>
      <c r="B527" s="47" t="s">
        <v>5</v>
      </c>
      <c r="C527" s="47" t="s">
        <v>574</v>
      </c>
      <c r="D527" s="47"/>
      <c r="E527" s="47" t="s">
        <v>78</v>
      </c>
      <c r="F527" s="47" t="s">
        <v>77</v>
      </c>
      <c r="G52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2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27" s="52" t="e">
        <f>VLOOKUP(Table3[[#This Row],[PSGC]],DISTRICT!$D:$G,4,FALSE)</f>
        <v>#N/A</v>
      </c>
      <c r="J527" s="47" t="s">
        <v>585</v>
      </c>
      <c r="K527" s="51" t="str">
        <f>VLOOKUP(Table3[[#This Row],[SPECIFIC COMMODITY]],TAGS!$W$48:$X$53,2,FALSE)</f>
        <v>Multi_commodity</v>
      </c>
      <c r="L527" s="51" t="str">
        <f>VLOOKUP(Table3[[#This Row],[PREXC SUB-PROGRAM]],Table5[],2,FALSE)</f>
        <v>FIELD PROGRAMS MANAGEMENT ACTIVITIES</v>
      </c>
      <c r="M527" s="51" t="str">
        <f>VLOOKUP(Table3[[#This Row],[COMMODITY PREXC SUB-PROGRAM]],TAGS!$U$54:$V$76,2,FALSE)</f>
        <v>FPMA</v>
      </c>
      <c r="N527" s="47" t="s">
        <v>597</v>
      </c>
      <c r="O527" s="54" t="str">
        <f>VLOOKUP(Table3[[#This Row],[PI LEVEL 3]],'PI LEVEL'!A:C,3,FALSE)</f>
        <v>National/Regional Field Monitoring conducted</v>
      </c>
      <c r="P527" s="54" t="str">
        <f>VLOOKUP(Table3[[#This Row],[PI LEVEL 3]],Table53729[[Performance Indicator Level 3]:[Performance Indicator Level 1]],2,FALSE)</f>
        <v>National/Regional Field Monitoring conducted</v>
      </c>
      <c r="Q527" s="54" t="str">
        <f>VLOOKUP(Table3[[#This Row],[ACTIVITY]],TAGS!B:P,2,FALSE)</f>
        <v>National/Regional Field Monitoring conducted</v>
      </c>
      <c r="R527" s="47" t="s">
        <v>227</v>
      </c>
      <c r="S527" s="51" t="str">
        <f>VLOOKUP(Table3[[#This Row],[ACTIVITY]],TAGS!$B:$P,4,FALSE)</f>
        <v>FPMA</v>
      </c>
      <c r="T527" s="51" t="str">
        <f>VLOOKUP(Table3[[#This Row],[ACTIVITY]],TAGS!$B:$P,5,FALSE)</f>
        <v>FPMA</v>
      </c>
      <c r="U527" s="51" t="str">
        <f>VLOOKUP(Table3[[#This Row],[ACTIVITY]],TAGS!$B:$P,6,FALSE)</f>
        <v>Salary (Staff)</v>
      </c>
      <c r="V527" s="51" t="str">
        <f>VLOOKUP(Table3[[#This Row],[ACTIVITY]],TAGS!$B:$P,7,FALSE)</f>
        <v>NO</v>
      </c>
      <c r="W527" s="51" t="str">
        <f>VLOOKUP(Table3[[#This Row],[ACTIVITY]],TAGS!$B:$P,8,FALSE)</f>
        <v>Overhead</v>
      </c>
      <c r="X527" s="51" t="str">
        <f>VLOOKUP(Table3[[#This Row],[ACTIVITY]],TAGS!$B:$P,10,FALSE)</f>
        <v>NON-PIP</v>
      </c>
      <c r="Y527" s="51" t="str">
        <f>VLOOKUP(Table3[[#This Row],[ACTIVITY]],TAGS!$B:$P,11,FALSE)</f>
        <v>NON-PICS</v>
      </c>
      <c r="Z527" s="51">
        <f>VLOOKUP(Table3[[#This Row],[ACTIVITY]],TAGS!$B:$P,12,FALSE)</f>
        <v>0</v>
      </c>
      <c r="AA527" s="51">
        <f>VLOOKUP(Table3[[#This Row],[ACTIVITY]],TAGS!$B:$P,13,FALSE)</f>
        <v>0</v>
      </c>
      <c r="AB527" s="51">
        <f>VLOOKUP(Table3[[#This Row],[ACTIVITY]],TAGS!$B:$P,14,FALSE)</f>
        <v>0</v>
      </c>
      <c r="AC527" s="51" t="str">
        <f>VLOOKUP(Table3[[#This Row],[ACTIVITY]],TAGS!$B:$P,15,FALSE)</f>
        <v>Existing</v>
      </c>
      <c r="AD527" s="51">
        <f>VLOOKUP(Table3[[#This Row],[PI LEVEL 3]],'PI LEVEL'!$A:$G,7,FALSE)</f>
        <v>0</v>
      </c>
      <c r="AE527" s="47" t="s">
        <v>577</v>
      </c>
      <c r="AF527" s="51" t="str">
        <f>VLOOKUP(Table3[[#This Row],[ACTIVITY]],TAGS!$B:$P,3,FALSE)</f>
        <v>number</v>
      </c>
      <c r="AG527" s="47" t="s">
        <v>337</v>
      </c>
      <c r="AH527" s="51" t="str">
        <f>VLOOKUP(Table3[[#This Row],[MONTH]],TAGS!$W$67:$Y$81,2,FALSE)</f>
        <v>4TH QTR</v>
      </c>
      <c r="AI527" s="51" t="str">
        <f>VLOOKUP(Table3[[#This Row],[MONTH]],TAGS!$W$67:$Y$81,3,FALSE)</f>
        <v>2ND SEMESTER</v>
      </c>
      <c r="AJ527" s="51">
        <f>VLOOKUP(Table3[[#This Row],[MONTH]],TAGS!$W$67:$Z$81,4,FALSE)</f>
        <v>2025</v>
      </c>
      <c r="AK527" s="47">
        <v>60</v>
      </c>
      <c r="AL527" s="51" t="str">
        <f>VLOOKUP(Table3[[#This Row],[ACTIVITY]],TAGS!$B:$R,16,FALSE)</f>
        <v>NO</v>
      </c>
      <c r="AM527" s="47"/>
      <c r="AN527" s="47">
        <v>1250</v>
      </c>
      <c r="AO527" s="57">
        <f>SUM(Table3[[#This Row],[MALE BENEFICIARIES]:[FEMALE BENEFICIARIES]])</f>
        <v>0</v>
      </c>
      <c r="AP527" s="58"/>
      <c r="AQ527" s="58"/>
      <c r="AR527" s="58"/>
      <c r="AS527" s="58"/>
      <c r="AT527" s="59">
        <f>VLOOKUP(Table3[[#This Row],[ACTIVITY]],TAGS!$B:$R,17,FALSE)</f>
        <v>0</v>
      </c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E527" s="59"/>
      <c r="BF527" s="59"/>
      <c r="BG527" s="59"/>
      <c r="BH527" s="59"/>
      <c r="BI527" s="59"/>
      <c r="BJ527" s="59"/>
      <c r="BK527" s="59"/>
      <c r="BL527" s="59"/>
      <c r="BM527" s="59"/>
    </row>
    <row r="528" spans="1:65">
      <c r="A528" s="51" t="str">
        <f>VLOOKUP(Table3[[#This Row],[OU]],OU!$A$15:$B$34,2,FALSE)</f>
        <v>RFOs</v>
      </c>
      <c r="B528" s="47" t="s">
        <v>5</v>
      </c>
      <c r="C528" s="47" t="s">
        <v>574</v>
      </c>
      <c r="D528" s="47"/>
      <c r="E528" s="47" t="s">
        <v>78</v>
      </c>
      <c r="F528" s="47" t="s">
        <v>77</v>
      </c>
      <c r="G52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2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28" s="52" t="e">
        <f>VLOOKUP(Table3[[#This Row],[PSGC]],DISTRICT!$D:$G,4,FALSE)</f>
        <v>#N/A</v>
      </c>
      <c r="J528" s="47" t="s">
        <v>585</v>
      </c>
      <c r="K528" s="51" t="str">
        <f>VLOOKUP(Table3[[#This Row],[SPECIFIC COMMODITY]],TAGS!$W$48:$X$53,2,FALSE)</f>
        <v>Multi_commodity</v>
      </c>
      <c r="L528" s="51" t="str">
        <f>VLOOKUP(Table3[[#This Row],[PREXC SUB-PROGRAM]],Table5[],2,FALSE)</f>
        <v>FIELD PROGRAMS MANAGEMENT ACTIVITIES</v>
      </c>
      <c r="M528" s="51" t="str">
        <f>VLOOKUP(Table3[[#This Row],[COMMODITY PREXC SUB-PROGRAM]],TAGS!$U$54:$V$76,2,FALSE)</f>
        <v>FPMA</v>
      </c>
      <c r="N528" s="47" t="s">
        <v>597</v>
      </c>
      <c r="O528" s="54" t="str">
        <f>VLOOKUP(Table3[[#This Row],[PI LEVEL 3]],'PI LEVEL'!A:C,3,FALSE)</f>
        <v>National/Regional Field Monitoring conducted</v>
      </c>
      <c r="P528" s="54" t="str">
        <f>VLOOKUP(Table3[[#This Row],[PI LEVEL 3]],Table53729[[Performance Indicator Level 3]:[Performance Indicator Level 1]],2,FALSE)</f>
        <v>National/Regional Field Monitoring conducted</v>
      </c>
      <c r="Q528" s="54" t="str">
        <f>VLOOKUP(Table3[[#This Row],[ACTIVITY]],TAGS!B:P,2,FALSE)</f>
        <v>National/Regional Field Monitoring conducted</v>
      </c>
      <c r="R528" s="47" t="s">
        <v>227</v>
      </c>
      <c r="S528" s="51" t="str">
        <f>VLOOKUP(Table3[[#This Row],[ACTIVITY]],TAGS!$B:$P,4,FALSE)</f>
        <v>FPMA</v>
      </c>
      <c r="T528" s="51" t="str">
        <f>VLOOKUP(Table3[[#This Row],[ACTIVITY]],TAGS!$B:$P,5,FALSE)</f>
        <v>FPMA</v>
      </c>
      <c r="U528" s="51" t="str">
        <f>VLOOKUP(Table3[[#This Row],[ACTIVITY]],TAGS!$B:$P,6,FALSE)</f>
        <v>Salary (Staff)</v>
      </c>
      <c r="V528" s="51" t="str">
        <f>VLOOKUP(Table3[[#This Row],[ACTIVITY]],TAGS!$B:$P,7,FALSE)</f>
        <v>NO</v>
      </c>
      <c r="W528" s="51" t="str">
        <f>VLOOKUP(Table3[[#This Row],[ACTIVITY]],TAGS!$B:$P,8,FALSE)</f>
        <v>Overhead</v>
      </c>
      <c r="X528" s="51" t="str">
        <f>VLOOKUP(Table3[[#This Row],[ACTIVITY]],TAGS!$B:$P,10,FALSE)</f>
        <v>NON-PIP</v>
      </c>
      <c r="Y528" s="51" t="str">
        <f>VLOOKUP(Table3[[#This Row],[ACTIVITY]],TAGS!$B:$P,11,FALSE)</f>
        <v>NON-PICS</v>
      </c>
      <c r="Z528" s="51">
        <f>VLOOKUP(Table3[[#This Row],[ACTIVITY]],TAGS!$B:$P,12,FALSE)</f>
        <v>0</v>
      </c>
      <c r="AA528" s="51">
        <f>VLOOKUP(Table3[[#This Row],[ACTIVITY]],TAGS!$B:$P,13,FALSE)</f>
        <v>0</v>
      </c>
      <c r="AB528" s="51">
        <f>VLOOKUP(Table3[[#This Row],[ACTIVITY]],TAGS!$B:$P,14,FALSE)</f>
        <v>0</v>
      </c>
      <c r="AC528" s="51" t="str">
        <f>VLOOKUP(Table3[[#This Row],[ACTIVITY]],TAGS!$B:$P,15,FALSE)</f>
        <v>Existing</v>
      </c>
      <c r="AD528" s="51">
        <f>VLOOKUP(Table3[[#This Row],[PI LEVEL 3]],'PI LEVEL'!$A:$G,7,FALSE)</f>
        <v>0</v>
      </c>
      <c r="AE528" s="47" t="s">
        <v>577</v>
      </c>
      <c r="AF528" s="51" t="str">
        <f>VLOOKUP(Table3[[#This Row],[ACTIVITY]],TAGS!$B:$P,3,FALSE)</f>
        <v>number</v>
      </c>
      <c r="AG528" s="47" t="s">
        <v>338</v>
      </c>
      <c r="AH528" s="51" t="str">
        <f>VLOOKUP(Table3[[#This Row],[MONTH]],TAGS!$W$67:$Y$81,2,FALSE)</f>
        <v>4TH QTR</v>
      </c>
      <c r="AI528" s="51" t="str">
        <f>VLOOKUP(Table3[[#This Row],[MONTH]],TAGS!$W$67:$Y$81,3,FALSE)</f>
        <v>2ND SEMESTER</v>
      </c>
      <c r="AJ528" s="51">
        <f>VLOOKUP(Table3[[#This Row],[MONTH]],TAGS!$W$67:$Z$81,4,FALSE)</f>
        <v>2025</v>
      </c>
      <c r="AK528" s="47">
        <v>60</v>
      </c>
      <c r="AL528" s="51" t="str">
        <f>VLOOKUP(Table3[[#This Row],[ACTIVITY]],TAGS!$B:$R,16,FALSE)</f>
        <v>NO</v>
      </c>
      <c r="AM528" s="47"/>
      <c r="AN528" s="47">
        <v>1250</v>
      </c>
      <c r="AO528" s="57">
        <f>SUM(Table3[[#This Row],[MALE BENEFICIARIES]:[FEMALE BENEFICIARIES]])</f>
        <v>0</v>
      </c>
      <c r="AP528" s="58"/>
      <c r="AQ528" s="58"/>
      <c r="AR528" s="58"/>
      <c r="AS528" s="58"/>
      <c r="AT528" s="59">
        <f>VLOOKUP(Table3[[#This Row],[ACTIVITY]],TAGS!$B:$R,17,FALSE)</f>
        <v>0</v>
      </c>
      <c r="AU528" s="59"/>
      <c r="AV528" s="59"/>
      <c r="AW528" s="59"/>
      <c r="AX528" s="59"/>
      <c r="AY528" s="59"/>
      <c r="AZ528" s="59"/>
      <c r="BA528" s="59"/>
      <c r="BB528" s="59"/>
      <c r="BC528" s="59"/>
      <c r="BD528" s="59"/>
      <c r="BE528" s="59"/>
      <c r="BF528" s="59"/>
      <c r="BG528" s="59"/>
      <c r="BH528" s="59"/>
      <c r="BI528" s="59"/>
      <c r="BJ528" s="59"/>
      <c r="BK528" s="59"/>
      <c r="BL528" s="59"/>
      <c r="BM528" s="59"/>
    </row>
    <row r="529" spans="1:65">
      <c r="A529" s="51" t="str">
        <f>VLOOKUP(Table3[[#This Row],[OU]],OU!$A$15:$B$34,2,FALSE)</f>
        <v>RFOs</v>
      </c>
      <c r="B529" s="47" t="s">
        <v>5</v>
      </c>
      <c r="C529" s="47" t="s">
        <v>574</v>
      </c>
      <c r="D529" s="47"/>
      <c r="E529" s="47" t="s">
        <v>78</v>
      </c>
      <c r="F529" s="47" t="s">
        <v>77</v>
      </c>
      <c r="G52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2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29" s="52" t="e">
        <f>VLOOKUP(Table3[[#This Row],[PSGC]],DISTRICT!$D:$G,4,FALSE)</f>
        <v>#N/A</v>
      </c>
      <c r="J529" s="47" t="s">
        <v>585</v>
      </c>
      <c r="K529" s="51" t="str">
        <f>VLOOKUP(Table3[[#This Row],[SPECIFIC COMMODITY]],TAGS!$W$48:$X$53,2,FALSE)</f>
        <v>Multi_commodity</v>
      </c>
      <c r="L529" s="51" t="str">
        <f>VLOOKUP(Table3[[#This Row],[PREXC SUB-PROGRAM]],Table5[],2,FALSE)</f>
        <v>FIELD PROGRAMS MANAGEMENT ACTIVITIES</v>
      </c>
      <c r="M529" s="51" t="str">
        <f>VLOOKUP(Table3[[#This Row],[COMMODITY PREXC SUB-PROGRAM]],TAGS!$U$54:$V$76,2,FALSE)</f>
        <v>FPMA</v>
      </c>
      <c r="N529" s="47" t="s">
        <v>597</v>
      </c>
      <c r="O529" s="54" t="str">
        <f>VLOOKUP(Table3[[#This Row],[PI LEVEL 3]],'PI LEVEL'!A:C,3,FALSE)</f>
        <v>National/Regional Field Monitoring conducted</v>
      </c>
      <c r="P529" s="54" t="str">
        <f>VLOOKUP(Table3[[#This Row],[PI LEVEL 3]],Table53729[[Performance Indicator Level 3]:[Performance Indicator Level 1]],2,FALSE)</f>
        <v>National/Regional Field Monitoring conducted</v>
      </c>
      <c r="Q529" s="54" t="str">
        <f>VLOOKUP(Table3[[#This Row],[ACTIVITY]],TAGS!B:P,2,FALSE)</f>
        <v>National/Regional Field Monitoring conducted</v>
      </c>
      <c r="R529" s="47" t="s">
        <v>229</v>
      </c>
      <c r="S529" s="51" t="str">
        <f>VLOOKUP(Table3[[#This Row],[ACTIVITY]],TAGS!$B:$P,4,FALSE)</f>
        <v>FPMA</v>
      </c>
      <c r="T529" s="51" t="str">
        <f>VLOOKUP(Table3[[#This Row],[ACTIVITY]],TAGS!$B:$P,5,FALSE)</f>
        <v>FPMA</v>
      </c>
      <c r="U529" s="51" t="str">
        <f>VLOOKUP(Table3[[#This Row],[ACTIVITY]],TAGS!$B:$P,6,FALSE)</f>
        <v>Workshop and Meetings</v>
      </c>
      <c r="V529" s="51" t="str">
        <f>VLOOKUP(Table3[[#This Row],[ACTIVITY]],TAGS!$B:$P,7,FALSE)</f>
        <v>NO</v>
      </c>
      <c r="W529" s="51" t="str">
        <f>VLOOKUP(Table3[[#This Row],[ACTIVITY]],TAGS!$B:$P,8,FALSE)</f>
        <v>Overhead</v>
      </c>
      <c r="X529" s="51" t="str">
        <f>VLOOKUP(Table3[[#This Row],[ACTIVITY]],TAGS!$B:$P,10,FALSE)</f>
        <v>NON-PIP</v>
      </c>
      <c r="Y529" s="51" t="str">
        <f>VLOOKUP(Table3[[#This Row],[ACTIVITY]],TAGS!$B:$P,11,FALSE)</f>
        <v>NON-PICS</v>
      </c>
      <c r="Z529" s="51">
        <f>VLOOKUP(Table3[[#This Row],[ACTIVITY]],TAGS!$B:$P,12,FALSE)</f>
        <v>0</v>
      </c>
      <c r="AA529" s="51">
        <f>VLOOKUP(Table3[[#This Row],[ACTIVITY]],TAGS!$B:$P,13,FALSE)</f>
        <v>0</v>
      </c>
      <c r="AB529" s="51">
        <f>VLOOKUP(Table3[[#This Row],[ACTIVITY]],TAGS!$B:$P,14,FALSE)</f>
        <v>0</v>
      </c>
      <c r="AC529" s="51" t="str">
        <f>VLOOKUP(Table3[[#This Row],[ACTIVITY]],TAGS!$B:$P,15,FALSE)</f>
        <v>Existing</v>
      </c>
      <c r="AD529" s="51">
        <f>VLOOKUP(Table3[[#This Row],[PI LEVEL 3]],'PI LEVEL'!$A:$G,7,FALSE)</f>
        <v>0</v>
      </c>
      <c r="AE529" s="47" t="s">
        <v>577</v>
      </c>
      <c r="AF529" s="51" t="str">
        <f>VLOOKUP(Table3[[#This Row],[ACTIVITY]],TAGS!$B:$P,3,FALSE)</f>
        <v>number</v>
      </c>
      <c r="AG529" s="47" t="s">
        <v>327</v>
      </c>
      <c r="AH529" s="51" t="str">
        <f>VLOOKUP(Table3[[#This Row],[MONTH]],TAGS!$W$67:$Y$81,2,FALSE)</f>
        <v>1ST QTR</v>
      </c>
      <c r="AI529" s="51" t="str">
        <f>VLOOKUP(Table3[[#This Row],[MONTH]],TAGS!$W$67:$Y$81,3,FALSE)</f>
        <v>1ST SEMESTER</v>
      </c>
      <c r="AJ529" s="51">
        <f>VLOOKUP(Table3[[#This Row],[MONTH]],TAGS!$W$67:$Z$81,4,FALSE)</f>
        <v>2025</v>
      </c>
      <c r="AK529" s="47">
        <v>1</v>
      </c>
      <c r="AL529" s="51" t="str">
        <f>VLOOKUP(Table3[[#This Row],[ACTIVITY]],TAGS!$B:$R,16,FALSE)</f>
        <v>NO</v>
      </c>
      <c r="AM529" s="47"/>
      <c r="AN529" s="47">
        <v>350</v>
      </c>
      <c r="AO529" s="57">
        <f>SUM(Table3[[#This Row],[MALE BENEFICIARIES]:[FEMALE BENEFICIARIES]])</f>
        <v>0</v>
      </c>
      <c r="AP529" s="58"/>
      <c r="AQ529" s="58"/>
      <c r="AR529" s="58"/>
      <c r="AS529" s="58"/>
      <c r="AT529" s="59">
        <f>VLOOKUP(Table3[[#This Row],[ACTIVITY]],TAGS!$B:$R,17,FALSE)</f>
        <v>0</v>
      </c>
      <c r="AU529" s="59"/>
      <c r="AV529" s="59"/>
      <c r="AW529" s="59"/>
      <c r="AX529" s="59"/>
      <c r="AY529" s="59"/>
      <c r="AZ529" s="59"/>
      <c r="BA529" s="59"/>
      <c r="BB529" s="59"/>
      <c r="BC529" s="59"/>
      <c r="BD529" s="59"/>
      <c r="BE529" s="59"/>
      <c r="BF529" s="59"/>
      <c r="BG529" s="59"/>
      <c r="BH529" s="59"/>
      <c r="BI529" s="59"/>
      <c r="BJ529" s="59"/>
      <c r="BK529" s="59"/>
      <c r="BL529" s="59"/>
      <c r="BM529" s="59"/>
    </row>
    <row r="530" spans="1:65">
      <c r="A530" s="51" t="str">
        <f>VLOOKUP(Table3[[#This Row],[OU]],OU!$A$15:$B$34,2,FALSE)</f>
        <v>RFOs</v>
      </c>
      <c r="B530" s="47" t="s">
        <v>5</v>
      </c>
      <c r="C530" s="47" t="s">
        <v>574</v>
      </c>
      <c r="D530" s="47"/>
      <c r="E530" s="47" t="s">
        <v>78</v>
      </c>
      <c r="F530" s="47" t="s">
        <v>77</v>
      </c>
      <c r="G53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3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30" s="52" t="e">
        <f>VLOOKUP(Table3[[#This Row],[PSGC]],DISTRICT!$D:$G,4,FALSE)</f>
        <v>#N/A</v>
      </c>
      <c r="J530" s="47" t="s">
        <v>585</v>
      </c>
      <c r="K530" s="51" t="str">
        <f>VLOOKUP(Table3[[#This Row],[SPECIFIC COMMODITY]],TAGS!$W$48:$X$53,2,FALSE)</f>
        <v>Multi_commodity</v>
      </c>
      <c r="L530" s="51" t="str">
        <f>VLOOKUP(Table3[[#This Row],[PREXC SUB-PROGRAM]],Table5[],2,FALSE)</f>
        <v>FIELD PROGRAMS MANAGEMENT ACTIVITIES</v>
      </c>
      <c r="M530" s="51" t="str">
        <f>VLOOKUP(Table3[[#This Row],[COMMODITY PREXC SUB-PROGRAM]],TAGS!$U$54:$V$76,2,FALSE)</f>
        <v>FPMA</v>
      </c>
      <c r="N530" s="47" t="s">
        <v>597</v>
      </c>
      <c r="O530" s="54" t="str">
        <f>VLOOKUP(Table3[[#This Row],[PI LEVEL 3]],'PI LEVEL'!A:C,3,FALSE)</f>
        <v>National/Regional Field Monitoring conducted</v>
      </c>
      <c r="P530" s="54" t="str">
        <f>VLOOKUP(Table3[[#This Row],[PI LEVEL 3]],Table53729[[Performance Indicator Level 3]:[Performance Indicator Level 1]],2,FALSE)</f>
        <v>National/Regional Field Monitoring conducted</v>
      </c>
      <c r="Q530" s="54" t="str">
        <f>VLOOKUP(Table3[[#This Row],[ACTIVITY]],TAGS!B:P,2,FALSE)</f>
        <v>National/Regional Field Monitoring conducted</v>
      </c>
      <c r="R530" s="47" t="s">
        <v>229</v>
      </c>
      <c r="S530" s="51" t="str">
        <f>VLOOKUP(Table3[[#This Row],[ACTIVITY]],TAGS!$B:$P,4,FALSE)</f>
        <v>FPMA</v>
      </c>
      <c r="T530" s="51" t="str">
        <f>VLOOKUP(Table3[[#This Row],[ACTIVITY]],TAGS!$B:$P,5,FALSE)</f>
        <v>FPMA</v>
      </c>
      <c r="U530" s="51" t="str">
        <f>VLOOKUP(Table3[[#This Row],[ACTIVITY]],TAGS!$B:$P,6,FALSE)</f>
        <v>Workshop and Meetings</v>
      </c>
      <c r="V530" s="51" t="str">
        <f>VLOOKUP(Table3[[#This Row],[ACTIVITY]],TAGS!$B:$P,7,FALSE)</f>
        <v>NO</v>
      </c>
      <c r="W530" s="51" t="str">
        <f>VLOOKUP(Table3[[#This Row],[ACTIVITY]],TAGS!$B:$P,8,FALSE)</f>
        <v>Overhead</v>
      </c>
      <c r="X530" s="51" t="str">
        <f>VLOOKUP(Table3[[#This Row],[ACTIVITY]],TAGS!$B:$P,10,FALSE)</f>
        <v>NON-PIP</v>
      </c>
      <c r="Y530" s="51" t="str">
        <f>VLOOKUP(Table3[[#This Row],[ACTIVITY]],TAGS!$B:$P,11,FALSE)</f>
        <v>NON-PICS</v>
      </c>
      <c r="Z530" s="51">
        <f>VLOOKUP(Table3[[#This Row],[ACTIVITY]],TAGS!$B:$P,12,FALSE)</f>
        <v>0</v>
      </c>
      <c r="AA530" s="51">
        <f>VLOOKUP(Table3[[#This Row],[ACTIVITY]],TAGS!$B:$P,13,FALSE)</f>
        <v>0</v>
      </c>
      <c r="AB530" s="51">
        <f>VLOOKUP(Table3[[#This Row],[ACTIVITY]],TAGS!$B:$P,14,FALSE)</f>
        <v>0</v>
      </c>
      <c r="AC530" s="51" t="str">
        <f>VLOOKUP(Table3[[#This Row],[ACTIVITY]],TAGS!$B:$P,15,FALSE)</f>
        <v>Existing</v>
      </c>
      <c r="AD530" s="51">
        <f>VLOOKUP(Table3[[#This Row],[PI LEVEL 3]],'PI LEVEL'!$A:$G,7,FALSE)</f>
        <v>0</v>
      </c>
      <c r="AE530" s="47" t="s">
        <v>577</v>
      </c>
      <c r="AF530" s="51" t="str">
        <f>VLOOKUP(Table3[[#This Row],[ACTIVITY]],TAGS!$B:$P,3,FALSE)</f>
        <v>number</v>
      </c>
      <c r="AG530" s="47" t="s">
        <v>328</v>
      </c>
      <c r="AH530" s="51" t="str">
        <f>VLOOKUP(Table3[[#This Row],[MONTH]],TAGS!$W$67:$Y$81,2,FALSE)</f>
        <v>1ST QTR</v>
      </c>
      <c r="AI530" s="51" t="str">
        <f>VLOOKUP(Table3[[#This Row],[MONTH]],TAGS!$W$67:$Y$81,3,FALSE)</f>
        <v>1ST SEMESTER</v>
      </c>
      <c r="AJ530" s="51">
        <f>VLOOKUP(Table3[[#This Row],[MONTH]],TAGS!$W$67:$Z$81,4,FALSE)</f>
        <v>2025</v>
      </c>
      <c r="AK530" s="47">
        <v>1</v>
      </c>
      <c r="AL530" s="51" t="str">
        <f>VLOOKUP(Table3[[#This Row],[ACTIVITY]],TAGS!$B:$R,16,FALSE)</f>
        <v>NO</v>
      </c>
      <c r="AM530" s="47"/>
      <c r="AN530" s="47">
        <v>300</v>
      </c>
      <c r="AO530" s="57">
        <f>SUM(Table3[[#This Row],[MALE BENEFICIARIES]:[FEMALE BENEFICIARIES]])</f>
        <v>0</v>
      </c>
      <c r="AP530" s="58"/>
      <c r="AQ530" s="58"/>
      <c r="AR530" s="58"/>
      <c r="AS530" s="58"/>
      <c r="AT530" s="59">
        <f>VLOOKUP(Table3[[#This Row],[ACTIVITY]],TAGS!$B:$R,17,FALSE)</f>
        <v>0</v>
      </c>
      <c r="AU530" s="59"/>
      <c r="AV530" s="59"/>
      <c r="AW530" s="59"/>
      <c r="AX530" s="59"/>
      <c r="AY530" s="59"/>
      <c r="AZ530" s="59"/>
      <c r="BA530" s="59"/>
      <c r="BB530" s="59"/>
      <c r="BC530" s="59"/>
      <c r="BD530" s="59"/>
      <c r="BE530" s="59"/>
      <c r="BF530" s="59"/>
      <c r="BG530" s="59"/>
      <c r="BH530" s="59"/>
      <c r="BI530" s="59"/>
      <c r="BJ530" s="59"/>
      <c r="BK530" s="59"/>
      <c r="BL530" s="59"/>
      <c r="BM530" s="59"/>
    </row>
    <row r="531" spans="1:65">
      <c r="A531" s="51" t="str">
        <f>VLOOKUP(Table3[[#This Row],[OU]],OU!$A$15:$B$34,2,FALSE)</f>
        <v>RFOs</v>
      </c>
      <c r="B531" s="47" t="s">
        <v>5</v>
      </c>
      <c r="C531" s="47" t="s">
        <v>574</v>
      </c>
      <c r="D531" s="47"/>
      <c r="E531" s="47" t="s">
        <v>78</v>
      </c>
      <c r="F531" s="47" t="s">
        <v>77</v>
      </c>
      <c r="G53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3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31" s="52" t="e">
        <f>VLOOKUP(Table3[[#This Row],[PSGC]],DISTRICT!$D:$G,4,FALSE)</f>
        <v>#N/A</v>
      </c>
      <c r="J531" s="47" t="s">
        <v>585</v>
      </c>
      <c r="K531" s="51" t="str">
        <f>VLOOKUP(Table3[[#This Row],[SPECIFIC COMMODITY]],TAGS!$W$48:$X$53,2,FALSE)</f>
        <v>Multi_commodity</v>
      </c>
      <c r="L531" s="51" t="str">
        <f>VLOOKUP(Table3[[#This Row],[PREXC SUB-PROGRAM]],Table5[],2,FALSE)</f>
        <v>FIELD PROGRAMS MANAGEMENT ACTIVITIES</v>
      </c>
      <c r="M531" s="51" t="str">
        <f>VLOOKUP(Table3[[#This Row],[COMMODITY PREXC SUB-PROGRAM]],TAGS!$U$54:$V$76,2,FALSE)</f>
        <v>FPMA</v>
      </c>
      <c r="N531" s="47" t="s">
        <v>597</v>
      </c>
      <c r="O531" s="54" t="str">
        <f>VLOOKUP(Table3[[#This Row],[PI LEVEL 3]],'PI LEVEL'!A:C,3,FALSE)</f>
        <v>National/Regional Field Monitoring conducted</v>
      </c>
      <c r="P531" s="54" t="str">
        <f>VLOOKUP(Table3[[#This Row],[PI LEVEL 3]],Table53729[[Performance Indicator Level 3]:[Performance Indicator Level 1]],2,FALSE)</f>
        <v>National/Regional Field Monitoring conducted</v>
      </c>
      <c r="Q531" s="54" t="str">
        <f>VLOOKUP(Table3[[#This Row],[ACTIVITY]],TAGS!B:P,2,FALSE)</f>
        <v>National/Regional Field Monitoring conducted</v>
      </c>
      <c r="R531" s="47" t="s">
        <v>229</v>
      </c>
      <c r="S531" s="51" t="str">
        <f>VLOOKUP(Table3[[#This Row],[ACTIVITY]],TAGS!$B:$P,4,FALSE)</f>
        <v>FPMA</v>
      </c>
      <c r="T531" s="51" t="str">
        <f>VLOOKUP(Table3[[#This Row],[ACTIVITY]],TAGS!$B:$P,5,FALSE)</f>
        <v>FPMA</v>
      </c>
      <c r="U531" s="51" t="str">
        <f>VLOOKUP(Table3[[#This Row],[ACTIVITY]],TAGS!$B:$P,6,FALSE)</f>
        <v>Workshop and Meetings</v>
      </c>
      <c r="V531" s="51" t="str">
        <f>VLOOKUP(Table3[[#This Row],[ACTIVITY]],TAGS!$B:$P,7,FALSE)</f>
        <v>NO</v>
      </c>
      <c r="W531" s="51" t="str">
        <f>VLOOKUP(Table3[[#This Row],[ACTIVITY]],TAGS!$B:$P,8,FALSE)</f>
        <v>Overhead</v>
      </c>
      <c r="X531" s="51" t="str">
        <f>VLOOKUP(Table3[[#This Row],[ACTIVITY]],TAGS!$B:$P,10,FALSE)</f>
        <v>NON-PIP</v>
      </c>
      <c r="Y531" s="51" t="str">
        <f>VLOOKUP(Table3[[#This Row],[ACTIVITY]],TAGS!$B:$P,11,FALSE)</f>
        <v>NON-PICS</v>
      </c>
      <c r="Z531" s="51">
        <f>VLOOKUP(Table3[[#This Row],[ACTIVITY]],TAGS!$B:$P,12,FALSE)</f>
        <v>0</v>
      </c>
      <c r="AA531" s="51">
        <f>VLOOKUP(Table3[[#This Row],[ACTIVITY]],TAGS!$B:$P,13,FALSE)</f>
        <v>0</v>
      </c>
      <c r="AB531" s="51">
        <f>VLOOKUP(Table3[[#This Row],[ACTIVITY]],TAGS!$B:$P,14,FALSE)</f>
        <v>0</v>
      </c>
      <c r="AC531" s="51" t="str">
        <f>VLOOKUP(Table3[[#This Row],[ACTIVITY]],TAGS!$B:$P,15,FALSE)</f>
        <v>Existing</v>
      </c>
      <c r="AD531" s="51">
        <f>VLOOKUP(Table3[[#This Row],[PI LEVEL 3]],'PI LEVEL'!$A:$G,7,FALSE)</f>
        <v>0</v>
      </c>
      <c r="AE531" s="47" t="s">
        <v>577</v>
      </c>
      <c r="AF531" s="51" t="str">
        <f>VLOOKUP(Table3[[#This Row],[ACTIVITY]],TAGS!$B:$P,3,FALSE)</f>
        <v>number</v>
      </c>
      <c r="AG531" s="47" t="s">
        <v>329</v>
      </c>
      <c r="AH531" s="51" t="str">
        <f>VLOOKUP(Table3[[#This Row],[MONTH]],TAGS!$W$67:$Y$81,2,FALSE)</f>
        <v>1ST QTR</v>
      </c>
      <c r="AI531" s="51" t="str">
        <f>VLOOKUP(Table3[[#This Row],[MONTH]],TAGS!$W$67:$Y$81,3,FALSE)</f>
        <v>1ST SEMESTER</v>
      </c>
      <c r="AJ531" s="51">
        <f>VLOOKUP(Table3[[#This Row],[MONTH]],TAGS!$W$67:$Z$81,4,FALSE)</f>
        <v>2025</v>
      </c>
      <c r="AK531" s="47">
        <v>1</v>
      </c>
      <c r="AL531" s="51" t="str">
        <f>VLOOKUP(Table3[[#This Row],[ACTIVITY]],TAGS!$B:$R,16,FALSE)</f>
        <v>NO</v>
      </c>
      <c r="AM531" s="47"/>
      <c r="AN531" s="47">
        <v>300</v>
      </c>
      <c r="AO531" s="57">
        <f>SUM(Table3[[#This Row],[MALE BENEFICIARIES]:[FEMALE BENEFICIARIES]])</f>
        <v>0</v>
      </c>
      <c r="AP531" s="58"/>
      <c r="AQ531" s="58"/>
      <c r="AR531" s="58"/>
      <c r="AS531" s="58"/>
      <c r="AT531" s="59">
        <f>VLOOKUP(Table3[[#This Row],[ACTIVITY]],TAGS!$B:$R,17,FALSE)</f>
        <v>0</v>
      </c>
      <c r="AU531" s="59"/>
      <c r="AV531" s="59"/>
      <c r="AW531" s="59"/>
      <c r="AX531" s="59"/>
      <c r="AY531" s="59"/>
      <c r="AZ531" s="59"/>
      <c r="BA531" s="59"/>
      <c r="BB531" s="59"/>
      <c r="BC531" s="59"/>
      <c r="BD531" s="59"/>
      <c r="BE531" s="59"/>
      <c r="BF531" s="59"/>
      <c r="BG531" s="59"/>
      <c r="BH531" s="59"/>
      <c r="BI531" s="59"/>
      <c r="BJ531" s="59"/>
      <c r="BK531" s="59"/>
      <c r="BL531" s="59"/>
      <c r="BM531" s="59"/>
    </row>
    <row r="532" spans="1:65">
      <c r="A532" s="51" t="str">
        <f>VLOOKUP(Table3[[#This Row],[OU]],OU!$A$15:$B$34,2,FALSE)</f>
        <v>RFOs</v>
      </c>
      <c r="B532" s="47" t="s">
        <v>5</v>
      </c>
      <c r="C532" s="47" t="s">
        <v>574</v>
      </c>
      <c r="D532" s="47"/>
      <c r="E532" s="47" t="s">
        <v>78</v>
      </c>
      <c r="F532" s="47" t="s">
        <v>77</v>
      </c>
      <c r="G53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3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32" s="52" t="e">
        <f>VLOOKUP(Table3[[#This Row],[PSGC]],DISTRICT!$D:$G,4,FALSE)</f>
        <v>#N/A</v>
      </c>
      <c r="J532" s="47" t="s">
        <v>585</v>
      </c>
      <c r="K532" s="51" t="str">
        <f>VLOOKUP(Table3[[#This Row],[SPECIFIC COMMODITY]],TAGS!$W$48:$X$53,2,FALSE)</f>
        <v>Multi_commodity</v>
      </c>
      <c r="L532" s="51" t="str">
        <f>VLOOKUP(Table3[[#This Row],[PREXC SUB-PROGRAM]],Table5[],2,FALSE)</f>
        <v>FIELD PROGRAMS MANAGEMENT ACTIVITIES</v>
      </c>
      <c r="M532" s="51" t="str">
        <f>VLOOKUP(Table3[[#This Row],[COMMODITY PREXC SUB-PROGRAM]],TAGS!$U$54:$V$76,2,FALSE)</f>
        <v>FPMA</v>
      </c>
      <c r="N532" s="47" t="s">
        <v>597</v>
      </c>
      <c r="O532" s="54" t="str">
        <f>VLOOKUP(Table3[[#This Row],[PI LEVEL 3]],'PI LEVEL'!A:C,3,FALSE)</f>
        <v>National/Regional Field Monitoring conducted</v>
      </c>
      <c r="P532" s="54" t="str">
        <f>VLOOKUP(Table3[[#This Row],[PI LEVEL 3]],Table53729[[Performance Indicator Level 3]:[Performance Indicator Level 1]],2,FALSE)</f>
        <v>National/Regional Field Monitoring conducted</v>
      </c>
      <c r="Q532" s="54" t="str">
        <f>VLOOKUP(Table3[[#This Row],[ACTIVITY]],TAGS!B:P,2,FALSE)</f>
        <v>National/Regional Field Monitoring conducted</v>
      </c>
      <c r="R532" s="47" t="s">
        <v>229</v>
      </c>
      <c r="S532" s="51" t="str">
        <f>VLOOKUP(Table3[[#This Row],[ACTIVITY]],TAGS!$B:$P,4,FALSE)</f>
        <v>FPMA</v>
      </c>
      <c r="T532" s="51" t="str">
        <f>VLOOKUP(Table3[[#This Row],[ACTIVITY]],TAGS!$B:$P,5,FALSE)</f>
        <v>FPMA</v>
      </c>
      <c r="U532" s="51" t="str">
        <f>VLOOKUP(Table3[[#This Row],[ACTIVITY]],TAGS!$B:$P,6,FALSE)</f>
        <v>Workshop and Meetings</v>
      </c>
      <c r="V532" s="51" t="str">
        <f>VLOOKUP(Table3[[#This Row],[ACTIVITY]],TAGS!$B:$P,7,FALSE)</f>
        <v>NO</v>
      </c>
      <c r="W532" s="51" t="str">
        <f>VLOOKUP(Table3[[#This Row],[ACTIVITY]],TAGS!$B:$P,8,FALSE)</f>
        <v>Overhead</v>
      </c>
      <c r="X532" s="51" t="str">
        <f>VLOOKUP(Table3[[#This Row],[ACTIVITY]],TAGS!$B:$P,10,FALSE)</f>
        <v>NON-PIP</v>
      </c>
      <c r="Y532" s="51" t="str">
        <f>VLOOKUP(Table3[[#This Row],[ACTIVITY]],TAGS!$B:$P,11,FALSE)</f>
        <v>NON-PICS</v>
      </c>
      <c r="Z532" s="51">
        <f>VLOOKUP(Table3[[#This Row],[ACTIVITY]],TAGS!$B:$P,12,FALSE)</f>
        <v>0</v>
      </c>
      <c r="AA532" s="51">
        <f>VLOOKUP(Table3[[#This Row],[ACTIVITY]],TAGS!$B:$P,13,FALSE)</f>
        <v>0</v>
      </c>
      <c r="AB532" s="51">
        <f>VLOOKUP(Table3[[#This Row],[ACTIVITY]],TAGS!$B:$P,14,FALSE)</f>
        <v>0</v>
      </c>
      <c r="AC532" s="51" t="str">
        <f>VLOOKUP(Table3[[#This Row],[ACTIVITY]],TAGS!$B:$P,15,FALSE)</f>
        <v>Existing</v>
      </c>
      <c r="AD532" s="51">
        <f>VLOOKUP(Table3[[#This Row],[PI LEVEL 3]],'PI LEVEL'!$A:$G,7,FALSE)</f>
        <v>0</v>
      </c>
      <c r="AE532" s="47" t="s">
        <v>577</v>
      </c>
      <c r="AF532" s="51" t="str">
        <f>VLOOKUP(Table3[[#This Row],[ACTIVITY]],TAGS!$B:$P,3,FALSE)</f>
        <v>number</v>
      </c>
      <c r="AG532" s="47" t="s">
        <v>330</v>
      </c>
      <c r="AH532" s="51" t="str">
        <f>VLOOKUP(Table3[[#This Row],[MONTH]],TAGS!$W$67:$Y$81,2,FALSE)</f>
        <v>2ND QTR</v>
      </c>
      <c r="AI532" s="51" t="str">
        <f>VLOOKUP(Table3[[#This Row],[MONTH]],TAGS!$W$67:$Y$81,3,FALSE)</f>
        <v>1ST SEMESTER</v>
      </c>
      <c r="AJ532" s="51">
        <f>VLOOKUP(Table3[[#This Row],[MONTH]],TAGS!$W$67:$Z$81,4,FALSE)</f>
        <v>2025</v>
      </c>
      <c r="AK532" s="47">
        <v>1</v>
      </c>
      <c r="AL532" s="51" t="str">
        <f>VLOOKUP(Table3[[#This Row],[ACTIVITY]],TAGS!$B:$R,16,FALSE)</f>
        <v>NO</v>
      </c>
      <c r="AM532" s="47"/>
      <c r="AN532" s="47">
        <v>350</v>
      </c>
      <c r="AO532" s="57">
        <f>SUM(Table3[[#This Row],[MALE BENEFICIARIES]:[FEMALE BENEFICIARIES]])</f>
        <v>0</v>
      </c>
      <c r="AP532" s="58"/>
      <c r="AQ532" s="58"/>
      <c r="AR532" s="58"/>
      <c r="AS532" s="58"/>
      <c r="AT532" s="59">
        <f>VLOOKUP(Table3[[#This Row],[ACTIVITY]],TAGS!$B:$R,17,FALSE)</f>
        <v>0</v>
      </c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  <c r="BG532" s="59"/>
      <c r="BH532" s="59"/>
      <c r="BI532" s="59"/>
      <c r="BJ532" s="59"/>
      <c r="BK532" s="59"/>
      <c r="BL532" s="59"/>
      <c r="BM532" s="59"/>
    </row>
    <row r="533" spans="1:65">
      <c r="A533" s="51" t="str">
        <f>VLOOKUP(Table3[[#This Row],[OU]],OU!$A$15:$B$34,2,FALSE)</f>
        <v>RFOs</v>
      </c>
      <c r="B533" s="47" t="s">
        <v>5</v>
      </c>
      <c r="C533" s="47" t="s">
        <v>574</v>
      </c>
      <c r="D533" s="47"/>
      <c r="E533" s="47" t="s">
        <v>78</v>
      </c>
      <c r="F533" s="47" t="s">
        <v>77</v>
      </c>
      <c r="G53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3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33" s="52" t="e">
        <f>VLOOKUP(Table3[[#This Row],[PSGC]],DISTRICT!$D:$G,4,FALSE)</f>
        <v>#N/A</v>
      </c>
      <c r="J533" s="47" t="s">
        <v>585</v>
      </c>
      <c r="K533" s="51" t="str">
        <f>VLOOKUP(Table3[[#This Row],[SPECIFIC COMMODITY]],TAGS!$W$48:$X$53,2,FALSE)</f>
        <v>Multi_commodity</v>
      </c>
      <c r="L533" s="51" t="str">
        <f>VLOOKUP(Table3[[#This Row],[PREXC SUB-PROGRAM]],Table5[],2,FALSE)</f>
        <v>FIELD PROGRAMS MANAGEMENT ACTIVITIES</v>
      </c>
      <c r="M533" s="51" t="str">
        <f>VLOOKUP(Table3[[#This Row],[COMMODITY PREXC SUB-PROGRAM]],TAGS!$U$54:$V$76,2,FALSE)</f>
        <v>FPMA</v>
      </c>
      <c r="N533" s="47" t="s">
        <v>597</v>
      </c>
      <c r="O533" s="54" t="str">
        <f>VLOOKUP(Table3[[#This Row],[PI LEVEL 3]],'PI LEVEL'!A:C,3,FALSE)</f>
        <v>National/Regional Field Monitoring conducted</v>
      </c>
      <c r="P533" s="54" t="str">
        <f>VLOOKUP(Table3[[#This Row],[PI LEVEL 3]],Table53729[[Performance Indicator Level 3]:[Performance Indicator Level 1]],2,FALSE)</f>
        <v>National/Regional Field Monitoring conducted</v>
      </c>
      <c r="Q533" s="54" t="str">
        <f>VLOOKUP(Table3[[#This Row],[ACTIVITY]],TAGS!B:P,2,FALSE)</f>
        <v>National/Regional Field Monitoring conducted</v>
      </c>
      <c r="R533" s="47" t="s">
        <v>229</v>
      </c>
      <c r="S533" s="51" t="str">
        <f>VLOOKUP(Table3[[#This Row],[ACTIVITY]],TAGS!$B:$P,4,FALSE)</f>
        <v>FPMA</v>
      </c>
      <c r="T533" s="51" t="str">
        <f>VLOOKUP(Table3[[#This Row],[ACTIVITY]],TAGS!$B:$P,5,FALSE)</f>
        <v>FPMA</v>
      </c>
      <c r="U533" s="51" t="str">
        <f>VLOOKUP(Table3[[#This Row],[ACTIVITY]],TAGS!$B:$P,6,FALSE)</f>
        <v>Workshop and Meetings</v>
      </c>
      <c r="V533" s="51" t="str">
        <f>VLOOKUP(Table3[[#This Row],[ACTIVITY]],TAGS!$B:$P,7,FALSE)</f>
        <v>NO</v>
      </c>
      <c r="W533" s="51" t="str">
        <f>VLOOKUP(Table3[[#This Row],[ACTIVITY]],TAGS!$B:$P,8,FALSE)</f>
        <v>Overhead</v>
      </c>
      <c r="X533" s="51" t="str">
        <f>VLOOKUP(Table3[[#This Row],[ACTIVITY]],TAGS!$B:$P,10,FALSE)</f>
        <v>NON-PIP</v>
      </c>
      <c r="Y533" s="51" t="str">
        <f>VLOOKUP(Table3[[#This Row],[ACTIVITY]],TAGS!$B:$P,11,FALSE)</f>
        <v>NON-PICS</v>
      </c>
      <c r="Z533" s="51">
        <f>VLOOKUP(Table3[[#This Row],[ACTIVITY]],TAGS!$B:$P,12,FALSE)</f>
        <v>0</v>
      </c>
      <c r="AA533" s="51">
        <f>VLOOKUP(Table3[[#This Row],[ACTIVITY]],TAGS!$B:$P,13,FALSE)</f>
        <v>0</v>
      </c>
      <c r="AB533" s="51">
        <f>VLOOKUP(Table3[[#This Row],[ACTIVITY]],TAGS!$B:$P,14,FALSE)</f>
        <v>0</v>
      </c>
      <c r="AC533" s="51" t="str">
        <f>VLOOKUP(Table3[[#This Row],[ACTIVITY]],TAGS!$B:$P,15,FALSE)</f>
        <v>Existing</v>
      </c>
      <c r="AD533" s="51">
        <f>VLOOKUP(Table3[[#This Row],[PI LEVEL 3]],'PI LEVEL'!$A:$G,7,FALSE)</f>
        <v>0</v>
      </c>
      <c r="AE533" s="47" t="s">
        <v>577</v>
      </c>
      <c r="AF533" s="51" t="str">
        <f>VLOOKUP(Table3[[#This Row],[ACTIVITY]],TAGS!$B:$P,3,FALSE)</f>
        <v>number</v>
      </c>
      <c r="AG533" s="47" t="s">
        <v>331</v>
      </c>
      <c r="AH533" s="51" t="str">
        <f>VLOOKUP(Table3[[#This Row],[MONTH]],TAGS!$W$67:$Y$81,2,FALSE)</f>
        <v>2ND QTR</v>
      </c>
      <c r="AI533" s="51" t="str">
        <f>VLOOKUP(Table3[[#This Row],[MONTH]],TAGS!$W$67:$Y$81,3,FALSE)</f>
        <v>1ST SEMESTER</v>
      </c>
      <c r="AJ533" s="51">
        <f>VLOOKUP(Table3[[#This Row],[MONTH]],TAGS!$W$67:$Z$81,4,FALSE)</f>
        <v>2025</v>
      </c>
      <c r="AK533" s="47">
        <v>1</v>
      </c>
      <c r="AL533" s="51" t="str">
        <f>VLOOKUP(Table3[[#This Row],[ACTIVITY]],TAGS!$B:$R,16,FALSE)</f>
        <v>NO</v>
      </c>
      <c r="AM533" s="47"/>
      <c r="AN533" s="47">
        <v>350</v>
      </c>
      <c r="AO533" s="57">
        <f>SUM(Table3[[#This Row],[MALE BENEFICIARIES]:[FEMALE BENEFICIARIES]])</f>
        <v>0</v>
      </c>
      <c r="AP533" s="58"/>
      <c r="AQ533" s="58"/>
      <c r="AR533" s="58"/>
      <c r="AS533" s="58"/>
      <c r="AT533" s="59">
        <f>VLOOKUP(Table3[[#This Row],[ACTIVITY]],TAGS!$B:$R,17,FALSE)</f>
        <v>0</v>
      </c>
      <c r="AU533" s="59"/>
      <c r="AV533" s="59"/>
      <c r="AW533" s="59"/>
      <c r="AX533" s="59"/>
      <c r="AY533" s="59"/>
      <c r="AZ533" s="59"/>
      <c r="BA533" s="59"/>
      <c r="BB533" s="59"/>
      <c r="BC533" s="59"/>
      <c r="BD533" s="59"/>
      <c r="BE533" s="59"/>
      <c r="BF533" s="59"/>
      <c r="BG533" s="59"/>
      <c r="BH533" s="59"/>
      <c r="BI533" s="59"/>
      <c r="BJ533" s="59"/>
      <c r="BK533" s="59"/>
      <c r="BL533" s="59"/>
      <c r="BM533" s="59"/>
    </row>
    <row r="534" spans="1:65">
      <c r="A534" s="51" t="str">
        <f>VLOOKUP(Table3[[#This Row],[OU]],OU!$A$15:$B$34,2,FALSE)</f>
        <v>RFOs</v>
      </c>
      <c r="B534" s="47" t="s">
        <v>5</v>
      </c>
      <c r="C534" s="47" t="s">
        <v>574</v>
      </c>
      <c r="D534" s="47"/>
      <c r="E534" s="47" t="s">
        <v>78</v>
      </c>
      <c r="F534" s="47" t="s">
        <v>77</v>
      </c>
      <c r="G53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3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34" s="52" t="e">
        <f>VLOOKUP(Table3[[#This Row],[PSGC]],DISTRICT!$D:$G,4,FALSE)</f>
        <v>#N/A</v>
      </c>
      <c r="J534" s="47" t="s">
        <v>585</v>
      </c>
      <c r="K534" s="51" t="str">
        <f>VLOOKUP(Table3[[#This Row],[SPECIFIC COMMODITY]],TAGS!$W$48:$X$53,2,FALSE)</f>
        <v>Multi_commodity</v>
      </c>
      <c r="L534" s="51" t="str">
        <f>VLOOKUP(Table3[[#This Row],[PREXC SUB-PROGRAM]],Table5[],2,FALSE)</f>
        <v>FIELD PROGRAMS MANAGEMENT ACTIVITIES</v>
      </c>
      <c r="M534" s="51" t="str">
        <f>VLOOKUP(Table3[[#This Row],[COMMODITY PREXC SUB-PROGRAM]],TAGS!$U$54:$V$76,2,FALSE)</f>
        <v>FPMA</v>
      </c>
      <c r="N534" s="47" t="s">
        <v>597</v>
      </c>
      <c r="O534" s="54" t="str">
        <f>VLOOKUP(Table3[[#This Row],[PI LEVEL 3]],'PI LEVEL'!A:C,3,FALSE)</f>
        <v>National/Regional Field Monitoring conducted</v>
      </c>
      <c r="P534" s="54" t="str">
        <f>VLOOKUP(Table3[[#This Row],[PI LEVEL 3]],Table53729[[Performance Indicator Level 3]:[Performance Indicator Level 1]],2,FALSE)</f>
        <v>National/Regional Field Monitoring conducted</v>
      </c>
      <c r="Q534" s="54" t="str">
        <f>VLOOKUP(Table3[[#This Row],[ACTIVITY]],TAGS!B:P,2,FALSE)</f>
        <v>National/Regional Field Monitoring conducted</v>
      </c>
      <c r="R534" s="47" t="s">
        <v>229</v>
      </c>
      <c r="S534" s="51" t="str">
        <f>VLOOKUP(Table3[[#This Row],[ACTIVITY]],TAGS!$B:$P,4,FALSE)</f>
        <v>FPMA</v>
      </c>
      <c r="T534" s="51" t="str">
        <f>VLOOKUP(Table3[[#This Row],[ACTIVITY]],TAGS!$B:$P,5,FALSE)</f>
        <v>FPMA</v>
      </c>
      <c r="U534" s="51" t="str">
        <f>VLOOKUP(Table3[[#This Row],[ACTIVITY]],TAGS!$B:$P,6,FALSE)</f>
        <v>Workshop and Meetings</v>
      </c>
      <c r="V534" s="51" t="str">
        <f>VLOOKUP(Table3[[#This Row],[ACTIVITY]],TAGS!$B:$P,7,FALSE)</f>
        <v>NO</v>
      </c>
      <c r="W534" s="51" t="str">
        <f>VLOOKUP(Table3[[#This Row],[ACTIVITY]],TAGS!$B:$P,8,FALSE)</f>
        <v>Overhead</v>
      </c>
      <c r="X534" s="51" t="str">
        <f>VLOOKUP(Table3[[#This Row],[ACTIVITY]],TAGS!$B:$P,10,FALSE)</f>
        <v>NON-PIP</v>
      </c>
      <c r="Y534" s="51" t="str">
        <f>VLOOKUP(Table3[[#This Row],[ACTIVITY]],TAGS!$B:$P,11,FALSE)</f>
        <v>NON-PICS</v>
      </c>
      <c r="Z534" s="51">
        <f>VLOOKUP(Table3[[#This Row],[ACTIVITY]],TAGS!$B:$P,12,FALSE)</f>
        <v>0</v>
      </c>
      <c r="AA534" s="51">
        <f>VLOOKUP(Table3[[#This Row],[ACTIVITY]],TAGS!$B:$P,13,FALSE)</f>
        <v>0</v>
      </c>
      <c r="AB534" s="51">
        <f>VLOOKUP(Table3[[#This Row],[ACTIVITY]],TAGS!$B:$P,14,FALSE)</f>
        <v>0</v>
      </c>
      <c r="AC534" s="51" t="str">
        <f>VLOOKUP(Table3[[#This Row],[ACTIVITY]],TAGS!$B:$P,15,FALSE)</f>
        <v>Existing</v>
      </c>
      <c r="AD534" s="51">
        <f>VLOOKUP(Table3[[#This Row],[PI LEVEL 3]],'PI LEVEL'!$A:$G,7,FALSE)</f>
        <v>0</v>
      </c>
      <c r="AE534" s="47" t="s">
        <v>577</v>
      </c>
      <c r="AF534" s="51" t="str">
        <f>VLOOKUP(Table3[[#This Row],[ACTIVITY]],TAGS!$B:$P,3,FALSE)</f>
        <v>number</v>
      </c>
      <c r="AG534" s="47" t="s">
        <v>332</v>
      </c>
      <c r="AH534" s="51" t="str">
        <f>VLOOKUP(Table3[[#This Row],[MONTH]],TAGS!$W$67:$Y$81,2,FALSE)</f>
        <v>2ND QTR</v>
      </c>
      <c r="AI534" s="51" t="str">
        <f>VLOOKUP(Table3[[#This Row],[MONTH]],TAGS!$W$67:$Y$81,3,FALSE)</f>
        <v>1ST SEMESTER</v>
      </c>
      <c r="AJ534" s="51">
        <f>VLOOKUP(Table3[[#This Row],[MONTH]],TAGS!$W$67:$Z$81,4,FALSE)</f>
        <v>2025</v>
      </c>
      <c r="AK534" s="47">
        <v>1</v>
      </c>
      <c r="AL534" s="51" t="str">
        <f>VLOOKUP(Table3[[#This Row],[ACTIVITY]],TAGS!$B:$R,16,FALSE)</f>
        <v>NO</v>
      </c>
      <c r="AM534" s="47"/>
      <c r="AN534" s="47">
        <v>350</v>
      </c>
      <c r="AO534" s="57">
        <f>SUM(Table3[[#This Row],[MALE BENEFICIARIES]:[FEMALE BENEFICIARIES]])</f>
        <v>0</v>
      </c>
      <c r="AP534" s="58"/>
      <c r="AQ534" s="58"/>
      <c r="AR534" s="58"/>
      <c r="AS534" s="58"/>
      <c r="AT534" s="59">
        <f>VLOOKUP(Table3[[#This Row],[ACTIVITY]],TAGS!$B:$R,17,FALSE)</f>
        <v>0</v>
      </c>
      <c r="AU534" s="59"/>
      <c r="AV534" s="59"/>
      <c r="AW534" s="59"/>
      <c r="AX534" s="59"/>
      <c r="AY534" s="59"/>
      <c r="AZ534" s="59"/>
      <c r="BA534" s="59"/>
      <c r="BB534" s="59"/>
      <c r="BC534" s="59"/>
      <c r="BD534" s="59"/>
      <c r="BE534" s="59"/>
      <c r="BF534" s="59"/>
      <c r="BG534" s="59"/>
      <c r="BH534" s="59"/>
      <c r="BI534" s="59"/>
      <c r="BJ534" s="59"/>
      <c r="BK534" s="59"/>
      <c r="BL534" s="59"/>
      <c r="BM534" s="59"/>
    </row>
    <row r="535" spans="1:65">
      <c r="A535" s="51" t="str">
        <f>VLOOKUP(Table3[[#This Row],[OU]],OU!$A$15:$B$34,2,FALSE)</f>
        <v>RFOs</v>
      </c>
      <c r="B535" s="47" t="s">
        <v>5</v>
      </c>
      <c r="C535" s="47" t="s">
        <v>574</v>
      </c>
      <c r="D535" s="47"/>
      <c r="E535" s="47" t="s">
        <v>78</v>
      </c>
      <c r="F535" s="47" t="s">
        <v>77</v>
      </c>
      <c r="G53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3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35" s="52" t="e">
        <f>VLOOKUP(Table3[[#This Row],[PSGC]],DISTRICT!$D:$G,4,FALSE)</f>
        <v>#N/A</v>
      </c>
      <c r="J535" s="47" t="s">
        <v>585</v>
      </c>
      <c r="K535" s="51" t="str">
        <f>VLOOKUP(Table3[[#This Row],[SPECIFIC COMMODITY]],TAGS!$W$48:$X$53,2,FALSE)</f>
        <v>Multi_commodity</v>
      </c>
      <c r="L535" s="51" t="str">
        <f>VLOOKUP(Table3[[#This Row],[PREXC SUB-PROGRAM]],Table5[],2,FALSE)</f>
        <v>FIELD PROGRAMS MANAGEMENT ACTIVITIES</v>
      </c>
      <c r="M535" s="51" t="str">
        <f>VLOOKUP(Table3[[#This Row],[COMMODITY PREXC SUB-PROGRAM]],TAGS!$U$54:$V$76,2,FALSE)</f>
        <v>FPMA</v>
      </c>
      <c r="N535" s="47" t="s">
        <v>597</v>
      </c>
      <c r="O535" s="54" t="str">
        <f>VLOOKUP(Table3[[#This Row],[PI LEVEL 3]],'PI LEVEL'!A:C,3,FALSE)</f>
        <v>National/Regional Field Monitoring conducted</v>
      </c>
      <c r="P535" s="54" t="str">
        <f>VLOOKUP(Table3[[#This Row],[PI LEVEL 3]],Table53729[[Performance Indicator Level 3]:[Performance Indicator Level 1]],2,FALSE)</f>
        <v>National/Regional Field Monitoring conducted</v>
      </c>
      <c r="Q535" s="54" t="str">
        <f>VLOOKUP(Table3[[#This Row],[ACTIVITY]],TAGS!B:P,2,FALSE)</f>
        <v>National/Regional Field Monitoring conducted</v>
      </c>
      <c r="R535" s="47" t="s">
        <v>229</v>
      </c>
      <c r="S535" s="51" t="str">
        <f>VLOOKUP(Table3[[#This Row],[ACTIVITY]],TAGS!$B:$P,4,FALSE)</f>
        <v>FPMA</v>
      </c>
      <c r="T535" s="51" t="str">
        <f>VLOOKUP(Table3[[#This Row],[ACTIVITY]],TAGS!$B:$P,5,FALSE)</f>
        <v>FPMA</v>
      </c>
      <c r="U535" s="51" t="str">
        <f>VLOOKUP(Table3[[#This Row],[ACTIVITY]],TAGS!$B:$P,6,FALSE)</f>
        <v>Workshop and Meetings</v>
      </c>
      <c r="V535" s="51" t="str">
        <f>VLOOKUP(Table3[[#This Row],[ACTIVITY]],TAGS!$B:$P,7,FALSE)</f>
        <v>NO</v>
      </c>
      <c r="W535" s="51" t="str">
        <f>VLOOKUP(Table3[[#This Row],[ACTIVITY]],TAGS!$B:$P,8,FALSE)</f>
        <v>Overhead</v>
      </c>
      <c r="X535" s="51" t="str">
        <f>VLOOKUP(Table3[[#This Row],[ACTIVITY]],TAGS!$B:$P,10,FALSE)</f>
        <v>NON-PIP</v>
      </c>
      <c r="Y535" s="51" t="str">
        <f>VLOOKUP(Table3[[#This Row],[ACTIVITY]],TAGS!$B:$P,11,FALSE)</f>
        <v>NON-PICS</v>
      </c>
      <c r="Z535" s="51">
        <f>VLOOKUP(Table3[[#This Row],[ACTIVITY]],TAGS!$B:$P,12,FALSE)</f>
        <v>0</v>
      </c>
      <c r="AA535" s="51">
        <f>VLOOKUP(Table3[[#This Row],[ACTIVITY]],TAGS!$B:$P,13,FALSE)</f>
        <v>0</v>
      </c>
      <c r="AB535" s="51">
        <f>VLOOKUP(Table3[[#This Row],[ACTIVITY]],TAGS!$B:$P,14,FALSE)</f>
        <v>0</v>
      </c>
      <c r="AC535" s="51" t="str">
        <f>VLOOKUP(Table3[[#This Row],[ACTIVITY]],TAGS!$B:$P,15,FALSE)</f>
        <v>Existing</v>
      </c>
      <c r="AD535" s="51">
        <f>VLOOKUP(Table3[[#This Row],[PI LEVEL 3]],'PI LEVEL'!$A:$G,7,FALSE)</f>
        <v>0</v>
      </c>
      <c r="AE535" s="47" t="s">
        <v>577</v>
      </c>
      <c r="AF535" s="51" t="str">
        <f>VLOOKUP(Table3[[#This Row],[ACTIVITY]],TAGS!$B:$P,3,FALSE)</f>
        <v>number</v>
      </c>
      <c r="AG535" s="47" t="s">
        <v>333</v>
      </c>
      <c r="AH535" s="51" t="str">
        <f>VLOOKUP(Table3[[#This Row],[MONTH]],TAGS!$W$67:$Y$81,2,FALSE)</f>
        <v>3RD QTR</v>
      </c>
      <c r="AI535" s="51" t="str">
        <f>VLOOKUP(Table3[[#This Row],[MONTH]],TAGS!$W$67:$Y$81,3,FALSE)</f>
        <v>2ND SEMESTER</v>
      </c>
      <c r="AJ535" s="51">
        <f>VLOOKUP(Table3[[#This Row],[MONTH]],TAGS!$W$67:$Z$81,4,FALSE)</f>
        <v>2025</v>
      </c>
      <c r="AK535" s="47">
        <v>1</v>
      </c>
      <c r="AL535" s="51" t="str">
        <f>VLOOKUP(Table3[[#This Row],[ACTIVITY]],TAGS!$B:$R,16,FALSE)</f>
        <v>NO</v>
      </c>
      <c r="AM535" s="47"/>
      <c r="AN535" s="47">
        <v>300</v>
      </c>
      <c r="AO535" s="57">
        <f>SUM(Table3[[#This Row],[MALE BENEFICIARIES]:[FEMALE BENEFICIARIES]])</f>
        <v>0</v>
      </c>
      <c r="AP535" s="58"/>
      <c r="AQ535" s="58"/>
      <c r="AR535" s="58"/>
      <c r="AS535" s="58"/>
      <c r="AT535" s="59">
        <f>VLOOKUP(Table3[[#This Row],[ACTIVITY]],TAGS!$B:$R,17,FALSE)</f>
        <v>0</v>
      </c>
      <c r="AU535" s="59"/>
      <c r="AV535" s="59"/>
      <c r="AW535" s="59"/>
      <c r="AX535" s="59"/>
      <c r="AY535" s="59"/>
      <c r="AZ535" s="59"/>
      <c r="BA535" s="59"/>
      <c r="BB535" s="59"/>
      <c r="BC535" s="59"/>
      <c r="BD535" s="59"/>
      <c r="BE535" s="59"/>
      <c r="BF535" s="59"/>
      <c r="BG535" s="59"/>
      <c r="BH535" s="59"/>
      <c r="BI535" s="59"/>
      <c r="BJ535" s="59"/>
      <c r="BK535" s="59"/>
      <c r="BL535" s="59"/>
      <c r="BM535" s="59"/>
    </row>
    <row r="536" spans="1:65">
      <c r="A536" s="51" t="str">
        <f>VLOOKUP(Table3[[#This Row],[OU]],OU!$A$15:$B$34,2,FALSE)</f>
        <v>RFOs</v>
      </c>
      <c r="B536" s="47" t="s">
        <v>5</v>
      </c>
      <c r="C536" s="47" t="s">
        <v>574</v>
      </c>
      <c r="D536" s="47"/>
      <c r="E536" s="47" t="s">
        <v>78</v>
      </c>
      <c r="F536" s="47" t="s">
        <v>77</v>
      </c>
      <c r="G53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3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36" s="52" t="e">
        <f>VLOOKUP(Table3[[#This Row],[PSGC]],DISTRICT!$D:$G,4,FALSE)</f>
        <v>#N/A</v>
      </c>
      <c r="J536" s="47" t="s">
        <v>585</v>
      </c>
      <c r="K536" s="51" t="str">
        <f>VLOOKUP(Table3[[#This Row],[SPECIFIC COMMODITY]],TAGS!$W$48:$X$53,2,FALSE)</f>
        <v>Multi_commodity</v>
      </c>
      <c r="L536" s="51" t="str">
        <f>VLOOKUP(Table3[[#This Row],[PREXC SUB-PROGRAM]],Table5[],2,FALSE)</f>
        <v>FIELD PROGRAMS MANAGEMENT ACTIVITIES</v>
      </c>
      <c r="M536" s="51" t="str">
        <f>VLOOKUP(Table3[[#This Row],[COMMODITY PREXC SUB-PROGRAM]],TAGS!$U$54:$V$76,2,FALSE)</f>
        <v>FPMA</v>
      </c>
      <c r="N536" s="47" t="s">
        <v>597</v>
      </c>
      <c r="O536" s="54" t="str">
        <f>VLOOKUP(Table3[[#This Row],[PI LEVEL 3]],'PI LEVEL'!A:C,3,FALSE)</f>
        <v>National/Regional Field Monitoring conducted</v>
      </c>
      <c r="P536" s="54" t="str">
        <f>VLOOKUP(Table3[[#This Row],[PI LEVEL 3]],Table53729[[Performance Indicator Level 3]:[Performance Indicator Level 1]],2,FALSE)</f>
        <v>National/Regional Field Monitoring conducted</v>
      </c>
      <c r="Q536" s="54" t="str">
        <f>VLOOKUP(Table3[[#This Row],[ACTIVITY]],TAGS!B:P,2,FALSE)</f>
        <v>National/Regional Field Monitoring conducted</v>
      </c>
      <c r="R536" s="47" t="s">
        <v>229</v>
      </c>
      <c r="S536" s="51" t="str">
        <f>VLOOKUP(Table3[[#This Row],[ACTIVITY]],TAGS!$B:$P,4,FALSE)</f>
        <v>FPMA</v>
      </c>
      <c r="T536" s="51" t="str">
        <f>VLOOKUP(Table3[[#This Row],[ACTIVITY]],TAGS!$B:$P,5,FALSE)</f>
        <v>FPMA</v>
      </c>
      <c r="U536" s="51" t="str">
        <f>VLOOKUP(Table3[[#This Row],[ACTIVITY]],TAGS!$B:$P,6,FALSE)</f>
        <v>Workshop and Meetings</v>
      </c>
      <c r="V536" s="51" t="str">
        <f>VLOOKUP(Table3[[#This Row],[ACTIVITY]],TAGS!$B:$P,7,FALSE)</f>
        <v>NO</v>
      </c>
      <c r="W536" s="51" t="str">
        <f>VLOOKUP(Table3[[#This Row],[ACTIVITY]],TAGS!$B:$P,8,FALSE)</f>
        <v>Overhead</v>
      </c>
      <c r="X536" s="51" t="str">
        <f>VLOOKUP(Table3[[#This Row],[ACTIVITY]],TAGS!$B:$P,10,FALSE)</f>
        <v>NON-PIP</v>
      </c>
      <c r="Y536" s="51" t="str">
        <f>VLOOKUP(Table3[[#This Row],[ACTIVITY]],TAGS!$B:$P,11,FALSE)</f>
        <v>NON-PICS</v>
      </c>
      <c r="Z536" s="51">
        <f>VLOOKUP(Table3[[#This Row],[ACTIVITY]],TAGS!$B:$P,12,FALSE)</f>
        <v>0</v>
      </c>
      <c r="AA536" s="51">
        <f>VLOOKUP(Table3[[#This Row],[ACTIVITY]],TAGS!$B:$P,13,FALSE)</f>
        <v>0</v>
      </c>
      <c r="AB536" s="51">
        <f>VLOOKUP(Table3[[#This Row],[ACTIVITY]],TAGS!$B:$P,14,FALSE)</f>
        <v>0</v>
      </c>
      <c r="AC536" s="51" t="str">
        <f>VLOOKUP(Table3[[#This Row],[ACTIVITY]],TAGS!$B:$P,15,FALSE)</f>
        <v>Existing</v>
      </c>
      <c r="AD536" s="51">
        <f>VLOOKUP(Table3[[#This Row],[PI LEVEL 3]],'PI LEVEL'!$A:$G,7,FALSE)</f>
        <v>0</v>
      </c>
      <c r="AE536" s="47" t="s">
        <v>577</v>
      </c>
      <c r="AF536" s="51" t="str">
        <f>VLOOKUP(Table3[[#This Row],[ACTIVITY]],TAGS!$B:$P,3,FALSE)</f>
        <v>number</v>
      </c>
      <c r="AG536" s="47" t="s">
        <v>334</v>
      </c>
      <c r="AH536" s="51" t="str">
        <f>VLOOKUP(Table3[[#This Row],[MONTH]],TAGS!$W$67:$Y$81,2,FALSE)</f>
        <v>3RD QTR</v>
      </c>
      <c r="AI536" s="51" t="str">
        <f>VLOOKUP(Table3[[#This Row],[MONTH]],TAGS!$W$67:$Y$81,3,FALSE)</f>
        <v>2ND SEMESTER</v>
      </c>
      <c r="AJ536" s="51">
        <f>VLOOKUP(Table3[[#This Row],[MONTH]],TAGS!$W$67:$Z$81,4,FALSE)</f>
        <v>2025</v>
      </c>
      <c r="AK536" s="47">
        <v>1</v>
      </c>
      <c r="AL536" s="51" t="str">
        <f>VLOOKUP(Table3[[#This Row],[ACTIVITY]],TAGS!$B:$R,16,FALSE)</f>
        <v>NO</v>
      </c>
      <c r="AM536" s="47"/>
      <c r="AN536" s="47">
        <v>300</v>
      </c>
      <c r="AO536" s="57">
        <f>SUM(Table3[[#This Row],[MALE BENEFICIARIES]:[FEMALE BENEFICIARIES]])</f>
        <v>0</v>
      </c>
      <c r="AP536" s="58"/>
      <c r="AQ536" s="58"/>
      <c r="AR536" s="58"/>
      <c r="AS536" s="58"/>
      <c r="AT536" s="59">
        <f>VLOOKUP(Table3[[#This Row],[ACTIVITY]],TAGS!$B:$R,17,FALSE)</f>
        <v>0</v>
      </c>
      <c r="AU536" s="59"/>
      <c r="AV536" s="59"/>
      <c r="AW536" s="59"/>
      <c r="AX536" s="59"/>
      <c r="AY536" s="59"/>
      <c r="AZ536" s="59"/>
      <c r="BA536" s="59"/>
      <c r="BB536" s="59"/>
      <c r="BC536" s="59"/>
      <c r="BD536" s="59"/>
      <c r="BE536" s="59"/>
      <c r="BF536" s="59"/>
      <c r="BG536" s="59"/>
      <c r="BH536" s="59"/>
      <c r="BI536" s="59"/>
      <c r="BJ536" s="59"/>
      <c r="BK536" s="59"/>
      <c r="BL536" s="59"/>
      <c r="BM536" s="59"/>
    </row>
    <row r="537" spans="1:65">
      <c r="A537" s="51" t="str">
        <f>VLOOKUP(Table3[[#This Row],[OU]],OU!$A$15:$B$34,2,FALSE)</f>
        <v>RFOs</v>
      </c>
      <c r="B537" s="47" t="s">
        <v>5</v>
      </c>
      <c r="C537" s="47" t="s">
        <v>574</v>
      </c>
      <c r="D537" s="47"/>
      <c r="E537" s="47" t="s">
        <v>78</v>
      </c>
      <c r="F537" s="47" t="s">
        <v>77</v>
      </c>
      <c r="G53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3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37" s="52" t="e">
        <f>VLOOKUP(Table3[[#This Row],[PSGC]],DISTRICT!$D:$G,4,FALSE)</f>
        <v>#N/A</v>
      </c>
      <c r="J537" s="47" t="s">
        <v>585</v>
      </c>
      <c r="K537" s="51" t="str">
        <f>VLOOKUP(Table3[[#This Row],[SPECIFIC COMMODITY]],TAGS!$W$48:$X$53,2,FALSE)</f>
        <v>Multi_commodity</v>
      </c>
      <c r="L537" s="51" t="str">
        <f>VLOOKUP(Table3[[#This Row],[PREXC SUB-PROGRAM]],Table5[],2,FALSE)</f>
        <v>FIELD PROGRAMS MANAGEMENT ACTIVITIES</v>
      </c>
      <c r="M537" s="51" t="str">
        <f>VLOOKUP(Table3[[#This Row],[COMMODITY PREXC SUB-PROGRAM]],TAGS!$U$54:$V$76,2,FALSE)</f>
        <v>FPMA</v>
      </c>
      <c r="N537" s="47" t="s">
        <v>597</v>
      </c>
      <c r="O537" s="54" t="str">
        <f>VLOOKUP(Table3[[#This Row],[PI LEVEL 3]],'PI LEVEL'!A:C,3,FALSE)</f>
        <v>National/Regional Field Monitoring conducted</v>
      </c>
      <c r="P537" s="54" t="str">
        <f>VLOOKUP(Table3[[#This Row],[PI LEVEL 3]],Table53729[[Performance Indicator Level 3]:[Performance Indicator Level 1]],2,FALSE)</f>
        <v>National/Regional Field Monitoring conducted</v>
      </c>
      <c r="Q537" s="54" t="str">
        <f>VLOOKUP(Table3[[#This Row],[ACTIVITY]],TAGS!B:P,2,FALSE)</f>
        <v>National/Regional Field Monitoring conducted</v>
      </c>
      <c r="R537" s="47" t="s">
        <v>229</v>
      </c>
      <c r="S537" s="51" t="str">
        <f>VLOOKUP(Table3[[#This Row],[ACTIVITY]],TAGS!$B:$P,4,FALSE)</f>
        <v>FPMA</v>
      </c>
      <c r="T537" s="51" t="str">
        <f>VLOOKUP(Table3[[#This Row],[ACTIVITY]],TAGS!$B:$P,5,FALSE)</f>
        <v>FPMA</v>
      </c>
      <c r="U537" s="51" t="str">
        <f>VLOOKUP(Table3[[#This Row],[ACTIVITY]],TAGS!$B:$P,6,FALSE)</f>
        <v>Workshop and Meetings</v>
      </c>
      <c r="V537" s="51" t="str">
        <f>VLOOKUP(Table3[[#This Row],[ACTIVITY]],TAGS!$B:$P,7,FALSE)</f>
        <v>NO</v>
      </c>
      <c r="W537" s="51" t="str">
        <f>VLOOKUP(Table3[[#This Row],[ACTIVITY]],TAGS!$B:$P,8,FALSE)</f>
        <v>Overhead</v>
      </c>
      <c r="X537" s="51" t="str">
        <f>VLOOKUP(Table3[[#This Row],[ACTIVITY]],TAGS!$B:$P,10,FALSE)</f>
        <v>NON-PIP</v>
      </c>
      <c r="Y537" s="51" t="str">
        <f>VLOOKUP(Table3[[#This Row],[ACTIVITY]],TAGS!$B:$P,11,FALSE)</f>
        <v>NON-PICS</v>
      </c>
      <c r="Z537" s="51">
        <f>VLOOKUP(Table3[[#This Row],[ACTIVITY]],TAGS!$B:$P,12,FALSE)</f>
        <v>0</v>
      </c>
      <c r="AA537" s="51">
        <f>VLOOKUP(Table3[[#This Row],[ACTIVITY]],TAGS!$B:$P,13,FALSE)</f>
        <v>0</v>
      </c>
      <c r="AB537" s="51">
        <f>VLOOKUP(Table3[[#This Row],[ACTIVITY]],TAGS!$B:$P,14,FALSE)</f>
        <v>0</v>
      </c>
      <c r="AC537" s="51" t="str">
        <f>VLOOKUP(Table3[[#This Row],[ACTIVITY]],TAGS!$B:$P,15,FALSE)</f>
        <v>Existing</v>
      </c>
      <c r="AD537" s="51">
        <f>VLOOKUP(Table3[[#This Row],[PI LEVEL 3]],'PI LEVEL'!$A:$G,7,FALSE)</f>
        <v>0</v>
      </c>
      <c r="AE537" s="47" t="s">
        <v>577</v>
      </c>
      <c r="AF537" s="51" t="str">
        <f>VLOOKUP(Table3[[#This Row],[ACTIVITY]],TAGS!$B:$P,3,FALSE)</f>
        <v>number</v>
      </c>
      <c r="AG537" s="47" t="s">
        <v>335</v>
      </c>
      <c r="AH537" s="51" t="str">
        <f>VLOOKUP(Table3[[#This Row],[MONTH]],TAGS!$W$67:$Y$81,2,FALSE)</f>
        <v>3RD QTR</v>
      </c>
      <c r="AI537" s="51" t="str">
        <f>VLOOKUP(Table3[[#This Row],[MONTH]],TAGS!$W$67:$Y$81,3,FALSE)</f>
        <v>2ND SEMESTER</v>
      </c>
      <c r="AJ537" s="51">
        <f>VLOOKUP(Table3[[#This Row],[MONTH]],TAGS!$W$67:$Z$81,4,FALSE)</f>
        <v>2025</v>
      </c>
      <c r="AK537" s="47">
        <v>1</v>
      </c>
      <c r="AL537" s="51" t="str">
        <f>VLOOKUP(Table3[[#This Row],[ACTIVITY]],TAGS!$B:$R,16,FALSE)</f>
        <v>NO</v>
      </c>
      <c r="AM537" s="47"/>
      <c r="AN537" s="47">
        <v>350</v>
      </c>
      <c r="AO537" s="57">
        <f>SUM(Table3[[#This Row],[MALE BENEFICIARIES]:[FEMALE BENEFICIARIES]])</f>
        <v>0</v>
      </c>
      <c r="AP537" s="58"/>
      <c r="AQ537" s="58"/>
      <c r="AR537" s="58"/>
      <c r="AS537" s="58"/>
      <c r="AT537" s="59">
        <f>VLOOKUP(Table3[[#This Row],[ACTIVITY]],TAGS!$B:$R,17,FALSE)</f>
        <v>0</v>
      </c>
      <c r="AU537" s="59"/>
      <c r="AV537" s="59"/>
      <c r="AW537" s="59"/>
      <c r="AX537" s="59"/>
      <c r="AY537" s="59"/>
      <c r="AZ537" s="59"/>
      <c r="BA537" s="59"/>
      <c r="BB537" s="59"/>
      <c r="BC537" s="59"/>
      <c r="BD537" s="59"/>
      <c r="BE537" s="59"/>
      <c r="BF537" s="59"/>
      <c r="BG537" s="59"/>
      <c r="BH537" s="59"/>
      <c r="BI537" s="59"/>
      <c r="BJ537" s="59"/>
      <c r="BK537" s="59"/>
      <c r="BL537" s="59"/>
      <c r="BM537" s="59"/>
    </row>
    <row r="538" spans="1:65">
      <c r="A538" s="51" t="str">
        <f>VLOOKUP(Table3[[#This Row],[OU]],OU!$A$15:$B$34,2,FALSE)</f>
        <v>RFOs</v>
      </c>
      <c r="B538" s="47" t="s">
        <v>5</v>
      </c>
      <c r="C538" s="47" t="s">
        <v>574</v>
      </c>
      <c r="D538" s="47"/>
      <c r="E538" s="47" t="s">
        <v>78</v>
      </c>
      <c r="F538" s="47" t="s">
        <v>77</v>
      </c>
      <c r="G53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3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38" s="52" t="e">
        <f>VLOOKUP(Table3[[#This Row],[PSGC]],DISTRICT!$D:$G,4,FALSE)</f>
        <v>#N/A</v>
      </c>
      <c r="J538" s="47" t="s">
        <v>585</v>
      </c>
      <c r="K538" s="51" t="str">
        <f>VLOOKUP(Table3[[#This Row],[SPECIFIC COMMODITY]],TAGS!$W$48:$X$53,2,FALSE)</f>
        <v>Multi_commodity</v>
      </c>
      <c r="L538" s="51" t="str">
        <f>VLOOKUP(Table3[[#This Row],[PREXC SUB-PROGRAM]],Table5[],2,FALSE)</f>
        <v>FIELD PROGRAMS MANAGEMENT ACTIVITIES</v>
      </c>
      <c r="M538" s="51" t="str">
        <f>VLOOKUP(Table3[[#This Row],[COMMODITY PREXC SUB-PROGRAM]],TAGS!$U$54:$V$76,2,FALSE)</f>
        <v>FPMA</v>
      </c>
      <c r="N538" s="47" t="s">
        <v>597</v>
      </c>
      <c r="O538" s="54" t="str">
        <f>VLOOKUP(Table3[[#This Row],[PI LEVEL 3]],'PI LEVEL'!A:C,3,FALSE)</f>
        <v>National/Regional Field Monitoring conducted</v>
      </c>
      <c r="P538" s="54" t="str">
        <f>VLOOKUP(Table3[[#This Row],[PI LEVEL 3]],Table53729[[Performance Indicator Level 3]:[Performance Indicator Level 1]],2,FALSE)</f>
        <v>National/Regional Field Monitoring conducted</v>
      </c>
      <c r="Q538" s="54" t="str">
        <f>VLOOKUP(Table3[[#This Row],[ACTIVITY]],TAGS!B:P,2,FALSE)</f>
        <v>National/Regional Field Monitoring conducted</v>
      </c>
      <c r="R538" s="47" t="s">
        <v>229</v>
      </c>
      <c r="S538" s="51" t="str">
        <f>VLOOKUP(Table3[[#This Row],[ACTIVITY]],TAGS!$B:$P,4,FALSE)</f>
        <v>FPMA</v>
      </c>
      <c r="T538" s="51" t="str">
        <f>VLOOKUP(Table3[[#This Row],[ACTIVITY]],TAGS!$B:$P,5,FALSE)</f>
        <v>FPMA</v>
      </c>
      <c r="U538" s="51" t="str">
        <f>VLOOKUP(Table3[[#This Row],[ACTIVITY]],TAGS!$B:$P,6,FALSE)</f>
        <v>Workshop and Meetings</v>
      </c>
      <c r="V538" s="51" t="str">
        <f>VLOOKUP(Table3[[#This Row],[ACTIVITY]],TAGS!$B:$P,7,FALSE)</f>
        <v>NO</v>
      </c>
      <c r="W538" s="51" t="str">
        <f>VLOOKUP(Table3[[#This Row],[ACTIVITY]],TAGS!$B:$P,8,FALSE)</f>
        <v>Overhead</v>
      </c>
      <c r="X538" s="51" t="str">
        <f>VLOOKUP(Table3[[#This Row],[ACTIVITY]],TAGS!$B:$P,10,FALSE)</f>
        <v>NON-PIP</v>
      </c>
      <c r="Y538" s="51" t="str">
        <f>VLOOKUP(Table3[[#This Row],[ACTIVITY]],TAGS!$B:$P,11,FALSE)</f>
        <v>NON-PICS</v>
      </c>
      <c r="Z538" s="51">
        <f>VLOOKUP(Table3[[#This Row],[ACTIVITY]],TAGS!$B:$P,12,FALSE)</f>
        <v>0</v>
      </c>
      <c r="AA538" s="51">
        <f>VLOOKUP(Table3[[#This Row],[ACTIVITY]],TAGS!$B:$P,13,FALSE)</f>
        <v>0</v>
      </c>
      <c r="AB538" s="51">
        <f>VLOOKUP(Table3[[#This Row],[ACTIVITY]],TAGS!$B:$P,14,FALSE)</f>
        <v>0</v>
      </c>
      <c r="AC538" s="51" t="str">
        <f>VLOOKUP(Table3[[#This Row],[ACTIVITY]],TAGS!$B:$P,15,FALSE)</f>
        <v>Existing</v>
      </c>
      <c r="AD538" s="51">
        <f>VLOOKUP(Table3[[#This Row],[PI LEVEL 3]],'PI LEVEL'!$A:$G,7,FALSE)</f>
        <v>0</v>
      </c>
      <c r="AE538" s="47" t="s">
        <v>577</v>
      </c>
      <c r="AF538" s="51" t="str">
        <f>VLOOKUP(Table3[[#This Row],[ACTIVITY]],TAGS!$B:$P,3,FALSE)</f>
        <v>number</v>
      </c>
      <c r="AG538" s="47" t="s">
        <v>336</v>
      </c>
      <c r="AH538" s="51" t="str">
        <f>VLOOKUP(Table3[[#This Row],[MONTH]],TAGS!$W$67:$Y$81,2,FALSE)</f>
        <v>4TH QTR</v>
      </c>
      <c r="AI538" s="51" t="str">
        <f>VLOOKUP(Table3[[#This Row],[MONTH]],TAGS!$W$67:$Y$81,3,FALSE)</f>
        <v>2ND SEMESTER</v>
      </c>
      <c r="AJ538" s="51">
        <f>VLOOKUP(Table3[[#This Row],[MONTH]],TAGS!$W$67:$Z$81,4,FALSE)</f>
        <v>2025</v>
      </c>
      <c r="AK538" s="47">
        <v>1</v>
      </c>
      <c r="AL538" s="51" t="str">
        <f>VLOOKUP(Table3[[#This Row],[ACTIVITY]],TAGS!$B:$R,16,FALSE)</f>
        <v>NO</v>
      </c>
      <c r="AM538" s="47"/>
      <c r="AN538" s="47">
        <v>300</v>
      </c>
      <c r="AO538" s="57">
        <f>SUM(Table3[[#This Row],[MALE BENEFICIARIES]:[FEMALE BENEFICIARIES]])</f>
        <v>0</v>
      </c>
      <c r="AP538" s="58"/>
      <c r="AQ538" s="58"/>
      <c r="AR538" s="58"/>
      <c r="AS538" s="58"/>
      <c r="AT538" s="59">
        <f>VLOOKUP(Table3[[#This Row],[ACTIVITY]],TAGS!$B:$R,17,FALSE)</f>
        <v>0</v>
      </c>
      <c r="AU538" s="59"/>
      <c r="AV538" s="59"/>
      <c r="AW538" s="59"/>
      <c r="AX538" s="59"/>
      <c r="AY538" s="59"/>
      <c r="AZ538" s="59"/>
      <c r="BA538" s="59"/>
      <c r="BB538" s="59"/>
      <c r="BC538" s="59"/>
      <c r="BD538" s="59"/>
      <c r="BE538" s="59"/>
      <c r="BF538" s="59"/>
      <c r="BG538" s="59"/>
      <c r="BH538" s="59"/>
      <c r="BI538" s="59"/>
      <c r="BJ538" s="59"/>
      <c r="BK538" s="59"/>
      <c r="BL538" s="59"/>
      <c r="BM538" s="59"/>
    </row>
    <row r="539" spans="1:65">
      <c r="A539" s="51" t="str">
        <f>VLOOKUP(Table3[[#This Row],[OU]],OU!$A$15:$B$34,2,FALSE)</f>
        <v>RFOs</v>
      </c>
      <c r="B539" s="47" t="s">
        <v>5</v>
      </c>
      <c r="C539" s="47" t="s">
        <v>574</v>
      </c>
      <c r="D539" s="47"/>
      <c r="E539" s="47" t="s">
        <v>78</v>
      </c>
      <c r="F539" s="47" t="s">
        <v>77</v>
      </c>
      <c r="G53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3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39" s="52" t="e">
        <f>VLOOKUP(Table3[[#This Row],[PSGC]],DISTRICT!$D:$G,4,FALSE)</f>
        <v>#N/A</v>
      </c>
      <c r="J539" s="47" t="s">
        <v>585</v>
      </c>
      <c r="K539" s="51" t="str">
        <f>VLOOKUP(Table3[[#This Row],[SPECIFIC COMMODITY]],TAGS!$W$48:$X$53,2,FALSE)</f>
        <v>Multi_commodity</v>
      </c>
      <c r="L539" s="51" t="str">
        <f>VLOOKUP(Table3[[#This Row],[PREXC SUB-PROGRAM]],Table5[],2,FALSE)</f>
        <v>FIELD PROGRAMS MANAGEMENT ACTIVITIES</v>
      </c>
      <c r="M539" s="51" t="str">
        <f>VLOOKUP(Table3[[#This Row],[COMMODITY PREXC SUB-PROGRAM]],TAGS!$U$54:$V$76,2,FALSE)</f>
        <v>FPMA</v>
      </c>
      <c r="N539" s="47" t="s">
        <v>597</v>
      </c>
      <c r="O539" s="54" t="str">
        <f>VLOOKUP(Table3[[#This Row],[PI LEVEL 3]],'PI LEVEL'!A:C,3,FALSE)</f>
        <v>National/Regional Field Monitoring conducted</v>
      </c>
      <c r="P539" s="54" t="str">
        <f>VLOOKUP(Table3[[#This Row],[PI LEVEL 3]],Table53729[[Performance Indicator Level 3]:[Performance Indicator Level 1]],2,FALSE)</f>
        <v>National/Regional Field Monitoring conducted</v>
      </c>
      <c r="Q539" s="54" t="str">
        <f>VLOOKUP(Table3[[#This Row],[ACTIVITY]],TAGS!B:P,2,FALSE)</f>
        <v>National/Regional Field Monitoring conducted</v>
      </c>
      <c r="R539" s="47" t="s">
        <v>229</v>
      </c>
      <c r="S539" s="51" t="str">
        <f>VLOOKUP(Table3[[#This Row],[ACTIVITY]],TAGS!$B:$P,4,FALSE)</f>
        <v>FPMA</v>
      </c>
      <c r="T539" s="51" t="str">
        <f>VLOOKUP(Table3[[#This Row],[ACTIVITY]],TAGS!$B:$P,5,FALSE)</f>
        <v>FPMA</v>
      </c>
      <c r="U539" s="51" t="str">
        <f>VLOOKUP(Table3[[#This Row],[ACTIVITY]],TAGS!$B:$P,6,FALSE)</f>
        <v>Workshop and Meetings</v>
      </c>
      <c r="V539" s="51" t="str">
        <f>VLOOKUP(Table3[[#This Row],[ACTIVITY]],TAGS!$B:$P,7,FALSE)</f>
        <v>NO</v>
      </c>
      <c r="W539" s="51" t="str">
        <f>VLOOKUP(Table3[[#This Row],[ACTIVITY]],TAGS!$B:$P,8,FALSE)</f>
        <v>Overhead</v>
      </c>
      <c r="X539" s="51" t="str">
        <f>VLOOKUP(Table3[[#This Row],[ACTIVITY]],TAGS!$B:$P,10,FALSE)</f>
        <v>NON-PIP</v>
      </c>
      <c r="Y539" s="51" t="str">
        <f>VLOOKUP(Table3[[#This Row],[ACTIVITY]],TAGS!$B:$P,11,FALSE)</f>
        <v>NON-PICS</v>
      </c>
      <c r="Z539" s="51">
        <f>VLOOKUP(Table3[[#This Row],[ACTIVITY]],TAGS!$B:$P,12,FALSE)</f>
        <v>0</v>
      </c>
      <c r="AA539" s="51">
        <f>VLOOKUP(Table3[[#This Row],[ACTIVITY]],TAGS!$B:$P,13,FALSE)</f>
        <v>0</v>
      </c>
      <c r="AB539" s="51">
        <f>VLOOKUP(Table3[[#This Row],[ACTIVITY]],TAGS!$B:$P,14,FALSE)</f>
        <v>0</v>
      </c>
      <c r="AC539" s="51" t="str">
        <f>VLOOKUP(Table3[[#This Row],[ACTIVITY]],TAGS!$B:$P,15,FALSE)</f>
        <v>Existing</v>
      </c>
      <c r="AD539" s="51">
        <f>VLOOKUP(Table3[[#This Row],[PI LEVEL 3]],'PI LEVEL'!$A:$G,7,FALSE)</f>
        <v>0</v>
      </c>
      <c r="AE539" s="47" t="s">
        <v>577</v>
      </c>
      <c r="AF539" s="51" t="str">
        <f>VLOOKUP(Table3[[#This Row],[ACTIVITY]],TAGS!$B:$P,3,FALSE)</f>
        <v>number</v>
      </c>
      <c r="AG539" s="47" t="s">
        <v>337</v>
      </c>
      <c r="AH539" s="51" t="str">
        <f>VLOOKUP(Table3[[#This Row],[MONTH]],TAGS!$W$67:$Y$81,2,FALSE)</f>
        <v>4TH QTR</v>
      </c>
      <c r="AI539" s="51" t="str">
        <f>VLOOKUP(Table3[[#This Row],[MONTH]],TAGS!$W$67:$Y$81,3,FALSE)</f>
        <v>2ND SEMESTER</v>
      </c>
      <c r="AJ539" s="51">
        <f>VLOOKUP(Table3[[#This Row],[MONTH]],TAGS!$W$67:$Z$81,4,FALSE)</f>
        <v>2025</v>
      </c>
      <c r="AK539" s="47">
        <v>1</v>
      </c>
      <c r="AL539" s="51" t="str">
        <f>VLOOKUP(Table3[[#This Row],[ACTIVITY]],TAGS!$B:$R,16,FALSE)</f>
        <v>NO</v>
      </c>
      <c r="AM539" s="47"/>
      <c r="AN539" s="47">
        <v>350</v>
      </c>
      <c r="AO539" s="57">
        <f>SUM(Table3[[#This Row],[MALE BENEFICIARIES]:[FEMALE BENEFICIARIES]])</f>
        <v>0</v>
      </c>
      <c r="AP539" s="58"/>
      <c r="AQ539" s="58"/>
      <c r="AR539" s="58"/>
      <c r="AS539" s="58"/>
      <c r="AT539" s="59">
        <f>VLOOKUP(Table3[[#This Row],[ACTIVITY]],TAGS!$B:$R,17,FALSE)</f>
        <v>0</v>
      </c>
      <c r="AU539" s="59"/>
      <c r="AV539" s="59"/>
      <c r="AW539" s="59"/>
      <c r="AX539" s="59"/>
      <c r="AY539" s="59"/>
      <c r="AZ539" s="59"/>
      <c r="BA539" s="59"/>
      <c r="BB539" s="59"/>
      <c r="BC539" s="59"/>
      <c r="BD539" s="59"/>
      <c r="BE539" s="59"/>
      <c r="BF539" s="59"/>
      <c r="BG539" s="59"/>
      <c r="BH539" s="59"/>
      <c r="BI539" s="59"/>
      <c r="BJ539" s="59"/>
      <c r="BK539" s="59"/>
      <c r="BL539" s="59"/>
      <c r="BM539" s="59"/>
    </row>
    <row r="540" spans="1:65">
      <c r="A540" s="51" t="str">
        <f>VLOOKUP(Table3[[#This Row],[OU]],OU!$A$15:$B$34,2,FALSE)</f>
        <v>RFOs</v>
      </c>
      <c r="B540" s="47" t="s">
        <v>5</v>
      </c>
      <c r="C540" s="47" t="s">
        <v>574</v>
      </c>
      <c r="D540" s="47"/>
      <c r="E540" s="47" t="s">
        <v>78</v>
      </c>
      <c r="F540" s="47" t="s">
        <v>77</v>
      </c>
      <c r="G54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4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40" s="52" t="e">
        <f>VLOOKUP(Table3[[#This Row],[PSGC]],DISTRICT!$D:$G,4,FALSE)</f>
        <v>#N/A</v>
      </c>
      <c r="J540" s="47" t="s">
        <v>585</v>
      </c>
      <c r="K540" s="51" t="str">
        <f>VLOOKUP(Table3[[#This Row],[SPECIFIC COMMODITY]],TAGS!$W$48:$X$53,2,FALSE)</f>
        <v>Multi_commodity</v>
      </c>
      <c r="L540" s="51" t="str">
        <f>VLOOKUP(Table3[[#This Row],[PREXC SUB-PROGRAM]],Table5[],2,FALSE)</f>
        <v>FIELD PROGRAMS MANAGEMENT ACTIVITIES</v>
      </c>
      <c r="M540" s="51" t="str">
        <f>VLOOKUP(Table3[[#This Row],[COMMODITY PREXC SUB-PROGRAM]],TAGS!$U$54:$V$76,2,FALSE)</f>
        <v>FPMA</v>
      </c>
      <c r="N540" s="47" t="s">
        <v>597</v>
      </c>
      <c r="O540" s="54" t="str">
        <f>VLOOKUP(Table3[[#This Row],[PI LEVEL 3]],'PI LEVEL'!A:C,3,FALSE)</f>
        <v>National/Regional Field Monitoring conducted</v>
      </c>
      <c r="P540" s="54" t="str">
        <f>VLOOKUP(Table3[[#This Row],[PI LEVEL 3]],Table53729[[Performance Indicator Level 3]:[Performance Indicator Level 1]],2,FALSE)</f>
        <v>National/Regional Field Monitoring conducted</v>
      </c>
      <c r="Q540" s="54" t="str">
        <f>VLOOKUP(Table3[[#This Row],[ACTIVITY]],TAGS!B:P,2,FALSE)</f>
        <v>National/Regional Field Monitoring conducted</v>
      </c>
      <c r="R540" s="47" t="s">
        <v>229</v>
      </c>
      <c r="S540" s="51" t="str">
        <f>VLOOKUP(Table3[[#This Row],[ACTIVITY]],TAGS!$B:$P,4,FALSE)</f>
        <v>FPMA</v>
      </c>
      <c r="T540" s="51" t="str">
        <f>VLOOKUP(Table3[[#This Row],[ACTIVITY]],TAGS!$B:$P,5,FALSE)</f>
        <v>FPMA</v>
      </c>
      <c r="U540" s="51" t="str">
        <f>VLOOKUP(Table3[[#This Row],[ACTIVITY]],TAGS!$B:$P,6,FALSE)</f>
        <v>Workshop and Meetings</v>
      </c>
      <c r="V540" s="51" t="str">
        <f>VLOOKUP(Table3[[#This Row],[ACTIVITY]],TAGS!$B:$P,7,FALSE)</f>
        <v>NO</v>
      </c>
      <c r="W540" s="51" t="str">
        <f>VLOOKUP(Table3[[#This Row],[ACTIVITY]],TAGS!$B:$P,8,FALSE)</f>
        <v>Overhead</v>
      </c>
      <c r="X540" s="51" t="str">
        <f>VLOOKUP(Table3[[#This Row],[ACTIVITY]],TAGS!$B:$P,10,FALSE)</f>
        <v>NON-PIP</v>
      </c>
      <c r="Y540" s="51" t="str">
        <f>VLOOKUP(Table3[[#This Row],[ACTIVITY]],TAGS!$B:$P,11,FALSE)</f>
        <v>NON-PICS</v>
      </c>
      <c r="Z540" s="51">
        <f>VLOOKUP(Table3[[#This Row],[ACTIVITY]],TAGS!$B:$P,12,FALSE)</f>
        <v>0</v>
      </c>
      <c r="AA540" s="51">
        <f>VLOOKUP(Table3[[#This Row],[ACTIVITY]],TAGS!$B:$P,13,FALSE)</f>
        <v>0</v>
      </c>
      <c r="AB540" s="51">
        <f>VLOOKUP(Table3[[#This Row],[ACTIVITY]],TAGS!$B:$P,14,FALSE)</f>
        <v>0</v>
      </c>
      <c r="AC540" s="51" t="str">
        <f>VLOOKUP(Table3[[#This Row],[ACTIVITY]],TAGS!$B:$P,15,FALSE)</f>
        <v>Existing</v>
      </c>
      <c r="AD540" s="51">
        <f>VLOOKUP(Table3[[#This Row],[PI LEVEL 3]],'PI LEVEL'!$A:$G,7,FALSE)</f>
        <v>0</v>
      </c>
      <c r="AE540" s="47" t="s">
        <v>577</v>
      </c>
      <c r="AF540" s="51" t="str">
        <f>VLOOKUP(Table3[[#This Row],[ACTIVITY]],TAGS!$B:$P,3,FALSE)</f>
        <v>number</v>
      </c>
      <c r="AG540" s="47" t="s">
        <v>338</v>
      </c>
      <c r="AH540" s="51" t="str">
        <f>VLOOKUP(Table3[[#This Row],[MONTH]],TAGS!$W$67:$Y$81,2,FALSE)</f>
        <v>4TH QTR</v>
      </c>
      <c r="AI540" s="51" t="str">
        <f>VLOOKUP(Table3[[#This Row],[MONTH]],TAGS!$W$67:$Y$81,3,FALSE)</f>
        <v>2ND SEMESTER</v>
      </c>
      <c r="AJ540" s="51">
        <f>VLOOKUP(Table3[[#This Row],[MONTH]],TAGS!$W$67:$Z$81,4,FALSE)</f>
        <v>2025</v>
      </c>
      <c r="AK540" s="47">
        <v>1</v>
      </c>
      <c r="AL540" s="51" t="str">
        <f>VLOOKUP(Table3[[#This Row],[ACTIVITY]],TAGS!$B:$R,16,FALSE)</f>
        <v>NO</v>
      </c>
      <c r="AM540" s="47"/>
      <c r="AN540" s="47">
        <v>400</v>
      </c>
      <c r="AO540" s="57">
        <f>SUM(Table3[[#This Row],[MALE BENEFICIARIES]:[FEMALE BENEFICIARIES]])</f>
        <v>0</v>
      </c>
      <c r="AP540" s="58"/>
      <c r="AQ540" s="58"/>
      <c r="AR540" s="58"/>
      <c r="AS540" s="58"/>
      <c r="AT540" s="59">
        <f>VLOOKUP(Table3[[#This Row],[ACTIVITY]],TAGS!$B:$R,17,FALSE)</f>
        <v>0</v>
      </c>
      <c r="AU540" s="59"/>
      <c r="AV540" s="59"/>
      <c r="AW540" s="59"/>
      <c r="AX540" s="59"/>
      <c r="AY540" s="59"/>
      <c r="AZ540" s="59"/>
      <c r="BA540" s="59"/>
      <c r="BB540" s="59"/>
      <c r="BC540" s="59"/>
      <c r="BD540" s="59"/>
      <c r="BE540" s="59"/>
      <c r="BF540" s="59"/>
      <c r="BG540" s="59"/>
      <c r="BH540" s="59"/>
      <c r="BI540" s="59"/>
      <c r="BJ540" s="59"/>
      <c r="BK540" s="59"/>
      <c r="BL540" s="59"/>
      <c r="BM540" s="59"/>
    </row>
    <row r="541" spans="1:65">
      <c r="A541" s="51" t="str">
        <f>VLOOKUP(Table3[[#This Row],[OU]],OU!$A$15:$B$34,2,FALSE)</f>
        <v>RFOs</v>
      </c>
      <c r="B541" s="47" t="s">
        <v>5</v>
      </c>
      <c r="C541" s="47" t="s">
        <v>574</v>
      </c>
      <c r="D541" s="47"/>
      <c r="E541" s="47" t="s">
        <v>78</v>
      </c>
      <c r="F541" s="47" t="s">
        <v>77</v>
      </c>
      <c r="G54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4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41" s="52" t="e">
        <f>VLOOKUP(Table3[[#This Row],[PSGC]],DISTRICT!$D:$G,4,FALSE)</f>
        <v>#N/A</v>
      </c>
      <c r="J541" s="47" t="s">
        <v>585</v>
      </c>
      <c r="K541" s="51" t="str">
        <f>VLOOKUP(Table3[[#This Row],[SPECIFIC COMMODITY]],TAGS!$W$48:$X$53,2,FALSE)</f>
        <v>Multi_commodity</v>
      </c>
      <c r="L541" s="51" t="str">
        <f>VLOOKUP(Table3[[#This Row],[PREXC SUB-PROGRAM]],Table5[],2,FALSE)</f>
        <v>FIELD PROGRAMS MANAGEMENT ACTIVITIES</v>
      </c>
      <c r="M541" s="51" t="str">
        <f>VLOOKUP(Table3[[#This Row],[COMMODITY PREXC SUB-PROGRAM]],TAGS!$U$54:$V$76,2,FALSE)</f>
        <v>FPMA</v>
      </c>
      <c r="N541" s="47" t="s">
        <v>597</v>
      </c>
      <c r="O541" s="54" t="str">
        <f>VLOOKUP(Table3[[#This Row],[PI LEVEL 3]],'PI LEVEL'!A:C,3,FALSE)</f>
        <v>National/Regional Field Monitoring conducted</v>
      </c>
      <c r="P541" s="54" t="str">
        <f>VLOOKUP(Table3[[#This Row],[PI LEVEL 3]],Table53729[[Performance Indicator Level 3]:[Performance Indicator Level 1]],2,FALSE)</f>
        <v>National/Regional Field Monitoring conducted</v>
      </c>
      <c r="Q541" s="54" t="str">
        <f>VLOOKUP(Table3[[#This Row],[ACTIVITY]],TAGS!B:P,2,FALSE)</f>
        <v>National/Regional Field Monitoring conducted</v>
      </c>
      <c r="R541" s="47" t="s">
        <v>231</v>
      </c>
      <c r="S541" s="51" t="str">
        <f>VLOOKUP(Table3[[#This Row],[ACTIVITY]],TAGS!$B:$P,4,FALSE)</f>
        <v>FPMA</v>
      </c>
      <c r="T541" s="51" t="str">
        <f>VLOOKUP(Table3[[#This Row],[ACTIVITY]],TAGS!$B:$P,5,FALSE)</f>
        <v>FPMA</v>
      </c>
      <c r="U541" s="51" t="str">
        <f>VLOOKUP(Table3[[#This Row],[ACTIVITY]],TAGS!$B:$P,6,FALSE)</f>
        <v>Conduct of Feasibility Studies, Preparation of Detailed Engineering Design and Preparation of Program of Work</v>
      </c>
      <c r="V541" s="51" t="str">
        <f>VLOOKUP(Table3[[#This Row],[ACTIVITY]],TAGS!$B:$P,7,FALSE)</f>
        <v>NO</v>
      </c>
      <c r="W541" s="51" t="str">
        <f>VLOOKUP(Table3[[#This Row],[ACTIVITY]],TAGS!$B:$P,8,FALSE)</f>
        <v>Overhead</v>
      </c>
      <c r="X541" s="51" t="str">
        <f>VLOOKUP(Table3[[#This Row],[ACTIVITY]],TAGS!$B:$P,10,FALSE)</f>
        <v>NON-PIP</v>
      </c>
      <c r="Y541" s="51" t="str">
        <f>VLOOKUP(Table3[[#This Row],[ACTIVITY]],TAGS!$B:$P,11,FALSE)</f>
        <v>NON-PICS</v>
      </c>
      <c r="Z541" s="51">
        <f>VLOOKUP(Table3[[#This Row],[ACTIVITY]],TAGS!$B:$P,12,FALSE)</f>
        <v>0</v>
      </c>
      <c r="AA541" s="51">
        <f>VLOOKUP(Table3[[#This Row],[ACTIVITY]],TAGS!$B:$P,13,FALSE)</f>
        <v>0</v>
      </c>
      <c r="AB541" s="51">
        <f>VLOOKUP(Table3[[#This Row],[ACTIVITY]],TAGS!$B:$P,14,FALSE)</f>
        <v>0</v>
      </c>
      <c r="AC541" s="51" t="str">
        <f>VLOOKUP(Table3[[#This Row],[ACTIVITY]],TAGS!$B:$P,15,FALSE)</f>
        <v>Existing</v>
      </c>
      <c r="AD541" s="51">
        <f>VLOOKUP(Table3[[#This Row],[PI LEVEL 3]],'PI LEVEL'!$A:$G,7,FALSE)</f>
        <v>0</v>
      </c>
      <c r="AE541" s="47" t="s">
        <v>577</v>
      </c>
      <c r="AF541" s="51" t="str">
        <f>VLOOKUP(Table3[[#This Row],[ACTIVITY]],TAGS!$B:$P,3,FALSE)</f>
        <v>number</v>
      </c>
      <c r="AG541" s="47" t="s">
        <v>332</v>
      </c>
      <c r="AH541" s="51" t="str">
        <f>VLOOKUP(Table3[[#This Row],[MONTH]],TAGS!$W$67:$Y$81,2,FALSE)</f>
        <v>2ND QTR</v>
      </c>
      <c r="AI541" s="51" t="str">
        <f>VLOOKUP(Table3[[#This Row],[MONTH]],TAGS!$W$67:$Y$81,3,FALSE)</f>
        <v>1ST SEMESTER</v>
      </c>
      <c r="AJ541" s="51">
        <f>VLOOKUP(Table3[[#This Row],[MONTH]],TAGS!$W$67:$Z$81,4,FALSE)</f>
        <v>2025</v>
      </c>
      <c r="AK541" s="47">
        <v>1</v>
      </c>
      <c r="AL541" s="51" t="str">
        <f>VLOOKUP(Table3[[#This Row],[ACTIVITY]],TAGS!$B:$R,16,FALSE)</f>
        <v>NO</v>
      </c>
      <c r="AM541" s="47"/>
      <c r="AN541" s="47">
        <v>500</v>
      </c>
      <c r="AO541" s="57">
        <f>SUM(Table3[[#This Row],[MALE BENEFICIARIES]:[FEMALE BENEFICIARIES]])</f>
        <v>0</v>
      </c>
      <c r="AP541" s="58"/>
      <c r="AQ541" s="58"/>
      <c r="AR541" s="58"/>
      <c r="AS541" s="58"/>
      <c r="AT541" s="59">
        <f>VLOOKUP(Table3[[#This Row],[ACTIVITY]],TAGS!$B:$R,17,FALSE)</f>
        <v>0</v>
      </c>
      <c r="AU541" s="59"/>
      <c r="AV541" s="59"/>
      <c r="AW541" s="59"/>
      <c r="AX541" s="59"/>
      <c r="AY541" s="59"/>
      <c r="AZ541" s="59"/>
      <c r="BA541" s="59"/>
      <c r="BB541" s="59"/>
      <c r="BC541" s="59"/>
      <c r="BD541" s="59"/>
      <c r="BE541" s="59"/>
      <c r="BF541" s="59"/>
      <c r="BG541" s="59"/>
      <c r="BH541" s="59"/>
      <c r="BI541" s="59"/>
      <c r="BJ541" s="59"/>
      <c r="BK541" s="59"/>
      <c r="BL541" s="59"/>
      <c r="BM541" s="59"/>
    </row>
    <row r="542" spans="1:65">
      <c r="A542" s="51" t="str">
        <f>VLOOKUP(Table3[[#This Row],[OU]],OU!$A$15:$B$34,2,FALSE)</f>
        <v>RFOs</v>
      </c>
      <c r="B542" s="47" t="s">
        <v>5</v>
      </c>
      <c r="C542" s="47" t="s">
        <v>574</v>
      </c>
      <c r="D542" s="47"/>
      <c r="E542" s="47" t="s">
        <v>78</v>
      </c>
      <c r="F542" s="47" t="s">
        <v>77</v>
      </c>
      <c r="G54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4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42" s="52" t="e">
        <f>VLOOKUP(Table3[[#This Row],[PSGC]],DISTRICT!$D:$G,4,FALSE)</f>
        <v>#N/A</v>
      </c>
      <c r="J542" s="47" t="s">
        <v>585</v>
      </c>
      <c r="K542" s="51" t="str">
        <f>VLOOKUP(Table3[[#This Row],[SPECIFIC COMMODITY]],TAGS!$W$48:$X$53,2,FALSE)</f>
        <v>Multi_commodity</v>
      </c>
      <c r="L542" s="51" t="str">
        <f>VLOOKUP(Table3[[#This Row],[PREXC SUB-PROGRAM]],Table5[],2,FALSE)</f>
        <v>FIELD PROGRAMS MANAGEMENT ACTIVITIES</v>
      </c>
      <c r="M542" s="51" t="str">
        <f>VLOOKUP(Table3[[#This Row],[COMMODITY PREXC SUB-PROGRAM]],TAGS!$U$54:$V$76,2,FALSE)</f>
        <v>FPMA</v>
      </c>
      <c r="N542" s="47" t="s">
        <v>597</v>
      </c>
      <c r="O542" s="54" t="str">
        <f>VLOOKUP(Table3[[#This Row],[PI LEVEL 3]],'PI LEVEL'!A:C,3,FALSE)</f>
        <v>National/Regional Field Monitoring conducted</v>
      </c>
      <c r="P542" s="54" t="str">
        <f>VLOOKUP(Table3[[#This Row],[PI LEVEL 3]],Table53729[[Performance Indicator Level 3]:[Performance Indicator Level 1]],2,FALSE)</f>
        <v>National/Regional Field Monitoring conducted</v>
      </c>
      <c r="Q542" s="54" t="str">
        <f>VLOOKUP(Table3[[#This Row],[ACTIVITY]],TAGS!B:P,2,FALSE)</f>
        <v>National/Regional Field Monitoring conducted</v>
      </c>
      <c r="R542" s="47" t="s">
        <v>233</v>
      </c>
      <c r="S542" s="51" t="str">
        <f>VLOOKUP(Table3[[#This Row],[ACTIVITY]],TAGS!$B:$P,4,FALSE)</f>
        <v>FPMA</v>
      </c>
      <c r="T542" s="51" t="str">
        <f>VLOOKUP(Table3[[#This Row],[ACTIVITY]],TAGS!$B:$P,5,FALSE)</f>
        <v>FPMA</v>
      </c>
      <c r="U542" s="51" t="str">
        <f>VLOOKUP(Table3[[#This Row],[ACTIVITY]],TAGS!$B:$P,6,FALSE)</f>
        <v>Monitoring and Evaluation</v>
      </c>
      <c r="V542" s="51" t="str">
        <f>VLOOKUP(Table3[[#This Row],[ACTIVITY]],TAGS!$B:$P,7,FALSE)</f>
        <v>NO</v>
      </c>
      <c r="W542" s="51" t="str">
        <f>VLOOKUP(Table3[[#This Row],[ACTIVITY]],TAGS!$B:$P,8,FALSE)</f>
        <v>Overhead</v>
      </c>
      <c r="X542" s="51" t="str">
        <f>VLOOKUP(Table3[[#This Row],[ACTIVITY]],TAGS!$B:$P,10,FALSE)</f>
        <v>NON-PIP</v>
      </c>
      <c r="Y542" s="51" t="str">
        <f>VLOOKUP(Table3[[#This Row],[ACTIVITY]],TAGS!$B:$P,11,FALSE)</f>
        <v>NON-PICS</v>
      </c>
      <c r="Z542" s="51">
        <f>VLOOKUP(Table3[[#This Row],[ACTIVITY]],TAGS!$B:$P,12,FALSE)</f>
        <v>0</v>
      </c>
      <c r="AA542" s="51">
        <f>VLOOKUP(Table3[[#This Row],[ACTIVITY]],TAGS!$B:$P,13,FALSE)</f>
        <v>0</v>
      </c>
      <c r="AB542" s="51">
        <f>VLOOKUP(Table3[[#This Row],[ACTIVITY]],TAGS!$B:$P,14,FALSE)</f>
        <v>0</v>
      </c>
      <c r="AC542" s="51" t="str">
        <f>VLOOKUP(Table3[[#This Row],[ACTIVITY]],TAGS!$B:$P,15,FALSE)</f>
        <v>Existing</v>
      </c>
      <c r="AD542" s="51">
        <f>VLOOKUP(Table3[[#This Row],[PI LEVEL 3]],'PI LEVEL'!$A:$G,7,FALSE)</f>
        <v>0</v>
      </c>
      <c r="AE542" s="47" t="s">
        <v>577</v>
      </c>
      <c r="AF542" s="51" t="str">
        <f>VLOOKUP(Table3[[#This Row],[ACTIVITY]],TAGS!$B:$P,3,FALSE)</f>
        <v>number</v>
      </c>
      <c r="AG542" s="47" t="s">
        <v>327</v>
      </c>
      <c r="AH542" s="51" t="str">
        <f>VLOOKUP(Table3[[#This Row],[MONTH]],TAGS!$W$67:$Y$81,2,FALSE)</f>
        <v>1ST QTR</v>
      </c>
      <c r="AI542" s="51" t="str">
        <f>VLOOKUP(Table3[[#This Row],[MONTH]],TAGS!$W$67:$Y$81,3,FALSE)</f>
        <v>1ST SEMESTER</v>
      </c>
      <c r="AJ542" s="51">
        <f>VLOOKUP(Table3[[#This Row],[MONTH]],TAGS!$W$67:$Z$81,4,FALSE)</f>
        <v>2025</v>
      </c>
      <c r="AK542" s="47">
        <v>5</v>
      </c>
      <c r="AL542" s="51" t="str">
        <f>VLOOKUP(Table3[[#This Row],[ACTIVITY]],TAGS!$B:$R,16,FALSE)</f>
        <v>NO</v>
      </c>
      <c r="AM542" s="47"/>
      <c r="AN542" s="47">
        <v>1500</v>
      </c>
      <c r="AO542" s="57">
        <f>SUM(Table3[[#This Row],[MALE BENEFICIARIES]:[FEMALE BENEFICIARIES]])</f>
        <v>0</v>
      </c>
      <c r="AP542" s="58"/>
      <c r="AQ542" s="58"/>
      <c r="AR542" s="58"/>
      <c r="AS542" s="58"/>
      <c r="AT542" s="59">
        <f>VLOOKUP(Table3[[#This Row],[ACTIVITY]],TAGS!$B:$R,17,FALSE)</f>
        <v>0</v>
      </c>
      <c r="AU542" s="59"/>
      <c r="AV542" s="59"/>
      <c r="AW542" s="59"/>
      <c r="AX542" s="59"/>
      <c r="AY542" s="59"/>
      <c r="AZ542" s="59"/>
      <c r="BA542" s="59"/>
      <c r="BB542" s="59"/>
      <c r="BC542" s="59"/>
      <c r="BD542" s="59"/>
      <c r="BE542" s="59"/>
      <c r="BF542" s="59"/>
      <c r="BG542" s="59"/>
      <c r="BH542" s="59"/>
      <c r="BI542" s="59"/>
      <c r="BJ542" s="59"/>
      <c r="BK542" s="59"/>
      <c r="BL542" s="59"/>
      <c r="BM542" s="59"/>
    </row>
    <row r="543" spans="1:65">
      <c r="A543" s="51" t="str">
        <f>VLOOKUP(Table3[[#This Row],[OU]],OU!$A$15:$B$34,2,FALSE)</f>
        <v>RFOs</v>
      </c>
      <c r="B543" s="47" t="s">
        <v>5</v>
      </c>
      <c r="C543" s="47" t="s">
        <v>574</v>
      </c>
      <c r="D543" s="47"/>
      <c r="E543" s="47" t="s">
        <v>78</v>
      </c>
      <c r="F543" s="47" t="s">
        <v>77</v>
      </c>
      <c r="G54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4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43" s="52" t="e">
        <f>VLOOKUP(Table3[[#This Row],[PSGC]],DISTRICT!$D:$G,4,FALSE)</f>
        <v>#N/A</v>
      </c>
      <c r="J543" s="47" t="s">
        <v>585</v>
      </c>
      <c r="K543" s="51" t="str">
        <f>VLOOKUP(Table3[[#This Row],[SPECIFIC COMMODITY]],TAGS!$W$48:$X$53,2,FALSE)</f>
        <v>Multi_commodity</v>
      </c>
      <c r="L543" s="51" t="str">
        <f>VLOOKUP(Table3[[#This Row],[PREXC SUB-PROGRAM]],Table5[],2,FALSE)</f>
        <v>FIELD PROGRAMS MANAGEMENT ACTIVITIES</v>
      </c>
      <c r="M543" s="51" t="str">
        <f>VLOOKUP(Table3[[#This Row],[COMMODITY PREXC SUB-PROGRAM]],TAGS!$U$54:$V$76,2,FALSE)</f>
        <v>FPMA</v>
      </c>
      <c r="N543" s="47" t="s">
        <v>597</v>
      </c>
      <c r="O543" s="54" t="str">
        <f>VLOOKUP(Table3[[#This Row],[PI LEVEL 3]],'PI LEVEL'!A:C,3,FALSE)</f>
        <v>National/Regional Field Monitoring conducted</v>
      </c>
      <c r="P543" s="54" t="str">
        <f>VLOOKUP(Table3[[#This Row],[PI LEVEL 3]],Table53729[[Performance Indicator Level 3]:[Performance Indicator Level 1]],2,FALSE)</f>
        <v>National/Regional Field Monitoring conducted</v>
      </c>
      <c r="Q543" s="54" t="str">
        <f>VLOOKUP(Table3[[#This Row],[ACTIVITY]],TAGS!B:P,2,FALSE)</f>
        <v>National/Regional Field Monitoring conducted</v>
      </c>
      <c r="R543" s="47" t="s">
        <v>233</v>
      </c>
      <c r="S543" s="51" t="str">
        <f>VLOOKUP(Table3[[#This Row],[ACTIVITY]],TAGS!$B:$P,4,FALSE)</f>
        <v>FPMA</v>
      </c>
      <c r="T543" s="51" t="str">
        <f>VLOOKUP(Table3[[#This Row],[ACTIVITY]],TAGS!$B:$P,5,FALSE)</f>
        <v>FPMA</v>
      </c>
      <c r="U543" s="51" t="str">
        <f>VLOOKUP(Table3[[#This Row],[ACTIVITY]],TAGS!$B:$P,6,FALSE)</f>
        <v>Monitoring and Evaluation</v>
      </c>
      <c r="V543" s="51" t="str">
        <f>VLOOKUP(Table3[[#This Row],[ACTIVITY]],TAGS!$B:$P,7,FALSE)</f>
        <v>NO</v>
      </c>
      <c r="W543" s="51" t="str">
        <f>VLOOKUP(Table3[[#This Row],[ACTIVITY]],TAGS!$B:$P,8,FALSE)</f>
        <v>Overhead</v>
      </c>
      <c r="X543" s="51" t="str">
        <f>VLOOKUP(Table3[[#This Row],[ACTIVITY]],TAGS!$B:$P,10,FALSE)</f>
        <v>NON-PIP</v>
      </c>
      <c r="Y543" s="51" t="str">
        <f>VLOOKUP(Table3[[#This Row],[ACTIVITY]],TAGS!$B:$P,11,FALSE)</f>
        <v>NON-PICS</v>
      </c>
      <c r="Z543" s="51">
        <f>VLOOKUP(Table3[[#This Row],[ACTIVITY]],TAGS!$B:$P,12,FALSE)</f>
        <v>0</v>
      </c>
      <c r="AA543" s="51">
        <f>VLOOKUP(Table3[[#This Row],[ACTIVITY]],TAGS!$B:$P,13,FALSE)</f>
        <v>0</v>
      </c>
      <c r="AB543" s="51">
        <f>VLOOKUP(Table3[[#This Row],[ACTIVITY]],TAGS!$B:$P,14,FALSE)</f>
        <v>0</v>
      </c>
      <c r="AC543" s="51" t="str">
        <f>VLOOKUP(Table3[[#This Row],[ACTIVITY]],TAGS!$B:$P,15,FALSE)</f>
        <v>Existing</v>
      </c>
      <c r="AD543" s="51">
        <f>VLOOKUP(Table3[[#This Row],[PI LEVEL 3]],'PI LEVEL'!$A:$G,7,FALSE)</f>
        <v>0</v>
      </c>
      <c r="AE543" s="47" t="s">
        <v>577</v>
      </c>
      <c r="AF543" s="51" t="str">
        <f>VLOOKUP(Table3[[#This Row],[ACTIVITY]],TAGS!$B:$P,3,FALSE)</f>
        <v>number</v>
      </c>
      <c r="AG543" s="47" t="s">
        <v>328</v>
      </c>
      <c r="AH543" s="51" t="str">
        <f>VLOOKUP(Table3[[#This Row],[MONTH]],TAGS!$W$67:$Y$81,2,FALSE)</f>
        <v>1ST QTR</v>
      </c>
      <c r="AI543" s="51" t="str">
        <f>VLOOKUP(Table3[[#This Row],[MONTH]],TAGS!$W$67:$Y$81,3,FALSE)</f>
        <v>1ST SEMESTER</v>
      </c>
      <c r="AJ543" s="51">
        <f>VLOOKUP(Table3[[#This Row],[MONTH]],TAGS!$W$67:$Z$81,4,FALSE)</f>
        <v>2025</v>
      </c>
      <c r="AK543" s="47">
        <v>5</v>
      </c>
      <c r="AL543" s="51" t="str">
        <f>VLOOKUP(Table3[[#This Row],[ACTIVITY]],TAGS!$B:$R,16,FALSE)</f>
        <v>NO</v>
      </c>
      <c r="AM543" s="47"/>
      <c r="AN543" s="47">
        <v>1400</v>
      </c>
      <c r="AO543" s="57">
        <f>SUM(Table3[[#This Row],[MALE BENEFICIARIES]:[FEMALE BENEFICIARIES]])</f>
        <v>0</v>
      </c>
      <c r="AP543" s="58"/>
      <c r="AQ543" s="58"/>
      <c r="AR543" s="58"/>
      <c r="AS543" s="58"/>
      <c r="AT543" s="59">
        <f>VLOOKUP(Table3[[#This Row],[ACTIVITY]],TAGS!$B:$R,17,FALSE)</f>
        <v>0</v>
      </c>
      <c r="AU543" s="59"/>
      <c r="AV543" s="59"/>
      <c r="AW543" s="59"/>
      <c r="AX543" s="59"/>
      <c r="AY543" s="59"/>
      <c r="AZ543" s="59"/>
      <c r="BA543" s="59"/>
      <c r="BB543" s="59"/>
      <c r="BC543" s="59"/>
      <c r="BD543" s="59"/>
      <c r="BE543" s="59"/>
      <c r="BF543" s="59"/>
      <c r="BG543" s="59"/>
      <c r="BH543" s="59"/>
      <c r="BI543" s="59"/>
      <c r="BJ543" s="59"/>
      <c r="BK543" s="59"/>
      <c r="BL543" s="59"/>
      <c r="BM543" s="59"/>
    </row>
    <row r="544" spans="1:65">
      <c r="A544" s="51" t="str">
        <f>VLOOKUP(Table3[[#This Row],[OU]],OU!$A$15:$B$34,2,FALSE)</f>
        <v>RFOs</v>
      </c>
      <c r="B544" s="47" t="s">
        <v>5</v>
      </c>
      <c r="C544" s="47" t="s">
        <v>574</v>
      </c>
      <c r="D544" s="47"/>
      <c r="E544" s="47" t="s">
        <v>78</v>
      </c>
      <c r="F544" s="47" t="s">
        <v>77</v>
      </c>
      <c r="G544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44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44" s="52" t="e">
        <f>VLOOKUP(Table3[[#This Row],[PSGC]],DISTRICT!$D:$G,4,FALSE)</f>
        <v>#N/A</v>
      </c>
      <c r="J544" s="47" t="s">
        <v>585</v>
      </c>
      <c r="K544" s="51" t="str">
        <f>VLOOKUP(Table3[[#This Row],[SPECIFIC COMMODITY]],TAGS!$W$48:$X$53,2,FALSE)</f>
        <v>Multi_commodity</v>
      </c>
      <c r="L544" s="51" t="str">
        <f>VLOOKUP(Table3[[#This Row],[PREXC SUB-PROGRAM]],Table5[],2,FALSE)</f>
        <v>FIELD PROGRAMS MANAGEMENT ACTIVITIES</v>
      </c>
      <c r="M544" s="51" t="str">
        <f>VLOOKUP(Table3[[#This Row],[COMMODITY PREXC SUB-PROGRAM]],TAGS!$U$54:$V$76,2,FALSE)</f>
        <v>FPMA</v>
      </c>
      <c r="N544" s="47" t="s">
        <v>597</v>
      </c>
      <c r="O544" s="54" t="str">
        <f>VLOOKUP(Table3[[#This Row],[PI LEVEL 3]],'PI LEVEL'!A:C,3,FALSE)</f>
        <v>National/Regional Field Monitoring conducted</v>
      </c>
      <c r="P544" s="54" t="str">
        <f>VLOOKUP(Table3[[#This Row],[PI LEVEL 3]],Table53729[[Performance Indicator Level 3]:[Performance Indicator Level 1]],2,FALSE)</f>
        <v>National/Regional Field Monitoring conducted</v>
      </c>
      <c r="Q544" s="54" t="str">
        <f>VLOOKUP(Table3[[#This Row],[ACTIVITY]],TAGS!B:P,2,FALSE)</f>
        <v>National/Regional Field Monitoring conducted</v>
      </c>
      <c r="R544" s="47" t="s">
        <v>233</v>
      </c>
      <c r="S544" s="51" t="str">
        <f>VLOOKUP(Table3[[#This Row],[ACTIVITY]],TAGS!$B:$P,4,FALSE)</f>
        <v>FPMA</v>
      </c>
      <c r="T544" s="51" t="str">
        <f>VLOOKUP(Table3[[#This Row],[ACTIVITY]],TAGS!$B:$P,5,FALSE)</f>
        <v>FPMA</v>
      </c>
      <c r="U544" s="51" t="str">
        <f>VLOOKUP(Table3[[#This Row],[ACTIVITY]],TAGS!$B:$P,6,FALSE)</f>
        <v>Monitoring and Evaluation</v>
      </c>
      <c r="V544" s="51" t="str">
        <f>VLOOKUP(Table3[[#This Row],[ACTIVITY]],TAGS!$B:$P,7,FALSE)</f>
        <v>NO</v>
      </c>
      <c r="W544" s="51" t="str">
        <f>VLOOKUP(Table3[[#This Row],[ACTIVITY]],TAGS!$B:$P,8,FALSE)</f>
        <v>Overhead</v>
      </c>
      <c r="X544" s="51" t="str">
        <f>VLOOKUP(Table3[[#This Row],[ACTIVITY]],TAGS!$B:$P,10,FALSE)</f>
        <v>NON-PIP</v>
      </c>
      <c r="Y544" s="51" t="str">
        <f>VLOOKUP(Table3[[#This Row],[ACTIVITY]],TAGS!$B:$P,11,FALSE)</f>
        <v>NON-PICS</v>
      </c>
      <c r="Z544" s="51">
        <f>VLOOKUP(Table3[[#This Row],[ACTIVITY]],TAGS!$B:$P,12,FALSE)</f>
        <v>0</v>
      </c>
      <c r="AA544" s="51">
        <f>VLOOKUP(Table3[[#This Row],[ACTIVITY]],TAGS!$B:$P,13,FALSE)</f>
        <v>0</v>
      </c>
      <c r="AB544" s="51">
        <f>VLOOKUP(Table3[[#This Row],[ACTIVITY]],TAGS!$B:$P,14,FALSE)</f>
        <v>0</v>
      </c>
      <c r="AC544" s="51" t="str">
        <f>VLOOKUP(Table3[[#This Row],[ACTIVITY]],TAGS!$B:$P,15,FALSE)</f>
        <v>Existing</v>
      </c>
      <c r="AD544" s="51">
        <f>VLOOKUP(Table3[[#This Row],[PI LEVEL 3]],'PI LEVEL'!$A:$G,7,FALSE)</f>
        <v>0</v>
      </c>
      <c r="AE544" s="47" t="s">
        <v>577</v>
      </c>
      <c r="AF544" s="51" t="str">
        <f>VLOOKUP(Table3[[#This Row],[ACTIVITY]],TAGS!$B:$P,3,FALSE)</f>
        <v>number</v>
      </c>
      <c r="AG544" s="47" t="s">
        <v>329</v>
      </c>
      <c r="AH544" s="51" t="str">
        <f>VLOOKUP(Table3[[#This Row],[MONTH]],TAGS!$W$67:$Y$81,2,FALSE)</f>
        <v>1ST QTR</v>
      </c>
      <c r="AI544" s="51" t="str">
        <f>VLOOKUP(Table3[[#This Row],[MONTH]],TAGS!$W$67:$Y$81,3,FALSE)</f>
        <v>1ST SEMESTER</v>
      </c>
      <c r="AJ544" s="51">
        <f>VLOOKUP(Table3[[#This Row],[MONTH]],TAGS!$W$67:$Z$81,4,FALSE)</f>
        <v>2025</v>
      </c>
      <c r="AK544" s="47">
        <v>5</v>
      </c>
      <c r="AL544" s="51" t="str">
        <f>VLOOKUP(Table3[[#This Row],[ACTIVITY]],TAGS!$B:$R,16,FALSE)</f>
        <v>NO</v>
      </c>
      <c r="AM544" s="47"/>
      <c r="AN544" s="47">
        <v>1400</v>
      </c>
      <c r="AO544" s="57">
        <f>SUM(Table3[[#This Row],[MALE BENEFICIARIES]:[FEMALE BENEFICIARIES]])</f>
        <v>0</v>
      </c>
      <c r="AP544" s="58"/>
      <c r="AQ544" s="58"/>
      <c r="AR544" s="58"/>
      <c r="AS544" s="58"/>
      <c r="AT544" s="59">
        <f>VLOOKUP(Table3[[#This Row],[ACTIVITY]],TAGS!$B:$R,17,FALSE)</f>
        <v>0</v>
      </c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  <c r="BF544" s="59"/>
      <c r="BG544" s="59"/>
      <c r="BH544" s="59"/>
      <c r="BI544" s="59"/>
      <c r="BJ544" s="59"/>
      <c r="BK544" s="59"/>
      <c r="BL544" s="59"/>
      <c r="BM544" s="59"/>
    </row>
    <row r="545" spans="1:65">
      <c r="A545" s="51" t="str">
        <f>VLOOKUP(Table3[[#This Row],[OU]],OU!$A$15:$B$34,2,FALSE)</f>
        <v>RFOs</v>
      </c>
      <c r="B545" s="47" t="s">
        <v>5</v>
      </c>
      <c r="C545" s="47" t="s">
        <v>574</v>
      </c>
      <c r="D545" s="47"/>
      <c r="E545" s="47" t="s">
        <v>78</v>
      </c>
      <c r="F545" s="47" t="s">
        <v>77</v>
      </c>
      <c r="G545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45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45" s="52" t="e">
        <f>VLOOKUP(Table3[[#This Row],[PSGC]],DISTRICT!$D:$G,4,FALSE)</f>
        <v>#N/A</v>
      </c>
      <c r="J545" s="47" t="s">
        <v>585</v>
      </c>
      <c r="K545" s="51" t="str">
        <f>VLOOKUP(Table3[[#This Row],[SPECIFIC COMMODITY]],TAGS!$W$48:$X$53,2,FALSE)</f>
        <v>Multi_commodity</v>
      </c>
      <c r="L545" s="51" t="str">
        <f>VLOOKUP(Table3[[#This Row],[PREXC SUB-PROGRAM]],Table5[],2,FALSE)</f>
        <v>FIELD PROGRAMS MANAGEMENT ACTIVITIES</v>
      </c>
      <c r="M545" s="51" t="str">
        <f>VLOOKUP(Table3[[#This Row],[COMMODITY PREXC SUB-PROGRAM]],TAGS!$U$54:$V$76,2,FALSE)</f>
        <v>FPMA</v>
      </c>
      <c r="N545" s="47" t="s">
        <v>597</v>
      </c>
      <c r="O545" s="54" t="str">
        <f>VLOOKUP(Table3[[#This Row],[PI LEVEL 3]],'PI LEVEL'!A:C,3,FALSE)</f>
        <v>National/Regional Field Monitoring conducted</v>
      </c>
      <c r="P545" s="54" t="str">
        <f>VLOOKUP(Table3[[#This Row],[PI LEVEL 3]],Table53729[[Performance Indicator Level 3]:[Performance Indicator Level 1]],2,FALSE)</f>
        <v>National/Regional Field Monitoring conducted</v>
      </c>
      <c r="Q545" s="54" t="str">
        <f>VLOOKUP(Table3[[#This Row],[ACTIVITY]],TAGS!B:P,2,FALSE)</f>
        <v>National/Regional Field Monitoring conducted</v>
      </c>
      <c r="R545" s="47" t="s">
        <v>233</v>
      </c>
      <c r="S545" s="51" t="str">
        <f>VLOOKUP(Table3[[#This Row],[ACTIVITY]],TAGS!$B:$P,4,FALSE)</f>
        <v>FPMA</v>
      </c>
      <c r="T545" s="51" t="str">
        <f>VLOOKUP(Table3[[#This Row],[ACTIVITY]],TAGS!$B:$P,5,FALSE)</f>
        <v>FPMA</v>
      </c>
      <c r="U545" s="51" t="str">
        <f>VLOOKUP(Table3[[#This Row],[ACTIVITY]],TAGS!$B:$P,6,FALSE)</f>
        <v>Monitoring and Evaluation</v>
      </c>
      <c r="V545" s="51" t="str">
        <f>VLOOKUP(Table3[[#This Row],[ACTIVITY]],TAGS!$B:$P,7,FALSE)</f>
        <v>NO</v>
      </c>
      <c r="W545" s="51" t="str">
        <f>VLOOKUP(Table3[[#This Row],[ACTIVITY]],TAGS!$B:$P,8,FALSE)</f>
        <v>Overhead</v>
      </c>
      <c r="X545" s="51" t="str">
        <f>VLOOKUP(Table3[[#This Row],[ACTIVITY]],TAGS!$B:$P,10,FALSE)</f>
        <v>NON-PIP</v>
      </c>
      <c r="Y545" s="51" t="str">
        <f>VLOOKUP(Table3[[#This Row],[ACTIVITY]],TAGS!$B:$P,11,FALSE)</f>
        <v>NON-PICS</v>
      </c>
      <c r="Z545" s="51">
        <f>VLOOKUP(Table3[[#This Row],[ACTIVITY]],TAGS!$B:$P,12,FALSE)</f>
        <v>0</v>
      </c>
      <c r="AA545" s="51">
        <f>VLOOKUP(Table3[[#This Row],[ACTIVITY]],TAGS!$B:$P,13,FALSE)</f>
        <v>0</v>
      </c>
      <c r="AB545" s="51">
        <f>VLOOKUP(Table3[[#This Row],[ACTIVITY]],TAGS!$B:$P,14,FALSE)</f>
        <v>0</v>
      </c>
      <c r="AC545" s="51" t="str">
        <f>VLOOKUP(Table3[[#This Row],[ACTIVITY]],TAGS!$B:$P,15,FALSE)</f>
        <v>Existing</v>
      </c>
      <c r="AD545" s="51">
        <f>VLOOKUP(Table3[[#This Row],[PI LEVEL 3]],'PI LEVEL'!$A:$G,7,FALSE)</f>
        <v>0</v>
      </c>
      <c r="AE545" s="47" t="s">
        <v>577</v>
      </c>
      <c r="AF545" s="51" t="str">
        <f>VLOOKUP(Table3[[#This Row],[ACTIVITY]],TAGS!$B:$P,3,FALSE)</f>
        <v>number</v>
      </c>
      <c r="AG545" s="47" t="s">
        <v>330</v>
      </c>
      <c r="AH545" s="51" t="str">
        <f>VLOOKUP(Table3[[#This Row],[MONTH]],TAGS!$W$67:$Y$81,2,FALSE)</f>
        <v>2ND QTR</v>
      </c>
      <c r="AI545" s="51" t="str">
        <f>VLOOKUP(Table3[[#This Row],[MONTH]],TAGS!$W$67:$Y$81,3,FALSE)</f>
        <v>1ST SEMESTER</v>
      </c>
      <c r="AJ545" s="51">
        <f>VLOOKUP(Table3[[#This Row],[MONTH]],TAGS!$W$67:$Z$81,4,FALSE)</f>
        <v>2025</v>
      </c>
      <c r="AK545" s="47">
        <v>5</v>
      </c>
      <c r="AL545" s="51" t="str">
        <f>VLOOKUP(Table3[[#This Row],[ACTIVITY]],TAGS!$B:$R,16,FALSE)</f>
        <v>NO</v>
      </c>
      <c r="AM545" s="47"/>
      <c r="AN545" s="47">
        <v>1400</v>
      </c>
      <c r="AO545" s="57">
        <f>SUM(Table3[[#This Row],[MALE BENEFICIARIES]:[FEMALE BENEFICIARIES]])</f>
        <v>0</v>
      </c>
      <c r="AP545" s="58"/>
      <c r="AQ545" s="58"/>
      <c r="AR545" s="58"/>
      <c r="AS545" s="58"/>
      <c r="AT545" s="59">
        <f>VLOOKUP(Table3[[#This Row],[ACTIVITY]],TAGS!$B:$R,17,FALSE)</f>
        <v>0</v>
      </c>
      <c r="AU545" s="59"/>
      <c r="AV545" s="59"/>
      <c r="AW545" s="59"/>
      <c r="AX545" s="59"/>
      <c r="AY545" s="59"/>
      <c r="AZ545" s="59"/>
      <c r="BA545" s="59"/>
      <c r="BB545" s="59"/>
      <c r="BC545" s="59"/>
      <c r="BD545" s="59"/>
      <c r="BE545" s="59"/>
      <c r="BF545" s="59"/>
      <c r="BG545" s="59"/>
      <c r="BH545" s="59"/>
      <c r="BI545" s="59"/>
      <c r="BJ545" s="59"/>
      <c r="BK545" s="59"/>
      <c r="BL545" s="59"/>
      <c r="BM545" s="59"/>
    </row>
    <row r="546" spans="1:65">
      <c r="A546" s="51" t="str">
        <f>VLOOKUP(Table3[[#This Row],[OU]],OU!$A$15:$B$34,2,FALSE)</f>
        <v>RFOs</v>
      </c>
      <c r="B546" s="47" t="s">
        <v>5</v>
      </c>
      <c r="C546" s="47" t="s">
        <v>574</v>
      </c>
      <c r="D546" s="47"/>
      <c r="E546" s="47" t="s">
        <v>78</v>
      </c>
      <c r="F546" s="47" t="s">
        <v>77</v>
      </c>
      <c r="G546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46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46" s="52" t="e">
        <f>VLOOKUP(Table3[[#This Row],[PSGC]],DISTRICT!$D:$G,4,FALSE)</f>
        <v>#N/A</v>
      </c>
      <c r="J546" s="47" t="s">
        <v>585</v>
      </c>
      <c r="K546" s="51" t="str">
        <f>VLOOKUP(Table3[[#This Row],[SPECIFIC COMMODITY]],TAGS!$W$48:$X$53,2,FALSE)</f>
        <v>Multi_commodity</v>
      </c>
      <c r="L546" s="51" t="str">
        <f>VLOOKUP(Table3[[#This Row],[PREXC SUB-PROGRAM]],Table5[],2,FALSE)</f>
        <v>FIELD PROGRAMS MANAGEMENT ACTIVITIES</v>
      </c>
      <c r="M546" s="51" t="str">
        <f>VLOOKUP(Table3[[#This Row],[COMMODITY PREXC SUB-PROGRAM]],TAGS!$U$54:$V$76,2,FALSE)</f>
        <v>FPMA</v>
      </c>
      <c r="N546" s="47" t="s">
        <v>597</v>
      </c>
      <c r="O546" s="54" t="str">
        <f>VLOOKUP(Table3[[#This Row],[PI LEVEL 3]],'PI LEVEL'!A:C,3,FALSE)</f>
        <v>National/Regional Field Monitoring conducted</v>
      </c>
      <c r="P546" s="54" t="str">
        <f>VLOOKUP(Table3[[#This Row],[PI LEVEL 3]],Table53729[[Performance Indicator Level 3]:[Performance Indicator Level 1]],2,FALSE)</f>
        <v>National/Regional Field Monitoring conducted</v>
      </c>
      <c r="Q546" s="54" t="str">
        <f>VLOOKUP(Table3[[#This Row],[ACTIVITY]],TAGS!B:P,2,FALSE)</f>
        <v>National/Regional Field Monitoring conducted</v>
      </c>
      <c r="R546" s="47" t="s">
        <v>233</v>
      </c>
      <c r="S546" s="51" t="str">
        <f>VLOOKUP(Table3[[#This Row],[ACTIVITY]],TAGS!$B:$P,4,FALSE)</f>
        <v>FPMA</v>
      </c>
      <c r="T546" s="51" t="str">
        <f>VLOOKUP(Table3[[#This Row],[ACTIVITY]],TAGS!$B:$P,5,FALSE)</f>
        <v>FPMA</v>
      </c>
      <c r="U546" s="51" t="str">
        <f>VLOOKUP(Table3[[#This Row],[ACTIVITY]],TAGS!$B:$P,6,FALSE)</f>
        <v>Monitoring and Evaluation</v>
      </c>
      <c r="V546" s="51" t="str">
        <f>VLOOKUP(Table3[[#This Row],[ACTIVITY]],TAGS!$B:$P,7,FALSE)</f>
        <v>NO</v>
      </c>
      <c r="W546" s="51" t="str">
        <f>VLOOKUP(Table3[[#This Row],[ACTIVITY]],TAGS!$B:$P,8,FALSE)</f>
        <v>Overhead</v>
      </c>
      <c r="X546" s="51" t="str">
        <f>VLOOKUP(Table3[[#This Row],[ACTIVITY]],TAGS!$B:$P,10,FALSE)</f>
        <v>NON-PIP</v>
      </c>
      <c r="Y546" s="51" t="str">
        <f>VLOOKUP(Table3[[#This Row],[ACTIVITY]],TAGS!$B:$P,11,FALSE)</f>
        <v>NON-PICS</v>
      </c>
      <c r="Z546" s="51">
        <f>VLOOKUP(Table3[[#This Row],[ACTIVITY]],TAGS!$B:$P,12,FALSE)</f>
        <v>0</v>
      </c>
      <c r="AA546" s="51">
        <f>VLOOKUP(Table3[[#This Row],[ACTIVITY]],TAGS!$B:$P,13,FALSE)</f>
        <v>0</v>
      </c>
      <c r="AB546" s="51">
        <f>VLOOKUP(Table3[[#This Row],[ACTIVITY]],TAGS!$B:$P,14,FALSE)</f>
        <v>0</v>
      </c>
      <c r="AC546" s="51" t="str">
        <f>VLOOKUP(Table3[[#This Row],[ACTIVITY]],TAGS!$B:$P,15,FALSE)</f>
        <v>Existing</v>
      </c>
      <c r="AD546" s="51">
        <f>VLOOKUP(Table3[[#This Row],[PI LEVEL 3]],'PI LEVEL'!$A:$G,7,FALSE)</f>
        <v>0</v>
      </c>
      <c r="AE546" s="47" t="s">
        <v>577</v>
      </c>
      <c r="AF546" s="51" t="str">
        <f>VLOOKUP(Table3[[#This Row],[ACTIVITY]],TAGS!$B:$P,3,FALSE)</f>
        <v>number</v>
      </c>
      <c r="AG546" s="47" t="s">
        <v>331</v>
      </c>
      <c r="AH546" s="51" t="str">
        <f>VLOOKUP(Table3[[#This Row],[MONTH]],TAGS!$W$67:$Y$81,2,FALSE)</f>
        <v>2ND QTR</v>
      </c>
      <c r="AI546" s="51" t="str">
        <f>VLOOKUP(Table3[[#This Row],[MONTH]],TAGS!$W$67:$Y$81,3,FALSE)</f>
        <v>1ST SEMESTER</v>
      </c>
      <c r="AJ546" s="51">
        <f>VLOOKUP(Table3[[#This Row],[MONTH]],TAGS!$W$67:$Z$81,4,FALSE)</f>
        <v>2025</v>
      </c>
      <c r="AK546" s="47">
        <v>5</v>
      </c>
      <c r="AL546" s="51" t="str">
        <f>VLOOKUP(Table3[[#This Row],[ACTIVITY]],TAGS!$B:$R,16,FALSE)</f>
        <v>NO</v>
      </c>
      <c r="AM546" s="47"/>
      <c r="AN546" s="47">
        <v>1400</v>
      </c>
      <c r="AO546" s="57">
        <f>SUM(Table3[[#This Row],[MALE BENEFICIARIES]:[FEMALE BENEFICIARIES]])</f>
        <v>0</v>
      </c>
      <c r="AP546" s="58"/>
      <c r="AQ546" s="58"/>
      <c r="AR546" s="58"/>
      <c r="AS546" s="58"/>
      <c r="AT546" s="59">
        <f>VLOOKUP(Table3[[#This Row],[ACTIVITY]],TAGS!$B:$R,17,FALSE)</f>
        <v>0</v>
      </c>
      <c r="AU546" s="59"/>
      <c r="AV546" s="59"/>
      <c r="AW546" s="59"/>
      <c r="AX546" s="59"/>
      <c r="AY546" s="59"/>
      <c r="AZ546" s="59"/>
      <c r="BA546" s="59"/>
      <c r="BB546" s="59"/>
      <c r="BC546" s="59"/>
      <c r="BD546" s="59"/>
      <c r="BE546" s="59"/>
      <c r="BF546" s="59"/>
      <c r="BG546" s="59"/>
      <c r="BH546" s="59"/>
      <c r="BI546" s="59"/>
      <c r="BJ546" s="59"/>
      <c r="BK546" s="59"/>
      <c r="BL546" s="59"/>
      <c r="BM546" s="59"/>
    </row>
    <row r="547" spans="1:65">
      <c r="A547" s="51" t="str">
        <f>VLOOKUP(Table3[[#This Row],[OU]],OU!$A$15:$B$34,2,FALSE)</f>
        <v>RFOs</v>
      </c>
      <c r="B547" s="47" t="s">
        <v>5</v>
      </c>
      <c r="C547" s="47" t="s">
        <v>574</v>
      </c>
      <c r="D547" s="47"/>
      <c r="E547" s="47" t="s">
        <v>78</v>
      </c>
      <c r="F547" s="47" t="s">
        <v>77</v>
      </c>
      <c r="G547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47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47" s="52" t="e">
        <f>VLOOKUP(Table3[[#This Row],[PSGC]],DISTRICT!$D:$G,4,FALSE)</f>
        <v>#N/A</v>
      </c>
      <c r="J547" s="47" t="s">
        <v>585</v>
      </c>
      <c r="K547" s="51" t="str">
        <f>VLOOKUP(Table3[[#This Row],[SPECIFIC COMMODITY]],TAGS!$W$48:$X$53,2,FALSE)</f>
        <v>Multi_commodity</v>
      </c>
      <c r="L547" s="51" t="str">
        <f>VLOOKUP(Table3[[#This Row],[PREXC SUB-PROGRAM]],Table5[],2,FALSE)</f>
        <v>FIELD PROGRAMS MANAGEMENT ACTIVITIES</v>
      </c>
      <c r="M547" s="51" t="str">
        <f>VLOOKUP(Table3[[#This Row],[COMMODITY PREXC SUB-PROGRAM]],TAGS!$U$54:$V$76,2,FALSE)</f>
        <v>FPMA</v>
      </c>
      <c r="N547" s="47" t="s">
        <v>597</v>
      </c>
      <c r="O547" s="54" t="str">
        <f>VLOOKUP(Table3[[#This Row],[PI LEVEL 3]],'PI LEVEL'!A:C,3,FALSE)</f>
        <v>National/Regional Field Monitoring conducted</v>
      </c>
      <c r="P547" s="54" t="str">
        <f>VLOOKUP(Table3[[#This Row],[PI LEVEL 3]],Table53729[[Performance Indicator Level 3]:[Performance Indicator Level 1]],2,FALSE)</f>
        <v>National/Regional Field Monitoring conducted</v>
      </c>
      <c r="Q547" s="54" t="str">
        <f>VLOOKUP(Table3[[#This Row],[ACTIVITY]],TAGS!B:P,2,FALSE)</f>
        <v>National/Regional Field Monitoring conducted</v>
      </c>
      <c r="R547" s="47" t="s">
        <v>233</v>
      </c>
      <c r="S547" s="51" t="str">
        <f>VLOOKUP(Table3[[#This Row],[ACTIVITY]],TAGS!$B:$P,4,FALSE)</f>
        <v>FPMA</v>
      </c>
      <c r="T547" s="51" t="str">
        <f>VLOOKUP(Table3[[#This Row],[ACTIVITY]],TAGS!$B:$P,5,FALSE)</f>
        <v>FPMA</v>
      </c>
      <c r="U547" s="51" t="str">
        <f>VLOOKUP(Table3[[#This Row],[ACTIVITY]],TAGS!$B:$P,6,FALSE)</f>
        <v>Monitoring and Evaluation</v>
      </c>
      <c r="V547" s="51" t="str">
        <f>VLOOKUP(Table3[[#This Row],[ACTIVITY]],TAGS!$B:$P,7,FALSE)</f>
        <v>NO</v>
      </c>
      <c r="W547" s="51" t="str">
        <f>VLOOKUP(Table3[[#This Row],[ACTIVITY]],TAGS!$B:$P,8,FALSE)</f>
        <v>Overhead</v>
      </c>
      <c r="X547" s="51" t="str">
        <f>VLOOKUP(Table3[[#This Row],[ACTIVITY]],TAGS!$B:$P,10,FALSE)</f>
        <v>NON-PIP</v>
      </c>
      <c r="Y547" s="51" t="str">
        <f>VLOOKUP(Table3[[#This Row],[ACTIVITY]],TAGS!$B:$P,11,FALSE)</f>
        <v>NON-PICS</v>
      </c>
      <c r="Z547" s="51">
        <f>VLOOKUP(Table3[[#This Row],[ACTIVITY]],TAGS!$B:$P,12,FALSE)</f>
        <v>0</v>
      </c>
      <c r="AA547" s="51">
        <f>VLOOKUP(Table3[[#This Row],[ACTIVITY]],TAGS!$B:$P,13,FALSE)</f>
        <v>0</v>
      </c>
      <c r="AB547" s="51">
        <f>VLOOKUP(Table3[[#This Row],[ACTIVITY]],TAGS!$B:$P,14,FALSE)</f>
        <v>0</v>
      </c>
      <c r="AC547" s="51" t="str">
        <f>VLOOKUP(Table3[[#This Row],[ACTIVITY]],TAGS!$B:$P,15,FALSE)</f>
        <v>Existing</v>
      </c>
      <c r="AD547" s="51">
        <f>VLOOKUP(Table3[[#This Row],[PI LEVEL 3]],'PI LEVEL'!$A:$G,7,FALSE)</f>
        <v>0</v>
      </c>
      <c r="AE547" s="47" t="s">
        <v>577</v>
      </c>
      <c r="AF547" s="51" t="str">
        <f>VLOOKUP(Table3[[#This Row],[ACTIVITY]],TAGS!$B:$P,3,FALSE)</f>
        <v>number</v>
      </c>
      <c r="AG547" s="47" t="s">
        <v>332</v>
      </c>
      <c r="AH547" s="51" t="str">
        <f>VLOOKUP(Table3[[#This Row],[MONTH]],TAGS!$W$67:$Y$81,2,FALSE)</f>
        <v>2ND QTR</v>
      </c>
      <c r="AI547" s="51" t="str">
        <f>VLOOKUP(Table3[[#This Row],[MONTH]],TAGS!$W$67:$Y$81,3,FALSE)</f>
        <v>1ST SEMESTER</v>
      </c>
      <c r="AJ547" s="51">
        <f>VLOOKUP(Table3[[#This Row],[MONTH]],TAGS!$W$67:$Z$81,4,FALSE)</f>
        <v>2025</v>
      </c>
      <c r="AK547" s="47">
        <v>5</v>
      </c>
      <c r="AL547" s="51" t="str">
        <f>VLOOKUP(Table3[[#This Row],[ACTIVITY]],TAGS!$B:$R,16,FALSE)</f>
        <v>NO</v>
      </c>
      <c r="AM547" s="47"/>
      <c r="AN547" s="47">
        <v>1500</v>
      </c>
      <c r="AO547" s="57">
        <f>SUM(Table3[[#This Row],[MALE BENEFICIARIES]:[FEMALE BENEFICIARIES]])</f>
        <v>0</v>
      </c>
      <c r="AP547" s="58"/>
      <c r="AQ547" s="58"/>
      <c r="AR547" s="58"/>
      <c r="AS547" s="58"/>
      <c r="AT547" s="59">
        <f>VLOOKUP(Table3[[#This Row],[ACTIVITY]],TAGS!$B:$R,17,FALSE)</f>
        <v>0</v>
      </c>
      <c r="AU547" s="59"/>
      <c r="AV547" s="59"/>
      <c r="AW547" s="59"/>
      <c r="AX547" s="59"/>
      <c r="AY547" s="59"/>
      <c r="AZ547" s="59"/>
      <c r="BA547" s="59"/>
      <c r="BB547" s="59"/>
      <c r="BC547" s="59"/>
      <c r="BD547" s="59"/>
      <c r="BE547" s="59"/>
      <c r="BF547" s="59"/>
      <c r="BG547" s="59"/>
      <c r="BH547" s="59"/>
      <c r="BI547" s="59"/>
      <c r="BJ547" s="59"/>
      <c r="BK547" s="59"/>
      <c r="BL547" s="59"/>
      <c r="BM547" s="59"/>
    </row>
    <row r="548" spans="1:65">
      <c r="A548" s="51" t="str">
        <f>VLOOKUP(Table3[[#This Row],[OU]],OU!$A$15:$B$34,2,FALSE)</f>
        <v>RFOs</v>
      </c>
      <c r="B548" s="47" t="s">
        <v>5</v>
      </c>
      <c r="C548" s="47" t="s">
        <v>574</v>
      </c>
      <c r="D548" s="47"/>
      <c r="E548" s="47" t="s">
        <v>78</v>
      </c>
      <c r="F548" s="47" t="s">
        <v>77</v>
      </c>
      <c r="G548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48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48" s="52" t="e">
        <f>VLOOKUP(Table3[[#This Row],[PSGC]],DISTRICT!$D:$G,4,FALSE)</f>
        <v>#N/A</v>
      </c>
      <c r="J548" s="47" t="s">
        <v>585</v>
      </c>
      <c r="K548" s="51" t="str">
        <f>VLOOKUP(Table3[[#This Row],[SPECIFIC COMMODITY]],TAGS!$W$48:$X$53,2,FALSE)</f>
        <v>Multi_commodity</v>
      </c>
      <c r="L548" s="51" t="str">
        <f>VLOOKUP(Table3[[#This Row],[PREXC SUB-PROGRAM]],Table5[],2,FALSE)</f>
        <v>FIELD PROGRAMS MANAGEMENT ACTIVITIES</v>
      </c>
      <c r="M548" s="51" t="str">
        <f>VLOOKUP(Table3[[#This Row],[COMMODITY PREXC SUB-PROGRAM]],TAGS!$U$54:$V$76,2,FALSE)</f>
        <v>FPMA</v>
      </c>
      <c r="N548" s="47" t="s">
        <v>597</v>
      </c>
      <c r="O548" s="54" t="str">
        <f>VLOOKUP(Table3[[#This Row],[PI LEVEL 3]],'PI LEVEL'!A:C,3,FALSE)</f>
        <v>National/Regional Field Monitoring conducted</v>
      </c>
      <c r="P548" s="54" t="str">
        <f>VLOOKUP(Table3[[#This Row],[PI LEVEL 3]],Table53729[[Performance Indicator Level 3]:[Performance Indicator Level 1]],2,FALSE)</f>
        <v>National/Regional Field Monitoring conducted</v>
      </c>
      <c r="Q548" s="54" t="str">
        <f>VLOOKUP(Table3[[#This Row],[ACTIVITY]],TAGS!B:P,2,FALSE)</f>
        <v>National/Regional Field Monitoring conducted</v>
      </c>
      <c r="R548" s="47" t="s">
        <v>233</v>
      </c>
      <c r="S548" s="51" t="str">
        <f>VLOOKUP(Table3[[#This Row],[ACTIVITY]],TAGS!$B:$P,4,FALSE)</f>
        <v>FPMA</v>
      </c>
      <c r="T548" s="51" t="str">
        <f>VLOOKUP(Table3[[#This Row],[ACTIVITY]],TAGS!$B:$P,5,FALSE)</f>
        <v>FPMA</v>
      </c>
      <c r="U548" s="51" t="str">
        <f>VLOOKUP(Table3[[#This Row],[ACTIVITY]],TAGS!$B:$P,6,FALSE)</f>
        <v>Monitoring and Evaluation</v>
      </c>
      <c r="V548" s="51" t="str">
        <f>VLOOKUP(Table3[[#This Row],[ACTIVITY]],TAGS!$B:$P,7,FALSE)</f>
        <v>NO</v>
      </c>
      <c r="W548" s="51" t="str">
        <f>VLOOKUP(Table3[[#This Row],[ACTIVITY]],TAGS!$B:$P,8,FALSE)</f>
        <v>Overhead</v>
      </c>
      <c r="X548" s="51" t="str">
        <f>VLOOKUP(Table3[[#This Row],[ACTIVITY]],TAGS!$B:$P,10,FALSE)</f>
        <v>NON-PIP</v>
      </c>
      <c r="Y548" s="51" t="str">
        <f>VLOOKUP(Table3[[#This Row],[ACTIVITY]],TAGS!$B:$P,11,FALSE)</f>
        <v>NON-PICS</v>
      </c>
      <c r="Z548" s="51">
        <f>VLOOKUP(Table3[[#This Row],[ACTIVITY]],TAGS!$B:$P,12,FALSE)</f>
        <v>0</v>
      </c>
      <c r="AA548" s="51">
        <f>VLOOKUP(Table3[[#This Row],[ACTIVITY]],TAGS!$B:$P,13,FALSE)</f>
        <v>0</v>
      </c>
      <c r="AB548" s="51">
        <f>VLOOKUP(Table3[[#This Row],[ACTIVITY]],TAGS!$B:$P,14,FALSE)</f>
        <v>0</v>
      </c>
      <c r="AC548" s="51" t="str">
        <f>VLOOKUP(Table3[[#This Row],[ACTIVITY]],TAGS!$B:$P,15,FALSE)</f>
        <v>Existing</v>
      </c>
      <c r="AD548" s="51">
        <f>VLOOKUP(Table3[[#This Row],[PI LEVEL 3]],'PI LEVEL'!$A:$G,7,FALSE)</f>
        <v>0</v>
      </c>
      <c r="AE548" s="47" t="s">
        <v>577</v>
      </c>
      <c r="AF548" s="51" t="str">
        <f>VLOOKUP(Table3[[#This Row],[ACTIVITY]],TAGS!$B:$P,3,FALSE)</f>
        <v>number</v>
      </c>
      <c r="AG548" s="47" t="s">
        <v>333</v>
      </c>
      <c r="AH548" s="51" t="str">
        <f>VLOOKUP(Table3[[#This Row],[MONTH]],TAGS!$W$67:$Y$81,2,FALSE)</f>
        <v>3RD QTR</v>
      </c>
      <c r="AI548" s="51" t="str">
        <f>VLOOKUP(Table3[[#This Row],[MONTH]],TAGS!$W$67:$Y$81,3,FALSE)</f>
        <v>2ND SEMESTER</v>
      </c>
      <c r="AJ548" s="51">
        <f>VLOOKUP(Table3[[#This Row],[MONTH]],TAGS!$W$67:$Z$81,4,FALSE)</f>
        <v>2025</v>
      </c>
      <c r="AK548" s="47">
        <v>5</v>
      </c>
      <c r="AL548" s="51" t="str">
        <f>VLOOKUP(Table3[[#This Row],[ACTIVITY]],TAGS!$B:$R,16,FALSE)</f>
        <v>NO</v>
      </c>
      <c r="AM548" s="47"/>
      <c r="AN548" s="47">
        <v>1400</v>
      </c>
      <c r="AO548" s="57">
        <f>SUM(Table3[[#This Row],[MALE BENEFICIARIES]:[FEMALE BENEFICIARIES]])</f>
        <v>0</v>
      </c>
      <c r="AP548" s="58"/>
      <c r="AQ548" s="58"/>
      <c r="AR548" s="58"/>
      <c r="AS548" s="58"/>
      <c r="AT548" s="59">
        <f>VLOOKUP(Table3[[#This Row],[ACTIVITY]],TAGS!$B:$R,17,FALSE)</f>
        <v>0</v>
      </c>
      <c r="AU548" s="59"/>
      <c r="AV548" s="59"/>
      <c r="AW548" s="59"/>
      <c r="AX548" s="59"/>
      <c r="AY548" s="59"/>
      <c r="AZ548" s="59"/>
      <c r="BA548" s="59"/>
      <c r="BB548" s="59"/>
      <c r="BC548" s="59"/>
      <c r="BD548" s="59"/>
      <c r="BE548" s="59"/>
      <c r="BF548" s="59"/>
      <c r="BG548" s="59"/>
      <c r="BH548" s="59"/>
      <c r="BI548" s="59"/>
      <c r="BJ548" s="59"/>
      <c r="BK548" s="59"/>
      <c r="BL548" s="59"/>
      <c r="BM548" s="59"/>
    </row>
    <row r="549" spans="1:65">
      <c r="A549" s="51" t="str">
        <f>VLOOKUP(Table3[[#This Row],[OU]],OU!$A$15:$B$34,2,FALSE)</f>
        <v>RFOs</v>
      </c>
      <c r="B549" s="47" t="s">
        <v>5</v>
      </c>
      <c r="C549" s="47" t="s">
        <v>574</v>
      </c>
      <c r="D549" s="47"/>
      <c r="E549" s="47" t="s">
        <v>78</v>
      </c>
      <c r="F549" s="47" t="s">
        <v>77</v>
      </c>
      <c r="G549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49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49" s="52" t="e">
        <f>VLOOKUP(Table3[[#This Row],[PSGC]],DISTRICT!$D:$G,4,FALSE)</f>
        <v>#N/A</v>
      </c>
      <c r="J549" s="47" t="s">
        <v>585</v>
      </c>
      <c r="K549" s="51" t="str">
        <f>VLOOKUP(Table3[[#This Row],[SPECIFIC COMMODITY]],TAGS!$W$48:$X$53,2,FALSE)</f>
        <v>Multi_commodity</v>
      </c>
      <c r="L549" s="51" t="str">
        <f>VLOOKUP(Table3[[#This Row],[PREXC SUB-PROGRAM]],Table5[],2,FALSE)</f>
        <v>FIELD PROGRAMS MANAGEMENT ACTIVITIES</v>
      </c>
      <c r="M549" s="51" t="str">
        <f>VLOOKUP(Table3[[#This Row],[COMMODITY PREXC SUB-PROGRAM]],TAGS!$U$54:$V$76,2,FALSE)</f>
        <v>FPMA</v>
      </c>
      <c r="N549" s="47" t="s">
        <v>597</v>
      </c>
      <c r="O549" s="54" t="str">
        <f>VLOOKUP(Table3[[#This Row],[PI LEVEL 3]],'PI LEVEL'!A:C,3,FALSE)</f>
        <v>National/Regional Field Monitoring conducted</v>
      </c>
      <c r="P549" s="54" t="str">
        <f>VLOOKUP(Table3[[#This Row],[PI LEVEL 3]],Table53729[[Performance Indicator Level 3]:[Performance Indicator Level 1]],2,FALSE)</f>
        <v>National/Regional Field Monitoring conducted</v>
      </c>
      <c r="Q549" s="54" t="str">
        <f>VLOOKUP(Table3[[#This Row],[ACTIVITY]],TAGS!B:P,2,FALSE)</f>
        <v>National/Regional Field Monitoring conducted</v>
      </c>
      <c r="R549" s="47" t="s">
        <v>233</v>
      </c>
      <c r="S549" s="51" t="str">
        <f>VLOOKUP(Table3[[#This Row],[ACTIVITY]],TAGS!$B:$P,4,FALSE)</f>
        <v>FPMA</v>
      </c>
      <c r="T549" s="51" t="str">
        <f>VLOOKUP(Table3[[#This Row],[ACTIVITY]],TAGS!$B:$P,5,FALSE)</f>
        <v>FPMA</v>
      </c>
      <c r="U549" s="51" t="str">
        <f>VLOOKUP(Table3[[#This Row],[ACTIVITY]],TAGS!$B:$P,6,FALSE)</f>
        <v>Monitoring and Evaluation</v>
      </c>
      <c r="V549" s="51" t="str">
        <f>VLOOKUP(Table3[[#This Row],[ACTIVITY]],TAGS!$B:$P,7,FALSE)</f>
        <v>NO</v>
      </c>
      <c r="W549" s="51" t="str">
        <f>VLOOKUP(Table3[[#This Row],[ACTIVITY]],TAGS!$B:$P,8,FALSE)</f>
        <v>Overhead</v>
      </c>
      <c r="X549" s="51" t="str">
        <f>VLOOKUP(Table3[[#This Row],[ACTIVITY]],TAGS!$B:$P,10,FALSE)</f>
        <v>NON-PIP</v>
      </c>
      <c r="Y549" s="51" t="str">
        <f>VLOOKUP(Table3[[#This Row],[ACTIVITY]],TAGS!$B:$P,11,FALSE)</f>
        <v>NON-PICS</v>
      </c>
      <c r="Z549" s="51">
        <f>VLOOKUP(Table3[[#This Row],[ACTIVITY]],TAGS!$B:$P,12,FALSE)</f>
        <v>0</v>
      </c>
      <c r="AA549" s="51">
        <f>VLOOKUP(Table3[[#This Row],[ACTIVITY]],TAGS!$B:$P,13,FALSE)</f>
        <v>0</v>
      </c>
      <c r="AB549" s="51">
        <f>VLOOKUP(Table3[[#This Row],[ACTIVITY]],TAGS!$B:$P,14,FALSE)</f>
        <v>0</v>
      </c>
      <c r="AC549" s="51" t="str">
        <f>VLOOKUP(Table3[[#This Row],[ACTIVITY]],TAGS!$B:$P,15,FALSE)</f>
        <v>Existing</v>
      </c>
      <c r="AD549" s="51">
        <f>VLOOKUP(Table3[[#This Row],[PI LEVEL 3]],'PI LEVEL'!$A:$G,7,FALSE)</f>
        <v>0</v>
      </c>
      <c r="AE549" s="47" t="s">
        <v>577</v>
      </c>
      <c r="AF549" s="51" t="str">
        <f>VLOOKUP(Table3[[#This Row],[ACTIVITY]],TAGS!$B:$P,3,FALSE)</f>
        <v>number</v>
      </c>
      <c r="AG549" s="47" t="s">
        <v>334</v>
      </c>
      <c r="AH549" s="51" t="str">
        <f>VLOOKUP(Table3[[#This Row],[MONTH]],TAGS!$W$67:$Y$81,2,FALSE)</f>
        <v>3RD QTR</v>
      </c>
      <c r="AI549" s="51" t="str">
        <f>VLOOKUP(Table3[[#This Row],[MONTH]],TAGS!$W$67:$Y$81,3,FALSE)</f>
        <v>2ND SEMESTER</v>
      </c>
      <c r="AJ549" s="51">
        <f>VLOOKUP(Table3[[#This Row],[MONTH]],TAGS!$W$67:$Z$81,4,FALSE)</f>
        <v>2025</v>
      </c>
      <c r="AK549" s="47">
        <v>5</v>
      </c>
      <c r="AL549" s="51" t="str">
        <f>VLOOKUP(Table3[[#This Row],[ACTIVITY]],TAGS!$B:$R,16,FALSE)</f>
        <v>NO</v>
      </c>
      <c r="AM549" s="47"/>
      <c r="AN549" s="47">
        <v>1400</v>
      </c>
      <c r="AO549" s="57">
        <f>SUM(Table3[[#This Row],[MALE BENEFICIARIES]:[FEMALE BENEFICIARIES]])</f>
        <v>0</v>
      </c>
      <c r="AP549" s="58"/>
      <c r="AQ549" s="58"/>
      <c r="AR549" s="58"/>
      <c r="AS549" s="58"/>
      <c r="AT549" s="59">
        <f>VLOOKUP(Table3[[#This Row],[ACTIVITY]],TAGS!$B:$R,17,FALSE)</f>
        <v>0</v>
      </c>
      <c r="AU549" s="59"/>
      <c r="AV549" s="59"/>
      <c r="AW549" s="59"/>
      <c r="AX549" s="59"/>
      <c r="AY549" s="59"/>
      <c r="AZ549" s="59"/>
      <c r="BA549" s="59"/>
      <c r="BB549" s="59"/>
      <c r="BC549" s="59"/>
      <c r="BD549" s="59"/>
      <c r="BE549" s="59"/>
      <c r="BF549" s="59"/>
      <c r="BG549" s="59"/>
      <c r="BH549" s="59"/>
      <c r="BI549" s="59"/>
      <c r="BJ549" s="59"/>
      <c r="BK549" s="59"/>
      <c r="BL549" s="59"/>
      <c r="BM549" s="59"/>
    </row>
    <row r="550" spans="1:65">
      <c r="A550" s="51" t="str">
        <f>VLOOKUP(Table3[[#This Row],[OU]],OU!$A$15:$B$34,2,FALSE)</f>
        <v>RFOs</v>
      </c>
      <c r="B550" s="47" t="s">
        <v>5</v>
      </c>
      <c r="C550" s="47" t="s">
        <v>574</v>
      </c>
      <c r="D550" s="47"/>
      <c r="E550" s="47" t="s">
        <v>78</v>
      </c>
      <c r="F550" s="47" t="s">
        <v>77</v>
      </c>
      <c r="G550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50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50" s="52" t="e">
        <f>VLOOKUP(Table3[[#This Row],[PSGC]],DISTRICT!$D:$G,4,FALSE)</f>
        <v>#N/A</v>
      </c>
      <c r="J550" s="47" t="s">
        <v>585</v>
      </c>
      <c r="K550" s="51" t="str">
        <f>VLOOKUP(Table3[[#This Row],[SPECIFIC COMMODITY]],TAGS!$W$48:$X$53,2,FALSE)</f>
        <v>Multi_commodity</v>
      </c>
      <c r="L550" s="51" t="str">
        <f>VLOOKUP(Table3[[#This Row],[PREXC SUB-PROGRAM]],Table5[],2,FALSE)</f>
        <v>FIELD PROGRAMS MANAGEMENT ACTIVITIES</v>
      </c>
      <c r="M550" s="51" t="str">
        <f>VLOOKUP(Table3[[#This Row],[COMMODITY PREXC SUB-PROGRAM]],TAGS!$U$54:$V$76,2,FALSE)</f>
        <v>FPMA</v>
      </c>
      <c r="N550" s="47" t="s">
        <v>597</v>
      </c>
      <c r="O550" s="54" t="str">
        <f>VLOOKUP(Table3[[#This Row],[PI LEVEL 3]],'PI LEVEL'!A:C,3,FALSE)</f>
        <v>National/Regional Field Monitoring conducted</v>
      </c>
      <c r="P550" s="54" t="str">
        <f>VLOOKUP(Table3[[#This Row],[PI LEVEL 3]],Table53729[[Performance Indicator Level 3]:[Performance Indicator Level 1]],2,FALSE)</f>
        <v>National/Regional Field Monitoring conducted</v>
      </c>
      <c r="Q550" s="54" t="str">
        <f>VLOOKUP(Table3[[#This Row],[ACTIVITY]],TAGS!B:P,2,FALSE)</f>
        <v>National/Regional Field Monitoring conducted</v>
      </c>
      <c r="R550" s="47" t="s">
        <v>233</v>
      </c>
      <c r="S550" s="51" t="str">
        <f>VLOOKUP(Table3[[#This Row],[ACTIVITY]],TAGS!$B:$P,4,FALSE)</f>
        <v>FPMA</v>
      </c>
      <c r="T550" s="51" t="str">
        <f>VLOOKUP(Table3[[#This Row],[ACTIVITY]],TAGS!$B:$P,5,FALSE)</f>
        <v>FPMA</v>
      </c>
      <c r="U550" s="51" t="str">
        <f>VLOOKUP(Table3[[#This Row],[ACTIVITY]],TAGS!$B:$P,6,FALSE)</f>
        <v>Monitoring and Evaluation</v>
      </c>
      <c r="V550" s="51" t="str">
        <f>VLOOKUP(Table3[[#This Row],[ACTIVITY]],TAGS!$B:$P,7,FALSE)</f>
        <v>NO</v>
      </c>
      <c r="W550" s="51" t="str">
        <f>VLOOKUP(Table3[[#This Row],[ACTIVITY]],TAGS!$B:$P,8,FALSE)</f>
        <v>Overhead</v>
      </c>
      <c r="X550" s="51" t="str">
        <f>VLOOKUP(Table3[[#This Row],[ACTIVITY]],TAGS!$B:$P,10,FALSE)</f>
        <v>NON-PIP</v>
      </c>
      <c r="Y550" s="51" t="str">
        <f>VLOOKUP(Table3[[#This Row],[ACTIVITY]],TAGS!$B:$P,11,FALSE)</f>
        <v>NON-PICS</v>
      </c>
      <c r="Z550" s="51">
        <f>VLOOKUP(Table3[[#This Row],[ACTIVITY]],TAGS!$B:$P,12,FALSE)</f>
        <v>0</v>
      </c>
      <c r="AA550" s="51">
        <f>VLOOKUP(Table3[[#This Row],[ACTIVITY]],TAGS!$B:$P,13,FALSE)</f>
        <v>0</v>
      </c>
      <c r="AB550" s="51">
        <f>VLOOKUP(Table3[[#This Row],[ACTIVITY]],TAGS!$B:$P,14,FALSE)</f>
        <v>0</v>
      </c>
      <c r="AC550" s="51" t="str">
        <f>VLOOKUP(Table3[[#This Row],[ACTIVITY]],TAGS!$B:$P,15,FALSE)</f>
        <v>Existing</v>
      </c>
      <c r="AD550" s="51">
        <f>VLOOKUP(Table3[[#This Row],[PI LEVEL 3]],'PI LEVEL'!$A:$G,7,FALSE)</f>
        <v>0</v>
      </c>
      <c r="AE550" s="47" t="s">
        <v>577</v>
      </c>
      <c r="AF550" s="51" t="str">
        <f>VLOOKUP(Table3[[#This Row],[ACTIVITY]],TAGS!$B:$P,3,FALSE)</f>
        <v>number</v>
      </c>
      <c r="AG550" s="47" t="s">
        <v>335</v>
      </c>
      <c r="AH550" s="51" t="str">
        <f>VLOOKUP(Table3[[#This Row],[MONTH]],TAGS!$W$67:$Y$81,2,FALSE)</f>
        <v>3RD QTR</v>
      </c>
      <c r="AI550" s="51" t="str">
        <f>VLOOKUP(Table3[[#This Row],[MONTH]],TAGS!$W$67:$Y$81,3,FALSE)</f>
        <v>2ND SEMESTER</v>
      </c>
      <c r="AJ550" s="51">
        <f>VLOOKUP(Table3[[#This Row],[MONTH]],TAGS!$W$67:$Z$81,4,FALSE)</f>
        <v>2025</v>
      </c>
      <c r="AK550" s="47">
        <v>5</v>
      </c>
      <c r="AL550" s="51" t="str">
        <f>VLOOKUP(Table3[[#This Row],[ACTIVITY]],TAGS!$B:$R,16,FALSE)</f>
        <v>NO</v>
      </c>
      <c r="AM550" s="47"/>
      <c r="AN550" s="47">
        <v>1400</v>
      </c>
      <c r="AO550" s="57">
        <f>SUM(Table3[[#This Row],[MALE BENEFICIARIES]:[FEMALE BENEFICIARIES]])</f>
        <v>0</v>
      </c>
      <c r="AP550" s="58"/>
      <c r="AQ550" s="58"/>
      <c r="AR550" s="58"/>
      <c r="AS550" s="58"/>
      <c r="AT550" s="59">
        <f>VLOOKUP(Table3[[#This Row],[ACTIVITY]],TAGS!$B:$R,17,FALSE)</f>
        <v>0</v>
      </c>
      <c r="AU550" s="59"/>
      <c r="AV550" s="59"/>
      <c r="AW550" s="59"/>
      <c r="AX550" s="59"/>
      <c r="AY550" s="59"/>
      <c r="AZ550" s="59"/>
      <c r="BA550" s="59"/>
      <c r="BB550" s="59"/>
      <c r="BC550" s="59"/>
      <c r="BD550" s="59"/>
      <c r="BE550" s="59"/>
      <c r="BF550" s="59"/>
      <c r="BG550" s="59"/>
      <c r="BH550" s="59"/>
      <c r="BI550" s="59"/>
      <c r="BJ550" s="59"/>
      <c r="BK550" s="59"/>
      <c r="BL550" s="59"/>
      <c r="BM550" s="59"/>
    </row>
    <row r="551" spans="1:65">
      <c r="A551" s="51" t="str">
        <f>VLOOKUP(Table3[[#This Row],[OU]],OU!$A$15:$B$34,2,FALSE)</f>
        <v>RFOs</v>
      </c>
      <c r="B551" s="47" t="s">
        <v>5</v>
      </c>
      <c r="C551" s="47" t="s">
        <v>574</v>
      </c>
      <c r="D551" s="47"/>
      <c r="E551" s="47" t="s">
        <v>78</v>
      </c>
      <c r="F551" s="47" t="s">
        <v>77</v>
      </c>
      <c r="G551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51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51" s="52" t="e">
        <f>VLOOKUP(Table3[[#This Row],[PSGC]],DISTRICT!$D:$G,4,FALSE)</f>
        <v>#N/A</v>
      </c>
      <c r="J551" s="47" t="s">
        <v>585</v>
      </c>
      <c r="K551" s="51" t="str">
        <f>VLOOKUP(Table3[[#This Row],[SPECIFIC COMMODITY]],TAGS!$W$48:$X$53,2,FALSE)</f>
        <v>Multi_commodity</v>
      </c>
      <c r="L551" s="51" t="str">
        <f>VLOOKUP(Table3[[#This Row],[PREXC SUB-PROGRAM]],Table5[],2,FALSE)</f>
        <v>FIELD PROGRAMS MANAGEMENT ACTIVITIES</v>
      </c>
      <c r="M551" s="51" t="str">
        <f>VLOOKUP(Table3[[#This Row],[COMMODITY PREXC SUB-PROGRAM]],TAGS!$U$54:$V$76,2,FALSE)</f>
        <v>FPMA</v>
      </c>
      <c r="N551" s="47" t="s">
        <v>597</v>
      </c>
      <c r="O551" s="54" t="str">
        <f>VLOOKUP(Table3[[#This Row],[PI LEVEL 3]],'PI LEVEL'!A:C,3,FALSE)</f>
        <v>National/Regional Field Monitoring conducted</v>
      </c>
      <c r="P551" s="54" t="str">
        <f>VLOOKUP(Table3[[#This Row],[PI LEVEL 3]],Table53729[[Performance Indicator Level 3]:[Performance Indicator Level 1]],2,FALSE)</f>
        <v>National/Regional Field Monitoring conducted</v>
      </c>
      <c r="Q551" s="54" t="str">
        <f>VLOOKUP(Table3[[#This Row],[ACTIVITY]],TAGS!B:P,2,FALSE)</f>
        <v>National/Regional Field Monitoring conducted</v>
      </c>
      <c r="R551" s="47" t="s">
        <v>233</v>
      </c>
      <c r="S551" s="51" t="str">
        <f>VLOOKUP(Table3[[#This Row],[ACTIVITY]],TAGS!$B:$P,4,FALSE)</f>
        <v>FPMA</v>
      </c>
      <c r="T551" s="51" t="str">
        <f>VLOOKUP(Table3[[#This Row],[ACTIVITY]],TAGS!$B:$P,5,FALSE)</f>
        <v>FPMA</v>
      </c>
      <c r="U551" s="51" t="str">
        <f>VLOOKUP(Table3[[#This Row],[ACTIVITY]],TAGS!$B:$P,6,FALSE)</f>
        <v>Monitoring and Evaluation</v>
      </c>
      <c r="V551" s="51" t="str">
        <f>VLOOKUP(Table3[[#This Row],[ACTIVITY]],TAGS!$B:$P,7,FALSE)</f>
        <v>NO</v>
      </c>
      <c r="W551" s="51" t="str">
        <f>VLOOKUP(Table3[[#This Row],[ACTIVITY]],TAGS!$B:$P,8,FALSE)</f>
        <v>Overhead</v>
      </c>
      <c r="X551" s="51" t="str">
        <f>VLOOKUP(Table3[[#This Row],[ACTIVITY]],TAGS!$B:$P,10,FALSE)</f>
        <v>NON-PIP</v>
      </c>
      <c r="Y551" s="51" t="str">
        <f>VLOOKUP(Table3[[#This Row],[ACTIVITY]],TAGS!$B:$P,11,FALSE)</f>
        <v>NON-PICS</v>
      </c>
      <c r="Z551" s="51">
        <f>VLOOKUP(Table3[[#This Row],[ACTIVITY]],TAGS!$B:$P,12,FALSE)</f>
        <v>0</v>
      </c>
      <c r="AA551" s="51">
        <f>VLOOKUP(Table3[[#This Row],[ACTIVITY]],TAGS!$B:$P,13,FALSE)</f>
        <v>0</v>
      </c>
      <c r="AB551" s="51">
        <f>VLOOKUP(Table3[[#This Row],[ACTIVITY]],TAGS!$B:$P,14,FALSE)</f>
        <v>0</v>
      </c>
      <c r="AC551" s="51" t="str">
        <f>VLOOKUP(Table3[[#This Row],[ACTIVITY]],TAGS!$B:$P,15,FALSE)</f>
        <v>Existing</v>
      </c>
      <c r="AD551" s="51">
        <f>VLOOKUP(Table3[[#This Row],[PI LEVEL 3]],'PI LEVEL'!$A:$G,7,FALSE)</f>
        <v>0</v>
      </c>
      <c r="AE551" s="47" t="s">
        <v>577</v>
      </c>
      <c r="AF551" s="51" t="str">
        <f>VLOOKUP(Table3[[#This Row],[ACTIVITY]],TAGS!$B:$P,3,FALSE)</f>
        <v>number</v>
      </c>
      <c r="AG551" s="47" t="s">
        <v>336</v>
      </c>
      <c r="AH551" s="51" t="str">
        <f>VLOOKUP(Table3[[#This Row],[MONTH]],TAGS!$W$67:$Y$81,2,FALSE)</f>
        <v>4TH QTR</v>
      </c>
      <c r="AI551" s="51" t="str">
        <f>VLOOKUP(Table3[[#This Row],[MONTH]],TAGS!$W$67:$Y$81,3,FALSE)</f>
        <v>2ND SEMESTER</v>
      </c>
      <c r="AJ551" s="51">
        <f>VLOOKUP(Table3[[#This Row],[MONTH]],TAGS!$W$67:$Z$81,4,FALSE)</f>
        <v>2025</v>
      </c>
      <c r="AK551" s="47">
        <v>5</v>
      </c>
      <c r="AL551" s="51" t="str">
        <f>VLOOKUP(Table3[[#This Row],[ACTIVITY]],TAGS!$B:$R,16,FALSE)</f>
        <v>NO</v>
      </c>
      <c r="AM551" s="47"/>
      <c r="AN551" s="47">
        <v>1400</v>
      </c>
      <c r="AO551" s="57">
        <f>SUM(Table3[[#This Row],[MALE BENEFICIARIES]:[FEMALE BENEFICIARIES]])</f>
        <v>0</v>
      </c>
      <c r="AP551" s="58"/>
      <c r="AQ551" s="58"/>
      <c r="AR551" s="58"/>
      <c r="AS551" s="58"/>
      <c r="AT551" s="59">
        <f>VLOOKUP(Table3[[#This Row],[ACTIVITY]],TAGS!$B:$R,17,FALSE)</f>
        <v>0</v>
      </c>
      <c r="AU551" s="59"/>
      <c r="AV551" s="59"/>
      <c r="AW551" s="59"/>
      <c r="AX551" s="59"/>
      <c r="AY551" s="59"/>
      <c r="AZ551" s="59"/>
      <c r="BA551" s="59"/>
      <c r="BB551" s="59"/>
      <c r="BC551" s="59"/>
      <c r="BD551" s="59"/>
      <c r="BE551" s="59"/>
      <c r="BF551" s="59"/>
      <c r="BG551" s="59"/>
      <c r="BH551" s="59"/>
      <c r="BI551" s="59"/>
      <c r="BJ551" s="59"/>
      <c r="BK551" s="59"/>
      <c r="BL551" s="59"/>
      <c r="BM551" s="59"/>
    </row>
    <row r="552" spans="1:65">
      <c r="A552" s="51" t="str">
        <f>VLOOKUP(Table3[[#This Row],[OU]],OU!$A$15:$B$34,2,FALSE)</f>
        <v>RFOs</v>
      </c>
      <c r="B552" s="47" t="s">
        <v>5</v>
      </c>
      <c r="C552" s="47" t="s">
        <v>574</v>
      </c>
      <c r="D552" s="47"/>
      <c r="E552" s="47" t="s">
        <v>78</v>
      </c>
      <c r="F552" s="47" t="s">
        <v>77</v>
      </c>
      <c r="G552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52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52" s="52" t="e">
        <f>VLOOKUP(Table3[[#This Row],[PSGC]],DISTRICT!$D:$G,4,FALSE)</f>
        <v>#N/A</v>
      </c>
      <c r="J552" s="47" t="s">
        <v>585</v>
      </c>
      <c r="K552" s="51" t="str">
        <f>VLOOKUP(Table3[[#This Row],[SPECIFIC COMMODITY]],TAGS!$W$48:$X$53,2,FALSE)</f>
        <v>Multi_commodity</v>
      </c>
      <c r="L552" s="51" t="str">
        <f>VLOOKUP(Table3[[#This Row],[PREXC SUB-PROGRAM]],Table5[],2,FALSE)</f>
        <v>FIELD PROGRAMS MANAGEMENT ACTIVITIES</v>
      </c>
      <c r="M552" s="51" t="str">
        <f>VLOOKUP(Table3[[#This Row],[COMMODITY PREXC SUB-PROGRAM]],TAGS!$U$54:$V$76,2,FALSE)</f>
        <v>FPMA</v>
      </c>
      <c r="N552" s="47" t="s">
        <v>597</v>
      </c>
      <c r="O552" s="54" t="str">
        <f>VLOOKUP(Table3[[#This Row],[PI LEVEL 3]],'PI LEVEL'!A:C,3,FALSE)</f>
        <v>National/Regional Field Monitoring conducted</v>
      </c>
      <c r="P552" s="54" t="str">
        <f>VLOOKUP(Table3[[#This Row],[PI LEVEL 3]],Table53729[[Performance Indicator Level 3]:[Performance Indicator Level 1]],2,FALSE)</f>
        <v>National/Regional Field Monitoring conducted</v>
      </c>
      <c r="Q552" s="54" t="str">
        <f>VLOOKUP(Table3[[#This Row],[ACTIVITY]],TAGS!B:P,2,FALSE)</f>
        <v>National/Regional Field Monitoring conducted</v>
      </c>
      <c r="R552" s="47" t="s">
        <v>233</v>
      </c>
      <c r="S552" s="51" t="str">
        <f>VLOOKUP(Table3[[#This Row],[ACTIVITY]],TAGS!$B:$P,4,FALSE)</f>
        <v>FPMA</v>
      </c>
      <c r="T552" s="51" t="str">
        <f>VLOOKUP(Table3[[#This Row],[ACTIVITY]],TAGS!$B:$P,5,FALSE)</f>
        <v>FPMA</v>
      </c>
      <c r="U552" s="51" t="str">
        <f>VLOOKUP(Table3[[#This Row],[ACTIVITY]],TAGS!$B:$P,6,FALSE)</f>
        <v>Monitoring and Evaluation</v>
      </c>
      <c r="V552" s="51" t="str">
        <f>VLOOKUP(Table3[[#This Row],[ACTIVITY]],TAGS!$B:$P,7,FALSE)</f>
        <v>NO</v>
      </c>
      <c r="W552" s="51" t="str">
        <f>VLOOKUP(Table3[[#This Row],[ACTIVITY]],TAGS!$B:$P,8,FALSE)</f>
        <v>Overhead</v>
      </c>
      <c r="X552" s="51" t="str">
        <f>VLOOKUP(Table3[[#This Row],[ACTIVITY]],TAGS!$B:$P,10,FALSE)</f>
        <v>NON-PIP</v>
      </c>
      <c r="Y552" s="51" t="str">
        <f>VLOOKUP(Table3[[#This Row],[ACTIVITY]],TAGS!$B:$P,11,FALSE)</f>
        <v>NON-PICS</v>
      </c>
      <c r="Z552" s="51">
        <f>VLOOKUP(Table3[[#This Row],[ACTIVITY]],TAGS!$B:$P,12,FALSE)</f>
        <v>0</v>
      </c>
      <c r="AA552" s="51">
        <f>VLOOKUP(Table3[[#This Row],[ACTIVITY]],TAGS!$B:$P,13,FALSE)</f>
        <v>0</v>
      </c>
      <c r="AB552" s="51">
        <f>VLOOKUP(Table3[[#This Row],[ACTIVITY]],TAGS!$B:$P,14,FALSE)</f>
        <v>0</v>
      </c>
      <c r="AC552" s="51" t="str">
        <f>VLOOKUP(Table3[[#This Row],[ACTIVITY]],TAGS!$B:$P,15,FALSE)</f>
        <v>Existing</v>
      </c>
      <c r="AD552" s="51">
        <f>VLOOKUP(Table3[[#This Row],[PI LEVEL 3]],'PI LEVEL'!$A:$G,7,FALSE)</f>
        <v>0</v>
      </c>
      <c r="AE552" s="47" t="s">
        <v>577</v>
      </c>
      <c r="AF552" s="51" t="str">
        <f>VLOOKUP(Table3[[#This Row],[ACTIVITY]],TAGS!$B:$P,3,FALSE)</f>
        <v>number</v>
      </c>
      <c r="AG552" s="47" t="s">
        <v>337</v>
      </c>
      <c r="AH552" s="51" t="str">
        <f>VLOOKUP(Table3[[#This Row],[MONTH]],TAGS!$W$67:$Y$81,2,FALSE)</f>
        <v>4TH QTR</v>
      </c>
      <c r="AI552" s="51" t="str">
        <f>VLOOKUP(Table3[[#This Row],[MONTH]],TAGS!$W$67:$Y$81,3,FALSE)</f>
        <v>2ND SEMESTER</v>
      </c>
      <c r="AJ552" s="51">
        <f>VLOOKUP(Table3[[#This Row],[MONTH]],TAGS!$W$67:$Z$81,4,FALSE)</f>
        <v>2025</v>
      </c>
      <c r="AK552" s="47">
        <v>5</v>
      </c>
      <c r="AL552" s="51" t="str">
        <f>VLOOKUP(Table3[[#This Row],[ACTIVITY]],TAGS!$B:$R,16,FALSE)</f>
        <v>NO</v>
      </c>
      <c r="AM552" s="47"/>
      <c r="AN552" s="47">
        <v>1400</v>
      </c>
      <c r="AO552" s="57">
        <f>SUM(Table3[[#This Row],[MALE BENEFICIARIES]:[FEMALE BENEFICIARIES]])</f>
        <v>0</v>
      </c>
      <c r="AP552" s="58"/>
      <c r="AQ552" s="58"/>
      <c r="AR552" s="58"/>
      <c r="AS552" s="58"/>
      <c r="AT552" s="59">
        <f>VLOOKUP(Table3[[#This Row],[ACTIVITY]],TAGS!$B:$R,17,FALSE)</f>
        <v>0</v>
      </c>
      <c r="AU552" s="59"/>
      <c r="AV552" s="59"/>
      <c r="AW552" s="59"/>
      <c r="AX552" s="59"/>
      <c r="AY552" s="59"/>
      <c r="AZ552" s="59"/>
      <c r="BA552" s="59"/>
      <c r="BB552" s="59"/>
      <c r="BC552" s="59"/>
      <c r="BD552" s="59"/>
      <c r="BE552" s="59"/>
      <c r="BF552" s="59"/>
      <c r="BG552" s="59"/>
      <c r="BH552" s="59"/>
      <c r="BI552" s="59"/>
      <c r="BJ552" s="59"/>
      <c r="BK552" s="59"/>
      <c r="BL552" s="59"/>
      <c r="BM552" s="59"/>
    </row>
    <row r="553" spans="1:65">
      <c r="A553" s="51" t="str">
        <f>VLOOKUP(Table3[[#This Row],[OU]],OU!$A$15:$B$34,2,FALSE)</f>
        <v>RFOs</v>
      </c>
      <c r="B553" s="47" t="s">
        <v>5</v>
      </c>
      <c r="C553" s="47" t="s">
        <v>574</v>
      </c>
      <c r="D553" s="47"/>
      <c r="E553" s="47" t="s">
        <v>78</v>
      </c>
      <c r="F553" s="47" t="s">
        <v>77</v>
      </c>
      <c r="G553" s="52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 OFFICE</v>
      </c>
      <c r="H553" s="52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0</v>
      </c>
      <c r="I553" s="52" t="e">
        <f>VLOOKUP(Table3[[#This Row],[PSGC]],DISTRICT!$D:$G,4,FALSE)</f>
        <v>#N/A</v>
      </c>
      <c r="J553" s="47" t="s">
        <v>585</v>
      </c>
      <c r="K553" s="51" t="str">
        <f>VLOOKUP(Table3[[#This Row],[SPECIFIC COMMODITY]],TAGS!$W$48:$X$53,2,FALSE)</f>
        <v>Multi_commodity</v>
      </c>
      <c r="L553" s="51" t="str">
        <f>VLOOKUP(Table3[[#This Row],[PREXC SUB-PROGRAM]],Table5[],2,FALSE)</f>
        <v>FIELD PROGRAMS MANAGEMENT ACTIVITIES</v>
      </c>
      <c r="M553" s="51" t="str">
        <f>VLOOKUP(Table3[[#This Row],[COMMODITY PREXC SUB-PROGRAM]],TAGS!$U$54:$V$76,2,FALSE)</f>
        <v>FPMA</v>
      </c>
      <c r="N553" s="47" t="s">
        <v>597</v>
      </c>
      <c r="O553" s="54" t="str">
        <f>VLOOKUP(Table3[[#This Row],[PI LEVEL 3]],'PI LEVEL'!A:C,3,FALSE)</f>
        <v>National/Regional Field Monitoring conducted</v>
      </c>
      <c r="P553" s="54" t="str">
        <f>VLOOKUP(Table3[[#This Row],[PI LEVEL 3]],Table53729[[Performance Indicator Level 3]:[Performance Indicator Level 1]],2,FALSE)</f>
        <v>National/Regional Field Monitoring conducted</v>
      </c>
      <c r="Q553" s="54" t="str">
        <f>VLOOKUP(Table3[[#This Row],[ACTIVITY]],TAGS!B:P,2,FALSE)</f>
        <v>National/Regional Field Monitoring conducted</v>
      </c>
      <c r="R553" s="47" t="s">
        <v>233</v>
      </c>
      <c r="S553" s="51" t="str">
        <f>VLOOKUP(Table3[[#This Row],[ACTIVITY]],TAGS!$B:$P,4,FALSE)</f>
        <v>FPMA</v>
      </c>
      <c r="T553" s="51" t="str">
        <f>VLOOKUP(Table3[[#This Row],[ACTIVITY]],TAGS!$B:$P,5,FALSE)</f>
        <v>FPMA</v>
      </c>
      <c r="U553" s="51" t="str">
        <f>VLOOKUP(Table3[[#This Row],[ACTIVITY]],TAGS!$B:$P,6,FALSE)</f>
        <v>Monitoring and Evaluation</v>
      </c>
      <c r="V553" s="51" t="str">
        <f>VLOOKUP(Table3[[#This Row],[ACTIVITY]],TAGS!$B:$P,7,FALSE)</f>
        <v>NO</v>
      </c>
      <c r="W553" s="51" t="str">
        <f>VLOOKUP(Table3[[#This Row],[ACTIVITY]],TAGS!$B:$P,8,FALSE)</f>
        <v>Overhead</v>
      </c>
      <c r="X553" s="51" t="str">
        <f>VLOOKUP(Table3[[#This Row],[ACTIVITY]],TAGS!$B:$P,10,FALSE)</f>
        <v>NON-PIP</v>
      </c>
      <c r="Y553" s="51" t="str">
        <f>VLOOKUP(Table3[[#This Row],[ACTIVITY]],TAGS!$B:$P,11,FALSE)</f>
        <v>NON-PICS</v>
      </c>
      <c r="Z553" s="51">
        <f>VLOOKUP(Table3[[#This Row],[ACTIVITY]],TAGS!$B:$P,12,FALSE)</f>
        <v>0</v>
      </c>
      <c r="AA553" s="51">
        <f>VLOOKUP(Table3[[#This Row],[ACTIVITY]],TAGS!$B:$P,13,FALSE)</f>
        <v>0</v>
      </c>
      <c r="AB553" s="51">
        <f>VLOOKUP(Table3[[#This Row],[ACTIVITY]],TAGS!$B:$P,14,FALSE)</f>
        <v>0</v>
      </c>
      <c r="AC553" s="51" t="str">
        <f>VLOOKUP(Table3[[#This Row],[ACTIVITY]],TAGS!$B:$P,15,FALSE)</f>
        <v>Existing</v>
      </c>
      <c r="AD553" s="51">
        <f>VLOOKUP(Table3[[#This Row],[PI LEVEL 3]],'PI LEVEL'!$A:$G,7,FALSE)</f>
        <v>0</v>
      </c>
      <c r="AE553" s="47" t="s">
        <v>577</v>
      </c>
      <c r="AF553" s="51" t="str">
        <f>VLOOKUP(Table3[[#This Row],[ACTIVITY]],TAGS!$B:$P,3,FALSE)</f>
        <v>number</v>
      </c>
      <c r="AG553" s="47" t="s">
        <v>338</v>
      </c>
      <c r="AH553" s="51" t="str">
        <f>VLOOKUP(Table3[[#This Row],[MONTH]],TAGS!$W$67:$Y$81,2,FALSE)</f>
        <v>4TH QTR</v>
      </c>
      <c r="AI553" s="51" t="str">
        <f>VLOOKUP(Table3[[#This Row],[MONTH]],TAGS!$W$67:$Y$81,3,FALSE)</f>
        <v>2ND SEMESTER</v>
      </c>
      <c r="AJ553" s="51">
        <f>VLOOKUP(Table3[[#This Row],[MONTH]],TAGS!$W$67:$Z$81,4,FALSE)</f>
        <v>2025</v>
      </c>
      <c r="AK553" s="47">
        <v>5</v>
      </c>
      <c r="AL553" s="51" t="str">
        <f>VLOOKUP(Table3[[#This Row],[ACTIVITY]],TAGS!$B:$R,16,FALSE)</f>
        <v>NO</v>
      </c>
      <c r="AM553" s="47"/>
      <c r="AN553" s="47">
        <v>1409</v>
      </c>
      <c r="AO553" s="57">
        <f>SUM(Table3[[#This Row],[MALE BENEFICIARIES]:[FEMALE BENEFICIARIES]])</f>
        <v>0</v>
      </c>
      <c r="AP553" s="58"/>
      <c r="AQ553" s="58"/>
      <c r="AR553" s="58"/>
      <c r="AS553" s="58"/>
      <c r="AT553" s="59">
        <f>VLOOKUP(Table3[[#This Row],[ACTIVITY]],TAGS!$B:$R,17,FALSE)</f>
        <v>0</v>
      </c>
      <c r="AU553" s="59"/>
      <c r="AV553" s="59"/>
      <c r="AW553" s="59"/>
      <c r="AX553" s="59"/>
      <c r="AY553" s="59"/>
      <c r="AZ553" s="59"/>
      <c r="BA553" s="59"/>
      <c r="BB553" s="59"/>
      <c r="BC553" s="59"/>
      <c r="BD553" s="59"/>
      <c r="BE553" s="59"/>
      <c r="BF553" s="59"/>
      <c r="BG553" s="59"/>
      <c r="BH553" s="59"/>
      <c r="BI553" s="59"/>
      <c r="BJ553" s="59"/>
      <c r="BK553" s="59"/>
      <c r="BL553" s="59"/>
      <c r="BM553" s="59"/>
    </row>
    <row r="554" spans="1:65">
      <c r="A554" s="54" t="str">
        <f>VLOOKUP(Table3[[#This Row],[OU]],OU!$A$15:$B$34,2,FALSE)</f>
        <v>RFOs</v>
      </c>
      <c r="B554" s="60" t="s">
        <v>436</v>
      </c>
      <c r="C554" s="60" t="s">
        <v>574</v>
      </c>
      <c r="D554" s="60"/>
      <c r="E554" s="60" t="s">
        <v>22</v>
      </c>
      <c r="F554" s="60"/>
      <c r="G55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55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554" s="61" t="e">
        <f>VLOOKUP(Table3[[#This Row],[PSGC]],DISTRICT!$D:$G,4,FALSE)</f>
        <v>#N/A</v>
      </c>
      <c r="J554" s="60" t="s">
        <v>579</v>
      </c>
      <c r="K554" s="51" t="str">
        <f>VLOOKUP(Table3[[#This Row],[SPECIFIC COMMODITY]],TAGS!$W$48:$X$53,2,FALSE)</f>
        <v>Cassava</v>
      </c>
      <c r="L554" s="51" t="str">
        <f>VLOOKUP(Table3[[#This Row],[PREXC SUB-PROGRAM]],Table5[],2,FALSE)</f>
        <v>TECHNICAL AND SUPPORT SERVICES PROGRAM</v>
      </c>
      <c r="M554" s="51" t="str">
        <f>VLOOKUP(Table3[[#This Row],[COMMODITY PREXC SUB-PROGRAM]],TAGS!$U$54:$V$76,2,FALSE)</f>
        <v>PSS</v>
      </c>
      <c r="N554" s="60" t="s">
        <v>580</v>
      </c>
      <c r="O554" s="54" t="str">
        <f>VLOOKUP(Table3[[#This Row],[PI LEVEL 3]],'PI LEVEL'!A:C,3,FALSE)</f>
        <v>Fertilizers and other soil ammendment distributed</v>
      </c>
      <c r="P554" s="54" t="str">
        <f>VLOOKUP(Table3[[#This Row],[PI LEVEL 3]],Table53729[[Performance Indicator Level 3]:[Performance Indicator Level 1]],2,FALSE)</f>
        <v>Fertilizers distributed</v>
      </c>
      <c r="Q554" s="54" t="str">
        <f>VLOOKUP(Table3[[#This Row],[ACTIVITY]],TAGS!B:P,2,FALSE)</f>
        <v>Inorganic fertilizer distributed</v>
      </c>
      <c r="R554" s="60" t="s">
        <v>42</v>
      </c>
      <c r="S554" s="54" t="str">
        <f>VLOOKUP(Table3[[#This Row],[ACTIVITY]],TAGS!$B:$P,4,FALSE)</f>
        <v>Cassava Production Enhancement Project</v>
      </c>
      <c r="T554" s="54" t="str">
        <f>VLOOKUP(Table3[[#This Row],[ACTIVITY]],TAGS!$B:$P,5,FALSE)</f>
        <v>Soil Fertilization</v>
      </c>
      <c r="U554" s="54" t="str">
        <f>VLOOKUP(Table3[[#This Row],[ACTIVITY]],TAGS!$B:$P,6,FALSE)</f>
        <v>Inorganic fertilizer</v>
      </c>
      <c r="V554" s="54" t="str">
        <f>VLOOKUP(Table3[[#This Row],[ACTIVITY]],TAGS!$B:$P,7,FALSE)</f>
        <v>NO</v>
      </c>
      <c r="W554" s="54" t="str">
        <f>VLOOKUP(Table3[[#This Row],[ACTIVITY]],TAGS!$B:$P,8,FALSE)</f>
        <v>PAP</v>
      </c>
      <c r="X554" s="54" t="str">
        <f>VLOOKUP(Table3[[#This Row],[ACTIVITY]],TAGS!$B:$P,10,FALSE)</f>
        <v>PIP</v>
      </c>
      <c r="Y554" s="54" t="str">
        <f>VLOOKUP(Table3[[#This Row],[ACTIVITY]],TAGS!$B:$P,11,FALSE)</f>
        <v>PICS</v>
      </c>
      <c r="Z554" s="54" t="str">
        <f>VLOOKUP(Table3[[#This Row],[ACTIVITY]],TAGS!$B:$P,12,FALSE)</f>
        <v>Consolidation</v>
      </c>
      <c r="AA554" s="54" t="str">
        <f>VLOOKUP(Table3[[#This Row],[ACTIVITY]],TAGS!$B:$P,13,FALSE)</f>
        <v>1. Bayanihan Agri Cluster</v>
      </c>
      <c r="AB554" s="54" t="str">
        <f>VLOOKUP(Table3[[#This Row],[ACTIVITY]],TAGS!$B:$P,14,FALSE)</f>
        <v>EXPAND AND IMPROVE AVAILABLE AGRI-FISHERY AREAS FOR INCREASED PRODUCTION</v>
      </c>
      <c r="AC554" s="54" t="str">
        <f>VLOOKUP(Table3[[#This Row],[ACTIVITY]],TAGS!$B:$P,15,FALSE)</f>
        <v>Farm Inputs</v>
      </c>
      <c r="AD554" s="54" t="str">
        <f>VLOOKUP(Table3[[#This Row],[PI LEVEL 3]],'PI LEVEL'!$A:$G,7,FALSE)</f>
        <v>DA-Level Output</v>
      </c>
      <c r="AE554" s="60"/>
      <c r="AF554" s="54" t="str">
        <f>VLOOKUP(Table3[[#This Row],[ACTIVITY]],TAGS!$B:$P,3,FALSE)</f>
        <v>kilogram</v>
      </c>
      <c r="AG554" s="60"/>
      <c r="AH554" s="54" t="e">
        <f>VLOOKUP(Table3[[#This Row],[MONTH]],TAGS!$W$67:$Y$81,2,FALSE)</f>
        <v>#N/A</v>
      </c>
      <c r="AI554" s="54" t="e">
        <f>VLOOKUP(Table3[[#This Row],[MONTH]],TAGS!$W$67:$Y$81,3,FALSE)</f>
        <v>#N/A</v>
      </c>
      <c r="AJ554" s="54" t="e">
        <f>VLOOKUP(Table3[[#This Row],[MONTH]],TAGS!$W$67:$Z$81,4,FALSE)</f>
        <v>#N/A</v>
      </c>
      <c r="AK554" s="60">
        <v>3700</v>
      </c>
      <c r="AL554" s="54" t="str">
        <f>VLOOKUP(Table3[[#This Row],[ACTIVITY]],TAGS!$B:$R,16,FALSE)</f>
        <v>YES</v>
      </c>
      <c r="AM554" s="60">
        <f>Table3[[#This Row],[TARGET]]/20</f>
        <v>185</v>
      </c>
      <c r="AN554" s="60">
        <v>166.5</v>
      </c>
      <c r="AO554" s="57">
        <v>37</v>
      </c>
      <c r="AP554" s="62"/>
      <c r="AQ554" s="62"/>
      <c r="AR554" s="62"/>
      <c r="AS554" s="62"/>
      <c r="AT554" s="63" t="str">
        <f>VLOOKUP(Table3[[#This Row],[ACTIVITY]],TAGS!$B:$R,17,FALSE)</f>
        <v>YES</v>
      </c>
      <c r="AU554" s="63"/>
      <c r="AV554" s="63"/>
      <c r="AW554" s="63"/>
      <c r="AX554" s="63"/>
      <c r="AY554" s="63"/>
      <c r="AZ554" s="63"/>
      <c r="BA554" s="63"/>
      <c r="BB554" s="63"/>
      <c r="BC554" s="63"/>
      <c r="BD554" s="63"/>
      <c r="BE554" s="63"/>
      <c r="BF554" s="63"/>
      <c r="BG554" s="63"/>
      <c r="BH554" s="63"/>
      <c r="BI554" s="63"/>
      <c r="BJ554" s="63"/>
      <c r="BK554" s="63"/>
      <c r="BL554" s="63"/>
      <c r="BM554" s="63"/>
    </row>
    <row r="555" spans="1:65">
      <c r="A555" s="54" t="str">
        <f>VLOOKUP(Table3[[#This Row],[OU]],OU!$A$15:$B$34,2,FALSE)</f>
        <v>RFOs</v>
      </c>
      <c r="B555" s="60" t="s">
        <v>436</v>
      </c>
      <c r="C555" s="60" t="s">
        <v>574</v>
      </c>
      <c r="D555" s="60"/>
      <c r="E555" s="60" t="s">
        <v>43</v>
      </c>
      <c r="F555" s="60"/>
      <c r="G55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55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555" s="61" t="e">
        <f>VLOOKUP(Table3[[#This Row],[PSGC]],DISTRICT!$D:$G,4,FALSE)</f>
        <v>#N/A</v>
      </c>
      <c r="J555" s="60" t="s">
        <v>579</v>
      </c>
      <c r="K555" s="51" t="str">
        <f>VLOOKUP(Table3[[#This Row],[SPECIFIC COMMODITY]],TAGS!$W$48:$X$53,2,FALSE)</f>
        <v>Cassava</v>
      </c>
      <c r="L555" s="51" t="str">
        <f>VLOOKUP(Table3[[#This Row],[PREXC SUB-PROGRAM]],Table5[],2,FALSE)</f>
        <v>TECHNICAL AND SUPPORT SERVICES PROGRAM</v>
      </c>
      <c r="M555" s="51" t="str">
        <f>VLOOKUP(Table3[[#This Row],[COMMODITY PREXC SUB-PROGRAM]],TAGS!$U$54:$V$76,2,FALSE)</f>
        <v>PSS</v>
      </c>
      <c r="N555" s="60" t="s">
        <v>580</v>
      </c>
      <c r="O555" s="54" t="str">
        <f>VLOOKUP(Table3[[#This Row],[PI LEVEL 3]],'PI LEVEL'!A:C,3,FALSE)</f>
        <v>Fertilizers and other soil ammendment distributed</v>
      </c>
      <c r="P555" s="54" t="str">
        <f>VLOOKUP(Table3[[#This Row],[PI LEVEL 3]],Table53729[[Performance Indicator Level 3]:[Performance Indicator Level 1]],2,FALSE)</f>
        <v>Fertilizers distributed</v>
      </c>
      <c r="Q555" s="54" t="str">
        <f>VLOOKUP(Table3[[#This Row],[ACTIVITY]],TAGS!B:P,2,FALSE)</f>
        <v>Inorganic fertilizer distributed</v>
      </c>
      <c r="R555" s="60" t="s">
        <v>42</v>
      </c>
      <c r="S555" s="54" t="str">
        <f>VLOOKUP(Table3[[#This Row],[ACTIVITY]],TAGS!$B:$P,4,FALSE)</f>
        <v>Cassava Production Enhancement Project</v>
      </c>
      <c r="T555" s="54" t="str">
        <f>VLOOKUP(Table3[[#This Row],[ACTIVITY]],TAGS!$B:$P,5,FALSE)</f>
        <v>Soil Fertilization</v>
      </c>
      <c r="U555" s="54" t="str">
        <f>VLOOKUP(Table3[[#This Row],[ACTIVITY]],TAGS!$B:$P,6,FALSE)</f>
        <v>Inorganic fertilizer</v>
      </c>
      <c r="V555" s="54" t="str">
        <f>VLOOKUP(Table3[[#This Row],[ACTIVITY]],TAGS!$B:$P,7,FALSE)</f>
        <v>NO</v>
      </c>
      <c r="W555" s="54" t="str">
        <f>VLOOKUP(Table3[[#This Row],[ACTIVITY]],TAGS!$B:$P,8,FALSE)</f>
        <v>PAP</v>
      </c>
      <c r="X555" s="54" t="str">
        <f>VLOOKUP(Table3[[#This Row],[ACTIVITY]],TAGS!$B:$P,10,FALSE)</f>
        <v>PIP</v>
      </c>
      <c r="Y555" s="54" t="str">
        <f>VLOOKUP(Table3[[#This Row],[ACTIVITY]],TAGS!$B:$P,11,FALSE)</f>
        <v>PICS</v>
      </c>
      <c r="Z555" s="54" t="str">
        <f>VLOOKUP(Table3[[#This Row],[ACTIVITY]],TAGS!$B:$P,12,FALSE)</f>
        <v>Consolidation</v>
      </c>
      <c r="AA555" s="54" t="str">
        <f>VLOOKUP(Table3[[#This Row],[ACTIVITY]],TAGS!$B:$P,13,FALSE)</f>
        <v>1. Bayanihan Agri Cluster</v>
      </c>
      <c r="AB555" s="54" t="str">
        <f>VLOOKUP(Table3[[#This Row],[ACTIVITY]],TAGS!$B:$P,14,FALSE)</f>
        <v>EXPAND AND IMPROVE AVAILABLE AGRI-FISHERY AREAS FOR INCREASED PRODUCTION</v>
      </c>
      <c r="AC555" s="54" t="str">
        <f>VLOOKUP(Table3[[#This Row],[ACTIVITY]],TAGS!$B:$P,15,FALSE)</f>
        <v>Farm Inputs</v>
      </c>
      <c r="AD555" s="54" t="str">
        <f>VLOOKUP(Table3[[#This Row],[PI LEVEL 3]],'PI LEVEL'!$A:$G,7,FALSE)</f>
        <v>DA-Level Output</v>
      </c>
      <c r="AE555" s="60"/>
      <c r="AF555" s="54" t="str">
        <f>VLOOKUP(Table3[[#This Row],[ACTIVITY]],TAGS!$B:$P,3,FALSE)</f>
        <v>kilogram</v>
      </c>
      <c r="AG555" s="60"/>
      <c r="AH555" s="54" t="e">
        <f>VLOOKUP(Table3[[#This Row],[MONTH]],TAGS!$W$67:$Y$81,2,FALSE)</f>
        <v>#N/A</v>
      </c>
      <c r="AI555" s="54" t="e">
        <f>VLOOKUP(Table3[[#This Row],[MONTH]],TAGS!$W$67:$Y$81,3,FALSE)</f>
        <v>#N/A</v>
      </c>
      <c r="AJ555" s="54" t="e">
        <f>VLOOKUP(Table3[[#This Row],[MONTH]],TAGS!$W$67:$Z$81,4,FALSE)</f>
        <v>#N/A</v>
      </c>
      <c r="AK555" s="60">
        <v>41400</v>
      </c>
      <c r="AL555" s="54" t="str">
        <f>VLOOKUP(Table3[[#This Row],[ACTIVITY]],TAGS!$B:$R,16,FALSE)</f>
        <v>YES</v>
      </c>
      <c r="AM555" s="60">
        <f>Table3[[#This Row],[TARGET]]/20</f>
        <v>2070</v>
      </c>
      <c r="AN555" s="60">
        <v>1863</v>
      </c>
      <c r="AO555" s="57">
        <v>414</v>
      </c>
      <c r="AP555" s="62"/>
      <c r="AQ555" s="62"/>
      <c r="AR555" s="62"/>
      <c r="AS555" s="62"/>
      <c r="AT555" s="63" t="str">
        <f>VLOOKUP(Table3[[#This Row],[ACTIVITY]],TAGS!$B:$R,17,FALSE)</f>
        <v>YES</v>
      </c>
      <c r="AU555" s="63"/>
      <c r="AV555" s="63"/>
      <c r="AW555" s="63"/>
      <c r="AX555" s="63"/>
      <c r="AY555" s="63"/>
      <c r="AZ555" s="63"/>
      <c r="BA555" s="63"/>
      <c r="BB555" s="63"/>
      <c r="BC555" s="63"/>
      <c r="BD555" s="63"/>
      <c r="BE555" s="63"/>
      <c r="BF555" s="63"/>
      <c r="BG555" s="63"/>
      <c r="BH555" s="63"/>
      <c r="BI555" s="63"/>
      <c r="BJ555" s="63"/>
      <c r="BK555" s="63"/>
      <c r="BL555" s="63"/>
      <c r="BM555" s="63"/>
    </row>
    <row r="556" spans="1:65">
      <c r="A556" s="54" t="str">
        <f>VLOOKUP(Table3[[#This Row],[OU]],OU!$A$15:$B$34,2,FALSE)</f>
        <v>RFOs</v>
      </c>
      <c r="B556" s="60" t="s">
        <v>436</v>
      </c>
      <c r="C556" s="60" t="s">
        <v>574</v>
      </c>
      <c r="D556" s="60"/>
      <c r="E556" s="60" t="s">
        <v>63</v>
      </c>
      <c r="F556" s="60"/>
      <c r="G55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Nueva_Vizcaya</v>
      </c>
      <c r="H55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Nueva_Vizcaya</v>
      </c>
      <c r="I556" s="61" t="e">
        <f>VLOOKUP(Table3[[#This Row],[PSGC]],DISTRICT!$D:$G,4,FALSE)</f>
        <v>#N/A</v>
      </c>
      <c r="J556" s="60" t="s">
        <v>579</v>
      </c>
      <c r="K556" s="51" t="str">
        <f>VLOOKUP(Table3[[#This Row],[SPECIFIC COMMODITY]],TAGS!$W$48:$X$53,2,FALSE)</f>
        <v>Cassava</v>
      </c>
      <c r="L556" s="51" t="str">
        <f>VLOOKUP(Table3[[#This Row],[PREXC SUB-PROGRAM]],Table5[],2,FALSE)</f>
        <v>TECHNICAL AND SUPPORT SERVICES PROGRAM</v>
      </c>
      <c r="M556" s="51" t="str">
        <f>VLOOKUP(Table3[[#This Row],[COMMODITY PREXC SUB-PROGRAM]],TAGS!$U$54:$V$76,2,FALSE)</f>
        <v>PSS</v>
      </c>
      <c r="N556" s="60" t="s">
        <v>580</v>
      </c>
      <c r="O556" s="54" t="str">
        <f>VLOOKUP(Table3[[#This Row],[PI LEVEL 3]],'PI LEVEL'!A:C,3,FALSE)</f>
        <v>Fertilizers and other soil ammendment distributed</v>
      </c>
      <c r="P556" s="54" t="str">
        <f>VLOOKUP(Table3[[#This Row],[PI LEVEL 3]],Table53729[[Performance Indicator Level 3]:[Performance Indicator Level 1]],2,FALSE)</f>
        <v>Fertilizers distributed</v>
      </c>
      <c r="Q556" s="54" t="str">
        <f>VLOOKUP(Table3[[#This Row],[ACTIVITY]],TAGS!B:P,2,FALSE)</f>
        <v>Inorganic fertilizer distributed</v>
      </c>
      <c r="R556" s="60" t="s">
        <v>42</v>
      </c>
      <c r="S556" s="54" t="str">
        <f>VLOOKUP(Table3[[#This Row],[ACTIVITY]],TAGS!$B:$P,4,FALSE)</f>
        <v>Cassava Production Enhancement Project</v>
      </c>
      <c r="T556" s="54" t="str">
        <f>VLOOKUP(Table3[[#This Row],[ACTIVITY]],TAGS!$B:$P,5,FALSE)</f>
        <v>Soil Fertilization</v>
      </c>
      <c r="U556" s="54" t="str">
        <f>VLOOKUP(Table3[[#This Row],[ACTIVITY]],TAGS!$B:$P,6,FALSE)</f>
        <v>Inorganic fertilizer</v>
      </c>
      <c r="V556" s="54" t="str">
        <f>VLOOKUP(Table3[[#This Row],[ACTIVITY]],TAGS!$B:$P,7,FALSE)</f>
        <v>NO</v>
      </c>
      <c r="W556" s="54" t="str">
        <f>VLOOKUP(Table3[[#This Row],[ACTIVITY]],TAGS!$B:$P,8,FALSE)</f>
        <v>PAP</v>
      </c>
      <c r="X556" s="54" t="str">
        <f>VLOOKUP(Table3[[#This Row],[ACTIVITY]],TAGS!$B:$P,10,FALSE)</f>
        <v>PIP</v>
      </c>
      <c r="Y556" s="54" t="str">
        <f>VLOOKUP(Table3[[#This Row],[ACTIVITY]],TAGS!$B:$P,11,FALSE)</f>
        <v>PICS</v>
      </c>
      <c r="Z556" s="54" t="str">
        <f>VLOOKUP(Table3[[#This Row],[ACTIVITY]],TAGS!$B:$P,12,FALSE)</f>
        <v>Consolidation</v>
      </c>
      <c r="AA556" s="54" t="str">
        <f>VLOOKUP(Table3[[#This Row],[ACTIVITY]],TAGS!$B:$P,13,FALSE)</f>
        <v>1. Bayanihan Agri Cluster</v>
      </c>
      <c r="AB556" s="54" t="str">
        <f>VLOOKUP(Table3[[#This Row],[ACTIVITY]],TAGS!$B:$P,14,FALSE)</f>
        <v>EXPAND AND IMPROVE AVAILABLE AGRI-FISHERY AREAS FOR INCREASED PRODUCTION</v>
      </c>
      <c r="AC556" s="54" t="str">
        <f>VLOOKUP(Table3[[#This Row],[ACTIVITY]],TAGS!$B:$P,15,FALSE)</f>
        <v>Farm Inputs</v>
      </c>
      <c r="AD556" s="54" t="str">
        <f>VLOOKUP(Table3[[#This Row],[PI LEVEL 3]],'PI LEVEL'!$A:$G,7,FALSE)</f>
        <v>DA-Level Output</v>
      </c>
      <c r="AE556" s="60"/>
      <c r="AF556" s="54" t="str">
        <f>VLOOKUP(Table3[[#This Row],[ACTIVITY]],TAGS!$B:$P,3,FALSE)</f>
        <v>kilogram</v>
      </c>
      <c r="AG556" s="60"/>
      <c r="AH556" s="54" t="e">
        <f>VLOOKUP(Table3[[#This Row],[MONTH]],TAGS!$W$67:$Y$81,2,FALSE)</f>
        <v>#N/A</v>
      </c>
      <c r="AI556" s="54" t="e">
        <f>VLOOKUP(Table3[[#This Row],[MONTH]],TAGS!$W$67:$Y$81,3,FALSE)</f>
        <v>#N/A</v>
      </c>
      <c r="AJ556" s="54" t="e">
        <f>VLOOKUP(Table3[[#This Row],[MONTH]],TAGS!$W$67:$Z$81,4,FALSE)</f>
        <v>#N/A</v>
      </c>
      <c r="AK556" s="60">
        <v>2950</v>
      </c>
      <c r="AL556" s="54" t="str">
        <f>VLOOKUP(Table3[[#This Row],[ACTIVITY]],TAGS!$B:$R,16,FALSE)</f>
        <v>YES</v>
      </c>
      <c r="AM556" s="60">
        <f>Table3[[#This Row],[TARGET]]/20</f>
        <v>147.5</v>
      </c>
      <c r="AN556" s="60">
        <v>132.75</v>
      </c>
      <c r="AO556" s="57">
        <v>30</v>
      </c>
      <c r="AP556" s="62"/>
      <c r="AQ556" s="62"/>
      <c r="AR556" s="62"/>
      <c r="AS556" s="62"/>
      <c r="AT556" s="63" t="str">
        <f>VLOOKUP(Table3[[#This Row],[ACTIVITY]],TAGS!$B:$R,17,FALSE)</f>
        <v>YES</v>
      </c>
      <c r="AU556" s="63"/>
      <c r="AV556" s="63"/>
      <c r="AW556" s="63"/>
      <c r="AX556" s="63"/>
      <c r="AY556" s="63"/>
      <c r="AZ556" s="63"/>
      <c r="BA556" s="63"/>
      <c r="BB556" s="63"/>
      <c r="BC556" s="63"/>
      <c r="BD556" s="63"/>
      <c r="BE556" s="63"/>
      <c r="BF556" s="63"/>
      <c r="BG556" s="63"/>
      <c r="BH556" s="63"/>
      <c r="BI556" s="63"/>
      <c r="BJ556" s="63"/>
      <c r="BK556" s="63"/>
      <c r="BL556" s="63"/>
      <c r="BM556" s="63"/>
    </row>
    <row r="557" spans="1:65">
      <c r="A557" s="54" t="str">
        <f>VLOOKUP(Table3[[#This Row],[OU]],OU!$A$15:$B$34,2,FALSE)</f>
        <v>RFOs</v>
      </c>
      <c r="B557" s="60" t="s">
        <v>436</v>
      </c>
      <c r="C557" s="60" t="s">
        <v>574</v>
      </c>
      <c r="D557" s="60"/>
      <c r="E557" s="60" t="s">
        <v>70</v>
      </c>
      <c r="F557" s="60"/>
      <c r="G55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</v>
      </c>
      <c r="H55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Quirino</v>
      </c>
      <c r="I557" s="61" t="e">
        <f>VLOOKUP(Table3[[#This Row],[PSGC]],DISTRICT!$D:$G,4,FALSE)</f>
        <v>#N/A</v>
      </c>
      <c r="J557" s="60" t="s">
        <v>579</v>
      </c>
      <c r="K557" s="51" t="str">
        <f>VLOOKUP(Table3[[#This Row],[SPECIFIC COMMODITY]],TAGS!$W$48:$X$53,2,FALSE)</f>
        <v>Cassava</v>
      </c>
      <c r="L557" s="51" t="str">
        <f>VLOOKUP(Table3[[#This Row],[PREXC SUB-PROGRAM]],Table5[],2,FALSE)</f>
        <v>TECHNICAL AND SUPPORT SERVICES PROGRAM</v>
      </c>
      <c r="M557" s="51" t="str">
        <f>VLOOKUP(Table3[[#This Row],[COMMODITY PREXC SUB-PROGRAM]],TAGS!$U$54:$V$76,2,FALSE)</f>
        <v>PSS</v>
      </c>
      <c r="N557" s="60" t="s">
        <v>580</v>
      </c>
      <c r="O557" s="54" t="str">
        <f>VLOOKUP(Table3[[#This Row],[PI LEVEL 3]],'PI LEVEL'!A:C,3,FALSE)</f>
        <v>Fertilizers and other soil ammendment distributed</v>
      </c>
      <c r="P557" s="54" t="str">
        <f>VLOOKUP(Table3[[#This Row],[PI LEVEL 3]],Table53729[[Performance Indicator Level 3]:[Performance Indicator Level 1]],2,FALSE)</f>
        <v>Fertilizers distributed</v>
      </c>
      <c r="Q557" s="54" t="str">
        <f>VLOOKUP(Table3[[#This Row],[ACTIVITY]],TAGS!B:P,2,FALSE)</f>
        <v>Inorganic fertilizer distributed</v>
      </c>
      <c r="R557" s="60" t="s">
        <v>42</v>
      </c>
      <c r="S557" s="54" t="str">
        <f>VLOOKUP(Table3[[#This Row],[ACTIVITY]],TAGS!$B:$P,4,FALSE)</f>
        <v>Cassava Production Enhancement Project</v>
      </c>
      <c r="T557" s="54" t="str">
        <f>VLOOKUP(Table3[[#This Row],[ACTIVITY]],TAGS!$B:$P,5,FALSE)</f>
        <v>Soil Fertilization</v>
      </c>
      <c r="U557" s="54" t="str">
        <f>VLOOKUP(Table3[[#This Row],[ACTIVITY]],TAGS!$B:$P,6,FALSE)</f>
        <v>Inorganic fertilizer</v>
      </c>
      <c r="V557" s="54" t="str">
        <f>VLOOKUP(Table3[[#This Row],[ACTIVITY]],TAGS!$B:$P,7,FALSE)</f>
        <v>NO</v>
      </c>
      <c r="W557" s="54" t="str">
        <f>VLOOKUP(Table3[[#This Row],[ACTIVITY]],TAGS!$B:$P,8,FALSE)</f>
        <v>PAP</v>
      </c>
      <c r="X557" s="54" t="str">
        <f>VLOOKUP(Table3[[#This Row],[ACTIVITY]],TAGS!$B:$P,10,FALSE)</f>
        <v>PIP</v>
      </c>
      <c r="Y557" s="54" t="str">
        <f>VLOOKUP(Table3[[#This Row],[ACTIVITY]],TAGS!$B:$P,11,FALSE)</f>
        <v>PICS</v>
      </c>
      <c r="Z557" s="54" t="str">
        <f>VLOOKUP(Table3[[#This Row],[ACTIVITY]],TAGS!$B:$P,12,FALSE)</f>
        <v>Consolidation</v>
      </c>
      <c r="AA557" s="54" t="str">
        <f>VLOOKUP(Table3[[#This Row],[ACTIVITY]],TAGS!$B:$P,13,FALSE)</f>
        <v>1. Bayanihan Agri Cluster</v>
      </c>
      <c r="AB557" s="54" t="str">
        <f>VLOOKUP(Table3[[#This Row],[ACTIVITY]],TAGS!$B:$P,14,FALSE)</f>
        <v>EXPAND AND IMPROVE AVAILABLE AGRI-FISHERY AREAS FOR INCREASED PRODUCTION</v>
      </c>
      <c r="AC557" s="54" t="str">
        <f>VLOOKUP(Table3[[#This Row],[ACTIVITY]],TAGS!$B:$P,15,FALSE)</f>
        <v>Farm Inputs</v>
      </c>
      <c r="AD557" s="54" t="str">
        <f>VLOOKUP(Table3[[#This Row],[PI LEVEL 3]],'PI LEVEL'!$A:$G,7,FALSE)</f>
        <v>DA-Level Output</v>
      </c>
      <c r="AE557" s="60"/>
      <c r="AF557" s="54" t="str">
        <f>VLOOKUP(Table3[[#This Row],[ACTIVITY]],TAGS!$B:$P,3,FALSE)</f>
        <v>kilogram</v>
      </c>
      <c r="AG557" s="60"/>
      <c r="AH557" s="54" t="e">
        <f>VLOOKUP(Table3[[#This Row],[MONTH]],TAGS!$W$67:$Y$81,2,FALSE)</f>
        <v>#N/A</v>
      </c>
      <c r="AI557" s="54" t="e">
        <f>VLOOKUP(Table3[[#This Row],[MONTH]],TAGS!$W$67:$Y$81,3,FALSE)</f>
        <v>#N/A</v>
      </c>
      <c r="AJ557" s="54" t="e">
        <f>VLOOKUP(Table3[[#This Row],[MONTH]],TAGS!$W$67:$Z$81,4,FALSE)</f>
        <v>#N/A</v>
      </c>
      <c r="AK557" s="60">
        <v>11750</v>
      </c>
      <c r="AL557" s="54" t="str">
        <f>VLOOKUP(Table3[[#This Row],[ACTIVITY]],TAGS!$B:$R,16,FALSE)</f>
        <v>YES</v>
      </c>
      <c r="AM557" s="60">
        <f>Table3[[#This Row],[TARGET]]/20</f>
        <v>587.5</v>
      </c>
      <c r="AN557" s="60">
        <v>528.75</v>
      </c>
      <c r="AO557" s="57">
        <v>118</v>
      </c>
      <c r="AP557" s="62"/>
      <c r="AQ557" s="62"/>
      <c r="AR557" s="62"/>
      <c r="AS557" s="62"/>
      <c r="AT557" s="63" t="str">
        <f>VLOOKUP(Table3[[#This Row],[ACTIVITY]],TAGS!$B:$R,17,FALSE)</f>
        <v>YES</v>
      </c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63"/>
      <c r="BF557" s="63"/>
      <c r="BG557" s="63"/>
      <c r="BH557" s="63"/>
      <c r="BI557" s="63"/>
      <c r="BJ557" s="63"/>
      <c r="BK557" s="63"/>
      <c r="BL557" s="63"/>
      <c r="BM557" s="63"/>
    </row>
    <row r="558" spans="1:65">
      <c r="A558" s="54" t="str">
        <f>VLOOKUP(Table3[[#This Row],[OU]],OU!$A$15:$B$34,2,FALSE)</f>
        <v>RFOs</v>
      </c>
      <c r="B558" s="60" t="s">
        <v>436</v>
      </c>
      <c r="C558" s="60" t="s">
        <v>574</v>
      </c>
      <c r="D558" s="60"/>
      <c r="E558" s="60" t="s">
        <v>22</v>
      </c>
      <c r="F558" s="60"/>
      <c r="G55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55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558" s="61" t="e">
        <f>VLOOKUP(Table3[[#This Row],[PSGC]],DISTRICT!$D:$G,4,FALSE)</f>
        <v>#N/A</v>
      </c>
      <c r="J558" s="60" t="s">
        <v>579</v>
      </c>
      <c r="K558" s="51" t="str">
        <f>VLOOKUP(Table3[[#This Row],[SPECIFIC COMMODITY]],TAGS!$W$48:$X$53,2,FALSE)</f>
        <v>Cassava</v>
      </c>
      <c r="L558" s="51" t="str">
        <f>VLOOKUP(Table3[[#This Row],[PREXC SUB-PROGRAM]],Table5[],2,FALSE)</f>
        <v>TECHNICAL AND SUPPORT SERVICES PROGRAM</v>
      </c>
      <c r="M558" s="51" t="str">
        <f>VLOOKUP(Table3[[#This Row],[COMMODITY PREXC SUB-PROGRAM]],TAGS!$U$54:$V$76,2,FALSE)</f>
        <v>PSS</v>
      </c>
      <c r="N558" s="60" t="s">
        <v>580</v>
      </c>
      <c r="O558" s="54" t="str">
        <f>VLOOKUP(Table3[[#This Row],[PI LEVEL 3]],'PI LEVEL'!A:C,3,FALSE)</f>
        <v>Planting material distributed</v>
      </c>
      <c r="P558" s="54" t="str">
        <f>VLOOKUP(Table3[[#This Row],[PI LEVEL 3]],Table53729[[Performance Indicator Level 3]:[Performance Indicator Level 1]],2,FALSE)</f>
        <v>Planting material distributed</v>
      </c>
      <c r="Q558" s="54" t="str">
        <f>VLOOKUP(Table3[[#This Row],[ACTIVITY]],TAGS!B:P,2,FALSE)</f>
        <v>Cassava cutting distributed</v>
      </c>
      <c r="R558" s="60" t="s">
        <v>38</v>
      </c>
      <c r="S558" s="54" t="str">
        <f>VLOOKUP(Table3[[#This Row],[ACTIVITY]],TAGS!$B:$P,4,FALSE)</f>
        <v>Cassava Production Enhancement Project</v>
      </c>
      <c r="T558" s="54" t="str">
        <f>VLOOKUP(Table3[[#This Row],[ACTIVITY]],TAGS!$B:$P,5,FALSE)</f>
        <v>Cassava cuttings</v>
      </c>
      <c r="U558" s="54" t="str">
        <f>VLOOKUP(Table3[[#This Row],[ACTIVITY]],TAGS!$B:$P,6,FALSE)</f>
        <v>Cassava seed pieces</v>
      </c>
      <c r="V558" s="54" t="str">
        <f>VLOOKUP(Table3[[#This Row],[ACTIVITY]],TAGS!$B:$P,7,FALSE)</f>
        <v>NO</v>
      </c>
      <c r="W558" s="54" t="str">
        <f>VLOOKUP(Table3[[#This Row],[ACTIVITY]],TAGS!$B:$P,8,FALSE)</f>
        <v>PAP</v>
      </c>
      <c r="X558" s="54" t="str">
        <f>VLOOKUP(Table3[[#This Row],[ACTIVITY]],TAGS!$B:$P,10,FALSE)</f>
        <v>PIP</v>
      </c>
      <c r="Y558" s="54" t="str">
        <f>VLOOKUP(Table3[[#This Row],[ACTIVITY]],TAGS!$B:$P,11,FALSE)</f>
        <v>PICS</v>
      </c>
      <c r="Z558" s="54" t="str">
        <f>VLOOKUP(Table3[[#This Row],[ACTIVITY]],TAGS!$B:$P,12,FALSE)</f>
        <v>Consolidation</v>
      </c>
      <c r="AA558" s="54" t="str">
        <f>VLOOKUP(Table3[[#This Row],[ACTIVITY]],TAGS!$B:$P,13,FALSE)</f>
        <v>1. Bayanihan Agri Cluster</v>
      </c>
      <c r="AB558" s="54" t="str">
        <f>VLOOKUP(Table3[[#This Row],[ACTIVITY]],TAGS!$B:$P,14,FALSE)</f>
        <v>EXPAND AND IMPROVE AVAILABLE AGRI-FISHERY AREAS FOR INCREASED PRODUCTION</v>
      </c>
      <c r="AC558" s="54" t="str">
        <f>VLOOKUP(Table3[[#This Row],[ACTIVITY]],TAGS!$B:$P,15,FALSE)</f>
        <v>Farm Inputs</v>
      </c>
      <c r="AD558" s="54" t="str">
        <f>VLOOKUP(Table3[[#This Row],[PI LEVEL 3]],'PI LEVEL'!$A:$G,7,FALSE)</f>
        <v>DA-Level Output</v>
      </c>
      <c r="AE558" s="60"/>
      <c r="AF558" s="54" t="str">
        <f>VLOOKUP(Table3[[#This Row],[ACTIVITY]],TAGS!$B:$P,3,FALSE)</f>
        <v>piece</v>
      </c>
      <c r="AG558" s="60"/>
      <c r="AH558" s="54" t="e">
        <f>VLOOKUP(Table3[[#This Row],[MONTH]],TAGS!$W$67:$Y$81,2,FALSE)</f>
        <v>#N/A</v>
      </c>
      <c r="AI558" s="54" t="e">
        <f>VLOOKUP(Table3[[#This Row],[MONTH]],TAGS!$W$67:$Y$81,3,FALSE)</f>
        <v>#N/A</v>
      </c>
      <c r="AJ558" s="54" t="e">
        <f>VLOOKUP(Table3[[#This Row],[MONTH]],TAGS!$W$67:$Z$81,4,FALSE)</f>
        <v>#N/A</v>
      </c>
      <c r="AK558" s="60">
        <v>130000</v>
      </c>
      <c r="AL558" s="54" t="str">
        <f>VLOOKUP(Table3[[#This Row],[ACTIVITY]],TAGS!$B:$R,16,FALSE)</f>
        <v>YES</v>
      </c>
      <c r="AM558" s="60">
        <f>Table3[[#This Row],[TARGET]]/20</f>
        <v>6500</v>
      </c>
      <c r="AN558" s="60"/>
      <c r="AO558" s="57">
        <v>13</v>
      </c>
      <c r="AP558" s="62"/>
      <c r="AQ558" s="62"/>
      <c r="AR558" s="62"/>
      <c r="AS558" s="62"/>
      <c r="AT558" s="63" t="str">
        <f>VLOOKUP(Table3[[#This Row],[ACTIVITY]],TAGS!$B:$R,17,FALSE)</f>
        <v>YES</v>
      </c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  <c r="BI558" s="63"/>
      <c r="BJ558" s="63"/>
      <c r="BK558" s="63"/>
      <c r="BL558" s="63"/>
      <c r="BM558" s="63"/>
    </row>
    <row r="559" spans="1:65">
      <c r="A559" s="54" t="str">
        <f>VLOOKUP(Table3[[#This Row],[OU]],OU!$A$15:$B$34,2,FALSE)</f>
        <v>RFOs</v>
      </c>
      <c r="B559" s="60" t="s">
        <v>436</v>
      </c>
      <c r="C559" s="60" t="s">
        <v>574</v>
      </c>
      <c r="D559" s="60"/>
      <c r="E559" s="60" t="s">
        <v>43</v>
      </c>
      <c r="F559" s="60"/>
      <c r="G55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55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559" s="61" t="e">
        <f>VLOOKUP(Table3[[#This Row],[PSGC]],DISTRICT!$D:$G,4,FALSE)</f>
        <v>#N/A</v>
      </c>
      <c r="J559" s="60" t="s">
        <v>579</v>
      </c>
      <c r="K559" s="51" t="str">
        <f>VLOOKUP(Table3[[#This Row],[SPECIFIC COMMODITY]],TAGS!$W$48:$X$53,2,FALSE)</f>
        <v>Cassava</v>
      </c>
      <c r="L559" s="51" t="str">
        <f>VLOOKUP(Table3[[#This Row],[PREXC SUB-PROGRAM]],Table5[],2,FALSE)</f>
        <v>TECHNICAL AND SUPPORT SERVICES PROGRAM</v>
      </c>
      <c r="M559" s="51" t="str">
        <f>VLOOKUP(Table3[[#This Row],[COMMODITY PREXC SUB-PROGRAM]],TAGS!$U$54:$V$76,2,FALSE)</f>
        <v>PSS</v>
      </c>
      <c r="N559" s="60" t="s">
        <v>580</v>
      </c>
      <c r="O559" s="54" t="str">
        <f>VLOOKUP(Table3[[#This Row],[PI LEVEL 3]],'PI LEVEL'!A:C,3,FALSE)</f>
        <v>Planting material distributed</v>
      </c>
      <c r="P559" s="54" t="str">
        <f>VLOOKUP(Table3[[#This Row],[PI LEVEL 3]],Table53729[[Performance Indicator Level 3]:[Performance Indicator Level 1]],2,FALSE)</f>
        <v>Planting material distributed</v>
      </c>
      <c r="Q559" s="54" t="str">
        <f>VLOOKUP(Table3[[#This Row],[ACTIVITY]],TAGS!B:P,2,FALSE)</f>
        <v>Cassava cutting distributed</v>
      </c>
      <c r="R559" s="60" t="s">
        <v>38</v>
      </c>
      <c r="S559" s="54" t="str">
        <f>VLOOKUP(Table3[[#This Row],[ACTIVITY]],TAGS!$B:$P,4,FALSE)</f>
        <v>Cassava Production Enhancement Project</v>
      </c>
      <c r="T559" s="54" t="str">
        <f>VLOOKUP(Table3[[#This Row],[ACTIVITY]],TAGS!$B:$P,5,FALSE)</f>
        <v>Cassava cuttings</v>
      </c>
      <c r="U559" s="54" t="str">
        <f>VLOOKUP(Table3[[#This Row],[ACTIVITY]],TAGS!$B:$P,6,FALSE)</f>
        <v>Cassava seed pieces</v>
      </c>
      <c r="V559" s="54" t="str">
        <f>VLOOKUP(Table3[[#This Row],[ACTIVITY]],TAGS!$B:$P,7,FALSE)</f>
        <v>NO</v>
      </c>
      <c r="W559" s="54" t="str">
        <f>VLOOKUP(Table3[[#This Row],[ACTIVITY]],TAGS!$B:$P,8,FALSE)</f>
        <v>PAP</v>
      </c>
      <c r="X559" s="54" t="str">
        <f>VLOOKUP(Table3[[#This Row],[ACTIVITY]],TAGS!$B:$P,10,FALSE)</f>
        <v>PIP</v>
      </c>
      <c r="Y559" s="54" t="str">
        <f>VLOOKUP(Table3[[#This Row],[ACTIVITY]],TAGS!$B:$P,11,FALSE)</f>
        <v>PICS</v>
      </c>
      <c r="Z559" s="54" t="str">
        <f>VLOOKUP(Table3[[#This Row],[ACTIVITY]],TAGS!$B:$P,12,FALSE)</f>
        <v>Consolidation</v>
      </c>
      <c r="AA559" s="54" t="str">
        <f>VLOOKUP(Table3[[#This Row],[ACTIVITY]],TAGS!$B:$P,13,FALSE)</f>
        <v>1. Bayanihan Agri Cluster</v>
      </c>
      <c r="AB559" s="54" t="str">
        <f>VLOOKUP(Table3[[#This Row],[ACTIVITY]],TAGS!$B:$P,14,FALSE)</f>
        <v>EXPAND AND IMPROVE AVAILABLE AGRI-FISHERY AREAS FOR INCREASED PRODUCTION</v>
      </c>
      <c r="AC559" s="54" t="str">
        <f>VLOOKUP(Table3[[#This Row],[ACTIVITY]],TAGS!$B:$P,15,FALSE)</f>
        <v>Farm Inputs</v>
      </c>
      <c r="AD559" s="54" t="str">
        <f>VLOOKUP(Table3[[#This Row],[PI LEVEL 3]],'PI LEVEL'!$A:$G,7,FALSE)</f>
        <v>DA-Level Output</v>
      </c>
      <c r="AE559" s="60"/>
      <c r="AF559" s="54" t="str">
        <f>VLOOKUP(Table3[[#This Row],[ACTIVITY]],TAGS!$B:$P,3,FALSE)</f>
        <v>piece</v>
      </c>
      <c r="AG559" s="60"/>
      <c r="AH559" s="54" t="e">
        <f>VLOOKUP(Table3[[#This Row],[MONTH]],TAGS!$W$67:$Y$81,2,FALSE)</f>
        <v>#N/A</v>
      </c>
      <c r="AI559" s="54" t="e">
        <f>VLOOKUP(Table3[[#This Row],[MONTH]],TAGS!$W$67:$Y$81,3,FALSE)</f>
        <v>#N/A</v>
      </c>
      <c r="AJ559" s="54" t="e">
        <f>VLOOKUP(Table3[[#This Row],[MONTH]],TAGS!$W$67:$Z$81,4,FALSE)</f>
        <v>#N/A</v>
      </c>
      <c r="AK559" s="60">
        <v>455000</v>
      </c>
      <c r="AL559" s="54" t="str">
        <f>VLOOKUP(Table3[[#This Row],[ACTIVITY]],TAGS!$B:$R,16,FALSE)</f>
        <v>YES</v>
      </c>
      <c r="AM559" s="60">
        <f>Table3[[#This Row],[TARGET]]/20</f>
        <v>22750</v>
      </c>
      <c r="AN559" s="60"/>
      <c r="AO559" s="57">
        <v>45</v>
      </c>
      <c r="AP559" s="62"/>
      <c r="AQ559" s="62"/>
      <c r="AR559" s="62"/>
      <c r="AS559" s="62"/>
      <c r="AT559" s="63" t="str">
        <f>VLOOKUP(Table3[[#This Row],[ACTIVITY]],TAGS!$B:$R,17,FALSE)</f>
        <v>YES</v>
      </c>
      <c r="AU559" s="63"/>
      <c r="AV559" s="63"/>
      <c r="AW559" s="63"/>
      <c r="AX559" s="63"/>
      <c r="AY559" s="63"/>
      <c r="AZ559" s="63"/>
      <c r="BA559" s="63"/>
      <c r="BB559" s="63"/>
      <c r="BC559" s="63"/>
      <c r="BD559" s="63"/>
      <c r="BE559" s="63"/>
      <c r="BF559" s="63"/>
      <c r="BG559" s="63"/>
      <c r="BH559" s="63"/>
      <c r="BI559" s="63"/>
      <c r="BJ559" s="63"/>
      <c r="BK559" s="63"/>
      <c r="BL559" s="63"/>
      <c r="BM559" s="63"/>
    </row>
    <row r="560" spans="1:65">
      <c r="A560" s="54" t="str">
        <f>VLOOKUP(Table3[[#This Row],[OU]],OU!$A$15:$B$34,2,FALSE)</f>
        <v>RFOs</v>
      </c>
      <c r="B560" s="60" t="s">
        <v>436</v>
      </c>
      <c r="C560" s="60" t="s">
        <v>574</v>
      </c>
      <c r="D560" s="60"/>
      <c r="E560" s="60" t="s">
        <v>63</v>
      </c>
      <c r="F560" s="60"/>
      <c r="G56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Nueva_Vizcaya</v>
      </c>
      <c r="H56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Nueva_Vizcaya</v>
      </c>
      <c r="I560" s="61" t="e">
        <f>VLOOKUP(Table3[[#This Row],[PSGC]],DISTRICT!$D:$G,4,FALSE)</f>
        <v>#N/A</v>
      </c>
      <c r="J560" s="60" t="s">
        <v>579</v>
      </c>
      <c r="K560" s="51" t="str">
        <f>VLOOKUP(Table3[[#This Row],[SPECIFIC COMMODITY]],TAGS!$W$48:$X$53,2,FALSE)</f>
        <v>Cassava</v>
      </c>
      <c r="L560" s="51" t="str">
        <f>VLOOKUP(Table3[[#This Row],[PREXC SUB-PROGRAM]],Table5[],2,FALSE)</f>
        <v>TECHNICAL AND SUPPORT SERVICES PROGRAM</v>
      </c>
      <c r="M560" s="51" t="str">
        <f>VLOOKUP(Table3[[#This Row],[COMMODITY PREXC SUB-PROGRAM]],TAGS!$U$54:$V$76,2,FALSE)</f>
        <v>PSS</v>
      </c>
      <c r="N560" s="60" t="s">
        <v>580</v>
      </c>
      <c r="O560" s="54" t="str">
        <f>VLOOKUP(Table3[[#This Row],[PI LEVEL 3]],'PI LEVEL'!A:C,3,FALSE)</f>
        <v>Planting material distributed</v>
      </c>
      <c r="P560" s="54" t="str">
        <f>VLOOKUP(Table3[[#This Row],[PI LEVEL 3]],Table53729[[Performance Indicator Level 3]:[Performance Indicator Level 1]],2,FALSE)</f>
        <v>Planting material distributed</v>
      </c>
      <c r="Q560" s="54" t="str">
        <f>VLOOKUP(Table3[[#This Row],[ACTIVITY]],TAGS!B:P,2,FALSE)</f>
        <v>Cassava cutting distributed</v>
      </c>
      <c r="R560" s="60" t="s">
        <v>38</v>
      </c>
      <c r="S560" s="54" t="str">
        <f>VLOOKUP(Table3[[#This Row],[ACTIVITY]],TAGS!$B:$P,4,FALSE)</f>
        <v>Cassava Production Enhancement Project</v>
      </c>
      <c r="T560" s="54" t="str">
        <f>VLOOKUP(Table3[[#This Row],[ACTIVITY]],TAGS!$B:$P,5,FALSE)</f>
        <v>Cassava cuttings</v>
      </c>
      <c r="U560" s="54" t="str">
        <f>VLOOKUP(Table3[[#This Row],[ACTIVITY]],TAGS!$B:$P,6,FALSE)</f>
        <v>Cassava seed pieces</v>
      </c>
      <c r="V560" s="54" t="str">
        <f>VLOOKUP(Table3[[#This Row],[ACTIVITY]],TAGS!$B:$P,7,FALSE)</f>
        <v>NO</v>
      </c>
      <c r="W560" s="54" t="str">
        <f>VLOOKUP(Table3[[#This Row],[ACTIVITY]],TAGS!$B:$P,8,FALSE)</f>
        <v>PAP</v>
      </c>
      <c r="X560" s="54" t="str">
        <f>VLOOKUP(Table3[[#This Row],[ACTIVITY]],TAGS!$B:$P,10,FALSE)</f>
        <v>PIP</v>
      </c>
      <c r="Y560" s="54" t="str">
        <f>VLOOKUP(Table3[[#This Row],[ACTIVITY]],TAGS!$B:$P,11,FALSE)</f>
        <v>PICS</v>
      </c>
      <c r="Z560" s="54" t="str">
        <f>VLOOKUP(Table3[[#This Row],[ACTIVITY]],TAGS!$B:$P,12,FALSE)</f>
        <v>Consolidation</v>
      </c>
      <c r="AA560" s="54" t="str">
        <f>VLOOKUP(Table3[[#This Row],[ACTIVITY]],TAGS!$B:$P,13,FALSE)</f>
        <v>1. Bayanihan Agri Cluster</v>
      </c>
      <c r="AB560" s="54" t="str">
        <f>VLOOKUP(Table3[[#This Row],[ACTIVITY]],TAGS!$B:$P,14,FALSE)</f>
        <v>EXPAND AND IMPROVE AVAILABLE AGRI-FISHERY AREAS FOR INCREASED PRODUCTION</v>
      </c>
      <c r="AC560" s="54" t="str">
        <f>VLOOKUP(Table3[[#This Row],[ACTIVITY]],TAGS!$B:$P,15,FALSE)</f>
        <v>Farm Inputs</v>
      </c>
      <c r="AD560" s="54" t="str">
        <f>VLOOKUP(Table3[[#This Row],[PI LEVEL 3]],'PI LEVEL'!$A:$G,7,FALSE)</f>
        <v>DA-Level Output</v>
      </c>
      <c r="AE560" s="60"/>
      <c r="AF560" s="54" t="str">
        <f>VLOOKUP(Table3[[#This Row],[ACTIVITY]],TAGS!$B:$P,3,FALSE)</f>
        <v>piece</v>
      </c>
      <c r="AG560" s="60"/>
      <c r="AH560" s="54" t="e">
        <f>VLOOKUP(Table3[[#This Row],[MONTH]],TAGS!$W$67:$Y$81,2,FALSE)</f>
        <v>#N/A</v>
      </c>
      <c r="AI560" s="54" t="e">
        <f>VLOOKUP(Table3[[#This Row],[MONTH]],TAGS!$W$67:$Y$81,3,FALSE)</f>
        <v>#N/A</v>
      </c>
      <c r="AJ560" s="54" t="e">
        <f>VLOOKUP(Table3[[#This Row],[MONTH]],TAGS!$W$67:$Z$81,4,FALSE)</f>
        <v>#N/A</v>
      </c>
      <c r="AK560" s="60">
        <v>195000</v>
      </c>
      <c r="AL560" s="54" t="str">
        <f>VLOOKUP(Table3[[#This Row],[ACTIVITY]],TAGS!$B:$R,16,FALSE)</f>
        <v>YES</v>
      </c>
      <c r="AM560" s="60">
        <f>Table3[[#This Row],[TARGET]]/20</f>
        <v>9750</v>
      </c>
      <c r="AN560" s="60"/>
      <c r="AO560" s="57">
        <v>15</v>
      </c>
      <c r="AP560" s="62"/>
      <c r="AQ560" s="62"/>
      <c r="AR560" s="62"/>
      <c r="AS560" s="62"/>
      <c r="AT560" s="63" t="str">
        <f>VLOOKUP(Table3[[#This Row],[ACTIVITY]],TAGS!$B:$R,17,FALSE)</f>
        <v>YES</v>
      </c>
      <c r="AU560" s="63"/>
      <c r="AV560" s="63"/>
      <c r="AW560" s="63"/>
      <c r="AX560" s="63"/>
      <c r="AY560" s="63"/>
      <c r="AZ560" s="63"/>
      <c r="BA560" s="63"/>
      <c r="BB560" s="63"/>
      <c r="BC560" s="63"/>
      <c r="BD560" s="63"/>
      <c r="BE560" s="63"/>
      <c r="BF560" s="63"/>
      <c r="BG560" s="63"/>
      <c r="BH560" s="63"/>
      <c r="BI560" s="63"/>
      <c r="BJ560" s="63"/>
      <c r="BK560" s="63"/>
      <c r="BL560" s="63"/>
      <c r="BM560" s="63"/>
    </row>
    <row r="561" spans="1:65">
      <c r="A561" s="54" t="str">
        <f>VLOOKUP(Table3[[#This Row],[OU]],OU!$A$15:$B$34,2,FALSE)</f>
        <v>RFOs</v>
      </c>
      <c r="B561" s="60" t="s">
        <v>436</v>
      </c>
      <c r="C561" s="60" t="s">
        <v>574</v>
      </c>
      <c r="D561" s="60"/>
      <c r="E561" s="60" t="s">
        <v>70</v>
      </c>
      <c r="F561" s="60"/>
      <c r="G56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</v>
      </c>
      <c r="H56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Quirino</v>
      </c>
      <c r="I561" s="61" t="e">
        <f>VLOOKUP(Table3[[#This Row],[PSGC]],DISTRICT!$D:$G,4,FALSE)</f>
        <v>#N/A</v>
      </c>
      <c r="J561" s="60" t="s">
        <v>579</v>
      </c>
      <c r="K561" s="51" t="str">
        <f>VLOOKUP(Table3[[#This Row],[SPECIFIC COMMODITY]],TAGS!$W$48:$X$53,2,FALSE)</f>
        <v>Cassava</v>
      </c>
      <c r="L561" s="51" t="str">
        <f>VLOOKUP(Table3[[#This Row],[PREXC SUB-PROGRAM]],Table5[],2,FALSE)</f>
        <v>TECHNICAL AND SUPPORT SERVICES PROGRAM</v>
      </c>
      <c r="M561" s="51" t="str">
        <f>VLOOKUP(Table3[[#This Row],[COMMODITY PREXC SUB-PROGRAM]],TAGS!$U$54:$V$76,2,FALSE)</f>
        <v>PSS</v>
      </c>
      <c r="N561" s="60" t="s">
        <v>580</v>
      </c>
      <c r="O561" s="54" t="str">
        <f>VLOOKUP(Table3[[#This Row],[PI LEVEL 3]],'PI LEVEL'!A:C,3,FALSE)</f>
        <v>Planting material distributed</v>
      </c>
      <c r="P561" s="54" t="str">
        <f>VLOOKUP(Table3[[#This Row],[PI LEVEL 3]],Table53729[[Performance Indicator Level 3]:[Performance Indicator Level 1]],2,FALSE)</f>
        <v>Planting material distributed</v>
      </c>
      <c r="Q561" s="54" t="str">
        <f>VLOOKUP(Table3[[#This Row],[ACTIVITY]],TAGS!B:P,2,FALSE)</f>
        <v>Cassava cutting distributed</v>
      </c>
      <c r="R561" s="60" t="s">
        <v>38</v>
      </c>
      <c r="S561" s="54" t="str">
        <f>VLOOKUP(Table3[[#This Row],[ACTIVITY]],TAGS!$B:$P,4,FALSE)</f>
        <v>Cassava Production Enhancement Project</v>
      </c>
      <c r="T561" s="54" t="str">
        <f>VLOOKUP(Table3[[#This Row],[ACTIVITY]],TAGS!$B:$P,5,FALSE)</f>
        <v>Cassava cuttings</v>
      </c>
      <c r="U561" s="54" t="str">
        <f>VLOOKUP(Table3[[#This Row],[ACTIVITY]],TAGS!$B:$P,6,FALSE)</f>
        <v>Cassava seed pieces</v>
      </c>
      <c r="V561" s="54" t="str">
        <f>VLOOKUP(Table3[[#This Row],[ACTIVITY]],TAGS!$B:$P,7,FALSE)</f>
        <v>NO</v>
      </c>
      <c r="W561" s="54" t="str">
        <f>VLOOKUP(Table3[[#This Row],[ACTIVITY]],TAGS!$B:$P,8,FALSE)</f>
        <v>PAP</v>
      </c>
      <c r="X561" s="54" t="str">
        <f>VLOOKUP(Table3[[#This Row],[ACTIVITY]],TAGS!$B:$P,10,FALSE)</f>
        <v>PIP</v>
      </c>
      <c r="Y561" s="54" t="str">
        <f>VLOOKUP(Table3[[#This Row],[ACTIVITY]],TAGS!$B:$P,11,FALSE)</f>
        <v>PICS</v>
      </c>
      <c r="Z561" s="54" t="str">
        <f>VLOOKUP(Table3[[#This Row],[ACTIVITY]],TAGS!$B:$P,12,FALSE)</f>
        <v>Consolidation</v>
      </c>
      <c r="AA561" s="54" t="str">
        <f>VLOOKUP(Table3[[#This Row],[ACTIVITY]],TAGS!$B:$P,13,FALSE)</f>
        <v>1. Bayanihan Agri Cluster</v>
      </c>
      <c r="AB561" s="54" t="str">
        <f>VLOOKUP(Table3[[#This Row],[ACTIVITY]],TAGS!$B:$P,14,FALSE)</f>
        <v>EXPAND AND IMPROVE AVAILABLE AGRI-FISHERY AREAS FOR INCREASED PRODUCTION</v>
      </c>
      <c r="AC561" s="54" t="str">
        <f>VLOOKUP(Table3[[#This Row],[ACTIVITY]],TAGS!$B:$P,15,FALSE)</f>
        <v>Farm Inputs</v>
      </c>
      <c r="AD561" s="54" t="str">
        <f>VLOOKUP(Table3[[#This Row],[PI LEVEL 3]],'PI LEVEL'!$A:$G,7,FALSE)</f>
        <v>DA-Level Output</v>
      </c>
      <c r="AE561" s="60"/>
      <c r="AF561" s="54" t="str">
        <f>VLOOKUP(Table3[[#This Row],[ACTIVITY]],TAGS!$B:$P,3,FALSE)</f>
        <v>piece</v>
      </c>
      <c r="AG561" s="60"/>
      <c r="AH561" s="54" t="e">
        <f>VLOOKUP(Table3[[#This Row],[MONTH]],TAGS!$W$67:$Y$81,2,FALSE)</f>
        <v>#N/A</v>
      </c>
      <c r="AI561" s="54" t="e">
        <f>VLOOKUP(Table3[[#This Row],[MONTH]],TAGS!$W$67:$Y$81,3,FALSE)</f>
        <v>#N/A</v>
      </c>
      <c r="AJ561" s="54" t="e">
        <f>VLOOKUP(Table3[[#This Row],[MONTH]],TAGS!$W$67:$Z$81,4,FALSE)</f>
        <v>#N/A</v>
      </c>
      <c r="AK561" s="60">
        <v>195000</v>
      </c>
      <c r="AL561" s="54" t="str">
        <f>VLOOKUP(Table3[[#This Row],[ACTIVITY]],TAGS!$B:$R,16,FALSE)</f>
        <v>YES</v>
      </c>
      <c r="AM561" s="60">
        <f>Table3[[#This Row],[TARGET]]/20</f>
        <v>9750</v>
      </c>
      <c r="AN561" s="60"/>
      <c r="AO561" s="57">
        <v>15</v>
      </c>
      <c r="AP561" s="62"/>
      <c r="AQ561" s="62"/>
      <c r="AR561" s="62"/>
      <c r="AS561" s="62"/>
      <c r="AT561" s="63" t="str">
        <f>VLOOKUP(Table3[[#This Row],[ACTIVITY]],TAGS!$B:$R,17,FALSE)</f>
        <v>YES</v>
      </c>
      <c r="AU561" s="63"/>
      <c r="AV561" s="63"/>
      <c r="AW561" s="63"/>
      <c r="AX561" s="63"/>
      <c r="AY561" s="63"/>
      <c r="AZ561" s="63"/>
      <c r="BA561" s="63"/>
      <c r="BB561" s="63"/>
      <c r="BC561" s="63"/>
      <c r="BD561" s="63"/>
      <c r="BE561" s="63"/>
      <c r="BF561" s="63"/>
      <c r="BG561" s="63"/>
      <c r="BH561" s="63"/>
      <c r="BI561" s="63"/>
      <c r="BJ561" s="63"/>
      <c r="BK561" s="63"/>
      <c r="BL561" s="63"/>
      <c r="BM561" s="63"/>
    </row>
    <row r="562" spans="1:65">
      <c r="A562" s="54" t="str">
        <f>VLOOKUP(Table3[[#This Row],[OU]],OU!$A$15:$B$34,2,FALSE)</f>
        <v>RFOs</v>
      </c>
      <c r="B562" s="60" t="s">
        <v>436</v>
      </c>
      <c r="C562" s="60" t="s">
        <v>574</v>
      </c>
      <c r="D562" s="60"/>
      <c r="E562" s="60" t="s">
        <v>78</v>
      </c>
      <c r="F562" s="60"/>
      <c r="G56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56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562" s="61" t="e">
        <f>VLOOKUP(Table3[[#This Row],[PSGC]],DISTRICT!$D:$G,4,FALSE)</f>
        <v>#N/A</v>
      </c>
      <c r="J562" s="60" t="s">
        <v>579</v>
      </c>
      <c r="K562" s="51" t="str">
        <f>VLOOKUP(Table3[[#This Row],[SPECIFIC COMMODITY]],TAGS!$W$48:$X$53,2,FALSE)</f>
        <v>Cassava</v>
      </c>
      <c r="L562" s="51" t="str">
        <f>VLOOKUP(Table3[[#This Row],[PREXC SUB-PROGRAM]],Table5[],2,FALSE)</f>
        <v>TECHNICAL AND SUPPORT SERVICES PROGRAM</v>
      </c>
      <c r="M562" s="51" t="str">
        <f>VLOOKUP(Table3[[#This Row],[COMMODITY PREXC SUB-PROGRAM]],TAGS!$U$54:$V$76,2,FALSE)</f>
        <v>PSS</v>
      </c>
      <c r="N562" s="60" t="s">
        <v>580</v>
      </c>
      <c r="O562" s="54" t="str">
        <f>VLOOKUP(Table3[[#This Row],[PI LEVEL 3]],'PI LEVEL'!A:C,3,FALSE)</f>
        <v>Planting material distributed</v>
      </c>
      <c r="P562" s="54" t="str">
        <f>VLOOKUP(Table3[[#This Row],[PI LEVEL 3]],Table53729[[Performance Indicator Level 3]:[Performance Indicator Level 1]],2,FALSE)</f>
        <v>Planting material distributed</v>
      </c>
      <c r="Q562" s="54" t="str">
        <f>VLOOKUP(Table3[[#This Row],[ACTIVITY]],TAGS!B:P,2,FALSE)</f>
        <v>Cassava cutting distributed</v>
      </c>
      <c r="R562" s="60" t="s">
        <v>38</v>
      </c>
      <c r="S562" s="54" t="str">
        <f>VLOOKUP(Table3[[#This Row],[ACTIVITY]],TAGS!$B:$P,4,FALSE)</f>
        <v>Cassava Production Enhancement Project</v>
      </c>
      <c r="T562" s="54" t="str">
        <f>VLOOKUP(Table3[[#This Row],[ACTIVITY]],TAGS!$B:$P,5,FALSE)</f>
        <v>Cassava cuttings</v>
      </c>
      <c r="U562" s="54" t="str">
        <f>VLOOKUP(Table3[[#This Row],[ACTIVITY]],TAGS!$B:$P,6,FALSE)</f>
        <v>Cassava seed pieces</v>
      </c>
      <c r="V562" s="54" t="str">
        <f>VLOOKUP(Table3[[#This Row],[ACTIVITY]],TAGS!$B:$P,7,FALSE)</f>
        <v>NO</v>
      </c>
      <c r="W562" s="54" t="str">
        <f>VLOOKUP(Table3[[#This Row],[ACTIVITY]],TAGS!$B:$P,8,FALSE)</f>
        <v>PAP</v>
      </c>
      <c r="X562" s="54" t="str">
        <f>VLOOKUP(Table3[[#This Row],[ACTIVITY]],TAGS!$B:$P,10,FALSE)</f>
        <v>PIP</v>
      </c>
      <c r="Y562" s="54" t="str">
        <f>VLOOKUP(Table3[[#This Row],[ACTIVITY]],TAGS!$B:$P,11,FALSE)</f>
        <v>PICS</v>
      </c>
      <c r="Z562" s="54" t="str">
        <f>VLOOKUP(Table3[[#This Row],[ACTIVITY]],TAGS!$B:$P,12,FALSE)</f>
        <v>Consolidation</v>
      </c>
      <c r="AA562" s="54" t="str">
        <f>VLOOKUP(Table3[[#This Row],[ACTIVITY]],TAGS!$B:$P,13,FALSE)</f>
        <v>1. Bayanihan Agri Cluster</v>
      </c>
      <c r="AB562" s="54" t="str">
        <f>VLOOKUP(Table3[[#This Row],[ACTIVITY]],TAGS!$B:$P,14,FALSE)</f>
        <v>EXPAND AND IMPROVE AVAILABLE AGRI-FISHERY AREAS FOR INCREASED PRODUCTION</v>
      </c>
      <c r="AC562" s="54" t="str">
        <f>VLOOKUP(Table3[[#This Row],[ACTIVITY]],TAGS!$B:$P,15,FALSE)</f>
        <v>Farm Inputs</v>
      </c>
      <c r="AD562" s="54" t="str">
        <f>VLOOKUP(Table3[[#This Row],[PI LEVEL 3]],'PI LEVEL'!$A:$G,7,FALSE)</f>
        <v>DA-Level Output</v>
      </c>
      <c r="AE562" s="60"/>
      <c r="AF562" s="54" t="str">
        <f>VLOOKUP(Table3[[#This Row],[ACTIVITY]],TAGS!$B:$P,3,FALSE)</f>
        <v>piece</v>
      </c>
      <c r="AG562" s="60"/>
      <c r="AH562" s="54" t="e">
        <f>VLOOKUP(Table3[[#This Row],[MONTH]],TAGS!$W$67:$Y$81,2,FALSE)</f>
        <v>#N/A</v>
      </c>
      <c r="AI562" s="54" t="e">
        <f>VLOOKUP(Table3[[#This Row],[MONTH]],TAGS!$W$67:$Y$81,3,FALSE)</f>
        <v>#N/A</v>
      </c>
      <c r="AJ562" s="54" t="e">
        <f>VLOOKUP(Table3[[#This Row],[MONTH]],TAGS!$W$67:$Z$81,4,FALSE)</f>
        <v>#N/A</v>
      </c>
      <c r="AK562" s="60"/>
      <c r="AL562" s="54" t="str">
        <f>VLOOKUP(Table3[[#This Row],[ACTIVITY]],TAGS!$B:$R,16,FALSE)</f>
        <v>YES</v>
      </c>
      <c r="AM562" s="60">
        <f>Table3[[#This Row],[TARGET]]/20</f>
        <v>0</v>
      </c>
      <c r="AN562" s="60">
        <v>975</v>
      </c>
      <c r="AO562" s="57"/>
      <c r="AP562" s="62"/>
      <c r="AQ562" s="62"/>
      <c r="AR562" s="62"/>
      <c r="AS562" s="62"/>
      <c r="AT562" s="63" t="str">
        <f>VLOOKUP(Table3[[#This Row],[ACTIVITY]],TAGS!$B:$R,17,FALSE)</f>
        <v>YES</v>
      </c>
      <c r="AU562" s="63"/>
      <c r="AV562" s="63"/>
      <c r="AW562" s="63"/>
      <c r="AX562" s="63"/>
      <c r="AY562" s="63"/>
      <c r="AZ562" s="63"/>
      <c r="BA562" s="63"/>
      <c r="BB562" s="63"/>
      <c r="BC562" s="63"/>
      <c r="BD562" s="63"/>
      <c r="BE562" s="63"/>
      <c r="BF562" s="63"/>
      <c r="BG562" s="63"/>
      <c r="BH562" s="63"/>
      <c r="BI562" s="63"/>
      <c r="BJ562" s="63"/>
      <c r="BK562" s="63"/>
      <c r="BL562" s="63"/>
      <c r="BM562" s="63"/>
    </row>
    <row r="563" spans="1:65">
      <c r="A563" s="54" t="str">
        <f>VLOOKUP(Table3[[#This Row],[OU]],OU!$A$15:$B$34,2,FALSE)</f>
        <v>RFOs</v>
      </c>
      <c r="B563" s="60" t="s">
        <v>436</v>
      </c>
      <c r="C563" s="60" t="s">
        <v>574</v>
      </c>
      <c r="D563" s="60"/>
      <c r="E563" s="60" t="s">
        <v>22</v>
      </c>
      <c r="F563" s="60"/>
      <c r="G56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56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563" s="61" t="e">
        <f>VLOOKUP(Table3[[#This Row],[PSGC]],DISTRICT!$D:$G,4,FALSE)</f>
        <v>#N/A</v>
      </c>
      <c r="J563" s="60" t="s">
        <v>579</v>
      </c>
      <c r="K563" s="51" t="str">
        <f>VLOOKUP(Table3[[#This Row],[SPECIFIC COMMODITY]],TAGS!$W$48:$X$53,2,FALSE)</f>
        <v>Cassava</v>
      </c>
      <c r="L563" s="51" t="str">
        <f>VLOOKUP(Table3[[#This Row],[PREXC SUB-PROGRAM]],Table5[],2,FALSE)</f>
        <v>TECHNICAL AND SUPPORT SERVICES PROGRAM</v>
      </c>
      <c r="M563" s="51" t="str">
        <f>VLOOKUP(Table3[[#This Row],[COMMODITY PREXC SUB-PROGRAM]],TAGS!$U$54:$V$76,2,FALSE)</f>
        <v>PSS</v>
      </c>
      <c r="N563" s="60" t="s">
        <v>580</v>
      </c>
      <c r="O563" s="54" t="str">
        <f>VLOOKUP(Table3[[#This Row],[PI LEVEL 3]],'PI LEVEL'!A:C,3,FALSE)</f>
        <v>Planting material distributed</v>
      </c>
      <c r="P563" s="54" t="str">
        <f>VLOOKUP(Table3[[#This Row],[PI LEVEL 3]],Table53729[[Performance Indicator Level 3]:[Performance Indicator Level 1]],2,FALSE)</f>
        <v>Planting material distributed</v>
      </c>
      <c r="Q563" s="54" t="str">
        <f>VLOOKUP(Table3[[#This Row],[ACTIVITY]],TAGS!B:P,2,FALSE)</f>
        <v>Cassava cutting distributed</v>
      </c>
      <c r="R563" s="60" t="s">
        <v>40</v>
      </c>
      <c r="S563" s="54" t="str">
        <f>VLOOKUP(Table3[[#This Row],[ACTIVITY]],TAGS!$B:$P,4,FALSE)</f>
        <v>Cassava Production Enhancement Project</v>
      </c>
      <c r="T563" s="54" t="str">
        <f>VLOOKUP(Table3[[#This Row],[ACTIVITY]],TAGS!$B:$P,5,FALSE)</f>
        <v>Cassava cuttings</v>
      </c>
      <c r="U563" s="54" t="str">
        <f>VLOOKUP(Table3[[#This Row],[ACTIVITY]],TAGS!$B:$P,6,FALSE)</f>
        <v>Cassava seed pieces</v>
      </c>
      <c r="V563" s="54" t="str">
        <f>VLOOKUP(Table3[[#This Row],[ACTIVITY]],TAGS!$B:$P,7,FALSE)</f>
        <v>NO</v>
      </c>
      <c r="W563" s="54" t="str">
        <f>VLOOKUP(Table3[[#This Row],[ACTIVITY]],TAGS!$B:$P,8,FALSE)</f>
        <v>PAP</v>
      </c>
      <c r="X563" s="54" t="str">
        <f>VLOOKUP(Table3[[#This Row],[ACTIVITY]],TAGS!$B:$P,10,FALSE)</f>
        <v>PIP</v>
      </c>
      <c r="Y563" s="54" t="str">
        <f>VLOOKUP(Table3[[#This Row],[ACTIVITY]],TAGS!$B:$P,11,FALSE)</f>
        <v>PICS</v>
      </c>
      <c r="Z563" s="54" t="str">
        <f>VLOOKUP(Table3[[#This Row],[ACTIVITY]],TAGS!$B:$P,12,FALSE)</f>
        <v>Consolidation</v>
      </c>
      <c r="AA563" s="54" t="str">
        <f>VLOOKUP(Table3[[#This Row],[ACTIVITY]],TAGS!$B:$P,13,FALSE)</f>
        <v>1. Bayanihan Agri Cluster</v>
      </c>
      <c r="AB563" s="54" t="str">
        <f>VLOOKUP(Table3[[#This Row],[ACTIVITY]],TAGS!$B:$P,14,FALSE)</f>
        <v>EXPAND AND IMPROVE AVAILABLE AGRI-FISHERY AREAS FOR INCREASED PRODUCTION</v>
      </c>
      <c r="AC563" s="54" t="str">
        <f>VLOOKUP(Table3[[#This Row],[ACTIVITY]],TAGS!$B:$P,15,FALSE)</f>
        <v>Farm Inputs</v>
      </c>
      <c r="AD563" s="54" t="str">
        <f>VLOOKUP(Table3[[#This Row],[PI LEVEL 3]],'PI LEVEL'!$A:$G,7,FALSE)</f>
        <v>DA-Level Output</v>
      </c>
      <c r="AE563" s="60"/>
      <c r="AF563" s="54" t="str">
        <f>VLOOKUP(Table3[[#This Row],[ACTIVITY]],TAGS!$B:$P,3,FALSE)</f>
        <v>piece</v>
      </c>
      <c r="AG563" s="60"/>
      <c r="AH563" s="54" t="e">
        <f>VLOOKUP(Table3[[#This Row],[MONTH]],TAGS!$W$67:$Y$81,2,FALSE)</f>
        <v>#N/A</v>
      </c>
      <c r="AI563" s="54" t="e">
        <f>VLOOKUP(Table3[[#This Row],[MONTH]],TAGS!$W$67:$Y$81,3,FALSE)</f>
        <v>#N/A</v>
      </c>
      <c r="AJ563" s="54" t="e">
        <f>VLOOKUP(Table3[[#This Row],[MONTH]],TAGS!$W$67:$Z$81,4,FALSE)</f>
        <v>#N/A</v>
      </c>
      <c r="AK563" s="60">
        <v>240000</v>
      </c>
      <c r="AL563" s="54" t="str">
        <f>VLOOKUP(Table3[[#This Row],[ACTIVITY]],TAGS!$B:$R,16,FALSE)</f>
        <v>YES</v>
      </c>
      <c r="AM563" s="60">
        <f>Table3[[#This Row],[TARGET]]/20</f>
        <v>12000</v>
      </c>
      <c r="AN563" s="60">
        <v>360</v>
      </c>
      <c r="AO563" s="57">
        <v>24</v>
      </c>
      <c r="AP563" s="62"/>
      <c r="AQ563" s="62"/>
      <c r="AR563" s="62"/>
      <c r="AS563" s="62"/>
      <c r="AT563" s="63" t="str">
        <f>VLOOKUP(Table3[[#This Row],[ACTIVITY]],TAGS!$B:$R,17,FALSE)</f>
        <v>YES</v>
      </c>
      <c r="AU563" s="63"/>
      <c r="AV563" s="63"/>
      <c r="AW563" s="63"/>
      <c r="AX563" s="63"/>
      <c r="AY563" s="63"/>
      <c r="AZ563" s="63"/>
      <c r="BA563" s="63"/>
      <c r="BB563" s="63"/>
      <c r="BC563" s="63"/>
      <c r="BD563" s="63"/>
      <c r="BE563" s="63"/>
      <c r="BF563" s="63"/>
      <c r="BG563" s="63"/>
      <c r="BH563" s="63"/>
      <c r="BI563" s="63"/>
      <c r="BJ563" s="63"/>
      <c r="BK563" s="63"/>
      <c r="BL563" s="63"/>
      <c r="BM563" s="63"/>
    </row>
    <row r="564" spans="1:65">
      <c r="A564" s="54" t="str">
        <f>VLOOKUP(Table3[[#This Row],[OU]],OU!$A$15:$B$34,2,FALSE)</f>
        <v>RFOs</v>
      </c>
      <c r="B564" s="60" t="s">
        <v>436</v>
      </c>
      <c r="C564" s="60" t="s">
        <v>574</v>
      </c>
      <c r="D564" s="60"/>
      <c r="E564" s="60" t="s">
        <v>43</v>
      </c>
      <c r="F564" s="60"/>
      <c r="G56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56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564" s="61" t="e">
        <f>VLOOKUP(Table3[[#This Row],[PSGC]],DISTRICT!$D:$G,4,FALSE)</f>
        <v>#N/A</v>
      </c>
      <c r="J564" s="60" t="s">
        <v>579</v>
      </c>
      <c r="K564" s="51" t="str">
        <f>VLOOKUP(Table3[[#This Row],[SPECIFIC COMMODITY]],TAGS!$W$48:$X$53,2,FALSE)</f>
        <v>Cassava</v>
      </c>
      <c r="L564" s="51" t="str">
        <f>VLOOKUP(Table3[[#This Row],[PREXC SUB-PROGRAM]],Table5[],2,FALSE)</f>
        <v>TECHNICAL AND SUPPORT SERVICES PROGRAM</v>
      </c>
      <c r="M564" s="51" t="str">
        <f>VLOOKUP(Table3[[#This Row],[COMMODITY PREXC SUB-PROGRAM]],TAGS!$U$54:$V$76,2,FALSE)</f>
        <v>PSS</v>
      </c>
      <c r="N564" s="60" t="s">
        <v>580</v>
      </c>
      <c r="O564" s="54" t="str">
        <f>VLOOKUP(Table3[[#This Row],[PI LEVEL 3]],'PI LEVEL'!A:C,3,FALSE)</f>
        <v>Planting material distributed</v>
      </c>
      <c r="P564" s="54" t="str">
        <f>VLOOKUP(Table3[[#This Row],[PI LEVEL 3]],Table53729[[Performance Indicator Level 3]:[Performance Indicator Level 1]],2,FALSE)</f>
        <v>Planting material distributed</v>
      </c>
      <c r="Q564" s="54" t="str">
        <f>VLOOKUP(Table3[[#This Row],[ACTIVITY]],TAGS!B:P,2,FALSE)</f>
        <v>Cassava cutting distributed</v>
      </c>
      <c r="R564" s="60" t="s">
        <v>40</v>
      </c>
      <c r="S564" s="54" t="str">
        <f>VLOOKUP(Table3[[#This Row],[ACTIVITY]],TAGS!$B:$P,4,FALSE)</f>
        <v>Cassava Production Enhancement Project</v>
      </c>
      <c r="T564" s="54" t="str">
        <f>VLOOKUP(Table3[[#This Row],[ACTIVITY]],TAGS!$B:$P,5,FALSE)</f>
        <v>Cassava cuttings</v>
      </c>
      <c r="U564" s="54" t="str">
        <f>VLOOKUP(Table3[[#This Row],[ACTIVITY]],TAGS!$B:$P,6,FALSE)</f>
        <v>Cassava seed pieces</v>
      </c>
      <c r="V564" s="54" t="str">
        <f>VLOOKUP(Table3[[#This Row],[ACTIVITY]],TAGS!$B:$P,7,FALSE)</f>
        <v>NO</v>
      </c>
      <c r="W564" s="54" t="str">
        <f>VLOOKUP(Table3[[#This Row],[ACTIVITY]],TAGS!$B:$P,8,FALSE)</f>
        <v>PAP</v>
      </c>
      <c r="X564" s="54" t="str">
        <f>VLOOKUP(Table3[[#This Row],[ACTIVITY]],TAGS!$B:$P,10,FALSE)</f>
        <v>PIP</v>
      </c>
      <c r="Y564" s="54" t="str">
        <f>VLOOKUP(Table3[[#This Row],[ACTIVITY]],TAGS!$B:$P,11,FALSE)</f>
        <v>PICS</v>
      </c>
      <c r="Z564" s="54" t="str">
        <f>VLOOKUP(Table3[[#This Row],[ACTIVITY]],TAGS!$B:$P,12,FALSE)</f>
        <v>Consolidation</v>
      </c>
      <c r="AA564" s="54" t="str">
        <f>VLOOKUP(Table3[[#This Row],[ACTIVITY]],TAGS!$B:$P,13,FALSE)</f>
        <v>1. Bayanihan Agri Cluster</v>
      </c>
      <c r="AB564" s="54" t="str">
        <f>VLOOKUP(Table3[[#This Row],[ACTIVITY]],TAGS!$B:$P,14,FALSE)</f>
        <v>EXPAND AND IMPROVE AVAILABLE AGRI-FISHERY AREAS FOR INCREASED PRODUCTION</v>
      </c>
      <c r="AC564" s="54" t="str">
        <f>VLOOKUP(Table3[[#This Row],[ACTIVITY]],TAGS!$B:$P,15,FALSE)</f>
        <v>Farm Inputs</v>
      </c>
      <c r="AD564" s="54" t="str">
        <f>VLOOKUP(Table3[[#This Row],[PI LEVEL 3]],'PI LEVEL'!$A:$G,7,FALSE)</f>
        <v>DA-Level Output</v>
      </c>
      <c r="AE564" s="60"/>
      <c r="AF564" s="54" t="str">
        <f>VLOOKUP(Table3[[#This Row],[ACTIVITY]],TAGS!$B:$P,3,FALSE)</f>
        <v>piece</v>
      </c>
      <c r="AG564" s="60"/>
      <c r="AH564" s="54" t="e">
        <f>VLOOKUP(Table3[[#This Row],[MONTH]],TAGS!$W$67:$Y$81,2,FALSE)</f>
        <v>#N/A</v>
      </c>
      <c r="AI564" s="54" t="e">
        <f>VLOOKUP(Table3[[#This Row],[MONTH]],TAGS!$W$67:$Y$81,3,FALSE)</f>
        <v>#N/A</v>
      </c>
      <c r="AJ564" s="54" t="e">
        <f>VLOOKUP(Table3[[#This Row],[MONTH]],TAGS!$W$67:$Z$81,4,FALSE)</f>
        <v>#N/A</v>
      </c>
      <c r="AK564" s="60">
        <v>3680000</v>
      </c>
      <c r="AL564" s="54" t="str">
        <f>VLOOKUP(Table3[[#This Row],[ACTIVITY]],TAGS!$B:$R,16,FALSE)</f>
        <v>YES</v>
      </c>
      <c r="AM564" s="60">
        <f>Table3[[#This Row],[TARGET]]/20</f>
        <v>184000</v>
      </c>
      <c r="AN564" s="60">
        <v>5520</v>
      </c>
      <c r="AO564" s="57">
        <v>368</v>
      </c>
      <c r="AP564" s="62"/>
      <c r="AQ564" s="62"/>
      <c r="AR564" s="62"/>
      <c r="AS564" s="62"/>
      <c r="AT564" s="63" t="str">
        <f>VLOOKUP(Table3[[#This Row],[ACTIVITY]],TAGS!$B:$R,17,FALSE)</f>
        <v>YES</v>
      </c>
      <c r="AU564" s="63"/>
      <c r="AV564" s="63"/>
      <c r="AW564" s="63"/>
      <c r="AX564" s="63"/>
      <c r="AY564" s="63"/>
      <c r="AZ564" s="63"/>
      <c r="BA564" s="63"/>
      <c r="BB564" s="63"/>
      <c r="BC564" s="63"/>
      <c r="BD564" s="63"/>
      <c r="BE564" s="63"/>
      <c r="BF564" s="63"/>
      <c r="BG564" s="63"/>
      <c r="BH564" s="63"/>
      <c r="BI564" s="63"/>
      <c r="BJ564" s="63"/>
      <c r="BK564" s="63"/>
      <c r="BL564" s="63"/>
      <c r="BM564" s="63"/>
    </row>
    <row r="565" spans="1:65">
      <c r="A565" s="54" t="str">
        <f>VLOOKUP(Table3[[#This Row],[OU]],OU!$A$15:$B$34,2,FALSE)</f>
        <v>RFOs</v>
      </c>
      <c r="B565" s="60" t="s">
        <v>436</v>
      </c>
      <c r="C565" s="60" t="s">
        <v>574</v>
      </c>
      <c r="D565" s="60"/>
      <c r="E565" s="60" t="s">
        <v>63</v>
      </c>
      <c r="F565" s="60"/>
      <c r="G56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Nueva_Vizcaya</v>
      </c>
      <c r="H56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Nueva_Vizcaya</v>
      </c>
      <c r="I565" s="61" t="e">
        <f>VLOOKUP(Table3[[#This Row],[PSGC]],DISTRICT!$D:$G,4,FALSE)</f>
        <v>#N/A</v>
      </c>
      <c r="J565" s="60" t="s">
        <v>579</v>
      </c>
      <c r="K565" s="51" t="str">
        <f>VLOOKUP(Table3[[#This Row],[SPECIFIC COMMODITY]],TAGS!$W$48:$X$53,2,FALSE)</f>
        <v>Cassava</v>
      </c>
      <c r="L565" s="51" t="str">
        <f>VLOOKUP(Table3[[#This Row],[PREXC SUB-PROGRAM]],Table5[],2,FALSE)</f>
        <v>TECHNICAL AND SUPPORT SERVICES PROGRAM</v>
      </c>
      <c r="M565" s="51" t="str">
        <f>VLOOKUP(Table3[[#This Row],[COMMODITY PREXC SUB-PROGRAM]],TAGS!$U$54:$V$76,2,FALSE)</f>
        <v>PSS</v>
      </c>
      <c r="N565" s="60" t="s">
        <v>580</v>
      </c>
      <c r="O565" s="54" t="str">
        <f>VLOOKUP(Table3[[#This Row],[PI LEVEL 3]],'PI LEVEL'!A:C,3,FALSE)</f>
        <v>Planting material distributed</v>
      </c>
      <c r="P565" s="54" t="str">
        <f>VLOOKUP(Table3[[#This Row],[PI LEVEL 3]],Table53729[[Performance Indicator Level 3]:[Performance Indicator Level 1]],2,FALSE)</f>
        <v>Planting material distributed</v>
      </c>
      <c r="Q565" s="54" t="str">
        <f>VLOOKUP(Table3[[#This Row],[ACTIVITY]],TAGS!B:P,2,FALSE)</f>
        <v>Cassava cutting distributed</v>
      </c>
      <c r="R565" s="60" t="s">
        <v>40</v>
      </c>
      <c r="S565" s="54" t="str">
        <f>VLOOKUP(Table3[[#This Row],[ACTIVITY]],TAGS!$B:$P,4,FALSE)</f>
        <v>Cassava Production Enhancement Project</v>
      </c>
      <c r="T565" s="54" t="str">
        <f>VLOOKUP(Table3[[#This Row],[ACTIVITY]],TAGS!$B:$P,5,FALSE)</f>
        <v>Cassava cuttings</v>
      </c>
      <c r="U565" s="54" t="str">
        <f>VLOOKUP(Table3[[#This Row],[ACTIVITY]],TAGS!$B:$P,6,FALSE)</f>
        <v>Cassava seed pieces</v>
      </c>
      <c r="V565" s="54" t="str">
        <f>VLOOKUP(Table3[[#This Row],[ACTIVITY]],TAGS!$B:$P,7,FALSE)</f>
        <v>NO</v>
      </c>
      <c r="W565" s="54" t="str">
        <f>VLOOKUP(Table3[[#This Row],[ACTIVITY]],TAGS!$B:$P,8,FALSE)</f>
        <v>PAP</v>
      </c>
      <c r="X565" s="54" t="str">
        <f>VLOOKUP(Table3[[#This Row],[ACTIVITY]],TAGS!$B:$P,10,FALSE)</f>
        <v>PIP</v>
      </c>
      <c r="Y565" s="54" t="str">
        <f>VLOOKUP(Table3[[#This Row],[ACTIVITY]],TAGS!$B:$P,11,FALSE)</f>
        <v>PICS</v>
      </c>
      <c r="Z565" s="54" t="str">
        <f>VLOOKUP(Table3[[#This Row],[ACTIVITY]],TAGS!$B:$P,12,FALSE)</f>
        <v>Consolidation</v>
      </c>
      <c r="AA565" s="54" t="str">
        <f>VLOOKUP(Table3[[#This Row],[ACTIVITY]],TAGS!$B:$P,13,FALSE)</f>
        <v>1. Bayanihan Agri Cluster</v>
      </c>
      <c r="AB565" s="54" t="str">
        <f>VLOOKUP(Table3[[#This Row],[ACTIVITY]],TAGS!$B:$P,14,FALSE)</f>
        <v>EXPAND AND IMPROVE AVAILABLE AGRI-FISHERY AREAS FOR INCREASED PRODUCTION</v>
      </c>
      <c r="AC565" s="54" t="str">
        <f>VLOOKUP(Table3[[#This Row],[ACTIVITY]],TAGS!$B:$P,15,FALSE)</f>
        <v>Farm Inputs</v>
      </c>
      <c r="AD565" s="54" t="str">
        <f>VLOOKUP(Table3[[#This Row],[PI LEVEL 3]],'PI LEVEL'!$A:$G,7,FALSE)</f>
        <v>DA-Level Output</v>
      </c>
      <c r="AE565" s="60"/>
      <c r="AF565" s="54" t="str">
        <f>VLOOKUP(Table3[[#This Row],[ACTIVITY]],TAGS!$B:$P,3,FALSE)</f>
        <v>piece</v>
      </c>
      <c r="AG565" s="60"/>
      <c r="AH565" s="54" t="e">
        <f>VLOOKUP(Table3[[#This Row],[MONTH]],TAGS!$W$67:$Y$81,2,FALSE)</f>
        <v>#N/A</v>
      </c>
      <c r="AI565" s="54" t="e">
        <f>VLOOKUP(Table3[[#This Row],[MONTH]],TAGS!$W$67:$Y$81,3,FALSE)</f>
        <v>#N/A</v>
      </c>
      <c r="AJ565" s="54" t="e">
        <f>VLOOKUP(Table3[[#This Row],[MONTH]],TAGS!$W$67:$Z$81,4,FALSE)</f>
        <v>#N/A</v>
      </c>
      <c r="AK565" s="60">
        <v>100000</v>
      </c>
      <c r="AL565" s="54" t="str">
        <f>VLOOKUP(Table3[[#This Row],[ACTIVITY]],TAGS!$B:$R,16,FALSE)</f>
        <v>YES</v>
      </c>
      <c r="AM565" s="60">
        <f>Table3[[#This Row],[TARGET]]/20</f>
        <v>5000</v>
      </c>
      <c r="AN565" s="60">
        <v>150</v>
      </c>
      <c r="AO565" s="57">
        <v>10</v>
      </c>
      <c r="AP565" s="62"/>
      <c r="AQ565" s="62"/>
      <c r="AR565" s="62"/>
      <c r="AS565" s="62"/>
      <c r="AT565" s="63" t="str">
        <f>VLOOKUP(Table3[[#This Row],[ACTIVITY]],TAGS!$B:$R,17,FALSE)</f>
        <v>YES</v>
      </c>
      <c r="AU565" s="63"/>
      <c r="AV565" s="63"/>
      <c r="AW565" s="63"/>
      <c r="AX565" s="63"/>
      <c r="AY565" s="63"/>
      <c r="AZ565" s="63"/>
      <c r="BA565" s="63"/>
      <c r="BB565" s="63"/>
      <c r="BC565" s="63"/>
      <c r="BD565" s="63"/>
      <c r="BE565" s="63"/>
      <c r="BF565" s="63"/>
      <c r="BG565" s="63"/>
      <c r="BH565" s="63"/>
      <c r="BI565" s="63"/>
      <c r="BJ565" s="63"/>
      <c r="BK565" s="63"/>
      <c r="BL565" s="63"/>
      <c r="BM565" s="63"/>
    </row>
    <row r="566" spans="1:65">
      <c r="A566" s="54" t="str">
        <f>VLOOKUP(Table3[[#This Row],[OU]],OU!$A$15:$B$34,2,FALSE)</f>
        <v>RFOs</v>
      </c>
      <c r="B566" s="60" t="s">
        <v>436</v>
      </c>
      <c r="C566" s="60" t="s">
        <v>574</v>
      </c>
      <c r="D566" s="60"/>
      <c r="E566" s="60" t="s">
        <v>70</v>
      </c>
      <c r="F566" s="60"/>
      <c r="G56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</v>
      </c>
      <c r="H56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Quirino</v>
      </c>
      <c r="I566" s="61" t="e">
        <f>VLOOKUP(Table3[[#This Row],[PSGC]],DISTRICT!$D:$G,4,FALSE)</f>
        <v>#N/A</v>
      </c>
      <c r="J566" s="60" t="s">
        <v>579</v>
      </c>
      <c r="K566" s="51" t="str">
        <f>VLOOKUP(Table3[[#This Row],[SPECIFIC COMMODITY]],TAGS!$W$48:$X$53,2,FALSE)</f>
        <v>Cassava</v>
      </c>
      <c r="L566" s="51" t="str">
        <f>VLOOKUP(Table3[[#This Row],[PREXC SUB-PROGRAM]],Table5[],2,FALSE)</f>
        <v>TECHNICAL AND SUPPORT SERVICES PROGRAM</v>
      </c>
      <c r="M566" s="51" t="str">
        <f>VLOOKUP(Table3[[#This Row],[COMMODITY PREXC SUB-PROGRAM]],TAGS!$U$54:$V$76,2,FALSE)</f>
        <v>PSS</v>
      </c>
      <c r="N566" s="60" t="s">
        <v>580</v>
      </c>
      <c r="O566" s="54" t="str">
        <f>VLOOKUP(Table3[[#This Row],[PI LEVEL 3]],'PI LEVEL'!A:C,3,FALSE)</f>
        <v>Planting material distributed</v>
      </c>
      <c r="P566" s="54" t="str">
        <f>VLOOKUP(Table3[[#This Row],[PI LEVEL 3]],Table53729[[Performance Indicator Level 3]:[Performance Indicator Level 1]],2,FALSE)</f>
        <v>Planting material distributed</v>
      </c>
      <c r="Q566" s="54" t="str">
        <f>VLOOKUP(Table3[[#This Row],[ACTIVITY]],TAGS!B:P,2,FALSE)</f>
        <v>Cassava cutting distributed</v>
      </c>
      <c r="R566" s="60" t="s">
        <v>40</v>
      </c>
      <c r="S566" s="54" t="str">
        <f>VLOOKUP(Table3[[#This Row],[ACTIVITY]],TAGS!$B:$P,4,FALSE)</f>
        <v>Cassava Production Enhancement Project</v>
      </c>
      <c r="T566" s="54" t="str">
        <f>VLOOKUP(Table3[[#This Row],[ACTIVITY]],TAGS!$B:$P,5,FALSE)</f>
        <v>Cassava cuttings</v>
      </c>
      <c r="U566" s="54" t="str">
        <f>VLOOKUP(Table3[[#This Row],[ACTIVITY]],TAGS!$B:$P,6,FALSE)</f>
        <v>Cassava seed pieces</v>
      </c>
      <c r="V566" s="54" t="str">
        <f>VLOOKUP(Table3[[#This Row],[ACTIVITY]],TAGS!$B:$P,7,FALSE)</f>
        <v>NO</v>
      </c>
      <c r="W566" s="54" t="str">
        <f>VLOOKUP(Table3[[#This Row],[ACTIVITY]],TAGS!$B:$P,8,FALSE)</f>
        <v>PAP</v>
      </c>
      <c r="X566" s="54" t="str">
        <f>VLOOKUP(Table3[[#This Row],[ACTIVITY]],TAGS!$B:$P,10,FALSE)</f>
        <v>PIP</v>
      </c>
      <c r="Y566" s="54" t="str">
        <f>VLOOKUP(Table3[[#This Row],[ACTIVITY]],TAGS!$B:$P,11,FALSE)</f>
        <v>PICS</v>
      </c>
      <c r="Z566" s="54" t="str">
        <f>VLOOKUP(Table3[[#This Row],[ACTIVITY]],TAGS!$B:$P,12,FALSE)</f>
        <v>Consolidation</v>
      </c>
      <c r="AA566" s="54" t="str">
        <f>VLOOKUP(Table3[[#This Row],[ACTIVITY]],TAGS!$B:$P,13,FALSE)</f>
        <v>1. Bayanihan Agri Cluster</v>
      </c>
      <c r="AB566" s="54" t="str">
        <f>VLOOKUP(Table3[[#This Row],[ACTIVITY]],TAGS!$B:$P,14,FALSE)</f>
        <v>EXPAND AND IMPROVE AVAILABLE AGRI-FISHERY AREAS FOR INCREASED PRODUCTION</v>
      </c>
      <c r="AC566" s="54" t="str">
        <f>VLOOKUP(Table3[[#This Row],[ACTIVITY]],TAGS!$B:$P,15,FALSE)</f>
        <v>Farm Inputs</v>
      </c>
      <c r="AD566" s="54" t="str">
        <f>VLOOKUP(Table3[[#This Row],[PI LEVEL 3]],'PI LEVEL'!$A:$G,7,FALSE)</f>
        <v>DA-Level Output</v>
      </c>
      <c r="AE566" s="60"/>
      <c r="AF566" s="54" t="str">
        <f>VLOOKUP(Table3[[#This Row],[ACTIVITY]],TAGS!$B:$P,3,FALSE)</f>
        <v>piece</v>
      </c>
      <c r="AG566" s="60"/>
      <c r="AH566" s="54" t="e">
        <f>VLOOKUP(Table3[[#This Row],[MONTH]],TAGS!$W$67:$Y$81,2,FALSE)</f>
        <v>#N/A</v>
      </c>
      <c r="AI566" s="54" t="e">
        <f>VLOOKUP(Table3[[#This Row],[MONTH]],TAGS!$W$67:$Y$81,3,FALSE)</f>
        <v>#N/A</v>
      </c>
      <c r="AJ566" s="54" t="e">
        <f>VLOOKUP(Table3[[#This Row],[MONTH]],TAGS!$W$67:$Z$81,4,FALSE)</f>
        <v>#N/A</v>
      </c>
      <c r="AK566" s="60">
        <v>980000</v>
      </c>
      <c r="AL566" s="54" t="str">
        <f>VLOOKUP(Table3[[#This Row],[ACTIVITY]],TAGS!$B:$R,16,FALSE)</f>
        <v>YES</v>
      </c>
      <c r="AM566" s="60">
        <f>Table3[[#This Row],[TARGET]]/20</f>
        <v>49000</v>
      </c>
      <c r="AN566" s="60">
        <v>1470</v>
      </c>
      <c r="AO566" s="57">
        <v>98</v>
      </c>
      <c r="AP566" s="62"/>
      <c r="AQ566" s="62"/>
      <c r="AR566" s="62"/>
      <c r="AS566" s="62"/>
      <c r="AT566" s="63" t="str">
        <f>VLOOKUP(Table3[[#This Row],[ACTIVITY]],TAGS!$B:$R,17,FALSE)</f>
        <v>YES</v>
      </c>
      <c r="AU566" s="63"/>
      <c r="AV566" s="63"/>
      <c r="AW566" s="63"/>
      <c r="AX566" s="63"/>
      <c r="AY566" s="63"/>
      <c r="AZ566" s="63"/>
      <c r="BA566" s="63"/>
      <c r="BB566" s="63"/>
      <c r="BC566" s="63"/>
      <c r="BD566" s="63"/>
      <c r="BE566" s="63"/>
      <c r="BF566" s="63"/>
      <c r="BG566" s="63"/>
      <c r="BH566" s="63"/>
      <c r="BI566" s="63"/>
      <c r="BJ566" s="63"/>
      <c r="BK566" s="63"/>
      <c r="BL566" s="63"/>
      <c r="BM566" s="63"/>
    </row>
    <row r="567" spans="1:65">
      <c r="A567" s="54" t="str">
        <f>VLOOKUP(Table3[[#This Row],[OU]],OU!$A$15:$B$34,2,FALSE)</f>
        <v>RFOs</v>
      </c>
      <c r="B567" s="60" t="s">
        <v>436</v>
      </c>
      <c r="C567" s="60" t="s">
        <v>574</v>
      </c>
      <c r="D567" s="60"/>
      <c r="E567" s="60" t="s">
        <v>78</v>
      </c>
      <c r="F567" s="60"/>
      <c r="G56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56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567" s="61" t="e">
        <f>VLOOKUP(Table3[[#This Row],[PSGC]],DISTRICT!$D:$G,4,FALSE)</f>
        <v>#N/A</v>
      </c>
      <c r="J567" s="60" t="s">
        <v>579</v>
      </c>
      <c r="K567" s="51" t="str">
        <f>VLOOKUP(Table3[[#This Row],[SPECIFIC COMMODITY]],TAGS!$W$48:$X$53,2,FALSE)</f>
        <v>Cassava</v>
      </c>
      <c r="L567" s="51" t="str">
        <f>VLOOKUP(Table3[[#This Row],[PREXC SUB-PROGRAM]],Table5[],2,FALSE)</f>
        <v>TECHNICAL AND SUPPORT SERVICES PROGRAM</v>
      </c>
      <c r="M567" s="51" t="str">
        <f>VLOOKUP(Table3[[#This Row],[COMMODITY PREXC SUB-PROGRAM]],TAGS!$U$54:$V$76,2,FALSE)</f>
        <v>PSS</v>
      </c>
      <c r="N567" s="60" t="s">
        <v>580</v>
      </c>
      <c r="O567" s="54" t="str">
        <f>VLOOKUP(Table3[[#This Row],[PI LEVEL 3]],'PI LEVEL'!A:C,3,FALSE)</f>
        <v>Agri-chemicals reserved</v>
      </c>
      <c r="P567" s="54" t="str">
        <f>VLOOKUP(Table3[[#This Row],[PI LEVEL 3]],Table53729[[Performance Indicator Level 3]:[Performance Indicator Level 1]],2,FALSE)</f>
        <v>Agri-chemicals reserved</v>
      </c>
      <c r="Q567" s="54" t="str">
        <f>VLOOKUP(Table3[[#This Row],[ACTIVITY]],TAGS!B:P,2,FALSE)</f>
        <v>Agri-chemicals reserved (pc)</v>
      </c>
      <c r="R567" s="60" t="s">
        <v>92</v>
      </c>
      <c r="S567" s="54" t="str">
        <f>VLOOKUP(Table3[[#This Row],[ACTIVITY]],TAGS!$B:$P,4,FALSE)</f>
        <v>Pest and Disease Management</v>
      </c>
      <c r="T567" s="54" t="str">
        <f>VLOOKUP(Table3[[#This Row],[ACTIVITY]],TAGS!$B:$P,5,FALSE)</f>
        <v>Agricultural Chemicals</v>
      </c>
      <c r="U567" s="54" t="str">
        <f>VLOOKUP(Table3[[#This Row],[ACTIVITY]],TAGS!$B:$P,6,FALSE)</f>
        <v>Streptomycin</v>
      </c>
      <c r="V567" s="54" t="str">
        <f>VLOOKUP(Table3[[#This Row],[ACTIVITY]],TAGS!$B:$P,7,FALSE)</f>
        <v>NO</v>
      </c>
      <c r="W567" s="54" t="str">
        <f>VLOOKUP(Table3[[#This Row],[ACTIVITY]],TAGS!$B:$P,8,FALSE)</f>
        <v>PAP</v>
      </c>
      <c r="X567" s="54" t="str">
        <f>VLOOKUP(Table3[[#This Row],[ACTIVITY]],TAGS!$B:$P,10,FALSE)</f>
        <v>PIP</v>
      </c>
      <c r="Y567" s="54" t="str">
        <f>VLOOKUP(Table3[[#This Row],[ACTIVITY]],TAGS!$B:$P,11,FALSE)</f>
        <v>PICS</v>
      </c>
      <c r="Z567" s="54" t="str">
        <f>VLOOKUP(Table3[[#This Row],[ACTIVITY]],TAGS!$B:$P,12,FALSE)</f>
        <v>Modernization</v>
      </c>
      <c r="AA567" s="54" t="str">
        <f>VLOOKUP(Table3[[#This Row],[ACTIVITY]],TAGS!$B:$P,13,FALSE)</f>
        <v>9. Climate Change Adaptation &amp; Mitigation Measures</v>
      </c>
      <c r="AB567" s="54" t="str">
        <f>VLOOKUP(Table3[[#This Row],[ACTIVITY]],TAGS!$B:$P,14,FALSE)</f>
        <v>EXPAND AND IMPROVE AVAILABLE AGRI-FISHERY AREAS FOR INCREASED PRODUCTION</v>
      </c>
      <c r="AC567" s="54" t="str">
        <f>VLOOKUP(Table3[[#This Row],[ACTIVITY]],TAGS!$B:$P,15,FALSE)</f>
        <v>Agrichemicals</v>
      </c>
      <c r="AD567" s="54" t="str">
        <f>VLOOKUP(Table3[[#This Row],[PI LEVEL 3]],'PI LEVEL'!$A:$G,7,FALSE)</f>
        <v>DA-Level Output</v>
      </c>
      <c r="AE567" s="60"/>
      <c r="AF567" s="54" t="str">
        <f>VLOOKUP(Table3[[#This Row],[ACTIVITY]],TAGS!$B:$P,3,FALSE)</f>
        <v>pack</v>
      </c>
      <c r="AG567" s="60"/>
      <c r="AH567" s="54" t="e">
        <f>VLOOKUP(Table3[[#This Row],[MONTH]],TAGS!$W$67:$Y$81,2,FALSE)</f>
        <v>#N/A</v>
      </c>
      <c r="AI567" s="54" t="e">
        <f>VLOOKUP(Table3[[#This Row],[MONTH]],TAGS!$W$67:$Y$81,3,FALSE)</f>
        <v>#N/A</v>
      </c>
      <c r="AJ567" s="54" t="e">
        <f>VLOOKUP(Table3[[#This Row],[MONTH]],TAGS!$W$67:$Z$81,4,FALSE)</f>
        <v>#N/A</v>
      </c>
      <c r="AK567" s="60">
        <v>10000</v>
      </c>
      <c r="AL567" s="54" t="str">
        <f>VLOOKUP(Table3[[#This Row],[ACTIVITY]],TAGS!$B:$R,16,FALSE)</f>
        <v>YES</v>
      </c>
      <c r="AM567" s="60">
        <f>Table3[[#This Row],[TARGET]]/20</f>
        <v>500</v>
      </c>
      <c r="AN567" s="60">
        <v>4000</v>
      </c>
      <c r="AO567" s="57"/>
      <c r="AP567" s="62"/>
      <c r="AQ567" s="62"/>
      <c r="AR567" s="62"/>
      <c r="AS567" s="62"/>
      <c r="AT567" s="63" t="str">
        <f>VLOOKUP(Table3[[#This Row],[ACTIVITY]],TAGS!$B:$R,17,FALSE)</f>
        <v>NO</v>
      </c>
      <c r="AU567" s="63"/>
      <c r="AV567" s="63"/>
      <c r="AW567" s="63"/>
      <c r="AX567" s="63"/>
      <c r="AY567" s="63"/>
      <c r="AZ567" s="63"/>
      <c r="BA567" s="63"/>
      <c r="BB567" s="63"/>
      <c r="BC567" s="63"/>
      <c r="BD567" s="63"/>
      <c r="BE567" s="63"/>
      <c r="BF567" s="63"/>
      <c r="BG567" s="63"/>
      <c r="BH567" s="63"/>
      <c r="BI567" s="63"/>
      <c r="BJ567" s="63"/>
      <c r="BK567" s="63"/>
      <c r="BL567" s="63"/>
      <c r="BM567" s="63"/>
    </row>
    <row r="568" spans="1:65">
      <c r="A568" s="54" t="str">
        <f>VLOOKUP(Table3[[#This Row],[OU]],OU!$A$15:$B$34,2,FALSE)</f>
        <v>RFOs</v>
      </c>
      <c r="B568" s="60" t="s">
        <v>436</v>
      </c>
      <c r="C568" s="60" t="s">
        <v>574</v>
      </c>
      <c r="D568" s="60"/>
      <c r="E568" s="60" t="s">
        <v>78</v>
      </c>
      <c r="F568" s="60"/>
      <c r="G56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56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568" s="61" t="e">
        <f>VLOOKUP(Table3[[#This Row],[PSGC]],DISTRICT!$D:$G,4,FALSE)</f>
        <v>#N/A</v>
      </c>
      <c r="J568" s="60" t="s">
        <v>585</v>
      </c>
      <c r="K568" s="51" t="str">
        <f>VLOOKUP(Table3[[#This Row],[SPECIFIC COMMODITY]],TAGS!$W$48:$X$53,2,FALSE)</f>
        <v>Multi_commodity</v>
      </c>
      <c r="L568" s="51" t="str">
        <f>VLOOKUP(Table3[[#This Row],[PREXC SUB-PROGRAM]],Table5[],2,FALSE)</f>
        <v>TECHNICAL AND SUPPORT SERVICES PROGRAM</v>
      </c>
      <c r="M568" s="51" t="str">
        <f>VLOOKUP(Table3[[#This Row],[COMMODITY PREXC SUB-PROGRAM]],TAGS!$U$54:$V$76,2,FALSE)</f>
        <v>PSS</v>
      </c>
      <c r="N568" s="60" t="s">
        <v>586</v>
      </c>
      <c r="O568" s="54" t="str">
        <f>VLOOKUP(Table3[[#This Row],[PI LEVEL 3]],'PI LEVEL'!A:C,3,FALSE)</f>
        <v>Farm machinery and equipment procured for stations</v>
      </c>
      <c r="P568" s="54" t="str">
        <f>VLOOKUP(Table3[[#This Row],[PI LEVEL 3]],Table53729[[Performance Indicator Level 3]:[Performance Indicator Level 1]],2,FALSE)</f>
        <v>Farm machinery and equipment procured for stations</v>
      </c>
      <c r="Q568" s="54" t="str">
        <f>VLOOKUP(Table3[[#This Row],[ACTIVITY]],TAGS!B:P,2,FALSE)</f>
        <v>Postharvest machinery and equipment procured for stations</v>
      </c>
      <c r="R568" s="60" t="s">
        <v>96</v>
      </c>
      <c r="S568" s="54" t="str">
        <f>VLOOKUP(Table3[[#This Row],[ACTIVITY]],TAGS!$B:$P,4,FALSE)</f>
        <v>DA Facilities Management</v>
      </c>
      <c r="T568" s="54" t="str">
        <f>VLOOKUP(Table3[[#This Row],[ACTIVITY]],TAGS!$B:$P,5,FALSE)</f>
        <v>Support to DA Stations</v>
      </c>
      <c r="U568" s="54" t="str">
        <f>VLOOKUP(Table3[[#This Row],[ACTIVITY]],TAGS!$B:$P,6,FALSE)</f>
        <v>Machinery &amp; Equipment for DA Stations</v>
      </c>
      <c r="V568" s="54" t="str">
        <f>VLOOKUP(Table3[[#This Row],[ACTIVITY]],TAGS!$B:$P,7,FALSE)</f>
        <v>NO</v>
      </c>
      <c r="W568" s="54" t="str">
        <f>VLOOKUP(Table3[[#This Row],[ACTIVITY]],TAGS!$B:$P,8,FALSE)</f>
        <v>PAP</v>
      </c>
      <c r="X568" s="54" t="str">
        <f>VLOOKUP(Table3[[#This Row],[ACTIVITY]],TAGS!$B:$P,10,FALSE)</f>
        <v>PIP</v>
      </c>
      <c r="Y568" s="54" t="str">
        <f>VLOOKUP(Table3[[#This Row],[ACTIVITY]],TAGS!$B:$P,11,FALSE)</f>
        <v>PICS</v>
      </c>
      <c r="Z568" s="54" t="str">
        <f>VLOOKUP(Table3[[#This Row],[ACTIVITY]],TAGS!$B:$P,12,FALSE)</f>
        <v>Modernization</v>
      </c>
      <c r="AA568" s="54" t="str">
        <f>VLOOKUP(Table3[[#This Row],[ACTIVITY]],TAGS!$B:$P,13,FALSE)</f>
        <v>8. Farm Mechanization and Farm Investments</v>
      </c>
      <c r="AB568" s="54">
        <f>VLOOKUP(Table3[[#This Row],[ACTIVITY]],TAGS!$B:$P,14,FALSE)</f>
        <v>0</v>
      </c>
      <c r="AC568" s="54" t="str">
        <f>VLOOKUP(Table3[[#This Row],[ACTIVITY]],TAGS!$B:$P,15,FALSE)</f>
        <v>DA Station</v>
      </c>
      <c r="AD568" s="54" t="str">
        <f>VLOOKUP(Table3[[#This Row],[PI LEVEL 3]],'PI LEVEL'!$A:$G,7,FALSE)</f>
        <v>DA-Level Output</v>
      </c>
      <c r="AE568" s="60"/>
      <c r="AF568" s="54" t="str">
        <f>VLOOKUP(Table3[[#This Row],[ACTIVITY]],TAGS!$B:$P,3,FALSE)</f>
        <v>number</v>
      </c>
      <c r="AG568" s="60"/>
      <c r="AH568" s="54" t="e">
        <f>VLOOKUP(Table3[[#This Row],[MONTH]],TAGS!$W$67:$Y$81,2,FALSE)</f>
        <v>#N/A</v>
      </c>
      <c r="AI568" s="54" t="e">
        <f>VLOOKUP(Table3[[#This Row],[MONTH]],TAGS!$W$67:$Y$81,3,FALSE)</f>
        <v>#N/A</v>
      </c>
      <c r="AJ568" s="54" t="e">
        <f>VLOOKUP(Table3[[#This Row],[MONTH]],TAGS!$W$67:$Z$81,4,FALSE)</f>
        <v>#N/A</v>
      </c>
      <c r="AK568" s="60">
        <v>4</v>
      </c>
      <c r="AL568" s="54" t="str">
        <f>VLOOKUP(Table3[[#This Row],[ACTIVITY]],TAGS!$B:$R,16,FALSE)</f>
        <v>NO</v>
      </c>
      <c r="AM568" s="60">
        <f>Table3[[#This Row],[TARGET]]/20</f>
        <v>0.2</v>
      </c>
      <c r="AN568" s="60">
        <v>240</v>
      </c>
      <c r="AO568" s="57"/>
      <c r="AP568" s="62"/>
      <c r="AQ568" s="62"/>
      <c r="AR568" s="62"/>
      <c r="AS568" s="62"/>
      <c r="AT568" s="63" t="str">
        <f>VLOOKUP(Table3[[#This Row],[ACTIVITY]],TAGS!$B:$R,17,FALSE)</f>
        <v>NO</v>
      </c>
      <c r="AU568" s="63"/>
      <c r="AV568" s="63"/>
      <c r="AW568" s="63"/>
      <c r="AX568" s="63"/>
      <c r="AY568" s="63"/>
      <c r="AZ568" s="63"/>
      <c r="BA568" s="63"/>
      <c r="BB568" s="63"/>
      <c r="BC568" s="63"/>
      <c r="BD568" s="63"/>
      <c r="BE568" s="63"/>
      <c r="BF568" s="63"/>
      <c r="BG568" s="63"/>
      <c r="BH568" s="63"/>
      <c r="BI568" s="63"/>
      <c r="BJ568" s="63"/>
      <c r="BK568" s="63"/>
      <c r="BL568" s="63"/>
      <c r="BM568" s="63"/>
    </row>
    <row r="569" spans="1:65">
      <c r="A569" s="54" t="str">
        <f>VLOOKUP(Table3[[#This Row],[OU]],OU!$A$15:$B$34,2,FALSE)</f>
        <v>RFOs</v>
      </c>
      <c r="B569" s="60" t="s">
        <v>436</v>
      </c>
      <c r="C569" s="60" t="s">
        <v>574</v>
      </c>
      <c r="D569" s="60"/>
      <c r="E569" s="60" t="s">
        <v>78</v>
      </c>
      <c r="F569" s="60"/>
      <c r="G56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56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569" s="61" t="e">
        <f>VLOOKUP(Table3[[#This Row],[PSGC]],DISTRICT!$D:$G,4,FALSE)</f>
        <v>#N/A</v>
      </c>
      <c r="J569" s="60" t="s">
        <v>585</v>
      </c>
      <c r="K569" s="51" t="str">
        <f>VLOOKUP(Table3[[#This Row],[SPECIFIC COMMODITY]],TAGS!$W$48:$X$53,2,FALSE)</f>
        <v>Multi_commodity</v>
      </c>
      <c r="L569" s="51" t="str">
        <f>VLOOKUP(Table3[[#This Row],[PREXC SUB-PROGRAM]],Table5[],2,FALSE)</f>
        <v>TECHNICAL AND SUPPORT SERVICES PROGRAM</v>
      </c>
      <c r="M569" s="51" t="str">
        <f>VLOOKUP(Table3[[#This Row],[COMMODITY PREXC SUB-PROGRAM]],TAGS!$U$54:$V$76,2,FALSE)</f>
        <v>PSS</v>
      </c>
      <c r="N569" s="60" t="s">
        <v>586</v>
      </c>
      <c r="O569" s="54" t="str">
        <f>VLOOKUP(Table3[[#This Row],[PI LEVEL 3]],'PI LEVEL'!A:C,3,FALSE)</f>
        <v>Farm machinery and equipment procured for stations</v>
      </c>
      <c r="P569" s="54" t="str">
        <f>VLOOKUP(Table3[[#This Row],[PI LEVEL 3]],Table53729[[Performance Indicator Level 3]:[Performance Indicator Level 1]],2,FALSE)</f>
        <v>Farm machinery and equipment procured for stations</v>
      </c>
      <c r="Q569" s="54" t="str">
        <f>VLOOKUP(Table3[[#This Row],[ACTIVITY]],TAGS!B:P,2,FALSE)</f>
        <v>Postharvest machinery and equipment procured for stations</v>
      </c>
      <c r="R569" s="60" t="s">
        <v>98</v>
      </c>
      <c r="S569" s="54" t="str">
        <f>VLOOKUP(Table3[[#This Row],[ACTIVITY]],TAGS!$B:$P,4,FALSE)</f>
        <v>DA Facilities Management</v>
      </c>
      <c r="T569" s="54" t="str">
        <f>VLOOKUP(Table3[[#This Row],[ACTIVITY]],TAGS!$B:$P,5,FALSE)</f>
        <v>Support to DA Stations</v>
      </c>
      <c r="U569" s="54" t="str">
        <f>VLOOKUP(Table3[[#This Row],[ACTIVITY]],TAGS!$B:$P,6,FALSE)</f>
        <v>Machinery &amp; Equipment for DA Stations</v>
      </c>
      <c r="V569" s="54" t="str">
        <f>VLOOKUP(Table3[[#This Row],[ACTIVITY]],TAGS!$B:$P,7,FALSE)</f>
        <v>NO</v>
      </c>
      <c r="W569" s="54" t="str">
        <f>VLOOKUP(Table3[[#This Row],[ACTIVITY]],TAGS!$B:$P,8,FALSE)</f>
        <v>PAP</v>
      </c>
      <c r="X569" s="54" t="str">
        <f>VLOOKUP(Table3[[#This Row],[ACTIVITY]],TAGS!$B:$P,10,FALSE)</f>
        <v>PIP</v>
      </c>
      <c r="Y569" s="54" t="str">
        <f>VLOOKUP(Table3[[#This Row],[ACTIVITY]],TAGS!$B:$P,11,FALSE)</f>
        <v>PICS</v>
      </c>
      <c r="Z569" s="54" t="str">
        <f>VLOOKUP(Table3[[#This Row],[ACTIVITY]],TAGS!$B:$P,12,FALSE)</f>
        <v>Modernization</v>
      </c>
      <c r="AA569" s="54" t="str">
        <f>VLOOKUP(Table3[[#This Row],[ACTIVITY]],TAGS!$B:$P,13,FALSE)</f>
        <v>8. Farm Mechanization and Farm Investments</v>
      </c>
      <c r="AB569" s="54">
        <f>VLOOKUP(Table3[[#This Row],[ACTIVITY]],TAGS!$B:$P,14,FALSE)</f>
        <v>0</v>
      </c>
      <c r="AC569" s="54" t="str">
        <f>VLOOKUP(Table3[[#This Row],[ACTIVITY]],TAGS!$B:$P,15,FALSE)</f>
        <v>DA Station</v>
      </c>
      <c r="AD569" s="54" t="str">
        <f>VLOOKUP(Table3[[#This Row],[PI LEVEL 3]],'PI LEVEL'!$A:$G,7,FALSE)</f>
        <v>DA-Level Output</v>
      </c>
      <c r="AE569" s="60"/>
      <c r="AF569" s="54" t="str">
        <f>VLOOKUP(Table3[[#This Row],[ACTIVITY]],TAGS!$B:$P,3,FALSE)</f>
        <v>number</v>
      </c>
      <c r="AG569" s="60"/>
      <c r="AH569" s="54" t="e">
        <f>VLOOKUP(Table3[[#This Row],[MONTH]],TAGS!$W$67:$Y$81,2,FALSE)</f>
        <v>#N/A</v>
      </c>
      <c r="AI569" s="54" t="e">
        <f>VLOOKUP(Table3[[#This Row],[MONTH]],TAGS!$W$67:$Y$81,3,FALSE)</f>
        <v>#N/A</v>
      </c>
      <c r="AJ569" s="54" t="e">
        <f>VLOOKUP(Table3[[#This Row],[MONTH]],TAGS!$W$67:$Z$81,4,FALSE)</f>
        <v>#N/A</v>
      </c>
      <c r="AK569" s="60">
        <v>4</v>
      </c>
      <c r="AL569" s="54" t="str">
        <f>VLOOKUP(Table3[[#This Row],[ACTIVITY]],TAGS!$B:$R,16,FALSE)</f>
        <v>NO</v>
      </c>
      <c r="AM569" s="60">
        <f>Table3[[#This Row],[TARGET]]/20</f>
        <v>0.2</v>
      </c>
      <c r="AN569" s="60">
        <v>1200</v>
      </c>
      <c r="AO569" s="57"/>
      <c r="AP569" s="62"/>
      <c r="AQ569" s="62"/>
      <c r="AR569" s="62"/>
      <c r="AS569" s="62"/>
      <c r="AT569" s="63" t="str">
        <f>VLOOKUP(Table3[[#This Row],[ACTIVITY]],TAGS!$B:$R,17,FALSE)</f>
        <v>NO</v>
      </c>
      <c r="AU569" s="63"/>
      <c r="AV569" s="63"/>
      <c r="AW569" s="63"/>
      <c r="AX569" s="63"/>
      <c r="AY569" s="63"/>
      <c r="AZ569" s="63"/>
      <c r="BA569" s="63"/>
      <c r="BB569" s="63"/>
      <c r="BC569" s="63"/>
      <c r="BD569" s="63"/>
      <c r="BE569" s="63"/>
      <c r="BF569" s="63"/>
      <c r="BG569" s="63"/>
      <c r="BH569" s="63"/>
      <c r="BI569" s="63"/>
      <c r="BJ569" s="63"/>
      <c r="BK569" s="63"/>
      <c r="BL569" s="63"/>
      <c r="BM569" s="63"/>
    </row>
    <row r="570" spans="1:65">
      <c r="A570" s="54" t="str">
        <f>VLOOKUP(Table3[[#This Row],[OU]],OU!$A$15:$B$34,2,FALSE)</f>
        <v>RFOs</v>
      </c>
      <c r="B570" s="60" t="s">
        <v>436</v>
      </c>
      <c r="C570" s="60" t="s">
        <v>574</v>
      </c>
      <c r="D570" s="60"/>
      <c r="E570" s="60" t="s">
        <v>78</v>
      </c>
      <c r="F570" s="60"/>
      <c r="G57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57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570" s="61" t="e">
        <f>VLOOKUP(Table3[[#This Row],[PSGC]],DISTRICT!$D:$G,4,FALSE)</f>
        <v>#N/A</v>
      </c>
      <c r="J570" s="60" t="s">
        <v>585</v>
      </c>
      <c r="K570" s="51" t="str">
        <f>VLOOKUP(Table3[[#This Row],[SPECIFIC COMMODITY]],TAGS!$W$48:$X$53,2,FALSE)</f>
        <v>Multi_commodity</v>
      </c>
      <c r="L570" s="51" t="str">
        <f>VLOOKUP(Table3[[#This Row],[PREXC SUB-PROGRAM]],Table5[],2,FALSE)</f>
        <v>TECHNICAL AND SUPPORT SERVICES PROGRAM</v>
      </c>
      <c r="M570" s="51" t="str">
        <f>VLOOKUP(Table3[[#This Row],[COMMODITY PREXC SUB-PROGRAM]],TAGS!$U$54:$V$76,2,FALSE)</f>
        <v>PSS</v>
      </c>
      <c r="N570" s="60" t="s">
        <v>586</v>
      </c>
      <c r="O570" s="54" t="str">
        <f>VLOOKUP(Table3[[#This Row],[PI LEVEL 3]],'PI LEVEL'!A:C,3,FALSE)</f>
        <v>Farm machinery and equipment procured for stations</v>
      </c>
      <c r="P570" s="54" t="str">
        <f>VLOOKUP(Table3[[#This Row],[PI LEVEL 3]],Table53729[[Performance Indicator Level 3]:[Performance Indicator Level 1]],2,FALSE)</f>
        <v>Farm machinery and equipment procured for stations</v>
      </c>
      <c r="Q570" s="54" t="str">
        <f>VLOOKUP(Table3[[#This Row],[ACTIVITY]],TAGS!B:P,2,FALSE)</f>
        <v>Postharvest machinery and equipment procured for stations</v>
      </c>
      <c r="R570" s="60" t="s">
        <v>100</v>
      </c>
      <c r="S570" s="54" t="str">
        <f>VLOOKUP(Table3[[#This Row],[ACTIVITY]],TAGS!$B:$P,4,FALSE)</f>
        <v>DA Facilities Management</v>
      </c>
      <c r="T570" s="54" t="str">
        <f>VLOOKUP(Table3[[#This Row],[ACTIVITY]],TAGS!$B:$P,5,FALSE)</f>
        <v>Support to DA Stations</v>
      </c>
      <c r="U570" s="54" t="str">
        <f>VLOOKUP(Table3[[#This Row],[ACTIVITY]],TAGS!$B:$P,6,FALSE)</f>
        <v>Machinery &amp; Equipment for DA Stations</v>
      </c>
      <c r="V570" s="54" t="str">
        <f>VLOOKUP(Table3[[#This Row],[ACTIVITY]],TAGS!$B:$P,7,FALSE)</f>
        <v>NO</v>
      </c>
      <c r="W570" s="54" t="str">
        <f>VLOOKUP(Table3[[#This Row],[ACTIVITY]],TAGS!$B:$P,8,FALSE)</f>
        <v>PAP</v>
      </c>
      <c r="X570" s="54" t="str">
        <f>VLOOKUP(Table3[[#This Row],[ACTIVITY]],TAGS!$B:$P,10,FALSE)</f>
        <v>PIP</v>
      </c>
      <c r="Y570" s="54" t="str">
        <f>VLOOKUP(Table3[[#This Row],[ACTIVITY]],TAGS!$B:$P,11,FALSE)</f>
        <v>PICS</v>
      </c>
      <c r="Z570" s="54" t="str">
        <f>VLOOKUP(Table3[[#This Row],[ACTIVITY]],TAGS!$B:$P,12,FALSE)</f>
        <v>Modernization</v>
      </c>
      <c r="AA570" s="54" t="str">
        <f>VLOOKUP(Table3[[#This Row],[ACTIVITY]],TAGS!$B:$P,13,FALSE)</f>
        <v>8. Farm Mechanization and Farm Investments</v>
      </c>
      <c r="AB570" s="54">
        <f>VLOOKUP(Table3[[#This Row],[ACTIVITY]],TAGS!$B:$P,14,FALSE)</f>
        <v>0</v>
      </c>
      <c r="AC570" s="54" t="str">
        <f>VLOOKUP(Table3[[#This Row],[ACTIVITY]],TAGS!$B:$P,15,FALSE)</f>
        <v>DA Station</v>
      </c>
      <c r="AD570" s="54" t="str">
        <f>VLOOKUP(Table3[[#This Row],[PI LEVEL 3]],'PI LEVEL'!$A:$G,7,FALSE)</f>
        <v>DA-Level Output</v>
      </c>
      <c r="AE570" s="60"/>
      <c r="AF570" s="54" t="str">
        <f>VLOOKUP(Table3[[#This Row],[ACTIVITY]],TAGS!$B:$P,3,FALSE)</f>
        <v>number</v>
      </c>
      <c r="AG570" s="60"/>
      <c r="AH570" s="54" t="e">
        <f>VLOOKUP(Table3[[#This Row],[MONTH]],TAGS!$W$67:$Y$81,2,FALSE)</f>
        <v>#N/A</v>
      </c>
      <c r="AI570" s="54" t="e">
        <f>VLOOKUP(Table3[[#This Row],[MONTH]],TAGS!$W$67:$Y$81,3,FALSE)</f>
        <v>#N/A</v>
      </c>
      <c r="AJ570" s="54" t="e">
        <f>VLOOKUP(Table3[[#This Row],[MONTH]],TAGS!$W$67:$Z$81,4,FALSE)</f>
        <v>#N/A</v>
      </c>
      <c r="AK570" s="60">
        <v>4</v>
      </c>
      <c r="AL570" s="54" t="str">
        <f>VLOOKUP(Table3[[#This Row],[ACTIVITY]],TAGS!$B:$R,16,FALSE)</f>
        <v>NO</v>
      </c>
      <c r="AM570" s="60">
        <f>Table3[[#This Row],[TARGET]]/20</f>
        <v>0.2</v>
      </c>
      <c r="AN570" s="60">
        <v>300</v>
      </c>
      <c r="AO570" s="57"/>
      <c r="AP570" s="62"/>
      <c r="AQ570" s="62"/>
      <c r="AR570" s="62"/>
      <c r="AS570" s="62"/>
      <c r="AT570" s="63" t="str">
        <f>VLOOKUP(Table3[[#This Row],[ACTIVITY]],TAGS!$B:$R,17,FALSE)</f>
        <v>NO</v>
      </c>
      <c r="AU570" s="63"/>
      <c r="AV570" s="63"/>
      <c r="AW570" s="63"/>
      <c r="AX570" s="63"/>
      <c r="AY570" s="63"/>
      <c r="AZ570" s="63"/>
      <c r="BA570" s="63"/>
      <c r="BB570" s="63"/>
      <c r="BC570" s="63"/>
      <c r="BD570" s="63"/>
      <c r="BE570" s="63"/>
      <c r="BF570" s="63"/>
      <c r="BG570" s="63"/>
      <c r="BH570" s="63"/>
      <c r="BI570" s="63"/>
      <c r="BJ570" s="63"/>
      <c r="BK570" s="63"/>
      <c r="BL570" s="63"/>
      <c r="BM570" s="63"/>
    </row>
    <row r="571" spans="1:65">
      <c r="A571" s="54" t="str">
        <f>VLOOKUP(Table3[[#This Row],[OU]],OU!$A$15:$B$34,2,FALSE)</f>
        <v>RFOs</v>
      </c>
      <c r="B571" s="60" t="s">
        <v>436</v>
      </c>
      <c r="C571" s="60" t="s">
        <v>574</v>
      </c>
      <c r="D571" s="60"/>
      <c r="E571" s="60" t="s">
        <v>78</v>
      </c>
      <c r="F571" s="60"/>
      <c r="G57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57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571" s="61" t="e">
        <f>VLOOKUP(Table3[[#This Row],[PSGC]],DISTRICT!$D:$G,4,FALSE)</f>
        <v>#N/A</v>
      </c>
      <c r="J571" s="60" t="s">
        <v>585</v>
      </c>
      <c r="K571" s="51" t="str">
        <f>VLOOKUP(Table3[[#This Row],[SPECIFIC COMMODITY]],TAGS!$W$48:$X$53,2,FALSE)</f>
        <v>Multi_commodity</v>
      </c>
      <c r="L571" s="51" t="str">
        <f>VLOOKUP(Table3[[#This Row],[PREXC SUB-PROGRAM]],Table5[],2,FALSE)</f>
        <v>TECHNICAL AND SUPPORT SERVICES PROGRAM</v>
      </c>
      <c r="M571" s="51" t="str">
        <f>VLOOKUP(Table3[[#This Row],[COMMODITY PREXC SUB-PROGRAM]],TAGS!$U$54:$V$76,2,FALSE)</f>
        <v>PSS</v>
      </c>
      <c r="N571" s="60" t="s">
        <v>586</v>
      </c>
      <c r="O571" s="54" t="str">
        <f>VLOOKUP(Table3[[#This Row],[PI LEVEL 3]],'PI LEVEL'!A:C,3,FALSE)</f>
        <v>Farm machinery and equipment procured for stations</v>
      </c>
      <c r="P571" s="54" t="str">
        <f>VLOOKUP(Table3[[#This Row],[PI LEVEL 3]],Table53729[[Performance Indicator Level 3]:[Performance Indicator Level 1]],2,FALSE)</f>
        <v>Farm machinery and equipment procured for stations</v>
      </c>
      <c r="Q571" s="54" t="str">
        <f>VLOOKUP(Table3[[#This Row],[ACTIVITY]],TAGS!B:P,2,FALSE)</f>
        <v>Postharvest machinery and equipment procured for stations</v>
      </c>
      <c r="R571" s="60" t="s">
        <v>102</v>
      </c>
      <c r="S571" s="54" t="str">
        <f>VLOOKUP(Table3[[#This Row],[ACTIVITY]],TAGS!$B:$P,4,FALSE)</f>
        <v>DA Facilities Management</v>
      </c>
      <c r="T571" s="54" t="str">
        <f>VLOOKUP(Table3[[#This Row],[ACTIVITY]],TAGS!$B:$P,5,FALSE)</f>
        <v>Support to DA Stations</v>
      </c>
      <c r="U571" s="54" t="str">
        <f>VLOOKUP(Table3[[#This Row],[ACTIVITY]],TAGS!$B:$P,6,FALSE)</f>
        <v>Machinery &amp; Equipment for DA Stations</v>
      </c>
      <c r="V571" s="54" t="str">
        <f>VLOOKUP(Table3[[#This Row],[ACTIVITY]],TAGS!$B:$P,7,FALSE)</f>
        <v>NO</v>
      </c>
      <c r="W571" s="54" t="str">
        <f>VLOOKUP(Table3[[#This Row],[ACTIVITY]],TAGS!$B:$P,8,FALSE)</f>
        <v>PAP</v>
      </c>
      <c r="X571" s="54" t="str">
        <f>VLOOKUP(Table3[[#This Row],[ACTIVITY]],TAGS!$B:$P,10,FALSE)</f>
        <v>PIP</v>
      </c>
      <c r="Y571" s="54" t="str">
        <f>VLOOKUP(Table3[[#This Row],[ACTIVITY]],TAGS!$B:$P,11,FALSE)</f>
        <v>PICS</v>
      </c>
      <c r="Z571" s="54" t="str">
        <f>VLOOKUP(Table3[[#This Row],[ACTIVITY]],TAGS!$B:$P,12,FALSE)</f>
        <v>Modernization</v>
      </c>
      <c r="AA571" s="54" t="str">
        <f>VLOOKUP(Table3[[#This Row],[ACTIVITY]],TAGS!$B:$P,13,FALSE)</f>
        <v>8. Farm Mechanization and Farm Investments</v>
      </c>
      <c r="AB571" s="54">
        <f>VLOOKUP(Table3[[#This Row],[ACTIVITY]],TAGS!$B:$P,14,FALSE)</f>
        <v>0</v>
      </c>
      <c r="AC571" s="54" t="str">
        <f>VLOOKUP(Table3[[#This Row],[ACTIVITY]],TAGS!$B:$P,15,FALSE)</f>
        <v>DA Station</v>
      </c>
      <c r="AD571" s="54" t="str">
        <f>VLOOKUP(Table3[[#This Row],[PI LEVEL 3]],'PI LEVEL'!$A:$G,7,FALSE)</f>
        <v>DA-Level Output</v>
      </c>
      <c r="AE571" s="60"/>
      <c r="AF571" s="54" t="str">
        <f>VLOOKUP(Table3[[#This Row],[ACTIVITY]],TAGS!$B:$P,3,FALSE)</f>
        <v>number</v>
      </c>
      <c r="AG571" s="60"/>
      <c r="AH571" s="54" t="e">
        <f>VLOOKUP(Table3[[#This Row],[MONTH]],TAGS!$W$67:$Y$81,2,FALSE)</f>
        <v>#N/A</v>
      </c>
      <c r="AI571" s="54" t="e">
        <f>VLOOKUP(Table3[[#This Row],[MONTH]],TAGS!$W$67:$Y$81,3,FALSE)</f>
        <v>#N/A</v>
      </c>
      <c r="AJ571" s="54" t="e">
        <f>VLOOKUP(Table3[[#This Row],[MONTH]],TAGS!$W$67:$Z$81,4,FALSE)</f>
        <v>#N/A</v>
      </c>
      <c r="AK571" s="60">
        <v>1</v>
      </c>
      <c r="AL571" s="54" t="str">
        <f>VLOOKUP(Table3[[#This Row],[ACTIVITY]],TAGS!$B:$R,16,FALSE)</f>
        <v>NO</v>
      </c>
      <c r="AM571" s="60">
        <f>Table3[[#This Row],[TARGET]]/20</f>
        <v>0.05</v>
      </c>
      <c r="AN571" s="60">
        <v>2100</v>
      </c>
      <c r="AO571" s="57"/>
      <c r="AP571" s="62"/>
      <c r="AQ571" s="62"/>
      <c r="AR571" s="62"/>
      <c r="AS571" s="62"/>
      <c r="AT571" s="63" t="str">
        <f>VLOOKUP(Table3[[#This Row],[ACTIVITY]],TAGS!$B:$R,17,FALSE)</f>
        <v>NO</v>
      </c>
      <c r="AU571" s="63"/>
      <c r="AV571" s="63"/>
      <c r="AW571" s="63"/>
      <c r="AX571" s="63"/>
      <c r="AY571" s="63"/>
      <c r="AZ571" s="63"/>
      <c r="BA571" s="63"/>
      <c r="BB571" s="63"/>
      <c r="BC571" s="63"/>
      <c r="BD571" s="63"/>
      <c r="BE571" s="63"/>
      <c r="BF571" s="63"/>
      <c r="BG571" s="63"/>
      <c r="BH571" s="63"/>
      <c r="BI571" s="63"/>
      <c r="BJ571" s="63"/>
      <c r="BK571" s="63"/>
      <c r="BL571" s="63"/>
      <c r="BM571" s="63"/>
    </row>
    <row r="572" spans="1:65">
      <c r="A572" s="54" t="str">
        <f>VLOOKUP(Table3[[#This Row],[OU]],OU!$A$15:$B$34,2,FALSE)</f>
        <v>RFOs</v>
      </c>
      <c r="B572" s="60" t="s">
        <v>436</v>
      </c>
      <c r="C572" s="60" t="s">
        <v>574</v>
      </c>
      <c r="D572" s="60"/>
      <c r="E572" s="60" t="s">
        <v>78</v>
      </c>
      <c r="F572" s="60"/>
      <c r="G57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57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572" s="61" t="e">
        <f>VLOOKUP(Table3[[#This Row],[PSGC]],DISTRICT!$D:$G,4,FALSE)</f>
        <v>#N/A</v>
      </c>
      <c r="J572" s="60" t="s">
        <v>585</v>
      </c>
      <c r="K572" s="51" t="str">
        <f>VLOOKUP(Table3[[#This Row],[SPECIFIC COMMODITY]],TAGS!$W$48:$X$53,2,FALSE)</f>
        <v>Multi_commodity</v>
      </c>
      <c r="L572" s="51" t="str">
        <f>VLOOKUP(Table3[[#This Row],[PREXC SUB-PROGRAM]],Table5[],2,FALSE)</f>
        <v>TECHNICAL AND SUPPORT SERVICES PROGRAM</v>
      </c>
      <c r="M572" s="51" t="str">
        <f>VLOOKUP(Table3[[#This Row],[COMMODITY PREXC SUB-PROGRAM]],TAGS!$U$54:$V$76,2,FALSE)</f>
        <v>PSS</v>
      </c>
      <c r="N572" s="60" t="s">
        <v>586</v>
      </c>
      <c r="O572" s="54" t="str">
        <f>VLOOKUP(Table3[[#This Row],[PI LEVEL 3]],'PI LEVEL'!A:C,3,FALSE)</f>
        <v>Farm machinery and equipment procured for stations</v>
      </c>
      <c r="P572" s="54" t="str">
        <f>VLOOKUP(Table3[[#This Row],[PI LEVEL 3]],Table53729[[Performance Indicator Level 3]:[Performance Indicator Level 1]],2,FALSE)</f>
        <v>Farm machinery and equipment procured for stations</v>
      </c>
      <c r="Q572" s="54" t="str">
        <f>VLOOKUP(Table3[[#This Row],[ACTIVITY]],TAGS!B:P,2,FALSE)</f>
        <v>Production machinery and equipment procured for stations</v>
      </c>
      <c r="R572" s="60" t="s">
        <v>104</v>
      </c>
      <c r="S572" s="54" t="str">
        <f>VLOOKUP(Table3[[#This Row],[ACTIVITY]],TAGS!$B:$P,4,FALSE)</f>
        <v>DA Facilities Management</v>
      </c>
      <c r="T572" s="54" t="str">
        <f>VLOOKUP(Table3[[#This Row],[ACTIVITY]],TAGS!$B:$P,5,FALSE)</f>
        <v>Support to DA Stations</v>
      </c>
      <c r="U572" s="54" t="str">
        <f>VLOOKUP(Table3[[#This Row],[ACTIVITY]],TAGS!$B:$P,6,FALSE)</f>
        <v>Machinery &amp; Equipment for DA Stations</v>
      </c>
      <c r="V572" s="54" t="str">
        <f>VLOOKUP(Table3[[#This Row],[ACTIVITY]],TAGS!$B:$P,7,FALSE)</f>
        <v>NO</v>
      </c>
      <c r="W572" s="54" t="str">
        <f>VLOOKUP(Table3[[#This Row],[ACTIVITY]],TAGS!$B:$P,8,FALSE)</f>
        <v>PAP</v>
      </c>
      <c r="X572" s="54" t="str">
        <f>VLOOKUP(Table3[[#This Row],[ACTIVITY]],TAGS!$B:$P,10,FALSE)</f>
        <v>PIP</v>
      </c>
      <c r="Y572" s="54" t="str">
        <f>VLOOKUP(Table3[[#This Row],[ACTIVITY]],TAGS!$B:$P,11,FALSE)</f>
        <v>PICS</v>
      </c>
      <c r="Z572" s="54" t="str">
        <f>VLOOKUP(Table3[[#This Row],[ACTIVITY]],TAGS!$B:$P,12,FALSE)</f>
        <v>Modernization</v>
      </c>
      <c r="AA572" s="54" t="str">
        <f>VLOOKUP(Table3[[#This Row],[ACTIVITY]],TAGS!$B:$P,13,FALSE)</f>
        <v>8. Farm Mechanization and Farm Investments</v>
      </c>
      <c r="AB572" s="54">
        <f>VLOOKUP(Table3[[#This Row],[ACTIVITY]],TAGS!$B:$P,14,FALSE)</f>
        <v>0</v>
      </c>
      <c r="AC572" s="54" t="str">
        <f>VLOOKUP(Table3[[#This Row],[ACTIVITY]],TAGS!$B:$P,15,FALSE)</f>
        <v>DA Station</v>
      </c>
      <c r="AD572" s="54" t="str">
        <f>VLOOKUP(Table3[[#This Row],[PI LEVEL 3]],'PI LEVEL'!$A:$G,7,FALSE)</f>
        <v>DA-Level Output</v>
      </c>
      <c r="AE572" s="60"/>
      <c r="AF572" s="54" t="str">
        <f>VLOOKUP(Table3[[#This Row],[ACTIVITY]],TAGS!$B:$P,3,FALSE)</f>
        <v>number</v>
      </c>
      <c r="AG572" s="60"/>
      <c r="AH572" s="54" t="e">
        <f>VLOOKUP(Table3[[#This Row],[MONTH]],TAGS!$W$67:$Y$81,2,FALSE)</f>
        <v>#N/A</v>
      </c>
      <c r="AI572" s="54" t="e">
        <f>VLOOKUP(Table3[[#This Row],[MONTH]],TAGS!$W$67:$Y$81,3,FALSE)</f>
        <v>#N/A</v>
      </c>
      <c r="AJ572" s="54" t="e">
        <f>VLOOKUP(Table3[[#This Row],[MONTH]],TAGS!$W$67:$Z$81,4,FALSE)</f>
        <v>#N/A</v>
      </c>
      <c r="AK572" s="60">
        <v>1</v>
      </c>
      <c r="AL572" s="54" t="str">
        <f>VLOOKUP(Table3[[#This Row],[ACTIVITY]],TAGS!$B:$R,16,FALSE)</f>
        <v>NO</v>
      </c>
      <c r="AM572" s="60">
        <f>Table3[[#This Row],[TARGET]]/20</f>
        <v>0.05</v>
      </c>
      <c r="AN572" s="60">
        <v>3100</v>
      </c>
      <c r="AO572" s="57"/>
      <c r="AP572" s="62"/>
      <c r="AQ572" s="62"/>
      <c r="AR572" s="62"/>
      <c r="AS572" s="62"/>
      <c r="AT572" s="63" t="str">
        <f>VLOOKUP(Table3[[#This Row],[ACTIVITY]],TAGS!$B:$R,17,FALSE)</f>
        <v>NO</v>
      </c>
      <c r="AU572" s="63"/>
      <c r="AV572" s="63"/>
      <c r="AW572" s="63"/>
      <c r="AX572" s="63"/>
      <c r="AY572" s="63"/>
      <c r="AZ572" s="63"/>
      <c r="BA572" s="63"/>
      <c r="BB572" s="63"/>
      <c r="BC572" s="63"/>
      <c r="BD572" s="63"/>
      <c r="BE572" s="63"/>
      <c r="BF572" s="63"/>
      <c r="BG572" s="63"/>
      <c r="BH572" s="63"/>
      <c r="BI572" s="63"/>
      <c r="BJ572" s="63"/>
      <c r="BK572" s="63"/>
      <c r="BL572" s="63"/>
      <c r="BM572" s="63"/>
    </row>
    <row r="573" spans="1:65">
      <c r="A573" s="54" t="str">
        <f>VLOOKUP(Table3[[#This Row],[OU]],OU!$A$15:$B$34,2,FALSE)</f>
        <v>RFOs</v>
      </c>
      <c r="B573" s="60" t="s">
        <v>436</v>
      </c>
      <c r="C573" s="60" t="s">
        <v>574</v>
      </c>
      <c r="D573" s="60"/>
      <c r="E573" s="60" t="s">
        <v>78</v>
      </c>
      <c r="F573" s="60"/>
      <c r="G57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57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573" s="61" t="e">
        <f>VLOOKUP(Table3[[#This Row],[PSGC]],DISTRICT!$D:$G,4,FALSE)</f>
        <v>#N/A</v>
      </c>
      <c r="J573" s="60" t="s">
        <v>585</v>
      </c>
      <c r="K573" s="51" t="str">
        <f>VLOOKUP(Table3[[#This Row],[SPECIFIC COMMODITY]],TAGS!$W$48:$X$53,2,FALSE)</f>
        <v>Multi_commodity</v>
      </c>
      <c r="L573" s="51" t="str">
        <f>VLOOKUP(Table3[[#This Row],[PREXC SUB-PROGRAM]],Table5[],2,FALSE)</f>
        <v>TECHNICAL AND SUPPORT SERVICES PROGRAM</v>
      </c>
      <c r="M573" s="51" t="str">
        <f>VLOOKUP(Table3[[#This Row],[COMMODITY PREXC SUB-PROGRAM]],TAGS!$U$54:$V$76,2,FALSE)</f>
        <v>PSS</v>
      </c>
      <c r="N573" s="60" t="s">
        <v>586</v>
      </c>
      <c r="O573" s="54" t="str">
        <f>VLOOKUP(Table3[[#This Row],[PI LEVEL 3]],'PI LEVEL'!A:C,3,FALSE)</f>
        <v>Farm machinery and equipment procured for stations</v>
      </c>
      <c r="P573" s="54" t="str">
        <f>VLOOKUP(Table3[[#This Row],[PI LEVEL 3]],Table53729[[Performance Indicator Level 3]:[Performance Indicator Level 1]],2,FALSE)</f>
        <v>Farm machinery and equipment procured for stations</v>
      </c>
      <c r="Q573" s="54" t="str">
        <f>VLOOKUP(Table3[[#This Row],[ACTIVITY]],TAGS!B:P,2,FALSE)</f>
        <v>Production machinery and equipment procured for stations</v>
      </c>
      <c r="R573" s="60" t="s">
        <v>94</v>
      </c>
      <c r="S573" s="54" t="str">
        <f>VLOOKUP(Table3[[#This Row],[ACTIVITY]],TAGS!$B:$P,4,FALSE)</f>
        <v>DA Facilities Management</v>
      </c>
      <c r="T573" s="54" t="str">
        <f>VLOOKUP(Table3[[#This Row],[ACTIVITY]],TAGS!$B:$P,5,FALSE)</f>
        <v>Support to DA Stations</v>
      </c>
      <c r="U573" s="54" t="str">
        <f>VLOOKUP(Table3[[#This Row],[ACTIVITY]],TAGS!$B:$P,6,FALSE)</f>
        <v>Machinery &amp; Equipment for DA Stations</v>
      </c>
      <c r="V573" s="54" t="str">
        <f>VLOOKUP(Table3[[#This Row],[ACTIVITY]],TAGS!$B:$P,7,FALSE)</f>
        <v>NO</v>
      </c>
      <c r="W573" s="54" t="str">
        <f>VLOOKUP(Table3[[#This Row],[ACTIVITY]],TAGS!$B:$P,8,FALSE)</f>
        <v>PAP</v>
      </c>
      <c r="X573" s="54" t="str">
        <f>VLOOKUP(Table3[[#This Row],[ACTIVITY]],TAGS!$B:$P,10,FALSE)</f>
        <v>PIP</v>
      </c>
      <c r="Y573" s="54" t="str">
        <f>VLOOKUP(Table3[[#This Row],[ACTIVITY]],TAGS!$B:$P,11,FALSE)</f>
        <v>PICS</v>
      </c>
      <c r="Z573" s="54" t="str">
        <f>VLOOKUP(Table3[[#This Row],[ACTIVITY]],TAGS!$B:$P,12,FALSE)</f>
        <v>Modernization</v>
      </c>
      <c r="AA573" s="54" t="str">
        <f>VLOOKUP(Table3[[#This Row],[ACTIVITY]],TAGS!$B:$P,13,FALSE)</f>
        <v>8. Farm Mechanization and Farm Investments</v>
      </c>
      <c r="AB573" s="54">
        <f>VLOOKUP(Table3[[#This Row],[ACTIVITY]],TAGS!$B:$P,14,FALSE)</f>
        <v>0</v>
      </c>
      <c r="AC573" s="54" t="str">
        <f>VLOOKUP(Table3[[#This Row],[ACTIVITY]],TAGS!$B:$P,15,FALSE)</f>
        <v>DA Station</v>
      </c>
      <c r="AD573" s="54" t="str">
        <f>VLOOKUP(Table3[[#This Row],[PI LEVEL 3]],'PI LEVEL'!$A:$G,7,FALSE)</f>
        <v>DA-Level Output</v>
      </c>
      <c r="AE573" s="60"/>
      <c r="AF573" s="54" t="str">
        <f>VLOOKUP(Table3[[#This Row],[ACTIVITY]],TAGS!$B:$P,3,FALSE)</f>
        <v>number</v>
      </c>
      <c r="AG573" s="60"/>
      <c r="AH573" s="54" t="e">
        <f>VLOOKUP(Table3[[#This Row],[MONTH]],TAGS!$W$67:$Y$81,2,FALSE)</f>
        <v>#N/A</v>
      </c>
      <c r="AI573" s="54" t="e">
        <f>VLOOKUP(Table3[[#This Row],[MONTH]],TAGS!$W$67:$Y$81,3,FALSE)</f>
        <v>#N/A</v>
      </c>
      <c r="AJ573" s="54" t="e">
        <f>VLOOKUP(Table3[[#This Row],[MONTH]],TAGS!$W$67:$Z$81,4,FALSE)</f>
        <v>#N/A</v>
      </c>
      <c r="AK573" s="60">
        <v>4</v>
      </c>
      <c r="AL573" s="54" t="str">
        <f>VLOOKUP(Table3[[#This Row],[ACTIVITY]],TAGS!$B:$R,16,FALSE)</f>
        <v>NO</v>
      </c>
      <c r="AM573" s="60">
        <f>Table3[[#This Row],[TARGET]]/20</f>
        <v>0.2</v>
      </c>
      <c r="AN573" s="60">
        <v>1200</v>
      </c>
      <c r="AO573" s="57"/>
      <c r="AP573" s="62"/>
      <c r="AQ573" s="62"/>
      <c r="AR573" s="62"/>
      <c r="AS573" s="62"/>
      <c r="AT573" s="63" t="str">
        <f>VLOOKUP(Table3[[#This Row],[ACTIVITY]],TAGS!$B:$R,17,FALSE)</f>
        <v>NO</v>
      </c>
      <c r="AU573" s="63"/>
      <c r="AV573" s="63"/>
      <c r="AW573" s="63"/>
      <c r="AX573" s="63"/>
      <c r="AY573" s="63"/>
      <c r="AZ573" s="63"/>
      <c r="BA573" s="63"/>
      <c r="BB573" s="63"/>
      <c r="BC573" s="63"/>
      <c r="BD573" s="63"/>
      <c r="BE573" s="63"/>
      <c r="BF573" s="63"/>
      <c r="BG573" s="63"/>
      <c r="BH573" s="63"/>
      <c r="BI573" s="63"/>
      <c r="BJ573" s="63"/>
      <c r="BK573" s="63"/>
      <c r="BL573" s="63"/>
      <c r="BM573" s="63"/>
    </row>
    <row r="574" spans="1:65">
      <c r="A574" s="54" t="str">
        <f>VLOOKUP(Table3[[#This Row],[OU]],OU!$A$15:$B$34,2,FALSE)</f>
        <v>RFOs</v>
      </c>
      <c r="B574" s="60" t="s">
        <v>436</v>
      </c>
      <c r="C574" s="60" t="s">
        <v>574</v>
      </c>
      <c r="D574" s="60"/>
      <c r="E574" s="60" t="s">
        <v>43</v>
      </c>
      <c r="F574" s="60"/>
      <c r="G57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57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574" s="61" t="e">
        <f>VLOOKUP(Table3[[#This Row],[PSGC]],DISTRICT!$D:$G,4,FALSE)</f>
        <v>#N/A</v>
      </c>
      <c r="J574" s="60" t="s">
        <v>581</v>
      </c>
      <c r="K574" s="51" t="str">
        <f>VLOOKUP(Table3[[#This Row],[SPECIFIC COMMODITY]],TAGS!$W$48:$X$53,2,FALSE)</f>
        <v>Sorghum</v>
      </c>
      <c r="L574" s="51" t="str">
        <f>VLOOKUP(Table3[[#This Row],[PREXC SUB-PROGRAM]],Table5[],2,FALSE)</f>
        <v>TECHNICAL AND SUPPORT SERVICES PROGRAM</v>
      </c>
      <c r="M574" s="51" t="str">
        <f>VLOOKUP(Table3[[#This Row],[COMMODITY PREXC SUB-PROGRAM]],TAGS!$U$54:$V$76,2,FALSE)</f>
        <v>PSS</v>
      </c>
      <c r="N574" s="60" t="s">
        <v>582</v>
      </c>
      <c r="O574" s="54" t="str">
        <f>VLOOKUP(Table3[[#This Row],[PI LEVEL 3]],'PI LEVEL'!A:C,3,FALSE)</f>
        <v>Fertilizers and other soil ammendment distributed</v>
      </c>
      <c r="P574" s="54" t="str">
        <f>VLOOKUP(Table3[[#This Row],[PI LEVEL 3]],Table53729[[Performance Indicator Level 3]:[Performance Indicator Level 1]],2,FALSE)</f>
        <v>Fertilizers distributed</v>
      </c>
      <c r="Q574" s="54" t="str">
        <f>VLOOKUP(Table3[[#This Row],[ACTIVITY]],TAGS!B:P,2,FALSE)</f>
        <v>Inorganic fertilizer distributed</v>
      </c>
      <c r="R574" s="60" t="s">
        <v>57</v>
      </c>
      <c r="S574" s="54" t="str">
        <f>VLOOKUP(Table3[[#This Row],[ACTIVITY]],TAGS!$B:$P,4,FALSE)</f>
        <v>Sorghum Production Enhancement Project</v>
      </c>
      <c r="T574" s="54" t="str">
        <f>VLOOKUP(Table3[[#This Row],[ACTIVITY]],TAGS!$B:$P,5,FALSE)</f>
        <v>Soil Fertilization</v>
      </c>
      <c r="U574" s="54" t="str">
        <f>VLOOKUP(Table3[[#This Row],[ACTIVITY]],TAGS!$B:$P,6,FALSE)</f>
        <v>Inorganic fertilizer</v>
      </c>
      <c r="V574" s="54" t="str">
        <f>VLOOKUP(Table3[[#This Row],[ACTIVITY]],TAGS!$B:$P,7,FALSE)</f>
        <v>NO</v>
      </c>
      <c r="W574" s="54" t="str">
        <f>VLOOKUP(Table3[[#This Row],[ACTIVITY]],TAGS!$B:$P,8,FALSE)</f>
        <v>PAP</v>
      </c>
      <c r="X574" s="54" t="str">
        <f>VLOOKUP(Table3[[#This Row],[ACTIVITY]],TAGS!$B:$P,10,FALSE)</f>
        <v>PIP</v>
      </c>
      <c r="Y574" s="54" t="str">
        <f>VLOOKUP(Table3[[#This Row],[ACTIVITY]],TAGS!$B:$P,11,FALSE)</f>
        <v>PICS</v>
      </c>
      <c r="Z574" s="54" t="str">
        <f>VLOOKUP(Table3[[#This Row],[ACTIVITY]],TAGS!$B:$P,12,FALSE)</f>
        <v>Consolidation</v>
      </c>
      <c r="AA574" s="54" t="str">
        <f>VLOOKUP(Table3[[#This Row],[ACTIVITY]],TAGS!$B:$P,13,FALSE)</f>
        <v>1. Bayanihan Agri Cluster</v>
      </c>
      <c r="AB574" s="54" t="str">
        <f>VLOOKUP(Table3[[#This Row],[ACTIVITY]],TAGS!$B:$P,14,FALSE)</f>
        <v>EXPAND AND IMPROVE AVAILABLE AGRI-FISHERY AREAS FOR INCREASED PRODUCTION</v>
      </c>
      <c r="AC574" s="54" t="str">
        <f>VLOOKUP(Table3[[#This Row],[ACTIVITY]],TAGS!$B:$P,15,FALSE)</f>
        <v>Farm Inputs</v>
      </c>
      <c r="AD574" s="54" t="str">
        <f>VLOOKUP(Table3[[#This Row],[PI LEVEL 3]],'PI LEVEL'!$A:$G,7,FALSE)</f>
        <v>DA-Level Output</v>
      </c>
      <c r="AE574" s="60"/>
      <c r="AF574" s="54" t="str">
        <f>VLOOKUP(Table3[[#This Row],[ACTIVITY]],TAGS!$B:$P,3,FALSE)</f>
        <v>kilogram</v>
      </c>
      <c r="AG574" s="60"/>
      <c r="AH574" s="54" t="e">
        <f>VLOOKUP(Table3[[#This Row],[MONTH]],TAGS!$W$67:$Y$81,2,FALSE)</f>
        <v>#N/A</v>
      </c>
      <c r="AI574" s="54" t="e">
        <f>VLOOKUP(Table3[[#This Row],[MONTH]],TAGS!$W$67:$Y$81,3,FALSE)</f>
        <v>#N/A</v>
      </c>
      <c r="AJ574" s="54" t="e">
        <f>VLOOKUP(Table3[[#This Row],[MONTH]],TAGS!$W$67:$Z$81,4,FALSE)</f>
        <v>#N/A</v>
      </c>
      <c r="AK574" s="60">
        <v>100000</v>
      </c>
      <c r="AL574" s="54" t="str">
        <f>VLOOKUP(Table3[[#This Row],[ACTIVITY]],TAGS!$B:$R,16,FALSE)</f>
        <v>YES</v>
      </c>
      <c r="AM574" s="60">
        <f>Table3[[#This Row],[TARGET]]/20</f>
        <v>5000</v>
      </c>
      <c r="AN574" s="60">
        <v>4500</v>
      </c>
      <c r="AO574" s="57">
        <v>1000</v>
      </c>
      <c r="AP574" s="62"/>
      <c r="AQ574" s="62"/>
      <c r="AR574" s="62"/>
      <c r="AS574" s="62"/>
      <c r="AT574" s="63" t="str">
        <f>VLOOKUP(Table3[[#This Row],[ACTIVITY]],TAGS!$B:$R,17,FALSE)</f>
        <v>YES</v>
      </c>
      <c r="AU574" s="63"/>
      <c r="AV574" s="63"/>
      <c r="AW574" s="63"/>
      <c r="AX574" s="63"/>
      <c r="AY574" s="63"/>
      <c r="AZ574" s="63"/>
      <c r="BA574" s="63"/>
      <c r="BB574" s="63"/>
      <c r="BC574" s="63"/>
      <c r="BD574" s="63"/>
      <c r="BE574" s="63"/>
      <c r="BF574" s="63"/>
      <c r="BG574" s="63"/>
      <c r="BH574" s="63"/>
      <c r="BI574" s="63"/>
      <c r="BJ574" s="63"/>
      <c r="BK574" s="63"/>
      <c r="BL574" s="63"/>
      <c r="BM574" s="63"/>
    </row>
    <row r="575" spans="1:65">
      <c r="A575" s="54" t="str">
        <f>VLOOKUP(Table3[[#This Row],[OU]],OU!$A$15:$B$34,2,FALSE)</f>
        <v>RFOs</v>
      </c>
      <c r="B575" s="60" t="s">
        <v>436</v>
      </c>
      <c r="C575" s="60" t="s">
        <v>574</v>
      </c>
      <c r="D575" s="60"/>
      <c r="E575" s="60" t="s">
        <v>43</v>
      </c>
      <c r="F575" s="60"/>
      <c r="G57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57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575" s="61" t="e">
        <f>VLOOKUP(Table3[[#This Row],[PSGC]],DISTRICT!$D:$G,4,FALSE)</f>
        <v>#N/A</v>
      </c>
      <c r="J575" s="60" t="s">
        <v>581</v>
      </c>
      <c r="K575" s="51" t="str">
        <f>VLOOKUP(Table3[[#This Row],[SPECIFIC COMMODITY]],TAGS!$W$48:$X$53,2,FALSE)</f>
        <v>Sorghum</v>
      </c>
      <c r="L575" s="51" t="str">
        <f>VLOOKUP(Table3[[#This Row],[PREXC SUB-PROGRAM]],Table5[],2,FALSE)</f>
        <v>TECHNICAL AND SUPPORT SERVICES PROGRAM</v>
      </c>
      <c r="M575" s="51" t="str">
        <f>VLOOKUP(Table3[[#This Row],[COMMODITY PREXC SUB-PROGRAM]],TAGS!$U$54:$V$76,2,FALSE)</f>
        <v>PSS</v>
      </c>
      <c r="N575" s="60" t="s">
        <v>582</v>
      </c>
      <c r="O575" s="54" t="str">
        <f>VLOOKUP(Table3[[#This Row],[PI LEVEL 3]],'PI LEVEL'!A:C,3,FALSE)</f>
        <v>Seeds distributed</v>
      </c>
      <c r="P575" s="54" t="str">
        <f>VLOOKUP(Table3[[#This Row],[PI LEVEL 3]],Table53729[[Performance Indicator Level 3]:[Performance Indicator Level 1]],2,FALSE)</f>
        <v>Other Seeds distributed</v>
      </c>
      <c r="Q575" s="54" t="str">
        <f>VLOOKUP(Table3[[#This Row],[ACTIVITY]],TAGS!B:P,2,FALSE)</f>
        <v>Sorghum Seeds distributed</v>
      </c>
      <c r="R575" s="60" t="s">
        <v>55</v>
      </c>
      <c r="S575" s="54" t="str">
        <f>VLOOKUP(Table3[[#This Row],[ACTIVITY]],TAGS!$B:$P,4,FALSE)</f>
        <v>Sorghum Production Enhancement Project</v>
      </c>
      <c r="T575" s="54" t="str">
        <f>VLOOKUP(Table3[[#This Row],[ACTIVITY]],TAGS!$B:$P,5,FALSE)</f>
        <v>Sorghum Seed Assistance</v>
      </c>
      <c r="U575" s="54" t="str">
        <f>VLOOKUP(Table3[[#This Row],[ACTIVITY]],TAGS!$B:$P,6,FALSE)</f>
        <v>Sorghum seeds</v>
      </c>
      <c r="V575" s="54" t="str">
        <f>VLOOKUP(Table3[[#This Row],[ACTIVITY]],TAGS!$B:$P,7,FALSE)</f>
        <v>NO</v>
      </c>
      <c r="W575" s="54" t="str">
        <f>VLOOKUP(Table3[[#This Row],[ACTIVITY]],TAGS!$B:$P,8,FALSE)</f>
        <v>PAP</v>
      </c>
      <c r="X575" s="54" t="str">
        <f>VLOOKUP(Table3[[#This Row],[ACTIVITY]],TAGS!$B:$P,10,FALSE)</f>
        <v>PIP</v>
      </c>
      <c r="Y575" s="54" t="str">
        <f>VLOOKUP(Table3[[#This Row],[ACTIVITY]],TAGS!$B:$P,11,FALSE)</f>
        <v>PICS</v>
      </c>
      <c r="Z575" s="54" t="str">
        <f>VLOOKUP(Table3[[#This Row],[ACTIVITY]],TAGS!$B:$P,12,FALSE)</f>
        <v>Consolidation</v>
      </c>
      <c r="AA575" s="54" t="str">
        <f>VLOOKUP(Table3[[#This Row],[ACTIVITY]],TAGS!$B:$P,13,FALSE)</f>
        <v>1. Bayanihan Agri Cluster</v>
      </c>
      <c r="AB575" s="54" t="str">
        <f>VLOOKUP(Table3[[#This Row],[ACTIVITY]],TAGS!$B:$P,14,FALSE)</f>
        <v>EXPAND AND IMPROVE AVAILABLE AGRI-FISHERY AREAS FOR INCREASED PRODUCTION</v>
      </c>
      <c r="AC575" s="54" t="str">
        <f>VLOOKUP(Table3[[#This Row],[ACTIVITY]],TAGS!$B:$P,15,FALSE)</f>
        <v>Farm Inputs</v>
      </c>
      <c r="AD575" s="54" t="str">
        <f>VLOOKUP(Table3[[#This Row],[PI LEVEL 3]],'PI LEVEL'!$A:$G,7,FALSE)</f>
        <v>DA-Level Output</v>
      </c>
      <c r="AE575" s="60"/>
      <c r="AF575" s="54" t="str">
        <f>VLOOKUP(Table3[[#This Row],[ACTIVITY]],TAGS!$B:$P,3,FALSE)</f>
        <v>kilogram</v>
      </c>
      <c r="AG575" s="60"/>
      <c r="AH575" s="54" t="e">
        <f>VLOOKUP(Table3[[#This Row],[MONTH]],TAGS!$W$67:$Y$81,2,FALSE)</f>
        <v>#N/A</v>
      </c>
      <c r="AI575" s="54" t="e">
        <f>VLOOKUP(Table3[[#This Row],[MONTH]],TAGS!$W$67:$Y$81,3,FALSE)</f>
        <v>#N/A</v>
      </c>
      <c r="AJ575" s="54" t="e">
        <f>VLOOKUP(Table3[[#This Row],[MONTH]],TAGS!$W$67:$Z$81,4,FALSE)</f>
        <v>#N/A</v>
      </c>
      <c r="AK575" s="60">
        <v>20000</v>
      </c>
      <c r="AL575" s="54" t="str">
        <f>VLOOKUP(Table3[[#This Row],[ACTIVITY]],TAGS!$B:$R,16,FALSE)</f>
        <v>YES</v>
      </c>
      <c r="AM575" s="60">
        <f>Table3[[#This Row],[TARGET]]/20</f>
        <v>1000</v>
      </c>
      <c r="AN575" s="60">
        <v>1750</v>
      </c>
      <c r="AO575" s="57">
        <v>1000</v>
      </c>
      <c r="AP575" s="62"/>
      <c r="AQ575" s="62"/>
      <c r="AR575" s="62"/>
      <c r="AS575" s="62"/>
      <c r="AT575" s="63" t="str">
        <f>VLOOKUP(Table3[[#This Row],[ACTIVITY]],TAGS!$B:$R,17,FALSE)</f>
        <v>YES</v>
      </c>
      <c r="AU575" s="63"/>
      <c r="AV575" s="63"/>
      <c r="AW575" s="63"/>
      <c r="AX575" s="63"/>
      <c r="AY575" s="63"/>
      <c r="AZ575" s="63"/>
      <c r="BA575" s="63"/>
      <c r="BB575" s="63"/>
      <c r="BC575" s="63"/>
      <c r="BD575" s="63"/>
      <c r="BE575" s="63"/>
      <c r="BF575" s="63"/>
      <c r="BG575" s="63"/>
      <c r="BH575" s="63"/>
      <c r="BI575" s="63"/>
      <c r="BJ575" s="63"/>
      <c r="BK575" s="63"/>
      <c r="BL575" s="63"/>
      <c r="BM575" s="63"/>
    </row>
    <row r="576" spans="1:65">
      <c r="A576" s="54" t="str">
        <f>VLOOKUP(Table3[[#This Row],[OU]],OU!$A$15:$B$34,2,FALSE)</f>
        <v>RFOs</v>
      </c>
      <c r="B576" s="60" t="s">
        <v>436</v>
      </c>
      <c r="C576" s="60" t="s">
        <v>574</v>
      </c>
      <c r="D576" s="60"/>
      <c r="E576" s="60" t="s">
        <v>43</v>
      </c>
      <c r="F576" s="60"/>
      <c r="G57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57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576" s="61" t="e">
        <f>VLOOKUP(Table3[[#This Row],[PSGC]],DISTRICT!$D:$G,4,FALSE)</f>
        <v>#N/A</v>
      </c>
      <c r="J576" s="60" t="s">
        <v>583</v>
      </c>
      <c r="K576" s="51" t="str">
        <f>VLOOKUP(Table3[[#This Row],[SPECIFIC COMMODITY]],TAGS!$W$48:$X$53,2,FALSE)</f>
        <v>Soybean</v>
      </c>
      <c r="L576" s="51" t="str">
        <f>VLOOKUP(Table3[[#This Row],[PREXC SUB-PROGRAM]],Table5[],2,FALSE)</f>
        <v>TECHNICAL AND SUPPORT SERVICES PROGRAM</v>
      </c>
      <c r="M576" s="51" t="str">
        <f>VLOOKUP(Table3[[#This Row],[COMMODITY PREXC SUB-PROGRAM]],TAGS!$U$54:$V$76,2,FALSE)</f>
        <v>PSS</v>
      </c>
      <c r="N576" s="60" t="s">
        <v>584</v>
      </c>
      <c r="O576" s="54" t="str">
        <f>VLOOKUP(Table3[[#This Row],[PI LEVEL 3]],'PI LEVEL'!A:C,3,FALSE)</f>
        <v>Fertilizers and other soil ammendment distributed</v>
      </c>
      <c r="P576" s="54" t="str">
        <f>VLOOKUP(Table3[[#This Row],[PI LEVEL 3]],Table53729[[Performance Indicator Level 3]:[Performance Indicator Level 1]],2,FALSE)</f>
        <v>Fertilizers distributed</v>
      </c>
      <c r="Q576" s="54" t="str">
        <f>VLOOKUP(Table3[[#This Row],[ACTIVITY]],TAGS!B:P,2,FALSE)</f>
        <v>Inorganic fertilizer distributed</v>
      </c>
      <c r="R576" s="60" t="s">
        <v>61</v>
      </c>
      <c r="S576" s="54" t="str">
        <f>VLOOKUP(Table3[[#This Row],[ACTIVITY]],TAGS!$B:$P,4,FALSE)</f>
        <v>Soybean Production Enhancement Project</v>
      </c>
      <c r="T576" s="54" t="str">
        <f>VLOOKUP(Table3[[#This Row],[ACTIVITY]],TAGS!$B:$P,5,FALSE)</f>
        <v>Soil Fertilization</v>
      </c>
      <c r="U576" s="54" t="str">
        <f>VLOOKUP(Table3[[#This Row],[ACTIVITY]],TAGS!$B:$P,6,FALSE)</f>
        <v>Inorganic fertilizer</v>
      </c>
      <c r="V576" s="54" t="str">
        <f>VLOOKUP(Table3[[#This Row],[ACTIVITY]],TAGS!$B:$P,7,FALSE)</f>
        <v>NO</v>
      </c>
      <c r="W576" s="54" t="str">
        <f>VLOOKUP(Table3[[#This Row],[ACTIVITY]],TAGS!$B:$P,8,FALSE)</f>
        <v>PAP</v>
      </c>
      <c r="X576" s="54" t="str">
        <f>VLOOKUP(Table3[[#This Row],[ACTIVITY]],TAGS!$B:$P,10,FALSE)</f>
        <v>PIP</v>
      </c>
      <c r="Y576" s="54" t="str">
        <f>VLOOKUP(Table3[[#This Row],[ACTIVITY]],TAGS!$B:$P,11,FALSE)</f>
        <v>PICS</v>
      </c>
      <c r="Z576" s="54" t="str">
        <f>VLOOKUP(Table3[[#This Row],[ACTIVITY]],TAGS!$B:$P,12,FALSE)</f>
        <v>Consolidation</v>
      </c>
      <c r="AA576" s="54" t="str">
        <f>VLOOKUP(Table3[[#This Row],[ACTIVITY]],TAGS!$B:$P,13,FALSE)</f>
        <v>1. Bayanihan Agri Cluster</v>
      </c>
      <c r="AB576" s="54" t="str">
        <f>VLOOKUP(Table3[[#This Row],[ACTIVITY]],TAGS!$B:$P,14,FALSE)</f>
        <v>EXPAND AND IMPROVE AVAILABLE AGRI-FISHERY AREAS FOR INCREASED PRODUCTION</v>
      </c>
      <c r="AC576" s="54" t="str">
        <f>VLOOKUP(Table3[[#This Row],[ACTIVITY]],TAGS!$B:$P,15,FALSE)</f>
        <v>Farm Inputs</v>
      </c>
      <c r="AD576" s="54" t="str">
        <f>VLOOKUP(Table3[[#This Row],[PI LEVEL 3]],'PI LEVEL'!$A:$G,7,FALSE)</f>
        <v>DA-Level Output</v>
      </c>
      <c r="AE576" s="60"/>
      <c r="AF576" s="54" t="str">
        <f>VLOOKUP(Table3[[#This Row],[ACTIVITY]],TAGS!$B:$P,3,FALSE)</f>
        <v>kilogram</v>
      </c>
      <c r="AG576" s="60"/>
      <c r="AH576" s="54" t="e">
        <f>VLOOKUP(Table3[[#This Row],[MONTH]],TAGS!$W$67:$Y$81,2,FALSE)</f>
        <v>#N/A</v>
      </c>
      <c r="AI576" s="54" t="e">
        <f>VLOOKUP(Table3[[#This Row],[MONTH]],TAGS!$W$67:$Y$81,3,FALSE)</f>
        <v>#N/A</v>
      </c>
      <c r="AJ576" s="54" t="e">
        <f>VLOOKUP(Table3[[#This Row],[MONTH]],TAGS!$W$67:$Z$81,4,FALSE)</f>
        <v>#N/A</v>
      </c>
      <c r="AK576" s="60">
        <v>2500</v>
      </c>
      <c r="AL576" s="54" t="str">
        <f>VLOOKUP(Table3[[#This Row],[ACTIVITY]],TAGS!$B:$R,16,FALSE)</f>
        <v>YES</v>
      </c>
      <c r="AM576" s="60">
        <f>Table3[[#This Row],[TARGET]]/20</f>
        <v>125</v>
      </c>
      <c r="AN576" s="60">
        <v>112</v>
      </c>
      <c r="AO576" s="57">
        <v>25</v>
      </c>
      <c r="AP576" s="62"/>
      <c r="AQ576" s="62"/>
      <c r="AR576" s="62"/>
      <c r="AS576" s="62"/>
      <c r="AT576" s="63" t="str">
        <f>VLOOKUP(Table3[[#This Row],[ACTIVITY]],TAGS!$B:$R,17,FALSE)</f>
        <v>YES</v>
      </c>
      <c r="AU576" s="63"/>
      <c r="AV576" s="63"/>
      <c r="AW576" s="63"/>
      <c r="AX576" s="63"/>
      <c r="AY576" s="63"/>
      <c r="AZ576" s="63"/>
      <c r="BA576" s="63"/>
      <c r="BB576" s="63"/>
      <c r="BC576" s="63"/>
      <c r="BD576" s="63"/>
      <c r="BE576" s="63"/>
      <c r="BF576" s="63"/>
      <c r="BG576" s="63"/>
      <c r="BH576" s="63"/>
      <c r="BI576" s="63"/>
      <c r="BJ576" s="63"/>
      <c r="BK576" s="63"/>
      <c r="BL576" s="63"/>
      <c r="BM576" s="63"/>
    </row>
    <row r="577" spans="1:65">
      <c r="A577" s="54" t="str">
        <f>VLOOKUP(Table3[[#This Row],[OU]],OU!$A$15:$B$34,2,FALSE)</f>
        <v>RFOs</v>
      </c>
      <c r="B577" s="60" t="s">
        <v>436</v>
      </c>
      <c r="C577" s="60" t="s">
        <v>574</v>
      </c>
      <c r="D577" s="60"/>
      <c r="E577" s="60" t="s">
        <v>43</v>
      </c>
      <c r="F577" s="60"/>
      <c r="G57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57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577" s="61" t="e">
        <f>VLOOKUP(Table3[[#This Row],[PSGC]],DISTRICT!$D:$G,4,FALSE)</f>
        <v>#N/A</v>
      </c>
      <c r="J577" s="60" t="s">
        <v>583</v>
      </c>
      <c r="K577" s="51" t="str">
        <f>VLOOKUP(Table3[[#This Row],[SPECIFIC COMMODITY]],TAGS!$W$48:$X$53,2,FALSE)</f>
        <v>Soybean</v>
      </c>
      <c r="L577" s="51" t="str">
        <f>VLOOKUP(Table3[[#This Row],[PREXC SUB-PROGRAM]],Table5[],2,FALSE)</f>
        <v>TECHNICAL AND SUPPORT SERVICES PROGRAM</v>
      </c>
      <c r="M577" s="51" t="str">
        <f>VLOOKUP(Table3[[#This Row],[COMMODITY PREXC SUB-PROGRAM]],TAGS!$U$54:$V$76,2,FALSE)</f>
        <v>PSS</v>
      </c>
      <c r="N577" s="60" t="s">
        <v>584</v>
      </c>
      <c r="O577" s="54" t="str">
        <f>VLOOKUP(Table3[[#This Row],[PI LEVEL 3]],'PI LEVEL'!A:C,3,FALSE)</f>
        <v>Seeds distributed</v>
      </c>
      <c r="P577" s="54" t="str">
        <f>VLOOKUP(Table3[[#This Row],[PI LEVEL 3]],Table53729[[Performance Indicator Level 3]:[Performance Indicator Level 1]],2,FALSE)</f>
        <v>Vegetable Seeds distributed</v>
      </c>
      <c r="Q577" s="54" t="str">
        <f>VLOOKUP(Table3[[#This Row],[ACTIVITY]],TAGS!B:P,2,FALSE)</f>
        <v>Soybean Seeds distributed</v>
      </c>
      <c r="R577" s="47" t="s">
        <v>59</v>
      </c>
      <c r="S577" s="54" t="str">
        <f>VLOOKUP(Table3[[#This Row],[ACTIVITY]],TAGS!$B:$P,4,FALSE)</f>
        <v>Soybean Production Enhancement Project</v>
      </c>
      <c r="T577" s="54" t="str">
        <f>VLOOKUP(Table3[[#This Row],[ACTIVITY]],TAGS!$B:$P,5,FALSE)</f>
        <v>Soybean Seed Assistance</v>
      </c>
      <c r="U577" s="54" t="str">
        <f>VLOOKUP(Table3[[#This Row],[ACTIVITY]],TAGS!$B:$P,6,FALSE)</f>
        <v>Soybean seeds</v>
      </c>
      <c r="V577" s="54" t="str">
        <f>VLOOKUP(Table3[[#This Row],[ACTIVITY]],TAGS!$B:$P,7,FALSE)</f>
        <v>NO</v>
      </c>
      <c r="W577" s="54" t="str">
        <f>VLOOKUP(Table3[[#This Row],[ACTIVITY]],TAGS!$B:$P,8,FALSE)</f>
        <v>PAP</v>
      </c>
      <c r="X577" s="54" t="str">
        <f>VLOOKUP(Table3[[#This Row],[ACTIVITY]],TAGS!$B:$P,10,FALSE)</f>
        <v>PIP</v>
      </c>
      <c r="Y577" s="54" t="str">
        <f>VLOOKUP(Table3[[#This Row],[ACTIVITY]],TAGS!$B:$P,11,FALSE)</f>
        <v>PICS</v>
      </c>
      <c r="Z577" s="54" t="str">
        <f>VLOOKUP(Table3[[#This Row],[ACTIVITY]],TAGS!$B:$P,12,FALSE)</f>
        <v>Consolidation</v>
      </c>
      <c r="AA577" s="54" t="str">
        <f>VLOOKUP(Table3[[#This Row],[ACTIVITY]],TAGS!$B:$P,13,FALSE)</f>
        <v>1. Bayanihan Agri Cluster</v>
      </c>
      <c r="AB577" s="54" t="str">
        <f>VLOOKUP(Table3[[#This Row],[ACTIVITY]],TAGS!$B:$P,14,FALSE)</f>
        <v>EXPAND AND IMPROVE AVAILABLE AGRI-FISHERY AREAS FOR INCREASED PRODUCTION</v>
      </c>
      <c r="AC577" s="54" t="str">
        <f>VLOOKUP(Table3[[#This Row],[ACTIVITY]],TAGS!$B:$P,15,FALSE)</f>
        <v>Farm Inputs</v>
      </c>
      <c r="AD577" s="54" t="str">
        <f>VLOOKUP(Table3[[#This Row],[PI LEVEL 3]],'PI LEVEL'!$A:$G,7,FALSE)</f>
        <v>DA-Level Output</v>
      </c>
      <c r="AE577" s="60"/>
      <c r="AF577" s="54" t="str">
        <f>VLOOKUP(Table3[[#This Row],[ACTIVITY]],TAGS!$B:$P,3,FALSE)</f>
        <v>kilogram</v>
      </c>
      <c r="AG577" s="60"/>
      <c r="AH577" s="54" t="e">
        <f>VLOOKUP(Table3[[#This Row],[MONTH]],TAGS!$W$67:$Y$81,2,FALSE)</f>
        <v>#N/A</v>
      </c>
      <c r="AI577" s="54" t="e">
        <f>VLOOKUP(Table3[[#This Row],[MONTH]],TAGS!$W$67:$Y$81,3,FALSE)</f>
        <v>#N/A</v>
      </c>
      <c r="AJ577" s="54" t="e">
        <f>VLOOKUP(Table3[[#This Row],[MONTH]],TAGS!$W$67:$Z$81,4,FALSE)</f>
        <v>#N/A</v>
      </c>
      <c r="AK577" s="60">
        <v>1000</v>
      </c>
      <c r="AL577" s="54" t="str">
        <f>VLOOKUP(Table3[[#This Row],[ACTIVITY]],TAGS!$B:$R,16,FALSE)</f>
        <v>YES</v>
      </c>
      <c r="AM577" s="60">
        <f>Table3[[#This Row],[TARGET]]/20</f>
        <v>50</v>
      </c>
      <c r="AN577" s="60"/>
      <c r="AO577" s="57">
        <v>25</v>
      </c>
      <c r="AP577" s="62"/>
      <c r="AQ577" s="62"/>
      <c r="AR577" s="62"/>
      <c r="AS577" s="62"/>
      <c r="AT577" s="63" t="str">
        <f>VLOOKUP(Table3[[#This Row],[ACTIVITY]],TAGS!$B:$R,17,FALSE)</f>
        <v>YES</v>
      </c>
      <c r="AU577" s="63"/>
      <c r="AV577" s="63"/>
      <c r="AW577" s="63"/>
      <c r="AX577" s="63"/>
      <c r="AY577" s="63"/>
      <c r="AZ577" s="63"/>
      <c r="BA577" s="63"/>
      <c r="BB577" s="63"/>
      <c r="BC577" s="63"/>
      <c r="BD577" s="63"/>
      <c r="BE577" s="63"/>
      <c r="BF577" s="63"/>
      <c r="BG577" s="63"/>
      <c r="BH577" s="63"/>
      <c r="BI577" s="63"/>
      <c r="BJ577" s="63"/>
      <c r="BK577" s="63"/>
      <c r="BL577" s="63"/>
      <c r="BM577" s="63"/>
    </row>
    <row r="578" spans="1:65">
      <c r="A578" s="54" t="str">
        <f>VLOOKUP(Table3[[#This Row],[OU]],OU!$A$15:$B$34,2,FALSE)</f>
        <v>RFOs</v>
      </c>
      <c r="B578" s="60" t="s">
        <v>436</v>
      </c>
      <c r="C578" s="60" t="s">
        <v>574</v>
      </c>
      <c r="D578" s="60"/>
      <c r="E578" s="60" t="s">
        <v>78</v>
      </c>
      <c r="F578" s="60"/>
      <c r="G57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57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578" s="61" t="e">
        <f>VLOOKUP(Table3[[#This Row],[PSGC]],DISTRICT!$D:$G,4,FALSE)</f>
        <v>#N/A</v>
      </c>
      <c r="J578" s="60" t="s">
        <v>583</v>
      </c>
      <c r="K578" s="51" t="str">
        <f>VLOOKUP(Table3[[#This Row],[SPECIFIC COMMODITY]],TAGS!$W$48:$X$53,2,FALSE)</f>
        <v>Soybean</v>
      </c>
      <c r="L578" s="51" t="str">
        <f>VLOOKUP(Table3[[#This Row],[PREXC SUB-PROGRAM]],Table5[],2,FALSE)</f>
        <v>TECHNICAL AND SUPPORT SERVICES PROGRAM</v>
      </c>
      <c r="M578" s="51" t="str">
        <f>VLOOKUP(Table3[[#This Row],[COMMODITY PREXC SUB-PROGRAM]],TAGS!$U$54:$V$76,2,FALSE)</f>
        <v>PSS</v>
      </c>
      <c r="N578" s="60" t="s">
        <v>584</v>
      </c>
      <c r="O578" s="54" t="str">
        <f>VLOOKUP(Table3[[#This Row],[PI LEVEL 3]],'PI LEVEL'!A:C,3,FALSE)</f>
        <v>Seeds distributed</v>
      </c>
      <c r="P578" s="54" t="str">
        <f>VLOOKUP(Table3[[#This Row],[PI LEVEL 3]],Table53729[[Performance Indicator Level 3]:[Performance Indicator Level 1]],2,FALSE)</f>
        <v>Vegetable Seeds distributed</v>
      </c>
      <c r="Q578" s="54" t="str">
        <f>VLOOKUP(Table3[[#This Row],[ACTIVITY]],TAGS!B:P,2,FALSE)</f>
        <v>Soybean Seeds distributed</v>
      </c>
      <c r="R578" s="47" t="s">
        <v>59</v>
      </c>
      <c r="S578" s="54" t="str">
        <f>VLOOKUP(Table3[[#This Row],[ACTIVITY]],TAGS!$B:$P,4,FALSE)</f>
        <v>Soybean Production Enhancement Project</v>
      </c>
      <c r="T578" s="54" t="str">
        <f>VLOOKUP(Table3[[#This Row],[ACTIVITY]],TAGS!$B:$P,5,FALSE)</f>
        <v>Soybean Seed Assistance</v>
      </c>
      <c r="U578" s="54" t="str">
        <f>VLOOKUP(Table3[[#This Row],[ACTIVITY]],TAGS!$B:$P,6,FALSE)</f>
        <v>Soybean seeds</v>
      </c>
      <c r="V578" s="54" t="str">
        <f>VLOOKUP(Table3[[#This Row],[ACTIVITY]],TAGS!$B:$P,7,FALSE)</f>
        <v>NO</v>
      </c>
      <c r="W578" s="54" t="str">
        <f>VLOOKUP(Table3[[#This Row],[ACTIVITY]],TAGS!$B:$P,8,FALSE)</f>
        <v>PAP</v>
      </c>
      <c r="X578" s="54" t="str">
        <f>VLOOKUP(Table3[[#This Row],[ACTIVITY]],TAGS!$B:$P,10,FALSE)</f>
        <v>PIP</v>
      </c>
      <c r="Y578" s="54" t="str">
        <f>VLOOKUP(Table3[[#This Row],[ACTIVITY]],TAGS!$B:$P,11,FALSE)</f>
        <v>PICS</v>
      </c>
      <c r="Z578" s="54" t="str">
        <f>VLOOKUP(Table3[[#This Row],[ACTIVITY]],TAGS!$B:$P,12,FALSE)</f>
        <v>Consolidation</v>
      </c>
      <c r="AA578" s="54" t="str">
        <f>VLOOKUP(Table3[[#This Row],[ACTIVITY]],TAGS!$B:$P,13,FALSE)</f>
        <v>1. Bayanihan Agri Cluster</v>
      </c>
      <c r="AB578" s="54" t="str">
        <f>VLOOKUP(Table3[[#This Row],[ACTIVITY]],TAGS!$B:$P,14,FALSE)</f>
        <v>EXPAND AND IMPROVE AVAILABLE AGRI-FISHERY AREAS FOR INCREASED PRODUCTION</v>
      </c>
      <c r="AC578" s="54" t="str">
        <f>VLOOKUP(Table3[[#This Row],[ACTIVITY]],TAGS!$B:$P,15,FALSE)</f>
        <v>Farm Inputs</v>
      </c>
      <c r="AD578" s="54" t="str">
        <f>VLOOKUP(Table3[[#This Row],[PI LEVEL 3]],'PI LEVEL'!$A:$G,7,FALSE)</f>
        <v>DA-Level Output</v>
      </c>
      <c r="AE578" s="60"/>
      <c r="AF578" s="54" t="str">
        <f>VLOOKUP(Table3[[#This Row],[ACTIVITY]],TAGS!$B:$P,3,FALSE)</f>
        <v>kilogram</v>
      </c>
      <c r="AG578" s="60"/>
      <c r="AH578" s="54" t="e">
        <f>VLOOKUP(Table3[[#This Row],[MONTH]],TAGS!$W$67:$Y$81,2,FALSE)</f>
        <v>#N/A</v>
      </c>
      <c r="AI578" s="54" t="e">
        <f>VLOOKUP(Table3[[#This Row],[MONTH]],TAGS!$W$67:$Y$81,3,FALSE)</f>
        <v>#N/A</v>
      </c>
      <c r="AJ578" s="54" t="e">
        <f>VLOOKUP(Table3[[#This Row],[MONTH]],TAGS!$W$67:$Z$81,4,FALSE)</f>
        <v>#N/A</v>
      </c>
      <c r="AK578" s="60"/>
      <c r="AL578" s="54" t="str">
        <f>VLOOKUP(Table3[[#This Row],[ACTIVITY]],TAGS!$B:$R,16,FALSE)</f>
        <v>YES</v>
      </c>
      <c r="AM578" s="60">
        <f>Table3[[#This Row],[TARGET]]/20</f>
        <v>0</v>
      </c>
      <c r="AN578" s="60">
        <v>50</v>
      </c>
      <c r="AO578" s="57"/>
      <c r="AP578" s="62"/>
      <c r="AQ578" s="62"/>
      <c r="AR578" s="62"/>
      <c r="AS578" s="62"/>
      <c r="AT578" s="63" t="str">
        <f>VLOOKUP(Table3[[#This Row],[ACTIVITY]],TAGS!$B:$R,17,FALSE)</f>
        <v>YES</v>
      </c>
      <c r="AU578" s="63"/>
      <c r="AV578" s="63"/>
      <c r="AW578" s="63"/>
      <c r="AX578" s="63"/>
      <c r="AY578" s="63"/>
      <c r="AZ578" s="63"/>
      <c r="BA578" s="63"/>
      <c r="BB578" s="63"/>
      <c r="BC578" s="63"/>
      <c r="BD578" s="63"/>
      <c r="BE578" s="63"/>
      <c r="BF578" s="63"/>
      <c r="BG578" s="63"/>
      <c r="BH578" s="63"/>
      <c r="BI578" s="63"/>
      <c r="BJ578" s="63"/>
      <c r="BK578" s="63"/>
      <c r="BL578" s="63"/>
      <c r="BM578" s="63"/>
    </row>
    <row r="579" spans="1:65">
      <c r="A579" s="54" t="str">
        <f>VLOOKUP(Table3[[#This Row],[OU]],OU!$A$15:$B$34,2,FALSE)</f>
        <v>RFOs</v>
      </c>
      <c r="B579" s="60" t="s">
        <v>436</v>
      </c>
      <c r="C579" s="60" t="s">
        <v>574</v>
      </c>
      <c r="D579" s="60"/>
      <c r="E579" s="60" t="s">
        <v>22</v>
      </c>
      <c r="F579" s="60"/>
      <c r="G57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57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579" s="61" t="e">
        <f>VLOOKUP(Table3[[#This Row],[PSGC]],DISTRICT!$D:$G,4,FALSE)</f>
        <v>#N/A</v>
      </c>
      <c r="J579" s="60" t="s">
        <v>575</v>
      </c>
      <c r="K579" s="51" t="str">
        <f>VLOOKUP(Table3[[#This Row],[SPECIFIC COMMODITY]],TAGS!$W$48:$X$53,2,FALSE)</f>
        <v>Corn</v>
      </c>
      <c r="L579" s="51" t="str">
        <f>VLOOKUP(Table3[[#This Row],[PREXC SUB-PROGRAM]],Table5[],2,FALSE)</f>
        <v>TECHNICAL AND SUPPORT SERVICES PROGRAM</v>
      </c>
      <c r="M579" s="51" t="str">
        <f>VLOOKUP(Table3[[#This Row],[COMMODITY PREXC SUB-PROGRAM]],TAGS!$U$54:$V$76,2,FALSE)</f>
        <v>PSS</v>
      </c>
      <c r="N579" s="60" t="s">
        <v>576</v>
      </c>
      <c r="O579" s="54" t="str">
        <f>VLOOKUP(Table3[[#This Row],[PI LEVEL 3]],'PI LEVEL'!A:C,3,FALSE)</f>
        <v>Seeds distributed</v>
      </c>
      <c r="P579" s="54" t="str">
        <f>VLOOKUP(Table3[[#This Row],[PI LEVEL 3]],Table53729[[Performance Indicator Level 3]:[Performance Indicator Level 1]],2,FALSE)</f>
        <v>Corn Seeds distributed</v>
      </c>
      <c r="Q579" s="54" t="str">
        <f>VLOOKUP(Table3[[#This Row],[ACTIVITY]],TAGS!B:P,2,FALSE)</f>
        <v>White Corn Seeds distributed</v>
      </c>
      <c r="R579" s="60" t="s">
        <v>24</v>
      </c>
      <c r="S579" s="54" t="str">
        <f>VLOOKUP(Table3[[#This Row],[ACTIVITY]],TAGS!$B:$P,4,FALSE)</f>
        <v>OPV Seed Production</v>
      </c>
      <c r="T579" s="54" t="str">
        <f>VLOOKUP(Table3[[#This Row],[ACTIVITY]],TAGS!$B:$P,5,FALSE)</f>
        <v>OPV Seed Production</v>
      </c>
      <c r="U579" s="54" t="str">
        <f>VLOOKUP(Table3[[#This Row],[ACTIVITY]],TAGS!$B:$P,6,FALSE)</f>
        <v>White corn seeds</v>
      </c>
      <c r="V579" s="54" t="str">
        <f>VLOOKUP(Table3[[#This Row],[ACTIVITY]],TAGS!$B:$P,7,FALSE)</f>
        <v>NO</v>
      </c>
      <c r="W579" s="54" t="str">
        <f>VLOOKUP(Table3[[#This Row],[ACTIVITY]],TAGS!$B:$P,8,FALSE)</f>
        <v>PAP</v>
      </c>
      <c r="X579" s="54" t="str">
        <f>VLOOKUP(Table3[[#This Row],[ACTIVITY]],TAGS!$B:$P,10,FALSE)</f>
        <v>PIP</v>
      </c>
      <c r="Y579" s="54" t="str">
        <f>VLOOKUP(Table3[[#This Row],[ACTIVITY]],TAGS!$B:$P,11,FALSE)</f>
        <v>PICS</v>
      </c>
      <c r="Z579" s="54" t="str">
        <f>VLOOKUP(Table3[[#This Row],[ACTIVITY]],TAGS!$B:$P,12,FALSE)</f>
        <v>Consolidation</v>
      </c>
      <c r="AA579" s="54" t="str">
        <f>VLOOKUP(Table3[[#This Row],[ACTIVITY]],TAGS!$B:$P,13,FALSE)</f>
        <v>1. Bayanihan Agri Cluster</v>
      </c>
      <c r="AB579" s="54" t="str">
        <f>VLOOKUP(Table3[[#This Row],[ACTIVITY]],TAGS!$B:$P,14,FALSE)</f>
        <v>EXPAND AND IMPROVE AVAILABLE AGRI-FISHERY AREAS FOR INCREASED PRODUCTION</v>
      </c>
      <c r="AC579" s="54" t="str">
        <f>VLOOKUP(Table3[[#This Row],[ACTIVITY]],TAGS!$B:$P,15,FALSE)</f>
        <v>Farm Inputs</v>
      </c>
      <c r="AD579" s="54" t="str">
        <f>VLOOKUP(Table3[[#This Row],[PI LEVEL 3]],'PI LEVEL'!$A:$G,7,FALSE)</f>
        <v>DA-Level Output</v>
      </c>
      <c r="AE579" s="60"/>
      <c r="AF579" s="54" t="str">
        <f>VLOOKUP(Table3[[#This Row],[ACTIVITY]],TAGS!$B:$P,3,FALSE)</f>
        <v>kilogram</v>
      </c>
      <c r="AG579" s="60"/>
      <c r="AH579" s="54" t="e">
        <f>VLOOKUP(Table3[[#This Row],[MONTH]],TAGS!$W$67:$Y$81,2,FALSE)</f>
        <v>#N/A</v>
      </c>
      <c r="AI579" s="54" t="e">
        <f>VLOOKUP(Table3[[#This Row],[MONTH]],TAGS!$W$67:$Y$81,3,FALSE)</f>
        <v>#N/A</v>
      </c>
      <c r="AJ579" s="54" t="e">
        <f>VLOOKUP(Table3[[#This Row],[MONTH]],TAGS!$W$67:$Z$81,4,FALSE)</f>
        <v>#N/A</v>
      </c>
      <c r="AK579" s="60">
        <v>6000</v>
      </c>
      <c r="AL579" s="54" t="str">
        <f>VLOOKUP(Table3[[#This Row],[ACTIVITY]],TAGS!$B:$R,16,FALSE)</f>
        <v>YES</v>
      </c>
      <c r="AM579" s="60">
        <f>Table3[[#This Row],[TARGET]]/20</f>
        <v>300</v>
      </c>
      <c r="AN579" s="60"/>
      <c r="AO579" s="57"/>
      <c r="AP579" s="62"/>
      <c r="AQ579" s="62"/>
      <c r="AR579" s="62"/>
      <c r="AS579" s="62">
        <v>10</v>
      </c>
      <c r="AT579" s="63" t="str">
        <f>VLOOKUP(Table3[[#This Row],[ACTIVITY]],TAGS!$B:$R,17,FALSE)</f>
        <v>YES</v>
      </c>
      <c r="AU579" s="63"/>
      <c r="AV579" s="63"/>
      <c r="AW579" s="63"/>
      <c r="AX579" s="63"/>
      <c r="AY579" s="63"/>
      <c r="AZ579" s="63"/>
      <c r="BA579" s="63"/>
      <c r="BB579" s="63"/>
      <c r="BC579" s="63"/>
      <c r="BD579" s="63"/>
      <c r="BE579" s="63"/>
      <c r="BF579" s="63"/>
      <c r="BG579" s="63"/>
      <c r="BH579" s="63"/>
      <c r="BI579" s="63"/>
      <c r="BJ579" s="63"/>
      <c r="BK579" s="63"/>
      <c r="BL579" s="63"/>
      <c r="BM579" s="63"/>
    </row>
    <row r="580" spans="1:65">
      <c r="A580" s="54" t="str">
        <f>VLOOKUP(Table3[[#This Row],[OU]],OU!$A$15:$B$34,2,FALSE)</f>
        <v>RFOs</v>
      </c>
      <c r="B580" s="60" t="s">
        <v>436</v>
      </c>
      <c r="C580" s="60" t="s">
        <v>574</v>
      </c>
      <c r="D580" s="60"/>
      <c r="E580" s="60" t="s">
        <v>43</v>
      </c>
      <c r="F580" s="60"/>
      <c r="G58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58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580" s="61" t="e">
        <f>VLOOKUP(Table3[[#This Row],[PSGC]],DISTRICT!$D:$G,4,FALSE)</f>
        <v>#N/A</v>
      </c>
      <c r="J580" s="60" t="s">
        <v>575</v>
      </c>
      <c r="K580" s="51" t="str">
        <f>VLOOKUP(Table3[[#This Row],[SPECIFIC COMMODITY]],TAGS!$W$48:$X$53,2,FALSE)</f>
        <v>Corn</v>
      </c>
      <c r="L580" s="51" t="str">
        <f>VLOOKUP(Table3[[#This Row],[PREXC SUB-PROGRAM]],Table5[],2,FALSE)</f>
        <v>TECHNICAL AND SUPPORT SERVICES PROGRAM</v>
      </c>
      <c r="M580" s="51" t="str">
        <f>VLOOKUP(Table3[[#This Row],[COMMODITY PREXC SUB-PROGRAM]],TAGS!$U$54:$V$76,2,FALSE)</f>
        <v>PSS</v>
      </c>
      <c r="N580" s="60" t="s">
        <v>576</v>
      </c>
      <c r="O580" s="54" t="str">
        <f>VLOOKUP(Table3[[#This Row],[PI LEVEL 3]],'PI LEVEL'!A:C,3,FALSE)</f>
        <v>Seeds distributed</v>
      </c>
      <c r="P580" s="54" t="str">
        <f>VLOOKUP(Table3[[#This Row],[PI LEVEL 3]],Table53729[[Performance Indicator Level 3]:[Performance Indicator Level 1]],2,FALSE)</f>
        <v>Corn Seeds distributed</v>
      </c>
      <c r="Q580" s="54" t="str">
        <f>VLOOKUP(Table3[[#This Row],[ACTIVITY]],TAGS!B:P,2,FALSE)</f>
        <v>White Corn Seeds distributed</v>
      </c>
      <c r="R580" s="60" t="s">
        <v>24</v>
      </c>
      <c r="S580" s="54" t="str">
        <f>VLOOKUP(Table3[[#This Row],[ACTIVITY]],TAGS!$B:$P,4,FALSE)</f>
        <v>OPV Seed Production</v>
      </c>
      <c r="T580" s="54" t="str">
        <f>VLOOKUP(Table3[[#This Row],[ACTIVITY]],TAGS!$B:$P,5,FALSE)</f>
        <v>OPV Seed Production</v>
      </c>
      <c r="U580" s="54" t="str">
        <f>VLOOKUP(Table3[[#This Row],[ACTIVITY]],TAGS!$B:$P,6,FALSE)</f>
        <v>White corn seeds</v>
      </c>
      <c r="V580" s="54" t="str">
        <f>VLOOKUP(Table3[[#This Row],[ACTIVITY]],TAGS!$B:$P,7,FALSE)</f>
        <v>NO</v>
      </c>
      <c r="W580" s="54" t="str">
        <f>VLOOKUP(Table3[[#This Row],[ACTIVITY]],TAGS!$B:$P,8,FALSE)</f>
        <v>PAP</v>
      </c>
      <c r="X580" s="54" t="str">
        <f>VLOOKUP(Table3[[#This Row],[ACTIVITY]],TAGS!$B:$P,10,FALSE)</f>
        <v>PIP</v>
      </c>
      <c r="Y580" s="54" t="str">
        <f>VLOOKUP(Table3[[#This Row],[ACTIVITY]],TAGS!$B:$P,11,FALSE)</f>
        <v>PICS</v>
      </c>
      <c r="Z580" s="54" t="str">
        <f>VLOOKUP(Table3[[#This Row],[ACTIVITY]],TAGS!$B:$P,12,FALSE)</f>
        <v>Consolidation</v>
      </c>
      <c r="AA580" s="54" t="str">
        <f>VLOOKUP(Table3[[#This Row],[ACTIVITY]],TAGS!$B:$P,13,FALSE)</f>
        <v>1. Bayanihan Agri Cluster</v>
      </c>
      <c r="AB580" s="54" t="str">
        <f>VLOOKUP(Table3[[#This Row],[ACTIVITY]],TAGS!$B:$P,14,FALSE)</f>
        <v>EXPAND AND IMPROVE AVAILABLE AGRI-FISHERY AREAS FOR INCREASED PRODUCTION</v>
      </c>
      <c r="AC580" s="54" t="str">
        <f>VLOOKUP(Table3[[#This Row],[ACTIVITY]],TAGS!$B:$P,15,FALSE)</f>
        <v>Farm Inputs</v>
      </c>
      <c r="AD580" s="54" t="str">
        <f>VLOOKUP(Table3[[#This Row],[PI LEVEL 3]],'PI LEVEL'!$A:$G,7,FALSE)</f>
        <v>DA-Level Output</v>
      </c>
      <c r="AE580" s="60"/>
      <c r="AF580" s="54" t="str">
        <f>VLOOKUP(Table3[[#This Row],[ACTIVITY]],TAGS!$B:$P,3,FALSE)</f>
        <v>kilogram</v>
      </c>
      <c r="AG580" s="60"/>
      <c r="AH580" s="54" t="e">
        <f>VLOOKUP(Table3[[#This Row],[MONTH]],TAGS!$W$67:$Y$81,2,FALSE)</f>
        <v>#N/A</v>
      </c>
      <c r="AI580" s="54" t="e">
        <f>VLOOKUP(Table3[[#This Row],[MONTH]],TAGS!$W$67:$Y$81,3,FALSE)</f>
        <v>#N/A</v>
      </c>
      <c r="AJ580" s="54" t="e">
        <f>VLOOKUP(Table3[[#This Row],[MONTH]],TAGS!$W$67:$Z$81,4,FALSE)</f>
        <v>#N/A</v>
      </c>
      <c r="AK580" s="60">
        <v>8000</v>
      </c>
      <c r="AL580" s="54" t="str">
        <f>VLOOKUP(Table3[[#This Row],[ACTIVITY]],TAGS!$B:$R,16,FALSE)</f>
        <v>YES</v>
      </c>
      <c r="AM580" s="60">
        <f>Table3[[#This Row],[TARGET]]/20</f>
        <v>400</v>
      </c>
      <c r="AN580" s="60"/>
      <c r="AO580" s="57"/>
      <c r="AP580" s="62"/>
      <c r="AQ580" s="62"/>
      <c r="AR580" s="62"/>
      <c r="AS580" s="62">
        <v>17</v>
      </c>
      <c r="AT580" s="63" t="str">
        <f>VLOOKUP(Table3[[#This Row],[ACTIVITY]],TAGS!$B:$R,17,FALSE)</f>
        <v>YES</v>
      </c>
      <c r="AU580" s="63"/>
      <c r="AV580" s="63"/>
      <c r="AW580" s="63"/>
      <c r="AX580" s="63"/>
      <c r="AY580" s="63"/>
      <c r="AZ580" s="63"/>
      <c r="BA580" s="63"/>
      <c r="BB580" s="63"/>
      <c r="BC580" s="63"/>
      <c r="BD580" s="63"/>
      <c r="BE580" s="63"/>
      <c r="BF580" s="63"/>
      <c r="BG580" s="63"/>
      <c r="BH580" s="63"/>
      <c r="BI580" s="63"/>
      <c r="BJ580" s="63"/>
      <c r="BK580" s="63"/>
      <c r="BL580" s="63"/>
      <c r="BM580" s="63"/>
    </row>
    <row r="581" spans="1:65">
      <c r="A581" s="54" t="str">
        <f>VLOOKUP(Table3[[#This Row],[OU]],OU!$A$15:$B$34,2,FALSE)</f>
        <v>RFOs</v>
      </c>
      <c r="B581" s="60" t="s">
        <v>436</v>
      </c>
      <c r="C581" s="60" t="s">
        <v>574</v>
      </c>
      <c r="D581" s="60"/>
      <c r="E581" s="60" t="s">
        <v>63</v>
      </c>
      <c r="F581" s="60"/>
      <c r="G58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Nueva_Vizcaya</v>
      </c>
      <c r="H58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Nueva_Vizcaya</v>
      </c>
      <c r="I581" s="61" t="e">
        <f>VLOOKUP(Table3[[#This Row],[PSGC]],DISTRICT!$D:$G,4,FALSE)</f>
        <v>#N/A</v>
      </c>
      <c r="J581" s="60" t="s">
        <v>575</v>
      </c>
      <c r="K581" s="51" t="str">
        <f>VLOOKUP(Table3[[#This Row],[SPECIFIC COMMODITY]],TAGS!$W$48:$X$53,2,FALSE)</f>
        <v>Corn</v>
      </c>
      <c r="L581" s="51" t="str">
        <f>VLOOKUP(Table3[[#This Row],[PREXC SUB-PROGRAM]],Table5[],2,FALSE)</f>
        <v>TECHNICAL AND SUPPORT SERVICES PROGRAM</v>
      </c>
      <c r="M581" s="51" t="str">
        <f>VLOOKUP(Table3[[#This Row],[COMMODITY PREXC SUB-PROGRAM]],TAGS!$U$54:$V$76,2,FALSE)</f>
        <v>PSS</v>
      </c>
      <c r="N581" s="60" t="s">
        <v>576</v>
      </c>
      <c r="O581" s="54" t="str">
        <f>VLOOKUP(Table3[[#This Row],[PI LEVEL 3]],'PI LEVEL'!A:C,3,FALSE)</f>
        <v>Seeds distributed</v>
      </c>
      <c r="P581" s="54" t="str">
        <f>VLOOKUP(Table3[[#This Row],[PI LEVEL 3]],Table53729[[Performance Indicator Level 3]:[Performance Indicator Level 1]],2,FALSE)</f>
        <v>Corn Seeds distributed</v>
      </c>
      <c r="Q581" s="54" t="str">
        <f>VLOOKUP(Table3[[#This Row],[ACTIVITY]],TAGS!B:P,2,FALSE)</f>
        <v>White Corn Seeds distributed</v>
      </c>
      <c r="R581" s="60" t="s">
        <v>24</v>
      </c>
      <c r="S581" s="54" t="str">
        <f>VLOOKUP(Table3[[#This Row],[ACTIVITY]],TAGS!$B:$P,4,FALSE)</f>
        <v>OPV Seed Production</v>
      </c>
      <c r="T581" s="54" t="str">
        <f>VLOOKUP(Table3[[#This Row],[ACTIVITY]],TAGS!$B:$P,5,FALSE)</f>
        <v>OPV Seed Production</v>
      </c>
      <c r="U581" s="54" t="str">
        <f>VLOOKUP(Table3[[#This Row],[ACTIVITY]],TAGS!$B:$P,6,FALSE)</f>
        <v>White corn seeds</v>
      </c>
      <c r="V581" s="54" t="str">
        <f>VLOOKUP(Table3[[#This Row],[ACTIVITY]],TAGS!$B:$P,7,FALSE)</f>
        <v>NO</v>
      </c>
      <c r="W581" s="54" t="str">
        <f>VLOOKUP(Table3[[#This Row],[ACTIVITY]],TAGS!$B:$P,8,FALSE)</f>
        <v>PAP</v>
      </c>
      <c r="X581" s="54" t="str">
        <f>VLOOKUP(Table3[[#This Row],[ACTIVITY]],TAGS!$B:$P,10,FALSE)</f>
        <v>PIP</v>
      </c>
      <c r="Y581" s="54" t="str">
        <f>VLOOKUP(Table3[[#This Row],[ACTIVITY]],TAGS!$B:$P,11,FALSE)</f>
        <v>PICS</v>
      </c>
      <c r="Z581" s="54" t="str">
        <f>VLOOKUP(Table3[[#This Row],[ACTIVITY]],TAGS!$B:$P,12,FALSE)</f>
        <v>Consolidation</v>
      </c>
      <c r="AA581" s="54" t="str">
        <f>VLOOKUP(Table3[[#This Row],[ACTIVITY]],TAGS!$B:$P,13,FALSE)</f>
        <v>1. Bayanihan Agri Cluster</v>
      </c>
      <c r="AB581" s="54" t="str">
        <f>VLOOKUP(Table3[[#This Row],[ACTIVITY]],TAGS!$B:$P,14,FALSE)</f>
        <v>EXPAND AND IMPROVE AVAILABLE AGRI-FISHERY AREAS FOR INCREASED PRODUCTION</v>
      </c>
      <c r="AC581" s="54" t="str">
        <f>VLOOKUP(Table3[[#This Row],[ACTIVITY]],TAGS!$B:$P,15,FALSE)</f>
        <v>Farm Inputs</v>
      </c>
      <c r="AD581" s="54" t="str">
        <f>VLOOKUP(Table3[[#This Row],[PI LEVEL 3]],'PI LEVEL'!$A:$G,7,FALSE)</f>
        <v>DA-Level Output</v>
      </c>
      <c r="AE581" s="60"/>
      <c r="AF581" s="54" t="str">
        <f>VLOOKUP(Table3[[#This Row],[ACTIVITY]],TAGS!$B:$P,3,FALSE)</f>
        <v>kilogram</v>
      </c>
      <c r="AG581" s="60"/>
      <c r="AH581" s="54" t="e">
        <f>VLOOKUP(Table3[[#This Row],[MONTH]],TAGS!$W$67:$Y$81,2,FALSE)</f>
        <v>#N/A</v>
      </c>
      <c r="AI581" s="54" t="e">
        <f>VLOOKUP(Table3[[#This Row],[MONTH]],TAGS!$W$67:$Y$81,3,FALSE)</f>
        <v>#N/A</v>
      </c>
      <c r="AJ581" s="54" t="e">
        <f>VLOOKUP(Table3[[#This Row],[MONTH]],TAGS!$W$67:$Z$81,4,FALSE)</f>
        <v>#N/A</v>
      </c>
      <c r="AK581" s="60">
        <v>4000</v>
      </c>
      <c r="AL581" s="54" t="str">
        <f>VLOOKUP(Table3[[#This Row],[ACTIVITY]],TAGS!$B:$R,16,FALSE)</f>
        <v>YES</v>
      </c>
      <c r="AM581" s="60">
        <f>Table3[[#This Row],[TARGET]]/20</f>
        <v>200</v>
      </c>
      <c r="AN581" s="60"/>
      <c r="AO581" s="57"/>
      <c r="AP581" s="62"/>
      <c r="AQ581" s="62"/>
      <c r="AR581" s="62"/>
      <c r="AS581" s="62">
        <v>6</v>
      </c>
      <c r="AT581" s="63" t="str">
        <f>VLOOKUP(Table3[[#This Row],[ACTIVITY]],TAGS!$B:$R,17,FALSE)</f>
        <v>YES</v>
      </c>
      <c r="AU581" s="63"/>
      <c r="AV581" s="63"/>
      <c r="AW581" s="63"/>
      <c r="AX581" s="63"/>
      <c r="AY581" s="63"/>
      <c r="AZ581" s="63"/>
      <c r="BA581" s="63"/>
      <c r="BB581" s="63"/>
      <c r="BC581" s="63"/>
      <c r="BD581" s="63"/>
      <c r="BE581" s="63"/>
      <c r="BF581" s="63"/>
      <c r="BG581" s="63"/>
      <c r="BH581" s="63"/>
      <c r="BI581" s="63"/>
      <c r="BJ581" s="63"/>
      <c r="BK581" s="63"/>
      <c r="BL581" s="63"/>
      <c r="BM581" s="63"/>
    </row>
    <row r="582" spans="1:65">
      <c r="A582" s="54" t="str">
        <f>VLOOKUP(Table3[[#This Row],[OU]],OU!$A$15:$B$34,2,FALSE)</f>
        <v>RFOs</v>
      </c>
      <c r="B582" s="60" t="s">
        <v>436</v>
      </c>
      <c r="C582" s="60" t="s">
        <v>574</v>
      </c>
      <c r="D582" s="60"/>
      <c r="E582" s="60" t="s">
        <v>70</v>
      </c>
      <c r="F582" s="60"/>
      <c r="G58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</v>
      </c>
      <c r="H58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Quirino</v>
      </c>
      <c r="I582" s="61" t="e">
        <f>VLOOKUP(Table3[[#This Row],[PSGC]],DISTRICT!$D:$G,4,FALSE)</f>
        <v>#N/A</v>
      </c>
      <c r="J582" s="60" t="s">
        <v>575</v>
      </c>
      <c r="K582" s="51" t="str">
        <f>VLOOKUP(Table3[[#This Row],[SPECIFIC COMMODITY]],TAGS!$W$48:$X$53,2,FALSE)</f>
        <v>Corn</v>
      </c>
      <c r="L582" s="51" t="str">
        <f>VLOOKUP(Table3[[#This Row],[PREXC SUB-PROGRAM]],Table5[],2,FALSE)</f>
        <v>TECHNICAL AND SUPPORT SERVICES PROGRAM</v>
      </c>
      <c r="M582" s="51" t="str">
        <f>VLOOKUP(Table3[[#This Row],[COMMODITY PREXC SUB-PROGRAM]],TAGS!$U$54:$V$76,2,FALSE)</f>
        <v>PSS</v>
      </c>
      <c r="N582" s="60" t="s">
        <v>576</v>
      </c>
      <c r="O582" s="54" t="str">
        <f>VLOOKUP(Table3[[#This Row],[PI LEVEL 3]],'PI LEVEL'!A:C,3,FALSE)</f>
        <v>Seeds distributed</v>
      </c>
      <c r="P582" s="54" t="str">
        <f>VLOOKUP(Table3[[#This Row],[PI LEVEL 3]],Table53729[[Performance Indicator Level 3]:[Performance Indicator Level 1]],2,FALSE)</f>
        <v>Corn Seeds distributed</v>
      </c>
      <c r="Q582" s="54" t="str">
        <f>VLOOKUP(Table3[[#This Row],[ACTIVITY]],TAGS!B:P,2,FALSE)</f>
        <v>White Corn Seeds distributed</v>
      </c>
      <c r="R582" s="60" t="s">
        <v>24</v>
      </c>
      <c r="S582" s="54" t="str">
        <f>VLOOKUP(Table3[[#This Row],[ACTIVITY]],TAGS!$B:$P,4,FALSE)</f>
        <v>OPV Seed Production</v>
      </c>
      <c r="T582" s="54" t="str">
        <f>VLOOKUP(Table3[[#This Row],[ACTIVITY]],TAGS!$B:$P,5,FALSE)</f>
        <v>OPV Seed Production</v>
      </c>
      <c r="U582" s="54" t="str">
        <f>VLOOKUP(Table3[[#This Row],[ACTIVITY]],TAGS!$B:$P,6,FALSE)</f>
        <v>White corn seeds</v>
      </c>
      <c r="V582" s="54" t="str">
        <f>VLOOKUP(Table3[[#This Row],[ACTIVITY]],TAGS!$B:$P,7,FALSE)</f>
        <v>NO</v>
      </c>
      <c r="W582" s="54" t="str">
        <f>VLOOKUP(Table3[[#This Row],[ACTIVITY]],TAGS!$B:$P,8,FALSE)</f>
        <v>PAP</v>
      </c>
      <c r="X582" s="54" t="str">
        <f>VLOOKUP(Table3[[#This Row],[ACTIVITY]],TAGS!$B:$P,10,FALSE)</f>
        <v>PIP</v>
      </c>
      <c r="Y582" s="54" t="str">
        <f>VLOOKUP(Table3[[#This Row],[ACTIVITY]],TAGS!$B:$P,11,FALSE)</f>
        <v>PICS</v>
      </c>
      <c r="Z582" s="54" t="str">
        <f>VLOOKUP(Table3[[#This Row],[ACTIVITY]],TAGS!$B:$P,12,FALSE)</f>
        <v>Consolidation</v>
      </c>
      <c r="AA582" s="54" t="str">
        <f>VLOOKUP(Table3[[#This Row],[ACTIVITY]],TAGS!$B:$P,13,FALSE)</f>
        <v>1. Bayanihan Agri Cluster</v>
      </c>
      <c r="AB582" s="54" t="str">
        <f>VLOOKUP(Table3[[#This Row],[ACTIVITY]],TAGS!$B:$P,14,FALSE)</f>
        <v>EXPAND AND IMPROVE AVAILABLE AGRI-FISHERY AREAS FOR INCREASED PRODUCTION</v>
      </c>
      <c r="AC582" s="54" t="str">
        <f>VLOOKUP(Table3[[#This Row],[ACTIVITY]],TAGS!$B:$P,15,FALSE)</f>
        <v>Farm Inputs</v>
      </c>
      <c r="AD582" s="54" t="str">
        <f>VLOOKUP(Table3[[#This Row],[PI LEVEL 3]],'PI LEVEL'!$A:$G,7,FALSE)</f>
        <v>DA-Level Output</v>
      </c>
      <c r="AE582" s="60"/>
      <c r="AF582" s="54" t="str">
        <f>VLOOKUP(Table3[[#This Row],[ACTIVITY]],TAGS!$B:$P,3,FALSE)</f>
        <v>kilogram</v>
      </c>
      <c r="AG582" s="60"/>
      <c r="AH582" s="54" t="e">
        <f>VLOOKUP(Table3[[#This Row],[MONTH]],TAGS!$W$67:$Y$81,2,FALSE)</f>
        <v>#N/A</v>
      </c>
      <c r="AI582" s="54" t="e">
        <f>VLOOKUP(Table3[[#This Row],[MONTH]],TAGS!$W$67:$Y$81,3,FALSE)</f>
        <v>#N/A</v>
      </c>
      <c r="AJ582" s="54" t="e">
        <f>VLOOKUP(Table3[[#This Row],[MONTH]],TAGS!$W$67:$Z$81,4,FALSE)</f>
        <v>#N/A</v>
      </c>
      <c r="AK582" s="60">
        <v>4000</v>
      </c>
      <c r="AL582" s="54" t="str">
        <f>VLOOKUP(Table3[[#This Row],[ACTIVITY]],TAGS!$B:$R,16,FALSE)</f>
        <v>YES</v>
      </c>
      <c r="AM582" s="60">
        <f>Table3[[#This Row],[TARGET]]/20</f>
        <v>200</v>
      </c>
      <c r="AN582" s="60"/>
      <c r="AO582" s="57"/>
      <c r="AP582" s="62"/>
      <c r="AQ582" s="62"/>
      <c r="AR582" s="62"/>
      <c r="AS582" s="62">
        <v>6</v>
      </c>
      <c r="AT582" s="63" t="str">
        <f>VLOOKUP(Table3[[#This Row],[ACTIVITY]],TAGS!$B:$R,17,FALSE)</f>
        <v>YES</v>
      </c>
      <c r="AU582" s="63"/>
      <c r="AV582" s="63"/>
      <c r="AW582" s="63"/>
      <c r="AX582" s="63"/>
      <c r="AY582" s="63"/>
      <c r="AZ582" s="63"/>
      <c r="BA582" s="63"/>
      <c r="BB582" s="63"/>
      <c r="BC582" s="63"/>
      <c r="BD582" s="63"/>
      <c r="BE582" s="63"/>
      <c r="BF582" s="63"/>
      <c r="BG582" s="63"/>
      <c r="BH582" s="63"/>
      <c r="BI582" s="63"/>
      <c r="BJ582" s="63"/>
      <c r="BK582" s="63"/>
      <c r="BL582" s="63"/>
      <c r="BM582" s="63"/>
    </row>
    <row r="583" spans="1:65">
      <c r="A583" s="54" t="str">
        <f>VLOOKUP(Table3[[#This Row],[OU]],OU!$A$15:$B$34,2,FALSE)</f>
        <v>RFOs</v>
      </c>
      <c r="B583" s="60" t="s">
        <v>436</v>
      </c>
      <c r="C583" s="60" t="s">
        <v>574</v>
      </c>
      <c r="D583" s="60"/>
      <c r="E583" s="60" t="s">
        <v>78</v>
      </c>
      <c r="F583" s="60"/>
      <c r="G58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58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583" s="61" t="e">
        <f>VLOOKUP(Table3[[#This Row],[PSGC]],DISTRICT!$D:$G,4,FALSE)</f>
        <v>#N/A</v>
      </c>
      <c r="J583" s="60" t="s">
        <v>575</v>
      </c>
      <c r="K583" s="51" t="str">
        <f>VLOOKUP(Table3[[#This Row],[SPECIFIC COMMODITY]],TAGS!$W$48:$X$53,2,FALSE)</f>
        <v>Corn</v>
      </c>
      <c r="L583" s="51" t="str">
        <f>VLOOKUP(Table3[[#This Row],[PREXC SUB-PROGRAM]],Table5[],2,FALSE)</f>
        <v>TECHNICAL AND SUPPORT SERVICES PROGRAM</v>
      </c>
      <c r="M583" s="51" t="str">
        <f>VLOOKUP(Table3[[#This Row],[COMMODITY PREXC SUB-PROGRAM]],TAGS!$U$54:$V$76,2,FALSE)</f>
        <v>PSS</v>
      </c>
      <c r="N583" s="60" t="s">
        <v>576</v>
      </c>
      <c r="O583" s="54" t="str">
        <f>VLOOKUP(Table3[[#This Row],[PI LEVEL 3]],'PI LEVEL'!A:C,3,FALSE)</f>
        <v>Seeds distributed</v>
      </c>
      <c r="P583" s="54" t="str">
        <f>VLOOKUP(Table3[[#This Row],[PI LEVEL 3]],Table53729[[Performance Indicator Level 3]:[Performance Indicator Level 1]],2,FALSE)</f>
        <v>Corn Seeds distributed</v>
      </c>
      <c r="Q583" s="54" t="str">
        <f>VLOOKUP(Table3[[#This Row],[ACTIVITY]],TAGS!B:P,2,FALSE)</f>
        <v>White Corn Seeds distributed</v>
      </c>
      <c r="R583" s="60" t="s">
        <v>24</v>
      </c>
      <c r="S583" s="54" t="str">
        <f>VLOOKUP(Table3[[#This Row],[ACTIVITY]],TAGS!$B:$P,4,FALSE)</f>
        <v>OPV Seed Production</v>
      </c>
      <c r="T583" s="54" t="str">
        <f>VLOOKUP(Table3[[#This Row],[ACTIVITY]],TAGS!$B:$P,5,FALSE)</f>
        <v>OPV Seed Production</v>
      </c>
      <c r="U583" s="54" t="str">
        <f>VLOOKUP(Table3[[#This Row],[ACTIVITY]],TAGS!$B:$P,6,FALSE)</f>
        <v>White corn seeds</v>
      </c>
      <c r="V583" s="54" t="str">
        <f>VLOOKUP(Table3[[#This Row],[ACTIVITY]],TAGS!$B:$P,7,FALSE)</f>
        <v>NO</v>
      </c>
      <c r="W583" s="54" t="str">
        <f>VLOOKUP(Table3[[#This Row],[ACTIVITY]],TAGS!$B:$P,8,FALSE)</f>
        <v>PAP</v>
      </c>
      <c r="X583" s="54" t="str">
        <f>VLOOKUP(Table3[[#This Row],[ACTIVITY]],TAGS!$B:$P,10,FALSE)</f>
        <v>PIP</v>
      </c>
      <c r="Y583" s="54" t="str">
        <f>VLOOKUP(Table3[[#This Row],[ACTIVITY]],TAGS!$B:$P,11,FALSE)</f>
        <v>PICS</v>
      </c>
      <c r="Z583" s="54" t="str">
        <f>VLOOKUP(Table3[[#This Row],[ACTIVITY]],TAGS!$B:$P,12,FALSE)</f>
        <v>Consolidation</v>
      </c>
      <c r="AA583" s="54" t="str">
        <f>VLOOKUP(Table3[[#This Row],[ACTIVITY]],TAGS!$B:$P,13,FALSE)</f>
        <v>1. Bayanihan Agri Cluster</v>
      </c>
      <c r="AB583" s="54" t="str">
        <f>VLOOKUP(Table3[[#This Row],[ACTIVITY]],TAGS!$B:$P,14,FALSE)</f>
        <v>EXPAND AND IMPROVE AVAILABLE AGRI-FISHERY AREAS FOR INCREASED PRODUCTION</v>
      </c>
      <c r="AC583" s="54" t="str">
        <f>VLOOKUP(Table3[[#This Row],[ACTIVITY]],TAGS!$B:$P,15,FALSE)</f>
        <v>Farm Inputs</v>
      </c>
      <c r="AD583" s="54" t="str">
        <f>VLOOKUP(Table3[[#This Row],[PI LEVEL 3]],'PI LEVEL'!$A:$G,7,FALSE)</f>
        <v>DA-Level Output</v>
      </c>
      <c r="AE583" s="60"/>
      <c r="AF583" s="54" t="str">
        <f>VLOOKUP(Table3[[#This Row],[ACTIVITY]],TAGS!$B:$P,3,FALSE)</f>
        <v>kilogram</v>
      </c>
      <c r="AG583" s="60"/>
      <c r="AH583" s="54" t="e">
        <f>VLOOKUP(Table3[[#This Row],[MONTH]],TAGS!$W$67:$Y$81,2,FALSE)</f>
        <v>#N/A</v>
      </c>
      <c r="AI583" s="54" t="e">
        <f>VLOOKUP(Table3[[#This Row],[MONTH]],TAGS!$W$67:$Y$81,3,FALSE)</f>
        <v>#N/A</v>
      </c>
      <c r="AJ583" s="54" t="e">
        <f>VLOOKUP(Table3[[#This Row],[MONTH]],TAGS!$W$67:$Z$81,4,FALSE)</f>
        <v>#N/A</v>
      </c>
      <c r="AK583" s="60"/>
      <c r="AL583" s="54" t="str">
        <f>VLOOKUP(Table3[[#This Row],[ACTIVITY]],TAGS!$B:$R,16,FALSE)</f>
        <v>YES</v>
      </c>
      <c r="AM583" s="60">
        <f>Table3[[#This Row],[TARGET]]/20</f>
        <v>0</v>
      </c>
      <c r="AN583" s="60">
        <v>1106</v>
      </c>
      <c r="AO583" s="57"/>
      <c r="AP583" s="62"/>
      <c r="AQ583" s="62"/>
      <c r="AR583" s="62"/>
      <c r="AS583" s="62"/>
      <c r="AT583" s="63" t="str">
        <f>VLOOKUP(Table3[[#This Row],[ACTIVITY]],TAGS!$B:$R,17,FALSE)</f>
        <v>YES</v>
      </c>
      <c r="AU583" s="63"/>
      <c r="AV583" s="63"/>
      <c r="AW583" s="63"/>
      <c r="AX583" s="63"/>
      <c r="AY583" s="63"/>
      <c r="AZ583" s="63"/>
      <c r="BA583" s="63"/>
      <c r="BB583" s="63"/>
      <c r="BC583" s="63"/>
      <c r="BD583" s="63"/>
      <c r="BE583" s="63"/>
      <c r="BF583" s="63"/>
      <c r="BG583" s="63"/>
      <c r="BH583" s="63"/>
      <c r="BI583" s="63"/>
      <c r="BJ583" s="63"/>
      <c r="BK583" s="63"/>
      <c r="BL583" s="63"/>
      <c r="BM583" s="63"/>
    </row>
    <row r="584" spans="1:65">
      <c r="A584" s="54" t="str">
        <f>VLOOKUP(Table3[[#This Row],[OU]],OU!$A$15:$B$34,2,FALSE)</f>
        <v>RFOs</v>
      </c>
      <c r="B584" s="60" t="s">
        <v>436</v>
      </c>
      <c r="C584" s="60" t="s">
        <v>574</v>
      </c>
      <c r="D584" s="60"/>
      <c r="E584" s="60" t="s">
        <v>78</v>
      </c>
      <c r="F584" s="60"/>
      <c r="G58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58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584" s="61" t="e">
        <f>VLOOKUP(Table3[[#This Row],[PSGC]],DISTRICT!$D:$G,4,FALSE)</f>
        <v>#N/A</v>
      </c>
      <c r="J584" s="60" t="s">
        <v>575</v>
      </c>
      <c r="K584" s="51" t="str">
        <f>VLOOKUP(Table3[[#This Row],[SPECIFIC COMMODITY]],TAGS!$W$48:$X$53,2,FALSE)</f>
        <v>Corn</v>
      </c>
      <c r="L584" s="51" t="str">
        <f>VLOOKUP(Table3[[#This Row],[PREXC SUB-PROGRAM]],Table5[],2,FALSE)</f>
        <v>TECHNICAL AND SUPPORT SERVICES PROGRAM</v>
      </c>
      <c r="M584" s="51" t="str">
        <f>VLOOKUP(Table3[[#This Row],[COMMODITY PREXC SUB-PROGRAM]],TAGS!$U$54:$V$76,2,FALSE)</f>
        <v>PSS</v>
      </c>
      <c r="N584" s="60" t="s">
        <v>576</v>
      </c>
      <c r="O584" s="54" t="str">
        <f>VLOOKUP(Table3[[#This Row],[PI LEVEL 3]],'PI LEVEL'!A:C,3,FALSE)</f>
        <v>Seeds reserved</v>
      </c>
      <c r="P584" s="54" t="str">
        <f>VLOOKUP(Table3[[#This Row],[PI LEVEL 3]],Table53729[[Performance Indicator Level 3]:[Performance Indicator Level 1]],2,FALSE)</f>
        <v>Corn Seeds reserved</v>
      </c>
      <c r="Q584" s="54" t="str">
        <f>VLOOKUP(Table3[[#This Row],[ACTIVITY]],TAGS!B:P,2,FALSE)</f>
        <v>White Corn Seeds reserved</v>
      </c>
      <c r="R584" s="60" t="s">
        <v>80</v>
      </c>
      <c r="S584" s="54" t="str">
        <f>VLOOKUP(Table3[[#This Row],[ACTIVITY]],TAGS!$B:$P,4,FALSE)</f>
        <v>Corn Seed Reserve</v>
      </c>
      <c r="T584" s="54" t="str">
        <f>VLOOKUP(Table3[[#This Row],[ACTIVITY]],TAGS!$B:$P,5,FALSE)</f>
        <v>Corn Seed Reserve</v>
      </c>
      <c r="U584" s="54" t="str">
        <f>VLOOKUP(Table3[[#This Row],[ACTIVITY]],TAGS!$B:$P,6,FALSE)</f>
        <v>White corn seeds reserve</v>
      </c>
      <c r="V584" s="54" t="str">
        <f>VLOOKUP(Table3[[#This Row],[ACTIVITY]],TAGS!$B:$P,7,FALSE)</f>
        <v>YES</v>
      </c>
      <c r="W584" s="54" t="str">
        <f>VLOOKUP(Table3[[#This Row],[ACTIVITY]],TAGS!$B:$P,8,FALSE)</f>
        <v>PAP</v>
      </c>
      <c r="X584" s="54" t="str">
        <f>VLOOKUP(Table3[[#This Row],[ACTIVITY]],TAGS!$B:$P,10,FALSE)</f>
        <v>PIP</v>
      </c>
      <c r="Y584" s="54" t="str">
        <f>VLOOKUP(Table3[[#This Row],[ACTIVITY]],TAGS!$B:$P,11,FALSE)</f>
        <v>PICS</v>
      </c>
      <c r="Z584" s="54" t="str">
        <f>VLOOKUP(Table3[[#This Row],[ACTIVITY]],TAGS!$B:$P,12,FALSE)</f>
        <v>Modernization</v>
      </c>
      <c r="AA584" s="54" t="str">
        <f>VLOOKUP(Table3[[#This Row],[ACTIVITY]],TAGS!$B:$P,13,FALSE)</f>
        <v>9. Climate Change Adaptation &amp; Mitigation Measures</v>
      </c>
      <c r="AB584" s="54" t="str">
        <f>VLOOKUP(Table3[[#This Row],[ACTIVITY]],TAGS!$B:$P,14,FALSE)</f>
        <v>EXPAND AND IMPROVE AVAILABLE AGRI-FISHERY AREAS FOR INCREASED PRODUCTION</v>
      </c>
      <c r="AC584" s="54" t="str">
        <f>VLOOKUP(Table3[[#This Row],[ACTIVITY]],TAGS!$B:$P,15,FALSE)</f>
        <v>Seed Reserve</v>
      </c>
      <c r="AD584" s="54" t="str">
        <f>VLOOKUP(Table3[[#This Row],[PI LEVEL 3]],'PI LEVEL'!$A:$G,7,FALSE)</f>
        <v>DA-Level Output</v>
      </c>
      <c r="AE584" s="60"/>
      <c r="AF584" s="54" t="str">
        <f>VLOOKUP(Table3[[#This Row],[ACTIVITY]],TAGS!$B:$P,3,FALSE)</f>
        <v>kilogram</v>
      </c>
      <c r="AG584" s="60"/>
      <c r="AH584" s="54" t="e">
        <f>VLOOKUP(Table3[[#This Row],[MONTH]],TAGS!$W$67:$Y$81,2,FALSE)</f>
        <v>#N/A</v>
      </c>
      <c r="AI584" s="54" t="e">
        <f>VLOOKUP(Table3[[#This Row],[MONTH]],TAGS!$W$67:$Y$81,3,FALSE)</f>
        <v>#N/A</v>
      </c>
      <c r="AJ584" s="54" t="e">
        <f>VLOOKUP(Table3[[#This Row],[MONTH]],TAGS!$W$67:$Z$81,4,FALSE)</f>
        <v>#N/A</v>
      </c>
      <c r="AK584" s="60">
        <v>15000</v>
      </c>
      <c r="AL584" s="54" t="str">
        <f>VLOOKUP(Table3[[#This Row],[ACTIVITY]],TAGS!$B:$R,16,FALSE)</f>
        <v>YES</v>
      </c>
      <c r="AM584" s="60">
        <f>Table3[[#This Row],[TARGET]]/20</f>
        <v>750</v>
      </c>
      <c r="AN584" s="60">
        <v>1500</v>
      </c>
      <c r="AO584" s="57"/>
      <c r="AP584" s="62"/>
      <c r="AQ584" s="62"/>
      <c r="AR584" s="62"/>
      <c r="AS584" s="62"/>
      <c r="AT584" s="63" t="str">
        <f>VLOOKUP(Table3[[#This Row],[ACTIVITY]],TAGS!$B:$R,17,FALSE)</f>
        <v>NO</v>
      </c>
      <c r="AU584" s="63"/>
      <c r="AV584" s="63"/>
      <c r="AW584" s="63"/>
      <c r="AX584" s="63"/>
      <c r="AY584" s="63"/>
      <c r="AZ584" s="63"/>
      <c r="BA584" s="63"/>
      <c r="BB584" s="63"/>
      <c r="BC584" s="63"/>
      <c r="BD584" s="63"/>
      <c r="BE584" s="63"/>
      <c r="BF584" s="63"/>
      <c r="BG584" s="63"/>
      <c r="BH584" s="63"/>
      <c r="BI584" s="63"/>
      <c r="BJ584" s="63"/>
      <c r="BK584" s="63"/>
      <c r="BL584" s="63"/>
      <c r="BM584" s="63"/>
    </row>
    <row r="585" spans="1:65">
      <c r="A585" s="54" t="str">
        <f>VLOOKUP(Table3[[#This Row],[OU]],OU!$A$15:$B$34,2,FALSE)</f>
        <v>RFOs</v>
      </c>
      <c r="B585" s="60" t="s">
        <v>436</v>
      </c>
      <c r="C585" s="60" t="s">
        <v>574</v>
      </c>
      <c r="D585" s="60"/>
      <c r="E585" s="60" t="s">
        <v>22</v>
      </c>
      <c r="F585" s="60"/>
      <c r="G58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58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585" s="61" t="e">
        <f>VLOOKUP(Table3[[#This Row],[PSGC]],DISTRICT!$D:$G,4,FALSE)</f>
        <v>#N/A</v>
      </c>
      <c r="J585" s="60" t="s">
        <v>578</v>
      </c>
      <c r="K585" s="51" t="str">
        <f>VLOOKUP(Table3[[#This Row],[SPECIFIC COMMODITY]],TAGS!$W$48:$X$53,2,FALSE)</f>
        <v>Corn</v>
      </c>
      <c r="L585" s="51" t="str">
        <f>VLOOKUP(Table3[[#This Row],[PREXC SUB-PROGRAM]],Table5[],2,FALSE)</f>
        <v>TECHNICAL AND SUPPORT SERVICES PROGRAM</v>
      </c>
      <c r="M585" s="51" t="str">
        <f>VLOOKUP(Table3[[#This Row],[COMMODITY PREXC SUB-PROGRAM]],TAGS!$U$54:$V$76,2,FALSE)</f>
        <v>PSS</v>
      </c>
      <c r="N585" s="60" t="s">
        <v>576</v>
      </c>
      <c r="O585" s="54" t="str">
        <f>VLOOKUP(Table3[[#This Row],[PI LEVEL 3]],'PI LEVEL'!A:C,3,FALSE)</f>
        <v>Seeds distributed</v>
      </c>
      <c r="P585" s="54" t="str">
        <f>VLOOKUP(Table3[[#This Row],[PI LEVEL 3]],Table53729[[Performance Indicator Level 3]:[Performance Indicator Level 1]],2,FALSE)</f>
        <v>Corn Seeds distributed</v>
      </c>
      <c r="Q585" s="54" t="str">
        <f>VLOOKUP(Table3[[#This Row],[ACTIVITY]],TAGS!B:P,2,FALSE)</f>
        <v>Yellow Corn Seeds distributed</v>
      </c>
      <c r="R585" s="60" t="s">
        <v>34</v>
      </c>
      <c r="S585" s="54" t="str">
        <f>VLOOKUP(Table3[[#This Row],[ACTIVITY]],TAGS!$B:$P,4,FALSE)</f>
        <v>Yellow Corn Production Enhancement Project</v>
      </c>
      <c r="T585" s="54" t="str">
        <f>VLOOKUP(Table3[[#This Row],[ACTIVITY]],TAGS!$B:$P,5,FALSE)</f>
        <v>Corn Seed Assistance</v>
      </c>
      <c r="U585" s="54" t="str">
        <f>VLOOKUP(Table3[[#This Row],[ACTIVITY]],TAGS!$B:$P,6,FALSE)</f>
        <v>Yellow corn seeds</v>
      </c>
      <c r="V585" s="54" t="str">
        <f>VLOOKUP(Table3[[#This Row],[ACTIVITY]],TAGS!$B:$P,7,FALSE)</f>
        <v>NO</v>
      </c>
      <c r="W585" s="54" t="str">
        <f>VLOOKUP(Table3[[#This Row],[ACTIVITY]],TAGS!$B:$P,8,FALSE)</f>
        <v>PAP</v>
      </c>
      <c r="X585" s="54" t="str">
        <f>VLOOKUP(Table3[[#This Row],[ACTIVITY]],TAGS!$B:$P,10,FALSE)</f>
        <v>PIP</v>
      </c>
      <c r="Y585" s="54" t="str">
        <f>VLOOKUP(Table3[[#This Row],[ACTIVITY]],TAGS!$B:$P,11,FALSE)</f>
        <v>PICS</v>
      </c>
      <c r="Z585" s="54" t="str">
        <f>VLOOKUP(Table3[[#This Row],[ACTIVITY]],TAGS!$B:$P,12,FALSE)</f>
        <v>Consolidation</v>
      </c>
      <c r="AA585" s="54" t="str">
        <f>VLOOKUP(Table3[[#This Row],[ACTIVITY]],TAGS!$B:$P,13,FALSE)</f>
        <v>1. Bayanihan Agri Cluster</v>
      </c>
      <c r="AB585" s="54" t="str">
        <f>VLOOKUP(Table3[[#This Row],[ACTIVITY]],TAGS!$B:$P,14,FALSE)</f>
        <v>EXPAND AND IMPROVE AVAILABLE AGRI-FISHERY AREAS FOR INCREASED PRODUCTION</v>
      </c>
      <c r="AC585" s="54" t="str">
        <f>VLOOKUP(Table3[[#This Row],[ACTIVITY]],TAGS!$B:$P,15,FALSE)</f>
        <v>Farm Inputs</v>
      </c>
      <c r="AD585" s="54" t="str">
        <f>VLOOKUP(Table3[[#This Row],[PI LEVEL 3]],'PI LEVEL'!$A:$G,7,FALSE)</f>
        <v>DA-Level Output</v>
      </c>
      <c r="AE585" s="60"/>
      <c r="AF585" s="54" t="str">
        <f>VLOOKUP(Table3[[#This Row],[ACTIVITY]],TAGS!$B:$P,3,FALSE)</f>
        <v>kilogram</v>
      </c>
      <c r="AG585" s="60"/>
      <c r="AH585" s="54" t="e">
        <f>VLOOKUP(Table3[[#This Row],[MONTH]],TAGS!$W$67:$Y$81,2,FALSE)</f>
        <v>#N/A</v>
      </c>
      <c r="AI585" s="54" t="e">
        <f>VLOOKUP(Table3[[#This Row],[MONTH]],TAGS!$W$67:$Y$81,3,FALSE)</f>
        <v>#N/A</v>
      </c>
      <c r="AJ585" s="54" t="e">
        <f>VLOOKUP(Table3[[#This Row],[MONTH]],TAGS!$W$67:$Z$81,4,FALSE)</f>
        <v>#N/A</v>
      </c>
      <c r="AK585" s="60">
        <v>125010</v>
      </c>
      <c r="AL585" s="54" t="str">
        <f>VLOOKUP(Table3[[#This Row],[ACTIVITY]],TAGS!$B:$R,16,FALSE)</f>
        <v>YES</v>
      </c>
      <c r="AM585" s="60">
        <f>Table3[[#This Row],[TARGET]]/20</f>
        <v>6250.5</v>
      </c>
      <c r="AN585" s="60">
        <v>83340</v>
      </c>
      <c r="AO585" s="57"/>
      <c r="AP585" s="62"/>
      <c r="AQ585" s="62"/>
      <c r="AR585" s="62"/>
      <c r="AS585" s="62">
        <v>25</v>
      </c>
      <c r="AT585" s="63" t="str">
        <f>VLOOKUP(Table3[[#This Row],[ACTIVITY]],TAGS!$B:$R,17,FALSE)</f>
        <v>YES</v>
      </c>
      <c r="AU585" s="63"/>
      <c r="AV585" s="63"/>
      <c r="AW585" s="63"/>
      <c r="AX585" s="63"/>
      <c r="AY585" s="63"/>
      <c r="AZ585" s="63"/>
      <c r="BA585" s="63"/>
      <c r="BB585" s="63"/>
      <c r="BC585" s="63"/>
      <c r="BD585" s="63"/>
      <c r="BE585" s="63"/>
      <c r="BF585" s="63"/>
      <c r="BG585" s="63"/>
      <c r="BH585" s="63"/>
      <c r="BI585" s="63"/>
      <c r="BJ585" s="63"/>
      <c r="BK585" s="63"/>
      <c r="BL585" s="63"/>
      <c r="BM585" s="63"/>
    </row>
    <row r="586" spans="1:65">
      <c r="A586" s="54" t="str">
        <f>VLOOKUP(Table3[[#This Row],[OU]],OU!$A$15:$B$34,2,FALSE)</f>
        <v>RFOs</v>
      </c>
      <c r="B586" s="60" t="s">
        <v>436</v>
      </c>
      <c r="C586" s="60" t="s">
        <v>574</v>
      </c>
      <c r="D586" s="60"/>
      <c r="E586" s="60" t="s">
        <v>43</v>
      </c>
      <c r="F586" s="60"/>
      <c r="G58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58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586" s="61" t="e">
        <f>VLOOKUP(Table3[[#This Row],[PSGC]],DISTRICT!$D:$G,4,FALSE)</f>
        <v>#N/A</v>
      </c>
      <c r="J586" s="60" t="s">
        <v>578</v>
      </c>
      <c r="K586" s="51" t="str">
        <f>VLOOKUP(Table3[[#This Row],[SPECIFIC COMMODITY]],TAGS!$W$48:$X$53,2,FALSE)</f>
        <v>Corn</v>
      </c>
      <c r="L586" s="51" t="str">
        <f>VLOOKUP(Table3[[#This Row],[PREXC SUB-PROGRAM]],Table5[],2,FALSE)</f>
        <v>TECHNICAL AND SUPPORT SERVICES PROGRAM</v>
      </c>
      <c r="M586" s="51" t="str">
        <f>VLOOKUP(Table3[[#This Row],[COMMODITY PREXC SUB-PROGRAM]],TAGS!$U$54:$V$76,2,FALSE)</f>
        <v>PSS</v>
      </c>
      <c r="N586" s="60" t="s">
        <v>576</v>
      </c>
      <c r="O586" s="54" t="str">
        <f>VLOOKUP(Table3[[#This Row],[PI LEVEL 3]],'PI LEVEL'!A:C,3,FALSE)</f>
        <v>Seeds distributed</v>
      </c>
      <c r="P586" s="54" t="str">
        <f>VLOOKUP(Table3[[#This Row],[PI LEVEL 3]],Table53729[[Performance Indicator Level 3]:[Performance Indicator Level 1]],2,FALSE)</f>
        <v>Corn Seeds distributed</v>
      </c>
      <c r="Q586" s="54" t="str">
        <f>VLOOKUP(Table3[[#This Row],[ACTIVITY]],TAGS!B:P,2,FALSE)</f>
        <v>Yellow Corn Seeds distributed</v>
      </c>
      <c r="R586" s="60" t="s">
        <v>34</v>
      </c>
      <c r="S586" s="54" t="str">
        <f>VLOOKUP(Table3[[#This Row],[ACTIVITY]],TAGS!$B:$P,4,FALSE)</f>
        <v>Yellow Corn Production Enhancement Project</v>
      </c>
      <c r="T586" s="54" t="str">
        <f>VLOOKUP(Table3[[#This Row],[ACTIVITY]],TAGS!$B:$P,5,FALSE)</f>
        <v>Corn Seed Assistance</v>
      </c>
      <c r="U586" s="54" t="str">
        <f>VLOOKUP(Table3[[#This Row],[ACTIVITY]],TAGS!$B:$P,6,FALSE)</f>
        <v>Yellow corn seeds</v>
      </c>
      <c r="V586" s="54" t="str">
        <f>VLOOKUP(Table3[[#This Row],[ACTIVITY]],TAGS!$B:$P,7,FALSE)</f>
        <v>NO</v>
      </c>
      <c r="W586" s="54" t="str">
        <f>VLOOKUP(Table3[[#This Row],[ACTIVITY]],TAGS!$B:$P,8,FALSE)</f>
        <v>PAP</v>
      </c>
      <c r="X586" s="54" t="str">
        <f>VLOOKUP(Table3[[#This Row],[ACTIVITY]],TAGS!$B:$P,10,FALSE)</f>
        <v>PIP</v>
      </c>
      <c r="Y586" s="54" t="str">
        <f>VLOOKUP(Table3[[#This Row],[ACTIVITY]],TAGS!$B:$P,11,FALSE)</f>
        <v>PICS</v>
      </c>
      <c r="Z586" s="54" t="str">
        <f>VLOOKUP(Table3[[#This Row],[ACTIVITY]],TAGS!$B:$P,12,FALSE)</f>
        <v>Consolidation</v>
      </c>
      <c r="AA586" s="54" t="str">
        <f>VLOOKUP(Table3[[#This Row],[ACTIVITY]],TAGS!$B:$P,13,FALSE)</f>
        <v>1. Bayanihan Agri Cluster</v>
      </c>
      <c r="AB586" s="54" t="str">
        <f>VLOOKUP(Table3[[#This Row],[ACTIVITY]],TAGS!$B:$P,14,FALSE)</f>
        <v>EXPAND AND IMPROVE AVAILABLE AGRI-FISHERY AREAS FOR INCREASED PRODUCTION</v>
      </c>
      <c r="AC586" s="54" t="str">
        <f>VLOOKUP(Table3[[#This Row],[ACTIVITY]],TAGS!$B:$P,15,FALSE)</f>
        <v>Farm Inputs</v>
      </c>
      <c r="AD586" s="54" t="str">
        <f>VLOOKUP(Table3[[#This Row],[PI LEVEL 3]],'PI LEVEL'!$A:$G,7,FALSE)</f>
        <v>DA-Level Output</v>
      </c>
      <c r="AE586" s="60"/>
      <c r="AF586" s="54" t="str">
        <f>VLOOKUP(Table3[[#This Row],[ACTIVITY]],TAGS!$B:$P,3,FALSE)</f>
        <v>kilogram</v>
      </c>
      <c r="AG586" s="60"/>
      <c r="AH586" s="54" t="e">
        <f>VLOOKUP(Table3[[#This Row],[MONTH]],TAGS!$W$67:$Y$81,2,FALSE)</f>
        <v>#N/A</v>
      </c>
      <c r="AI586" s="54" t="e">
        <f>VLOOKUP(Table3[[#This Row],[MONTH]],TAGS!$W$67:$Y$81,3,FALSE)</f>
        <v>#N/A</v>
      </c>
      <c r="AJ586" s="54" t="e">
        <f>VLOOKUP(Table3[[#This Row],[MONTH]],TAGS!$W$67:$Z$81,4,FALSE)</f>
        <v>#N/A</v>
      </c>
      <c r="AK586" s="60">
        <v>301140</v>
      </c>
      <c r="AL586" s="54" t="str">
        <f>VLOOKUP(Table3[[#This Row],[ACTIVITY]],TAGS!$B:$R,16,FALSE)</f>
        <v>YES</v>
      </c>
      <c r="AM586" s="60">
        <f>Table3[[#This Row],[TARGET]]/20</f>
        <v>15057</v>
      </c>
      <c r="AN586" s="60">
        <v>200760</v>
      </c>
      <c r="AO586" s="57"/>
      <c r="AP586" s="62"/>
      <c r="AQ586" s="62"/>
      <c r="AR586" s="62"/>
      <c r="AS586" s="62">
        <v>35</v>
      </c>
      <c r="AT586" s="63" t="str">
        <f>VLOOKUP(Table3[[#This Row],[ACTIVITY]],TAGS!$B:$R,17,FALSE)</f>
        <v>YES</v>
      </c>
      <c r="AU586" s="63"/>
      <c r="AV586" s="63"/>
      <c r="AW586" s="63"/>
      <c r="AX586" s="63"/>
      <c r="AY586" s="63"/>
      <c r="AZ586" s="63"/>
      <c r="BA586" s="63"/>
      <c r="BB586" s="63"/>
      <c r="BC586" s="63"/>
      <c r="BD586" s="63"/>
      <c r="BE586" s="63"/>
      <c r="BF586" s="63"/>
      <c r="BG586" s="63"/>
      <c r="BH586" s="63"/>
      <c r="BI586" s="63"/>
      <c r="BJ586" s="63"/>
      <c r="BK586" s="63"/>
      <c r="BL586" s="63"/>
      <c r="BM586" s="63"/>
    </row>
    <row r="587" spans="1:65">
      <c r="A587" s="54" t="str">
        <f>VLOOKUP(Table3[[#This Row],[OU]],OU!$A$15:$B$34,2,FALSE)</f>
        <v>RFOs</v>
      </c>
      <c r="B587" s="60" t="s">
        <v>436</v>
      </c>
      <c r="C587" s="60" t="s">
        <v>574</v>
      </c>
      <c r="D587" s="60"/>
      <c r="E587" s="60" t="s">
        <v>63</v>
      </c>
      <c r="F587" s="60"/>
      <c r="G58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Nueva_Vizcaya</v>
      </c>
      <c r="H58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Nueva_Vizcaya</v>
      </c>
      <c r="I587" s="61" t="e">
        <f>VLOOKUP(Table3[[#This Row],[PSGC]],DISTRICT!$D:$G,4,FALSE)</f>
        <v>#N/A</v>
      </c>
      <c r="J587" s="60" t="s">
        <v>578</v>
      </c>
      <c r="K587" s="51" t="str">
        <f>VLOOKUP(Table3[[#This Row],[SPECIFIC COMMODITY]],TAGS!$W$48:$X$53,2,FALSE)</f>
        <v>Corn</v>
      </c>
      <c r="L587" s="51" t="str">
        <f>VLOOKUP(Table3[[#This Row],[PREXC SUB-PROGRAM]],Table5[],2,FALSE)</f>
        <v>TECHNICAL AND SUPPORT SERVICES PROGRAM</v>
      </c>
      <c r="M587" s="51" t="str">
        <f>VLOOKUP(Table3[[#This Row],[COMMODITY PREXC SUB-PROGRAM]],TAGS!$U$54:$V$76,2,FALSE)</f>
        <v>PSS</v>
      </c>
      <c r="N587" s="60" t="s">
        <v>576</v>
      </c>
      <c r="O587" s="54" t="str">
        <f>VLOOKUP(Table3[[#This Row],[PI LEVEL 3]],'PI LEVEL'!A:C,3,FALSE)</f>
        <v>Seeds distributed</v>
      </c>
      <c r="P587" s="54" t="str">
        <f>VLOOKUP(Table3[[#This Row],[PI LEVEL 3]],Table53729[[Performance Indicator Level 3]:[Performance Indicator Level 1]],2,FALSE)</f>
        <v>Corn Seeds distributed</v>
      </c>
      <c r="Q587" s="54" t="str">
        <f>VLOOKUP(Table3[[#This Row],[ACTIVITY]],TAGS!B:P,2,FALSE)</f>
        <v>Yellow Corn Seeds distributed</v>
      </c>
      <c r="R587" s="60" t="s">
        <v>34</v>
      </c>
      <c r="S587" s="54" t="str">
        <f>VLOOKUP(Table3[[#This Row],[ACTIVITY]],TAGS!$B:$P,4,FALSE)</f>
        <v>Yellow Corn Production Enhancement Project</v>
      </c>
      <c r="T587" s="54" t="str">
        <f>VLOOKUP(Table3[[#This Row],[ACTIVITY]],TAGS!$B:$P,5,FALSE)</f>
        <v>Corn Seed Assistance</v>
      </c>
      <c r="U587" s="54" t="str">
        <f>VLOOKUP(Table3[[#This Row],[ACTIVITY]],TAGS!$B:$P,6,FALSE)</f>
        <v>Yellow corn seeds</v>
      </c>
      <c r="V587" s="54" t="str">
        <f>VLOOKUP(Table3[[#This Row],[ACTIVITY]],TAGS!$B:$P,7,FALSE)</f>
        <v>NO</v>
      </c>
      <c r="W587" s="54" t="str">
        <f>VLOOKUP(Table3[[#This Row],[ACTIVITY]],TAGS!$B:$P,8,FALSE)</f>
        <v>PAP</v>
      </c>
      <c r="X587" s="54" t="str">
        <f>VLOOKUP(Table3[[#This Row],[ACTIVITY]],TAGS!$B:$P,10,FALSE)</f>
        <v>PIP</v>
      </c>
      <c r="Y587" s="54" t="str">
        <f>VLOOKUP(Table3[[#This Row],[ACTIVITY]],TAGS!$B:$P,11,FALSE)</f>
        <v>PICS</v>
      </c>
      <c r="Z587" s="54" t="str">
        <f>VLOOKUP(Table3[[#This Row],[ACTIVITY]],TAGS!$B:$P,12,FALSE)</f>
        <v>Consolidation</v>
      </c>
      <c r="AA587" s="54" t="str">
        <f>VLOOKUP(Table3[[#This Row],[ACTIVITY]],TAGS!$B:$P,13,FALSE)</f>
        <v>1. Bayanihan Agri Cluster</v>
      </c>
      <c r="AB587" s="54" t="str">
        <f>VLOOKUP(Table3[[#This Row],[ACTIVITY]],TAGS!$B:$P,14,FALSE)</f>
        <v>EXPAND AND IMPROVE AVAILABLE AGRI-FISHERY AREAS FOR INCREASED PRODUCTION</v>
      </c>
      <c r="AC587" s="54" t="str">
        <f>VLOOKUP(Table3[[#This Row],[ACTIVITY]],TAGS!$B:$P,15,FALSE)</f>
        <v>Farm Inputs</v>
      </c>
      <c r="AD587" s="54" t="str">
        <f>VLOOKUP(Table3[[#This Row],[PI LEVEL 3]],'PI LEVEL'!$A:$G,7,FALSE)</f>
        <v>DA-Level Output</v>
      </c>
      <c r="AE587" s="60"/>
      <c r="AF587" s="54" t="str">
        <f>VLOOKUP(Table3[[#This Row],[ACTIVITY]],TAGS!$B:$P,3,FALSE)</f>
        <v>kilogram</v>
      </c>
      <c r="AG587" s="60"/>
      <c r="AH587" s="54" t="e">
        <f>VLOOKUP(Table3[[#This Row],[MONTH]],TAGS!$W$67:$Y$81,2,FALSE)</f>
        <v>#N/A</v>
      </c>
      <c r="AI587" s="54" t="e">
        <f>VLOOKUP(Table3[[#This Row],[MONTH]],TAGS!$W$67:$Y$81,3,FALSE)</f>
        <v>#N/A</v>
      </c>
      <c r="AJ587" s="54" t="e">
        <f>VLOOKUP(Table3[[#This Row],[MONTH]],TAGS!$W$67:$Z$81,4,FALSE)</f>
        <v>#N/A</v>
      </c>
      <c r="AK587" s="60">
        <v>16200</v>
      </c>
      <c r="AL587" s="54" t="str">
        <f>VLOOKUP(Table3[[#This Row],[ACTIVITY]],TAGS!$B:$R,16,FALSE)</f>
        <v>YES</v>
      </c>
      <c r="AM587" s="60">
        <f>Table3[[#This Row],[TARGET]]/20</f>
        <v>810</v>
      </c>
      <c r="AN587" s="60">
        <v>10800</v>
      </c>
      <c r="AO587" s="57"/>
      <c r="AP587" s="62"/>
      <c r="AQ587" s="62"/>
      <c r="AR587" s="62"/>
      <c r="AS587" s="62">
        <v>9</v>
      </c>
      <c r="AT587" s="63" t="str">
        <f>VLOOKUP(Table3[[#This Row],[ACTIVITY]],TAGS!$B:$R,17,FALSE)</f>
        <v>YES</v>
      </c>
      <c r="AU587" s="63"/>
      <c r="AV587" s="63"/>
      <c r="AW587" s="63"/>
      <c r="AX587" s="63"/>
      <c r="AY587" s="63"/>
      <c r="AZ587" s="63"/>
      <c r="BA587" s="63"/>
      <c r="BB587" s="63"/>
      <c r="BC587" s="63"/>
      <c r="BD587" s="63"/>
      <c r="BE587" s="63"/>
      <c r="BF587" s="63"/>
      <c r="BG587" s="63"/>
      <c r="BH587" s="63"/>
      <c r="BI587" s="63"/>
      <c r="BJ587" s="63"/>
      <c r="BK587" s="63"/>
      <c r="BL587" s="63"/>
      <c r="BM587" s="63"/>
    </row>
    <row r="588" spans="1:65">
      <c r="A588" s="54" t="str">
        <f>VLOOKUP(Table3[[#This Row],[OU]],OU!$A$15:$B$34,2,FALSE)</f>
        <v>RFOs</v>
      </c>
      <c r="B588" s="60" t="s">
        <v>436</v>
      </c>
      <c r="C588" s="60" t="s">
        <v>574</v>
      </c>
      <c r="D588" s="60"/>
      <c r="E588" s="60" t="s">
        <v>70</v>
      </c>
      <c r="F588" s="60"/>
      <c r="G58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</v>
      </c>
      <c r="H58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Quirino</v>
      </c>
      <c r="I588" s="61" t="e">
        <f>VLOOKUP(Table3[[#This Row],[PSGC]],DISTRICT!$D:$G,4,FALSE)</f>
        <v>#N/A</v>
      </c>
      <c r="J588" s="60" t="s">
        <v>578</v>
      </c>
      <c r="K588" s="51" t="str">
        <f>VLOOKUP(Table3[[#This Row],[SPECIFIC COMMODITY]],TAGS!$W$48:$X$53,2,FALSE)</f>
        <v>Corn</v>
      </c>
      <c r="L588" s="51" t="str">
        <f>VLOOKUP(Table3[[#This Row],[PREXC SUB-PROGRAM]],Table5[],2,FALSE)</f>
        <v>TECHNICAL AND SUPPORT SERVICES PROGRAM</v>
      </c>
      <c r="M588" s="51" t="str">
        <f>VLOOKUP(Table3[[#This Row],[COMMODITY PREXC SUB-PROGRAM]],TAGS!$U$54:$V$76,2,FALSE)</f>
        <v>PSS</v>
      </c>
      <c r="N588" s="60" t="s">
        <v>576</v>
      </c>
      <c r="O588" s="54" t="str">
        <f>VLOOKUP(Table3[[#This Row],[PI LEVEL 3]],'PI LEVEL'!A:C,3,FALSE)</f>
        <v>Seeds distributed</v>
      </c>
      <c r="P588" s="54" t="str">
        <f>VLOOKUP(Table3[[#This Row],[PI LEVEL 3]],Table53729[[Performance Indicator Level 3]:[Performance Indicator Level 1]],2,FALSE)</f>
        <v>Corn Seeds distributed</v>
      </c>
      <c r="Q588" s="54" t="str">
        <f>VLOOKUP(Table3[[#This Row],[ACTIVITY]],TAGS!B:P,2,FALSE)</f>
        <v>Yellow Corn Seeds distributed</v>
      </c>
      <c r="R588" s="60" t="s">
        <v>34</v>
      </c>
      <c r="S588" s="54" t="str">
        <f>VLOOKUP(Table3[[#This Row],[ACTIVITY]],TAGS!$B:$P,4,FALSE)</f>
        <v>Yellow Corn Production Enhancement Project</v>
      </c>
      <c r="T588" s="54" t="str">
        <f>VLOOKUP(Table3[[#This Row],[ACTIVITY]],TAGS!$B:$P,5,FALSE)</f>
        <v>Corn Seed Assistance</v>
      </c>
      <c r="U588" s="54" t="str">
        <f>VLOOKUP(Table3[[#This Row],[ACTIVITY]],TAGS!$B:$P,6,FALSE)</f>
        <v>Yellow corn seeds</v>
      </c>
      <c r="V588" s="54" t="str">
        <f>VLOOKUP(Table3[[#This Row],[ACTIVITY]],TAGS!$B:$P,7,FALSE)</f>
        <v>NO</v>
      </c>
      <c r="W588" s="54" t="str">
        <f>VLOOKUP(Table3[[#This Row],[ACTIVITY]],TAGS!$B:$P,8,FALSE)</f>
        <v>PAP</v>
      </c>
      <c r="X588" s="54" t="str">
        <f>VLOOKUP(Table3[[#This Row],[ACTIVITY]],TAGS!$B:$P,10,FALSE)</f>
        <v>PIP</v>
      </c>
      <c r="Y588" s="54" t="str">
        <f>VLOOKUP(Table3[[#This Row],[ACTIVITY]],TAGS!$B:$P,11,FALSE)</f>
        <v>PICS</v>
      </c>
      <c r="Z588" s="54" t="str">
        <f>VLOOKUP(Table3[[#This Row],[ACTIVITY]],TAGS!$B:$P,12,FALSE)</f>
        <v>Consolidation</v>
      </c>
      <c r="AA588" s="54" t="str">
        <f>VLOOKUP(Table3[[#This Row],[ACTIVITY]],TAGS!$B:$P,13,FALSE)</f>
        <v>1. Bayanihan Agri Cluster</v>
      </c>
      <c r="AB588" s="54" t="str">
        <f>VLOOKUP(Table3[[#This Row],[ACTIVITY]],TAGS!$B:$P,14,FALSE)</f>
        <v>EXPAND AND IMPROVE AVAILABLE AGRI-FISHERY AREAS FOR INCREASED PRODUCTION</v>
      </c>
      <c r="AC588" s="54" t="str">
        <f>VLOOKUP(Table3[[#This Row],[ACTIVITY]],TAGS!$B:$P,15,FALSE)</f>
        <v>Farm Inputs</v>
      </c>
      <c r="AD588" s="54" t="str">
        <f>VLOOKUP(Table3[[#This Row],[PI LEVEL 3]],'PI LEVEL'!$A:$G,7,FALSE)</f>
        <v>DA-Level Output</v>
      </c>
      <c r="AE588" s="60"/>
      <c r="AF588" s="54" t="str">
        <f>VLOOKUP(Table3[[#This Row],[ACTIVITY]],TAGS!$B:$P,3,FALSE)</f>
        <v>kilogram</v>
      </c>
      <c r="AG588" s="60"/>
      <c r="AH588" s="54" t="e">
        <f>VLOOKUP(Table3[[#This Row],[MONTH]],TAGS!$W$67:$Y$81,2,FALSE)</f>
        <v>#N/A</v>
      </c>
      <c r="AI588" s="54" t="e">
        <f>VLOOKUP(Table3[[#This Row],[MONTH]],TAGS!$W$67:$Y$81,3,FALSE)</f>
        <v>#N/A</v>
      </c>
      <c r="AJ588" s="54" t="e">
        <f>VLOOKUP(Table3[[#This Row],[MONTH]],TAGS!$W$67:$Z$81,4,FALSE)</f>
        <v>#N/A</v>
      </c>
      <c r="AK588" s="60">
        <v>43650</v>
      </c>
      <c r="AL588" s="54" t="str">
        <f>VLOOKUP(Table3[[#This Row],[ACTIVITY]],TAGS!$B:$R,16,FALSE)</f>
        <v>YES</v>
      </c>
      <c r="AM588" s="60">
        <f>Table3[[#This Row],[TARGET]]/20</f>
        <v>2182.5</v>
      </c>
      <c r="AN588" s="60">
        <v>29100</v>
      </c>
      <c r="AO588" s="57"/>
      <c r="AP588" s="62"/>
      <c r="AQ588" s="62"/>
      <c r="AR588" s="62"/>
      <c r="AS588" s="62">
        <v>6</v>
      </c>
      <c r="AT588" s="63" t="str">
        <f>VLOOKUP(Table3[[#This Row],[ACTIVITY]],TAGS!$B:$R,17,FALSE)</f>
        <v>YES</v>
      </c>
      <c r="AU588" s="63"/>
      <c r="AV588" s="63"/>
      <c r="AW588" s="63"/>
      <c r="AX588" s="63"/>
      <c r="AY588" s="63"/>
      <c r="AZ588" s="63"/>
      <c r="BA588" s="63"/>
      <c r="BB588" s="63"/>
      <c r="BC588" s="63"/>
      <c r="BD588" s="63"/>
      <c r="BE588" s="63"/>
      <c r="BF588" s="63"/>
      <c r="BG588" s="63"/>
      <c r="BH588" s="63"/>
      <c r="BI588" s="63"/>
      <c r="BJ588" s="63"/>
      <c r="BK588" s="63"/>
      <c r="BL588" s="63"/>
      <c r="BM588" s="63"/>
    </row>
    <row r="589" spans="1:65">
      <c r="A589" s="54" t="str">
        <f>VLOOKUP(Table3[[#This Row],[OU]],OU!$A$15:$B$34,2,FALSE)</f>
        <v>RFOs</v>
      </c>
      <c r="B589" s="60" t="s">
        <v>436</v>
      </c>
      <c r="C589" s="60" t="s">
        <v>574</v>
      </c>
      <c r="D589" s="60"/>
      <c r="E589" s="60" t="s">
        <v>22</v>
      </c>
      <c r="F589" s="60"/>
      <c r="G58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58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589" s="61" t="e">
        <f>VLOOKUP(Table3[[#This Row],[PSGC]],DISTRICT!$D:$G,4,FALSE)</f>
        <v>#N/A</v>
      </c>
      <c r="J589" s="60" t="s">
        <v>578</v>
      </c>
      <c r="K589" s="51" t="str">
        <f>VLOOKUP(Table3[[#This Row],[SPECIFIC COMMODITY]],TAGS!$W$48:$X$53,2,FALSE)</f>
        <v>Corn</v>
      </c>
      <c r="L589" s="51" t="str">
        <f>VLOOKUP(Table3[[#This Row],[PREXC SUB-PROGRAM]],Table5[],2,FALSE)</f>
        <v>TECHNICAL AND SUPPORT SERVICES PROGRAM</v>
      </c>
      <c r="M589" s="51" t="str">
        <f>VLOOKUP(Table3[[#This Row],[COMMODITY PREXC SUB-PROGRAM]],TAGS!$U$54:$V$76,2,FALSE)</f>
        <v>PSS</v>
      </c>
      <c r="N589" s="60" t="s">
        <v>576</v>
      </c>
      <c r="O589" s="54" t="str">
        <f>VLOOKUP(Table3[[#This Row],[PI LEVEL 3]],'PI LEVEL'!A:C,3,FALSE)</f>
        <v>Seeds distributed</v>
      </c>
      <c r="P589" s="54" t="str">
        <f>VLOOKUP(Table3[[#This Row],[PI LEVEL 3]],Table53729[[Performance Indicator Level 3]:[Performance Indicator Level 1]],2,FALSE)</f>
        <v>Corn Seeds distributed</v>
      </c>
      <c r="Q589" s="54" t="str">
        <f>VLOOKUP(Table3[[#This Row],[ACTIVITY]],TAGS!B:P,2,FALSE)</f>
        <v>Yellow Corn Seeds distributed</v>
      </c>
      <c r="R589" s="60" t="s">
        <v>26</v>
      </c>
      <c r="S589" s="54" t="str">
        <f>VLOOKUP(Table3[[#This Row],[ACTIVITY]],TAGS!$B:$P,4,FALSE)</f>
        <v>Recommended Corn Production Technology</v>
      </c>
      <c r="T589" s="54" t="str">
        <f>VLOOKUP(Table3[[#This Row],[ACTIVITY]],TAGS!$B:$P,5,FALSE)</f>
        <v>Corn Seed Assistance</v>
      </c>
      <c r="U589" s="54" t="str">
        <f>VLOOKUP(Table3[[#This Row],[ACTIVITY]],TAGS!$B:$P,6,FALSE)</f>
        <v>Yellow corn seeds</v>
      </c>
      <c r="V589" s="54" t="str">
        <f>VLOOKUP(Table3[[#This Row],[ACTIVITY]],TAGS!$B:$P,7,FALSE)</f>
        <v>NO</v>
      </c>
      <c r="W589" s="54" t="str">
        <f>VLOOKUP(Table3[[#This Row],[ACTIVITY]],TAGS!$B:$P,8,FALSE)</f>
        <v>PAP</v>
      </c>
      <c r="X589" s="54" t="str">
        <f>VLOOKUP(Table3[[#This Row],[ACTIVITY]],TAGS!$B:$P,10,FALSE)</f>
        <v>PIP</v>
      </c>
      <c r="Y589" s="54" t="str">
        <f>VLOOKUP(Table3[[#This Row],[ACTIVITY]],TAGS!$B:$P,11,FALSE)</f>
        <v>PICS</v>
      </c>
      <c r="Z589" s="54" t="str">
        <f>VLOOKUP(Table3[[#This Row],[ACTIVITY]],TAGS!$B:$P,12,FALSE)</f>
        <v>Consolidation</v>
      </c>
      <c r="AA589" s="54" t="str">
        <f>VLOOKUP(Table3[[#This Row],[ACTIVITY]],TAGS!$B:$P,13,FALSE)</f>
        <v>1. Bayanihan Agri Cluster</v>
      </c>
      <c r="AB589" s="54" t="str">
        <f>VLOOKUP(Table3[[#This Row],[ACTIVITY]],TAGS!$B:$P,14,FALSE)</f>
        <v>EXPAND AND IMPROVE AVAILABLE AGRI-FISHERY AREAS FOR INCREASED PRODUCTION</v>
      </c>
      <c r="AC589" s="54" t="str">
        <f>VLOOKUP(Table3[[#This Row],[ACTIVITY]],TAGS!$B:$P,15,FALSE)</f>
        <v>Farm Inputs</v>
      </c>
      <c r="AD589" s="54" t="str">
        <f>VLOOKUP(Table3[[#This Row],[PI LEVEL 3]],'PI LEVEL'!$A:$G,7,FALSE)</f>
        <v>DA-Level Output</v>
      </c>
      <c r="AE589" s="60"/>
      <c r="AF589" s="54" t="str">
        <f>VLOOKUP(Table3[[#This Row],[ACTIVITY]],TAGS!$B:$P,3,FALSE)</f>
        <v>kilogram</v>
      </c>
      <c r="AG589" s="60"/>
      <c r="AH589" s="54" t="e">
        <f>VLOOKUP(Table3[[#This Row],[MONTH]],TAGS!$W$67:$Y$81,2,FALSE)</f>
        <v>#N/A</v>
      </c>
      <c r="AI589" s="54" t="e">
        <f>VLOOKUP(Table3[[#This Row],[MONTH]],TAGS!$W$67:$Y$81,3,FALSE)</f>
        <v>#N/A</v>
      </c>
      <c r="AJ589" s="54" t="e">
        <f>VLOOKUP(Table3[[#This Row],[MONTH]],TAGS!$W$67:$Z$81,4,FALSE)</f>
        <v>#N/A</v>
      </c>
      <c r="AK589" s="60">
        <v>9000</v>
      </c>
      <c r="AL589" s="54" t="str">
        <f>VLOOKUP(Table3[[#This Row],[ACTIVITY]],TAGS!$B:$R,16,FALSE)</f>
        <v>YES</v>
      </c>
      <c r="AM589" s="60">
        <f>Table3[[#This Row],[TARGET]]/20</f>
        <v>450</v>
      </c>
      <c r="AN589" s="60">
        <v>6000</v>
      </c>
      <c r="AO589" s="57"/>
      <c r="AP589" s="62"/>
      <c r="AQ589" s="62"/>
      <c r="AR589" s="62"/>
      <c r="AS589" s="62">
        <v>2</v>
      </c>
      <c r="AT589" s="63" t="str">
        <f>VLOOKUP(Table3[[#This Row],[ACTIVITY]],TAGS!$B:$R,17,FALSE)</f>
        <v>YES</v>
      </c>
      <c r="AU589" s="63"/>
      <c r="AV589" s="63"/>
      <c r="AW589" s="63"/>
      <c r="AX589" s="63"/>
      <c r="AY589" s="63"/>
      <c r="AZ589" s="63"/>
      <c r="BA589" s="63"/>
      <c r="BB589" s="63"/>
      <c r="BC589" s="63"/>
      <c r="BD589" s="63"/>
      <c r="BE589" s="63"/>
      <c r="BF589" s="63"/>
      <c r="BG589" s="63"/>
      <c r="BH589" s="63"/>
      <c r="BI589" s="63"/>
      <c r="BJ589" s="63"/>
      <c r="BK589" s="63"/>
      <c r="BL589" s="63"/>
      <c r="BM589" s="63"/>
    </row>
    <row r="590" spans="1:65">
      <c r="A590" s="54" t="str">
        <f>VLOOKUP(Table3[[#This Row],[OU]],OU!$A$15:$B$34,2,FALSE)</f>
        <v>RFOs</v>
      </c>
      <c r="B590" s="60" t="s">
        <v>436</v>
      </c>
      <c r="C590" s="60" t="s">
        <v>574</v>
      </c>
      <c r="D590" s="60"/>
      <c r="E590" s="60" t="s">
        <v>43</v>
      </c>
      <c r="F590" s="60"/>
      <c r="G59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59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590" s="61" t="e">
        <f>VLOOKUP(Table3[[#This Row],[PSGC]],DISTRICT!$D:$G,4,FALSE)</f>
        <v>#N/A</v>
      </c>
      <c r="J590" s="60" t="s">
        <v>578</v>
      </c>
      <c r="K590" s="51" t="str">
        <f>VLOOKUP(Table3[[#This Row],[SPECIFIC COMMODITY]],TAGS!$W$48:$X$53,2,FALSE)</f>
        <v>Corn</v>
      </c>
      <c r="L590" s="51" t="str">
        <f>VLOOKUP(Table3[[#This Row],[PREXC SUB-PROGRAM]],Table5[],2,FALSE)</f>
        <v>TECHNICAL AND SUPPORT SERVICES PROGRAM</v>
      </c>
      <c r="M590" s="51" t="str">
        <f>VLOOKUP(Table3[[#This Row],[COMMODITY PREXC SUB-PROGRAM]],TAGS!$U$54:$V$76,2,FALSE)</f>
        <v>PSS</v>
      </c>
      <c r="N590" s="60" t="s">
        <v>576</v>
      </c>
      <c r="O590" s="54" t="str">
        <f>VLOOKUP(Table3[[#This Row],[PI LEVEL 3]],'PI LEVEL'!A:C,3,FALSE)</f>
        <v>Seeds distributed</v>
      </c>
      <c r="P590" s="54" t="str">
        <f>VLOOKUP(Table3[[#This Row],[PI LEVEL 3]],Table53729[[Performance Indicator Level 3]:[Performance Indicator Level 1]],2,FALSE)</f>
        <v>Corn Seeds distributed</v>
      </c>
      <c r="Q590" s="54" t="str">
        <f>VLOOKUP(Table3[[#This Row],[ACTIVITY]],TAGS!B:P,2,FALSE)</f>
        <v>Yellow Corn Seeds distributed</v>
      </c>
      <c r="R590" s="60" t="s">
        <v>26</v>
      </c>
      <c r="S590" s="54" t="str">
        <f>VLOOKUP(Table3[[#This Row],[ACTIVITY]],TAGS!$B:$P,4,FALSE)</f>
        <v>Recommended Corn Production Technology</v>
      </c>
      <c r="T590" s="54" t="str">
        <f>VLOOKUP(Table3[[#This Row],[ACTIVITY]],TAGS!$B:$P,5,FALSE)</f>
        <v>Corn Seed Assistance</v>
      </c>
      <c r="U590" s="54" t="str">
        <f>VLOOKUP(Table3[[#This Row],[ACTIVITY]],TAGS!$B:$P,6,FALSE)</f>
        <v>Yellow corn seeds</v>
      </c>
      <c r="V590" s="54" t="str">
        <f>VLOOKUP(Table3[[#This Row],[ACTIVITY]],TAGS!$B:$P,7,FALSE)</f>
        <v>NO</v>
      </c>
      <c r="W590" s="54" t="str">
        <f>VLOOKUP(Table3[[#This Row],[ACTIVITY]],TAGS!$B:$P,8,FALSE)</f>
        <v>PAP</v>
      </c>
      <c r="X590" s="54" t="str">
        <f>VLOOKUP(Table3[[#This Row],[ACTIVITY]],TAGS!$B:$P,10,FALSE)</f>
        <v>PIP</v>
      </c>
      <c r="Y590" s="54" t="str">
        <f>VLOOKUP(Table3[[#This Row],[ACTIVITY]],TAGS!$B:$P,11,FALSE)</f>
        <v>PICS</v>
      </c>
      <c r="Z590" s="54" t="str">
        <f>VLOOKUP(Table3[[#This Row],[ACTIVITY]],TAGS!$B:$P,12,FALSE)</f>
        <v>Consolidation</v>
      </c>
      <c r="AA590" s="54" t="str">
        <f>VLOOKUP(Table3[[#This Row],[ACTIVITY]],TAGS!$B:$P,13,FALSE)</f>
        <v>1. Bayanihan Agri Cluster</v>
      </c>
      <c r="AB590" s="54" t="str">
        <f>VLOOKUP(Table3[[#This Row],[ACTIVITY]],TAGS!$B:$P,14,FALSE)</f>
        <v>EXPAND AND IMPROVE AVAILABLE AGRI-FISHERY AREAS FOR INCREASED PRODUCTION</v>
      </c>
      <c r="AC590" s="54" t="str">
        <f>VLOOKUP(Table3[[#This Row],[ACTIVITY]],TAGS!$B:$P,15,FALSE)</f>
        <v>Farm Inputs</v>
      </c>
      <c r="AD590" s="54" t="str">
        <f>VLOOKUP(Table3[[#This Row],[PI LEVEL 3]],'PI LEVEL'!$A:$G,7,FALSE)</f>
        <v>DA-Level Output</v>
      </c>
      <c r="AE590" s="60"/>
      <c r="AF590" s="54" t="str">
        <f>VLOOKUP(Table3[[#This Row],[ACTIVITY]],TAGS!$B:$P,3,FALSE)</f>
        <v>kilogram</v>
      </c>
      <c r="AG590" s="60"/>
      <c r="AH590" s="54" t="e">
        <f>VLOOKUP(Table3[[#This Row],[MONTH]],TAGS!$W$67:$Y$81,2,FALSE)</f>
        <v>#N/A</v>
      </c>
      <c r="AI590" s="54" t="e">
        <f>VLOOKUP(Table3[[#This Row],[MONTH]],TAGS!$W$67:$Y$81,3,FALSE)</f>
        <v>#N/A</v>
      </c>
      <c r="AJ590" s="54" t="e">
        <f>VLOOKUP(Table3[[#This Row],[MONTH]],TAGS!$W$67:$Z$81,4,FALSE)</f>
        <v>#N/A</v>
      </c>
      <c r="AK590" s="60">
        <v>9000</v>
      </c>
      <c r="AL590" s="54" t="str">
        <f>VLOOKUP(Table3[[#This Row],[ACTIVITY]],TAGS!$B:$R,16,FALSE)</f>
        <v>YES</v>
      </c>
      <c r="AM590" s="60">
        <f>Table3[[#This Row],[TARGET]]/20</f>
        <v>450</v>
      </c>
      <c r="AN590" s="60">
        <v>6000</v>
      </c>
      <c r="AO590" s="57"/>
      <c r="AP590" s="62"/>
      <c r="AQ590" s="62"/>
      <c r="AR590" s="62"/>
      <c r="AS590" s="62">
        <v>2</v>
      </c>
      <c r="AT590" s="63" t="str">
        <f>VLOOKUP(Table3[[#This Row],[ACTIVITY]],TAGS!$B:$R,17,FALSE)</f>
        <v>YES</v>
      </c>
      <c r="AU590" s="63"/>
      <c r="AV590" s="63"/>
      <c r="AW590" s="63"/>
      <c r="AX590" s="63"/>
      <c r="AY590" s="63"/>
      <c r="AZ590" s="63"/>
      <c r="BA590" s="63"/>
      <c r="BB590" s="63"/>
      <c r="BC590" s="63"/>
      <c r="BD590" s="63"/>
      <c r="BE590" s="63"/>
      <c r="BF590" s="63"/>
      <c r="BG590" s="63"/>
      <c r="BH590" s="63"/>
      <c r="BI590" s="63"/>
      <c r="BJ590" s="63"/>
      <c r="BK590" s="63"/>
      <c r="BL590" s="63"/>
      <c r="BM590" s="63"/>
    </row>
    <row r="591" spans="1:65">
      <c r="A591" s="54" t="str">
        <f>VLOOKUP(Table3[[#This Row],[OU]],OU!$A$15:$B$34,2,FALSE)</f>
        <v>RFOs</v>
      </c>
      <c r="B591" s="60" t="s">
        <v>436</v>
      </c>
      <c r="C591" s="60" t="s">
        <v>574</v>
      </c>
      <c r="D591" s="60"/>
      <c r="E591" s="60" t="s">
        <v>78</v>
      </c>
      <c r="F591" s="60"/>
      <c r="G59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59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591" s="61" t="e">
        <f>VLOOKUP(Table3[[#This Row],[PSGC]],DISTRICT!$D:$G,4,FALSE)</f>
        <v>#N/A</v>
      </c>
      <c r="J591" s="60" t="s">
        <v>578</v>
      </c>
      <c r="K591" s="51" t="str">
        <f>VLOOKUP(Table3[[#This Row],[SPECIFIC COMMODITY]],TAGS!$W$48:$X$53,2,FALSE)</f>
        <v>Corn</v>
      </c>
      <c r="L591" s="51" t="str">
        <f>VLOOKUP(Table3[[#This Row],[PREXC SUB-PROGRAM]],Table5[],2,FALSE)</f>
        <v>TECHNICAL AND SUPPORT SERVICES PROGRAM</v>
      </c>
      <c r="M591" s="51" t="str">
        <f>VLOOKUP(Table3[[#This Row],[COMMODITY PREXC SUB-PROGRAM]],TAGS!$U$54:$V$76,2,FALSE)</f>
        <v>PSS</v>
      </c>
      <c r="N591" s="60" t="s">
        <v>576</v>
      </c>
      <c r="O591" s="54" t="str">
        <f>VLOOKUP(Table3[[#This Row],[PI LEVEL 3]],'PI LEVEL'!A:C,3,FALSE)</f>
        <v>Seeds reserved</v>
      </c>
      <c r="P591" s="54" t="str">
        <f>VLOOKUP(Table3[[#This Row],[PI LEVEL 3]],Table53729[[Performance Indicator Level 3]:[Performance Indicator Level 1]],2,FALSE)</f>
        <v>Corn Seeds reserved</v>
      </c>
      <c r="Q591" s="54" t="str">
        <f>VLOOKUP(Table3[[#This Row],[ACTIVITY]],TAGS!B:P,2,FALSE)</f>
        <v>Yellow Corn Seeds reserved</v>
      </c>
      <c r="R591" s="60" t="s">
        <v>82</v>
      </c>
      <c r="S591" s="54" t="str">
        <f>VLOOKUP(Table3[[#This Row],[ACTIVITY]],TAGS!$B:$P,4,FALSE)</f>
        <v>Corn Seed Reserve</v>
      </c>
      <c r="T591" s="54" t="str">
        <f>VLOOKUP(Table3[[#This Row],[ACTIVITY]],TAGS!$B:$P,5,FALSE)</f>
        <v>Corn Seed Reserve</v>
      </c>
      <c r="U591" s="54" t="str">
        <f>VLOOKUP(Table3[[#This Row],[ACTIVITY]],TAGS!$B:$P,6,FALSE)</f>
        <v>Yellow corn seeds reserve</v>
      </c>
      <c r="V591" s="54" t="str">
        <f>VLOOKUP(Table3[[#This Row],[ACTIVITY]],TAGS!$B:$P,7,FALSE)</f>
        <v>YES</v>
      </c>
      <c r="W591" s="54" t="str">
        <f>VLOOKUP(Table3[[#This Row],[ACTIVITY]],TAGS!$B:$P,8,FALSE)</f>
        <v>PAP</v>
      </c>
      <c r="X591" s="54" t="str">
        <f>VLOOKUP(Table3[[#This Row],[ACTIVITY]],TAGS!$B:$P,10,FALSE)</f>
        <v>PIP</v>
      </c>
      <c r="Y591" s="54" t="str">
        <f>VLOOKUP(Table3[[#This Row],[ACTIVITY]],TAGS!$B:$P,11,FALSE)</f>
        <v>PICS</v>
      </c>
      <c r="Z591" s="54" t="str">
        <f>VLOOKUP(Table3[[#This Row],[ACTIVITY]],TAGS!$B:$P,12,FALSE)</f>
        <v>Modernization</v>
      </c>
      <c r="AA591" s="54" t="str">
        <f>VLOOKUP(Table3[[#This Row],[ACTIVITY]],TAGS!$B:$P,13,FALSE)</f>
        <v>9. Climate Change Adaptation &amp; Mitigation Measures</v>
      </c>
      <c r="AB591" s="54" t="str">
        <f>VLOOKUP(Table3[[#This Row],[ACTIVITY]],TAGS!$B:$P,14,FALSE)</f>
        <v>EXPAND AND IMPROVE AVAILABLE AGRI-FISHERY AREAS FOR INCREASED PRODUCTION</v>
      </c>
      <c r="AC591" s="54" t="str">
        <f>VLOOKUP(Table3[[#This Row],[ACTIVITY]],TAGS!$B:$P,15,FALSE)</f>
        <v>Seed Reserve</v>
      </c>
      <c r="AD591" s="54" t="str">
        <f>VLOOKUP(Table3[[#This Row],[PI LEVEL 3]],'PI LEVEL'!$A:$G,7,FALSE)</f>
        <v>DA-Level Output</v>
      </c>
      <c r="AE591" s="60"/>
      <c r="AF591" s="54" t="str">
        <f>VLOOKUP(Table3[[#This Row],[ACTIVITY]],TAGS!$B:$P,3,FALSE)</f>
        <v>kilogram</v>
      </c>
      <c r="AG591" s="60"/>
      <c r="AH591" s="54" t="e">
        <f>VLOOKUP(Table3[[#This Row],[MONTH]],TAGS!$W$67:$Y$81,2,FALSE)</f>
        <v>#N/A</v>
      </c>
      <c r="AI591" s="54" t="e">
        <f>VLOOKUP(Table3[[#This Row],[MONTH]],TAGS!$W$67:$Y$81,3,FALSE)</f>
        <v>#N/A</v>
      </c>
      <c r="AJ591" s="54" t="e">
        <f>VLOOKUP(Table3[[#This Row],[MONTH]],TAGS!$W$67:$Z$81,4,FALSE)</f>
        <v>#N/A</v>
      </c>
      <c r="AK591" s="60">
        <v>3000</v>
      </c>
      <c r="AL591" s="54" t="str">
        <f>VLOOKUP(Table3[[#This Row],[ACTIVITY]],TAGS!$B:$R,16,FALSE)</f>
        <v>YES</v>
      </c>
      <c r="AM591" s="60">
        <f>Table3[[#This Row],[TARGET]]/20</f>
        <v>150</v>
      </c>
      <c r="AN591" s="60">
        <v>300</v>
      </c>
      <c r="AO591" s="57"/>
      <c r="AP591" s="62"/>
      <c r="AQ591" s="62"/>
      <c r="AR591" s="62"/>
      <c r="AS591" s="62"/>
      <c r="AT591" s="63" t="str">
        <f>VLOOKUP(Table3[[#This Row],[ACTIVITY]],TAGS!$B:$R,17,FALSE)</f>
        <v>NO</v>
      </c>
      <c r="AU591" s="63"/>
      <c r="AV591" s="63"/>
      <c r="AW591" s="63"/>
      <c r="AX591" s="63"/>
      <c r="AY591" s="63"/>
      <c r="AZ591" s="63"/>
      <c r="BA591" s="63"/>
      <c r="BB591" s="63"/>
      <c r="BC591" s="63"/>
      <c r="BD591" s="63"/>
      <c r="BE591" s="63"/>
      <c r="BF591" s="63"/>
      <c r="BG591" s="63"/>
      <c r="BH591" s="63"/>
      <c r="BI591" s="63"/>
      <c r="BJ591" s="63"/>
      <c r="BK591" s="63"/>
      <c r="BL591" s="63"/>
      <c r="BM591" s="63"/>
    </row>
    <row r="592" spans="1:65">
      <c r="A592" s="54" t="str">
        <f>VLOOKUP(Table3[[#This Row],[OU]],OU!$A$15:$B$34,2,FALSE)</f>
        <v>RFOs</v>
      </c>
      <c r="B592" s="60" t="s">
        <v>436</v>
      </c>
      <c r="C592" s="60" t="s">
        <v>574</v>
      </c>
      <c r="D592" s="60"/>
      <c r="E592" s="60" t="s">
        <v>78</v>
      </c>
      <c r="F592" s="60"/>
      <c r="G59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59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592" s="61" t="e">
        <f>VLOOKUP(Table3[[#This Row],[PSGC]],DISTRICT!$D:$G,4,FALSE)</f>
        <v>#N/A</v>
      </c>
      <c r="J592" s="60" t="s">
        <v>578</v>
      </c>
      <c r="K592" s="51" t="str">
        <f>VLOOKUP(Table3[[#This Row],[SPECIFIC COMMODITY]],TAGS!$W$48:$X$53,2,FALSE)</f>
        <v>Corn</v>
      </c>
      <c r="L592" s="51" t="str">
        <f>VLOOKUP(Table3[[#This Row],[PREXC SUB-PROGRAM]],Table5[],2,FALSE)</f>
        <v>TECHNICAL AND SUPPORT SERVICES PROGRAM</v>
      </c>
      <c r="M592" s="51" t="str">
        <f>VLOOKUP(Table3[[#This Row],[COMMODITY PREXC SUB-PROGRAM]],TAGS!$U$54:$V$76,2,FALSE)</f>
        <v>PSS</v>
      </c>
      <c r="N592" s="60" t="s">
        <v>576</v>
      </c>
      <c r="O592" s="54" t="str">
        <f>VLOOKUP(Table3[[#This Row],[PI LEVEL 3]],'PI LEVEL'!A:C,3,FALSE)</f>
        <v>Seeds reserved</v>
      </c>
      <c r="P592" s="54" t="str">
        <f>VLOOKUP(Table3[[#This Row],[PI LEVEL 3]],Table53729[[Performance Indicator Level 3]:[Performance Indicator Level 1]],2,FALSE)</f>
        <v>Corn Seeds reserved</v>
      </c>
      <c r="Q592" s="54" t="str">
        <f>VLOOKUP(Table3[[#This Row],[ACTIVITY]],TAGS!B:P,2,FALSE)</f>
        <v>Yellow Corn Seeds reserved</v>
      </c>
      <c r="R592" s="60" t="s">
        <v>84</v>
      </c>
      <c r="S592" s="54" t="str">
        <f>VLOOKUP(Table3[[#This Row],[ACTIVITY]],TAGS!$B:$P,4,FALSE)</f>
        <v>Corn Seed Reserve</v>
      </c>
      <c r="T592" s="54" t="str">
        <f>VLOOKUP(Table3[[#This Row],[ACTIVITY]],TAGS!$B:$P,5,FALSE)</f>
        <v>Corn Seed Reserve</v>
      </c>
      <c r="U592" s="54" t="str">
        <f>VLOOKUP(Table3[[#This Row],[ACTIVITY]],TAGS!$B:$P,6,FALSE)</f>
        <v>Yellow corn seeds reserve</v>
      </c>
      <c r="V592" s="54" t="str">
        <f>VLOOKUP(Table3[[#This Row],[ACTIVITY]],TAGS!$B:$P,7,FALSE)</f>
        <v>YES</v>
      </c>
      <c r="W592" s="54" t="str">
        <f>VLOOKUP(Table3[[#This Row],[ACTIVITY]],TAGS!$B:$P,8,FALSE)</f>
        <v>PAP</v>
      </c>
      <c r="X592" s="54" t="str">
        <f>VLOOKUP(Table3[[#This Row],[ACTIVITY]],TAGS!$B:$P,10,FALSE)</f>
        <v>PIP</v>
      </c>
      <c r="Y592" s="54" t="str">
        <f>VLOOKUP(Table3[[#This Row],[ACTIVITY]],TAGS!$B:$P,11,FALSE)</f>
        <v>PICS</v>
      </c>
      <c r="Z592" s="54" t="str">
        <f>VLOOKUP(Table3[[#This Row],[ACTIVITY]],TAGS!$B:$P,12,FALSE)</f>
        <v>Modernization</v>
      </c>
      <c r="AA592" s="54" t="str">
        <f>VLOOKUP(Table3[[#This Row],[ACTIVITY]],TAGS!$B:$P,13,FALSE)</f>
        <v>9. Climate Change Adaptation &amp; Mitigation Measures</v>
      </c>
      <c r="AB592" s="54" t="str">
        <f>VLOOKUP(Table3[[#This Row],[ACTIVITY]],TAGS!$B:$P,14,FALSE)</f>
        <v>EXPAND AND IMPROVE AVAILABLE AGRI-FISHERY AREAS FOR INCREASED PRODUCTION</v>
      </c>
      <c r="AC592" s="54" t="str">
        <f>VLOOKUP(Table3[[#This Row],[ACTIVITY]],TAGS!$B:$P,15,FALSE)</f>
        <v>Seed Reserve</v>
      </c>
      <c r="AD592" s="54" t="str">
        <f>VLOOKUP(Table3[[#This Row],[PI LEVEL 3]],'PI LEVEL'!$A:$G,7,FALSE)</f>
        <v>DA-Level Output</v>
      </c>
      <c r="AE592" s="60"/>
      <c r="AF592" s="54" t="str">
        <f>VLOOKUP(Table3[[#This Row],[ACTIVITY]],TAGS!$B:$P,3,FALSE)</f>
        <v>kilogram</v>
      </c>
      <c r="AG592" s="60"/>
      <c r="AH592" s="54" t="e">
        <f>VLOOKUP(Table3[[#This Row],[MONTH]],TAGS!$W$67:$Y$81,2,FALSE)</f>
        <v>#N/A</v>
      </c>
      <c r="AI592" s="54" t="e">
        <f>VLOOKUP(Table3[[#This Row],[MONTH]],TAGS!$W$67:$Y$81,3,FALSE)</f>
        <v>#N/A</v>
      </c>
      <c r="AJ592" s="54" t="e">
        <f>VLOOKUP(Table3[[#This Row],[MONTH]],TAGS!$W$67:$Z$81,4,FALSE)</f>
        <v>#N/A</v>
      </c>
      <c r="AK592" s="60">
        <v>375894</v>
      </c>
      <c r="AL592" s="54" t="str">
        <f>VLOOKUP(Table3[[#This Row],[ACTIVITY]],TAGS!$B:$R,16,FALSE)</f>
        <v>YES</v>
      </c>
      <c r="AM592" s="60">
        <f>Table3[[#This Row],[TARGET]]/20</f>
        <v>18794.7</v>
      </c>
      <c r="AN592" s="60">
        <v>250596</v>
      </c>
      <c r="AO592" s="57"/>
      <c r="AP592" s="62"/>
      <c r="AQ592" s="62"/>
      <c r="AR592" s="62"/>
      <c r="AS592" s="62"/>
      <c r="AT592" s="63" t="str">
        <f>VLOOKUP(Table3[[#This Row],[ACTIVITY]],TAGS!$B:$R,17,FALSE)</f>
        <v>NO</v>
      </c>
      <c r="AU592" s="63"/>
      <c r="AV592" s="63"/>
      <c r="AW592" s="63"/>
      <c r="AX592" s="63"/>
      <c r="AY592" s="63"/>
      <c r="AZ592" s="63"/>
      <c r="BA592" s="63"/>
      <c r="BB592" s="63"/>
      <c r="BC592" s="63"/>
      <c r="BD592" s="63"/>
      <c r="BE592" s="63"/>
      <c r="BF592" s="63"/>
      <c r="BG592" s="63"/>
      <c r="BH592" s="63"/>
      <c r="BI592" s="63"/>
      <c r="BJ592" s="63"/>
      <c r="BK592" s="63"/>
      <c r="BL592" s="63"/>
      <c r="BM592" s="63"/>
    </row>
    <row r="593" spans="1:65">
      <c r="A593" s="54" t="str">
        <f>VLOOKUP(Table3[[#This Row],[OU]],OU!$A$15:$B$34,2,FALSE)</f>
        <v>RFOs</v>
      </c>
      <c r="B593" s="60" t="s">
        <v>436</v>
      </c>
      <c r="C593" s="60" t="s">
        <v>574</v>
      </c>
      <c r="D593" s="60"/>
      <c r="E593" s="60" t="s">
        <v>22</v>
      </c>
      <c r="F593" s="60"/>
      <c r="G59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59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593" s="61" t="e">
        <f>VLOOKUP(Table3[[#This Row],[PSGC]],DISTRICT!$D:$G,4,FALSE)</f>
        <v>#N/A</v>
      </c>
      <c r="J593" s="60" t="s">
        <v>578</v>
      </c>
      <c r="K593" s="51" t="str">
        <f>VLOOKUP(Table3[[#This Row],[SPECIFIC COMMODITY]],TAGS!$W$48:$X$53,2,FALSE)</f>
        <v>Corn</v>
      </c>
      <c r="L593" s="51" t="str">
        <f>VLOOKUP(Table3[[#This Row],[PREXC SUB-PROGRAM]],Table5[],2,FALSE)</f>
        <v>TECHNICAL AND SUPPORT SERVICES PROGRAM</v>
      </c>
      <c r="M593" s="51" t="str">
        <f>VLOOKUP(Table3[[#This Row],[COMMODITY PREXC SUB-PROGRAM]],TAGS!$U$54:$V$76,2,FALSE)</f>
        <v>PSS</v>
      </c>
      <c r="N593" s="60" t="s">
        <v>576</v>
      </c>
      <c r="O593" s="54" t="str">
        <f>VLOOKUP(Table3[[#This Row],[PI LEVEL 3]],'PI LEVEL'!A:C,3,FALSE)</f>
        <v>Fertilizers and other soil ammendment distributed</v>
      </c>
      <c r="P593" s="54" t="str">
        <f>VLOOKUP(Table3[[#This Row],[PI LEVEL 3]],Table53729[[Performance Indicator Level 3]:[Performance Indicator Level 1]],2,FALSE)</f>
        <v>Fertilizers distributed</v>
      </c>
      <c r="Q593" s="54" t="str">
        <f>VLOOKUP(Table3[[#This Row],[ACTIVITY]],TAGS!B:P,2,FALSE)</f>
        <v>Inorganic fertilizer distributed</v>
      </c>
      <c r="R593" s="60" t="s">
        <v>36</v>
      </c>
      <c r="S593" s="54" t="str">
        <f>VLOOKUP(Table3[[#This Row],[ACTIVITY]],TAGS!$B:$P,4,FALSE)</f>
        <v>Yellow Corn Production Enhancement Project</v>
      </c>
      <c r="T593" s="54" t="str">
        <f>VLOOKUP(Table3[[#This Row],[ACTIVITY]],TAGS!$B:$P,5,FALSE)</f>
        <v>Soil Fertilization</v>
      </c>
      <c r="U593" s="54" t="str">
        <f>VLOOKUP(Table3[[#This Row],[ACTIVITY]],TAGS!$B:$P,6,FALSE)</f>
        <v>Inorganic fertilizer</v>
      </c>
      <c r="V593" s="54" t="str">
        <f>VLOOKUP(Table3[[#This Row],[ACTIVITY]],TAGS!$B:$P,7,FALSE)</f>
        <v>NO</v>
      </c>
      <c r="W593" s="54" t="str">
        <f>VLOOKUP(Table3[[#This Row],[ACTIVITY]],TAGS!$B:$P,8,FALSE)</f>
        <v>PAP</v>
      </c>
      <c r="X593" s="54" t="str">
        <f>VLOOKUP(Table3[[#This Row],[ACTIVITY]],TAGS!$B:$P,10,FALSE)</f>
        <v>PIP</v>
      </c>
      <c r="Y593" s="54" t="str">
        <f>VLOOKUP(Table3[[#This Row],[ACTIVITY]],TAGS!$B:$P,11,FALSE)</f>
        <v>PICS</v>
      </c>
      <c r="Z593" s="54" t="str">
        <f>VLOOKUP(Table3[[#This Row],[ACTIVITY]],TAGS!$B:$P,12,FALSE)</f>
        <v>Consolidation</v>
      </c>
      <c r="AA593" s="54" t="str">
        <f>VLOOKUP(Table3[[#This Row],[ACTIVITY]],TAGS!$B:$P,13,FALSE)</f>
        <v>1. Bayanihan Agri Cluster</v>
      </c>
      <c r="AB593" s="54" t="str">
        <f>VLOOKUP(Table3[[#This Row],[ACTIVITY]],TAGS!$B:$P,14,FALSE)</f>
        <v>EXPAND AND IMPROVE AVAILABLE AGRI-FISHERY AREAS FOR INCREASED PRODUCTION</v>
      </c>
      <c r="AC593" s="54" t="str">
        <f>VLOOKUP(Table3[[#This Row],[ACTIVITY]],TAGS!$B:$P,15,FALSE)</f>
        <v>Farm Inputs</v>
      </c>
      <c r="AD593" s="54" t="str">
        <f>VLOOKUP(Table3[[#This Row],[PI LEVEL 3]],'PI LEVEL'!$A:$G,7,FALSE)</f>
        <v>DA-Level Output</v>
      </c>
      <c r="AE593" s="60"/>
      <c r="AF593" s="54" t="str">
        <f>VLOOKUP(Table3[[#This Row],[ACTIVITY]],TAGS!$B:$P,3,FALSE)</f>
        <v>kilogram</v>
      </c>
      <c r="AG593" s="60"/>
      <c r="AH593" s="54" t="e">
        <f>VLOOKUP(Table3[[#This Row],[MONTH]],TAGS!$W$67:$Y$81,2,FALSE)</f>
        <v>#N/A</v>
      </c>
      <c r="AI593" s="54" t="e">
        <f>VLOOKUP(Table3[[#This Row],[MONTH]],TAGS!$W$67:$Y$81,3,FALSE)</f>
        <v>#N/A</v>
      </c>
      <c r="AJ593" s="54" t="e">
        <f>VLOOKUP(Table3[[#This Row],[MONTH]],TAGS!$W$67:$Z$81,4,FALSE)</f>
        <v>#N/A</v>
      </c>
      <c r="AK593" s="60">
        <v>694500</v>
      </c>
      <c r="AL593" s="54" t="str">
        <f>VLOOKUP(Table3[[#This Row],[ACTIVITY]],TAGS!$B:$R,16,FALSE)</f>
        <v>YES</v>
      </c>
      <c r="AM593" s="60">
        <f>Table3[[#This Row],[TARGET]]/20</f>
        <v>34725</v>
      </c>
      <c r="AN593" s="60">
        <v>31252.5</v>
      </c>
      <c r="AO593" s="57"/>
      <c r="AP593" s="62"/>
      <c r="AQ593" s="62"/>
      <c r="AR593" s="62"/>
      <c r="AS593" s="62">
        <v>25</v>
      </c>
      <c r="AT593" s="63" t="str">
        <f>VLOOKUP(Table3[[#This Row],[ACTIVITY]],TAGS!$B:$R,17,FALSE)</f>
        <v>YES</v>
      </c>
      <c r="AU593" s="63"/>
      <c r="AV593" s="63"/>
      <c r="AW593" s="63"/>
      <c r="AX593" s="63"/>
      <c r="AY593" s="63"/>
      <c r="AZ593" s="63"/>
      <c r="BA593" s="63"/>
      <c r="BB593" s="63"/>
      <c r="BC593" s="63"/>
      <c r="BD593" s="63"/>
      <c r="BE593" s="63"/>
      <c r="BF593" s="63"/>
      <c r="BG593" s="63"/>
      <c r="BH593" s="63"/>
      <c r="BI593" s="63"/>
      <c r="BJ593" s="63"/>
      <c r="BK593" s="63"/>
      <c r="BL593" s="63"/>
      <c r="BM593" s="63"/>
    </row>
    <row r="594" spans="1:65">
      <c r="A594" s="54" t="str">
        <f>VLOOKUP(Table3[[#This Row],[OU]],OU!$A$15:$B$34,2,FALSE)</f>
        <v>RFOs</v>
      </c>
      <c r="B594" s="60" t="s">
        <v>436</v>
      </c>
      <c r="C594" s="60" t="s">
        <v>574</v>
      </c>
      <c r="D594" s="60"/>
      <c r="E594" s="60" t="s">
        <v>43</v>
      </c>
      <c r="F594" s="60"/>
      <c r="G59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59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594" s="61" t="e">
        <f>VLOOKUP(Table3[[#This Row],[PSGC]],DISTRICT!$D:$G,4,FALSE)</f>
        <v>#N/A</v>
      </c>
      <c r="J594" s="60" t="s">
        <v>578</v>
      </c>
      <c r="K594" s="51" t="str">
        <f>VLOOKUP(Table3[[#This Row],[SPECIFIC COMMODITY]],TAGS!$W$48:$X$53,2,FALSE)</f>
        <v>Corn</v>
      </c>
      <c r="L594" s="51" t="str">
        <f>VLOOKUP(Table3[[#This Row],[PREXC SUB-PROGRAM]],Table5[],2,FALSE)</f>
        <v>TECHNICAL AND SUPPORT SERVICES PROGRAM</v>
      </c>
      <c r="M594" s="51" t="str">
        <f>VLOOKUP(Table3[[#This Row],[COMMODITY PREXC SUB-PROGRAM]],TAGS!$U$54:$V$76,2,FALSE)</f>
        <v>PSS</v>
      </c>
      <c r="N594" s="60" t="s">
        <v>576</v>
      </c>
      <c r="O594" s="54" t="str">
        <f>VLOOKUP(Table3[[#This Row],[PI LEVEL 3]],'PI LEVEL'!A:C,3,FALSE)</f>
        <v>Fertilizers and other soil ammendment distributed</v>
      </c>
      <c r="P594" s="54" t="str">
        <f>VLOOKUP(Table3[[#This Row],[PI LEVEL 3]],Table53729[[Performance Indicator Level 3]:[Performance Indicator Level 1]],2,FALSE)</f>
        <v>Fertilizers distributed</v>
      </c>
      <c r="Q594" s="54" t="str">
        <f>VLOOKUP(Table3[[#This Row],[ACTIVITY]],TAGS!B:P,2,FALSE)</f>
        <v>Inorganic fertilizer distributed</v>
      </c>
      <c r="R594" s="60" t="s">
        <v>36</v>
      </c>
      <c r="S594" s="54" t="str">
        <f>VLOOKUP(Table3[[#This Row],[ACTIVITY]],TAGS!$B:$P,4,FALSE)</f>
        <v>Yellow Corn Production Enhancement Project</v>
      </c>
      <c r="T594" s="54" t="str">
        <f>VLOOKUP(Table3[[#This Row],[ACTIVITY]],TAGS!$B:$P,5,FALSE)</f>
        <v>Soil Fertilization</v>
      </c>
      <c r="U594" s="54" t="str">
        <f>VLOOKUP(Table3[[#This Row],[ACTIVITY]],TAGS!$B:$P,6,FALSE)</f>
        <v>Inorganic fertilizer</v>
      </c>
      <c r="V594" s="54" t="str">
        <f>VLOOKUP(Table3[[#This Row],[ACTIVITY]],TAGS!$B:$P,7,FALSE)</f>
        <v>NO</v>
      </c>
      <c r="W594" s="54" t="str">
        <f>VLOOKUP(Table3[[#This Row],[ACTIVITY]],TAGS!$B:$P,8,FALSE)</f>
        <v>PAP</v>
      </c>
      <c r="X594" s="54" t="str">
        <f>VLOOKUP(Table3[[#This Row],[ACTIVITY]],TAGS!$B:$P,10,FALSE)</f>
        <v>PIP</v>
      </c>
      <c r="Y594" s="54" t="str">
        <f>VLOOKUP(Table3[[#This Row],[ACTIVITY]],TAGS!$B:$P,11,FALSE)</f>
        <v>PICS</v>
      </c>
      <c r="Z594" s="54" t="str">
        <f>VLOOKUP(Table3[[#This Row],[ACTIVITY]],TAGS!$B:$P,12,FALSE)</f>
        <v>Consolidation</v>
      </c>
      <c r="AA594" s="54" t="str">
        <f>VLOOKUP(Table3[[#This Row],[ACTIVITY]],TAGS!$B:$P,13,FALSE)</f>
        <v>1. Bayanihan Agri Cluster</v>
      </c>
      <c r="AB594" s="54" t="str">
        <f>VLOOKUP(Table3[[#This Row],[ACTIVITY]],TAGS!$B:$P,14,FALSE)</f>
        <v>EXPAND AND IMPROVE AVAILABLE AGRI-FISHERY AREAS FOR INCREASED PRODUCTION</v>
      </c>
      <c r="AC594" s="54" t="str">
        <f>VLOOKUP(Table3[[#This Row],[ACTIVITY]],TAGS!$B:$P,15,FALSE)</f>
        <v>Farm Inputs</v>
      </c>
      <c r="AD594" s="54" t="str">
        <f>VLOOKUP(Table3[[#This Row],[PI LEVEL 3]],'PI LEVEL'!$A:$G,7,FALSE)</f>
        <v>DA-Level Output</v>
      </c>
      <c r="AE594" s="60"/>
      <c r="AF594" s="54" t="str">
        <f>VLOOKUP(Table3[[#This Row],[ACTIVITY]],TAGS!$B:$P,3,FALSE)</f>
        <v>kilogram</v>
      </c>
      <c r="AG594" s="60"/>
      <c r="AH594" s="54" t="e">
        <f>VLOOKUP(Table3[[#This Row],[MONTH]],TAGS!$W$67:$Y$81,2,FALSE)</f>
        <v>#N/A</v>
      </c>
      <c r="AI594" s="54" t="e">
        <f>VLOOKUP(Table3[[#This Row],[MONTH]],TAGS!$W$67:$Y$81,3,FALSE)</f>
        <v>#N/A</v>
      </c>
      <c r="AJ594" s="54" t="e">
        <f>VLOOKUP(Table3[[#This Row],[MONTH]],TAGS!$W$67:$Z$81,4,FALSE)</f>
        <v>#N/A</v>
      </c>
      <c r="AK594" s="60">
        <v>1673000</v>
      </c>
      <c r="AL594" s="54" t="str">
        <f>VLOOKUP(Table3[[#This Row],[ACTIVITY]],TAGS!$B:$R,16,FALSE)</f>
        <v>YES</v>
      </c>
      <c r="AM594" s="60">
        <f>Table3[[#This Row],[TARGET]]/20</f>
        <v>83650</v>
      </c>
      <c r="AN594" s="60">
        <v>75285</v>
      </c>
      <c r="AO594" s="57"/>
      <c r="AP594" s="62"/>
      <c r="AQ594" s="62"/>
      <c r="AR594" s="62"/>
      <c r="AS594" s="62">
        <v>35</v>
      </c>
      <c r="AT594" s="63" t="str">
        <f>VLOOKUP(Table3[[#This Row],[ACTIVITY]],TAGS!$B:$R,17,FALSE)</f>
        <v>YES</v>
      </c>
      <c r="AU594" s="63"/>
      <c r="AV594" s="63"/>
      <c r="AW594" s="63"/>
      <c r="AX594" s="63"/>
      <c r="AY594" s="63"/>
      <c r="AZ594" s="63"/>
      <c r="BA594" s="63"/>
      <c r="BB594" s="63"/>
      <c r="BC594" s="63"/>
      <c r="BD594" s="63"/>
      <c r="BE594" s="63"/>
      <c r="BF594" s="63"/>
      <c r="BG594" s="63"/>
      <c r="BH594" s="63"/>
      <c r="BI594" s="63"/>
      <c r="BJ594" s="63"/>
      <c r="BK594" s="63"/>
      <c r="BL594" s="63"/>
      <c r="BM594" s="63"/>
    </row>
    <row r="595" spans="1:65">
      <c r="A595" s="54" t="str">
        <f>VLOOKUP(Table3[[#This Row],[OU]],OU!$A$15:$B$34,2,FALSE)</f>
        <v>RFOs</v>
      </c>
      <c r="B595" s="60" t="s">
        <v>436</v>
      </c>
      <c r="C595" s="60" t="s">
        <v>574</v>
      </c>
      <c r="D595" s="60"/>
      <c r="E595" s="60" t="s">
        <v>63</v>
      </c>
      <c r="F595" s="60"/>
      <c r="G59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Nueva_Vizcaya</v>
      </c>
      <c r="H59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Nueva_Vizcaya</v>
      </c>
      <c r="I595" s="61" t="e">
        <f>VLOOKUP(Table3[[#This Row],[PSGC]],DISTRICT!$D:$G,4,FALSE)</f>
        <v>#N/A</v>
      </c>
      <c r="J595" s="60" t="s">
        <v>578</v>
      </c>
      <c r="K595" s="51" t="str">
        <f>VLOOKUP(Table3[[#This Row],[SPECIFIC COMMODITY]],TAGS!$W$48:$X$53,2,FALSE)</f>
        <v>Corn</v>
      </c>
      <c r="L595" s="51" t="str">
        <f>VLOOKUP(Table3[[#This Row],[PREXC SUB-PROGRAM]],Table5[],2,FALSE)</f>
        <v>TECHNICAL AND SUPPORT SERVICES PROGRAM</v>
      </c>
      <c r="M595" s="51" t="str">
        <f>VLOOKUP(Table3[[#This Row],[COMMODITY PREXC SUB-PROGRAM]],TAGS!$U$54:$V$76,2,FALSE)</f>
        <v>PSS</v>
      </c>
      <c r="N595" s="60" t="s">
        <v>576</v>
      </c>
      <c r="O595" s="54" t="str">
        <f>VLOOKUP(Table3[[#This Row],[PI LEVEL 3]],'PI LEVEL'!A:C,3,FALSE)</f>
        <v>Fertilizers and other soil ammendment distributed</v>
      </c>
      <c r="P595" s="54" t="str">
        <f>VLOOKUP(Table3[[#This Row],[PI LEVEL 3]],Table53729[[Performance Indicator Level 3]:[Performance Indicator Level 1]],2,FALSE)</f>
        <v>Fertilizers distributed</v>
      </c>
      <c r="Q595" s="54" t="str">
        <f>VLOOKUP(Table3[[#This Row],[ACTIVITY]],TAGS!B:P,2,FALSE)</f>
        <v>Inorganic fertilizer distributed</v>
      </c>
      <c r="R595" s="60" t="s">
        <v>36</v>
      </c>
      <c r="S595" s="54" t="str">
        <f>VLOOKUP(Table3[[#This Row],[ACTIVITY]],TAGS!$B:$P,4,FALSE)</f>
        <v>Yellow Corn Production Enhancement Project</v>
      </c>
      <c r="T595" s="54" t="str">
        <f>VLOOKUP(Table3[[#This Row],[ACTIVITY]],TAGS!$B:$P,5,FALSE)</f>
        <v>Soil Fertilization</v>
      </c>
      <c r="U595" s="54" t="str">
        <f>VLOOKUP(Table3[[#This Row],[ACTIVITY]],TAGS!$B:$P,6,FALSE)</f>
        <v>Inorganic fertilizer</v>
      </c>
      <c r="V595" s="54" t="str">
        <f>VLOOKUP(Table3[[#This Row],[ACTIVITY]],TAGS!$B:$P,7,FALSE)</f>
        <v>NO</v>
      </c>
      <c r="W595" s="54" t="str">
        <f>VLOOKUP(Table3[[#This Row],[ACTIVITY]],TAGS!$B:$P,8,FALSE)</f>
        <v>PAP</v>
      </c>
      <c r="X595" s="54" t="str">
        <f>VLOOKUP(Table3[[#This Row],[ACTIVITY]],TAGS!$B:$P,10,FALSE)</f>
        <v>PIP</v>
      </c>
      <c r="Y595" s="54" t="str">
        <f>VLOOKUP(Table3[[#This Row],[ACTIVITY]],TAGS!$B:$P,11,FALSE)</f>
        <v>PICS</v>
      </c>
      <c r="Z595" s="54" t="str">
        <f>VLOOKUP(Table3[[#This Row],[ACTIVITY]],TAGS!$B:$P,12,FALSE)</f>
        <v>Consolidation</v>
      </c>
      <c r="AA595" s="54" t="str">
        <f>VLOOKUP(Table3[[#This Row],[ACTIVITY]],TAGS!$B:$P,13,FALSE)</f>
        <v>1. Bayanihan Agri Cluster</v>
      </c>
      <c r="AB595" s="54" t="str">
        <f>VLOOKUP(Table3[[#This Row],[ACTIVITY]],TAGS!$B:$P,14,FALSE)</f>
        <v>EXPAND AND IMPROVE AVAILABLE AGRI-FISHERY AREAS FOR INCREASED PRODUCTION</v>
      </c>
      <c r="AC595" s="54" t="str">
        <f>VLOOKUP(Table3[[#This Row],[ACTIVITY]],TAGS!$B:$P,15,FALSE)</f>
        <v>Farm Inputs</v>
      </c>
      <c r="AD595" s="54" t="str">
        <f>VLOOKUP(Table3[[#This Row],[PI LEVEL 3]],'PI LEVEL'!$A:$G,7,FALSE)</f>
        <v>DA-Level Output</v>
      </c>
      <c r="AE595" s="60"/>
      <c r="AF595" s="54" t="str">
        <f>VLOOKUP(Table3[[#This Row],[ACTIVITY]],TAGS!$B:$P,3,FALSE)</f>
        <v>kilogram</v>
      </c>
      <c r="AG595" s="60"/>
      <c r="AH595" s="54" t="e">
        <f>VLOOKUP(Table3[[#This Row],[MONTH]],TAGS!$W$67:$Y$81,2,FALSE)</f>
        <v>#N/A</v>
      </c>
      <c r="AI595" s="54" t="e">
        <f>VLOOKUP(Table3[[#This Row],[MONTH]],TAGS!$W$67:$Y$81,3,FALSE)</f>
        <v>#N/A</v>
      </c>
      <c r="AJ595" s="54" t="e">
        <f>VLOOKUP(Table3[[#This Row],[MONTH]],TAGS!$W$67:$Z$81,4,FALSE)</f>
        <v>#N/A</v>
      </c>
      <c r="AK595" s="60">
        <v>90000</v>
      </c>
      <c r="AL595" s="54" t="str">
        <f>VLOOKUP(Table3[[#This Row],[ACTIVITY]],TAGS!$B:$R,16,FALSE)</f>
        <v>YES</v>
      </c>
      <c r="AM595" s="60">
        <f>Table3[[#This Row],[TARGET]]/20</f>
        <v>4500</v>
      </c>
      <c r="AN595" s="60">
        <v>4050</v>
      </c>
      <c r="AO595" s="57"/>
      <c r="AP595" s="62"/>
      <c r="AQ595" s="62"/>
      <c r="AR595" s="62"/>
      <c r="AS595" s="62">
        <v>9</v>
      </c>
      <c r="AT595" s="63" t="str">
        <f>VLOOKUP(Table3[[#This Row],[ACTIVITY]],TAGS!$B:$R,17,FALSE)</f>
        <v>YES</v>
      </c>
      <c r="AU595" s="63"/>
      <c r="AV595" s="63"/>
      <c r="AW595" s="63"/>
      <c r="AX595" s="63"/>
      <c r="AY595" s="63"/>
      <c r="AZ595" s="63"/>
      <c r="BA595" s="63"/>
      <c r="BB595" s="63"/>
      <c r="BC595" s="63"/>
      <c r="BD595" s="63"/>
      <c r="BE595" s="63"/>
      <c r="BF595" s="63"/>
      <c r="BG595" s="63"/>
      <c r="BH595" s="63"/>
      <c r="BI595" s="63"/>
      <c r="BJ595" s="63"/>
      <c r="BK595" s="63"/>
      <c r="BL595" s="63"/>
      <c r="BM595" s="63"/>
    </row>
    <row r="596" spans="1:65">
      <c r="A596" s="54" t="str">
        <f>VLOOKUP(Table3[[#This Row],[OU]],OU!$A$15:$B$34,2,FALSE)</f>
        <v>RFOs</v>
      </c>
      <c r="B596" s="60" t="s">
        <v>436</v>
      </c>
      <c r="C596" s="60" t="s">
        <v>574</v>
      </c>
      <c r="D596" s="60"/>
      <c r="E596" s="60" t="s">
        <v>70</v>
      </c>
      <c r="F596" s="60"/>
      <c r="G59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</v>
      </c>
      <c r="H59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Quirino</v>
      </c>
      <c r="I596" s="61" t="e">
        <f>VLOOKUP(Table3[[#This Row],[PSGC]],DISTRICT!$D:$G,4,FALSE)</f>
        <v>#N/A</v>
      </c>
      <c r="J596" s="60" t="s">
        <v>578</v>
      </c>
      <c r="K596" s="51" t="str">
        <f>VLOOKUP(Table3[[#This Row],[SPECIFIC COMMODITY]],TAGS!$W$48:$X$53,2,FALSE)</f>
        <v>Corn</v>
      </c>
      <c r="L596" s="51" t="str">
        <f>VLOOKUP(Table3[[#This Row],[PREXC SUB-PROGRAM]],Table5[],2,FALSE)</f>
        <v>TECHNICAL AND SUPPORT SERVICES PROGRAM</v>
      </c>
      <c r="M596" s="51" t="str">
        <f>VLOOKUP(Table3[[#This Row],[COMMODITY PREXC SUB-PROGRAM]],TAGS!$U$54:$V$76,2,FALSE)</f>
        <v>PSS</v>
      </c>
      <c r="N596" s="60" t="s">
        <v>576</v>
      </c>
      <c r="O596" s="54" t="str">
        <f>VLOOKUP(Table3[[#This Row],[PI LEVEL 3]],'PI LEVEL'!A:C,3,FALSE)</f>
        <v>Fertilizers and other soil ammendment distributed</v>
      </c>
      <c r="P596" s="54" t="str">
        <f>VLOOKUP(Table3[[#This Row],[PI LEVEL 3]],Table53729[[Performance Indicator Level 3]:[Performance Indicator Level 1]],2,FALSE)</f>
        <v>Fertilizers distributed</v>
      </c>
      <c r="Q596" s="54" t="str">
        <f>VLOOKUP(Table3[[#This Row],[ACTIVITY]],TAGS!B:P,2,FALSE)</f>
        <v>Inorganic fertilizer distributed</v>
      </c>
      <c r="R596" s="60" t="s">
        <v>36</v>
      </c>
      <c r="S596" s="54" t="str">
        <f>VLOOKUP(Table3[[#This Row],[ACTIVITY]],TAGS!$B:$P,4,FALSE)</f>
        <v>Yellow Corn Production Enhancement Project</v>
      </c>
      <c r="T596" s="54" t="str">
        <f>VLOOKUP(Table3[[#This Row],[ACTIVITY]],TAGS!$B:$P,5,FALSE)</f>
        <v>Soil Fertilization</v>
      </c>
      <c r="U596" s="54" t="str">
        <f>VLOOKUP(Table3[[#This Row],[ACTIVITY]],TAGS!$B:$P,6,FALSE)</f>
        <v>Inorganic fertilizer</v>
      </c>
      <c r="V596" s="54" t="str">
        <f>VLOOKUP(Table3[[#This Row],[ACTIVITY]],TAGS!$B:$P,7,FALSE)</f>
        <v>NO</v>
      </c>
      <c r="W596" s="54" t="str">
        <f>VLOOKUP(Table3[[#This Row],[ACTIVITY]],TAGS!$B:$P,8,FALSE)</f>
        <v>PAP</v>
      </c>
      <c r="X596" s="54" t="str">
        <f>VLOOKUP(Table3[[#This Row],[ACTIVITY]],TAGS!$B:$P,10,FALSE)</f>
        <v>PIP</v>
      </c>
      <c r="Y596" s="54" t="str">
        <f>VLOOKUP(Table3[[#This Row],[ACTIVITY]],TAGS!$B:$P,11,FALSE)</f>
        <v>PICS</v>
      </c>
      <c r="Z596" s="54" t="str">
        <f>VLOOKUP(Table3[[#This Row],[ACTIVITY]],TAGS!$B:$P,12,FALSE)</f>
        <v>Consolidation</v>
      </c>
      <c r="AA596" s="54" t="str">
        <f>VLOOKUP(Table3[[#This Row],[ACTIVITY]],TAGS!$B:$P,13,FALSE)</f>
        <v>1. Bayanihan Agri Cluster</v>
      </c>
      <c r="AB596" s="54" t="str">
        <f>VLOOKUP(Table3[[#This Row],[ACTIVITY]],TAGS!$B:$P,14,FALSE)</f>
        <v>EXPAND AND IMPROVE AVAILABLE AGRI-FISHERY AREAS FOR INCREASED PRODUCTION</v>
      </c>
      <c r="AC596" s="54" t="str">
        <f>VLOOKUP(Table3[[#This Row],[ACTIVITY]],TAGS!$B:$P,15,FALSE)</f>
        <v>Farm Inputs</v>
      </c>
      <c r="AD596" s="54" t="str">
        <f>VLOOKUP(Table3[[#This Row],[PI LEVEL 3]],'PI LEVEL'!$A:$G,7,FALSE)</f>
        <v>DA-Level Output</v>
      </c>
      <c r="AE596" s="60"/>
      <c r="AF596" s="54" t="str">
        <f>VLOOKUP(Table3[[#This Row],[ACTIVITY]],TAGS!$B:$P,3,FALSE)</f>
        <v>kilogram</v>
      </c>
      <c r="AG596" s="60"/>
      <c r="AH596" s="54" t="e">
        <f>VLOOKUP(Table3[[#This Row],[MONTH]],TAGS!$W$67:$Y$81,2,FALSE)</f>
        <v>#N/A</v>
      </c>
      <c r="AI596" s="54" t="e">
        <f>VLOOKUP(Table3[[#This Row],[MONTH]],TAGS!$W$67:$Y$81,3,FALSE)</f>
        <v>#N/A</v>
      </c>
      <c r="AJ596" s="54" t="e">
        <f>VLOOKUP(Table3[[#This Row],[MONTH]],TAGS!$W$67:$Z$81,4,FALSE)</f>
        <v>#N/A</v>
      </c>
      <c r="AK596" s="60">
        <v>242500</v>
      </c>
      <c r="AL596" s="54" t="str">
        <f>VLOOKUP(Table3[[#This Row],[ACTIVITY]],TAGS!$B:$R,16,FALSE)</f>
        <v>YES</v>
      </c>
      <c r="AM596" s="60">
        <f>Table3[[#This Row],[TARGET]]/20</f>
        <v>12125</v>
      </c>
      <c r="AN596" s="60">
        <v>10912.5</v>
      </c>
      <c r="AO596" s="57"/>
      <c r="AP596" s="62"/>
      <c r="AQ596" s="62"/>
      <c r="AR596" s="62"/>
      <c r="AS596" s="62">
        <v>6</v>
      </c>
      <c r="AT596" s="63" t="str">
        <f>VLOOKUP(Table3[[#This Row],[ACTIVITY]],TAGS!$B:$R,17,FALSE)</f>
        <v>YES</v>
      </c>
      <c r="AU596" s="63"/>
      <c r="AV596" s="63"/>
      <c r="AW596" s="63"/>
      <c r="AX596" s="63"/>
      <c r="AY596" s="63"/>
      <c r="AZ596" s="63"/>
      <c r="BA596" s="63"/>
      <c r="BB596" s="63"/>
      <c r="BC596" s="63"/>
      <c r="BD596" s="63"/>
      <c r="BE596" s="63"/>
      <c r="BF596" s="63"/>
      <c r="BG596" s="63"/>
      <c r="BH596" s="63"/>
      <c r="BI596" s="63"/>
      <c r="BJ596" s="63"/>
      <c r="BK596" s="63"/>
      <c r="BL596" s="63"/>
      <c r="BM596" s="63"/>
    </row>
    <row r="597" spans="1:65">
      <c r="A597" s="54" t="str">
        <f>VLOOKUP(Table3[[#This Row],[OU]],OU!$A$15:$B$34,2,FALSE)</f>
        <v>RFOs</v>
      </c>
      <c r="B597" s="60" t="s">
        <v>436</v>
      </c>
      <c r="C597" s="60" t="s">
        <v>574</v>
      </c>
      <c r="D597" s="60"/>
      <c r="E597" s="60" t="s">
        <v>22</v>
      </c>
      <c r="F597" s="60"/>
      <c r="G59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59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597" s="61" t="e">
        <f>VLOOKUP(Table3[[#This Row],[PSGC]],DISTRICT!$D:$G,4,FALSE)</f>
        <v>#N/A</v>
      </c>
      <c r="J597" s="60" t="s">
        <v>578</v>
      </c>
      <c r="K597" s="51" t="str">
        <f>VLOOKUP(Table3[[#This Row],[SPECIFIC COMMODITY]],TAGS!$W$48:$X$53,2,FALSE)</f>
        <v>Corn</v>
      </c>
      <c r="L597" s="51" t="str">
        <f>VLOOKUP(Table3[[#This Row],[PREXC SUB-PROGRAM]],Table5[],2,FALSE)</f>
        <v>TECHNICAL AND SUPPORT SERVICES PROGRAM</v>
      </c>
      <c r="M597" s="51" t="str">
        <f>VLOOKUP(Table3[[#This Row],[COMMODITY PREXC SUB-PROGRAM]],TAGS!$U$54:$V$76,2,FALSE)</f>
        <v>PSS</v>
      </c>
      <c r="N597" s="60" t="s">
        <v>576</v>
      </c>
      <c r="O597" s="54" t="str">
        <f>VLOOKUP(Table3[[#This Row],[PI LEVEL 3]],'PI LEVEL'!A:C,3,FALSE)</f>
        <v>Fertilizers and other soil ammendment distributed</v>
      </c>
      <c r="P597" s="54" t="str">
        <f>VLOOKUP(Table3[[#This Row],[PI LEVEL 3]],Table53729[[Performance Indicator Level 3]:[Performance Indicator Level 1]],2,FALSE)</f>
        <v>Fertilizers distributed</v>
      </c>
      <c r="Q597" s="54" t="str">
        <f>VLOOKUP(Table3[[#This Row],[ACTIVITY]],TAGS!B:P,2,FALSE)</f>
        <v>Inorganic fertilizer distributed</v>
      </c>
      <c r="R597" s="60" t="s">
        <v>28</v>
      </c>
      <c r="S597" s="54" t="str">
        <f>VLOOKUP(Table3[[#This Row],[ACTIVITY]],TAGS!$B:$P,4,FALSE)</f>
        <v>Recommended Corn Production Technology</v>
      </c>
      <c r="T597" s="54" t="str">
        <f>VLOOKUP(Table3[[#This Row],[ACTIVITY]],TAGS!$B:$P,5,FALSE)</f>
        <v>Soil Fertilization</v>
      </c>
      <c r="U597" s="54" t="str">
        <f>VLOOKUP(Table3[[#This Row],[ACTIVITY]],TAGS!$B:$P,6,FALSE)</f>
        <v>Inorganic fertilizer</v>
      </c>
      <c r="V597" s="54" t="str">
        <f>VLOOKUP(Table3[[#This Row],[ACTIVITY]],TAGS!$B:$P,7,FALSE)</f>
        <v>NO</v>
      </c>
      <c r="W597" s="54" t="str">
        <f>VLOOKUP(Table3[[#This Row],[ACTIVITY]],TAGS!$B:$P,8,FALSE)</f>
        <v>PAP</v>
      </c>
      <c r="X597" s="54" t="str">
        <f>VLOOKUP(Table3[[#This Row],[ACTIVITY]],TAGS!$B:$P,10,FALSE)</f>
        <v>PIP</v>
      </c>
      <c r="Y597" s="54" t="str">
        <f>VLOOKUP(Table3[[#This Row],[ACTIVITY]],TAGS!$B:$P,11,FALSE)</f>
        <v>PICS</v>
      </c>
      <c r="Z597" s="54" t="str">
        <f>VLOOKUP(Table3[[#This Row],[ACTIVITY]],TAGS!$B:$P,12,FALSE)</f>
        <v>Consolidation</v>
      </c>
      <c r="AA597" s="54" t="str">
        <f>VLOOKUP(Table3[[#This Row],[ACTIVITY]],TAGS!$B:$P,13,FALSE)</f>
        <v>1. Bayanihan Agri Cluster</v>
      </c>
      <c r="AB597" s="54" t="str">
        <f>VLOOKUP(Table3[[#This Row],[ACTIVITY]],TAGS!$B:$P,14,FALSE)</f>
        <v>EXPAND AND IMPROVE AVAILABLE AGRI-FISHERY AREAS FOR INCREASED PRODUCTION</v>
      </c>
      <c r="AC597" s="54" t="str">
        <f>VLOOKUP(Table3[[#This Row],[ACTIVITY]],TAGS!$B:$P,15,FALSE)</f>
        <v>Farm Inputs</v>
      </c>
      <c r="AD597" s="54" t="str">
        <f>VLOOKUP(Table3[[#This Row],[PI LEVEL 3]],'PI LEVEL'!$A:$G,7,FALSE)</f>
        <v>DA-Level Output</v>
      </c>
      <c r="AE597" s="60"/>
      <c r="AF597" s="54" t="str">
        <f>VLOOKUP(Table3[[#This Row],[ACTIVITY]],TAGS!$B:$P,3,FALSE)</f>
        <v>kilogram</v>
      </c>
      <c r="AG597" s="60"/>
      <c r="AH597" s="54" t="e">
        <f>VLOOKUP(Table3[[#This Row],[MONTH]],TAGS!$W$67:$Y$81,2,FALSE)</f>
        <v>#N/A</v>
      </c>
      <c r="AI597" s="54" t="e">
        <f>VLOOKUP(Table3[[#This Row],[MONTH]],TAGS!$W$67:$Y$81,3,FALSE)</f>
        <v>#N/A</v>
      </c>
      <c r="AJ597" s="54" t="e">
        <f>VLOOKUP(Table3[[#This Row],[MONTH]],TAGS!$W$67:$Z$81,4,FALSE)</f>
        <v>#N/A</v>
      </c>
      <c r="AK597" s="60">
        <v>275000</v>
      </c>
      <c r="AL597" s="54" t="str">
        <f>VLOOKUP(Table3[[#This Row],[ACTIVITY]],TAGS!$B:$R,16,FALSE)</f>
        <v>YES</v>
      </c>
      <c r="AM597" s="60">
        <f>Table3[[#This Row],[TARGET]]/20</f>
        <v>13750</v>
      </c>
      <c r="AN597" s="60">
        <v>12375</v>
      </c>
      <c r="AO597" s="57"/>
      <c r="AP597" s="62"/>
      <c r="AQ597" s="62"/>
      <c r="AR597" s="62"/>
      <c r="AS597" s="62">
        <v>2</v>
      </c>
      <c r="AT597" s="63" t="str">
        <f>VLOOKUP(Table3[[#This Row],[ACTIVITY]],TAGS!$B:$R,17,FALSE)</f>
        <v>YES</v>
      </c>
      <c r="AU597" s="63"/>
      <c r="AV597" s="63"/>
      <c r="AW597" s="63"/>
      <c r="AX597" s="63"/>
      <c r="AY597" s="63"/>
      <c r="AZ597" s="63"/>
      <c r="BA597" s="63"/>
      <c r="BB597" s="63"/>
      <c r="BC597" s="63"/>
      <c r="BD597" s="63"/>
      <c r="BE597" s="63"/>
      <c r="BF597" s="63"/>
      <c r="BG597" s="63"/>
      <c r="BH597" s="63"/>
      <c r="BI597" s="63"/>
      <c r="BJ597" s="63"/>
      <c r="BK597" s="63"/>
      <c r="BL597" s="63"/>
      <c r="BM597" s="63"/>
    </row>
    <row r="598" spans="1:65">
      <c r="A598" s="54" t="str">
        <f>VLOOKUP(Table3[[#This Row],[OU]],OU!$A$15:$B$34,2,FALSE)</f>
        <v>RFOs</v>
      </c>
      <c r="B598" s="60" t="s">
        <v>436</v>
      </c>
      <c r="C598" s="60" t="s">
        <v>574</v>
      </c>
      <c r="D598" s="60"/>
      <c r="E598" s="60" t="s">
        <v>43</v>
      </c>
      <c r="F598" s="60"/>
      <c r="G59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59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598" s="61" t="e">
        <f>VLOOKUP(Table3[[#This Row],[PSGC]],DISTRICT!$D:$G,4,FALSE)</f>
        <v>#N/A</v>
      </c>
      <c r="J598" s="60" t="s">
        <v>578</v>
      </c>
      <c r="K598" s="51" t="str">
        <f>VLOOKUP(Table3[[#This Row],[SPECIFIC COMMODITY]],TAGS!$W$48:$X$53,2,FALSE)</f>
        <v>Corn</v>
      </c>
      <c r="L598" s="51" t="str">
        <f>VLOOKUP(Table3[[#This Row],[PREXC SUB-PROGRAM]],Table5[],2,FALSE)</f>
        <v>TECHNICAL AND SUPPORT SERVICES PROGRAM</v>
      </c>
      <c r="M598" s="51" t="str">
        <f>VLOOKUP(Table3[[#This Row],[COMMODITY PREXC SUB-PROGRAM]],TAGS!$U$54:$V$76,2,FALSE)</f>
        <v>PSS</v>
      </c>
      <c r="N598" s="60" t="s">
        <v>576</v>
      </c>
      <c r="O598" s="54" t="str">
        <f>VLOOKUP(Table3[[#This Row],[PI LEVEL 3]],'PI LEVEL'!A:C,3,FALSE)</f>
        <v>Fertilizers and other soil ammendment distributed</v>
      </c>
      <c r="P598" s="54" t="str">
        <f>VLOOKUP(Table3[[#This Row],[PI LEVEL 3]],Table53729[[Performance Indicator Level 3]:[Performance Indicator Level 1]],2,FALSE)</f>
        <v>Fertilizers distributed</v>
      </c>
      <c r="Q598" s="54" t="str">
        <f>VLOOKUP(Table3[[#This Row],[ACTIVITY]],TAGS!B:P,2,FALSE)</f>
        <v>Inorganic fertilizer distributed</v>
      </c>
      <c r="R598" s="60" t="s">
        <v>28</v>
      </c>
      <c r="S598" s="54" t="str">
        <f>VLOOKUP(Table3[[#This Row],[ACTIVITY]],TAGS!$B:$P,4,FALSE)</f>
        <v>Recommended Corn Production Technology</v>
      </c>
      <c r="T598" s="54" t="str">
        <f>VLOOKUP(Table3[[#This Row],[ACTIVITY]],TAGS!$B:$P,5,FALSE)</f>
        <v>Soil Fertilization</v>
      </c>
      <c r="U598" s="54" t="str">
        <f>VLOOKUP(Table3[[#This Row],[ACTIVITY]],TAGS!$B:$P,6,FALSE)</f>
        <v>Inorganic fertilizer</v>
      </c>
      <c r="V598" s="54" t="str">
        <f>VLOOKUP(Table3[[#This Row],[ACTIVITY]],TAGS!$B:$P,7,FALSE)</f>
        <v>NO</v>
      </c>
      <c r="W598" s="54" t="str">
        <f>VLOOKUP(Table3[[#This Row],[ACTIVITY]],TAGS!$B:$P,8,FALSE)</f>
        <v>PAP</v>
      </c>
      <c r="X598" s="54" t="str">
        <f>VLOOKUP(Table3[[#This Row],[ACTIVITY]],TAGS!$B:$P,10,FALSE)</f>
        <v>PIP</v>
      </c>
      <c r="Y598" s="54" t="str">
        <f>VLOOKUP(Table3[[#This Row],[ACTIVITY]],TAGS!$B:$P,11,FALSE)</f>
        <v>PICS</v>
      </c>
      <c r="Z598" s="54" t="str">
        <f>VLOOKUP(Table3[[#This Row],[ACTIVITY]],TAGS!$B:$P,12,FALSE)</f>
        <v>Consolidation</v>
      </c>
      <c r="AA598" s="54" t="str">
        <f>VLOOKUP(Table3[[#This Row],[ACTIVITY]],TAGS!$B:$P,13,FALSE)</f>
        <v>1. Bayanihan Agri Cluster</v>
      </c>
      <c r="AB598" s="54" t="str">
        <f>VLOOKUP(Table3[[#This Row],[ACTIVITY]],TAGS!$B:$P,14,FALSE)</f>
        <v>EXPAND AND IMPROVE AVAILABLE AGRI-FISHERY AREAS FOR INCREASED PRODUCTION</v>
      </c>
      <c r="AC598" s="54" t="str">
        <f>VLOOKUP(Table3[[#This Row],[ACTIVITY]],TAGS!$B:$P,15,FALSE)</f>
        <v>Farm Inputs</v>
      </c>
      <c r="AD598" s="54" t="str">
        <f>VLOOKUP(Table3[[#This Row],[PI LEVEL 3]],'PI LEVEL'!$A:$G,7,FALSE)</f>
        <v>DA-Level Output</v>
      </c>
      <c r="AE598" s="60"/>
      <c r="AF598" s="54" t="str">
        <f>VLOOKUP(Table3[[#This Row],[ACTIVITY]],TAGS!$B:$P,3,FALSE)</f>
        <v>kilogram</v>
      </c>
      <c r="AG598" s="60"/>
      <c r="AH598" s="54" t="e">
        <f>VLOOKUP(Table3[[#This Row],[MONTH]],TAGS!$W$67:$Y$81,2,FALSE)</f>
        <v>#N/A</v>
      </c>
      <c r="AI598" s="54" t="e">
        <f>VLOOKUP(Table3[[#This Row],[MONTH]],TAGS!$W$67:$Y$81,3,FALSE)</f>
        <v>#N/A</v>
      </c>
      <c r="AJ598" s="54" t="e">
        <f>VLOOKUP(Table3[[#This Row],[MONTH]],TAGS!$W$67:$Z$81,4,FALSE)</f>
        <v>#N/A</v>
      </c>
      <c r="AK598" s="60">
        <v>275000</v>
      </c>
      <c r="AL598" s="54" t="str">
        <f>VLOOKUP(Table3[[#This Row],[ACTIVITY]],TAGS!$B:$R,16,FALSE)</f>
        <v>YES</v>
      </c>
      <c r="AM598" s="60">
        <f>Table3[[#This Row],[TARGET]]/20</f>
        <v>13750</v>
      </c>
      <c r="AN598" s="60">
        <v>12375</v>
      </c>
      <c r="AO598" s="57"/>
      <c r="AP598" s="62"/>
      <c r="AQ598" s="62"/>
      <c r="AR598" s="62"/>
      <c r="AS598" s="62">
        <v>2</v>
      </c>
      <c r="AT598" s="63" t="str">
        <f>VLOOKUP(Table3[[#This Row],[ACTIVITY]],TAGS!$B:$R,17,FALSE)</f>
        <v>YES</v>
      </c>
      <c r="AU598" s="63"/>
      <c r="AV598" s="63"/>
      <c r="AW598" s="63"/>
      <c r="AX598" s="63"/>
      <c r="AY598" s="63"/>
      <c r="AZ598" s="63"/>
      <c r="BA598" s="63"/>
      <c r="BB598" s="63"/>
      <c r="BC598" s="63"/>
      <c r="BD598" s="63"/>
      <c r="BE598" s="63"/>
      <c r="BF598" s="63"/>
      <c r="BG598" s="63"/>
      <c r="BH598" s="63"/>
      <c r="BI598" s="63"/>
      <c r="BJ598" s="63"/>
      <c r="BK598" s="63"/>
      <c r="BL598" s="63"/>
      <c r="BM598" s="63"/>
    </row>
    <row r="599" spans="1:65">
      <c r="A599" s="54" t="str">
        <f>VLOOKUP(Table3[[#This Row],[OU]],OU!$A$15:$B$34,2,FALSE)</f>
        <v>RFOs</v>
      </c>
      <c r="B599" s="60" t="s">
        <v>436</v>
      </c>
      <c r="C599" s="60" t="s">
        <v>574</v>
      </c>
      <c r="D599" s="60"/>
      <c r="E599" s="60" t="s">
        <v>78</v>
      </c>
      <c r="F599" s="60"/>
      <c r="G59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59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599" s="61" t="e">
        <f>VLOOKUP(Table3[[#This Row],[PSGC]],DISTRICT!$D:$G,4,FALSE)</f>
        <v>#N/A</v>
      </c>
      <c r="J599" s="60" t="s">
        <v>578</v>
      </c>
      <c r="K599" s="51" t="str">
        <f>VLOOKUP(Table3[[#This Row],[SPECIFIC COMMODITY]],TAGS!$W$48:$X$53,2,FALSE)</f>
        <v>Corn</v>
      </c>
      <c r="L599" s="51" t="str">
        <f>VLOOKUP(Table3[[#This Row],[PREXC SUB-PROGRAM]],Table5[],2,FALSE)</f>
        <v>TECHNICAL AND SUPPORT SERVICES PROGRAM</v>
      </c>
      <c r="M599" s="51" t="str">
        <f>VLOOKUP(Table3[[#This Row],[COMMODITY PREXC SUB-PROGRAM]],TAGS!$U$54:$V$76,2,FALSE)</f>
        <v>PSS</v>
      </c>
      <c r="N599" s="60" t="s">
        <v>576</v>
      </c>
      <c r="O599" s="54" t="str">
        <f>VLOOKUP(Table3[[#This Row],[PI LEVEL 3]],'PI LEVEL'!A:C,3,FALSE)</f>
        <v>Agri-chemicals reserved</v>
      </c>
      <c r="P599" s="54" t="str">
        <f>VLOOKUP(Table3[[#This Row],[PI LEVEL 3]],Table53729[[Performance Indicator Level 3]:[Performance Indicator Level 1]],2,FALSE)</f>
        <v>Agri-chemicals reserved</v>
      </c>
      <c r="Q599" s="54" t="str">
        <f>VLOOKUP(Table3[[#This Row],[ACTIVITY]],TAGS!B:P,2,FALSE)</f>
        <v>Agri-chemicals reserved (liter)</v>
      </c>
      <c r="R599" s="60" t="s">
        <v>86</v>
      </c>
      <c r="S599" s="54" t="str">
        <f>VLOOKUP(Table3[[#This Row],[ACTIVITY]],TAGS!$B:$P,4,FALSE)</f>
        <v>Pest and Disease Management</v>
      </c>
      <c r="T599" s="54" t="str">
        <f>VLOOKUP(Table3[[#This Row],[ACTIVITY]],TAGS!$B:$P,5,FALSE)</f>
        <v>Agricultural Chemicals</v>
      </c>
      <c r="U599" s="54" t="str">
        <f>VLOOKUP(Table3[[#This Row],[ACTIVITY]],TAGS!$B:$P,6,FALSE)</f>
        <v>Insecticide (liquid)</v>
      </c>
      <c r="V599" s="54" t="str">
        <f>VLOOKUP(Table3[[#This Row],[ACTIVITY]],TAGS!$B:$P,7,FALSE)</f>
        <v>NO</v>
      </c>
      <c r="W599" s="54" t="str">
        <f>VLOOKUP(Table3[[#This Row],[ACTIVITY]],TAGS!$B:$P,8,FALSE)</f>
        <v>PAP</v>
      </c>
      <c r="X599" s="54" t="str">
        <f>VLOOKUP(Table3[[#This Row],[ACTIVITY]],TAGS!$B:$P,10,FALSE)</f>
        <v>PIP</v>
      </c>
      <c r="Y599" s="54" t="str">
        <f>VLOOKUP(Table3[[#This Row],[ACTIVITY]],TAGS!$B:$P,11,FALSE)</f>
        <v>PICS</v>
      </c>
      <c r="Z599" s="54" t="str">
        <f>VLOOKUP(Table3[[#This Row],[ACTIVITY]],TAGS!$B:$P,12,FALSE)</f>
        <v>Modernization</v>
      </c>
      <c r="AA599" s="54" t="str">
        <f>VLOOKUP(Table3[[#This Row],[ACTIVITY]],TAGS!$B:$P,13,FALSE)</f>
        <v>9. Climate Change Adaptation &amp; Mitigation Measures</v>
      </c>
      <c r="AB599" s="54" t="str">
        <f>VLOOKUP(Table3[[#This Row],[ACTIVITY]],TAGS!$B:$P,14,FALSE)</f>
        <v>EXPAND AND IMPROVE AVAILABLE AGRI-FISHERY AREAS FOR INCREASED PRODUCTION</v>
      </c>
      <c r="AC599" s="54" t="str">
        <f>VLOOKUP(Table3[[#This Row],[ACTIVITY]],TAGS!$B:$P,15,FALSE)</f>
        <v>Agrichemicals</v>
      </c>
      <c r="AD599" s="54" t="str">
        <f>VLOOKUP(Table3[[#This Row],[PI LEVEL 3]],'PI LEVEL'!$A:$G,7,FALSE)</f>
        <v>DA-Level Output</v>
      </c>
      <c r="AE599" s="60"/>
      <c r="AF599" s="54" t="str">
        <f>VLOOKUP(Table3[[#This Row],[ACTIVITY]],TAGS!$B:$P,3,FALSE)</f>
        <v>liter</v>
      </c>
      <c r="AG599" s="60"/>
      <c r="AH599" s="54" t="e">
        <f>VLOOKUP(Table3[[#This Row],[MONTH]],TAGS!$W$67:$Y$81,2,FALSE)</f>
        <v>#N/A</v>
      </c>
      <c r="AI599" s="54" t="e">
        <f>VLOOKUP(Table3[[#This Row],[MONTH]],TAGS!$W$67:$Y$81,3,FALSE)</f>
        <v>#N/A</v>
      </c>
      <c r="AJ599" s="54" t="e">
        <f>VLOOKUP(Table3[[#This Row],[MONTH]],TAGS!$W$67:$Z$81,4,FALSE)</f>
        <v>#N/A</v>
      </c>
      <c r="AK599" s="60">
        <v>5000</v>
      </c>
      <c r="AL599" s="54" t="str">
        <f>VLOOKUP(Table3[[#This Row],[ACTIVITY]],TAGS!$B:$R,16,FALSE)</f>
        <v>YES</v>
      </c>
      <c r="AM599" s="60">
        <f>Table3[[#This Row],[TARGET]]/20</f>
        <v>250</v>
      </c>
      <c r="AN599" s="60">
        <v>6000</v>
      </c>
      <c r="AO599" s="57"/>
      <c r="AP599" s="62"/>
      <c r="AQ599" s="62"/>
      <c r="AR599" s="62"/>
      <c r="AS599" s="62"/>
      <c r="AT599" s="63" t="str">
        <f>VLOOKUP(Table3[[#This Row],[ACTIVITY]],TAGS!$B:$R,17,FALSE)</f>
        <v>NO</v>
      </c>
      <c r="AU599" s="63"/>
      <c r="AV599" s="63"/>
      <c r="AW599" s="63"/>
      <c r="AX599" s="63"/>
      <c r="AY599" s="63"/>
      <c r="AZ599" s="63"/>
      <c r="BA599" s="63"/>
      <c r="BB599" s="63"/>
      <c r="BC599" s="63"/>
      <c r="BD599" s="63"/>
      <c r="BE599" s="63"/>
      <c r="BF599" s="63"/>
      <c r="BG599" s="63"/>
      <c r="BH599" s="63"/>
      <c r="BI599" s="63"/>
      <c r="BJ599" s="63"/>
      <c r="BK599" s="63"/>
      <c r="BL599" s="63"/>
      <c r="BM599" s="63"/>
    </row>
    <row r="600" spans="1:65">
      <c r="A600" s="54" t="str">
        <f>VLOOKUP(Table3[[#This Row],[OU]],OU!$A$15:$B$34,2,FALSE)</f>
        <v>RFOs</v>
      </c>
      <c r="B600" s="60" t="s">
        <v>436</v>
      </c>
      <c r="C600" s="60" t="s">
        <v>574</v>
      </c>
      <c r="D600" s="60"/>
      <c r="E600" s="60" t="s">
        <v>78</v>
      </c>
      <c r="F600" s="60"/>
      <c r="G60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0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00" s="61" t="e">
        <f>VLOOKUP(Table3[[#This Row],[PSGC]],DISTRICT!$D:$G,4,FALSE)</f>
        <v>#N/A</v>
      </c>
      <c r="J600" s="60" t="s">
        <v>578</v>
      </c>
      <c r="K600" s="51" t="str">
        <f>VLOOKUP(Table3[[#This Row],[SPECIFIC COMMODITY]],TAGS!$W$48:$X$53,2,FALSE)</f>
        <v>Corn</v>
      </c>
      <c r="L600" s="51" t="str">
        <f>VLOOKUP(Table3[[#This Row],[PREXC SUB-PROGRAM]],Table5[],2,FALSE)</f>
        <v>TECHNICAL AND SUPPORT SERVICES PROGRAM</v>
      </c>
      <c r="M600" s="51" t="str">
        <f>VLOOKUP(Table3[[#This Row],[COMMODITY PREXC SUB-PROGRAM]],TAGS!$U$54:$V$76,2,FALSE)</f>
        <v>PSS</v>
      </c>
      <c r="N600" s="60" t="s">
        <v>576</v>
      </c>
      <c r="O600" s="54" t="str">
        <f>VLOOKUP(Table3[[#This Row],[PI LEVEL 3]],'PI LEVEL'!A:C,3,FALSE)</f>
        <v>Agri-chemicals reserved</v>
      </c>
      <c r="P600" s="54" t="str">
        <f>VLOOKUP(Table3[[#This Row],[PI LEVEL 3]],Table53729[[Performance Indicator Level 3]:[Performance Indicator Level 1]],2,FALSE)</f>
        <v>Agri-chemicals reserved</v>
      </c>
      <c r="Q600" s="54" t="str">
        <f>VLOOKUP(Table3[[#This Row],[ACTIVITY]],TAGS!B:P,2,FALSE)</f>
        <v>Agri-chemicals reserved (kg)</v>
      </c>
      <c r="R600" s="60" t="s">
        <v>88</v>
      </c>
      <c r="S600" s="54" t="str">
        <f>VLOOKUP(Table3[[#This Row],[ACTIVITY]],TAGS!$B:$P,4,FALSE)</f>
        <v>Pest and Disease Management</v>
      </c>
      <c r="T600" s="54" t="str">
        <f>VLOOKUP(Table3[[#This Row],[ACTIVITY]],TAGS!$B:$P,5,FALSE)</f>
        <v>Agricultural Chemicals</v>
      </c>
      <c r="U600" s="54" t="str">
        <f>VLOOKUP(Table3[[#This Row],[ACTIVITY]],TAGS!$B:$P,6,FALSE)</f>
        <v>Rodenticides</v>
      </c>
      <c r="V600" s="54" t="str">
        <f>VLOOKUP(Table3[[#This Row],[ACTIVITY]],TAGS!$B:$P,7,FALSE)</f>
        <v>NO</v>
      </c>
      <c r="W600" s="54" t="str">
        <f>VLOOKUP(Table3[[#This Row],[ACTIVITY]],TAGS!$B:$P,8,FALSE)</f>
        <v>PAP</v>
      </c>
      <c r="X600" s="54" t="str">
        <f>VLOOKUP(Table3[[#This Row],[ACTIVITY]],TAGS!$B:$P,10,FALSE)</f>
        <v>PIP</v>
      </c>
      <c r="Y600" s="54" t="str">
        <f>VLOOKUP(Table3[[#This Row],[ACTIVITY]],TAGS!$B:$P,11,FALSE)</f>
        <v>PICS</v>
      </c>
      <c r="Z600" s="54" t="str">
        <f>VLOOKUP(Table3[[#This Row],[ACTIVITY]],TAGS!$B:$P,12,FALSE)</f>
        <v>Modernization</v>
      </c>
      <c r="AA600" s="54" t="str">
        <f>VLOOKUP(Table3[[#This Row],[ACTIVITY]],TAGS!$B:$P,13,FALSE)</f>
        <v>9. Climate Change Adaptation &amp; Mitigation Measures</v>
      </c>
      <c r="AB600" s="54" t="str">
        <f>VLOOKUP(Table3[[#This Row],[ACTIVITY]],TAGS!$B:$P,14,FALSE)</f>
        <v>EXPAND AND IMPROVE AVAILABLE AGRI-FISHERY AREAS FOR INCREASED PRODUCTION</v>
      </c>
      <c r="AC600" s="54" t="str">
        <f>VLOOKUP(Table3[[#This Row],[ACTIVITY]],TAGS!$B:$P,15,FALSE)</f>
        <v>Agrichemicals</v>
      </c>
      <c r="AD600" s="54" t="str">
        <f>VLOOKUP(Table3[[#This Row],[PI LEVEL 3]],'PI LEVEL'!$A:$G,7,FALSE)</f>
        <v>DA-Level Output</v>
      </c>
      <c r="AE600" s="60"/>
      <c r="AF600" s="54" t="str">
        <f>VLOOKUP(Table3[[#This Row],[ACTIVITY]],TAGS!$B:$P,3,FALSE)</f>
        <v>kilogram</v>
      </c>
      <c r="AG600" s="60"/>
      <c r="AH600" s="54" t="e">
        <f>VLOOKUP(Table3[[#This Row],[MONTH]],TAGS!$W$67:$Y$81,2,FALSE)</f>
        <v>#N/A</v>
      </c>
      <c r="AI600" s="54" t="e">
        <f>VLOOKUP(Table3[[#This Row],[MONTH]],TAGS!$W$67:$Y$81,3,FALSE)</f>
        <v>#N/A</v>
      </c>
      <c r="AJ600" s="54" t="e">
        <f>VLOOKUP(Table3[[#This Row],[MONTH]],TAGS!$W$67:$Z$81,4,FALSE)</f>
        <v>#N/A</v>
      </c>
      <c r="AK600" s="60">
        <v>50000</v>
      </c>
      <c r="AL600" s="54" t="str">
        <f>VLOOKUP(Table3[[#This Row],[ACTIVITY]],TAGS!$B:$R,16,FALSE)</f>
        <v>YES</v>
      </c>
      <c r="AM600" s="60">
        <f>Table3[[#This Row],[TARGET]]/20</f>
        <v>2500</v>
      </c>
      <c r="AN600" s="60">
        <v>1500</v>
      </c>
      <c r="AO600" s="57"/>
      <c r="AP600" s="62"/>
      <c r="AQ600" s="62"/>
      <c r="AR600" s="62"/>
      <c r="AS600" s="62"/>
      <c r="AT600" s="63" t="str">
        <f>VLOOKUP(Table3[[#This Row],[ACTIVITY]],TAGS!$B:$R,17,FALSE)</f>
        <v>NO</v>
      </c>
      <c r="AU600" s="63"/>
      <c r="AV600" s="63"/>
      <c r="AW600" s="63"/>
      <c r="AX600" s="63"/>
      <c r="AY600" s="63"/>
      <c r="AZ600" s="63"/>
      <c r="BA600" s="63"/>
      <c r="BB600" s="63"/>
      <c r="BC600" s="63"/>
      <c r="BD600" s="63"/>
      <c r="BE600" s="63"/>
      <c r="BF600" s="63"/>
      <c r="BG600" s="63"/>
      <c r="BH600" s="63"/>
      <c r="BI600" s="63"/>
      <c r="BJ600" s="63"/>
      <c r="BK600" s="63"/>
      <c r="BL600" s="63"/>
      <c r="BM600" s="63"/>
    </row>
    <row r="601" spans="1:65">
      <c r="A601" s="54" t="str">
        <f>VLOOKUP(Table3[[#This Row],[OU]],OU!$A$15:$B$34,2,FALSE)</f>
        <v>RFOs</v>
      </c>
      <c r="B601" s="60" t="s">
        <v>436</v>
      </c>
      <c r="C601" s="60" t="s">
        <v>574</v>
      </c>
      <c r="D601" s="60"/>
      <c r="E601" s="60" t="s">
        <v>78</v>
      </c>
      <c r="F601" s="60"/>
      <c r="G60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0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01" s="61" t="e">
        <f>VLOOKUP(Table3[[#This Row],[PSGC]],DISTRICT!$D:$G,4,FALSE)</f>
        <v>#N/A</v>
      </c>
      <c r="J601" s="60" t="s">
        <v>578</v>
      </c>
      <c r="K601" s="51" t="str">
        <f>VLOOKUP(Table3[[#This Row],[SPECIFIC COMMODITY]],TAGS!$W$48:$X$53,2,FALSE)</f>
        <v>Corn</v>
      </c>
      <c r="L601" s="51" t="str">
        <f>VLOOKUP(Table3[[#This Row],[PREXC SUB-PROGRAM]],Table5[],2,FALSE)</f>
        <v>TECHNICAL AND SUPPORT SERVICES PROGRAM</v>
      </c>
      <c r="M601" s="51" t="str">
        <f>VLOOKUP(Table3[[#This Row],[COMMODITY PREXC SUB-PROGRAM]],TAGS!$U$54:$V$76,2,FALSE)</f>
        <v>PSS</v>
      </c>
      <c r="N601" s="60" t="s">
        <v>576</v>
      </c>
      <c r="O601" s="54" t="str">
        <f>VLOOKUP(Table3[[#This Row],[PI LEVEL 3]],'PI LEVEL'!A:C,3,FALSE)</f>
        <v>Agri-chemicals reserved</v>
      </c>
      <c r="P601" s="54" t="str">
        <f>VLOOKUP(Table3[[#This Row],[PI LEVEL 3]],Table53729[[Performance Indicator Level 3]:[Performance Indicator Level 1]],2,FALSE)</f>
        <v>Agri-chemicals reserved</v>
      </c>
      <c r="Q601" s="54" t="str">
        <f>VLOOKUP(Table3[[#This Row],[ACTIVITY]],TAGS!B:P,2,FALSE)</f>
        <v>Agri-chemicals reserved (pc)</v>
      </c>
      <c r="R601" s="60" t="s">
        <v>90</v>
      </c>
      <c r="S601" s="54" t="str">
        <f>VLOOKUP(Table3[[#This Row],[ACTIVITY]],TAGS!$B:$P,4,FALSE)</f>
        <v>Pest and Disease Management</v>
      </c>
      <c r="T601" s="54" t="str">
        <f>VLOOKUP(Table3[[#This Row],[ACTIVITY]],TAGS!$B:$P,5,FALSE)</f>
        <v>Agricultural Chemicals</v>
      </c>
      <c r="U601" s="54" t="str">
        <f>VLOOKUP(Table3[[#This Row],[ACTIVITY]],TAGS!$B:$P,6,FALSE)</f>
        <v>Pheromone lure</v>
      </c>
      <c r="V601" s="54" t="str">
        <f>VLOOKUP(Table3[[#This Row],[ACTIVITY]],TAGS!$B:$P,7,FALSE)</f>
        <v>NO</v>
      </c>
      <c r="W601" s="54" t="str">
        <f>VLOOKUP(Table3[[#This Row],[ACTIVITY]],TAGS!$B:$P,8,FALSE)</f>
        <v>PAP</v>
      </c>
      <c r="X601" s="54" t="str">
        <f>VLOOKUP(Table3[[#This Row],[ACTIVITY]],TAGS!$B:$P,10,FALSE)</f>
        <v>PIP</v>
      </c>
      <c r="Y601" s="54" t="str">
        <f>VLOOKUP(Table3[[#This Row],[ACTIVITY]],TAGS!$B:$P,11,FALSE)</f>
        <v>PICS</v>
      </c>
      <c r="Z601" s="54" t="str">
        <f>VLOOKUP(Table3[[#This Row],[ACTIVITY]],TAGS!$B:$P,12,FALSE)</f>
        <v>Modernization</v>
      </c>
      <c r="AA601" s="54" t="str">
        <f>VLOOKUP(Table3[[#This Row],[ACTIVITY]],TAGS!$B:$P,13,FALSE)</f>
        <v>9. Climate Change Adaptation &amp; Mitigation Measures</v>
      </c>
      <c r="AB601" s="54" t="str">
        <f>VLOOKUP(Table3[[#This Row],[ACTIVITY]],TAGS!$B:$P,14,FALSE)</f>
        <v>EXPAND AND IMPROVE AVAILABLE AGRI-FISHERY AREAS FOR INCREASED PRODUCTION</v>
      </c>
      <c r="AC601" s="54" t="str">
        <f>VLOOKUP(Table3[[#This Row],[ACTIVITY]],TAGS!$B:$P,15,FALSE)</f>
        <v>Agrichemicals</v>
      </c>
      <c r="AD601" s="54" t="str">
        <f>VLOOKUP(Table3[[#This Row],[PI LEVEL 3]],'PI LEVEL'!$A:$G,7,FALSE)</f>
        <v>DA-Level Output</v>
      </c>
      <c r="AE601" s="60"/>
      <c r="AF601" s="54" t="str">
        <f>VLOOKUP(Table3[[#This Row],[ACTIVITY]],TAGS!$B:$P,3,FALSE)</f>
        <v>piece</v>
      </c>
      <c r="AG601" s="60"/>
      <c r="AH601" s="54" t="e">
        <f>VLOOKUP(Table3[[#This Row],[MONTH]],TAGS!$W$67:$Y$81,2,FALSE)</f>
        <v>#N/A</v>
      </c>
      <c r="AI601" s="54" t="e">
        <f>VLOOKUP(Table3[[#This Row],[MONTH]],TAGS!$W$67:$Y$81,3,FALSE)</f>
        <v>#N/A</v>
      </c>
      <c r="AJ601" s="54" t="e">
        <f>VLOOKUP(Table3[[#This Row],[MONTH]],TAGS!$W$67:$Z$81,4,FALSE)</f>
        <v>#N/A</v>
      </c>
      <c r="AK601" s="60">
        <v>5000</v>
      </c>
      <c r="AL601" s="54" t="str">
        <f>VLOOKUP(Table3[[#This Row],[ACTIVITY]],TAGS!$B:$R,16,FALSE)</f>
        <v>YES</v>
      </c>
      <c r="AM601" s="60">
        <f>Table3[[#This Row],[TARGET]]/20</f>
        <v>250</v>
      </c>
      <c r="AN601" s="60">
        <v>2750</v>
      </c>
      <c r="AO601" s="57"/>
      <c r="AP601" s="62"/>
      <c r="AQ601" s="62"/>
      <c r="AR601" s="62"/>
      <c r="AS601" s="62"/>
      <c r="AT601" s="63" t="str">
        <f>VLOOKUP(Table3[[#This Row],[ACTIVITY]],TAGS!$B:$R,17,FALSE)</f>
        <v>NO</v>
      </c>
      <c r="AU601" s="63"/>
      <c r="AV601" s="63"/>
      <c r="AW601" s="63"/>
      <c r="AX601" s="63"/>
      <c r="AY601" s="63"/>
      <c r="AZ601" s="63"/>
      <c r="BA601" s="63"/>
      <c r="BB601" s="63"/>
      <c r="BC601" s="63"/>
      <c r="BD601" s="63"/>
      <c r="BE601" s="63"/>
      <c r="BF601" s="63"/>
      <c r="BG601" s="63"/>
      <c r="BH601" s="63"/>
      <c r="BI601" s="63"/>
      <c r="BJ601" s="63"/>
      <c r="BK601" s="63"/>
      <c r="BL601" s="63"/>
      <c r="BM601" s="63"/>
    </row>
    <row r="602" spans="1:65">
      <c r="A602" s="54" t="str">
        <f>VLOOKUP(Table3[[#This Row],[OU]],OU!$A$15:$B$34,2,FALSE)</f>
        <v>RFOs</v>
      </c>
      <c r="B602" s="60" t="s">
        <v>436</v>
      </c>
      <c r="C602" s="60" t="s">
        <v>574</v>
      </c>
      <c r="D602" s="60"/>
      <c r="E602" s="60" t="s">
        <v>22</v>
      </c>
      <c r="F602" s="60"/>
      <c r="G60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60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602" s="61" t="e">
        <f>VLOOKUP(Table3[[#This Row],[PSGC]],DISTRICT!$D:$G,4,FALSE)</f>
        <v>#N/A</v>
      </c>
      <c r="J602" s="60" t="s">
        <v>578</v>
      </c>
      <c r="K602" s="51" t="str">
        <f>VLOOKUP(Table3[[#This Row],[SPECIFIC COMMODITY]],TAGS!$W$48:$X$53,2,FALSE)</f>
        <v>Corn</v>
      </c>
      <c r="L602" s="51" t="str">
        <f>VLOOKUP(Table3[[#This Row],[PREXC SUB-PROGRAM]],Table5[],2,FALSE)</f>
        <v>TECHNICAL AND SUPPORT SERVICES PROGRAM</v>
      </c>
      <c r="M602" s="51" t="str">
        <f>VLOOKUP(Table3[[#This Row],[COMMODITY PREXC SUB-PROGRAM]],TAGS!$U$54:$V$76,2,FALSE)</f>
        <v>PSS</v>
      </c>
      <c r="N602" s="60" t="s">
        <v>576</v>
      </c>
      <c r="O602" s="54" t="str">
        <f>VLOOKUP(Table3[[#This Row],[PI LEVEL 3]],'PI LEVEL'!A:C,3,FALSE)</f>
        <v>Fertilizers and other soil ammendment distributed</v>
      </c>
      <c r="P602" s="54" t="str">
        <f>VLOOKUP(Table3[[#This Row],[PI LEVEL 3]],Table53729[[Performance Indicator Level 3]:[Performance Indicator Level 1]],2,FALSE)</f>
        <v>Fertilizers distributed</v>
      </c>
      <c r="Q602" s="54" t="str">
        <f>VLOOKUP(Table3[[#This Row],[ACTIVITY]],TAGS!B:P,2,FALSE)</f>
        <v>Biofertilizer distributed (pack)</v>
      </c>
      <c r="R602" s="60" t="s">
        <v>30</v>
      </c>
      <c r="S602" s="54" t="str">
        <f>VLOOKUP(Table3[[#This Row],[ACTIVITY]],TAGS!$B:$P,4,FALSE)</f>
        <v>Soil amendments</v>
      </c>
      <c r="T602" s="54" t="str">
        <f>VLOOKUP(Table3[[#This Row],[ACTIVITY]],TAGS!$B:$P,5,FALSE)</f>
        <v>Soil Fertilization</v>
      </c>
      <c r="U602" s="54" t="str">
        <f>VLOOKUP(Table3[[#This Row],[ACTIVITY]],TAGS!$B:$P,6,FALSE)</f>
        <v>Biofertilizer</v>
      </c>
      <c r="V602" s="54" t="str">
        <f>VLOOKUP(Table3[[#This Row],[ACTIVITY]],TAGS!$B:$P,7,FALSE)</f>
        <v>NO</v>
      </c>
      <c r="W602" s="54" t="str">
        <f>VLOOKUP(Table3[[#This Row],[ACTIVITY]],TAGS!$B:$P,8,FALSE)</f>
        <v>PAP</v>
      </c>
      <c r="X602" s="54" t="str">
        <f>VLOOKUP(Table3[[#This Row],[ACTIVITY]],TAGS!$B:$P,10,FALSE)</f>
        <v>PIP</v>
      </c>
      <c r="Y602" s="54" t="str">
        <f>VLOOKUP(Table3[[#This Row],[ACTIVITY]],TAGS!$B:$P,11,FALSE)</f>
        <v>PICS</v>
      </c>
      <c r="Z602" s="54" t="str">
        <f>VLOOKUP(Table3[[#This Row],[ACTIVITY]],TAGS!$B:$P,12,FALSE)</f>
        <v>Consolidation</v>
      </c>
      <c r="AA602" s="54" t="str">
        <f>VLOOKUP(Table3[[#This Row],[ACTIVITY]],TAGS!$B:$P,13,FALSE)</f>
        <v>1. Bayanihan Agri Cluster</v>
      </c>
      <c r="AB602" s="54" t="str">
        <f>VLOOKUP(Table3[[#This Row],[ACTIVITY]],TAGS!$B:$P,14,FALSE)</f>
        <v>EXPAND AND IMPROVE AVAILABLE AGRI-FISHERY AREAS FOR INCREASED PRODUCTION</v>
      </c>
      <c r="AC602" s="54" t="str">
        <f>VLOOKUP(Table3[[#This Row],[ACTIVITY]],TAGS!$B:$P,15,FALSE)</f>
        <v>Farm Inputs</v>
      </c>
      <c r="AD602" s="54" t="str">
        <f>VLOOKUP(Table3[[#This Row],[PI LEVEL 3]],'PI LEVEL'!$A:$G,7,FALSE)</f>
        <v>DA-Level Output</v>
      </c>
      <c r="AE602" s="60"/>
      <c r="AF602" s="54" t="str">
        <f>VLOOKUP(Table3[[#This Row],[ACTIVITY]],TAGS!$B:$P,3,FALSE)</f>
        <v>pack</v>
      </c>
      <c r="AG602" s="60"/>
      <c r="AH602" s="54" t="e">
        <f>VLOOKUP(Table3[[#This Row],[MONTH]],TAGS!$W$67:$Y$81,2,FALSE)</f>
        <v>#N/A</v>
      </c>
      <c r="AI602" s="54" t="e">
        <f>VLOOKUP(Table3[[#This Row],[MONTH]],TAGS!$W$67:$Y$81,3,FALSE)</f>
        <v>#N/A</v>
      </c>
      <c r="AJ602" s="54" t="e">
        <f>VLOOKUP(Table3[[#This Row],[MONTH]],TAGS!$W$67:$Z$81,4,FALSE)</f>
        <v>#N/A</v>
      </c>
      <c r="AK602" s="60">
        <v>2000</v>
      </c>
      <c r="AL602" s="54" t="str">
        <f>VLOOKUP(Table3[[#This Row],[ACTIVITY]],TAGS!$B:$R,16,FALSE)</f>
        <v>YES</v>
      </c>
      <c r="AM602" s="60">
        <f>Table3[[#This Row],[TARGET]]/20</f>
        <v>100</v>
      </c>
      <c r="AN602" s="60">
        <v>1360</v>
      </c>
      <c r="AO602" s="57"/>
      <c r="AP602" s="62"/>
      <c r="AQ602" s="62"/>
      <c r="AR602" s="62"/>
      <c r="AS602" s="62">
        <v>2</v>
      </c>
      <c r="AT602" s="63" t="str">
        <f>VLOOKUP(Table3[[#This Row],[ACTIVITY]],TAGS!$B:$R,17,FALSE)</f>
        <v>YES</v>
      </c>
      <c r="AU602" s="63"/>
      <c r="AV602" s="63"/>
      <c r="AW602" s="63"/>
      <c r="AX602" s="63"/>
      <c r="AY602" s="63"/>
      <c r="AZ602" s="63"/>
      <c r="BA602" s="63"/>
      <c r="BB602" s="63"/>
      <c r="BC602" s="63"/>
      <c r="BD602" s="63"/>
      <c r="BE602" s="63"/>
      <c r="BF602" s="63"/>
      <c r="BG602" s="63"/>
      <c r="BH602" s="63"/>
      <c r="BI602" s="63"/>
      <c r="BJ602" s="63"/>
      <c r="BK602" s="63"/>
      <c r="BL602" s="63"/>
      <c r="BM602" s="63"/>
    </row>
    <row r="603" spans="1:65">
      <c r="A603" s="54" t="str">
        <f>VLOOKUP(Table3[[#This Row],[OU]],OU!$A$15:$B$34,2,FALSE)</f>
        <v>RFOs</v>
      </c>
      <c r="B603" s="60" t="s">
        <v>436</v>
      </c>
      <c r="C603" s="60" t="s">
        <v>574</v>
      </c>
      <c r="D603" s="60"/>
      <c r="E603" s="60" t="s">
        <v>43</v>
      </c>
      <c r="F603" s="60"/>
      <c r="G60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60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603" s="61" t="e">
        <f>VLOOKUP(Table3[[#This Row],[PSGC]],DISTRICT!$D:$G,4,FALSE)</f>
        <v>#N/A</v>
      </c>
      <c r="J603" s="60" t="s">
        <v>578</v>
      </c>
      <c r="K603" s="51" t="str">
        <f>VLOOKUP(Table3[[#This Row],[SPECIFIC COMMODITY]],TAGS!$W$48:$X$53,2,FALSE)</f>
        <v>Corn</v>
      </c>
      <c r="L603" s="51" t="str">
        <f>VLOOKUP(Table3[[#This Row],[PREXC SUB-PROGRAM]],Table5[],2,FALSE)</f>
        <v>TECHNICAL AND SUPPORT SERVICES PROGRAM</v>
      </c>
      <c r="M603" s="51" t="str">
        <f>VLOOKUP(Table3[[#This Row],[COMMODITY PREXC SUB-PROGRAM]],TAGS!$U$54:$V$76,2,FALSE)</f>
        <v>PSS</v>
      </c>
      <c r="N603" s="60" t="s">
        <v>576</v>
      </c>
      <c r="O603" s="54" t="str">
        <f>VLOOKUP(Table3[[#This Row],[PI LEVEL 3]],'PI LEVEL'!A:C,3,FALSE)</f>
        <v>Fertilizers and other soil ammendment distributed</v>
      </c>
      <c r="P603" s="54" t="str">
        <f>VLOOKUP(Table3[[#This Row],[PI LEVEL 3]],Table53729[[Performance Indicator Level 3]:[Performance Indicator Level 1]],2,FALSE)</f>
        <v>Fertilizers distributed</v>
      </c>
      <c r="Q603" s="54" t="str">
        <f>VLOOKUP(Table3[[#This Row],[ACTIVITY]],TAGS!B:P,2,FALSE)</f>
        <v>Biofertilizer distributed (pack)</v>
      </c>
      <c r="R603" s="60" t="s">
        <v>30</v>
      </c>
      <c r="S603" s="54" t="str">
        <f>VLOOKUP(Table3[[#This Row],[ACTIVITY]],TAGS!$B:$P,4,FALSE)</f>
        <v>Soil amendments</v>
      </c>
      <c r="T603" s="54" t="str">
        <f>VLOOKUP(Table3[[#This Row],[ACTIVITY]],TAGS!$B:$P,5,FALSE)</f>
        <v>Soil Fertilization</v>
      </c>
      <c r="U603" s="54" t="str">
        <f>VLOOKUP(Table3[[#This Row],[ACTIVITY]],TAGS!$B:$P,6,FALSE)</f>
        <v>Biofertilizer</v>
      </c>
      <c r="V603" s="54" t="str">
        <f>VLOOKUP(Table3[[#This Row],[ACTIVITY]],TAGS!$B:$P,7,FALSE)</f>
        <v>NO</v>
      </c>
      <c r="W603" s="54" t="str">
        <f>VLOOKUP(Table3[[#This Row],[ACTIVITY]],TAGS!$B:$P,8,FALSE)</f>
        <v>PAP</v>
      </c>
      <c r="X603" s="54" t="str">
        <f>VLOOKUP(Table3[[#This Row],[ACTIVITY]],TAGS!$B:$P,10,FALSE)</f>
        <v>PIP</v>
      </c>
      <c r="Y603" s="54" t="str">
        <f>VLOOKUP(Table3[[#This Row],[ACTIVITY]],TAGS!$B:$P,11,FALSE)</f>
        <v>PICS</v>
      </c>
      <c r="Z603" s="54" t="str">
        <f>VLOOKUP(Table3[[#This Row],[ACTIVITY]],TAGS!$B:$P,12,FALSE)</f>
        <v>Consolidation</v>
      </c>
      <c r="AA603" s="54" t="str">
        <f>VLOOKUP(Table3[[#This Row],[ACTIVITY]],TAGS!$B:$P,13,FALSE)</f>
        <v>1. Bayanihan Agri Cluster</v>
      </c>
      <c r="AB603" s="54" t="str">
        <f>VLOOKUP(Table3[[#This Row],[ACTIVITY]],TAGS!$B:$P,14,FALSE)</f>
        <v>EXPAND AND IMPROVE AVAILABLE AGRI-FISHERY AREAS FOR INCREASED PRODUCTION</v>
      </c>
      <c r="AC603" s="54" t="str">
        <f>VLOOKUP(Table3[[#This Row],[ACTIVITY]],TAGS!$B:$P,15,FALSE)</f>
        <v>Farm Inputs</v>
      </c>
      <c r="AD603" s="54" t="str">
        <f>VLOOKUP(Table3[[#This Row],[PI LEVEL 3]],'PI LEVEL'!$A:$G,7,FALSE)</f>
        <v>DA-Level Output</v>
      </c>
      <c r="AE603" s="60"/>
      <c r="AF603" s="54" t="str">
        <f>VLOOKUP(Table3[[#This Row],[ACTIVITY]],TAGS!$B:$P,3,FALSE)</f>
        <v>pack</v>
      </c>
      <c r="AG603" s="60"/>
      <c r="AH603" s="54" t="e">
        <f>VLOOKUP(Table3[[#This Row],[MONTH]],TAGS!$W$67:$Y$81,2,FALSE)</f>
        <v>#N/A</v>
      </c>
      <c r="AI603" s="54" t="e">
        <f>VLOOKUP(Table3[[#This Row],[MONTH]],TAGS!$W$67:$Y$81,3,FALSE)</f>
        <v>#N/A</v>
      </c>
      <c r="AJ603" s="54" t="e">
        <f>VLOOKUP(Table3[[#This Row],[MONTH]],TAGS!$W$67:$Z$81,4,FALSE)</f>
        <v>#N/A</v>
      </c>
      <c r="AK603" s="60">
        <v>2000</v>
      </c>
      <c r="AL603" s="54" t="str">
        <f>VLOOKUP(Table3[[#This Row],[ACTIVITY]],TAGS!$B:$R,16,FALSE)</f>
        <v>YES</v>
      </c>
      <c r="AM603" s="60">
        <f>Table3[[#This Row],[TARGET]]/20</f>
        <v>100</v>
      </c>
      <c r="AN603" s="60">
        <v>1360</v>
      </c>
      <c r="AO603" s="57"/>
      <c r="AP603" s="62"/>
      <c r="AQ603" s="62"/>
      <c r="AR603" s="62"/>
      <c r="AS603" s="62">
        <v>2</v>
      </c>
      <c r="AT603" s="63" t="str">
        <f>VLOOKUP(Table3[[#This Row],[ACTIVITY]],TAGS!$B:$R,17,FALSE)</f>
        <v>YES</v>
      </c>
      <c r="AU603" s="63"/>
      <c r="AV603" s="63"/>
      <c r="AW603" s="63"/>
      <c r="AX603" s="63"/>
      <c r="AY603" s="63"/>
      <c r="AZ603" s="63"/>
      <c r="BA603" s="63"/>
      <c r="BB603" s="63"/>
      <c r="BC603" s="63"/>
      <c r="BD603" s="63"/>
      <c r="BE603" s="63"/>
      <c r="BF603" s="63"/>
      <c r="BG603" s="63"/>
      <c r="BH603" s="63"/>
      <c r="BI603" s="63"/>
      <c r="BJ603" s="63"/>
      <c r="BK603" s="63"/>
      <c r="BL603" s="63"/>
      <c r="BM603" s="63"/>
    </row>
    <row r="604" spans="1:65">
      <c r="A604" s="54" t="str">
        <f>VLOOKUP(Table3[[#This Row],[OU]],OU!$A$15:$B$34,2,FALSE)</f>
        <v>RFOs</v>
      </c>
      <c r="B604" s="60" t="s">
        <v>436</v>
      </c>
      <c r="C604" s="60" t="s">
        <v>574</v>
      </c>
      <c r="D604" s="60"/>
      <c r="E604" s="60" t="s">
        <v>22</v>
      </c>
      <c r="F604" s="60"/>
      <c r="G60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60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604" s="61" t="e">
        <f>VLOOKUP(Table3[[#This Row],[PSGC]],DISTRICT!$D:$G,4,FALSE)</f>
        <v>#N/A</v>
      </c>
      <c r="J604" s="60" t="s">
        <v>578</v>
      </c>
      <c r="K604" s="51" t="str">
        <f>VLOOKUP(Table3[[#This Row],[SPECIFIC COMMODITY]],TAGS!$W$48:$X$53,2,FALSE)</f>
        <v>Corn</v>
      </c>
      <c r="L604" s="51" t="str">
        <f>VLOOKUP(Table3[[#This Row],[PREXC SUB-PROGRAM]],Table5[],2,FALSE)</f>
        <v>TECHNICAL AND SUPPORT SERVICES PROGRAM</v>
      </c>
      <c r="M604" s="51" t="str">
        <f>VLOOKUP(Table3[[#This Row],[COMMODITY PREXC SUB-PROGRAM]],TAGS!$U$54:$V$76,2,FALSE)</f>
        <v>PSS</v>
      </c>
      <c r="N604" s="60" t="s">
        <v>576</v>
      </c>
      <c r="O604" s="54" t="str">
        <f>VLOOKUP(Table3[[#This Row],[PI LEVEL 3]],'PI LEVEL'!A:C,3,FALSE)</f>
        <v>Fertilizers and other soil ammendment distributed</v>
      </c>
      <c r="P604" s="54" t="str">
        <f>VLOOKUP(Table3[[#This Row],[PI LEVEL 3]],Table53729[[Performance Indicator Level 3]:[Performance Indicator Level 1]],2,FALSE)</f>
        <v>Fertilizers distributed</v>
      </c>
      <c r="Q604" s="54" t="str">
        <f>VLOOKUP(Table3[[#This Row],[ACTIVITY]],TAGS!B:P,2,FALSE)</f>
        <v>Organic fertilizer distributed</v>
      </c>
      <c r="R604" s="60" t="s">
        <v>32</v>
      </c>
      <c r="S604" s="54" t="str">
        <f>VLOOKUP(Table3[[#This Row],[ACTIVITY]],TAGS!$B:$P,4,FALSE)</f>
        <v>Soil amendments</v>
      </c>
      <c r="T604" s="54" t="str">
        <f>VLOOKUP(Table3[[#This Row],[ACTIVITY]],TAGS!$B:$P,5,FALSE)</f>
        <v>Soil Fertilization</v>
      </c>
      <c r="U604" s="54" t="str">
        <f>VLOOKUP(Table3[[#This Row],[ACTIVITY]],TAGS!$B:$P,6,FALSE)</f>
        <v>Soil ameliorant</v>
      </c>
      <c r="V604" s="54" t="str">
        <f>VLOOKUP(Table3[[#This Row],[ACTIVITY]],TAGS!$B:$P,7,FALSE)</f>
        <v>NO</v>
      </c>
      <c r="W604" s="54" t="str">
        <f>VLOOKUP(Table3[[#This Row],[ACTIVITY]],TAGS!$B:$P,8,FALSE)</f>
        <v>PAP</v>
      </c>
      <c r="X604" s="54" t="str">
        <f>VLOOKUP(Table3[[#This Row],[ACTIVITY]],TAGS!$B:$P,10,FALSE)</f>
        <v>PIP</v>
      </c>
      <c r="Y604" s="54" t="str">
        <f>VLOOKUP(Table3[[#This Row],[ACTIVITY]],TAGS!$B:$P,11,FALSE)</f>
        <v>PICS</v>
      </c>
      <c r="Z604" s="54" t="str">
        <f>VLOOKUP(Table3[[#This Row],[ACTIVITY]],TAGS!$B:$P,12,FALSE)</f>
        <v>Consolidation</v>
      </c>
      <c r="AA604" s="54" t="str">
        <f>VLOOKUP(Table3[[#This Row],[ACTIVITY]],TAGS!$B:$P,13,FALSE)</f>
        <v>1. Bayanihan Agri Cluster</v>
      </c>
      <c r="AB604" s="54" t="str">
        <f>VLOOKUP(Table3[[#This Row],[ACTIVITY]],TAGS!$B:$P,14,FALSE)</f>
        <v>EXPAND AND IMPROVE AVAILABLE AGRI-FISHERY AREAS FOR INCREASED PRODUCTION</v>
      </c>
      <c r="AC604" s="54" t="str">
        <f>VLOOKUP(Table3[[#This Row],[ACTIVITY]],TAGS!$B:$P,15,FALSE)</f>
        <v>Farm Inputs</v>
      </c>
      <c r="AD604" s="54" t="str">
        <f>VLOOKUP(Table3[[#This Row],[PI LEVEL 3]],'PI LEVEL'!$A:$G,7,FALSE)</f>
        <v>DA-Level Output</v>
      </c>
      <c r="AE604" s="60"/>
      <c r="AF604" s="54" t="str">
        <f>VLOOKUP(Table3[[#This Row],[ACTIVITY]],TAGS!$B:$P,3,FALSE)</f>
        <v>kilogram</v>
      </c>
      <c r="AG604" s="60"/>
      <c r="AH604" s="54" t="e">
        <f>VLOOKUP(Table3[[#This Row],[MONTH]],TAGS!$W$67:$Y$81,2,FALSE)</f>
        <v>#N/A</v>
      </c>
      <c r="AI604" s="54" t="e">
        <f>VLOOKUP(Table3[[#This Row],[MONTH]],TAGS!$W$67:$Y$81,3,FALSE)</f>
        <v>#N/A</v>
      </c>
      <c r="AJ604" s="54" t="e">
        <f>VLOOKUP(Table3[[#This Row],[MONTH]],TAGS!$W$67:$Z$81,4,FALSE)</f>
        <v>#N/A</v>
      </c>
      <c r="AK604" s="60">
        <v>250000</v>
      </c>
      <c r="AL604" s="54" t="str">
        <f>VLOOKUP(Table3[[#This Row],[ACTIVITY]],TAGS!$B:$R,16,FALSE)</f>
        <v>YES</v>
      </c>
      <c r="AM604" s="60">
        <f>Table3[[#This Row],[TARGET]]/20</f>
        <v>12500</v>
      </c>
      <c r="AN604" s="60">
        <v>5000</v>
      </c>
      <c r="AO604" s="57"/>
      <c r="AP604" s="62"/>
      <c r="AQ604" s="62"/>
      <c r="AR604" s="62"/>
      <c r="AS604" s="62">
        <v>2</v>
      </c>
      <c r="AT604" s="63" t="str">
        <f>VLOOKUP(Table3[[#This Row],[ACTIVITY]],TAGS!$B:$R,17,FALSE)</f>
        <v>YES</v>
      </c>
      <c r="AU604" s="63"/>
      <c r="AV604" s="63"/>
      <c r="AW604" s="63"/>
      <c r="AX604" s="63"/>
      <c r="AY604" s="63"/>
      <c r="AZ604" s="63"/>
      <c r="BA604" s="63"/>
      <c r="BB604" s="63"/>
      <c r="BC604" s="63"/>
      <c r="BD604" s="63"/>
      <c r="BE604" s="63"/>
      <c r="BF604" s="63"/>
      <c r="BG604" s="63"/>
      <c r="BH604" s="63"/>
      <c r="BI604" s="63"/>
      <c r="BJ604" s="63"/>
      <c r="BK604" s="63"/>
      <c r="BL604" s="63"/>
      <c r="BM604" s="63"/>
    </row>
    <row r="605" spans="1:65">
      <c r="A605" s="54" t="str">
        <f>VLOOKUP(Table3[[#This Row],[OU]],OU!$A$15:$B$34,2,FALSE)</f>
        <v>RFOs</v>
      </c>
      <c r="B605" s="60" t="s">
        <v>436</v>
      </c>
      <c r="C605" s="60" t="s">
        <v>574</v>
      </c>
      <c r="D605" s="60"/>
      <c r="E605" s="60" t="s">
        <v>43</v>
      </c>
      <c r="F605" s="60"/>
      <c r="G60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60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605" s="61" t="e">
        <f>VLOOKUP(Table3[[#This Row],[PSGC]],DISTRICT!$D:$G,4,FALSE)</f>
        <v>#N/A</v>
      </c>
      <c r="J605" s="60" t="s">
        <v>578</v>
      </c>
      <c r="K605" s="51" t="str">
        <f>VLOOKUP(Table3[[#This Row],[SPECIFIC COMMODITY]],TAGS!$W$48:$X$53,2,FALSE)</f>
        <v>Corn</v>
      </c>
      <c r="L605" s="51" t="str">
        <f>VLOOKUP(Table3[[#This Row],[PREXC SUB-PROGRAM]],Table5[],2,FALSE)</f>
        <v>TECHNICAL AND SUPPORT SERVICES PROGRAM</v>
      </c>
      <c r="M605" s="51" t="str">
        <f>VLOOKUP(Table3[[#This Row],[COMMODITY PREXC SUB-PROGRAM]],TAGS!$U$54:$V$76,2,FALSE)</f>
        <v>PSS</v>
      </c>
      <c r="N605" s="60" t="s">
        <v>576</v>
      </c>
      <c r="O605" s="54" t="str">
        <f>VLOOKUP(Table3[[#This Row],[PI LEVEL 3]],'PI LEVEL'!A:C,3,FALSE)</f>
        <v>Fertilizers and other soil ammendment distributed</v>
      </c>
      <c r="P605" s="54" t="str">
        <f>VLOOKUP(Table3[[#This Row],[PI LEVEL 3]],Table53729[[Performance Indicator Level 3]:[Performance Indicator Level 1]],2,FALSE)</f>
        <v>Fertilizers distributed</v>
      </c>
      <c r="Q605" s="54" t="str">
        <f>VLOOKUP(Table3[[#This Row],[ACTIVITY]],TAGS!B:P,2,FALSE)</f>
        <v>Organic fertilizer distributed</v>
      </c>
      <c r="R605" s="60" t="s">
        <v>32</v>
      </c>
      <c r="S605" s="54" t="str">
        <f>VLOOKUP(Table3[[#This Row],[ACTIVITY]],TAGS!$B:$P,4,FALSE)</f>
        <v>Soil amendments</v>
      </c>
      <c r="T605" s="54" t="str">
        <f>VLOOKUP(Table3[[#This Row],[ACTIVITY]],TAGS!$B:$P,5,FALSE)</f>
        <v>Soil Fertilization</v>
      </c>
      <c r="U605" s="54" t="str">
        <f>VLOOKUP(Table3[[#This Row],[ACTIVITY]],TAGS!$B:$P,6,FALSE)</f>
        <v>Soil ameliorant</v>
      </c>
      <c r="V605" s="54" t="str">
        <f>VLOOKUP(Table3[[#This Row],[ACTIVITY]],TAGS!$B:$P,7,FALSE)</f>
        <v>NO</v>
      </c>
      <c r="W605" s="54" t="str">
        <f>VLOOKUP(Table3[[#This Row],[ACTIVITY]],TAGS!$B:$P,8,FALSE)</f>
        <v>PAP</v>
      </c>
      <c r="X605" s="54" t="str">
        <f>VLOOKUP(Table3[[#This Row],[ACTIVITY]],TAGS!$B:$P,10,FALSE)</f>
        <v>PIP</v>
      </c>
      <c r="Y605" s="54" t="str">
        <f>VLOOKUP(Table3[[#This Row],[ACTIVITY]],TAGS!$B:$P,11,FALSE)</f>
        <v>PICS</v>
      </c>
      <c r="Z605" s="54" t="str">
        <f>VLOOKUP(Table3[[#This Row],[ACTIVITY]],TAGS!$B:$P,12,FALSE)</f>
        <v>Consolidation</v>
      </c>
      <c r="AA605" s="54" t="str">
        <f>VLOOKUP(Table3[[#This Row],[ACTIVITY]],TAGS!$B:$P,13,FALSE)</f>
        <v>1. Bayanihan Agri Cluster</v>
      </c>
      <c r="AB605" s="54" t="str">
        <f>VLOOKUP(Table3[[#This Row],[ACTIVITY]],TAGS!$B:$P,14,FALSE)</f>
        <v>EXPAND AND IMPROVE AVAILABLE AGRI-FISHERY AREAS FOR INCREASED PRODUCTION</v>
      </c>
      <c r="AC605" s="54" t="str">
        <f>VLOOKUP(Table3[[#This Row],[ACTIVITY]],TAGS!$B:$P,15,FALSE)</f>
        <v>Farm Inputs</v>
      </c>
      <c r="AD605" s="54" t="str">
        <f>VLOOKUP(Table3[[#This Row],[PI LEVEL 3]],'PI LEVEL'!$A:$G,7,FALSE)</f>
        <v>DA-Level Output</v>
      </c>
      <c r="AE605" s="60"/>
      <c r="AF605" s="54" t="str">
        <f>VLOOKUP(Table3[[#This Row],[ACTIVITY]],TAGS!$B:$P,3,FALSE)</f>
        <v>kilogram</v>
      </c>
      <c r="AG605" s="60"/>
      <c r="AH605" s="54" t="e">
        <f>VLOOKUP(Table3[[#This Row],[MONTH]],TAGS!$W$67:$Y$81,2,FALSE)</f>
        <v>#N/A</v>
      </c>
      <c r="AI605" s="54" t="e">
        <f>VLOOKUP(Table3[[#This Row],[MONTH]],TAGS!$W$67:$Y$81,3,FALSE)</f>
        <v>#N/A</v>
      </c>
      <c r="AJ605" s="54" t="e">
        <f>VLOOKUP(Table3[[#This Row],[MONTH]],TAGS!$W$67:$Z$81,4,FALSE)</f>
        <v>#N/A</v>
      </c>
      <c r="AK605" s="60">
        <v>250000</v>
      </c>
      <c r="AL605" s="54" t="str">
        <f>VLOOKUP(Table3[[#This Row],[ACTIVITY]],TAGS!$B:$R,16,FALSE)</f>
        <v>YES</v>
      </c>
      <c r="AM605" s="60">
        <f>Table3[[#This Row],[TARGET]]/20</f>
        <v>12500</v>
      </c>
      <c r="AN605" s="60">
        <v>5000</v>
      </c>
      <c r="AO605" s="57"/>
      <c r="AP605" s="62"/>
      <c r="AQ605" s="62"/>
      <c r="AR605" s="62"/>
      <c r="AS605" s="62">
        <v>2</v>
      </c>
      <c r="AT605" s="63" t="str">
        <f>VLOOKUP(Table3[[#This Row],[ACTIVITY]],TAGS!$B:$R,17,FALSE)</f>
        <v>YES</v>
      </c>
      <c r="AU605" s="63"/>
      <c r="AV605" s="63"/>
      <c r="AW605" s="63"/>
      <c r="AX605" s="63"/>
      <c r="AY605" s="63"/>
      <c r="AZ605" s="63"/>
      <c r="BA605" s="63"/>
      <c r="BB605" s="63"/>
      <c r="BC605" s="63"/>
      <c r="BD605" s="63"/>
      <c r="BE605" s="63"/>
      <c r="BF605" s="63"/>
      <c r="BG605" s="63"/>
      <c r="BH605" s="63"/>
      <c r="BI605" s="63"/>
      <c r="BJ605" s="63"/>
      <c r="BK605" s="63"/>
      <c r="BL605" s="63"/>
      <c r="BM605" s="63"/>
    </row>
    <row r="606" spans="1:65">
      <c r="A606" s="54" t="str">
        <f>VLOOKUP(Table3[[#This Row],[OU]],OU!$A$15:$B$34,2,FALSE)</f>
        <v>RFOs</v>
      </c>
      <c r="B606" s="60" t="s">
        <v>436</v>
      </c>
      <c r="C606" s="60" t="s">
        <v>574</v>
      </c>
      <c r="D606" s="60"/>
      <c r="E606" s="60" t="s">
        <v>22</v>
      </c>
      <c r="F606" s="60"/>
      <c r="G60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60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606" s="61" t="e">
        <f>VLOOKUP(Table3[[#This Row],[PSGC]],DISTRICT!$D:$G,4,FALSE)</f>
        <v>#N/A</v>
      </c>
      <c r="J606" s="60" t="s">
        <v>579</v>
      </c>
      <c r="K606" s="51" t="str">
        <f>VLOOKUP(Table3[[#This Row],[SPECIFIC COMMODITY]],TAGS!$W$48:$X$53,2,FALSE)</f>
        <v>Cassava</v>
      </c>
      <c r="L606" s="51" t="str">
        <f>VLOOKUP(Table3[[#This Row],[PREXC SUB-PROGRAM]],Table5[],2,FALSE)</f>
        <v>TECHNICAL AND SUPPORT SERVICES PROGRAM</v>
      </c>
      <c r="M606" s="51" t="str">
        <f>VLOOKUP(Table3[[#This Row],[COMMODITY PREXC SUB-PROGRAM]],TAGS!$U$54:$V$76,2,FALSE)</f>
        <v>ESETS</v>
      </c>
      <c r="N606" s="60" t="s">
        <v>589</v>
      </c>
      <c r="O606" s="54" t="str">
        <f>VLOOKUP(Table3[[#This Row],[PI LEVEL 3]],'PI LEVEL'!A:C,3,FALSE)</f>
        <v>Technology demonstrations established/maintained</v>
      </c>
      <c r="P606" s="54" t="str">
        <f>VLOOKUP(Table3[[#This Row],[PI LEVEL 3]],Table53729[[Performance Indicator Level 3]:[Performance Indicator Level 1]],2,FALSE)</f>
        <v>Model Farms established</v>
      </c>
      <c r="Q606" s="54" t="str">
        <f>VLOOKUP(Table3[[#This Row],[ACTIVITY]],TAGS!B:P,2,FALSE)</f>
        <v>Model Farms established</v>
      </c>
      <c r="R606" s="60" t="s">
        <v>107</v>
      </c>
      <c r="S606" s="54" t="str">
        <f>VLOOKUP(Table3[[#This Row],[ACTIVITY]],TAGS!$B:$P,4,FALSE)</f>
        <v>Model Farm establishment</v>
      </c>
      <c r="T606" s="54" t="str">
        <f>VLOOKUP(Table3[[#This Row],[ACTIVITY]],TAGS!$B:$P,5,FALSE)</f>
        <v>Model farm</v>
      </c>
      <c r="U606" s="54" t="str">
        <f>VLOOKUP(Table3[[#This Row],[ACTIVITY]],TAGS!$B:$P,6,FALSE)</f>
        <v>Cassava model farm</v>
      </c>
      <c r="V606" s="54" t="str">
        <f>VLOOKUP(Table3[[#This Row],[ACTIVITY]],TAGS!$B:$P,7,FALSE)</f>
        <v>YES</v>
      </c>
      <c r="W606" s="54" t="str">
        <f>VLOOKUP(Table3[[#This Row],[ACTIVITY]],TAGS!$B:$P,8,FALSE)</f>
        <v>PAP</v>
      </c>
      <c r="X606" s="54" t="str">
        <f>VLOOKUP(Table3[[#This Row],[ACTIVITY]],TAGS!$B:$P,10,FALSE)</f>
        <v>PIP</v>
      </c>
      <c r="Y606" s="54" t="str">
        <f>VLOOKUP(Table3[[#This Row],[ACTIVITY]],TAGS!$B:$P,11,FALSE)</f>
        <v>PICS</v>
      </c>
      <c r="Z606" s="54" t="str">
        <f>VLOOKUP(Table3[[#This Row],[ACTIVITY]],TAGS!$B:$P,12,FALSE)</f>
        <v>Consolidation</v>
      </c>
      <c r="AA606" s="54" t="str">
        <f>VLOOKUP(Table3[[#This Row],[ACTIVITY]],TAGS!$B:$P,13,FALSE)</f>
        <v>1. Bayanihan Agri Cluster</v>
      </c>
      <c r="AB606" s="54" t="str">
        <f>VLOOKUP(Table3[[#This Row],[ACTIVITY]],TAGS!$B:$P,14,FALSE)</f>
        <v>EXPAND AND IMPROVE AVAILABLE AGRI-FISHERY AREAS FOR INCREASED PRODUCTION</v>
      </c>
      <c r="AC606" s="54" t="str">
        <f>VLOOKUP(Table3[[#This Row],[ACTIVITY]],TAGS!$B:$P,15,FALSE)</f>
        <v>Farm Inputs</v>
      </c>
      <c r="AD606" s="54" t="str">
        <f>VLOOKUP(Table3[[#This Row],[PI LEVEL 3]],'PI LEVEL'!$A:$G,7,FALSE)</f>
        <v>DA-Level Output</v>
      </c>
      <c r="AE606" s="60"/>
      <c r="AF606" s="54" t="str">
        <f>VLOOKUP(Table3[[#This Row],[ACTIVITY]],TAGS!$B:$P,3,FALSE)</f>
        <v>number</v>
      </c>
      <c r="AG606" s="60"/>
      <c r="AH606" s="54" t="e">
        <f>VLOOKUP(Table3[[#This Row],[MONTH]],TAGS!$W$67:$Y$81,2,FALSE)</f>
        <v>#N/A</v>
      </c>
      <c r="AI606" s="54" t="e">
        <f>VLOOKUP(Table3[[#This Row],[MONTH]],TAGS!$W$67:$Y$81,3,FALSE)</f>
        <v>#N/A</v>
      </c>
      <c r="AJ606" s="54" t="e">
        <f>VLOOKUP(Table3[[#This Row],[MONTH]],TAGS!$W$67:$Z$81,4,FALSE)</f>
        <v>#N/A</v>
      </c>
      <c r="AK606" s="60">
        <v>1</v>
      </c>
      <c r="AL606" s="54" t="str">
        <f>VLOOKUP(Table3[[#This Row],[ACTIVITY]],TAGS!$B:$R,16,FALSE)</f>
        <v>YES</v>
      </c>
      <c r="AM606" s="60">
        <f>Table3[[#This Row],[TARGET]]/20</f>
        <v>0.05</v>
      </c>
      <c r="AN606" s="60">
        <v>650</v>
      </c>
      <c r="AO606" s="57"/>
      <c r="AP606" s="62"/>
      <c r="AQ606" s="62"/>
      <c r="AR606" s="62"/>
      <c r="AS606" s="62"/>
      <c r="AT606" s="63" t="str">
        <f>VLOOKUP(Table3[[#This Row],[ACTIVITY]],TAGS!$B:$R,17,FALSE)</f>
        <v>NO</v>
      </c>
      <c r="AU606" s="63"/>
      <c r="AV606" s="63"/>
      <c r="AW606" s="63"/>
      <c r="AX606" s="63"/>
      <c r="AY606" s="63"/>
      <c r="AZ606" s="63"/>
      <c r="BA606" s="63"/>
      <c r="BB606" s="63"/>
      <c r="BC606" s="63"/>
      <c r="BD606" s="63"/>
      <c r="BE606" s="63"/>
      <c r="BF606" s="63"/>
      <c r="BG606" s="63"/>
      <c r="BH606" s="63"/>
      <c r="BI606" s="63"/>
      <c r="BJ606" s="63"/>
      <c r="BK606" s="63"/>
      <c r="BL606" s="63"/>
      <c r="BM606" s="63"/>
    </row>
    <row r="607" spans="1:65">
      <c r="A607" s="54" t="str">
        <f>VLOOKUP(Table3[[#This Row],[OU]],OU!$A$15:$B$34,2,FALSE)</f>
        <v>RFOs</v>
      </c>
      <c r="B607" s="60" t="s">
        <v>436</v>
      </c>
      <c r="C607" s="60" t="s">
        <v>574</v>
      </c>
      <c r="D607" s="60"/>
      <c r="E607" s="60" t="s">
        <v>78</v>
      </c>
      <c r="F607" s="60"/>
      <c r="G60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0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07" s="61" t="e">
        <f>VLOOKUP(Table3[[#This Row],[PSGC]],DISTRICT!$D:$G,4,FALSE)</f>
        <v>#N/A</v>
      </c>
      <c r="J607" s="60" t="s">
        <v>579</v>
      </c>
      <c r="K607" s="51" t="str">
        <f>VLOOKUP(Table3[[#This Row],[SPECIFIC COMMODITY]],TAGS!$W$48:$X$53,2,FALSE)</f>
        <v>Cassava</v>
      </c>
      <c r="L607" s="51" t="str">
        <f>VLOOKUP(Table3[[#This Row],[PREXC SUB-PROGRAM]],Table5[],2,FALSE)</f>
        <v>TECHNICAL AND SUPPORT SERVICES PROGRAM</v>
      </c>
      <c r="M607" s="51" t="str">
        <f>VLOOKUP(Table3[[#This Row],[COMMODITY PREXC SUB-PROGRAM]],TAGS!$U$54:$V$76,2,FALSE)</f>
        <v>ESETS</v>
      </c>
      <c r="N607" s="60" t="s">
        <v>589</v>
      </c>
      <c r="O607" s="54" t="str">
        <f>VLOOKUP(Table3[[#This Row],[PI LEVEL 3]],'PI LEVEL'!A:C,3,FALSE)</f>
        <v>Training conducted</v>
      </c>
      <c r="P607" s="54" t="str">
        <f>VLOOKUP(Table3[[#This Row],[PI LEVEL 3]],Table53729[[Performance Indicator Level 3]:[Performance Indicator Level 1]],2,FALSE)</f>
        <v>Other training conducted</v>
      </c>
      <c r="Q607" s="54" t="str">
        <f>VLOOKUP(Table3[[#This Row],[ACTIVITY]],TAGS!B:P,2,FALSE)</f>
        <v>Other training conducted_Farmers/Fisherfolk/Other External Participants</v>
      </c>
      <c r="R607" s="60" t="s">
        <v>147</v>
      </c>
      <c r="S607" s="54" t="str">
        <f>VLOOKUP(Table3[[#This Row],[ACTIVITY]],TAGS!$B:$P,4,FALSE)</f>
        <v>Trainings</v>
      </c>
      <c r="T607" s="54" t="str">
        <f>VLOOKUP(Table3[[#This Row],[ACTIVITY]],TAGS!$B:$P,5,FALSE)</f>
        <v>Trainings</v>
      </c>
      <c r="U607" s="54" t="str">
        <f>VLOOKUP(Table3[[#This Row],[ACTIVITY]],TAGS!$B:$P,6,FALSE)</f>
        <v>Cassava Livelihood training</v>
      </c>
      <c r="V607" s="54" t="str">
        <f>VLOOKUP(Table3[[#This Row],[ACTIVITY]],TAGS!$B:$P,7,FALSE)</f>
        <v>NO</v>
      </c>
      <c r="W607" s="54" t="str">
        <f>VLOOKUP(Table3[[#This Row],[ACTIVITY]],TAGS!$B:$P,8,FALSE)</f>
        <v>PAP</v>
      </c>
      <c r="X607" s="54" t="str">
        <f>VLOOKUP(Table3[[#This Row],[ACTIVITY]],TAGS!$B:$P,10,FALSE)</f>
        <v>PIP</v>
      </c>
      <c r="Y607" s="54" t="str">
        <f>VLOOKUP(Table3[[#This Row],[ACTIVITY]],TAGS!$B:$P,11,FALSE)</f>
        <v>PICS</v>
      </c>
      <c r="Z607" s="54" t="str">
        <f>VLOOKUP(Table3[[#This Row],[ACTIVITY]],TAGS!$B:$P,12,FALSE)</f>
        <v>Consolidation</v>
      </c>
      <c r="AA607" s="54" t="str">
        <f>VLOOKUP(Table3[[#This Row],[ACTIVITY]],TAGS!$B:$P,13,FALSE)</f>
        <v>1. Bayanihan Agri Cluster</v>
      </c>
      <c r="AB607" s="54" t="str">
        <f>VLOOKUP(Table3[[#This Row],[ACTIVITY]],TAGS!$B:$P,14,FALSE)</f>
        <v>IMPROVE AND EXPAND LOCAL AND INTERNATIONAL MARKET ACCESS</v>
      </c>
      <c r="AC607" s="54" t="str">
        <f>VLOOKUP(Table3[[#This Row],[ACTIVITY]],TAGS!$B:$P,15,FALSE)</f>
        <v>Capacity Building</v>
      </c>
      <c r="AD607" s="54" t="str">
        <f>VLOOKUP(Table3[[#This Row],[PI LEVEL 3]],'PI LEVEL'!$A:$G,7,FALSE)</f>
        <v>PREXC/DA-Level Output</v>
      </c>
      <c r="AE607" s="60"/>
      <c r="AF607" s="54" t="str">
        <f>VLOOKUP(Table3[[#This Row],[ACTIVITY]],TAGS!$B:$P,3,FALSE)</f>
        <v>number</v>
      </c>
      <c r="AG607" s="60"/>
      <c r="AH607" s="54" t="e">
        <f>VLOOKUP(Table3[[#This Row],[MONTH]],TAGS!$W$67:$Y$81,2,FALSE)</f>
        <v>#N/A</v>
      </c>
      <c r="AI607" s="54" t="e">
        <f>VLOOKUP(Table3[[#This Row],[MONTH]],TAGS!$W$67:$Y$81,3,FALSE)</f>
        <v>#N/A</v>
      </c>
      <c r="AJ607" s="54" t="e">
        <f>VLOOKUP(Table3[[#This Row],[MONTH]],TAGS!$W$67:$Z$81,4,FALSE)</f>
        <v>#N/A</v>
      </c>
      <c r="AK607" s="60">
        <v>4</v>
      </c>
      <c r="AL607" s="54" t="str">
        <f>VLOOKUP(Table3[[#This Row],[ACTIVITY]],TAGS!$B:$R,16,FALSE)</f>
        <v>NO</v>
      </c>
      <c r="AM607" s="60">
        <f>Table3[[#This Row],[TARGET]]/20</f>
        <v>0.2</v>
      </c>
      <c r="AN607" s="60">
        <v>200</v>
      </c>
      <c r="AO607" s="57">
        <v>120</v>
      </c>
      <c r="AP607" s="62"/>
      <c r="AQ607" s="62"/>
      <c r="AR607" s="62"/>
      <c r="AS607" s="62"/>
      <c r="AT607" s="63" t="str">
        <f>VLOOKUP(Table3[[#This Row],[ACTIVITY]],TAGS!$B:$R,17,FALSE)</f>
        <v>NO</v>
      </c>
      <c r="AU607" s="63"/>
      <c r="AV607" s="63"/>
      <c r="AW607" s="63"/>
      <c r="AX607" s="63"/>
      <c r="AY607" s="63"/>
      <c r="AZ607" s="63"/>
      <c r="BA607" s="63"/>
      <c r="BB607" s="63"/>
      <c r="BC607" s="63"/>
      <c r="BD607" s="63"/>
      <c r="BE607" s="63"/>
      <c r="BF607" s="63"/>
      <c r="BG607" s="63"/>
      <c r="BH607" s="63"/>
      <c r="BI607" s="63"/>
      <c r="BJ607" s="63"/>
      <c r="BK607" s="63"/>
      <c r="BL607" s="63"/>
      <c r="BM607" s="63"/>
    </row>
    <row r="608" spans="1:65">
      <c r="A608" s="54" t="str">
        <f>VLOOKUP(Table3[[#This Row],[OU]],OU!$A$15:$B$34,2,FALSE)</f>
        <v>RFOs</v>
      </c>
      <c r="B608" s="60" t="s">
        <v>436</v>
      </c>
      <c r="C608" s="60" t="s">
        <v>574</v>
      </c>
      <c r="D608" s="60"/>
      <c r="E608" s="60" t="s">
        <v>78</v>
      </c>
      <c r="F608" s="60"/>
      <c r="G60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0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08" s="61" t="e">
        <f>VLOOKUP(Table3[[#This Row],[PSGC]],DISTRICT!$D:$G,4,FALSE)</f>
        <v>#N/A</v>
      </c>
      <c r="J608" s="60" t="s">
        <v>579</v>
      </c>
      <c r="K608" s="51" t="str">
        <f>VLOOKUP(Table3[[#This Row],[SPECIFIC COMMODITY]],TAGS!$W$48:$X$53,2,FALSE)</f>
        <v>Cassava</v>
      </c>
      <c r="L608" s="51" t="str">
        <f>VLOOKUP(Table3[[#This Row],[PREXC SUB-PROGRAM]],Table5[],2,FALSE)</f>
        <v>TECHNICAL AND SUPPORT SERVICES PROGRAM</v>
      </c>
      <c r="M608" s="51" t="str">
        <f>VLOOKUP(Table3[[#This Row],[COMMODITY PREXC SUB-PROGRAM]],TAGS!$U$54:$V$76,2,FALSE)</f>
        <v>ESETS</v>
      </c>
      <c r="N608" s="60" t="s">
        <v>589</v>
      </c>
      <c r="O608" s="54" t="str">
        <f>VLOOKUP(Table3[[#This Row],[PI LEVEL 3]],'PI LEVEL'!A:C,3,FALSE)</f>
        <v>Training conducted</v>
      </c>
      <c r="P608" s="54" t="str">
        <f>VLOOKUP(Table3[[#This Row],[PI LEVEL 3]],Table53729[[Performance Indicator Level 3]:[Performance Indicator Level 1]],2,FALSE)</f>
        <v>Other training conducted</v>
      </c>
      <c r="Q608" s="54" t="str">
        <f>VLOOKUP(Table3[[#This Row],[ACTIVITY]],TAGS!B:P,2,FALSE)</f>
        <v>Other training conducted_Farmers/Fisherfolk/Other External Participants</v>
      </c>
      <c r="R608" s="60" t="s">
        <v>149</v>
      </c>
      <c r="S608" s="54" t="str">
        <f>VLOOKUP(Table3[[#This Row],[ACTIVITY]],TAGS!$B:$P,4,FALSE)</f>
        <v>Trainings</v>
      </c>
      <c r="T608" s="54" t="str">
        <f>VLOOKUP(Table3[[#This Row],[ACTIVITY]],TAGS!$B:$P,5,FALSE)</f>
        <v>Trainings</v>
      </c>
      <c r="U608" s="54" t="str">
        <f>VLOOKUP(Table3[[#This Row],[ACTIVITY]],TAGS!$B:$P,6,FALSE)</f>
        <v>Cassava Production Training</v>
      </c>
      <c r="V608" s="54" t="str">
        <f>VLOOKUP(Table3[[#This Row],[ACTIVITY]],TAGS!$B:$P,7,FALSE)</f>
        <v>NO</v>
      </c>
      <c r="W608" s="54" t="str">
        <f>VLOOKUP(Table3[[#This Row],[ACTIVITY]],TAGS!$B:$P,8,FALSE)</f>
        <v>PAP</v>
      </c>
      <c r="X608" s="54" t="str">
        <f>VLOOKUP(Table3[[#This Row],[ACTIVITY]],TAGS!$B:$P,10,FALSE)</f>
        <v>PIP</v>
      </c>
      <c r="Y608" s="54" t="str">
        <f>VLOOKUP(Table3[[#This Row],[ACTIVITY]],TAGS!$B:$P,11,FALSE)</f>
        <v>PICS</v>
      </c>
      <c r="Z608" s="54" t="str">
        <f>VLOOKUP(Table3[[#This Row],[ACTIVITY]],TAGS!$B:$P,12,FALSE)</f>
        <v>Consolidation</v>
      </c>
      <c r="AA608" s="54" t="str">
        <f>VLOOKUP(Table3[[#This Row],[ACTIVITY]],TAGS!$B:$P,13,FALSE)</f>
        <v>1. Bayanihan Agri Cluster</v>
      </c>
      <c r="AB608" s="54" t="str">
        <f>VLOOKUP(Table3[[#This Row],[ACTIVITY]],TAGS!$B:$P,14,FALSE)</f>
        <v>EXPAND AND IMPROVE AVAILABLE AGRI-FISHERY AREAS FOR INCREASED PRODUCTION</v>
      </c>
      <c r="AC608" s="54" t="str">
        <f>VLOOKUP(Table3[[#This Row],[ACTIVITY]],TAGS!$B:$P,15,FALSE)</f>
        <v>Capacity Building</v>
      </c>
      <c r="AD608" s="54" t="str">
        <f>VLOOKUP(Table3[[#This Row],[PI LEVEL 3]],'PI LEVEL'!$A:$G,7,FALSE)</f>
        <v>PREXC/DA-Level Output</v>
      </c>
      <c r="AE608" s="60"/>
      <c r="AF608" s="54" t="str">
        <f>VLOOKUP(Table3[[#This Row],[ACTIVITY]],TAGS!$B:$P,3,FALSE)</f>
        <v>number</v>
      </c>
      <c r="AG608" s="60"/>
      <c r="AH608" s="54" t="e">
        <f>VLOOKUP(Table3[[#This Row],[MONTH]],TAGS!$W$67:$Y$81,2,FALSE)</f>
        <v>#N/A</v>
      </c>
      <c r="AI608" s="54" t="e">
        <f>VLOOKUP(Table3[[#This Row],[MONTH]],TAGS!$W$67:$Y$81,3,FALSE)</f>
        <v>#N/A</v>
      </c>
      <c r="AJ608" s="54" t="e">
        <f>VLOOKUP(Table3[[#This Row],[MONTH]],TAGS!$W$67:$Z$81,4,FALSE)</f>
        <v>#N/A</v>
      </c>
      <c r="AK608" s="60">
        <v>4</v>
      </c>
      <c r="AL608" s="54" t="str">
        <f>VLOOKUP(Table3[[#This Row],[ACTIVITY]],TAGS!$B:$R,16,FALSE)</f>
        <v>NO</v>
      </c>
      <c r="AM608" s="60">
        <f>Table3[[#This Row],[TARGET]]/20</f>
        <v>0.2</v>
      </c>
      <c r="AN608" s="60">
        <v>140</v>
      </c>
      <c r="AO608" s="57">
        <v>120</v>
      </c>
      <c r="AP608" s="62"/>
      <c r="AQ608" s="62"/>
      <c r="AR608" s="62"/>
      <c r="AS608" s="62"/>
      <c r="AT608" s="63" t="str">
        <f>VLOOKUP(Table3[[#This Row],[ACTIVITY]],TAGS!$B:$R,17,FALSE)</f>
        <v>NO</v>
      </c>
      <c r="AU608" s="63"/>
      <c r="AV608" s="63"/>
      <c r="AW608" s="63"/>
      <c r="AX608" s="63"/>
      <c r="AY608" s="63"/>
      <c r="AZ608" s="63"/>
      <c r="BA608" s="63"/>
      <c r="BB608" s="63"/>
      <c r="BC608" s="63"/>
      <c r="BD608" s="63"/>
      <c r="BE608" s="63"/>
      <c r="BF608" s="63"/>
      <c r="BG608" s="63"/>
      <c r="BH608" s="63"/>
      <c r="BI608" s="63"/>
      <c r="BJ608" s="63"/>
      <c r="BK608" s="63"/>
      <c r="BL608" s="63"/>
      <c r="BM608" s="63"/>
    </row>
    <row r="609" spans="1:65">
      <c r="A609" s="54" t="str">
        <f>VLOOKUP(Table3[[#This Row],[OU]],OU!$A$15:$B$34,2,FALSE)</f>
        <v>RFOs</v>
      </c>
      <c r="B609" s="60" t="s">
        <v>436</v>
      </c>
      <c r="C609" s="60" t="s">
        <v>574</v>
      </c>
      <c r="D609" s="60"/>
      <c r="E609" s="60" t="s">
        <v>78</v>
      </c>
      <c r="F609" s="60"/>
      <c r="G60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0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09" s="61" t="e">
        <f>VLOOKUP(Table3[[#This Row],[PSGC]],DISTRICT!$D:$G,4,FALSE)</f>
        <v>#N/A</v>
      </c>
      <c r="J609" s="60" t="s">
        <v>579</v>
      </c>
      <c r="K609" s="51" t="str">
        <f>VLOOKUP(Table3[[#This Row],[SPECIFIC COMMODITY]],TAGS!$W$48:$X$53,2,FALSE)</f>
        <v>Cassava</v>
      </c>
      <c r="L609" s="51" t="str">
        <f>VLOOKUP(Table3[[#This Row],[PREXC SUB-PROGRAM]],Table5[],2,FALSE)</f>
        <v>TECHNICAL AND SUPPORT SERVICES PROGRAM</v>
      </c>
      <c r="M609" s="51" t="str">
        <f>VLOOKUP(Table3[[#This Row],[COMMODITY PREXC SUB-PROGRAM]],TAGS!$U$54:$V$76,2,FALSE)</f>
        <v>ESETS</v>
      </c>
      <c r="N609" s="60" t="s">
        <v>589</v>
      </c>
      <c r="O609" s="54" t="str">
        <f>VLOOKUP(Table3[[#This Row],[PI LEVEL 3]],'PI LEVEL'!A:C,3,FALSE)</f>
        <v>Knowledge Products disseminated</v>
      </c>
      <c r="P609" s="54" t="str">
        <f>VLOOKUP(Table3[[#This Row],[PI LEVEL 3]],Table53729[[Performance Indicator Level 3]:[Performance Indicator Level 1]],2,FALSE)</f>
        <v>Knowledge Products disseminated</v>
      </c>
      <c r="Q609" s="54" t="str">
        <f>VLOOKUP(Table3[[#This Row],[ACTIVITY]],TAGS!B:P,2,FALSE)</f>
        <v>Knowledge Products disseminated</v>
      </c>
      <c r="R609" s="60" t="s">
        <v>151</v>
      </c>
      <c r="S609" s="54" t="str">
        <f>VLOOKUP(Table3[[#This Row],[ACTIVITY]],TAGS!$B:$P,4,FALSE)</f>
        <v>Information, Education, and Communication Activities</v>
      </c>
      <c r="T609" s="54" t="str">
        <f>VLOOKUP(Table3[[#This Row],[ACTIVITY]],TAGS!$B:$P,5,FALSE)</f>
        <v>Information, Education, and Communication Activities</v>
      </c>
      <c r="U609" s="54" t="str">
        <f>VLOOKUP(Table3[[#This Row],[ACTIVITY]],TAGS!$B:$P,6,FALSE)</f>
        <v>IEC materials</v>
      </c>
      <c r="V609" s="54" t="str">
        <f>VLOOKUP(Table3[[#This Row],[ACTIVITY]],TAGS!$B:$P,7,FALSE)</f>
        <v>NO</v>
      </c>
      <c r="W609" s="54" t="str">
        <f>VLOOKUP(Table3[[#This Row],[ACTIVITY]],TAGS!$B:$P,8,FALSE)</f>
        <v>PAP</v>
      </c>
      <c r="X609" s="54" t="str">
        <f>VLOOKUP(Table3[[#This Row],[ACTIVITY]],TAGS!$B:$P,10,FALSE)</f>
        <v>PIP</v>
      </c>
      <c r="Y609" s="54" t="str">
        <f>VLOOKUP(Table3[[#This Row],[ACTIVITY]],TAGS!$B:$P,11,FALSE)</f>
        <v>PICS</v>
      </c>
      <c r="Z609" s="54" t="str">
        <f>VLOOKUP(Table3[[#This Row],[ACTIVITY]],TAGS!$B:$P,12,FALSE)</f>
        <v>Strategic Communication</v>
      </c>
      <c r="AA609" s="54" t="str">
        <f>VLOOKUP(Table3[[#This Row],[ACTIVITY]],TAGS!$B:$P,13,FALSE)</f>
        <v>18. Strategic Communications​</v>
      </c>
      <c r="AB609" s="54">
        <f>VLOOKUP(Table3[[#This Row],[ACTIVITY]],TAGS!$B:$P,14,FALSE)</f>
        <v>0</v>
      </c>
      <c r="AC609" s="54" t="str">
        <f>VLOOKUP(Table3[[#This Row],[ACTIVITY]],TAGS!$B:$P,15,FALSE)</f>
        <v>IEC</v>
      </c>
      <c r="AD609" s="54" t="str">
        <f>VLOOKUP(Table3[[#This Row],[PI LEVEL 3]],'PI LEVEL'!$A:$G,7,FALSE)</f>
        <v>DA-Level Output</v>
      </c>
      <c r="AE609" s="60"/>
      <c r="AF609" s="54" t="str">
        <f>VLOOKUP(Table3[[#This Row],[ACTIVITY]],TAGS!$B:$P,3,FALSE)</f>
        <v>Print disseminated</v>
      </c>
      <c r="AG609" s="60"/>
      <c r="AH609" s="54" t="e">
        <f>VLOOKUP(Table3[[#This Row],[MONTH]],TAGS!$W$67:$Y$81,2,FALSE)</f>
        <v>#N/A</v>
      </c>
      <c r="AI609" s="54" t="e">
        <f>VLOOKUP(Table3[[#This Row],[MONTH]],TAGS!$W$67:$Y$81,3,FALSE)</f>
        <v>#N/A</v>
      </c>
      <c r="AJ609" s="54" t="e">
        <f>VLOOKUP(Table3[[#This Row],[MONTH]],TAGS!$W$67:$Z$81,4,FALSE)</f>
        <v>#N/A</v>
      </c>
      <c r="AK609" s="60">
        <v>5000</v>
      </c>
      <c r="AL609" s="54" t="str">
        <f>VLOOKUP(Table3[[#This Row],[ACTIVITY]],TAGS!$B:$R,16,FALSE)</f>
        <v>NO</v>
      </c>
      <c r="AM609" s="60">
        <f>Table3[[#This Row],[TARGET]]/20</f>
        <v>250</v>
      </c>
      <c r="AN609" s="60">
        <v>150</v>
      </c>
      <c r="AO609" s="57"/>
      <c r="AP609" s="62"/>
      <c r="AQ609" s="62"/>
      <c r="AR609" s="62"/>
      <c r="AS609" s="62"/>
      <c r="AT609" s="63" t="str">
        <f>VLOOKUP(Table3[[#This Row],[ACTIVITY]],TAGS!$B:$R,17,FALSE)</f>
        <v>NO</v>
      </c>
      <c r="AU609" s="63"/>
      <c r="AV609" s="63"/>
      <c r="AW609" s="63"/>
      <c r="AX609" s="63"/>
      <c r="AY609" s="63"/>
      <c r="AZ609" s="63"/>
      <c r="BA609" s="63"/>
      <c r="BB609" s="63"/>
      <c r="BC609" s="63"/>
      <c r="BD609" s="63"/>
      <c r="BE609" s="63"/>
      <c r="BF609" s="63"/>
      <c r="BG609" s="63"/>
      <c r="BH609" s="63"/>
      <c r="BI609" s="63"/>
      <c r="BJ609" s="63"/>
      <c r="BK609" s="63"/>
      <c r="BL609" s="63"/>
      <c r="BM609" s="63"/>
    </row>
    <row r="610" spans="1:65">
      <c r="A610" s="54" t="str">
        <f>VLOOKUP(Table3[[#This Row],[OU]],OU!$A$15:$B$34,2,FALSE)</f>
        <v>RFOs</v>
      </c>
      <c r="B610" s="60" t="s">
        <v>436</v>
      </c>
      <c r="C610" s="60" t="s">
        <v>574</v>
      </c>
      <c r="D610" s="60"/>
      <c r="E610" s="60" t="s">
        <v>22</v>
      </c>
      <c r="F610" s="60"/>
      <c r="G61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61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610" s="61" t="e">
        <f>VLOOKUP(Table3[[#This Row],[PSGC]],DISTRICT!$D:$G,4,FALSE)</f>
        <v>#N/A</v>
      </c>
      <c r="J610" s="60" t="s">
        <v>585</v>
      </c>
      <c r="K610" s="51" t="str">
        <f>VLOOKUP(Table3[[#This Row],[SPECIFIC COMMODITY]],TAGS!$W$48:$X$53,2,FALSE)</f>
        <v>Multi_commodity</v>
      </c>
      <c r="L610" s="51" t="str">
        <f>VLOOKUP(Table3[[#This Row],[PREXC SUB-PROGRAM]],Table5[],2,FALSE)</f>
        <v>TECHNICAL AND SUPPORT SERVICES PROGRAM</v>
      </c>
      <c r="M610" s="51" t="str">
        <f>VLOOKUP(Table3[[#This Row],[COMMODITY PREXC SUB-PROGRAM]],TAGS!$U$54:$V$76,2,FALSE)</f>
        <v>ESETS</v>
      </c>
      <c r="N610" s="60" t="s">
        <v>592</v>
      </c>
      <c r="O610" s="54" t="str">
        <f>VLOOKUP(Table3[[#This Row],[PI LEVEL 3]],'PI LEVEL'!A:C,3,FALSE)</f>
        <v>Individuals given incentives, recognition, and awards</v>
      </c>
      <c r="P610" s="54" t="str">
        <f>VLOOKUP(Table3[[#This Row],[PI LEVEL 3]],Table53729[[Performance Indicator Level 3]:[Performance Indicator Level 1]],2,FALSE)</f>
        <v>AEWs-extension workers given incentives</v>
      </c>
      <c r="Q610" s="54" t="str">
        <f>VLOOKUP(Table3[[#This Row],[ACTIVITY]],TAGS!B:P,2,FALSE)</f>
        <v>AEWs-extension workers given incentives</v>
      </c>
      <c r="R610" s="60" t="s">
        <v>113</v>
      </c>
      <c r="S610" s="54" t="str">
        <f>VLOOKUP(Table3[[#This Row],[ACTIVITY]],TAGS!$B:$P,4,FALSE)</f>
        <v>Extension Workers Incentives</v>
      </c>
      <c r="T610" s="54" t="str">
        <f>VLOOKUP(Table3[[#This Row],[ACTIVITY]],TAGS!$B:$P,5,FALSE)</f>
        <v>Incentives Given</v>
      </c>
      <c r="U610" s="54" t="str">
        <f>VLOOKUP(Table3[[#This Row],[ACTIVITY]],TAGS!$B:$P,6,FALSE)</f>
        <v>Agricultural Extension Worker</v>
      </c>
      <c r="V610" s="54" t="str">
        <f>VLOOKUP(Table3[[#This Row],[ACTIVITY]],TAGS!$B:$P,7,FALSE)</f>
        <v>NO</v>
      </c>
      <c r="W610" s="54" t="str">
        <f>VLOOKUP(Table3[[#This Row],[ACTIVITY]],TAGS!$B:$P,8,FALSE)</f>
        <v>PAP</v>
      </c>
      <c r="X610" s="54" t="str">
        <f>VLOOKUP(Table3[[#This Row],[ACTIVITY]],TAGS!$B:$P,10,FALSE)</f>
        <v>PIP</v>
      </c>
      <c r="Y610" s="54" t="str">
        <f>VLOOKUP(Table3[[#This Row],[ACTIVITY]],TAGS!$B:$P,11,FALSE)</f>
        <v>PICS</v>
      </c>
      <c r="Z610" s="54" t="str">
        <f>VLOOKUP(Table3[[#This Row],[ACTIVITY]],TAGS!$B:$P,12,FALSE)</f>
        <v>Consolidation</v>
      </c>
      <c r="AA610" s="54" t="str">
        <f>VLOOKUP(Table3[[#This Row],[ACTIVITY]],TAGS!$B:$P,13,FALSE)</f>
        <v>3. PAFES</v>
      </c>
      <c r="AB610" s="54" t="str">
        <f>VLOOKUP(Table3[[#This Row],[ACTIVITY]],TAGS!$B:$P,14,FALSE)</f>
        <v>STRONG PARTNERSHIP WITH THE FARMERS, FISHERFOLK, PRIVATE SECTOR, AND OTHER STAKEHOLDERS</v>
      </c>
      <c r="AC610" s="54" t="str">
        <f>VLOOKUP(Table3[[#This Row],[ACTIVITY]],TAGS!$B:$P,15,FALSE)</f>
        <v>Other Intervetions</v>
      </c>
      <c r="AD610" s="54" t="str">
        <f>VLOOKUP(Table3[[#This Row],[PI LEVEL 3]],'PI LEVEL'!$A:$G,7,FALSE)</f>
        <v>DA-Level Output</v>
      </c>
      <c r="AE610" s="60"/>
      <c r="AF610" s="54" t="str">
        <f>VLOOKUP(Table3[[#This Row],[ACTIVITY]],TAGS!$B:$P,3,FALSE)</f>
        <v>number</v>
      </c>
      <c r="AG610" s="60"/>
      <c r="AH610" s="54" t="e">
        <f>VLOOKUP(Table3[[#This Row],[MONTH]],TAGS!$W$67:$Y$81,2,FALSE)</f>
        <v>#N/A</v>
      </c>
      <c r="AI610" s="54" t="e">
        <f>VLOOKUP(Table3[[#This Row],[MONTH]],TAGS!$W$67:$Y$81,3,FALSE)</f>
        <v>#N/A</v>
      </c>
      <c r="AJ610" s="54" t="e">
        <f>VLOOKUP(Table3[[#This Row],[MONTH]],TAGS!$W$67:$Z$81,4,FALSE)</f>
        <v>#N/A</v>
      </c>
      <c r="AK610" s="60">
        <v>46</v>
      </c>
      <c r="AL610" s="54" t="str">
        <f>VLOOKUP(Table3[[#This Row],[ACTIVITY]],TAGS!$B:$R,16,FALSE)</f>
        <v>NO</v>
      </c>
      <c r="AM610" s="60">
        <f>Table3[[#This Row],[TARGET]]/20</f>
        <v>2.3</v>
      </c>
      <c r="AN610" s="60">
        <v>1932</v>
      </c>
      <c r="AO610" s="57"/>
      <c r="AP610" s="62"/>
      <c r="AQ610" s="62"/>
      <c r="AR610" s="62"/>
      <c r="AS610" s="62"/>
      <c r="AT610" s="63" t="str">
        <f>VLOOKUP(Table3[[#This Row],[ACTIVITY]],TAGS!$B:$R,17,FALSE)</f>
        <v>NO</v>
      </c>
      <c r="AU610" s="63"/>
      <c r="AV610" s="63"/>
      <c r="AW610" s="63"/>
      <c r="AX610" s="63"/>
      <c r="AY610" s="63"/>
      <c r="AZ610" s="63"/>
      <c r="BA610" s="63"/>
      <c r="BB610" s="63"/>
      <c r="BC610" s="63"/>
      <c r="BD610" s="63"/>
      <c r="BE610" s="63"/>
      <c r="BF610" s="63"/>
      <c r="BG610" s="63"/>
      <c r="BH610" s="63"/>
      <c r="BI610" s="63"/>
      <c r="BJ610" s="63"/>
      <c r="BK610" s="63"/>
      <c r="BL610" s="63"/>
      <c r="BM610" s="63"/>
    </row>
    <row r="611" spans="1:65">
      <c r="A611" s="54" t="str">
        <f>VLOOKUP(Table3[[#This Row],[OU]],OU!$A$15:$B$34,2,FALSE)</f>
        <v>RFOs</v>
      </c>
      <c r="B611" s="60" t="s">
        <v>436</v>
      </c>
      <c r="C611" s="60" t="s">
        <v>574</v>
      </c>
      <c r="D611" s="60"/>
      <c r="E611" s="60" t="s">
        <v>43</v>
      </c>
      <c r="F611" s="60"/>
      <c r="G61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61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611" s="61" t="e">
        <f>VLOOKUP(Table3[[#This Row],[PSGC]],DISTRICT!$D:$G,4,FALSE)</f>
        <v>#N/A</v>
      </c>
      <c r="J611" s="60" t="s">
        <v>585</v>
      </c>
      <c r="K611" s="51" t="str">
        <f>VLOOKUP(Table3[[#This Row],[SPECIFIC COMMODITY]],TAGS!$W$48:$X$53,2,FALSE)</f>
        <v>Multi_commodity</v>
      </c>
      <c r="L611" s="51" t="str">
        <f>VLOOKUP(Table3[[#This Row],[PREXC SUB-PROGRAM]],Table5[],2,FALSE)</f>
        <v>TECHNICAL AND SUPPORT SERVICES PROGRAM</v>
      </c>
      <c r="M611" s="51" t="str">
        <f>VLOOKUP(Table3[[#This Row],[COMMODITY PREXC SUB-PROGRAM]],TAGS!$U$54:$V$76,2,FALSE)</f>
        <v>ESETS</v>
      </c>
      <c r="N611" s="60" t="s">
        <v>592</v>
      </c>
      <c r="O611" s="54" t="str">
        <f>VLOOKUP(Table3[[#This Row],[PI LEVEL 3]],'PI LEVEL'!A:C,3,FALSE)</f>
        <v>Individuals given incentives, recognition, and awards</v>
      </c>
      <c r="P611" s="54" t="str">
        <f>VLOOKUP(Table3[[#This Row],[PI LEVEL 3]],Table53729[[Performance Indicator Level 3]:[Performance Indicator Level 1]],2,FALSE)</f>
        <v>AEWs-extension workers given incentives</v>
      </c>
      <c r="Q611" s="54" t="str">
        <f>VLOOKUP(Table3[[#This Row],[ACTIVITY]],TAGS!B:P,2,FALSE)</f>
        <v>AEWs-extension workers given incentives</v>
      </c>
      <c r="R611" s="60" t="s">
        <v>113</v>
      </c>
      <c r="S611" s="54" t="str">
        <f>VLOOKUP(Table3[[#This Row],[ACTIVITY]],TAGS!$B:$P,4,FALSE)</f>
        <v>Extension Workers Incentives</v>
      </c>
      <c r="T611" s="54" t="str">
        <f>VLOOKUP(Table3[[#This Row],[ACTIVITY]],TAGS!$B:$P,5,FALSE)</f>
        <v>Incentives Given</v>
      </c>
      <c r="U611" s="54" t="str">
        <f>VLOOKUP(Table3[[#This Row],[ACTIVITY]],TAGS!$B:$P,6,FALSE)</f>
        <v>Agricultural Extension Worker</v>
      </c>
      <c r="V611" s="54" t="str">
        <f>VLOOKUP(Table3[[#This Row],[ACTIVITY]],TAGS!$B:$P,7,FALSE)</f>
        <v>NO</v>
      </c>
      <c r="W611" s="54" t="str">
        <f>VLOOKUP(Table3[[#This Row],[ACTIVITY]],TAGS!$B:$P,8,FALSE)</f>
        <v>PAP</v>
      </c>
      <c r="X611" s="54" t="str">
        <f>VLOOKUP(Table3[[#This Row],[ACTIVITY]],TAGS!$B:$P,10,FALSE)</f>
        <v>PIP</v>
      </c>
      <c r="Y611" s="54" t="str">
        <f>VLOOKUP(Table3[[#This Row],[ACTIVITY]],TAGS!$B:$P,11,FALSE)</f>
        <v>PICS</v>
      </c>
      <c r="Z611" s="54" t="str">
        <f>VLOOKUP(Table3[[#This Row],[ACTIVITY]],TAGS!$B:$P,12,FALSE)</f>
        <v>Consolidation</v>
      </c>
      <c r="AA611" s="54" t="str">
        <f>VLOOKUP(Table3[[#This Row],[ACTIVITY]],TAGS!$B:$P,13,FALSE)</f>
        <v>3. PAFES</v>
      </c>
      <c r="AB611" s="54" t="str">
        <f>VLOOKUP(Table3[[#This Row],[ACTIVITY]],TAGS!$B:$P,14,FALSE)</f>
        <v>STRONG PARTNERSHIP WITH THE FARMERS, FISHERFOLK, PRIVATE SECTOR, AND OTHER STAKEHOLDERS</v>
      </c>
      <c r="AC611" s="54" t="str">
        <f>VLOOKUP(Table3[[#This Row],[ACTIVITY]],TAGS!$B:$P,15,FALSE)</f>
        <v>Other Intervetions</v>
      </c>
      <c r="AD611" s="54" t="str">
        <f>VLOOKUP(Table3[[#This Row],[PI LEVEL 3]],'PI LEVEL'!$A:$G,7,FALSE)</f>
        <v>DA-Level Output</v>
      </c>
      <c r="AE611" s="60"/>
      <c r="AF611" s="54" t="str">
        <f>VLOOKUP(Table3[[#This Row],[ACTIVITY]],TAGS!$B:$P,3,FALSE)</f>
        <v>number</v>
      </c>
      <c r="AG611" s="60"/>
      <c r="AH611" s="54" t="e">
        <f>VLOOKUP(Table3[[#This Row],[MONTH]],TAGS!$W$67:$Y$81,2,FALSE)</f>
        <v>#N/A</v>
      </c>
      <c r="AI611" s="54" t="e">
        <f>VLOOKUP(Table3[[#This Row],[MONTH]],TAGS!$W$67:$Y$81,3,FALSE)</f>
        <v>#N/A</v>
      </c>
      <c r="AJ611" s="54" t="e">
        <f>VLOOKUP(Table3[[#This Row],[MONTH]],TAGS!$W$67:$Z$81,4,FALSE)</f>
        <v>#N/A</v>
      </c>
      <c r="AK611" s="60">
        <v>69</v>
      </c>
      <c r="AL611" s="54" t="str">
        <f>VLOOKUP(Table3[[#This Row],[ACTIVITY]],TAGS!$B:$R,16,FALSE)</f>
        <v>NO</v>
      </c>
      <c r="AM611" s="60">
        <f>Table3[[#This Row],[TARGET]]/20</f>
        <v>3.45</v>
      </c>
      <c r="AN611" s="60">
        <v>2898</v>
      </c>
      <c r="AO611" s="57"/>
      <c r="AP611" s="62"/>
      <c r="AQ611" s="62"/>
      <c r="AR611" s="62"/>
      <c r="AS611" s="62"/>
      <c r="AT611" s="63" t="str">
        <f>VLOOKUP(Table3[[#This Row],[ACTIVITY]],TAGS!$B:$R,17,FALSE)</f>
        <v>NO</v>
      </c>
      <c r="AU611" s="63"/>
      <c r="AV611" s="63"/>
      <c r="AW611" s="63"/>
      <c r="AX611" s="63"/>
      <c r="AY611" s="63"/>
      <c r="AZ611" s="63"/>
      <c r="BA611" s="63"/>
      <c r="BB611" s="63"/>
      <c r="BC611" s="63"/>
      <c r="BD611" s="63"/>
      <c r="BE611" s="63"/>
      <c r="BF611" s="63"/>
      <c r="BG611" s="63"/>
      <c r="BH611" s="63"/>
      <c r="BI611" s="63"/>
      <c r="BJ611" s="63"/>
      <c r="BK611" s="63"/>
      <c r="BL611" s="63"/>
      <c r="BM611" s="63"/>
    </row>
    <row r="612" spans="1:65">
      <c r="A612" s="54" t="str">
        <f>VLOOKUP(Table3[[#This Row],[OU]],OU!$A$15:$B$34,2,FALSE)</f>
        <v>RFOs</v>
      </c>
      <c r="B612" s="60" t="s">
        <v>436</v>
      </c>
      <c r="C612" s="60" t="s">
        <v>574</v>
      </c>
      <c r="D612" s="60"/>
      <c r="E612" s="60" t="s">
        <v>63</v>
      </c>
      <c r="F612" s="60"/>
      <c r="G61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Nueva_Vizcaya</v>
      </c>
      <c r="H61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Nueva_Vizcaya</v>
      </c>
      <c r="I612" s="61" t="e">
        <f>VLOOKUP(Table3[[#This Row],[PSGC]],DISTRICT!$D:$G,4,FALSE)</f>
        <v>#N/A</v>
      </c>
      <c r="J612" s="60" t="s">
        <v>585</v>
      </c>
      <c r="K612" s="51" t="str">
        <f>VLOOKUP(Table3[[#This Row],[SPECIFIC COMMODITY]],TAGS!$W$48:$X$53,2,FALSE)</f>
        <v>Multi_commodity</v>
      </c>
      <c r="L612" s="51" t="str">
        <f>VLOOKUP(Table3[[#This Row],[PREXC SUB-PROGRAM]],Table5[],2,FALSE)</f>
        <v>TECHNICAL AND SUPPORT SERVICES PROGRAM</v>
      </c>
      <c r="M612" s="51" t="str">
        <f>VLOOKUP(Table3[[#This Row],[COMMODITY PREXC SUB-PROGRAM]],TAGS!$U$54:$V$76,2,FALSE)</f>
        <v>ESETS</v>
      </c>
      <c r="N612" s="60" t="s">
        <v>592</v>
      </c>
      <c r="O612" s="54" t="str">
        <f>VLOOKUP(Table3[[#This Row],[PI LEVEL 3]],'PI LEVEL'!A:C,3,FALSE)</f>
        <v>Individuals given incentives, recognition, and awards</v>
      </c>
      <c r="P612" s="54" t="str">
        <f>VLOOKUP(Table3[[#This Row],[PI LEVEL 3]],Table53729[[Performance Indicator Level 3]:[Performance Indicator Level 1]],2,FALSE)</f>
        <v>AEWs-extension workers given incentives</v>
      </c>
      <c r="Q612" s="54" t="str">
        <f>VLOOKUP(Table3[[#This Row],[ACTIVITY]],TAGS!B:P,2,FALSE)</f>
        <v>AEWs-extension workers given incentives</v>
      </c>
      <c r="R612" s="60" t="s">
        <v>113</v>
      </c>
      <c r="S612" s="54" t="str">
        <f>VLOOKUP(Table3[[#This Row],[ACTIVITY]],TAGS!$B:$P,4,FALSE)</f>
        <v>Extension Workers Incentives</v>
      </c>
      <c r="T612" s="54" t="str">
        <f>VLOOKUP(Table3[[#This Row],[ACTIVITY]],TAGS!$B:$P,5,FALSE)</f>
        <v>Incentives Given</v>
      </c>
      <c r="U612" s="54" t="str">
        <f>VLOOKUP(Table3[[#This Row],[ACTIVITY]],TAGS!$B:$P,6,FALSE)</f>
        <v>Agricultural Extension Worker</v>
      </c>
      <c r="V612" s="54" t="str">
        <f>VLOOKUP(Table3[[#This Row],[ACTIVITY]],TAGS!$B:$P,7,FALSE)</f>
        <v>NO</v>
      </c>
      <c r="W612" s="54" t="str">
        <f>VLOOKUP(Table3[[#This Row],[ACTIVITY]],TAGS!$B:$P,8,FALSE)</f>
        <v>PAP</v>
      </c>
      <c r="X612" s="54" t="str">
        <f>VLOOKUP(Table3[[#This Row],[ACTIVITY]],TAGS!$B:$P,10,FALSE)</f>
        <v>PIP</v>
      </c>
      <c r="Y612" s="54" t="str">
        <f>VLOOKUP(Table3[[#This Row],[ACTIVITY]],TAGS!$B:$P,11,FALSE)</f>
        <v>PICS</v>
      </c>
      <c r="Z612" s="54" t="str">
        <f>VLOOKUP(Table3[[#This Row],[ACTIVITY]],TAGS!$B:$P,12,FALSE)</f>
        <v>Consolidation</v>
      </c>
      <c r="AA612" s="54" t="str">
        <f>VLOOKUP(Table3[[#This Row],[ACTIVITY]],TAGS!$B:$P,13,FALSE)</f>
        <v>3. PAFES</v>
      </c>
      <c r="AB612" s="54" t="str">
        <f>VLOOKUP(Table3[[#This Row],[ACTIVITY]],TAGS!$B:$P,14,FALSE)</f>
        <v>STRONG PARTNERSHIP WITH THE FARMERS, FISHERFOLK, PRIVATE SECTOR, AND OTHER STAKEHOLDERS</v>
      </c>
      <c r="AC612" s="54" t="str">
        <f>VLOOKUP(Table3[[#This Row],[ACTIVITY]],TAGS!$B:$P,15,FALSE)</f>
        <v>Other Intervetions</v>
      </c>
      <c r="AD612" s="54" t="str">
        <f>VLOOKUP(Table3[[#This Row],[PI LEVEL 3]],'PI LEVEL'!$A:$G,7,FALSE)</f>
        <v>DA-Level Output</v>
      </c>
      <c r="AE612" s="60"/>
      <c r="AF612" s="54" t="str">
        <f>VLOOKUP(Table3[[#This Row],[ACTIVITY]],TAGS!$B:$P,3,FALSE)</f>
        <v>number</v>
      </c>
      <c r="AG612" s="60"/>
      <c r="AH612" s="54" t="e">
        <f>VLOOKUP(Table3[[#This Row],[MONTH]],TAGS!$W$67:$Y$81,2,FALSE)</f>
        <v>#N/A</v>
      </c>
      <c r="AI612" s="54" t="e">
        <f>VLOOKUP(Table3[[#This Row],[MONTH]],TAGS!$W$67:$Y$81,3,FALSE)</f>
        <v>#N/A</v>
      </c>
      <c r="AJ612" s="54" t="e">
        <f>VLOOKUP(Table3[[#This Row],[MONTH]],TAGS!$W$67:$Z$81,4,FALSE)</f>
        <v>#N/A</v>
      </c>
      <c r="AK612" s="60">
        <v>23</v>
      </c>
      <c r="AL612" s="54" t="str">
        <f>VLOOKUP(Table3[[#This Row],[ACTIVITY]],TAGS!$B:$R,16,FALSE)</f>
        <v>NO</v>
      </c>
      <c r="AM612" s="60">
        <f>Table3[[#This Row],[TARGET]]/20</f>
        <v>1.15</v>
      </c>
      <c r="AN612" s="60">
        <v>966</v>
      </c>
      <c r="AO612" s="57"/>
      <c r="AP612" s="62"/>
      <c r="AQ612" s="62"/>
      <c r="AR612" s="62"/>
      <c r="AS612" s="62"/>
      <c r="AT612" s="63" t="str">
        <f>VLOOKUP(Table3[[#This Row],[ACTIVITY]],TAGS!$B:$R,17,FALSE)</f>
        <v>NO</v>
      </c>
      <c r="AU612" s="63"/>
      <c r="AV612" s="63"/>
      <c r="AW612" s="63"/>
      <c r="AX612" s="63"/>
      <c r="AY612" s="63"/>
      <c r="AZ612" s="63"/>
      <c r="BA612" s="63"/>
      <c r="BB612" s="63"/>
      <c r="BC612" s="63"/>
      <c r="BD612" s="63"/>
      <c r="BE612" s="63"/>
      <c r="BF612" s="63"/>
      <c r="BG612" s="63"/>
      <c r="BH612" s="63"/>
      <c r="BI612" s="63"/>
      <c r="BJ612" s="63"/>
      <c r="BK612" s="63"/>
      <c r="BL612" s="63"/>
      <c r="BM612" s="63"/>
    </row>
    <row r="613" spans="1:65">
      <c r="A613" s="54" t="str">
        <f>VLOOKUP(Table3[[#This Row],[OU]],OU!$A$15:$B$34,2,FALSE)</f>
        <v>RFOs</v>
      </c>
      <c r="B613" s="60" t="s">
        <v>436</v>
      </c>
      <c r="C613" s="60" t="s">
        <v>574</v>
      </c>
      <c r="D613" s="60"/>
      <c r="E613" s="60" t="s">
        <v>70</v>
      </c>
      <c r="F613" s="60"/>
      <c r="G61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</v>
      </c>
      <c r="H61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Quirino</v>
      </c>
      <c r="I613" s="61" t="e">
        <f>VLOOKUP(Table3[[#This Row],[PSGC]],DISTRICT!$D:$G,4,FALSE)</f>
        <v>#N/A</v>
      </c>
      <c r="J613" s="60" t="s">
        <v>585</v>
      </c>
      <c r="K613" s="51" t="str">
        <f>VLOOKUP(Table3[[#This Row],[SPECIFIC COMMODITY]],TAGS!$W$48:$X$53,2,FALSE)</f>
        <v>Multi_commodity</v>
      </c>
      <c r="L613" s="51" t="str">
        <f>VLOOKUP(Table3[[#This Row],[PREXC SUB-PROGRAM]],Table5[],2,FALSE)</f>
        <v>TECHNICAL AND SUPPORT SERVICES PROGRAM</v>
      </c>
      <c r="M613" s="51" t="str">
        <f>VLOOKUP(Table3[[#This Row],[COMMODITY PREXC SUB-PROGRAM]],TAGS!$U$54:$V$76,2,FALSE)</f>
        <v>ESETS</v>
      </c>
      <c r="N613" s="60" t="s">
        <v>592</v>
      </c>
      <c r="O613" s="54" t="str">
        <f>VLOOKUP(Table3[[#This Row],[PI LEVEL 3]],'PI LEVEL'!A:C,3,FALSE)</f>
        <v>Individuals given incentives, recognition, and awards</v>
      </c>
      <c r="P613" s="54" t="str">
        <f>VLOOKUP(Table3[[#This Row],[PI LEVEL 3]],Table53729[[Performance Indicator Level 3]:[Performance Indicator Level 1]],2,FALSE)</f>
        <v>AEWs-extension workers given incentives</v>
      </c>
      <c r="Q613" s="54" t="str">
        <f>VLOOKUP(Table3[[#This Row],[ACTIVITY]],TAGS!B:P,2,FALSE)</f>
        <v>AEWs-extension workers given incentives</v>
      </c>
      <c r="R613" s="60" t="s">
        <v>113</v>
      </c>
      <c r="S613" s="54" t="str">
        <f>VLOOKUP(Table3[[#This Row],[ACTIVITY]],TAGS!$B:$P,4,FALSE)</f>
        <v>Extension Workers Incentives</v>
      </c>
      <c r="T613" s="54" t="str">
        <f>VLOOKUP(Table3[[#This Row],[ACTIVITY]],TAGS!$B:$P,5,FALSE)</f>
        <v>Incentives Given</v>
      </c>
      <c r="U613" s="54" t="str">
        <f>VLOOKUP(Table3[[#This Row],[ACTIVITY]],TAGS!$B:$P,6,FALSE)</f>
        <v>Agricultural Extension Worker</v>
      </c>
      <c r="V613" s="54" t="str">
        <f>VLOOKUP(Table3[[#This Row],[ACTIVITY]],TAGS!$B:$P,7,FALSE)</f>
        <v>NO</v>
      </c>
      <c r="W613" s="54" t="str">
        <f>VLOOKUP(Table3[[#This Row],[ACTIVITY]],TAGS!$B:$P,8,FALSE)</f>
        <v>PAP</v>
      </c>
      <c r="X613" s="54" t="str">
        <f>VLOOKUP(Table3[[#This Row],[ACTIVITY]],TAGS!$B:$P,10,FALSE)</f>
        <v>PIP</v>
      </c>
      <c r="Y613" s="54" t="str">
        <f>VLOOKUP(Table3[[#This Row],[ACTIVITY]],TAGS!$B:$P,11,FALSE)</f>
        <v>PICS</v>
      </c>
      <c r="Z613" s="54" t="str">
        <f>VLOOKUP(Table3[[#This Row],[ACTIVITY]],TAGS!$B:$P,12,FALSE)</f>
        <v>Consolidation</v>
      </c>
      <c r="AA613" s="54" t="str">
        <f>VLOOKUP(Table3[[#This Row],[ACTIVITY]],TAGS!$B:$P,13,FALSE)</f>
        <v>3. PAFES</v>
      </c>
      <c r="AB613" s="54" t="str">
        <f>VLOOKUP(Table3[[#This Row],[ACTIVITY]],TAGS!$B:$P,14,FALSE)</f>
        <v>STRONG PARTNERSHIP WITH THE FARMERS, FISHERFOLK, PRIVATE SECTOR, AND OTHER STAKEHOLDERS</v>
      </c>
      <c r="AC613" s="54" t="str">
        <f>VLOOKUP(Table3[[#This Row],[ACTIVITY]],TAGS!$B:$P,15,FALSE)</f>
        <v>Other Intervetions</v>
      </c>
      <c r="AD613" s="54" t="str">
        <f>VLOOKUP(Table3[[#This Row],[PI LEVEL 3]],'PI LEVEL'!$A:$G,7,FALSE)</f>
        <v>DA-Level Output</v>
      </c>
      <c r="AE613" s="60"/>
      <c r="AF613" s="54" t="str">
        <f>VLOOKUP(Table3[[#This Row],[ACTIVITY]],TAGS!$B:$P,3,FALSE)</f>
        <v>number</v>
      </c>
      <c r="AG613" s="60"/>
      <c r="AH613" s="54" t="e">
        <f>VLOOKUP(Table3[[#This Row],[MONTH]],TAGS!$W$67:$Y$81,2,FALSE)</f>
        <v>#N/A</v>
      </c>
      <c r="AI613" s="54" t="e">
        <f>VLOOKUP(Table3[[#This Row],[MONTH]],TAGS!$W$67:$Y$81,3,FALSE)</f>
        <v>#N/A</v>
      </c>
      <c r="AJ613" s="54" t="e">
        <f>VLOOKUP(Table3[[#This Row],[MONTH]],TAGS!$W$67:$Z$81,4,FALSE)</f>
        <v>#N/A</v>
      </c>
      <c r="AK613" s="60">
        <v>31</v>
      </c>
      <c r="AL613" s="54" t="str">
        <f>VLOOKUP(Table3[[#This Row],[ACTIVITY]],TAGS!$B:$R,16,FALSE)</f>
        <v>NO</v>
      </c>
      <c r="AM613" s="60">
        <f>Table3[[#This Row],[TARGET]]/20</f>
        <v>1.55</v>
      </c>
      <c r="AN613" s="60">
        <v>1302</v>
      </c>
      <c r="AO613" s="57"/>
      <c r="AP613" s="62"/>
      <c r="AQ613" s="62"/>
      <c r="AR613" s="62"/>
      <c r="AS613" s="62"/>
      <c r="AT613" s="63" t="str">
        <f>VLOOKUP(Table3[[#This Row],[ACTIVITY]],TAGS!$B:$R,17,FALSE)</f>
        <v>NO</v>
      </c>
      <c r="AU613" s="63"/>
      <c r="AV613" s="63"/>
      <c r="AW613" s="63"/>
      <c r="AX613" s="63"/>
      <c r="AY613" s="63"/>
      <c r="AZ613" s="63"/>
      <c r="BA613" s="63"/>
      <c r="BB613" s="63"/>
      <c r="BC613" s="63"/>
      <c r="BD613" s="63"/>
      <c r="BE613" s="63"/>
      <c r="BF613" s="63"/>
      <c r="BG613" s="63"/>
      <c r="BH613" s="63"/>
      <c r="BI613" s="63"/>
      <c r="BJ613" s="63"/>
      <c r="BK613" s="63"/>
      <c r="BL613" s="63"/>
      <c r="BM613" s="63"/>
    </row>
    <row r="614" spans="1:65">
      <c r="A614" s="54" t="str">
        <f>VLOOKUP(Table3[[#This Row],[OU]],OU!$A$15:$B$34,2,FALSE)</f>
        <v>RFOs</v>
      </c>
      <c r="B614" s="60" t="s">
        <v>436</v>
      </c>
      <c r="C614" s="60" t="s">
        <v>574</v>
      </c>
      <c r="D614" s="60"/>
      <c r="E614" s="60" t="s">
        <v>22</v>
      </c>
      <c r="F614" s="60"/>
      <c r="G61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61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614" s="61" t="e">
        <f>VLOOKUP(Table3[[#This Row],[PSGC]],DISTRICT!$D:$G,4,FALSE)</f>
        <v>#N/A</v>
      </c>
      <c r="J614" s="60" t="s">
        <v>585</v>
      </c>
      <c r="K614" s="51" t="str">
        <f>VLOOKUP(Table3[[#This Row],[SPECIFIC COMMODITY]],TAGS!$W$48:$X$53,2,FALSE)</f>
        <v>Multi_commodity</v>
      </c>
      <c r="L614" s="51" t="str">
        <f>VLOOKUP(Table3[[#This Row],[PREXC SUB-PROGRAM]],Table5[],2,FALSE)</f>
        <v>TECHNICAL AND SUPPORT SERVICES PROGRAM</v>
      </c>
      <c r="M614" s="51" t="str">
        <f>VLOOKUP(Table3[[#This Row],[COMMODITY PREXC SUB-PROGRAM]],TAGS!$U$54:$V$76,2,FALSE)</f>
        <v>ESETS</v>
      </c>
      <c r="N614" s="60" t="s">
        <v>592</v>
      </c>
      <c r="O614" s="54" t="str">
        <f>VLOOKUP(Table3[[#This Row],[PI LEVEL 3]],'PI LEVEL'!A:C,3,FALSE)</f>
        <v>Individuals given incentives, recognition, and awards</v>
      </c>
      <c r="P614" s="54" t="str">
        <f>VLOOKUP(Table3[[#This Row],[PI LEVEL 3]],Table53729[[Performance Indicator Level 3]:[Performance Indicator Level 1]],2,FALSE)</f>
        <v>AEWs-extension workers given incentives</v>
      </c>
      <c r="Q614" s="54" t="str">
        <f>VLOOKUP(Table3[[#This Row],[ACTIVITY]],TAGS!B:P,2,FALSE)</f>
        <v>AEWs-extension workers given incentives</v>
      </c>
      <c r="R614" s="60" t="s">
        <v>111</v>
      </c>
      <c r="S614" s="54" t="str">
        <f>VLOOKUP(Table3[[#This Row],[ACTIVITY]],TAGS!$B:$P,4,FALSE)</f>
        <v>Extension Workers Incentives</v>
      </c>
      <c r="T614" s="54" t="str">
        <f>VLOOKUP(Table3[[#This Row],[ACTIVITY]],TAGS!$B:$P,5,FALSE)</f>
        <v>Incentives Given</v>
      </c>
      <c r="U614" s="54" t="str">
        <f>VLOOKUP(Table3[[#This Row],[ACTIVITY]],TAGS!$B:$P,6,FALSE)</f>
        <v>Municipal Agriculturist</v>
      </c>
      <c r="V614" s="54" t="str">
        <f>VLOOKUP(Table3[[#This Row],[ACTIVITY]],TAGS!$B:$P,7,FALSE)</f>
        <v>NO</v>
      </c>
      <c r="W614" s="54" t="str">
        <f>VLOOKUP(Table3[[#This Row],[ACTIVITY]],TAGS!$B:$P,8,FALSE)</f>
        <v>PAP</v>
      </c>
      <c r="X614" s="54" t="str">
        <f>VLOOKUP(Table3[[#This Row],[ACTIVITY]],TAGS!$B:$P,10,FALSE)</f>
        <v>PIP</v>
      </c>
      <c r="Y614" s="54" t="str">
        <f>VLOOKUP(Table3[[#This Row],[ACTIVITY]],TAGS!$B:$P,11,FALSE)</f>
        <v>PICS</v>
      </c>
      <c r="Z614" s="54" t="str">
        <f>VLOOKUP(Table3[[#This Row],[ACTIVITY]],TAGS!$B:$P,12,FALSE)</f>
        <v>Consolidation</v>
      </c>
      <c r="AA614" s="54" t="str">
        <f>VLOOKUP(Table3[[#This Row],[ACTIVITY]],TAGS!$B:$P,13,FALSE)</f>
        <v>3. PAFES</v>
      </c>
      <c r="AB614" s="54" t="str">
        <f>VLOOKUP(Table3[[#This Row],[ACTIVITY]],TAGS!$B:$P,14,FALSE)</f>
        <v>STRONG PARTNERSHIP WITH THE FARMERS, FISHERFOLK, PRIVATE SECTOR, AND OTHER STAKEHOLDERS</v>
      </c>
      <c r="AC614" s="54" t="str">
        <f>VLOOKUP(Table3[[#This Row],[ACTIVITY]],TAGS!$B:$P,15,FALSE)</f>
        <v>Other Intervetions</v>
      </c>
      <c r="AD614" s="54" t="str">
        <f>VLOOKUP(Table3[[#This Row],[PI LEVEL 3]],'PI LEVEL'!$A:$G,7,FALSE)</f>
        <v>DA-Level Output</v>
      </c>
      <c r="AE614" s="60"/>
      <c r="AF614" s="54" t="str">
        <f>VLOOKUP(Table3[[#This Row],[ACTIVITY]],TAGS!$B:$P,3,FALSE)</f>
        <v>number</v>
      </c>
      <c r="AG614" s="60"/>
      <c r="AH614" s="54" t="e">
        <f>VLOOKUP(Table3[[#This Row],[MONTH]],TAGS!$W$67:$Y$81,2,FALSE)</f>
        <v>#N/A</v>
      </c>
      <c r="AI614" s="54" t="e">
        <f>VLOOKUP(Table3[[#This Row],[MONTH]],TAGS!$W$67:$Y$81,3,FALSE)</f>
        <v>#N/A</v>
      </c>
      <c r="AJ614" s="54" t="e">
        <f>VLOOKUP(Table3[[#This Row],[MONTH]],TAGS!$W$67:$Z$81,4,FALSE)</f>
        <v>#N/A</v>
      </c>
      <c r="AK614" s="60">
        <v>3</v>
      </c>
      <c r="AL614" s="54" t="str">
        <f>VLOOKUP(Table3[[#This Row],[ACTIVITY]],TAGS!$B:$R,16,FALSE)</f>
        <v>NO</v>
      </c>
      <c r="AM614" s="60">
        <f>Table3[[#This Row],[TARGET]]/20</f>
        <v>0.15</v>
      </c>
      <c r="AN614" s="60">
        <v>144</v>
      </c>
      <c r="AO614" s="57"/>
      <c r="AP614" s="62"/>
      <c r="AQ614" s="62"/>
      <c r="AR614" s="62"/>
      <c r="AS614" s="62"/>
      <c r="AT614" s="63" t="str">
        <f>VLOOKUP(Table3[[#This Row],[ACTIVITY]],TAGS!$B:$R,17,FALSE)</f>
        <v>NO</v>
      </c>
      <c r="AU614" s="63"/>
      <c r="AV614" s="63"/>
      <c r="AW614" s="63"/>
      <c r="AX614" s="63"/>
      <c r="AY614" s="63"/>
      <c r="AZ614" s="63"/>
      <c r="BA614" s="63"/>
      <c r="BB614" s="63"/>
      <c r="BC614" s="63"/>
      <c r="BD614" s="63"/>
      <c r="BE614" s="63"/>
      <c r="BF614" s="63"/>
      <c r="BG614" s="63"/>
      <c r="BH614" s="63"/>
      <c r="BI614" s="63"/>
      <c r="BJ614" s="63"/>
      <c r="BK614" s="63"/>
      <c r="BL614" s="63"/>
      <c r="BM614" s="63"/>
    </row>
    <row r="615" spans="1:65">
      <c r="A615" s="54" t="str">
        <f>VLOOKUP(Table3[[#This Row],[OU]],OU!$A$15:$B$34,2,FALSE)</f>
        <v>RFOs</v>
      </c>
      <c r="B615" s="60" t="s">
        <v>436</v>
      </c>
      <c r="C615" s="60" t="s">
        <v>574</v>
      </c>
      <c r="D615" s="60"/>
      <c r="E615" s="60" t="s">
        <v>43</v>
      </c>
      <c r="F615" s="60"/>
      <c r="G61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61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615" s="61" t="e">
        <f>VLOOKUP(Table3[[#This Row],[PSGC]],DISTRICT!$D:$G,4,FALSE)</f>
        <v>#N/A</v>
      </c>
      <c r="J615" s="60" t="s">
        <v>585</v>
      </c>
      <c r="K615" s="51" t="str">
        <f>VLOOKUP(Table3[[#This Row],[SPECIFIC COMMODITY]],TAGS!$W$48:$X$53,2,FALSE)</f>
        <v>Multi_commodity</v>
      </c>
      <c r="L615" s="51" t="str">
        <f>VLOOKUP(Table3[[#This Row],[PREXC SUB-PROGRAM]],Table5[],2,FALSE)</f>
        <v>TECHNICAL AND SUPPORT SERVICES PROGRAM</v>
      </c>
      <c r="M615" s="51" t="str">
        <f>VLOOKUP(Table3[[#This Row],[COMMODITY PREXC SUB-PROGRAM]],TAGS!$U$54:$V$76,2,FALSE)</f>
        <v>ESETS</v>
      </c>
      <c r="N615" s="60" t="s">
        <v>592</v>
      </c>
      <c r="O615" s="54" t="str">
        <f>VLOOKUP(Table3[[#This Row],[PI LEVEL 3]],'PI LEVEL'!A:C,3,FALSE)</f>
        <v>Individuals given incentives, recognition, and awards</v>
      </c>
      <c r="P615" s="54" t="str">
        <f>VLOOKUP(Table3[[#This Row],[PI LEVEL 3]],Table53729[[Performance Indicator Level 3]:[Performance Indicator Level 1]],2,FALSE)</f>
        <v>AEWs-extension workers given incentives</v>
      </c>
      <c r="Q615" s="54" t="str">
        <f>VLOOKUP(Table3[[#This Row],[ACTIVITY]],TAGS!B:P,2,FALSE)</f>
        <v>AEWs-extension workers given incentives</v>
      </c>
      <c r="R615" s="60" t="s">
        <v>111</v>
      </c>
      <c r="S615" s="54" t="str">
        <f>VLOOKUP(Table3[[#This Row],[ACTIVITY]],TAGS!$B:$P,4,FALSE)</f>
        <v>Extension Workers Incentives</v>
      </c>
      <c r="T615" s="54" t="str">
        <f>VLOOKUP(Table3[[#This Row],[ACTIVITY]],TAGS!$B:$P,5,FALSE)</f>
        <v>Incentives Given</v>
      </c>
      <c r="U615" s="54" t="str">
        <f>VLOOKUP(Table3[[#This Row],[ACTIVITY]],TAGS!$B:$P,6,FALSE)</f>
        <v>Municipal Agriculturist</v>
      </c>
      <c r="V615" s="54" t="str">
        <f>VLOOKUP(Table3[[#This Row],[ACTIVITY]],TAGS!$B:$P,7,FALSE)</f>
        <v>NO</v>
      </c>
      <c r="W615" s="54" t="str">
        <f>VLOOKUP(Table3[[#This Row],[ACTIVITY]],TAGS!$B:$P,8,FALSE)</f>
        <v>PAP</v>
      </c>
      <c r="X615" s="54" t="str">
        <f>VLOOKUP(Table3[[#This Row],[ACTIVITY]],TAGS!$B:$P,10,FALSE)</f>
        <v>PIP</v>
      </c>
      <c r="Y615" s="54" t="str">
        <f>VLOOKUP(Table3[[#This Row],[ACTIVITY]],TAGS!$B:$P,11,FALSE)</f>
        <v>PICS</v>
      </c>
      <c r="Z615" s="54" t="str">
        <f>VLOOKUP(Table3[[#This Row],[ACTIVITY]],TAGS!$B:$P,12,FALSE)</f>
        <v>Consolidation</v>
      </c>
      <c r="AA615" s="54" t="str">
        <f>VLOOKUP(Table3[[#This Row],[ACTIVITY]],TAGS!$B:$P,13,FALSE)</f>
        <v>3. PAFES</v>
      </c>
      <c r="AB615" s="54" t="str">
        <f>VLOOKUP(Table3[[#This Row],[ACTIVITY]],TAGS!$B:$P,14,FALSE)</f>
        <v>STRONG PARTNERSHIP WITH THE FARMERS, FISHERFOLK, PRIVATE SECTOR, AND OTHER STAKEHOLDERS</v>
      </c>
      <c r="AC615" s="54" t="str">
        <f>VLOOKUP(Table3[[#This Row],[ACTIVITY]],TAGS!$B:$P,15,FALSE)</f>
        <v>Other Intervetions</v>
      </c>
      <c r="AD615" s="54" t="str">
        <f>VLOOKUP(Table3[[#This Row],[PI LEVEL 3]],'PI LEVEL'!$A:$G,7,FALSE)</f>
        <v>DA-Level Output</v>
      </c>
      <c r="AE615" s="60"/>
      <c r="AF615" s="54" t="str">
        <f>VLOOKUP(Table3[[#This Row],[ACTIVITY]],TAGS!$B:$P,3,FALSE)</f>
        <v>number</v>
      </c>
      <c r="AG615" s="60"/>
      <c r="AH615" s="54" t="e">
        <f>VLOOKUP(Table3[[#This Row],[MONTH]],TAGS!$W$67:$Y$81,2,FALSE)</f>
        <v>#N/A</v>
      </c>
      <c r="AI615" s="54" t="e">
        <f>VLOOKUP(Table3[[#This Row],[MONTH]],TAGS!$W$67:$Y$81,3,FALSE)</f>
        <v>#N/A</v>
      </c>
      <c r="AJ615" s="54" t="e">
        <f>VLOOKUP(Table3[[#This Row],[MONTH]],TAGS!$W$67:$Z$81,4,FALSE)</f>
        <v>#N/A</v>
      </c>
      <c r="AK615" s="60">
        <v>8</v>
      </c>
      <c r="AL615" s="54" t="str">
        <f>VLOOKUP(Table3[[#This Row],[ACTIVITY]],TAGS!$B:$R,16,FALSE)</f>
        <v>NO</v>
      </c>
      <c r="AM615" s="60">
        <f>Table3[[#This Row],[TARGET]]/20</f>
        <v>0.4</v>
      </c>
      <c r="AN615" s="60">
        <v>384</v>
      </c>
      <c r="AO615" s="57"/>
      <c r="AP615" s="62"/>
      <c r="AQ615" s="62"/>
      <c r="AR615" s="62"/>
      <c r="AS615" s="62"/>
      <c r="AT615" s="63" t="str">
        <f>VLOOKUP(Table3[[#This Row],[ACTIVITY]],TAGS!$B:$R,17,FALSE)</f>
        <v>NO</v>
      </c>
      <c r="AU615" s="63"/>
      <c r="AV615" s="63"/>
      <c r="AW615" s="63"/>
      <c r="AX615" s="63"/>
      <c r="AY615" s="63"/>
      <c r="AZ615" s="63"/>
      <c r="BA615" s="63"/>
      <c r="BB615" s="63"/>
      <c r="BC615" s="63"/>
      <c r="BD615" s="63"/>
      <c r="BE615" s="63"/>
      <c r="BF615" s="63"/>
      <c r="BG615" s="63"/>
      <c r="BH615" s="63"/>
      <c r="BI615" s="63"/>
      <c r="BJ615" s="63"/>
      <c r="BK615" s="63"/>
      <c r="BL615" s="63"/>
      <c r="BM615" s="63"/>
    </row>
    <row r="616" spans="1:65">
      <c r="A616" s="54" t="str">
        <f>VLOOKUP(Table3[[#This Row],[OU]],OU!$A$15:$B$34,2,FALSE)</f>
        <v>RFOs</v>
      </c>
      <c r="B616" s="60" t="s">
        <v>436</v>
      </c>
      <c r="C616" s="60" t="s">
        <v>574</v>
      </c>
      <c r="D616" s="60"/>
      <c r="E616" s="60" t="s">
        <v>70</v>
      </c>
      <c r="F616" s="60"/>
      <c r="G61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</v>
      </c>
      <c r="H61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Quirino</v>
      </c>
      <c r="I616" s="61" t="e">
        <f>VLOOKUP(Table3[[#This Row],[PSGC]],DISTRICT!$D:$G,4,FALSE)</f>
        <v>#N/A</v>
      </c>
      <c r="J616" s="60" t="s">
        <v>585</v>
      </c>
      <c r="K616" s="51" t="str">
        <f>VLOOKUP(Table3[[#This Row],[SPECIFIC COMMODITY]],TAGS!$W$48:$X$53,2,FALSE)</f>
        <v>Multi_commodity</v>
      </c>
      <c r="L616" s="51" t="str">
        <f>VLOOKUP(Table3[[#This Row],[PREXC SUB-PROGRAM]],Table5[],2,FALSE)</f>
        <v>TECHNICAL AND SUPPORT SERVICES PROGRAM</v>
      </c>
      <c r="M616" s="51" t="str">
        <f>VLOOKUP(Table3[[#This Row],[COMMODITY PREXC SUB-PROGRAM]],TAGS!$U$54:$V$76,2,FALSE)</f>
        <v>ESETS</v>
      </c>
      <c r="N616" s="60" t="s">
        <v>592</v>
      </c>
      <c r="O616" s="54" t="str">
        <f>VLOOKUP(Table3[[#This Row],[PI LEVEL 3]],'PI LEVEL'!A:C,3,FALSE)</f>
        <v>Individuals given incentives, recognition, and awards</v>
      </c>
      <c r="P616" s="54" t="str">
        <f>VLOOKUP(Table3[[#This Row],[PI LEVEL 3]],Table53729[[Performance Indicator Level 3]:[Performance Indicator Level 1]],2,FALSE)</f>
        <v>AEWs-extension workers given incentives</v>
      </c>
      <c r="Q616" s="54" t="str">
        <f>VLOOKUP(Table3[[#This Row],[ACTIVITY]],TAGS!B:P,2,FALSE)</f>
        <v>AEWs-extension workers given incentives</v>
      </c>
      <c r="R616" s="60" t="s">
        <v>111</v>
      </c>
      <c r="S616" s="54" t="str">
        <f>VLOOKUP(Table3[[#This Row],[ACTIVITY]],TAGS!$B:$P,4,FALSE)</f>
        <v>Extension Workers Incentives</v>
      </c>
      <c r="T616" s="54" t="str">
        <f>VLOOKUP(Table3[[#This Row],[ACTIVITY]],TAGS!$B:$P,5,FALSE)</f>
        <v>Incentives Given</v>
      </c>
      <c r="U616" s="54" t="str">
        <f>VLOOKUP(Table3[[#This Row],[ACTIVITY]],TAGS!$B:$P,6,FALSE)</f>
        <v>Municipal Agriculturist</v>
      </c>
      <c r="V616" s="54" t="str">
        <f>VLOOKUP(Table3[[#This Row],[ACTIVITY]],TAGS!$B:$P,7,FALSE)</f>
        <v>NO</v>
      </c>
      <c r="W616" s="54" t="str">
        <f>VLOOKUP(Table3[[#This Row],[ACTIVITY]],TAGS!$B:$P,8,FALSE)</f>
        <v>PAP</v>
      </c>
      <c r="X616" s="54" t="str">
        <f>VLOOKUP(Table3[[#This Row],[ACTIVITY]],TAGS!$B:$P,10,FALSE)</f>
        <v>PIP</v>
      </c>
      <c r="Y616" s="54" t="str">
        <f>VLOOKUP(Table3[[#This Row],[ACTIVITY]],TAGS!$B:$P,11,FALSE)</f>
        <v>PICS</v>
      </c>
      <c r="Z616" s="54" t="str">
        <f>VLOOKUP(Table3[[#This Row],[ACTIVITY]],TAGS!$B:$P,12,FALSE)</f>
        <v>Consolidation</v>
      </c>
      <c r="AA616" s="54" t="str">
        <f>VLOOKUP(Table3[[#This Row],[ACTIVITY]],TAGS!$B:$P,13,FALSE)</f>
        <v>3. PAFES</v>
      </c>
      <c r="AB616" s="54" t="str">
        <f>VLOOKUP(Table3[[#This Row],[ACTIVITY]],TAGS!$B:$P,14,FALSE)</f>
        <v>STRONG PARTNERSHIP WITH THE FARMERS, FISHERFOLK, PRIVATE SECTOR, AND OTHER STAKEHOLDERS</v>
      </c>
      <c r="AC616" s="54" t="str">
        <f>VLOOKUP(Table3[[#This Row],[ACTIVITY]],TAGS!$B:$P,15,FALSE)</f>
        <v>Other Intervetions</v>
      </c>
      <c r="AD616" s="54" t="str">
        <f>VLOOKUP(Table3[[#This Row],[PI LEVEL 3]],'PI LEVEL'!$A:$G,7,FALSE)</f>
        <v>DA-Level Output</v>
      </c>
      <c r="AE616" s="60"/>
      <c r="AF616" s="54" t="str">
        <f>VLOOKUP(Table3[[#This Row],[ACTIVITY]],TAGS!$B:$P,3,FALSE)</f>
        <v>number</v>
      </c>
      <c r="AG616" s="60"/>
      <c r="AH616" s="54" t="e">
        <f>VLOOKUP(Table3[[#This Row],[MONTH]],TAGS!$W$67:$Y$81,2,FALSE)</f>
        <v>#N/A</v>
      </c>
      <c r="AI616" s="54" t="e">
        <f>VLOOKUP(Table3[[#This Row],[MONTH]],TAGS!$W$67:$Y$81,3,FALSE)</f>
        <v>#N/A</v>
      </c>
      <c r="AJ616" s="54" t="e">
        <f>VLOOKUP(Table3[[#This Row],[MONTH]],TAGS!$W$67:$Z$81,4,FALSE)</f>
        <v>#N/A</v>
      </c>
      <c r="AK616" s="60">
        <v>1</v>
      </c>
      <c r="AL616" s="54" t="str">
        <f>VLOOKUP(Table3[[#This Row],[ACTIVITY]],TAGS!$B:$R,16,FALSE)</f>
        <v>NO</v>
      </c>
      <c r="AM616" s="60">
        <f>Table3[[#This Row],[TARGET]]/20</f>
        <v>0.05</v>
      </c>
      <c r="AN616" s="60">
        <v>48</v>
      </c>
      <c r="AO616" s="57"/>
      <c r="AP616" s="62"/>
      <c r="AQ616" s="62"/>
      <c r="AR616" s="62"/>
      <c r="AS616" s="62"/>
      <c r="AT616" s="63" t="str">
        <f>VLOOKUP(Table3[[#This Row],[ACTIVITY]],TAGS!$B:$R,17,FALSE)</f>
        <v>NO</v>
      </c>
      <c r="AU616" s="63"/>
      <c r="AV616" s="63"/>
      <c r="AW616" s="63"/>
      <c r="AX616" s="63"/>
      <c r="AY616" s="63"/>
      <c r="AZ616" s="63"/>
      <c r="BA616" s="63"/>
      <c r="BB616" s="63"/>
      <c r="BC616" s="63"/>
      <c r="BD616" s="63"/>
      <c r="BE616" s="63"/>
      <c r="BF616" s="63"/>
      <c r="BG616" s="63"/>
      <c r="BH616" s="63"/>
      <c r="BI616" s="63"/>
      <c r="BJ616" s="63"/>
      <c r="BK616" s="63"/>
      <c r="BL616" s="63"/>
      <c r="BM616" s="63"/>
    </row>
    <row r="617" spans="1:65">
      <c r="A617" s="54" t="str">
        <f>VLOOKUP(Table3[[#This Row],[OU]],OU!$A$15:$B$34,2,FALSE)</f>
        <v>RFOs</v>
      </c>
      <c r="B617" s="60" t="s">
        <v>436</v>
      </c>
      <c r="C617" s="60" t="s">
        <v>574</v>
      </c>
      <c r="D617" s="60"/>
      <c r="E617" s="60" t="s">
        <v>22</v>
      </c>
      <c r="F617" s="60"/>
      <c r="G61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61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617" s="61" t="e">
        <f>VLOOKUP(Table3[[#This Row],[PSGC]],DISTRICT!$D:$G,4,FALSE)</f>
        <v>#N/A</v>
      </c>
      <c r="J617" s="60" t="s">
        <v>585</v>
      </c>
      <c r="K617" s="51" t="str">
        <f>VLOOKUP(Table3[[#This Row],[SPECIFIC COMMODITY]],TAGS!$W$48:$X$53,2,FALSE)</f>
        <v>Multi_commodity</v>
      </c>
      <c r="L617" s="51" t="str">
        <f>VLOOKUP(Table3[[#This Row],[PREXC SUB-PROGRAM]],Table5[],2,FALSE)</f>
        <v>TECHNICAL AND SUPPORT SERVICES PROGRAM</v>
      </c>
      <c r="M617" s="51" t="str">
        <f>VLOOKUP(Table3[[#This Row],[COMMODITY PREXC SUB-PROGRAM]],TAGS!$U$54:$V$76,2,FALSE)</f>
        <v>ESETS</v>
      </c>
      <c r="N617" s="60" t="s">
        <v>592</v>
      </c>
      <c r="O617" s="54" t="str">
        <f>VLOOKUP(Table3[[#This Row],[PI LEVEL 3]],'PI LEVEL'!A:C,3,FALSE)</f>
        <v>Individuals given incentives, recognition, and awards</v>
      </c>
      <c r="P617" s="54" t="str">
        <f>VLOOKUP(Table3[[#This Row],[PI LEVEL 3]],Table53729[[Performance Indicator Level 3]:[Performance Indicator Level 1]],2,FALSE)</f>
        <v>AEWs-extension workers given incentives</v>
      </c>
      <c r="Q617" s="54" t="str">
        <f>VLOOKUP(Table3[[#This Row],[ACTIVITY]],TAGS!B:P,2,FALSE)</f>
        <v>AEWs-extension workers given incentives</v>
      </c>
      <c r="R617" s="60" t="s">
        <v>109</v>
      </c>
      <c r="S617" s="54" t="str">
        <f>VLOOKUP(Table3[[#This Row],[ACTIVITY]],TAGS!$B:$P,4,FALSE)</f>
        <v>Extension Workers Incentives</v>
      </c>
      <c r="T617" s="54" t="str">
        <f>VLOOKUP(Table3[[#This Row],[ACTIVITY]],TAGS!$B:$P,5,FALSE)</f>
        <v>Incentives Given</v>
      </c>
      <c r="U617" s="54" t="str">
        <f>VLOOKUP(Table3[[#This Row],[ACTIVITY]],TAGS!$B:$P,6,FALSE)</f>
        <v>Provincial Coordinator</v>
      </c>
      <c r="V617" s="54" t="str">
        <f>VLOOKUP(Table3[[#This Row],[ACTIVITY]],TAGS!$B:$P,7,FALSE)</f>
        <v>NO</v>
      </c>
      <c r="W617" s="54" t="str">
        <f>VLOOKUP(Table3[[#This Row],[ACTIVITY]],TAGS!$B:$P,8,FALSE)</f>
        <v>PAP</v>
      </c>
      <c r="X617" s="54" t="str">
        <f>VLOOKUP(Table3[[#This Row],[ACTIVITY]],TAGS!$B:$P,10,FALSE)</f>
        <v>PIP</v>
      </c>
      <c r="Y617" s="54" t="str">
        <f>VLOOKUP(Table3[[#This Row],[ACTIVITY]],TAGS!$B:$P,11,FALSE)</f>
        <v>PICS</v>
      </c>
      <c r="Z617" s="54" t="str">
        <f>VLOOKUP(Table3[[#This Row],[ACTIVITY]],TAGS!$B:$P,12,FALSE)</f>
        <v>Consolidation</v>
      </c>
      <c r="AA617" s="54" t="str">
        <f>VLOOKUP(Table3[[#This Row],[ACTIVITY]],TAGS!$B:$P,13,FALSE)</f>
        <v>3. PAFES</v>
      </c>
      <c r="AB617" s="54" t="str">
        <f>VLOOKUP(Table3[[#This Row],[ACTIVITY]],TAGS!$B:$P,14,FALSE)</f>
        <v>STRONG PARTNERSHIP WITH THE FARMERS, FISHERFOLK, PRIVATE SECTOR, AND OTHER STAKEHOLDERS</v>
      </c>
      <c r="AC617" s="54" t="str">
        <f>VLOOKUP(Table3[[#This Row],[ACTIVITY]],TAGS!$B:$P,15,FALSE)</f>
        <v>Other Intervetions</v>
      </c>
      <c r="AD617" s="54" t="str">
        <f>VLOOKUP(Table3[[#This Row],[PI LEVEL 3]],'PI LEVEL'!$A:$G,7,FALSE)</f>
        <v>DA-Level Output</v>
      </c>
      <c r="AE617" s="60"/>
      <c r="AF617" s="54" t="str">
        <f>VLOOKUP(Table3[[#This Row],[ACTIVITY]],TAGS!$B:$P,3,FALSE)</f>
        <v>number</v>
      </c>
      <c r="AG617" s="60"/>
      <c r="AH617" s="54" t="e">
        <f>VLOOKUP(Table3[[#This Row],[MONTH]],TAGS!$W$67:$Y$81,2,FALSE)</f>
        <v>#N/A</v>
      </c>
      <c r="AI617" s="54" t="e">
        <f>VLOOKUP(Table3[[#This Row],[MONTH]],TAGS!$W$67:$Y$81,3,FALSE)</f>
        <v>#N/A</v>
      </c>
      <c r="AJ617" s="54" t="e">
        <f>VLOOKUP(Table3[[#This Row],[MONTH]],TAGS!$W$67:$Z$81,4,FALSE)</f>
        <v>#N/A</v>
      </c>
      <c r="AK617" s="60">
        <v>1</v>
      </c>
      <c r="AL617" s="54" t="str">
        <f>VLOOKUP(Table3[[#This Row],[ACTIVITY]],TAGS!$B:$R,16,FALSE)</f>
        <v>NO</v>
      </c>
      <c r="AM617" s="60">
        <f>Table3[[#This Row],[TARGET]]/20</f>
        <v>0.05</v>
      </c>
      <c r="AN617" s="60">
        <v>48</v>
      </c>
      <c r="AO617" s="57"/>
      <c r="AP617" s="62"/>
      <c r="AQ617" s="62"/>
      <c r="AR617" s="62"/>
      <c r="AS617" s="62"/>
      <c r="AT617" s="63" t="str">
        <f>VLOOKUP(Table3[[#This Row],[ACTIVITY]],TAGS!$B:$R,17,FALSE)</f>
        <v>NO</v>
      </c>
      <c r="AU617" s="63"/>
      <c r="AV617" s="63"/>
      <c r="AW617" s="63"/>
      <c r="AX617" s="63"/>
      <c r="AY617" s="63"/>
      <c r="AZ617" s="63"/>
      <c r="BA617" s="63"/>
      <c r="BB617" s="63"/>
      <c r="BC617" s="63"/>
      <c r="BD617" s="63"/>
      <c r="BE617" s="63"/>
      <c r="BF617" s="63"/>
      <c r="BG617" s="63"/>
      <c r="BH617" s="63"/>
      <c r="BI617" s="63"/>
      <c r="BJ617" s="63"/>
      <c r="BK617" s="63"/>
      <c r="BL617" s="63"/>
      <c r="BM617" s="63"/>
    </row>
    <row r="618" spans="1:65">
      <c r="A618" s="54" t="str">
        <f>VLOOKUP(Table3[[#This Row],[OU]],OU!$A$15:$B$34,2,FALSE)</f>
        <v>RFOs</v>
      </c>
      <c r="B618" s="60" t="s">
        <v>436</v>
      </c>
      <c r="C618" s="60" t="s">
        <v>574</v>
      </c>
      <c r="D618" s="60"/>
      <c r="E618" s="60" t="s">
        <v>43</v>
      </c>
      <c r="F618" s="60"/>
      <c r="G61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61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618" s="61" t="e">
        <f>VLOOKUP(Table3[[#This Row],[PSGC]],DISTRICT!$D:$G,4,FALSE)</f>
        <v>#N/A</v>
      </c>
      <c r="J618" s="60" t="s">
        <v>585</v>
      </c>
      <c r="K618" s="51" t="str">
        <f>VLOOKUP(Table3[[#This Row],[SPECIFIC COMMODITY]],TAGS!$W$48:$X$53,2,FALSE)</f>
        <v>Multi_commodity</v>
      </c>
      <c r="L618" s="51" t="str">
        <f>VLOOKUP(Table3[[#This Row],[PREXC SUB-PROGRAM]],Table5[],2,FALSE)</f>
        <v>TECHNICAL AND SUPPORT SERVICES PROGRAM</v>
      </c>
      <c r="M618" s="51" t="str">
        <f>VLOOKUP(Table3[[#This Row],[COMMODITY PREXC SUB-PROGRAM]],TAGS!$U$54:$V$76,2,FALSE)</f>
        <v>ESETS</v>
      </c>
      <c r="N618" s="60" t="s">
        <v>592</v>
      </c>
      <c r="O618" s="54" t="str">
        <f>VLOOKUP(Table3[[#This Row],[PI LEVEL 3]],'PI LEVEL'!A:C,3,FALSE)</f>
        <v>Individuals given incentives, recognition, and awards</v>
      </c>
      <c r="P618" s="54" t="str">
        <f>VLOOKUP(Table3[[#This Row],[PI LEVEL 3]],Table53729[[Performance Indicator Level 3]:[Performance Indicator Level 1]],2,FALSE)</f>
        <v>AEWs-extension workers given incentives</v>
      </c>
      <c r="Q618" s="54" t="str">
        <f>VLOOKUP(Table3[[#This Row],[ACTIVITY]],TAGS!B:P,2,FALSE)</f>
        <v>AEWs-extension workers given incentives</v>
      </c>
      <c r="R618" s="60" t="s">
        <v>109</v>
      </c>
      <c r="S618" s="54" t="str">
        <f>VLOOKUP(Table3[[#This Row],[ACTIVITY]],TAGS!$B:$P,4,FALSE)</f>
        <v>Extension Workers Incentives</v>
      </c>
      <c r="T618" s="54" t="str">
        <f>VLOOKUP(Table3[[#This Row],[ACTIVITY]],TAGS!$B:$P,5,FALSE)</f>
        <v>Incentives Given</v>
      </c>
      <c r="U618" s="54" t="str">
        <f>VLOOKUP(Table3[[#This Row],[ACTIVITY]],TAGS!$B:$P,6,FALSE)</f>
        <v>Provincial Coordinator</v>
      </c>
      <c r="V618" s="54" t="str">
        <f>VLOOKUP(Table3[[#This Row],[ACTIVITY]],TAGS!$B:$P,7,FALSE)</f>
        <v>NO</v>
      </c>
      <c r="W618" s="54" t="str">
        <f>VLOOKUP(Table3[[#This Row],[ACTIVITY]],TAGS!$B:$P,8,FALSE)</f>
        <v>PAP</v>
      </c>
      <c r="X618" s="54" t="str">
        <f>VLOOKUP(Table3[[#This Row],[ACTIVITY]],TAGS!$B:$P,10,FALSE)</f>
        <v>PIP</v>
      </c>
      <c r="Y618" s="54" t="str">
        <f>VLOOKUP(Table3[[#This Row],[ACTIVITY]],TAGS!$B:$P,11,FALSE)</f>
        <v>PICS</v>
      </c>
      <c r="Z618" s="54" t="str">
        <f>VLOOKUP(Table3[[#This Row],[ACTIVITY]],TAGS!$B:$P,12,FALSE)</f>
        <v>Consolidation</v>
      </c>
      <c r="AA618" s="54" t="str">
        <f>VLOOKUP(Table3[[#This Row],[ACTIVITY]],TAGS!$B:$P,13,FALSE)</f>
        <v>3. PAFES</v>
      </c>
      <c r="AB618" s="54" t="str">
        <f>VLOOKUP(Table3[[#This Row],[ACTIVITY]],TAGS!$B:$P,14,FALSE)</f>
        <v>STRONG PARTNERSHIP WITH THE FARMERS, FISHERFOLK, PRIVATE SECTOR, AND OTHER STAKEHOLDERS</v>
      </c>
      <c r="AC618" s="54" t="str">
        <f>VLOOKUP(Table3[[#This Row],[ACTIVITY]],TAGS!$B:$P,15,FALSE)</f>
        <v>Other Intervetions</v>
      </c>
      <c r="AD618" s="54" t="str">
        <f>VLOOKUP(Table3[[#This Row],[PI LEVEL 3]],'PI LEVEL'!$A:$G,7,FALSE)</f>
        <v>DA-Level Output</v>
      </c>
      <c r="AE618" s="60"/>
      <c r="AF618" s="54" t="str">
        <f>VLOOKUP(Table3[[#This Row],[ACTIVITY]],TAGS!$B:$P,3,FALSE)</f>
        <v>number</v>
      </c>
      <c r="AG618" s="60"/>
      <c r="AH618" s="54" t="e">
        <f>VLOOKUP(Table3[[#This Row],[MONTH]],TAGS!$W$67:$Y$81,2,FALSE)</f>
        <v>#N/A</v>
      </c>
      <c r="AI618" s="54" t="e">
        <f>VLOOKUP(Table3[[#This Row],[MONTH]],TAGS!$W$67:$Y$81,3,FALSE)</f>
        <v>#N/A</v>
      </c>
      <c r="AJ618" s="54" t="e">
        <f>VLOOKUP(Table3[[#This Row],[MONTH]],TAGS!$W$67:$Z$81,4,FALSE)</f>
        <v>#N/A</v>
      </c>
      <c r="AK618" s="60">
        <v>1</v>
      </c>
      <c r="AL618" s="54" t="str">
        <f>VLOOKUP(Table3[[#This Row],[ACTIVITY]],TAGS!$B:$R,16,FALSE)</f>
        <v>NO</v>
      </c>
      <c r="AM618" s="60">
        <f>Table3[[#This Row],[TARGET]]/20</f>
        <v>0.05</v>
      </c>
      <c r="AN618" s="60">
        <v>48</v>
      </c>
      <c r="AO618" s="57"/>
      <c r="AP618" s="62"/>
      <c r="AQ618" s="62"/>
      <c r="AR618" s="62"/>
      <c r="AS618" s="62"/>
      <c r="AT618" s="63" t="str">
        <f>VLOOKUP(Table3[[#This Row],[ACTIVITY]],TAGS!$B:$R,17,FALSE)</f>
        <v>NO</v>
      </c>
      <c r="AU618" s="63"/>
      <c r="AV618" s="63"/>
      <c r="AW618" s="63"/>
      <c r="AX618" s="63"/>
      <c r="AY618" s="63"/>
      <c r="AZ618" s="63"/>
      <c r="BA618" s="63"/>
      <c r="BB618" s="63"/>
      <c r="BC618" s="63"/>
      <c r="BD618" s="63"/>
      <c r="BE618" s="63"/>
      <c r="BF618" s="63"/>
      <c r="BG618" s="63"/>
      <c r="BH618" s="63"/>
      <c r="BI618" s="63"/>
      <c r="BJ618" s="63"/>
      <c r="BK618" s="63"/>
      <c r="BL618" s="63"/>
      <c r="BM618" s="63"/>
    </row>
    <row r="619" spans="1:65">
      <c r="A619" s="54" t="str">
        <f>VLOOKUP(Table3[[#This Row],[OU]],OU!$A$15:$B$34,2,FALSE)</f>
        <v>RFOs</v>
      </c>
      <c r="B619" s="60" t="s">
        <v>436</v>
      </c>
      <c r="C619" s="60" t="s">
        <v>574</v>
      </c>
      <c r="D619" s="60"/>
      <c r="E619" s="60" t="s">
        <v>63</v>
      </c>
      <c r="F619" s="60"/>
      <c r="G61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Nueva_Vizcaya</v>
      </c>
      <c r="H61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Nueva_Vizcaya</v>
      </c>
      <c r="I619" s="61" t="e">
        <f>VLOOKUP(Table3[[#This Row],[PSGC]],DISTRICT!$D:$G,4,FALSE)</f>
        <v>#N/A</v>
      </c>
      <c r="J619" s="60" t="s">
        <v>585</v>
      </c>
      <c r="K619" s="51" t="str">
        <f>VLOOKUP(Table3[[#This Row],[SPECIFIC COMMODITY]],TAGS!$W$48:$X$53,2,FALSE)</f>
        <v>Multi_commodity</v>
      </c>
      <c r="L619" s="51" t="str">
        <f>VLOOKUP(Table3[[#This Row],[PREXC SUB-PROGRAM]],Table5[],2,FALSE)</f>
        <v>TECHNICAL AND SUPPORT SERVICES PROGRAM</v>
      </c>
      <c r="M619" s="51" t="str">
        <f>VLOOKUP(Table3[[#This Row],[COMMODITY PREXC SUB-PROGRAM]],TAGS!$U$54:$V$76,2,FALSE)</f>
        <v>ESETS</v>
      </c>
      <c r="N619" s="60" t="s">
        <v>592</v>
      </c>
      <c r="O619" s="54" t="str">
        <f>VLOOKUP(Table3[[#This Row],[PI LEVEL 3]],'PI LEVEL'!A:C,3,FALSE)</f>
        <v>Individuals given incentives, recognition, and awards</v>
      </c>
      <c r="P619" s="54" t="str">
        <f>VLOOKUP(Table3[[#This Row],[PI LEVEL 3]],Table53729[[Performance Indicator Level 3]:[Performance Indicator Level 1]],2,FALSE)</f>
        <v>AEWs-extension workers given incentives</v>
      </c>
      <c r="Q619" s="54" t="str">
        <f>VLOOKUP(Table3[[#This Row],[ACTIVITY]],TAGS!B:P,2,FALSE)</f>
        <v>AEWs-extension workers given incentives</v>
      </c>
      <c r="R619" s="60" t="s">
        <v>109</v>
      </c>
      <c r="S619" s="54" t="str">
        <f>VLOOKUP(Table3[[#This Row],[ACTIVITY]],TAGS!$B:$P,4,FALSE)</f>
        <v>Extension Workers Incentives</v>
      </c>
      <c r="T619" s="54" t="str">
        <f>VLOOKUP(Table3[[#This Row],[ACTIVITY]],TAGS!$B:$P,5,FALSE)</f>
        <v>Incentives Given</v>
      </c>
      <c r="U619" s="54" t="str">
        <f>VLOOKUP(Table3[[#This Row],[ACTIVITY]],TAGS!$B:$P,6,FALSE)</f>
        <v>Provincial Coordinator</v>
      </c>
      <c r="V619" s="54" t="str">
        <f>VLOOKUP(Table3[[#This Row],[ACTIVITY]],TAGS!$B:$P,7,FALSE)</f>
        <v>NO</v>
      </c>
      <c r="W619" s="54" t="str">
        <f>VLOOKUP(Table3[[#This Row],[ACTIVITY]],TAGS!$B:$P,8,FALSE)</f>
        <v>PAP</v>
      </c>
      <c r="X619" s="54" t="str">
        <f>VLOOKUP(Table3[[#This Row],[ACTIVITY]],TAGS!$B:$P,10,FALSE)</f>
        <v>PIP</v>
      </c>
      <c r="Y619" s="54" t="str">
        <f>VLOOKUP(Table3[[#This Row],[ACTIVITY]],TAGS!$B:$P,11,FALSE)</f>
        <v>PICS</v>
      </c>
      <c r="Z619" s="54" t="str">
        <f>VLOOKUP(Table3[[#This Row],[ACTIVITY]],TAGS!$B:$P,12,FALSE)</f>
        <v>Consolidation</v>
      </c>
      <c r="AA619" s="54" t="str">
        <f>VLOOKUP(Table3[[#This Row],[ACTIVITY]],TAGS!$B:$P,13,FALSE)</f>
        <v>3. PAFES</v>
      </c>
      <c r="AB619" s="54" t="str">
        <f>VLOOKUP(Table3[[#This Row],[ACTIVITY]],TAGS!$B:$P,14,FALSE)</f>
        <v>STRONG PARTNERSHIP WITH THE FARMERS, FISHERFOLK, PRIVATE SECTOR, AND OTHER STAKEHOLDERS</v>
      </c>
      <c r="AC619" s="54" t="str">
        <f>VLOOKUP(Table3[[#This Row],[ACTIVITY]],TAGS!$B:$P,15,FALSE)</f>
        <v>Other Intervetions</v>
      </c>
      <c r="AD619" s="54" t="str">
        <f>VLOOKUP(Table3[[#This Row],[PI LEVEL 3]],'PI LEVEL'!$A:$G,7,FALSE)</f>
        <v>DA-Level Output</v>
      </c>
      <c r="AE619" s="60"/>
      <c r="AF619" s="54" t="str">
        <f>VLOOKUP(Table3[[#This Row],[ACTIVITY]],TAGS!$B:$P,3,FALSE)</f>
        <v>number</v>
      </c>
      <c r="AG619" s="60"/>
      <c r="AH619" s="54" t="e">
        <f>VLOOKUP(Table3[[#This Row],[MONTH]],TAGS!$W$67:$Y$81,2,FALSE)</f>
        <v>#N/A</v>
      </c>
      <c r="AI619" s="54" t="e">
        <f>VLOOKUP(Table3[[#This Row],[MONTH]],TAGS!$W$67:$Y$81,3,FALSE)</f>
        <v>#N/A</v>
      </c>
      <c r="AJ619" s="54" t="e">
        <f>VLOOKUP(Table3[[#This Row],[MONTH]],TAGS!$W$67:$Z$81,4,FALSE)</f>
        <v>#N/A</v>
      </c>
      <c r="AK619" s="60">
        <v>1</v>
      </c>
      <c r="AL619" s="54" t="str">
        <f>VLOOKUP(Table3[[#This Row],[ACTIVITY]],TAGS!$B:$R,16,FALSE)</f>
        <v>NO</v>
      </c>
      <c r="AM619" s="60">
        <f>Table3[[#This Row],[TARGET]]/20</f>
        <v>0.05</v>
      </c>
      <c r="AN619" s="60">
        <v>48</v>
      </c>
      <c r="AO619" s="57"/>
      <c r="AP619" s="62"/>
      <c r="AQ619" s="62"/>
      <c r="AR619" s="62"/>
      <c r="AS619" s="62"/>
      <c r="AT619" s="63" t="str">
        <f>VLOOKUP(Table3[[#This Row],[ACTIVITY]],TAGS!$B:$R,17,FALSE)</f>
        <v>NO</v>
      </c>
      <c r="AU619" s="63"/>
      <c r="AV619" s="63"/>
      <c r="AW619" s="63"/>
      <c r="AX619" s="63"/>
      <c r="AY619" s="63"/>
      <c r="AZ619" s="63"/>
      <c r="BA619" s="63"/>
      <c r="BB619" s="63"/>
      <c r="BC619" s="63"/>
      <c r="BD619" s="63"/>
      <c r="BE619" s="63"/>
      <c r="BF619" s="63"/>
      <c r="BG619" s="63"/>
      <c r="BH619" s="63"/>
      <c r="BI619" s="63"/>
      <c r="BJ619" s="63"/>
      <c r="BK619" s="63"/>
      <c r="BL619" s="63"/>
      <c r="BM619" s="63"/>
    </row>
    <row r="620" spans="1:65">
      <c r="A620" s="54" t="str">
        <f>VLOOKUP(Table3[[#This Row],[OU]],OU!$A$15:$B$34,2,FALSE)</f>
        <v>RFOs</v>
      </c>
      <c r="B620" s="60" t="s">
        <v>436</v>
      </c>
      <c r="C620" s="60" t="s">
        <v>574</v>
      </c>
      <c r="D620" s="60"/>
      <c r="E620" s="60" t="s">
        <v>70</v>
      </c>
      <c r="F620" s="60"/>
      <c r="G62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</v>
      </c>
      <c r="H62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Quirino</v>
      </c>
      <c r="I620" s="61" t="e">
        <f>VLOOKUP(Table3[[#This Row],[PSGC]],DISTRICT!$D:$G,4,FALSE)</f>
        <v>#N/A</v>
      </c>
      <c r="J620" s="60" t="s">
        <v>585</v>
      </c>
      <c r="K620" s="51" t="str">
        <f>VLOOKUP(Table3[[#This Row],[SPECIFIC COMMODITY]],TAGS!$W$48:$X$53,2,FALSE)</f>
        <v>Multi_commodity</v>
      </c>
      <c r="L620" s="51" t="str">
        <f>VLOOKUP(Table3[[#This Row],[PREXC SUB-PROGRAM]],Table5[],2,FALSE)</f>
        <v>TECHNICAL AND SUPPORT SERVICES PROGRAM</v>
      </c>
      <c r="M620" s="51" t="str">
        <f>VLOOKUP(Table3[[#This Row],[COMMODITY PREXC SUB-PROGRAM]],TAGS!$U$54:$V$76,2,FALSE)</f>
        <v>ESETS</v>
      </c>
      <c r="N620" s="60" t="s">
        <v>592</v>
      </c>
      <c r="O620" s="54" t="str">
        <f>VLOOKUP(Table3[[#This Row],[PI LEVEL 3]],'PI LEVEL'!A:C,3,FALSE)</f>
        <v>Individuals given incentives, recognition, and awards</v>
      </c>
      <c r="P620" s="54" t="str">
        <f>VLOOKUP(Table3[[#This Row],[PI LEVEL 3]],Table53729[[Performance Indicator Level 3]:[Performance Indicator Level 1]],2,FALSE)</f>
        <v>AEWs-extension workers given incentives</v>
      </c>
      <c r="Q620" s="54" t="str">
        <f>VLOOKUP(Table3[[#This Row],[ACTIVITY]],TAGS!B:P,2,FALSE)</f>
        <v>AEWs-extension workers given incentives</v>
      </c>
      <c r="R620" s="60" t="s">
        <v>109</v>
      </c>
      <c r="S620" s="54" t="str">
        <f>VLOOKUP(Table3[[#This Row],[ACTIVITY]],TAGS!$B:$P,4,FALSE)</f>
        <v>Extension Workers Incentives</v>
      </c>
      <c r="T620" s="54" t="str">
        <f>VLOOKUP(Table3[[#This Row],[ACTIVITY]],TAGS!$B:$P,5,FALSE)</f>
        <v>Incentives Given</v>
      </c>
      <c r="U620" s="54" t="str">
        <f>VLOOKUP(Table3[[#This Row],[ACTIVITY]],TAGS!$B:$P,6,FALSE)</f>
        <v>Provincial Coordinator</v>
      </c>
      <c r="V620" s="54" t="str">
        <f>VLOOKUP(Table3[[#This Row],[ACTIVITY]],TAGS!$B:$P,7,FALSE)</f>
        <v>NO</v>
      </c>
      <c r="W620" s="54" t="str">
        <f>VLOOKUP(Table3[[#This Row],[ACTIVITY]],TAGS!$B:$P,8,FALSE)</f>
        <v>PAP</v>
      </c>
      <c r="X620" s="54" t="str">
        <f>VLOOKUP(Table3[[#This Row],[ACTIVITY]],TAGS!$B:$P,10,FALSE)</f>
        <v>PIP</v>
      </c>
      <c r="Y620" s="54" t="str">
        <f>VLOOKUP(Table3[[#This Row],[ACTIVITY]],TAGS!$B:$P,11,FALSE)</f>
        <v>PICS</v>
      </c>
      <c r="Z620" s="54" t="str">
        <f>VLOOKUP(Table3[[#This Row],[ACTIVITY]],TAGS!$B:$P,12,FALSE)</f>
        <v>Consolidation</v>
      </c>
      <c r="AA620" s="54" t="str">
        <f>VLOOKUP(Table3[[#This Row],[ACTIVITY]],TAGS!$B:$P,13,FALSE)</f>
        <v>3. PAFES</v>
      </c>
      <c r="AB620" s="54" t="str">
        <f>VLOOKUP(Table3[[#This Row],[ACTIVITY]],TAGS!$B:$P,14,FALSE)</f>
        <v>STRONG PARTNERSHIP WITH THE FARMERS, FISHERFOLK, PRIVATE SECTOR, AND OTHER STAKEHOLDERS</v>
      </c>
      <c r="AC620" s="54" t="str">
        <f>VLOOKUP(Table3[[#This Row],[ACTIVITY]],TAGS!$B:$P,15,FALSE)</f>
        <v>Other Intervetions</v>
      </c>
      <c r="AD620" s="54" t="str">
        <f>VLOOKUP(Table3[[#This Row],[PI LEVEL 3]],'PI LEVEL'!$A:$G,7,FALSE)</f>
        <v>DA-Level Output</v>
      </c>
      <c r="AE620" s="60"/>
      <c r="AF620" s="54" t="str">
        <f>VLOOKUP(Table3[[#This Row],[ACTIVITY]],TAGS!$B:$P,3,FALSE)</f>
        <v>number</v>
      </c>
      <c r="AG620" s="60"/>
      <c r="AH620" s="54" t="e">
        <f>VLOOKUP(Table3[[#This Row],[MONTH]],TAGS!$W$67:$Y$81,2,FALSE)</f>
        <v>#N/A</v>
      </c>
      <c r="AI620" s="54" t="e">
        <f>VLOOKUP(Table3[[#This Row],[MONTH]],TAGS!$W$67:$Y$81,3,FALSE)</f>
        <v>#N/A</v>
      </c>
      <c r="AJ620" s="54" t="e">
        <f>VLOOKUP(Table3[[#This Row],[MONTH]],TAGS!$W$67:$Z$81,4,FALSE)</f>
        <v>#N/A</v>
      </c>
      <c r="AK620" s="60">
        <v>1</v>
      </c>
      <c r="AL620" s="54" t="str">
        <f>VLOOKUP(Table3[[#This Row],[ACTIVITY]],TAGS!$B:$R,16,FALSE)</f>
        <v>NO</v>
      </c>
      <c r="AM620" s="60">
        <f>Table3[[#This Row],[TARGET]]/20</f>
        <v>0.05</v>
      </c>
      <c r="AN620" s="60">
        <v>48</v>
      </c>
      <c r="AO620" s="57"/>
      <c r="AP620" s="62"/>
      <c r="AQ620" s="62"/>
      <c r="AR620" s="62"/>
      <c r="AS620" s="62"/>
      <c r="AT620" s="63" t="str">
        <f>VLOOKUP(Table3[[#This Row],[ACTIVITY]],TAGS!$B:$R,17,FALSE)</f>
        <v>NO</v>
      </c>
      <c r="AU620" s="63"/>
      <c r="AV620" s="63"/>
      <c r="AW620" s="63"/>
      <c r="AX620" s="63"/>
      <c r="AY620" s="63"/>
      <c r="AZ620" s="63"/>
      <c r="BA620" s="63"/>
      <c r="BB620" s="63"/>
      <c r="BC620" s="63"/>
      <c r="BD620" s="63"/>
      <c r="BE620" s="63"/>
      <c r="BF620" s="63"/>
      <c r="BG620" s="63"/>
      <c r="BH620" s="63"/>
      <c r="BI620" s="63"/>
      <c r="BJ620" s="63"/>
      <c r="BK620" s="63"/>
      <c r="BL620" s="63"/>
      <c r="BM620" s="63"/>
    </row>
    <row r="621" spans="1:65">
      <c r="A621" s="54" t="str">
        <f>VLOOKUP(Table3[[#This Row],[OU]],OU!$A$15:$B$34,2,FALSE)</f>
        <v>RFOs</v>
      </c>
      <c r="B621" s="60" t="s">
        <v>436</v>
      </c>
      <c r="C621" s="60" t="s">
        <v>574</v>
      </c>
      <c r="D621" s="60"/>
      <c r="E621" s="60" t="s">
        <v>78</v>
      </c>
      <c r="F621" s="60"/>
      <c r="G62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2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21" s="61" t="e">
        <f>VLOOKUP(Table3[[#This Row],[PSGC]],DISTRICT!$D:$G,4,FALSE)</f>
        <v>#N/A</v>
      </c>
      <c r="J621" s="60" t="s">
        <v>585</v>
      </c>
      <c r="K621" s="51" t="str">
        <f>VLOOKUP(Table3[[#This Row],[SPECIFIC COMMODITY]],TAGS!$W$48:$X$53,2,FALSE)</f>
        <v>Multi_commodity</v>
      </c>
      <c r="L621" s="51" t="str">
        <f>VLOOKUP(Table3[[#This Row],[PREXC SUB-PROGRAM]],Table5[],2,FALSE)</f>
        <v>TECHNICAL AND SUPPORT SERVICES PROGRAM</v>
      </c>
      <c r="M621" s="51" t="str">
        <f>VLOOKUP(Table3[[#This Row],[COMMODITY PREXC SUB-PROGRAM]],TAGS!$U$54:$V$76,2,FALSE)</f>
        <v>ESETS</v>
      </c>
      <c r="N621" s="60" t="s">
        <v>592</v>
      </c>
      <c r="O621" s="54" t="str">
        <f>VLOOKUP(Table3[[#This Row],[PI LEVEL 3]],'PI LEVEL'!A:C,3,FALSE)</f>
        <v>Extension support activities conducted</v>
      </c>
      <c r="P621" s="54" t="str">
        <f>VLOOKUP(Table3[[#This Row],[PI LEVEL 3]],Table53729[[Performance Indicator Level 3]:[Performance Indicator Level 1]],2,FALSE)</f>
        <v>Extension support activities conducted</v>
      </c>
      <c r="Q621" s="54" t="str">
        <f>VLOOKUP(Table3[[#This Row],[ACTIVITY]],TAGS!B:P,2,FALSE)</f>
        <v>Other extension support activities conducted</v>
      </c>
      <c r="R621" s="60" t="s">
        <v>163</v>
      </c>
      <c r="S621" s="54" t="str">
        <f>VLOOKUP(Table3[[#This Row],[ACTIVITY]],TAGS!$B:$P,4,FALSE)</f>
        <v>Information, Education, and Communication Activities</v>
      </c>
      <c r="T621" s="54" t="str">
        <f>VLOOKUP(Table3[[#This Row],[ACTIVITY]],TAGS!$B:$P,5,FALSE)</f>
        <v>Information, Education, and Communication Activities</v>
      </c>
      <c r="U621" s="54" t="str">
        <f>VLOOKUP(Table3[[#This Row],[ACTIVITY]],TAGS!$B:$P,6,FALSE)</f>
        <v>TV Plugs</v>
      </c>
      <c r="V621" s="54" t="str">
        <f>VLOOKUP(Table3[[#This Row],[ACTIVITY]],TAGS!$B:$P,7,FALSE)</f>
        <v>NO</v>
      </c>
      <c r="W621" s="54" t="str">
        <f>VLOOKUP(Table3[[#This Row],[ACTIVITY]],TAGS!$B:$P,8,FALSE)</f>
        <v>PAP</v>
      </c>
      <c r="X621" s="54" t="str">
        <f>VLOOKUP(Table3[[#This Row],[ACTIVITY]],TAGS!$B:$P,10,FALSE)</f>
        <v>PIP</v>
      </c>
      <c r="Y621" s="54" t="str">
        <f>VLOOKUP(Table3[[#This Row],[ACTIVITY]],TAGS!$B:$P,11,FALSE)</f>
        <v>PICS</v>
      </c>
      <c r="Z621" s="54" t="str">
        <f>VLOOKUP(Table3[[#This Row],[ACTIVITY]],TAGS!$B:$P,12,FALSE)</f>
        <v>Strategic Communication</v>
      </c>
      <c r="AA621" s="54" t="str">
        <f>VLOOKUP(Table3[[#This Row],[ACTIVITY]],TAGS!$B:$P,13,FALSE)</f>
        <v>18. Strategic Communications​</v>
      </c>
      <c r="AB621" s="54">
        <f>VLOOKUP(Table3[[#This Row],[ACTIVITY]],TAGS!$B:$P,14,FALSE)</f>
        <v>0</v>
      </c>
      <c r="AC621" s="54" t="str">
        <f>VLOOKUP(Table3[[#This Row],[ACTIVITY]],TAGS!$B:$P,15,FALSE)</f>
        <v>IEC</v>
      </c>
      <c r="AD621" s="54" t="str">
        <f>VLOOKUP(Table3[[#This Row],[PI LEVEL 3]],'PI LEVEL'!$A:$G,7,FALSE)</f>
        <v>DA-Level Output</v>
      </c>
      <c r="AE621" s="60"/>
      <c r="AF621" s="54" t="str">
        <f>VLOOKUP(Table3[[#This Row],[ACTIVITY]],TAGS!$B:$P,3,FALSE)</f>
        <v>no. of times aired</v>
      </c>
      <c r="AG621" s="60"/>
      <c r="AH621" s="54" t="e">
        <f>VLOOKUP(Table3[[#This Row],[MONTH]],TAGS!$W$67:$Y$81,2,FALSE)</f>
        <v>#N/A</v>
      </c>
      <c r="AI621" s="54" t="e">
        <f>VLOOKUP(Table3[[#This Row],[MONTH]],TAGS!$W$67:$Y$81,3,FALSE)</f>
        <v>#N/A</v>
      </c>
      <c r="AJ621" s="54" t="e">
        <f>VLOOKUP(Table3[[#This Row],[MONTH]],TAGS!$W$67:$Z$81,4,FALSE)</f>
        <v>#N/A</v>
      </c>
      <c r="AK621" s="60">
        <v>5</v>
      </c>
      <c r="AL621" s="54" t="str">
        <f>VLOOKUP(Table3[[#This Row],[ACTIVITY]],TAGS!$B:$R,16,FALSE)</f>
        <v>NO</v>
      </c>
      <c r="AM621" s="60">
        <f>Table3[[#This Row],[TARGET]]/20</f>
        <v>0.25</v>
      </c>
      <c r="AN621" s="60">
        <v>400</v>
      </c>
      <c r="AO621" s="57"/>
      <c r="AP621" s="62"/>
      <c r="AQ621" s="62"/>
      <c r="AR621" s="62"/>
      <c r="AS621" s="62"/>
      <c r="AT621" s="63" t="str">
        <f>VLOOKUP(Table3[[#This Row],[ACTIVITY]],TAGS!$B:$R,17,FALSE)</f>
        <v>NO</v>
      </c>
      <c r="AU621" s="63"/>
      <c r="AV621" s="63"/>
      <c r="AW621" s="63"/>
      <c r="AX621" s="63"/>
      <c r="AY621" s="63"/>
      <c r="AZ621" s="63"/>
      <c r="BA621" s="63"/>
      <c r="BB621" s="63"/>
      <c r="BC621" s="63"/>
      <c r="BD621" s="63"/>
      <c r="BE621" s="63"/>
      <c r="BF621" s="63"/>
      <c r="BG621" s="63"/>
      <c r="BH621" s="63"/>
      <c r="BI621" s="63"/>
      <c r="BJ621" s="63"/>
      <c r="BK621" s="63"/>
      <c r="BL621" s="63"/>
      <c r="BM621" s="63"/>
    </row>
    <row r="622" spans="1:65">
      <c r="A622" s="54" t="str">
        <f>VLOOKUP(Table3[[#This Row],[OU]],OU!$A$15:$B$34,2,FALSE)</f>
        <v>RFOs</v>
      </c>
      <c r="B622" s="60" t="s">
        <v>436</v>
      </c>
      <c r="C622" s="60" t="s">
        <v>574</v>
      </c>
      <c r="D622" s="60"/>
      <c r="E622" s="60" t="s">
        <v>78</v>
      </c>
      <c r="F622" s="60"/>
      <c r="G62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2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22" s="61" t="e">
        <f>VLOOKUP(Table3[[#This Row],[PSGC]],DISTRICT!$D:$G,4,FALSE)</f>
        <v>#N/A</v>
      </c>
      <c r="J622" s="60" t="s">
        <v>585</v>
      </c>
      <c r="K622" s="51" t="str">
        <f>VLOOKUP(Table3[[#This Row],[SPECIFIC COMMODITY]],TAGS!$W$48:$X$53,2,FALSE)</f>
        <v>Multi_commodity</v>
      </c>
      <c r="L622" s="51" t="str">
        <f>VLOOKUP(Table3[[#This Row],[PREXC SUB-PROGRAM]],Table5[],2,FALSE)</f>
        <v>TECHNICAL AND SUPPORT SERVICES PROGRAM</v>
      </c>
      <c r="M622" s="51" t="str">
        <f>VLOOKUP(Table3[[#This Row],[COMMODITY PREXC SUB-PROGRAM]],TAGS!$U$54:$V$76,2,FALSE)</f>
        <v>ESETS</v>
      </c>
      <c r="N622" s="60" t="s">
        <v>592</v>
      </c>
      <c r="O622" s="54" t="str">
        <f>VLOOKUP(Table3[[#This Row],[PI LEVEL 3]],'PI LEVEL'!A:C,3,FALSE)</f>
        <v>Extension support activities conducted</v>
      </c>
      <c r="P622" s="54" t="str">
        <f>VLOOKUP(Table3[[#This Row],[PI LEVEL 3]],Table53729[[Performance Indicator Level 3]:[Performance Indicator Level 1]],2,FALSE)</f>
        <v>Extension support activities conducted</v>
      </c>
      <c r="Q622" s="54" t="str">
        <f>VLOOKUP(Table3[[#This Row],[ACTIVITY]],TAGS!B:P,2,FALSE)</f>
        <v>Other extension support activities conducted</v>
      </c>
      <c r="R622" s="60" t="s">
        <v>165</v>
      </c>
      <c r="S622" s="54" t="str">
        <f>VLOOKUP(Table3[[#This Row],[ACTIVITY]],TAGS!$B:$P,4,FALSE)</f>
        <v>Special Events</v>
      </c>
      <c r="T622" s="54" t="str">
        <f>VLOOKUP(Table3[[#This Row],[ACTIVITY]],TAGS!$B:$P,5,FALSE)</f>
        <v>Special Events</v>
      </c>
      <c r="U622" s="54" t="str">
        <f>VLOOKUP(Table3[[#This Row],[ACTIVITY]],TAGS!$B:$P,6,FALSE)</f>
        <v>Corn and Cassava Congress</v>
      </c>
      <c r="V622" s="54" t="str">
        <f>VLOOKUP(Table3[[#This Row],[ACTIVITY]],TAGS!$B:$P,7,FALSE)</f>
        <v>NO</v>
      </c>
      <c r="W622" s="54" t="str">
        <f>VLOOKUP(Table3[[#This Row],[ACTIVITY]],TAGS!$B:$P,8,FALSE)</f>
        <v>PAP</v>
      </c>
      <c r="X622" s="54" t="str">
        <f>VLOOKUP(Table3[[#This Row],[ACTIVITY]],TAGS!$B:$P,10,FALSE)</f>
        <v>PIP</v>
      </c>
      <c r="Y622" s="54" t="str">
        <f>VLOOKUP(Table3[[#This Row],[ACTIVITY]],TAGS!$B:$P,11,FALSE)</f>
        <v>PICS</v>
      </c>
      <c r="Z622" s="54" t="str">
        <f>VLOOKUP(Table3[[#This Row],[ACTIVITY]],TAGS!$B:$P,12,FALSE)</f>
        <v>Strategic Communication</v>
      </c>
      <c r="AA622" s="54" t="str">
        <f>VLOOKUP(Table3[[#This Row],[ACTIVITY]],TAGS!$B:$P,13,FALSE)</f>
        <v>18. Strategic Communications​</v>
      </c>
      <c r="AB622" s="54" t="str">
        <f>VLOOKUP(Table3[[#This Row],[ACTIVITY]],TAGS!$B:$P,14,FALSE)</f>
        <v>STRONG PARTNERSHIP WITH THE FARMERS, FISHERFOLK, PRIVATE SECTOR, AND OTHER STAKEHOLDERS</v>
      </c>
      <c r="AC622" s="54" t="str">
        <f>VLOOKUP(Table3[[#This Row],[ACTIVITY]],TAGS!$B:$P,15,FALSE)</f>
        <v>Other Intervetions</v>
      </c>
      <c r="AD622" s="54" t="str">
        <f>VLOOKUP(Table3[[#This Row],[PI LEVEL 3]],'PI LEVEL'!$A:$G,7,FALSE)</f>
        <v>DA-Level Output</v>
      </c>
      <c r="AE622" s="60"/>
      <c r="AF622" s="54" t="str">
        <f>VLOOKUP(Table3[[#This Row],[ACTIVITY]],TAGS!$B:$P,3,FALSE)</f>
        <v>number</v>
      </c>
      <c r="AG622" s="60"/>
      <c r="AH622" s="54" t="e">
        <f>VLOOKUP(Table3[[#This Row],[MONTH]],TAGS!$W$67:$Y$81,2,FALSE)</f>
        <v>#N/A</v>
      </c>
      <c r="AI622" s="54" t="e">
        <f>VLOOKUP(Table3[[#This Row],[MONTH]],TAGS!$W$67:$Y$81,3,FALSE)</f>
        <v>#N/A</v>
      </c>
      <c r="AJ622" s="54" t="e">
        <f>VLOOKUP(Table3[[#This Row],[MONTH]],TAGS!$W$67:$Z$81,4,FALSE)</f>
        <v>#N/A</v>
      </c>
      <c r="AK622" s="60"/>
      <c r="AL622" s="54" t="str">
        <f>VLOOKUP(Table3[[#This Row],[ACTIVITY]],TAGS!$B:$R,16,FALSE)</f>
        <v>NO</v>
      </c>
      <c r="AM622" s="60">
        <f>Table3[[#This Row],[TARGET]]/20</f>
        <v>0</v>
      </c>
      <c r="AN622" s="60">
        <v>600</v>
      </c>
      <c r="AO622" s="57"/>
      <c r="AP622" s="62"/>
      <c r="AQ622" s="62"/>
      <c r="AR622" s="62"/>
      <c r="AS622" s="62"/>
      <c r="AT622" s="63" t="str">
        <f>VLOOKUP(Table3[[#This Row],[ACTIVITY]],TAGS!$B:$R,17,FALSE)</f>
        <v>NO</v>
      </c>
      <c r="AU622" s="63"/>
      <c r="AV622" s="63"/>
      <c r="AW622" s="63"/>
      <c r="AX622" s="63"/>
      <c r="AY622" s="63"/>
      <c r="AZ622" s="63"/>
      <c r="BA622" s="63"/>
      <c r="BB622" s="63"/>
      <c r="BC622" s="63"/>
      <c r="BD622" s="63"/>
      <c r="BE622" s="63"/>
      <c r="BF622" s="63"/>
      <c r="BG622" s="63"/>
      <c r="BH622" s="63"/>
      <c r="BI622" s="63"/>
      <c r="BJ622" s="63"/>
      <c r="BK622" s="63"/>
      <c r="BL622" s="63"/>
      <c r="BM622" s="63"/>
    </row>
    <row r="623" spans="1:65">
      <c r="A623" s="54" t="str">
        <f>VLOOKUP(Table3[[#This Row],[OU]],OU!$A$15:$B$34,2,FALSE)</f>
        <v>RFOs</v>
      </c>
      <c r="B623" s="60" t="s">
        <v>436</v>
      </c>
      <c r="C623" s="60" t="s">
        <v>574</v>
      </c>
      <c r="D623" s="60"/>
      <c r="E623" s="60" t="s">
        <v>78</v>
      </c>
      <c r="F623" s="60"/>
      <c r="G62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2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23" s="61" t="e">
        <f>VLOOKUP(Table3[[#This Row],[PSGC]],DISTRICT!$D:$G,4,FALSE)</f>
        <v>#N/A</v>
      </c>
      <c r="J623" s="60" t="s">
        <v>585</v>
      </c>
      <c r="K623" s="51" t="str">
        <f>VLOOKUP(Table3[[#This Row],[SPECIFIC COMMODITY]],TAGS!$W$48:$X$53,2,FALSE)</f>
        <v>Multi_commodity</v>
      </c>
      <c r="L623" s="51" t="str">
        <f>VLOOKUP(Table3[[#This Row],[PREXC SUB-PROGRAM]],Table5[],2,FALSE)</f>
        <v>TECHNICAL AND SUPPORT SERVICES PROGRAM</v>
      </c>
      <c r="M623" s="51" t="str">
        <f>VLOOKUP(Table3[[#This Row],[COMMODITY PREXC SUB-PROGRAM]],TAGS!$U$54:$V$76,2,FALSE)</f>
        <v>ESETS</v>
      </c>
      <c r="N623" s="60" t="s">
        <v>592</v>
      </c>
      <c r="O623" s="54" t="str">
        <f>VLOOKUP(Table3[[#This Row],[PI LEVEL 3]],'PI LEVEL'!A:C,3,FALSE)</f>
        <v>Extension support activities conducted</v>
      </c>
      <c r="P623" s="54" t="str">
        <f>VLOOKUP(Table3[[#This Row],[PI LEVEL 3]],Table53729[[Performance Indicator Level 3]:[Performance Indicator Level 1]],2,FALSE)</f>
        <v>Extension support activities conducted</v>
      </c>
      <c r="Q623" s="54" t="str">
        <f>VLOOKUP(Table3[[#This Row],[ACTIVITY]],TAGS!B:P,2,FALSE)</f>
        <v>Other extension support activities conducted</v>
      </c>
      <c r="R623" s="60" t="s">
        <v>161</v>
      </c>
      <c r="S623" s="54" t="str">
        <f>VLOOKUP(Table3[[#This Row],[ACTIVITY]],TAGS!$B:$P,4,FALSE)</f>
        <v>Information, Education, and Communication Activities</v>
      </c>
      <c r="T623" s="54" t="str">
        <f>VLOOKUP(Table3[[#This Row],[ACTIVITY]],TAGS!$B:$P,5,FALSE)</f>
        <v>Information, Education, and Communication Activities</v>
      </c>
      <c r="U623" s="54" t="str">
        <f>VLOOKUP(Table3[[#This Row],[ACTIVITY]],TAGS!$B:$P,6,FALSE)</f>
        <v>Radio Plugs</v>
      </c>
      <c r="V623" s="54" t="str">
        <f>VLOOKUP(Table3[[#This Row],[ACTIVITY]],TAGS!$B:$P,7,FALSE)</f>
        <v>NO</v>
      </c>
      <c r="W623" s="54" t="str">
        <f>VLOOKUP(Table3[[#This Row],[ACTIVITY]],TAGS!$B:$P,8,FALSE)</f>
        <v>PAP</v>
      </c>
      <c r="X623" s="54" t="str">
        <f>VLOOKUP(Table3[[#This Row],[ACTIVITY]],TAGS!$B:$P,10,FALSE)</f>
        <v>PIP</v>
      </c>
      <c r="Y623" s="54" t="str">
        <f>VLOOKUP(Table3[[#This Row],[ACTIVITY]],TAGS!$B:$P,11,FALSE)</f>
        <v>PICS</v>
      </c>
      <c r="Z623" s="54" t="str">
        <f>VLOOKUP(Table3[[#This Row],[ACTIVITY]],TAGS!$B:$P,12,FALSE)</f>
        <v>Strategic Communication</v>
      </c>
      <c r="AA623" s="54" t="str">
        <f>VLOOKUP(Table3[[#This Row],[ACTIVITY]],TAGS!$B:$P,13,FALSE)</f>
        <v>18. Strategic Communications​</v>
      </c>
      <c r="AB623" s="54">
        <f>VLOOKUP(Table3[[#This Row],[ACTIVITY]],TAGS!$B:$P,14,FALSE)</f>
        <v>0</v>
      </c>
      <c r="AC623" s="54" t="str">
        <f>VLOOKUP(Table3[[#This Row],[ACTIVITY]],TAGS!$B:$P,15,FALSE)</f>
        <v>IEC</v>
      </c>
      <c r="AD623" s="54" t="str">
        <f>VLOOKUP(Table3[[#This Row],[PI LEVEL 3]],'PI LEVEL'!$A:$G,7,FALSE)</f>
        <v>DA-Level Output</v>
      </c>
      <c r="AE623" s="60"/>
      <c r="AF623" s="54" t="str">
        <f>VLOOKUP(Table3[[#This Row],[ACTIVITY]],TAGS!$B:$P,3,FALSE)</f>
        <v>no. of times aired</v>
      </c>
      <c r="AG623" s="60"/>
      <c r="AH623" s="54" t="e">
        <f>VLOOKUP(Table3[[#This Row],[MONTH]],TAGS!$W$67:$Y$81,2,FALSE)</f>
        <v>#N/A</v>
      </c>
      <c r="AI623" s="54" t="e">
        <f>VLOOKUP(Table3[[#This Row],[MONTH]],TAGS!$W$67:$Y$81,3,FALSE)</f>
        <v>#N/A</v>
      </c>
      <c r="AJ623" s="54" t="e">
        <f>VLOOKUP(Table3[[#This Row],[MONTH]],TAGS!$W$67:$Z$81,4,FALSE)</f>
        <v>#N/A</v>
      </c>
      <c r="AK623" s="60">
        <v>5</v>
      </c>
      <c r="AL623" s="54" t="str">
        <f>VLOOKUP(Table3[[#This Row],[ACTIVITY]],TAGS!$B:$R,16,FALSE)</f>
        <v>NO</v>
      </c>
      <c r="AM623" s="60">
        <f>Table3[[#This Row],[TARGET]]/20</f>
        <v>0.25</v>
      </c>
      <c r="AN623" s="60">
        <v>350</v>
      </c>
      <c r="AO623" s="57"/>
      <c r="AP623" s="62"/>
      <c r="AQ623" s="62"/>
      <c r="AR623" s="62"/>
      <c r="AS623" s="62"/>
      <c r="AT623" s="63" t="str">
        <f>VLOOKUP(Table3[[#This Row],[ACTIVITY]],TAGS!$B:$R,17,FALSE)</f>
        <v>NO</v>
      </c>
      <c r="AU623" s="63"/>
      <c r="AV623" s="63"/>
      <c r="AW623" s="63"/>
      <c r="AX623" s="63"/>
      <c r="AY623" s="63"/>
      <c r="AZ623" s="63"/>
      <c r="BA623" s="63"/>
      <c r="BB623" s="63"/>
      <c r="BC623" s="63"/>
      <c r="BD623" s="63"/>
      <c r="BE623" s="63"/>
      <c r="BF623" s="63"/>
      <c r="BG623" s="63"/>
      <c r="BH623" s="63"/>
      <c r="BI623" s="63"/>
      <c r="BJ623" s="63"/>
      <c r="BK623" s="63"/>
      <c r="BL623" s="63"/>
      <c r="BM623" s="63"/>
    </row>
    <row r="624" spans="1:65">
      <c r="A624" s="54" t="str">
        <f>VLOOKUP(Table3[[#This Row],[OU]],OU!$A$15:$B$34,2,FALSE)</f>
        <v>RFOs</v>
      </c>
      <c r="B624" s="60" t="s">
        <v>436</v>
      </c>
      <c r="C624" s="60" t="s">
        <v>574</v>
      </c>
      <c r="D624" s="60"/>
      <c r="E624" s="60" t="s">
        <v>43</v>
      </c>
      <c r="F624" s="60"/>
      <c r="G62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62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624" s="61" t="e">
        <f>VLOOKUP(Table3[[#This Row],[PSGC]],DISTRICT!$D:$G,4,FALSE)</f>
        <v>#N/A</v>
      </c>
      <c r="J624" s="60" t="s">
        <v>581</v>
      </c>
      <c r="K624" s="51" t="str">
        <f>VLOOKUP(Table3[[#This Row],[SPECIFIC COMMODITY]],TAGS!$W$48:$X$53,2,FALSE)</f>
        <v>Sorghum</v>
      </c>
      <c r="L624" s="51" t="str">
        <f>VLOOKUP(Table3[[#This Row],[PREXC SUB-PROGRAM]],Table5[],2,FALSE)</f>
        <v>TECHNICAL AND SUPPORT SERVICES PROGRAM</v>
      </c>
      <c r="M624" s="51" t="str">
        <f>VLOOKUP(Table3[[#This Row],[COMMODITY PREXC SUB-PROGRAM]],TAGS!$U$54:$V$76,2,FALSE)</f>
        <v>ESETS</v>
      </c>
      <c r="N624" s="60" t="s">
        <v>590</v>
      </c>
      <c r="O624" s="54" t="str">
        <f>VLOOKUP(Table3[[#This Row],[PI LEVEL 3]],'PI LEVEL'!A:C,3,FALSE)</f>
        <v>Technology demonstrations established/maintained</v>
      </c>
      <c r="P624" s="54" t="str">
        <f>VLOOKUP(Table3[[#This Row],[PI LEVEL 3]],Table53729[[Performance Indicator Level 3]:[Performance Indicator Level 1]],2,FALSE)</f>
        <v>Model Farms established</v>
      </c>
      <c r="Q624" s="54" t="str">
        <f>VLOOKUP(Table3[[#This Row],[ACTIVITY]],TAGS!B:P,2,FALSE)</f>
        <v>Model Farms established</v>
      </c>
      <c r="R624" s="60" t="s">
        <v>115</v>
      </c>
      <c r="S624" s="54" t="str">
        <f>VLOOKUP(Table3[[#This Row],[ACTIVITY]],TAGS!$B:$P,4,FALSE)</f>
        <v>Model Farm establishment</v>
      </c>
      <c r="T624" s="54" t="str">
        <f>VLOOKUP(Table3[[#This Row],[ACTIVITY]],TAGS!$B:$P,5,FALSE)</f>
        <v>Model farm</v>
      </c>
      <c r="U624" s="54" t="str">
        <f>VLOOKUP(Table3[[#This Row],[ACTIVITY]],TAGS!$B:$P,6,FALSE)</f>
        <v>Sorghum model farm</v>
      </c>
      <c r="V624" s="54" t="str">
        <f>VLOOKUP(Table3[[#This Row],[ACTIVITY]],TAGS!$B:$P,7,FALSE)</f>
        <v>YES</v>
      </c>
      <c r="W624" s="54" t="str">
        <f>VLOOKUP(Table3[[#This Row],[ACTIVITY]],TAGS!$B:$P,8,FALSE)</f>
        <v>PAP</v>
      </c>
      <c r="X624" s="54" t="str">
        <f>VLOOKUP(Table3[[#This Row],[ACTIVITY]],TAGS!$B:$P,10,FALSE)</f>
        <v>PIP</v>
      </c>
      <c r="Y624" s="54" t="str">
        <f>VLOOKUP(Table3[[#This Row],[ACTIVITY]],TAGS!$B:$P,11,FALSE)</f>
        <v>PICS</v>
      </c>
      <c r="Z624" s="54" t="str">
        <f>VLOOKUP(Table3[[#This Row],[ACTIVITY]],TAGS!$B:$P,12,FALSE)</f>
        <v>Consolidation</v>
      </c>
      <c r="AA624" s="54" t="str">
        <f>VLOOKUP(Table3[[#This Row],[ACTIVITY]],TAGS!$B:$P,13,FALSE)</f>
        <v>1. Bayanihan Agri Cluster</v>
      </c>
      <c r="AB624" s="54" t="str">
        <f>VLOOKUP(Table3[[#This Row],[ACTIVITY]],TAGS!$B:$P,14,FALSE)</f>
        <v>EXPAND AND IMPROVE AVAILABLE AGRI-FISHERY AREAS FOR INCREASED PRODUCTION</v>
      </c>
      <c r="AC624" s="54" t="str">
        <f>VLOOKUP(Table3[[#This Row],[ACTIVITY]],TAGS!$B:$P,15,FALSE)</f>
        <v>Farm Inputs</v>
      </c>
      <c r="AD624" s="54" t="str">
        <f>VLOOKUP(Table3[[#This Row],[PI LEVEL 3]],'PI LEVEL'!$A:$G,7,FALSE)</f>
        <v>DA-Level Output</v>
      </c>
      <c r="AE624" s="60"/>
      <c r="AF624" s="54" t="str">
        <f>VLOOKUP(Table3[[#This Row],[ACTIVITY]],TAGS!$B:$P,3,FALSE)</f>
        <v>number</v>
      </c>
      <c r="AG624" s="60"/>
      <c r="AH624" s="54" t="e">
        <f>VLOOKUP(Table3[[#This Row],[MONTH]],TAGS!$W$67:$Y$81,2,FALSE)</f>
        <v>#N/A</v>
      </c>
      <c r="AI624" s="54" t="e">
        <f>VLOOKUP(Table3[[#This Row],[MONTH]],TAGS!$W$67:$Y$81,3,FALSE)</f>
        <v>#N/A</v>
      </c>
      <c r="AJ624" s="54" t="e">
        <f>VLOOKUP(Table3[[#This Row],[MONTH]],TAGS!$W$67:$Z$81,4,FALSE)</f>
        <v>#N/A</v>
      </c>
      <c r="AK624" s="60">
        <v>1</v>
      </c>
      <c r="AL624" s="54" t="str">
        <f>VLOOKUP(Table3[[#This Row],[ACTIVITY]],TAGS!$B:$R,16,FALSE)</f>
        <v>YES</v>
      </c>
      <c r="AM624" s="60">
        <f>Table3[[#This Row],[TARGET]]/20</f>
        <v>0.05</v>
      </c>
      <c r="AN624" s="60">
        <v>280</v>
      </c>
      <c r="AO624" s="57"/>
      <c r="AP624" s="62"/>
      <c r="AQ624" s="62"/>
      <c r="AR624" s="62"/>
      <c r="AS624" s="62"/>
      <c r="AT624" s="63" t="str">
        <f>VLOOKUP(Table3[[#This Row],[ACTIVITY]],TAGS!$B:$R,17,FALSE)</f>
        <v>NO</v>
      </c>
      <c r="AU624" s="63"/>
      <c r="AV624" s="63"/>
      <c r="AW624" s="63"/>
      <c r="AX624" s="63"/>
      <c r="AY624" s="63"/>
      <c r="AZ624" s="63"/>
      <c r="BA624" s="63"/>
      <c r="BB624" s="63"/>
      <c r="BC624" s="63"/>
      <c r="BD624" s="63"/>
      <c r="BE624" s="63"/>
      <c r="BF624" s="63"/>
      <c r="BG624" s="63"/>
      <c r="BH624" s="63"/>
      <c r="BI624" s="63"/>
      <c r="BJ624" s="63"/>
      <c r="BK624" s="63"/>
      <c r="BL624" s="63"/>
      <c r="BM624" s="63"/>
    </row>
    <row r="625" spans="1:65">
      <c r="A625" s="54" t="str">
        <f>VLOOKUP(Table3[[#This Row],[OU]],OU!$A$15:$B$34,2,FALSE)</f>
        <v>RFOs</v>
      </c>
      <c r="B625" s="60" t="s">
        <v>436</v>
      </c>
      <c r="C625" s="60" t="s">
        <v>574</v>
      </c>
      <c r="D625" s="60"/>
      <c r="E625" s="60" t="s">
        <v>43</v>
      </c>
      <c r="F625" s="60"/>
      <c r="G62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62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625" s="61" t="e">
        <f>VLOOKUP(Table3[[#This Row],[PSGC]],DISTRICT!$D:$G,4,FALSE)</f>
        <v>#N/A</v>
      </c>
      <c r="J625" s="60" t="s">
        <v>581</v>
      </c>
      <c r="K625" s="51" t="str">
        <f>VLOOKUP(Table3[[#This Row],[SPECIFIC COMMODITY]],TAGS!$W$48:$X$53,2,FALSE)</f>
        <v>Sorghum</v>
      </c>
      <c r="L625" s="51" t="str">
        <f>VLOOKUP(Table3[[#This Row],[PREXC SUB-PROGRAM]],Table5[],2,FALSE)</f>
        <v>TECHNICAL AND SUPPORT SERVICES PROGRAM</v>
      </c>
      <c r="M625" s="51" t="str">
        <f>VLOOKUP(Table3[[#This Row],[COMMODITY PREXC SUB-PROGRAM]],TAGS!$U$54:$V$76,2,FALSE)</f>
        <v>ESETS</v>
      </c>
      <c r="N625" s="60" t="s">
        <v>590</v>
      </c>
      <c r="O625" s="54" t="str">
        <f>VLOOKUP(Table3[[#This Row],[PI LEVEL 3]],'PI LEVEL'!A:C,3,FALSE)</f>
        <v>Technology demonstrations established/maintained</v>
      </c>
      <c r="P625" s="54" t="str">
        <f>VLOOKUP(Table3[[#This Row],[PI LEVEL 3]],Table53729[[Performance Indicator Level 3]:[Performance Indicator Level 1]],2,FALSE)</f>
        <v>Techno demo established</v>
      </c>
      <c r="Q625" s="54" t="str">
        <f>VLOOKUP(Table3[[#This Row],[ACTIVITY]],TAGS!B:P,2,FALSE)</f>
        <v>Techno demo established</v>
      </c>
      <c r="R625" s="60" t="s">
        <v>117</v>
      </c>
      <c r="S625" s="54" t="str">
        <f>VLOOKUP(Table3[[#This Row],[ACTIVITY]],TAGS!$B:$P,4,FALSE)</f>
        <v>Techno Demo establishment</v>
      </c>
      <c r="T625" s="54" t="str">
        <f>VLOOKUP(Table3[[#This Row],[ACTIVITY]],TAGS!$B:$P,5,FALSE)</f>
        <v>Techno Demo</v>
      </c>
      <c r="U625" s="54" t="str">
        <f>VLOOKUP(Table3[[#This Row],[ACTIVITY]],TAGS!$B:$P,6,FALSE)</f>
        <v>Sorghum techno demo</v>
      </c>
      <c r="V625" s="54" t="str">
        <f>VLOOKUP(Table3[[#This Row],[ACTIVITY]],TAGS!$B:$P,7,FALSE)</f>
        <v>YES</v>
      </c>
      <c r="W625" s="54" t="str">
        <f>VLOOKUP(Table3[[#This Row],[ACTIVITY]],TAGS!$B:$P,8,FALSE)</f>
        <v>PAP</v>
      </c>
      <c r="X625" s="54" t="str">
        <f>VLOOKUP(Table3[[#This Row],[ACTIVITY]],TAGS!$B:$P,10,FALSE)</f>
        <v>PIP</v>
      </c>
      <c r="Y625" s="54" t="str">
        <f>VLOOKUP(Table3[[#This Row],[ACTIVITY]],TAGS!$B:$P,11,FALSE)</f>
        <v>PICS</v>
      </c>
      <c r="Z625" s="54" t="str">
        <f>VLOOKUP(Table3[[#This Row],[ACTIVITY]],TAGS!$B:$P,12,FALSE)</f>
        <v>Consolidation</v>
      </c>
      <c r="AA625" s="54" t="str">
        <f>VLOOKUP(Table3[[#This Row],[ACTIVITY]],TAGS!$B:$P,13,FALSE)</f>
        <v>1. Bayanihan Agri Cluster</v>
      </c>
      <c r="AB625" s="54" t="str">
        <f>VLOOKUP(Table3[[#This Row],[ACTIVITY]],TAGS!$B:$P,14,FALSE)</f>
        <v>EXPAND AND IMPROVE AVAILABLE AGRI-FISHERY AREAS FOR INCREASED PRODUCTION</v>
      </c>
      <c r="AC625" s="54" t="str">
        <f>VLOOKUP(Table3[[#This Row],[ACTIVITY]],TAGS!$B:$P,15,FALSE)</f>
        <v>Farm Inputs</v>
      </c>
      <c r="AD625" s="54" t="str">
        <f>VLOOKUP(Table3[[#This Row],[PI LEVEL 3]],'PI LEVEL'!$A:$G,7,FALSE)</f>
        <v>DA-Level Output</v>
      </c>
      <c r="AE625" s="60"/>
      <c r="AF625" s="54" t="str">
        <f>VLOOKUP(Table3[[#This Row],[ACTIVITY]],TAGS!$B:$P,3,FALSE)</f>
        <v>number</v>
      </c>
      <c r="AG625" s="60"/>
      <c r="AH625" s="54" t="e">
        <f>VLOOKUP(Table3[[#This Row],[MONTH]],TAGS!$W$67:$Y$81,2,FALSE)</f>
        <v>#N/A</v>
      </c>
      <c r="AI625" s="54" t="e">
        <f>VLOOKUP(Table3[[#This Row],[MONTH]],TAGS!$W$67:$Y$81,3,FALSE)</f>
        <v>#N/A</v>
      </c>
      <c r="AJ625" s="54" t="e">
        <f>VLOOKUP(Table3[[#This Row],[MONTH]],TAGS!$W$67:$Z$81,4,FALSE)</f>
        <v>#N/A</v>
      </c>
      <c r="AK625" s="60">
        <v>4</v>
      </c>
      <c r="AL625" s="54" t="str">
        <f>VLOOKUP(Table3[[#This Row],[ACTIVITY]],TAGS!$B:$R,16,FALSE)</f>
        <v>YES</v>
      </c>
      <c r="AM625" s="60">
        <f>Table3[[#This Row],[TARGET]]/20</f>
        <v>0.2</v>
      </c>
      <c r="AN625" s="60"/>
      <c r="AO625" s="57"/>
      <c r="AP625" s="62"/>
      <c r="AQ625" s="62"/>
      <c r="AR625" s="62"/>
      <c r="AS625" s="62"/>
      <c r="AT625" s="63" t="str">
        <f>VLOOKUP(Table3[[#This Row],[ACTIVITY]],TAGS!$B:$R,17,FALSE)</f>
        <v>NO</v>
      </c>
      <c r="AU625" s="63"/>
      <c r="AV625" s="63"/>
      <c r="AW625" s="63"/>
      <c r="AX625" s="63"/>
      <c r="AY625" s="63"/>
      <c r="AZ625" s="63"/>
      <c r="BA625" s="63"/>
      <c r="BB625" s="63"/>
      <c r="BC625" s="63"/>
      <c r="BD625" s="63"/>
      <c r="BE625" s="63"/>
      <c r="BF625" s="63"/>
      <c r="BG625" s="63"/>
      <c r="BH625" s="63"/>
      <c r="BI625" s="63"/>
      <c r="BJ625" s="63"/>
      <c r="BK625" s="63"/>
      <c r="BL625" s="63"/>
      <c r="BM625" s="63"/>
    </row>
    <row r="626" spans="1:65">
      <c r="A626" s="54" t="str">
        <f>VLOOKUP(Table3[[#This Row],[OU]],OU!$A$15:$B$34,2,FALSE)</f>
        <v>RFOs</v>
      </c>
      <c r="B626" s="60" t="s">
        <v>436</v>
      </c>
      <c r="C626" s="60" t="s">
        <v>574</v>
      </c>
      <c r="D626" s="60"/>
      <c r="E626" s="60" t="s">
        <v>78</v>
      </c>
      <c r="F626" s="60"/>
      <c r="G62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2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26" s="61" t="e">
        <f>VLOOKUP(Table3[[#This Row],[PSGC]],DISTRICT!$D:$G,4,FALSE)</f>
        <v>#N/A</v>
      </c>
      <c r="J626" s="60" t="s">
        <v>581</v>
      </c>
      <c r="K626" s="51" t="str">
        <f>VLOOKUP(Table3[[#This Row],[SPECIFIC COMMODITY]],TAGS!$W$48:$X$53,2,FALSE)</f>
        <v>Sorghum</v>
      </c>
      <c r="L626" s="51" t="str">
        <f>VLOOKUP(Table3[[#This Row],[PREXC SUB-PROGRAM]],Table5[],2,FALSE)</f>
        <v>TECHNICAL AND SUPPORT SERVICES PROGRAM</v>
      </c>
      <c r="M626" s="51" t="str">
        <f>VLOOKUP(Table3[[#This Row],[COMMODITY PREXC SUB-PROGRAM]],TAGS!$U$54:$V$76,2,FALSE)</f>
        <v>ESETS</v>
      </c>
      <c r="N626" s="60" t="s">
        <v>590</v>
      </c>
      <c r="O626" s="54" t="str">
        <f>VLOOKUP(Table3[[#This Row],[PI LEVEL 3]],'PI LEVEL'!A:C,3,FALSE)</f>
        <v>Technology demonstrations established/maintained</v>
      </c>
      <c r="P626" s="54" t="str">
        <f>VLOOKUP(Table3[[#This Row],[PI LEVEL 3]],Table53729[[Performance Indicator Level 3]:[Performance Indicator Level 1]],2,FALSE)</f>
        <v>Techno demo established</v>
      </c>
      <c r="Q626" s="54" t="str">
        <f>VLOOKUP(Table3[[#This Row],[ACTIVITY]],TAGS!B:P,2,FALSE)</f>
        <v>Techno demo established</v>
      </c>
      <c r="R626" s="60" t="s">
        <v>117</v>
      </c>
      <c r="S626" s="54" t="str">
        <f>VLOOKUP(Table3[[#This Row],[ACTIVITY]],TAGS!$B:$P,4,FALSE)</f>
        <v>Techno Demo establishment</v>
      </c>
      <c r="T626" s="54" t="str">
        <f>VLOOKUP(Table3[[#This Row],[ACTIVITY]],TAGS!$B:$P,5,FALSE)</f>
        <v>Techno Demo</v>
      </c>
      <c r="U626" s="54" t="str">
        <f>VLOOKUP(Table3[[#This Row],[ACTIVITY]],TAGS!$B:$P,6,FALSE)</f>
        <v>Sorghum techno demo</v>
      </c>
      <c r="V626" s="54" t="str">
        <f>VLOOKUP(Table3[[#This Row],[ACTIVITY]],TAGS!$B:$P,7,FALSE)</f>
        <v>YES</v>
      </c>
      <c r="W626" s="54" t="str">
        <f>VLOOKUP(Table3[[#This Row],[ACTIVITY]],TAGS!$B:$P,8,FALSE)</f>
        <v>PAP</v>
      </c>
      <c r="X626" s="54" t="str">
        <f>VLOOKUP(Table3[[#This Row],[ACTIVITY]],TAGS!$B:$P,10,FALSE)</f>
        <v>PIP</v>
      </c>
      <c r="Y626" s="54" t="str">
        <f>VLOOKUP(Table3[[#This Row],[ACTIVITY]],TAGS!$B:$P,11,FALSE)</f>
        <v>PICS</v>
      </c>
      <c r="Z626" s="54" t="str">
        <f>VLOOKUP(Table3[[#This Row],[ACTIVITY]],TAGS!$B:$P,12,FALSE)</f>
        <v>Consolidation</v>
      </c>
      <c r="AA626" s="54" t="str">
        <f>VLOOKUP(Table3[[#This Row],[ACTIVITY]],TAGS!$B:$P,13,FALSE)</f>
        <v>1. Bayanihan Agri Cluster</v>
      </c>
      <c r="AB626" s="54" t="str">
        <f>VLOOKUP(Table3[[#This Row],[ACTIVITY]],TAGS!$B:$P,14,FALSE)</f>
        <v>EXPAND AND IMPROVE AVAILABLE AGRI-FISHERY AREAS FOR INCREASED PRODUCTION</v>
      </c>
      <c r="AC626" s="54" t="str">
        <f>VLOOKUP(Table3[[#This Row],[ACTIVITY]],TAGS!$B:$P,15,FALSE)</f>
        <v>Farm Inputs</v>
      </c>
      <c r="AD626" s="54" t="str">
        <f>VLOOKUP(Table3[[#This Row],[PI LEVEL 3]],'PI LEVEL'!$A:$G,7,FALSE)</f>
        <v>DA-Level Output</v>
      </c>
      <c r="AE626" s="60"/>
      <c r="AF626" s="54" t="str">
        <f>VLOOKUP(Table3[[#This Row],[ACTIVITY]],TAGS!$B:$P,3,FALSE)</f>
        <v>number</v>
      </c>
      <c r="AG626" s="60"/>
      <c r="AH626" s="54" t="e">
        <f>VLOOKUP(Table3[[#This Row],[MONTH]],TAGS!$W$67:$Y$81,2,FALSE)</f>
        <v>#N/A</v>
      </c>
      <c r="AI626" s="54" t="e">
        <f>VLOOKUP(Table3[[#This Row],[MONTH]],TAGS!$W$67:$Y$81,3,FALSE)</f>
        <v>#N/A</v>
      </c>
      <c r="AJ626" s="54" t="e">
        <f>VLOOKUP(Table3[[#This Row],[MONTH]],TAGS!$W$67:$Z$81,4,FALSE)</f>
        <v>#N/A</v>
      </c>
      <c r="AK626" s="60"/>
      <c r="AL626" s="54" t="str">
        <f>VLOOKUP(Table3[[#This Row],[ACTIVITY]],TAGS!$B:$R,16,FALSE)</f>
        <v>YES</v>
      </c>
      <c r="AM626" s="60">
        <f>Table3[[#This Row],[TARGET]]/20</f>
        <v>0</v>
      </c>
      <c r="AN626" s="60">
        <v>160</v>
      </c>
      <c r="AO626" s="57"/>
      <c r="AP626" s="62"/>
      <c r="AQ626" s="62"/>
      <c r="AR626" s="62"/>
      <c r="AS626" s="62"/>
      <c r="AT626" s="63" t="str">
        <f>VLOOKUP(Table3[[#This Row],[ACTIVITY]],TAGS!$B:$R,17,FALSE)</f>
        <v>NO</v>
      </c>
      <c r="AU626" s="63"/>
      <c r="AV626" s="63"/>
      <c r="AW626" s="63"/>
      <c r="AX626" s="63"/>
      <c r="AY626" s="63"/>
      <c r="AZ626" s="63"/>
      <c r="BA626" s="63"/>
      <c r="BB626" s="63"/>
      <c r="BC626" s="63"/>
      <c r="BD626" s="63"/>
      <c r="BE626" s="63"/>
      <c r="BF626" s="63"/>
      <c r="BG626" s="63"/>
      <c r="BH626" s="63"/>
      <c r="BI626" s="63"/>
      <c r="BJ626" s="63"/>
      <c r="BK626" s="63"/>
      <c r="BL626" s="63"/>
      <c r="BM626" s="63"/>
    </row>
    <row r="627" spans="1:65">
      <c r="A627" s="54" t="str">
        <f>VLOOKUP(Table3[[#This Row],[OU]],OU!$A$15:$B$34,2,FALSE)</f>
        <v>RFOs</v>
      </c>
      <c r="B627" s="60" t="s">
        <v>436</v>
      </c>
      <c r="C627" s="60" t="s">
        <v>574</v>
      </c>
      <c r="D627" s="60"/>
      <c r="E627" s="60" t="s">
        <v>78</v>
      </c>
      <c r="F627" s="60"/>
      <c r="G62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2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27" s="61" t="e">
        <f>VLOOKUP(Table3[[#This Row],[PSGC]],DISTRICT!$D:$G,4,FALSE)</f>
        <v>#N/A</v>
      </c>
      <c r="J627" s="60" t="s">
        <v>581</v>
      </c>
      <c r="K627" s="51" t="str">
        <f>VLOOKUP(Table3[[#This Row],[SPECIFIC COMMODITY]],TAGS!$W$48:$X$53,2,FALSE)</f>
        <v>Sorghum</v>
      </c>
      <c r="L627" s="51" t="str">
        <f>VLOOKUP(Table3[[#This Row],[PREXC SUB-PROGRAM]],Table5[],2,FALSE)</f>
        <v>TECHNICAL AND SUPPORT SERVICES PROGRAM</v>
      </c>
      <c r="M627" s="51" t="str">
        <f>VLOOKUP(Table3[[#This Row],[COMMODITY PREXC SUB-PROGRAM]],TAGS!$U$54:$V$76,2,FALSE)</f>
        <v>ESETS</v>
      </c>
      <c r="N627" s="60" t="s">
        <v>590</v>
      </c>
      <c r="O627" s="54" t="str">
        <f>VLOOKUP(Table3[[#This Row],[PI LEVEL 3]],'PI LEVEL'!A:C,3,FALSE)</f>
        <v>Training conducted</v>
      </c>
      <c r="P627" s="54" t="str">
        <f>VLOOKUP(Table3[[#This Row],[PI LEVEL 3]],Table53729[[Performance Indicator Level 3]:[Performance Indicator Level 1]],2,FALSE)</f>
        <v>Other training conducted</v>
      </c>
      <c r="Q627" s="54" t="str">
        <f>VLOOKUP(Table3[[#This Row],[ACTIVITY]],TAGS!B:P,2,FALSE)</f>
        <v>Other training conducted_Farmers/Fisherfolk/Other External Participants</v>
      </c>
      <c r="R627" s="60" t="s">
        <v>153</v>
      </c>
      <c r="S627" s="54" t="str">
        <f>VLOOKUP(Table3[[#This Row],[ACTIVITY]],TAGS!$B:$P,4,FALSE)</f>
        <v>Trainings</v>
      </c>
      <c r="T627" s="54" t="str">
        <f>VLOOKUP(Table3[[#This Row],[ACTIVITY]],TAGS!$B:$P,5,FALSE)</f>
        <v>Trainings</v>
      </c>
      <c r="U627" s="54" t="str">
        <f>VLOOKUP(Table3[[#This Row],[ACTIVITY]],TAGS!$B:$P,6,FALSE)</f>
        <v>Sorghum Production Training </v>
      </c>
      <c r="V627" s="54" t="str">
        <f>VLOOKUP(Table3[[#This Row],[ACTIVITY]],TAGS!$B:$P,7,FALSE)</f>
        <v>NO</v>
      </c>
      <c r="W627" s="54" t="str">
        <f>VLOOKUP(Table3[[#This Row],[ACTIVITY]],TAGS!$B:$P,8,FALSE)</f>
        <v>PAP</v>
      </c>
      <c r="X627" s="54" t="str">
        <f>VLOOKUP(Table3[[#This Row],[ACTIVITY]],TAGS!$B:$P,10,FALSE)</f>
        <v>PIP</v>
      </c>
      <c r="Y627" s="54" t="str">
        <f>VLOOKUP(Table3[[#This Row],[ACTIVITY]],TAGS!$B:$P,11,FALSE)</f>
        <v>PICS</v>
      </c>
      <c r="Z627" s="54" t="str">
        <f>VLOOKUP(Table3[[#This Row],[ACTIVITY]],TAGS!$B:$P,12,FALSE)</f>
        <v>Consolidation</v>
      </c>
      <c r="AA627" s="54" t="str">
        <f>VLOOKUP(Table3[[#This Row],[ACTIVITY]],TAGS!$B:$P,13,FALSE)</f>
        <v>1. Bayanihan Agri Cluster</v>
      </c>
      <c r="AB627" s="54" t="str">
        <f>VLOOKUP(Table3[[#This Row],[ACTIVITY]],TAGS!$B:$P,14,FALSE)</f>
        <v>EXPAND AND IMPROVE AVAILABLE AGRI-FISHERY AREAS FOR INCREASED PRODUCTION</v>
      </c>
      <c r="AC627" s="54" t="str">
        <f>VLOOKUP(Table3[[#This Row],[ACTIVITY]],TAGS!$B:$P,15,FALSE)</f>
        <v>Capacity Building</v>
      </c>
      <c r="AD627" s="54" t="str">
        <f>VLOOKUP(Table3[[#This Row],[PI LEVEL 3]],'PI LEVEL'!$A:$G,7,FALSE)</f>
        <v>PREXC/DA-Level Output</v>
      </c>
      <c r="AE627" s="60"/>
      <c r="AF627" s="54" t="str">
        <f>VLOOKUP(Table3[[#This Row],[ACTIVITY]],TAGS!$B:$P,3,FALSE)</f>
        <v>number</v>
      </c>
      <c r="AG627" s="60"/>
      <c r="AH627" s="54" t="e">
        <f>VLOOKUP(Table3[[#This Row],[MONTH]],TAGS!$W$67:$Y$81,2,FALSE)</f>
        <v>#N/A</v>
      </c>
      <c r="AI627" s="54" t="e">
        <f>VLOOKUP(Table3[[#This Row],[MONTH]],TAGS!$W$67:$Y$81,3,FALSE)</f>
        <v>#N/A</v>
      </c>
      <c r="AJ627" s="54" t="e">
        <f>VLOOKUP(Table3[[#This Row],[MONTH]],TAGS!$W$67:$Z$81,4,FALSE)</f>
        <v>#N/A</v>
      </c>
      <c r="AK627" s="60">
        <v>4</v>
      </c>
      <c r="AL627" s="54" t="str">
        <f>VLOOKUP(Table3[[#This Row],[ACTIVITY]],TAGS!$B:$R,16,FALSE)</f>
        <v>NO</v>
      </c>
      <c r="AM627" s="60">
        <f>Table3[[#This Row],[TARGET]]/20</f>
        <v>0.2</v>
      </c>
      <c r="AN627" s="60">
        <v>140</v>
      </c>
      <c r="AO627" s="57">
        <v>120</v>
      </c>
      <c r="AP627" s="62"/>
      <c r="AQ627" s="62"/>
      <c r="AR627" s="62"/>
      <c r="AS627" s="62"/>
      <c r="AT627" s="63" t="str">
        <f>VLOOKUP(Table3[[#This Row],[ACTIVITY]],TAGS!$B:$R,17,FALSE)</f>
        <v>NO</v>
      </c>
      <c r="AU627" s="63"/>
      <c r="AV627" s="63"/>
      <c r="AW627" s="63"/>
      <c r="AX627" s="63"/>
      <c r="AY627" s="63"/>
      <c r="AZ627" s="63"/>
      <c r="BA627" s="63"/>
      <c r="BB627" s="63"/>
      <c r="BC627" s="63"/>
      <c r="BD627" s="63"/>
      <c r="BE627" s="63"/>
      <c r="BF627" s="63"/>
      <c r="BG627" s="63"/>
      <c r="BH627" s="63"/>
      <c r="BI627" s="63"/>
      <c r="BJ627" s="63"/>
      <c r="BK627" s="63"/>
      <c r="BL627" s="63"/>
      <c r="BM627" s="63"/>
    </row>
    <row r="628" spans="1:65">
      <c r="A628" s="54" t="str">
        <f>VLOOKUP(Table3[[#This Row],[OU]],OU!$A$15:$B$34,2,FALSE)</f>
        <v>RFOs</v>
      </c>
      <c r="B628" s="60" t="s">
        <v>436</v>
      </c>
      <c r="C628" s="60" t="s">
        <v>574</v>
      </c>
      <c r="D628" s="60"/>
      <c r="E628" s="60" t="s">
        <v>78</v>
      </c>
      <c r="F628" s="60"/>
      <c r="G62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2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28" s="61" t="e">
        <f>VLOOKUP(Table3[[#This Row],[PSGC]],DISTRICT!$D:$G,4,FALSE)</f>
        <v>#N/A</v>
      </c>
      <c r="J628" s="60" t="s">
        <v>581</v>
      </c>
      <c r="K628" s="51" t="str">
        <f>VLOOKUP(Table3[[#This Row],[SPECIFIC COMMODITY]],TAGS!$W$48:$X$53,2,FALSE)</f>
        <v>Sorghum</v>
      </c>
      <c r="L628" s="51" t="str">
        <f>VLOOKUP(Table3[[#This Row],[PREXC SUB-PROGRAM]],Table5[],2,FALSE)</f>
        <v>TECHNICAL AND SUPPORT SERVICES PROGRAM</v>
      </c>
      <c r="M628" s="51" t="str">
        <f>VLOOKUP(Table3[[#This Row],[COMMODITY PREXC SUB-PROGRAM]],TAGS!$U$54:$V$76,2,FALSE)</f>
        <v>ESETS</v>
      </c>
      <c r="N628" s="60" t="s">
        <v>590</v>
      </c>
      <c r="O628" s="54" t="str">
        <f>VLOOKUP(Table3[[#This Row],[PI LEVEL 3]],'PI LEVEL'!A:C,3,FALSE)</f>
        <v>Knowledge Products disseminated</v>
      </c>
      <c r="P628" s="54" t="str">
        <f>VLOOKUP(Table3[[#This Row],[PI LEVEL 3]],Table53729[[Performance Indicator Level 3]:[Performance Indicator Level 1]],2,FALSE)</f>
        <v>Knowledge Products disseminated</v>
      </c>
      <c r="Q628" s="54" t="str">
        <f>VLOOKUP(Table3[[#This Row],[ACTIVITY]],TAGS!B:P,2,FALSE)</f>
        <v>Knowledge Products disseminated</v>
      </c>
      <c r="R628" s="60" t="s">
        <v>155</v>
      </c>
      <c r="S628" s="54" t="str">
        <f>VLOOKUP(Table3[[#This Row],[ACTIVITY]],TAGS!$B:$P,4,FALSE)</f>
        <v>Information, Education, and Communication Activities</v>
      </c>
      <c r="T628" s="54" t="str">
        <f>VLOOKUP(Table3[[#This Row],[ACTIVITY]],TAGS!$B:$P,5,FALSE)</f>
        <v>Information, Education, and Communication Activities</v>
      </c>
      <c r="U628" s="54" t="str">
        <f>VLOOKUP(Table3[[#This Row],[ACTIVITY]],TAGS!$B:$P,6,FALSE)</f>
        <v>IEC materials</v>
      </c>
      <c r="V628" s="54" t="str">
        <f>VLOOKUP(Table3[[#This Row],[ACTIVITY]],TAGS!$B:$P,7,FALSE)</f>
        <v>NO</v>
      </c>
      <c r="W628" s="54" t="str">
        <f>VLOOKUP(Table3[[#This Row],[ACTIVITY]],TAGS!$B:$P,8,FALSE)</f>
        <v>PAP</v>
      </c>
      <c r="X628" s="54" t="str">
        <f>VLOOKUP(Table3[[#This Row],[ACTIVITY]],TAGS!$B:$P,10,FALSE)</f>
        <v>PIP</v>
      </c>
      <c r="Y628" s="54" t="str">
        <f>VLOOKUP(Table3[[#This Row],[ACTIVITY]],TAGS!$B:$P,11,FALSE)</f>
        <v>PICS</v>
      </c>
      <c r="Z628" s="54" t="str">
        <f>VLOOKUP(Table3[[#This Row],[ACTIVITY]],TAGS!$B:$P,12,FALSE)</f>
        <v>Strategic Communication</v>
      </c>
      <c r="AA628" s="54" t="str">
        <f>VLOOKUP(Table3[[#This Row],[ACTIVITY]],TAGS!$B:$P,13,FALSE)</f>
        <v>18. Strategic Communications​</v>
      </c>
      <c r="AB628" s="54">
        <f>VLOOKUP(Table3[[#This Row],[ACTIVITY]],TAGS!$B:$P,14,FALSE)</f>
        <v>0</v>
      </c>
      <c r="AC628" s="54" t="str">
        <f>VLOOKUP(Table3[[#This Row],[ACTIVITY]],TAGS!$B:$P,15,FALSE)</f>
        <v>IEC</v>
      </c>
      <c r="AD628" s="54" t="str">
        <f>VLOOKUP(Table3[[#This Row],[PI LEVEL 3]],'PI LEVEL'!$A:$G,7,FALSE)</f>
        <v>DA-Level Output</v>
      </c>
      <c r="AE628" s="60"/>
      <c r="AF628" s="54" t="str">
        <f>VLOOKUP(Table3[[#This Row],[ACTIVITY]],TAGS!$B:$P,3,FALSE)</f>
        <v>Print disseminated</v>
      </c>
      <c r="AG628" s="60"/>
      <c r="AH628" s="54" t="e">
        <f>VLOOKUP(Table3[[#This Row],[MONTH]],TAGS!$W$67:$Y$81,2,FALSE)</f>
        <v>#N/A</v>
      </c>
      <c r="AI628" s="54" t="e">
        <f>VLOOKUP(Table3[[#This Row],[MONTH]],TAGS!$W$67:$Y$81,3,FALSE)</f>
        <v>#N/A</v>
      </c>
      <c r="AJ628" s="54" t="e">
        <f>VLOOKUP(Table3[[#This Row],[MONTH]],TAGS!$W$67:$Z$81,4,FALSE)</f>
        <v>#N/A</v>
      </c>
      <c r="AK628" s="60">
        <v>200</v>
      </c>
      <c r="AL628" s="54" t="str">
        <f>VLOOKUP(Table3[[#This Row],[ACTIVITY]],TAGS!$B:$R,16,FALSE)</f>
        <v>NO</v>
      </c>
      <c r="AM628" s="60">
        <f>Table3[[#This Row],[TARGET]]/20</f>
        <v>10</v>
      </c>
      <c r="AN628" s="60">
        <v>50</v>
      </c>
      <c r="AO628" s="57"/>
      <c r="AP628" s="62"/>
      <c r="AQ628" s="62"/>
      <c r="AR628" s="62"/>
      <c r="AS628" s="62"/>
      <c r="AT628" s="63" t="str">
        <f>VLOOKUP(Table3[[#This Row],[ACTIVITY]],TAGS!$B:$R,17,FALSE)</f>
        <v>NO</v>
      </c>
      <c r="AU628" s="63"/>
      <c r="AV628" s="63"/>
      <c r="AW628" s="63"/>
      <c r="AX628" s="63"/>
      <c r="AY628" s="63"/>
      <c r="AZ628" s="63"/>
      <c r="BA628" s="63"/>
      <c r="BB628" s="63"/>
      <c r="BC628" s="63"/>
      <c r="BD628" s="63"/>
      <c r="BE628" s="63"/>
      <c r="BF628" s="63"/>
      <c r="BG628" s="63"/>
      <c r="BH628" s="63"/>
      <c r="BI628" s="63"/>
      <c r="BJ628" s="63"/>
      <c r="BK628" s="63"/>
      <c r="BL628" s="63"/>
      <c r="BM628" s="63"/>
    </row>
    <row r="629" spans="1:65">
      <c r="A629" s="54" t="str">
        <f>VLOOKUP(Table3[[#This Row],[OU]],OU!$A$15:$B$34,2,FALSE)</f>
        <v>RFOs</v>
      </c>
      <c r="B629" s="60" t="s">
        <v>436</v>
      </c>
      <c r="C629" s="60" t="s">
        <v>574</v>
      </c>
      <c r="D629" s="60"/>
      <c r="E629" s="60" t="s">
        <v>43</v>
      </c>
      <c r="F629" s="60"/>
      <c r="G62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62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629" s="61" t="e">
        <f>VLOOKUP(Table3[[#This Row],[PSGC]],DISTRICT!$D:$G,4,FALSE)</f>
        <v>#N/A</v>
      </c>
      <c r="J629" s="60" t="s">
        <v>583</v>
      </c>
      <c r="K629" s="51" t="str">
        <f>VLOOKUP(Table3[[#This Row],[SPECIFIC COMMODITY]],TAGS!$W$48:$X$53,2,FALSE)</f>
        <v>Soybean</v>
      </c>
      <c r="L629" s="51" t="str">
        <f>VLOOKUP(Table3[[#This Row],[PREXC SUB-PROGRAM]],Table5[],2,FALSE)</f>
        <v>TECHNICAL AND SUPPORT SERVICES PROGRAM</v>
      </c>
      <c r="M629" s="51" t="str">
        <f>VLOOKUP(Table3[[#This Row],[COMMODITY PREXC SUB-PROGRAM]],TAGS!$U$54:$V$76,2,FALSE)</f>
        <v>ESETS</v>
      </c>
      <c r="N629" s="60" t="s">
        <v>591</v>
      </c>
      <c r="O629" s="54" t="str">
        <f>VLOOKUP(Table3[[#This Row],[PI LEVEL 3]],'PI LEVEL'!A:C,3,FALSE)</f>
        <v>Technology demonstrations established/maintained</v>
      </c>
      <c r="P629" s="54" t="str">
        <f>VLOOKUP(Table3[[#This Row],[PI LEVEL 3]],Table53729[[Performance Indicator Level 3]:[Performance Indicator Level 1]],2,FALSE)</f>
        <v>Model Farms established</v>
      </c>
      <c r="Q629" s="54" t="str">
        <f>VLOOKUP(Table3[[#This Row],[ACTIVITY]],TAGS!B:P,2,FALSE)</f>
        <v>Model Farms established</v>
      </c>
      <c r="R629" s="60" t="s">
        <v>119</v>
      </c>
      <c r="S629" s="54" t="str">
        <f>VLOOKUP(Table3[[#This Row],[ACTIVITY]],TAGS!$B:$P,4,FALSE)</f>
        <v>Model Farm establishment</v>
      </c>
      <c r="T629" s="54" t="str">
        <f>VLOOKUP(Table3[[#This Row],[ACTIVITY]],TAGS!$B:$P,5,FALSE)</f>
        <v>Model farm</v>
      </c>
      <c r="U629" s="54" t="str">
        <f>VLOOKUP(Table3[[#This Row],[ACTIVITY]],TAGS!$B:$P,6,FALSE)</f>
        <v>Soybean model farm</v>
      </c>
      <c r="V629" s="54" t="str">
        <f>VLOOKUP(Table3[[#This Row],[ACTIVITY]],TAGS!$B:$P,7,FALSE)</f>
        <v>YES</v>
      </c>
      <c r="W629" s="54" t="str">
        <f>VLOOKUP(Table3[[#This Row],[ACTIVITY]],TAGS!$B:$P,8,FALSE)</f>
        <v>PAP</v>
      </c>
      <c r="X629" s="54" t="str">
        <f>VLOOKUP(Table3[[#This Row],[ACTIVITY]],TAGS!$B:$P,10,FALSE)</f>
        <v>PIP</v>
      </c>
      <c r="Y629" s="54" t="str">
        <f>VLOOKUP(Table3[[#This Row],[ACTIVITY]],TAGS!$B:$P,11,FALSE)</f>
        <v>PICS</v>
      </c>
      <c r="Z629" s="54" t="str">
        <f>VLOOKUP(Table3[[#This Row],[ACTIVITY]],TAGS!$B:$P,12,FALSE)</f>
        <v>Consolidation</v>
      </c>
      <c r="AA629" s="54" t="str">
        <f>VLOOKUP(Table3[[#This Row],[ACTIVITY]],TAGS!$B:$P,13,FALSE)</f>
        <v>1. Bayanihan Agri Cluster</v>
      </c>
      <c r="AB629" s="54" t="str">
        <f>VLOOKUP(Table3[[#This Row],[ACTIVITY]],TAGS!$B:$P,14,FALSE)</f>
        <v>EXPAND AND IMPROVE AVAILABLE AGRI-FISHERY AREAS FOR INCREASED PRODUCTION</v>
      </c>
      <c r="AC629" s="54" t="str">
        <f>VLOOKUP(Table3[[#This Row],[ACTIVITY]],TAGS!$B:$P,15,FALSE)</f>
        <v>Farm Inputs</v>
      </c>
      <c r="AD629" s="54" t="str">
        <f>VLOOKUP(Table3[[#This Row],[PI LEVEL 3]],'PI LEVEL'!$A:$G,7,FALSE)</f>
        <v>DA-Level Output</v>
      </c>
      <c r="AE629" s="60"/>
      <c r="AF629" s="54" t="str">
        <f>VLOOKUP(Table3[[#This Row],[ACTIVITY]],TAGS!$B:$P,3,FALSE)</f>
        <v>number</v>
      </c>
      <c r="AG629" s="60"/>
      <c r="AH629" s="54" t="e">
        <f>VLOOKUP(Table3[[#This Row],[MONTH]],TAGS!$W$67:$Y$81,2,FALSE)</f>
        <v>#N/A</v>
      </c>
      <c r="AI629" s="54" t="e">
        <f>VLOOKUP(Table3[[#This Row],[MONTH]],TAGS!$W$67:$Y$81,3,FALSE)</f>
        <v>#N/A</v>
      </c>
      <c r="AJ629" s="54" t="e">
        <f>VLOOKUP(Table3[[#This Row],[MONTH]],TAGS!$W$67:$Z$81,4,FALSE)</f>
        <v>#N/A</v>
      </c>
      <c r="AK629" s="60">
        <v>1</v>
      </c>
      <c r="AL629" s="54" t="str">
        <f>VLOOKUP(Table3[[#This Row],[ACTIVITY]],TAGS!$B:$R,16,FALSE)</f>
        <v>YES</v>
      </c>
      <c r="AM629" s="60">
        <f>Table3[[#This Row],[TARGET]]/20</f>
        <v>0.05</v>
      </c>
      <c r="AN629" s="60">
        <v>330</v>
      </c>
      <c r="AO629" s="57"/>
      <c r="AP629" s="62"/>
      <c r="AQ629" s="62"/>
      <c r="AR629" s="62"/>
      <c r="AS629" s="62"/>
      <c r="AT629" s="63" t="str">
        <f>VLOOKUP(Table3[[#This Row],[ACTIVITY]],TAGS!$B:$R,17,FALSE)</f>
        <v>NO</v>
      </c>
      <c r="AU629" s="63"/>
      <c r="AV629" s="63"/>
      <c r="AW629" s="63"/>
      <c r="AX629" s="63"/>
      <c r="AY629" s="63"/>
      <c r="AZ629" s="63"/>
      <c r="BA629" s="63"/>
      <c r="BB629" s="63"/>
      <c r="BC629" s="63"/>
      <c r="BD629" s="63"/>
      <c r="BE629" s="63"/>
      <c r="BF629" s="63"/>
      <c r="BG629" s="63"/>
      <c r="BH629" s="63"/>
      <c r="BI629" s="63"/>
      <c r="BJ629" s="63"/>
      <c r="BK629" s="63"/>
      <c r="BL629" s="63"/>
      <c r="BM629" s="63"/>
    </row>
    <row r="630" spans="1:65">
      <c r="A630" s="54" t="str">
        <f>VLOOKUP(Table3[[#This Row],[OU]],OU!$A$15:$B$34,2,FALSE)</f>
        <v>RFOs</v>
      </c>
      <c r="B630" s="60" t="s">
        <v>436</v>
      </c>
      <c r="C630" s="60" t="s">
        <v>574</v>
      </c>
      <c r="D630" s="60"/>
      <c r="E630" s="60" t="s">
        <v>78</v>
      </c>
      <c r="F630" s="60"/>
      <c r="G63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3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30" s="61" t="e">
        <f>VLOOKUP(Table3[[#This Row],[PSGC]],DISTRICT!$D:$G,4,FALSE)</f>
        <v>#N/A</v>
      </c>
      <c r="J630" s="60" t="s">
        <v>583</v>
      </c>
      <c r="K630" s="51" t="str">
        <f>VLOOKUP(Table3[[#This Row],[SPECIFIC COMMODITY]],TAGS!$W$48:$X$53,2,FALSE)</f>
        <v>Soybean</v>
      </c>
      <c r="L630" s="51" t="str">
        <f>VLOOKUP(Table3[[#This Row],[PREXC SUB-PROGRAM]],Table5[],2,FALSE)</f>
        <v>TECHNICAL AND SUPPORT SERVICES PROGRAM</v>
      </c>
      <c r="M630" s="51" t="str">
        <f>VLOOKUP(Table3[[#This Row],[COMMODITY PREXC SUB-PROGRAM]],TAGS!$U$54:$V$76,2,FALSE)</f>
        <v>ESETS</v>
      </c>
      <c r="N630" s="60" t="s">
        <v>591</v>
      </c>
      <c r="O630" s="54" t="str">
        <f>VLOOKUP(Table3[[#This Row],[PI LEVEL 3]],'PI LEVEL'!A:C,3,FALSE)</f>
        <v>Technology demonstrations established/maintained</v>
      </c>
      <c r="P630" s="54" t="str">
        <f>VLOOKUP(Table3[[#This Row],[PI LEVEL 3]],Table53729[[Performance Indicator Level 3]:[Performance Indicator Level 1]],2,FALSE)</f>
        <v>Techno demo established</v>
      </c>
      <c r="Q630" s="54" t="str">
        <f>VLOOKUP(Table3[[#This Row],[ACTIVITY]],TAGS!B:P,2,FALSE)</f>
        <v>Techno demo established</v>
      </c>
      <c r="R630" s="60" t="s">
        <v>121</v>
      </c>
      <c r="S630" s="54" t="str">
        <f>VLOOKUP(Table3[[#This Row],[ACTIVITY]],TAGS!$B:$P,4,FALSE)</f>
        <v>Techno Demo establishment</v>
      </c>
      <c r="T630" s="54" t="str">
        <f>VLOOKUP(Table3[[#This Row],[ACTIVITY]],TAGS!$B:$P,5,FALSE)</f>
        <v>Techno Demo</v>
      </c>
      <c r="U630" s="54" t="str">
        <f>VLOOKUP(Table3[[#This Row],[ACTIVITY]],TAGS!$B:$P,6,FALSE)</f>
        <v>Soybean techno demo</v>
      </c>
      <c r="V630" s="54" t="str">
        <f>VLOOKUP(Table3[[#This Row],[ACTIVITY]],TAGS!$B:$P,7,FALSE)</f>
        <v>YES</v>
      </c>
      <c r="W630" s="54" t="str">
        <f>VLOOKUP(Table3[[#This Row],[ACTIVITY]],TAGS!$B:$P,8,FALSE)</f>
        <v>PAP</v>
      </c>
      <c r="X630" s="54" t="str">
        <f>VLOOKUP(Table3[[#This Row],[ACTIVITY]],TAGS!$B:$P,10,FALSE)</f>
        <v>PIP</v>
      </c>
      <c r="Y630" s="54" t="str">
        <f>VLOOKUP(Table3[[#This Row],[ACTIVITY]],TAGS!$B:$P,11,FALSE)</f>
        <v>PICS</v>
      </c>
      <c r="Z630" s="54" t="str">
        <f>VLOOKUP(Table3[[#This Row],[ACTIVITY]],TAGS!$B:$P,12,FALSE)</f>
        <v>Consolidation</v>
      </c>
      <c r="AA630" s="54" t="str">
        <f>VLOOKUP(Table3[[#This Row],[ACTIVITY]],TAGS!$B:$P,13,FALSE)</f>
        <v>1. Bayanihan Agri Cluster</v>
      </c>
      <c r="AB630" s="54" t="str">
        <f>VLOOKUP(Table3[[#This Row],[ACTIVITY]],TAGS!$B:$P,14,FALSE)</f>
        <v>EXPAND AND IMPROVE AVAILABLE AGRI-FISHERY AREAS FOR INCREASED PRODUCTION</v>
      </c>
      <c r="AC630" s="54" t="str">
        <f>VLOOKUP(Table3[[#This Row],[ACTIVITY]],TAGS!$B:$P,15,FALSE)</f>
        <v>Farm Inputs</v>
      </c>
      <c r="AD630" s="54" t="str">
        <f>VLOOKUP(Table3[[#This Row],[PI LEVEL 3]],'PI LEVEL'!$A:$G,7,FALSE)</f>
        <v>DA-Level Output</v>
      </c>
      <c r="AE630" s="60"/>
      <c r="AF630" s="54" t="str">
        <f>VLOOKUP(Table3[[#This Row],[ACTIVITY]],TAGS!$B:$P,3,FALSE)</f>
        <v>number</v>
      </c>
      <c r="AG630" s="60"/>
      <c r="AH630" s="54" t="e">
        <f>VLOOKUP(Table3[[#This Row],[MONTH]],TAGS!$W$67:$Y$81,2,FALSE)</f>
        <v>#N/A</v>
      </c>
      <c r="AI630" s="54" t="e">
        <f>VLOOKUP(Table3[[#This Row],[MONTH]],TAGS!$W$67:$Y$81,3,FALSE)</f>
        <v>#N/A</v>
      </c>
      <c r="AJ630" s="54" t="e">
        <f>VLOOKUP(Table3[[#This Row],[MONTH]],TAGS!$W$67:$Z$81,4,FALSE)</f>
        <v>#N/A</v>
      </c>
      <c r="AK630" s="60">
        <v>1</v>
      </c>
      <c r="AL630" s="54" t="str">
        <f>VLOOKUP(Table3[[#This Row],[ACTIVITY]],TAGS!$B:$R,16,FALSE)</f>
        <v>YES</v>
      </c>
      <c r="AM630" s="60">
        <f>Table3[[#This Row],[TARGET]]/20</f>
        <v>0.05</v>
      </c>
      <c r="AN630" s="60">
        <v>200</v>
      </c>
      <c r="AO630" s="57"/>
      <c r="AP630" s="62"/>
      <c r="AQ630" s="62"/>
      <c r="AR630" s="62"/>
      <c r="AS630" s="62"/>
      <c r="AT630" s="63" t="str">
        <f>VLOOKUP(Table3[[#This Row],[ACTIVITY]],TAGS!$B:$R,17,FALSE)</f>
        <v>NO</v>
      </c>
      <c r="AU630" s="63"/>
      <c r="AV630" s="63"/>
      <c r="AW630" s="63"/>
      <c r="AX630" s="63"/>
      <c r="AY630" s="63"/>
      <c r="AZ630" s="63"/>
      <c r="BA630" s="63"/>
      <c r="BB630" s="63"/>
      <c r="BC630" s="63"/>
      <c r="BD630" s="63"/>
      <c r="BE630" s="63"/>
      <c r="BF630" s="63"/>
      <c r="BG630" s="63"/>
      <c r="BH630" s="63"/>
      <c r="BI630" s="63"/>
      <c r="BJ630" s="63"/>
      <c r="BK630" s="63"/>
      <c r="BL630" s="63"/>
      <c r="BM630" s="63"/>
    </row>
    <row r="631" spans="1:65">
      <c r="A631" s="54" t="str">
        <f>VLOOKUP(Table3[[#This Row],[OU]],OU!$A$15:$B$34,2,FALSE)</f>
        <v>RFOs</v>
      </c>
      <c r="B631" s="60" t="s">
        <v>436</v>
      </c>
      <c r="C631" s="60" t="s">
        <v>574</v>
      </c>
      <c r="D631" s="60"/>
      <c r="E631" s="60" t="s">
        <v>78</v>
      </c>
      <c r="F631" s="60"/>
      <c r="G63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3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31" s="61" t="e">
        <f>VLOOKUP(Table3[[#This Row],[PSGC]],DISTRICT!$D:$G,4,FALSE)</f>
        <v>#N/A</v>
      </c>
      <c r="J631" s="60" t="s">
        <v>583</v>
      </c>
      <c r="K631" s="51" t="str">
        <f>VLOOKUP(Table3[[#This Row],[SPECIFIC COMMODITY]],TAGS!$W$48:$X$53,2,FALSE)</f>
        <v>Soybean</v>
      </c>
      <c r="L631" s="51" t="str">
        <f>VLOOKUP(Table3[[#This Row],[PREXC SUB-PROGRAM]],Table5[],2,FALSE)</f>
        <v>TECHNICAL AND SUPPORT SERVICES PROGRAM</v>
      </c>
      <c r="M631" s="51" t="str">
        <f>VLOOKUP(Table3[[#This Row],[COMMODITY PREXC SUB-PROGRAM]],TAGS!$U$54:$V$76,2,FALSE)</f>
        <v>ESETS</v>
      </c>
      <c r="N631" s="60" t="s">
        <v>591</v>
      </c>
      <c r="O631" s="54" t="str">
        <f>VLOOKUP(Table3[[#This Row],[PI LEVEL 3]],'PI LEVEL'!A:C,3,FALSE)</f>
        <v>Training conducted</v>
      </c>
      <c r="P631" s="54" t="str">
        <f>VLOOKUP(Table3[[#This Row],[PI LEVEL 3]],Table53729[[Performance Indicator Level 3]:[Performance Indicator Level 1]],2,FALSE)</f>
        <v>Other training conducted</v>
      </c>
      <c r="Q631" s="54" t="str">
        <f>VLOOKUP(Table3[[#This Row],[ACTIVITY]],TAGS!B:P,2,FALSE)</f>
        <v>Other training conducted_Farmers/Fisherfolk/Other External Participants</v>
      </c>
      <c r="R631" s="60" t="s">
        <v>157</v>
      </c>
      <c r="S631" s="54" t="str">
        <f>VLOOKUP(Table3[[#This Row],[ACTIVITY]],TAGS!$B:$P,4,FALSE)</f>
        <v>Trainings</v>
      </c>
      <c r="T631" s="54" t="str">
        <f>VLOOKUP(Table3[[#This Row],[ACTIVITY]],TAGS!$B:$P,5,FALSE)</f>
        <v>Trainings</v>
      </c>
      <c r="U631" s="54" t="str">
        <f>VLOOKUP(Table3[[#This Row],[ACTIVITY]],TAGS!$B:$P,6,FALSE)</f>
        <v>Soybean Production Training </v>
      </c>
      <c r="V631" s="54" t="str">
        <f>VLOOKUP(Table3[[#This Row],[ACTIVITY]],TAGS!$B:$P,7,FALSE)</f>
        <v>NO</v>
      </c>
      <c r="W631" s="54" t="str">
        <f>VLOOKUP(Table3[[#This Row],[ACTIVITY]],TAGS!$B:$P,8,FALSE)</f>
        <v>PAP</v>
      </c>
      <c r="X631" s="54" t="str">
        <f>VLOOKUP(Table3[[#This Row],[ACTIVITY]],TAGS!$B:$P,10,FALSE)</f>
        <v>PIP</v>
      </c>
      <c r="Y631" s="54" t="str">
        <f>VLOOKUP(Table3[[#This Row],[ACTIVITY]],TAGS!$B:$P,11,FALSE)</f>
        <v>PICS</v>
      </c>
      <c r="Z631" s="54" t="str">
        <f>VLOOKUP(Table3[[#This Row],[ACTIVITY]],TAGS!$B:$P,12,FALSE)</f>
        <v>Consolidation</v>
      </c>
      <c r="AA631" s="54" t="str">
        <f>VLOOKUP(Table3[[#This Row],[ACTIVITY]],TAGS!$B:$P,13,FALSE)</f>
        <v>1. Bayanihan Agri Cluster</v>
      </c>
      <c r="AB631" s="54" t="str">
        <f>VLOOKUP(Table3[[#This Row],[ACTIVITY]],TAGS!$B:$P,14,FALSE)</f>
        <v>EXPAND AND IMPROVE AVAILABLE AGRI-FISHERY AREAS FOR INCREASED PRODUCTION</v>
      </c>
      <c r="AC631" s="54" t="str">
        <f>VLOOKUP(Table3[[#This Row],[ACTIVITY]],TAGS!$B:$P,15,FALSE)</f>
        <v>Capacity Building</v>
      </c>
      <c r="AD631" s="54" t="str">
        <f>VLOOKUP(Table3[[#This Row],[PI LEVEL 3]],'PI LEVEL'!$A:$G,7,FALSE)</f>
        <v>PREXC/DA-Level Output</v>
      </c>
      <c r="AE631" s="60"/>
      <c r="AF631" s="54" t="str">
        <f>VLOOKUP(Table3[[#This Row],[ACTIVITY]],TAGS!$B:$P,3,FALSE)</f>
        <v>number</v>
      </c>
      <c r="AG631" s="60"/>
      <c r="AH631" s="54" t="e">
        <f>VLOOKUP(Table3[[#This Row],[MONTH]],TAGS!$W$67:$Y$81,2,FALSE)</f>
        <v>#N/A</v>
      </c>
      <c r="AI631" s="54" t="e">
        <f>VLOOKUP(Table3[[#This Row],[MONTH]],TAGS!$W$67:$Y$81,3,FALSE)</f>
        <v>#N/A</v>
      </c>
      <c r="AJ631" s="54" t="e">
        <f>VLOOKUP(Table3[[#This Row],[MONTH]],TAGS!$W$67:$Z$81,4,FALSE)</f>
        <v>#N/A</v>
      </c>
      <c r="AK631" s="60">
        <v>4</v>
      </c>
      <c r="AL631" s="54" t="str">
        <f>VLOOKUP(Table3[[#This Row],[ACTIVITY]],TAGS!$B:$R,16,FALSE)</f>
        <v>NO</v>
      </c>
      <c r="AM631" s="60">
        <f>Table3[[#This Row],[TARGET]]/20</f>
        <v>0.2</v>
      </c>
      <c r="AN631" s="60">
        <v>140</v>
      </c>
      <c r="AO631" s="57">
        <v>120</v>
      </c>
      <c r="AP631" s="62"/>
      <c r="AQ631" s="62"/>
      <c r="AR631" s="62"/>
      <c r="AS631" s="62"/>
      <c r="AT631" s="63" t="str">
        <f>VLOOKUP(Table3[[#This Row],[ACTIVITY]],TAGS!$B:$R,17,FALSE)</f>
        <v>NO</v>
      </c>
      <c r="AU631" s="63"/>
      <c r="AV631" s="63"/>
      <c r="AW631" s="63"/>
      <c r="AX631" s="63"/>
      <c r="AY631" s="63"/>
      <c r="AZ631" s="63"/>
      <c r="BA631" s="63"/>
      <c r="BB631" s="63"/>
      <c r="BC631" s="63"/>
      <c r="BD631" s="63"/>
      <c r="BE631" s="63"/>
      <c r="BF631" s="63"/>
      <c r="BG631" s="63"/>
      <c r="BH631" s="63"/>
      <c r="BI631" s="63"/>
      <c r="BJ631" s="63"/>
      <c r="BK631" s="63"/>
      <c r="BL631" s="63"/>
      <c r="BM631" s="63"/>
    </row>
    <row r="632" spans="1:65">
      <c r="A632" s="54" t="str">
        <f>VLOOKUP(Table3[[#This Row],[OU]],OU!$A$15:$B$34,2,FALSE)</f>
        <v>RFOs</v>
      </c>
      <c r="B632" s="60" t="s">
        <v>436</v>
      </c>
      <c r="C632" s="60" t="s">
        <v>574</v>
      </c>
      <c r="D632" s="60"/>
      <c r="E632" s="60" t="s">
        <v>78</v>
      </c>
      <c r="F632" s="60"/>
      <c r="G63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3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32" s="61" t="e">
        <f>VLOOKUP(Table3[[#This Row],[PSGC]],DISTRICT!$D:$G,4,FALSE)</f>
        <v>#N/A</v>
      </c>
      <c r="J632" s="60" t="s">
        <v>583</v>
      </c>
      <c r="K632" s="51" t="str">
        <f>VLOOKUP(Table3[[#This Row],[SPECIFIC COMMODITY]],TAGS!$W$48:$X$53,2,FALSE)</f>
        <v>Soybean</v>
      </c>
      <c r="L632" s="51" t="str">
        <f>VLOOKUP(Table3[[#This Row],[PREXC SUB-PROGRAM]],Table5[],2,FALSE)</f>
        <v>TECHNICAL AND SUPPORT SERVICES PROGRAM</v>
      </c>
      <c r="M632" s="51" t="str">
        <f>VLOOKUP(Table3[[#This Row],[COMMODITY PREXC SUB-PROGRAM]],TAGS!$U$54:$V$76,2,FALSE)</f>
        <v>ESETS</v>
      </c>
      <c r="N632" s="60" t="s">
        <v>591</v>
      </c>
      <c r="O632" s="54" t="str">
        <f>VLOOKUP(Table3[[#This Row],[PI LEVEL 3]],'PI LEVEL'!A:C,3,FALSE)</f>
        <v>Knowledge Products disseminated</v>
      </c>
      <c r="P632" s="54" t="str">
        <f>VLOOKUP(Table3[[#This Row],[PI LEVEL 3]],Table53729[[Performance Indicator Level 3]:[Performance Indicator Level 1]],2,FALSE)</f>
        <v>Knowledge Products disseminated</v>
      </c>
      <c r="Q632" s="54" t="str">
        <f>VLOOKUP(Table3[[#This Row],[ACTIVITY]],TAGS!B:P,2,FALSE)</f>
        <v>Knowledge Products disseminated</v>
      </c>
      <c r="R632" s="60" t="s">
        <v>159</v>
      </c>
      <c r="S632" s="54" t="str">
        <f>VLOOKUP(Table3[[#This Row],[ACTIVITY]],TAGS!$B:$P,4,FALSE)</f>
        <v>Information, Education, and Communication Activities</v>
      </c>
      <c r="T632" s="54" t="str">
        <f>VLOOKUP(Table3[[#This Row],[ACTIVITY]],TAGS!$B:$P,5,FALSE)</f>
        <v>Information, Education, and Communication Activities</v>
      </c>
      <c r="U632" s="54" t="str">
        <f>VLOOKUP(Table3[[#This Row],[ACTIVITY]],TAGS!$B:$P,6,FALSE)</f>
        <v>IEC materials</v>
      </c>
      <c r="V632" s="54" t="str">
        <f>VLOOKUP(Table3[[#This Row],[ACTIVITY]],TAGS!$B:$P,7,FALSE)</f>
        <v>NO</v>
      </c>
      <c r="W632" s="54" t="str">
        <f>VLOOKUP(Table3[[#This Row],[ACTIVITY]],TAGS!$B:$P,8,FALSE)</f>
        <v>PAP</v>
      </c>
      <c r="X632" s="54" t="str">
        <f>VLOOKUP(Table3[[#This Row],[ACTIVITY]],TAGS!$B:$P,10,FALSE)</f>
        <v>PIP</v>
      </c>
      <c r="Y632" s="54" t="str">
        <f>VLOOKUP(Table3[[#This Row],[ACTIVITY]],TAGS!$B:$P,11,FALSE)</f>
        <v>PICS</v>
      </c>
      <c r="Z632" s="54" t="str">
        <f>VLOOKUP(Table3[[#This Row],[ACTIVITY]],TAGS!$B:$P,12,FALSE)</f>
        <v>Strategic Communication</v>
      </c>
      <c r="AA632" s="54" t="str">
        <f>VLOOKUP(Table3[[#This Row],[ACTIVITY]],TAGS!$B:$P,13,FALSE)</f>
        <v>18. Strategic Communications​</v>
      </c>
      <c r="AB632" s="54">
        <f>VLOOKUP(Table3[[#This Row],[ACTIVITY]],TAGS!$B:$P,14,FALSE)</f>
        <v>0</v>
      </c>
      <c r="AC632" s="54" t="str">
        <f>VLOOKUP(Table3[[#This Row],[ACTIVITY]],TAGS!$B:$P,15,FALSE)</f>
        <v>IEC</v>
      </c>
      <c r="AD632" s="54" t="str">
        <f>VLOOKUP(Table3[[#This Row],[PI LEVEL 3]],'PI LEVEL'!$A:$G,7,FALSE)</f>
        <v>DA-Level Output</v>
      </c>
      <c r="AE632" s="60"/>
      <c r="AF632" s="54" t="str">
        <f>VLOOKUP(Table3[[#This Row],[ACTIVITY]],TAGS!$B:$P,3,FALSE)</f>
        <v>Print disseminated</v>
      </c>
      <c r="AG632" s="60"/>
      <c r="AH632" s="54" t="e">
        <f>VLOOKUP(Table3[[#This Row],[MONTH]],TAGS!$W$67:$Y$81,2,FALSE)</f>
        <v>#N/A</v>
      </c>
      <c r="AI632" s="54" t="e">
        <f>VLOOKUP(Table3[[#This Row],[MONTH]],TAGS!$W$67:$Y$81,3,FALSE)</f>
        <v>#N/A</v>
      </c>
      <c r="AJ632" s="54" t="e">
        <f>VLOOKUP(Table3[[#This Row],[MONTH]],TAGS!$W$67:$Z$81,4,FALSE)</f>
        <v>#N/A</v>
      </c>
      <c r="AK632" s="60">
        <v>200</v>
      </c>
      <c r="AL632" s="54" t="str">
        <f>VLOOKUP(Table3[[#This Row],[ACTIVITY]],TAGS!$B:$R,16,FALSE)</f>
        <v>NO</v>
      </c>
      <c r="AM632" s="60">
        <f>Table3[[#This Row],[TARGET]]/20</f>
        <v>10</v>
      </c>
      <c r="AN632" s="60">
        <v>50</v>
      </c>
      <c r="AO632" s="57"/>
      <c r="AP632" s="62"/>
      <c r="AQ632" s="62"/>
      <c r="AR632" s="62"/>
      <c r="AS632" s="62"/>
      <c r="AT632" s="63" t="str">
        <f>VLOOKUP(Table3[[#This Row],[ACTIVITY]],TAGS!$B:$R,17,FALSE)</f>
        <v>NO</v>
      </c>
      <c r="AU632" s="63"/>
      <c r="AV632" s="63"/>
      <c r="AW632" s="63"/>
      <c r="AX632" s="63"/>
      <c r="AY632" s="63"/>
      <c r="AZ632" s="63"/>
      <c r="BA632" s="63"/>
      <c r="BB632" s="63"/>
      <c r="BC632" s="63"/>
      <c r="BD632" s="63"/>
      <c r="BE632" s="63"/>
      <c r="BF632" s="63"/>
      <c r="BG632" s="63"/>
      <c r="BH632" s="63"/>
      <c r="BI632" s="63"/>
      <c r="BJ632" s="63"/>
      <c r="BK632" s="63"/>
      <c r="BL632" s="63"/>
      <c r="BM632" s="63"/>
    </row>
    <row r="633" spans="1:65">
      <c r="A633" s="54" t="str">
        <f>VLOOKUP(Table3[[#This Row],[OU]],OU!$A$15:$B$34,2,FALSE)</f>
        <v>RFOs</v>
      </c>
      <c r="B633" s="60" t="s">
        <v>436</v>
      </c>
      <c r="C633" s="60" t="s">
        <v>574</v>
      </c>
      <c r="D633" s="60"/>
      <c r="E633" s="60" t="s">
        <v>78</v>
      </c>
      <c r="F633" s="60"/>
      <c r="G63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3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33" s="61" t="e">
        <f>VLOOKUP(Table3[[#This Row],[PSGC]],DISTRICT!$D:$G,4,FALSE)</f>
        <v>#N/A</v>
      </c>
      <c r="J633" s="60" t="s">
        <v>578</v>
      </c>
      <c r="K633" s="51" t="str">
        <f>VLOOKUP(Table3[[#This Row],[SPECIFIC COMMODITY]],TAGS!$W$48:$X$53,2,FALSE)</f>
        <v>Corn</v>
      </c>
      <c r="L633" s="51" t="str">
        <f>VLOOKUP(Table3[[#This Row],[PREXC SUB-PROGRAM]],Table5[],2,FALSE)</f>
        <v>TECHNICAL AND SUPPORT SERVICES PROGRAM</v>
      </c>
      <c r="M633" s="51" t="str">
        <f>VLOOKUP(Table3[[#This Row],[COMMODITY PREXC SUB-PROGRAM]],TAGS!$U$54:$V$76,2,FALSE)</f>
        <v>ESETS</v>
      </c>
      <c r="N633" s="60" t="s">
        <v>587</v>
      </c>
      <c r="O633" s="54" t="str">
        <f>VLOOKUP(Table3[[#This Row],[PI LEVEL 3]],'PI LEVEL'!A:C,3,FALSE)</f>
        <v>Technology demonstrations established/maintained</v>
      </c>
      <c r="P633" s="54" t="str">
        <f>VLOOKUP(Table3[[#This Row],[PI LEVEL 3]],Table53729[[Performance Indicator Level 3]:[Performance Indicator Level 1]],2,FALSE)</f>
        <v>Model Farms established</v>
      </c>
      <c r="Q633" s="54" t="str">
        <f>VLOOKUP(Table3[[#This Row],[ACTIVITY]],TAGS!B:P,2,FALSE)</f>
        <v>Model Farms established</v>
      </c>
      <c r="R633" s="47" t="s">
        <v>128</v>
      </c>
      <c r="S633" s="54" t="str">
        <f>VLOOKUP(Table3[[#This Row],[ACTIVITY]],TAGS!$B:$P,4,FALSE)</f>
        <v>Model Farm establishment</v>
      </c>
      <c r="T633" s="54" t="str">
        <f>VLOOKUP(Table3[[#This Row],[ACTIVITY]],TAGS!$B:$P,5,FALSE)</f>
        <v>Model farm</v>
      </c>
      <c r="U633" s="54" t="str">
        <f>VLOOKUP(Table3[[#This Row],[ACTIVITY]],TAGS!$B:$P,6,FALSE)</f>
        <v>Sustainable Land Resources Management Approach Site Establishment</v>
      </c>
      <c r="V633" s="54" t="str">
        <f>VLOOKUP(Table3[[#This Row],[ACTIVITY]],TAGS!$B:$P,7,FALSE)</f>
        <v>YES</v>
      </c>
      <c r="W633" s="54" t="str">
        <f>VLOOKUP(Table3[[#This Row],[ACTIVITY]],TAGS!$B:$P,8,FALSE)</f>
        <v>PAP</v>
      </c>
      <c r="X633" s="54" t="str">
        <f>VLOOKUP(Table3[[#This Row],[ACTIVITY]],TAGS!$B:$P,10,FALSE)</f>
        <v>PIP</v>
      </c>
      <c r="Y633" s="54" t="str">
        <f>VLOOKUP(Table3[[#This Row],[ACTIVITY]],TAGS!$B:$P,11,FALSE)</f>
        <v>PICS</v>
      </c>
      <c r="Z633" s="54" t="str">
        <f>VLOOKUP(Table3[[#This Row],[ACTIVITY]],TAGS!$B:$P,12,FALSE)</f>
        <v>Consolidation</v>
      </c>
      <c r="AA633" s="54" t="str">
        <f>VLOOKUP(Table3[[#This Row],[ACTIVITY]],TAGS!$B:$P,13,FALSE)</f>
        <v>1. Bayanihan Agri Cluster</v>
      </c>
      <c r="AB633" s="54" t="str">
        <f>VLOOKUP(Table3[[#This Row],[ACTIVITY]],TAGS!$B:$P,14,FALSE)</f>
        <v>EXPAND AND IMPROVE AVAILABLE AGRI-FISHERY AREAS FOR INCREASED PRODUCTION</v>
      </c>
      <c r="AC633" s="54" t="str">
        <f>VLOOKUP(Table3[[#This Row],[ACTIVITY]],TAGS!$B:$P,15,FALSE)</f>
        <v>Farm Inputs</v>
      </c>
      <c r="AD633" s="54" t="str">
        <f>VLOOKUP(Table3[[#This Row],[PI LEVEL 3]],'PI LEVEL'!$A:$G,7,FALSE)</f>
        <v>DA-Level Output</v>
      </c>
      <c r="AE633" s="60"/>
      <c r="AF633" s="54" t="str">
        <f>VLOOKUP(Table3[[#This Row],[ACTIVITY]],TAGS!$B:$P,3,FALSE)</f>
        <v>number</v>
      </c>
      <c r="AG633" s="60"/>
      <c r="AH633" s="54" t="e">
        <f>VLOOKUP(Table3[[#This Row],[MONTH]],TAGS!$W$67:$Y$81,2,FALSE)</f>
        <v>#N/A</v>
      </c>
      <c r="AI633" s="54" t="e">
        <f>VLOOKUP(Table3[[#This Row],[MONTH]],TAGS!$W$67:$Y$81,3,FALSE)</f>
        <v>#N/A</v>
      </c>
      <c r="AJ633" s="54" t="e">
        <f>VLOOKUP(Table3[[#This Row],[MONTH]],TAGS!$W$67:$Z$81,4,FALSE)</f>
        <v>#N/A</v>
      </c>
      <c r="AK633" s="60">
        <v>1</v>
      </c>
      <c r="AL633" s="54" t="str">
        <f>VLOOKUP(Table3[[#This Row],[ACTIVITY]],TAGS!$B:$R,16,FALSE)</f>
        <v>YES</v>
      </c>
      <c r="AM633" s="60">
        <f>Table3[[#This Row],[TARGET]]/20</f>
        <v>0.05</v>
      </c>
      <c r="AN633" s="60">
        <v>3000</v>
      </c>
      <c r="AO633" s="57"/>
      <c r="AP633" s="62"/>
      <c r="AQ633" s="62"/>
      <c r="AR633" s="62"/>
      <c r="AS633" s="62"/>
      <c r="AT633" s="63" t="str">
        <f>VLOOKUP(Table3[[#This Row],[ACTIVITY]],TAGS!$B:$R,17,FALSE)</f>
        <v>NO</v>
      </c>
      <c r="AU633" s="63"/>
      <c r="AV633" s="63"/>
      <c r="AW633" s="63"/>
      <c r="AX633" s="63"/>
      <c r="AY633" s="63"/>
      <c r="AZ633" s="63"/>
      <c r="BA633" s="63"/>
      <c r="BB633" s="63"/>
      <c r="BC633" s="63"/>
      <c r="BD633" s="63"/>
      <c r="BE633" s="63"/>
      <c r="BF633" s="63"/>
      <c r="BG633" s="63"/>
      <c r="BH633" s="63"/>
      <c r="BI633" s="63"/>
      <c r="BJ633" s="63"/>
      <c r="BK633" s="63"/>
      <c r="BL633" s="63"/>
      <c r="BM633" s="63"/>
    </row>
    <row r="634" spans="1:65">
      <c r="A634" s="54" t="str">
        <f>VLOOKUP(Table3[[#This Row],[OU]],OU!$A$15:$B$34,2,FALSE)</f>
        <v>RFOs</v>
      </c>
      <c r="B634" s="60" t="s">
        <v>436</v>
      </c>
      <c r="C634" s="60" t="s">
        <v>574</v>
      </c>
      <c r="D634" s="60"/>
      <c r="E634" s="60" t="s">
        <v>78</v>
      </c>
      <c r="F634" s="60"/>
      <c r="G63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3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34" s="61" t="e">
        <f>VLOOKUP(Table3[[#This Row],[PSGC]],DISTRICT!$D:$G,4,FALSE)</f>
        <v>#N/A</v>
      </c>
      <c r="J634" s="60" t="s">
        <v>578</v>
      </c>
      <c r="K634" s="51" t="str">
        <f>VLOOKUP(Table3[[#This Row],[SPECIFIC COMMODITY]],TAGS!$W$48:$X$53,2,FALSE)</f>
        <v>Corn</v>
      </c>
      <c r="L634" s="51" t="str">
        <f>VLOOKUP(Table3[[#This Row],[PREXC SUB-PROGRAM]],Table5[],2,FALSE)</f>
        <v>TECHNICAL AND SUPPORT SERVICES PROGRAM</v>
      </c>
      <c r="M634" s="51" t="str">
        <f>VLOOKUP(Table3[[#This Row],[COMMODITY PREXC SUB-PROGRAM]],TAGS!$U$54:$V$76,2,FALSE)</f>
        <v>ESETS</v>
      </c>
      <c r="N634" s="60" t="s">
        <v>587</v>
      </c>
      <c r="O634" s="54" t="str">
        <f>VLOOKUP(Table3[[#This Row],[PI LEVEL 3]],'PI LEVEL'!A:C,3,FALSE)</f>
        <v>Technology demonstrations established/maintained</v>
      </c>
      <c r="P634" s="54" t="str">
        <f>VLOOKUP(Table3[[#This Row],[PI LEVEL 3]],Table53729[[Performance Indicator Level 3]:[Performance Indicator Level 1]],2,FALSE)</f>
        <v>Techno demo established</v>
      </c>
      <c r="Q634" s="54" t="str">
        <f>VLOOKUP(Table3[[#This Row],[ACTIVITY]],TAGS!B:P,2,FALSE)</f>
        <v>Techno demo established</v>
      </c>
      <c r="R634" s="60" t="s">
        <v>133</v>
      </c>
      <c r="S634" s="54" t="str">
        <f>VLOOKUP(Table3[[#This Row],[ACTIVITY]],TAGS!$B:$P,4,FALSE)</f>
        <v>Techno Demo establishment</v>
      </c>
      <c r="T634" s="54" t="str">
        <f>VLOOKUP(Table3[[#This Row],[ACTIVITY]],TAGS!$B:$P,5,FALSE)</f>
        <v>Techno Demo</v>
      </c>
      <c r="U634" s="54" t="str">
        <f>VLOOKUP(Table3[[#This Row],[ACTIVITY]],TAGS!$B:$P,6,FALSE)</f>
        <v>Corn Derby</v>
      </c>
      <c r="V634" s="54" t="str">
        <f>VLOOKUP(Table3[[#This Row],[ACTIVITY]],TAGS!$B:$P,7,FALSE)</f>
        <v>NO</v>
      </c>
      <c r="W634" s="54" t="str">
        <f>VLOOKUP(Table3[[#This Row],[ACTIVITY]],TAGS!$B:$P,8,FALSE)</f>
        <v>PAP</v>
      </c>
      <c r="X634" s="54" t="str">
        <f>VLOOKUP(Table3[[#This Row],[ACTIVITY]],TAGS!$B:$P,10,FALSE)</f>
        <v>PIP</v>
      </c>
      <c r="Y634" s="54" t="str">
        <f>VLOOKUP(Table3[[#This Row],[ACTIVITY]],TAGS!$B:$P,11,FALSE)</f>
        <v>PICS</v>
      </c>
      <c r="Z634" s="54" t="str">
        <f>VLOOKUP(Table3[[#This Row],[ACTIVITY]],TAGS!$B:$P,12,FALSE)</f>
        <v>Consolidation</v>
      </c>
      <c r="AA634" s="54" t="str">
        <f>VLOOKUP(Table3[[#This Row],[ACTIVITY]],TAGS!$B:$P,13,FALSE)</f>
        <v>1. Bayanihan Agri Cluster</v>
      </c>
      <c r="AB634" s="54" t="str">
        <f>VLOOKUP(Table3[[#This Row],[ACTIVITY]],TAGS!$B:$P,14,FALSE)</f>
        <v>EXPAND AND IMPROVE AVAILABLE AGRI-FISHERY AREAS FOR INCREASED PRODUCTION</v>
      </c>
      <c r="AC634" s="54" t="str">
        <f>VLOOKUP(Table3[[#This Row],[ACTIVITY]],TAGS!$B:$P,15,FALSE)</f>
        <v>Other Intervetions</v>
      </c>
      <c r="AD634" s="54" t="str">
        <f>VLOOKUP(Table3[[#This Row],[PI LEVEL 3]],'PI LEVEL'!$A:$G,7,FALSE)</f>
        <v>DA-Level Output</v>
      </c>
      <c r="AE634" s="60"/>
      <c r="AF634" s="54" t="str">
        <f>VLOOKUP(Table3[[#This Row],[ACTIVITY]],TAGS!$B:$P,3,FALSE)</f>
        <v>number</v>
      </c>
      <c r="AG634" s="60"/>
      <c r="AH634" s="54" t="e">
        <f>VLOOKUP(Table3[[#This Row],[MONTH]],TAGS!$W$67:$Y$81,2,FALSE)</f>
        <v>#N/A</v>
      </c>
      <c r="AI634" s="54" t="e">
        <f>VLOOKUP(Table3[[#This Row],[MONTH]],TAGS!$W$67:$Y$81,3,FALSE)</f>
        <v>#N/A</v>
      </c>
      <c r="AJ634" s="54" t="e">
        <f>VLOOKUP(Table3[[#This Row],[MONTH]],TAGS!$W$67:$Z$81,4,FALSE)</f>
        <v>#N/A</v>
      </c>
      <c r="AK634" s="60">
        <v>1</v>
      </c>
      <c r="AL634" s="54" t="str">
        <f>VLOOKUP(Table3[[#This Row],[ACTIVITY]],TAGS!$B:$R,16,FALSE)</f>
        <v>NO</v>
      </c>
      <c r="AM634" s="60">
        <f>Table3[[#This Row],[TARGET]]/20</f>
        <v>0.05</v>
      </c>
      <c r="AN634" s="60">
        <v>1000</v>
      </c>
      <c r="AO634" s="57"/>
      <c r="AP634" s="62"/>
      <c r="AQ634" s="62"/>
      <c r="AR634" s="62"/>
      <c r="AS634" s="62"/>
      <c r="AT634" s="63" t="str">
        <f>VLOOKUP(Table3[[#This Row],[ACTIVITY]],TAGS!$B:$R,17,FALSE)</f>
        <v>NO</v>
      </c>
      <c r="AU634" s="63"/>
      <c r="AV634" s="63"/>
      <c r="AW634" s="63"/>
      <c r="AX634" s="63"/>
      <c r="AY634" s="63"/>
      <c r="AZ634" s="63"/>
      <c r="BA634" s="63"/>
      <c r="BB634" s="63"/>
      <c r="BC634" s="63"/>
      <c r="BD634" s="63"/>
      <c r="BE634" s="63"/>
      <c r="BF634" s="63"/>
      <c r="BG634" s="63"/>
      <c r="BH634" s="63"/>
      <c r="BI634" s="63"/>
      <c r="BJ634" s="63"/>
      <c r="BK634" s="63"/>
      <c r="BL634" s="63"/>
      <c r="BM634" s="63"/>
    </row>
    <row r="635" spans="1:65">
      <c r="A635" s="54" t="str">
        <f>VLOOKUP(Table3[[#This Row],[OU]],OU!$A$15:$B$34,2,FALSE)</f>
        <v>RFOs</v>
      </c>
      <c r="B635" s="60" t="s">
        <v>436</v>
      </c>
      <c r="C635" s="60" t="s">
        <v>574</v>
      </c>
      <c r="D635" s="60"/>
      <c r="E635" s="60" t="s">
        <v>78</v>
      </c>
      <c r="F635" s="60"/>
      <c r="G63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3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35" s="61" t="e">
        <f>VLOOKUP(Table3[[#This Row],[PSGC]],DISTRICT!$D:$G,4,FALSE)</f>
        <v>#N/A</v>
      </c>
      <c r="J635" s="60" t="s">
        <v>578</v>
      </c>
      <c r="K635" s="51" t="str">
        <f>VLOOKUP(Table3[[#This Row],[SPECIFIC COMMODITY]],TAGS!$W$48:$X$53,2,FALSE)</f>
        <v>Corn</v>
      </c>
      <c r="L635" s="51" t="str">
        <f>VLOOKUP(Table3[[#This Row],[PREXC SUB-PROGRAM]],Table5[],2,FALSE)</f>
        <v>TECHNICAL AND SUPPORT SERVICES PROGRAM</v>
      </c>
      <c r="M635" s="51" t="str">
        <f>VLOOKUP(Table3[[#This Row],[COMMODITY PREXC SUB-PROGRAM]],TAGS!$U$54:$V$76,2,FALSE)</f>
        <v>ESETS</v>
      </c>
      <c r="N635" s="60" t="s">
        <v>587</v>
      </c>
      <c r="O635" s="54" t="str">
        <f>VLOOKUP(Table3[[#This Row],[PI LEVEL 3]],'PI LEVEL'!A:C,3,FALSE)</f>
        <v>Training conducted</v>
      </c>
      <c r="P635" s="54" t="str">
        <f>VLOOKUP(Table3[[#This Row],[PI LEVEL 3]],Table53729[[Performance Indicator Level 3]:[Performance Indicator Level 1]],2,FALSE)</f>
        <v>Other training conducted</v>
      </c>
      <c r="Q635" s="54" t="str">
        <f>VLOOKUP(Table3[[#This Row],[ACTIVITY]],TAGS!B:P,2,FALSE)</f>
        <v>Other training conducted_Farmers/Fisherfolk/Other External Participants</v>
      </c>
      <c r="R635" s="60" t="s">
        <v>135</v>
      </c>
      <c r="S635" s="54" t="str">
        <f>VLOOKUP(Table3[[#This Row],[ACTIVITY]],TAGS!$B:$P,4,FALSE)</f>
        <v>Trainings</v>
      </c>
      <c r="T635" s="54" t="str">
        <f>VLOOKUP(Table3[[#This Row],[ACTIVITY]],TAGS!$B:$P,5,FALSE)</f>
        <v>Trainings</v>
      </c>
      <c r="U635" s="54" t="str">
        <f>VLOOKUP(Table3[[#This Row],[ACTIVITY]],TAGS!$B:$P,6,FALSE)</f>
        <v>Cluster Development training</v>
      </c>
      <c r="V635" s="54" t="str">
        <f>VLOOKUP(Table3[[#This Row],[ACTIVITY]],TAGS!$B:$P,7,FALSE)</f>
        <v>NO</v>
      </c>
      <c r="W635" s="54" t="str">
        <f>VLOOKUP(Table3[[#This Row],[ACTIVITY]],TAGS!$B:$P,8,FALSE)</f>
        <v>PAP</v>
      </c>
      <c r="X635" s="54" t="str">
        <f>VLOOKUP(Table3[[#This Row],[ACTIVITY]],TAGS!$B:$P,10,FALSE)</f>
        <v>PIP</v>
      </c>
      <c r="Y635" s="54" t="str">
        <f>VLOOKUP(Table3[[#This Row],[ACTIVITY]],TAGS!$B:$P,11,FALSE)</f>
        <v>PICS</v>
      </c>
      <c r="Z635" s="54" t="str">
        <f>VLOOKUP(Table3[[#This Row],[ACTIVITY]],TAGS!$B:$P,12,FALSE)</f>
        <v>Consolidation</v>
      </c>
      <c r="AA635" s="54" t="str">
        <f>VLOOKUP(Table3[[#This Row],[ACTIVITY]],TAGS!$B:$P,13,FALSE)</f>
        <v>1. Bayanihan Agri Cluster</v>
      </c>
      <c r="AB635" s="54">
        <f>VLOOKUP(Table3[[#This Row],[ACTIVITY]],TAGS!$B:$P,14,FALSE)</f>
        <v>0</v>
      </c>
      <c r="AC635" s="54" t="str">
        <f>VLOOKUP(Table3[[#This Row],[ACTIVITY]],TAGS!$B:$P,15,FALSE)</f>
        <v>Capacity Building</v>
      </c>
      <c r="AD635" s="54" t="str">
        <f>VLOOKUP(Table3[[#This Row],[PI LEVEL 3]],'PI LEVEL'!$A:$G,7,FALSE)</f>
        <v>PREXC/DA-Level Output</v>
      </c>
      <c r="AE635" s="60"/>
      <c r="AF635" s="54" t="str">
        <f>VLOOKUP(Table3[[#This Row],[ACTIVITY]],TAGS!$B:$P,3,FALSE)</f>
        <v>number</v>
      </c>
      <c r="AG635" s="60"/>
      <c r="AH635" s="54" t="e">
        <f>VLOOKUP(Table3[[#This Row],[MONTH]],TAGS!$W$67:$Y$81,2,FALSE)</f>
        <v>#N/A</v>
      </c>
      <c r="AI635" s="54" t="e">
        <f>VLOOKUP(Table3[[#This Row],[MONTH]],TAGS!$W$67:$Y$81,3,FALSE)</f>
        <v>#N/A</v>
      </c>
      <c r="AJ635" s="54" t="e">
        <f>VLOOKUP(Table3[[#This Row],[MONTH]],TAGS!$W$67:$Z$81,4,FALSE)</f>
        <v>#N/A</v>
      </c>
      <c r="AK635" s="60">
        <v>6</v>
      </c>
      <c r="AL635" s="54" t="str">
        <f>VLOOKUP(Table3[[#This Row],[ACTIVITY]],TAGS!$B:$R,16,FALSE)</f>
        <v>NO</v>
      </c>
      <c r="AM635" s="60">
        <f>Table3[[#This Row],[TARGET]]/20</f>
        <v>0.3</v>
      </c>
      <c r="AN635" s="60">
        <v>210</v>
      </c>
      <c r="AO635" s="57">
        <v>180</v>
      </c>
      <c r="AP635" s="62"/>
      <c r="AQ635" s="62"/>
      <c r="AR635" s="62"/>
      <c r="AS635" s="62"/>
      <c r="AT635" s="63" t="str">
        <f>VLOOKUP(Table3[[#This Row],[ACTIVITY]],TAGS!$B:$R,17,FALSE)</f>
        <v>NO</v>
      </c>
      <c r="AU635" s="63"/>
      <c r="AV635" s="63"/>
      <c r="AW635" s="63"/>
      <c r="AX635" s="63"/>
      <c r="AY635" s="63"/>
      <c r="AZ635" s="63"/>
      <c r="BA635" s="63"/>
      <c r="BB635" s="63"/>
      <c r="BC635" s="63"/>
      <c r="BD635" s="63"/>
      <c r="BE635" s="63"/>
      <c r="BF635" s="63"/>
      <c r="BG635" s="63"/>
      <c r="BH635" s="63"/>
      <c r="BI635" s="63"/>
      <c r="BJ635" s="63"/>
      <c r="BK635" s="63"/>
      <c r="BL635" s="63"/>
      <c r="BM635" s="63"/>
    </row>
    <row r="636" spans="1:65">
      <c r="A636" s="54" t="str">
        <f>VLOOKUP(Table3[[#This Row],[OU]],OU!$A$15:$B$34,2,FALSE)</f>
        <v>RFOs</v>
      </c>
      <c r="B636" s="60" t="s">
        <v>436</v>
      </c>
      <c r="C636" s="60" t="s">
        <v>574</v>
      </c>
      <c r="D636" s="60"/>
      <c r="E636" s="60" t="s">
        <v>78</v>
      </c>
      <c r="F636" s="60"/>
      <c r="G63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3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36" s="61" t="e">
        <f>VLOOKUP(Table3[[#This Row],[PSGC]],DISTRICT!$D:$G,4,FALSE)</f>
        <v>#N/A</v>
      </c>
      <c r="J636" s="60" t="s">
        <v>578</v>
      </c>
      <c r="K636" s="51" t="str">
        <f>VLOOKUP(Table3[[#This Row],[SPECIFIC COMMODITY]],TAGS!$W$48:$X$53,2,FALSE)</f>
        <v>Corn</v>
      </c>
      <c r="L636" s="51" t="str">
        <f>VLOOKUP(Table3[[#This Row],[PREXC SUB-PROGRAM]],Table5[],2,FALSE)</f>
        <v>TECHNICAL AND SUPPORT SERVICES PROGRAM</v>
      </c>
      <c r="M636" s="51" t="str">
        <f>VLOOKUP(Table3[[#This Row],[COMMODITY PREXC SUB-PROGRAM]],TAGS!$U$54:$V$76,2,FALSE)</f>
        <v>ESETS</v>
      </c>
      <c r="N636" s="60" t="s">
        <v>587</v>
      </c>
      <c r="O636" s="54" t="str">
        <f>VLOOKUP(Table3[[#This Row],[PI LEVEL 3]],'PI LEVEL'!A:C,3,FALSE)</f>
        <v>Training conducted</v>
      </c>
      <c r="P636" s="54" t="str">
        <f>VLOOKUP(Table3[[#This Row],[PI LEVEL 3]],Table53729[[Performance Indicator Level 3]:[Performance Indicator Level 1]],2,FALSE)</f>
        <v>Other training conducted</v>
      </c>
      <c r="Q636" s="54" t="str">
        <f>VLOOKUP(Table3[[#This Row],[ACTIVITY]],TAGS!B:P,2,FALSE)</f>
        <v>Other training conducted_Farmers/Fisherfolk/Other External Participants</v>
      </c>
      <c r="R636" s="60" t="s">
        <v>137</v>
      </c>
      <c r="S636" s="54" t="str">
        <f>VLOOKUP(Table3[[#This Row],[ACTIVITY]],TAGS!$B:$P,4,FALSE)</f>
        <v>Trainings</v>
      </c>
      <c r="T636" s="54" t="str">
        <f>VLOOKUP(Table3[[#This Row],[ACTIVITY]],TAGS!$B:$P,5,FALSE)</f>
        <v>Trainings</v>
      </c>
      <c r="U636" s="54" t="str">
        <f>VLOOKUP(Table3[[#This Row],[ACTIVITY]],TAGS!$B:$P,6,FALSE)</f>
        <v>Corn Livelihood training</v>
      </c>
      <c r="V636" s="54" t="str">
        <f>VLOOKUP(Table3[[#This Row],[ACTIVITY]],TAGS!$B:$P,7,FALSE)</f>
        <v>NO</v>
      </c>
      <c r="W636" s="54" t="str">
        <f>VLOOKUP(Table3[[#This Row],[ACTIVITY]],TAGS!$B:$P,8,FALSE)</f>
        <v>PAP</v>
      </c>
      <c r="X636" s="54" t="str">
        <f>VLOOKUP(Table3[[#This Row],[ACTIVITY]],TAGS!$B:$P,10,FALSE)</f>
        <v>PIP</v>
      </c>
      <c r="Y636" s="54" t="str">
        <f>VLOOKUP(Table3[[#This Row],[ACTIVITY]],TAGS!$B:$P,11,FALSE)</f>
        <v>PICS</v>
      </c>
      <c r="Z636" s="54" t="str">
        <f>VLOOKUP(Table3[[#This Row],[ACTIVITY]],TAGS!$B:$P,12,FALSE)</f>
        <v>Consolidation</v>
      </c>
      <c r="AA636" s="54" t="str">
        <f>VLOOKUP(Table3[[#This Row],[ACTIVITY]],TAGS!$B:$P,13,FALSE)</f>
        <v>1. Bayanihan Agri Cluster</v>
      </c>
      <c r="AB636" s="54" t="str">
        <f>VLOOKUP(Table3[[#This Row],[ACTIVITY]],TAGS!$B:$P,14,FALSE)</f>
        <v>IMPROVE AND EXPAND LOCAL AND INTERNATIONAL MARKET ACCESS</v>
      </c>
      <c r="AC636" s="54" t="str">
        <f>VLOOKUP(Table3[[#This Row],[ACTIVITY]],TAGS!$B:$P,15,FALSE)</f>
        <v>Capacity Building</v>
      </c>
      <c r="AD636" s="54" t="str">
        <f>VLOOKUP(Table3[[#This Row],[PI LEVEL 3]],'PI LEVEL'!$A:$G,7,FALSE)</f>
        <v>PREXC/DA-Level Output</v>
      </c>
      <c r="AE636" s="60"/>
      <c r="AF636" s="54" t="str">
        <f>VLOOKUP(Table3[[#This Row],[ACTIVITY]],TAGS!$B:$P,3,FALSE)</f>
        <v>number</v>
      </c>
      <c r="AG636" s="60"/>
      <c r="AH636" s="54" t="e">
        <f>VLOOKUP(Table3[[#This Row],[MONTH]],TAGS!$W$67:$Y$81,2,FALSE)</f>
        <v>#N/A</v>
      </c>
      <c r="AI636" s="54" t="e">
        <f>VLOOKUP(Table3[[#This Row],[MONTH]],TAGS!$W$67:$Y$81,3,FALSE)</f>
        <v>#N/A</v>
      </c>
      <c r="AJ636" s="54" t="e">
        <f>VLOOKUP(Table3[[#This Row],[MONTH]],TAGS!$W$67:$Z$81,4,FALSE)</f>
        <v>#N/A</v>
      </c>
      <c r="AK636" s="60">
        <v>4</v>
      </c>
      <c r="AL636" s="54" t="str">
        <f>VLOOKUP(Table3[[#This Row],[ACTIVITY]],TAGS!$B:$R,16,FALSE)</f>
        <v>NO</v>
      </c>
      <c r="AM636" s="60">
        <f>Table3[[#This Row],[TARGET]]/20</f>
        <v>0.2</v>
      </c>
      <c r="AN636" s="60">
        <v>200</v>
      </c>
      <c r="AO636" s="57">
        <v>120</v>
      </c>
      <c r="AP636" s="62"/>
      <c r="AQ636" s="62"/>
      <c r="AR636" s="62"/>
      <c r="AS636" s="62"/>
      <c r="AT636" s="63" t="str">
        <f>VLOOKUP(Table3[[#This Row],[ACTIVITY]],TAGS!$B:$R,17,FALSE)</f>
        <v>NO</v>
      </c>
      <c r="AU636" s="63"/>
      <c r="AV636" s="63"/>
      <c r="AW636" s="63"/>
      <c r="AX636" s="63"/>
      <c r="AY636" s="63"/>
      <c r="AZ636" s="63"/>
      <c r="BA636" s="63"/>
      <c r="BB636" s="63"/>
      <c r="BC636" s="63"/>
      <c r="BD636" s="63"/>
      <c r="BE636" s="63"/>
      <c r="BF636" s="63"/>
      <c r="BG636" s="63"/>
      <c r="BH636" s="63"/>
      <c r="BI636" s="63"/>
      <c r="BJ636" s="63"/>
      <c r="BK636" s="63"/>
      <c r="BL636" s="63"/>
      <c r="BM636" s="63"/>
    </row>
    <row r="637" spans="1:65">
      <c r="A637" s="54" t="str">
        <f>VLOOKUP(Table3[[#This Row],[OU]],OU!$A$15:$B$34,2,FALSE)</f>
        <v>RFOs</v>
      </c>
      <c r="B637" s="60" t="s">
        <v>436</v>
      </c>
      <c r="C637" s="60" t="s">
        <v>574</v>
      </c>
      <c r="D637" s="60"/>
      <c r="E637" s="60" t="s">
        <v>78</v>
      </c>
      <c r="F637" s="60"/>
      <c r="G63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3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37" s="61" t="e">
        <f>VLOOKUP(Table3[[#This Row],[PSGC]],DISTRICT!$D:$G,4,FALSE)</f>
        <v>#N/A</v>
      </c>
      <c r="J637" s="60" t="s">
        <v>578</v>
      </c>
      <c r="K637" s="51" t="str">
        <f>VLOOKUP(Table3[[#This Row],[SPECIFIC COMMODITY]],TAGS!$W$48:$X$53,2,FALSE)</f>
        <v>Corn</v>
      </c>
      <c r="L637" s="51" t="str">
        <f>VLOOKUP(Table3[[#This Row],[PREXC SUB-PROGRAM]],Table5[],2,FALSE)</f>
        <v>TECHNICAL AND SUPPORT SERVICES PROGRAM</v>
      </c>
      <c r="M637" s="51" t="str">
        <f>VLOOKUP(Table3[[#This Row],[COMMODITY PREXC SUB-PROGRAM]],TAGS!$U$54:$V$76,2,FALSE)</f>
        <v>ESETS</v>
      </c>
      <c r="N637" s="60" t="s">
        <v>587</v>
      </c>
      <c r="O637" s="54" t="str">
        <f>VLOOKUP(Table3[[#This Row],[PI LEVEL 3]],'PI LEVEL'!A:C,3,FALSE)</f>
        <v>Training conducted</v>
      </c>
      <c r="P637" s="54" t="str">
        <f>VLOOKUP(Table3[[#This Row],[PI LEVEL 3]],Table53729[[Performance Indicator Level 3]:[Performance Indicator Level 1]],2,FALSE)</f>
        <v>Other training conducted</v>
      </c>
      <c r="Q637" s="54" t="str">
        <f>VLOOKUP(Table3[[#This Row],[ACTIVITY]],TAGS!B:P,2,FALSE)</f>
        <v>Other training conducted_Farmers/Fisherfolk/Other External Participants</v>
      </c>
      <c r="R637" s="60" t="s">
        <v>139</v>
      </c>
      <c r="S637" s="54" t="str">
        <f>VLOOKUP(Table3[[#This Row],[ACTIVITY]],TAGS!$B:$P,4,FALSE)</f>
        <v>Trainings</v>
      </c>
      <c r="T637" s="54" t="str">
        <f>VLOOKUP(Table3[[#This Row],[ACTIVITY]],TAGS!$B:$P,5,FALSE)</f>
        <v>Trainings</v>
      </c>
      <c r="U637" s="54" t="str">
        <f>VLOOKUP(Table3[[#This Row],[ACTIVITY]],TAGS!$B:$P,6,FALSE)</f>
        <v>Corn Production Training</v>
      </c>
      <c r="V637" s="54" t="str">
        <f>VLOOKUP(Table3[[#This Row],[ACTIVITY]],TAGS!$B:$P,7,FALSE)</f>
        <v>NO</v>
      </c>
      <c r="W637" s="54" t="str">
        <f>VLOOKUP(Table3[[#This Row],[ACTIVITY]],TAGS!$B:$P,8,FALSE)</f>
        <v>PAP</v>
      </c>
      <c r="X637" s="54" t="str">
        <f>VLOOKUP(Table3[[#This Row],[ACTIVITY]],TAGS!$B:$P,10,FALSE)</f>
        <v>PIP</v>
      </c>
      <c r="Y637" s="54" t="str">
        <f>VLOOKUP(Table3[[#This Row],[ACTIVITY]],TAGS!$B:$P,11,FALSE)</f>
        <v>PICS</v>
      </c>
      <c r="Z637" s="54" t="str">
        <f>VLOOKUP(Table3[[#This Row],[ACTIVITY]],TAGS!$B:$P,12,FALSE)</f>
        <v>Consolidation</v>
      </c>
      <c r="AA637" s="54" t="str">
        <f>VLOOKUP(Table3[[#This Row],[ACTIVITY]],TAGS!$B:$P,13,FALSE)</f>
        <v>1. Bayanihan Agri Cluster</v>
      </c>
      <c r="AB637" s="54" t="str">
        <f>VLOOKUP(Table3[[#This Row],[ACTIVITY]],TAGS!$B:$P,14,FALSE)</f>
        <v>EXPAND AND IMPROVE AVAILABLE AGRI-FISHERY AREAS FOR INCREASED PRODUCTION</v>
      </c>
      <c r="AC637" s="54" t="str">
        <f>VLOOKUP(Table3[[#This Row],[ACTIVITY]],TAGS!$B:$P,15,FALSE)</f>
        <v>Capacity Building</v>
      </c>
      <c r="AD637" s="54" t="str">
        <f>VLOOKUP(Table3[[#This Row],[PI LEVEL 3]],'PI LEVEL'!$A:$G,7,FALSE)</f>
        <v>PREXC/DA-Level Output</v>
      </c>
      <c r="AE637" s="60"/>
      <c r="AF637" s="54" t="str">
        <f>VLOOKUP(Table3[[#This Row],[ACTIVITY]],TAGS!$B:$P,3,FALSE)</f>
        <v>number</v>
      </c>
      <c r="AG637" s="60"/>
      <c r="AH637" s="54" t="e">
        <f>VLOOKUP(Table3[[#This Row],[MONTH]],TAGS!$W$67:$Y$81,2,FALSE)</f>
        <v>#N/A</v>
      </c>
      <c r="AI637" s="54" t="e">
        <f>VLOOKUP(Table3[[#This Row],[MONTH]],TAGS!$W$67:$Y$81,3,FALSE)</f>
        <v>#N/A</v>
      </c>
      <c r="AJ637" s="54" t="e">
        <f>VLOOKUP(Table3[[#This Row],[MONTH]],TAGS!$W$67:$Z$81,4,FALSE)</f>
        <v>#N/A</v>
      </c>
      <c r="AK637" s="60">
        <v>4</v>
      </c>
      <c r="AL637" s="54" t="str">
        <f>VLOOKUP(Table3[[#This Row],[ACTIVITY]],TAGS!$B:$R,16,FALSE)</f>
        <v>NO</v>
      </c>
      <c r="AM637" s="60">
        <f>Table3[[#This Row],[TARGET]]/20</f>
        <v>0.2</v>
      </c>
      <c r="AN637" s="60">
        <v>140</v>
      </c>
      <c r="AO637" s="57">
        <v>120</v>
      </c>
      <c r="AP637" s="62"/>
      <c r="AQ637" s="62"/>
      <c r="AR637" s="62"/>
      <c r="AS637" s="62"/>
      <c r="AT637" s="63" t="str">
        <f>VLOOKUP(Table3[[#This Row],[ACTIVITY]],TAGS!$B:$R,17,FALSE)</f>
        <v>NO</v>
      </c>
      <c r="AU637" s="63"/>
      <c r="AV637" s="63"/>
      <c r="AW637" s="63"/>
      <c r="AX637" s="63"/>
      <c r="AY637" s="63"/>
      <c r="AZ637" s="63"/>
      <c r="BA637" s="63"/>
      <c r="BB637" s="63"/>
      <c r="BC637" s="63"/>
      <c r="BD637" s="63"/>
      <c r="BE637" s="63"/>
      <c r="BF637" s="63"/>
      <c r="BG637" s="63"/>
      <c r="BH637" s="63"/>
      <c r="BI637" s="63"/>
      <c r="BJ637" s="63"/>
      <c r="BK637" s="63"/>
      <c r="BL637" s="63"/>
      <c r="BM637" s="63"/>
    </row>
    <row r="638" spans="1:65">
      <c r="A638" s="54" t="str">
        <f>VLOOKUP(Table3[[#This Row],[OU]],OU!$A$15:$B$34,2,FALSE)</f>
        <v>RFOs</v>
      </c>
      <c r="B638" s="60" t="s">
        <v>436</v>
      </c>
      <c r="C638" s="60" t="s">
        <v>574</v>
      </c>
      <c r="D638" s="60"/>
      <c r="E638" s="60" t="s">
        <v>78</v>
      </c>
      <c r="F638" s="60"/>
      <c r="G63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3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38" s="61" t="e">
        <f>VLOOKUP(Table3[[#This Row],[PSGC]],DISTRICT!$D:$G,4,FALSE)</f>
        <v>#N/A</v>
      </c>
      <c r="J638" s="60" t="s">
        <v>578</v>
      </c>
      <c r="K638" s="51" t="str">
        <f>VLOOKUP(Table3[[#This Row],[SPECIFIC COMMODITY]],TAGS!$W$48:$X$53,2,FALSE)</f>
        <v>Corn</v>
      </c>
      <c r="L638" s="51" t="str">
        <f>VLOOKUP(Table3[[#This Row],[PREXC SUB-PROGRAM]],Table5[],2,FALSE)</f>
        <v>TECHNICAL AND SUPPORT SERVICES PROGRAM</v>
      </c>
      <c r="M638" s="51" t="str">
        <f>VLOOKUP(Table3[[#This Row],[COMMODITY PREXC SUB-PROGRAM]],TAGS!$U$54:$V$76,2,FALSE)</f>
        <v>ESETS</v>
      </c>
      <c r="N638" s="60" t="s">
        <v>587</v>
      </c>
      <c r="O638" s="54" t="str">
        <f>VLOOKUP(Table3[[#This Row],[PI LEVEL 3]],'PI LEVEL'!A:C,3,FALSE)</f>
        <v>Training conducted</v>
      </c>
      <c r="P638" s="54" t="str">
        <f>VLOOKUP(Table3[[#This Row],[PI LEVEL 3]],Table53729[[Performance Indicator Level 3]:[Performance Indicator Level 1]],2,FALSE)</f>
        <v>Other training conducted</v>
      </c>
      <c r="Q638" s="54" t="str">
        <f>VLOOKUP(Table3[[#This Row],[ACTIVITY]],TAGS!B:P,2,FALSE)</f>
        <v>Other training conducted_Farmers/Fisherfolk/Other External Participants</v>
      </c>
      <c r="R638" s="60" t="s">
        <v>143</v>
      </c>
      <c r="S638" s="54" t="str">
        <f>VLOOKUP(Table3[[#This Row],[ACTIVITY]],TAGS!$B:$P,4,FALSE)</f>
        <v>Trainings</v>
      </c>
      <c r="T638" s="54" t="str">
        <f>VLOOKUP(Table3[[#This Row],[ACTIVITY]],TAGS!$B:$P,5,FALSE)</f>
        <v>Trainings</v>
      </c>
      <c r="U638" s="54" t="str">
        <f>VLOOKUP(Table3[[#This Row],[ACTIVITY]],TAGS!$B:$P,6,FALSE)</f>
        <v>Training on Operation and Maintenance of Farm Machinery and Equipment</v>
      </c>
      <c r="V638" s="54" t="str">
        <f>VLOOKUP(Table3[[#This Row],[ACTIVITY]],TAGS!$B:$P,7,FALSE)</f>
        <v>NO</v>
      </c>
      <c r="W638" s="54" t="str">
        <f>VLOOKUP(Table3[[#This Row],[ACTIVITY]],TAGS!$B:$P,8,FALSE)</f>
        <v>PAP</v>
      </c>
      <c r="X638" s="54" t="str">
        <f>VLOOKUP(Table3[[#This Row],[ACTIVITY]],TAGS!$B:$P,10,FALSE)</f>
        <v>PIP</v>
      </c>
      <c r="Y638" s="54" t="str">
        <f>VLOOKUP(Table3[[#This Row],[ACTIVITY]],TAGS!$B:$P,11,FALSE)</f>
        <v>PICS</v>
      </c>
      <c r="Z638" s="54" t="str">
        <f>VLOOKUP(Table3[[#This Row],[ACTIVITY]],TAGS!$B:$P,12,FALSE)</f>
        <v>Consolidation</v>
      </c>
      <c r="AA638" s="54" t="str">
        <f>VLOOKUP(Table3[[#This Row],[ACTIVITY]],TAGS!$B:$P,13,FALSE)</f>
        <v>1. Bayanihan Agri Cluster</v>
      </c>
      <c r="AB638" s="54" t="str">
        <f>VLOOKUP(Table3[[#This Row],[ACTIVITY]],TAGS!$B:$P,14,FALSE)</f>
        <v>DEVELOP AND IMPROVE POST-HARVEST SYSTEMS AND INFRASTRUCTURE</v>
      </c>
      <c r="AC638" s="54" t="str">
        <f>VLOOKUP(Table3[[#This Row],[ACTIVITY]],TAGS!$B:$P,15,FALSE)</f>
        <v>Capacity Building</v>
      </c>
      <c r="AD638" s="54" t="str">
        <f>VLOOKUP(Table3[[#This Row],[PI LEVEL 3]],'PI LEVEL'!$A:$G,7,FALSE)</f>
        <v>PREXC/DA-Level Output</v>
      </c>
      <c r="AE638" s="60"/>
      <c r="AF638" s="54" t="str">
        <f>VLOOKUP(Table3[[#This Row],[ACTIVITY]],TAGS!$B:$P,3,FALSE)</f>
        <v>number</v>
      </c>
      <c r="AG638" s="60"/>
      <c r="AH638" s="54" t="e">
        <f>VLOOKUP(Table3[[#This Row],[MONTH]],TAGS!$W$67:$Y$81,2,FALSE)</f>
        <v>#N/A</v>
      </c>
      <c r="AI638" s="54" t="e">
        <f>VLOOKUP(Table3[[#This Row],[MONTH]],TAGS!$W$67:$Y$81,3,FALSE)</f>
        <v>#N/A</v>
      </c>
      <c r="AJ638" s="54" t="e">
        <f>VLOOKUP(Table3[[#This Row],[MONTH]],TAGS!$W$67:$Z$81,4,FALSE)</f>
        <v>#N/A</v>
      </c>
      <c r="AK638" s="60">
        <v>3</v>
      </c>
      <c r="AL638" s="54" t="str">
        <f>VLOOKUP(Table3[[#This Row],[ACTIVITY]],TAGS!$B:$R,16,FALSE)</f>
        <v>NO</v>
      </c>
      <c r="AM638" s="60">
        <f>Table3[[#This Row],[TARGET]]/20</f>
        <v>0.15</v>
      </c>
      <c r="AN638" s="60">
        <v>300</v>
      </c>
      <c r="AO638" s="57">
        <v>90</v>
      </c>
      <c r="AP638" s="62"/>
      <c r="AQ638" s="62"/>
      <c r="AR638" s="62"/>
      <c r="AS638" s="62"/>
      <c r="AT638" s="63" t="str">
        <f>VLOOKUP(Table3[[#This Row],[ACTIVITY]],TAGS!$B:$R,17,FALSE)</f>
        <v>NO</v>
      </c>
      <c r="AU638" s="63"/>
      <c r="AV638" s="63"/>
      <c r="AW638" s="63"/>
      <c r="AX638" s="63"/>
      <c r="AY638" s="63"/>
      <c r="AZ638" s="63"/>
      <c r="BA638" s="63"/>
      <c r="BB638" s="63"/>
      <c r="BC638" s="63"/>
      <c r="BD638" s="63"/>
      <c r="BE638" s="63"/>
      <c r="BF638" s="63"/>
      <c r="BG638" s="63"/>
      <c r="BH638" s="63"/>
      <c r="BI638" s="63"/>
      <c r="BJ638" s="63"/>
      <c r="BK638" s="63"/>
      <c r="BL638" s="63"/>
      <c r="BM638" s="63"/>
    </row>
    <row r="639" spans="1:65">
      <c r="A639" s="54" t="str">
        <f>VLOOKUP(Table3[[#This Row],[OU]],OU!$A$15:$B$34,2,FALSE)</f>
        <v>RFOs</v>
      </c>
      <c r="B639" s="60" t="s">
        <v>436</v>
      </c>
      <c r="C639" s="60" t="s">
        <v>574</v>
      </c>
      <c r="D639" s="60"/>
      <c r="E639" s="60" t="s">
        <v>78</v>
      </c>
      <c r="F639" s="60"/>
      <c r="G63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3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39" s="61" t="e">
        <f>VLOOKUP(Table3[[#This Row],[PSGC]],DISTRICT!$D:$G,4,FALSE)</f>
        <v>#N/A</v>
      </c>
      <c r="J639" s="60" t="s">
        <v>578</v>
      </c>
      <c r="K639" s="51" t="str">
        <f>VLOOKUP(Table3[[#This Row],[SPECIFIC COMMODITY]],TAGS!$W$48:$X$53,2,FALSE)</f>
        <v>Corn</v>
      </c>
      <c r="L639" s="51" t="str">
        <f>VLOOKUP(Table3[[#This Row],[PREXC SUB-PROGRAM]],Table5[],2,FALSE)</f>
        <v>TECHNICAL AND SUPPORT SERVICES PROGRAM</v>
      </c>
      <c r="M639" s="51" t="str">
        <f>VLOOKUP(Table3[[#This Row],[COMMODITY PREXC SUB-PROGRAM]],TAGS!$U$54:$V$76,2,FALSE)</f>
        <v>ESETS</v>
      </c>
      <c r="N639" s="60" t="s">
        <v>587</v>
      </c>
      <c r="O639" s="54" t="str">
        <f>VLOOKUP(Table3[[#This Row],[PI LEVEL 3]],'PI LEVEL'!A:C,3,FALSE)</f>
        <v>Training conducted</v>
      </c>
      <c r="P639" s="54" t="str">
        <f>VLOOKUP(Table3[[#This Row],[PI LEVEL 3]],Table53729[[Performance Indicator Level 3]:[Performance Indicator Level 1]],2,FALSE)</f>
        <v>Other training conducted</v>
      </c>
      <c r="Q639" s="54" t="str">
        <f>VLOOKUP(Table3[[#This Row],[ACTIVITY]],TAGS!B:P,2,FALSE)</f>
        <v>Other training conducted_Farmers/Fisherfolk/Other External Participants</v>
      </c>
      <c r="R639" s="60" t="s">
        <v>141</v>
      </c>
      <c r="S639" s="54" t="str">
        <f>VLOOKUP(Table3[[#This Row],[ACTIVITY]],TAGS!$B:$P,4,FALSE)</f>
        <v>Trainings</v>
      </c>
      <c r="T639" s="54" t="str">
        <f>VLOOKUP(Table3[[#This Row],[ACTIVITY]],TAGS!$B:$P,5,FALSE)</f>
        <v>Trainings</v>
      </c>
      <c r="U639" s="54" t="str">
        <f>VLOOKUP(Table3[[#This Row],[ACTIVITY]],TAGS!$B:$P,6,FALSE)</f>
        <v>Integrated Pest Management Training</v>
      </c>
      <c r="V639" s="54" t="str">
        <f>VLOOKUP(Table3[[#This Row],[ACTIVITY]],TAGS!$B:$P,7,FALSE)</f>
        <v>NO</v>
      </c>
      <c r="W639" s="54" t="str">
        <f>VLOOKUP(Table3[[#This Row],[ACTIVITY]],TAGS!$B:$P,8,FALSE)</f>
        <v>PAP</v>
      </c>
      <c r="X639" s="54" t="str">
        <f>VLOOKUP(Table3[[#This Row],[ACTIVITY]],TAGS!$B:$P,10,FALSE)</f>
        <v>PIP</v>
      </c>
      <c r="Y639" s="54" t="str">
        <f>VLOOKUP(Table3[[#This Row],[ACTIVITY]],TAGS!$B:$P,11,FALSE)</f>
        <v>PICS</v>
      </c>
      <c r="Z639" s="54" t="str">
        <f>VLOOKUP(Table3[[#This Row],[ACTIVITY]],TAGS!$B:$P,12,FALSE)</f>
        <v>Modernization</v>
      </c>
      <c r="AA639" s="54" t="str">
        <f>VLOOKUP(Table3[[#This Row],[ACTIVITY]],TAGS!$B:$P,13,FALSE)</f>
        <v>9. Climate Change Adaptation &amp; Mitigation Measures</v>
      </c>
      <c r="AB639" s="54" t="str">
        <f>VLOOKUP(Table3[[#This Row],[ACTIVITY]],TAGS!$B:$P,14,FALSE)</f>
        <v>EXPAND AND IMPROVE AVAILABLE AGRI-FISHERY AREAS FOR INCREASED PRODUCTION</v>
      </c>
      <c r="AC639" s="54" t="str">
        <f>VLOOKUP(Table3[[#This Row],[ACTIVITY]],TAGS!$B:$P,15,FALSE)</f>
        <v>Capacity Building</v>
      </c>
      <c r="AD639" s="54" t="str">
        <f>VLOOKUP(Table3[[#This Row],[PI LEVEL 3]],'PI LEVEL'!$A:$G,7,FALSE)</f>
        <v>PREXC/DA-Level Output</v>
      </c>
      <c r="AE639" s="60"/>
      <c r="AF639" s="54" t="str">
        <f>VLOOKUP(Table3[[#This Row],[ACTIVITY]],TAGS!$B:$P,3,FALSE)</f>
        <v>number</v>
      </c>
      <c r="AG639" s="60"/>
      <c r="AH639" s="54" t="e">
        <f>VLOOKUP(Table3[[#This Row],[MONTH]],TAGS!$W$67:$Y$81,2,FALSE)</f>
        <v>#N/A</v>
      </c>
      <c r="AI639" s="54" t="e">
        <f>VLOOKUP(Table3[[#This Row],[MONTH]],TAGS!$W$67:$Y$81,3,FALSE)</f>
        <v>#N/A</v>
      </c>
      <c r="AJ639" s="54" t="e">
        <f>VLOOKUP(Table3[[#This Row],[MONTH]],TAGS!$W$67:$Z$81,4,FALSE)</f>
        <v>#N/A</v>
      </c>
      <c r="AK639" s="60">
        <v>4</v>
      </c>
      <c r="AL639" s="54" t="str">
        <f>VLOOKUP(Table3[[#This Row],[ACTIVITY]],TAGS!$B:$R,16,FALSE)</f>
        <v>NO</v>
      </c>
      <c r="AM639" s="60">
        <f>Table3[[#This Row],[TARGET]]/20</f>
        <v>0.2</v>
      </c>
      <c r="AN639" s="60">
        <v>400</v>
      </c>
      <c r="AO639" s="57">
        <v>120</v>
      </c>
      <c r="AP639" s="62"/>
      <c r="AQ639" s="62"/>
      <c r="AR639" s="62"/>
      <c r="AS639" s="62"/>
      <c r="AT639" s="63" t="str">
        <f>VLOOKUP(Table3[[#This Row],[ACTIVITY]],TAGS!$B:$R,17,FALSE)</f>
        <v>NO</v>
      </c>
      <c r="AU639" s="63"/>
      <c r="AV639" s="63"/>
      <c r="AW639" s="63"/>
      <c r="AX639" s="63"/>
      <c r="AY639" s="63"/>
      <c r="AZ639" s="63"/>
      <c r="BA639" s="63"/>
      <c r="BB639" s="63"/>
      <c r="BC639" s="63"/>
      <c r="BD639" s="63"/>
      <c r="BE639" s="63"/>
      <c r="BF639" s="63"/>
      <c r="BG639" s="63"/>
      <c r="BH639" s="63"/>
      <c r="BI639" s="63"/>
      <c r="BJ639" s="63"/>
      <c r="BK639" s="63"/>
      <c r="BL639" s="63"/>
      <c r="BM639" s="63"/>
    </row>
    <row r="640" spans="1:65">
      <c r="A640" s="54" t="str">
        <f>VLOOKUP(Table3[[#This Row],[OU]],OU!$A$15:$B$34,2,FALSE)</f>
        <v>RFOs</v>
      </c>
      <c r="B640" s="60" t="s">
        <v>436</v>
      </c>
      <c r="C640" s="60" t="s">
        <v>574</v>
      </c>
      <c r="D640" s="60"/>
      <c r="E640" s="60" t="s">
        <v>78</v>
      </c>
      <c r="F640" s="60"/>
      <c r="G64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4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40" s="61" t="e">
        <f>VLOOKUP(Table3[[#This Row],[PSGC]],DISTRICT!$D:$G,4,FALSE)</f>
        <v>#N/A</v>
      </c>
      <c r="J640" s="60" t="s">
        <v>578</v>
      </c>
      <c r="K640" s="51" t="str">
        <f>VLOOKUP(Table3[[#This Row],[SPECIFIC COMMODITY]],TAGS!$W$48:$X$53,2,FALSE)</f>
        <v>Corn</v>
      </c>
      <c r="L640" s="51" t="str">
        <f>VLOOKUP(Table3[[#This Row],[PREXC SUB-PROGRAM]],Table5[],2,FALSE)</f>
        <v>TECHNICAL AND SUPPORT SERVICES PROGRAM</v>
      </c>
      <c r="M640" s="51" t="str">
        <f>VLOOKUP(Table3[[#This Row],[COMMODITY PREXC SUB-PROGRAM]],TAGS!$U$54:$V$76,2,FALSE)</f>
        <v>ESETS</v>
      </c>
      <c r="N640" s="60" t="s">
        <v>587</v>
      </c>
      <c r="O640" s="54" t="str">
        <f>VLOOKUP(Table3[[#This Row],[PI LEVEL 3]],'PI LEVEL'!A:C,3,FALSE)</f>
        <v>Knowledge Products disseminated</v>
      </c>
      <c r="P640" s="54" t="str">
        <f>VLOOKUP(Table3[[#This Row],[PI LEVEL 3]],Table53729[[Performance Indicator Level 3]:[Performance Indicator Level 1]],2,FALSE)</f>
        <v>Knowledge Products disseminated</v>
      </c>
      <c r="Q640" s="54" t="str">
        <f>VLOOKUP(Table3[[#This Row],[ACTIVITY]],TAGS!B:P,2,FALSE)</f>
        <v>Knowledge Products disseminated</v>
      </c>
      <c r="R640" s="60" t="s">
        <v>145</v>
      </c>
      <c r="S640" s="54" t="str">
        <f>VLOOKUP(Table3[[#This Row],[ACTIVITY]],TAGS!$B:$P,4,FALSE)</f>
        <v>Information, Education, and Communication Activities</v>
      </c>
      <c r="T640" s="54" t="str">
        <f>VLOOKUP(Table3[[#This Row],[ACTIVITY]],TAGS!$B:$P,5,FALSE)</f>
        <v>Information, Education, and Communication Activities</v>
      </c>
      <c r="U640" s="54" t="str">
        <f>VLOOKUP(Table3[[#This Row],[ACTIVITY]],TAGS!$B:$P,6,FALSE)</f>
        <v>IEC materials</v>
      </c>
      <c r="V640" s="54" t="str">
        <f>VLOOKUP(Table3[[#This Row],[ACTIVITY]],TAGS!$B:$P,7,FALSE)</f>
        <v>NO</v>
      </c>
      <c r="W640" s="54" t="str">
        <f>VLOOKUP(Table3[[#This Row],[ACTIVITY]],TAGS!$B:$P,8,FALSE)</f>
        <v>PAP</v>
      </c>
      <c r="X640" s="54" t="str">
        <f>VLOOKUP(Table3[[#This Row],[ACTIVITY]],TAGS!$B:$P,10,FALSE)</f>
        <v>PIP</v>
      </c>
      <c r="Y640" s="54" t="str">
        <f>VLOOKUP(Table3[[#This Row],[ACTIVITY]],TAGS!$B:$P,11,FALSE)</f>
        <v>PICS</v>
      </c>
      <c r="Z640" s="54" t="str">
        <f>VLOOKUP(Table3[[#This Row],[ACTIVITY]],TAGS!$B:$P,12,FALSE)</f>
        <v>Strategic Communication</v>
      </c>
      <c r="AA640" s="54" t="str">
        <f>VLOOKUP(Table3[[#This Row],[ACTIVITY]],TAGS!$B:$P,13,FALSE)</f>
        <v>18. Strategic Communications​</v>
      </c>
      <c r="AB640" s="54">
        <f>VLOOKUP(Table3[[#This Row],[ACTIVITY]],TAGS!$B:$P,14,FALSE)</f>
        <v>0</v>
      </c>
      <c r="AC640" s="54" t="str">
        <f>VLOOKUP(Table3[[#This Row],[ACTIVITY]],TAGS!$B:$P,15,FALSE)</f>
        <v>IEC</v>
      </c>
      <c r="AD640" s="54" t="str">
        <f>VLOOKUP(Table3[[#This Row],[PI LEVEL 3]],'PI LEVEL'!$A:$G,7,FALSE)</f>
        <v>DA-Level Output</v>
      </c>
      <c r="AE640" s="60"/>
      <c r="AF640" s="54" t="str">
        <f>VLOOKUP(Table3[[#This Row],[ACTIVITY]],TAGS!$B:$P,3,FALSE)</f>
        <v>Print disseminated</v>
      </c>
      <c r="AG640" s="60"/>
      <c r="AH640" s="54" t="e">
        <f>VLOOKUP(Table3[[#This Row],[MONTH]],TAGS!$W$67:$Y$81,2,FALSE)</f>
        <v>#N/A</v>
      </c>
      <c r="AI640" s="54" t="e">
        <f>VLOOKUP(Table3[[#This Row],[MONTH]],TAGS!$W$67:$Y$81,3,FALSE)</f>
        <v>#N/A</v>
      </c>
      <c r="AJ640" s="54" t="e">
        <f>VLOOKUP(Table3[[#This Row],[MONTH]],TAGS!$W$67:$Z$81,4,FALSE)</f>
        <v>#N/A</v>
      </c>
      <c r="AK640" s="60">
        <v>6000</v>
      </c>
      <c r="AL640" s="54" t="str">
        <f>VLOOKUP(Table3[[#This Row],[ACTIVITY]],TAGS!$B:$R,16,FALSE)</f>
        <v>NO</v>
      </c>
      <c r="AM640" s="60">
        <f>Table3[[#This Row],[TARGET]]/20</f>
        <v>300</v>
      </c>
      <c r="AN640" s="60">
        <v>200</v>
      </c>
      <c r="AO640" s="57"/>
      <c r="AP640" s="62"/>
      <c r="AQ640" s="62"/>
      <c r="AR640" s="62"/>
      <c r="AS640" s="62"/>
      <c r="AT640" s="63" t="str">
        <f>VLOOKUP(Table3[[#This Row],[ACTIVITY]],TAGS!$B:$R,17,FALSE)</f>
        <v>NO</v>
      </c>
      <c r="AU640" s="63"/>
      <c r="AV640" s="63"/>
      <c r="AW640" s="63"/>
      <c r="AX640" s="63"/>
      <c r="AY640" s="63"/>
      <c r="AZ640" s="63"/>
      <c r="BA640" s="63"/>
      <c r="BB640" s="63"/>
      <c r="BC640" s="63"/>
      <c r="BD640" s="63"/>
      <c r="BE640" s="63"/>
      <c r="BF640" s="63"/>
      <c r="BG640" s="63"/>
      <c r="BH640" s="63"/>
      <c r="BI640" s="63"/>
      <c r="BJ640" s="63"/>
      <c r="BK640" s="63"/>
      <c r="BL640" s="63"/>
      <c r="BM640" s="63"/>
    </row>
    <row r="641" spans="1:65">
      <c r="A641" s="54" t="str">
        <f>VLOOKUP(Table3[[#This Row],[OU]],OU!$A$15:$B$34,2,FALSE)</f>
        <v>RFOs</v>
      </c>
      <c r="B641" s="60" t="s">
        <v>436</v>
      </c>
      <c r="C641" s="60" t="s">
        <v>574</v>
      </c>
      <c r="D641" s="60"/>
      <c r="E641" s="60" t="s">
        <v>78</v>
      </c>
      <c r="F641" s="60"/>
      <c r="G64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4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41" s="61" t="e">
        <f>VLOOKUP(Table3[[#This Row],[PSGC]],DISTRICT!$D:$G,4,FALSE)</f>
        <v>#N/A</v>
      </c>
      <c r="J641" s="60" t="s">
        <v>578</v>
      </c>
      <c r="K641" s="51" t="str">
        <f>VLOOKUP(Table3[[#This Row],[SPECIFIC COMMODITY]],TAGS!$W$48:$X$53,2,FALSE)</f>
        <v>Corn</v>
      </c>
      <c r="L641" s="51" t="str">
        <f>VLOOKUP(Table3[[#This Row],[PREXC SUB-PROGRAM]],Table5[],2,FALSE)</f>
        <v>TECHNICAL AND SUPPORT SERVICES PROGRAM</v>
      </c>
      <c r="M641" s="51" t="str">
        <f>VLOOKUP(Table3[[#This Row],[COMMODITY PREXC SUB-PROGRAM]],TAGS!$U$54:$V$76,2,FALSE)</f>
        <v>RND</v>
      </c>
      <c r="N641" s="60" t="s">
        <v>593</v>
      </c>
      <c r="O641" s="54" t="str">
        <f>VLOOKUP(Table3[[#This Row],[PI LEVEL 3]],'PI LEVEL'!A:C,3,FALSE)</f>
        <v>Research and development activities conducted</v>
      </c>
      <c r="P641" s="54" t="str">
        <f>VLOOKUP(Table3[[#This Row],[PI LEVEL 3]],Table53729[[Performance Indicator Level 3]:[Performance Indicator Level 1]],2,FALSE)</f>
        <v>Production-related R4D activities conducted</v>
      </c>
      <c r="Q641" s="54" t="str">
        <f>VLOOKUP(Table3[[#This Row],[ACTIVITY]],TAGS!B:P,2,FALSE)</f>
        <v>New Production-related R4D activities conducted</v>
      </c>
      <c r="R641" s="60" t="s">
        <v>168</v>
      </c>
      <c r="S641" s="54" t="str">
        <f>VLOOKUP(Table3[[#This Row],[ACTIVITY]],TAGS!$B:$P,4,FALSE)</f>
        <v>R&amp;D conducted</v>
      </c>
      <c r="T641" s="54" t="str">
        <f>VLOOKUP(Table3[[#This Row],[ACTIVITY]],TAGS!$B:$P,5,FALSE)</f>
        <v>RFOs &amp; Bureaus conducted R&amp;D</v>
      </c>
      <c r="U641" s="54" t="str">
        <f>VLOOKUP(Table3[[#This Row],[ACTIVITY]],TAGS!$B:$P,6,FALSE)</f>
        <v>New R&amp;D</v>
      </c>
      <c r="V641" s="54" t="str">
        <f>VLOOKUP(Table3[[#This Row],[ACTIVITY]],TAGS!$B:$P,7,FALSE)</f>
        <v>NO</v>
      </c>
      <c r="W641" s="54" t="str">
        <f>VLOOKUP(Table3[[#This Row],[ACTIVITY]],TAGS!$B:$P,8,FALSE)</f>
        <v>Research</v>
      </c>
      <c r="X641" s="54" t="str">
        <f>VLOOKUP(Table3[[#This Row],[ACTIVITY]],TAGS!$B:$P,10,FALSE)</f>
        <v>PIP</v>
      </c>
      <c r="Y641" s="54" t="str">
        <f>VLOOKUP(Table3[[#This Row],[ACTIVITY]],TAGS!$B:$P,11,FALSE)</f>
        <v>PICS</v>
      </c>
      <c r="Z641" s="54" t="str">
        <f>VLOOKUP(Table3[[#This Row],[ACTIVITY]],TAGS!$B:$P,12,FALSE)</f>
        <v>Modernization</v>
      </c>
      <c r="AA641" s="54">
        <f>VLOOKUP(Table3[[#This Row],[ACTIVITY]],TAGS!$B:$P,13,FALSE)</f>
        <v>0</v>
      </c>
      <c r="AB641" s="54" t="str">
        <f>VLOOKUP(Table3[[#This Row],[ACTIVITY]],TAGS!$B:$P,14,FALSE)</f>
        <v>EXPAND AND IMPROVE AVAILABLE AGRI-FISHERY AREAS FOR INCREASED PRODUCTION</v>
      </c>
      <c r="AC641" s="54" t="str">
        <f>VLOOKUP(Table3[[#This Row],[ACTIVITY]],TAGS!$B:$P,15,FALSE)</f>
        <v>R&amp;D</v>
      </c>
      <c r="AD641" s="54" t="str">
        <f>VLOOKUP(Table3[[#This Row],[PI LEVEL 3]],'PI LEVEL'!$A:$G,7,FALSE)</f>
        <v>DA-Level Output</v>
      </c>
      <c r="AE641" s="60"/>
      <c r="AF641" s="54" t="str">
        <f>VLOOKUP(Table3[[#This Row],[ACTIVITY]],TAGS!$B:$P,3,FALSE)</f>
        <v>number</v>
      </c>
      <c r="AG641" s="60"/>
      <c r="AH641" s="54" t="e">
        <f>VLOOKUP(Table3[[#This Row],[MONTH]],TAGS!$W$67:$Y$81,2,FALSE)</f>
        <v>#N/A</v>
      </c>
      <c r="AI641" s="54" t="e">
        <f>VLOOKUP(Table3[[#This Row],[MONTH]],TAGS!$W$67:$Y$81,3,FALSE)</f>
        <v>#N/A</v>
      </c>
      <c r="AJ641" s="54" t="e">
        <f>VLOOKUP(Table3[[#This Row],[MONTH]],TAGS!$W$67:$Z$81,4,FALSE)</f>
        <v>#N/A</v>
      </c>
      <c r="AK641" s="60">
        <v>1</v>
      </c>
      <c r="AL641" s="54" t="str">
        <f>VLOOKUP(Table3[[#This Row],[ACTIVITY]],TAGS!$B:$R,16,FALSE)</f>
        <v>NO</v>
      </c>
      <c r="AM641" s="60">
        <f>Table3[[#This Row],[TARGET]]/20</f>
        <v>0.05</v>
      </c>
      <c r="AN641" s="60">
        <v>5500</v>
      </c>
      <c r="AO641" s="57"/>
      <c r="AP641" s="62"/>
      <c r="AQ641" s="62"/>
      <c r="AR641" s="62"/>
      <c r="AS641" s="62"/>
      <c r="AT641" s="63" t="str">
        <f>VLOOKUP(Table3[[#This Row],[ACTIVITY]],TAGS!$B:$R,17,FALSE)</f>
        <v>NO</v>
      </c>
      <c r="AU641" s="63"/>
      <c r="AV641" s="63"/>
      <c r="AW641" s="63"/>
      <c r="AX641" s="63"/>
      <c r="AY641" s="63"/>
      <c r="AZ641" s="63"/>
      <c r="BA641" s="63"/>
      <c r="BB641" s="63"/>
      <c r="BC641" s="63"/>
      <c r="BD641" s="63"/>
      <c r="BE641" s="63"/>
      <c r="BF641" s="63"/>
      <c r="BG641" s="63"/>
      <c r="BH641" s="63"/>
      <c r="BI641" s="63"/>
      <c r="BJ641" s="63"/>
      <c r="BK641" s="63"/>
      <c r="BL641" s="63"/>
      <c r="BM641" s="63"/>
    </row>
    <row r="642" spans="1:65">
      <c r="A642" s="54" t="str">
        <f>VLOOKUP(Table3[[#This Row],[OU]],OU!$A$15:$B$34,2,FALSE)</f>
        <v>RFOs</v>
      </c>
      <c r="B642" s="60" t="s">
        <v>436</v>
      </c>
      <c r="C642" s="60" t="s">
        <v>574</v>
      </c>
      <c r="D642" s="60"/>
      <c r="E642" s="60" t="s">
        <v>43</v>
      </c>
      <c r="F642" s="60"/>
      <c r="G64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64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642" s="61" t="e">
        <f>VLOOKUP(Table3[[#This Row],[PSGC]],DISTRICT!$D:$G,4,FALSE)</f>
        <v>#N/A</v>
      </c>
      <c r="J642" s="60" t="s">
        <v>579</v>
      </c>
      <c r="K642" s="51" t="str">
        <f>VLOOKUP(Table3[[#This Row],[SPECIFIC COMMODITY]],TAGS!$W$48:$X$53,2,FALSE)</f>
        <v>Cassava</v>
      </c>
      <c r="L642" s="51" t="str">
        <f>VLOOKUP(Table3[[#This Row],[PREXC SUB-PROGRAM]],Table5[],2,FALSE)</f>
        <v>AGRICULTURAL  MACHINERY, EQUIPMENT, FACILITIES AND INFRASTRUCTURE PROGRAM</v>
      </c>
      <c r="M642" s="51" t="str">
        <f>VLOOKUP(Table3[[#This Row],[COMMODITY PREXC SUB-PROGRAM]],TAGS!$U$54:$V$76,2,FALSE)</f>
        <v>AMEFSS</v>
      </c>
      <c r="N642" s="60" t="s">
        <v>595</v>
      </c>
      <c r="O642" s="54" t="str">
        <f>VLOOKUP(Table3[[#This Row],[PI LEVEL 3]],'PI LEVEL'!A:C,3,FALSE)</f>
        <v>Other machinery and equipment distributed</v>
      </c>
      <c r="P642" s="54" t="str">
        <f>VLOOKUP(Table3[[#This Row],[PI LEVEL 3]],Table53729[[Performance Indicator Level 3]:[Performance Indicator Level 1]],2,FALSE)</f>
        <v>Other machinery and equipment distributed</v>
      </c>
      <c r="Q642" s="54" t="str">
        <f>VLOOKUP(Table3[[#This Row],[ACTIVITY]],TAGS!B:P,2,FALSE)</f>
        <v>Solar Bubble Dryer distributed_PSS</v>
      </c>
      <c r="R642" s="60" t="s">
        <v>196</v>
      </c>
      <c r="S642" s="54" t="str">
        <f>VLOOKUP(Table3[[#This Row],[ACTIVITY]],TAGS!$B:$P,4,FALSE)</f>
        <v>Postharvest related machinery &amp; equipment</v>
      </c>
      <c r="T642" s="54" t="str">
        <f>VLOOKUP(Table3[[#This Row],[ACTIVITY]],TAGS!$B:$P,5,FALSE)</f>
        <v>Postharvest-related</v>
      </c>
      <c r="U642" s="54" t="str">
        <f>VLOOKUP(Table3[[#This Row],[ACTIVITY]],TAGS!$B:$P,6,FALSE)</f>
        <v>Solar Bubble Dryer</v>
      </c>
      <c r="V642" s="54" t="str">
        <f>VLOOKUP(Table3[[#This Row],[ACTIVITY]],TAGS!$B:$P,7,FALSE)</f>
        <v>YES</v>
      </c>
      <c r="W642" s="54" t="str">
        <f>VLOOKUP(Table3[[#This Row],[ACTIVITY]],TAGS!$B:$P,8,FALSE)</f>
        <v>PAP</v>
      </c>
      <c r="X642" s="54" t="str">
        <f>VLOOKUP(Table3[[#This Row],[ACTIVITY]],TAGS!$B:$P,10,FALSE)</f>
        <v>PIP</v>
      </c>
      <c r="Y642" s="54" t="str">
        <f>VLOOKUP(Table3[[#This Row],[ACTIVITY]],TAGS!$B:$P,11,FALSE)</f>
        <v>PICS</v>
      </c>
      <c r="Z642" s="54" t="str">
        <f>VLOOKUP(Table3[[#This Row],[ACTIVITY]],TAGS!$B:$P,12,FALSE)</f>
        <v>Modernization</v>
      </c>
      <c r="AA642" s="54" t="str">
        <f>VLOOKUP(Table3[[#This Row],[ACTIVITY]],TAGS!$B:$P,13,FALSE)</f>
        <v>8. Farm Mechanization and Farm Investments</v>
      </c>
      <c r="AB642" s="54" t="str">
        <f>VLOOKUP(Table3[[#This Row],[ACTIVITY]],TAGS!$B:$P,14,FALSE)</f>
        <v>DEVELOP AND IMPROVE POST-HARVEST SYSTEMS AND INFRASTRUCTURE</v>
      </c>
      <c r="AC642" s="54" t="str">
        <f>VLOOKUP(Table3[[#This Row],[ACTIVITY]],TAGS!$B:$P,15,FALSE)</f>
        <v>Postharvest-related</v>
      </c>
      <c r="AD642" s="54" t="str">
        <f>VLOOKUP(Table3[[#This Row],[PI LEVEL 3]],'PI LEVEL'!$A:$G,7,FALSE)</f>
        <v>DA-Level Output</v>
      </c>
      <c r="AE642" s="60"/>
      <c r="AF642" s="54" t="str">
        <f>VLOOKUP(Table3[[#This Row],[ACTIVITY]],TAGS!$B:$P,3,FALSE)</f>
        <v>number</v>
      </c>
      <c r="AG642" s="60"/>
      <c r="AH642" s="54" t="e">
        <f>VLOOKUP(Table3[[#This Row],[MONTH]],TAGS!$W$67:$Y$81,2,FALSE)</f>
        <v>#N/A</v>
      </c>
      <c r="AI642" s="54" t="e">
        <f>VLOOKUP(Table3[[#This Row],[MONTH]],TAGS!$W$67:$Y$81,3,FALSE)</f>
        <v>#N/A</v>
      </c>
      <c r="AJ642" s="54" t="e">
        <f>VLOOKUP(Table3[[#This Row],[MONTH]],TAGS!$W$67:$Z$81,4,FALSE)</f>
        <v>#N/A</v>
      </c>
      <c r="AK642" s="60">
        <v>20</v>
      </c>
      <c r="AL642" s="54" t="str">
        <f>VLOOKUP(Table3[[#This Row],[ACTIVITY]],TAGS!$B:$R,16,FALSE)</f>
        <v>NO</v>
      </c>
      <c r="AM642" s="60">
        <f>Table3[[#This Row],[TARGET]]/20</f>
        <v>1</v>
      </c>
      <c r="AN642" s="60">
        <v>4000</v>
      </c>
      <c r="AO642" s="57"/>
      <c r="AP642" s="62"/>
      <c r="AQ642" s="62"/>
      <c r="AR642" s="62"/>
      <c r="AS642" s="62">
        <v>3</v>
      </c>
      <c r="AT642" s="63" t="str">
        <f>VLOOKUP(Table3[[#This Row],[ACTIVITY]],TAGS!$B:$R,17,FALSE)</f>
        <v>YES</v>
      </c>
      <c r="AU642" s="63"/>
      <c r="AV642" s="63"/>
      <c r="AW642" s="63"/>
      <c r="AX642" s="63"/>
      <c r="AY642" s="63"/>
      <c r="AZ642" s="63"/>
      <c r="BA642" s="63"/>
      <c r="BB642" s="63"/>
      <c r="BC642" s="63"/>
      <c r="BD642" s="63"/>
      <c r="BE642" s="63"/>
      <c r="BF642" s="63"/>
      <c r="BG642" s="63"/>
      <c r="BH642" s="63"/>
      <c r="BI642" s="63"/>
      <c r="BJ642" s="63"/>
      <c r="BK642" s="63"/>
      <c r="BL642" s="63"/>
      <c r="BM642" s="63"/>
    </row>
    <row r="643" spans="1:65">
      <c r="A643" s="54" t="str">
        <f>VLOOKUP(Table3[[#This Row],[OU]],OU!$A$15:$B$34,2,FALSE)</f>
        <v>RFOs</v>
      </c>
      <c r="B643" s="60" t="s">
        <v>436</v>
      </c>
      <c r="C643" s="60" t="s">
        <v>574</v>
      </c>
      <c r="D643" s="60"/>
      <c r="E643" s="60" t="s">
        <v>43</v>
      </c>
      <c r="F643" s="60"/>
      <c r="G64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64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643" s="61" t="e">
        <f>VLOOKUP(Table3[[#This Row],[PSGC]],DISTRICT!$D:$G,4,FALSE)</f>
        <v>#N/A</v>
      </c>
      <c r="J643" s="60" t="s">
        <v>579</v>
      </c>
      <c r="K643" s="51" t="str">
        <f>VLOOKUP(Table3[[#This Row],[SPECIFIC COMMODITY]],TAGS!$W$48:$X$53,2,FALSE)</f>
        <v>Cassava</v>
      </c>
      <c r="L643" s="51" t="str">
        <f>VLOOKUP(Table3[[#This Row],[PREXC SUB-PROGRAM]],Table5[],2,FALSE)</f>
        <v>AGRICULTURAL  MACHINERY, EQUIPMENT, FACILITIES AND INFRASTRUCTURE PROGRAM</v>
      </c>
      <c r="M643" s="51" t="str">
        <f>VLOOKUP(Table3[[#This Row],[COMMODITY PREXC SUB-PROGRAM]],TAGS!$U$54:$V$76,2,FALSE)</f>
        <v>AMEFSS</v>
      </c>
      <c r="N643" s="60" t="s">
        <v>595</v>
      </c>
      <c r="O643" s="54" t="str">
        <f>VLOOKUP(Table3[[#This Row],[PI LEVEL 3]],'PI LEVEL'!A:C,3,FALSE)</f>
        <v>Other infrastructure constructed</v>
      </c>
      <c r="P643" s="54" t="str">
        <f>VLOOKUP(Table3[[#This Row],[PI LEVEL 3]],Table53729[[Performance Indicator Level 3]:[Performance Indicator Level 1]],2,FALSE)</f>
        <v>Other infrastructure constructed</v>
      </c>
      <c r="Q643" s="54" t="str">
        <f>VLOOKUP(Table3[[#This Row],[ACTIVITY]],TAGS!B:P,2,FALSE)</f>
        <v>Water treatment system facility constructed</v>
      </c>
      <c r="R643" s="60" t="s">
        <v>198</v>
      </c>
      <c r="S643" s="54" t="str">
        <f>VLOOKUP(Table3[[#This Row],[ACTIVITY]],TAGS!$B:$P,4,FALSE)</f>
        <v>Processing related machinery &amp; equipment</v>
      </c>
      <c r="T643" s="54" t="str">
        <f>VLOOKUP(Table3[[#This Row],[ACTIVITY]],TAGS!$B:$P,5,FALSE)</f>
        <v>Processing-related</v>
      </c>
      <c r="U643" s="54" t="str">
        <f>VLOOKUP(Table3[[#This Row],[ACTIVITY]],TAGS!$B:$P,6,FALSE)</f>
        <v>Waster Water Treatment System</v>
      </c>
      <c r="V643" s="54" t="str">
        <f>VLOOKUP(Table3[[#This Row],[ACTIVITY]],TAGS!$B:$P,7,FALSE)</f>
        <v>NO</v>
      </c>
      <c r="W643" s="54" t="str">
        <f>VLOOKUP(Table3[[#This Row],[ACTIVITY]],TAGS!$B:$P,8,FALSE)</f>
        <v>PAP</v>
      </c>
      <c r="X643" s="54" t="str">
        <f>VLOOKUP(Table3[[#This Row],[ACTIVITY]],TAGS!$B:$P,10,FALSE)</f>
        <v>PIP</v>
      </c>
      <c r="Y643" s="54" t="str">
        <f>VLOOKUP(Table3[[#This Row],[ACTIVITY]],TAGS!$B:$P,11,FALSE)</f>
        <v>PICS</v>
      </c>
      <c r="Z643" s="54" t="str">
        <f>VLOOKUP(Table3[[#This Row],[ACTIVITY]],TAGS!$B:$P,12,FALSE)</f>
        <v>Modernization</v>
      </c>
      <c r="AA643" s="54" t="str">
        <f>VLOOKUP(Table3[[#This Row],[ACTIVITY]],TAGS!$B:$P,13,FALSE)</f>
        <v>8. Farm Mechanization and Farm Investments</v>
      </c>
      <c r="AB643" s="54" t="str">
        <f>VLOOKUP(Table3[[#This Row],[ACTIVITY]],TAGS!$B:$P,14,FALSE)</f>
        <v>DEVELOP AND IMPROVE POST-HARVEST SYSTEMS AND INFRASTRUCTURE</v>
      </c>
      <c r="AC643" s="54" t="str">
        <f>VLOOKUP(Table3[[#This Row],[ACTIVITY]],TAGS!$B:$P,15,FALSE)</f>
        <v>Processing facilities</v>
      </c>
      <c r="AD643" s="54" t="str">
        <f>VLOOKUP(Table3[[#This Row],[PI LEVEL 3]],'PI LEVEL'!$A:$G,7,FALSE)</f>
        <v>DA-Level Output</v>
      </c>
      <c r="AE643" s="60"/>
      <c r="AF643" s="54" t="str">
        <f>VLOOKUP(Table3[[#This Row],[ACTIVITY]],TAGS!$B:$P,3,FALSE)</f>
        <v>number</v>
      </c>
      <c r="AG643" s="60"/>
      <c r="AH643" s="54" t="e">
        <f>VLOOKUP(Table3[[#This Row],[MONTH]],TAGS!$W$67:$Y$81,2,FALSE)</f>
        <v>#N/A</v>
      </c>
      <c r="AI643" s="54" t="e">
        <f>VLOOKUP(Table3[[#This Row],[MONTH]],TAGS!$W$67:$Y$81,3,FALSE)</f>
        <v>#N/A</v>
      </c>
      <c r="AJ643" s="54" t="e">
        <f>VLOOKUP(Table3[[#This Row],[MONTH]],TAGS!$W$67:$Z$81,4,FALSE)</f>
        <v>#N/A</v>
      </c>
      <c r="AK643" s="60">
        <v>1</v>
      </c>
      <c r="AL643" s="54" t="str">
        <f>VLOOKUP(Table3[[#This Row],[ACTIVITY]],TAGS!$B:$R,16,FALSE)</f>
        <v>NO</v>
      </c>
      <c r="AM643" s="60">
        <f>Table3[[#This Row],[TARGET]]/20</f>
        <v>0.05</v>
      </c>
      <c r="AN643" s="60">
        <v>20000</v>
      </c>
      <c r="AO643" s="57"/>
      <c r="AP643" s="62"/>
      <c r="AQ643" s="62"/>
      <c r="AR643" s="62"/>
      <c r="AS643" s="62">
        <v>1</v>
      </c>
      <c r="AT643" s="63" t="str">
        <f>VLOOKUP(Table3[[#This Row],[ACTIVITY]],TAGS!$B:$R,17,FALSE)</f>
        <v>YES</v>
      </c>
      <c r="AU643" s="63"/>
      <c r="AV643" s="63"/>
      <c r="AW643" s="63"/>
      <c r="AX643" s="63"/>
      <c r="AY643" s="63"/>
      <c r="AZ643" s="63"/>
      <c r="BA643" s="63"/>
      <c r="BB643" s="63"/>
      <c r="BC643" s="63"/>
      <c r="BD643" s="63"/>
      <c r="BE643" s="63"/>
      <c r="BF643" s="63"/>
      <c r="BG643" s="63"/>
      <c r="BH643" s="63"/>
      <c r="BI643" s="63"/>
      <c r="BJ643" s="63"/>
      <c r="BK643" s="63"/>
      <c r="BL643" s="63"/>
      <c r="BM643" s="63"/>
    </row>
    <row r="644" spans="1:65">
      <c r="A644" s="54" t="str">
        <f>VLOOKUP(Table3[[#This Row],[OU]],OU!$A$15:$B$34,2,FALSE)</f>
        <v>RFOs</v>
      </c>
      <c r="B644" s="60" t="s">
        <v>436</v>
      </c>
      <c r="C644" s="60" t="s">
        <v>574</v>
      </c>
      <c r="D644" s="60"/>
      <c r="E644" s="60" t="s">
        <v>22</v>
      </c>
      <c r="F644" s="60"/>
      <c r="G64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64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644" s="61" t="e">
        <f>VLOOKUP(Table3[[#This Row],[PSGC]],DISTRICT!$D:$G,4,FALSE)</f>
        <v>#N/A</v>
      </c>
      <c r="J644" s="60" t="s">
        <v>578</v>
      </c>
      <c r="K644" s="51" t="str">
        <f>VLOOKUP(Table3[[#This Row],[SPECIFIC COMMODITY]],TAGS!$W$48:$X$53,2,FALSE)</f>
        <v>Corn</v>
      </c>
      <c r="L644" s="51" t="str">
        <f>VLOOKUP(Table3[[#This Row],[PREXC SUB-PROGRAM]],Table5[],2,FALSE)</f>
        <v>AGRICULTURAL  MACHINERY, EQUIPMENT, FACILITIES AND INFRASTRUCTURE PROGRAM</v>
      </c>
      <c r="M644" s="51" t="str">
        <f>VLOOKUP(Table3[[#This Row],[COMMODITY PREXC SUB-PROGRAM]],TAGS!$U$54:$V$76,2,FALSE)</f>
        <v>AMEFSS</v>
      </c>
      <c r="N644" s="60" t="s">
        <v>594</v>
      </c>
      <c r="O644" s="54" t="str">
        <f>VLOOKUP(Table3[[#This Row],[PI LEVEL 3]],'PI LEVEL'!A:C,3,FALSE)</f>
        <v>Production machinery and equipment distributed</v>
      </c>
      <c r="P644" s="54" t="str">
        <f>VLOOKUP(Table3[[#This Row],[PI LEVEL 3]],Table53729[[Performance Indicator Level 3]:[Performance Indicator Level 1]],2,FALSE)</f>
        <v>Agricultural tractor distributed</v>
      </c>
      <c r="Q644" s="54" t="str">
        <f>VLOOKUP(Table3[[#This Row],[ACTIVITY]],TAGS!B:P,2,FALSE)</f>
        <v>Four-Wheel Tractor Distributed</v>
      </c>
      <c r="R644" s="60" t="s">
        <v>171</v>
      </c>
      <c r="S644" s="54" t="str">
        <f>VLOOKUP(Table3[[#This Row],[ACTIVITY]],TAGS!$B:$P,4,FALSE)</f>
        <v>Production related machinery &amp; equipment</v>
      </c>
      <c r="T644" s="54" t="str">
        <f>VLOOKUP(Table3[[#This Row],[ACTIVITY]],TAGS!$B:$P,5,FALSE)</f>
        <v>Production-related</v>
      </c>
      <c r="U644" s="54" t="str">
        <f>VLOOKUP(Table3[[#This Row],[ACTIVITY]],TAGS!$B:$P,6,FALSE)</f>
        <v>Tractor</v>
      </c>
      <c r="V644" s="54" t="str">
        <f>VLOOKUP(Table3[[#This Row],[ACTIVITY]],TAGS!$B:$P,7,FALSE)</f>
        <v>NO</v>
      </c>
      <c r="W644" s="54" t="str">
        <f>VLOOKUP(Table3[[#This Row],[ACTIVITY]],TAGS!$B:$P,8,FALSE)</f>
        <v>PAP</v>
      </c>
      <c r="X644" s="54" t="str">
        <f>VLOOKUP(Table3[[#This Row],[ACTIVITY]],TAGS!$B:$P,10,FALSE)</f>
        <v>PIP</v>
      </c>
      <c r="Y644" s="54" t="str">
        <f>VLOOKUP(Table3[[#This Row],[ACTIVITY]],TAGS!$B:$P,11,FALSE)</f>
        <v>PICS</v>
      </c>
      <c r="Z644" s="54" t="str">
        <f>VLOOKUP(Table3[[#This Row],[ACTIVITY]],TAGS!$B:$P,12,FALSE)</f>
        <v>Modernization</v>
      </c>
      <c r="AA644" s="54" t="str">
        <f>VLOOKUP(Table3[[#This Row],[ACTIVITY]],TAGS!$B:$P,13,FALSE)</f>
        <v>8. Farm Mechanization and Farm Investments</v>
      </c>
      <c r="AB644" s="54" t="str">
        <f>VLOOKUP(Table3[[#This Row],[ACTIVITY]],TAGS!$B:$P,14,FALSE)</f>
        <v>MECHANIZE AND MODERNIZE AGRI-FISHERY PRODUCTION SYSTEMS</v>
      </c>
      <c r="AC644" s="54" t="str">
        <f>VLOOKUP(Table3[[#This Row],[ACTIVITY]],TAGS!$B:$P,15,FALSE)</f>
        <v>Production-related</v>
      </c>
      <c r="AD644" s="54" t="str">
        <f>VLOOKUP(Table3[[#This Row],[PI LEVEL 3]],'PI LEVEL'!$A:$G,7,FALSE)</f>
        <v>DA-Level Output</v>
      </c>
      <c r="AE644" s="60"/>
      <c r="AF644" s="54" t="str">
        <f>VLOOKUP(Table3[[#This Row],[ACTIVITY]],TAGS!$B:$P,3,FALSE)</f>
        <v>number</v>
      </c>
      <c r="AG644" s="60"/>
      <c r="AH644" s="54" t="e">
        <f>VLOOKUP(Table3[[#This Row],[MONTH]],TAGS!$W$67:$Y$81,2,FALSE)</f>
        <v>#N/A</v>
      </c>
      <c r="AI644" s="54" t="e">
        <f>VLOOKUP(Table3[[#This Row],[MONTH]],TAGS!$W$67:$Y$81,3,FALSE)</f>
        <v>#N/A</v>
      </c>
      <c r="AJ644" s="54" t="e">
        <f>VLOOKUP(Table3[[#This Row],[MONTH]],TAGS!$W$67:$Z$81,4,FALSE)</f>
        <v>#N/A</v>
      </c>
      <c r="AK644" s="60">
        <v>3</v>
      </c>
      <c r="AL644" s="54" t="str">
        <f>VLOOKUP(Table3[[#This Row],[ACTIVITY]],TAGS!$B:$R,16,FALSE)</f>
        <v>NO</v>
      </c>
      <c r="AM644" s="60">
        <f>Table3[[#This Row],[TARGET]]/20</f>
        <v>0.15</v>
      </c>
      <c r="AN644" s="60">
        <v>9300</v>
      </c>
      <c r="AO644" s="57"/>
      <c r="AP644" s="62"/>
      <c r="AQ644" s="62"/>
      <c r="AR644" s="62"/>
      <c r="AS644" s="62">
        <v>3</v>
      </c>
      <c r="AT644" s="63" t="str">
        <f>VLOOKUP(Table3[[#This Row],[ACTIVITY]],TAGS!$B:$R,17,FALSE)</f>
        <v>YES</v>
      </c>
      <c r="AU644" s="63"/>
      <c r="AV644" s="63"/>
      <c r="AW644" s="63"/>
      <c r="AX644" s="63"/>
      <c r="AY644" s="63"/>
      <c r="AZ644" s="63"/>
      <c r="BA644" s="63"/>
      <c r="BB644" s="63"/>
      <c r="BC644" s="63"/>
      <c r="BD644" s="63"/>
      <c r="BE644" s="63"/>
      <c r="BF644" s="63"/>
      <c r="BG644" s="63"/>
      <c r="BH644" s="63"/>
      <c r="BI644" s="63"/>
      <c r="BJ644" s="63"/>
      <c r="BK644" s="63"/>
      <c r="BL644" s="63"/>
      <c r="BM644" s="63"/>
    </row>
    <row r="645" spans="1:65">
      <c r="A645" s="54" t="str">
        <f>VLOOKUP(Table3[[#This Row],[OU]],OU!$A$15:$B$34,2,FALSE)</f>
        <v>RFOs</v>
      </c>
      <c r="B645" s="60" t="s">
        <v>436</v>
      </c>
      <c r="C645" s="60" t="s">
        <v>574</v>
      </c>
      <c r="D645" s="60"/>
      <c r="E645" s="60" t="s">
        <v>43</v>
      </c>
      <c r="F645" s="60"/>
      <c r="G64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64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645" s="61" t="e">
        <f>VLOOKUP(Table3[[#This Row],[PSGC]],DISTRICT!$D:$G,4,FALSE)</f>
        <v>#N/A</v>
      </c>
      <c r="J645" s="60" t="s">
        <v>578</v>
      </c>
      <c r="K645" s="51" t="str">
        <f>VLOOKUP(Table3[[#This Row],[SPECIFIC COMMODITY]],TAGS!$W$48:$X$53,2,FALSE)</f>
        <v>Corn</v>
      </c>
      <c r="L645" s="51" t="str">
        <f>VLOOKUP(Table3[[#This Row],[PREXC SUB-PROGRAM]],Table5[],2,FALSE)</f>
        <v>AGRICULTURAL  MACHINERY, EQUIPMENT, FACILITIES AND INFRASTRUCTURE PROGRAM</v>
      </c>
      <c r="M645" s="51" t="str">
        <f>VLOOKUP(Table3[[#This Row],[COMMODITY PREXC SUB-PROGRAM]],TAGS!$U$54:$V$76,2,FALSE)</f>
        <v>AMEFSS</v>
      </c>
      <c r="N645" s="60" t="s">
        <v>594</v>
      </c>
      <c r="O645" s="54" t="str">
        <f>VLOOKUP(Table3[[#This Row],[PI LEVEL 3]],'PI LEVEL'!A:C,3,FALSE)</f>
        <v>Production machinery and equipment distributed</v>
      </c>
      <c r="P645" s="54" t="str">
        <f>VLOOKUP(Table3[[#This Row],[PI LEVEL 3]],Table53729[[Performance Indicator Level 3]:[Performance Indicator Level 1]],2,FALSE)</f>
        <v>Agricultural tractor distributed</v>
      </c>
      <c r="Q645" s="54" t="str">
        <f>VLOOKUP(Table3[[#This Row],[ACTIVITY]],TAGS!B:P,2,FALSE)</f>
        <v>Four-Wheel Tractor Distributed</v>
      </c>
      <c r="R645" s="60" t="s">
        <v>171</v>
      </c>
      <c r="S645" s="54" t="str">
        <f>VLOOKUP(Table3[[#This Row],[ACTIVITY]],TAGS!$B:$P,4,FALSE)</f>
        <v>Production related machinery &amp; equipment</v>
      </c>
      <c r="T645" s="54" t="str">
        <f>VLOOKUP(Table3[[#This Row],[ACTIVITY]],TAGS!$B:$P,5,FALSE)</f>
        <v>Production-related</v>
      </c>
      <c r="U645" s="54" t="str">
        <f>VLOOKUP(Table3[[#This Row],[ACTIVITY]],TAGS!$B:$P,6,FALSE)</f>
        <v>Tractor</v>
      </c>
      <c r="V645" s="54" t="str">
        <f>VLOOKUP(Table3[[#This Row],[ACTIVITY]],TAGS!$B:$P,7,FALSE)</f>
        <v>NO</v>
      </c>
      <c r="W645" s="54" t="str">
        <f>VLOOKUP(Table3[[#This Row],[ACTIVITY]],TAGS!$B:$P,8,FALSE)</f>
        <v>PAP</v>
      </c>
      <c r="X645" s="54" t="str">
        <f>VLOOKUP(Table3[[#This Row],[ACTIVITY]],TAGS!$B:$P,10,FALSE)</f>
        <v>PIP</v>
      </c>
      <c r="Y645" s="54" t="str">
        <f>VLOOKUP(Table3[[#This Row],[ACTIVITY]],TAGS!$B:$P,11,FALSE)</f>
        <v>PICS</v>
      </c>
      <c r="Z645" s="54" t="str">
        <f>VLOOKUP(Table3[[#This Row],[ACTIVITY]],TAGS!$B:$P,12,FALSE)</f>
        <v>Modernization</v>
      </c>
      <c r="AA645" s="54" t="str">
        <f>VLOOKUP(Table3[[#This Row],[ACTIVITY]],TAGS!$B:$P,13,FALSE)</f>
        <v>8. Farm Mechanization and Farm Investments</v>
      </c>
      <c r="AB645" s="54" t="str">
        <f>VLOOKUP(Table3[[#This Row],[ACTIVITY]],TAGS!$B:$P,14,FALSE)</f>
        <v>MECHANIZE AND MODERNIZE AGRI-FISHERY PRODUCTION SYSTEMS</v>
      </c>
      <c r="AC645" s="54" t="str">
        <f>VLOOKUP(Table3[[#This Row],[ACTIVITY]],TAGS!$B:$P,15,FALSE)</f>
        <v>Production-related</v>
      </c>
      <c r="AD645" s="54" t="str">
        <f>VLOOKUP(Table3[[#This Row],[PI LEVEL 3]],'PI LEVEL'!$A:$G,7,FALSE)</f>
        <v>DA-Level Output</v>
      </c>
      <c r="AE645" s="60"/>
      <c r="AF645" s="54" t="str">
        <f>VLOOKUP(Table3[[#This Row],[ACTIVITY]],TAGS!$B:$P,3,FALSE)</f>
        <v>number</v>
      </c>
      <c r="AG645" s="60"/>
      <c r="AH645" s="54" t="e">
        <f>VLOOKUP(Table3[[#This Row],[MONTH]],TAGS!$W$67:$Y$81,2,FALSE)</f>
        <v>#N/A</v>
      </c>
      <c r="AI645" s="54" t="e">
        <f>VLOOKUP(Table3[[#This Row],[MONTH]],TAGS!$W$67:$Y$81,3,FALSE)</f>
        <v>#N/A</v>
      </c>
      <c r="AJ645" s="54" t="e">
        <f>VLOOKUP(Table3[[#This Row],[MONTH]],TAGS!$W$67:$Z$81,4,FALSE)</f>
        <v>#N/A</v>
      </c>
      <c r="AK645" s="60">
        <v>5</v>
      </c>
      <c r="AL645" s="54" t="str">
        <f>VLOOKUP(Table3[[#This Row],[ACTIVITY]],TAGS!$B:$R,16,FALSE)</f>
        <v>NO</v>
      </c>
      <c r="AM645" s="60">
        <f>Table3[[#This Row],[TARGET]]/20</f>
        <v>0.25</v>
      </c>
      <c r="AN645" s="60">
        <v>15500</v>
      </c>
      <c r="AO645" s="57"/>
      <c r="AP645" s="62"/>
      <c r="AQ645" s="62"/>
      <c r="AR645" s="62"/>
      <c r="AS645" s="62">
        <v>4</v>
      </c>
      <c r="AT645" s="63" t="str">
        <f>VLOOKUP(Table3[[#This Row],[ACTIVITY]],TAGS!$B:$R,17,FALSE)</f>
        <v>YES</v>
      </c>
      <c r="AU645" s="63"/>
      <c r="AV645" s="63"/>
      <c r="AW645" s="63"/>
      <c r="AX645" s="63"/>
      <c r="AY645" s="63"/>
      <c r="AZ645" s="63"/>
      <c r="BA645" s="63"/>
      <c r="BB645" s="63"/>
      <c r="BC645" s="63"/>
      <c r="BD645" s="63"/>
      <c r="BE645" s="63"/>
      <c r="BF645" s="63"/>
      <c r="BG645" s="63"/>
      <c r="BH645" s="63"/>
      <c r="BI645" s="63"/>
      <c r="BJ645" s="63"/>
      <c r="BK645" s="63"/>
      <c r="BL645" s="63"/>
      <c r="BM645" s="63"/>
    </row>
    <row r="646" spans="1:65">
      <c r="A646" s="54" t="str">
        <f>VLOOKUP(Table3[[#This Row],[OU]],OU!$A$15:$B$34,2,FALSE)</f>
        <v>RFOs</v>
      </c>
      <c r="B646" s="60" t="s">
        <v>436</v>
      </c>
      <c r="C646" s="60" t="s">
        <v>574</v>
      </c>
      <c r="D646" s="60"/>
      <c r="E646" s="60" t="s">
        <v>70</v>
      </c>
      <c r="F646" s="60"/>
      <c r="G64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</v>
      </c>
      <c r="H64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Quirino</v>
      </c>
      <c r="I646" s="61" t="e">
        <f>VLOOKUP(Table3[[#This Row],[PSGC]],DISTRICT!$D:$G,4,FALSE)</f>
        <v>#N/A</v>
      </c>
      <c r="J646" s="60" t="s">
        <v>578</v>
      </c>
      <c r="K646" s="51" t="str">
        <f>VLOOKUP(Table3[[#This Row],[SPECIFIC COMMODITY]],TAGS!$W$48:$X$53,2,FALSE)</f>
        <v>Corn</v>
      </c>
      <c r="L646" s="51" t="str">
        <f>VLOOKUP(Table3[[#This Row],[PREXC SUB-PROGRAM]],Table5[],2,FALSE)</f>
        <v>AGRICULTURAL  MACHINERY, EQUIPMENT, FACILITIES AND INFRASTRUCTURE PROGRAM</v>
      </c>
      <c r="M646" s="51" t="str">
        <f>VLOOKUP(Table3[[#This Row],[COMMODITY PREXC SUB-PROGRAM]],TAGS!$U$54:$V$76,2,FALSE)</f>
        <v>AMEFSS</v>
      </c>
      <c r="N646" s="60" t="s">
        <v>594</v>
      </c>
      <c r="O646" s="54" t="str">
        <f>VLOOKUP(Table3[[#This Row],[PI LEVEL 3]],'PI LEVEL'!A:C,3,FALSE)</f>
        <v>Production machinery and equipment distributed</v>
      </c>
      <c r="P646" s="54" t="str">
        <f>VLOOKUP(Table3[[#This Row],[PI LEVEL 3]],Table53729[[Performance Indicator Level 3]:[Performance Indicator Level 1]],2,FALSE)</f>
        <v>Agricultural tractor distributed</v>
      </c>
      <c r="Q646" s="54" t="str">
        <f>VLOOKUP(Table3[[#This Row],[ACTIVITY]],TAGS!B:P,2,FALSE)</f>
        <v>Four-Wheel Tractor Distributed</v>
      </c>
      <c r="R646" s="60" t="s">
        <v>171</v>
      </c>
      <c r="S646" s="54" t="str">
        <f>VLOOKUP(Table3[[#This Row],[ACTIVITY]],TAGS!$B:$P,4,FALSE)</f>
        <v>Production related machinery &amp; equipment</v>
      </c>
      <c r="T646" s="54" t="str">
        <f>VLOOKUP(Table3[[#This Row],[ACTIVITY]],TAGS!$B:$P,5,FALSE)</f>
        <v>Production-related</v>
      </c>
      <c r="U646" s="54" t="str">
        <f>VLOOKUP(Table3[[#This Row],[ACTIVITY]],TAGS!$B:$P,6,FALSE)</f>
        <v>Tractor</v>
      </c>
      <c r="V646" s="54" t="str">
        <f>VLOOKUP(Table3[[#This Row],[ACTIVITY]],TAGS!$B:$P,7,FALSE)</f>
        <v>NO</v>
      </c>
      <c r="W646" s="54" t="str">
        <f>VLOOKUP(Table3[[#This Row],[ACTIVITY]],TAGS!$B:$P,8,FALSE)</f>
        <v>PAP</v>
      </c>
      <c r="X646" s="54" t="str">
        <f>VLOOKUP(Table3[[#This Row],[ACTIVITY]],TAGS!$B:$P,10,FALSE)</f>
        <v>PIP</v>
      </c>
      <c r="Y646" s="54" t="str">
        <f>VLOOKUP(Table3[[#This Row],[ACTIVITY]],TAGS!$B:$P,11,FALSE)</f>
        <v>PICS</v>
      </c>
      <c r="Z646" s="54" t="str">
        <f>VLOOKUP(Table3[[#This Row],[ACTIVITY]],TAGS!$B:$P,12,FALSE)</f>
        <v>Modernization</v>
      </c>
      <c r="AA646" s="54" t="str">
        <f>VLOOKUP(Table3[[#This Row],[ACTIVITY]],TAGS!$B:$P,13,FALSE)</f>
        <v>8. Farm Mechanization and Farm Investments</v>
      </c>
      <c r="AB646" s="54" t="str">
        <f>VLOOKUP(Table3[[#This Row],[ACTIVITY]],TAGS!$B:$P,14,FALSE)</f>
        <v>MECHANIZE AND MODERNIZE AGRI-FISHERY PRODUCTION SYSTEMS</v>
      </c>
      <c r="AC646" s="54" t="str">
        <f>VLOOKUP(Table3[[#This Row],[ACTIVITY]],TAGS!$B:$P,15,FALSE)</f>
        <v>Production-related</v>
      </c>
      <c r="AD646" s="54" t="str">
        <f>VLOOKUP(Table3[[#This Row],[PI LEVEL 3]],'PI LEVEL'!$A:$G,7,FALSE)</f>
        <v>DA-Level Output</v>
      </c>
      <c r="AE646" s="60"/>
      <c r="AF646" s="54" t="str">
        <f>VLOOKUP(Table3[[#This Row],[ACTIVITY]],TAGS!$B:$P,3,FALSE)</f>
        <v>number</v>
      </c>
      <c r="AG646" s="60"/>
      <c r="AH646" s="54" t="e">
        <f>VLOOKUP(Table3[[#This Row],[MONTH]],TAGS!$W$67:$Y$81,2,FALSE)</f>
        <v>#N/A</v>
      </c>
      <c r="AI646" s="54" t="e">
        <f>VLOOKUP(Table3[[#This Row],[MONTH]],TAGS!$W$67:$Y$81,3,FALSE)</f>
        <v>#N/A</v>
      </c>
      <c r="AJ646" s="54" t="e">
        <f>VLOOKUP(Table3[[#This Row],[MONTH]],TAGS!$W$67:$Z$81,4,FALSE)</f>
        <v>#N/A</v>
      </c>
      <c r="AK646" s="60">
        <v>2</v>
      </c>
      <c r="AL646" s="54" t="str">
        <f>VLOOKUP(Table3[[#This Row],[ACTIVITY]],TAGS!$B:$R,16,FALSE)</f>
        <v>NO</v>
      </c>
      <c r="AM646" s="60">
        <f>Table3[[#This Row],[TARGET]]/20</f>
        <v>0.1</v>
      </c>
      <c r="AN646" s="60">
        <v>6200</v>
      </c>
      <c r="AO646" s="57"/>
      <c r="AP646" s="62"/>
      <c r="AQ646" s="62"/>
      <c r="AR646" s="62"/>
      <c r="AS646" s="62">
        <v>2</v>
      </c>
      <c r="AT646" s="63" t="str">
        <f>VLOOKUP(Table3[[#This Row],[ACTIVITY]],TAGS!$B:$R,17,FALSE)</f>
        <v>YES</v>
      </c>
      <c r="AU646" s="63"/>
      <c r="AV646" s="63"/>
      <c r="AW646" s="63"/>
      <c r="AX646" s="63"/>
      <c r="AY646" s="63"/>
      <c r="AZ646" s="63"/>
      <c r="BA646" s="63"/>
      <c r="BB646" s="63"/>
      <c r="BC646" s="63"/>
      <c r="BD646" s="63"/>
      <c r="BE646" s="63"/>
      <c r="BF646" s="63"/>
      <c r="BG646" s="63"/>
      <c r="BH646" s="63"/>
      <c r="BI646" s="63"/>
      <c r="BJ646" s="63"/>
      <c r="BK646" s="63"/>
      <c r="BL646" s="63"/>
      <c r="BM646" s="63"/>
    </row>
    <row r="647" spans="1:65">
      <c r="A647" s="54" t="str">
        <f>VLOOKUP(Table3[[#This Row],[OU]],OU!$A$15:$B$34,2,FALSE)</f>
        <v>RFOs</v>
      </c>
      <c r="B647" s="60" t="s">
        <v>436</v>
      </c>
      <c r="C647" s="60" t="s">
        <v>574</v>
      </c>
      <c r="D647" s="60"/>
      <c r="E647" s="60" t="s">
        <v>22</v>
      </c>
      <c r="F647" s="60"/>
      <c r="G64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64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647" s="61" t="e">
        <f>VLOOKUP(Table3[[#This Row],[PSGC]],DISTRICT!$D:$G,4,FALSE)</f>
        <v>#N/A</v>
      </c>
      <c r="J647" s="60" t="s">
        <v>578</v>
      </c>
      <c r="K647" s="51" t="str">
        <f>VLOOKUP(Table3[[#This Row],[SPECIFIC COMMODITY]],TAGS!$W$48:$X$53,2,FALSE)</f>
        <v>Corn</v>
      </c>
      <c r="L647" s="51" t="str">
        <f>VLOOKUP(Table3[[#This Row],[PREXC SUB-PROGRAM]],Table5[],2,FALSE)</f>
        <v>AGRICULTURAL  MACHINERY, EQUIPMENT, FACILITIES AND INFRASTRUCTURE PROGRAM</v>
      </c>
      <c r="M647" s="51" t="str">
        <f>VLOOKUP(Table3[[#This Row],[COMMODITY PREXC SUB-PROGRAM]],TAGS!$U$54:$V$76,2,FALSE)</f>
        <v>AMEFSS</v>
      </c>
      <c r="N647" s="60" t="s">
        <v>594</v>
      </c>
      <c r="O647" s="54" t="str">
        <f>VLOOKUP(Table3[[#This Row],[PI LEVEL 3]],'PI LEVEL'!A:C,3,FALSE)</f>
        <v>Production machinery and equipment distributed</v>
      </c>
      <c r="P647" s="54" t="str">
        <f>VLOOKUP(Table3[[#This Row],[PI LEVEL 3]],Table53729[[Performance Indicator Level 3]:[Performance Indicator Level 1]],2,FALSE)</f>
        <v>Crop harvesting machinery and equipment distributed</v>
      </c>
      <c r="Q647" s="54" t="str">
        <f>VLOOKUP(Table3[[#This Row],[ACTIVITY]],TAGS!B:P,2,FALSE)</f>
        <v>Combine Harvester distributed</v>
      </c>
      <c r="R647" s="60" t="s">
        <v>181</v>
      </c>
      <c r="S647" s="54" t="str">
        <f>VLOOKUP(Table3[[#This Row],[ACTIVITY]],TAGS!$B:$P,4,FALSE)</f>
        <v>Production related machinery &amp; equipment</v>
      </c>
      <c r="T647" s="54" t="str">
        <f>VLOOKUP(Table3[[#This Row],[ACTIVITY]],TAGS!$B:$P,5,FALSE)</f>
        <v>Production-related</v>
      </c>
      <c r="U647" s="54" t="str">
        <f>VLOOKUP(Table3[[#This Row],[ACTIVITY]],TAGS!$B:$P,6,FALSE)</f>
        <v>Combine Harvester</v>
      </c>
      <c r="V647" s="54" t="str">
        <f>VLOOKUP(Table3[[#This Row],[ACTIVITY]],TAGS!$B:$P,7,FALSE)</f>
        <v>NO</v>
      </c>
      <c r="W647" s="54" t="str">
        <f>VLOOKUP(Table3[[#This Row],[ACTIVITY]],TAGS!$B:$P,8,FALSE)</f>
        <v>PAP</v>
      </c>
      <c r="X647" s="54" t="str">
        <f>VLOOKUP(Table3[[#This Row],[ACTIVITY]],TAGS!$B:$P,10,FALSE)</f>
        <v>PIP</v>
      </c>
      <c r="Y647" s="54" t="str">
        <f>VLOOKUP(Table3[[#This Row],[ACTIVITY]],TAGS!$B:$P,11,FALSE)</f>
        <v>PICS</v>
      </c>
      <c r="Z647" s="54" t="str">
        <f>VLOOKUP(Table3[[#This Row],[ACTIVITY]],TAGS!$B:$P,12,FALSE)</f>
        <v>Modernization</v>
      </c>
      <c r="AA647" s="54" t="str">
        <f>VLOOKUP(Table3[[#This Row],[ACTIVITY]],TAGS!$B:$P,13,FALSE)</f>
        <v>8. Farm Mechanization and Farm Investments</v>
      </c>
      <c r="AB647" s="54" t="str">
        <f>VLOOKUP(Table3[[#This Row],[ACTIVITY]],TAGS!$B:$P,14,FALSE)</f>
        <v>MECHANIZE AND MODERNIZE AGRI-FISHERY PRODUCTION SYSTEMS</v>
      </c>
      <c r="AC647" s="54" t="str">
        <f>VLOOKUP(Table3[[#This Row],[ACTIVITY]],TAGS!$B:$P,15,FALSE)</f>
        <v>Production-related</v>
      </c>
      <c r="AD647" s="54" t="str">
        <f>VLOOKUP(Table3[[#This Row],[PI LEVEL 3]],'PI LEVEL'!$A:$G,7,FALSE)</f>
        <v>DA-Level Output</v>
      </c>
      <c r="AE647" s="60"/>
      <c r="AF647" s="54" t="str">
        <f>VLOOKUP(Table3[[#This Row],[ACTIVITY]],TAGS!$B:$P,3,FALSE)</f>
        <v>number</v>
      </c>
      <c r="AG647" s="60"/>
      <c r="AH647" s="54" t="e">
        <f>VLOOKUP(Table3[[#This Row],[MONTH]],TAGS!$W$67:$Y$81,2,FALSE)</f>
        <v>#N/A</v>
      </c>
      <c r="AI647" s="54" t="e">
        <f>VLOOKUP(Table3[[#This Row],[MONTH]],TAGS!$W$67:$Y$81,3,FALSE)</f>
        <v>#N/A</v>
      </c>
      <c r="AJ647" s="54" t="e">
        <f>VLOOKUP(Table3[[#This Row],[MONTH]],TAGS!$W$67:$Z$81,4,FALSE)</f>
        <v>#N/A</v>
      </c>
      <c r="AK647" s="60">
        <v>3</v>
      </c>
      <c r="AL647" s="54" t="str">
        <f>VLOOKUP(Table3[[#This Row],[ACTIVITY]],TAGS!$B:$R,16,FALSE)</f>
        <v>NO</v>
      </c>
      <c r="AM647" s="60">
        <f>Table3[[#This Row],[TARGET]]/20</f>
        <v>0.15</v>
      </c>
      <c r="AN647" s="60">
        <v>6300</v>
      </c>
      <c r="AO647" s="57"/>
      <c r="AP647" s="62"/>
      <c r="AQ647" s="62"/>
      <c r="AR647" s="62"/>
      <c r="AS647" s="62">
        <v>3</v>
      </c>
      <c r="AT647" s="63" t="str">
        <f>VLOOKUP(Table3[[#This Row],[ACTIVITY]],TAGS!$B:$R,17,FALSE)</f>
        <v>YES</v>
      </c>
      <c r="AU647" s="63"/>
      <c r="AV647" s="63"/>
      <c r="AW647" s="63"/>
      <c r="AX647" s="63"/>
      <c r="AY647" s="63"/>
      <c r="AZ647" s="63"/>
      <c r="BA647" s="63"/>
      <c r="BB647" s="63"/>
      <c r="BC647" s="63"/>
      <c r="BD647" s="63"/>
      <c r="BE647" s="63"/>
      <c r="BF647" s="63"/>
      <c r="BG647" s="63"/>
      <c r="BH647" s="63"/>
      <c r="BI647" s="63"/>
      <c r="BJ647" s="63"/>
      <c r="BK647" s="63"/>
      <c r="BL647" s="63"/>
      <c r="BM647" s="63"/>
    </row>
    <row r="648" spans="1:65">
      <c r="A648" s="54" t="str">
        <f>VLOOKUP(Table3[[#This Row],[OU]],OU!$A$15:$B$34,2,FALSE)</f>
        <v>RFOs</v>
      </c>
      <c r="B648" s="60" t="s">
        <v>436</v>
      </c>
      <c r="C648" s="60" t="s">
        <v>574</v>
      </c>
      <c r="D648" s="60"/>
      <c r="E648" s="60" t="s">
        <v>43</v>
      </c>
      <c r="F648" s="60"/>
      <c r="G64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64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648" s="61" t="e">
        <f>VLOOKUP(Table3[[#This Row],[PSGC]],DISTRICT!$D:$G,4,FALSE)</f>
        <v>#N/A</v>
      </c>
      <c r="J648" s="60" t="s">
        <v>578</v>
      </c>
      <c r="K648" s="51" t="str">
        <f>VLOOKUP(Table3[[#This Row],[SPECIFIC COMMODITY]],TAGS!$W$48:$X$53,2,FALSE)</f>
        <v>Corn</v>
      </c>
      <c r="L648" s="51" t="str">
        <f>VLOOKUP(Table3[[#This Row],[PREXC SUB-PROGRAM]],Table5[],2,FALSE)</f>
        <v>AGRICULTURAL  MACHINERY, EQUIPMENT, FACILITIES AND INFRASTRUCTURE PROGRAM</v>
      </c>
      <c r="M648" s="51" t="str">
        <f>VLOOKUP(Table3[[#This Row],[COMMODITY PREXC SUB-PROGRAM]],TAGS!$U$54:$V$76,2,FALSE)</f>
        <v>AMEFSS</v>
      </c>
      <c r="N648" s="60" t="s">
        <v>594</v>
      </c>
      <c r="O648" s="54" t="str">
        <f>VLOOKUP(Table3[[#This Row],[PI LEVEL 3]],'PI LEVEL'!A:C,3,FALSE)</f>
        <v>Production machinery and equipment distributed</v>
      </c>
      <c r="P648" s="54" t="str">
        <f>VLOOKUP(Table3[[#This Row],[PI LEVEL 3]],Table53729[[Performance Indicator Level 3]:[Performance Indicator Level 1]],2,FALSE)</f>
        <v>Crop harvesting machinery and equipment distributed</v>
      </c>
      <c r="Q648" s="54" t="str">
        <f>VLOOKUP(Table3[[#This Row],[ACTIVITY]],TAGS!B:P,2,FALSE)</f>
        <v>Combine Harvester distributed</v>
      </c>
      <c r="R648" s="60" t="s">
        <v>181</v>
      </c>
      <c r="S648" s="54" t="str">
        <f>VLOOKUP(Table3[[#This Row],[ACTIVITY]],TAGS!$B:$P,4,FALSE)</f>
        <v>Production related machinery &amp; equipment</v>
      </c>
      <c r="T648" s="54" t="str">
        <f>VLOOKUP(Table3[[#This Row],[ACTIVITY]],TAGS!$B:$P,5,FALSE)</f>
        <v>Production-related</v>
      </c>
      <c r="U648" s="54" t="str">
        <f>VLOOKUP(Table3[[#This Row],[ACTIVITY]],TAGS!$B:$P,6,FALSE)</f>
        <v>Combine Harvester</v>
      </c>
      <c r="V648" s="54" t="str">
        <f>VLOOKUP(Table3[[#This Row],[ACTIVITY]],TAGS!$B:$P,7,FALSE)</f>
        <v>NO</v>
      </c>
      <c r="W648" s="54" t="str">
        <f>VLOOKUP(Table3[[#This Row],[ACTIVITY]],TAGS!$B:$P,8,FALSE)</f>
        <v>PAP</v>
      </c>
      <c r="X648" s="54" t="str">
        <f>VLOOKUP(Table3[[#This Row],[ACTIVITY]],TAGS!$B:$P,10,FALSE)</f>
        <v>PIP</v>
      </c>
      <c r="Y648" s="54" t="str">
        <f>VLOOKUP(Table3[[#This Row],[ACTIVITY]],TAGS!$B:$P,11,FALSE)</f>
        <v>PICS</v>
      </c>
      <c r="Z648" s="54" t="str">
        <f>VLOOKUP(Table3[[#This Row],[ACTIVITY]],TAGS!$B:$P,12,FALSE)</f>
        <v>Modernization</v>
      </c>
      <c r="AA648" s="54" t="str">
        <f>VLOOKUP(Table3[[#This Row],[ACTIVITY]],TAGS!$B:$P,13,FALSE)</f>
        <v>8. Farm Mechanization and Farm Investments</v>
      </c>
      <c r="AB648" s="54" t="str">
        <f>VLOOKUP(Table3[[#This Row],[ACTIVITY]],TAGS!$B:$P,14,FALSE)</f>
        <v>MECHANIZE AND MODERNIZE AGRI-FISHERY PRODUCTION SYSTEMS</v>
      </c>
      <c r="AC648" s="54" t="str">
        <f>VLOOKUP(Table3[[#This Row],[ACTIVITY]],TAGS!$B:$P,15,FALSE)</f>
        <v>Production-related</v>
      </c>
      <c r="AD648" s="54" t="str">
        <f>VLOOKUP(Table3[[#This Row],[PI LEVEL 3]],'PI LEVEL'!$A:$G,7,FALSE)</f>
        <v>DA-Level Output</v>
      </c>
      <c r="AE648" s="60"/>
      <c r="AF648" s="54" t="str">
        <f>VLOOKUP(Table3[[#This Row],[ACTIVITY]],TAGS!$B:$P,3,FALSE)</f>
        <v>number</v>
      </c>
      <c r="AG648" s="60"/>
      <c r="AH648" s="54" t="e">
        <f>VLOOKUP(Table3[[#This Row],[MONTH]],TAGS!$W$67:$Y$81,2,FALSE)</f>
        <v>#N/A</v>
      </c>
      <c r="AI648" s="54" t="e">
        <f>VLOOKUP(Table3[[#This Row],[MONTH]],TAGS!$W$67:$Y$81,3,FALSE)</f>
        <v>#N/A</v>
      </c>
      <c r="AJ648" s="54" t="e">
        <f>VLOOKUP(Table3[[#This Row],[MONTH]],TAGS!$W$67:$Z$81,4,FALSE)</f>
        <v>#N/A</v>
      </c>
      <c r="AK648" s="60">
        <v>5</v>
      </c>
      <c r="AL648" s="54" t="str">
        <f>VLOOKUP(Table3[[#This Row],[ACTIVITY]],TAGS!$B:$R,16,FALSE)</f>
        <v>NO</v>
      </c>
      <c r="AM648" s="60">
        <f>Table3[[#This Row],[TARGET]]/20</f>
        <v>0.25</v>
      </c>
      <c r="AN648" s="60">
        <v>10500</v>
      </c>
      <c r="AO648" s="57"/>
      <c r="AP648" s="62"/>
      <c r="AQ648" s="62"/>
      <c r="AR648" s="62"/>
      <c r="AS648" s="62">
        <v>5</v>
      </c>
      <c r="AT648" s="63" t="str">
        <f>VLOOKUP(Table3[[#This Row],[ACTIVITY]],TAGS!$B:$R,17,FALSE)</f>
        <v>YES</v>
      </c>
      <c r="AU648" s="63"/>
      <c r="AV648" s="63"/>
      <c r="AW648" s="63"/>
      <c r="AX648" s="63"/>
      <c r="AY648" s="63"/>
      <c r="AZ648" s="63"/>
      <c r="BA648" s="63"/>
      <c r="BB648" s="63"/>
      <c r="BC648" s="63"/>
      <c r="BD648" s="63"/>
      <c r="BE648" s="63"/>
      <c r="BF648" s="63"/>
      <c r="BG648" s="63"/>
      <c r="BH648" s="63"/>
      <c r="BI648" s="63"/>
      <c r="BJ648" s="63"/>
      <c r="BK648" s="63"/>
      <c r="BL648" s="63"/>
      <c r="BM648" s="63"/>
    </row>
    <row r="649" spans="1:65">
      <c r="A649" s="54" t="str">
        <f>VLOOKUP(Table3[[#This Row],[OU]],OU!$A$15:$B$34,2,FALSE)</f>
        <v>RFOs</v>
      </c>
      <c r="B649" s="60" t="s">
        <v>436</v>
      </c>
      <c r="C649" s="60" t="s">
        <v>574</v>
      </c>
      <c r="D649" s="60"/>
      <c r="E649" s="60" t="s">
        <v>70</v>
      </c>
      <c r="F649" s="60"/>
      <c r="G64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</v>
      </c>
      <c r="H64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Quirino</v>
      </c>
      <c r="I649" s="61" t="e">
        <f>VLOOKUP(Table3[[#This Row],[PSGC]],DISTRICT!$D:$G,4,FALSE)</f>
        <v>#N/A</v>
      </c>
      <c r="J649" s="60" t="s">
        <v>578</v>
      </c>
      <c r="K649" s="51" t="str">
        <f>VLOOKUP(Table3[[#This Row],[SPECIFIC COMMODITY]],TAGS!$W$48:$X$53,2,FALSE)</f>
        <v>Corn</v>
      </c>
      <c r="L649" s="51" t="str">
        <f>VLOOKUP(Table3[[#This Row],[PREXC SUB-PROGRAM]],Table5[],2,FALSE)</f>
        <v>AGRICULTURAL  MACHINERY, EQUIPMENT, FACILITIES AND INFRASTRUCTURE PROGRAM</v>
      </c>
      <c r="M649" s="51" t="str">
        <f>VLOOKUP(Table3[[#This Row],[COMMODITY PREXC SUB-PROGRAM]],TAGS!$U$54:$V$76,2,FALSE)</f>
        <v>AMEFSS</v>
      </c>
      <c r="N649" s="60" t="s">
        <v>594</v>
      </c>
      <c r="O649" s="54" t="str">
        <f>VLOOKUP(Table3[[#This Row],[PI LEVEL 3]],'PI LEVEL'!A:C,3,FALSE)</f>
        <v>Production machinery and equipment distributed</v>
      </c>
      <c r="P649" s="54" t="str">
        <f>VLOOKUP(Table3[[#This Row],[PI LEVEL 3]],Table53729[[Performance Indicator Level 3]:[Performance Indicator Level 1]],2,FALSE)</f>
        <v>Crop harvesting machinery and equipment distributed</v>
      </c>
      <c r="Q649" s="54" t="str">
        <f>VLOOKUP(Table3[[#This Row],[ACTIVITY]],TAGS!B:P,2,FALSE)</f>
        <v>Combine Harvester distributed</v>
      </c>
      <c r="R649" s="60" t="s">
        <v>181</v>
      </c>
      <c r="S649" s="54" t="str">
        <f>VLOOKUP(Table3[[#This Row],[ACTIVITY]],TAGS!$B:$P,4,FALSE)</f>
        <v>Production related machinery &amp; equipment</v>
      </c>
      <c r="T649" s="54" t="str">
        <f>VLOOKUP(Table3[[#This Row],[ACTIVITY]],TAGS!$B:$P,5,FALSE)</f>
        <v>Production-related</v>
      </c>
      <c r="U649" s="54" t="str">
        <f>VLOOKUP(Table3[[#This Row],[ACTIVITY]],TAGS!$B:$P,6,FALSE)</f>
        <v>Combine Harvester</v>
      </c>
      <c r="V649" s="54" t="str">
        <f>VLOOKUP(Table3[[#This Row],[ACTIVITY]],TAGS!$B:$P,7,FALSE)</f>
        <v>NO</v>
      </c>
      <c r="W649" s="54" t="str">
        <f>VLOOKUP(Table3[[#This Row],[ACTIVITY]],TAGS!$B:$P,8,FALSE)</f>
        <v>PAP</v>
      </c>
      <c r="X649" s="54" t="str">
        <f>VLOOKUP(Table3[[#This Row],[ACTIVITY]],TAGS!$B:$P,10,FALSE)</f>
        <v>PIP</v>
      </c>
      <c r="Y649" s="54" t="str">
        <f>VLOOKUP(Table3[[#This Row],[ACTIVITY]],TAGS!$B:$P,11,FALSE)</f>
        <v>PICS</v>
      </c>
      <c r="Z649" s="54" t="str">
        <f>VLOOKUP(Table3[[#This Row],[ACTIVITY]],TAGS!$B:$P,12,FALSE)</f>
        <v>Modernization</v>
      </c>
      <c r="AA649" s="54" t="str">
        <f>VLOOKUP(Table3[[#This Row],[ACTIVITY]],TAGS!$B:$P,13,FALSE)</f>
        <v>8. Farm Mechanization and Farm Investments</v>
      </c>
      <c r="AB649" s="54" t="str">
        <f>VLOOKUP(Table3[[#This Row],[ACTIVITY]],TAGS!$B:$P,14,FALSE)</f>
        <v>MECHANIZE AND MODERNIZE AGRI-FISHERY PRODUCTION SYSTEMS</v>
      </c>
      <c r="AC649" s="54" t="str">
        <f>VLOOKUP(Table3[[#This Row],[ACTIVITY]],TAGS!$B:$P,15,FALSE)</f>
        <v>Production-related</v>
      </c>
      <c r="AD649" s="54" t="str">
        <f>VLOOKUP(Table3[[#This Row],[PI LEVEL 3]],'PI LEVEL'!$A:$G,7,FALSE)</f>
        <v>DA-Level Output</v>
      </c>
      <c r="AE649" s="60"/>
      <c r="AF649" s="54" t="str">
        <f>VLOOKUP(Table3[[#This Row],[ACTIVITY]],TAGS!$B:$P,3,FALSE)</f>
        <v>number</v>
      </c>
      <c r="AG649" s="60"/>
      <c r="AH649" s="54" t="e">
        <f>VLOOKUP(Table3[[#This Row],[MONTH]],TAGS!$W$67:$Y$81,2,FALSE)</f>
        <v>#N/A</v>
      </c>
      <c r="AI649" s="54" t="e">
        <f>VLOOKUP(Table3[[#This Row],[MONTH]],TAGS!$W$67:$Y$81,3,FALSE)</f>
        <v>#N/A</v>
      </c>
      <c r="AJ649" s="54" t="e">
        <f>VLOOKUP(Table3[[#This Row],[MONTH]],TAGS!$W$67:$Z$81,4,FALSE)</f>
        <v>#N/A</v>
      </c>
      <c r="AK649" s="60">
        <v>2</v>
      </c>
      <c r="AL649" s="54" t="str">
        <f>VLOOKUP(Table3[[#This Row],[ACTIVITY]],TAGS!$B:$R,16,FALSE)</f>
        <v>NO</v>
      </c>
      <c r="AM649" s="60">
        <f>Table3[[#This Row],[TARGET]]/20</f>
        <v>0.1</v>
      </c>
      <c r="AN649" s="60">
        <v>4200</v>
      </c>
      <c r="AO649" s="57"/>
      <c r="AP649" s="62"/>
      <c r="AQ649" s="62"/>
      <c r="AR649" s="62"/>
      <c r="AS649" s="62">
        <v>2</v>
      </c>
      <c r="AT649" s="63" t="str">
        <f>VLOOKUP(Table3[[#This Row],[ACTIVITY]],TAGS!$B:$R,17,FALSE)</f>
        <v>YES</v>
      </c>
      <c r="AU649" s="63"/>
      <c r="AV649" s="63"/>
      <c r="AW649" s="63"/>
      <c r="AX649" s="63"/>
      <c r="AY649" s="63"/>
      <c r="AZ649" s="63"/>
      <c r="BA649" s="63"/>
      <c r="BB649" s="63"/>
      <c r="BC649" s="63"/>
      <c r="BD649" s="63"/>
      <c r="BE649" s="63"/>
      <c r="BF649" s="63"/>
      <c r="BG649" s="63"/>
      <c r="BH649" s="63"/>
      <c r="BI649" s="63"/>
      <c r="BJ649" s="63"/>
      <c r="BK649" s="63"/>
      <c r="BL649" s="63"/>
      <c r="BM649" s="63"/>
    </row>
    <row r="650" spans="1:65">
      <c r="A650" s="54" t="str">
        <f>VLOOKUP(Table3[[#This Row],[OU]],OU!$A$15:$B$34,2,FALSE)</f>
        <v>RFOs</v>
      </c>
      <c r="B650" s="60" t="s">
        <v>436</v>
      </c>
      <c r="C650" s="60" t="s">
        <v>574</v>
      </c>
      <c r="D650" s="60"/>
      <c r="E650" s="60" t="s">
        <v>22</v>
      </c>
      <c r="F650" s="60"/>
      <c r="G65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65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650" s="61" t="e">
        <f>VLOOKUP(Table3[[#This Row],[PSGC]],DISTRICT!$D:$G,4,FALSE)</f>
        <v>#N/A</v>
      </c>
      <c r="J650" s="60" t="s">
        <v>578</v>
      </c>
      <c r="K650" s="51" t="str">
        <f>VLOOKUP(Table3[[#This Row],[SPECIFIC COMMODITY]],TAGS!$W$48:$X$53,2,FALSE)</f>
        <v>Corn</v>
      </c>
      <c r="L650" s="51" t="str">
        <f>VLOOKUP(Table3[[#This Row],[PREXC SUB-PROGRAM]],Table5[],2,FALSE)</f>
        <v>AGRICULTURAL  MACHINERY, EQUIPMENT, FACILITIES AND INFRASTRUCTURE PROGRAM</v>
      </c>
      <c r="M650" s="51" t="str">
        <f>VLOOKUP(Table3[[#This Row],[COMMODITY PREXC SUB-PROGRAM]],TAGS!$U$54:$V$76,2,FALSE)</f>
        <v>AMEFSS</v>
      </c>
      <c r="N650" s="60" t="s">
        <v>594</v>
      </c>
      <c r="O650" s="54" t="str">
        <f>VLOOKUP(Table3[[#This Row],[PI LEVEL 3]],'PI LEVEL'!A:C,3,FALSE)</f>
        <v>Production machinery and equipment distributed</v>
      </c>
      <c r="P650" s="54" t="str">
        <f>VLOOKUP(Table3[[#This Row],[PI LEVEL 3]],Table53729[[Performance Indicator Level 3]:[Performance Indicator Level 1]],2,FALSE)</f>
        <v>Seeding machinery and equipment distributed</v>
      </c>
      <c r="Q650" s="54" t="str">
        <f>VLOOKUP(Table3[[#This Row],[ACTIVITY]],TAGS!B:P,2,FALSE)</f>
        <v>Seeder distributed</v>
      </c>
      <c r="R650" s="60" t="s">
        <v>179</v>
      </c>
      <c r="S650" s="54" t="str">
        <f>VLOOKUP(Table3[[#This Row],[ACTIVITY]],TAGS!$B:$P,4,FALSE)</f>
        <v>Production related machinery &amp; equipment</v>
      </c>
      <c r="T650" s="54" t="str">
        <f>VLOOKUP(Table3[[#This Row],[ACTIVITY]],TAGS!$B:$P,5,FALSE)</f>
        <v>Production-related</v>
      </c>
      <c r="U650" s="54" t="str">
        <f>VLOOKUP(Table3[[#This Row],[ACTIVITY]],TAGS!$B:$P,6,FALSE)</f>
        <v>Corn Seeder</v>
      </c>
      <c r="V650" s="54" t="str">
        <f>VLOOKUP(Table3[[#This Row],[ACTIVITY]],TAGS!$B:$P,7,FALSE)</f>
        <v>NO</v>
      </c>
      <c r="W650" s="54" t="str">
        <f>VLOOKUP(Table3[[#This Row],[ACTIVITY]],TAGS!$B:$P,8,FALSE)</f>
        <v>PAP</v>
      </c>
      <c r="X650" s="54" t="str">
        <f>VLOOKUP(Table3[[#This Row],[ACTIVITY]],TAGS!$B:$P,10,FALSE)</f>
        <v>PIP</v>
      </c>
      <c r="Y650" s="54" t="str">
        <f>VLOOKUP(Table3[[#This Row],[ACTIVITY]],TAGS!$B:$P,11,FALSE)</f>
        <v>PICS</v>
      </c>
      <c r="Z650" s="54" t="str">
        <f>VLOOKUP(Table3[[#This Row],[ACTIVITY]],TAGS!$B:$P,12,FALSE)</f>
        <v>Modernization</v>
      </c>
      <c r="AA650" s="54" t="str">
        <f>VLOOKUP(Table3[[#This Row],[ACTIVITY]],TAGS!$B:$P,13,FALSE)</f>
        <v>8. Farm Mechanization and Farm Investments</v>
      </c>
      <c r="AB650" s="54" t="str">
        <f>VLOOKUP(Table3[[#This Row],[ACTIVITY]],TAGS!$B:$P,14,FALSE)</f>
        <v>MECHANIZE AND MODERNIZE AGRI-FISHERY PRODUCTION SYSTEMS</v>
      </c>
      <c r="AC650" s="54" t="str">
        <f>VLOOKUP(Table3[[#This Row],[ACTIVITY]],TAGS!$B:$P,15,FALSE)</f>
        <v>Production-related</v>
      </c>
      <c r="AD650" s="54" t="str">
        <f>VLOOKUP(Table3[[#This Row],[PI LEVEL 3]],'PI LEVEL'!$A:$G,7,FALSE)</f>
        <v>DA-Level Output</v>
      </c>
      <c r="AE650" s="60"/>
      <c r="AF650" s="54" t="str">
        <f>VLOOKUP(Table3[[#This Row],[ACTIVITY]],TAGS!$B:$P,3,FALSE)</f>
        <v>number</v>
      </c>
      <c r="AG650" s="60"/>
      <c r="AH650" s="54" t="e">
        <f>VLOOKUP(Table3[[#This Row],[MONTH]],TAGS!$W$67:$Y$81,2,FALSE)</f>
        <v>#N/A</v>
      </c>
      <c r="AI650" s="54" t="e">
        <f>VLOOKUP(Table3[[#This Row],[MONTH]],TAGS!$W$67:$Y$81,3,FALSE)</f>
        <v>#N/A</v>
      </c>
      <c r="AJ650" s="54" t="e">
        <f>VLOOKUP(Table3[[#This Row],[MONTH]],TAGS!$W$67:$Z$81,4,FALSE)</f>
        <v>#N/A</v>
      </c>
      <c r="AK650" s="60">
        <v>1</v>
      </c>
      <c r="AL650" s="54" t="str">
        <f>VLOOKUP(Table3[[#This Row],[ACTIVITY]],TAGS!$B:$R,16,FALSE)</f>
        <v>NO</v>
      </c>
      <c r="AM650" s="60">
        <f>Table3[[#This Row],[TARGET]]/20</f>
        <v>0.05</v>
      </c>
      <c r="AN650" s="60">
        <v>1800</v>
      </c>
      <c r="AO650" s="57"/>
      <c r="AP650" s="62"/>
      <c r="AQ650" s="62"/>
      <c r="AR650" s="62"/>
      <c r="AS650" s="62">
        <v>1</v>
      </c>
      <c r="AT650" s="63" t="str">
        <f>VLOOKUP(Table3[[#This Row],[ACTIVITY]],TAGS!$B:$R,17,FALSE)</f>
        <v>YES</v>
      </c>
      <c r="AU650" s="63"/>
      <c r="AV650" s="63"/>
      <c r="AW650" s="63"/>
      <c r="AX650" s="63"/>
      <c r="AY650" s="63"/>
      <c r="AZ650" s="63"/>
      <c r="BA650" s="63"/>
      <c r="BB650" s="63"/>
      <c r="BC650" s="63"/>
      <c r="BD650" s="63"/>
      <c r="BE650" s="63"/>
      <c r="BF650" s="63"/>
      <c r="BG650" s="63"/>
      <c r="BH650" s="63"/>
      <c r="BI650" s="63"/>
      <c r="BJ650" s="63"/>
      <c r="BK650" s="63"/>
      <c r="BL650" s="63"/>
      <c r="BM650" s="63"/>
    </row>
    <row r="651" spans="1:65">
      <c r="A651" s="54" t="str">
        <f>VLOOKUP(Table3[[#This Row],[OU]],OU!$A$15:$B$34,2,FALSE)</f>
        <v>RFOs</v>
      </c>
      <c r="B651" s="60" t="s">
        <v>436</v>
      </c>
      <c r="C651" s="60" t="s">
        <v>574</v>
      </c>
      <c r="D651" s="60"/>
      <c r="E651" s="60" t="s">
        <v>22</v>
      </c>
      <c r="F651" s="60"/>
      <c r="G65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65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651" s="61" t="e">
        <f>VLOOKUP(Table3[[#This Row],[PSGC]],DISTRICT!$D:$G,4,FALSE)</f>
        <v>#N/A</v>
      </c>
      <c r="J651" s="60" t="s">
        <v>578</v>
      </c>
      <c r="K651" s="51" t="str">
        <f>VLOOKUP(Table3[[#This Row],[SPECIFIC COMMODITY]],TAGS!$W$48:$X$53,2,FALSE)</f>
        <v>Corn</v>
      </c>
      <c r="L651" s="51" t="str">
        <f>VLOOKUP(Table3[[#This Row],[PREXC SUB-PROGRAM]],Table5[],2,FALSE)</f>
        <v>AGRICULTURAL  MACHINERY, EQUIPMENT, FACILITIES AND INFRASTRUCTURE PROGRAM</v>
      </c>
      <c r="M651" s="51" t="str">
        <f>VLOOKUP(Table3[[#This Row],[COMMODITY PREXC SUB-PROGRAM]],TAGS!$U$54:$V$76,2,FALSE)</f>
        <v>AMEFSS</v>
      </c>
      <c r="N651" s="60" t="s">
        <v>594</v>
      </c>
      <c r="O651" s="54" t="str">
        <f>VLOOKUP(Table3[[#This Row],[PI LEVEL 3]],'PI LEVEL'!A:C,3,FALSE)</f>
        <v>Production machinery and equipment distributed</v>
      </c>
      <c r="P651" s="54" t="str">
        <f>VLOOKUP(Table3[[#This Row],[PI LEVEL 3]],Table53729[[Performance Indicator Level 3]:[Performance Indicator Level 1]],2,FALSE)</f>
        <v>Seeding machinery and equipment distributed</v>
      </c>
      <c r="Q651" s="54" t="str">
        <f>VLOOKUP(Table3[[#This Row],[ACTIVITY]],TAGS!B:P,2,FALSE)</f>
        <v>Seeder distributed</v>
      </c>
      <c r="R651" s="60" t="s">
        <v>177</v>
      </c>
      <c r="S651" s="54" t="str">
        <f>VLOOKUP(Table3[[#This Row],[ACTIVITY]],TAGS!$B:$P,4,FALSE)</f>
        <v>Production related machinery &amp; equipment</v>
      </c>
      <c r="T651" s="54" t="str">
        <f>VLOOKUP(Table3[[#This Row],[ACTIVITY]],TAGS!$B:$P,5,FALSE)</f>
        <v>Production-related</v>
      </c>
      <c r="U651" s="54" t="str">
        <f>VLOOKUP(Table3[[#This Row],[ACTIVITY]],TAGS!$B:$P,6,FALSE)</f>
        <v>Corn Seeder</v>
      </c>
      <c r="V651" s="54" t="str">
        <f>VLOOKUP(Table3[[#This Row],[ACTIVITY]],TAGS!$B:$P,7,FALSE)</f>
        <v>NO</v>
      </c>
      <c r="W651" s="54" t="str">
        <f>VLOOKUP(Table3[[#This Row],[ACTIVITY]],TAGS!$B:$P,8,FALSE)</f>
        <v>PAP</v>
      </c>
      <c r="X651" s="54" t="str">
        <f>VLOOKUP(Table3[[#This Row],[ACTIVITY]],TAGS!$B:$P,10,FALSE)</f>
        <v>PIP</v>
      </c>
      <c r="Y651" s="54" t="str">
        <f>VLOOKUP(Table3[[#This Row],[ACTIVITY]],TAGS!$B:$P,11,FALSE)</f>
        <v>PICS</v>
      </c>
      <c r="Z651" s="54" t="str">
        <f>VLOOKUP(Table3[[#This Row],[ACTIVITY]],TAGS!$B:$P,12,FALSE)</f>
        <v>Modernization</v>
      </c>
      <c r="AA651" s="54" t="str">
        <f>VLOOKUP(Table3[[#This Row],[ACTIVITY]],TAGS!$B:$P,13,FALSE)</f>
        <v>8. Farm Mechanization and Farm Investments</v>
      </c>
      <c r="AB651" s="54" t="str">
        <f>VLOOKUP(Table3[[#This Row],[ACTIVITY]],TAGS!$B:$P,14,FALSE)</f>
        <v>MECHANIZE AND MODERNIZE AGRI-FISHERY PRODUCTION SYSTEMS</v>
      </c>
      <c r="AC651" s="54" t="str">
        <f>VLOOKUP(Table3[[#This Row],[ACTIVITY]],TAGS!$B:$P,15,FALSE)</f>
        <v>Production-related</v>
      </c>
      <c r="AD651" s="54" t="str">
        <f>VLOOKUP(Table3[[#This Row],[PI LEVEL 3]],'PI LEVEL'!$A:$G,7,FALSE)</f>
        <v>DA-Level Output</v>
      </c>
      <c r="AE651" s="60"/>
      <c r="AF651" s="54" t="str">
        <f>VLOOKUP(Table3[[#This Row],[ACTIVITY]],TAGS!$B:$P,3,FALSE)</f>
        <v>number</v>
      </c>
      <c r="AG651" s="60"/>
      <c r="AH651" s="54" t="e">
        <f>VLOOKUP(Table3[[#This Row],[MONTH]],TAGS!$W$67:$Y$81,2,FALSE)</f>
        <v>#N/A</v>
      </c>
      <c r="AI651" s="54" t="e">
        <f>VLOOKUP(Table3[[#This Row],[MONTH]],TAGS!$W$67:$Y$81,3,FALSE)</f>
        <v>#N/A</v>
      </c>
      <c r="AJ651" s="54" t="e">
        <f>VLOOKUP(Table3[[#This Row],[MONTH]],TAGS!$W$67:$Z$81,4,FALSE)</f>
        <v>#N/A</v>
      </c>
      <c r="AK651" s="60">
        <v>15</v>
      </c>
      <c r="AL651" s="54" t="str">
        <f>VLOOKUP(Table3[[#This Row],[ACTIVITY]],TAGS!$B:$R,16,FALSE)</f>
        <v>NO</v>
      </c>
      <c r="AM651" s="60">
        <f>Table3[[#This Row],[TARGET]]/20</f>
        <v>0.75</v>
      </c>
      <c r="AN651" s="60">
        <v>4500</v>
      </c>
      <c r="AO651" s="57"/>
      <c r="AP651" s="62"/>
      <c r="AQ651" s="62"/>
      <c r="AR651" s="62"/>
      <c r="AS651" s="62">
        <v>3</v>
      </c>
      <c r="AT651" s="63" t="str">
        <f>VLOOKUP(Table3[[#This Row],[ACTIVITY]],TAGS!$B:$R,17,FALSE)</f>
        <v>YES</v>
      </c>
      <c r="AU651" s="63"/>
      <c r="AV651" s="63"/>
      <c r="AW651" s="63"/>
      <c r="AX651" s="63"/>
      <c r="AY651" s="63"/>
      <c r="AZ651" s="63"/>
      <c r="BA651" s="63"/>
      <c r="BB651" s="63"/>
      <c r="BC651" s="63"/>
      <c r="BD651" s="63"/>
      <c r="BE651" s="63"/>
      <c r="BF651" s="63"/>
      <c r="BG651" s="63"/>
      <c r="BH651" s="63"/>
      <c r="BI651" s="63"/>
      <c r="BJ651" s="63"/>
      <c r="BK651" s="63"/>
      <c r="BL651" s="63"/>
      <c r="BM651" s="63"/>
    </row>
    <row r="652" spans="1:65">
      <c r="A652" s="54" t="str">
        <f>VLOOKUP(Table3[[#This Row],[OU]],OU!$A$15:$B$34,2,FALSE)</f>
        <v>RFOs</v>
      </c>
      <c r="B652" s="60" t="s">
        <v>436</v>
      </c>
      <c r="C652" s="60" t="s">
        <v>574</v>
      </c>
      <c r="D652" s="60"/>
      <c r="E652" s="60" t="s">
        <v>43</v>
      </c>
      <c r="F652" s="60"/>
      <c r="G65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65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652" s="61" t="e">
        <f>VLOOKUP(Table3[[#This Row],[PSGC]],DISTRICT!$D:$G,4,FALSE)</f>
        <v>#N/A</v>
      </c>
      <c r="J652" s="60" t="s">
        <v>578</v>
      </c>
      <c r="K652" s="51" t="str">
        <f>VLOOKUP(Table3[[#This Row],[SPECIFIC COMMODITY]],TAGS!$W$48:$X$53,2,FALSE)</f>
        <v>Corn</v>
      </c>
      <c r="L652" s="51" t="str">
        <f>VLOOKUP(Table3[[#This Row],[PREXC SUB-PROGRAM]],Table5[],2,FALSE)</f>
        <v>AGRICULTURAL  MACHINERY, EQUIPMENT, FACILITIES AND INFRASTRUCTURE PROGRAM</v>
      </c>
      <c r="M652" s="51" t="str">
        <f>VLOOKUP(Table3[[#This Row],[COMMODITY PREXC SUB-PROGRAM]],TAGS!$U$54:$V$76,2,FALSE)</f>
        <v>AMEFSS</v>
      </c>
      <c r="N652" s="60" t="s">
        <v>594</v>
      </c>
      <c r="O652" s="54" t="str">
        <f>VLOOKUP(Table3[[#This Row],[PI LEVEL 3]],'PI LEVEL'!A:C,3,FALSE)</f>
        <v>Production machinery and equipment distributed</v>
      </c>
      <c r="P652" s="54" t="str">
        <f>VLOOKUP(Table3[[#This Row],[PI LEVEL 3]],Table53729[[Performance Indicator Level 3]:[Performance Indicator Level 1]],2,FALSE)</f>
        <v>Seeding machinery and equipment distributed</v>
      </c>
      <c r="Q652" s="54" t="str">
        <f>VLOOKUP(Table3[[#This Row],[ACTIVITY]],TAGS!B:P,2,FALSE)</f>
        <v>Seeder distributed</v>
      </c>
      <c r="R652" s="60" t="s">
        <v>177</v>
      </c>
      <c r="S652" s="54" t="str">
        <f>VLOOKUP(Table3[[#This Row],[ACTIVITY]],TAGS!$B:$P,4,FALSE)</f>
        <v>Production related machinery &amp; equipment</v>
      </c>
      <c r="T652" s="54" t="str">
        <f>VLOOKUP(Table3[[#This Row],[ACTIVITY]],TAGS!$B:$P,5,FALSE)</f>
        <v>Production-related</v>
      </c>
      <c r="U652" s="54" t="str">
        <f>VLOOKUP(Table3[[#This Row],[ACTIVITY]],TAGS!$B:$P,6,FALSE)</f>
        <v>Corn Seeder</v>
      </c>
      <c r="V652" s="54" t="str">
        <f>VLOOKUP(Table3[[#This Row],[ACTIVITY]],TAGS!$B:$P,7,FALSE)</f>
        <v>NO</v>
      </c>
      <c r="W652" s="54" t="str">
        <f>VLOOKUP(Table3[[#This Row],[ACTIVITY]],TAGS!$B:$P,8,FALSE)</f>
        <v>PAP</v>
      </c>
      <c r="X652" s="54" t="str">
        <f>VLOOKUP(Table3[[#This Row],[ACTIVITY]],TAGS!$B:$P,10,FALSE)</f>
        <v>PIP</v>
      </c>
      <c r="Y652" s="54" t="str">
        <f>VLOOKUP(Table3[[#This Row],[ACTIVITY]],TAGS!$B:$P,11,FALSE)</f>
        <v>PICS</v>
      </c>
      <c r="Z652" s="54" t="str">
        <f>VLOOKUP(Table3[[#This Row],[ACTIVITY]],TAGS!$B:$P,12,FALSE)</f>
        <v>Modernization</v>
      </c>
      <c r="AA652" s="54" t="str">
        <f>VLOOKUP(Table3[[#This Row],[ACTIVITY]],TAGS!$B:$P,13,FALSE)</f>
        <v>8. Farm Mechanization and Farm Investments</v>
      </c>
      <c r="AB652" s="54" t="str">
        <f>VLOOKUP(Table3[[#This Row],[ACTIVITY]],TAGS!$B:$P,14,FALSE)</f>
        <v>MECHANIZE AND MODERNIZE AGRI-FISHERY PRODUCTION SYSTEMS</v>
      </c>
      <c r="AC652" s="54" t="str">
        <f>VLOOKUP(Table3[[#This Row],[ACTIVITY]],TAGS!$B:$P,15,FALSE)</f>
        <v>Production-related</v>
      </c>
      <c r="AD652" s="54" t="str">
        <f>VLOOKUP(Table3[[#This Row],[PI LEVEL 3]],'PI LEVEL'!$A:$G,7,FALSE)</f>
        <v>DA-Level Output</v>
      </c>
      <c r="AE652" s="60"/>
      <c r="AF652" s="54" t="str">
        <f>VLOOKUP(Table3[[#This Row],[ACTIVITY]],TAGS!$B:$P,3,FALSE)</f>
        <v>number</v>
      </c>
      <c r="AG652" s="60"/>
      <c r="AH652" s="54" t="e">
        <f>VLOOKUP(Table3[[#This Row],[MONTH]],TAGS!$W$67:$Y$81,2,FALSE)</f>
        <v>#N/A</v>
      </c>
      <c r="AI652" s="54" t="e">
        <f>VLOOKUP(Table3[[#This Row],[MONTH]],TAGS!$W$67:$Y$81,3,FALSE)</f>
        <v>#N/A</v>
      </c>
      <c r="AJ652" s="54" t="e">
        <f>VLOOKUP(Table3[[#This Row],[MONTH]],TAGS!$W$67:$Z$81,4,FALSE)</f>
        <v>#N/A</v>
      </c>
      <c r="AK652" s="60">
        <v>20</v>
      </c>
      <c r="AL652" s="54" t="str">
        <f>VLOOKUP(Table3[[#This Row],[ACTIVITY]],TAGS!$B:$R,16,FALSE)</f>
        <v>NO</v>
      </c>
      <c r="AM652" s="60">
        <f>Table3[[#This Row],[TARGET]]/20</f>
        <v>1</v>
      </c>
      <c r="AN652" s="60">
        <v>6000</v>
      </c>
      <c r="AO652" s="57"/>
      <c r="AP652" s="62"/>
      <c r="AQ652" s="62"/>
      <c r="AR652" s="62"/>
      <c r="AS652" s="62">
        <v>4</v>
      </c>
      <c r="AT652" s="63" t="str">
        <f>VLOOKUP(Table3[[#This Row],[ACTIVITY]],TAGS!$B:$R,17,FALSE)</f>
        <v>YES</v>
      </c>
      <c r="AU652" s="63"/>
      <c r="AV652" s="63"/>
      <c r="AW652" s="63"/>
      <c r="AX652" s="63"/>
      <c r="AY652" s="63"/>
      <c r="AZ652" s="63"/>
      <c r="BA652" s="63"/>
      <c r="BB652" s="63"/>
      <c r="BC652" s="63"/>
      <c r="BD652" s="63"/>
      <c r="BE652" s="63"/>
      <c r="BF652" s="63"/>
      <c r="BG652" s="63"/>
      <c r="BH652" s="63"/>
      <c r="BI652" s="63"/>
      <c r="BJ652" s="63"/>
      <c r="BK652" s="63"/>
      <c r="BL652" s="63"/>
      <c r="BM652" s="63"/>
    </row>
    <row r="653" spans="1:65">
      <c r="A653" s="54" t="str">
        <f>VLOOKUP(Table3[[#This Row],[OU]],OU!$A$15:$B$34,2,FALSE)</f>
        <v>RFOs</v>
      </c>
      <c r="B653" s="60" t="s">
        <v>436</v>
      </c>
      <c r="C653" s="60" t="s">
        <v>574</v>
      </c>
      <c r="D653" s="60"/>
      <c r="E653" s="60" t="s">
        <v>63</v>
      </c>
      <c r="F653" s="60"/>
      <c r="G65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Nueva_Vizcaya</v>
      </c>
      <c r="H65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Nueva_Vizcaya</v>
      </c>
      <c r="I653" s="61" t="e">
        <f>VLOOKUP(Table3[[#This Row],[PSGC]],DISTRICT!$D:$G,4,FALSE)</f>
        <v>#N/A</v>
      </c>
      <c r="J653" s="60" t="s">
        <v>578</v>
      </c>
      <c r="K653" s="51" t="str">
        <f>VLOOKUP(Table3[[#This Row],[SPECIFIC COMMODITY]],TAGS!$W$48:$X$53,2,FALSE)</f>
        <v>Corn</v>
      </c>
      <c r="L653" s="51" t="str">
        <f>VLOOKUP(Table3[[#This Row],[PREXC SUB-PROGRAM]],Table5[],2,FALSE)</f>
        <v>AGRICULTURAL  MACHINERY, EQUIPMENT, FACILITIES AND INFRASTRUCTURE PROGRAM</v>
      </c>
      <c r="M653" s="51" t="str">
        <f>VLOOKUP(Table3[[#This Row],[COMMODITY PREXC SUB-PROGRAM]],TAGS!$U$54:$V$76,2,FALSE)</f>
        <v>AMEFSS</v>
      </c>
      <c r="N653" s="60" t="s">
        <v>594</v>
      </c>
      <c r="O653" s="54" t="str">
        <f>VLOOKUP(Table3[[#This Row],[PI LEVEL 3]],'PI LEVEL'!A:C,3,FALSE)</f>
        <v>Production machinery and equipment distributed</v>
      </c>
      <c r="P653" s="54" t="str">
        <f>VLOOKUP(Table3[[#This Row],[PI LEVEL 3]],Table53729[[Performance Indicator Level 3]:[Performance Indicator Level 1]],2,FALSE)</f>
        <v>Seeding machinery and equipment distributed</v>
      </c>
      <c r="Q653" s="54" t="str">
        <f>VLOOKUP(Table3[[#This Row],[ACTIVITY]],TAGS!B:P,2,FALSE)</f>
        <v>Seeder distributed</v>
      </c>
      <c r="R653" s="60" t="s">
        <v>177</v>
      </c>
      <c r="S653" s="54" t="str">
        <f>VLOOKUP(Table3[[#This Row],[ACTIVITY]],TAGS!$B:$P,4,FALSE)</f>
        <v>Production related machinery &amp; equipment</v>
      </c>
      <c r="T653" s="54" t="str">
        <f>VLOOKUP(Table3[[#This Row],[ACTIVITY]],TAGS!$B:$P,5,FALSE)</f>
        <v>Production-related</v>
      </c>
      <c r="U653" s="54" t="str">
        <f>VLOOKUP(Table3[[#This Row],[ACTIVITY]],TAGS!$B:$P,6,FALSE)</f>
        <v>Corn Seeder</v>
      </c>
      <c r="V653" s="54" t="str">
        <f>VLOOKUP(Table3[[#This Row],[ACTIVITY]],TAGS!$B:$P,7,FALSE)</f>
        <v>NO</v>
      </c>
      <c r="W653" s="54" t="str">
        <f>VLOOKUP(Table3[[#This Row],[ACTIVITY]],TAGS!$B:$P,8,FALSE)</f>
        <v>PAP</v>
      </c>
      <c r="X653" s="54" t="str">
        <f>VLOOKUP(Table3[[#This Row],[ACTIVITY]],TAGS!$B:$P,10,FALSE)</f>
        <v>PIP</v>
      </c>
      <c r="Y653" s="54" t="str">
        <f>VLOOKUP(Table3[[#This Row],[ACTIVITY]],TAGS!$B:$P,11,FALSE)</f>
        <v>PICS</v>
      </c>
      <c r="Z653" s="54" t="str">
        <f>VLOOKUP(Table3[[#This Row],[ACTIVITY]],TAGS!$B:$P,12,FALSE)</f>
        <v>Modernization</v>
      </c>
      <c r="AA653" s="54" t="str">
        <f>VLOOKUP(Table3[[#This Row],[ACTIVITY]],TAGS!$B:$P,13,FALSE)</f>
        <v>8. Farm Mechanization and Farm Investments</v>
      </c>
      <c r="AB653" s="54" t="str">
        <f>VLOOKUP(Table3[[#This Row],[ACTIVITY]],TAGS!$B:$P,14,FALSE)</f>
        <v>MECHANIZE AND MODERNIZE AGRI-FISHERY PRODUCTION SYSTEMS</v>
      </c>
      <c r="AC653" s="54" t="str">
        <f>VLOOKUP(Table3[[#This Row],[ACTIVITY]],TAGS!$B:$P,15,FALSE)</f>
        <v>Production-related</v>
      </c>
      <c r="AD653" s="54" t="str">
        <f>VLOOKUP(Table3[[#This Row],[PI LEVEL 3]],'PI LEVEL'!$A:$G,7,FALSE)</f>
        <v>DA-Level Output</v>
      </c>
      <c r="AE653" s="60"/>
      <c r="AF653" s="54" t="str">
        <f>VLOOKUP(Table3[[#This Row],[ACTIVITY]],TAGS!$B:$P,3,FALSE)</f>
        <v>number</v>
      </c>
      <c r="AG653" s="60"/>
      <c r="AH653" s="54" t="e">
        <f>VLOOKUP(Table3[[#This Row],[MONTH]],TAGS!$W$67:$Y$81,2,FALSE)</f>
        <v>#N/A</v>
      </c>
      <c r="AI653" s="54" t="e">
        <f>VLOOKUP(Table3[[#This Row],[MONTH]],TAGS!$W$67:$Y$81,3,FALSE)</f>
        <v>#N/A</v>
      </c>
      <c r="AJ653" s="54" t="e">
        <f>VLOOKUP(Table3[[#This Row],[MONTH]],TAGS!$W$67:$Z$81,4,FALSE)</f>
        <v>#N/A</v>
      </c>
      <c r="AK653" s="60">
        <v>5</v>
      </c>
      <c r="AL653" s="54" t="str">
        <f>VLOOKUP(Table3[[#This Row],[ACTIVITY]],TAGS!$B:$R,16,FALSE)</f>
        <v>NO</v>
      </c>
      <c r="AM653" s="60">
        <f>Table3[[#This Row],[TARGET]]/20</f>
        <v>0.25</v>
      </c>
      <c r="AN653" s="60">
        <v>1500</v>
      </c>
      <c r="AO653" s="57"/>
      <c r="AP653" s="62"/>
      <c r="AQ653" s="62"/>
      <c r="AR653" s="62"/>
      <c r="AS653" s="62">
        <v>1</v>
      </c>
      <c r="AT653" s="63" t="str">
        <f>VLOOKUP(Table3[[#This Row],[ACTIVITY]],TAGS!$B:$R,17,FALSE)</f>
        <v>YES</v>
      </c>
      <c r="AU653" s="63"/>
      <c r="AV653" s="63"/>
      <c r="AW653" s="63"/>
      <c r="AX653" s="63"/>
      <c r="AY653" s="63"/>
      <c r="AZ653" s="63"/>
      <c r="BA653" s="63"/>
      <c r="BB653" s="63"/>
      <c r="BC653" s="63"/>
      <c r="BD653" s="63"/>
      <c r="BE653" s="63"/>
      <c r="BF653" s="63"/>
      <c r="BG653" s="63"/>
      <c r="BH653" s="63"/>
      <c r="BI653" s="63"/>
      <c r="BJ653" s="63"/>
      <c r="BK653" s="63"/>
      <c r="BL653" s="63"/>
      <c r="BM653" s="63"/>
    </row>
    <row r="654" spans="1:65">
      <c r="A654" s="54" t="str">
        <f>VLOOKUP(Table3[[#This Row],[OU]],OU!$A$15:$B$34,2,FALSE)</f>
        <v>RFOs</v>
      </c>
      <c r="B654" s="60" t="s">
        <v>436</v>
      </c>
      <c r="C654" s="60" t="s">
        <v>574</v>
      </c>
      <c r="D654" s="60"/>
      <c r="E654" s="60" t="s">
        <v>70</v>
      </c>
      <c r="F654" s="60"/>
      <c r="G65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</v>
      </c>
      <c r="H65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Quirino</v>
      </c>
      <c r="I654" s="61" t="e">
        <f>VLOOKUP(Table3[[#This Row],[PSGC]],DISTRICT!$D:$G,4,FALSE)</f>
        <v>#N/A</v>
      </c>
      <c r="J654" s="60" t="s">
        <v>578</v>
      </c>
      <c r="K654" s="51" t="str">
        <f>VLOOKUP(Table3[[#This Row],[SPECIFIC COMMODITY]],TAGS!$W$48:$X$53,2,FALSE)</f>
        <v>Corn</v>
      </c>
      <c r="L654" s="51" t="str">
        <f>VLOOKUP(Table3[[#This Row],[PREXC SUB-PROGRAM]],Table5[],2,FALSE)</f>
        <v>AGRICULTURAL  MACHINERY, EQUIPMENT, FACILITIES AND INFRASTRUCTURE PROGRAM</v>
      </c>
      <c r="M654" s="51" t="str">
        <f>VLOOKUP(Table3[[#This Row],[COMMODITY PREXC SUB-PROGRAM]],TAGS!$U$54:$V$76,2,FALSE)</f>
        <v>AMEFSS</v>
      </c>
      <c r="N654" s="60" t="s">
        <v>594</v>
      </c>
      <c r="O654" s="54" t="str">
        <f>VLOOKUP(Table3[[#This Row],[PI LEVEL 3]],'PI LEVEL'!A:C,3,FALSE)</f>
        <v>Production machinery and equipment distributed</v>
      </c>
      <c r="P654" s="54" t="str">
        <f>VLOOKUP(Table3[[#This Row],[PI LEVEL 3]],Table53729[[Performance Indicator Level 3]:[Performance Indicator Level 1]],2,FALSE)</f>
        <v>Seeding machinery and equipment distributed</v>
      </c>
      <c r="Q654" s="54" t="str">
        <f>VLOOKUP(Table3[[#This Row],[ACTIVITY]],TAGS!B:P,2,FALSE)</f>
        <v>Seeder distributed</v>
      </c>
      <c r="R654" s="60" t="s">
        <v>177</v>
      </c>
      <c r="S654" s="54" t="str">
        <f>VLOOKUP(Table3[[#This Row],[ACTIVITY]],TAGS!$B:$P,4,FALSE)</f>
        <v>Production related machinery &amp; equipment</v>
      </c>
      <c r="T654" s="54" t="str">
        <f>VLOOKUP(Table3[[#This Row],[ACTIVITY]],TAGS!$B:$P,5,FALSE)</f>
        <v>Production-related</v>
      </c>
      <c r="U654" s="54" t="str">
        <f>VLOOKUP(Table3[[#This Row],[ACTIVITY]],TAGS!$B:$P,6,FALSE)</f>
        <v>Corn Seeder</v>
      </c>
      <c r="V654" s="54" t="str">
        <f>VLOOKUP(Table3[[#This Row],[ACTIVITY]],TAGS!$B:$P,7,FALSE)</f>
        <v>NO</v>
      </c>
      <c r="W654" s="54" t="str">
        <f>VLOOKUP(Table3[[#This Row],[ACTIVITY]],TAGS!$B:$P,8,FALSE)</f>
        <v>PAP</v>
      </c>
      <c r="X654" s="54" t="str">
        <f>VLOOKUP(Table3[[#This Row],[ACTIVITY]],TAGS!$B:$P,10,FALSE)</f>
        <v>PIP</v>
      </c>
      <c r="Y654" s="54" t="str">
        <f>VLOOKUP(Table3[[#This Row],[ACTIVITY]],TAGS!$B:$P,11,FALSE)</f>
        <v>PICS</v>
      </c>
      <c r="Z654" s="54" t="str">
        <f>VLOOKUP(Table3[[#This Row],[ACTIVITY]],TAGS!$B:$P,12,FALSE)</f>
        <v>Modernization</v>
      </c>
      <c r="AA654" s="54" t="str">
        <f>VLOOKUP(Table3[[#This Row],[ACTIVITY]],TAGS!$B:$P,13,FALSE)</f>
        <v>8. Farm Mechanization and Farm Investments</v>
      </c>
      <c r="AB654" s="54" t="str">
        <f>VLOOKUP(Table3[[#This Row],[ACTIVITY]],TAGS!$B:$P,14,FALSE)</f>
        <v>MECHANIZE AND MODERNIZE AGRI-FISHERY PRODUCTION SYSTEMS</v>
      </c>
      <c r="AC654" s="54" t="str">
        <f>VLOOKUP(Table3[[#This Row],[ACTIVITY]],TAGS!$B:$P,15,FALSE)</f>
        <v>Production-related</v>
      </c>
      <c r="AD654" s="54" t="str">
        <f>VLOOKUP(Table3[[#This Row],[PI LEVEL 3]],'PI LEVEL'!$A:$G,7,FALSE)</f>
        <v>DA-Level Output</v>
      </c>
      <c r="AE654" s="60"/>
      <c r="AF654" s="54" t="str">
        <f>VLOOKUP(Table3[[#This Row],[ACTIVITY]],TAGS!$B:$P,3,FALSE)</f>
        <v>number</v>
      </c>
      <c r="AG654" s="60"/>
      <c r="AH654" s="54" t="e">
        <f>VLOOKUP(Table3[[#This Row],[MONTH]],TAGS!$W$67:$Y$81,2,FALSE)</f>
        <v>#N/A</v>
      </c>
      <c r="AI654" s="54" t="e">
        <f>VLOOKUP(Table3[[#This Row],[MONTH]],TAGS!$W$67:$Y$81,3,FALSE)</f>
        <v>#N/A</v>
      </c>
      <c r="AJ654" s="54" t="e">
        <f>VLOOKUP(Table3[[#This Row],[MONTH]],TAGS!$W$67:$Z$81,4,FALSE)</f>
        <v>#N/A</v>
      </c>
      <c r="AK654" s="60">
        <v>10</v>
      </c>
      <c r="AL654" s="54" t="str">
        <f>VLOOKUP(Table3[[#This Row],[ACTIVITY]],TAGS!$B:$R,16,FALSE)</f>
        <v>NO</v>
      </c>
      <c r="AM654" s="60">
        <f>Table3[[#This Row],[TARGET]]/20</f>
        <v>0.5</v>
      </c>
      <c r="AN654" s="60">
        <v>3000</v>
      </c>
      <c r="AO654" s="57"/>
      <c r="AP654" s="62"/>
      <c r="AQ654" s="62"/>
      <c r="AR654" s="62"/>
      <c r="AS654" s="62">
        <v>2</v>
      </c>
      <c r="AT654" s="63" t="str">
        <f>VLOOKUP(Table3[[#This Row],[ACTIVITY]],TAGS!$B:$R,17,FALSE)</f>
        <v>YES</v>
      </c>
      <c r="AU654" s="63"/>
      <c r="AV654" s="63"/>
      <c r="AW654" s="63"/>
      <c r="AX654" s="63"/>
      <c r="AY654" s="63"/>
      <c r="AZ654" s="63"/>
      <c r="BA654" s="63"/>
      <c r="BB654" s="63"/>
      <c r="BC654" s="63"/>
      <c r="BD654" s="63"/>
      <c r="BE654" s="63"/>
      <c r="BF654" s="63"/>
      <c r="BG654" s="63"/>
      <c r="BH654" s="63"/>
      <c r="BI654" s="63"/>
      <c r="BJ654" s="63"/>
      <c r="BK654" s="63"/>
      <c r="BL654" s="63"/>
      <c r="BM654" s="63"/>
    </row>
    <row r="655" spans="1:65">
      <c r="A655" s="54" t="str">
        <f>VLOOKUP(Table3[[#This Row],[OU]],OU!$A$15:$B$34,2,FALSE)</f>
        <v>RFOs</v>
      </c>
      <c r="B655" s="60" t="s">
        <v>436</v>
      </c>
      <c r="C655" s="60" t="s">
        <v>574</v>
      </c>
      <c r="D655" s="60"/>
      <c r="E655" s="60" t="s">
        <v>22</v>
      </c>
      <c r="F655" s="60"/>
      <c r="G65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65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655" s="61" t="e">
        <f>VLOOKUP(Table3[[#This Row],[PSGC]],DISTRICT!$D:$G,4,FALSE)</f>
        <v>#N/A</v>
      </c>
      <c r="J655" s="60" t="s">
        <v>578</v>
      </c>
      <c r="K655" s="51" t="str">
        <f>VLOOKUP(Table3[[#This Row],[SPECIFIC COMMODITY]],TAGS!$W$48:$X$53,2,FALSE)</f>
        <v>Corn</v>
      </c>
      <c r="L655" s="51" t="str">
        <f>VLOOKUP(Table3[[#This Row],[PREXC SUB-PROGRAM]],Table5[],2,FALSE)</f>
        <v>AGRICULTURAL  MACHINERY, EQUIPMENT, FACILITIES AND INFRASTRUCTURE PROGRAM</v>
      </c>
      <c r="M655" s="51" t="str">
        <f>VLOOKUP(Table3[[#This Row],[COMMODITY PREXC SUB-PROGRAM]],TAGS!$U$54:$V$76,2,FALSE)</f>
        <v>AMEFSS</v>
      </c>
      <c r="N655" s="60" t="s">
        <v>594</v>
      </c>
      <c r="O655" s="54" t="str">
        <f>VLOOKUP(Table3[[#This Row],[PI LEVEL 3]],'PI LEVEL'!A:C,3,FALSE)</f>
        <v>Production machinery and equipment distributed</v>
      </c>
      <c r="P655" s="54" t="str">
        <f>VLOOKUP(Table3[[#This Row],[PI LEVEL 3]],Table53729[[Performance Indicator Level 3]:[Performance Indicator Level 1]],2,FALSE)</f>
        <v>Seeding machinery and equipment distributed</v>
      </c>
      <c r="Q655" s="54" t="str">
        <f>VLOOKUP(Table3[[#This Row],[ACTIVITY]],TAGS!B:P,2,FALSE)</f>
        <v>Seeder distributed</v>
      </c>
      <c r="R655" s="60" t="s">
        <v>173</v>
      </c>
      <c r="S655" s="54" t="str">
        <f>VLOOKUP(Table3[[#This Row],[ACTIVITY]],TAGS!$B:$P,4,FALSE)</f>
        <v>Production related machinery &amp; equipment</v>
      </c>
      <c r="T655" s="54" t="str">
        <f>VLOOKUP(Table3[[#This Row],[ACTIVITY]],TAGS!$B:$P,5,FALSE)</f>
        <v>Production-related</v>
      </c>
      <c r="U655" s="54" t="str">
        <f>VLOOKUP(Table3[[#This Row],[ACTIVITY]],TAGS!$B:$P,6,FALSE)</f>
        <v>Corn Seeder</v>
      </c>
      <c r="V655" s="54" t="str">
        <f>VLOOKUP(Table3[[#This Row],[ACTIVITY]],TAGS!$B:$P,7,FALSE)</f>
        <v>NO</v>
      </c>
      <c r="W655" s="54" t="str">
        <f>VLOOKUP(Table3[[#This Row],[ACTIVITY]],TAGS!$B:$P,8,FALSE)</f>
        <v>PAP</v>
      </c>
      <c r="X655" s="54" t="str">
        <f>VLOOKUP(Table3[[#This Row],[ACTIVITY]],TAGS!$B:$P,10,FALSE)</f>
        <v>PIP</v>
      </c>
      <c r="Y655" s="54" t="str">
        <f>VLOOKUP(Table3[[#This Row],[ACTIVITY]],TAGS!$B:$P,11,FALSE)</f>
        <v>PICS</v>
      </c>
      <c r="Z655" s="54" t="str">
        <f>VLOOKUP(Table3[[#This Row],[ACTIVITY]],TAGS!$B:$P,12,FALSE)</f>
        <v>Modernization</v>
      </c>
      <c r="AA655" s="54" t="str">
        <f>VLOOKUP(Table3[[#This Row],[ACTIVITY]],TAGS!$B:$P,13,FALSE)</f>
        <v>8. Farm Mechanization and Farm Investments</v>
      </c>
      <c r="AB655" s="54" t="str">
        <f>VLOOKUP(Table3[[#This Row],[ACTIVITY]],TAGS!$B:$P,14,FALSE)</f>
        <v>MECHANIZE AND MODERNIZE AGRI-FISHERY PRODUCTION SYSTEMS</v>
      </c>
      <c r="AC655" s="54" t="str">
        <f>VLOOKUP(Table3[[#This Row],[ACTIVITY]],TAGS!$B:$P,15,FALSE)</f>
        <v>Production-related</v>
      </c>
      <c r="AD655" s="54" t="str">
        <f>VLOOKUP(Table3[[#This Row],[PI LEVEL 3]],'PI LEVEL'!$A:$G,7,FALSE)</f>
        <v>DA-Level Output</v>
      </c>
      <c r="AE655" s="60"/>
      <c r="AF655" s="54" t="str">
        <f>VLOOKUP(Table3[[#This Row],[ACTIVITY]],TAGS!$B:$P,3,FALSE)</f>
        <v>number</v>
      </c>
      <c r="AG655" s="60"/>
      <c r="AH655" s="54" t="e">
        <f>VLOOKUP(Table3[[#This Row],[MONTH]],TAGS!$W$67:$Y$81,2,FALSE)</f>
        <v>#N/A</v>
      </c>
      <c r="AI655" s="54" t="e">
        <f>VLOOKUP(Table3[[#This Row],[MONTH]],TAGS!$W$67:$Y$81,3,FALSE)</f>
        <v>#N/A</v>
      </c>
      <c r="AJ655" s="54" t="e">
        <f>VLOOKUP(Table3[[#This Row],[MONTH]],TAGS!$W$67:$Z$81,4,FALSE)</f>
        <v>#N/A</v>
      </c>
      <c r="AK655" s="60">
        <v>1</v>
      </c>
      <c r="AL655" s="54" t="str">
        <f>VLOOKUP(Table3[[#This Row],[ACTIVITY]],TAGS!$B:$R,16,FALSE)</f>
        <v>NO</v>
      </c>
      <c r="AM655" s="60">
        <f>Table3[[#This Row],[TARGET]]/20</f>
        <v>0.05</v>
      </c>
      <c r="AN655" s="60">
        <v>800</v>
      </c>
      <c r="AO655" s="57"/>
      <c r="AP655" s="62"/>
      <c r="AQ655" s="62"/>
      <c r="AR655" s="62"/>
      <c r="AS655" s="62">
        <v>1</v>
      </c>
      <c r="AT655" s="63" t="str">
        <f>VLOOKUP(Table3[[#This Row],[ACTIVITY]],TAGS!$B:$R,17,FALSE)</f>
        <v>YES</v>
      </c>
      <c r="AU655" s="63"/>
      <c r="AV655" s="63"/>
      <c r="AW655" s="63"/>
      <c r="AX655" s="63"/>
      <c r="AY655" s="63"/>
      <c r="AZ655" s="63"/>
      <c r="BA655" s="63"/>
      <c r="BB655" s="63"/>
      <c r="BC655" s="63"/>
      <c r="BD655" s="63"/>
      <c r="BE655" s="63"/>
      <c r="BF655" s="63"/>
      <c r="BG655" s="63"/>
      <c r="BH655" s="63"/>
      <c r="BI655" s="63"/>
      <c r="BJ655" s="63"/>
      <c r="BK655" s="63"/>
      <c r="BL655" s="63"/>
      <c r="BM655" s="63"/>
    </row>
    <row r="656" spans="1:65">
      <c r="A656" s="54" t="str">
        <f>VLOOKUP(Table3[[#This Row],[OU]],OU!$A$15:$B$34,2,FALSE)</f>
        <v>RFOs</v>
      </c>
      <c r="B656" s="60" t="s">
        <v>436</v>
      </c>
      <c r="C656" s="60" t="s">
        <v>574</v>
      </c>
      <c r="D656" s="60"/>
      <c r="E656" s="60" t="s">
        <v>43</v>
      </c>
      <c r="F656" s="60"/>
      <c r="G65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65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656" s="61" t="e">
        <f>VLOOKUP(Table3[[#This Row],[PSGC]],DISTRICT!$D:$G,4,FALSE)</f>
        <v>#N/A</v>
      </c>
      <c r="J656" s="60" t="s">
        <v>578</v>
      </c>
      <c r="K656" s="51" t="str">
        <f>VLOOKUP(Table3[[#This Row],[SPECIFIC COMMODITY]],TAGS!$W$48:$X$53,2,FALSE)</f>
        <v>Corn</v>
      </c>
      <c r="L656" s="51" t="str">
        <f>VLOOKUP(Table3[[#This Row],[PREXC SUB-PROGRAM]],Table5[],2,FALSE)</f>
        <v>AGRICULTURAL  MACHINERY, EQUIPMENT, FACILITIES AND INFRASTRUCTURE PROGRAM</v>
      </c>
      <c r="M656" s="51" t="str">
        <f>VLOOKUP(Table3[[#This Row],[COMMODITY PREXC SUB-PROGRAM]],TAGS!$U$54:$V$76,2,FALSE)</f>
        <v>AMEFSS</v>
      </c>
      <c r="N656" s="60" t="s">
        <v>594</v>
      </c>
      <c r="O656" s="54" t="str">
        <f>VLOOKUP(Table3[[#This Row],[PI LEVEL 3]],'PI LEVEL'!A:C,3,FALSE)</f>
        <v>Production machinery and equipment distributed</v>
      </c>
      <c r="P656" s="54" t="str">
        <f>VLOOKUP(Table3[[#This Row],[PI LEVEL 3]],Table53729[[Performance Indicator Level 3]:[Performance Indicator Level 1]],2,FALSE)</f>
        <v>Seeding machinery and equipment distributed</v>
      </c>
      <c r="Q656" s="54" t="str">
        <f>VLOOKUP(Table3[[#This Row],[ACTIVITY]],TAGS!B:P,2,FALSE)</f>
        <v>Seeder distributed</v>
      </c>
      <c r="R656" s="60" t="s">
        <v>173</v>
      </c>
      <c r="S656" s="54" t="str">
        <f>VLOOKUP(Table3[[#This Row],[ACTIVITY]],TAGS!$B:$P,4,FALSE)</f>
        <v>Production related machinery &amp; equipment</v>
      </c>
      <c r="T656" s="54" t="str">
        <f>VLOOKUP(Table3[[#This Row],[ACTIVITY]],TAGS!$B:$P,5,FALSE)</f>
        <v>Production-related</v>
      </c>
      <c r="U656" s="54" t="str">
        <f>VLOOKUP(Table3[[#This Row],[ACTIVITY]],TAGS!$B:$P,6,FALSE)</f>
        <v>Corn Seeder</v>
      </c>
      <c r="V656" s="54" t="str">
        <f>VLOOKUP(Table3[[#This Row],[ACTIVITY]],TAGS!$B:$P,7,FALSE)</f>
        <v>NO</v>
      </c>
      <c r="W656" s="54" t="str">
        <f>VLOOKUP(Table3[[#This Row],[ACTIVITY]],TAGS!$B:$P,8,FALSE)</f>
        <v>PAP</v>
      </c>
      <c r="X656" s="54" t="str">
        <f>VLOOKUP(Table3[[#This Row],[ACTIVITY]],TAGS!$B:$P,10,FALSE)</f>
        <v>PIP</v>
      </c>
      <c r="Y656" s="54" t="str">
        <f>VLOOKUP(Table3[[#This Row],[ACTIVITY]],TAGS!$B:$P,11,FALSE)</f>
        <v>PICS</v>
      </c>
      <c r="Z656" s="54" t="str">
        <f>VLOOKUP(Table3[[#This Row],[ACTIVITY]],TAGS!$B:$P,12,FALSE)</f>
        <v>Modernization</v>
      </c>
      <c r="AA656" s="54" t="str">
        <f>VLOOKUP(Table3[[#This Row],[ACTIVITY]],TAGS!$B:$P,13,FALSE)</f>
        <v>8. Farm Mechanization and Farm Investments</v>
      </c>
      <c r="AB656" s="54" t="str">
        <f>VLOOKUP(Table3[[#This Row],[ACTIVITY]],TAGS!$B:$P,14,FALSE)</f>
        <v>MECHANIZE AND MODERNIZE AGRI-FISHERY PRODUCTION SYSTEMS</v>
      </c>
      <c r="AC656" s="54" t="str">
        <f>VLOOKUP(Table3[[#This Row],[ACTIVITY]],TAGS!$B:$P,15,FALSE)</f>
        <v>Production-related</v>
      </c>
      <c r="AD656" s="54" t="str">
        <f>VLOOKUP(Table3[[#This Row],[PI LEVEL 3]],'PI LEVEL'!$A:$G,7,FALSE)</f>
        <v>DA-Level Output</v>
      </c>
      <c r="AE656" s="60"/>
      <c r="AF656" s="54" t="str">
        <f>VLOOKUP(Table3[[#This Row],[ACTIVITY]],TAGS!$B:$P,3,FALSE)</f>
        <v>number</v>
      </c>
      <c r="AG656" s="60"/>
      <c r="AH656" s="54" t="e">
        <f>VLOOKUP(Table3[[#This Row],[MONTH]],TAGS!$W$67:$Y$81,2,FALSE)</f>
        <v>#N/A</v>
      </c>
      <c r="AI656" s="54" t="e">
        <f>VLOOKUP(Table3[[#This Row],[MONTH]],TAGS!$W$67:$Y$81,3,FALSE)</f>
        <v>#N/A</v>
      </c>
      <c r="AJ656" s="54" t="e">
        <f>VLOOKUP(Table3[[#This Row],[MONTH]],TAGS!$W$67:$Z$81,4,FALSE)</f>
        <v>#N/A</v>
      </c>
      <c r="AK656" s="60">
        <v>1</v>
      </c>
      <c r="AL656" s="54" t="str">
        <f>VLOOKUP(Table3[[#This Row],[ACTIVITY]],TAGS!$B:$R,16,FALSE)</f>
        <v>NO</v>
      </c>
      <c r="AM656" s="60">
        <f>Table3[[#This Row],[TARGET]]/20</f>
        <v>0.05</v>
      </c>
      <c r="AN656" s="60">
        <v>800</v>
      </c>
      <c r="AO656" s="57"/>
      <c r="AP656" s="62"/>
      <c r="AQ656" s="62"/>
      <c r="AR656" s="62"/>
      <c r="AS656" s="62">
        <v>1</v>
      </c>
      <c r="AT656" s="63" t="str">
        <f>VLOOKUP(Table3[[#This Row],[ACTIVITY]],TAGS!$B:$R,17,FALSE)</f>
        <v>YES</v>
      </c>
      <c r="AU656" s="63"/>
      <c r="AV656" s="63"/>
      <c r="AW656" s="63"/>
      <c r="AX656" s="63"/>
      <c r="AY656" s="63"/>
      <c r="AZ656" s="63"/>
      <c r="BA656" s="63"/>
      <c r="BB656" s="63"/>
      <c r="BC656" s="63"/>
      <c r="BD656" s="63"/>
      <c r="BE656" s="63"/>
      <c r="BF656" s="63"/>
      <c r="BG656" s="63"/>
      <c r="BH656" s="63"/>
      <c r="BI656" s="63"/>
      <c r="BJ656" s="63"/>
      <c r="BK656" s="63"/>
      <c r="BL656" s="63"/>
      <c r="BM656" s="63"/>
    </row>
    <row r="657" spans="1:65">
      <c r="A657" s="54" t="str">
        <f>VLOOKUP(Table3[[#This Row],[OU]],OU!$A$15:$B$34,2,FALSE)</f>
        <v>RFOs</v>
      </c>
      <c r="B657" s="60" t="s">
        <v>436</v>
      </c>
      <c r="C657" s="60" t="s">
        <v>574</v>
      </c>
      <c r="D657" s="60"/>
      <c r="E657" s="60" t="s">
        <v>70</v>
      </c>
      <c r="F657" s="60"/>
      <c r="G65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</v>
      </c>
      <c r="H65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Quirino</v>
      </c>
      <c r="I657" s="61" t="e">
        <f>VLOOKUP(Table3[[#This Row],[PSGC]],DISTRICT!$D:$G,4,FALSE)</f>
        <v>#N/A</v>
      </c>
      <c r="J657" s="60" t="s">
        <v>578</v>
      </c>
      <c r="K657" s="51" t="str">
        <f>VLOOKUP(Table3[[#This Row],[SPECIFIC COMMODITY]],TAGS!$W$48:$X$53,2,FALSE)</f>
        <v>Corn</v>
      </c>
      <c r="L657" s="51" t="str">
        <f>VLOOKUP(Table3[[#This Row],[PREXC SUB-PROGRAM]],Table5[],2,FALSE)</f>
        <v>AGRICULTURAL  MACHINERY, EQUIPMENT, FACILITIES AND INFRASTRUCTURE PROGRAM</v>
      </c>
      <c r="M657" s="51" t="str">
        <f>VLOOKUP(Table3[[#This Row],[COMMODITY PREXC SUB-PROGRAM]],TAGS!$U$54:$V$76,2,FALSE)</f>
        <v>AMEFSS</v>
      </c>
      <c r="N657" s="60" t="s">
        <v>594</v>
      </c>
      <c r="O657" s="54" t="str">
        <f>VLOOKUP(Table3[[#This Row],[PI LEVEL 3]],'PI LEVEL'!A:C,3,FALSE)</f>
        <v>Production machinery and equipment distributed</v>
      </c>
      <c r="P657" s="54" t="str">
        <f>VLOOKUP(Table3[[#This Row],[PI LEVEL 3]],Table53729[[Performance Indicator Level 3]:[Performance Indicator Level 1]],2,FALSE)</f>
        <v>Seeding machinery and equipment distributed</v>
      </c>
      <c r="Q657" s="54" t="str">
        <f>VLOOKUP(Table3[[#This Row],[ACTIVITY]],TAGS!B:P,2,FALSE)</f>
        <v>Seeder distributed</v>
      </c>
      <c r="R657" s="60" t="s">
        <v>173</v>
      </c>
      <c r="S657" s="54" t="str">
        <f>VLOOKUP(Table3[[#This Row],[ACTIVITY]],TAGS!$B:$P,4,FALSE)</f>
        <v>Production related machinery &amp; equipment</v>
      </c>
      <c r="T657" s="54" t="str">
        <f>VLOOKUP(Table3[[#This Row],[ACTIVITY]],TAGS!$B:$P,5,FALSE)</f>
        <v>Production-related</v>
      </c>
      <c r="U657" s="54" t="str">
        <f>VLOOKUP(Table3[[#This Row],[ACTIVITY]],TAGS!$B:$P,6,FALSE)</f>
        <v>Corn Seeder</v>
      </c>
      <c r="V657" s="54" t="str">
        <f>VLOOKUP(Table3[[#This Row],[ACTIVITY]],TAGS!$B:$P,7,FALSE)</f>
        <v>NO</v>
      </c>
      <c r="W657" s="54" t="str">
        <f>VLOOKUP(Table3[[#This Row],[ACTIVITY]],TAGS!$B:$P,8,FALSE)</f>
        <v>PAP</v>
      </c>
      <c r="X657" s="54" t="str">
        <f>VLOOKUP(Table3[[#This Row],[ACTIVITY]],TAGS!$B:$P,10,FALSE)</f>
        <v>PIP</v>
      </c>
      <c r="Y657" s="54" t="str">
        <f>VLOOKUP(Table3[[#This Row],[ACTIVITY]],TAGS!$B:$P,11,FALSE)</f>
        <v>PICS</v>
      </c>
      <c r="Z657" s="54" t="str">
        <f>VLOOKUP(Table3[[#This Row],[ACTIVITY]],TAGS!$B:$P,12,FALSE)</f>
        <v>Modernization</v>
      </c>
      <c r="AA657" s="54" t="str">
        <f>VLOOKUP(Table3[[#This Row],[ACTIVITY]],TAGS!$B:$P,13,FALSE)</f>
        <v>8. Farm Mechanization and Farm Investments</v>
      </c>
      <c r="AB657" s="54" t="str">
        <f>VLOOKUP(Table3[[#This Row],[ACTIVITY]],TAGS!$B:$P,14,FALSE)</f>
        <v>MECHANIZE AND MODERNIZE AGRI-FISHERY PRODUCTION SYSTEMS</v>
      </c>
      <c r="AC657" s="54" t="str">
        <f>VLOOKUP(Table3[[#This Row],[ACTIVITY]],TAGS!$B:$P,15,FALSE)</f>
        <v>Production-related</v>
      </c>
      <c r="AD657" s="54" t="str">
        <f>VLOOKUP(Table3[[#This Row],[PI LEVEL 3]],'PI LEVEL'!$A:$G,7,FALSE)</f>
        <v>DA-Level Output</v>
      </c>
      <c r="AE657" s="60"/>
      <c r="AF657" s="54" t="str">
        <f>VLOOKUP(Table3[[#This Row],[ACTIVITY]],TAGS!$B:$P,3,FALSE)</f>
        <v>number</v>
      </c>
      <c r="AG657" s="60"/>
      <c r="AH657" s="54" t="e">
        <f>VLOOKUP(Table3[[#This Row],[MONTH]],TAGS!$W$67:$Y$81,2,FALSE)</f>
        <v>#N/A</v>
      </c>
      <c r="AI657" s="54" t="e">
        <f>VLOOKUP(Table3[[#This Row],[MONTH]],TAGS!$W$67:$Y$81,3,FALSE)</f>
        <v>#N/A</v>
      </c>
      <c r="AJ657" s="54" t="e">
        <f>VLOOKUP(Table3[[#This Row],[MONTH]],TAGS!$W$67:$Z$81,4,FALSE)</f>
        <v>#N/A</v>
      </c>
      <c r="AK657" s="60">
        <v>1</v>
      </c>
      <c r="AL657" s="54" t="str">
        <f>VLOOKUP(Table3[[#This Row],[ACTIVITY]],TAGS!$B:$R,16,FALSE)</f>
        <v>NO</v>
      </c>
      <c r="AM657" s="60">
        <f>Table3[[#This Row],[TARGET]]/20</f>
        <v>0.05</v>
      </c>
      <c r="AN657" s="60">
        <v>800</v>
      </c>
      <c r="AO657" s="57"/>
      <c r="AP657" s="62"/>
      <c r="AQ657" s="62"/>
      <c r="AR657" s="62"/>
      <c r="AS657" s="62">
        <v>1</v>
      </c>
      <c r="AT657" s="63" t="str">
        <f>VLOOKUP(Table3[[#This Row],[ACTIVITY]],TAGS!$B:$R,17,FALSE)</f>
        <v>YES</v>
      </c>
      <c r="AU657" s="63"/>
      <c r="AV657" s="63"/>
      <c r="AW657" s="63"/>
      <c r="AX657" s="63"/>
      <c r="AY657" s="63"/>
      <c r="AZ657" s="63"/>
      <c r="BA657" s="63"/>
      <c r="BB657" s="63"/>
      <c r="BC657" s="63"/>
      <c r="BD657" s="63"/>
      <c r="BE657" s="63"/>
      <c r="BF657" s="63"/>
      <c r="BG657" s="63"/>
      <c r="BH657" s="63"/>
      <c r="BI657" s="63"/>
      <c r="BJ657" s="63"/>
      <c r="BK657" s="63"/>
      <c r="BL657" s="63"/>
      <c r="BM657" s="63"/>
    </row>
    <row r="658" spans="1:65">
      <c r="A658" s="54" t="str">
        <f>VLOOKUP(Table3[[#This Row],[OU]],OU!$A$15:$B$34,2,FALSE)</f>
        <v>RFOs</v>
      </c>
      <c r="B658" s="60" t="s">
        <v>436</v>
      </c>
      <c r="C658" s="60" t="s">
        <v>574</v>
      </c>
      <c r="D658" s="60"/>
      <c r="E658" s="60" t="s">
        <v>22</v>
      </c>
      <c r="F658" s="60"/>
      <c r="G65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65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658" s="61" t="e">
        <f>VLOOKUP(Table3[[#This Row],[PSGC]],DISTRICT!$D:$G,4,FALSE)</f>
        <v>#N/A</v>
      </c>
      <c r="J658" s="60" t="s">
        <v>578</v>
      </c>
      <c r="K658" s="51" t="str">
        <f>VLOOKUP(Table3[[#This Row],[SPECIFIC COMMODITY]],TAGS!$W$48:$X$53,2,FALSE)</f>
        <v>Corn</v>
      </c>
      <c r="L658" s="51" t="str">
        <f>VLOOKUP(Table3[[#This Row],[PREXC SUB-PROGRAM]],Table5[],2,FALSE)</f>
        <v>AGRICULTURAL  MACHINERY, EQUIPMENT, FACILITIES AND INFRASTRUCTURE PROGRAM</v>
      </c>
      <c r="M658" s="51" t="str">
        <f>VLOOKUP(Table3[[#This Row],[COMMODITY PREXC SUB-PROGRAM]],TAGS!$U$54:$V$76,2,FALSE)</f>
        <v>AMEFSS</v>
      </c>
      <c r="N658" s="60" t="s">
        <v>594</v>
      </c>
      <c r="O658" s="54" t="str">
        <f>VLOOKUP(Table3[[#This Row],[PI LEVEL 3]],'PI LEVEL'!A:C,3,FALSE)</f>
        <v>Production machinery and equipment distributed</v>
      </c>
      <c r="P658" s="54" t="str">
        <f>VLOOKUP(Table3[[#This Row],[PI LEVEL 3]],Table53729[[Performance Indicator Level 3]:[Performance Indicator Level 1]],2,FALSE)</f>
        <v>Seeding machinery and equipment distributed</v>
      </c>
      <c r="Q658" s="54" t="str">
        <f>VLOOKUP(Table3[[#This Row],[ACTIVITY]],TAGS!B:P,2,FALSE)</f>
        <v>Seeder distributed</v>
      </c>
      <c r="R658" s="60" t="s">
        <v>175</v>
      </c>
      <c r="S658" s="54" t="str">
        <f>VLOOKUP(Table3[[#This Row],[ACTIVITY]],TAGS!$B:$P,4,FALSE)</f>
        <v>Production related machinery &amp; equipment</v>
      </c>
      <c r="T658" s="54" t="str">
        <f>VLOOKUP(Table3[[#This Row],[ACTIVITY]],TAGS!$B:$P,5,FALSE)</f>
        <v>Production-related</v>
      </c>
      <c r="U658" s="54" t="str">
        <f>VLOOKUP(Table3[[#This Row],[ACTIVITY]],TAGS!$B:$P,6,FALSE)</f>
        <v>Corn Seeder</v>
      </c>
      <c r="V658" s="54" t="str">
        <f>VLOOKUP(Table3[[#This Row],[ACTIVITY]],TAGS!$B:$P,7,FALSE)</f>
        <v>NO</v>
      </c>
      <c r="W658" s="54" t="str">
        <f>VLOOKUP(Table3[[#This Row],[ACTIVITY]],TAGS!$B:$P,8,FALSE)</f>
        <v>PAP</v>
      </c>
      <c r="X658" s="54" t="str">
        <f>VLOOKUP(Table3[[#This Row],[ACTIVITY]],TAGS!$B:$P,10,FALSE)</f>
        <v>PIP</v>
      </c>
      <c r="Y658" s="54" t="str">
        <f>VLOOKUP(Table3[[#This Row],[ACTIVITY]],TAGS!$B:$P,11,FALSE)</f>
        <v>PICS</v>
      </c>
      <c r="Z658" s="54" t="str">
        <f>VLOOKUP(Table3[[#This Row],[ACTIVITY]],TAGS!$B:$P,12,FALSE)</f>
        <v>Modernization</v>
      </c>
      <c r="AA658" s="54" t="str">
        <f>VLOOKUP(Table3[[#This Row],[ACTIVITY]],TAGS!$B:$P,13,FALSE)</f>
        <v>8. Farm Mechanization and Farm Investments</v>
      </c>
      <c r="AB658" s="54" t="str">
        <f>VLOOKUP(Table3[[#This Row],[ACTIVITY]],TAGS!$B:$P,14,FALSE)</f>
        <v>MECHANIZE AND MODERNIZE AGRI-FISHERY PRODUCTION SYSTEMS</v>
      </c>
      <c r="AC658" s="54" t="str">
        <f>VLOOKUP(Table3[[#This Row],[ACTIVITY]],TAGS!$B:$P,15,FALSE)</f>
        <v>Production-related</v>
      </c>
      <c r="AD658" s="54" t="str">
        <f>VLOOKUP(Table3[[#This Row],[PI LEVEL 3]],'PI LEVEL'!$A:$G,7,FALSE)</f>
        <v>DA-Level Output</v>
      </c>
      <c r="AE658" s="60"/>
      <c r="AF658" s="54" t="str">
        <f>VLOOKUP(Table3[[#This Row],[ACTIVITY]],TAGS!$B:$P,3,FALSE)</f>
        <v>number</v>
      </c>
      <c r="AG658" s="60"/>
      <c r="AH658" s="54" t="e">
        <f>VLOOKUP(Table3[[#This Row],[MONTH]],TAGS!$W$67:$Y$81,2,FALSE)</f>
        <v>#N/A</v>
      </c>
      <c r="AI658" s="54" t="e">
        <f>VLOOKUP(Table3[[#This Row],[MONTH]],TAGS!$W$67:$Y$81,3,FALSE)</f>
        <v>#N/A</v>
      </c>
      <c r="AJ658" s="54" t="e">
        <f>VLOOKUP(Table3[[#This Row],[MONTH]],TAGS!$W$67:$Z$81,4,FALSE)</f>
        <v>#N/A</v>
      </c>
      <c r="AK658" s="60">
        <v>3</v>
      </c>
      <c r="AL658" s="54" t="str">
        <f>VLOOKUP(Table3[[#This Row],[ACTIVITY]],TAGS!$B:$R,16,FALSE)</f>
        <v>NO</v>
      </c>
      <c r="AM658" s="60">
        <f>Table3[[#This Row],[TARGET]]/20</f>
        <v>0.15</v>
      </c>
      <c r="AN658" s="60">
        <v>600</v>
      </c>
      <c r="AO658" s="57"/>
      <c r="AP658" s="62"/>
      <c r="AQ658" s="62"/>
      <c r="AR658" s="62"/>
      <c r="AS658" s="62">
        <v>3</v>
      </c>
      <c r="AT658" s="63" t="str">
        <f>VLOOKUP(Table3[[#This Row],[ACTIVITY]],TAGS!$B:$R,17,FALSE)</f>
        <v>YES</v>
      </c>
      <c r="AU658" s="63"/>
      <c r="AV658" s="63"/>
      <c r="AW658" s="63"/>
      <c r="AX658" s="63"/>
      <c r="AY658" s="63"/>
      <c r="AZ658" s="63"/>
      <c r="BA658" s="63"/>
      <c r="BB658" s="63"/>
      <c r="BC658" s="63"/>
      <c r="BD658" s="63"/>
      <c r="BE658" s="63"/>
      <c r="BF658" s="63"/>
      <c r="BG658" s="63"/>
      <c r="BH658" s="63"/>
      <c r="BI658" s="63"/>
      <c r="BJ658" s="63"/>
      <c r="BK658" s="63"/>
      <c r="BL658" s="63"/>
      <c r="BM658" s="63"/>
    </row>
    <row r="659" spans="1:65">
      <c r="A659" s="54" t="str">
        <f>VLOOKUP(Table3[[#This Row],[OU]],OU!$A$15:$B$34,2,FALSE)</f>
        <v>RFOs</v>
      </c>
      <c r="B659" s="60" t="s">
        <v>436</v>
      </c>
      <c r="C659" s="60" t="s">
        <v>574</v>
      </c>
      <c r="D659" s="60"/>
      <c r="E659" s="60" t="s">
        <v>43</v>
      </c>
      <c r="F659" s="60"/>
      <c r="G65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65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659" s="61" t="e">
        <f>VLOOKUP(Table3[[#This Row],[PSGC]],DISTRICT!$D:$G,4,FALSE)</f>
        <v>#N/A</v>
      </c>
      <c r="J659" s="60" t="s">
        <v>578</v>
      </c>
      <c r="K659" s="51" t="str">
        <f>VLOOKUP(Table3[[#This Row],[SPECIFIC COMMODITY]],TAGS!$W$48:$X$53,2,FALSE)</f>
        <v>Corn</v>
      </c>
      <c r="L659" s="51" t="str">
        <f>VLOOKUP(Table3[[#This Row],[PREXC SUB-PROGRAM]],Table5[],2,FALSE)</f>
        <v>AGRICULTURAL  MACHINERY, EQUIPMENT, FACILITIES AND INFRASTRUCTURE PROGRAM</v>
      </c>
      <c r="M659" s="51" t="str">
        <f>VLOOKUP(Table3[[#This Row],[COMMODITY PREXC SUB-PROGRAM]],TAGS!$U$54:$V$76,2,FALSE)</f>
        <v>AMEFSS</v>
      </c>
      <c r="N659" s="60" t="s">
        <v>594</v>
      </c>
      <c r="O659" s="54" t="str">
        <f>VLOOKUP(Table3[[#This Row],[PI LEVEL 3]],'PI LEVEL'!A:C,3,FALSE)</f>
        <v>Production machinery and equipment distributed</v>
      </c>
      <c r="P659" s="54" t="str">
        <f>VLOOKUP(Table3[[#This Row],[PI LEVEL 3]],Table53729[[Performance Indicator Level 3]:[Performance Indicator Level 1]],2,FALSE)</f>
        <v>Seeding machinery and equipment distributed</v>
      </c>
      <c r="Q659" s="54" t="str">
        <f>VLOOKUP(Table3[[#This Row],[ACTIVITY]],TAGS!B:P,2,FALSE)</f>
        <v>Seeder distributed</v>
      </c>
      <c r="R659" s="60" t="s">
        <v>175</v>
      </c>
      <c r="S659" s="54" t="str">
        <f>VLOOKUP(Table3[[#This Row],[ACTIVITY]],TAGS!$B:$P,4,FALSE)</f>
        <v>Production related machinery &amp; equipment</v>
      </c>
      <c r="T659" s="54" t="str">
        <f>VLOOKUP(Table3[[#This Row],[ACTIVITY]],TAGS!$B:$P,5,FALSE)</f>
        <v>Production-related</v>
      </c>
      <c r="U659" s="54" t="str">
        <f>VLOOKUP(Table3[[#This Row],[ACTIVITY]],TAGS!$B:$P,6,FALSE)</f>
        <v>Corn Seeder</v>
      </c>
      <c r="V659" s="54" t="str">
        <f>VLOOKUP(Table3[[#This Row],[ACTIVITY]],TAGS!$B:$P,7,FALSE)</f>
        <v>NO</v>
      </c>
      <c r="W659" s="54" t="str">
        <f>VLOOKUP(Table3[[#This Row],[ACTIVITY]],TAGS!$B:$P,8,FALSE)</f>
        <v>PAP</v>
      </c>
      <c r="X659" s="54" t="str">
        <f>VLOOKUP(Table3[[#This Row],[ACTIVITY]],TAGS!$B:$P,10,FALSE)</f>
        <v>PIP</v>
      </c>
      <c r="Y659" s="54" t="str">
        <f>VLOOKUP(Table3[[#This Row],[ACTIVITY]],TAGS!$B:$P,11,FALSE)</f>
        <v>PICS</v>
      </c>
      <c r="Z659" s="54" t="str">
        <f>VLOOKUP(Table3[[#This Row],[ACTIVITY]],TAGS!$B:$P,12,FALSE)</f>
        <v>Modernization</v>
      </c>
      <c r="AA659" s="54" t="str">
        <f>VLOOKUP(Table3[[#This Row],[ACTIVITY]],TAGS!$B:$P,13,FALSE)</f>
        <v>8. Farm Mechanization and Farm Investments</v>
      </c>
      <c r="AB659" s="54" t="str">
        <f>VLOOKUP(Table3[[#This Row],[ACTIVITY]],TAGS!$B:$P,14,FALSE)</f>
        <v>MECHANIZE AND MODERNIZE AGRI-FISHERY PRODUCTION SYSTEMS</v>
      </c>
      <c r="AC659" s="54" t="str">
        <f>VLOOKUP(Table3[[#This Row],[ACTIVITY]],TAGS!$B:$P,15,FALSE)</f>
        <v>Production-related</v>
      </c>
      <c r="AD659" s="54" t="str">
        <f>VLOOKUP(Table3[[#This Row],[PI LEVEL 3]],'PI LEVEL'!$A:$G,7,FALSE)</f>
        <v>DA-Level Output</v>
      </c>
      <c r="AE659" s="60"/>
      <c r="AF659" s="54" t="str">
        <f>VLOOKUP(Table3[[#This Row],[ACTIVITY]],TAGS!$B:$P,3,FALSE)</f>
        <v>number</v>
      </c>
      <c r="AG659" s="60"/>
      <c r="AH659" s="54" t="e">
        <f>VLOOKUP(Table3[[#This Row],[MONTH]],TAGS!$W$67:$Y$81,2,FALSE)</f>
        <v>#N/A</v>
      </c>
      <c r="AI659" s="54" t="e">
        <f>VLOOKUP(Table3[[#This Row],[MONTH]],TAGS!$W$67:$Y$81,3,FALSE)</f>
        <v>#N/A</v>
      </c>
      <c r="AJ659" s="54" t="e">
        <f>VLOOKUP(Table3[[#This Row],[MONTH]],TAGS!$W$67:$Z$81,4,FALSE)</f>
        <v>#N/A</v>
      </c>
      <c r="AK659" s="60">
        <v>5</v>
      </c>
      <c r="AL659" s="54" t="str">
        <f>VLOOKUP(Table3[[#This Row],[ACTIVITY]],TAGS!$B:$R,16,FALSE)</f>
        <v>NO</v>
      </c>
      <c r="AM659" s="60">
        <f>Table3[[#This Row],[TARGET]]/20</f>
        <v>0.25</v>
      </c>
      <c r="AN659" s="60">
        <v>1000</v>
      </c>
      <c r="AO659" s="57"/>
      <c r="AP659" s="62"/>
      <c r="AQ659" s="62"/>
      <c r="AR659" s="62"/>
      <c r="AS659" s="62">
        <v>4</v>
      </c>
      <c r="AT659" s="63" t="str">
        <f>VLOOKUP(Table3[[#This Row],[ACTIVITY]],TAGS!$B:$R,17,FALSE)</f>
        <v>YES</v>
      </c>
      <c r="AU659" s="63"/>
      <c r="AV659" s="63"/>
      <c r="AW659" s="63"/>
      <c r="AX659" s="63"/>
      <c r="AY659" s="63"/>
      <c r="AZ659" s="63"/>
      <c r="BA659" s="63"/>
      <c r="BB659" s="63"/>
      <c r="BC659" s="63"/>
      <c r="BD659" s="63"/>
      <c r="BE659" s="63"/>
      <c r="BF659" s="63"/>
      <c r="BG659" s="63"/>
      <c r="BH659" s="63"/>
      <c r="BI659" s="63"/>
      <c r="BJ659" s="63"/>
      <c r="BK659" s="63"/>
      <c r="BL659" s="63"/>
      <c r="BM659" s="63"/>
    </row>
    <row r="660" spans="1:65">
      <c r="A660" s="54" t="str">
        <f>VLOOKUP(Table3[[#This Row],[OU]],OU!$A$15:$B$34,2,FALSE)</f>
        <v>RFOs</v>
      </c>
      <c r="B660" s="60" t="s">
        <v>436</v>
      </c>
      <c r="C660" s="60" t="s">
        <v>574</v>
      </c>
      <c r="D660" s="60"/>
      <c r="E660" s="60" t="s">
        <v>70</v>
      </c>
      <c r="F660" s="60"/>
      <c r="G66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</v>
      </c>
      <c r="H66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Quirino</v>
      </c>
      <c r="I660" s="61" t="e">
        <f>VLOOKUP(Table3[[#This Row],[PSGC]],DISTRICT!$D:$G,4,FALSE)</f>
        <v>#N/A</v>
      </c>
      <c r="J660" s="60" t="s">
        <v>578</v>
      </c>
      <c r="K660" s="51" t="str">
        <f>VLOOKUP(Table3[[#This Row],[SPECIFIC COMMODITY]],TAGS!$W$48:$X$53,2,FALSE)</f>
        <v>Corn</v>
      </c>
      <c r="L660" s="51" t="str">
        <f>VLOOKUP(Table3[[#This Row],[PREXC SUB-PROGRAM]],Table5[],2,FALSE)</f>
        <v>AGRICULTURAL  MACHINERY, EQUIPMENT, FACILITIES AND INFRASTRUCTURE PROGRAM</v>
      </c>
      <c r="M660" s="51" t="str">
        <f>VLOOKUP(Table3[[#This Row],[COMMODITY PREXC SUB-PROGRAM]],TAGS!$U$54:$V$76,2,FALSE)</f>
        <v>AMEFSS</v>
      </c>
      <c r="N660" s="60" t="s">
        <v>594</v>
      </c>
      <c r="O660" s="54" t="str">
        <f>VLOOKUP(Table3[[#This Row],[PI LEVEL 3]],'PI LEVEL'!A:C,3,FALSE)</f>
        <v>Production machinery and equipment distributed</v>
      </c>
      <c r="P660" s="54" t="str">
        <f>VLOOKUP(Table3[[#This Row],[PI LEVEL 3]],Table53729[[Performance Indicator Level 3]:[Performance Indicator Level 1]],2,FALSE)</f>
        <v>Seeding machinery and equipment distributed</v>
      </c>
      <c r="Q660" s="54" t="str">
        <f>VLOOKUP(Table3[[#This Row],[ACTIVITY]],TAGS!B:P,2,FALSE)</f>
        <v>Seeder distributed</v>
      </c>
      <c r="R660" s="60" t="s">
        <v>175</v>
      </c>
      <c r="S660" s="54" t="str">
        <f>VLOOKUP(Table3[[#This Row],[ACTIVITY]],TAGS!$B:$P,4,FALSE)</f>
        <v>Production related machinery &amp; equipment</v>
      </c>
      <c r="T660" s="54" t="str">
        <f>VLOOKUP(Table3[[#This Row],[ACTIVITY]],TAGS!$B:$P,5,FALSE)</f>
        <v>Production-related</v>
      </c>
      <c r="U660" s="54" t="str">
        <f>VLOOKUP(Table3[[#This Row],[ACTIVITY]],TAGS!$B:$P,6,FALSE)</f>
        <v>Corn Seeder</v>
      </c>
      <c r="V660" s="54" t="str">
        <f>VLOOKUP(Table3[[#This Row],[ACTIVITY]],TAGS!$B:$P,7,FALSE)</f>
        <v>NO</v>
      </c>
      <c r="W660" s="54" t="str">
        <f>VLOOKUP(Table3[[#This Row],[ACTIVITY]],TAGS!$B:$P,8,FALSE)</f>
        <v>PAP</v>
      </c>
      <c r="X660" s="54" t="str">
        <f>VLOOKUP(Table3[[#This Row],[ACTIVITY]],TAGS!$B:$P,10,FALSE)</f>
        <v>PIP</v>
      </c>
      <c r="Y660" s="54" t="str">
        <f>VLOOKUP(Table3[[#This Row],[ACTIVITY]],TAGS!$B:$P,11,FALSE)</f>
        <v>PICS</v>
      </c>
      <c r="Z660" s="54" t="str">
        <f>VLOOKUP(Table3[[#This Row],[ACTIVITY]],TAGS!$B:$P,12,FALSE)</f>
        <v>Modernization</v>
      </c>
      <c r="AA660" s="54" t="str">
        <f>VLOOKUP(Table3[[#This Row],[ACTIVITY]],TAGS!$B:$P,13,FALSE)</f>
        <v>8. Farm Mechanization and Farm Investments</v>
      </c>
      <c r="AB660" s="54" t="str">
        <f>VLOOKUP(Table3[[#This Row],[ACTIVITY]],TAGS!$B:$P,14,FALSE)</f>
        <v>MECHANIZE AND MODERNIZE AGRI-FISHERY PRODUCTION SYSTEMS</v>
      </c>
      <c r="AC660" s="54" t="str">
        <f>VLOOKUP(Table3[[#This Row],[ACTIVITY]],TAGS!$B:$P,15,FALSE)</f>
        <v>Production-related</v>
      </c>
      <c r="AD660" s="54" t="str">
        <f>VLOOKUP(Table3[[#This Row],[PI LEVEL 3]],'PI LEVEL'!$A:$G,7,FALSE)</f>
        <v>DA-Level Output</v>
      </c>
      <c r="AE660" s="60"/>
      <c r="AF660" s="54" t="str">
        <f>VLOOKUP(Table3[[#This Row],[ACTIVITY]],TAGS!$B:$P,3,FALSE)</f>
        <v>number</v>
      </c>
      <c r="AG660" s="60"/>
      <c r="AH660" s="54" t="e">
        <f>VLOOKUP(Table3[[#This Row],[MONTH]],TAGS!$W$67:$Y$81,2,FALSE)</f>
        <v>#N/A</v>
      </c>
      <c r="AI660" s="54" t="e">
        <f>VLOOKUP(Table3[[#This Row],[MONTH]],TAGS!$W$67:$Y$81,3,FALSE)</f>
        <v>#N/A</v>
      </c>
      <c r="AJ660" s="54" t="e">
        <f>VLOOKUP(Table3[[#This Row],[MONTH]],TAGS!$W$67:$Z$81,4,FALSE)</f>
        <v>#N/A</v>
      </c>
      <c r="AK660" s="60">
        <v>2</v>
      </c>
      <c r="AL660" s="54" t="str">
        <f>VLOOKUP(Table3[[#This Row],[ACTIVITY]],TAGS!$B:$R,16,FALSE)</f>
        <v>NO</v>
      </c>
      <c r="AM660" s="60">
        <f>Table3[[#This Row],[TARGET]]/20</f>
        <v>0.1</v>
      </c>
      <c r="AN660" s="60">
        <v>400</v>
      </c>
      <c r="AO660" s="57"/>
      <c r="AP660" s="62"/>
      <c r="AQ660" s="62"/>
      <c r="AR660" s="62"/>
      <c r="AS660" s="62">
        <v>2</v>
      </c>
      <c r="AT660" s="63" t="str">
        <f>VLOOKUP(Table3[[#This Row],[ACTIVITY]],TAGS!$B:$R,17,FALSE)</f>
        <v>YES</v>
      </c>
      <c r="AU660" s="63"/>
      <c r="AV660" s="63"/>
      <c r="AW660" s="63"/>
      <c r="AX660" s="63"/>
      <c r="AY660" s="63"/>
      <c r="AZ660" s="63"/>
      <c r="BA660" s="63"/>
      <c r="BB660" s="63"/>
      <c r="BC660" s="63"/>
      <c r="BD660" s="63"/>
      <c r="BE660" s="63"/>
      <c r="BF660" s="63"/>
      <c r="BG660" s="63"/>
      <c r="BH660" s="63"/>
      <c r="BI660" s="63"/>
      <c r="BJ660" s="63"/>
      <c r="BK660" s="63"/>
      <c r="BL660" s="63"/>
      <c r="BM660" s="63"/>
    </row>
    <row r="661" spans="1:65">
      <c r="A661" s="54" t="str">
        <f>VLOOKUP(Table3[[#This Row],[OU]],OU!$A$15:$B$34,2,FALSE)</f>
        <v>RFOs</v>
      </c>
      <c r="B661" s="60" t="s">
        <v>436</v>
      </c>
      <c r="C661" s="60" t="s">
        <v>574</v>
      </c>
      <c r="D661" s="60"/>
      <c r="E661" s="60" t="s">
        <v>43</v>
      </c>
      <c r="F661" s="60"/>
      <c r="G66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66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661" s="61" t="e">
        <f>VLOOKUP(Table3[[#This Row],[PSGC]],DISTRICT!$D:$G,4,FALSE)</f>
        <v>#N/A</v>
      </c>
      <c r="J661" s="60" t="s">
        <v>578</v>
      </c>
      <c r="K661" s="51" t="str">
        <f>VLOOKUP(Table3[[#This Row],[SPECIFIC COMMODITY]],TAGS!$W$48:$X$53,2,FALSE)</f>
        <v>Corn</v>
      </c>
      <c r="L661" s="51" t="str">
        <f>VLOOKUP(Table3[[#This Row],[PREXC SUB-PROGRAM]],Table5[],2,FALSE)</f>
        <v>AGRICULTURAL  MACHINERY, EQUIPMENT, FACILITIES AND INFRASTRUCTURE PROGRAM</v>
      </c>
      <c r="M661" s="51" t="str">
        <f>VLOOKUP(Table3[[#This Row],[COMMODITY PREXC SUB-PROGRAM]],TAGS!$U$54:$V$76,2,FALSE)</f>
        <v>AMEFSS</v>
      </c>
      <c r="N661" s="60" t="s">
        <v>594</v>
      </c>
      <c r="O661" s="54" t="str">
        <f>VLOOKUP(Table3[[#This Row],[PI LEVEL 3]],'PI LEVEL'!A:C,3,FALSE)</f>
        <v>Postharvest facility constructed</v>
      </c>
      <c r="P661" s="54" t="str">
        <f>VLOOKUP(Table3[[#This Row],[PI LEVEL 3]],Table53729[[Performance Indicator Level 3]:[Performance Indicator Level 1]],2,FALSE)</f>
        <v>Crop drying facility constructed</v>
      </c>
      <c r="Q661" s="54" t="str">
        <f>VLOOKUP(Table3[[#This Row],[ACTIVITY]],TAGS!B:P,2,FALSE)</f>
        <v>Multi-crop drying pavement (MCDP) constructed</v>
      </c>
      <c r="R661" s="60" t="s">
        <v>194</v>
      </c>
      <c r="S661" s="54" t="str">
        <f>VLOOKUP(Table3[[#This Row],[ACTIVITY]],TAGS!$B:$P,4,FALSE)</f>
        <v>Postharvest facilities</v>
      </c>
      <c r="T661" s="54" t="str">
        <f>VLOOKUP(Table3[[#This Row],[ACTIVITY]],TAGS!$B:$P,5,FALSE)</f>
        <v>Postharvest facilities</v>
      </c>
      <c r="U661" s="54" t="str">
        <f>VLOOKUP(Table3[[#This Row],[ACTIVITY]],TAGS!$B:$P,6,FALSE)</f>
        <v>Multi Crop Drying Pavement (MCDP) </v>
      </c>
      <c r="V661" s="54" t="str">
        <f>VLOOKUP(Table3[[#This Row],[ACTIVITY]],TAGS!$B:$P,7,FALSE)</f>
        <v>YES</v>
      </c>
      <c r="W661" s="54" t="str">
        <f>VLOOKUP(Table3[[#This Row],[ACTIVITY]],TAGS!$B:$P,8,FALSE)</f>
        <v>PAP</v>
      </c>
      <c r="X661" s="54" t="str">
        <f>VLOOKUP(Table3[[#This Row],[ACTIVITY]],TAGS!$B:$P,10,FALSE)</f>
        <v>PIP</v>
      </c>
      <c r="Y661" s="54" t="str">
        <f>VLOOKUP(Table3[[#This Row],[ACTIVITY]],TAGS!$B:$P,11,FALSE)</f>
        <v>PICS</v>
      </c>
      <c r="Z661" s="54" t="str">
        <f>VLOOKUP(Table3[[#This Row],[ACTIVITY]],TAGS!$B:$P,12,FALSE)</f>
        <v>Modernization</v>
      </c>
      <c r="AA661" s="54" t="str">
        <f>VLOOKUP(Table3[[#This Row],[ACTIVITY]],TAGS!$B:$P,13,FALSE)</f>
        <v>8. Farm Mechanization and Farm Investments</v>
      </c>
      <c r="AB661" s="54" t="str">
        <f>VLOOKUP(Table3[[#This Row],[ACTIVITY]],TAGS!$B:$P,14,FALSE)</f>
        <v>DEVELOP AND IMPROVE POST-HARVEST SYSTEMS AND INFRASTRUCTURE</v>
      </c>
      <c r="AC661" s="54" t="str">
        <f>VLOOKUP(Table3[[#This Row],[ACTIVITY]],TAGS!$B:$P,15,FALSE)</f>
        <v>Postharvest facilities</v>
      </c>
      <c r="AD661" s="54" t="str">
        <f>VLOOKUP(Table3[[#This Row],[PI LEVEL 3]],'PI LEVEL'!$A:$G,7,FALSE)</f>
        <v>DA-Level Output</v>
      </c>
      <c r="AE661" s="60"/>
      <c r="AF661" s="54" t="str">
        <f>VLOOKUP(Table3[[#This Row],[ACTIVITY]],TAGS!$B:$P,3,FALSE)</f>
        <v>number</v>
      </c>
      <c r="AG661" s="60"/>
      <c r="AH661" s="54" t="e">
        <f>VLOOKUP(Table3[[#This Row],[MONTH]],TAGS!$W$67:$Y$81,2,FALSE)</f>
        <v>#N/A</v>
      </c>
      <c r="AI661" s="54" t="e">
        <f>VLOOKUP(Table3[[#This Row],[MONTH]],TAGS!$W$67:$Y$81,3,FALSE)</f>
        <v>#N/A</v>
      </c>
      <c r="AJ661" s="54" t="e">
        <f>VLOOKUP(Table3[[#This Row],[MONTH]],TAGS!$W$67:$Z$81,4,FALSE)</f>
        <v>#N/A</v>
      </c>
      <c r="AK661" s="60">
        <v>2</v>
      </c>
      <c r="AL661" s="54" t="str">
        <f>VLOOKUP(Table3[[#This Row],[ACTIVITY]],TAGS!$B:$R,16,FALSE)</f>
        <v>NO</v>
      </c>
      <c r="AM661" s="60">
        <f>Table3[[#This Row],[TARGET]]/20</f>
        <v>0.1</v>
      </c>
      <c r="AN661" s="60">
        <v>2000</v>
      </c>
      <c r="AO661" s="57"/>
      <c r="AP661" s="62"/>
      <c r="AQ661" s="62"/>
      <c r="AR661" s="62"/>
      <c r="AS661" s="62">
        <v>2</v>
      </c>
      <c r="AT661" s="63" t="str">
        <f>VLOOKUP(Table3[[#This Row],[ACTIVITY]],TAGS!$B:$R,17,FALSE)</f>
        <v>YES</v>
      </c>
      <c r="AU661" s="63"/>
      <c r="AV661" s="63"/>
      <c r="AW661" s="63"/>
      <c r="AX661" s="63"/>
      <c r="AY661" s="63"/>
      <c r="AZ661" s="63"/>
      <c r="BA661" s="63"/>
      <c r="BB661" s="63"/>
      <c r="BC661" s="63"/>
      <c r="BD661" s="63"/>
      <c r="BE661" s="63"/>
      <c r="BF661" s="63"/>
      <c r="BG661" s="63"/>
      <c r="BH661" s="63"/>
      <c r="BI661" s="63"/>
      <c r="BJ661" s="63"/>
      <c r="BK661" s="63"/>
      <c r="BL661" s="63"/>
      <c r="BM661" s="63"/>
    </row>
    <row r="662" spans="1:65">
      <c r="A662" s="54" t="str">
        <f>VLOOKUP(Table3[[#This Row],[OU]],OU!$A$15:$B$34,2,FALSE)</f>
        <v>RFOs</v>
      </c>
      <c r="B662" s="60" t="s">
        <v>436</v>
      </c>
      <c r="C662" s="60" t="s">
        <v>574</v>
      </c>
      <c r="D662" s="60"/>
      <c r="E662" s="60" t="s">
        <v>70</v>
      </c>
      <c r="F662" s="60"/>
      <c r="G66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</v>
      </c>
      <c r="H66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Quirino</v>
      </c>
      <c r="I662" s="61" t="e">
        <f>VLOOKUP(Table3[[#This Row],[PSGC]],DISTRICT!$D:$G,4,FALSE)</f>
        <v>#N/A</v>
      </c>
      <c r="J662" s="60" t="s">
        <v>578</v>
      </c>
      <c r="K662" s="51" t="str">
        <f>VLOOKUP(Table3[[#This Row],[SPECIFIC COMMODITY]],TAGS!$W$48:$X$53,2,FALSE)</f>
        <v>Corn</v>
      </c>
      <c r="L662" s="51" t="str">
        <f>VLOOKUP(Table3[[#This Row],[PREXC SUB-PROGRAM]],Table5[],2,FALSE)</f>
        <v>AGRICULTURAL  MACHINERY, EQUIPMENT, FACILITIES AND INFRASTRUCTURE PROGRAM</v>
      </c>
      <c r="M662" s="51" t="str">
        <f>VLOOKUP(Table3[[#This Row],[COMMODITY PREXC SUB-PROGRAM]],TAGS!$U$54:$V$76,2,FALSE)</f>
        <v>AMEFSS</v>
      </c>
      <c r="N662" s="60" t="s">
        <v>594</v>
      </c>
      <c r="O662" s="54" t="str">
        <f>VLOOKUP(Table3[[#This Row],[PI LEVEL 3]],'PI LEVEL'!A:C,3,FALSE)</f>
        <v>Postharvest facility constructed</v>
      </c>
      <c r="P662" s="54" t="str">
        <f>VLOOKUP(Table3[[#This Row],[PI LEVEL 3]],Table53729[[Performance Indicator Level 3]:[Performance Indicator Level 1]],2,FALSE)</f>
        <v>Crop drying facility constructed</v>
      </c>
      <c r="Q662" s="54" t="str">
        <f>VLOOKUP(Table3[[#This Row],[ACTIVITY]],TAGS!B:P,2,FALSE)</f>
        <v>Multi-crop drying pavement (MCDP) constructed</v>
      </c>
      <c r="R662" s="60" t="s">
        <v>194</v>
      </c>
      <c r="S662" s="54" t="str">
        <f>VLOOKUP(Table3[[#This Row],[ACTIVITY]],TAGS!$B:$P,4,FALSE)</f>
        <v>Postharvest facilities</v>
      </c>
      <c r="T662" s="54" t="str">
        <f>VLOOKUP(Table3[[#This Row],[ACTIVITY]],TAGS!$B:$P,5,FALSE)</f>
        <v>Postharvest facilities</v>
      </c>
      <c r="U662" s="54" t="str">
        <f>VLOOKUP(Table3[[#This Row],[ACTIVITY]],TAGS!$B:$P,6,FALSE)</f>
        <v>Multi Crop Drying Pavement (MCDP) </v>
      </c>
      <c r="V662" s="54" t="str">
        <f>VLOOKUP(Table3[[#This Row],[ACTIVITY]],TAGS!$B:$P,7,FALSE)</f>
        <v>YES</v>
      </c>
      <c r="W662" s="54" t="str">
        <f>VLOOKUP(Table3[[#This Row],[ACTIVITY]],TAGS!$B:$P,8,FALSE)</f>
        <v>PAP</v>
      </c>
      <c r="X662" s="54" t="str">
        <f>VLOOKUP(Table3[[#This Row],[ACTIVITY]],TAGS!$B:$P,10,FALSE)</f>
        <v>PIP</v>
      </c>
      <c r="Y662" s="54" t="str">
        <f>VLOOKUP(Table3[[#This Row],[ACTIVITY]],TAGS!$B:$P,11,FALSE)</f>
        <v>PICS</v>
      </c>
      <c r="Z662" s="54" t="str">
        <f>VLOOKUP(Table3[[#This Row],[ACTIVITY]],TAGS!$B:$P,12,FALSE)</f>
        <v>Modernization</v>
      </c>
      <c r="AA662" s="54" t="str">
        <f>VLOOKUP(Table3[[#This Row],[ACTIVITY]],TAGS!$B:$P,13,FALSE)</f>
        <v>8. Farm Mechanization and Farm Investments</v>
      </c>
      <c r="AB662" s="54" t="str">
        <f>VLOOKUP(Table3[[#This Row],[ACTIVITY]],TAGS!$B:$P,14,FALSE)</f>
        <v>DEVELOP AND IMPROVE POST-HARVEST SYSTEMS AND INFRASTRUCTURE</v>
      </c>
      <c r="AC662" s="54" t="str">
        <f>VLOOKUP(Table3[[#This Row],[ACTIVITY]],TAGS!$B:$P,15,FALSE)</f>
        <v>Postharvest facilities</v>
      </c>
      <c r="AD662" s="54" t="str">
        <f>VLOOKUP(Table3[[#This Row],[PI LEVEL 3]],'PI LEVEL'!$A:$G,7,FALSE)</f>
        <v>DA-Level Output</v>
      </c>
      <c r="AE662" s="60"/>
      <c r="AF662" s="54" t="str">
        <f>VLOOKUP(Table3[[#This Row],[ACTIVITY]],TAGS!$B:$P,3,FALSE)</f>
        <v>number</v>
      </c>
      <c r="AG662" s="60"/>
      <c r="AH662" s="54" t="e">
        <f>VLOOKUP(Table3[[#This Row],[MONTH]],TAGS!$W$67:$Y$81,2,FALSE)</f>
        <v>#N/A</v>
      </c>
      <c r="AI662" s="54" t="e">
        <f>VLOOKUP(Table3[[#This Row],[MONTH]],TAGS!$W$67:$Y$81,3,FALSE)</f>
        <v>#N/A</v>
      </c>
      <c r="AJ662" s="54" t="e">
        <f>VLOOKUP(Table3[[#This Row],[MONTH]],TAGS!$W$67:$Z$81,4,FALSE)</f>
        <v>#N/A</v>
      </c>
      <c r="AK662" s="60">
        <v>3</v>
      </c>
      <c r="AL662" s="54" t="str">
        <f>VLOOKUP(Table3[[#This Row],[ACTIVITY]],TAGS!$B:$R,16,FALSE)</f>
        <v>NO</v>
      </c>
      <c r="AM662" s="60">
        <f>Table3[[#This Row],[TARGET]]/20</f>
        <v>0.15</v>
      </c>
      <c r="AN662" s="60">
        <v>3000</v>
      </c>
      <c r="AO662" s="57"/>
      <c r="AP662" s="62"/>
      <c r="AQ662" s="62"/>
      <c r="AR662" s="62"/>
      <c r="AS662" s="62">
        <v>3</v>
      </c>
      <c r="AT662" s="63" t="str">
        <f>VLOOKUP(Table3[[#This Row],[ACTIVITY]],TAGS!$B:$R,17,FALSE)</f>
        <v>YES</v>
      </c>
      <c r="AU662" s="63"/>
      <c r="AV662" s="63"/>
      <c r="AW662" s="63"/>
      <c r="AX662" s="63"/>
      <c r="AY662" s="63"/>
      <c r="AZ662" s="63"/>
      <c r="BA662" s="63"/>
      <c r="BB662" s="63"/>
      <c r="BC662" s="63"/>
      <c r="BD662" s="63"/>
      <c r="BE662" s="63"/>
      <c r="BF662" s="63"/>
      <c r="BG662" s="63"/>
      <c r="BH662" s="63"/>
      <c r="BI662" s="63"/>
      <c r="BJ662" s="63"/>
      <c r="BK662" s="63"/>
      <c r="BL662" s="63"/>
      <c r="BM662" s="63"/>
    </row>
    <row r="663" spans="1:65">
      <c r="A663" s="54" t="str">
        <f>VLOOKUP(Table3[[#This Row],[OU]],OU!$A$15:$B$34,2,FALSE)</f>
        <v>RFOs</v>
      </c>
      <c r="B663" s="60" t="s">
        <v>436</v>
      </c>
      <c r="C663" s="60" t="s">
        <v>574</v>
      </c>
      <c r="D663" s="60"/>
      <c r="E663" s="60" t="s">
        <v>22</v>
      </c>
      <c r="F663" s="60"/>
      <c r="G66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66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663" s="61" t="e">
        <f>VLOOKUP(Table3[[#This Row],[PSGC]],DISTRICT!$D:$G,4,FALSE)</f>
        <v>#N/A</v>
      </c>
      <c r="J663" s="60" t="s">
        <v>578</v>
      </c>
      <c r="K663" s="51" t="str">
        <f>VLOOKUP(Table3[[#This Row],[SPECIFIC COMMODITY]],TAGS!$W$48:$X$53,2,FALSE)</f>
        <v>Corn</v>
      </c>
      <c r="L663" s="51" t="str">
        <f>VLOOKUP(Table3[[#This Row],[PREXC SUB-PROGRAM]],Table5[],2,FALSE)</f>
        <v>AGRICULTURAL  MACHINERY, EQUIPMENT, FACILITIES AND INFRASTRUCTURE PROGRAM</v>
      </c>
      <c r="M663" s="51" t="str">
        <f>VLOOKUP(Table3[[#This Row],[COMMODITY PREXC SUB-PROGRAM]],TAGS!$U$54:$V$76,2,FALSE)</f>
        <v>AMEFSS</v>
      </c>
      <c r="N663" s="60" t="s">
        <v>594</v>
      </c>
      <c r="O663" s="54" t="str">
        <f>VLOOKUP(Table3[[#This Row],[PI LEVEL 3]],'PI LEVEL'!A:C,3,FALSE)</f>
        <v>Postharvest machinery and equipment distributed</v>
      </c>
      <c r="P663" s="54" t="str">
        <f>VLOOKUP(Table3[[#This Row],[PI LEVEL 3]],Table53729[[Performance Indicator Level 3]:[Performance Indicator Level 1]],2,FALSE)</f>
        <v>Crop processing machinery and equipment distributed</v>
      </c>
      <c r="Q663" s="54" t="str">
        <f>VLOOKUP(Table3[[#This Row],[ACTIVITY]],TAGS!B:P,2,FALSE)</f>
        <v>Milling equipment distributed</v>
      </c>
      <c r="R663" s="60" t="s">
        <v>441</v>
      </c>
      <c r="S663" s="54" t="str">
        <f>VLOOKUP(Table3[[#This Row],[ACTIVITY]],TAGS!$B:$P,4,FALSE)</f>
        <v>Processing related machinery &amp; equipment</v>
      </c>
      <c r="T663" s="54" t="str">
        <f>VLOOKUP(Table3[[#This Row],[ACTIVITY]],TAGS!$B:$P,5,FALSE)</f>
        <v>Processing-related</v>
      </c>
      <c r="U663" s="54" t="str">
        <f>VLOOKUP(Table3[[#This Row],[ACTIVITY]],TAGS!$B:$P,6,FALSE)</f>
        <v>Corn mill</v>
      </c>
      <c r="V663" s="54" t="str">
        <f>VLOOKUP(Table3[[#This Row],[ACTIVITY]],TAGS!$B:$P,7,FALSE)</f>
        <v>NO</v>
      </c>
      <c r="W663" s="54" t="str">
        <f>VLOOKUP(Table3[[#This Row],[ACTIVITY]],TAGS!$B:$P,8,FALSE)</f>
        <v>PAP</v>
      </c>
      <c r="X663" s="54" t="str">
        <f>VLOOKUP(Table3[[#This Row],[ACTIVITY]],TAGS!$B:$P,10,FALSE)</f>
        <v>PIP</v>
      </c>
      <c r="Y663" s="54" t="str">
        <f>VLOOKUP(Table3[[#This Row],[ACTIVITY]],TAGS!$B:$P,11,FALSE)</f>
        <v>PICS</v>
      </c>
      <c r="Z663" s="54" t="str">
        <f>VLOOKUP(Table3[[#This Row],[ACTIVITY]],TAGS!$B:$P,12,FALSE)</f>
        <v>Modernization</v>
      </c>
      <c r="AA663" s="54" t="str">
        <f>VLOOKUP(Table3[[#This Row],[ACTIVITY]],TAGS!$B:$P,13,FALSE)</f>
        <v>8. Farm Mechanization and Farm Investments</v>
      </c>
      <c r="AB663" s="54" t="str">
        <f>VLOOKUP(Table3[[#This Row],[ACTIVITY]],TAGS!$B:$P,14,FALSE)</f>
        <v>DEVELOP AND IMPROVE POST-HARVEST SYSTEMS AND INFRASTRUCTURE</v>
      </c>
      <c r="AC663" s="54" t="str">
        <f>VLOOKUP(Table3[[#This Row],[ACTIVITY]],TAGS!$B:$P,15,FALSE)</f>
        <v>Processing-related</v>
      </c>
      <c r="AD663" s="54" t="str">
        <f>VLOOKUP(Table3[[#This Row],[PI LEVEL 3]],'PI LEVEL'!$A:$G,7,FALSE)</f>
        <v>DA-Level Output</v>
      </c>
      <c r="AE663" s="60"/>
      <c r="AF663" s="54" t="str">
        <f>VLOOKUP(Table3[[#This Row],[ACTIVITY]],TAGS!$B:$P,3,FALSE)</f>
        <v>number</v>
      </c>
      <c r="AG663" s="60"/>
      <c r="AH663" s="54" t="e">
        <f>VLOOKUP(Table3[[#This Row],[MONTH]],TAGS!$W$67:$Y$81,2,FALSE)</f>
        <v>#N/A</v>
      </c>
      <c r="AI663" s="54" t="e">
        <f>VLOOKUP(Table3[[#This Row],[MONTH]],TAGS!$W$67:$Y$81,3,FALSE)</f>
        <v>#N/A</v>
      </c>
      <c r="AJ663" s="54" t="e">
        <f>VLOOKUP(Table3[[#This Row],[MONTH]],TAGS!$W$67:$Z$81,4,FALSE)</f>
        <v>#N/A</v>
      </c>
      <c r="AK663" s="60">
        <v>1</v>
      </c>
      <c r="AL663" s="54" t="str">
        <f>VLOOKUP(Table3[[#This Row],[ACTIVITY]],TAGS!$B:$R,16,FALSE)</f>
        <v>NO</v>
      </c>
      <c r="AM663" s="60">
        <f>Table3[[#This Row],[TARGET]]/20</f>
        <v>0.05</v>
      </c>
      <c r="AN663" s="60">
        <v>2200</v>
      </c>
      <c r="AO663" s="57"/>
      <c r="AP663" s="62"/>
      <c r="AQ663" s="62"/>
      <c r="AR663" s="62"/>
      <c r="AS663" s="62">
        <v>1</v>
      </c>
      <c r="AT663" s="63" t="str">
        <f>VLOOKUP(Table3[[#This Row],[ACTIVITY]],TAGS!$B:$R,17,FALSE)</f>
        <v>YES</v>
      </c>
      <c r="AU663" s="63"/>
      <c r="AV663" s="63"/>
      <c r="AW663" s="63"/>
      <c r="AX663" s="63"/>
      <c r="AY663" s="63"/>
      <c r="AZ663" s="63"/>
      <c r="BA663" s="63"/>
      <c r="BB663" s="63"/>
      <c r="BC663" s="63"/>
      <c r="BD663" s="63"/>
      <c r="BE663" s="63"/>
      <c r="BF663" s="63"/>
      <c r="BG663" s="63"/>
      <c r="BH663" s="63"/>
      <c r="BI663" s="63"/>
      <c r="BJ663" s="63"/>
      <c r="BK663" s="63"/>
      <c r="BL663" s="63"/>
      <c r="BM663" s="63"/>
    </row>
    <row r="664" spans="1:65">
      <c r="A664" s="54" t="str">
        <f>VLOOKUP(Table3[[#This Row],[OU]],OU!$A$15:$B$34,2,FALSE)</f>
        <v>RFOs</v>
      </c>
      <c r="B664" s="60" t="s">
        <v>436</v>
      </c>
      <c r="C664" s="60" t="s">
        <v>574</v>
      </c>
      <c r="D664" s="60"/>
      <c r="E664" s="60" t="s">
        <v>43</v>
      </c>
      <c r="F664" s="60"/>
      <c r="G66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66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664" s="61" t="e">
        <f>VLOOKUP(Table3[[#This Row],[PSGC]],DISTRICT!$D:$G,4,FALSE)</f>
        <v>#N/A</v>
      </c>
      <c r="J664" s="60" t="s">
        <v>578</v>
      </c>
      <c r="K664" s="51" t="str">
        <f>VLOOKUP(Table3[[#This Row],[SPECIFIC COMMODITY]],TAGS!$W$48:$X$53,2,FALSE)</f>
        <v>Corn</v>
      </c>
      <c r="L664" s="51" t="str">
        <f>VLOOKUP(Table3[[#This Row],[PREXC SUB-PROGRAM]],Table5[],2,FALSE)</f>
        <v>AGRICULTURAL  MACHINERY, EQUIPMENT, FACILITIES AND INFRASTRUCTURE PROGRAM</v>
      </c>
      <c r="M664" s="51" t="str">
        <f>VLOOKUP(Table3[[#This Row],[COMMODITY PREXC SUB-PROGRAM]],TAGS!$U$54:$V$76,2,FALSE)</f>
        <v>AMEFSS</v>
      </c>
      <c r="N664" s="60" t="s">
        <v>594</v>
      </c>
      <c r="O664" s="54" t="str">
        <f>VLOOKUP(Table3[[#This Row],[PI LEVEL 3]],'PI LEVEL'!A:C,3,FALSE)</f>
        <v>Postharvest machinery and equipment distributed</v>
      </c>
      <c r="P664" s="54" t="str">
        <f>VLOOKUP(Table3[[#This Row],[PI LEVEL 3]],Table53729[[Performance Indicator Level 3]:[Performance Indicator Level 1]],2,FALSE)</f>
        <v>Crop processing machinery and equipment distributed</v>
      </c>
      <c r="Q664" s="54" t="str">
        <f>VLOOKUP(Table3[[#This Row],[ACTIVITY]],TAGS!B:P,2,FALSE)</f>
        <v>Milling equipment distributed</v>
      </c>
      <c r="R664" s="60" t="s">
        <v>441</v>
      </c>
      <c r="S664" s="54" t="str">
        <f>VLOOKUP(Table3[[#This Row],[ACTIVITY]],TAGS!$B:$P,4,FALSE)</f>
        <v>Processing related machinery &amp; equipment</v>
      </c>
      <c r="T664" s="54" t="str">
        <f>VLOOKUP(Table3[[#This Row],[ACTIVITY]],TAGS!$B:$P,5,FALSE)</f>
        <v>Processing-related</v>
      </c>
      <c r="U664" s="54" t="str">
        <f>VLOOKUP(Table3[[#This Row],[ACTIVITY]],TAGS!$B:$P,6,FALSE)</f>
        <v>Corn mill</v>
      </c>
      <c r="V664" s="54" t="str">
        <f>VLOOKUP(Table3[[#This Row],[ACTIVITY]],TAGS!$B:$P,7,FALSE)</f>
        <v>NO</v>
      </c>
      <c r="W664" s="54" t="str">
        <f>VLOOKUP(Table3[[#This Row],[ACTIVITY]],TAGS!$B:$P,8,FALSE)</f>
        <v>PAP</v>
      </c>
      <c r="X664" s="54" t="str">
        <f>VLOOKUP(Table3[[#This Row],[ACTIVITY]],TAGS!$B:$P,10,FALSE)</f>
        <v>PIP</v>
      </c>
      <c r="Y664" s="54" t="str">
        <f>VLOOKUP(Table3[[#This Row],[ACTIVITY]],TAGS!$B:$P,11,FALSE)</f>
        <v>PICS</v>
      </c>
      <c r="Z664" s="54" t="str">
        <f>VLOOKUP(Table3[[#This Row],[ACTIVITY]],TAGS!$B:$P,12,FALSE)</f>
        <v>Modernization</v>
      </c>
      <c r="AA664" s="54" t="str">
        <f>VLOOKUP(Table3[[#This Row],[ACTIVITY]],TAGS!$B:$P,13,FALSE)</f>
        <v>8. Farm Mechanization and Farm Investments</v>
      </c>
      <c r="AB664" s="54" t="str">
        <f>VLOOKUP(Table3[[#This Row],[ACTIVITY]],TAGS!$B:$P,14,FALSE)</f>
        <v>DEVELOP AND IMPROVE POST-HARVEST SYSTEMS AND INFRASTRUCTURE</v>
      </c>
      <c r="AC664" s="54" t="str">
        <f>VLOOKUP(Table3[[#This Row],[ACTIVITY]],TAGS!$B:$P,15,FALSE)</f>
        <v>Processing-related</v>
      </c>
      <c r="AD664" s="54" t="str">
        <f>VLOOKUP(Table3[[#This Row],[PI LEVEL 3]],'PI LEVEL'!$A:$G,7,FALSE)</f>
        <v>DA-Level Output</v>
      </c>
      <c r="AE664" s="60"/>
      <c r="AF664" s="54" t="str">
        <f>VLOOKUP(Table3[[#This Row],[ACTIVITY]],TAGS!$B:$P,3,FALSE)</f>
        <v>number</v>
      </c>
      <c r="AG664" s="60"/>
      <c r="AH664" s="54" t="e">
        <f>VLOOKUP(Table3[[#This Row],[MONTH]],TAGS!$W$67:$Y$81,2,FALSE)</f>
        <v>#N/A</v>
      </c>
      <c r="AI664" s="54" t="e">
        <f>VLOOKUP(Table3[[#This Row],[MONTH]],TAGS!$W$67:$Y$81,3,FALSE)</f>
        <v>#N/A</v>
      </c>
      <c r="AJ664" s="54" t="e">
        <f>VLOOKUP(Table3[[#This Row],[MONTH]],TAGS!$W$67:$Z$81,4,FALSE)</f>
        <v>#N/A</v>
      </c>
      <c r="AK664" s="60">
        <v>1</v>
      </c>
      <c r="AL664" s="54" t="str">
        <f>VLOOKUP(Table3[[#This Row],[ACTIVITY]],TAGS!$B:$R,16,FALSE)</f>
        <v>NO</v>
      </c>
      <c r="AM664" s="60">
        <f>Table3[[#This Row],[TARGET]]/20</f>
        <v>0.05</v>
      </c>
      <c r="AN664" s="60">
        <v>2200</v>
      </c>
      <c r="AO664" s="57"/>
      <c r="AP664" s="62"/>
      <c r="AQ664" s="62"/>
      <c r="AR664" s="62"/>
      <c r="AS664" s="62">
        <v>1</v>
      </c>
      <c r="AT664" s="63" t="str">
        <f>VLOOKUP(Table3[[#This Row],[ACTIVITY]],TAGS!$B:$R,17,FALSE)</f>
        <v>YES</v>
      </c>
      <c r="AU664" s="63"/>
      <c r="AV664" s="63"/>
      <c r="AW664" s="63"/>
      <c r="AX664" s="63"/>
      <c r="AY664" s="63"/>
      <c r="AZ664" s="63"/>
      <c r="BA664" s="63"/>
      <c r="BB664" s="63"/>
      <c r="BC664" s="63"/>
      <c r="BD664" s="63"/>
      <c r="BE664" s="63"/>
      <c r="BF664" s="63"/>
      <c r="BG664" s="63"/>
      <c r="BH664" s="63"/>
      <c r="BI664" s="63"/>
      <c r="BJ664" s="63"/>
      <c r="BK664" s="63"/>
      <c r="BL664" s="63"/>
      <c r="BM664" s="63"/>
    </row>
    <row r="665" spans="1:65">
      <c r="A665" s="54" t="str">
        <f>VLOOKUP(Table3[[#This Row],[OU]],OU!$A$15:$B$34,2,FALSE)</f>
        <v>RFOs</v>
      </c>
      <c r="B665" s="60" t="s">
        <v>436</v>
      </c>
      <c r="C665" s="60" t="s">
        <v>574</v>
      </c>
      <c r="D665" s="60"/>
      <c r="E665" s="60" t="s">
        <v>22</v>
      </c>
      <c r="F665" s="60"/>
      <c r="G66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66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665" s="61" t="e">
        <f>VLOOKUP(Table3[[#This Row],[PSGC]],DISTRICT!$D:$G,4,FALSE)</f>
        <v>#N/A</v>
      </c>
      <c r="J665" s="60" t="s">
        <v>578</v>
      </c>
      <c r="K665" s="51" t="str">
        <f>VLOOKUP(Table3[[#This Row],[SPECIFIC COMMODITY]],TAGS!$W$48:$X$53,2,FALSE)</f>
        <v>Corn</v>
      </c>
      <c r="L665" s="51" t="str">
        <f>VLOOKUP(Table3[[#This Row],[PREXC SUB-PROGRAM]],Table5[],2,FALSE)</f>
        <v>AGRICULTURAL  MACHINERY, EQUIPMENT, FACILITIES AND INFRASTRUCTURE PROGRAM</v>
      </c>
      <c r="M665" s="51" t="str">
        <f>VLOOKUP(Table3[[#This Row],[COMMODITY PREXC SUB-PROGRAM]],TAGS!$U$54:$V$76,2,FALSE)</f>
        <v>AMEFSS</v>
      </c>
      <c r="N665" s="60" t="s">
        <v>594</v>
      </c>
      <c r="O665" s="54" t="str">
        <f>VLOOKUP(Table3[[#This Row],[PI LEVEL 3]],'PI LEVEL'!A:C,3,FALSE)</f>
        <v>Commodity transport and logistics machinery and equipment distributed</v>
      </c>
      <c r="P665" s="54" t="str">
        <f>VLOOKUP(Table3[[#This Row],[PI LEVEL 3]],Table53729[[Performance Indicator Level 3]:[Performance Indicator Level 1]],2,FALSE)</f>
        <v>Hauling machinery and equipment distributed</v>
      </c>
      <c r="Q665" s="54" t="str">
        <f>VLOOKUP(Table3[[#This Row],[ACTIVITY]],TAGS!B:P,2,FALSE)</f>
        <v>Hauling vehicle distributed</v>
      </c>
      <c r="R665" s="60" t="s">
        <v>183</v>
      </c>
      <c r="S665" s="54" t="str">
        <f>VLOOKUP(Table3[[#This Row],[ACTIVITY]],TAGS!$B:$P,4,FALSE)</f>
        <v>Postharvest related machinery &amp; equipment</v>
      </c>
      <c r="T665" s="54" t="str">
        <f>VLOOKUP(Table3[[#This Row],[ACTIVITY]],TAGS!$B:$P,5,FALSE)</f>
        <v>Postharvest-related</v>
      </c>
      <c r="U665" s="54" t="str">
        <f>VLOOKUP(Table3[[#This Row],[ACTIVITY]],TAGS!$B:$P,6,FALSE)</f>
        <v>Hauling truck</v>
      </c>
      <c r="V665" s="54" t="str">
        <f>VLOOKUP(Table3[[#This Row],[ACTIVITY]],TAGS!$B:$P,7,FALSE)</f>
        <v>NO</v>
      </c>
      <c r="W665" s="54" t="str">
        <f>VLOOKUP(Table3[[#This Row],[ACTIVITY]],TAGS!$B:$P,8,FALSE)</f>
        <v>PAP</v>
      </c>
      <c r="X665" s="54" t="str">
        <f>VLOOKUP(Table3[[#This Row],[ACTIVITY]],TAGS!$B:$P,10,FALSE)</f>
        <v>PIP</v>
      </c>
      <c r="Y665" s="54" t="str">
        <f>VLOOKUP(Table3[[#This Row],[ACTIVITY]],TAGS!$B:$P,11,FALSE)</f>
        <v>PICS</v>
      </c>
      <c r="Z665" s="54" t="str">
        <f>VLOOKUP(Table3[[#This Row],[ACTIVITY]],TAGS!$B:$P,12,FALSE)</f>
        <v>Modernization</v>
      </c>
      <c r="AA665" s="54" t="str">
        <f>VLOOKUP(Table3[[#This Row],[ACTIVITY]],TAGS!$B:$P,13,FALSE)</f>
        <v>8. Farm Mechanization and Farm Investments</v>
      </c>
      <c r="AB665" s="54" t="str">
        <f>VLOOKUP(Table3[[#This Row],[ACTIVITY]],TAGS!$B:$P,14,FALSE)</f>
        <v>DEVELOP EFFICIENT LOGISTICS SYSTEMS FOR BOTH INPUT AND PRODUCTION OUTPUT</v>
      </c>
      <c r="AC665" s="54" t="str">
        <f>VLOOKUP(Table3[[#This Row],[ACTIVITY]],TAGS!$B:$P,15,FALSE)</f>
        <v>Postharvest-related</v>
      </c>
      <c r="AD665" s="54" t="str">
        <f>VLOOKUP(Table3[[#This Row],[PI LEVEL 3]],'PI LEVEL'!$A:$G,7,FALSE)</f>
        <v>DA-Level Output</v>
      </c>
      <c r="AE665" s="60"/>
      <c r="AF665" s="54" t="str">
        <f>VLOOKUP(Table3[[#This Row],[ACTIVITY]],TAGS!$B:$P,3,FALSE)</f>
        <v>number</v>
      </c>
      <c r="AG665" s="60"/>
      <c r="AH665" s="54" t="e">
        <f>VLOOKUP(Table3[[#This Row],[MONTH]],TAGS!$W$67:$Y$81,2,FALSE)</f>
        <v>#N/A</v>
      </c>
      <c r="AI665" s="54" t="e">
        <f>VLOOKUP(Table3[[#This Row],[MONTH]],TAGS!$W$67:$Y$81,3,FALSE)</f>
        <v>#N/A</v>
      </c>
      <c r="AJ665" s="54" t="e">
        <f>VLOOKUP(Table3[[#This Row],[MONTH]],TAGS!$W$67:$Z$81,4,FALSE)</f>
        <v>#N/A</v>
      </c>
      <c r="AK665" s="60">
        <v>1</v>
      </c>
      <c r="AL665" s="54" t="str">
        <f>VLOOKUP(Table3[[#This Row],[ACTIVITY]],TAGS!$B:$R,16,FALSE)</f>
        <v>NO</v>
      </c>
      <c r="AM665" s="60">
        <f>Table3[[#This Row],[TARGET]]/20</f>
        <v>0.05</v>
      </c>
      <c r="AN665" s="60">
        <v>2200</v>
      </c>
      <c r="AO665" s="57"/>
      <c r="AP665" s="62"/>
      <c r="AQ665" s="62"/>
      <c r="AR665" s="62"/>
      <c r="AS665" s="62">
        <v>1</v>
      </c>
      <c r="AT665" s="63" t="str">
        <f>VLOOKUP(Table3[[#This Row],[ACTIVITY]],TAGS!$B:$R,17,FALSE)</f>
        <v>YES</v>
      </c>
      <c r="AU665" s="63"/>
      <c r="AV665" s="63"/>
      <c r="AW665" s="63"/>
      <c r="AX665" s="63"/>
      <c r="AY665" s="63"/>
      <c r="AZ665" s="63"/>
      <c r="BA665" s="63"/>
      <c r="BB665" s="63"/>
      <c r="BC665" s="63"/>
      <c r="BD665" s="63"/>
      <c r="BE665" s="63"/>
      <c r="BF665" s="63"/>
      <c r="BG665" s="63"/>
      <c r="BH665" s="63"/>
      <c r="BI665" s="63"/>
      <c r="BJ665" s="63"/>
      <c r="BK665" s="63"/>
      <c r="BL665" s="63"/>
      <c r="BM665" s="63"/>
    </row>
    <row r="666" spans="1:65">
      <c r="A666" s="54" t="str">
        <f>VLOOKUP(Table3[[#This Row],[OU]],OU!$A$15:$B$34,2,FALSE)</f>
        <v>RFOs</v>
      </c>
      <c r="B666" s="60" t="s">
        <v>436</v>
      </c>
      <c r="C666" s="60" t="s">
        <v>574</v>
      </c>
      <c r="D666" s="60"/>
      <c r="E666" s="60" t="s">
        <v>43</v>
      </c>
      <c r="F666" s="60"/>
      <c r="G66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66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666" s="61" t="e">
        <f>VLOOKUP(Table3[[#This Row],[PSGC]],DISTRICT!$D:$G,4,FALSE)</f>
        <v>#N/A</v>
      </c>
      <c r="J666" s="60" t="s">
        <v>578</v>
      </c>
      <c r="K666" s="51" t="str">
        <f>VLOOKUP(Table3[[#This Row],[SPECIFIC COMMODITY]],TAGS!$W$48:$X$53,2,FALSE)</f>
        <v>Corn</v>
      </c>
      <c r="L666" s="51" t="str">
        <f>VLOOKUP(Table3[[#This Row],[PREXC SUB-PROGRAM]],Table5[],2,FALSE)</f>
        <v>AGRICULTURAL  MACHINERY, EQUIPMENT, FACILITIES AND INFRASTRUCTURE PROGRAM</v>
      </c>
      <c r="M666" s="51" t="str">
        <f>VLOOKUP(Table3[[#This Row],[COMMODITY PREXC SUB-PROGRAM]],TAGS!$U$54:$V$76,2,FALSE)</f>
        <v>AMEFSS</v>
      </c>
      <c r="N666" s="60" t="s">
        <v>594</v>
      </c>
      <c r="O666" s="54" t="str">
        <f>VLOOKUP(Table3[[#This Row],[PI LEVEL 3]],'PI LEVEL'!A:C,3,FALSE)</f>
        <v>Commodity transport and logistics machinery and equipment distributed</v>
      </c>
      <c r="P666" s="54" t="str">
        <f>VLOOKUP(Table3[[#This Row],[PI LEVEL 3]],Table53729[[Performance Indicator Level 3]:[Performance Indicator Level 1]],2,FALSE)</f>
        <v>Hauling machinery and equipment distributed</v>
      </c>
      <c r="Q666" s="54" t="str">
        <f>VLOOKUP(Table3[[#This Row],[ACTIVITY]],TAGS!B:P,2,FALSE)</f>
        <v>Hauling vehicle distributed</v>
      </c>
      <c r="R666" s="60" t="s">
        <v>183</v>
      </c>
      <c r="S666" s="54" t="str">
        <f>VLOOKUP(Table3[[#This Row],[ACTIVITY]],TAGS!$B:$P,4,FALSE)</f>
        <v>Postharvest related machinery &amp; equipment</v>
      </c>
      <c r="T666" s="54" t="str">
        <f>VLOOKUP(Table3[[#This Row],[ACTIVITY]],TAGS!$B:$P,5,FALSE)</f>
        <v>Postharvest-related</v>
      </c>
      <c r="U666" s="54" t="str">
        <f>VLOOKUP(Table3[[#This Row],[ACTIVITY]],TAGS!$B:$P,6,FALSE)</f>
        <v>Hauling truck</v>
      </c>
      <c r="V666" s="54" t="str">
        <f>VLOOKUP(Table3[[#This Row],[ACTIVITY]],TAGS!$B:$P,7,FALSE)</f>
        <v>NO</v>
      </c>
      <c r="W666" s="54" t="str">
        <f>VLOOKUP(Table3[[#This Row],[ACTIVITY]],TAGS!$B:$P,8,FALSE)</f>
        <v>PAP</v>
      </c>
      <c r="X666" s="54" t="str">
        <f>VLOOKUP(Table3[[#This Row],[ACTIVITY]],TAGS!$B:$P,10,FALSE)</f>
        <v>PIP</v>
      </c>
      <c r="Y666" s="54" t="str">
        <f>VLOOKUP(Table3[[#This Row],[ACTIVITY]],TAGS!$B:$P,11,FALSE)</f>
        <v>PICS</v>
      </c>
      <c r="Z666" s="54" t="str">
        <f>VLOOKUP(Table3[[#This Row],[ACTIVITY]],TAGS!$B:$P,12,FALSE)</f>
        <v>Modernization</v>
      </c>
      <c r="AA666" s="54" t="str">
        <f>VLOOKUP(Table3[[#This Row],[ACTIVITY]],TAGS!$B:$P,13,FALSE)</f>
        <v>8. Farm Mechanization and Farm Investments</v>
      </c>
      <c r="AB666" s="54" t="str">
        <f>VLOOKUP(Table3[[#This Row],[ACTIVITY]],TAGS!$B:$P,14,FALSE)</f>
        <v>DEVELOP EFFICIENT LOGISTICS SYSTEMS FOR BOTH INPUT AND PRODUCTION OUTPUT</v>
      </c>
      <c r="AC666" s="54" t="str">
        <f>VLOOKUP(Table3[[#This Row],[ACTIVITY]],TAGS!$B:$P,15,FALSE)</f>
        <v>Postharvest-related</v>
      </c>
      <c r="AD666" s="54" t="str">
        <f>VLOOKUP(Table3[[#This Row],[PI LEVEL 3]],'PI LEVEL'!$A:$G,7,FALSE)</f>
        <v>DA-Level Output</v>
      </c>
      <c r="AE666" s="60"/>
      <c r="AF666" s="54" t="str">
        <f>VLOOKUP(Table3[[#This Row],[ACTIVITY]],TAGS!$B:$P,3,FALSE)</f>
        <v>number</v>
      </c>
      <c r="AG666" s="60"/>
      <c r="AH666" s="54" t="e">
        <f>VLOOKUP(Table3[[#This Row],[MONTH]],TAGS!$W$67:$Y$81,2,FALSE)</f>
        <v>#N/A</v>
      </c>
      <c r="AI666" s="54" t="e">
        <f>VLOOKUP(Table3[[#This Row],[MONTH]],TAGS!$W$67:$Y$81,3,FALSE)</f>
        <v>#N/A</v>
      </c>
      <c r="AJ666" s="54" t="e">
        <f>VLOOKUP(Table3[[#This Row],[MONTH]],TAGS!$W$67:$Z$81,4,FALSE)</f>
        <v>#N/A</v>
      </c>
      <c r="AK666" s="60">
        <v>2</v>
      </c>
      <c r="AL666" s="54" t="str">
        <f>VLOOKUP(Table3[[#This Row],[ACTIVITY]],TAGS!$B:$R,16,FALSE)</f>
        <v>NO</v>
      </c>
      <c r="AM666" s="60">
        <f>Table3[[#This Row],[TARGET]]/20</f>
        <v>0.1</v>
      </c>
      <c r="AN666" s="60">
        <v>4400</v>
      </c>
      <c r="AO666" s="57"/>
      <c r="AP666" s="62"/>
      <c r="AQ666" s="62"/>
      <c r="AR666" s="62"/>
      <c r="AS666" s="62">
        <v>2</v>
      </c>
      <c r="AT666" s="63" t="str">
        <f>VLOOKUP(Table3[[#This Row],[ACTIVITY]],TAGS!$B:$R,17,FALSE)</f>
        <v>YES</v>
      </c>
      <c r="AU666" s="63"/>
      <c r="AV666" s="63"/>
      <c r="AW666" s="63"/>
      <c r="AX666" s="63"/>
      <c r="AY666" s="63"/>
      <c r="AZ666" s="63"/>
      <c r="BA666" s="63"/>
      <c r="BB666" s="63"/>
      <c r="BC666" s="63"/>
      <c r="BD666" s="63"/>
      <c r="BE666" s="63"/>
      <c r="BF666" s="63"/>
      <c r="BG666" s="63"/>
      <c r="BH666" s="63"/>
      <c r="BI666" s="63"/>
      <c r="BJ666" s="63"/>
      <c r="BK666" s="63"/>
      <c r="BL666" s="63"/>
      <c r="BM666" s="63"/>
    </row>
    <row r="667" spans="1:65">
      <c r="A667" s="54" t="str">
        <f>VLOOKUP(Table3[[#This Row],[OU]],OU!$A$15:$B$34,2,FALSE)</f>
        <v>RFOs</v>
      </c>
      <c r="B667" s="60" t="s">
        <v>436</v>
      </c>
      <c r="C667" s="60" t="s">
        <v>574</v>
      </c>
      <c r="D667" s="60"/>
      <c r="E667" s="60" t="s">
        <v>63</v>
      </c>
      <c r="F667" s="60"/>
      <c r="G66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Nueva_Vizcaya</v>
      </c>
      <c r="H66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Nueva_Vizcaya</v>
      </c>
      <c r="I667" s="61" t="e">
        <f>VLOOKUP(Table3[[#This Row],[PSGC]],DISTRICT!$D:$G,4,FALSE)</f>
        <v>#N/A</v>
      </c>
      <c r="J667" s="60" t="s">
        <v>578</v>
      </c>
      <c r="K667" s="51" t="str">
        <f>VLOOKUP(Table3[[#This Row],[SPECIFIC COMMODITY]],TAGS!$W$48:$X$53,2,FALSE)</f>
        <v>Corn</v>
      </c>
      <c r="L667" s="51" t="str">
        <f>VLOOKUP(Table3[[#This Row],[PREXC SUB-PROGRAM]],Table5[],2,FALSE)</f>
        <v>AGRICULTURAL  MACHINERY, EQUIPMENT, FACILITIES AND INFRASTRUCTURE PROGRAM</v>
      </c>
      <c r="M667" s="51" t="str">
        <f>VLOOKUP(Table3[[#This Row],[COMMODITY PREXC SUB-PROGRAM]],TAGS!$U$54:$V$76,2,FALSE)</f>
        <v>AMEFSS</v>
      </c>
      <c r="N667" s="60" t="s">
        <v>594</v>
      </c>
      <c r="O667" s="54" t="str">
        <f>VLOOKUP(Table3[[#This Row],[PI LEVEL 3]],'PI LEVEL'!A:C,3,FALSE)</f>
        <v>Commodity transport and logistics machinery and equipment distributed</v>
      </c>
      <c r="P667" s="54" t="str">
        <f>VLOOKUP(Table3[[#This Row],[PI LEVEL 3]],Table53729[[Performance Indicator Level 3]:[Performance Indicator Level 1]],2,FALSE)</f>
        <v>Hauling machinery and equipment distributed</v>
      </c>
      <c r="Q667" s="54" t="str">
        <f>VLOOKUP(Table3[[#This Row],[ACTIVITY]],TAGS!B:P,2,FALSE)</f>
        <v>Hauling vehicle distributed</v>
      </c>
      <c r="R667" s="60" t="s">
        <v>183</v>
      </c>
      <c r="S667" s="54" t="str">
        <f>VLOOKUP(Table3[[#This Row],[ACTIVITY]],TAGS!$B:$P,4,FALSE)</f>
        <v>Postharvest related machinery &amp; equipment</v>
      </c>
      <c r="T667" s="54" t="str">
        <f>VLOOKUP(Table3[[#This Row],[ACTIVITY]],TAGS!$B:$P,5,FALSE)</f>
        <v>Postharvest-related</v>
      </c>
      <c r="U667" s="54" t="str">
        <f>VLOOKUP(Table3[[#This Row],[ACTIVITY]],TAGS!$B:$P,6,FALSE)</f>
        <v>Hauling truck</v>
      </c>
      <c r="V667" s="54" t="str">
        <f>VLOOKUP(Table3[[#This Row],[ACTIVITY]],TAGS!$B:$P,7,FALSE)</f>
        <v>NO</v>
      </c>
      <c r="W667" s="54" t="str">
        <f>VLOOKUP(Table3[[#This Row],[ACTIVITY]],TAGS!$B:$P,8,FALSE)</f>
        <v>PAP</v>
      </c>
      <c r="X667" s="54" t="str">
        <f>VLOOKUP(Table3[[#This Row],[ACTIVITY]],TAGS!$B:$P,10,FALSE)</f>
        <v>PIP</v>
      </c>
      <c r="Y667" s="54" t="str">
        <f>VLOOKUP(Table3[[#This Row],[ACTIVITY]],TAGS!$B:$P,11,FALSE)</f>
        <v>PICS</v>
      </c>
      <c r="Z667" s="54" t="str">
        <f>VLOOKUP(Table3[[#This Row],[ACTIVITY]],TAGS!$B:$P,12,FALSE)</f>
        <v>Modernization</v>
      </c>
      <c r="AA667" s="54" t="str">
        <f>VLOOKUP(Table3[[#This Row],[ACTIVITY]],TAGS!$B:$P,13,FALSE)</f>
        <v>8. Farm Mechanization and Farm Investments</v>
      </c>
      <c r="AB667" s="54" t="str">
        <f>VLOOKUP(Table3[[#This Row],[ACTIVITY]],TAGS!$B:$P,14,FALSE)</f>
        <v>DEVELOP EFFICIENT LOGISTICS SYSTEMS FOR BOTH INPUT AND PRODUCTION OUTPUT</v>
      </c>
      <c r="AC667" s="54" t="str">
        <f>VLOOKUP(Table3[[#This Row],[ACTIVITY]],TAGS!$B:$P,15,FALSE)</f>
        <v>Postharvest-related</v>
      </c>
      <c r="AD667" s="54" t="str">
        <f>VLOOKUP(Table3[[#This Row],[PI LEVEL 3]],'PI LEVEL'!$A:$G,7,FALSE)</f>
        <v>DA-Level Output</v>
      </c>
      <c r="AE667" s="60"/>
      <c r="AF667" s="54" t="str">
        <f>VLOOKUP(Table3[[#This Row],[ACTIVITY]],TAGS!$B:$P,3,FALSE)</f>
        <v>number</v>
      </c>
      <c r="AG667" s="60"/>
      <c r="AH667" s="54" t="e">
        <f>VLOOKUP(Table3[[#This Row],[MONTH]],TAGS!$W$67:$Y$81,2,FALSE)</f>
        <v>#N/A</v>
      </c>
      <c r="AI667" s="54" t="e">
        <f>VLOOKUP(Table3[[#This Row],[MONTH]],TAGS!$W$67:$Y$81,3,FALSE)</f>
        <v>#N/A</v>
      </c>
      <c r="AJ667" s="54" t="e">
        <f>VLOOKUP(Table3[[#This Row],[MONTH]],TAGS!$W$67:$Z$81,4,FALSE)</f>
        <v>#N/A</v>
      </c>
      <c r="AK667" s="60">
        <v>1</v>
      </c>
      <c r="AL667" s="54" t="str">
        <f>VLOOKUP(Table3[[#This Row],[ACTIVITY]],TAGS!$B:$R,16,FALSE)</f>
        <v>NO</v>
      </c>
      <c r="AM667" s="60">
        <f>Table3[[#This Row],[TARGET]]/20</f>
        <v>0.05</v>
      </c>
      <c r="AN667" s="60">
        <v>2200</v>
      </c>
      <c r="AO667" s="57"/>
      <c r="AP667" s="62"/>
      <c r="AQ667" s="62"/>
      <c r="AR667" s="62"/>
      <c r="AS667" s="62">
        <v>1</v>
      </c>
      <c r="AT667" s="63" t="str">
        <f>VLOOKUP(Table3[[#This Row],[ACTIVITY]],TAGS!$B:$R,17,FALSE)</f>
        <v>YES</v>
      </c>
      <c r="AU667" s="63"/>
      <c r="AV667" s="63"/>
      <c r="AW667" s="63"/>
      <c r="AX667" s="63"/>
      <c r="AY667" s="63"/>
      <c r="AZ667" s="63"/>
      <c r="BA667" s="63"/>
      <c r="BB667" s="63"/>
      <c r="BC667" s="63"/>
      <c r="BD667" s="63"/>
      <c r="BE667" s="63"/>
      <c r="BF667" s="63"/>
      <c r="BG667" s="63"/>
      <c r="BH667" s="63"/>
      <c r="BI667" s="63"/>
      <c r="BJ667" s="63"/>
      <c r="BK667" s="63"/>
      <c r="BL667" s="63"/>
      <c r="BM667" s="63"/>
    </row>
    <row r="668" spans="1:65">
      <c r="A668" s="54" t="str">
        <f>VLOOKUP(Table3[[#This Row],[OU]],OU!$A$15:$B$34,2,FALSE)</f>
        <v>RFOs</v>
      </c>
      <c r="B668" s="60" t="s">
        <v>436</v>
      </c>
      <c r="C668" s="60" t="s">
        <v>574</v>
      </c>
      <c r="D668" s="60"/>
      <c r="E668" s="60" t="s">
        <v>70</v>
      </c>
      <c r="F668" s="60"/>
      <c r="G66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</v>
      </c>
      <c r="H66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Quirino</v>
      </c>
      <c r="I668" s="61" t="e">
        <f>VLOOKUP(Table3[[#This Row],[PSGC]],DISTRICT!$D:$G,4,FALSE)</f>
        <v>#N/A</v>
      </c>
      <c r="J668" s="60" t="s">
        <v>578</v>
      </c>
      <c r="K668" s="51" t="str">
        <f>VLOOKUP(Table3[[#This Row],[SPECIFIC COMMODITY]],TAGS!$W$48:$X$53,2,FALSE)</f>
        <v>Corn</v>
      </c>
      <c r="L668" s="51" t="str">
        <f>VLOOKUP(Table3[[#This Row],[PREXC SUB-PROGRAM]],Table5[],2,FALSE)</f>
        <v>AGRICULTURAL  MACHINERY, EQUIPMENT, FACILITIES AND INFRASTRUCTURE PROGRAM</v>
      </c>
      <c r="M668" s="51" t="str">
        <f>VLOOKUP(Table3[[#This Row],[COMMODITY PREXC SUB-PROGRAM]],TAGS!$U$54:$V$76,2,FALSE)</f>
        <v>AMEFSS</v>
      </c>
      <c r="N668" s="60" t="s">
        <v>594</v>
      </c>
      <c r="O668" s="54" t="str">
        <f>VLOOKUP(Table3[[#This Row],[PI LEVEL 3]],'PI LEVEL'!A:C,3,FALSE)</f>
        <v>Commodity transport and logistics machinery and equipment distributed</v>
      </c>
      <c r="P668" s="54" t="str">
        <f>VLOOKUP(Table3[[#This Row],[PI LEVEL 3]],Table53729[[Performance Indicator Level 3]:[Performance Indicator Level 1]],2,FALSE)</f>
        <v>Hauling machinery and equipment distributed</v>
      </c>
      <c r="Q668" s="54" t="str">
        <f>VLOOKUP(Table3[[#This Row],[ACTIVITY]],TAGS!B:P,2,FALSE)</f>
        <v>Hauling vehicle distributed</v>
      </c>
      <c r="R668" s="60" t="s">
        <v>183</v>
      </c>
      <c r="S668" s="54" t="str">
        <f>VLOOKUP(Table3[[#This Row],[ACTIVITY]],TAGS!$B:$P,4,FALSE)</f>
        <v>Postharvest related machinery &amp; equipment</v>
      </c>
      <c r="T668" s="54" t="str">
        <f>VLOOKUP(Table3[[#This Row],[ACTIVITY]],TAGS!$B:$P,5,FALSE)</f>
        <v>Postharvest-related</v>
      </c>
      <c r="U668" s="54" t="str">
        <f>VLOOKUP(Table3[[#This Row],[ACTIVITY]],TAGS!$B:$P,6,FALSE)</f>
        <v>Hauling truck</v>
      </c>
      <c r="V668" s="54" t="str">
        <f>VLOOKUP(Table3[[#This Row],[ACTIVITY]],TAGS!$B:$P,7,FALSE)</f>
        <v>NO</v>
      </c>
      <c r="W668" s="54" t="str">
        <f>VLOOKUP(Table3[[#This Row],[ACTIVITY]],TAGS!$B:$P,8,FALSE)</f>
        <v>PAP</v>
      </c>
      <c r="X668" s="54" t="str">
        <f>VLOOKUP(Table3[[#This Row],[ACTIVITY]],TAGS!$B:$P,10,FALSE)</f>
        <v>PIP</v>
      </c>
      <c r="Y668" s="54" t="str">
        <f>VLOOKUP(Table3[[#This Row],[ACTIVITY]],TAGS!$B:$P,11,FALSE)</f>
        <v>PICS</v>
      </c>
      <c r="Z668" s="54" t="str">
        <f>VLOOKUP(Table3[[#This Row],[ACTIVITY]],TAGS!$B:$P,12,FALSE)</f>
        <v>Modernization</v>
      </c>
      <c r="AA668" s="54" t="str">
        <f>VLOOKUP(Table3[[#This Row],[ACTIVITY]],TAGS!$B:$P,13,FALSE)</f>
        <v>8. Farm Mechanization and Farm Investments</v>
      </c>
      <c r="AB668" s="54" t="str">
        <f>VLOOKUP(Table3[[#This Row],[ACTIVITY]],TAGS!$B:$P,14,FALSE)</f>
        <v>DEVELOP EFFICIENT LOGISTICS SYSTEMS FOR BOTH INPUT AND PRODUCTION OUTPUT</v>
      </c>
      <c r="AC668" s="54" t="str">
        <f>VLOOKUP(Table3[[#This Row],[ACTIVITY]],TAGS!$B:$P,15,FALSE)</f>
        <v>Postharvest-related</v>
      </c>
      <c r="AD668" s="54" t="str">
        <f>VLOOKUP(Table3[[#This Row],[PI LEVEL 3]],'PI LEVEL'!$A:$G,7,FALSE)</f>
        <v>DA-Level Output</v>
      </c>
      <c r="AE668" s="60"/>
      <c r="AF668" s="54" t="str">
        <f>VLOOKUP(Table3[[#This Row],[ACTIVITY]],TAGS!$B:$P,3,FALSE)</f>
        <v>number</v>
      </c>
      <c r="AG668" s="60"/>
      <c r="AH668" s="54" t="e">
        <f>VLOOKUP(Table3[[#This Row],[MONTH]],TAGS!$W$67:$Y$81,2,FALSE)</f>
        <v>#N/A</v>
      </c>
      <c r="AI668" s="54" t="e">
        <f>VLOOKUP(Table3[[#This Row],[MONTH]],TAGS!$W$67:$Y$81,3,FALSE)</f>
        <v>#N/A</v>
      </c>
      <c r="AJ668" s="54" t="e">
        <f>VLOOKUP(Table3[[#This Row],[MONTH]],TAGS!$W$67:$Z$81,4,FALSE)</f>
        <v>#N/A</v>
      </c>
      <c r="AK668" s="60">
        <v>1</v>
      </c>
      <c r="AL668" s="54" t="str">
        <f>VLOOKUP(Table3[[#This Row],[ACTIVITY]],TAGS!$B:$R,16,FALSE)</f>
        <v>NO</v>
      </c>
      <c r="AM668" s="60">
        <f>Table3[[#This Row],[TARGET]]/20</f>
        <v>0.05</v>
      </c>
      <c r="AN668" s="60">
        <v>2200</v>
      </c>
      <c r="AO668" s="57"/>
      <c r="AP668" s="62"/>
      <c r="AQ668" s="62"/>
      <c r="AR668" s="62"/>
      <c r="AS668" s="62">
        <v>1</v>
      </c>
      <c r="AT668" s="63" t="str">
        <f>VLOOKUP(Table3[[#This Row],[ACTIVITY]],TAGS!$B:$R,17,FALSE)</f>
        <v>YES</v>
      </c>
      <c r="AU668" s="63"/>
      <c r="AV668" s="63"/>
      <c r="AW668" s="63"/>
      <c r="AX668" s="63"/>
      <c r="AY668" s="63"/>
      <c r="AZ668" s="63"/>
      <c r="BA668" s="63"/>
      <c r="BB668" s="63"/>
      <c r="BC668" s="63"/>
      <c r="BD668" s="63"/>
      <c r="BE668" s="63"/>
      <c r="BF668" s="63"/>
      <c r="BG668" s="63"/>
      <c r="BH668" s="63"/>
      <c r="BI668" s="63"/>
      <c r="BJ668" s="63"/>
      <c r="BK668" s="63"/>
      <c r="BL668" s="63"/>
      <c r="BM668" s="63"/>
    </row>
    <row r="669" spans="1:65">
      <c r="A669" s="54" t="str">
        <f>VLOOKUP(Table3[[#This Row],[OU]],OU!$A$15:$B$34,2,FALSE)</f>
        <v>RFOs</v>
      </c>
      <c r="B669" s="60" t="s">
        <v>436</v>
      </c>
      <c r="C669" s="60" t="s">
        <v>574</v>
      </c>
      <c r="D669" s="60"/>
      <c r="E669" s="60" t="s">
        <v>43</v>
      </c>
      <c r="F669" s="60"/>
      <c r="G66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66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669" s="61" t="e">
        <f>VLOOKUP(Table3[[#This Row],[PSGC]],DISTRICT!$D:$G,4,FALSE)</f>
        <v>#N/A</v>
      </c>
      <c r="J669" s="60" t="s">
        <v>578</v>
      </c>
      <c r="K669" s="51" t="str">
        <f>VLOOKUP(Table3[[#This Row],[SPECIFIC COMMODITY]],TAGS!$W$48:$X$53,2,FALSE)</f>
        <v>Corn</v>
      </c>
      <c r="L669" s="51" t="str">
        <f>VLOOKUP(Table3[[#This Row],[PREXC SUB-PROGRAM]],Table5[],2,FALSE)</f>
        <v>AGRICULTURAL  MACHINERY, EQUIPMENT, FACILITIES AND INFRASTRUCTURE PROGRAM</v>
      </c>
      <c r="M669" s="51" t="str">
        <f>VLOOKUP(Table3[[#This Row],[COMMODITY PREXC SUB-PROGRAM]],TAGS!$U$54:$V$76,2,FALSE)</f>
        <v>AMEFSS</v>
      </c>
      <c r="N669" s="60" t="s">
        <v>594</v>
      </c>
      <c r="O669" s="54" t="str">
        <f>VLOOKUP(Table3[[#This Row],[PI LEVEL 3]],'PI LEVEL'!A:C,3,FALSE)</f>
        <v>Postharvest machinery and equipment distributed</v>
      </c>
      <c r="P669" s="54" t="str">
        <f>VLOOKUP(Table3[[#This Row],[PI LEVEL 3]],Table53729[[Performance Indicator Level 3]:[Performance Indicator Level 1]],2,FALSE)</f>
        <v>Crop processing machinery and equipment distributed</v>
      </c>
      <c r="Q669" s="54" t="str">
        <f>VLOOKUP(Table3[[#This Row],[ACTIVITY]],TAGS!B:P,2,FALSE)</f>
        <v>Chopper distributed</v>
      </c>
      <c r="R669" s="60" t="s">
        <v>440</v>
      </c>
      <c r="S669" s="54" t="str">
        <f>VLOOKUP(Table3[[#This Row],[ACTIVITY]],TAGS!$B:$P,4,FALSE)</f>
        <v>Postharvest related machinery &amp; equipment</v>
      </c>
      <c r="T669" s="54" t="str">
        <f>VLOOKUP(Table3[[#This Row],[ACTIVITY]],TAGS!$B:$P,5,FALSE)</f>
        <v>Postharvest-related</v>
      </c>
      <c r="U669" s="54" t="str">
        <f>VLOOKUP(Table3[[#This Row],[ACTIVITY]],TAGS!$B:$P,6,FALSE)</f>
        <v>Forage/Silage Chopper</v>
      </c>
      <c r="V669" s="54" t="str">
        <f>VLOOKUP(Table3[[#This Row],[ACTIVITY]],TAGS!$B:$P,7,FALSE)</f>
        <v>NO</v>
      </c>
      <c r="W669" s="54" t="str">
        <f>VLOOKUP(Table3[[#This Row],[ACTIVITY]],TAGS!$B:$P,8,FALSE)</f>
        <v>PAP</v>
      </c>
      <c r="X669" s="54" t="str">
        <f>VLOOKUP(Table3[[#This Row],[ACTIVITY]],TAGS!$B:$P,10,FALSE)</f>
        <v>PIP</v>
      </c>
      <c r="Y669" s="54" t="str">
        <f>VLOOKUP(Table3[[#This Row],[ACTIVITY]],TAGS!$B:$P,11,FALSE)</f>
        <v>PICS</v>
      </c>
      <c r="Z669" s="54" t="str">
        <f>VLOOKUP(Table3[[#This Row],[ACTIVITY]],TAGS!$B:$P,12,FALSE)</f>
        <v>Modernization</v>
      </c>
      <c r="AA669" s="54" t="str">
        <f>VLOOKUP(Table3[[#This Row],[ACTIVITY]],TAGS!$B:$P,13,FALSE)</f>
        <v>8. Farm Mechanization and Farm Investments</v>
      </c>
      <c r="AB669" s="54" t="str">
        <f>VLOOKUP(Table3[[#This Row],[ACTIVITY]],TAGS!$B:$P,14,FALSE)</f>
        <v>DEVELOP AND IMPROVE POST-HARVEST SYSTEMS AND INFRASTRUCTURE</v>
      </c>
      <c r="AC669" s="54" t="str">
        <f>VLOOKUP(Table3[[#This Row],[ACTIVITY]],TAGS!$B:$P,15,FALSE)</f>
        <v>Postharvest-related</v>
      </c>
      <c r="AD669" s="54" t="str">
        <f>VLOOKUP(Table3[[#This Row],[PI LEVEL 3]],'PI LEVEL'!$A:$G,7,FALSE)</f>
        <v>DA-Level Output</v>
      </c>
      <c r="AE669" s="60"/>
      <c r="AF669" s="54" t="str">
        <f>VLOOKUP(Table3[[#This Row],[ACTIVITY]],TAGS!$B:$P,3,FALSE)</f>
        <v>number</v>
      </c>
      <c r="AG669" s="60"/>
      <c r="AH669" s="54" t="e">
        <f>VLOOKUP(Table3[[#This Row],[MONTH]],TAGS!$W$67:$Y$81,2,FALSE)</f>
        <v>#N/A</v>
      </c>
      <c r="AI669" s="54" t="e">
        <f>VLOOKUP(Table3[[#This Row],[MONTH]],TAGS!$W$67:$Y$81,3,FALSE)</f>
        <v>#N/A</v>
      </c>
      <c r="AJ669" s="54" t="e">
        <f>VLOOKUP(Table3[[#This Row],[MONTH]],TAGS!$W$67:$Z$81,4,FALSE)</f>
        <v>#N/A</v>
      </c>
      <c r="AK669" s="60">
        <v>1</v>
      </c>
      <c r="AL669" s="54" t="str">
        <f>VLOOKUP(Table3[[#This Row],[ACTIVITY]],TAGS!$B:$R,16,FALSE)</f>
        <v>NO</v>
      </c>
      <c r="AM669" s="60">
        <f>Table3[[#This Row],[TARGET]]/20</f>
        <v>0.05</v>
      </c>
      <c r="AN669" s="60">
        <v>5000</v>
      </c>
      <c r="AO669" s="57"/>
      <c r="AP669" s="62"/>
      <c r="AQ669" s="62"/>
      <c r="AR669" s="62"/>
      <c r="AS669" s="62">
        <v>1</v>
      </c>
      <c r="AT669" s="63" t="str">
        <f>VLOOKUP(Table3[[#This Row],[ACTIVITY]],TAGS!$B:$R,17,FALSE)</f>
        <v>YES</v>
      </c>
      <c r="AU669" s="63"/>
      <c r="AV669" s="63"/>
      <c r="AW669" s="63"/>
      <c r="AX669" s="63"/>
      <c r="AY669" s="63"/>
      <c r="AZ669" s="63"/>
      <c r="BA669" s="63"/>
      <c r="BB669" s="63"/>
      <c r="BC669" s="63"/>
      <c r="BD669" s="63"/>
      <c r="BE669" s="63"/>
      <c r="BF669" s="63"/>
      <c r="BG669" s="63"/>
      <c r="BH669" s="63"/>
      <c r="BI669" s="63"/>
      <c r="BJ669" s="63"/>
      <c r="BK669" s="63"/>
      <c r="BL669" s="63"/>
      <c r="BM669" s="63"/>
    </row>
    <row r="670" spans="1:65">
      <c r="A670" s="54" t="str">
        <f>VLOOKUP(Table3[[#This Row],[OU]],OU!$A$15:$B$34,2,FALSE)</f>
        <v>RFOs</v>
      </c>
      <c r="B670" s="60" t="s">
        <v>436</v>
      </c>
      <c r="C670" s="60" t="s">
        <v>574</v>
      </c>
      <c r="D670" s="60"/>
      <c r="E670" s="60" t="s">
        <v>22</v>
      </c>
      <c r="F670" s="60"/>
      <c r="G67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67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670" s="61" t="e">
        <f>VLOOKUP(Table3[[#This Row],[PSGC]],DISTRICT!$D:$G,4,FALSE)</f>
        <v>#N/A</v>
      </c>
      <c r="J670" s="60" t="s">
        <v>578</v>
      </c>
      <c r="K670" s="51" t="str">
        <f>VLOOKUP(Table3[[#This Row],[SPECIFIC COMMODITY]],TAGS!$W$48:$X$53,2,FALSE)</f>
        <v>Corn</v>
      </c>
      <c r="L670" s="51" t="str">
        <f>VLOOKUP(Table3[[#This Row],[PREXC SUB-PROGRAM]],Table5[],2,FALSE)</f>
        <v>AGRICULTURAL  MACHINERY, EQUIPMENT, FACILITIES AND INFRASTRUCTURE PROGRAM</v>
      </c>
      <c r="M670" s="51" t="str">
        <f>VLOOKUP(Table3[[#This Row],[COMMODITY PREXC SUB-PROGRAM]],TAGS!$U$54:$V$76,2,FALSE)</f>
        <v>INS</v>
      </c>
      <c r="N670" s="60" t="s">
        <v>596</v>
      </c>
      <c r="O670" s="54" t="str">
        <f>VLOOKUP(Table3[[#This Row],[PI LEVEL 3]],'PI LEVEL'!A:C,3,FALSE)</f>
        <v>Irrigation machinery distributed</v>
      </c>
      <c r="P670" s="54" t="str">
        <f>VLOOKUP(Table3[[#This Row],[PI LEVEL 3]],Table53729[[Performance Indicator Level 3]:[Performance Indicator Level 1]],2,FALSE)</f>
        <v>Irrigation machinery distributed</v>
      </c>
      <c r="Q670" s="54" t="str">
        <f>VLOOKUP(Table3[[#This Row],[ACTIVITY]],TAGS!B:P,2,FALSE)</f>
        <v>Pump and Engine Set distributed</v>
      </c>
      <c r="R670" s="60" t="s">
        <v>212</v>
      </c>
      <c r="S670" s="54" t="str">
        <f>VLOOKUP(Table3[[#This Row],[ACTIVITY]],TAGS!$B:$P,4,FALSE)</f>
        <v>Small-scale Irrigation Projects</v>
      </c>
      <c r="T670" s="54" t="str">
        <f>VLOOKUP(Table3[[#This Row],[ACTIVITY]],TAGS!$B:$P,5,FALSE)</f>
        <v>Small-scale Irrigation Projects (SSIPs)</v>
      </c>
      <c r="U670" s="54" t="str">
        <f>VLOOKUP(Table3[[#This Row],[ACTIVITY]],TAGS!$B:$P,6,FALSE)</f>
        <v>Mobile Solar-powered Irrigation System</v>
      </c>
      <c r="V670" s="54" t="str">
        <f>VLOOKUP(Table3[[#This Row],[ACTIVITY]],TAGS!$B:$P,7,FALSE)</f>
        <v>YES</v>
      </c>
      <c r="W670" s="54" t="str">
        <f>VLOOKUP(Table3[[#This Row],[ACTIVITY]],TAGS!$B:$P,8,FALSE)</f>
        <v>PAP</v>
      </c>
      <c r="X670" s="54" t="str">
        <f>VLOOKUP(Table3[[#This Row],[ACTIVITY]],TAGS!$B:$P,10,FALSE)</f>
        <v>PIP</v>
      </c>
      <c r="Y670" s="54" t="str">
        <f>VLOOKUP(Table3[[#This Row],[ACTIVITY]],TAGS!$B:$P,11,FALSE)</f>
        <v>PICS</v>
      </c>
      <c r="Z670" s="54" t="str">
        <f>VLOOKUP(Table3[[#This Row],[ACTIVITY]],TAGS!$B:$P,12,FALSE)</f>
        <v>Modernization</v>
      </c>
      <c r="AA670" s="54" t="str">
        <f>VLOOKUP(Table3[[#This Row],[ACTIVITY]],TAGS!$B:$P,13,FALSE)</f>
        <v>8. Farm Mechanization and Farm Investments</v>
      </c>
      <c r="AB670" s="54" t="str">
        <f>VLOOKUP(Table3[[#This Row],[ACTIVITY]],TAGS!$B:$P,14,FALSE)</f>
        <v>EXPAND AND IMPROVE AVAILABLE AGRI-FISHERY AREAS FOR INCREASED PRODUCTION</v>
      </c>
      <c r="AC670" s="54" t="str">
        <f>VLOOKUP(Table3[[#This Row],[ACTIVITY]],TAGS!$B:$P,15,FALSE)</f>
        <v>Irrigation</v>
      </c>
      <c r="AD670" s="54" t="str">
        <f>VLOOKUP(Table3[[#This Row],[PI LEVEL 3]],'PI LEVEL'!$A:$G,7,FALSE)</f>
        <v>DA-Level Output</v>
      </c>
      <c r="AE670" s="60"/>
      <c r="AF670" s="54" t="str">
        <f>VLOOKUP(Table3[[#This Row],[ACTIVITY]],TAGS!$B:$P,3,FALSE)</f>
        <v>number</v>
      </c>
      <c r="AG670" s="60"/>
      <c r="AH670" s="54" t="e">
        <f>VLOOKUP(Table3[[#This Row],[MONTH]],TAGS!$W$67:$Y$81,2,FALSE)</f>
        <v>#N/A</v>
      </c>
      <c r="AI670" s="54" t="e">
        <f>VLOOKUP(Table3[[#This Row],[MONTH]],TAGS!$W$67:$Y$81,3,FALSE)</f>
        <v>#N/A</v>
      </c>
      <c r="AJ670" s="54" t="e">
        <f>VLOOKUP(Table3[[#This Row],[MONTH]],TAGS!$W$67:$Z$81,4,FALSE)</f>
        <v>#N/A</v>
      </c>
      <c r="AK670" s="60">
        <v>2</v>
      </c>
      <c r="AL670" s="54" t="str">
        <f>VLOOKUP(Table3[[#This Row],[ACTIVITY]],TAGS!$B:$R,16,FALSE)</f>
        <v>YES</v>
      </c>
      <c r="AM670" s="60">
        <f>Table3[[#This Row],[TARGET]]/20</f>
        <v>0.1</v>
      </c>
      <c r="AN670" s="60">
        <v>4000</v>
      </c>
      <c r="AO670" s="57"/>
      <c r="AP670" s="62"/>
      <c r="AQ670" s="62"/>
      <c r="AR670" s="62"/>
      <c r="AS670" s="62">
        <v>2</v>
      </c>
      <c r="AT670" s="63" t="str">
        <f>VLOOKUP(Table3[[#This Row],[ACTIVITY]],TAGS!$B:$R,17,FALSE)</f>
        <v>YES</v>
      </c>
      <c r="AU670" s="63"/>
      <c r="AV670" s="63"/>
      <c r="AW670" s="63"/>
      <c r="AX670" s="63"/>
      <c r="AY670" s="63"/>
      <c r="AZ670" s="63"/>
      <c r="BA670" s="63"/>
      <c r="BB670" s="63"/>
      <c r="BC670" s="63"/>
      <c r="BD670" s="63"/>
      <c r="BE670" s="63"/>
      <c r="BF670" s="63"/>
      <c r="BG670" s="63"/>
      <c r="BH670" s="63"/>
      <c r="BI670" s="63"/>
      <c r="BJ670" s="63"/>
      <c r="BK670" s="63"/>
      <c r="BL670" s="63"/>
      <c r="BM670" s="63"/>
    </row>
    <row r="671" spans="1:65">
      <c r="A671" s="54" t="str">
        <f>VLOOKUP(Table3[[#This Row],[OU]],OU!$A$15:$B$34,2,FALSE)</f>
        <v>RFOs</v>
      </c>
      <c r="B671" s="60" t="s">
        <v>436</v>
      </c>
      <c r="C671" s="60" t="s">
        <v>574</v>
      </c>
      <c r="D671" s="60"/>
      <c r="E671" s="60" t="s">
        <v>43</v>
      </c>
      <c r="F671" s="60"/>
      <c r="G67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67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671" s="61" t="e">
        <f>VLOOKUP(Table3[[#This Row],[PSGC]],DISTRICT!$D:$G,4,FALSE)</f>
        <v>#N/A</v>
      </c>
      <c r="J671" s="60" t="s">
        <v>578</v>
      </c>
      <c r="K671" s="51" t="str">
        <f>VLOOKUP(Table3[[#This Row],[SPECIFIC COMMODITY]],TAGS!$W$48:$X$53,2,FALSE)</f>
        <v>Corn</v>
      </c>
      <c r="L671" s="51" t="str">
        <f>VLOOKUP(Table3[[#This Row],[PREXC SUB-PROGRAM]],Table5[],2,FALSE)</f>
        <v>AGRICULTURAL  MACHINERY, EQUIPMENT, FACILITIES AND INFRASTRUCTURE PROGRAM</v>
      </c>
      <c r="M671" s="51" t="str">
        <f>VLOOKUP(Table3[[#This Row],[COMMODITY PREXC SUB-PROGRAM]],TAGS!$U$54:$V$76,2,FALSE)</f>
        <v>INS</v>
      </c>
      <c r="N671" s="60" t="s">
        <v>596</v>
      </c>
      <c r="O671" s="54" t="str">
        <f>VLOOKUP(Table3[[#This Row],[PI LEVEL 3]],'PI LEVEL'!A:C,3,FALSE)</f>
        <v>Irrigation machinery distributed</v>
      </c>
      <c r="P671" s="54" t="str">
        <f>VLOOKUP(Table3[[#This Row],[PI LEVEL 3]],Table53729[[Performance Indicator Level 3]:[Performance Indicator Level 1]],2,FALSE)</f>
        <v>Irrigation machinery distributed</v>
      </c>
      <c r="Q671" s="54" t="str">
        <f>VLOOKUP(Table3[[#This Row],[ACTIVITY]],TAGS!B:P,2,FALSE)</f>
        <v>Pump and Engine Set distributed</v>
      </c>
      <c r="R671" s="60" t="s">
        <v>212</v>
      </c>
      <c r="S671" s="54" t="str">
        <f>VLOOKUP(Table3[[#This Row],[ACTIVITY]],TAGS!$B:$P,4,FALSE)</f>
        <v>Small-scale Irrigation Projects</v>
      </c>
      <c r="T671" s="54" t="str">
        <f>VLOOKUP(Table3[[#This Row],[ACTIVITY]],TAGS!$B:$P,5,FALSE)</f>
        <v>Small-scale Irrigation Projects (SSIPs)</v>
      </c>
      <c r="U671" s="54" t="str">
        <f>VLOOKUP(Table3[[#This Row],[ACTIVITY]],TAGS!$B:$P,6,FALSE)</f>
        <v>Mobile Solar-powered Irrigation System</v>
      </c>
      <c r="V671" s="54" t="str">
        <f>VLOOKUP(Table3[[#This Row],[ACTIVITY]],TAGS!$B:$P,7,FALSE)</f>
        <v>YES</v>
      </c>
      <c r="W671" s="54" t="str">
        <f>VLOOKUP(Table3[[#This Row],[ACTIVITY]],TAGS!$B:$P,8,FALSE)</f>
        <v>PAP</v>
      </c>
      <c r="X671" s="54" t="str">
        <f>VLOOKUP(Table3[[#This Row],[ACTIVITY]],TAGS!$B:$P,10,FALSE)</f>
        <v>PIP</v>
      </c>
      <c r="Y671" s="54" t="str">
        <f>VLOOKUP(Table3[[#This Row],[ACTIVITY]],TAGS!$B:$P,11,FALSE)</f>
        <v>PICS</v>
      </c>
      <c r="Z671" s="54" t="str">
        <f>VLOOKUP(Table3[[#This Row],[ACTIVITY]],TAGS!$B:$P,12,FALSE)</f>
        <v>Modernization</v>
      </c>
      <c r="AA671" s="54" t="str">
        <f>VLOOKUP(Table3[[#This Row],[ACTIVITY]],TAGS!$B:$P,13,FALSE)</f>
        <v>8. Farm Mechanization and Farm Investments</v>
      </c>
      <c r="AB671" s="54" t="str">
        <f>VLOOKUP(Table3[[#This Row],[ACTIVITY]],TAGS!$B:$P,14,FALSE)</f>
        <v>EXPAND AND IMPROVE AVAILABLE AGRI-FISHERY AREAS FOR INCREASED PRODUCTION</v>
      </c>
      <c r="AC671" s="54" t="str">
        <f>VLOOKUP(Table3[[#This Row],[ACTIVITY]],TAGS!$B:$P,15,FALSE)</f>
        <v>Irrigation</v>
      </c>
      <c r="AD671" s="54" t="str">
        <f>VLOOKUP(Table3[[#This Row],[PI LEVEL 3]],'PI LEVEL'!$A:$G,7,FALSE)</f>
        <v>DA-Level Output</v>
      </c>
      <c r="AE671" s="60"/>
      <c r="AF671" s="54" t="str">
        <f>VLOOKUP(Table3[[#This Row],[ACTIVITY]],TAGS!$B:$P,3,FALSE)</f>
        <v>number</v>
      </c>
      <c r="AG671" s="60"/>
      <c r="AH671" s="54" t="e">
        <f>VLOOKUP(Table3[[#This Row],[MONTH]],TAGS!$W$67:$Y$81,2,FALSE)</f>
        <v>#N/A</v>
      </c>
      <c r="AI671" s="54" t="e">
        <f>VLOOKUP(Table3[[#This Row],[MONTH]],TAGS!$W$67:$Y$81,3,FALSE)</f>
        <v>#N/A</v>
      </c>
      <c r="AJ671" s="54" t="e">
        <f>VLOOKUP(Table3[[#This Row],[MONTH]],TAGS!$W$67:$Z$81,4,FALSE)</f>
        <v>#N/A</v>
      </c>
      <c r="AK671" s="60">
        <v>2</v>
      </c>
      <c r="AL671" s="54" t="str">
        <f>VLOOKUP(Table3[[#This Row],[ACTIVITY]],TAGS!$B:$R,16,FALSE)</f>
        <v>YES</v>
      </c>
      <c r="AM671" s="60">
        <f>Table3[[#This Row],[TARGET]]/20</f>
        <v>0.1</v>
      </c>
      <c r="AN671" s="60">
        <v>4000</v>
      </c>
      <c r="AO671" s="57"/>
      <c r="AP671" s="62"/>
      <c r="AQ671" s="62"/>
      <c r="AR671" s="62"/>
      <c r="AS671" s="62">
        <v>2</v>
      </c>
      <c r="AT671" s="63" t="str">
        <f>VLOOKUP(Table3[[#This Row],[ACTIVITY]],TAGS!$B:$R,17,FALSE)</f>
        <v>YES</v>
      </c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63"/>
      <c r="BF671" s="63"/>
      <c r="BG671" s="63"/>
      <c r="BH671" s="63"/>
      <c r="BI671" s="63"/>
      <c r="BJ671" s="63"/>
      <c r="BK671" s="63"/>
      <c r="BL671" s="63"/>
      <c r="BM671" s="63"/>
    </row>
    <row r="672" spans="1:65">
      <c r="A672" s="54" t="str">
        <f>VLOOKUP(Table3[[#This Row],[OU]],OU!$A$15:$B$34,2,FALSE)</f>
        <v>RFOs</v>
      </c>
      <c r="B672" s="60" t="s">
        <v>436</v>
      </c>
      <c r="C672" s="60" t="s">
        <v>574</v>
      </c>
      <c r="D672" s="60"/>
      <c r="E672" s="60" t="s">
        <v>70</v>
      </c>
      <c r="F672" s="60"/>
      <c r="G67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</v>
      </c>
      <c r="H67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Quirino</v>
      </c>
      <c r="I672" s="61" t="e">
        <f>VLOOKUP(Table3[[#This Row],[PSGC]],DISTRICT!$D:$G,4,FALSE)</f>
        <v>#N/A</v>
      </c>
      <c r="J672" s="60" t="s">
        <v>578</v>
      </c>
      <c r="K672" s="51" t="str">
        <f>VLOOKUP(Table3[[#This Row],[SPECIFIC COMMODITY]],TAGS!$W$48:$X$53,2,FALSE)</f>
        <v>Corn</v>
      </c>
      <c r="L672" s="51" t="str">
        <f>VLOOKUP(Table3[[#This Row],[PREXC SUB-PROGRAM]],Table5[],2,FALSE)</f>
        <v>AGRICULTURAL  MACHINERY, EQUIPMENT, FACILITIES AND INFRASTRUCTURE PROGRAM</v>
      </c>
      <c r="M672" s="51" t="str">
        <f>VLOOKUP(Table3[[#This Row],[COMMODITY PREXC SUB-PROGRAM]],TAGS!$U$54:$V$76,2,FALSE)</f>
        <v>INS</v>
      </c>
      <c r="N672" s="60" t="s">
        <v>596</v>
      </c>
      <c r="O672" s="54" t="str">
        <f>VLOOKUP(Table3[[#This Row],[PI LEVEL 3]],'PI LEVEL'!A:C,3,FALSE)</f>
        <v>Irrigation machinery distributed</v>
      </c>
      <c r="P672" s="54" t="str">
        <f>VLOOKUP(Table3[[#This Row],[PI LEVEL 3]],Table53729[[Performance Indicator Level 3]:[Performance Indicator Level 1]],2,FALSE)</f>
        <v>Irrigation machinery distributed</v>
      </c>
      <c r="Q672" s="54" t="str">
        <f>VLOOKUP(Table3[[#This Row],[ACTIVITY]],TAGS!B:P,2,FALSE)</f>
        <v>Pump and Engine Set distributed</v>
      </c>
      <c r="R672" s="60" t="s">
        <v>212</v>
      </c>
      <c r="S672" s="54" t="str">
        <f>VLOOKUP(Table3[[#This Row],[ACTIVITY]],TAGS!$B:$P,4,FALSE)</f>
        <v>Small-scale Irrigation Projects</v>
      </c>
      <c r="T672" s="54" t="str">
        <f>VLOOKUP(Table3[[#This Row],[ACTIVITY]],TAGS!$B:$P,5,FALSE)</f>
        <v>Small-scale Irrigation Projects (SSIPs)</v>
      </c>
      <c r="U672" s="54" t="str">
        <f>VLOOKUP(Table3[[#This Row],[ACTIVITY]],TAGS!$B:$P,6,FALSE)</f>
        <v>Mobile Solar-powered Irrigation System</v>
      </c>
      <c r="V672" s="54" t="str">
        <f>VLOOKUP(Table3[[#This Row],[ACTIVITY]],TAGS!$B:$P,7,FALSE)</f>
        <v>YES</v>
      </c>
      <c r="W672" s="54" t="str">
        <f>VLOOKUP(Table3[[#This Row],[ACTIVITY]],TAGS!$B:$P,8,FALSE)</f>
        <v>PAP</v>
      </c>
      <c r="X672" s="54" t="str">
        <f>VLOOKUP(Table3[[#This Row],[ACTIVITY]],TAGS!$B:$P,10,FALSE)</f>
        <v>PIP</v>
      </c>
      <c r="Y672" s="54" t="str">
        <f>VLOOKUP(Table3[[#This Row],[ACTIVITY]],TAGS!$B:$P,11,FALSE)</f>
        <v>PICS</v>
      </c>
      <c r="Z672" s="54" t="str">
        <f>VLOOKUP(Table3[[#This Row],[ACTIVITY]],TAGS!$B:$P,12,FALSE)</f>
        <v>Modernization</v>
      </c>
      <c r="AA672" s="54" t="str">
        <f>VLOOKUP(Table3[[#This Row],[ACTIVITY]],TAGS!$B:$P,13,FALSE)</f>
        <v>8. Farm Mechanization and Farm Investments</v>
      </c>
      <c r="AB672" s="54" t="str">
        <f>VLOOKUP(Table3[[#This Row],[ACTIVITY]],TAGS!$B:$P,14,FALSE)</f>
        <v>EXPAND AND IMPROVE AVAILABLE AGRI-FISHERY AREAS FOR INCREASED PRODUCTION</v>
      </c>
      <c r="AC672" s="54" t="str">
        <f>VLOOKUP(Table3[[#This Row],[ACTIVITY]],TAGS!$B:$P,15,FALSE)</f>
        <v>Irrigation</v>
      </c>
      <c r="AD672" s="54" t="str">
        <f>VLOOKUP(Table3[[#This Row],[PI LEVEL 3]],'PI LEVEL'!$A:$G,7,FALSE)</f>
        <v>DA-Level Output</v>
      </c>
      <c r="AE672" s="60"/>
      <c r="AF672" s="54" t="str">
        <f>VLOOKUP(Table3[[#This Row],[ACTIVITY]],TAGS!$B:$P,3,FALSE)</f>
        <v>number</v>
      </c>
      <c r="AG672" s="60"/>
      <c r="AH672" s="54" t="e">
        <f>VLOOKUP(Table3[[#This Row],[MONTH]],TAGS!$W$67:$Y$81,2,FALSE)</f>
        <v>#N/A</v>
      </c>
      <c r="AI672" s="54" t="e">
        <f>VLOOKUP(Table3[[#This Row],[MONTH]],TAGS!$W$67:$Y$81,3,FALSE)</f>
        <v>#N/A</v>
      </c>
      <c r="AJ672" s="54" t="e">
        <f>VLOOKUP(Table3[[#This Row],[MONTH]],TAGS!$W$67:$Z$81,4,FALSE)</f>
        <v>#N/A</v>
      </c>
      <c r="AK672" s="60">
        <v>1</v>
      </c>
      <c r="AL672" s="54" t="str">
        <f>VLOOKUP(Table3[[#This Row],[ACTIVITY]],TAGS!$B:$R,16,FALSE)</f>
        <v>YES</v>
      </c>
      <c r="AM672" s="60">
        <f>Table3[[#This Row],[TARGET]]/20</f>
        <v>0.05</v>
      </c>
      <c r="AN672" s="60">
        <v>2000</v>
      </c>
      <c r="AO672" s="57"/>
      <c r="AP672" s="62"/>
      <c r="AQ672" s="62"/>
      <c r="AR672" s="62"/>
      <c r="AS672" s="62">
        <v>1</v>
      </c>
      <c r="AT672" s="63" t="str">
        <f>VLOOKUP(Table3[[#This Row],[ACTIVITY]],TAGS!$B:$R,17,FALSE)</f>
        <v>YES</v>
      </c>
      <c r="AU672" s="63"/>
      <c r="AV672" s="63"/>
      <c r="AW672" s="63"/>
      <c r="AX672" s="63"/>
      <c r="AY672" s="63"/>
      <c r="AZ672" s="63"/>
      <c r="BA672" s="63"/>
      <c r="BB672" s="63"/>
      <c r="BC672" s="63"/>
      <c r="BD672" s="63"/>
      <c r="BE672" s="63"/>
      <c r="BF672" s="63"/>
      <c r="BG672" s="63"/>
      <c r="BH672" s="63"/>
      <c r="BI672" s="63"/>
      <c r="BJ672" s="63"/>
      <c r="BK672" s="63"/>
      <c r="BL672" s="63"/>
      <c r="BM672" s="63"/>
    </row>
    <row r="673" spans="1:65">
      <c r="A673" s="54" t="str">
        <f>VLOOKUP(Table3[[#This Row],[OU]],OU!$A$15:$B$34,2,FALSE)</f>
        <v>RFOs</v>
      </c>
      <c r="B673" s="60" t="s">
        <v>436</v>
      </c>
      <c r="C673" s="60" t="s">
        <v>574</v>
      </c>
      <c r="D673" s="60"/>
      <c r="E673" s="60" t="s">
        <v>22</v>
      </c>
      <c r="F673" s="60"/>
      <c r="G67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67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673" s="61" t="e">
        <f>VLOOKUP(Table3[[#This Row],[PSGC]],DISTRICT!$D:$G,4,FALSE)</f>
        <v>#N/A</v>
      </c>
      <c r="J673" s="60" t="s">
        <v>578</v>
      </c>
      <c r="K673" s="51" t="str">
        <f>VLOOKUP(Table3[[#This Row],[SPECIFIC COMMODITY]],TAGS!$W$48:$X$53,2,FALSE)</f>
        <v>Corn</v>
      </c>
      <c r="L673" s="51" t="str">
        <f>VLOOKUP(Table3[[#This Row],[PREXC SUB-PROGRAM]],Table5[],2,FALSE)</f>
        <v>AGRICULTURAL  MACHINERY, EQUIPMENT, FACILITIES AND INFRASTRUCTURE PROGRAM</v>
      </c>
      <c r="M673" s="51" t="str">
        <f>VLOOKUP(Table3[[#This Row],[COMMODITY PREXC SUB-PROGRAM]],TAGS!$U$54:$V$76,2,FALSE)</f>
        <v>INS</v>
      </c>
      <c r="N673" s="60" t="s">
        <v>596</v>
      </c>
      <c r="O673" s="54" t="str">
        <f>VLOOKUP(Table3[[#This Row],[PI LEVEL 3]],'PI LEVEL'!A:C,3,FALSE)</f>
        <v>Irrigation machinery distributed</v>
      </c>
      <c r="P673" s="54" t="str">
        <f>VLOOKUP(Table3[[#This Row],[PI LEVEL 3]],Table53729[[Performance Indicator Level 3]:[Performance Indicator Level 1]],2,FALSE)</f>
        <v>Irrigation machinery distributed</v>
      </c>
      <c r="Q673" s="54" t="str">
        <f>VLOOKUP(Table3[[#This Row],[ACTIVITY]],TAGS!B:P,2,FALSE)</f>
        <v>Pump and Engine Set distributed</v>
      </c>
      <c r="R673" s="60" t="s">
        <v>210</v>
      </c>
      <c r="S673" s="54" t="str">
        <f>VLOOKUP(Table3[[#This Row],[ACTIVITY]],TAGS!$B:$P,4,FALSE)</f>
        <v>Small-scale Irrigation Projects</v>
      </c>
      <c r="T673" s="54" t="str">
        <f>VLOOKUP(Table3[[#This Row],[ACTIVITY]],TAGS!$B:$P,5,FALSE)</f>
        <v>Small-scale Irrigation Projects (SSIPs)</v>
      </c>
      <c r="U673" s="54" t="str">
        <f>VLOOKUP(Table3[[#This Row],[ACTIVITY]],TAGS!$B:$P,6,FALSE)</f>
        <v>Open Source Pumping Set</v>
      </c>
      <c r="V673" s="54" t="str">
        <f>VLOOKUP(Table3[[#This Row],[ACTIVITY]],TAGS!$B:$P,7,FALSE)</f>
        <v>YES</v>
      </c>
      <c r="W673" s="54" t="str">
        <f>VLOOKUP(Table3[[#This Row],[ACTIVITY]],TAGS!$B:$P,8,FALSE)</f>
        <v>PAP</v>
      </c>
      <c r="X673" s="54" t="str">
        <f>VLOOKUP(Table3[[#This Row],[ACTIVITY]],TAGS!$B:$P,10,FALSE)</f>
        <v>PIP</v>
      </c>
      <c r="Y673" s="54" t="str">
        <f>VLOOKUP(Table3[[#This Row],[ACTIVITY]],TAGS!$B:$P,11,FALSE)</f>
        <v>PICS</v>
      </c>
      <c r="Z673" s="54" t="str">
        <f>VLOOKUP(Table3[[#This Row],[ACTIVITY]],TAGS!$B:$P,12,FALSE)</f>
        <v>Modernization</v>
      </c>
      <c r="AA673" s="54" t="str">
        <f>VLOOKUP(Table3[[#This Row],[ACTIVITY]],TAGS!$B:$P,13,FALSE)</f>
        <v>8. Farm Mechanization and Farm Investments</v>
      </c>
      <c r="AB673" s="54" t="str">
        <f>VLOOKUP(Table3[[#This Row],[ACTIVITY]],TAGS!$B:$P,14,FALSE)</f>
        <v>EXPAND AND IMPROVE AVAILABLE AGRI-FISHERY AREAS FOR INCREASED PRODUCTION</v>
      </c>
      <c r="AC673" s="54" t="str">
        <f>VLOOKUP(Table3[[#This Row],[ACTIVITY]],TAGS!$B:$P,15,FALSE)</f>
        <v>Irrigation</v>
      </c>
      <c r="AD673" s="54" t="str">
        <f>VLOOKUP(Table3[[#This Row],[PI LEVEL 3]],'PI LEVEL'!$A:$G,7,FALSE)</f>
        <v>DA-Level Output</v>
      </c>
      <c r="AE673" s="60"/>
      <c r="AF673" s="54" t="str">
        <f>VLOOKUP(Table3[[#This Row],[ACTIVITY]],TAGS!$B:$P,3,FALSE)</f>
        <v>number</v>
      </c>
      <c r="AG673" s="60"/>
      <c r="AH673" s="54" t="e">
        <f>VLOOKUP(Table3[[#This Row],[MONTH]],TAGS!$W$67:$Y$81,2,FALSE)</f>
        <v>#N/A</v>
      </c>
      <c r="AI673" s="54" t="e">
        <f>VLOOKUP(Table3[[#This Row],[MONTH]],TAGS!$W$67:$Y$81,3,FALSE)</f>
        <v>#N/A</v>
      </c>
      <c r="AJ673" s="54" t="e">
        <f>VLOOKUP(Table3[[#This Row],[MONTH]],TAGS!$W$67:$Z$81,4,FALSE)</f>
        <v>#N/A</v>
      </c>
      <c r="AK673" s="60">
        <v>100</v>
      </c>
      <c r="AL673" s="54" t="str">
        <f>VLOOKUP(Table3[[#This Row],[ACTIVITY]],TAGS!$B:$R,16,FALSE)</f>
        <v>YES</v>
      </c>
      <c r="AM673" s="60">
        <f>Table3[[#This Row],[TARGET]]/20</f>
        <v>5</v>
      </c>
      <c r="AN673" s="60">
        <v>10000</v>
      </c>
      <c r="AO673" s="57"/>
      <c r="AP673" s="62"/>
      <c r="AQ673" s="62"/>
      <c r="AR673" s="62"/>
      <c r="AS673" s="62">
        <v>10</v>
      </c>
      <c r="AT673" s="63" t="str">
        <f>VLOOKUP(Table3[[#This Row],[ACTIVITY]],TAGS!$B:$R,17,FALSE)</f>
        <v>YES</v>
      </c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63"/>
      <c r="BF673" s="63"/>
      <c r="BG673" s="63"/>
      <c r="BH673" s="63"/>
      <c r="BI673" s="63"/>
      <c r="BJ673" s="63"/>
      <c r="BK673" s="63"/>
      <c r="BL673" s="63"/>
      <c r="BM673" s="63"/>
    </row>
    <row r="674" spans="1:65">
      <c r="A674" s="54" t="str">
        <f>VLOOKUP(Table3[[#This Row],[OU]],OU!$A$15:$B$34,2,FALSE)</f>
        <v>RFOs</v>
      </c>
      <c r="B674" s="60" t="s">
        <v>436</v>
      </c>
      <c r="C674" s="60" t="s">
        <v>574</v>
      </c>
      <c r="D674" s="60"/>
      <c r="E674" s="60" t="s">
        <v>43</v>
      </c>
      <c r="F674" s="60"/>
      <c r="G67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67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674" s="61" t="e">
        <f>VLOOKUP(Table3[[#This Row],[PSGC]],DISTRICT!$D:$G,4,FALSE)</f>
        <v>#N/A</v>
      </c>
      <c r="J674" s="60" t="s">
        <v>578</v>
      </c>
      <c r="K674" s="51" t="str">
        <f>VLOOKUP(Table3[[#This Row],[SPECIFIC COMMODITY]],TAGS!$W$48:$X$53,2,FALSE)</f>
        <v>Corn</v>
      </c>
      <c r="L674" s="51" t="str">
        <f>VLOOKUP(Table3[[#This Row],[PREXC SUB-PROGRAM]],Table5[],2,FALSE)</f>
        <v>AGRICULTURAL  MACHINERY, EQUIPMENT, FACILITIES AND INFRASTRUCTURE PROGRAM</v>
      </c>
      <c r="M674" s="51" t="str">
        <f>VLOOKUP(Table3[[#This Row],[COMMODITY PREXC SUB-PROGRAM]],TAGS!$U$54:$V$76,2,FALSE)</f>
        <v>INS</v>
      </c>
      <c r="N674" s="60" t="s">
        <v>596</v>
      </c>
      <c r="O674" s="54" t="str">
        <f>VLOOKUP(Table3[[#This Row],[PI LEVEL 3]],'PI LEVEL'!A:C,3,FALSE)</f>
        <v>Irrigation machinery distributed</v>
      </c>
      <c r="P674" s="54" t="str">
        <f>VLOOKUP(Table3[[#This Row],[PI LEVEL 3]],Table53729[[Performance Indicator Level 3]:[Performance Indicator Level 1]],2,FALSE)</f>
        <v>Irrigation machinery distributed</v>
      </c>
      <c r="Q674" s="54" t="str">
        <f>VLOOKUP(Table3[[#This Row],[ACTIVITY]],TAGS!B:P,2,FALSE)</f>
        <v>Pump and Engine Set distributed</v>
      </c>
      <c r="R674" s="60" t="s">
        <v>210</v>
      </c>
      <c r="S674" s="54" t="str">
        <f>VLOOKUP(Table3[[#This Row],[ACTIVITY]],TAGS!$B:$P,4,FALSE)</f>
        <v>Small-scale Irrigation Projects</v>
      </c>
      <c r="T674" s="54" t="str">
        <f>VLOOKUP(Table3[[#This Row],[ACTIVITY]],TAGS!$B:$P,5,FALSE)</f>
        <v>Small-scale Irrigation Projects (SSIPs)</v>
      </c>
      <c r="U674" s="54" t="str">
        <f>VLOOKUP(Table3[[#This Row],[ACTIVITY]],TAGS!$B:$P,6,FALSE)</f>
        <v>Open Source Pumping Set</v>
      </c>
      <c r="V674" s="54" t="str">
        <f>VLOOKUP(Table3[[#This Row],[ACTIVITY]],TAGS!$B:$P,7,FALSE)</f>
        <v>YES</v>
      </c>
      <c r="W674" s="54" t="str">
        <f>VLOOKUP(Table3[[#This Row],[ACTIVITY]],TAGS!$B:$P,8,FALSE)</f>
        <v>PAP</v>
      </c>
      <c r="X674" s="54" t="str">
        <f>VLOOKUP(Table3[[#This Row],[ACTIVITY]],TAGS!$B:$P,10,FALSE)</f>
        <v>PIP</v>
      </c>
      <c r="Y674" s="54" t="str">
        <f>VLOOKUP(Table3[[#This Row],[ACTIVITY]],TAGS!$B:$P,11,FALSE)</f>
        <v>PICS</v>
      </c>
      <c r="Z674" s="54" t="str">
        <f>VLOOKUP(Table3[[#This Row],[ACTIVITY]],TAGS!$B:$P,12,FALSE)</f>
        <v>Modernization</v>
      </c>
      <c r="AA674" s="54" t="str">
        <f>VLOOKUP(Table3[[#This Row],[ACTIVITY]],TAGS!$B:$P,13,FALSE)</f>
        <v>8. Farm Mechanization and Farm Investments</v>
      </c>
      <c r="AB674" s="54" t="str">
        <f>VLOOKUP(Table3[[#This Row],[ACTIVITY]],TAGS!$B:$P,14,FALSE)</f>
        <v>EXPAND AND IMPROVE AVAILABLE AGRI-FISHERY AREAS FOR INCREASED PRODUCTION</v>
      </c>
      <c r="AC674" s="54" t="str">
        <f>VLOOKUP(Table3[[#This Row],[ACTIVITY]],TAGS!$B:$P,15,FALSE)</f>
        <v>Irrigation</v>
      </c>
      <c r="AD674" s="54" t="str">
        <f>VLOOKUP(Table3[[#This Row],[PI LEVEL 3]],'PI LEVEL'!$A:$G,7,FALSE)</f>
        <v>DA-Level Output</v>
      </c>
      <c r="AE674" s="60"/>
      <c r="AF674" s="54" t="str">
        <f>VLOOKUP(Table3[[#This Row],[ACTIVITY]],TAGS!$B:$P,3,FALSE)</f>
        <v>number</v>
      </c>
      <c r="AG674" s="60"/>
      <c r="AH674" s="54" t="e">
        <f>VLOOKUP(Table3[[#This Row],[MONTH]],TAGS!$W$67:$Y$81,2,FALSE)</f>
        <v>#N/A</v>
      </c>
      <c r="AI674" s="54" t="e">
        <f>VLOOKUP(Table3[[#This Row],[MONTH]],TAGS!$W$67:$Y$81,3,FALSE)</f>
        <v>#N/A</v>
      </c>
      <c r="AJ674" s="54" t="e">
        <f>VLOOKUP(Table3[[#This Row],[MONTH]],TAGS!$W$67:$Z$81,4,FALSE)</f>
        <v>#N/A</v>
      </c>
      <c r="AK674" s="60">
        <v>120</v>
      </c>
      <c r="AL674" s="54" t="str">
        <f>VLOOKUP(Table3[[#This Row],[ACTIVITY]],TAGS!$B:$R,16,FALSE)</f>
        <v>YES</v>
      </c>
      <c r="AM674" s="60">
        <f>Table3[[#This Row],[TARGET]]/20</f>
        <v>6</v>
      </c>
      <c r="AN674" s="60">
        <v>12000</v>
      </c>
      <c r="AO674" s="57"/>
      <c r="AP674" s="62"/>
      <c r="AQ674" s="62"/>
      <c r="AR674" s="62"/>
      <c r="AS674" s="62">
        <v>12</v>
      </c>
      <c r="AT674" s="63" t="str">
        <f>VLOOKUP(Table3[[#This Row],[ACTIVITY]],TAGS!$B:$R,17,FALSE)</f>
        <v>YES</v>
      </c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63"/>
      <c r="BF674" s="63"/>
      <c r="BG674" s="63"/>
      <c r="BH674" s="63"/>
      <c r="BI674" s="63"/>
      <c r="BJ674" s="63"/>
      <c r="BK674" s="63"/>
      <c r="BL674" s="63"/>
      <c r="BM674" s="63"/>
    </row>
    <row r="675" spans="1:65">
      <c r="A675" s="54" t="str">
        <f>VLOOKUP(Table3[[#This Row],[OU]],OU!$A$15:$B$34,2,FALSE)</f>
        <v>RFOs</v>
      </c>
      <c r="B675" s="60" t="s">
        <v>436</v>
      </c>
      <c r="C675" s="60" t="s">
        <v>574</v>
      </c>
      <c r="D675" s="60"/>
      <c r="E675" s="60" t="s">
        <v>70</v>
      </c>
      <c r="F675" s="60"/>
      <c r="G67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</v>
      </c>
      <c r="H67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Quirino</v>
      </c>
      <c r="I675" s="61" t="e">
        <f>VLOOKUP(Table3[[#This Row],[PSGC]],DISTRICT!$D:$G,4,FALSE)</f>
        <v>#N/A</v>
      </c>
      <c r="J675" s="60" t="s">
        <v>578</v>
      </c>
      <c r="K675" s="51" t="str">
        <f>VLOOKUP(Table3[[#This Row],[SPECIFIC COMMODITY]],TAGS!$W$48:$X$53,2,FALSE)</f>
        <v>Corn</v>
      </c>
      <c r="L675" s="51" t="str">
        <f>VLOOKUP(Table3[[#This Row],[PREXC SUB-PROGRAM]],Table5[],2,FALSE)</f>
        <v>AGRICULTURAL  MACHINERY, EQUIPMENT, FACILITIES AND INFRASTRUCTURE PROGRAM</v>
      </c>
      <c r="M675" s="51" t="str">
        <f>VLOOKUP(Table3[[#This Row],[COMMODITY PREXC SUB-PROGRAM]],TAGS!$U$54:$V$76,2,FALSE)</f>
        <v>INS</v>
      </c>
      <c r="N675" s="60" t="s">
        <v>596</v>
      </c>
      <c r="O675" s="54" t="str">
        <f>VLOOKUP(Table3[[#This Row],[PI LEVEL 3]],'PI LEVEL'!A:C,3,FALSE)</f>
        <v>Irrigation machinery distributed</v>
      </c>
      <c r="P675" s="54" t="str">
        <f>VLOOKUP(Table3[[#This Row],[PI LEVEL 3]],Table53729[[Performance Indicator Level 3]:[Performance Indicator Level 1]],2,FALSE)</f>
        <v>Irrigation machinery distributed</v>
      </c>
      <c r="Q675" s="54" t="str">
        <f>VLOOKUP(Table3[[#This Row],[ACTIVITY]],TAGS!B:P,2,FALSE)</f>
        <v>Pump and Engine Set distributed</v>
      </c>
      <c r="R675" s="60" t="s">
        <v>210</v>
      </c>
      <c r="S675" s="54" t="str">
        <f>VLOOKUP(Table3[[#This Row],[ACTIVITY]],TAGS!$B:$P,4,FALSE)</f>
        <v>Small-scale Irrigation Projects</v>
      </c>
      <c r="T675" s="54" t="str">
        <f>VLOOKUP(Table3[[#This Row],[ACTIVITY]],TAGS!$B:$P,5,FALSE)</f>
        <v>Small-scale Irrigation Projects (SSIPs)</v>
      </c>
      <c r="U675" s="54" t="str">
        <f>VLOOKUP(Table3[[#This Row],[ACTIVITY]],TAGS!$B:$P,6,FALSE)</f>
        <v>Open Source Pumping Set</v>
      </c>
      <c r="V675" s="54" t="str">
        <f>VLOOKUP(Table3[[#This Row],[ACTIVITY]],TAGS!$B:$P,7,FALSE)</f>
        <v>YES</v>
      </c>
      <c r="W675" s="54" t="str">
        <f>VLOOKUP(Table3[[#This Row],[ACTIVITY]],TAGS!$B:$P,8,FALSE)</f>
        <v>PAP</v>
      </c>
      <c r="X675" s="54" t="str">
        <f>VLOOKUP(Table3[[#This Row],[ACTIVITY]],TAGS!$B:$P,10,FALSE)</f>
        <v>PIP</v>
      </c>
      <c r="Y675" s="54" t="str">
        <f>VLOOKUP(Table3[[#This Row],[ACTIVITY]],TAGS!$B:$P,11,FALSE)</f>
        <v>PICS</v>
      </c>
      <c r="Z675" s="54" t="str">
        <f>VLOOKUP(Table3[[#This Row],[ACTIVITY]],TAGS!$B:$P,12,FALSE)</f>
        <v>Modernization</v>
      </c>
      <c r="AA675" s="54" t="str">
        <f>VLOOKUP(Table3[[#This Row],[ACTIVITY]],TAGS!$B:$P,13,FALSE)</f>
        <v>8. Farm Mechanization and Farm Investments</v>
      </c>
      <c r="AB675" s="54" t="str">
        <f>VLOOKUP(Table3[[#This Row],[ACTIVITY]],TAGS!$B:$P,14,FALSE)</f>
        <v>EXPAND AND IMPROVE AVAILABLE AGRI-FISHERY AREAS FOR INCREASED PRODUCTION</v>
      </c>
      <c r="AC675" s="54" t="str">
        <f>VLOOKUP(Table3[[#This Row],[ACTIVITY]],TAGS!$B:$P,15,FALSE)</f>
        <v>Irrigation</v>
      </c>
      <c r="AD675" s="54" t="str">
        <f>VLOOKUP(Table3[[#This Row],[PI LEVEL 3]],'PI LEVEL'!$A:$G,7,FALSE)</f>
        <v>DA-Level Output</v>
      </c>
      <c r="AE675" s="60"/>
      <c r="AF675" s="54" t="str">
        <f>VLOOKUP(Table3[[#This Row],[ACTIVITY]],TAGS!$B:$P,3,FALSE)</f>
        <v>number</v>
      </c>
      <c r="AG675" s="60"/>
      <c r="AH675" s="54" t="e">
        <f>VLOOKUP(Table3[[#This Row],[MONTH]],TAGS!$W$67:$Y$81,2,FALSE)</f>
        <v>#N/A</v>
      </c>
      <c r="AI675" s="54" t="e">
        <f>VLOOKUP(Table3[[#This Row],[MONTH]],TAGS!$W$67:$Y$81,3,FALSE)</f>
        <v>#N/A</v>
      </c>
      <c r="AJ675" s="54" t="e">
        <f>VLOOKUP(Table3[[#This Row],[MONTH]],TAGS!$W$67:$Z$81,4,FALSE)</f>
        <v>#N/A</v>
      </c>
      <c r="AK675" s="60">
        <v>30</v>
      </c>
      <c r="AL675" s="54" t="str">
        <f>VLOOKUP(Table3[[#This Row],[ACTIVITY]],TAGS!$B:$R,16,FALSE)</f>
        <v>YES</v>
      </c>
      <c r="AM675" s="60">
        <f>Table3[[#This Row],[TARGET]]/20</f>
        <v>1.5</v>
      </c>
      <c r="AN675" s="60">
        <v>3000</v>
      </c>
      <c r="AO675" s="57"/>
      <c r="AP675" s="62"/>
      <c r="AQ675" s="62"/>
      <c r="AR675" s="62"/>
      <c r="AS675" s="62">
        <v>3</v>
      </c>
      <c r="AT675" s="63" t="str">
        <f>VLOOKUP(Table3[[#This Row],[ACTIVITY]],TAGS!$B:$R,17,FALSE)</f>
        <v>YES</v>
      </c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3"/>
      <c r="BF675" s="63"/>
      <c r="BG675" s="63"/>
      <c r="BH675" s="63"/>
      <c r="BI675" s="63"/>
      <c r="BJ675" s="63"/>
      <c r="BK675" s="63"/>
      <c r="BL675" s="63"/>
      <c r="BM675" s="63"/>
    </row>
    <row r="676" spans="1:65">
      <c r="A676" s="54" t="str">
        <f>VLOOKUP(Table3[[#This Row],[OU]],OU!$A$15:$B$34,2,FALSE)</f>
        <v>RFOs</v>
      </c>
      <c r="B676" s="60" t="s">
        <v>436</v>
      </c>
      <c r="C676" s="60" t="s">
        <v>574</v>
      </c>
      <c r="D676" s="60"/>
      <c r="E676" s="60" t="s">
        <v>22</v>
      </c>
      <c r="F676" s="60"/>
      <c r="G67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676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676" s="61" t="e">
        <f>VLOOKUP(Table3[[#This Row],[PSGC]],DISTRICT!$D:$G,4,FALSE)</f>
        <v>#N/A</v>
      </c>
      <c r="J676" s="60" t="s">
        <v>578</v>
      </c>
      <c r="K676" s="51" t="str">
        <f>VLOOKUP(Table3[[#This Row],[SPECIFIC COMMODITY]],TAGS!$W$48:$X$53,2,FALSE)</f>
        <v>Corn</v>
      </c>
      <c r="L676" s="51" t="str">
        <f>VLOOKUP(Table3[[#This Row],[PREXC SUB-PROGRAM]],Table5[],2,FALSE)</f>
        <v>AGRICULTURAL  MACHINERY, EQUIPMENT, FACILITIES AND INFRASTRUCTURE PROGRAM</v>
      </c>
      <c r="M676" s="51" t="str">
        <f>VLOOKUP(Table3[[#This Row],[COMMODITY PREXC SUB-PROGRAM]],TAGS!$U$54:$V$76,2,FALSE)</f>
        <v>INS</v>
      </c>
      <c r="N676" s="60" t="s">
        <v>596</v>
      </c>
      <c r="O676" s="54" t="str">
        <f>VLOOKUP(Table3[[#This Row],[PI LEVEL 3]],'PI LEVEL'!A:C,3,FALSE)</f>
        <v>Service area generated from the establishment and installation of small-scale irrigation projects</v>
      </c>
      <c r="P676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676" s="54" t="str">
        <f>VLOOKUP(Table3[[#This Row],[ACTIVITY]],TAGS!B:P,2,FALSE)</f>
        <v>Service area generated from distribution of Pump and engine set</v>
      </c>
      <c r="R676" s="60" t="s">
        <v>214</v>
      </c>
      <c r="S676" s="54" t="str">
        <f>VLOOKUP(Table3[[#This Row],[ACTIVITY]],TAGS!$B:$P,4,FALSE)</f>
        <v>Service area generated</v>
      </c>
      <c r="T676" s="54" t="str">
        <f>VLOOKUP(Table3[[#This Row],[ACTIVITY]],TAGS!$B:$P,5,FALSE)</f>
        <v>Service area generated</v>
      </c>
      <c r="U676" s="54" t="str">
        <f>VLOOKUP(Table3[[#This Row],[ACTIVITY]],TAGS!$B:$P,6,FALSE)</f>
        <v>Service area generated</v>
      </c>
      <c r="V676" s="54" t="str">
        <f>VLOOKUP(Table3[[#This Row],[ACTIVITY]],TAGS!$B:$P,7,FALSE)</f>
        <v>NO</v>
      </c>
      <c r="W676" s="54" t="str">
        <f>VLOOKUP(Table3[[#This Row],[ACTIVITY]],TAGS!$B:$P,8,FALSE)</f>
        <v>PAP</v>
      </c>
      <c r="X676" s="54" t="str">
        <f>VLOOKUP(Table3[[#This Row],[ACTIVITY]],TAGS!$B:$P,10,FALSE)</f>
        <v>PIP</v>
      </c>
      <c r="Y676" s="54" t="str">
        <f>VLOOKUP(Table3[[#This Row],[ACTIVITY]],TAGS!$B:$P,11,FALSE)</f>
        <v>PICS</v>
      </c>
      <c r="Z676" s="54">
        <f>VLOOKUP(Table3[[#This Row],[ACTIVITY]],TAGS!$B:$P,12,FALSE)</f>
        <v>0</v>
      </c>
      <c r="AA676" s="54">
        <f>VLOOKUP(Table3[[#This Row],[ACTIVITY]],TAGS!$B:$P,13,FALSE)</f>
        <v>0</v>
      </c>
      <c r="AB676" s="54">
        <f>VLOOKUP(Table3[[#This Row],[ACTIVITY]],TAGS!$B:$P,14,FALSE)</f>
        <v>0</v>
      </c>
      <c r="AC676" s="54">
        <f>VLOOKUP(Table3[[#This Row],[ACTIVITY]],TAGS!$B:$P,15,FALSE)</f>
        <v>0</v>
      </c>
      <c r="AD676" s="54" t="str">
        <f>VLOOKUP(Table3[[#This Row],[PI LEVEL 3]],'PI LEVEL'!$A:$G,7,FALSE)</f>
        <v>PREXC/DA-Level Output</v>
      </c>
      <c r="AE676" s="60"/>
      <c r="AF676" s="54" t="str">
        <f>VLOOKUP(Table3[[#This Row],[ACTIVITY]],TAGS!$B:$P,3,FALSE)</f>
        <v>hectare</v>
      </c>
      <c r="AG676" s="60"/>
      <c r="AH676" s="54" t="e">
        <f>VLOOKUP(Table3[[#This Row],[MONTH]],TAGS!$W$67:$Y$81,2,FALSE)</f>
        <v>#N/A</v>
      </c>
      <c r="AI676" s="54" t="e">
        <f>VLOOKUP(Table3[[#This Row],[MONTH]],TAGS!$W$67:$Y$81,3,FALSE)</f>
        <v>#N/A</v>
      </c>
      <c r="AJ676" s="54" t="e">
        <f>VLOOKUP(Table3[[#This Row],[MONTH]],TAGS!$W$67:$Z$81,4,FALSE)</f>
        <v>#N/A</v>
      </c>
      <c r="AK676" s="60">
        <v>300</v>
      </c>
      <c r="AL676" s="54" t="str">
        <f>VLOOKUP(Table3[[#This Row],[ACTIVITY]],TAGS!$B:$R,16,FALSE)</f>
        <v>NO</v>
      </c>
      <c r="AM676" s="60">
        <f>Table3[[#This Row],[TARGET]]/20</f>
        <v>15</v>
      </c>
      <c r="AN676" s="60"/>
      <c r="AO676" s="57"/>
      <c r="AP676" s="62"/>
      <c r="AQ676" s="62"/>
      <c r="AR676" s="62"/>
      <c r="AS676" s="62"/>
      <c r="AT676" s="63" t="str">
        <f>VLOOKUP(Table3[[#This Row],[ACTIVITY]],TAGS!$B:$R,17,FALSE)</f>
        <v>NO</v>
      </c>
      <c r="AU676" s="63"/>
      <c r="AV676" s="63"/>
      <c r="AW676" s="63"/>
      <c r="AX676" s="63"/>
      <c r="AY676" s="63"/>
      <c r="AZ676" s="63"/>
      <c r="BA676" s="63"/>
      <c r="BB676" s="63"/>
      <c r="BC676" s="63"/>
      <c r="BD676" s="63"/>
      <c r="BE676" s="63"/>
      <c r="BF676" s="63"/>
      <c r="BG676" s="63"/>
      <c r="BH676" s="63"/>
      <c r="BI676" s="63"/>
      <c r="BJ676" s="63"/>
      <c r="BK676" s="63"/>
      <c r="BL676" s="63"/>
      <c r="BM676" s="63"/>
    </row>
    <row r="677" spans="1:65">
      <c r="A677" s="54" t="str">
        <f>VLOOKUP(Table3[[#This Row],[OU]],OU!$A$15:$B$34,2,FALSE)</f>
        <v>RFOs</v>
      </c>
      <c r="B677" s="60" t="s">
        <v>436</v>
      </c>
      <c r="C677" s="60" t="s">
        <v>574</v>
      </c>
      <c r="D677" s="60"/>
      <c r="E677" s="60" t="s">
        <v>43</v>
      </c>
      <c r="F677" s="60"/>
      <c r="G67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677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677" s="61" t="e">
        <f>VLOOKUP(Table3[[#This Row],[PSGC]],DISTRICT!$D:$G,4,FALSE)</f>
        <v>#N/A</v>
      </c>
      <c r="J677" s="60" t="s">
        <v>578</v>
      </c>
      <c r="K677" s="51" t="str">
        <f>VLOOKUP(Table3[[#This Row],[SPECIFIC COMMODITY]],TAGS!$W$48:$X$53,2,FALSE)</f>
        <v>Corn</v>
      </c>
      <c r="L677" s="51" t="str">
        <f>VLOOKUP(Table3[[#This Row],[PREXC SUB-PROGRAM]],Table5[],2,FALSE)</f>
        <v>AGRICULTURAL  MACHINERY, EQUIPMENT, FACILITIES AND INFRASTRUCTURE PROGRAM</v>
      </c>
      <c r="M677" s="51" t="str">
        <f>VLOOKUP(Table3[[#This Row],[COMMODITY PREXC SUB-PROGRAM]],TAGS!$U$54:$V$76,2,FALSE)</f>
        <v>INS</v>
      </c>
      <c r="N677" s="60" t="s">
        <v>596</v>
      </c>
      <c r="O677" s="54" t="str">
        <f>VLOOKUP(Table3[[#This Row],[PI LEVEL 3]],'PI LEVEL'!A:C,3,FALSE)</f>
        <v>Service area generated from the establishment and installation of small-scale irrigation projects</v>
      </c>
      <c r="P677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677" s="54" t="str">
        <f>VLOOKUP(Table3[[#This Row],[ACTIVITY]],TAGS!B:P,2,FALSE)</f>
        <v>Service area generated from distribution of Pump and engine set</v>
      </c>
      <c r="R677" s="60" t="s">
        <v>214</v>
      </c>
      <c r="S677" s="54" t="str">
        <f>VLOOKUP(Table3[[#This Row],[ACTIVITY]],TAGS!$B:$P,4,FALSE)</f>
        <v>Service area generated</v>
      </c>
      <c r="T677" s="54" t="str">
        <f>VLOOKUP(Table3[[#This Row],[ACTIVITY]],TAGS!$B:$P,5,FALSE)</f>
        <v>Service area generated</v>
      </c>
      <c r="U677" s="54" t="str">
        <f>VLOOKUP(Table3[[#This Row],[ACTIVITY]],TAGS!$B:$P,6,FALSE)</f>
        <v>Service area generated</v>
      </c>
      <c r="V677" s="54" t="str">
        <f>VLOOKUP(Table3[[#This Row],[ACTIVITY]],TAGS!$B:$P,7,FALSE)</f>
        <v>NO</v>
      </c>
      <c r="W677" s="54" t="str">
        <f>VLOOKUP(Table3[[#This Row],[ACTIVITY]],TAGS!$B:$P,8,FALSE)</f>
        <v>PAP</v>
      </c>
      <c r="X677" s="54" t="str">
        <f>VLOOKUP(Table3[[#This Row],[ACTIVITY]],TAGS!$B:$P,10,FALSE)</f>
        <v>PIP</v>
      </c>
      <c r="Y677" s="54" t="str">
        <f>VLOOKUP(Table3[[#This Row],[ACTIVITY]],TAGS!$B:$P,11,FALSE)</f>
        <v>PICS</v>
      </c>
      <c r="Z677" s="54">
        <f>VLOOKUP(Table3[[#This Row],[ACTIVITY]],TAGS!$B:$P,12,FALSE)</f>
        <v>0</v>
      </c>
      <c r="AA677" s="54">
        <f>VLOOKUP(Table3[[#This Row],[ACTIVITY]],TAGS!$B:$P,13,FALSE)</f>
        <v>0</v>
      </c>
      <c r="AB677" s="54">
        <f>VLOOKUP(Table3[[#This Row],[ACTIVITY]],TAGS!$B:$P,14,FALSE)</f>
        <v>0</v>
      </c>
      <c r="AC677" s="54">
        <f>VLOOKUP(Table3[[#This Row],[ACTIVITY]],TAGS!$B:$P,15,FALSE)</f>
        <v>0</v>
      </c>
      <c r="AD677" s="54" t="str">
        <f>VLOOKUP(Table3[[#This Row],[PI LEVEL 3]],'PI LEVEL'!$A:$G,7,FALSE)</f>
        <v>PREXC/DA-Level Output</v>
      </c>
      <c r="AE677" s="60"/>
      <c r="AF677" s="54" t="str">
        <f>VLOOKUP(Table3[[#This Row],[ACTIVITY]],TAGS!$B:$P,3,FALSE)</f>
        <v>hectare</v>
      </c>
      <c r="AG677" s="60"/>
      <c r="AH677" s="54" t="e">
        <f>VLOOKUP(Table3[[#This Row],[MONTH]],TAGS!$W$67:$Y$81,2,FALSE)</f>
        <v>#N/A</v>
      </c>
      <c r="AI677" s="54" t="e">
        <f>VLOOKUP(Table3[[#This Row],[MONTH]],TAGS!$W$67:$Y$81,3,FALSE)</f>
        <v>#N/A</v>
      </c>
      <c r="AJ677" s="54" t="e">
        <f>VLOOKUP(Table3[[#This Row],[MONTH]],TAGS!$W$67:$Z$81,4,FALSE)</f>
        <v>#N/A</v>
      </c>
      <c r="AK677" s="60">
        <v>360</v>
      </c>
      <c r="AL677" s="54" t="str">
        <f>VLOOKUP(Table3[[#This Row],[ACTIVITY]],TAGS!$B:$R,16,FALSE)</f>
        <v>NO</v>
      </c>
      <c r="AM677" s="60">
        <f>Table3[[#This Row],[TARGET]]/20</f>
        <v>18</v>
      </c>
      <c r="AN677" s="60"/>
      <c r="AO677" s="57"/>
      <c r="AP677" s="62"/>
      <c r="AQ677" s="62"/>
      <c r="AR677" s="62"/>
      <c r="AS677" s="62"/>
      <c r="AT677" s="63" t="str">
        <f>VLOOKUP(Table3[[#This Row],[ACTIVITY]],TAGS!$B:$R,17,FALSE)</f>
        <v>NO</v>
      </c>
      <c r="AU677" s="63"/>
      <c r="AV677" s="63"/>
      <c r="AW677" s="63"/>
      <c r="AX677" s="63"/>
      <c r="AY677" s="63"/>
      <c r="AZ677" s="63"/>
      <c r="BA677" s="63"/>
      <c r="BB677" s="63"/>
      <c r="BC677" s="63"/>
      <c r="BD677" s="63"/>
      <c r="BE677" s="63"/>
      <c r="BF677" s="63"/>
      <c r="BG677" s="63"/>
      <c r="BH677" s="63"/>
      <c r="BI677" s="63"/>
      <c r="BJ677" s="63"/>
      <c r="BK677" s="63"/>
      <c r="BL677" s="63"/>
      <c r="BM677" s="63"/>
    </row>
    <row r="678" spans="1:65">
      <c r="A678" s="54" t="str">
        <f>VLOOKUP(Table3[[#This Row],[OU]],OU!$A$15:$B$34,2,FALSE)</f>
        <v>RFOs</v>
      </c>
      <c r="B678" s="60" t="s">
        <v>436</v>
      </c>
      <c r="C678" s="60" t="s">
        <v>574</v>
      </c>
      <c r="D678" s="60"/>
      <c r="E678" s="60" t="s">
        <v>70</v>
      </c>
      <c r="F678" s="60"/>
      <c r="G67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</v>
      </c>
      <c r="H678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Quirino</v>
      </c>
      <c r="I678" s="61" t="e">
        <f>VLOOKUP(Table3[[#This Row],[PSGC]],DISTRICT!$D:$G,4,FALSE)</f>
        <v>#N/A</v>
      </c>
      <c r="J678" s="60" t="s">
        <v>578</v>
      </c>
      <c r="K678" s="51" t="str">
        <f>VLOOKUP(Table3[[#This Row],[SPECIFIC COMMODITY]],TAGS!$W$48:$X$53,2,FALSE)</f>
        <v>Corn</v>
      </c>
      <c r="L678" s="51" t="str">
        <f>VLOOKUP(Table3[[#This Row],[PREXC SUB-PROGRAM]],Table5[],2,FALSE)</f>
        <v>AGRICULTURAL  MACHINERY, EQUIPMENT, FACILITIES AND INFRASTRUCTURE PROGRAM</v>
      </c>
      <c r="M678" s="51" t="str">
        <f>VLOOKUP(Table3[[#This Row],[COMMODITY PREXC SUB-PROGRAM]],TAGS!$U$54:$V$76,2,FALSE)</f>
        <v>INS</v>
      </c>
      <c r="N678" s="60" t="s">
        <v>596</v>
      </c>
      <c r="O678" s="54" t="str">
        <f>VLOOKUP(Table3[[#This Row],[PI LEVEL 3]],'PI LEVEL'!A:C,3,FALSE)</f>
        <v>Service area generated from the establishment and installation of small-scale irrigation projects</v>
      </c>
      <c r="P678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678" s="54" t="str">
        <f>VLOOKUP(Table3[[#This Row],[ACTIVITY]],TAGS!B:P,2,FALSE)</f>
        <v>Service area generated from distribution of Pump and engine set</v>
      </c>
      <c r="R678" s="60" t="s">
        <v>214</v>
      </c>
      <c r="S678" s="54" t="str">
        <f>VLOOKUP(Table3[[#This Row],[ACTIVITY]],TAGS!$B:$P,4,FALSE)</f>
        <v>Service area generated</v>
      </c>
      <c r="T678" s="54" t="str">
        <f>VLOOKUP(Table3[[#This Row],[ACTIVITY]],TAGS!$B:$P,5,FALSE)</f>
        <v>Service area generated</v>
      </c>
      <c r="U678" s="54" t="str">
        <f>VLOOKUP(Table3[[#This Row],[ACTIVITY]],TAGS!$B:$P,6,FALSE)</f>
        <v>Service area generated</v>
      </c>
      <c r="V678" s="54" t="str">
        <f>VLOOKUP(Table3[[#This Row],[ACTIVITY]],TAGS!$B:$P,7,FALSE)</f>
        <v>NO</v>
      </c>
      <c r="W678" s="54" t="str">
        <f>VLOOKUP(Table3[[#This Row],[ACTIVITY]],TAGS!$B:$P,8,FALSE)</f>
        <v>PAP</v>
      </c>
      <c r="X678" s="54" t="str">
        <f>VLOOKUP(Table3[[#This Row],[ACTIVITY]],TAGS!$B:$P,10,FALSE)</f>
        <v>PIP</v>
      </c>
      <c r="Y678" s="54" t="str">
        <f>VLOOKUP(Table3[[#This Row],[ACTIVITY]],TAGS!$B:$P,11,FALSE)</f>
        <v>PICS</v>
      </c>
      <c r="Z678" s="54">
        <f>VLOOKUP(Table3[[#This Row],[ACTIVITY]],TAGS!$B:$P,12,FALSE)</f>
        <v>0</v>
      </c>
      <c r="AA678" s="54">
        <f>VLOOKUP(Table3[[#This Row],[ACTIVITY]],TAGS!$B:$P,13,FALSE)</f>
        <v>0</v>
      </c>
      <c r="AB678" s="54">
        <f>VLOOKUP(Table3[[#This Row],[ACTIVITY]],TAGS!$B:$P,14,FALSE)</f>
        <v>0</v>
      </c>
      <c r="AC678" s="54">
        <f>VLOOKUP(Table3[[#This Row],[ACTIVITY]],TAGS!$B:$P,15,FALSE)</f>
        <v>0</v>
      </c>
      <c r="AD678" s="54" t="str">
        <f>VLOOKUP(Table3[[#This Row],[PI LEVEL 3]],'PI LEVEL'!$A:$G,7,FALSE)</f>
        <v>PREXC/DA-Level Output</v>
      </c>
      <c r="AE678" s="60"/>
      <c r="AF678" s="54" t="str">
        <f>VLOOKUP(Table3[[#This Row],[ACTIVITY]],TAGS!$B:$P,3,FALSE)</f>
        <v>hectare</v>
      </c>
      <c r="AG678" s="60"/>
      <c r="AH678" s="54" t="e">
        <f>VLOOKUP(Table3[[#This Row],[MONTH]],TAGS!$W$67:$Y$81,2,FALSE)</f>
        <v>#N/A</v>
      </c>
      <c r="AI678" s="54" t="e">
        <f>VLOOKUP(Table3[[#This Row],[MONTH]],TAGS!$W$67:$Y$81,3,FALSE)</f>
        <v>#N/A</v>
      </c>
      <c r="AJ678" s="54" t="e">
        <f>VLOOKUP(Table3[[#This Row],[MONTH]],TAGS!$W$67:$Z$81,4,FALSE)</f>
        <v>#N/A</v>
      </c>
      <c r="AK678" s="60">
        <v>90</v>
      </c>
      <c r="AL678" s="54" t="str">
        <f>VLOOKUP(Table3[[#This Row],[ACTIVITY]],TAGS!$B:$R,16,FALSE)</f>
        <v>NO</v>
      </c>
      <c r="AM678" s="60">
        <f>Table3[[#This Row],[TARGET]]/20</f>
        <v>4.5</v>
      </c>
      <c r="AN678" s="60"/>
      <c r="AO678" s="57"/>
      <c r="AP678" s="62"/>
      <c r="AQ678" s="62"/>
      <c r="AR678" s="62"/>
      <c r="AS678" s="62"/>
      <c r="AT678" s="63" t="str">
        <f>VLOOKUP(Table3[[#This Row],[ACTIVITY]],TAGS!$B:$R,17,FALSE)</f>
        <v>NO</v>
      </c>
      <c r="AU678" s="63"/>
      <c r="AV678" s="63"/>
      <c r="AW678" s="63"/>
      <c r="AX678" s="63"/>
      <c r="AY678" s="63"/>
      <c r="AZ678" s="63"/>
      <c r="BA678" s="63"/>
      <c r="BB678" s="63"/>
      <c r="BC678" s="63"/>
      <c r="BD678" s="63"/>
      <c r="BE678" s="63"/>
      <c r="BF678" s="63"/>
      <c r="BG678" s="63"/>
      <c r="BH678" s="63"/>
      <c r="BI678" s="63"/>
      <c r="BJ678" s="63"/>
      <c r="BK678" s="63"/>
      <c r="BL678" s="63"/>
      <c r="BM678" s="63"/>
    </row>
    <row r="679" spans="1:65">
      <c r="A679" s="54" t="str">
        <f>VLOOKUP(Table3[[#This Row],[OU]],OU!$A$15:$B$34,2,FALSE)</f>
        <v>RFOs</v>
      </c>
      <c r="B679" s="60" t="s">
        <v>436</v>
      </c>
      <c r="C679" s="60" t="s">
        <v>574</v>
      </c>
      <c r="D679" s="60"/>
      <c r="E679" s="60" t="s">
        <v>22</v>
      </c>
      <c r="F679" s="60"/>
      <c r="G67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Cagayan</v>
      </c>
      <c r="H679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Cagayan</v>
      </c>
      <c r="I679" s="61" t="e">
        <f>VLOOKUP(Table3[[#This Row],[PSGC]],DISTRICT!$D:$G,4,FALSE)</f>
        <v>#N/A</v>
      </c>
      <c r="J679" s="60" t="s">
        <v>578</v>
      </c>
      <c r="K679" s="51" t="str">
        <f>VLOOKUP(Table3[[#This Row],[SPECIFIC COMMODITY]],TAGS!$W$48:$X$53,2,FALSE)</f>
        <v>Corn</v>
      </c>
      <c r="L679" s="51" t="str">
        <f>VLOOKUP(Table3[[#This Row],[PREXC SUB-PROGRAM]],Table5[],2,FALSE)</f>
        <v>AGRICULTURAL  MACHINERY, EQUIPMENT, FACILITIES AND INFRASTRUCTURE PROGRAM</v>
      </c>
      <c r="M679" s="51" t="str">
        <f>VLOOKUP(Table3[[#This Row],[COMMODITY PREXC SUB-PROGRAM]],TAGS!$U$54:$V$76,2,FALSE)</f>
        <v>INS</v>
      </c>
      <c r="N679" s="60" t="s">
        <v>596</v>
      </c>
      <c r="O679" s="54" t="str">
        <f>VLOOKUP(Table3[[#This Row],[PI LEVEL 3]],'PI LEVEL'!A:C,3,FALSE)</f>
        <v>Service area generated from the establishment and installation of small-scale irrigation projects</v>
      </c>
      <c r="P679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679" s="54" t="str">
        <f>VLOOKUP(Table3[[#This Row],[ACTIVITY]],TAGS!B:P,2,FALSE)</f>
        <v>Service area generated from construction of Solar-powered irrigation system (SPIS)</v>
      </c>
      <c r="R679" s="60" t="s">
        <v>216</v>
      </c>
      <c r="S679" s="54" t="str">
        <f>VLOOKUP(Table3[[#This Row],[ACTIVITY]],TAGS!$B:$P,4,FALSE)</f>
        <v>Service area generated</v>
      </c>
      <c r="T679" s="54" t="str">
        <f>VLOOKUP(Table3[[#This Row],[ACTIVITY]],TAGS!$B:$P,5,FALSE)</f>
        <v>Service area generated</v>
      </c>
      <c r="U679" s="54" t="str">
        <f>VLOOKUP(Table3[[#This Row],[ACTIVITY]],TAGS!$B:$P,6,FALSE)</f>
        <v>Service area generated</v>
      </c>
      <c r="V679" s="54" t="str">
        <f>VLOOKUP(Table3[[#This Row],[ACTIVITY]],TAGS!$B:$P,7,FALSE)</f>
        <v>NO</v>
      </c>
      <c r="W679" s="54" t="str">
        <f>VLOOKUP(Table3[[#This Row],[ACTIVITY]],TAGS!$B:$P,8,FALSE)</f>
        <v>PAP</v>
      </c>
      <c r="X679" s="54" t="str">
        <f>VLOOKUP(Table3[[#This Row],[ACTIVITY]],TAGS!$B:$P,10,FALSE)</f>
        <v>PIP</v>
      </c>
      <c r="Y679" s="54" t="str">
        <f>VLOOKUP(Table3[[#This Row],[ACTIVITY]],TAGS!$B:$P,11,FALSE)</f>
        <v>PICS</v>
      </c>
      <c r="Z679" s="54">
        <f>VLOOKUP(Table3[[#This Row],[ACTIVITY]],TAGS!$B:$P,12,FALSE)</f>
        <v>0</v>
      </c>
      <c r="AA679" s="54">
        <f>VLOOKUP(Table3[[#This Row],[ACTIVITY]],TAGS!$B:$P,13,FALSE)</f>
        <v>0</v>
      </c>
      <c r="AB679" s="54">
        <f>VLOOKUP(Table3[[#This Row],[ACTIVITY]],TAGS!$B:$P,14,FALSE)</f>
        <v>0</v>
      </c>
      <c r="AC679" s="54">
        <f>VLOOKUP(Table3[[#This Row],[ACTIVITY]],TAGS!$B:$P,15,FALSE)</f>
        <v>0</v>
      </c>
      <c r="AD679" s="54" t="str">
        <f>VLOOKUP(Table3[[#This Row],[PI LEVEL 3]],'PI LEVEL'!$A:$G,7,FALSE)</f>
        <v>PREXC/DA-Level Output</v>
      </c>
      <c r="AE679" s="60"/>
      <c r="AF679" s="54" t="str">
        <f>VLOOKUP(Table3[[#This Row],[ACTIVITY]],TAGS!$B:$P,3,FALSE)</f>
        <v>hectare</v>
      </c>
      <c r="AG679" s="60"/>
      <c r="AH679" s="54" t="e">
        <f>VLOOKUP(Table3[[#This Row],[MONTH]],TAGS!$W$67:$Y$81,2,FALSE)</f>
        <v>#N/A</v>
      </c>
      <c r="AI679" s="54" t="e">
        <f>VLOOKUP(Table3[[#This Row],[MONTH]],TAGS!$W$67:$Y$81,3,FALSE)</f>
        <v>#N/A</v>
      </c>
      <c r="AJ679" s="54" t="e">
        <f>VLOOKUP(Table3[[#This Row],[MONTH]],TAGS!$W$67:$Z$81,4,FALSE)</f>
        <v>#N/A</v>
      </c>
      <c r="AK679" s="60">
        <v>4</v>
      </c>
      <c r="AL679" s="54" t="str">
        <f>VLOOKUP(Table3[[#This Row],[ACTIVITY]],TAGS!$B:$R,16,FALSE)</f>
        <v>NO</v>
      </c>
      <c r="AM679" s="60">
        <f>Table3[[#This Row],[TARGET]]/20</f>
        <v>0.2</v>
      </c>
      <c r="AN679" s="60"/>
      <c r="AO679" s="57"/>
      <c r="AP679" s="62"/>
      <c r="AQ679" s="62"/>
      <c r="AR679" s="62"/>
      <c r="AS679" s="62"/>
      <c r="AT679" s="63" t="str">
        <f>VLOOKUP(Table3[[#This Row],[ACTIVITY]],TAGS!$B:$R,17,FALSE)</f>
        <v>NO</v>
      </c>
      <c r="AU679" s="63"/>
      <c r="AV679" s="63"/>
      <c r="AW679" s="63"/>
      <c r="AX679" s="63"/>
      <c r="AY679" s="63"/>
      <c r="AZ679" s="63"/>
      <c r="BA679" s="63"/>
      <c r="BB679" s="63"/>
      <c r="BC679" s="63"/>
      <c r="BD679" s="63"/>
      <c r="BE679" s="63"/>
      <c r="BF679" s="63"/>
      <c r="BG679" s="63"/>
      <c r="BH679" s="63"/>
      <c r="BI679" s="63"/>
      <c r="BJ679" s="63"/>
      <c r="BK679" s="63"/>
      <c r="BL679" s="63"/>
      <c r="BM679" s="63"/>
    </row>
    <row r="680" spans="1:65">
      <c r="A680" s="54" t="str">
        <f>VLOOKUP(Table3[[#This Row],[OU]],OU!$A$15:$B$34,2,FALSE)</f>
        <v>RFOs</v>
      </c>
      <c r="B680" s="60" t="s">
        <v>436</v>
      </c>
      <c r="C680" s="60" t="s">
        <v>574</v>
      </c>
      <c r="D680" s="60"/>
      <c r="E680" s="60" t="s">
        <v>43</v>
      </c>
      <c r="F680" s="60"/>
      <c r="G68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Isabela</v>
      </c>
      <c r="H680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Isabela</v>
      </c>
      <c r="I680" s="61" t="e">
        <f>VLOOKUP(Table3[[#This Row],[PSGC]],DISTRICT!$D:$G,4,FALSE)</f>
        <v>#N/A</v>
      </c>
      <c r="J680" s="60" t="s">
        <v>578</v>
      </c>
      <c r="K680" s="51" t="str">
        <f>VLOOKUP(Table3[[#This Row],[SPECIFIC COMMODITY]],TAGS!$W$48:$X$53,2,FALSE)</f>
        <v>Corn</v>
      </c>
      <c r="L680" s="51" t="str">
        <f>VLOOKUP(Table3[[#This Row],[PREXC SUB-PROGRAM]],Table5[],2,FALSE)</f>
        <v>AGRICULTURAL  MACHINERY, EQUIPMENT, FACILITIES AND INFRASTRUCTURE PROGRAM</v>
      </c>
      <c r="M680" s="51" t="str">
        <f>VLOOKUP(Table3[[#This Row],[COMMODITY PREXC SUB-PROGRAM]],TAGS!$U$54:$V$76,2,FALSE)</f>
        <v>INS</v>
      </c>
      <c r="N680" s="60" t="s">
        <v>596</v>
      </c>
      <c r="O680" s="54" t="str">
        <f>VLOOKUP(Table3[[#This Row],[PI LEVEL 3]],'PI LEVEL'!A:C,3,FALSE)</f>
        <v>Service area generated from the establishment and installation of small-scale irrigation projects</v>
      </c>
      <c r="P680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680" s="54" t="str">
        <f>VLOOKUP(Table3[[#This Row],[ACTIVITY]],TAGS!B:P,2,FALSE)</f>
        <v>Service area generated from construction of Solar-powered irrigation system (SPIS)</v>
      </c>
      <c r="R680" s="60" t="s">
        <v>216</v>
      </c>
      <c r="S680" s="54" t="str">
        <f>VLOOKUP(Table3[[#This Row],[ACTIVITY]],TAGS!$B:$P,4,FALSE)</f>
        <v>Service area generated</v>
      </c>
      <c r="T680" s="54" t="str">
        <f>VLOOKUP(Table3[[#This Row],[ACTIVITY]],TAGS!$B:$P,5,FALSE)</f>
        <v>Service area generated</v>
      </c>
      <c r="U680" s="54" t="str">
        <f>VLOOKUP(Table3[[#This Row],[ACTIVITY]],TAGS!$B:$P,6,FALSE)</f>
        <v>Service area generated</v>
      </c>
      <c r="V680" s="54" t="str">
        <f>VLOOKUP(Table3[[#This Row],[ACTIVITY]],TAGS!$B:$P,7,FALSE)</f>
        <v>NO</v>
      </c>
      <c r="W680" s="54" t="str">
        <f>VLOOKUP(Table3[[#This Row],[ACTIVITY]],TAGS!$B:$P,8,FALSE)</f>
        <v>PAP</v>
      </c>
      <c r="X680" s="54" t="str">
        <f>VLOOKUP(Table3[[#This Row],[ACTIVITY]],TAGS!$B:$P,10,FALSE)</f>
        <v>PIP</v>
      </c>
      <c r="Y680" s="54" t="str">
        <f>VLOOKUP(Table3[[#This Row],[ACTIVITY]],TAGS!$B:$P,11,FALSE)</f>
        <v>PICS</v>
      </c>
      <c r="Z680" s="54">
        <f>VLOOKUP(Table3[[#This Row],[ACTIVITY]],TAGS!$B:$P,12,FALSE)</f>
        <v>0</v>
      </c>
      <c r="AA680" s="54">
        <f>VLOOKUP(Table3[[#This Row],[ACTIVITY]],TAGS!$B:$P,13,FALSE)</f>
        <v>0</v>
      </c>
      <c r="AB680" s="54">
        <f>VLOOKUP(Table3[[#This Row],[ACTIVITY]],TAGS!$B:$P,14,FALSE)</f>
        <v>0</v>
      </c>
      <c r="AC680" s="54">
        <f>VLOOKUP(Table3[[#This Row],[ACTIVITY]],TAGS!$B:$P,15,FALSE)</f>
        <v>0</v>
      </c>
      <c r="AD680" s="54" t="str">
        <f>VLOOKUP(Table3[[#This Row],[PI LEVEL 3]],'PI LEVEL'!$A:$G,7,FALSE)</f>
        <v>PREXC/DA-Level Output</v>
      </c>
      <c r="AE680" s="60"/>
      <c r="AF680" s="54" t="str">
        <f>VLOOKUP(Table3[[#This Row],[ACTIVITY]],TAGS!$B:$P,3,FALSE)</f>
        <v>hectare</v>
      </c>
      <c r="AG680" s="60"/>
      <c r="AH680" s="54" t="e">
        <f>VLOOKUP(Table3[[#This Row],[MONTH]],TAGS!$W$67:$Y$81,2,FALSE)</f>
        <v>#N/A</v>
      </c>
      <c r="AI680" s="54" t="e">
        <f>VLOOKUP(Table3[[#This Row],[MONTH]],TAGS!$W$67:$Y$81,3,FALSE)</f>
        <v>#N/A</v>
      </c>
      <c r="AJ680" s="54" t="e">
        <f>VLOOKUP(Table3[[#This Row],[MONTH]],TAGS!$W$67:$Z$81,4,FALSE)</f>
        <v>#N/A</v>
      </c>
      <c r="AK680" s="60">
        <v>4</v>
      </c>
      <c r="AL680" s="54" t="str">
        <f>VLOOKUP(Table3[[#This Row],[ACTIVITY]],TAGS!$B:$R,16,FALSE)</f>
        <v>NO</v>
      </c>
      <c r="AM680" s="60">
        <f>Table3[[#This Row],[TARGET]]/20</f>
        <v>0.2</v>
      </c>
      <c r="AN680" s="60"/>
      <c r="AO680" s="57"/>
      <c r="AP680" s="62"/>
      <c r="AQ680" s="62"/>
      <c r="AR680" s="62"/>
      <c r="AS680" s="62"/>
      <c r="AT680" s="63" t="str">
        <f>VLOOKUP(Table3[[#This Row],[ACTIVITY]],TAGS!$B:$R,17,FALSE)</f>
        <v>NO</v>
      </c>
      <c r="AU680" s="63"/>
      <c r="AV680" s="63"/>
      <c r="AW680" s="63"/>
      <c r="AX680" s="63"/>
      <c r="AY680" s="63"/>
      <c r="AZ680" s="63"/>
      <c r="BA680" s="63"/>
      <c r="BB680" s="63"/>
      <c r="BC680" s="63"/>
      <c r="BD680" s="63"/>
      <c r="BE680" s="63"/>
      <c r="BF680" s="63"/>
      <c r="BG680" s="63"/>
      <c r="BH680" s="63"/>
      <c r="BI680" s="63"/>
      <c r="BJ680" s="63"/>
      <c r="BK680" s="63"/>
      <c r="BL680" s="63"/>
      <c r="BM680" s="63"/>
    </row>
    <row r="681" spans="1:65">
      <c r="A681" s="54" t="str">
        <f>VLOOKUP(Table3[[#This Row],[OU]],OU!$A$15:$B$34,2,FALSE)</f>
        <v>RFOs</v>
      </c>
      <c r="B681" s="60" t="s">
        <v>436</v>
      </c>
      <c r="C681" s="60" t="s">
        <v>574</v>
      </c>
      <c r="D681" s="60"/>
      <c r="E681" s="60" t="s">
        <v>70</v>
      </c>
      <c r="F681" s="60"/>
      <c r="G68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Quirino</v>
      </c>
      <c r="H681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Quirino</v>
      </c>
      <c r="I681" s="61" t="e">
        <f>VLOOKUP(Table3[[#This Row],[PSGC]],DISTRICT!$D:$G,4,FALSE)</f>
        <v>#N/A</v>
      </c>
      <c r="J681" s="60" t="s">
        <v>578</v>
      </c>
      <c r="K681" s="51" t="str">
        <f>VLOOKUP(Table3[[#This Row],[SPECIFIC COMMODITY]],TAGS!$W$48:$X$53,2,FALSE)</f>
        <v>Corn</v>
      </c>
      <c r="L681" s="51" t="str">
        <f>VLOOKUP(Table3[[#This Row],[PREXC SUB-PROGRAM]],Table5[],2,FALSE)</f>
        <v>AGRICULTURAL  MACHINERY, EQUIPMENT, FACILITIES AND INFRASTRUCTURE PROGRAM</v>
      </c>
      <c r="M681" s="51" t="str">
        <f>VLOOKUP(Table3[[#This Row],[COMMODITY PREXC SUB-PROGRAM]],TAGS!$U$54:$V$76,2,FALSE)</f>
        <v>INS</v>
      </c>
      <c r="N681" s="60" t="s">
        <v>596</v>
      </c>
      <c r="O681" s="54" t="str">
        <f>VLOOKUP(Table3[[#This Row],[PI LEVEL 3]],'PI LEVEL'!A:C,3,FALSE)</f>
        <v>Service area generated from the establishment and installation of small-scale irrigation projects</v>
      </c>
      <c r="P681" s="54" t="str">
        <f>VLOOKUP(Table3[[#This Row],[PI LEVEL 3]],Table53729[[Performance Indicator Level 3]:[Performance Indicator Level 1]],2,FALSE)</f>
        <v>Service area generated from the establishment and installation of small-scale irrigation projects</v>
      </c>
      <c r="Q681" s="54" t="str">
        <f>VLOOKUP(Table3[[#This Row],[ACTIVITY]],TAGS!B:P,2,FALSE)</f>
        <v>Service area generated from construction of Solar-powered irrigation system (SPIS)</v>
      </c>
      <c r="R681" s="60" t="s">
        <v>216</v>
      </c>
      <c r="S681" s="54" t="str">
        <f>VLOOKUP(Table3[[#This Row],[ACTIVITY]],TAGS!$B:$P,4,FALSE)</f>
        <v>Service area generated</v>
      </c>
      <c r="T681" s="54" t="str">
        <f>VLOOKUP(Table3[[#This Row],[ACTIVITY]],TAGS!$B:$P,5,FALSE)</f>
        <v>Service area generated</v>
      </c>
      <c r="U681" s="54" t="str">
        <f>VLOOKUP(Table3[[#This Row],[ACTIVITY]],TAGS!$B:$P,6,FALSE)</f>
        <v>Service area generated</v>
      </c>
      <c r="V681" s="54" t="str">
        <f>VLOOKUP(Table3[[#This Row],[ACTIVITY]],TAGS!$B:$P,7,FALSE)</f>
        <v>NO</v>
      </c>
      <c r="W681" s="54" t="str">
        <f>VLOOKUP(Table3[[#This Row],[ACTIVITY]],TAGS!$B:$P,8,FALSE)</f>
        <v>PAP</v>
      </c>
      <c r="X681" s="54" t="str">
        <f>VLOOKUP(Table3[[#This Row],[ACTIVITY]],TAGS!$B:$P,10,FALSE)</f>
        <v>PIP</v>
      </c>
      <c r="Y681" s="54" t="str">
        <f>VLOOKUP(Table3[[#This Row],[ACTIVITY]],TAGS!$B:$P,11,FALSE)</f>
        <v>PICS</v>
      </c>
      <c r="Z681" s="54">
        <f>VLOOKUP(Table3[[#This Row],[ACTIVITY]],TAGS!$B:$P,12,FALSE)</f>
        <v>0</v>
      </c>
      <c r="AA681" s="54">
        <f>VLOOKUP(Table3[[#This Row],[ACTIVITY]],TAGS!$B:$P,13,FALSE)</f>
        <v>0</v>
      </c>
      <c r="AB681" s="54">
        <f>VLOOKUP(Table3[[#This Row],[ACTIVITY]],TAGS!$B:$P,14,FALSE)</f>
        <v>0</v>
      </c>
      <c r="AC681" s="54">
        <f>VLOOKUP(Table3[[#This Row],[ACTIVITY]],TAGS!$B:$P,15,FALSE)</f>
        <v>0</v>
      </c>
      <c r="AD681" s="54" t="str">
        <f>VLOOKUP(Table3[[#This Row],[PI LEVEL 3]],'PI LEVEL'!$A:$G,7,FALSE)</f>
        <v>PREXC/DA-Level Output</v>
      </c>
      <c r="AE681" s="60"/>
      <c r="AF681" s="54" t="str">
        <f>VLOOKUP(Table3[[#This Row],[ACTIVITY]],TAGS!$B:$P,3,FALSE)</f>
        <v>hectare</v>
      </c>
      <c r="AG681" s="60"/>
      <c r="AH681" s="54" t="e">
        <f>VLOOKUP(Table3[[#This Row],[MONTH]],TAGS!$W$67:$Y$81,2,FALSE)</f>
        <v>#N/A</v>
      </c>
      <c r="AI681" s="54" t="e">
        <f>VLOOKUP(Table3[[#This Row],[MONTH]],TAGS!$W$67:$Y$81,3,FALSE)</f>
        <v>#N/A</v>
      </c>
      <c r="AJ681" s="54" t="e">
        <f>VLOOKUP(Table3[[#This Row],[MONTH]],TAGS!$W$67:$Z$81,4,FALSE)</f>
        <v>#N/A</v>
      </c>
      <c r="AK681" s="60">
        <v>2</v>
      </c>
      <c r="AL681" s="54" t="str">
        <f>VLOOKUP(Table3[[#This Row],[ACTIVITY]],TAGS!$B:$R,16,FALSE)</f>
        <v>NO</v>
      </c>
      <c r="AM681" s="60">
        <f>Table3[[#This Row],[TARGET]]/20</f>
        <v>0.1</v>
      </c>
      <c r="AN681" s="60"/>
      <c r="AO681" s="57"/>
      <c r="AP681" s="62"/>
      <c r="AQ681" s="62"/>
      <c r="AR681" s="62"/>
      <c r="AS681" s="62"/>
      <c r="AT681" s="63" t="str">
        <f>VLOOKUP(Table3[[#This Row],[ACTIVITY]],TAGS!$B:$R,17,FALSE)</f>
        <v>NO</v>
      </c>
      <c r="AU681" s="63"/>
      <c r="AV681" s="63"/>
      <c r="AW681" s="63"/>
      <c r="AX681" s="63"/>
      <c r="AY681" s="63"/>
      <c r="AZ681" s="63"/>
      <c r="BA681" s="63"/>
      <c r="BB681" s="63"/>
      <c r="BC681" s="63"/>
      <c r="BD681" s="63"/>
      <c r="BE681" s="63"/>
      <c r="BF681" s="63"/>
      <c r="BG681" s="63"/>
      <c r="BH681" s="63"/>
      <c r="BI681" s="63"/>
      <c r="BJ681" s="63"/>
      <c r="BK681" s="63"/>
      <c r="BL681" s="63"/>
      <c r="BM681" s="63"/>
    </row>
    <row r="682" spans="1:65">
      <c r="A682" s="54" t="str">
        <f>VLOOKUP(Table3[[#This Row],[OU]],OU!$A$15:$B$34,2,FALSE)</f>
        <v>RFOs</v>
      </c>
      <c r="B682" s="60" t="s">
        <v>436</v>
      </c>
      <c r="C682" s="60" t="s">
        <v>574</v>
      </c>
      <c r="D682" s="60"/>
      <c r="E682" s="60" t="s">
        <v>78</v>
      </c>
      <c r="F682" s="60"/>
      <c r="G68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82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82" s="61" t="e">
        <f>VLOOKUP(Table3[[#This Row],[PSGC]],DISTRICT!$D:$G,4,FALSE)</f>
        <v>#N/A</v>
      </c>
      <c r="J682" s="60" t="s">
        <v>585</v>
      </c>
      <c r="K682" s="51" t="str">
        <f>VLOOKUP(Table3[[#This Row],[SPECIFIC COMMODITY]],TAGS!$W$48:$X$53,2,FALSE)</f>
        <v>Multi_commodity</v>
      </c>
      <c r="L682" s="51" t="str">
        <f>VLOOKUP(Table3[[#This Row],[PREXC SUB-PROGRAM]],Table5[],2,FALSE)</f>
        <v>FIELD PROGRAMS MANAGEMENT ACTIVITIES</v>
      </c>
      <c r="M682" s="51" t="str">
        <f>VLOOKUP(Table3[[#This Row],[COMMODITY PREXC SUB-PROGRAM]],TAGS!$U$54:$V$76,2,FALSE)</f>
        <v>FPMA</v>
      </c>
      <c r="N682" s="60" t="s">
        <v>597</v>
      </c>
      <c r="O682" s="54" t="str">
        <f>VLOOKUP(Table3[[#This Row],[PI LEVEL 3]],'PI LEVEL'!A:C,3,FALSE)</f>
        <v>National/Regional Field Monitoring conducted</v>
      </c>
      <c r="P682" s="54" t="str">
        <f>VLOOKUP(Table3[[#This Row],[PI LEVEL 3]],Table53729[[Performance Indicator Level 3]:[Performance Indicator Level 1]],2,FALSE)</f>
        <v>National/Regional Field Monitoring conducted</v>
      </c>
      <c r="Q682" s="54" t="str">
        <f>VLOOKUP(Table3[[#This Row],[ACTIVITY]],TAGS!B:P,2,FALSE)</f>
        <v>National/Regional Field Monitoring conducted</v>
      </c>
      <c r="R682" s="60" t="s">
        <v>231</v>
      </c>
      <c r="S682" s="54" t="str">
        <f>VLOOKUP(Table3[[#This Row],[ACTIVITY]],TAGS!$B:$P,4,FALSE)</f>
        <v>FPMA</v>
      </c>
      <c r="T682" s="54" t="str">
        <f>VLOOKUP(Table3[[#This Row],[ACTIVITY]],TAGS!$B:$P,5,FALSE)</f>
        <v>FPMA</v>
      </c>
      <c r="U682" s="54" t="str">
        <f>VLOOKUP(Table3[[#This Row],[ACTIVITY]],TAGS!$B:$P,6,FALSE)</f>
        <v>Conduct of Feasibility Studies, Preparation of Detailed Engineering Design and Preparation of Program of Work</v>
      </c>
      <c r="V682" s="54" t="str">
        <f>VLOOKUP(Table3[[#This Row],[ACTIVITY]],TAGS!$B:$P,7,FALSE)</f>
        <v>NO</v>
      </c>
      <c r="W682" s="54" t="str">
        <f>VLOOKUP(Table3[[#This Row],[ACTIVITY]],TAGS!$B:$P,8,FALSE)</f>
        <v>Overhead</v>
      </c>
      <c r="X682" s="54" t="str">
        <f>VLOOKUP(Table3[[#This Row],[ACTIVITY]],TAGS!$B:$P,10,FALSE)</f>
        <v>NON-PIP</v>
      </c>
      <c r="Y682" s="54" t="str">
        <f>VLOOKUP(Table3[[#This Row],[ACTIVITY]],TAGS!$B:$P,11,FALSE)</f>
        <v>NON-PICS</v>
      </c>
      <c r="Z682" s="54">
        <f>VLOOKUP(Table3[[#This Row],[ACTIVITY]],TAGS!$B:$P,12,FALSE)</f>
        <v>0</v>
      </c>
      <c r="AA682" s="54">
        <f>VLOOKUP(Table3[[#This Row],[ACTIVITY]],TAGS!$B:$P,13,FALSE)</f>
        <v>0</v>
      </c>
      <c r="AB682" s="54">
        <f>VLOOKUP(Table3[[#This Row],[ACTIVITY]],TAGS!$B:$P,14,FALSE)</f>
        <v>0</v>
      </c>
      <c r="AC682" s="54" t="str">
        <f>VLOOKUP(Table3[[#This Row],[ACTIVITY]],TAGS!$B:$P,15,FALSE)</f>
        <v>Existing</v>
      </c>
      <c r="AD682" s="54">
        <f>VLOOKUP(Table3[[#This Row],[PI LEVEL 3]],'PI LEVEL'!$A:$G,7,FALSE)</f>
        <v>0</v>
      </c>
      <c r="AE682" s="60"/>
      <c r="AF682" s="54" t="str">
        <f>VLOOKUP(Table3[[#This Row],[ACTIVITY]],TAGS!$B:$P,3,FALSE)</f>
        <v>number</v>
      </c>
      <c r="AG682" s="60"/>
      <c r="AH682" s="54" t="e">
        <f>VLOOKUP(Table3[[#This Row],[MONTH]],TAGS!$W$67:$Y$81,2,FALSE)</f>
        <v>#N/A</v>
      </c>
      <c r="AI682" s="54" t="e">
        <f>VLOOKUP(Table3[[#This Row],[MONTH]],TAGS!$W$67:$Y$81,3,FALSE)</f>
        <v>#N/A</v>
      </c>
      <c r="AJ682" s="54" t="e">
        <f>VLOOKUP(Table3[[#This Row],[MONTH]],TAGS!$W$67:$Z$81,4,FALSE)</f>
        <v>#N/A</v>
      </c>
      <c r="AK682" s="60">
        <v>1</v>
      </c>
      <c r="AL682" s="54" t="str">
        <f>VLOOKUP(Table3[[#This Row],[ACTIVITY]],TAGS!$B:$R,16,FALSE)</f>
        <v>NO</v>
      </c>
      <c r="AM682" s="60">
        <f>Table3[[#This Row],[TARGET]]/20</f>
        <v>0.05</v>
      </c>
      <c r="AN682" s="60">
        <v>500</v>
      </c>
      <c r="AO682" s="57"/>
      <c r="AP682" s="62"/>
      <c r="AQ682" s="62"/>
      <c r="AR682" s="62"/>
      <c r="AS682" s="62"/>
      <c r="AT682" s="63">
        <f>VLOOKUP(Table3[[#This Row],[ACTIVITY]],TAGS!$B:$R,17,FALSE)</f>
        <v>0</v>
      </c>
      <c r="AU682" s="63"/>
      <c r="AV682" s="63"/>
      <c r="AW682" s="63"/>
      <c r="AX682" s="63"/>
      <c r="AY682" s="63"/>
      <c r="AZ682" s="63"/>
      <c r="BA682" s="63"/>
      <c r="BB682" s="63"/>
      <c r="BC682" s="63"/>
      <c r="BD682" s="63"/>
      <c r="BE682" s="63"/>
      <c r="BF682" s="63"/>
      <c r="BG682" s="63"/>
      <c r="BH682" s="63"/>
      <c r="BI682" s="63"/>
      <c r="BJ682" s="63"/>
      <c r="BK682" s="63"/>
      <c r="BL682" s="63"/>
      <c r="BM682" s="63"/>
    </row>
    <row r="683" spans="1:65">
      <c r="A683" s="54" t="str">
        <f>VLOOKUP(Table3[[#This Row],[OU]],OU!$A$15:$B$34,2,FALSE)</f>
        <v>RFOs</v>
      </c>
      <c r="B683" s="60" t="s">
        <v>436</v>
      </c>
      <c r="C683" s="60" t="s">
        <v>574</v>
      </c>
      <c r="D683" s="60"/>
      <c r="E683" s="60" t="s">
        <v>78</v>
      </c>
      <c r="F683" s="60"/>
      <c r="G68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83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83" s="61" t="e">
        <f>VLOOKUP(Table3[[#This Row],[PSGC]],DISTRICT!$D:$G,4,FALSE)</f>
        <v>#N/A</v>
      </c>
      <c r="J683" s="60" t="s">
        <v>585</v>
      </c>
      <c r="K683" s="51" t="str">
        <f>VLOOKUP(Table3[[#This Row],[SPECIFIC COMMODITY]],TAGS!$W$48:$X$53,2,FALSE)</f>
        <v>Multi_commodity</v>
      </c>
      <c r="L683" s="51" t="str">
        <f>VLOOKUP(Table3[[#This Row],[PREXC SUB-PROGRAM]],Table5[],2,FALSE)</f>
        <v>FIELD PROGRAMS MANAGEMENT ACTIVITIES</v>
      </c>
      <c r="M683" s="51" t="str">
        <f>VLOOKUP(Table3[[#This Row],[COMMODITY PREXC SUB-PROGRAM]],TAGS!$U$54:$V$76,2,FALSE)</f>
        <v>FPMA</v>
      </c>
      <c r="N683" s="60" t="s">
        <v>597</v>
      </c>
      <c r="O683" s="54" t="str">
        <f>VLOOKUP(Table3[[#This Row],[PI LEVEL 3]],'PI LEVEL'!A:C,3,FALSE)</f>
        <v>National/Regional Field Monitoring conducted</v>
      </c>
      <c r="P683" s="54" t="str">
        <f>VLOOKUP(Table3[[#This Row],[PI LEVEL 3]],Table53729[[Performance Indicator Level 3]:[Performance Indicator Level 1]],2,FALSE)</f>
        <v>National/Regional Field Monitoring conducted</v>
      </c>
      <c r="Q683" s="54" t="str">
        <f>VLOOKUP(Table3[[#This Row],[ACTIVITY]],TAGS!B:P,2,FALSE)</f>
        <v>National/Regional Field Monitoring conducted</v>
      </c>
      <c r="R683" s="60" t="s">
        <v>233</v>
      </c>
      <c r="S683" s="54" t="str">
        <f>VLOOKUP(Table3[[#This Row],[ACTIVITY]],TAGS!$B:$P,4,FALSE)</f>
        <v>FPMA</v>
      </c>
      <c r="T683" s="54" t="str">
        <f>VLOOKUP(Table3[[#This Row],[ACTIVITY]],TAGS!$B:$P,5,FALSE)</f>
        <v>FPMA</v>
      </c>
      <c r="U683" s="54" t="str">
        <f>VLOOKUP(Table3[[#This Row],[ACTIVITY]],TAGS!$B:$P,6,FALSE)</f>
        <v>Monitoring and Evaluation</v>
      </c>
      <c r="V683" s="54" t="str">
        <f>VLOOKUP(Table3[[#This Row],[ACTIVITY]],TAGS!$B:$P,7,FALSE)</f>
        <v>NO</v>
      </c>
      <c r="W683" s="54" t="str">
        <f>VLOOKUP(Table3[[#This Row],[ACTIVITY]],TAGS!$B:$P,8,FALSE)</f>
        <v>Overhead</v>
      </c>
      <c r="X683" s="54" t="str">
        <f>VLOOKUP(Table3[[#This Row],[ACTIVITY]],TAGS!$B:$P,10,FALSE)</f>
        <v>NON-PIP</v>
      </c>
      <c r="Y683" s="54" t="str">
        <f>VLOOKUP(Table3[[#This Row],[ACTIVITY]],TAGS!$B:$P,11,FALSE)</f>
        <v>NON-PICS</v>
      </c>
      <c r="Z683" s="54">
        <f>VLOOKUP(Table3[[#This Row],[ACTIVITY]],TAGS!$B:$P,12,FALSE)</f>
        <v>0</v>
      </c>
      <c r="AA683" s="54">
        <f>VLOOKUP(Table3[[#This Row],[ACTIVITY]],TAGS!$B:$P,13,FALSE)</f>
        <v>0</v>
      </c>
      <c r="AB683" s="54">
        <f>VLOOKUP(Table3[[#This Row],[ACTIVITY]],TAGS!$B:$P,14,FALSE)</f>
        <v>0</v>
      </c>
      <c r="AC683" s="54" t="str">
        <f>VLOOKUP(Table3[[#This Row],[ACTIVITY]],TAGS!$B:$P,15,FALSE)</f>
        <v>Existing</v>
      </c>
      <c r="AD683" s="54">
        <f>VLOOKUP(Table3[[#This Row],[PI LEVEL 3]],'PI LEVEL'!$A:$G,7,FALSE)</f>
        <v>0</v>
      </c>
      <c r="AE683" s="60"/>
      <c r="AF683" s="54" t="str">
        <f>VLOOKUP(Table3[[#This Row],[ACTIVITY]],TAGS!$B:$P,3,FALSE)</f>
        <v>number</v>
      </c>
      <c r="AG683" s="60"/>
      <c r="AH683" s="54" t="e">
        <f>VLOOKUP(Table3[[#This Row],[MONTH]],TAGS!$W$67:$Y$81,2,FALSE)</f>
        <v>#N/A</v>
      </c>
      <c r="AI683" s="54" t="e">
        <f>VLOOKUP(Table3[[#This Row],[MONTH]],TAGS!$W$67:$Y$81,3,FALSE)</f>
        <v>#N/A</v>
      </c>
      <c r="AJ683" s="54" t="e">
        <f>VLOOKUP(Table3[[#This Row],[MONTH]],TAGS!$W$67:$Z$81,4,FALSE)</f>
        <v>#N/A</v>
      </c>
      <c r="AK683" s="60">
        <v>5</v>
      </c>
      <c r="AL683" s="54" t="str">
        <f>VLOOKUP(Table3[[#This Row],[ACTIVITY]],TAGS!$B:$R,16,FALSE)</f>
        <v>NO</v>
      </c>
      <c r="AM683" s="60">
        <f>Table3[[#This Row],[TARGET]]/20</f>
        <v>0.25</v>
      </c>
      <c r="AN683" s="60">
        <v>9009</v>
      </c>
      <c r="AO683" s="57"/>
      <c r="AP683" s="62"/>
      <c r="AQ683" s="62"/>
      <c r="AR683" s="62"/>
      <c r="AS683" s="62"/>
      <c r="AT683" s="63">
        <f>VLOOKUP(Table3[[#This Row],[ACTIVITY]],TAGS!$B:$R,17,FALSE)</f>
        <v>0</v>
      </c>
      <c r="AU683" s="63"/>
      <c r="AV683" s="63"/>
      <c r="AW683" s="63"/>
      <c r="AX683" s="63"/>
      <c r="AY683" s="63"/>
      <c r="AZ683" s="63"/>
      <c r="BA683" s="63"/>
      <c r="BB683" s="63"/>
      <c r="BC683" s="63"/>
      <c r="BD683" s="63"/>
      <c r="BE683" s="63"/>
      <c r="BF683" s="63"/>
      <c r="BG683" s="63"/>
      <c r="BH683" s="63"/>
      <c r="BI683" s="63"/>
      <c r="BJ683" s="63"/>
      <c r="BK683" s="63"/>
      <c r="BL683" s="63"/>
      <c r="BM683" s="63"/>
    </row>
    <row r="684" spans="1:65">
      <c r="A684" s="54" t="str">
        <f>VLOOKUP(Table3[[#This Row],[OU]],OU!$A$15:$B$34,2,FALSE)</f>
        <v>RFOs</v>
      </c>
      <c r="B684" s="60" t="s">
        <v>436</v>
      </c>
      <c r="C684" s="60" t="s">
        <v>574</v>
      </c>
      <c r="D684" s="60"/>
      <c r="E684" s="60" t="s">
        <v>78</v>
      </c>
      <c r="F684" s="60"/>
      <c r="G68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84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84" s="61" t="e">
        <f>VLOOKUP(Table3[[#This Row],[PSGC]],DISTRICT!$D:$G,4,FALSE)</f>
        <v>#N/A</v>
      </c>
      <c r="J684" s="60" t="s">
        <v>585</v>
      </c>
      <c r="K684" s="51" t="str">
        <f>VLOOKUP(Table3[[#This Row],[SPECIFIC COMMODITY]],TAGS!$W$48:$X$53,2,FALSE)</f>
        <v>Multi_commodity</v>
      </c>
      <c r="L684" s="51" t="str">
        <f>VLOOKUP(Table3[[#This Row],[PREXC SUB-PROGRAM]],Table5[],2,FALSE)</f>
        <v>FIELD PROGRAMS MANAGEMENT ACTIVITIES</v>
      </c>
      <c r="M684" s="51" t="str">
        <f>VLOOKUP(Table3[[#This Row],[COMMODITY PREXC SUB-PROGRAM]],TAGS!$U$54:$V$76,2,FALSE)</f>
        <v>FPMA</v>
      </c>
      <c r="N684" s="60" t="s">
        <v>597</v>
      </c>
      <c r="O684" s="54" t="str">
        <f>VLOOKUP(Table3[[#This Row],[PI LEVEL 3]],'PI LEVEL'!A:C,3,FALSE)</f>
        <v>National/Regional Field Monitoring conducted</v>
      </c>
      <c r="P684" s="54" t="str">
        <f>VLOOKUP(Table3[[#This Row],[PI LEVEL 3]],Table53729[[Performance Indicator Level 3]:[Performance Indicator Level 1]],2,FALSE)</f>
        <v>National/Regional Field Monitoring conducted</v>
      </c>
      <c r="Q684" s="54" t="str">
        <f>VLOOKUP(Table3[[#This Row],[ACTIVITY]],TAGS!B:P,2,FALSE)</f>
        <v>National/Regional Field Monitoring conducted</v>
      </c>
      <c r="R684" s="60" t="s">
        <v>227</v>
      </c>
      <c r="S684" s="54" t="str">
        <f>VLOOKUP(Table3[[#This Row],[ACTIVITY]],TAGS!$B:$P,4,FALSE)</f>
        <v>FPMA</v>
      </c>
      <c r="T684" s="54" t="str">
        <f>VLOOKUP(Table3[[#This Row],[ACTIVITY]],TAGS!$B:$P,5,FALSE)</f>
        <v>FPMA</v>
      </c>
      <c r="U684" s="54" t="str">
        <f>VLOOKUP(Table3[[#This Row],[ACTIVITY]],TAGS!$B:$P,6,FALSE)</f>
        <v>Salary (Staff)</v>
      </c>
      <c r="V684" s="54" t="str">
        <f>VLOOKUP(Table3[[#This Row],[ACTIVITY]],TAGS!$B:$P,7,FALSE)</f>
        <v>NO</v>
      </c>
      <c r="W684" s="54" t="str">
        <f>VLOOKUP(Table3[[#This Row],[ACTIVITY]],TAGS!$B:$P,8,FALSE)</f>
        <v>Overhead</v>
      </c>
      <c r="X684" s="54" t="str">
        <f>VLOOKUP(Table3[[#This Row],[ACTIVITY]],TAGS!$B:$P,10,FALSE)</f>
        <v>NON-PIP</v>
      </c>
      <c r="Y684" s="54" t="str">
        <f>VLOOKUP(Table3[[#This Row],[ACTIVITY]],TAGS!$B:$P,11,FALSE)</f>
        <v>NON-PICS</v>
      </c>
      <c r="Z684" s="54">
        <f>VLOOKUP(Table3[[#This Row],[ACTIVITY]],TAGS!$B:$P,12,FALSE)</f>
        <v>0</v>
      </c>
      <c r="AA684" s="54">
        <f>VLOOKUP(Table3[[#This Row],[ACTIVITY]],TAGS!$B:$P,13,FALSE)</f>
        <v>0</v>
      </c>
      <c r="AB684" s="54">
        <f>VLOOKUP(Table3[[#This Row],[ACTIVITY]],TAGS!$B:$P,14,FALSE)</f>
        <v>0</v>
      </c>
      <c r="AC684" s="54" t="str">
        <f>VLOOKUP(Table3[[#This Row],[ACTIVITY]],TAGS!$B:$P,15,FALSE)</f>
        <v>Existing</v>
      </c>
      <c r="AD684" s="54">
        <f>VLOOKUP(Table3[[#This Row],[PI LEVEL 3]],'PI LEVEL'!$A:$G,7,FALSE)</f>
        <v>0</v>
      </c>
      <c r="AE684" s="60"/>
      <c r="AF684" s="54" t="str">
        <f>VLOOKUP(Table3[[#This Row],[ACTIVITY]],TAGS!$B:$P,3,FALSE)</f>
        <v>number</v>
      </c>
      <c r="AG684" s="60"/>
      <c r="AH684" s="54" t="e">
        <f>VLOOKUP(Table3[[#This Row],[MONTH]],TAGS!$W$67:$Y$81,2,FALSE)</f>
        <v>#N/A</v>
      </c>
      <c r="AI684" s="54" t="e">
        <f>VLOOKUP(Table3[[#This Row],[MONTH]],TAGS!$W$67:$Y$81,3,FALSE)</f>
        <v>#N/A</v>
      </c>
      <c r="AJ684" s="54" t="e">
        <f>VLOOKUP(Table3[[#This Row],[MONTH]],TAGS!$W$67:$Z$81,4,FALSE)</f>
        <v>#N/A</v>
      </c>
      <c r="AK684" s="60">
        <v>40</v>
      </c>
      <c r="AL684" s="54" t="str">
        <f>VLOOKUP(Table3[[#This Row],[ACTIVITY]],TAGS!$B:$R,16,FALSE)</f>
        <v>NO</v>
      </c>
      <c r="AM684" s="60">
        <f>Table3[[#This Row],[TARGET]]/20</f>
        <v>2</v>
      </c>
      <c r="AN684" s="60">
        <v>10000</v>
      </c>
      <c r="AO684" s="57"/>
      <c r="AP684" s="62"/>
      <c r="AQ684" s="62"/>
      <c r="AR684" s="62"/>
      <c r="AS684" s="62"/>
      <c r="AT684" s="63">
        <f>VLOOKUP(Table3[[#This Row],[ACTIVITY]],TAGS!$B:$R,17,FALSE)</f>
        <v>0</v>
      </c>
      <c r="AU684" s="63"/>
      <c r="AV684" s="63"/>
      <c r="AW684" s="63"/>
      <c r="AX684" s="63"/>
      <c r="AY684" s="63"/>
      <c r="AZ684" s="63"/>
      <c r="BA684" s="63"/>
      <c r="BB684" s="63"/>
      <c r="BC684" s="63"/>
      <c r="BD684" s="63"/>
      <c r="BE684" s="63"/>
      <c r="BF684" s="63"/>
      <c r="BG684" s="63"/>
      <c r="BH684" s="63"/>
      <c r="BI684" s="63"/>
      <c r="BJ684" s="63"/>
      <c r="BK684" s="63"/>
      <c r="BL684" s="63"/>
      <c r="BM684" s="63"/>
    </row>
    <row r="685" spans="1:65">
      <c r="A685" s="54" t="str">
        <f>VLOOKUP(Table3[[#This Row],[OU]],OU!$A$15:$B$34,2,FALSE)</f>
        <v>RFOs</v>
      </c>
      <c r="B685" s="60" t="s">
        <v>436</v>
      </c>
      <c r="C685" s="60" t="s">
        <v>574</v>
      </c>
      <c r="D685" s="60"/>
      <c r="E685" s="60" t="s">
        <v>78</v>
      </c>
      <c r="F685" s="60"/>
      <c r="G68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Row],[PROVINCE]],DISTRICT!$B$2:$F$1744,2,FALSE)))))))</f>
        <v>Regional_Office</v>
      </c>
      <c r="H685" s="61" t="str">
        <f>IF(Table3[[#This Row],[MUNICIPALITY]]="OSEC","OSEC",IF(Table3[[#This Row],[MUNICIPALITY]]="ATI","ATI",IF(Table3[[#This Row],[MUNICIPALITY]]="BPI","BPI",IF(Table3[[#This Row],[MUNICIPALITY]]="BAR","BAR",IF(Table3[[#This Row],[MUNICIPALITY]]="BSWM","BSWM",IF(Table3[[#This Row],[MUNICIPALITY]]="",Table3[PROVINCE],VLOOKUP(Table3[[#This Row],[MUNICIPALITY]]&amp;Table3[[#This Row],[PROVINCE]],DISTRICT!$B$2:$F$1744,3,FALSE)))))))</f>
        <v>Regional_Office</v>
      </c>
      <c r="I685" s="61" t="e">
        <f>VLOOKUP(Table3[[#This Row],[PSGC]],DISTRICT!$D:$G,4,FALSE)</f>
        <v>#N/A</v>
      </c>
      <c r="J685" s="60" t="s">
        <v>585</v>
      </c>
      <c r="K685" s="51" t="str">
        <f>VLOOKUP(Table3[[#This Row],[SPECIFIC COMMODITY]],TAGS!$W$48:$X$53,2,FALSE)</f>
        <v>Multi_commodity</v>
      </c>
      <c r="L685" s="51" t="str">
        <f>VLOOKUP(Table3[[#This Row],[PREXC SUB-PROGRAM]],Table5[],2,FALSE)</f>
        <v>FIELD PROGRAMS MANAGEMENT ACTIVITIES</v>
      </c>
      <c r="M685" s="51" t="str">
        <f>VLOOKUP(Table3[[#This Row],[COMMODITY PREXC SUB-PROGRAM]],TAGS!$U$54:$V$76,2,FALSE)</f>
        <v>FPMA</v>
      </c>
      <c r="N685" s="60" t="s">
        <v>597</v>
      </c>
      <c r="O685" s="54" t="str">
        <f>VLOOKUP(Table3[[#This Row],[PI LEVEL 3]],'PI LEVEL'!A:C,3,FALSE)</f>
        <v>National/Regional Field Monitoring conducted</v>
      </c>
      <c r="P685" s="54" t="str">
        <f>VLOOKUP(Table3[[#This Row],[PI LEVEL 3]],Table53729[[Performance Indicator Level 3]:[Performance Indicator Level 1]],2,FALSE)</f>
        <v>National/Regional Field Monitoring conducted</v>
      </c>
      <c r="Q685" s="54" t="str">
        <f>VLOOKUP(Table3[[#This Row],[ACTIVITY]],TAGS!B:P,2,FALSE)</f>
        <v>National/Regional Field Monitoring conducted</v>
      </c>
      <c r="R685" s="60" t="s">
        <v>229</v>
      </c>
      <c r="S685" s="54" t="str">
        <f>VLOOKUP(Table3[[#This Row],[ACTIVITY]],TAGS!$B:$P,4,FALSE)</f>
        <v>FPMA</v>
      </c>
      <c r="T685" s="54" t="str">
        <f>VLOOKUP(Table3[[#This Row],[ACTIVITY]],TAGS!$B:$P,5,FALSE)</f>
        <v>FPMA</v>
      </c>
      <c r="U685" s="54" t="str">
        <f>VLOOKUP(Table3[[#This Row],[ACTIVITY]],TAGS!$B:$P,6,FALSE)</f>
        <v>Workshop and Meetings</v>
      </c>
      <c r="V685" s="54" t="str">
        <f>VLOOKUP(Table3[[#This Row],[ACTIVITY]],TAGS!$B:$P,7,FALSE)</f>
        <v>NO</v>
      </c>
      <c r="W685" s="54" t="str">
        <f>VLOOKUP(Table3[[#This Row],[ACTIVITY]],TAGS!$B:$P,8,FALSE)</f>
        <v>Overhead</v>
      </c>
      <c r="X685" s="54" t="str">
        <f>VLOOKUP(Table3[[#This Row],[ACTIVITY]],TAGS!$B:$P,10,FALSE)</f>
        <v>NON-PIP</v>
      </c>
      <c r="Y685" s="54" t="str">
        <f>VLOOKUP(Table3[[#This Row],[ACTIVITY]],TAGS!$B:$P,11,FALSE)</f>
        <v>NON-PICS</v>
      </c>
      <c r="Z685" s="54">
        <f>VLOOKUP(Table3[[#This Row],[ACTIVITY]],TAGS!$B:$P,12,FALSE)</f>
        <v>0</v>
      </c>
      <c r="AA685" s="54">
        <f>VLOOKUP(Table3[[#This Row],[ACTIVITY]],TAGS!$B:$P,13,FALSE)</f>
        <v>0</v>
      </c>
      <c r="AB685" s="54">
        <f>VLOOKUP(Table3[[#This Row],[ACTIVITY]],TAGS!$B:$P,14,FALSE)</f>
        <v>0</v>
      </c>
      <c r="AC685" s="54" t="str">
        <f>VLOOKUP(Table3[[#This Row],[ACTIVITY]],TAGS!$B:$P,15,FALSE)</f>
        <v>Existing</v>
      </c>
      <c r="AD685" s="54">
        <f>VLOOKUP(Table3[[#This Row],[PI LEVEL 3]],'PI LEVEL'!$A:$G,7,FALSE)</f>
        <v>0</v>
      </c>
      <c r="AE685" s="60"/>
      <c r="AF685" s="54" t="str">
        <f>VLOOKUP(Table3[[#This Row],[ACTIVITY]],TAGS!$B:$P,3,FALSE)</f>
        <v>number</v>
      </c>
      <c r="AG685" s="60"/>
      <c r="AH685" s="54" t="e">
        <f>VLOOKUP(Table3[[#This Row],[MONTH]],TAGS!$W$67:$Y$81,2,FALSE)</f>
        <v>#N/A</v>
      </c>
      <c r="AI685" s="54" t="e">
        <f>VLOOKUP(Table3[[#This Row],[MONTH]],TAGS!$W$67:$Y$81,3,FALSE)</f>
        <v>#N/A</v>
      </c>
      <c r="AJ685" s="54" t="e">
        <f>VLOOKUP(Table3[[#This Row],[MONTH]],TAGS!$W$67:$Z$81,4,FALSE)</f>
        <v>#N/A</v>
      </c>
      <c r="AK685" s="60">
        <v>12</v>
      </c>
      <c r="AL685" s="54" t="str">
        <f>VLOOKUP(Table3[[#This Row],[ACTIVITY]],TAGS!$B:$R,16,FALSE)</f>
        <v>NO</v>
      </c>
      <c r="AM685" s="60">
        <f>Table3[[#This Row],[TARGET]]/20</f>
        <v>0.6</v>
      </c>
      <c r="AN685" s="60">
        <v>2000</v>
      </c>
      <c r="AO685" s="57"/>
      <c r="AP685" s="62"/>
      <c r="AQ685" s="62"/>
      <c r="AR685" s="62"/>
      <c r="AS685" s="62"/>
      <c r="AT685" s="63">
        <f>VLOOKUP(Table3[[#This Row],[ACTIVITY]],TAGS!$B:$R,17,FALSE)</f>
        <v>0</v>
      </c>
      <c r="AU685" s="63"/>
      <c r="AV685" s="63"/>
      <c r="AW685" s="63"/>
      <c r="AX685" s="63"/>
      <c r="AY685" s="63"/>
      <c r="AZ685" s="63"/>
      <c r="BA685" s="63"/>
      <c r="BB685" s="63"/>
      <c r="BC685" s="63"/>
      <c r="BD685" s="63"/>
      <c r="BE685" s="63"/>
      <c r="BF685" s="63"/>
      <c r="BG685" s="63"/>
      <c r="BH685" s="63"/>
      <c r="BI685" s="63"/>
      <c r="BJ685" s="63"/>
      <c r="BK685" s="63"/>
      <c r="BL685" s="63"/>
      <c r="BM685" s="63"/>
    </row>
  </sheetData>
  <conditionalFormatting sqref="B$1:B$1048576">
    <cfRule type="containsText" dxfId="3844" priority="1" operator="between" text="BED 2 - PHYSICAL">
      <formula>NOT(ISERROR(SEARCH("BED 2 - PHYSICAL",B1)))</formula>
    </cfRule>
    <cfRule type="containsText" dxfId="3845" priority="2" operator="between" text="PROPOSAL">
      <formula>NOT(ISERROR(SEARCH("PROPOSAL",B1)))</formula>
    </cfRule>
  </conditionalFormatting>
  <dataValidations count="11">
    <dataValidation type="list" allowBlank="1" showInputMessage="1" showErrorMessage="1" sqref="B$1:B$1048576">
      <formula1>"PROPOSAL, BED 2 - PHYSICAL"</formula1>
    </dataValidation>
    <dataValidation type="list" allowBlank="1" showInputMessage="1" showErrorMessage="1" sqref="C2:C685">
      <formula1>OU!$A$15:$A$34</formula1>
    </dataValidation>
    <dataValidation type="list" allowBlank="1" showInputMessage="1" showErrorMessage="1" sqref="F2:F685">
      <formula1>INDIRECT(E2)</formula1>
    </dataValidation>
    <dataValidation type="list" allowBlank="1" showInputMessage="1" showErrorMessage="1" sqref="J2:J440 J457:J553">
      <formula1>TAGS!$W$48:$W$53</formula1>
    </dataValidation>
    <dataValidation type="list" allowBlank="1" showInputMessage="1" showErrorMessage="1" sqref="N2:N685">
      <formula1>INDIRECT(K2)</formula1>
    </dataValidation>
    <dataValidation type="list" allowBlank="1" showInputMessage="1" showErrorMessage="1" sqref="R2:R685">
      <formula1>INDIRECT(N2)</formula1>
    </dataValidation>
    <dataValidation type="list" allowBlank="1" showInputMessage="1" showErrorMessage="1" sqref="AE2:AE685">
      <formula1>"YES,NO"</formula1>
    </dataValidation>
    <dataValidation type="list" allowBlank="1" showInputMessage="1" showErrorMessage="1" sqref="AG2:AG685">
      <formula1>TAGS!$W$67:$W$81</formula1>
    </dataValidation>
    <dataValidation type="custom" allowBlank="1" showInputMessage="1" showErrorMessage="1" prompt="WHOLE NUMBER ONLY" sqref="AK2:AK685 AP2:AS685">
      <formula1>ISNUMBER(AK2)</formula1>
    </dataValidation>
    <dataValidation type="custom" allowBlank="1" showInputMessage="1" showErrorMessage="1" prompt="NUMBER ONLY" sqref="AM2:AN685">
      <formula1>ISNUMBER(AM2)</formula1>
    </dataValidation>
    <dataValidation type="list" allowBlank="1" showInputMessage="1" showErrorMessage="1" sqref="D2:E685">
      <formula1>INDIRECT(B2)</formula1>
    </dataValidation>
  </dataValidation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G746"/>
  <sheetViews>
    <sheetView zoomScale="55" zoomScaleNormal="55" workbookViewId="0">
      <pane xSplit="1" ySplit="1" topLeftCell="B541" activePane="bottomRight" state="frozen"/>
      <selection/>
      <selection pane="topRight"/>
      <selection pane="bottomLeft"/>
      <selection pane="bottomRight" activeCell="B596" sqref="B596"/>
    </sheetView>
  </sheetViews>
  <sheetFormatPr defaultColWidth="8.85714285714286" defaultRowHeight="16.5" outlineLevelCol="6"/>
  <cols>
    <col min="1" max="1" width="95.5714285714286" style="2" customWidth="1"/>
    <col min="2" max="2" width="87.1428571428571" style="2" customWidth="1"/>
    <col min="3" max="3" width="87.8571428571429" style="2" customWidth="1"/>
    <col min="4" max="4" width="10.5714285714286" style="2" customWidth="1"/>
    <col min="5" max="5" width="59.1428571428571" style="2" customWidth="1"/>
    <col min="6" max="6" width="8.14285714285714" style="2" customWidth="1"/>
    <col min="7" max="7" width="21.8571428571429" style="2" customWidth="1"/>
    <col min="8" max="16384" width="8.85714285714286" style="2"/>
  </cols>
  <sheetData>
    <row r="1" spans="1:7">
      <c r="A1" s="18" t="s">
        <v>761</v>
      </c>
      <c r="B1" s="18" t="s">
        <v>762</v>
      </c>
      <c r="C1" s="18" t="s">
        <v>763</v>
      </c>
      <c r="D1" s="18" t="s">
        <v>764</v>
      </c>
      <c r="E1" s="18" t="s">
        <v>765</v>
      </c>
      <c r="F1" s="18" t="s">
        <v>766</v>
      </c>
      <c r="G1" s="18" t="s">
        <v>767</v>
      </c>
    </row>
    <row r="2" spans="1:7">
      <c r="A2" s="19" t="s">
        <v>768</v>
      </c>
      <c r="B2" s="20"/>
      <c r="C2" s="20"/>
      <c r="D2" s="20"/>
      <c r="E2" s="20"/>
      <c r="F2" s="20"/>
      <c r="G2" s="20"/>
    </row>
    <row r="3" spans="1:7">
      <c r="A3" s="19" t="s">
        <v>769</v>
      </c>
      <c r="B3" s="20"/>
      <c r="C3" s="20"/>
      <c r="D3" s="20"/>
      <c r="E3" s="20"/>
      <c r="F3" s="20"/>
      <c r="G3" s="20"/>
    </row>
    <row r="4" spans="1:7">
      <c r="A4" s="21" t="s">
        <v>770</v>
      </c>
      <c r="B4" s="21" t="s">
        <v>770</v>
      </c>
      <c r="C4" s="21" t="s">
        <v>771</v>
      </c>
      <c r="D4" s="21" t="s">
        <v>772</v>
      </c>
      <c r="E4" s="21" t="s">
        <v>773</v>
      </c>
      <c r="F4" s="21" t="s">
        <v>774</v>
      </c>
      <c r="G4" s="21" t="s">
        <v>775</v>
      </c>
    </row>
    <row r="5" spans="1:7">
      <c r="A5" s="21" t="s">
        <v>776</v>
      </c>
      <c r="B5" s="21" t="s">
        <v>776</v>
      </c>
      <c r="C5" s="21" t="s">
        <v>777</v>
      </c>
      <c r="D5" s="21" t="s">
        <v>772</v>
      </c>
      <c r="E5" s="21" t="s">
        <v>773</v>
      </c>
      <c r="F5" s="21" t="s">
        <v>774</v>
      </c>
      <c r="G5" s="21" t="s">
        <v>775</v>
      </c>
    </row>
    <row r="6" spans="1:7">
      <c r="A6" s="21" t="s">
        <v>778</v>
      </c>
      <c r="B6" s="21" t="s">
        <v>779</v>
      </c>
      <c r="C6" s="21" t="s">
        <v>779</v>
      </c>
      <c r="D6" s="21" t="s">
        <v>780</v>
      </c>
      <c r="E6" s="21" t="s">
        <v>773</v>
      </c>
      <c r="F6" s="21" t="s">
        <v>774</v>
      </c>
      <c r="G6" s="21" t="s">
        <v>775</v>
      </c>
    </row>
    <row r="7" spans="1:7">
      <c r="A7" s="22" t="s">
        <v>781</v>
      </c>
      <c r="B7" s="22" t="s">
        <v>782</v>
      </c>
      <c r="C7" s="22" t="s">
        <v>783</v>
      </c>
      <c r="D7" s="22" t="s">
        <v>784</v>
      </c>
      <c r="E7" s="22" t="s">
        <v>773</v>
      </c>
      <c r="F7" s="22" t="s">
        <v>774</v>
      </c>
      <c r="G7" s="22" t="s">
        <v>785</v>
      </c>
    </row>
    <row r="8" spans="1:7">
      <c r="A8" s="22" t="s">
        <v>786</v>
      </c>
      <c r="B8" s="22" t="s">
        <v>782</v>
      </c>
      <c r="C8" s="22" t="s">
        <v>783</v>
      </c>
      <c r="D8" s="22" t="s">
        <v>784</v>
      </c>
      <c r="E8" s="22" t="s">
        <v>773</v>
      </c>
      <c r="F8" s="22" t="s">
        <v>774</v>
      </c>
      <c r="G8" s="22" t="s">
        <v>785</v>
      </c>
    </row>
    <row r="9" spans="1:7">
      <c r="A9" s="22" t="s">
        <v>787</v>
      </c>
      <c r="B9" s="22" t="s">
        <v>782</v>
      </c>
      <c r="C9" s="22" t="s">
        <v>783</v>
      </c>
      <c r="D9" s="22" t="s">
        <v>784</v>
      </c>
      <c r="E9" s="22" t="s">
        <v>773</v>
      </c>
      <c r="F9" s="22" t="s">
        <v>774</v>
      </c>
      <c r="G9" s="22" t="s">
        <v>785</v>
      </c>
    </row>
    <row r="10" spans="1:7">
      <c r="A10" s="22" t="s">
        <v>788</v>
      </c>
      <c r="B10" s="22" t="s">
        <v>782</v>
      </c>
      <c r="C10" s="22" t="s">
        <v>783</v>
      </c>
      <c r="D10" s="22" t="s">
        <v>784</v>
      </c>
      <c r="E10" s="22" t="s">
        <v>773</v>
      </c>
      <c r="F10" s="22" t="s">
        <v>774</v>
      </c>
      <c r="G10" s="22" t="s">
        <v>785</v>
      </c>
    </row>
    <row r="11" spans="1:7">
      <c r="A11" s="22" t="s">
        <v>789</v>
      </c>
      <c r="B11" s="22" t="s">
        <v>782</v>
      </c>
      <c r="C11" s="22" t="s">
        <v>783</v>
      </c>
      <c r="D11" s="22" t="s">
        <v>784</v>
      </c>
      <c r="E11" s="22" t="s">
        <v>773</v>
      </c>
      <c r="F11" s="22" t="s">
        <v>774</v>
      </c>
      <c r="G11" s="22" t="s">
        <v>785</v>
      </c>
    </row>
    <row r="12" spans="1:7">
      <c r="A12" s="22" t="s">
        <v>790</v>
      </c>
      <c r="B12" s="22" t="s">
        <v>791</v>
      </c>
      <c r="C12" s="22" t="s">
        <v>783</v>
      </c>
      <c r="D12" s="22" t="s">
        <v>784</v>
      </c>
      <c r="E12" s="22" t="s">
        <v>773</v>
      </c>
      <c r="F12" s="22" t="s">
        <v>774</v>
      </c>
      <c r="G12" s="22" t="s">
        <v>785</v>
      </c>
    </row>
    <row r="13" spans="1:7">
      <c r="A13" s="22" t="s">
        <v>792</v>
      </c>
      <c r="B13" s="22" t="s">
        <v>791</v>
      </c>
      <c r="C13" s="22" t="s">
        <v>783</v>
      </c>
      <c r="D13" s="22" t="s">
        <v>784</v>
      </c>
      <c r="E13" s="22" t="s">
        <v>773</v>
      </c>
      <c r="F13" s="22" t="s">
        <v>774</v>
      </c>
      <c r="G13" s="22" t="s">
        <v>785</v>
      </c>
    </row>
    <row r="14" spans="1:7">
      <c r="A14" s="22" t="s">
        <v>793</v>
      </c>
      <c r="B14" s="22" t="s">
        <v>793</v>
      </c>
      <c r="C14" s="22" t="s">
        <v>783</v>
      </c>
      <c r="D14" s="22" t="s">
        <v>784</v>
      </c>
      <c r="E14" s="22" t="s">
        <v>773</v>
      </c>
      <c r="F14" s="22" t="s">
        <v>774</v>
      </c>
      <c r="G14" s="22" t="s">
        <v>785</v>
      </c>
    </row>
    <row r="15" spans="1:7">
      <c r="A15" s="22" t="s">
        <v>794</v>
      </c>
      <c r="B15" s="22" t="s">
        <v>795</v>
      </c>
      <c r="C15" s="22" t="s">
        <v>783</v>
      </c>
      <c r="D15" s="22" t="s">
        <v>784</v>
      </c>
      <c r="E15" s="22" t="s">
        <v>773</v>
      </c>
      <c r="F15" s="22" t="s">
        <v>774</v>
      </c>
      <c r="G15" s="22" t="s">
        <v>785</v>
      </c>
    </row>
    <row r="16" spans="1:7">
      <c r="A16" s="22" t="s">
        <v>796</v>
      </c>
      <c r="B16" s="22" t="s">
        <v>795</v>
      </c>
      <c r="C16" s="22" t="s">
        <v>783</v>
      </c>
      <c r="D16" s="22" t="s">
        <v>784</v>
      </c>
      <c r="E16" s="22" t="s">
        <v>773</v>
      </c>
      <c r="F16" s="22" t="s">
        <v>774</v>
      </c>
      <c r="G16" s="22" t="s">
        <v>785</v>
      </c>
    </row>
    <row r="17" spans="1:7">
      <c r="A17" s="22" t="s">
        <v>797</v>
      </c>
      <c r="B17" s="22" t="s">
        <v>795</v>
      </c>
      <c r="C17" s="22" t="s">
        <v>783</v>
      </c>
      <c r="D17" s="22" t="s">
        <v>784</v>
      </c>
      <c r="E17" s="22" t="s">
        <v>773</v>
      </c>
      <c r="F17" s="22" t="s">
        <v>774</v>
      </c>
      <c r="G17" s="22" t="s">
        <v>785</v>
      </c>
    </row>
    <row r="18" spans="1:7">
      <c r="A18" s="22" t="s">
        <v>798</v>
      </c>
      <c r="B18" s="22" t="s">
        <v>795</v>
      </c>
      <c r="C18" s="22" t="s">
        <v>783</v>
      </c>
      <c r="D18" s="22" t="s">
        <v>784</v>
      </c>
      <c r="E18" s="22" t="s">
        <v>773</v>
      </c>
      <c r="F18" s="22" t="s">
        <v>774</v>
      </c>
      <c r="G18" s="22" t="s">
        <v>785</v>
      </c>
    </row>
    <row r="19" spans="1:7">
      <c r="A19" s="22" t="s">
        <v>799</v>
      </c>
      <c r="B19" s="22" t="s">
        <v>795</v>
      </c>
      <c r="C19" s="22" t="s">
        <v>783</v>
      </c>
      <c r="D19" s="22" t="s">
        <v>784</v>
      </c>
      <c r="E19" s="22" t="s">
        <v>773</v>
      </c>
      <c r="F19" s="22" t="s">
        <v>774</v>
      </c>
      <c r="G19" s="22" t="s">
        <v>785</v>
      </c>
    </row>
    <row r="20" spans="1:7">
      <c r="A20" s="22" t="s">
        <v>800</v>
      </c>
      <c r="B20" s="22" t="s">
        <v>795</v>
      </c>
      <c r="C20" s="22" t="s">
        <v>783</v>
      </c>
      <c r="D20" s="22" t="s">
        <v>784</v>
      </c>
      <c r="E20" s="22" t="s">
        <v>773</v>
      </c>
      <c r="F20" s="22" t="s">
        <v>774</v>
      </c>
      <c r="G20" s="22" t="s">
        <v>785</v>
      </c>
    </row>
    <row r="21" spans="1:7">
      <c r="A21" s="22" t="s">
        <v>801</v>
      </c>
      <c r="B21" s="22" t="s">
        <v>801</v>
      </c>
      <c r="C21" s="22" t="s">
        <v>783</v>
      </c>
      <c r="D21" s="22" t="s">
        <v>784</v>
      </c>
      <c r="E21" s="22" t="s">
        <v>773</v>
      </c>
      <c r="F21" s="22" t="s">
        <v>774</v>
      </c>
      <c r="G21" s="22" t="s">
        <v>785</v>
      </c>
    </row>
    <row r="22" spans="1:7">
      <c r="A22" s="22" t="s">
        <v>802</v>
      </c>
      <c r="B22" s="22" t="s">
        <v>801</v>
      </c>
      <c r="C22" s="22" t="s">
        <v>783</v>
      </c>
      <c r="D22" s="22" t="s">
        <v>784</v>
      </c>
      <c r="E22" s="22" t="s">
        <v>773</v>
      </c>
      <c r="F22" s="22" t="s">
        <v>774</v>
      </c>
      <c r="G22" s="22" t="s">
        <v>785</v>
      </c>
    </row>
    <row r="23" spans="1:7">
      <c r="A23" s="22" t="s">
        <v>803</v>
      </c>
      <c r="B23" s="22" t="s">
        <v>801</v>
      </c>
      <c r="C23" s="22" t="s">
        <v>783</v>
      </c>
      <c r="D23" s="22" t="s">
        <v>784</v>
      </c>
      <c r="E23" s="22" t="s">
        <v>773</v>
      </c>
      <c r="F23" s="22" t="s">
        <v>774</v>
      </c>
      <c r="G23" s="22" t="s">
        <v>785</v>
      </c>
    </row>
    <row r="24" spans="1:7">
      <c r="A24" s="22" t="s">
        <v>804</v>
      </c>
      <c r="B24" s="22" t="s">
        <v>805</v>
      </c>
      <c r="C24" s="22" t="s">
        <v>806</v>
      </c>
      <c r="D24" s="22" t="s">
        <v>784</v>
      </c>
      <c r="E24" s="22" t="s">
        <v>773</v>
      </c>
      <c r="F24" s="22" t="s">
        <v>774</v>
      </c>
      <c r="G24" s="22" t="s">
        <v>785</v>
      </c>
    </row>
    <row r="25" spans="1:7">
      <c r="A25" s="22" t="s">
        <v>807</v>
      </c>
      <c r="B25" s="22" t="s">
        <v>805</v>
      </c>
      <c r="C25" s="22" t="s">
        <v>806</v>
      </c>
      <c r="D25" s="22" t="s">
        <v>784</v>
      </c>
      <c r="E25" s="22" t="s">
        <v>773</v>
      </c>
      <c r="F25" s="22" t="s">
        <v>774</v>
      </c>
      <c r="G25" s="22" t="s">
        <v>785</v>
      </c>
    </row>
    <row r="26" spans="1:7">
      <c r="A26" s="22" t="s">
        <v>808</v>
      </c>
      <c r="B26" s="22" t="s">
        <v>805</v>
      </c>
      <c r="C26" s="22" t="s">
        <v>806</v>
      </c>
      <c r="D26" s="22" t="s">
        <v>809</v>
      </c>
      <c r="E26" s="22" t="s">
        <v>773</v>
      </c>
      <c r="F26" s="22" t="s">
        <v>774</v>
      </c>
      <c r="G26" s="22" t="s">
        <v>785</v>
      </c>
    </row>
    <row r="27" spans="1:7">
      <c r="A27" s="22" t="s">
        <v>810</v>
      </c>
      <c r="B27" s="22" t="s">
        <v>805</v>
      </c>
      <c r="C27" s="22" t="s">
        <v>806</v>
      </c>
      <c r="D27" s="22" t="s">
        <v>784</v>
      </c>
      <c r="E27" s="22" t="s">
        <v>773</v>
      </c>
      <c r="F27" s="22" t="s">
        <v>774</v>
      </c>
      <c r="G27" s="22" t="s">
        <v>785</v>
      </c>
    </row>
    <row r="28" spans="1:7">
      <c r="A28" s="22" t="s">
        <v>811</v>
      </c>
      <c r="B28" s="22" t="s">
        <v>805</v>
      </c>
      <c r="C28" s="22" t="s">
        <v>806</v>
      </c>
      <c r="D28" s="22" t="s">
        <v>784</v>
      </c>
      <c r="E28" s="22" t="s">
        <v>773</v>
      </c>
      <c r="F28" s="22" t="s">
        <v>774</v>
      </c>
      <c r="G28" s="22" t="s">
        <v>785</v>
      </c>
    </row>
    <row r="29" spans="1:7">
      <c r="A29" s="22" t="s">
        <v>812</v>
      </c>
      <c r="B29" s="22" t="s">
        <v>805</v>
      </c>
      <c r="C29" s="22" t="s">
        <v>806</v>
      </c>
      <c r="D29" s="22" t="s">
        <v>784</v>
      </c>
      <c r="E29" s="22" t="s">
        <v>773</v>
      </c>
      <c r="F29" s="22" t="s">
        <v>774</v>
      </c>
      <c r="G29" s="22" t="s">
        <v>785</v>
      </c>
    </row>
    <row r="30" spans="1:7">
      <c r="A30" s="22" t="s">
        <v>813</v>
      </c>
      <c r="B30" s="22" t="s">
        <v>805</v>
      </c>
      <c r="C30" s="22" t="s">
        <v>806</v>
      </c>
      <c r="D30" s="22" t="s">
        <v>814</v>
      </c>
      <c r="E30" s="22" t="s">
        <v>773</v>
      </c>
      <c r="F30" s="22" t="s">
        <v>774</v>
      </c>
      <c r="G30" s="22" t="s">
        <v>785</v>
      </c>
    </row>
    <row r="31" spans="1:7">
      <c r="A31" s="22" t="s">
        <v>815</v>
      </c>
      <c r="B31" s="22" t="s">
        <v>805</v>
      </c>
      <c r="C31" s="22" t="s">
        <v>806</v>
      </c>
      <c r="D31" s="22" t="s">
        <v>784</v>
      </c>
      <c r="E31" s="22" t="s">
        <v>773</v>
      </c>
      <c r="F31" s="22" t="s">
        <v>774</v>
      </c>
      <c r="G31" s="22" t="s">
        <v>785</v>
      </c>
    </row>
    <row r="32" spans="1:7">
      <c r="A32" s="22" t="s">
        <v>816</v>
      </c>
      <c r="B32" s="22" t="s">
        <v>817</v>
      </c>
      <c r="C32" s="22" t="s">
        <v>806</v>
      </c>
      <c r="D32" s="22" t="s">
        <v>784</v>
      </c>
      <c r="E32" s="22" t="s">
        <v>773</v>
      </c>
      <c r="F32" s="22" t="s">
        <v>774</v>
      </c>
      <c r="G32" s="22" t="s">
        <v>785</v>
      </c>
    </row>
    <row r="33" spans="1:7">
      <c r="A33" s="22" t="s">
        <v>818</v>
      </c>
      <c r="B33" s="22" t="s">
        <v>817</v>
      </c>
      <c r="C33" s="22" t="s">
        <v>806</v>
      </c>
      <c r="D33" s="22" t="s">
        <v>809</v>
      </c>
      <c r="E33" s="22" t="s">
        <v>773</v>
      </c>
      <c r="F33" s="22" t="s">
        <v>774</v>
      </c>
      <c r="G33" s="22" t="s">
        <v>785</v>
      </c>
    </row>
    <row r="34" spans="1:7">
      <c r="A34" s="22" t="s">
        <v>819</v>
      </c>
      <c r="B34" s="22" t="s">
        <v>820</v>
      </c>
      <c r="C34" s="22" t="s">
        <v>820</v>
      </c>
      <c r="D34" s="22" t="s">
        <v>809</v>
      </c>
      <c r="E34" s="22" t="s">
        <v>773</v>
      </c>
      <c r="F34" s="22" t="s">
        <v>774</v>
      </c>
      <c r="G34" s="22" t="s">
        <v>785</v>
      </c>
    </row>
    <row r="35" spans="1:7">
      <c r="A35" s="22" t="s">
        <v>821</v>
      </c>
      <c r="B35" s="22" t="s">
        <v>820</v>
      </c>
      <c r="C35" s="22" t="s">
        <v>820</v>
      </c>
      <c r="D35" s="22" t="s">
        <v>822</v>
      </c>
      <c r="E35" s="22" t="s">
        <v>773</v>
      </c>
      <c r="F35" s="22" t="s">
        <v>774</v>
      </c>
      <c r="G35" s="22" t="s">
        <v>785</v>
      </c>
    </row>
    <row r="36" spans="1:7">
      <c r="A36" s="22" t="s">
        <v>823</v>
      </c>
      <c r="B36" s="22" t="s">
        <v>820</v>
      </c>
      <c r="C36" s="22" t="s">
        <v>820</v>
      </c>
      <c r="D36" s="22" t="s">
        <v>824</v>
      </c>
      <c r="E36" s="22" t="s">
        <v>773</v>
      </c>
      <c r="F36" s="22" t="s">
        <v>774</v>
      </c>
      <c r="G36" s="22" t="s">
        <v>785</v>
      </c>
    </row>
    <row r="37" spans="1:7">
      <c r="A37" s="22" t="s">
        <v>825</v>
      </c>
      <c r="B37" s="22" t="s">
        <v>820</v>
      </c>
      <c r="C37" s="22" t="s">
        <v>820</v>
      </c>
      <c r="D37" s="22" t="s">
        <v>784</v>
      </c>
      <c r="E37" s="22" t="s">
        <v>773</v>
      </c>
      <c r="F37" s="22" t="s">
        <v>774</v>
      </c>
      <c r="G37" s="22" t="s">
        <v>785</v>
      </c>
    </row>
    <row r="38" spans="1:7">
      <c r="A38" s="22" t="s">
        <v>826</v>
      </c>
      <c r="B38" s="22" t="s">
        <v>820</v>
      </c>
      <c r="C38" s="22" t="s">
        <v>820</v>
      </c>
      <c r="D38" s="22" t="s">
        <v>809</v>
      </c>
      <c r="E38" s="22" t="s">
        <v>773</v>
      </c>
      <c r="F38" s="22" t="s">
        <v>774</v>
      </c>
      <c r="G38" s="22" t="s">
        <v>785</v>
      </c>
    </row>
    <row r="39" spans="1:7">
      <c r="A39" s="22" t="s">
        <v>827</v>
      </c>
      <c r="B39" s="22" t="s">
        <v>820</v>
      </c>
      <c r="C39" s="22" t="s">
        <v>820</v>
      </c>
      <c r="D39" s="22" t="s">
        <v>784</v>
      </c>
      <c r="E39" s="22" t="s">
        <v>773</v>
      </c>
      <c r="F39" s="22" t="s">
        <v>774</v>
      </c>
      <c r="G39" s="22" t="s">
        <v>785</v>
      </c>
    </row>
    <row r="40" spans="1:7">
      <c r="A40" s="22" t="s">
        <v>828</v>
      </c>
      <c r="B40" s="22" t="s">
        <v>820</v>
      </c>
      <c r="C40" s="22" t="s">
        <v>820</v>
      </c>
      <c r="D40" s="22" t="s">
        <v>824</v>
      </c>
      <c r="E40" s="22" t="s">
        <v>773</v>
      </c>
      <c r="F40" s="22" t="s">
        <v>774</v>
      </c>
      <c r="G40" s="22" t="s">
        <v>785</v>
      </c>
    </row>
    <row r="41" spans="1:7">
      <c r="A41" s="22" t="s">
        <v>829</v>
      </c>
      <c r="B41" s="22" t="s">
        <v>830</v>
      </c>
      <c r="C41" s="22" t="s">
        <v>831</v>
      </c>
      <c r="D41" s="22" t="s">
        <v>784</v>
      </c>
      <c r="E41" s="22" t="s">
        <v>773</v>
      </c>
      <c r="F41" s="22" t="s">
        <v>774</v>
      </c>
      <c r="G41" s="22" t="s">
        <v>785</v>
      </c>
    </row>
    <row r="42" spans="1:7">
      <c r="A42" s="22" t="s">
        <v>832</v>
      </c>
      <c r="B42" s="22" t="s">
        <v>830</v>
      </c>
      <c r="C42" s="22" t="s">
        <v>831</v>
      </c>
      <c r="D42" s="22" t="s">
        <v>824</v>
      </c>
      <c r="E42" s="22" t="s">
        <v>773</v>
      </c>
      <c r="F42" s="22" t="s">
        <v>774</v>
      </c>
      <c r="G42" s="22" t="s">
        <v>785</v>
      </c>
    </row>
    <row r="43" spans="1:7">
      <c r="A43" s="22" t="s">
        <v>833</v>
      </c>
      <c r="B43" s="22" t="s">
        <v>830</v>
      </c>
      <c r="C43" s="22" t="s">
        <v>831</v>
      </c>
      <c r="D43" s="22" t="s">
        <v>834</v>
      </c>
      <c r="E43" s="22" t="s">
        <v>773</v>
      </c>
      <c r="F43" s="22" t="s">
        <v>774</v>
      </c>
      <c r="G43" s="22" t="s">
        <v>785</v>
      </c>
    </row>
    <row r="44" spans="1:7">
      <c r="A44" s="22" t="s">
        <v>835</v>
      </c>
      <c r="B44" s="22" t="s">
        <v>830</v>
      </c>
      <c r="C44" s="22" t="s">
        <v>831</v>
      </c>
      <c r="D44" s="22" t="s">
        <v>836</v>
      </c>
      <c r="E44" s="22" t="s">
        <v>773</v>
      </c>
      <c r="F44" s="22" t="s">
        <v>774</v>
      </c>
      <c r="G44" s="22" t="s">
        <v>785</v>
      </c>
    </row>
    <row r="45" spans="1:7">
      <c r="A45" s="22" t="s">
        <v>837</v>
      </c>
      <c r="B45" s="22" t="s">
        <v>837</v>
      </c>
      <c r="C45" s="22" t="s">
        <v>837</v>
      </c>
      <c r="D45" s="22" t="s">
        <v>838</v>
      </c>
      <c r="E45" s="22" t="s">
        <v>773</v>
      </c>
      <c r="F45" s="22" t="s">
        <v>774</v>
      </c>
      <c r="G45" s="22" t="s">
        <v>785</v>
      </c>
    </row>
    <row r="46" spans="1:7">
      <c r="A46" s="22" t="s">
        <v>839</v>
      </c>
      <c r="B46" s="22" t="s">
        <v>840</v>
      </c>
      <c r="C46" s="22" t="s">
        <v>841</v>
      </c>
      <c r="D46" s="22" t="s">
        <v>824</v>
      </c>
      <c r="E46" s="22" t="s">
        <v>773</v>
      </c>
      <c r="F46" s="22" t="s">
        <v>774</v>
      </c>
      <c r="G46" s="22" t="s">
        <v>785</v>
      </c>
    </row>
    <row r="47" spans="1:7">
      <c r="A47" s="22" t="s">
        <v>842</v>
      </c>
      <c r="B47" s="22" t="s">
        <v>840</v>
      </c>
      <c r="C47" s="22" t="s">
        <v>841</v>
      </c>
      <c r="D47" s="22" t="s">
        <v>824</v>
      </c>
      <c r="E47" s="22" t="s">
        <v>773</v>
      </c>
      <c r="F47" s="22" t="s">
        <v>774</v>
      </c>
      <c r="G47" s="22" t="s">
        <v>785</v>
      </c>
    </row>
    <row r="48" spans="1:7">
      <c r="A48" s="22" t="s">
        <v>843</v>
      </c>
      <c r="B48" s="22" t="s">
        <v>840</v>
      </c>
      <c r="C48" s="22" t="s">
        <v>841</v>
      </c>
      <c r="D48" s="22" t="s">
        <v>824</v>
      </c>
      <c r="E48" s="22" t="s">
        <v>773</v>
      </c>
      <c r="F48" s="22" t="s">
        <v>774</v>
      </c>
      <c r="G48" s="22" t="s">
        <v>785</v>
      </c>
    </row>
    <row r="49" spans="1:7">
      <c r="A49" s="22" t="s">
        <v>844</v>
      </c>
      <c r="B49" s="22" t="s">
        <v>840</v>
      </c>
      <c r="C49" s="22" t="s">
        <v>841</v>
      </c>
      <c r="D49" s="22" t="s">
        <v>824</v>
      </c>
      <c r="E49" s="22" t="s">
        <v>773</v>
      </c>
      <c r="F49" s="22" t="s">
        <v>774</v>
      </c>
      <c r="G49" s="22" t="s">
        <v>785</v>
      </c>
    </row>
    <row r="50" spans="1:7">
      <c r="A50" s="22" t="s">
        <v>845</v>
      </c>
      <c r="B50" s="22" t="s">
        <v>840</v>
      </c>
      <c r="C50" s="22" t="s">
        <v>841</v>
      </c>
      <c r="D50" s="22" t="s">
        <v>824</v>
      </c>
      <c r="E50" s="22" t="s">
        <v>773</v>
      </c>
      <c r="F50" s="22" t="s">
        <v>774</v>
      </c>
      <c r="G50" s="22" t="s">
        <v>785</v>
      </c>
    </row>
    <row r="51" spans="1:7">
      <c r="A51" s="22" t="s">
        <v>846</v>
      </c>
      <c r="B51" s="22" t="s">
        <v>847</v>
      </c>
      <c r="C51" s="22" t="s">
        <v>841</v>
      </c>
      <c r="D51" s="22" t="s">
        <v>824</v>
      </c>
      <c r="E51" s="22" t="s">
        <v>773</v>
      </c>
      <c r="F51" s="22" t="s">
        <v>774</v>
      </c>
      <c r="G51" s="22" t="s">
        <v>785</v>
      </c>
    </row>
    <row r="52" spans="1:7">
      <c r="A52" s="22" t="s">
        <v>848</v>
      </c>
      <c r="B52" s="22" t="s">
        <v>847</v>
      </c>
      <c r="C52" s="22" t="s">
        <v>841</v>
      </c>
      <c r="D52" s="22" t="s">
        <v>824</v>
      </c>
      <c r="E52" s="22" t="s">
        <v>773</v>
      </c>
      <c r="F52" s="22" t="s">
        <v>774</v>
      </c>
      <c r="G52" s="22" t="s">
        <v>785</v>
      </c>
    </row>
    <row r="53" spans="1:7">
      <c r="A53" s="22" t="s">
        <v>849</v>
      </c>
      <c r="B53" s="22" t="s">
        <v>847</v>
      </c>
      <c r="C53" s="22" t="s">
        <v>841</v>
      </c>
      <c r="D53" s="22" t="s">
        <v>824</v>
      </c>
      <c r="E53" s="22" t="s">
        <v>773</v>
      </c>
      <c r="F53" s="22" t="s">
        <v>774</v>
      </c>
      <c r="G53" s="22" t="s">
        <v>785</v>
      </c>
    </row>
    <row r="54" spans="1:7">
      <c r="A54" s="22" t="s">
        <v>850</v>
      </c>
      <c r="B54" s="22" t="s">
        <v>847</v>
      </c>
      <c r="C54" s="22" t="s">
        <v>841</v>
      </c>
      <c r="D54" s="22" t="s">
        <v>824</v>
      </c>
      <c r="E54" s="22" t="s">
        <v>773</v>
      </c>
      <c r="F54" s="22" t="s">
        <v>774</v>
      </c>
      <c r="G54" s="22" t="s">
        <v>785</v>
      </c>
    </row>
    <row r="55" spans="1:7">
      <c r="A55" s="22" t="s">
        <v>851</v>
      </c>
      <c r="B55" s="22" t="s">
        <v>847</v>
      </c>
      <c r="C55" s="22" t="s">
        <v>841</v>
      </c>
      <c r="D55" s="22" t="s">
        <v>824</v>
      </c>
      <c r="E55" s="22" t="s">
        <v>773</v>
      </c>
      <c r="F55" s="22" t="s">
        <v>774</v>
      </c>
      <c r="G55" s="22" t="s">
        <v>785</v>
      </c>
    </row>
    <row r="56" spans="1:7">
      <c r="A56" s="22" t="s">
        <v>852</v>
      </c>
      <c r="B56" s="22" t="s">
        <v>847</v>
      </c>
      <c r="C56" s="22" t="s">
        <v>841</v>
      </c>
      <c r="D56" s="22" t="s">
        <v>824</v>
      </c>
      <c r="E56" s="22" t="s">
        <v>773</v>
      </c>
      <c r="F56" s="22" t="s">
        <v>774</v>
      </c>
      <c r="G56" s="22" t="s">
        <v>785</v>
      </c>
    </row>
    <row r="57" spans="1:7">
      <c r="A57" s="22" t="s">
        <v>853</v>
      </c>
      <c r="B57" s="22" t="s">
        <v>847</v>
      </c>
      <c r="C57" s="22" t="s">
        <v>841</v>
      </c>
      <c r="D57" s="22" t="s">
        <v>824</v>
      </c>
      <c r="E57" s="22" t="s">
        <v>773</v>
      </c>
      <c r="F57" s="22" t="s">
        <v>774</v>
      </c>
      <c r="G57" s="22" t="s">
        <v>785</v>
      </c>
    </row>
    <row r="58" spans="1:7">
      <c r="A58" s="22" t="s">
        <v>854</v>
      </c>
      <c r="B58" s="22" t="s">
        <v>847</v>
      </c>
      <c r="C58" s="22" t="s">
        <v>841</v>
      </c>
      <c r="D58" s="22" t="s">
        <v>824</v>
      </c>
      <c r="E58" s="22" t="s">
        <v>773</v>
      </c>
      <c r="F58" s="22" t="s">
        <v>774</v>
      </c>
      <c r="G58" s="22" t="s">
        <v>785</v>
      </c>
    </row>
    <row r="59" spans="1:7">
      <c r="A59" s="22" t="s">
        <v>855</v>
      </c>
      <c r="B59" s="22" t="s">
        <v>847</v>
      </c>
      <c r="C59" s="22" t="s">
        <v>841</v>
      </c>
      <c r="D59" s="22" t="s">
        <v>824</v>
      </c>
      <c r="E59" s="22" t="s">
        <v>773</v>
      </c>
      <c r="F59" s="22" t="s">
        <v>774</v>
      </c>
      <c r="G59" s="22" t="s">
        <v>785</v>
      </c>
    </row>
    <row r="60" spans="1:7">
      <c r="A60" s="22" t="s">
        <v>856</v>
      </c>
      <c r="B60" s="22" t="s">
        <v>847</v>
      </c>
      <c r="C60" s="22" t="s">
        <v>841</v>
      </c>
      <c r="D60" s="22" t="s">
        <v>824</v>
      </c>
      <c r="E60" s="22" t="s">
        <v>773</v>
      </c>
      <c r="F60" s="22" t="s">
        <v>774</v>
      </c>
      <c r="G60" s="22" t="s">
        <v>785</v>
      </c>
    </row>
    <row r="61" spans="1:7">
      <c r="A61" s="22" t="s">
        <v>857</v>
      </c>
      <c r="B61" s="22" t="s">
        <v>847</v>
      </c>
      <c r="C61" s="22" t="s">
        <v>841</v>
      </c>
      <c r="D61" s="22" t="s">
        <v>824</v>
      </c>
      <c r="E61" s="22" t="s">
        <v>773</v>
      </c>
      <c r="F61" s="22" t="s">
        <v>774</v>
      </c>
      <c r="G61" s="22" t="s">
        <v>785</v>
      </c>
    </row>
    <row r="62" spans="1:7">
      <c r="A62" s="22" t="s">
        <v>858</v>
      </c>
      <c r="B62" s="22" t="s">
        <v>847</v>
      </c>
      <c r="C62" s="22" t="s">
        <v>841</v>
      </c>
      <c r="D62" s="22" t="s">
        <v>824</v>
      </c>
      <c r="E62" s="22" t="s">
        <v>773</v>
      </c>
      <c r="F62" s="22" t="s">
        <v>774</v>
      </c>
      <c r="G62" s="22" t="s">
        <v>785</v>
      </c>
    </row>
    <row r="63" spans="1:7">
      <c r="A63" s="22" t="s">
        <v>859</v>
      </c>
      <c r="B63" s="22" t="s">
        <v>847</v>
      </c>
      <c r="C63" s="22" t="s">
        <v>841</v>
      </c>
      <c r="D63" s="22" t="s">
        <v>824</v>
      </c>
      <c r="E63" s="22" t="s">
        <v>773</v>
      </c>
      <c r="F63" s="22" t="s">
        <v>774</v>
      </c>
      <c r="G63" s="22" t="s">
        <v>785</v>
      </c>
    </row>
    <row r="64" spans="1:7">
      <c r="A64" s="22" t="s">
        <v>860</v>
      </c>
      <c r="B64" s="22" t="s">
        <v>847</v>
      </c>
      <c r="C64" s="22" t="s">
        <v>841</v>
      </c>
      <c r="D64" s="22" t="s">
        <v>824</v>
      </c>
      <c r="E64" s="22" t="s">
        <v>773</v>
      </c>
      <c r="F64" s="22" t="s">
        <v>774</v>
      </c>
      <c r="G64" s="22" t="s">
        <v>785</v>
      </c>
    </row>
    <row r="65" spans="1:7">
      <c r="A65" s="22" t="s">
        <v>861</v>
      </c>
      <c r="B65" s="22" t="s">
        <v>847</v>
      </c>
      <c r="C65" s="22" t="s">
        <v>841</v>
      </c>
      <c r="D65" s="22" t="s">
        <v>824</v>
      </c>
      <c r="E65" s="22" t="s">
        <v>773</v>
      </c>
      <c r="F65" s="22" t="s">
        <v>774</v>
      </c>
      <c r="G65" s="22" t="s">
        <v>785</v>
      </c>
    </row>
    <row r="66" spans="1:7">
      <c r="A66" s="22" t="s">
        <v>862</v>
      </c>
      <c r="B66" s="22" t="s">
        <v>847</v>
      </c>
      <c r="C66" s="22" t="s">
        <v>841</v>
      </c>
      <c r="D66" s="22" t="s">
        <v>824</v>
      </c>
      <c r="E66" s="22" t="s">
        <v>773</v>
      </c>
      <c r="F66" s="22" t="s">
        <v>774</v>
      </c>
      <c r="G66" s="22" t="s">
        <v>785</v>
      </c>
    </row>
    <row r="67" spans="1:7">
      <c r="A67" s="22" t="s">
        <v>863</v>
      </c>
      <c r="B67" s="22" t="s">
        <v>864</v>
      </c>
      <c r="C67" s="22" t="s">
        <v>841</v>
      </c>
      <c r="D67" s="22" t="s">
        <v>824</v>
      </c>
      <c r="E67" s="22" t="s">
        <v>773</v>
      </c>
      <c r="F67" s="22" t="s">
        <v>774</v>
      </c>
      <c r="G67" s="22" t="s">
        <v>785</v>
      </c>
    </row>
    <row r="68" spans="1:7">
      <c r="A68" s="22" t="s">
        <v>865</v>
      </c>
      <c r="B68" s="22" t="s">
        <v>866</v>
      </c>
      <c r="C68" s="22" t="s">
        <v>841</v>
      </c>
      <c r="D68" s="22" t="s">
        <v>824</v>
      </c>
      <c r="E68" s="22" t="s">
        <v>773</v>
      </c>
      <c r="F68" s="22" t="s">
        <v>774</v>
      </c>
      <c r="G68" s="22" t="s">
        <v>785</v>
      </c>
    </row>
    <row r="69" spans="1:7">
      <c r="A69" s="22" t="s">
        <v>867</v>
      </c>
      <c r="B69" s="22" t="s">
        <v>866</v>
      </c>
      <c r="C69" s="22" t="s">
        <v>841</v>
      </c>
      <c r="D69" s="22" t="s">
        <v>824</v>
      </c>
      <c r="E69" s="22" t="s">
        <v>773</v>
      </c>
      <c r="F69" s="22" t="s">
        <v>774</v>
      </c>
      <c r="G69" s="22" t="s">
        <v>785</v>
      </c>
    </row>
    <row r="70" spans="1:7">
      <c r="A70" s="22" t="s">
        <v>868</v>
      </c>
      <c r="B70" s="22" t="s">
        <v>866</v>
      </c>
      <c r="C70" s="22" t="s">
        <v>841</v>
      </c>
      <c r="D70" s="22" t="s">
        <v>824</v>
      </c>
      <c r="E70" s="22" t="s">
        <v>773</v>
      </c>
      <c r="F70" s="22" t="s">
        <v>774</v>
      </c>
      <c r="G70" s="22" t="s">
        <v>785</v>
      </c>
    </row>
    <row r="71" spans="1:7">
      <c r="A71" s="22" t="s">
        <v>869</v>
      </c>
      <c r="B71" s="22" t="s">
        <v>870</v>
      </c>
      <c r="C71" s="22" t="s">
        <v>841</v>
      </c>
      <c r="D71" s="22" t="s">
        <v>824</v>
      </c>
      <c r="E71" s="22" t="s">
        <v>773</v>
      </c>
      <c r="F71" s="22" t="s">
        <v>774</v>
      </c>
      <c r="G71" s="22" t="s">
        <v>785</v>
      </c>
    </row>
    <row r="72" spans="1:7">
      <c r="A72" s="22" t="s">
        <v>871</v>
      </c>
      <c r="B72" s="22" t="s">
        <v>870</v>
      </c>
      <c r="C72" s="22" t="s">
        <v>841</v>
      </c>
      <c r="D72" s="22" t="s">
        <v>824</v>
      </c>
      <c r="E72" s="22" t="s">
        <v>773</v>
      </c>
      <c r="F72" s="22" t="s">
        <v>774</v>
      </c>
      <c r="G72" s="22" t="s">
        <v>785</v>
      </c>
    </row>
    <row r="73" spans="1:7">
      <c r="A73" s="22" t="s">
        <v>872</v>
      </c>
      <c r="B73" s="22" t="s">
        <v>870</v>
      </c>
      <c r="C73" s="22" t="s">
        <v>841</v>
      </c>
      <c r="D73" s="22" t="s">
        <v>824</v>
      </c>
      <c r="E73" s="22" t="s">
        <v>773</v>
      </c>
      <c r="F73" s="22" t="s">
        <v>774</v>
      </c>
      <c r="G73" s="22" t="s">
        <v>785</v>
      </c>
    </row>
    <row r="74" spans="1:7">
      <c r="A74" s="22" t="s">
        <v>873</v>
      </c>
      <c r="B74" s="22" t="s">
        <v>870</v>
      </c>
      <c r="C74" s="22" t="s">
        <v>841</v>
      </c>
      <c r="D74" s="22" t="s">
        <v>824</v>
      </c>
      <c r="E74" s="22" t="s">
        <v>773</v>
      </c>
      <c r="F74" s="22" t="s">
        <v>774</v>
      </c>
      <c r="G74" s="22" t="s">
        <v>785</v>
      </c>
    </row>
    <row r="75" spans="1:7">
      <c r="A75" s="22" t="s">
        <v>874</v>
      </c>
      <c r="B75" s="22" t="s">
        <v>870</v>
      </c>
      <c r="C75" s="22" t="s">
        <v>841</v>
      </c>
      <c r="D75" s="22" t="s">
        <v>824</v>
      </c>
      <c r="E75" s="22" t="s">
        <v>773</v>
      </c>
      <c r="F75" s="22" t="s">
        <v>774</v>
      </c>
      <c r="G75" s="22" t="s">
        <v>785</v>
      </c>
    </row>
    <row r="76" spans="1:7">
      <c r="A76" s="22" t="s">
        <v>875</v>
      </c>
      <c r="B76" s="22" t="s">
        <v>876</v>
      </c>
      <c r="C76" s="22" t="s">
        <v>841</v>
      </c>
      <c r="D76" s="22" t="s">
        <v>824</v>
      </c>
      <c r="E76" s="22" t="s">
        <v>773</v>
      </c>
      <c r="F76" s="22" t="s">
        <v>774</v>
      </c>
      <c r="G76" s="22" t="s">
        <v>785</v>
      </c>
    </row>
    <row r="77" spans="1:7">
      <c r="A77" s="22" t="s">
        <v>877</v>
      </c>
      <c r="B77" s="22" t="s">
        <v>876</v>
      </c>
      <c r="C77" s="22" t="s">
        <v>841</v>
      </c>
      <c r="D77" s="22" t="s">
        <v>824</v>
      </c>
      <c r="E77" s="22" t="s">
        <v>773</v>
      </c>
      <c r="F77" s="22" t="s">
        <v>774</v>
      </c>
      <c r="G77" s="22" t="s">
        <v>785</v>
      </c>
    </row>
    <row r="78" spans="1:7">
      <c r="A78" s="22" t="s">
        <v>878</v>
      </c>
      <c r="B78" s="22" t="s">
        <v>879</v>
      </c>
      <c r="C78" s="22" t="s">
        <v>841</v>
      </c>
      <c r="D78" s="22" t="s">
        <v>824</v>
      </c>
      <c r="E78" s="22" t="s">
        <v>773</v>
      </c>
      <c r="F78" s="22" t="s">
        <v>774</v>
      </c>
      <c r="G78" s="22" t="s">
        <v>785</v>
      </c>
    </row>
    <row r="79" spans="1:7">
      <c r="A79" s="22" t="s">
        <v>880</v>
      </c>
      <c r="B79" s="22" t="s">
        <v>879</v>
      </c>
      <c r="C79" s="22" t="s">
        <v>841</v>
      </c>
      <c r="D79" s="22" t="s">
        <v>824</v>
      </c>
      <c r="E79" s="22" t="s">
        <v>773</v>
      </c>
      <c r="F79" s="22" t="s">
        <v>774</v>
      </c>
      <c r="G79" s="22" t="s">
        <v>785</v>
      </c>
    </row>
    <row r="80" spans="1:7">
      <c r="A80" s="22" t="s">
        <v>881</v>
      </c>
      <c r="B80" s="22" t="s">
        <v>841</v>
      </c>
      <c r="C80" s="22" t="s">
        <v>841</v>
      </c>
      <c r="D80" s="22" t="s">
        <v>824</v>
      </c>
      <c r="E80" s="22" t="s">
        <v>773</v>
      </c>
      <c r="F80" s="22" t="s">
        <v>774</v>
      </c>
      <c r="G80" s="22" t="s">
        <v>785</v>
      </c>
    </row>
    <row r="81" spans="1:7">
      <c r="A81" s="22" t="s">
        <v>882</v>
      </c>
      <c r="B81" s="22" t="s">
        <v>841</v>
      </c>
      <c r="C81" s="22" t="s">
        <v>841</v>
      </c>
      <c r="D81" s="22" t="s">
        <v>824</v>
      </c>
      <c r="E81" s="22" t="s">
        <v>773</v>
      </c>
      <c r="F81" s="22" t="s">
        <v>774</v>
      </c>
      <c r="G81" s="22" t="s">
        <v>785</v>
      </c>
    </row>
    <row r="82" spans="1:7">
      <c r="A82" s="22" t="s">
        <v>883</v>
      </c>
      <c r="B82" s="22" t="s">
        <v>841</v>
      </c>
      <c r="C82" s="22" t="s">
        <v>841</v>
      </c>
      <c r="D82" s="22" t="s">
        <v>824</v>
      </c>
      <c r="E82" s="22" t="s">
        <v>773</v>
      </c>
      <c r="F82" s="22" t="s">
        <v>774</v>
      </c>
      <c r="G82" s="22" t="s">
        <v>785</v>
      </c>
    </row>
    <row r="83" spans="1:7">
      <c r="A83" s="22" t="s">
        <v>884</v>
      </c>
      <c r="B83" s="22" t="s">
        <v>841</v>
      </c>
      <c r="C83" s="22" t="s">
        <v>841</v>
      </c>
      <c r="D83" s="22" t="s">
        <v>824</v>
      </c>
      <c r="E83" s="22" t="s">
        <v>773</v>
      </c>
      <c r="F83" s="22" t="s">
        <v>774</v>
      </c>
      <c r="G83" s="22" t="s">
        <v>785</v>
      </c>
    </row>
    <row r="84" spans="1:7">
      <c r="A84" s="22" t="s">
        <v>885</v>
      </c>
      <c r="B84" s="22" t="s">
        <v>886</v>
      </c>
      <c r="C84" s="22" t="s">
        <v>886</v>
      </c>
      <c r="D84" s="22" t="s">
        <v>784</v>
      </c>
      <c r="E84" s="22" t="s">
        <v>773</v>
      </c>
      <c r="F84" s="22" t="s">
        <v>774</v>
      </c>
      <c r="G84" s="22" t="s">
        <v>785</v>
      </c>
    </row>
    <row r="85" spans="1:7">
      <c r="A85" s="22" t="s">
        <v>887</v>
      </c>
      <c r="B85" s="22" t="s">
        <v>886</v>
      </c>
      <c r="C85" s="22" t="s">
        <v>886</v>
      </c>
      <c r="D85" s="22" t="s">
        <v>809</v>
      </c>
      <c r="E85" s="22" t="s">
        <v>773</v>
      </c>
      <c r="F85" s="22" t="s">
        <v>774</v>
      </c>
      <c r="G85" s="22" t="s">
        <v>785</v>
      </c>
    </row>
    <row r="86" spans="1:7">
      <c r="A86" s="22" t="s">
        <v>888</v>
      </c>
      <c r="B86" s="22" t="s">
        <v>886</v>
      </c>
      <c r="C86" s="22" t="s">
        <v>886</v>
      </c>
      <c r="D86" s="22" t="s">
        <v>784</v>
      </c>
      <c r="E86" s="22" t="s">
        <v>773</v>
      </c>
      <c r="F86" s="22" t="s">
        <v>774</v>
      </c>
      <c r="G86" s="22" t="s">
        <v>785</v>
      </c>
    </row>
    <row r="87" spans="1:7">
      <c r="A87" s="22" t="s">
        <v>889</v>
      </c>
      <c r="B87" s="22" t="s">
        <v>886</v>
      </c>
      <c r="C87" s="22" t="s">
        <v>886</v>
      </c>
      <c r="D87" s="22" t="s">
        <v>809</v>
      </c>
      <c r="E87" s="22" t="s">
        <v>773</v>
      </c>
      <c r="F87" s="22" t="s">
        <v>774</v>
      </c>
      <c r="G87" s="22" t="s">
        <v>785</v>
      </c>
    </row>
    <row r="88" spans="1:7">
      <c r="A88" s="22" t="s">
        <v>890</v>
      </c>
      <c r="B88" s="22" t="s">
        <v>890</v>
      </c>
      <c r="C88" s="22" t="s">
        <v>891</v>
      </c>
      <c r="D88" s="22" t="s">
        <v>780</v>
      </c>
      <c r="E88" s="22" t="s">
        <v>773</v>
      </c>
      <c r="F88" s="22" t="s">
        <v>774</v>
      </c>
      <c r="G88" s="22" t="s">
        <v>785</v>
      </c>
    </row>
    <row r="89" spans="1:7">
      <c r="A89" s="22" t="s">
        <v>892</v>
      </c>
      <c r="B89" s="22" t="s">
        <v>893</v>
      </c>
      <c r="C89" s="22" t="s">
        <v>894</v>
      </c>
      <c r="D89" s="22" t="s">
        <v>780</v>
      </c>
      <c r="E89" s="22" t="s">
        <v>773</v>
      </c>
      <c r="F89" s="22" t="s">
        <v>774</v>
      </c>
      <c r="G89" s="22" t="s">
        <v>785</v>
      </c>
    </row>
    <row r="90" spans="1:7">
      <c r="A90" s="22" t="s">
        <v>895</v>
      </c>
      <c r="B90" s="22" t="s">
        <v>896</v>
      </c>
      <c r="C90" s="22" t="s">
        <v>891</v>
      </c>
      <c r="D90" s="22" t="s">
        <v>897</v>
      </c>
      <c r="E90" s="22" t="s">
        <v>773</v>
      </c>
      <c r="F90" s="22" t="s">
        <v>774</v>
      </c>
      <c r="G90" s="22" t="s">
        <v>785</v>
      </c>
    </row>
    <row r="91" spans="1:7">
      <c r="A91" s="22" t="s">
        <v>898</v>
      </c>
      <c r="B91" s="22" t="s">
        <v>899</v>
      </c>
      <c r="C91" s="22" t="s">
        <v>894</v>
      </c>
      <c r="D91" s="22" t="s">
        <v>897</v>
      </c>
      <c r="E91" s="22" t="s">
        <v>773</v>
      </c>
      <c r="F91" s="22" t="s">
        <v>774</v>
      </c>
      <c r="G91" s="22" t="s">
        <v>785</v>
      </c>
    </row>
    <row r="92" spans="1:7">
      <c r="A92" s="22" t="s">
        <v>900</v>
      </c>
      <c r="B92" s="22" t="s">
        <v>901</v>
      </c>
      <c r="C92" s="22" t="s">
        <v>891</v>
      </c>
      <c r="D92" s="22" t="s">
        <v>897</v>
      </c>
      <c r="E92" s="22" t="s">
        <v>773</v>
      </c>
      <c r="F92" s="22" t="s">
        <v>774</v>
      </c>
      <c r="G92" s="22" t="s">
        <v>785</v>
      </c>
    </row>
    <row r="93" spans="1:7">
      <c r="A93" s="22" t="s">
        <v>902</v>
      </c>
      <c r="B93" s="22" t="s">
        <v>901</v>
      </c>
      <c r="C93" s="22" t="s">
        <v>891</v>
      </c>
      <c r="D93" s="22" t="s">
        <v>897</v>
      </c>
      <c r="E93" s="22" t="s">
        <v>773</v>
      </c>
      <c r="F93" s="22" t="s">
        <v>774</v>
      </c>
      <c r="G93" s="22" t="s">
        <v>785</v>
      </c>
    </row>
    <row r="94" spans="1:7">
      <c r="A94" s="22" t="s">
        <v>903</v>
      </c>
      <c r="B94" s="22" t="s">
        <v>899</v>
      </c>
      <c r="C94" s="22" t="s">
        <v>894</v>
      </c>
      <c r="D94" s="22" t="s">
        <v>897</v>
      </c>
      <c r="E94" s="22" t="s">
        <v>773</v>
      </c>
      <c r="F94" s="22" t="s">
        <v>774</v>
      </c>
      <c r="G94" s="22" t="s">
        <v>785</v>
      </c>
    </row>
    <row r="95" spans="1:7">
      <c r="A95" s="22" t="s">
        <v>904</v>
      </c>
      <c r="B95" s="22" t="s">
        <v>901</v>
      </c>
      <c r="C95" s="22" t="s">
        <v>891</v>
      </c>
      <c r="D95" s="22" t="s">
        <v>897</v>
      </c>
      <c r="E95" s="22" t="s">
        <v>773</v>
      </c>
      <c r="F95" s="22" t="s">
        <v>774</v>
      </c>
      <c r="G95" s="22" t="s">
        <v>785</v>
      </c>
    </row>
    <row r="96" spans="1:7">
      <c r="A96" s="22" t="s">
        <v>905</v>
      </c>
      <c r="B96" s="22" t="s">
        <v>899</v>
      </c>
      <c r="C96" s="22" t="s">
        <v>894</v>
      </c>
      <c r="D96" s="22" t="s">
        <v>897</v>
      </c>
      <c r="E96" s="22" t="s">
        <v>773</v>
      </c>
      <c r="F96" s="22" t="s">
        <v>774</v>
      </c>
      <c r="G96" s="22" t="s">
        <v>785</v>
      </c>
    </row>
    <row r="97" spans="1:7">
      <c r="A97" s="22" t="s">
        <v>906</v>
      </c>
      <c r="B97" s="22" t="s">
        <v>901</v>
      </c>
      <c r="C97" s="22" t="s">
        <v>891</v>
      </c>
      <c r="D97" s="22" t="s">
        <v>897</v>
      </c>
      <c r="E97" s="22" t="s">
        <v>773</v>
      </c>
      <c r="F97" s="22" t="s">
        <v>774</v>
      </c>
      <c r="G97" s="22" t="s">
        <v>785</v>
      </c>
    </row>
    <row r="98" spans="1:7">
      <c r="A98" s="22" t="s">
        <v>907</v>
      </c>
      <c r="B98" s="22" t="s">
        <v>908</v>
      </c>
      <c r="C98" s="22" t="s">
        <v>891</v>
      </c>
      <c r="D98" s="22" t="s">
        <v>897</v>
      </c>
      <c r="E98" s="22" t="s">
        <v>773</v>
      </c>
      <c r="F98" s="22" t="s">
        <v>774</v>
      </c>
      <c r="G98" s="22" t="s">
        <v>785</v>
      </c>
    </row>
    <row r="99" spans="1:7">
      <c r="A99" s="22" t="s">
        <v>909</v>
      </c>
      <c r="B99" s="22" t="s">
        <v>910</v>
      </c>
      <c r="C99" s="22" t="s">
        <v>894</v>
      </c>
      <c r="D99" s="22" t="s">
        <v>897</v>
      </c>
      <c r="E99" s="22" t="s">
        <v>773</v>
      </c>
      <c r="F99" s="22" t="s">
        <v>774</v>
      </c>
      <c r="G99" s="22" t="s">
        <v>785</v>
      </c>
    </row>
    <row r="100" spans="1:7">
      <c r="A100" s="22" t="s">
        <v>911</v>
      </c>
      <c r="B100" s="22" t="s">
        <v>908</v>
      </c>
      <c r="C100" s="22" t="s">
        <v>891</v>
      </c>
      <c r="D100" s="22" t="s">
        <v>897</v>
      </c>
      <c r="E100" s="22" t="s">
        <v>773</v>
      </c>
      <c r="F100" s="22" t="s">
        <v>774</v>
      </c>
      <c r="G100" s="22" t="s">
        <v>785</v>
      </c>
    </row>
    <row r="101" spans="1:7">
      <c r="A101" s="22" t="s">
        <v>912</v>
      </c>
      <c r="B101" s="22" t="s">
        <v>910</v>
      </c>
      <c r="C101" s="22" t="s">
        <v>913</v>
      </c>
      <c r="D101" s="22" t="s">
        <v>897</v>
      </c>
      <c r="E101" s="22" t="s">
        <v>773</v>
      </c>
      <c r="F101" s="22" t="s">
        <v>774</v>
      </c>
      <c r="G101" s="22" t="s">
        <v>785</v>
      </c>
    </row>
    <row r="102" spans="1:7">
      <c r="A102" s="22" t="s">
        <v>914</v>
      </c>
      <c r="B102" s="22" t="s">
        <v>908</v>
      </c>
      <c r="C102" s="22" t="s">
        <v>891</v>
      </c>
      <c r="D102" s="22" t="s">
        <v>897</v>
      </c>
      <c r="E102" s="22" t="s">
        <v>773</v>
      </c>
      <c r="F102" s="22" t="s">
        <v>774</v>
      </c>
      <c r="G102" s="22" t="s">
        <v>785</v>
      </c>
    </row>
    <row r="103" spans="1:7">
      <c r="A103" s="22" t="s">
        <v>915</v>
      </c>
      <c r="B103" s="22" t="s">
        <v>910</v>
      </c>
      <c r="C103" s="22" t="s">
        <v>913</v>
      </c>
      <c r="D103" s="22" t="s">
        <v>897</v>
      </c>
      <c r="E103" s="22" t="s">
        <v>773</v>
      </c>
      <c r="F103" s="22" t="s">
        <v>774</v>
      </c>
      <c r="G103" s="22" t="s">
        <v>785</v>
      </c>
    </row>
    <row r="104" spans="1:7">
      <c r="A104" s="22" t="s">
        <v>916</v>
      </c>
      <c r="B104" s="22" t="s">
        <v>908</v>
      </c>
      <c r="C104" s="22" t="s">
        <v>891</v>
      </c>
      <c r="D104" s="22" t="s">
        <v>897</v>
      </c>
      <c r="E104" s="22" t="s">
        <v>773</v>
      </c>
      <c r="F104" s="22" t="s">
        <v>774</v>
      </c>
      <c r="G104" s="22" t="s">
        <v>785</v>
      </c>
    </row>
    <row r="105" spans="1:7">
      <c r="A105" s="22" t="s">
        <v>917</v>
      </c>
      <c r="B105" s="22" t="s">
        <v>910</v>
      </c>
      <c r="C105" s="22" t="s">
        <v>913</v>
      </c>
      <c r="D105" s="22" t="s">
        <v>897</v>
      </c>
      <c r="E105" s="22" t="s">
        <v>773</v>
      </c>
      <c r="F105" s="22" t="s">
        <v>774</v>
      </c>
      <c r="G105" s="22" t="s">
        <v>785</v>
      </c>
    </row>
    <row r="106" spans="1:7">
      <c r="A106" s="22" t="s">
        <v>918</v>
      </c>
      <c r="B106" s="22" t="s">
        <v>908</v>
      </c>
      <c r="C106" s="22" t="s">
        <v>891</v>
      </c>
      <c r="D106" s="22" t="s">
        <v>897</v>
      </c>
      <c r="E106" s="22" t="s">
        <v>773</v>
      </c>
      <c r="F106" s="22" t="s">
        <v>774</v>
      </c>
      <c r="G106" s="22" t="s">
        <v>785</v>
      </c>
    </row>
    <row r="107" spans="1:7">
      <c r="A107" s="22" t="s">
        <v>919</v>
      </c>
      <c r="B107" s="22" t="s">
        <v>910</v>
      </c>
      <c r="C107" s="22" t="s">
        <v>913</v>
      </c>
      <c r="D107" s="22" t="s">
        <v>897</v>
      </c>
      <c r="E107" s="22" t="s">
        <v>773</v>
      </c>
      <c r="F107" s="22" t="s">
        <v>774</v>
      </c>
      <c r="G107" s="22" t="s">
        <v>785</v>
      </c>
    </row>
    <row r="108" spans="1:7">
      <c r="A108" s="22" t="s">
        <v>920</v>
      </c>
      <c r="B108" s="22" t="s">
        <v>896</v>
      </c>
      <c r="C108" s="22" t="s">
        <v>891</v>
      </c>
      <c r="D108" s="22" t="s">
        <v>897</v>
      </c>
      <c r="E108" s="22" t="s">
        <v>773</v>
      </c>
      <c r="F108" s="22" t="s">
        <v>774</v>
      </c>
      <c r="G108" s="22" t="s">
        <v>785</v>
      </c>
    </row>
    <row r="109" spans="1:7">
      <c r="A109" s="22" t="s">
        <v>921</v>
      </c>
      <c r="B109" s="22" t="s">
        <v>899</v>
      </c>
      <c r="C109" s="22" t="s">
        <v>913</v>
      </c>
      <c r="D109" s="22" t="s">
        <v>897</v>
      </c>
      <c r="E109" s="22" t="s">
        <v>773</v>
      </c>
      <c r="F109" s="22" t="s">
        <v>774</v>
      </c>
      <c r="G109" s="22" t="s">
        <v>785</v>
      </c>
    </row>
    <row r="110" spans="1:7">
      <c r="A110" s="22" t="s">
        <v>922</v>
      </c>
      <c r="B110" s="22" t="s">
        <v>896</v>
      </c>
      <c r="C110" s="22" t="s">
        <v>891</v>
      </c>
      <c r="D110" s="22" t="s">
        <v>897</v>
      </c>
      <c r="E110" s="22" t="s">
        <v>773</v>
      </c>
      <c r="F110" s="22" t="s">
        <v>774</v>
      </c>
      <c r="G110" s="22" t="s">
        <v>785</v>
      </c>
    </row>
    <row r="111" spans="1:7">
      <c r="A111" s="22" t="s">
        <v>923</v>
      </c>
      <c r="B111" s="22" t="s">
        <v>899</v>
      </c>
      <c r="C111" s="22" t="s">
        <v>913</v>
      </c>
      <c r="D111" s="22" t="s">
        <v>897</v>
      </c>
      <c r="E111" s="22" t="s">
        <v>773</v>
      </c>
      <c r="F111" s="22" t="s">
        <v>774</v>
      </c>
      <c r="G111" s="22" t="s">
        <v>785</v>
      </c>
    </row>
    <row r="112" spans="1:7">
      <c r="A112" s="22" t="s">
        <v>924</v>
      </c>
      <c r="B112" s="22" t="s">
        <v>896</v>
      </c>
      <c r="C112" s="22" t="s">
        <v>891</v>
      </c>
      <c r="D112" s="22" t="s">
        <v>897</v>
      </c>
      <c r="E112" s="22" t="s">
        <v>773</v>
      </c>
      <c r="F112" s="22" t="s">
        <v>774</v>
      </c>
      <c r="G112" s="22" t="s">
        <v>785</v>
      </c>
    </row>
    <row r="113" spans="1:7">
      <c r="A113" s="22" t="s">
        <v>925</v>
      </c>
      <c r="B113" s="22" t="s">
        <v>925</v>
      </c>
      <c r="C113" s="22" t="s">
        <v>891</v>
      </c>
      <c r="D113" s="22" t="s">
        <v>897</v>
      </c>
      <c r="E113" s="22" t="s">
        <v>773</v>
      </c>
      <c r="F113" s="22" t="s">
        <v>774</v>
      </c>
      <c r="G113" s="22" t="s">
        <v>785</v>
      </c>
    </row>
    <row r="114" spans="1:7">
      <c r="A114" s="22" t="s">
        <v>926</v>
      </c>
      <c r="B114" s="22" t="s">
        <v>899</v>
      </c>
      <c r="C114" s="22" t="s">
        <v>913</v>
      </c>
      <c r="D114" s="22" t="s">
        <v>897</v>
      </c>
      <c r="E114" s="22" t="s">
        <v>773</v>
      </c>
      <c r="F114" s="22" t="s">
        <v>774</v>
      </c>
      <c r="G114" s="22" t="s">
        <v>785</v>
      </c>
    </row>
    <row r="115" spans="1:7">
      <c r="A115" s="22" t="s">
        <v>927</v>
      </c>
      <c r="B115" s="22" t="s">
        <v>928</v>
      </c>
      <c r="C115" s="22" t="s">
        <v>891</v>
      </c>
      <c r="D115" s="22" t="s">
        <v>897</v>
      </c>
      <c r="E115" s="22" t="s">
        <v>773</v>
      </c>
      <c r="F115" s="22" t="s">
        <v>774</v>
      </c>
      <c r="G115" s="22" t="s">
        <v>785</v>
      </c>
    </row>
    <row r="116" spans="1:7">
      <c r="A116" s="22" t="s">
        <v>929</v>
      </c>
      <c r="B116" s="22" t="s">
        <v>893</v>
      </c>
      <c r="C116" s="22" t="s">
        <v>913</v>
      </c>
      <c r="D116" s="22" t="s">
        <v>897</v>
      </c>
      <c r="E116" s="22" t="s">
        <v>773</v>
      </c>
      <c r="F116" s="22" t="s">
        <v>774</v>
      </c>
      <c r="G116" s="22" t="s">
        <v>785</v>
      </c>
    </row>
    <row r="117" spans="1:7">
      <c r="A117" s="22" t="s">
        <v>930</v>
      </c>
      <c r="B117" s="22" t="s">
        <v>931</v>
      </c>
      <c r="C117" s="22" t="s">
        <v>931</v>
      </c>
      <c r="D117" s="22" t="s">
        <v>780</v>
      </c>
      <c r="E117" s="22" t="s">
        <v>773</v>
      </c>
      <c r="F117" s="22" t="s">
        <v>774</v>
      </c>
      <c r="G117" s="22" t="s">
        <v>785</v>
      </c>
    </row>
    <row r="118" spans="1:7">
      <c r="A118" s="22" t="s">
        <v>932</v>
      </c>
      <c r="B118" s="22" t="s">
        <v>931</v>
      </c>
      <c r="C118" s="22" t="s">
        <v>931</v>
      </c>
      <c r="D118" s="22" t="s">
        <v>780</v>
      </c>
      <c r="E118" s="22" t="s">
        <v>773</v>
      </c>
      <c r="F118" s="22" t="s">
        <v>774</v>
      </c>
      <c r="G118" s="22" t="s">
        <v>785</v>
      </c>
    </row>
    <row r="119" spans="1:7">
      <c r="A119" s="22" t="s">
        <v>933</v>
      </c>
      <c r="B119" s="22" t="s">
        <v>931</v>
      </c>
      <c r="C119" s="22" t="s">
        <v>931</v>
      </c>
      <c r="D119" s="22" t="s">
        <v>780</v>
      </c>
      <c r="E119" s="22" t="s">
        <v>773</v>
      </c>
      <c r="F119" s="22" t="s">
        <v>774</v>
      </c>
      <c r="G119" s="22" t="s">
        <v>785</v>
      </c>
    </row>
    <row r="120" spans="1:7">
      <c r="A120" s="22" t="s">
        <v>934</v>
      </c>
      <c r="B120" s="22" t="s">
        <v>931</v>
      </c>
      <c r="C120" s="22" t="s">
        <v>931</v>
      </c>
      <c r="D120" s="22" t="s">
        <v>780</v>
      </c>
      <c r="E120" s="22" t="s">
        <v>773</v>
      </c>
      <c r="F120" s="22" t="s">
        <v>774</v>
      </c>
      <c r="G120" s="22" t="s">
        <v>785</v>
      </c>
    </row>
    <row r="121" spans="1:7">
      <c r="A121" s="22" t="s">
        <v>935</v>
      </c>
      <c r="B121" s="22" t="s">
        <v>931</v>
      </c>
      <c r="C121" s="22" t="s">
        <v>931</v>
      </c>
      <c r="D121" s="22" t="s">
        <v>780</v>
      </c>
      <c r="E121" s="22" t="s">
        <v>773</v>
      </c>
      <c r="F121" s="22" t="s">
        <v>774</v>
      </c>
      <c r="G121" s="22" t="s">
        <v>785</v>
      </c>
    </row>
    <row r="122" spans="1:7">
      <c r="A122" s="22" t="s">
        <v>936</v>
      </c>
      <c r="B122" s="22" t="s">
        <v>931</v>
      </c>
      <c r="C122" s="22" t="s">
        <v>931</v>
      </c>
      <c r="D122" s="22" t="s">
        <v>780</v>
      </c>
      <c r="E122" s="22" t="s">
        <v>773</v>
      </c>
      <c r="F122" s="22" t="s">
        <v>774</v>
      </c>
      <c r="G122" s="22" t="s">
        <v>785</v>
      </c>
    </row>
    <row r="123" spans="1:7">
      <c r="A123" s="22" t="s">
        <v>937</v>
      </c>
      <c r="B123" s="22" t="s">
        <v>931</v>
      </c>
      <c r="C123" s="22" t="s">
        <v>931</v>
      </c>
      <c r="D123" s="22" t="s">
        <v>780</v>
      </c>
      <c r="E123" s="22" t="s">
        <v>773</v>
      </c>
      <c r="F123" s="22" t="s">
        <v>774</v>
      </c>
      <c r="G123" s="22" t="s">
        <v>785</v>
      </c>
    </row>
    <row r="124" spans="1:7">
      <c r="A124" s="22" t="s">
        <v>938</v>
      </c>
      <c r="B124" s="22" t="s">
        <v>931</v>
      </c>
      <c r="C124" s="22" t="s">
        <v>931</v>
      </c>
      <c r="D124" s="22" t="s">
        <v>780</v>
      </c>
      <c r="E124" s="22" t="s">
        <v>773</v>
      </c>
      <c r="F124" s="22" t="s">
        <v>774</v>
      </c>
      <c r="G124" s="22" t="s">
        <v>785</v>
      </c>
    </row>
    <row r="125" spans="1:7">
      <c r="A125" s="22" t="s">
        <v>939</v>
      </c>
      <c r="B125" s="22" t="s">
        <v>931</v>
      </c>
      <c r="C125" s="22" t="s">
        <v>931</v>
      </c>
      <c r="D125" s="22" t="s">
        <v>780</v>
      </c>
      <c r="E125" s="22" t="s">
        <v>773</v>
      </c>
      <c r="F125" s="22" t="s">
        <v>774</v>
      </c>
      <c r="G125" s="22" t="s">
        <v>785</v>
      </c>
    </row>
    <row r="126" spans="1:7">
      <c r="A126" s="22" t="s">
        <v>940</v>
      </c>
      <c r="B126" s="22" t="s">
        <v>931</v>
      </c>
      <c r="C126" s="22" t="s">
        <v>931</v>
      </c>
      <c r="D126" s="22" t="s">
        <v>780</v>
      </c>
      <c r="E126" s="22" t="s">
        <v>773</v>
      </c>
      <c r="F126" s="22" t="s">
        <v>774</v>
      </c>
      <c r="G126" s="22" t="s">
        <v>785</v>
      </c>
    </row>
    <row r="127" spans="1:7">
      <c r="A127" s="22" t="s">
        <v>941</v>
      </c>
      <c r="B127" s="22" t="s">
        <v>931</v>
      </c>
      <c r="C127" s="22" t="s">
        <v>931</v>
      </c>
      <c r="D127" s="22" t="s">
        <v>780</v>
      </c>
      <c r="E127" s="22" t="s">
        <v>773</v>
      </c>
      <c r="F127" s="22" t="s">
        <v>774</v>
      </c>
      <c r="G127" s="22" t="s">
        <v>785</v>
      </c>
    </row>
    <row r="128" spans="1:7">
      <c r="A128" s="22" t="s">
        <v>942</v>
      </c>
      <c r="B128" s="22" t="s">
        <v>931</v>
      </c>
      <c r="C128" s="22" t="s">
        <v>931</v>
      </c>
      <c r="D128" s="22" t="s">
        <v>780</v>
      </c>
      <c r="E128" s="22" t="s">
        <v>773</v>
      </c>
      <c r="F128" s="22" t="s">
        <v>774</v>
      </c>
      <c r="G128" s="22" t="s">
        <v>785</v>
      </c>
    </row>
    <row r="129" spans="1:7">
      <c r="A129" s="23" t="s">
        <v>943</v>
      </c>
      <c r="B129" s="22" t="s">
        <v>931</v>
      </c>
      <c r="C129" s="22" t="s">
        <v>931</v>
      </c>
      <c r="D129" s="22" t="s">
        <v>780</v>
      </c>
      <c r="E129" s="22" t="s">
        <v>773</v>
      </c>
      <c r="F129" s="22" t="s">
        <v>774</v>
      </c>
      <c r="G129" s="22" t="s">
        <v>785</v>
      </c>
    </row>
    <row r="130" spans="1:7">
      <c r="A130" s="22" t="s">
        <v>944</v>
      </c>
      <c r="B130" s="22" t="s">
        <v>931</v>
      </c>
      <c r="C130" s="22" t="s">
        <v>931</v>
      </c>
      <c r="D130" s="22" t="s">
        <v>780</v>
      </c>
      <c r="E130" s="22" t="s">
        <v>773</v>
      </c>
      <c r="F130" s="22" t="s">
        <v>774</v>
      </c>
      <c r="G130" s="22" t="s">
        <v>785</v>
      </c>
    </row>
    <row r="131" spans="1:7">
      <c r="A131" s="23" t="s">
        <v>945</v>
      </c>
      <c r="B131" s="22" t="s">
        <v>931</v>
      </c>
      <c r="C131" s="22" t="s">
        <v>931</v>
      </c>
      <c r="D131" s="22" t="s">
        <v>780</v>
      </c>
      <c r="E131" s="22" t="s">
        <v>773</v>
      </c>
      <c r="F131" s="22" t="s">
        <v>774</v>
      </c>
      <c r="G131" s="22" t="s">
        <v>785</v>
      </c>
    </row>
    <row r="132" spans="1:7">
      <c r="A132" s="23" t="s">
        <v>946</v>
      </c>
      <c r="B132" s="22" t="s">
        <v>931</v>
      </c>
      <c r="C132" s="22" t="s">
        <v>931</v>
      </c>
      <c r="D132" s="22" t="s">
        <v>780</v>
      </c>
      <c r="E132" s="22" t="s">
        <v>773</v>
      </c>
      <c r="F132" s="22" t="s">
        <v>774</v>
      </c>
      <c r="G132" s="22" t="s">
        <v>785</v>
      </c>
    </row>
    <row r="133" spans="1:7">
      <c r="A133" s="23" t="s">
        <v>947</v>
      </c>
      <c r="B133" s="22" t="s">
        <v>931</v>
      </c>
      <c r="C133" s="22" t="s">
        <v>931</v>
      </c>
      <c r="D133" s="22" t="s">
        <v>780</v>
      </c>
      <c r="E133" s="22" t="s">
        <v>773</v>
      </c>
      <c r="F133" s="22" t="s">
        <v>774</v>
      </c>
      <c r="G133" s="22" t="s">
        <v>785</v>
      </c>
    </row>
    <row r="134" spans="1:7">
      <c r="A134" s="23" t="s">
        <v>948</v>
      </c>
      <c r="B134" s="22" t="s">
        <v>931</v>
      </c>
      <c r="C134" s="22" t="s">
        <v>931</v>
      </c>
      <c r="D134" s="22" t="s">
        <v>780</v>
      </c>
      <c r="E134" s="22" t="s">
        <v>773</v>
      </c>
      <c r="F134" s="22" t="s">
        <v>774</v>
      </c>
      <c r="G134" s="22" t="s">
        <v>785</v>
      </c>
    </row>
    <row r="135" spans="1:7">
      <c r="A135" s="22" t="s">
        <v>949</v>
      </c>
      <c r="B135" s="22" t="s">
        <v>931</v>
      </c>
      <c r="C135" s="22" t="s">
        <v>931</v>
      </c>
      <c r="D135" s="22" t="s">
        <v>950</v>
      </c>
      <c r="E135" s="22" t="s">
        <v>773</v>
      </c>
      <c r="F135" s="22" t="s">
        <v>774</v>
      </c>
      <c r="G135" s="22" t="s">
        <v>785</v>
      </c>
    </row>
    <row r="136" spans="1:7">
      <c r="A136" s="22" t="s">
        <v>951</v>
      </c>
      <c r="B136" s="22" t="s">
        <v>931</v>
      </c>
      <c r="C136" s="22" t="s">
        <v>931</v>
      </c>
      <c r="D136" s="22" t="s">
        <v>780</v>
      </c>
      <c r="E136" s="22" t="s">
        <v>773</v>
      </c>
      <c r="F136" s="22" t="s">
        <v>774</v>
      </c>
      <c r="G136" s="22" t="s">
        <v>785</v>
      </c>
    </row>
    <row r="137" spans="1:7">
      <c r="A137" s="22" t="s">
        <v>952</v>
      </c>
      <c r="B137" s="22" t="s">
        <v>931</v>
      </c>
      <c r="C137" s="22" t="s">
        <v>931</v>
      </c>
      <c r="D137" s="22" t="s">
        <v>953</v>
      </c>
      <c r="E137" s="22" t="s">
        <v>773</v>
      </c>
      <c r="F137" s="22" t="s">
        <v>774</v>
      </c>
      <c r="G137" s="22" t="s">
        <v>785</v>
      </c>
    </row>
    <row r="138" spans="1:7">
      <c r="A138" s="23" t="s">
        <v>954</v>
      </c>
      <c r="B138" s="22" t="s">
        <v>931</v>
      </c>
      <c r="C138" s="22" t="s">
        <v>931</v>
      </c>
      <c r="D138" s="22" t="s">
        <v>780</v>
      </c>
      <c r="E138" s="22" t="s">
        <v>773</v>
      </c>
      <c r="F138" s="22" t="s">
        <v>774</v>
      </c>
      <c r="G138" s="22" t="s">
        <v>785</v>
      </c>
    </row>
    <row r="139" spans="1:7">
      <c r="A139" s="22" t="s">
        <v>955</v>
      </c>
      <c r="B139" s="22" t="s">
        <v>931</v>
      </c>
      <c r="C139" s="22" t="s">
        <v>931</v>
      </c>
      <c r="D139" s="22" t="s">
        <v>780</v>
      </c>
      <c r="E139" s="22" t="s">
        <v>773</v>
      </c>
      <c r="F139" s="22" t="s">
        <v>774</v>
      </c>
      <c r="G139" s="22" t="s">
        <v>785</v>
      </c>
    </row>
    <row r="140" spans="1:7">
      <c r="A140" s="23" t="s">
        <v>956</v>
      </c>
      <c r="B140" s="22" t="s">
        <v>931</v>
      </c>
      <c r="C140" s="22" t="s">
        <v>931</v>
      </c>
      <c r="D140" s="22" t="s">
        <v>780</v>
      </c>
      <c r="E140" s="22" t="s">
        <v>773</v>
      </c>
      <c r="F140" s="22" t="s">
        <v>774</v>
      </c>
      <c r="G140" s="22" t="s">
        <v>785</v>
      </c>
    </row>
    <row r="141" spans="1:7">
      <c r="A141" s="23" t="s">
        <v>957</v>
      </c>
      <c r="B141" s="22" t="s">
        <v>931</v>
      </c>
      <c r="C141" s="22" t="s">
        <v>931</v>
      </c>
      <c r="D141" s="22" t="s">
        <v>780</v>
      </c>
      <c r="E141" s="22" t="s">
        <v>773</v>
      </c>
      <c r="F141" s="22" t="s">
        <v>774</v>
      </c>
      <c r="G141" s="22" t="s">
        <v>785</v>
      </c>
    </row>
    <row r="142" spans="1:7">
      <c r="A142" s="23" t="s">
        <v>958</v>
      </c>
      <c r="B142" s="22" t="s">
        <v>931</v>
      </c>
      <c r="C142" s="22" t="s">
        <v>931</v>
      </c>
      <c r="D142" s="22" t="s">
        <v>780</v>
      </c>
      <c r="E142" s="22" t="s">
        <v>773</v>
      </c>
      <c r="F142" s="22" t="s">
        <v>774</v>
      </c>
      <c r="G142" s="22" t="s">
        <v>785</v>
      </c>
    </row>
    <row r="143" spans="1:7">
      <c r="A143" s="23" t="s">
        <v>959</v>
      </c>
      <c r="B143" s="22" t="s">
        <v>931</v>
      </c>
      <c r="C143" s="22" t="s">
        <v>931</v>
      </c>
      <c r="D143" s="22" t="s">
        <v>780</v>
      </c>
      <c r="E143" s="22" t="s">
        <v>773</v>
      </c>
      <c r="F143" s="22" t="s">
        <v>774</v>
      </c>
      <c r="G143" s="22" t="s">
        <v>785</v>
      </c>
    </row>
    <row r="144" spans="1:7">
      <c r="A144" s="23" t="s">
        <v>960</v>
      </c>
      <c r="B144" s="22" t="s">
        <v>931</v>
      </c>
      <c r="C144" s="22" t="s">
        <v>931</v>
      </c>
      <c r="D144" s="22" t="s">
        <v>780</v>
      </c>
      <c r="E144" s="22" t="s">
        <v>773</v>
      </c>
      <c r="F144" s="22" t="s">
        <v>774</v>
      </c>
      <c r="G144" s="22" t="s">
        <v>785</v>
      </c>
    </row>
    <row r="145" spans="1:7">
      <c r="A145" s="22" t="s">
        <v>961</v>
      </c>
      <c r="B145" s="22" t="s">
        <v>962</v>
      </c>
      <c r="C145" s="22" t="s">
        <v>962</v>
      </c>
      <c r="D145" s="22" t="s">
        <v>780</v>
      </c>
      <c r="E145" s="22" t="s">
        <v>773</v>
      </c>
      <c r="F145" s="22" t="s">
        <v>774</v>
      </c>
      <c r="G145" s="22" t="s">
        <v>785</v>
      </c>
    </row>
    <row r="146" spans="1:7">
      <c r="A146" s="22" t="s">
        <v>963</v>
      </c>
      <c r="B146" s="22" t="s">
        <v>962</v>
      </c>
      <c r="C146" s="22" t="s">
        <v>962</v>
      </c>
      <c r="D146" s="22" t="s">
        <v>780</v>
      </c>
      <c r="E146" s="22" t="s">
        <v>773</v>
      </c>
      <c r="F146" s="22" t="s">
        <v>774</v>
      </c>
      <c r="G146" s="22" t="s">
        <v>785</v>
      </c>
    </row>
    <row r="147" spans="1:7">
      <c r="A147" s="22" t="s">
        <v>964</v>
      </c>
      <c r="B147" s="22" t="s">
        <v>965</v>
      </c>
      <c r="C147" s="22" t="s">
        <v>966</v>
      </c>
      <c r="D147" s="22" t="s">
        <v>784</v>
      </c>
      <c r="E147" s="22" t="s">
        <v>773</v>
      </c>
      <c r="F147" s="22" t="s">
        <v>774</v>
      </c>
      <c r="G147" s="22" t="s">
        <v>785</v>
      </c>
    </row>
    <row r="148" spans="1:7">
      <c r="A148" s="22" t="s">
        <v>967</v>
      </c>
      <c r="B148" s="22" t="s">
        <v>965</v>
      </c>
      <c r="C148" s="22" t="s">
        <v>966</v>
      </c>
      <c r="D148" s="22" t="s">
        <v>784</v>
      </c>
      <c r="E148" s="22" t="s">
        <v>773</v>
      </c>
      <c r="F148" s="22" t="s">
        <v>774</v>
      </c>
      <c r="G148" s="22" t="s">
        <v>785</v>
      </c>
    </row>
    <row r="149" spans="1:7">
      <c r="A149" s="22" t="s">
        <v>968</v>
      </c>
      <c r="B149" s="22" t="s">
        <v>965</v>
      </c>
      <c r="C149" s="22" t="s">
        <v>966</v>
      </c>
      <c r="D149" s="22" t="s">
        <v>784</v>
      </c>
      <c r="E149" s="22" t="s">
        <v>773</v>
      </c>
      <c r="F149" s="22" t="s">
        <v>774</v>
      </c>
      <c r="G149" s="22" t="s">
        <v>785</v>
      </c>
    </row>
    <row r="150" spans="1:7">
      <c r="A150" s="22" t="s">
        <v>969</v>
      </c>
      <c r="B150" s="22" t="s">
        <v>965</v>
      </c>
      <c r="C150" s="22" t="s">
        <v>966</v>
      </c>
      <c r="D150" s="22" t="s">
        <v>784</v>
      </c>
      <c r="E150" s="22" t="s">
        <v>773</v>
      </c>
      <c r="F150" s="22" t="s">
        <v>774</v>
      </c>
      <c r="G150" s="22" t="s">
        <v>785</v>
      </c>
    </row>
    <row r="151" spans="1:7">
      <c r="A151" s="22" t="s">
        <v>970</v>
      </c>
      <c r="B151" s="22" t="s">
        <v>971</v>
      </c>
      <c r="C151" s="22" t="s">
        <v>966</v>
      </c>
      <c r="D151" s="22" t="s">
        <v>784</v>
      </c>
      <c r="E151" s="22" t="s">
        <v>773</v>
      </c>
      <c r="F151" s="22" t="s">
        <v>774</v>
      </c>
      <c r="G151" s="22" t="s">
        <v>785</v>
      </c>
    </row>
    <row r="152" spans="1:7">
      <c r="A152" s="22" t="s">
        <v>972</v>
      </c>
      <c r="B152" s="22" t="s">
        <v>971</v>
      </c>
      <c r="C152" s="22" t="s">
        <v>966</v>
      </c>
      <c r="D152" s="22" t="s">
        <v>784</v>
      </c>
      <c r="E152" s="22" t="s">
        <v>773</v>
      </c>
      <c r="F152" s="22" t="s">
        <v>774</v>
      </c>
      <c r="G152" s="22" t="s">
        <v>785</v>
      </c>
    </row>
    <row r="153" spans="1:7">
      <c r="A153" s="22" t="s">
        <v>973</v>
      </c>
      <c r="B153" s="22" t="s">
        <v>974</v>
      </c>
      <c r="C153" s="22" t="s">
        <v>966</v>
      </c>
      <c r="D153" s="22" t="s">
        <v>784</v>
      </c>
      <c r="E153" s="22" t="s">
        <v>773</v>
      </c>
      <c r="F153" s="22" t="s">
        <v>774</v>
      </c>
      <c r="G153" s="22" t="s">
        <v>785</v>
      </c>
    </row>
    <row r="154" spans="1:7">
      <c r="A154" s="22" t="s">
        <v>975</v>
      </c>
      <c r="B154" s="22" t="s">
        <v>974</v>
      </c>
      <c r="C154" s="22" t="s">
        <v>966</v>
      </c>
      <c r="D154" s="22" t="s">
        <v>784</v>
      </c>
      <c r="E154" s="22" t="s">
        <v>773</v>
      </c>
      <c r="F154" s="22" t="s">
        <v>774</v>
      </c>
      <c r="G154" s="22" t="s">
        <v>785</v>
      </c>
    </row>
    <row r="155" spans="1:7">
      <c r="A155" s="22" t="s">
        <v>976</v>
      </c>
      <c r="B155" s="22" t="s">
        <v>977</v>
      </c>
      <c r="C155" s="22" t="s">
        <v>977</v>
      </c>
      <c r="D155" s="22" t="s">
        <v>809</v>
      </c>
      <c r="E155" s="22" t="s">
        <v>773</v>
      </c>
      <c r="F155" s="22" t="s">
        <v>774</v>
      </c>
      <c r="G155" s="22" t="s">
        <v>785</v>
      </c>
    </row>
    <row r="156" spans="1:7">
      <c r="A156" s="22" t="s">
        <v>978</v>
      </c>
      <c r="B156" s="22" t="s">
        <v>977</v>
      </c>
      <c r="C156" s="22" t="s">
        <v>977</v>
      </c>
      <c r="D156" s="22" t="s">
        <v>822</v>
      </c>
      <c r="E156" s="22" t="s">
        <v>773</v>
      </c>
      <c r="F156" s="22" t="s">
        <v>774</v>
      </c>
      <c r="G156" s="22" t="s">
        <v>785</v>
      </c>
    </row>
    <row r="157" spans="1:7">
      <c r="A157" s="22" t="s">
        <v>979</v>
      </c>
      <c r="B157" s="22" t="s">
        <v>977</v>
      </c>
      <c r="C157" s="22" t="s">
        <v>977</v>
      </c>
      <c r="D157" s="22" t="s">
        <v>814</v>
      </c>
      <c r="E157" s="22" t="s">
        <v>773</v>
      </c>
      <c r="F157" s="22" t="s">
        <v>774</v>
      </c>
      <c r="G157" s="22" t="s">
        <v>785</v>
      </c>
    </row>
    <row r="158" spans="1:7">
      <c r="A158" s="22" t="s">
        <v>980</v>
      </c>
      <c r="B158" s="22" t="s">
        <v>977</v>
      </c>
      <c r="C158" s="22" t="s">
        <v>977</v>
      </c>
      <c r="D158" s="22" t="s">
        <v>824</v>
      </c>
      <c r="E158" s="22" t="s">
        <v>773</v>
      </c>
      <c r="F158" s="22" t="s">
        <v>774</v>
      </c>
      <c r="G158" s="22" t="s">
        <v>785</v>
      </c>
    </row>
    <row r="159" spans="1:7">
      <c r="A159" s="22" t="s">
        <v>981</v>
      </c>
      <c r="B159" s="22" t="s">
        <v>977</v>
      </c>
      <c r="C159" s="22" t="s">
        <v>977</v>
      </c>
      <c r="D159" s="22" t="s">
        <v>784</v>
      </c>
      <c r="E159" s="22" t="s">
        <v>773</v>
      </c>
      <c r="F159" s="22" t="s">
        <v>774</v>
      </c>
      <c r="G159" s="22" t="s">
        <v>785</v>
      </c>
    </row>
    <row r="160" spans="1:7">
      <c r="A160" s="22" t="s">
        <v>982</v>
      </c>
      <c r="B160" s="22" t="s">
        <v>977</v>
      </c>
      <c r="C160" s="22" t="s">
        <v>977</v>
      </c>
      <c r="D160" s="22" t="s">
        <v>809</v>
      </c>
      <c r="E160" s="22" t="s">
        <v>773</v>
      </c>
      <c r="F160" s="22" t="s">
        <v>774</v>
      </c>
      <c r="G160" s="22" t="s">
        <v>785</v>
      </c>
    </row>
    <row r="161" spans="1:7">
      <c r="A161" s="22" t="s">
        <v>983</v>
      </c>
      <c r="B161" s="22" t="s">
        <v>977</v>
      </c>
      <c r="C161" s="22" t="s">
        <v>977</v>
      </c>
      <c r="D161" s="22" t="s">
        <v>784</v>
      </c>
      <c r="E161" s="22" t="s">
        <v>773</v>
      </c>
      <c r="F161" s="22" t="s">
        <v>774</v>
      </c>
      <c r="G161" s="22" t="s">
        <v>785</v>
      </c>
    </row>
    <row r="162" spans="1:7">
      <c r="A162" s="22" t="s">
        <v>984</v>
      </c>
      <c r="B162" s="22" t="s">
        <v>977</v>
      </c>
      <c r="C162" s="22" t="s">
        <v>977</v>
      </c>
      <c r="D162" s="22" t="s">
        <v>824</v>
      </c>
      <c r="E162" s="22" t="s">
        <v>773</v>
      </c>
      <c r="F162" s="22" t="s">
        <v>774</v>
      </c>
      <c r="G162" s="22" t="s">
        <v>785</v>
      </c>
    </row>
    <row r="163" spans="1:7">
      <c r="A163" s="22" t="s">
        <v>985</v>
      </c>
      <c r="B163" s="22" t="s">
        <v>986</v>
      </c>
      <c r="C163" s="22" t="s">
        <v>986</v>
      </c>
      <c r="D163" s="22" t="s">
        <v>780</v>
      </c>
      <c r="E163" s="22" t="s">
        <v>773</v>
      </c>
      <c r="F163" s="22" t="s">
        <v>987</v>
      </c>
      <c r="G163" s="22" t="s">
        <v>785</v>
      </c>
    </row>
    <row r="164" spans="1:7">
      <c r="A164" s="22" t="s">
        <v>988</v>
      </c>
      <c r="B164" s="22" t="s">
        <v>986</v>
      </c>
      <c r="C164" s="22" t="s">
        <v>986</v>
      </c>
      <c r="D164" s="22" t="s">
        <v>780</v>
      </c>
      <c r="E164" s="22" t="s">
        <v>773</v>
      </c>
      <c r="F164" s="22" t="s">
        <v>987</v>
      </c>
      <c r="G164" s="22" t="s">
        <v>785</v>
      </c>
    </row>
    <row r="165" spans="1:7">
      <c r="A165" s="22" t="s">
        <v>989</v>
      </c>
      <c r="B165" s="22" t="s">
        <v>986</v>
      </c>
      <c r="C165" s="22" t="s">
        <v>986</v>
      </c>
      <c r="D165" s="22" t="s">
        <v>780</v>
      </c>
      <c r="E165" s="22" t="s">
        <v>773</v>
      </c>
      <c r="F165" s="22" t="s">
        <v>987</v>
      </c>
      <c r="G165" s="22" t="s">
        <v>785</v>
      </c>
    </row>
    <row r="166" spans="1:7">
      <c r="A166" s="22" t="s">
        <v>990</v>
      </c>
      <c r="B166" s="22" t="s">
        <v>986</v>
      </c>
      <c r="C166" s="22" t="s">
        <v>986</v>
      </c>
      <c r="D166" s="22" t="s">
        <v>780</v>
      </c>
      <c r="E166" s="22" t="s">
        <v>773</v>
      </c>
      <c r="F166" s="22" t="s">
        <v>987</v>
      </c>
      <c r="G166" s="22" t="s">
        <v>785</v>
      </c>
    </row>
    <row r="167" spans="1:7">
      <c r="A167" s="22" t="s">
        <v>991</v>
      </c>
      <c r="B167" s="22" t="s">
        <v>986</v>
      </c>
      <c r="C167" s="22" t="s">
        <v>986</v>
      </c>
      <c r="D167" s="22" t="s">
        <v>780</v>
      </c>
      <c r="E167" s="22" t="s">
        <v>773</v>
      </c>
      <c r="F167" s="22" t="s">
        <v>987</v>
      </c>
      <c r="G167" s="22" t="s">
        <v>785</v>
      </c>
    </row>
    <row r="168" spans="1:7">
      <c r="A168" s="22" t="s">
        <v>992</v>
      </c>
      <c r="B168" s="22" t="s">
        <v>993</v>
      </c>
      <c r="C168" s="22" t="s">
        <v>993</v>
      </c>
      <c r="D168" s="22" t="s">
        <v>780</v>
      </c>
      <c r="E168" s="22" t="s">
        <v>773</v>
      </c>
      <c r="F168" s="22" t="s">
        <v>987</v>
      </c>
      <c r="G168" s="22" t="s">
        <v>785</v>
      </c>
    </row>
    <row r="169" spans="1:7">
      <c r="A169" s="22" t="s">
        <v>994</v>
      </c>
      <c r="B169" s="22" t="s">
        <v>993</v>
      </c>
      <c r="C169" s="22" t="s">
        <v>993</v>
      </c>
      <c r="D169" s="22" t="s">
        <v>780</v>
      </c>
      <c r="E169" s="22" t="s">
        <v>773</v>
      </c>
      <c r="F169" s="22" t="s">
        <v>987</v>
      </c>
      <c r="G169" s="22" t="s">
        <v>785</v>
      </c>
    </row>
    <row r="170" spans="1:7">
      <c r="A170" s="22" t="s">
        <v>995</v>
      </c>
      <c r="B170" s="22" t="s">
        <v>993</v>
      </c>
      <c r="C170" s="22" t="s">
        <v>993</v>
      </c>
      <c r="D170" s="22" t="s">
        <v>780</v>
      </c>
      <c r="E170" s="22" t="s">
        <v>773</v>
      </c>
      <c r="F170" s="22" t="s">
        <v>987</v>
      </c>
      <c r="G170" s="22" t="s">
        <v>785</v>
      </c>
    </row>
    <row r="171" spans="1:7">
      <c r="A171" s="22" t="s">
        <v>996</v>
      </c>
      <c r="B171" s="22" t="s">
        <v>996</v>
      </c>
      <c r="C171" s="22" t="s">
        <v>997</v>
      </c>
      <c r="D171" s="22" t="s">
        <v>780</v>
      </c>
      <c r="E171" s="22" t="s">
        <v>773</v>
      </c>
      <c r="F171" s="22" t="s">
        <v>774</v>
      </c>
      <c r="G171" s="22" t="s">
        <v>785</v>
      </c>
    </row>
    <row r="172" spans="1:7">
      <c r="A172" s="22" t="s">
        <v>998</v>
      </c>
      <c r="B172" s="22" t="s">
        <v>999</v>
      </c>
      <c r="C172" s="22" t="s">
        <v>997</v>
      </c>
      <c r="D172" s="22" t="s">
        <v>780</v>
      </c>
      <c r="E172" s="22" t="s">
        <v>773</v>
      </c>
      <c r="F172" s="22" t="s">
        <v>774</v>
      </c>
      <c r="G172" s="22" t="s">
        <v>785</v>
      </c>
    </row>
    <row r="173" spans="1:7">
      <c r="A173" s="22" t="s">
        <v>1000</v>
      </c>
      <c r="B173" s="22" t="s">
        <v>999</v>
      </c>
      <c r="C173" s="22" t="s">
        <v>997</v>
      </c>
      <c r="D173" s="22" t="s">
        <v>780</v>
      </c>
      <c r="E173" s="22" t="s">
        <v>773</v>
      </c>
      <c r="F173" s="22" t="s">
        <v>774</v>
      </c>
      <c r="G173" s="22" t="s">
        <v>785</v>
      </c>
    </row>
    <row r="174" spans="1:7">
      <c r="A174" s="22" t="s">
        <v>1001</v>
      </c>
      <c r="B174" s="22" t="s">
        <v>1001</v>
      </c>
      <c r="C174" s="22" t="s">
        <v>997</v>
      </c>
      <c r="D174" s="22" t="s">
        <v>780</v>
      </c>
      <c r="E174" s="22" t="s">
        <v>773</v>
      </c>
      <c r="F174" s="22" t="s">
        <v>774</v>
      </c>
      <c r="G174" s="22" t="s">
        <v>785</v>
      </c>
    </row>
    <row r="175" spans="1:7">
      <c r="A175" s="24" t="s">
        <v>1002</v>
      </c>
      <c r="B175" s="24" t="s">
        <v>1002</v>
      </c>
      <c r="C175" s="22" t="s">
        <v>997</v>
      </c>
      <c r="D175" s="22" t="s">
        <v>780</v>
      </c>
      <c r="E175" s="22" t="s">
        <v>773</v>
      </c>
      <c r="F175" s="22" t="s">
        <v>774</v>
      </c>
      <c r="G175" s="22" t="s">
        <v>785</v>
      </c>
    </row>
    <row r="176" spans="1:7">
      <c r="A176" s="22" t="s">
        <v>1003</v>
      </c>
      <c r="B176" s="22" t="s">
        <v>1004</v>
      </c>
      <c r="C176" s="22" t="s">
        <v>1005</v>
      </c>
      <c r="D176" s="22" t="s">
        <v>780</v>
      </c>
      <c r="E176" s="22" t="s">
        <v>773</v>
      </c>
      <c r="F176" s="22" t="s">
        <v>987</v>
      </c>
      <c r="G176" s="22" t="s">
        <v>1006</v>
      </c>
    </row>
    <row r="177" spans="1:7">
      <c r="A177" s="22" t="s">
        <v>1007</v>
      </c>
      <c r="B177" s="22" t="s">
        <v>1008</v>
      </c>
      <c r="C177" s="22" t="s">
        <v>1005</v>
      </c>
      <c r="D177" s="22" t="s">
        <v>780</v>
      </c>
      <c r="E177" s="22" t="s">
        <v>773</v>
      </c>
      <c r="F177" s="22" t="s">
        <v>987</v>
      </c>
      <c r="G177" s="22" t="s">
        <v>1006</v>
      </c>
    </row>
    <row r="178" spans="1:7">
      <c r="A178" s="22" t="s">
        <v>1009</v>
      </c>
      <c r="B178" s="22" t="s">
        <v>1010</v>
      </c>
      <c r="C178" s="22" t="s">
        <v>1005</v>
      </c>
      <c r="D178" s="22" t="s">
        <v>780</v>
      </c>
      <c r="E178" s="22" t="s">
        <v>773</v>
      </c>
      <c r="F178" s="22" t="s">
        <v>987</v>
      </c>
      <c r="G178" s="22" t="s">
        <v>1006</v>
      </c>
    </row>
    <row r="179" spans="1:7">
      <c r="A179" s="22" t="s">
        <v>1011</v>
      </c>
      <c r="B179" s="22" t="s">
        <v>1010</v>
      </c>
      <c r="C179" s="22" t="s">
        <v>1005</v>
      </c>
      <c r="D179" s="22" t="s">
        <v>780</v>
      </c>
      <c r="E179" s="22" t="s">
        <v>773</v>
      </c>
      <c r="F179" s="22" t="s">
        <v>987</v>
      </c>
      <c r="G179" s="22" t="s">
        <v>1006</v>
      </c>
    </row>
    <row r="180" spans="1:7">
      <c r="A180" s="22" t="s">
        <v>1012</v>
      </c>
      <c r="B180" s="22" t="s">
        <v>1013</v>
      </c>
      <c r="C180" s="22" t="s">
        <v>1005</v>
      </c>
      <c r="D180" s="22" t="s">
        <v>780</v>
      </c>
      <c r="E180" s="22" t="s">
        <v>773</v>
      </c>
      <c r="F180" s="22" t="s">
        <v>987</v>
      </c>
      <c r="G180" s="22" t="s">
        <v>1006</v>
      </c>
    </row>
    <row r="181" spans="1:7">
      <c r="A181" s="25" t="s">
        <v>1014</v>
      </c>
      <c r="B181" s="25" t="s">
        <v>1015</v>
      </c>
      <c r="C181" s="25" t="s">
        <v>1015</v>
      </c>
      <c r="D181" s="25" t="s">
        <v>780</v>
      </c>
      <c r="E181" s="25" t="s">
        <v>773</v>
      </c>
      <c r="F181" s="25" t="s">
        <v>987</v>
      </c>
      <c r="G181" s="25" t="s">
        <v>1006</v>
      </c>
    </row>
    <row r="182" spans="1:7">
      <c r="A182" s="25" t="s">
        <v>1016</v>
      </c>
      <c r="B182" s="25" t="s">
        <v>1017</v>
      </c>
      <c r="C182" s="25" t="s">
        <v>1017</v>
      </c>
      <c r="D182" s="25" t="s">
        <v>780</v>
      </c>
      <c r="E182" s="25" t="s">
        <v>773</v>
      </c>
      <c r="F182" s="25" t="s">
        <v>987</v>
      </c>
      <c r="G182" s="25" t="s">
        <v>1006</v>
      </c>
    </row>
    <row r="183" spans="1:7">
      <c r="A183" s="25" t="s">
        <v>1018</v>
      </c>
      <c r="B183" s="25" t="s">
        <v>1019</v>
      </c>
      <c r="C183" s="25" t="s">
        <v>1019</v>
      </c>
      <c r="D183" s="25" t="s">
        <v>780</v>
      </c>
      <c r="E183" s="25" t="s">
        <v>773</v>
      </c>
      <c r="F183" s="25" t="s">
        <v>987</v>
      </c>
      <c r="G183" s="25" t="s">
        <v>1006</v>
      </c>
    </row>
    <row r="184" spans="1:7">
      <c r="A184" s="25" t="s">
        <v>1020</v>
      </c>
      <c r="B184" s="25" t="s">
        <v>1015</v>
      </c>
      <c r="C184" s="25" t="s">
        <v>1015</v>
      </c>
      <c r="D184" s="25" t="s">
        <v>780</v>
      </c>
      <c r="E184" s="25" t="s">
        <v>773</v>
      </c>
      <c r="F184" s="25" t="s">
        <v>987</v>
      </c>
      <c r="G184" s="25" t="s">
        <v>1006</v>
      </c>
    </row>
    <row r="185" spans="1:7">
      <c r="A185" s="25" t="s">
        <v>1021</v>
      </c>
      <c r="B185" s="25" t="s">
        <v>1017</v>
      </c>
      <c r="C185" s="25" t="s">
        <v>1017</v>
      </c>
      <c r="D185" s="25" t="s">
        <v>780</v>
      </c>
      <c r="E185" s="25" t="s">
        <v>773</v>
      </c>
      <c r="F185" s="25" t="s">
        <v>987</v>
      </c>
      <c r="G185" s="25" t="s">
        <v>1006</v>
      </c>
    </row>
    <row r="186" spans="1:7">
      <c r="A186" s="25" t="s">
        <v>1022</v>
      </c>
      <c r="B186" s="25" t="s">
        <v>1019</v>
      </c>
      <c r="C186" s="25" t="s">
        <v>1019</v>
      </c>
      <c r="D186" s="25" t="s">
        <v>780</v>
      </c>
      <c r="E186" s="25" t="s">
        <v>773</v>
      </c>
      <c r="F186" s="25" t="s">
        <v>987</v>
      </c>
      <c r="G186" s="25" t="s">
        <v>1006</v>
      </c>
    </row>
    <row r="187" spans="1:7">
      <c r="A187" s="25" t="s">
        <v>1023</v>
      </c>
      <c r="B187" s="25" t="s">
        <v>1015</v>
      </c>
      <c r="C187" s="25" t="s">
        <v>1015</v>
      </c>
      <c r="D187" s="25" t="s">
        <v>780</v>
      </c>
      <c r="E187" s="25" t="s">
        <v>773</v>
      </c>
      <c r="F187" s="25" t="s">
        <v>987</v>
      </c>
      <c r="G187" s="25" t="s">
        <v>1006</v>
      </c>
    </row>
    <row r="188" spans="1:7">
      <c r="A188" s="25" t="s">
        <v>1024</v>
      </c>
      <c r="B188" s="25" t="s">
        <v>1017</v>
      </c>
      <c r="C188" s="25" t="s">
        <v>1017</v>
      </c>
      <c r="D188" s="25" t="s">
        <v>780</v>
      </c>
      <c r="E188" s="25" t="s">
        <v>773</v>
      </c>
      <c r="F188" s="25" t="s">
        <v>987</v>
      </c>
      <c r="G188" s="25" t="s">
        <v>1006</v>
      </c>
    </row>
    <row r="189" spans="1:7">
      <c r="A189" s="25" t="s">
        <v>1025</v>
      </c>
      <c r="B189" s="25" t="s">
        <v>1019</v>
      </c>
      <c r="C189" s="25" t="s">
        <v>1019</v>
      </c>
      <c r="D189" s="25" t="s">
        <v>780</v>
      </c>
      <c r="E189" s="25" t="s">
        <v>773</v>
      </c>
      <c r="F189" s="25" t="s">
        <v>987</v>
      </c>
      <c r="G189" s="25" t="s">
        <v>1006</v>
      </c>
    </row>
    <row r="190" spans="1:7">
      <c r="A190" s="25" t="s">
        <v>1026</v>
      </c>
      <c r="B190" s="25" t="s">
        <v>1026</v>
      </c>
      <c r="C190" s="25" t="s">
        <v>1027</v>
      </c>
      <c r="D190" s="25" t="s">
        <v>780</v>
      </c>
      <c r="E190" s="25" t="s">
        <v>773</v>
      </c>
      <c r="F190" s="25" t="s">
        <v>987</v>
      </c>
      <c r="G190" s="25" t="s">
        <v>1006</v>
      </c>
    </row>
    <row r="191" spans="1:7">
      <c r="A191" s="25" t="s">
        <v>1028</v>
      </c>
      <c r="B191" s="25" t="s">
        <v>1028</v>
      </c>
      <c r="C191" s="25" t="s">
        <v>1029</v>
      </c>
      <c r="D191" s="25" t="s">
        <v>780</v>
      </c>
      <c r="E191" s="25" t="s">
        <v>773</v>
      </c>
      <c r="F191" s="25" t="s">
        <v>987</v>
      </c>
      <c r="G191" s="25" t="s">
        <v>1006</v>
      </c>
    </row>
    <row r="192" spans="1:7">
      <c r="A192" s="25" t="s">
        <v>1030</v>
      </c>
      <c r="B192" s="25" t="s">
        <v>1030</v>
      </c>
      <c r="C192" s="25" t="s">
        <v>1031</v>
      </c>
      <c r="D192" s="25" t="s">
        <v>780</v>
      </c>
      <c r="E192" s="25" t="s">
        <v>773</v>
      </c>
      <c r="F192" s="25" t="s">
        <v>987</v>
      </c>
      <c r="G192" s="25" t="s">
        <v>1006</v>
      </c>
    </row>
    <row r="193" spans="1:7">
      <c r="A193" s="25" t="s">
        <v>1032</v>
      </c>
      <c r="B193" s="25" t="s">
        <v>1032</v>
      </c>
      <c r="C193" s="25" t="s">
        <v>1027</v>
      </c>
      <c r="D193" s="25" t="s">
        <v>780</v>
      </c>
      <c r="E193" s="25" t="s">
        <v>773</v>
      </c>
      <c r="F193" s="25" t="s">
        <v>987</v>
      </c>
      <c r="G193" s="25" t="s">
        <v>1006</v>
      </c>
    </row>
    <row r="194" spans="1:7">
      <c r="A194" s="25" t="s">
        <v>1033</v>
      </c>
      <c r="B194" s="25" t="s">
        <v>1033</v>
      </c>
      <c r="C194" s="25" t="s">
        <v>1029</v>
      </c>
      <c r="D194" s="25" t="s">
        <v>780</v>
      </c>
      <c r="E194" s="25" t="s">
        <v>773</v>
      </c>
      <c r="F194" s="25" t="s">
        <v>987</v>
      </c>
      <c r="G194" s="25" t="s">
        <v>1006</v>
      </c>
    </row>
    <row r="195" spans="1:7">
      <c r="A195" s="25" t="s">
        <v>1034</v>
      </c>
      <c r="B195" s="25" t="s">
        <v>1034</v>
      </c>
      <c r="C195" s="25" t="s">
        <v>1031</v>
      </c>
      <c r="D195" s="25" t="s">
        <v>780</v>
      </c>
      <c r="E195" s="25" t="s">
        <v>773</v>
      </c>
      <c r="F195" s="25" t="s">
        <v>987</v>
      </c>
      <c r="G195" s="25" t="s">
        <v>1006</v>
      </c>
    </row>
    <row r="196" spans="1:7">
      <c r="A196" s="25" t="s">
        <v>1035</v>
      </c>
      <c r="B196" s="25" t="s">
        <v>1035</v>
      </c>
      <c r="C196" s="25" t="s">
        <v>1027</v>
      </c>
      <c r="D196" s="25" t="s">
        <v>780</v>
      </c>
      <c r="E196" s="25" t="s">
        <v>773</v>
      </c>
      <c r="F196" s="25" t="s">
        <v>987</v>
      </c>
      <c r="G196" s="25" t="s">
        <v>1006</v>
      </c>
    </row>
    <row r="197" spans="1:7">
      <c r="A197" s="25" t="s">
        <v>1036</v>
      </c>
      <c r="B197" s="25" t="s">
        <v>1036</v>
      </c>
      <c r="C197" s="25" t="s">
        <v>1029</v>
      </c>
      <c r="D197" s="25" t="s">
        <v>780</v>
      </c>
      <c r="E197" s="25" t="s">
        <v>773</v>
      </c>
      <c r="F197" s="25" t="s">
        <v>987</v>
      </c>
      <c r="G197" s="25" t="s">
        <v>1006</v>
      </c>
    </row>
    <row r="198" spans="1:7">
      <c r="A198" s="25" t="s">
        <v>1037</v>
      </c>
      <c r="B198" s="25" t="s">
        <v>1037</v>
      </c>
      <c r="C198" s="25" t="s">
        <v>1031</v>
      </c>
      <c r="D198" s="25" t="s">
        <v>780</v>
      </c>
      <c r="E198" s="25" t="s">
        <v>773</v>
      </c>
      <c r="F198" s="25" t="s">
        <v>987</v>
      </c>
      <c r="G198" s="25" t="s">
        <v>1006</v>
      </c>
    </row>
    <row r="199" spans="1:7">
      <c r="A199" s="25" t="s">
        <v>1038</v>
      </c>
      <c r="B199" s="25" t="s">
        <v>1039</v>
      </c>
      <c r="C199" s="25" t="s">
        <v>1027</v>
      </c>
      <c r="D199" s="25" t="s">
        <v>780</v>
      </c>
      <c r="E199" s="25" t="s">
        <v>773</v>
      </c>
      <c r="F199" s="25" t="s">
        <v>987</v>
      </c>
      <c r="G199" s="25" t="s">
        <v>1006</v>
      </c>
    </row>
    <row r="200" spans="1:7">
      <c r="A200" s="25" t="s">
        <v>1040</v>
      </c>
      <c r="B200" s="25" t="s">
        <v>1041</v>
      </c>
      <c r="C200" s="25" t="s">
        <v>1029</v>
      </c>
      <c r="D200" s="25" t="s">
        <v>780</v>
      </c>
      <c r="E200" s="25" t="s">
        <v>773</v>
      </c>
      <c r="F200" s="25" t="s">
        <v>987</v>
      </c>
      <c r="G200" s="25" t="s">
        <v>1006</v>
      </c>
    </row>
    <row r="201" spans="1:7">
      <c r="A201" s="25" t="s">
        <v>1042</v>
      </c>
      <c r="B201" s="25" t="s">
        <v>1043</v>
      </c>
      <c r="C201" s="25" t="s">
        <v>1031</v>
      </c>
      <c r="D201" s="25" t="s">
        <v>780</v>
      </c>
      <c r="E201" s="25" t="s">
        <v>773</v>
      </c>
      <c r="F201" s="25" t="s">
        <v>987</v>
      </c>
      <c r="G201" s="25" t="s">
        <v>1006</v>
      </c>
    </row>
    <row r="202" spans="1:7">
      <c r="A202" s="25" t="s">
        <v>1044</v>
      </c>
      <c r="B202" s="25" t="s">
        <v>1039</v>
      </c>
      <c r="C202" s="25" t="s">
        <v>1027</v>
      </c>
      <c r="D202" s="25" t="s">
        <v>780</v>
      </c>
      <c r="E202" s="25" t="s">
        <v>773</v>
      </c>
      <c r="F202" s="25" t="s">
        <v>987</v>
      </c>
      <c r="G202" s="25" t="s">
        <v>1006</v>
      </c>
    </row>
    <row r="203" spans="1:7">
      <c r="A203" s="25" t="s">
        <v>1045</v>
      </c>
      <c r="B203" s="25" t="s">
        <v>1041</v>
      </c>
      <c r="C203" s="25" t="s">
        <v>1029</v>
      </c>
      <c r="D203" s="25" t="s">
        <v>780</v>
      </c>
      <c r="E203" s="25" t="s">
        <v>773</v>
      </c>
      <c r="F203" s="25" t="s">
        <v>987</v>
      </c>
      <c r="G203" s="25" t="s">
        <v>1006</v>
      </c>
    </row>
    <row r="204" spans="1:7">
      <c r="A204" s="25" t="s">
        <v>1046</v>
      </c>
      <c r="B204" s="25" t="s">
        <v>1043</v>
      </c>
      <c r="C204" s="25" t="s">
        <v>1031</v>
      </c>
      <c r="D204" s="25" t="s">
        <v>780</v>
      </c>
      <c r="E204" s="25" t="s">
        <v>773</v>
      </c>
      <c r="F204" s="25" t="s">
        <v>987</v>
      </c>
      <c r="G204" s="25" t="s">
        <v>1006</v>
      </c>
    </row>
    <row r="205" spans="1:7">
      <c r="A205" s="22" t="s">
        <v>1047</v>
      </c>
      <c r="B205" s="22" t="s">
        <v>1048</v>
      </c>
      <c r="C205" s="22" t="s">
        <v>1049</v>
      </c>
      <c r="D205" s="22" t="s">
        <v>1050</v>
      </c>
      <c r="E205" s="22" t="s">
        <v>773</v>
      </c>
      <c r="F205" s="23" t="s">
        <v>774</v>
      </c>
      <c r="G205" s="23" t="s">
        <v>785</v>
      </c>
    </row>
    <row r="206" spans="1:7">
      <c r="A206" s="22" t="s">
        <v>1051</v>
      </c>
      <c r="B206" s="22" t="s">
        <v>1052</v>
      </c>
      <c r="C206" s="22" t="s">
        <v>1053</v>
      </c>
      <c r="D206" s="22" t="s">
        <v>1050</v>
      </c>
      <c r="E206" s="22" t="s">
        <v>773</v>
      </c>
      <c r="F206" s="23" t="s">
        <v>774</v>
      </c>
      <c r="G206" s="23" t="s">
        <v>785</v>
      </c>
    </row>
    <row r="207" spans="1:7">
      <c r="A207" s="22" t="s">
        <v>1054</v>
      </c>
      <c r="B207" s="22" t="s">
        <v>1055</v>
      </c>
      <c r="C207" s="22" t="s">
        <v>1049</v>
      </c>
      <c r="D207" s="22" t="s">
        <v>1050</v>
      </c>
      <c r="E207" s="22" t="s">
        <v>773</v>
      </c>
      <c r="F207" s="23" t="s">
        <v>774</v>
      </c>
      <c r="G207" s="23" t="s">
        <v>785</v>
      </c>
    </row>
    <row r="208" spans="1:7">
      <c r="A208" s="22" t="s">
        <v>1056</v>
      </c>
      <c r="B208" s="22" t="s">
        <v>1055</v>
      </c>
      <c r="C208" s="22" t="s">
        <v>1053</v>
      </c>
      <c r="D208" s="22" t="s">
        <v>1050</v>
      </c>
      <c r="E208" s="22" t="s">
        <v>773</v>
      </c>
      <c r="F208" s="23" t="s">
        <v>774</v>
      </c>
      <c r="G208" s="23" t="s">
        <v>785</v>
      </c>
    </row>
    <row r="209" spans="1:7">
      <c r="A209" s="22" t="s">
        <v>1057</v>
      </c>
      <c r="B209" s="22" t="s">
        <v>1055</v>
      </c>
      <c r="C209" s="22" t="s">
        <v>1049</v>
      </c>
      <c r="D209" s="22" t="s">
        <v>1058</v>
      </c>
      <c r="E209" s="22" t="s">
        <v>773</v>
      </c>
      <c r="F209" s="22" t="s">
        <v>774</v>
      </c>
      <c r="G209" s="22" t="s">
        <v>785</v>
      </c>
    </row>
    <row r="210" spans="1:7">
      <c r="A210" s="22" t="s">
        <v>1059</v>
      </c>
      <c r="B210" s="22" t="s">
        <v>1055</v>
      </c>
      <c r="C210" s="22" t="s">
        <v>1053</v>
      </c>
      <c r="D210" s="22" t="s">
        <v>1058</v>
      </c>
      <c r="E210" s="22" t="s">
        <v>773</v>
      </c>
      <c r="F210" s="23" t="s">
        <v>774</v>
      </c>
      <c r="G210" s="23" t="s">
        <v>785</v>
      </c>
    </row>
    <row r="211" spans="1:7">
      <c r="A211" s="22" t="s">
        <v>1060</v>
      </c>
      <c r="B211" s="22" t="s">
        <v>1061</v>
      </c>
      <c r="C211" s="22" t="s">
        <v>1053</v>
      </c>
      <c r="D211" s="22" t="s">
        <v>1050</v>
      </c>
      <c r="E211" s="22" t="s">
        <v>773</v>
      </c>
      <c r="F211" s="23" t="s">
        <v>774</v>
      </c>
      <c r="G211" s="23" t="s">
        <v>785</v>
      </c>
    </row>
    <row r="212" spans="1:7">
      <c r="A212" s="22" t="s">
        <v>1062</v>
      </c>
      <c r="B212" s="22" t="s">
        <v>1061</v>
      </c>
      <c r="C212" s="22" t="s">
        <v>1053</v>
      </c>
      <c r="D212" s="22" t="s">
        <v>1058</v>
      </c>
      <c r="E212" s="22" t="s">
        <v>773</v>
      </c>
      <c r="F212" s="23" t="s">
        <v>774</v>
      </c>
      <c r="G212" s="23" t="s">
        <v>785</v>
      </c>
    </row>
    <row r="213" spans="1:7">
      <c r="A213" s="22" t="s">
        <v>1063</v>
      </c>
      <c r="B213" s="22" t="s">
        <v>1064</v>
      </c>
      <c r="C213" s="22" t="s">
        <v>1049</v>
      </c>
      <c r="D213" s="22" t="s">
        <v>1050</v>
      </c>
      <c r="E213" s="22" t="s">
        <v>773</v>
      </c>
      <c r="F213" s="23" t="s">
        <v>774</v>
      </c>
      <c r="G213" s="23" t="s">
        <v>785</v>
      </c>
    </row>
    <row r="214" spans="1:7">
      <c r="A214" s="22" t="s">
        <v>1065</v>
      </c>
      <c r="B214" s="22" t="s">
        <v>1066</v>
      </c>
      <c r="C214" s="22" t="s">
        <v>1066</v>
      </c>
      <c r="D214" s="22" t="s">
        <v>1050</v>
      </c>
      <c r="E214" s="22" t="s">
        <v>773</v>
      </c>
      <c r="F214" s="23" t="s">
        <v>774</v>
      </c>
      <c r="G214" s="23" t="s">
        <v>785</v>
      </c>
    </row>
    <row r="215" spans="1:7">
      <c r="A215" s="22" t="s">
        <v>1067</v>
      </c>
      <c r="B215" s="22" t="s">
        <v>1068</v>
      </c>
      <c r="C215" s="22" t="s">
        <v>1068</v>
      </c>
      <c r="D215" s="22" t="s">
        <v>1050</v>
      </c>
      <c r="E215" s="22" t="s">
        <v>773</v>
      </c>
      <c r="F215" s="23" t="s">
        <v>774</v>
      </c>
      <c r="G215" s="23" t="s">
        <v>785</v>
      </c>
    </row>
    <row r="216" spans="1:7">
      <c r="A216" s="22" t="s">
        <v>1069</v>
      </c>
      <c r="B216" s="22" t="s">
        <v>1070</v>
      </c>
      <c r="C216" s="22" t="s">
        <v>1053</v>
      </c>
      <c r="D216" s="22" t="s">
        <v>1050</v>
      </c>
      <c r="E216" s="22" t="s">
        <v>773</v>
      </c>
      <c r="F216" s="22" t="s">
        <v>774</v>
      </c>
      <c r="G216" s="22" t="s">
        <v>785</v>
      </c>
    </row>
    <row r="217" spans="1:7">
      <c r="A217" s="22" t="s">
        <v>1071</v>
      </c>
      <c r="B217" s="22" t="s">
        <v>1072</v>
      </c>
      <c r="C217" s="22" t="s">
        <v>1049</v>
      </c>
      <c r="D217" s="22" t="s">
        <v>1050</v>
      </c>
      <c r="E217" s="22" t="s">
        <v>773</v>
      </c>
      <c r="F217" s="23" t="s">
        <v>774</v>
      </c>
      <c r="G217" s="23" t="s">
        <v>785</v>
      </c>
    </row>
    <row r="218" spans="1:7">
      <c r="A218" s="22" t="s">
        <v>1073</v>
      </c>
      <c r="B218" s="22" t="s">
        <v>1074</v>
      </c>
      <c r="C218" s="22" t="s">
        <v>1075</v>
      </c>
      <c r="D218" s="22" t="s">
        <v>1050</v>
      </c>
      <c r="E218" s="22" t="s">
        <v>773</v>
      </c>
      <c r="F218" s="22" t="s">
        <v>774</v>
      </c>
      <c r="G218" s="22" t="s">
        <v>785</v>
      </c>
    </row>
    <row r="219" spans="1:7">
      <c r="A219" s="22" t="s">
        <v>1076</v>
      </c>
      <c r="B219" s="22" t="s">
        <v>1077</v>
      </c>
      <c r="C219" s="22" t="s">
        <v>1078</v>
      </c>
      <c r="D219" s="22" t="s">
        <v>1050</v>
      </c>
      <c r="E219" s="22" t="s">
        <v>773</v>
      </c>
      <c r="F219" s="23" t="s">
        <v>774</v>
      </c>
      <c r="G219" s="23" t="s">
        <v>785</v>
      </c>
    </row>
    <row r="220" spans="1:7">
      <c r="A220" s="22" t="s">
        <v>1079</v>
      </c>
      <c r="B220" s="26" t="s">
        <v>1052</v>
      </c>
      <c r="C220" s="22" t="s">
        <v>1053</v>
      </c>
      <c r="D220" s="22" t="s">
        <v>1058</v>
      </c>
      <c r="E220" s="22" t="s">
        <v>773</v>
      </c>
      <c r="F220" s="22" t="s">
        <v>774</v>
      </c>
      <c r="G220" s="22" t="s">
        <v>785</v>
      </c>
    </row>
    <row r="221" spans="1:7">
      <c r="A221" s="22" t="s">
        <v>1080</v>
      </c>
      <c r="B221" s="22" t="s">
        <v>1048</v>
      </c>
      <c r="C221" s="22" t="s">
        <v>1049</v>
      </c>
      <c r="D221" s="22" t="s">
        <v>1058</v>
      </c>
      <c r="E221" s="22" t="s">
        <v>773</v>
      </c>
      <c r="F221" s="22" t="s">
        <v>774</v>
      </c>
      <c r="G221" s="22" t="s">
        <v>785</v>
      </c>
    </row>
    <row r="222" spans="1:7">
      <c r="A222" s="22" t="s">
        <v>1081</v>
      </c>
      <c r="B222" s="22" t="s">
        <v>1064</v>
      </c>
      <c r="C222" s="22" t="s">
        <v>1049</v>
      </c>
      <c r="D222" s="22" t="s">
        <v>1058</v>
      </c>
      <c r="E222" s="22" t="s">
        <v>773</v>
      </c>
      <c r="F222" s="22" t="s">
        <v>774</v>
      </c>
      <c r="G222" s="22" t="s">
        <v>785</v>
      </c>
    </row>
    <row r="223" spans="1:7">
      <c r="A223" s="22" t="s">
        <v>1082</v>
      </c>
      <c r="B223" s="22" t="s">
        <v>1068</v>
      </c>
      <c r="C223" s="22" t="s">
        <v>1068</v>
      </c>
      <c r="D223" s="22" t="s">
        <v>1058</v>
      </c>
      <c r="E223" s="22" t="s">
        <v>773</v>
      </c>
      <c r="F223" s="22" t="s">
        <v>774</v>
      </c>
      <c r="G223" s="22" t="s">
        <v>785</v>
      </c>
    </row>
    <row r="224" spans="1:7">
      <c r="A224" s="22" t="s">
        <v>1083</v>
      </c>
      <c r="B224" s="22" t="s">
        <v>1066</v>
      </c>
      <c r="C224" s="22" t="s">
        <v>1066</v>
      </c>
      <c r="D224" s="22" t="s">
        <v>1058</v>
      </c>
      <c r="E224" s="22" t="s">
        <v>773</v>
      </c>
      <c r="F224" s="22" t="s">
        <v>774</v>
      </c>
      <c r="G224" s="22" t="s">
        <v>785</v>
      </c>
    </row>
    <row r="225" spans="1:7">
      <c r="A225" s="22" t="s">
        <v>1084</v>
      </c>
      <c r="B225" s="22" t="s">
        <v>1072</v>
      </c>
      <c r="C225" s="22" t="s">
        <v>1049</v>
      </c>
      <c r="D225" s="22" t="s">
        <v>1058</v>
      </c>
      <c r="E225" s="22" t="s">
        <v>773</v>
      </c>
      <c r="F225" s="22" t="s">
        <v>774</v>
      </c>
      <c r="G225" s="22" t="s">
        <v>785</v>
      </c>
    </row>
    <row r="226" spans="1:7">
      <c r="A226" s="22" t="s">
        <v>1085</v>
      </c>
      <c r="B226" s="22" t="s">
        <v>1070</v>
      </c>
      <c r="C226" s="22" t="s">
        <v>1053</v>
      </c>
      <c r="D226" s="22" t="s">
        <v>1058</v>
      </c>
      <c r="E226" s="22" t="s">
        <v>773</v>
      </c>
      <c r="F226" s="22" t="s">
        <v>774</v>
      </c>
      <c r="G226" s="22" t="s">
        <v>785</v>
      </c>
    </row>
    <row r="227" spans="1:7">
      <c r="A227" s="22" t="s">
        <v>1086</v>
      </c>
      <c r="B227" s="22" t="s">
        <v>1077</v>
      </c>
      <c r="C227" s="22" t="s">
        <v>1078</v>
      </c>
      <c r="D227" s="22" t="s">
        <v>1058</v>
      </c>
      <c r="E227" s="22" t="s">
        <v>773</v>
      </c>
      <c r="F227" s="22" t="s">
        <v>774</v>
      </c>
      <c r="G227" s="22" t="s">
        <v>785</v>
      </c>
    </row>
    <row r="228" spans="1:7">
      <c r="A228" s="22" t="s">
        <v>1087</v>
      </c>
      <c r="B228" s="22" t="s">
        <v>1074</v>
      </c>
      <c r="C228" s="22" t="s">
        <v>1075</v>
      </c>
      <c r="D228" s="22" t="s">
        <v>1058</v>
      </c>
      <c r="E228" s="22" t="s">
        <v>773</v>
      </c>
      <c r="F228" s="23" t="s">
        <v>774</v>
      </c>
      <c r="G228" s="23" t="s">
        <v>785</v>
      </c>
    </row>
    <row r="229" spans="1:7">
      <c r="A229" s="22"/>
      <c r="B229" s="22"/>
      <c r="C229" s="22"/>
      <c r="D229" s="22"/>
      <c r="E229" s="22"/>
      <c r="F229" s="22"/>
      <c r="G229" s="22"/>
    </row>
    <row r="230" spans="1:7">
      <c r="A230" s="22"/>
      <c r="B230" s="22"/>
      <c r="C230" s="22"/>
      <c r="D230" s="22"/>
      <c r="E230" s="22"/>
      <c r="F230" s="22"/>
      <c r="G230" s="22"/>
    </row>
    <row r="231" spans="1:7">
      <c r="A231" s="22"/>
      <c r="B231" s="22"/>
      <c r="C231" s="22"/>
      <c r="D231" s="22"/>
      <c r="E231" s="22"/>
      <c r="F231" s="22"/>
      <c r="G231" s="22"/>
    </row>
    <row r="232" spans="1:7">
      <c r="A232" s="27"/>
      <c r="B232" s="27"/>
      <c r="C232" s="27"/>
      <c r="D232" s="27"/>
      <c r="E232" s="27"/>
      <c r="F232" s="27"/>
      <c r="G232" s="27"/>
    </row>
    <row r="233" spans="1:7">
      <c r="A233" s="22"/>
      <c r="B233" s="22"/>
      <c r="C233" s="22"/>
      <c r="D233" s="22"/>
      <c r="E233" s="22"/>
      <c r="F233" s="22"/>
      <c r="G233" s="22"/>
    </row>
    <row r="234" spans="1:7">
      <c r="A234" s="22"/>
      <c r="B234" s="22"/>
      <c r="C234" s="22"/>
      <c r="D234" s="22"/>
      <c r="E234" s="22"/>
      <c r="F234" s="22"/>
      <c r="G234" s="22"/>
    </row>
    <row r="235" spans="1:7">
      <c r="A235" s="27"/>
      <c r="B235" s="27"/>
      <c r="C235" s="27"/>
      <c r="D235" s="27"/>
      <c r="E235" s="27"/>
      <c r="F235" s="27"/>
      <c r="G235" s="27"/>
    </row>
    <row r="236" spans="1:7">
      <c r="A236" s="28" t="s">
        <v>1088</v>
      </c>
      <c r="B236" s="29"/>
      <c r="C236" s="29"/>
      <c r="D236" s="29"/>
      <c r="E236" s="29"/>
      <c r="F236" s="29"/>
      <c r="G236" s="29"/>
    </row>
    <row r="237" spans="1:7">
      <c r="A237" s="30" t="s">
        <v>1089</v>
      </c>
      <c r="B237" s="30" t="s">
        <v>1090</v>
      </c>
      <c r="C237" s="30" t="s">
        <v>1090</v>
      </c>
      <c r="D237" s="30" t="s">
        <v>772</v>
      </c>
      <c r="E237" s="30" t="s">
        <v>1091</v>
      </c>
      <c r="F237" s="30" t="s">
        <v>774</v>
      </c>
      <c r="G237" s="30" t="s">
        <v>775</v>
      </c>
    </row>
    <row r="238" spans="1:7">
      <c r="A238" s="30" t="s">
        <v>1092</v>
      </c>
      <c r="B238" s="30" t="s">
        <v>1090</v>
      </c>
      <c r="C238" s="30" t="s">
        <v>1090</v>
      </c>
      <c r="D238" s="30" t="s">
        <v>772</v>
      </c>
      <c r="E238" s="30" t="s">
        <v>1091</v>
      </c>
      <c r="F238" s="30" t="s">
        <v>774</v>
      </c>
      <c r="G238" s="30" t="s">
        <v>775</v>
      </c>
    </row>
    <row r="239" spans="1:7">
      <c r="A239" s="31" t="s">
        <v>1093</v>
      </c>
      <c r="B239" s="31" t="s">
        <v>1094</v>
      </c>
      <c r="C239" s="31" t="s">
        <v>1094</v>
      </c>
      <c r="D239" s="31" t="s">
        <v>780</v>
      </c>
      <c r="E239" s="31" t="s">
        <v>1091</v>
      </c>
      <c r="F239" s="31" t="s">
        <v>774</v>
      </c>
      <c r="G239" s="31" t="s">
        <v>785</v>
      </c>
    </row>
    <row r="240" spans="1:7">
      <c r="A240" s="31" t="s">
        <v>1095</v>
      </c>
      <c r="B240" s="31" t="s">
        <v>1096</v>
      </c>
      <c r="C240" s="31" t="s">
        <v>1096</v>
      </c>
      <c r="D240" s="31" t="s">
        <v>780</v>
      </c>
      <c r="E240" s="31" t="s">
        <v>1091</v>
      </c>
      <c r="F240" s="31" t="s">
        <v>774</v>
      </c>
      <c r="G240" s="31" t="s">
        <v>785</v>
      </c>
    </row>
    <row r="241" spans="1:7">
      <c r="A241" s="31" t="s">
        <v>1097</v>
      </c>
      <c r="B241" s="31" t="s">
        <v>1096</v>
      </c>
      <c r="C241" s="31" t="s">
        <v>1096</v>
      </c>
      <c r="D241" s="31" t="s">
        <v>780</v>
      </c>
      <c r="E241" s="31" t="s">
        <v>1091</v>
      </c>
      <c r="F241" s="31" t="s">
        <v>774</v>
      </c>
      <c r="G241" s="31" t="s">
        <v>785</v>
      </c>
    </row>
    <row r="242" spans="1:7">
      <c r="A242" s="31" t="s">
        <v>1098</v>
      </c>
      <c r="B242" s="31" t="s">
        <v>1096</v>
      </c>
      <c r="C242" s="31" t="s">
        <v>1096</v>
      </c>
      <c r="D242" s="31" t="s">
        <v>780</v>
      </c>
      <c r="E242" s="31" t="s">
        <v>1091</v>
      </c>
      <c r="F242" s="31" t="s">
        <v>774</v>
      </c>
      <c r="G242" s="31" t="s">
        <v>785</v>
      </c>
    </row>
    <row r="243" spans="1:7">
      <c r="A243" s="31" t="s">
        <v>1099</v>
      </c>
      <c r="B243" s="31" t="s">
        <v>1099</v>
      </c>
      <c r="C243" s="31" t="s">
        <v>1099</v>
      </c>
      <c r="D243" s="31" t="s">
        <v>780</v>
      </c>
      <c r="E243" s="31" t="s">
        <v>1091</v>
      </c>
      <c r="F243" s="31" t="s">
        <v>774</v>
      </c>
      <c r="G243" s="31" t="s">
        <v>785</v>
      </c>
    </row>
    <row r="244" spans="1:7">
      <c r="A244" s="31" t="s">
        <v>1100</v>
      </c>
      <c r="B244" s="31" t="s">
        <v>1100</v>
      </c>
      <c r="C244" s="31" t="s">
        <v>1100</v>
      </c>
      <c r="D244" s="31" t="s">
        <v>780</v>
      </c>
      <c r="E244" s="31" t="s">
        <v>1101</v>
      </c>
      <c r="F244" s="31" t="s">
        <v>774</v>
      </c>
      <c r="G244" s="31" t="s">
        <v>785</v>
      </c>
    </row>
    <row r="245" spans="1:7">
      <c r="A245" s="31" t="s">
        <v>1102</v>
      </c>
      <c r="B245" s="31" t="s">
        <v>1102</v>
      </c>
      <c r="C245" s="31" t="s">
        <v>1103</v>
      </c>
      <c r="D245" s="31" t="s">
        <v>780</v>
      </c>
      <c r="E245" s="31" t="s">
        <v>1101</v>
      </c>
      <c r="F245" s="31" t="s">
        <v>987</v>
      </c>
      <c r="G245" s="31" t="s">
        <v>785</v>
      </c>
    </row>
    <row r="246" spans="1:7">
      <c r="A246" s="31" t="s">
        <v>1104</v>
      </c>
      <c r="B246" s="31" t="s">
        <v>1104</v>
      </c>
      <c r="C246" s="31" t="s">
        <v>1103</v>
      </c>
      <c r="D246" s="31" t="s">
        <v>780</v>
      </c>
      <c r="E246" s="31" t="s">
        <v>1101</v>
      </c>
      <c r="F246" s="31" t="s">
        <v>987</v>
      </c>
      <c r="G246" s="31" t="s">
        <v>785</v>
      </c>
    </row>
    <row r="247" spans="1:7">
      <c r="A247" s="31" t="s">
        <v>1105</v>
      </c>
      <c r="B247" s="31" t="s">
        <v>1106</v>
      </c>
      <c r="C247" s="31" t="s">
        <v>1103</v>
      </c>
      <c r="D247" s="31" t="s">
        <v>780</v>
      </c>
      <c r="E247" s="31" t="s">
        <v>1101</v>
      </c>
      <c r="F247" s="31" t="s">
        <v>987</v>
      </c>
      <c r="G247" s="31" t="s">
        <v>785</v>
      </c>
    </row>
    <row r="248" spans="1:7">
      <c r="A248" s="31" t="s">
        <v>1107</v>
      </c>
      <c r="B248" s="31" t="s">
        <v>1106</v>
      </c>
      <c r="C248" s="31" t="s">
        <v>1103</v>
      </c>
      <c r="D248" s="31" t="s">
        <v>780</v>
      </c>
      <c r="E248" s="31" t="s">
        <v>1101</v>
      </c>
      <c r="F248" s="31" t="s">
        <v>987</v>
      </c>
      <c r="G248" s="31" t="s">
        <v>785</v>
      </c>
    </row>
    <row r="249" spans="1:7">
      <c r="A249" s="31" t="s">
        <v>1108</v>
      </c>
      <c r="B249" s="31" t="s">
        <v>1106</v>
      </c>
      <c r="C249" s="31" t="s">
        <v>1103</v>
      </c>
      <c r="D249" s="31" t="s">
        <v>780</v>
      </c>
      <c r="E249" s="31" t="s">
        <v>1101</v>
      </c>
      <c r="F249" s="31" t="s">
        <v>987</v>
      </c>
      <c r="G249" s="31" t="s">
        <v>785</v>
      </c>
    </row>
    <row r="250" spans="1:7">
      <c r="A250" s="31" t="s">
        <v>1109</v>
      </c>
      <c r="B250" s="31" t="s">
        <v>1106</v>
      </c>
      <c r="C250" s="31" t="s">
        <v>1103</v>
      </c>
      <c r="D250" s="31" t="s">
        <v>780</v>
      </c>
      <c r="E250" s="31" t="s">
        <v>1101</v>
      </c>
      <c r="F250" s="31" t="s">
        <v>774</v>
      </c>
      <c r="G250" s="31" t="s">
        <v>785</v>
      </c>
    </row>
    <row r="251" spans="1:7">
      <c r="A251" s="31" t="s">
        <v>1110</v>
      </c>
      <c r="B251" s="31" t="s">
        <v>1106</v>
      </c>
      <c r="C251" s="31" t="s">
        <v>1103</v>
      </c>
      <c r="D251" s="31" t="s">
        <v>780</v>
      </c>
      <c r="E251" s="31" t="s">
        <v>1091</v>
      </c>
      <c r="F251" s="31" t="s">
        <v>774</v>
      </c>
      <c r="G251" s="31" t="s">
        <v>785</v>
      </c>
    </row>
    <row r="252" spans="1:7">
      <c r="A252" s="31" t="s">
        <v>1111</v>
      </c>
      <c r="B252" s="31" t="s">
        <v>1111</v>
      </c>
      <c r="C252" s="31" t="s">
        <v>1103</v>
      </c>
      <c r="D252" s="31" t="s">
        <v>780</v>
      </c>
      <c r="E252" s="31" t="s">
        <v>1101</v>
      </c>
      <c r="F252" s="31" t="s">
        <v>774</v>
      </c>
      <c r="G252" s="31" t="s">
        <v>785</v>
      </c>
    </row>
    <row r="253" spans="1:7">
      <c r="A253" s="31" t="s">
        <v>1112</v>
      </c>
      <c r="B253" s="31" t="s">
        <v>1112</v>
      </c>
      <c r="C253" s="31" t="s">
        <v>1103</v>
      </c>
      <c r="D253" s="31" t="s">
        <v>780</v>
      </c>
      <c r="E253" s="31" t="s">
        <v>1091</v>
      </c>
      <c r="F253" s="31" t="s">
        <v>774</v>
      </c>
      <c r="G253" s="31" t="s">
        <v>785</v>
      </c>
    </row>
    <row r="254" spans="1:7">
      <c r="A254" s="31" t="s">
        <v>1113</v>
      </c>
      <c r="B254" s="31" t="s">
        <v>1113</v>
      </c>
      <c r="C254" s="31" t="s">
        <v>1113</v>
      </c>
      <c r="D254" s="31" t="s">
        <v>780</v>
      </c>
      <c r="E254" s="31" t="s">
        <v>1101</v>
      </c>
      <c r="F254" s="31" t="s">
        <v>774</v>
      </c>
      <c r="G254" s="31" t="s">
        <v>785</v>
      </c>
    </row>
    <row r="255" spans="1:7">
      <c r="A255" s="31" t="s">
        <v>1114</v>
      </c>
      <c r="B255" s="31" t="s">
        <v>1114</v>
      </c>
      <c r="C255" s="31" t="s">
        <v>1114</v>
      </c>
      <c r="D255" s="31" t="s">
        <v>780</v>
      </c>
      <c r="E255" s="31" t="s">
        <v>1101</v>
      </c>
      <c r="F255" s="31" t="s">
        <v>774</v>
      </c>
      <c r="G255" s="31" t="s">
        <v>785</v>
      </c>
    </row>
    <row r="256" spans="1:7">
      <c r="A256" s="31" t="s">
        <v>1115</v>
      </c>
      <c r="B256" s="31" t="s">
        <v>1115</v>
      </c>
      <c r="C256" s="31" t="s">
        <v>1116</v>
      </c>
      <c r="D256" s="31" t="s">
        <v>780</v>
      </c>
      <c r="E256" s="31" t="s">
        <v>1101</v>
      </c>
      <c r="F256" s="31" t="s">
        <v>774</v>
      </c>
      <c r="G256" s="31" t="s">
        <v>785</v>
      </c>
    </row>
    <row r="257" spans="1:7">
      <c r="A257" s="31" t="s">
        <v>1117</v>
      </c>
      <c r="B257" s="31" t="s">
        <v>1117</v>
      </c>
      <c r="C257" s="31" t="s">
        <v>1116</v>
      </c>
      <c r="D257" s="31" t="s">
        <v>780</v>
      </c>
      <c r="E257" s="31" t="s">
        <v>1101</v>
      </c>
      <c r="F257" s="31" t="s">
        <v>774</v>
      </c>
      <c r="G257" s="31" t="s">
        <v>785</v>
      </c>
    </row>
    <row r="258" spans="1:7">
      <c r="A258" s="31" t="s">
        <v>1118</v>
      </c>
      <c r="B258" s="31" t="s">
        <v>1118</v>
      </c>
      <c r="C258" s="31" t="s">
        <v>1119</v>
      </c>
      <c r="D258" s="31" t="s">
        <v>780</v>
      </c>
      <c r="E258" s="31" t="s">
        <v>1101</v>
      </c>
      <c r="F258" s="31" t="s">
        <v>774</v>
      </c>
      <c r="G258" s="31" t="s">
        <v>785</v>
      </c>
    </row>
    <row r="259" spans="1:7">
      <c r="A259" s="31" t="s">
        <v>1120</v>
      </c>
      <c r="B259" s="31" t="s">
        <v>1120</v>
      </c>
      <c r="C259" s="31" t="s">
        <v>1119</v>
      </c>
      <c r="D259" s="31" t="s">
        <v>780</v>
      </c>
      <c r="E259" s="31" t="s">
        <v>1101</v>
      </c>
      <c r="F259" s="31" t="s">
        <v>774</v>
      </c>
      <c r="G259" s="31" t="s">
        <v>785</v>
      </c>
    </row>
    <row r="260" spans="1:7">
      <c r="A260" s="31" t="s">
        <v>1121</v>
      </c>
      <c r="B260" s="31" t="s">
        <v>1121</v>
      </c>
      <c r="C260" s="31" t="s">
        <v>1119</v>
      </c>
      <c r="D260" s="31" t="s">
        <v>780</v>
      </c>
      <c r="E260" s="31" t="s">
        <v>1101</v>
      </c>
      <c r="F260" s="31" t="s">
        <v>774</v>
      </c>
      <c r="G260" s="31" t="s">
        <v>785</v>
      </c>
    </row>
    <row r="261" spans="1:7">
      <c r="A261" s="31" t="s">
        <v>1122</v>
      </c>
      <c r="B261" s="31" t="s">
        <v>1122</v>
      </c>
      <c r="C261" s="31" t="s">
        <v>1119</v>
      </c>
      <c r="D261" s="31" t="s">
        <v>780</v>
      </c>
      <c r="E261" s="31" t="s">
        <v>1091</v>
      </c>
      <c r="F261" s="31" t="s">
        <v>774</v>
      </c>
      <c r="G261" s="31" t="s">
        <v>785</v>
      </c>
    </row>
    <row r="262" spans="1:7">
      <c r="A262" s="31" t="s">
        <v>1123</v>
      </c>
      <c r="B262" s="31" t="s">
        <v>1124</v>
      </c>
      <c r="C262" s="31" t="s">
        <v>1125</v>
      </c>
      <c r="D262" s="31" t="s">
        <v>780</v>
      </c>
      <c r="E262" s="31" t="s">
        <v>1091</v>
      </c>
      <c r="F262" s="31" t="s">
        <v>774</v>
      </c>
      <c r="G262" s="31" t="s">
        <v>1126</v>
      </c>
    </row>
    <row r="263" spans="1:7">
      <c r="A263" s="31" t="s">
        <v>1127</v>
      </c>
      <c r="B263" s="31" t="s">
        <v>1124</v>
      </c>
      <c r="C263" s="31" t="s">
        <v>1125</v>
      </c>
      <c r="D263" s="31" t="s">
        <v>780</v>
      </c>
      <c r="E263" s="31" t="s">
        <v>1091</v>
      </c>
      <c r="F263" s="31" t="s">
        <v>774</v>
      </c>
      <c r="G263" s="31" t="s">
        <v>1126</v>
      </c>
    </row>
    <row r="264" spans="1:7">
      <c r="A264" s="31" t="s">
        <v>1128</v>
      </c>
      <c r="B264" s="31" t="s">
        <v>1129</v>
      </c>
      <c r="C264" s="31" t="s">
        <v>1125</v>
      </c>
      <c r="D264" s="31" t="s">
        <v>780</v>
      </c>
      <c r="E264" s="31" t="s">
        <v>1091</v>
      </c>
      <c r="F264" s="31" t="s">
        <v>774</v>
      </c>
      <c r="G264" s="31" t="s">
        <v>1126</v>
      </c>
    </row>
    <row r="265" spans="1:7">
      <c r="A265" s="31" t="s">
        <v>1130</v>
      </c>
      <c r="B265" s="31" t="s">
        <v>1129</v>
      </c>
      <c r="C265" s="31" t="s">
        <v>1125</v>
      </c>
      <c r="D265" s="31" t="s">
        <v>780</v>
      </c>
      <c r="E265" s="31" t="s">
        <v>1091</v>
      </c>
      <c r="F265" s="31" t="s">
        <v>774</v>
      </c>
      <c r="G265" s="31" t="s">
        <v>1126</v>
      </c>
    </row>
    <row r="266" spans="1:7">
      <c r="A266" s="31" t="s">
        <v>1131</v>
      </c>
      <c r="B266" s="31" t="s">
        <v>1132</v>
      </c>
      <c r="C266" s="31" t="s">
        <v>1125</v>
      </c>
      <c r="D266" s="31" t="s">
        <v>780</v>
      </c>
      <c r="E266" s="31" t="s">
        <v>1091</v>
      </c>
      <c r="F266" s="31" t="s">
        <v>774</v>
      </c>
      <c r="G266" s="31" t="s">
        <v>1126</v>
      </c>
    </row>
    <row r="267" spans="1:7">
      <c r="A267" s="31" t="s">
        <v>1133</v>
      </c>
      <c r="B267" s="31" t="s">
        <v>1132</v>
      </c>
      <c r="C267" s="31" t="s">
        <v>1125</v>
      </c>
      <c r="D267" s="31" t="s">
        <v>780</v>
      </c>
      <c r="E267" s="31" t="s">
        <v>1091</v>
      </c>
      <c r="F267" s="31" t="s">
        <v>774</v>
      </c>
      <c r="G267" s="31" t="s">
        <v>1126</v>
      </c>
    </row>
    <row r="268" spans="1:7">
      <c r="A268" s="31" t="s">
        <v>1134</v>
      </c>
      <c r="B268" s="31" t="s">
        <v>1135</v>
      </c>
      <c r="C268" s="31" t="s">
        <v>1125</v>
      </c>
      <c r="D268" s="31" t="s">
        <v>780</v>
      </c>
      <c r="E268" s="31" t="s">
        <v>1091</v>
      </c>
      <c r="F268" s="31" t="s">
        <v>774</v>
      </c>
      <c r="G268" s="31" t="s">
        <v>1126</v>
      </c>
    </row>
    <row r="269" spans="1:7">
      <c r="A269" s="31" t="s">
        <v>1136</v>
      </c>
      <c r="B269" s="31" t="s">
        <v>1135</v>
      </c>
      <c r="C269" s="31" t="s">
        <v>1125</v>
      </c>
      <c r="D269" s="31" t="s">
        <v>780</v>
      </c>
      <c r="E269" s="31" t="s">
        <v>1091</v>
      </c>
      <c r="F269" s="31" t="s">
        <v>774</v>
      </c>
      <c r="G269" s="31" t="s">
        <v>1126</v>
      </c>
    </row>
    <row r="270" spans="1:7">
      <c r="A270" s="31" t="s">
        <v>1137</v>
      </c>
      <c r="B270" s="31" t="s">
        <v>1138</v>
      </c>
      <c r="C270" s="31" t="s">
        <v>1125</v>
      </c>
      <c r="D270" s="31" t="s">
        <v>780</v>
      </c>
      <c r="E270" s="31" t="s">
        <v>1091</v>
      </c>
      <c r="F270" s="31" t="s">
        <v>774</v>
      </c>
      <c r="G270" s="31" t="s">
        <v>1126</v>
      </c>
    </row>
    <row r="271" spans="1:7">
      <c r="A271" s="31" t="s">
        <v>1139</v>
      </c>
      <c r="B271" s="31" t="s">
        <v>1138</v>
      </c>
      <c r="C271" s="31" t="s">
        <v>1125</v>
      </c>
      <c r="D271" s="31" t="s">
        <v>780</v>
      </c>
      <c r="E271" s="31" t="s">
        <v>1091</v>
      </c>
      <c r="F271" s="31" t="s">
        <v>774</v>
      </c>
      <c r="G271" s="31" t="s">
        <v>1126</v>
      </c>
    </row>
    <row r="272" spans="1:7">
      <c r="A272" s="31" t="s">
        <v>1140</v>
      </c>
      <c r="B272" s="31" t="s">
        <v>1140</v>
      </c>
      <c r="C272" s="31" t="s">
        <v>1141</v>
      </c>
      <c r="D272" s="31" t="s">
        <v>780</v>
      </c>
      <c r="E272" s="31" t="s">
        <v>1091</v>
      </c>
      <c r="F272" s="31" t="s">
        <v>774</v>
      </c>
      <c r="G272" s="31" t="s">
        <v>785</v>
      </c>
    </row>
    <row r="273" spans="1:7">
      <c r="A273" s="31" t="s">
        <v>1142</v>
      </c>
      <c r="B273" s="31" t="s">
        <v>1140</v>
      </c>
      <c r="C273" s="31" t="s">
        <v>1141</v>
      </c>
      <c r="D273" s="31" t="s">
        <v>780</v>
      </c>
      <c r="E273" s="31" t="s">
        <v>1101</v>
      </c>
      <c r="F273" s="31" t="s">
        <v>774</v>
      </c>
      <c r="G273" s="31" t="s">
        <v>785</v>
      </c>
    </row>
    <row r="274" spans="1:7">
      <c r="A274" s="31" t="s">
        <v>1143</v>
      </c>
      <c r="B274" s="31" t="s">
        <v>1143</v>
      </c>
      <c r="C274" s="31" t="s">
        <v>1141</v>
      </c>
      <c r="D274" s="31" t="s">
        <v>780</v>
      </c>
      <c r="E274" s="31" t="s">
        <v>1101</v>
      </c>
      <c r="F274" s="31" t="s">
        <v>774</v>
      </c>
      <c r="G274" s="31" t="s">
        <v>785</v>
      </c>
    </row>
    <row r="275" spans="1:7">
      <c r="A275" s="31" t="s">
        <v>1144</v>
      </c>
      <c r="B275" s="31" t="s">
        <v>1145</v>
      </c>
      <c r="C275" s="31" t="s">
        <v>1141</v>
      </c>
      <c r="D275" s="31" t="s">
        <v>780</v>
      </c>
      <c r="E275" s="31" t="s">
        <v>1091</v>
      </c>
      <c r="F275" s="31" t="s">
        <v>774</v>
      </c>
      <c r="G275" s="31" t="s">
        <v>785</v>
      </c>
    </row>
    <row r="276" spans="1:7">
      <c r="A276" s="31"/>
      <c r="B276" s="31"/>
      <c r="C276" s="31"/>
      <c r="D276" s="31"/>
      <c r="E276" s="31"/>
      <c r="F276" s="31"/>
      <c r="G276" s="31"/>
    </row>
    <row r="277" spans="1:7">
      <c r="A277" s="31"/>
      <c r="B277" s="31"/>
      <c r="C277" s="31"/>
      <c r="D277" s="31"/>
      <c r="E277" s="31"/>
      <c r="F277" s="31"/>
      <c r="G277" s="31"/>
    </row>
    <row r="278" spans="1:7">
      <c r="A278" s="31"/>
      <c r="B278" s="31"/>
      <c r="C278" s="31"/>
      <c r="D278" s="31"/>
      <c r="E278" s="31"/>
      <c r="F278" s="31"/>
      <c r="G278" s="31"/>
    </row>
    <row r="279" spans="1:7">
      <c r="A279" s="22"/>
      <c r="B279" s="22"/>
      <c r="C279" s="22"/>
      <c r="D279" s="22"/>
      <c r="E279" s="22"/>
      <c r="F279" s="22"/>
      <c r="G279" s="22"/>
    </row>
    <row r="280" spans="1:7">
      <c r="A280" s="22"/>
      <c r="B280" s="22"/>
      <c r="C280" s="22"/>
      <c r="D280" s="22"/>
      <c r="E280" s="22"/>
      <c r="F280" s="22"/>
      <c r="G280" s="22"/>
    </row>
    <row r="281" spans="1:7">
      <c r="A281" s="22"/>
      <c r="B281" s="22"/>
      <c r="C281" s="22"/>
      <c r="D281" s="22"/>
      <c r="E281" s="22"/>
      <c r="F281" s="22"/>
      <c r="G281" s="22"/>
    </row>
    <row r="282" spans="1:7">
      <c r="A282" s="22"/>
      <c r="B282" s="22"/>
      <c r="C282" s="22"/>
      <c r="D282" s="22"/>
      <c r="E282" s="22"/>
      <c r="F282" s="22"/>
      <c r="G282" s="22"/>
    </row>
    <row r="283" spans="1:7">
      <c r="A283" s="22"/>
      <c r="B283" s="22"/>
      <c r="C283" s="22"/>
      <c r="D283" s="22"/>
      <c r="E283" s="22"/>
      <c r="F283" s="22"/>
      <c r="G283" s="22"/>
    </row>
    <row r="284" spans="1:7">
      <c r="A284" s="22"/>
      <c r="B284" s="22"/>
      <c r="C284" s="22"/>
      <c r="D284" s="22"/>
      <c r="E284" s="22"/>
      <c r="F284" s="22"/>
      <c r="G284" s="22"/>
    </row>
    <row r="285" spans="1:7">
      <c r="A285" s="22"/>
      <c r="B285" s="22"/>
      <c r="C285" s="22"/>
      <c r="D285" s="22"/>
      <c r="E285" s="22"/>
      <c r="F285" s="22"/>
      <c r="G285" s="22"/>
    </row>
    <row r="286" spans="1:7">
      <c r="A286" s="22"/>
      <c r="B286" s="22"/>
      <c r="C286" s="22"/>
      <c r="D286" s="22"/>
      <c r="E286" s="22"/>
      <c r="F286" s="22"/>
      <c r="G286" s="22"/>
    </row>
    <row r="287" spans="1:7">
      <c r="A287" s="22"/>
      <c r="B287" s="22"/>
      <c r="C287" s="22"/>
      <c r="D287" s="22"/>
      <c r="E287" s="22"/>
      <c r="F287" s="22"/>
      <c r="G287" s="22"/>
    </row>
    <row r="288" spans="1:7">
      <c r="A288" s="22"/>
      <c r="B288" s="22"/>
      <c r="C288" s="22"/>
      <c r="D288" s="22"/>
      <c r="E288" s="22"/>
      <c r="F288" s="22"/>
      <c r="G288" s="22"/>
    </row>
    <row r="289" spans="1:7">
      <c r="A289" s="22"/>
      <c r="B289" s="22"/>
      <c r="C289" s="22"/>
      <c r="D289" s="22"/>
      <c r="E289" s="22"/>
      <c r="F289" s="22"/>
      <c r="G289" s="22"/>
    </row>
    <row r="290" spans="1:7">
      <c r="A290" s="32" t="s">
        <v>1146</v>
      </c>
      <c r="B290" s="33"/>
      <c r="C290" s="33"/>
      <c r="D290" s="33"/>
      <c r="E290" s="33"/>
      <c r="F290" s="33"/>
      <c r="G290" s="33"/>
    </row>
    <row r="291" spans="1:7">
      <c r="A291" s="32" t="s">
        <v>1147</v>
      </c>
      <c r="B291" s="33" t="s">
        <v>1147</v>
      </c>
      <c r="C291" s="33" t="s">
        <v>1147</v>
      </c>
      <c r="D291" s="33" t="s">
        <v>780</v>
      </c>
      <c r="E291" s="33" t="s">
        <v>1148</v>
      </c>
      <c r="F291" s="33" t="s">
        <v>774</v>
      </c>
      <c r="G291" s="33" t="s">
        <v>785</v>
      </c>
    </row>
    <row r="292" spans="1:7">
      <c r="A292" s="33" t="s">
        <v>1149</v>
      </c>
      <c r="B292" s="33" t="s">
        <v>1149</v>
      </c>
      <c r="C292" s="33" t="s">
        <v>1149</v>
      </c>
      <c r="D292" s="33" t="s">
        <v>780</v>
      </c>
      <c r="E292" s="33" t="s">
        <v>1148</v>
      </c>
      <c r="F292" s="33" t="s">
        <v>774</v>
      </c>
      <c r="G292" s="33" t="s">
        <v>785</v>
      </c>
    </row>
    <row r="293" spans="1:7">
      <c r="A293" s="33" t="s">
        <v>1150</v>
      </c>
      <c r="B293" s="33" t="s">
        <v>1150</v>
      </c>
      <c r="C293" s="33" t="s">
        <v>1150</v>
      </c>
      <c r="D293" s="33" t="s">
        <v>780</v>
      </c>
      <c r="E293" s="33" t="s">
        <v>1148</v>
      </c>
      <c r="F293" s="33" t="s">
        <v>774</v>
      </c>
      <c r="G293" s="33" t="s">
        <v>785</v>
      </c>
    </row>
    <row r="294" spans="1:7">
      <c r="A294" s="22" t="s">
        <v>1151</v>
      </c>
      <c r="B294" s="22" t="s">
        <v>1152</v>
      </c>
      <c r="C294" s="22" t="s">
        <v>1153</v>
      </c>
      <c r="D294" s="22" t="s">
        <v>780</v>
      </c>
      <c r="E294" s="22" t="s">
        <v>1148</v>
      </c>
      <c r="F294" s="22" t="s">
        <v>774</v>
      </c>
      <c r="G294" s="22" t="s">
        <v>785</v>
      </c>
    </row>
    <row r="295" spans="1:7">
      <c r="A295" s="22" t="s">
        <v>1154</v>
      </c>
      <c r="B295" s="22" t="s">
        <v>1152</v>
      </c>
      <c r="C295" s="22" t="s">
        <v>1153</v>
      </c>
      <c r="D295" s="22" t="s">
        <v>780</v>
      </c>
      <c r="E295" s="22" t="s">
        <v>1148</v>
      </c>
      <c r="F295" s="22" t="s">
        <v>774</v>
      </c>
      <c r="G295" s="22" t="s">
        <v>785</v>
      </c>
    </row>
    <row r="296" spans="1:7">
      <c r="A296" s="24" t="s">
        <v>1155</v>
      </c>
      <c r="B296" s="23" t="s">
        <v>1152</v>
      </c>
      <c r="C296" s="23" t="s">
        <v>1153</v>
      </c>
      <c r="D296" s="22" t="s">
        <v>780</v>
      </c>
      <c r="E296" s="22" t="s">
        <v>1148</v>
      </c>
      <c r="F296" s="22" t="s">
        <v>774</v>
      </c>
      <c r="G296" s="22" t="s">
        <v>785</v>
      </c>
    </row>
    <row r="297" spans="1:7">
      <c r="A297" s="22" t="s">
        <v>1156</v>
      </c>
      <c r="B297" s="22" t="s">
        <v>1157</v>
      </c>
      <c r="C297" s="22" t="s">
        <v>1153</v>
      </c>
      <c r="D297" s="22" t="s">
        <v>780</v>
      </c>
      <c r="E297" s="22" t="s">
        <v>1148</v>
      </c>
      <c r="F297" s="22" t="s">
        <v>774</v>
      </c>
      <c r="G297" s="22" t="s">
        <v>785</v>
      </c>
    </row>
    <row r="298" spans="1:7">
      <c r="A298" s="22" t="s">
        <v>1158</v>
      </c>
      <c r="B298" s="22" t="s">
        <v>1157</v>
      </c>
      <c r="C298" s="22" t="s">
        <v>1153</v>
      </c>
      <c r="D298" s="22" t="s">
        <v>780</v>
      </c>
      <c r="E298" s="22" t="s">
        <v>1148</v>
      </c>
      <c r="F298" s="22" t="s">
        <v>774</v>
      </c>
      <c r="G298" s="22" t="s">
        <v>785</v>
      </c>
    </row>
    <row r="299" spans="1:7">
      <c r="A299" s="22" t="s">
        <v>1159</v>
      </c>
      <c r="B299" s="22" t="s">
        <v>1157</v>
      </c>
      <c r="C299" s="22" t="s">
        <v>1153</v>
      </c>
      <c r="D299" s="22" t="s">
        <v>780</v>
      </c>
      <c r="E299" s="22" t="s">
        <v>1148</v>
      </c>
      <c r="F299" s="22" t="s">
        <v>774</v>
      </c>
      <c r="G299" s="22" t="s">
        <v>785</v>
      </c>
    </row>
    <row r="300" spans="1:7">
      <c r="A300" s="22" t="s">
        <v>1160</v>
      </c>
      <c r="B300" s="22" t="s">
        <v>1161</v>
      </c>
      <c r="C300" s="22" t="s">
        <v>1153</v>
      </c>
      <c r="D300" s="22" t="s">
        <v>780</v>
      </c>
      <c r="E300" s="22" t="s">
        <v>1148</v>
      </c>
      <c r="F300" s="22" t="s">
        <v>774</v>
      </c>
      <c r="G300" s="22" t="s">
        <v>785</v>
      </c>
    </row>
    <row r="301" spans="1:7">
      <c r="A301" s="22" t="s">
        <v>1162</v>
      </c>
      <c r="B301" s="22" t="s">
        <v>1161</v>
      </c>
      <c r="C301" s="22" t="s">
        <v>1153</v>
      </c>
      <c r="D301" s="22" t="s">
        <v>780</v>
      </c>
      <c r="E301" s="22" t="s">
        <v>1148</v>
      </c>
      <c r="F301" s="22" t="s">
        <v>774</v>
      </c>
      <c r="G301" s="22" t="s">
        <v>785</v>
      </c>
    </row>
    <row r="302" spans="1:7">
      <c r="A302" s="22" t="s">
        <v>1163</v>
      </c>
      <c r="B302" s="22" t="s">
        <v>1161</v>
      </c>
      <c r="C302" s="22" t="s">
        <v>1153</v>
      </c>
      <c r="D302" s="22" t="s">
        <v>780</v>
      </c>
      <c r="E302" s="22" t="s">
        <v>1148</v>
      </c>
      <c r="F302" s="22" t="s">
        <v>774</v>
      </c>
      <c r="G302" s="22" t="s">
        <v>785</v>
      </c>
    </row>
    <row r="303" spans="1:7">
      <c r="A303" s="22" t="s">
        <v>1164</v>
      </c>
      <c r="B303" s="22" t="s">
        <v>1165</v>
      </c>
      <c r="C303" s="22" t="s">
        <v>1153</v>
      </c>
      <c r="D303" s="22" t="s">
        <v>780</v>
      </c>
      <c r="E303" s="22" t="s">
        <v>1148</v>
      </c>
      <c r="F303" s="22" t="s">
        <v>774</v>
      </c>
      <c r="G303" s="22" t="s">
        <v>785</v>
      </c>
    </row>
    <row r="304" spans="1:7">
      <c r="A304" s="22" t="s">
        <v>1166</v>
      </c>
      <c r="B304" s="22" t="s">
        <v>1165</v>
      </c>
      <c r="C304" s="22" t="s">
        <v>1153</v>
      </c>
      <c r="D304" s="22" t="s">
        <v>780</v>
      </c>
      <c r="E304" s="22" t="s">
        <v>1148</v>
      </c>
      <c r="F304" s="22" t="s">
        <v>774</v>
      </c>
      <c r="G304" s="22" t="s">
        <v>785</v>
      </c>
    </row>
    <row r="305" spans="1:7">
      <c r="A305" s="22" t="s">
        <v>1167</v>
      </c>
      <c r="B305" s="22" t="s">
        <v>1165</v>
      </c>
      <c r="C305" s="22" t="s">
        <v>1153</v>
      </c>
      <c r="D305" s="22" t="s">
        <v>780</v>
      </c>
      <c r="E305" s="22" t="s">
        <v>1148</v>
      </c>
      <c r="F305" s="22" t="s">
        <v>774</v>
      </c>
      <c r="G305" s="22" t="s">
        <v>785</v>
      </c>
    </row>
    <row r="306" spans="1:7">
      <c r="A306" s="22" t="s">
        <v>1168</v>
      </c>
      <c r="B306" s="22" t="s">
        <v>1169</v>
      </c>
      <c r="C306" s="22" t="s">
        <v>1153</v>
      </c>
      <c r="D306" s="22" t="s">
        <v>780</v>
      </c>
      <c r="E306" s="22" t="s">
        <v>1148</v>
      </c>
      <c r="F306" s="22" t="s">
        <v>774</v>
      </c>
      <c r="G306" s="22" t="s">
        <v>785</v>
      </c>
    </row>
    <row r="307" spans="1:7">
      <c r="A307" s="22" t="s">
        <v>1170</v>
      </c>
      <c r="B307" s="22" t="s">
        <v>1169</v>
      </c>
      <c r="C307" s="22" t="s">
        <v>1153</v>
      </c>
      <c r="D307" s="22" t="s">
        <v>780</v>
      </c>
      <c r="E307" s="22" t="s">
        <v>1148</v>
      </c>
      <c r="F307" s="22" t="s">
        <v>774</v>
      </c>
      <c r="G307" s="22" t="s">
        <v>785</v>
      </c>
    </row>
    <row r="308" spans="1:7">
      <c r="A308" s="22" t="s">
        <v>1171</v>
      </c>
      <c r="B308" s="22" t="s">
        <v>1169</v>
      </c>
      <c r="C308" s="22" t="s">
        <v>1153</v>
      </c>
      <c r="D308" s="22" t="s">
        <v>780</v>
      </c>
      <c r="E308" s="22" t="s">
        <v>1148</v>
      </c>
      <c r="F308" s="22" t="s">
        <v>774</v>
      </c>
      <c r="G308" s="22" t="s">
        <v>785</v>
      </c>
    </row>
    <row r="309" spans="1:7">
      <c r="A309" s="22" t="s">
        <v>1172</v>
      </c>
      <c r="B309" s="22" t="s">
        <v>1173</v>
      </c>
      <c r="C309" s="22" t="s">
        <v>1153</v>
      </c>
      <c r="D309" s="22" t="s">
        <v>780</v>
      </c>
      <c r="E309" s="22" t="s">
        <v>1148</v>
      </c>
      <c r="F309" s="22" t="s">
        <v>774</v>
      </c>
      <c r="G309" s="22" t="s">
        <v>785</v>
      </c>
    </row>
    <row r="310" spans="1:7">
      <c r="A310" s="22" t="s">
        <v>1174</v>
      </c>
      <c r="B310" s="22" t="s">
        <v>1173</v>
      </c>
      <c r="C310" s="22" t="s">
        <v>1153</v>
      </c>
      <c r="D310" s="22" t="s">
        <v>780</v>
      </c>
      <c r="E310" s="22" t="s">
        <v>1148</v>
      </c>
      <c r="F310" s="22" t="s">
        <v>774</v>
      </c>
      <c r="G310" s="22" t="s">
        <v>785</v>
      </c>
    </row>
    <row r="311" spans="1:7">
      <c r="A311" s="22" t="s">
        <v>1175</v>
      </c>
      <c r="B311" s="22" t="s">
        <v>1173</v>
      </c>
      <c r="C311" s="22" t="s">
        <v>1153</v>
      </c>
      <c r="D311" s="22" t="s">
        <v>780</v>
      </c>
      <c r="E311" s="22" t="s">
        <v>1148</v>
      </c>
      <c r="F311" s="22" t="s">
        <v>774</v>
      </c>
      <c r="G311" s="22" t="s">
        <v>785</v>
      </c>
    </row>
    <row r="312" spans="1:7">
      <c r="A312" s="22" t="s">
        <v>1176</v>
      </c>
      <c r="B312" s="22" t="s">
        <v>1177</v>
      </c>
      <c r="C312" s="22" t="s">
        <v>1178</v>
      </c>
      <c r="D312" s="22" t="s">
        <v>780</v>
      </c>
      <c r="E312" s="22" t="s">
        <v>1148</v>
      </c>
      <c r="F312" s="22" t="s">
        <v>774</v>
      </c>
      <c r="G312" s="22" t="s">
        <v>785</v>
      </c>
    </row>
    <row r="313" spans="1:7">
      <c r="A313" s="22" t="s">
        <v>1179</v>
      </c>
      <c r="B313" s="22" t="s">
        <v>1177</v>
      </c>
      <c r="C313" s="22" t="s">
        <v>1178</v>
      </c>
      <c r="D313" s="22" t="s">
        <v>780</v>
      </c>
      <c r="E313" s="22" t="s">
        <v>1148</v>
      </c>
      <c r="F313" s="22" t="s">
        <v>774</v>
      </c>
      <c r="G313" s="22" t="s">
        <v>785</v>
      </c>
    </row>
    <row r="314" spans="1:7">
      <c r="A314" s="22" t="s">
        <v>1180</v>
      </c>
      <c r="B314" s="22" t="s">
        <v>1177</v>
      </c>
      <c r="C314" s="22" t="s">
        <v>1178</v>
      </c>
      <c r="D314" s="22" t="s">
        <v>780</v>
      </c>
      <c r="E314" s="22" t="s">
        <v>1148</v>
      </c>
      <c r="F314" s="22" t="s">
        <v>774</v>
      </c>
      <c r="G314" s="22" t="s">
        <v>785</v>
      </c>
    </row>
    <row r="315" spans="1:7">
      <c r="A315" s="22" t="s">
        <v>1181</v>
      </c>
      <c r="B315" s="22" t="s">
        <v>1182</v>
      </c>
      <c r="C315" s="22" t="s">
        <v>1178</v>
      </c>
      <c r="D315" s="22" t="s">
        <v>780</v>
      </c>
      <c r="E315" s="22" t="s">
        <v>1148</v>
      </c>
      <c r="F315" s="22" t="s">
        <v>774</v>
      </c>
      <c r="G315" s="22" t="s">
        <v>785</v>
      </c>
    </row>
    <row r="316" spans="1:7">
      <c r="A316" s="22" t="s">
        <v>1183</v>
      </c>
      <c r="B316" s="22" t="s">
        <v>1182</v>
      </c>
      <c r="C316" s="22" t="s">
        <v>1178</v>
      </c>
      <c r="D316" s="22" t="s">
        <v>780</v>
      </c>
      <c r="E316" s="22" t="s">
        <v>1148</v>
      </c>
      <c r="F316" s="22" t="s">
        <v>774</v>
      </c>
      <c r="G316" s="22" t="s">
        <v>785</v>
      </c>
    </row>
    <row r="317" spans="1:7">
      <c r="A317" s="22" t="s">
        <v>1184</v>
      </c>
      <c r="B317" s="22" t="s">
        <v>1182</v>
      </c>
      <c r="C317" s="22" t="s">
        <v>1178</v>
      </c>
      <c r="D317" s="22" t="s">
        <v>780</v>
      </c>
      <c r="E317" s="22" t="s">
        <v>1148</v>
      </c>
      <c r="F317" s="22" t="s">
        <v>774</v>
      </c>
      <c r="G317" s="22" t="s">
        <v>785</v>
      </c>
    </row>
    <row r="318" spans="1:7">
      <c r="A318" s="22" t="s">
        <v>1185</v>
      </c>
      <c r="B318" s="22" t="s">
        <v>1186</v>
      </c>
      <c r="C318" s="22" t="s">
        <v>1178</v>
      </c>
      <c r="D318" s="22" t="s">
        <v>780</v>
      </c>
      <c r="E318" s="22" t="s">
        <v>1148</v>
      </c>
      <c r="F318" s="22" t="s">
        <v>774</v>
      </c>
      <c r="G318" s="22" t="s">
        <v>785</v>
      </c>
    </row>
    <row r="319" spans="1:7">
      <c r="A319" s="22" t="s">
        <v>1187</v>
      </c>
      <c r="B319" s="22" t="s">
        <v>1186</v>
      </c>
      <c r="C319" s="22" t="s">
        <v>1178</v>
      </c>
      <c r="D319" s="22" t="s">
        <v>780</v>
      </c>
      <c r="E319" s="22" t="s">
        <v>1148</v>
      </c>
      <c r="F319" s="22" t="s">
        <v>774</v>
      </c>
      <c r="G319" s="22" t="s">
        <v>785</v>
      </c>
    </row>
    <row r="320" spans="1:7">
      <c r="A320" s="22" t="s">
        <v>1188</v>
      </c>
      <c r="B320" s="22" t="s">
        <v>1186</v>
      </c>
      <c r="C320" s="22" t="s">
        <v>1178</v>
      </c>
      <c r="D320" s="22" t="s">
        <v>780</v>
      </c>
      <c r="E320" s="22" t="s">
        <v>1148</v>
      </c>
      <c r="F320" s="22" t="s">
        <v>774</v>
      </c>
      <c r="G320" s="22" t="s">
        <v>785</v>
      </c>
    </row>
    <row r="321" spans="1:7">
      <c r="A321" s="22" t="s">
        <v>1189</v>
      </c>
      <c r="B321" s="22" t="s">
        <v>1190</v>
      </c>
      <c r="C321" s="22" t="s">
        <v>1178</v>
      </c>
      <c r="D321" s="22" t="s">
        <v>780</v>
      </c>
      <c r="E321" s="22" t="s">
        <v>1148</v>
      </c>
      <c r="F321" s="22" t="s">
        <v>774</v>
      </c>
      <c r="G321" s="22" t="s">
        <v>785</v>
      </c>
    </row>
    <row r="322" spans="1:7">
      <c r="A322" s="24" t="s">
        <v>1191</v>
      </c>
      <c r="B322" s="24" t="s">
        <v>1190</v>
      </c>
      <c r="C322" s="22" t="s">
        <v>1178</v>
      </c>
      <c r="D322" s="22" t="s">
        <v>780</v>
      </c>
      <c r="E322" s="22" t="s">
        <v>1148</v>
      </c>
      <c r="F322" s="22" t="s">
        <v>774</v>
      </c>
      <c r="G322" s="22" t="s">
        <v>785</v>
      </c>
    </row>
    <row r="323" spans="1:7">
      <c r="A323" s="22" t="s">
        <v>1192</v>
      </c>
      <c r="B323" s="22" t="s">
        <v>1190</v>
      </c>
      <c r="C323" s="22" t="s">
        <v>1178</v>
      </c>
      <c r="D323" s="22" t="s">
        <v>780</v>
      </c>
      <c r="E323" s="22" t="s">
        <v>1148</v>
      </c>
      <c r="F323" s="22" t="s">
        <v>774</v>
      </c>
      <c r="G323" s="22" t="s">
        <v>785</v>
      </c>
    </row>
    <row r="324" spans="1:7">
      <c r="A324" s="22" t="s">
        <v>1193</v>
      </c>
      <c r="B324" s="22" t="s">
        <v>1194</v>
      </c>
      <c r="C324" s="22" t="s">
        <v>1178</v>
      </c>
      <c r="D324" s="22" t="s">
        <v>780</v>
      </c>
      <c r="E324" s="22" t="s">
        <v>1148</v>
      </c>
      <c r="F324" s="22" t="s">
        <v>774</v>
      </c>
      <c r="G324" s="22" t="s">
        <v>785</v>
      </c>
    </row>
    <row r="325" spans="1:7">
      <c r="A325" s="22" t="s">
        <v>1195</v>
      </c>
      <c r="B325" s="22" t="s">
        <v>1194</v>
      </c>
      <c r="C325" s="22" t="s">
        <v>1178</v>
      </c>
      <c r="D325" s="22" t="s">
        <v>780</v>
      </c>
      <c r="E325" s="22" t="s">
        <v>1148</v>
      </c>
      <c r="F325" s="22" t="s">
        <v>774</v>
      </c>
      <c r="G325" s="22" t="s">
        <v>785</v>
      </c>
    </row>
    <row r="326" spans="1:7">
      <c r="A326" s="22" t="s">
        <v>1196</v>
      </c>
      <c r="B326" s="22" t="s">
        <v>1194</v>
      </c>
      <c r="C326" s="22" t="s">
        <v>1178</v>
      </c>
      <c r="D326" s="22" t="s">
        <v>780</v>
      </c>
      <c r="E326" s="22" t="s">
        <v>1148</v>
      </c>
      <c r="F326" s="22" t="s">
        <v>774</v>
      </c>
      <c r="G326" s="22" t="s">
        <v>785</v>
      </c>
    </row>
    <row r="327" spans="1:7">
      <c r="A327" s="22" t="s">
        <v>1197</v>
      </c>
      <c r="B327" s="22" t="s">
        <v>1198</v>
      </c>
      <c r="C327" s="22" t="s">
        <v>1178</v>
      </c>
      <c r="D327" s="22" t="s">
        <v>780</v>
      </c>
      <c r="E327" s="22" t="s">
        <v>1148</v>
      </c>
      <c r="F327" s="22" t="s">
        <v>774</v>
      </c>
      <c r="G327" s="22" t="s">
        <v>785</v>
      </c>
    </row>
    <row r="328" spans="1:7">
      <c r="A328" s="22" t="s">
        <v>1199</v>
      </c>
      <c r="B328" s="22" t="s">
        <v>1198</v>
      </c>
      <c r="C328" s="22" t="s">
        <v>1178</v>
      </c>
      <c r="D328" s="22" t="s">
        <v>780</v>
      </c>
      <c r="E328" s="22" t="s">
        <v>1148</v>
      </c>
      <c r="F328" s="22" t="s">
        <v>774</v>
      </c>
      <c r="G328" s="22" t="s">
        <v>785</v>
      </c>
    </row>
    <row r="329" spans="1:7">
      <c r="A329" s="22" t="s">
        <v>1200</v>
      </c>
      <c r="B329" s="22" t="s">
        <v>1198</v>
      </c>
      <c r="C329" s="22" t="s">
        <v>1178</v>
      </c>
      <c r="D329" s="22" t="s">
        <v>780</v>
      </c>
      <c r="E329" s="22" t="s">
        <v>1148</v>
      </c>
      <c r="F329" s="22" t="s">
        <v>774</v>
      </c>
      <c r="G329" s="22" t="s">
        <v>785</v>
      </c>
    </row>
    <row r="330" spans="1:7">
      <c r="A330" s="22" t="s">
        <v>1198</v>
      </c>
      <c r="B330" s="22" t="s">
        <v>1198</v>
      </c>
      <c r="C330" s="22" t="s">
        <v>1178</v>
      </c>
      <c r="D330" s="22" t="s">
        <v>780</v>
      </c>
      <c r="E330" s="22" t="s">
        <v>1148</v>
      </c>
      <c r="F330" s="22" t="s">
        <v>774</v>
      </c>
      <c r="G330" s="22" t="s">
        <v>785</v>
      </c>
    </row>
    <row r="331" spans="1:7">
      <c r="A331" s="22" t="s">
        <v>1201</v>
      </c>
      <c r="B331" s="22" t="s">
        <v>1201</v>
      </c>
      <c r="C331" s="22" t="s">
        <v>1201</v>
      </c>
      <c r="D331" s="22" t="s">
        <v>780</v>
      </c>
      <c r="E331" s="22" t="s">
        <v>1148</v>
      </c>
      <c r="F331" s="22" t="s">
        <v>987</v>
      </c>
      <c r="G331" s="22" t="s">
        <v>1006</v>
      </c>
    </row>
    <row r="332" spans="1:7">
      <c r="A332" s="22" t="s">
        <v>1202</v>
      </c>
      <c r="B332" s="22" t="s">
        <v>1202</v>
      </c>
      <c r="C332" s="22" t="s">
        <v>1202</v>
      </c>
      <c r="D332" s="22" t="s">
        <v>780</v>
      </c>
      <c r="E332" s="22" t="s">
        <v>1148</v>
      </c>
      <c r="F332" s="22" t="s">
        <v>987</v>
      </c>
      <c r="G332" s="22" t="s">
        <v>1006</v>
      </c>
    </row>
    <row r="333" spans="1:7">
      <c r="A333" s="22" t="s">
        <v>1203</v>
      </c>
      <c r="B333" s="22" t="s">
        <v>1203</v>
      </c>
      <c r="C333" s="22" t="s">
        <v>1203</v>
      </c>
      <c r="D333" s="22" t="s">
        <v>780</v>
      </c>
      <c r="E333" s="22" t="s">
        <v>1148</v>
      </c>
      <c r="F333" s="22" t="s">
        <v>987</v>
      </c>
      <c r="G333" s="22" t="s">
        <v>1006</v>
      </c>
    </row>
    <row r="334" spans="1:7">
      <c r="A334" s="22" t="s">
        <v>1204</v>
      </c>
      <c r="B334" s="22" t="s">
        <v>1204</v>
      </c>
      <c r="C334" s="22" t="s">
        <v>1204</v>
      </c>
      <c r="D334" s="22" t="s">
        <v>780</v>
      </c>
      <c r="E334" s="22" t="s">
        <v>1148</v>
      </c>
      <c r="F334" s="22" t="s">
        <v>987</v>
      </c>
      <c r="G334" s="22" t="s">
        <v>1006</v>
      </c>
    </row>
    <row r="335" spans="1:7">
      <c r="A335" s="22" t="s">
        <v>1205</v>
      </c>
      <c r="B335" s="22" t="s">
        <v>1205</v>
      </c>
      <c r="C335" s="22" t="s">
        <v>1205</v>
      </c>
      <c r="D335" s="22" t="s">
        <v>780</v>
      </c>
      <c r="E335" s="22" t="s">
        <v>1148</v>
      </c>
      <c r="F335" s="22" t="s">
        <v>987</v>
      </c>
      <c r="G335" s="22" t="s">
        <v>1006</v>
      </c>
    </row>
    <row r="336" spans="1:7">
      <c r="A336" s="22" t="s">
        <v>1206</v>
      </c>
      <c r="B336" s="22" t="s">
        <v>1206</v>
      </c>
      <c r="C336" s="22" t="s">
        <v>1206</v>
      </c>
      <c r="D336" s="22" t="s">
        <v>780</v>
      </c>
      <c r="E336" s="22" t="s">
        <v>1148</v>
      </c>
      <c r="F336" s="22" t="s">
        <v>987</v>
      </c>
      <c r="G336" s="22" t="s">
        <v>785</v>
      </c>
    </row>
    <row r="337" spans="1:7">
      <c r="A337" s="22" t="s">
        <v>1207</v>
      </c>
      <c r="B337" s="22" t="s">
        <v>1207</v>
      </c>
      <c r="C337" s="22" t="s">
        <v>1207</v>
      </c>
      <c r="D337" s="22" t="s">
        <v>780</v>
      </c>
      <c r="E337" s="22" t="s">
        <v>1148</v>
      </c>
      <c r="F337" s="22" t="s">
        <v>774</v>
      </c>
      <c r="G337" s="22" t="s">
        <v>785</v>
      </c>
    </row>
    <row r="338" spans="1:7">
      <c r="A338" s="22" t="s">
        <v>1208</v>
      </c>
      <c r="B338" s="22" t="s">
        <v>1208</v>
      </c>
      <c r="C338" s="22" t="s">
        <v>1208</v>
      </c>
      <c r="D338" s="22" t="s">
        <v>780</v>
      </c>
      <c r="E338" s="22" t="s">
        <v>1148</v>
      </c>
      <c r="F338" s="22" t="s">
        <v>774</v>
      </c>
      <c r="G338" s="22" t="s">
        <v>785</v>
      </c>
    </row>
    <row r="339" spans="1:7">
      <c r="A339" s="22"/>
      <c r="B339" s="22"/>
      <c r="C339" s="22"/>
      <c r="D339" s="22"/>
      <c r="E339" s="22"/>
      <c r="F339" s="22"/>
      <c r="G339" s="22"/>
    </row>
    <row r="340" spans="1:7">
      <c r="A340" s="22"/>
      <c r="B340" s="22"/>
      <c r="C340" s="22"/>
      <c r="D340" s="22"/>
      <c r="E340" s="22"/>
      <c r="F340" s="22"/>
      <c r="G340" s="22"/>
    </row>
    <row r="341" spans="1:7">
      <c r="A341" s="22"/>
      <c r="B341" s="22"/>
      <c r="C341" s="22"/>
      <c r="D341" s="22"/>
      <c r="E341" s="22"/>
      <c r="F341" s="22"/>
      <c r="G341" s="22"/>
    </row>
    <row r="342" spans="1:7">
      <c r="A342" s="22"/>
      <c r="B342" s="22"/>
      <c r="C342" s="22"/>
      <c r="D342" s="22"/>
      <c r="E342" s="22"/>
      <c r="F342" s="22"/>
      <c r="G342" s="22"/>
    </row>
    <row r="343" spans="1:7">
      <c r="A343" s="22"/>
      <c r="B343" s="22"/>
      <c r="C343" s="22"/>
      <c r="D343" s="22"/>
      <c r="E343" s="22"/>
      <c r="F343" s="22"/>
      <c r="G343" s="22"/>
    </row>
    <row r="344" spans="1:7">
      <c r="A344" s="34" t="s">
        <v>1209</v>
      </c>
      <c r="B344" s="20"/>
      <c r="C344" s="20"/>
      <c r="D344" s="20"/>
      <c r="E344" s="20"/>
      <c r="F344" s="20"/>
      <c r="G344" s="20"/>
    </row>
    <row r="345" spans="1:7">
      <c r="A345" s="19" t="s">
        <v>1210</v>
      </c>
      <c r="B345" s="20"/>
      <c r="C345" s="20"/>
      <c r="D345" s="20"/>
      <c r="E345" s="20"/>
      <c r="F345" s="20"/>
      <c r="G345" s="20"/>
    </row>
    <row r="346" spans="1:7">
      <c r="A346" s="21" t="s">
        <v>1211</v>
      </c>
      <c r="B346" s="21" t="s">
        <v>1211</v>
      </c>
      <c r="C346" s="21" t="s">
        <v>1212</v>
      </c>
      <c r="D346" s="21" t="s">
        <v>772</v>
      </c>
      <c r="E346" s="21" t="s">
        <v>1213</v>
      </c>
      <c r="F346" s="21" t="s">
        <v>774</v>
      </c>
      <c r="G346" s="21" t="s">
        <v>775</v>
      </c>
    </row>
    <row r="347" spans="1:7">
      <c r="A347" s="21" t="s">
        <v>1214</v>
      </c>
      <c r="B347" s="21" t="s">
        <v>1215</v>
      </c>
      <c r="C347" s="21" t="s">
        <v>1216</v>
      </c>
      <c r="D347" s="21" t="s">
        <v>780</v>
      </c>
      <c r="E347" s="21" t="s">
        <v>1213</v>
      </c>
      <c r="F347" s="21" t="s">
        <v>774</v>
      </c>
      <c r="G347" s="21" t="s">
        <v>775</v>
      </c>
    </row>
    <row r="348" spans="1:7">
      <c r="A348" s="31" t="s">
        <v>1217</v>
      </c>
      <c r="B348" s="35" t="s">
        <v>1218</v>
      </c>
      <c r="C348" s="35" t="s">
        <v>1219</v>
      </c>
      <c r="D348" s="31" t="s">
        <v>780</v>
      </c>
      <c r="E348" s="31" t="s">
        <v>1213</v>
      </c>
      <c r="F348" s="31" t="s">
        <v>774</v>
      </c>
      <c r="G348" s="31" t="s">
        <v>785</v>
      </c>
    </row>
    <row r="349" spans="1:7">
      <c r="A349" s="31" t="s">
        <v>1220</v>
      </c>
      <c r="B349" s="35" t="s">
        <v>1218</v>
      </c>
      <c r="C349" s="35" t="s">
        <v>1219</v>
      </c>
      <c r="D349" s="31" t="s">
        <v>780</v>
      </c>
      <c r="E349" s="31" t="s">
        <v>1213</v>
      </c>
      <c r="F349" s="31" t="s">
        <v>774</v>
      </c>
      <c r="G349" s="31" t="s">
        <v>785</v>
      </c>
    </row>
    <row r="350" spans="1:7">
      <c r="A350" s="31" t="s">
        <v>1221</v>
      </c>
      <c r="B350" s="35" t="s">
        <v>1218</v>
      </c>
      <c r="C350" s="35" t="s">
        <v>1219</v>
      </c>
      <c r="D350" s="31" t="s">
        <v>780</v>
      </c>
      <c r="E350" s="31" t="s">
        <v>1213</v>
      </c>
      <c r="F350" s="31" t="s">
        <v>774</v>
      </c>
      <c r="G350" s="31" t="s">
        <v>785</v>
      </c>
    </row>
    <row r="351" spans="1:7">
      <c r="A351" s="31" t="s">
        <v>1222</v>
      </c>
      <c r="B351" s="35" t="s">
        <v>1218</v>
      </c>
      <c r="C351" s="35" t="s">
        <v>1219</v>
      </c>
      <c r="D351" s="31" t="s">
        <v>780</v>
      </c>
      <c r="E351" s="31" t="s">
        <v>1213</v>
      </c>
      <c r="F351" s="31" t="s">
        <v>774</v>
      </c>
      <c r="G351" s="31" t="s">
        <v>785</v>
      </c>
    </row>
    <row r="352" spans="1:7">
      <c r="A352" s="31" t="s">
        <v>1223</v>
      </c>
      <c r="B352" s="35" t="s">
        <v>1218</v>
      </c>
      <c r="C352" s="35" t="s">
        <v>1219</v>
      </c>
      <c r="D352" s="31" t="s">
        <v>780</v>
      </c>
      <c r="E352" s="31" t="s">
        <v>1213</v>
      </c>
      <c r="F352" s="31" t="s">
        <v>774</v>
      </c>
      <c r="G352" s="31" t="s">
        <v>785</v>
      </c>
    </row>
    <row r="353" spans="1:7">
      <c r="A353" s="31" t="s">
        <v>1224</v>
      </c>
      <c r="B353" s="35" t="s">
        <v>1218</v>
      </c>
      <c r="C353" s="35" t="s">
        <v>1219</v>
      </c>
      <c r="D353" s="31" t="s">
        <v>780</v>
      </c>
      <c r="E353" s="31" t="s">
        <v>1213</v>
      </c>
      <c r="F353" s="31" t="s">
        <v>774</v>
      </c>
      <c r="G353" s="31" t="s">
        <v>785</v>
      </c>
    </row>
    <row r="354" spans="1:7">
      <c r="A354" s="31" t="s">
        <v>1225</v>
      </c>
      <c r="B354" s="35" t="s">
        <v>1226</v>
      </c>
      <c r="C354" s="35" t="s">
        <v>1226</v>
      </c>
      <c r="D354" s="31" t="s">
        <v>780</v>
      </c>
      <c r="E354" s="31" t="s">
        <v>1213</v>
      </c>
      <c r="F354" s="31" t="s">
        <v>774</v>
      </c>
      <c r="G354" s="31" t="s">
        <v>785</v>
      </c>
    </row>
    <row r="355" spans="1:7">
      <c r="A355" s="31" t="s">
        <v>1227</v>
      </c>
      <c r="B355" s="35" t="s">
        <v>1226</v>
      </c>
      <c r="C355" s="35" t="s">
        <v>1226</v>
      </c>
      <c r="D355" s="31" t="s">
        <v>780</v>
      </c>
      <c r="E355" s="31" t="s">
        <v>1213</v>
      </c>
      <c r="F355" s="31" t="s">
        <v>774</v>
      </c>
      <c r="G355" s="31" t="s">
        <v>785</v>
      </c>
    </row>
    <row r="356" spans="1:7">
      <c r="A356" s="31" t="s">
        <v>1228</v>
      </c>
      <c r="B356" s="35" t="s">
        <v>1226</v>
      </c>
      <c r="C356" s="35" t="s">
        <v>1226</v>
      </c>
      <c r="D356" s="31" t="s">
        <v>780</v>
      </c>
      <c r="E356" s="31" t="s">
        <v>1213</v>
      </c>
      <c r="F356" s="31" t="s">
        <v>774</v>
      </c>
      <c r="G356" s="31" t="s">
        <v>785</v>
      </c>
    </row>
    <row r="357" spans="1:7">
      <c r="A357" s="31" t="s">
        <v>1229</v>
      </c>
      <c r="B357" s="35" t="s">
        <v>1226</v>
      </c>
      <c r="C357" s="35" t="s">
        <v>1226</v>
      </c>
      <c r="D357" s="31" t="s">
        <v>780</v>
      </c>
      <c r="E357" s="31" t="s">
        <v>1213</v>
      </c>
      <c r="F357" s="31" t="s">
        <v>774</v>
      </c>
      <c r="G357" s="31" t="s">
        <v>785</v>
      </c>
    </row>
    <row r="358" spans="1:7">
      <c r="A358" s="31" t="s">
        <v>1230</v>
      </c>
      <c r="B358" s="35" t="s">
        <v>1231</v>
      </c>
      <c r="C358" s="35" t="s">
        <v>1232</v>
      </c>
      <c r="D358" s="31" t="s">
        <v>780</v>
      </c>
      <c r="E358" s="31" t="s">
        <v>1213</v>
      </c>
      <c r="F358" s="31" t="s">
        <v>774</v>
      </c>
      <c r="G358" s="31" t="s">
        <v>785</v>
      </c>
    </row>
    <row r="359" spans="1:7">
      <c r="A359" s="31" t="s">
        <v>1233</v>
      </c>
      <c r="B359" s="35" t="s">
        <v>1231</v>
      </c>
      <c r="C359" s="35" t="s">
        <v>1232</v>
      </c>
      <c r="D359" s="31" t="s">
        <v>780</v>
      </c>
      <c r="E359" s="31" t="s">
        <v>1213</v>
      </c>
      <c r="F359" s="31" t="s">
        <v>774</v>
      </c>
      <c r="G359" s="31" t="s">
        <v>785</v>
      </c>
    </row>
    <row r="360" spans="1:7">
      <c r="A360" s="31" t="s">
        <v>1234</v>
      </c>
      <c r="B360" s="35" t="s">
        <v>1231</v>
      </c>
      <c r="C360" s="35" t="s">
        <v>1232</v>
      </c>
      <c r="D360" s="31" t="s">
        <v>780</v>
      </c>
      <c r="E360" s="31" t="s">
        <v>1213</v>
      </c>
      <c r="F360" s="31" t="s">
        <v>774</v>
      </c>
      <c r="G360" s="31" t="s">
        <v>785</v>
      </c>
    </row>
    <row r="361" spans="1:7">
      <c r="A361" s="31" t="s">
        <v>1235</v>
      </c>
      <c r="B361" s="35" t="s">
        <v>1231</v>
      </c>
      <c r="C361" s="35" t="s">
        <v>1232</v>
      </c>
      <c r="D361" s="31" t="s">
        <v>780</v>
      </c>
      <c r="E361" s="31" t="s">
        <v>1213</v>
      </c>
      <c r="F361" s="31" t="s">
        <v>774</v>
      </c>
      <c r="G361" s="31" t="s">
        <v>785</v>
      </c>
    </row>
    <row r="362" spans="1:7">
      <c r="A362" s="31" t="s">
        <v>1236</v>
      </c>
      <c r="B362" s="35" t="s">
        <v>1231</v>
      </c>
      <c r="C362" s="35" t="s">
        <v>1232</v>
      </c>
      <c r="D362" s="31" t="s">
        <v>780</v>
      </c>
      <c r="E362" s="31" t="s">
        <v>1213</v>
      </c>
      <c r="F362" s="31" t="s">
        <v>774</v>
      </c>
      <c r="G362" s="31" t="s">
        <v>785</v>
      </c>
    </row>
    <row r="363" spans="1:7">
      <c r="A363" s="31" t="s">
        <v>1237</v>
      </c>
      <c r="B363" s="35" t="s">
        <v>1238</v>
      </c>
      <c r="C363" s="35" t="s">
        <v>1238</v>
      </c>
      <c r="D363" s="31" t="s">
        <v>780</v>
      </c>
      <c r="E363" s="31" t="s">
        <v>1213</v>
      </c>
      <c r="F363" s="31" t="s">
        <v>774</v>
      </c>
      <c r="G363" s="31" t="s">
        <v>785</v>
      </c>
    </row>
    <row r="364" spans="1:7">
      <c r="A364" s="31" t="s">
        <v>1239</v>
      </c>
      <c r="B364" s="35" t="s">
        <v>1240</v>
      </c>
      <c r="C364" s="35" t="s">
        <v>1241</v>
      </c>
      <c r="D364" s="31" t="s">
        <v>780</v>
      </c>
      <c r="E364" s="31" t="s">
        <v>1213</v>
      </c>
      <c r="F364" s="31" t="s">
        <v>774</v>
      </c>
      <c r="G364" s="31" t="s">
        <v>785</v>
      </c>
    </row>
    <row r="365" spans="1:7">
      <c r="A365" s="31" t="s">
        <v>1242</v>
      </c>
      <c r="B365" s="35" t="s">
        <v>1243</v>
      </c>
      <c r="C365" s="35" t="s">
        <v>1241</v>
      </c>
      <c r="D365" s="31" t="s">
        <v>780</v>
      </c>
      <c r="E365" s="31" t="s">
        <v>1213</v>
      </c>
      <c r="F365" s="31" t="s">
        <v>774</v>
      </c>
      <c r="G365" s="31" t="s">
        <v>785</v>
      </c>
    </row>
    <row r="366" spans="1:7">
      <c r="A366" s="31" t="s">
        <v>1244</v>
      </c>
      <c r="B366" s="35" t="s">
        <v>1243</v>
      </c>
      <c r="C366" s="35" t="s">
        <v>1241</v>
      </c>
      <c r="D366" s="31" t="s">
        <v>780</v>
      </c>
      <c r="E366" s="31" t="s">
        <v>1213</v>
      </c>
      <c r="F366" s="31" t="s">
        <v>774</v>
      </c>
      <c r="G366" s="31" t="s">
        <v>785</v>
      </c>
    </row>
    <row r="367" spans="1:7">
      <c r="A367" s="31" t="s">
        <v>1245</v>
      </c>
      <c r="B367" s="35" t="s">
        <v>1243</v>
      </c>
      <c r="C367" s="35" t="s">
        <v>1241</v>
      </c>
      <c r="D367" s="31" t="s">
        <v>780</v>
      </c>
      <c r="E367" s="31" t="s">
        <v>1213</v>
      </c>
      <c r="F367" s="31" t="s">
        <v>774</v>
      </c>
      <c r="G367" s="31" t="s">
        <v>785</v>
      </c>
    </row>
    <row r="368" spans="1:7">
      <c r="A368" s="31" t="s">
        <v>1246</v>
      </c>
      <c r="B368" s="35" t="s">
        <v>1243</v>
      </c>
      <c r="C368" s="35" t="s">
        <v>1241</v>
      </c>
      <c r="D368" s="31" t="s">
        <v>780</v>
      </c>
      <c r="E368" s="31" t="s">
        <v>1213</v>
      </c>
      <c r="F368" s="31" t="s">
        <v>774</v>
      </c>
      <c r="G368" s="31" t="s">
        <v>785</v>
      </c>
    </row>
    <row r="369" spans="1:7">
      <c r="A369" s="31" t="s">
        <v>1247</v>
      </c>
      <c r="B369" s="35" t="s">
        <v>1243</v>
      </c>
      <c r="C369" s="35" t="s">
        <v>1241</v>
      </c>
      <c r="D369" s="31" t="s">
        <v>780</v>
      </c>
      <c r="E369" s="31" t="s">
        <v>1213</v>
      </c>
      <c r="F369" s="31" t="s">
        <v>774</v>
      </c>
      <c r="G369" s="31" t="s">
        <v>785</v>
      </c>
    </row>
    <row r="370" spans="1:7">
      <c r="A370" s="31" t="s">
        <v>1248</v>
      </c>
      <c r="B370" s="35" t="s">
        <v>1243</v>
      </c>
      <c r="C370" s="35" t="s">
        <v>1241</v>
      </c>
      <c r="D370" s="31" t="s">
        <v>780</v>
      </c>
      <c r="E370" s="31" t="s">
        <v>1213</v>
      </c>
      <c r="F370" s="31" t="s">
        <v>774</v>
      </c>
      <c r="G370" s="31" t="s">
        <v>785</v>
      </c>
    </row>
    <row r="371" spans="1:7">
      <c r="A371" s="31" t="s">
        <v>1249</v>
      </c>
      <c r="B371" s="35" t="s">
        <v>1243</v>
      </c>
      <c r="C371" s="35" t="s">
        <v>1241</v>
      </c>
      <c r="D371" s="31" t="s">
        <v>780</v>
      </c>
      <c r="E371" s="31" t="s">
        <v>1213</v>
      </c>
      <c r="F371" s="31" t="s">
        <v>774</v>
      </c>
      <c r="G371" s="31" t="s">
        <v>785</v>
      </c>
    </row>
    <row r="372" spans="1:7">
      <c r="A372" s="31" t="s">
        <v>1250</v>
      </c>
      <c r="B372" s="35" t="s">
        <v>1251</v>
      </c>
      <c r="C372" s="35" t="s">
        <v>1241</v>
      </c>
      <c r="D372" s="31" t="s">
        <v>780</v>
      </c>
      <c r="E372" s="31" t="s">
        <v>1213</v>
      </c>
      <c r="F372" s="31" t="s">
        <v>774</v>
      </c>
      <c r="G372" s="31" t="s">
        <v>785</v>
      </c>
    </row>
    <row r="373" spans="1:7">
      <c r="A373" s="31" t="s">
        <v>1252</v>
      </c>
      <c r="B373" s="35" t="s">
        <v>1251</v>
      </c>
      <c r="C373" s="35" t="s">
        <v>1241</v>
      </c>
      <c r="D373" s="31" t="s">
        <v>780</v>
      </c>
      <c r="E373" s="31" t="s">
        <v>1213</v>
      </c>
      <c r="F373" s="31" t="s">
        <v>774</v>
      </c>
      <c r="G373" s="31" t="s">
        <v>785</v>
      </c>
    </row>
    <row r="374" spans="1:7">
      <c r="A374" s="31" t="s">
        <v>1253</v>
      </c>
      <c r="B374" s="35" t="s">
        <v>1251</v>
      </c>
      <c r="C374" s="35" t="s">
        <v>1241</v>
      </c>
      <c r="D374" s="31" t="s">
        <v>780</v>
      </c>
      <c r="E374" s="31" t="s">
        <v>1213</v>
      </c>
      <c r="F374" s="31" t="s">
        <v>774</v>
      </c>
      <c r="G374" s="31" t="s">
        <v>785</v>
      </c>
    </row>
    <row r="375" spans="1:7">
      <c r="A375" s="31" t="s">
        <v>1254</v>
      </c>
      <c r="B375" s="35" t="s">
        <v>1251</v>
      </c>
      <c r="C375" s="35" t="s">
        <v>1241</v>
      </c>
      <c r="D375" s="31" t="s">
        <v>780</v>
      </c>
      <c r="E375" s="31" t="s">
        <v>1213</v>
      </c>
      <c r="F375" s="31" t="s">
        <v>774</v>
      </c>
      <c r="G375" s="31" t="s">
        <v>785</v>
      </c>
    </row>
    <row r="376" spans="1:7">
      <c r="A376" s="31" t="s">
        <v>1255</v>
      </c>
      <c r="B376" s="35" t="s">
        <v>1251</v>
      </c>
      <c r="C376" s="35" t="s">
        <v>1241</v>
      </c>
      <c r="D376" s="31" t="s">
        <v>780</v>
      </c>
      <c r="E376" s="31" t="s">
        <v>1213</v>
      </c>
      <c r="F376" s="31" t="s">
        <v>774</v>
      </c>
      <c r="G376" s="31" t="s">
        <v>785</v>
      </c>
    </row>
    <row r="377" spans="1:7">
      <c r="A377" s="31" t="s">
        <v>1256</v>
      </c>
      <c r="B377" s="35" t="s">
        <v>1251</v>
      </c>
      <c r="C377" s="35" t="s">
        <v>1241</v>
      </c>
      <c r="D377" s="31" t="s">
        <v>780</v>
      </c>
      <c r="E377" s="31" t="s">
        <v>1213</v>
      </c>
      <c r="F377" s="31" t="s">
        <v>774</v>
      </c>
      <c r="G377" s="31" t="s">
        <v>785</v>
      </c>
    </row>
    <row r="378" spans="1:7">
      <c r="A378" s="31" t="s">
        <v>1257</v>
      </c>
      <c r="B378" s="35" t="s">
        <v>1251</v>
      </c>
      <c r="C378" s="35" t="s">
        <v>1241</v>
      </c>
      <c r="D378" s="31" t="s">
        <v>780</v>
      </c>
      <c r="E378" s="31" t="s">
        <v>1213</v>
      </c>
      <c r="F378" s="31" t="s">
        <v>774</v>
      </c>
      <c r="G378" s="31" t="s">
        <v>785</v>
      </c>
    </row>
    <row r="379" spans="1:7">
      <c r="A379" s="31" t="s">
        <v>1258</v>
      </c>
      <c r="B379" s="35" t="s">
        <v>1251</v>
      </c>
      <c r="C379" s="35" t="s">
        <v>1241</v>
      </c>
      <c r="D379" s="31" t="s">
        <v>780</v>
      </c>
      <c r="E379" s="31" t="s">
        <v>1213</v>
      </c>
      <c r="F379" s="31" t="s">
        <v>774</v>
      </c>
      <c r="G379" s="31" t="s">
        <v>785</v>
      </c>
    </row>
    <row r="380" spans="1:7">
      <c r="A380" s="31" t="s">
        <v>1259</v>
      </c>
      <c r="B380" s="35" t="s">
        <v>1251</v>
      </c>
      <c r="C380" s="35" t="s">
        <v>1241</v>
      </c>
      <c r="D380" s="31" t="s">
        <v>780</v>
      </c>
      <c r="E380" s="31" t="s">
        <v>1213</v>
      </c>
      <c r="F380" s="31" t="s">
        <v>774</v>
      </c>
      <c r="G380" s="31" t="s">
        <v>785</v>
      </c>
    </row>
    <row r="381" spans="1:7">
      <c r="A381" s="31" t="s">
        <v>1260</v>
      </c>
      <c r="B381" s="35" t="s">
        <v>1251</v>
      </c>
      <c r="C381" s="35" t="s">
        <v>1241</v>
      </c>
      <c r="D381" s="31" t="s">
        <v>780</v>
      </c>
      <c r="E381" s="31" t="s">
        <v>1213</v>
      </c>
      <c r="F381" s="31" t="s">
        <v>774</v>
      </c>
      <c r="G381" s="31" t="s">
        <v>785</v>
      </c>
    </row>
    <row r="382" spans="1:7">
      <c r="A382" s="31" t="s">
        <v>1261</v>
      </c>
      <c r="B382" s="35" t="s">
        <v>1251</v>
      </c>
      <c r="C382" s="35" t="s">
        <v>1241</v>
      </c>
      <c r="D382" s="31" t="s">
        <v>780</v>
      </c>
      <c r="E382" s="31" t="s">
        <v>1213</v>
      </c>
      <c r="F382" s="31" t="s">
        <v>774</v>
      </c>
      <c r="G382" s="31" t="s">
        <v>785</v>
      </c>
    </row>
    <row r="383" spans="1:7">
      <c r="A383" s="31" t="s">
        <v>1262</v>
      </c>
      <c r="B383" s="35" t="s">
        <v>1251</v>
      </c>
      <c r="C383" s="35" t="s">
        <v>1241</v>
      </c>
      <c r="D383" s="31" t="s">
        <v>780</v>
      </c>
      <c r="E383" s="31" t="s">
        <v>1213</v>
      </c>
      <c r="F383" s="31" t="s">
        <v>774</v>
      </c>
      <c r="G383" s="31" t="s">
        <v>785</v>
      </c>
    </row>
    <row r="384" spans="1:7">
      <c r="A384" s="31" t="s">
        <v>1263</v>
      </c>
      <c r="B384" s="35" t="s">
        <v>1251</v>
      </c>
      <c r="C384" s="35" t="s">
        <v>1241</v>
      </c>
      <c r="D384" s="31" t="s">
        <v>780</v>
      </c>
      <c r="E384" s="31" t="s">
        <v>1213</v>
      </c>
      <c r="F384" s="31" t="s">
        <v>774</v>
      </c>
      <c r="G384" s="31" t="s">
        <v>785</v>
      </c>
    </row>
    <row r="385" spans="1:7">
      <c r="A385" s="31" t="s">
        <v>1264</v>
      </c>
      <c r="B385" s="35" t="s">
        <v>1251</v>
      </c>
      <c r="C385" s="35" t="s">
        <v>1241</v>
      </c>
      <c r="D385" s="31" t="s">
        <v>780</v>
      </c>
      <c r="E385" s="31" t="s">
        <v>1213</v>
      </c>
      <c r="F385" s="31" t="s">
        <v>774</v>
      </c>
      <c r="G385" s="31" t="s">
        <v>785</v>
      </c>
    </row>
    <row r="386" spans="1:7">
      <c r="A386" s="31" t="s">
        <v>1265</v>
      </c>
      <c r="B386" s="35" t="s">
        <v>1251</v>
      </c>
      <c r="C386" s="35" t="s">
        <v>1241</v>
      </c>
      <c r="D386" s="31" t="s">
        <v>780</v>
      </c>
      <c r="E386" s="31" t="s">
        <v>1213</v>
      </c>
      <c r="F386" s="31" t="s">
        <v>774</v>
      </c>
      <c r="G386" s="31" t="s">
        <v>785</v>
      </c>
    </row>
    <row r="387" spans="1:7">
      <c r="A387" s="31" t="s">
        <v>1266</v>
      </c>
      <c r="B387" s="35" t="s">
        <v>1251</v>
      </c>
      <c r="C387" s="35" t="s">
        <v>1241</v>
      </c>
      <c r="D387" s="31" t="s">
        <v>780</v>
      </c>
      <c r="E387" s="31" t="s">
        <v>1213</v>
      </c>
      <c r="F387" s="31" t="s">
        <v>774</v>
      </c>
      <c r="G387" s="31" t="s">
        <v>785</v>
      </c>
    </row>
    <row r="388" spans="1:7">
      <c r="A388" s="31" t="s">
        <v>1267</v>
      </c>
      <c r="B388" s="35" t="s">
        <v>1251</v>
      </c>
      <c r="C388" s="35" t="s">
        <v>1241</v>
      </c>
      <c r="D388" s="31" t="s">
        <v>780</v>
      </c>
      <c r="E388" s="31" t="s">
        <v>1213</v>
      </c>
      <c r="F388" s="31" t="s">
        <v>774</v>
      </c>
      <c r="G388" s="31" t="s">
        <v>785</v>
      </c>
    </row>
    <row r="389" spans="1:7">
      <c r="A389" s="31" t="s">
        <v>1268</v>
      </c>
      <c r="B389" s="35" t="s">
        <v>1251</v>
      </c>
      <c r="C389" s="35" t="s">
        <v>1241</v>
      </c>
      <c r="D389" s="31" t="s">
        <v>780</v>
      </c>
      <c r="E389" s="31" t="s">
        <v>1213</v>
      </c>
      <c r="F389" s="31" t="s">
        <v>774</v>
      </c>
      <c r="G389" s="31" t="s">
        <v>785</v>
      </c>
    </row>
    <row r="390" spans="1:7">
      <c r="A390" s="31" t="s">
        <v>1269</v>
      </c>
      <c r="B390" s="35" t="s">
        <v>1251</v>
      </c>
      <c r="C390" s="35" t="s">
        <v>1241</v>
      </c>
      <c r="D390" s="31" t="s">
        <v>780</v>
      </c>
      <c r="E390" s="31" t="s">
        <v>1213</v>
      </c>
      <c r="F390" s="31" t="s">
        <v>774</v>
      </c>
      <c r="G390" s="31" t="s">
        <v>785</v>
      </c>
    </row>
    <row r="391" spans="1:7">
      <c r="A391" s="31" t="s">
        <v>1270</v>
      </c>
      <c r="B391" s="35" t="s">
        <v>1251</v>
      </c>
      <c r="C391" s="35" t="s">
        <v>1241</v>
      </c>
      <c r="D391" s="31" t="s">
        <v>780</v>
      </c>
      <c r="E391" s="31" t="s">
        <v>1213</v>
      </c>
      <c r="F391" s="31" t="s">
        <v>774</v>
      </c>
      <c r="G391" s="31" t="s">
        <v>785</v>
      </c>
    </row>
    <row r="392" spans="1:7">
      <c r="A392" s="31" t="s">
        <v>1271</v>
      </c>
      <c r="B392" s="35" t="s">
        <v>1251</v>
      </c>
      <c r="C392" s="35" t="s">
        <v>1241</v>
      </c>
      <c r="D392" s="31" t="s">
        <v>780</v>
      </c>
      <c r="E392" s="31" t="s">
        <v>1213</v>
      </c>
      <c r="F392" s="31" t="s">
        <v>774</v>
      </c>
      <c r="G392" s="31" t="s">
        <v>785</v>
      </c>
    </row>
    <row r="393" spans="1:7">
      <c r="A393" s="31" t="s">
        <v>1272</v>
      </c>
      <c r="B393" s="35" t="s">
        <v>1251</v>
      </c>
      <c r="C393" s="35" t="s">
        <v>1241</v>
      </c>
      <c r="D393" s="31" t="s">
        <v>780</v>
      </c>
      <c r="E393" s="31" t="s">
        <v>1213</v>
      </c>
      <c r="F393" s="31" t="s">
        <v>774</v>
      </c>
      <c r="G393" s="31" t="s">
        <v>785</v>
      </c>
    </row>
    <row r="394" spans="1:7">
      <c r="A394" s="31" t="s">
        <v>1273</v>
      </c>
      <c r="B394" s="35" t="s">
        <v>1251</v>
      </c>
      <c r="C394" s="35" t="s">
        <v>1241</v>
      </c>
      <c r="D394" s="31" t="s">
        <v>780</v>
      </c>
      <c r="E394" s="31" t="s">
        <v>1213</v>
      </c>
      <c r="F394" s="31" t="s">
        <v>774</v>
      </c>
      <c r="G394" s="31" t="s">
        <v>785</v>
      </c>
    </row>
    <row r="395" spans="1:7">
      <c r="A395" s="31" t="s">
        <v>1274</v>
      </c>
      <c r="B395" s="35" t="s">
        <v>1251</v>
      </c>
      <c r="C395" s="35" t="s">
        <v>1241</v>
      </c>
      <c r="D395" s="31" t="s">
        <v>780</v>
      </c>
      <c r="E395" s="31" t="s">
        <v>1213</v>
      </c>
      <c r="F395" s="31" t="s">
        <v>774</v>
      </c>
      <c r="G395" s="31" t="s">
        <v>785</v>
      </c>
    </row>
    <row r="396" spans="1:7">
      <c r="A396" s="31" t="s">
        <v>1275</v>
      </c>
      <c r="B396" s="35" t="s">
        <v>1251</v>
      </c>
      <c r="C396" s="35" t="s">
        <v>1241</v>
      </c>
      <c r="D396" s="31" t="s">
        <v>780</v>
      </c>
      <c r="E396" s="31" t="s">
        <v>1213</v>
      </c>
      <c r="F396" s="31" t="s">
        <v>774</v>
      </c>
      <c r="G396" s="31" t="s">
        <v>785</v>
      </c>
    </row>
    <row r="397" spans="1:7">
      <c r="A397" s="31" t="s">
        <v>1276</v>
      </c>
      <c r="B397" s="35" t="s">
        <v>1251</v>
      </c>
      <c r="C397" s="35" t="s">
        <v>1241</v>
      </c>
      <c r="D397" s="31" t="s">
        <v>780</v>
      </c>
      <c r="E397" s="31" t="s">
        <v>1213</v>
      </c>
      <c r="F397" s="31" t="s">
        <v>774</v>
      </c>
      <c r="G397" s="31" t="s">
        <v>785</v>
      </c>
    </row>
    <row r="398" spans="1:7">
      <c r="A398" s="31" t="s">
        <v>1277</v>
      </c>
      <c r="B398" s="35" t="s">
        <v>1251</v>
      </c>
      <c r="C398" s="35" t="s">
        <v>1241</v>
      </c>
      <c r="D398" s="31" t="s">
        <v>780</v>
      </c>
      <c r="E398" s="31" t="s">
        <v>1213</v>
      </c>
      <c r="F398" s="31" t="s">
        <v>774</v>
      </c>
      <c r="G398" s="31" t="s">
        <v>785</v>
      </c>
    </row>
    <row r="399" spans="1:7">
      <c r="A399" s="31" t="s">
        <v>1278</v>
      </c>
      <c r="B399" s="35" t="s">
        <v>1251</v>
      </c>
      <c r="C399" s="35" t="s">
        <v>1241</v>
      </c>
      <c r="D399" s="31" t="s">
        <v>780</v>
      </c>
      <c r="E399" s="31" t="s">
        <v>1213</v>
      </c>
      <c r="F399" s="31" t="s">
        <v>774</v>
      </c>
      <c r="G399" s="31" t="s">
        <v>785</v>
      </c>
    </row>
    <row r="400" spans="1:7">
      <c r="A400" s="31" t="s">
        <v>1279</v>
      </c>
      <c r="B400" s="35" t="s">
        <v>1251</v>
      </c>
      <c r="C400" s="35" t="s">
        <v>1241</v>
      </c>
      <c r="D400" s="31" t="s">
        <v>780</v>
      </c>
      <c r="E400" s="31" t="s">
        <v>1213</v>
      </c>
      <c r="F400" s="31" t="s">
        <v>774</v>
      </c>
      <c r="G400" s="31" t="s">
        <v>785</v>
      </c>
    </row>
    <row r="401" spans="1:7">
      <c r="A401" s="31" t="s">
        <v>1280</v>
      </c>
      <c r="B401" s="35" t="s">
        <v>1251</v>
      </c>
      <c r="C401" s="35" t="s">
        <v>1241</v>
      </c>
      <c r="D401" s="31" t="s">
        <v>780</v>
      </c>
      <c r="E401" s="31" t="s">
        <v>1213</v>
      </c>
      <c r="F401" s="31" t="s">
        <v>774</v>
      </c>
      <c r="G401" s="31" t="s">
        <v>785</v>
      </c>
    </row>
    <row r="402" spans="1:7">
      <c r="A402" s="31" t="s">
        <v>1281</v>
      </c>
      <c r="B402" s="35" t="s">
        <v>1251</v>
      </c>
      <c r="C402" s="35" t="s">
        <v>1241</v>
      </c>
      <c r="D402" s="31" t="s">
        <v>780</v>
      </c>
      <c r="E402" s="31" t="s">
        <v>1213</v>
      </c>
      <c r="F402" s="31" t="s">
        <v>774</v>
      </c>
      <c r="G402" s="31" t="s">
        <v>785</v>
      </c>
    </row>
    <row r="403" spans="1:7">
      <c r="A403" s="31" t="s">
        <v>1282</v>
      </c>
      <c r="B403" s="35" t="s">
        <v>1251</v>
      </c>
      <c r="C403" s="35" t="s">
        <v>1241</v>
      </c>
      <c r="D403" s="31" t="s">
        <v>780</v>
      </c>
      <c r="E403" s="31" t="s">
        <v>1213</v>
      </c>
      <c r="F403" s="31" t="s">
        <v>774</v>
      </c>
      <c r="G403" s="31" t="s">
        <v>785</v>
      </c>
    </row>
    <row r="404" spans="1:7">
      <c r="A404" s="31" t="s">
        <v>1283</v>
      </c>
      <c r="B404" s="35" t="s">
        <v>1251</v>
      </c>
      <c r="C404" s="35" t="s">
        <v>1241</v>
      </c>
      <c r="D404" s="31" t="s">
        <v>780</v>
      </c>
      <c r="E404" s="31" t="s">
        <v>1213</v>
      </c>
      <c r="F404" s="31" t="s">
        <v>774</v>
      </c>
      <c r="G404" s="31" t="s">
        <v>785</v>
      </c>
    </row>
    <row r="405" spans="1:7">
      <c r="A405" s="31" t="s">
        <v>1284</v>
      </c>
      <c r="B405" s="35" t="s">
        <v>1251</v>
      </c>
      <c r="C405" s="35" t="s">
        <v>1241</v>
      </c>
      <c r="D405" s="31" t="s">
        <v>780</v>
      </c>
      <c r="E405" s="31" t="s">
        <v>1213</v>
      </c>
      <c r="F405" s="31" t="s">
        <v>774</v>
      </c>
      <c r="G405" s="31" t="s">
        <v>785</v>
      </c>
    </row>
    <row r="406" spans="1:7">
      <c r="A406" s="31" t="s">
        <v>1285</v>
      </c>
      <c r="B406" s="35" t="s">
        <v>1251</v>
      </c>
      <c r="C406" s="35" t="s">
        <v>1241</v>
      </c>
      <c r="D406" s="31" t="s">
        <v>780</v>
      </c>
      <c r="E406" s="31" t="s">
        <v>1213</v>
      </c>
      <c r="F406" s="31" t="s">
        <v>774</v>
      </c>
      <c r="G406" s="31" t="s">
        <v>785</v>
      </c>
    </row>
    <row r="407" spans="1:7">
      <c r="A407" s="31" t="s">
        <v>1286</v>
      </c>
      <c r="B407" s="35" t="s">
        <v>1251</v>
      </c>
      <c r="C407" s="35" t="s">
        <v>1241</v>
      </c>
      <c r="D407" s="31" t="s">
        <v>780</v>
      </c>
      <c r="E407" s="31" t="s">
        <v>1213</v>
      </c>
      <c r="F407" s="31" t="s">
        <v>774</v>
      </c>
      <c r="G407" s="31" t="s">
        <v>785</v>
      </c>
    </row>
    <row r="408" spans="1:7">
      <c r="A408" s="31" t="s">
        <v>1287</v>
      </c>
      <c r="B408" s="35" t="s">
        <v>1251</v>
      </c>
      <c r="C408" s="35" t="s">
        <v>1241</v>
      </c>
      <c r="D408" s="31" t="s">
        <v>780</v>
      </c>
      <c r="E408" s="31" t="s">
        <v>1213</v>
      </c>
      <c r="F408" s="31" t="s">
        <v>774</v>
      </c>
      <c r="G408" s="31" t="s">
        <v>785</v>
      </c>
    </row>
    <row r="409" spans="1:7">
      <c r="A409" s="31" t="s">
        <v>1288</v>
      </c>
      <c r="B409" s="35" t="s">
        <v>1251</v>
      </c>
      <c r="C409" s="35" t="s">
        <v>1241</v>
      </c>
      <c r="D409" s="31" t="s">
        <v>780</v>
      </c>
      <c r="E409" s="31" t="s">
        <v>1213</v>
      </c>
      <c r="F409" s="31" t="s">
        <v>774</v>
      </c>
      <c r="G409" s="31" t="s">
        <v>785</v>
      </c>
    </row>
    <row r="410" spans="1:7">
      <c r="A410" s="31" t="s">
        <v>1289</v>
      </c>
      <c r="B410" s="35" t="s">
        <v>1251</v>
      </c>
      <c r="C410" s="35" t="s">
        <v>1241</v>
      </c>
      <c r="D410" s="31" t="s">
        <v>780</v>
      </c>
      <c r="E410" s="31" t="s">
        <v>1213</v>
      </c>
      <c r="F410" s="31" t="s">
        <v>774</v>
      </c>
      <c r="G410" s="31" t="s">
        <v>785</v>
      </c>
    </row>
    <row r="411" spans="1:7">
      <c r="A411" s="31" t="s">
        <v>1290</v>
      </c>
      <c r="B411" s="35" t="s">
        <v>1251</v>
      </c>
      <c r="C411" s="35" t="s">
        <v>1241</v>
      </c>
      <c r="D411" s="31" t="s">
        <v>780</v>
      </c>
      <c r="E411" s="31" t="s">
        <v>1213</v>
      </c>
      <c r="F411" s="31" t="s">
        <v>774</v>
      </c>
      <c r="G411" s="31" t="s">
        <v>785</v>
      </c>
    </row>
    <row r="412" spans="1:7">
      <c r="A412" s="31" t="s">
        <v>1291</v>
      </c>
      <c r="B412" s="35" t="s">
        <v>1292</v>
      </c>
      <c r="C412" s="35" t="s">
        <v>1241</v>
      </c>
      <c r="D412" s="31" t="s">
        <v>780</v>
      </c>
      <c r="E412" s="31" t="s">
        <v>1213</v>
      </c>
      <c r="F412" s="31" t="s">
        <v>774</v>
      </c>
      <c r="G412" s="31" t="s">
        <v>785</v>
      </c>
    </row>
    <row r="413" spans="1:7">
      <c r="A413" s="31" t="s">
        <v>1293</v>
      </c>
      <c r="B413" s="35" t="s">
        <v>1294</v>
      </c>
      <c r="C413" s="35" t="s">
        <v>1241</v>
      </c>
      <c r="D413" s="31" t="s">
        <v>780</v>
      </c>
      <c r="E413" s="31" t="s">
        <v>1213</v>
      </c>
      <c r="F413" s="31" t="s">
        <v>774</v>
      </c>
      <c r="G413" s="31" t="s">
        <v>785</v>
      </c>
    </row>
    <row r="414" spans="1:7">
      <c r="A414" s="31" t="s">
        <v>1295</v>
      </c>
      <c r="B414" s="35" t="s">
        <v>1294</v>
      </c>
      <c r="C414" s="35" t="s">
        <v>1241</v>
      </c>
      <c r="D414" s="31" t="s">
        <v>780</v>
      </c>
      <c r="E414" s="31" t="s">
        <v>1213</v>
      </c>
      <c r="F414" s="31" t="s">
        <v>774</v>
      </c>
      <c r="G414" s="31" t="s">
        <v>785</v>
      </c>
    </row>
    <row r="415" spans="1:7">
      <c r="A415" s="31" t="s">
        <v>1296</v>
      </c>
      <c r="B415" s="35" t="s">
        <v>1294</v>
      </c>
      <c r="C415" s="35" t="s">
        <v>1241</v>
      </c>
      <c r="D415" s="31" t="s">
        <v>780</v>
      </c>
      <c r="E415" s="31" t="s">
        <v>1213</v>
      </c>
      <c r="F415" s="31" t="s">
        <v>774</v>
      </c>
      <c r="G415" s="31" t="s">
        <v>785</v>
      </c>
    </row>
    <row r="416" spans="1:7">
      <c r="A416" s="31" t="s">
        <v>1297</v>
      </c>
      <c r="B416" s="35" t="s">
        <v>1298</v>
      </c>
      <c r="C416" s="35" t="s">
        <v>1241</v>
      </c>
      <c r="D416" s="31" t="s">
        <v>780</v>
      </c>
      <c r="E416" s="31" t="s">
        <v>1213</v>
      </c>
      <c r="F416" s="31" t="s">
        <v>774</v>
      </c>
      <c r="G416" s="31" t="s">
        <v>785</v>
      </c>
    </row>
    <row r="417" spans="1:7">
      <c r="A417" s="31" t="s">
        <v>1299</v>
      </c>
      <c r="B417" s="35" t="s">
        <v>1298</v>
      </c>
      <c r="C417" s="35" t="s">
        <v>1241</v>
      </c>
      <c r="D417" s="31" t="s">
        <v>780</v>
      </c>
      <c r="E417" s="31" t="s">
        <v>1213</v>
      </c>
      <c r="F417" s="31" t="s">
        <v>774</v>
      </c>
      <c r="G417" s="31" t="s">
        <v>785</v>
      </c>
    </row>
    <row r="418" spans="1:7">
      <c r="A418" s="31" t="s">
        <v>1300</v>
      </c>
      <c r="B418" s="35" t="s">
        <v>1301</v>
      </c>
      <c r="C418" s="35" t="s">
        <v>1241</v>
      </c>
      <c r="D418" s="31" t="s">
        <v>780</v>
      </c>
      <c r="E418" s="31" t="s">
        <v>1213</v>
      </c>
      <c r="F418" s="31" t="s">
        <v>774</v>
      </c>
      <c r="G418" s="31" t="s">
        <v>785</v>
      </c>
    </row>
    <row r="419" spans="1:7">
      <c r="A419" s="31" t="s">
        <v>1302</v>
      </c>
      <c r="B419" s="35" t="s">
        <v>1303</v>
      </c>
      <c r="C419" s="35" t="s">
        <v>1241</v>
      </c>
      <c r="D419" s="31" t="s">
        <v>780</v>
      </c>
      <c r="E419" s="31" t="s">
        <v>1213</v>
      </c>
      <c r="F419" s="31" t="s">
        <v>774</v>
      </c>
      <c r="G419" s="31" t="s">
        <v>785</v>
      </c>
    </row>
    <row r="420" spans="1:7">
      <c r="A420" s="31" t="s">
        <v>1304</v>
      </c>
      <c r="B420" s="35" t="s">
        <v>1303</v>
      </c>
      <c r="C420" s="35" t="s">
        <v>1241</v>
      </c>
      <c r="D420" s="31" t="s">
        <v>780</v>
      </c>
      <c r="E420" s="31" t="s">
        <v>1213</v>
      </c>
      <c r="F420" s="31" t="s">
        <v>774</v>
      </c>
      <c r="G420" s="31" t="s">
        <v>785</v>
      </c>
    </row>
    <row r="421" spans="1:7">
      <c r="A421" s="31" t="s">
        <v>1305</v>
      </c>
      <c r="B421" s="35" t="s">
        <v>1303</v>
      </c>
      <c r="C421" s="35" t="s">
        <v>1241</v>
      </c>
      <c r="D421" s="31" t="s">
        <v>780</v>
      </c>
      <c r="E421" s="31" t="s">
        <v>1213</v>
      </c>
      <c r="F421" s="31" t="s">
        <v>774</v>
      </c>
      <c r="G421" s="31" t="s">
        <v>785</v>
      </c>
    </row>
    <row r="422" spans="1:7">
      <c r="A422" s="31" t="s">
        <v>1306</v>
      </c>
      <c r="B422" s="35" t="s">
        <v>1303</v>
      </c>
      <c r="C422" s="35" t="s">
        <v>1241</v>
      </c>
      <c r="D422" s="31" t="s">
        <v>780</v>
      </c>
      <c r="E422" s="31" t="s">
        <v>1213</v>
      </c>
      <c r="F422" s="31" t="s">
        <v>774</v>
      </c>
      <c r="G422" s="31" t="s">
        <v>785</v>
      </c>
    </row>
    <row r="423" spans="1:7">
      <c r="A423" s="31" t="s">
        <v>1307</v>
      </c>
      <c r="B423" s="35" t="s">
        <v>1303</v>
      </c>
      <c r="C423" s="35" t="s">
        <v>1241</v>
      </c>
      <c r="D423" s="31" t="s">
        <v>780</v>
      </c>
      <c r="E423" s="31" t="s">
        <v>1213</v>
      </c>
      <c r="F423" s="31" t="s">
        <v>774</v>
      </c>
      <c r="G423" s="31" t="s">
        <v>785</v>
      </c>
    </row>
    <row r="424" spans="1:7">
      <c r="A424" s="31" t="s">
        <v>1308</v>
      </c>
      <c r="B424" s="35" t="s">
        <v>1303</v>
      </c>
      <c r="C424" s="35" t="s">
        <v>1241</v>
      </c>
      <c r="D424" s="31" t="s">
        <v>780</v>
      </c>
      <c r="E424" s="31" t="s">
        <v>1213</v>
      </c>
      <c r="F424" s="31" t="s">
        <v>774</v>
      </c>
      <c r="G424" s="31" t="s">
        <v>785</v>
      </c>
    </row>
    <row r="425" spans="1:7">
      <c r="A425" s="31" t="s">
        <v>1309</v>
      </c>
      <c r="B425" s="35" t="s">
        <v>1303</v>
      </c>
      <c r="C425" s="35" t="s">
        <v>1241</v>
      </c>
      <c r="D425" s="31" t="s">
        <v>780</v>
      </c>
      <c r="E425" s="31" t="s">
        <v>1213</v>
      </c>
      <c r="F425" s="31" t="s">
        <v>774</v>
      </c>
      <c r="G425" s="31" t="s">
        <v>785</v>
      </c>
    </row>
    <row r="426" spans="1:7">
      <c r="A426" s="31" t="s">
        <v>1310</v>
      </c>
      <c r="B426" s="35" t="s">
        <v>1303</v>
      </c>
      <c r="C426" s="35" t="s">
        <v>1241</v>
      </c>
      <c r="D426" s="31" t="s">
        <v>780</v>
      </c>
      <c r="E426" s="31" t="s">
        <v>1213</v>
      </c>
      <c r="F426" s="31" t="s">
        <v>774</v>
      </c>
      <c r="G426" s="31" t="s">
        <v>785</v>
      </c>
    </row>
    <row r="427" spans="1:7">
      <c r="A427" s="31" t="s">
        <v>1311</v>
      </c>
      <c r="B427" s="35" t="s">
        <v>1303</v>
      </c>
      <c r="C427" s="35" t="s">
        <v>1241</v>
      </c>
      <c r="D427" s="31" t="s">
        <v>780</v>
      </c>
      <c r="E427" s="31" t="s">
        <v>1213</v>
      </c>
      <c r="F427" s="31" t="s">
        <v>774</v>
      </c>
      <c r="G427" s="31" t="s">
        <v>785</v>
      </c>
    </row>
    <row r="428" spans="1:7">
      <c r="A428" s="31" t="s">
        <v>1312</v>
      </c>
      <c r="B428" s="35" t="s">
        <v>1313</v>
      </c>
      <c r="C428" s="35" t="s">
        <v>1241</v>
      </c>
      <c r="D428" s="31" t="s">
        <v>780</v>
      </c>
      <c r="E428" s="31" t="s">
        <v>1213</v>
      </c>
      <c r="F428" s="31" t="s">
        <v>774</v>
      </c>
      <c r="G428" s="31" t="s">
        <v>785</v>
      </c>
    </row>
    <row r="429" spans="1:7">
      <c r="A429" s="31" t="s">
        <v>1314</v>
      </c>
      <c r="B429" s="35" t="s">
        <v>1313</v>
      </c>
      <c r="C429" s="35" t="s">
        <v>1241</v>
      </c>
      <c r="D429" s="31" t="s">
        <v>780</v>
      </c>
      <c r="E429" s="31" t="s">
        <v>1213</v>
      </c>
      <c r="F429" s="31" t="s">
        <v>774</v>
      </c>
      <c r="G429" s="31" t="s">
        <v>785</v>
      </c>
    </row>
    <row r="430" spans="1:7">
      <c r="A430" s="31" t="s">
        <v>1315</v>
      </c>
      <c r="B430" s="35" t="s">
        <v>1316</v>
      </c>
      <c r="C430" s="35" t="s">
        <v>1317</v>
      </c>
      <c r="D430" s="31" t="s">
        <v>780</v>
      </c>
      <c r="E430" s="31" t="s">
        <v>1213</v>
      </c>
      <c r="F430" s="31" t="s">
        <v>774</v>
      </c>
      <c r="G430" s="31" t="s">
        <v>785</v>
      </c>
    </row>
    <row r="431" spans="1:7">
      <c r="A431" s="31" t="s">
        <v>1318</v>
      </c>
      <c r="B431" s="35" t="s">
        <v>1316</v>
      </c>
      <c r="C431" s="35" t="s">
        <v>1317</v>
      </c>
      <c r="D431" s="31" t="s">
        <v>780</v>
      </c>
      <c r="E431" s="31" t="s">
        <v>1213</v>
      </c>
      <c r="F431" s="31" t="s">
        <v>774</v>
      </c>
      <c r="G431" s="31" t="s">
        <v>785</v>
      </c>
    </row>
    <row r="432" spans="1:7">
      <c r="A432" s="31" t="s">
        <v>1319</v>
      </c>
      <c r="B432" s="35" t="s">
        <v>1316</v>
      </c>
      <c r="C432" s="35" t="s">
        <v>1317</v>
      </c>
      <c r="D432" s="31" t="s">
        <v>780</v>
      </c>
      <c r="E432" s="31" t="s">
        <v>1213</v>
      </c>
      <c r="F432" s="31" t="s">
        <v>774</v>
      </c>
      <c r="G432" s="31" t="s">
        <v>785</v>
      </c>
    </row>
    <row r="433" spans="1:7">
      <c r="A433" s="35" t="s">
        <v>1316</v>
      </c>
      <c r="B433" s="35" t="s">
        <v>1316</v>
      </c>
      <c r="C433" s="35" t="s">
        <v>1317</v>
      </c>
      <c r="D433" s="31" t="s">
        <v>780</v>
      </c>
      <c r="E433" s="31" t="s">
        <v>1213</v>
      </c>
      <c r="F433" s="31" t="s">
        <v>774</v>
      </c>
      <c r="G433" s="31" t="s">
        <v>785</v>
      </c>
    </row>
    <row r="434" spans="1:7">
      <c r="A434" s="31" t="s">
        <v>1320</v>
      </c>
      <c r="B434" s="31" t="s">
        <v>1321</v>
      </c>
      <c r="C434" s="35" t="s">
        <v>1317</v>
      </c>
      <c r="D434" s="31" t="s">
        <v>780</v>
      </c>
      <c r="E434" s="31" t="s">
        <v>1213</v>
      </c>
      <c r="F434" s="31" t="s">
        <v>774</v>
      </c>
      <c r="G434" s="31" t="s">
        <v>785</v>
      </c>
    </row>
    <row r="435" spans="1:7">
      <c r="A435" s="31" t="s">
        <v>1322</v>
      </c>
      <c r="B435" s="31" t="s">
        <v>1321</v>
      </c>
      <c r="C435" s="35" t="s">
        <v>1317</v>
      </c>
      <c r="D435" s="31" t="s">
        <v>780</v>
      </c>
      <c r="E435" s="31" t="s">
        <v>1213</v>
      </c>
      <c r="F435" s="31" t="s">
        <v>774</v>
      </c>
      <c r="G435" s="31" t="s">
        <v>785</v>
      </c>
    </row>
    <row r="436" spans="1:7">
      <c r="A436" s="31" t="s">
        <v>1323</v>
      </c>
      <c r="B436" s="31" t="s">
        <v>1321</v>
      </c>
      <c r="C436" s="35" t="s">
        <v>1317</v>
      </c>
      <c r="D436" s="31" t="s">
        <v>780</v>
      </c>
      <c r="E436" s="31" t="s">
        <v>1213</v>
      </c>
      <c r="F436" s="31" t="s">
        <v>774</v>
      </c>
      <c r="G436" s="31" t="s">
        <v>785</v>
      </c>
    </row>
    <row r="437" spans="1:7">
      <c r="A437" s="31" t="s">
        <v>1324</v>
      </c>
      <c r="B437" s="31" t="s">
        <v>1321</v>
      </c>
      <c r="C437" s="35" t="s">
        <v>1317</v>
      </c>
      <c r="D437" s="31" t="s">
        <v>780</v>
      </c>
      <c r="E437" s="31" t="s">
        <v>1213</v>
      </c>
      <c r="F437" s="31" t="s">
        <v>774</v>
      </c>
      <c r="G437" s="31" t="s">
        <v>785</v>
      </c>
    </row>
    <row r="438" spans="1:7">
      <c r="A438" s="31" t="s">
        <v>1325</v>
      </c>
      <c r="B438" s="31" t="s">
        <v>1321</v>
      </c>
      <c r="C438" s="35" t="s">
        <v>1317</v>
      </c>
      <c r="D438" s="31" t="s">
        <v>780</v>
      </c>
      <c r="E438" s="31" t="s">
        <v>1213</v>
      </c>
      <c r="F438" s="31" t="s">
        <v>774</v>
      </c>
      <c r="G438" s="31" t="s">
        <v>785</v>
      </c>
    </row>
    <row r="439" spans="1:7">
      <c r="A439" s="31" t="s">
        <v>1326</v>
      </c>
      <c r="B439" s="31" t="s">
        <v>1321</v>
      </c>
      <c r="C439" s="35" t="s">
        <v>1317</v>
      </c>
      <c r="D439" s="31" t="s">
        <v>780</v>
      </c>
      <c r="E439" s="31" t="s">
        <v>1213</v>
      </c>
      <c r="F439" s="31" t="s">
        <v>774</v>
      </c>
      <c r="G439" s="31" t="s">
        <v>785</v>
      </c>
    </row>
    <row r="440" spans="1:7">
      <c r="A440" s="31" t="s">
        <v>1327</v>
      </c>
      <c r="B440" s="31" t="s">
        <v>1321</v>
      </c>
      <c r="C440" s="35" t="s">
        <v>1317</v>
      </c>
      <c r="D440" s="31" t="s">
        <v>780</v>
      </c>
      <c r="E440" s="31" t="s">
        <v>1213</v>
      </c>
      <c r="F440" s="31" t="s">
        <v>774</v>
      </c>
      <c r="G440" s="31" t="s">
        <v>785</v>
      </c>
    </row>
    <row r="441" spans="1:7">
      <c r="A441" s="31" t="s">
        <v>1328</v>
      </c>
      <c r="B441" s="31" t="s">
        <v>1321</v>
      </c>
      <c r="C441" s="35" t="s">
        <v>1317</v>
      </c>
      <c r="D441" s="31" t="s">
        <v>780</v>
      </c>
      <c r="E441" s="31" t="s">
        <v>1213</v>
      </c>
      <c r="F441" s="31" t="s">
        <v>774</v>
      </c>
      <c r="G441" s="31" t="s">
        <v>785</v>
      </c>
    </row>
    <row r="442" spans="1:7">
      <c r="A442" s="31" t="s">
        <v>1329</v>
      </c>
      <c r="B442" s="31" t="s">
        <v>1321</v>
      </c>
      <c r="C442" s="35" t="s">
        <v>1317</v>
      </c>
      <c r="D442" s="31" t="s">
        <v>780</v>
      </c>
      <c r="E442" s="31" t="s">
        <v>1213</v>
      </c>
      <c r="F442" s="31" t="s">
        <v>774</v>
      </c>
      <c r="G442" s="31" t="s">
        <v>785</v>
      </c>
    </row>
    <row r="443" spans="1:7">
      <c r="A443" s="31" t="s">
        <v>1330</v>
      </c>
      <c r="B443" s="31" t="s">
        <v>1321</v>
      </c>
      <c r="C443" s="35" t="s">
        <v>1317</v>
      </c>
      <c r="D443" s="31" t="s">
        <v>780</v>
      </c>
      <c r="E443" s="31" t="s">
        <v>1213</v>
      </c>
      <c r="F443" s="31" t="s">
        <v>774</v>
      </c>
      <c r="G443" s="31" t="s">
        <v>785</v>
      </c>
    </row>
    <row r="444" spans="1:7">
      <c r="A444" s="31" t="s">
        <v>1331</v>
      </c>
      <c r="B444" s="31" t="s">
        <v>1321</v>
      </c>
      <c r="C444" s="35" t="s">
        <v>1317</v>
      </c>
      <c r="D444" s="31" t="s">
        <v>780</v>
      </c>
      <c r="E444" s="31" t="s">
        <v>1213</v>
      </c>
      <c r="F444" s="31" t="s">
        <v>774</v>
      </c>
      <c r="G444" s="31" t="s">
        <v>785</v>
      </c>
    </row>
    <row r="445" spans="1:7">
      <c r="A445" s="31" t="s">
        <v>1332</v>
      </c>
      <c r="B445" s="31" t="s">
        <v>1321</v>
      </c>
      <c r="C445" s="35" t="s">
        <v>1317</v>
      </c>
      <c r="D445" s="31" t="s">
        <v>780</v>
      </c>
      <c r="E445" s="31" t="s">
        <v>1213</v>
      </c>
      <c r="F445" s="31" t="s">
        <v>774</v>
      </c>
      <c r="G445" s="31" t="s">
        <v>785</v>
      </c>
    </row>
    <row r="446" spans="1:7">
      <c r="A446" s="31" t="s">
        <v>1333</v>
      </c>
      <c r="B446" s="31" t="s">
        <v>1321</v>
      </c>
      <c r="C446" s="35" t="s">
        <v>1317</v>
      </c>
      <c r="D446" s="31" t="s">
        <v>780</v>
      </c>
      <c r="E446" s="31" t="s">
        <v>1213</v>
      </c>
      <c r="F446" s="31" t="s">
        <v>774</v>
      </c>
      <c r="G446" s="31" t="s">
        <v>785</v>
      </c>
    </row>
    <row r="447" spans="1:7">
      <c r="A447" s="31" t="s">
        <v>1334</v>
      </c>
      <c r="B447" s="31" t="s">
        <v>1321</v>
      </c>
      <c r="C447" s="35" t="s">
        <v>1317</v>
      </c>
      <c r="D447" s="31" t="s">
        <v>780</v>
      </c>
      <c r="E447" s="31" t="s">
        <v>1213</v>
      </c>
      <c r="F447" s="31" t="s">
        <v>774</v>
      </c>
      <c r="G447" s="31" t="s">
        <v>785</v>
      </c>
    </row>
    <row r="448" spans="1:7">
      <c r="A448" s="31" t="s">
        <v>1335</v>
      </c>
      <c r="B448" s="31" t="s">
        <v>1321</v>
      </c>
      <c r="C448" s="35" t="s">
        <v>1317</v>
      </c>
      <c r="D448" s="31" t="s">
        <v>780</v>
      </c>
      <c r="E448" s="31" t="s">
        <v>1213</v>
      </c>
      <c r="F448" s="31" t="s">
        <v>774</v>
      </c>
      <c r="G448" s="31" t="s">
        <v>785</v>
      </c>
    </row>
    <row r="449" spans="1:7">
      <c r="A449" s="31" t="s">
        <v>1336</v>
      </c>
      <c r="B449" s="31" t="s">
        <v>1321</v>
      </c>
      <c r="C449" s="35" t="s">
        <v>1317</v>
      </c>
      <c r="D449" s="31" t="s">
        <v>780</v>
      </c>
      <c r="E449" s="31" t="s">
        <v>1213</v>
      </c>
      <c r="F449" s="31" t="s">
        <v>774</v>
      </c>
      <c r="G449" s="31" t="s">
        <v>785</v>
      </c>
    </row>
    <row r="450" spans="1:7">
      <c r="A450" s="31" t="s">
        <v>1337</v>
      </c>
      <c r="B450" s="31" t="s">
        <v>1321</v>
      </c>
      <c r="C450" s="35" t="s">
        <v>1317</v>
      </c>
      <c r="D450" s="31" t="s">
        <v>780</v>
      </c>
      <c r="E450" s="31" t="s">
        <v>1213</v>
      </c>
      <c r="F450" s="31" t="s">
        <v>774</v>
      </c>
      <c r="G450" s="31" t="s">
        <v>785</v>
      </c>
    </row>
    <row r="451" spans="1:7">
      <c r="A451" s="31" t="s">
        <v>1338</v>
      </c>
      <c r="B451" s="31" t="s">
        <v>1321</v>
      </c>
      <c r="C451" s="35" t="s">
        <v>1317</v>
      </c>
      <c r="D451" s="31" t="s">
        <v>780</v>
      </c>
      <c r="E451" s="31" t="s">
        <v>1213</v>
      </c>
      <c r="F451" s="31" t="s">
        <v>774</v>
      </c>
      <c r="G451" s="31" t="s">
        <v>785</v>
      </c>
    </row>
    <row r="452" spans="1:7">
      <c r="A452" s="31" t="s">
        <v>1339</v>
      </c>
      <c r="B452" s="31" t="s">
        <v>1321</v>
      </c>
      <c r="C452" s="35" t="s">
        <v>1317</v>
      </c>
      <c r="D452" s="31" t="s">
        <v>780</v>
      </c>
      <c r="E452" s="31" t="s">
        <v>1213</v>
      </c>
      <c r="F452" s="31" t="s">
        <v>774</v>
      </c>
      <c r="G452" s="31" t="s">
        <v>785</v>
      </c>
    </row>
    <row r="453" spans="1:7">
      <c r="A453" s="31" t="s">
        <v>1340</v>
      </c>
      <c r="B453" s="31" t="s">
        <v>1321</v>
      </c>
      <c r="C453" s="35" t="s">
        <v>1317</v>
      </c>
      <c r="D453" s="31" t="s">
        <v>780</v>
      </c>
      <c r="E453" s="31" t="s">
        <v>1213</v>
      </c>
      <c r="F453" s="31" t="s">
        <v>774</v>
      </c>
      <c r="G453" s="31" t="s">
        <v>785</v>
      </c>
    </row>
    <row r="454" spans="1:7">
      <c r="A454" s="31" t="s">
        <v>1341</v>
      </c>
      <c r="B454" s="31" t="s">
        <v>1321</v>
      </c>
      <c r="C454" s="35" t="s">
        <v>1317</v>
      </c>
      <c r="D454" s="31" t="s">
        <v>780</v>
      </c>
      <c r="E454" s="31" t="s">
        <v>1213</v>
      </c>
      <c r="F454" s="31" t="s">
        <v>774</v>
      </c>
      <c r="G454" s="31" t="s">
        <v>785</v>
      </c>
    </row>
    <row r="455" spans="1:7">
      <c r="A455" s="31" t="s">
        <v>1342</v>
      </c>
      <c r="B455" s="31" t="s">
        <v>1321</v>
      </c>
      <c r="C455" s="35" t="s">
        <v>1317</v>
      </c>
      <c r="D455" s="31" t="s">
        <v>780</v>
      </c>
      <c r="E455" s="31" t="s">
        <v>1213</v>
      </c>
      <c r="F455" s="31" t="s">
        <v>774</v>
      </c>
      <c r="G455" s="31" t="s">
        <v>785</v>
      </c>
    </row>
    <row r="456" spans="1:7">
      <c r="A456" s="31" t="s">
        <v>1343</v>
      </c>
      <c r="B456" s="31" t="s">
        <v>1321</v>
      </c>
      <c r="C456" s="35" t="s">
        <v>1317</v>
      </c>
      <c r="D456" s="31" t="s">
        <v>780</v>
      </c>
      <c r="E456" s="31" t="s">
        <v>1213</v>
      </c>
      <c r="F456" s="31" t="s">
        <v>774</v>
      </c>
      <c r="G456" s="31" t="s">
        <v>785</v>
      </c>
    </row>
    <row r="457" spans="1:7">
      <c r="A457" s="31" t="s">
        <v>1344</v>
      </c>
      <c r="B457" s="31" t="s">
        <v>1321</v>
      </c>
      <c r="C457" s="35" t="s">
        <v>1317</v>
      </c>
      <c r="D457" s="31" t="s">
        <v>780</v>
      </c>
      <c r="E457" s="31" t="s">
        <v>1213</v>
      </c>
      <c r="F457" s="31" t="s">
        <v>774</v>
      </c>
      <c r="G457" s="31" t="s">
        <v>785</v>
      </c>
    </row>
    <row r="458" spans="1:7">
      <c r="A458" s="31" t="s">
        <v>1345</v>
      </c>
      <c r="B458" s="31" t="s">
        <v>1321</v>
      </c>
      <c r="C458" s="35" t="s">
        <v>1317</v>
      </c>
      <c r="D458" s="31" t="s">
        <v>780</v>
      </c>
      <c r="E458" s="31" t="s">
        <v>1213</v>
      </c>
      <c r="F458" s="31" t="s">
        <v>774</v>
      </c>
      <c r="G458" s="31" t="s">
        <v>785</v>
      </c>
    </row>
    <row r="459" spans="1:7">
      <c r="A459" s="31" t="s">
        <v>1346</v>
      </c>
      <c r="B459" s="31" t="s">
        <v>1321</v>
      </c>
      <c r="C459" s="35" t="s">
        <v>1317</v>
      </c>
      <c r="D459" s="31" t="s">
        <v>780</v>
      </c>
      <c r="E459" s="31" t="s">
        <v>1213</v>
      </c>
      <c r="F459" s="31" t="s">
        <v>774</v>
      </c>
      <c r="G459" s="31" t="s">
        <v>785</v>
      </c>
    </row>
    <row r="460" spans="1:7">
      <c r="A460" s="31" t="s">
        <v>1347</v>
      </c>
      <c r="B460" s="31" t="s">
        <v>1321</v>
      </c>
      <c r="C460" s="35" t="s">
        <v>1317</v>
      </c>
      <c r="D460" s="31" t="s">
        <v>780</v>
      </c>
      <c r="E460" s="31" t="s">
        <v>1213</v>
      </c>
      <c r="F460" s="31" t="s">
        <v>774</v>
      </c>
      <c r="G460" s="31" t="s">
        <v>785</v>
      </c>
    </row>
    <row r="461" spans="1:7">
      <c r="A461" s="31" t="s">
        <v>1348</v>
      </c>
      <c r="B461" s="31" t="s">
        <v>1321</v>
      </c>
      <c r="C461" s="35" t="s">
        <v>1317</v>
      </c>
      <c r="D461" s="31" t="s">
        <v>780</v>
      </c>
      <c r="E461" s="31" t="s">
        <v>1213</v>
      </c>
      <c r="F461" s="31" t="s">
        <v>774</v>
      </c>
      <c r="G461" s="31" t="s">
        <v>785</v>
      </c>
    </row>
    <row r="462" spans="1:7">
      <c r="A462" s="31" t="s">
        <v>1349</v>
      </c>
      <c r="B462" s="31" t="s">
        <v>1321</v>
      </c>
      <c r="C462" s="35" t="s">
        <v>1317</v>
      </c>
      <c r="D462" s="31" t="s">
        <v>780</v>
      </c>
      <c r="E462" s="31" t="s">
        <v>1213</v>
      </c>
      <c r="F462" s="31" t="s">
        <v>774</v>
      </c>
      <c r="G462" s="31" t="s">
        <v>785</v>
      </c>
    </row>
    <row r="463" spans="1:7">
      <c r="A463" s="31" t="s">
        <v>1350</v>
      </c>
      <c r="B463" s="31" t="s">
        <v>1321</v>
      </c>
      <c r="C463" s="35" t="s">
        <v>1317</v>
      </c>
      <c r="D463" s="31" t="s">
        <v>780</v>
      </c>
      <c r="E463" s="31" t="s">
        <v>1213</v>
      </c>
      <c r="F463" s="31" t="s">
        <v>774</v>
      </c>
      <c r="G463" s="31" t="s">
        <v>785</v>
      </c>
    </row>
    <row r="464" spans="1:7">
      <c r="A464" s="31" t="s">
        <v>1351</v>
      </c>
      <c r="B464" s="31" t="s">
        <v>1321</v>
      </c>
      <c r="C464" s="35" t="s">
        <v>1317</v>
      </c>
      <c r="D464" s="31" t="s">
        <v>780</v>
      </c>
      <c r="E464" s="31" t="s">
        <v>1213</v>
      </c>
      <c r="F464" s="31" t="s">
        <v>774</v>
      </c>
      <c r="G464" s="31" t="s">
        <v>785</v>
      </c>
    </row>
    <row r="465" spans="1:7">
      <c r="A465" s="31" t="s">
        <v>1352</v>
      </c>
      <c r="B465" s="31" t="s">
        <v>1321</v>
      </c>
      <c r="C465" s="35" t="s">
        <v>1317</v>
      </c>
      <c r="D465" s="31" t="s">
        <v>780</v>
      </c>
      <c r="E465" s="31" t="s">
        <v>1213</v>
      </c>
      <c r="F465" s="31" t="s">
        <v>774</v>
      </c>
      <c r="G465" s="31" t="s">
        <v>785</v>
      </c>
    </row>
    <row r="466" spans="1:7">
      <c r="A466" s="31" t="s">
        <v>1353</v>
      </c>
      <c r="B466" s="31" t="s">
        <v>1321</v>
      </c>
      <c r="C466" s="35" t="s">
        <v>1317</v>
      </c>
      <c r="D466" s="31" t="s">
        <v>780</v>
      </c>
      <c r="E466" s="31" t="s">
        <v>1213</v>
      </c>
      <c r="F466" s="31" t="s">
        <v>774</v>
      </c>
      <c r="G466" s="31" t="s">
        <v>785</v>
      </c>
    </row>
    <row r="467" spans="1:7">
      <c r="A467" s="31" t="s">
        <v>1354</v>
      </c>
      <c r="B467" s="31" t="s">
        <v>1321</v>
      </c>
      <c r="C467" s="35" t="s">
        <v>1317</v>
      </c>
      <c r="D467" s="31" t="s">
        <v>780</v>
      </c>
      <c r="E467" s="31" t="s">
        <v>1213</v>
      </c>
      <c r="F467" s="31" t="s">
        <v>774</v>
      </c>
      <c r="G467" s="31" t="s">
        <v>785</v>
      </c>
    </row>
    <row r="468" spans="1:7">
      <c r="A468" s="31" t="s">
        <v>1355</v>
      </c>
      <c r="B468" s="31" t="s">
        <v>1321</v>
      </c>
      <c r="C468" s="35" t="s">
        <v>1317</v>
      </c>
      <c r="D468" s="31" t="s">
        <v>780</v>
      </c>
      <c r="E468" s="31" t="s">
        <v>1213</v>
      </c>
      <c r="F468" s="31" t="s">
        <v>774</v>
      </c>
      <c r="G468" s="31" t="s">
        <v>785</v>
      </c>
    </row>
    <row r="469" spans="1:7">
      <c r="A469" s="31" t="s">
        <v>1356</v>
      </c>
      <c r="B469" s="31" t="s">
        <v>1321</v>
      </c>
      <c r="C469" s="35" t="s">
        <v>1317</v>
      </c>
      <c r="D469" s="31" t="s">
        <v>780</v>
      </c>
      <c r="E469" s="31" t="s">
        <v>1213</v>
      </c>
      <c r="F469" s="31" t="s">
        <v>774</v>
      </c>
      <c r="G469" s="31" t="s">
        <v>785</v>
      </c>
    </row>
    <row r="470" spans="1:7">
      <c r="A470" s="31" t="s">
        <v>1357</v>
      </c>
      <c r="B470" s="31" t="s">
        <v>1321</v>
      </c>
      <c r="C470" s="35" t="s">
        <v>1317</v>
      </c>
      <c r="D470" s="31" t="s">
        <v>780</v>
      </c>
      <c r="E470" s="31" t="s">
        <v>1213</v>
      </c>
      <c r="F470" s="31" t="s">
        <v>774</v>
      </c>
      <c r="G470" s="31" t="s">
        <v>785</v>
      </c>
    </row>
    <row r="471" spans="1:7">
      <c r="A471" s="31" t="s">
        <v>1358</v>
      </c>
      <c r="B471" s="31" t="s">
        <v>1321</v>
      </c>
      <c r="C471" s="35" t="s">
        <v>1317</v>
      </c>
      <c r="D471" s="31" t="s">
        <v>780</v>
      </c>
      <c r="E471" s="31" t="s">
        <v>1213</v>
      </c>
      <c r="F471" s="31" t="s">
        <v>774</v>
      </c>
      <c r="G471" s="31" t="s">
        <v>785</v>
      </c>
    </row>
    <row r="472" spans="1:7">
      <c r="A472" s="31" t="s">
        <v>1359</v>
      </c>
      <c r="B472" s="31" t="s">
        <v>1321</v>
      </c>
      <c r="C472" s="35" t="s">
        <v>1317</v>
      </c>
      <c r="D472" s="31" t="s">
        <v>780</v>
      </c>
      <c r="E472" s="31" t="s">
        <v>1213</v>
      </c>
      <c r="F472" s="31" t="s">
        <v>774</v>
      </c>
      <c r="G472" s="31" t="s">
        <v>785</v>
      </c>
    </row>
    <row r="473" spans="1:7">
      <c r="A473" s="31" t="s">
        <v>1360</v>
      </c>
      <c r="B473" s="31" t="s">
        <v>1321</v>
      </c>
      <c r="C473" s="35" t="s">
        <v>1317</v>
      </c>
      <c r="D473" s="31" t="s">
        <v>780</v>
      </c>
      <c r="E473" s="31" t="s">
        <v>1213</v>
      </c>
      <c r="F473" s="31" t="s">
        <v>774</v>
      </c>
      <c r="G473" s="31" t="s">
        <v>785</v>
      </c>
    </row>
    <row r="474" spans="1:7">
      <c r="A474" s="31" t="s">
        <v>1361</v>
      </c>
      <c r="B474" s="36" t="s">
        <v>1362</v>
      </c>
      <c r="C474" s="35" t="s">
        <v>1317</v>
      </c>
      <c r="D474" s="31" t="s">
        <v>780</v>
      </c>
      <c r="E474" s="31" t="s">
        <v>1213</v>
      </c>
      <c r="F474" s="31" t="s">
        <v>774</v>
      </c>
      <c r="G474" s="31" t="s">
        <v>785</v>
      </c>
    </row>
    <row r="475" spans="1:7">
      <c r="A475" s="31" t="s">
        <v>1363</v>
      </c>
      <c r="B475" s="36" t="s">
        <v>1362</v>
      </c>
      <c r="C475" s="35" t="s">
        <v>1317</v>
      </c>
      <c r="D475" s="31" t="s">
        <v>780</v>
      </c>
      <c r="E475" s="31" t="s">
        <v>1213</v>
      </c>
      <c r="F475" s="31" t="s">
        <v>774</v>
      </c>
      <c r="G475" s="31" t="s">
        <v>785</v>
      </c>
    </row>
    <row r="476" spans="1:7">
      <c r="A476" s="31" t="s">
        <v>1364</v>
      </c>
      <c r="B476" s="36" t="s">
        <v>1362</v>
      </c>
      <c r="C476" s="35" t="s">
        <v>1317</v>
      </c>
      <c r="D476" s="31" t="s">
        <v>780</v>
      </c>
      <c r="E476" s="31" t="s">
        <v>1213</v>
      </c>
      <c r="F476" s="31" t="s">
        <v>774</v>
      </c>
      <c r="G476" s="31" t="s">
        <v>785</v>
      </c>
    </row>
    <row r="477" spans="1:7">
      <c r="A477" s="31" t="s">
        <v>1365</v>
      </c>
      <c r="B477" s="36" t="s">
        <v>1366</v>
      </c>
      <c r="C477" s="35" t="s">
        <v>1317</v>
      </c>
      <c r="D477" s="31" t="s">
        <v>780</v>
      </c>
      <c r="E477" s="31" t="s">
        <v>1213</v>
      </c>
      <c r="F477" s="31" t="s">
        <v>774</v>
      </c>
      <c r="G477" s="31" t="s">
        <v>785</v>
      </c>
    </row>
    <row r="478" spans="1:7">
      <c r="A478" s="31" t="s">
        <v>1367</v>
      </c>
      <c r="B478" s="36" t="s">
        <v>1368</v>
      </c>
      <c r="C478" s="35" t="s">
        <v>1317</v>
      </c>
      <c r="D478" s="31" t="s">
        <v>780</v>
      </c>
      <c r="E478" s="31" t="s">
        <v>1213</v>
      </c>
      <c r="F478" s="31" t="s">
        <v>774</v>
      </c>
      <c r="G478" s="31" t="s">
        <v>785</v>
      </c>
    </row>
    <row r="479" spans="1:7">
      <c r="A479" s="31" t="s">
        <v>1369</v>
      </c>
      <c r="B479" s="36" t="s">
        <v>1370</v>
      </c>
      <c r="C479" s="35" t="s">
        <v>1317</v>
      </c>
      <c r="D479" s="31" t="s">
        <v>780</v>
      </c>
      <c r="E479" s="31" t="s">
        <v>1213</v>
      </c>
      <c r="F479" s="31" t="s">
        <v>774</v>
      </c>
      <c r="G479" s="31" t="s">
        <v>785</v>
      </c>
    </row>
    <row r="480" spans="1:7">
      <c r="A480" s="31" t="s">
        <v>1371</v>
      </c>
      <c r="B480" s="36" t="s">
        <v>1370</v>
      </c>
      <c r="C480" s="35" t="s">
        <v>1317</v>
      </c>
      <c r="D480" s="31" t="s">
        <v>780</v>
      </c>
      <c r="E480" s="31" t="s">
        <v>1213</v>
      </c>
      <c r="F480" s="31" t="s">
        <v>774</v>
      </c>
      <c r="G480" s="31" t="s">
        <v>785</v>
      </c>
    </row>
    <row r="481" spans="1:7">
      <c r="A481" s="31" t="s">
        <v>1372</v>
      </c>
      <c r="B481" s="36" t="s">
        <v>1370</v>
      </c>
      <c r="C481" s="35" t="s">
        <v>1317</v>
      </c>
      <c r="D481" s="31" t="s">
        <v>780</v>
      </c>
      <c r="E481" s="31" t="s">
        <v>1213</v>
      </c>
      <c r="F481" s="31" t="s">
        <v>774</v>
      </c>
      <c r="G481" s="31" t="s">
        <v>785</v>
      </c>
    </row>
    <row r="482" spans="1:7">
      <c r="A482" s="31" t="s">
        <v>1373</v>
      </c>
      <c r="B482" s="36" t="s">
        <v>1370</v>
      </c>
      <c r="C482" s="35" t="s">
        <v>1317</v>
      </c>
      <c r="D482" s="31" t="s">
        <v>780</v>
      </c>
      <c r="E482" s="31" t="s">
        <v>1213</v>
      </c>
      <c r="F482" s="31" t="s">
        <v>774</v>
      </c>
      <c r="G482" s="31" t="s">
        <v>785</v>
      </c>
    </row>
    <row r="483" spans="1:7">
      <c r="A483" s="31" t="s">
        <v>1374</v>
      </c>
      <c r="B483" s="36" t="s">
        <v>1370</v>
      </c>
      <c r="C483" s="35" t="s">
        <v>1317</v>
      </c>
      <c r="D483" s="31" t="s">
        <v>780</v>
      </c>
      <c r="E483" s="31" t="s">
        <v>1213</v>
      </c>
      <c r="F483" s="31" t="s">
        <v>774</v>
      </c>
      <c r="G483" s="31" t="s">
        <v>785</v>
      </c>
    </row>
    <row r="484" spans="1:7">
      <c r="A484" s="31" t="s">
        <v>1375</v>
      </c>
      <c r="B484" s="36" t="s">
        <v>1370</v>
      </c>
      <c r="C484" s="35" t="s">
        <v>1317</v>
      </c>
      <c r="D484" s="31" t="s">
        <v>780</v>
      </c>
      <c r="E484" s="31" t="s">
        <v>1213</v>
      </c>
      <c r="F484" s="31" t="s">
        <v>774</v>
      </c>
      <c r="G484" s="31" t="s">
        <v>785</v>
      </c>
    </row>
    <row r="485" spans="1:7">
      <c r="A485" s="31" t="s">
        <v>1376</v>
      </c>
      <c r="B485" s="36" t="s">
        <v>1370</v>
      </c>
      <c r="C485" s="35" t="s">
        <v>1317</v>
      </c>
      <c r="D485" s="31" t="s">
        <v>780</v>
      </c>
      <c r="E485" s="31" t="s">
        <v>1213</v>
      </c>
      <c r="F485" s="31" t="s">
        <v>774</v>
      </c>
      <c r="G485" s="31" t="s">
        <v>785</v>
      </c>
    </row>
    <row r="486" spans="1:7">
      <c r="A486" s="31" t="s">
        <v>1377</v>
      </c>
      <c r="B486" s="36" t="s">
        <v>1378</v>
      </c>
      <c r="C486" s="35" t="s">
        <v>1317</v>
      </c>
      <c r="D486" s="31" t="s">
        <v>780</v>
      </c>
      <c r="E486" s="31" t="s">
        <v>1213</v>
      </c>
      <c r="F486" s="31" t="s">
        <v>774</v>
      </c>
      <c r="G486" s="31" t="s">
        <v>785</v>
      </c>
    </row>
    <row r="487" spans="1:7">
      <c r="A487" s="31" t="s">
        <v>1379</v>
      </c>
      <c r="B487" s="36" t="s">
        <v>1380</v>
      </c>
      <c r="C487" s="35" t="s">
        <v>1317</v>
      </c>
      <c r="D487" s="31" t="s">
        <v>780</v>
      </c>
      <c r="E487" s="31" t="s">
        <v>1213</v>
      </c>
      <c r="F487" s="31" t="s">
        <v>774</v>
      </c>
      <c r="G487" s="31" t="s">
        <v>785</v>
      </c>
    </row>
    <row r="488" spans="1:7">
      <c r="A488" s="31" t="s">
        <v>1381</v>
      </c>
      <c r="B488" s="36" t="s">
        <v>1380</v>
      </c>
      <c r="C488" s="35" t="s">
        <v>1317</v>
      </c>
      <c r="D488" s="31" t="s">
        <v>780</v>
      </c>
      <c r="E488" s="31" t="s">
        <v>1213</v>
      </c>
      <c r="F488" s="31" t="s">
        <v>774</v>
      </c>
      <c r="G488" s="31" t="s">
        <v>785</v>
      </c>
    </row>
    <row r="489" spans="1:7">
      <c r="A489" s="31" t="s">
        <v>1382</v>
      </c>
      <c r="B489" s="36" t="s">
        <v>1380</v>
      </c>
      <c r="C489" s="35" t="s">
        <v>1317</v>
      </c>
      <c r="D489" s="31" t="s">
        <v>780</v>
      </c>
      <c r="E489" s="31" t="s">
        <v>1213</v>
      </c>
      <c r="F489" s="31" t="s">
        <v>774</v>
      </c>
      <c r="G489" s="31" t="s">
        <v>785</v>
      </c>
    </row>
    <row r="490" spans="1:7">
      <c r="A490" s="31" t="s">
        <v>1383</v>
      </c>
      <c r="B490" s="36" t="s">
        <v>1383</v>
      </c>
      <c r="C490" s="35" t="s">
        <v>1317</v>
      </c>
      <c r="D490" s="31" t="s">
        <v>780</v>
      </c>
      <c r="E490" s="31" t="s">
        <v>1213</v>
      </c>
      <c r="F490" s="31" t="s">
        <v>774</v>
      </c>
      <c r="G490" s="31" t="s">
        <v>785</v>
      </c>
    </row>
    <row r="491" spans="1:7">
      <c r="A491" s="31" t="s">
        <v>1384</v>
      </c>
      <c r="B491" s="36" t="s">
        <v>1385</v>
      </c>
      <c r="C491" s="35" t="s">
        <v>1317</v>
      </c>
      <c r="D491" s="31" t="s">
        <v>780</v>
      </c>
      <c r="E491" s="31" t="s">
        <v>1213</v>
      </c>
      <c r="F491" s="31" t="s">
        <v>774</v>
      </c>
      <c r="G491" s="31" t="s">
        <v>785</v>
      </c>
    </row>
    <row r="492" spans="1:7">
      <c r="A492" s="31" t="s">
        <v>1386</v>
      </c>
      <c r="B492" s="36" t="s">
        <v>1385</v>
      </c>
      <c r="C492" s="35" t="s">
        <v>1317</v>
      </c>
      <c r="D492" s="31" t="s">
        <v>780</v>
      </c>
      <c r="E492" s="31" t="s">
        <v>1213</v>
      </c>
      <c r="F492" s="31" t="s">
        <v>774</v>
      </c>
      <c r="G492" s="31" t="s">
        <v>785</v>
      </c>
    </row>
    <row r="493" spans="1:7">
      <c r="A493" s="31" t="s">
        <v>1387</v>
      </c>
      <c r="B493" s="36" t="s">
        <v>1385</v>
      </c>
      <c r="C493" s="35" t="s">
        <v>1317</v>
      </c>
      <c r="D493" s="31" t="s">
        <v>780</v>
      </c>
      <c r="E493" s="31" t="s">
        <v>1213</v>
      </c>
      <c r="F493" s="31" t="s">
        <v>774</v>
      </c>
      <c r="G493" s="31" t="s">
        <v>785</v>
      </c>
    </row>
    <row r="494" spans="1:7">
      <c r="A494" s="31" t="s">
        <v>1388</v>
      </c>
      <c r="B494" s="35" t="s">
        <v>1389</v>
      </c>
      <c r="C494" s="35" t="s">
        <v>1317</v>
      </c>
      <c r="D494" s="31" t="s">
        <v>780</v>
      </c>
      <c r="E494" s="31" t="s">
        <v>1213</v>
      </c>
      <c r="F494" s="31" t="s">
        <v>774</v>
      </c>
      <c r="G494" s="31" t="s">
        <v>785</v>
      </c>
    </row>
    <row r="495" spans="1:7">
      <c r="A495" s="31" t="s">
        <v>1390</v>
      </c>
      <c r="B495" s="35" t="s">
        <v>1389</v>
      </c>
      <c r="C495" s="35" t="s">
        <v>1317</v>
      </c>
      <c r="D495" s="31" t="s">
        <v>780</v>
      </c>
      <c r="E495" s="31" t="s">
        <v>1213</v>
      </c>
      <c r="F495" s="31" t="s">
        <v>774</v>
      </c>
      <c r="G495" s="31" t="s">
        <v>785</v>
      </c>
    </row>
    <row r="496" spans="1:7">
      <c r="A496" s="31" t="s">
        <v>1391</v>
      </c>
      <c r="B496" s="35" t="s">
        <v>1389</v>
      </c>
      <c r="C496" s="35" t="s">
        <v>1317</v>
      </c>
      <c r="D496" s="31" t="s">
        <v>780</v>
      </c>
      <c r="E496" s="31" t="s">
        <v>1213</v>
      </c>
      <c r="F496" s="31" t="s">
        <v>774</v>
      </c>
      <c r="G496" s="31" t="s">
        <v>785</v>
      </c>
    </row>
    <row r="497" spans="1:7">
      <c r="A497" s="31" t="s">
        <v>1392</v>
      </c>
      <c r="B497" s="35" t="s">
        <v>1389</v>
      </c>
      <c r="C497" s="35" t="s">
        <v>1317</v>
      </c>
      <c r="D497" s="31" t="s">
        <v>780</v>
      </c>
      <c r="E497" s="31" t="s">
        <v>1213</v>
      </c>
      <c r="F497" s="31" t="s">
        <v>774</v>
      </c>
      <c r="G497" s="31" t="s">
        <v>785</v>
      </c>
    </row>
    <row r="498" spans="1:7">
      <c r="A498" s="31" t="s">
        <v>1393</v>
      </c>
      <c r="B498" s="35" t="s">
        <v>1389</v>
      </c>
      <c r="C498" s="35" t="s">
        <v>1317</v>
      </c>
      <c r="D498" s="31" t="s">
        <v>780</v>
      </c>
      <c r="E498" s="31" t="s">
        <v>1213</v>
      </c>
      <c r="F498" s="31" t="s">
        <v>774</v>
      </c>
      <c r="G498" s="31" t="s">
        <v>785</v>
      </c>
    </row>
    <row r="499" spans="1:7">
      <c r="A499" s="31" t="s">
        <v>1394</v>
      </c>
      <c r="B499" s="35" t="s">
        <v>1395</v>
      </c>
      <c r="C499" s="35" t="s">
        <v>1317</v>
      </c>
      <c r="D499" s="31" t="s">
        <v>780</v>
      </c>
      <c r="E499" s="31" t="s">
        <v>1213</v>
      </c>
      <c r="F499" s="31" t="s">
        <v>774</v>
      </c>
      <c r="G499" s="31" t="s">
        <v>785</v>
      </c>
    </row>
    <row r="500" spans="1:7">
      <c r="A500" s="31" t="s">
        <v>1396</v>
      </c>
      <c r="B500" s="35" t="s">
        <v>1395</v>
      </c>
      <c r="C500" s="35" t="s">
        <v>1317</v>
      </c>
      <c r="D500" s="31" t="s">
        <v>780</v>
      </c>
      <c r="E500" s="31" t="s">
        <v>1213</v>
      </c>
      <c r="F500" s="31" t="s">
        <v>774</v>
      </c>
      <c r="G500" s="31" t="s">
        <v>785</v>
      </c>
    </row>
    <row r="501" spans="1:7">
      <c r="A501" s="37" t="s">
        <v>1397</v>
      </c>
      <c r="B501" s="38" t="s">
        <v>1395</v>
      </c>
      <c r="C501" s="38" t="s">
        <v>1317</v>
      </c>
      <c r="D501" s="37" t="s">
        <v>780</v>
      </c>
      <c r="E501" s="37" t="s">
        <v>1213</v>
      </c>
      <c r="F501" s="37" t="s">
        <v>774</v>
      </c>
      <c r="G501" s="37" t="s">
        <v>785</v>
      </c>
    </row>
    <row r="502" spans="1:7">
      <c r="A502" s="31" t="s">
        <v>1398</v>
      </c>
      <c r="B502" s="31" t="s">
        <v>1395</v>
      </c>
      <c r="C502" s="35" t="s">
        <v>1317</v>
      </c>
      <c r="D502" s="31" t="s">
        <v>780</v>
      </c>
      <c r="E502" s="31" t="s">
        <v>1213</v>
      </c>
      <c r="F502" s="31" t="s">
        <v>774</v>
      </c>
      <c r="G502" s="31" t="s">
        <v>785</v>
      </c>
    </row>
    <row r="503" spans="1:7">
      <c r="A503" s="31" t="s">
        <v>1399</v>
      </c>
      <c r="B503" s="35" t="s">
        <v>1395</v>
      </c>
      <c r="C503" s="35" t="s">
        <v>1317</v>
      </c>
      <c r="D503" s="31" t="s">
        <v>780</v>
      </c>
      <c r="E503" s="31" t="s">
        <v>1213</v>
      </c>
      <c r="F503" s="31" t="s">
        <v>774</v>
      </c>
      <c r="G503" s="31" t="s">
        <v>785</v>
      </c>
    </row>
    <row r="504" spans="1:7">
      <c r="A504" s="31" t="s">
        <v>1400</v>
      </c>
      <c r="B504" s="35" t="s">
        <v>1395</v>
      </c>
      <c r="C504" s="35" t="s">
        <v>1317</v>
      </c>
      <c r="D504" s="31" t="s">
        <v>780</v>
      </c>
      <c r="E504" s="31" t="s">
        <v>1213</v>
      </c>
      <c r="F504" s="31" t="s">
        <v>774</v>
      </c>
      <c r="G504" s="31" t="s">
        <v>785</v>
      </c>
    </row>
    <row r="505" spans="1:7">
      <c r="A505" s="31" t="s">
        <v>1401</v>
      </c>
      <c r="B505" s="35" t="s">
        <v>1395</v>
      </c>
      <c r="C505" s="35" t="s">
        <v>1317</v>
      </c>
      <c r="D505" s="31" t="s">
        <v>780</v>
      </c>
      <c r="E505" s="31" t="s">
        <v>1213</v>
      </c>
      <c r="F505" s="31" t="s">
        <v>774</v>
      </c>
      <c r="G505" s="31" t="s">
        <v>785</v>
      </c>
    </row>
    <row r="506" spans="1:7">
      <c r="A506" s="31" t="s">
        <v>1402</v>
      </c>
      <c r="B506" s="35" t="s">
        <v>1395</v>
      </c>
      <c r="C506" s="35" t="s">
        <v>1317</v>
      </c>
      <c r="D506" s="31" t="s">
        <v>780</v>
      </c>
      <c r="E506" s="31" t="s">
        <v>1213</v>
      </c>
      <c r="F506" s="31" t="s">
        <v>774</v>
      </c>
      <c r="G506" s="31" t="s">
        <v>785</v>
      </c>
    </row>
    <row r="507" spans="1:7">
      <c r="A507" s="31" t="s">
        <v>1403</v>
      </c>
      <c r="B507" s="35" t="s">
        <v>1395</v>
      </c>
      <c r="C507" s="35" t="s">
        <v>1317</v>
      </c>
      <c r="D507" s="31" t="s">
        <v>780</v>
      </c>
      <c r="E507" s="31" t="s">
        <v>1213</v>
      </c>
      <c r="F507" s="31" t="s">
        <v>774</v>
      </c>
      <c r="G507" s="31" t="s">
        <v>785</v>
      </c>
    </row>
    <row r="508" spans="1:7">
      <c r="A508" s="31" t="s">
        <v>1404</v>
      </c>
      <c r="B508" s="35" t="s">
        <v>1395</v>
      </c>
      <c r="C508" s="35" t="s">
        <v>1317</v>
      </c>
      <c r="D508" s="31" t="s">
        <v>780</v>
      </c>
      <c r="E508" s="31" t="s">
        <v>1213</v>
      </c>
      <c r="F508" s="31" t="s">
        <v>774</v>
      </c>
      <c r="G508" s="31" t="s">
        <v>785</v>
      </c>
    </row>
    <row r="509" spans="1:7">
      <c r="A509" s="31" t="s">
        <v>1405</v>
      </c>
      <c r="B509" s="35" t="s">
        <v>1395</v>
      </c>
      <c r="C509" s="35" t="s">
        <v>1317</v>
      </c>
      <c r="D509" s="31" t="s">
        <v>780</v>
      </c>
      <c r="E509" s="31" t="s">
        <v>1213</v>
      </c>
      <c r="F509" s="31" t="s">
        <v>774</v>
      </c>
      <c r="G509" s="31" t="s">
        <v>785</v>
      </c>
    </row>
    <row r="510" spans="1:7">
      <c r="A510" s="31" t="s">
        <v>1406</v>
      </c>
      <c r="B510" s="35" t="s">
        <v>1395</v>
      </c>
      <c r="C510" s="35" t="s">
        <v>1317</v>
      </c>
      <c r="D510" s="31" t="s">
        <v>780</v>
      </c>
      <c r="E510" s="31" t="s">
        <v>1213</v>
      </c>
      <c r="F510" s="31" t="s">
        <v>774</v>
      </c>
      <c r="G510" s="31" t="s">
        <v>785</v>
      </c>
    </row>
    <row r="511" spans="1:7">
      <c r="A511" s="31" t="s">
        <v>1407</v>
      </c>
      <c r="B511" s="35" t="s">
        <v>1395</v>
      </c>
      <c r="C511" s="35" t="s">
        <v>1317</v>
      </c>
      <c r="D511" s="31" t="s">
        <v>780</v>
      </c>
      <c r="E511" s="31" t="s">
        <v>1213</v>
      </c>
      <c r="F511" s="31" t="s">
        <v>774</v>
      </c>
      <c r="G511" s="31" t="s">
        <v>785</v>
      </c>
    </row>
    <row r="512" spans="1:7">
      <c r="A512" s="31" t="s">
        <v>1408</v>
      </c>
      <c r="B512" s="35" t="s">
        <v>1395</v>
      </c>
      <c r="C512" s="35" t="s">
        <v>1317</v>
      </c>
      <c r="D512" s="31" t="s">
        <v>780</v>
      </c>
      <c r="E512" s="31" t="s">
        <v>1213</v>
      </c>
      <c r="F512" s="31" t="s">
        <v>774</v>
      </c>
      <c r="G512" s="31" t="s">
        <v>785</v>
      </c>
    </row>
    <row r="513" spans="1:7">
      <c r="A513" s="31" t="s">
        <v>1409</v>
      </c>
      <c r="B513" s="35" t="s">
        <v>1395</v>
      </c>
      <c r="C513" s="35" t="s">
        <v>1317</v>
      </c>
      <c r="D513" s="31" t="s">
        <v>780</v>
      </c>
      <c r="E513" s="31" t="s">
        <v>1213</v>
      </c>
      <c r="F513" s="31" t="s">
        <v>774</v>
      </c>
      <c r="G513" s="31" t="s">
        <v>785</v>
      </c>
    </row>
    <row r="514" spans="1:7">
      <c r="A514" s="31" t="s">
        <v>1410</v>
      </c>
      <c r="B514" s="35" t="s">
        <v>1411</v>
      </c>
      <c r="C514" s="35" t="s">
        <v>1412</v>
      </c>
      <c r="D514" s="31" t="s">
        <v>780</v>
      </c>
      <c r="E514" s="31" t="s">
        <v>1213</v>
      </c>
      <c r="F514" s="31" t="s">
        <v>774</v>
      </c>
      <c r="G514" s="31" t="s">
        <v>785</v>
      </c>
    </row>
    <row r="515" spans="1:7">
      <c r="A515" s="31" t="s">
        <v>1413</v>
      </c>
      <c r="B515" s="35" t="s">
        <v>1411</v>
      </c>
      <c r="C515" s="35" t="s">
        <v>1412</v>
      </c>
      <c r="D515" s="31" t="s">
        <v>780</v>
      </c>
      <c r="E515" s="31" t="s">
        <v>1213</v>
      </c>
      <c r="F515" s="31" t="s">
        <v>774</v>
      </c>
      <c r="G515" s="31" t="s">
        <v>785</v>
      </c>
    </row>
    <row r="516" spans="1:7">
      <c r="A516" s="31" t="s">
        <v>1414</v>
      </c>
      <c r="B516" s="35" t="s">
        <v>1411</v>
      </c>
      <c r="C516" s="35" t="s">
        <v>1412</v>
      </c>
      <c r="D516" s="31" t="s">
        <v>780</v>
      </c>
      <c r="E516" s="31" t="s">
        <v>1213</v>
      </c>
      <c r="F516" s="31" t="s">
        <v>774</v>
      </c>
      <c r="G516" s="31" t="s">
        <v>785</v>
      </c>
    </row>
    <row r="517" spans="1:7">
      <c r="A517" s="31" t="s">
        <v>1415</v>
      </c>
      <c r="B517" s="35" t="s">
        <v>1411</v>
      </c>
      <c r="C517" s="35" t="s">
        <v>1412</v>
      </c>
      <c r="D517" s="31" t="s">
        <v>780</v>
      </c>
      <c r="E517" s="31" t="s">
        <v>1213</v>
      </c>
      <c r="F517" s="31" t="s">
        <v>774</v>
      </c>
      <c r="G517" s="31" t="s">
        <v>785</v>
      </c>
    </row>
    <row r="518" spans="1:7">
      <c r="A518" s="31" t="s">
        <v>1416</v>
      </c>
      <c r="B518" s="35" t="s">
        <v>1411</v>
      </c>
      <c r="C518" s="35" t="s">
        <v>1412</v>
      </c>
      <c r="D518" s="31" t="s">
        <v>780</v>
      </c>
      <c r="E518" s="31" t="s">
        <v>1213</v>
      </c>
      <c r="F518" s="31" t="s">
        <v>774</v>
      </c>
      <c r="G518" s="31" t="s">
        <v>785</v>
      </c>
    </row>
    <row r="519" spans="1:7">
      <c r="A519" s="31" t="s">
        <v>1417</v>
      </c>
      <c r="B519" s="35" t="s">
        <v>1411</v>
      </c>
      <c r="C519" s="35" t="s">
        <v>1412</v>
      </c>
      <c r="D519" s="31" t="s">
        <v>780</v>
      </c>
      <c r="E519" s="31" t="s">
        <v>1213</v>
      </c>
      <c r="F519" s="31" t="s">
        <v>774</v>
      </c>
      <c r="G519" s="31" t="s">
        <v>785</v>
      </c>
    </row>
    <row r="520" spans="1:7">
      <c r="A520" s="31" t="s">
        <v>1418</v>
      </c>
      <c r="B520" s="35" t="s">
        <v>1411</v>
      </c>
      <c r="C520" s="35" t="s">
        <v>1412</v>
      </c>
      <c r="D520" s="31" t="s">
        <v>780</v>
      </c>
      <c r="E520" s="31" t="s">
        <v>1213</v>
      </c>
      <c r="F520" s="31" t="s">
        <v>774</v>
      </c>
      <c r="G520" s="31" t="s">
        <v>785</v>
      </c>
    </row>
    <row r="521" spans="1:7">
      <c r="A521" s="31" t="s">
        <v>1419</v>
      </c>
      <c r="B521" s="35" t="s">
        <v>1411</v>
      </c>
      <c r="C521" s="35" t="s">
        <v>1412</v>
      </c>
      <c r="D521" s="31" t="s">
        <v>780</v>
      </c>
      <c r="E521" s="31" t="s">
        <v>1213</v>
      </c>
      <c r="F521" s="31" t="s">
        <v>774</v>
      </c>
      <c r="G521" s="31" t="s">
        <v>785</v>
      </c>
    </row>
    <row r="522" spans="1:7">
      <c r="A522" s="31" t="s">
        <v>1420</v>
      </c>
      <c r="B522" s="35" t="s">
        <v>1421</v>
      </c>
      <c r="C522" s="35" t="s">
        <v>1412</v>
      </c>
      <c r="D522" s="31" t="s">
        <v>780</v>
      </c>
      <c r="E522" s="31" t="s">
        <v>1213</v>
      </c>
      <c r="F522" s="31" t="s">
        <v>774</v>
      </c>
      <c r="G522" s="31" t="s">
        <v>785</v>
      </c>
    </row>
    <row r="523" spans="1:7">
      <c r="A523" s="31" t="s">
        <v>1422</v>
      </c>
      <c r="B523" s="35" t="s">
        <v>1423</v>
      </c>
      <c r="C523" s="35" t="s">
        <v>1412</v>
      </c>
      <c r="D523" s="31" t="s">
        <v>780</v>
      </c>
      <c r="E523" s="31" t="s">
        <v>1213</v>
      </c>
      <c r="F523" s="31" t="s">
        <v>774</v>
      </c>
      <c r="G523" s="31" t="s">
        <v>785</v>
      </c>
    </row>
    <row r="524" spans="1:7">
      <c r="A524" s="31" t="s">
        <v>1424</v>
      </c>
      <c r="B524" s="35" t="s">
        <v>1423</v>
      </c>
      <c r="C524" s="35" t="s">
        <v>1412</v>
      </c>
      <c r="D524" s="31" t="s">
        <v>780</v>
      </c>
      <c r="E524" s="31" t="s">
        <v>1213</v>
      </c>
      <c r="F524" s="31" t="s">
        <v>774</v>
      </c>
      <c r="G524" s="31" t="s">
        <v>785</v>
      </c>
    </row>
    <row r="525" spans="1:7">
      <c r="A525" s="31" t="s">
        <v>1425</v>
      </c>
      <c r="B525" s="35" t="s">
        <v>1423</v>
      </c>
      <c r="C525" s="35" t="s">
        <v>1412</v>
      </c>
      <c r="D525" s="31" t="s">
        <v>780</v>
      </c>
      <c r="E525" s="31" t="s">
        <v>1213</v>
      </c>
      <c r="F525" s="31" t="s">
        <v>774</v>
      </c>
      <c r="G525" s="31" t="s">
        <v>785</v>
      </c>
    </row>
    <row r="526" spans="1:7">
      <c r="A526" s="31" t="s">
        <v>1426</v>
      </c>
      <c r="B526" s="35" t="s">
        <v>1423</v>
      </c>
      <c r="C526" s="35" t="s">
        <v>1412</v>
      </c>
      <c r="D526" s="31" t="s">
        <v>780</v>
      </c>
      <c r="E526" s="31" t="s">
        <v>1213</v>
      </c>
      <c r="F526" s="31" t="s">
        <v>774</v>
      </c>
      <c r="G526" s="31" t="s">
        <v>785</v>
      </c>
    </row>
    <row r="527" spans="1:7">
      <c r="A527" s="31" t="s">
        <v>1427</v>
      </c>
      <c r="B527" s="35" t="s">
        <v>1423</v>
      </c>
      <c r="C527" s="35" t="s">
        <v>1412</v>
      </c>
      <c r="D527" s="31" t="s">
        <v>780</v>
      </c>
      <c r="E527" s="31" t="s">
        <v>1213</v>
      </c>
      <c r="F527" s="31" t="s">
        <v>774</v>
      </c>
      <c r="G527" s="31" t="s">
        <v>785</v>
      </c>
    </row>
    <row r="528" spans="1:7">
      <c r="A528" s="31" t="s">
        <v>1428</v>
      </c>
      <c r="B528" s="35" t="s">
        <v>1423</v>
      </c>
      <c r="C528" s="35" t="s">
        <v>1412</v>
      </c>
      <c r="D528" s="31" t="s">
        <v>780</v>
      </c>
      <c r="E528" s="31" t="s">
        <v>1213</v>
      </c>
      <c r="F528" s="31" t="s">
        <v>774</v>
      </c>
      <c r="G528" s="31" t="s">
        <v>785</v>
      </c>
    </row>
    <row r="529" spans="1:7">
      <c r="A529" s="31" t="s">
        <v>1429</v>
      </c>
      <c r="B529" s="35" t="s">
        <v>1423</v>
      </c>
      <c r="C529" s="35" t="s">
        <v>1412</v>
      </c>
      <c r="D529" s="31" t="s">
        <v>780</v>
      </c>
      <c r="E529" s="31" t="s">
        <v>1213</v>
      </c>
      <c r="F529" s="31" t="s">
        <v>774</v>
      </c>
      <c r="G529" s="31" t="s">
        <v>785</v>
      </c>
    </row>
    <row r="530" spans="1:7">
      <c r="A530" s="31" t="s">
        <v>1430</v>
      </c>
      <c r="B530" s="35" t="s">
        <v>1423</v>
      </c>
      <c r="C530" s="35" t="s">
        <v>1412</v>
      </c>
      <c r="D530" s="31" t="s">
        <v>780</v>
      </c>
      <c r="E530" s="31" t="s">
        <v>1213</v>
      </c>
      <c r="F530" s="31" t="s">
        <v>774</v>
      </c>
      <c r="G530" s="31" t="s">
        <v>785</v>
      </c>
    </row>
    <row r="531" spans="1:7">
      <c r="A531" s="31" t="s">
        <v>1431</v>
      </c>
      <c r="B531" s="35" t="s">
        <v>1423</v>
      </c>
      <c r="C531" s="35" t="s">
        <v>1412</v>
      </c>
      <c r="D531" s="31" t="s">
        <v>780</v>
      </c>
      <c r="E531" s="31" t="s">
        <v>1213</v>
      </c>
      <c r="F531" s="31" t="s">
        <v>774</v>
      </c>
      <c r="G531" s="31" t="s">
        <v>785</v>
      </c>
    </row>
    <row r="532" spans="1:7">
      <c r="A532" s="31" t="s">
        <v>1432</v>
      </c>
      <c r="B532" s="35" t="s">
        <v>1423</v>
      </c>
      <c r="C532" s="35" t="s">
        <v>1412</v>
      </c>
      <c r="D532" s="31" t="s">
        <v>780</v>
      </c>
      <c r="E532" s="31" t="s">
        <v>1213</v>
      </c>
      <c r="F532" s="31" t="s">
        <v>774</v>
      </c>
      <c r="G532" s="31" t="s">
        <v>785</v>
      </c>
    </row>
    <row r="533" spans="1:7">
      <c r="A533" s="31" t="s">
        <v>1433</v>
      </c>
      <c r="B533" s="35" t="s">
        <v>1423</v>
      </c>
      <c r="C533" s="35" t="s">
        <v>1412</v>
      </c>
      <c r="D533" s="31" t="s">
        <v>780</v>
      </c>
      <c r="E533" s="31" t="s">
        <v>1213</v>
      </c>
      <c r="F533" s="31" t="s">
        <v>774</v>
      </c>
      <c r="G533" s="31" t="s">
        <v>785</v>
      </c>
    </row>
    <row r="534" spans="1:7">
      <c r="A534" s="31" t="s">
        <v>1434</v>
      </c>
      <c r="B534" s="35" t="s">
        <v>1423</v>
      </c>
      <c r="C534" s="35" t="s">
        <v>1412</v>
      </c>
      <c r="D534" s="31" t="s">
        <v>780</v>
      </c>
      <c r="E534" s="31" t="s">
        <v>1213</v>
      </c>
      <c r="F534" s="31" t="s">
        <v>774</v>
      </c>
      <c r="G534" s="31" t="s">
        <v>785</v>
      </c>
    </row>
    <row r="535" spans="1:7">
      <c r="A535" s="31" t="s">
        <v>1435</v>
      </c>
      <c r="B535" s="35" t="s">
        <v>1423</v>
      </c>
      <c r="C535" s="35" t="s">
        <v>1412</v>
      </c>
      <c r="D535" s="31" t="s">
        <v>780</v>
      </c>
      <c r="E535" s="31" t="s">
        <v>1213</v>
      </c>
      <c r="F535" s="31" t="s">
        <v>774</v>
      </c>
      <c r="G535" s="31" t="s">
        <v>785</v>
      </c>
    </row>
    <row r="536" spans="1:7">
      <c r="A536" s="31" t="s">
        <v>1436</v>
      </c>
      <c r="B536" s="35" t="s">
        <v>1423</v>
      </c>
      <c r="C536" s="35" t="s">
        <v>1412</v>
      </c>
      <c r="D536" s="31" t="s">
        <v>780</v>
      </c>
      <c r="E536" s="31" t="s">
        <v>1213</v>
      </c>
      <c r="F536" s="31" t="s">
        <v>774</v>
      </c>
      <c r="G536" s="31" t="s">
        <v>785</v>
      </c>
    </row>
    <row r="537" spans="1:7">
      <c r="A537" s="31" t="s">
        <v>1437</v>
      </c>
      <c r="B537" s="35" t="s">
        <v>1423</v>
      </c>
      <c r="C537" s="35" t="s">
        <v>1412</v>
      </c>
      <c r="D537" s="31" t="s">
        <v>780</v>
      </c>
      <c r="E537" s="31" t="s">
        <v>1213</v>
      </c>
      <c r="F537" s="31" t="s">
        <v>774</v>
      </c>
      <c r="G537" s="31" t="s">
        <v>785</v>
      </c>
    </row>
    <row r="538" spans="1:7">
      <c r="A538" s="31" t="s">
        <v>1438</v>
      </c>
      <c r="B538" s="35" t="s">
        <v>1439</v>
      </c>
      <c r="C538" s="35" t="s">
        <v>1412</v>
      </c>
      <c r="D538" s="31" t="s">
        <v>780</v>
      </c>
      <c r="E538" s="31" t="s">
        <v>1213</v>
      </c>
      <c r="F538" s="31" t="s">
        <v>774</v>
      </c>
      <c r="G538" s="31" t="s">
        <v>785</v>
      </c>
    </row>
    <row r="539" spans="1:7">
      <c r="A539" s="31" t="s">
        <v>1440</v>
      </c>
      <c r="B539" s="35" t="s">
        <v>1439</v>
      </c>
      <c r="C539" s="35" t="s">
        <v>1412</v>
      </c>
      <c r="D539" s="31" t="s">
        <v>780</v>
      </c>
      <c r="E539" s="31" t="s">
        <v>1213</v>
      </c>
      <c r="F539" s="31" t="s">
        <v>774</v>
      </c>
      <c r="G539" s="31" t="s">
        <v>785</v>
      </c>
    </row>
    <row r="540" spans="1:7">
      <c r="A540" s="31" t="s">
        <v>1441</v>
      </c>
      <c r="B540" s="35" t="s">
        <v>1439</v>
      </c>
      <c r="C540" s="35" t="s">
        <v>1412</v>
      </c>
      <c r="D540" s="31" t="s">
        <v>780</v>
      </c>
      <c r="E540" s="31" t="s">
        <v>1213</v>
      </c>
      <c r="F540" s="31" t="s">
        <v>774</v>
      </c>
      <c r="G540" s="31" t="s">
        <v>785</v>
      </c>
    </row>
    <row r="541" spans="1:7">
      <c r="A541" s="31" t="s">
        <v>1442</v>
      </c>
      <c r="B541" s="35" t="s">
        <v>1443</v>
      </c>
      <c r="C541" s="35" t="s">
        <v>1412</v>
      </c>
      <c r="D541" s="31" t="s">
        <v>780</v>
      </c>
      <c r="E541" s="31" t="s">
        <v>1213</v>
      </c>
      <c r="F541" s="31" t="s">
        <v>774</v>
      </c>
      <c r="G541" s="31" t="s">
        <v>785</v>
      </c>
    </row>
    <row r="542" spans="1:7">
      <c r="A542" s="31" t="s">
        <v>1444</v>
      </c>
      <c r="B542" s="35" t="s">
        <v>1443</v>
      </c>
      <c r="C542" s="35" t="s">
        <v>1412</v>
      </c>
      <c r="D542" s="31" t="s">
        <v>780</v>
      </c>
      <c r="E542" s="31" t="s">
        <v>1213</v>
      </c>
      <c r="F542" s="31" t="s">
        <v>774</v>
      </c>
      <c r="G542" s="31" t="s">
        <v>785</v>
      </c>
    </row>
    <row r="543" spans="1:7">
      <c r="A543" s="31" t="s">
        <v>1445</v>
      </c>
      <c r="B543" s="35" t="s">
        <v>1443</v>
      </c>
      <c r="C543" s="35" t="s">
        <v>1412</v>
      </c>
      <c r="D543" s="31" t="s">
        <v>780</v>
      </c>
      <c r="E543" s="31" t="s">
        <v>1213</v>
      </c>
      <c r="F543" s="31" t="s">
        <v>774</v>
      </c>
      <c r="G543" s="31" t="s">
        <v>785</v>
      </c>
    </row>
    <row r="544" spans="1:7">
      <c r="A544" s="31" t="s">
        <v>1446</v>
      </c>
      <c r="B544" s="35" t="s">
        <v>1443</v>
      </c>
      <c r="C544" s="35" t="s">
        <v>1412</v>
      </c>
      <c r="D544" s="31" t="s">
        <v>780</v>
      </c>
      <c r="E544" s="31" t="s">
        <v>1213</v>
      </c>
      <c r="F544" s="31" t="s">
        <v>774</v>
      </c>
      <c r="G544" s="31" t="s">
        <v>785</v>
      </c>
    </row>
    <row r="545" spans="1:7">
      <c r="A545" s="31" t="s">
        <v>1447</v>
      </c>
      <c r="B545" s="35" t="s">
        <v>1448</v>
      </c>
      <c r="C545" s="35" t="s">
        <v>1412</v>
      </c>
      <c r="D545" s="31" t="s">
        <v>780</v>
      </c>
      <c r="E545" s="31" t="s">
        <v>1213</v>
      </c>
      <c r="F545" s="31" t="s">
        <v>774</v>
      </c>
      <c r="G545" s="31" t="s">
        <v>785</v>
      </c>
    </row>
    <row r="546" spans="1:7">
      <c r="A546" s="31" t="s">
        <v>1449</v>
      </c>
      <c r="B546" s="35" t="s">
        <v>1448</v>
      </c>
      <c r="C546" s="35" t="s">
        <v>1412</v>
      </c>
      <c r="D546" s="31" t="s">
        <v>780</v>
      </c>
      <c r="E546" s="31" t="s">
        <v>1213</v>
      </c>
      <c r="F546" s="31" t="s">
        <v>774</v>
      </c>
      <c r="G546" s="31" t="s">
        <v>785</v>
      </c>
    </row>
    <row r="547" spans="1:7">
      <c r="A547" s="31" t="s">
        <v>1450</v>
      </c>
      <c r="B547" s="35" t="s">
        <v>1448</v>
      </c>
      <c r="C547" s="35" t="s">
        <v>1412</v>
      </c>
      <c r="D547" s="31" t="s">
        <v>780</v>
      </c>
      <c r="E547" s="31" t="s">
        <v>1213</v>
      </c>
      <c r="F547" s="31" t="s">
        <v>774</v>
      </c>
      <c r="G547" s="31" t="s">
        <v>785</v>
      </c>
    </row>
    <row r="548" spans="1:7">
      <c r="A548" s="31" t="s">
        <v>1451</v>
      </c>
      <c r="B548" s="35" t="s">
        <v>1448</v>
      </c>
      <c r="C548" s="35" t="s">
        <v>1412</v>
      </c>
      <c r="D548" s="31" t="s">
        <v>780</v>
      </c>
      <c r="E548" s="31" t="s">
        <v>1213</v>
      </c>
      <c r="F548" s="31" t="s">
        <v>774</v>
      </c>
      <c r="G548" s="31" t="s">
        <v>785</v>
      </c>
    </row>
    <row r="549" spans="1:7">
      <c r="A549" s="31" t="s">
        <v>1452</v>
      </c>
      <c r="B549" s="35" t="s">
        <v>1448</v>
      </c>
      <c r="C549" s="35" t="s">
        <v>1412</v>
      </c>
      <c r="D549" s="31" t="s">
        <v>780</v>
      </c>
      <c r="E549" s="31" t="s">
        <v>1213</v>
      </c>
      <c r="F549" s="31" t="s">
        <v>774</v>
      </c>
      <c r="G549" s="31" t="s">
        <v>785</v>
      </c>
    </row>
    <row r="550" spans="1:7">
      <c r="A550" s="31" t="s">
        <v>1453</v>
      </c>
      <c r="B550" s="35" t="s">
        <v>1448</v>
      </c>
      <c r="C550" s="35" t="s">
        <v>1412</v>
      </c>
      <c r="D550" s="31" t="s">
        <v>780</v>
      </c>
      <c r="E550" s="31" t="s">
        <v>1213</v>
      </c>
      <c r="F550" s="31" t="s">
        <v>774</v>
      </c>
      <c r="G550" s="31" t="s">
        <v>785</v>
      </c>
    </row>
    <row r="551" spans="1:7">
      <c r="A551" s="31" t="s">
        <v>1454</v>
      </c>
      <c r="B551" s="35" t="s">
        <v>1448</v>
      </c>
      <c r="C551" s="35" t="s">
        <v>1412</v>
      </c>
      <c r="D551" s="31" t="s">
        <v>780</v>
      </c>
      <c r="E551" s="31" t="s">
        <v>1213</v>
      </c>
      <c r="F551" s="31" t="s">
        <v>774</v>
      </c>
      <c r="G551" s="31" t="s">
        <v>785</v>
      </c>
    </row>
    <row r="552" spans="1:7">
      <c r="A552" s="31" t="s">
        <v>1455</v>
      </c>
      <c r="B552" s="35" t="s">
        <v>1448</v>
      </c>
      <c r="C552" s="35" t="s">
        <v>1412</v>
      </c>
      <c r="D552" s="31" t="s">
        <v>780</v>
      </c>
      <c r="E552" s="31" t="s">
        <v>1213</v>
      </c>
      <c r="F552" s="31" t="s">
        <v>774</v>
      </c>
      <c r="G552" s="31" t="s">
        <v>785</v>
      </c>
    </row>
    <row r="553" spans="1:7">
      <c r="A553" s="31" t="s">
        <v>1456</v>
      </c>
      <c r="B553" s="35" t="s">
        <v>1448</v>
      </c>
      <c r="C553" s="35" t="s">
        <v>1412</v>
      </c>
      <c r="D553" s="31" t="s">
        <v>780</v>
      </c>
      <c r="E553" s="31" t="s">
        <v>1213</v>
      </c>
      <c r="F553" s="31" t="s">
        <v>774</v>
      </c>
      <c r="G553" s="31" t="s">
        <v>785</v>
      </c>
    </row>
    <row r="554" spans="1:7">
      <c r="A554" s="31" t="s">
        <v>1457</v>
      </c>
      <c r="B554" s="35" t="s">
        <v>1448</v>
      </c>
      <c r="C554" s="35" t="s">
        <v>1412</v>
      </c>
      <c r="D554" s="31" t="s">
        <v>780</v>
      </c>
      <c r="E554" s="31" t="s">
        <v>1213</v>
      </c>
      <c r="F554" s="31" t="s">
        <v>774</v>
      </c>
      <c r="G554" s="31" t="s">
        <v>785</v>
      </c>
    </row>
    <row r="555" spans="1:7">
      <c r="A555" s="31" t="s">
        <v>1458</v>
      </c>
      <c r="B555" s="35" t="s">
        <v>1459</v>
      </c>
      <c r="C555" s="35" t="s">
        <v>1412</v>
      </c>
      <c r="D555" s="31" t="s">
        <v>780</v>
      </c>
      <c r="E555" s="31" t="s">
        <v>1213</v>
      </c>
      <c r="F555" s="31" t="s">
        <v>774</v>
      </c>
      <c r="G555" s="31" t="s">
        <v>785</v>
      </c>
    </row>
    <row r="556" spans="1:7">
      <c r="A556" s="31" t="s">
        <v>1460</v>
      </c>
      <c r="B556" s="35" t="s">
        <v>1461</v>
      </c>
      <c r="C556" s="35" t="s">
        <v>1412</v>
      </c>
      <c r="D556" s="31" t="s">
        <v>780</v>
      </c>
      <c r="E556" s="31" t="s">
        <v>1213</v>
      </c>
      <c r="F556" s="31" t="s">
        <v>774</v>
      </c>
      <c r="G556" s="31" t="s">
        <v>785</v>
      </c>
    </row>
    <row r="557" spans="1:7">
      <c r="A557" s="31" t="s">
        <v>1462</v>
      </c>
      <c r="B557" s="35" t="s">
        <v>1461</v>
      </c>
      <c r="C557" s="35" t="s">
        <v>1412</v>
      </c>
      <c r="D557" s="31" t="s">
        <v>780</v>
      </c>
      <c r="E557" s="31" t="s">
        <v>1213</v>
      </c>
      <c r="F557" s="31" t="s">
        <v>774</v>
      </c>
      <c r="G557" s="31" t="s">
        <v>785</v>
      </c>
    </row>
    <row r="558" spans="1:7">
      <c r="A558" s="31" t="s">
        <v>1463</v>
      </c>
      <c r="B558" s="31" t="s">
        <v>1464</v>
      </c>
      <c r="C558" s="31" t="s">
        <v>1465</v>
      </c>
      <c r="D558" s="31" t="s">
        <v>780</v>
      </c>
      <c r="E558" s="31" t="s">
        <v>1213</v>
      </c>
      <c r="F558" s="31" t="s">
        <v>774</v>
      </c>
      <c r="G558" s="31" t="s">
        <v>785</v>
      </c>
    </row>
    <row r="559" spans="1:7">
      <c r="A559" s="31" t="s">
        <v>1466</v>
      </c>
      <c r="B559" s="31" t="s">
        <v>1464</v>
      </c>
      <c r="C559" s="31" t="s">
        <v>1465</v>
      </c>
      <c r="D559" s="31" t="s">
        <v>780</v>
      </c>
      <c r="E559" s="31" t="s">
        <v>1213</v>
      </c>
      <c r="F559" s="31" t="s">
        <v>774</v>
      </c>
      <c r="G559" s="31" t="s">
        <v>785</v>
      </c>
    </row>
    <row r="560" spans="1:7">
      <c r="A560" s="31" t="s">
        <v>1467</v>
      </c>
      <c r="B560" s="31" t="s">
        <v>1464</v>
      </c>
      <c r="C560" s="31" t="s">
        <v>1465</v>
      </c>
      <c r="D560" s="31" t="s">
        <v>780</v>
      </c>
      <c r="E560" s="31" t="s">
        <v>1213</v>
      </c>
      <c r="F560" s="31" t="s">
        <v>774</v>
      </c>
      <c r="G560" s="31" t="s">
        <v>785</v>
      </c>
    </row>
    <row r="561" spans="1:7">
      <c r="A561" s="31" t="s">
        <v>1468</v>
      </c>
      <c r="B561" s="31" t="s">
        <v>1469</v>
      </c>
      <c r="C561" s="35" t="s">
        <v>1465</v>
      </c>
      <c r="D561" s="31" t="s">
        <v>780</v>
      </c>
      <c r="E561" s="31" t="s">
        <v>1213</v>
      </c>
      <c r="F561" s="31" t="s">
        <v>774</v>
      </c>
      <c r="G561" s="31" t="s">
        <v>785</v>
      </c>
    </row>
    <row r="562" spans="1:7">
      <c r="A562" s="31" t="s">
        <v>1470</v>
      </c>
      <c r="B562" s="31" t="s">
        <v>1469</v>
      </c>
      <c r="C562" s="35" t="s">
        <v>1465</v>
      </c>
      <c r="D562" s="31" t="s">
        <v>780</v>
      </c>
      <c r="E562" s="31" t="s">
        <v>1213</v>
      </c>
      <c r="F562" s="31" t="s">
        <v>774</v>
      </c>
      <c r="G562" s="31" t="s">
        <v>785</v>
      </c>
    </row>
    <row r="563" spans="1:7">
      <c r="A563" s="31" t="s">
        <v>1471</v>
      </c>
      <c r="B563" s="31" t="s">
        <v>1469</v>
      </c>
      <c r="C563" s="35" t="s">
        <v>1465</v>
      </c>
      <c r="D563" s="31" t="s">
        <v>780</v>
      </c>
      <c r="E563" s="31" t="s">
        <v>1213</v>
      </c>
      <c r="F563" s="31" t="s">
        <v>774</v>
      </c>
      <c r="G563" s="31" t="s">
        <v>785</v>
      </c>
    </row>
    <row r="564" spans="1:7">
      <c r="A564" s="31" t="s">
        <v>1472</v>
      </c>
      <c r="B564" s="31" t="s">
        <v>1469</v>
      </c>
      <c r="C564" s="35" t="s">
        <v>1465</v>
      </c>
      <c r="D564" s="31" t="s">
        <v>780</v>
      </c>
      <c r="E564" s="31" t="s">
        <v>1213</v>
      </c>
      <c r="F564" s="31" t="s">
        <v>774</v>
      </c>
      <c r="G564" s="31" t="s">
        <v>785</v>
      </c>
    </row>
    <row r="565" spans="1:7">
      <c r="A565" s="31" t="s">
        <v>1473</v>
      </c>
      <c r="B565" s="31" t="s">
        <v>1469</v>
      </c>
      <c r="C565" s="35" t="s">
        <v>1465</v>
      </c>
      <c r="D565" s="31" t="s">
        <v>780</v>
      </c>
      <c r="E565" s="31" t="s">
        <v>1213</v>
      </c>
      <c r="F565" s="31" t="s">
        <v>774</v>
      </c>
      <c r="G565" s="31" t="s">
        <v>785</v>
      </c>
    </row>
    <row r="566" spans="1:7">
      <c r="A566" s="31" t="s">
        <v>1474</v>
      </c>
      <c r="B566" s="31" t="s">
        <v>1469</v>
      </c>
      <c r="C566" s="35" t="s">
        <v>1465</v>
      </c>
      <c r="D566" s="31" t="s">
        <v>780</v>
      </c>
      <c r="E566" s="31" t="s">
        <v>1213</v>
      </c>
      <c r="F566" s="31" t="s">
        <v>774</v>
      </c>
      <c r="G566" s="31" t="s">
        <v>785</v>
      </c>
    </row>
    <row r="567" spans="1:7">
      <c r="A567" s="31" t="s">
        <v>1475</v>
      </c>
      <c r="B567" s="31" t="s">
        <v>1469</v>
      </c>
      <c r="C567" s="35" t="s">
        <v>1465</v>
      </c>
      <c r="D567" s="31" t="s">
        <v>780</v>
      </c>
      <c r="E567" s="31" t="s">
        <v>1213</v>
      </c>
      <c r="F567" s="31" t="s">
        <v>774</v>
      </c>
      <c r="G567" s="31" t="s">
        <v>785</v>
      </c>
    </row>
    <row r="568" spans="1:7">
      <c r="A568" s="31" t="s">
        <v>1476</v>
      </c>
      <c r="B568" s="31" t="s">
        <v>1469</v>
      </c>
      <c r="C568" s="35" t="s">
        <v>1465</v>
      </c>
      <c r="D568" s="31" t="s">
        <v>780</v>
      </c>
      <c r="E568" s="31" t="s">
        <v>1213</v>
      </c>
      <c r="F568" s="31" t="s">
        <v>774</v>
      </c>
      <c r="G568" s="31" t="s">
        <v>785</v>
      </c>
    </row>
    <row r="569" spans="1:7">
      <c r="A569" s="31" t="s">
        <v>1477</v>
      </c>
      <c r="B569" s="31" t="s">
        <v>1478</v>
      </c>
      <c r="C569" s="31" t="s">
        <v>1465</v>
      </c>
      <c r="D569" s="31" t="s">
        <v>780</v>
      </c>
      <c r="E569" s="31" t="s">
        <v>1213</v>
      </c>
      <c r="F569" s="31" t="s">
        <v>774</v>
      </c>
      <c r="G569" s="31" t="s">
        <v>785</v>
      </c>
    </row>
    <row r="570" spans="1:7">
      <c r="A570" s="37" t="s">
        <v>1479</v>
      </c>
      <c r="B570" s="37" t="s">
        <v>1231</v>
      </c>
      <c r="C570" s="37" t="s">
        <v>1231</v>
      </c>
      <c r="D570" s="37" t="s">
        <v>780</v>
      </c>
      <c r="E570" s="37" t="s">
        <v>1213</v>
      </c>
      <c r="F570" s="37" t="s">
        <v>774</v>
      </c>
      <c r="G570" s="37" t="s">
        <v>785</v>
      </c>
    </row>
    <row r="571" spans="1:7">
      <c r="A571" s="37" t="s">
        <v>1480</v>
      </c>
      <c r="B571" s="37" t="s">
        <v>1231</v>
      </c>
      <c r="C571" s="37" t="s">
        <v>1231</v>
      </c>
      <c r="D571" s="37" t="s">
        <v>780</v>
      </c>
      <c r="E571" s="37" t="s">
        <v>1213</v>
      </c>
      <c r="F571" s="37" t="s">
        <v>774</v>
      </c>
      <c r="G571" s="37" t="s">
        <v>785</v>
      </c>
    </row>
    <row r="572" spans="1:7">
      <c r="A572" s="37" t="s">
        <v>1481</v>
      </c>
      <c r="B572" s="37" t="s">
        <v>1231</v>
      </c>
      <c r="C572" s="37" t="s">
        <v>1231</v>
      </c>
      <c r="D572" s="37" t="s">
        <v>780</v>
      </c>
      <c r="E572" s="37" t="s">
        <v>1213</v>
      </c>
      <c r="F572" s="37" t="s">
        <v>774</v>
      </c>
      <c r="G572" s="37" t="s">
        <v>785</v>
      </c>
    </row>
    <row r="573" spans="1:7">
      <c r="A573" s="37" t="s">
        <v>1482</v>
      </c>
      <c r="B573" s="37" t="s">
        <v>1231</v>
      </c>
      <c r="C573" s="37" t="s">
        <v>1231</v>
      </c>
      <c r="D573" s="37" t="s">
        <v>780</v>
      </c>
      <c r="E573" s="37" t="s">
        <v>1213</v>
      </c>
      <c r="F573" s="37" t="s">
        <v>774</v>
      </c>
      <c r="G573" s="37" t="s">
        <v>785</v>
      </c>
    </row>
    <row r="574" spans="1:7">
      <c r="A574" s="37" t="s">
        <v>1483</v>
      </c>
      <c r="B574" s="37" t="s">
        <v>1231</v>
      </c>
      <c r="C574" s="37" t="s">
        <v>1231</v>
      </c>
      <c r="D574" s="37" t="s">
        <v>780</v>
      </c>
      <c r="E574" s="37" t="s">
        <v>1213</v>
      </c>
      <c r="F574" s="37" t="s">
        <v>774</v>
      </c>
      <c r="G574" s="37" t="s">
        <v>785</v>
      </c>
    </row>
    <row r="575" spans="1:7">
      <c r="A575" s="37" t="s">
        <v>1484</v>
      </c>
      <c r="B575" s="37" t="s">
        <v>1231</v>
      </c>
      <c r="C575" s="37" t="s">
        <v>1231</v>
      </c>
      <c r="D575" s="37" t="s">
        <v>780</v>
      </c>
      <c r="E575" s="37" t="s">
        <v>1213</v>
      </c>
      <c r="F575" s="37" t="s">
        <v>774</v>
      </c>
      <c r="G575" s="37" t="s">
        <v>785</v>
      </c>
    </row>
    <row r="576" spans="1:7">
      <c r="A576" s="37" t="s">
        <v>1485</v>
      </c>
      <c r="B576" s="37" t="s">
        <v>1231</v>
      </c>
      <c r="C576" s="37" t="s">
        <v>1231</v>
      </c>
      <c r="D576" s="37" t="s">
        <v>780</v>
      </c>
      <c r="E576" s="37" t="s">
        <v>1213</v>
      </c>
      <c r="F576" s="37" t="s">
        <v>774</v>
      </c>
      <c r="G576" s="37" t="s">
        <v>785</v>
      </c>
    </row>
    <row r="577" spans="1:7">
      <c r="A577" s="37" t="s">
        <v>1486</v>
      </c>
      <c r="B577" s="37" t="s">
        <v>1231</v>
      </c>
      <c r="C577" s="37" t="s">
        <v>1231</v>
      </c>
      <c r="D577" s="37" t="s">
        <v>780</v>
      </c>
      <c r="E577" s="37" t="s">
        <v>1213</v>
      </c>
      <c r="F577" s="37" t="s">
        <v>774</v>
      </c>
      <c r="G577" s="37" t="s">
        <v>785</v>
      </c>
    </row>
    <row r="578" spans="1:7">
      <c r="A578" s="37" t="s">
        <v>1487</v>
      </c>
      <c r="B578" s="37" t="s">
        <v>1231</v>
      </c>
      <c r="C578" s="37" t="s">
        <v>1231</v>
      </c>
      <c r="D578" s="37" t="s">
        <v>780</v>
      </c>
      <c r="E578" s="37" t="s">
        <v>1213</v>
      </c>
      <c r="F578" s="37" t="s">
        <v>774</v>
      </c>
      <c r="G578" s="37" t="s">
        <v>785</v>
      </c>
    </row>
    <row r="579" spans="1:7">
      <c r="A579" s="37" t="s">
        <v>1488</v>
      </c>
      <c r="B579" s="37" t="s">
        <v>1231</v>
      </c>
      <c r="C579" s="37" t="s">
        <v>1231</v>
      </c>
      <c r="D579" s="37" t="s">
        <v>780</v>
      </c>
      <c r="E579" s="37" t="s">
        <v>1213</v>
      </c>
      <c r="F579" s="37" t="s">
        <v>774</v>
      </c>
      <c r="G579" s="37" t="s">
        <v>785</v>
      </c>
    </row>
    <row r="580" spans="1:7">
      <c r="A580" s="37" t="s">
        <v>1489</v>
      </c>
      <c r="B580" s="37" t="s">
        <v>1231</v>
      </c>
      <c r="C580" s="37" t="s">
        <v>1231</v>
      </c>
      <c r="D580" s="37" t="s">
        <v>780</v>
      </c>
      <c r="E580" s="37" t="s">
        <v>1213</v>
      </c>
      <c r="F580" s="37" t="s">
        <v>774</v>
      </c>
      <c r="G580" s="37" t="s">
        <v>785</v>
      </c>
    </row>
    <row r="581" spans="1:7">
      <c r="A581" s="37" t="s">
        <v>1490</v>
      </c>
      <c r="B581" s="37" t="s">
        <v>1231</v>
      </c>
      <c r="C581" s="37" t="s">
        <v>1231</v>
      </c>
      <c r="D581" s="37" t="s">
        <v>780</v>
      </c>
      <c r="E581" s="37" t="s">
        <v>1213</v>
      </c>
      <c r="F581" s="37" t="s">
        <v>774</v>
      </c>
      <c r="G581" s="37" t="s">
        <v>785</v>
      </c>
    </row>
    <row r="582" spans="1:7">
      <c r="A582" s="37" t="s">
        <v>1491</v>
      </c>
      <c r="B582" s="37" t="s">
        <v>1231</v>
      </c>
      <c r="C582" s="37" t="s">
        <v>1231</v>
      </c>
      <c r="D582" s="37" t="s">
        <v>780</v>
      </c>
      <c r="E582" s="37" t="s">
        <v>1213</v>
      </c>
      <c r="F582" s="37" t="s">
        <v>774</v>
      </c>
      <c r="G582" s="37" t="s">
        <v>785</v>
      </c>
    </row>
    <row r="583" spans="1:7">
      <c r="A583" s="37" t="s">
        <v>1492</v>
      </c>
      <c r="B583" s="37" t="s">
        <v>1231</v>
      </c>
      <c r="C583" s="37" t="s">
        <v>1231</v>
      </c>
      <c r="D583" s="37" t="s">
        <v>780</v>
      </c>
      <c r="E583" s="37" t="s">
        <v>1213</v>
      </c>
      <c r="F583" s="37" t="s">
        <v>774</v>
      </c>
      <c r="G583" s="37" t="s">
        <v>785</v>
      </c>
    </row>
    <row r="584" spans="1:7">
      <c r="A584" s="37" t="s">
        <v>1493</v>
      </c>
      <c r="B584" s="37" t="s">
        <v>1231</v>
      </c>
      <c r="C584" s="37" t="s">
        <v>1231</v>
      </c>
      <c r="D584" s="37" t="s">
        <v>780</v>
      </c>
      <c r="E584" s="37" t="s">
        <v>1213</v>
      </c>
      <c r="F584" s="37" t="s">
        <v>774</v>
      </c>
      <c r="G584" s="37" t="s">
        <v>785</v>
      </c>
    </row>
    <row r="585" spans="1:7">
      <c r="A585" s="37" t="s">
        <v>1494</v>
      </c>
      <c r="B585" s="38" t="s">
        <v>1294</v>
      </c>
      <c r="C585" s="38" t="s">
        <v>1241</v>
      </c>
      <c r="D585" s="37" t="s">
        <v>780</v>
      </c>
      <c r="E585" s="37" t="s">
        <v>1213</v>
      </c>
      <c r="F585" s="37" t="s">
        <v>774</v>
      </c>
      <c r="G585" s="37" t="s">
        <v>785</v>
      </c>
    </row>
    <row r="586" spans="1:7">
      <c r="A586" s="37" t="s">
        <v>1495</v>
      </c>
      <c r="B586" s="37" t="s">
        <v>1321</v>
      </c>
      <c r="C586" s="38" t="s">
        <v>1317</v>
      </c>
      <c r="D586" s="37" t="s">
        <v>780</v>
      </c>
      <c r="E586" s="37" t="s">
        <v>1213</v>
      </c>
      <c r="F586" s="37" t="s">
        <v>774</v>
      </c>
      <c r="G586" s="37" t="s">
        <v>785</v>
      </c>
    </row>
    <row r="587" spans="1:7">
      <c r="A587" s="37"/>
      <c r="B587" s="37"/>
      <c r="C587" s="38"/>
      <c r="D587" s="37"/>
      <c r="E587" s="37"/>
      <c r="F587" s="37"/>
      <c r="G587" s="37"/>
    </row>
    <row r="588" spans="1:7">
      <c r="A588" s="37"/>
      <c r="B588" s="37"/>
      <c r="C588" s="38"/>
      <c r="D588" s="37"/>
      <c r="E588" s="37"/>
      <c r="F588" s="37"/>
      <c r="G588" s="37"/>
    </row>
    <row r="589" spans="1:7">
      <c r="A589" s="37" t="s">
        <v>1496</v>
      </c>
      <c r="B589" s="37" t="s">
        <v>1497</v>
      </c>
      <c r="C589" s="37" t="s">
        <v>1497</v>
      </c>
      <c r="D589" s="37" t="s">
        <v>780</v>
      </c>
      <c r="E589" s="37" t="s">
        <v>1213</v>
      </c>
      <c r="F589" s="37" t="s">
        <v>774</v>
      </c>
      <c r="G589" s="37" t="s">
        <v>785</v>
      </c>
    </row>
    <row r="590" spans="1:7">
      <c r="A590" s="37" t="s">
        <v>1498</v>
      </c>
      <c r="B590" s="37" t="s">
        <v>1499</v>
      </c>
      <c r="C590" s="37" t="s">
        <v>1499</v>
      </c>
      <c r="D590" s="37" t="s">
        <v>780</v>
      </c>
      <c r="E590" s="37" t="s">
        <v>1213</v>
      </c>
      <c r="F590" s="37" t="s">
        <v>774</v>
      </c>
      <c r="G590" s="37" t="s">
        <v>785</v>
      </c>
    </row>
    <row r="591" spans="1:7">
      <c r="A591" s="37" t="s">
        <v>1500</v>
      </c>
      <c r="B591" s="37" t="s">
        <v>1501</v>
      </c>
      <c r="C591" s="37" t="s">
        <v>1465</v>
      </c>
      <c r="D591" s="37" t="s">
        <v>780</v>
      </c>
      <c r="E591" s="37" t="s">
        <v>1213</v>
      </c>
      <c r="F591" s="37" t="s">
        <v>774</v>
      </c>
      <c r="G591" s="37" t="s">
        <v>785</v>
      </c>
    </row>
    <row r="592" spans="1:7">
      <c r="A592" s="37" t="s">
        <v>1502</v>
      </c>
      <c r="B592" s="38" t="s">
        <v>1251</v>
      </c>
      <c r="C592" s="38" t="s">
        <v>1241</v>
      </c>
      <c r="D592" s="37" t="s">
        <v>780</v>
      </c>
      <c r="E592" s="37" t="s">
        <v>1213</v>
      </c>
      <c r="F592" s="37" t="s">
        <v>774</v>
      </c>
      <c r="G592" s="37" t="s">
        <v>785</v>
      </c>
    </row>
    <row r="593" spans="1:7">
      <c r="A593" s="37" t="s">
        <v>1503</v>
      </c>
      <c r="B593" s="37" t="s">
        <v>1389</v>
      </c>
      <c r="C593" s="38" t="s">
        <v>1317</v>
      </c>
      <c r="D593" s="37"/>
      <c r="E593" s="37"/>
      <c r="F593" s="37"/>
      <c r="G593" s="37"/>
    </row>
    <row r="594" spans="1:7">
      <c r="A594" s="31" t="s">
        <v>1504</v>
      </c>
      <c r="B594" s="31" t="s">
        <v>1478</v>
      </c>
      <c r="C594" s="31" t="s">
        <v>1465</v>
      </c>
      <c r="D594" s="31" t="s">
        <v>780</v>
      </c>
      <c r="E594" s="31" t="s">
        <v>1213</v>
      </c>
      <c r="F594" s="31" t="s">
        <v>774</v>
      </c>
      <c r="G594" s="31" t="s">
        <v>785</v>
      </c>
    </row>
    <row r="595" spans="1:7">
      <c r="A595" s="31" t="s">
        <v>1505</v>
      </c>
      <c r="B595" s="31" t="s">
        <v>1478</v>
      </c>
      <c r="C595" s="35" t="s">
        <v>1465</v>
      </c>
      <c r="D595" s="31" t="s">
        <v>780</v>
      </c>
      <c r="E595" s="31" t="s">
        <v>1213</v>
      </c>
      <c r="F595" s="31" t="s">
        <v>774</v>
      </c>
      <c r="G595" s="31" t="s">
        <v>785</v>
      </c>
    </row>
    <row r="596" spans="1:7">
      <c r="A596" s="31" t="s">
        <v>1506</v>
      </c>
      <c r="B596" s="31" t="s">
        <v>1478</v>
      </c>
      <c r="C596" s="35" t="s">
        <v>1465</v>
      </c>
      <c r="D596" s="31" t="s">
        <v>780</v>
      </c>
      <c r="E596" s="31" t="s">
        <v>1213</v>
      </c>
      <c r="F596" s="31" t="s">
        <v>774</v>
      </c>
      <c r="G596" s="31" t="s">
        <v>785</v>
      </c>
    </row>
    <row r="597" spans="1:7">
      <c r="A597" s="31" t="s">
        <v>1507</v>
      </c>
      <c r="B597" s="31" t="s">
        <v>1478</v>
      </c>
      <c r="C597" s="35" t="s">
        <v>1465</v>
      </c>
      <c r="D597" s="31" t="s">
        <v>780</v>
      </c>
      <c r="E597" s="31" t="s">
        <v>1213</v>
      </c>
      <c r="F597" s="31" t="s">
        <v>774</v>
      </c>
      <c r="G597" s="31" t="s">
        <v>785</v>
      </c>
    </row>
    <row r="598" spans="1:7">
      <c r="A598" s="31" t="s">
        <v>1508</v>
      </c>
      <c r="B598" s="35" t="s">
        <v>1509</v>
      </c>
      <c r="C598" s="35" t="s">
        <v>1465</v>
      </c>
      <c r="D598" s="31" t="s">
        <v>780</v>
      </c>
      <c r="E598" s="31" t="s">
        <v>1213</v>
      </c>
      <c r="F598" s="31" t="s">
        <v>774</v>
      </c>
      <c r="G598" s="31" t="s">
        <v>785</v>
      </c>
    </row>
    <row r="599" spans="1:7">
      <c r="A599" s="31" t="s">
        <v>1510</v>
      </c>
      <c r="B599" s="31" t="s">
        <v>1501</v>
      </c>
      <c r="C599" s="31" t="s">
        <v>1465</v>
      </c>
      <c r="D599" s="31" t="s">
        <v>780</v>
      </c>
      <c r="E599" s="31" t="s">
        <v>1213</v>
      </c>
      <c r="F599" s="31" t="s">
        <v>774</v>
      </c>
      <c r="G599" s="31" t="s">
        <v>785</v>
      </c>
    </row>
    <row r="600" spans="1:7">
      <c r="A600" s="31" t="s">
        <v>1511</v>
      </c>
      <c r="B600" s="31" t="s">
        <v>1501</v>
      </c>
      <c r="C600" s="31" t="s">
        <v>1465</v>
      </c>
      <c r="D600" s="31" t="s">
        <v>780</v>
      </c>
      <c r="E600" s="31" t="s">
        <v>1213</v>
      </c>
      <c r="F600" s="31" t="s">
        <v>774</v>
      </c>
      <c r="G600" s="31" t="s">
        <v>785</v>
      </c>
    </row>
    <row r="601" spans="1:7">
      <c r="A601" s="31" t="s">
        <v>1512</v>
      </c>
      <c r="B601" s="31" t="s">
        <v>1501</v>
      </c>
      <c r="C601" s="31" t="s">
        <v>1465</v>
      </c>
      <c r="D601" s="31" t="s">
        <v>780</v>
      </c>
      <c r="E601" s="31" t="s">
        <v>1213</v>
      </c>
      <c r="F601" s="31" t="s">
        <v>774</v>
      </c>
      <c r="G601" s="31" t="s">
        <v>785</v>
      </c>
    </row>
    <row r="602" spans="1:7">
      <c r="A602" s="31" t="s">
        <v>1513</v>
      </c>
      <c r="B602" s="31" t="s">
        <v>1501</v>
      </c>
      <c r="C602" s="31" t="s">
        <v>1465</v>
      </c>
      <c r="D602" s="31" t="s">
        <v>780</v>
      </c>
      <c r="E602" s="31" t="s">
        <v>1213</v>
      </c>
      <c r="F602" s="31" t="s">
        <v>774</v>
      </c>
      <c r="G602" s="31" t="s">
        <v>785</v>
      </c>
    </row>
    <row r="603" spans="1:7">
      <c r="A603" s="31" t="s">
        <v>1501</v>
      </c>
      <c r="B603" s="31" t="s">
        <v>1501</v>
      </c>
      <c r="C603" s="31" t="s">
        <v>1465</v>
      </c>
      <c r="D603" s="31" t="s">
        <v>780</v>
      </c>
      <c r="E603" s="31" t="s">
        <v>1213</v>
      </c>
      <c r="F603" s="31" t="s">
        <v>774</v>
      </c>
      <c r="G603" s="31" t="s">
        <v>785</v>
      </c>
    </row>
    <row r="604" spans="1:7">
      <c r="A604" s="31" t="s">
        <v>1514</v>
      </c>
      <c r="B604" s="31" t="s">
        <v>1501</v>
      </c>
      <c r="C604" s="31" t="s">
        <v>1465</v>
      </c>
      <c r="D604" s="31" t="s">
        <v>780</v>
      </c>
      <c r="E604" s="31" t="s">
        <v>1213</v>
      </c>
      <c r="F604" s="31" t="s">
        <v>774</v>
      </c>
      <c r="G604" s="31" t="s">
        <v>785</v>
      </c>
    </row>
    <row r="605" spans="1:7">
      <c r="A605" s="31" t="s">
        <v>1515</v>
      </c>
      <c r="B605" s="31" t="s">
        <v>1321</v>
      </c>
      <c r="C605" s="35" t="s">
        <v>1317</v>
      </c>
      <c r="D605" s="31" t="s">
        <v>780</v>
      </c>
      <c r="E605" s="31" t="s">
        <v>1213</v>
      </c>
      <c r="F605" s="31" t="s">
        <v>774</v>
      </c>
      <c r="G605" s="31" t="s">
        <v>785</v>
      </c>
    </row>
    <row r="606" spans="1:7">
      <c r="A606" s="31" t="s">
        <v>1516</v>
      </c>
      <c r="B606" s="31" t="s">
        <v>1517</v>
      </c>
      <c r="C606" s="31" t="s">
        <v>1465</v>
      </c>
      <c r="D606" s="31" t="s">
        <v>780</v>
      </c>
      <c r="E606" s="31" t="s">
        <v>1213</v>
      </c>
      <c r="F606" s="31" t="s">
        <v>774</v>
      </c>
      <c r="G606" s="31" t="s">
        <v>785</v>
      </c>
    </row>
    <row r="607" spans="1:7">
      <c r="A607" s="31" t="s">
        <v>1518</v>
      </c>
      <c r="B607" s="31" t="s">
        <v>1517</v>
      </c>
      <c r="C607" s="31" t="s">
        <v>1465</v>
      </c>
      <c r="D607" s="31" t="s">
        <v>780</v>
      </c>
      <c r="E607" s="31" t="s">
        <v>1213</v>
      </c>
      <c r="F607" s="31" t="s">
        <v>774</v>
      </c>
      <c r="G607" s="31" t="s">
        <v>785</v>
      </c>
    </row>
    <row r="608" spans="1:7">
      <c r="A608" s="31" t="s">
        <v>1519</v>
      </c>
      <c r="B608" s="31" t="s">
        <v>1517</v>
      </c>
      <c r="C608" s="31" t="s">
        <v>1465</v>
      </c>
      <c r="D608" s="31" t="s">
        <v>780</v>
      </c>
      <c r="E608" s="31" t="s">
        <v>1213</v>
      </c>
      <c r="F608" s="31" t="s">
        <v>774</v>
      </c>
      <c r="G608" s="31" t="s">
        <v>785</v>
      </c>
    </row>
    <row r="609" spans="1:7">
      <c r="A609" s="31" t="s">
        <v>1520</v>
      </c>
      <c r="B609" s="35" t="s">
        <v>1521</v>
      </c>
      <c r="C609" s="35" t="s">
        <v>1465</v>
      </c>
      <c r="D609" s="31" t="s">
        <v>780</v>
      </c>
      <c r="E609" s="31" t="s">
        <v>1213</v>
      </c>
      <c r="F609" s="31" t="s">
        <v>774</v>
      </c>
      <c r="G609" s="31" t="s">
        <v>785</v>
      </c>
    </row>
    <row r="610" spans="1:7">
      <c r="A610" s="31" t="s">
        <v>1522</v>
      </c>
      <c r="B610" s="35" t="s">
        <v>1523</v>
      </c>
      <c r="C610" s="35" t="s">
        <v>1465</v>
      </c>
      <c r="D610" s="31" t="s">
        <v>780</v>
      </c>
      <c r="E610" s="31" t="s">
        <v>1213</v>
      </c>
      <c r="F610" s="31" t="s">
        <v>774</v>
      </c>
      <c r="G610" s="31" t="s">
        <v>785</v>
      </c>
    </row>
    <row r="611" spans="1:7">
      <c r="A611" s="31" t="s">
        <v>1524</v>
      </c>
      <c r="B611" s="35" t="s">
        <v>1523</v>
      </c>
      <c r="C611" s="35" t="s">
        <v>1465</v>
      </c>
      <c r="D611" s="31" t="s">
        <v>780</v>
      </c>
      <c r="E611" s="31" t="s">
        <v>1213</v>
      </c>
      <c r="F611" s="31" t="s">
        <v>774</v>
      </c>
      <c r="G611" s="31" t="s">
        <v>785</v>
      </c>
    </row>
    <row r="612" spans="1:7">
      <c r="A612" s="31" t="s">
        <v>1525</v>
      </c>
      <c r="B612" s="35" t="s">
        <v>1523</v>
      </c>
      <c r="C612" s="35" t="s">
        <v>1465</v>
      </c>
      <c r="D612" s="31" t="s">
        <v>780</v>
      </c>
      <c r="E612" s="31" t="s">
        <v>1213</v>
      </c>
      <c r="F612" s="31" t="s">
        <v>774</v>
      </c>
      <c r="G612" s="31" t="s">
        <v>785</v>
      </c>
    </row>
    <row r="613" spans="1:7">
      <c r="A613" s="31" t="s">
        <v>1526</v>
      </c>
      <c r="B613" s="35" t="s">
        <v>1523</v>
      </c>
      <c r="C613" s="35" t="s">
        <v>1465</v>
      </c>
      <c r="D613" s="31" t="s">
        <v>780</v>
      </c>
      <c r="E613" s="31" t="s">
        <v>1213</v>
      </c>
      <c r="F613" s="31" t="s">
        <v>774</v>
      </c>
      <c r="G613" s="31" t="s">
        <v>785</v>
      </c>
    </row>
    <row r="614" spans="1:7">
      <c r="A614" s="31" t="s">
        <v>1527</v>
      </c>
      <c r="B614" s="35" t="s">
        <v>1523</v>
      </c>
      <c r="C614" s="35" t="s">
        <v>1465</v>
      </c>
      <c r="D614" s="31" t="s">
        <v>780</v>
      </c>
      <c r="E614" s="31" t="s">
        <v>1213</v>
      </c>
      <c r="F614" s="31" t="s">
        <v>774</v>
      </c>
      <c r="G614" s="31" t="s">
        <v>785</v>
      </c>
    </row>
    <row r="615" spans="1:7">
      <c r="A615" s="31" t="s">
        <v>1528</v>
      </c>
      <c r="B615" s="31" t="s">
        <v>1529</v>
      </c>
      <c r="C615" s="31" t="s">
        <v>1465</v>
      </c>
      <c r="D615" s="31" t="s">
        <v>780</v>
      </c>
      <c r="E615" s="31" t="s">
        <v>1213</v>
      </c>
      <c r="F615" s="31" t="s">
        <v>774</v>
      </c>
      <c r="G615" s="31" t="s">
        <v>785</v>
      </c>
    </row>
    <row r="616" spans="1:7">
      <c r="A616" s="37" t="s">
        <v>1530</v>
      </c>
      <c r="B616" s="38" t="s">
        <v>1251</v>
      </c>
      <c r="C616" s="38" t="s">
        <v>1241</v>
      </c>
      <c r="D616" s="37" t="s">
        <v>780</v>
      </c>
      <c r="E616" s="37" t="s">
        <v>1213</v>
      </c>
      <c r="F616" s="37" t="s">
        <v>774</v>
      </c>
      <c r="G616" s="37" t="s">
        <v>785</v>
      </c>
    </row>
    <row r="617" spans="1:7">
      <c r="A617" s="37"/>
      <c r="B617" s="37"/>
      <c r="C617" s="38"/>
      <c r="D617" s="37"/>
      <c r="E617" s="37"/>
      <c r="F617" s="37"/>
      <c r="G617" s="37"/>
    </row>
    <row r="618" spans="1:7">
      <c r="A618" s="23"/>
      <c r="B618" s="23"/>
      <c r="C618" s="23"/>
      <c r="D618" s="22"/>
      <c r="E618" s="22"/>
      <c r="F618" s="22"/>
      <c r="G618" s="22"/>
    </row>
    <row r="619" spans="1:7">
      <c r="A619" s="22"/>
      <c r="B619" s="23"/>
      <c r="C619" s="23"/>
      <c r="D619" s="22"/>
      <c r="E619" s="22"/>
      <c r="F619" s="22"/>
      <c r="G619" s="22"/>
    </row>
    <row r="620" spans="1:7">
      <c r="A620" s="23"/>
      <c r="B620" s="23"/>
      <c r="C620" s="23"/>
      <c r="D620" s="22"/>
      <c r="E620" s="22"/>
      <c r="F620" s="22"/>
      <c r="G620" s="22"/>
    </row>
    <row r="621" spans="1:7">
      <c r="A621" s="19" t="s">
        <v>1531</v>
      </c>
      <c r="B621" s="20"/>
      <c r="C621" s="20"/>
      <c r="D621" s="20"/>
      <c r="E621" s="20"/>
      <c r="F621" s="20"/>
      <c r="G621" s="20"/>
    </row>
    <row r="622" spans="1:7">
      <c r="A622" s="21" t="s">
        <v>1532</v>
      </c>
      <c r="B622" s="21" t="s">
        <v>1533</v>
      </c>
      <c r="C622" s="21" t="s">
        <v>1533</v>
      </c>
      <c r="D622" s="21" t="s">
        <v>780</v>
      </c>
      <c r="E622" s="21" t="s">
        <v>1534</v>
      </c>
      <c r="F622" s="21" t="s">
        <v>774</v>
      </c>
      <c r="G622" s="21" t="s">
        <v>775</v>
      </c>
    </row>
    <row r="623" spans="1:7">
      <c r="A623" s="22" t="s">
        <v>1535</v>
      </c>
      <c r="B623" s="22" t="s">
        <v>1536</v>
      </c>
      <c r="C623" s="23" t="s">
        <v>1536</v>
      </c>
      <c r="D623" s="22" t="s">
        <v>1058</v>
      </c>
      <c r="E623" s="22" t="s">
        <v>1534</v>
      </c>
      <c r="F623" s="22" t="s">
        <v>774</v>
      </c>
      <c r="G623" s="22" t="s">
        <v>1126</v>
      </c>
    </row>
    <row r="624" spans="1:7">
      <c r="A624" s="22" t="s">
        <v>1537</v>
      </c>
      <c r="B624" s="22" t="s">
        <v>1536</v>
      </c>
      <c r="C624" s="23" t="s">
        <v>1536</v>
      </c>
      <c r="D624" s="22" t="s">
        <v>1058</v>
      </c>
      <c r="E624" s="22" t="s">
        <v>1534</v>
      </c>
      <c r="F624" s="22" t="s">
        <v>774</v>
      </c>
      <c r="G624" s="22" t="s">
        <v>1126</v>
      </c>
    </row>
    <row r="625" spans="1:7">
      <c r="A625" s="22" t="s">
        <v>1538</v>
      </c>
      <c r="B625" s="22" t="s">
        <v>1536</v>
      </c>
      <c r="C625" s="23" t="s">
        <v>1536</v>
      </c>
      <c r="D625" s="22" t="s">
        <v>1058</v>
      </c>
      <c r="E625" s="22" t="s">
        <v>1534</v>
      </c>
      <c r="F625" s="22" t="s">
        <v>774</v>
      </c>
      <c r="G625" s="22" t="s">
        <v>1126</v>
      </c>
    </row>
    <row r="626" spans="1:7">
      <c r="A626" s="22" t="s">
        <v>1539</v>
      </c>
      <c r="B626" s="22" t="s">
        <v>1536</v>
      </c>
      <c r="C626" s="23" t="s">
        <v>1536</v>
      </c>
      <c r="D626" s="22" t="s">
        <v>1058</v>
      </c>
      <c r="E626" s="22" t="s">
        <v>1534</v>
      </c>
      <c r="F626" s="22" t="s">
        <v>774</v>
      </c>
      <c r="G626" s="22" t="s">
        <v>1126</v>
      </c>
    </row>
    <row r="627" spans="1:7">
      <c r="A627" s="22" t="s">
        <v>1540</v>
      </c>
      <c r="B627" s="22" t="s">
        <v>1536</v>
      </c>
      <c r="C627" s="23" t="s">
        <v>1536</v>
      </c>
      <c r="D627" s="22" t="s">
        <v>1058</v>
      </c>
      <c r="E627" s="22" t="s">
        <v>1534</v>
      </c>
      <c r="F627" s="22" t="s">
        <v>774</v>
      </c>
      <c r="G627" s="22" t="s">
        <v>1126</v>
      </c>
    </row>
    <row r="628" spans="1:7">
      <c r="A628" s="22" t="s">
        <v>1541</v>
      </c>
      <c r="B628" s="22" t="s">
        <v>1536</v>
      </c>
      <c r="C628" s="23" t="s">
        <v>1536</v>
      </c>
      <c r="D628" s="22" t="s">
        <v>1058</v>
      </c>
      <c r="E628" s="22" t="s">
        <v>1534</v>
      </c>
      <c r="F628" s="22" t="s">
        <v>774</v>
      </c>
      <c r="G628" s="22" t="s">
        <v>1126</v>
      </c>
    </row>
    <row r="629" spans="1:7">
      <c r="A629" s="22" t="s">
        <v>1542</v>
      </c>
      <c r="B629" s="22" t="s">
        <v>1536</v>
      </c>
      <c r="C629" s="23" t="s">
        <v>1536</v>
      </c>
      <c r="D629" s="22" t="s">
        <v>1058</v>
      </c>
      <c r="E629" s="22" t="s">
        <v>1534</v>
      </c>
      <c r="F629" s="22" t="s">
        <v>774</v>
      </c>
      <c r="G629" s="22" t="s">
        <v>1126</v>
      </c>
    </row>
    <row r="630" spans="1:7">
      <c r="A630" s="22" t="s">
        <v>1543</v>
      </c>
      <c r="B630" s="22" t="s">
        <v>1536</v>
      </c>
      <c r="C630" s="23" t="s">
        <v>1536</v>
      </c>
      <c r="D630" s="22" t="s">
        <v>1058</v>
      </c>
      <c r="E630" s="22" t="s">
        <v>1534</v>
      </c>
      <c r="F630" s="22" t="s">
        <v>774</v>
      </c>
      <c r="G630" s="22" t="s">
        <v>1126</v>
      </c>
    </row>
    <row r="631" spans="1:7">
      <c r="A631" s="22" t="s">
        <v>1544</v>
      </c>
      <c r="B631" s="22" t="s">
        <v>1536</v>
      </c>
      <c r="C631" s="23" t="s">
        <v>1536</v>
      </c>
      <c r="D631" s="22" t="s">
        <v>1058</v>
      </c>
      <c r="E631" s="22" t="s">
        <v>1534</v>
      </c>
      <c r="F631" s="22" t="s">
        <v>774</v>
      </c>
      <c r="G631" s="22" t="s">
        <v>1126</v>
      </c>
    </row>
    <row r="632" spans="1:7">
      <c r="A632" s="22" t="s">
        <v>1545</v>
      </c>
      <c r="B632" s="22" t="s">
        <v>1536</v>
      </c>
      <c r="C632" s="23" t="s">
        <v>1536</v>
      </c>
      <c r="D632" s="22" t="s">
        <v>1058</v>
      </c>
      <c r="E632" s="22" t="s">
        <v>1534</v>
      </c>
      <c r="F632" s="22" t="s">
        <v>774</v>
      </c>
      <c r="G632" s="22" t="s">
        <v>1126</v>
      </c>
    </row>
    <row r="633" spans="1:7">
      <c r="A633" s="22" t="s">
        <v>1546</v>
      </c>
      <c r="B633" s="22" t="s">
        <v>1536</v>
      </c>
      <c r="C633" s="23" t="s">
        <v>1536</v>
      </c>
      <c r="D633" s="22" t="s">
        <v>1058</v>
      </c>
      <c r="E633" s="22" t="s">
        <v>1534</v>
      </c>
      <c r="F633" s="22" t="s">
        <v>774</v>
      </c>
      <c r="G633" s="22" t="s">
        <v>1126</v>
      </c>
    </row>
    <row r="634" spans="1:7">
      <c r="A634" s="22" t="s">
        <v>1547</v>
      </c>
      <c r="B634" s="22" t="s">
        <v>1536</v>
      </c>
      <c r="C634" s="23" t="s">
        <v>1536</v>
      </c>
      <c r="D634" s="22" t="s">
        <v>1058</v>
      </c>
      <c r="E634" s="22" t="s">
        <v>1534</v>
      </c>
      <c r="F634" s="22" t="s">
        <v>774</v>
      </c>
      <c r="G634" s="22" t="s">
        <v>1126</v>
      </c>
    </row>
    <row r="635" spans="1:7">
      <c r="A635" s="22" t="s">
        <v>1548</v>
      </c>
      <c r="B635" s="22" t="s">
        <v>1536</v>
      </c>
      <c r="C635" s="23" t="s">
        <v>1536</v>
      </c>
      <c r="D635" s="22" t="s">
        <v>1058</v>
      </c>
      <c r="E635" s="22" t="s">
        <v>1534</v>
      </c>
      <c r="F635" s="22" t="s">
        <v>774</v>
      </c>
      <c r="G635" s="22" t="s">
        <v>1126</v>
      </c>
    </row>
    <row r="636" spans="1:7">
      <c r="A636" s="22" t="s">
        <v>1549</v>
      </c>
      <c r="B636" s="22" t="s">
        <v>1536</v>
      </c>
      <c r="C636" s="23" t="s">
        <v>1536</v>
      </c>
      <c r="D636" s="22" t="s">
        <v>1058</v>
      </c>
      <c r="E636" s="22" t="s">
        <v>1534</v>
      </c>
      <c r="F636" s="22" t="s">
        <v>774</v>
      </c>
      <c r="G636" s="22" t="s">
        <v>1126</v>
      </c>
    </row>
    <row r="637" spans="1:7">
      <c r="A637" s="22" t="s">
        <v>1550</v>
      </c>
      <c r="B637" s="22" t="s">
        <v>1536</v>
      </c>
      <c r="C637" s="23" t="s">
        <v>1536</v>
      </c>
      <c r="D637" s="22" t="s">
        <v>1058</v>
      </c>
      <c r="E637" s="22" t="s">
        <v>1534</v>
      </c>
      <c r="F637" s="22" t="s">
        <v>774</v>
      </c>
      <c r="G637" s="22" t="s">
        <v>1126</v>
      </c>
    </row>
    <row r="638" spans="1:7">
      <c r="A638" s="22" t="s">
        <v>1551</v>
      </c>
      <c r="B638" s="22" t="s">
        <v>1552</v>
      </c>
      <c r="C638" s="23" t="s">
        <v>1553</v>
      </c>
      <c r="D638" s="22" t="s">
        <v>1058</v>
      </c>
      <c r="E638" s="22" t="s">
        <v>1534</v>
      </c>
      <c r="F638" s="22" t="s">
        <v>774</v>
      </c>
      <c r="G638" s="22" t="s">
        <v>785</v>
      </c>
    </row>
    <row r="639" spans="1:7">
      <c r="A639" s="22" t="s">
        <v>1554</v>
      </c>
      <c r="B639" s="23" t="s">
        <v>1555</v>
      </c>
      <c r="C639" s="23" t="s">
        <v>1555</v>
      </c>
      <c r="D639" s="22" t="s">
        <v>780</v>
      </c>
      <c r="E639" s="22" t="s">
        <v>1534</v>
      </c>
      <c r="F639" s="22" t="s">
        <v>774</v>
      </c>
      <c r="G639" s="22" t="s">
        <v>785</v>
      </c>
    </row>
    <row r="640" spans="1:7">
      <c r="A640" s="22" t="s">
        <v>1556</v>
      </c>
      <c r="B640" s="23" t="s">
        <v>1557</v>
      </c>
      <c r="C640" s="23" t="s">
        <v>1557</v>
      </c>
      <c r="D640" s="22" t="s">
        <v>780</v>
      </c>
      <c r="E640" s="22" t="s">
        <v>1534</v>
      </c>
      <c r="F640" s="22" t="s">
        <v>774</v>
      </c>
      <c r="G640" s="22" t="s">
        <v>785</v>
      </c>
    </row>
    <row r="641" spans="1:7">
      <c r="A641" s="22" t="s">
        <v>1558</v>
      </c>
      <c r="B641" s="23" t="s">
        <v>1555</v>
      </c>
      <c r="C641" s="23" t="s">
        <v>1555</v>
      </c>
      <c r="D641" s="22" t="s">
        <v>780</v>
      </c>
      <c r="E641" s="22" t="s">
        <v>1534</v>
      </c>
      <c r="F641" s="22" t="s">
        <v>774</v>
      </c>
      <c r="G641" s="22" t="s">
        <v>785</v>
      </c>
    </row>
    <row r="642" spans="1:7">
      <c r="A642" s="22" t="s">
        <v>1559</v>
      </c>
      <c r="B642" s="23" t="s">
        <v>1555</v>
      </c>
      <c r="C642" s="23" t="s">
        <v>1555</v>
      </c>
      <c r="D642" s="22" t="s">
        <v>780</v>
      </c>
      <c r="E642" s="22" t="s">
        <v>1534</v>
      </c>
      <c r="F642" s="22" t="s">
        <v>774</v>
      </c>
      <c r="G642" s="22" t="s">
        <v>785</v>
      </c>
    </row>
    <row r="643" spans="1:7">
      <c r="A643" s="22" t="s">
        <v>1560</v>
      </c>
      <c r="B643" s="23" t="s">
        <v>1557</v>
      </c>
      <c r="C643" s="23" t="s">
        <v>1557</v>
      </c>
      <c r="D643" s="22" t="s">
        <v>780</v>
      </c>
      <c r="E643" s="22" t="s">
        <v>1534</v>
      </c>
      <c r="F643" s="22" t="s">
        <v>774</v>
      </c>
      <c r="G643" s="22" t="s">
        <v>785</v>
      </c>
    </row>
    <row r="644" spans="1:7">
      <c r="A644" s="22" t="s">
        <v>1561</v>
      </c>
      <c r="B644" s="23" t="s">
        <v>1555</v>
      </c>
      <c r="C644" s="23" t="s">
        <v>1555</v>
      </c>
      <c r="D644" s="22" t="s">
        <v>780</v>
      </c>
      <c r="E644" s="22" t="s">
        <v>1534</v>
      </c>
      <c r="F644" s="22" t="s">
        <v>774</v>
      </c>
      <c r="G644" s="22" t="s">
        <v>785</v>
      </c>
    </row>
    <row r="645" spans="1:7">
      <c r="A645" s="22" t="s">
        <v>1562</v>
      </c>
      <c r="B645" s="23" t="s">
        <v>1555</v>
      </c>
      <c r="C645" s="23" t="s">
        <v>1555</v>
      </c>
      <c r="D645" s="22" t="s">
        <v>780</v>
      </c>
      <c r="E645" s="22" t="s">
        <v>1534</v>
      </c>
      <c r="F645" s="22" t="s">
        <v>774</v>
      </c>
      <c r="G645" s="22" t="s">
        <v>785</v>
      </c>
    </row>
    <row r="646" spans="1:7">
      <c r="A646" s="22" t="s">
        <v>1563</v>
      </c>
      <c r="B646" s="23" t="s">
        <v>1557</v>
      </c>
      <c r="C646" s="23" t="s">
        <v>1557</v>
      </c>
      <c r="D646" s="22" t="s">
        <v>780</v>
      </c>
      <c r="E646" s="22" t="s">
        <v>1534</v>
      </c>
      <c r="F646" s="22" t="s">
        <v>774</v>
      </c>
      <c r="G646" s="22" t="s">
        <v>785</v>
      </c>
    </row>
    <row r="647" spans="1:7">
      <c r="A647" s="22" t="s">
        <v>1564</v>
      </c>
      <c r="B647" s="23" t="s">
        <v>1555</v>
      </c>
      <c r="C647" s="23" t="s">
        <v>1555</v>
      </c>
      <c r="D647" s="22" t="s">
        <v>780</v>
      </c>
      <c r="E647" s="22" t="s">
        <v>1534</v>
      </c>
      <c r="F647" s="22" t="s">
        <v>774</v>
      </c>
      <c r="G647" s="22" t="s">
        <v>785</v>
      </c>
    </row>
    <row r="648" spans="1:7">
      <c r="A648" s="22" t="s">
        <v>1565</v>
      </c>
      <c r="B648" s="23" t="s">
        <v>1555</v>
      </c>
      <c r="C648" s="23" t="s">
        <v>1555</v>
      </c>
      <c r="D648" s="22" t="s">
        <v>1566</v>
      </c>
      <c r="E648" s="22" t="s">
        <v>1534</v>
      </c>
      <c r="F648" s="22" t="s">
        <v>774</v>
      </c>
      <c r="G648" s="22" t="s">
        <v>785</v>
      </c>
    </row>
    <row r="649" spans="1:7">
      <c r="A649" s="22" t="s">
        <v>1567</v>
      </c>
      <c r="B649" s="23" t="s">
        <v>1557</v>
      </c>
      <c r="C649" s="23" t="s">
        <v>1557</v>
      </c>
      <c r="D649" s="22" t="s">
        <v>1566</v>
      </c>
      <c r="E649" s="22" t="s">
        <v>1534</v>
      </c>
      <c r="F649" s="22" t="s">
        <v>774</v>
      </c>
      <c r="G649" s="22" t="s">
        <v>785</v>
      </c>
    </row>
    <row r="650" spans="1:7">
      <c r="A650" s="22" t="s">
        <v>1568</v>
      </c>
      <c r="B650" s="23" t="s">
        <v>1569</v>
      </c>
      <c r="C650" s="23" t="s">
        <v>1569</v>
      </c>
      <c r="D650" s="22" t="s">
        <v>780</v>
      </c>
      <c r="E650" s="22" t="s">
        <v>1534</v>
      </c>
      <c r="F650" s="22" t="s">
        <v>774</v>
      </c>
      <c r="G650" s="22" t="s">
        <v>785</v>
      </c>
    </row>
    <row r="651" spans="1:7">
      <c r="A651" s="22" t="s">
        <v>1570</v>
      </c>
      <c r="B651" s="23" t="s">
        <v>1569</v>
      </c>
      <c r="C651" s="23" t="s">
        <v>1569</v>
      </c>
      <c r="D651" s="22" t="s">
        <v>780</v>
      </c>
      <c r="E651" s="22" t="s">
        <v>1534</v>
      </c>
      <c r="F651" s="22" t="s">
        <v>774</v>
      </c>
      <c r="G651" s="22" t="s">
        <v>785</v>
      </c>
    </row>
    <row r="652" spans="1:7">
      <c r="A652" s="22" t="s">
        <v>1571</v>
      </c>
      <c r="B652" s="23" t="s">
        <v>1555</v>
      </c>
      <c r="C652" s="23" t="s">
        <v>1555</v>
      </c>
      <c r="D652" s="22" t="s">
        <v>780</v>
      </c>
      <c r="E652" s="22" t="s">
        <v>1534</v>
      </c>
      <c r="F652" s="22" t="s">
        <v>774</v>
      </c>
      <c r="G652" s="22" t="s">
        <v>785</v>
      </c>
    </row>
    <row r="653" spans="1:7">
      <c r="A653" s="22" t="s">
        <v>1572</v>
      </c>
      <c r="B653" s="23" t="s">
        <v>1557</v>
      </c>
      <c r="C653" s="23" t="s">
        <v>1557</v>
      </c>
      <c r="D653" s="22" t="s">
        <v>780</v>
      </c>
      <c r="E653" s="22" t="s">
        <v>1534</v>
      </c>
      <c r="F653" s="22" t="s">
        <v>774</v>
      </c>
      <c r="G653" s="22" t="s">
        <v>785</v>
      </c>
    </row>
    <row r="654" spans="1:7">
      <c r="A654" s="22" t="s">
        <v>1573</v>
      </c>
      <c r="B654" s="23" t="s">
        <v>1555</v>
      </c>
      <c r="C654" s="23" t="s">
        <v>1555</v>
      </c>
      <c r="D654" s="22" t="s">
        <v>780</v>
      </c>
      <c r="E654" s="22" t="s">
        <v>1534</v>
      </c>
      <c r="F654" s="22" t="s">
        <v>774</v>
      </c>
      <c r="G654" s="22" t="s">
        <v>785</v>
      </c>
    </row>
    <row r="655" spans="1:7">
      <c r="A655" s="22" t="s">
        <v>1574</v>
      </c>
      <c r="B655" s="23" t="s">
        <v>1557</v>
      </c>
      <c r="C655" s="23" t="s">
        <v>1557</v>
      </c>
      <c r="D655" s="22" t="s">
        <v>780</v>
      </c>
      <c r="E655" s="22" t="s">
        <v>1534</v>
      </c>
      <c r="F655" s="22" t="s">
        <v>774</v>
      </c>
      <c r="G655" s="22" t="s">
        <v>785</v>
      </c>
    </row>
    <row r="656" spans="1:7">
      <c r="A656" s="22" t="s">
        <v>1575</v>
      </c>
      <c r="B656" s="23" t="s">
        <v>1555</v>
      </c>
      <c r="C656" s="23" t="s">
        <v>1555</v>
      </c>
      <c r="D656" s="22" t="s">
        <v>780</v>
      </c>
      <c r="E656" s="22" t="s">
        <v>1534</v>
      </c>
      <c r="F656" s="22" t="s">
        <v>774</v>
      </c>
      <c r="G656" s="22" t="s">
        <v>785</v>
      </c>
    </row>
    <row r="657" spans="1:7">
      <c r="A657" s="22" t="s">
        <v>1576</v>
      </c>
      <c r="B657" s="23" t="s">
        <v>1557</v>
      </c>
      <c r="C657" s="23" t="s">
        <v>1557</v>
      </c>
      <c r="D657" s="22" t="s">
        <v>780</v>
      </c>
      <c r="E657" s="22" t="s">
        <v>1534</v>
      </c>
      <c r="F657" s="22" t="s">
        <v>774</v>
      </c>
      <c r="G657" s="22" t="s">
        <v>785</v>
      </c>
    </row>
    <row r="658" spans="1:7">
      <c r="A658" s="22" t="s">
        <v>1577</v>
      </c>
      <c r="B658" s="23" t="s">
        <v>1555</v>
      </c>
      <c r="C658" s="23" t="s">
        <v>1555</v>
      </c>
      <c r="D658" s="22" t="s">
        <v>780</v>
      </c>
      <c r="E658" s="22" t="s">
        <v>1534</v>
      </c>
      <c r="F658" s="22" t="s">
        <v>774</v>
      </c>
      <c r="G658" s="22" t="s">
        <v>785</v>
      </c>
    </row>
    <row r="659" spans="1:7">
      <c r="A659" s="22" t="s">
        <v>1578</v>
      </c>
      <c r="B659" s="23" t="s">
        <v>1557</v>
      </c>
      <c r="C659" s="23" t="s">
        <v>1557</v>
      </c>
      <c r="D659" s="22" t="s">
        <v>780</v>
      </c>
      <c r="E659" s="22" t="s">
        <v>1534</v>
      </c>
      <c r="F659" s="22" t="s">
        <v>774</v>
      </c>
      <c r="G659" s="22" t="s">
        <v>785</v>
      </c>
    </row>
    <row r="660" spans="1:7">
      <c r="A660" s="22" t="s">
        <v>1579</v>
      </c>
      <c r="B660" s="23" t="s">
        <v>1555</v>
      </c>
      <c r="C660" s="23" t="s">
        <v>1555</v>
      </c>
      <c r="D660" s="22" t="s">
        <v>780</v>
      </c>
      <c r="E660" s="22" t="s">
        <v>1534</v>
      </c>
      <c r="F660" s="22" t="s">
        <v>774</v>
      </c>
      <c r="G660" s="22" t="s">
        <v>785</v>
      </c>
    </row>
    <row r="661" spans="1:7">
      <c r="A661" s="22" t="s">
        <v>1580</v>
      </c>
      <c r="B661" s="23" t="s">
        <v>1557</v>
      </c>
      <c r="C661" s="23" t="s">
        <v>1557</v>
      </c>
      <c r="D661" s="22" t="s">
        <v>780</v>
      </c>
      <c r="E661" s="22" t="s">
        <v>1534</v>
      </c>
      <c r="F661" s="22" t="s">
        <v>774</v>
      </c>
      <c r="G661" s="22" t="s">
        <v>785</v>
      </c>
    </row>
    <row r="662" spans="1:7">
      <c r="A662" s="22" t="s">
        <v>1581</v>
      </c>
      <c r="B662" s="23" t="s">
        <v>1555</v>
      </c>
      <c r="C662" s="23" t="s">
        <v>1555</v>
      </c>
      <c r="D662" s="22" t="s">
        <v>780</v>
      </c>
      <c r="E662" s="22" t="s">
        <v>1534</v>
      </c>
      <c r="F662" s="22" t="s">
        <v>774</v>
      </c>
      <c r="G662" s="22" t="s">
        <v>785</v>
      </c>
    </row>
    <row r="663" spans="1:7">
      <c r="A663" s="22" t="s">
        <v>1582</v>
      </c>
      <c r="B663" s="23" t="s">
        <v>1557</v>
      </c>
      <c r="C663" s="23" t="s">
        <v>1557</v>
      </c>
      <c r="D663" s="22" t="s">
        <v>780</v>
      </c>
      <c r="E663" s="22" t="s">
        <v>1534</v>
      </c>
      <c r="F663" s="22" t="s">
        <v>774</v>
      </c>
      <c r="G663" s="22" t="s">
        <v>785</v>
      </c>
    </row>
    <row r="664" spans="1:7">
      <c r="A664" s="22" t="s">
        <v>1583</v>
      </c>
      <c r="B664" s="23" t="s">
        <v>1555</v>
      </c>
      <c r="C664" s="23" t="s">
        <v>1555</v>
      </c>
      <c r="D664" s="22" t="s">
        <v>780</v>
      </c>
      <c r="E664" s="22" t="s">
        <v>1534</v>
      </c>
      <c r="F664" s="22" t="s">
        <v>774</v>
      </c>
      <c r="G664" s="22" t="s">
        <v>785</v>
      </c>
    </row>
    <row r="665" spans="1:7">
      <c r="A665" s="22" t="s">
        <v>1584</v>
      </c>
      <c r="B665" s="23" t="s">
        <v>1555</v>
      </c>
      <c r="C665" s="23" t="s">
        <v>1555</v>
      </c>
      <c r="D665" s="22" t="s">
        <v>780</v>
      </c>
      <c r="E665" s="22" t="s">
        <v>1534</v>
      </c>
      <c r="F665" s="22" t="s">
        <v>774</v>
      </c>
      <c r="G665" s="22" t="s">
        <v>785</v>
      </c>
    </row>
    <row r="666" spans="1:7">
      <c r="A666" s="24"/>
      <c r="B666" s="23"/>
      <c r="C666" s="22"/>
      <c r="D666" s="22"/>
      <c r="E666" s="22"/>
      <c r="F666" s="22"/>
      <c r="G666" s="22"/>
    </row>
    <row r="667" spans="1:7">
      <c r="A667" s="22"/>
      <c r="B667" s="23"/>
      <c r="C667" s="22"/>
      <c r="D667" s="22"/>
      <c r="E667" s="22"/>
      <c r="F667" s="22"/>
      <c r="G667" s="22"/>
    </row>
    <row r="668" spans="1:7">
      <c r="A668" s="22"/>
      <c r="B668" s="22"/>
      <c r="C668" s="22"/>
      <c r="D668" s="22"/>
      <c r="E668" s="22"/>
      <c r="F668" s="22"/>
      <c r="G668" s="22"/>
    </row>
    <row r="669" spans="1:7">
      <c r="A669" s="22"/>
      <c r="B669" s="22"/>
      <c r="C669" s="22"/>
      <c r="D669" s="22"/>
      <c r="E669" s="22"/>
      <c r="F669" s="22"/>
      <c r="G669" s="22"/>
    </row>
    <row r="670" spans="1:7">
      <c r="A670" s="22"/>
      <c r="B670" s="22"/>
      <c r="C670" s="22"/>
      <c r="D670" s="22"/>
      <c r="E670" s="22"/>
      <c r="F670" s="22"/>
      <c r="G670" s="22"/>
    </row>
    <row r="671" spans="1:7">
      <c r="A671" s="22"/>
      <c r="B671" s="22"/>
      <c r="C671" s="22"/>
      <c r="D671" s="22"/>
      <c r="E671" s="22"/>
      <c r="F671" s="22"/>
      <c r="G671" s="22"/>
    </row>
    <row r="672" spans="1:7">
      <c r="A672" s="22"/>
      <c r="B672" s="22"/>
      <c r="C672" s="22"/>
      <c r="D672" s="22"/>
      <c r="E672" s="22"/>
      <c r="F672" s="22"/>
      <c r="G672" s="22"/>
    </row>
    <row r="673" spans="1:7">
      <c r="A673" s="22"/>
      <c r="B673" s="22"/>
      <c r="C673" s="22"/>
      <c r="D673" s="22"/>
      <c r="E673" s="22"/>
      <c r="F673" s="22"/>
      <c r="G673" s="22"/>
    </row>
    <row r="674" spans="1:7">
      <c r="A674" s="24"/>
      <c r="B674" s="23"/>
      <c r="C674" s="22"/>
      <c r="D674" s="22"/>
      <c r="E674" s="22"/>
      <c r="F674" s="22"/>
      <c r="G674" s="22"/>
    </row>
    <row r="675" spans="1:7">
      <c r="A675" s="24"/>
      <c r="B675" s="23"/>
      <c r="C675" s="22"/>
      <c r="D675" s="22"/>
      <c r="E675" s="22"/>
      <c r="F675" s="22"/>
      <c r="G675" s="22"/>
    </row>
    <row r="676" spans="1:7">
      <c r="A676" s="22"/>
      <c r="B676" s="22"/>
      <c r="C676" s="22"/>
      <c r="D676" s="22"/>
      <c r="E676" s="22"/>
      <c r="F676" s="22"/>
      <c r="G676" s="22"/>
    </row>
    <row r="677" spans="1:7">
      <c r="A677" s="22"/>
      <c r="B677" s="22"/>
      <c r="C677" s="22"/>
      <c r="D677" s="22"/>
      <c r="E677" s="22"/>
      <c r="F677" s="22"/>
      <c r="G677" s="22"/>
    </row>
    <row r="678" spans="1:7">
      <c r="A678" s="22"/>
      <c r="B678" s="22"/>
      <c r="C678" s="22"/>
      <c r="D678" s="22"/>
      <c r="E678" s="22"/>
      <c r="F678" s="22"/>
      <c r="G678" s="22"/>
    </row>
    <row r="679" spans="1:7">
      <c r="A679" s="39" t="s">
        <v>1585</v>
      </c>
      <c r="B679" s="39" t="s">
        <v>1585</v>
      </c>
      <c r="C679" s="39" t="s">
        <v>1585</v>
      </c>
      <c r="D679" s="39"/>
      <c r="E679" s="39"/>
      <c r="F679" s="39"/>
      <c r="G679" s="39"/>
    </row>
    <row r="680" spans="1:7">
      <c r="A680" s="22"/>
      <c r="B680" s="22"/>
      <c r="C680" s="22"/>
      <c r="D680" s="22"/>
      <c r="E680" s="22"/>
      <c r="F680" s="22"/>
      <c r="G680" s="22"/>
    </row>
    <row r="681" spans="1:7">
      <c r="A681" s="22"/>
      <c r="B681" s="22"/>
      <c r="C681" s="22"/>
      <c r="D681" s="22"/>
      <c r="E681" s="22"/>
      <c r="F681" s="22"/>
      <c r="G681" s="22"/>
    </row>
    <row r="682" spans="1:7">
      <c r="A682" s="22"/>
      <c r="B682" s="22"/>
      <c r="C682" s="22"/>
      <c r="D682" s="22"/>
      <c r="E682" s="22"/>
      <c r="F682" s="22"/>
      <c r="G682" s="22"/>
    </row>
    <row r="683" spans="1:7">
      <c r="A683" s="22"/>
      <c r="B683" s="22"/>
      <c r="C683" s="22"/>
      <c r="D683" s="22"/>
      <c r="E683" s="22"/>
      <c r="F683" s="22"/>
      <c r="G683" s="22"/>
    </row>
    <row r="684" spans="1:7">
      <c r="A684" s="22"/>
      <c r="B684" s="23"/>
      <c r="C684" s="23"/>
      <c r="D684" s="22"/>
      <c r="E684" s="22"/>
      <c r="F684" s="22"/>
      <c r="G684" s="22"/>
    </row>
    <row r="685" spans="1:7">
      <c r="A685" s="22"/>
      <c r="B685" s="23"/>
      <c r="C685" s="23"/>
      <c r="D685" s="22"/>
      <c r="E685" s="22"/>
      <c r="F685" s="22"/>
      <c r="G685" s="22"/>
    </row>
    <row r="686" spans="1:7">
      <c r="A686" s="22"/>
      <c r="B686" s="23"/>
      <c r="C686" s="23"/>
      <c r="D686" s="22"/>
      <c r="E686" s="22"/>
      <c r="F686" s="22"/>
      <c r="G686" s="22"/>
    </row>
    <row r="687" spans="1:7">
      <c r="A687" s="22"/>
      <c r="B687" s="23"/>
      <c r="C687" s="23"/>
      <c r="D687" s="22"/>
      <c r="E687" s="22"/>
      <c r="F687" s="22"/>
      <c r="G687" s="22"/>
    </row>
    <row r="688" spans="1:7">
      <c r="A688" s="22"/>
      <c r="B688" s="22"/>
      <c r="C688" s="22"/>
      <c r="D688" s="22"/>
      <c r="E688" s="22"/>
      <c r="F688" s="22"/>
      <c r="G688" s="22"/>
    </row>
    <row r="689" spans="1:7">
      <c r="A689" s="22"/>
      <c r="B689" s="22"/>
      <c r="C689" s="22"/>
      <c r="D689" s="22"/>
      <c r="E689" s="22"/>
      <c r="F689" s="22"/>
      <c r="G689" s="22"/>
    </row>
    <row r="690" spans="1:7">
      <c r="A690" s="22"/>
      <c r="B690" s="22"/>
      <c r="C690" s="22"/>
      <c r="D690" s="22"/>
      <c r="E690" s="22"/>
      <c r="F690" s="22"/>
      <c r="G690" s="22"/>
    </row>
    <row r="691" spans="1:7">
      <c r="A691" s="22"/>
      <c r="B691" s="22"/>
      <c r="C691" s="22"/>
      <c r="D691" s="22"/>
      <c r="E691" s="22"/>
      <c r="F691" s="22"/>
      <c r="G691" s="22"/>
    </row>
    <row r="692" spans="1:7">
      <c r="A692" s="22"/>
      <c r="B692" s="22"/>
      <c r="C692" s="22"/>
      <c r="D692" s="22"/>
      <c r="E692" s="22"/>
      <c r="F692" s="22"/>
      <c r="G692" s="22"/>
    </row>
    <row r="693" spans="1:7">
      <c r="A693" s="22"/>
      <c r="B693" s="22"/>
      <c r="C693" s="22"/>
      <c r="D693" s="22"/>
      <c r="E693" s="22"/>
      <c r="F693" s="22"/>
      <c r="G693" s="22"/>
    </row>
    <row r="694" spans="1:7">
      <c r="A694" s="40"/>
      <c r="B694" s="41"/>
      <c r="C694" s="41"/>
      <c r="D694" s="41"/>
      <c r="E694" s="41"/>
      <c r="F694" s="41"/>
      <c r="G694" s="41"/>
    </row>
    <row r="695" spans="1:7">
      <c r="A695" s="40"/>
      <c r="B695" s="40"/>
      <c r="C695" s="40"/>
      <c r="D695" s="40"/>
      <c r="E695" s="40"/>
      <c r="F695" s="40"/>
      <c r="G695" s="40"/>
    </row>
    <row r="696" spans="1:7">
      <c r="A696" s="40"/>
      <c r="B696" s="40"/>
      <c r="C696" s="40"/>
      <c r="D696" s="40"/>
      <c r="E696" s="40"/>
      <c r="F696" s="40"/>
      <c r="G696" s="40"/>
    </row>
    <row r="697" spans="1:7">
      <c r="A697" s="22"/>
      <c r="B697" s="22"/>
      <c r="C697" s="22"/>
      <c r="D697" s="22"/>
      <c r="E697" s="22"/>
      <c r="F697" s="22"/>
      <c r="G697" s="22"/>
    </row>
    <row r="698" spans="1:7">
      <c r="A698" s="22"/>
      <c r="B698" s="22"/>
      <c r="C698" s="22"/>
      <c r="D698" s="22"/>
      <c r="E698" s="22"/>
      <c r="F698" s="22"/>
      <c r="G698" s="22"/>
    </row>
    <row r="699" spans="1:7">
      <c r="A699" s="22"/>
      <c r="B699" s="22"/>
      <c r="C699" s="22"/>
      <c r="D699" s="22"/>
      <c r="E699" s="22"/>
      <c r="F699" s="22"/>
      <c r="G699" s="22"/>
    </row>
    <row r="700" spans="1:7">
      <c r="A700" s="22"/>
      <c r="B700" s="22"/>
      <c r="C700" s="22"/>
      <c r="D700" s="22"/>
      <c r="E700" s="22"/>
      <c r="F700" s="22"/>
      <c r="G700" s="22"/>
    </row>
    <row r="701" spans="1:7">
      <c r="A701" s="22"/>
      <c r="B701" s="22"/>
      <c r="C701" s="22"/>
      <c r="D701" s="22"/>
      <c r="E701" s="22"/>
      <c r="F701" s="22"/>
      <c r="G701" s="22"/>
    </row>
    <row r="702" spans="1:7">
      <c r="A702" s="22"/>
      <c r="B702" s="22"/>
      <c r="C702" s="22"/>
      <c r="D702" s="22"/>
      <c r="E702" s="22"/>
      <c r="F702" s="22"/>
      <c r="G702" s="22"/>
    </row>
    <row r="703" spans="1:7">
      <c r="A703" s="42"/>
      <c r="B703" s="42"/>
      <c r="C703" s="42"/>
      <c r="D703" s="43"/>
      <c r="E703" s="43"/>
      <c r="F703" s="43"/>
      <c r="G703" s="43"/>
    </row>
    <row r="704" spans="1:7">
      <c r="A704" s="22"/>
      <c r="B704" s="22"/>
      <c r="C704" s="22"/>
      <c r="D704" s="22"/>
      <c r="E704" s="22"/>
      <c r="F704" s="22"/>
      <c r="G704" s="22"/>
    </row>
    <row r="705" spans="1:7">
      <c r="A705" s="22"/>
      <c r="B705" s="22"/>
      <c r="C705" s="22"/>
      <c r="D705" s="22"/>
      <c r="E705" s="22"/>
      <c r="F705" s="22"/>
      <c r="G705" s="22"/>
    </row>
    <row r="706" spans="1:7">
      <c r="A706" s="22"/>
      <c r="B706" s="22"/>
      <c r="C706" s="22"/>
      <c r="D706" s="22"/>
      <c r="E706" s="22"/>
      <c r="F706" s="22"/>
      <c r="G706" s="22"/>
    </row>
    <row r="707" spans="1:7">
      <c r="A707" s="22"/>
      <c r="B707" s="22"/>
      <c r="C707" s="22"/>
      <c r="D707" s="22"/>
      <c r="E707" s="22"/>
      <c r="F707" s="22"/>
      <c r="G707" s="22"/>
    </row>
    <row r="708" spans="1:7">
      <c r="A708" s="22"/>
      <c r="B708" s="22"/>
      <c r="C708" s="22"/>
      <c r="D708" s="22"/>
      <c r="E708" s="22"/>
      <c r="F708" s="22"/>
      <c r="G708" s="22"/>
    </row>
    <row r="709" spans="1:7">
      <c r="A709" s="22"/>
      <c r="B709" s="22"/>
      <c r="C709" s="22"/>
      <c r="D709" s="22"/>
      <c r="E709" s="22"/>
      <c r="F709" s="22"/>
      <c r="G709" s="22"/>
    </row>
    <row r="710" spans="1:7">
      <c r="A710" s="22"/>
      <c r="B710" s="22"/>
      <c r="C710" s="22"/>
      <c r="D710" s="22"/>
      <c r="E710" s="22"/>
      <c r="F710" s="22"/>
      <c r="G710" s="22"/>
    </row>
    <row r="711" spans="1:7">
      <c r="A711" s="22"/>
      <c r="B711" s="22"/>
      <c r="C711" s="22"/>
      <c r="D711" s="22"/>
      <c r="E711" s="22"/>
      <c r="F711" s="22"/>
      <c r="G711" s="22"/>
    </row>
    <row r="712" spans="1:7">
      <c r="A712" s="22"/>
      <c r="B712" s="22"/>
      <c r="C712" s="22"/>
      <c r="D712" s="22"/>
      <c r="E712" s="22"/>
      <c r="F712" s="22"/>
      <c r="G712" s="22"/>
    </row>
    <row r="713" spans="1:7">
      <c r="A713" s="22"/>
      <c r="B713" s="22"/>
      <c r="C713" s="22"/>
      <c r="D713" s="22"/>
      <c r="E713" s="22"/>
      <c r="F713" s="22"/>
      <c r="G713" s="22"/>
    </row>
    <row r="714" spans="1:7">
      <c r="A714" s="44"/>
      <c r="B714" s="45"/>
      <c r="C714" s="45"/>
      <c r="D714" s="22"/>
      <c r="E714" s="22"/>
      <c r="F714" s="22"/>
      <c r="G714" s="22"/>
    </row>
    <row r="715" spans="1:7">
      <c r="A715" s="44"/>
      <c r="B715" s="45"/>
      <c r="C715" s="45"/>
      <c r="D715" s="22"/>
      <c r="E715" s="22"/>
      <c r="F715" s="22"/>
      <c r="G715" s="22"/>
    </row>
    <row r="716" spans="1:7">
      <c r="A716" s="42"/>
      <c r="B716" s="42"/>
      <c r="C716" s="42"/>
      <c r="D716" s="22"/>
      <c r="E716" s="22"/>
      <c r="F716" s="22"/>
      <c r="G716" s="22"/>
    </row>
    <row r="717" spans="1:7">
      <c r="A717" s="22"/>
      <c r="B717" s="22"/>
      <c r="C717" s="22"/>
      <c r="D717" s="22"/>
      <c r="E717" s="22"/>
      <c r="F717" s="22"/>
      <c r="G717" s="22"/>
    </row>
    <row r="718" spans="1:7">
      <c r="A718" s="22"/>
      <c r="B718" s="22"/>
      <c r="C718" s="22"/>
      <c r="D718" s="22"/>
      <c r="E718" s="22"/>
      <c r="F718" s="22"/>
      <c r="G718" s="22"/>
    </row>
    <row r="719" spans="1:7">
      <c r="A719" s="22"/>
      <c r="B719" s="22"/>
      <c r="C719" s="22"/>
      <c r="D719" s="22"/>
      <c r="E719" s="22"/>
      <c r="F719" s="22"/>
      <c r="G719" s="22"/>
    </row>
    <row r="720" spans="1:7">
      <c r="A720" s="22"/>
      <c r="B720" s="22"/>
      <c r="C720" s="22"/>
      <c r="D720" s="22"/>
      <c r="E720" s="22"/>
      <c r="F720" s="22"/>
      <c r="G720" s="22"/>
    </row>
    <row r="721" spans="1:7">
      <c r="A721" s="22"/>
      <c r="B721" s="22"/>
      <c r="C721" s="22"/>
      <c r="D721" s="22"/>
      <c r="E721" s="22"/>
      <c r="F721" s="22"/>
      <c r="G721" s="22"/>
    </row>
    <row r="722" spans="1:7">
      <c r="A722" s="22"/>
      <c r="B722" s="22"/>
      <c r="C722" s="22"/>
      <c r="D722" s="22"/>
      <c r="E722" s="22"/>
      <c r="F722" s="22"/>
      <c r="G722" s="22"/>
    </row>
    <row r="723" spans="1:7">
      <c r="A723" s="22"/>
      <c r="B723" s="22"/>
      <c r="C723" s="22"/>
      <c r="D723" s="22"/>
      <c r="E723" s="22"/>
      <c r="F723" s="22"/>
      <c r="G723" s="22"/>
    </row>
    <row r="724" spans="1:7">
      <c r="A724" s="22"/>
      <c r="B724" s="22"/>
      <c r="C724" s="22"/>
      <c r="D724" s="22"/>
      <c r="E724" s="22"/>
      <c r="F724" s="22"/>
      <c r="G724" s="22"/>
    </row>
    <row r="725" spans="1:7">
      <c r="A725" s="22"/>
      <c r="B725" s="22"/>
      <c r="C725" s="22"/>
      <c r="D725" s="22"/>
      <c r="E725" s="22"/>
      <c r="F725" s="22"/>
      <c r="G725" s="22"/>
    </row>
    <row r="726" spans="1:7">
      <c r="A726" s="22"/>
      <c r="B726" s="22"/>
      <c r="C726" s="22"/>
      <c r="D726" s="22"/>
      <c r="E726" s="22"/>
      <c r="F726" s="22"/>
      <c r="G726" s="22"/>
    </row>
    <row r="727" spans="1:7">
      <c r="A727" s="22"/>
      <c r="B727" s="22"/>
      <c r="C727" s="22"/>
      <c r="D727" s="22"/>
      <c r="E727" s="22"/>
      <c r="F727" s="22"/>
      <c r="G727" s="22"/>
    </row>
    <row r="728" spans="1:7">
      <c r="A728" s="22"/>
      <c r="B728" s="22"/>
      <c r="C728" s="22"/>
      <c r="D728" s="22"/>
      <c r="E728" s="22"/>
      <c r="F728" s="22"/>
      <c r="G728" s="22"/>
    </row>
    <row r="729" spans="1:7">
      <c r="A729" s="22"/>
      <c r="B729" s="22"/>
      <c r="C729" s="22"/>
      <c r="D729" s="22"/>
      <c r="E729" s="22"/>
      <c r="F729" s="22"/>
      <c r="G729" s="22"/>
    </row>
    <row r="730" spans="1:7">
      <c r="A730" s="22"/>
      <c r="B730" s="22"/>
      <c r="C730" s="22"/>
      <c r="D730" s="22"/>
      <c r="E730" s="22"/>
      <c r="F730" s="22"/>
      <c r="G730" s="22"/>
    </row>
    <row r="731" spans="1:7">
      <c r="A731" s="22"/>
      <c r="B731" s="22"/>
      <c r="C731" s="22"/>
      <c r="D731" s="22"/>
      <c r="E731" s="22"/>
      <c r="F731" s="22"/>
      <c r="G731" s="22"/>
    </row>
    <row r="732" spans="1:7">
      <c r="A732" s="22"/>
      <c r="B732" s="22"/>
      <c r="C732" s="22"/>
      <c r="D732" s="22"/>
      <c r="E732" s="22"/>
      <c r="F732" s="22"/>
      <c r="G732" s="22"/>
    </row>
    <row r="733" spans="1:7">
      <c r="A733" s="22"/>
      <c r="B733" s="22"/>
      <c r="C733" s="22"/>
      <c r="D733" s="22"/>
      <c r="E733" s="22"/>
      <c r="F733" s="22"/>
      <c r="G733" s="22"/>
    </row>
    <row r="734" spans="1:7">
      <c r="A734" s="22"/>
      <c r="B734" s="22"/>
      <c r="C734" s="22"/>
      <c r="D734" s="22"/>
      <c r="E734" s="22"/>
      <c r="F734" s="22"/>
      <c r="G734" s="22"/>
    </row>
    <row r="735" spans="1:7">
      <c r="A735" s="22"/>
      <c r="B735" s="22"/>
      <c r="C735" s="22"/>
      <c r="D735" s="22"/>
      <c r="E735" s="22"/>
      <c r="F735" s="22"/>
      <c r="G735" s="22"/>
    </row>
    <row r="736" spans="1:7">
      <c r="A736" s="22"/>
      <c r="B736" s="22"/>
      <c r="C736" s="22"/>
      <c r="D736" s="22"/>
      <c r="E736" s="22"/>
      <c r="F736" s="22"/>
      <c r="G736" s="22"/>
    </row>
    <row r="737" spans="1:7">
      <c r="A737" s="22"/>
      <c r="B737" s="22"/>
      <c r="C737" s="22"/>
      <c r="D737" s="22"/>
      <c r="E737" s="22"/>
      <c r="F737" s="22"/>
      <c r="G737" s="22"/>
    </row>
    <row r="738" spans="1:7">
      <c r="A738" s="22"/>
      <c r="B738" s="22"/>
      <c r="C738" s="22"/>
      <c r="D738" s="22"/>
      <c r="E738" s="22"/>
      <c r="F738" s="22"/>
      <c r="G738" s="22"/>
    </row>
    <row r="739" spans="1:7">
      <c r="A739" s="22"/>
      <c r="B739" s="22"/>
      <c r="C739" s="22"/>
      <c r="D739" s="22"/>
      <c r="E739" s="22"/>
      <c r="F739" s="22"/>
      <c r="G739" s="22"/>
    </row>
    <row r="740" spans="1:7">
      <c r="A740" s="22"/>
      <c r="B740" s="22"/>
      <c r="C740" s="22"/>
      <c r="D740" s="22"/>
      <c r="E740" s="22"/>
      <c r="F740" s="22"/>
      <c r="G740" s="22"/>
    </row>
    <row r="741" spans="1:7">
      <c r="A741" s="22"/>
      <c r="B741" s="22"/>
      <c r="C741" s="22"/>
      <c r="D741" s="22"/>
      <c r="E741" s="22"/>
      <c r="F741" s="22"/>
      <c r="G741" s="22"/>
    </row>
    <row r="742" spans="1:7">
      <c r="A742" s="22"/>
      <c r="B742" s="22"/>
      <c r="C742" s="22"/>
      <c r="D742" s="22"/>
      <c r="E742" s="22"/>
      <c r="F742" s="22"/>
      <c r="G742" s="22"/>
    </row>
    <row r="743" spans="1:7">
      <c r="A743" s="22"/>
      <c r="B743" s="22"/>
      <c r="C743" s="22"/>
      <c r="D743" s="22"/>
      <c r="E743" s="22"/>
      <c r="F743" s="22"/>
      <c r="G743" s="22"/>
    </row>
    <row r="744" spans="1:7">
      <c r="A744" s="22"/>
      <c r="B744" s="22"/>
      <c r="C744" s="22"/>
      <c r="D744" s="22"/>
      <c r="E744" s="22"/>
      <c r="F744" s="22"/>
      <c r="G744" s="22"/>
    </row>
    <row r="745" spans="1:7">
      <c r="A745" s="22"/>
      <c r="B745" s="22"/>
      <c r="C745" s="22"/>
      <c r="D745" s="22"/>
      <c r="E745" s="22"/>
      <c r="F745" s="22"/>
      <c r="G745" s="22"/>
    </row>
    <row r="746" spans="1:7">
      <c r="A746" s="39"/>
      <c r="B746" s="39"/>
      <c r="C746" s="39"/>
      <c r="D746" s="39"/>
      <c r="E746" s="39"/>
      <c r="F746" s="39"/>
      <c r="G746" s="39"/>
    </row>
  </sheetData>
  <conditionalFormatting sqref="A32">
    <cfRule type="duplicateValues" dxfId="3960" priority="2"/>
  </conditionalFormatting>
  <conditionalFormatting sqref="A154">
    <cfRule type="duplicateValues" dxfId="3960" priority="4"/>
  </conditionalFormatting>
  <conditionalFormatting sqref="A605">
    <cfRule type="duplicateValues" dxfId="3960" priority="1"/>
  </conditionalFormatting>
  <conditionalFormatting sqref="A158:A198">
    <cfRule type="duplicateValues" dxfId="3960" priority="3"/>
  </conditionalFormatting>
  <conditionalFormatting sqref="A2:A31 A33:A153 A680:A745 A155:A604 A606:A678">
    <cfRule type="duplicateValues" dxfId="3960" priority="5"/>
  </conditionalFormatting>
  <pageMargins left="0.7" right="0.7" top="0.75" bottom="0.75" header="0.3" footer="0.3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AB385"/>
  <sheetViews>
    <sheetView zoomScale="85" zoomScaleNormal="85" workbookViewId="0">
      <pane xSplit="2" ySplit="2" topLeftCell="D326" activePane="bottomRight" state="frozen"/>
      <selection/>
      <selection pane="topRight"/>
      <selection pane="bottomLeft"/>
      <selection pane="bottomRight" activeCell="B596" sqref="B596"/>
    </sheetView>
  </sheetViews>
  <sheetFormatPr defaultColWidth="8.85714285714286" defaultRowHeight="16.5"/>
  <cols>
    <col min="1" max="1" width="8.85714285714286" style="2"/>
    <col min="2" max="2" width="78.8571428571429" style="2" customWidth="1"/>
    <col min="3" max="3" width="49.8571428571429" style="2" customWidth="1"/>
    <col min="4" max="4" width="18.5714285714286" style="2" customWidth="1"/>
    <col min="5" max="5" width="27.4285714285714" style="2" customWidth="1"/>
    <col min="6" max="6" width="19.4285714285714" style="2" customWidth="1"/>
    <col min="7" max="7" width="23.4285714285714" style="2" customWidth="1"/>
    <col min="8" max="8" width="22.1428571428571" style="2" customWidth="1"/>
    <col min="9" max="9" width="13.5714285714286" style="2" customWidth="1"/>
    <col min="10" max="10" width="10.5714285714286" style="2" customWidth="1"/>
    <col min="11" max="11" width="9.85714285714286" style="2" customWidth="1"/>
    <col min="12" max="12" width="10.8571428571429" style="2" customWidth="1"/>
    <col min="13" max="13" width="13.8571428571429" style="2" customWidth="1"/>
    <col min="14" max="14" width="9.42857142857143" style="2" customWidth="1"/>
    <col min="15" max="15" width="12.8571428571429" style="2" customWidth="1"/>
    <col min="16" max="18" width="17.4285714285714" style="2" customWidth="1"/>
    <col min="19" max="20" width="9.14285714285714" style="2" customWidth="1"/>
    <col min="21" max="21" width="8.85714285714286" style="2"/>
    <col min="22" max="22" width="28.8571428571429" style="2" customWidth="1"/>
    <col min="23" max="25" width="19.1428571428571" style="2" customWidth="1"/>
    <col min="26" max="26" width="24.5714285714286" style="2" customWidth="1"/>
    <col min="27" max="27" width="15.8571428571429" style="2" customWidth="1"/>
    <col min="28" max="28" width="90.1428571428571" style="2" customWidth="1"/>
    <col min="29" max="16384" width="8.85714285714286" style="2"/>
  </cols>
  <sheetData>
    <row r="1" spans="1:18">
      <c r="A1" s="13" t="s">
        <v>1586</v>
      </c>
      <c r="B1" s="13" t="s">
        <v>1587</v>
      </c>
      <c r="C1" s="13" t="s">
        <v>551</v>
      </c>
      <c r="D1" s="13" t="s">
        <v>601</v>
      </c>
      <c r="E1" s="13" t="s">
        <v>342</v>
      </c>
      <c r="F1" s="13" t="s">
        <v>552</v>
      </c>
      <c r="G1" s="13" t="s">
        <v>553</v>
      </c>
      <c r="H1" s="13" t="s">
        <v>554</v>
      </c>
      <c r="I1" s="13" t="s">
        <v>555</v>
      </c>
      <c r="J1" s="13" t="s">
        <v>262</v>
      </c>
      <c r="K1" s="13" t="s">
        <v>556</v>
      </c>
      <c r="L1" s="13" t="s">
        <v>557</v>
      </c>
      <c r="M1" s="13" t="s">
        <v>558</v>
      </c>
      <c r="N1" s="13" t="s">
        <v>559</v>
      </c>
      <c r="O1" s="13" t="s">
        <v>560</v>
      </c>
      <c r="P1" s="13" t="s">
        <v>561</v>
      </c>
      <c r="Q1" s="13" t="s">
        <v>266</v>
      </c>
      <c r="R1" s="13" t="s">
        <v>1588</v>
      </c>
    </row>
    <row r="2" s="9" customFormat="1" spans="1:28">
      <c r="A2" s="14" t="s">
        <v>1589</v>
      </c>
      <c r="B2" s="14">
        <v>1</v>
      </c>
      <c r="C2" s="14">
        <v>2</v>
      </c>
      <c r="D2" s="14">
        <v>3</v>
      </c>
      <c r="E2" s="14">
        <v>4</v>
      </c>
      <c r="F2" s="14">
        <v>5</v>
      </c>
      <c r="G2" s="14">
        <v>6</v>
      </c>
      <c r="H2" s="14">
        <v>7</v>
      </c>
      <c r="I2" s="14">
        <v>8</v>
      </c>
      <c r="J2" s="14">
        <v>9</v>
      </c>
      <c r="K2" s="14">
        <v>10</v>
      </c>
      <c r="L2" s="14">
        <v>11</v>
      </c>
      <c r="M2" s="14">
        <v>12</v>
      </c>
      <c r="N2" s="14">
        <v>13</v>
      </c>
      <c r="O2" s="14">
        <v>14</v>
      </c>
      <c r="P2" s="14">
        <v>15</v>
      </c>
      <c r="Q2" s="14">
        <v>16</v>
      </c>
      <c r="R2" s="14">
        <v>17</v>
      </c>
      <c r="S2" s="14"/>
      <c r="AA2" s="9" t="s">
        <v>12</v>
      </c>
      <c r="AB2" s="9" t="s">
        <v>548</v>
      </c>
    </row>
    <row r="3" spans="2:28">
      <c r="B3" s="2" t="s">
        <v>1590</v>
      </c>
      <c r="C3" s="2" t="s">
        <v>790</v>
      </c>
      <c r="D3" s="2" t="s">
        <v>784</v>
      </c>
      <c r="E3" s="2" t="s">
        <v>346</v>
      </c>
      <c r="F3" s="2" t="s">
        <v>346</v>
      </c>
      <c r="G3" s="2" t="s">
        <v>1591</v>
      </c>
      <c r="H3" s="2" t="s">
        <v>577</v>
      </c>
      <c r="I3" s="2" t="s">
        <v>1586</v>
      </c>
      <c r="J3" s="2">
        <v>0</v>
      </c>
      <c r="K3" s="2" t="s">
        <v>1592</v>
      </c>
      <c r="L3" s="2" t="s">
        <v>1593</v>
      </c>
      <c r="M3" s="2" t="s">
        <v>1594</v>
      </c>
      <c r="N3" s="2" t="s">
        <v>1595</v>
      </c>
      <c r="O3" s="2" t="s">
        <v>1596</v>
      </c>
      <c r="P3" s="2" t="s">
        <v>1597</v>
      </c>
      <c r="Q3" s="2" t="s">
        <v>588</v>
      </c>
      <c r="R3" s="2" t="s">
        <v>588</v>
      </c>
      <c r="U3" s="2" t="s">
        <v>1598</v>
      </c>
      <c r="AA3" s="2" t="s">
        <v>21</v>
      </c>
      <c r="AB3" s="2" t="s">
        <v>1599</v>
      </c>
    </row>
    <row r="4" spans="2:28">
      <c r="B4" s="2" t="s">
        <v>24</v>
      </c>
      <c r="C4" s="2" t="s">
        <v>790</v>
      </c>
      <c r="D4" s="2" t="s">
        <v>784</v>
      </c>
      <c r="E4" s="2" t="s">
        <v>346</v>
      </c>
      <c r="F4" s="2" t="s">
        <v>346</v>
      </c>
      <c r="G4" s="2" t="s">
        <v>1591</v>
      </c>
      <c r="H4" s="2" t="s">
        <v>577</v>
      </c>
      <c r="I4" s="2" t="s">
        <v>1586</v>
      </c>
      <c r="J4" s="2">
        <v>0</v>
      </c>
      <c r="K4" s="2" t="s">
        <v>1592</v>
      </c>
      <c r="L4" s="2" t="s">
        <v>1593</v>
      </c>
      <c r="M4" s="2" t="s">
        <v>1594</v>
      </c>
      <c r="N4" s="2" t="s">
        <v>1595</v>
      </c>
      <c r="O4" s="2" t="s">
        <v>1596</v>
      </c>
      <c r="P4" s="2" t="s">
        <v>1597</v>
      </c>
      <c r="Q4" s="2" t="s">
        <v>588</v>
      </c>
      <c r="R4" s="2" t="s">
        <v>588</v>
      </c>
      <c r="U4" s="2" t="s">
        <v>1600</v>
      </c>
      <c r="V4" s="2" t="s">
        <v>1601</v>
      </c>
      <c r="AA4" s="2" t="s">
        <v>105</v>
      </c>
      <c r="AB4" s="2" t="s">
        <v>1599</v>
      </c>
    </row>
    <row r="5" spans="2:28">
      <c r="B5" s="2" t="s">
        <v>1602</v>
      </c>
      <c r="C5" s="2" t="s">
        <v>792</v>
      </c>
      <c r="D5" s="2" t="s">
        <v>784</v>
      </c>
      <c r="E5" s="2" t="s">
        <v>346</v>
      </c>
      <c r="F5" s="2" t="s">
        <v>346</v>
      </c>
      <c r="G5" s="2" t="s">
        <v>1603</v>
      </c>
      <c r="H5" s="2" t="s">
        <v>577</v>
      </c>
      <c r="I5" s="2" t="s">
        <v>1586</v>
      </c>
      <c r="J5" s="2">
        <v>0</v>
      </c>
      <c r="K5" s="2" t="s">
        <v>1592</v>
      </c>
      <c r="L5" s="2" t="s">
        <v>1593</v>
      </c>
      <c r="M5" s="2" t="s">
        <v>1594</v>
      </c>
      <c r="N5" s="2" t="s">
        <v>1595</v>
      </c>
      <c r="O5" s="2" t="s">
        <v>1596</v>
      </c>
      <c r="P5" s="2" t="s">
        <v>1597</v>
      </c>
      <c r="Q5" s="2" t="s">
        <v>588</v>
      </c>
      <c r="R5" s="2" t="s">
        <v>588</v>
      </c>
      <c r="U5" s="2" t="s">
        <v>1604</v>
      </c>
      <c r="V5" s="2" t="s">
        <v>1605</v>
      </c>
      <c r="W5" s="2" t="s">
        <v>1139</v>
      </c>
      <c r="AA5" s="2" t="s">
        <v>166</v>
      </c>
      <c r="AB5" s="2" t="s">
        <v>1599</v>
      </c>
    </row>
    <row r="6" spans="2:28">
      <c r="B6" s="2" t="s">
        <v>1606</v>
      </c>
      <c r="C6" s="2" t="s">
        <v>792</v>
      </c>
      <c r="D6" s="2" t="s">
        <v>784</v>
      </c>
      <c r="E6" s="2" t="s">
        <v>346</v>
      </c>
      <c r="F6" s="2" t="s">
        <v>346</v>
      </c>
      <c r="G6" s="2" t="s">
        <v>1603</v>
      </c>
      <c r="H6" s="2" t="s">
        <v>577</v>
      </c>
      <c r="I6" s="2" t="s">
        <v>1586</v>
      </c>
      <c r="J6" s="2">
        <v>0</v>
      </c>
      <c r="K6" s="2" t="s">
        <v>1592</v>
      </c>
      <c r="L6" s="2" t="s">
        <v>1593</v>
      </c>
      <c r="M6" s="2" t="s">
        <v>1594</v>
      </c>
      <c r="N6" s="2" t="s">
        <v>1595</v>
      </c>
      <c r="O6" s="2" t="s">
        <v>1596</v>
      </c>
      <c r="P6" s="2" t="s">
        <v>1597</v>
      </c>
      <c r="Q6" s="2" t="s">
        <v>588</v>
      </c>
      <c r="R6" s="2" t="s">
        <v>588</v>
      </c>
      <c r="U6" s="2" t="s">
        <v>1607</v>
      </c>
      <c r="V6" s="2" t="s">
        <v>1608</v>
      </c>
      <c r="AA6" s="2" t="s">
        <v>169</v>
      </c>
      <c r="AB6" s="2" t="s">
        <v>1609</v>
      </c>
    </row>
    <row r="7" spans="2:28">
      <c r="B7" s="2" t="s">
        <v>1610</v>
      </c>
      <c r="C7" s="2" t="s">
        <v>792</v>
      </c>
      <c r="D7" s="2" t="s">
        <v>784</v>
      </c>
      <c r="E7" s="2" t="s">
        <v>1611</v>
      </c>
      <c r="F7" s="2" t="s">
        <v>1612</v>
      </c>
      <c r="G7" s="2" t="s">
        <v>1603</v>
      </c>
      <c r="H7" s="2" t="s">
        <v>577</v>
      </c>
      <c r="I7" s="2" t="s">
        <v>1586</v>
      </c>
      <c r="J7" s="2">
        <v>0</v>
      </c>
      <c r="K7" s="2" t="s">
        <v>1592</v>
      </c>
      <c r="L7" s="2" t="s">
        <v>1593</v>
      </c>
      <c r="M7" s="2" t="s">
        <v>1594</v>
      </c>
      <c r="N7" s="2" t="s">
        <v>1595</v>
      </c>
      <c r="O7" s="2" t="s">
        <v>1596</v>
      </c>
      <c r="P7" s="2" t="s">
        <v>1597</v>
      </c>
      <c r="Q7" s="2" t="s">
        <v>588</v>
      </c>
      <c r="R7" s="2" t="s">
        <v>588</v>
      </c>
      <c r="U7" s="2" t="s">
        <v>1613</v>
      </c>
      <c r="V7" s="2" t="s">
        <v>1614</v>
      </c>
      <c r="AA7" s="2" t="s">
        <v>208</v>
      </c>
      <c r="AB7" s="2" t="s">
        <v>1609</v>
      </c>
    </row>
    <row r="8" spans="2:28">
      <c r="B8" s="2" t="s">
        <v>1615</v>
      </c>
      <c r="C8" s="2" t="s">
        <v>804</v>
      </c>
      <c r="D8" s="2" t="s">
        <v>784</v>
      </c>
      <c r="E8" s="2" t="s">
        <v>1616</v>
      </c>
      <c r="F8" s="2" t="s">
        <v>1617</v>
      </c>
      <c r="G8" s="2" t="s">
        <v>1618</v>
      </c>
      <c r="H8" s="2" t="s">
        <v>577</v>
      </c>
      <c r="I8" s="2" t="s">
        <v>1586</v>
      </c>
      <c r="J8" s="2">
        <v>0</v>
      </c>
      <c r="K8" s="2" t="s">
        <v>1592</v>
      </c>
      <c r="L8" s="2" t="s">
        <v>1593</v>
      </c>
      <c r="M8" s="2" t="s">
        <v>1594</v>
      </c>
      <c r="N8" s="2" t="s">
        <v>1595</v>
      </c>
      <c r="O8" s="2" t="s">
        <v>1596</v>
      </c>
      <c r="P8" s="2" t="s">
        <v>1597</v>
      </c>
      <c r="Q8" s="2" t="s">
        <v>588</v>
      </c>
      <c r="R8" s="2" t="s">
        <v>588</v>
      </c>
      <c r="AA8" s="2" t="s">
        <v>225</v>
      </c>
      <c r="AB8" s="2" t="s">
        <v>1619</v>
      </c>
    </row>
    <row r="9" spans="2:22">
      <c r="B9" s="2" t="s">
        <v>1620</v>
      </c>
      <c r="C9" s="2" t="s">
        <v>804</v>
      </c>
      <c r="D9" s="2" t="s">
        <v>784</v>
      </c>
      <c r="E9" s="2" t="s">
        <v>1616</v>
      </c>
      <c r="F9" s="2" t="s">
        <v>1617</v>
      </c>
      <c r="G9" s="2" t="s">
        <v>1618</v>
      </c>
      <c r="H9" s="2" t="s">
        <v>577</v>
      </c>
      <c r="I9" s="2" t="s">
        <v>1586</v>
      </c>
      <c r="J9" s="2">
        <v>0</v>
      </c>
      <c r="K9" s="2" t="s">
        <v>1592</v>
      </c>
      <c r="L9" s="2" t="s">
        <v>1593</v>
      </c>
      <c r="M9" s="2" t="s">
        <v>1594</v>
      </c>
      <c r="N9" s="2" t="s">
        <v>1595</v>
      </c>
      <c r="O9" s="2" t="s">
        <v>1596</v>
      </c>
      <c r="P9" s="2" t="s">
        <v>1597</v>
      </c>
      <c r="Q9" s="2" t="s">
        <v>588</v>
      </c>
      <c r="R9" s="2" t="s">
        <v>588</v>
      </c>
      <c r="U9" s="2" t="s">
        <v>1621</v>
      </c>
      <c r="V9" s="2" t="s">
        <v>1621</v>
      </c>
    </row>
    <row r="10" spans="2:22">
      <c r="B10" s="2" t="s">
        <v>36</v>
      </c>
      <c r="C10" s="2" t="s">
        <v>804</v>
      </c>
      <c r="D10" s="2" t="s">
        <v>784</v>
      </c>
      <c r="E10" s="2" t="s">
        <v>350</v>
      </c>
      <c r="F10" s="2" t="s">
        <v>1617</v>
      </c>
      <c r="G10" s="2" t="s">
        <v>1618</v>
      </c>
      <c r="H10" s="2" t="s">
        <v>577</v>
      </c>
      <c r="I10" s="2" t="s">
        <v>1586</v>
      </c>
      <c r="J10" s="2">
        <v>0</v>
      </c>
      <c r="K10" s="2" t="s">
        <v>1592</v>
      </c>
      <c r="L10" s="2" t="s">
        <v>1593</v>
      </c>
      <c r="M10" s="2" t="s">
        <v>1594</v>
      </c>
      <c r="N10" s="2" t="s">
        <v>1595</v>
      </c>
      <c r="O10" s="2" t="s">
        <v>1596</v>
      </c>
      <c r="P10" s="2" t="s">
        <v>1597</v>
      </c>
      <c r="Q10" s="2" t="s">
        <v>588</v>
      </c>
      <c r="R10" s="2" t="s">
        <v>588</v>
      </c>
      <c r="U10" s="2" t="s">
        <v>1622</v>
      </c>
      <c r="V10" s="2" t="s">
        <v>1622</v>
      </c>
    </row>
    <row r="11" spans="2:18">
      <c r="B11" s="2" t="s">
        <v>1623</v>
      </c>
      <c r="C11" s="2" t="s">
        <v>790</v>
      </c>
      <c r="D11" s="2" t="s">
        <v>784</v>
      </c>
      <c r="E11" s="2" t="s">
        <v>1616</v>
      </c>
      <c r="F11" s="2" t="s">
        <v>1612</v>
      </c>
      <c r="G11" s="2" t="s">
        <v>1591</v>
      </c>
      <c r="H11" s="2" t="s">
        <v>577</v>
      </c>
      <c r="I11" s="2" t="s">
        <v>1586</v>
      </c>
      <c r="J11" s="2">
        <v>0</v>
      </c>
      <c r="K11" s="2" t="s">
        <v>1592</v>
      </c>
      <c r="L11" s="2" t="s">
        <v>1593</v>
      </c>
      <c r="M11" s="2" t="s">
        <v>1594</v>
      </c>
      <c r="N11" s="2" t="s">
        <v>1595</v>
      </c>
      <c r="O11" s="2" t="s">
        <v>1596</v>
      </c>
      <c r="P11" s="2" t="s">
        <v>1597</v>
      </c>
      <c r="Q11" s="2" t="s">
        <v>588</v>
      </c>
      <c r="R11" s="2" t="s">
        <v>588</v>
      </c>
    </row>
    <row r="12" spans="2:22">
      <c r="B12" s="2" t="s">
        <v>1624</v>
      </c>
      <c r="C12" s="2" t="s">
        <v>790</v>
      </c>
      <c r="D12" s="2" t="s">
        <v>784</v>
      </c>
      <c r="E12" s="2" t="s">
        <v>1616</v>
      </c>
      <c r="F12" s="2" t="s">
        <v>1612</v>
      </c>
      <c r="G12" s="2" t="s">
        <v>1591</v>
      </c>
      <c r="H12" s="2" t="s">
        <v>577</v>
      </c>
      <c r="I12" s="2" t="s">
        <v>1586</v>
      </c>
      <c r="J12" s="2">
        <v>0</v>
      </c>
      <c r="K12" s="2" t="s">
        <v>1592</v>
      </c>
      <c r="L12" s="2" t="s">
        <v>1593</v>
      </c>
      <c r="M12" s="2" t="s">
        <v>1594</v>
      </c>
      <c r="N12" s="2" t="s">
        <v>1595</v>
      </c>
      <c r="O12" s="2" t="s">
        <v>1596</v>
      </c>
      <c r="P12" s="2" t="s">
        <v>1597</v>
      </c>
      <c r="Q12" s="2" t="s">
        <v>588</v>
      </c>
      <c r="R12" s="2" t="s">
        <v>588</v>
      </c>
      <c r="U12" s="2" t="s">
        <v>588</v>
      </c>
      <c r="V12" s="2" t="s">
        <v>1625</v>
      </c>
    </row>
    <row r="13" spans="2:22">
      <c r="B13" s="2" t="s">
        <v>34</v>
      </c>
      <c r="C13" s="2" t="s">
        <v>792</v>
      </c>
      <c r="D13" s="2" t="s">
        <v>784</v>
      </c>
      <c r="E13" s="2" t="s">
        <v>350</v>
      </c>
      <c r="F13" s="2" t="s">
        <v>1612</v>
      </c>
      <c r="G13" s="2" t="s">
        <v>1603</v>
      </c>
      <c r="H13" s="2" t="s">
        <v>577</v>
      </c>
      <c r="I13" s="2" t="s">
        <v>1586</v>
      </c>
      <c r="J13" s="2">
        <v>0</v>
      </c>
      <c r="K13" s="2" t="s">
        <v>1592</v>
      </c>
      <c r="L13" s="2" t="s">
        <v>1593</v>
      </c>
      <c r="M13" s="2" t="s">
        <v>1594</v>
      </c>
      <c r="N13" s="2" t="s">
        <v>1595</v>
      </c>
      <c r="O13" s="2" t="s">
        <v>1596</v>
      </c>
      <c r="P13" s="2" t="s">
        <v>1597</v>
      </c>
      <c r="Q13" s="2" t="s">
        <v>588</v>
      </c>
      <c r="R13" s="2" t="s">
        <v>588</v>
      </c>
      <c r="U13" s="2" t="s">
        <v>577</v>
      </c>
      <c r="V13" s="2" t="s">
        <v>1626</v>
      </c>
    </row>
    <row r="14" spans="2:18">
      <c r="B14" s="2" t="s">
        <v>1627</v>
      </c>
      <c r="C14" s="2" t="s">
        <v>804</v>
      </c>
      <c r="D14" s="2" t="s">
        <v>784</v>
      </c>
      <c r="E14" s="2" t="s">
        <v>348</v>
      </c>
      <c r="F14" s="2" t="s">
        <v>1617</v>
      </c>
      <c r="G14" s="2" t="s">
        <v>1618</v>
      </c>
      <c r="H14" s="2" t="s">
        <v>577</v>
      </c>
      <c r="I14" s="2" t="s">
        <v>1586</v>
      </c>
      <c r="J14" s="2">
        <v>0</v>
      </c>
      <c r="K14" s="2" t="s">
        <v>1592</v>
      </c>
      <c r="L14" s="2" t="s">
        <v>1593</v>
      </c>
      <c r="M14" s="2" t="s">
        <v>1594</v>
      </c>
      <c r="N14" s="2" t="s">
        <v>1595</v>
      </c>
      <c r="O14" s="2" t="s">
        <v>1596</v>
      </c>
      <c r="P14" s="2" t="s">
        <v>1597</v>
      </c>
      <c r="Q14" s="2" t="s">
        <v>588</v>
      </c>
      <c r="R14" s="2" t="s">
        <v>588</v>
      </c>
    </row>
    <row r="15" spans="2:21">
      <c r="B15" s="2" t="s">
        <v>28</v>
      </c>
      <c r="C15" s="2" t="s">
        <v>804</v>
      </c>
      <c r="D15" s="2" t="s">
        <v>784</v>
      </c>
      <c r="E15" s="2" t="s">
        <v>348</v>
      </c>
      <c r="F15" s="2" t="s">
        <v>1617</v>
      </c>
      <c r="G15" s="2" t="s">
        <v>1618</v>
      </c>
      <c r="H15" s="2" t="s">
        <v>577</v>
      </c>
      <c r="I15" s="2" t="s">
        <v>1586</v>
      </c>
      <c r="J15" s="2">
        <v>0</v>
      </c>
      <c r="K15" s="2" t="s">
        <v>1592</v>
      </c>
      <c r="L15" s="2" t="s">
        <v>1593</v>
      </c>
      <c r="M15" s="2" t="s">
        <v>1594</v>
      </c>
      <c r="N15" s="2" t="s">
        <v>1595</v>
      </c>
      <c r="O15" s="2" t="s">
        <v>1596</v>
      </c>
      <c r="P15" s="2" t="s">
        <v>1597</v>
      </c>
      <c r="Q15" s="2" t="s">
        <v>588</v>
      </c>
      <c r="R15" s="2" t="s">
        <v>588</v>
      </c>
      <c r="U15" s="2" t="s">
        <v>1628</v>
      </c>
    </row>
    <row r="16" spans="2:21">
      <c r="B16" s="2" t="s">
        <v>1629</v>
      </c>
      <c r="C16" s="2" t="s">
        <v>790</v>
      </c>
      <c r="D16" s="2" t="s">
        <v>784</v>
      </c>
      <c r="E16" s="2" t="s">
        <v>348</v>
      </c>
      <c r="F16" s="2" t="s">
        <v>1612</v>
      </c>
      <c r="G16" s="2" t="s">
        <v>1591</v>
      </c>
      <c r="H16" s="2" t="s">
        <v>577</v>
      </c>
      <c r="I16" s="2" t="s">
        <v>1586</v>
      </c>
      <c r="J16" s="2">
        <v>0</v>
      </c>
      <c r="K16" s="2" t="s">
        <v>1592</v>
      </c>
      <c r="L16" s="2" t="s">
        <v>1593</v>
      </c>
      <c r="M16" s="2" t="s">
        <v>1594</v>
      </c>
      <c r="N16" s="2" t="s">
        <v>1595</v>
      </c>
      <c r="O16" s="2" t="s">
        <v>1596</v>
      </c>
      <c r="P16" s="2" t="s">
        <v>1597</v>
      </c>
      <c r="Q16" s="2" t="s">
        <v>588</v>
      </c>
      <c r="R16" s="2" t="s">
        <v>588</v>
      </c>
      <c r="U16" s="2" t="s">
        <v>1630</v>
      </c>
    </row>
    <row r="17" spans="2:18">
      <c r="B17" s="2" t="s">
        <v>26</v>
      </c>
      <c r="C17" s="2" t="s">
        <v>792</v>
      </c>
      <c r="D17" s="2" t="s">
        <v>784</v>
      </c>
      <c r="E17" s="2" t="s">
        <v>348</v>
      </c>
      <c r="F17" s="2" t="s">
        <v>1612</v>
      </c>
      <c r="G17" s="2" t="s">
        <v>1603</v>
      </c>
      <c r="H17" s="2" t="s">
        <v>577</v>
      </c>
      <c r="I17" s="2" t="s">
        <v>1586</v>
      </c>
      <c r="J17" s="2">
        <v>0</v>
      </c>
      <c r="K17" s="2" t="s">
        <v>1592</v>
      </c>
      <c r="L17" s="2" t="s">
        <v>1593</v>
      </c>
      <c r="M17" s="2" t="s">
        <v>1594</v>
      </c>
      <c r="N17" s="2" t="s">
        <v>1595</v>
      </c>
      <c r="O17" s="2" t="s">
        <v>1596</v>
      </c>
      <c r="P17" s="2" t="s">
        <v>1597</v>
      </c>
      <c r="Q17" s="2" t="s">
        <v>588</v>
      </c>
      <c r="R17" s="2" t="s">
        <v>588</v>
      </c>
    </row>
    <row r="18" spans="2:21">
      <c r="B18" s="2" t="s">
        <v>40</v>
      </c>
      <c r="C18" s="2" t="s">
        <v>882</v>
      </c>
      <c r="D18" s="2" t="s">
        <v>824</v>
      </c>
      <c r="E18" s="2" t="s">
        <v>352</v>
      </c>
      <c r="F18" s="2" t="s">
        <v>1631</v>
      </c>
      <c r="G18" s="2" t="s">
        <v>1632</v>
      </c>
      <c r="H18" s="2" t="s">
        <v>577</v>
      </c>
      <c r="I18" s="2" t="s">
        <v>1586</v>
      </c>
      <c r="J18" s="2">
        <v>0</v>
      </c>
      <c r="K18" s="2" t="s">
        <v>1592</v>
      </c>
      <c r="L18" s="2" t="s">
        <v>1593</v>
      </c>
      <c r="M18" s="2" t="s">
        <v>1594</v>
      </c>
      <c r="N18" s="2" t="s">
        <v>1595</v>
      </c>
      <c r="O18" s="2" t="s">
        <v>1596</v>
      </c>
      <c r="P18" s="2" t="s">
        <v>1597</v>
      </c>
      <c r="Q18" s="2" t="s">
        <v>588</v>
      </c>
      <c r="R18" s="2" t="s">
        <v>588</v>
      </c>
      <c r="U18" s="2" t="s">
        <v>1633</v>
      </c>
    </row>
    <row r="19" spans="2:21">
      <c r="B19" s="2" t="s">
        <v>38</v>
      </c>
      <c r="C19" s="2" t="s">
        <v>882</v>
      </c>
      <c r="D19" s="2" t="s">
        <v>824</v>
      </c>
      <c r="E19" s="2" t="s">
        <v>352</v>
      </c>
      <c r="F19" s="2" t="s">
        <v>1631</v>
      </c>
      <c r="G19" s="2" t="s">
        <v>1632</v>
      </c>
      <c r="H19" s="2" t="s">
        <v>577</v>
      </c>
      <c r="I19" s="2" t="s">
        <v>1586</v>
      </c>
      <c r="J19" s="2">
        <v>0</v>
      </c>
      <c r="K19" s="2" t="s">
        <v>1592</v>
      </c>
      <c r="L19" s="2" t="s">
        <v>1593</v>
      </c>
      <c r="M19" s="2" t="s">
        <v>1594</v>
      </c>
      <c r="N19" s="2" t="s">
        <v>1595</v>
      </c>
      <c r="O19" s="2" t="s">
        <v>1596</v>
      </c>
      <c r="P19" s="2" t="s">
        <v>1597</v>
      </c>
      <c r="Q19" s="2" t="s">
        <v>588</v>
      </c>
      <c r="R19" s="2" t="s">
        <v>588</v>
      </c>
      <c r="U19" s="2" t="s">
        <v>1634</v>
      </c>
    </row>
    <row r="20" spans="2:21">
      <c r="B20" s="2" t="s">
        <v>42</v>
      </c>
      <c r="C20" s="2" t="s">
        <v>804</v>
      </c>
      <c r="D20" s="2" t="s">
        <v>784</v>
      </c>
      <c r="E20" s="2" t="s">
        <v>352</v>
      </c>
      <c r="F20" s="2" t="s">
        <v>1617</v>
      </c>
      <c r="G20" s="2" t="s">
        <v>1618</v>
      </c>
      <c r="H20" s="2" t="s">
        <v>577</v>
      </c>
      <c r="I20" s="2" t="s">
        <v>1586</v>
      </c>
      <c r="J20" s="2">
        <v>0</v>
      </c>
      <c r="K20" s="2" t="s">
        <v>1592</v>
      </c>
      <c r="L20" s="2" t="s">
        <v>1593</v>
      </c>
      <c r="M20" s="2" t="s">
        <v>1594</v>
      </c>
      <c r="N20" s="2" t="s">
        <v>1595</v>
      </c>
      <c r="O20" s="2" t="s">
        <v>1596</v>
      </c>
      <c r="P20" s="2" t="s">
        <v>1597</v>
      </c>
      <c r="Q20" s="2" t="s">
        <v>588</v>
      </c>
      <c r="R20" s="2" t="s">
        <v>588</v>
      </c>
      <c r="U20" s="2" t="s">
        <v>1635</v>
      </c>
    </row>
    <row r="21" spans="2:21">
      <c r="B21" s="2" t="s">
        <v>1636</v>
      </c>
      <c r="C21" s="2" t="s">
        <v>802</v>
      </c>
      <c r="D21" s="2" t="s">
        <v>784</v>
      </c>
      <c r="E21" s="2" t="s">
        <v>353</v>
      </c>
      <c r="F21" s="2" t="s">
        <v>1637</v>
      </c>
      <c r="G21" s="2" t="s">
        <v>1638</v>
      </c>
      <c r="H21" s="2" t="s">
        <v>577</v>
      </c>
      <c r="I21" s="2" t="s">
        <v>1586</v>
      </c>
      <c r="J21" s="2">
        <v>0</v>
      </c>
      <c r="K21" s="2" t="s">
        <v>1592</v>
      </c>
      <c r="L21" s="2" t="s">
        <v>1593</v>
      </c>
      <c r="M21" s="2" t="s">
        <v>1594</v>
      </c>
      <c r="N21" s="2" t="s">
        <v>1595</v>
      </c>
      <c r="O21" s="2" t="s">
        <v>1596</v>
      </c>
      <c r="P21" s="2" t="s">
        <v>1597</v>
      </c>
      <c r="Q21" s="2" t="s">
        <v>588</v>
      </c>
      <c r="R21" s="2" t="s">
        <v>588</v>
      </c>
      <c r="U21" s="2" t="s">
        <v>1639</v>
      </c>
    </row>
    <row r="22" spans="2:21">
      <c r="B22" s="2" t="s">
        <v>55</v>
      </c>
      <c r="C22" s="2" t="s">
        <v>802</v>
      </c>
      <c r="D22" s="2" t="s">
        <v>784</v>
      </c>
      <c r="E22" s="2" t="s">
        <v>353</v>
      </c>
      <c r="F22" s="2" t="s">
        <v>1637</v>
      </c>
      <c r="G22" s="2" t="s">
        <v>1638</v>
      </c>
      <c r="H22" s="2" t="s">
        <v>577</v>
      </c>
      <c r="I22" s="2" t="s">
        <v>1586</v>
      </c>
      <c r="J22" s="2">
        <v>0</v>
      </c>
      <c r="K22" s="2" t="s">
        <v>1592</v>
      </c>
      <c r="L22" s="2" t="s">
        <v>1593</v>
      </c>
      <c r="M22" s="2" t="s">
        <v>1594</v>
      </c>
      <c r="N22" s="2" t="s">
        <v>1595</v>
      </c>
      <c r="O22" s="2" t="s">
        <v>1596</v>
      </c>
      <c r="P22" s="2" t="s">
        <v>1597</v>
      </c>
      <c r="Q22" s="2" t="s">
        <v>588</v>
      </c>
      <c r="R22" s="2" t="s">
        <v>588</v>
      </c>
      <c r="U22" s="2" t="s">
        <v>1640</v>
      </c>
    </row>
    <row r="23" spans="2:18">
      <c r="B23" s="2" t="s">
        <v>57</v>
      </c>
      <c r="C23" s="2" t="s">
        <v>804</v>
      </c>
      <c r="D23" s="2" t="s">
        <v>784</v>
      </c>
      <c r="E23" s="2" t="s">
        <v>353</v>
      </c>
      <c r="F23" s="2" t="s">
        <v>1617</v>
      </c>
      <c r="G23" s="2" t="s">
        <v>1618</v>
      </c>
      <c r="H23" s="2" t="s">
        <v>577</v>
      </c>
      <c r="I23" s="2" t="s">
        <v>1586</v>
      </c>
      <c r="K23" s="2" t="s">
        <v>1592</v>
      </c>
      <c r="L23" s="2" t="s">
        <v>1593</v>
      </c>
      <c r="M23" s="2" t="s">
        <v>1594</v>
      </c>
      <c r="N23" s="2" t="s">
        <v>1595</v>
      </c>
      <c r="O23" s="2" t="s">
        <v>1596</v>
      </c>
      <c r="P23" s="2" t="s">
        <v>1597</v>
      </c>
      <c r="Q23" s="2" t="s">
        <v>588</v>
      </c>
      <c r="R23" s="2" t="s">
        <v>588</v>
      </c>
    </row>
    <row r="24" spans="2:18">
      <c r="B24" s="2" t="s">
        <v>59</v>
      </c>
      <c r="C24" s="2" t="s">
        <v>799</v>
      </c>
      <c r="D24" s="2" t="s">
        <v>784</v>
      </c>
      <c r="E24" s="2" t="s">
        <v>354</v>
      </c>
      <c r="F24" s="2" t="s">
        <v>1641</v>
      </c>
      <c r="G24" s="2" t="s">
        <v>1642</v>
      </c>
      <c r="H24" s="2" t="s">
        <v>577</v>
      </c>
      <c r="I24" s="2" t="s">
        <v>1586</v>
      </c>
      <c r="J24" s="2">
        <v>0</v>
      </c>
      <c r="K24" s="2" t="s">
        <v>1592</v>
      </c>
      <c r="L24" s="2" t="s">
        <v>1593</v>
      </c>
      <c r="M24" s="2" t="s">
        <v>1594</v>
      </c>
      <c r="N24" s="2" t="s">
        <v>1595</v>
      </c>
      <c r="O24" s="2" t="s">
        <v>1596</v>
      </c>
      <c r="P24" s="2" t="s">
        <v>1597</v>
      </c>
      <c r="Q24" s="2" t="s">
        <v>588</v>
      </c>
      <c r="R24" s="2" t="s">
        <v>588</v>
      </c>
    </row>
    <row r="25" spans="2:18">
      <c r="B25" s="2" t="s">
        <v>1643</v>
      </c>
      <c r="C25" s="2" t="s">
        <v>799</v>
      </c>
      <c r="D25" s="2" t="s">
        <v>784</v>
      </c>
      <c r="E25" s="2" t="s">
        <v>354</v>
      </c>
      <c r="F25" s="2" t="s">
        <v>1641</v>
      </c>
      <c r="G25" s="2" t="s">
        <v>1642</v>
      </c>
      <c r="H25" s="2" t="s">
        <v>577</v>
      </c>
      <c r="I25" s="2" t="s">
        <v>1586</v>
      </c>
      <c r="J25" s="2">
        <v>0</v>
      </c>
      <c r="K25" s="2" t="s">
        <v>1592</v>
      </c>
      <c r="L25" s="2" t="s">
        <v>1593</v>
      </c>
      <c r="M25" s="2" t="s">
        <v>1594</v>
      </c>
      <c r="N25" s="2" t="s">
        <v>1595</v>
      </c>
      <c r="O25" s="2" t="s">
        <v>1596</v>
      </c>
      <c r="P25" s="2" t="s">
        <v>1597</v>
      </c>
      <c r="Q25" s="2" t="s">
        <v>588</v>
      </c>
      <c r="R25" s="2" t="s">
        <v>588</v>
      </c>
    </row>
    <row r="26" spans="2:18">
      <c r="B26" s="2" t="s">
        <v>61</v>
      </c>
      <c r="C26" s="2" t="s">
        <v>804</v>
      </c>
      <c r="D26" s="2" t="s">
        <v>784</v>
      </c>
      <c r="E26" s="2" t="s">
        <v>354</v>
      </c>
      <c r="F26" s="2" t="s">
        <v>1617</v>
      </c>
      <c r="G26" s="2" t="s">
        <v>1618</v>
      </c>
      <c r="H26" s="2" t="s">
        <v>577</v>
      </c>
      <c r="I26" s="2" t="s">
        <v>1586</v>
      </c>
      <c r="K26" s="2" t="s">
        <v>1592</v>
      </c>
      <c r="L26" s="2" t="s">
        <v>1593</v>
      </c>
      <c r="M26" s="2" t="s">
        <v>1594</v>
      </c>
      <c r="N26" s="2" t="s">
        <v>1595</v>
      </c>
      <c r="O26" s="2" t="s">
        <v>1596</v>
      </c>
      <c r="P26" s="2" t="s">
        <v>1597</v>
      </c>
      <c r="Q26" s="2" t="s">
        <v>588</v>
      </c>
      <c r="R26" s="2" t="s">
        <v>588</v>
      </c>
    </row>
    <row r="27" spans="2:21">
      <c r="B27" s="2" t="s">
        <v>30</v>
      </c>
      <c r="C27" s="2" t="s">
        <v>813</v>
      </c>
      <c r="D27" s="2" t="s">
        <v>814</v>
      </c>
      <c r="E27" s="2" t="s">
        <v>349</v>
      </c>
      <c r="F27" s="2" t="s">
        <v>1617</v>
      </c>
      <c r="G27" s="2" t="s">
        <v>30</v>
      </c>
      <c r="H27" s="2" t="s">
        <v>577</v>
      </c>
      <c r="I27" s="2" t="s">
        <v>1586</v>
      </c>
      <c r="J27" s="2">
        <v>0</v>
      </c>
      <c r="K27" s="2" t="s">
        <v>1592</v>
      </c>
      <c r="L27" s="2" t="s">
        <v>1593</v>
      </c>
      <c r="M27" s="2" t="s">
        <v>1594</v>
      </c>
      <c r="N27" s="2" t="s">
        <v>1595</v>
      </c>
      <c r="O27" s="2" t="s">
        <v>1596</v>
      </c>
      <c r="P27" s="2" t="s">
        <v>1597</v>
      </c>
      <c r="Q27" s="2" t="s">
        <v>588</v>
      </c>
      <c r="R27" s="2" t="s">
        <v>588</v>
      </c>
      <c r="U27" s="2" t="s">
        <v>790</v>
      </c>
    </row>
    <row r="28" spans="2:21">
      <c r="B28" s="2" t="s">
        <v>32</v>
      </c>
      <c r="C28" s="2" t="s">
        <v>807</v>
      </c>
      <c r="D28" s="2" t="s">
        <v>784</v>
      </c>
      <c r="E28" s="2" t="s">
        <v>349</v>
      </c>
      <c r="F28" s="2" t="s">
        <v>1617</v>
      </c>
      <c r="G28" s="2" t="s">
        <v>1644</v>
      </c>
      <c r="H28" s="2" t="s">
        <v>577</v>
      </c>
      <c r="I28" s="2" t="s">
        <v>1586</v>
      </c>
      <c r="J28" s="2">
        <v>0</v>
      </c>
      <c r="K28" s="2" t="s">
        <v>1592</v>
      </c>
      <c r="L28" s="2" t="s">
        <v>1593</v>
      </c>
      <c r="M28" s="2" t="s">
        <v>1594</v>
      </c>
      <c r="N28" s="2" t="s">
        <v>1595</v>
      </c>
      <c r="O28" s="2" t="s">
        <v>1596</v>
      </c>
      <c r="P28" s="2" t="s">
        <v>1597</v>
      </c>
      <c r="Q28" s="2" t="s">
        <v>588</v>
      </c>
      <c r="R28" s="2" t="s">
        <v>588</v>
      </c>
      <c r="U28" s="2" t="s">
        <v>792</v>
      </c>
    </row>
    <row r="29" spans="2:21">
      <c r="B29" s="2" t="s">
        <v>1645</v>
      </c>
      <c r="C29" s="2" t="s">
        <v>970</v>
      </c>
      <c r="D29" s="2" t="s">
        <v>784</v>
      </c>
      <c r="E29" s="2" t="s">
        <v>347</v>
      </c>
      <c r="F29" s="2" t="s">
        <v>347</v>
      </c>
      <c r="G29" s="2" t="s">
        <v>1646</v>
      </c>
      <c r="H29" s="2" t="s">
        <v>588</v>
      </c>
      <c r="I29" s="2" t="s">
        <v>1586</v>
      </c>
      <c r="J29" s="2">
        <v>0</v>
      </c>
      <c r="K29" s="2" t="s">
        <v>1592</v>
      </c>
      <c r="L29" s="2" t="s">
        <v>1593</v>
      </c>
      <c r="M29" s="2" t="s">
        <v>1647</v>
      </c>
      <c r="N29" s="2" t="s">
        <v>1648</v>
      </c>
      <c r="O29" s="2" t="s">
        <v>1596</v>
      </c>
      <c r="P29" s="2" t="s">
        <v>1649</v>
      </c>
      <c r="Q29" s="2" t="s">
        <v>588</v>
      </c>
      <c r="R29" s="2" t="s">
        <v>577</v>
      </c>
      <c r="U29" s="2" t="s">
        <v>804</v>
      </c>
    </row>
    <row r="30" spans="2:21">
      <c r="B30" s="2" t="s">
        <v>80</v>
      </c>
      <c r="C30" s="2" t="s">
        <v>970</v>
      </c>
      <c r="D30" s="2" t="s">
        <v>784</v>
      </c>
      <c r="E30" s="2" t="s">
        <v>347</v>
      </c>
      <c r="F30" s="2" t="s">
        <v>347</v>
      </c>
      <c r="G30" s="2" t="s">
        <v>1646</v>
      </c>
      <c r="H30" s="2" t="s">
        <v>588</v>
      </c>
      <c r="I30" s="2" t="s">
        <v>1586</v>
      </c>
      <c r="J30" s="2">
        <v>0</v>
      </c>
      <c r="K30" s="2" t="s">
        <v>1592</v>
      </c>
      <c r="L30" s="2" t="s">
        <v>1593</v>
      </c>
      <c r="M30" s="2" t="s">
        <v>1647</v>
      </c>
      <c r="N30" s="2" t="s">
        <v>1648</v>
      </c>
      <c r="O30" s="2" t="s">
        <v>1596</v>
      </c>
      <c r="P30" s="2" t="s">
        <v>1649</v>
      </c>
      <c r="Q30" s="2" t="s">
        <v>588</v>
      </c>
      <c r="R30" s="2" t="s">
        <v>577</v>
      </c>
      <c r="U30" s="2" t="s">
        <v>807</v>
      </c>
    </row>
    <row r="31" spans="2:21">
      <c r="B31" s="2" t="s">
        <v>84</v>
      </c>
      <c r="C31" s="2" t="s">
        <v>972</v>
      </c>
      <c r="D31" s="2" t="s">
        <v>784</v>
      </c>
      <c r="E31" s="2" t="s">
        <v>347</v>
      </c>
      <c r="F31" s="2" t="s">
        <v>347</v>
      </c>
      <c r="G31" s="2" t="s">
        <v>1650</v>
      </c>
      <c r="H31" s="2" t="s">
        <v>588</v>
      </c>
      <c r="I31" s="2" t="s">
        <v>1586</v>
      </c>
      <c r="J31" s="2">
        <v>0</v>
      </c>
      <c r="K31" s="2" t="s">
        <v>1592</v>
      </c>
      <c r="L31" s="2" t="s">
        <v>1593</v>
      </c>
      <c r="M31" s="2" t="s">
        <v>1647</v>
      </c>
      <c r="N31" s="2" t="s">
        <v>1648</v>
      </c>
      <c r="O31" s="2" t="s">
        <v>1596</v>
      </c>
      <c r="P31" s="2" t="s">
        <v>1649</v>
      </c>
      <c r="Q31" s="2" t="s">
        <v>588</v>
      </c>
      <c r="R31" s="2" t="s">
        <v>577</v>
      </c>
      <c r="U31" s="2" t="s">
        <v>1651</v>
      </c>
    </row>
    <row r="32" spans="2:21">
      <c r="B32" s="2" t="s">
        <v>82</v>
      </c>
      <c r="C32" s="2" t="s">
        <v>972</v>
      </c>
      <c r="D32" s="2" t="s">
        <v>784</v>
      </c>
      <c r="E32" s="2" t="s">
        <v>347</v>
      </c>
      <c r="F32" s="2" t="s">
        <v>347</v>
      </c>
      <c r="G32" s="2" t="s">
        <v>1650</v>
      </c>
      <c r="H32" s="2" t="s">
        <v>588</v>
      </c>
      <c r="I32" s="2" t="s">
        <v>1586</v>
      </c>
      <c r="J32" s="2">
        <v>0</v>
      </c>
      <c r="K32" s="2" t="s">
        <v>1592</v>
      </c>
      <c r="L32" s="2" t="s">
        <v>1593</v>
      </c>
      <c r="M32" s="2" t="s">
        <v>1647</v>
      </c>
      <c r="N32" s="2" t="s">
        <v>1648</v>
      </c>
      <c r="O32" s="2" t="s">
        <v>1596</v>
      </c>
      <c r="P32" s="2" t="s">
        <v>1649</v>
      </c>
      <c r="Q32" s="2" t="s">
        <v>588</v>
      </c>
      <c r="R32" s="2" t="s">
        <v>577</v>
      </c>
      <c r="U32" s="2" t="s">
        <v>1652</v>
      </c>
    </row>
    <row r="33" spans="2:21">
      <c r="B33" s="2" t="s">
        <v>1653</v>
      </c>
      <c r="C33" s="2" t="s">
        <v>979</v>
      </c>
      <c r="D33" s="2" t="s">
        <v>814</v>
      </c>
      <c r="E33" s="2" t="s">
        <v>351</v>
      </c>
      <c r="F33" s="2" t="s">
        <v>1654</v>
      </c>
      <c r="G33" s="2" t="s">
        <v>1655</v>
      </c>
      <c r="H33" s="2" t="s">
        <v>577</v>
      </c>
      <c r="I33" s="2" t="s">
        <v>1586</v>
      </c>
      <c r="J33" s="2">
        <v>0</v>
      </c>
      <c r="K33" s="2" t="s">
        <v>1592</v>
      </c>
      <c r="L33" s="2" t="s">
        <v>1593</v>
      </c>
      <c r="M33" s="2" t="s">
        <v>1647</v>
      </c>
      <c r="N33" s="2" t="s">
        <v>1648</v>
      </c>
      <c r="O33" s="2" t="s">
        <v>1596</v>
      </c>
      <c r="P33" s="2" t="s">
        <v>1656</v>
      </c>
      <c r="Q33" s="2" t="s">
        <v>588</v>
      </c>
      <c r="R33" s="2" t="s">
        <v>577</v>
      </c>
      <c r="U33" s="2" t="s">
        <v>1657</v>
      </c>
    </row>
    <row r="34" spans="2:21">
      <c r="B34" s="2" t="s">
        <v>1658</v>
      </c>
      <c r="C34" s="2" t="s">
        <v>981</v>
      </c>
      <c r="D34" s="2" t="s">
        <v>784</v>
      </c>
      <c r="E34" s="2" t="s">
        <v>351</v>
      </c>
      <c r="F34" s="2" t="s">
        <v>1654</v>
      </c>
      <c r="G34" s="2" t="s">
        <v>1659</v>
      </c>
      <c r="H34" s="2" t="s">
        <v>577</v>
      </c>
      <c r="I34" s="2" t="s">
        <v>1586</v>
      </c>
      <c r="J34" s="2">
        <v>0</v>
      </c>
      <c r="K34" s="2" t="s">
        <v>1592</v>
      </c>
      <c r="L34" s="2" t="s">
        <v>1593</v>
      </c>
      <c r="M34" s="2" t="s">
        <v>1647</v>
      </c>
      <c r="N34" s="2" t="s">
        <v>1648</v>
      </c>
      <c r="O34" s="2" t="s">
        <v>1596</v>
      </c>
      <c r="P34" s="2" t="s">
        <v>1656</v>
      </c>
      <c r="Q34" s="2" t="s">
        <v>588</v>
      </c>
      <c r="R34" s="2" t="s">
        <v>577</v>
      </c>
      <c r="U34" s="2" t="s">
        <v>1660</v>
      </c>
    </row>
    <row r="35" spans="2:21">
      <c r="B35" s="2" t="s">
        <v>1661</v>
      </c>
      <c r="C35" s="2" t="s">
        <v>981</v>
      </c>
      <c r="D35" s="2" t="s">
        <v>1662</v>
      </c>
      <c r="E35" s="2" t="s">
        <v>351</v>
      </c>
      <c r="F35" s="2" t="s">
        <v>1654</v>
      </c>
      <c r="G35" s="2" t="s">
        <v>1663</v>
      </c>
      <c r="H35" s="2" t="s">
        <v>577</v>
      </c>
      <c r="I35" s="2" t="s">
        <v>1586</v>
      </c>
      <c r="J35" s="2">
        <v>0</v>
      </c>
      <c r="K35" s="2" t="s">
        <v>1592</v>
      </c>
      <c r="L35" s="2" t="s">
        <v>1593</v>
      </c>
      <c r="M35" s="2" t="s">
        <v>1647</v>
      </c>
      <c r="N35" s="2" t="s">
        <v>1648</v>
      </c>
      <c r="O35" s="2" t="s">
        <v>1596</v>
      </c>
      <c r="P35" s="2" t="s">
        <v>1656</v>
      </c>
      <c r="Q35" s="2" t="s">
        <v>588</v>
      </c>
      <c r="R35" s="2" t="s">
        <v>577</v>
      </c>
      <c r="U35" s="2" t="s">
        <v>1664</v>
      </c>
    </row>
    <row r="36" spans="2:21">
      <c r="B36" s="2" t="s">
        <v>86</v>
      </c>
      <c r="C36" s="2" t="s">
        <v>976</v>
      </c>
      <c r="D36" s="2" t="s">
        <v>809</v>
      </c>
      <c r="E36" s="2" t="s">
        <v>351</v>
      </c>
      <c r="F36" s="2" t="s">
        <v>1654</v>
      </c>
      <c r="G36" s="2" t="s">
        <v>1665</v>
      </c>
      <c r="H36" s="2" t="s">
        <v>577</v>
      </c>
      <c r="I36" s="2" t="s">
        <v>1586</v>
      </c>
      <c r="J36" s="2">
        <v>0</v>
      </c>
      <c r="K36" s="2" t="s">
        <v>1592</v>
      </c>
      <c r="L36" s="2" t="s">
        <v>1593</v>
      </c>
      <c r="M36" s="2" t="s">
        <v>1647</v>
      </c>
      <c r="N36" s="2" t="s">
        <v>1648</v>
      </c>
      <c r="O36" s="2" t="s">
        <v>1596</v>
      </c>
      <c r="P36" s="2" t="s">
        <v>1656</v>
      </c>
      <c r="Q36" s="2" t="s">
        <v>588</v>
      </c>
      <c r="R36" s="2" t="s">
        <v>577</v>
      </c>
      <c r="U36" s="2" t="s">
        <v>1666</v>
      </c>
    </row>
    <row r="37" spans="2:21">
      <c r="B37" s="2" t="s">
        <v>90</v>
      </c>
      <c r="C37" s="2" t="s">
        <v>980</v>
      </c>
      <c r="D37" s="2" t="s">
        <v>824</v>
      </c>
      <c r="E37" s="2" t="s">
        <v>351</v>
      </c>
      <c r="F37" s="2" t="s">
        <v>1654</v>
      </c>
      <c r="G37" s="2" t="s">
        <v>1667</v>
      </c>
      <c r="H37" s="2" t="s">
        <v>577</v>
      </c>
      <c r="I37" s="2" t="s">
        <v>1586</v>
      </c>
      <c r="J37" s="2">
        <v>0</v>
      </c>
      <c r="K37" s="2" t="s">
        <v>1592</v>
      </c>
      <c r="L37" s="2" t="s">
        <v>1593</v>
      </c>
      <c r="M37" s="2" t="s">
        <v>1647</v>
      </c>
      <c r="N37" s="2" t="s">
        <v>1648</v>
      </c>
      <c r="O37" s="2" t="s">
        <v>1596</v>
      </c>
      <c r="P37" s="2" t="s">
        <v>1656</v>
      </c>
      <c r="Q37" s="2" t="s">
        <v>588</v>
      </c>
      <c r="R37" s="2" t="s">
        <v>577</v>
      </c>
      <c r="U37" s="2" t="s">
        <v>1668</v>
      </c>
    </row>
    <row r="38" spans="2:21">
      <c r="B38" s="2" t="s">
        <v>88</v>
      </c>
      <c r="C38" s="2" t="s">
        <v>981</v>
      </c>
      <c r="D38" s="2" t="s">
        <v>784</v>
      </c>
      <c r="E38" s="2" t="s">
        <v>351</v>
      </c>
      <c r="F38" s="2" t="s">
        <v>1654</v>
      </c>
      <c r="G38" s="2" t="s">
        <v>1669</v>
      </c>
      <c r="H38" s="2" t="s">
        <v>577</v>
      </c>
      <c r="I38" s="2" t="s">
        <v>1586</v>
      </c>
      <c r="J38" s="2">
        <v>0</v>
      </c>
      <c r="K38" s="2" t="s">
        <v>1592</v>
      </c>
      <c r="L38" s="2" t="s">
        <v>1593</v>
      </c>
      <c r="M38" s="2" t="s">
        <v>1647</v>
      </c>
      <c r="N38" s="2" t="s">
        <v>1648</v>
      </c>
      <c r="O38" s="2" t="s">
        <v>1596</v>
      </c>
      <c r="P38" s="2" t="s">
        <v>1656</v>
      </c>
      <c r="Q38" s="2" t="s">
        <v>588</v>
      </c>
      <c r="R38" s="2" t="s">
        <v>577</v>
      </c>
      <c r="U38" s="2" t="s">
        <v>1121</v>
      </c>
    </row>
    <row r="39" spans="2:21">
      <c r="B39" s="2" t="s">
        <v>92</v>
      </c>
      <c r="C39" s="2" t="s">
        <v>980</v>
      </c>
      <c r="D39" s="2" t="s">
        <v>814</v>
      </c>
      <c r="E39" s="2" t="s">
        <v>351</v>
      </c>
      <c r="F39" s="2" t="s">
        <v>1654</v>
      </c>
      <c r="G39" s="2" t="s">
        <v>1670</v>
      </c>
      <c r="H39" s="2" t="s">
        <v>577</v>
      </c>
      <c r="I39" s="2" t="s">
        <v>1586</v>
      </c>
      <c r="J39" s="2">
        <v>0</v>
      </c>
      <c r="K39" s="2" t="s">
        <v>1592</v>
      </c>
      <c r="L39" s="2" t="s">
        <v>1593</v>
      </c>
      <c r="M39" s="2" t="s">
        <v>1647</v>
      </c>
      <c r="N39" s="2" t="s">
        <v>1648</v>
      </c>
      <c r="O39" s="2" t="s">
        <v>1596</v>
      </c>
      <c r="P39" s="2" t="s">
        <v>1656</v>
      </c>
      <c r="Q39" s="2" t="s">
        <v>588</v>
      </c>
      <c r="R39" s="2" t="s">
        <v>577</v>
      </c>
      <c r="U39" s="2" t="s">
        <v>1671</v>
      </c>
    </row>
    <row r="40" spans="2:21">
      <c r="B40" s="2" t="s">
        <v>1672</v>
      </c>
      <c r="C40" s="2" t="s">
        <v>992</v>
      </c>
      <c r="D40" s="2" t="s">
        <v>780</v>
      </c>
      <c r="E40" s="2" t="s">
        <v>355</v>
      </c>
      <c r="F40" s="2" t="s">
        <v>1673</v>
      </c>
      <c r="G40" s="2" t="s">
        <v>1674</v>
      </c>
      <c r="H40" s="2" t="s">
        <v>588</v>
      </c>
      <c r="I40" s="2" t="s">
        <v>1675</v>
      </c>
      <c r="J40" s="2">
        <v>0</v>
      </c>
      <c r="K40" s="2" t="s">
        <v>1592</v>
      </c>
      <c r="L40" s="2" t="s">
        <v>1593</v>
      </c>
      <c r="M40" s="2" t="s">
        <v>1647</v>
      </c>
      <c r="N40" s="2" t="s">
        <v>1648</v>
      </c>
      <c r="P40" s="2" t="s">
        <v>1676</v>
      </c>
      <c r="Q40" s="2" t="s">
        <v>577</v>
      </c>
      <c r="R40" s="2" t="s">
        <v>577</v>
      </c>
      <c r="U40" s="2" t="s">
        <v>1677</v>
      </c>
    </row>
    <row r="41" spans="2:21">
      <c r="B41" s="2" t="s">
        <v>1678</v>
      </c>
      <c r="C41" s="2" t="s">
        <v>1018</v>
      </c>
      <c r="D41" s="2" t="s">
        <v>780</v>
      </c>
      <c r="E41" s="2" t="s">
        <v>355</v>
      </c>
      <c r="F41" s="2" t="s">
        <v>1673</v>
      </c>
      <c r="G41" s="2" t="s">
        <v>1679</v>
      </c>
      <c r="H41" s="2" t="s">
        <v>577</v>
      </c>
      <c r="I41" s="2" t="s">
        <v>1675</v>
      </c>
      <c r="J41" s="2">
        <v>0</v>
      </c>
      <c r="K41" s="2" t="s">
        <v>1592</v>
      </c>
      <c r="L41" s="2" t="s">
        <v>1593</v>
      </c>
      <c r="M41" s="2" t="s">
        <v>1647</v>
      </c>
      <c r="N41" s="2" t="s">
        <v>1648</v>
      </c>
      <c r="P41" s="2" t="s">
        <v>1676</v>
      </c>
      <c r="Q41" s="2" t="s">
        <v>577</v>
      </c>
      <c r="R41" s="2" t="s">
        <v>577</v>
      </c>
      <c r="U41" s="2" t="s">
        <v>1680</v>
      </c>
    </row>
    <row r="42" spans="2:21">
      <c r="B42" s="2" t="s">
        <v>1681</v>
      </c>
      <c r="C42" s="2" t="s">
        <v>1014</v>
      </c>
      <c r="D42" s="2" t="s">
        <v>780</v>
      </c>
      <c r="E42" s="2" t="s">
        <v>355</v>
      </c>
      <c r="F42" s="2" t="s">
        <v>1673</v>
      </c>
      <c r="G42" s="2" t="s">
        <v>1682</v>
      </c>
      <c r="H42" s="2" t="s">
        <v>577</v>
      </c>
      <c r="I42" s="2" t="s">
        <v>1675</v>
      </c>
      <c r="J42" s="2">
        <v>0</v>
      </c>
      <c r="K42" s="2" t="s">
        <v>1592</v>
      </c>
      <c r="L42" s="2" t="s">
        <v>1593</v>
      </c>
      <c r="M42" s="2" t="s">
        <v>1647</v>
      </c>
      <c r="N42" s="2" t="s">
        <v>1648</v>
      </c>
      <c r="P42" s="2" t="s">
        <v>1676</v>
      </c>
      <c r="Q42" s="2" t="s">
        <v>577</v>
      </c>
      <c r="R42" s="2" t="s">
        <v>577</v>
      </c>
      <c r="U42" s="2" t="s">
        <v>1683</v>
      </c>
    </row>
    <row r="43" spans="2:21">
      <c r="B43" s="2" t="s">
        <v>1684</v>
      </c>
      <c r="C43" s="2" t="s">
        <v>1016</v>
      </c>
      <c r="D43" s="2" t="s">
        <v>780</v>
      </c>
      <c r="E43" s="2" t="s">
        <v>355</v>
      </c>
      <c r="F43" s="2" t="s">
        <v>1673</v>
      </c>
      <c r="G43" s="2" t="s">
        <v>1685</v>
      </c>
      <c r="H43" s="2" t="s">
        <v>577</v>
      </c>
      <c r="I43" s="2" t="s">
        <v>1675</v>
      </c>
      <c r="J43" s="2">
        <v>0</v>
      </c>
      <c r="K43" s="2" t="s">
        <v>1592</v>
      </c>
      <c r="L43" s="2" t="s">
        <v>1593</v>
      </c>
      <c r="M43" s="2" t="s">
        <v>1647</v>
      </c>
      <c r="N43" s="2" t="s">
        <v>1648</v>
      </c>
      <c r="P43" s="2" t="s">
        <v>1676</v>
      </c>
      <c r="Q43" s="2" t="s">
        <v>577</v>
      </c>
      <c r="R43" s="2" t="s">
        <v>577</v>
      </c>
      <c r="U43" s="2">
        <v>0</v>
      </c>
    </row>
    <row r="44" spans="2:21">
      <c r="B44" s="2" t="s">
        <v>1686</v>
      </c>
      <c r="C44" s="2" t="s">
        <v>992</v>
      </c>
      <c r="D44" s="2" t="s">
        <v>780</v>
      </c>
      <c r="E44" s="2" t="s">
        <v>355</v>
      </c>
      <c r="F44" s="2" t="s">
        <v>1673</v>
      </c>
      <c r="G44" s="2" t="s">
        <v>1687</v>
      </c>
      <c r="H44" s="2" t="s">
        <v>577</v>
      </c>
      <c r="I44" s="2" t="s">
        <v>1675</v>
      </c>
      <c r="J44" s="2">
        <v>0</v>
      </c>
      <c r="K44" s="2" t="s">
        <v>1592</v>
      </c>
      <c r="L44" s="2" t="s">
        <v>1593</v>
      </c>
      <c r="M44" s="2" t="s">
        <v>1647</v>
      </c>
      <c r="P44" s="2" t="s">
        <v>1676</v>
      </c>
      <c r="Q44" s="2" t="s">
        <v>577</v>
      </c>
      <c r="R44" s="2" t="s">
        <v>577</v>
      </c>
      <c r="U44" s="2">
        <v>0</v>
      </c>
    </row>
    <row r="45" spans="2:18">
      <c r="B45" s="2" t="s">
        <v>1688</v>
      </c>
      <c r="C45" s="2" t="s">
        <v>1014</v>
      </c>
      <c r="D45" s="2" t="s">
        <v>780</v>
      </c>
      <c r="E45" s="2" t="s">
        <v>355</v>
      </c>
      <c r="F45" s="2" t="s">
        <v>1673</v>
      </c>
      <c r="G45" s="2" t="s">
        <v>1689</v>
      </c>
      <c r="H45" s="2" t="s">
        <v>577</v>
      </c>
      <c r="I45" s="2" t="s">
        <v>1675</v>
      </c>
      <c r="J45" s="2">
        <v>0</v>
      </c>
      <c r="K45" s="2" t="s">
        <v>1592</v>
      </c>
      <c r="L45" s="2" t="s">
        <v>1593</v>
      </c>
      <c r="M45" s="2" t="s">
        <v>1647</v>
      </c>
      <c r="P45" s="2" t="s">
        <v>1676</v>
      </c>
      <c r="Q45" s="2" t="s">
        <v>577</v>
      </c>
      <c r="R45" s="2" t="s">
        <v>577</v>
      </c>
    </row>
    <row r="46" spans="2:18">
      <c r="B46" s="2" t="s">
        <v>1690</v>
      </c>
      <c r="C46" s="2" t="s">
        <v>1014</v>
      </c>
      <c r="D46" s="2" t="s">
        <v>780</v>
      </c>
      <c r="E46" s="2" t="s">
        <v>355</v>
      </c>
      <c r="F46" s="2" t="s">
        <v>1673</v>
      </c>
      <c r="G46" s="2" t="s">
        <v>1691</v>
      </c>
      <c r="H46" s="2" t="s">
        <v>577</v>
      </c>
      <c r="I46" s="2" t="s">
        <v>1675</v>
      </c>
      <c r="J46" s="2">
        <v>0</v>
      </c>
      <c r="K46" s="2" t="s">
        <v>1592</v>
      </c>
      <c r="L46" s="2" t="s">
        <v>1593</v>
      </c>
      <c r="M46" s="2" t="s">
        <v>1647</v>
      </c>
      <c r="P46" s="2" t="s">
        <v>1676</v>
      </c>
      <c r="Q46" s="2" t="s">
        <v>577</v>
      </c>
      <c r="R46" s="2" t="s">
        <v>577</v>
      </c>
    </row>
    <row r="47" spans="2:18">
      <c r="B47" s="2" t="s">
        <v>1692</v>
      </c>
      <c r="C47" s="2" t="s">
        <v>1016</v>
      </c>
      <c r="D47" s="2" t="s">
        <v>780</v>
      </c>
      <c r="E47" s="2" t="s">
        <v>355</v>
      </c>
      <c r="F47" s="2" t="s">
        <v>1673</v>
      </c>
      <c r="G47" s="2" t="s">
        <v>1693</v>
      </c>
      <c r="H47" s="2" t="s">
        <v>577</v>
      </c>
      <c r="I47" s="2" t="s">
        <v>1675</v>
      </c>
      <c r="J47" s="2">
        <v>0</v>
      </c>
      <c r="K47" s="2" t="s">
        <v>1592</v>
      </c>
      <c r="L47" s="2" t="s">
        <v>1593</v>
      </c>
      <c r="M47" s="2" t="s">
        <v>1647</v>
      </c>
      <c r="P47" s="2" t="s">
        <v>1676</v>
      </c>
      <c r="Q47" s="2" t="s">
        <v>577</v>
      </c>
      <c r="R47" s="2" t="s">
        <v>577</v>
      </c>
    </row>
    <row r="48" spans="2:24">
      <c r="B48" s="2" t="s">
        <v>1694</v>
      </c>
      <c r="C48" s="2" t="s">
        <v>985</v>
      </c>
      <c r="D48" s="2" t="s">
        <v>780</v>
      </c>
      <c r="E48" s="2" t="s">
        <v>355</v>
      </c>
      <c r="F48" s="2" t="s">
        <v>1673</v>
      </c>
      <c r="G48" s="2" t="s">
        <v>1695</v>
      </c>
      <c r="H48" s="2" t="s">
        <v>577</v>
      </c>
      <c r="I48" s="2" t="s">
        <v>1586</v>
      </c>
      <c r="J48" s="2">
        <v>0</v>
      </c>
      <c r="K48" s="2" t="s">
        <v>1592</v>
      </c>
      <c r="L48" s="2" t="s">
        <v>1593</v>
      </c>
      <c r="M48" s="2" t="s">
        <v>1647</v>
      </c>
      <c r="N48" s="2" t="s">
        <v>1696</v>
      </c>
      <c r="P48" s="2" t="s">
        <v>1676</v>
      </c>
      <c r="Q48" s="2" t="s">
        <v>577</v>
      </c>
      <c r="R48" s="2" t="s">
        <v>577</v>
      </c>
      <c r="U48" s="2" t="s">
        <v>1697</v>
      </c>
      <c r="W48" s="2" t="s">
        <v>575</v>
      </c>
      <c r="X48" s="2" t="s">
        <v>1697</v>
      </c>
    </row>
    <row r="49" spans="2:24">
      <c r="B49" s="2" t="s">
        <v>98</v>
      </c>
      <c r="C49" s="2" t="s">
        <v>988</v>
      </c>
      <c r="D49" s="2" t="s">
        <v>780</v>
      </c>
      <c r="E49" s="2" t="s">
        <v>355</v>
      </c>
      <c r="F49" s="2" t="s">
        <v>1673</v>
      </c>
      <c r="G49" s="2" t="s">
        <v>1695</v>
      </c>
      <c r="H49" s="2" t="s">
        <v>577</v>
      </c>
      <c r="I49" s="2" t="s">
        <v>1586</v>
      </c>
      <c r="J49" s="2">
        <v>0</v>
      </c>
      <c r="K49" s="2" t="s">
        <v>1592</v>
      </c>
      <c r="L49" s="2" t="s">
        <v>1593</v>
      </c>
      <c r="M49" s="2" t="s">
        <v>1647</v>
      </c>
      <c r="N49" s="2" t="s">
        <v>1696</v>
      </c>
      <c r="P49" s="2" t="s">
        <v>1676</v>
      </c>
      <c r="Q49" s="2" t="s">
        <v>577</v>
      </c>
      <c r="R49" s="2" t="s">
        <v>577</v>
      </c>
      <c r="U49" s="2" t="s">
        <v>579</v>
      </c>
      <c r="W49" s="2" t="s">
        <v>578</v>
      </c>
      <c r="X49" s="2" t="s">
        <v>1697</v>
      </c>
    </row>
    <row r="50" spans="2:24">
      <c r="B50" s="2" t="s">
        <v>1698</v>
      </c>
      <c r="C50" s="2" t="s">
        <v>988</v>
      </c>
      <c r="D50" s="2" t="s">
        <v>780</v>
      </c>
      <c r="E50" s="2" t="s">
        <v>355</v>
      </c>
      <c r="F50" s="2" t="s">
        <v>1673</v>
      </c>
      <c r="G50" s="2" t="s">
        <v>1695</v>
      </c>
      <c r="H50" s="2" t="s">
        <v>577</v>
      </c>
      <c r="I50" s="2" t="s">
        <v>1586</v>
      </c>
      <c r="J50" s="2">
        <v>0</v>
      </c>
      <c r="K50" s="2" t="s">
        <v>1592</v>
      </c>
      <c r="L50" s="2" t="s">
        <v>1593</v>
      </c>
      <c r="M50" s="2" t="s">
        <v>1647</v>
      </c>
      <c r="N50" s="2" t="s">
        <v>1696</v>
      </c>
      <c r="P50" s="2" t="s">
        <v>1676</v>
      </c>
      <c r="Q50" s="2" t="s">
        <v>577</v>
      </c>
      <c r="R50" s="2" t="s">
        <v>577</v>
      </c>
      <c r="U50" s="2" t="s">
        <v>581</v>
      </c>
      <c r="W50" s="2" t="s">
        <v>579</v>
      </c>
      <c r="X50" s="2" t="s">
        <v>579</v>
      </c>
    </row>
    <row r="51" spans="2:24">
      <c r="B51" s="2" t="s">
        <v>1699</v>
      </c>
      <c r="C51" s="2" t="s">
        <v>985</v>
      </c>
      <c r="D51" s="2" t="s">
        <v>780</v>
      </c>
      <c r="E51" s="2" t="s">
        <v>355</v>
      </c>
      <c r="F51" s="2" t="s">
        <v>1673</v>
      </c>
      <c r="G51" s="2" t="s">
        <v>1695</v>
      </c>
      <c r="H51" s="2" t="s">
        <v>577</v>
      </c>
      <c r="I51" s="2" t="s">
        <v>1586</v>
      </c>
      <c r="J51" s="2">
        <v>0</v>
      </c>
      <c r="K51" s="2" t="s">
        <v>1592</v>
      </c>
      <c r="L51" s="2" t="s">
        <v>1593</v>
      </c>
      <c r="M51" s="2" t="s">
        <v>1647</v>
      </c>
      <c r="N51" s="2" t="s">
        <v>1696</v>
      </c>
      <c r="P51" s="2" t="s">
        <v>1676</v>
      </c>
      <c r="Q51" s="2" t="s">
        <v>577</v>
      </c>
      <c r="R51" s="2" t="s">
        <v>577</v>
      </c>
      <c r="U51" s="2" t="s">
        <v>585</v>
      </c>
      <c r="W51" s="2" t="s">
        <v>581</v>
      </c>
      <c r="X51" s="2" t="s">
        <v>581</v>
      </c>
    </row>
    <row r="52" spans="2:24">
      <c r="B52" s="2" t="s">
        <v>104</v>
      </c>
      <c r="C52" s="2" t="s">
        <v>985</v>
      </c>
      <c r="D52" s="2" t="s">
        <v>780</v>
      </c>
      <c r="E52" s="2" t="s">
        <v>355</v>
      </c>
      <c r="F52" s="2" t="s">
        <v>1673</v>
      </c>
      <c r="G52" s="2" t="s">
        <v>1695</v>
      </c>
      <c r="H52" s="2" t="s">
        <v>577</v>
      </c>
      <c r="I52" s="2" t="s">
        <v>1586</v>
      </c>
      <c r="J52" s="2">
        <v>0</v>
      </c>
      <c r="K52" s="2" t="s">
        <v>1592</v>
      </c>
      <c r="L52" s="2" t="s">
        <v>1593</v>
      </c>
      <c r="M52" s="2" t="s">
        <v>1647</v>
      </c>
      <c r="N52" s="2" t="s">
        <v>1696</v>
      </c>
      <c r="P52" s="2" t="s">
        <v>1676</v>
      </c>
      <c r="Q52" s="2" t="s">
        <v>577</v>
      </c>
      <c r="R52" s="2" t="s">
        <v>577</v>
      </c>
      <c r="U52" s="2" t="s">
        <v>583</v>
      </c>
      <c r="V52" s="2" t="s">
        <v>1625</v>
      </c>
      <c r="W52" s="2" t="s">
        <v>583</v>
      </c>
      <c r="X52" s="2" t="s">
        <v>583</v>
      </c>
    </row>
    <row r="53" spans="2:24">
      <c r="B53" s="2" t="s">
        <v>94</v>
      </c>
      <c r="C53" s="2" t="s">
        <v>985</v>
      </c>
      <c r="D53" s="2" t="s">
        <v>780</v>
      </c>
      <c r="E53" s="2" t="s">
        <v>355</v>
      </c>
      <c r="F53" s="2" t="s">
        <v>1673</v>
      </c>
      <c r="G53" s="2" t="s">
        <v>1695</v>
      </c>
      <c r="H53" s="2" t="s">
        <v>577</v>
      </c>
      <c r="I53" s="2" t="s">
        <v>1586</v>
      </c>
      <c r="J53" s="2">
        <v>0</v>
      </c>
      <c r="K53" s="2" t="s">
        <v>1592</v>
      </c>
      <c r="L53" s="2" t="s">
        <v>1593</v>
      </c>
      <c r="M53" s="2" t="s">
        <v>1647</v>
      </c>
      <c r="N53" s="2" t="s">
        <v>1696</v>
      </c>
      <c r="P53" s="2" t="s">
        <v>1676</v>
      </c>
      <c r="Q53" s="2" t="s">
        <v>577</v>
      </c>
      <c r="R53" s="2" t="s">
        <v>577</v>
      </c>
      <c r="W53" s="2" t="s">
        <v>585</v>
      </c>
      <c r="X53" s="2" t="s">
        <v>585</v>
      </c>
    </row>
    <row r="54" spans="2:22">
      <c r="B54" s="2" t="s">
        <v>102</v>
      </c>
      <c r="C54" s="2" t="s">
        <v>988</v>
      </c>
      <c r="D54" s="2" t="s">
        <v>780</v>
      </c>
      <c r="E54" s="2" t="s">
        <v>355</v>
      </c>
      <c r="F54" s="2" t="s">
        <v>1673</v>
      </c>
      <c r="G54" s="2" t="s">
        <v>1695</v>
      </c>
      <c r="H54" s="2" t="s">
        <v>577</v>
      </c>
      <c r="I54" s="2" t="s">
        <v>1586</v>
      </c>
      <c r="J54" s="2">
        <v>0</v>
      </c>
      <c r="K54" s="2" t="s">
        <v>1592</v>
      </c>
      <c r="L54" s="2" t="s">
        <v>1593</v>
      </c>
      <c r="M54" s="2" t="s">
        <v>1647</v>
      </c>
      <c r="N54" s="2" t="s">
        <v>1696</v>
      </c>
      <c r="P54" s="2" t="s">
        <v>1676</v>
      </c>
      <c r="Q54" s="2" t="s">
        <v>577</v>
      </c>
      <c r="R54" s="2" t="s">
        <v>577</v>
      </c>
      <c r="U54" s="2" t="s">
        <v>576</v>
      </c>
      <c r="V54" s="2" t="s">
        <v>21</v>
      </c>
    </row>
    <row r="55" spans="2:22">
      <c r="B55" s="2" t="s">
        <v>1700</v>
      </c>
      <c r="C55" s="2" t="s">
        <v>988</v>
      </c>
      <c r="D55" s="2" t="s">
        <v>780</v>
      </c>
      <c r="E55" s="2" t="s">
        <v>355</v>
      </c>
      <c r="F55" s="2" t="s">
        <v>1673</v>
      </c>
      <c r="G55" s="2" t="s">
        <v>1695</v>
      </c>
      <c r="H55" s="2" t="s">
        <v>577</v>
      </c>
      <c r="I55" s="2" t="s">
        <v>1586</v>
      </c>
      <c r="J55" s="2">
        <v>0</v>
      </c>
      <c r="K55" s="2" t="s">
        <v>1592</v>
      </c>
      <c r="L55" s="2" t="s">
        <v>1593</v>
      </c>
      <c r="M55" s="2" t="s">
        <v>1647</v>
      </c>
      <c r="N55" s="2" t="s">
        <v>1696</v>
      </c>
      <c r="P55" s="2" t="s">
        <v>1676</v>
      </c>
      <c r="Q55" s="2" t="s">
        <v>577</v>
      </c>
      <c r="R55" s="2" t="s">
        <v>577</v>
      </c>
      <c r="U55" s="2" t="s">
        <v>580</v>
      </c>
      <c r="V55" s="2" t="s">
        <v>21</v>
      </c>
    </row>
    <row r="56" spans="2:27">
      <c r="B56" s="2" t="s">
        <v>1701</v>
      </c>
      <c r="C56" s="2" t="s">
        <v>994</v>
      </c>
      <c r="D56" s="2" t="s">
        <v>780</v>
      </c>
      <c r="E56" s="2" t="s">
        <v>355</v>
      </c>
      <c r="F56" s="2" t="s">
        <v>1673</v>
      </c>
      <c r="G56" s="2" t="s">
        <v>1695</v>
      </c>
      <c r="H56" s="2" t="s">
        <v>577</v>
      </c>
      <c r="I56" s="2" t="s">
        <v>1586</v>
      </c>
      <c r="J56" s="2">
        <v>0</v>
      </c>
      <c r="K56" s="2" t="s">
        <v>1592</v>
      </c>
      <c r="L56" s="2" t="s">
        <v>1593</v>
      </c>
      <c r="M56" s="2" t="s">
        <v>1647</v>
      </c>
      <c r="N56" s="2" t="s">
        <v>1696</v>
      </c>
      <c r="P56" s="2" t="s">
        <v>1676</v>
      </c>
      <c r="Q56" s="2" t="s">
        <v>577</v>
      </c>
      <c r="R56" s="2" t="s">
        <v>577</v>
      </c>
      <c r="U56" s="2" t="s">
        <v>582</v>
      </c>
      <c r="V56" s="2" t="s">
        <v>21</v>
      </c>
      <c r="W56" s="2" t="s">
        <v>1697</v>
      </c>
      <c r="X56" s="2" t="s">
        <v>579</v>
      </c>
      <c r="Y56" s="2" t="s">
        <v>581</v>
      </c>
      <c r="Z56" s="2" t="s">
        <v>585</v>
      </c>
      <c r="AA56" s="2" t="s">
        <v>583</v>
      </c>
    </row>
    <row r="57" spans="2:27">
      <c r="B57" s="2" t="s">
        <v>1702</v>
      </c>
      <c r="C57" s="2" t="s">
        <v>985</v>
      </c>
      <c r="D57" s="2" t="s">
        <v>780</v>
      </c>
      <c r="E57" s="2" t="s">
        <v>355</v>
      </c>
      <c r="F57" s="2" t="s">
        <v>1673</v>
      </c>
      <c r="G57" s="2" t="s">
        <v>1695</v>
      </c>
      <c r="H57" s="2" t="s">
        <v>577</v>
      </c>
      <c r="I57" s="2" t="s">
        <v>1586</v>
      </c>
      <c r="J57" s="2">
        <v>0</v>
      </c>
      <c r="K57" s="2" t="s">
        <v>1592</v>
      </c>
      <c r="L57" s="2" t="s">
        <v>1593</v>
      </c>
      <c r="M57" s="2" t="s">
        <v>1647</v>
      </c>
      <c r="N57" s="2" t="s">
        <v>1696</v>
      </c>
      <c r="P57" s="2" t="s">
        <v>1676</v>
      </c>
      <c r="Q57" s="2" t="s">
        <v>577</v>
      </c>
      <c r="R57" s="2" t="s">
        <v>577</v>
      </c>
      <c r="U57" s="2" t="s">
        <v>584</v>
      </c>
      <c r="V57" s="2" t="s">
        <v>21</v>
      </c>
      <c r="W57" s="2" t="s">
        <v>576</v>
      </c>
      <c r="X57" s="2" t="s">
        <v>580</v>
      </c>
      <c r="Y57" s="2" t="s">
        <v>582</v>
      </c>
      <c r="Z57" s="2" t="s">
        <v>586</v>
      </c>
      <c r="AA57" s="2" t="s">
        <v>584</v>
      </c>
    </row>
    <row r="58" spans="2:27">
      <c r="B58" s="2" t="s">
        <v>96</v>
      </c>
      <c r="C58" s="2" t="s">
        <v>988</v>
      </c>
      <c r="D58" s="2" t="s">
        <v>780</v>
      </c>
      <c r="E58" s="2" t="s">
        <v>355</v>
      </c>
      <c r="F58" s="2" t="s">
        <v>1673</v>
      </c>
      <c r="G58" s="2" t="s">
        <v>1695</v>
      </c>
      <c r="H58" s="2" t="s">
        <v>577</v>
      </c>
      <c r="I58" s="2" t="s">
        <v>1586</v>
      </c>
      <c r="J58" s="2">
        <v>0</v>
      </c>
      <c r="K58" s="2" t="s">
        <v>1592</v>
      </c>
      <c r="L58" s="2" t="s">
        <v>1593</v>
      </c>
      <c r="M58" s="2" t="s">
        <v>1647</v>
      </c>
      <c r="N58" s="2" t="s">
        <v>1696</v>
      </c>
      <c r="P58" s="2" t="s">
        <v>1676</v>
      </c>
      <c r="Q58" s="2" t="s">
        <v>577</v>
      </c>
      <c r="R58" s="2" t="s">
        <v>577</v>
      </c>
      <c r="U58" s="2" t="s">
        <v>586</v>
      </c>
      <c r="V58" s="2" t="s">
        <v>21</v>
      </c>
      <c r="W58" s="2" t="s">
        <v>587</v>
      </c>
      <c r="X58" s="2" t="s">
        <v>589</v>
      </c>
      <c r="Y58" s="2" t="s">
        <v>590</v>
      </c>
      <c r="Z58" s="2" t="s">
        <v>592</v>
      </c>
      <c r="AA58" s="2" t="s">
        <v>591</v>
      </c>
    </row>
    <row r="59" spans="2:27">
      <c r="B59" s="2" t="s">
        <v>100</v>
      </c>
      <c r="C59" s="2" t="s">
        <v>988</v>
      </c>
      <c r="D59" s="2" t="s">
        <v>780</v>
      </c>
      <c r="E59" s="2" t="s">
        <v>355</v>
      </c>
      <c r="F59" s="2" t="s">
        <v>1673</v>
      </c>
      <c r="G59" s="2" t="s">
        <v>1695</v>
      </c>
      <c r="H59" s="2" t="s">
        <v>577</v>
      </c>
      <c r="I59" s="2" t="s">
        <v>1586</v>
      </c>
      <c r="J59" s="2">
        <v>0</v>
      </c>
      <c r="K59" s="2" t="s">
        <v>1592</v>
      </c>
      <c r="L59" s="2" t="s">
        <v>1593</v>
      </c>
      <c r="M59" s="2" t="s">
        <v>1647</v>
      </c>
      <c r="N59" s="2" t="s">
        <v>1696</v>
      </c>
      <c r="P59" s="2" t="s">
        <v>1676</v>
      </c>
      <c r="Q59" s="2" t="s">
        <v>577</v>
      </c>
      <c r="R59" s="2" t="s">
        <v>577</v>
      </c>
      <c r="U59" s="2" t="s">
        <v>587</v>
      </c>
      <c r="V59" s="2" t="s">
        <v>105</v>
      </c>
      <c r="W59" s="2" t="s">
        <v>593</v>
      </c>
      <c r="X59" s="2" t="s">
        <v>1703</v>
      </c>
      <c r="Y59" s="2" t="s">
        <v>1704</v>
      </c>
      <c r="Z59" s="2" t="s">
        <v>597</v>
      </c>
      <c r="AA59" s="2" t="s">
        <v>1705</v>
      </c>
    </row>
    <row r="60" spans="2:27">
      <c r="B60" s="2" t="s">
        <v>1706</v>
      </c>
      <c r="C60" s="2" t="s">
        <v>988</v>
      </c>
      <c r="D60" s="2" t="s">
        <v>780</v>
      </c>
      <c r="E60" s="2" t="s">
        <v>355</v>
      </c>
      <c r="F60" s="2" t="s">
        <v>1673</v>
      </c>
      <c r="G60" s="2" t="s">
        <v>1695</v>
      </c>
      <c r="H60" s="2" t="s">
        <v>577</v>
      </c>
      <c r="I60" s="2" t="s">
        <v>1586</v>
      </c>
      <c r="J60" s="2">
        <v>0</v>
      </c>
      <c r="K60" s="2" t="s">
        <v>1592</v>
      </c>
      <c r="L60" s="2" t="s">
        <v>1593</v>
      </c>
      <c r="M60" s="2" t="s">
        <v>1647</v>
      </c>
      <c r="N60" s="2" t="s">
        <v>1696</v>
      </c>
      <c r="P60" s="2" t="s">
        <v>1676</v>
      </c>
      <c r="Q60" s="2" t="s">
        <v>577</v>
      </c>
      <c r="R60" s="2" t="s">
        <v>577</v>
      </c>
      <c r="U60" s="2" t="s">
        <v>589</v>
      </c>
      <c r="V60" s="2" t="s">
        <v>105</v>
      </c>
      <c r="W60" s="2" t="s">
        <v>594</v>
      </c>
      <c r="X60" s="2" t="s">
        <v>595</v>
      </c>
      <c r="Y60" s="2" t="s">
        <v>1707</v>
      </c>
      <c r="AA60" s="2" t="s">
        <v>1708</v>
      </c>
    </row>
    <row r="61" spans="2:27">
      <c r="B61" s="2" t="s">
        <v>1709</v>
      </c>
      <c r="C61" s="2" t="s">
        <v>985</v>
      </c>
      <c r="D61" s="2" t="s">
        <v>780</v>
      </c>
      <c r="E61" s="2" t="s">
        <v>355</v>
      </c>
      <c r="F61" s="2" t="s">
        <v>1673</v>
      </c>
      <c r="G61" s="2" t="s">
        <v>1695</v>
      </c>
      <c r="H61" s="2" t="s">
        <v>577</v>
      </c>
      <c r="I61" s="2" t="s">
        <v>1586</v>
      </c>
      <c r="J61" s="2">
        <v>0</v>
      </c>
      <c r="K61" s="2" t="s">
        <v>1592</v>
      </c>
      <c r="L61" s="2" t="s">
        <v>1593</v>
      </c>
      <c r="M61" s="2" t="s">
        <v>1647</v>
      </c>
      <c r="N61" s="2" t="s">
        <v>1696</v>
      </c>
      <c r="P61" s="2" t="s">
        <v>1676</v>
      </c>
      <c r="Q61" s="2" t="s">
        <v>577</v>
      </c>
      <c r="R61" s="2" t="s">
        <v>577</v>
      </c>
      <c r="U61" s="2" t="s">
        <v>590</v>
      </c>
      <c r="V61" s="2" t="s">
        <v>105</v>
      </c>
      <c r="W61" s="2" t="s">
        <v>596</v>
      </c>
      <c r="X61" s="2" t="s">
        <v>1710</v>
      </c>
      <c r="AA61" s="2" t="s">
        <v>1711</v>
      </c>
    </row>
    <row r="62" spans="2:22">
      <c r="B62" s="2" t="s">
        <v>1712</v>
      </c>
      <c r="C62" s="2" t="s">
        <v>985</v>
      </c>
      <c r="D62" s="2" t="s">
        <v>780</v>
      </c>
      <c r="E62" s="2" t="s">
        <v>355</v>
      </c>
      <c r="F62" s="2" t="s">
        <v>1673</v>
      </c>
      <c r="G62" s="2" t="s">
        <v>1695</v>
      </c>
      <c r="H62" s="2" t="s">
        <v>577</v>
      </c>
      <c r="I62" s="2" t="s">
        <v>1586</v>
      </c>
      <c r="J62" s="2">
        <v>0</v>
      </c>
      <c r="K62" s="2" t="s">
        <v>1592</v>
      </c>
      <c r="L62" s="2" t="s">
        <v>1593</v>
      </c>
      <c r="M62" s="2" t="s">
        <v>1647</v>
      </c>
      <c r="N62" s="2" t="s">
        <v>1696</v>
      </c>
      <c r="P62" s="2" t="s">
        <v>1676</v>
      </c>
      <c r="Q62" s="2" t="s">
        <v>577</v>
      </c>
      <c r="R62" s="2" t="s">
        <v>577</v>
      </c>
      <c r="U62" s="2" t="s">
        <v>592</v>
      </c>
      <c r="V62" s="2" t="s">
        <v>105</v>
      </c>
    </row>
    <row r="63" spans="2:22">
      <c r="B63" s="2" t="s">
        <v>1713</v>
      </c>
      <c r="C63" s="2" t="s">
        <v>985</v>
      </c>
      <c r="D63" s="2" t="s">
        <v>780</v>
      </c>
      <c r="E63" s="2" t="s">
        <v>355</v>
      </c>
      <c r="F63" s="2" t="s">
        <v>1673</v>
      </c>
      <c r="G63" s="2" t="s">
        <v>1695</v>
      </c>
      <c r="H63" s="2" t="s">
        <v>577</v>
      </c>
      <c r="I63" s="2" t="s">
        <v>1586</v>
      </c>
      <c r="J63" s="2">
        <v>0</v>
      </c>
      <c r="K63" s="2" t="s">
        <v>1592</v>
      </c>
      <c r="L63" s="2" t="s">
        <v>1593</v>
      </c>
      <c r="M63" s="2" t="s">
        <v>1647</v>
      </c>
      <c r="N63" s="2" t="s">
        <v>1696</v>
      </c>
      <c r="P63" s="2" t="s">
        <v>1676</v>
      </c>
      <c r="Q63" s="2" t="s">
        <v>577</v>
      </c>
      <c r="R63" s="2" t="s">
        <v>577</v>
      </c>
      <c r="U63" s="2" t="s">
        <v>591</v>
      </c>
      <c r="V63" s="2" t="s">
        <v>105</v>
      </c>
    </row>
    <row r="64" spans="2:22">
      <c r="B64" s="2" t="s">
        <v>1714</v>
      </c>
      <c r="C64" s="2" t="s">
        <v>985</v>
      </c>
      <c r="D64" s="2" t="s">
        <v>780</v>
      </c>
      <c r="E64" s="2" t="s">
        <v>355</v>
      </c>
      <c r="F64" s="2" t="s">
        <v>1673</v>
      </c>
      <c r="G64" s="2" t="s">
        <v>1695</v>
      </c>
      <c r="H64" s="2" t="s">
        <v>577</v>
      </c>
      <c r="I64" s="2" t="s">
        <v>1586</v>
      </c>
      <c r="J64" s="2">
        <v>0</v>
      </c>
      <c r="K64" s="2" t="s">
        <v>1592</v>
      </c>
      <c r="L64" s="2" t="s">
        <v>1593</v>
      </c>
      <c r="M64" s="2" t="s">
        <v>1647</v>
      </c>
      <c r="N64" s="2" t="s">
        <v>1696</v>
      </c>
      <c r="P64" s="2" t="s">
        <v>1676</v>
      </c>
      <c r="Q64" s="2" t="s">
        <v>577</v>
      </c>
      <c r="R64" s="2" t="s">
        <v>577</v>
      </c>
      <c r="U64" s="2" t="s">
        <v>593</v>
      </c>
      <c r="V64" s="2" t="s">
        <v>166</v>
      </c>
    </row>
    <row r="65" spans="2:22">
      <c r="B65" s="2" t="s">
        <v>1715</v>
      </c>
      <c r="C65" s="2" t="s">
        <v>985</v>
      </c>
      <c r="D65" s="2" t="s">
        <v>780</v>
      </c>
      <c r="E65" s="2" t="s">
        <v>355</v>
      </c>
      <c r="F65" s="2" t="s">
        <v>1673</v>
      </c>
      <c r="G65" s="2" t="s">
        <v>1695</v>
      </c>
      <c r="H65" s="2" t="s">
        <v>577</v>
      </c>
      <c r="I65" s="2" t="s">
        <v>1586</v>
      </c>
      <c r="J65" s="2">
        <v>0</v>
      </c>
      <c r="K65" s="2" t="s">
        <v>1592</v>
      </c>
      <c r="L65" s="2" t="s">
        <v>1593</v>
      </c>
      <c r="M65" s="2" t="s">
        <v>1647</v>
      </c>
      <c r="N65" s="2" t="s">
        <v>1696</v>
      </c>
      <c r="P65" s="2" t="s">
        <v>1676</v>
      </c>
      <c r="Q65" s="2" t="s">
        <v>577</v>
      </c>
      <c r="R65" s="2" t="s">
        <v>577</v>
      </c>
      <c r="U65" s="2" t="s">
        <v>1703</v>
      </c>
      <c r="V65" s="2" t="s">
        <v>166</v>
      </c>
    </row>
    <row r="66" spans="2:22">
      <c r="B66" s="2" t="s">
        <v>1716</v>
      </c>
      <c r="C66" s="2" t="s">
        <v>930</v>
      </c>
      <c r="D66" s="2" t="s">
        <v>780</v>
      </c>
      <c r="E66" s="2" t="s">
        <v>1717</v>
      </c>
      <c r="F66" s="2" t="s">
        <v>1718</v>
      </c>
      <c r="G66" s="2" t="s">
        <v>1719</v>
      </c>
      <c r="H66" s="2" t="s">
        <v>577</v>
      </c>
      <c r="I66" s="2" t="s">
        <v>1586</v>
      </c>
      <c r="J66" s="2">
        <v>0</v>
      </c>
      <c r="K66" s="2" t="s">
        <v>1592</v>
      </c>
      <c r="L66" s="2" t="s">
        <v>1593</v>
      </c>
      <c r="M66" s="2" t="s">
        <v>1594</v>
      </c>
      <c r="N66" s="2" t="s">
        <v>1595</v>
      </c>
      <c r="O66" s="2" t="s">
        <v>1720</v>
      </c>
      <c r="P66" s="2" t="s">
        <v>1721</v>
      </c>
      <c r="Q66" s="2" t="s">
        <v>577</v>
      </c>
      <c r="R66" s="2" t="s">
        <v>588</v>
      </c>
      <c r="U66" s="2" t="s">
        <v>1705</v>
      </c>
      <c r="V66" s="2" t="s">
        <v>166</v>
      </c>
    </row>
    <row r="67" spans="2:26">
      <c r="B67" s="2" t="s">
        <v>1722</v>
      </c>
      <c r="C67" s="2" t="s">
        <v>932</v>
      </c>
      <c r="D67" s="2" t="s">
        <v>780</v>
      </c>
      <c r="E67" s="2" t="s">
        <v>1717</v>
      </c>
      <c r="F67" s="2" t="s">
        <v>1718</v>
      </c>
      <c r="G67" s="2" t="s">
        <v>1723</v>
      </c>
      <c r="H67" s="2" t="s">
        <v>577</v>
      </c>
      <c r="I67" s="2" t="s">
        <v>1586</v>
      </c>
      <c r="J67" s="2">
        <v>0</v>
      </c>
      <c r="K67" s="2" t="s">
        <v>1592</v>
      </c>
      <c r="L67" s="2" t="s">
        <v>1593</v>
      </c>
      <c r="M67" s="2" t="s">
        <v>1594</v>
      </c>
      <c r="N67" s="2" t="s">
        <v>1595</v>
      </c>
      <c r="O67" s="2" t="s">
        <v>1720</v>
      </c>
      <c r="P67" s="2" t="s">
        <v>1721</v>
      </c>
      <c r="Q67" s="2" t="s">
        <v>577</v>
      </c>
      <c r="R67" s="2" t="s">
        <v>588</v>
      </c>
      <c r="U67" s="2" t="s">
        <v>1704</v>
      </c>
      <c r="V67" s="2" t="s">
        <v>166</v>
      </c>
      <c r="W67" s="2" t="s">
        <v>327</v>
      </c>
      <c r="X67" s="2" t="s">
        <v>8</v>
      </c>
      <c r="Y67" s="16" t="s">
        <v>1724</v>
      </c>
      <c r="Z67" s="16">
        <v>2025</v>
      </c>
    </row>
    <row r="68" spans="2:26">
      <c r="B68" s="2" t="s">
        <v>1725</v>
      </c>
      <c r="C68" s="2" t="s">
        <v>804</v>
      </c>
      <c r="D68" s="2" t="s">
        <v>784</v>
      </c>
      <c r="E68" s="2" t="s">
        <v>1726</v>
      </c>
      <c r="F68" s="2" t="s">
        <v>1727</v>
      </c>
      <c r="G68" s="2" t="s">
        <v>1618</v>
      </c>
      <c r="H68" s="2" t="s">
        <v>577</v>
      </c>
      <c r="I68" s="2" t="s">
        <v>1586</v>
      </c>
      <c r="J68" s="2">
        <v>0</v>
      </c>
      <c r="K68" s="2" t="s">
        <v>1592</v>
      </c>
      <c r="L68" s="2" t="s">
        <v>1593</v>
      </c>
      <c r="M68" s="2" t="s">
        <v>1594</v>
      </c>
      <c r="N68" s="2" t="s">
        <v>1595</v>
      </c>
      <c r="O68" s="2" t="s">
        <v>1596</v>
      </c>
      <c r="P68" s="2" t="s">
        <v>1597</v>
      </c>
      <c r="Q68" s="2" t="s">
        <v>588</v>
      </c>
      <c r="R68" s="2" t="s">
        <v>588</v>
      </c>
      <c r="U68" s="2" t="s">
        <v>594</v>
      </c>
      <c r="V68" s="2" t="s">
        <v>169</v>
      </c>
      <c r="W68" s="2" t="s">
        <v>328</v>
      </c>
      <c r="X68" s="2" t="s">
        <v>8</v>
      </c>
      <c r="Y68" s="16" t="s">
        <v>1724</v>
      </c>
      <c r="Z68" s="16">
        <v>2025</v>
      </c>
    </row>
    <row r="69" spans="2:26">
      <c r="B69" s="2" t="s">
        <v>1728</v>
      </c>
      <c r="C69" s="2" t="s">
        <v>792</v>
      </c>
      <c r="D69" s="2" t="s">
        <v>784</v>
      </c>
      <c r="E69" s="2" t="s">
        <v>1726</v>
      </c>
      <c r="F69" s="2" t="s">
        <v>1727</v>
      </c>
      <c r="G69" s="2" t="s">
        <v>1603</v>
      </c>
      <c r="H69" s="2" t="s">
        <v>577</v>
      </c>
      <c r="I69" s="2" t="s">
        <v>1586</v>
      </c>
      <c r="J69" s="2">
        <v>0</v>
      </c>
      <c r="K69" s="2" t="s">
        <v>1592</v>
      </c>
      <c r="L69" s="2" t="s">
        <v>1593</v>
      </c>
      <c r="M69" s="2" t="s">
        <v>1594</v>
      </c>
      <c r="N69" s="2" t="s">
        <v>1595</v>
      </c>
      <c r="O69" s="2" t="s">
        <v>1596</v>
      </c>
      <c r="P69" s="2" t="s">
        <v>1597</v>
      </c>
      <c r="Q69" s="2" t="s">
        <v>588</v>
      </c>
      <c r="R69" s="2" t="s">
        <v>588</v>
      </c>
      <c r="U69" s="2" t="s">
        <v>595</v>
      </c>
      <c r="V69" s="2" t="s">
        <v>169</v>
      </c>
      <c r="W69" s="2" t="s">
        <v>329</v>
      </c>
      <c r="X69" s="2" t="s">
        <v>8</v>
      </c>
      <c r="Y69" s="16" t="s">
        <v>1724</v>
      </c>
      <c r="Z69" s="16">
        <v>2025</v>
      </c>
    </row>
    <row r="70" spans="2:26">
      <c r="B70" s="2" t="s">
        <v>1729</v>
      </c>
      <c r="C70" s="2" t="s">
        <v>807</v>
      </c>
      <c r="D70" s="2" t="s">
        <v>784</v>
      </c>
      <c r="E70" s="2" t="s">
        <v>1726</v>
      </c>
      <c r="F70" s="2" t="s">
        <v>1727</v>
      </c>
      <c r="G70" s="2" t="s">
        <v>1730</v>
      </c>
      <c r="H70" s="2" t="s">
        <v>577</v>
      </c>
      <c r="I70" s="2" t="s">
        <v>1586</v>
      </c>
      <c r="J70" s="2">
        <v>0</v>
      </c>
      <c r="K70" s="2" t="s">
        <v>1592</v>
      </c>
      <c r="L70" s="2" t="s">
        <v>1593</v>
      </c>
      <c r="M70" s="2" t="s">
        <v>1594</v>
      </c>
      <c r="N70" s="2" t="s">
        <v>1595</v>
      </c>
      <c r="O70" s="2" t="s">
        <v>1596</v>
      </c>
      <c r="P70" s="2" t="s">
        <v>1597</v>
      </c>
      <c r="Q70" s="2" t="s">
        <v>588</v>
      </c>
      <c r="R70" s="2" t="s">
        <v>588</v>
      </c>
      <c r="U70" s="2" t="s">
        <v>1707</v>
      </c>
      <c r="V70" s="2" t="s">
        <v>169</v>
      </c>
      <c r="W70" s="2" t="s">
        <v>330</v>
      </c>
      <c r="X70" s="2" t="s">
        <v>9</v>
      </c>
      <c r="Y70" s="16" t="s">
        <v>1724</v>
      </c>
      <c r="Z70" s="16">
        <v>2025</v>
      </c>
    </row>
    <row r="71" spans="2:26">
      <c r="B71" s="2" t="s">
        <v>1731</v>
      </c>
      <c r="C71" s="2" t="s">
        <v>976</v>
      </c>
      <c r="D71" s="2" t="s">
        <v>809</v>
      </c>
      <c r="E71" s="2" t="s">
        <v>1726</v>
      </c>
      <c r="F71" s="2" t="s">
        <v>1727</v>
      </c>
      <c r="G71" s="2" t="s">
        <v>1732</v>
      </c>
      <c r="H71" s="2" t="s">
        <v>577</v>
      </c>
      <c r="I71" s="2" t="s">
        <v>1586</v>
      </c>
      <c r="J71" s="2">
        <v>0</v>
      </c>
      <c r="K71" s="2" t="s">
        <v>1592</v>
      </c>
      <c r="L71" s="2" t="s">
        <v>1593</v>
      </c>
      <c r="M71" s="2" t="s">
        <v>1594</v>
      </c>
      <c r="N71" s="2" t="s">
        <v>1595</v>
      </c>
      <c r="O71" s="2" t="s">
        <v>1596</v>
      </c>
      <c r="P71" s="2" t="s">
        <v>1597</v>
      </c>
      <c r="Q71" s="2" t="s">
        <v>588</v>
      </c>
      <c r="R71" s="2" t="s">
        <v>588</v>
      </c>
      <c r="U71" s="2" t="s">
        <v>1708</v>
      </c>
      <c r="V71" s="2" t="s">
        <v>169</v>
      </c>
      <c r="W71" s="2" t="s">
        <v>331</v>
      </c>
      <c r="X71" s="2" t="s">
        <v>9</v>
      </c>
      <c r="Y71" s="16" t="s">
        <v>1724</v>
      </c>
      <c r="Z71" s="16">
        <v>2025</v>
      </c>
    </row>
    <row r="72" spans="2:26">
      <c r="B72" s="2" t="s">
        <v>1733</v>
      </c>
      <c r="C72" s="2" t="s">
        <v>807</v>
      </c>
      <c r="D72" s="2" t="s">
        <v>784</v>
      </c>
      <c r="E72" s="2" t="s">
        <v>1726</v>
      </c>
      <c r="F72" s="2" t="s">
        <v>1727</v>
      </c>
      <c r="G72" s="2" t="s">
        <v>1644</v>
      </c>
      <c r="H72" s="2" t="s">
        <v>577</v>
      </c>
      <c r="I72" s="2" t="s">
        <v>1586</v>
      </c>
      <c r="J72" s="2">
        <v>0</v>
      </c>
      <c r="K72" s="2" t="s">
        <v>1592</v>
      </c>
      <c r="L72" s="2" t="s">
        <v>1593</v>
      </c>
      <c r="M72" s="2" t="s">
        <v>1594</v>
      </c>
      <c r="N72" s="2" t="s">
        <v>1595</v>
      </c>
      <c r="O72" s="2" t="s">
        <v>1596</v>
      </c>
      <c r="P72" s="2" t="s">
        <v>1597</v>
      </c>
      <c r="Q72" s="2" t="s">
        <v>588</v>
      </c>
      <c r="R72" s="2" t="s">
        <v>588</v>
      </c>
      <c r="U72" s="2" t="s">
        <v>1711</v>
      </c>
      <c r="V72" s="2" t="s">
        <v>208</v>
      </c>
      <c r="W72" s="2" t="s">
        <v>332</v>
      </c>
      <c r="X72" s="2" t="s">
        <v>9</v>
      </c>
      <c r="Y72" s="16" t="s">
        <v>1724</v>
      </c>
      <c r="Z72" s="16">
        <v>2025</v>
      </c>
    </row>
    <row r="73" spans="21:26">
      <c r="U73" s="2" t="s">
        <v>596</v>
      </c>
      <c r="V73" s="2" t="s">
        <v>208</v>
      </c>
      <c r="W73" s="2" t="s">
        <v>333</v>
      </c>
      <c r="X73" s="2" t="s">
        <v>10</v>
      </c>
      <c r="Y73" s="16" t="s">
        <v>1734</v>
      </c>
      <c r="Z73" s="16">
        <v>2025</v>
      </c>
    </row>
    <row r="74" spans="21:26">
      <c r="U74" s="2" t="s">
        <v>1710</v>
      </c>
      <c r="V74" s="2" t="s">
        <v>208</v>
      </c>
      <c r="W74" s="2" t="s">
        <v>334</v>
      </c>
      <c r="X74" s="2" t="s">
        <v>10</v>
      </c>
      <c r="Y74" s="16" t="s">
        <v>1734</v>
      </c>
      <c r="Z74" s="16">
        <v>2025</v>
      </c>
    </row>
    <row r="75" spans="1:26">
      <c r="A75" s="14" t="s">
        <v>1735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U75" s="2" t="s">
        <v>1736</v>
      </c>
      <c r="V75" s="2" t="s">
        <v>208</v>
      </c>
      <c r="W75" s="2" t="s">
        <v>335</v>
      </c>
      <c r="X75" s="2" t="s">
        <v>10</v>
      </c>
      <c r="Y75" s="16" t="s">
        <v>1734</v>
      </c>
      <c r="Z75" s="16">
        <v>2025</v>
      </c>
    </row>
    <row r="76" spans="2:26">
      <c r="B76" s="2" t="s">
        <v>151</v>
      </c>
      <c r="C76" s="2" t="s">
        <v>1113</v>
      </c>
      <c r="D76" s="2" t="s">
        <v>1737</v>
      </c>
      <c r="E76" s="2" t="s">
        <v>359</v>
      </c>
      <c r="F76" s="2" t="s">
        <v>359</v>
      </c>
      <c r="G76" s="2" t="s">
        <v>1738</v>
      </c>
      <c r="H76" s="2" t="s">
        <v>577</v>
      </c>
      <c r="I76" s="2" t="s">
        <v>1586</v>
      </c>
      <c r="J76" s="2">
        <v>0</v>
      </c>
      <c r="K76" s="2" t="s">
        <v>1592</v>
      </c>
      <c r="L76" s="2" t="s">
        <v>1593</v>
      </c>
      <c r="M76" s="2" t="s">
        <v>1739</v>
      </c>
      <c r="N76" s="2" t="s">
        <v>1740</v>
      </c>
      <c r="P76" s="2" t="s">
        <v>1741</v>
      </c>
      <c r="Q76" s="2" t="s">
        <v>577</v>
      </c>
      <c r="R76" s="2" t="s">
        <v>577</v>
      </c>
      <c r="U76" s="2" t="s">
        <v>597</v>
      </c>
      <c r="V76" s="2" t="s">
        <v>225</v>
      </c>
      <c r="W76" s="2" t="s">
        <v>336</v>
      </c>
      <c r="X76" s="2" t="s">
        <v>11</v>
      </c>
      <c r="Y76" s="16" t="s">
        <v>1734</v>
      </c>
      <c r="Z76" s="16">
        <v>2025</v>
      </c>
    </row>
    <row r="77" spans="2:26">
      <c r="B77" s="2" t="s">
        <v>155</v>
      </c>
      <c r="C77" s="2" t="s">
        <v>1113</v>
      </c>
      <c r="D77" s="2" t="s">
        <v>1737</v>
      </c>
      <c r="E77" s="2" t="s">
        <v>359</v>
      </c>
      <c r="F77" s="2" t="s">
        <v>359</v>
      </c>
      <c r="G77" s="2" t="s">
        <v>1738</v>
      </c>
      <c r="H77" s="2" t="s">
        <v>577</v>
      </c>
      <c r="I77" s="2" t="s">
        <v>1586</v>
      </c>
      <c r="J77" s="2">
        <v>0</v>
      </c>
      <c r="K77" s="2" t="s">
        <v>1592</v>
      </c>
      <c r="L77" s="2" t="s">
        <v>1593</v>
      </c>
      <c r="M77" s="2" t="s">
        <v>1739</v>
      </c>
      <c r="N77" s="2" t="s">
        <v>1740</v>
      </c>
      <c r="P77" s="2" t="s">
        <v>1741</v>
      </c>
      <c r="Q77" s="2" t="s">
        <v>577</v>
      </c>
      <c r="R77" s="2" t="s">
        <v>577</v>
      </c>
      <c r="W77" s="2" t="s">
        <v>337</v>
      </c>
      <c r="X77" s="2" t="s">
        <v>11</v>
      </c>
      <c r="Y77" s="16" t="s">
        <v>1734</v>
      </c>
      <c r="Z77" s="16">
        <v>2025</v>
      </c>
    </row>
    <row r="78" spans="2:26">
      <c r="B78" s="2" t="s">
        <v>159</v>
      </c>
      <c r="C78" s="2" t="s">
        <v>1113</v>
      </c>
      <c r="D78" s="2" t="s">
        <v>1737</v>
      </c>
      <c r="E78" s="2" t="s">
        <v>359</v>
      </c>
      <c r="F78" s="2" t="s">
        <v>359</v>
      </c>
      <c r="G78" s="2" t="s">
        <v>1738</v>
      </c>
      <c r="H78" s="2" t="s">
        <v>577</v>
      </c>
      <c r="I78" s="2" t="s">
        <v>1586</v>
      </c>
      <c r="J78" s="2">
        <v>0</v>
      </c>
      <c r="K78" s="2" t="s">
        <v>1592</v>
      </c>
      <c r="L78" s="2" t="s">
        <v>1593</v>
      </c>
      <c r="M78" s="2" t="s">
        <v>1739</v>
      </c>
      <c r="N78" s="2" t="s">
        <v>1740</v>
      </c>
      <c r="P78" s="2" t="s">
        <v>1741</v>
      </c>
      <c r="Q78" s="2" t="s">
        <v>577</v>
      </c>
      <c r="R78" s="2" t="s">
        <v>577</v>
      </c>
      <c r="U78" s="2" t="s">
        <v>1742</v>
      </c>
      <c r="W78" s="2" t="s">
        <v>338</v>
      </c>
      <c r="X78" s="2" t="s">
        <v>11</v>
      </c>
      <c r="Y78" s="16" t="s">
        <v>1734</v>
      </c>
      <c r="Z78" s="16">
        <v>2025</v>
      </c>
    </row>
    <row r="79" spans="2:26">
      <c r="B79" s="2" t="s">
        <v>1743</v>
      </c>
      <c r="C79" s="2" t="s">
        <v>1113</v>
      </c>
      <c r="D79" s="2" t="s">
        <v>1737</v>
      </c>
      <c r="E79" s="2" t="s">
        <v>359</v>
      </c>
      <c r="F79" s="2" t="s">
        <v>359</v>
      </c>
      <c r="G79" s="2" t="s">
        <v>1738</v>
      </c>
      <c r="H79" s="2" t="s">
        <v>577</v>
      </c>
      <c r="I79" s="2" t="s">
        <v>1586</v>
      </c>
      <c r="J79" s="2">
        <v>0</v>
      </c>
      <c r="K79" s="2" t="s">
        <v>1592</v>
      </c>
      <c r="L79" s="2" t="s">
        <v>1593</v>
      </c>
      <c r="M79" s="2" t="s">
        <v>1739</v>
      </c>
      <c r="N79" s="2" t="s">
        <v>1740</v>
      </c>
      <c r="P79" s="2" t="s">
        <v>1741</v>
      </c>
      <c r="Q79" s="2" t="s">
        <v>577</v>
      </c>
      <c r="R79" s="2" t="s">
        <v>577</v>
      </c>
      <c r="U79" s="2" t="s">
        <v>1744</v>
      </c>
      <c r="W79" s="15" t="s">
        <v>340</v>
      </c>
      <c r="X79" s="2" t="s">
        <v>323</v>
      </c>
      <c r="Y79" s="16" t="s">
        <v>1724</v>
      </c>
      <c r="Z79" s="16">
        <v>2026</v>
      </c>
    </row>
    <row r="80" spans="2:26">
      <c r="B80" s="2" t="s">
        <v>145</v>
      </c>
      <c r="C80" s="2" t="s">
        <v>1113</v>
      </c>
      <c r="D80" s="2" t="s">
        <v>1737</v>
      </c>
      <c r="E80" s="2" t="s">
        <v>359</v>
      </c>
      <c r="F80" s="2" t="s">
        <v>359</v>
      </c>
      <c r="G80" s="2" t="s">
        <v>1738</v>
      </c>
      <c r="H80" s="2" t="s">
        <v>577</v>
      </c>
      <c r="I80" s="2" t="s">
        <v>1586</v>
      </c>
      <c r="J80" s="2">
        <v>0</v>
      </c>
      <c r="K80" s="2" t="s">
        <v>1592</v>
      </c>
      <c r="L80" s="2" t="s">
        <v>1593</v>
      </c>
      <c r="M80" s="2" t="s">
        <v>1739</v>
      </c>
      <c r="N80" s="2" t="s">
        <v>1740</v>
      </c>
      <c r="P80" s="2" t="s">
        <v>1741</v>
      </c>
      <c r="Q80" s="2" t="s">
        <v>577</v>
      </c>
      <c r="R80" s="2" t="s">
        <v>577</v>
      </c>
      <c r="U80" s="2" t="s">
        <v>1745</v>
      </c>
      <c r="W80" s="15" t="s">
        <v>339</v>
      </c>
      <c r="X80" s="2" t="s">
        <v>323</v>
      </c>
      <c r="Y80" s="16" t="s">
        <v>1724</v>
      </c>
      <c r="Z80" s="16">
        <v>2026</v>
      </c>
    </row>
    <row r="81" spans="2:26">
      <c r="B81" s="2" t="s">
        <v>1746</v>
      </c>
      <c r="C81" s="2" t="s">
        <v>1093</v>
      </c>
      <c r="D81" s="2" t="s">
        <v>780</v>
      </c>
      <c r="E81" s="2" t="s">
        <v>359</v>
      </c>
      <c r="F81" s="2" t="s">
        <v>359</v>
      </c>
      <c r="G81" s="2" t="s">
        <v>1747</v>
      </c>
      <c r="H81" s="2" t="s">
        <v>577</v>
      </c>
      <c r="I81" s="2" t="s">
        <v>1586</v>
      </c>
      <c r="J81" s="2">
        <v>0</v>
      </c>
      <c r="K81" s="2" t="s">
        <v>1592</v>
      </c>
      <c r="L81" s="2" t="s">
        <v>1593</v>
      </c>
      <c r="M81" s="2" t="s">
        <v>1739</v>
      </c>
      <c r="N81" s="2" t="s">
        <v>1740</v>
      </c>
      <c r="P81" s="2" t="s">
        <v>1741</v>
      </c>
      <c r="Q81" s="2" t="s">
        <v>577</v>
      </c>
      <c r="R81" s="2" t="s">
        <v>577</v>
      </c>
      <c r="U81" s="2" t="s">
        <v>1748</v>
      </c>
      <c r="W81" s="15" t="s">
        <v>341</v>
      </c>
      <c r="X81" s="2" t="s">
        <v>323</v>
      </c>
      <c r="Y81" s="16" t="s">
        <v>1724</v>
      </c>
      <c r="Z81" s="16">
        <v>2026</v>
      </c>
    </row>
    <row r="82" spans="2:21">
      <c r="B82" s="2" t="s">
        <v>161</v>
      </c>
      <c r="C82" s="2" t="s">
        <v>1093</v>
      </c>
      <c r="D82" s="2" t="s">
        <v>1749</v>
      </c>
      <c r="E82" s="2" t="s">
        <v>359</v>
      </c>
      <c r="F82" s="2" t="s">
        <v>359</v>
      </c>
      <c r="G82" s="2" t="s">
        <v>1750</v>
      </c>
      <c r="H82" s="2" t="s">
        <v>577</v>
      </c>
      <c r="I82" s="2" t="s">
        <v>1586</v>
      </c>
      <c r="J82" s="2">
        <v>0</v>
      </c>
      <c r="K82" s="2" t="s">
        <v>1592</v>
      </c>
      <c r="L82" s="2" t="s">
        <v>1593</v>
      </c>
      <c r="M82" s="2" t="s">
        <v>1739</v>
      </c>
      <c r="N82" s="2" t="s">
        <v>1740</v>
      </c>
      <c r="P82" s="2" t="s">
        <v>1741</v>
      </c>
      <c r="Q82" s="2" t="s">
        <v>577</v>
      </c>
      <c r="R82" s="2" t="s">
        <v>577</v>
      </c>
      <c r="U82" s="2" t="s">
        <v>1751</v>
      </c>
    </row>
    <row r="83" spans="2:18">
      <c r="B83" s="2" t="s">
        <v>1752</v>
      </c>
      <c r="C83" s="2" t="s">
        <v>1093</v>
      </c>
      <c r="D83" s="2" t="s">
        <v>1749</v>
      </c>
      <c r="E83" s="2" t="s">
        <v>359</v>
      </c>
      <c r="F83" s="2" t="s">
        <v>359</v>
      </c>
      <c r="G83" s="2" t="s">
        <v>1753</v>
      </c>
      <c r="H83" s="2" t="s">
        <v>577</v>
      </c>
      <c r="I83" s="2" t="s">
        <v>1586</v>
      </c>
      <c r="J83" s="2">
        <v>0</v>
      </c>
      <c r="K83" s="2" t="s">
        <v>1592</v>
      </c>
      <c r="L83" s="2" t="s">
        <v>1593</v>
      </c>
      <c r="M83" s="2" t="s">
        <v>1739</v>
      </c>
      <c r="N83" s="2" t="s">
        <v>1740</v>
      </c>
      <c r="P83" s="2" t="s">
        <v>1741</v>
      </c>
      <c r="Q83" s="2" t="s">
        <v>577</v>
      </c>
      <c r="R83" s="2" t="s">
        <v>577</v>
      </c>
    </row>
    <row r="84" spans="2:21">
      <c r="B84" s="2" t="s">
        <v>163</v>
      </c>
      <c r="C84" s="2" t="s">
        <v>1093</v>
      </c>
      <c r="D84" s="2" t="s">
        <v>1749</v>
      </c>
      <c r="E84" s="2" t="s">
        <v>359</v>
      </c>
      <c r="F84" s="2" t="s">
        <v>359</v>
      </c>
      <c r="G84" s="2" t="s">
        <v>1754</v>
      </c>
      <c r="H84" s="2" t="s">
        <v>577</v>
      </c>
      <c r="I84" s="2" t="s">
        <v>1586</v>
      </c>
      <c r="J84" s="2">
        <v>0</v>
      </c>
      <c r="K84" s="2" t="s">
        <v>1592</v>
      </c>
      <c r="L84" s="2" t="s">
        <v>1593</v>
      </c>
      <c r="M84" s="2" t="s">
        <v>1739</v>
      </c>
      <c r="N84" s="2" t="s">
        <v>1740</v>
      </c>
      <c r="P84" s="2" t="s">
        <v>1741</v>
      </c>
      <c r="Q84" s="2" t="s">
        <v>577</v>
      </c>
      <c r="R84" s="2" t="s">
        <v>577</v>
      </c>
      <c r="U84" s="2" t="s">
        <v>1625</v>
      </c>
    </row>
    <row r="85" spans="2:21">
      <c r="B85" s="2" t="s">
        <v>1755</v>
      </c>
      <c r="C85" s="2" t="s">
        <v>1093</v>
      </c>
      <c r="D85" s="2" t="s">
        <v>780</v>
      </c>
      <c r="E85" s="2" t="s">
        <v>359</v>
      </c>
      <c r="F85" s="2" t="s">
        <v>359</v>
      </c>
      <c r="G85" s="2" t="s">
        <v>1756</v>
      </c>
      <c r="H85" s="2" t="s">
        <v>577</v>
      </c>
      <c r="I85" s="2" t="s">
        <v>1586</v>
      </c>
      <c r="J85" s="2">
        <v>0</v>
      </c>
      <c r="K85" s="2" t="s">
        <v>1592</v>
      </c>
      <c r="L85" s="2" t="s">
        <v>1593</v>
      </c>
      <c r="M85" s="2" t="s">
        <v>1739</v>
      </c>
      <c r="N85" s="2" t="s">
        <v>1740</v>
      </c>
      <c r="P85" s="2" t="s">
        <v>1741</v>
      </c>
      <c r="Q85" s="2" t="s">
        <v>577</v>
      </c>
      <c r="R85" s="2" t="s">
        <v>577</v>
      </c>
      <c r="U85" s="2" t="s">
        <v>1757</v>
      </c>
    </row>
    <row r="86" spans="2:21">
      <c r="B86" s="2" t="s">
        <v>1758</v>
      </c>
      <c r="C86" s="2" t="s">
        <v>1093</v>
      </c>
      <c r="D86" s="2" t="s">
        <v>1749</v>
      </c>
      <c r="E86" s="2" t="s">
        <v>359</v>
      </c>
      <c r="F86" s="2" t="s">
        <v>359</v>
      </c>
      <c r="G86" s="2" t="s">
        <v>1750</v>
      </c>
      <c r="H86" s="2" t="s">
        <v>577</v>
      </c>
      <c r="I86" s="2" t="s">
        <v>1586</v>
      </c>
      <c r="J86" s="2">
        <v>0</v>
      </c>
      <c r="K86" s="2" t="s">
        <v>1592</v>
      </c>
      <c r="L86" s="2" t="s">
        <v>1593</v>
      </c>
      <c r="M86" s="2" t="s">
        <v>1739</v>
      </c>
      <c r="N86" s="2" t="s">
        <v>1740</v>
      </c>
      <c r="P86" s="2" t="s">
        <v>1741</v>
      </c>
      <c r="Q86" s="2" t="s">
        <v>577</v>
      </c>
      <c r="R86" s="2" t="s">
        <v>577</v>
      </c>
      <c r="U86" s="2" t="s">
        <v>1759</v>
      </c>
    </row>
    <row r="87" spans="2:18">
      <c r="B87" s="2" t="s">
        <v>1760</v>
      </c>
      <c r="C87" s="2" t="s">
        <v>1093</v>
      </c>
      <c r="D87" s="2" t="s">
        <v>1749</v>
      </c>
      <c r="E87" s="2" t="s">
        <v>359</v>
      </c>
      <c r="F87" s="2" t="s">
        <v>359</v>
      </c>
      <c r="G87" s="2" t="s">
        <v>1754</v>
      </c>
      <c r="H87" s="2" t="s">
        <v>577</v>
      </c>
      <c r="I87" s="2" t="s">
        <v>1586</v>
      </c>
      <c r="J87" s="2">
        <v>0</v>
      </c>
      <c r="K87" s="2" t="s">
        <v>1592</v>
      </c>
      <c r="L87" s="2" t="s">
        <v>1593</v>
      </c>
      <c r="M87" s="2" t="s">
        <v>1739</v>
      </c>
      <c r="N87" s="2" t="s">
        <v>1740</v>
      </c>
      <c r="P87" s="2" t="s">
        <v>1741</v>
      </c>
      <c r="Q87" s="2" t="s">
        <v>577</v>
      </c>
      <c r="R87" s="2" t="s">
        <v>577</v>
      </c>
    </row>
    <row r="88" spans="2:18">
      <c r="B88" s="2" t="s">
        <v>1761</v>
      </c>
      <c r="C88" s="2" t="s">
        <v>1093</v>
      </c>
      <c r="D88" s="2" t="s">
        <v>1737</v>
      </c>
      <c r="E88" s="2" t="s">
        <v>359</v>
      </c>
      <c r="F88" s="2" t="s">
        <v>359</v>
      </c>
      <c r="G88" s="2" t="s">
        <v>1738</v>
      </c>
      <c r="H88" s="2" t="s">
        <v>577</v>
      </c>
      <c r="I88" s="2" t="s">
        <v>1586</v>
      </c>
      <c r="J88" s="2">
        <v>0</v>
      </c>
      <c r="K88" s="2" t="s">
        <v>1592</v>
      </c>
      <c r="L88" s="2" t="s">
        <v>1593</v>
      </c>
      <c r="M88" s="2" t="s">
        <v>1739</v>
      </c>
      <c r="N88" s="2" t="s">
        <v>1740</v>
      </c>
      <c r="P88" s="2" t="s">
        <v>1741</v>
      </c>
      <c r="Q88" s="2" t="s">
        <v>577</v>
      </c>
      <c r="R88" s="2" t="s">
        <v>577</v>
      </c>
    </row>
    <row r="89" spans="2:18">
      <c r="B89" s="2" t="s">
        <v>165</v>
      </c>
      <c r="C89" s="2" t="s">
        <v>1093</v>
      </c>
      <c r="D89" s="2" t="s">
        <v>780</v>
      </c>
      <c r="E89" s="2" t="s">
        <v>361</v>
      </c>
      <c r="F89" s="2" t="s">
        <v>361</v>
      </c>
      <c r="G89" s="2" t="s">
        <v>165</v>
      </c>
      <c r="H89" s="2" t="s">
        <v>577</v>
      </c>
      <c r="I89" s="2" t="s">
        <v>1586</v>
      </c>
      <c r="J89" s="2">
        <v>0</v>
      </c>
      <c r="K89" s="2" t="s">
        <v>1592</v>
      </c>
      <c r="L89" s="2" t="s">
        <v>1593</v>
      </c>
      <c r="M89" s="2" t="s">
        <v>1739</v>
      </c>
      <c r="N89" s="2" t="s">
        <v>1740</v>
      </c>
      <c r="O89" s="2" t="s">
        <v>1762</v>
      </c>
      <c r="P89" s="2" t="s">
        <v>1763</v>
      </c>
      <c r="Q89" s="2" t="s">
        <v>577</v>
      </c>
      <c r="R89" s="2" t="s">
        <v>577</v>
      </c>
    </row>
    <row r="90" spans="2:18">
      <c r="B90" s="2" t="s">
        <v>1764</v>
      </c>
      <c r="C90" s="2" t="s">
        <v>1144</v>
      </c>
      <c r="D90" s="2" t="s">
        <v>780</v>
      </c>
      <c r="E90" s="2" t="s">
        <v>359</v>
      </c>
      <c r="F90" s="2" t="s">
        <v>359</v>
      </c>
      <c r="G90" s="2" t="s">
        <v>1764</v>
      </c>
      <c r="H90" s="2" t="s">
        <v>577</v>
      </c>
      <c r="I90" s="2" t="s">
        <v>1586</v>
      </c>
      <c r="J90" s="2">
        <v>0</v>
      </c>
      <c r="K90" s="2" t="s">
        <v>1592</v>
      </c>
      <c r="L90" s="2" t="s">
        <v>1593</v>
      </c>
      <c r="M90" s="2" t="s">
        <v>1739</v>
      </c>
      <c r="N90" s="2" t="s">
        <v>1740</v>
      </c>
      <c r="P90" s="2" t="s">
        <v>1763</v>
      </c>
      <c r="Q90" s="2" t="s">
        <v>577</v>
      </c>
      <c r="R90" s="2" t="s">
        <v>577</v>
      </c>
    </row>
    <row r="91" spans="2:18">
      <c r="B91" s="2" t="s">
        <v>133</v>
      </c>
      <c r="C91" s="2" t="s">
        <v>1121</v>
      </c>
      <c r="D91" s="2" t="s">
        <v>780</v>
      </c>
      <c r="E91" s="2" t="s">
        <v>357</v>
      </c>
      <c r="F91" s="2" t="s">
        <v>1765</v>
      </c>
      <c r="G91" s="2" t="s">
        <v>1766</v>
      </c>
      <c r="H91" s="2" t="s">
        <v>577</v>
      </c>
      <c r="I91" s="2" t="s">
        <v>1586</v>
      </c>
      <c r="J91" s="2">
        <v>0</v>
      </c>
      <c r="K91" s="2" t="s">
        <v>1592</v>
      </c>
      <c r="L91" s="2" t="s">
        <v>1593</v>
      </c>
      <c r="M91" s="2" t="s">
        <v>1594</v>
      </c>
      <c r="N91" s="2" t="s">
        <v>1595</v>
      </c>
      <c r="O91" s="2" t="s">
        <v>1596</v>
      </c>
      <c r="P91" s="2" t="s">
        <v>1763</v>
      </c>
      <c r="Q91" s="2" t="s">
        <v>577</v>
      </c>
      <c r="R91" s="2" t="s">
        <v>577</v>
      </c>
    </row>
    <row r="92" spans="2:18">
      <c r="B92" s="2" t="s">
        <v>1767</v>
      </c>
      <c r="C92" s="2" t="s">
        <v>1123</v>
      </c>
      <c r="D92" s="2" t="s">
        <v>780</v>
      </c>
      <c r="E92" s="2" t="s">
        <v>358</v>
      </c>
      <c r="F92" s="2" t="s">
        <v>358</v>
      </c>
      <c r="G92" s="2" t="s">
        <v>1768</v>
      </c>
      <c r="H92" s="2" t="s">
        <v>588</v>
      </c>
      <c r="I92" s="2" t="s">
        <v>1586</v>
      </c>
      <c r="J92" s="2">
        <v>0</v>
      </c>
      <c r="K92" s="2" t="s">
        <v>1592</v>
      </c>
      <c r="L92" s="2" t="s">
        <v>1593</v>
      </c>
      <c r="M92" s="2" t="s">
        <v>1594</v>
      </c>
      <c r="N92" s="2" t="s">
        <v>1595</v>
      </c>
      <c r="O92" s="2" t="s">
        <v>1596</v>
      </c>
      <c r="P92" s="2" t="s">
        <v>1769</v>
      </c>
      <c r="Q92" s="2" t="s">
        <v>577</v>
      </c>
      <c r="R92" s="2" t="s">
        <v>577</v>
      </c>
    </row>
    <row r="93" spans="2:18">
      <c r="B93" s="2" t="s">
        <v>1770</v>
      </c>
      <c r="C93" s="2" t="s">
        <v>1137</v>
      </c>
      <c r="D93" s="2" t="s">
        <v>780</v>
      </c>
      <c r="E93" s="2" t="s">
        <v>1771</v>
      </c>
      <c r="F93" s="2" t="s">
        <v>358</v>
      </c>
      <c r="G93" s="2" t="s">
        <v>1772</v>
      </c>
      <c r="H93" s="2" t="s">
        <v>577</v>
      </c>
      <c r="I93" s="2" t="s">
        <v>1586</v>
      </c>
      <c r="J93" s="2">
        <v>0</v>
      </c>
      <c r="K93" s="2" t="s">
        <v>1592</v>
      </c>
      <c r="L93" s="2" t="s">
        <v>1593</v>
      </c>
      <c r="M93" s="2" t="s">
        <v>1594</v>
      </c>
      <c r="N93" s="2" t="s">
        <v>1773</v>
      </c>
      <c r="O93" s="2" t="s">
        <v>1596</v>
      </c>
      <c r="P93" s="2" t="s">
        <v>1769</v>
      </c>
      <c r="Q93" s="2" t="s">
        <v>577</v>
      </c>
      <c r="R93" s="2" t="s">
        <v>577</v>
      </c>
    </row>
    <row r="94" spans="2:18">
      <c r="B94" s="2" t="s">
        <v>1774</v>
      </c>
      <c r="C94" s="2" t="s">
        <v>1139</v>
      </c>
      <c r="D94" s="2" t="s">
        <v>780</v>
      </c>
      <c r="E94" s="2" t="s">
        <v>1771</v>
      </c>
      <c r="F94" s="2" t="s">
        <v>358</v>
      </c>
      <c r="G94" s="2" t="s">
        <v>1775</v>
      </c>
      <c r="H94" s="2" t="s">
        <v>577</v>
      </c>
      <c r="I94" s="2" t="s">
        <v>1586</v>
      </c>
      <c r="J94" s="2">
        <v>0</v>
      </c>
      <c r="K94" s="2" t="s">
        <v>1592</v>
      </c>
      <c r="L94" s="2" t="s">
        <v>1593</v>
      </c>
      <c r="M94" s="2" t="s">
        <v>1594</v>
      </c>
      <c r="N94" s="2" t="s">
        <v>1773</v>
      </c>
      <c r="O94" s="2" t="s">
        <v>1596</v>
      </c>
      <c r="P94" s="2" t="s">
        <v>1769</v>
      </c>
      <c r="Q94" s="2" t="s">
        <v>577</v>
      </c>
      <c r="R94" s="2" t="s">
        <v>577</v>
      </c>
    </row>
    <row r="95" spans="2:18">
      <c r="B95" s="2" t="s">
        <v>1776</v>
      </c>
      <c r="C95" s="2" t="s">
        <v>1111</v>
      </c>
      <c r="D95" s="2" t="s">
        <v>780</v>
      </c>
      <c r="E95" s="2" t="s">
        <v>1777</v>
      </c>
      <c r="F95" s="2" t="s">
        <v>1778</v>
      </c>
      <c r="G95" s="2" t="s">
        <v>1779</v>
      </c>
      <c r="H95" s="2" t="s">
        <v>577</v>
      </c>
      <c r="I95" s="2" t="s">
        <v>1586</v>
      </c>
      <c r="J95" s="2">
        <v>0</v>
      </c>
      <c r="K95" s="2" t="s">
        <v>1592</v>
      </c>
      <c r="L95" s="2" t="s">
        <v>1593</v>
      </c>
      <c r="O95" s="2" t="s">
        <v>1762</v>
      </c>
      <c r="Q95" s="2" t="s">
        <v>577</v>
      </c>
      <c r="R95" s="2" t="s">
        <v>577</v>
      </c>
    </row>
    <row r="96" spans="2:18">
      <c r="B96" s="2" t="s">
        <v>1780</v>
      </c>
      <c r="C96" s="2" t="s">
        <v>1098</v>
      </c>
      <c r="D96" s="2" t="s">
        <v>780</v>
      </c>
      <c r="E96" s="2" t="s">
        <v>1781</v>
      </c>
      <c r="F96" s="2" t="s">
        <v>1782</v>
      </c>
      <c r="G96" s="2" t="s">
        <v>1780</v>
      </c>
      <c r="H96" s="2" t="s">
        <v>577</v>
      </c>
      <c r="I96" s="2" t="s">
        <v>1586</v>
      </c>
      <c r="J96" s="2">
        <v>0</v>
      </c>
      <c r="K96" s="2" t="s">
        <v>1592</v>
      </c>
      <c r="L96" s="2" t="s">
        <v>1593</v>
      </c>
      <c r="Q96" s="2" t="s">
        <v>577</v>
      </c>
      <c r="R96" s="2" t="s">
        <v>577</v>
      </c>
    </row>
    <row r="97" spans="2:18">
      <c r="B97" s="2" t="s">
        <v>1783</v>
      </c>
      <c r="C97" s="2" t="s">
        <v>1093</v>
      </c>
      <c r="D97" s="2" t="s">
        <v>780</v>
      </c>
      <c r="E97" s="2" t="s">
        <v>359</v>
      </c>
      <c r="F97" s="2" t="s">
        <v>359</v>
      </c>
      <c r="G97" s="2" t="s">
        <v>1783</v>
      </c>
      <c r="H97" s="2" t="s">
        <v>577</v>
      </c>
      <c r="I97" s="2" t="s">
        <v>1586</v>
      </c>
      <c r="J97" s="2">
        <v>0</v>
      </c>
      <c r="K97" s="2" t="s">
        <v>1592</v>
      </c>
      <c r="L97" s="2" t="s">
        <v>1593</v>
      </c>
      <c r="M97" s="2" t="s">
        <v>1739</v>
      </c>
      <c r="N97" s="2" t="s">
        <v>1740</v>
      </c>
      <c r="P97" s="2" t="s">
        <v>1763</v>
      </c>
      <c r="Q97" s="2" t="s">
        <v>577</v>
      </c>
      <c r="R97" s="2" t="s">
        <v>577</v>
      </c>
    </row>
    <row r="98" spans="2:18">
      <c r="B98" s="2" t="s">
        <v>1784</v>
      </c>
      <c r="C98" s="2" t="s">
        <v>1114</v>
      </c>
      <c r="D98" s="2" t="s">
        <v>780</v>
      </c>
      <c r="E98" s="2" t="s">
        <v>1785</v>
      </c>
      <c r="F98" s="2" t="s">
        <v>1786</v>
      </c>
      <c r="G98" s="2" t="s">
        <v>1784</v>
      </c>
      <c r="H98" s="2" t="s">
        <v>577</v>
      </c>
      <c r="I98" s="2" t="s">
        <v>1586</v>
      </c>
      <c r="J98" s="2">
        <v>0</v>
      </c>
      <c r="K98" s="2" t="s">
        <v>1592</v>
      </c>
      <c r="L98" s="2" t="s">
        <v>1593</v>
      </c>
      <c r="M98" s="2" t="s">
        <v>1739</v>
      </c>
      <c r="N98" s="2" t="s">
        <v>1740</v>
      </c>
      <c r="P98" s="2" t="s">
        <v>1763</v>
      </c>
      <c r="Q98" s="2" t="s">
        <v>577</v>
      </c>
      <c r="R98" s="2" t="s">
        <v>577</v>
      </c>
    </row>
    <row r="99" spans="2:18">
      <c r="B99" s="2" t="s">
        <v>107</v>
      </c>
      <c r="C99" s="2" t="s">
        <v>1118</v>
      </c>
      <c r="D99" s="2" t="s">
        <v>780</v>
      </c>
      <c r="E99" s="2" t="s">
        <v>356</v>
      </c>
      <c r="F99" s="2" t="s">
        <v>1787</v>
      </c>
      <c r="G99" s="2" t="s">
        <v>1788</v>
      </c>
      <c r="H99" s="2" t="s">
        <v>588</v>
      </c>
      <c r="I99" s="2" t="s">
        <v>1586</v>
      </c>
      <c r="J99" s="2">
        <v>0</v>
      </c>
      <c r="K99" s="2" t="s">
        <v>1592</v>
      </c>
      <c r="L99" s="2" t="s">
        <v>1593</v>
      </c>
      <c r="M99" s="2" t="s">
        <v>1594</v>
      </c>
      <c r="N99" s="2" t="s">
        <v>1595</v>
      </c>
      <c r="O99" s="2" t="s">
        <v>1596</v>
      </c>
      <c r="P99" s="2" t="s">
        <v>1597</v>
      </c>
      <c r="Q99" s="2" t="s">
        <v>588</v>
      </c>
      <c r="R99" s="2" t="s">
        <v>577</v>
      </c>
    </row>
    <row r="100" spans="2:18">
      <c r="B100" s="2" t="s">
        <v>1789</v>
      </c>
      <c r="C100" s="2" t="s">
        <v>1118</v>
      </c>
      <c r="D100" s="2" t="s">
        <v>780</v>
      </c>
      <c r="E100" s="2" t="s">
        <v>356</v>
      </c>
      <c r="F100" s="2" t="s">
        <v>1787</v>
      </c>
      <c r="G100" s="2" t="s">
        <v>1790</v>
      </c>
      <c r="H100" s="2" t="s">
        <v>588</v>
      </c>
      <c r="I100" s="2" t="s">
        <v>1586</v>
      </c>
      <c r="J100" s="2">
        <v>0</v>
      </c>
      <c r="K100" s="2" t="s">
        <v>1592</v>
      </c>
      <c r="L100" s="2" t="s">
        <v>1593</v>
      </c>
      <c r="M100" s="2" t="s">
        <v>1594</v>
      </c>
      <c r="N100" s="2" t="s">
        <v>1595</v>
      </c>
      <c r="O100" s="2" t="s">
        <v>1596</v>
      </c>
      <c r="P100" s="2" t="s">
        <v>1597</v>
      </c>
      <c r="Q100" s="2" t="s">
        <v>588</v>
      </c>
      <c r="R100" s="2" t="s">
        <v>577</v>
      </c>
    </row>
    <row r="101" spans="2:18">
      <c r="B101" s="2" t="s">
        <v>1791</v>
      </c>
      <c r="C101" s="2" t="s">
        <v>1118</v>
      </c>
      <c r="D101" s="2" t="s">
        <v>780</v>
      </c>
      <c r="E101" s="2" t="s">
        <v>356</v>
      </c>
      <c r="F101" s="2" t="s">
        <v>1787</v>
      </c>
      <c r="G101" s="2" t="s">
        <v>1792</v>
      </c>
      <c r="H101" s="2" t="s">
        <v>588</v>
      </c>
      <c r="I101" s="2" t="s">
        <v>1586</v>
      </c>
      <c r="J101" s="2">
        <v>0</v>
      </c>
      <c r="K101" s="2" t="s">
        <v>1592</v>
      </c>
      <c r="L101" s="2" t="s">
        <v>1593</v>
      </c>
      <c r="M101" s="2" t="s">
        <v>1594</v>
      </c>
      <c r="N101" s="2" t="s">
        <v>1595</v>
      </c>
      <c r="O101" s="2" t="s">
        <v>1596</v>
      </c>
      <c r="P101" s="2" t="s">
        <v>1597</v>
      </c>
      <c r="Q101" s="2" t="s">
        <v>588</v>
      </c>
      <c r="R101" s="2" t="s">
        <v>577</v>
      </c>
    </row>
    <row r="102" spans="2:18">
      <c r="B102" s="2" t="s">
        <v>115</v>
      </c>
      <c r="C102" s="2" t="s">
        <v>1118</v>
      </c>
      <c r="D102" s="2" t="s">
        <v>780</v>
      </c>
      <c r="E102" s="2" t="s">
        <v>356</v>
      </c>
      <c r="F102" s="2" t="s">
        <v>1787</v>
      </c>
      <c r="G102" s="2" t="s">
        <v>1793</v>
      </c>
      <c r="H102" s="2" t="s">
        <v>588</v>
      </c>
      <c r="I102" s="2" t="s">
        <v>1586</v>
      </c>
      <c r="J102" s="2">
        <v>0</v>
      </c>
      <c r="K102" s="2" t="s">
        <v>1592</v>
      </c>
      <c r="L102" s="2" t="s">
        <v>1593</v>
      </c>
      <c r="M102" s="2" t="s">
        <v>1594</v>
      </c>
      <c r="N102" s="2" t="s">
        <v>1595</v>
      </c>
      <c r="O102" s="2" t="s">
        <v>1596</v>
      </c>
      <c r="P102" s="2" t="s">
        <v>1597</v>
      </c>
      <c r="Q102" s="2" t="s">
        <v>588</v>
      </c>
      <c r="R102" s="2" t="s">
        <v>577</v>
      </c>
    </row>
    <row r="103" spans="2:18">
      <c r="B103" s="2" t="s">
        <v>119</v>
      </c>
      <c r="C103" s="2" t="s">
        <v>1118</v>
      </c>
      <c r="D103" s="2" t="s">
        <v>780</v>
      </c>
      <c r="E103" s="2" t="s">
        <v>356</v>
      </c>
      <c r="F103" s="2" t="s">
        <v>1787</v>
      </c>
      <c r="G103" s="2" t="s">
        <v>1794</v>
      </c>
      <c r="H103" s="2" t="s">
        <v>588</v>
      </c>
      <c r="I103" s="2" t="s">
        <v>1586</v>
      </c>
      <c r="J103" s="2">
        <v>0</v>
      </c>
      <c r="K103" s="2" t="s">
        <v>1592</v>
      </c>
      <c r="L103" s="2" t="s">
        <v>1593</v>
      </c>
      <c r="M103" s="2" t="s">
        <v>1594</v>
      </c>
      <c r="N103" s="2" t="s">
        <v>1595</v>
      </c>
      <c r="O103" s="2" t="s">
        <v>1596</v>
      </c>
      <c r="P103" s="2" t="s">
        <v>1597</v>
      </c>
      <c r="Q103" s="2" t="s">
        <v>588</v>
      </c>
      <c r="R103" s="2" t="s">
        <v>577</v>
      </c>
    </row>
    <row r="104" spans="2:18">
      <c r="B104" s="2" t="s">
        <v>113</v>
      </c>
      <c r="C104" s="2" t="s">
        <v>1102</v>
      </c>
      <c r="D104" s="2" t="s">
        <v>780</v>
      </c>
      <c r="E104" s="2" t="s">
        <v>360</v>
      </c>
      <c r="F104" s="2" t="s">
        <v>1795</v>
      </c>
      <c r="G104" s="2" t="s">
        <v>1796</v>
      </c>
      <c r="H104" s="2" t="s">
        <v>577</v>
      </c>
      <c r="I104" s="2" t="s">
        <v>1586</v>
      </c>
      <c r="J104" s="2">
        <v>0</v>
      </c>
      <c r="K104" s="2" t="s">
        <v>1592</v>
      </c>
      <c r="L104" s="2" t="s">
        <v>1593</v>
      </c>
      <c r="M104" s="2" t="s">
        <v>1594</v>
      </c>
      <c r="N104" s="2" t="s">
        <v>1773</v>
      </c>
      <c r="O104" s="2" t="s">
        <v>1762</v>
      </c>
      <c r="P104" s="2" t="s">
        <v>1763</v>
      </c>
      <c r="Q104" s="2" t="s">
        <v>577</v>
      </c>
      <c r="R104" s="2" t="s">
        <v>577</v>
      </c>
    </row>
    <row r="105" spans="2:18">
      <c r="B105" s="2" t="s">
        <v>1797</v>
      </c>
      <c r="C105" s="2" t="s">
        <v>1104</v>
      </c>
      <c r="D105" s="2" t="s">
        <v>780</v>
      </c>
      <c r="E105" s="2" t="s">
        <v>360</v>
      </c>
      <c r="F105" s="2" t="s">
        <v>1795</v>
      </c>
      <c r="G105" s="2" t="s">
        <v>1798</v>
      </c>
      <c r="H105" s="2" t="s">
        <v>577</v>
      </c>
      <c r="I105" s="2" t="s">
        <v>1586</v>
      </c>
      <c r="J105" s="2">
        <v>0</v>
      </c>
      <c r="K105" s="2" t="s">
        <v>1592</v>
      </c>
      <c r="L105" s="2" t="s">
        <v>1593</v>
      </c>
      <c r="M105" s="2" t="s">
        <v>1594</v>
      </c>
      <c r="N105" s="2" t="s">
        <v>1773</v>
      </c>
      <c r="O105" s="2" t="s">
        <v>1762</v>
      </c>
      <c r="P105" s="2" t="s">
        <v>1763</v>
      </c>
      <c r="Q105" s="2" t="s">
        <v>577</v>
      </c>
      <c r="R105" s="2" t="s">
        <v>577</v>
      </c>
    </row>
    <row r="106" spans="2:18">
      <c r="B106" s="2" t="s">
        <v>1799</v>
      </c>
      <c r="C106" s="2" t="s">
        <v>1104</v>
      </c>
      <c r="D106" s="2" t="s">
        <v>780</v>
      </c>
      <c r="E106" s="2" t="s">
        <v>360</v>
      </c>
      <c r="F106" s="2" t="s">
        <v>1795</v>
      </c>
      <c r="G106" s="2" t="s">
        <v>1800</v>
      </c>
      <c r="H106" s="2" t="s">
        <v>577</v>
      </c>
      <c r="I106" s="2" t="s">
        <v>1586</v>
      </c>
      <c r="J106" s="2">
        <v>0</v>
      </c>
      <c r="K106" s="2" t="s">
        <v>1592</v>
      </c>
      <c r="L106" s="2" t="s">
        <v>1593</v>
      </c>
      <c r="M106" s="2" t="s">
        <v>1594</v>
      </c>
      <c r="N106" s="2" t="s">
        <v>1773</v>
      </c>
      <c r="O106" s="2" t="s">
        <v>1762</v>
      </c>
      <c r="P106" s="2" t="s">
        <v>1763</v>
      </c>
      <c r="Q106" s="2" t="s">
        <v>577</v>
      </c>
      <c r="R106" s="2" t="s">
        <v>577</v>
      </c>
    </row>
    <row r="107" spans="2:18">
      <c r="B107" s="2" t="s">
        <v>111</v>
      </c>
      <c r="C107" s="2" t="s">
        <v>1102</v>
      </c>
      <c r="D107" s="2" t="s">
        <v>780</v>
      </c>
      <c r="E107" s="2" t="s">
        <v>360</v>
      </c>
      <c r="F107" s="2" t="s">
        <v>1795</v>
      </c>
      <c r="G107" s="2" t="s">
        <v>1801</v>
      </c>
      <c r="H107" s="2" t="s">
        <v>577</v>
      </c>
      <c r="I107" s="2" t="s">
        <v>1586</v>
      </c>
      <c r="J107" s="2">
        <v>0</v>
      </c>
      <c r="K107" s="2" t="s">
        <v>1592</v>
      </c>
      <c r="L107" s="2" t="s">
        <v>1593</v>
      </c>
      <c r="M107" s="2" t="s">
        <v>1594</v>
      </c>
      <c r="N107" s="2" t="s">
        <v>1773</v>
      </c>
      <c r="O107" s="2" t="s">
        <v>1762</v>
      </c>
      <c r="P107" s="2" t="s">
        <v>1763</v>
      </c>
      <c r="Q107" s="2" t="s">
        <v>577</v>
      </c>
      <c r="R107" s="2" t="s">
        <v>577</v>
      </c>
    </row>
    <row r="108" spans="2:18">
      <c r="B108" s="2" t="s">
        <v>1802</v>
      </c>
      <c r="C108" s="2" t="s">
        <v>1104</v>
      </c>
      <c r="D108" s="2" t="s">
        <v>780</v>
      </c>
      <c r="E108" s="2" t="s">
        <v>360</v>
      </c>
      <c r="F108" s="2" t="s">
        <v>1795</v>
      </c>
      <c r="G108" s="2" t="s">
        <v>1803</v>
      </c>
      <c r="H108" s="2" t="s">
        <v>577</v>
      </c>
      <c r="I108" s="2" t="s">
        <v>1586</v>
      </c>
      <c r="J108" s="2">
        <v>0</v>
      </c>
      <c r="K108" s="2" t="s">
        <v>1592</v>
      </c>
      <c r="L108" s="2" t="s">
        <v>1593</v>
      </c>
      <c r="M108" s="2" t="s">
        <v>1594</v>
      </c>
      <c r="N108" s="2" t="s">
        <v>1773</v>
      </c>
      <c r="O108" s="2" t="s">
        <v>1762</v>
      </c>
      <c r="P108" s="2" t="s">
        <v>1763</v>
      </c>
      <c r="Q108" s="2" t="s">
        <v>577</v>
      </c>
      <c r="R108" s="2" t="s">
        <v>577</v>
      </c>
    </row>
    <row r="109" spans="2:18">
      <c r="B109" s="2" t="s">
        <v>1804</v>
      </c>
      <c r="C109" s="2" t="s">
        <v>1104</v>
      </c>
      <c r="D109" s="2" t="s">
        <v>780</v>
      </c>
      <c r="E109" s="2" t="s">
        <v>360</v>
      </c>
      <c r="F109" s="2" t="s">
        <v>1795</v>
      </c>
      <c r="G109" s="2" t="s">
        <v>1805</v>
      </c>
      <c r="H109" s="2" t="s">
        <v>577</v>
      </c>
      <c r="I109" s="2" t="s">
        <v>1586</v>
      </c>
      <c r="J109" s="2">
        <v>0</v>
      </c>
      <c r="K109" s="2" t="s">
        <v>1592</v>
      </c>
      <c r="L109" s="2" t="s">
        <v>1593</v>
      </c>
      <c r="M109" s="2" t="s">
        <v>1594</v>
      </c>
      <c r="N109" s="2" t="s">
        <v>1773</v>
      </c>
      <c r="O109" s="2" t="s">
        <v>1762</v>
      </c>
      <c r="P109" s="2" t="s">
        <v>1763</v>
      </c>
      <c r="Q109" s="2" t="s">
        <v>577</v>
      </c>
      <c r="R109" s="2" t="s">
        <v>577</v>
      </c>
    </row>
    <row r="110" spans="2:18">
      <c r="B110" s="2" t="s">
        <v>1806</v>
      </c>
      <c r="C110" s="2" t="s">
        <v>1102</v>
      </c>
      <c r="D110" s="2" t="s">
        <v>780</v>
      </c>
      <c r="E110" s="2" t="s">
        <v>360</v>
      </c>
      <c r="F110" s="2" t="s">
        <v>1795</v>
      </c>
      <c r="G110" s="2" t="s">
        <v>1807</v>
      </c>
      <c r="H110" s="2" t="s">
        <v>577</v>
      </c>
      <c r="I110" s="2" t="s">
        <v>1586</v>
      </c>
      <c r="J110" s="2">
        <v>0</v>
      </c>
      <c r="K110" s="2" t="s">
        <v>1592</v>
      </c>
      <c r="L110" s="2" t="s">
        <v>1593</v>
      </c>
      <c r="M110" s="2" t="s">
        <v>1594</v>
      </c>
      <c r="N110" s="2" t="s">
        <v>1773</v>
      </c>
      <c r="O110" s="2" t="s">
        <v>1762</v>
      </c>
      <c r="P110" s="2" t="s">
        <v>1763</v>
      </c>
      <c r="Q110" s="2" t="s">
        <v>577</v>
      </c>
      <c r="R110" s="2" t="s">
        <v>577</v>
      </c>
    </row>
    <row r="111" spans="2:18">
      <c r="B111" s="2" t="s">
        <v>109</v>
      </c>
      <c r="C111" s="2" t="s">
        <v>1102</v>
      </c>
      <c r="D111" s="2" t="s">
        <v>780</v>
      </c>
      <c r="E111" s="2" t="s">
        <v>360</v>
      </c>
      <c r="F111" s="2" t="s">
        <v>1795</v>
      </c>
      <c r="G111" s="2" t="s">
        <v>1808</v>
      </c>
      <c r="H111" s="2" t="s">
        <v>577</v>
      </c>
      <c r="I111" s="2" t="s">
        <v>1586</v>
      </c>
      <c r="J111" s="2">
        <v>0</v>
      </c>
      <c r="K111" s="2" t="s">
        <v>1592</v>
      </c>
      <c r="L111" s="2" t="s">
        <v>1593</v>
      </c>
      <c r="M111" s="2" t="s">
        <v>1594</v>
      </c>
      <c r="N111" s="2" t="s">
        <v>1773</v>
      </c>
      <c r="O111" s="2" t="s">
        <v>1762</v>
      </c>
      <c r="P111" s="2" t="s">
        <v>1763</v>
      </c>
      <c r="Q111" s="2" t="s">
        <v>577</v>
      </c>
      <c r="R111" s="2" t="s">
        <v>577</v>
      </c>
    </row>
    <row r="112" spans="2:18">
      <c r="B112" s="2" t="s">
        <v>128</v>
      </c>
      <c r="C112" s="2" t="s">
        <v>1118</v>
      </c>
      <c r="D112" s="2" t="s">
        <v>780</v>
      </c>
      <c r="E112" s="2" t="s">
        <v>356</v>
      </c>
      <c r="F112" s="2" t="s">
        <v>1787</v>
      </c>
      <c r="G112" s="2" t="s">
        <v>534</v>
      </c>
      <c r="H112" s="2" t="s">
        <v>588</v>
      </c>
      <c r="I112" s="2" t="s">
        <v>1586</v>
      </c>
      <c r="J112" s="2">
        <v>0</v>
      </c>
      <c r="K112" s="2" t="s">
        <v>1592</v>
      </c>
      <c r="L112" s="2" t="s">
        <v>1593</v>
      </c>
      <c r="M112" s="2" t="s">
        <v>1594</v>
      </c>
      <c r="N112" s="2" t="s">
        <v>1595</v>
      </c>
      <c r="O112" s="2" t="s">
        <v>1596</v>
      </c>
      <c r="P112" s="2" t="s">
        <v>1597</v>
      </c>
      <c r="Q112" s="2" t="s">
        <v>588</v>
      </c>
      <c r="R112" s="2" t="s">
        <v>577</v>
      </c>
    </row>
    <row r="113" spans="2:18">
      <c r="B113" s="2" t="s">
        <v>1809</v>
      </c>
      <c r="C113" s="2" t="s">
        <v>1121</v>
      </c>
      <c r="D113" s="2" t="s">
        <v>780</v>
      </c>
      <c r="E113" s="2" t="s">
        <v>357</v>
      </c>
      <c r="F113" s="2" t="s">
        <v>1765</v>
      </c>
      <c r="G113" s="2" t="s">
        <v>1810</v>
      </c>
      <c r="H113" s="2" t="s">
        <v>588</v>
      </c>
      <c r="I113" s="2" t="s">
        <v>1586</v>
      </c>
      <c r="J113" s="2">
        <v>0</v>
      </c>
      <c r="K113" s="2" t="s">
        <v>1592</v>
      </c>
      <c r="L113" s="2" t="s">
        <v>1593</v>
      </c>
      <c r="M113" s="2" t="s">
        <v>1647</v>
      </c>
      <c r="N113" s="2" t="s">
        <v>1648</v>
      </c>
      <c r="O113" s="2" t="s">
        <v>1596</v>
      </c>
      <c r="P113" s="2" t="s">
        <v>1597</v>
      </c>
      <c r="Q113" s="2" t="s">
        <v>588</v>
      </c>
      <c r="R113" s="2" t="s">
        <v>577</v>
      </c>
    </row>
    <row r="114" spans="2:18">
      <c r="B114" s="2" t="s">
        <v>1811</v>
      </c>
      <c r="C114" s="2" t="s">
        <v>1121</v>
      </c>
      <c r="D114" s="2" t="s">
        <v>780</v>
      </c>
      <c r="E114" s="2" t="s">
        <v>357</v>
      </c>
      <c r="F114" s="2" t="s">
        <v>1765</v>
      </c>
      <c r="G114" s="2" t="s">
        <v>1812</v>
      </c>
      <c r="H114" s="2" t="s">
        <v>588</v>
      </c>
      <c r="I114" s="2" t="s">
        <v>1586</v>
      </c>
      <c r="J114" s="2">
        <v>0</v>
      </c>
      <c r="K114" s="2" t="s">
        <v>1592</v>
      </c>
      <c r="L114" s="2" t="s">
        <v>1593</v>
      </c>
      <c r="M114" s="2" t="s">
        <v>1594</v>
      </c>
      <c r="N114" s="2" t="s">
        <v>1595</v>
      </c>
      <c r="O114" s="2" t="s">
        <v>1596</v>
      </c>
      <c r="P114" s="2" t="s">
        <v>1597</v>
      </c>
      <c r="Q114" s="2" t="s">
        <v>588</v>
      </c>
      <c r="R114" s="2" t="s">
        <v>577</v>
      </c>
    </row>
    <row r="115" spans="2:18">
      <c r="B115" s="2" t="s">
        <v>117</v>
      </c>
      <c r="C115" s="2" t="s">
        <v>1121</v>
      </c>
      <c r="D115" s="2" t="s">
        <v>780</v>
      </c>
      <c r="E115" s="2" t="s">
        <v>357</v>
      </c>
      <c r="F115" s="2" t="s">
        <v>1765</v>
      </c>
      <c r="G115" s="2" t="s">
        <v>1813</v>
      </c>
      <c r="H115" s="2" t="s">
        <v>588</v>
      </c>
      <c r="I115" s="2" t="s">
        <v>1586</v>
      </c>
      <c r="J115" s="2">
        <v>0</v>
      </c>
      <c r="K115" s="2" t="s">
        <v>1592</v>
      </c>
      <c r="L115" s="2" t="s">
        <v>1593</v>
      </c>
      <c r="M115" s="2" t="s">
        <v>1594</v>
      </c>
      <c r="N115" s="2" t="s">
        <v>1595</v>
      </c>
      <c r="O115" s="2" t="s">
        <v>1596</v>
      </c>
      <c r="P115" s="2" t="s">
        <v>1597</v>
      </c>
      <c r="Q115" s="2" t="s">
        <v>588</v>
      </c>
      <c r="R115" s="2" t="s">
        <v>577</v>
      </c>
    </row>
    <row r="116" spans="2:18">
      <c r="B116" s="2" t="s">
        <v>121</v>
      </c>
      <c r="C116" s="2" t="s">
        <v>1121</v>
      </c>
      <c r="D116" s="2" t="s">
        <v>780</v>
      </c>
      <c r="E116" s="2" t="s">
        <v>357</v>
      </c>
      <c r="F116" s="2" t="s">
        <v>1765</v>
      </c>
      <c r="G116" s="2" t="s">
        <v>1814</v>
      </c>
      <c r="H116" s="2" t="s">
        <v>588</v>
      </c>
      <c r="I116" s="2" t="s">
        <v>1586</v>
      </c>
      <c r="J116" s="2">
        <v>0</v>
      </c>
      <c r="K116" s="2" t="s">
        <v>1592</v>
      </c>
      <c r="L116" s="2" t="s">
        <v>1593</v>
      </c>
      <c r="M116" s="2" t="s">
        <v>1594</v>
      </c>
      <c r="N116" s="2" t="s">
        <v>1595</v>
      </c>
      <c r="O116" s="2" t="s">
        <v>1596</v>
      </c>
      <c r="P116" s="2" t="s">
        <v>1597</v>
      </c>
      <c r="Q116" s="2" t="s">
        <v>588</v>
      </c>
      <c r="R116" s="2" t="s">
        <v>577</v>
      </c>
    </row>
    <row r="117" spans="2:18">
      <c r="B117" s="2" t="s">
        <v>1815</v>
      </c>
      <c r="C117" s="2" t="s">
        <v>1121</v>
      </c>
      <c r="D117" s="2" t="s">
        <v>780</v>
      </c>
      <c r="E117" s="2" t="s">
        <v>357</v>
      </c>
      <c r="F117" s="2" t="s">
        <v>1765</v>
      </c>
      <c r="G117" s="2" t="s">
        <v>1816</v>
      </c>
      <c r="H117" s="2" t="s">
        <v>588</v>
      </c>
      <c r="I117" s="2" t="s">
        <v>1586</v>
      </c>
      <c r="J117" s="2">
        <v>0</v>
      </c>
      <c r="K117" s="2" t="s">
        <v>1592</v>
      </c>
      <c r="L117" s="2" t="s">
        <v>1593</v>
      </c>
      <c r="M117" s="2" t="s">
        <v>1594</v>
      </c>
      <c r="N117" s="2" t="s">
        <v>1595</v>
      </c>
      <c r="O117" s="2" t="s">
        <v>1596</v>
      </c>
      <c r="P117" s="2" t="s">
        <v>1597</v>
      </c>
      <c r="Q117" s="2" t="s">
        <v>588</v>
      </c>
      <c r="R117" s="2" t="s">
        <v>577</v>
      </c>
    </row>
    <row r="118" spans="2:18">
      <c r="B118" s="2" t="s">
        <v>1817</v>
      </c>
      <c r="C118" s="2" t="s">
        <v>1121</v>
      </c>
      <c r="D118" s="2" t="s">
        <v>780</v>
      </c>
      <c r="E118" s="2" t="s">
        <v>357</v>
      </c>
      <c r="F118" s="2" t="s">
        <v>1765</v>
      </c>
      <c r="G118" s="2" t="s">
        <v>1818</v>
      </c>
      <c r="H118" s="2" t="s">
        <v>588</v>
      </c>
      <c r="I118" s="2" t="s">
        <v>1586</v>
      </c>
      <c r="J118" s="2">
        <v>0</v>
      </c>
      <c r="K118" s="2" t="s">
        <v>1592</v>
      </c>
      <c r="L118" s="2" t="s">
        <v>1593</v>
      </c>
      <c r="M118" s="2" t="s">
        <v>1594</v>
      </c>
      <c r="N118" s="2" t="s">
        <v>1595</v>
      </c>
      <c r="O118" s="2" t="s">
        <v>1596</v>
      </c>
      <c r="P118" s="2" t="s">
        <v>1597</v>
      </c>
      <c r="Q118" s="2" t="s">
        <v>588</v>
      </c>
      <c r="R118" s="2" t="s">
        <v>577</v>
      </c>
    </row>
    <row r="119" spans="2:18">
      <c r="B119" s="2" t="s">
        <v>1819</v>
      </c>
      <c r="C119" s="2" t="s">
        <v>1128</v>
      </c>
      <c r="D119" s="2" t="s">
        <v>780</v>
      </c>
      <c r="E119" s="2" t="s">
        <v>358</v>
      </c>
      <c r="F119" s="2" t="s">
        <v>358</v>
      </c>
      <c r="G119" s="2" t="s">
        <v>1820</v>
      </c>
      <c r="H119" s="2" t="s">
        <v>577</v>
      </c>
      <c r="I119" s="2" t="s">
        <v>1586</v>
      </c>
      <c r="J119" s="2">
        <v>0</v>
      </c>
      <c r="K119" s="2" t="s">
        <v>1592</v>
      </c>
      <c r="L119" s="2" t="s">
        <v>1593</v>
      </c>
      <c r="M119" s="2" t="s">
        <v>1595</v>
      </c>
      <c r="N119" s="2" t="s">
        <v>1821</v>
      </c>
      <c r="O119" s="2" t="s">
        <v>1822</v>
      </c>
      <c r="P119" s="2" t="s">
        <v>1769</v>
      </c>
      <c r="Q119" s="2" t="s">
        <v>577</v>
      </c>
      <c r="R119" s="2" t="s">
        <v>577</v>
      </c>
    </row>
    <row r="120" spans="2:18">
      <c r="B120" s="2" t="s">
        <v>1823</v>
      </c>
      <c r="C120" s="2" t="s">
        <v>1128</v>
      </c>
      <c r="D120" s="2" t="s">
        <v>780</v>
      </c>
      <c r="E120" s="2" t="s">
        <v>358</v>
      </c>
      <c r="F120" s="2" t="s">
        <v>358</v>
      </c>
      <c r="G120" s="2" t="s">
        <v>1824</v>
      </c>
      <c r="H120" s="2" t="s">
        <v>577</v>
      </c>
      <c r="I120" s="2" t="s">
        <v>1586</v>
      </c>
      <c r="J120" s="2">
        <v>0</v>
      </c>
      <c r="K120" s="2" t="s">
        <v>1592</v>
      </c>
      <c r="L120" s="2" t="s">
        <v>1593</v>
      </c>
      <c r="M120" s="2" t="s">
        <v>1825</v>
      </c>
      <c r="N120" s="2" t="s">
        <v>1821</v>
      </c>
      <c r="O120" s="2" t="s">
        <v>1596</v>
      </c>
      <c r="P120" s="2" t="s">
        <v>1769</v>
      </c>
      <c r="Q120" s="2" t="s">
        <v>577</v>
      </c>
      <c r="R120" s="2" t="s">
        <v>577</v>
      </c>
    </row>
    <row r="121" spans="2:18">
      <c r="B121" s="2" t="s">
        <v>1826</v>
      </c>
      <c r="C121" s="2" t="s">
        <v>1128</v>
      </c>
      <c r="D121" s="2" t="s">
        <v>780</v>
      </c>
      <c r="E121" s="2" t="s">
        <v>358</v>
      </c>
      <c r="F121" s="2" t="s">
        <v>358</v>
      </c>
      <c r="G121" s="2" t="s">
        <v>1827</v>
      </c>
      <c r="H121" s="2" t="s">
        <v>577</v>
      </c>
      <c r="I121" s="2" t="s">
        <v>1586</v>
      </c>
      <c r="J121" s="2">
        <v>0</v>
      </c>
      <c r="K121" s="2" t="s">
        <v>1592</v>
      </c>
      <c r="L121" s="2" t="s">
        <v>1593</v>
      </c>
      <c r="M121" s="2" t="s">
        <v>1594</v>
      </c>
      <c r="N121" s="2" t="s">
        <v>1595</v>
      </c>
      <c r="P121" s="2" t="s">
        <v>1769</v>
      </c>
      <c r="Q121" s="2" t="s">
        <v>577</v>
      </c>
      <c r="R121" s="2" t="s">
        <v>577</v>
      </c>
    </row>
    <row r="122" spans="2:18">
      <c r="B122" s="2" t="s">
        <v>147</v>
      </c>
      <c r="C122" s="2" t="s">
        <v>1128</v>
      </c>
      <c r="D122" s="2" t="s">
        <v>780</v>
      </c>
      <c r="E122" s="2" t="s">
        <v>358</v>
      </c>
      <c r="F122" s="2" t="s">
        <v>358</v>
      </c>
      <c r="G122" s="2" t="s">
        <v>1828</v>
      </c>
      <c r="H122" s="2" t="s">
        <v>577</v>
      </c>
      <c r="I122" s="2" t="s">
        <v>1586</v>
      </c>
      <c r="J122" s="2">
        <v>0</v>
      </c>
      <c r="K122" s="2" t="s">
        <v>1592</v>
      </c>
      <c r="L122" s="2" t="s">
        <v>1593</v>
      </c>
      <c r="M122" s="2" t="s">
        <v>1594</v>
      </c>
      <c r="N122" s="2" t="s">
        <v>1595</v>
      </c>
      <c r="O122" s="2" t="s">
        <v>1822</v>
      </c>
      <c r="P122" s="2" t="s">
        <v>1769</v>
      </c>
      <c r="Q122" s="2" t="s">
        <v>577</v>
      </c>
      <c r="R122" s="2" t="s">
        <v>577</v>
      </c>
    </row>
    <row r="123" spans="2:18">
      <c r="B123" s="2" t="s">
        <v>1829</v>
      </c>
      <c r="C123" s="2" t="s">
        <v>1128</v>
      </c>
      <c r="D123" s="2" t="s">
        <v>780</v>
      </c>
      <c r="E123" s="2" t="s">
        <v>358</v>
      </c>
      <c r="F123" s="2" t="s">
        <v>358</v>
      </c>
      <c r="G123" s="2" t="s">
        <v>1830</v>
      </c>
      <c r="H123" s="2" t="s">
        <v>577</v>
      </c>
      <c r="I123" s="2" t="s">
        <v>1586</v>
      </c>
      <c r="J123" s="2">
        <v>0</v>
      </c>
      <c r="K123" s="2" t="s">
        <v>1592</v>
      </c>
      <c r="L123" s="2" t="s">
        <v>1593</v>
      </c>
      <c r="M123" s="2" t="s">
        <v>1594</v>
      </c>
      <c r="N123" s="2" t="s">
        <v>1595</v>
      </c>
      <c r="O123" s="2" t="s">
        <v>1720</v>
      </c>
      <c r="P123" s="2" t="s">
        <v>1769</v>
      </c>
      <c r="Q123" s="2" t="s">
        <v>577</v>
      </c>
      <c r="R123" s="2" t="s">
        <v>577</v>
      </c>
    </row>
    <row r="124" spans="2:18">
      <c r="B124" s="2" t="s">
        <v>149</v>
      </c>
      <c r="C124" s="2" t="s">
        <v>1128</v>
      </c>
      <c r="D124" s="2" t="s">
        <v>780</v>
      </c>
      <c r="E124" s="2" t="s">
        <v>358</v>
      </c>
      <c r="F124" s="2" t="s">
        <v>358</v>
      </c>
      <c r="G124" s="2" t="s">
        <v>1831</v>
      </c>
      <c r="H124" s="2" t="s">
        <v>577</v>
      </c>
      <c r="I124" s="2" t="s">
        <v>1586</v>
      </c>
      <c r="J124" s="2">
        <v>0</v>
      </c>
      <c r="K124" s="2" t="s">
        <v>1592</v>
      </c>
      <c r="L124" s="2" t="s">
        <v>1593</v>
      </c>
      <c r="M124" s="2" t="s">
        <v>1594</v>
      </c>
      <c r="N124" s="2" t="s">
        <v>1595</v>
      </c>
      <c r="O124" s="2" t="s">
        <v>1596</v>
      </c>
      <c r="P124" s="2" t="s">
        <v>1769</v>
      </c>
      <c r="Q124" s="2" t="s">
        <v>577</v>
      </c>
      <c r="R124" s="2" t="s">
        <v>577</v>
      </c>
    </row>
    <row r="125" spans="2:18">
      <c r="B125" s="2" t="s">
        <v>1832</v>
      </c>
      <c r="C125" s="2" t="s">
        <v>1128</v>
      </c>
      <c r="D125" s="2" t="s">
        <v>780</v>
      </c>
      <c r="E125" s="2" t="s">
        <v>358</v>
      </c>
      <c r="F125" s="2" t="s">
        <v>358</v>
      </c>
      <c r="G125" s="2" t="s">
        <v>1833</v>
      </c>
      <c r="H125" s="2" t="s">
        <v>577</v>
      </c>
      <c r="I125" s="2" t="s">
        <v>1586</v>
      </c>
      <c r="J125" s="2">
        <v>0</v>
      </c>
      <c r="K125" s="2" t="s">
        <v>1592</v>
      </c>
      <c r="L125" s="2" t="s">
        <v>1593</v>
      </c>
      <c r="M125" s="2" t="s">
        <v>1647</v>
      </c>
      <c r="N125" s="2" t="s">
        <v>1648</v>
      </c>
      <c r="O125" s="2" t="s">
        <v>1834</v>
      </c>
      <c r="P125" s="2" t="s">
        <v>1769</v>
      </c>
      <c r="Q125" s="2" t="s">
        <v>577</v>
      </c>
      <c r="R125" s="2" t="s">
        <v>577</v>
      </c>
    </row>
    <row r="126" spans="2:18">
      <c r="B126" s="2" t="s">
        <v>135</v>
      </c>
      <c r="C126" s="2" t="s">
        <v>1128</v>
      </c>
      <c r="D126" s="2" t="s">
        <v>780</v>
      </c>
      <c r="E126" s="2" t="s">
        <v>358</v>
      </c>
      <c r="F126" s="2" t="s">
        <v>358</v>
      </c>
      <c r="G126" s="2" t="s">
        <v>1827</v>
      </c>
      <c r="H126" s="2" t="s">
        <v>577</v>
      </c>
      <c r="I126" s="2" t="s">
        <v>1586</v>
      </c>
      <c r="J126" s="2">
        <v>0</v>
      </c>
      <c r="K126" s="2" t="s">
        <v>1592</v>
      </c>
      <c r="L126" s="2" t="s">
        <v>1593</v>
      </c>
      <c r="M126" s="2" t="s">
        <v>1594</v>
      </c>
      <c r="N126" s="2" t="s">
        <v>1595</v>
      </c>
      <c r="P126" s="2" t="s">
        <v>1769</v>
      </c>
      <c r="Q126" s="2" t="s">
        <v>577</v>
      </c>
      <c r="R126" s="2" t="s">
        <v>577</v>
      </c>
    </row>
    <row r="127" spans="2:18">
      <c r="B127" s="2" t="s">
        <v>137</v>
      </c>
      <c r="C127" s="2" t="s">
        <v>1128</v>
      </c>
      <c r="D127" s="2" t="s">
        <v>780</v>
      </c>
      <c r="E127" s="2" t="s">
        <v>358</v>
      </c>
      <c r="F127" s="2" t="s">
        <v>358</v>
      </c>
      <c r="G127" s="2" t="s">
        <v>1835</v>
      </c>
      <c r="H127" s="2" t="s">
        <v>577</v>
      </c>
      <c r="I127" s="2" t="s">
        <v>1586</v>
      </c>
      <c r="J127" s="2">
        <v>0</v>
      </c>
      <c r="K127" s="2" t="s">
        <v>1592</v>
      </c>
      <c r="L127" s="2" t="s">
        <v>1593</v>
      </c>
      <c r="M127" s="2" t="s">
        <v>1594</v>
      </c>
      <c r="N127" s="2" t="s">
        <v>1595</v>
      </c>
      <c r="O127" s="2" t="s">
        <v>1822</v>
      </c>
      <c r="P127" s="2" t="s">
        <v>1769</v>
      </c>
      <c r="Q127" s="2" t="s">
        <v>577</v>
      </c>
      <c r="R127" s="2" t="s">
        <v>577</v>
      </c>
    </row>
    <row r="128" spans="2:18">
      <c r="B128" s="2" t="s">
        <v>1836</v>
      </c>
      <c r="C128" s="2" t="s">
        <v>1128</v>
      </c>
      <c r="D128" s="2" t="s">
        <v>780</v>
      </c>
      <c r="E128" s="2" t="s">
        <v>358</v>
      </c>
      <c r="F128" s="2" t="s">
        <v>358</v>
      </c>
      <c r="G128" s="2" t="s">
        <v>1837</v>
      </c>
      <c r="H128" s="2" t="s">
        <v>577</v>
      </c>
      <c r="I128" s="2" t="s">
        <v>1586</v>
      </c>
      <c r="J128" s="2">
        <v>0</v>
      </c>
      <c r="K128" s="2" t="s">
        <v>1592</v>
      </c>
      <c r="L128" s="2" t="s">
        <v>1593</v>
      </c>
      <c r="M128" s="2" t="s">
        <v>1594</v>
      </c>
      <c r="N128" s="2" t="s">
        <v>1838</v>
      </c>
      <c r="O128" s="2" t="s">
        <v>1596</v>
      </c>
      <c r="P128" s="2" t="s">
        <v>1769</v>
      </c>
      <c r="Q128" s="2" t="s">
        <v>577</v>
      </c>
      <c r="R128" s="2" t="s">
        <v>577</v>
      </c>
    </row>
    <row r="129" spans="2:18">
      <c r="B129" s="2" t="s">
        <v>1839</v>
      </c>
      <c r="C129" s="2" t="s">
        <v>1128</v>
      </c>
      <c r="D129" s="2" t="s">
        <v>780</v>
      </c>
      <c r="E129" s="2" t="s">
        <v>358</v>
      </c>
      <c r="F129" s="2" t="s">
        <v>358</v>
      </c>
      <c r="G129" s="2" t="s">
        <v>1840</v>
      </c>
      <c r="H129" s="2" t="s">
        <v>577</v>
      </c>
      <c r="I129" s="2" t="s">
        <v>1586</v>
      </c>
      <c r="J129" s="2">
        <v>0</v>
      </c>
      <c r="K129" s="2" t="s">
        <v>1592</v>
      </c>
      <c r="L129" s="2" t="s">
        <v>1593</v>
      </c>
      <c r="M129" s="2" t="s">
        <v>1594</v>
      </c>
      <c r="N129" s="2" t="s">
        <v>1595</v>
      </c>
      <c r="O129" s="2" t="s">
        <v>1720</v>
      </c>
      <c r="P129" s="2" t="s">
        <v>1769</v>
      </c>
      <c r="Q129" s="2" t="s">
        <v>577</v>
      </c>
      <c r="R129" s="2" t="s">
        <v>577</v>
      </c>
    </row>
    <row r="130" spans="2:18">
      <c r="B130" s="2" t="s">
        <v>139</v>
      </c>
      <c r="C130" s="2" t="s">
        <v>1128</v>
      </c>
      <c r="D130" s="2" t="s">
        <v>780</v>
      </c>
      <c r="E130" s="2" t="s">
        <v>358</v>
      </c>
      <c r="F130" s="2" t="s">
        <v>358</v>
      </c>
      <c r="G130" s="2" t="s">
        <v>1841</v>
      </c>
      <c r="H130" s="2" t="s">
        <v>577</v>
      </c>
      <c r="I130" s="2" t="s">
        <v>1586</v>
      </c>
      <c r="J130" s="2">
        <v>0</v>
      </c>
      <c r="K130" s="2" t="s">
        <v>1592</v>
      </c>
      <c r="L130" s="2" t="s">
        <v>1593</v>
      </c>
      <c r="M130" s="2" t="s">
        <v>1594</v>
      </c>
      <c r="N130" s="2" t="s">
        <v>1595</v>
      </c>
      <c r="O130" s="2" t="s">
        <v>1596</v>
      </c>
      <c r="P130" s="2" t="s">
        <v>1769</v>
      </c>
      <c r="Q130" s="2" t="s">
        <v>577</v>
      </c>
      <c r="R130" s="2" t="s">
        <v>577</v>
      </c>
    </row>
    <row r="131" spans="2:18">
      <c r="B131" s="2" t="s">
        <v>1842</v>
      </c>
      <c r="C131" s="2" t="s">
        <v>1128</v>
      </c>
      <c r="D131" s="2" t="s">
        <v>780</v>
      </c>
      <c r="E131" s="2" t="s">
        <v>358</v>
      </c>
      <c r="F131" s="2" t="s">
        <v>358</v>
      </c>
      <c r="G131" s="2" t="s">
        <v>1843</v>
      </c>
      <c r="H131" s="2" t="s">
        <v>577</v>
      </c>
      <c r="I131" s="2" t="s">
        <v>1586</v>
      </c>
      <c r="J131" s="2">
        <v>0</v>
      </c>
      <c r="K131" s="2" t="s">
        <v>1592</v>
      </c>
      <c r="L131" s="2" t="s">
        <v>1593</v>
      </c>
      <c r="M131" s="2" t="s">
        <v>1594</v>
      </c>
      <c r="N131" s="2" t="s">
        <v>1595</v>
      </c>
      <c r="O131" s="2" t="s">
        <v>1596</v>
      </c>
      <c r="P131" s="2" t="s">
        <v>1769</v>
      </c>
      <c r="Q131" s="2" t="s">
        <v>577</v>
      </c>
      <c r="R131" s="2" t="s">
        <v>577</v>
      </c>
    </row>
    <row r="132" spans="2:18">
      <c r="B132" s="2" t="s">
        <v>1844</v>
      </c>
      <c r="C132" s="2" t="s">
        <v>1128</v>
      </c>
      <c r="D132" s="2" t="s">
        <v>780</v>
      </c>
      <c r="E132" s="2" t="s">
        <v>358</v>
      </c>
      <c r="F132" s="2" t="s">
        <v>358</v>
      </c>
      <c r="G132" s="2" t="s">
        <v>1845</v>
      </c>
      <c r="H132" s="2" t="s">
        <v>577</v>
      </c>
      <c r="I132" s="2" t="s">
        <v>1586</v>
      </c>
      <c r="J132" s="2">
        <v>0</v>
      </c>
      <c r="K132" s="2" t="s">
        <v>1592</v>
      </c>
      <c r="L132" s="2" t="s">
        <v>1593</v>
      </c>
      <c r="M132" s="2" t="s">
        <v>1825</v>
      </c>
      <c r="N132" s="2" t="s">
        <v>1821</v>
      </c>
      <c r="O132" s="2" t="s">
        <v>1596</v>
      </c>
      <c r="P132" s="2" t="s">
        <v>1769</v>
      </c>
      <c r="Q132" s="2" t="s">
        <v>577</v>
      </c>
      <c r="R132" s="2" t="s">
        <v>577</v>
      </c>
    </row>
    <row r="133" spans="2:18">
      <c r="B133" s="2" t="s">
        <v>1846</v>
      </c>
      <c r="C133" s="2" t="s">
        <v>1123</v>
      </c>
      <c r="D133" s="2" t="s">
        <v>780</v>
      </c>
      <c r="E133" s="2" t="s">
        <v>358</v>
      </c>
      <c r="F133" s="2" t="s">
        <v>358</v>
      </c>
      <c r="G133" s="2" t="s">
        <v>1768</v>
      </c>
      <c r="H133" s="2" t="s">
        <v>588</v>
      </c>
      <c r="I133" s="2" t="s">
        <v>1586</v>
      </c>
      <c r="J133" s="2">
        <v>0</v>
      </c>
      <c r="K133" s="2" t="s">
        <v>1592</v>
      </c>
      <c r="L133" s="2" t="s">
        <v>1593</v>
      </c>
      <c r="M133" s="2" t="s">
        <v>1594</v>
      </c>
      <c r="N133" s="2" t="s">
        <v>1595</v>
      </c>
      <c r="O133" s="2" t="s">
        <v>1596</v>
      </c>
      <c r="P133" s="2" t="s">
        <v>1769</v>
      </c>
      <c r="Q133" s="2" t="s">
        <v>577</v>
      </c>
      <c r="R133" s="2" t="s">
        <v>577</v>
      </c>
    </row>
    <row r="134" spans="2:18">
      <c r="B134" s="2" t="s">
        <v>1847</v>
      </c>
      <c r="C134" s="2" t="s">
        <v>1128</v>
      </c>
      <c r="D134" s="2" t="s">
        <v>780</v>
      </c>
      <c r="E134" s="2" t="s">
        <v>358</v>
      </c>
      <c r="F134" s="2" t="s">
        <v>358</v>
      </c>
      <c r="G134" s="2" t="s">
        <v>1848</v>
      </c>
      <c r="H134" s="2" t="s">
        <v>577</v>
      </c>
      <c r="I134" s="2" t="s">
        <v>1586</v>
      </c>
      <c r="J134" s="2">
        <v>0</v>
      </c>
      <c r="K134" s="2" t="s">
        <v>1592</v>
      </c>
      <c r="L134" s="2" t="s">
        <v>1593</v>
      </c>
      <c r="M134" s="2" t="s">
        <v>1594</v>
      </c>
      <c r="N134" s="2" t="s">
        <v>1595</v>
      </c>
      <c r="O134" s="2" t="s">
        <v>1596</v>
      </c>
      <c r="P134" s="2" t="s">
        <v>1769</v>
      </c>
      <c r="Q134" s="2" t="s">
        <v>577</v>
      </c>
      <c r="R134" s="2" t="s">
        <v>577</v>
      </c>
    </row>
    <row r="135" spans="2:18">
      <c r="B135" s="2" t="s">
        <v>1849</v>
      </c>
      <c r="C135" s="2" t="s">
        <v>1128</v>
      </c>
      <c r="D135" s="2" t="s">
        <v>780</v>
      </c>
      <c r="E135" s="2" t="s">
        <v>358</v>
      </c>
      <c r="F135" s="2" t="s">
        <v>358</v>
      </c>
      <c r="G135" s="2" t="s">
        <v>1850</v>
      </c>
      <c r="H135" s="2" t="s">
        <v>577</v>
      </c>
      <c r="I135" s="2" t="s">
        <v>1586</v>
      </c>
      <c r="J135" s="2">
        <v>0</v>
      </c>
      <c r="K135" s="2" t="s">
        <v>1592</v>
      </c>
      <c r="L135" s="2" t="s">
        <v>1593</v>
      </c>
      <c r="M135" s="2" t="s">
        <v>1594</v>
      </c>
      <c r="N135" s="2" t="s">
        <v>1595</v>
      </c>
      <c r="O135" s="2" t="s">
        <v>1596</v>
      </c>
      <c r="P135" s="2" t="s">
        <v>1769</v>
      </c>
      <c r="Q135" s="2" t="s">
        <v>577</v>
      </c>
      <c r="R135" s="2" t="s">
        <v>577</v>
      </c>
    </row>
    <row r="136" spans="2:18">
      <c r="B136" s="2" t="s">
        <v>1851</v>
      </c>
      <c r="C136" s="2" t="s">
        <v>1128</v>
      </c>
      <c r="D136" s="2" t="s">
        <v>780</v>
      </c>
      <c r="E136" s="2" t="s">
        <v>358</v>
      </c>
      <c r="F136" s="2" t="s">
        <v>358</v>
      </c>
      <c r="G136" s="2" t="s">
        <v>1852</v>
      </c>
      <c r="H136" s="2" t="s">
        <v>577</v>
      </c>
      <c r="I136" s="2" t="s">
        <v>1586</v>
      </c>
      <c r="J136" s="2">
        <v>0</v>
      </c>
      <c r="K136" s="2" t="s">
        <v>1592</v>
      </c>
      <c r="L136" s="2" t="s">
        <v>1593</v>
      </c>
      <c r="M136" s="2" t="s">
        <v>1594</v>
      </c>
      <c r="N136" s="2" t="s">
        <v>1595</v>
      </c>
      <c r="O136" s="2" t="s">
        <v>1596</v>
      </c>
      <c r="P136" s="2" t="s">
        <v>1769</v>
      </c>
      <c r="Q136" s="2" t="s">
        <v>577</v>
      </c>
      <c r="R136" s="2" t="s">
        <v>577</v>
      </c>
    </row>
    <row r="137" spans="2:18">
      <c r="B137" s="2" t="s">
        <v>1853</v>
      </c>
      <c r="C137" s="2" t="s">
        <v>1128</v>
      </c>
      <c r="D137" s="2" t="s">
        <v>780</v>
      </c>
      <c r="E137" s="2" t="s">
        <v>358</v>
      </c>
      <c r="F137" s="2" t="s">
        <v>358</v>
      </c>
      <c r="G137" s="2" t="s">
        <v>1854</v>
      </c>
      <c r="H137" s="2" t="s">
        <v>577</v>
      </c>
      <c r="I137" s="2" t="s">
        <v>1586</v>
      </c>
      <c r="J137" s="2">
        <v>0</v>
      </c>
      <c r="K137" s="2" t="s">
        <v>1592</v>
      </c>
      <c r="L137" s="2" t="s">
        <v>1593</v>
      </c>
      <c r="M137" s="2" t="s">
        <v>1594</v>
      </c>
      <c r="N137" s="2" t="s">
        <v>1595</v>
      </c>
      <c r="O137" s="2" t="s">
        <v>1596</v>
      </c>
      <c r="P137" s="2" t="s">
        <v>1769</v>
      </c>
      <c r="Q137" s="2" t="s">
        <v>577</v>
      </c>
      <c r="R137" s="2" t="s">
        <v>577</v>
      </c>
    </row>
    <row r="138" spans="2:18">
      <c r="B138" s="2" t="s">
        <v>141</v>
      </c>
      <c r="C138" s="2" t="s">
        <v>1128</v>
      </c>
      <c r="D138" s="2" t="s">
        <v>780</v>
      </c>
      <c r="E138" s="2" t="s">
        <v>358</v>
      </c>
      <c r="F138" s="2" t="s">
        <v>358</v>
      </c>
      <c r="G138" s="2" t="s">
        <v>1855</v>
      </c>
      <c r="H138" s="2" t="s">
        <v>577</v>
      </c>
      <c r="I138" s="2" t="s">
        <v>1586</v>
      </c>
      <c r="J138" s="2">
        <v>0</v>
      </c>
      <c r="K138" s="2" t="s">
        <v>1592</v>
      </c>
      <c r="L138" s="2" t="s">
        <v>1593</v>
      </c>
      <c r="M138" s="2" t="s">
        <v>1647</v>
      </c>
      <c r="N138" s="2" t="s">
        <v>1648</v>
      </c>
      <c r="O138" s="2" t="s">
        <v>1596</v>
      </c>
      <c r="P138" s="2" t="s">
        <v>1769</v>
      </c>
      <c r="Q138" s="2" t="s">
        <v>577</v>
      </c>
      <c r="R138" s="2" t="s">
        <v>577</v>
      </c>
    </row>
    <row r="139" spans="2:18">
      <c r="B139" s="2" t="s">
        <v>1856</v>
      </c>
      <c r="C139" s="2" t="s">
        <v>1134</v>
      </c>
      <c r="D139" s="2" t="s">
        <v>780</v>
      </c>
      <c r="E139" s="2" t="s">
        <v>358</v>
      </c>
      <c r="F139" s="2" t="s">
        <v>358</v>
      </c>
      <c r="G139" s="2" t="s">
        <v>1857</v>
      </c>
      <c r="H139" s="2" t="s">
        <v>577</v>
      </c>
      <c r="I139" s="2" t="s">
        <v>1586</v>
      </c>
      <c r="J139" s="2">
        <v>0</v>
      </c>
      <c r="K139" s="2" t="s">
        <v>1592</v>
      </c>
      <c r="L139" s="2" t="s">
        <v>1593</v>
      </c>
      <c r="M139" s="2" t="s">
        <v>1739</v>
      </c>
      <c r="N139" s="2" t="s">
        <v>1740</v>
      </c>
      <c r="O139" s="2" t="s">
        <v>1596</v>
      </c>
      <c r="P139" s="2" t="s">
        <v>1769</v>
      </c>
      <c r="Q139" s="2" t="s">
        <v>577</v>
      </c>
      <c r="R139" s="2" t="s">
        <v>577</v>
      </c>
    </row>
    <row r="140" spans="2:18">
      <c r="B140" s="2" t="s">
        <v>1858</v>
      </c>
      <c r="C140" s="2" t="s">
        <v>1128</v>
      </c>
      <c r="D140" s="2" t="s">
        <v>780</v>
      </c>
      <c r="E140" s="2" t="s">
        <v>358</v>
      </c>
      <c r="F140" s="2" t="s">
        <v>358</v>
      </c>
      <c r="G140" s="2" t="s">
        <v>1611</v>
      </c>
      <c r="H140" s="2" t="s">
        <v>577</v>
      </c>
      <c r="I140" s="2" t="s">
        <v>1586</v>
      </c>
      <c r="J140" s="2">
        <v>0</v>
      </c>
      <c r="K140" s="2" t="s">
        <v>1592</v>
      </c>
      <c r="L140" s="2" t="s">
        <v>1593</v>
      </c>
      <c r="M140" s="2" t="s">
        <v>1594</v>
      </c>
      <c r="N140" s="2" t="s">
        <v>1595</v>
      </c>
      <c r="O140" s="2" t="s">
        <v>1596</v>
      </c>
      <c r="P140" s="2" t="s">
        <v>1769</v>
      </c>
      <c r="Q140" s="2" t="s">
        <v>577</v>
      </c>
      <c r="R140" s="2" t="s">
        <v>577</v>
      </c>
    </row>
    <row r="141" spans="2:18">
      <c r="B141" s="2" t="s">
        <v>153</v>
      </c>
      <c r="C141" s="2" t="s">
        <v>1128</v>
      </c>
      <c r="D141" s="2" t="s">
        <v>780</v>
      </c>
      <c r="E141" s="2" t="s">
        <v>358</v>
      </c>
      <c r="F141" s="2" t="s">
        <v>358</v>
      </c>
      <c r="G141" s="2" t="s">
        <v>1859</v>
      </c>
      <c r="H141" s="2" t="s">
        <v>577</v>
      </c>
      <c r="I141" s="2" t="s">
        <v>1586</v>
      </c>
      <c r="J141" s="2">
        <v>0</v>
      </c>
      <c r="K141" s="2" t="s">
        <v>1592</v>
      </c>
      <c r="L141" s="2" t="s">
        <v>1593</v>
      </c>
      <c r="M141" s="2" t="s">
        <v>1594</v>
      </c>
      <c r="N141" s="2" t="s">
        <v>1595</v>
      </c>
      <c r="O141" s="2" t="s">
        <v>1596</v>
      </c>
      <c r="P141" s="2" t="s">
        <v>1769</v>
      </c>
      <c r="Q141" s="2" t="s">
        <v>577</v>
      </c>
      <c r="R141" s="2" t="s">
        <v>577</v>
      </c>
    </row>
    <row r="142" spans="2:18">
      <c r="B142" s="2" t="s">
        <v>157</v>
      </c>
      <c r="C142" s="2" t="s">
        <v>1128</v>
      </c>
      <c r="D142" s="2" t="s">
        <v>780</v>
      </c>
      <c r="E142" s="2" t="s">
        <v>358</v>
      </c>
      <c r="F142" s="2" t="s">
        <v>358</v>
      </c>
      <c r="G142" s="2" t="s">
        <v>1860</v>
      </c>
      <c r="H142" s="2" t="s">
        <v>577</v>
      </c>
      <c r="I142" s="2" t="s">
        <v>1586</v>
      </c>
      <c r="J142" s="2">
        <v>0</v>
      </c>
      <c r="K142" s="2" t="s">
        <v>1592</v>
      </c>
      <c r="L142" s="2" t="s">
        <v>1593</v>
      </c>
      <c r="M142" s="2" t="s">
        <v>1594</v>
      </c>
      <c r="N142" s="2" t="s">
        <v>1595</v>
      </c>
      <c r="O142" s="2" t="s">
        <v>1596</v>
      </c>
      <c r="P142" s="2" t="s">
        <v>1769</v>
      </c>
      <c r="Q142" s="2" t="s">
        <v>577</v>
      </c>
      <c r="R142" s="2" t="s">
        <v>577</v>
      </c>
    </row>
    <row r="143" spans="2:18">
      <c r="B143" s="2" t="s">
        <v>143</v>
      </c>
      <c r="C143" s="2" t="s">
        <v>1128</v>
      </c>
      <c r="D143" s="2" t="s">
        <v>780</v>
      </c>
      <c r="E143" s="2" t="s">
        <v>358</v>
      </c>
      <c r="F143" s="2" t="s">
        <v>358</v>
      </c>
      <c r="G143" s="2" t="s">
        <v>1861</v>
      </c>
      <c r="H143" s="2" t="s">
        <v>577</v>
      </c>
      <c r="I143" s="2" t="s">
        <v>1586</v>
      </c>
      <c r="J143" s="2">
        <v>0</v>
      </c>
      <c r="K143" s="2" t="s">
        <v>1592</v>
      </c>
      <c r="L143" s="2" t="s">
        <v>1593</v>
      </c>
      <c r="M143" s="2" t="s">
        <v>1594</v>
      </c>
      <c r="N143" s="2" t="s">
        <v>1595</v>
      </c>
      <c r="O143" s="2" t="s">
        <v>1720</v>
      </c>
      <c r="P143" s="2" t="s">
        <v>1769</v>
      </c>
      <c r="Q143" s="2" t="s">
        <v>577</v>
      </c>
      <c r="R143" s="2" t="s">
        <v>577</v>
      </c>
    </row>
    <row r="144" spans="2:18">
      <c r="B144" s="2" t="s">
        <v>1862</v>
      </c>
      <c r="C144" s="2" t="s">
        <v>1139</v>
      </c>
      <c r="D144" s="2" t="s">
        <v>780</v>
      </c>
      <c r="E144" s="2" t="s">
        <v>1771</v>
      </c>
      <c r="F144" s="2" t="s">
        <v>358</v>
      </c>
      <c r="G144" s="2" t="s">
        <v>1863</v>
      </c>
      <c r="H144" s="2" t="s">
        <v>577</v>
      </c>
      <c r="I144" s="2" t="s">
        <v>1586</v>
      </c>
      <c r="J144" s="2">
        <v>0</v>
      </c>
      <c r="K144" s="2" t="s">
        <v>1592</v>
      </c>
      <c r="L144" s="2" t="s">
        <v>1593</v>
      </c>
      <c r="M144" s="2" t="s">
        <v>1594</v>
      </c>
      <c r="N144" s="2" t="s">
        <v>1773</v>
      </c>
      <c r="O144" s="2" t="s">
        <v>1596</v>
      </c>
      <c r="P144" s="2" t="s">
        <v>1769</v>
      </c>
      <c r="Q144" s="2" t="s">
        <v>577</v>
      </c>
      <c r="R144" s="2" t="s">
        <v>577</v>
      </c>
    </row>
    <row r="145" spans="2:18">
      <c r="B145" s="2" t="s">
        <v>1864</v>
      </c>
      <c r="C145" s="2" t="s">
        <v>1139</v>
      </c>
      <c r="D145" s="2" t="s">
        <v>780</v>
      </c>
      <c r="E145" s="2" t="s">
        <v>1771</v>
      </c>
      <c r="F145" s="2" t="s">
        <v>358</v>
      </c>
      <c r="G145" s="2" t="s">
        <v>1865</v>
      </c>
      <c r="H145" s="2" t="s">
        <v>577</v>
      </c>
      <c r="I145" s="2" t="s">
        <v>1586</v>
      </c>
      <c r="J145" s="2">
        <v>0</v>
      </c>
      <c r="K145" s="2" t="s">
        <v>1592</v>
      </c>
      <c r="L145" s="2" t="s">
        <v>1593</v>
      </c>
      <c r="M145" s="2" t="s">
        <v>1594</v>
      </c>
      <c r="N145" s="2" t="s">
        <v>1773</v>
      </c>
      <c r="P145" s="2" t="s">
        <v>1769</v>
      </c>
      <c r="Q145" s="2" t="s">
        <v>577</v>
      </c>
      <c r="R145" s="2" t="s">
        <v>577</v>
      </c>
    </row>
    <row r="146" spans="2:18">
      <c r="B146" s="2" t="s">
        <v>1866</v>
      </c>
      <c r="C146" s="2" t="s">
        <v>1139</v>
      </c>
      <c r="D146" s="2" t="s">
        <v>780</v>
      </c>
      <c r="E146" s="2" t="s">
        <v>1771</v>
      </c>
      <c r="F146" s="2" t="s">
        <v>358</v>
      </c>
      <c r="G146" s="2" t="s">
        <v>1837</v>
      </c>
      <c r="H146" s="2" t="s">
        <v>577</v>
      </c>
      <c r="I146" s="2" t="s">
        <v>1586</v>
      </c>
      <c r="J146" s="2">
        <v>0</v>
      </c>
      <c r="K146" s="2" t="s">
        <v>1592</v>
      </c>
      <c r="L146" s="2" t="s">
        <v>1593</v>
      </c>
      <c r="M146" s="2" t="s">
        <v>1594</v>
      </c>
      <c r="N146" s="2" t="s">
        <v>1773</v>
      </c>
      <c r="O146" s="2" t="s">
        <v>1822</v>
      </c>
      <c r="P146" s="2" t="s">
        <v>1769</v>
      </c>
      <c r="Q146" s="2" t="s">
        <v>577</v>
      </c>
      <c r="R146" s="2" t="s">
        <v>577</v>
      </c>
    </row>
    <row r="147" spans="2:18">
      <c r="B147" s="2" t="s">
        <v>1867</v>
      </c>
      <c r="C147" s="2" t="s">
        <v>1139</v>
      </c>
      <c r="D147" s="2" t="s">
        <v>780</v>
      </c>
      <c r="E147" s="2" t="s">
        <v>1771</v>
      </c>
      <c r="F147" s="2" t="s">
        <v>358</v>
      </c>
      <c r="G147" s="2" t="s">
        <v>1868</v>
      </c>
      <c r="H147" s="2" t="s">
        <v>577</v>
      </c>
      <c r="I147" s="2" t="s">
        <v>1586</v>
      </c>
      <c r="J147" s="2">
        <v>0</v>
      </c>
      <c r="K147" s="2" t="s">
        <v>1592</v>
      </c>
      <c r="L147" s="2" t="s">
        <v>1593</v>
      </c>
      <c r="M147" s="2" t="s">
        <v>1594</v>
      </c>
      <c r="N147" s="2" t="s">
        <v>1773</v>
      </c>
      <c r="O147" s="2" t="s">
        <v>1596</v>
      </c>
      <c r="P147" s="2" t="s">
        <v>1769</v>
      </c>
      <c r="Q147" s="2" t="s">
        <v>577</v>
      </c>
      <c r="R147" s="2" t="s">
        <v>577</v>
      </c>
    </row>
    <row r="148" spans="2:18">
      <c r="B148" s="2" t="s">
        <v>1869</v>
      </c>
      <c r="C148" s="2" t="s">
        <v>1139</v>
      </c>
      <c r="D148" s="2" t="s">
        <v>780</v>
      </c>
      <c r="E148" s="2" t="s">
        <v>1771</v>
      </c>
      <c r="F148" s="2" t="s">
        <v>358</v>
      </c>
      <c r="G148" s="2" t="s">
        <v>1870</v>
      </c>
      <c r="H148" s="2" t="s">
        <v>577</v>
      </c>
      <c r="I148" s="2" t="s">
        <v>1586</v>
      </c>
      <c r="J148" s="2">
        <v>0</v>
      </c>
      <c r="K148" s="2" t="s">
        <v>1592</v>
      </c>
      <c r="L148" s="2" t="s">
        <v>1593</v>
      </c>
      <c r="M148" s="2" t="s">
        <v>1594</v>
      </c>
      <c r="N148" s="2" t="s">
        <v>1773</v>
      </c>
      <c r="O148" s="2" t="s">
        <v>1834</v>
      </c>
      <c r="P148" s="2" t="s">
        <v>1769</v>
      </c>
      <c r="Q148" s="2" t="s">
        <v>577</v>
      </c>
      <c r="R148" s="2" t="s">
        <v>577</v>
      </c>
    </row>
    <row r="149" spans="2:18">
      <c r="B149" s="2" t="s">
        <v>1871</v>
      </c>
      <c r="C149" s="2" t="s">
        <v>1139</v>
      </c>
      <c r="D149" s="2" t="s">
        <v>780</v>
      </c>
      <c r="E149" s="2" t="s">
        <v>1771</v>
      </c>
      <c r="F149" s="2" t="s">
        <v>358</v>
      </c>
      <c r="G149" s="2" t="s">
        <v>1872</v>
      </c>
      <c r="H149" s="2" t="s">
        <v>577</v>
      </c>
      <c r="I149" s="2" t="s">
        <v>1586</v>
      </c>
      <c r="J149" s="2">
        <v>0</v>
      </c>
      <c r="K149" s="2" t="s">
        <v>1592</v>
      </c>
      <c r="L149" s="2" t="s">
        <v>1593</v>
      </c>
      <c r="M149" s="2" t="s">
        <v>1594</v>
      </c>
      <c r="N149" s="2" t="s">
        <v>1773</v>
      </c>
      <c r="O149" s="2" t="s">
        <v>1596</v>
      </c>
      <c r="P149" s="2" t="s">
        <v>1769</v>
      </c>
      <c r="Q149" s="2" t="s">
        <v>577</v>
      </c>
      <c r="R149" s="2" t="s">
        <v>577</v>
      </c>
    </row>
    <row r="150" spans="2:18">
      <c r="B150" s="2" t="s">
        <v>1873</v>
      </c>
      <c r="C150" s="2" t="s">
        <v>1139</v>
      </c>
      <c r="D150" s="2" t="s">
        <v>780</v>
      </c>
      <c r="E150" s="2" t="s">
        <v>1771</v>
      </c>
      <c r="F150" s="2" t="s">
        <v>358</v>
      </c>
      <c r="G150" s="2" t="s">
        <v>1855</v>
      </c>
      <c r="H150" s="2" t="s">
        <v>577</v>
      </c>
      <c r="I150" s="2" t="s">
        <v>1586</v>
      </c>
      <c r="J150" s="2">
        <v>0</v>
      </c>
      <c r="K150" s="2" t="s">
        <v>1592</v>
      </c>
      <c r="L150" s="2" t="s">
        <v>1593</v>
      </c>
      <c r="M150" s="2" t="s">
        <v>1594</v>
      </c>
      <c r="N150" s="2" t="s">
        <v>1773</v>
      </c>
      <c r="O150" s="2" t="s">
        <v>1596</v>
      </c>
      <c r="P150" s="2" t="s">
        <v>1769</v>
      </c>
      <c r="Q150" s="2" t="s">
        <v>577</v>
      </c>
      <c r="R150" s="2" t="s">
        <v>577</v>
      </c>
    </row>
    <row r="151" spans="2:18">
      <c r="B151" s="2" t="s">
        <v>1874</v>
      </c>
      <c r="C151" s="2" t="s">
        <v>1139</v>
      </c>
      <c r="D151" s="2" t="s">
        <v>780</v>
      </c>
      <c r="E151" s="2" t="s">
        <v>1771</v>
      </c>
      <c r="F151" s="2" t="s">
        <v>358</v>
      </c>
      <c r="G151" s="2" t="s">
        <v>1875</v>
      </c>
      <c r="H151" s="2" t="s">
        <v>577</v>
      </c>
      <c r="I151" s="2" t="s">
        <v>1586</v>
      </c>
      <c r="J151" s="2">
        <v>0</v>
      </c>
      <c r="K151" s="2" t="s">
        <v>1592</v>
      </c>
      <c r="L151" s="2" t="s">
        <v>1593</v>
      </c>
      <c r="M151" s="2" t="s">
        <v>1594</v>
      </c>
      <c r="N151" s="2" t="s">
        <v>1773</v>
      </c>
      <c r="O151" s="2" t="s">
        <v>1834</v>
      </c>
      <c r="P151" s="2" t="s">
        <v>1769</v>
      </c>
      <c r="Q151" s="2" t="s">
        <v>577</v>
      </c>
      <c r="R151" s="2" t="s">
        <v>577</v>
      </c>
    </row>
    <row r="152" spans="2:18">
      <c r="B152" s="2" t="s">
        <v>1876</v>
      </c>
      <c r="C152" s="2" t="s">
        <v>1139</v>
      </c>
      <c r="D152" s="2" t="s">
        <v>780</v>
      </c>
      <c r="E152" s="2" t="s">
        <v>1771</v>
      </c>
      <c r="F152" s="2" t="s">
        <v>358</v>
      </c>
      <c r="G152" s="2" t="s">
        <v>1611</v>
      </c>
      <c r="H152" s="2" t="s">
        <v>577</v>
      </c>
      <c r="I152" s="2" t="s">
        <v>1586</v>
      </c>
      <c r="J152" s="2">
        <v>0</v>
      </c>
      <c r="K152" s="2" t="s">
        <v>1592</v>
      </c>
      <c r="L152" s="2" t="s">
        <v>1593</v>
      </c>
      <c r="M152" s="2" t="s">
        <v>1594</v>
      </c>
      <c r="N152" s="2" t="s">
        <v>1773</v>
      </c>
      <c r="O152" s="2" t="s">
        <v>1596</v>
      </c>
      <c r="P152" s="2" t="s">
        <v>1769</v>
      </c>
      <c r="Q152" s="2" t="s">
        <v>577</v>
      </c>
      <c r="R152" s="2" t="s">
        <v>577</v>
      </c>
    </row>
    <row r="153" spans="2:18">
      <c r="B153" s="2" t="s">
        <v>1877</v>
      </c>
      <c r="C153" s="2" t="s">
        <v>1139</v>
      </c>
      <c r="D153" s="2" t="s">
        <v>780</v>
      </c>
      <c r="E153" s="2" t="s">
        <v>1771</v>
      </c>
      <c r="F153" s="2" t="s">
        <v>358</v>
      </c>
      <c r="G153" s="2" t="s">
        <v>1878</v>
      </c>
      <c r="H153" s="2" t="s">
        <v>577</v>
      </c>
      <c r="I153" s="2" t="s">
        <v>1586</v>
      </c>
      <c r="J153" s="2">
        <v>0</v>
      </c>
      <c r="K153" s="2" t="s">
        <v>1592</v>
      </c>
      <c r="L153" s="2" t="s">
        <v>1593</v>
      </c>
      <c r="M153" s="2" t="s">
        <v>1594</v>
      </c>
      <c r="N153" s="2" t="s">
        <v>1773</v>
      </c>
      <c r="O153" s="2" t="s">
        <v>1834</v>
      </c>
      <c r="P153" s="2" t="s">
        <v>1769</v>
      </c>
      <c r="Q153" s="2" t="s">
        <v>577</v>
      </c>
      <c r="R153" s="2" t="s">
        <v>577</v>
      </c>
    </row>
    <row r="154" spans="2:18">
      <c r="B154" s="2" t="s">
        <v>1879</v>
      </c>
      <c r="C154" s="2" t="s">
        <v>1139</v>
      </c>
      <c r="D154" s="2" t="s">
        <v>780</v>
      </c>
      <c r="E154" s="2" t="s">
        <v>1771</v>
      </c>
      <c r="F154" s="2" t="s">
        <v>358</v>
      </c>
      <c r="G154" s="2" t="s">
        <v>1880</v>
      </c>
      <c r="H154" s="2" t="s">
        <v>577</v>
      </c>
      <c r="I154" s="2" t="s">
        <v>1586</v>
      </c>
      <c r="J154" s="2">
        <v>0</v>
      </c>
      <c r="K154" s="2" t="s">
        <v>1592</v>
      </c>
      <c r="L154" s="2" t="s">
        <v>1593</v>
      </c>
      <c r="M154" s="2" t="s">
        <v>1594</v>
      </c>
      <c r="N154" s="2" t="s">
        <v>1773</v>
      </c>
      <c r="O154" s="2" t="s">
        <v>1596</v>
      </c>
      <c r="P154" s="2" t="s">
        <v>1769</v>
      </c>
      <c r="Q154" s="2" t="s">
        <v>577</v>
      </c>
      <c r="R154" s="2" t="s">
        <v>577</v>
      </c>
    </row>
    <row r="155" spans="2:18">
      <c r="B155" s="2" t="s">
        <v>1881</v>
      </c>
      <c r="C155" s="2" t="s">
        <v>1139</v>
      </c>
      <c r="D155" s="2" t="s">
        <v>780</v>
      </c>
      <c r="E155" s="2" t="s">
        <v>1771</v>
      </c>
      <c r="F155" s="2" t="s">
        <v>358</v>
      </c>
      <c r="G155" s="2" t="s">
        <v>1882</v>
      </c>
      <c r="H155" s="2" t="s">
        <v>577</v>
      </c>
      <c r="I155" s="2" t="s">
        <v>1586</v>
      </c>
      <c r="J155" s="2">
        <v>0</v>
      </c>
      <c r="K155" s="2" t="s">
        <v>1592</v>
      </c>
      <c r="L155" s="2" t="s">
        <v>1593</v>
      </c>
      <c r="M155" s="2" t="s">
        <v>1594</v>
      </c>
      <c r="N155" s="2" t="s">
        <v>1773</v>
      </c>
      <c r="O155" s="2" t="s">
        <v>1596</v>
      </c>
      <c r="P155" s="2" t="s">
        <v>1769</v>
      </c>
      <c r="Q155" s="2" t="s">
        <v>577</v>
      </c>
      <c r="R155" s="2" t="s">
        <v>577</v>
      </c>
    </row>
    <row r="156" spans="2:18">
      <c r="B156" s="2" t="s">
        <v>1883</v>
      </c>
      <c r="C156" s="2" t="s">
        <v>1139</v>
      </c>
      <c r="D156" s="2" t="s">
        <v>780</v>
      </c>
      <c r="E156" s="2" t="s">
        <v>1771</v>
      </c>
      <c r="F156" s="2" t="s">
        <v>358</v>
      </c>
      <c r="G156" s="2" t="s">
        <v>1884</v>
      </c>
      <c r="H156" s="2" t="s">
        <v>577</v>
      </c>
      <c r="I156" s="2" t="s">
        <v>1586</v>
      </c>
      <c r="J156" s="2">
        <v>0</v>
      </c>
      <c r="K156" s="2" t="s">
        <v>1592</v>
      </c>
      <c r="L156" s="2" t="s">
        <v>1593</v>
      </c>
      <c r="M156" s="2" t="s">
        <v>1594</v>
      </c>
      <c r="N156" s="2" t="s">
        <v>1773</v>
      </c>
      <c r="O156" s="2" t="s">
        <v>1834</v>
      </c>
      <c r="P156" s="2" t="s">
        <v>1769</v>
      </c>
      <c r="Q156" s="2" t="s">
        <v>577</v>
      </c>
      <c r="R156" s="2" t="s">
        <v>577</v>
      </c>
    </row>
    <row r="157" spans="2:18">
      <c r="B157" s="2" t="s">
        <v>1885</v>
      </c>
      <c r="C157" s="2" t="s">
        <v>1137</v>
      </c>
      <c r="D157" s="2" t="s">
        <v>780</v>
      </c>
      <c r="E157" s="2" t="s">
        <v>1771</v>
      </c>
      <c r="F157" s="2" t="s">
        <v>358</v>
      </c>
      <c r="G157" s="2" t="s">
        <v>1886</v>
      </c>
      <c r="H157" s="2" t="s">
        <v>577</v>
      </c>
      <c r="I157" s="2" t="s">
        <v>1586</v>
      </c>
      <c r="J157" s="2">
        <v>0</v>
      </c>
      <c r="K157" s="2" t="s">
        <v>1592</v>
      </c>
      <c r="L157" s="2" t="s">
        <v>1593</v>
      </c>
      <c r="M157" s="2" t="s">
        <v>1594</v>
      </c>
      <c r="N157" s="2" t="s">
        <v>1773</v>
      </c>
      <c r="O157" s="2" t="s">
        <v>1596</v>
      </c>
      <c r="P157" s="2" t="s">
        <v>1769</v>
      </c>
      <c r="Q157" s="2" t="s">
        <v>577</v>
      </c>
      <c r="R157" s="2" t="s">
        <v>577</v>
      </c>
    </row>
    <row r="158" spans="2:18">
      <c r="B158" s="2" t="s">
        <v>1887</v>
      </c>
      <c r="C158" s="2" t="s">
        <v>1093</v>
      </c>
      <c r="D158" s="2" t="s">
        <v>780</v>
      </c>
      <c r="E158" s="2" t="s">
        <v>359</v>
      </c>
      <c r="F158" s="2" t="s">
        <v>359</v>
      </c>
      <c r="G158" s="2" t="s">
        <v>1887</v>
      </c>
      <c r="H158" s="2" t="s">
        <v>577</v>
      </c>
      <c r="I158" s="2" t="s">
        <v>1586</v>
      </c>
      <c r="J158" s="2">
        <v>0</v>
      </c>
      <c r="K158" s="2" t="s">
        <v>1592</v>
      </c>
      <c r="L158" s="2" t="s">
        <v>1593</v>
      </c>
      <c r="M158" s="2" t="s">
        <v>1739</v>
      </c>
      <c r="N158" s="2" t="s">
        <v>1740</v>
      </c>
      <c r="P158" s="2" t="s">
        <v>1741</v>
      </c>
      <c r="Q158" s="2" t="s">
        <v>577</v>
      </c>
      <c r="R158" s="2" t="s">
        <v>577</v>
      </c>
    </row>
    <row r="159" spans="2:18">
      <c r="B159" s="2" t="s">
        <v>1888</v>
      </c>
      <c r="C159" s="2" t="s">
        <v>1128</v>
      </c>
      <c r="D159" s="2" t="s">
        <v>780</v>
      </c>
      <c r="E159" s="2" t="s">
        <v>358</v>
      </c>
      <c r="F159" s="2" t="s">
        <v>358</v>
      </c>
      <c r="G159" s="2" t="s">
        <v>1889</v>
      </c>
      <c r="H159" s="2" t="s">
        <v>577</v>
      </c>
      <c r="I159" s="2" t="s">
        <v>1586</v>
      </c>
      <c r="J159" s="2">
        <v>0</v>
      </c>
      <c r="K159" s="2" t="s">
        <v>1592</v>
      </c>
      <c r="L159" s="2" t="s">
        <v>1593</v>
      </c>
      <c r="M159" s="2" t="s">
        <v>1594</v>
      </c>
      <c r="N159" s="2" t="s">
        <v>1595</v>
      </c>
      <c r="O159" s="2" t="s">
        <v>1834</v>
      </c>
      <c r="P159" s="2" t="s">
        <v>1769</v>
      </c>
      <c r="Q159" s="2" t="s">
        <v>577</v>
      </c>
      <c r="R159" s="2" t="s">
        <v>577</v>
      </c>
    </row>
    <row r="163" spans="1:19">
      <c r="A163" s="14" t="s">
        <v>1890</v>
      </c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 t="s">
        <v>577</v>
      </c>
      <c r="R163" s="14"/>
      <c r="S163" s="14"/>
    </row>
    <row r="164" spans="1:18">
      <c r="A164" s="2" t="s">
        <v>1891</v>
      </c>
      <c r="B164" s="2" t="s">
        <v>1892</v>
      </c>
      <c r="C164" s="2" t="s">
        <v>1197</v>
      </c>
      <c r="D164" s="2" t="s">
        <v>780</v>
      </c>
      <c r="E164" s="2" t="s">
        <v>1893</v>
      </c>
      <c r="F164" s="2" t="s">
        <v>1894</v>
      </c>
      <c r="G164" s="2" t="s">
        <v>1895</v>
      </c>
      <c r="H164" s="2" t="s">
        <v>588</v>
      </c>
      <c r="I164" s="2" t="s">
        <v>1896</v>
      </c>
      <c r="K164" s="2" t="s">
        <v>1592</v>
      </c>
      <c r="L164" s="2" t="s">
        <v>1593</v>
      </c>
      <c r="M164" s="2" t="s">
        <v>1647</v>
      </c>
      <c r="O164" s="2" t="s">
        <v>1596</v>
      </c>
      <c r="P164" s="2" t="s">
        <v>1897</v>
      </c>
      <c r="Q164" s="2" t="s">
        <v>577</v>
      </c>
      <c r="R164" s="2" t="s">
        <v>577</v>
      </c>
    </row>
    <row r="165" spans="1:18">
      <c r="A165" s="2" t="s">
        <v>1891</v>
      </c>
      <c r="B165" s="2" t="s">
        <v>1898</v>
      </c>
      <c r="C165" s="2" t="s">
        <v>1197</v>
      </c>
      <c r="D165" s="2" t="s">
        <v>780</v>
      </c>
      <c r="E165" s="2" t="s">
        <v>1893</v>
      </c>
      <c r="F165" s="2" t="s">
        <v>1894</v>
      </c>
      <c r="G165" s="2" t="s">
        <v>1895</v>
      </c>
      <c r="H165" s="2" t="s">
        <v>577</v>
      </c>
      <c r="I165" s="2" t="s">
        <v>1896</v>
      </c>
      <c r="K165" s="2" t="s">
        <v>1592</v>
      </c>
      <c r="L165" s="2" t="s">
        <v>1593</v>
      </c>
      <c r="M165" s="2" t="s">
        <v>1647</v>
      </c>
      <c r="O165" s="2" t="s">
        <v>1596</v>
      </c>
      <c r="P165" s="2" t="s">
        <v>1897</v>
      </c>
      <c r="Q165" s="2" t="s">
        <v>577</v>
      </c>
      <c r="R165" s="2" t="s">
        <v>577</v>
      </c>
    </row>
    <row r="166" spans="1:18">
      <c r="A166" s="2" t="s">
        <v>1891</v>
      </c>
      <c r="B166" s="2" t="s">
        <v>1899</v>
      </c>
      <c r="C166" s="2" t="s">
        <v>1197</v>
      </c>
      <c r="D166" s="2" t="s">
        <v>780</v>
      </c>
      <c r="E166" s="2" t="s">
        <v>1893</v>
      </c>
      <c r="F166" s="2" t="s">
        <v>1894</v>
      </c>
      <c r="G166" s="2" t="s">
        <v>1895</v>
      </c>
      <c r="H166" s="2" t="s">
        <v>577</v>
      </c>
      <c r="I166" s="2" t="s">
        <v>1896</v>
      </c>
      <c r="K166" s="2" t="s">
        <v>1592</v>
      </c>
      <c r="L166" s="2" t="s">
        <v>1593</v>
      </c>
      <c r="M166" s="2" t="s">
        <v>1647</v>
      </c>
      <c r="O166" s="2" t="s">
        <v>1596</v>
      </c>
      <c r="P166" s="2" t="s">
        <v>1897</v>
      </c>
      <c r="Q166" s="2" t="s">
        <v>577</v>
      </c>
      <c r="R166" s="2" t="s">
        <v>577</v>
      </c>
    </row>
    <row r="167" spans="1:18">
      <c r="A167" s="2" t="s">
        <v>1891</v>
      </c>
      <c r="B167" s="2" t="s">
        <v>1900</v>
      </c>
      <c r="C167" s="2" t="s">
        <v>1185</v>
      </c>
      <c r="D167" s="2" t="s">
        <v>780</v>
      </c>
      <c r="E167" s="2" t="s">
        <v>1893</v>
      </c>
      <c r="F167" s="2" t="s">
        <v>1894</v>
      </c>
      <c r="G167" s="2" t="s">
        <v>1895</v>
      </c>
      <c r="H167" s="2" t="s">
        <v>577</v>
      </c>
      <c r="I167" s="2" t="s">
        <v>1896</v>
      </c>
      <c r="K167" s="2" t="s">
        <v>1592</v>
      </c>
      <c r="L167" s="2" t="s">
        <v>1593</v>
      </c>
      <c r="M167" s="2" t="s">
        <v>1647</v>
      </c>
      <c r="O167" s="2" t="s">
        <v>1822</v>
      </c>
      <c r="P167" s="2" t="s">
        <v>1897</v>
      </c>
      <c r="Q167" s="2" t="s">
        <v>577</v>
      </c>
      <c r="R167" s="2" t="s">
        <v>577</v>
      </c>
    </row>
    <row r="168" spans="1:18">
      <c r="A168" s="2" t="s">
        <v>1891</v>
      </c>
      <c r="B168" s="2" t="s">
        <v>1901</v>
      </c>
      <c r="C168" s="2" t="s">
        <v>1197</v>
      </c>
      <c r="D168" s="2" t="s">
        <v>780</v>
      </c>
      <c r="E168" s="2" t="s">
        <v>1893</v>
      </c>
      <c r="F168" s="2" t="s">
        <v>1894</v>
      </c>
      <c r="G168" s="2" t="s">
        <v>1895</v>
      </c>
      <c r="H168" s="2" t="s">
        <v>577</v>
      </c>
      <c r="I168" s="2" t="s">
        <v>1896</v>
      </c>
      <c r="K168" s="2" t="s">
        <v>1592</v>
      </c>
      <c r="L168" s="2" t="s">
        <v>1593</v>
      </c>
      <c r="M168" s="2" t="s">
        <v>1647</v>
      </c>
      <c r="O168" s="2" t="s">
        <v>1596</v>
      </c>
      <c r="P168" s="2" t="s">
        <v>1897</v>
      </c>
      <c r="Q168" s="2" t="s">
        <v>577</v>
      </c>
      <c r="R168" s="2" t="s">
        <v>577</v>
      </c>
    </row>
    <row r="169" spans="1:18">
      <c r="A169" s="2" t="s">
        <v>1902</v>
      </c>
      <c r="B169" s="2" t="s">
        <v>1903</v>
      </c>
      <c r="C169" s="2" t="s">
        <v>1172</v>
      </c>
      <c r="D169" s="2" t="s">
        <v>780</v>
      </c>
      <c r="E169" s="2" t="s">
        <v>1893</v>
      </c>
      <c r="F169" s="2" t="s">
        <v>1894</v>
      </c>
      <c r="G169" s="2" t="s">
        <v>1904</v>
      </c>
      <c r="H169" s="2" t="s">
        <v>588</v>
      </c>
      <c r="I169" s="2" t="s">
        <v>1896</v>
      </c>
      <c r="K169" s="2" t="s">
        <v>1592</v>
      </c>
      <c r="L169" s="2" t="s">
        <v>1593</v>
      </c>
      <c r="M169" s="2" t="s">
        <v>1647</v>
      </c>
      <c r="O169" s="2" t="s">
        <v>1596</v>
      </c>
      <c r="P169" s="2" t="s">
        <v>1897</v>
      </c>
      <c r="Q169" s="2" t="s">
        <v>577</v>
      </c>
      <c r="R169" s="2" t="s">
        <v>577</v>
      </c>
    </row>
    <row r="170" spans="1:18">
      <c r="A170" s="2" t="s">
        <v>1902</v>
      </c>
      <c r="B170" s="2" t="s">
        <v>1905</v>
      </c>
      <c r="C170" s="2" t="s">
        <v>1172</v>
      </c>
      <c r="D170" s="2" t="s">
        <v>780</v>
      </c>
      <c r="E170" s="2" t="s">
        <v>1893</v>
      </c>
      <c r="F170" s="2" t="s">
        <v>1894</v>
      </c>
      <c r="G170" s="2" t="s">
        <v>1904</v>
      </c>
      <c r="H170" s="2" t="s">
        <v>577</v>
      </c>
      <c r="I170" s="2" t="s">
        <v>1896</v>
      </c>
      <c r="K170" s="2" t="s">
        <v>1592</v>
      </c>
      <c r="L170" s="2" t="s">
        <v>1593</v>
      </c>
      <c r="M170" s="2" t="s">
        <v>1647</v>
      </c>
      <c r="O170" s="2" t="s">
        <v>1596</v>
      </c>
      <c r="P170" s="2" t="s">
        <v>1897</v>
      </c>
      <c r="Q170" s="2" t="s">
        <v>577</v>
      </c>
      <c r="R170" s="2" t="s">
        <v>577</v>
      </c>
    </row>
    <row r="171" spans="1:18">
      <c r="A171" s="2" t="s">
        <v>1902</v>
      </c>
      <c r="B171" s="2" t="s">
        <v>1906</v>
      </c>
      <c r="C171" s="2" t="s">
        <v>1172</v>
      </c>
      <c r="D171" s="2" t="s">
        <v>780</v>
      </c>
      <c r="E171" s="2" t="s">
        <v>1893</v>
      </c>
      <c r="F171" s="2" t="s">
        <v>1894</v>
      </c>
      <c r="G171" s="2" t="s">
        <v>1904</v>
      </c>
      <c r="H171" s="2" t="s">
        <v>577</v>
      </c>
      <c r="I171" s="2" t="s">
        <v>1896</v>
      </c>
      <c r="K171" s="2" t="s">
        <v>1592</v>
      </c>
      <c r="L171" s="2" t="s">
        <v>1593</v>
      </c>
      <c r="M171" s="2" t="s">
        <v>1647</v>
      </c>
      <c r="O171" s="2" t="s">
        <v>1596</v>
      </c>
      <c r="P171" s="2" t="s">
        <v>1897</v>
      </c>
      <c r="Q171" s="2" t="s">
        <v>577</v>
      </c>
      <c r="R171" s="2" t="s">
        <v>577</v>
      </c>
    </row>
    <row r="172" spans="1:18">
      <c r="A172" s="2" t="s">
        <v>1902</v>
      </c>
      <c r="B172" s="2" t="s">
        <v>1907</v>
      </c>
      <c r="C172" s="2" t="s">
        <v>1160</v>
      </c>
      <c r="D172" s="2" t="s">
        <v>780</v>
      </c>
      <c r="E172" s="2" t="s">
        <v>1893</v>
      </c>
      <c r="F172" s="2" t="s">
        <v>1894</v>
      </c>
      <c r="G172" s="2" t="s">
        <v>1904</v>
      </c>
      <c r="H172" s="2" t="s">
        <v>577</v>
      </c>
      <c r="I172" s="2" t="s">
        <v>1896</v>
      </c>
      <c r="K172" s="2" t="s">
        <v>1592</v>
      </c>
      <c r="L172" s="2" t="s">
        <v>1593</v>
      </c>
      <c r="M172" s="2" t="s">
        <v>1647</v>
      </c>
      <c r="O172" s="2" t="s">
        <v>1822</v>
      </c>
      <c r="P172" s="2" t="s">
        <v>1897</v>
      </c>
      <c r="Q172" s="2" t="s">
        <v>577</v>
      </c>
      <c r="R172" s="2" t="s">
        <v>577</v>
      </c>
    </row>
    <row r="173" spans="1:18">
      <c r="A173" s="2" t="s">
        <v>1902</v>
      </c>
      <c r="B173" s="2" t="s">
        <v>1908</v>
      </c>
      <c r="C173" s="2" t="s">
        <v>1172</v>
      </c>
      <c r="D173" s="2" t="s">
        <v>780</v>
      </c>
      <c r="E173" s="2" t="s">
        <v>1893</v>
      </c>
      <c r="F173" s="2" t="s">
        <v>1894</v>
      </c>
      <c r="G173" s="2" t="s">
        <v>1904</v>
      </c>
      <c r="H173" s="2" t="s">
        <v>577</v>
      </c>
      <c r="I173" s="2" t="s">
        <v>1896</v>
      </c>
      <c r="K173" s="2" t="s">
        <v>1592</v>
      </c>
      <c r="L173" s="2" t="s">
        <v>1593</v>
      </c>
      <c r="M173" s="2" t="s">
        <v>1647</v>
      </c>
      <c r="O173" s="2" t="s">
        <v>1596</v>
      </c>
      <c r="P173" s="2" t="s">
        <v>1897</v>
      </c>
      <c r="Q173" s="2" t="s">
        <v>577</v>
      </c>
      <c r="R173" s="2" t="s">
        <v>577</v>
      </c>
    </row>
    <row r="174" spans="1:18">
      <c r="A174" s="2" t="s">
        <v>1904</v>
      </c>
      <c r="B174" s="2" t="s">
        <v>1909</v>
      </c>
      <c r="C174" s="2" t="s">
        <v>1200</v>
      </c>
      <c r="D174" s="2" t="s">
        <v>780</v>
      </c>
      <c r="E174" s="2" t="s">
        <v>1893</v>
      </c>
      <c r="F174" s="2" t="s">
        <v>1894</v>
      </c>
      <c r="G174" s="2" t="s">
        <v>1904</v>
      </c>
      <c r="H174" s="2" t="s">
        <v>588</v>
      </c>
      <c r="I174" s="2" t="s">
        <v>1896</v>
      </c>
      <c r="K174" s="2" t="s">
        <v>1592</v>
      </c>
      <c r="L174" s="2" t="s">
        <v>1593</v>
      </c>
      <c r="M174" s="2" t="s">
        <v>1647</v>
      </c>
      <c r="O174" s="2" t="s">
        <v>1596</v>
      </c>
      <c r="P174" s="2" t="s">
        <v>1897</v>
      </c>
      <c r="Q174" s="2" t="s">
        <v>577</v>
      </c>
      <c r="R174" s="2" t="s">
        <v>577</v>
      </c>
    </row>
    <row r="175" spans="1:18">
      <c r="A175" s="2" t="s">
        <v>1904</v>
      </c>
      <c r="B175" s="2" t="s">
        <v>1910</v>
      </c>
      <c r="C175" s="2" t="s">
        <v>1200</v>
      </c>
      <c r="D175" s="2" t="s">
        <v>780</v>
      </c>
      <c r="E175" s="2" t="s">
        <v>1893</v>
      </c>
      <c r="F175" s="2" t="s">
        <v>1894</v>
      </c>
      <c r="G175" s="2" t="s">
        <v>1904</v>
      </c>
      <c r="H175" s="2" t="s">
        <v>577</v>
      </c>
      <c r="I175" s="2" t="s">
        <v>1896</v>
      </c>
      <c r="K175" s="2" t="s">
        <v>1592</v>
      </c>
      <c r="L175" s="2" t="s">
        <v>1593</v>
      </c>
      <c r="M175" s="2" t="s">
        <v>1647</v>
      </c>
      <c r="O175" s="2" t="s">
        <v>1596</v>
      </c>
      <c r="P175" s="2" t="s">
        <v>1897</v>
      </c>
      <c r="Q175" s="2" t="s">
        <v>577</v>
      </c>
      <c r="R175" s="2" t="s">
        <v>577</v>
      </c>
    </row>
    <row r="176" spans="1:18">
      <c r="A176" s="2" t="s">
        <v>1904</v>
      </c>
      <c r="B176" s="2" t="s">
        <v>1911</v>
      </c>
      <c r="C176" s="2" t="s">
        <v>1200</v>
      </c>
      <c r="D176" s="2" t="s">
        <v>780</v>
      </c>
      <c r="E176" s="2" t="s">
        <v>1893</v>
      </c>
      <c r="F176" s="2" t="s">
        <v>1894</v>
      </c>
      <c r="G176" s="2" t="s">
        <v>1904</v>
      </c>
      <c r="H176" s="2" t="s">
        <v>577</v>
      </c>
      <c r="I176" s="2" t="s">
        <v>1896</v>
      </c>
      <c r="K176" s="2" t="s">
        <v>1592</v>
      </c>
      <c r="L176" s="2" t="s">
        <v>1593</v>
      </c>
      <c r="M176" s="2" t="s">
        <v>1647</v>
      </c>
      <c r="O176" s="2" t="s">
        <v>1596</v>
      </c>
      <c r="P176" s="2" t="s">
        <v>1897</v>
      </c>
      <c r="Q176" s="2" t="s">
        <v>577</v>
      </c>
      <c r="R176" s="2" t="s">
        <v>577</v>
      </c>
    </row>
    <row r="177" spans="1:18">
      <c r="A177" s="2" t="s">
        <v>1904</v>
      </c>
      <c r="B177" s="2" t="s">
        <v>1912</v>
      </c>
      <c r="C177" s="2" t="s">
        <v>1187</v>
      </c>
      <c r="D177" s="2" t="s">
        <v>780</v>
      </c>
      <c r="E177" s="2" t="s">
        <v>1893</v>
      </c>
      <c r="F177" s="2" t="s">
        <v>1894</v>
      </c>
      <c r="G177" s="2" t="s">
        <v>1904</v>
      </c>
      <c r="H177" s="2" t="s">
        <v>577</v>
      </c>
      <c r="I177" s="2" t="s">
        <v>1896</v>
      </c>
      <c r="K177" s="2" t="s">
        <v>1592</v>
      </c>
      <c r="L177" s="2" t="s">
        <v>1593</v>
      </c>
      <c r="M177" s="2" t="s">
        <v>1647</v>
      </c>
      <c r="O177" s="2" t="s">
        <v>1822</v>
      </c>
      <c r="P177" s="2" t="s">
        <v>1897</v>
      </c>
      <c r="Q177" s="2" t="s">
        <v>577</v>
      </c>
      <c r="R177" s="2" t="s">
        <v>577</v>
      </c>
    </row>
    <row r="178" spans="1:18">
      <c r="A178" s="2" t="s">
        <v>1904</v>
      </c>
      <c r="B178" s="2" t="s">
        <v>1913</v>
      </c>
      <c r="C178" s="2" t="s">
        <v>1200</v>
      </c>
      <c r="D178" s="2" t="s">
        <v>780</v>
      </c>
      <c r="E178" s="2" t="s">
        <v>1893</v>
      </c>
      <c r="F178" s="2" t="s">
        <v>1894</v>
      </c>
      <c r="G178" s="2" t="s">
        <v>1904</v>
      </c>
      <c r="H178" s="2" t="s">
        <v>577</v>
      </c>
      <c r="I178" s="2" t="s">
        <v>1896</v>
      </c>
      <c r="K178" s="2" t="s">
        <v>1592</v>
      </c>
      <c r="L178" s="2" t="s">
        <v>1593</v>
      </c>
      <c r="M178" s="2" t="s">
        <v>1647</v>
      </c>
      <c r="O178" s="2" t="s">
        <v>1596</v>
      </c>
      <c r="P178" s="2" t="s">
        <v>1897</v>
      </c>
      <c r="Q178" s="2" t="s">
        <v>577</v>
      </c>
      <c r="R178" s="2" t="s">
        <v>577</v>
      </c>
    </row>
    <row r="179" spans="1:18">
      <c r="A179" s="2" t="s">
        <v>1904</v>
      </c>
      <c r="B179" s="2" t="s">
        <v>1914</v>
      </c>
      <c r="C179" s="2" t="s">
        <v>1174</v>
      </c>
      <c r="D179" s="2" t="s">
        <v>780</v>
      </c>
      <c r="E179" s="2" t="s">
        <v>1893</v>
      </c>
      <c r="F179" s="2" t="s">
        <v>1894</v>
      </c>
      <c r="G179" s="2" t="s">
        <v>1904</v>
      </c>
      <c r="H179" s="2" t="s">
        <v>588</v>
      </c>
      <c r="I179" s="2" t="s">
        <v>1896</v>
      </c>
      <c r="K179" s="2" t="s">
        <v>1592</v>
      </c>
      <c r="L179" s="2" t="s">
        <v>1593</v>
      </c>
      <c r="M179" s="2" t="s">
        <v>1647</v>
      </c>
      <c r="O179" s="2" t="s">
        <v>1596</v>
      </c>
      <c r="P179" s="2" t="s">
        <v>1897</v>
      </c>
      <c r="Q179" s="2" t="s">
        <v>577</v>
      </c>
      <c r="R179" s="2" t="s">
        <v>577</v>
      </c>
    </row>
    <row r="180" spans="1:18">
      <c r="A180" s="2" t="s">
        <v>1904</v>
      </c>
      <c r="B180" s="2" t="s">
        <v>1915</v>
      </c>
      <c r="C180" s="2" t="s">
        <v>1174</v>
      </c>
      <c r="D180" s="2" t="s">
        <v>780</v>
      </c>
      <c r="E180" s="2" t="s">
        <v>1893</v>
      </c>
      <c r="F180" s="2" t="s">
        <v>1894</v>
      </c>
      <c r="G180" s="2" t="s">
        <v>1904</v>
      </c>
      <c r="H180" s="2" t="s">
        <v>577</v>
      </c>
      <c r="I180" s="2" t="s">
        <v>1896</v>
      </c>
      <c r="K180" s="2" t="s">
        <v>1592</v>
      </c>
      <c r="L180" s="2" t="s">
        <v>1593</v>
      </c>
      <c r="M180" s="2" t="s">
        <v>1647</v>
      </c>
      <c r="O180" s="2" t="s">
        <v>1596</v>
      </c>
      <c r="P180" s="2" t="s">
        <v>1897</v>
      </c>
      <c r="Q180" s="2" t="s">
        <v>577</v>
      </c>
      <c r="R180" s="2" t="s">
        <v>577</v>
      </c>
    </row>
    <row r="181" spans="1:18">
      <c r="A181" s="2" t="s">
        <v>1904</v>
      </c>
      <c r="B181" s="2" t="s">
        <v>1916</v>
      </c>
      <c r="C181" s="2" t="s">
        <v>1174</v>
      </c>
      <c r="D181" s="2" t="s">
        <v>780</v>
      </c>
      <c r="E181" s="2" t="s">
        <v>1893</v>
      </c>
      <c r="F181" s="2" t="s">
        <v>1894</v>
      </c>
      <c r="G181" s="2" t="s">
        <v>1904</v>
      </c>
      <c r="H181" s="2" t="s">
        <v>577</v>
      </c>
      <c r="I181" s="2" t="s">
        <v>1896</v>
      </c>
      <c r="K181" s="2" t="s">
        <v>1592</v>
      </c>
      <c r="L181" s="2" t="s">
        <v>1593</v>
      </c>
      <c r="M181" s="2" t="s">
        <v>1647</v>
      </c>
      <c r="O181" s="2" t="s">
        <v>1596</v>
      </c>
      <c r="P181" s="2" t="s">
        <v>1897</v>
      </c>
      <c r="Q181" s="2" t="s">
        <v>577</v>
      </c>
      <c r="R181" s="2" t="s">
        <v>577</v>
      </c>
    </row>
    <row r="182" spans="1:18">
      <c r="A182" s="2" t="s">
        <v>1904</v>
      </c>
      <c r="B182" s="2" t="s">
        <v>1917</v>
      </c>
      <c r="C182" s="2" t="s">
        <v>1162</v>
      </c>
      <c r="D182" s="2" t="s">
        <v>780</v>
      </c>
      <c r="E182" s="2" t="s">
        <v>1893</v>
      </c>
      <c r="F182" s="2" t="s">
        <v>1894</v>
      </c>
      <c r="G182" s="2" t="s">
        <v>1904</v>
      </c>
      <c r="H182" s="2" t="s">
        <v>577</v>
      </c>
      <c r="I182" s="2" t="s">
        <v>1896</v>
      </c>
      <c r="K182" s="2" t="s">
        <v>1592</v>
      </c>
      <c r="L182" s="2" t="s">
        <v>1593</v>
      </c>
      <c r="M182" s="2" t="s">
        <v>1647</v>
      </c>
      <c r="O182" s="2" t="s">
        <v>1822</v>
      </c>
      <c r="P182" s="2" t="s">
        <v>1897</v>
      </c>
      <c r="Q182" s="2" t="s">
        <v>577</v>
      </c>
      <c r="R182" s="2" t="s">
        <v>577</v>
      </c>
    </row>
    <row r="183" spans="1:18">
      <c r="A183" s="2" t="s">
        <v>1904</v>
      </c>
      <c r="B183" s="2" t="s">
        <v>1918</v>
      </c>
      <c r="C183" s="2" t="s">
        <v>1174</v>
      </c>
      <c r="D183" s="2" t="s">
        <v>780</v>
      </c>
      <c r="E183" s="2" t="s">
        <v>1893</v>
      </c>
      <c r="F183" s="2" t="s">
        <v>1894</v>
      </c>
      <c r="G183" s="2" t="s">
        <v>1904</v>
      </c>
      <c r="H183" s="2" t="s">
        <v>577</v>
      </c>
      <c r="I183" s="2" t="s">
        <v>1896</v>
      </c>
      <c r="K183" s="2" t="s">
        <v>1592</v>
      </c>
      <c r="L183" s="2" t="s">
        <v>1593</v>
      </c>
      <c r="M183" s="2" t="s">
        <v>1647</v>
      </c>
      <c r="O183" s="2" t="s">
        <v>1596</v>
      </c>
      <c r="P183" s="2" t="s">
        <v>1897</v>
      </c>
      <c r="Q183" s="2" t="s">
        <v>577</v>
      </c>
      <c r="R183" s="2" t="s">
        <v>577</v>
      </c>
    </row>
    <row r="184" spans="1:18">
      <c r="A184" s="2" t="s">
        <v>1919</v>
      </c>
      <c r="B184" s="2" t="s">
        <v>1920</v>
      </c>
      <c r="C184" s="2" t="s">
        <v>1199</v>
      </c>
      <c r="D184" s="2" t="s">
        <v>780</v>
      </c>
      <c r="E184" s="2" t="s">
        <v>1893</v>
      </c>
      <c r="F184" s="2" t="s">
        <v>1894</v>
      </c>
      <c r="G184" s="2" t="s">
        <v>1919</v>
      </c>
      <c r="H184" s="2" t="s">
        <v>588</v>
      </c>
      <c r="I184" s="2" t="s">
        <v>1896</v>
      </c>
      <c r="K184" s="2" t="s">
        <v>1592</v>
      </c>
      <c r="L184" s="2" t="s">
        <v>1593</v>
      </c>
      <c r="M184" s="2" t="s">
        <v>1647</v>
      </c>
      <c r="O184" s="2" t="s">
        <v>1596</v>
      </c>
      <c r="P184" s="2" t="s">
        <v>1897</v>
      </c>
      <c r="Q184" s="2" t="s">
        <v>577</v>
      </c>
      <c r="R184" s="2" t="s">
        <v>577</v>
      </c>
    </row>
    <row r="185" spans="1:18">
      <c r="A185" s="2" t="s">
        <v>1919</v>
      </c>
      <c r="B185" s="2" t="s">
        <v>1921</v>
      </c>
      <c r="C185" s="2" t="s">
        <v>1199</v>
      </c>
      <c r="D185" s="2" t="s">
        <v>780</v>
      </c>
      <c r="E185" s="2" t="s">
        <v>1893</v>
      </c>
      <c r="F185" s="2" t="s">
        <v>1894</v>
      </c>
      <c r="G185" s="2" t="s">
        <v>1919</v>
      </c>
      <c r="H185" s="2" t="s">
        <v>577</v>
      </c>
      <c r="I185" s="2" t="s">
        <v>1896</v>
      </c>
      <c r="K185" s="2" t="s">
        <v>1592</v>
      </c>
      <c r="L185" s="2" t="s">
        <v>1593</v>
      </c>
      <c r="M185" s="2" t="s">
        <v>1647</v>
      </c>
      <c r="O185" s="2" t="s">
        <v>1596</v>
      </c>
      <c r="P185" s="2" t="s">
        <v>1897</v>
      </c>
      <c r="Q185" s="2" t="s">
        <v>577</v>
      </c>
      <c r="R185" s="2" t="s">
        <v>577</v>
      </c>
    </row>
    <row r="186" spans="1:18">
      <c r="A186" s="2" t="s">
        <v>1919</v>
      </c>
      <c r="B186" s="2" t="s">
        <v>1922</v>
      </c>
      <c r="C186" s="2" t="s">
        <v>1199</v>
      </c>
      <c r="D186" s="2" t="s">
        <v>780</v>
      </c>
      <c r="E186" s="2" t="s">
        <v>1893</v>
      </c>
      <c r="F186" s="2" t="s">
        <v>1894</v>
      </c>
      <c r="G186" s="2" t="s">
        <v>1919</v>
      </c>
      <c r="H186" s="2" t="s">
        <v>577</v>
      </c>
      <c r="I186" s="2" t="s">
        <v>1896</v>
      </c>
      <c r="K186" s="2" t="s">
        <v>1592</v>
      </c>
      <c r="L186" s="2" t="s">
        <v>1593</v>
      </c>
      <c r="M186" s="2" t="s">
        <v>1647</v>
      </c>
      <c r="O186" s="2" t="s">
        <v>1596</v>
      </c>
      <c r="P186" s="2" t="s">
        <v>1897</v>
      </c>
      <c r="Q186" s="2" t="s">
        <v>577</v>
      </c>
      <c r="R186" s="2" t="s">
        <v>577</v>
      </c>
    </row>
    <row r="187" spans="1:18">
      <c r="A187" s="2" t="s">
        <v>1919</v>
      </c>
      <c r="B187" s="2" t="s">
        <v>1923</v>
      </c>
      <c r="C187" s="2" t="s">
        <v>1188</v>
      </c>
      <c r="D187" s="2" t="s">
        <v>780</v>
      </c>
      <c r="E187" s="2" t="s">
        <v>1893</v>
      </c>
      <c r="F187" s="2" t="s">
        <v>1894</v>
      </c>
      <c r="G187" s="2" t="s">
        <v>1919</v>
      </c>
      <c r="H187" s="2" t="s">
        <v>577</v>
      </c>
      <c r="I187" s="2" t="s">
        <v>1896</v>
      </c>
      <c r="K187" s="2" t="s">
        <v>1592</v>
      </c>
      <c r="L187" s="2" t="s">
        <v>1593</v>
      </c>
      <c r="M187" s="2" t="s">
        <v>1647</v>
      </c>
      <c r="O187" s="2" t="s">
        <v>1822</v>
      </c>
      <c r="P187" s="2" t="s">
        <v>1897</v>
      </c>
      <c r="Q187" s="2" t="s">
        <v>577</v>
      </c>
      <c r="R187" s="2" t="s">
        <v>577</v>
      </c>
    </row>
    <row r="188" spans="1:18">
      <c r="A188" s="2" t="s">
        <v>1919</v>
      </c>
      <c r="B188" s="2" t="s">
        <v>1924</v>
      </c>
      <c r="C188" s="2" t="s">
        <v>1199</v>
      </c>
      <c r="D188" s="2" t="s">
        <v>780</v>
      </c>
      <c r="E188" s="2" t="s">
        <v>1893</v>
      </c>
      <c r="F188" s="2" t="s">
        <v>1894</v>
      </c>
      <c r="G188" s="2" t="s">
        <v>1919</v>
      </c>
      <c r="H188" s="2" t="s">
        <v>577</v>
      </c>
      <c r="I188" s="2" t="s">
        <v>1896</v>
      </c>
      <c r="K188" s="2" t="s">
        <v>1592</v>
      </c>
      <c r="L188" s="2" t="s">
        <v>1593</v>
      </c>
      <c r="M188" s="2" t="s">
        <v>1647</v>
      </c>
      <c r="O188" s="2" t="s">
        <v>1596</v>
      </c>
      <c r="P188" s="2" t="s">
        <v>1897</v>
      </c>
      <c r="Q188" s="2" t="s">
        <v>577</v>
      </c>
      <c r="R188" s="2" t="s">
        <v>577</v>
      </c>
    </row>
    <row r="189" spans="1:18">
      <c r="A189" s="2" t="s">
        <v>1919</v>
      </c>
      <c r="B189" s="2" t="s">
        <v>1925</v>
      </c>
      <c r="C189" s="2" t="s">
        <v>1171</v>
      </c>
      <c r="D189" s="2" t="s">
        <v>780</v>
      </c>
      <c r="E189" s="2" t="s">
        <v>1893</v>
      </c>
      <c r="F189" s="2" t="s">
        <v>1894</v>
      </c>
      <c r="G189" s="2" t="s">
        <v>1919</v>
      </c>
      <c r="H189" s="2" t="s">
        <v>588</v>
      </c>
      <c r="I189" s="2" t="s">
        <v>1896</v>
      </c>
      <c r="K189" s="2" t="s">
        <v>1592</v>
      </c>
      <c r="L189" s="2" t="s">
        <v>1593</v>
      </c>
      <c r="M189" s="2" t="s">
        <v>1647</v>
      </c>
      <c r="O189" s="2" t="s">
        <v>1596</v>
      </c>
      <c r="P189" s="2" t="s">
        <v>1897</v>
      </c>
      <c r="Q189" s="2" t="s">
        <v>577</v>
      </c>
      <c r="R189" s="2" t="s">
        <v>577</v>
      </c>
    </row>
    <row r="190" spans="1:18">
      <c r="A190" s="2" t="s">
        <v>1919</v>
      </c>
      <c r="B190" s="2" t="s">
        <v>1926</v>
      </c>
      <c r="C190" s="2" t="s">
        <v>1171</v>
      </c>
      <c r="D190" s="2" t="s">
        <v>780</v>
      </c>
      <c r="E190" s="2" t="s">
        <v>1893</v>
      </c>
      <c r="F190" s="2" t="s">
        <v>1894</v>
      </c>
      <c r="G190" s="2" t="s">
        <v>1919</v>
      </c>
      <c r="H190" s="2" t="s">
        <v>577</v>
      </c>
      <c r="I190" s="2" t="s">
        <v>1896</v>
      </c>
      <c r="K190" s="2" t="s">
        <v>1592</v>
      </c>
      <c r="L190" s="2" t="s">
        <v>1593</v>
      </c>
      <c r="M190" s="2" t="s">
        <v>1647</v>
      </c>
      <c r="O190" s="2" t="s">
        <v>1596</v>
      </c>
      <c r="P190" s="2" t="s">
        <v>1897</v>
      </c>
      <c r="Q190" s="2" t="s">
        <v>577</v>
      </c>
      <c r="R190" s="2" t="s">
        <v>577</v>
      </c>
    </row>
    <row r="191" spans="1:18">
      <c r="A191" s="2" t="s">
        <v>1919</v>
      </c>
      <c r="B191" s="2" t="s">
        <v>1927</v>
      </c>
      <c r="C191" s="2" t="s">
        <v>1171</v>
      </c>
      <c r="D191" s="2" t="s">
        <v>780</v>
      </c>
      <c r="E191" s="2" t="s">
        <v>1893</v>
      </c>
      <c r="F191" s="2" t="s">
        <v>1894</v>
      </c>
      <c r="G191" s="2" t="s">
        <v>1919</v>
      </c>
      <c r="H191" s="2" t="s">
        <v>577</v>
      </c>
      <c r="I191" s="2" t="s">
        <v>1896</v>
      </c>
      <c r="K191" s="2" t="s">
        <v>1592</v>
      </c>
      <c r="L191" s="2" t="s">
        <v>1593</v>
      </c>
      <c r="M191" s="2" t="s">
        <v>1647</v>
      </c>
      <c r="O191" s="2" t="s">
        <v>1596</v>
      </c>
      <c r="P191" s="2" t="s">
        <v>1897</v>
      </c>
      <c r="Q191" s="2" t="s">
        <v>577</v>
      </c>
      <c r="R191" s="2" t="s">
        <v>577</v>
      </c>
    </row>
    <row r="192" spans="1:18">
      <c r="A192" s="2" t="s">
        <v>1919</v>
      </c>
      <c r="B192" s="2" t="s">
        <v>1928</v>
      </c>
      <c r="C192" s="2" t="s">
        <v>1167</v>
      </c>
      <c r="D192" s="2" t="s">
        <v>780</v>
      </c>
      <c r="E192" s="2" t="s">
        <v>1893</v>
      </c>
      <c r="F192" s="2" t="s">
        <v>1894</v>
      </c>
      <c r="G192" s="2" t="s">
        <v>1919</v>
      </c>
      <c r="H192" s="2" t="s">
        <v>577</v>
      </c>
      <c r="I192" s="2" t="s">
        <v>1896</v>
      </c>
      <c r="K192" s="2" t="s">
        <v>1592</v>
      </c>
      <c r="L192" s="2" t="s">
        <v>1593</v>
      </c>
      <c r="M192" s="2" t="s">
        <v>1647</v>
      </c>
      <c r="O192" s="2" t="s">
        <v>1822</v>
      </c>
      <c r="P192" s="2" t="s">
        <v>1897</v>
      </c>
      <c r="Q192" s="2" t="s">
        <v>577</v>
      </c>
      <c r="R192" s="2" t="s">
        <v>577</v>
      </c>
    </row>
    <row r="193" spans="1:18">
      <c r="A193" s="2" t="s">
        <v>1919</v>
      </c>
      <c r="B193" s="2" t="s">
        <v>1929</v>
      </c>
      <c r="C193" s="2" t="s">
        <v>1171</v>
      </c>
      <c r="D193" s="2" t="s">
        <v>780</v>
      </c>
      <c r="E193" s="2" t="s">
        <v>1893</v>
      </c>
      <c r="F193" s="2" t="s">
        <v>1894</v>
      </c>
      <c r="G193" s="2" t="s">
        <v>1919</v>
      </c>
      <c r="H193" s="2" t="s">
        <v>577</v>
      </c>
      <c r="I193" s="2" t="s">
        <v>1896</v>
      </c>
      <c r="K193" s="2" t="s">
        <v>1592</v>
      </c>
      <c r="L193" s="2" t="s">
        <v>1593</v>
      </c>
      <c r="M193" s="2" t="s">
        <v>1647</v>
      </c>
      <c r="O193" s="2" t="s">
        <v>1596</v>
      </c>
      <c r="P193" s="2" t="s">
        <v>1897</v>
      </c>
      <c r="Q193" s="2" t="s">
        <v>577</v>
      </c>
      <c r="R193" s="2" t="s">
        <v>577</v>
      </c>
    </row>
    <row r="194" spans="1:18">
      <c r="A194" s="2" t="s">
        <v>1895</v>
      </c>
      <c r="B194" s="2" t="s">
        <v>536</v>
      </c>
      <c r="C194" s="2" t="s">
        <v>1197</v>
      </c>
      <c r="D194" s="2" t="s">
        <v>780</v>
      </c>
      <c r="E194" s="2" t="s">
        <v>1893</v>
      </c>
      <c r="F194" s="2" t="s">
        <v>1894</v>
      </c>
      <c r="G194" s="2" t="s">
        <v>1895</v>
      </c>
      <c r="H194" s="2" t="s">
        <v>577</v>
      </c>
      <c r="I194" s="2" t="s">
        <v>1896</v>
      </c>
      <c r="K194" s="2" t="s">
        <v>1592</v>
      </c>
      <c r="L194" s="2" t="s">
        <v>1593</v>
      </c>
      <c r="M194" s="2" t="s">
        <v>1647</v>
      </c>
      <c r="O194" s="2" t="s">
        <v>1596</v>
      </c>
      <c r="P194" s="2" t="s">
        <v>1897</v>
      </c>
      <c r="Q194" s="2" t="s">
        <v>577</v>
      </c>
      <c r="R194" s="2" t="s">
        <v>577</v>
      </c>
    </row>
    <row r="195" spans="2:18">
      <c r="B195" s="2" t="s">
        <v>1930</v>
      </c>
      <c r="C195" s="2" t="s">
        <v>1189</v>
      </c>
      <c r="D195" s="2" t="s">
        <v>780</v>
      </c>
      <c r="E195" s="2" t="s">
        <v>1893</v>
      </c>
      <c r="F195" s="2" t="s">
        <v>1894</v>
      </c>
      <c r="G195" s="2" t="s">
        <v>1895</v>
      </c>
      <c r="H195" s="2" t="s">
        <v>577</v>
      </c>
      <c r="I195" s="2" t="s">
        <v>1896</v>
      </c>
      <c r="K195" s="2" t="s">
        <v>1592</v>
      </c>
      <c r="L195" s="2" t="s">
        <v>1593</v>
      </c>
      <c r="M195" s="2" t="s">
        <v>1647</v>
      </c>
      <c r="P195" s="2" t="s">
        <v>1897</v>
      </c>
      <c r="Q195" s="2" t="s">
        <v>577</v>
      </c>
      <c r="R195" s="2" t="s">
        <v>577</v>
      </c>
    </row>
    <row r="196" spans="2:18">
      <c r="B196" s="2" t="s">
        <v>1931</v>
      </c>
      <c r="C196" s="2" t="s">
        <v>1185</v>
      </c>
      <c r="D196" s="2" t="s">
        <v>780</v>
      </c>
      <c r="E196" s="2" t="s">
        <v>1893</v>
      </c>
      <c r="F196" s="2" t="s">
        <v>1894</v>
      </c>
      <c r="G196" s="2" t="s">
        <v>1895</v>
      </c>
      <c r="H196" s="2" t="s">
        <v>577</v>
      </c>
      <c r="I196" s="2" t="s">
        <v>1896</v>
      </c>
      <c r="K196" s="2" t="s">
        <v>1592</v>
      </c>
      <c r="L196" s="2" t="s">
        <v>1593</v>
      </c>
      <c r="M196" s="2" t="s">
        <v>1647</v>
      </c>
      <c r="O196" s="2" t="s">
        <v>1834</v>
      </c>
      <c r="P196" s="2" t="s">
        <v>1897</v>
      </c>
      <c r="Q196" s="2" t="s">
        <v>577</v>
      </c>
      <c r="R196" s="2" t="s">
        <v>577</v>
      </c>
    </row>
    <row r="197" spans="1:18">
      <c r="A197" s="2" t="s">
        <v>1904</v>
      </c>
      <c r="B197" s="2" t="s">
        <v>1932</v>
      </c>
      <c r="C197" s="2" t="s">
        <v>1200</v>
      </c>
      <c r="D197" s="2" t="s">
        <v>780</v>
      </c>
      <c r="E197" s="2" t="s">
        <v>1893</v>
      </c>
      <c r="F197" s="2" t="s">
        <v>1894</v>
      </c>
      <c r="G197" s="2" t="s">
        <v>1904</v>
      </c>
      <c r="H197" s="2" t="s">
        <v>577</v>
      </c>
      <c r="I197" s="2" t="s">
        <v>1896</v>
      </c>
      <c r="K197" s="2" t="s">
        <v>1592</v>
      </c>
      <c r="L197" s="2" t="s">
        <v>1593</v>
      </c>
      <c r="M197" s="2" t="s">
        <v>1647</v>
      </c>
      <c r="O197" s="2" t="s">
        <v>1596</v>
      </c>
      <c r="P197" s="2" t="s">
        <v>1897</v>
      </c>
      <c r="Q197" s="2" t="s">
        <v>577</v>
      </c>
      <c r="R197" s="2" t="s">
        <v>577</v>
      </c>
    </row>
    <row r="198" spans="1:18">
      <c r="A198" s="2" t="s">
        <v>1895</v>
      </c>
      <c r="B198" s="2" t="s">
        <v>168</v>
      </c>
      <c r="C198" s="2" t="s">
        <v>1172</v>
      </c>
      <c r="D198" s="2" t="s">
        <v>780</v>
      </c>
      <c r="E198" s="2" t="s">
        <v>362</v>
      </c>
      <c r="F198" s="2" t="s">
        <v>1933</v>
      </c>
      <c r="G198" s="2" t="s">
        <v>1895</v>
      </c>
      <c r="H198" s="2" t="s">
        <v>577</v>
      </c>
      <c r="I198" s="2" t="s">
        <v>1896</v>
      </c>
      <c r="K198" s="2" t="s">
        <v>1592</v>
      </c>
      <c r="L198" s="2" t="s">
        <v>1593</v>
      </c>
      <c r="M198" s="2" t="s">
        <v>1647</v>
      </c>
      <c r="O198" s="2" t="s">
        <v>1596</v>
      </c>
      <c r="P198" s="2" t="s">
        <v>1897</v>
      </c>
      <c r="Q198" s="2" t="s">
        <v>577</v>
      </c>
      <c r="R198" s="2" t="s">
        <v>577</v>
      </c>
    </row>
    <row r="199" spans="1:18">
      <c r="A199" s="2" t="s">
        <v>1895</v>
      </c>
      <c r="B199" s="2" t="s">
        <v>1934</v>
      </c>
      <c r="C199" s="2" t="s">
        <v>1160</v>
      </c>
      <c r="D199" s="2" t="s">
        <v>780</v>
      </c>
      <c r="E199" s="2" t="s">
        <v>362</v>
      </c>
      <c r="F199" s="2" t="s">
        <v>1933</v>
      </c>
      <c r="G199" s="2" t="s">
        <v>1895</v>
      </c>
      <c r="H199" s="2" t="s">
        <v>577</v>
      </c>
      <c r="I199" s="2" t="s">
        <v>1896</v>
      </c>
      <c r="K199" s="2" t="s">
        <v>1592</v>
      </c>
      <c r="L199" s="2" t="s">
        <v>1593</v>
      </c>
      <c r="M199" s="2" t="s">
        <v>1647</v>
      </c>
      <c r="O199" s="2" t="s">
        <v>1822</v>
      </c>
      <c r="P199" s="2" t="s">
        <v>1897</v>
      </c>
      <c r="Q199" s="2" t="s">
        <v>577</v>
      </c>
      <c r="R199" s="2" t="s">
        <v>577</v>
      </c>
    </row>
    <row r="200" spans="1:18">
      <c r="A200" s="2" t="s">
        <v>1895</v>
      </c>
      <c r="B200" s="2" t="s">
        <v>1935</v>
      </c>
      <c r="C200" s="2" t="s">
        <v>1168</v>
      </c>
      <c r="D200" s="2" t="s">
        <v>780</v>
      </c>
      <c r="E200" s="2" t="s">
        <v>362</v>
      </c>
      <c r="F200" s="2" t="s">
        <v>1933</v>
      </c>
      <c r="G200" s="2" t="s">
        <v>1895</v>
      </c>
      <c r="H200" s="2" t="s">
        <v>577</v>
      </c>
      <c r="I200" s="2" t="s">
        <v>1896</v>
      </c>
      <c r="K200" s="2" t="s">
        <v>1592</v>
      </c>
      <c r="L200" s="2" t="s">
        <v>1593</v>
      </c>
      <c r="M200" s="2" t="s">
        <v>1647</v>
      </c>
      <c r="O200" s="2" t="s">
        <v>1720</v>
      </c>
      <c r="P200" s="2" t="s">
        <v>1897</v>
      </c>
      <c r="Q200" s="2" t="s">
        <v>577</v>
      </c>
      <c r="R200" s="2" t="s">
        <v>577</v>
      </c>
    </row>
    <row r="201" spans="1:18">
      <c r="A201" s="2" t="s">
        <v>1895</v>
      </c>
      <c r="B201" s="2" t="s">
        <v>1936</v>
      </c>
      <c r="C201" s="2" t="s">
        <v>1151</v>
      </c>
      <c r="D201" s="2" t="s">
        <v>780</v>
      </c>
      <c r="E201" s="2" t="s">
        <v>362</v>
      </c>
      <c r="F201" s="2" t="s">
        <v>1933</v>
      </c>
      <c r="G201" s="2" t="s">
        <v>1895</v>
      </c>
      <c r="H201" s="2" t="s">
        <v>577</v>
      </c>
      <c r="I201" s="2" t="s">
        <v>1896</v>
      </c>
      <c r="K201" s="2" t="s">
        <v>1592</v>
      </c>
      <c r="L201" s="2" t="s">
        <v>1593</v>
      </c>
      <c r="M201" s="2" t="s">
        <v>1647</v>
      </c>
      <c r="P201" s="2" t="s">
        <v>1897</v>
      </c>
      <c r="Q201" s="2" t="s">
        <v>577</v>
      </c>
      <c r="R201" s="2" t="s">
        <v>577</v>
      </c>
    </row>
    <row r="202" spans="1:18">
      <c r="A202" s="2" t="s">
        <v>1895</v>
      </c>
      <c r="B202" s="2" t="s">
        <v>1937</v>
      </c>
      <c r="C202" s="2" t="s">
        <v>1164</v>
      </c>
      <c r="D202" s="2" t="s">
        <v>780</v>
      </c>
      <c r="E202" s="2" t="s">
        <v>362</v>
      </c>
      <c r="F202" s="2" t="s">
        <v>1933</v>
      </c>
      <c r="G202" s="2" t="s">
        <v>1895</v>
      </c>
      <c r="H202" s="2" t="s">
        <v>577</v>
      </c>
      <c r="I202" s="2" t="s">
        <v>1896</v>
      </c>
      <c r="K202" s="2" t="s">
        <v>1592</v>
      </c>
      <c r="L202" s="2" t="s">
        <v>1593</v>
      </c>
      <c r="M202" s="2" t="s">
        <v>1647</v>
      </c>
      <c r="P202" s="2" t="s">
        <v>1897</v>
      </c>
      <c r="Q202" s="2" t="s">
        <v>577</v>
      </c>
      <c r="R202" s="2" t="s">
        <v>577</v>
      </c>
    </row>
    <row r="203" spans="1:18">
      <c r="A203" s="2" t="s">
        <v>1904</v>
      </c>
      <c r="B203" s="2" t="s">
        <v>1938</v>
      </c>
      <c r="C203" s="2" t="s">
        <v>1174</v>
      </c>
      <c r="D203" s="2" t="s">
        <v>780</v>
      </c>
      <c r="E203" s="2" t="s">
        <v>362</v>
      </c>
      <c r="F203" s="2" t="s">
        <v>1933</v>
      </c>
      <c r="G203" s="2" t="s">
        <v>1904</v>
      </c>
      <c r="H203" s="2" t="s">
        <v>577</v>
      </c>
      <c r="I203" s="2" t="s">
        <v>1896</v>
      </c>
      <c r="K203" s="2" t="s">
        <v>1592</v>
      </c>
      <c r="L203" s="2" t="s">
        <v>1593</v>
      </c>
      <c r="M203" s="2" t="s">
        <v>1647</v>
      </c>
      <c r="O203" s="2" t="s">
        <v>1596</v>
      </c>
      <c r="P203" s="2" t="s">
        <v>1897</v>
      </c>
      <c r="Q203" s="2" t="s">
        <v>577</v>
      </c>
      <c r="R203" s="2" t="s">
        <v>577</v>
      </c>
    </row>
    <row r="204" spans="1:18">
      <c r="A204" s="2" t="s">
        <v>1904</v>
      </c>
      <c r="B204" s="2" t="s">
        <v>1939</v>
      </c>
      <c r="C204" s="2" t="s">
        <v>1162</v>
      </c>
      <c r="D204" s="2" t="s">
        <v>780</v>
      </c>
      <c r="E204" s="2" t="s">
        <v>362</v>
      </c>
      <c r="F204" s="2" t="s">
        <v>1933</v>
      </c>
      <c r="G204" s="2" t="s">
        <v>1904</v>
      </c>
      <c r="H204" s="2" t="s">
        <v>577</v>
      </c>
      <c r="I204" s="2" t="s">
        <v>1896</v>
      </c>
      <c r="K204" s="2" t="s">
        <v>1592</v>
      </c>
      <c r="L204" s="2" t="s">
        <v>1593</v>
      </c>
      <c r="M204" s="2" t="s">
        <v>1647</v>
      </c>
      <c r="O204" s="2" t="s">
        <v>1822</v>
      </c>
      <c r="P204" s="2" t="s">
        <v>1897</v>
      </c>
      <c r="Q204" s="2" t="s">
        <v>577</v>
      </c>
      <c r="R204" s="2" t="s">
        <v>577</v>
      </c>
    </row>
    <row r="205" spans="1:18">
      <c r="A205" s="2" t="s">
        <v>1904</v>
      </c>
      <c r="B205" s="2" t="s">
        <v>1940</v>
      </c>
      <c r="C205" s="2" t="s">
        <v>1170</v>
      </c>
      <c r="D205" s="2" t="s">
        <v>780</v>
      </c>
      <c r="E205" s="2" t="s">
        <v>362</v>
      </c>
      <c r="F205" s="2" t="s">
        <v>1933</v>
      </c>
      <c r="G205" s="2" t="s">
        <v>1904</v>
      </c>
      <c r="H205" s="2" t="s">
        <v>577</v>
      </c>
      <c r="I205" s="2" t="s">
        <v>1896</v>
      </c>
      <c r="K205" s="2" t="s">
        <v>1592</v>
      </c>
      <c r="L205" s="2" t="s">
        <v>1593</v>
      </c>
      <c r="M205" s="2" t="s">
        <v>1647</v>
      </c>
      <c r="O205" s="2" t="s">
        <v>1720</v>
      </c>
      <c r="P205" s="2" t="s">
        <v>1897</v>
      </c>
      <c r="Q205" s="2" t="s">
        <v>577</v>
      </c>
      <c r="R205" s="2" t="s">
        <v>577</v>
      </c>
    </row>
    <row r="206" spans="1:18">
      <c r="A206" s="2" t="s">
        <v>1904</v>
      </c>
      <c r="B206" s="2" t="s">
        <v>1941</v>
      </c>
      <c r="C206" s="2" t="s">
        <v>1154</v>
      </c>
      <c r="D206" s="2" t="s">
        <v>780</v>
      </c>
      <c r="E206" s="2" t="s">
        <v>362</v>
      </c>
      <c r="F206" s="2" t="s">
        <v>1933</v>
      </c>
      <c r="G206" s="2" t="s">
        <v>1904</v>
      </c>
      <c r="H206" s="2" t="s">
        <v>577</v>
      </c>
      <c r="I206" s="2" t="s">
        <v>1896</v>
      </c>
      <c r="K206" s="2" t="s">
        <v>1592</v>
      </c>
      <c r="L206" s="2" t="s">
        <v>1593</v>
      </c>
      <c r="M206" s="2" t="s">
        <v>1647</v>
      </c>
      <c r="P206" s="2" t="s">
        <v>1897</v>
      </c>
      <c r="Q206" s="2" t="s">
        <v>577</v>
      </c>
      <c r="R206" s="2" t="s">
        <v>577</v>
      </c>
    </row>
    <row r="207" spans="1:18">
      <c r="A207" s="2" t="s">
        <v>1904</v>
      </c>
      <c r="B207" s="2" t="s">
        <v>1942</v>
      </c>
      <c r="C207" s="2" t="s">
        <v>1166</v>
      </c>
      <c r="D207" s="2" t="s">
        <v>780</v>
      </c>
      <c r="E207" s="2" t="s">
        <v>362</v>
      </c>
      <c r="F207" s="2" t="s">
        <v>1933</v>
      </c>
      <c r="G207" s="2" t="s">
        <v>1904</v>
      </c>
      <c r="H207" s="2" t="s">
        <v>577</v>
      </c>
      <c r="I207" s="2" t="s">
        <v>1896</v>
      </c>
      <c r="K207" s="2" t="s">
        <v>1592</v>
      </c>
      <c r="L207" s="2" t="s">
        <v>1593</v>
      </c>
      <c r="M207" s="2" t="s">
        <v>1647</v>
      </c>
      <c r="P207" s="2" t="s">
        <v>1897</v>
      </c>
      <c r="Q207" s="2" t="s">
        <v>577</v>
      </c>
      <c r="R207" s="2" t="s">
        <v>577</v>
      </c>
    </row>
    <row r="208" spans="1:18">
      <c r="A208" s="2" t="s">
        <v>1919</v>
      </c>
      <c r="B208" s="2" t="s">
        <v>1943</v>
      </c>
      <c r="C208" s="2" t="s">
        <v>1199</v>
      </c>
      <c r="D208" s="2" t="s">
        <v>780</v>
      </c>
      <c r="E208" s="2" t="s">
        <v>362</v>
      </c>
      <c r="F208" s="2" t="s">
        <v>1933</v>
      </c>
      <c r="G208" s="2" t="s">
        <v>1919</v>
      </c>
      <c r="H208" s="2" t="s">
        <v>577</v>
      </c>
      <c r="I208" s="2" t="s">
        <v>1896</v>
      </c>
      <c r="K208" s="2" t="s">
        <v>1592</v>
      </c>
      <c r="L208" s="2" t="s">
        <v>1593</v>
      </c>
      <c r="M208" s="2" t="s">
        <v>1647</v>
      </c>
      <c r="O208" s="2" t="s">
        <v>1596</v>
      </c>
      <c r="P208" s="2" t="s">
        <v>1897</v>
      </c>
      <c r="Q208" s="2" t="s">
        <v>577</v>
      </c>
      <c r="R208" s="2" t="s">
        <v>577</v>
      </c>
    </row>
    <row r="209" spans="1:18">
      <c r="A209" s="2" t="s">
        <v>1919</v>
      </c>
      <c r="B209" s="2" t="s">
        <v>1944</v>
      </c>
      <c r="C209" s="2" t="s">
        <v>1163</v>
      </c>
      <c r="D209" s="2" t="s">
        <v>780</v>
      </c>
      <c r="E209" s="2" t="s">
        <v>362</v>
      </c>
      <c r="F209" s="2" t="s">
        <v>1933</v>
      </c>
      <c r="G209" s="2" t="s">
        <v>1919</v>
      </c>
      <c r="H209" s="2" t="s">
        <v>577</v>
      </c>
      <c r="I209" s="2" t="s">
        <v>1896</v>
      </c>
      <c r="K209" s="2" t="s">
        <v>1592</v>
      </c>
      <c r="L209" s="2" t="s">
        <v>1593</v>
      </c>
      <c r="M209" s="2" t="s">
        <v>1647</v>
      </c>
      <c r="O209" s="2" t="s">
        <v>1822</v>
      </c>
      <c r="P209" s="2" t="s">
        <v>1897</v>
      </c>
      <c r="Q209" s="2" t="s">
        <v>577</v>
      </c>
      <c r="R209" s="2" t="s">
        <v>577</v>
      </c>
    </row>
    <row r="210" spans="1:18">
      <c r="A210" s="2" t="s">
        <v>1919</v>
      </c>
      <c r="B210" s="2" t="s">
        <v>1945</v>
      </c>
      <c r="C210" s="2" t="s">
        <v>1171</v>
      </c>
      <c r="D210" s="2" t="s">
        <v>780</v>
      </c>
      <c r="E210" s="2" t="s">
        <v>362</v>
      </c>
      <c r="F210" s="2" t="s">
        <v>1933</v>
      </c>
      <c r="G210" s="2" t="s">
        <v>1919</v>
      </c>
      <c r="H210" s="2" t="s">
        <v>577</v>
      </c>
      <c r="I210" s="2" t="s">
        <v>1896</v>
      </c>
      <c r="K210" s="2" t="s">
        <v>1592</v>
      </c>
      <c r="L210" s="2" t="s">
        <v>1593</v>
      </c>
      <c r="M210" s="2" t="s">
        <v>1647</v>
      </c>
      <c r="O210" s="2" t="s">
        <v>1720</v>
      </c>
      <c r="P210" s="2" t="s">
        <v>1897</v>
      </c>
      <c r="Q210" s="2" t="s">
        <v>577</v>
      </c>
      <c r="R210" s="2" t="s">
        <v>577</v>
      </c>
    </row>
    <row r="211" spans="1:18">
      <c r="A211" s="2" t="s">
        <v>1919</v>
      </c>
      <c r="B211" s="2" t="s">
        <v>1946</v>
      </c>
      <c r="C211" s="2" t="s">
        <v>1155</v>
      </c>
      <c r="D211" s="2" t="s">
        <v>780</v>
      </c>
      <c r="E211" s="2" t="s">
        <v>362</v>
      </c>
      <c r="F211" s="2" t="s">
        <v>1933</v>
      </c>
      <c r="G211" s="2" t="s">
        <v>1919</v>
      </c>
      <c r="H211" s="2" t="s">
        <v>577</v>
      </c>
      <c r="I211" s="2" t="s">
        <v>1896</v>
      </c>
      <c r="K211" s="2" t="s">
        <v>1592</v>
      </c>
      <c r="L211" s="2" t="s">
        <v>1593</v>
      </c>
      <c r="M211" s="2" t="s">
        <v>1647</v>
      </c>
      <c r="P211" s="2" t="s">
        <v>1897</v>
      </c>
      <c r="Q211" s="2" t="s">
        <v>577</v>
      </c>
      <c r="R211" s="2" t="s">
        <v>577</v>
      </c>
    </row>
    <row r="212" spans="1:18">
      <c r="A212" s="2" t="s">
        <v>1919</v>
      </c>
      <c r="B212" s="2" t="s">
        <v>1947</v>
      </c>
      <c r="C212" s="2" t="s">
        <v>1167</v>
      </c>
      <c r="D212" s="2" t="s">
        <v>780</v>
      </c>
      <c r="E212" s="2" t="s">
        <v>362</v>
      </c>
      <c r="F212" s="2" t="s">
        <v>1933</v>
      </c>
      <c r="G212" s="2" t="s">
        <v>1919</v>
      </c>
      <c r="H212" s="2" t="s">
        <v>577</v>
      </c>
      <c r="I212" s="2" t="s">
        <v>1896</v>
      </c>
      <c r="K212" s="2" t="s">
        <v>1592</v>
      </c>
      <c r="L212" s="2" t="s">
        <v>1593</v>
      </c>
      <c r="M212" s="2" t="s">
        <v>1647</v>
      </c>
      <c r="P212" s="2" t="s">
        <v>1897</v>
      </c>
      <c r="Q212" s="2" t="s">
        <v>577</v>
      </c>
      <c r="R212" s="2" t="s">
        <v>577</v>
      </c>
    </row>
    <row r="213" spans="1:18">
      <c r="A213" s="2" t="s">
        <v>1895</v>
      </c>
      <c r="B213" s="2" t="s">
        <v>1948</v>
      </c>
      <c r="C213" s="2" t="s">
        <v>1193</v>
      </c>
      <c r="D213" s="2" t="s">
        <v>780</v>
      </c>
      <c r="E213" s="2" t="s">
        <v>1893</v>
      </c>
      <c r="F213" s="2" t="s">
        <v>1894</v>
      </c>
      <c r="G213" s="2" t="s">
        <v>1895</v>
      </c>
      <c r="H213" s="2" t="s">
        <v>577</v>
      </c>
      <c r="I213" s="2" t="s">
        <v>1896</v>
      </c>
      <c r="K213" s="2" t="s">
        <v>1592</v>
      </c>
      <c r="L213" s="2" t="s">
        <v>1593</v>
      </c>
      <c r="M213" s="2" t="s">
        <v>1647</v>
      </c>
      <c r="O213" s="2" t="s">
        <v>1720</v>
      </c>
      <c r="P213" s="2" t="s">
        <v>1897</v>
      </c>
      <c r="Q213" s="2" t="s">
        <v>577</v>
      </c>
      <c r="R213" s="2" t="s">
        <v>577</v>
      </c>
    </row>
    <row r="214" spans="1:18">
      <c r="A214" s="2" t="s">
        <v>1895</v>
      </c>
      <c r="B214" s="2" t="s">
        <v>1949</v>
      </c>
      <c r="C214" s="2" t="s">
        <v>1197</v>
      </c>
      <c r="D214" s="2" t="s">
        <v>780</v>
      </c>
      <c r="E214" s="2" t="s">
        <v>1893</v>
      </c>
      <c r="F214" s="2" t="s">
        <v>1894</v>
      </c>
      <c r="G214" s="2" t="s">
        <v>1895</v>
      </c>
      <c r="H214" s="2" t="s">
        <v>588</v>
      </c>
      <c r="I214" s="2" t="s">
        <v>1896</v>
      </c>
      <c r="K214" s="2" t="s">
        <v>1592</v>
      </c>
      <c r="L214" s="2" t="s">
        <v>1593</v>
      </c>
      <c r="M214" s="2" t="s">
        <v>1647</v>
      </c>
      <c r="O214" s="2" t="s">
        <v>1596</v>
      </c>
      <c r="P214" s="2" t="s">
        <v>1897</v>
      </c>
      <c r="Q214" s="2" t="s">
        <v>577</v>
      </c>
      <c r="R214" s="2" t="s">
        <v>577</v>
      </c>
    </row>
    <row r="215" spans="1:18">
      <c r="A215" s="2" t="s">
        <v>1895</v>
      </c>
      <c r="B215" s="2" t="s">
        <v>1950</v>
      </c>
      <c r="C215" s="2" t="s">
        <v>1197</v>
      </c>
      <c r="D215" s="2" t="s">
        <v>780</v>
      </c>
      <c r="E215" s="2" t="s">
        <v>1893</v>
      </c>
      <c r="F215" s="2" t="s">
        <v>1894</v>
      </c>
      <c r="G215" s="2" t="s">
        <v>1895</v>
      </c>
      <c r="H215" s="2" t="s">
        <v>577</v>
      </c>
      <c r="I215" s="2" t="s">
        <v>1896</v>
      </c>
      <c r="K215" s="2" t="s">
        <v>1592</v>
      </c>
      <c r="L215" s="2" t="s">
        <v>1593</v>
      </c>
      <c r="M215" s="2" t="s">
        <v>1647</v>
      </c>
      <c r="O215" s="2" t="s">
        <v>1596</v>
      </c>
      <c r="P215" s="2" t="s">
        <v>1897</v>
      </c>
      <c r="Q215" s="2" t="s">
        <v>577</v>
      </c>
      <c r="R215" s="2" t="s">
        <v>577</v>
      </c>
    </row>
    <row r="216" spans="1:18">
      <c r="A216" s="2" t="s">
        <v>1895</v>
      </c>
      <c r="B216" s="2" t="s">
        <v>1951</v>
      </c>
      <c r="C216" s="2" t="s">
        <v>1197</v>
      </c>
      <c r="D216" s="2" t="s">
        <v>780</v>
      </c>
      <c r="E216" s="2" t="s">
        <v>1893</v>
      </c>
      <c r="F216" s="2" t="s">
        <v>1894</v>
      </c>
      <c r="G216" s="2" t="s">
        <v>1895</v>
      </c>
      <c r="H216" s="2" t="s">
        <v>577</v>
      </c>
      <c r="I216" s="2" t="s">
        <v>1896</v>
      </c>
      <c r="K216" s="2" t="s">
        <v>1592</v>
      </c>
      <c r="L216" s="2" t="s">
        <v>1593</v>
      </c>
      <c r="M216" s="2" t="s">
        <v>1647</v>
      </c>
      <c r="O216" s="2" t="s">
        <v>1596</v>
      </c>
      <c r="P216" s="2" t="s">
        <v>1897</v>
      </c>
      <c r="Q216" s="2" t="s">
        <v>577</v>
      </c>
      <c r="R216" s="2" t="s">
        <v>577</v>
      </c>
    </row>
    <row r="217" spans="1:18">
      <c r="A217" s="2" t="s">
        <v>1895</v>
      </c>
      <c r="B217" s="2" t="s">
        <v>1952</v>
      </c>
      <c r="C217" s="2" t="s">
        <v>1185</v>
      </c>
      <c r="D217" s="2" t="s">
        <v>780</v>
      </c>
      <c r="E217" s="2" t="s">
        <v>1893</v>
      </c>
      <c r="F217" s="2" t="s">
        <v>1894</v>
      </c>
      <c r="G217" s="2" t="s">
        <v>1895</v>
      </c>
      <c r="H217" s="2" t="s">
        <v>577</v>
      </c>
      <c r="I217" s="2" t="s">
        <v>1896</v>
      </c>
      <c r="K217" s="2" t="s">
        <v>1592</v>
      </c>
      <c r="L217" s="2" t="s">
        <v>1593</v>
      </c>
      <c r="M217" s="2" t="s">
        <v>1647</v>
      </c>
      <c r="O217" s="2" t="s">
        <v>1822</v>
      </c>
      <c r="P217" s="2" t="s">
        <v>1897</v>
      </c>
      <c r="Q217" s="2" t="s">
        <v>577</v>
      </c>
      <c r="R217" s="2" t="s">
        <v>577</v>
      </c>
    </row>
    <row r="218" spans="1:18">
      <c r="A218" s="2" t="s">
        <v>1895</v>
      </c>
      <c r="B218" s="2" t="s">
        <v>1953</v>
      </c>
      <c r="C218" s="2" t="s">
        <v>1197</v>
      </c>
      <c r="D218" s="2" t="s">
        <v>780</v>
      </c>
      <c r="E218" s="2" t="s">
        <v>1893</v>
      </c>
      <c r="F218" s="2" t="s">
        <v>1894</v>
      </c>
      <c r="G218" s="2" t="s">
        <v>1895</v>
      </c>
      <c r="H218" s="2" t="s">
        <v>577</v>
      </c>
      <c r="I218" s="2" t="s">
        <v>1896</v>
      </c>
      <c r="K218" s="2" t="s">
        <v>1592</v>
      </c>
      <c r="L218" s="2" t="s">
        <v>1593</v>
      </c>
      <c r="M218" s="2" t="s">
        <v>1647</v>
      </c>
      <c r="O218" s="2" t="s">
        <v>1596</v>
      </c>
      <c r="P218" s="2" t="s">
        <v>1897</v>
      </c>
      <c r="Q218" s="2" t="s">
        <v>577</v>
      </c>
      <c r="R218" s="2" t="s">
        <v>577</v>
      </c>
    </row>
    <row r="219" spans="1:18">
      <c r="A219" s="2" t="s">
        <v>1904</v>
      </c>
      <c r="B219" s="2" t="s">
        <v>1954</v>
      </c>
      <c r="C219" s="2" t="s">
        <v>1200</v>
      </c>
      <c r="D219" s="2" t="s">
        <v>780</v>
      </c>
      <c r="E219" s="2" t="s">
        <v>1893</v>
      </c>
      <c r="F219" s="2" t="s">
        <v>1894</v>
      </c>
      <c r="G219" s="2" t="s">
        <v>1904</v>
      </c>
      <c r="H219" s="2" t="s">
        <v>588</v>
      </c>
      <c r="I219" s="2" t="s">
        <v>1896</v>
      </c>
      <c r="K219" s="2" t="s">
        <v>1592</v>
      </c>
      <c r="L219" s="2" t="s">
        <v>1593</v>
      </c>
      <c r="M219" s="2" t="s">
        <v>1647</v>
      </c>
      <c r="O219" s="2" t="s">
        <v>1596</v>
      </c>
      <c r="P219" s="2" t="s">
        <v>1897</v>
      </c>
      <c r="Q219" s="2" t="s">
        <v>577</v>
      </c>
      <c r="R219" s="2" t="s">
        <v>577</v>
      </c>
    </row>
    <row r="220" spans="1:18">
      <c r="A220" s="2" t="s">
        <v>1904</v>
      </c>
      <c r="B220" s="2" t="s">
        <v>1955</v>
      </c>
      <c r="C220" s="2" t="s">
        <v>1200</v>
      </c>
      <c r="D220" s="2" t="s">
        <v>780</v>
      </c>
      <c r="E220" s="2" t="s">
        <v>1893</v>
      </c>
      <c r="F220" s="2" t="s">
        <v>1894</v>
      </c>
      <c r="G220" s="2" t="s">
        <v>1904</v>
      </c>
      <c r="H220" s="2" t="s">
        <v>577</v>
      </c>
      <c r="I220" s="2" t="s">
        <v>1896</v>
      </c>
      <c r="K220" s="2" t="s">
        <v>1592</v>
      </c>
      <c r="L220" s="2" t="s">
        <v>1593</v>
      </c>
      <c r="M220" s="2" t="s">
        <v>1647</v>
      </c>
      <c r="O220" s="2" t="s">
        <v>1596</v>
      </c>
      <c r="P220" s="2" t="s">
        <v>1897</v>
      </c>
      <c r="Q220" s="2" t="s">
        <v>577</v>
      </c>
      <c r="R220" s="2" t="s">
        <v>577</v>
      </c>
    </row>
    <row r="221" spans="1:18">
      <c r="A221" s="2" t="s">
        <v>1904</v>
      </c>
      <c r="B221" s="2" t="s">
        <v>1956</v>
      </c>
      <c r="C221" s="2" t="s">
        <v>1200</v>
      </c>
      <c r="D221" s="2" t="s">
        <v>780</v>
      </c>
      <c r="E221" s="2" t="s">
        <v>1893</v>
      </c>
      <c r="F221" s="2" t="s">
        <v>1894</v>
      </c>
      <c r="G221" s="2" t="s">
        <v>1904</v>
      </c>
      <c r="H221" s="2" t="s">
        <v>577</v>
      </c>
      <c r="I221" s="2" t="s">
        <v>1896</v>
      </c>
      <c r="K221" s="2" t="s">
        <v>1592</v>
      </c>
      <c r="L221" s="2" t="s">
        <v>1593</v>
      </c>
      <c r="M221" s="2" t="s">
        <v>1647</v>
      </c>
      <c r="O221" s="2" t="s">
        <v>1596</v>
      </c>
      <c r="P221" s="2" t="s">
        <v>1897</v>
      </c>
      <c r="Q221" s="2" t="s">
        <v>577</v>
      </c>
      <c r="R221" s="2" t="s">
        <v>577</v>
      </c>
    </row>
    <row r="222" spans="1:18">
      <c r="A222" s="2" t="s">
        <v>1904</v>
      </c>
      <c r="B222" s="2" t="s">
        <v>1957</v>
      </c>
      <c r="C222" s="2" t="s">
        <v>1187</v>
      </c>
      <c r="D222" s="2" t="s">
        <v>780</v>
      </c>
      <c r="E222" s="2" t="s">
        <v>1893</v>
      </c>
      <c r="F222" s="2" t="s">
        <v>1894</v>
      </c>
      <c r="G222" s="2" t="s">
        <v>1904</v>
      </c>
      <c r="H222" s="2" t="s">
        <v>577</v>
      </c>
      <c r="I222" s="2" t="s">
        <v>1896</v>
      </c>
      <c r="K222" s="2" t="s">
        <v>1592</v>
      </c>
      <c r="L222" s="2" t="s">
        <v>1593</v>
      </c>
      <c r="M222" s="2" t="s">
        <v>1647</v>
      </c>
      <c r="O222" s="2" t="s">
        <v>1822</v>
      </c>
      <c r="P222" s="2" t="s">
        <v>1897</v>
      </c>
      <c r="Q222" s="2" t="s">
        <v>577</v>
      </c>
      <c r="R222" s="2" t="s">
        <v>577</v>
      </c>
    </row>
    <row r="223" spans="1:18">
      <c r="A223" s="2" t="s">
        <v>1904</v>
      </c>
      <c r="B223" s="2" t="s">
        <v>1958</v>
      </c>
      <c r="C223" s="2" t="s">
        <v>1200</v>
      </c>
      <c r="D223" s="2" t="s">
        <v>780</v>
      </c>
      <c r="E223" s="2" t="s">
        <v>1893</v>
      </c>
      <c r="F223" s="2" t="s">
        <v>1894</v>
      </c>
      <c r="G223" s="2" t="s">
        <v>1904</v>
      </c>
      <c r="H223" s="2" t="s">
        <v>577</v>
      </c>
      <c r="I223" s="2" t="s">
        <v>1896</v>
      </c>
      <c r="K223" s="2" t="s">
        <v>1592</v>
      </c>
      <c r="L223" s="2" t="s">
        <v>1593</v>
      </c>
      <c r="M223" s="2" t="s">
        <v>1647</v>
      </c>
      <c r="O223" s="2" t="s">
        <v>1596</v>
      </c>
      <c r="P223" s="2" t="s">
        <v>1897</v>
      </c>
      <c r="Q223" s="2" t="s">
        <v>577</v>
      </c>
      <c r="R223" s="2" t="s">
        <v>577</v>
      </c>
    </row>
    <row r="224" spans="1:18">
      <c r="A224" s="2" t="s">
        <v>1919</v>
      </c>
      <c r="B224" s="2" t="s">
        <v>1959</v>
      </c>
      <c r="C224" s="2" t="s">
        <v>1199</v>
      </c>
      <c r="D224" s="2" t="s">
        <v>780</v>
      </c>
      <c r="E224" s="2" t="s">
        <v>1893</v>
      </c>
      <c r="F224" s="2" t="s">
        <v>1894</v>
      </c>
      <c r="G224" s="2" t="s">
        <v>1919</v>
      </c>
      <c r="H224" s="2" t="s">
        <v>588</v>
      </c>
      <c r="I224" s="2" t="s">
        <v>1896</v>
      </c>
      <c r="K224" s="2" t="s">
        <v>1592</v>
      </c>
      <c r="L224" s="2" t="s">
        <v>1593</v>
      </c>
      <c r="M224" s="2" t="s">
        <v>1647</v>
      </c>
      <c r="O224" s="2" t="s">
        <v>1596</v>
      </c>
      <c r="P224" s="2" t="s">
        <v>1897</v>
      </c>
      <c r="Q224" s="2" t="s">
        <v>577</v>
      </c>
      <c r="R224" s="2" t="s">
        <v>577</v>
      </c>
    </row>
    <row r="225" spans="1:18">
      <c r="A225" s="2" t="s">
        <v>1919</v>
      </c>
      <c r="B225" s="2" t="s">
        <v>1960</v>
      </c>
      <c r="C225" s="2" t="s">
        <v>1199</v>
      </c>
      <c r="D225" s="2" t="s">
        <v>780</v>
      </c>
      <c r="E225" s="2" t="s">
        <v>1893</v>
      </c>
      <c r="F225" s="2" t="s">
        <v>1894</v>
      </c>
      <c r="G225" s="2" t="s">
        <v>1919</v>
      </c>
      <c r="H225" s="2" t="s">
        <v>577</v>
      </c>
      <c r="I225" s="2" t="s">
        <v>1896</v>
      </c>
      <c r="K225" s="2" t="s">
        <v>1592</v>
      </c>
      <c r="L225" s="2" t="s">
        <v>1593</v>
      </c>
      <c r="M225" s="2" t="s">
        <v>1647</v>
      </c>
      <c r="O225" s="2" t="s">
        <v>1596</v>
      </c>
      <c r="P225" s="2" t="s">
        <v>1897</v>
      </c>
      <c r="Q225" s="2" t="s">
        <v>577</v>
      </c>
      <c r="R225" s="2" t="s">
        <v>577</v>
      </c>
    </row>
    <row r="226" spans="1:18">
      <c r="A226" s="2" t="s">
        <v>1919</v>
      </c>
      <c r="B226" s="2" t="s">
        <v>1961</v>
      </c>
      <c r="C226" s="2" t="s">
        <v>1199</v>
      </c>
      <c r="D226" s="2" t="s">
        <v>780</v>
      </c>
      <c r="E226" s="2" t="s">
        <v>1893</v>
      </c>
      <c r="F226" s="2" t="s">
        <v>1894</v>
      </c>
      <c r="G226" s="2" t="s">
        <v>1919</v>
      </c>
      <c r="H226" s="2" t="s">
        <v>577</v>
      </c>
      <c r="I226" s="2" t="s">
        <v>1896</v>
      </c>
      <c r="K226" s="2" t="s">
        <v>1592</v>
      </c>
      <c r="L226" s="2" t="s">
        <v>1593</v>
      </c>
      <c r="M226" s="2" t="s">
        <v>1647</v>
      </c>
      <c r="O226" s="2" t="s">
        <v>1596</v>
      </c>
      <c r="P226" s="2" t="s">
        <v>1897</v>
      </c>
      <c r="Q226" s="2" t="s">
        <v>577</v>
      </c>
      <c r="R226" s="2" t="s">
        <v>577</v>
      </c>
    </row>
    <row r="227" spans="1:18">
      <c r="A227" s="2" t="s">
        <v>1919</v>
      </c>
      <c r="B227" s="2" t="s">
        <v>1962</v>
      </c>
      <c r="C227" s="2" t="s">
        <v>1188</v>
      </c>
      <c r="D227" s="2" t="s">
        <v>780</v>
      </c>
      <c r="E227" s="2" t="s">
        <v>1893</v>
      </c>
      <c r="F227" s="2" t="s">
        <v>1894</v>
      </c>
      <c r="G227" s="2" t="s">
        <v>1919</v>
      </c>
      <c r="H227" s="2" t="s">
        <v>577</v>
      </c>
      <c r="I227" s="2" t="s">
        <v>1896</v>
      </c>
      <c r="K227" s="2" t="s">
        <v>1592</v>
      </c>
      <c r="L227" s="2" t="s">
        <v>1593</v>
      </c>
      <c r="M227" s="2" t="s">
        <v>1647</v>
      </c>
      <c r="O227" s="2" t="s">
        <v>1822</v>
      </c>
      <c r="P227" s="2" t="s">
        <v>1897</v>
      </c>
      <c r="Q227" s="2" t="s">
        <v>577</v>
      </c>
      <c r="R227" s="2" t="s">
        <v>577</v>
      </c>
    </row>
    <row r="228" spans="1:18">
      <c r="A228" s="2" t="s">
        <v>1919</v>
      </c>
      <c r="B228" s="2" t="s">
        <v>1963</v>
      </c>
      <c r="C228" s="2" t="s">
        <v>1199</v>
      </c>
      <c r="D228" s="2" t="s">
        <v>780</v>
      </c>
      <c r="E228" s="2" t="s">
        <v>1893</v>
      </c>
      <c r="F228" s="2" t="s">
        <v>1894</v>
      </c>
      <c r="G228" s="2" t="s">
        <v>1919</v>
      </c>
      <c r="H228" s="2" t="s">
        <v>577</v>
      </c>
      <c r="I228" s="2" t="s">
        <v>1896</v>
      </c>
      <c r="K228" s="2" t="s">
        <v>1592</v>
      </c>
      <c r="L228" s="2" t="s">
        <v>1593</v>
      </c>
      <c r="M228" s="2" t="s">
        <v>1647</v>
      </c>
      <c r="O228" s="2" t="s">
        <v>1596</v>
      </c>
      <c r="P228" s="2" t="s">
        <v>1897</v>
      </c>
      <c r="Q228" s="2" t="s">
        <v>577</v>
      </c>
      <c r="R228" s="2" t="s">
        <v>577</v>
      </c>
    </row>
    <row r="229" spans="1:18">
      <c r="A229" s="2" t="s">
        <v>1895</v>
      </c>
      <c r="B229" s="2" t="s">
        <v>1964</v>
      </c>
      <c r="C229" s="2" t="s">
        <v>1197</v>
      </c>
      <c r="D229" s="2" t="s">
        <v>780</v>
      </c>
      <c r="E229" s="2" t="s">
        <v>1893</v>
      </c>
      <c r="F229" s="2" t="s">
        <v>1894</v>
      </c>
      <c r="G229" s="2" t="s">
        <v>1895</v>
      </c>
      <c r="H229" s="2" t="s">
        <v>577</v>
      </c>
      <c r="I229" s="2" t="s">
        <v>1896</v>
      </c>
      <c r="K229" s="2" t="s">
        <v>1592</v>
      </c>
      <c r="L229" s="2" t="s">
        <v>1593</v>
      </c>
      <c r="M229" s="2" t="s">
        <v>1647</v>
      </c>
      <c r="O229" s="2" t="s">
        <v>1596</v>
      </c>
      <c r="P229" s="2" t="s">
        <v>1897</v>
      </c>
      <c r="Q229" s="2" t="s">
        <v>577</v>
      </c>
      <c r="R229" s="2" t="s">
        <v>577</v>
      </c>
    </row>
    <row r="230" spans="1:18">
      <c r="A230" s="2" t="s">
        <v>1895</v>
      </c>
      <c r="B230" s="2" t="s">
        <v>1965</v>
      </c>
      <c r="C230" s="2" t="s">
        <v>1193</v>
      </c>
      <c r="D230" s="2" t="s">
        <v>780</v>
      </c>
      <c r="E230" s="2" t="s">
        <v>1893</v>
      </c>
      <c r="F230" s="2" t="s">
        <v>1894</v>
      </c>
      <c r="G230" s="2" t="s">
        <v>1895</v>
      </c>
      <c r="H230" s="2" t="s">
        <v>577</v>
      </c>
      <c r="I230" s="2" t="s">
        <v>1896</v>
      </c>
      <c r="K230" s="2" t="s">
        <v>1592</v>
      </c>
      <c r="L230" s="2" t="s">
        <v>1593</v>
      </c>
      <c r="M230" s="2" t="s">
        <v>1647</v>
      </c>
      <c r="O230" s="2" t="s">
        <v>1596</v>
      </c>
      <c r="P230" s="2" t="s">
        <v>1897</v>
      </c>
      <c r="Q230" s="2" t="s">
        <v>577</v>
      </c>
      <c r="R230" s="2" t="s">
        <v>577</v>
      </c>
    </row>
    <row r="231" spans="1:18">
      <c r="A231" s="2" t="s">
        <v>1895</v>
      </c>
      <c r="B231" s="2" t="s">
        <v>1966</v>
      </c>
      <c r="C231" s="2" t="s">
        <v>1197</v>
      </c>
      <c r="D231" s="2" t="s">
        <v>780</v>
      </c>
      <c r="E231" s="2" t="s">
        <v>1893</v>
      </c>
      <c r="F231" s="2" t="s">
        <v>1894</v>
      </c>
      <c r="G231" s="2" t="s">
        <v>1895</v>
      </c>
      <c r="H231" s="2" t="s">
        <v>577</v>
      </c>
      <c r="I231" s="2" t="s">
        <v>1896</v>
      </c>
      <c r="K231" s="2" t="s">
        <v>1592</v>
      </c>
      <c r="L231" s="2" t="s">
        <v>1593</v>
      </c>
      <c r="M231" s="2" t="s">
        <v>1647</v>
      </c>
      <c r="O231" s="2" t="s">
        <v>1596</v>
      </c>
      <c r="P231" s="2" t="s">
        <v>1897</v>
      </c>
      <c r="Q231" s="2" t="s">
        <v>577</v>
      </c>
      <c r="R231" s="2" t="s">
        <v>577</v>
      </c>
    </row>
    <row r="232" spans="1:18">
      <c r="A232" s="2" t="s">
        <v>1895</v>
      </c>
      <c r="B232" s="2" t="s">
        <v>1967</v>
      </c>
      <c r="C232" s="2" t="s">
        <v>1185</v>
      </c>
      <c r="D232" s="2" t="s">
        <v>780</v>
      </c>
      <c r="E232" s="2" t="s">
        <v>1893</v>
      </c>
      <c r="F232" s="2" t="s">
        <v>1894</v>
      </c>
      <c r="G232" s="2" t="s">
        <v>1895</v>
      </c>
      <c r="H232" s="2" t="s">
        <v>577</v>
      </c>
      <c r="I232" s="2" t="s">
        <v>1896</v>
      </c>
      <c r="K232" s="2" t="s">
        <v>1592</v>
      </c>
      <c r="L232" s="2" t="s">
        <v>1593</v>
      </c>
      <c r="M232" s="2" t="s">
        <v>1647</v>
      </c>
      <c r="O232" s="2" t="s">
        <v>1822</v>
      </c>
      <c r="P232" s="2" t="s">
        <v>1897</v>
      </c>
      <c r="Q232" s="2" t="s">
        <v>577</v>
      </c>
      <c r="R232" s="2" t="s">
        <v>577</v>
      </c>
    </row>
    <row r="233" spans="1:18">
      <c r="A233" s="2" t="s">
        <v>1895</v>
      </c>
      <c r="B233" s="2" t="s">
        <v>1968</v>
      </c>
      <c r="C233" s="2" t="s">
        <v>1185</v>
      </c>
      <c r="D233" s="2" t="s">
        <v>780</v>
      </c>
      <c r="E233" s="2" t="s">
        <v>1893</v>
      </c>
      <c r="F233" s="2" t="s">
        <v>1894</v>
      </c>
      <c r="G233" s="2" t="s">
        <v>1895</v>
      </c>
      <c r="H233" s="2" t="s">
        <v>577</v>
      </c>
      <c r="I233" s="2" t="s">
        <v>1896</v>
      </c>
      <c r="K233" s="2" t="s">
        <v>1592</v>
      </c>
      <c r="L233" s="2" t="s">
        <v>1593</v>
      </c>
      <c r="M233" s="2" t="s">
        <v>1647</v>
      </c>
      <c r="O233" s="2" t="s">
        <v>1822</v>
      </c>
      <c r="P233" s="2" t="s">
        <v>1897</v>
      </c>
      <c r="Q233" s="2" t="s">
        <v>577</v>
      </c>
      <c r="R233" s="2" t="s">
        <v>577</v>
      </c>
    </row>
    <row r="234" spans="1:18">
      <c r="A234" s="2" t="s">
        <v>1895</v>
      </c>
      <c r="B234" s="2" t="s">
        <v>1969</v>
      </c>
      <c r="C234" s="2" t="s">
        <v>1164</v>
      </c>
      <c r="D234" s="2" t="s">
        <v>780</v>
      </c>
      <c r="E234" s="2" t="s">
        <v>1893</v>
      </c>
      <c r="F234" s="2" t="s">
        <v>1894</v>
      </c>
      <c r="G234" s="2" t="s">
        <v>1895</v>
      </c>
      <c r="H234" s="2" t="s">
        <v>577</v>
      </c>
      <c r="I234" s="2" t="s">
        <v>1896</v>
      </c>
      <c r="K234" s="2" t="s">
        <v>1592</v>
      </c>
      <c r="L234" s="2" t="s">
        <v>1593</v>
      </c>
      <c r="M234" s="2" t="s">
        <v>1647</v>
      </c>
      <c r="P234" s="2" t="s">
        <v>1897</v>
      </c>
      <c r="Q234" s="2" t="s">
        <v>577</v>
      </c>
      <c r="R234" s="2" t="s">
        <v>577</v>
      </c>
    </row>
    <row r="235" spans="1:18">
      <c r="A235" s="2" t="s">
        <v>1904</v>
      </c>
      <c r="B235" s="2" t="s">
        <v>1970</v>
      </c>
      <c r="C235" s="2" t="s">
        <v>1200</v>
      </c>
      <c r="D235" s="2" t="s">
        <v>780</v>
      </c>
      <c r="E235" s="2" t="s">
        <v>1893</v>
      </c>
      <c r="F235" s="2" t="s">
        <v>1894</v>
      </c>
      <c r="G235" s="2" t="s">
        <v>1904</v>
      </c>
      <c r="H235" s="2" t="s">
        <v>577</v>
      </c>
      <c r="I235" s="2" t="s">
        <v>1896</v>
      </c>
      <c r="K235" s="2" t="s">
        <v>1592</v>
      </c>
      <c r="L235" s="2" t="s">
        <v>1593</v>
      </c>
      <c r="M235" s="2" t="s">
        <v>1647</v>
      </c>
      <c r="O235" s="2" t="s">
        <v>1596</v>
      </c>
      <c r="P235" s="2" t="s">
        <v>1897</v>
      </c>
      <c r="Q235" s="2" t="s">
        <v>577</v>
      </c>
      <c r="R235" s="2" t="s">
        <v>577</v>
      </c>
    </row>
    <row r="236" spans="1:18">
      <c r="A236" s="2" t="s">
        <v>1904</v>
      </c>
      <c r="B236" s="2" t="s">
        <v>1971</v>
      </c>
      <c r="C236" s="2" t="s">
        <v>1195</v>
      </c>
      <c r="D236" s="2" t="s">
        <v>780</v>
      </c>
      <c r="E236" s="2" t="s">
        <v>1893</v>
      </c>
      <c r="F236" s="2" t="s">
        <v>1894</v>
      </c>
      <c r="G236" s="2" t="s">
        <v>1904</v>
      </c>
      <c r="H236" s="2" t="s">
        <v>577</v>
      </c>
      <c r="I236" s="2" t="s">
        <v>1896</v>
      </c>
      <c r="K236" s="2" t="s">
        <v>1592</v>
      </c>
      <c r="L236" s="2" t="s">
        <v>1593</v>
      </c>
      <c r="M236" s="2" t="s">
        <v>1647</v>
      </c>
      <c r="O236" s="2" t="s">
        <v>1596</v>
      </c>
      <c r="P236" s="2" t="s">
        <v>1897</v>
      </c>
      <c r="Q236" s="2" t="s">
        <v>577</v>
      </c>
      <c r="R236" s="2" t="s">
        <v>577</v>
      </c>
    </row>
    <row r="237" spans="1:18">
      <c r="A237" s="2" t="s">
        <v>1904</v>
      </c>
      <c r="B237" s="2" t="s">
        <v>1972</v>
      </c>
      <c r="C237" s="2" t="s">
        <v>1200</v>
      </c>
      <c r="D237" s="2" t="s">
        <v>780</v>
      </c>
      <c r="E237" s="2" t="s">
        <v>1893</v>
      </c>
      <c r="F237" s="2" t="s">
        <v>1894</v>
      </c>
      <c r="G237" s="2" t="s">
        <v>1904</v>
      </c>
      <c r="H237" s="2" t="s">
        <v>577</v>
      </c>
      <c r="I237" s="2" t="s">
        <v>1896</v>
      </c>
      <c r="K237" s="2" t="s">
        <v>1592</v>
      </c>
      <c r="L237" s="2" t="s">
        <v>1593</v>
      </c>
      <c r="M237" s="2" t="s">
        <v>1647</v>
      </c>
      <c r="O237" s="2" t="s">
        <v>1596</v>
      </c>
      <c r="P237" s="2" t="s">
        <v>1897</v>
      </c>
      <c r="Q237" s="2" t="s">
        <v>577</v>
      </c>
      <c r="R237" s="2" t="s">
        <v>577</v>
      </c>
    </row>
    <row r="238" spans="1:18">
      <c r="A238" s="2" t="s">
        <v>1904</v>
      </c>
      <c r="B238" s="2" t="s">
        <v>1973</v>
      </c>
      <c r="C238" s="2" t="s">
        <v>1187</v>
      </c>
      <c r="D238" s="2" t="s">
        <v>780</v>
      </c>
      <c r="E238" s="2" t="s">
        <v>1893</v>
      </c>
      <c r="F238" s="2" t="s">
        <v>1894</v>
      </c>
      <c r="G238" s="2" t="s">
        <v>1904</v>
      </c>
      <c r="H238" s="2" t="s">
        <v>577</v>
      </c>
      <c r="I238" s="2" t="s">
        <v>1896</v>
      </c>
      <c r="K238" s="2" t="s">
        <v>1592</v>
      </c>
      <c r="L238" s="2" t="s">
        <v>1593</v>
      </c>
      <c r="M238" s="2" t="s">
        <v>1647</v>
      </c>
      <c r="O238" s="2" t="s">
        <v>1822</v>
      </c>
      <c r="P238" s="2" t="s">
        <v>1897</v>
      </c>
      <c r="Q238" s="2" t="s">
        <v>577</v>
      </c>
      <c r="R238" s="2" t="s">
        <v>577</v>
      </c>
    </row>
    <row r="239" spans="1:18">
      <c r="A239" s="2" t="s">
        <v>1904</v>
      </c>
      <c r="B239" s="2" t="s">
        <v>1974</v>
      </c>
      <c r="C239" s="2" t="s">
        <v>1187</v>
      </c>
      <c r="D239" s="2" t="s">
        <v>780</v>
      </c>
      <c r="E239" s="2" t="s">
        <v>1893</v>
      </c>
      <c r="F239" s="2" t="s">
        <v>1894</v>
      </c>
      <c r="G239" s="2" t="s">
        <v>1904</v>
      </c>
      <c r="H239" s="2" t="s">
        <v>577</v>
      </c>
      <c r="I239" s="2" t="s">
        <v>1896</v>
      </c>
      <c r="K239" s="2" t="s">
        <v>1592</v>
      </c>
      <c r="L239" s="2" t="s">
        <v>1593</v>
      </c>
      <c r="M239" s="2" t="s">
        <v>1647</v>
      </c>
      <c r="O239" s="2" t="s">
        <v>1822</v>
      </c>
      <c r="P239" s="2" t="s">
        <v>1897</v>
      </c>
      <c r="Q239" s="2" t="s">
        <v>577</v>
      </c>
      <c r="R239" s="2" t="s">
        <v>577</v>
      </c>
    </row>
    <row r="240" spans="1:18">
      <c r="A240" s="2" t="s">
        <v>1904</v>
      </c>
      <c r="B240" s="2" t="s">
        <v>1975</v>
      </c>
      <c r="C240" s="2" t="s">
        <v>1166</v>
      </c>
      <c r="D240" s="2" t="s">
        <v>780</v>
      </c>
      <c r="E240" s="2" t="s">
        <v>1893</v>
      </c>
      <c r="F240" s="2" t="s">
        <v>1894</v>
      </c>
      <c r="G240" s="2" t="s">
        <v>1904</v>
      </c>
      <c r="H240" s="2" t="s">
        <v>577</v>
      </c>
      <c r="I240" s="2" t="s">
        <v>1896</v>
      </c>
      <c r="K240" s="2" t="s">
        <v>1592</v>
      </c>
      <c r="L240" s="2" t="s">
        <v>1593</v>
      </c>
      <c r="M240" s="2" t="s">
        <v>1647</v>
      </c>
      <c r="P240" s="2" t="s">
        <v>1897</v>
      </c>
      <c r="Q240" s="2" t="s">
        <v>577</v>
      </c>
      <c r="R240" s="2" t="s">
        <v>577</v>
      </c>
    </row>
    <row r="241" spans="1:18">
      <c r="A241" s="2" t="s">
        <v>1895</v>
      </c>
      <c r="B241" s="2" t="s">
        <v>1976</v>
      </c>
      <c r="C241" s="2" t="s">
        <v>1197</v>
      </c>
      <c r="D241" s="2" t="s">
        <v>780</v>
      </c>
      <c r="E241" s="2" t="s">
        <v>1893</v>
      </c>
      <c r="F241" s="2" t="s">
        <v>1894</v>
      </c>
      <c r="G241" s="2" t="s">
        <v>1895</v>
      </c>
      <c r="H241" s="2" t="s">
        <v>588</v>
      </c>
      <c r="I241" s="2" t="s">
        <v>1896</v>
      </c>
      <c r="K241" s="2" t="s">
        <v>1592</v>
      </c>
      <c r="L241" s="2" t="s">
        <v>1593</v>
      </c>
      <c r="M241" s="2" t="s">
        <v>1647</v>
      </c>
      <c r="O241" s="2" t="s">
        <v>1596</v>
      </c>
      <c r="P241" s="2" t="s">
        <v>1897</v>
      </c>
      <c r="Q241" s="2" t="s">
        <v>577</v>
      </c>
      <c r="R241" s="2" t="s">
        <v>577</v>
      </c>
    </row>
    <row r="242" spans="1:18">
      <c r="A242" s="2" t="s">
        <v>1895</v>
      </c>
      <c r="B242" s="2" t="s">
        <v>1977</v>
      </c>
      <c r="C242" s="2" t="s">
        <v>1197</v>
      </c>
      <c r="D242" s="2" t="s">
        <v>780</v>
      </c>
      <c r="E242" s="2" t="s">
        <v>1893</v>
      </c>
      <c r="F242" s="2" t="s">
        <v>1894</v>
      </c>
      <c r="G242" s="2" t="s">
        <v>1895</v>
      </c>
      <c r="H242" s="2" t="s">
        <v>577</v>
      </c>
      <c r="I242" s="2" t="s">
        <v>1896</v>
      </c>
      <c r="K242" s="2" t="s">
        <v>1592</v>
      </c>
      <c r="L242" s="2" t="s">
        <v>1593</v>
      </c>
      <c r="M242" s="2" t="s">
        <v>1647</v>
      </c>
      <c r="O242" s="2" t="s">
        <v>1596</v>
      </c>
      <c r="P242" s="2" t="s">
        <v>1897</v>
      </c>
      <c r="Q242" s="2" t="s">
        <v>577</v>
      </c>
      <c r="R242" s="2" t="s">
        <v>577</v>
      </c>
    </row>
    <row r="243" spans="1:18">
      <c r="A243" s="2" t="s">
        <v>1895</v>
      </c>
      <c r="B243" s="2" t="s">
        <v>1978</v>
      </c>
      <c r="C243" s="2" t="s">
        <v>1197</v>
      </c>
      <c r="D243" s="2" t="s">
        <v>780</v>
      </c>
      <c r="E243" s="2" t="s">
        <v>1893</v>
      </c>
      <c r="F243" s="2" t="s">
        <v>1894</v>
      </c>
      <c r="G243" s="2" t="s">
        <v>1895</v>
      </c>
      <c r="H243" s="2" t="s">
        <v>577</v>
      </c>
      <c r="I243" s="2" t="s">
        <v>1896</v>
      </c>
      <c r="K243" s="2" t="s">
        <v>1592</v>
      </c>
      <c r="L243" s="2" t="s">
        <v>1593</v>
      </c>
      <c r="M243" s="2" t="s">
        <v>1647</v>
      </c>
      <c r="O243" s="2" t="s">
        <v>1596</v>
      </c>
      <c r="P243" s="2" t="s">
        <v>1897</v>
      </c>
      <c r="Q243" s="2" t="s">
        <v>577</v>
      </c>
      <c r="R243" s="2" t="s">
        <v>577</v>
      </c>
    </row>
    <row r="244" spans="1:18">
      <c r="A244" s="2" t="s">
        <v>1895</v>
      </c>
      <c r="B244" s="2" t="s">
        <v>1979</v>
      </c>
      <c r="C244" s="2" t="s">
        <v>1185</v>
      </c>
      <c r="D244" s="2" t="s">
        <v>780</v>
      </c>
      <c r="E244" s="2" t="s">
        <v>1893</v>
      </c>
      <c r="F244" s="2" t="s">
        <v>1894</v>
      </c>
      <c r="G244" s="2" t="s">
        <v>1895</v>
      </c>
      <c r="H244" s="2" t="s">
        <v>577</v>
      </c>
      <c r="I244" s="2" t="s">
        <v>1896</v>
      </c>
      <c r="K244" s="2" t="s">
        <v>1592</v>
      </c>
      <c r="L244" s="2" t="s">
        <v>1593</v>
      </c>
      <c r="M244" s="2" t="s">
        <v>1647</v>
      </c>
      <c r="O244" s="2" t="s">
        <v>1822</v>
      </c>
      <c r="P244" s="2" t="s">
        <v>1897</v>
      </c>
      <c r="Q244" s="2" t="s">
        <v>577</v>
      </c>
      <c r="R244" s="2" t="s">
        <v>577</v>
      </c>
    </row>
    <row r="245" spans="1:18">
      <c r="A245" s="2" t="s">
        <v>1895</v>
      </c>
      <c r="B245" s="2" t="s">
        <v>1980</v>
      </c>
      <c r="C245" s="2" t="s">
        <v>1197</v>
      </c>
      <c r="D245" s="2" t="s">
        <v>780</v>
      </c>
      <c r="E245" s="2" t="s">
        <v>1893</v>
      </c>
      <c r="F245" s="2" t="s">
        <v>1894</v>
      </c>
      <c r="G245" s="2" t="s">
        <v>1895</v>
      </c>
      <c r="H245" s="2" t="s">
        <v>577</v>
      </c>
      <c r="I245" s="2" t="s">
        <v>1896</v>
      </c>
      <c r="K245" s="2" t="s">
        <v>1592</v>
      </c>
      <c r="L245" s="2" t="s">
        <v>1593</v>
      </c>
      <c r="M245" s="2" t="s">
        <v>1647</v>
      </c>
      <c r="O245" s="2" t="s">
        <v>1596</v>
      </c>
      <c r="P245" s="2" t="s">
        <v>1897</v>
      </c>
      <c r="Q245" s="2" t="s">
        <v>577</v>
      </c>
      <c r="R245" s="2" t="s">
        <v>577</v>
      </c>
    </row>
    <row r="246" spans="1:18">
      <c r="A246" s="2" t="s">
        <v>1895</v>
      </c>
      <c r="B246" s="2" t="s">
        <v>1981</v>
      </c>
      <c r="C246" s="2" t="s">
        <v>1197</v>
      </c>
      <c r="D246" s="2" t="s">
        <v>780</v>
      </c>
      <c r="E246" s="2" t="s">
        <v>1893</v>
      </c>
      <c r="F246" s="2" t="s">
        <v>1894</v>
      </c>
      <c r="G246" s="2" t="s">
        <v>1895</v>
      </c>
      <c r="H246" s="2" t="s">
        <v>577</v>
      </c>
      <c r="I246" s="2" t="s">
        <v>1896</v>
      </c>
      <c r="K246" s="2" t="s">
        <v>1592</v>
      </c>
      <c r="L246" s="2" t="s">
        <v>1593</v>
      </c>
      <c r="M246" s="2" t="s">
        <v>1647</v>
      </c>
      <c r="O246" s="2" t="s">
        <v>1596</v>
      </c>
      <c r="P246" s="2" t="s">
        <v>1897</v>
      </c>
      <c r="Q246" s="2" t="s">
        <v>577</v>
      </c>
      <c r="R246" s="2" t="s">
        <v>577</v>
      </c>
    </row>
    <row r="247" spans="1:18">
      <c r="A247" s="2" t="s">
        <v>1895</v>
      </c>
      <c r="B247" s="2" t="s">
        <v>1982</v>
      </c>
      <c r="C247" s="2" t="s">
        <v>1172</v>
      </c>
      <c r="D247" s="2" t="s">
        <v>780</v>
      </c>
      <c r="E247" s="2" t="s">
        <v>1893</v>
      </c>
      <c r="F247" s="2" t="s">
        <v>1894</v>
      </c>
      <c r="G247" s="2" t="s">
        <v>1895</v>
      </c>
      <c r="H247" s="2" t="s">
        <v>588</v>
      </c>
      <c r="I247" s="2" t="s">
        <v>1896</v>
      </c>
      <c r="K247" s="2" t="s">
        <v>1592</v>
      </c>
      <c r="L247" s="2" t="s">
        <v>1593</v>
      </c>
      <c r="M247" s="2" t="s">
        <v>1647</v>
      </c>
      <c r="O247" s="2" t="s">
        <v>1596</v>
      </c>
      <c r="P247" s="2" t="s">
        <v>1897</v>
      </c>
      <c r="Q247" s="2" t="s">
        <v>577</v>
      </c>
      <c r="R247" s="2" t="s">
        <v>577</v>
      </c>
    </row>
    <row r="248" spans="1:18">
      <c r="A248" s="2" t="s">
        <v>1895</v>
      </c>
      <c r="B248" s="2" t="s">
        <v>1983</v>
      </c>
      <c r="C248" s="2" t="s">
        <v>1172</v>
      </c>
      <c r="D248" s="2" t="s">
        <v>780</v>
      </c>
      <c r="E248" s="2" t="s">
        <v>1893</v>
      </c>
      <c r="F248" s="2" t="s">
        <v>1894</v>
      </c>
      <c r="G248" s="2" t="s">
        <v>1895</v>
      </c>
      <c r="H248" s="2" t="s">
        <v>577</v>
      </c>
      <c r="I248" s="2" t="s">
        <v>1896</v>
      </c>
      <c r="K248" s="2" t="s">
        <v>1592</v>
      </c>
      <c r="L248" s="2" t="s">
        <v>1593</v>
      </c>
      <c r="M248" s="2" t="s">
        <v>1647</v>
      </c>
      <c r="O248" s="2" t="s">
        <v>1596</v>
      </c>
      <c r="P248" s="2" t="s">
        <v>1897</v>
      </c>
      <c r="Q248" s="2" t="s">
        <v>577</v>
      </c>
      <c r="R248" s="2" t="s">
        <v>577</v>
      </c>
    </row>
    <row r="249" spans="1:18">
      <c r="A249" s="2" t="s">
        <v>1895</v>
      </c>
      <c r="B249" s="2" t="s">
        <v>1984</v>
      </c>
      <c r="C249" s="2" t="s">
        <v>1172</v>
      </c>
      <c r="D249" s="2" t="s">
        <v>780</v>
      </c>
      <c r="E249" s="2" t="s">
        <v>1893</v>
      </c>
      <c r="F249" s="2" t="s">
        <v>1894</v>
      </c>
      <c r="G249" s="2" t="s">
        <v>1895</v>
      </c>
      <c r="H249" s="2" t="s">
        <v>577</v>
      </c>
      <c r="I249" s="2" t="s">
        <v>1896</v>
      </c>
      <c r="K249" s="2" t="s">
        <v>1592</v>
      </c>
      <c r="L249" s="2" t="s">
        <v>1593</v>
      </c>
      <c r="M249" s="2" t="s">
        <v>1647</v>
      </c>
      <c r="O249" s="2" t="s">
        <v>1596</v>
      </c>
      <c r="P249" s="2" t="s">
        <v>1897</v>
      </c>
      <c r="Q249" s="2" t="s">
        <v>577</v>
      </c>
      <c r="R249" s="2" t="s">
        <v>577</v>
      </c>
    </row>
    <row r="250" spans="1:18">
      <c r="A250" s="2" t="s">
        <v>1895</v>
      </c>
      <c r="B250" s="2" t="s">
        <v>1985</v>
      </c>
      <c r="C250" s="2" t="s">
        <v>1160</v>
      </c>
      <c r="D250" s="2" t="s">
        <v>780</v>
      </c>
      <c r="E250" s="2" t="s">
        <v>1893</v>
      </c>
      <c r="F250" s="2" t="s">
        <v>1894</v>
      </c>
      <c r="G250" s="2" t="s">
        <v>1895</v>
      </c>
      <c r="H250" s="2" t="s">
        <v>577</v>
      </c>
      <c r="I250" s="2" t="s">
        <v>1896</v>
      </c>
      <c r="K250" s="2" t="s">
        <v>1592</v>
      </c>
      <c r="L250" s="2" t="s">
        <v>1593</v>
      </c>
      <c r="M250" s="2" t="s">
        <v>1647</v>
      </c>
      <c r="O250" s="2" t="s">
        <v>1822</v>
      </c>
      <c r="P250" s="2" t="s">
        <v>1897</v>
      </c>
      <c r="Q250" s="2" t="s">
        <v>577</v>
      </c>
      <c r="R250" s="2" t="s">
        <v>577</v>
      </c>
    </row>
    <row r="251" spans="1:18">
      <c r="A251" s="2" t="s">
        <v>1895</v>
      </c>
      <c r="B251" s="2" t="s">
        <v>1986</v>
      </c>
      <c r="C251" s="2" t="s">
        <v>1172</v>
      </c>
      <c r="D251" s="2" t="s">
        <v>780</v>
      </c>
      <c r="E251" s="2" t="s">
        <v>1893</v>
      </c>
      <c r="F251" s="2" t="s">
        <v>1894</v>
      </c>
      <c r="G251" s="2" t="s">
        <v>1895</v>
      </c>
      <c r="H251" s="2" t="s">
        <v>577</v>
      </c>
      <c r="I251" s="2" t="s">
        <v>1896</v>
      </c>
      <c r="K251" s="2" t="s">
        <v>1592</v>
      </c>
      <c r="L251" s="2" t="s">
        <v>1593</v>
      </c>
      <c r="M251" s="2" t="s">
        <v>1647</v>
      </c>
      <c r="O251" s="2" t="s">
        <v>1596</v>
      </c>
      <c r="P251" s="2" t="s">
        <v>1897</v>
      </c>
      <c r="Q251" s="2" t="s">
        <v>577</v>
      </c>
      <c r="R251" s="2" t="s">
        <v>577</v>
      </c>
    </row>
    <row r="252" spans="1:18">
      <c r="A252" s="2" t="s">
        <v>1904</v>
      </c>
      <c r="B252" s="2" t="s">
        <v>1987</v>
      </c>
      <c r="C252" s="2" t="s">
        <v>1174</v>
      </c>
      <c r="D252" s="2" t="s">
        <v>780</v>
      </c>
      <c r="E252" s="2" t="s">
        <v>1893</v>
      </c>
      <c r="F252" s="2" t="s">
        <v>1894</v>
      </c>
      <c r="G252" s="2" t="s">
        <v>1904</v>
      </c>
      <c r="H252" s="2" t="s">
        <v>588</v>
      </c>
      <c r="I252" s="2" t="s">
        <v>1896</v>
      </c>
      <c r="K252" s="2" t="s">
        <v>1592</v>
      </c>
      <c r="L252" s="2" t="s">
        <v>1593</v>
      </c>
      <c r="M252" s="2" t="s">
        <v>1647</v>
      </c>
      <c r="O252" s="2" t="s">
        <v>1596</v>
      </c>
      <c r="P252" s="2" t="s">
        <v>1897</v>
      </c>
      <c r="Q252" s="2" t="s">
        <v>577</v>
      </c>
      <c r="R252" s="2" t="s">
        <v>577</v>
      </c>
    </row>
    <row r="253" spans="1:18">
      <c r="A253" s="2" t="s">
        <v>1904</v>
      </c>
      <c r="B253" s="2" t="s">
        <v>1988</v>
      </c>
      <c r="C253" s="2" t="s">
        <v>1174</v>
      </c>
      <c r="D253" s="2" t="s">
        <v>780</v>
      </c>
      <c r="E253" s="2" t="s">
        <v>1893</v>
      </c>
      <c r="F253" s="2" t="s">
        <v>1894</v>
      </c>
      <c r="G253" s="2" t="s">
        <v>1904</v>
      </c>
      <c r="H253" s="2" t="s">
        <v>577</v>
      </c>
      <c r="I253" s="2" t="s">
        <v>1896</v>
      </c>
      <c r="K253" s="2" t="s">
        <v>1592</v>
      </c>
      <c r="L253" s="2" t="s">
        <v>1593</v>
      </c>
      <c r="M253" s="2" t="s">
        <v>1647</v>
      </c>
      <c r="O253" s="2" t="s">
        <v>1596</v>
      </c>
      <c r="P253" s="2" t="s">
        <v>1897</v>
      </c>
      <c r="Q253" s="2" t="s">
        <v>577</v>
      </c>
      <c r="R253" s="2" t="s">
        <v>577</v>
      </c>
    </row>
    <row r="254" spans="1:18">
      <c r="A254" s="2" t="s">
        <v>1904</v>
      </c>
      <c r="B254" s="2" t="s">
        <v>1989</v>
      </c>
      <c r="C254" s="2" t="s">
        <v>1174</v>
      </c>
      <c r="D254" s="2" t="s">
        <v>780</v>
      </c>
      <c r="E254" s="2" t="s">
        <v>1893</v>
      </c>
      <c r="F254" s="2" t="s">
        <v>1894</v>
      </c>
      <c r="G254" s="2" t="s">
        <v>1904</v>
      </c>
      <c r="H254" s="2" t="s">
        <v>577</v>
      </c>
      <c r="I254" s="2" t="s">
        <v>1896</v>
      </c>
      <c r="K254" s="2" t="s">
        <v>1592</v>
      </c>
      <c r="L254" s="2" t="s">
        <v>1593</v>
      </c>
      <c r="M254" s="2" t="s">
        <v>1647</v>
      </c>
      <c r="O254" s="2" t="s">
        <v>1596</v>
      </c>
      <c r="P254" s="2" t="s">
        <v>1897</v>
      </c>
      <c r="Q254" s="2" t="s">
        <v>577</v>
      </c>
      <c r="R254" s="2" t="s">
        <v>577</v>
      </c>
    </row>
    <row r="255" spans="1:18">
      <c r="A255" s="2" t="s">
        <v>1904</v>
      </c>
      <c r="B255" s="2" t="s">
        <v>1990</v>
      </c>
      <c r="C255" s="2" t="s">
        <v>1162</v>
      </c>
      <c r="D255" s="2" t="s">
        <v>780</v>
      </c>
      <c r="E255" s="2" t="s">
        <v>1893</v>
      </c>
      <c r="F255" s="2" t="s">
        <v>1894</v>
      </c>
      <c r="G255" s="2" t="s">
        <v>1904</v>
      </c>
      <c r="H255" s="2" t="s">
        <v>577</v>
      </c>
      <c r="I255" s="2" t="s">
        <v>1896</v>
      </c>
      <c r="K255" s="2" t="s">
        <v>1592</v>
      </c>
      <c r="L255" s="2" t="s">
        <v>1593</v>
      </c>
      <c r="M255" s="2" t="s">
        <v>1647</v>
      </c>
      <c r="O255" s="2" t="s">
        <v>1822</v>
      </c>
      <c r="P255" s="2" t="s">
        <v>1897</v>
      </c>
      <c r="Q255" s="2" t="s">
        <v>577</v>
      </c>
      <c r="R255" s="2" t="s">
        <v>577</v>
      </c>
    </row>
    <row r="256" spans="1:18">
      <c r="A256" s="2" t="s">
        <v>1904</v>
      </c>
      <c r="B256" s="2" t="s">
        <v>1991</v>
      </c>
      <c r="C256" s="2" t="s">
        <v>1174</v>
      </c>
      <c r="D256" s="2" t="s">
        <v>780</v>
      </c>
      <c r="E256" s="2" t="s">
        <v>1893</v>
      </c>
      <c r="F256" s="2" t="s">
        <v>1894</v>
      </c>
      <c r="G256" s="2" t="s">
        <v>1904</v>
      </c>
      <c r="H256" s="2" t="s">
        <v>577</v>
      </c>
      <c r="I256" s="2" t="s">
        <v>1896</v>
      </c>
      <c r="K256" s="2" t="s">
        <v>1592</v>
      </c>
      <c r="L256" s="2" t="s">
        <v>1593</v>
      </c>
      <c r="M256" s="2" t="s">
        <v>1647</v>
      </c>
      <c r="O256" s="2" t="s">
        <v>1596</v>
      </c>
      <c r="P256" s="2" t="s">
        <v>1897</v>
      </c>
      <c r="Q256" s="2" t="s">
        <v>577</v>
      </c>
      <c r="R256" s="2" t="s">
        <v>577</v>
      </c>
    </row>
    <row r="257" spans="1:18">
      <c r="A257" s="2" t="s">
        <v>1919</v>
      </c>
      <c r="B257" s="2" t="s">
        <v>1992</v>
      </c>
      <c r="C257" s="2" t="s">
        <v>1175</v>
      </c>
      <c r="D257" s="2" t="s">
        <v>780</v>
      </c>
      <c r="E257" s="2" t="s">
        <v>1893</v>
      </c>
      <c r="F257" s="2" t="s">
        <v>1894</v>
      </c>
      <c r="G257" s="2" t="s">
        <v>1919</v>
      </c>
      <c r="H257" s="2" t="s">
        <v>588</v>
      </c>
      <c r="I257" s="2" t="s">
        <v>1896</v>
      </c>
      <c r="K257" s="2" t="s">
        <v>1592</v>
      </c>
      <c r="L257" s="2" t="s">
        <v>1593</v>
      </c>
      <c r="M257" s="2" t="s">
        <v>1647</v>
      </c>
      <c r="O257" s="2" t="s">
        <v>1596</v>
      </c>
      <c r="P257" s="2" t="s">
        <v>1897</v>
      </c>
      <c r="Q257" s="2" t="s">
        <v>577</v>
      </c>
      <c r="R257" s="2" t="s">
        <v>577</v>
      </c>
    </row>
    <row r="258" spans="1:18">
      <c r="A258" s="2" t="s">
        <v>1919</v>
      </c>
      <c r="B258" s="2" t="s">
        <v>1993</v>
      </c>
      <c r="C258" s="2" t="s">
        <v>1175</v>
      </c>
      <c r="D258" s="2" t="s">
        <v>780</v>
      </c>
      <c r="E258" s="2" t="s">
        <v>1893</v>
      </c>
      <c r="F258" s="2" t="s">
        <v>1894</v>
      </c>
      <c r="G258" s="2" t="s">
        <v>1919</v>
      </c>
      <c r="H258" s="2" t="s">
        <v>577</v>
      </c>
      <c r="I258" s="2" t="s">
        <v>1896</v>
      </c>
      <c r="K258" s="2" t="s">
        <v>1592</v>
      </c>
      <c r="L258" s="2" t="s">
        <v>1593</v>
      </c>
      <c r="M258" s="2" t="s">
        <v>1647</v>
      </c>
      <c r="O258" s="2" t="s">
        <v>1596</v>
      </c>
      <c r="P258" s="2" t="s">
        <v>1897</v>
      </c>
      <c r="Q258" s="2" t="s">
        <v>577</v>
      </c>
      <c r="R258" s="2" t="s">
        <v>577</v>
      </c>
    </row>
    <row r="259" spans="1:18">
      <c r="A259" s="2" t="s">
        <v>1919</v>
      </c>
      <c r="B259" s="2" t="s">
        <v>1994</v>
      </c>
      <c r="C259" s="2" t="s">
        <v>1175</v>
      </c>
      <c r="D259" s="2" t="s">
        <v>780</v>
      </c>
      <c r="E259" s="2" t="s">
        <v>1893</v>
      </c>
      <c r="F259" s="2" t="s">
        <v>1894</v>
      </c>
      <c r="G259" s="2" t="s">
        <v>1919</v>
      </c>
      <c r="H259" s="2" t="s">
        <v>577</v>
      </c>
      <c r="I259" s="2" t="s">
        <v>1896</v>
      </c>
      <c r="K259" s="2" t="s">
        <v>1592</v>
      </c>
      <c r="L259" s="2" t="s">
        <v>1593</v>
      </c>
      <c r="M259" s="2" t="s">
        <v>1647</v>
      </c>
      <c r="O259" s="2" t="s">
        <v>1596</v>
      </c>
      <c r="P259" s="2" t="s">
        <v>1897</v>
      </c>
      <c r="Q259" s="2" t="s">
        <v>577</v>
      </c>
      <c r="R259" s="2" t="s">
        <v>577</v>
      </c>
    </row>
    <row r="260" spans="1:18">
      <c r="A260" s="2" t="s">
        <v>1919</v>
      </c>
      <c r="B260" s="2" t="s">
        <v>1995</v>
      </c>
      <c r="C260" s="2" t="s">
        <v>1163</v>
      </c>
      <c r="D260" s="2" t="s">
        <v>780</v>
      </c>
      <c r="E260" s="2" t="s">
        <v>1893</v>
      </c>
      <c r="F260" s="2" t="s">
        <v>1894</v>
      </c>
      <c r="G260" s="2" t="s">
        <v>1919</v>
      </c>
      <c r="H260" s="2" t="s">
        <v>577</v>
      </c>
      <c r="I260" s="2" t="s">
        <v>1896</v>
      </c>
      <c r="K260" s="2" t="s">
        <v>1592</v>
      </c>
      <c r="L260" s="2" t="s">
        <v>1593</v>
      </c>
      <c r="M260" s="2" t="s">
        <v>1647</v>
      </c>
      <c r="O260" s="2" t="s">
        <v>1822</v>
      </c>
      <c r="P260" s="2" t="s">
        <v>1897</v>
      </c>
      <c r="Q260" s="2" t="s">
        <v>577</v>
      </c>
      <c r="R260" s="2" t="s">
        <v>577</v>
      </c>
    </row>
    <row r="261" spans="1:18">
      <c r="A261" s="2" t="s">
        <v>1919</v>
      </c>
      <c r="B261" s="2" t="s">
        <v>1996</v>
      </c>
      <c r="C261" s="2" t="s">
        <v>1175</v>
      </c>
      <c r="D261" s="2" t="s">
        <v>780</v>
      </c>
      <c r="E261" s="2" t="s">
        <v>1893</v>
      </c>
      <c r="F261" s="2" t="s">
        <v>1894</v>
      </c>
      <c r="G261" s="2" t="s">
        <v>1919</v>
      </c>
      <c r="H261" s="2" t="s">
        <v>577</v>
      </c>
      <c r="I261" s="2" t="s">
        <v>1896</v>
      </c>
      <c r="K261" s="2" t="s">
        <v>1592</v>
      </c>
      <c r="L261" s="2" t="s">
        <v>1593</v>
      </c>
      <c r="M261" s="2" t="s">
        <v>1647</v>
      </c>
      <c r="O261" s="2" t="s">
        <v>1596</v>
      </c>
      <c r="P261" s="2" t="s">
        <v>1897</v>
      </c>
      <c r="Q261" s="2" t="s">
        <v>577</v>
      </c>
      <c r="R261" s="2" t="s">
        <v>577</v>
      </c>
    </row>
    <row r="262" spans="1:18">
      <c r="A262" s="2" t="s">
        <v>1895</v>
      </c>
      <c r="B262" s="2" t="s">
        <v>1997</v>
      </c>
      <c r="C262" s="2" t="s">
        <v>1172</v>
      </c>
      <c r="D262" s="2" t="s">
        <v>780</v>
      </c>
      <c r="E262" s="2" t="s">
        <v>1893</v>
      </c>
      <c r="F262" s="2" t="s">
        <v>1894</v>
      </c>
      <c r="G262" s="2" t="s">
        <v>1895</v>
      </c>
      <c r="H262" s="2" t="s">
        <v>577</v>
      </c>
      <c r="I262" s="2" t="s">
        <v>1896</v>
      </c>
      <c r="K262" s="2" t="s">
        <v>1592</v>
      </c>
      <c r="L262" s="2" t="s">
        <v>1593</v>
      </c>
      <c r="M262" s="2" t="s">
        <v>1647</v>
      </c>
      <c r="O262" s="2" t="s">
        <v>1596</v>
      </c>
      <c r="P262" s="2" t="s">
        <v>1897</v>
      </c>
      <c r="Q262" s="2" t="s">
        <v>577</v>
      </c>
      <c r="R262" s="2" t="s">
        <v>577</v>
      </c>
    </row>
    <row r="263" spans="1:18">
      <c r="A263" s="2" t="s">
        <v>1895</v>
      </c>
      <c r="B263" s="2" t="s">
        <v>1998</v>
      </c>
      <c r="C263" s="2" t="s">
        <v>1168</v>
      </c>
      <c r="D263" s="2" t="s">
        <v>780</v>
      </c>
      <c r="E263" s="2" t="s">
        <v>1893</v>
      </c>
      <c r="F263" s="2" t="s">
        <v>1894</v>
      </c>
      <c r="G263" s="2" t="s">
        <v>1895</v>
      </c>
      <c r="H263" s="2" t="s">
        <v>577</v>
      </c>
      <c r="I263" s="2" t="s">
        <v>1896</v>
      </c>
      <c r="K263" s="2" t="s">
        <v>1592</v>
      </c>
      <c r="L263" s="2" t="s">
        <v>1593</v>
      </c>
      <c r="M263" s="2" t="s">
        <v>1647</v>
      </c>
      <c r="O263" s="2" t="s">
        <v>1596</v>
      </c>
      <c r="P263" s="2" t="s">
        <v>1897</v>
      </c>
      <c r="Q263" s="2" t="s">
        <v>577</v>
      </c>
      <c r="R263" s="2" t="s">
        <v>577</v>
      </c>
    </row>
    <row r="264" spans="1:18">
      <c r="A264" s="2" t="s">
        <v>1895</v>
      </c>
      <c r="B264" s="2" t="s">
        <v>1999</v>
      </c>
      <c r="C264" s="2" t="s">
        <v>1172</v>
      </c>
      <c r="D264" s="2" t="s">
        <v>780</v>
      </c>
      <c r="E264" s="2" t="s">
        <v>1893</v>
      </c>
      <c r="F264" s="2" t="s">
        <v>1894</v>
      </c>
      <c r="G264" s="2" t="s">
        <v>1895</v>
      </c>
      <c r="H264" s="2" t="s">
        <v>577</v>
      </c>
      <c r="I264" s="2" t="s">
        <v>1896</v>
      </c>
      <c r="K264" s="2" t="s">
        <v>1592</v>
      </c>
      <c r="L264" s="2" t="s">
        <v>1593</v>
      </c>
      <c r="M264" s="2" t="s">
        <v>1647</v>
      </c>
      <c r="O264" s="2" t="s">
        <v>1596</v>
      </c>
      <c r="P264" s="2" t="s">
        <v>1897</v>
      </c>
      <c r="Q264" s="2" t="s">
        <v>577</v>
      </c>
      <c r="R264" s="2" t="s">
        <v>577</v>
      </c>
    </row>
    <row r="265" spans="1:18">
      <c r="A265" s="2" t="s">
        <v>1895</v>
      </c>
      <c r="B265" s="2" t="s">
        <v>2000</v>
      </c>
      <c r="C265" s="2" t="s">
        <v>1160</v>
      </c>
      <c r="D265" s="2" t="s">
        <v>780</v>
      </c>
      <c r="E265" s="2" t="s">
        <v>1893</v>
      </c>
      <c r="F265" s="2" t="s">
        <v>1894</v>
      </c>
      <c r="G265" s="2" t="s">
        <v>1895</v>
      </c>
      <c r="H265" s="2" t="s">
        <v>577</v>
      </c>
      <c r="I265" s="2" t="s">
        <v>1896</v>
      </c>
      <c r="K265" s="2" t="s">
        <v>1592</v>
      </c>
      <c r="L265" s="2" t="s">
        <v>1593</v>
      </c>
      <c r="M265" s="2" t="s">
        <v>1647</v>
      </c>
      <c r="O265" s="2" t="s">
        <v>1822</v>
      </c>
      <c r="P265" s="2" t="s">
        <v>1897</v>
      </c>
      <c r="Q265" s="2" t="s">
        <v>577</v>
      </c>
      <c r="R265" s="2" t="s">
        <v>577</v>
      </c>
    </row>
    <row r="266" spans="1:18">
      <c r="A266" s="2" t="s">
        <v>1895</v>
      </c>
      <c r="B266" s="2" t="s">
        <v>2001</v>
      </c>
      <c r="C266" s="2" t="s">
        <v>1160</v>
      </c>
      <c r="D266" s="2" t="s">
        <v>780</v>
      </c>
      <c r="E266" s="2" t="s">
        <v>1893</v>
      </c>
      <c r="F266" s="2" t="s">
        <v>1894</v>
      </c>
      <c r="G266" s="2" t="s">
        <v>1895</v>
      </c>
      <c r="H266" s="2" t="s">
        <v>577</v>
      </c>
      <c r="I266" s="2" t="s">
        <v>1896</v>
      </c>
      <c r="K266" s="2" t="s">
        <v>1592</v>
      </c>
      <c r="L266" s="2" t="s">
        <v>1593</v>
      </c>
      <c r="M266" s="2" t="s">
        <v>1647</v>
      </c>
      <c r="P266" s="2" t="s">
        <v>1897</v>
      </c>
      <c r="Q266" s="2" t="s">
        <v>577</v>
      </c>
      <c r="R266" s="2" t="s">
        <v>577</v>
      </c>
    </row>
    <row r="267" spans="1:18">
      <c r="A267" s="2" t="s">
        <v>1895</v>
      </c>
      <c r="B267" s="2" t="s">
        <v>2002</v>
      </c>
      <c r="C267" s="2" t="s">
        <v>1164</v>
      </c>
      <c r="D267" s="2" t="s">
        <v>780</v>
      </c>
      <c r="E267" s="2" t="s">
        <v>1893</v>
      </c>
      <c r="F267" s="2" t="s">
        <v>1894</v>
      </c>
      <c r="G267" s="2" t="s">
        <v>1895</v>
      </c>
      <c r="H267" s="2" t="s">
        <v>577</v>
      </c>
      <c r="I267" s="2" t="s">
        <v>1896</v>
      </c>
      <c r="K267" s="2" t="s">
        <v>1592</v>
      </c>
      <c r="L267" s="2" t="s">
        <v>1593</v>
      </c>
      <c r="M267" s="2" t="s">
        <v>1647</v>
      </c>
      <c r="P267" s="2" t="s">
        <v>1897</v>
      </c>
      <c r="Q267" s="2" t="s">
        <v>577</v>
      </c>
      <c r="R267" s="2" t="s">
        <v>577</v>
      </c>
    </row>
    <row r="268" spans="1:18">
      <c r="A268" s="2" t="s">
        <v>1904</v>
      </c>
      <c r="B268" s="2" t="s">
        <v>2003</v>
      </c>
      <c r="C268" s="2" t="s">
        <v>1174</v>
      </c>
      <c r="D268" s="2" t="s">
        <v>780</v>
      </c>
      <c r="E268" s="2" t="s">
        <v>1893</v>
      </c>
      <c r="F268" s="2" t="s">
        <v>1894</v>
      </c>
      <c r="G268" s="2" t="s">
        <v>1904</v>
      </c>
      <c r="H268" s="2" t="s">
        <v>577</v>
      </c>
      <c r="I268" s="2" t="s">
        <v>1896</v>
      </c>
      <c r="K268" s="2" t="s">
        <v>1592</v>
      </c>
      <c r="L268" s="2" t="s">
        <v>1593</v>
      </c>
      <c r="M268" s="2" t="s">
        <v>1647</v>
      </c>
      <c r="O268" s="2" t="s">
        <v>1596</v>
      </c>
      <c r="P268" s="2" t="s">
        <v>1897</v>
      </c>
      <c r="Q268" s="2" t="s">
        <v>577</v>
      </c>
      <c r="R268" s="2" t="s">
        <v>577</v>
      </c>
    </row>
    <row r="269" spans="1:18">
      <c r="A269" s="2" t="s">
        <v>1904</v>
      </c>
      <c r="B269" s="2" t="s">
        <v>2004</v>
      </c>
      <c r="C269" s="2" t="s">
        <v>1170</v>
      </c>
      <c r="D269" s="2" t="s">
        <v>780</v>
      </c>
      <c r="E269" s="2" t="s">
        <v>1893</v>
      </c>
      <c r="F269" s="2" t="s">
        <v>1894</v>
      </c>
      <c r="G269" s="2" t="s">
        <v>1904</v>
      </c>
      <c r="H269" s="2" t="s">
        <v>577</v>
      </c>
      <c r="I269" s="2" t="s">
        <v>1896</v>
      </c>
      <c r="K269" s="2" t="s">
        <v>1592</v>
      </c>
      <c r="L269" s="2" t="s">
        <v>1593</v>
      </c>
      <c r="M269" s="2" t="s">
        <v>1647</v>
      </c>
      <c r="O269" s="2" t="s">
        <v>1596</v>
      </c>
      <c r="P269" s="2" t="s">
        <v>1897</v>
      </c>
      <c r="Q269" s="2" t="s">
        <v>577</v>
      </c>
      <c r="R269" s="2" t="s">
        <v>577</v>
      </c>
    </row>
    <row r="270" spans="1:18">
      <c r="A270" s="2" t="s">
        <v>1904</v>
      </c>
      <c r="B270" s="2" t="s">
        <v>2005</v>
      </c>
      <c r="C270" s="2" t="s">
        <v>1174</v>
      </c>
      <c r="D270" s="2" t="s">
        <v>780</v>
      </c>
      <c r="E270" s="2" t="s">
        <v>1893</v>
      </c>
      <c r="F270" s="2" t="s">
        <v>1894</v>
      </c>
      <c r="G270" s="2" t="s">
        <v>1904</v>
      </c>
      <c r="H270" s="2" t="s">
        <v>577</v>
      </c>
      <c r="I270" s="2" t="s">
        <v>1896</v>
      </c>
      <c r="K270" s="2" t="s">
        <v>1592</v>
      </c>
      <c r="L270" s="2" t="s">
        <v>1593</v>
      </c>
      <c r="M270" s="2" t="s">
        <v>1647</v>
      </c>
      <c r="O270" s="2" t="s">
        <v>1596</v>
      </c>
      <c r="P270" s="2" t="s">
        <v>1897</v>
      </c>
      <c r="Q270" s="2" t="s">
        <v>577</v>
      </c>
      <c r="R270" s="2" t="s">
        <v>577</v>
      </c>
    </row>
    <row r="271" spans="1:18">
      <c r="A271" s="2" t="s">
        <v>1904</v>
      </c>
      <c r="B271" s="2" t="s">
        <v>2006</v>
      </c>
      <c r="C271" s="2" t="s">
        <v>1162</v>
      </c>
      <c r="D271" s="2" t="s">
        <v>780</v>
      </c>
      <c r="E271" s="2" t="s">
        <v>1893</v>
      </c>
      <c r="F271" s="2" t="s">
        <v>1894</v>
      </c>
      <c r="G271" s="2" t="s">
        <v>1904</v>
      </c>
      <c r="H271" s="2" t="s">
        <v>577</v>
      </c>
      <c r="I271" s="2" t="s">
        <v>1896</v>
      </c>
      <c r="K271" s="2" t="s">
        <v>1592</v>
      </c>
      <c r="L271" s="2" t="s">
        <v>1593</v>
      </c>
      <c r="M271" s="2" t="s">
        <v>1647</v>
      </c>
      <c r="O271" s="2" t="s">
        <v>1822</v>
      </c>
      <c r="P271" s="2" t="s">
        <v>1897</v>
      </c>
      <c r="Q271" s="2" t="s">
        <v>577</v>
      </c>
      <c r="R271" s="2" t="s">
        <v>577</v>
      </c>
    </row>
    <row r="272" spans="1:18">
      <c r="A272" s="2" t="s">
        <v>1904</v>
      </c>
      <c r="B272" s="2" t="s">
        <v>2007</v>
      </c>
      <c r="C272" s="2" t="s">
        <v>1162</v>
      </c>
      <c r="D272" s="2" t="s">
        <v>780</v>
      </c>
      <c r="E272" s="2" t="s">
        <v>1893</v>
      </c>
      <c r="F272" s="2" t="s">
        <v>1894</v>
      </c>
      <c r="G272" s="2" t="s">
        <v>1904</v>
      </c>
      <c r="H272" s="2" t="s">
        <v>577</v>
      </c>
      <c r="I272" s="2" t="s">
        <v>1896</v>
      </c>
      <c r="K272" s="2" t="s">
        <v>1592</v>
      </c>
      <c r="L272" s="2" t="s">
        <v>1593</v>
      </c>
      <c r="M272" s="2" t="s">
        <v>1647</v>
      </c>
      <c r="O272" s="2" t="s">
        <v>1822</v>
      </c>
      <c r="P272" s="2" t="s">
        <v>1897</v>
      </c>
      <c r="Q272" s="2" t="s">
        <v>577</v>
      </c>
      <c r="R272" s="2" t="s">
        <v>577</v>
      </c>
    </row>
    <row r="273" spans="1:18">
      <c r="A273" s="2" t="s">
        <v>1904</v>
      </c>
      <c r="B273" s="2" t="s">
        <v>2008</v>
      </c>
      <c r="C273" s="2" t="s">
        <v>1166</v>
      </c>
      <c r="D273" s="2" t="s">
        <v>780</v>
      </c>
      <c r="E273" s="2" t="s">
        <v>1893</v>
      </c>
      <c r="F273" s="2" t="s">
        <v>1894</v>
      </c>
      <c r="G273" s="2" t="s">
        <v>1904</v>
      </c>
      <c r="H273" s="2" t="s">
        <v>577</v>
      </c>
      <c r="I273" s="2" t="s">
        <v>1896</v>
      </c>
      <c r="K273" s="2" t="s">
        <v>1592</v>
      </c>
      <c r="L273" s="2" t="s">
        <v>1593</v>
      </c>
      <c r="M273" s="2" t="s">
        <v>1647</v>
      </c>
      <c r="P273" s="2" t="s">
        <v>1897</v>
      </c>
      <c r="Q273" s="2" t="s">
        <v>577</v>
      </c>
      <c r="R273" s="2" t="s">
        <v>577</v>
      </c>
    </row>
    <row r="274" spans="1:18">
      <c r="A274" s="2" t="s">
        <v>1895</v>
      </c>
      <c r="B274" s="2" t="s">
        <v>2009</v>
      </c>
      <c r="C274" s="2" t="s">
        <v>1172</v>
      </c>
      <c r="D274" s="2" t="s">
        <v>780</v>
      </c>
      <c r="E274" s="2" t="s">
        <v>1893</v>
      </c>
      <c r="F274" s="2" t="s">
        <v>1894</v>
      </c>
      <c r="G274" s="2" t="s">
        <v>1895</v>
      </c>
      <c r="H274" s="2" t="s">
        <v>588</v>
      </c>
      <c r="I274" s="2" t="s">
        <v>1896</v>
      </c>
      <c r="K274" s="2" t="s">
        <v>1592</v>
      </c>
      <c r="L274" s="2" t="s">
        <v>1593</v>
      </c>
      <c r="M274" s="2" t="s">
        <v>1647</v>
      </c>
      <c r="O274" s="2" t="s">
        <v>1596</v>
      </c>
      <c r="P274" s="2" t="s">
        <v>1897</v>
      </c>
      <c r="Q274" s="2" t="s">
        <v>577</v>
      </c>
      <c r="R274" s="2" t="s">
        <v>577</v>
      </c>
    </row>
    <row r="275" spans="1:18">
      <c r="A275" s="2" t="s">
        <v>1895</v>
      </c>
      <c r="B275" s="2" t="s">
        <v>2010</v>
      </c>
      <c r="C275" s="2" t="s">
        <v>1172</v>
      </c>
      <c r="D275" s="2" t="s">
        <v>780</v>
      </c>
      <c r="E275" s="2" t="s">
        <v>1893</v>
      </c>
      <c r="F275" s="2" t="s">
        <v>1894</v>
      </c>
      <c r="G275" s="2" t="s">
        <v>1895</v>
      </c>
      <c r="H275" s="2" t="s">
        <v>577</v>
      </c>
      <c r="I275" s="2" t="s">
        <v>1896</v>
      </c>
      <c r="K275" s="2" t="s">
        <v>1592</v>
      </c>
      <c r="L275" s="2" t="s">
        <v>1593</v>
      </c>
      <c r="M275" s="2" t="s">
        <v>1647</v>
      </c>
      <c r="O275" s="2" t="s">
        <v>1596</v>
      </c>
      <c r="P275" s="2" t="s">
        <v>1897</v>
      </c>
      <c r="Q275" s="2" t="s">
        <v>577</v>
      </c>
      <c r="R275" s="2" t="s">
        <v>577</v>
      </c>
    </row>
    <row r="276" spans="1:18">
      <c r="A276" s="2" t="s">
        <v>1895</v>
      </c>
      <c r="B276" s="2" t="s">
        <v>2011</v>
      </c>
      <c r="C276" s="2" t="s">
        <v>1172</v>
      </c>
      <c r="D276" s="2" t="s">
        <v>780</v>
      </c>
      <c r="E276" s="2" t="s">
        <v>1893</v>
      </c>
      <c r="F276" s="2" t="s">
        <v>1894</v>
      </c>
      <c r="G276" s="2" t="s">
        <v>1895</v>
      </c>
      <c r="H276" s="2" t="s">
        <v>577</v>
      </c>
      <c r="I276" s="2" t="s">
        <v>1896</v>
      </c>
      <c r="K276" s="2" t="s">
        <v>1592</v>
      </c>
      <c r="L276" s="2" t="s">
        <v>1593</v>
      </c>
      <c r="M276" s="2" t="s">
        <v>1647</v>
      </c>
      <c r="O276" s="2" t="s">
        <v>1596</v>
      </c>
      <c r="P276" s="2" t="s">
        <v>1897</v>
      </c>
      <c r="Q276" s="2" t="s">
        <v>577</v>
      </c>
      <c r="R276" s="2" t="s">
        <v>577</v>
      </c>
    </row>
    <row r="277" spans="1:18">
      <c r="A277" s="2" t="s">
        <v>1895</v>
      </c>
      <c r="B277" s="2" t="s">
        <v>2012</v>
      </c>
      <c r="C277" s="2" t="s">
        <v>1160</v>
      </c>
      <c r="D277" s="2" t="s">
        <v>780</v>
      </c>
      <c r="E277" s="2" t="s">
        <v>1893</v>
      </c>
      <c r="F277" s="2" t="s">
        <v>1894</v>
      </c>
      <c r="G277" s="2" t="s">
        <v>1895</v>
      </c>
      <c r="H277" s="2" t="s">
        <v>577</v>
      </c>
      <c r="I277" s="2" t="s">
        <v>1896</v>
      </c>
      <c r="K277" s="2" t="s">
        <v>1592</v>
      </c>
      <c r="L277" s="2" t="s">
        <v>1593</v>
      </c>
      <c r="M277" s="2" t="s">
        <v>1647</v>
      </c>
      <c r="O277" s="2" t="s">
        <v>1822</v>
      </c>
      <c r="P277" s="2" t="s">
        <v>1897</v>
      </c>
      <c r="Q277" s="2" t="s">
        <v>577</v>
      </c>
      <c r="R277" s="2" t="s">
        <v>577</v>
      </c>
    </row>
    <row r="278" spans="1:18">
      <c r="A278" s="2" t="s">
        <v>1895</v>
      </c>
      <c r="B278" s="2" t="s">
        <v>2013</v>
      </c>
      <c r="C278" s="2" t="s">
        <v>1172</v>
      </c>
      <c r="D278" s="2" t="s">
        <v>780</v>
      </c>
      <c r="E278" s="2" t="s">
        <v>1893</v>
      </c>
      <c r="F278" s="2" t="s">
        <v>1894</v>
      </c>
      <c r="G278" s="2" t="s">
        <v>1895</v>
      </c>
      <c r="H278" s="2" t="s">
        <v>577</v>
      </c>
      <c r="I278" s="2" t="s">
        <v>1896</v>
      </c>
      <c r="K278" s="2" t="s">
        <v>1592</v>
      </c>
      <c r="L278" s="2" t="s">
        <v>1593</v>
      </c>
      <c r="M278" s="2" t="s">
        <v>1647</v>
      </c>
      <c r="O278" s="2" t="s">
        <v>1596</v>
      </c>
      <c r="P278" s="2" t="s">
        <v>1897</v>
      </c>
      <c r="Q278" s="2" t="s">
        <v>577</v>
      </c>
      <c r="R278" s="2" t="s">
        <v>577</v>
      </c>
    </row>
    <row r="279" spans="1:18">
      <c r="A279" s="2" t="s">
        <v>1895</v>
      </c>
      <c r="B279" s="2" t="s">
        <v>2014</v>
      </c>
      <c r="C279" s="2" t="s">
        <v>1172</v>
      </c>
      <c r="D279" s="2" t="s">
        <v>780</v>
      </c>
      <c r="E279" s="2" t="s">
        <v>1893</v>
      </c>
      <c r="F279" s="2" t="s">
        <v>1894</v>
      </c>
      <c r="G279" s="2" t="s">
        <v>1895</v>
      </c>
      <c r="H279" s="2" t="s">
        <v>577</v>
      </c>
      <c r="I279" s="2" t="s">
        <v>1896</v>
      </c>
      <c r="K279" s="2" t="s">
        <v>1592</v>
      </c>
      <c r="L279" s="2" t="s">
        <v>1593</v>
      </c>
      <c r="M279" s="2" t="s">
        <v>1647</v>
      </c>
      <c r="O279" s="2" t="s">
        <v>1596</v>
      </c>
      <c r="P279" s="2" t="s">
        <v>1897</v>
      </c>
      <c r="Q279" s="2" t="s">
        <v>577</v>
      </c>
      <c r="R279" s="2" t="s">
        <v>577</v>
      </c>
    </row>
    <row r="280" spans="2:18">
      <c r="B280" s="2" t="s">
        <v>2015</v>
      </c>
      <c r="C280" s="2" t="s">
        <v>1172</v>
      </c>
      <c r="D280" s="2" t="s">
        <v>780</v>
      </c>
      <c r="E280" s="2" t="s">
        <v>362</v>
      </c>
      <c r="F280" s="2" t="s">
        <v>1894</v>
      </c>
      <c r="G280" s="2" t="s">
        <v>1895</v>
      </c>
      <c r="H280" s="2" t="s">
        <v>577</v>
      </c>
      <c r="I280" s="2" t="s">
        <v>1896</v>
      </c>
      <c r="K280" s="2" t="s">
        <v>1592</v>
      </c>
      <c r="L280" s="2" t="s">
        <v>1593</v>
      </c>
      <c r="M280" s="2" t="s">
        <v>1647</v>
      </c>
      <c r="O280" s="2" t="s">
        <v>1834</v>
      </c>
      <c r="P280" s="2" t="s">
        <v>1897</v>
      </c>
      <c r="Q280" s="2" t="s">
        <v>577</v>
      </c>
      <c r="R280" s="2" t="s">
        <v>577</v>
      </c>
    </row>
    <row r="281" spans="2:18">
      <c r="B281" s="2" t="s">
        <v>2016</v>
      </c>
      <c r="C281" s="2" t="s">
        <v>1197</v>
      </c>
      <c r="D281" s="2" t="s">
        <v>780</v>
      </c>
      <c r="E281" s="2" t="s">
        <v>1893</v>
      </c>
      <c r="F281" s="2" t="s">
        <v>1894</v>
      </c>
      <c r="G281" s="2" t="s">
        <v>1895</v>
      </c>
      <c r="Q281" s="2" t="s">
        <v>577</v>
      </c>
      <c r="R281" s="2" t="s">
        <v>577</v>
      </c>
    </row>
    <row r="284" spans="1:19">
      <c r="A284" s="14" t="s">
        <v>2017</v>
      </c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</row>
    <row r="285" spans="2:18">
      <c r="B285" s="2" t="s">
        <v>2018</v>
      </c>
      <c r="C285" s="2" t="s">
        <v>2019</v>
      </c>
      <c r="D285" s="2" t="s">
        <v>780</v>
      </c>
      <c r="E285" s="2" t="s">
        <v>363</v>
      </c>
      <c r="F285" s="2" t="s">
        <v>2020</v>
      </c>
      <c r="G285" s="2" t="s">
        <v>2018</v>
      </c>
      <c r="H285" s="2" t="s">
        <v>577</v>
      </c>
      <c r="I285" s="2" t="s">
        <v>1586</v>
      </c>
      <c r="J285" s="2">
        <v>0</v>
      </c>
      <c r="K285" s="2" t="s">
        <v>1592</v>
      </c>
      <c r="L285" s="2" t="s">
        <v>1593</v>
      </c>
      <c r="M285" s="2" t="s">
        <v>1647</v>
      </c>
      <c r="N285" s="2" t="s">
        <v>1696</v>
      </c>
      <c r="O285" s="2" t="s">
        <v>2021</v>
      </c>
      <c r="P285" s="2" t="s">
        <v>2020</v>
      </c>
      <c r="Q285" s="2" t="s">
        <v>577</v>
      </c>
      <c r="R285" s="2" t="s">
        <v>588</v>
      </c>
    </row>
    <row r="286" spans="2:18">
      <c r="B286" s="2" t="s">
        <v>2022</v>
      </c>
      <c r="C286" s="2" t="s">
        <v>1500</v>
      </c>
      <c r="D286" s="2" t="s">
        <v>780</v>
      </c>
      <c r="E286" s="2" t="s">
        <v>363</v>
      </c>
      <c r="F286" s="2" t="s">
        <v>2020</v>
      </c>
      <c r="G286" s="2" t="s">
        <v>2023</v>
      </c>
      <c r="H286" s="2" t="s">
        <v>577</v>
      </c>
      <c r="I286" s="2" t="s">
        <v>1586</v>
      </c>
      <c r="J286" s="2">
        <v>0</v>
      </c>
      <c r="K286" s="2" t="s">
        <v>1592</v>
      </c>
      <c r="L286" s="2" t="s">
        <v>1593</v>
      </c>
      <c r="M286" s="2" t="s">
        <v>1647</v>
      </c>
      <c r="N286" s="2" t="s">
        <v>1696</v>
      </c>
      <c r="O286" s="2" t="s">
        <v>2021</v>
      </c>
      <c r="P286" s="2" t="s">
        <v>2020</v>
      </c>
      <c r="Q286" s="2" t="s">
        <v>577</v>
      </c>
      <c r="R286" s="2" t="s">
        <v>588</v>
      </c>
    </row>
    <row r="287" spans="2:18">
      <c r="B287" s="2" t="s">
        <v>181</v>
      </c>
      <c r="C287" s="2" t="s">
        <v>2024</v>
      </c>
      <c r="D287" s="2" t="s">
        <v>780</v>
      </c>
      <c r="E287" s="2" t="s">
        <v>363</v>
      </c>
      <c r="F287" s="2" t="s">
        <v>2020</v>
      </c>
      <c r="G287" s="2" t="s">
        <v>2025</v>
      </c>
      <c r="H287" s="2" t="s">
        <v>577</v>
      </c>
      <c r="I287" s="2" t="s">
        <v>1586</v>
      </c>
      <c r="J287" s="2">
        <v>0</v>
      </c>
      <c r="K287" s="2" t="s">
        <v>1592</v>
      </c>
      <c r="L287" s="2" t="s">
        <v>1593</v>
      </c>
      <c r="M287" s="2" t="s">
        <v>1647</v>
      </c>
      <c r="N287" s="2" t="s">
        <v>1696</v>
      </c>
      <c r="O287" s="2" t="s">
        <v>2021</v>
      </c>
      <c r="P287" s="2" t="s">
        <v>2020</v>
      </c>
      <c r="Q287" s="2" t="s">
        <v>577</v>
      </c>
      <c r="R287" s="2" t="s">
        <v>588</v>
      </c>
    </row>
    <row r="288" spans="2:18">
      <c r="B288" s="2" t="s">
        <v>2026</v>
      </c>
      <c r="C288" s="2" t="s">
        <v>1505</v>
      </c>
      <c r="D288" s="2" t="s">
        <v>780</v>
      </c>
      <c r="E288" s="2" t="s">
        <v>363</v>
      </c>
      <c r="F288" s="2" t="s">
        <v>2020</v>
      </c>
      <c r="G288" s="2" t="s">
        <v>2027</v>
      </c>
      <c r="H288" s="2" t="s">
        <v>577</v>
      </c>
      <c r="I288" s="2" t="s">
        <v>1586</v>
      </c>
      <c r="J288" s="2">
        <v>0</v>
      </c>
      <c r="K288" s="2" t="s">
        <v>1592</v>
      </c>
      <c r="L288" s="2" t="s">
        <v>1593</v>
      </c>
      <c r="M288" s="2" t="s">
        <v>1647</v>
      </c>
      <c r="N288" s="2" t="s">
        <v>1696</v>
      </c>
      <c r="O288" s="2" t="s">
        <v>2021</v>
      </c>
      <c r="P288" s="2" t="s">
        <v>2020</v>
      </c>
      <c r="Q288" s="2" t="s">
        <v>577</v>
      </c>
      <c r="R288" s="2" t="s">
        <v>588</v>
      </c>
    </row>
    <row r="289" spans="2:18">
      <c r="B289" s="2" t="s">
        <v>173</v>
      </c>
      <c r="C289" s="2" t="s">
        <v>1528</v>
      </c>
      <c r="D289" s="2" t="s">
        <v>780</v>
      </c>
      <c r="E289" s="2" t="s">
        <v>363</v>
      </c>
      <c r="F289" s="2" t="s">
        <v>2020</v>
      </c>
      <c r="G289" s="2" t="s">
        <v>2028</v>
      </c>
      <c r="H289" s="2" t="s">
        <v>577</v>
      </c>
      <c r="I289" s="2" t="s">
        <v>1586</v>
      </c>
      <c r="J289" s="2">
        <v>0</v>
      </c>
      <c r="K289" s="2" t="s">
        <v>1592</v>
      </c>
      <c r="L289" s="2" t="s">
        <v>1593</v>
      </c>
      <c r="M289" s="2" t="s">
        <v>1647</v>
      </c>
      <c r="N289" s="2" t="s">
        <v>1696</v>
      </c>
      <c r="O289" s="2" t="s">
        <v>2021</v>
      </c>
      <c r="P289" s="2" t="s">
        <v>2020</v>
      </c>
      <c r="Q289" s="2" t="s">
        <v>577</v>
      </c>
      <c r="R289" s="2" t="s">
        <v>588</v>
      </c>
    </row>
    <row r="290" spans="2:18">
      <c r="B290" s="2" t="s">
        <v>2029</v>
      </c>
      <c r="C290" s="2" t="s">
        <v>1468</v>
      </c>
      <c r="D290" s="2" t="s">
        <v>780</v>
      </c>
      <c r="E290" s="2" t="s">
        <v>363</v>
      </c>
      <c r="F290" s="2" t="s">
        <v>2020</v>
      </c>
      <c r="G290" s="2" t="s">
        <v>2030</v>
      </c>
      <c r="H290" s="2" t="s">
        <v>577</v>
      </c>
      <c r="I290" s="2" t="s">
        <v>1586</v>
      </c>
      <c r="J290" s="2">
        <v>0</v>
      </c>
      <c r="K290" s="2" t="s">
        <v>1592</v>
      </c>
      <c r="L290" s="2" t="s">
        <v>1593</v>
      </c>
      <c r="M290" s="2" t="s">
        <v>1647</v>
      </c>
      <c r="N290" s="2" t="s">
        <v>1696</v>
      </c>
      <c r="O290" s="2" t="s">
        <v>2021</v>
      </c>
      <c r="P290" s="2" t="s">
        <v>2020</v>
      </c>
      <c r="Q290" s="2" t="s">
        <v>577</v>
      </c>
      <c r="R290" s="2" t="s">
        <v>588</v>
      </c>
    </row>
    <row r="291" spans="2:18">
      <c r="B291" s="2" t="s">
        <v>2031</v>
      </c>
      <c r="C291" s="2" t="s">
        <v>2032</v>
      </c>
      <c r="D291" s="2" t="s">
        <v>780</v>
      </c>
      <c r="E291" s="2" t="s">
        <v>363</v>
      </c>
      <c r="F291" s="2" t="s">
        <v>2020</v>
      </c>
      <c r="G291" s="2" t="s">
        <v>2033</v>
      </c>
      <c r="H291" s="2" t="s">
        <v>577</v>
      </c>
      <c r="I291" s="2" t="s">
        <v>1586</v>
      </c>
      <c r="J291" s="2">
        <v>0</v>
      </c>
      <c r="K291" s="2" t="s">
        <v>1592</v>
      </c>
      <c r="L291" s="2" t="s">
        <v>1593</v>
      </c>
      <c r="M291" s="2" t="s">
        <v>1647</v>
      </c>
      <c r="N291" s="2" t="s">
        <v>1696</v>
      </c>
      <c r="O291" s="2" t="s">
        <v>2021</v>
      </c>
      <c r="P291" s="2" t="s">
        <v>2020</v>
      </c>
      <c r="Q291" s="2" t="s">
        <v>577</v>
      </c>
      <c r="R291" s="2" t="s">
        <v>588</v>
      </c>
    </row>
    <row r="292" spans="2:18">
      <c r="B292" s="2" t="s">
        <v>171</v>
      </c>
      <c r="C292" s="2" t="s">
        <v>2032</v>
      </c>
      <c r="D292" s="2" t="s">
        <v>780</v>
      </c>
      <c r="E292" s="2" t="s">
        <v>363</v>
      </c>
      <c r="F292" s="2" t="s">
        <v>2020</v>
      </c>
      <c r="G292" s="2" t="s">
        <v>2033</v>
      </c>
      <c r="H292" s="2" t="s">
        <v>577</v>
      </c>
      <c r="I292" s="2" t="s">
        <v>1586</v>
      </c>
      <c r="J292" s="2">
        <v>0</v>
      </c>
      <c r="K292" s="2" t="s">
        <v>1592</v>
      </c>
      <c r="L292" s="2" t="s">
        <v>1593</v>
      </c>
      <c r="M292" s="2" t="s">
        <v>1647</v>
      </c>
      <c r="N292" s="2" t="s">
        <v>1696</v>
      </c>
      <c r="O292" s="2" t="s">
        <v>2021</v>
      </c>
      <c r="P292" s="2" t="s">
        <v>2020</v>
      </c>
      <c r="Q292" s="2" t="s">
        <v>577</v>
      </c>
      <c r="R292" s="2" t="s">
        <v>588</v>
      </c>
    </row>
    <row r="293" spans="2:18">
      <c r="B293" s="2" t="s">
        <v>2034</v>
      </c>
      <c r="C293" s="2" t="s">
        <v>1504</v>
      </c>
      <c r="D293" s="2" t="s">
        <v>780</v>
      </c>
      <c r="E293" s="2" t="s">
        <v>363</v>
      </c>
      <c r="F293" s="2" t="s">
        <v>2020</v>
      </c>
      <c r="G293" s="2" t="s">
        <v>2035</v>
      </c>
      <c r="H293" s="2" t="s">
        <v>577</v>
      </c>
      <c r="I293" s="2" t="s">
        <v>1586</v>
      </c>
      <c r="J293" s="2">
        <v>0</v>
      </c>
      <c r="K293" s="2" t="s">
        <v>1592</v>
      </c>
      <c r="L293" s="2" t="s">
        <v>1593</v>
      </c>
      <c r="M293" s="2" t="s">
        <v>1647</v>
      </c>
      <c r="N293" s="2" t="s">
        <v>1696</v>
      </c>
      <c r="O293" s="2" t="s">
        <v>2021</v>
      </c>
      <c r="P293" s="2" t="s">
        <v>2020</v>
      </c>
      <c r="Q293" s="2" t="s">
        <v>577</v>
      </c>
      <c r="R293" s="2" t="s">
        <v>588</v>
      </c>
    </row>
    <row r="294" spans="2:18">
      <c r="B294" s="2" t="s">
        <v>175</v>
      </c>
      <c r="C294" s="2" t="s">
        <v>1528</v>
      </c>
      <c r="D294" s="2" t="s">
        <v>780</v>
      </c>
      <c r="E294" s="2" t="s">
        <v>363</v>
      </c>
      <c r="F294" s="2" t="s">
        <v>2020</v>
      </c>
      <c r="G294" s="2" t="s">
        <v>2028</v>
      </c>
      <c r="H294" s="2" t="s">
        <v>577</v>
      </c>
      <c r="I294" s="2" t="s">
        <v>1586</v>
      </c>
      <c r="J294" s="2">
        <v>0</v>
      </c>
      <c r="K294" s="2" t="s">
        <v>1592</v>
      </c>
      <c r="L294" s="2" t="s">
        <v>1593</v>
      </c>
      <c r="M294" s="2" t="s">
        <v>1647</v>
      </c>
      <c r="N294" s="2" t="s">
        <v>1696</v>
      </c>
      <c r="O294" s="2" t="s">
        <v>2021</v>
      </c>
      <c r="P294" s="2" t="s">
        <v>2020</v>
      </c>
      <c r="Q294" s="2" t="s">
        <v>577</v>
      </c>
      <c r="R294" s="2" t="s">
        <v>588</v>
      </c>
    </row>
    <row r="295" spans="2:18">
      <c r="B295" s="2" t="s">
        <v>179</v>
      </c>
      <c r="C295" s="2" t="s">
        <v>1528</v>
      </c>
      <c r="D295" s="2" t="s">
        <v>780</v>
      </c>
      <c r="E295" s="2" t="s">
        <v>363</v>
      </c>
      <c r="F295" s="2" t="s">
        <v>2020</v>
      </c>
      <c r="G295" s="2" t="s">
        <v>2028</v>
      </c>
      <c r="H295" s="2" t="s">
        <v>577</v>
      </c>
      <c r="I295" s="2" t="s">
        <v>1586</v>
      </c>
      <c r="J295" s="2">
        <v>0</v>
      </c>
      <c r="K295" s="2" t="s">
        <v>1592</v>
      </c>
      <c r="L295" s="2" t="s">
        <v>1593</v>
      </c>
      <c r="M295" s="2" t="s">
        <v>1647</v>
      </c>
      <c r="N295" s="2" t="s">
        <v>1696</v>
      </c>
      <c r="O295" s="2" t="s">
        <v>2021</v>
      </c>
      <c r="P295" s="2" t="s">
        <v>2020</v>
      </c>
      <c r="Q295" s="2" t="s">
        <v>577</v>
      </c>
      <c r="R295" s="2" t="s">
        <v>588</v>
      </c>
    </row>
    <row r="296" spans="2:18">
      <c r="B296" s="2" t="s">
        <v>177</v>
      </c>
      <c r="C296" s="2" t="s">
        <v>1528</v>
      </c>
      <c r="D296" s="2" t="s">
        <v>780</v>
      </c>
      <c r="E296" s="2" t="s">
        <v>363</v>
      </c>
      <c r="F296" s="2" t="s">
        <v>2020</v>
      </c>
      <c r="G296" s="2" t="s">
        <v>2028</v>
      </c>
      <c r="H296" s="2" t="s">
        <v>577</v>
      </c>
      <c r="I296" s="2" t="s">
        <v>1586</v>
      </c>
      <c r="J296" s="2">
        <v>0</v>
      </c>
      <c r="K296" s="2" t="s">
        <v>1592</v>
      </c>
      <c r="L296" s="2" t="s">
        <v>1593</v>
      </c>
      <c r="M296" s="2" t="s">
        <v>1647</v>
      </c>
      <c r="N296" s="2" t="s">
        <v>1696</v>
      </c>
      <c r="O296" s="2" t="s">
        <v>2021</v>
      </c>
      <c r="P296" s="2" t="s">
        <v>2020</v>
      </c>
      <c r="Q296" s="2" t="s">
        <v>577</v>
      </c>
      <c r="R296" s="2" t="s">
        <v>588</v>
      </c>
    </row>
    <row r="297" spans="2:18">
      <c r="B297" s="2" t="s">
        <v>2036</v>
      </c>
      <c r="C297" s="2" t="s">
        <v>1528</v>
      </c>
      <c r="D297" s="2" t="s">
        <v>780</v>
      </c>
      <c r="E297" s="2" t="s">
        <v>363</v>
      </c>
      <c r="F297" s="2" t="s">
        <v>2020</v>
      </c>
      <c r="G297" s="2" t="s">
        <v>2037</v>
      </c>
      <c r="H297" s="2" t="s">
        <v>577</v>
      </c>
      <c r="I297" s="2" t="s">
        <v>1586</v>
      </c>
      <c r="J297" s="2">
        <v>0</v>
      </c>
      <c r="K297" s="2" t="s">
        <v>1592</v>
      </c>
      <c r="L297" s="2" t="s">
        <v>1593</v>
      </c>
      <c r="M297" s="2" t="s">
        <v>1647</v>
      </c>
      <c r="N297" s="2" t="s">
        <v>1696</v>
      </c>
      <c r="O297" s="2" t="s">
        <v>2021</v>
      </c>
      <c r="P297" s="2" t="s">
        <v>2020</v>
      </c>
      <c r="Q297" s="2" t="s">
        <v>577</v>
      </c>
      <c r="R297" s="2" t="s">
        <v>588</v>
      </c>
    </row>
    <row r="298" spans="2:18">
      <c r="B298" s="2" t="s">
        <v>2038</v>
      </c>
      <c r="C298" s="2" t="s">
        <v>1503</v>
      </c>
      <c r="D298" s="2" t="s">
        <v>780</v>
      </c>
      <c r="E298" s="2" t="s">
        <v>364</v>
      </c>
      <c r="F298" s="2" t="s">
        <v>1721</v>
      </c>
      <c r="G298" s="2" t="s">
        <v>2039</v>
      </c>
      <c r="H298" s="2" t="s">
        <v>577</v>
      </c>
      <c r="I298" s="2" t="s">
        <v>1586</v>
      </c>
      <c r="J298" s="2">
        <v>0</v>
      </c>
      <c r="K298" s="2" t="s">
        <v>1592</v>
      </c>
      <c r="L298" s="2" t="s">
        <v>1593</v>
      </c>
      <c r="M298" s="2" t="s">
        <v>1594</v>
      </c>
      <c r="N298" s="2" t="s">
        <v>1595</v>
      </c>
      <c r="O298" s="2" t="s">
        <v>1720</v>
      </c>
      <c r="P298" s="2" t="s">
        <v>1721</v>
      </c>
      <c r="Q298" s="2" t="s">
        <v>577</v>
      </c>
      <c r="R298" s="2" t="s">
        <v>588</v>
      </c>
    </row>
    <row r="299" spans="2:18">
      <c r="B299" s="2" t="s">
        <v>2040</v>
      </c>
      <c r="C299" s="2" t="s">
        <v>1338</v>
      </c>
      <c r="D299" s="2" t="s">
        <v>780</v>
      </c>
      <c r="E299" s="2" t="s">
        <v>365</v>
      </c>
      <c r="F299" s="2" t="s">
        <v>2041</v>
      </c>
      <c r="G299" s="2" t="s">
        <v>2042</v>
      </c>
      <c r="H299" s="2" t="s">
        <v>577</v>
      </c>
      <c r="I299" s="2" t="s">
        <v>1586</v>
      </c>
      <c r="J299" s="2">
        <v>0</v>
      </c>
      <c r="K299" s="2" t="s">
        <v>1592</v>
      </c>
      <c r="L299" s="2" t="s">
        <v>1593</v>
      </c>
      <c r="M299" s="2" t="s">
        <v>1647</v>
      </c>
      <c r="N299" s="2" t="s">
        <v>1696</v>
      </c>
      <c r="O299" s="2" t="s">
        <v>1720</v>
      </c>
      <c r="P299" s="2" t="s">
        <v>2041</v>
      </c>
      <c r="Q299" s="2" t="s">
        <v>577</v>
      </c>
      <c r="R299" s="2" t="s">
        <v>588</v>
      </c>
    </row>
    <row r="300" spans="2:18">
      <c r="B300" s="2" t="s">
        <v>2043</v>
      </c>
      <c r="C300" s="2" t="s">
        <v>1342</v>
      </c>
      <c r="D300" s="2" t="s">
        <v>780</v>
      </c>
      <c r="E300" s="2" t="s">
        <v>365</v>
      </c>
      <c r="F300" s="2" t="s">
        <v>2041</v>
      </c>
      <c r="G300" s="2" t="s">
        <v>2044</v>
      </c>
      <c r="H300" s="2" t="s">
        <v>577</v>
      </c>
      <c r="I300" s="2" t="s">
        <v>1586</v>
      </c>
      <c r="J300" s="2">
        <v>0</v>
      </c>
      <c r="K300" s="2" t="s">
        <v>1592</v>
      </c>
      <c r="L300" s="2" t="s">
        <v>1593</v>
      </c>
      <c r="M300" s="2" t="s">
        <v>1647</v>
      </c>
      <c r="N300" s="2" t="s">
        <v>1696</v>
      </c>
      <c r="O300" s="2" t="s">
        <v>1720</v>
      </c>
      <c r="P300" s="2" t="s">
        <v>2041</v>
      </c>
      <c r="Q300" s="2" t="s">
        <v>577</v>
      </c>
      <c r="R300" s="2" t="s">
        <v>588</v>
      </c>
    </row>
    <row r="301" spans="2:18">
      <c r="B301" s="2" t="s">
        <v>2045</v>
      </c>
      <c r="C301" s="2" t="s">
        <v>1343</v>
      </c>
      <c r="D301" s="2" t="s">
        <v>780</v>
      </c>
      <c r="E301" s="2" t="s">
        <v>365</v>
      </c>
      <c r="F301" s="2" t="s">
        <v>2041</v>
      </c>
      <c r="G301" s="2" t="s">
        <v>2046</v>
      </c>
      <c r="H301" s="2" t="s">
        <v>577</v>
      </c>
      <c r="I301" s="2" t="s">
        <v>1586</v>
      </c>
      <c r="J301" s="2">
        <v>0</v>
      </c>
      <c r="K301" s="2" t="s">
        <v>1592</v>
      </c>
      <c r="L301" s="2" t="s">
        <v>1593</v>
      </c>
      <c r="M301" s="2" t="s">
        <v>1647</v>
      </c>
      <c r="N301" s="2" t="s">
        <v>1696</v>
      </c>
      <c r="O301" s="2" t="s">
        <v>1720</v>
      </c>
      <c r="P301" s="2" t="s">
        <v>2041</v>
      </c>
      <c r="Q301" s="2" t="s">
        <v>577</v>
      </c>
      <c r="R301" s="2" t="s">
        <v>588</v>
      </c>
    </row>
    <row r="302" spans="2:18">
      <c r="B302" s="2" t="s">
        <v>2047</v>
      </c>
      <c r="C302" s="2" t="s">
        <v>1347</v>
      </c>
      <c r="D302" s="2" t="s">
        <v>780</v>
      </c>
      <c r="E302" s="2" t="s">
        <v>365</v>
      </c>
      <c r="F302" s="2" t="s">
        <v>2041</v>
      </c>
      <c r="G302" s="2" t="s">
        <v>2048</v>
      </c>
      <c r="H302" s="2" t="s">
        <v>577</v>
      </c>
      <c r="I302" s="2" t="s">
        <v>1586</v>
      </c>
      <c r="J302" s="2">
        <v>0</v>
      </c>
      <c r="K302" s="2" t="s">
        <v>1592</v>
      </c>
      <c r="L302" s="2" t="s">
        <v>1593</v>
      </c>
      <c r="M302" s="2" t="s">
        <v>1647</v>
      </c>
      <c r="N302" s="2" t="s">
        <v>1696</v>
      </c>
      <c r="O302" s="2" t="s">
        <v>1720</v>
      </c>
      <c r="P302" s="2" t="s">
        <v>2041</v>
      </c>
      <c r="Q302" s="2" t="s">
        <v>577</v>
      </c>
      <c r="R302" s="2" t="s">
        <v>588</v>
      </c>
    </row>
    <row r="303" spans="2:18">
      <c r="B303" s="2" t="s">
        <v>2049</v>
      </c>
      <c r="C303" s="2" t="s">
        <v>1331</v>
      </c>
      <c r="D303" s="2" t="s">
        <v>780</v>
      </c>
      <c r="E303" s="2" t="s">
        <v>364</v>
      </c>
      <c r="F303" s="2" t="s">
        <v>1721</v>
      </c>
      <c r="G303" s="2" t="s">
        <v>2050</v>
      </c>
      <c r="H303" s="2" t="s">
        <v>577</v>
      </c>
      <c r="I303" s="2" t="s">
        <v>1586</v>
      </c>
      <c r="J303" s="2">
        <v>0</v>
      </c>
      <c r="K303" s="2" t="s">
        <v>1592</v>
      </c>
      <c r="L303" s="2" t="s">
        <v>1593</v>
      </c>
      <c r="M303" s="2" t="s">
        <v>1647</v>
      </c>
      <c r="N303" s="2" t="s">
        <v>1696</v>
      </c>
      <c r="O303" s="2" t="s">
        <v>1720</v>
      </c>
      <c r="P303" s="2" t="s">
        <v>1721</v>
      </c>
      <c r="Q303" s="2" t="s">
        <v>577</v>
      </c>
      <c r="R303" s="2" t="s">
        <v>588</v>
      </c>
    </row>
    <row r="304" spans="2:18">
      <c r="B304" s="2" t="s">
        <v>185</v>
      </c>
      <c r="C304" s="2" t="s">
        <v>1346</v>
      </c>
      <c r="D304" s="2" t="s">
        <v>780</v>
      </c>
      <c r="E304" s="2" t="s">
        <v>365</v>
      </c>
      <c r="F304" s="2" t="s">
        <v>2041</v>
      </c>
      <c r="G304" s="2" t="s">
        <v>2051</v>
      </c>
      <c r="H304" s="2" t="s">
        <v>577</v>
      </c>
      <c r="I304" s="2" t="s">
        <v>1586</v>
      </c>
      <c r="J304" s="2">
        <v>0</v>
      </c>
      <c r="K304" s="2" t="s">
        <v>1592</v>
      </c>
      <c r="L304" s="2" t="s">
        <v>1593</v>
      </c>
      <c r="M304" s="2" t="s">
        <v>1647</v>
      </c>
      <c r="N304" s="2" t="s">
        <v>1696</v>
      </c>
      <c r="O304" s="2" t="s">
        <v>1720</v>
      </c>
      <c r="P304" s="2" t="s">
        <v>2041</v>
      </c>
      <c r="Q304" s="2" t="s">
        <v>577</v>
      </c>
      <c r="R304" s="2" t="s">
        <v>588</v>
      </c>
    </row>
    <row r="305" spans="2:18">
      <c r="B305" s="2" t="s">
        <v>441</v>
      </c>
      <c r="C305" s="2" t="s">
        <v>1346</v>
      </c>
      <c r="D305" s="2" t="s">
        <v>780</v>
      </c>
      <c r="E305" s="2" t="s">
        <v>365</v>
      </c>
      <c r="F305" s="2" t="s">
        <v>2041</v>
      </c>
      <c r="G305" s="2" t="s">
        <v>2051</v>
      </c>
      <c r="H305" s="2" t="s">
        <v>577</v>
      </c>
      <c r="I305" s="2" t="s">
        <v>1586</v>
      </c>
      <c r="J305" s="2">
        <v>0</v>
      </c>
      <c r="K305" s="2" t="s">
        <v>1592</v>
      </c>
      <c r="L305" s="2" t="s">
        <v>1593</v>
      </c>
      <c r="M305" s="2" t="s">
        <v>1647</v>
      </c>
      <c r="N305" s="2" t="s">
        <v>1696</v>
      </c>
      <c r="O305" s="2" t="s">
        <v>1720</v>
      </c>
      <c r="P305" s="2" t="s">
        <v>2041</v>
      </c>
      <c r="Q305" s="2" t="s">
        <v>577</v>
      </c>
      <c r="R305" s="2" t="s">
        <v>588</v>
      </c>
    </row>
    <row r="306" spans="2:18">
      <c r="B306" s="2" t="s">
        <v>2052</v>
      </c>
      <c r="C306" s="2" t="s">
        <v>1331</v>
      </c>
      <c r="D306" s="2" t="s">
        <v>780</v>
      </c>
      <c r="E306" s="2" t="s">
        <v>364</v>
      </c>
      <c r="F306" s="2" t="s">
        <v>1721</v>
      </c>
      <c r="G306" s="2" t="s">
        <v>2050</v>
      </c>
      <c r="H306" s="2" t="s">
        <v>577</v>
      </c>
      <c r="I306" s="2" t="s">
        <v>1586</v>
      </c>
      <c r="J306" s="2">
        <v>0</v>
      </c>
      <c r="K306" s="2" t="s">
        <v>1592</v>
      </c>
      <c r="L306" s="2" t="s">
        <v>1593</v>
      </c>
      <c r="M306" s="2" t="s">
        <v>1647</v>
      </c>
      <c r="N306" s="2" t="s">
        <v>1696</v>
      </c>
      <c r="O306" s="2" t="s">
        <v>1720</v>
      </c>
      <c r="P306" s="2" t="s">
        <v>1721</v>
      </c>
      <c r="Q306" s="2" t="s">
        <v>577</v>
      </c>
      <c r="R306" s="2" t="s">
        <v>588</v>
      </c>
    </row>
    <row r="307" spans="2:18">
      <c r="B307" s="2" t="s">
        <v>2053</v>
      </c>
      <c r="C307" s="2" t="s">
        <v>1361</v>
      </c>
      <c r="D307" s="2" t="s">
        <v>780</v>
      </c>
      <c r="E307" s="2" t="s">
        <v>364</v>
      </c>
      <c r="F307" s="2" t="s">
        <v>1721</v>
      </c>
      <c r="G307" s="2" t="s">
        <v>2054</v>
      </c>
      <c r="H307" s="2" t="s">
        <v>588</v>
      </c>
      <c r="I307" s="2" t="s">
        <v>1586</v>
      </c>
      <c r="J307" s="2">
        <v>0</v>
      </c>
      <c r="K307" s="2" t="s">
        <v>1592</v>
      </c>
      <c r="L307" s="2" t="s">
        <v>1593</v>
      </c>
      <c r="M307" s="2" t="s">
        <v>1647</v>
      </c>
      <c r="N307" s="2" t="s">
        <v>1696</v>
      </c>
      <c r="O307" s="2" t="s">
        <v>1720</v>
      </c>
      <c r="P307" s="2" t="s">
        <v>1721</v>
      </c>
      <c r="Q307" s="2" t="s">
        <v>577</v>
      </c>
      <c r="R307" s="2" t="s">
        <v>588</v>
      </c>
    </row>
    <row r="308" spans="2:18">
      <c r="B308" s="2" t="s">
        <v>2055</v>
      </c>
      <c r="C308" s="2" t="s">
        <v>1515</v>
      </c>
      <c r="D308" s="2" t="s">
        <v>780</v>
      </c>
      <c r="E308" s="2" t="s">
        <v>365</v>
      </c>
      <c r="F308" s="2" t="s">
        <v>2041</v>
      </c>
      <c r="G308" s="2" t="s">
        <v>2056</v>
      </c>
      <c r="H308" s="2" t="s">
        <v>577</v>
      </c>
      <c r="I308" s="2" t="s">
        <v>1586</v>
      </c>
      <c r="J308" s="2">
        <v>0</v>
      </c>
      <c r="K308" s="2" t="s">
        <v>1592</v>
      </c>
      <c r="L308" s="2" t="s">
        <v>1593</v>
      </c>
      <c r="M308" s="2" t="s">
        <v>1647</v>
      </c>
      <c r="N308" s="2" t="s">
        <v>1696</v>
      </c>
      <c r="O308" s="2" t="s">
        <v>1720</v>
      </c>
      <c r="P308" s="2" t="s">
        <v>2041</v>
      </c>
      <c r="Q308" s="2" t="s">
        <v>577</v>
      </c>
      <c r="R308" s="2" t="s">
        <v>588</v>
      </c>
    </row>
    <row r="309" spans="2:18">
      <c r="B309" s="2" t="s">
        <v>2057</v>
      </c>
      <c r="C309" s="2" t="s">
        <v>1346</v>
      </c>
      <c r="D309" s="2" t="s">
        <v>780</v>
      </c>
      <c r="E309" s="2" t="s">
        <v>365</v>
      </c>
      <c r="F309" s="2" t="s">
        <v>2041</v>
      </c>
      <c r="G309" s="2" t="s">
        <v>2058</v>
      </c>
      <c r="H309" s="2" t="s">
        <v>577</v>
      </c>
      <c r="I309" s="2" t="s">
        <v>1586</v>
      </c>
      <c r="J309" s="2">
        <v>0</v>
      </c>
      <c r="K309" s="2" t="s">
        <v>1592</v>
      </c>
      <c r="L309" s="2" t="s">
        <v>1593</v>
      </c>
      <c r="M309" s="2" t="s">
        <v>1647</v>
      </c>
      <c r="N309" s="2" t="s">
        <v>1696</v>
      </c>
      <c r="O309" s="2" t="s">
        <v>1720</v>
      </c>
      <c r="P309" s="2" t="s">
        <v>2041</v>
      </c>
      <c r="Q309" s="2" t="s">
        <v>577</v>
      </c>
      <c r="R309" s="2" t="s">
        <v>588</v>
      </c>
    </row>
    <row r="310" spans="2:18">
      <c r="B310" s="2" t="s">
        <v>2059</v>
      </c>
      <c r="C310" s="2" t="s">
        <v>1363</v>
      </c>
      <c r="D310" s="2" t="s">
        <v>780</v>
      </c>
      <c r="E310" s="2" t="s">
        <v>364</v>
      </c>
      <c r="F310" s="2" t="s">
        <v>1721</v>
      </c>
      <c r="G310" s="2" t="s">
        <v>2060</v>
      </c>
      <c r="H310" s="2" t="s">
        <v>588</v>
      </c>
      <c r="I310" s="2" t="s">
        <v>1586</v>
      </c>
      <c r="J310" s="2">
        <v>0</v>
      </c>
      <c r="K310" s="2" t="s">
        <v>1592</v>
      </c>
      <c r="L310" s="2" t="s">
        <v>1593</v>
      </c>
      <c r="M310" s="2" t="s">
        <v>1647</v>
      </c>
      <c r="N310" s="2" t="s">
        <v>1696</v>
      </c>
      <c r="O310" s="2" t="s">
        <v>1720</v>
      </c>
      <c r="P310" s="2" t="s">
        <v>1721</v>
      </c>
      <c r="Q310" s="2" t="s">
        <v>577</v>
      </c>
      <c r="R310" s="2" t="s">
        <v>588</v>
      </c>
    </row>
    <row r="311" spans="2:18">
      <c r="B311" s="2" t="s">
        <v>440</v>
      </c>
      <c r="C311" s="2" t="s">
        <v>1339</v>
      </c>
      <c r="D311" s="2" t="s">
        <v>780</v>
      </c>
      <c r="E311" s="2" t="s">
        <v>364</v>
      </c>
      <c r="F311" s="2" t="s">
        <v>1721</v>
      </c>
      <c r="G311" s="2" t="s">
        <v>2061</v>
      </c>
      <c r="H311" s="2" t="s">
        <v>577</v>
      </c>
      <c r="I311" s="2" t="s">
        <v>1586</v>
      </c>
      <c r="J311" s="2">
        <v>0</v>
      </c>
      <c r="K311" s="2" t="s">
        <v>1592</v>
      </c>
      <c r="L311" s="2" t="s">
        <v>1593</v>
      </c>
      <c r="M311" s="2" t="s">
        <v>1647</v>
      </c>
      <c r="N311" s="2" t="s">
        <v>1696</v>
      </c>
      <c r="O311" s="2" t="s">
        <v>1720</v>
      </c>
      <c r="P311" s="2" t="s">
        <v>1721</v>
      </c>
      <c r="Q311" s="2" t="s">
        <v>577</v>
      </c>
      <c r="R311" s="2" t="s">
        <v>588</v>
      </c>
    </row>
    <row r="312" spans="2:18">
      <c r="B312" s="2" t="s">
        <v>2062</v>
      </c>
      <c r="C312" s="2" t="s">
        <v>2063</v>
      </c>
      <c r="D312" s="2" t="s">
        <v>780</v>
      </c>
      <c r="E312" s="2" t="s">
        <v>364</v>
      </c>
      <c r="F312" s="2" t="s">
        <v>1721</v>
      </c>
      <c r="G312" s="2" t="s">
        <v>2064</v>
      </c>
      <c r="H312" s="2" t="s">
        <v>577</v>
      </c>
      <c r="I312" s="2" t="s">
        <v>1586</v>
      </c>
      <c r="J312" s="2">
        <v>0</v>
      </c>
      <c r="K312" s="2" t="s">
        <v>1592</v>
      </c>
      <c r="L312" s="2" t="s">
        <v>1593</v>
      </c>
      <c r="M312" s="2" t="s">
        <v>1647</v>
      </c>
      <c r="N312" s="2" t="s">
        <v>1696</v>
      </c>
      <c r="O312" s="2" t="s">
        <v>1720</v>
      </c>
      <c r="P312" s="2" t="s">
        <v>1721</v>
      </c>
      <c r="Q312" s="2" t="s">
        <v>577</v>
      </c>
      <c r="R312" s="2" t="s">
        <v>588</v>
      </c>
    </row>
    <row r="313" spans="2:18">
      <c r="B313" s="2" t="s">
        <v>2065</v>
      </c>
      <c r="C313" s="2" t="s">
        <v>1342</v>
      </c>
      <c r="D313" s="2" t="s">
        <v>780</v>
      </c>
      <c r="E313" s="2" t="s">
        <v>365</v>
      </c>
      <c r="F313" s="2" t="s">
        <v>2041</v>
      </c>
      <c r="G313" s="2" t="s">
        <v>2066</v>
      </c>
      <c r="H313" s="2" t="s">
        <v>577</v>
      </c>
      <c r="I313" s="2" t="s">
        <v>1586</v>
      </c>
      <c r="J313" s="2">
        <v>0</v>
      </c>
      <c r="K313" s="2" t="s">
        <v>1592</v>
      </c>
      <c r="L313" s="2" t="s">
        <v>1593</v>
      </c>
      <c r="M313" s="2" t="s">
        <v>1647</v>
      </c>
      <c r="N313" s="2" t="s">
        <v>1696</v>
      </c>
      <c r="O313" s="2" t="s">
        <v>1720</v>
      </c>
      <c r="P313" s="2" t="s">
        <v>2041</v>
      </c>
      <c r="Q313" s="2" t="s">
        <v>577</v>
      </c>
      <c r="R313" s="2" t="s">
        <v>588</v>
      </c>
    </row>
    <row r="314" spans="2:18">
      <c r="B314" s="2" t="s">
        <v>2067</v>
      </c>
      <c r="C314" s="2" t="s">
        <v>1346</v>
      </c>
      <c r="D314" s="2" t="s">
        <v>780</v>
      </c>
      <c r="E314" s="2" t="s">
        <v>365</v>
      </c>
      <c r="F314" s="2" t="s">
        <v>2041</v>
      </c>
      <c r="G314" s="2" t="s">
        <v>2068</v>
      </c>
      <c r="H314" s="2" t="s">
        <v>577</v>
      </c>
      <c r="I314" s="2" t="s">
        <v>1586</v>
      </c>
      <c r="J314" s="2">
        <v>0</v>
      </c>
      <c r="K314" s="2" t="s">
        <v>1592</v>
      </c>
      <c r="L314" s="2" t="s">
        <v>1593</v>
      </c>
      <c r="M314" s="2" t="s">
        <v>1647</v>
      </c>
      <c r="N314" s="2" t="s">
        <v>1696</v>
      </c>
      <c r="O314" s="2" t="s">
        <v>1720</v>
      </c>
      <c r="P314" s="2" t="s">
        <v>2041</v>
      </c>
      <c r="Q314" s="2" t="s">
        <v>577</v>
      </c>
      <c r="R314" s="2" t="s">
        <v>588</v>
      </c>
    </row>
    <row r="315" spans="2:18">
      <c r="B315" s="2" t="s">
        <v>183</v>
      </c>
      <c r="C315" s="2" t="s">
        <v>1220</v>
      </c>
      <c r="D315" s="2" t="s">
        <v>780</v>
      </c>
      <c r="E315" s="2" t="s">
        <v>364</v>
      </c>
      <c r="F315" s="2" t="s">
        <v>1721</v>
      </c>
      <c r="G315" s="2" t="s">
        <v>2069</v>
      </c>
      <c r="H315" s="2" t="s">
        <v>577</v>
      </c>
      <c r="I315" s="2" t="s">
        <v>1586</v>
      </c>
      <c r="J315" s="2">
        <v>0</v>
      </c>
      <c r="K315" s="2" t="s">
        <v>1592</v>
      </c>
      <c r="L315" s="2" t="s">
        <v>1593</v>
      </c>
      <c r="M315" s="2" t="s">
        <v>1647</v>
      </c>
      <c r="N315" s="2" t="s">
        <v>1696</v>
      </c>
      <c r="O315" s="2" t="s">
        <v>2070</v>
      </c>
      <c r="P315" s="2" t="s">
        <v>1721</v>
      </c>
      <c r="Q315" s="2" t="s">
        <v>577</v>
      </c>
      <c r="R315" s="2" t="s">
        <v>588</v>
      </c>
    </row>
    <row r="316" spans="2:18">
      <c r="B316" s="2" t="s">
        <v>2071</v>
      </c>
      <c r="C316" s="2" t="s">
        <v>1220</v>
      </c>
      <c r="D316" s="2" t="s">
        <v>780</v>
      </c>
      <c r="E316" s="2" t="s">
        <v>364</v>
      </c>
      <c r="F316" s="2" t="s">
        <v>1721</v>
      </c>
      <c r="G316" s="2" t="s">
        <v>2069</v>
      </c>
      <c r="H316" s="2" t="s">
        <v>577</v>
      </c>
      <c r="I316" s="2" t="s">
        <v>1586</v>
      </c>
      <c r="J316" s="2">
        <v>0</v>
      </c>
      <c r="K316" s="2" t="s">
        <v>1592</v>
      </c>
      <c r="L316" s="2" t="s">
        <v>1593</v>
      </c>
      <c r="M316" s="2" t="s">
        <v>1647</v>
      </c>
      <c r="N316" s="2" t="s">
        <v>1696</v>
      </c>
      <c r="O316" s="2" t="s">
        <v>2070</v>
      </c>
      <c r="P316" s="2" t="s">
        <v>1721</v>
      </c>
      <c r="Q316" s="2" t="s">
        <v>577</v>
      </c>
      <c r="R316" s="2" t="s">
        <v>588</v>
      </c>
    </row>
    <row r="317" spans="2:18">
      <c r="B317" s="2" t="s">
        <v>2072</v>
      </c>
      <c r="C317" s="2" t="s">
        <v>1220</v>
      </c>
      <c r="D317" s="2" t="s">
        <v>780</v>
      </c>
      <c r="E317" s="2" t="s">
        <v>364</v>
      </c>
      <c r="F317" s="2" t="s">
        <v>1721</v>
      </c>
      <c r="G317" s="2" t="s">
        <v>2069</v>
      </c>
      <c r="H317" s="2" t="s">
        <v>577</v>
      </c>
      <c r="I317" s="2" t="s">
        <v>1586</v>
      </c>
      <c r="J317" s="2">
        <v>0</v>
      </c>
      <c r="K317" s="2" t="s">
        <v>1592</v>
      </c>
      <c r="L317" s="2" t="s">
        <v>1593</v>
      </c>
      <c r="M317" s="2" t="s">
        <v>1647</v>
      </c>
      <c r="N317" s="2" t="s">
        <v>1696</v>
      </c>
      <c r="O317" s="2" t="s">
        <v>2070</v>
      </c>
      <c r="P317" s="2" t="s">
        <v>1721</v>
      </c>
      <c r="Q317" s="2" t="s">
        <v>577</v>
      </c>
      <c r="R317" s="2" t="s">
        <v>588</v>
      </c>
    </row>
    <row r="318" spans="2:18">
      <c r="B318" s="2" t="s">
        <v>2073</v>
      </c>
      <c r="C318" s="2" t="s">
        <v>1220</v>
      </c>
      <c r="D318" s="2" t="s">
        <v>780</v>
      </c>
      <c r="E318" s="2" t="s">
        <v>364</v>
      </c>
      <c r="F318" s="2" t="s">
        <v>1721</v>
      </c>
      <c r="G318" s="2" t="s">
        <v>2069</v>
      </c>
      <c r="H318" s="2" t="s">
        <v>577</v>
      </c>
      <c r="I318" s="2" t="s">
        <v>1586</v>
      </c>
      <c r="J318" s="2">
        <v>0</v>
      </c>
      <c r="K318" s="2" t="s">
        <v>1592</v>
      </c>
      <c r="L318" s="2" t="s">
        <v>1593</v>
      </c>
      <c r="M318" s="2" t="s">
        <v>1647</v>
      </c>
      <c r="N318" s="2" t="s">
        <v>1696</v>
      </c>
      <c r="O318" s="2" t="s">
        <v>2070</v>
      </c>
      <c r="P318" s="2" t="s">
        <v>1721</v>
      </c>
      <c r="Q318" s="2" t="s">
        <v>577</v>
      </c>
      <c r="R318" s="2" t="s">
        <v>588</v>
      </c>
    </row>
    <row r="319" spans="2:18">
      <c r="B319" s="2" t="s">
        <v>2074</v>
      </c>
      <c r="C319" s="2" t="s">
        <v>1488</v>
      </c>
      <c r="D319" s="2" t="s">
        <v>780</v>
      </c>
      <c r="E319" s="2" t="s">
        <v>364</v>
      </c>
      <c r="F319" s="2" t="s">
        <v>1721</v>
      </c>
      <c r="G319" s="2" t="s">
        <v>2075</v>
      </c>
      <c r="H319" s="2" t="s">
        <v>577</v>
      </c>
      <c r="I319" s="2" t="s">
        <v>1586</v>
      </c>
      <c r="J319" s="2">
        <v>0</v>
      </c>
      <c r="K319" s="2" t="s">
        <v>1592</v>
      </c>
      <c r="L319" s="2" t="s">
        <v>1593</v>
      </c>
      <c r="M319" s="2" t="s">
        <v>1647</v>
      </c>
      <c r="N319" s="2" t="s">
        <v>1696</v>
      </c>
      <c r="O319" s="2" t="s">
        <v>1720</v>
      </c>
      <c r="P319" s="2" t="s">
        <v>1721</v>
      </c>
      <c r="Q319" s="2" t="s">
        <v>577</v>
      </c>
      <c r="R319" s="2" t="s">
        <v>588</v>
      </c>
    </row>
    <row r="320" spans="2:18">
      <c r="B320" s="2" t="s">
        <v>2076</v>
      </c>
      <c r="C320" s="2" t="s">
        <v>1332</v>
      </c>
      <c r="D320" s="2" t="s">
        <v>780</v>
      </c>
      <c r="E320" s="2" t="s">
        <v>364</v>
      </c>
      <c r="F320" s="2" t="s">
        <v>1721</v>
      </c>
      <c r="G320" s="2" t="s">
        <v>2077</v>
      </c>
      <c r="H320" s="2" t="s">
        <v>577</v>
      </c>
      <c r="I320" s="2" t="s">
        <v>1586</v>
      </c>
      <c r="J320" s="2">
        <v>0</v>
      </c>
      <c r="K320" s="2" t="s">
        <v>1592</v>
      </c>
      <c r="L320" s="2" t="s">
        <v>1593</v>
      </c>
      <c r="M320" s="2" t="s">
        <v>1647</v>
      </c>
      <c r="N320" s="2" t="s">
        <v>1696</v>
      </c>
      <c r="O320" s="2" t="s">
        <v>1720</v>
      </c>
      <c r="P320" s="2" t="s">
        <v>1721</v>
      </c>
      <c r="Q320" s="2" t="s">
        <v>577</v>
      </c>
      <c r="R320" s="2" t="s">
        <v>588</v>
      </c>
    </row>
    <row r="321" spans="2:18">
      <c r="B321" s="2" t="s">
        <v>2078</v>
      </c>
      <c r="C321" s="2" t="s">
        <v>1361</v>
      </c>
      <c r="D321" s="2" t="s">
        <v>780</v>
      </c>
      <c r="E321" s="2" t="s">
        <v>364</v>
      </c>
      <c r="F321" s="2" t="s">
        <v>1721</v>
      </c>
      <c r="G321" s="2" t="s">
        <v>2054</v>
      </c>
      <c r="H321" s="2" t="s">
        <v>588</v>
      </c>
      <c r="I321" s="2" t="s">
        <v>1586</v>
      </c>
      <c r="J321" s="2">
        <v>0</v>
      </c>
      <c r="K321" s="2" t="s">
        <v>1592</v>
      </c>
      <c r="L321" s="2" t="s">
        <v>1593</v>
      </c>
      <c r="M321" s="2" t="s">
        <v>1647</v>
      </c>
      <c r="N321" s="2" t="s">
        <v>1696</v>
      </c>
      <c r="O321" s="2" t="s">
        <v>1720</v>
      </c>
      <c r="P321" s="2" t="s">
        <v>1721</v>
      </c>
      <c r="Q321" s="2" t="s">
        <v>577</v>
      </c>
      <c r="R321" s="2" t="s">
        <v>588</v>
      </c>
    </row>
    <row r="322" spans="2:18">
      <c r="B322" s="2" t="s">
        <v>2079</v>
      </c>
      <c r="C322" s="2" t="s">
        <v>1361</v>
      </c>
      <c r="D322" s="2" t="s">
        <v>780</v>
      </c>
      <c r="E322" s="2" t="s">
        <v>364</v>
      </c>
      <c r="F322" s="2" t="s">
        <v>1721</v>
      </c>
      <c r="G322" s="2" t="s">
        <v>2054</v>
      </c>
      <c r="H322" s="2" t="s">
        <v>588</v>
      </c>
      <c r="I322" s="2" t="s">
        <v>1586</v>
      </c>
      <c r="J322" s="2">
        <v>0</v>
      </c>
      <c r="K322" s="2" t="s">
        <v>1592</v>
      </c>
      <c r="L322" s="2" t="s">
        <v>1593</v>
      </c>
      <c r="M322" s="2" t="s">
        <v>1647</v>
      </c>
      <c r="N322" s="2" t="s">
        <v>1696</v>
      </c>
      <c r="O322" s="2" t="s">
        <v>1720</v>
      </c>
      <c r="P322" s="2" t="s">
        <v>1721</v>
      </c>
      <c r="Q322" s="2" t="s">
        <v>577</v>
      </c>
      <c r="R322" s="2" t="s">
        <v>588</v>
      </c>
    </row>
    <row r="323" spans="2:18">
      <c r="B323" s="2" t="s">
        <v>2080</v>
      </c>
      <c r="C323" s="2" t="s">
        <v>1361</v>
      </c>
      <c r="D323" s="2" t="s">
        <v>780</v>
      </c>
      <c r="E323" s="2" t="s">
        <v>364</v>
      </c>
      <c r="F323" s="2" t="s">
        <v>1721</v>
      </c>
      <c r="G323" s="2" t="s">
        <v>2054</v>
      </c>
      <c r="H323" s="2" t="s">
        <v>588</v>
      </c>
      <c r="I323" s="2" t="s">
        <v>1586</v>
      </c>
      <c r="J323" s="2">
        <v>0</v>
      </c>
      <c r="K323" s="2" t="s">
        <v>1592</v>
      </c>
      <c r="L323" s="2" t="s">
        <v>1593</v>
      </c>
      <c r="M323" s="2" t="s">
        <v>1647</v>
      </c>
      <c r="N323" s="2" t="s">
        <v>1696</v>
      </c>
      <c r="O323" s="2" t="s">
        <v>1720</v>
      </c>
      <c r="P323" s="2" t="s">
        <v>1721</v>
      </c>
      <c r="Q323" s="2" t="s">
        <v>577</v>
      </c>
      <c r="R323" s="2" t="s">
        <v>588</v>
      </c>
    </row>
    <row r="324" spans="2:18">
      <c r="B324" s="2" t="s">
        <v>2081</v>
      </c>
      <c r="C324" s="2" t="s">
        <v>1361</v>
      </c>
      <c r="D324" s="2" t="s">
        <v>780</v>
      </c>
      <c r="E324" s="2" t="s">
        <v>364</v>
      </c>
      <c r="F324" s="2" t="s">
        <v>1721</v>
      </c>
      <c r="G324" s="2" t="s">
        <v>2054</v>
      </c>
      <c r="H324" s="2" t="s">
        <v>588</v>
      </c>
      <c r="I324" s="2" t="s">
        <v>1586</v>
      </c>
      <c r="J324" s="2">
        <v>0</v>
      </c>
      <c r="K324" s="2" t="s">
        <v>1592</v>
      </c>
      <c r="L324" s="2" t="s">
        <v>1593</v>
      </c>
      <c r="M324" s="2" t="s">
        <v>1647</v>
      </c>
      <c r="N324" s="2" t="s">
        <v>1696</v>
      </c>
      <c r="O324" s="2" t="s">
        <v>1720</v>
      </c>
      <c r="P324" s="2" t="s">
        <v>1721</v>
      </c>
      <c r="Q324" s="2" t="s">
        <v>577</v>
      </c>
      <c r="R324" s="2" t="s">
        <v>588</v>
      </c>
    </row>
    <row r="325" spans="2:18">
      <c r="B325" s="2" t="s">
        <v>2082</v>
      </c>
      <c r="C325" s="2" t="s">
        <v>1361</v>
      </c>
      <c r="D325" s="2" t="s">
        <v>780</v>
      </c>
      <c r="E325" s="2" t="s">
        <v>364</v>
      </c>
      <c r="F325" s="2" t="s">
        <v>1721</v>
      </c>
      <c r="G325" s="2" t="s">
        <v>2054</v>
      </c>
      <c r="H325" s="2" t="s">
        <v>588</v>
      </c>
      <c r="I325" s="2" t="s">
        <v>1586</v>
      </c>
      <c r="J325" s="2">
        <v>0</v>
      </c>
      <c r="K325" s="2" t="s">
        <v>1592</v>
      </c>
      <c r="L325" s="2" t="s">
        <v>1593</v>
      </c>
      <c r="M325" s="2" t="s">
        <v>1647</v>
      </c>
      <c r="N325" s="2" t="s">
        <v>1696</v>
      </c>
      <c r="O325" s="2" t="s">
        <v>1720</v>
      </c>
      <c r="P325" s="2" t="s">
        <v>1721</v>
      </c>
      <c r="Q325" s="2" t="s">
        <v>577</v>
      </c>
      <c r="R325" s="2" t="s">
        <v>588</v>
      </c>
    </row>
    <row r="326" spans="2:18">
      <c r="B326" s="2" t="s">
        <v>2083</v>
      </c>
      <c r="C326" s="2" t="s">
        <v>1361</v>
      </c>
      <c r="D326" s="2" t="s">
        <v>780</v>
      </c>
      <c r="E326" s="2" t="s">
        <v>364</v>
      </c>
      <c r="F326" s="2" t="s">
        <v>1721</v>
      </c>
      <c r="G326" s="2" t="s">
        <v>2054</v>
      </c>
      <c r="H326" s="2" t="s">
        <v>588</v>
      </c>
      <c r="I326" s="2" t="s">
        <v>1586</v>
      </c>
      <c r="J326" s="2">
        <v>0</v>
      </c>
      <c r="K326" s="2" t="s">
        <v>1592</v>
      </c>
      <c r="L326" s="2" t="s">
        <v>1593</v>
      </c>
      <c r="M326" s="2" t="s">
        <v>1647</v>
      </c>
      <c r="N326" s="2" t="s">
        <v>1696</v>
      </c>
      <c r="O326" s="2" t="s">
        <v>1720</v>
      </c>
      <c r="P326" s="2" t="s">
        <v>1721</v>
      </c>
      <c r="Q326" s="2" t="s">
        <v>577</v>
      </c>
      <c r="R326" s="2" t="s">
        <v>588</v>
      </c>
    </row>
    <row r="327" spans="2:18">
      <c r="B327" s="2" t="s">
        <v>2084</v>
      </c>
      <c r="C327" s="2" t="s">
        <v>1361</v>
      </c>
      <c r="D327" s="2" t="s">
        <v>780</v>
      </c>
      <c r="E327" s="2" t="s">
        <v>365</v>
      </c>
      <c r="F327" s="2" t="s">
        <v>2041</v>
      </c>
      <c r="G327" s="2" t="s">
        <v>2085</v>
      </c>
      <c r="H327" s="2" t="s">
        <v>577</v>
      </c>
      <c r="I327" s="2" t="s">
        <v>1586</v>
      </c>
      <c r="J327" s="2">
        <v>0</v>
      </c>
      <c r="K327" s="2" t="s">
        <v>1592</v>
      </c>
      <c r="L327" s="2" t="s">
        <v>1593</v>
      </c>
      <c r="M327" s="2" t="s">
        <v>1647</v>
      </c>
      <c r="N327" s="2" t="s">
        <v>1696</v>
      </c>
      <c r="O327" s="2" t="s">
        <v>1720</v>
      </c>
      <c r="P327" s="2" t="s">
        <v>2041</v>
      </c>
      <c r="Q327" s="2" t="s">
        <v>577</v>
      </c>
      <c r="R327" s="2" t="s">
        <v>588</v>
      </c>
    </row>
    <row r="328" spans="2:18">
      <c r="B328" s="2" t="s">
        <v>2086</v>
      </c>
      <c r="C328" s="2" t="s">
        <v>1359</v>
      </c>
      <c r="D328" s="2" t="s">
        <v>780</v>
      </c>
      <c r="E328" s="2" t="s">
        <v>364</v>
      </c>
      <c r="F328" s="2" t="s">
        <v>1721</v>
      </c>
      <c r="G328" s="2" t="s">
        <v>2087</v>
      </c>
      <c r="H328" s="2" t="s">
        <v>577</v>
      </c>
      <c r="I328" s="2" t="s">
        <v>1586</v>
      </c>
      <c r="J328" s="2">
        <v>0</v>
      </c>
      <c r="K328" s="2" t="s">
        <v>1592</v>
      </c>
      <c r="L328" s="2" t="s">
        <v>1593</v>
      </c>
      <c r="M328" s="2" t="s">
        <v>1647</v>
      </c>
      <c r="N328" s="2" t="s">
        <v>1696</v>
      </c>
      <c r="O328" s="2" t="s">
        <v>1720</v>
      </c>
      <c r="P328" s="2" t="s">
        <v>1721</v>
      </c>
      <c r="Q328" s="2" t="s">
        <v>577</v>
      </c>
      <c r="R328" s="2" t="s">
        <v>588</v>
      </c>
    </row>
    <row r="329" spans="2:18">
      <c r="B329" s="2" t="s">
        <v>196</v>
      </c>
      <c r="C329" s="2" t="s">
        <v>1493</v>
      </c>
      <c r="D329" s="2" t="s">
        <v>780</v>
      </c>
      <c r="E329" s="2" t="s">
        <v>364</v>
      </c>
      <c r="F329" s="2" t="s">
        <v>1721</v>
      </c>
      <c r="G329" s="2" t="s">
        <v>2088</v>
      </c>
      <c r="H329" s="2" t="s">
        <v>588</v>
      </c>
      <c r="I329" s="2" t="s">
        <v>1586</v>
      </c>
      <c r="J329" s="2">
        <v>0</v>
      </c>
      <c r="K329" s="2" t="s">
        <v>1592</v>
      </c>
      <c r="L329" s="2" t="s">
        <v>1593</v>
      </c>
      <c r="M329" s="2" t="s">
        <v>1647</v>
      </c>
      <c r="N329" s="2" t="s">
        <v>1696</v>
      </c>
      <c r="O329" s="2" t="s">
        <v>1720</v>
      </c>
      <c r="P329" s="2" t="s">
        <v>1721</v>
      </c>
      <c r="Q329" s="2" t="s">
        <v>577</v>
      </c>
      <c r="R329" s="2" t="s">
        <v>588</v>
      </c>
    </row>
    <row r="330" spans="2:18">
      <c r="B330" s="2" t="s">
        <v>2089</v>
      </c>
      <c r="C330" s="2" t="s">
        <v>1490</v>
      </c>
      <c r="D330" s="2" t="s">
        <v>780</v>
      </c>
      <c r="E330" s="2" t="s">
        <v>364</v>
      </c>
      <c r="F330" s="2" t="s">
        <v>1721</v>
      </c>
      <c r="G330" s="2" t="s">
        <v>2090</v>
      </c>
      <c r="H330" s="2" t="s">
        <v>577</v>
      </c>
      <c r="I330" s="2" t="s">
        <v>1586</v>
      </c>
      <c r="J330" s="2">
        <v>0</v>
      </c>
      <c r="K330" s="2" t="s">
        <v>1592</v>
      </c>
      <c r="L330" s="2" t="s">
        <v>1593</v>
      </c>
      <c r="M330" s="2" t="s">
        <v>1647</v>
      </c>
      <c r="N330" s="2" t="s">
        <v>1696</v>
      </c>
      <c r="O330" s="2" t="s">
        <v>1720</v>
      </c>
      <c r="P330" s="2" t="s">
        <v>1721</v>
      </c>
      <c r="Q330" s="2" t="s">
        <v>577</v>
      </c>
      <c r="R330" s="2" t="s">
        <v>588</v>
      </c>
    </row>
    <row r="331" spans="2:18">
      <c r="B331" s="2" t="s">
        <v>2091</v>
      </c>
      <c r="C331" s="2" t="s">
        <v>1491</v>
      </c>
      <c r="D331" s="2" t="s">
        <v>780</v>
      </c>
      <c r="E331" s="2" t="s">
        <v>364</v>
      </c>
      <c r="F331" s="2" t="s">
        <v>1721</v>
      </c>
      <c r="G331" s="2" t="s">
        <v>2092</v>
      </c>
      <c r="H331" s="2" t="s">
        <v>577</v>
      </c>
      <c r="I331" s="2" t="s">
        <v>1586</v>
      </c>
      <c r="J331" s="2">
        <v>0</v>
      </c>
      <c r="K331" s="2" t="s">
        <v>1592</v>
      </c>
      <c r="L331" s="2" t="s">
        <v>1593</v>
      </c>
      <c r="M331" s="2" t="s">
        <v>1647</v>
      </c>
      <c r="N331" s="2" t="s">
        <v>1696</v>
      </c>
      <c r="O331" s="2" t="s">
        <v>1720</v>
      </c>
      <c r="P331" s="2" t="s">
        <v>1721</v>
      </c>
      <c r="Q331" s="2" t="s">
        <v>577</v>
      </c>
      <c r="R331" s="2" t="s">
        <v>588</v>
      </c>
    </row>
    <row r="332" spans="2:18">
      <c r="B332" s="2" t="s">
        <v>2093</v>
      </c>
      <c r="C332" s="2" t="s">
        <v>2094</v>
      </c>
      <c r="D332" s="2" t="s">
        <v>780</v>
      </c>
      <c r="E332" s="2" t="s">
        <v>2095</v>
      </c>
      <c r="F332" s="2" t="s">
        <v>2095</v>
      </c>
      <c r="G332" s="2" t="s">
        <v>2096</v>
      </c>
      <c r="H332" s="2" t="s">
        <v>577</v>
      </c>
      <c r="I332" s="2" t="s">
        <v>1586</v>
      </c>
      <c r="J332" s="2">
        <v>0</v>
      </c>
      <c r="K332" s="2" t="s">
        <v>1592</v>
      </c>
      <c r="L332" s="2" t="s">
        <v>1593</v>
      </c>
      <c r="M332" s="2" t="s">
        <v>1647</v>
      </c>
      <c r="N332" s="2" t="s">
        <v>1696</v>
      </c>
      <c r="O332" s="2" t="s">
        <v>1720</v>
      </c>
      <c r="P332" s="2" t="s">
        <v>2095</v>
      </c>
      <c r="Q332" s="2" t="s">
        <v>577</v>
      </c>
      <c r="R332" s="2" t="s">
        <v>588</v>
      </c>
    </row>
    <row r="333" spans="2:18">
      <c r="B333" s="2" t="s">
        <v>2097</v>
      </c>
      <c r="C333" s="2" t="s">
        <v>1502</v>
      </c>
      <c r="D333" s="2" t="s">
        <v>780</v>
      </c>
      <c r="E333" s="2" t="s">
        <v>366</v>
      </c>
      <c r="F333" s="2" t="s">
        <v>366</v>
      </c>
      <c r="G333" s="2" t="s">
        <v>2098</v>
      </c>
      <c r="H333" s="2" t="s">
        <v>577</v>
      </c>
      <c r="I333" s="2" t="s">
        <v>1586</v>
      </c>
      <c r="J333" s="2">
        <v>0</v>
      </c>
      <c r="K333" s="2" t="s">
        <v>1592</v>
      </c>
      <c r="L333" s="2" t="s">
        <v>1593</v>
      </c>
      <c r="M333" s="2" t="s">
        <v>1647</v>
      </c>
      <c r="N333" s="2" t="s">
        <v>1696</v>
      </c>
      <c r="O333" s="2" t="s">
        <v>1720</v>
      </c>
      <c r="P333" s="2" t="s">
        <v>366</v>
      </c>
      <c r="Q333" s="2" t="s">
        <v>577</v>
      </c>
      <c r="R333" s="2" t="s">
        <v>588</v>
      </c>
    </row>
    <row r="334" spans="2:18">
      <c r="B334" s="2" t="s">
        <v>2099</v>
      </c>
      <c r="C334" s="2" t="s">
        <v>1502</v>
      </c>
      <c r="D334" s="2" t="s">
        <v>780</v>
      </c>
      <c r="E334" s="2" t="s">
        <v>2095</v>
      </c>
      <c r="F334" s="2" t="s">
        <v>2095</v>
      </c>
      <c r="G334" s="2" t="s">
        <v>2100</v>
      </c>
      <c r="H334" s="2" t="s">
        <v>588</v>
      </c>
      <c r="I334" s="2" t="s">
        <v>1586</v>
      </c>
      <c r="J334" s="2">
        <v>0</v>
      </c>
      <c r="K334" s="2" t="s">
        <v>1592</v>
      </c>
      <c r="L334" s="2" t="s">
        <v>1593</v>
      </c>
      <c r="M334" s="2" t="s">
        <v>1647</v>
      </c>
      <c r="N334" s="2" t="s">
        <v>1696</v>
      </c>
      <c r="O334" s="2" t="s">
        <v>1720</v>
      </c>
      <c r="P334" s="2" t="s">
        <v>2095</v>
      </c>
      <c r="Q334" s="2" t="s">
        <v>577</v>
      </c>
      <c r="R334" s="2" t="s">
        <v>588</v>
      </c>
    </row>
    <row r="335" spans="2:18">
      <c r="B335" s="2" t="s">
        <v>2101</v>
      </c>
      <c r="C335" s="2" t="s">
        <v>1502</v>
      </c>
      <c r="D335" s="2" t="s">
        <v>780</v>
      </c>
      <c r="E335" s="2" t="s">
        <v>2095</v>
      </c>
      <c r="F335" s="2" t="s">
        <v>2095</v>
      </c>
      <c r="G335" s="2" t="s">
        <v>2102</v>
      </c>
      <c r="H335" s="2" t="s">
        <v>577</v>
      </c>
      <c r="I335" s="2" t="s">
        <v>1586</v>
      </c>
      <c r="J335" s="2">
        <v>0</v>
      </c>
      <c r="K335" s="2" t="s">
        <v>1592</v>
      </c>
      <c r="L335" s="2" t="s">
        <v>1593</v>
      </c>
      <c r="M335" s="2" t="s">
        <v>1647</v>
      </c>
      <c r="N335" s="2" t="s">
        <v>1696</v>
      </c>
      <c r="O335" s="2" t="s">
        <v>1720</v>
      </c>
      <c r="P335" s="2" t="s">
        <v>2095</v>
      </c>
      <c r="Q335" s="2" t="s">
        <v>577</v>
      </c>
      <c r="R335" s="2" t="s">
        <v>588</v>
      </c>
    </row>
    <row r="336" spans="2:18">
      <c r="B336" s="2" t="s">
        <v>2103</v>
      </c>
      <c r="C336" s="2" t="s">
        <v>2104</v>
      </c>
      <c r="D336" s="2" t="s">
        <v>780</v>
      </c>
      <c r="E336" s="2" t="s">
        <v>2095</v>
      </c>
      <c r="F336" s="2" t="s">
        <v>2095</v>
      </c>
      <c r="G336" s="2" t="s">
        <v>2105</v>
      </c>
      <c r="H336" s="2" t="s">
        <v>588</v>
      </c>
      <c r="I336" s="2" t="s">
        <v>1586</v>
      </c>
      <c r="J336" s="2">
        <v>0</v>
      </c>
      <c r="K336" s="2" t="s">
        <v>1592</v>
      </c>
      <c r="L336" s="2" t="s">
        <v>1593</v>
      </c>
      <c r="M336" s="2" t="s">
        <v>1647</v>
      </c>
      <c r="N336" s="2" t="s">
        <v>1696</v>
      </c>
      <c r="O336" s="2" t="s">
        <v>1720</v>
      </c>
      <c r="P336" s="2" t="s">
        <v>2095</v>
      </c>
      <c r="Q336" s="2" t="s">
        <v>577</v>
      </c>
      <c r="R336" s="2" t="s">
        <v>588</v>
      </c>
    </row>
    <row r="337" spans="2:18">
      <c r="B337" s="2" t="s">
        <v>194</v>
      </c>
      <c r="C337" s="2" t="s">
        <v>1247</v>
      </c>
      <c r="D337" s="2" t="s">
        <v>780</v>
      </c>
      <c r="E337" s="2" t="s">
        <v>366</v>
      </c>
      <c r="F337" s="2" t="s">
        <v>366</v>
      </c>
      <c r="G337" s="2" t="s">
        <v>2106</v>
      </c>
      <c r="H337" s="2" t="s">
        <v>588</v>
      </c>
      <c r="I337" s="2" t="s">
        <v>1586</v>
      </c>
      <c r="J337" s="2">
        <v>0</v>
      </c>
      <c r="K337" s="2" t="s">
        <v>1592</v>
      </c>
      <c r="L337" s="2" t="s">
        <v>1593</v>
      </c>
      <c r="M337" s="2" t="s">
        <v>1647</v>
      </c>
      <c r="N337" s="2" t="s">
        <v>1696</v>
      </c>
      <c r="O337" s="2" t="s">
        <v>1720</v>
      </c>
      <c r="P337" s="2" t="s">
        <v>366</v>
      </c>
      <c r="Q337" s="2" t="s">
        <v>577</v>
      </c>
      <c r="R337" s="2" t="s">
        <v>588</v>
      </c>
    </row>
    <row r="338" spans="2:18">
      <c r="B338" s="2" t="s">
        <v>2107</v>
      </c>
      <c r="C338" s="2" t="s">
        <v>2108</v>
      </c>
      <c r="D338" s="2" t="s">
        <v>780</v>
      </c>
      <c r="E338" s="2" t="s">
        <v>366</v>
      </c>
      <c r="F338" s="2" t="s">
        <v>366</v>
      </c>
      <c r="G338" s="2" t="s">
        <v>2109</v>
      </c>
      <c r="H338" s="2" t="s">
        <v>588</v>
      </c>
      <c r="I338" s="2" t="s">
        <v>1586</v>
      </c>
      <c r="J338" s="2">
        <v>0</v>
      </c>
      <c r="K338" s="2" t="s">
        <v>1592</v>
      </c>
      <c r="L338" s="2" t="s">
        <v>1593</v>
      </c>
      <c r="M338" s="2" t="s">
        <v>1647</v>
      </c>
      <c r="N338" s="2" t="s">
        <v>1696</v>
      </c>
      <c r="O338" s="2" t="s">
        <v>1720</v>
      </c>
      <c r="P338" s="2" t="s">
        <v>366</v>
      </c>
      <c r="Q338" s="2" t="s">
        <v>577</v>
      </c>
      <c r="R338" s="2" t="s">
        <v>588</v>
      </c>
    </row>
    <row r="339" spans="2:18">
      <c r="B339" s="2" t="s">
        <v>2110</v>
      </c>
      <c r="C339" s="2" t="s">
        <v>2094</v>
      </c>
      <c r="D339" s="2" t="s">
        <v>780</v>
      </c>
      <c r="E339" s="2" t="s">
        <v>2095</v>
      </c>
      <c r="F339" s="2" t="s">
        <v>2095</v>
      </c>
      <c r="G339" s="2" t="s">
        <v>2096</v>
      </c>
      <c r="H339" s="2" t="s">
        <v>577</v>
      </c>
      <c r="I339" s="2" t="s">
        <v>1586</v>
      </c>
      <c r="J339" s="2">
        <v>0</v>
      </c>
      <c r="K339" s="2" t="s">
        <v>1592</v>
      </c>
      <c r="L339" s="2" t="s">
        <v>1593</v>
      </c>
      <c r="M339" s="2" t="s">
        <v>1647</v>
      </c>
      <c r="N339" s="2" t="s">
        <v>1696</v>
      </c>
      <c r="O339" s="2" t="s">
        <v>1720</v>
      </c>
      <c r="P339" s="2" t="s">
        <v>2095</v>
      </c>
      <c r="Q339" s="2" t="s">
        <v>577</v>
      </c>
      <c r="R339" s="2" t="s">
        <v>588</v>
      </c>
    </row>
    <row r="340" spans="2:18">
      <c r="B340" s="2" t="s">
        <v>2111</v>
      </c>
      <c r="C340" s="17" t="s">
        <v>1460</v>
      </c>
      <c r="D340" s="2" t="s">
        <v>780</v>
      </c>
      <c r="E340" s="2" t="s">
        <v>366</v>
      </c>
      <c r="F340" s="2" t="s">
        <v>366</v>
      </c>
      <c r="G340" s="2" t="s">
        <v>2112</v>
      </c>
      <c r="H340" s="2" t="s">
        <v>577</v>
      </c>
      <c r="I340" s="2" t="s">
        <v>1586</v>
      </c>
      <c r="J340" s="2">
        <v>0</v>
      </c>
      <c r="K340" s="2" t="s">
        <v>1592</v>
      </c>
      <c r="L340" s="2" t="s">
        <v>1593</v>
      </c>
      <c r="M340" s="2" t="s">
        <v>1647</v>
      </c>
      <c r="N340" s="2" t="s">
        <v>1696</v>
      </c>
      <c r="O340" s="2" t="s">
        <v>1720</v>
      </c>
      <c r="P340" s="2" t="s">
        <v>366</v>
      </c>
      <c r="Q340" s="2" t="s">
        <v>577</v>
      </c>
      <c r="R340" s="2" t="s">
        <v>588</v>
      </c>
    </row>
    <row r="341" spans="2:18">
      <c r="B341" s="2" t="s">
        <v>2113</v>
      </c>
      <c r="C341" s="17" t="s">
        <v>1302</v>
      </c>
      <c r="D341" s="2" t="s">
        <v>780</v>
      </c>
      <c r="E341" s="2" t="s">
        <v>366</v>
      </c>
      <c r="F341" s="2" t="s">
        <v>366</v>
      </c>
      <c r="G341" s="2" t="s">
        <v>2114</v>
      </c>
      <c r="H341" s="2" t="s">
        <v>588</v>
      </c>
      <c r="I341" s="2" t="s">
        <v>1586</v>
      </c>
      <c r="J341" s="2">
        <v>0</v>
      </c>
      <c r="K341" s="2" t="s">
        <v>1592</v>
      </c>
      <c r="L341" s="2" t="s">
        <v>1593</v>
      </c>
      <c r="M341" s="2" t="s">
        <v>1647</v>
      </c>
      <c r="N341" s="2" t="s">
        <v>1696</v>
      </c>
      <c r="O341" s="2" t="s">
        <v>1720</v>
      </c>
      <c r="P341" s="2" t="s">
        <v>366</v>
      </c>
      <c r="Q341" s="2" t="s">
        <v>577</v>
      </c>
      <c r="R341" s="2" t="s">
        <v>588</v>
      </c>
    </row>
    <row r="342" spans="2:18">
      <c r="B342" s="2" t="s">
        <v>2115</v>
      </c>
      <c r="C342" s="2" t="s">
        <v>1495</v>
      </c>
      <c r="D342" s="2" t="s">
        <v>780</v>
      </c>
      <c r="E342" s="2" t="s">
        <v>366</v>
      </c>
      <c r="F342" s="2" t="s">
        <v>366</v>
      </c>
      <c r="G342" s="2" t="s">
        <v>2116</v>
      </c>
      <c r="H342" s="2" t="s">
        <v>588</v>
      </c>
      <c r="I342" s="2" t="s">
        <v>1586</v>
      </c>
      <c r="J342" s="2">
        <v>0</v>
      </c>
      <c r="K342" s="2" t="s">
        <v>1592</v>
      </c>
      <c r="L342" s="2" t="s">
        <v>1593</v>
      </c>
      <c r="M342" s="2" t="s">
        <v>1647</v>
      </c>
      <c r="N342" s="2" t="s">
        <v>1696</v>
      </c>
      <c r="O342" s="2" t="s">
        <v>1720</v>
      </c>
      <c r="P342" s="2" t="s">
        <v>366</v>
      </c>
      <c r="Q342" s="2" t="s">
        <v>577</v>
      </c>
      <c r="R342" s="2" t="s">
        <v>588</v>
      </c>
    </row>
    <row r="343" spans="2:18">
      <c r="B343" s="2" t="s">
        <v>2117</v>
      </c>
      <c r="C343" s="2" t="s">
        <v>1530</v>
      </c>
      <c r="D343" s="2" t="s">
        <v>780</v>
      </c>
      <c r="E343" s="2" t="s">
        <v>2095</v>
      </c>
      <c r="F343" s="2" t="s">
        <v>2095</v>
      </c>
      <c r="G343" s="2" t="s">
        <v>2096</v>
      </c>
      <c r="H343" s="2" t="s">
        <v>577</v>
      </c>
      <c r="I343" s="2" t="s">
        <v>1586</v>
      </c>
      <c r="J343" s="2">
        <v>0</v>
      </c>
      <c r="K343" s="2" t="s">
        <v>1592</v>
      </c>
      <c r="L343" s="2" t="s">
        <v>1593</v>
      </c>
      <c r="M343" s="2" t="s">
        <v>1647</v>
      </c>
      <c r="N343" s="2" t="s">
        <v>1696</v>
      </c>
      <c r="O343" s="2" t="s">
        <v>1720</v>
      </c>
      <c r="P343" s="2" t="s">
        <v>2095</v>
      </c>
      <c r="Q343" s="2" t="s">
        <v>577</v>
      </c>
      <c r="R343" s="2" t="s">
        <v>588</v>
      </c>
    </row>
    <row r="344" spans="2:18">
      <c r="B344" s="2" t="s">
        <v>2118</v>
      </c>
      <c r="C344" s="2" t="s">
        <v>1304</v>
      </c>
      <c r="D344" s="2" t="s">
        <v>780</v>
      </c>
      <c r="E344" s="2" t="s">
        <v>366</v>
      </c>
      <c r="F344" s="2" t="s">
        <v>366</v>
      </c>
      <c r="G344" s="2" t="s">
        <v>2119</v>
      </c>
      <c r="H344" s="2" t="s">
        <v>588</v>
      </c>
      <c r="I344" s="2" t="s">
        <v>1586</v>
      </c>
      <c r="J344" s="2">
        <v>0</v>
      </c>
      <c r="K344" s="2" t="s">
        <v>1592</v>
      </c>
      <c r="L344" s="2" t="s">
        <v>1593</v>
      </c>
      <c r="M344" s="2" t="s">
        <v>1647</v>
      </c>
      <c r="N344" s="2" t="s">
        <v>1696</v>
      </c>
      <c r="O344" s="2" t="s">
        <v>1720</v>
      </c>
      <c r="P344" s="2" t="s">
        <v>366</v>
      </c>
      <c r="Q344" s="2" t="s">
        <v>577</v>
      </c>
      <c r="R344" s="2" t="s">
        <v>588</v>
      </c>
    </row>
    <row r="345" spans="2:18">
      <c r="B345" s="2" t="s">
        <v>198</v>
      </c>
      <c r="C345" s="2" t="s">
        <v>1237</v>
      </c>
      <c r="D345" s="2" t="s">
        <v>780</v>
      </c>
      <c r="E345" s="2" t="s">
        <v>365</v>
      </c>
      <c r="F345" s="2" t="s">
        <v>2041</v>
      </c>
      <c r="G345" s="2" t="s">
        <v>2120</v>
      </c>
      <c r="H345" s="2" t="s">
        <v>577</v>
      </c>
      <c r="I345" s="2" t="s">
        <v>1586</v>
      </c>
      <c r="J345" s="2">
        <v>0</v>
      </c>
      <c r="K345" s="2" t="s">
        <v>1592</v>
      </c>
      <c r="L345" s="2" t="s">
        <v>1593</v>
      </c>
      <c r="M345" s="2" t="s">
        <v>1647</v>
      </c>
      <c r="N345" s="2" t="s">
        <v>1696</v>
      </c>
      <c r="O345" s="2" t="s">
        <v>1720</v>
      </c>
      <c r="P345" s="2" t="s">
        <v>2095</v>
      </c>
      <c r="Q345" s="2" t="s">
        <v>577</v>
      </c>
      <c r="R345" s="2" t="s">
        <v>588</v>
      </c>
    </row>
    <row r="346" spans="2:18">
      <c r="B346" s="2" t="s">
        <v>2121</v>
      </c>
      <c r="C346" s="2" t="s">
        <v>1397</v>
      </c>
      <c r="D346" s="2" t="s">
        <v>780</v>
      </c>
      <c r="E346" s="2" t="s">
        <v>1726</v>
      </c>
      <c r="F346" s="2" t="s">
        <v>2020</v>
      </c>
      <c r="G346" s="2" t="s">
        <v>2122</v>
      </c>
      <c r="H346" s="2" t="s">
        <v>577</v>
      </c>
      <c r="I346" s="2" t="s">
        <v>1586</v>
      </c>
      <c r="J346" s="2">
        <v>0</v>
      </c>
      <c r="K346" s="2" t="s">
        <v>1592</v>
      </c>
      <c r="L346" s="2" t="s">
        <v>1593</v>
      </c>
      <c r="M346" s="2" t="s">
        <v>1647</v>
      </c>
      <c r="N346" s="2" t="s">
        <v>1696</v>
      </c>
      <c r="O346" s="2" t="s">
        <v>2021</v>
      </c>
      <c r="P346" s="2" t="s">
        <v>2020</v>
      </c>
      <c r="Q346" s="2" t="s">
        <v>577</v>
      </c>
      <c r="R346" s="2" t="s">
        <v>588</v>
      </c>
    </row>
    <row r="347" spans="2:18">
      <c r="B347" s="2" t="s">
        <v>2123</v>
      </c>
      <c r="C347" s="2" t="s">
        <v>1504</v>
      </c>
      <c r="D347" s="2" t="s">
        <v>780</v>
      </c>
      <c r="E347" s="2" t="s">
        <v>1726</v>
      </c>
      <c r="F347" s="2" t="s">
        <v>2020</v>
      </c>
      <c r="G347" s="2" t="s">
        <v>2124</v>
      </c>
      <c r="H347" s="2" t="s">
        <v>577</v>
      </c>
      <c r="I347" s="2" t="s">
        <v>1586</v>
      </c>
      <c r="J347" s="2">
        <v>0</v>
      </c>
      <c r="K347" s="2" t="s">
        <v>1592</v>
      </c>
      <c r="L347" s="2" t="s">
        <v>1593</v>
      </c>
      <c r="M347" s="2" t="s">
        <v>1647</v>
      </c>
      <c r="N347" s="2" t="s">
        <v>1696</v>
      </c>
      <c r="O347" s="2" t="s">
        <v>2021</v>
      </c>
      <c r="P347" s="2" t="s">
        <v>2020</v>
      </c>
      <c r="Q347" s="2" t="s">
        <v>577</v>
      </c>
      <c r="R347" s="2" t="s">
        <v>588</v>
      </c>
    </row>
    <row r="348" spans="2:18">
      <c r="B348" s="2" t="s">
        <v>2125</v>
      </c>
      <c r="C348" s="2" t="s">
        <v>2032</v>
      </c>
      <c r="D348" s="2" t="s">
        <v>780</v>
      </c>
      <c r="E348" s="2" t="s">
        <v>1726</v>
      </c>
      <c r="F348" s="2" t="s">
        <v>2020</v>
      </c>
      <c r="G348" s="2" t="s">
        <v>2033</v>
      </c>
      <c r="H348" s="2" t="s">
        <v>577</v>
      </c>
      <c r="I348" s="2" t="s">
        <v>1586</v>
      </c>
      <c r="J348" s="2">
        <v>0</v>
      </c>
      <c r="K348" s="2" t="s">
        <v>1592</v>
      </c>
      <c r="L348" s="2" t="s">
        <v>1593</v>
      </c>
      <c r="M348" s="2" t="s">
        <v>1647</v>
      </c>
      <c r="N348" s="2" t="s">
        <v>1696</v>
      </c>
      <c r="O348" s="2" t="s">
        <v>2021</v>
      </c>
      <c r="P348" s="2" t="s">
        <v>2020</v>
      </c>
      <c r="Q348" s="2" t="s">
        <v>577</v>
      </c>
      <c r="R348" s="2" t="s">
        <v>588</v>
      </c>
    </row>
    <row r="349" spans="2:18">
      <c r="B349" s="2" t="s">
        <v>2126</v>
      </c>
      <c r="C349" s="2" t="s">
        <v>1528</v>
      </c>
      <c r="D349" s="2" t="s">
        <v>780</v>
      </c>
      <c r="E349" s="2" t="s">
        <v>1726</v>
      </c>
      <c r="F349" s="2" t="s">
        <v>2020</v>
      </c>
      <c r="G349" s="2" t="s">
        <v>2028</v>
      </c>
      <c r="H349" s="2" t="s">
        <v>577</v>
      </c>
      <c r="I349" s="2" t="s">
        <v>1586</v>
      </c>
      <c r="J349" s="2">
        <v>0</v>
      </c>
      <c r="K349" s="2" t="s">
        <v>1592</v>
      </c>
      <c r="L349" s="2" t="s">
        <v>1593</v>
      </c>
      <c r="M349" s="2" t="s">
        <v>1647</v>
      </c>
      <c r="N349" s="2" t="s">
        <v>1696</v>
      </c>
      <c r="O349" s="2" t="s">
        <v>2021</v>
      </c>
      <c r="P349" s="2" t="s">
        <v>2020</v>
      </c>
      <c r="Q349" s="2" t="s">
        <v>577</v>
      </c>
      <c r="R349" s="2" t="s">
        <v>588</v>
      </c>
    </row>
    <row r="350" spans="2:18">
      <c r="B350" s="2" t="s">
        <v>2127</v>
      </c>
      <c r="C350" s="2" t="s">
        <v>2024</v>
      </c>
      <c r="D350" s="2" t="s">
        <v>780</v>
      </c>
      <c r="E350" s="2" t="s">
        <v>1726</v>
      </c>
      <c r="F350" s="2" t="s">
        <v>2020</v>
      </c>
      <c r="G350" s="2" t="s">
        <v>2025</v>
      </c>
      <c r="H350" s="2" t="s">
        <v>577</v>
      </c>
      <c r="I350" s="2" t="s">
        <v>1586</v>
      </c>
      <c r="J350" s="2">
        <v>0</v>
      </c>
      <c r="K350" s="2" t="s">
        <v>1592</v>
      </c>
      <c r="L350" s="2" t="s">
        <v>1593</v>
      </c>
      <c r="M350" s="2" t="s">
        <v>1647</v>
      </c>
      <c r="N350" s="2" t="s">
        <v>1696</v>
      </c>
      <c r="O350" s="2" t="s">
        <v>2021</v>
      </c>
      <c r="P350" s="2" t="s">
        <v>2020</v>
      </c>
      <c r="Q350" s="2" t="s">
        <v>577</v>
      </c>
      <c r="R350" s="2" t="s">
        <v>588</v>
      </c>
    </row>
    <row r="351" spans="2:18">
      <c r="B351" s="2" t="s">
        <v>2128</v>
      </c>
      <c r="C351" s="2" t="s">
        <v>1505</v>
      </c>
      <c r="D351" s="2" t="s">
        <v>780</v>
      </c>
      <c r="E351" s="2" t="s">
        <v>1726</v>
      </c>
      <c r="F351" s="2" t="s">
        <v>2020</v>
      </c>
      <c r="G351" s="2" t="s">
        <v>2027</v>
      </c>
      <c r="H351" s="2" t="s">
        <v>577</v>
      </c>
      <c r="I351" s="2" t="s">
        <v>1586</v>
      </c>
      <c r="J351" s="2">
        <v>0</v>
      </c>
      <c r="K351" s="2" t="s">
        <v>1592</v>
      </c>
      <c r="L351" s="2" t="s">
        <v>1593</v>
      </c>
      <c r="M351" s="2" t="s">
        <v>1647</v>
      </c>
      <c r="N351" s="2" t="s">
        <v>1696</v>
      </c>
      <c r="O351" s="2" t="s">
        <v>2021</v>
      </c>
      <c r="P351" s="2" t="s">
        <v>2020</v>
      </c>
      <c r="Q351" s="2" t="s">
        <v>577</v>
      </c>
      <c r="R351" s="2" t="s">
        <v>588</v>
      </c>
    </row>
    <row r="352" spans="2:18">
      <c r="B352" s="2" t="s">
        <v>2129</v>
      </c>
      <c r="C352" s="2" t="s">
        <v>1331</v>
      </c>
      <c r="D352" s="2" t="s">
        <v>780</v>
      </c>
      <c r="E352" s="2" t="s">
        <v>1726</v>
      </c>
      <c r="F352" s="2" t="s">
        <v>1721</v>
      </c>
      <c r="G352" s="2" t="s">
        <v>2050</v>
      </c>
      <c r="H352" s="2" t="s">
        <v>577</v>
      </c>
      <c r="I352" s="2" t="s">
        <v>1586</v>
      </c>
      <c r="J352" s="2">
        <v>0</v>
      </c>
      <c r="K352" s="2" t="s">
        <v>1592</v>
      </c>
      <c r="L352" s="2" t="s">
        <v>1593</v>
      </c>
      <c r="M352" s="2" t="s">
        <v>1647</v>
      </c>
      <c r="N352" s="2" t="s">
        <v>1696</v>
      </c>
      <c r="O352" s="2" t="s">
        <v>1720</v>
      </c>
      <c r="P352" s="2" t="s">
        <v>1721</v>
      </c>
      <c r="Q352" s="2" t="s">
        <v>577</v>
      </c>
      <c r="R352" s="2" t="s">
        <v>588</v>
      </c>
    </row>
    <row r="353" spans="2:18">
      <c r="B353" s="2" t="s">
        <v>2130</v>
      </c>
      <c r="C353" s="2" t="s">
        <v>1468</v>
      </c>
      <c r="D353" s="2" t="s">
        <v>780</v>
      </c>
      <c r="E353" s="2" t="s">
        <v>1726</v>
      </c>
      <c r="F353" s="2" t="s">
        <v>2020</v>
      </c>
      <c r="G353" s="2" t="s">
        <v>2030</v>
      </c>
      <c r="H353" s="2" t="s">
        <v>577</v>
      </c>
      <c r="I353" s="2" t="s">
        <v>1586</v>
      </c>
      <c r="J353" s="2">
        <v>0</v>
      </c>
      <c r="K353" s="2" t="s">
        <v>1592</v>
      </c>
      <c r="L353" s="2" t="s">
        <v>1593</v>
      </c>
      <c r="M353" s="2" t="s">
        <v>1647</v>
      </c>
      <c r="N353" s="2" t="s">
        <v>1696</v>
      </c>
      <c r="O353" s="2" t="s">
        <v>2021</v>
      </c>
      <c r="P353" s="2" t="s">
        <v>2020</v>
      </c>
      <c r="Q353" s="2" t="s">
        <v>577</v>
      </c>
      <c r="R353" s="2" t="s">
        <v>588</v>
      </c>
    </row>
    <row r="359" spans="1:19">
      <c r="A359" s="14" t="s">
        <v>2131</v>
      </c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</row>
    <row r="360" spans="1:18">
      <c r="A360" s="2" t="s">
        <v>2132</v>
      </c>
      <c r="B360" s="2" t="s">
        <v>210</v>
      </c>
      <c r="C360" s="2" t="s">
        <v>2133</v>
      </c>
      <c r="D360" s="2" t="s">
        <v>780</v>
      </c>
      <c r="E360" s="2" t="s">
        <v>367</v>
      </c>
      <c r="F360" s="2" t="s">
        <v>2134</v>
      </c>
      <c r="G360" s="2" t="s">
        <v>2132</v>
      </c>
      <c r="H360" s="2" t="s">
        <v>588</v>
      </c>
      <c r="I360" s="2" t="s">
        <v>1586</v>
      </c>
      <c r="K360" s="2" t="s">
        <v>1592</v>
      </c>
      <c r="L360" s="2" t="s">
        <v>1593</v>
      </c>
      <c r="M360" s="2" t="s">
        <v>1647</v>
      </c>
      <c r="N360" s="2" t="s">
        <v>1696</v>
      </c>
      <c r="O360" s="2" t="s">
        <v>1596</v>
      </c>
      <c r="P360" s="2" t="s">
        <v>2135</v>
      </c>
      <c r="Q360" s="2" t="s">
        <v>588</v>
      </c>
      <c r="R360" s="2" t="s">
        <v>588</v>
      </c>
    </row>
    <row r="361" spans="2:18">
      <c r="B361" s="2" t="s">
        <v>214</v>
      </c>
      <c r="C361" s="2" t="s">
        <v>1542</v>
      </c>
      <c r="D361" s="2" t="s">
        <v>1058</v>
      </c>
      <c r="E361" s="2" t="s">
        <v>433</v>
      </c>
      <c r="F361" s="2" t="s">
        <v>433</v>
      </c>
      <c r="G361" s="2" t="s">
        <v>433</v>
      </c>
      <c r="H361" s="2" t="s">
        <v>577</v>
      </c>
      <c r="I361" s="2" t="s">
        <v>1586</v>
      </c>
      <c r="K361" s="2" t="s">
        <v>1592</v>
      </c>
      <c r="L361" s="2" t="s">
        <v>1593</v>
      </c>
      <c r="O361" s="2">
        <v>0</v>
      </c>
      <c r="Q361" s="2" t="s">
        <v>577</v>
      </c>
      <c r="R361" s="2" t="s">
        <v>577</v>
      </c>
    </row>
    <row r="362" spans="1:18">
      <c r="A362" s="2" t="s">
        <v>2136</v>
      </c>
      <c r="B362" s="2" t="s">
        <v>2137</v>
      </c>
      <c r="C362" s="2" t="s">
        <v>2133</v>
      </c>
      <c r="D362" s="2" t="s">
        <v>780</v>
      </c>
      <c r="E362" s="2" t="s">
        <v>367</v>
      </c>
      <c r="F362" s="2" t="s">
        <v>2134</v>
      </c>
      <c r="G362" s="2" t="s">
        <v>2136</v>
      </c>
      <c r="H362" s="2" t="s">
        <v>588</v>
      </c>
      <c r="I362" s="2" t="s">
        <v>1586</v>
      </c>
      <c r="K362" s="2" t="s">
        <v>1592</v>
      </c>
      <c r="L362" s="2" t="s">
        <v>1593</v>
      </c>
      <c r="M362" s="2" t="s">
        <v>1647</v>
      </c>
      <c r="N362" s="2" t="s">
        <v>1696</v>
      </c>
      <c r="O362" s="2" t="s">
        <v>1596</v>
      </c>
      <c r="P362" s="2" t="s">
        <v>2135</v>
      </c>
      <c r="Q362" s="2" t="s">
        <v>588</v>
      </c>
      <c r="R362" s="2" t="s">
        <v>588</v>
      </c>
    </row>
    <row r="363" spans="2:18">
      <c r="B363" s="2" t="s">
        <v>2138</v>
      </c>
      <c r="C363" s="2" t="s">
        <v>1543</v>
      </c>
      <c r="D363" s="2" t="s">
        <v>1058</v>
      </c>
      <c r="E363" s="2" t="s">
        <v>433</v>
      </c>
      <c r="F363" s="2" t="s">
        <v>433</v>
      </c>
      <c r="G363" s="2" t="s">
        <v>433</v>
      </c>
      <c r="H363" s="2" t="s">
        <v>577</v>
      </c>
      <c r="I363" s="2" t="s">
        <v>1586</v>
      </c>
      <c r="K363" s="2" t="s">
        <v>1592</v>
      </c>
      <c r="L363" s="2" t="s">
        <v>1593</v>
      </c>
      <c r="O363" s="2">
        <v>0</v>
      </c>
      <c r="Q363" s="2" t="s">
        <v>577</v>
      </c>
      <c r="R363" s="2" t="s">
        <v>577</v>
      </c>
    </row>
    <row r="364" spans="1:18">
      <c r="A364" s="2" t="s">
        <v>2139</v>
      </c>
      <c r="B364" s="2" t="s">
        <v>2140</v>
      </c>
      <c r="C364" s="2" t="s">
        <v>2141</v>
      </c>
      <c r="D364" s="2" t="s">
        <v>780</v>
      </c>
      <c r="E364" s="2" t="s">
        <v>367</v>
      </c>
      <c r="F364" s="2" t="s">
        <v>2134</v>
      </c>
      <c r="G364" s="2" t="s">
        <v>2139</v>
      </c>
      <c r="H364" s="2" t="s">
        <v>588</v>
      </c>
      <c r="I364" s="2" t="s">
        <v>1586</v>
      </c>
      <c r="K364" s="2" t="s">
        <v>1592</v>
      </c>
      <c r="L364" s="2" t="s">
        <v>1593</v>
      </c>
      <c r="M364" s="2" t="s">
        <v>1647</v>
      </c>
      <c r="N364" s="2" t="s">
        <v>1696</v>
      </c>
      <c r="O364" s="2" t="s">
        <v>1596</v>
      </c>
      <c r="P364" s="2" t="s">
        <v>2135</v>
      </c>
      <c r="Q364" s="2" t="s">
        <v>588</v>
      </c>
      <c r="R364" s="2" t="s">
        <v>588</v>
      </c>
    </row>
    <row r="365" spans="2:18">
      <c r="B365" s="2" t="s">
        <v>2142</v>
      </c>
      <c r="C365" s="2" t="s">
        <v>1547</v>
      </c>
      <c r="D365" s="2" t="s">
        <v>1058</v>
      </c>
      <c r="E365" s="2" t="s">
        <v>433</v>
      </c>
      <c r="F365" s="2" t="s">
        <v>433</v>
      </c>
      <c r="G365" s="2" t="s">
        <v>433</v>
      </c>
      <c r="H365" s="2" t="s">
        <v>577</v>
      </c>
      <c r="I365" s="2" t="s">
        <v>1586</v>
      </c>
      <c r="K365" s="2" t="s">
        <v>1592</v>
      </c>
      <c r="L365" s="2" t="s">
        <v>1593</v>
      </c>
      <c r="O365" s="2">
        <v>0</v>
      </c>
      <c r="Q365" s="2" t="s">
        <v>577</v>
      </c>
      <c r="R365" s="2" t="s">
        <v>577</v>
      </c>
    </row>
    <row r="366" spans="1:18">
      <c r="A366" s="2" t="s">
        <v>2143</v>
      </c>
      <c r="B366" s="2" t="s">
        <v>212</v>
      </c>
      <c r="C366" s="2" t="s">
        <v>2133</v>
      </c>
      <c r="D366" s="2" t="s">
        <v>780</v>
      </c>
      <c r="E366" s="2" t="s">
        <v>367</v>
      </c>
      <c r="F366" s="2" t="s">
        <v>2134</v>
      </c>
      <c r="G366" s="2" t="s">
        <v>2144</v>
      </c>
      <c r="H366" s="2" t="s">
        <v>588</v>
      </c>
      <c r="I366" s="2" t="s">
        <v>1586</v>
      </c>
      <c r="K366" s="2" t="s">
        <v>1592</v>
      </c>
      <c r="L366" s="2" t="s">
        <v>1593</v>
      </c>
      <c r="M366" s="2" t="s">
        <v>1647</v>
      </c>
      <c r="N366" s="2" t="s">
        <v>1696</v>
      </c>
      <c r="O366" s="2" t="s">
        <v>1596</v>
      </c>
      <c r="P366" s="2" t="s">
        <v>2135</v>
      </c>
      <c r="Q366" s="2" t="s">
        <v>588</v>
      </c>
      <c r="R366" s="2" t="s">
        <v>588</v>
      </c>
    </row>
    <row r="367" spans="2:18">
      <c r="B367" s="2" t="s">
        <v>216</v>
      </c>
      <c r="C367" s="2" t="s">
        <v>1547</v>
      </c>
      <c r="D367" s="2" t="s">
        <v>1058</v>
      </c>
      <c r="E367" s="2" t="s">
        <v>433</v>
      </c>
      <c r="F367" s="2" t="s">
        <v>433</v>
      </c>
      <c r="G367" s="2" t="s">
        <v>433</v>
      </c>
      <c r="H367" s="2" t="s">
        <v>577</v>
      </c>
      <c r="I367" s="2" t="s">
        <v>1586</v>
      </c>
      <c r="K367" s="2" t="s">
        <v>1592</v>
      </c>
      <c r="L367" s="2" t="s">
        <v>1593</v>
      </c>
      <c r="O367" s="2">
        <v>0</v>
      </c>
      <c r="Q367" s="2" t="s">
        <v>577</v>
      </c>
      <c r="R367" s="2" t="s">
        <v>577</v>
      </c>
    </row>
    <row r="368" spans="1:18">
      <c r="A368" s="2" t="s">
        <v>2145</v>
      </c>
      <c r="B368" s="2" t="s">
        <v>2146</v>
      </c>
      <c r="C368" s="2" t="s">
        <v>2147</v>
      </c>
      <c r="D368" s="2" t="s">
        <v>780</v>
      </c>
      <c r="E368" s="2" t="s">
        <v>367</v>
      </c>
      <c r="F368" s="2" t="s">
        <v>2134</v>
      </c>
      <c r="G368" s="2" t="s">
        <v>2145</v>
      </c>
      <c r="H368" s="2" t="s">
        <v>588</v>
      </c>
      <c r="I368" s="2" t="s">
        <v>1586</v>
      </c>
      <c r="K368" s="2" t="s">
        <v>1592</v>
      </c>
      <c r="L368" s="2" t="s">
        <v>1593</v>
      </c>
      <c r="M368" s="2" t="s">
        <v>1647</v>
      </c>
      <c r="N368" s="2" t="s">
        <v>1696</v>
      </c>
      <c r="O368" s="2" t="s">
        <v>1596</v>
      </c>
      <c r="P368" s="2" t="s">
        <v>2135</v>
      </c>
      <c r="Q368" s="2" t="s">
        <v>588</v>
      </c>
      <c r="R368" s="2" t="s">
        <v>588</v>
      </c>
    </row>
    <row r="369" spans="2:18">
      <c r="B369" s="2" t="s">
        <v>2148</v>
      </c>
      <c r="C369" s="2" t="s">
        <v>1548</v>
      </c>
      <c r="D369" s="2" t="s">
        <v>1058</v>
      </c>
      <c r="E369" s="2" t="s">
        <v>433</v>
      </c>
      <c r="F369" s="2" t="s">
        <v>433</v>
      </c>
      <c r="G369" s="2" t="s">
        <v>433</v>
      </c>
      <c r="H369" s="2" t="s">
        <v>577</v>
      </c>
      <c r="I369" s="2" t="s">
        <v>1586</v>
      </c>
      <c r="K369" s="2" t="s">
        <v>1592</v>
      </c>
      <c r="L369" s="2" t="s">
        <v>1593</v>
      </c>
      <c r="Q369" s="2" t="s">
        <v>577</v>
      </c>
      <c r="R369" s="2" t="s">
        <v>577</v>
      </c>
    </row>
    <row r="375" spans="1:19">
      <c r="A375" s="14" t="s">
        <v>225</v>
      </c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</row>
    <row r="376" spans="1:17">
      <c r="A376" s="2" t="s">
        <v>229</v>
      </c>
      <c r="B376" s="2" t="s">
        <v>229</v>
      </c>
      <c r="C376" s="2" t="s">
        <v>1585</v>
      </c>
      <c r="D376" s="2" t="s">
        <v>780</v>
      </c>
      <c r="E376" s="2" t="s">
        <v>225</v>
      </c>
      <c r="F376" s="2" t="s">
        <v>225</v>
      </c>
      <c r="G376" s="2" t="s">
        <v>229</v>
      </c>
      <c r="H376" s="2" t="s">
        <v>577</v>
      </c>
      <c r="I376" s="2" t="s">
        <v>1675</v>
      </c>
      <c r="K376" s="2" t="s">
        <v>2149</v>
      </c>
      <c r="L376" s="2" t="s">
        <v>2150</v>
      </c>
      <c r="P376" s="2" t="s">
        <v>2151</v>
      </c>
      <c r="Q376" s="2" t="s">
        <v>577</v>
      </c>
    </row>
    <row r="377" spans="1:17">
      <c r="A377" s="2" t="s">
        <v>2152</v>
      </c>
      <c r="B377" s="2" t="s">
        <v>2152</v>
      </c>
      <c r="C377" s="2" t="s">
        <v>1585</v>
      </c>
      <c r="D377" s="2" t="s">
        <v>780</v>
      </c>
      <c r="E377" s="2" t="s">
        <v>225</v>
      </c>
      <c r="F377" s="2" t="s">
        <v>225</v>
      </c>
      <c r="G377" s="2" t="s">
        <v>2152</v>
      </c>
      <c r="H377" s="2" t="s">
        <v>577</v>
      </c>
      <c r="I377" s="2" t="s">
        <v>1675</v>
      </c>
      <c r="K377" s="2" t="s">
        <v>2149</v>
      </c>
      <c r="L377" s="2" t="s">
        <v>2150</v>
      </c>
      <c r="P377" s="2" t="s">
        <v>2151</v>
      </c>
      <c r="Q377" s="2" t="s">
        <v>577</v>
      </c>
    </row>
    <row r="378" spans="1:17">
      <c r="A378" s="2" t="s">
        <v>2153</v>
      </c>
      <c r="B378" s="2" t="s">
        <v>2153</v>
      </c>
      <c r="C378" s="2" t="s">
        <v>1585</v>
      </c>
      <c r="D378" s="2" t="s">
        <v>780</v>
      </c>
      <c r="E378" s="2" t="s">
        <v>225</v>
      </c>
      <c r="F378" s="2" t="s">
        <v>225</v>
      </c>
      <c r="G378" s="2" t="s">
        <v>2153</v>
      </c>
      <c r="H378" s="2" t="s">
        <v>577</v>
      </c>
      <c r="I378" s="2" t="s">
        <v>1675</v>
      </c>
      <c r="K378" s="2" t="s">
        <v>2149</v>
      </c>
      <c r="L378" s="2" t="s">
        <v>2150</v>
      </c>
      <c r="P378" s="2" t="s">
        <v>2151</v>
      </c>
      <c r="Q378" s="2" t="s">
        <v>577</v>
      </c>
    </row>
    <row r="379" spans="1:17">
      <c r="A379" s="2" t="s">
        <v>233</v>
      </c>
      <c r="B379" s="2" t="s">
        <v>233</v>
      </c>
      <c r="C379" s="2" t="s">
        <v>1585</v>
      </c>
      <c r="D379" s="2" t="s">
        <v>780</v>
      </c>
      <c r="E379" s="2" t="s">
        <v>225</v>
      </c>
      <c r="F379" s="2" t="s">
        <v>225</v>
      </c>
      <c r="G379" s="2" t="s">
        <v>233</v>
      </c>
      <c r="H379" s="2" t="s">
        <v>577</v>
      </c>
      <c r="I379" s="2" t="s">
        <v>1675</v>
      </c>
      <c r="K379" s="2" t="s">
        <v>2149</v>
      </c>
      <c r="L379" s="2" t="s">
        <v>2150</v>
      </c>
      <c r="P379" s="2" t="s">
        <v>2151</v>
      </c>
      <c r="Q379" s="2" t="s">
        <v>577</v>
      </c>
    </row>
    <row r="380" spans="1:17">
      <c r="A380" s="2" t="s">
        <v>231</v>
      </c>
      <c r="B380" s="2" t="s">
        <v>231</v>
      </c>
      <c r="C380" s="2" t="s">
        <v>1585</v>
      </c>
      <c r="D380" s="2" t="s">
        <v>780</v>
      </c>
      <c r="E380" s="2" t="s">
        <v>225</v>
      </c>
      <c r="F380" s="2" t="s">
        <v>225</v>
      </c>
      <c r="G380" s="2" t="s">
        <v>231</v>
      </c>
      <c r="H380" s="2" t="s">
        <v>577</v>
      </c>
      <c r="I380" s="2" t="s">
        <v>1675</v>
      </c>
      <c r="K380" s="2" t="s">
        <v>2149</v>
      </c>
      <c r="L380" s="2" t="s">
        <v>2150</v>
      </c>
      <c r="P380" s="2" t="s">
        <v>2151</v>
      </c>
      <c r="Q380" s="2" t="s">
        <v>577</v>
      </c>
    </row>
    <row r="381" spans="1:17">
      <c r="A381" s="2" t="s">
        <v>227</v>
      </c>
      <c r="B381" s="2" t="s">
        <v>227</v>
      </c>
      <c r="C381" s="2" t="s">
        <v>1585</v>
      </c>
      <c r="D381" s="2" t="s">
        <v>780</v>
      </c>
      <c r="E381" s="2" t="s">
        <v>225</v>
      </c>
      <c r="F381" s="2" t="s">
        <v>225</v>
      </c>
      <c r="G381" s="2" t="s">
        <v>227</v>
      </c>
      <c r="H381" s="2" t="s">
        <v>577</v>
      </c>
      <c r="I381" s="2" t="s">
        <v>1675</v>
      </c>
      <c r="K381" s="2" t="s">
        <v>2149</v>
      </c>
      <c r="L381" s="2" t="s">
        <v>2150</v>
      </c>
      <c r="P381" s="2" t="s">
        <v>2151</v>
      </c>
      <c r="Q381" s="2" t="s">
        <v>577</v>
      </c>
    </row>
    <row r="382" spans="1:17">
      <c r="A382" s="2" t="s">
        <v>2154</v>
      </c>
      <c r="B382" s="2" t="s">
        <v>2154</v>
      </c>
      <c r="C382" s="2" t="s">
        <v>1585</v>
      </c>
      <c r="D382" s="2" t="s">
        <v>780</v>
      </c>
      <c r="E382" s="2" t="s">
        <v>225</v>
      </c>
      <c r="F382" s="2" t="s">
        <v>225</v>
      </c>
      <c r="G382" s="2" t="s">
        <v>2154</v>
      </c>
      <c r="H382" s="2" t="s">
        <v>577</v>
      </c>
      <c r="I382" s="2" t="s">
        <v>1675</v>
      </c>
      <c r="K382" s="2" t="s">
        <v>2149</v>
      </c>
      <c r="L382" s="2" t="s">
        <v>2150</v>
      </c>
      <c r="P382" s="2" t="s">
        <v>2151</v>
      </c>
      <c r="Q382" s="2" t="s">
        <v>577</v>
      </c>
    </row>
    <row r="383" spans="1:17">
      <c r="A383" s="2" t="s">
        <v>2155</v>
      </c>
      <c r="B383" s="2" t="s">
        <v>2155</v>
      </c>
      <c r="C383" s="2" t="s">
        <v>1585</v>
      </c>
      <c r="D383" s="2" t="s">
        <v>780</v>
      </c>
      <c r="E383" s="2" t="s">
        <v>225</v>
      </c>
      <c r="F383" s="2" t="s">
        <v>225</v>
      </c>
      <c r="G383" s="2" t="s">
        <v>2155</v>
      </c>
      <c r="H383" s="2" t="s">
        <v>577</v>
      </c>
      <c r="I383" s="2" t="s">
        <v>1675</v>
      </c>
      <c r="K383" s="2" t="s">
        <v>2149</v>
      </c>
      <c r="L383" s="2" t="s">
        <v>2150</v>
      </c>
      <c r="P383" s="2" t="s">
        <v>2151</v>
      </c>
      <c r="Q383" s="2" t="s">
        <v>577</v>
      </c>
    </row>
    <row r="384" spans="1:17">
      <c r="A384" s="2" t="s">
        <v>2156</v>
      </c>
      <c r="B384" s="2" t="s">
        <v>2156</v>
      </c>
      <c r="C384" s="2" t="s">
        <v>1585</v>
      </c>
      <c r="D384" s="2" t="s">
        <v>780</v>
      </c>
      <c r="E384" s="2" t="s">
        <v>225</v>
      </c>
      <c r="F384" s="2" t="s">
        <v>225</v>
      </c>
      <c r="G384" s="2" t="s">
        <v>2156</v>
      </c>
      <c r="H384" s="2" t="s">
        <v>577</v>
      </c>
      <c r="I384" s="2" t="s">
        <v>1675</v>
      </c>
      <c r="K384" s="2" t="s">
        <v>2149</v>
      </c>
      <c r="L384" s="2" t="s">
        <v>2150</v>
      </c>
      <c r="P384" s="2" t="s">
        <v>2151</v>
      </c>
      <c r="Q384" s="2" t="s">
        <v>577</v>
      </c>
    </row>
    <row r="385" spans="1:17">
      <c r="A385" s="2" t="s">
        <v>2157</v>
      </c>
      <c r="B385" s="2" t="s">
        <v>2158</v>
      </c>
      <c r="C385" s="2" t="s">
        <v>1585</v>
      </c>
      <c r="D385" s="2" t="s">
        <v>780</v>
      </c>
      <c r="E385" s="2" t="s">
        <v>225</v>
      </c>
      <c r="F385" s="2" t="s">
        <v>225</v>
      </c>
      <c r="G385" s="2" t="s">
        <v>2156</v>
      </c>
      <c r="H385" s="2" t="s">
        <v>577</v>
      </c>
      <c r="I385" s="2" t="s">
        <v>1675</v>
      </c>
      <c r="K385" s="2" t="s">
        <v>2149</v>
      </c>
      <c r="L385" s="2" t="s">
        <v>2150</v>
      </c>
      <c r="P385" s="2" t="s">
        <v>2151</v>
      </c>
      <c r="Q385" s="2" t="s">
        <v>577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2:CD90"/>
  <sheetViews>
    <sheetView zoomScale="55" zoomScaleNormal="55" topLeftCell="BQ1" workbookViewId="0">
      <selection activeCell="B596" sqref="B596"/>
    </sheetView>
  </sheetViews>
  <sheetFormatPr defaultColWidth="8.85714285714286" defaultRowHeight="16.5"/>
  <cols>
    <col min="1" max="1" width="24.5714285714286" style="2" customWidth="1"/>
    <col min="2" max="2" width="23.1428571428571" style="2" customWidth="1"/>
    <col min="3" max="3" width="21.8571428571429" style="2" customWidth="1"/>
    <col min="4" max="4" width="25.4285714285714" style="2" customWidth="1"/>
    <col min="5" max="5" width="24.8571428571429" style="2" customWidth="1"/>
    <col min="6" max="6" width="27.8571428571429" style="2" customWidth="1"/>
    <col min="7" max="7" width="17.5714285714286" style="2" customWidth="1"/>
    <col min="8" max="8" width="25.1428571428571" style="2" customWidth="1"/>
    <col min="9" max="9" width="38.5714285714286" style="2" customWidth="1"/>
    <col min="10" max="10" width="25.5714285714286" style="2" customWidth="1"/>
    <col min="11" max="11" width="23.4285714285714" style="2" customWidth="1"/>
    <col min="12" max="12" width="20.4285714285714" style="2" customWidth="1"/>
    <col min="13" max="13" width="29.1428571428571" style="2" customWidth="1"/>
    <col min="14" max="14" width="32.5714285714286" style="2" customWidth="1"/>
    <col min="15" max="15" width="24.4285714285714" style="2" customWidth="1"/>
    <col min="16" max="16" width="24.8571428571429" style="2" customWidth="1"/>
    <col min="17" max="17" width="16.8571428571429" style="2" customWidth="1"/>
    <col min="18" max="18" width="28" style="2" customWidth="1"/>
    <col min="19" max="19" width="31.8571428571429" style="2" customWidth="1"/>
    <col min="20" max="20" width="33.5714285714286" style="2" customWidth="1"/>
    <col min="21" max="21" width="34" style="2" customWidth="1"/>
    <col min="22" max="22" width="26.1428571428571" style="2" customWidth="1"/>
    <col min="23" max="23" width="21.8571428571429" style="2" customWidth="1"/>
    <col min="24" max="24" width="26.1428571428571" style="2" customWidth="1"/>
    <col min="25" max="25" width="35.1428571428571" style="2" customWidth="1"/>
    <col min="26" max="26" width="22.8571428571429" style="2" customWidth="1"/>
    <col min="27" max="27" width="28.5714285714286" style="2" customWidth="1"/>
    <col min="28" max="28" width="28.4285714285714" style="2" customWidth="1"/>
    <col min="29" max="29" width="15.1428571428571" style="2" customWidth="1"/>
    <col min="30" max="30" width="21.8571428571429" style="2" customWidth="1"/>
    <col min="31" max="31" width="27.8571428571429" style="2" customWidth="1"/>
    <col min="32" max="32" width="37.4285714285714" style="2" customWidth="1"/>
    <col min="33" max="33" width="24.1428571428571" style="2" customWidth="1"/>
    <col min="34" max="34" width="27" style="2" customWidth="1"/>
    <col min="35" max="35" width="30" style="2" customWidth="1"/>
    <col min="36" max="36" width="30.4285714285714" style="2" customWidth="1"/>
    <col min="37" max="37" width="27.8571428571429" style="2" customWidth="1"/>
    <col min="38" max="38" width="28.5714285714286" style="2" customWidth="1"/>
    <col min="39" max="39" width="30.1428571428571" style="2" customWidth="1"/>
    <col min="40" max="40" width="20.1428571428571" style="2" customWidth="1"/>
    <col min="41" max="41" width="24.4285714285714" style="2" customWidth="1"/>
    <col min="42" max="42" width="25.1428571428571" style="2" customWidth="1"/>
    <col min="43" max="43" width="18.5714285714286" style="2" customWidth="1"/>
    <col min="44" max="44" width="24.4285714285714" style="2" customWidth="1"/>
    <col min="45" max="45" width="35.8571428571429" style="2" customWidth="1"/>
    <col min="46" max="46" width="37.4285714285714" style="2" customWidth="1"/>
    <col min="47" max="47" width="29.5714285714286" style="2" customWidth="1"/>
    <col min="48" max="48" width="30.5714285714286" style="2" customWidth="1"/>
    <col min="49" max="49" width="23.4285714285714" style="2" customWidth="1"/>
    <col min="50" max="50" width="16.4285714285714" style="2" customWidth="1"/>
    <col min="51" max="51" width="32.4285714285714" style="2" customWidth="1"/>
    <col min="52" max="52" width="29.1428571428571" style="2" customWidth="1"/>
    <col min="53" max="53" width="21.1428571428571" style="2" customWidth="1"/>
    <col min="54" max="54" width="25.5714285714286" style="2" customWidth="1"/>
    <col min="55" max="55" width="30" style="2" customWidth="1"/>
    <col min="56" max="56" width="29.5714285714286" style="2" customWidth="1"/>
    <col min="57" max="57" width="36.5714285714286" style="2" customWidth="1"/>
    <col min="58" max="58" width="15.5714285714286" style="2" customWidth="1"/>
    <col min="59" max="59" width="22.8571428571429" style="2" customWidth="1"/>
    <col min="60" max="60" width="14.4285714285714" style="2" customWidth="1"/>
    <col min="61" max="61" width="32.1428571428571" style="2" customWidth="1"/>
    <col min="62" max="62" width="21.4285714285714" style="2" customWidth="1"/>
    <col min="63" max="63" width="42.8571428571429" style="2" customWidth="1"/>
    <col min="64" max="64" width="58.4285714285714" style="2" customWidth="1"/>
    <col min="65" max="65" width="36.5714285714286" style="2" customWidth="1"/>
    <col min="66" max="66" width="33.8571428571429" style="2" customWidth="1"/>
    <col min="67" max="67" width="24.4285714285714" style="2" customWidth="1"/>
    <col min="68" max="68" width="25.4285714285714" style="2" customWidth="1"/>
    <col min="69" max="69" width="30.5714285714286" style="2" customWidth="1"/>
    <col min="70" max="70" width="16.8571428571429" style="2" customWidth="1"/>
    <col min="71" max="71" width="33" style="2" customWidth="1"/>
    <col min="72" max="72" width="30.1428571428571" style="2" customWidth="1"/>
    <col min="73" max="73" width="17.4285714285714" style="2" customWidth="1"/>
    <col min="74" max="74" width="42.5714285714286" style="2" customWidth="1"/>
    <col min="75" max="75" width="35.4285714285714" style="2" customWidth="1"/>
    <col min="76" max="76" width="27.4285714285714" style="2" customWidth="1"/>
    <col min="77" max="77" width="24.4285714285714" style="2" customWidth="1"/>
    <col min="78" max="78" width="19.5714285714286" style="2" customWidth="1"/>
    <col min="79" max="79" width="31.4285714285714" style="2" customWidth="1"/>
    <col min="80" max="80" width="26.5714285714286" style="2" customWidth="1"/>
    <col min="81" max="81" width="26.4285714285714" style="2" customWidth="1"/>
    <col min="82" max="82" width="15.5714285714286" style="2" customWidth="1"/>
    <col min="83" max="16384" width="8.85714285714286" style="2"/>
  </cols>
  <sheetData>
    <row r="2" spans="1:20">
      <c r="A2" s="10" t="s">
        <v>2159</v>
      </c>
      <c r="B2" s="10" t="s">
        <v>2160</v>
      </c>
      <c r="C2" s="10" t="s">
        <v>574</v>
      </c>
      <c r="D2" s="10" t="s">
        <v>2161</v>
      </c>
      <c r="E2" s="10" t="s">
        <v>2162</v>
      </c>
      <c r="F2" s="10" t="s">
        <v>2163</v>
      </c>
      <c r="G2" s="10" t="s">
        <v>2164</v>
      </c>
      <c r="H2" s="10" t="s">
        <v>2165</v>
      </c>
      <c r="I2" s="10" t="s">
        <v>2166</v>
      </c>
      <c r="J2" s="10" t="s">
        <v>2167</v>
      </c>
      <c r="K2" s="10" t="s">
        <v>2168</v>
      </c>
      <c r="L2" s="10" t="s">
        <v>2169</v>
      </c>
      <c r="M2" s="10" t="s">
        <v>2170</v>
      </c>
      <c r="N2" s="10" t="s">
        <v>2171</v>
      </c>
      <c r="O2" s="10" t="s">
        <v>2172</v>
      </c>
      <c r="P2" s="10" t="s">
        <v>2173</v>
      </c>
      <c r="Q2" s="10" t="s">
        <v>2174</v>
      </c>
      <c r="R2" s="10" t="s">
        <v>2175</v>
      </c>
      <c r="S2" s="10" t="s">
        <v>2176</v>
      </c>
      <c r="T2" s="10" t="s">
        <v>2177</v>
      </c>
    </row>
    <row r="3" spans="1:20">
      <c r="A3" s="11" t="s">
        <v>2178</v>
      </c>
      <c r="B3" s="11" t="s">
        <v>2179</v>
      </c>
      <c r="C3" s="11" t="s">
        <v>2180</v>
      </c>
      <c r="D3" s="11" t="s">
        <v>2181</v>
      </c>
      <c r="E3" s="11" t="s">
        <v>2182</v>
      </c>
      <c r="F3" s="11" t="s">
        <v>2183</v>
      </c>
      <c r="G3" s="11" t="s">
        <v>2184</v>
      </c>
      <c r="H3" s="11" t="s">
        <v>2185</v>
      </c>
      <c r="I3" s="11" t="s">
        <v>2186</v>
      </c>
      <c r="J3" s="11" t="s">
        <v>2187</v>
      </c>
      <c r="K3" s="11" t="s">
        <v>2188</v>
      </c>
      <c r="L3" s="11" t="s">
        <v>2189</v>
      </c>
      <c r="M3" s="11" t="s">
        <v>2190</v>
      </c>
      <c r="N3" s="11" t="s">
        <v>2191</v>
      </c>
      <c r="O3" s="11" t="s">
        <v>2192</v>
      </c>
      <c r="P3" s="11" t="s">
        <v>2173</v>
      </c>
      <c r="Q3" s="11" t="s">
        <v>2174</v>
      </c>
      <c r="R3" s="11" t="s">
        <v>2175</v>
      </c>
      <c r="S3" s="11" t="s">
        <v>2176</v>
      </c>
      <c r="T3" s="11" t="s">
        <v>2177</v>
      </c>
    </row>
    <row r="4" spans="1:15">
      <c r="A4" s="11" t="s">
        <v>2193</v>
      </c>
      <c r="B4" s="11" t="s">
        <v>2194</v>
      </c>
      <c r="C4" s="11" t="s">
        <v>22</v>
      </c>
      <c r="D4" s="11" t="s">
        <v>2195</v>
      </c>
      <c r="E4" s="11" t="s">
        <v>2196</v>
      </c>
      <c r="F4" s="11" t="s">
        <v>2197</v>
      </c>
      <c r="G4" s="11" t="s">
        <v>2198</v>
      </c>
      <c r="H4" s="11" t="s">
        <v>2199</v>
      </c>
      <c r="I4" s="11" t="s">
        <v>2200</v>
      </c>
      <c r="J4" s="11" t="s">
        <v>2201</v>
      </c>
      <c r="K4" s="11" t="s">
        <v>2202</v>
      </c>
      <c r="L4" s="11" t="s">
        <v>2203</v>
      </c>
      <c r="M4" s="11" t="s">
        <v>2204</v>
      </c>
      <c r="N4" s="11" t="s">
        <v>2205</v>
      </c>
      <c r="O4" s="11" t="s">
        <v>2206</v>
      </c>
    </row>
    <row r="5" spans="1:15">
      <c r="A5" s="11" t="s">
        <v>2207</v>
      </c>
      <c r="B5" s="11" t="s">
        <v>2208</v>
      </c>
      <c r="C5" s="11" t="s">
        <v>43</v>
      </c>
      <c r="D5" s="11" t="s">
        <v>2209</v>
      </c>
      <c r="E5" s="11" t="s">
        <v>2210</v>
      </c>
      <c r="F5" s="11" t="s">
        <v>2211</v>
      </c>
      <c r="G5" s="11" t="s">
        <v>2212</v>
      </c>
      <c r="H5" s="11" t="s">
        <v>2213</v>
      </c>
      <c r="I5" s="11" t="s">
        <v>2214</v>
      </c>
      <c r="J5" s="11" t="s">
        <v>2215</v>
      </c>
      <c r="K5" s="11" t="s">
        <v>2216</v>
      </c>
      <c r="L5" s="11" t="s">
        <v>2217</v>
      </c>
      <c r="M5" s="11" t="s">
        <v>2218</v>
      </c>
      <c r="N5" s="11" t="s">
        <v>2219</v>
      </c>
      <c r="O5" s="11" t="s">
        <v>2220</v>
      </c>
    </row>
    <row r="6" spans="1:15">
      <c r="A6" s="11" t="s">
        <v>2221</v>
      </c>
      <c r="B6" s="11" t="s">
        <v>2222</v>
      </c>
      <c r="C6" s="11" t="s">
        <v>63</v>
      </c>
      <c r="D6" s="11" t="s">
        <v>2223</v>
      </c>
      <c r="E6" s="11" t="s">
        <v>2224</v>
      </c>
      <c r="F6" s="11" t="s">
        <v>2225</v>
      </c>
      <c r="G6" s="11" t="s">
        <v>2226</v>
      </c>
      <c r="H6" s="11" t="s">
        <v>2227</v>
      </c>
      <c r="I6" s="11" t="s">
        <v>2228</v>
      </c>
      <c r="J6" s="11" t="s">
        <v>2229</v>
      </c>
      <c r="K6" s="11" t="s">
        <v>2230</v>
      </c>
      <c r="L6" s="11" t="s">
        <v>2231</v>
      </c>
      <c r="M6" s="11" t="s">
        <v>2232</v>
      </c>
      <c r="N6" s="11" t="s">
        <v>2233</v>
      </c>
      <c r="O6" s="11" t="s">
        <v>2234</v>
      </c>
    </row>
    <row r="7" spans="1:15">
      <c r="A7" s="11" t="s">
        <v>2235</v>
      </c>
      <c r="B7" s="11" t="s">
        <v>78</v>
      </c>
      <c r="C7" s="11" t="s">
        <v>70</v>
      </c>
      <c r="D7" s="11" t="s">
        <v>2236</v>
      </c>
      <c r="E7" s="11" t="s">
        <v>2237</v>
      </c>
      <c r="F7" s="11" t="s">
        <v>2238</v>
      </c>
      <c r="G7" s="11" t="s">
        <v>2239</v>
      </c>
      <c r="H7" s="11" t="s">
        <v>2240</v>
      </c>
      <c r="I7" s="11" t="s">
        <v>78</v>
      </c>
      <c r="J7" s="11" t="s">
        <v>2241</v>
      </c>
      <c r="K7" s="11" t="s">
        <v>78</v>
      </c>
      <c r="L7" s="11" t="s">
        <v>2242</v>
      </c>
      <c r="M7" s="11" t="s">
        <v>2243</v>
      </c>
      <c r="N7" s="11" t="s">
        <v>78</v>
      </c>
      <c r="O7" s="11" t="s">
        <v>2244</v>
      </c>
    </row>
    <row r="8" spans="1:15">
      <c r="A8" s="11" t="s">
        <v>2245</v>
      </c>
      <c r="C8" s="11" t="s">
        <v>78</v>
      </c>
      <c r="D8" s="11" t="s">
        <v>2246</v>
      </c>
      <c r="E8" s="11" t="s">
        <v>78</v>
      </c>
      <c r="F8" s="11" t="s">
        <v>78</v>
      </c>
      <c r="G8" s="11" t="s">
        <v>2247</v>
      </c>
      <c r="H8" s="11" t="s">
        <v>2248</v>
      </c>
      <c r="J8" s="11" t="s">
        <v>2249</v>
      </c>
      <c r="L8" s="11" t="s">
        <v>78</v>
      </c>
      <c r="M8" s="11" t="s">
        <v>2250</v>
      </c>
      <c r="O8" s="11" t="s">
        <v>2251</v>
      </c>
    </row>
    <row r="9" spans="1:15">
      <c r="A9" s="11" t="s">
        <v>2252</v>
      </c>
      <c r="D9" s="11" t="s">
        <v>2253</v>
      </c>
      <c r="G9" s="11" t="s">
        <v>78</v>
      </c>
      <c r="H9" s="11" t="s">
        <v>78</v>
      </c>
      <c r="J9" s="11" t="s">
        <v>78</v>
      </c>
      <c r="M9" s="11" t="s">
        <v>78</v>
      </c>
      <c r="O9" s="11" t="s">
        <v>78</v>
      </c>
    </row>
    <row r="10" spans="1:4">
      <c r="A10" s="11" t="s">
        <v>78</v>
      </c>
      <c r="D10" s="11" t="s">
        <v>78</v>
      </c>
    </row>
    <row r="14" spans="1:2">
      <c r="A14" s="12" t="s">
        <v>238</v>
      </c>
      <c r="B14" s="12" t="s">
        <v>546</v>
      </c>
    </row>
    <row r="15" spans="1:2">
      <c r="A15" s="11" t="s">
        <v>2159</v>
      </c>
      <c r="B15" s="11" t="s">
        <v>2254</v>
      </c>
    </row>
    <row r="16" spans="1:2">
      <c r="A16" s="11" t="s">
        <v>2160</v>
      </c>
      <c r="B16" s="11" t="s">
        <v>2254</v>
      </c>
    </row>
    <row r="17" spans="1:2">
      <c r="A17" s="11" t="s">
        <v>574</v>
      </c>
      <c r="B17" s="11" t="s">
        <v>2254</v>
      </c>
    </row>
    <row r="18" spans="1:2">
      <c r="A18" s="11" t="s">
        <v>2161</v>
      </c>
      <c r="B18" s="11" t="s">
        <v>2254</v>
      </c>
    </row>
    <row r="19" spans="1:2">
      <c r="A19" s="11" t="s">
        <v>2162</v>
      </c>
      <c r="B19" s="11" t="s">
        <v>2254</v>
      </c>
    </row>
    <row r="20" spans="1:2">
      <c r="A20" s="11" t="s">
        <v>2163</v>
      </c>
      <c r="B20" s="11" t="s">
        <v>2254</v>
      </c>
    </row>
    <row r="21" spans="1:2">
      <c r="A21" s="11" t="s">
        <v>2164</v>
      </c>
      <c r="B21" s="11" t="s">
        <v>2254</v>
      </c>
    </row>
    <row r="22" spans="1:2">
      <c r="A22" s="11" t="s">
        <v>2165</v>
      </c>
      <c r="B22" s="11" t="s">
        <v>2254</v>
      </c>
    </row>
    <row r="23" spans="1:2">
      <c r="A23" s="11" t="s">
        <v>2166</v>
      </c>
      <c r="B23" s="11" t="s">
        <v>2254</v>
      </c>
    </row>
    <row r="24" spans="1:2">
      <c r="A24" s="11" t="s">
        <v>2167</v>
      </c>
      <c r="B24" s="11" t="s">
        <v>2254</v>
      </c>
    </row>
    <row r="25" spans="1:2">
      <c r="A25" s="11" t="s">
        <v>2168</v>
      </c>
      <c r="B25" s="11" t="s">
        <v>2254</v>
      </c>
    </row>
    <row r="26" spans="1:2">
      <c r="A26" s="11" t="s">
        <v>2169</v>
      </c>
      <c r="B26" s="11" t="s">
        <v>2254</v>
      </c>
    </row>
    <row r="27" spans="1:2">
      <c r="A27" s="11" t="s">
        <v>2170</v>
      </c>
      <c r="B27" s="11" t="s">
        <v>2254</v>
      </c>
    </row>
    <row r="28" spans="1:2">
      <c r="A28" s="11" t="s">
        <v>2171</v>
      </c>
      <c r="B28" s="11" t="s">
        <v>2254</v>
      </c>
    </row>
    <row r="29" spans="1:2">
      <c r="A29" s="11" t="s">
        <v>2172</v>
      </c>
      <c r="B29" s="11" t="s">
        <v>2254</v>
      </c>
    </row>
    <row r="30" spans="1:2">
      <c r="A30" s="11" t="s">
        <v>2173</v>
      </c>
      <c r="B30" s="11" t="s">
        <v>2255</v>
      </c>
    </row>
    <row r="31" spans="1:2">
      <c r="A31" s="11" t="s">
        <v>2174</v>
      </c>
      <c r="B31" s="11" t="s">
        <v>2256</v>
      </c>
    </row>
    <row r="32" spans="1:2">
      <c r="A32" s="11" t="s">
        <v>2175</v>
      </c>
      <c r="B32" s="11" t="s">
        <v>2256</v>
      </c>
    </row>
    <row r="33" spans="1:2">
      <c r="A33" s="11" t="s">
        <v>2176</v>
      </c>
      <c r="B33" s="11" t="s">
        <v>2256</v>
      </c>
    </row>
    <row r="34" spans="1:2">
      <c r="A34" s="11" t="s">
        <v>2177</v>
      </c>
      <c r="B34" s="11" t="s">
        <v>2256</v>
      </c>
    </row>
    <row r="36" s="9" customFormat="1" spans="1:76">
      <c r="A36" s="9" t="s">
        <v>2159</v>
      </c>
      <c r="H36" s="9" t="s">
        <v>2257</v>
      </c>
      <c r="L36" s="9" t="s">
        <v>2258</v>
      </c>
      <c r="Q36" s="9" t="s">
        <v>2259</v>
      </c>
      <c r="X36" s="9" t="s">
        <v>2260</v>
      </c>
      <c r="AC36" s="9" t="s">
        <v>2163</v>
      </c>
      <c r="AH36" s="9" t="s">
        <v>2164</v>
      </c>
      <c r="AN36" s="9" t="s">
        <v>2165</v>
      </c>
      <c r="AT36" s="9" t="s">
        <v>2166</v>
      </c>
      <c r="AX36" s="9" t="s">
        <v>2167</v>
      </c>
      <c r="BD36" s="9" t="s">
        <v>2168</v>
      </c>
      <c r="BI36" s="9" t="s">
        <v>2169</v>
      </c>
      <c r="BN36" s="9" t="s">
        <v>2170</v>
      </c>
      <c r="BT36" s="9" t="s">
        <v>2171</v>
      </c>
      <c r="BX36" s="9" t="s">
        <v>2172</v>
      </c>
    </row>
    <row r="37" s="1" customFormat="1" spans="1:82">
      <c r="A37" s="3" t="s">
        <v>2261</v>
      </c>
      <c r="B37" s="3" t="s">
        <v>2262</v>
      </c>
      <c r="C37" s="3" t="s">
        <v>2263</v>
      </c>
      <c r="D37" s="3" t="s">
        <v>2264</v>
      </c>
      <c r="E37" s="3" t="s">
        <v>2265</v>
      </c>
      <c r="F37" s="3" t="s">
        <v>2266</v>
      </c>
      <c r="G37" s="3" t="s">
        <v>2267</v>
      </c>
      <c r="H37" s="3" t="s">
        <v>2268</v>
      </c>
      <c r="I37" s="3" t="s">
        <v>2269</v>
      </c>
      <c r="J37" s="3" t="s">
        <v>2270</v>
      </c>
      <c r="K37" s="3" t="s">
        <v>2271</v>
      </c>
      <c r="L37" s="3" t="s">
        <v>2272</v>
      </c>
      <c r="M37" s="3" t="s">
        <v>2273</v>
      </c>
      <c r="N37" s="3" t="s">
        <v>2274</v>
      </c>
      <c r="O37" s="3" t="s">
        <v>2275</v>
      </c>
      <c r="P37" s="3" t="s">
        <v>682</v>
      </c>
      <c r="Q37" s="3" t="s">
        <v>677</v>
      </c>
      <c r="R37" s="3" t="s">
        <v>2276</v>
      </c>
      <c r="S37" s="3" t="s">
        <v>2277</v>
      </c>
      <c r="T37" s="3" t="s">
        <v>2278</v>
      </c>
      <c r="U37" s="3" t="s">
        <v>2279</v>
      </c>
      <c r="V37" s="3" t="s">
        <v>2280</v>
      </c>
      <c r="W37" s="3" t="s">
        <v>2281</v>
      </c>
      <c r="X37" s="3" t="s">
        <v>2282</v>
      </c>
      <c r="Y37" s="3" t="s">
        <v>2283</v>
      </c>
      <c r="Z37" s="3" t="s">
        <v>2284</v>
      </c>
      <c r="AA37" s="3" t="s">
        <v>681</v>
      </c>
      <c r="AB37" s="3" t="s">
        <v>653</v>
      </c>
      <c r="AC37" s="3" t="s">
        <v>2285</v>
      </c>
      <c r="AD37" s="3" t="s">
        <v>2286</v>
      </c>
      <c r="AE37" s="3" t="s">
        <v>2287</v>
      </c>
      <c r="AF37" s="3" t="s">
        <v>2288</v>
      </c>
      <c r="AG37" s="3" t="s">
        <v>2289</v>
      </c>
      <c r="AH37" s="3" t="s">
        <v>2290</v>
      </c>
      <c r="AI37" s="3" t="s">
        <v>2291</v>
      </c>
      <c r="AJ37" s="3" t="s">
        <v>2292</v>
      </c>
      <c r="AK37" s="3" t="s">
        <v>2293</v>
      </c>
      <c r="AL37" s="3" t="s">
        <v>2294</v>
      </c>
      <c r="AM37" s="3" t="s">
        <v>2295</v>
      </c>
      <c r="AN37" s="3" t="s">
        <v>2296</v>
      </c>
      <c r="AO37" s="3" t="s">
        <v>2297</v>
      </c>
      <c r="AP37" s="3" t="s">
        <v>2298</v>
      </c>
      <c r="AQ37" s="3" t="s">
        <v>2299</v>
      </c>
      <c r="AR37" s="3" t="s">
        <v>2300</v>
      </c>
      <c r="AS37" s="3" t="s">
        <v>2301</v>
      </c>
      <c r="AT37" s="3" t="s">
        <v>2302</v>
      </c>
      <c r="AU37" s="3" t="s">
        <v>2303</v>
      </c>
      <c r="AV37" s="3" t="s">
        <v>2304</v>
      </c>
      <c r="AW37" s="3" t="s">
        <v>2305</v>
      </c>
      <c r="AX37" s="3" t="s">
        <v>2306</v>
      </c>
      <c r="AY37" s="3" t="s">
        <v>2307</v>
      </c>
      <c r="AZ37" s="3" t="s">
        <v>2308</v>
      </c>
      <c r="BA37" s="3" t="s">
        <v>2309</v>
      </c>
      <c r="BB37" s="3" t="s">
        <v>2310</v>
      </c>
      <c r="BC37" s="3" t="s">
        <v>2311</v>
      </c>
      <c r="BD37" s="3" t="s">
        <v>2312</v>
      </c>
      <c r="BE37" s="3" t="s">
        <v>2313</v>
      </c>
      <c r="BF37" s="3" t="s">
        <v>2314</v>
      </c>
      <c r="BG37" s="3" t="s">
        <v>2315</v>
      </c>
      <c r="BH37" s="3" t="s">
        <v>2316</v>
      </c>
      <c r="BI37" s="3" t="s">
        <v>2317</v>
      </c>
      <c r="BJ37" s="3" t="s">
        <v>2318</v>
      </c>
      <c r="BK37" s="3" t="s">
        <v>2319</v>
      </c>
      <c r="BL37" s="3" t="s">
        <v>2320</v>
      </c>
      <c r="BM37" s="3" t="s">
        <v>2321</v>
      </c>
      <c r="BN37" s="3" t="s">
        <v>2322</v>
      </c>
      <c r="BO37" s="3" t="s">
        <v>2323</v>
      </c>
      <c r="BP37" s="3" t="s">
        <v>2324</v>
      </c>
      <c r="BQ37" s="3" t="s">
        <v>2325</v>
      </c>
      <c r="BR37" s="3" t="s">
        <v>2326</v>
      </c>
      <c r="BS37" s="3" t="s">
        <v>2327</v>
      </c>
      <c r="BT37" s="3" t="s">
        <v>2328</v>
      </c>
      <c r="BU37" s="3" t="s">
        <v>2329</v>
      </c>
      <c r="BV37" s="3" t="s">
        <v>2330</v>
      </c>
      <c r="BW37" s="3" t="s">
        <v>2331</v>
      </c>
      <c r="BX37" s="3" t="s">
        <v>2332</v>
      </c>
      <c r="BY37" s="3" t="s">
        <v>2333</v>
      </c>
      <c r="BZ37" s="3" t="s">
        <v>2334</v>
      </c>
      <c r="CA37" s="3" t="s">
        <v>2335</v>
      </c>
      <c r="CB37" s="3" t="s">
        <v>2336</v>
      </c>
      <c r="CC37" s="3" t="s">
        <v>2337</v>
      </c>
      <c r="CD37" s="3" t="s">
        <v>2338</v>
      </c>
    </row>
    <row r="38" spans="1:82">
      <c r="A38" s="2" t="s">
        <v>2339</v>
      </c>
      <c r="B38" s="2" t="s">
        <v>2340</v>
      </c>
      <c r="C38" s="2" t="s">
        <v>2341</v>
      </c>
      <c r="D38" s="2" t="s">
        <v>2342</v>
      </c>
      <c r="E38" s="2" t="s">
        <v>2343</v>
      </c>
      <c r="F38" s="2" t="s">
        <v>2344</v>
      </c>
      <c r="G38" s="2" t="s">
        <v>2345</v>
      </c>
      <c r="H38" s="2" t="s">
        <v>2346</v>
      </c>
      <c r="I38" s="2" t="s">
        <v>2347</v>
      </c>
      <c r="J38" s="2" t="s">
        <v>2348</v>
      </c>
      <c r="K38" s="2" t="s">
        <v>2349</v>
      </c>
      <c r="L38" s="2" t="s">
        <v>2350</v>
      </c>
      <c r="M38" s="2" t="s">
        <v>629</v>
      </c>
      <c r="N38" s="2" t="s">
        <v>643</v>
      </c>
      <c r="O38" s="2" t="s">
        <v>2351</v>
      </c>
      <c r="P38" s="2" t="s">
        <v>634</v>
      </c>
      <c r="Q38" s="2" t="s">
        <v>2352</v>
      </c>
      <c r="R38" s="2" t="s">
        <v>2353</v>
      </c>
      <c r="S38" s="2" t="s">
        <v>2354</v>
      </c>
      <c r="T38" s="2" t="s">
        <v>2355</v>
      </c>
      <c r="U38" s="2" t="s">
        <v>2356</v>
      </c>
      <c r="V38" s="2" t="s">
        <v>2357</v>
      </c>
      <c r="W38" s="2" t="s">
        <v>2358</v>
      </c>
      <c r="X38" s="2" t="s">
        <v>2359</v>
      </c>
      <c r="Y38" s="2" t="s">
        <v>2360</v>
      </c>
      <c r="Z38" s="2" t="s">
        <v>2361</v>
      </c>
      <c r="AA38" s="2" t="s">
        <v>2362</v>
      </c>
      <c r="AB38" s="2" t="s">
        <v>2363</v>
      </c>
      <c r="AC38" s="2" t="s">
        <v>2364</v>
      </c>
      <c r="AD38" s="2" t="s">
        <v>2365</v>
      </c>
      <c r="AE38" s="2" t="s">
        <v>2366</v>
      </c>
      <c r="AF38" s="2" t="s">
        <v>2367</v>
      </c>
      <c r="AG38" s="2" t="s">
        <v>2368</v>
      </c>
      <c r="AH38" s="2" t="s">
        <v>2369</v>
      </c>
      <c r="AI38" s="2" t="s">
        <v>2370</v>
      </c>
      <c r="AJ38" s="2" t="s">
        <v>2371</v>
      </c>
      <c r="AK38" s="2" t="s">
        <v>2372</v>
      </c>
      <c r="AL38" s="2" t="s">
        <v>2373</v>
      </c>
      <c r="AM38" s="2" t="s">
        <v>2374</v>
      </c>
      <c r="AN38" s="2" t="s">
        <v>2375</v>
      </c>
      <c r="AO38" s="2" t="s">
        <v>2376</v>
      </c>
      <c r="AP38" s="2" t="s">
        <v>2377</v>
      </c>
      <c r="AQ38" s="2" t="s">
        <v>2378</v>
      </c>
      <c r="AR38" s="2" t="s">
        <v>2379</v>
      </c>
      <c r="AS38" s="2" t="s">
        <v>2380</v>
      </c>
      <c r="AT38" s="2" t="s">
        <v>2381</v>
      </c>
      <c r="AU38" s="2" t="s">
        <v>2382</v>
      </c>
      <c r="AV38" s="2" t="s">
        <v>2383</v>
      </c>
      <c r="AW38" s="2" t="s">
        <v>2384</v>
      </c>
      <c r="AX38" s="2" t="s">
        <v>2385</v>
      </c>
      <c r="AY38" s="2" t="s">
        <v>2386</v>
      </c>
      <c r="AZ38" s="2" t="s">
        <v>2387</v>
      </c>
      <c r="BA38" s="2" t="s">
        <v>2388</v>
      </c>
      <c r="BB38" s="2" t="s">
        <v>2389</v>
      </c>
      <c r="BC38" s="2" t="s">
        <v>2390</v>
      </c>
      <c r="BD38" s="2" t="s">
        <v>2391</v>
      </c>
      <c r="BE38" s="2" t="s">
        <v>2392</v>
      </c>
      <c r="BF38" s="2" t="s">
        <v>668</v>
      </c>
      <c r="BG38" s="2" t="s">
        <v>2393</v>
      </c>
      <c r="BH38" s="2" t="s">
        <v>2394</v>
      </c>
      <c r="BI38" s="2" t="s">
        <v>2395</v>
      </c>
      <c r="BJ38" s="2" t="s">
        <v>2396</v>
      </c>
      <c r="BK38" s="2" t="s">
        <v>2397</v>
      </c>
      <c r="BL38" s="2" t="s">
        <v>2398</v>
      </c>
      <c r="BM38" s="2" t="s">
        <v>2399</v>
      </c>
      <c r="BN38" s="2" t="s">
        <v>2400</v>
      </c>
      <c r="BO38" s="2" t="s">
        <v>2401</v>
      </c>
      <c r="BP38" s="2" t="s">
        <v>2402</v>
      </c>
      <c r="BQ38" s="2" t="s">
        <v>2403</v>
      </c>
      <c r="BR38" s="2" t="s">
        <v>2404</v>
      </c>
      <c r="BS38" s="2" t="s">
        <v>2405</v>
      </c>
      <c r="BT38" s="2" t="s">
        <v>2406</v>
      </c>
      <c r="BU38" s="2" t="s">
        <v>2407</v>
      </c>
      <c r="BV38" s="2" t="s">
        <v>2408</v>
      </c>
      <c r="BW38" s="2" t="s">
        <v>2409</v>
      </c>
      <c r="BX38" s="2" t="s">
        <v>2410</v>
      </c>
      <c r="BY38" s="2" t="s">
        <v>2411</v>
      </c>
      <c r="BZ38" s="2" t="s">
        <v>2412</v>
      </c>
      <c r="CA38" s="2" t="s">
        <v>2413</v>
      </c>
      <c r="CB38" s="2" t="s">
        <v>2414</v>
      </c>
      <c r="CC38" s="2" t="s">
        <v>2410</v>
      </c>
      <c r="CD38" s="2" t="s">
        <v>77</v>
      </c>
    </row>
    <row r="39" spans="1:80">
      <c r="A39" s="2" t="s">
        <v>2415</v>
      </c>
      <c r="B39" s="2" t="s">
        <v>2416</v>
      </c>
      <c r="C39" s="2" t="s">
        <v>2417</v>
      </c>
      <c r="D39" s="2" t="s">
        <v>2418</v>
      </c>
      <c r="E39" s="2" t="s">
        <v>2419</v>
      </c>
      <c r="F39" s="2" t="s">
        <v>2420</v>
      </c>
      <c r="H39" s="2" t="s">
        <v>2421</v>
      </c>
      <c r="I39" s="2" t="s">
        <v>2422</v>
      </c>
      <c r="J39" s="2" t="s">
        <v>2423</v>
      </c>
      <c r="K39" s="2" t="s">
        <v>2424</v>
      </c>
      <c r="L39" s="2" t="s">
        <v>2425</v>
      </c>
      <c r="M39" s="2" t="s">
        <v>650</v>
      </c>
      <c r="N39" s="2" t="s">
        <v>630</v>
      </c>
      <c r="O39" s="2" t="s">
        <v>2426</v>
      </c>
      <c r="P39" s="2" t="s">
        <v>635</v>
      </c>
      <c r="Q39" s="2" t="s">
        <v>2427</v>
      </c>
      <c r="R39" s="2" t="s">
        <v>2428</v>
      </c>
      <c r="S39" s="2" t="s">
        <v>2429</v>
      </c>
      <c r="T39" s="2" t="s">
        <v>2430</v>
      </c>
      <c r="U39" s="2" t="s">
        <v>2431</v>
      </c>
      <c r="V39" s="2" t="s">
        <v>2432</v>
      </c>
      <c r="W39" s="2" t="s">
        <v>2433</v>
      </c>
      <c r="X39" s="2" t="s">
        <v>2434</v>
      </c>
      <c r="Y39" s="2" t="s">
        <v>2435</v>
      </c>
      <c r="Z39" s="2" t="s">
        <v>2436</v>
      </c>
      <c r="AA39" s="2" t="s">
        <v>2437</v>
      </c>
      <c r="AB39" s="2" t="s">
        <v>2438</v>
      </c>
      <c r="AC39" s="2" t="s">
        <v>2378</v>
      </c>
      <c r="AD39" s="2" t="s">
        <v>2439</v>
      </c>
      <c r="AE39" s="2" t="s">
        <v>2440</v>
      </c>
      <c r="AF39" s="2" t="s">
        <v>2441</v>
      </c>
      <c r="AG39" s="2" t="s">
        <v>2442</v>
      </c>
      <c r="AH39" s="2" t="s">
        <v>2443</v>
      </c>
      <c r="AI39" s="2" t="s">
        <v>2444</v>
      </c>
      <c r="AJ39" s="2" t="s">
        <v>2445</v>
      </c>
      <c r="AK39" s="2" t="s">
        <v>2438</v>
      </c>
      <c r="AL39" s="2" t="s">
        <v>2446</v>
      </c>
      <c r="AM39" s="2" t="s">
        <v>2447</v>
      </c>
      <c r="AN39" s="2" t="s">
        <v>2448</v>
      </c>
      <c r="AO39" s="2" t="s">
        <v>2449</v>
      </c>
      <c r="AP39" s="2" t="s">
        <v>2450</v>
      </c>
      <c r="AQ39" s="2" t="s">
        <v>2451</v>
      </c>
      <c r="AR39" s="2" t="s">
        <v>2452</v>
      </c>
      <c r="AS39" s="2" t="s">
        <v>2453</v>
      </c>
      <c r="AT39" s="2" t="s">
        <v>2454</v>
      </c>
      <c r="AU39" s="2" t="s">
        <v>2455</v>
      </c>
      <c r="AV39" s="2" t="s">
        <v>2456</v>
      </c>
      <c r="AW39" s="2" t="s">
        <v>2457</v>
      </c>
      <c r="AX39" s="2" t="s">
        <v>2306</v>
      </c>
      <c r="AY39" s="2" t="s">
        <v>2458</v>
      </c>
      <c r="AZ39" s="2" t="s">
        <v>2459</v>
      </c>
      <c r="BA39" s="2" t="s">
        <v>2460</v>
      </c>
      <c r="BB39" s="2" t="s">
        <v>2461</v>
      </c>
      <c r="BC39" s="2" t="s">
        <v>2462</v>
      </c>
      <c r="BD39" s="2" t="s">
        <v>2463</v>
      </c>
      <c r="BE39" s="2" t="s">
        <v>677</v>
      </c>
      <c r="BF39" s="2" t="s">
        <v>2464</v>
      </c>
      <c r="BI39" s="2" t="s">
        <v>2465</v>
      </c>
      <c r="BJ39" s="2" t="s">
        <v>2466</v>
      </c>
      <c r="BK39" s="2" t="s">
        <v>2467</v>
      </c>
      <c r="BL39" s="2" t="s">
        <v>2468</v>
      </c>
      <c r="BM39" s="2" t="s">
        <v>2469</v>
      </c>
      <c r="BN39" s="2" t="s">
        <v>2470</v>
      </c>
      <c r="BO39" s="2" t="s">
        <v>2471</v>
      </c>
      <c r="BP39" s="2" t="s">
        <v>2472</v>
      </c>
      <c r="BQ39" s="2" t="s">
        <v>2473</v>
      </c>
      <c r="BS39" s="2" t="s">
        <v>2474</v>
      </c>
      <c r="BT39" s="2" t="s">
        <v>2475</v>
      </c>
      <c r="BU39" s="2" t="s">
        <v>2476</v>
      </c>
      <c r="BV39" s="2" t="s">
        <v>2477</v>
      </c>
      <c r="BW39" s="2" t="s">
        <v>2478</v>
      </c>
      <c r="BX39" s="2" t="s">
        <v>2479</v>
      </c>
      <c r="BY39" s="2" t="s">
        <v>2480</v>
      </c>
      <c r="BZ39" s="2" t="s">
        <v>2481</v>
      </c>
      <c r="CA39" s="2" t="s">
        <v>2482</v>
      </c>
      <c r="CB39" s="2" t="s">
        <v>2483</v>
      </c>
    </row>
    <row r="40" spans="1:80">
      <c r="A40" s="2" t="s">
        <v>2484</v>
      </c>
      <c r="B40" s="2" t="s">
        <v>2485</v>
      </c>
      <c r="C40" s="2" t="s">
        <v>2486</v>
      </c>
      <c r="D40" s="2" t="s">
        <v>2487</v>
      </c>
      <c r="E40" s="2" t="s">
        <v>2488</v>
      </c>
      <c r="F40" s="2" t="s">
        <v>2489</v>
      </c>
      <c r="H40" s="2" t="s">
        <v>2490</v>
      </c>
      <c r="I40" s="2" t="s">
        <v>2491</v>
      </c>
      <c r="J40" s="2" t="s">
        <v>2492</v>
      </c>
      <c r="K40" s="2" t="s">
        <v>2493</v>
      </c>
      <c r="L40" s="2" t="s">
        <v>2494</v>
      </c>
      <c r="M40" s="2" t="s">
        <v>619</v>
      </c>
      <c r="N40" s="2" t="s">
        <v>673</v>
      </c>
      <c r="O40" s="2" t="s">
        <v>691</v>
      </c>
      <c r="P40" s="2" t="s">
        <v>626</v>
      </c>
      <c r="Q40" s="2" t="s">
        <v>2495</v>
      </c>
      <c r="R40" s="2" t="s">
        <v>2496</v>
      </c>
      <c r="S40" s="2" t="s">
        <v>2497</v>
      </c>
      <c r="T40" s="2" t="s">
        <v>2498</v>
      </c>
      <c r="U40" s="2" t="s">
        <v>2499</v>
      </c>
      <c r="V40" s="2" t="s">
        <v>2500</v>
      </c>
      <c r="W40" s="2" t="s">
        <v>2501</v>
      </c>
      <c r="X40" s="2" t="s">
        <v>2502</v>
      </c>
      <c r="Y40" s="2" t="s">
        <v>2503</v>
      </c>
      <c r="Z40" s="2" t="s">
        <v>2504</v>
      </c>
      <c r="AA40" s="2" t="s">
        <v>2505</v>
      </c>
      <c r="AB40" s="2" t="s">
        <v>2506</v>
      </c>
      <c r="AC40" s="2" t="s">
        <v>2507</v>
      </c>
      <c r="AD40" s="2" t="s">
        <v>2508</v>
      </c>
      <c r="AE40" s="2" t="s">
        <v>2509</v>
      </c>
      <c r="AF40" s="2" t="s">
        <v>2510</v>
      </c>
      <c r="AG40" s="2" t="s">
        <v>2511</v>
      </c>
      <c r="AH40" s="2" t="s">
        <v>2512</v>
      </c>
      <c r="AI40" s="2" t="s">
        <v>2513</v>
      </c>
      <c r="AJ40" s="2" t="s">
        <v>2514</v>
      </c>
      <c r="AK40" s="2" t="s">
        <v>2515</v>
      </c>
      <c r="AL40" s="2" t="s">
        <v>2516</v>
      </c>
      <c r="AM40" s="2" t="s">
        <v>2517</v>
      </c>
      <c r="AN40" s="2" t="s">
        <v>2518</v>
      </c>
      <c r="AO40" s="2" t="s">
        <v>2519</v>
      </c>
      <c r="AP40" s="2" t="s">
        <v>2520</v>
      </c>
      <c r="AQ40" s="2" t="s">
        <v>2521</v>
      </c>
      <c r="AR40" s="2" t="s">
        <v>2522</v>
      </c>
      <c r="AS40" s="2" t="s">
        <v>2523</v>
      </c>
      <c r="AT40" s="2" t="s">
        <v>668</v>
      </c>
      <c r="AU40" s="2" t="s">
        <v>2524</v>
      </c>
      <c r="AV40" s="2" t="s">
        <v>2525</v>
      </c>
      <c r="AW40" s="2" t="s">
        <v>2526</v>
      </c>
      <c r="AX40" s="2" t="s">
        <v>2527</v>
      </c>
      <c r="AY40" s="2" t="s">
        <v>2528</v>
      </c>
      <c r="AZ40" s="2" t="s">
        <v>2529</v>
      </c>
      <c r="BA40" s="2" t="s">
        <v>2530</v>
      </c>
      <c r="BB40" s="2" t="s">
        <v>2531</v>
      </c>
      <c r="BC40" s="2" t="s">
        <v>2532</v>
      </c>
      <c r="BD40" s="2" t="s">
        <v>2533</v>
      </c>
      <c r="BE40" s="2" t="s">
        <v>2534</v>
      </c>
      <c r="BF40" s="2" t="s">
        <v>2535</v>
      </c>
      <c r="BI40" s="2" t="s">
        <v>2536</v>
      </c>
      <c r="BJ40" s="2" t="s">
        <v>2537</v>
      </c>
      <c r="BK40" s="2" t="s">
        <v>2538</v>
      </c>
      <c r="BL40" s="2" t="s">
        <v>2539</v>
      </c>
      <c r="BM40" s="2" t="s">
        <v>2540</v>
      </c>
      <c r="BN40" s="2" t="s">
        <v>2541</v>
      </c>
      <c r="BO40" s="2" t="s">
        <v>2542</v>
      </c>
      <c r="BP40" s="2" t="s">
        <v>2543</v>
      </c>
      <c r="BQ40" s="2" t="s">
        <v>2544</v>
      </c>
      <c r="BS40" s="2" t="s">
        <v>2545</v>
      </c>
      <c r="BT40" s="2" t="s">
        <v>2546</v>
      </c>
      <c r="BU40" s="2" t="s">
        <v>2547</v>
      </c>
      <c r="BV40" s="2" t="s">
        <v>2518</v>
      </c>
      <c r="BW40" s="2" t="s">
        <v>2548</v>
      </c>
      <c r="BX40" s="2" t="s">
        <v>2378</v>
      </c>
      <c r="BY40" s="2" t="s">
        <v>2549</v>
      </c>
      <c r="BZ40" s="2" t="s">
        <v>2550</v>
      </c>
      <c r="CA40" s="2" t="s">
        <v>2551</v>
      </c>
      <c r="CB40" s="2" t="s">
        <v>2552</v>
      </c>
    </row>
    <row r="41" spans="1:80">
      <c r="A41" s="2" t="s">
        <v>2553</v>
      </c>
      <c r="B41" s="2" t="s">
        <v>2554</v>
      </c>
      <c r="C41" s="2" t="s">
        <v>2555</v>
      </c>
      <c r="D41" s="2" t="s">
        <v>2556</v>
      </c>
      <c r="E41" s="2" t="s">
        <v>2557</v>
      </c>
      <c r="F41" s="2" t="s">
        <v>2558</v>
      </c>
      <c r="H41" s="2" t="s">
        <v>2559</v>
      </c>
      <c r="I41" s="2" t="s">
        <v>2560</v>
      </c>
      <c r="J41" s="2" t="s">
        <v>2561</v>
      </c>
      <c r="K41" s="2" t="s">
        <v>2562</v>
      </c>
      <c r="L41" s="2" t="s">
        <v>2563</v>
      </c>
      <c r="M41" s="2" t="s">
        <v>697</v>
      </c>
      <c r="N41" s="2" t="s">
        <v>668</v>
      </c>
      <c r="O41" s="2" t="s">
        <v>692</v>
      </c>
      <c r="P41" s="2" t="s">
        <v>636</v>
      </c>
      <c r="Q41" s="2" t="s">
        <v>2564</v>
      </c>
      <c r="R41" s="2" t="s">
        <v>2565</v>
      </c>
      <c r="S41" s="2" t="s">
        <v>2566</v>
      </c>
      <c r="T41" s="2" t="s">
        <v>2567</v>
      </c>
      <c r="U41" s="2" t="s">
        <v>2568</v>
      </c>
      <c r="V41" s="2" t="s">
        <v>2569</v>
      </c>
      <c r="W41" s="2" t="s">
        <v>2570</v>
      </c>
      <c r="X41" s="2" t="s">
        <v>2571</v>
      </c>
      <c r="Y41" s="2" t="s">
        <v>2572</v>
      </c>
      <c r="Z41" s="2" t="s">
        <v>2573</v>
      </c>
      <c r="AA41" s="2" t="s">
        <v>2574</v>
      </c>
      <c r="AB41" s="2" t="s">
        <v>2575</v>
      </c>
      <c r="AC41" s="2" t="s">
        <v>2576</v>
      </c>
      <c r="AD41" s="2" t="s">
        <v>2577</v>
      </c>
      <c r="AE41" s="2" t="s">
        <v>2578</v>
      </c>
      <c r="AF41" s="2" t="s">
        <v>2579</v>
      </c>
      <c r="AG41" s="2" t="s">
        <v>2580</v>
      </c>
      <c r="AH41" s="2" t="s">
        <v>2581</v>
      </c>
      <c r="AI41" s="2" t="s">
        <v>2582</v>
      </c>
      <c r="AJ41" s="2" t="s">
        <v>2583</v>
      </c>
      <c r="AK41" s="2" t="s">
        <v>2584</v>
      </c>
      <c r="AL41" s="2" t="s">
        <v>2585</v>
      </c>
      <c r="AM41" s="2" t="s">
        <v>2586</v>
      </c>
      <c r="AN41" s="2" t="s">
        <v>2587</v>
      </c>
      <c r="AO41" s="2" t="s">
        <v>2588</v>
      </c>
      <c r="AP41" s="2" t="s">
        <v>2589</v>
      </c>
      <c r="AQ41" s="2" t="s">
        <v>2590</v>
      </c>
      <c r="AR41" s="2" t="s">
        <v>2591</v>
      </c>
      <c r="AS41" s="2" t="s">
        <v>2592</v>
      </c>
      <c r="AT41" s="2" t="s">
        <v>2593</v>
      </c>
      <c r="AU41" s="2" t="s">
        <v>2594</v>
      </c>
      <c r="AV41" s="2" t="s">
        <v>2595</v>
      </c>
      <c r="AW41" s="2" t="s">
        <v>2596</v>
      </c>
      <c r="AX41" s="2" t="s">
        <v>2597</v>
      </c>
      <c r="AY41" s="2" t="s">
        <v>2598</v>
      </c>
      <c r="AZ41" s="2" t="s">
        <v>2599</v>
      </c>
      <c r="BA41" s="2" t="s">
        <v>2600</v>
      </c>
      <c r="BB41" s="2" t="s">
        <v>2601</v>
      </c>
      <c r="BC41" s="2" t="s">
        <v>2602</v>
      </c>
      <c r="BD41" s="2" t="s">
        <v>2603</v>
      </c>
      <c r="BE41" s="2" t="s">
        <v>2604</v>
      </c>
      <c r="BF41" s="2" t="s">
        <v>2605</v>
      </c>
      <c r="BI41" s="2" t="s">
        <v>2606</v>
      </c>
      <c r="BJ41" s="2" t="s">
        <v>2607</v>
      </c>
      <c r="BK41" s="2" t="s">
        <v>2608</v>
      </c>
      <c r="BL41" s="2" t="s">
        <v>2609</v>
      </c>
      <c r="BM41" s="2" t="s">
        <v>2610</v>
      </c>
      <c r="BN41" s="2" t="s">
        <v>2611</v>
      </c>
      <c r="BO41" s="2" t="s">
        <v>2612</v>
      </c>
      <c r="BP41" s="2" t="s">
        <v>2613</v>
      </c>
      <c r="BQ41" s="2" t="s">
        <v>2614</v>
      </c>
      <c r="BS41" s="2" t="s">
        <v>624</v>
      </c>
      <c r="BT41" s="2" t="s">
        <v>2615</v>
      </c>
      <c r="BU41" s="2" t="s">
        <v>2616</v>
      </c>
      <c r="BV41" s="2" t="s">
        <v>2617</v>
      </c>
      <c r="BW41" s="2" t="s">
        <v>2549</v>
      </c>
      <c r="BX41" s="2" t="s">
        <v>2546</v>
      </c>
      <c r="BY41" s="2" t="s">
        <v>2618</v>
      </c>
      <c r="BZ41" s="2" t="s">
        <v>2619</v>
      </c>
      <c r="CA41" s="2" t="s">
        <v>678</v>
      </c>
      <c r="CB41" s="2" t="s">
        <v>2620</v>
      </c>
    </row>
    <row r="42" spans="1:80">
      <c r="A42" s="2" t="s">
        <v>2621</v>
      </c>
      <c r="B42" s="2" t="s">
        <v>679</v>
      </c>
      <c r="C42" s="2" t="s">
        <v>2622</v>
      </c>
      <c r="D42" s="2" t="s">
        <v>2623</v>
      </c>
      <c r="E42" s="2" t="s">
        <v>2624</v>
      </c>
      <c r="F42" s="2" t="s">
        <v>2625</v>
      </c>
      <c r="H42" s="2" t="s">
        <v>2626</v>
      </c>
      <c r="I42" s="2" t="s">
        <v>2627</v>
      </c>
      <c r="J42" s="2" t="s">
        <v>2628</v>
      </c>
      <c r="K42" s="2" t="s">
        <v>2629</v>
      </c>
      <c r="L42" s="2" t="s">
        <v>2630</v>
      </c>
      <c r="M42" s="2" t="s">
        <v>655</v>
      </c>
      <c r="N42" s="2" t="s">
        <v>669</v>
      </c>
      <c r="O42" s="2" t="s">
        <v>690</v>
      </c>
      <c r="P42" s="2" t="s">
        <v>695</v>
      </c>
      <c r="Q42" s="2" t="s">
        <v>2631</v>
      </c>
      <c r="R42" s="2" t="s">
        <v>2632</v>
      </c>
      <c r="S42" s="2" t="s">
        <v>2633</v>
      </c>
      <c r="T42" s="2" t="s">
        <v>2634</v>
      </c>
      <c r="U42" s="2" t="s">
        <v>2635</v>
      </c>
      <c r="V42" s="2" t="s">
        <v>2636</v>
      </c>
      <c r="W42" s="2" t="s">
        <v>2637</v>
      </c>
      <c r="X42" s="2" t="s">
        <v>2638</v>
      </c>
      <c r="Y42" s="2" t="s">
        <v>2639</v>
      </c>
      <c r="Z42" s="2" t="s">
        <v>2640</v>
      </c>
      <c r="AA42" s="2" t="s">
        <v>2641</v>
      </c>
      <c r="AB42" s="2" t="s">
        <v>2642</v>
      </c>
      <c r="AC42" s="2" t="s">
        <v>2643</v>
      </c>
      <c r="AD42" s="2" t="s">
        <v>2644</v>
      </c>
      <c r="AE42" s="2" t="s">
        <v>2645</v>
      </c>
      <c r="AF42" s="2" t="s">
        <v>2646</v>
      </c>
      <c r="AG42" s="2" t="s">
        <v>2647</v>
      </c>
      <c r="AH42" s="2" t="s">
        <v>2648</v>
      </c>
      <c r="AI42" s="2" t="s">
        <v>2649</v>
      </c>
      <c r="AJ42" s="2" t="s">
        <v>2515</v>
      </c>
      <c r="AK42" s="2" t="s">
        <v>2650</v>
      </c>
      <c r="AL42" s="2" t="s">
        <v>2651</v>
      </c>
      <c r="AM42" s="2" t="s">
        <v>2427</v>
      </c>
      <c r="AN42" s="2" t="s">
        <v>2652</v>
      </c>
      <c r="AO42" s="2" t="s">
        <v>2653</v>
      </c>
      <c r="AP42" s="2" t="s">
        <v>2654</v>
      </c>
      <c r="AQ42" s="2" t="s">
        <v>2655</v>
      </c>
      <c r="AR42" s="2" t="s">
        <v>2656</v>
      </c>
      <c r="AS42" s="2" t="s">
        <v>2657</v>
      </c>
      <c r="AT42" s="2" t="s">
        <v>2658</v>
      </c>
      <c r="AU42" s="2" t="s">
        <v>2659</v>
      </c>
      <c r="AV42" s="2" t="s">
        <v>2660</v>
      </c>
      <c r="AW42" s="2" t="s">
        <v>2661</v>
      </c>
      <c r="AX42" s="2" t="s">
        <v>2662</v>
      </c>
      <c r="AY42" s="2" t="s">
        <v>2663</v>
      </c>
      <c r="AZ42" s="2" t="s">
        <v>2664</v>
      </c>
      <c r="BA42" s="2" t="s">
        <v>2665</v>
      </c>
      <c r="BB42" s="2" t="s">
        <v>2666</v>
      </c>
      <c r="BC42" s="2" t="s">
        <v>2667</v>
      </c>
      <c r="BD42" s="2" t="s">
        <v>2668</v>
      </c>
      <c r="BE42" s="2" t="s">
        <v>2669</v>
      </c>
      <c r="BF42" s="2" t="s">
        <v>2670</v>
      </c>
      <c r="BI42" s="2" t="s">
        <v>2671</v>
      </c>
      <c r="BJ42" s="2" t="s">
        <v>2672</v>
      </c>
      <c r="BK42" s="2" t="s">
        <v>2673</v>
      </c>
      <c r="BL42" s="2" t="s">
        <v>2674</v>
      </c>
      <c r="BM42" s="2" t="s">
        <v>2675</v>
      </c>
      <c r="BN42" s="2" t="s">
        <v>2546</v>
      </c>
      <c r="BO42" s="2" t="s">
        <v>2644</v>
      </c>
      <c r="BP42" s="2" t="s">
        <v>2676</v>
      </c>
      <c r="BQ42" s="2" t="s">
        <v>2677</v>
      </c>
      <c r="BS42" s="2" t="s">
        <v>2329</v>
      </c>
      <c r="BT42" s="2" t="s">
        <v>2678</v>
      </c>
      <c r="BU42" s="2" t="s">
        <v>2679</v>
      </c>
      <c r="BV42" s="2" t="s">
        <v>2680</v>
      </c>
      <c r="BW42" s="2" t="s">
        <v>2681</v>
      </c>
      <c r="BX42" s="2" t="s">
        <v>2682</v>
      </c>
      <c r="BY42" s="2" t="s">
        <v>2683</v>
      </c>
      <c r="BZ42" s="2" t="s">
        <v>2683</v>
      </c>
      <c r="CA42" s="2" t="s">
        <v>2684</v>
      </c>
      <c r="CB42" s="2" t="s">
        <v>2685</v>
      </c>
    </row>
    <row r="43" spans="1:80">
      <c r="A43" s="2" t="s">
        <v>2686</v>
      </c>
      <c r="B43" s="2" t="s">
        <v>2687</v>
      </c>
      <c r="C43" s="2" t="s">
        <v>2688</v>
      </c>
      <c r="D43" s="2" t="s">
        <v>2689</v>
      </c>
      <c r="E43" s="2" t="s">
        <v>2690</v>
      </c>
      <c r="F43" s="2" t="s">
        <v>2691</v>
      </c>
      <c r="H43" s="2" t="s">
        <v>2692</v>
      </c>
      <c r="I43" s="2" t="s">
        <v>678</v>
      </c>
      <c r="J43" s="2" t="s">
        <v>2693</v>
      </c>
      <c r="K43" s="2" t="s">
        <v>2694</v>
      </c>
      <c r="L43" s="2" t="s">
        <v>2695</v>
      </c>
      <c r="M43" s="2" t="s">
        <v>696</v>
      </c>
      <c r="N43" s="2" t="s">
        <v>677</v>
      </c>
      <c r="O43" s="2" t="s">
        <v>688</v>
      </c>
      <c r="P43" s="2" t="s">
        <v>694</v>
      </c>
      <c r="Q43" s="2" t="s">
        <v>2696</v>
      </c>
      <c r="R43" s="2" t="s">
        <v>2697</v>
      </c>
      <c r="S43" s="2" t="s">
        <v>2698</v>
      </c>
      <c r="T43" s="2" t="s">
        <v>2699</v>
      </c>
      <c r="U43" s="2" t="s">
        <v>2700</v>
      </c>
      <c r="V43" s="2" t="s">
        <v>2647</v>
      </c>
      <c r="W43" s="2" t="s">
        <v>2701</v>
      </c>
      <c r="X43" s="2" t="s">
        <v>2702</v>
      </c>
      <c r="Y43" s="2" t="s">
        <v>2703</v>
      </c>
      <c r="Z43" s="2" t="s">
        <v>2704</v>
      </c>
      <c r="AA43" s="2" t="s">
        <v>2378</v>
      </c>
      <c r="AB43" s="2" t="s">
        <v>2705</v>
      </c>
      <c r="AC43" s="2" t="s">
        <v>2706</v>
      </c>
      <c r="AD43" s="2" t="s">
        <v>2707</v>
      </c>
      <c r="AE43" s="2" t="s">
        <v>2708</v>
      </c>
      <c r="AF43" s="2" t="s">
        <v>2709</v>
      </c>
      <c r="AG43" s="2" t="s">
        <v>2710</v>
      </c>
      <c r="AH43" s="2" t="s">
        <v>2711</v>
      </c>
      <c r="AI43" s="2" t="s">
        <v>2712</v>
      </c>
      <c r="AJ43" s="2" t="s">
        <v>2713</v>
      </c>
      <c r="AK43" s="2" t="s">
        <v>2714</v>
      </c>
      <c r="AL43" s="2" t="s">
        <v>2715</v>
      </c>
      <c r="AM43" s="2" t="s">
        <v>2716</v>
      </c>
      <c r="AN43" s="2" t="s">
        <v>2717</v>
      </c>
      <c r="AO43" s="2" t="s">
        <v>2718</v>
      </c>
      <c r="AP43" s="2" t="s">
        <v>2719</v>
      </c>
      <c r="AR43" s="2" t="s">
        <v>2720</v>
      </c>
      <c r="AS43" s="2" t="s">
        <v>2721</v>
      </c>
      <c r="AT43" s="2" t="s">
        <v>2722</v>
      </c>
      <c r="AU43" s="2" t="s">
        <v>2723</v>
      </c>
      <c r="AV43" s="2" t="s">
        <v>2724</v>
      </c>
      <c r="AW43" s="2" t="s">
        <v>2725</v>
      </c>
      <c r="AX43" s="2" t="s">
        <v>2726</v>
      </c>
      <c r="AY43" s="2" t="s">
        <v>2727</v>
      </c>
      <c r="AZ43" s="2" t="s">
        <v>2728</v>
      </c>
      <c r="BA43" s="2" t="s">
        <v>2729</v>
      </c>
      <c r="BB43" s="2" t="s">
        <v>2730</v>
      </c>
      <c r="BC43" s="2" t="s">
        <v>2731</v>
      </c>
      <c r="BD43" s="2" t="s">
        <v>2732</v>
      </c>
      <c r="BE43" s="2" t="s">
        <v>2733</v>
      </c>
      <c r="BF43" s="2" t="s">
        <v>2734</v>
      </c>
      <c r="BI43" s="2" t="s">
        <v>2735</v>
      </c>
      <c r="BK43" s="2" t="s">
        <v>2736</v>
      </c>
      <c r="BL43" s="2" t="s">
        <v>2737</v>
      </c>
      <c r="BM43" s="2" t="s">
        <v>2738</v>
      </c>
      <c r="BN43" s="2" t="s">
        <v>2739</v>
      </c>
      <c r="BO43" s="2" t="s">
        <v>2740</v>
      </c>
      <c r="BP43" s="2" t="s">
        <v>2741</v>
      </c>
      <c r="BQ43" s="2" t="s">
        <v>2742</v>
      </c>
      <c r="BT43" s="2" t="s">
        <v>2743</v>
      </c>
      <c r="BU43" s="2" t="s">
        <v>2744</v>
      </c>
      <c r="BV43" s="2" t="s">
        <v>2745</v>
      </c>
      <c r="BW43" s="2" t="s">
        <v>2746</v>
      </c>
      <c r="BX43" s="2" t="s">
        <v>2747</v>
      </c>
      <c r="BY43" s="2" t="s">
        <v>2748</v>
      </c>
      <c r="BZ43" s="2" t="s">
        <v>2749</v>
      </c>
      <c r="CA43" s="2" t="s">
        <v>2750</v>
      </c>
      <c r="CB43" s="2" t="s">
        <v>2751</v>
      </c>
    </row>
    <row r="44" spans="1:80">
      <c r="A44" s="2" t="s">
        <v>2731</v>
      </c>
      <c r="B44" s="2" t="s">
        <v>2752</v>
      </c>
      <c r="C44" s="2" t="s">
        <v>2753</v>
      </c>
      <c r="D44" s="2" t="s">
        <v>2754</v>
      </c>
      <c r="E44" s="2" t="s">
        <v>2755</v>
      </c>
      <c r="F44" s="2" t="s">
        <v>2756</v>
      </c>
      <c r="H44" s="2" t="s">
        <v>678</v>
      </c>
      <c r="I44" s="2" t="s">
        <v>2757</v>
      </c>
      <c r="J44" s="2" t="s">
        <v>2758</v>
      </c>
      <c r="K44" s="2" t="s">
        <v>619</v>
      </c>
      <c r="M44" s="2" t="s">
        <v>644</v>
      </c>
      <c r="N44" s="2" t="s">
        <v>662</v>
      </c>
      <c r="O44" s="2" t="s">
        <v>632</v>
      </c>
      <c r="Q44" s="2" t="s">
        <v>2759</v>
      </c>
      <c r="R44" s="2" t="s">
        <v>2760</v>
      </c>
      <c r="S44" s="2" t="s">
        <v>2277</v>
      </c>
      <c r="T44" s="2" t="s">
        <v>2761</v>
      </c>
      <c r="U44" s="2" t="s">
        <v>2762</v>
      </c>
      <c r="V44" s="2" t="s">
        <v>2763</v>
      </c>
      <c r="W44" s="2" t="s">
        <v>2764</v>
      </c>
      <c r="X44" s="2" t="s">
        <v>2448</v>
      </c>
      <c r="Y44" s="2" t="s">
        <v>2765</v>
      </c>
      <c r="Z44" s="2" t="s">
        <v>2766</v>
      </c>
      <c r="AA44" s="2" t="s">
        <v>2767</v>
      </c>
      <c r="AB44" s="2" t="s">
        <v>2768</v>
      </c>
      <c r="AD44" s="2" t="s">
        <v>2769</v>
      </c>
      <c r="AE44" s="2" t="s">
        <v>2770</v>
      </c>
      <c r="AF44" s="2" t="s">
        <v>2771</v>
      </c>
      <c r="AG44" s="2" t="s">
        <v>2508</v>
      </c>
      <c r="AH44" s="2" t="s">
        <v>2772</v>
      </c>
      <c r="AI44" s="2" t="s">
        <v>2773</v>
      </c>
      <c r="AJ44" s="2" t="s">
        <v>2774</v>
      </c>
      <c r="AK44" s="2" t="s">
        <v>2775</v>
      </c>
      <c r="AL44" s="2" t="s">
        <v>2776</v>
      </c>
      <c r="AM44" s="2" t="s">
        <v>2777</v>
      </c>
      <c r="AN44" s="2" t="s">
        <v>2778</v>
      </c>
      <c r="AO44" s="2" t="s">
        <v>2779</v>
      </c>
      <c r="AP44" s="2" t="s">
        <v>2780</v>
      </c>
      <c r="AR44" s="2" t="s">
        <v>2781</v>
      </c>
      <c r="AS44" s="2" t="s">
        <v>2782</v>
      </c>
      <c r="AT44" s="2" t="s">
        <v>2783</v>
      </c>
      <c r="AU44" s="2" t="s">
        <v>2445</v>
      </c>
      <c r="AV44" s="2" t="s">
        <v>2784</v>
      </c>
      <c r="AX44" s="2" t="s">
        <v>2785</v>
      </c>
      <c r="AY44" s="2" t="s">
        <v>2786</v>
      </c>
      <c r="AZ44" s="2" t="s">
        <v>2787</v>
      </c>
      <c r="BA44" s="2" t="s">
        <v>2788</v>
      </c>
      <c r="BB44" s="2" t="s">
        <v>2789</v>
      </c>
      <c r="BC44" s="2" t="s">
        <v>2790</v>
      </c>
      <c r="BD44" s="2" t="s">
        <v>2791</v>
      </c>
      <c r="BE44" s="2" t="s">
        <v>2792</v>
      </c>
      <c r="BF44" s="2" t="s">
        <v>2793</v>
      </c>
      <c r="BI44" s="2" t="s">
        <v>2794</v>
      </c>
      <c r="BK44" s="2" t="s">
        <v>2795</v>
      </c>
      <c r="BL44" s="2" t="s">
        <v>2796</v>
      </c>
      <c r="BM44" s="2" t="s">
        <v>2797</v>
      </c>
      <c r="BN44" s="2" t="s">
        <v>2798</v>
      </c>
      <c r="BO44" s="2" t="s">
        <v>2799</v>
      </c>
      <c r="BP44" s="2" t="s">
        <v>2800</v>
      </c>
      <c r="BQ44" s="2" t="s">
        <v>2801</v>
      </c>
      <c r="BT44" s="2" t="s">
        <v>2802</v>
      </c>
      <c r="BU44" s="2" t="s">
        <v>2803</v>
      </c>
      <c r="BV44" s="2" t="s">
        <v>2804</v>
      </c>
      <c r="BW44" s="2" t="s">
        <v>2805</v>
      </c>
      <c r="BX44" s="2" t="s">
        <v>2806</v>
      </c>
      <c r="BY44" s="2" t="s">
        <v>2807</v>
      </c>
      <c r="BZ44" s="2" t="s">
        <v>2808</v>
      </c>
      <c r="CA44" s="2" t="s">
        <v>2809</v>
      </c>
      <c r="CB44" s="2" t="s">
        <v>2546</v>
      </c>
    </row>
    <row r="45" spans="1:80">
      <c r="A45" s="2" t="s">
        <v>2618</v>
      </c>
      <c r="C45" s="2" t="s">
        <v>2810</v>
      </c>
      <c r="D45" s="2" t="s">
        <v>2811</v>
      </c>
      <c r="E45" s="2" t="s">
        <v>2812</v>
      </c>
      <c r="F45" s="2" t="s">
        <v>2813</v>
      </c>
      <c r="H45" s="2" t="s">
        <v>2814</v>
      </c>
      <c r="I45" s="2" t="s">
        <v>2815</v>
      </c>
      <c r="J45" s="2" t="s">
        <v>2816</v>
      </c>
      <c r="K45" s="2" t="s">
        <v>2593</v>
      </c>
      <c r="M45" s="2" t="s">
        <v>2817</v>
      </c>
      <c r="N45" s="2" t="s">
        <v>678</v>
      </c>
      <c r="O45" s="2" t="s">
        <v>625</v>
      </c>
      <c r="Q45" s="2" t="s">
        <v>2818</v>
      </c>
      <c r="R45" s="2" t="s">
        <v>2819</v>
      </c>
      <c r="S45" s="2" t="s">
        <v>2820</v>
      </c>
      <c r="T45" s="2" t="s">
        <v>2821</v>
      </c>
      <c r="U45" s="2" t="s">
        <v>2822</v>
      </c>
      <c r="V45" s="2" t="s">
        <v>2618</v>
      </c>
      <c r="W45" s="2" t="s">
        <v>2823</v>
      </c>
      <c r="X45" s="2" t="s">
        <v>2824</v>
      </c>
      <c r="Y45" s="2" t="s">
        <v>2825</v>
      </c>
      <c r="Z45" s="2" t="s">
        <v>2826</v>
      </c>
      <c r="AA45" s="2" t="s">
        <v>2827</v>
      </c>
      <c r="AB45" s="2" t="s">
        <v>2819</v>
      </c>
      <c r="AD45" s="2" t="s">
        <v>653</v>
      </c>
      <c r="AE45" s="2" t="s">
        <v>2828</v>
      </c>
      <c r="AF45" s="2" t="s">
        <v>2829</v>
      </c>
      <c r="AG45" s="2" t="s">
        <v>2830</v>
      </c>
      <c r="AH45" s="2" t="s">
        <v>2831</v>
      </c>
      <c r="AI45" s="2" t="s">
        <v>2832</v>
      </c>
      <c r="AJ45" s="2" t="s">
        <v>2833</v>
      </c>
      <c r="AK45" s="2" t="s">
        <v>2834</v>
      </c>
      <c r="AL45" s="2" t="s">
        <v>2835</v>
      </c>
      <c r="AM45" s="2" t="s">
        <v>2836</v>
      </c>
      <c r="AN45" s="2" t="s">
        <v>2837</v>
      </c>
      <c r="AO45" s="2" t="s">
        <v>2838</v>
      </c>
      <c r="AP45" s="2" t="s">
        <v>2839</v>
      </c>
      <c r="AR45" s="2" t="s">
        <v>2840</v>
      </c>
      <c r="AS45" s="2" t="s">
        <v>2841</v>
      </c>
      <c r="AT45" s="2" t="s">
        <v>2651</v>
      </c>
      <c r="AU45" s="2" t="s">
        <v>2842</v>
      </c>
      <c r="AV45" s="2" t="s">
        <v>2843</v>
      </c>
      <c r="AX45" s="2" t="s">
        <v>2844</v>
      </c>
      <c r="AY45" s="2" t="s">
        <v>2845</v>
      </c>
      <c r="AZ45" s="2" t="s">
        <v>2846</v>
      </c>
      <c r="BA45" s="2" t="s">
        <v>2847</v>
      </c>
      <c r="BB45" s="2" t="s">
        <v>2848</v>
      </c>
      <c r="BC45" s="2" t="s">
        <v>2849</v>
      </c>
      <c r="BD45" s="2" t="s">
        <v>2850</v>
      </c>
      <c r="BE45" s="2" t="s">
        <v>2851</v>
      </c>
      <c r="BF45" s="2" t="s">
        <v>2852</v>
      </c>
      <c r="BI45" s="2" t="s">
        <v>2853</v>
      </c>
      <c r="BK45" s="2" t="s">
        <v>2854</v>
      </c>
      <c r="BL45" s="2" t="s">
        <v>2855</v>
      </c>
      <c r="BM45" s="2" t="s">
        <v>2835</v>
      </c>
      <c r="BN45" s="2" t="s">
        <v>621</v>
      </c>
      <c r="BO45" s="2" t="s">
        <v>2856</v>
      </c>
      <c r="BP45" s="2" t="s">
        <v>2857</v>
      </c>
      <c r="BQ45" s="2" t="s">
        <v>2858</v>
      </c>
      <c r="BT45" s="2" t="s">
        <v>2859</v>
      </c>
      <c r="BV45" s="2" t="s">
        <v>2860</v>
      </c>
      <c r="BW45" s="2" t="s">
        <v>2861</v>
      </c>
      <c r="BX45" s="2" t="s">
        <v>2862</v>
      </c>
      <c r="BY45" s="2" t="s">
        <v>2863</v>
      </c>
      <c r="CA45" s="2" t="s">
        <v>2864</v>
      </c>
      <c r="CB45" s="2" t="s">
        <v>2865</v>
      </c>
    </row>
    <row r="46" spans="1:80">
      <c r="A46" s="2" t="s">
        <v>2866</v>
      </c>
      <c r="C46" s="2" t="s">
        <v>2867</v>
      </c>
      <c r="D46" s="2" t="s">
        <v>2868</v>
      </c>
      <c r="F46" s="2" t="s">
        <v>2869</v>
      </c>
      <c r="H46" s="2" t="s">
        <v>2870</v>
      </c>
      <c r="I46" s="2" t="s">
        <v>2871</v>
      </c>
      <c r="J46" s="2" t="s">
        <v>678</v>
      </c>
      <c r="K46" s="2" t="s">
        <v>2872</v>
      </c>
      <c r="M46" s="2" t="s">
        <v>645</v>
      </c>
      <c r="N46" s="2" t="s">
        <v>622</v>
      </c>
      <c r="O46" s="2" t="s">
        <v>693</v>
      </c>
      <c r="R46" s="2" t="s">
        <v>2873</v>
      </c>
      <c r="S46" s="2" t="s">
        <v>2874</v>
      </c>
      <c r="T46" s="2" t="s">
        <v>2875</v>
      </c>
      <c r="U46" s="2" t="s">
        <v>2876</v>
      </c>
      <c r="V46" s="2" t="s">
        <v>2877</v>
      </c>
      <c r="W46" s="2" t="s">
        <v>2878</v>
      </c>
      <c r="X46" s="2" t="s">
        <v>2879</v>
      </c>
      <c r="Y46" s="2" t="s">
        <v>2880</v>
      </c>
      <c r="Z46" s="2" t="s">
        <v>2881</v>
      </c>
      <c r="AA46" s="2" t="s">
        <v>2570</v>
      </c>
      <c r="AB46" s="2" t="s">
        <v>2882</v>
      </c>
      <c r="AD46" s="2" t="s">
        <v>2883</v>
      </c>
      <c r="AE46" s="2" t="s">
        <v>2884</v>
      </c>
      <c r="AF46" s="2" t="s">
        <v>2885</v>
      </c>
      <c r="AG46" s="2" t="s">
        <v>2886</v>
      </c>
      <c r="AH46" s="2" t="s">
        <v>2887</v>
      </c>
      <c r="AI46" s="2" t="s">
        <v>2888</v>
      </c>
      <c r="AJ46" s="2" t="s">
        <v>2889</v>
      </c>
      <c r="AK46" s="2" t="s">
        <v>2890</v>
      </c>
      <c r="AL46" s="2" t="s">
        <v>2891</v>
      </c>
      <c r="AM46" s="2" t="s">
        <v>2892</v>
      </c>
      <c r="AN46" s="2" t="s">
        <v>2893</v>
      </c>
      <c r="AO46" s="2" t="s">
        <v>2894</v>
      </c>
      <c r="AP46" s="2" t="s">
        <v>2895</v>
      </c>
      <c r="AR46" s="2" t="s">
        <v>2896</v>
      </c>
      <c r="AS46" s="2" t="s">
        <v>2493</v>
      </c>
      <c r="AT46" s="2" t="s">
        <v>2897</v>
      </c>
      <c r="AU46" s="2" t="s">
        <v>2898</v>
      </c>
      <c r="AV46" s="2" t="s">
        <v>2899</v>
      </c>
      <c r="AY46" s="2" t="s">
        <v>2900</v>
      </c>
      <c r="AZ46" s="2" t="s">
        <v>2515</v>
      </c>
      <c r="BA46" s="2" t="s">
        <v>2901</v>
      </c>
      <c r="BB46" s="2" t="s">
        <v>2902</v>
      </c>
      <c r="BC46" s="2" t="s">
        <v>2903</v>
      </c>
      <c r="BD46" s="2" t="s">
        <v>2904</v>
      </c>
      <c r="BE46" s="2" t="s">
        <v>2905</v>
      </c>
      <c r="BF46" s="2" t="s">
        <v>2906</v>
      </c>
      <c r="BI46" s="2" t="s">
        <v>2907</v>
      </c>
      <c r="BK46" s="2" t="s">
        <v>2908</v>
      </c>
      <c r="BL46" s="2" t="s">
        <v>2647</v>
      </c>
      <c r="BM46" s="2" t="s">
        <v>2909</v>
      </c>
      <c r="BN46" s="2" t="s">
        <v>2910</v>
      </c>
      <c r="BO46" s="2" t="s">
        <v>2643</v>
      </c>
      <c r="BP46" s="2" t="s">
        <v>2911</v>
      </c>
      <c r="BQ46" s="2" t="s">
        <v>2912</v>
      </c>
      <c r="BT46" s="2" t="s">
        <v>2913</v>
      </c>
      <c r="BV46" s="2" t="s">
        <v>2914</v>
      </c>
      <c r="BW46" s="2" t="s">
        <v>2915</v>
      </c>
      <c r="BX46" s="2" t="s">
        <v>2916</v>
      </c>
      <c r="BY46" s="2" t="s">
        <v>2818</v>
      </c>
      <c r="CA46" s="2" t="s">
        <v>2917</v>
      </c>
      <c r="CB46" s="2" t="s">
        <v>2918</v>
      </c>
    </row>
    <row r="47" spans="1:80">
      <c r="A47" s="2" t="s">
        <v>2919</v>
      </c>
      <c r="C47" s="2" t="s">
        <v>2920</v>
      </c>
      <c r="D47" s="2" t="s">
        <v>2921</v>
      </c>
      <c r="F47" s="2" t="s">
        <v>2922</v>
      </c>
      <c r="H47" s="2" t="s">
        <v>2923</v>
      </c>
      <c r="I47" s="2" t="s">
        <v>2924</v>
      </c>
      <c r="J47" s="2" t="s">
        <v>2925</v>
      </c>
      <c r="K47" s="2" t="s">
        <v>2926</v>
      </c>
      <c r="M47" s="2" t="s">
        <v>651</v>
      </c>
      <c r="N47" s="2" t="s">
        <v>670</v>
      </c>
      <c r="O47" s="2" t="s">
        <v>633</v>
      </c>
      <c r="R47" s="2" t="s">
        <v>2927</v>
      </c>
      <c r="S47" s="2" t="s">
        <v>2928</v>
      </c>
      <c r="T47" s="2" t="s">
        <v>2929</v>
      </c>
      <c r="U47" s="2" t="s">
        <v>2930</v>
      </c>
      <c r="V47" s="2" t="s">
        <v>2931</v>
      </c>
      <c r="W47" s="2" t="s">
        <v>2932</v>
      </c>
      <c r="X47" s="2" t="s">
        <v>2933</v>
      </c>
      <c r="Y47" s="2" t="s">
        <v>2934</v>
      </c>
      <c r="Z47" s="2" t="s">
        <v>2935</v>
      </c>
      <c r="AA47" s="2" t="s">
        <v>2936</v>
      </c>
      <c r="AB47" s="2" t="s">
        <v>672</v>
      </c>
      <c r="AD47" s="2" t="s">
        <v>2937</v>
      </c>
      <c r="AE47" s="2" t="s">
        <v>2938</v>
      </c>
      <c r="AF47" s="2" t="s">
        <v>2939</v>
      </c>
      <c r="AG47" s="2" t="s">
        <v>2940</v>
      </c>
      <c r="AH47" s="2" t="s">
        <v>2941</v>
      </c>
      <c r="AI47" s="2" t="s">
        <v>2942</v>
      </c>
      <c r="AJ47" s="2" t="s">
        <v>2943</v>
      </c>
      <c r="AK47" s="2" t="s">
        <v>2944</v>
      </c>
      <c r="AL47" s="2" t="s">
        <v>2549</v>
      </c>
      <c r="AM47" s="2" t="s">
        <v>2945</v>
      </c>
      <c r="AN47" s="2" t="s">
        <v>2946</v>
      </c>
      <c r="AO47" s="2" t="s">
        <v>2947</v>
      </c>
      <c r="AP47" s="2" t="s">
        <v>2948</v>
      </c>
      <c r="AR47" s="2" t="s">
        <v>2949</v>
      </c>
      <c r="AS47" s="2" t="s">
        <v>2950</v>
      </c>
      <c r="AT47" s="2" t="s">
        <v>2378</v>
      </c>
      <c r="AU47" s="2" t="s">
        <v>2368</v>
      </c>
      <c r="AV47" s="2" t="s">
        <v>2951</v>
      </c>
      <c r="AY47" s="2" t="s">
        <v>2952</v>
      </c>
      <c r="AZ47" s="2" t="s">
        <v>2953</v>
      </c>
      <c r="BA47" s="2" t="s">
        <v>2954</v>
      </c>
      <c r="BB47" s="2" t="s">
        <v>2955</v>
      </c>
      <c r="BC47" s="2" t="s">
        <v>2956</v>
      </c>
      <c r="BD47" s="2" t="s">
        <v>2957</v>
      </c>
      <c r="BE47" s="2" t="s">
        <v>2958</v>
      </c>
      <c r="BF47" s="2" t="s">
        <v>2959</v>
      </c>
      <c r="BI47" s="2" t="s">
        <v>2960</v>
      </c>
      <c r="BK47" s="2" t="s">
        <v>2961</v>
      </c>
      <c r="BL47" s="2" t="s">
        <v>2962</v>
      </c>
      <c r="BM47" s="2" t="s">
        <v>2963</v>
      </c>
      <c r="BN47" s="2" t="s">
        <v>2964</v>
      </c>
      <c r="BO47" s="2" t="s">
        <v>2965</v>
      </c>
      <c r="BP47" s="2" t="s">
        <v>686</v>
      </c>
      <c r="BQ47" s="2" t="s">
        <v>2966</v>
      </c>
      <c r="BT47" s="2" t="s">
        <v>2967</v>
      </c>
      <c r="BV47" s="2" t="s">
        <v>2968</v>
      </c>
      <c r="BW47" s="2" t="s">
        <v>2969</v>
      </c>
      <c r="BX47" s="2" t="s">
        <v>2970</v>
      </c>
      <c r="BY47" s="2" t="s">
        <v>2971</v>
      </c>
      <c r="CA47" s="2" t="s">
        <v>2972</v>
      </c>
      <c r="CB47" s="2" t="s">
        <v>2973</v>
      </c>
    </row>
    <row r="48" spans="1:80">
      <c r="A48" s="2" t="s">
        <v>2974</v>
      </c>
      <c r="C48" s="2" t="s">
        <v>2975</v>
      </c>
      <c r="D48" s="2" t="s">
        <v>2976</v>
      </c>
      <c r="H48" s="2" t="s">
        <v>2977</v>
      </c>
      <c r="I48" s="2" t="s">
        <v>2978</v>
      </c>
      <c r="J48" s="2" t="s">
        <v>679</v>
      </c>
      <c r="K48" s="2" t="s">
        <v>2979</v>
      </c>
      <c r="M48" s="2" t="s">
        <v>648</v>
      </c>
      <c r="N48" s="2" t="s">
        <v>674</v>
      </c>
      <c r="O48" s="2" t="s">
        <v>681</v>
      </c>
      <c r="R48" s="2" t="s">
        <v>2980</v>
      </c>
      <c r="S48" s="2" t="s">
        <v>2542</v>
      </c>
      <c r="T48" s="2" t="s">
        <v>2981</v>
      </c>
      <c r="U48" s="2" t="s">
        <v>2982</v>
      </c>
      <c r="V48" s="2" t="s">
        <v>2983</v>
      </c>
      <c r="W48" s="2" t="s">
        <v>2984</v>
      </c>
      <c r="X48" s="2" t="s">
        <v>2985</v>
      </c>
      <c r="Y48" s="2" t="s">
        <v>2986</v>
      </c>
      <c r="Z48" s="2" t="s">
        <v>2987</v>
      </c>
      <c r="AA48" s="2" t="s">
        <v>2731</v>
      </c>
      <c r="AB48" s="2" t="s">
        <v>2988</v>
      </c>
      <c r="AD48" s="2" t="s">
        <v>2643</v>
      </c>
      <c r="AE48" s="2" t="s">
        <v>2989</v>
      </c>
      <c r="AF48" s="2" t="s">
        <v>2990</v>
      </c>
      <c r="AG48" s="2" t="s">
        <v>676</v>
      </c>
      <c r="AH48" s="2" t="s">
        <v>2991</v>
      </c>
      <c r="AI48" s="2" t="s">
        <v>2992</v>
      </c>
      <c r="AJ48" s="2" t="s">
        <v>2993</v>
      </c>
      <c r="AK48" s="2" t="s">
        <v>2994</v>
      </c>
      <c r="AL48" s="2" t="s">
        <v>2995</v>
      </c>
      <c r="AM48" s="2" t="s">
        <v>2862</v>
      </c>
      <c r="AN48" s="2" t="s">
        <v>2996</v>
      </c>
      <c r="AO48" s="2" t="s">
        <v>2714</v>
      </c>
      <c r="AP48" s="2" t="s">
        <v>2997</v>
      </c>
      <c r="AR48" s="2" t="s">
        <v>2998</v>
      </c>
      <c r="AS48" s="2" t="s">
        <v>2999</v>
      </c>
      <c r="AT48" s="2" t="s">
        <v>3000</v>
      </c>
      <c r="AU48" s="2" t="s">
        <v>3001</v>
      </c>
      <c r="AV48" s="2" t="s">
        <v>3002</v>
      </c>
      <c r="AY48" s="2" t="s">
        <v>3003</v>
      </c>
      <c r="AZ48" s="2" t="s">
        <v>3004</v>
      </c>
      <c r="BA48" s="2" t="s">
        <v>3005</v>
      </c>
      <c r="BB48" s="2" t="s">
        <v>3006</v>
      </c>
      <c r="BC48" s="2" t="s">
        <v>3007</v>
      </c>
      <c r="BD48" s="2" t="s">
        <v>3008</v>
      </c>
      <c r="BE48" s="2" t="s">
        <v>3009</v>
      </c>
      <c r="BF48" s="2" t="s">
        <v>3010</v>
      </c>
      <c r="BI48" s="2" t="s">
        <v>3011</v>
      </c>
      <c r="BK48" s="2" t="s">
        <v>2644</v>
      </c>
      <c r="BL48" s="2" t="s">
        <v>3012</v>
      </c>
      <c r="BM48" s="2" t="s">
        <v>3013</v>
      </c>
      <c r="BN48" s="2" t="s">
        <v>686</v>
      </c>
      <c r="BP48" s="2" t="s">
        <v>3014</v>
      </c>
      <c r="BQ48" s="2" t="s">
        <v>3015</v>
      </c>
      <c r="BT48" s="2" t="s">
        <v>3016</v>
      </c>
      <c r="BV48" s="2" t="s">
        <v>3017</v>
      </c>
      <c r="BW48" s="2" t="s">
        <v>3018</v>
      </c>
      <c r="BX48" s="2" t="s">
        <v>3019</v>
      </c>
      <c r="BY48" s="2" t="s">
        <v>3020</v>
      </c>
      <c r="CA48" s="2" t="s">
        <v>3021</v>
      </c>
      <c r="CB48" s="2" t="s">
        <v>3022</v>
      </c>
    </row>
    <row r="49" spans="1:80">
      <c r="A49" s="2" t="s">
        <v>3023</v>
      </c>
      <c r="C49" s="2" t="s">
        <v>3024</v>
      </c>
      <c r="H49" s="2" t="s">
        <v>3025</v>
      </c>
      <c r="I49" s="2" t="s">
        <v>3026</v>
      </c>
      <c r="J49" s="2" t="s">
        <v>664</v>
      </c>
      <c r="K49" s="2" t="s">
        <v>3027</v>
      </c>
      <c r="M49" s="2" t="s">
        <v>2835</v>
      </c>
      <c r="N49" s="2" t="s">
        <v>3028</v>
      </c>
      <c r="O49" s="2" t="s">
        <v>3029</v>
      </c>
      <c r="R49" s="2" t="s">
        <v>3030</v>
      </c>
      <c r="S49" s="2" t="s">
        <v>3031</v>
      </c>
      <c r="T49" s="2" t="s">
        <v>3032</v>
      </c>
      <c r="U49" s="2" t="s">
        <v>3033</v>
      </c>
      <c r="V49" s="2" t="s">
        <v>3034</v>
      </c>
      <c r="W49" s="2" t="s">
        <v>3035</v>
      </c>
      <c r="X49" s="2" t="s">
        <v>3036</v>
      </c>
      <c r="Y49" s="2" t="s">
        <v>3037</v>
      </c>
      <c r="Z49" s="2" t="s">
        <v>3038</v>
      </c>
      <c r="AA49" s="2" t="s">
        <v>2864</v>
      </c>
      <c r="AB49" s="2" t="s">
        <v>3039</v>
      </c>
      <c r="AE49" s="2" t="s">
        <v>683</v>
      </c>
      <c r="AF49" s="2" t="s">
        <v>3040</v>
      </c>
      <c r="AG49" s="2" t="s">
        <v>3041</v>
      </c>
      <c r="AH49" s="2" t="s">
        <v>3042</v>
      </c>
      <c r="AI49" s="2" t="s">
        <v>3043</v>
      </c>
      <c r="AJ49" s="2" t="s">
        <v>3044</v>
      </c>
      <c r="AL49" s="2" t="s">
        <v>3045</v>
      </c>
      <c r="AM49" s="2" t="s">
        <v>3046</v>
      </c>
      <c r="AN49" s="2" t="s">
        <v>3047</v>
      </c>
      <c r="AO49" s="2" t="s">
        <v>3048</v>
      </c>
      <c r="AP49" s="2" t="s">
        <v>2980</v>
      </c>
      <c r="AR49" s="2" t="s">
        <v>3049</v>
      </c>
      <c r="AS49" s="2" t="s">
        <v>2842</v>
      </c>
      <c r="AT49" s="2" t="s">
        <v>3050</v>
      </c>
      <c r="AU49" s="2" t="s">
        <v>2482</v>
      </c>
      <c r="AV49" s="2" t="s">
        <v>3051</v>
      </c>
      <c r="AY49" s="2" t="s">
        <v>3052</v>
      </c>
      <c r="AZ49" s="2" t="s">
        <v>3053</v>
      </c>
      <c r="BA49" s="2" t="s">
        <v>3054</v>
      </c>
      <c r="BB49" s="2" t="s">
        <v>3055</v>
      </c>
      <c r="BC49" s="2" t="s">
        <v>3056</v>
      </c>
      <c r="BD49" s="2" t="s">
        <v>653</v>
      </c>
      <c r="BE49" s="2" t="s">
        <v>3057</v>
      </c>
      <c r="BF49" s="2" t="s">
        <v>3058</v>
      </c>
      <c r="BI49" s="2" t="s">
        <v>3059</v>
      </c>
      <c r="BK49" s="2" t="s">
        <v>3060</v>
      </c>
      <c r="BL49" s="2" t="s">
        <v>3061</v>
      </c>
      <c r="BM49" s="2" t="s">
        <v>3062</v>
      </c>
      <c r="BT49" s="2" t="s">
        <v>3063</v>
      </c>
      <c r="BV49" s="2" t="s">
        <v>3064</v>
      </c>
      <c r="BW49" s="2" t="s">
        <v>3065</v>
      </c>
      <c r="BX49" s="2" t="s">
        <v>3066</v>
      </c>
      <c r="BY49" s="2" t="s">
        <v>3067</v>
      </c>
      <c r="CA49" s="2" t="s">
        <v>2980</v>
      </c>
      <c r="CB49" s="2" t="s">
        <v>3068</v>
      </c>
    </row>
    <row r="50" spans="1:80">
      <c r="A50" s="2" t="s">
        <v>3069</v>
      </c>
      <c r="C50" s="2" t="s">
        <v>3070</v>
      </c>
      <c r="H50" s="2" t="s">
        <v>3071</v>
      </c>
      <c r="I50" s="2" t="s">
        <v>3072</v>
      </c>
      <c r="J50" s="2" t="s">
        <v>3073</v>
      </c>
      <c r="K50" s="2" t="s">
        <v>3074</v>
      </c>
      <c r="M50" s="2" t="s">
        <v>656</v>
      </c>
      <c r="N50" s="2" t="s">
        <v>3075</v>
      </c>
      <c r="O50" s="2" t="s">
        <v>689</v>
      </c>
      <c r="S50" s="2" t="s">
        <v>3076</v>
      </c>
      <c r="T50" s="2" t="s">
        <v>3077</v>
      </c>
      <c r="U50" s="2" t="s">
        <v>3078</v>
      </c>
      <c r="V50" s="2" t="s">
        <v>3079</v>
      </c>
      <c r="W50" s="2" t="s">
        <v>2643</v>
      </c>
      <c r="X50" s="2" t="s">
        <v>3080</v>
      </c>
      <c r="Y50" s="2" t="s">
        <v>3081</v>
      </c>
      <c r="Z50" s="2" t="s">
        <v>3082</v>
      </c>
      <c r="AA50" s="2" t="s">
        <v>3083</v>
      </c>
      <c r="AB50" s="2" t="s">
        <v>3084</v>
      </c>
      <c r="AE50" s="2" t="s">
        <v>3085</v>
      </c>
      <c r="AF50" s="2" t="s">
        <v>3086</v>
      </c>
      <c r="AG50" s="2" t="s">
        <v>3087</v>
      </c>
      <c r="AH50" s="2" t="s">
        <v>3088</v>
      </c>
      <c r="AJ50" s="2" t="s">
        <v>3089</v>
      </c>
      <c r="AL50" s="2" t="s">
        <v>3090</v>
      </c>
      <c r="AM50" s="2" t="s">
        <v>2980</v>
      </c>
      <c r="AN50" s="2" t="s">
        <v>2991</v>
      </c>
      <c r="AO50" s="2" t="s">
        <v>2749</v>
      </c>
      <c r="AP50" s="2" t="s">
        <v>3091</v>
      </c>
      <c r="AR50" s="2" t="s">
        <v>670</v>
      </c>
      <c r="AS50" s="2" t="s">
        <v>3092</v>
      </c>
      <c r="AT50" s="2" t="s">
        <v>2546</v>
      </c>
      <c r="AU50" s="2" t="s">
        <v>3093</v>
      </c>
      <c r="AV50" s="2" t="s">
        <v>3094</v>
      </c>
      <c r="AY50" s="2" t="s">
        <v>3095</v>
      </c>
      <c r="AZ50" s="2" t="s">
        <v>3096</v>
      </c>
      <c r="BA50" s="2" t="s">
        <v>3097</v>
      </c>
      <c r="BB50" s="2" t="s">
        <v>2863</v>
      </c>
      <c r="BC50" s="2" t="s">
        <v>3098</v>
      </c>
      <c r="BD50" s="2" t="s">
        <v>3099</v>
      </c>
      <c r="BE50" s="2" t="s">
        <v>3100</v>
      </c>
      <c r="BF50" s="2" t="s">
        <v>3101</v>
      </c>
      <c r="BI50" s="2" t="s">
        <v>3102</v>
      </c>
      <c r="BK50" s="2" t="s">
        <v>3103</v>
      </c>
      <c r="BL50" s="2" t="s">
        <v>3104</v>
      </c>
      <c r="BM50" s="2" t="s">
        <v>3105</v>
      </c>
      <c r="BT50" s="2" t="s">
        <v>3106</v>
      </c>
      <c r="BY50" s="2" t="s">
        <v>3107</v>
      </c>
      <c r="CA50" s="2" t="s">
        <v>3108</v>
      </c>
      <c r="CB50" s="2" t="s">
        <v>3109</v>
      </c>
    </row>
    <row r="51" spans="1:80">
      <c r="A51" s="2" t="s">
        <v>3110</v>
      </c>
      <c r="H51" s="2" t="s">
        <v>3111</v>
      </c>
      <c r="I51" s="2" t="s">
        <v>3112</v>
      </c>
      <c r="J51" s="2" t="s">
        <v>2807</v>
      </c>
      <c r="K51" s="2" t="s">
        <v>3113</v>
      </c>
      <c r="M51" s="2" t="s">
        <v>639</v>
      </c>
      <c r="N51" s="2" t="s">
        <v>685</v>
      </c>
      <c r="O51" s="2" t="s">
        <v>687</v>
      </c>
      <c r="S51" s="2" t="s">
        <v>3114</v>
      </c>
      <c r="T51" s="2" t="s">
        <v>3115</v>
      </c>
      <c r="U51" s="2" t="s">
        <v>3116</v>
      </c>
      <c r="V51" s="2" t="s">
        <v>3117</v>
      </c>
      <c r="W51" s="2" t="s">
        <v>3118</v>
      </c>
      <c r="X51" s="2" t="s">
        <v>3119</v>
      </c>
      <c r="Y51" s="2" t="s">
        <v>2862</v>
      </c>
      <c r="Z51" s="2" t="s">
        <v>3120</v>
      </c>
      <c r="AA51" s="2" t="s">
        <v>3121</v>
      </c>
      <c r="AB51" s="2" t="s">
        <v>3122</v>
      </c>
      <c r="AE51" s="2" t="s">
        <v>3123</v>
      </c>
      <c r="AF51" s="2" t="s">
        <v>3124</v>
      </c>
      <c r="AG51" s="2" t="s">
        <v>2937</v>
      </c>
      <c r="AH51" s="2" t="s">
        <v>3125</v>
      </c>
      <c r="AJ51" s="2" t="s">
        <v>3126</v>
      </c>
      <c r="AL51" s="2" t="s">
        <v>3127</v>
      </c>
      <c r="AM51" s="2" t="s">
        <v>3128</v>
      </c>
      <c r="AN51" s="2" t="s">
        <v>3129</v>
      </c>
      <c r="AO51" s="2" t="s">
        <v>3130</v>
      </c>
      <c r="AP51" s="2" t="s">
        <v>3106</v>
      </c>
      <c r="AR51" s="2" t="s">
        <v>3131</v>
      </c>
      <c r="AS51" s="2" t="s">
        <v>3132</v>
      </c>
      <c r="AT51" s="2" t="s">
        <v>3133</v>
      </c>
      <c r="AU51" s="2" t="s">
        <v>3134</v>
      </c>
      <c r="AV51" s="2" t="s">
        <v>2603</v>
      </c>
      <c r="AY51" s="2" t="s">
        <v>3135</v>
      </c>
      <c r="AZ51" s="2" t="s">
        <v>3136</v>
      </c>
      <c r="BA51" s="2" t="s">
        <v>3137</v>
      </c>
      <c r="BB51" s="2" t="s">
        <v>3138</v>
      </c>
      <c r="BC51" s="2" t="s">
        <v>3139</v>
      </c>
      <c r="BD51" s="2" t="s">
        <v>3140</v>
      </c>
      <c r="BE51" s="2" t="s">
        <v>3141</v>
      </c>
      <c r="BF51" s="2" t="s">
        <v>3142</v>
      </c>
      <c r="BI51" s="2" t="s">
        <v>2902</v>
      </c>
      <c r="BK51" s="2" t="s">
        <v>3143</v>
      </c>
      <c r="BL51" s="2" t="s">
        <v>3144</v>
      </c>
      <c r="BM51" s="2" t="s">
        <v>3145</v>
      </c>
      <c r="BT51" s="2" t="s">
        <v>3146</v>
      </c>
      <c r="BY51" s="2" t="s">
        <v>3147</v>
      </c>
      <c r="CA51" s="2" t="s">
        <v>3148</v>
      </c>
      <c r="CB51" s="2" t="s">
        <v>3149</v>
      </c>
    </row>
    <row r="52" spans="1:80">
      <c r="A52" s="2" t="s">
        <v>3150</v>
      </c>
      <c r="H52" s="2" t="s">
        <v>3151</v>
      </c>
      <c r="I52" s="2" t="s">
        <v>3152</v>
      </c>
      <c r="J52" s="2" t="s">
        <v>3153</v>
      </c>
      <c r="K52" s="2" t="s">
        <v>3154</v>
      </c>
      <c r="M52" s="2" t="s">
        <v>627</v>
      </c>
      <c r="N52" s="2" t="s">
        <v>663</v>
      </c>
      <c r="O52" s="2" t="s">
        <v>3155</v>
      </c>
      <c r="S52" s="2" t="s">
        <v>3156</v>
      </c>
      <c r="T52" s="2" t="s">
        <v>3157</v>
      </c>
      <c r="U52" s="2" t="s">
        <v>3158</v>
      </c>
      <c r="V52" s="2" t="s">
        <v>684</v>
      </c>
      <c r="X52" s="2" t="s">
        <v>3159</v>
      </c>
      <c r="Y52" s="2" t="s">
        <v>3160</v>
      </c>
      <c r="Z52" s="2" t="s">
        <v>3161</v>
      </c>
      <c r="AA52" s="2" t="s">
        <v>3162</v>
      </c>
      <c r="AE52" s="2" t="s">
        <v>3163</v>
      </c>
      <c r="AF52" s="2" t="s">
        <v>2644</v>
      </c>
      <c r="AG52" s="2" t="s">
        <v>3029</v>
      </c>
      <c r="AH52" s="2" t="s">
        <v>3164</v>
      </c>
      <c r="AJ52" s="2" t="s">
        <v>3165</v>
      </c>
      <c r="AL52" s="2" t="s">
        <v>3166</v>
      </c>
      <c r="AM52" s="2" t="s">
        <v>3167</v>
      </c>
      <c r="AN52" s="2" t="s">
        <v>3168</v>
      </c>
      <c r="AO52" s="2" t="s">
        <v>3169</v>
      </c>
      <c r="AP52" s="2" t="s">
        <v>3170</v>
      </c>
      <c r="AR52" s="2" t="s">
        <v>3171</v>
      </c>
      <c r="AS52" s="2" t="s">
        <v>2580</v>
      </c>
      <c r="AT52" s="2" t="s">
        <v>2855</v>
      </c>
      <c r="AU52" s="2" t="s">
        <v>3172</v>
      </c>
      <c r="AV52" s="2" t="s">
        <v>3173</v>
      </c>
      <c r="AY52" s="2" t="s">
        <v>3174</v>
      </c>
      <c r="AZ52" s="2" t="s">
        <v>3175</v>
      </c>
      <c r="BA52" s="2" t="s">
        <v>3176</v>
      </c>
      <c r="BB52" s="2" t="s">
        <v>3177</v>
      </c>
      <c r="BC52" s="2" t="s">
        <v>3178</v>
      </c>
      <c r="BD52" s="2" t="s">
        <v>3179</v>
      </c>
      <c r="BE52" s="2" t="s">
        <v>3180</v>
      </c>
      <c r="BF52" s="2" t="s">
        <v>3181</v>
      </c>
      <c r="BI52" s="2" t="s">
        <v>3182</v>
      </c>
      <c r="BK52" s="2" t="s">
        <v>3183</v>
      </c>
      <c r="BL52" s="2" t="s">
        <v>3184</v>
      </c>
      <c r="BM52" s="2" t="s">
        <v>2947</v>
      </c>
      <c r="BT52" s="2" t="s">
        <v>3185</v>
      </c>
      <c r="CA52" s="2" t="s">
        <v>3186</v>
      </c>
      <c r="CB52" s="2" t="s">
        <v>3187</v>
      </c>
    </row>
    <row r="53" spans="1:80">
      <c r="A53" s="2" t="s">
        <v>3188</v>
      </c>
      <c r="H53" s="2" t="s">
        <v>3189</v>
      </c>
      <c r="I53" s="2" t="s">
        <v>3190</v>
      </c>
      <c r="J53" s="2" t="s">
        <v>2661</v>
      </c>
      <c r="K53" s="2" t="s">
        <v>3191</v>
      </c>
      <c r="M53" s="2" t="s">
        <v>657</v>
      </c>
      <c r="N53" s="2" t="s">
        <v>675</v>
      </c>
      <c r="S53" s="2" t="s">
        <v>3192</v>
      </c>
      <c r="T53" s="2" t="s">
        <v>3193</v>
      </c>
      <c r="U53" s="2" t="s">
        <v>3194</v>
      </c>
      <c r="V53" s="2" t="s">
        <v>3195</v>
      </c>
      <c r="X53" s="2" t="s">
        <v>3196</v>
      </c>
      <c r="Y53" s="2" t="s">
        <v>3197</v>
      </c>
      <c r="Z53" s="2" t="s">
        <v>3198</v>
      </c>
      <c r="AA53" s="2" t="s">
        <v>3199</v>
      </c>
      <c r="AF53" s="2" t="s">
        <v>3200</v>
      </c>
      <c r="AG53" s="2" t="s">
        <v>3201</v>
      </c>
      <c r="AH53" s="2" t="s">
        <v>3202</v>
      </c>
      <c r="AJ53" s="2" t="s">
        <v>3203</v>
      </c>
      <c r="AL53" s="2" t="s">
        <v>3204</v>
      </c>
      <c r="AN53" s="2" t="s">
        <v>3205</v>
      </c>
      <c r="AO53" s="2" t="s">
        <v>3206</v>
      </c>
      <c r="AP53" s="2" t="s">
        <v>3207</v>
      </c>
      <c r="AR53" s="2" t="s">
        <v>2647</v>
      </c>
      <c r="AS53" s="2" t="s">
        <v>3208</v>
      </c>
      <c r="AT53" s="2" t="s">
        <v>3209</v>
      </c>
      <c r="AU53" s="2" t="s">
        <v>3210</v>
      </c>
      <c r="AV53" s="2" t="s">
        <v>3211</v>
      </c>
      <c r="AY53" s="2" t="s">
        <v>3212</v>
      </c>
      <c r="AZ53" s="2" t="s">
        <v>3213</v>
      </c>
      <c r="BA53" s="2" t="s">
        <v>2807</v>
      </c>
      <c r="BB53" s="2" t="s">
        <v>3214</v>
      </c>
      <c r="BC53" s="2" t="s">
        <v>2773</v>
      </c>
      <c r="BD53" s="2" t="s">
        <v>3215</v>
      </c>
      <c r="BE53" s="2" t="s">
        <v>2890</v>
      </c>
      <c r="BF53" s="2" t="s">
        <v>3216</v>
      </c>
      <c r="BI53" s="2" t="s">
        <v>3217</v>
      </c>
      <c r="BK53" s="2" t="s">
        <v>3218</v>
      </c>
      <c r="BL53" s="2" t="s">
        <v>3219</v>
      </c>
      <c r="BM53" s="2" t="s">
        <v>3220</v>
      </c>
      <c r="BT53" s="2" t="s">
        <v>3221</v>
      </c>
      <c r="CA53" s="2" t="s">
        <v>686</v>
      </c>
      <c r="CB53" s="2" t="s">
        <v>676</v>
      </c>
    </row>
    <row r="54" spans="1:80">
      <c r="A54" s="2" t="s">
        <v>3222</v>
      </c>
      <c r="H54" s="2" t="s">
        <v>3223</v>
      </c>
      <c r="I54" s="2" t="s">
        <v>3224</v>
      </c>
      <c r="J54" s="2" t="s">
        <v>621</v>
      </c>
      <c r="K54" s="2" t="s">
        <v>3225</v>
      </c>
      <c r="M54" s="2" t="s">
        <v>646</v>
      </c>
      <c r="N54" s="2" t="s">
        <v>679</v>
      </c>
      <c r="S54" s="2" t="s">
        <v>3104</v>
      </c>
      <c r="T54" s="2" t="s">
        <v>3226</v>
      </c>
      <c r="U54" s="2" t="s">
        <v>2818</v>
      </c>
      <c r="V54" s="2" t="s">
        <v>3163</v>
      </c>
      <c r="X54" s="2" t="s">
        <v>3227</v>
      </c>
      <c r="Y54" s="2" t="s">
        <v>3228</v>
      </c>
      <c r="Z54" s="2" t="s">
        <v>3229</v>
      </c>
      <c r="AA54" s="2" t="s">
        <v>3230</v>
      </c>
      <c r="AF54" s="2" t="s">
        <v>681</v>
      </c>
      <c r="AG54" s="2" t="s">
        <v>3231</v>
      </c>
      <c r="AH54" s="2" t="s">
        <v>3232</v>
      </c>
      <c r="AJ54" s="2" t="s">
        <v>3233</v>
      </c>
      <c r="AL54" s="2" t="s">
        <v>3108</v>
      </c>
      <c r="AN54" s="2" t="s">
        <v>3234</v>
      </c>
      <c r="AO54" s="2" t="s">
        <v>3235</v>
      </c>
      <c r="AP54" s="2" t="s">
        <v>3236</v>
      </c>
      <c r="AR54" s="2" t="s">
        <v>3237</v>
      </c>
      <c r="AS54" s="2" t="s">
        <v>3238</v>
      </c>
      <c r="AT54" s="2" t="s">
        <v>2918</v>
      </c>
      <c r="AU54" s="2" t="s">
        <v>3239</v>
      </c>
      <c r="AV54" s="2" t="s">
        <v>620</v>
      </c>
      <c r="AY54" s="2" t="s">
        <v>3240</v>
      </c>
      <c r="AZ54" s="2" t="s">
        <v>3241</v>
      </c>
      <c r="BA54" s="2" t="s">
        <v>2878</v>
      </c>
      <c r="BB54" s="2" t="s">
        <v>3242</v>
      </c>
      <c r="BC54" s="2" t="s">
        <v>3243</v>
      </c>
      <c r="BD54" s="2" t="s">
        <v>3244</v>
      </c>
      <c r="BE54" s="2" t="s">
        <v>623</v>
      </c>
      <c r="BI54" s="2" t="s">
        <v>3245</v>
      </c>
      <c r="BK54" s="2" t="s">
        <v>3246</v>
      </c>
      <c r="BL54" s="2" t="s">
        <v>3247</v>
      </c>
      <c r="BM54" s="2" t="s">
        <v>3248</v>
      </c>
      <c r="BT54" s="2" t="s">
        <v>3249</v>
      </c>
      <c r="CA54" s="2" t="s">
        <v>3250</v>
      </c>
      <c r="CB54" s="2" t="s">
        <v>2890</v>
      </c>
    </row>
    <row r="55" spans="1:80">
      <c r="A55" s="2" t="s">
        <v>3251</v>
      </c>
      <c r="H55" s="2" t="s">
        <v>3252</v>
      </c>
      <c r="I55" s="2" t="s">
        <v>3253</v>
      </c>
      <c r="J55" s="2" t="s">
        <v>3254</v>
      </c>
      <c r="K55" s="2" t="s">
        <v>3255</v>
      </c>
      <c r="M55" s="2" t="s">
        <v>628</v>
      </c>
      <c r="N55" s="2" t="s">
        <v>3256</v>
      </c>
      <c r="S55" s="2" t="s">
        <v>3257</v>
      </c>
      <c r="T55" s="2" t="s">
        <v>3258</v>
      </c>
      <c r="U55" s="2" t="s">
        <v>3259</v>
      </c>
      <c r="V55" s="2" t="s">
        <v>2937</v>
      </c>
      <c r="X55" s="2" t="s">
        <v>3260</v>
      </c>
      <c r="Y55" s="2" t="s">
        <v>3261</v>
      </c>
      <c r="Z55" s="2" t="s">
        <v>3262</v>
      </c>
      <c r="AA55" s="2" t="s">
        <v>3263</v>
      </c>
      <c r="AF55" s="2" t="s">
        <v>683</v>
      </c>
      <c r="AH55" s="2" t="s">
        <v>3264</v>
      </c>
      <c r="AJ55" s="2" t="s">
        <v>3265</v>
      </c>
      <c r="AL55" s="2" t="s">
        <v>3087</v>
      </c>
      <c r="AO55" s="2" t="s">
        <v>3266</v>
      </c>
      <c r="AR55" s="2" t="s">
        <v>3267</v>
      </c>
      <c r="AS55" s="2" t="s">
        <v>3268</v>
      </c>
      <c r="AT55" s="2" t="s">
        <v>3269</v>
      </c>
      <c r="AU55" s="2" t="s">
        <v>3270</v>
      </c>
      <c r="AV55" s="2" t="s">
        <v>2937</v>
      </c>
      <c r="AY55" s="2" t="s">
        <v>3017</v>
      </c>
      <c r="AZ55" s="2" t="s">
        <v>3271</v>
      </c>
      <c r="BA55" s="2" t="s">
        <v>686</v>
      </c>
      <c r="BB55" s="2" t="s">
        <v>3272</v>
      </c>
      <c r="BC55" s="2" t="s">
        <v>3273</v>
      </c>
      <c r="BD55" s="2" t="s">
        <v>3274</v>
      </c>
      <c r="BE55" s="2" t="s">
        <v>3275</v>
      </c>
      <c r="BI55" s="2" t="s">
        <v>681</v>
      </c>
      <c r="BK55" s="2" t="s">
        <v>3276</v>
      </c>
      <c r="BM55" s="2" t="s">
        <v>3277</v>
      </c>
      <c r="BT55" s="2" t="s">
        <v>3278</v>
      </c>
      <c r="CA55" s="2" t="s">
        <v>3279</v>
      </c>
      <c r="CB55" s="2" t="s">
        <v>3280</v>
      </c>
    </row>
    <row r="56" spans="1:80">
      <c r="A56" s="2" t="s">
        <v>2980</v>
      </c>
      <c r="H56" s="2" t="s">
        <v>3281</v>
      </c>
      <c r="I56" s="2" t="s">
        <v>3282</v>
      </c>
      <c r="J56" s="2" t="s">
        <v>3283</v>
      </c>
      <c r="K56" s="2" t="s">
        <v>678</v>
      </c>
      <c r="M56" s="2" t="s">
        <v>620</v>
      </c>
      <c r="N56" s="2" t="s">
        <v>661</v>
      </c>
      <c r="S56" s="2" t="s">
        <v>3284</v>
      </c>
      <c r="T56" s="2" t="s">
        <v>3285</v>
      </c>
      <c r="U56" s="2" t="s">
        <v>647</v>
      </c>
      <c r="X56" s="2" t="s">
        <v>3286</v>
      </c>
      <c r="Y56" s="2" t="s">
        <v>2807</v>
      </c>
      <c r="Z56" s="2" t="s">
        <v>3287</v>
      </c>
      <c r="AA56" s="2" t="s">
        <v>3288</v>
      </c>
      <c r="AF56" s="2" t="s">
        <v>2888</v>
      </c>
      <c r="AJ56" s="2" t="s">
        <v>3289</v>
      </c>
      <c r="AL56" s="2" t="s">
        <v>3290</v>
      </c>
      <c r="AR56" s="2" t="s">
        <v>3291</v>
      </c>
      <c r="AS56" s="2" t="s">
        <v>3292</v>
      </c>
      <c r="AT56" s="2" t="s">
        <v>3293</v>
      </c>
      <c r="AU56" s="2" t="s">
        <v>3294</v>
      </c>
      <c r="AV56" s="2" t="s">
        <v>3295</v>
      </c>
      <c r="AY56" s="2" t="s">
        <v>3296</v>
      </c>
      <c r="AZ56" s="2" t="s">
        <v>3297</v>
      </c>
      <c r="BA56" s="2" t="s">
        <v>2937</v>
      </c>
      <c r="BB56" s="2" t="s">
        <v>3298</v>
      </c>
      <c r="BC56" s="2" t="s">
        <v>3299</v>
      </c>
      <c r="BD56" s="2" t="s">
        <v>3300</v>
      </c>
      <c r="BE56" s="2" t="s">
        <v>3301</v>
      </c>
      <c r="BI56" s="2" t="s">
        <v>3087</v>
      </c>
      <c r="BK56" s="2" t="s">
        <v>3302</v>
      </c>
      <c r="BM56" s="2" t="s">
        <v>3303</v>
      </c>
      <c r="CA56" s="2" t="s">
        <v>3123</v>
      </c>
      <c r="CB56" s="2" t="s">
        <v>3304</v>
      </c>
    </row>
    <row r="57" spans="1:79">
      <c r="A57" s="2" t="s">
        <v>3305</v>
      </c>
      <c r="H57" s="2" t="s">
        <v>3306</v>
      </c>
      <c r="I57" s="2" t="s">
        <v>3284</v>
      </c>
      <c r="J57" s="2" t="s">
        <v>3307</v>
      </c>
      <c r="K57" s="2" t="s">
        <v>3308</v>
      </c>
      <c r="M57" s="2" t="s">
        <v>658</v>
      </c>
      <c r="N57" s="2" t="s">
        <v>680</v>
      </c>
      <c r="S57" s="2" t="s">
        <v>2890</v>
      </c>
      <c r="T57" s="2" t="s">
        <v>3309</v>
      </c>
      <c r="U57" s="2" t="s">
        <v>3240</v>
      </c>
      <c r="X57" s="2" t="s">
        <v>3310</v>
      </c>
      <c r="Y57" s="2" t="s">
        <v>3311</v>
      </c>
      <c r="Z57" s="2" t="s">
        <v>3312</v>
      </c>
      <c r="AA57" s="2" t="s">
        <v>3313</v>
      </c>
      <c r="AF57" s="2" t="s">
        <v>3039</v>
      </c>
      <c r="AJ57" s="2" t="s">
        <v>3314</v>
      </c>
      <c r="AL57" s="2" t="s">
        <v>3315</v>
      </c>
      <c r="AR57" s="2" t="s">
        <v>3316</v>
      </c>
      <c r="AS57" s="2" t="s">
        <v>3317</v>
      </c>
      <c r="AT57" s="2" t="s">
        <v>3318</v>
      </c>
      <c r="AU57" s="2" t="s">
        <v>3319</v>
      </c>
      <c r="AV57" s="2" t="s">
        <v>3320</v>
      </c>
      <c r="AY57" s="2" t="s">
        <v>3321</v>
      </c>
      <c r="AZ57" s="2" t="s">
        <v>3322</v>
      </c>
      <c r="BA57" s="2" t="s">
        <v>3323</v>
      </c>
      <c r="BC57" s="2" t="s">
        <v>3324</v>
      </c>
      <c r="BD57" s="2" t="s">
        <v>3325</v>
      </c>
      <c r="BE57" s="2" t="s">
        <v>3326</v>
      </c>
      <c r="BI57" s="2" t="s">
        <v>3327</v>
      </c>
      <c r="BK57" s="2" t="s">
        <v>3328</v>
      </c>
      <c r="BM57" s="2" t="s">
        <v>3329</v>
      </c>
      <c r="CA57" s="2" t="s">
        <v>3330</v>
      </c>
    </row>
    <row r="58" spans="1:79">
      <c r="A58" s="2" t="s">
        <v>686</v>
      </c>
      <c r="H58" s="2" t="s">
        <v>3331</v>
      </c>
      <c r="I58" s="2" t="s">
        <v>3332</v>
      </c>
      <c r="K58" s="2" t="s">
        <v>3333</v>
      </c>
      <c r="M58" s="2" t="s">
        <v>652</v>
      </c>
      <c r="N58" s="2" t="s">
        <v>664</v>
      </c>
      <c r="S58" s="2" t="s">
        <v>3334</v>
      </c>
      <c r="T58" s="2" t="s">
        <v>3335</v>
      </c>
      <c r="U58" s="2" t="s">
        <v>621</v>
      </c>
      <c r="X58" s="2" t="s">
        <v>3336</v>
      </c>
      <c r="Y58" s="2" t="s">
        <v>3337</v>
      </c>
      <c r="Z58" s="2" t="s">
        <v>3338</v>
      </c>
      <c r="AA58" s="2" t="s">
        <v>3339</v>
      </c>
      <c r="AF58" s="2" t="s">
        <v>2935</v>
      </c>
      <c r="AJ58" s="2" t="s">
        <v>3340</v>
      </c>
      <c r="AL58" s="2" t="s">
        <v>3341</v>
      </c>
      <c r="AR58" s="2" t="s">
        <v>3342</v>
      </c>
      <c r="AS58" s="2" t="s">
        <v>3343</v>
      </c>
      <c r="AT58" s="2" t="s">
        <v>3344</v>
      </c>
      <c r="AU58" s="2" t="s">
        <v>3345</v>
      </c>
      <c r="AV58" s="2" t="s">
        <v>3346</v>
      </c>
      <c r="AY58" s="2" t="s">
        <v>3347</v>
      </c>
      <c r="AZ58" s="2" t="s">
        <v>3348</v>
      </c>
      <c r="BA58" s="2" t="s">
        <v>2888</v>
      </c>
      <c r="BC58" s="2" t="s">
        <v>3349</v>
      </c>
      <c r="BD58" s="2" t="s">
        <v>3350</v>
      </c>
      <c r="BE58" s="2" t="s">
        <v>3351</v>
      </c>
      <c r="BI58" s="2" t="s">
        <v>3352</v>
      </c>
      <c r="BK58" s="2" t="s">
        <v>3353</v>
      </c>
      <c r="BM58" s="2" t="s">
        <v>3354</v>
      </c>
      <c r="CA58" s="2" t="s">
        <v>3355</v>
      </c>
    </row>
    <row r="59" spans="1:65">
      <c r="A59" s="2" t="s">
        <v>2661</v>
      </c>
      <c r="H59" s="2" t="s">
        <v>3356</v>
      </c>
      <c r="I59" s="2" t="s">
        <v>2888</v>
      </c>
      <c r="K59" s="2" t="s">
        <v>3199</v>
      </c>
      <c r="M59" s="2" t="s">
        <v>653</v>
      </c>
      <c r="N59" s="2" t="s">
        <v>665</v>
      </c>
      <c r="S59" s="2" t="s">
        <v>624</v>
      </c>
      <c r="T59" s="2" t="s">
        <v>3357</v>
      </c>
      <c r="U59" s="2" t="s">
        <v>3358</v>
      </c>
      <c r="X59" s="2" t="s">
        <v>2807</v>
      </c>
      <c r="Y59" s="2" t="s">
        <v>3359</v>
      </c>
      <c r="Z59" s="2" t="s">
        <v>3360</v>
      </c>
      <c r="AA59" s="2" t="s">
        <v>3361</v>
      </c>
      <c r="AF59" s="2" t="s">
        <v>3362</v>
      </c>
      <c r="AJ59" s="2" t="s">
        <v>3363</v>
      </c>
      <c r="AR59" s="2" t="s">
        <v>3364</v>
      </c>
      <c r="AS59" s="2" t="s">
        <v>2274</v>
      </c>
      <c r="AT59" s="2" t="s">
        <v>3365</v>
      </c>
      <c r="AU59" s="2" t="s">
        <v>2546</v>
      </c>
      <c r="AV59" s="2" t="s">
        <v>3366</v>
      </c>
      <c r="AY59" s="2" t="s">
        <v>3367</v>
      </c>
      <c r="AZ59" s="2" t="s">
        <v>3368</v>
      </c>
      <c r="BA59" s="2" t="s">
        <v>3369</v>
      </c>
      <c r="BC59" s="2" t="s">
        <v>3370</v>
      </c>
      <c r="BD59" s="2" t="s">
        <v>3371</v>
      </c>
      <c r="BE59" s="2" t="s">
        <v>3372</v>
      </c>
      <c r="BI59" s="2" t="s">
        <v>3373</v>
      </c>
      <c r="BK59" s="2" t="s">
        <v>3374</v>
      </c>
      <c r="BM59" s="2" t="s">
        <v>3375</v>
      </c>
    </row>
    <row r="60" spans="1:65">
      <c r="A60" s="2" t="s">
        <v>3376</v>
      </c>
      <c r="H60" s="2" t="s">
        <v>3377</v>
      </c>
      <c r="I60" s="2" t="s">
        <v>3378</v>
      </c>
      <c r="K60" s="2" t="s">
        <v>3379</v>
      </c>
      <c r="M60" s="2" t="s">
        <v>3380</v>
      </c>
      <c r="N60" s="2" t="s">
        <v>681</v>
      </c>
      <c r="S60" s="2" t="s">
        <v>3381</v>
      </c>
      <c r="T60" s="2" t="s">
        <v>681</v>
      </c>
      <c r="X60" s="2" t="s">
        <v>2937</v>
      </c>
      <c r="Y60" s="2" t="s">
        <v>3382</v>
      </c>
      <c r="Z60" s="2" t="s">
        <v>3383</v>
      </c>
      <c r="AA60" s="2" t="s">
        <v>2955</v>
      </c>
      <c r="AF60" s="2" t="s">
        <v>3384</v>
      </c>
      <c r="AJ60" s="2" t="s">
        <v>3385</v>
      </c>
      <c r="AR60" s="2" t="s">
        <v>3386</v>
      </c>
      <c r="AS60" s="2" t="s">
        <v>3387</v>
      </c>
      <c r="AT60" s="2" t="s">
        <v>3388</v>
      </c>
      <c r="AU60" s="2" t="s">
        <v>3389</v>
      </c>
      <c r="AV60" s="2" t="s">
        <v>3390</v>
      </c>
      <c r="AY60" s="2" t="s">
        <v>3391</v>
      </c>
      <c r="AZ60" s="2" t="s">
        <v>3392</v>
      </c>
      <c r="BA60" s="2" t="s">
        <v>3163</v>
      </c>
      <c r="BC60" s="2" t="s">
        <v>3393</v>
      </c>
      <c r="BD60" s="2" t="s">
        <v>3394</v>
      </c>
      <c r="BE60" s="2" t="s">
        <v>3395</v>
      </c>
      <c r="BK60" s="2" t="s">
        <v>3396</v>
      </c>
      <c r="BM60" s="2" t="s">
        <v>3397</v>
      </c>
    </row>
    <row r="61" spans="1:65">
      <c r="A61" s="2" t="s">
        <v>3398</v>
      </c>
      <c r="I61" s="2" t="s">
        <v>3295</v>
      </c>
      <c r="K61" s="2" t="s">
        <v>3399</v>
      </c>
      <c r="M61" s="2" t="s">
        <v>647</v>
      </c>
      <c r="N61" s="2" t="s">
        <v>682</v>
      </c>
      <c r="S61" s="2" t="s">
        <v>3400</v>
      </c>
      <c r="T61" s="2" t="s">
        <v>653</v>
      </c>
      <c r="X61" s="2" t="s">
        <v>2661</v>
      </c>
      <c r="Z61" s="2" t="s">
        <v>653</v>
      </c>
      <c r="AA61" s="2" t="s">
        <v>3401</v>
      </c>
      <c r="AF61" s="2" t="s">
        <v>3402</v>
      </c>
      <c r="AJ61" s="2" t="s">
        <v>3403</v>
      </c>
      <c r="AR61" s="2" t="s">
        <v>3404</v>
      </c>
      <c r="AS61" s="2" t="s">
        <v>3405</v>
      </c>
      <c r="AT61" s="2" t="s">
        <v>3406</v>
      </c>
      <c r="AU61" s="2" t="s">
        <v>2403</v>
      </c>
      <c r="AV61" s="2" t="s">
        <v>3407</v>
      </c>
      <c r="AY61" s="2" t="s">
        <v>3408</v>
      </c>
      <c r="AZ61" s="2" t="s">
        <v>2618</v>
      </c>
      <c r="BA61" s="2" t="s">
        <v>3409</v>
      </c>
      <c r="BD61" s="2" t="s">
        <v>3410</v>
      </c>
      <c r="BE61" s="2" t="s">
        <v>3411</v>
      </c>
      <c r="BM61" s="2" t="s">
        <v>3328</v>
      </c>
    </row>
    <row r="62" spans="1:65">
      <c r="A62" s="2" t="s">
        <v>3412</v>
      </c>
      <c r="I62" s="2" t="s">
        <v>2643</v>
      </c>
      <c r="K62" s="2" t="s">
        <v>3227</v>
      </c>
      <c r="M62" s="2" t="s">
        <v>3413</v>
      </c>
      <c r="N62" s="2" t="s">
        <v>671</v>
      </c>
      <c r="T62" s="2" t="s">
        <v>2878</v>
      </c>
      <c r="X62" s="2" t="s">
        <v>2818</v>
      </c>
      <c r="Z62" s="2" t="s">
        <v>3414</v>
      </c>
      <c r="AA62" s="2" t="s">
        <v>3415</v>
      </c>
      <c r="AJ62" s="2" t="s">
        <v>3416</v>
      </c>
      <c r="AR62" s="2" t="s">
        <v>3417</v>
      </c>
      <c r="AS62" s="2" t="s">
        <v>3418</v>
      </c>
      <c r="AT62" s="2" t="s">
        <v>3419</v>
      </c>
      <c r="AU62" s="2" t="s">
        <v>3420</v>
      </c>
      <c r="AV62" s="2" t="s">
        <v>3421</v>
      </c>
      <c r="AY62" s="2" t="s">
        <v>3422</v>
      </c>
      <c r="AZ62" s="2" t="s">
        <v>2308</v>
      </c>
      <c r="BD62" s="2" t="s">
        <v>3423</v>
      </c>
      <c r="BE62" s="2" t="s">
        <v>3424</v>
      </c>
      <c r="BM62" s="2" t="s">
        <v>3425</v>
      </c>
    </row>
    <row r="63" spans="1:65">
      <c r="A63" s="2" t="s">
        <v>3426</v>
      </c>
      <c r="I63" s="2" t="s">
        <v>3427</v>
      </c>
      <c r="K63" s="2" t="s">
        <v>3428</v>
      </c>
      <c r="M63" s="2" t="s">
        <v>649</v>
      </c>
      <c r="N63" s="2" t="s">
        <v>666</v>
      </c>
      <c r="T63" s="2" t="s">
        <v>686</v>
      </c>
      <c r="X63" s="2" t="s">
        <v>3306</v>
      </c>
      <c r="Z63" s="2" t="s">
        <v>624</v>
      </c>
      <c r="AA63" s="2" t="s">
        <v>3429</v>
      </c>
      <c r="AJ63" s="2" t="s">
        <v>620</v>
      </c>
      <c r="AR63" s="2" t="s">
        <v>3119</v>
      </c>
      <c r="AS63" s="2" t="s">
        <v>3430</v>
      </c>
      <c r="AT63" s="2" t="s">
        <v>3431</v>
      </c>
      <c r="AU63" s="2" t="s">
        <v>3432</v>
      </c>
      <c r="AY63" s="2" t="s">
        <v>3433</v>
      </c>
      <c r="AZ63" s="2" t="s">
        <v>3434</v>
      </c>
      <c r="BD63" s="2" t="s">
        <v>3435</v>
      </c>
      <c r="BE63" s="2" t="s">
        <v>3436</v>
      </c>
      <c r="BM63" s="2" t="s">
        <v>3437</v>
      </c>
    </row>
    <row r="64" spans="1:57">
      <c r="A64" s="2" t="s">
        <v>3438</v>
      </c>
      <c r="I64" s="2" t="s">
        <v>624</v>
      </c>
      <c r="K64" s="2" t="s">
        <v>3439</v>
      </c>
      <c r="M64" s="2" t="s">
        <v>654</v>
      </c>
      <c r="N64" s="2" t="s">
        <v>683</v>
      </c>
      <c r="T64" s="2" t="s">
        <v>3440</v>
      </c>
      <c r="X64" s="2" t="s">
        <v>3315</v>
      </c>
      <c r="Z64" s="2" t="s">
        <v>3441</v>
      </c>
      <c r="AA64" s="2" t="s">
        <v>3442</v>
      </c>
      <c r="AJ64" s="2" t="s">
        <v>3443</v>
      </c>
      <c r="AR64" s="2" t="s">
        <v>3444</v>
      </c>
      <c r="AS64" s="2" t="s">
        <v>3091</v>
      </c>
      <c r="AT64" s="2" t="s">
        <v>3445</v>
      </c>
      <c r="AU64" s="2" t="s">
        <v>3446</v>
      </c>
      <c r="AZ64" s="2" t="s">
        <v>3447</v>
      </c>
      <c r="BD64" s="2" t="s">
        <v>3448</v>
      </c>
      <c r="BE64" s="2" t="s">
        <v>3449</v>
      </c>
    </row>
    <row r="65" spans="9:52">
      <c r="I65" s="2" t="s">
        <v>2970</v>
      </c>
      <c r="K65" s="2" t="s">
        <v>3450</v>
      </c>
      <c r="M65" s="2" t="s">
        <v>659</v>
      </c>
      <c r="N65" s="2" t="s">
        <v>676</v>
      </c>
      <c r="T65" s="2" t="s">
        <v>3451</v>
      </c>
      <c r="X65" s="2" t="s">
        <v>649</v>
      </c>
      <c r="Z65" s="2" t="s">
        <v>3163</v>
      </c>
      <c r="AA65" s="2" t="s">
        <v>3395</v>
      </c>
      <c r="AJ65" s="2" t="s">
        <v>3452</v>
      </c>
      <c r="AR65" s="2" t="s">
        <v>3453</v>
      </c>
      <c r="AS65" s="2" t="s">
        <v>3454</v>
      </c>
      <c r="AT65" s="2" t="s">
        <v>3455</v>
      </c>
      <c r="AU65" s="2" t="s">
        <v>3456</v>
      </c>
      <c r="AZ65" s="2" t="s">
        <v>3457</v>
      </c>
    </row>
    <row r="66" spans="9:52">
      <c r="I66" s="2" t="s">
        <v>3458</v>
      </c>
      <c r="K66" s="2" t="s">
        <v>3459</v>
      </c>
      <c r="M66" s="2" t="s">
        <v>660</v>
      </c>
      <c r="N66" s="2" t="s">
        <v>631</v>
      </c>
      <c r="T66" s="2" t="s">
        <v>3458</v>
      </c>
      <c r="X66" s="2" t="s">
        <v>621</v>
      </c>
      <c r="Z66" s="2" t="s">
        <v>3460</v>
      </c>
      <c r="AA66" s="2" t="s">
        <v>3104</v>
      </c>
      <c r="AJ66" s="2" t="s">
        <v>3461</v>
      </c>
      <c r="AR66" s="2" t="s">
        <v>3462</v>
      </c>
      <c r="AS66" s="2" t="s">
        <v>3463</v>
      </c>
      <c r="AT66" s="2" t="s">
        <v>3464</v>
      </c>
      <c r="AU66" s="2" t="s">
        <v>3465</v>
      </c>
      <c r="AZ66" s="2" t="s">
        <v>3466</v>
      </c>
    </row>
    <row r="67" spans="9:52">
      <c r="I67" s="2" t="s">
        <v>3467</v>
      </c>
      <c r="K67" s="2" t="s">
        <v>3468</v>
      </c>
      <c r="N67" s="2" t="s">
        <v>686</v>
      </c>
      <c r="T67" s="2" t="s">
        <v>3469</v>
      </c>
      <c r="X67" s="2" t="s">
        <v>3470</v>
      </c>
      <c r="Z67" s="2" t="s">
        <v>3471</v>
      </c>
      <c r="AA67" s="2" t="s">
        <v>3472</v>
      </c>
      <c r="AJ67" s="2" t="s">
        <v>3473</v>
      </c>
      <c r="AR67" s="2" t="s">
        <v>3474</v>
      </c>
      <c r="AS67" s="2" t="s">
        <v>3475</v>
      </c>
      <c r="AT67" s="2" t="s">
        <v>3476</v>
      </c>
      <c r="AU67" s="2" t="s">
        <v>3477</v>
      </c>
      <c r="AZ67" s="2" t="s">
        <v>3478</v>
      </c>
    </row>
    <row r="68" spans="9:52">
      <c r="I68" s="2" t="s">
        <v>3479</v>
      </c>
      <c r="K68" s="2" t="s">
        <v>3480</v>
      </c>
      <c r="N68" s="2" t="s">
        <v>684</v>
      </c>
      <c r="T68" s="2" t="s">
        <v>3481</v>
      </c>
      <c r="X68" s="2" t="s">
        <v>2992</v>
      </c>
      <c r="AA68" s="2" t="s">
        <v>681</v>
      </c>
      <c r="AJ68" s="2" t="s">
        <v>3482</v>
      </c>
      <c r="AR68" s="2" t="s">
        <v>3483</v>
      </c>
      <c r="AS68" s="2" t="s">
        <v>3484</v>
      </c>
      <c r="AT68" s="2" t="s">
        <v>3485</v>
      </c>
      <c r="AU68" s="2" t="s">
        <v>2789</v>
      </c>
      <c r="AZ68" s="2" t="s">
        <v>3486</v>
      </c>
    </row>
    <row r="69" spans="9:52">
      <c r="I69" s="2" t="s">
        <v>3487</v>
      </c>
      <c r="K69" s="2" t="s">
        <v>3488</v>
      </c>
      <c r="N69" s="2" t="s">
        <v>667</v>
      </c>
      <c r="T69" s="2" t="s">
        <v>3489</v>
      </c>
      <c r="X69" s="2" t="s">
        <v>3490</v>
      </c>
      <c r="AA69" s="2" t="s">
        <v>3491</v>
      </c>
      <c r="AJ69" s="2" t="s">
        <v>3087</v>
      </c>
      <c r="AR69" s="2" t="s">
        <v>3492</v>
      </c>
      <c r="AS69" s="2" t="s">
        <v>3493</v>
      </c>
      <c r="AT69" s="2" t="s">
        <v>3227</v>
      </c>
      <c r="AU69" s="2" t="s">
        <v>3494</v>
      </c>
      <c r="AZ69" s="2" t="s">
        <v>3495</v>
      </c>
    </row>
    <row r="70" spans="9:52">
      <c r="I70" s="2" t="s">
        <v>3496</v>
      </c>
      <c r="K70" s="2" t="s">
        <v>3497</v>
      </c>
      <c r="N70" s="2" t="s">
        <v>672</v>
      </c>
      <c r="X70" s="2" t="s">
        <v>3498</v>
      </c>
      <c r="AA70" s="2" t="s">
        <v>3499</v>
      </c>
      <c r="AJ70" s="2" t="s">
        <v>2937</v>
      </c>
      <c r="AR70" s="2" t="s">
        <v>3500</v>
      </c>
      <c r="AT70" s="2" t="s">
        <v>3501</v>
      </c>
      <c r="AU70" s="2" t="s">
        <v>3502</v>
      </c>
      <c r="AZ70" s="2" t="s">
        <v>3503</v>
      </c>
    </row>
    <row r="71" spans="9:52">
      <c r="I71" s="2" t="s">
        <v>3504</v>
      </c>
      <c r="K71" s="2" t="s">
        <v>3505</v>
      </c>
      <c r="N71" s="2" t="s">
        <v>623</v>
      </c>
      <c r="X71" s="2" t="s">
        <v>3506</v>
      </c>
      <c r="AA71" s="2" t="s">
        <v>3041</v>
      </c>
      <c r="AJ71" s="2" t="s">
        <v>3507</v>
      </c>
      <c r="AR71" s="2" t="s">
        <v>3508</v>
      </c>
      <c r="AT71" s="2" t="s">
        <v>3509</v>
      </c>
      <c r="AU71" s="2" t="s">
        <v>3510</v>
      </c>
      <c r="AZ71" s="2" t="s">
        <v>3511</v>
      </c>
    </row>
    <row r="72" spans="11:52">
      <c r="K72" s="2" t="s">
        <v>3290</v>
      </c>
      <c r="N72" s="2" t="s">
        <v>624</v>
      </c>
      <c r="AA72" s="2" t="s">
        <v>2878</v>
      </c>
      <c r="AJ72" s="2" t="s">
        <v>3512</v>
      </c>
      <c r="AR72" s="2" t="s">
        <v>3513</v>
      </c>
      <c r="AT72" s="2" t="s">
        <v>2980</v>
      </c>
      <c r="AU72" s="2" t="s">
        <v>3514</v>
      </c>
      <c r="AZ72" s="2" t="s">
        <v>686</v>
      </c>
    </row>
    <row r="73" spans="11:52">
      <c r="K73" s="2" t="s">
        <v>684</v>
      </c>
      <c r="N73" s="2" t="s">
        <v>621</v>
      </c>
      <c r="AA73" s="2" t="s">
        <v>3515</v>
      </c>
      <c r="AJ73" s="2" t="s">
        <v>3516</v>
      </c>
      <c r="AR73" s="2" t="s">
        <v>3463</v>
      </c>
      <c r="AT73" s="2" t="s">
        <v>3517</v>
      </c>
      <c r="AU73" s="2" t="s">
        <v>3518</v>
      </c>
      <c r="AZ73" s="2" t="s">
        <v>2890</v>
      </c>
    </row>
    <row r="74" spans="11:52">
      <c r="K74" s="2" t="s">
        <v>3306</v>
      </c>
      <c r="N74" s="2" t="s">
        <v>641</v>
      </c>
      <c r="AA74" s="2" t="s">
        <v>3035</v>
      </c>
      <c r="AJ74" s="2" t="s">
        <v>3519</v>
      </c>
      <c r="AR74" s="2" t="s">
        <v>3520</v>
      </c>
      <c r="AT74" s="2" t="s">
        <v>3521</v>
      </c>
      <c r="AU74" s="2" t="s">
        <v>3522</v>
      </c>
      <c r="AZ74" s="2" t="s">
        <v>3029</v>
      </c>
    </row>
    <row r="75" spans="11:52">
      <c r="K75" s="2" t="s">
        <v>3376</v>
      </c>
      <c r="AA75" s="2" t="s">
        <v>3523</v>
      </c>
      <c r="AR75" s="2" t="s">
        <v>2890</v>
      </c>
      <c r="AT75" s="2" t="s">
        <v>686</v>
      </c>
      <c r="AU75" s="2" t="s">
        <v>2980</v>
      </c>
      <c r="AZ75" s="2" t="s">
        <v>3524</v>
      </c>
    </row>
    <row r="76" spans="11:52">
      <c r="K76" s="2" t="s">
        <v>3525</v>
      </c>
      <c r="AA76" s="2" t="s">
        <v>3526</v>
      </c>
      <c r="AR76" s="2" t="s">
        <v>3334</v>
      </c>
      <c r="AT76" s="2" t="s">
        <v>2890</v>
      </c>
      <c r="AU76" s="2" t="s">
        <v>3527</v>
      </c>
      <c r="AZ76" s="2" t="s">
        <v>3528</v>
      </c>
    </row>
    <row r="77" spans="11:52">
      <c r="K77" s="2" t="s">
        <v>624</v>
      </c>
      <c r="AA77" s="2" t="s">
        <v>3529</v>
      </c>
      <c r="AR77" s="2" t="s">
        <v>3525</v>
      </c>
      <c r="AT77" s="2" t="s">
        <v>3530</v>
      </c>
      <c r="AU77" s="2" t="s">
        <v>3531</v>
      </c>
      <c r="AZ77" s="2" t="s">
        <v>3532</v>
      </c>
    </row>
    <row r="78" spans="11:52">
      <c r="K78" s="2" t="s">
        <v>621</v>
      </c>
      <c r="AA78" s="2" t="s">
        <v>3533</v>
      </c>
      <c r="AR78" s="2" t="s">
        <v>3534</v>
      </c>
      <c r="AT78" s="2" t="s">
        <v>3535</v>
      </c>
      <c r="AU78" s="2" t="s">
        <v>3536</v>
      </c>
      <c r="AZ78" s="2" t="s">
        <v>3537</v>
      </c>
    </row>
    <row r="79" spans="11:52">
      <c r="K79" s="2" t="s">
        <v>3279</v>
      </c>
      <c r="AR79" s="2" t="s">
        <v>3538</v>
      </c>
      <c r="AT79" s="2" t="s">
        <v>3539</v>
      </c>
      <c r="AU79" s="2" t="s">
        <v>3540</v>
      </c>
      <c r="AZ79" s="2" t="s">
        <v>3541</v>
      </c>
    </row>
    <row r="80" spans="11:52">
      <c r="K80" s="2" t="s">
        <v>3542</v>
      </c>
      <c r="AR80" s="2" t="s">
        <v>3543</v>
      </c>
      <c r="AT80" s="2" t="s">
        <v>3544</v>
      </c>
      <c r="AU80" s="2" t="s">
        <v>3087</v>
      </c>
      <c r="AZ80" s="2" t="s">
        <v>3545</v>
      </c>
    </row>
    <row r="81" spans="11:47">
      <c r="K81" s="2" t="s">
        <v>3546</v>
      </c>
      <c r="AR81" s="2" t="s">
        <v>3547</v>
      </c>
      <c r="AT81" s="2" t="s">
        <v>3548</v>
      </c>
      <c r="AU81" s="2" t="s">
        <v>2863</v>
      </c>
    </row>
    <row r="82" spans="11:47">
      <c r="K82" s="2" t="s">
        <v>3549</v>
      </c>
      <c r="AT82" s="2" t="s">
        <v>3550</v>
      </c>
      <c r="AU82" s="2" t="s">
        <v>3130</v>
      </c>
    </row>
    <row r="83" spans="11:47">
      <c r="K83" s="2" t="s">
        <v>3551</v>
      </c>
      <c r="AT83" s="2" t="s">
        <v>3552</v>
      </c>
      <c r="AU83" s="2" t="s">
        <v>3029</v>
      </c>
    </row>
    <row r="84" spans="11:47">
      <c r="K84" s="2" t="s">
        <v>3553</v>
      </c>
      <c r="AT84" s="2" t="s">
        <v>3554</v>
      </c>
      <c r="AU84" s="2" t="s">
        <v>3555</v>
      </c>
    </row>
    <row r="85" spans="11:47">
      <c r="K85" s="2" t="s">
        <v>3556</v>
      </c>
      <c r="AT85" s="2" t="s">
        <v>3557</v>
      </c>
      <c r="AU85" s="2" t="s">
        <v>3558</v>
      </c>
    </row>
    <row r="86" spans="47:47">
      <c r="AU86" s="2" t="s">
        <v>3242</v>
      </c>
    </row>
    <row r="87" spans="47:47">
      <c r="AU87" s="2" t="s">
        <v>3559</v>
      </c>
    </row>
    <row r="88" spans="47:47">
      <c r="AU88" s="2" t="s">
        <v>3560</v>
      </c>
    </row>
    <row r="89" spans="47:47">
      <c r="AU89" s="2" t="s">
        <v>3561</v>
      </c>
    </row>
    <row r="90" spans="47:47">
      <c r="AU90" s="2" t="s">
        <v>3219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2:H1744"/>
  <sheetViews>
    <sheetView workbookViewId="0">
      <pane ySplit="2" topLeftCell="A1665" activePane="bottomLeft" state="frozen"/>
      <selection/>
      <selection pane="bottomLeft" activeCell="B596" sqref="B596"/>
    </sheetView>
  </sheetViews>
  <sheetFormatPr defaultColWidth="8.85714285714286" defaultRowHeight="16.5" outlineLevelCol="7"/>
  <cols>
    <col min="1" max="1" width="35.4285714285714" style="2" customWidth="1"/>
    <col min="2" max="2" width="43.4285714285714" style="2" customWidth="1"/>
    <col min="3" max="3" width="32.1428571428571" style="2" customWidth="1"/>
    <col min="4" max="4" width="10" style="2" customWidth="1"/>
    <col min="5" max="5" width="29.1428571428571" style="2" customWidth="1"/>
    <col min="6" max="6" width="19.8571428571429" style="2" customWidth="1"/>
    <col min="7" max="7" width="11.4285714285714" style="2" customWidth="1"/>
    <col min="8" max="8" width="19" style="2" customWidth="1"/>
    <col min="9" max="16384" width="8.85714285714286" style="2"/>
  </cols>
  <sheetData>
    <row r="2" s="1" customFormat="1" spans="1:8">
      <c r="A2" s="1" t="s">
        <v>3562</v>
      </c>
      <c r="B2" s="1" t="s">
        <v>3563</v>
      </c>
      <c r="C2" s="1" t="s">
        <v>3564</v>
      </c>
      <c r="D2" s="1" t="s">
        <v>599</v>
      </c>
      <c r="E2" s="1" t="s">
        <v>3565</v>
      </c>
      <c r="F2" s="1" t="s">
        <v>3566</v>
      </c>
      <c r="G2" s="1" t="s">
        <v>3567</v>
      </c>
      <c r="H2" s="1" t="s">
        <v>3568</v>
      </c>
    </row>
    <row r="3" spans="1:6">
      <c r="A3" s="2" t="s">
        <v>3569</v>
      </c>
      <c r="B3" s="2" t="s">
        <v>3570</v>
      </c>
      <c r="C3" s="2" t="s">
        <v>3569</v>
      </c>
      <c r="E3" s="2" t="s">
        <v>3571</v>
      </c>
      <c r="F3" s="2" t="s">
        <v>2338</v>
      </c>
    </row>
    <row r="4" spans="1:8">
      <c r="A4" s="2" t="s">
        <v>3572</v>
      </c>
      <c r="B4" s="2" t="s">
        <v>3572</v>
      </c>
      <c r="C4" s="2" t="s">
        <v>3573</v>
      </c>
      <c r="D4" s="2">
        <v>137501000</v>
      </c>
      <c r="E4" s="2" t="s">
        <v>3571</v>
      </c>
      <c r="G4" s="2" t="s">
        <v>3574</v>
      </c>
      <c r="H4" s="2">
        <v>1583978</v>
      </c>
    </row>
    <row r="5" spans="1:8">
      <c r="A5" s="2" t="s">
        <v>3572</v>
      </c>
      <c r="B5" s="2" t="s">
        <v>3572</v>
      </c>
      <c r="C5" s="2" t="s">
        <v>3575</v>
      </c>
      <c r="D5" s="2">
        <v>137501000</v>
      </c>
      <c r="E5" s="2" t="s">
        <v>3571</v>
      </c>
      <c r="G5" s="2" t="s">
        <v>3574</v>
      </c>
      <c r="H5" s="2">
        <v>1583978</v>
      </c>
    </row>
    <row r="6" spans="1:8">
      <c r="A6" s="2" t="s">
        <v>3576</v>
      </c>
      <c r="B6" s="2" t="s">
        <v>3576</v>
      </c>
      <c r="C6" s="2" t="s">
        <v>3577</v>
      </c>
      <c r="D6" s="2">
        <v>137601000</v>
      </c>
      <c r="E6" s="2" t="s">
        <v>3571</v>
      </c>
      <c r="G6" s="2" t="s">
        <v>3574</v>
      </c>
      <c r="H6" s="2">
        <v>588894</v>
      </c>
    </row>
    <row r="7" spans="1:8">
      <c r="A7" s="2" t="s">
        <v>3578</v>
      </c>
      <c r="B7" s="2" t="s">
        <v>3578</v>
      </c>
      <c r="C7" s="2" t="s">
        <v>3579</v>
      </c>
      <c r="D7" s="2">
        <v>137602000</v>
      </c>
      <c r="E7" s="2" t="s">
        <v>3571</v>
      </c>
      <c r="G7" s="2" t="s">
        <v>3574</v>
      </c>
      <c r="H7" s="2">
        <v>582602</v>
      </c>
    </row>
    <row r="8" spans="1:8">
      <c r="A8" s="2" t="s">
        <v>3578</v>
      </c>
      <c r="B8" s="2" t="s">
        <v>3578</v>
      </c>
      <c r="C8" s="2" t="s">
        <v>3580</v>
      </c>
      <c r="D8" s="2">
        <v>137602000</v>
      </c>
      <c r="E8" s="2" t="s">
        <v>3571</v>
      </c>
      <c r="G8" s="2" t="s">
        <v>3574</v>
      </c>
      <c r="H8" s="2">
        <v>582602</v>
      </c>
    </row>
    <row r="9" spans="1:8">
      <c r="A9" s="2" t="s">
        <v>3581</v>
      </c>
      <c r="B9" s="2" t="s">
        <v>3581</v>
      </c>
      <c r="C9" s="2" t="s">
        <v>3582</v>
      </c>
      <c r="D9" s="2">
        <v>137502000</v>
      </c>
      <c r="E9" s="2" t="s">
        <v>3571</v>
      </c>
      <c r="G9" s="2" t="s">
        <v>3574</v>
      </c>
      <c r="H9" s="2">
        <v>365525</v>
      </c>
    </row>
    <row r="10" spans="1:8">
      <c r="A10" s="2" t="s">
        <v>3583</v>
      </c>
      <c r="B10" s="2" t="s">
        <v>3583</v>
      </c>
      <c r="C10" s="2" t="s">
        <v>3584</v>
      </c>
      <c r="D10" s="2">
        <v>137401000</v>
      </c>
      <c r="E10" s="2" t="s">
        <v>3571</v>
      </c>
      <c r="G10" s="2" t="s">
        <v>3574</v>
      </c>
      <c r="H10" s="2">
        <v>386276</v>
      </c>
    </row>
    <row r="11" spans="1:8">
      <c r="A11" s="2" t="s">
        <v>3585</v>
      </c>
      <c r="B11" s="2" t="s">
        <v>3585</v>
      </c>
      <c r="C11" s="2" t="s">
        <v>3586</v>
      </c>
      <c r="D11" s="2">
        <v>133900000</v>
      </c>
      <c r="E11" s="2" t="s">
        <v>3571</v>
      </c>
      <c r="G11" s="2" t="s">
        <v>3587</v>
      </c>
      <c r="H11" s="2">
        <v>1780148</v>
      </c>
    </row>
    <row r="12" spans="1:8">
      <c r="A12" s="2" t="s">
        <v>3585</v>
      </c>
      <c r="B12" s="2" t="s">
        <v>3585</v>
      </c>
      <c r="C12" s="2" t="s">
        <v>3588</v>
      </c>
      <c r="D12" s="2">
        <v>133900000</v>
      </c>
      <c r="E12" s="2" t="s">
        <v>3571</v>
      </c>
      <c r="G12" s="2" t="s">
        <v>3587</v>
      </c>
      <c r="H12" s="2">
        <v>1780148</v>
      </c>
    </row>
    <row r="13" spans="1:8">
      <c r="A13" s="2" t="s">
        <v>3585</v>
      </c>
      <c r="B13" s="2" t="s">
        <v>3585</v>
      </c>
      <c r="C13" s="2" t="s">
        <v>3589</v>
      </c>
      <c r="D13" s="2">
        <v>133900000</v>
      </c>
      <c r="E13" s="2" t="s">
        <v>3571</v>
      </c>
      <c r="G13" s="2" t="s">
        <v>3587</v>
      </c>
      <c r="H13" s="2">
        <v>1780148</v>
      </c>
    </row>
    <row r="14" spans="1:8">
      <c r="A14" s="2" t="s">
        <v>3585</v>
      </c>
      <c r="B14" s="2" t="s">
        <v>3585</v>
      </c>
      <c r="C14" s="2" t="s">
        <v>3590</v>
      </c>
      <c r="D14" s="2">
        <v>133900000</v>
      </c>
      <c r="E14" s="2" t="s">
        <v>3571</v>
      </c>
      <c r="G14" s="2" t="s">
        <v>3587</v>
      </c>
      <c r="H14" s="2">
        <v>1780148</v>
      </c>
    </row>
    <row r="15" spans="1:8">
      <c r="A15" s="2" t="s">
        <v>3585</v>
      </c>
      <c r="B15" s="2" t="s">
        <v>3585</v>
      </c>
      <c r="C15" s="2" t="s">
        <v>3591</v>
      </c>
      <c r="D15" s="2">
        <v>133900000</v>
      </c>
      <c r="E15" s="2" t="s">
        <v>3571</v>
      </c>
      <c r="G15" s="2" t="s">
        <v>3587</v>
      </c>
      <c r="H15" s="2">
        <v>1780148</v>
      </c>
    </row>
    <row r="16" spans="1:8">
      <c r="A16" s="2" t="s">
        <v>3585</v>
      </c>
      <c r="B16" s="2" t="s">
        <v>3585</v>
      </c>
      <c r="C16" s="2" t="s">
        <v>3592</v>
      </c>
      <c r="D16" s="2">
        <v>133900000</v>
      </c>
      <c r="E16" s="2" t="s">
        <v>3571</v>
      </c>
      <c r="G16" s="2" t="s">
        <v>3587</v>
      </c>
      <c r="H16" s="2">
        <v>1780148</v>
      </c>
    </row>
    <row r="17" spans="1:8">
      <c r="A17" s="2" t="s">
        <v>3593</v>
      </c>
      <c r="B17" s="2" t="s">
        <v>3593</v>
      </c>
      <c r="C17" s="2" t="s">
        <v>3594</v>
      </c>
      <c r="D17" s="2">
        <v>137402000</v>
      </c>
      <c r="E17" s="2" t="s">
        <v>3571</v>
      </c>
      <c r="G17" s="2" t="s">
        <v>3574</v>
      </c>
      <c r="H17" s="2">
        <v>450741</v>
      </c>
    </row>
    <row r="18" spans="1:8">
      <c r="A18" s="2" t="s">
        <v>3593</v>
      </c>
      <c r="B18" s="2" t="s">
        <v>3593</v>
      </c>
      <c r="C18" s="2" t="s">
        <v>3595</v>
      </c>
      <c r="D18" s="2">
        <v>137402000</v>
      </c>
      <c r="E18" s="2" t="s">
        <v>3571</v>
      </c>
      <c r="G18" s="2" t="s">
        <v>3574</v>
      </c>
      <c r="H18" s="2">
        <v>450741</v>
      </c>
    </row>
    <row r="19" spans="1:8">
      <c r="A19" s="2" t="s">
        <v>3596</v>
      </c>
      <c r="B19" s="2" t="s">
        <v>3596</v>
      </c>
      <c r="C19" s="2" t="s">
        <v>3597</v>
      </c>
      <c r="D19" s="2">
        <v>137603000</v>
      </c>
      <c r="E19" s="2" t="s">
        <v>3571</v>
      </c>
      <c r="G19" s="2" t="s">
        <v>3574</v>
      </c>
      <c r="H19" s="2">
        <v>504509</v>
      </c>
    </row>
    <row r="20" spans="1:8">
      <c r="A20" s="2" t="s">
        <v>3598</v>
      </c>
      <c r="B20" s="2" t="s">
        <v>3598</v>
      </c>
      <c r="C20" s="2" t="s">
        <v>3599</v>
      </c>
      <c r="D20" s="2">
        <v>137503000</v>
      </c>
      <c r="E20" s="2" t="s">
        <v>3571</v>
      </c>
      <c r="G20" s="2" t="s">
        <v>3600</v>
      </c>
      <c r="H20" s="2">
        <v>249463</v>
      </c>
    </row>
    <row r="21" spans="1:8">
      <c r="A21" s="2" t="s">
        <v>3601</v>
      </c>
      <c r="B21" s="2" t="s">
        <v>3601</v>
      </c>
      <c r="C21" s="2" t="s">
        <v>3602</v>
      </c>
      <c r="D21" s="2">
        <v>137604000</v>
      </c>
      <c r="E21" s="2" t="s">
        <v>3571</v>
      </c>
      <c r="G21" s="2" t="s">
        <v>3574</v>
      </c>
      <c r="H21" s="2">
        <v>665822</v>
      </c>
    </row>
    <row r="22" spans="1:8">
      <c r="A22" s="2" t="s">
        <v>3601</v>
      </c>
      <c r="B22" s="2" t="s">
        <v>3601</v>
      </c>
      <c r="C22" s="2" t="s">
        <v>3603</v>
      </c>
      <c r="D22" s="2">
        <v>137604000</v>
      </c>
      <c r="E22" s="2" t="s">
        <v>3571</v>
      </c>
      <c r="G22" s="2" t="s">
        <v>3574</v>
      </c>
      <c r="H22" s="2">
        <v>665822</v>
      </c>
    </row>
    <row r="23" spans="1:8">
      <c r="A23" s="2" t="s">
        <v>3604</v>
      </c>
      <c r="B23" s="2" t="s">
        <v>3604</v>
      </c>
      <c r="C23" s="2" t="s">
        <v>3605</v>
      </c>
      <c r="D23" s="2">
        <v>137605000</v>
      </c>
      <c r="E23" s="2" t="s">
        <v>3571</v>
      </c>
      <c r="G23" s="2" t="s">
        <v>3574</v>
      </c>
      <c r="H23" s="2">
        <v>416522</v>
      </c>
    </row>
    <row r="24" spans="1:8">
      <c r="A24" s="2" t="s">
        <v>3606</v>
      </c>
      <c r="B24" s="2" t="s">
        <v>3606</v>
      </c>
      <c r="C24" s="2" t="s">
        <v>3607</v>
      </c>
      <c r="D24" s="2">
        <v>137403000</v>
      </c>
      <c r="E24" s="2" t="s">
        <v>3571</v>
      </c>
      <c r="G24" s="2" t="s">
        <v>3574</v>
      </c>
      <c r="H24" s="2">
        <v>755300</v>
      </c>
    </row>
    <row r="25" spans="1:8">
      <c r="A25" s="2" t="s">
        <v>3608</v>
      </c>
      <c r="B25" s="2" t="s">
        <v>3608</v>
      </c>
      <c r="C25" s="2" t="s">
        <v>3609</v>
      </c>
      <c r="D25" s="2">
        <v>137404000</v>
      </c>
      <c r="E25" s="2" t="s">
        <v>3571</v>
      </c>
      <c r="G25" s="2" t="s">
        <v>3587</v>
      </c>
      <c r="H25" s="2">
        <v>2936116</v>
      </c>
    </row>
    <row r="26" spans="1:8">
      <c r="A26" s="2" t="s">
        <v>3608</v>
      </c>
      <c r="B26" s="2" t="s">
        <v>3608</v>
      </c>
      <c r="C26" s="2" t="s">
        <v>3610</v>
      </c>
      <c r="D26" s="2">
        <v>137404000</v>
      </c>
      <c r="E26" s="2" t="s">
        <v>3571</v>
      </c>
      <c r="G26" s="2" t="s">
        <v>3587</v>
      </c>
      <c r="H26" s="2">
        <v>2936116</v>
      </c>
    </row>
    <row r="27" spans="1:8">
      <c r="A27" s="2" t="s">
        <v>3608</v>
      </c>
      <c r="B27" s="2" t="s">
        <v>3608</v>
      </c>
      <c r="C27" s="2" t="s">
        <v>3611</v>
      </c>
      <c r="D27" s="2">
        <v>137404000</v>
      </c>
      <c r="E27" s="2" t="s">
        <v>3571</v>
      </c>
      <c r="G27" s="2" t="s">
        <v>3587</v>
      </c>
      <c r="H27" s="2">
        <v>2936116</v>
      </c>
    </row>
    <row r="28" spans="1:8">
      <c r="A28" s="2" t="s">
        <v>3608</v>
      </c>
      <c r="B28" s="2" t="s">
        <v>3608</v>
      </c>
      <c r="C28" s="2" t="s">
        <v>3612</v>
      </c>
      <c r="D28" s="2">
        <v>137404000</v>
      </c>
      <c r="E28" s="2" t="s">
        <v>3571</v>
      </c>
      <c r="G28" s="2" t="s">
        <v>3587</v>
      </c>
      <c r="H28" s="2">
        <v>2936116</v>
      </c>
    </row>
    <row r="29" spans="1:8">
      <c r="A29" s="2" t="s">
        <v>3608</v>
      </c>
      <c r="B29" s="2" t="s">
        <v>3608</v>
      </c>
      <c r="C29" s="2" t="s">
        <v>3613</v>
      </c>
      <c r="D29" s="2">
        <v>137404000</v>
      </c>
      <c r="E29" s="2" t="s">
        <v>3571</v>
      </c>
      <c r="G29" s="2" t="s">
        <v>3587</v>
      </c>
      <c r="H29" s="2">
        <v>2936116</v>
      </c>
    </row>
    <row r="30" spans="1:8">
      <c r="A30" s="2" t="s">
        <v>3608</v>
      </c>
      <c r="B30" s="2" t="s">
        <v>3608</v>
      </c>
      <c r="C30" s="2" t="s">
        <v>3614</v>
      </c>
      <c r="D30" s="2">
        <v>137404000</v>
      </c>
      <c r="E30" s="2" t="s">
        <v>3571</v>
      </c>
      <c r="G30" s="2" t="s">
        <v>3587</v>
      </c>
      <c r="H30" s="2">
        <v>2936116</v>
      </c>
    </row>
    <row r="31" spans="1:8">
      <c r="A31" s="2" t="s">
        <v>3615</v>
      </c>
      <c r="B31" s="2" t="s">
        <v>3615</v>
      </c>
      <c r="C31" s="2" t="s">
        <v>3616</v>
      </c>
      <c r="D31" s="2">
        <v>137405000</v>
      </c>
      <c r="E31" s="2" t="s">
        <v>3571</v>
      </c>
      <c r="G31" s="2" t="s">
        <v>3574</v>
      </c>
      <c r="H31" s="2">
        <v>122180</v>
      </c>
    </row>
    <row r="32" spans="1:8">
      <c r="A32" s="2" t="s">
        <v>3617</v>
      </c>
      <c r="B32" s="2" t="s">
        <v>3617</v>
      </c>
      <c r="C32" s="2" t="s">
        <v>3618</v>
      </c>
      <c r="D32" s="2">
        <v>137607000</v>
      </c>
      <c r="E32" s="2" t="s">
        <v>3571</v>
      </c>
      <c r="G32" s="2" t="s">
        <v>3574</v>
      </c>
      <c r="H32" s="2">
        <v>804915</v>
      </c>
    </row>
    <row r="33" spans="1:8">
      <c r="A33" s="2" t="s">
        <v>3617</v>
      </c>
      <c r="B33" s="2" t="s">
        <v>3617</v>
      </c>
      <c r="C33" s="2" t="s">
        <v>3619</v>
      </c>
      <c r="D33" s="2">
        <v>137607000</v>
      </c>
      <c r="E33" s="2" t="s">
        <v>3571</v>
      </c>
      <c r="G33" s="2" t="s">
        <v>3574</v>
      </c>
      <c r="H33" s="2">
        <v>804915</v>
      </c>
    </row>
    <row r="34" spans="1:8">
      <c r="A34" s="2" t="s">
        <v>3620</v>
      </c>
      <c r="B34" s="2" t="s">
        <v>3620</v>
      </c>
      <c r="C34" s="2" t="s">
        <v>3621</v>
      </c>
      <c r="D34" s="2">
        <v>137504000</v>
      </c>
      <c r="E34" s="2" t="s">
        <v>3571</v>
      </c>
      <c r="G34" s="2" t="s">
        <v>3574</v>
      </c>
      <c r="H34" s="2">
        <v>620422</v>
      </c>
    </row>
    <row r="35" spans="1:8">
      <c r="A35" s="2" t="s">
        <v>3620</v>
      </c>
      <c r="B35" s="2" t="s">
        <v>3620</v>
      </c>
      <c r="C35" s="2" t="s">
        <v>3622</v>
      </c>
      <c r="D35" s="2">
        <v>137504000</v>
      </c>
      <c r="E35" s="2" t="s">
        <v>3571</v>
      </c>
      <c r="G35" s="2" t="s">
        <v>3574</v>
      </c>
      <c r="H35" s="2">
        <v>620422</v>
      </c>
    </row>
    <row r="36" spans="2:5">
      <c r="B36" s="2" t="s">
        <v>20</v>
      </c>
      <c r="E36" s="2" t="s">
        <v>3623</v>
      </c>
    </row>
    <row r="37" spans="1:8">
      <c r="A37" s="2" t="s">
        <v>2346</v>
      </c>
      <c r="B37" s="2" t="s">
        <v>3624</v>
      </c>
      <c r="C37" s="2" t="s">
        <v>3625</v>
      </c>
      <c r="D37" s="2">
        <v>12805000</v>
      </c>
      <c r="E37" s="2" t="s">
        <v>3623</v>
      </c>
      <c r="F37" s="2" t="s">
        <v>2179</v>
      </c>
      <c r="G37" s="2" t="s">
        <v>3626</v>
      </c>
      <c r="H37" s="2">
        <v>55201</v>
      </c>
    </row>
    <row r="38" spans="1:8">
      <c r="A38" s="2" t="s">
        <v>2421</v>
      </c>
      <c r="B38" s="2" t="s">
        <v>3627</v>
      </c>
      <c r="C38" s="2" t="s">
        <v>3628</v>
      </c>
      <c r="D38" s="2">
        <v>12812000</v>
      </c>
      <c r="E38" s="2" t="s">
        <v>3623</v>
      </c>
      <c r="F38" s="2" t="s">
        <v>2179</v>
      </c>
      <c r="G38" s="2" t="s">
        <v>3629</v>
      </c>
      <c r="H38" s="2">
        <v>111125</v>
      </c>
    </row>
    <row r="39" spans="1:8">
      <c r="A39" s="2" t="s">
        <v>2490</v>
      </c>
      <c r="B39" s="2" t="s">
        <v>3630</v>
      </c>
      <c r="C39" s="2" t="s">
        <v>3628</v>
      </c>
      <c r="D39" s="2">
        <v>12801000</v>
      </c>
      <c r="E39" s="2" t="s">
        <v>3623</v>
      </c>
      <c r="F39" s="2" t="s">
        <v>2179</v>
      </c>
      <c r="G39" s="2" t="s">
        <v>3626</v>
      </c>
      <c r="H39" s="2">
        <v>1792</v>
      </c>
    </row>
    <row r="40" spans="1:8">
      <c r="A40" s="2" t="s">
        <v>2559</v>
      </c>
      <c r="B40" s="2" t="s">
        <v>3631</v>
      </c>
      <c r="C40" s="2" t="s">
        <v>3628</v>
      </c>
      <c r="D40" s="2">
        <v>12802000</v>
      </c>
      <c r="E40" s="2" t="s">
        <v>3623</v>
      </c>
      <c r="F40" s="2" t="s">
        <v>2179</v>
      </c>
      <c r="G40" s="2" t="s">
        <v>3629</v>
      </c>
      <c r="H40" s="2">
        <v>32215</v>
      </c>
    </row>
    <row r="41" spans="1:8">
      <c r="A41" s="2" t="s">
        <v>2626</v>
      </c>
      <c r="B41" s="2" t="s">
        <v>3632</v>
      </c>
      <c r="C41" s="2" t="s">
        <v>3625</v>
      </c>
      <c r="D41" s="2">
        <v>12803000</v>
      </c>
      <c r="E41" s="2" t="s">
        <v>3623</v>
      </c>
      <c r="F41" s="2" t="s">
        <v>2179</v>
      </c>
      <c r="G41" s="2" t="s">
        <v>3629</v>
      </c>
      <c r="H41" s="2">
        <v>31616</v>
      </c>
    </row>
    <row r="42" spans="1:8">
      <c r="A42" s="2" t="s">
        <v>2692</v>
      </c>
      <c r="B42" s="2" t="s">
        <v>3633</v>
      </c>
      <c r="C42" s="2" t="s">
        <v>3628</v>
      </c>
      <c r="D42" s="2">
        <v>12804000</v>
      </c>
      <c r="E42" s="2" t="s">
        <v>3623</v>
      </c>
      <c r="F42" s="2" t="s">
        <v>2179</v>
      </c>
      <c r="G42" s="2" t="s">
        <v>3634</v>
      </c>
      <c r="H42" s="2">
        <v>14672</v>
      </c>
    </row>
    <row r="43" spans="1:8">
      <c r="A43" s="2" t="s">
        <v>678</v>
      </c>
      <c r="B43" s="2" t="s">
        <v>3635</v>
      </c>
      <c r="C43" s="2" t="s">
        <v>3628</v>
      </c>
      <c r="D43" s="2">
        <v>12806000</v>
      </c>
      <c r="E43" s="2" t="s">
        <v>3623</v>
      </c>
      <c r="F43" s="2" t="s">
        <v>2179</v>
      </c>
      <c r="G43" s="2" t="s">
        <v>3626</v>
      </c>
      <c r="H43" s="2">
        <v>9777</v>
      </c>
    </row>
    <row r="44" spans="1:8">
      <c r="A44" s="2" t="s">
        <v>2814</v>
      </c>
      <c r="B44" s="2" t="s">
        <v>3636</v>
      </c>
      <c r="C44" s="2" t="s">
        <v>3628</v>
      </c>
      <c r="D44" s="2">
        <v>12807000</v>
      </c>
      <c r="E44" s="2" t="s">
        <v>3623</v>
      </c>
      <c r="F44" s="2" t="s">
        <v>2179</v>
      </c>
      <c r="G44" s="2" t="s">
        <v>3626</v>
      </c>
      <c r="H44" s="2">
        <v>1567</v>
      </c>
    </row>
    <row r="45" spans="1:8">
      <c r="A45" s="2" t="s">
        <v>2870</v>
      </c>
      <c r="B45" s="2" t="s">
        <v>3637</v>
      </c>
      <c r="C45" s="2" t="s">
        <v>3625</v>
      </c>
      <c r="D45" s="2">
        <v>12808000</v>
      </c>
      <c r="E45" s="2" t="s">
        <v>3623</v>
      </c>
      <c r="F45" s="2" t="s">
        <v>2179</v>
      </c>
      <c r="G45" s="2" t="s">
        <v>3634</v>
      </c>
      <c r="H45" s="2">
        <v>12184</v>
      </c>
    </row>
    <row r="46" spans="1:8">
      <c r="A46" s="2" t="s">
        <v>2923</v>
      </c>
      <c r="B46" s="2" t="s">
        <v>3638</v>
      </c>
      <c r="C46" s="2" t="s">
        <v>3625</v>
      </c>
      <c r="D46" s="2">
        <v>12809000</v>
      </c>
      <c r="E46" s="2" t="s">
        <v>3623</v>
      </c>
      <c r="F46" s="2" t="s">
        <v>2179</v>
      </c>
      <c r="G46" s="2" t="s">
        <v>3600</v>
      </c>
      <c r="H46" s="2">
        <v>38562</v>
      </c>
    </row>
    <row r="47" spans="1:8">
      <c r="A47" s="2" t="s">
        <v>2977</v>
      </c>
      <c r="B47" s="2" t="s">
        <v>3639</v>
      </c>
      <c r="C47" s="2" t="s">
        <v>3628</v>
      </c>
      <c r="D47" s="2">
        <v>12810000</v>
      </c>
      <c r="E47" s="2" t="s">
        <v>3623</v>
      </c>
      <c r="F47" s="2" t="s">
        <v>2179</v>
      </c>
      <c r="G47" s="2" t="s">
        <v>3626</v>
      </c>
      <c r="H47" s="2">
        <v>2947</v>
      </c>
    </row>
    <row r="48" spans="1:8">
      <c r="A48" s="2" t="s">
        <v>3025</v>
      </c>
      <c r="B48" s="2" t="s">
        <v>3640</v>
      </c>
      <c r="C48" s="2" t="s">
        <v>3625</v>
      </c>
      <c r="D48" s="2">
        <v>12811000</v>
      </c>
      <c r="E48" s="2" t="s">
        <v>3623</v>
      </c>
      <c r="F48" s="2" t="s">
        <v>2179</v>
      </c>
      <c r="G48" s="2" t="s">
        <v>3634</v>
      </c>
      <c r="H48" s="2">
        <v>19438</v>
      </c>
    </row>
    <row r="49" spans="1:8">
      <c r="A49" s="2" t="s">
        <v>3071</v>
      </c>
      <c r="B49" s="2" t="s">
        <v>3641</v>
      </c>
      <c r="C49" s="2" t="s">
        <v>3625</v>
      </c>
      <c r="D49" s="2">
        <v>12813000</v>
      </c>
      <c r="E49" s="2" t="s">
        <v>3623</v>
      </c>
      <c r="F49" s="2" t="s">
        <v>2179</v>
      </c>
      <c r="G49" s="2" t="s">
        <v>3634</v>
      </c>
      <c r="H49" s="2">
        <v>17777</v>
      </c>
    </row>
    <row r="50" spans="1:8">
      <c r="A50" s="2" t="s">
        <v>3111</v>
      </c>
      <c r="B50" s="2" t="s">
        <v>3642</v>
      </c>
      <c r="C50" s="2" t="s">
        <v>3625</v>
      </c>
      <c r="D50" s="2">
        <v>12814000</v>
      </c>
      <c r="E50" s="2" t="s">
        <v>3623</v>
      </c>
      <c r="F50" s="2" t="s">
        <v>2179</v>
      </c>
      <c r="G50" s="2" t="s">
        <v>3629</v>
      </c>
      <c r="H50" s="2">
        <v>9506</v>
      </c>
    </row>
    <row r="51" spans="1:8">
      <c r="A51" s="2" t="s">
        <v>3151</v>
      </c>
      <c r="B51" s="2" t="s">
        <v>3643</v>
      </c>
      <c r="C51" s="2" t="s">
        <v>3628</v>
      </c>
      <c r="D51" s="2">
        <v>12815000</v>
      </c>
      <c r="E51" s="2" t="s">
        <v>3623</v>
      </c>
      <c r="F51" s="2" t="s">
        <v>2179</v>
      </c>
      <c r="G51" s="2" t="s">
        <v>3634</v>
      </c>
      <c r="H51" s="2">
        <v>23770</v>
      </c>
    </row>
    <row r="52" spans="1:8">
      <c r="A52" s="2" t="s">
        <v>3189</v>
      </c>
      <c r="B52" s="2" t="s">
        <v>3644</v>
      </c>
      <c r="C52" s="2" t="s">
        <v>3625</v>
      </c>
      <c r="D52" s="2">
        <v>12816000</v>
      </c>
      <c r="E52" s="2" t="s">
        <v>3623</v>
      </c>
      <c r="F52" s="2" t="s">
        <v>2179</v>
      </c>
      <c r="G52" s="2" t="s">
        <v>3634</v>
      </c>
      <c r="H52" s="2">
        <v>24866</v>
      </c>
    </row>
    <row r="53" spans="1:8">
      <c r="A53" s="2" t="s">
        <v>3223</v>
      </c>
      <c r="B53" s="2" t="s">
        <v>3645</v>
      </c>
      <c r="C53" s="2" t="s">
        <v>3628</v>
      </c>
      <c r="D53" s="2">
        <v>12817000</v>
      </c>
      <c r="E53" s="2" t="s">
        <v>3623</v>
      </c>
      <c r="F53" s="2" t="s">
        <v>2179</v>
      </c>
      <c r="G53" s="2" t="s">
        <v>3629</v>
      </c>
      <c r="H53" s="2">
        <v>28980</v>
      </c>
    </row>
    <row r="54" spans="1:8">
      <c r="A54" s="2" t="s">
        <v>3252</v>
      </c>
      <c r="B54" s="2" t="s">
        <v>3646</v>
      </c>
      <c r="C54" s="2" t="s">
        <v>3628</v>
      </c>
      <c r="D54" s="2">
        <v>12818000</v>
      </c>
      <c r="E54" s="2" t="s">
        <v>3623</v>
      </c>
      <c r="F54" s="2" t="s">
        <v>2179</v>
      </c>
      <c r="G54" s="2" t="s">
        <v>3629</v>
      </c>
      <c r="H54" s="2">
        <v>21497</v>
      </c>
    </row>
    <row r="55" spans="1:8">
      <c r="A55" s="2" t="s">
        <v>3281</v>
      </c>
      <c r="B55" s="2" t="s">
        <v>3647</v>
      </c>
      <c r="C55" s="2" t="s">
        <v>3625</v>
      </c>
      <c r="D55" s="2">
        <v>12819000</v>
      </c>
      <c r="E55" s="2" t="s">
        <v>3623</v>
      </c>
      <c r="F55" s="2" t="s">
        <v>2179</v>
      </c>
      <c r="G55" s="2" t="s">
        <v>3629</v>
      </c>
      <c r="H55" s="2">
        <v>17300</v>
      </c>
    </row>
    <row r="56" spans="1:8">
      <c r="A56" s="2" t="s">
        <v>3306</v>
      </c>
      <c r="B56" s="2" t="s">
        <v>3648</v>
      </c>
      <c r="C56" s="2" t="s">
        <v>3625</v>
      </c>
      <c r="D56" s="2">
        <v>12820000</v>
      </c>
      <c r="E56" s="2" t="s">
        <v>3623</v>
      </c>
      <c r="F56" s="2" t="s">
        <v>2179</v>
      </c>
      <c r="G56" s="2" t="s">
        <v>3600</v>
      </c>
      <c r="H56" s="2">
        <v>36736</v>
      </c>
    </row>
    <row r="57" spans="1:8">
      <c r="A57" s="2" t="s">
        <v>3331</v>
      </c>
      <c r="B57" s="2" t="s">
        <v>3649</v>
      </c>
      <c r="C57" s="2" t="s">
        <v>3628</v>
      </c>
      <c r="D57" s="2">
        <v>12821000</v>
      </c>
      <c r="E57" s="2" t="s">
        <v>3623</v>
      </c>
      <c r="F57" s="2" t="s">
        <v>2179</v>
      </c>
      <c r="G57" s="2" t="s">
        <v>3634</v>
      </c>
      <c r="H57" s="2">
        <v>25212</v>
      </c>
    </row>
    <row r="58" spans="1:8">
      <c r="A58" s="2" t="s">
        <v>3356</v>
      </c>
      <c r="B58" s="2" t="s">
        <v>3650</v>
      </c>
      <c r="C58" s="2" t="s">
        <v>3625</v>
      </c>
      <c r="D58" s="2">
        <v>12822000</v>
      </c>
      <c r="E58" s="2" t="s">
        <v>3623</v>
      </c>
      <c r="F58" s="2" t="s">
        <v>2179</v>
      </c>
      <c r="G58" s="2" t="s">
        <v>3629</v>
      </c>
      <c r="H58" s="2">
        <v>24121</v>
      </c>
    </row>
    <row r="59" spans="1:8">
      <c r="A59" s="2" t="s">
        <v>3377</v>
      </c>
      <c r="B59" s="2" t="s">
        <v>3651</v>
      </c>
      <c r="C59" s="2" t="s">
        <v>3628</v>
      </c>
      <c r="D59" s="2">
        <v>12823000</v>
      </c>
      <c r="E59" s="2" t="s">
        <v>3623</v>
      </c>
      <c r="F59" s="2" t="s">
        <v>2179</v>
      </c>
      <c r="G59" s="2" t="s">
        <v>3574</v>
      </c>
      <c r="H59" s="2">
        <v>32220</v>
      </c>
    </row>
    <row r="60" spans="2:5">
      <c r="B60" s="2" t="s">
        <v>20</v>
      </c>
      <c r="E60" s="2" t="s">
        <v>3623</v>
      </c>
    </row>
    <row r="61" spans="1:8">
      <c r="A61" s="2" t="s">
        <v>2347</v>
      </c>
      <c r="B61" s="2" t="s">
        <v>3652</v>
      </c>
      <c r="C61" s="2" t="s">
        <v>3653</v>
      </c>
      <c r="D61" s="2">
        <v>12906000</v>
      </c>
      <c r="E61" s="2" t="s">
        <v>3623</v>
      </c>
      <c r="F61" s="2" t="s">
        <v>2194</v>
      </c>
      <c r="G61" s="2" t="s">
        <v>3634</v>
      </c>
      <c r="H61" s="2">
        <v>60623</v>
      </c>
    </row>
    <row r="62" spans="1:8">
      <c r="A62" s="2" t="s">
        <v>2422</v>
      </c>
      <c r="B62" s="2" t="s">
        <v>3654</v>
      </c>
      <c r="C62" s="2" t="s">
        <v>3655</v>
      </c>
      <c r="D62" s="2">
        <v>12934000</v>
      </c>
      <c r="E62" s="2" t="s">
        <v>3623</v>
      </c>
      <c r="F62" s="2" t="s">
        <v>2194</v>
      </c>
      <c r="G62" s="2" t="s">
        <v>3634</v>
      </c>
      <c r="H62" s="2">
        <v>53879</v>
      </c>
    </row>
    <row r="63" spans="1:8">
      <c r="A63" s="2" t="s">
        <v>2491</v>
      </c>
      <c r="B63" s="2" t="s">
        <v>3656</v>
      </c>
      <c r="C63" s="2" t="s">
        <v>3653</v>
      </c>
      <c r="D63" s="2">
        <v>12901000</v>
      </c>
      <c r="E63" s="2" t="s">
        <v>3623</v>
      </c>
      <c r="F63" s="2" t="s">
        <v>2194</v>
      </c>
      <c r="G63" s="2" t="s">
        <v>3634</v>
      </c>
      <c r="H63" s="2">
        <v>6695</v>
      </c>
    </row>
    <row r="64" spans="1:8">
      <c r="A64" s="2" t="s">
        <v>2560</v>
      </c>
      <c r="B64" s="2" t="s">
        <v>3657</v>
      </c>
      <c r="C64" s="2" t="s">
        <v>3653</v>
      </c>
      <c r="D64" s="2">
        <v>12902000</v>
      </c>
      <c r="E64" s="2" t="s">
        <v>3623</v>
      </c>
      <c r="F64" s="2" t="s">
        <v>2194</v>
      </c>
      <c r="G64" s="2" t="s">
        <v>3634</v>
      </c>
      <c r="H64" s="2">
        <v>7748</v>
      </c>
    </row>
    <row r="65" spans="1:8">
      <c r="A65" s="2" t="s">
        <v>2627</v>
      </c>
      <c r="B65" s="2" t="s">
        <v>3658</v>
      </c>
      <c r="C65" s="2" t="s">
        <v>3655</v>
      </c>
      <c r="D65" s="2">
        <v>12903000</v>
      </c>
      <c r="E65" s="2" t="s">
        <v>3623</v>
      </c>
      <c r="F65" s="2" t="s">
        <v>2194</v>
      </c>
      <c r="G65" s="2" t="s">
        <v>3629</v>
      </c>
      <c r="H65" s="2">
        <v>35731</v>
      </c>
    </row>
    <row r="66" spans="1:8">
      <c r="A66" s="2" t="s">
        <v>678</v>
      </c>
      <c r="B66" s="2" t="s">
        <v>3659</v>
      </c>
      <c r="C66" s="2" t="s">
        <v>3653</v>
      </c>
      <c r="D66" s="2">
        <v>12904000</v>
      </c>
      <c r="E66" s="2" t="s">
        <v>3623</v>
      </c>
      <c r="F66" s="2" t="s">
        <v>2194</v>
      </c>
      <c r="G66" s="2" t="s">
        <v>3634</v>
      </c>
      <c r="H66" s="2">
        <v>12224</v>
      </c>
    </row>
    <row r="67" spans="1:8">
      <c r="A67" s="2" t="s">
        <v>2757</v>
      </c>
      <c r="B67" s="2" t="s">
        <v>3660</v>
      </c>
      <c r="C67" s="2" t="s">
        <v>3655</v>
      </c>
      <c r="D67" s="2">
        <v>12905000</v>
      </c>
      <c r="E67" s="2" t="s">
        <v>3623</v>
      </c>
      <c r="F67" s="2" t="s">
        <v>2194</v>
      </c>
      <c r="G67" s="2" t="s">
        <v>3574</v>
      </c>
      <c r="H67" s="2">
        <v>37501</v>
      </c>
    </row>
    <row r="68" spans="1:8">
      <c r="A68" s="2" t="s">
        <v>2815</v>
      </c>
      <c r="B68" s="2" t="s">
        <v>3661</v>
      </c>
      <c r="C68" s="2" t="s">
        <v>3655</v>
      </c>
      <c r="D68" s="2">
        <v>12907000</v>
      </c>
      <c r="E68" s="2" t="s">
        <v>3623</v>
      </c>
      <c r="F68" s="2" t="s">
        <v>2194</v>
      </c>
      <c r="G68" s="2" t="s">
        <v>3634</v>
      </c>
      <c r="H68" s="2">
        <v>19861</v>
      </c>
    </row>
    <row r="69" spans="1:8">
      <c r="A69" s="2" t="s">
        <v>2871</v>
      </c>
      <c r="B69" s="2" t="s">
        <v>3662</v>
      </c>
      <c r="C69" s="2" t="s">
        <v>3653</v>
      </c>
      <c r="D69" s="2">
        <v>12908000</v>
      </c>
      <c r="E69" s="2" t="s">
        <v>3623</v>
      </c>
      <c r="F69" s="2" t="s">
        <v>2194</v>
      </c>
      <c r="G69" s="2" t="s">
        <v>3634</v>
      </c>
      <c r="H69" s="2">
        <v>17211</v>
      </c>
    </row>
    <row r="70" spans="1:8">
      <c r="A70" s="2" t="s">
        <v>2924</v>
      </c>
      <c r="B70" s="2" t="s">
        <v>3663</v>
      </c>
      <c r="C70" s="2" t="s">
        <v>3653</v>
      </c>
      <c r="D70" s="2">
        <v>12909000</v>
      </c>
      <c r="E70" s="2" t="s">
        <v>3623</v>
      </c>
      <c r="F70" s="2" t="s">
        <v>2194</v>
      </c>
      <c r="G70" s="2" t="s">
        <v>3634</v>
      </c>
      <c r="H70" s="2">
        <v>10748</v>
      </c>
    </row>
    <row r="71" spans="1:8">
      <c r="A71" s="2" t="s">
        <v>2978</v>
      </c>
      <c r="B71" s="2" t="s">
        <v>3664</v>
      </c>
      <c r="C71" s="2" t="s">
        <v>3653</v>
      </c>
      <c r="D71" s="2">
        <v>12910000</v>
      </c>
      <c r="E71" s="2" t="s">
        <v>3623</v>
      </c>
      <c r="F71" s="2" t="s">
        <v>2194</v>
      </c>
      <c r="G71" s="2" t="s">
        <v>3626</v>
      </c>
      <c r="H71" s="2">
        <v>4875</v>
      </c>
    </row>
    <row r="72" spans="1:8">
      <c r="A72" s="2" t="s">
        <v>3026</v>
      </c>
      <c r="B72" s="2" t="s">
        <v>3665</v>
      </c>
      <c r="C72" s="2" t="s">
        <v>3653</v>
      </c>
      <c r="D72" s="2">
        <v>12911000</v>
      </c>
      <c r="E72" s="2" t="s">
        <v>3623</v>
      </c>
      <c r="F72" s="2" t="s">
        <v>2194</v>
      </c>
      <c r="G72" s="2" t="s">
        <v>3626</v>
      </c>
      <c r="H72" s="2">
        <v>4647</v>
      </c>
    </row>
    <row r="73" spans="1:8">
      <c r="A73" s="2" t="s">
        <v>3072</v>
      </c>
      <c r="B73" s="2" t="s">
        <v>3666</v>
      </c>
      <c r="C73" s="2" t="s">
        <v>3655</v>
      </c>
      <c r="D73" s="2">
        <v>12912000</v>
      </c>
      <c r="E73" s="2" t="s">
        <v>3623</v>
      </c>
      <c r="F73" s="2" t="s">
        <v>2194</v>
      </c>
      <c r="G73" s="2" t="s">
        <v>3629</v>
      </c>
      <c r="H73" s="2">
        <v>30792</v>
      </c>
    </row>
    <row r="74" spans="1:8">
      <c r="A74" s="2" t="s">
        <v>3112</v>
      </c>
      <c r="B74" s="2" t="s">
        <v>3667</v>
      </c>
      <c r="C74" s="2" t="s">
        <v>3653</v>
      </c>
      <c r="D74" s="2">
        <v>12913000</v>
      </c>
      <c r="E74" s="2" t="s">
        <v>3623</v>
      </c>
      <c r="F74" s="2" t="s">
        <v>2194</v>
      </c>
      <c r="G74" s="2" t="s">
        <v>3626</v>
      </c>
      <c r="H74" s="2">
        <v>5259</v>
      </c>
    </row>
    <row r="75" spans="1:8">
      <c r="A75" s="2" t="s">
        <v>3152</v>
      </c>
      <c r="B75" s="2" t="s">
        <v>3668</v>
      </c>
      <c r="C75" s="2" t="s">
        <v>3653</v>
      </c>
      <c r="D75" s="2">
        <v>12914000</v>
      </c>
      <c r="E75" s="2" t="s">
        <v>3623</v>
      </c>
      <c r="F75" s="2" t="s">
        <v>2194</v>
      </c>
      <c r="G75" s="2" t="s">
        <v>3600</v>
      </c>
      <c r="H75" s="2">
        <v>44006</v>
      </c>
    </row>
    <row r="76" spans="1:8">
      <c r="A76" s="2" t="s">
        <v>3190</v>
      </c>
      <c r="B76" s="2" t="s">
        <v>3669</v>
      </c>
      <c r="C76" s="2" t="s">
        <v>3653</v>
      </c>
      <c r="D76" s="2">
        <v>12915000</v>
      </c>
      <c r="E76" s="2" t="s">
        <v>3623</v>
      </c>
      <c r="F76" s="2" t="s">
        <v>2194</v>
      </c>
      <c r="G76" s="2" t="s">
        <v>3634</v>
      </c>
      <c r="H76" s="2">
        <v>8573</v>
      </c>
    </row>
    <row r="77" spans="1:8">
      <c r="A77" s="2" t="s">
        <v>3224</v>
      </c>
      <c r="B77" s="2" t="s">
        <v>3670</v>
      </c>
      <c r="C77" s="2" t="s">
        <v>3653</v>
      </c>
      <c r="D77" s="2">
        <v>12916000</v>
      </c>
      <c r="E77" s="2" t="s">
        <v>3623</v>
      </c>
      <c r="F77" s="2" t="s">
        <v>2194</v>
      </c>
      <c r="G77" s="2" t="s">
        <v>3634</v>
      </c>
      <c r="H77" s="2">
        <v>11288</v>
      </c>
    </row>
    <row r="78" spans="1:8">
      <c r="A78" s="2" t="s">
        <v>3253</v>
      </c>
      <c r="B78" s="2" t="s">
        <v>3671</v>
      </c>
      <c r="C78" s="2" t="s">
        <v>3653</v>
      </c>
      <c r="D78" s="2">
        <v>12917000</v>
      </c>
      <c r="E78" s="2" t="s">
        <v>3623</v>
      </c>
      <c r="F78" s="2" t="s">
        <v>2194</v>
      </c>
      <c r="G78" s="2" t="s">
        <v>3634</v>
      </c>
      <c r="H78" s="2">
        <v>7407</v>
      </c>
    </row>
    <row r="79" spans="1:8">
      <c r="A79" s="2" t="s">
        <v>3282</v>
      </c>
      <c r="B79" s="2" t="s">
        <v>3672</v>
      </c>
      <c r="C79" s="2" t="s">
        <v>3653</v>
      </c>
      <c r="D79" s="2">
        <v>12918000</v>
      </c>
      <c r="E79" s="2" t="s">
        <v>3623</v>
      </c>
      <c r="F79" s="2" t="s">
        <v>2194</v>
      </c>
      <c r="G79" s="2" t="s">
        <v>3626</v>
      </c>
      <c r="H79" s="2">
        <v>8349</v>
      </c>
    </row>
    <row r="80" spans="1:8">
      <c r="A80" s="2" t="s">
        <v>3284</v>
      </c>
      <c r="B80" s="2" t="s">
        <v>3673</v>
      </c>
      <c r="C80" s="2" t="s">
        <v>3655</v>
      </c>
      <c r="D80" s="2">
        <v>12919000</v>
      </c>
      <c r="E80" s="2" t="s">
        <v>3623</v>
      </c>
      <c r="F80" s="2" t="s">
        <v>2194</v>
      </c>
      <c r="G80" s="2" t="s">
        <v>3626</v>
      </c>
      <c r="H80" s="2">
        <v>7787</v>
      </c>
    </row>
    <row r="81" spans="1:8">
      <c r="A81" s="2" t="s">
        <v>3332</v>
      </c>
      <c r="B81" s="2" t="s">
        <v>3674</v>
      </c>
      <c r="C81" s="2" t="s">
        <v>3655</v>
      </c>
      <c r="D81" s="2">
        <v>12920000</v>
      </c>
      <c r="E81" s="2" t="s">
        <v>3623</v>
      </c>
      <c r="F81" s="2" t="s">
        <v>2194</v>
      </c>
      <c r="G81" s="2" t="s">
        <v>3629</v>
      </c>
      <c r="H81" s="2">
        <v>26411</v>
      </c>
    </row>
    <row r="82" spans="1:8">
      <c r="A82" s="2" t="s">
        <v>2888</v>
      </c>
      <c r="B82" s="2" t="s">
        <v>3675</v>
      </c>
      <c r="C82" s="2" t="s">
        <v>3655</v>
      </c>
      <c r="D82" s="2">
        <v>12921000</v>
      </c>
      <c r="E82" s="2" t="s">
        <v>3623</v>
      </c>
      <c r="F82" s="2" t="s">
        <v>2194</v>
      </c>
      <c r="G82" s="2" t="s">
        <v>3626</v>
      </c>
      <c r="H82" s="2">
        <v>12758</v>
      </c>
    </row>
    <row r="83" spans="1:8">
      <c r="A83" s="2" t="s">
        <v>3378</v>
      </c>
      <c r="B83" s="2" t="s">
        <v>3676</v>
      </c>
      <c r="C83" s="2" t="s">
        <v>3653</v>
      </c>
      <c r="D83" s="2">
        <v>12922000</v>
      </c>
      <c r="E83" s="2" t="s">
        <v>3623</v>
      </c>
      <c r="F83" s="2" t="s">
        <v>2194</v>
      </c>
      <c r="G83" s="2" t="s">
        <v>3634</v>
      </c>
      <c r="H83" s="2">
        <v>15340</v>
      </c>
    </row>
    <row r="84" spans="1:8">
      <c r="A84" s="2" t="s">
        <v>3295</v>
      </c>
      <c r="B84" s="2" t="s">
        <v>3677</v>
      </c>
      <c r="C84" s="2" t="s">
        <v>3655</v>
      </c>
      <c r="D84" s="2">
        <v>12923000</v>
      </c>
      <c r="E84" s="2" t="s">
        <v>3623</v>
      </c>
      <c r="F84" s="2" t="s">
        <v>2194</v>
      </c>
      <c r="G84" s="2" t="s">
        <v>3626</v>
      </c>
      <c r="H84" s="2">
        <v>13945</v>
      </c>
    </row>
    <row r="85" spans="1:8">
      <c r="A85" s="2" t="s">
        <v>2643</v>
      </c>
      <c r="B85" s="2" t="s">
        <v>3678</v>
      </c>
      <c r="C85" s="2" t="s">
        <v>3653</v>
      </c>
      <c r="D85" s="2">
        <v>12924000</v>
      </c>
      <c r="E85" s="2" t="s">
        <v>3623</v>
      </c>
      <c r="F85" s="2" t="s">
        <v>2194</v>
      </c>
      <c r="G85" s="2" t="s">
        <v>3574</v>
      </c>
      <c r="H85" s="2">
        <v>39868</v>
      </c>
    </row>
    <row r="86" spans="1:8">
      <c r="A86" s="2" t="s">
        <v>3427</v>
      </c>
      <c r="B86" s="2" t="s">
        <v>3679</v>
      </c>
      <c r="C86" s="2" t="s">
        <v>3653</v>
      </c>
      <c r="D86" s="2">
        <v>12925000</v>
      </c>
      <c r="E86" s="2" t="s">
        <v>3623</v>
      </c>
      <c r="F86" s="2" t="s">
        <v>2194</v>
      </c>
      <c r="G86" s="2" t="s">
        <v>3629</v>
      </c>
      <c r="H86" s="2">
        <v>25402</v>
      </c>
    </row>
    <row r="87" spans="1:8">
      <c r="A87" s="2" t="s">
        <v>624</v>
      </c>
      <c r="B87" s="2" t="s">
        <v>3680</v>
      </c>
      <c r="C87" s="2" t="s">
        <v>3653</v>
      </c>
      <c r="D87" s="2">
        <v>12926000</v>
      </c>
      <c r="E87" s="2" t="s">
        <v>3623</v>
      </c>
      <c r="F87" s="2" t="s">
        <v>2194</v>
      </c>
      <c r="G87" s="2" t="s">
        <v>3629</v>
      </c>
      <c r="H87" s="2">
        <v>30321</v>
      </c>
    </row>
    <row r="88" spans="1:8">
      <c r="A88" s="2" t="s">
        <v>2970</v>
      </c>
      <c r="B88" s="2" t="s">
        <v>3681</v>
      </c>
      <c r="C88" s="2" t="s">
        <v>3653</v>
      </c>
      <c r="D88" s="2">
        <v>12927000</v>
      </c>
      <c r="E88" s="2" t="s">
        <v>3623</v>
      </c>
      <c r="F88" s="2" t="s">
        <v>2194</v>
      </c>
      <c r="G88" s="2" t="s">
        <v>3634</v>
      </c>
      <c r="H88" s="2">
        <v>18759</v>
      </c>
    </row>
    <row r="89" spans="1:8">
      <c r="A89" s="2" t="s">
        <v>3458</v>
      </c>
      <c r="B89" s="2" t="s">
        <v>3682</v>
      </c>
      <c r="C89" s="2" t="s">
        <v>3655</v>
      </c>
      <c r="D89" s="2">
        <v>12928000</v>
      </c>
      <c r="E89" s="2" t="s">
        <v>3623</v>
      </c>
      <c r="F89" s="2" t="s">
        <v>2194</v>
      </c>
      <c r="G89" s="2" t="s">
        <v>3629</v>
      </c>
      <c r="H89" s="2">
        <v>27975</v>
      </c>
    </row>
    <row r="90" spans="1:8">
      <c r="A90" s="2" t="s">
        <v>3467</v>
      </c>
      <c r="B90" s="2" t="s">
        <v>3683</v>
      </c>
      <c r="C90" s="2" t="s">
        <v>3653</v>
      </c>
      <c r="D90" s="2">
        <v>12929000</v>
      </c>
      <c r="E90" s="2" t="s">
        <v>3623</v>
      </c>
      <c r="F90" s="2" t="s">
        <v>2194</v>
      </c>
      <c r="G90" s="2" t="s">
        <v>3626</v>
      </c>
      <c r="H90" s="2">
        <v>2737</v>
      </c>
    </row>
    <row r="91" spans="1:8">
      <c r="A91" s="2" t="s">
        <v>3479</v>
      </c>
      <c r="B91" s="2" t="s">
        <v>3684</v>
      </c>
      <c r="C91" s="2" t="s">
        <v>3655</v>
      </c>
      <c r="D91" s="2">
        <v>12930000</v>
      </c>
      <c r="E91" s="2" t="s">
        <v>3623</v>
      </c>
      <c r="F91" s="2" t="s">
        <v>2194</v>
      </c>
      <c r="G91" s="2" t="s">
        <v>3629</v>
      </c>
      <c r="H91" s="2">
        <v>25640</v>
      </c>
    </row>
    <row r="92" spans="1:8">
      <c r="A92" s="2" t="s">
        <v>3487</v>
      </c>
      <c r="B92" s="2" t="s">
        <v>3685</v>
      </c>
      <c r="C92" s="2" t="s">
        <v>3653</v>
      </c>
      <c r="D92" s="2">
        <v>12931000</v>
      </c>
      <c r="E92" s="2" t="s">
        <v>3623</v>
      </c>
      <c r="F92" s="2" t="s">
        <v>2194</v>
      </c>
      <c r="G92" s="2" t="s">
        <v>3626</v>
      </c>
      <c r="H92" s="2">
        <v>4585</v>
      </c>
    </row>
    <row r="93" spans="1:8">
      <c r="A93" s="2" t="s">
        <v>3496</v>
      </c>
      <c r="B93" s="2" t="s">
        <v>3686</v>
      </c>
      <c r="C93" s="2" t="s">
        <v>3653</v>
      </c>
      <c r="D93" s="2">
        <v>12932000</v>
      </c>
      <c r="E93" s="2" t="s">
        <v>3623</v>
      </c>
      <c r="F93" s="2" t="s">
        <v>2194</v>
      </c>
      <c r="G93" s="2" t="s">
        <v>3634</v>
      </c>
      <c r="H93" s="2">
        <v>11446</v>
      </c>
    </row>
    <row r="94" spans="1:8">
      <c r="A94" s="2" t="s">
        <v>3504</v>
      </c>
      <c r="B94" s="2" t="s">
        <v>3687</v>
      </c>
      <c r="C94" s="2" t="s">
        <v>3653</v>
      </c>
      <c r="D94" s="2">
        <v>12933000</v>
      </c>
      <c r="E94" s="2" t="s">
        <v>3623</v>
      </c>
      <c r="F94" s="2" t="s">
        <v>2194</v>
      </c>
      <c r="G94" s="2" t="s">
        <v>3600</v>
      </c>
      <c r="H94" s="2">
        <v>39277</v>
      </c>
    </row>
    <row r="95" spans="2:5">
      <c r="B95" s="2" t="s">
        <v>20</v>
      </c>
      <c r="E95" s="2" t="s">
        <v>3623</v>
      </c>
    </row>
    <row r="96" spans="1:8">
      <c r="A96" s="2" t="s">
        <v>2348</v>
      </c>
      <c r="B96" s="2" t="s">
        <v>3688</v>
      </c>
      <c r="C96" s="2" t="s">
        <v>3689</v>
      </c>
      <c r="D96" s="2">
        <v>13314000</v>
      </c>
      <c r="E96" s="2" t="s">
        <v>3623</v>
      </c>
      <c r="F96" s="2" t="s">
        <v>2208</v>
      </c>
      <c r="G96" s="2" t="s">
        <v>3629</v>
      </c>
      <c r="H96" s="2">
        <v>121812</v>
      </c>
    </row>
    <row r="97" spans="1:8">
      <c r="A97" s="2" t="s">
        <v>2423</v>
      </c>
      <c r="B97" s="2" t="s">
        <v>3690</v>
      </c>
      <c r="C97" s="2" t="s">
        <v>3691</v>
      </c>
      <c r="D97" s="2">
        <v>13301000</v>
      </c>
      <c r="E97" s="2" t="s">
        <v>3623</v>
      </c>
      <c r="F97" s="2" t="s">
        <v>2208</v>
      </c>
      <c r="G97" s="2" t="s">
        <v>3574</v>
      </c>
      <c r="H97" s="2">
        <v>63692</v>
      </c>
    </row>
    <row r="98" spans="1:8">
      <c r="A98" s="2" t="s">
        <v>2492</v>
      </c>
      <c r="B98" s="2" t="s">
        <v>3692</v>
      </c>
      <c r="C98" s="2" t="s">
        <v>3691</v>
      </c>
      <c r="D98" s="2">
        <v>13302000</v>
      </c>
      <c r="E98" s="2" t="s">
        <v>3623</v>
      </c>
      <c r="F98" s="2" t="s">
        <v>2208</v>
      </c>
      <c r="G98" s="2" t="s">
        <v>3600</v>
      </c>
      <c r="H98" s="2">
        <v>47458</v>
      </c>
    </row>
    <row r="99" spans="1:8">
      <c r="A99" s="2" t="s">
        <v>2561</v>
      </c>
      <c r="B99" s="2" t="s">
        <v>3693</v>
      </c>
      <c r="C99" s="2" t="s">
        <v>3689</v>
      </c>
      <c r="D99" s="2">
        <v>13303000</v>
      </c>
      <c r="E99" s="2" t="s">
        <v>3623</v>
      </c>
      <c r="F99" s="2" t="s">
        <v>2208</v>
      </c>
      <c r="G99" s="2" t="s">
        <v>3574</v>
      </c>
      <c r="H99" s="2">
        <v>42078</v>
      </c>
    </row>
    <row r="100" spans="1:8">
      <c r="A100" s="2" t="s">
        <v>2628</v>
      </c>
      <c r="B100" s="2" t="s">
        <v>3694</v>
      </c>
      <c r="C100" s="2" t="s">
        <v>3691</v>
      </c>
      <c r="D100" s="2">
        <v>13304000</v>
      </c>
      <c r="E100" s="2" t="s">
        <v>3623</v>
      </c>
      <c r="F100" s="2" t="s">
        <v>2208</v>
      </c>
      <c r="G100" s="2" t="s">
        <v>3626</v>
      </c>
      <c r="H100" s="2">
        <v>13456</v>
      </c>
    </row>
    <row r="101" spans="1:8">
      <c r="A101" s="2" t="s">
        <v>2693</v>
      </c>
      <c r="B101" s="2" t="s">
        <v>3695</v>
      </c>
      <c r="C101" s="2" t="s">
        <v>3689</v>
      </c>
      <c r="D101" s="2">
        <v>13305000</v>
      </c>
      <c r="E101" s="2" t="s">
        <v>3623</v>
      </c>
      <c r="F101" s="2" t="s">
        <v>2208</v>
      </c>
      <c r="G101" s="2" t="s">
        <v>3574</v>
      </c>
      <c r="H101" s="2">
        <v>39188</v>
      </c>
    </row>
    <row r="102" spans="1:8">
      <c r="A102" s="2" t="s">
        <v>2758</v>
      </c>
      <c r="B102" s="2" t="s">
        <v>3696</v>
      </c>
      <c r="C102" s="2" t="s">
        <v>3689</v>
      </c>
      <c r="D102" s="2">
        <v>13306000</v>
      </c>
      <c r="E102" s="2" t="s">
        <v>3623</v>
      </c>
      <c r="F102" s="2" t="s">
        <v>2208</v>
      </c>
      <c r="G102" s="2" t="s">
        <v>3629</v>
      </c>
      <c r="H102" s="2">
        <v>35947</v>
      </c>
    </row>
    <row r="103" spans="1:8">
      <c r="A103" s="2" t="s">
        <v>2816</v>
      </c>
      <c r="B103" s="2" t="s">
        <v>3697</v>
      </c>
      <c r="C103" s="2" t="s">
        <v>3691</v>
      </c>
      <c r="D103" s="2">
        <v>13307000</v>
      </c>
      <c r="E103" s="2" t="s">
        <v>3623</v>
      </c>
      <c r="F103" s="2" t="s">
        <v>2208</v>
      </c>
      <c r="G103" s="2" t="s">
        <v>3574</v>
      </c>
      <c r="H103" s="2">
        <v>75032</v>
      </c>
    </row>
    <row r="104" spans="1:8">
      <c r="A104" s="2" t="s">
        <v>678</v>
      </c>
      <c r="B104" s="2" t="s">
        <v>3698</v>
      </c>
      <c r="C104" s="2" t="s">
        <v>3691</v>
      </c>
      <c r="D104" s="2">
        <v>13308000</v>
      </c>
      <c r="E104" s="2" t="s">
        <v>3623</v>
      </c>
      <c r="F104" s="2" t="s">
        <v>2208</v>
      </c>
      <c r="G104" s="2" t="s">
        <v>3626</v>
      </c>
      <c r="H104" s="2">
        <v>8067</v>
      </c>
    </row>
    <row r="105" spans="1:8">
      <c r="A105" s="2" t="s">
        <v>2925</v>
      </c>
      <c r="B105" s="2" t="s">
        <v>3699</v>
      </c>
      <c r="C105" s="2" t="s">
        <v>3691</v>
      </c>
      <c r="D105" s="2">
        <v>13309000</v>
      </c>
      <c r="E105" s="2" t="s">
        <v>3623</v>
      </c>
      <c r="F105" s="2" t="s">
        <v>2208</v>
      </c>
      <c r="G105" s="2" t="s">
        <v>3634</v>
      </c>
      <c r="H105" s="2">
        <v>22039</v>
      </c>
    </row>
    <row r="106" spans="1:8">
      <c r="A106" s="2" t="s">
        <v>679</v>
      </c>
      <c r="B106" s="2" t="s">
        <v>3700</v>
      </c>
      <c r="C106" s="2" t="s">
        <v>3689</v>
      </c>
      <c r="D106" s="2">
        <v>13310000</v>
      </c>
      <c r="E106" s="2" t="s">
        <v>3623</v>
      </c>
      <c r="F106" s="2" t="s">
        <v>2208</v>
      </c>
      <c r="G106" s="2" t="s">
        <v>3629</v>
      </c>
      <c r="H106" s="2">
        <v>35802</v>
      </c>
    </row>
    <row r="107" spans="1:8">
      <c r="A107" s="2" t="s">
        <v>664</v>
      </c>
      <c r="B107" s="2" t="s">
        <v>3701</v>
      </c>
      <c r="C107" s="2" t="s">
        <v>3691</v>
      </c>
      <c r="D107" s="2">
        <v>13311000</v>
      </c>
      <c r="E107" s="2" t="s">
        <v>3623</v>
      </c>
      <c r="F107" s="2" t="s">
        <v>2208</v>
      </c>
      <c r="G107" s="2" t="s">
        <v>3574</v>
      </c>
      <c r="H107" s="2">
        <v>54221</v>
      </c>
    </row>
    <row r="108" spans="1:8">
      <c r="A108" s="2" t="s">
        <v>3073</v>
      </c>
      <c r="B108" s="2" t="s">
        <v>3702</v>
      </c>
      <c r="C108" s="2" t="s">
        <v>3691</v>
      </c>
      <c r="D108" s="2">
        <v>13312000</v>
      </c>
      <c r="E108" s="2" t="s">
        <v>3623</v>
      </c>
      <c r="F108" s="2" t="s">
        <v>2208</v>
      </c>
      <c r="G108" s="2" t="s">
        <v>3626</v>
      </c>
      <c r="H108" s="2">
        <v>19690</v>
      </c>
    </row>
    <row r="109" spans="1:8">
      <c r="A109" s="2" t="s">
        <v>2807</v>
      </c>
      <c r="B109" s="2" t="s">
        <v>3703</v>
      </c>
      <c r="C109" s="2" t="s">
        <v>3691</v>
      </c>
      <c r="D109" s="2">
        <v>13313000</v>
      </c>
      <c r="E109" s="2" t="s">
        <v>3623</v>
      </c>
      <c r="F109" s="2" t="s">
        <v>2208</v>
      </c>
      <c r="G109" s="2" t="s">
        <v>3574</v>
      </c>
      <c r="H109" s="2">
        <v>55458</v>
      </c>
    </row>
    <row r="110" spans="1:8">
      <c r="A110" s="2" t="s">
        <v>3153</v>
      </c>
      <c r="B110" s="2" t="s">
        <v>3704</v>
      </c>
      <c r="C110" s="2" t="s">
        <v>3689</v>
      </c>
      <c r="D110" s="2">
        <v>13315000</v>
      </c>
      <c r="E110" s="2" t="s">
        <v>3623</v>
      </c>
      <c r="F110" s="2" t="s">
        <v>2208</v>
      </c>
      <c r="G110" s="2" t="s">
        <v>3634</v>
      </c>
      <c r="H110" s="2">
        <v>18172</v>
      </c>
    </row>
    <row r="111" spans="1:8">
      <c r="A111" s="2" t="s">
        <v>2661</v>
      </c>
      <c r="B111" s="2" t="s">
        <v>3705</v>
      </c>
      <c r="C111" s="2" t="s">
        <v>3689</v>
      </c>
      <c r="D111" s="2">
        <v>13316000</v>
      </c>
      <c r="E111" s="2" t="s">
        <v>3623</v>
      </c>
      <c r="F111" s="2" t="s">
        <v>2208</v>
      </c>
      <c r="G111" s="2" t="s">
        <v>3600</v>
      </c>
      <c r="H111" s="2">
        <v>37188</v>
      </c>
    </row>
    <row r="112" spans="1:8">
      <c r="A112" s="2" t="s">
        <v>621</v>
      </c>
      <c r="B112" s="2" t="s">
        <v>3706</v>
      </c>
      <c r="C112" s="2" t="s">
        <v>3691</v>
      </c>
      <c r="D112" s="2">
        <v>13317000</v>
      </c>
      <c r="E112" s="2" t="s">
        <v>3623</v>
      </c>
      <c r="F112" s="2" t="s">
        <v>2208</v>
      </c>
      <c r="G112" s="2" t="s">
        <v>3634</v>
      </c>
      <c r="H112" s="2">
        <v>39092</v>
      </c>
    </row>
    <row r="113" spans="1:8">
      <c r="A113" s="2" t="s">
        <v>3254</v>
      </c>
      <c r="B113" s="2" t="s">
        <v>3707</v>
      </c>
      <c r="C113" s="2" t="s">
        <v>3689</v>
      </c>
      <c r="D113" s="2">
        <v>13318000</v>
      </c>
      <c r="E113" s="2" t="s">
        <v>3623</v>
      </c>
      <c r="F113" s="2" t="s">
        <v>2208</v>
      </c>
      <c r="G113" s="2" t="s">
        <v>3634</v>
      </c>
      <c r="H113" s="2">
        <v>12476</v>
      </c>
    </row>
    <row r="114" spans="1:8">
      <c r="A114" s="2" t="s">
        <v>3283</v>
      </c>
      <c r="B114" s="2" t="s">
        <v>3708</v>
      </c>
      <c r="C114" s="2" t="s">
        <v>3689</v>
      </c>
      <c r="D114" s="2">
        <v>13319000</v>
      </c>
      <c r="E114" s="2" t="s">
        <v>3623</v>
      </c>
      <c r="F114" s="2" t="s">
        <v>2208</v>
      </c>
      <c r="G114" s="2" t="s">
        <v>3634</v>
      </c>
      <c r="H114" s="2">
        <v>17056</v>
      </c>
    </row>
    <row r="115" spans="1:8">
      <c r="A115" s="2" t="s">
        <v>3307</v>
      </c>
      <c r="B115" s="2" t="s">
        <v>3709</v>
      </c>
      <c r="C115" s="2" t="s">
        <v>3691</v>
      </c>
      <c r="D115" s="2">
        <v>13320000</v>
      </c>
      <c r="E115" s="2" t="s">
        <v>3623</v>
      </c>
      <c r="F115" s="2" t="s">
        <v>2208</v>
      </c>
      <c r="G115" s="2" t="s">
        <v>3634</v>
      </c>
      <c r="H115" s="2">
        <v>28729</v>
      </c>
    </row>
    <row r="116" spans="2:5">
      <c r="B116" s="2" t="s">
        <v>20</v>
      </c>
      <c r="E116" s="2" t="s">
        <v>3623</v>
      </c>
    </row>
    <row r="117" spans="1:8">
      <c r="A117" s="2" t="s">
        <v>2349</v>
      </c>
      <c r="B117" s="2" t="s">
        <v>3710</v>
      </c>
      <c r="C117" s="2" t="s">
        <v>3711</v>
      </c>
      <c r="D117" s="2">
        <v>15503000</v>
      </c>
      <c r="E117" s="2" t="s">
        <v>3623</v>
      </c>
      <c r="F117" s="2" t="s">
        <v>2222</v>
      </c>
      <c r="G117" s="2" t="s">
        <v>3634</v>
      </c>
      <c r="H117" s="2">
        <v>89708</v>
      </c>
    </row>
    <row r="118" spans="1:8">
      <c r="A118" s="2" t="s">
        <v>2424</v>
      </c>
      <c r="B118" s="2" t="s">
        <v>3712</v>
      </c>
      <c r="C118" s="2" t="s">
        <v>3713</v>
      </c>
      <c r="D118" s="2">
        <v>15518000</v>
      </c>
      <c r="E118" s="2" t="s">
        <v>3623</v>
      </c>
      <c r="F118" s="2" t="s">
        <v>2222</v>
      </c>
      <c r="G118" s="2" t="s">
        <v>3600</v>
      </c>
      <c r="H118" s="2">
        <v>171271</v>
      </c>
    </row>
    <row r="119" spans="1:8">
      <c r="A119" s="2" t="s">
        <v>2493</v>
      </c>
      <c r="B119" s="2" t="s">
        <v>3714</v>
      </c>
      <c r="C119" s="2" t="s">
        <v>3715</v>
      </c>
      <c r="D119" s="2">
        <v>15532000</v>
      </c>
      <c r="E119" s="2" t="s">
        <v>3623</v>
      </c>
      <c r="F119" s="2" t="s">
        <v>2222</v>
      </c>
      <c r="G119" s="2" t="s">
        <v>3629</v>
      </c>
      <c r="H119" s="2">
        <v>188571</v>
      </c>
    </row>
    <row r="120" spans="1:8">
      <c r="A120" s="2" t="s">
        <v>2562</v>
      </c>
      <c r="B120" s="2" t="s">
        <v>3716</v>
      </c>
      <c r="C120" s="2" t="s">
        <v>3717</v>
      </c>
      <c r="D120" s="2">
        <v>15546000</v>
      </c>
      <c r="E120" s="2" t="s">
        <v>3623</v>
      </c>
      <c r="F120" s="2" t="s">
        <v>2222</v>
      </c>
      <c r="G120" s="2" t="s">
        <v>3600</v>
      </c>
      <c r="H120" s="2">
        <v>132940</v>
      </c>
    </row>
    <row r="121" spans="1:8">
      <c r="A121" s="2" t="s">
        <v>2629</v>
      </c>
      <c r="B121" s="2" t="s">
        <v>3718</v>
      </c>
      <c r="C121" s="2" t="s">
        <v>3711</v>
      </c>
      <c r="D121" s="2">
        <v>15501000</v>
      </c>
      <c r="E121" s="2" t="s">
        <v>3623</v>
      </c>
      <c r="F121" s="2" t="s">
        <v>2222</v>
      </c>
      <c r="G121" s="2" t="s">
        <v>3629</v>
      </c>
      <c r="H121" s="2">
        <v>28052</v>
      </c>
    </row>
    <row r="122" spans="1:8">
      <c r="A122" s="2" t="s">
        <v>2694</v>
      </c>
      <c r="B122" s="2" t="s">
        <v>3719</v>
      </c>
      <c r="C122" s="2" t="s">
        <v>3720</v>
      </c>
      <c r="D122" s="2">
        <v>15502000</v>
      </c>
      <c r="E122" s="2" t="s">
        <v>3623</v>
      </c>
      <c r="F122" s="2" t="s">
        <v>2222</v>
      </c>
      <c r="G122" s="2" t="s">
        <v>3629</v>
      </c>
      <c r="H122" s="2">
        <v>41463</v>
      </c>
    </row>
    <row r="123" spans="1:8">
      <c r="A123" s="2" t="s">
        <v>619</v>
      </c>
      <c r="B123" s="2" t="s">
        <v>3721</v>
      </c>
      <c r="C123" s="2" t="s">
        <v>3717</v>
      </c>
      <c r="D123" s="2">
        <v>15504000</v>
      </c>
      <c r="E123" s="2" t="s">
        <v>3623</v>
      </c>
      <c r="F123" s="2" t="s">
        <v>2222</v>
      </c>
      <c r="G123" s="2" t="s">
        <v>3629</v>
      </c>
      <c r="H123" s="2">
        <v>43402</v>
      </c>
    </row>
    <row r="124" spans="1:8">
      <c r="A124" s="2" t="s">
        <v>2593</v>
      </c>
      <c r="B124" s="2" t="s">
        <v>3722</v>
      </c>
      <c r="C124" s="2" t="s">
        <v>3711</v>
      </c>
      <c r="D124" s="2">
        <v>15505000</v>
      </c>
      <c r="E124" s="2" t="s">
        <v>3623</v>
      </c>
      <c r="F124" s="2" t="s">
        <v>2222</v>
      </c>
      <c r="G124" s="2" t="s">
        <v>3629</v>
      </c>
      <c r="H124" s="2">
        <v>39504</v>
      </c>
    </row>
    <row r="125" spans="1:8">
      <c r="A125" s="2" t="s">
        <v>2872</v>
      </c>
      <c r="B125" s="2" t="s">
        <v>3723</v>
      </c>
      <c r="C125" s="2" t="s">
        <v>3724</v>
      </c>
      <c r="D125" s="2">
        <v>15506000</v>
      </c>
      <c r="E125" s="2" t="s">
        <v>3623</v>
      </c>
      <c r="F125" s="2" t="s">
        <v>2222</v>
      </c>
      <c r="G125" s="2" t="s">
        <v>3600</v>
      </c>
      <c r="H125" s="2">
        <v>57355</v>
      </c>
    </row>
    <row r="126" spans="1:8">
      <c r="A126" s="2" t="s">
        <v>2926</v>
      </c>
      <c r="B126" s="2" t="s">
        <v>3725</v>
      </c>
      <c r="C126" s="2" t="s">
        <v>3724</v>
      </c>
      <c r="D126" s="2">
        <v>15507000</v>
      </c>
      <c r="E126" s="2" t="s">
        <v>3623</v>
      </c>
      <c r="F126" s="2" t="s">
        <v>2222</v>
      </c>
      <c r="G126" s="2" t="s">
        <v>3634</v>
      </c>
      <c r="H126" s="2">
        <v>31106</v>
      </c>
    </row>
    <row r="127" spans="1:8">
      <c r="A127" s="2" t="s">
        <v>2979</v>
      </c>
      <c r="B127" s="2" t="s">
        <v>3726</v>
      </c>
      <c r="C127" s="2" t="s">
        <v>3711</v>
      </c>
      <c r="D127" s="2">
        <v>15508000</v>
      </c>
      <c r="E127" s="2" t="s">
        <v>3623</v>
      </c>
      <c r="F127" s="2" t="s">
        <v>2222</v>
      </c>
      <c r="G127" s="2" t="s">
        <v>3600</v>
      </c>
      <c r="H127" s="2">
        <v>50306</v>
      </c>
    </row>
    <row r="128" spans="1:8">
      <c r="A128" s="2" t="s">
        <v>3027</v>
      </c>
      <c r="B128" s="2" t="s">
        <v>3727</v>
      </c>
      <c r="C128" s="2" t="s">
        <v>3720</v>
      </c>
      <c r="D128" s="2">
        <v>15509000</v>
      </c>
      <c r="E128" s="2" t="s">
        <v>3623</v>
      </c>
      <c r="F128" s="2" t="s">
        <v>2222</v>
      </c>
      <c r="G128" s="2" t="s">
        <v>3634</v>
      </c>
      <c r="H128" s="2">
        <v>32959</v>
      </c>
    </row>
    <row r="129" spans="1:8">
      <c r="A129" s="2" t="s">
        <v>3074</v>
      </c>
      <c r="B129" s="2" t="s">
        <v>3728</v>
      </c>
      <c r="C129" s="2" t="s">
        <v>3717</v>
      </c>
      <c r="D129" s="2">
        <v>15510000</v>
      </c>
      <c r="E129" s="2" t="s">
        <v>3623</v>
      </c>
      <c r="F129" s="2" t="s">
        <v>2222</v>
      </c>
      <c r="G129" s="2" t="s">
        <v>3634</v>
      </c>
      <c r="H129" s="2">
        <v>32307</v>
      </c>
    </row>
    <row r="130" spans="1:8">
      <c r="A130" s="2" t="s">
        <v>3113</v>
      </c>
      <c r="B130" s="2" t="s">
        <v>3729</v>
      </c>
      <c r="C130" s="2" t="s">
        <v>3715</v>
      </c>
      <c r="D130" s="2">
        <v>15511000</v>
      </c>
      <c r="E130" s="2" t="s">
        <v>3623</v>
      </c>
      <c r="F130" s="2" t="s">
        <v>2222</v>
      </c>
      <c r="G130" s="2" t="s">
        <v>3574</v>
      </c>
      <c r="H130" s="2">
        <v>118205</v>
      </c>
    </row>
    <row r="131" spans="1:8">
      <c r="A131" s="2" t="s">
        <v>3154</v>
      </c>
      <c r="B131" s="2" t="s">
        <v>3730</v>
      </c>
      <c r="C131" s="2" t="s">
        <v>3717</v>
      </c>
      <c r="D131" s="2">
        <v>15512000</v>
      </c>
      <c r="E131" s="2" t="s">
        <v>3623</v>
      </c>
      <c r="F131" s="2" t="s">
        <v>2222</v>
      </c>
      <c r="G131" s="2" t="s">
        <v>3574</v>
      </c>
      <c r="H131" s="2">
        <v>54555</v>
      </c>
    </row>
    <row r="132" spans="1:8">
      <c r="A132" s="2" t="s">
        <v>3191</v>
      </c>
      <c r="B132" s="2" t="s">
        <v>3731</v>
      </c>
      <c r="C132" s="2" t="s">
        <v>3720</v>
      </c>
      <c r="D132" s="2">
        <v>15513000</v>
      </c>
      <c r="E132" s="2" t="s">
        <v>3623</v>
      </c>
      <c r="F132" s="2" t="s">
        <v>2222</v>
      </c>
      <c r="G132" s="2" t="s">
        <v>3574</v>
      </c>
      <c r="H132" s="2">
        <v>83052</v>
      </c>
    </row>
    <row r="133" spans="1:8">
      <c r="A133" s="2" t="s">
        <v>3225</v>
      </c>
      <c r="B133" s="2" t="s">
        <v>3732</v>
      </c>
      <c r="C133" s="2" t="s">
        <v>3711</v>
      </c>
      <c r="D133" s="2">
        <v>15514000</v>
      </c>
      <c r="E133" s="2" t="s">
        <v>3623</v>
      </c>
      <c r="F133" s="2" t="s">
        <v>2222</v>
      </c>
      <c r="G133" s="2" t="s">
        <v>3574</v>
      </c>
      <c r="H133" s="2">
        <v>82084</v>
      </c>
    </row>
    <row r="134" spans="1:8">
      <c r="A134" s="2" t="s">
        <v>3255</v>
      </c>
      <c r="B134" s="2" t="s">
        <v>3733</v>
      </c>
      <c r="C134" s="2" t="s">
        <v>3720</v>
      </c>
      <c r="D134" s="2">
        <v>15515000</v>
      </c>
      <c r="E134" s="2" t="s">
        <v>3623</v>
      </c>
      <c r="F134" s="2" t="s">
        <v>2222</v>
      </c>
      <c r="G134" s="2" t="s">
        <v>3600</v>
      </c>
      <c r="H134" s="2">
        <v>67348</v>
      </c>
    </row>
    <row r="135" spans="1:8">
      <c r="A135" s="2" t="s">
        <v>678</v>
      </c>
      <c r="B135" s="2" t="s">
        <v>3734</v>
      </c>
      <c r="C135" s="2" t="s">
        <v>3711</v>
      </c>
      <c r="D135" s="2">
        <v>15516000</v>
      </c>
      <c r="E135" s="2" t="s">
        <v>3623</v>
      </c>
      <c r="F135" s="2" t="s">
        <v>2222</v>
      </c>
      <c r="G135" s="2" t="s">
        <v>3634</v>
      </c>
      <c r="H135" s="2">
        <v>21637</v>
      </c>
    </row>
    <row r="136" spans="1:8">
      <c r="A136" s="2" t="s">
        <v>3308</v>
      </c>
      <c r="B136" s="2" t="s">
        <v>3735</v>
      </c>
      <c r="C136" s="2" t="s">
        <v>3715</v>
      </c>
      <c r="D136" s="2">
        <v>15517000</v>
      </c>
      <c r="E136" s="2" t="s">
        <v>3623</v>
      </c>
      <c r="F136" s="2" t="s">
        <v>2222</v>
      </c>
      <c r="G136" s="2" t="s">
        <v>3574</v>
      </c>
      <c r="H136" s="2">
        <v>95154</v>
      </c>
    </row>
    <row r="137" spans="1:8">
      <c r="A137" s="2" t="s">
        <v>3333</v>
      </c>
      <c r="B137" s="2" t="s">
        <v>3736</v>
      </c>
      <c r="C137" s="2" t="s">
        <v>3711</v>
      </c>
      <c r="D137" s="2">
        <v>15519000</v>
      </c>
      <c r="E137" s="2" t="s">
        <v>3623</v>
      </c>
      <c r="F137" s="2" t="s">
        <v>2222</v>
      </c>
      <c r="G137" s="2" t="s">
        <v>3629</v>
      </c>
      <c r="H137" s="2">
        <v>29110</v>
      </c>
    </row>
    <row r="138" spans="1:8">
      <c r="A138" s="2" t="s">
        <v>3199</v>
      </c>
      <c r="B138" s="2" t="s">
        <v>3737</v>
      </c>
      <c r="C138" s="2" t="s">
        <v>3711</v>
      </c>
      <c r="D138" s="2">
        <v>15520000</v>
      </c>
      <c r="E138" s="2" t="s">
        <v>3623</v>
      </c>
      <c r="F138" s="2" t="s">
        <v>2222</v>
      </c>
      <c r="G138" s="2" t="s">
        <v>3629</v>
      </c>
      <c r="H138" s="2">
        <v>24584</v>
      </c>
    </row>
    <row r="139" spans="1:8">
      <c r="A139" s="2" t="s">
        <v>3379</v>
      </c>
      <c r="B139" s="2" t="s">
        <v>3738</v>
      </c>
      <c r="C139" s="2" t="s">
        <v>3720</v>
      </c>
      <c r="D139" s="2">
        <v>15521000</v>
      </c>
      <c r="E139" s="2" t="s">
        <v>3623</v>
      </c>
      <c r="F139" s="2" t="s">
        <v>2222</v>
      </c>
      <c r="G139" s="2" t="s">
        <v>3634</v>
      </c>
      <c r="H139" s="2">
        <v>23201</v>
      </c>
    </row>
    <row r="140" spans="1:8">
      <c r="A140" s="2" t="s">
        <v>3399</v>
      </c>
      <c r="B140" s="2" t="s">
        <v>3739</v>
      </c>
      <c r="C140" s="2" t="s">
        <v>3720</v>
      </c>
      <c r="D140" s="2">
        <v>15522000</v>
      </c>
      <c r="E140" s="2" t="s">
        <v>3623</v>
      </c>
      <c r="F140" s="2" t="s">
        <v>2222</v>
      </c>
      <c r="G140" s="2" t="s">
        <v>3574</v>
      </c>
      <c r="H140" s="2">
        <v>103278</v>
      </c>
    </row>
    <row r="141" spans="1:8">
      <c r="A141" s="2" t="s">
        <v>3227</v>
      </c>
      <c r="B141" s="2" t="s">
        <v>3740</v>
      </c>
      <c r="C141" s="2" t="s">
        <v>3711</v>
      </c>
      <c r="D141" s="2">
        <v>15523000</v>
      </c>
      <c r="E141" s="2" t="s">
        <v>3623</v>
      </c>
      <c r="F141" s="2" t="s">
        <v>2222</v>
      </c>
      <c r="G141" s="2" t="s">
        <v>3629</v>
      </c>
      <c r="H141" s="2">
        <v>24765</v>
      </c>
    </row>
    <row r="142" spans="1:8">
      <c r="A142" s="2" t="s">
        <v>3428</v>
      </c>
      <c r="B142" s="2" t="s">
        <v>3741</v>
      </c>
      <c r="C142" s="2" t="s">
        <v>3715</v>
      </c>
      <c r="D142" s="2">
        <v>15524000</v>
      </c>
      <c r="E142" s="2" t="s">
        <v>3623</v>
      </c>
      <c r="F142" s="2" t="s">
        <v>2222</v>
      </c>
      <c r="G142" s="2" t="s">
        <v>3574</v>
      </c>
      <c r="H142" s="2">
        <v>130275</v>
      </c>
    </row>
    <row r="143" spans="1:8">
      <c r="A143" s="2" t="s">
        <v>3439</v>
      </c>
      <c r="B143" s="2" t="s">
        <v>3742</v>
      </c>
      <c r="C143" s="2" t="s">
        <v>3713</v>
      </c>
      <c r="D143" s="2">
        <v>15525000</v>
      </c>
      <c r="E143" s="2" t="s">
        <v>3623</v>
      </c>
      <c r="F143" s="2" t="s">
        <v>2222</v>
      </c>
      <c r="G143" s="2" t="s">
        <v>3574</v>
      </c>
      <c r="H143" s="2">
        <v>69497</v>
      </c>
    </row>
    <row r="144" spans="1:8">
      <c r="A144" s="2" t="s">
        <v>3450</v>
      </c>
      <c r="B144" s="2" t="s">
        <v>3743</v>
      </c>
      <c r="C144" s="2" t="s">
        <v>3713</v>
      </c>
      <c r="D144" s="2">
        <v>15526000</v>
      </c>
      <c r="E144" s="2" t="s">
        <v>3623</v>
      </c>
      <c r="F144" s="2" t="s">
        <v>2222</v>
      </c>
      <c r="G144" s="2" t="s">
        <v>3574</v>
      </c>
      <c r="H144" s="2">
        <v>106331</v>
      </c>
    </row>
    <row r="145" spans="1:8">
      <c r="A145" s="2" t="s">
        <v>3459</v>
      </c>
      <c r="B145" s="2" t="s">
        <v>3744</v>
      </c>
      <c r="C145" s="2" t="s">
        <v>3720</v>
      </c>
      <c r="D145" s="2">
        <v>15527000</v>
      </c>
      <c r="E145" s="2" t="s">
        <v>3623</v>
      </c>
      <c r="F145" s="2" t="s">
        <v>2222</v>
      </c>
      <c r="G145" s="2" t="s">
        <v>3574</v>
      </c>
      <c r="H145" s="2">
        <v>73241</v>
      </c>
    </row>
    <row r="146" spans="1:8">
      <c r="A146" s="2" t="s">
        <v>3468</v>
      </c>
      <c r="B146" s="2" t="s">
        <v>3745</v>
      </c>
      <c r="C146" s="2" t="s">
        <v>3715</v>
      </c>
      <c r="D146" s="2">
        <v>15528000</v>
      </c>
      <c r="E146" s="2" t="s">
        <v>3623</v>
      </c>
      <c r="F146" s="2" t="s">
        <v>2222</v>
      </c>
      <c r="G146" s="2" t="s">
        <v>3629</v>
      </c>
      <c r="H146" s="2">
        <v>37059</v>
      </c>
    </row>
    <row r="147" spans="1:8">
      <c r="A147" s="2" t="s">
        <v>3480</v>
      </c>
      <c r="B147" s="2" t="s">
        <v>3746</v>
      </c>
      <c r="C147" s="2" t="s">
        <v>3724</v>
      </c>
      <c r="D147" s="2">
        <v>15529000</v>
      </c>
      <c r="E147" s="2" t="s">
        <v>3623</v>
      </c>
      <c r="F147" s="2" t="s">
        <v>2222</v>
      </c>
      <c r="G147" s="2" t="s">
        <v>3634</v>
      </c>
      <c r="H147" s="2">
        <v>24299</v>
      </c>
    </row>
    <row r="148" spans="1:8">
      <c r="A148" s="2" t="s">
        <v>3488</v>
      </c>
      <c r="B148" s="2" t="s">
        <v>3747</v>
      </c>
      <c r="C148" s="2" t="s">
        <v>3717</v>
      </c>
      <c r="D148" s="2">
        <v>15530000</v>
      </c>
      <c r="E148" s="2" t="s">
        <v>3623</v>
      </c>
      <c r="F148" s="2" t="s">
        <v>2222</v>
      </c>
      <c r="G148" s="2" t="s">
        <v>3574</v>
      </c>
      <c r="H148" s="2">
        <v>69555</v>
      </c>
    </row>
    <row r="149" spans="1:8">
      <c r="A149" s="2" t="s">
        <v>3497</v>
      </c>
      <c r="B149" s="2" t="s">
        <v>3748</v>
      </c>
      <c r="C149" s="2" t="s">
        <v>3724</v>
      </c>
      <c r="D149" s="2">
        <v>15531000</v>
      </c>
      <c r="E149" s="2" t="s">
        <v>3623</v>
      </c>
      <c r="F149" s="2" t="s">
        <v>2222</v>
      </c>
      <c r="G149" s="2" t="s">
        <v>3574</v>
      </c>
      <c r="H149" s="2">
        <v>63081</v>
      </c>
    </row>
    <row r="150" spans="1:8">
      <c r="A150" s="2" t="s">
        <v>3505</v>
      </c>
      <c r="B150" s="2" t="s">
        <v>3749</v>
      </c>
      <c r="C150" s="2" t="s">
        <v>3713</v>
      </c>
      <c r="D150" s="2">
        <v>15533000</v>
      </c>
      <c r="E150" s="2" t="s">
        <v>3623</v>
      </c>
      <c r="F150" s="2" t="s">
        <v>2222</v>
      </c>
      <c r="G150" s="2" t="s">
        <v>3574</v>
      </c>
      <c r="H150" s="2">
        <v>83025</v>
      </c>
    </row>
    <row r="151" spans="1:8">
      <c r="A151" s="2" t="s">
        <v>3290</v>
      </c>
      <c r="B151" s="2" t="s">
        <v>3750</v>
      </c>
      <c r="C151" s="2" t="s">
        <v>3713</v>
      </c>
      <c r="D151" s="2">
        <v>15534000</v>
      </c>
      <c r="E151" s="2" t="s">
        <v>3623</v>
      </c>
      <c r="F151" s="2" t="s">
        <v>2222</v>
      </c>
      <c r="G151" s="2" t="s">
        <v>3629</v>
      </c>
      <c r="H151" s="2">
        <v>40848</v>
      </c>
    </row>
    <row r="152" spans="1:8">
      <c r="A152" s="2" t="s">
        <v>684</v>
      </c>
      <c r="B152" s="2" t="s">
        <v>3751</v>
      </c>
      <c r="C152" s="2" t="s">
        <v>3724</v>
      </c>
      <c r="D152" s="2">
        <v>15535000</v>
      </c>
      <c r="E152" s="2" t="s">
        <v>3623</v>
      </c>
      <c r="F152" s="2" t="s">
        <v>2222</v>
      </c>
      <c r="G152" s="2" t="s">
        <v>3574</v>
      </c>
      <c r="H152" s="2">
        <v>52939</v>
      </c>
    </row>
    <row r="153" spans="1:8">
      <c r="A153" s="2" t="s">
        <v>3306</v>
      </c>
      <c r="B153" s="2" t="s">
        <v>3752</v>
      </c>
      <c r="C153" s="2" t="s">
        <v>3724</v>
      </c>
      <c r="D153" s="2">
        <v>15536000</v>
      </c>
      <c r="E153" s="2" t="s">
        <v>3623</v>
      </c>
      <c r="F153" s="2" t="s">
        <v>2222</v>
      </c>
      <c r="G153" s="2" t="s">
        <v>3574</v>
      </c>
      <c r="H153" s="2">
        <v>35574</v>
      </c>
    </row>
    <row r="154" spans="1:8">
      <c r="A154" s="2" t="s">
        <v>3376</v>
      </c>
      <c r="B154" s="2" t="s">
        <v>3753</v>
      </c>
      <c r="C154" s="2" t="s">
        <v>3724</v>
      </c>
      <c r="D154" s="2">
        <v>15537000</v>
      </c>
      <c r="E154" s="2" t="s">
        <v>3623</v>
      </c>
      <c r="F154" s="2" t="s">
        <v>2222</v>
      </c>
      <c r="G154" s="2" t="s">
        <v>3629</v>
      </c>
      <c r="H154" s="2">
        <v>32945</v>
      </c>
    </row>
    <row r="155" spans="1:8">
      <c r="A155" s="2" t="s">
        <v>3525</v>
      </c>
      <c r="B155" s="2" t="s">
        <v>3754</v>
      </c>
      <c r="C155" s="2" t="s">
        <v>3715</v>
      </c>
      <c r="D155" s="2">
        <v>15538000</v>
      </c>
      <c r="E155" s="2" t="s">
        <v>3623</v>
      </c>
      <c r="F155" s="2" t="s">
        <v>2222</v>
      </c>
      <c r="G155" s="2" t="s">
        <v>3574</v>
      </c>
      <c r="H155" s="2">
        <v>82012</v>
      </c>
    </row>
    <row r="156" spans="1:8">
      <c r="A156" s="2" t="s">
        <v>624</v>
      </c>
      <c r="B156" s="2" t="s">
        <v>3755</v>
      </c>
      <c r="C156" s="2" t="s">
        <v>3724</v>
      </c>
      <c r="D156" s="2">
        <v>15539000</v>
      </c>
      <c r="E156" s="2" t="s">
        <v>3623</v>
      </c>
      <c r="F156" s="2" t="s">
        <v>2222</v>
      </c>
      <c r="G156" s="2" t="s">
        <v>3634</v>
      </c>
      <c r="H156" s="2">
        <v>33038</v>
      </c>
    </row>
    <row r="157" spans="1:8">
      <c r="A157" s="2" t="s">
        <v>621</v>
      </c>
      <c r="B157" s="2" t="s">
        <v>3756</v>
      </c>
      <c r="C157" s="2" t="s">
        <v>3717</v>
      </c>
      <c r="D157" s="2">
        <v>15540000</v>
      </c>
      <c r="E157" s="2" t="s">
        <v>3623</v>
      </c>
      <c r="F157" s="2" t="s">
        <v>2222</v>
      </c>
      <c r="G157" s="2" t="s">
        <v>3626</v>
      </c>
      <c r="H157" s="2">
        <v>15022</v>
      </c>
    </row>
    <row r="158" spans="1:8">
      <c r="A158" s="2" t="s">
        <v>3279</v>
      </c>
      <c r="B158" s="2" t="s">
        <v>3757</v>
      </c>
      <c r="C158" s="2" t="s">
        <v>3717</v>
      </c>
      <c r="D158" s="2">
        <v>15541000</v>
      </c>
      <c r="E158" s="2" t="s">
        <v>3623</v>
      </c>
      <c r="F158" s="2" t="s">
        <v>2222</v>
      </c>
      <c r="G158" s="2" t="s">
        <v>3629</v>
      </c>
      <c r="H158" s="2">
        <v>47518</v>
      </c>
    </row>
    <row r="159" spans="1:8">
      <c r="A159" s="2" t="s">
        <v>3542</v>
      </c>
      <c r="B159" s="2" t="s">
        <v>3758</v>
      </c>
      <c r="C159" s="2" t="s">
        <v>3711</v>
      </c>
      <c r="D159" s="2">
        <v>15542000</v>
      </c>
      <c r="E159" s="2" t="s">
        <v>3623</v>
      </c>
      <c r="F159" s="2" t="s">
        <v>2222</v>
      </c>
      <c r="G159" s="2" t="s">
        <v>3574</v>
      </c>
      <c r="H159" s="2">
        <v>34149</v>
      </c>
    </row>
    <row r="160" spans="1:8">
      <c r="A160" s="2" t="s">
        <v>3546</v>
      </c>
      <c r="B160" s="2" t="s">
        <v>3759</v>
      </c>
      <c r="C160" s="2" t="s">
        <v>3724</v>
      </c>
      <c r="D160" s="2">
        <v>15543000</v>
      </c>
      <c r="E160" s="2" t="s">
        <v>3623</v>
      </c>
      <c r="F160" s="2" t="s">
        <v>2222</v>
      </c>
      <c r="G160" s="2" t="s">
        <v>3629</v>
      </c>
      <c r="H160" s="2">
        <v>43149</v>
      </c>
    </row>
    <row r="161" spans="1:8">
      <c r="A161" s="2" t="s">
        <v>3549</v>
      </c>
      <c r="B161" s="2" t="s">
        <v>3760</v>
      </c>
      <c r="C161" s="2" t="s">
        <v>3724</v>
      </c>
      <c r="D161" s="2">
        <v>15544000</v>
      </c>
      <c r="E161" s="2" t="s">
        <v>3623</v>
      </c>
      <c r="F161" s="2" t="s">
        <v>2222</v>
      </c>
      <c r="G161" s="2" t="s">
        <v>3574</v>
      </c>
      <c r="H161" s="2">
        <v>73252</v>
      </c>
    </row>
    <row r="162" spans="1:8">
      <c r="A162" s="2" t="s">
        <v>3551</v>
      </c>
      <c r="B162" s="2" t="s">
        <v>3761</v>
      </c>
      <c r="C162" s="2" t="s">
        <v>3720</v>
      </c>
      <c r="D162" s="2">
        <v>15545000</v>
      </c>
      <c r="E162" s="2" t="s">
        <v>3623</v>
      </c>
      <c r="F162" s="2" t="s">
        <v>2222</v>
      </c>
      <c r="G162" s="2" t="s">
        <v>3629</v>
      </c>
      <c r="H162" s="2">
        <v>50170</v>
      </c>
    </row>
    <row r="163" spans="1:8">
      <c r="A163" s="2" t="s">
        <v>3553</v>
      </c>
      <c r="B163" s="2" t="s">
        <v>3762</v>
      </c>
      <c r="C163" s="2" t="s">
        <v>3717</v>
      </c>
      <c r="D163" s="2">
        <v>15547000</v>
      </c>
      <c r="E163" s="2" t="s">
        <v>3623</v>
      </c>
      <c r="F163" s="2" t="s">
        <v>2222</v>
      </c>
      <c r="G163" s="2" t="s">
        <v>3574</v>
      </c>
      <c r="H163" s="2">
        <v>62333</v>
      </c>
    </row>
    <row r="164" spans="1:8">
      <c r="A164" s="2" t="s">
        <v>3556</v>
      </c>
      <c r="B164" s="2" t="s">
        <v>3763</v>
      </c>
      <c r="C164" s="2" t="s">
        <v>3717</v>
      </c>
      <c r="D164" s="2">
        <v>15548000</v>
      </c>
      <c r="E164" s="2" t="s">
        <v>3623</v>
      </c>
      <c r="F164" s="2" t="s">
        <v>2222</v>
      </c>
      <c r="G164" s="2" t="s">
        <v>3634</v>
      </c>
      <c r="H164" s="2">
        <v>31497</v>
      </c>
    </row>
    <row r="165" spans="2:5">
      <c r="B165" s="2" t="s">
        <v>20</v>
      </c>
      <c r="E165" s="2" t="s">
        <v>3764</v>
      </c>
    </row>
    <row r="166" spans="1:8">
      <c r="A166" s="2" t="s">
        <v>2350</v>
      </c>
      <c r="B166" s="2" t="s">
        <v>3765</v>
      </c>
      <c r="C166" s="2" t="s">
        <v>3766</v>
      </c>
      <c r="D166" s="2">
        <v>20901000</v>
      </c>
      <c r="E166" s="2" t="s">
        <v>3764</v>
      </c>
      <c r="F166" s="2" t="s">
        <v>2180</v>
      </c>
      <c r="G166" s="2" t="s">
        <v>3626</v>
      </c>
      <c r="H166" s="2">
        <v>8579</v>
      </c>
    </row>
    <row r="167" spans="1:8">
      <c r="A167" s="2" t="s">
        <v>2425</v>
      </c>
      <c r="B167" s="2" t="s">
        <v>3767</v>
      </c>
      <c r="C167" s="2" t="s">
        <v>3766</v>
      </c>
      <c r="D167" s="2">
        <v>20902000</v>
      </c>
      <c r="E167" s="2" t="s">
        <v>3764</v>
      </c>
      <c r="F167" s="2" t="s">
        <v>2180</v>
      </c>
      <c r="G167" s="2" t="s">
        <v>3626</v>
      </c>
      <c r="H167" s="2">
        <v>2867</v>
      </c>
    </row>
    <row r="168" spans="1:8">
      <c r="A168" s="2" t="s">
        <v>2494</v>
      </c>
      <c r="B168" s="2" t="s">
        <v>3768</v>
      </c>
      <c r="C168" s="2" t="s">
        <v>3766</v>
      </c>
      <c r="D168" s="2">
        <v>20903000</v>
      </c>
      <c r="E168" s="2" t="s">
        <v>3764</v>
      </c>
      <c r="F168" s="2" t="s">
        <v>2180</v>
      </c>
      <c r="G168" s="2" t="s">
        <v>3769</v>
      </c>
      <c r="H168" s="2">
        <v>1327</v>
      </c>
    </row>
    <row r="169" spans="1:8">
      <c r="A169" s="2" t="s">
        <v>2563</v>
      </c>
      <c r="B169" s="2" t="s">
        <v>3770</v>
      </c>
      <c r="C169" s="2" t="s">
        <v>3766</v>
      </c>
      <c r="D169" s="2">
        <v>20904000</v>
      </c>
      <c r="E169" s="2" t="s">
        <v>3764</v>
      </c>
      <c r="F169" s="2" t="s">
        <v>2180</v>
      </c>
      <c r="G169" s="2" t="s">
        <v>3769</v>
      </c>
      <c r="H169" s="2">
        <v>1555</v>
      </c>
    </row>
    <row r="170" spans="1:8">
      <c r="A170" s="2" t="s">
        <v>2630</v>
      </c>
      <c r="B170" s="2" t="s">
        <v>3771</v>
      </c>
      <c r="C170" s="2" t="s">
        <v>3766</v>
      </c>
      <c r="D170" s="2">
        <v>20905000</v>
      </c>
      <c r="E170" s="2" t="s">
        <v>3764</v>
      </c>
      <c r="F170" s="2" t="s">
        <v>2180</v>
      </c>
      <c r="G170" s="2" t="s">
        <v>3769</v>
      </c>
      <c r="H170" s="2">
        <v>1621</v>
      </c>
    </row>
    <row r="171" spans="1:8">
      <c r="A171" s="2" t="s">
        <v>2695</v>
      </c>
      <c r="B171" s="2" t="s">
        <v>3772</v>
      </c>
      <c r="C171" s="2" t="s">
        <v>3766</v>
      </c>
      <c r="D171" s="2">
        <v>20906000</v>
      </c>
      <c r="E171" s="2" t="s">
        <v>3764</v>
      </c>
      <c r="F171" s="2" t="s">
        <v>2180</v>
      </c>
      <c r="G171" s="2" t="s">
        <v>3769</v>
      </c>
      <c r="H171" s="2">
        <v>1297</v>
      </c>
    </row>
    <row r="172" spans="2:5">
      <c r="B172" s="2" t="s">
        <v>20</v>
      </c>
      <c r="E172" s="2" t="s">
        <v>3764</v>
      </c>
    </row>
    <row r="173" spans="1:8">
      <c r="A173" s="2" t="s">
        <v>629</v>
      </c>
      <c r="B173" s="2" t="s">
        <v>3773</v>
      </c>
      <c r="C173" s="2" t="s">
        <v>3774</v>
      </c>
      <c r="D173" s="2">
        <v>21529000</v>
      </c>
      <c r="E173" s="2" t="s">
        <v>3764</v>
      </c>
      <c r="F173" s="2" t="s">
        <v>22</v>
      </c>
      <c r="G173" s="2" t="s">
        <v>3629</v>
      </c>
      <c r="H173" s="2">
        <v>153502</v>
      </c>
    </row>
    <row r="174" spans="1:8">
      <c r="A174" s="2" t="s">
        <v>650</v>
      </c>
      <c r="B174" s="2" t="s">
        <v>3775</v>
      </c>
      <c r="C174" s="2" t="s">
        <v>3776</v>
      </c>
      <c r="D174" s="2">
        <v>21501000</v>
      </c>
      <c r="E174" s="2" t="s">
        <v>3764</v>
      </c>
      <c r="F174" s="2" t="s">
        <v>22</v>
      </c>
      <c r="G174" s="2" t="s">
        <v>3629</v>
      </c>
      <c r="H174" s="2">
        <v>32497</v>
      </c>
    </row>
    <row r="175" spans="1:8">
      <c r="A175" s="2" t="s">
        <v>619</v>
      </c>
      <c r="B175" s="2" t="s">
        <v>3777</v>
      </c>
      <c r="C175" s="2" t="s">
        <v>3778</v>
      </c>
      <c r="D175" s="2">
        <v>21502000</v>
      </c>
      <c r="E175" s="2" t="s">
        <v>3764</v>
      </c>
      <c r="F175" s="2" t="s">
        <v>22</v>
      </c>
      <c r="G175" s="2" t="s">
        <v>3629</v>
      </c>
      <c r="H175" s="2">
        <v>38883</v>
      </c>
    </row>
    <row r="176" spans="1:8">
      <c r="A176" s="2" t="s">
        <v>697</v>
      </c>
      <c r="B176" s="2" t="s">
        <v>3779</v>
      </c>
      <c r="C176" s="2" t="s">
        <v>3776</v>
      </c>
      <c r="D176" s="2">
        <v>21503000</v>
      </c>
      <c r="E176" s="2" t="s">
        <v>3764</v>
      </c>
      <c r="F176" s="2" t="s">
        <v>22</v>
      </c>
      <c r="G176" s="2" t="s">
        <v>3629</v>
      </c>
      <c r="H176" s="2">
        <v>33571</v>
      </c>
    </row>
    <row r="177" spans="1:8">
      <c r="A177" s="2" t="s">
        <v>655</v>
      </c>
      <c r="B177" s="2" t="s">
        <v>3780</v>
      </c>
      <c r="C177" s="2" t="s">
        <v>3774</v>
      </c>
      <c r="D177" s="2">
        <v>21504000</v>
      </c>
      <c r="E177" s="2" t="s">
        <v>3764</v>
      </c>
      <c r="F177" s="2" t="s">
        <v>22</v>
      </c>
      <c r="G177" s="2" t="s">
        <v>3600</v>
      </c>
      <c r="H177" s="2">
        <v>47860</v>
      </c>
    </row>
    <row r="178" spans="1:8">
      <c r="A178" s="2" t="s">
        <v>696</v>
      </c>
      <c r="B178" s="2" t="s">
        <v>3781</v>
      </c>
      <c r="C178" s="2" t="s">
        <v>3778</v>
      </c>
      <c r="D178" s="2">
        <v>21505000</v>
      </c>
      <c r="E178" s="2" t="s">
        <v>3764</v>
      </c>
      <c r="F178" s="2" t="s">
        <v>22</v>
      </c>
      <c r="G178" s="2" t="s">
        <v>3574</v>
      </c>
      <c r="H178" s="2">
        <v>65649</v>
      </c>
    </row>
    <row r="179" spans="1:8">
      <c r="A179" s="2" t="s">
        <v>644</v>
      </c>
      <c r="B179" s="2" t="s">
        <v>3782</v>
      </c>
      <c r="C179" s="2" t="s">
        <v>3778</v>
      </c>
      <c r="D179" s="2">
        <v>21506000</v>
      </c>
      <c r="E179" s="2" t="s">
        <v>3764</v>
      </c>
      <c r="F179" s="2" t="s">
        <v>22</v>
      </c>
      <c r="G179" s="2" t="s">
        <v>3574</v>
      </c>
      <c r="H179" s="2">
        <v>82782</v>
      </c>
    </row>
    <row r="180" spans="1:8">
      <c r="A180" s="2" t="s">
        <v>2817</v>
      </c>
      <c r="B180" s="2" t="s">
        <v>3783</v>
      </c>
      <c r="C180" s="2" t="s">
        <v>3776</v>
      </c>
      <c r="D180" s="2">
        <v>21507000</v>
      </c>
      <c r="E180" s="2" t="s">
        <v>3764</v>
      </c>
      <c r="F180" s="2" t="s">
        <v>22</v>
      </c>
      <c r="G180" s="2" t="s">
        <v>3634</v>
      </c>
      <c r="H180" s="2">
        <v>34299</v>
      </c>
    </row>
    <row r="181" spans="1:8">
      <c r="A181" s="2" t="s">
        <v>645</v>
      </c>
      <c r="B181" s="2" t="s">
        <v>3784</v>
      </c>
      <c r="C181" s="2" t="s">
        <v>3778</v>
      </c>
      <c r="D181" s="2">
        <v>21508000</v>
      </c>
      <c r="E181" s="2" t="s">
        <v>3764</v>
      </c>
      <c r="F181" s="2" t="s">
        <v>22</v>
      </c>
      <c r="G181" s="2" t="s">
        <v>3629</v>
      </c>
      <c r="H181" s="2">
        <v>30175</v>
      </c>
    </row>
    <row r="182" spans="1:8">
      <c r="A182" s="2" t="s">
        <v>651</v>
      </c>
      <c r="B182" s="2" t="s">
        <v>3785</v>
      </c>
      <c r="C182" s="2" t="s">
        <v>3776</v>
      </c>
      <c r="D182" s="2">
        <v>21509000</v>
      </c>
      <c r="E182" s="2" t="s">
        <v>3764</v>
      </c>
      <c r="F182" s="2" t="s">
        <v>22</v>
      </c>
      <c r="G182" s="2" t="s">
        <v>3629</v>
      </c>
      <c r="H182" s="2">
        <v>16702</v>
      </c>
    </row>
    <row r="183" spans="1:8">
      <c r="A183" s="2" t="s">
        <v>648</v>
      </c>
      <c r="B183" s="2" t="s">
        <v>3786</v>
      </c>
      <c r="C183" s="2" t="s">
        <v>3778</v>
      </c>
      <c r="D183" s="2">
        <v>21510000</v>
      </c>
      <c r="E183" s="2" t="s">
        <v>3764</v>
      </c>
      <c r="F183" s="2" t="s">
        <v>22</v>
      </c>
      <c r="G183" s="2" t="s">
        <v>3634</v>
      </c>
      <c r="H183" s="2">
        <v>24923</v>
      </c>
    </row>
    <row r="184" spans="1:8">
      <c r="A184" s="2" t="s">
        <v>2835</v>
      </c>
      <c r="B184" s="2" t="s">
        <v>3787</v>
      </c>
      <c r="C184" s="2" t="s">
        <v>3776</v>
      </c>
      <c r="D184" s="2">
        <v>21511000</v>
      </c>
      <c r="E184" s="2" t="s">
        <v>3764</v>
      </c>
      <c r="F184" s="2" t="s">
        <v>22</v>
      </c>
      <c r="G184" s="2" t="s">
        <v>3629</v>
      </c>
      <c r="H184" s="2">
        <v>29921</v>
      </c>
    </row>
    <row r="185" spans="1:8">
      <c r="A185" s="2" t="s">
        <v>656</v>
      </c>
      <c r="B185" s="2" t="s">
        <v>3788</v>
      </c>
      <c r="C185" s="2" t="s">
        <v>3774</v>
      </c>
      <c r="D185" s="2">
        <v>21512000</v>
      </c>
      <c r="E185" s="2" t="s">
        <v>3764</v>
      </c>
      <c r="F185" s="2" t="s">
        <v>22</v>
      </c>
      <c r="G185" s="2" t="s">
        <v>3629</v>
      </c>
      <c r="H185" s="2">
        <v>35834</v>
      </c>
    </row>
    <row r="186" spans="1:8">
      <c r="A186" s="2" t="s">
        <v>639</v>
      </c>
      <c r="B186" s="2" t="s">
        <v>3789</v>
      </c>
      <c r="C186" s="2" t="s">
        <v>3778</v>
      </c>
      <c r="D186" s="2">
        <v>21513000</v>
      </c>
      <c r="E186" s="2" t="s">
        <v>3764</v>
      </c>
      <c r="F186" s="2" t="s">
        <v>22</v>
      </c>
      <c r="G186" s="2" t="s">
        <v>3574</v>
      </c>
      <c r="H186" s="2">
        <v>56661</v>
      </c>
    </row>
    <row r="187" spans="1:8">
      <c r="A187" s="2" t="s">
        <v>627</v>
      </c>
      <c r="B187" s="2" t="s">
        <v>3790</v>
      </c>
      <c r="C187" s="2" t="s">
        <v>3778</v>
      </c>
      <c r="D187" s="2">
        <v>21514000</v>
      </c>
      <c r="E187" s="2" t="s">
        <v>3764</v>
      </c>
      <c r="F187" s="2" t="s">
        <v>22</v>
      </c>
      <c r="G187" s="2" t="s">
        <v>3574</v>
      </c>
      <c r="H187" s="2">
        <v>38892</v>
      </c>
    </row>
    <row r="188" spans="1:8">
      <c r="A188" s="2" t="s">
        <v>657</v>
      </c>
      <c r="B188" s="2" t="s">
        <v>3791</v>
      </c>
      <c r="C188" s="2" t="s">
        <v>3774</v>
      </c>
      <c r="D188" s="2">
        <v>21515000</v>
      </c>
      <c r="E188" s="2" t="s">
        <v>3764</v>
      </c>
      <c r="F188" s="2" t="s">
        <v>22</v>
      </c>
      <c r="G188" s="2" t="s">
        <v>3634</v>
      </c>
      <c r="H188" s="2">
        <v>27862</v>
      </c>
    </row>
    <row r="189" spans="1:8">
      <c r="A189" s="2" t="s">
        <v>646</v>
      </c>
      <c r="B189" s="2" t="s">
        <v>3792</v>
      </c>
      <c r="C189" s="2" t="s">
        <v>3778</v>
      </c>
      <c r="D189" s="2">
        <v>21516000</v>
      </c>
      <c r="E189" s="2" t="s">
        <v>3764</v>
      </c>
      <c r="F189" s="2" t="s">
        <v>22</v>
      </c>
      <c r="G189" s="2" t="s">
        <v>3574</v>
      </c>
      <c r="H189" s="2">
        <v>44506</v>
      </c>
    </row>
    <row r="190" spans="1:8">
      <c r="A190" s="2" t="s">
        <v>628</v>
      </c>
      <c r="B190" s="2" t="s">
        <v>3793</v>
      </c>
      <c r="C190" s="2" t="s">
        <v>3776</v>
      </c>
      <c r="D190" s="2">
        <v>21517000</v>
      </c>
      <c r="E190" s="2" t="s">
        <v>3764</v>
      </c>
      <c r="F190" s="2" t="s">
        <v>22</v>
      </c>
      <c r="G190" s="2" t="s">
        <v>3629</v>
      </c>
      <c r="H190" s="2">
        <v>39135</v>
      </c>
    </row>
    <row r="191" spans="1:8">
      <c r="A191" s="2" t="s">
        <v>620</v>
      </c>
      <c r="B191" s="2" t="s">
        <v>3794</v>
      </c>
      <c r="C191" s="2" t="s">
        <v>3776</v>
      </c>
      <c r="D191" s="2">
        <v>21518000</v>
      </c>
      <c r="E191" s="2" t="s">
        <v>3764</v>
      </c>
      <c r="F191" s="2" t="s">
        <v>22</v>
      </c>
      <c r="G191" s="2" t="s">
        <v>3634</v>
      </c>
      <c r="H191" s="2">
        <v>23596</v>
      </c>
    </row>
    <row r="192" spans="1:8">
      <c r="A192" s="2" t="s">
        <v>658</v>
      </c>
      <c r="B192" s="2" t="s">
        <v>3795</v>
      </c>
      <c r="C192" s="2" t="s">
        <v>3774</v>
      </c>
      <c r="D192" s="2">
        <v>21519000</v>
      </c>
      <c r="E192" s="2" t="s">
        <v>3764</v>
      </c>
      <c r="F192" s="2" t="s">
        <v>22</v>
      </c>
      <c r="G192" s="2" t="s">
        <v>3574</v>
      </c>
      <c r="H192" s="2">
        <v>48584</v>
      </c>
    </row>
    <row r="193" spans="1:8">
      <c r="A193" s="2" t="s">
        <v>652</v>
      </c>
      <c r="B193" s="2" t="s">
        <v>3796</v>
      </c>
      <c r="C193" s="2" t="s">
        <v>3776</v>
      </c>
      <c r="D193" s="2">
        <v>21520000</v>
      </c>
      <c r="E193" s="2" t="s">
        <v>3764</v>
      </c>
      <c r="F193" s="2" t="s">
        <v>22</v>
      </c>
      <c r="G193" s="2" t="s">
        <v>3634</v>
      </c>
      <c r="H193" s="2">
        <v>23597</v>
      </c>
    </row>
    <row r="194" spans="1:8">
      <c r="A194" s="2" t="s">
        <v>653</v>
      </c>
      <c r="B194" s="2" t="s">
        <v>3797</v>
      </c>
      <c r="C194" s="2" t="s">
        <v>3776</v>
      </c>
      <c r="D194" s="2">
        <v>21521000</v>
      </c>
      <c r="E194" s="2" t="s">
        <v>3764</v>
      </c>
      <c r="F194" s="2" t="s">
        <v>22</v>
      </c>
      <c r="G194" s="2" t="s">
        <v>3626</v>
      </c>
      <c r="H194" s="2">
        <v>17994</v>
      </c>
    </row>
    <row r="195" spans="1:8">
      <c r="A195" s="2" t="s">
        <v>3380</v>
      </c>
      <c r="B195" s="2" t="s">
        <v>3798</v>
      </c>
      <c r="C195" s="2" t="s">
        <v>3776</v>
      </c>
      <c r="D195" s="2">
        <v>21522000</v>
      </c>
      <c r="E195" s="2" t="s">
        <v>3764</v>
      </c>
      <c r="F195" s="2" t="s">
        <v>22</v>
      </c>
      <c r="G195" s="2" t="s">
        <v>3629</v>
      </c>
      <c r="H195" s="2">
        <v>24541</v>
      </c>
    </row>
    <row r="196" spans="1:8">
      <c r="A196" s="2" t="s">
        <v>647</v>
      </c>
      <c r="B196" s="2" t="s">
        <v>3799</v>
      </c>
      <c r="C196" s="2" t="s">
        <v>3778</v>
      </c>
      <c r="D196" s="2">
        <v>21523000</v>
      </c>
      <c r="E196" s="2" t="s">
        <v>3764</v>
      </c>
      <c r="F196" s="2" t="s">
        <v>22</v>
      </c>
      <c r="G196" s="2" t="s">
        <v>3600</v>
      </c>
      <c r="H196" s="2">
        <v>32906</v>
      </c>
    </row>
    <row r="197" spans="1:8">
      <c r="A197" s="2" t="s">
        <v>3413</v>
      </c>
      <c r="B197" s="2" t="s">
        <v>3800</v>
      </c>
      <c r="C197" s="2" t="s">
        <v>3776</v>
      </c>
      <c r="D197" s="2">
        <v>21524000</v>
      </c>
      <c r="E197" s="2" t="s">
        <v>3764</v>
      </c>
      <c r="F197" s="2" t="s">
        <v>22</v>
      </c>
      <c r="G197" s="2" t="s">
        <v>3626</v>
      </c>
      <c r="H197" s="2">
        <v>4154</v>
      </c>
    </row>
    <row r="198" spans="1:8">
      <c r="A198" s="2" t="s">
        <v>649</v>
      </c>
      <c r="B198" s="2" t="s">
        <v>3801</v>
      </c>
      <c r="C198" s="2" t="s">
        <v>3778</v>
      </c>
      <c r="D198" s="2">
        <v>21525000</v>
      </c>
      <c r="E198" s="2" t="s">
        <v>3764</v>
      </c>
      <c r="F198" s="2" t="s">
        <v>22</v>
      </c>
      <c r="G198" s="2" t="s">
        <v>3634</v>
      </c>
      <c r="H198" s="2">
        <v>19038</v>
      </c>
    </row>
    <row r="199" spans="1:8">
      <c r="A199" s="2" t="s">
        <v>654</v>
      </c>
      <c r="B199" s="2" t="s">
        <v>3802</v>
      </c>
      <c r="C199" s="2" t="s">
        <v>3776</v>
      </c>
      <c r="D199" s="2">
        <v>21526000</v>
      </c>
      <c r="E199" s="2" t="s">
        <v>3764</v>
      </c>
      <c r="F199" s="2" t="s">
        <v>22</v>
      </c>
      <c r="G199" s="2" t="s">
        <v>3600</v>
      </c>
      <c r="H199" s="2">
        <v>27219</v>
      </c>
    </row>
    <row r="200" spans="1:8">
      <c r="A200" s="2" t="s">
        <v>659</v>
      </c>
      <c r="B200" s="2" t="s">
        <v>3803</v>
      </c>
      <c r="C200" s="2" t="s">
        <v>3774</v>
      </c>
      <c r="D200" s="2">
        <v>21527000</v>
      </c>
      <c r="E200" s="2" t="s">
        <v>3764</v>
      </c>
      <c r="F200" s="2" t="s">
        <v>22</v>
      </c>
      <c r="G200" s="2" t="s">
        <v>3574</v>
      </c>
      <c r="H200" s="2">
        <v>82502</v>
      </c>
    </row>
    <row r="201" spans="1:8">
      <c r="A201" s="2" t="s">
        <v>660</v>
      </c>
      <c r="B201" s="2" t="s">
        <v>3804</v>
      </c>
      <c r="C201" s="2" t="s">
        <v>3774</v>
      </c>
      <c r="D201" s="2">
        <v>21528000</v>
      </c>
      <c r="E201" s="2" t="s">
        <v>3764</v>
      </c>
      <c r="F201" s="2" t="s">
        <v>22</v>
      </c>
      <c r="G201" s="2" t="s">
        <v>3574</v>
      </c>
      <c r="H201" s="2">
        <v>61535</v>
      </c>
    </row>
    <row r="202" spans="2:5">
      <c r="B202" s="2" t="s">
        <v>20</v>
      </c>
      <c r="E202" s="2" t="s">
        <v>3764</v>
      </c>
    </row>
    <row r="203" spans="1:8">
      <c r="A203" s="2" t="s">
        <v>643</v>
      </c>
      <c r="B203" s="2" t="s">
        <v>3805</v>
      </c>
      <c r="C203" s="2" t="s">
        <v>3806</v>
      </c>
      <c r="D203" s="2">
        <v>23108000</v>
      </c>
      <c r="E203" s="2" t="s">
        <v>3764</v>
      </c>
      <c r="F203" s="2" t="s">
        <v>43</v>
      </c>
      <c r="G203" s="2" t="s">
        <v>3629</v>
      </c>
      <c r="H203" s="2">
        <v>129523</v>
      </c>
    </row>
    <row r="204" spans="1:8">
      <c r="A204" s="2" t="s">
        <v>630</v>
      </c>
      <c r="B204" s="2" t="s">
        <v>3807</v>
      </c>
      <c r="C204" s="2" t="s">
        <v>3808</v>
      </c>
      <c r="D204" s="2">
        <v>23114000</v>
      </c>
      <c r="E204" s="2" t="s">
        <v>3764</v>
      </c>
      <c r="F204" s="2" t="s">
        <v>43</v>
      </c>
      <c r="G204" s="2" t="s">
        <v>3574</v>
      </c>
      <c r="H204" s="2">
        <v>145568</v>
      </c>
    </row>
    <row r="205" spans="1:8">
      <c r="A205" s="2" t="s">
        <v>673</v>
      </c>
      <c r="B205" s="2" t="s">
        <v>3809</v>
      </c>
      <c r="C205" s="2" t="s">
        <v>3810</v>
      </c>
      <c r="D205" s="2">
        <v>23135000</v>
      </c>
      <c r="E205" s="2" t="s">
        <v>3764</v>
      </c>
      <c r="F205" s="2" t="s">
        <v>43</v>
      </c>
      <c r="G205" s="2" t="s">
        <v>3574</v>
      </c>
      <c r="H205" s="2">
        <v>134830</v>
      </c>
    </row>
    <row r="206" spans="1:8">
      <c r="A206" s="2" t="s">
        <v>668</v>
      </c>
      <c r="B206" s="2" t="s">
        <v>3811</v>
      </c>
      <c r="C206" s="2" t="s">
        <v>3812</v>
      </c>
      <c r="D206" s="2">
        <v>23101000</v>
      </c>
      <c r="E206" s="2" t="s">
        <v>3764</v>
      </c>
      <c r="F206" s="2" t="s">
        <v>43</v>
      </c>
      <c r="G206" s="2" t="s">
        <v>3574</v>
      </c>
      <c r="H206" s="2">
        <v>71504</v>
      </c>
    </row>
    <row r="207" spans="1:8">
      <c r="A207" s="2" t="s">
        <v>669</v>
      </c>
      <c r="B207" s="2" t="s">
        <v>3813</v>
      </c>
      <c r="C207" s="2" t="s">
        <v>3812</v>
      </c>
      <c r="D207" s="2">
        <v>23102000</v>
      </c>
      <c r="E207" s="2" t="s">
        <v>3764</v>
      </c>
      <c r="F207" s="2" t="s">
        <v>43</v>
      </c>
      <c r="G207" s="2" t="s">
        <v>3629</v>
      </c>
      <c r="H207" s="2">
        <v>43061</v>
      </c>
    </row>
    <row r="208" spans="1:8">
      <c r="A208" s="2" t="s">
        <v>677</v>
      </c>
      <c r="B208" s="2" t="s">
        <v>3814</v>
      </c>
      <c r="C208" s="2" t="s">
        <v>3815</v>
      </c>
      <c r="D208" s="2">
        <v>23103000</v>
      </c>
      <c r="E208" s="2" t="s">
        <v>3764</v>
      </c>
      <c r="F208" s="2" t="s">
        <v>43</v>
      </c>
      <c r="G208" s="2" t="s">
        <v>3629</v>
      </c>
      <c r="H208" s="2">
        <v>35017</v>
      </c>
    </row>
    <row r="209" spans="1:8">
      <c r="A209" s="2" t="s">
        <v>662</v>
      </c>
      <c r="B209" s="2" t="s">
        <v>3816</v>
      </c>
      <c r="C209" s="2" t="s">
        <v>3817</v>
      </c>
      <c r="D209" s="2">
        <v>23104000</v>
      </c>
      <c r="E209" s="2" t="s">
        <v>3764</v>
      </c>
      <c r="F209" s="2" t="s">
        <v>43</v>
      </c>
      <c r="G209" s="2" t="s">
        <v>3634</v>
      </c>
      <c r="H209" s="2">
        <v>29624</v>
      </c>
    </row>
    <row r="210" spans="1:8">
      <c r="A210" s="2" t="s">
        <v>678</v>
      </c>
      <c r="B210" s="2" t="s">
        <v>3818</v>
      </c>
      <c r="C210" s="2" t="s">
        <v>3815</v>
      </c>
      <c r="D210" s="2">
        <v>23105000</v>
      </c>
      <c r="E210" s="2" t="s">
        <v>3764</v>
      </c>
      <c r="F210" s="2" t="s">
        <v>43</v>
      </c>
      <c r="G210" s="2" t="s">
        <v>3634</v>
      </c>
      <c r="H210" s="2">
        <v>23784</v>
      </c>
    </row>
    <row r="211" spans="1:8">
      <c r="A211" s="2" t="s">
        <v>622</v>
      </c>
      <c r="B211" s="2" t="s">
        <v>3819</v>
      </c>
      <c r="C211" s="2" t="s">
        <v>3808</v>
      </c>
      <c r="D211" s="2">
        <v>23106000</v>
      </c>
      <c r="E211" s="2" t="s">
        <v>3764</v>
      </c>
      <c r="F211" s="2" t="s">
        <v>43</v>
      </c>
      <c r="G211" s="2" t="s">
        <v>3574</v>
      </c>
      <c r="H211" s="2">
        <v>50174</v>
      </c>
    </row>
    <row r="212" spans="1:8">
      <c r="A212" s="2" t="s">
        <v>670</v>
      </c>
      <c r="B212" s="2" t="s">
        <v>3820</v>
      </c>
      <c r="C212" s="2" t="s">
        <v>3812</v>
      </c>
      <c r="D212" s="2">
        <v>23107000</v>
      </c>
      <c r="E212" s="2" t="s">
        <v>3764</v>
      </c>
      <c r="F212" s="2" t="s">
        <v>43</v>
      </c>
      <c r="G212" s="2" t="s">
        <v>3629</v>
      </c>
      <c r="H212" s="2">
        <v>39413</v>
      </c>
    </row>
    <row r="213" spans="1:8">
      <c r="A213" s="2" t="s">
        <v>674</v>
      </c>
      <c r="B213" s="2" t="s">
        <v>3821</v>
      </c>
      <c r="C213" s="2" t="s">
        <v>3810</v>
      </c>
      <c r="D213" s="2">
        <v>23109000</v>
      </c>
      <c r="E213" s="2" t="s">
        <v>3764</v>
      </c>
      <c r="F213" s="2" t="s">
        <v>43</v>
      </c>
      <c r="G213" s="2" t="s">
        <v>3629</v>
      </c>
      <c r="H213" s="2">
        <v>42926</v>
      </c>
    </row>
    <row r="214" spans="1:8">
      <c r="A214" s="2" t="s">
        <v>3028</v>
      </c>
      <c r="B214" s="2" t="s">
        <v>3822</v>
      </c>
      <c r="C214" s="2" t="s">
        <v>3810</v>
      </c>
      <c r="D214" s="2">
        <v>23110000</v>
      </c>
      <c r="E214" s="2" t="s">
        <v>3764</v>
      </c>
      <c r="F214" s="2" t="s">
        <v>43</v>
      </c>
      <c r="G214" s="2" t="s">
        <v>3574</v>
      </c>
      <c r="H214" s="2">
        <v>5005</v>
      </c>
    </row>
    <row r="215" spans="1:8">
      <c r="A215" s="2" t="s">
        <v>3075</v>
      </c>
      <c r="B215" s="2" t="s">
        <v>3823</v>
      </c>
      <c r="C215" s="2" t="s">
        <v>3808</v>
      </c>
      <c r="D215" s="2">
        <v>23111000</v>
      </c>
      <c r="E215" s="2" t="s">
        <v>3764</v>
      </c>
      <c r="F215" s="2" t="s">
        <v>43</v>
      </c>
      <c r="G215" s="2" t="s">
        <v>3600</v>
      </c>
      <c r="H215" s="2">
        <v>5687</v>
      </c>
    </row>
    <row r="216" spans="1:8">
      <c r="A216" s="2" t="s">
        <v>685</v>
      </c>
      <c r="B216" s="2" t="s">
        <v>3824</v>
      </c>
      <c r="C216" s="2" t="s">
        <v>3806</v>
      </c>
      <c r="D216" s="2">
        <v>23112000</v>
      </c>
      <c r="E216" s="2" t="s">
        <v>3764</v>
      </c>
      <c r="F216" s="2" t="s">
        <v>43</v>
      </c>
      <c r="G216" s="2" t="s">
        <v>3574</v>
      </c>
      <c r="H216" s="2">
        <v>79094</v>
      </c>
    </row>
    <row r="217" spans="1:8">
      <c r="A217" s="2" t="s">
        <v>663</v>
      </c>
      <c r="B217" s="2" t="s">
        <v>3825</v>
      </c>
      <c r="C217" s="2" t="s">
        <v>3817</v>
      </c>
      <c r="D217" s="2">
        <v>23113000</v>
      </c>
      <c r="E217" s="2" t="s">
        <v>3764</v>
      </c>
      <c r="F217" s="2" t="s">
        <v>43</v>
      </c>
      <c r="G217" s="2" t="s">
        <v>3634</v>
      </c>
      <c r="H217" s="2">
        <v>29904</v>
      </c>
    </row>
    <row r="218" spans="1:8">
      <c r="A218" s="2" t="s">
        <v>675</v>
      </c>
      <c r="B218" s="2" t="s">
        <v>3826</v>
      </c>
      <c r="C218" s="2" t="s">
        <v>3810</v>
      </c>
      <c r="D218" s="2">
        <v>23115000</v>
      </c>
      <c r="E218" s="2" t="s">
        <v>3764</v>
      </c>
      <c r="F218" s="2" t="s">
        <v>43</v>
      </c>
      <c r="G218" s="2" t="s">
        <v>3574</v>
      </c>
      <c r="H218" s="2">
        <v>45666</v>
      </c>
    </row>
    <row r="219" spans="1:8">
      <c r="A219" s="2" t="s">
        <v>679</v>
      </c>
      <c r="B219" s="2" t="s">
        <v>3827</v>
      </c>
      <c r="C219" s="2" t="s">
        <v>3815</v>
      </c>
      <c r="D219" s="2">
        <v>23116000</v>
      </c>
      <c r="E219" s="2" t="s">
        <v>3764</v>
      </c>
      <c r="F219" s="2" t="s">
        <v>43</v>
      </c>
      <c r="G219" s="2" t="s">
        <v>3626</v>
      </c>
      <c r="H219" s="2">
        <v>19326</v>
      </c>
    </row>
    <row r="220" spans="1:8">
      <c r="A220" s="2" t="s">
        <v>3256</v>
      </c>
      <c r="B220" s="2" t="s">
        <v>3828</v>
      </c>
      <c r="C220" s="2" t="s">
        <v>3808</v>
      </c>
      <c r="D220" s="2">
        <v>23117000</v>
      </c>
      <c r="E220" s="2" t="s">
        <v>3764</v>
      </c>
      <c r="F220" s="2" t="s">
        <v>43</v>
      </c>
      <c r="G220" s="2" t="s">
        <v>3629</v>
      </c>
      <c r="H220" s="2">
        <v>4253</v>
      </c>
    </row>
    <row r="221" spans="1:8">
      <c r="A221" s="2" t="s">
        <v>661</v>
      </c>
      <c r="B221" s="2" t="s">
        <v>3829</v>
      </c>
      <c r="C221" s="2" t="s">
        <v>3808</v>
      </c>
      <c r="D221" s="2">
        <v>23118000</v>
      </c>
      <c r="E221" s="2" t="s">
        <v>3764</v>
      </c>
      <c r="F221" s="2" t="s">
        <v>43</v>
      </c>
      <c r="G221" s="2" t="s">
        <v>3634</v>
      </c>
      <c r="H221" s="2">
        <v>26614</v>
      </c>
    </row>
    <row r="222" spans="1:8">
      <c r="A222" s="2" t="s">
        <v>680</v>
      </c>
      <c r="B222" s="2" t="s">
        <v>3830</v>
      </c>
      <c r="C222" s="2" t="s">
        <v>3815</v>
      </c>
      <c r="D222" s="2">
        <v>23119000</v>
      </c>
      <c r="E222" s="2" t="s">
        <v>3764</v>
      </c>
      <c r="F222" s="2" t="s">
        <v>43</v>
      </c>
      <c r="G222" s="2" t="s">
        <v>3634</v>
      </c>
      <c r="H222" s="2">
        <v>30459</v>
      </c>
    </row>
    <row r="223" spans="1:8">
      <c r="A223" s="2" t="s">
        <v>664</v>
      </c>
      <c r="B223" s="2" t="s">
        <v>3831</v>
      </c>
      <c r="C223" s="2" t="s">
        <v>3817</v>
      </c>
      <c r="D223" s="2">
        <v>23120000</v>
      </c>
      <c r="E223" s="2" t="s">
        <v>3764</v>
      </c>
      <c r="F223" s="2" t="s">
        <v>43</v>
      </c>
      <c r="G223" s="2" t="s">
        <v>3634</v>
      </c>
      <c r="H223" s="2">
        <v>31902</v>
      </c>
    </row>
    <row r="224" spans="1:8">
      <c r="A224" s="2" t="s">
        <v>665</v>
      </c>
      <c r="B224" s="2" t="s">
        <v>3832</v>
      </c>
      <c r="C224" s="2" t="s">
        <v>3817</v>
      </c>
      <c r="D224" s="2">
        <v>23121000</v>
      </c>
      <c r="E224" s="2" t="s">
        <v>3764</v>
      </c>
      <c r="F224" s="2" t="s">
        <v>43</v>
      </c>
      <c r="G224" s="2" t="s">
        <v>3574</v>
      </c>
      <c r="H224" s="2">
        <v>17260</v>
      </c>
    </row>
    <row r="225" spans="1:8">
      <c r="A225" s="2" t="s">
        <v>681</v>
      </c>
      <c r="B225" s="2" t="s">
        <v>3833</v>
      </c>
      <c r="C225" s="2" t="s">
        <v>3815</v>
      </c>
      <c r="D225" s="2">
        <v>23122000</v>
      </c>
      <c r="E225" s="2" t="s">
        <v>3764</v>
      </c>
      <c r="F225" s="2" t="s">
        <v>43</v>
      </c>
      <c r="G225" s="2" t="s">
        <v>3634</v>
      </c>
      <c r="H225" s="2">
        <v>25860</v>
      </c>
    </row>
    <row r="226" spans="1:8">
      <c r="A226" s="2" t="s">
        <v>682</v>
      </c>
      <c r="B226" s="2" t="s">
        <v>3834</v>
      </c>
      <c r="C226" s="2" t="s">
        <v>3815</v>
      </c>
      <c r="D226" s="2">
        <v>23123000</v>
      </c>
      <c r="E226" s="2" t="s">
        <v>3764</v>
      </c>
      <c r="F226" s="2" t="s">
        <v>43</v>
      </c>
      <c r="G226" s="2" t="s">
        <v>3634</v>
      </c>
      <c r="H226" s="2">
        <v>24501</v>
      </c>
    </row>
    <row r="227" spans="1:8">
      <c r="A227" s="2" t="s">
        <v>671</v>
      </c>
      <c r="B227" s="2" t="s">
        <v>3835</v>
      </c>
      <c r="C227" s="2" t="s">
        <v>3812</v>
      </c>
      <c r="D227" s="2">
        <v>23124000</v>
      </c>
      <c r="E227" s="2" t="s">
        <v>3764</v>
      </c>
      <c r="F227" s="2" t="s">
        <v>43</v>
      </c>
      <c r="G227" s="2" t="s">
        <v>3600</v>
      </c>
      <c r="H227" s="2">
        <v>52707</v>
      </c>
    </row>
    <row r="228" spans="1:8">
      <c r="A228" s="2" t="s">
        <v>666</v>
      </c>
      <c r="B228" s="2" t="s">
        <v>3836</v>
      </c>
      <c r="C228" s="2" t="s">
        <v>3817</v>
      </c>
      <c r="D228" s="2">
        <v>23125000</v>
      </c>
      <c r="E228" s="2" t="s">
        <v>3764</v>
      </c>
      <c r="F228" s="2" t="s">
        <v>43</v>
      </c>
      <c r="G228" s="2" t="s">
        <v>3634</v>
      </c>
      <c r="H228" s="2">
        <v>26998</v>
      </c>
    </row>
    <row r="229" spans="1:8">
      <c r="A229" s="2" t="s">
        <v>683</v>
      </c>
      <c r="B229" s="2" t="s">
        <v>3837</v>
      </c>
      <c r="C229" s="2" t="s">
        <v>3815</v>
      </c>
      <c r="D229" s="2">
        <v>23126000</v>
      </c>
      <c r="E229" s="2" t="s">
        <v>3764</v>
      </c>
      <c r="F229" s="2" t="s">
        <v>43</v>
      </c>
      <c r="G229" s="2" t="s">
        <v>3574</v>
      </c>
      <c r="H229" s="2">
        <v>61773</v>
      </c>
    </row>
    <row r="230" spans="1:8">
      <c r="A230" s="2" t="s">
        <v>676</v>
      </c>
      <c r="B230" s="2" t="s">
        <v>3838</v>
      </c>
      <c r="C230" s="2" t="s">
        <v>3810</v>
      </c>
      <c r="D230" s="2">
        <v>23127000</v>
      </c>
      <c r="E230" s="2" t="s">
        <v>3764</v>
      </c>
      <c r="F230" s="2" t="s">
        <v>43</v>
      </c>
      <c r="G230" s="2" t="s">
        <v>3629</v>
      </c>
      <c r="H230" s="2">
        <v>22880</v>
      </c>
    </row>
    <row r="231" spans="1:8">
      <c r="A231" s="2" t="s">
        <v>631</v>
      </c>
      <c r="B231" s="2" t="s">
        <v>3839</v>
      </c>
      <c r="C231" s="2" t="s">
        <v>3806</v>
      </c>
      <c r="D231" s="2">
        <v>23128000</v>
      </c>
      <c r="E231" s="2" t="s">
        <v>3764</v>
      </c>
      <c r="F231" s="2" t="s">
        <v>43</v>
      </c>
      <c r="G231" s="2" t="s">
        <v>3634</v>
      </c>
      <c r="H231" s="2">
        <v>20200</v>
      </c>
    </row>
    <row r="232" spans="1:8">
      <c r="A232" s="2" t="s">
        <v>686</v>
      </c>
      <c r="B232" s="2" t="s">
        <v>3840</v>
      </c>
      <c r="C232" s="2" t="s">
        <v>3806</v>
      </c>
      <c r="D232" s="2">
        <v>23129000</v>
      </c>
      <c r="E232" s="2" t="s">
        <v>3764</v>
      </c>
      <c r="F232" s="2" t="s">
        <v>43</v>
      </c>
      <c r="G232" s="2" t="s">
        <v>3626</v>
      </c>
      <c r="H232" s="2">
        <v>24861</v>
      </c>
    </row>
    <row r="233" spans="1:8">
      <c r="A233" s="2" t="s">
        <v>684</v>
      </c>
      <c r="B233" s="2" t="s">
        <v>3841</v>
      </c>
      <c r="C233" s="2" t="s">
        <v>3815</v>
      </c>
      <c r="D233" s="2">
        <v>23130000</v>
      </c>
      <c r="E233" s="2" t="s">
        <v>3764</v>
      </c>
      <c r="F233" s="2" t="s">
        <v>43</v>
      </c>
      <c r="G233" s="2" t="s">
        <v>3634</v>
      </c>
      <c r="H233" s="2">
        <v>31896</v>
      </c>
    </row>
    <row r="234" spans="1:8">
      <c r="A234" s="2" t="s">
        <v>667</v>
      </c>
      <c r="B234" s="2" t="s">
        <v>3842</v>
      </c>
      <c r="C234" s="2" t="s">
        <v>3817</v>
      </c>
      <c r="D234" s="2">
        <v>23131000</v>
      </c>
      <c r="E234" s="2" t="s">
        <v>3764</v>
      </c>
      <c r="F234" s="2" t="s">
        <v>43</v>
      </c>
      <c r="G234" s="2" t="s">
        <v>3574</v>
      </c>
      <c r="H234" s="2">
        <v>55370</v>
      </c>
    </row>
    <row r="235" spans="1:8">
      <c r="A235" s="2" t="s">
        <v>672</v>
      </c>
      <c r="B235" s="2" t="s">
        <v>3843</v>
      </c>
      <c r="C235" s="2" t="s">
        <v>3812</v>
      </c>
      <c r="D235" s="2">
        <v>23132000</v>
      </c>
      <c r="E235" s="2" t="s">
        <v>3764</v>
      </c>
      <c r="F235" s="2" t="s">
        <v>43</v>
      </c>
      <c r="G235" s="2" t="s">
        <v>3574</v>
      </c>
      <c r="H235" s="2">
        <v>64505</v>
      </c>
    </row>
    <row r="236" spans="1:8">
      <c r="A236" s="2" t="s">
        <v>623</v>
      </c>
      <c r="B236" s="2" t="s">
        <v>3844</v>
      </c>
      <c r="C236" s="2" t="s">
        <v>3808</v>
      </c>
      <c r="D236" s="2">
        <v>23133000</v>
      </c>
      <c r="E236" s="2" t="s">
        <v>3764</v>
      </c>
      <c r="F236" s="2" t="s">
        <v>43</v>
      </c>
      <c r="G236" s="2" t="s">
        <v>3600</v>
      </c>
      <c r="H236" s="2">
        <v>25384</v>
      </c>
    </row>
    <row r="237" spans="1:8">
      <c r="A237" s="2" t="s">
        <v>624</v>
      </c>
      <c r="B237" s="2" t="s">
        <v>3845</v>
      </c>
      <c r="C237" s="2" t="s">
        <v>3808</v>
      </c>
      <c r="D237" s="2">
        <v>23134000</v>
      </c>
      <c r="E237" s="2" t="s">
        <v>3764</v>
      </c>
      <c r="F237" s="2" t="s">
        <v>43</v>
      </c>
      <c r="G237" s="2" t="s">
        <v>3634</v>
      </c>
      <c r="H237" s="2">
        <v>25382</v>
      </c>
    </row>
    <row r="238" spans="1:8">
      <c r="A238" s="2" t="s">
        <v>621</v>
      </c>
      <c r="B238" s="2" t="s">
        <v>3846</v>
      </c>
      <c r="C238" s="2" t="s">
        <v>3808</v>
      </c>
      <c r="D238" s="2">
        <v>23136000</v>
      </c>
      <c r="E238" s="2" t="s">
        <v>3764</v>
      </c>
      <c r="F238" s="2" t="s">
        <v>43</v>
      </c>
      <c r="G238" s="2" t="s">
        <v>3634</v>
      </c>
      <c r="H238" s="2">
        <v>23005</v>
      </c>
    </row>
    <row r="239" spans="1:8">
      <c r="A239" s="2" t="s">
        <v>641</v>
      </c>
      <c r="B239" s="2" t="s">
        <v>3847</v>
      </c>
      <c r="C239" s="2" t="s">
        <v>3808</v>
      </c>
      <c r="D239" s="2">
        <v>23137000</v>
      </c>
      <c r="E239" s="2" t="s">
        <v>3764</v>
      </c>
      <c r="F239" s="2" t="s">
        <v>43</v>
      </c>
      <c r="G239" s="2" t="s">
        <v>3574</v>
      </c>
      <c r="H239" s="2">
        <v>67650</v>
      </c>
    </row>
    <row r="240" spans="2:5">
      <c r="B240" s="2" t="s">
        <v>20</v>
      </c>
      <c r="E240" s="2" t="s">
        <v>3764</v>
      </c>
    </row>
    <row r="241" spans="1:8">
      <c r="A241" s="2" t="s">
        <v>2351</v>
      </c>
      <c r="B241" s="2" t="s">
        <v>3848</v>
      </c>
      <c r="C241" s="2" t="s">
        <v>3849</v>
      </c>
      <c r="D241" s="2">
        <v>25001000</v>
      </c>
      <c r="E241" s="2" t="s">
        <v>3764</v>
      </c>
      <c r="F241" s="2" t="s">
        <v>63</v>
      </c>
      <c r="G241" s="2" t="s">
        <v>3626</v>
      </c>
      <c r="H241" s="2">
        <v>15250</v>
      </c>
    </row>
    <row r="242" spans="1:8">
      <c r="A242" s="2" t="s">
        <v>2426</v>
      </c>
      <c r="B242" s="2" t="s">
        <v>3850</v>
      </c>
      <c r="C242" s="2" t="s">
        <v>3849</v>
      </c>
      <c r="D242" s="2">
        <v>25002000</v>
      </c>
      <c r="E242" s="2" t="s">
        <v>3764</v>
      </c>
      <c r="F242" s="2" t="s">
        <v>63</v>
      </c>
      <c r="G242" s="2" t="s">
        <v>3600</v>
      </c>
      <c r="H242" s="2">
        <v>37225</v>
      </c>
    </row>
    <row r="243" spans="1:8">
      <c r="A243" s="2" t="s">
        <v>691</v>
      </c>
      <c r="B243" s="2" t="s">
        <v>3851</v>
      </c>
      <c r="C243" s="2" t="s">
        <v>3849</v>
      </c>
      <c r="D243" s="2">
        <v>25003000</v>
      </c>
      <c r="E243" s="2" t="s">
        <v>3764</v>
      </c>
      <c r="F243" s="2" t="s">
        <v>63</v>
      </c>
      <c r="G243" s="2" t="s">
        <v>3600</v>
      </c>
      <c r="H243" s="2">
        <v>35501</v>
      </c>
    </row>
    <row r="244" spans="1:8">
      <c r="A244" s="2" t="s">
        <v>692</v>
      </c>
      <c r="B244" s="2" t="s">
        <v>3852</v>
      </c>
      <c r="C244" s="2" t="s">
        <v>3849</v>
      </c>
      <c r="D244" s="2">
        <v>25004000</v>
      </c>
      <c r="E244" s="2" t="s">
        <v>3764</v>
      </c>
      <c r="F244" s="2" t="s">
        <v>63</v>
      </c>
      <c r="G244" s="2" t="s">
        <v>3574</v>
      </c>
      <c r="H244" s="2">
        <v>53433</v>
      </c>
    </row>
    <row r="245" spans="1:8">
      <c r="A245" s="2" t="s">
        <v>690</v>
      </c>
      <c r="B245" s="2" t="s">
        <v>3853</v>
      </c>
      <c r="C245" s="2" t="s">
        <v>3849</v>
      </c>
      <c r="D245" s="2">
        <v>25005000</v>
      </c>
      <c r="E245" s="2" t="s">
        <v>3764</v>
      </c>
      <c r="F245" s="2" t="s">
        <v>63</v>
      </c>
      <c r="G245" s="2" t="s">
        <v>3574</v>
      </c>
      <c r="H245" s="2">
        <v>61512</v>
      </c>
    </row>
    <row r="246" spans="1:8">
      <c r="A246" s="2" t="s">
        <v>688</v>
      </c>
      <c r="B246" s="2" t="s">
        <v>3854</v>
      </c>
      <c r="C246" s="2" t="s">
        <v>3849</v>
      </c>
      <c r="D246" s="2">
        <v>25006000</v>
      </c>
      <c r="E246" s="2" t="s">
        <v>3764</v>
      </c>
      <c r="F246" s="2" t="s">
        <v>63</v>
      </c>
      <c r="G246" s="2" t="s">
        <v>3634</v>
      </c>
      <c r="H246" s="2">
        <v>18122</v>
      </c>
    </row>
    <row r="247" spans="1:8">
      <c r="A247" s="2" t="s">
        <v>632</v>
      </c>
      <c r="B247" s="2" t="s">
        <v>3855</v>
      </c>
      <c r="C247" s="2" t="s">
        <v>3849</v>
      </c>
      <c r="D247" s="2">
        <v>25007000</v>
      </c>
      <c r="E247" s="2" t="s">
        <v>3764</v>
      </c>
      <c r="F247" s="2" t="s">
        <v>63</v>
      </c>
      <c r="G247" s="2" t="s">
        <v>3629</v>
      </c>
      <c r="H247" s="2">
        <v>27514</v>
      </c>
    </row>
    <row r="248" spans="1:8">
      <c r="A248" s="2" t="s">
        <v>625</v>
      </c>
      <c r="B248" s="2" t="s">
        <v>3856</v>
      </c>
      <c r="C248" s="2" t="s">
        <v>3849</v>
      </c>
      <c r="D248" s="2">
        <v>25008000</v>
      </c>
      <c r="E248" s="2" t="s">
        <v>3764</v>
      </c>
      <c r="F248" s="2" t="s">
        <v>63</v>
      </c>
      <c r="G248" s="2" t="s">
        <v>3600</v>
      </c>
      <c r="H248" s="2">
        <v>19111</v>
      </c>
    </row>
    <row r="249" spans="1:8">
      <c r="A249" s="2" t="s">
        <v>693</v>
      </c>
      <c r="B249" s="2" t="s">
        <v>3857</v>
      </c>
      <c r="C249" s="2" t="s">
        <v>3849</v>
      </c>
      <c r="D249" s="2">
        <v>25009000</v>
      </c>
      <c r="E249" s="2" t="s">
        <v>3764</v>
      </c>
      <c r="F249" s="2" t="s">
        <v>63</v>
      </c>
      <c r="G249" s="2" t="s">
        <v>3629</v>
      </c>
      <c r="H249" s="2">
        <v>37705</v>
      </c>
    </row>
    <row r="250" spans="1:8">
      <c r="A250" s="2" t="s">
        <v>633</v>
      </c>
      <c r="B250" s="2" t="s">
        <v>3858</v>
      </c>
      <c r="C250" s="2" t="s">
        <v>3849</v>
      </c>
      <c r="D250" s="2">
        <v>25010000</v>
      </c>
      <c r="E250" s="2" t="s">
        <v>3764</v>
      </c>
      <c r="F250" s="2" t="s">
        <v>63</v>
      </c>
      <c r="G250" s="2" t="s">
        <v>3629</v>
      </c>
      <c r="H250" s="2">
        <v>23714</v>
      </c>
    </row>
    <row r="251" spans="1:8">
      <c r="A251" s="2" t="s">
        <v>681</v>
      </c>
      <c r="B251" s="2" t="s">
        <v>3859</v>
      </c>
      <c r="C251" s="2" t="s">
        <v>3849</v>
      </c>
      <c r="D251" s="2">
        <v>25011000</v>
      </c>
      <c r="E251" s="2" t="s">
        <v>3764</v>
      </c>
      <c r="F251" s="2" t="s">
        <v>63</v>
      </c>
      <c r="G251" s="2" t="s">
        <v>3634</v>
      </c>
      <c r="H251" s="2">
        <v>21056</v>
      </c>
    </row>
    <row r="252" spans="1:8">
      <c r="A252" s="2" t="s">
        <v>3029</v>
      </c>
      <c r="B252" s="2" t="s">
        <v>3860</v>
      </c>
      <c r="C252" s="2" t="s">
        <v>3849</v>
      </c>
      <c r="D252" s="2">
        <v>25012000</v>
      </c>
      <c r="E252" s="2" t="s">
        <v>3764</v>
      </c>
      <c r="F252" s="2" t="s">
        <v>63</v>
      </c>
      <c r="G252" s="2" t="s">
        <v>3629</v>
      </c>
      <c r="H252" s="2">
        <v>16180</v>
      </c>
    </row>
    <row r="253" spans="1:8">
      <c r="A253" s="2" t="s">
        <v>689</v>
      </c>
      <c r="B253" s="2" t="s">
        <v>3861</v>
      </c>
      <c r="C253" s="2" t="s">
        <v>3849</v>
      </c>
      <c r="D253" s="2">
        <v>25013000</v>
      </c>
      <c r="E253" s="2" t="s">
        <v>3764</v>
      </c>
      <c r="F253" s="2" t="s">
        <v>63</v>
      </c>
      <c r="G253" s="2" t="s">
        <v>3574</v>
      </c>
      <c r="H253" s="2">
        <v>59517</v>
      </c>
    </row>
    <row r="254" spans="1:8">
      <c r="A254" s="2" t="s">
        <v>687</v>
      </c>
      <c r="B254" s="2" t="s">
        <v>3862</v>
      </c>
      <c r="C254" s="2" t="s">
        <v>3849</v>
      </c>
      <c r="D254" s="2">
        <v>25014000</v>
      </c>
      <c r="E254" s="2" t="s">
        <v>3764</v>
      </c>
      <c r="F254" s="2" t="s">
        <v>63</v>
      </c>
      <c r="G254" s="2" t="s">
        <v>3626</v>
      </c>
      <c r="H254" s="2">
        <v>18507</v>
      </c>
    </row>
    <row r="255" spans="1:8">
      <c r="A255" s="2" t="s">
        <v>3155</v>
      </c>
      <c r="B255" s="2" t="s">
        <v>3863</v>
      </c>
      <c r="C255" s="2" t="s">
        <v>3849</v>
      </c>
      <c r="D255" s="2">
        <v>25015000</v>
      </c>
      <c r="E255" s="2" t="s">
        <v>3764</v>
      </c>
      <c r="F255" s="2" t="s">
        <v>63</v>
      </c>
      <c r="G255" s="2" t="s">
        <v>3574</v>
      </c>
      <c r="H255" s="2">
        <v>7940</v>
      </c>
    </row>
    <row r="256" spans="2:5">
      <c r="B256" s="2" t="s">
        <v>20</v>
      </c>
      <c r="E256" s="2" t="s">
        <v>3764</v>
      </c>
    </row>
    <row r="257" spans="1:8">
      <c r="A257" s="2" t="s">
        <v>634</v>
      </c>
      <c r="B257" s="2" t="s">
        <v>3864</v>
      </c>
      <c r="C257" s="2" t="s">
        <v>3865</v>
      </c>
      <c r="D257" s="2">
        <v>25701000</v>
      </c>
      <c r="E257" s="2" t="s">
        <v>3764</v>
      </c>
      <c r="F257" s="2" t="s">
        <v>70</v>
      </c>
      <c r="G257" s="2" t="s">
        <v>3629</v>
      </c>
      <c r="H257" s="2">
        <v>27787</v>
      </c>
    </row>
    <row r="258" spans="1:8">
      <c r="A258" s="2" t="s">
        <v>635</v>
      </c>
      <c r="B258" s="2" t="s">
        <v>3866</v>
      </c>
      <c r="C258" s="2" t="s">
        <v>3865</v>
      </c>
      <c r="D258" s="2">
        <v>25702000</v>
      </c>
      <c r="E258" s="2" t="s">
        <v>3764</v>
      </c>
      <c r="F258" s="2" t="s">
        <v>70</v>
      </c>
      <c r="G258" s="2" t="s">
        <v>3629</v>
      </c>
      <c r="H258" s="2">
        <v>30582</v>
      </c>
    </row>
    <row r="259" spans="1:8">
      <c r="A259" s="2" t="s">
        <v>626</v>
      </c>
      <c r="B259" s="2" t="s">
        <v>3867</v>
      </c>
      <c r="C259" s="2" t="s">
        <v>3865</v>
      </c>
      <c r="D259" s="2">
        <v>25703000</v>
      </c>
      <c r="E259" s="2" t="s">
        <v>3764</v>
      </c>
      <c r="F259" s="2" t="s">
        <v>70</v>
      </c>
      <c r="G259" s="2" t="s">
        <v>3600</v>
      </c>
      <c r="H259" s="2">
        <v>52569</v>
      </c>
    </row>
    <row r="260" spans="1:8">
      <c r="A260" s="2" t="s">
        <v>636</v>
      </c>
      <c r="B260" s="2" t="s">
        <v>3868</v>
      </c>
      <c r="C260" s="2" t="s">
        <v>3865</v>
      </c>
      <c r="D260" s="2">
        <v>25704000</v>
      </c>
      <c r="E260" s="2" t="s">
        <v>3764</v>
      </c>
      <c r="F260" s="2" t="s">
        <v>70</v>
      </c>
      <c r="G260" s="2" t="s">
        <v>3574</v>
      </c>
      <c r="H260" s="2">
        <v>38499</v>
      </c>
    </row>
    <row r="261" spans="1:8">
      <c r="A261" s="2" t="s">
        <v>695</v>
      </c>
      <c r="B261" s="2" t="s">
        <v>3869</v>
      </c>
      <c r="C261" s="2" t="s">
        <v>3865</v>
      </c>
      <c r="D261" s="2">
        <v>25705000</v>
      </c>
      <c r="E261" s="2" t="s">
        <v>3764</v>
      </c>
      <c r="F261" s="2" t="s">
        <v>70</v>
      </c>
      <c r="G261" s="2" t="s">
        <v>3626</v>
      </c>
      <c r="H261" s="2">
        <v>16070</v>
      </c>
    </row>
    <row r="262" spans="1:8">
      <c r="A262" s="2" t="s">
        <v>694</v>
      </c>
      <c r="B262" s="2" t="s">
        <v>3870</v>
      </c>
      <c r="C262" s="2" t="s">
        <v>3865</v>
      </c>
      <c r="D262" s="2">
        <v>25706000</v>
      </c>
      <c r="E262" s="2" t="s">
        <v>3764</v>
      </c>
      <c r="F262" s="2" t="s">
        <v>70</v>
      </c>
      <c r="G262" s="2" t="s">
        <v>3574</v>
      </c>
      <c r="H262" s="2">
        <v>23484</v>
      </c>
    </row>
    <row r="263" spans="2:5">
      <c r="B263" s="2" t="s">
        <v>20</v>
      </c>
      <c r="E263" s="2" t="s">
        <v>3871</v>
      </c>
    </row>
    <row r="264" spans="1:8">
      <c r="A264" s="2" t="s">
        <v>2352</v>
      </c>
      <c r="B264" s="2" t="s">
        <v>3872</v>
      </c>
      <c r="C264" s="2" t="s">
        <v>3873</v>
      </c>
      <c r="D264" s="2">
        <v>37701000</v>
      </c>
      <c r="E264" s="2" t="s">
        <v>3871</v>
      </c>
      <c r="F264" s="2" t="s">
        <v>2181</v>
      </c>
      <c r="G264" s="2" t="s">
        <v>3629</v>
      </c>
      <c r="H264" s="2">
        <v>39562</v>
      </c>
    </row>
    <row r="265" spans="1:8">
      <c r="A265" s="2" t="s">
        <v>2427</v>
      </c>
      <c r="B265" s="2" t="s">
        <v>3874</v>
      </c>
      <c r="C265" s="2" t="s">
        <v>3873</v>
      </c>
      <c r="D265" s="2">
        <v>37702000</v>
      </c>
      <c r="E265" s="2" t="s">
        <v>3871</v>
      </c>
      <c r="F265" s="2" t="s">
        <v>2181</v>
      </c>
      <c r="G265" s="2" t="s">
        <v>3600</v>
      </c>
      <c r="H265" s="2">
        <v>24313</v>
      </c>
    </row>
    <row r="266" spans="1:8">
      <c r="A266" s="2" t="s">
        <v>2495</v>
      </c>
      <c r="B266" s="2" t="s">
        <v>3875</v>
      </c>
      <c r="C266" s="2" t="s">
        <v>3873</v>
      </c>
      <c r="D266" s="2">
        <v>37703000</v>
      </c>
      <c r="E266" s="2" t="s">
        <v>3871</v>
      </c>
      <c r="F266" s="2" t="s">
        <v>2181</v>
      </c>
      <c r="G266" s="2" t="s">
        <v>3629</v>
      </c>
      <c r="H266" s="2">
        <v>15835</v>
      </c>
    </row>
    <row r="267" spans="1:8">
      <c r="A267" s="2" t="s">
        <v>2564</v>
      </c>
      <c r="B267" s="2" t="s">
        <v>3876</v>
      </c>
      <c r="C267" s="2" t="s">
        <v>3873</v>
      </c>
      <c r="D267" s="2">
        <v>37704000</v>
      </c>
      <c r="E267" s="2" t="s">
        <v>3871</v>
      </c>
      <c r="F267" s="2" t="s">
        <v>2181</v>
      </c>
      <c r="G267" s="2" t="s">
        <v>3634</v>
      </c>
      <c r="H267" s="2">
        <v>11322</v>
      </c>
    </row>
    <row r="268" spans="1:8">
      <c r="A268" s="2" t="s">
        <v>2631</v>
      </c>
      <c r="B268" s="2" t="s">
        <v>3877</v>
      </c>
      <c r="C268" s="2" t="s">
        <v>3873</v>
      </c>
      <c r="D268" s="2">
        <v>37705000</v>
      </c>
      <c r="E268" s="2" t="s">
        <v>3871</v>
      </c>
      <c r="F268" s="2" t="s">
        <v>2181</v>
      </c>
      <c r="G268" s="2" t="s">
        <v>3629</v>
      </c>
      <c r="H268" s="2">
        <v>25482</v>
      </c>
    </row>
    <row r="269" spans="1:8">
      <c r="A269" s="2" t="s">
        <v>2696</v>
      </c>
      <c r="B269" s="2" t="s">
        <v>3878</v>
      </c>
      <c r="C269" s="2" t="s">
        <v>3873</v>
      </c>
      <c r="D269" s="2">
        <v>37706000</v>
      </c>
      <c r="E269" s="2" t="s">
        <v>3871</v>
      </c>
      <c r="F269" s="2" t="s">
        <v>2181</v>
      </c>
      <c r="G269" s="2" t="s">
        <v>3629</v>
      </c>
      <c r="H269" s="2">
        <v>29736</v>
      </c>
    </row>
    <row r="270" spans="1:8">
      <c r="A270" s="2" t="s">
        <v>2759</v>
      </c>
      <c r="B270" s="2" t="s">
        <v>3879</v>
      </c>
      <c r="C270" s="2" t="s">
        <v>3873</v>
      </c>
      <c r="D270" s="2">
        <v>37707000</v>
      </c>
      <c r="E270" s="2" t="s">
        <v>3871</v>
      </c>
      <c r="F270" s="2" t="s">
        <v>2181</v>
      </c>
      <c r="G270" s="2" t="s">
        <v>3600</v>
      </c>
      <c r="H270" s="2">
        <v>40734</v>
      </c>
    </row>
    <row r="271" spans="1:8">
      <c r="A271" s="2" t="s">
        <v>2818</v>
      </c>
      <c r="B271" s="2" t="s">
        <v>3880</v>
      </c>
      <c r="C271" s="2" t="s">
        <v>3873</v>
      </c>
      <c r="D271" s="2">
        <v>37708000</v>
      </c>
      <c r="E271" s="2" t="s">
        <v>3871</v>
      </c>
      <c r="F271" s="2" t="s">
        <v>2181</v>
      </c>
      <c r="G271" s="2" t="s">
        <v>3600</v>
      </c>
      <c r="H271" s="2">
        <v>27352</v>
      </c>
    </row>
    <row r="272" spans="2:5">
      <c r="B272" s="2" t="s">
        <v>20</v>
      </c>
      <c r="E272" s="2" t="s">
        <v>3871</v>
      </c>
    </row>
    <row r="273" spans="1:8">
      <c r="A273" s="2" t="s">
        <v>2353</v>
      </c>
      <c r="B273" s="2" t="s">
        <v>3881</v>
      </c>
      <c r="C273" s="2" t="s">
        <v>3882</v>
      </c>
      <c r="D273" s="2">
        <v>30803000</v>
      </c>
      <c r="E273" s="2" t="s">
        <v>3871</v>
      </c>
      <c r="F273" s="2" t="s">
        <v>2195</v>
      </c>
      <c r="G273" s="2" t="s">
        <v>3634</v>
      </c>
      <c r="H273" s="2">
        <v>96061</v>
      </c>
    </row>
    <row r="274" spans="1:8">
      <c r="A274" s="2" t="s">
        <v>2428</v>
      </c>
      <c r="B274" s="2" t="s">
        <v>3883</v>
      </c>
      <c r="C274" s="2" t="s">
        <v>3884</v>
      </c>
      <c r="D274" s="2">
        <v>30801000</v>
      </c>
      <c r="E274" s="2" t="s">
        <v>3871</v>
      </c>
      <c r="F274" s="2" t="s">
        <v>2195</v>
      </c>
      <c r="G274" s="2" t="s">
        <v>3629</v>
      </c>
      <c r="H274" s="2">
        <v>39880</v>
      </c>
    </row>
    <row r="275" spans="1:8">
      <c r="A275" s="2" t="s">
        <v>2496</v>
      </c>
      <c r="B275" s="2" t="s">
        <v>3885</v>
      </c>
      <c r="C275" s="2" t="s">
        <v>3882</v>
      </c>
      <c r="D275" s="2">
        <v>30802000</v>
      </c>
      <c r="E275" s="2" t="s">
        <v>3871</v>
      </c>
      <c r="F275" s="2" t="s">
        <v>2195</v>
      </c>
      <c r="G275" s="2" t="s">
        <v>3629</v>
      </c>
      <c r="H275" s="2">
        <v>26936</v>
      </c>
    </row>
    <row r="276" spans="1:8">
      <c r="A276" s="2" t="s">
        <v>2565</v>
      </c>
      <c r="B276" s="2" t="s">
        <v>3886</v>
      </c>
      <c r="C276" s="2" t="s">
        <v>3884</v>
      </c>
      <c r="D276" s="2">
        <v>30804000</v>
      </c>
      <c r="E276" s="2" t="s">
        <v>3871</v>
      </c>
      <c r="F276" s="2" t="s">
        <v>2195</v>
      </c>
      <c r="G276" s="2" t="s">
        <v>3574</v>
      </c>
      <c r="H276" s="2">
        <v>106371</v>
      </c>
    </row>
    <row r="277" spans="1:8">
      <c r="A277" s="2" t="s">
        <v>2632</v>
      </c>
      <c r="B277" s="2" t="s">
        <v>3887</v>
      </c>
      <c r="C277" s="2" t="s">
        <v>3884</v>
      </c>
      <c r="D277" s="2">
        <v>30805000</v>
      </c>
      <c r="E277" s="2" t="s">
        <v>3871</v>
      </c>
      <c r="F277" s="2" t="s">
        <v>2195</v>
      </c>
      <c r="G277" s="2" t="s">
        <v>3574</v>
      </c>
      <c r="H277" s="2">
        <v>65862</v>
      </c>
    </row>
    <row r="278" spans="1:8">
      <c r="A278" s="2" t="s">
        <v>2697</v>
      </c>
      <c r="B278" s="2" t="s">
        <v>3888</v>
      </c>
      <c r="C278" s="2" t="s">
        <v>3882</v>
      </c>
      <c r="D278" s="2">
        <v>30806000</v>
      </c>
      <c r="E278" s="2" t="s">
        <v>3871</v>
      </c>
      <c r="F278" s="2" t="s">
        <v>2195</v>
      </c>
      <c r="G278" s="2" t="s">
        <v>3574</v>
      </c>
      <c r="H278" s="2">
        <v>68071</v>
      </c>
    </row>
    <row r="279" spans="1:8">
      <c r="A279" s="2" t="s">
        <v>2760</v>
      </c>
      <c r="B279" s="2" t="s">
        <v>3889</v>
      </c>
      <c r="C279" s="2" t="s">
        <v>3882</v>
      </c>
      <c r="D279" s="2">
        <v>30807000</v>
      </c>
      <c r="E279" s="2" t="s">
        <v>3871</v>
      </c>
      <c r="F279" s="2" t="s">
        <v>2195</v>
      </c>
      <c r="G279" s="2" t="s">
        <v>3574</v>
      </c>
      <c r="H279" s="2">
        <v>127536</v>
      </c>
    </row>
    <row r="280" spans="1:8">
      <c r="A280" s="2" t="s">
        <v>2819</v>
      </c>
      <c r="B280" s="2" t="s">
        <v>3890</v>
      </c>
      <c r="C280" s="2" t="s">
        <v>3884</v>
      </c>
      <c r="D280" s="2">
        <v>30808000</v>
      </c>
      <c r="E280" s="2" t="s">
        <v>3871</v>
      </c>
      <c r="F280" s="2" t="s">
        <v>2195</v>
      </c>
      <c r="G280" s="2" t="s">
        <v>3629</v>
      </c>
      <c r="H280" s="2">
        <v>29901</v>
      </c>
    </row>
    <row r="281" spans="1:8">
      <c r="A281" s="2" t="s">
        <v>2873</v>
      </c>
      <c r="B281" s="2" t="s">
        <v>3891</v>
      </c>
      <c r="C281" s="2" t="s">
        <v>3884</v>
      </c>
      <c r="D281" s="2">
        <v>30809000</v>
      </c>
      <c r="E281" s="2" t="s">
        <v>3871</v>
      </c>
      <c r="F281" s="2" t="s">
        <v>2195</v>
      </c>
      <c r="G281" s="2" t="s">
        <v>3629</v>
      </c>
      <c r="H281" s="2">
        <v>66909</v>
      </c>
    </row>
    <row r="282" spans="1:8">
      <c r="A282" s="2" t="s">
        <v>2927</v>
      </c>
      <c r="B282" s="2" t="s">
        <v>3892</v>
      </c>
      <c r="C282" s="2" t="s">
        <v>3882</v>
      </c>
      <c r="D282" s="2">
        <v>30810000</v>
      </c>
      <c r="E282" s="2" t="s">
        <v>3871</v>
      </c>
      <c r="F282" s="2" t="s">
        <v>2195</v>
      </c>
      <c r="G282" s="2" t="s">
        <v>3600</v>
      </c>
      <c r="H282" s="2">
        <v>56002</v>
      </c>
    </row>
    <row r="283" spans="1:8">
      <c r="A283" s="2" t="s">
        <v>2980</v>
      </c>
      <c r="B283" s="2" t="s">
        <v>3893</v>
      </c>
      <c r="C283" s="2" t="s">
        <v>3882</v>
      </c>
      <c r="D283" s="2">
        <v>30811000</v>
      </c>
      <c r="E283" s="2" t="s">
        <v>3871</v>
      </c>
      <c r="F283" s="2" t="s">
        <v>2195</v>
      </c>
      <c r="G283" s="2" t="s">
        <v>3629</v>
      </c>
      <c r="H283" s="2">
        <v>41823</v>
      </c>
    </row>
    <row r="284" spans="1:8">
      <c r="A284" s="2" t="s">
        <v>3030</v>
      </c>
      <c r="B284" s="2" t="s">
        <v>3894</v>
      </c>
      <c r="C284" s="2" t="s">
        <v>3884</v>
      </c>
      <c r="D284" s="2">
        <v>30812000</v>
      </c>
      <c r="E284" s="2" t="s">
        <v>3871</v>
      </c>
      <c r="F284" s="2" t="s">
        <v>2195</v>
      </c>
      <c r="G284" s="2" t="s">
        <v>3634</v>
      </c>
      <c r="H284" s="2">
        <v>35298</v>
      </c>
    </row>
    <row r="285" spans="2:5">
      <c r="B285" s="2" t="s">
        <v>20</v>
      </c>
      <c r="E285" s="2" t="s">
        <v>3871</v>
      </c>
    </row>
    <row r="286" spans="1:8">
      <c r="A286" s="2" t="s">
        <v>3400</v>
      </c>
      <c r="B286" s="2" t="s">
        <v>3895</v>
      </c>
      <c r="C286" s="2" t="s">
        <v>3896</v>
      </c>
      <c r="D286" s="2">
        <v>31420000</v>
      </c>
      <c r="E286" s="2" t="s">
        <v>3871</v>
      </c>
      <c r="F286" s="2" t="s">
        <v>2209</v>
      </c>
      <c r="G286" s="2" t="s">
        <v>3574</v>
      </c>
      <c r="H286" s="2">
        <v>574089</v>
      </c>
    </row>
    <row r="287" spans="2:5">
      <c r="B287" s="2" t="s">
        <v>20</v>
      </c>
      <c r="E287" s="2" t="s">
        <v>3871</v>
      </c>
    </row>
    <row r="288" spans="1:8">
      <c r="A288" s="2" t="s">
        <v>2354</v>
      </c>
      <c r="B288" s="2" t="s">
        <v>3897</v>
      </c>
      <c r="C288" s="2" t="s">
        <v>3898</v>
      </c>
      <c r="D288" s="2">
        <v>31410000</v>
      </c>
      <c r="E288" s="2" t="s">
        <v>3871</v>
      </c>
      <c r="F288" s="2" t="s">
        <v>2209</v>
      </c>
      <c r="G288" s="2" t="s">
        <v>3629</v>
      </c>
      <c r="H288" s="2">
        <v>252074</v>
      </c>
    </row>
    <row r="289" spans="1:8">
      <c r="A289" s="2" t="s">
        <v>2429</v>
      </c>
      <c r="B289" s="2" t="s">
        <v>3899</v>
      </c>
      <c r="C289" s="2" t="s">
        <v>3900</v>
      </c>
      <c r="D289" s="2">
        <v>31412000</v>
      </c>
      <c r="E289" s="2" t="s">
        <v>3871</v>
      </c>
      <c r="F289" s="2" t="s">
        <v>2209</v>
      </c>
      <c r="G289" s="2" t="s">
        <v>3629</v>
      </c>
      <c r="H289" s="2">
        <v>209083</v>
      </c>
    </row>
    <row r="290" spans="1:8">
      <c r="A290" s="2" t="s">
        <v>2497</v>
      </c>
      <c r="B290" s="2" t="s">
        <v>3901</v>
      </c>
      <c r="C290" s="2" t="s">
        <v>3902</v>
      </c>
      <c r="D290" s="2">
        <v>31401000</v>
      </c>
      <c r="E290" s="2" t="s">
        <v>3871</v>
      </c>
      <c r="F290" s="2" t="s">
        <v>2209</v>
      </c>
      <c r="G290" s="2" t="s">
        <v>3574</v>
      </c>
      <c r="H290" s="2">
        <v>59237</v>
      </c>
    </row>
    <row r="291" spans="1:8">
      <c r="A291" s="2" t="s">
        <v>2566</v>
      </c>
      <c r="B291" s="2" t="s">
        <v>3903</v>
      </c>
      <c r="C291" s="2" t="s">
        <v>3904</v>
      </c>
      <c r="D291" s="2">
        <v>31402000</v>
      </c>
      <c r="E291" s="2" t="s">
        <v>3871</v>
      </c>
      <c r="F291" s="2" t="s">
        <v>2209</v>
      </c>
      <c r="G291" s="2" t="s">
        <v>3574</v>
      </c>
      <c r="H291" s="2">
        <v>73929</v>
      </c>
    </row>
    <row r="292" spans="1:8">
      <c r="A292" s="2" t="s">
        <v>2633</v>
      </c>
      <c r="B292" s="2" t="s">
        <v>3905</v>
      </c>
      <c r="C292" s="2" t="s">
        <v>3904</v>
      </c>
      <c r="D292" s="2">
        <v>31403000</v>
      </c>
      <c r="E292" s="2" t="s">
        <v>3871</v>
      </c>
      <c r="F292" s="2" t="s">
        <v>2209</v>
      </c>
      <c r="G292" s="2" t="s">
        <v>3574</v>
      </c>
      <c r="H292" s="2">
        <v>149954</v>
      </c>
    </row>
    <row r="293" spans="1:8">
      <c r="A293" s="2" t="s">
        <v>2698</v>
      </c>
      <c r="B293" s="2" t="s">
        <v>3906</v>
      </c>
      <c r="C293" s="2" t="s">
        <v>3904</v>
      </c>
      <c r="D293" s="2">
        <v>31404000</v>
      </c>
      <c r="E293" s="2" t="s">
        <v>3871</v>
      </c>
      <c r="F293" s="2" t="s">
        <v>2209</v>
      </c>
      <c r="G293" s="2" t="s">
        <v>3574</v>
      </c>
      <c r="H293" s="2">
        <v>119675</v>
      </c>
    </row>
    <row r="294" spans="1:8">
      <c r="A294" s="2" t="s">
        <v>2277</v>
      </c>
      <c r="B294" s="2" t="s">
        <v>3907</v>
      </c>
      <c r="C294" s="2" t="s">
        <v>3898</v>
      </c>
      <c r="D294" s="2">
        <v>31405000</v>
      </c>
      <c r="E294" s="2" t="s">
        <v>3871</v>
      </c>
      <c r="F294" s="2" t="s">
        <v>2209</v>
      </c>
      <c r="G294" s="2" t="s">
        <v>3574</v>
      </c>
      <c r="H294" s="2">
        <v>76565</v>
      </c>
    </row>
    <row r="295" spans="1:8">
      <c r="A295" s="2" t="s">
        <v>2820</v>
      </c>
      <c r="B295" s="2" t="s">
        <v>3908</v>
      </c>
      <c r="C295" s="2" t="s">
        <v>3904</v>
      </c>
      <c r="D295" s="2">
        <v>31406000</v>
      </c>
      <c r="E295" s="2" t="s">
        <v>3871</v>
      </c>
      <c r="F295" s="2" t="s">
        <v>2209</v>
      </c>
      <c r="G295" s="2" t="s">
        <v>3600</v>
      </c>
      <c r="H295" s="2">
        <v>67039</v>
      </c>
    </row>
    <row r="296" spans="1:8">
      <c r="A296" s="2" t="s">
        <v>2874</v>
      </c>
      <c r="B296" s="2" t="s">
        <v>3909</v>
      </c>
      <c r="C296" s="2" t="s">
        <v>3898</v>
      </c>
      <c r="D296" s="2">
        <v>31407000</v>
      </c>
      <c r="E296" s="2" t="s">
        <v>3871</v>
      </c>
      <c r="F296" s="2" t="s">
        <v>2209</v>
      </c>
      <c r="G296" s="2" t="s">
        <v>3574</v>
      </c>
      <c r="H296" s="2">
        <v>108757</v>
      </c>
    </row>
    <row r="297" spans="1:8">
      <c r="A297" s="2" t="s">
        <v>2928</v>
      </c>
      <c r="B297" s="2" t="s">
        <v>3910</v>
      </c>
      <c r="C297" s="2" t="s">
        <v>3904</v>
      </c>
      <c r="D297" s="2">
        <v>31408000</v>
      </c>
      <c r="E297" s="2" t="s">
        <v>3871</v>
      </c>
      <c r="F297" s="2" t="s">
        <v>2209</v>
      </c>
      <c r="G297" s="2" t="s">
        <v>3574</v>
      </c>
      <c r="H297" s="2">
        <v>99730</v>
      </c>
    </row>
    <row r="298" spans="1:8">
      <c r="A298" s="2" t="s">
        <v>2542</v>
      </c>
      <c r="B298" s="2" t="s">
        <v>3911</v>
      </c>
      <c r="C298" s="2" t="s">
        <v>3898</v>
      </c>
      <c r="D298" s="2">
        <v>31409000</v>
      </c>
      <c r="E298" s="2" t="s">
        <v>3871</v>
      </c>
      <c r="F298" s="2" t="s">
        <v>2209</v>
      </c>
      <c r="G298" s="2" t="s">
        <v>3574</v>
      </c>
      <c r="H298" s="2">
        <v>129807</v>
      </c>
    </row>
    <row r="299" spans="1:8">
      <c r="A299" s="2" t="s">
        <v>3031</v>
      </c>
      <c r="B299" s="2" t="s">
        <v>3912</v>
      </c>
      <c r="C299" s="2" t="s">
        <v>3900</v>
      </c>
      <c r="D299" s="2">
        <v>31411000</v>
      </c>
      <c r="E299" s="2" t="s">
        <v>3871</v>
      </c>
      <c r="F299" s="2" t="s">
        <v>2209</v>
      </c>
      <c r="G299" s="2" t="s">
        <v>3574</v>
      </c>
      <c r="H299" s="2">
        <v>221965</v>
      </c>
    </row>
    <row r="300" spans="1:8">
      <c r="A300" s="2" t="s">
        <v>3076</v>
      </c>
      <c r="B300" s="2" t="s">
        <v>3913</v>
      </c>
      <c r="C300" s="2" t="s">
        <v>3902</v>
      </c>
      <c r="D300" s="2">
        <v>31413000</v>
      </c>
      <c r="E300" s="2" t="s">
        <v>3871</v>
      </c>
      <c r="F300" s="2" t="s">
        <v>2209</v>
      </c>
      <c r="G300" s="2" t="s">
        <v>3574</v>
      </c>
      <c r="H300" s="2">
        <v>111348</v>
      </c>
    </row>
    <row r="301" spans="1:8">
      <c r="A301" s="2" t="s">
        <v>3114</v>
      </c>
      <c r="B301" s="2" t="s">
        <v>3914</v>
      </c>
      <c r="C301" s="2" t="s">
        <v>3900</v>
      </c>
      <c r="D301" s="2">
        <v>31414000</v>
      </c>
      <c r="E301" s="2" t="s">
        <v>3871</v>
      </c>
      <c r="F301" s="2" t="s">
        <v>2209</v>
      </c>
      <c r="G301" s="2" t="s">
        <v>3600</v>
      </c>
      <c r="H301" s="2">
        <v>59197</v>
      </c>
    </row>
    <row r="302" spans="1:8">
      <c r="A302" s="2" t="s">
        <v>3156</v>
      </c>
      <c r="B302" s="2" t="s">
        <v>3915</v>
      </c>
      <c r="C302" s="2" t="s">
        <v>3904</v>
      </c>
      <c r="D302" s="2">
        <v>31415000</v>
      </c>
      <c r="E302" s="2" t="s">
        <v>3871</v>
      </c>
      <c r="F302" s="2" t="s">
        <v>2209</v>
      </c>
      <c r="G302" s="2" t="s">
        <v>3600</v>
      </c>
      <c r="H302" s="2">
        <v>89075</v>
      </c>
    </row>
    <row r="303" spans="1:8">
      <c r="A303" s="2" t="s">
        <v>3192</v>
      </c>
      <c r="B303" s="2" t="s">
        <v>3916</v>
      </c>
      <c r="C303" s="2" t="s">
        <v>3898</v>
      </c>
      <c r="D303" s="2">
        <v>31416000</v>
      </c>
      <c r="E303" s="2" t="s">
        <v>3871</v>
      </c>
      <c r="F303" s="2" t="s">
        <v>2209</v>
      </c>
      <c r="G303" s="2" t="s">
        <v>3629</v>
      </c>
      <c r="H303" s="2">
        <v>53294</v>
      </c>
    </row>
    <row r="304" spans="1:8">
      <c r="A304" s="2" t="s">
        <v>3104</v>
      </c>
      <c r="B304" s="2" t="s">
        <v>3917</v>
      </c>
      <c r="C304" s="2" t="s">
        <v>3904</v>
      </c>
      <c r="D304" s="2">
        <v>31417000</v>
      </c>
      <c r="E304" s="2" t="s">
        <v>3871</v>
      </c>
      <c r="F304" s="2" t="s">
        <v>2209</v>
      </c>
      <c r="G304" s="2" t="s">
        <v>3574</v>
      </c>
      <c r="H304" s="2">
        <v>107805</v>
      </c>
    </row>
    <row r="305" spans="1:8">
      <c r="A305" s="2" t="s">
        <v>3257</v>
      </c>
      <c r="B305" s="2" t="s">
        <v>3918</v>
      </c>
      <c r="C305" s="2" t="s">
        <v>3898</v>
      </c>
      <c r="D305" s="2">
        <v>31418000</v>
      </c>
      <c r="E305" s="2" t="s">
        <v>3871</v>
      </c>
      <c r="F305" s="2" t="s">
        <v>2209</v>
      </c>
      <c r="G305" s="2" t="s">
        <v>3574</v>
      </c>
      <c r="H305" s="2">
        <v>97323</v>
      </c>
    </row>
    <row r="306" spans="1:8">
      <c r="A306" s="2" t="s">
        <v>3284</v>
      </c>
      <c r="B306" s="2" t="s">
        <v>3919</v>
      </c>
      <c r="C306" s="2" t="s">
        <v>3902</v>
      </c>
      <c r="D306" s="2">
        <v>31419000</v>
      </c>
      <c r="E306" s="2" t="s">
        <v>3871</v>
      </c>
      <c r="F306" s="2" t="s">
        <v>2209</v>
      </c>
      <c r="G306" s="2" t="s">
        <v>3574</v>
      </c>
      <c r="H306" s="2">
        <v>104471</v>
      </c>
    </row>
    <row r="307" spans="1:8">
      <c r="A307" s="2" t="s">
        <v>2890</v>
      </c>
      <c r="B307" s="2" t="s">
        <v>3920</v>
      </c>
      <c r="C307" s="2" t="s">
        <v>3902</v>
      </c>
      <c r="D307" s="2">
        <v>31421000</v>
      </c>
      <c r="E307" s="2" t="s">
        <v>3871</v>
      </c>
      <c r="F307" s="2" t="s">
        <v>2209</v>
      </c>
      <c r="G307" s="2" t="s">
        <v>3574</v>
      </c>
      <c r="H307" s="2">
        <v>153882</v>
      </c>
    </row>
    <row r="308" spans="1:8">
      <c r="A308" s="2" t="s">
        <v>3334</v>
      </c>
      <c r="B308" s="2" t="s">
        <v>3921</v>
      </c>
      <c r="C308" s="2" t="s">
        <v>3902</v>
      </c>
      <c r="D308" s="2">
        <v>31422000</v>
      </c>
      <c r="E308" s="2" t="s">
        <v>3871</v>
      </c>
      <c r="F308" s="2" t="s">
        <v>2209</v>
      </c>
      <c r="G308" s="2" t="s">
        <v>3574</v>
      </c>
      <c r="H308" s="2">
        <v>94655</v>
      </c>
    </row>
    <row r="309" spans="1:8">
      <c r="A309" s="2" t="s">
        <v>624</v>
      </c>
      <c r="B309" s="2" t="s">
        <v>3922</v>
      </c>
      <c r="C309" s="2" t="s">
        <v>3900</v>
      </c>
      <c r="D309" s="2">
        <v>31423000</v>
      </c>
      <c r="E309" s="2" t="s">
        <v>3871</v>
      </c>
      <c r="F309" s="2" t="s">
        <v>2209</v>
      </c>
      <c r="G309" s="2" t="s">
        <v>3574</v>
      </c>
      <c r="H309" s="2">
        <v>256454</v>
      </c>
    </row>
    <row r="310" spans="1:8">
      <c r="A310" s="2" t="s">
        <v>3381</v>
      </c>
      <c r="B310" s="2" t="s">
        <v>3923</v>
      </c>
      <c r="C310" s="2" t="s">
        <v>3902</v>
      </c>
      <c r="D310" s="2">
        <v>31424000</v>
      </c>
      <c r="E310" s="2" t="s">
        <v>3871</v>
      </c>
      <c r="F310" s="2" t="s">
        <v>2209</v>
      </c>
      <c r="G310" s="2" t="s">
        <v>3574</v>
      </c>
      <c r="H310" s="2">
        <v>22663</v>
      </c>
    </row>
    <row r="311" spans="2:5">
      <c r="B311" s="2" t="s">
        <v>20</v>
      </c>
      <c r="E311" s="2" t="s">
        <v>3871</v>
      </c>
    </row>
    <row r="312" spans="1:8">
      <c r="A312" s="2" t="s">
        <v>2355</v>
      </c>
      <c r="B312" s="2" t="s">
        <v>3924</v>
      </c>
      <c r="C312" s="2" t="s">
        <v>3925</v>
      </c>
      <c r="D312" s="2">
        <v>34903000</v>
      </c>
      <c r="E312" s="2" t="s">
        <v>3871</v>
      </c>
      <c r="F312" s="2" t="s">
        <v>2223</v>
      </c>
      <c r="G312" s="2" t="s">
        <v>3574</v>
      </c>
      <c r="H312" s="2">
        <v>302231</v>
      </c>
    </row>
    <row r="313" spans="1:8">
      <c r="A313" s="2" t="s">
        <v>2430</v>
      </c>
      <c r="B313" s="2" t="s">
        <v>3926</v>
      </c>
      <c r="C313" s="2" t="s">
        <v>3927</v>
      </c>
      <c r="D313" s="2">
        <v>34908000</v>
      </c>
      <c r="E313" s="2" t="s">
        <v>3871</v>
      </c>
      <c r="F313" s="2" t="s">
        <v>2223</v>
      </c>
      <c r="G313" s="2" t="s">
        <v>3634</v>
      </c>
      <c r="H313" s="2">
        <v>110303</v>
      </c>
    </row>
    <row r="314" spans="1:8">
      <c r="A314" s="2" t="s">
        <v>2498</v>
      </c>
      <c r="B314" s="2" t="s">
        <v>3928</v>
      </c>
      <c r="C314" s="2" t="s">
        <v>3929</v>
      </c>
      <c r="D314" s="2">
        <v>34917000</v>
      </c>
      <c r="E314" s="2" t="s">
        <v>3871</v>
      </c>
      <c r="F314" s="2" t="s">
        <v>2223</v>
      </c>
      <c r="G314" s="2" t="s">
        <v>3634</v>
      </c>
      <c r="H314" s="2">
        <v>81483</v>
      </c>
    </row>
    <row r="315" spans="1:8">
      <c r="A315" s="2" t="s">
        <v>2567</v>
      </c>
      <c r="B315" s="2" t="s">
        <v>3930</v>
      </c>
      <c r="C315" s="2" t="s">
        <v>3925</v>
      </c>
      <c r="D315" s="2">
        <v>34919000</v>
      </c>
      <c r="E315" s="2" t="s">
        <v>3871</v>
      </c>
      <c r="F315" s="2" t="s">
        <v>2223</v>
      </c>
      <c r="G315" s="2" t="s">
        <v>3626</v>
      </c>
      <c r="H315" s="2">
        <v>41041</v>
      </c>
    </row>
    <row r="316" spans="1:8">
      <c r="A316" s="2" t="s">
        <v>2634</v>
      </c>
      <c r="B316" s="2" t="s">
        <v>3931</v>
      </c>
      <c r="C316" s="2" t="s">
        <v>3929</v>
      </c>
      <c r="D316" s="2">
        <v>34926000</v>
      </c>
      <c r="E316" s="2" t="s">
        <v>3871</v>
      </c>
      <c r="F316" s="2" t="s">
        <v>2223</v>
      </c>
      <c r="G316" s="2" t="s">
        <v>3629</v>
      </c>
      <c r="H316" s="2">
        <v>139738</v>
      </c>
    </row>
    <row r="317" spans="1:8">
      <c r="A317" s="2" t="s">
        <v>2699</v>
      </c>
      <c r="B317" s="2" t="s">
        <v>3932</v>
      </c>
      <c r="C317" s="2" t="s">
        <v>3933</v>
      </c>
      <c r="D317" s="2">
        <v>34901000</v>
      </c>
      <c r="E317" s="2" t="s">
        <v>3871</v>
      </c>
      <c r="F317" s="2" t="s">
        <v>2223</v>
      </c>
      <c r="G317" s="2" t="s">
        <v>3600</v>
      </c>
      <c r="H317" s="2">
        <v>63543</v>
      </c>
    </row>
    <row r="318" spans="1:8">
      <c r="A318" s="2" t="s">
        <v>2761</v>
      </c>
      <c r="B318" s="2" t="s">
        <v>3934</v>
      </c>
      <c r="C318" s="2" t="s">
        <v>3925</v>
      </c>
      <c r="D318" s="2">
        <v>34902000</v>
      </c>
      <c r="E318" s="2" t="s">
        <v>3871</v>
      </c>
      <c r="F318" s="2" t="s">
        <v>2223</v>
      </c>
      <c r="G318" s="2" t="s">
        <v>3600</v>
      </c>
      <c r="H318" s="2">
        <v>64173</v>
      </c>
    </row>
    <row r="319" spans="1:8">
      <c r="A319" s="2" t="s">
        <v>2821</v>
      </c>
      <c r="B319" s="2" t="s">
        <v>3935</v>
      </c>
      <c r="C319" s="2" t="s">
        <v>3927</v>
      </c>
      <c r="D319" s="2">
        <v>34904000</v>
      </c>
      <c r="E319" s="2" t="s">
        <v>3871</v>
      </c>
      <c r="F319" s="2" t="s">
        <v>2223</v>
      </c>
      <c r="G319" s="2" t="s">
        <v>3574</v>
      </c>
      <c r="H319" s="2">
        <v>79007</v>
      </c>
    </row>
    <row r="320" spans="1:8">
      <c r="A320" s="2" t="s">
        <v>2875</v>
      </c>
      <c r="B320" s="2" t="s">
        <v>3936</v>
      </c>
      <c r="C320" s="2" t="s">
        <v>3929</v>
      </c>
      <c r="D320" s="2">
        <v>34905000</v>
      </c>
      <c r="E320" s="2" t="s">
        <v>3871</v>
      </c>
      <c r="F320" s="2" t="s">
        <v>2223</v>
      </c>
      <c r="G320" s="2" t="s">
        <v>3574</v>
      </c>
      <c r="H320" s="2">
        <v>41131</v>
      </c>
    </row>
    <row r="321" spans="1:8">
      <c r="A321" s="2" t="s">
        <v>2929</v>
      </c>
      <c r="B321" s="2" t="s">
        <v>3937</v>
      </c>
      <c r="C321" s="2" t="s">
        <v>3933</v>
      </c>
      <c r="D321" s="2">
        <v>34906000</v>
      </c>
      <c r="E321" s="2" t="s">
        <v>3871</v>
      </c>
      <c r="F321" s="2" t="s">
        <v>2223</v>
      </c>
      <c r="G321" s="2" t="s">
        <v>3574</v>
      </c>
      <c r="H321" s="2">
        <v>65039</v>
      </c>
    </row>
    <row r="322" spans="1:8">
      <c r="A322" s="2" t="s">
        <v>2981</v>
      </c>
      <c r="B322" s="2" t="s">
        <v>3938</v>
      </c>
      <c r="C322" s="2" t="s">
        <v>3925</v>
      </c>
      <c r="D322" s="2">
        <v>34907000</v>
      </c>
      <c r="E322" s="2" t="s">
        <v>3871</v>
      </c>
      <c r="F322" s="2" t="s">
        <v>2223</v>
      </c>
      <c r="G322" s="2" t="s">
        <v>3634</v>
      </c>
      <c r="H322" s="2">
        <v>35383</v>
      </c>
    </row>
    <row r="323" spans="1:8">
      <c r="A323" s="2" t="s">
        <v>3032</v>
      </c>
      <c r="B323" s="2" t="s">
        <v>3939</v>
      </c>
      <c r="C323" s="2" t="s">
        <v>3925</v>
      </c>
      <c r="D323" s="2">
        <v>34909000</v>
      </c>
      <c r="E323" s="2" t="s">
        <v>3871</v>
      </c>
      <c r="F323" s="2" t="s">
        <v>2223</v>
      </c>
      <c r="G323" s="2" t="s">
        <v>3629</v>
      </c>
      <c r="H323" s="2">
        <v>41656</v>
      </c>
    </row>
    <row r="324" spans="1:8">
      <c r="A324" s="2" t="s">
        <v>3077</v>
      </c>
      <c r="B324" s="2" t="s">
        <v>3940</v>
      </c>
      <c r="C324" s="2" t="s">
        <v>3927</v>
      </c>
      <c r="D324" s="2">
        <v>34910000</v>
      </c>
      <c r="E324" s="2" t="s">
        <v>3871</v>
      </c>
      <c r="F324" s="2" t="s">
        <v>2223</v>
      </c>
      <c r="G324" s="2" t="s">
        <v>3574</v>
      </c>
      <c r="H324" s="2">
        <v>47865</v>
      </c>
    </row>
    <row r="325" spans="1:8">
      <c r="A325" s="2" t="s">
        <v>3115</v>
      </c>
      <c r="B325" s="2" t="s">
        <v>3941</v>
      </c>
      <c r="C325" s="2" t="s">
        <v>3933</v>
      </c>
      <c r="D325" s="2">
        <v>34911000</v>
      </c>
      <c r="E325" s="2" t="s">
        <v>3871</v>
      </c>
      <c r="F325" s="2" t="s">
        <v>2223</v>
      </c>
      <c r="G325" s="2" t="s">
        <v>3574</v>
      </c>
      <c r="H325" s="2">
        <v>118655</v>
      </c>
    </row>
    <row r="326" spans="1:8">
      <c r="A326" s="2" t="s">
        <v>3157</v>
      </c>
      <c r="B326" s="2" t="s">
        <v>3942</v>
      </c>
      <c r="C326" s="2" t="s">
        <v>3927</v>
      </c>
      <c r="D326" s="2">
        <v>34912000</v>
      </c>
      <c r="E326" s="2" t="s">
        <v>3871</v>
      </c>
      <c r="F326" s="2" t="s">
        <v>2223</v>
      </c>
      <c r="G326" s="2" t="s">
        <v>3600</v>
      </c>
      <c r="H326" s="2">
        <v>73184</v>
      </c>
    </row>
    <row r="327" spans="1:8">
      <c r="A327" s="2" t="s">
        <v>3193</v>
      </c>
      <c r="B327" s="2" t="s">
        <v>3943</v>
      </c>
      <c r="C327" s="2" t="s">
        <v>3925</v>
      </c>
      <c r="D327" s="2">
        <v>34913000</v>
      </c>
      <c r="E327" s="2" t="s">
        <v>3871</v>
      </c>
      <c r="F327" s="2" t="s">
        <v>2223</v>
      </c>
      <c r="G327" s="2" t="s">
        <v>3629</v>
      </c>
      <c r="H327" s="2">
        <v>35656</v>
      </c>
    </row>
    <row r="328" spans="1:8">
      <c r="A328" s="2" t="s">
        <v>3226</v>
      </c>
      <c r="B328" s="2" t="s">
        <v>3944</v>
      </c>
      <c r="C328" s="2" t="s">
        <v>3933</v>
      </c>
      <c r="D328" s="2">
        <v>34914000</v>
      </c>
      <c r="E328" s="2" t="s">
        <v>3871</v>
      </c>
      <c r="F328" s="2" t="s">
        <v>2223</v>
      </c>
      <c r="G328" s="2" t="s">
        <v>3634</v>
      </c>
      <c r="H328" s="2">
        <v>28254</v>
      </c>
    </row>
    <row r="329" spans="1:8">
      <c r="A329" s="2" t="s">
        <v>3258</v>
      </c>
      <c r="B329" s="2" t="s">
        <v>3945</v>
      </c>
      <c r="C329" s="2" t="s">
        <v>3929</v>
      </c>
      <c r="D329" s="2">
        <v>34915000</v>
      </c>
      <c r="E329" s="2" t="s">
        <v>3871</v>
      </c>
      <c r="F329" s="2" t="s">
        <v>2223</v>
      </c>
      <c r="G329" s="2" t="s">
        <v>3634</v>
      </c>
      <c r="H329" s="2">
        <v>39701</v>
      </c>
    </row>
    <row r="330" spans="1:8">
      <c r="A330" s="2" t="s">
        <v>3285</v>
      </c>
      <c r="B330" s="2" t="s">
        <v>3946</v>
      </c>
      <c r="C330" s="2" t="s">
        <v>3929</v>
      </c>
      <c r="D330" s="2">
        <v>34916000</v>
      </c>
      <c r="E330" s="2" t="s">
        <v>3871</v>
      </c>
      <c r="F330" s="2" t="s">
        <v>2223</v>
      </c>
      <c r="G330" s="2" t="s">
        <v>3629</v>
      </c>
      <c r="H330" s="2">
        <v>43788</v>
      </c>
    </row>
    <row r="331" spans="1:8">
      <c r="A331" s="2" t="s">
        <v>3309</v>
      </c>
      <c r="B331" s="2" t="s">
        <v>3947</v>
      </c>
      <c r="C331" s="2" t="s">
        <v>3933</v>
      </c>
      <c r="D331" s="2">
        <v>34918000</v>
      </c>
      <c r="E331" s="2" t="s">
        <v>3871</v>
      </c>
      <c r="F331" s="2" t="s">
        <v>2223</v>
      </c>
      <c r="G331" s="2" t="s">
        <v>3626</v>
      </c>
      <c r="H331" s="2">
        <v>14954</v>
      </c>
    </row>
    <row r="332" spans="1:8">
      <c r="A332" s="2" t="s">
        <v>3335</v>
      </c>
      <c r="B332" s="2" t="s">
        <v>3948</v>
      </c>
      <c r="C332" s="2" t="s">
        <v>3929</v>
      </c>
      <c r="D332" s="2">
        <v>34920000</v>
      </c>
      <c r="E332" s="2" t="s">
        <v>3871</v>
      </c>
      <c r="F332" s="2" t="s">
        <v>2223</v>
      </c>
      <c r="G332" s="2" t="s">
        <v>3574</v>
      </c>
      <c r="H332" s="2">
        <v>29925</v>
      </c>
    </row>
    <row r="333" spans="1:8">
      <c r="A333" s="2" t="s">
        <v>3357</v>
      </c>
      <c r="B333" s="2" t="s">
        <v>3949</v>
      </c>
      <c r="C333" s="2" t="s">
        <v>3927</v>
      </c>
      <c r="D333" s="2">
        <v>34921000</v>
      </c>
      <c r="E333" s="2" t="s">
        <v>3871</v>
      </c>
      <c r="F333" s="2" t="s">
        <v>2223</v>
      </c>
      <c r="G333" s="2" t="s">
        <v>3634</v>
      </c>
      <c r="H333" s="2">
        <v>29882</v>
      </c>
    </row>
    <row r="334" spans="1:8">
      <c r="A334" s="2" t="s">
        <v>681</v>
      </c>
      <c r="B334" s="2" t="s">
        <v>3950</v>
      </c>
      <c r="C334" s="2" t="s">
        <v>3933</v>
      </c>
      <c r="D334" s="2">
        <v>34922000</v>
      </c>
      <c r="E334" s="2" t="s">
        <v>3871</v>
      </c>
      <c r="F334" s="2" t="s">
        <v>2223</v>
      </c>
      <c r="G334" s="2" t="s">
        <v>3634</v>
      </c>
      <c r="H334" s="2">
        <v>40592</v>
      </c>
    </row>
    <row r="335" spans="1:8">
      <c r="A335" s="2" t="s">
        <v>653</v>
      </c>
      <c r="B335" s="2" t="s">
        <v>3951</v>
      </c>
      <c r="C335" s="2" t="s">
        <v>3929</v>
      </c>
      <c r="D335" s="2">
        <v>34923000</v>
      </c>
      <c r="E335" s="2" t="s">
        <v>3871</v>
      </c>
      <c r="F335" s="2" t="s">
        <v>2223</v>
      </c>
      <c r="G335" s="2" t="s">
        <v>3600</v>
      </c>
      <c r="H335" s="2">
        <v>64087</v>
      </c>
    </row>
    <row r="336" spans="1:8">
      <c r="A336" s="2" t="s">
        <v>2878</v>
      </c>
      <c r="B336" s="2" t="s">
        <v>3952</v>
      </c>
      <c r="C336" s="2" t="s">
        <v>3927</v>
      </c>
      <c r="D336" s="2">
        <v>34924000</v>
      </c>
      <c r="E336" s="2" t="s">
        <v>3871</v>
      </c>
      <c r="F336" s="2" t="s">
        <v>2223</v>
      </c>
      <c r="G336" s="2" t="s">
        <v>3574</v>
      </c>
      <c r="H336" s="2">
        <v>77836</v>
      </c>
    </row>
    <row r="337" spans="1:8">
      <c r="A337" s="2" t="s">
        <v>686</v>
      </c>
      <c r="B337" s="2" t="s">
        <v>3953</v>
      </c>
      <c r="C337" s="2" t="s">
        <v>3927</v>
      </c>
      <c r="D337" s="2">
        <v>34925000</v>
      </c>
      <c r="E337" s="2" t="s">
        <v>3871</v>
      </c>
      <c r="F337" s="2" t="s">
        <v>2223</v>
      </c>
      <c r="G337" s="2" t="s">
        <v>3600</v>
      </c>
      <c r="H337" s="2">
        <v>51612</v>
      </c>
    </row>
    <row r="338" spans="1:8">
      <c r="A338" s="2" t="s">
        <v>3440</v>
      </c>
      <c r="B338" s="2" t="s">
        <v>3954</v>
      </c>
      <c r="C338" s="2" t="s">
        <v>3927</v>
      </c>
      <c r="D338" s="2">
        <v>34927000</v>
      </c>
      <c r="E338" s="2" t="s">
        <v>3871</v>
      </c>
      <c r="F338" s="2" t="s">
        <v>2223</v>
      </c>
      <c r="G338" s="2" t="s">
        <v>3574</v>
      </c>
      <c r="H338" s="2">
        <v>65299</v>
      </c>
    </row>
    <row r="339" spans="1:8">
      <c r="A339" s="2" t="s">
        <v>3451</v>
      </c>
      <c r="B339" s="2" t="s">
        <v>3955</v>
      </c>
      <c r="C339" s="2" t="s">
        <v>3925</v>
      </c>
      <c r="D339" s="2">
        <v>34928000</v>
      </c>
      <c r="E339" s="2" t="s">
        <v>3871</v>
      </c>
      <c r="F339" s="2" t="s">
        <v>2223</v>
      </c>
      <c r="G339" s="2" t="s">
        <v>3574</v>
      </c>
      <c r="H339" s="2">
        <v>69467</v>
      </c>
    </row>
    <row r="340" spans="1:8">
      <c r="A340" s="2" t="s">
        <v>3458</v>
      </c>
      <c r="B340" s="2" t="s">
        <v>3956</v>
      </c>
      <c r="C340" s="2" t="s">
        <v>3933</v>
      </c>
      <c r="D340" s="2">
        <v>34929000</v>
      </c>
      <c r="E340" s="2" t="s">
        <v>3871</v>
      </c>
      <c r="F340" s="2" t="s">
        <v>2223</v>
      </c>
      <c r="G340" s="2" t="s">
        <v>3629</v>
      </c>
      <c r="H340" s="2">
        <v>57943</v>
      </c>
    </row>
    <row r="341" spans="1:8">
      <c r="A341" s="2" t="s">
        <v>3469</v>
      </c>
      <c r="B341" s="2" t="s">
        <v>3957</v>
      </c>
      <c r="C341" s="2" t="s">
        <v>3933</v>
      </c>
      <c r="D341" s="2">
        <v>34930000</v>
      </c>
      <c r="E341" s="2" t="s">
        <v>3871</v>
      </c>
      <c r="F341" s="2" t="s">
        <v>2223</v>
      </c>
      <c r="G341" s="2" t="s">
        <v>3574</v>
      </c>
      <c r="H341" s="2">
        <v>124829</v>
      </c>
    </row>
    <row r="342" spans="1:8">
      <c r="A342" s="2" t="s">
        <v>3481</v>
      </c>
      <c r="B342" s="2" t="s">
        <v>3958</v>
      </c>
      <c r="C342" s="2" t="s">
        <v>3929</v>
      </c>
      <c r="D342" s="2">
        <v>34931000</v>
      </c>
      <c r="E342" s="2" t="s">
        <v>3871</v>
      </c>
      <c r="F342" s="2" t="s">
        <v>2223</v>
      </c>
      <c r="G342" s="2" t="s">
        <v>3634</v>
      </c>
      <c r="H342" s="2">
        <v>23817</v>
      </c>
    </row>
    <row r="343" spans="1:8">
      <c r="A343" s="2" t="s">
        <v>3489</v>
      </c>
      <c r="B343" s="2" t="s">
        <v>3959</v>
      </c>
      <c r="C343" s="2" t="s">
        <v>3933</v>
      </c>
      <c r="D343" s="2">
        <v>34932000</v>
      </c>
      <c r="E343" s="2" t="s">
        <v>3871</v>
      </c>
      <c r="F343" s="2" t="s">
        <v>2223</v>
      </c>
      <c r="G343" s="2" t="s">
        <v>3629</v>
      </c>
      <c r="H343" s="2">
        <v>49387</v>
      </c>
    </row>
    <row r="344" spans="2:5">
      <c r="B344" s="2" t="s">
        <v>20</v>
      </c>
      <c r="E344" s="2" t="s">
        <v>3871</v>
      </c>
    </row>
    <row r="345" spans="1:8">
      <c r="A345" s="2" t="s">
        <v>2356</v>
      </c>
      <c r="B345" s="2" t="s">
        <v>3960</v>
      </c>
      <c r="C345" s="2" t="s">
        <v>3961</v>
      </c>
      <c r="D345" s="2">
        <v>35401000</v>
      </c>
      <c r="E345" s="2" t="s">
        <v>3871</v>
      </c>
      <c r="F345" s="2" t="s">
        <v>2236</v>
      </c>
      <c r="G345" s="2" t="s">
        <v>3574</v>
      </c>
      <c r="H345" s="2">
        <v>411634</v>
      </c>
    </row>
    <row r="346" spans="1:8">
      <c r="A346" s="2" t="s">
        <v>2431</v>
      </c>
      <c r="B346" s="2" t="s">
        <v>3962</v>
      </c>
      <c r="C346" s="2" t="s">
        <v>3961</v>
      </c>
      <c r="D346" s="2">
        <v>35409000</v>
      </c>
      <c r="E346" s="2" t="s">
        <v>3871</v>
      </c>
      <c r="F346" s="2" t="s">
        <v>2236</v>
      </c>
      <c r="G346" s="2" t="s">
        <v>3629</v>
      </c>
      <c r="H346" s="2">
        <v>250799</v>
      </c>
    </row>
    <row r="347" spans="1:8">
      <c r="A347" s="2" t="s">
        <v>2499</v>
      </c>
      <c r="B347" s="2" t="s">
        <v>3963</v>
      </c>
      <c r="C347" s="2" t="s">
        <v>3964</v>
      </c>
      <c r="D347" s="2">
        <v>35416000</v>
      </c>
      <c r="E347" s="2" t="s">
        <v>3871</v>
      </c>
      <c r="F347" s="2" t="s">
        <v>2236</v>
      </c>
      <c r="G347" s="2" t="s">
        <v>3574</v>
      </c>
      <c r="H347" s="2">
        <v>306659</v>
      </c>
    </row>
    <row r="348" spans="1:8">
      <c r="A348" s="2" t="s">
        <v>2568</v>
      </c>
      <c r="B348" s="2" t="s">
        <v>3965</v>
      </c>
      <c r="C348" s="2" t="s">
        <v>3966</v>
      </c>
      <c r="D348" s="2">
        <v>35402000</v>
      </c>
      <c r="E348" s="2" t="s">
        <v>3871</v>
      </c>
      <c r="F348" s="2" t="s">
        <v>2236</v>
      </c>
      <c r="G348" s="2" t="s">
        <v>3574</v>
      </c>
      <c r="H348" s="2">
        <v>107965</v>
      </c>
    </row>
    <row r="349" spans="1:8">
      <c r="A349" s="2" t="s">
        <v>2635</v>
      </c>
      <c r="B349" s="2" t="s">
        <v>3967</v>
      </c>
      <c r="C349" s="2" t="s">
        <v>3964</v>
      </c>
      <c r="D349" s="2">
        <v>35403000</v>
      </c>
      <c r="E349" s="2" t="s">
        <v>3871</v>
      </c>
      <c r="F349" s="2" t="s">
        <v>2236</v>
      </c>
      <c r="G349" s="2" t="s">
        <v>3574</v>
      </c>
      <c r="H349" s="2">
        <v>133492</v>
      </c>
    </row>
    <row r="350" spans="1:8">
      <c r="A350" s="2" t="s">
        <v>2700</v>
      </c>
      <c r="B350" s="2" t="s">
        <v>3968</v>
      </c>
      <c r="C350" s="2" t="s">
        <v>3964</v>
      </c>
      <c r="D350" s="2">
        <v>35404000</v>
      </c>
      <c r="E350" s="2" t="s">
        <v>3871</v>
      </c>
      <c r="F350" s="2" t="s">
        <v>2236</v>
      </c>
      <c r="G350" s="2" t="s">
        <v>3629</v>
      </c>
      <c r="H350" s="2">
        <v>39460</v>
      </c>
    </row>
    <row r="351" spans="1:8">
      <c r="A351" s="2" t="s">
        <v>2762</v>
      </c>
      <c r="B351" s="2" t="s">
        <v>3969</v>
      </c>
      <c r="C351" s="2" t="s">
        <v>3966</v>
      </c>
      <c r="D351" s="2">
        <v>35405000</v>
      </c>
      <c r="E351" s="2" t="s">
        <v>3871</v>
      </c>
      <c r="F351" s="2" t="s">
        <v>2236</v>
      </c>
      <c r="G351" s="2" t="s">
        <v>3574</v>
      </c>
      <c r="H351" s="2">
        <v>111586</v>
      </c>
    </row>
    <row r="352" spans="1:8">
      <c r="A352" s="2" t="s">
        <v>2822</v>
      </c>
      <c r="B352" s="2" t="s">
        <v>3970</v>
      </c>
      <c r="C352" s="2" t="s">
        <v>3971</v>
      </c>
      <c r="D352" s="2">
        <v>35406000</v>
      </c>
      <c r="E352" s="2" t="s">
        <v>3871</v>
      </c>
      <c r="F352" s="2" t="s">
        <v>2236</v>
      </c>
      <c r="G352" s="2" t="s">
        <v>3574</v>
      </c>
      <c r="H352" s="2">
        <v>125163</v>
      </c>
    </row>
    <row r="353" spans="1:8">
      <c r="A353" s="2" t="s">
        <v>2876</v>
      </c>
      <c r="B353" s="2" t="s">
        <v>3972</v>
      </c>
      <c r="C353" s="2" t="s">
        <v>3971</v>
      </c>
      <c r="D353" s="2">
        <v>35407000</v>
      </c>
      <c r="E353" s="2" t="s">
        <v>3871</v>
      </c>
      <c r="F353" s="2" t="s">
        <v>2236</v>
      </c>
      <c r="G353" s="2" t="s">
        <v>3574</v>
      </c>
      <c r="H353" s="2">
        <v>117430</v>
      </c>
    </row>
    <row r="354" spans="1:8">
      <c r="A354" s="2" t="s">
        <v>2930</v>
      </c>
      <c r="B354" s="2" t="s">
        <v>3973</v>
      </c>
      <c r="C354" s="2" t="s">
        <v>3971</v>
      </c>
      <c r="D354" s="2">
        <v>35408000</v>
      </c>
      <c r="E354" s="2" t="s">
        <v>3871</v>
      </c>
      <c r="F354" s="2" t="s">
        <v>2236</v>
      </c>
      <c r="G354" s="2" t="s">
        <v>3574</v>
      </c>
      <c r="H354" s="2">
        <v>160838</v>
      </c>
    </row>
    <row r="355" spans="1:8">
      <c r="A355" s="2" t="s">
        <v>2982</v>
      </c>
      <c r="B355" s="2" t="s">
        <v>3974</v>
      </c>
      <c r="C355" s="2" t="s">
        <v>3966</v>
      </c>
      <c r="D355" s="2">
        <v>35410000</v>
      </c>
      <c r="E355" s="2" t="s">
        <v>3871</v>
      </c>
      <c r="F355" s="2" t="s">
        <v>2236</v>
      </c>
      <c r="G355" s="2" t="s">
        <v>3574</v>
      </c>
      <c r="H355" s="2">
        <v>75850</v>
      </c>
    </row>
    <row r="356" spans="1:8">
      <c r="A356" s="2" t="s">
        <v>3033</v>
      </c>
      <c r="B356" s="2" t="s">
        <v>3975</v>
      </c>
      <c r="C356" s="2" t="s">
        <v>3961</v>
      </c>
      <c r="D356" s="2">
        <v>35411000</v>
      </c>
      <c r="E356" s="2" t="s">
        <v>3871</v>
      </c>
      <c r="F356" s="2" t="s">
        <v>2236</v>
      </c>
      <c r="G356" s="2" t="s">
        <v>3574</v>
      </c>
      <c r="H356" s="2">
        <v>113147</v>
      </c>
    </row>
    <row r="357" spans="1:8">
      <c r="A357" s="2" t="s">
        <v>3078</v>
      </c>
      <c r="B357" s="2" t="s">
        <v>3976</v>
      </c>
      <c r="C357" s="2" t="s">
        <v>3966</v>
      </c>
      <c r="D357" s="2">
        <v>35412000</v>
      </c>
      <c r="E357" s="2" t="s">
        <v>3871</v>
      </c>
      <c r="F357" s="2" t="s">
        <v>2236</v>
      </c>
      <c r="G357" s="2" t="s">
        <v>3600</v>
      </c>
      <c r="H357" s="2">
        <v>57063</v>
      </c>
    </row>
    <row r="358" spans="1:8">
      <c r="A358" s="2" t="s">
        <v>3116</v>
      </c>
      <c r="B358" s="2" t="s">
        <v>3977</v>
      </c>
      <c r="C358" s="2" t="s">
        <v>3964</v>
      </c>
      <c r="D358" s="2">
        <v>35413000</v>
      </c>
      <c r="E358" s="2" t="s">
        <v>3871</v>
      </c>
      <c r="F358" s="2" t="s">
        <v>2236</v>
      </c>
      <c r="G358" s="2" t="s">
        <v>3574</v>
      </c>
      <c r="H358" s="2">
        <v>154624</v>
      </c>
    </row>
    <row r="359" spans="1:8">
      <c r="A359" s="2" t="s">
        <v>3158</v>
      </c>
      <c r="B359" s="2" t="s">
        <v>3978</v>
      </c>
      <c r="C359" s="2" t="s">
        <v>3966</v>
      </c>
      <c r="D359" s="2">
        <v>35414000</v>
      </c>
      <c r="E359" s="2" t="s">
        <v>3871</v>
      </c>
      <c r="F359" s="2" t="s">
        <v>2236</v>
      </c>
      <c r="G359" s="2" t="s">
        <v>3634</v>
      </c>
      <c r="H359" s="2">
        <v>47713</v>
      </c>
    </row>
    <row r="360" spans="1:8">
      <c r="A360" s="2" t="s">
        <v>3194</v>
      </c>
      <c r="B360" s="2" t="s">
        <v>3979</v>
      </c>
      <c r="C360" s="2" t="s">
        <v>3971</v>
      </c>
      <c r="D360" s="2">
        <v>35415000</v>
      </c>
      <c r="E360" s="2" t="s">
        <v>3871</v>
      </c>
      <c r="F360" s="2" t="s">
        <v>2236</v>
      </c>
      <c r="G360" s="2" t="s">
        <v>3574</v>
      </c>
      <c r="H360" s="2">
        <v>124381</v>
      </c>
    </row>
    <row r="361" spans="1:8">
      <c r="A361" s="2" t="s">
        <v>2818</v>
      </c>
      <c r="B361" s="2" t="s">
        <v>3980</v>
      </c>
      <c r="C361" s="2" t="s">
        <v>3966</v>
      </c>
      <c r="D361" s="2">
        <v>35417000</v>
      </c>
      <c r="E361" s="2" t="s">
        <v>3871</v>
      </c>
      <c r="F361" s="2" t="s">
        <v>2236</v>
      </c>
      <c r="G361" s="2" t="s">
        <v>3629</v>
      </c>
      <c r="H361" s="2">
        <v>54106</v>
      </c>
    </row>
    <row r="362" spans="1:8">
      <c r="A362" s="2" t="s">
        <v>3259</v>
      </c>
      <c r="B362" s="2" t="s">
        <v>3981</v>
      </c>
      <c r="C362" s="2" t="s">
        <v>3966</v>
      </c>
      <c r="D362" s="2">
        <v>35418000</v>
      </c>
      <c r="E362" s="2" t="s">
        <v>3871</v>
      </c>
      <c r="F362" s="2" t="s">
        <v>2236</v>
      </c>
      <c r="G362" s="2" t="s">
        <v>3629</v>
      </c>
      <c r="H362" s="2">
        <v>53198</v>
      </c>
    </row>
    <row r="363" spans="1:8">
      <c r="A363" s="2" t="s">
        <v>647</v>
      </c>
      <c r="B363" s="2" t="s">
        <v>3982</v>
      </c>
      <c r="C363" s="2" t="s">
        <v>3964</v>
      </c>
      <c r="D363" s="2">
        <v>35419000</v>
      </c>
      <c r="E363" s="2" t="s">
        <v>3871</v>
      </c>
      <c r="F363" s="2" t="s">
        <v>2236</v>
      </c>
      <c r="G363" s="2" t="s">
        <v>3629</v>
      </c>
      <c r="H363" s="2">
        <v>55178</v>
      </c>
    </row>
    <row r="364" spans="1:8">
      <c r="A364" s="2" t="s">
        <v>3240</v>
      </c>
      <c r="B364" s="2" t="s">
        <v>3983</v>
      </c>
      <c r="C364" s="2" t="s">
        <v>3971</v>
      </c>
      <c r="D364" s="2">
        <v>35420000</v>
      </c>
      <c r="E364" s="2" t="s">
        <v>3871</v>
      </c>
      <c r="F364" s="2" t="s">
        <v>2236</v>
      </c>
      <c r="G364" s="2" t="s">
        <v>3634</v>
      </c>
      <c r="H364" s="2">
        <v>40979</v>
      </c>
    </row>
    <row r="365" spans="1:8">
      <c r="A365" s="2" t="s">
        <v>621</v>
      </c>
      <c r="B365" s="2" t="s">
        <v>3984</v>
      </c>
      <c r="C365" s="2" t="s">
        <v>3966</v>
      </c>
      <c r="D365" s="2">
        <v>35421000</v>
      </c>
      <c r="E365" s="2" t="s">
        <v>3871</v>
      </c>
      <c r="F365" s="2" t="s">
        <v>2236</v>
      </c>
      <c r="G365" s="2" t="s">
        <v>3634</v>
      </c>
      <c r="H365" s="2">
        <v>40475</v>
      </c>
    </row>
    <row r="366" spans="1:8">
      <c r="A366" s="2" t="s">
        <v>3358</v>
      </c>
      <c r="B366" s="2" t="s">
        <v>3985</v>
      </c>
      <c r="C366" s="2" t="s">
        <v>3971</v>
      </c>
      <c r="D366" s="2">
        <v>35422000</v>
      </c>
      <c r="E366" s="2" t="s">
        <v>3871</v>
      </c>
      <c r="F366" s="2" t="s">
        <v>2236</v>
      </c>
      <c r="G366" s="2" t="s">
        <v>3634</v>
      </c>
      <c r="H366" s="2">
        <v>28004</v>
      </c>
    </row>
    <row r="367" spans="2:5">
      <c r="B367" s="2" t="s">
        <v>20</v>
      </c>
      <c r="E367" s="2" t="s">
        <v>3871</v>
      </c>
    </row>
    <row r="368" spans="1:8">
      <c r="A368" s="2" t="s">
        <v>2357</v>
      </c>
      <c r="B368" s="2" t="s">
        <v>3986</v>
      </c>
      <c r="C368" s="2" t="s">
        <v>3987</v>
      </c>
      <c r="D368" s="2">
        <v>36916000</v>
      </c>
      <c r="E368" s="2" t="s">
        <v>3871</v>
      </c>
      <c r="F368" s="2" t="s">
        <v>2246</v>
      </c>
      <c r="G368" s="2" t="s">
        <v>3574</v>
      </c>
      <c r="H368" s="2">
        <v>342493</v>
      </c>
    </row>
    <row r="369" spans="1:8">
      <c r="A369" s="2" t="s">
        <v>2432</v>
      </c>
      <c r="B369" s="2" t="s">
        <v>3988</v>
      </c>
      <c r="C369" s="2" t="s">
        <v>3989</v>
      </c>
      <c r="D369" s="2">
        <v>36901000</v>
      </c>
      <c r="E369" s="2" t="s">
        <v>3871</v>
      </c>
      <c r="F369" s="2" t="s">
        <v>2246</v>
      </c>
      <c r="G369" s="2" t="s">
        <v>3626</v>
      </c>
      <c r="H369" s="2">
        <v>11528</v>
      </c>
    </row>
    <row r="370" spans="1:8">
      <c r="A370" s="2" t="s">
        <v>2500</v>
      </c>
      <c r="B370" s="2" t="s">
        <v>3990</v>
      </c>
      <c r="C370" s="2" t="s">
        <v>3991</v>
      </c>
      <c r="D370" s="2">
        <v>36902000</v>
      </c>
      <c r="E370" s="2" t="s">
        <v>3871</v>
      </c>
      <c r="F370" s="2" t="s">
        <v>2246</v>
      </c>
      <c r="G370" s="2" t="s">
        <v>3600</v>
      </c>
      <c r="H370" s="2">
        <v>69466</v>
      </c>
    </row>
    <row r="371" spans="1:8">
      <c r="A371" s="2" t="s">
        <v>2569</v>
      </c>
      <c r="B371" s="2" t="s">
        <v>3992</v>
      </c>
      <c r="C371" s="2" t="s">
        <v>3989</v>
      </c>
      <c r="D371" s="2">
        <v>36903000</v>
      </c>
      <c r="E371" s="2" t="s">
        <v>3871</v>
      </c>
      <c r="F371" s="2" t="s">
        <v>2246</v>
      </c>
      <c r="G371" s="2" t="s">
        <v>3574</v>
      </c>
      <c r="H371" s="2">
        <v>83248</v>
      </c>
    </row>
    <row r="372" spans="1:8">
      <c r="A372" s="2" t="s">
        <v>2636</v>
      </c>
      <c r="B372" s="2" t="s">
        <v>3993</v>
      </c>
      <c r="C372" s="2" t="s">
        <v>3991</v>
      </c>
      <c r="D372" s="2">
        <v>36904000</v>
      </c>
      <c r="E372" s="2" t="s">
        <v>3871</v>
      </c>
      <c r="F372" s="2" t="s">
        <v>2246</v>
      </c>
      <c r="G372" s="2" t="s">
        <v>3574</v>
      </c>
      <c r="H372" s="2">
        <v>140202</v>
      </c>
    </row>
    <row r="373" spans="1:8">
      <c r="A373" s="2" t="s">
        <v>2647</v>
      </c>
      <c r="B373" s="2" t="s">
        <v>3994</v>
      </c>
      <c r="C373" s="2" t="s">
        <v>3991</v>
      </c>
      <c r="D373" s="2">
        <v>36905000</v>
      </c>
      <c r="E373" s="2" t="s">
        <v>3871</v>
      </c>
      <c r="F373" s="2" t="s">
        <v>2246</v>
      </c>
      <c r="G373" s="2" t="s">
        <v>3574</v>
      </c>
      <c r="H373" s="2">
        <v>154188</v>
      </c>
    </row>
    <row r="374" spans="1:8">
      <c r="A374" s="2" t="s">
        <v>2763</v>
      </c>
      <c r="B374" s="2" t="s">
        <v>3995</v>
      </c>
      <c r="C374" s="2" t="s">
        <v>3987</v>
      </c>
      <c r="D374" s="2">
        <v>36906000</v>
      </c>
      <c r="E374" s="2" t="s">
        <v>3871</v>
      </c>
      <c r="F374" s="2" t="s">
        <v>2246</v>
      </c>
      <c r="G374" s="2" t="s">
        <v>3574</v>
      </c>
      <c r="H374" s="2">
        <v>87531</v>
      </c>
    </row>
    <row r="375" spans="1:8">
      <c r="A375" s="2" t="s">
        <v>2618</v>
      </c>
      <c r="B375" s="2" t="s">
        <v>3996</v>
      </c>
      <c r="C375" s="2" t="s">
        <v>3991</v>
      </c>
      <c r="D375" s="2">
        <v>36907000</v>
      </c>
      <c r="E375" s="2" t="s">
        <v>3871</v>
      </c>
      <c r="F375" s="2" t="s">
        <v>2246</v>
      </c>
      <c r="G375" s="2" t="s">
        <v>3600</v>
      </c>
      <c r="H375" s="2">
        <v>64017</v>
      </c>
    </row>
    <row r="376" spans="1:8">
      <c r="A376" s="2" t="s">
        <v>2877</v>
      </c>
      <c r="B376" s="2" t="s">
        <v>3997</v>
      </c>
      <c r="C376" s="2" t="s">
        <v>3989</v>
      </c>
      <c r="D376" s="2">
        <v>36908000</v>
      </c>
      <c r="E376" s="2" t="s">
        <v>3871</v>
      </c>
      <c r="F376" s="2" t="s">
        <v>2246</v>
      </c>
      <c r="G376" s="2" t="s">
        <v>3629</v>
      </c>
      <c r="H376" s="2">
        <v>32232</v>
      </c>
    </row>
    <row r="377" spans="1:8">
      <c r="A377" s="2" t="s">
        <v>2931</v>
      </c>
      <c r="B377" s="2" t="s">
        <v>3998</v>
      </c>
      <c r="C377" s="2" t="s">
        <v>3989</v>
      </c>
      <c r="D377" s="2">
        <v>36909000</v>
      </c>
      <c r="E377" s="2" t="s">
        <v>3871</v>
      </c>
      <c r="F377" s="2" t="s">
        <v>2246</v>
      </c>
      <c r="G377" s="2" t="s">
        <v>3574</v>
      </c>
      <c r="H377" s="2">
        <v>57787</v>
      </c>
    </row>
    <row r="378" spans="1:8">
      <c r="A378" s="2" t="s">
        <v>2983</v>
      </c>
      <c r="B378" s="2" t="s">
        <v>3999</v>
      </c>
      <c r="C378" s="2" t="s">
        <v>3989</v>
      </c>
      <c r="D378" s="2">
        <v>36910000</v>
      </c>
      <c r="E378" s="2" t="s">
        <v>3871</v>
      </c>
      <c r="F378" s="2" t="s">
        <v>2246</v>
      </c>
      <c r="G378" s="2" t="s">
        <v>3574</v>
      </c>
      <c r="H378" s="2">
        <v>92606</v>
      </c>
    </row>
    <row r="379" spans="1:8">
      <c r="A379" s="2" t="s">
        <v>3034</v>
      </c>
      <c r="B379" s="2" t="s">
        <v>4000</v>
      </c>
      <c r="C379" s="2" t="s">
        <v>3989</v>
      </c>
      <c r="D379" s="2">
        <v>36911000</v>
      </c>
      <c r="E379" s="2" t="s">
        <v>3871</v>
      </c>
      <c r="F379" s="2" t="s">
        <v>2246</v>
      </c>
      <c r="G379" s="2" t="s">
        <v>3634</v>
      </c>
      <c r="H379" s="2">
        <v>23712</v>
      </c>
    </row>
    <row r="380" spans="1:8">
      <c r="A380" s="2" t="s">
        <v>3079</v>
      </c>
      <c r="B380" s="2" t="s">
        <v>4001</v>
      </c>
      <c r="C380" s="2" t="s">
        <v>3989</v>
      </c>
      <c r="D380" s="2">
        <v>36912000</v>
      </c>
      <c r="E380" s="2" t="s">
        <v>3871</v>
      </c>
      <c r="F380" s="2" t="s">
        <v>2246</v>
      </c>
      <c r="G380" s="2" t="s">
        <v>3626</v>
      </c>
      <c r="H380" s="2">
        <v>21350</v>
      </c>
    </row>
    <row r="381" spans="1:8">
      <c r="A381" s="2" t="s">
        <v>3117</v>
      </c>
      <c r="B381" s="2" t="s">
        <v>4002</v>
      </c>
      <c r="C381" s="2" t="s">
        <v>3989</v>
      </c>
      <c r="D381" s="2">
        <v>36913000</v>
      </c>
      <c r="E381" s="2" t="s">
        <v>3871</v>
      </c>
      <c r="F381" s="2" t="s">
        <v>2246</v>
      </c>
      <c r="G381" s="2" t="s">
        <v>3626</v>
      </c>
      <c r="H381" s="2">
        <v>12657</v>
      </c>
    </row>
    <row r="382" spans="1:8">
      <c r="A382" s="2" t="s">
        <v>684</v>
      </c>
      <c r="B382" s="2" t="s">
        <v>4003</v>
      </c>
      <c r="C382" s="2" t="s">
        <v>3989</v>
      </c>
      <c r="D382" s="2">
        <v>36914000</v>
      </c>
      <c r="E382" s="2" t="s">
        <v>3871</v>
      </c>
      <c r="F382" s="2" t="s">
        <v>2246</v>
      </c>
      <c r="G382" s="2" t="s">
        <v>3634</v>
      </c>
      <c r="H382" s="2">
        <v>25504</v>
      </c>
    </row>
    <row r="383" spans="1:8">
      <c r="A383" s="2" t="s">
        <v>3195</v>
      </c>
      <c r="B383" s="2" t="s">
        <v>4004</v>
      </c>
      <c r="C383" s="2" t="s">
        <v>3989</v>
      </c>
      <c r="D383" s="2">
        <v>36915000</v>
      </c>
      <c r="E383" s="2" t="s">
        <v>3871</v>
      </c>
      <c r="F383" s="2" t="s">
        <v>2246</v>
      </c>
      <c r="G383" s="2" t="s">
        <v>3600</v>
      </c>
      <c r="H383" s="2">
        <v>47538</v>
      </c>
    </row>
    <row r="384" spans="1:8">
      <c r="A384" s="2" t="s">
        <v>3163</v>
      </c>
      <c r="B384" s="2" t="s">
        <v>4005</v>
      </c>
      <c r="C384" s="2" t="s">
        <v>3987</v>
      </c>
      <c r="D384" s="2">
        <v>36917000</v>
      </c>
      <c r="E384" s="2" t="s">
        <v>3871</v>
      </c>
      <c r="F384" s="2" t="s">
        <v>2246</v>
      </c>
      <c r="G384" s="2" t="s">
        <v>3600</v>
      </c>
      <c r="H384" s="2">
        <v>63715</v>
      </c>
    </row>
    <row r="385" spans="1:8">
      <c r="A385" s="2" t="s">
        <v>2937</v>
      </c>
      <c r="B385" s="2" t="s">
        <v>4006</v>
      </c>
      <c r="C385" s="2" t="s">
        <v>3987</v>
      </c>
      <c r="D385" s="2">
        <v>36918000</v>
      </c>
      <c r="E385" s="2" t="s">
        <v>3871</v>
      </c>
      <c r="F385" s="2" t="s">
        <v>2246</v>
      </c>
      <c r="G385" s="2" t="s">
        <v>3629</v>
      </c>
      <c r="H385" s="2">
        <v>36253</v>
      </c>
    </row>
    <row r="386" spans="2:5">
      <c r="B386" s="2" t="s">
        <v>20</v>
      </c>
      <c r="E386" s="2" t="s">
        <v>3871</v>
      </c>
    </row>
    <row r="387" spans="1:8">
      <c r="A387" s="2" t="s">
        <v>2358</v>
      </c>
      <c r="B387" s="2" t="s">
        <v>4007</v>
      </c>
      <c r="C387" s="2" t="s">
        <v>4008</v>
      </c>
      <c r="D387" s="2">
        <v>37107000</v>
      </c>
      <c r="E387" s="2" t="s">
        <v>3871</v>
      </c>
      <c r="F387" s="2" t="s">
        <v>2253</v>
      </c>
      <c r="G387" s="2" t="s">
        <v>3574</v>
      </c>
      <c r="H387" s="2">
        <v>233040</v>
      </c>
    </row>
    <row r="388" spans="1:8">
      <c r="A388" s="2" t="s">
        <v>2433</v>
      </c>
      <c r="B388" s="2" t="s">
        <v>4009</v>
      </c>
      <c r="C388" s="2" t="s">
        <v>4010</v>
      </c>
      <c r="D388" s="2">
        <v>37101000</v>
      </c>
      <c r="E388" s="2" t="s">
        <v>3871</v>
      </c>
      <c r="F388" s="2" t="s">
        <v>2253</v>
      </c>
      <c r="G388" s="2" t="s">
        <v>3574</v>
      </c>
      <c r="H388" s="2">
        <v>57707</v>
      </c>
    </row>
    <row r="389" spans="1:8">
      <c r="A389" s="2" t="s">
        <v>2501</v>
      </c>
      <c r="B389" s="2" t="s">
        <v>4011</v>
      </c>
      <c r="C389" s="2" t="s">
        <v>4010</v>
      </c>
      <c r="D389" s="2">
        <v>37102000</v>
      </c>
      <c r="E389" s="2" t="s">
        <v>3871</v>
      </c>
      <c r="F389" s="2" t="s">
        <v>2253</v>
      </c>
      <c r="G389" s="2" t="s">
        <v>3634</v>
      </c>
      <c r="H389" s="2">
        <v>25163</v>
      </c>
    </row>
    <row r="390" spans="1:8">
      <c r="A390" s="2" t="s">
        <v>2570</v>
      </c>
      <c r="B390" s="2" t="s">
        <v>4012</v>
      </c>
      <c r="C390" s="2" t="s">
        <v>4010</v>
      </c>
      <c r="D390" s="2">
        <v>37103000</v>
      </c>
      <c r="E390" s="2" t="s">
        <v>3871</v>
      </c>
      <c r="F390" s="2" t="s">
        <v>2253</v>
      </c>
      <c r="G390" s="2" t="s">
        <v>3629</v>
      </c>
      <c r="H390" s="2">
        <v>27174</v>
      </c>
    </row>
    <row r="391" spans="1:8">
      <c r="A391" s="2" t="s">
        <v>2637</v>
      </c>
      <c r="B391" s="2" t="s">
        <v>4013</v>
      </c>
      <c r="C391" s="2" t="s">
        <v>4008</v>
      </c>
      <c r="D391" s="2">
        <v>37104000</v>
      </c>
      <c r="E391" s="2" t="s">
        <v>3871</v>
      </c>
      <c r="F391" s="2" t="s">
        <v>2253</v>
      </c>
      <c r="G391" s="2" t="s">
        <v>3629</v>
      </c>
      <c r="H391" s="2">
        <v>64841</v>
      </c>
    </row>
    <row r="392" spans="1:8">
      <c r="A392" s="2" t="s">
        <v>2701</v>
      </c>
      <c r="B392" s="2" t="s">
        <v>4014</v>
      </c>
      <c r="C392" s="2" t="s">
        <v>4010</v>
      </c>
      <c r="D392" s="2">
        <v>37105000</v>
      </c>
      <c r="E392" s="2" t="s">
        <v>3871</v>
      </c>
      <c r="F392" s="2" t="s">
        <v>2253</v>
      </c>
      <c r="G392" s="2" t="s">
        <v>3600</v>
      </c>
      <c r="H392" s="2">
        <v>50506</v>
      </c>
    </row>
    <row r="393" spans="1:8">
      <c r="A393" s="2" t="s">
        <v>2764</v>
      </c>
      <c r="B393" s="2" t="s">
        <v>4015</v>
      </c>
      <c r="C393" s="2" t="s">
        <v>4010</v>
      </c>
      <c r="D393" s="2">
        <v>37106000</v>
      </c>
      <c r="E393" s="2" t="s">
        <v>3871</v>
      </c>
      <c r="F393" s="2" t="s">
        <v>2253</v>
      </c>
      <c r="G393" s="2" t="s">
        <v>3574</v>
      </c>
      <c r="H393" s="2">
        <v>47719</v>
      </c>
    </row>
    <row r="394" spans="1:8">
      <c r="A394" s="2" t="s">
        <v>2823</v>
      </c>
      <c r="B394" s="2" t="s">
        <v>4016</v>
      </c>
      <c r="C394" s="2" t="s">
        <v>4010</v>
      </c>
      <c r="D394" s="2">
        <v>37108000</v>
      </c>
      <c r="E394" s="2" t="s">
        <v>3871</v>
      </c>
      <c r="F394" s="2" t="s">
        <v>2253</v>
      </c>
      <c r="G394" s="2" t="s">
        <v>3629</v>
      </c>
      <c r="H394" s="2">
        <v>34947</v>
      </c>
    </row>
    <row r="395" spans="1:8">
      <c r="A395" s="2" t="s">
        <v>2878</v>
      </c>
      <c r="B395" s="2" t="s">
        <v>4017</v>
      </c>
      <c r="C395" s="2" t="s">
        <v>4010</v>
      </c>
      <c r="D395" s="2">
        <v>37109000</v>
      </c>
      <c r="E395" s="2" t="s">
        <v>3871</v>
      </c>
      <c r="F395" s="2" t="s">
        <v>2253</v>
      </c>
      <c r="G395" s="2" t="s">
        <v>3600</v>
      </c>
      <c r="H395" s="2">
        <v>34661</v>
      </c>
    </row>
    <row r="396" spans="1:8">
      <c r="A396" s="2" t="s">
        <v>2932</v>
      </c>
      <c r="B396" s="2" t="s">
        <v>4018</v>
      </c>
      <c r="C396" s="2" t="s">
        <v>4010</v>
      </c>
      <c r="D396" s="2">
        <v>37110000</v>
      </c>
      <c r="E396" s="2" t="s">
        <v>3871</v>
      </c>
      <c r="F396" s="2" t="s">
        <v>2253</v>
      </c>
      <c r="G396" s="2" t="s">
        <v>3634</v>
      </c>
      <c r="H396" s="2">
        <v>23183</v>
      </c>
    </row>
    <row r="397" spans="1:8">
      <c r="A397" s="2" t="s">
        <v>2984</v>
      </c>
      <c r="B397" s="2" t="s">
        <v>4019</v>
      </c>
      <c r="C397" s="2" t="s">
        <v>4008</v>
      </c>
      <c r="D397" s="2">
        <v>37111000</v>
      </c>
      <c r="E397" s="2" t="s">
        <v>3871</v>
      </c>
      <c r="F397" s="2" t="s">
        <v>2253</v>
      </c>
      <c r="G397" s="2" t="s">
        <v>3574</v>
      </c>
      <c r="H397" s="2">
        <v>33665</v>
      </c>
    </row>
    <row r="398" spans="1:8">
      <c r="A398" s="2" t="s">
        <v>3035</v>
      </c>
      <c r="B398" s="2" t="s">
        <v>4020</v>
      </c>
      <c r="C398" s="2" t="s">
        <v>4010</v>
      </c>
      <c r="D398" s="2">
        <v>37112000</v>
      </c>
      <c r="E398" s="2" t="s">
        <v>3871</v>
      </c>
      <c r="F398" s="2" t="s">
        <v>2253</v>
      </c>
      <c r="G398" s="2" t="s">
        <v>3634</v>
      </c>
      <c r="H398" s="2">
        <v>28360</v>
      </c>
    </row>
    <row r="399" spans="1:8">
      <c r="A399" s="2" t="s">
        <v>2643</v>
      </c>
      <c r="B399" s="2" t="s">
        <v>4021</v>
      </c>
      <c r="C399" s="2" t="s">
        <v>4010</v>
      </c>
      <c r="D399" s="2">
        <v>37113000</v>
      </c>
      <c r="E399" s="2" t="s">
        <v>3871</v>
      </c>
      <c r="F399" s="2" t="s">
        <v>2253</v>
      </c>
      <c r="G399" s="2" t="s">
        <v>3574</v>
      </c>
      <c r="H399" s="2">
        <v>58151</v>
      </c>
    </row>
    <row r="400" spans="1:8">
      <c r="A400" s="2" t="s">
        <v>3118</v>
      </c>
      <c r="B400" s="2" t="s">
        <v>4022</v>
      </c>
      <c r="C400" s="2" t="s">
        <v>4008</v>
      </c>
      <c r="D400" s="2">
        <v>37114000</v>
      </c>
      <c r="E400" s="2" t="s">
        <v>3871</v>
      </c>
      <c r="F400" s="2" t="s">
        <v>2253</v>
      </c>
      <c r="G400" s="2" t="s">
        <v>3574</v>
      </c>
      <c r="H400" s="2">
        <v>104771</v>
      </c>
    </row>
    <row r="401" spans="2:5">
      <c r="B401" s="2" t="s">
        <v>20</v>
      </c>
      <c r="E401" s="2" t="s">
        <v>4023</v>
      </c>
    </row>
    <row r="402" spans="1:8">
      <c r="A402" s="2" t="s">
        <v>3122</v>
      </c>
      <c r="B402" s="2" t="s">
        <v>4024</v>
      </c>
      <c r="C402" s="2" t="s">
        <v>4025</v>
      </c>
      <c r="D402" s="2">
        <v>45802000</v>
      </c>
      <c r="E402" s="2" t="s">
        <v>4023</v>
      </c>
      <c r="F402" s="2" t="s">
        <v>2237</v>
      </c>
      <c r="G402" s="2" t="s">
        <v>3574</v>
      </c>
      <c r="H402" s="2">
        <v>776386</v>
      </c>
    </row>
    <row r="403" spans="2:5">
      <c r="B403" s="2" t="s">
        <v>20</v>
      </c>
      <c r="E403" s="2" t="s">
        <v>4023</v>
      </c>
    </row>
    <row r="404" spans="1:8">
      <c r="A404" s="2" t="s">
        <v>2359</v>
      </c>
      <c r="B404" s="2" t="s">
        <v>4026</v>
      </c>
      <c r="C404" s="2" t="s">
        <v>4027</v>
      </c>
      <c r="D404" s="2">
        <v>41005000</v>
      </c>
      <c r="E404" s="2" t="s">
        <v>4023</v>
      </c>
      <c r="F404" s="2" t="s">
        <v>2182</v>
      </c>
      <c r="G404" s="2" t="s">
        <v>3574</v>
      </c>
      <c r="H404" s="2">
        <v>329874</v>
      </c>
    </row>
    <row r="405" spans="1:8">
      <c r="A405" s="2" t="s">
        <v>2434</v>
      </c>
      <c r="B405" s="2" t="s">
        <v>4028</v>
      </c>
      <c r="C405" s="2" t="s">
        <v>4029</v>
      </c>
      <c r="D405" s="2">
        <v>41014000</v>
      </c>
      <c r="E405" s="2" t="s">
        <v>4023</v>
      </c>
      <c r="F405" s="2" t="s">
        <v>2182</v>
      </c>
      <c r="G405" s="2" t="s">
        <v>3574</v>
      </c>
      <c r="H405" s="2">
        <v>332386</v>
      </c>
    </row>
    <row r="406" spans="1:8">
      <c r="A406" s="2" t="s">
        <v>2502</v>
      </c>
      <c r="B406" s="2" t="s">
        <v>4030</v>
      </c>
      <c r="C406" s="2" t="s">
        <v>4031</v>
      </c>
      <c r="D406" s="2">
        <v>41031000</v>
      </c>
      <c r="E406" s="2" t="s">
        <v>4023</v>
      </c>
      <c r="F406" s="2" t="s">
        <v>2182</v>
      </c>
      <c r="G406" s="2" t="s">
        <v>3600</v>
      </c>
      <c r="H406" s="2">
        <v>173366</v>
      </c>
    </row>
    <row r="407" spans="1:8">
      <c r="A407" s="2" t="s">
        <v>2571</v>
      </c>
      <c r="B407" s="2" t="s">
        <v>4032</v>
      </c>
      <c r="C407" s="2" t="s">
        <v>4031</v>
      </c>
      <c r="D407" s="2">
        <v>41001000</v>
      </c>
      <c r="E407" s="2" t="s">
        <v>4023</v>
      </c>
      <c r="F407" s="2" t="s">
        <v>2182</v>
      </c>
      <c r="G407" s="2" t="s">
        <v>3634</v>
      </c>
      <c r="H407" s="2">
        <v>38059</v>
      </c>
    </row>
    <row r="408" spans="1:8">
      <c r="A408" s="2" t="s">
        <v>2638</v>
      </c>
      <c r="B408" s="2" t="s">
        <v>4033</v>
      </c>
      <c r="C408" s="2" t="s">
        <v>4031</v>
      </c>
      <c r="D408" s="2">
        <v>41002000</v>
      </c>
      <c r="E408" s="2" t="s">
        <v>4023</v>
      </c>
      <c r="F408" s="2" t="s">
        <v>2182</v>
      </c>
      <c r="G408" s="2" t="s">
        <v>3634</v>
      </c>
      <c r="H408" s="2">
        <v>25300</v>
      </c>
    </row>
    <row r="409" spans="1:8">
      <c r="A409" s="2" t="s">
        <v>2702</v>
      </c>
      <c r="B409" s="2" t="s">
        <v>4034</v>
      </c>
      <c r="C409" s="2" t="s">
        <v>4035</v>
      </c>
      <c r="D409" s="2">
        <v>41003000</v>
      </c>
      <c r="E409" s="2" t="s">
        <v>4023</v>
      </c>
      <c r="F409" s="2" t="s">
        <v>2182</v>
      </c>
      <c r="G409" s="2" t="s">
        <v>3574</v>
      </c>
      <c r="H409" s="2">
        <v>90699</v>
      </c>
    </row>
    <row r="410" spans="1:8">
      <c r="A410" s="2" t="s">
        <v>2448</v>
      </c>
      <c r="B410" s="2" t="s">
        <v>4036</v>
      </c>
      <c r="C410" s="2" t="s">
        <v>4031</v>
      </c>
      <c r="D410" s="2">
        <v>41004000</v>
      </c>
      <c r="E410" s="2" t="s">
        <v>4023</v>
      </c>
      <c r="F410" s="2" t="s">
        <v>2182</v>
      </c>
      <c r="G410" s="2" t="s">
        <v>3626</v>
      </c>
      <c r="H410" s="2">
        <v>22661</v>
      </c>
    </row>
    <row r="411" spans="1:8">
      <c r="A411" s="2" t="s">
        <v>2824</v>
      </c>
      <c r="B411" s="2" t="s">
        <v>4037</v>
      </c>
      <c r="C411" s="2" t="s">
        <v>4038</v>
      </c>
      <c r="D411" s="2">
        <v>41006000</v>
      </c>
      <c r="E411" s="2" t="s">
        <v>4023</v>
      </c>
      <c r="F411" s="2" t="s">
        <v>2182</v>
      </c>
      <c r="G411" s="2" t="s">
        <v>3574</v>
      </c>
      <c r="H411" s="2">
        <v>91297</v>
      </c>
    </row>
    <row r="412" spans="1:8">
      <c r="A412" s="2" t="s">
        <v>2879</v>
      </c>
      <c r="B412" s="2" t="s">
        <v>4039</v>
      </c>
      <c r="C412" s="2" t="s">
        <v>4035</v>
      </c>
      <c r="D412" s="2">
        <v>41007000</v>
      </c>
      <c r="E412" s="2" t="s">
        <v>4023</v>
      </c>
      <c r="F412" s="2" t="s">
        <v>2182</v>
      </c>
      <c r="G412" s="2" t="s">
        <v>3574</v>
      </c>
      <c r="H412" s="2">
        <v>81859</v>
      </c>
    </row>
    <row r="413" spans="1:8">
      <c r="A413" s="2" t="s">
        <v>2933</v>
      </c>
      <c r="B413" s="2" t="s">
        <v>4040</v>
      </c>
      <c r="C413" s="2" t="s">
        <v>4035</v>
      </c>
      <c r="D413" s="2">
        <v>41008000</v>
      </c>
      <c r="E413" s="2" t="s">
        <v>4023</v>
      </c>
      <c r="F413" s="2" t="s">
        <v>2182</v>
      </c>
      <c r="G413" s="2" t="s">
        <v>3600</v>
      </c>
      <c r="H413" s="2">
        <v>56449</v>
      </c>
    </row>
    <row r="414" spans="1:8">
      <c r="A414" s="2" t="s">
        <v>2985</v>
      </c>
      <c r="B414" s="2" t="s">
        <v>4041</v>
      </c>
      <c r="C414" s="2" t="s">
        <v>4031</v>
      </c>
      <c r="D414" s="2">
        <v>41009000</v>
      </c>
      <c r="E414" s="2" t="s">
        <v>4023</v>
      </c>
      <c r="F414" s="2" t="s">
        <v>2182</v>
      </c>
      <c r="G414" s="2" t="s">
        <v>3634</v>
      </c>
      <c r="H414" s="2">
        <v>32783</v>
      </c>
    </row>
    <row r="415" spans="1:8">
      <c r="A415" s="2" t="s">
        <v>3036</v>
      </c>
      <c r="B415" s="2" t="s">
        <v>4042</v>
      </c>
      <c r="C415" s="2" t="s">
        <v>4043</v>
      </c>
      <c r="D415" s="2">
        <v>41010000</v>
      </c>
      <c r="E415" s="2" t="s">
        <v>4023</v>
      </c>
      <c r="F415" s="2" t="s">
        <v>2182</v>
      </c>
      <c r="G415" s="2" t="s">
        <v>3600</v>
      </c>
      <c r="H415" s="2">
        <v>52970</v>
      </c>
    </row>
    <row r="416" spans="1:8">
      <c r="A416" s="2" t="s">
        <v>3080</v>
      </c>
      <c r="B416" s="2" t="s">
        <v>4044</v>
      </c>
      <c r="C416" s="2" t="s">
        <v>4031</v>
      </c>
      <c r="D416" s="2">
        <v>41011000</v>
      </c>
      <c r="E416" s="2" t="s">
        <v>4023</v>
      </c>
      <c r="F416" s="2" t="s">
        <v>2182</v>
      </c>
      <c r="G416" s="2" t="s">
        <v>3629</v>
      </c>
      <c r="H416" s="2">
        <v>39444</v>
      </c>
    </row>
    <row r="417" spans="1:8">
      <c r="A417" s="2" t="s">
        <v>3119</v>
      </c>
      <c r="B417" s="2" t="s">
        <v>4045</v>
      </c>
      <c r="C417" s="2" t="s">
        <v>4035</v>
      </c>
      <c r="D417" s="2">
        <v>41012000</v>
      </c>
      <c r="E417" s="2" t="s">
        <v>4023</v>
      </c>
      <c r="F417" s="2" t="s">
        <v>2182</v>
      </c>
      <c r="G417" s="2" t="s">
        <v>3574</v>
      </c>
      <c r="H417" s="2">
        <v>93157</v>
      </c>
    </row>
    <row r="418" spans="1:8">
      <c r="A418" s="2" t="s">
        <v>3159</v>
      </c>
      <c r="B418" s="2" t="s">
        <v>4046</v>
      </c>
      <c r="C418" s="2" t="s">
        <v>4035</v>
      </c>
      <c r="D418" s="2">
        <v>41013000</v>
      </c>
      <c r="E418" s="2" t="s">
        <v>4023</v>
      </c>
      <c r="F418" s="2" t="s">
        <v>2182</v>
      </c>
      <c r="G418" s="2" t="s">
        <v>3629</v>
      </c>
      <c r="H418" s="2">
        <v>52660</v>
      </c>
    </row>
    <row r="419" spans="1:8">
      <c r="A419" s="2" t="s">
        <v>3196</v>
      </c>
      <c r="B419" s="2" t="s">
        <v>4047</v>
      </c>
      <c r="C419" s="2" t="s">
        <v>4038</v>
      </c>
      <c r="D419" s="2">
        <v>41015000</v>
      </c>
      <c r="E419" s="2" t="s">
        <v>4023</v>
      </c>
      <c r="F419" s="2" t="s">
        <v>2182</v>
      </c>
      <c r="G419" s="2" t="s">
        <v>3629</v>
      </c>
      <c r="H419" s="2">
        <v>41504</v>
      </c>
    </row>
    <row r="420" spans="1:8">
      <c r="A420" s="2" t="s">
        <v>3227</v>
      </c>
      <c r="B420" s="2" t="s">
        <v>4048</v>
      </c>
      <c r="C420" s="2" t="s">
        <v>4038</v>
      </c>
      <c r="D420" s="2">
        <v>41016000</v>
      </c>
      <c r="E420" s="2" t="s">
        <v>4023</v>
      </c>
      <c r="F420" s="2" t="s">
        <v>2182</v>
      </c>
      <c r="G420" s="2" t="s">
        <v>3574</v>
      </c>
      <c r="H420" s="2">
        <v>46211</v>
      </c>
    </row>
    <row r="421" spans="1:8">
      <c r="A421" s="2" t="s">
        <v>3260</v>
      </c>
      <c r="B421" s="2" t="s">
        <v>4049</v>
      </c>
      <c r="C421" s="2" t="s">
        <v>4031</v>
      </c>
      <c r="D421" s="2">
        <v>41017000</v>
      </c>
      <c r="E421" s="2" t="s">
        <v>4023</v>
      </c>
      <c r="F421" s="2" t="s">
        <v>2182</v>
      </c>
      <c r="G421" s="2" t="s">
        <v>3600</v>
      </c>
      <c r="H421" s="2">
        <v>56270</v>
      </c>
    </row>
    <row r="422" spans="1:8">
      <c r="A422" s="2" t="s">
        <v>3286</v>
      </c>
      <c r="B422" s="2" t="s">
        <v>4050</v>
      </c>
      <c r="C422" s="2" t="s">
        <v>4031</v>
      </c>
      <c r="D422" s="2">
        <v>41018000</v>
      </c>
      <c r="E422" s="2" t="s">
        <v>4023</v>
      </c>
      <c r="F422" s="2" t="s">
        <v>2182</v>
      </c>
      <c r="G422" s="2" t="s">
        <v>3634</v>
      </c>
      <c r="H422" s="2">
        <v>29187</v>
      </c>
    </row>
    <row r="423" spans="1:8">
      <c r="A423" s="2" t="s">
        <v>3310</v>
      </c>
      <c r="B423" s="2" t="s">
        <v>4051</v>
      </c>
      <c r="C423" s="2" t="s">
        <v>4035</v>
      </c>
      <c r="D423" s="2">
        <v>41019000</v>
      </c>
      <c r="E423" s="2" t="s">
        <v>4023</v>
      </c>
      <c r="F423" s="2" t="s">
        <v>2182</v>
      </c>
      <c r="G423" s="2" t="s">
        <v>3574</v>
      </c>
      <c r="H423" s="2">
        <v>134113</v>
      </c>
    </row>
    <row r="424" spans="1:8">
      <c r="A424" s="2" t="s">
        <v>3336</v>
      </c>
      <c r="B424" s="2" t="s">
        <v>4052</v>
      </c>
      <c r="C424" s="2" t="s">
        <v>4043</v>
      </c>
      <c r="D424" s="2">
        <v>41020000</v>
      </c>
      <c r="E424" s="2" t="s">
        <v>4023</v>
      </c>
      <c r="F424" s="2" t="s">
        <v>2182</v>
      </c>
      <c r="G424" s="2" t="s">
        <v>3600</v>
      </c>
      <c r="H424" s="2">
        <v>48302</v>
      </c>
    </row>
    <row r="425" spans="1:8">
      <c r="A425" s="2" t="s">
        <v>2807</v>
      </c>
      <c r="B425" s="2" t="s">
        <v>4053</v>
      </c>
      <c r="C425" s="2" t="s">
        <v>4043</v>
      </c>
      <c r="D425" s="2">
        <v>41021000</v>
      </c>
      <c r="E425" s="2" t="s">
        <v>4023</v>
      </c>
      <c r="F425" s="2" t="s">
        <v>2182</v>
      </c>
      <c r="G425" s="2" t="s">
        <v>3574</v>
      </c>
      <c r="H425" s="2">
        <v>116764</v>
      </c>
    </row>
    <row r="426" spans="1:8">
      <c r="A426" s="2" t="s">
        <v>2937</v>
      </c>
      <c r="B426" s="2" t="s">
        <v>4054</v>
      </c>
      <c r="C426" s="2" t="s">
        <v>4043</v>
      </c>
      <c r="D426" s="2">
        <v>41022000</v>
      </c>
      <c r="E426" s="2" t="s">
        <v>4023</v>
      </c>
      <c r="F426" s="2" t="s">
        <v>2182</v>
      </c>
      <c r="G426" s="2" t="s">
        <v>3574</v>
      </c>
      <c r="H426" s="2">
        <v>76971</v>
      </c>
    </row>
    <row r="427" spans="1:8">
      <c r="A427" s="2" t="s">
        <v>2661</v>
      </c>
      <c r="B427" s="2" t="s">
        <v>4055</v>
      </c>
      <c r="C427" s="2" t="s">
        <v>4043</v>
      </c>
      <c r="D427" s="2">
        <v>41023000</v>
      </c>
      <c r="E427" s="2" t="s">
        <v>4023</v>
      </c>
      <c r="F427" s="2" t="s">
        <v>2182</v>
      </c>
      <c r="G427" s="2" t="s">
        <v>3574</v>
      </c>
      <c r="H427" s="2">
        <v>108585</v>
      </c>
    </row>
    <row r="428" spans="1:8">
      <c r="A428" s="2" t="s">
        <v>2818</v>
      </c>
      <c r="B428" s="2" t="s">
        <v>4056</v>
      </c>
      <c r="C428" s="2" t="s">
        <v>4038</v>
      </c>
      <c r="D428" s="2">
        <v>41024000</v>
      </c>
      <c r="E428" s="2" t="s">
        <v>4023</v>
      </c>
      <c r="F428" s="2" t="s">
        <v>2182</v>
      </c>
      <c r="G428" s="2" t="s">
        <v>3634</v>
      </c>
      <c r="H428" s="2">
        <v>33149</v>
      </c>
    </row>
    <row r="429" spans="1:8">
      <c r="A429" s="2" t="s">
        <v>3306</v>
      </c>
      <c r="B429" s="2" t="s">
        <v>4057</v>
      </c>
      <c r="C429" s="2" t="s">
        <v>4031</v>
      </c>
      <c r="D429" s="2">
        <v>41025000</v>
      </c>
      <c r="E429" s="2" t="s">
        <v>4023</v>
      </c>
      <c r="F429" s="2" t="s">
        <v>2182</v>
      </c>
      <c r="G429" s="2" t="s">
        <v>3626</v>
      </c>
      <c r="H429" s="2">
        <v>22623</v>
      </c>
    </row>
    <row r="430" spans="1:8">
      <c r="A430" s="2" t="s">
        <v>3315</v>
      </c>
      <c r="B430" s="2" t="s">
        <v>4058</v>
      </c>
      <c r="C430" s="2" t="s">
        <v>4038</v>
      </c>
      <c r="D430" s="2">
        <v>41026000</v>
      </c>
      <c r="E430" s="2" t="s">
        <v>4023</v>
      </c>
      <c r="F430" s="2" t="s">
        <v>2182</v>
      </c>
      <c r="G430" s="2" t="s">
        <v>3574</v>
      </c>
      <c r="H430" s="2">
        <v>65424</v>
      </c>
    </row>
    <row r="431" spans="1:8">
      <c r="A431" s="2" t="s">
        <v>649</v>
      </c>
      <c r="B431" s="2" t="s">
        <v>4059</v>
      </c>
      <c r="C431" s="2" t="s">
        <v>4031</v>
      </c>
      <c r="D431" s="2">
        <v>41027000</v>
      </c>
      <c r="E431" s="2" t="s">
        <v>4023</v>
      </c>
      <c r="F431" s="2" t="s">
        <v>2182</v>
      </c>
      <c r="G431" s="2" t="s">
        <v>3626</v>
      </c>
      <c r="H431" s="2">
        <v>21127</v>
      </c>
    </row>
    <row r="432" spans="1:8">
      <c r="A432" s="2" t="s">
        <v>621</v>
      </c>
      <c r="B432" s="2" t="s">
        <v>4060</v>
      </c>
      <c r="C432" s="2" t="s">
        <v>4031</v>
      </c>
      <c r="D432" s="2">
        <v>41028000</v>
      </c>
      <c r="E432" s="2" t="s">
        <v>4023</v>
      </c>
      <c r="F432" s="2" t="s">
        <v>2182</v>
      </c>
      <c r="G432" s="2" t="s">
        <v>3574</v>
      </c>
      <c r="H432" s="2">
        <v>179844</v>
      </c>
    </row>
    <row r="433" spans="1:8">
      <c r="A433" s="2" t="s">
        <v>3470</v>
      </c>
      <c r="B433" s="2" t="s">
        <v>4061</v>
      </c>
      <c r="C433" s="2" t="s">
        <v>4035</v>
      </c>
      <c r="D433" s="2">
        <v>41029000</v>
      </c>
      <c r="E433" s="2" t="s">
        <v>4023</v>
      </c>
      <c r="F433" s="2" t="s">
        <v>2182</v>
      </c>
      <c r="G433" s="2" t="s">
        <v>3629</v>
      </c>
      <c r="H433" s="2">
        <v>56327</v>
      </c>
    </row>
    <row r="434" spans="1:8">
      <c r="A434" s="2" t="s">
        <v>2992</v>
      </c>
      <c r="B434" s="2" t="s">
        <v>4062</v>
      </c>
      <c r="C434" s="2" t="s">
        <v>4031</v>
      </c>
      <c r="D434" s="2">
        <v>41030000</v>
      </c>
      <c r="E434" s="2" t="s">
        <v>4023</v>
      </c>
      <c r="F434" s="2" t="s">
        <v>2182</v>
      </c>
      <c r="G434" s="2" t="s">
        <v>3629</v>
      </c>
      <c r="H434" s="2">
        <v>45301</v>
      </c>
    </row>
    <row r="435" spans="1:8">
      <c r="A435" s="2" t="s">
        <v>3490</v>
      </c>
      <c r="B435" s="2" t="s">
        <v>4063</v>
      </c>
      <c r="C435" s="2" t="s">
        <v>4043</v>
      </c>
      <c r="D435" s="2">
        <v>41032000</v>
      </c>
      <c r="E435" s="2" t="s">
        <v>4023</v>
      </c>
      <c r="F435" s="2" t="s">
        <v>2182</v>
      </c>
      <c r="G435" s="2" t="s">
        <v>3600</v>
      </c>
      <c r="H435" s="2">
        <v>38007</v>
      </c>
    </row>
    <row r="436" spans="1:8">
      <c r="A436" s="2" t="s">
        <v>3498</v>
      </c>
      <c r="B436" s="2" t="s">
        <v>4064</v>
      </c>
      <c r="C436" s="2" t="s">
        <v>4038</v>
      </c>
      <c r="D436" s="2">
        <v>41033000</v>
      </c>
      <c r="E436" s="2" t="s">
        <v>4023</v>
      </c>
      <c r="F436" s="2" t="s">
        <v>2182</v>
      </c>
      <c r="G436" s="2" t="s">
        <v>3626</v>
      </c>
      <c r="H436" s="2">
        <v>17919</v>
      </c>
    </row>
    <row r="437" spans="1:8">
      <c r="A437" s="2" t="s">
        <v>3506</v>
      </c>
      <c r="B437" s="2" t="s">
        <v>4065</v>
      </c>
      <c r="C437" s="2" t="s">
        <v>4035</v>
      </c>
      <c r="D437" s="2">
        <v>41034000</v>
      </c>
      <c r="E437" s="2" t="s">
        <v>4023</v>
      </c>
      <c r="F437" s="2" t="s">
        <v>2182</v>
      </c>
      <c r="G437" s="2" t="s">
        <v>3629</v>
      </c>
      <c r="H437" s="2">
        <v>43743</v>
      </c>
    </row>
    <row r="438" spans="2:5">
      <c r="B438" s="2" t="s">
        <v>20</v>
      </c>
      <c r="E438" s="2" t="s">
        <v>4023</v>
      </c>
    </row>
    <row r="439" spans="1:8">
      <c r="A439" s="2" t="s">
        <v>2360</v>
      </c>
      <c r="B439" s="2" t="s">
        <v>4066</v>
      </c>
      <c r="C439" s="2" t="s">
        <v>4067</v>
      </c>
      <c r="D439" s="2">
        <v>42103000</v>
      </c>
      <c r="E439" s="2" t="s">
        <v>4023</v>
      </c>
      <c r="F439" s="2" t="s">
        <v>2196</v>
      </c>
      <c r="G439" s="2" t="s">
        <v>3574</v>
      </c>
      <c r="H439" s="2">
        <v>600609</v>
      </c>
    </row>
    <row r="440" spans="1:8">
      <c r="A440" s="2" t="s">
        <v>2435</v>
      </c>
      <c r="B440" s="2" t="s">
        <v>4068</v>
      </c>
      <c r="C440" s="2" t="s">
        <v>4069</v>
      </c>
      <c r="D440" s="2">
        <v>42105000</v>
      </c>
      <c r="E440" s="2" t="s">
        <v>4023</v>
      </c>
      <c r="F440" s="2" t="s">
        <v>2196</v>
      </c>
      <c r="G440" s="2" t="s">
        <v>3634</v>
      </c>
      <c r="H440" s="2">
        <v>102806</v>
      </c>
    </row>
    <row r="441" spans="1:8">
      <c r="A441" s="2" t="s">
        <v>2503</v>
      </c>
      <c r="B441" s="2" t="s">
        <v>4070</v>
      </c>
      <c r="C441" s="2" t="s">
        <v>4071</v>
      </c>
      <c r="D441" s="2">
        <v>42106000</v>
      </c>
      <c r="E441" s="2" t="s">
        <v>4023</v>
      </c>
      <c r="F441" s="2" t="s">
        <v>2196</v>
      </c>
      <c r="G441" s="2" t="s">
        <v>3574</v>
      </c>
      <c r="H441" s="2">
        <v>659019</v>
      </c>
    </row>
    <row r="442" spans="1:8">
      <c r="A442" s="2" t="s">
        <v>2572</v>
      </c>
      <c r="B442" s="2" t="s">
        <v>4072</v>
      </c>
      <c r="C442" s="2" t="s">
        <v>4073</v>
      </c>
      <c r="D442" s="2">
        <v>42108000</v>
      </c>
      <c r="E442" s="2" t="s">
        <v>4023</v>
      </c>
      <c r="F442" s="2" t="s">
        <v>2196</v>
      </c>
      <c r="G442" s="2" t="s">
        <v>3574</v>
      </c>
      <c r="H442" s="2">
        <v>314303</v>
      </c>
    </row>
    <row r="443" spans="1:8">
      <c r="A443" s="2" t="s">
        <v>2639</v>
      </c>
      <c r="B443" s="2" t="s">
        <v>4074</v>
      </c>
      <c r="C443" s="2" t="s">
        <v>4075</v>
      </c>
      <c r="D443" s="2">
        <v>42109000</v>
      </c>
      <c r="E443" s="2" t="s">
        <v>4023</v>
      </c>
      <c r="F443" s="2" t="s">
        <v>2196</v>
      </c>
      <c r="G443" s="2" t="s">
        <v>3629</v>
      </c>
      <c r="H443" s="2">
        <v>403785</v>
      </c>
    </row>
    <row r="444" spans="1:8">
      <c r="A444" s="2" t="s">
        <v>2703</v>
      </c>
      <c r="B444" s="2" t="s">
        <v>4076</v>
      </c>
      <c r="C444" s="2" t="s">
        <v>4077</v>
      </c>
      <c r="D444" s="2">
        <v>42119000</v>
      </c>
      <c r="E444" s="2" t="s">
        <v>4023</v>
      </c>
      <c r="F444" s="2" t="s">
        <v>2196</v>
      </c>
      <c r="G444" s="2" t="s">
        <v>3600</v>
      </c>
      <c r="H444" s="2">
        <v>71181</v>
      </c>
    </row>
    <row r="445" spans="1:8">
      <c r="A445" s="2" t="s">
        <v>2765</v>
      </c>
      <c r="B445" s="2" t="s">
        <v>4078</v>
      </c>
      <c r="C445" s="2" t="s">
        <v>4079</v>
      </c>
      <c r="D445" s="2">
        <v>42122000</v>
      </c>
      <c r="E445" s="2" t="s">
        <v>4023</v>
      </c>
      <c r="F445" s="2" t="s">
        <v>2196</v>
      </c>
      <c r="G445" s="2" t="s">
        <v>3634</v>
      </c>
      <c r="H445" s="2">
        <v>155713</v>
      </c>
    </row>
    <row r="446" spans="1:8">
      <c r="A446" s="2" t="s">
        <v>2825</v>
      </c>
      <c r="B446" s="2" t="s">
        <v>4080</v>
      </c>
      <c r="C446" s="2" t="s">
        <v>4077</v>
      </c>
      <c r="D446" s="2">
        <v>42101000</v>
      </c>
      <c r="E446" s="2" t="s">
        <v>4023</v>
      </c>
      <c r="F446" s="2" t="s">
        <v>2196</v>
      </c>
      <c r="G446" s="2" t="s">
        <v>3574</v>
      </c>
      <c r="H446" s="2">
        <v>51839</v>
      </c>
    </row>
    <row r="447" spans="1:8">
      <c r="A447" s="2" t="s">
        <v>2880</v>
      </c>
      <c r="B447" s="2" t="s">
        <v>4081</v>
      </c>
      <c r="C447" s="2" t="s">
        <v>4079</v>
      </c>
      <c r="D447" s="2">
        <v>42102000</v>
      </c>
      <c r="E447" s="2" t="s">
        <v>4023</v>
      </c>
      <c r="F447" s="2" t="s">
        <v>2196</v>
      </c>
      <c r="G447" s="2" t="s">
        <v>3634</v>
      </c>
      <c r="H447" s="2">
        <v>37649</v>
      </c>
    </row>
    <row r="448" spans="1:8">
      <c r="A448" s="2" t="s">
        <v>2934</v>
      </c>
      <c r="B448" s="2" t="s">
        <v>4082</v>
      </c>
      <c r="C448" s="2" t="s">
        <v>4083</v>
      </c>
      <c r="D448" s="2">
        <v>42104000</v>
      </c>
      <c r="E448" s="2" t="s">
        <v>4023</v>
      </c>
      <c r="F448" s="2" t="s">
        <v>2196</v>
      </c>
      <c r="G448" s="2" t="s">
        <v>3574</v>
      </c>
      <c r="H448" s="2">
        <v>97557</v>
      </c>
    </row>
    <row r="449" spans="1:8">
      <c r="A449" s="2" t="s">
        <v>2986</v>
      </c>
      <c r="B449" s="2" t="s">
        <v>4084</v>
      </c>
      <c r="C449" s="2" t="s">
        <v>4077</v>
      </c>
      <c r="D449" s="2">
        <v>42107000</v>
      </c>
      <c r="E449" s="2" t="s">
        <v>4023</v>
      </c>
      <c r="F449" s="2" t="s">
        <v>2196</v>
      </c>
      <c r="G449" s="2" t="s">
        <v>3626</v>
      </c>
      <c r="H449" s="2">
        <v>22220</v>
      </c>
    </row>
    <row r="450" spans="1:8">
      <c r="A450" s="2" t="s">
        <v>3037</v>
      </c>
      <c r="B450" s="2" t="s">
        <v>4085</v>
      </c>
      <c r="C450" s="2" t="s">
        <v>4079</v>
      </c>
      <c r="D450" s="2">
        <v>42110000</v>
      </c>
      <c r="E450" s="2" t="s">
        <v>4023</v>
      </c>
      <c r="F450" s="2" t="s">
        <v>2196</v>
      </c>
      <c r="G450" s="2" t="s">
        <v>3574</v>
      </c>
      <c r="H450" s="2">
        <v>65599</v>
      </c>
    </row>
    <row r="451" spans="1:8">
      <c r="A451" s="2" t="s">
        <v>3081</v>
      </c>
      <c r="B451" s="2" t="s">
        <v>4086</v>
      </c>
      <c r="C451" s="2" t="s">
        <v>4069</v>
      </c>
      <c r="D451" s="2">
        <v>42111000</v>
      </c>
      <c r="E451" s="2" t="s">
        <v>4023</v>
      </c>
      <c r="F451" s="2" t="s">
        <v>2196</v>
      </c>
      <c r="G451" s="2" t="s">
        <v>3574</v>
      </c>
      <c r="H451" s="2">
        <v>83466</v>
      </c>
    </row>
    <row r="452" spans="1:8">
      <c r="A452" s="2" t="s">
        <v>2862</v>
      </c>
      <c r="B452" s="2" t="s">
        <v>4087</v>
      </c>
      <c r="C452" s="2" t="s">
        <v>4077</v>
      </c>
      <c r="D452" s="2">
        <v>42112000</v>
      </c>
      <c r="E452" s="2" t="s">
        <v>4023</v>
      </c>
      <c r="F452" s="2" t="s">
        <v>2196</v>
      </c>
      <c r="G452" s="2" t="s">
        <v>3634</v>
      </c>
      <c r="H452" s="2">
        <v>22727</v>
      </c>
    </row>
    <row r="453" spans="1:8">
      <c r="A453" s="2" t="s">
        <v>3160</v>
      </c>
      <c r="B453" s="2" t="s">
        <v>4088</v>
      </c>
      <c r="C453" s="2" t="s">
        <v>4077</v>
      </c>
      <c r="D453" s="2">
        <v>42113000</v>
      </c>
      <c r="E453" s="2" t="s">
        <v>4023</v>
      </c>
      <c r="F453" s="2" t="s">
        <v>2196</v>
      </c>
      <c r="G453" s="2" t="s">
        <v>3629</v>
      </c>
      <c r="H453" s="2">
        <v>37720</v>
      </c>
    </row>
    <row r="454" spans="1:8">
      <c r="A454" s="2" t="s">
        <v>3197</v>
      </c>
      <c r="B454" s="2" t="s">
        <v>4089</v>
      </c>
      <c r="C454" s="2" t="s">
        <v>4077</v>
      </c>
      <c r="D454" s="2">
        <v>42114000</v>
      </c>
      <c r="E454" s="2" t="s">
        <v>4023</v>
      </c>
      <c r="F454" s="2" t="s">
        <v>2196</v>
      </c>
      <c r="G454" s="2" t="s">
        <v>3634</v>
      </c>
      <c r="H454" s="2">
        <v>31529</v>
      </c>
    </row>
    <row r="455" spans="1:8">
      <c r="A455" s="2" t="s">
        <v>3228</v>
      </c>
      <c r="B455" s="2" t="s">
        <v>4090</v>
      </c>
      <c r="C455" s="2" t="s">
        <v>4077</v>
      </c>
      <c r="D455" s="2">
        <v>42115000</v>
      </c>
      <c r="E455" s="2" t="s">
        <v>4023</v>
      </c>
      <c r="F455" s="2" t="s">
        <v>2196</v>
      </c>
      <c r="G455" s="2" t="s">
        <v>3574</v>
      </c>
      <c r="H455" s="2">
        <v>111454</v>
      </c>
    </row>
    <row r="456" spans="1:8">
      <c r="A456" s="2" t="s">
        <v>3261</v>
      </c>
      <c r="B456" s="2" t="s">
        <v>4091</v>
      </c>
      <c r="C456" s="2" t="s">
        <v>4069</v>
      </c>
      <c r="D456" s="2">
        <v>42116000</v>
      </c>
      <c r="E456" s="2" t="s">
        <v>4023</v>
      </c>
      <c r="F456" s="2" t="s">
        <v>2196</v>
      </c>
      <c r="G456" s="2" t="s">
        <v>3629</v>
      </c>
      <c r="H456" s="2">
        <v>45846</v>
      </c>
    </row>
    <row r="457" spans="1:8">
      <c r="A457" s="2" t="s">
        <v>2807</v>
      </c>
      <c r="B457" s="2" t="s">
        <v>4092</v>
      </c>
      <c r="C457" s="2" t="s">
        <v>4069</v>
      </c>
      <c r="D457" s="2">
        <v>42117000</v>
      </c>
      <c r="E457" s="2" t="s">
        <v>4023</v>
      </c>
      <c r="F457" s="2" t="s">
        <v>2196</v>
      </c>
      <c r="G457" s="2" t="s">
        <v>3574</v>
      </c>
      <c r="H457" s="2">
        <v>110706</v>
      </c>
    </row>
    <row r="458" spans="1:8">
      <c r="A458" s="2" t="s">
        <v>3311</v>
      </c>
      <c r="B458" s="2" t="s">
        <v>4093</v>
      </c>
      <c r="C458" s="2" t="s">
        <v>4083</v>
      </c>
      <c r="D458" s="2">
        <v>42118000</v>
      </c>
      <c r="E458" s="2" t="s">
        <v>4023</v>
      </c>
      <c r="F458" s="2" t="s">
        <v>2196</v>
      </c>
      <c r="G458" s="2" t="s">
        <v>3574</v>
      </c>
      <c r="H458" s="2">
        <v>248085</v>
      </c>
    </row>
    <row r="459" spans="1:8">
      <c r="A459" s="2" t="s">
        <v>3337</v>
      </c>
      <c r="B459" s="2" t="s">
        <v>4094</v>
      </c>
      <c r="C459" s="2" t="s">
        <v>4079</v>
      </c>
      <c r="D459" s="2">
        <v>42120000</v>
      </c>
      <c r="E459" s="2" t="s">
        <v>4023</v>
      </c>
      <c r="F459" s="2" t="s">
        <v>2196</v>
      </c>
      <c r="G459" s="2" t="s">
        <v>3574</v>
      </c>
      <c r="H459" s="2">
        <v>226188</v>
      </c>
    </row>
    <row r="460" spans="1:8">
      <c r="A460" s="2" t="s">
        <v>3359</v>
      </c>
      <c r="B460" s="2" t="s">
        <v>4095</v>
      </c>
      <c r="C460" s="2" t="s">
        <v>4077</v>
      </c>
      <c r="D460" s="2">
        <v>42121000</v>
      </c>
      <c r="E460" s="2" t="s">
        <v>4023</v>
      </c>
      <c r="F460" s="2" t="s">
        <v>2196</v>
      </c>
      <c r="G460" s="2" t="s">
        <v>3634</v>
      </c>
      <c r="H460" s="2">
        <v>23157</v>
      </c>
    </row>
    <row r="461" spans="1:8">
      <c r="A461" s="2" t="s">
        <v>3382</v>
      </c>
      <c r="B461" s="2" t="s">
        <v>4096</v>
      </c>
      <c r="C461" s="2" t="s">
        <v>4083</v>
      </c>
      <c r="D461" s="2">
        <v>42123000</v>
      </c>
      <c r="E461" s="2" t="s">
        <v>4023</v>
      </c>
      <c r="F461" s="2" t="s">
        <v>2196</v>
      </c>
      <c r="G461" s="2" t="s">
        <v>3574</v>
      </c>
      <c r="H461" s="2">
        <v>155143</v>
      </c>
    </row>
    <row r="462" spans="2:5">
      <c r="B462" s="2" t="s">
        <v>20</v>
      </c>
      <c r="E462" s="2" t="s">
        <v>4023</v>
      </c>
    </row>
    <row r="463" spans="1:8">
      <c r="A463" s="2" t="s">
        <v>3460</v>
      </c>
      <c r="B463" s="2" t="s">
        <v>4097</v>
      </c>
      <c r="C463" s="2" t="s">
        <v>4098</v>
      </c>
      <c r="D463" s="2">
        <v>43403000</v>
      </c>
      <c r="E463" s="2" t="s">
        <v>4023</v>
      </c>
      <c r="F463" s="2" t="s">
        <v>2210</v>
      </c>
      <c r="G463" s="2" t="s">
        <v>3574</v>
      </c>
      <c r="H463" s="2">
        <v>333028</v>
      </c>
    </row>
    <row r="464" spans="1:8">
      <c r="A464" s="2" t="s">
        <v>3471</v>
      </c>
      <c r="B464" s="2" t="s">
        <v>4099</v>
      </c>
      <c r="C464" s="2" t="s">
        <v>4100</v>
      </c>
      <c r="D464" s="2">
        <v>43405000</v>
      </c>
      <c r="E464" s="2" t="s">
        <v>4023</v>
      </c>
      <c r="F464" s="2" t="s">
        <v>2210</v>
      </c>
      <c r="G464" s="2" t="s">
        <v>3574</v>
      </c>
      <c r="H464" s="2">
        <v>454486</v>
      </c>
    </row>
    <row r="465" spans="2:5">
      <c r="B465" s="2" t="s">
        <v>20</v>
      </c>
      <c r="E465" s="2" t="s">
        <v>4023</v>
      </c>
    </row>
    <row r="466" spans="1:8">
      <c r="A466" s="2" t="s">
        <v>2361</v>
      </c>
      <c r="B466" s="2" t="s">
        <v>4101</v>
      </c>
      <c r="C466" s="2" t="s">
        <v>4102</v>
      </c>
      <c r="D466" s="2">
        <v>43404000</v>
      </c>
      <c r="E466" s="2" t="s">
        <v>4023</v>
      </c>
      <c r="F466" s="2" t="s">
        <v>2210</v>
      </c>
      <c r="G466" s="2" t="s">
        <v>3574</v>
      </c>
      <c r="H466" s="2">
        <v>308745</v>
      </c>
    </row>
    <row r="467" spans="1:8">
      <c r="A467" s="2" t="s">
        <v>2436</v>
      </c>
      <c r="B467" s="2" t="s">
        <v>4103</v>
      </c>
      <c r="C467" s="2" t="s">
        <v>4104</v>
      </c>
      <c r="D467" s="2">
        <v>43424000</v>
      </c>
      <c r="E467" s="2" t="s">
        <v>4023</v>
      </c>
      <c r="F467" s="2" t="s">
        <v>2210</v>
      </c>
      <c r="G467" s="2" t="s">
        <v>3574</v>
      </c>
      <c r="H467" s="2">
        <v>266068</v>
      </c>
    </row>
    <row r="468" spans="1:8">
      <c r="A468" s="2" t="s">
        <v>2504</v>
      </c>
      <c r="B468" s="2" t="s">
        <v>4105</v>
      </c>
      <c r="C468" s="2" t="s">
        <v>4106</v>
      </c>
      <c r="D468" s="2">
        <v>43425000</v>
      </c>
      <c r="E468" s="2" t="s">
        <v>4023</v>
      </c>
      <c r="F468" s="2" t="s">
        <v>2210</v>
      </c>
      <c r="G468" s="2" t="s">
        <v>3629</v>
      </c>
      <c r="H468" s="2">
        <v>325809</v>
      </c>
    </row>
    <row r="469" spans="1:8">
      <c r="A469" s="2" t="s">
        <v>2573</v>
      </c>
      <c r="B469" s="2" t="s">
        <v>4107</v>
      </c>
      <c r="C469" s="2" t="s">
        <v>4106</v>
      </c>
      <c r="D469" s="2">
        <v>43428000</v>
      </c>
      <c r="E469" s="2" t="s">
        <v>4023</v>
      </c>
      <c r="F469" s="2" t="s">
        <v>2210</v>
      </c>
      <c r="G469" s="2" t="s">
        <v>3574</v>
      </c>
      <c r="H469" s="2">
        <v>353767</v>
      </c>
    </row>
    <row r="470" spans="1:8">
      <c r="A470" s="2" t="s">
        <v>2640</v>
      </c>
      <c r="B470" s="2" t="s">
        <v>4108</v>
      </c>
      <c r="C470" s="2" t="s">
        <v>4104</v>
      </c>
      <c r="D470" s="2">
        <v>43401000</v>
      </c>
      <c r="E470" s="2" t="s">
        <v>4023</v>
      </c>
      <c r="F470" s="2" t="s">
        <v>2210</v>
      </c>
      <c r="G470" s="2" t="s">
        <v>3629</v>
      </c>
      <c r="H470" s="2">
        <v>47859</v>
      </c>
    </row>
    <row r="471" spans="1:8">
      <c r="A471" s="2" t="s">
        <v>2704</v>
      </c>
      <c r="B471" s="2" t="s">
        <v>4109</v>
      </c>
      <c r="C471" s="2" t="s">
        <v>4102</v>
      </c>
      <c r="D471" s="2">
        <v>43402000</v>
      </c>
      <c r="E471" s="2" t="s">
        <v>4023</v>
      </c>
      <c r="F471" s="2" t="s">
        <v>2210</v>
      </c>
      <c r="G471" s="2" t="s">
        <v>3600</v>
      </c>
      <c r="H471" s="2">
        <v>62143</v>
      </c>
    </row>
    <row r="472" spans="1:8">
      <c r="A472" s="2" t="s">
        <v>2766</v>
      </c>
      <c r="B472" s="2" t="s">
        <v>4110</v>
      </c>
      <c r="C472" s="2" t="s">
        <v>4104</v>
      </c>
      <c r="D472" s="2">
        <v>43406000</v>
      </c>
      <c r="E472" s="2" t="s">
        <v>4023</v>
      </c>
      <c r="F472" s="2" t="s">
        <v>2210</v>
      </c>
      <c r="G472" s="2" t="s">
        <v>3600</v>
      </c>
      <c r="H472" s="2">
        <v>80453</v>
      </c>
    </row>
    <row r="473" spans="1:8">
      <c r="A473" s="2" t="s">
        <v>2826</v>
      </c>
      <c r="B473" s="2" t="s">
        <v>4111</v>
      </c>
      <c r="C473" s="2" t="s">
        <v>4112</v>
      </c>
      <c r="D473" s="2">
        <v>43407000</v>
      </c>
      <c r="E473" s="2" t="s">
        <v>4023</v>
      </c>
      <c r="F473" s="2" t="s">
        <v>2210</v>
      </c>
      <c r="G473" s="2" t="s">
        <v>3629</v>
      </c>
      <c r="H473" s="2">
        <v>21702</v>
      </c>
    </row>
    <row r="474" spans="1:8">
      <c r="A474" s="2" t="s">
        <v>2881</v>
      </c>
      <c r="B474" s="2" t="s">
        <v>4113</v>
      </c>
      <c r="C474" s="2" t="s">
        <v>4112</v>
      </c>
      <c r="D474" s="2">
        <v>43408000</v>
      </c>
      <c r="E474" s="2" t="s">
        <v>4023</v>
      </c>
      <c r="F474" s="2" t="s">
        <v>2210</v>
      </c>
      <c r="G474" s="2" t="s">
        <v>3626</v>
      </c>
      <c r="H474" s="2">
        <v>16587</v>
      </c>
    </row>
    <row r="475" spans="1:8">
      <c r="A475" s="2" t="s">
        <v>2935</v>
      </c>
      <c r="B475" s="2" t="s">
        <v>4114</v>
      </c>
      <c r="C475" s="2" t="s">
        <v>4112</v>
      </c>
      <c r="D475" s="2">
        <v>43409000</v>
      </c>
      <c r="E475" s="2" t="s">
        <v>4023</v>
      </c>
      <c r="F475" s="2" t="s">
        <v>2210</v>
      </c>
      <c r="G475" s="2" t="s">
        <v>3629</v>
      </c>
      <c r="H475" s="2">
        <v>23269</v>
      </c>
    </row>
    <row r="476" spans="1:8">
      <c r="A476" s="2" t="s">
        <v>2987</v>
      </c>
      <c r="B476" s="2" t="s">
        <v>4115</v>
      </c>
      <c r="C476" s="2" t="s">
        <v>4104</v>
      </c>
      <c r="D476" s="2">
        <v>43410000</v>
      </c>
      <c r="E476" s="2" t="s">
        <v>4023</v>
      </c>
      <c r="F476" s="2" t="s">
        <v>2210</v>
      </c>
      <c r="G476" s="2" t="s">
        <v>3634</v>
      </c>
      <c r="H476" s="2">
        <v>36582</v>
      </c>
    </row>
    <row r="477" spans="1:8">
      <c r="A477" s="2" t="s">
        <v>3038</v>
      </c>
      <c r="B477" s="2" t="s">
        <v>4116</v>
      </c>
      <c r="C477" s="2" t="s">
        <v>4102</v>
      </c>
      <c r="D477" s="2">
        <v>43411000</v>
      </c>
      <c r="E477" s="2" t="s">
        <v>4023</v>
      </c>
      <c r="F477" s="2" t="s">
        <v>2210</v>
      </c>
      <c r="G477" s="2" t="s">
        <v>3574</v>
      </c>
      <c r="H477" s="2">
        <v>112008</v>
      </c>
    </row>
    <row r="478" spans="1:8">
      <c r="A478" s="2" t="s">
        <v>3082</v>
      </c>
      <c r="B478" s="2" t="s">
        <v>4117</v>
      </c>
      <c r="C478" s="2" t="s">
        <v>4112</v>
      </c>
      <c r="D478" s="2">
        <v>43412000</v>
      </c>
      <c r="E478" s="2" t="s">
        <v>4023</v>
      </c>
      <c r="F478" s="2" t="s">
        <v>2210</v>
      </c>
      <c r="G478" s="2" t="s">
        <v>3634</v>
      </c>
      <c r="H478" s="2">
        <v>19720</v>
      </c>
    </row>
    <row r="479" spans="1:8">
      <c r="A479" s="2" t="s">
        <v>3120</v>
      </c>
      <c r="B479" s="2" t="s">
        <v>4118</v>
      </c>
      <c r="C479" s="2" t="s">
        <v>4112</v>
      </c>
      <c r="D479" s="2">
        <v>43413000</v>
      </c>
      <c r="E479" s="2" t="s">
        <v>4023</v>
      </c>
      <c r="F479" s="2" t="s">
        <v>2210</v>
      </c>
      <c r="G479" s="2" t="s">
        <v>3629</v>
      </c>
      <c r="H479" s="2">
        <v>30652</v>
      </c>
    </row>
    <row r="480" spans="1:8">
      <c r="A480" s="2" t="s">
        <v>3161</v>
      </c>
      <c r="B480" s="2" t="s">
        <v>4119</v>
      </c>
      <c r="C480" s="2" t="s">
        <v>4112</v>
      </c>
      <c r="D480" s="2">
        <v>43414000</v>
      </c>
      <c r="E480" s="2" t="s">
        <v>4023</v>
      </c>
      <c r="F480" s="2" t="s">
        <v>2210</v>
      </c>
      <c r="G480" s="2" t="s">
        <v>3626</v>
      </c>
      <c r="H480" s="2">
        <v>20530</v>
      </c>
    </row>
    <row r="481" spans="1:8">
      <c r="A481" s="2" t="s">
        <v>3198</v>
      </c>
      <c r="B481" s="2" t="s">
        <v>4120</v>
      </c>
      <c r="C481" s="2" t="s">
        <v>4112</v>
      </c>
      <c r="D481" s="2">
        <v>43415000</v>
      </c>
      <c r="E481" s="2" t="s">
        <v>4023</v>
      </c>
      <c r="F481" s="2" t="s">
        <v>2210</v>
      </c>
      <c r="G481" s="2" t="s">
        <v>3634</v>
      </c>
      <c r="H481" s="2">
        <v>25266</v>
      </c>
    </row>
    <row r="482" spans="1:8">
      <c r="A482" s="2" t="s">
        <v>3229</v>
      </c>
      <c r="B482" s="2" t="s">
        <v>4121</v>
      </c>
      <c r="C482" s="2" t="s">
        <v>4112</v>
      </c>
      <c r="D482" s="2">
        <v>43416000</v>
      </c>
      <c r="E482" s="2" t="s">
        <v>4023</v>
      </c>
      <c r="F482" s="2" t="s">
        <v>2210</v>
      </c>
      <c r="G482" s="2" t="s">
        <v>3634</v>
      </c>
      <c r="H482" s="2">
        <v>27792</v>
      </c>
    </row>
    <row r="483" spans="1:8">
      <c r="A483" s="2" t="s">
        <v>3262</v>
      </c>
      <c r="B483" s="2" t="s">
        <v>4122</v>
      </c>
      <c r="C483" s="2" t="s">
        <v>4104</v>
      </c>
      <c r="D483" s="2">
        <v>43417000</v>
      </c>
      <c r="E483" s="2" t="s">
        <v>4023</v>
      </c>
      <c r="F483" s="2" t="s">
        <v>2210</v>
      </c>
      <c r="G483" s="2" t="s">
        <v>3600</v>
      </c>
      <c r="H483" s="2">
        <v>63057</v>
      </c>
    </row>
    <row r="484" spans="1:8">
      <c r="A484" s="2" t="s">
        <v>3287</v>
      </c>
      <c r="B484" s="2" t="s">
        <v>4123</v>
      </c>
      <c r="C484" s="2" t="s">
        <v>4112</v>
      </c>
      <c r="D484" s="2">
        <v>43418000</v>
      </c>
      <c r="E484" s="2" t="s">
        <v>4023</v>
      </c>
      <c r="F484" s="2" t="s">
        <v>2210</v>
      </c>
      <c r="G484" s="2" t="s">
        <v>3634</v>
      </c>
      <c r="H484" s="2">
        <v>25096</v>
      </c>
    </row>
    <row r="485" spans="1:8">
      <c r="A485" s="2" t="s">
        <v>3312</v>
      </c>
      <c r="B485" s="2" t="s">
        <v>4124</v>
      </c>
      <c r="C485" s="2" t="s">
        <v>4112</v>
      </c>
      <c r="D485" s="2">
        <v>43419000</v>
      </c>
      <c r="E485" s="2" t="s">
        <v>4023</v>
      </c>
      <c r="F485" s="2" t="s">
        <v>2210</v>
      </c>
      <c r="G485" s="2" t="s">
        <v>3629</v>
      </c>
      <c r="H485" s="2">
        <v>42164</v>
      </c>
    </row>
    <row r="486" spans="1:8">
      <c r="A486" s="2" t="s">
        <v>3338</v>
      </c>
      <c r="B486" s="2" t="s">
        <v>4125</v>
      </c>
      <c r="C486" s="2" t="s">
        <v>4112</v>
      </c>
      <c r="D486" s="2">
        <v>43420000</v>
      </c>
      <c r="E486" s="2" t="s">
        <v>4023</v>
      </c>
      <c r="F486" s="2" t="s">
        <v>2210</v>
      </c>
      <c r="G486" s="2" t="s">
        <v>3626</v>
      </c>
      <c r="H486" s="2">
        <v>20659</v>
      </c>
    </row>
    <row r="487" spans="1:8">
      <c r="A487" s="2" t="s">
        <v>3360</v>
      </c>
      <c r="B487" s="2" t="s">
        <v>4126</v>
      </c>
      <c r="C487" s="2" t="s">
        <v>4112</v>
      </c>
      <c r="D487" s="2">
        <v>43421000</v>
      </c>
      <c r="E487" s="2" t="s">
        <v>4023</v>
      </c>
      <c r="F487" s="2" t="s">
        <v>2210</v>
      </c>
      <c r="G487" s="2" t="s">
        <v>3634</v>
      </c>
      <c r="H487" s="2">
        <v>24274</v>
      </c>
    </row>
    <row r="488" spans="1:8">
      <c r="A488" s="2" t="s">
        <v>3383</v>
      </c>
      <c r="B488" s="2" t="s">
        <v>4127</v>
      </c>
      <c r="C488" s="2" t="s">
        <v>4112</v>
      </c>
      <c r="D488" s="2">
        <v>43422000</v>
      </c>
      <c r="E488" s="2" t="s">
        <v>4023</v>
      </c>
      <c r="F488" s="2" t="s">
        <v>2210</v>
      </c>
      <c r="G488" s="2" t="s">
        <v>3629</v>
      </c>
      <c r="H488" s="2">
        <v>50289</v>
      </c>
    </row>
    <row r="489" spans="1:8">
      <c r="A489" s="2" t="s">
        <v>653</v>
      </c>
      <c r="B489" s="2" t="s">
        <v>4128</v>
      </c>
      <c r="C489" s="2" t="s">
        <v>4104</v>
      </c>
      <c r="D489" s="2">
        <v>43423000</v>
      </c>
      <c r="E489" s="2" t="s">
        <v>4023</v>
      </c>
      <c r="F489" s="2" t="s">
        <v>2210</v>
      </c>
      <c r="G489" s="2" t="s">
        <v>3626</v>
      </c>
      <c r="H489" s="2">
        <v>17253</v>
      </c>
    </row>
    <row r="490" spans="1:8">
      <c r="A490" s="2" t="s">
        <v>3414</v>
      </c>
      <c r="B490" s="2" t="s">
        <v>4129</v>
      </c>
      <c r="C490" s="2" t="s">
        <v>4112</v>
      </c>
      <c r="D490" s="2">
        <v>43426000</v>
      </c>
      <c r="E490" s="2" t="s">
        <v>4023</v>
      </c>
      <c r="F490" s="2" t="s">
        <v>2210</v>
      </c>
      <c r="G490" s="2" t="s">
        <v>3574</v>
      </c>
      <c r="H490" s="2">
        <v>117605</v>
      </c>
    </row>
    <row r="491" spans="1:8">
      <c r="A491" s="2" t="s">
        <v>624</v>
      </c>
      <c r="B491" s="2" t="s">
        <v>4130</v>
      </c>
      <c r="C491" s="2" t="s">
        <v>4112</v>
      </c>
      <c r="D491" s="2">
        <v>43427000</v>
      </c>
      <c r="E491" s="2" t="s">
        <v>4023</v>
      </c>
      <c r="F491" s="2" t="s">
        <v>2210</v>
      </c>
      <c r="G491" s="2" t="s">
        <v>3634</v>
      </c>
      <c r="H491" s="2">
        <v>30830</v>
      </c>
    </row>
    <row r="492" spans="1:8">
      <c r="A492" s="2" t="s">
        <v>3441</v>
      </c>
      <c r="B492" s="2" t="s">
        <v>4131</v>
      </c>
      <c r="C492" s="2" t="s">
        <v>4112</v>
      </c>
      <c r="D492" s="2">
        <v>43429000</v>
      </c>
      <c r="E492" s="2" t="s">
        <v>4023</v>
      </c>
      <c r="F492" s="2" t="s">
        <v>2210</v>
      </c>
      <c r="G492" s="2" t="s">
        <v>3600</v>
      </c>
      <c r="H492" s="2">
        <v>38067</v>
      </c>
    </row>
    <row r="493" spans="1:8">
      <c r="A493" s="2" t="s">
        <v>3163</v>
      </c>
      <c r="B493" s="2" t="s">
        <v>4132</v>
      </c>
      <c r="C493" s="2" t="s">
        <v>4104</v>
      </c>
      <c r="D493" s="2">
        <v>43430000</v>
      </c>
      <c r="E493" s="2" t="s">
        <v>4023</v>
      </c>
      <c r="F493" s="2" t="s">
        <v>2210</v>
      </c>
      <c r="G493" s="2" t="s">
        <v>3634</v>
      </c>
      <c r="H493" s="2">
        <v>39321</v>
      </c>
    </row>
    <row r="494" spans="2:5">
      <c r="B494" s="2" t="s">
        <v>20</v>
      </c>
      <c r="E494" s="2" t="s">
        <v>4023</v>
      </c>
    </row>
    <row r="495" spans="1:8">
      <c r="A495" s="2" t="s">
        <v>2362</v>
      </c>
      <c r="B495" s="2" t="s">
        <v>4133</v>
      </c>
      <c r="C495" s="2" t="s">
        <v>4134</v>
      </c>
      <c r="D495" s="2">
        <v>45624000</v>
      </c>
      <c r="E495" s="2" t="s">
        <v>4023</v>
      </c>
      <c r="F495" s="2" t="s">
        <v>2224</v>
      </c>
      <c r="G495" s="2" t="s">
        <v>3600</v>
      </c>
      <c r="H495" s="2">
        <v>266248</v>
      </c>
    </row>
    <row r="496" spans="1:8">
      <c r="A496" s="2" t="s">
        <v>2437</v>
      </c>
      <c r="B496" s="2" t="s">
        <v>4135</v>
      </c>
      <c r="C496" s="2" t="s">
        <v>4136</v>
      </c>
      <c r="D496" s="2">
        <v>45647000</v>
      </c>
      <c r="E496" s="2" t="s">
        <v>4023</v>
      </c>
      <c r="F496" s="2" t="s">
        <v>2224</v>
      </c>
      <c r="G496" s="2" t="s">
        <v>3769</v>
      </c>
      <c r="H496" s="2">
        <v>99779</v>
      </c>
    </row>
    <row r="497" spans="1:8">
      <c r="A497" s="2" t="s">
        <v>2505</v>
      </c>
      <c r="B497" s="2" t="s">
        <v>4137</v>
      </c>
      <c r="C497" s="2" t="s">
        <v>4138</v>
      </c>
      <c r="D497" s="2">
        <v>45601000</v>
      </c>
      <c r="E497" s="2" t="s">
        <v>4023</v>
      </c>
      <c r="F497" s="2" t="s">
        <v>2224</v>
      </c>
      <c r="G497" s="2" t="s">
        <v>3626</v>
      </c>
      <c r="H497" s="2">
        <v>12851</v>
      </c>
    </row>
    <row r="498" spans="1:8">
      <c r="A498" s="2" t="s">
        <v>2574</v>
      </c>
      <c r="B498" s="2" t="s">
        <v>4139</v>
      </c>
      <c r="C498" s="2" t="s">
        <v>4140</v>
      </c>
      <c r="D498" s="2">
        <v>45602000</v>
      </c>
      <c r="E498" s="2" t="s">
        <v>4023</v>
      </c>
      <c r="F498" s="2" t="s">
        <v>2224</v>
      </c>
      <c r="G498" s="2" t="s">
        <v>3626</v>
      </c>
      <c r="H498" s="2">
        <v>15630</v>
      </c>
    </row>
    <row r="499" spans="1:8">
      <c r="A499" s="2" t="s">
        <v>2641</v>
      </c>
      <c r="B499" s="2" t="s">
        <v>4141</v>
      </c>
      <c r="C499" s="2" t="s">
        <v>4140</v>
      </c>
      <c r="D499" s="2">
        <v>45603000</v>
      </c>
      <c r="E499" s="2" t="s">
        <v>4023</v>
      </c>
      <c r="F499" s="2" t="s">
        <v>2224</v>
      </c>
      <c r="G499" s="2" t="s">
        <v>3574</v>
      </c>
      <c r="H499" s="2">
        <v>63432</v>
      </c>
    </row>
    <row r="500" spans="1:8">
      <c r="A500" s="2" t="s">
        <v>2378</v>
      </c>
      <c r="B500" s="2" t="s">
        <v>4142</v>
      </c>
      <c r="C500" s="2" t="s">
        <v>4138</v>
      </c>
      <c r="D500" s="2">
        <v>45605000</v>
      </c>
      <c r="E500" s="2" t="s">
        <v>4023</v>
      </c>
      <c r="F500" s="2" t="s">
        <v>2224</v>
      </c>
      <c r="G500" s="2" t="s">
        <v>3634</v>
      </c>
      <c r="H500" s="2">
        <v>30047</v>
      </c>
    </row>
    <row r="501" spans="1:8">
      <c r="A501" s="2" t="s">
        <v>2767</v>
      </c>
      <c r="B501" s="2" t="s">
        <v>4143</v>
      </c>
      <c r="C501" s="2" t="s">
        <v>4136</v>
      </c>
      <c r="D501" s="2">
        <v>45606000</v>
      </c>
      <c r="E501" s="2" t="s">
        <v>4023</v>
      </c>
      <c r="F501" s="2" t="s">
        <v>2224</v>
      </c>
      <c r="G501" s="2" t="s">
        <v>3634</v>
      </c>
      <c r="H501" s="2">
        <v>26760</v>
      </c>
    </row>
    <row r="502" spans="1:8">
      <c r="A502" s="2" t="s">
        <v>2827</v>
      </c>
      <c r="B502" s="2" t="s">
        <v>4144</v>
      </c>
      <c r="C502" s="2" t="s">
        <v>4140</v>
      </c>
      <c r="D502" s="2">
        <v>45607000</v>
      </c>
      <c r="E502" s="2" t="s">
        <v>4023</v>
      </c>
      <c r="F502" s="2" t="s">
        <v>2224</v>
      </c>
      <c r="G502" s="2" t="s">
        <v>3574</v>
      </c>
      <c r="H502" s="2">
        <v>73139</v>
      </c>
    </row>
    <row r="503" spans="1:8">
      <c r="A503" s="2" t="s">
        <v>2570</v>
      </c>
      <c r="B503" s="2" t="s">
        <v>4145</v>
      </c>
      <c r="C503" s="2" t="s">
        <v>4134</v>
      </c>
      <c r="D503" s="2">
        <v>45608000</v>
      </c>
      <c r="E503" s="2" t="s">
        <v>4023</v>
      </c>
      <c r="F503" s="2" t="s">
        <v>2224</v>
      </c>
      <c r="G503" s="2" t="s">
        <v>3574</v>
      </c>
      <c r="H503" s="2">
        <v>117434</v>
      </c>
    </row>
    <row r="504" spans="1:8">
      <c r="A504" s="2" t="s">
        <v>2936</v>
      </c>
      <c r="B504" s="2" t="s">
        <v>4146</v>
      </c>
      <c r="C504" s="2" t="s">
        <v>4138</v>
      </c>
      <c r="D504" s="2">
        <v>45610000</v>
      </c>
      <c r="E504" s="2" t="s">
        <v>4023</v>
      </c>
      <c r="F504" s="2" t="s">
        <v>2224</v>
      </c>
      <c r="G504" s="2" t="s">
        <v>3574</v>
      </c>
      <c r="H504" s="2">
        <v>71073</v>
      </c>
    </row>
    <row r="505" spans="1:8">
      <c r="A505" s="2" t="s">
        <v>2731</v>
      </c>
      <c r="B505" s="2" t="s">
        <v>4147</v>
      </c>
      <c r="C505" s="2" t="s">
        <v>4134</v>
      </c>
      <c r="D505" s="2">
        <v>45615000</v>
      </c>
      <c r="E505" s="2" t="s">
        <v>4023</v>
      </c>
      <c r="F505" s="2" t="s">
        <v>2224</v>
      </c>
      <c r="G505" s="2" t="s">
        <v>3634</v>
      </c>
      <c r="H505" s="2">
        <v>28891</v>
      </c>
    </row>
    <row r="506" spans="1:8">
      <c r="A506" s="2" t="s">
        <v>2864</v>
      </c>
      <c r="B506" s="2" t="s">
        <v>4148</v>
      </c>
      <c r="C506" s="2" t="s">
        <v>4138</v>
      </c>
      <c r="D506" s="2">
        <v>45616000</v>
      </c>
      <c r="E506" s="2" t="s">
        <v>4023</v>
      </c>
      <c r="F506" s="2" t="s">
        <v>2224</v>
      </c>
      <c r="G506" s="2" t="s">
        <v>3634</v>
      </c>
      <c r="H506" s="2">
        <v>26494</v>
      </c>
    </row>
    <row r="507" spans="1:8">
      <c r="A507" s="2" t="s">
        <v>3083</v>
      </c>
      <c r="B507" s="2" t="s">
        <v>4149</v>
      </c>
      <c r="C507" s="2" t="s">
        <v>4136</v>
      </c>
      <c r="D507" s="2">
        <v>45617000</v>
      </c>
      <c r="E507" s="2" t="s">
        <v>4023</v>
      </c>
      <c r="F507" s="2" t="s">
        <v>2224</v>
      </c>
      <c r="G507" s="2" t="s">
        <v>3574</v>
      </c>
      <c r="H507" s="2">
        <v>29705</v>
      </c>
    </row>
    <row r="508" spans="1:8">
      <c r="A508" s="2" t="s">
        <v>3121</v>
      </c>
      <c r="B508" s="2" t="s">
        <v>4150</v>
      </c>
      <c r="C508" s="2" t="s">
        <v>4140</v>
      </c>
      <c r="D508" s="2">
        <v>45618000</v>
      </c>
      <c r="E508" s="2" t="s">
        <v>4023</v>
      </c>
      <c r="F508" s="2" t="s">
        <v>2224</v>
      </c>
      <c r="G508" s="2" t="s">
        <v>3629</v>
      </c>
      <c r="H508" s="2">
        <v>45155</v>
      </c>
    </row>
    <row r="509" spans="1:8">
      <c r="A509" s="2" t="s">
        <v>3162</v>
      </c>
      <c r="B509" s="2" t="s">
        <v>4151</v>
      </c>
      <c r="C509" s="2" t="s">
        <v>4140</v>
      </c>
      <c r="D509" s="2">
        <v>45619000</v>
      </c>
      <c r="E509" s="2" t="s">
        <v>4023</v>
      </c>
      <c r="F509" s="2" t="s">
        <v>2224</v>
      </c>
      <c r="G509" s="2" t="s">
        <v>3574</v>
      </c>
      <c r="H509" s="2">
        <v>73877</v>
      </c>
    </row>
    <row r="510" spans="1:8">
      <c r="A510" s="2" t="s">
        <v>3199</v>
      </c>
      <c r="B510" s="2" t="s">
        <v>4152</v>
      </c>
      <c r="C510" s="2" t="s">
        <v>4136</v>
      </c>
      <c r="D510" s="2">
        <v>45620000</v>
      </c>
      <c r="E510" s="2" t="s">
        <v>4023</v>
      </c>
      <c r="F510" s="2" t="s">
        <v>2224</v>
      </c>
      <c r="G510" s="2" t="s">
        <v>3574</v>
      </c>
      <c r="H510" s="2">
        <v>69079</v>
      </c>
    </row>
    <row r="511" spans="1:8">
      <c r="A511" s="2" t="s">
        <v>3230</v>
      </c>
      <c r="B511" s="2" t="s">
        <v>4153</v>
      </c>
      <c r="C511" s="2" t="s">
        <v>4136</v>
      </c>
      <c r="D511" s="2">
        <v>45621000</v>
      </c>
      <c r="E511" s="2" t="s">
        <v>4023</v>
      </c>
      <c r="F511" s="2" t="s">
        <v>2224</v>
      </c>
      <c r="G511" s="2" t="s">
        <v>3626</v>
      </c>
      <c r="H511" s="2">
        <v>7417</v>
      </c>
    </row>
    <row r="512" spans="1:8">
      <c r="A512" s="2" t="s">
        <v>3263</v>
      </c>
      <c r="B512" s="2" t="s">
        <v>4154</v>
      </c>
      <c r="C512" s="2" t="s">
        <v>4140</v>
      </c>
      <c r="D512" s="2">
        <v>45622000</v>
      </c>
      <c r="E512" s="2" t="s">
        <v>4023</v>
      </c>
      <c r="F512" s="2" t="s">
        <v>2224</v>
      </c>
      <c r="G512" s="2" t="s">
        <v>3574</v>
      </c>
      <c r="H512" s="2">
        <v>95167</v>
      </c>
    </row>
    <row r="513" spans="1:8">
      <c r="A513" s="2" t="s">
        <v>3288</v>
      </c>
      <c r="B513" s="2" t="s">
        <v>4155</v>
      </c>
      <c r="C513" s="2" t="s">
        <v>4136</v>
      </c>
      <c r="D513" s="2">
        <v>45623000</v>
      </c>
      <c r="E513" s="2" t="s">
        <v>4023</v>
      </c>
      <c r="F513" s="2" t="s">
        <v>2224</v>
      </c>
      <c r="G513" s="2" t="s">
        <v>3600</v>
      </c>
      <c r="H513" s="2">
        <v>51475</v>
      </c>
    </row>
    <row r="514" spans="1:8">
      <c r="A514" s="2" t="s">
        <v>3313</v>
      </c>
      <c r="B514" s="2" t="s">
        <v>4156</v>
      </c>
      <c r="C514" s="2" t="s">
        <v>4138</v>
      </c>
      <c r="D514" s="2">
        <v>45625000</v>
      </c>
      <c r="E514" s="2" t="s">
        <v>4023</v>
      </c>
      <c r="F514" s="2" t="s">
        <v>2224</v>
      </c>
      <c r="G514" s="2" t="s">
        <v>3634</v>
      </c>
      <c r="H514" s="2">
        <v>28188</v>
      </c>
    </row>
    <row r="515" spans="1:8">
      <c r="A515" s="2" t="s">
        <v>3339</v>
      </c>
      <c r="B515" s="2" t="s">
        <v>4157</v>
      </c>
      <c r="C515" s="2" t="s">
        <v>4136</v>
      </c>
      <c r="D515" s="2">
        <v>45627000</v>
      </c>
      <c r="E515" s="2" t="s">
        <v>4023</v>
      </c>
      <c r="F515" s="2" t="s">
        <v>2224</v>
      </c>
      <c r="G515" s="2" t="s">
        <v>3574</v>
      </c>
      <c r="H515" s="2">
        <v>63819</v>
      </c>
    </row>
    <row r="516" spans="1:8">
      <c r="A516" s="2" t="s">
        <v>3361</v>
      </c>
      <c r="B516" s="2" t="s">
        <v>4158</v>
      </c>
      <c r="C516" s="2" t="s">
        <v>4138</v>
      </c>
      <c r="D516" s="2">
        <v>45628000</v>
      </c>
      <c r="E516" s="2" t="s">
        <v>4023</v>
      </c>
      <c r="F516" s="2" t="s">
        <v>2224</v>
      </c>
      <c r="G516" s="2" t="s">
        <v>3574</v>
      </c>
      <c r="H516" s="2">
        <v>53123</v>
      </c>
    </row>
    <row r="517" spans="1:8">
      <c r="A517" s="2" t="s">
        <v>2955</v>
      </c>
      <c r="B517" s="2" t="s">
        <v>4159</v>
      </c>
      <c r="C517" s="2" t="s">
        <v>4138</v>
      </c>
      <c r="D517" s="2">
        <v>45629000</v>
      </c>
      <c r="E517" s="2" t="s">
        <v>4023</v>
      </c>
      <c r="F517" s="2" t="s">
        <v>2224</v>
      </c>
      <c r="G517" s="2" t="s">
        <v>3634</v>
      </c>
      <c r="H517" s="2">
        <v>22460</v>
      </c>
    </row>
    <row r="518" spans="1:8">
      <c r="A518" s="2" t="s">
        <v>3401</v>
      </c>
      <c r="B518" s="2" t="s">
        <v>4160</v>
      </c>
      <c r="C518" s="2" t="s">
        <v>4136</v>
      </c>
      <c r="D518" s="2">
        <v>45630000</v>
      </c>
      <c r="E518" s="2" t="s">
        <v>4023</v>
      </c>
      <c r="F518" s="2" t="s">
        <v>2224</v>
      </c>
      <c r="G518" s="2" t="s">
        <v>3574</v>
      </c>
      <c r="H518" s="2">
        <v>75023</v>
      </c>
    </row>
    <row r="519" spans="1:8">
      <c r="A519" s="2" t="s">
        <v>3415</v>
      </c>
      <c r="B519" s="2" t="s">
        <v>4161</v>
      </c>
      <c r="C519" s="2" t="s">
        <v>4136</v>
      </c>
      <c r="D519" s="2">
        <v>45631000</v>
      </c>
      <c r="E519" s="2" t="s">
        <v>4023</v>
      </c>
      <c r="F519" s="2" t="s">
        <v>2224</v>
      </c>
      <c r="G519" s="2" t="s">
        <v>3634</v>
      </c>
      <c r="H519" s="2">
        <v>13546</v>
      </c>
    </row>
    <row r="520" spans="1:8">
      <c r="A520" s="2" t="s">
        <v>3429</v>
      </c>
      <c r="B520" s="2" t="s">
        <v>4162</v>
      </c>
      <c r="C520" s="2" t="s">
        <v>4136</v>
      </c>
      <c r="D520" s="2">
        <v>45632000</v>
      </c>
      <c r="E520" s="2" t="s">
        <v>4023</v>
      </c>
      <c r="F520" s="2" t="s">
        <v>2224</v>
      </c>
      <c r="G520" s="2" t="s">
        <v>3626</v>
      </c>
      <c r="H520" s="2">
        <v>14606</v>
      </c>
    </row>
    <row r="521" spans="1:8">
      <c r="A521" s="2" t="s">
        <v>3442</v>
      </c>
      <c r="B521" s="2" t="s">
        <v>4163</v>
      </c>
      <c r="C521" s="2" t="s">
        <v>4140</v>
      </c>
      <c r="D521" s="2">
        <v>45633000</v>
      </c>
      <c r="E521" s="2" t="s">
        <v>4023</v>
      </c>
      <c r="F521" s="2" t="s">
        <v>2224</v>
      </c>
      <c r="G521" s="2" t="s">
        <v>3626</v>
      </c>
      <c r="H521" s="2">
        <v>12173</v>
      </c>
    </row>
    <row r="522" spans="1:8">
      <c r="A522" s="2" t="s">
        <v>3395</v>
      </c>
      <c r="B522" s="2" t="s">
        <v>4164</v>
      </c>
      <c r="C522" s="2" t="s">
        <v>4138</v>
      </c>
      <c r="D522" s="2">
        <v>45634000</v>
      </c>
      <c r="E522" s="2" t="s">
        <v>4023</v>
      </c>
      <c r="F522" s="2" t="s">
        <v>2224</v>
      </c>
      <c r="G522" s="2" t="s">
        <v>3634</v>
      </c>
      <c r="H522" s="2">
        <v>23019</v>
      </c>
    </row>
    <row r="523" spans="1:8">
      <c r="A523" s="2" t="s">
        <v>3104</v>
      </c>
      <c r="B523" s="2" t="s">
        <v>4165</v>
      </c>
      <c r="C523" s="2" t="s">
        <v>4140</v>
      </c>
      <c r="D523" s="2">
        <v>45635000</v>
      </c>
      <c r="E523" s="2" t="s">
        <v>4023</v>
      </c>
      <c r="F523" s="2" t="s">
        <v>2224</v>
      </c>
      <c r="G523" s="2" t="s">
        <v>3626</v>
      </c>
      <c r="H523" s="2">
        <v>10935</v>
      </c>
    </row>
    <row r="524" spans="1:8">
      <c r="A524" s="2" t="s">
        <v>3472</v>
      </c>
      <c r="B524" s="2" t="s">
        <v>4166</v>
      </c>
      <c r="C524" s="2" t="s">
        <v>4136</v>
      </c>
      <c r="D524" s="2">
        <v>45636000</v>
      </c>
      <c r="E524" s="2" t="s">
        <v>4023</v>
      </c>
      <c r="F524" s="2" t="s">
        <v>2224</v>
      </c>
      <c r="G524" s="2" t="s">
        <v>3629</v>
      </c>
      <c r="H524" s="2">
        <v>30582</v>
      </c>
    </row>
    <row r="525" spans="1:8">
      <c r="A525" s="2" t="s">
        <v>681</v>
      </c>
      <c r="B525" s="2" t="s">
        <v>4167</v>
      </c>
      <c r="C525" s="2" t="s">
        <v>4140</v>
      </c>
      <c r="D525" s="2">
        <v>45637000</v>
      </c>
      <c r="E525" s="2" t="s">
        <v>4023</v>
      </c>
      <c r="F525" s="2" t="s">
        <v>2224</v>
      </c>
      <c r="G525" s="2" t="s">
        <v>3626</v>
      </c>
      <c r="H525" s="2">
        <v>15228</v>
      </c>
    </row>
    <row r="526" spans="1:8">
      <c r="A526" s="2" t="s">
        <v>3491</v>
      </c>
      <c r="B526" s="2" t="s">
        <v>4168</v>
      </c>
      <c r="C526" s="2" t="s">
        <v>4136</v>
      </c>
      <c r="D526" s="2">
        <v>45638000</v>
      </c>
      <c r="E526" s="2" t="s">
        <v>4023</v>
      </c>
      <c r="F526" s="2" t="s">
        <v>2224</v>
      </c>
      <c r="G526" s="2" t="s">
        <v>3574</v>
      </c>
      <c r="H526" s="2">
        <v>35979</v>
      </c>
    </row>
    <row r="527" spans="1:8">
      <c r="A527" s="2" t="s">
        <v>3499</v>
      </c>
      <c r="B527" s="2" t="s">
        <v>4169</v>
      </c>
      <c r="C527" s="2" t="s">
        <v>4136</v>
      </c>
      <c r="D527" s="2">
        <v>45639000</v>
      </c>
      <c r="E527" s="2" t="s">
        <v>4023</v>
      </c>
      <c r="F527" s="2" t="s">
        <v>2224</v>
      </c>
      <c r="G527" s="2" t="s">
        <v>3626</v>
      </c>
      <c r="H527" s="2">
        <v>13907</v>
      </c>
    </row>
    <row r="528" spans="1:8">
      <c r="A528" s="2" t="s">
        <v>3041</v>
      </c>
      <c r="B528" s="2" t="s">
        <v>4170</v>
      </c>
      <c r="C528" s="2" t="s">
        <v>4138</v>
      </c>
      <c r="D528" s="2">
        <v>45640000</v>
      </c>
      <c r="E528" s="2" t="s">
        <v>4023</v>
      </c>
      <c r="F528" s="2" t="s">
        <v>2224</v>
      </c>
      <c r="G528" s="2" t="s">
        <v>3634</v>
      </c>
      <c r="H528" s="2">
        <v>35780</v>
      </c>
    </row>
    <row r="529" spans="1:8">
      <c r="A529" s="2" t="s">
        <v>2878</v>
      </c>
      <c r="B529" s="2" t="s">
        <v>4171</v>
      </c>
      <c r="C529" s="2" t="s">
        <v>4134</v>
      </c>
      <c r="D529" s="2">
        <v>45641000</v>
      </c>
      <c r="E529" s="2" t="s">
        <v>4023</v>
      </c>
      <c r="F529" s="2" t="s">
        <v>2224</v>
      </c>
      <c r="G529" s="2" t="s">
        <v>3634</v>
      </c>
      <c r="H529" s="2">
        <v>33467</v>
      </c>
    </row>
    <row r="530" spans="1:8">
      <c r="A530" s="2" t="s">
        <v>3515</v>
      </c>
      <c r="B530" s="2" t="s">
        <v>4172</v>
      </c>
      <c r="C530" s="2" t="s">
        <v>4138</v>
      </c>
      <c r="D530" s="2">
        <v>45642000</v>
      </c>
      <c r="E530" s="2" t="s">
        <v>4023</v>
      </c>
      <c r="F530" s="2" t="s">
        <v>2224</v>
      </c>
      <c r="G530" s="2" t="s">
        <v>3600</v>
      </c>
      <c r="H530" s="2">
        <v>61473</v>
      </c>
    </row>
    <row r="531" spans="1:8">
      <c r="A531" s="2" t="s">
        <v>3035</v>
      </c>
      <c r="B531" s="2" t="s">
        <v>4173</v>
      </c>
      <c r="C531" s="2" t="s">
        <v>4138</v>
      </c>
      <c r="D531" s="2">
        <v>45644000</v>
      </c>
      <c r="E531" s="2" t="s">
        <v>4023</v>
      </c>
      <c r="F531" s="2" t="s">
        <v>2224</v>
      </c>
      <c r="G531" s="2" t="s">
        <v>3629</v>
      </c>
      <c r="H531" s="2">
        <v>48461</v>
      </c>
    </row>
    <row r="532" spans="1:8">
      <c r="A532" s="2" t="s">
        <v>3523</v>
      </c>
      <c r="B532" s="2" t="s">
        <v>4174</v>
      </c>
      <c r="C532" s="2" t="s">
        <v>4134</v>
      </c>
      <c r="D532" s="2">
        <v>45645000</v>
      </c>
      <c r="E532" s="2" t="s">
        <v>4023</v>
      </c>
      <c r="F532" s="2" t="s">
        <v>2224</v>
      </c>
      <c r="G532" s="2" t="s">
        <v>3574</v>
      </c>
      <c r="H532" s="2">
        <v>148980</v>
      </c>
    </row>
    <row r="533" spans="1:8">
      <c r="A533" s="2" t="s">
        <v>3526</v>
      </c>
      <c r="B533" s="2" t="s">
        <v>4175</v>
      </c>
      <c r="C533" s="2" t="s">
        <v>4140</v>
      </c>
      <c r="D533" s="2">
        <v>45646000</v>
      </c>
      <c r="E533" s="2" t="s">
        <v>4023</v>
      </c>
      <c r="F533" s="2" t="s">
        <v>2224</v>
      </c>
      <c r="G533" s="2" t="s">
        <v>3574</v>
      </c>
      <c r="H533" s="2">
        <v>51832</v>
      </c>
    </row>
    <row r="534" spans="1:8">
      <c r="A534" s="2" t="s">
        <v>3529</v>
      </c>
      <c r="B534" s="2" t="s">
        <v>4176</v>
      </c>
      <c r="C534" s="2" t="s">
        <v>4134</v>
      </c>
      <c r="D534" s="2">
        <v>45648000</v>
      </c>
      <c r="E534" s="2" t="s">
        <v>4023</v>
      </c>
      <c r="F534" s="2" t="s">
        <v>2224</v>
      </c>
      <c r="G534" s="2" t="s">
        <v>3574</v>
      </c>
      <c r="H534" s="2">
        <v>99712</v>
      </c>
    </row>
    <row r="535" spans="1:8">
      <c r="A535" s="2" t="s">
        <v>3533</v>
      </c>
      <c r="B535" s="2" t="s">
        <v>4177</v>
      </c>
      <c r="C535" s="2" t="s">
        <v>4138</v>
      </c>
      <c r="D535" s="2">
        <v>45649000</v>
      </c>
      <c r="E535" s="2" t="s">
        <v>4023</v>
      </c>
      <c r="F535" s="2" t="s">
        <v>2224</v>
      </c>
      <c r="G535" s="2" t="s">
        <v>3634</v>
      </c>
      <c r="H535" s="2">
        <v>26884</v>
      </c>
    </row>
    <row r="536" spans="2:5">
      <c r="B536" s="2" t="s">
        <v>20</v>
      </c>
      <c r="E536" s="2" t="s">
        <v>4023</v>
      </c>
    </row>
    <row r="537" spans="1:8">
      <c r="A537" s="2" t="s">
        <v>2363</v>
      </c>
      <c r="B537" s="2" t="s">
        <v>4178</v>
      </c>
      <c r="C537" s="2" t="s">
        <v>4179</v>
      </c>
      <c r="D537" s="2">
        <v>45801000</v>
      </c>
      <c r="E537" s="2" t="s">
        <v>4023</v>
      </c>
      <c r="F537" s="2" t="s">
        <v>2237</v>
      </c>
      <c r="G537" s="2" t="s">
        <v>3574</v>
      </c>
      <c r="H537" s="2">
        <v>113283</v>
      </c>
    </row>
    <row r="538" spans="1:8">
      <c r="A538" s="2" t="s">
        <v>2438</v>
      </c>
      <c r="B538" s="2" t="s">
        <v>4180</v>
      </c>
      <c r="C538" s="2" t="s">
        <v>4181</v>
      </c>
      <c r="D538" s="2">
        <v>45803000</v>
      </c>
      <c r="E538" s="2" t="s">
        <v>4023</v>
      </c>
      <c r="F538" s="2" t="s">
        <v>2237</v>
      </c>
      <c r="G538" s="2" t="s">
        <v>3634</v>
      </c>
      <c r="H538" s="2">
        <v>69300</v>
      </c>
    </row>
    <row r="539" spans="1:8">
      <c r="A539" s="2" t="s">
        <v>2506</v>
      </c>
      <c r="B539" s="2" t="s">
        <v>4182</v>
      </c>
      <c r="C539" s="2" t="s">
        <v>4179</v>
      </c>
      <c r="D539" s="2">
        <v>45804000</v>
      </c>
      <c r="E539" s="2" t="s">
        <v>4023</v>
      </c>
      <c r="F539" s="2" t="s">
        <v>2237</v>
      </c>
      <c r="G539" s="2" t="s">
        <v>3574</v>
      </c>
      <c r="H539" s="2">
        <v>282474</v>
      </c>
    </row>
    <row r="540" spans="1:8">
      <c r="A540" s="2" t="s">
        <v>2575</v>
      </c>
      <c r="B540" s="2" t="s">
        <v>4183</v>
      </c>
      <c r="C540" s="2" t="s">
        <v>4179</v>
      </c>
      <c r="D540" s="2">
        <v>45805000</v>
      </c>
      <c r="E540" s="2" t="s">
        <v>4023</v>
      </c>
      <c r="F540" s="2" t="s">
        <v>2237</v>
      </c>
      <c r="G540" s="2" t="s">
        <v>3574</v>
      </c>
      <c r="H540" s="2">
        <v>322128</v>
      </c>
    </row>
    <row r="541" spans="1:8">
      <c r="A541" s="2" t="s">
        <v>2642</v>
      </c>
      <c r="B541" s="2" t="s">
        <v>4184</v>
      </c>
      <c r="C541" s="2" t="s">
        <v>4181</v>
      </c>
      <c r="D541" s="2">
        <v>45806000</v>
      </c>
      <c r="E541" s="2" t="s">
        <v>4023</v>
      </c>
      <c r="F541" s="2" t="s">
        <v>2237</v>
      </c>
      <c r="G541" s="2" t="s">
        <v>3629</v>
      </c>
      <c r="H541" s="2">
        <v>49034</v>
      </c>
    </row>
    <row r="542" spans="1:8">
      <c r="A542" s="2" t="s">
        <v>2705</v>
      </c>
      <c r="B542" s="2" t="s">
        <v>4185</v>
      </c>
      <c r="C542" s="2" t="s">
        <v>4181</v>
      </c>
      <c r="D542" s="2">
        <v>45807000</v>
      </c>
      <c r="E542" s="2" t="s">
        <v>4023</v>
      </c>
      <c r="F542" s="2" t="s">
        <v>2237</v>
      </c>
      <c r="G542" s="2" t="s">
        <v>3634</v>
      </c>
      <c r="H542" s="2">
        <v>32254</v>
      </c>
    </row>
    <row r="543" spans="1:8">
      <c r="A543" s="2" t="s">
        <v>2768</v>
      </c>
      <c r="B543" s="2" t="s">
        <v>4186</v>
      </c>
      <c r="C543" s="2" t="s">
        <v>4181</v>
      </c>
      <c r="D543" s="2">
        <v>45808000</v>
      </c>
      <c r="E543" s="2" t="s">
        <v>4023</v>
      </c>
      <c r="F543" s="2" t="s">
        <v>2237</v>
      </c>
      <c r="G543" s="2" t="s">
        <v>3574</v>
      </c>
      <c r="H543" s="2">
        <v>369222</v>
      </c>
    </row>
    <row r="544" spans="1:8">
      <c r="A544" s="2" t="s">
        <v>2819</v>
      </c>
      <c r="B544" s="2" t="s">
        <v>4187</v>
      </c>
      <c r="C544" s="2" t="s">
        <v>4181</v>
      </c>
      <c r="D544" s="2">
        <v>45809000</v>
      </c>
      <c r="E544" s="2" t="s">
        <v>4023</v>
      </c>
      <c r="F544" s="2" t="s">
        <v>2237</v>
      </c>
      <c r="G544" s="2" t="s">
        <v>3600</v>
      </c>
      <c r="H544" s="2">
        <v>58118</v>
      </c>
    </row>
    <row r="545" spans="1:8">
      <c r="A545" s="2" t="s">
        <v>2882</v>
      </c>
      <c r="B545" s="2" t="s">
        <v>4188</v>
      </c>
      <c r="C545" s="2" t="s">
        <v>4181</v>
      </c>
      <c r="D545" s="2">
        <v>45810000</v>
      </c>
      <c r="E545" s="2" t="s">
        <v>4023</v>
      </c>
      <c r="F545" s="2" t="s">
        <v>2237</v>
      </c>
      <c r="G545" s="2" t="s">
        <v>3574</v>
      </c>
      <c r="H545" s="2">
        <v>64812</v>
      </c>
    </row>
    <row r="546" spans="1:8">
      <c r="A546" s="2" t="s">
        <v>672</v>
      </c>
      <c r="B546" s="2" t="s">
        <v>4189</v>
      </c>
      <c r="C546" s="2" t="s">
        <v>4181</v>
      </c>
      <c r="D546" s="2">
        <v>45811000</v>
      </c>
      <c r="E546" s="2" t="s">
        <v>4023</v>
      </c>
      <c r="F546" s="2" t="s">
        <v>2237</v>
      </c>
      <c r="G546" s="2" t="s">
        <v>3574</v>
      </c>
      <c r="H546" s="2">
        <v>252527</v>
      </c>
    </row>
    <row r="547" spans="1:8">
      <c r="A547" s="2" t="s">
        <v>2988</v>
      </c>
      <c r="B547" s="2" t="s">
        <v>4190</v>
      </c>
      <c r="C547" s="2" t="s">
        <v>4181</v>
      </c>
      <c r="D547" s="2">
        <v>45812000</v>
      </c>
      <c r="E547" s="2" t="s">
        <v>4023</v>
      </c>
      <c r="F547" s="2" t="s">
        <v>2237</v>
      </c>
      <c r="G547" s="2" t="s">
        <v>3574</v>
      </c>
      <c r="H547" s="2">
        <v>117830</v>
      </c>
    </row>
    <row r="548" spans="1:8">
      <c r="A548" s="2" t="s">
        <v>3039</v>
      </c>
      <c r="B548" s="2" t="s">
        <v>4191</v>
      </c>
      <c r="C548" s="2" t="s">
        <v>4179</v>
      </c>
      <c r="D548" s="2">
        <v>45813000</v>
      </c>
      <c r="E548" s="2" t="s">
        <v>4023</v>
      </c>
      <c r="F548" s="2" t="s">
        <v>2237</v>
      </c>
      <c r="G548" s="2" t="s">
        <v>3574</v>
      </c>
      <c r="H548" s="2">
        <v>319104</v>
      </c>
    </row>
    <row r="549" spans="1:8">
      <c r="A549" s="2" t="s">
        <v>3084</v>
      </c>
      <c r="B549" s="2" t="s">
        <v>4192</v>
      </c>
      <c r="C549" s="2" t="s">
        <v>4181</v>
      </c>
      <c r="D549" s="2">
        <v>45814000</v>
      </c>
      <c r="E549" s="2" t="s">
        <v>4023</v>
      </c>
      <c r="F549" s="2" t="s">
        <v>2237</v>
      </c>
      <c r="G549" s="2" t="s">
        <v>3600</v>
      </c>
      <c r="H549" s="2">
        <v>57755</v>
      </c>
    </row>
    <row r="550" spans="2:5">
      <c r="B550" s="2" t="s">
        <v>20</v>
      </c>
      <c r="E550" s="2" t="s">
        <v>4193</v>
      </c>
    </row>
    <row r="551" spans="1:8">
      <c r="A551" s="2" t="s">
        <v>2364</v>
      </c>
      <c r="B551" s="2" t="s">
        <v>4194</v>
      </c>
      <c r="C551" s="2" t="s">
        <v>4195</v>
      </c>
      <c r="D551" s="2">
        <v>174001000</v>
      </c>
      <c r="E551" s="2" t="s">
        <v>4193</v>
      </c>
      <c r="F551" s="2" t="s">
        <v>2183</v>
      </c>
      <c r="G551" s="2" t="s">
        <v>3574</v>
      </c>
      <c r="H551" s="2">
        <v>54730</v>
      </c>
    </row>
    <row r="552" spans="1:8">
      <c r="A552" s="2" t="s">
        <v>2378</v>
      </c>
      <c r="B552" s="2" t="s">
        <v>4196</v>
      </c>
      <c r="C552" s="2" t="s">
        <v>4195</v>
      </c>
      <c r="D552" s="2">
        <v>174002000</v>
      </c>
      <c r="E552" s="2" t="s">
        <v>4193</v>
      </c>
      <c r="F552" s="2" t="s">
        <v>2183</v>
      </c>
      <c r="G552" s="2" t="s">
        <v>3634</v>
      </c>
      <c r="H552" s="2">
        <v>23988</v>
      </c>
    </row>
    <row r="553" spans="1:8">
      <c r="A553" s="2" t="s">
        <v>2507</v>
      </c>
      <c r="B553" s="2" t="s">
        <v>4197</v>
      </c>
      <c r="C553" s="2" t="s">
        <v>4195</v>
      </c>
      <c r="D553" s="2">
        <v>174003000</v>
      </c>
      <c r="E553" s="2" t="s">
        <v>4193</v>
      </c>
      <c r="F553" s="2" t="s">
        <v>2183</v>
      </c>
      <c r="G553" s="2" t="s">
        <v>3629</v>
      </c>
      <c r="H553" s="2">
        <v>34828</v>
      </c>
    </row>
    <row r="554" spans="1:8">
      <c r="A554" s="2" t="s">
        <v>2576</v>
      </c>
      <c r="B554" s="2" t="s">
        <v>4198</v>
      </c>
      <c r="C554" s="2" t="s">
        <v>4195</v>
      </c>
      <c r="D554" s="2">
        <v>174004000</v>
      </c>
      <c r="E554" s="2" t="s">
        <v>4193</v>
      </c>
      <c r="F554" s="2" t="s">
        <v>2183</v>
      </c>
      <c r="G554" s="2" t="s">
        <v>3629</v>
      </c>
      <c r="H554" s="2">
        <v>34043</v>
      </c>
    </row>
    <row r="555" spans="1:8">
      <c r="A555" s="2" t="s">
        <v>2643</v>
      </c>
      <c r="B555" s="2" t="s">
        <v>4199</v>
      </c>
      <c r="C555" s="2" t="s">
        <v>4195</v>
      </c>
      <c r="D555" s="2">
        <v>174005000</v>
      </c>
      <c r="E555" s="2" t="s">
        <v>4193</v>
      </c>
      <c r="F555" s="2" t="s">
        <v>2183</v>
      </c>
      <c r="G555" s="2" t="s">
        <v>3574</v>
      </c>
      <c r="H555" s="2">
        <v>56408</v>
      </c>
    </row>
    <row r="556" spans="1:8">
      <c r="A556" s="2" t="s">
        <v>2706</v>
      </c>
      <c r="B556" s="2" t="s">
        <v>4200</v>
      </c>
      <c r="C556" s="2" t="s">
        <v>4195</v>
      </c>
      <c r="D556" s="2">
        <v>174006000</v>
      </c>
      <c r="E556" s="2" t="s">
        <v>4193</v>
      </c>
      <c r="F556" s="2" t="s">
        <v>2183</v>
      </c>
      <c r="G556" s="2" t="s">
        <v>3629</v>
      </c>
      <c r="H556" s="2">
        <v>30524</v>
      </c>
    </row>
    <row r="557" spans="2:5">
      <c r="B557" s="2" t="s">
        <v>20</v>
      </c>
      <c r="E557" s="2" t="s">
        <v>4193</v>
      </c>
    </row>
    <row r="558" spans="1:8">
      <c r="A558" s="2" t="s">
        <v>2365</v>
      </c>
      <c r="B558" s="2" t="s">
        <v>4201</v>
      </c>
      <c r="C558" s="2" t="s">
        <v>4202</v>
      </c>
      <c r="D558" s="2">
        <v>175101000</v>
      </c>
      <c r="E558" s="2" t="s">
        <v>4193</v>
      </c>
      <c r="F558" s="2" t="s">
        <v>2197</v>
      </c>
      <c r="G558" s="2" t="s">
        <v>3600</v>
      </c>
      <c r="H558" s="2">
        <v>31306</v>
      </c>
    </row>
    <row r="559" spans="1:8">
      <c r="A559" s="2" t="s">
        <v>2439</v>
      </c>
      <c r="B559" s="2" t="s">
        <v>4203</v>
      </c>
      <c r="C559" s="2" t="s">
        <v>4202</v>
      </c>
      <c r="D559" s="2">
        <v>175102000</v>
      </c>
      <c r="E559" s="2" t="s">
        <v>4193</v>
      </c>
      <c r="F559" s="2" t="s">
        <v>2197</v>
      </c>
      <c r="G559" s="2" t="s">
        <v>3629</v>
      </c>
      <c r="H559" s="2">
        <v>29826</v>
      </c>
    </row>
    <row r="560" spans="1:8">
      <c r="A560" s="2" t="s">
        <v>2508</v>
      </c>
      <c r="B560" s="2" t="s">
        <v>4204</v>
      </c>
      <c r="C560" s="2" t="s">
        <v>4202</v>
      </c>
      <c r="D560" s="2">
        <v>175103000</v>
      </c>
      <c r="E560" s="2" t="s">
        <v>4193</v>
      </c>
      <c r="F560" s="2" t="s">
        <v>2197</v>
      </c>
      <c r="G560" s="2" t="s">
        <v>3626</v>
      </c>
      <c r="H560" s="2">
        <v>10117</v>
      </c>
    </row>
    <row r="561" spans="1:8">
      <c r="A561" s="2" t="s">
        <v>2577</v>
      </c>
      <c r="B561" s="2" t="s">
        <v>4205</v>
      </c>
      <c r="C561" s="2" t="s">
        <v>4202</v>
      </c>
      <c r="D561" s="2">
        <v>175104000</v>
      </c>
      <c r="E561" s="2" t="s">
        <v>4193</v>
      </c>
      <c r="F561" s="2" t="s">
        <v>2197</v>
      </c>
      <c r="G561" s="2" t="s">
        <v>3634</v>
      </c>
      <c r="H561" s="2">
        <v>18803</v>
      </c>
    </row>
    <row r="562" spans="1:8">
      <c r="A562" s="2" t="s">
        <v>2644</v>
      </c>
      <c r="B562" s="2" t="s">
        <v>4206</v>
      </c>
      <c r="C562" s="2" t="s">
        <v>4202</v>
      </c>
      <c r="D562" s="2">
        <v>175105000</v>
      </c>
      <c r="E562" s="2" t="s">
        <v>4193</v>
      </c>
      <c r="F562" s="2" t="s">
        <v>2197</v>
      </c>
      <c r="G562" s="2" t="s">
        <v>3629</v>
      </c>
      <c r="H562" s="2">
        <v>36016</v>
      </c>
    </row>
    <row r="563" spans="1:8">
      <c r="A563" s="2" t="s">
        <v>2707</v>
      </c>
      <c r="B563" s="2" t="s">
        <v>4207</v>
      </c>
      <c r="C563" s="2" t="s">
        <v>4202</v>
      </c>
      <c r="D563" s="2">
        <v>175106000</v>
      </c>
      <c r="E563" s="2" t="s">
        <v>4193</v>
      </c>
      <c r="F563" s="2" t="s">
        <v>2197</v>
      </c>
      <c r="G563" s="2" t="s">
        <v>3600</v>
      </c>
      <c r="H563" s="2">
        <v>42975</v>
      </c>
    </row>
    <row r="564" spans="1:8">
      <c r="A564" s="2" t="s">
        <v>2769</v>
      </c>
      <c r="B564" s="2" t="s">
        <v>4208</v>
      </c>
      <c r="C564" s="2" t="s">
        <v>4202</v>
      </c>
      <c r="D564" s="2">
        <v>175107000</v>
      </c>
      <c r="E564" s="2" t="s">
        <v>4193</v>
      </c>
      <c r="F564" s="2" t="s">
        <v>2197</v>
      </c>
      <c r="G564" s="2" t="s">
        <v>3629</v>
      </c>
      <c r="H564" s="2">
        <v>16025</v>
      </c>
    </row>
    <row r="565" spans="1:8">
      <c r="A565" s="2" t="s">
        <v>653</v>
      </c>
      <c r="B565" s="2" t="s">
        <v>4209</v>
      </c>
      <c r="C565" s="2" t="s">
        <v>4202</v>
      </c>
      <c r="D565" s="2">
        <v>175108000</v>
      </c>
      <c r="E565" s="2" t="s">
        <v>4193</v>
      </c>
      <c r="F565" s="2" t="s">
        <v>2197</v>
      </c>
      <c r="G565" s="2" t="s">
        <v>3629</v>
      </c>
      <c r="H565" s="2">
        <v>38263</v>
      </c>
    </row>
    <row r="566" spans="1:8">
      <c r="A566" s="2" t="s">
        <v>2883</v>
      </c>
      <c r="B566" s="2" t="s">
        <v>4210</v>
      </c>
      <c r="C566" s="2" t="s">
        <v>4202</v>
      </c>
      <c r="D566" s="2">
        <v>175109000</v>
      </c>
      <c r="E566" s="2" t="s">
        <v>4193</v>
      </c>
      <c r="F566" s="2" t="s">
        <v>2197</v>
      </c>
      <c r="G566" s="2" t="s">
        <v>3574</v>
      </c>
      <c r="H566" s="2">
        <v>83169</v>
      </c>
    </row>
    <row r="567" spans="1:8">
      <c r="A567" s="2" t="s">
        <v>2937</v>
      </c>
      <c r="B567" s="2" t="s">
        <v>4211</v>
      </c>
      <c r="C567" s="2" t="s">
        <v>4202</v>
      </c>
      <c r="D567" s="2">
        <v>175110000</v>
      </c>
      <c r="E567" s="2" t="s">
        <v>4193</v>
      </c>
      <c r="F567" s="2" t="s">
        <v>2197</v>
      </c>
      <c r="G567" s="2" t="s">
        <v>3574</v>
      </c>
      <c r="H567" s="2">
        <v>143430</v>
      </c>
    </row>
    <row r="568" spans="1:8">
      <c r="A568" s="2" t="s">
        <v>2643</v>
      </c>
      <c r="B568" s="2" t="s">
        <v>4212</v>
      </c>
      <c r="C568" s="2" t="s">
        <v>4202</v>
      </c>
      <c r="D568" s="2">
        <v>175111000</v>
      </c>
      <c r="E568" s="2" t="s">
        <v>4193</v>
      </c>
      <c r="F568" s="2" t="s">
        <v>2197</v>
      </c>
      <c r="G568" s="2" t="s">
        <v>3574</v>
      </c>
      <c r="H568" s="2">
        <v>37484</v>
      </c>
    </row>
    <row r="569" spans="2:5">
      <c r="B569" s="2" t="s">
        <v>20</v>
      </c>
      <c r="E569" s="2" t="s">
        <v>4193</v>
      </c>
    </row>
    <row r="570" spans="1:8">
      <c r="A570" s="2" t="s">
        <v>2366</v>
      </c>
      <c r="B570" s="2" t="s">
        <v>4213</v>
      </c>
      <c r="C570" s="2" t="s">
        <v>4214</v>
      </c>
      <c r="D570" s="2">
        <v>175205000</v>
      </c>
      <c r="E570" s="2" t="s">
        <v>4193</v>
      </c>
      <c r="F570" s="2" t="s">
        <v>2211</v>
      </c>
      <c r="G570" s="2" t="s">
        <v>3629</v>
      </c>
      <c r="H570" s="2">
        <v>133893</v>
      </c>
    </row>
    <row r="571" spans="1:8">
      <c r="A571" s="2" t="s">
        <v>2440</v>
      </c>
      <c r="B571" s="2" t="s">
        <v>4215</v>
      </c>
      <c r="C571" s="2" t="s">
        <v>4214</v>
      </c>
      <c r="D571" s="2">
        <v>175201000</v>
      </c>
      <c r="E571" s="2" t="s">
        <v>4193</v>
      </c>
      <c r="F571" s="2" t="s">
        <v>2211</v>
      </c>
      <c r="G571" s="2" t="s">
        <v>3629</v>
      </c>
      <c r="H571" s="2">
        <v>37215</v>
      </c>
    </row>
    <row r="572" spans="1:8">
      <c r="A572" s="2" t="s">
        <v>2509</v>
      </c>
      <c r="B572" s="2" t="s">
        <v>4216</v>
      </c>
      <c r="C572" s="2" t="s">
        <v>4217</v>
      </c>
      <c r="D572" s="2">
        <v>175202000</v>
      </c>
      <c r="E572" s="2" t="s">
        <v>4193</v>
      </c>
      <c r="F572" s="2" t="s">
        <v>2211</v>
      </c>
      <c r="G572" s="2" t="s">
        <v>3600</v>
      </c>
      <c r="H572" s="2">
        <v>40992</v>
      </c>
    </row>
    <row r="573" spans="1:8">
      <c r="A573" s="2" t="s">
        <v>2578</v>
      </c>
      <c r="B573" s="2" t="s">
        <v>4218</v>
      </c>
      <c r="C573" s="2" t="s">
        <v>4217</v>
      </c>
      <c r="D573" s="2">
        <v>175203000</v>
      </c>
      <c r="E573" s="2" t="s">
        <v>4193</v>
      </c>
      <c r="F573" s="2" t="s">
        <v>2211</v>
      </c>
      <c r="G573" s="2" t="s">
        <v>3574</v>
      </c>
      <c r="H573" s="2">
        <v>72073</v>
      </c>
    </row>
    <row r="574" spans="1:8">
      <c r="A574" s="2" t="s">
        <v>2645</v>
      </c>
      <c r="B574" s="2" t="s">
        <v>4219</v>
      </c>
      <c r="C574" s="2" t="s">
        <v>4217</v>
      </c>
      <c r="D574" s="2">
        <v>175204000</v>
      </c>
      <c r="E574" s="2" t="s">
        <v>4193</v>
      </c>
      <c r="F574" s="2" t="s">
        <v>2211</v>
      </c>
      <c r="G574" s="2" t="s">
        <v>3629</v>
      </c>
      <c r="H574" s="2">
        <v>39107</v>
      </c>
    </row>
    <row r="575" spans="1:8">
      <c r="A575" s="2" t="s">
        <v>2708</v>
      </c>
      <c r="B575" s="2" t="s">
        <v>4220</v>
      </c>
      <c r="C575" s="2" t="s">
        <v>4217</v>
      </c>
      <c r="D575" s="2">
        <v>175206000</v>
      </c>
      <c r="E575" s="2" t="s">
        <v>4193</v>
      </c>
      <c r="F575" s="2" t="s">
        <v>2211</v>
      </c>
      <c r="G575" s="2" t="s">
        <v>3629</v>
      </c>
      <c r="H575" s="2">
        <v>45073</v>
      </c>
    </row>
    <row r="576" spans="1:8">
      <c r="A576" s="2" t="s">
        <v>2770</v>
      </c>
      <c r="B576" s="2" t="s">
        <v>4221</v>
      </c>
      <c r="C576" s="2" t="s">
        <v>4217</v>
      </c>
      <c r="D576" s="2">
        <v>175207000</v>
      </c>
      <c r="E576" s="2" t="s">
        <v>4193</v>
      </c>
      <c r="F576" s="2" t="s">
        <v>2211</v>
      </c>
      <c r="G576" s="2" t="s">
        <v>3600</v>
      </c>
      <c r="H576" s="2">
        <v>54533</v>
      </c>
    </row>
    <row r="577" spans="1:8">
      <c r="A577" s="2" t="s">
        <v>2828</v>
      </c>
      <c r="B577" s="2" t="s">
        <v>4222</v>
      </c>
      <c r="C577" s="2" t="s">
        <v>4214</v>
      </c>
      <c r="D577" s="2">
        <v>175208000</v>
      </c>
      <c r="E577" s="2" t="s">
        <v>4193</v>
      </c>
      <c r="F577" s="2" t="s">
        <v>2211</v>
      </c>
      <c r="G577" s="2" t="s">
        <v>3574</v>
      </c>
      <c r="H577" s="2">
        <v>102998</v>
      </c>
    </row>
    <row r="578" spans="1:8">
      <c r="A578" s="2" t="s">
        <v>2884</v>
      </c>
      <c r="B578" s="2" t="s">
        <v>4223</v>
      </c>
      <c r="C578" s="2" t="s">
        <v>4217</v>
      </c>
      <c r="D578" s="2">
        <v>175209000</v>
      </c>
      <c r="E578" s="2" t="s">
        <v>4193</v>
      </c>
      <c r="F578" s="2" t="s">
        <v>2211</v>
      </c>
      <c r="G578" s="2" t="s">
        <v>3574</v>
      </c>
      <c r="H578" s="2">
        <v>86172</v>
      </c>
    </row>
    <row r="579" spans="1:8">
      <c r="A579" s="2" t="s">
        <v>2938</v>
      </c>
      <c r="B579" s="2" t="s">
        <v>4224</v>
      </c>
      <c r="C579" s="2" t="s">
        <v>4214</v>
      </c>
      <c r="D579" s="2">
        <v>175210000</v>
      </c>
      <c r="E579" s="2" t="s">
        <v>4193</v>
      </c>
      <c r="F579" s="2" t="s">
        <v>2211</v>
      </c>
      <c r="G579" s="2" t="s">
        <v>3629</v>
      </c>
      <c r="H579" s="2">
        <v>34701</v>
      </c>
    </row>
    <row r="580" spans="1:8">
      <c r="A580" s="2" t="s">
        <v>2989</v>
      </c>
      <c r="B580" s="2" t="s">
        <v>4225</v>
      </c>
      <c r="C580" s="2" t="s">
        <v>4214</v>
      </c>
      <c r="D580" s="2">
        <v>175211000</v>
      </c>
      <c r="E580" s="2" t="s">
        <v>4193</v>
      </c>
      <c r="F580" s="2" t="s">
        <v>2211</v>
      </c>
      <c r="G580" s="2" t="s">
        <v>3574</v>
      </c>
      <c r="H580" s="2">
        <v>36606</v>
      </c>
    </row>
    <row r="581" spans="1:8">
      <c r="A581" s="2" t="s">
        <v>683</v>
      </c>
      <c r="B581" s="2" t="s">
        <v>4226</v>
      </c>
      <c r="C581" s="2" t="s">
        <v>4217</v>
      </c>
      <c r="D581" s="2">
        <v>175212000</v>
      </c>
      <c r="E581" s="2" t="s">
        <v>4193</v>
      </c>
      <c r="F581" s="2" t="s">
        <v>2211</v>
      </c>
      <c r="G581" s="2" t="s">
        <v>3600</v>
      </c>
      <c r="H581" s="2">
        <v>53201</v>
      </c>
    </row>
    <row r="582" spans="1:8">
      <c r="A582" s="2" t="s">
        <v>3085</v>
      </c>
      <c r="B582" s="2" t="s">
        <v>4227</v>
      </c>
      <c r="C582" s="2" t="s">
        <v>4214</v>
      </c>
      <c r="D582" s="2">
        <v>175213000</v>
      </c>
      <c r="E582" s="2" t="s">
        <v>4193</v>
      </c>
      <c r="F582" s="2" t="s">
        <v>2211</v>
      </c>
      <c r="G582" s="2" t="s">
        <v>3634</v>
      </c>
      <c r="H582" s="2">
        <v>17904</v>
      </c>
    </row>
    <row r="583" spans="1:8">
      <c r="A583" s="2" t="s">
        <v>3123</v>
      </c>
      <c r="B583" s="2" t="s">
        <v>4228</v>
      </c>
      <c r="C583" s="2" t="s">
        <v>4214</v>
      </c>
      <c r="D583" s="2">
        <v>175214000</v>
      </c>
      <c r="E583" s="2" t="s">
        <v>4193</v>
      </c>
      <c r="F583" s="2" t="s">
        <v>2211</v>
      </c>
      <c r="G583" s="2" t="s">
        <v>3629</v>
      </c>
      <c r="H583" s="2">
        <v>39099</v>
      </c>
    </row>
    <row r="584" spans="1:8">
      <c r="A584" s="2" t="s">
        <v>3163</v>
      </c>
      <c r="B584" s="2" t="s">
        <v>4229</v>
      </c>
      <c r="C584" s="2" t="s">
        <v>4214</v>
      </c>
      <c r="D584" s="2">
        <v>175215000</v>
      </c>
      <c r="E584" s="2" t="s">
        <v>4193</v>
      </c>
      <c r="F584" s="2" t="s">
        <v>2211</v>
      </c>
      <c r="G584" s="2" t="s">
        <v>3600</v>
      </c>
      <c r="H584" s="2">
        <v>50492</v>
      </c>
    </row>
    <row r="585" spans="2:5">
      <c r="B585" s="2" t="s">
        <v>20</v>
      </c>
      <c r="E585" s="2" t="s">
        <v>4193</v>
      </c>
    </row>
    <row r="586" spans="1:8">
      <c r="A586" s="2" t="s">
        <v>2367</v>
      </c>
      <c r="B586" s="2" t="s">
        <v>4230</v>
      </c>
      <c r="C586" s="2" t="s">
        <v>4231</v>
      </c>
      <c r="D586" s="2">
        <v>175316000</v>
      </c>
      <c r="E586" s="2" t="s">
        <v>4193</v>
      </c>
      <c r="F586" s="2" t="s">
        <v>2225</v>
      </c>
      <c r="G586" s="2" t="s">
        <v>3574</v>
      </c>
      <c r="H586" s="2">
        <v>255116</v>
      </c>
    </row>
    <row r="587" spans="1:8">
      <c r="A587" s="2" t="s">
        <v>2441</v>
      </c>
      <c r="B587" s="2" t="s">
        <v>4232</v>
      </c>
      <c r="C587" s="2" t="s">
        <v>4231</v>
      </c>
      <c r="D587" s="2">
        <v>175301000</v>
      </c>
      <c r="E587" s="2" t="s">
        <v>4193</v>
      </c>
      <c r="F587" s="2" t="s">
        <v>2225</v>
      </c>
      <c r="G587" s="2" t="s">
        <v>3574</v>
      </c>
      <c r="H587" s="2">
        <v>35091</v>
      </c>
    </row>
    <row r="588" spans="1:8">
      <c r="A588" s="2" t="s">
        <v>2510</v>
      </c>
      <c r="B588" s="2" t="s">
        <v>4233</v>
      </c>
      <c r="C588" s="2" t="s">
        <v>4234</v>
      </c>
      <c r="D588" s="2">
        <v>175302000</v>
      </c>
      <c r="E588" s="2" t="s">
        <v>4193</v>
      </c>
      <c r="F588" s="2" t="s">
        <v>2225</v>
      </c>
      <c r="G588" s="2" t="s">
        <v>3626</v>
      </c>
      <c r="H588" s="2">
        <v>12545</v>
      </c>
    </row>
    <row r="589" spans="1:8">
      <c r="A589" s="2" t="s">
        <v>2579</v>
      </c>
      <c r="B589" s="2" t="s">
        <v>4235</v>
      </c>
      <c r="C589" s="2" t="s">
        <v>4234</v>
      </c>
      <c r="D589" s="2">
        <v>175303000</v>
      </c>
      <c r="E589" s="2" t="s">
        <v>4193</v>
      </c>
      <c r="F589" s="2" t="s">
        <v>2225</v>
      </c>
      <c r="G589" s="2" t="s">
        <v>3634</v>
      </c>
      <c r="H589" s="2">
        <v>14909</v>
      </c>
    </row>
    <row r="590" spans="1:8">
      <c r="A590" s="2" t="s">
        <v>2646</v>
      </c>
      <c r="B590" s="2" t="s">
        <v>4236</v>
      </c>
      <c r="C590" s="2" t="s">
        <v>4237</v>
      </c>
      <c r="D590" s="2">
        <v>175304000</v>
      </c>
      <c r="E590" s="2" t="s">
        <v>4193</v>
      </c>
      <c r="F590" s="2" t="s">
        <v>2225</v>
      </c>
      <c r="G590" s="2" t="s">
        <v>3600</v>
      </c>
      <c r="H590" s="2">
        <v>40142</v>
      </c>
    </row>
    <row r="591" spans="1:8">
      <c r="A591" s="2" t="s">
        <v>2709</v>
      </c>
      <c r="B591" s="2" t="s">
        <v>4238</v>
      </c>
      <c r="C591" s="2" t="s">
        <v>4237</v>
      </c>
      <c r="D591" s="2">
        <v>175305000</v>
      </c>
      <c r="E591" s="2" t="s">
        <v>4193</v>
      </c>
      <c r="F591" s="2" t="s">
        <v>2225</v>
      </c>
      <c r="G591" s="2" t="s">
        <v>3574</v>
      </c>
      <c r="H591" s="2">
        <v>75468</v>
      </c>
    </row>
    <row r="592" spans="1:8">
      <c r="A592" s="2" t="s">
        <v>2771</v>
      </c>
      <c r="B592" s="2" t="s">
        <v>4239</v>
      </c>
      <c r="C592" s="2" t="s">
        <v>4237</v>
      </c>
      <c r="D592" s="2">
        <v>175306000</v>
      </c>
      <c r="E592" s="2" t="s">
        <v>4193</v>
      </c>
      <c r="F592" s="2" t="s">
        <v>2225</v>
      </c>
      <c r="G592" s="2" t="s">
        <v>3574</v>
      </c>
      <c r="H592" s="2">
        <v>66374</v>
      </c>
    </row>
    <row r="593" spans="1:8">
      <c r="A593" s="2" t="s">
        <v>2829</v>
      </c>
      <c r="B593" s="2" t="s">
        <v>4240</v>
      </c>
      <c r="C593" s="2" t="s">
        <v>4234</v>
      </c>
      <c r="D593" s="2">
        <v>175307000</v>
      </c>
      <c r="E593" s="2" t="s">
        <v>4193</v>
      </c>
      <c r="F593" s="2" t="s">
        <v>2225</v>
      </c>
      <c r="G593" s="2" t="s">
        <v>3629</v>
      </c>
      <c r="H593" s="2">
        <v>22046</v>
      </c>
    </row>
    <row r="594" spans="1:8">
      <c r="A594" s="2" t="s">
        <v>2885</v>
      </c>
      <c r="B594" s="2" t="s">
        <v>4241</v>
      </c>
      <c r="C594" s="2" t="s">
        <v>4234</v>
      </c>
      <c r="D594" s="2">
        <v>175308000</v>
      </c>
      <c r="E594" s="2" t="s">
        <v>4193</v>
      </c>
      <c r="F594" s="2" t="s">
        <v>2225</v>
      </c>
      <c r="G594" s="2" t="s">
        <v>3769</v>
      </c>
      <c r="H594" s="2">
        <v>6285</v>
      </c>
    </row>
    <row r="595" spans="1:8">
      <c r="A595" s="2" t="s">
        <v>2939</v>
      </c>
      <c r="B595" s="2" t="s">
        <v>4242</v>
      </c>
      <c r="C595" s="2" t="s">
        <v>4234</v>
      </c>
      <c r="D595" s="2">
        <v>175309000</v>
      </c>
      <c r="E595" s="2" t="s">
        <v>4193</v>
      </c>
      <c r="F595" s="2" t="s">
        <v>2225</v>
      </c>
      <c r="G595" s="2" t="s">
        <v>3574</v>
      </c>
      <c r="H595" s="2">
        <v>51803</v>
      </c>
    </row>
    <row r="596" spans="1:8">
      <c r="A596" s="2" t="s">
        <v>2990</v>
      </c>
      <c r="B596" s="2" t="s">
        <v>4243</v>
      </c>
      <c r="C596" s="2" t="s">
        <v>4234</v>
      </c>
      <c r="D596" s="2">
        <v>175310000</v>
      </c>
      <c r="E596" s="2" t="s">
        <v>4193</v>
      </c>
      <c r="F596" s="2" t="s">
        <v>2225</v>
      </c>
      <c r="G596" s="2" t="s">
        <v>3634</v>
      </c>
      <c r="H596" s="2">
        <v>22360</v>
      </c>
    </row>
    <row r="597" spans="1:8">
      <c r="A597" s="2" t="s">
        <v>3040</v>
      </c>
      <c r="B597" s="2" t="s">
        <v>4244</v>
      </c>
      <c r="C597" s="2" t="s">
        <v>4234</v>
      </c>
      <c r="D597" s="2">
        <v>175311000</v>
      </c>
      <c r="E597" s="2" t="s">
        <v>4193</v>
      </c>
      <c r="F597" s="2" t="s">
        <v>2225</v>
      </c>
      <c r="G597" s="2" t="s">
        <v>3629</v>
      </c>
      <c r="H597" s="2">
        <v>23734</v>
      </c>
    </row>
    <row r="598" spans="1:8">
      <c r="A598" s="2" t="s">
        <v>3086</v>
      </c>
      <c r="B598" s="2" t="s">
        <v>4245</v>
      </c>
      <c r="C598" s="2" t="s">
        <v>4234</v>
      </c>
      <c r="D598" s="2">
        <v>175312000</v>
      </c>
      <c r="E598" s="2" t="s">
        <v>4193</v>
      </c>
      <c r="F598" s="2" t="s">
        <v>2225</v>
      </c>
      <c r="G598" s="2" t="s">
        <v>3574</v>
      </c>
      <c r="H598" s="2">
        <v>41606</v>
      </c>
    </row>
    <row r="599" spans="1:8">
      <c r="A599" s="2" t="s">
        <v>3124</v>
      </c>
      <c r="B599" s="2" t="s">
        <v>4246</v>
      </c>
      <c r="C599" s="2" t="s">
        <v>4234</v>
      </c>
      <c r="D599" s="2">
        <v>175313000</v>
      </c>
      <c r="E599" s="2" t="s">
        <v>4193</v>
      </c>
      <c r="F599" s="2" t="s">
        <v>2225</v>
      </c>
      <c r="G599" s="2" t="s">
        <v>3626</v>
      </c>
      <c r="H599" s="2">
        <v>15668</v>
      </c>
    </row>
    <row r="600" spans="1:8">
      <c r="A600" s="2" t="s">
        <v>2644</v>
      </c>
      <c r="B600" s="2" t="s">
        <v>4247</v>
      </c>
      <c r="C600" s="2" t="s">
        <v>4234</v>
      </c>
      <c r="D600" s="2">
        <v>175314000</v>
      </c>
      <c r="E600" s="2" t="s">
        <v>4193</v>
      </c>
      <c r="F600" s="2" t="s">
        <v>2225</v>
      </c>
      <c r="G600" s="2" t="s">
        <v>3626</v>
      </c>
      <c r="H600" s="2">
        <v>12196</v>
      </c>
    </row>
    <row r="601" spans="1:8">
      <c r="A601" s="2" t="s">
        <v>3200</v>
      </c>
      <c r="B601" s="2" t="s">
        <v>4248</v>
      </c>
      <c r="C601" s="2" t="s">
        <v>4237</v>
      </c>
      <c r="D601" s="2">
        <v>175315000</v>
      </c>
      <c r="E601" s="2" t="s">
        <v>4193</v>
      </c>
      <c r="F601" s="2" t="s">
        <v>2225</v>
      </c>
      <c r="G601" s="2" t="s">
        <v>3574</v>
      </c>
      <c r="H601" s="2">
        <v>73212</v>
      </c>
    </row>
    <row r="602" spans="1:8">
      <c r="A602" s="2" t="s">
        <v>681</v>
      </c>
      <c r="B602" s="2" t="s">
        <v>4249</v>
      </c>
      <c r="C602" s="2" t="s">
        <v>4237</v>
      </c>
      <c r="D602" s="2">
        <v>175317000</v>
      </c>
      <c r="E602" s="2" t="s">
        <v>4193</v>
      </c>
      <c r="F602" s="2" t="s">
        <v>2225</v>
      </c>
      <c r="G602" s="2" t="s">
        <v>3574</v>
      </c>
      <c r="H602" s="2">
        <v>60980</v>
      </c>
    </row>
    <row r="603" spans="1:8">
      <c r="A603" s="2" t="s">
        <v>683</v>
      </c>
      <c r="B603" s="2" t="s">
        <v>4250</v>
      </c>
      <c r="C603" s="2" t="s">
        <v>4234</v>
      </c>
      <c r="D603" s="2">
        <v>175318000</v>
      </c>
      <c r="E603" s="2" t="s">
        <v>4193</v>
      </c>
      <c r="F603" s="2" t="s">
        <v>2225</v>
      </c>
      <c r="G603" s="2" t="s">
        <v>3574</v>
      </c>
      <c r="H603" s="2">
        <v>65358</v>
      </c>
    </row>
    <row r="604" spans="1:8">
      <c r="A604" s="2" t="s">
        <v>2888</v>
      </c>
      <c r="B604" s="2" t="s">
        <v>4251</v>
      </c>
      <c r="C604" s="2" t="s">
        <v>4234</v>
      </c>
      <c r="D604" s="2">
        <v>175319000</v>
      </c>
      <c r="E604" s="2" t="s">
        <v>4193</v>
      </c>
      <c r="F604" s="2" t="s">
        <v>2225</v>
      </c>
      <c r="G604" s="2" t="s">
        <v>3574</v>
      </c>
      <c r="H604" s="2">
        <v>31232</v>
      </c>
    </row>
    <row r="605" spans="1:8">
      <c r="A605" s="2" t="s">
        <v>3039</v>
      </c>
      <c r="B605" s="2" t="s">
        <v>4252</v>
      </c>
      <c r="C605" s="2" t="s">
        <v>4234</v>
      </c>
      <c r="D605" s="2">
        <v>175320000</v>
      </c>
      <c r="E605" s="2" t="s">
        <v>4193</v>
      </c>
      <c r="F605" s="2" t="s">
        <v>2225</v>
      </c>
      <c r="G605" s="2" t="s">
        <v>3574</v>
      </c>
      <c r="H605" s="2">
        <v>75165</v>
      </c>
    </row>
    <row r="606" spans="1:8">
      <c r="A606" s="2" t="s">
        <v>2935</v>
      </c>
      <c r="B606" s="2" t="s">
        <v>4253</v>
      </c>
      <c r="C606" s="2" t="s">
        <v>4234</v>
      </c>
      <c r="D606" s="2">
        <v>175321000</v>
      </c>
      <c r="E606" s="2" t="s">
        <v>4193</v>
      </c>
      <c r="F606" s="2" t="s">
        <v>2225</v>
      </c>
      <c r="G606" s="2" t="s">
        <v>3626</v>
      </c>
      <c r="H606" s="2">
        <v>184</v>
      </c>
    </row>
    <row r="607" spans="1:8">
      <c r="A607" s="2" t="s">
        <v>3362</v>
      </c>
      <c r="B607" s="2" t="s">
        <v>4254</v>
      </c>
      <c r="C607" s="2" t="s">
        <v>4234</v>
      </c>
      <c r="D607" s="2">
        <v>175322000</v>
      </c>
      <c r="E607" s="2" t="s">
        <v>4193</v>
      </c>
      <c r="F607" s="2" t="s">
        <v>2225</v>
      </c>
      <c r="G607" s="2" t="s">
        <v>3629</v>
      </c>
      <c r="H607" s="2">
        <v>20139</v>
      </c>
    </row>
    <row r="608" spans="1:8">
      <c r="A608" s="2" t="s">
        <v>3384</v>
      </c>
      <c r="B608" s="2" t="s">
        <v>4255</v>
      </c>
      <c r="C608" s="2" t="s">
        <v>4237</v>
      </c>
      <c r="D608" s="2">
        <v>175323000</v>
      </c>
      <c r="E608" s="2" t="s">
        <v>4193</v>
      </c>
      <c r="F608" s="2" t="s">
        <v>2225</v>
      </c>
      <c r="G608" s="2" t="s">
        <v>3574</v>
      </c>
      <c r="H608" s="2">
        <v>50096</v>
      </c>
    </row>
    <row r="609" spans="1:8">
      <c r="A609" s="2" t="s">
        <v>3402</v>
      </c>
      <c r="B609" s="2" t="s">
        <v>4256</v>
      </c>
      <c r="C609" s="2" t="s">
        <v>4237</v>
      </c>
      <c r="D609" s="2">
        <v>175324000</v>
      </c>
      <c r="E609" s="2" t="s">
        <v>4193</v>
      </c>
      <c r="F609" s="2" t="s">
        <v>2225</v>
      </c>
      <c r="G609" s="2" t="s">
        <v>3600</v>
      </c>
      <c r="H609" s="2">
        <v>32876</v>
      </c>
    </row>
    <row r="610" spans="2:5">
      <c r="B610" s="2" t="s">
        <v>20</v>
      </c>
      <c r="E610" s="2" t="s">
        <v>4193</v>
      </c>
    </row>
    <row r="611" spans="1:8">
      <c r="A611" s="2" t="s">
        <v>2368</v>
      </c>
      <c r="B611" s="2" t="s">
        <v>4257</v>
      </c>
      <c r="C611" s="2" t="s">
        <v>4258</v>
      </c>
      <c r="D611" s="2">
        <v>175901000</v>
      </c>
      <c r="E611" s="2" t="s">
        <v>4193</v>
      </c>
      <c r="F611" s="2" t="s">
        <v>2238</v>
      </c>
      <c r="G611" s="2" t="s">
        <v>3626</v>
      </c>
      <c r="H611" s="2">
        <v>16351</v>
      </c>
    </row>
    <row r="612" spans="1:8">
      <c r="A612" s="2" t="s">
        <v>2442</v>
      </c>
      <c r="B612" s="2" t="s">
        <v>4259</v>
      </c>
      <c r="C612" s="2" t="s">
        <v>4258</v>
      </c>
      <c r="D612" s="2">
        <v>175902000</v>
      </c>
      <c r="E612" s="2" t="s">
        <v>4193</v>
      </c>
      <c r="F612" s="2" t="s">
        <v>2238</v>
      </c>
      <c r="G612" s="2" t="s">
        <v>3626</v>
      </c>
      <c r="H612" s="2">
        <v>5536</v>
      </c>
    </row>
    <row r="613" spans="1:8">
      <c r="A613" s="2" t="s">
        <v>2511</v>
      </c>
      <c r="B613" s="2" t="s">
        <v>4260</v>
      </c>
      <c r="C613" s="2" t="s">
        <v>4258</v>
      </c>
      <c r="D613" s="2">
        <v>175903000</v>
      </c>
      <c r="E613" s="2" t="s">
        <v>4193</v>
      </c>
      <c r="F613" s="2" t="s">
        <v>2238</v>
      </c>
      <c r="G613" s="2" t="s">
        <v>3634</v>
      </c>
      <c r="H613" s="2">
        <v>21861</v>
      </c>
    </row>
    <row r="614" spans="1:8">
      <c r="A614" s="2" t="s">
        <v>2580</v>
      </c>
      <c r="B614" s="2" t="s">
        <v>4261</v>
      </c>
      <c r="C614" s="2" t="s">
        <v>4258</v>
      </c>
      <c r="D614" s="2">
        <v>175904000</v>
      </c>
      <c r="E614" s="2" t="s">
        <v>4193</v>
      </c>
      <c r="F614" s="2" t="s">
        <v>2238</v>
      </c>
      <c r="G614" s="2" t="s">
        <v>3626</v>
      </c>
      <c r="H614" s="2">
        <v>10275</v>
      </c>
    </row>
    <row r="615" spans="1:8">
      <c r="A615" s="2" t="s">
        <v>2647</v>
      </c>
      <c r="B615" s="2" t="s">
        <v>4262</v>
      </c>
      <c r="C615" s="2" t="s">
        <v>4258</v>
      </c>
      <c r="D615" s="2">
        <v>175905000</v>
      </c>
      <c r="E615" s="2" t="s">
        <v>4193</v>
      </c>
      <c r="F615" s="2" t="s">
        <v>2238</v>
      </c>
      <c r="G615" s="2" t="s">
        <v>3769</v>
      </c>
      <c r="H615" s="2">
        <v>4037</v>
      </c>
    </row>
    <row r="616" spans="1:8">
      <c r="A616" s="2" t="s">
        <v>2710</v>
      </c>
      <c r="B616" s="2" t="s">
        <v>4263</v>
      </c>
      <c r="C616" s="2" t="s">
        <v>4258</v>
      </c>
      <c r="D616" s="2">
        <v>175906000</v>
      </c>
      <c r="E616" s="2" t="s">
        <v>4193</v>
      </c>
      <c r="F616" s="2" t="s">
        <v>2238</v>
      </c>
      <c r="G616" s="2" t="s">
        <v>3626</v>
      </c>
      <c r="H616" s="2">
        <v>10283</v>
      </c>
    </row>
    <row r="617" spans="1:8">
      <c r="A617" s="2" t="s">
        <v>2508</v>
      </c>
      <c r="B617" s="2" t="s">
        <v>4264</v>
      </c>
      <c r="C617" s="2" t="s">
        <v>4258</v>
      </c>
      <c r="D617" s="2">
        <v>175907000</v>
      </c>
      <c r="E617" s="2" t="s">
        <v>4193</v>
      </c>
      <c r="F617" s="2" t="s">
        <v>2238</v>
      </c>
      <c r="G617" s="2" t="s">
        <v>3634</v>
      </c>
      <c r="H617" s="2">
        <v>22262</v>
      </c>
    </row>
    <row r="618" spans="1:8">
      <c r="A618" s="2" t="s">
        <v>2830</v>
      </c>
      <c r="B618" s="2" t="s">
        <v>4265</v>
      </c>
      <c r="C618" s="2" t="s">
        <v>4258</v>
      </c>
      <c r="D618" s="2">
        <v>175908000</v>
      </c>
      <c r="E618" s="2" t="s">
        <v>4193</v>
      </c>
      <c r="F618" s="2" t="s">
        <v>2238</v>
      </c>
      <c r="G618" s="2" t="s">
        <v>3626</v>
      </c>
      <c r="H618" s="2">
        <v>14142</v>
      </c>
    </row>
    <row r="619" spans="1:8">
      <c r="A619" s="2" t="s">
        <v>2886</v>
      </c>
      <c r="B619" s="2" t="s">
        <v>4266</v>
      </c>
      <c r="C619" s="2" t="s">
        <v>4258</v>
      </c>
      <c r="D619" s="2">
        <v>175909000</v>
      </c>
      <c r="E619" s="2" t="s">
        <v>4193</v>
      </c>
      <c r="F619" s="2" t="s">
        <v>2238</v>
      </c>
      <c r="G619" s="2" t="s">
        <v>3600</v>
      </c>
      <c r="H619" s="2">
        <v>45367</v>
      </c>
    </row>
    <row r="620" spans="1:8">
      <c r="A620" s="2" t="s">
        <v>2940</v>
      </c>
      <c r="B620" s="2" t="s">
        <v>4267</v>
      </c>
      <c r="C620" s="2" t="s">
        <v>4258</v>
      </c>
      <c r="D620" s="2">
        <v>175910000</v>
      </c>
      <c r="E620" s="2" t="s">
        <v>4193</v>
      </c>
      <c r="F620" s="2" t="s">
        <v>2238</v>
      </c>
      <c r="G620" s="2" t="s">
        <v>3629</v>
      </c>
      <c r="H620" s="2">
        <v>38758</v>
      </c>
    </row>
    <row r="621" spans="1:8">
      <c r="A621" s="2" t="s">
        <v>676</v>
      </c>
      <c r="B621" s="2" t="s">
        <v>4268</v>
      </c>
      <c r="C621" s="2" t="s">
        <v>4258</v>
      </c>
      <c r="D621" s="2">
        <v>175911000</v>
      </c>
      <c r="E621" s="2" t="s">
        <v>4193</v>
      </c>
      <c r="F621" s="2" t="s">
        <v>2238</v>
      </c>
      <c r="G621" s="2" t="s">
        <v>3634</v>
      </c>
      <c r="H621" s="2">
        <v>22598</v>
      </c>
    </row>
    <row r="622" spans="1:8">
      <c r="A622" s="2" t="s">
        <v>3041</v>
      </c>
      <c r="B622" s="2" t="s">
        <v>4269</v>
      </c>
      <c r="C622" s="2" t="s">
        <v>4258</v>
      </c>
      <c r="D622" s="2">
        <v>175912000</v>
      </c>
      <c r="E622" s="2" t="s">
        <v>4193</v>
      </c>
      <c r="F622" s="2" t="s">
        <v>2238</v>
      </c>
      <c r="G622" s="2" t="s">
        <v>3626</v>
      </c>
      <c r="H622" s="2">
        <v>15589</v>
      </c>
    </row>
    <row r="623" spans="1:8">
      <c r="A623" s="2" t="s">
        <v>3087</v>
      </c>
      <c r="B623" s="2" t="s">
        <v>4270</v>
      </c>
      <c r="C623" s="2" t="s">
        <v>4258</v>
      </c>
      <c r="D623" s="2">
        <v>175913000</v>
      </c>
      <c r="E623" s="2" t="s">
        <v>4193</v>
      </c>
      <c r="F623" s="2" t="s">
        <v>2238</v>
      </c>
      <c r="G623" s="2" t="s">
        <v>3634</v>
      </c>
      <c r="H623" s="2">
        <v>23271</v>
      </c>
    </row>
    <row r="624" spans="1:8">
      <c r="A624" s="2" t="s">
        <v>2937</v>
      </c>
      <c r="B624" s="2" t="s">
        <v>4271</v>
      </c>
      <c r="C624" s="2" t="s">
        <v>4258</v>
      </c>
      <c r="D624" s="2">
        <v>175914000</v>
      </c>
      <c r="E624" s="2" t="s">
        <v>4193</v>
      </c>
      <c r="F624" s="2" t="s">
        <v>2238</v>
      </c>
      <c r="G624" s="2" t="s">
        <v>3626</v>
      </c>
      <c r="H624" s="2">
        <v>10881</v>
      </c>
    </row>
    <row r="625" spans="1:8">
      <c r="A625" s="2" t="s">
        <v>3029</v>
      </c>
      <c r="B625" s="2" t="s">
        <v>4272</v>
      </c>
      <c r="C625" s="2" t="s">
        <v>4258</v>
      </c>
      <c r="D625" s="2">
        <v>175915000</v>
      </c>
      <c r="E625" s="2" t="s">
        <v>4193</v>
      </c>
      <c r="F625" s="2" t="s">
        <v>2238</v>
      </c>
      <c r="G625" s="2" t="s">
        <v>3626</v>
      </c>
      <c r="H625" s="2">
        <v>16098</v>
      </c>
    </row>
    <row r="626" spans="1:8">
      <c r="A626" s="2" t="s">
        <v>3201</v>
      </c>
      <c r="B626" s="2" t="s">
        <v>4273</v>
      </c>
      <c r="C626" s="2" t="s">
        <v>4258</v>
      </c>
      <c r="D626" s="2">
        <v>175916000</v>
      </c>
      <c r="E626" s="2" t="s">
        <v>4193</v>
      </c>
      <c r="F626" s="2" t="s">
        <v>2238</v>
      </c>
      <c r="G626" s="2" t="s">
        <v>3769</v>
      </c>
      <c r="H626" s="2">
        <v>6964</v>
      </c>
    </row>
    <row r="627" spans="1:8">
      <c r="A627" s="2" t="s">
        <v>3231</v>
      </c>
      <c r="B627" s="2" t="s">
        <v>4274</v>
      </c>
      <c r="C627" s="2" t="s">
        <v>4258</v>
      </c>
      <c r="D627" s="2">
        <v>175917000</v>
      </c>
      <c r="E627" s="2" t="s">
        <v>4193</v>
      </c>
      <c r="F627" s="2" t="s">
        <v>2238</v>
      </c>
      <c r="G627" s="2" t="s">
        <v>3626</v>
      </c>
      <c r="H627" s="2">
        <v>8508</v>
      </c>
    </row>
    <row r="628" spans="2:5">
      <c r="B628" s="2" t="s">
        <v>20</v>
      </c>
      <c r="E628" s="2" t="s">
        <v>4275</v>
      </c>
    </row>
    <row r="629" spans="1:8">
      <c r="A629" s="2" t="s">
        <v>2369</v>
      </c>
      <c r="B629" s="2" t="s">
        <v>4276</v>
      </c>
      <c r="C629" s="2" t="s">
        <v>4277</v>
      </c>
      <c r="D629" s="2">
        <v>50506000</v>
      </c>
      <c r="E629" s="2" t="s">
        <v>4275</v>
      </c>
      <c r="F629" s="2" t="s">
        <v>2184</v>
      </c>
      <c r="G629" s="2" t="s">
        <v>3600</v>
      </c>
      <c r="H629" s="2">
        <v>196639</v>
      </c>
    </row>
    <row r="630" spans="1:8">
      <c r="A630" s="2" t="s">
        <v>2443</v>
      </c>
      <c r="B630" s="2" t="s">
        <v>4278</v>
      </c>
      <c r="C630" s="2" t="s">
        <v>4279</v>
      </c>
      <c r="D630" s="2">
        <v>50508000</v>
      </c>
      <c r="E630" s="2" t="s">
        <v>4275</v>
      </c>
      <c r="F630" s="2" t="s">
        <v>2184</v>
      </c>
      <c r="G630" s="2" t="s">
        <v>3634</v>
      </c>
      <c r="H630" s="2">
        <v>111399</v>
      </c>
    </row>
    <row r="631" spans="1:8">
      <c r="A631" s="2" t="s">
        <v>2512</v>
      </c>
      <c r="B631" s="2" t="s">
        <v>4280</v>
      </c>
      <c r="C631" s="2" t="s">
        <v>4281</v>
      </c>
      <c r="D631" s="2">
        <v>50517000</v>
      </c>
      <c r="E631" s="2" t="s">
        <v>4275</v>
      </c>
      <c r="F631" s="2" t="s">
        <v>2184</v>
      </c>
      <c r="G631" s="2" t="s">
        <v>3634</v>
      </c>
      <c r="H631" s="2">
        <v>133868</v>
      </c>
    </row>
    <row r="632" spans="1:8">
      <c r="A632" s="2" t="s">
        <v>2581</v>
      </c>
      <c r="B632" s="2" t="s">
        <v>4282</v>
      </c>
      <c r="C632" s="2" t="s">
        <v>4281</v>
      </c>
      <c r="D632" s="2">
        <v>50501000</v>
      </c>
      <c r="E632" s="2" t="s">
        <v>4275</v>
      </c>
      <c r="F632" s="2" t="s">
        <v>2184</v>
      </c>
      <c r="G632" s="2" t="s">
        <v>3600</v>
      </c>
      <c r="H632" s="2">
        <v>68906</v>
      </c>
    </row>
    <row r="633" spans="1:8">
      <c r="A633" s="2" t="s">
        <v>2648</v>
      </c>
      <c r="B633" s="2" t="s">
        <v>4283</v>
      </c>
      <c r="C633" s="2" t="s">
        <v>4277</v>
      </c>
      <c r="D633" s="2">
        <v>50502000</v>
      </c>
      <c r="E633" s="2" t="s">
        <v>4275</v>
      </c>
      <c r="F633" s="2" t="s">
        <v>2184</v>
      </c>
      <c r="G633" s="2" t="s">
        <v>3574</v>
      </c>
      <c r="H633" s="2">
        <v>66904</v>
      </c>
    </row>
    <row r="634" spans="1:8">
      <c r="A634" s="2" t="s">
        <v>2711</v>
      </c>
      <c r="B634" s="2" t="s">
        <v>4284</v>
      </c>
      <c r="C634" s="2" t="s">
        <v>4277</v>
      </c>
      <c r="D634" s="2">
        <v>50503000</v>
      </c>
      <c r="E634" s="2" t="s">
        <v>4275</v>
      </c>
      <c r="F634" s="2" t="s">
        <v>2184</v>
      </c>
      <c r="G634" s="2" t="s">
        <v>3574</v>
      </c>
      <c r="H634" s="2">
        <v>126595</v>
      </c>
    </row>
    <row r="635" spans="1:8">
      <c r="A635" s="2" t="s">
        <v>2772</v>
      </c>
      <c r="B635" s="2" t="s">
        <v>4285</v>
      </c>
      <c r="C635" s="2" t="s">
        <v>4279</v>
      </c>
      <c r="D635" s="2">
        <v>50504000</v>
      </c>
      <c r="E635" s="2" t="s">
        <v>4275</v>
      </c>
      <c r="F635" s="2" t="s">
        <v>2184</v>
      </c>
      <c r="G635" s="2" t="s">
        <v>3574</v>
      </c>
      <c r="H635" s="2">
        <v>82361</v>
      </c>
    </row>
    <row r="636" spans="1:8">
      <c r="A636" s="2" t="s">
        <v>2831</v>
      </c>
      <c r="B636" s="2" t="s">
        <v>4286</v>
      </c>
      <c r="C636" s="2" t="s">
        <v>4279</v>
      </c>
      <c r="D636" s="2">
        <v>50505000</v>
      </c>
      <c r="E636" s="2" t="s">
        <v>4275</v>
      </c>
      <c r="F636" s="2" t="s">
        <v>2184</v>
      </c>
      <c r="G636" s="2" t="s">
        <v>3634</v>
      </c>
      <c r="H636" s="2">
        <v>17308</v>
      </c>
    </row>
    <row r="637" spans="1:8">
      <c r="A637" s="2" t="s">
        <v>2887</v>
      </c>
      <c r="B637" s="2" t="s">
        <v>4287</v>
      </c>
      <c r="C637" s="2" t="s">
        <v>4279</v>
      </c>
      <c r="D637" s="2">
        <v>50507000</v>
      </c>
      <c r="E637" s="2" t="s">
        <v>4275</v>
      </c>
      <c r="F637" s="2" t="s">
        <v>2184</v>
      </c>
      <c r="G637" s="2" t="s">
        <v>3574</v>
      </c>
      <c r="H637" s="2">
        <v>75172</v>
      </c>
    </row>
    <row r="638" spans="1:8">
      <c r="A638" s="2" t="s">
        <v>2941</v>
      </c>
      <c r="B638" s="2" t="s">
        <v>4288</v>
      </c>
      <c r="C638" s="2" t="s">
        <v>4281</v>
      </c>
      <c r="D638" s="2">
        <v>50509000</v>
      </c>
      <c r="E638" s="2" t="s">
        <v>4275</v>
      </c>
      <c r="F638" s="2" t="s">
        <v>2184</v>
      </c>
      <c r="G638" s="2" t="s">
        <v>3634</v>
      </c>
      <c r="H638" s="2">
        <v>37785</v>
      </c>
    </row>
    <row r="639" spans="1:8">
      <c r="A639" s="2" t="s">
        <v>2991</v>
      </c>
      <c r="B639" s="2" t="s">
        <v>4289</v>
      </c>
      <c r="C639" s="2" t="s">
        <v>4281</v>
      </c>
      <c r="D639" s="2">
        <v>50510000</v>
      </c>
      <c r="E639" s="2" t="s">
        <v>4275</v>
      </c>
      <c r="F639" s="2" t="s">
        <v>2184</v>
      </c>
      <c r="G639" s="2" t="s">
        <v>3629</v>
      </c>
      <c r="H639" s="2">
        <v>45301</v>
      </c>
    </row>
    <row r="640" spans="1:8">
      <c r="A640" s="2" t="s">
        <v>3042</v>
      </c>
      <c r="B640" s="2" t="s">
        <v>4290</v>
      </c>
      <c r="C640" s="2" t="s">
        <v>4277</v>
      </c>
      <c r="D640" s="2">
        <v>50511000</v>
      </c>
      <c r="E640" s="2" t="s">
        <v>4275</v>
      </c>
      <c r="F640" s="2" t="s">
        <v>2184</v>
      </c>
      <c r="G640" s="2" t="s">
        <v>3634</v>
      </c>
      <c r="H640" s="2">
        <v>24707</v>
      </c>
    </row>
    <row r="641" spans="1:8">
      <c r="A641" s="2" t="s">
        <v>3088</v>
      </c>
      <c r="B641" s="2" t="s">
        <v>4291</v>
      </c>
      <c r="C641" s="2" t="s">
        <v>4279</v>
      </c>
      <c r="D641" s="2">
        <v>50512000</v>
      </c>
      <c r="E641" s="2" t="s">
        <v>4275</v>
      </c>
      <c r="F641" s="2" t="s">
        <v>2184</v>
      </c>
      <c r="G641" s="2" t="s">
        <v>3574</v>
      </c>
      <c r="H641" s="2">
        <v>67960</v>
      </c>
    </row>
    <row r="642" spans="1:8">
      <c r="A642" s="2" t="s">
        <v>3125</v>
      </c>
      <c r="B642" s="2" t="s">
        <v>4292</v>
      </c>
      <c r="C642" s="2" t="s">
        <v>4279</v>
      </c>
      <c r="D642" s="2">
        <v>50513000</v>
      </c>
      <c r="E642" s="2" t="s">
        <v>4275</v>
      </c>
      <c r="F642" s="2" t="s">
        <v>2184</v>
      </c>
      <c r="G642" s="2" t="s">
        <v>3629</v>
      </c>
      <c r="H642" s="2">
        <v>46693</v>
      </c>
    </row>
    <row r="643" spans="1:8">
      <c r="A643" s="2" t="s">
        <v>3164</v>
      </c>
      <c r="B643" s="2" t="s">
        <v>4293</v>
      </c>
      <c r="C643" s="2" t="s">
        <v>4279</v>
      </c>
      <c r="D643" s="2">
        <v>50514000</v>
      </c>
      <c r="E643" s="2" t="s">
        <v>4275</v>
      </c>
      <c r="F643" s="2" t="s">
        <v>2184</v>
      </c>
      <c r="G643" s="2" t="s">
        <v>3574</v>
      </c>
      <c r="H643" s="2">
        <v>88221</v>
      </c>
    </row>
    <row r="644" spans="1:8">
      <c r="A644" s="2" t="s">
        <v>3202</v>
      </c>
      <c r="B644" s="2" t="s">
        <v>4294</v>
      </c>
      <c r="C644" s="2" t="s">
        <v>4277</v>
      </c>
      <c r="D644" s="2">
        <v>50515000</v>
      </c>
      <c r="E644" s="2" t="s">
        <v>4275</v>
      </c>
      <c r="F644" s="2" t="s">
        <v>2184</v>
      </c>
      <c r="G644" s="2" t="s">
        <v>3629</v>
      </c>
      <c r="H644" s="2">
        <v>36920</v>
      </c>
    </row>
    <row r="645" spans="1:8">
      <c r="A645" s="2" t="s">
        <v>3232</v>
      </c>
      <c r="B645" s="2" t="s">
        <v>4295</v>
      </c>
      <c r="C645" s="2" t="s">
        <v>4281</v>
      </c>
      <c r="D645" s="2">
        <v>50516000</v>
      </c>
      <c r="E645" s="2" t="s">
        <v>4275</v>
      </c>
      <c r="F645" s="2" t="s">
        <v>2184</v>
      </c>
      <c r="G645" s="2" t="s">
        <v>3634</v>
      </c>
      <c r="H645" s="2">
        <v>34967</v>
      </c>
    </row>
    <row r="646" spans="1:8">
      <c r="A646" s="2" t="s">
        <v>3264</v>
      </c>
      <c r="B646" s="2" t="s">
        <v>4296</v>
      </c>
      <c r="C646" s="2" t="s">
        <v>4281</v>
      </c>
      <c r="D646" s="2">
        <v>50518000</v>
      </c>
      <c r="E646" s="2" t="s">
        <v>4275</v>
      </c>
      <c r="F646" s="2" t="s">
        <v>2184</v>
      </c>
      <c r="G646" s="2" t="s">
        <v>3574</v>
      </c>
      <c r="H646" s="2">
        <v>53120</v>
      </c>
    </row>
    <row r="647" spans="2:5">
      <c r="B647" s="2" t="s">
        <v>20</v>
      </c>
      <c r="E647" s="2" t="s">
        <v>4275</v>
      </c>
    </row>
    <row r="648" spans="1:8">
      <c r="A648" s="2" t="s">
        <v>2370</v>
      </c>
      <c r="B648" s="2" t="s">
        <v>4297</v>
      </c>
      <c r="C648" s="2" t="s">
        <v>4298</v>
      </c>
      <c r="D648" s="2">
        <v>51601000</v>
      </c>
      <c r="E648" s="2" t="s">
        <v>4275</v>
      </c>
      <c r="F648" s="2" t="s">
        <v>2198</v>
      </c>
      <c r="G648" s="2" t="s">
        <v>3629</v>
      </c>
      <c r="H648" s="2">
        <v>41017</v>
      </c>
    </row>
    <row r="649" spans="1:8">
      <c r="A649" s="2" t="s">
        <v>2444</v>
      </c>
      <c r="B649" s="2" t="s">
        <v>4299</v>
      </c>
      <c r="C649" s="2" t="s">
        <v>4300</v>
      </c>
      <c r="D649" s="2">
        <v>51602000</v>
      </c>
      <c r="E649" s="2" t="s">
        <v>4275</v>
      </c>
      <c r="F649" s="2" t="s">
        <v>2198</v>
      </c>
      <c r="G649" s="2" t="s">
        <v>3629</v>
      </c>
      <c r="H649" s="2">
        <v>32215</v>
      </c>
    </row>
    <row r="650" spans="1:8">
      <c r="A650" s="2" t="s">
        <v>2513</v>
      </c>
      <c r="B650" s="2" t="s">
        <v>4301</v>
      </c>
      <c r="C650" s="2" t="s">
        <v>4298</v>
      </c>
      <c r="D650" s="2">
        <v>51603000</v>
      </c>
      <c r="E650" s="2" t="s">
        <v>4275</v>
      </c>
      <c r="F650" s="2" t="s">
        <v>2198</v>
      </c>
      <c r="G650" s="2" t="s">
        <v>3574</v>
      </c>
      <c r="H650" s="2">
        <v>104799</v>
      </c>
    </row>
    <row r="651" spans="1:8">
      <c r="A651" s="2" t="s">
        <v>2582</v>
      </c>
      <c r="B651" s="2" t="s">
        <v>4302</v>
      </c>
      <c r="C651" s="2" t="s">
        <v>4298</v>
      </c>
      <c r="D651" s="2">
        <v>51604000</v>
      </c>
      <c r="E651" s="2" t="s">
        <v>4275</v>
      </c>
      <c r="F651" s="2" t="s">
        <v>2198</v>
      </c>
      <c r="G651" s="2" t="s">
        <v>3626</v>
      </c>
      <c r="H651" s="2">
        <v>14063</v>
      </c>
    </row>
    <row r="652" spans="1:8">
      <c r="A652" s="2" t="s">
        <v>2649</v>
      </c>
      <c r="B652" s="2" t="s">
        <v>4303</v>
      </c>
      <c r="C652" s="2" t="s">
        <v>4300</v>
      </c>
      <c r="D652" s="2">
        <v>51605000</v>
      </c>
      <c r="E652" s="2" t="s">
        <v>4275</v>
      </c>
      <c r="F652" s="2" t="s">
        <v>2198</v>
      </c>
      <c r="G652" s="2" t="s">
        <v>3600</v>
      </c>
      <c r="H652" s="2">
        <v>59639</v>
      </c>
    </row>
    <row r="653" spans="1:8">
      <c r="A653" s="2" t="s">
        <v>2712</v>
      </c>
      <c r="B653" s="2" t="s">
        <v>4304</v>
      </c>
      <c r="C653" s="2" t="s">
        <v>4300</v>
      </c>
      <c r="D653" s="2">
        <v>51606000</v>
      </c>
      <c r="E653" s="2" t="s">
        <v>4275</v>
      </c>
      <c r="F653" s="2" t="s">
        <v>2198</v>
      </c>
      <c r="G653" s="2" t="s">
        <v>3574</v>
      </c>
      <c r="H653" s="2">
        <v>101082</v>
      </c>
    </row>
    <row r="654" spans="1:8">
      <c r="A654" s="2" t="s">
        <v>2773</v>
      </c>
      <c r="B654" s="2" t="s">
        <v>4305</v>
      </c>
      <c r="C654" s="2" t="s">
        <v>4298</v>
      </c>
      <c r="D654" s="2">
        <v>51607000</v>
      </c>
      <c r="E654" s="2" t="s">
        <v>4275</v>
      </c>
      <c r="F654" s="2" t="s">
        <v>2198</v>
      </c>
      <c r="G654" s="2" t="s">
        <v>3600</v>
      </c>
      <c r="H654" s="2">
        <v>50841</v>
      </c>
    </row>
    <row r="655" spans="1:8">
      <c r="A655" s="2" t="s">
        <v>2832</v>
      </c>
      <c r="B655" s="2" t="s">
        <v>4306</v>
      </c>
      <c r="C655" s="2" t="s">
        <v>4300</v>
      </c>
      <c r="D655" s="2">
        <v>51608000</v>
      </c>
      <c r="E655" s="2" t="s">
        <v>4275</v>
      </c>
      <c r="F655" s="2" t="s">
        <v>2198</v>
      </c>
      <c r="G655" s="2" t="s">
        <v>3629</v>
      </c>
      <c r="H655" s="2">
        <v>59149</v>
      </c>
    </row>
    <row r="656" spans="1:8">
      <c r="A656" s="2" t="s">
        <v>2888</v>
      </c>
      <c r="B656" s="2" t="s">
        <v>4307</v>
      </c>
      <c r="C656" s="2" t="s">
        <v>4298</v>
      </c>
      <c r="D656" s="2">
        <v>51609000</v>
      </c>
      <c r="E656" s="2" t="s">
        <v>4275</v>
      </c>
      <c r="F656" s="2" t="s">
        <v>2198</v>
      </c>
      <c r="G656" s="2" t="s">
        <v>3626</v>
      </c>
      <c r="H656" s="2">
        <v>10396</v>
      </c>
    </row>
    <row r="657" spans="1:8">
      <c r="A657" s="2" t="s">
        <v>2942</v>
      </c>
      <c r="B657" s="2" t="s">
        <v>4308</v>
      </c>
      <c r="C657" s="2" t="s">
        <v>4300</v>
      </c>
      <c r="D657" s="2">
        <v>51610000</v>
      </c>
      <c r="E657" s="2" t="s">
        <v>4275</v>
      </c>
      <c r="F657" s="2" t="s">
        <v>2198</v>
      </c>
      <c r="G657" s="2" t="s">
        <v>3629</v>
      </c>
      <c r="H657" s="2">
        <v>40786</v>
      </c>
    </row>
    <row r="658" spans="1:8">
      <c r="A658" s="2" t="s">
        <v>2992</v>
      </c>
      <c r="B658" s="2" t="s">
        <v>4309</v>
      </c>
      <c r="C658" s="2" t="s">
        <v>4298</v>
      </c>
      <c r="D658" s="2">
        <v>51611000</v>
      </c>
      <c r="E658" s="2" t="s">
        <v>4275</v>
      </c>
      <c r="F658" s="2" t="s">
        <v>2198</v>
      </c>
      <c r="G658" s="2" t="s">
        <v>3634</v>
      </c>
      <c r="H658" s="2">
        <v>25841</v>
      </c>
    </row>
    <row r="659" spans="1:8">
      <c r="A659" s="2" t="s">
        <v>3043</v>
      </c>
      <c r="B659" s="2" t="s">
        <v>4310</v>
      </c>
      <c r="C659" s="2" t="s">
        <v>4298</v>
      </c>
      <c r="D659" s="2">
        <v>51612000</v>
      </c>
      <c r="E659" s="2" t="s">
        <v>4275</v>
      </c>
      <c r="F659" s="2" t="s">
        <v>2198</v>
      </c>
      <c r="G659" s="2" t="s">
        <v>3629</v>
      </c>
      <c r="H659" s="2">
        <v>43485</v>
      </c>
    </row>
    <row r="660" spans="2:5">
      <c r="B660" s="2" t="s">
        <v>20</v>
      </c>
      <c r="E660" s="2" t="s">
        <v>4275</v>
      </c>
    </row>
    <row r="661" spans="1:8">
      <c r="A661" s="2" t="s">
        <v>2371</v>
      </c>
      <c r="B661" s="2" t="s">
        <v>4311</v>
      </c>
      <c r="C661" s="2" t="s">
        <v>4312</v>
      </c>
      <c r="D661" s="2">
        <v>51716000</v>
      </c>
      <c r="E661" s="2" t="s">
        <v>4275</v>
      </c>
      <c r="F661" s="2" t="s">
        <v>2212</v>
      </c>
      <c r="G661" s="2" t="s">
        <v>3634</v>
      </c>
      <c r="H661" s="2">
        <v>111757</v>
      </c>
    </row>
    <row r="662" spans="1:8">
      <c r="A662" s="2" t="s">
        <v>2445</v>
      </c>
      <c r="B662" s="2" t="s">
        <v>4313</v>
      </c>
      <c r="C662" s="2" t="s">
        <v>4314</v>
      </c>
      <c r="D662" s="2">
        <v>51724000</v>
      </c>
      <c r="E662" s="2" t="s">
        <v>4275</v>
      </c>
      <c r="F662" s="2" t="s">
        <v>2212</v>
      </c>
      <c r="G662" s="2" t="s">
        <v>3600</v>
      </c>
      <c r="H662" s="2">
        <v>196003</v>
      </c>
    </row>
    <row r="663" spans="1:8">
      <c r="A663" s="2" t="s">
        <v>2514</v>
      </c>
      <c r="B663" s="2" t="s">
        <v>4315</v>
      </c>
      <c r="C663" s="2" t="s">
        <v>4312</v>
      </c>
      <c r="D663" s="2">
        <v>51701000</v>
      </c>
      <c r="E663" s="2" t="s">
        <v>4275</v>
      </c>
      <c r="F663" s="2" t="s">
        <v>2212</v>
      </c>
      <c r="G663" s="2" t="s">
        <v>3629</v>
      </c>
      <c r="H663" s="2">
        <v>58849</v>
      </c>
    </row>
    <row r="664" spans="1:8">
      <c r="A664" s="2" t="s">
        <v>2583</v>
      </c>
      <c r="B664" s="2" t="s">
        <v>4316</v>
      </c>
      <c r="C664" s="2" t="s">
        <v>4312</v>
      </c>
      <c r="D664" s="2">
        <v>51702000</v>
      </c>
      <c r="E664" s="2" t="s">
        <v>4275</v>
      </c>
      <c r="F664" s="2" t="s">
        <v>2212</v>
      </c>
      <c r="G664" s="2" t="s">
        <v>3634</v>
      </c>
      <c r="H664" s="2">
        <v>30922</v>
      </c>
    </row>
    <row r="665" spans="1:8">
      <c r="A665" s="2" t="s">
        <v>2515</v>
      </c>
      <c r="B665" s="2" t="s">
        <v>4317</v>
      </c>
      <c r="C665" s="2" t="s">
        <v>4312</v>
      </c>
      <c r="D665" s="2">
        <v>51703000</v>
      </c>
      <c r="E665" s="2" t="s">
        <v>4275</v>
      </c>
      <c r="F665" s="2" t="s">
        <v>2212</v>
      </c>
      <c r="G665" s="2" t="s">
        <v>3629</v>
      </c>
      <c r="H665" s="2">
        <v>52137</v>
      </c>
    </row>
    <row r="666" spans="1:8">
      <c r="A666" s="2" t="s">
        <v>2713</v>
      </c>
      <c r="B666" s="2" t="s">
        <v>4318</v>
      </c>
      <c r="C666" s="2" t="s">
        <v>4314</v>
      </c>
      <c r="D666" s="2">
        <v>51704000</v>
      </c>
      <c r="E666" s="2" t="s">
        <v>4275</v>
      </c>
      <c r="F666" s="2" t="s">
        <v>2212</v>
      </c>
      <c r="G666" s="2" t="s">
        <v>3626</v>
      </c>
      <c r="H666" s="2">
        <v>16512</v>
      </c>
    </row>
    <row r="667" spans="1:8">
      <c r="A667" s="2" t="s">
        <v>2774</v>
      </c>
      <c r="B667" s="2" t="s">
        <v>4319</v>
      </c>
      <c r="C667" s="2" t="s">
        <v>4312</v>
      </c>
      <c r="D667" s="2">
        <v>51705000</v>
      </c>
      <c r="E667" s="2" t="s">
        <v>4275</v>
      </c>
      <c r="F667" s="2" t="s">
        <v>2212</v>
      </c>
      <c r="G667" s="2" t="s">
        <v>3574</v>
      </c>
      <c r="H667" s="2">
        <v>77143</v>
      </c>
    </row>
    <row r="668" spans="1:8">
      <c r="A668" s="2" t="s">
        <v>2833</v>
      </c>
      <c r="B668" s="2" t="s">
        <v>4320</v>
      </c>
      <c r="C668" s="2" t="s">
        <v>4312</v>
      </c>
      <c r="D668" s="2">
        <v>51706000</v>
      </c>
      <c r="E668" s="2" t="s">
        <v>4275</v>
      </c>
      <c r="F668" s="2" t="s">
        <v>2212</v>
      </c>
      <c r="G668" s="2" t="s">
        <v>3600</v>
      </c>
      <c r="H668" s="2">
        <v>69430</v>
      </c>
    </row>
    <row r="669" spans="1:8">
      <c r="A669" s="2" t="s">
        <v>2889</v>
      </c>
      <c r="B669" s="2" t="s">
        <v>4321</v>
      </c>
      <c r="C669" s="2" t="s">
        <v>4322</v>
      </c>
      <c r="D669" s="2">
        <v>51707000</v>
      </c>
      <c r="E669" s="2" t="s">
        <v>4275</v>
      </c>
      <c r="F669" s="2" t="s">
        <v>2212</v>
      </c>
      <c r="G669" s="2" t="s">
        <v>3626</v>
      </c>
      <c r="H669" s="2">
        <v>18397</v>
      </c>
    </row>
    <row r="670" spans="1:8">
      <c r="A670" s="2" t="s">
        <v>2943</v>
      </c>
      <c r="B670" s="2" t="s">
        <v>4323</v>
      </c>
      <c r="C670" s="2" t="s">
        <v>4314</v>
      </c>
      <c r="D670" s="2">
        <v>51708000</v>
      </c>
      <c r="E670" s="2" t="s">
        <v>4275</v>
      </c>
      <c r="F670" s="2" t="s">
        <v>2212</v>
      </c>
      <c r="G670" s="2" t="s">
        <v>3574</v>
      </c>
      <c r="H670" s="2">
        <v>83033</v>
      </c>
    </row>
    <row r="671" spans="1:8">
      <c r="A671" s="2" t="s">
        <v>2993</v>
      </c>
      <c r="B671" s="2" t="s">
        <v>4324</v>
      </c>
      <c r="C671" s="2" t="s">
        <v>4314</v>
      </c>
      <c r="D671" s="2">
        <v>51709000</v>
      </c>
      <c r="E671" s="2" t="s">
        <v>4275</v>
      </c>
      <c r="F671" s="2" t="s">
        <v>2212</v>
      </c>
      <c r="G671" s="2" t="s">
        <v>3626</v>
      </c>
      <c r="H671" s="2">
        <v>24109</v>
      </c>
    </row>
    <row r="672" spans="1:8">
      <c r="A672" s="2" t="s">
        <v>3044</v>
      </c>
      <c r="B672" s="2" t="s">
        <v>4325</v>
      </c>
      <c r="C672" s="2" t="s">
        <v>4314</v>
      </c>
      <c r="D672" s="2">
        <v>51710000</v>
      </c>
      <c r="E672" s="2" t="s">
        <v>4275</v>
      </c>
      <c r="F672" s="2" t="s">
        <v>2212</v>
      </c>
      <c r="G672" s="2" t="s">
        <v>3634</v>
      </c>
      <c r="H672" s="2">
        <v>34210</v>
      </c>
    </row>
    <row r="673" spans="1:8">
      <c r="A673" s="2" t="s">
        <v>3089</v>
      </c>
      <c r="B673" s="2" t="s">
        <v>4326</v>
      </c>
      <c r="C673" s="2" t="s">
        <v>4327</v>
      </c>
      <c r="D673" s="2">
        <v>51711000</v>
      </c>
      <c r="E673" s="2" t="s">
        <v>4275</v>
      </c>
      <c r="F673" s="2" t="s">
        <v>2212</v>
      </c>
      <c r="G673" s="2" t="s">
        <v>3600</v>
      </c>
      <c r="H673" s="2">
        <v>47605</v>
      </c>
    </row>
    <row r="674" spans="1:8">
      <c r="A674" s="2" t="s">
        <v>3126</v>
      </c>
      <c r="B674" s="2" t="s">
        <v>4328</v>
      </c>
      <c r="C674" s="2" t="s">
        <v>4322</v>
      </c>
      <c r="D674" s="2">
        <v>51712000</v>
      </c>
      <c r="E674" s="2" t="s">
        <v>4275</v>
      </c>
      <c r="F674" s="2" t="s">
        <v>2212</v>
      </c>
      <c r="G674" s="2" t="s">
        <v>3634</v>
      </c>
      <c r="H674" s="2">
        <v>25397</v>
      </c>
    </row>
    <row r="675" spans="1:8">
      <c r="A675" s="2" t="s">
        <v>3165</v>
      </c>
      <c r="B675" s="2" t="s">
        <v>4329</v>
      </c>
      <c r="C675" s="2" t="s">
        <v>4330</v>
      </c>
      <c r="D675" s="2">
        <v>51713000</v>
      </c>
      <c r="E675" s="2" t="s">
        <v>4275</v>
      </c>
      <c r="F675" s="2" t="s">
        <v>2212</v>
      </c>
      <c r="G675" s="2" t="s">
        <v>3626</v>
      </c>
      <c r="H675" s="2">
        <v>11262</v>
      </c>
    </row>
    <row r="676" spans="1:8">
      <c r="A676" s="2" t="s">
        <v>3203</v>
      </c>
      <c r="B676" s="2" t="s">
        <v>4331</v>
      </c>
      <c r="C676" s="2" t="s">
        <v>4327</v>
      </c>
      <c r="D676" s="2">
        <v>51714000</v>
      </c>
      <c r="E676" s="2" t="s">
        <v>4275</v>
      </c>
      <c r="F676" s="2" t="s">
        <v>2212</v>
      </c>
      <c r="G676" s="2" t="s">
        <v>3634</v>
      </c>
      <c r="H676" s="2">
        <v>27010</v>
      </c>
    </row>
    <row r="677" spans="1:8">
      <c r="A677" s="2" t="s">
        <v>3233</v>
      </c>
      <c r="B677" s="2" t="s">
        <v>4332</v>
      </c>
      <c r="C677" s="2" t="s">
        <v>4327</v>
      </c>
      <c r="D677" s="2">
        <v>51715000</v>
      </c>
      <c r="E677" s="2" t="s">
        <v>4275</v>
      </c>
      <c r="F677" s="2" t="s">
        <v>2212</v>
      </c>
      <c r="G677" s="2" t="s">
        <v>3600</v>
      </c>
      <c r="H677" s="2">
        <v>63308</v>
      </c>
    </row>
    <row r="678" spans="1:8">
      <c r="A678" s="2" t="s">
        <v>3265</v>
      </c>
      <c r="B678" s="2" t="s">
        <v>4333</v>
      </c>
      <c r="C678" s="2" t="s">
        <v>4327</v>
      </c>
      <c r="D678" s="2">
        <v>51717000</v>
      </c>
      <c r="E678" s="2" t="s">
        <v>4275</v>
      </c>
      <c r="F678" s="2" t="s">
        <v>2212</v>
      </c>
      <c r="G678" s="2" t="s">
        <v>3600</v>
      </c>
      <c r="H678" s="2">
        <v>55465</v>
      </c>
    </row>
    <row r="679" spans="1:8">
      <c r="A679" s="2" t="s">
        <v>3289</v>
      </c>
      <c r="B679" s="2" t="s">
        <v>4334</v>
      </c>
      <c r="C679" s="2" t="s">
        <v>4330</v>
      </c>
      <c r="D679" s="2">
        <v>51718000</v>
      </c>
      <c r="E679" s="2" t="s">
        <v>4275</v>
      </c>
      <c r="F679" s="2" t="s">
        <v>2212</v>
      </c>
      <c r="G679" s="2" t="s">
        <v>3574</v>
      </c>
      <c r="H679" s="2">
        <v>108716</v>
      </c>
    </row>
    <row r="680" spans="1:8">
      <c r="A680" s="2" t="s">
        <v>3314</v>
      </c>
      <c r="B680" s="2" t="s">
        <v>4335</v>
      </c>
      <c r="C680" s="2" t="s">
        <v>4322</v>
      </c>
      <c r="D680" s="2">
        <v>51719000</v>
      </c>
      <c r="E680" s="2" t="s">
        <v>4275</v>
      </c>
      <c r="F680" s="2" t="s">
        <v>2212</v>
      </c>
      <c r="G680" s="2" t="s">
        <v>3629</v>
      </c>
      <c r="H680" s="2">
        <v>32167</v>
      </c>
    </row>
    <row r="681" spans="1:8">
      <c r="A681" s="2" t="s">
        <v>3340</v>
      </c>
      <c r="B681" s="2" t="s">
        <v>4336</v>
      </c>
      <c r="C681" s="2" t="s">
        <v>4314</v>
      </c>
      <c r="D681" s="2">
        <v>51720000</v>
      </c>
      <c r="E681" s="2" t="s">
        <v>4275</v>
      </c>
      <c r="F681" s="2" t="s">
        <v>2212</v>
      </c>
      <c r="G681" s="2" t="s">
        <v>3634</v>
      </c>
      <c r="H681" s="2">
        <v>25694</v>
      </c>
    </row>
    <row r="682" spans="1:8">
      <c r="A682" s="2" t="s">
        <v>3363</v>
      </c>
      <c r="B682" s="2" t="s">
        <v>4337</v>
      </c>
      <c r="C682" s="2" t="s">
        <v>4330</v>
      </c>
      <c r="D682" s="2">
        <v>51721000</v>
      </c>
      <c r="E682" s="2" t="s">
        <v>4275</v>
      </c>
      <c r="F682" s="2" t="s">
        <v>2212</v>
      </c>
      <c r="G682" s="2" t="s">
        <v>3634</v>
      </c>
      <c r="H682" s="2">
        <v>31150</v>
      </c>
    </row>
    <row r="683" spans="1:8">
      <c r="A683" s="2" t="s">
        <v>3385</v>
      </c>
      <c r="B683" s="2" t="s">
        <v>4338</v>
      </c>
      <c r="C683" s="2" t="s">
        <v>4330</v>
      </c>
      <c r="D683" s="2">
        <v>51722000</v>
      </c>
      <c r="E683" s="2" t="s">
        <v>4275</v>
      </c>
      <c r="F683" s="2" t="s">
        <v>2212</v>
      </c>
      <c r="G683" s="2" t="s">
        <v>3629</v>
      </c>
      <c r="H683" s="2">
        <v>52390</v>
      </c>
    </row>
    <row r="684" spans="1:8">
      <c r="A684" s="2" t="s">
        <v>3403</v>
      </c>
      <c r="B684" s="2" t="s">
        <v>4339</v>
      </c>
      <c r="C684" s="2" t="s">
        <v>4312</v>
      </c>
      <c r="D684" s="2">
        <v>51723000</v>
      </c>
      <c r="E684" s="2" t="s">
        <v>4275</v>
      </c>
      <c r="F684" s="2" t="s">
        <v>2212</v>
      </c>
      <c r="G684" s="2" t="s">
        <v>3574</v>
      </c>
      <c r="H684" s="2">
        <v>83874</v>
      </c>
    </row>
    <row r="685" spans="1:8">
      <c r="A685" s="2" t="s">
        <v>3416</v>
      </c>
      <c r="B685" s="2" t="s">
        <v>4340</v>
      </c>
      <c r="C685" s="2" t="s">
        <v>4314</v>
      </c>
      <c r="D685" s="2">
        <v>51725000</v>
      </c>
      <c r="E685" s="2" t="s">
        <v>4275</v>
      </c>
      <c r="F685" s="2" t="s">
        <v>2212</v>
      </c>
      <c r="G685" s="2" t="s">
        <v>3629</v>
      </c>
      <c r="H685" s="2">
        <v>45934</v>
      </c>
    </row>
    <row r="686" spans="1:8">
      <c r="A686" s="2" t="s">
        <v>620</v>
      </c>
      <c r="B686" s="2" t="s">
        <v>4341</v>
      </c>
      <c r="C686" s="2" t="s">
        <v>4330</v>
      </c>
      <c r="D686" s="2">
        <v>51726000</v>
      </c>
      <c r="E686" s="2" t="s">
        <v>4275</v>
      </c>
      <c r="F686" s="2" t="s">
        <v>2212</v>
      </c>
      <c r="G686" s="2" t="s">
        <v>3634</v>
      </c>
      <c r="H686" s="2">
        <v>36390</v>
      </c>
    </row>
    <row r="687" spans="1:8">
      <c r="A687" s="2" t="s">
        <v>3443</v>
      </c>
      <c r="B687" s="2" t="s">
        <v>4342</v>
      </c>
      <c r="C687" s="2" t="s">
        <v>4330</v>
      </c>
      <c r="D687" s="2">
        <v>51727000</v>
      </c>
      <c r="E687" s="2" t="s">
        <v>4275</v>
      </c>
      <c r="F687" s="2" t="s">
        <v>2212</v>
      </c>
      <c r="G687" s="2" t="s">
        <v>3629</v>
      </c>
      <c r="H687" s="2">
        <v>49035</v>
      </c>
    </row>
    <row r="688" spans="1:8">
      <c r="A688" s="2" t="s">
        <v>3452</v>
      </c>
      <c r="B688" s="2" t="s">
        <v>4343</v>
      </c>
      <c r="C688" s="2" t="s">
        <v>4314</v>
      </c>
      <c r="D688" s="2">
        <v>51728000</v>
      </c>
      <c r="E688" s="2" t="s">
        <v>4275</v>
      </c>
      <c r="F688" s="2" t="s">
        <v>2212</v>
      </c>
      <c r="G688" s="2" t="s">
        <v>3574</v>
      </c>
      <c r="H688" s="2">
        <v>89545</v>
      </c>
    </row>
    <row r="689" spans="1:8">
      <c r="A689" s="2" t="s">
        <v>3461</v>
      </c>
      <c r="B689" s="2" t="s">
        <v>4344</v>
      </c>
      <c r="C689" s="2" t="s">
        <v>4327</v>
      </c>
      <c r="D689" s="2">
        <v>51729000</v>
      </c>
      <c r="E689" s="2" t="s">
        <v>4275</v>
      </c>
      <c r="F689" s="2" t="s">
        <v>2212</v>
      </c>
      <c r="G689" s="2" t="s">
        <v>3634</v>
      </c>
      <c r="H689" s="2">
        <v>20996</v>
      </c>
    </row>
    <row r="690" spans="1:8">
      <c r="A690" s="2" t="s">
        <v>3473</v>
      </c>
      <c r="B690" s="2" t="s">
        <v>4345</v>
      </c>
      <c r="C690" s="2" t="s">
        <v>4322</v>
      </c>
      <c r="D690" s="2">
        <v>51730000</v>
      </c>
      <c r="E690" s="2" t="s">
        <v>4275</v>
      </c>
      <c r="F690" s="2" t="s">
        <v>2212</v>
      </c>
      <c r="G690" s="2" t="s">
        <v>3574</v>
      </c>
      <c r="H690" s="2">
        <v>58214</v>
      </c>
    </row>
    <row r="691" spans="1:8">
      <c r="A691" s="2" t="s">
        <v>3482</v>
      </c>
      <c r="B691" s="2" t="s">
        <v>4346</v>
      </c>
      <c r="C691" s="2" t="s">
        <v>4327</v>
      </c>
      <c r="D691" s="2">
        <v>51731000</v>
      </c>
      <c r="E691" s="2" t="s">
        <v>4275</v>
      </c>
      <c r="F691" s="2" t="s">
        <v>2212</v>
      </c>
      <c r="G691" s="2" t="s">
        <v>3634</v>
      </c>
      <c r="H691" s="2">
        <v>34546</v>
      </c>
    </row>
    <row r="692" spans="1:8">
      <c r="A692" s="2" t="s">
        <v>3087</v>
      </c>
      <c r="B692" s="2" t="s">
        <v>4347</v>
      </c>
      <c r="C692" s="2" t="s">
        <v>4330</v>
      </c>
      <c r="D692" s="2">
        <v>51732000</v>
      </c>
      <c r="E692" s="2" t="s">
        <v>4275</v>
      </c>
      <c r="F692" s="2" t="s">
        <v>2212</v>
      </c>
      <c r="G692" s="2" t="s">
        <v>3634</v>
      </c>
      <c r="H692" s="2">
        <v>35258</v>
      </c>
    </row>
    <row r="693" spans="1:8">
      <c r="A693" s="2" t="s">
        <v>2937</v>
      </c>
      <c r="B693" s="2" t="s">
        <v>4348</v>
      </c>
      <c r="C693" s="2" t="s">
        <v>4327</v>
      </c>
      <c r="D693" s="2">
        <v>51733000</v>
      </c>
      <c r="E693" s="2" t="s">
        <v>4275</v>
      </c>
      <c r="F693" s="2" t="s">
        <v>2212</v>
      </c>
      <c r="G693" s="2" t="s">
        <v>3634</v>
      </c>
      <c r="H693" s="2">
        <v>40623</v>
      </c>
    </row>
    <row r="694" spans="1:8">
      <c r="A694" s="2" t="s">
        <v>3507</v>
      </c>
      <c r="B694" s="2" t="s">
        <v>4349</v>
      </c>
      <c r="C694" s="2" t="s">
        <v>4322</v>
      </c>
      <c r="D694" s="2">
        <v>51734000</v>
      </c>
      <c r="E694" s="2" t="s">
        <v>4275</v>
      </c>
      <c r="F694" s="2" t="s">
        <v>2212</v>
      </c>
      <c r="G694" s="2" t="s">
        <v>3574</v>
      </c>
      <c r="H694" s="2">
        <v>64855</v>
      </c>
    </row>
    <row r="695" spans="1:8">
      <c r="A695" s="2" t="s">
        <v>3512</v>
      </c>
      <c r="B695" s="2" t="s">
        <v>4350</v>
      </c>
      <c r="C695" s="2" t="s">
        <v>4327</v>
      </c>
      <c r="D695" s="2">
        <v>51735000</v>
      </c>
      <c r="E695" s="2" t="s">
        <v>4275</v>
      </c>
      <c r="F695" s="2" t="s">
        <v>2212</v>
      </c>
      <c r="G695" s="2" t="s">
        <v>3634</v>
      </c>
      <c r="H695" s="2">
        <v>17764</v>
      </c>
    </row>
    <row r="696" spans="1:8">
      <c r="A696" s="2" t="s">
        <v>3516</v>
      </c>
      <c r="B696" s="2" t="s">
        <v>4351</v>
      </c>
      <c r="C696" s="2" t="s">
        <v>4327</v>
      </c>
      <c r="D696" s="2">
        <v>51736000</v>
      </c>
      <c r="E696" s="2" t="s">
        <v>4275</v>
      </c>
      <c r="F696" s="2" t="s">
        <v>2212</v>
      </c>
      <c r="G696" s="2" t="s">
        <v>3629</v>
      </c>
      <c r="H696" s="2">
        <v>55272</v>
      </c>
    </row>
    <row r="697" spans="1:8">
      <c r="A697" s="2" t="s">
        <v>3519</v>
      </c>
      <c r="B697" s="2" t="s">
        <v>4352</v>
      </c>
      <c r="C697" s="2" t="s">
        <v>4327</v>
      </c>
      <c r="D697" s="2">
        <v>51737000</v>
      </c>
      <c r="E697" s="2" t="s">
        <v>4275</v>
      </c>
      <c r="F697" s="2" t="s">
        <v>2212</v>
      </c>
      <c r="G697" s="2" t="s">
        <v>3574</v>
      </c>
      <c r="H697" s="2">
        <v>67572</v>
      </c>
    </row>
    <row r="698" spans="2:5">
      <c r="B698" s="2" t="s">
        <v>20</v>
      </c>
      <c r="E698" s="2" t="s">
        <v>4275</v>
      </c>
    </row>
    <row r="699" spans="1:8">
      <c r="A699" s="2" t="s">
        <v>2372</v>
      </c>
      <c r="B699" s="2" t="s">
        <v>4353</v>
      </c>
      <c r="C699" s="2" t="s">
        <v>4354</v>
      </c>
      <c r="D699" s="2">
        <v>52001000</v>
      </c>
      <c r="E699" s="2" t="s">
        <v>4275</v>
      </c>
      <c r="F699" s="2" t="s">
        <v>2226</v>
      </c>
      <c r="G699" s="2" t="s">
        <v>3626</v>
      </c>
      <c r="H699" s="2">
        <v>11551</v>
      </c>
    </row>
    <row r="700" spans="1:8">
      <c r="A700" s="2" t="s">
        <v>2438</v>
      </c>
      <c r="B700" s="2" t="s">
        <v>4355</v>
      </c>
      <c r="C700" s="2" t="s">
        <v>4354</v>
      </c>
      <c r="D700" s="2">
        <v>52002000</v>
      </c>
      <c r="E700" s="2" t="s">
        <v>4275</v>
      </c>
      <c r="F700" s="2" t="s">
        <v>2226</v>
      </c>
      <c r="G700" s="2" t="s">
        <v>3626</v>
      </c>
      <c r="H700" s="2">
        <v>12848</v>
      </c>
    </row>
    <row r="701" spans="1:8">
      <c r="A701" s="2" t="s">
        <v>2515</v>
      </c>
      <c r="B701" s="2" t="s">
        <v>4356</v>
      </c>
      <c r="C701" s="2" t="s">
        <v>4354</v>
      </c>
      <c r="D701" s="2">
        <v>52003000</v>
      </c>
      <c r="E701" s="2" t="s">
        <v>4275</v>
      </c>
      <c r="F701" s="2" t="s">
        <v>2226</v>
      </c>
      <c r="G701" s="2" t="s">
        <v>3626</v>
      </c>
      <c r="H701" s="2">
        <v>21279</v>
      </c>
    </row>
    <row r="702" spans="1:8">
      <c r="A702" s="2" t="s">
        <v>2584</v>
      </c>
      <c r="B702" s="2" t="s">
        <v>4357</v>
      </c>
      <c r="C702" s="2" t="s">
        <v>4354</v>
      </c>
      <c r="D702" s="2">
        <v>52004000</v>
      </c>
      <c r="E702" s="2" t="s">
        <v>4275</v>
      </c>
      <c r="F702" s="2" t="s">
        <v>2226</v>
      </c>
      <c r="G702" s="2" t="s">
        <v>3629</v>
      </c>
      <c r="H702" s="2">
        <v>30056</v>
      </c>
    </row>
    <row r="703" spans="1:8">
      <c r="A703" s="2" t="s">
        <v>2650</v>
      </c>
      <c r="B703" s="2" t="s">
        <v>4358</v>
      </c>
      <c r="C703" s="2" t="s">
        <v>4354</v>
      </c>
      <c r="D703" s="2">
        <v>52005000</v>
      </c>
      <c r="E703" s="2" t="s">
        <v>4275</v>
      </c>
      <c r="F703" s="2" t="s">
        <v>2226</v>
      </c>
      <c r="G703" s="2" t="s">
        <v>3626</v>
      </c>
      <c r="H703" s="2">
        <v>8368</v>
      </c>
    </row>
    <row r="704" spans="1:8">
      <c r="A704" s="2" t="s">
        <v>2714</v>
      </c>
      <c r="B704" s="2" t="s">
        <v>4359</v>
      </c>
      <c r="C704" s="2" t="s">
        <v>4354</v>
      </c>
      <c r="D704" s="2">
        <v>52006000</v>
      </c>
      <c r="E704" s="2" t="s">
        <v>4275</v>
      </c>
      <c r="F704" s="2" t="s">
        <v>2226</v>
      </c>
      <c r="G704" s="2" t="s">
        <v>3634</v>
      </c>
      <c r="H704" s="2">
        <v>20516</v>
      </c>
    </row>
    <row r="705" spans="1:8">
      <c r="A705" s="2" t="s">
        <v>2775</v>
      </c>
      <c r="B705" s="2" t="s">
        <v>4360</v>
      </c>
      <c r="C705" s="2" t="s">
        <v>4354</v>
      </c>
      <c r="D705" s="2">
        <v>52007000</v>
      </c>
      <c r="E705" s="2" t="s">
        <v>4275</v>
      </c>
      <c r="F705" s="2" t="s">
        <v>2226</v>
      </c>
      <c r="G705" s="2" t="s">
        <v>3626</v>
      </c>
      <c r="H705" s="2">
        <v>9287</v>
      </c>
    </row>
    <row r="706" spans="1:8">
      <c r="A706" s="2" t="s">
        <v>2834</v>
      </c>
      <c r="B706" s="2" t="s">
        <v>4361</v>
      </c>
      <c r="C706" s="2" t="s">
        <v>4354</v>
      </c>
      <c r="D706" s="2">
        <v>52008000</v>
      </c>
      <c r="E706" s="2" t="s">
        <v>4275</v>
      </c>
      <c r="F706" s="2" t="s">
        <v>2226</v>
      </c>
      <c r="G706" s="2" t="s">
        <v>3629</v>
      </c>
      <c r="H706" s="2">
        <v>36779</v>
      </c>
    </row>
    <row r="707" spans="1:8">
      <c r="A707" s="2" t="s">
        <v>2890</v>
      </c>
      <c r="B707" s="2" t="s">
        <v>4362</v>
      </c>
      <c r="C707" s="2" t="s">
        <v>4354</v>
      </c>
      <c r="D707" s="2">
        <v>52009000</v>
      </c>
      <c r="E707" s="2" t="s">
        <v>4275</v>
      </c>
      <c r="F707" s="2" t="s">
        <v>2226</v>
      </c>
      <c r="G707" s="2" t="s">
        <v>3626</v>
      </c>
      <c r="H707" s="2">
        <v>15006</v>
      </c>
    </row>
    <row r="708" spans="1:8">
      <c r="A708" s="2" t="s">
        <v>2944</v>
      </c>
      <c r="B708" s="2" t="s">
        <v>4363</v>
      </c>
      <c r="C708" s="2" t="s">
        <v>4354</v>
      </c>
      <c r="D708" s="2">
        <v>52010000</v>
      </c>
      <c r="E708" s="2" t="s">
        <v>4275</v>
      </c>
      <c r="F708" s="2" t="s">
        <v>2226</v>
      </c>
      <c r="G708" s="2" t="s">
        <v>3634</v>
      </c>
      <c r="H708" s="2">
        <v>21624</v>
      </c>
    </row>
    <row r="709" spans="1:8">
      <c r="A709" s="2" t="s">
        <v>2994</v>
      </c>
      <c r="B709" s="2" t="s">
        <v>4364</v>
      </c>
      <c r="C709" s="2" t="s">
        <v>4354</v>
      </c>
      <c r="D709" s="2">
        <v>52011000</v>
      </c>
      <c r="E709" s="2" t="s">
        <v>4275</v>
      </c>
      <c r="F709" s="2" t="s">
        <v>2226</v>
      </c>
      <c r="G709" s="2" t="s">
        <v>3574</v>
      </c>
      <c r="H709" s="2">
        <v>73650</v>
      </c>
    </row>
    <row r="710" spans="2:5">
      <c r="B710" s="2" t="s">
        <v>20</v>
      </c>
      <c r="E710" s="2" t="s">
        <v>4275</v>
      </c>
    </row>
    <row r="711" spans="1:8">
      <c r="A711" s="2" t="s">
        <v>2373</v>
      </c>
      <c r="B711" s="2" t="s">
        <v>4365</v>
      </c>
      <c r="C711" s="2" t="s">
        <v>4366</v>
      </c>
      <c r="D711" s="2">
        <v>54111000</v>
      </c>
      <c r="E711" s="2" t="s">
        <v>4275</v>
      </c>
      <c r="F711" s="2" t="s">
        <v>2239</v>
      </c>
      <c r="G711" s="2" t="s">
        <v>3634</v>
      </c>
      <c r="H711" s="2">
        <v>95389</v>
      </c>
    </row>
    <row r="712" spans="1:8">
      <c r="A712" s="2" t="s">
        <v>2446</v>
      </c>
      <c r="B712" s="2" t="s">
        <v>4367</v>
      </c>
      <c r="C712" s="2" t="s">
        <v>4366</v>
      </c>
      <c r="D712" s="2">
        <v>54101000</v>
      </c>
      <c r="E712" s="2" t="s">
        <v>4275</v>
      </c>
      <c r="F712" s="2" t="s">
        <v>2239</v>
      </c>
      <c r="G712" s="2" t="s">
        <v>3574</v>
      </c>
      <c r="H712" s="2">
        <v>86168</v>
      </c>
    </row>
    <row r="713" spans="1:8">
      <c r="A713" s="2" t="s">
        <v>2516</v>
      </c>
      <c r="B713" s="2" t="s">
        <v>4368</v>
      </c>
      <c r="C713" s="2" t="s">
        <v>4366</v>
      </c>
      <c r="D713" s="2">
        <v>54102000</v>
      </c>
      <c r="E713" s="2" t="s">
        <v>4275</v>
      </c>
      <c r="F713" s="2" t="s">
        <v>2239</v>
      </c>
      <c r="G713" s="2" t="s">
        <v>3634</v>
      </c>
      <c r="H713" s="2">
        <v>26096</v>
      </c>
    </row>
    <row r="714" spans="1:8">
      <c r="A714" s="2" t="s">
        <v>2585</v>
      </c>
      <c r="B714" s="2" t="s">
        <v>4369</v>
      </c>
      <c r="C714" s="2" t="s">
        <v>4366</v>
      </c>
      <c r="D714" s="2">
        <v>54103000</v>
      </c>
      <c r="E714" s="2" t="s">
        <v>4275</v>
      </c>
      <c r="F714" s="2" t="s">
        <v>2239</v>
      </c>
      <c r="G714" s="2" t="s">
        <v>3634</v>
      </c>
      <c r="H714" s="2">
        <v>38124</v>
      </c>
    </row>
    <row r="715" spans="1:8">
      <c r="A715" s="2" t="s">
        <v>2651</v>
      </c>
      <c r="B715" s="2" t="s">
        <v>4370</v>
      </c>
      <c r="C715" s="2" t="s">
        <v>4371</v>
      </c>
      <c r="D715" s="2">
        <v>54104000</v>
      </c>
      <c r="E715" s="2" t="s">
        <v>4275</v>
      </c>
      <c r="F715" s="2" t="s">
        <v>2239</v>
      </c>
      <c r="G715" s="2" t="s">
        <v>3626</v>
      </c>
      <c r="H715" s="2">
        <v>15086</v>
      </c>
    </row>
    <row r="716" spans="1:8">
      <c r="A716" s="2" t="s">
        <v>2715</v>
      </c>
      <c r="B716" s="2" t="s">
        <v>4372</v>
      </c>
      <c r="C716" s="2" t="s">
        <v>4373</v>
      </c>
      <c r="D716" s="2">
        <v>54105000</v>
      </c>
      <c r="E716" s="2" t="s">
        <v>4275</v>
      </c>
      <c r="F716" s="2" t="s">
        <v>2239</v>
      </c>
      <c r="G716" s="2" t="s">
        <v>3600</v>
      </c>
      <c r="H716" s="2">
        <v>50327</v>
      </c>
    </row>
    <row r="717" spans="1:8">
      <c r="A717" s="2" t="s">
        <v>2776</v>
      </c>
      <c r="B717" s="2" t="s">
        <v>4374</v>
      </c>
      <c r="C717" s="2" t="s">
        <v>4373</v>
      </c>
      <c r="D717" s="2">
        <v>54106000</v>
      </c>
      <c r="E717" s="2" t="s">
        <v>4275</v>
      </c>
      <c r="F717" s="2" t="s">
        <v>2239</v>
      </c>
      <c r="G717" s="2" t="s">
        <v>3600</v>
      </c>
      <c r="H717" s="2">
        <v>67033</v>
      </c>
    </row>
    <row r="718" spans="1:8">
      <c r="A718" s="2" t="s">
        <v>2835</v>
      </c>
      <c r="B718" s="2" t="s">
        <v>4375</v>
      </c>
      <c r="C718" s="2" t="s">
        <v>4371</v>
      </c>
      <c r="D718" s="2">
        <v>54107000</v>
      </c>
      <c r="E718" s="2" t="s">
        <v>4275</v>
      </c>
      <c r="F718" s="2" t="s">
        <v>2239</v>
      </c>
      <c r="G718" s="2" t="s">
        <v>3629</v>
      </c>
      <c r="H718" s="2">
        <v>43693</v>
      </c>
    </row>
    <row r="719" spans="1:8">
      <c r="A719" s="2" t="s">
        <v>2891</v>
      </c>
      <c r="B719" s="2" t="s">
        <v>4376</v>
      </c>
      <c r="C719" s="2" t="s">
        <v>4373</v>
      </c>
      <c r="D719" s="2">
        <v>54108000</v>
      </c>
      <c r="E719" s="2" t="s">
        <v>4275</v>
      </c>
      <c r="F719" s="2" t="s">
        <v>2239</v>
      </c>
      <c r="G719" s="2" t="s">
        <v>3634</v>
      </c>
      <c r="H719" s="2">
        <v>26192</v>
      </c>
    </row>
    <row r="720" spans="1:8">
      <c r="A720" s="2" t="s">
        <v>2549</v>
      </c>
      <c r="B720" s="2" t="s">
        <v>4377</v>
      </c>
      <c r="C720" s="2" t="s">
        <v>4373</v>
      </c>
      <c r="D720" s="2">
        <v>54109000</v>
      </c>
      <c r="E720" s="2" t="s">
        <v>4275</v>
      </c>
      <c r="F720" s="2" t="s">
        <v>2239</v>
      </c>
      <c r="G720" s="2" t="s">
        <v>3626</v>
      </c>
      <c r="H720" s="2">
        <v>18568</v>
      </c>
    </row>
    <row r="721" spans="1:8">
      <c r="A721" s="2" t="s">
        <v>2995</v>
      </c>
      <c r="B721" s="2" t="s">
        <v>4378</v>
      </c>
      <c r="C721" s="2" t="s">
        <v>4366</v>
      </c>
      <c r="D721" s="2">
        <v>54110000</v>
      </c>
      <c r="E721" s="2" t="s">
        <v>4275</v>
      </c>
      <c r="F721" s="2" t="s">
        <v>2239</v>
      </c>
      <c r="G721" s="2" t="s">
        <v>3629</v>
      </c>
      <c r="H721" s="2">
        <v>41262</v>
      </c>
    </row>
    <row r="722" spans="1:8">
      <c r="A722" s="2" t="s">
        <v>3045</v>
      </c>
      <c r="B722" s="2" t="s">
        <v>4379</v>
      </c>
      <c r="C722" s="2" t="s">
        <v>4366</v>
      </c>
      <c r="D722" s="2">
        <v>54112000</v>
      </c>
      <c r="E722" s="2" t="s">
        <v>4275</v>
      </c>
      <c r="F722" s="2" t="s">
        <v>2239</v>
      </c>
      <c r="G722" s="2" t="s">
        <v>3574</v>
      </c>
      <c r="H722" s="2">
        <v>57473</v>
      </c>
    </row>
    <row r="723" spans="1:8">
      <c r="A723" s="2" t="s">
        <v>3090</v>
      </c>
      <c r="B723" s="2" t="s">
        <v>4380</v>
      </c>
      <c r="C723" s="2" t="s">
        <v>4366</v>
      </c>
      <c r="D723" s="2">
        <v>54113000</v>
      </c>
      <c r="E723" s="2" t="s">
        <v>4275</v>
      </c>
      <c r="F723" s="2" t="s">
        <v>2239</v>
      </c>
      <c r="G723" s="2" t="s">
        <v>3634</v>
      </c>
      <c r="H723" s="2">
        <v>38813</v>
      </c>
    </row>
    <row r="724" spans="1:8">
      <c r="A724" s="2" t="s">
        <v>3127</v>
      </c>
      <c r="B724" s="2" t="s">
        <v>4381</v>
      </c>
      <c r="C724" s="2" t="s">
        <v>4371</v>
      </c>
      <c r="D724" s="2">
        <v>54114000</v>
      </c>
      <c r="E724" s="2" t="s">
        <v>4275</v>
      </c>
      <c r="F724" s="2" t="s">
        <v>2239</v>
      </c>
      <c r="G724" s="2" t="s">
        <v>3634</v>
      </c>
      <c r="H724" s="2">
        <v>26614</v>
      </c>
    </row>
    <row r="725" spans="1:8">
      <c r="A725" s="2" t="s">
        <v>3166</v>
      </c>
      <c r="B725" s="2" t="s">
        <v>4382</v>
      </c>
      <c r="C725" s="2" t="s">
        <v>4373</v>
      </c>
      <c r="D725" s="2">
        <v>54115000</v>
      </c>
      <c r="E725" s="2" t="s">
        <v>4275</v>
      </c>
      <c r="F725" s="2" t="s">
        <v>2239</v>
      </c>
      <c r="G725" s="2" t="s">
        <v>3634</v>
      </c>
      <c r="H725" s="2">
        <v>26222</v>
      </c>
    </row>
    <row r="726" spans="1:8">
      <c r="A726" s="2" t="s">
        <v>3204</v>
      </c>
      <c r="B726" s="2" t="s">
        <v>4383</v>
      </c>
      <c r="C726" s="2" t="s">
        <v>4373</v>
      </c>
      <c r="D726" s="2">
        <v>54116000</v>
      </c>
      <c r="E726" s="2" t="s">
        <v>4275</v>
      </c>
      <c r="F726" s="2" t="s">
        <v>2239</v>
      </c>
      <c r="G726" s="2" t="s">
        <v>3634</v>
      </c>
      <c r="H726" s="2">
        <v>23236</v>
      </c>
    </row>
    <row r="727" spans="1:8">
      <c r="A727" s="2" t="s">
        <v>3108</v>
      </c>
      <c r="B727" s="2" t="s">
        <v>4384</v>
      </c>
      <c r="C727" s="2" t="s">
        <v>4373</v>
      </c>
      <c r="D727" s="2">
        <v>54117000</v>
      </c>
      <c r="E727" s="2" t="s">
        <v>4275</v>
      </c>
      <c r="F727" s="2" t="s">
        <v>2239</v>
      </c>
      <c r="G727" s="2" t="s">
        <v>3600</v>
      </c>
      <c r="H727" s="2">
        <v>55826</v>
      </c>
    </row>
    <row r="728" spans="1:8">
      <c r="A728" s="2" t="s">
        <v>3087</v>
      </c>
      <c r="B728" s="2" t="s">
        <v>4385</v>
      </c>
      <c r="C728" s="2" t="s">
        <v>4371</v>
      </c>
      <c r="D728" s="2">
        <v>54118000</v>
      </c>
      <c r="E728" s="2" t="s">
        <v>4275</v>
      </c>
      <c r="F728" s="2" t="s">
        <v>2239</v>
      </c>
      <c r="G728" s="2" t="s">
        <v>3626</v>
      </c>
      <c r="H728" s="2">
        <v>23057</v>
      </c>
    </row>
    <row r="729" spans="1:8">
      <c r="A729" s="2" t="s">
        <v>3290</v>
      </c>
      <c r="B729" s="2" t="s">
        <v>4386</v>
      </c>
      <c r="C729" s="2" t="s">
        <v>4371</v>
      </c>
      <c r="D729" s="2">
        <v>54119000</v>
      </c>
      <c r="E729" s="2" t="s">
        <v>4275</v>
      </c>
      <c r="F729" s="2" t="s">
        <v>2239</v>
      </c>
      <c r="G729" s="2" t="s">
        <v>3634</v>
      </c>
      <c r="H729" s="2">
        <v>30372</v>
      </c>
    </row>
    <row r="730" spans="1:8">
      <c r="A730" s="2" t="s">
        <v>3315</v>
      </c>
      <c r="B730" s="2" t="s">
        <v>4387</v>
      </c>
      <c r="C730" s="2" t="s">
        <v>4371</v>
      </c>
      <c r="D730" s="2">
        <v>54120000</v>
      </c>
      <c r="E730" s="2" t="s">
        <v>4275</v>
      </c>
      <c r="F730" s="2" t="s">
        <v>2239</v>
      </c>
      <c r="G730" s="2" t="s">
        <v>3629</v>
      </c>
      <c r="H730" s="2">
        <v>46674</v>
      </c>
    </row>
    <row r="731" spans="1:8">
      <c r="A731" s="2" t="s">
        <v>3341</v>
      </c>
      <c r="B731" s="2" t="s">
        <v>4388</v>
      </c>
      <c r="C731" s="2" t="s">
        <v>4373</v>
      </c>
      <c r="D731" s="2">
        <v>54121000</v>
      </c>
      <c r="E731" s="2" t="s">
        <v>4275</v>
      </c>
      <c r="F731" s="2" t="s">
        <v>2239</v>
      </c>
      <c r="G731" s="2" t="s">
        <v>3629</v>
      </c>
      <c r="H731" s="2">
        <v>56168</v>
      </c>
    </row>
    <row r="732" spans="2:5">
      <c r="B732" s="2" t="s">
        <v>20</v>
      </c>
      <c r="E732" s="2" t="s">
        <v>4275</v>
      </c>
    </row>
    <row r="733" spans="1:8">
      <c r="A733" s="2" t="s">
        <v>2374</v>
      </c>
      <c r="B733" s="2" t="s">
        <v>4389</v>
      </c>
      <c r="C733" s="2" t="s">
        <v>4390</v>
      </c>
      <c r="D733" s="2">
        <v>56216000</v>
      </c>
      <c r="E733" s="2" t="s">
        <v>4275</v>
      </c>
      <c r="F733" s="2" t="s">
        <v>2247</v>
      </c>
      <c r="G733" s="2" t="s">
        <v>3629</v>
      </c>
      <c r="H733" s="2">
        <v>168110</v>
      </c>
    </row>
    <row r="734" spans="1:8">
      <c r="A734" s="2" t="s">
        <v>2447</v>
      </c>
      <c r="B734" s="2" t="s">
        <v>4391</v>
      </c>
      <c r="C734" s="2" t="s">
        <v>4392</v>
      </c>
      <c r="D734" s="2">
        <v>56202000</v>
      </c>
      <c r="E734" s="2" t="s">
        <v>4275</v>
      </c>
      <c r="F734" s="2" t="s">
        <v>2247</v>
      </c>
      <c r="G734" s="2" t="s">
        <v>3626</v>
      </c>
      <c r="H734" s="2">
        <v>20990</v>
      </c>
    </row>
    <row r="735" spans="1:8">
      <c r="A735" s="2" t="s">
        <v>2517</v>
      </c>
      <c r="B735" s="2" t="s">
        <v>4393</v>
      </c>
      <c r="C735" s="2" t="s">
        <v>4392</v>
      </c>
      <c r="D735" s="2">
        <v>56203000</v>
      </c>
      <c r="E735" s="2" t="s">
        <v>4275</v>
      </c>
      <c r="F735" s="2" t="s">
        <v>2247</v>
      </c>
      <c r="G735" s="2" t="s">
        <v>3574</v>
      </c>
      <c r="H735" s="2">
        <v>100076</v>
      </c>
    </row>
    <row r="736" spans="1:8">
      <c r="A736" s="2" t="s">
        <v>2586</v>
      </c>
      <c r="B736" s="2" t="s">
        <v>4394</v>
      </c>
      <c r="C736" s="2" t="s">
        <v>4392</v>
      </c>
      <c r="D736" s="2">
        <v>56204000</v>
      </c>
      <c r="E736" s="2" t="s">
        <v>4275</v>
      </c>
      <c r="F736" s="2" t="s">
        <v>2247</v>
      </c>
      <c r="G736" s="2" t="s">
        <v>3634</v>
      </c>
      <c r="H736" s="2">
        <v>22884</v>
      </c>
    </row>
    <row r="737" spans="1:8">
      <c r="A737" s="2" t="s">
        <v>2427</v>
      </c>
      <c r="B737" s="2" t="s">
        <v>4395</v>
      </c>
      <c r="C737" s="2" t="s">
        <v>4390</v>
      </c>
      <c r="D737" s="2">
        <v>56205000</v>
      </c>
      <c r="E737" s="2" t="s">
        <v>4275</v>
      </c>
      <c r="F737" s="2" t="s">
        <v>2247</v>
      </c>
      <c r="G737" s="2" t="s">
        <v>3634</v>
      </c>
      <c r="H737" s="2">
        <v>32842</v>
      </c>
    </row>
    <row r="738" spans="1:8">
      <c r="A738" s="2" t="s">
        <v>2716</v>
      </c>
      <c r="B738" s="2" t="s">
        <v>4396</v>
      </c>
      <c r="C738" s="2" t="s">
        <v>4390</v>
      </c>
      <c r="D738" s="2">
        <v>56206000</v>
      </c>
      <c r="E738" s="2" t="s">
        <v>4275</v>
      </c>
      <c r="F738" s="2" t="s">
        <v>2247</v>
      </c>
      <c r="G738" s="2" t="s">
        <v>3629</v>
      </c>
      <c r="H738" s="2">
        <v>57827</v>
      </c>
    </row>
    <row r="739" spans="1:8">
      <c r="A739" s="2" t="s">
        <v>2777</v>
      </c>
      <c r="B739" s="2" t="s">
        <v>4397</v>
      </c>
      <c r="C739" s="2" t="s">
        <v>4390</v>
      </c>
      <c r="D739" s="2">
        <v>56207000</v>
      </c>
      <c r="E739" s="2" t="s">
        <v>4275</v>
      </c>
      <c r="F739" s="2" t="s">
        <v>2247</v>
      </c>
      <c r="G739" s="2" t="s">
        <v>3629</v>
      </c>
      <c r="H739" s="2">
        <v>49711</v>
      </c>
    </row>
    <row r="740" spans="1:8">
      <c r="A740" s="2" t="s">
        <v>2836</v>
      </c>
      <c r="B740" s="2" t="s">
        <v>4398</v>
      </c>
      <c r="C740" s="2" t="s">
        <v>4392</v>
      </c>
      <c r="D740" s="2">
        <v>56208000</v>
      </c>
      <c r="E740" s="2" t="s">
        <v>4275</v>
      </c>
      <c r="F740" s="2" t="s">
        <v>2247</v>
      </c>
      <c r="G740" s="2" t="s">
        <v>3600</v>
      </c>
      <c r="H740" s="2">
        <v>59534</v>
      </c>
    </row>
    <row r="741" spans="1:8">
      <c r="A741" s="2" t="s">
        <v>2892</v>
      </c>
      <c r="B741" s="2" t="s">
        <v>4399</v>
      </c>
      <c r="C741" s="2" t="s">
        <v>4392</v>
      </c>
      <c r="D741" s="2">
        <v>56209000</v>
      </c>
      <c r="E741" s="2" t="s">
        <v>4275</v>
      </c>
      <c r="F741" s="2" t="s">
        <v>2247</v>
      </c>
      <c r="G741" s="2" t="s">
        <v>3600</v>
      </c>
      <c r="H741" s="2">
        <v>56662</v>
      </c>
    </row>
    <row r="742" spans="1:8">
      <c r="A742" s="2" t="s">
        <v>2945</v>
      </c>
      <c r="B742" s="2" t="s">
        <v>4400</v>
      </c>
      <c r="C742" s="2" t="s">
        <v>4392</v>
      </c>
      <c r="D742" s="2">
        <v>56210000</v>
      </c>
      <c r="E742" s="2" t="s">
        <v>4275</v>
      </c>
      <c r="F742" s="2" t="s">
        <v>2247</v>
      </c>
      <c r="G742" s="2" t="s">
        <v>3634</v>
      </c>
      <c r="H742" s="2">
        <v>32320</v>
      </c>
    </row>
    <row r="743" spans="1:8">
      <c r="A743" s="2" t="s">
        <v>2862</v>
      </c>
      <c r="B743" s="2" t="s">
        <v>4401</v>
      </c>
      <c r="C743" s="2" t="s">
        <v>4390</v>
      </c>
      <c r="D743" s="2">
        <v>56211000</v>
      </c>
      <c r="E743" s="2" t="s">
        <v>4275</v>
      </c>
      <c r="F743" s="2" t="s">
        <v>2247</v>
      </c>
      <c r="G743" s="2" t="s">
        <v>3629</v>
      </c>
      <c r="H743" s="2">
        <v>37038</v>
      </c>
    </row>
    <row r="744" spans="1:8">
      <c r="A744" s="2" t="s">
        <v>3046</v>
      </c>
      <c r="B744" s="2" t="s">
        <v>4402</v>
      </c>
      <c r="C744" s="2" t="s">
        <v>4392</v>
      </c>
      <c r="D744" s="2">
        <v>56212000</v>
      </c>
      <c r="E744" s="2" t="s">
        <v>4275</v>
      </c>
      <c r="F744" s="2" t="s">
        <v>2247</v>
      </c>
      <c r="G744" s="2" t="s">
        <v>3629</v>
      </c>
      <c r="H744" s="2">
        <v>41101</v>
      </c>
    </row>
    <row r="745" spans="1:8">
      <c r="A745" s="2" t="s">
        <v>2980</v>
      </c>
      <c r="B745" s="2" t="s">
        <v>4403</v>
      </c>
      <c r="C745" s="2" t="s">
        <v>4390</v>
      </c>
      <c r="D745" s="2">
        <v>56213000</v>
      </c>
      <c r="E745" s="2" t="s">
        <v>4275</v>
      </c>
      <c r="F745" s="2" t="s">
        <v>2247</v>
      </c>
      <c r="G745" s="2" t="s">
        <v>3574</v>
      </c>
      <c r="H745" s="2">
        <v>74564</v>
      </c>
    </row>
    <row r="746" spans="1:8">
      <c r="A746" s="2" t="s">
        <v>3128</v>
      </c>
      <c r="B746" s="2" t="s">
        <v>4404</v>
      </c>
      <c r="C746" s="2" t="s">
        <v>4392</v>
      </c>
      <c r="D746" s="2">
        <v>56214000</v>
      </c>
      <c r="E746" s="2" t="s">
        <v>4275</v>
      </c>
      <c r="F746" s="2" t="s">
        <v>2247</v>
      </c>
      <c r="G746" s="2" t="s">
        <v>3626</v>
      </c>
      <c r="H746" s="2">
        <v>22442</v>
      </c>
    </row>
    <row r="747" spans="1:8">
      <c r="A747" s="2" t="s">
        <v>3167</v>
      </c>
      <c r="B747" s="2" t="s">
        <v>4405</v>
      </c>
      <c r="C747" s="2" t="s">
        <v>4392</v>
      </c>
      <c r="D747" s="2">
        <v>56215000</v>
      </c>
      <c r="E747" s="2" t="s">
        <v>4275</v>
      </c>
      <c r="F747" s="2" t="s">
        <v>2247</v>
      </c>
      <c r="G747" s="2" t="s">
        <v>3626</v>
      </c>
      <c r="H747" s="2">
        <v>16848</v>
      </c>
    </row>
    <row r="748" spans="2:5">
      <c r="B748" s="2" t="s">
        <v>20</v>
      </c>
      <c r="E748" s="2" t="s">
        <v>4406</v>
      </c>
    </row>
    <row r="749" spans="1:8">
      <c r="A749" s="2" t="s">
        <v>2375</v>
      </c>
      <c r="B749" s="2" t="s">
        <v>4407</v>
      </c>
      <c r="C749" s="2" t="s">
        <v>4408</v>
      </c>
      <c r="D749" s="2">
        <v>60401000</v>
      </c>
      <c r="E749" s="2" t="s">
        <v>4406</v>
      </c>
      <c r="F749" s="2" t="s">
        <v>2185</v>
      </c>
      <c r="G749" s="2" t="s">
        <v>3634</v>
      </c>
      <c r="H749" s="2">
        <v>24619</v>
      </c>
    </row>
    <row r="750" spans="1:8">
      <c r="A750" s="2" t="s">
        <v>2448</v>
      </c>
      <c r="B750" s="2" t="s">
        <v>4409</v>
      </c>
      <c r="C750" s="2" t="s">
        <v>4408</v>
      </c>
      <c r="D750" s="2">
        <v>60402000</v>
      </c>
      <c r="E750" s="2" t="s">
        <v>4406</v>
      </c>
      <c r="F750" s="2" t="s">
        <v>2185</v>
      </c>
      <c r="G750" s="2" t="s">
        <v>3634</v>
      </c>
      <c r="H750" s="2">
        <v>28920</v>
      </c>
    </row>
    <row r="751" spans="1:8">
      <c r="A751" s="2" t="s">
        <v>2518</v>
      </c>
      <c r="B751" s="2" t="s">
        <v>4410</v>
      </c>
      <c r="C751" s="2" t="s">
        <v>4408</v>
      </c>
      <c r="D751" s="2">
        <v>60403000</v>
      </c>
      <c r="E751" s="2" t="s">
        <v>4406</v>
      </c>
      <c r="F751" s="2" t="s">
        <v>2185</v>
      </c>
      <c r="G751" s="2" t="s">
        <v>3629</v>
      </c>
      <c r="H751" s="2">
        <v>39505</v>
      </c>
    </row>
    <row r="752" spans="1:8">
      <c r="A752" s="2" t="s">
        <v>2587</v>
      </c>
      <c r="B752" s="2" t="s">
        <v>4411</v>
      </c>
      <c r="C752" s="2" t="s">
        <v>4408</v>
      </c>
      <c r="D752" s="2">
        <v>60404000</v>
      </c>
      <c r="E752" s="2" t="s">
        <v>4406</v>
      </c>
      <c r="F752" s="2" t="s">
        <v>2185</v>
      </c>
      <c r="G752" s="2" t="s">
        <v>3634</v>
      </c>
      <c r="H752" s="2">
        <v>32032</v>
      </c>
    </row>
    <row r="753" spans="1:8">
      <c r="A753" s="2" t="s">
        <v>2652</v>
      </c>
      <c r="B753" s="2" t="s">
        <v>4412</v>
      </c>
      <c r="C753" s="2" t="s">
        <v>4413</v>
      </c>
      <c r="D753" s="2">
        <v>60405000</v>
      </c>
      <c r="E753" s="2" t="s">
        <v>4406</v>
      </c>
      <c r="F753" s="2" t="s">
        <v>2185</v>
      </c>
      <c r="G753" s="2" t="s">
        <v>3626</v>
      </c>
      <c r="H753" s="2">
        <v>19003</v>
      </c>
    </row>
    <row r="754" spans="1:8">
      <c r="A754" s="2" t="s">
        <v>2717</v>
      </c>
      <c r="B754" s="2" t="s">
        <v>4414</v>
      </c>
      <c r="C754" s="2" t="s">
        <v>4413</v>
      </c>
      <c r="D754" s="2">
        <v>60406000</v>
      </c>
      <c r="E754" s="2" t="s">
        <v>4406</v>
      </c>
      <c r="F754" s="2" t="s">
        <v>2185</v>
      </c>
      <c r="G754" s="2" t="s">
        <v>3629</v>
      </c>
      <c r="H754" s="2">
        <v>49564</v>
      </c>
    </row>
    <row r="755" spans="1:8">
      <c r="A755" s="2" t="s">
        <v>2778</v>
      </c>
      <c r="B755" s="2" t="s">
        <v>4415</v>
      </c>
      <c r="C755" s="2" t="s">
        <v>4408</v>
      </c>
      <c r="D755" s="2">
        <v>60407000</v>
      </c>
      <c r="E755" s="2" t="s">
        <v>4406</v>
      </c>
      <c r="F755" s="2" t="s">
        <v>2185</v>
      </c>
      <c r="G755" s="2" t="s">
        <v>3574</v>
      </c>
      <c r="H755" s="2">
        <v>80605</v>
      </c>
    </row>
    <row r="756" spans="1:8">
      <c r="A756" s="2" t="s">
        <v>2837</v>
      </c>
      <c r="B756" s="2" t="s">
        <v>4416</v>
      </c>
      <c r="C756" s="2" t="s">
        <v>4413</v>
      </c>
      <c r="D756" s="2">
        <v>60408000</v>
      </c>
      <c r="E756" s="2" t="s">
        <v>4406</v>
      </c>
      <c r="F756" s="2" t="s">
        <v>2185</v>
      </c>
      <c r="G756" s="2" t="s">
        <v>3626</v>
      </c>
      <c r="H756" s="2">
        <v>15224</v>
      </c>
    </row>
    <row r="757" spans="1:8">
      <c r="A757" s="2" t="s">
        <v>2893</v>
      </c>
      <c r="B757" s="2" t="s">
        <v>4417</v>
      </c>
      <c r="C757" s="2" t="s">
        <v>4408</v>
      </c>
      <c r="D757" s="2">
        <v>60409000</v>
      </c>
      <c r="E757" s="2" t="s">
        <v>4406</v>
      </c>
      <c r="F757" s="2" t="s">
        <v>2185</v>
      </c>
      <c r="G757" s="2" t="s">
        <v>3629</v>
      </c>
      <c r="H757" s="2">
        <v>28241</v>
      </c>
    </row>
    <row r="758" spans="1:8">
      <c r="A758" s="2" t="s">
        <v>2946</v>
      </c>
      <c r="B758" s="2" t="s">
        <v>4418</v>
      </c>
      <c r="C758" s="2" t="s">
        <v>4408</v>
      </c>
      <c r="D758" s="2">
        <v>60410000</v>
      </c>
      <c r="E758" s="2" t="s">
        <v>4406</v>
      </c>
      <c r="F758" s="2" t="s">
        <v>2185</v>
      </c>
      <c r="G758" s="2" t="s">
        <v>3634</v>
      </c>
      <c r="H758" s="2">
        <v>18389</v>
      </c>
    </row>
    <row r="759" spans="1:8">
      <c r="A759" s="2" t="s">
        <v>2996</v>
      </c>
      <c r="B759" s="2" t="s">
        <v>4419</v>
      </c>
      <c r="C759" s="2" t="s">
        <v>4413</v>
      </c>
      <c r="D759" s="2">
        <v>60411000</v>
      </c>
      <c r="E759" s="2" t="s">
        <v>4406</v>
      </c>
      <c r="F759" s="2" t="s">
        <v>2185</v>
      </c>
      <c r="G759" s="2" t="s">
        <v>3634</v>
      </c>
      <c r="H759" s="2">
        <v>27262</v>
      </c>
    </row>
    <row r="760" spans="1:8">
      <c r="A760" s="2" t="s">
        <v>3047</v>
      </c>
      <c r="B760" s="2" t="s">
        <v>4420</v>
      </c>
      <c r="C760" s="2" t="s">
        <v>4413</v>
      </c>
      <c r="D760" s="2">
        <v>60412000</v>
      </c>
      <c r="E760" s="2" t="s">
        <v>4406</v>
      </c>
      <c r="F760" s="2" t="s">
        <v>2185</v>
      </c>
      <c r="G760" s="2" t="s">
        <v>3574</v>
      </c>
      <c r="H760" s="2">
        <v>52973</v>
      </c>
    </row>
    <row r="761" spans="1:8">
      <c r="A761" s="2" t="s">
        <v>2991</v>
      </c>
      <c r="B761" s="2" t="s">
        <v>4421</v>
      </c>
      <c r="C761" s="2" t="s">
        <v>4413</v>
      </c>
      <c r="D761" s="2">
        <v>60413000</v>
      </c>
      <c r="E761" s="2" t="s">
        <v>4406</v>
      </c>
      <c r="F761" s="2" t="s">
        <v>2185</v>
      </c>
      <c r="G761" s="2" t="s">
        <v>3634</v>
      </c>
      <c r="H761" s="2">
        <v>23194</v>
      </c>
    </row>
    <row r="762" spans="1:8">
      <c r="A762" s="2" t="s">
        <v>3129</v>
      </c>
      <c r="B762" s="2" t="s">
        <v>4422</v>
      </c>
      <c r="C762" s="2" t="s">
        <v>4413</v>
      </c>
      <c r="D762" s="2">
        <v>60414000</v>
      </c>
      <c r="E762" s="2" t="s">
        <v>4406</v>
      </c>
      <c r="F762" s="2" t="s">
        <v>2185</v>
      </c>
      <c r="G762" s="2" t="s">
        <v>3634</v>
      </c>
      <c r="H762" s="2">
        <v>36435</v>
      </c>
    </row>
    <row r="763" spans="1:8">
      <c r="A763" s="2" t="s">
        <v>3168</v>
      </c>
      <c r="B763" s="2" t="s">
        <v>4423</v>
      </c>
      <c r="C763" s="2" t="s">
        <v>4408</v>
      </c>
      <c r="D763" s="2">
        <v>60415000</v>
      </c>
      <c r="E763" s="2" t="s">
        <v>4406</v>
      </c>
      <c r="F763" s="2" t="s">
        <v>2185</v>
      </c>
      <c r="G763" s="2" t="s">
        <v>3629</v>
      </c>
      <c r="H763" s="2">
        <v>45007</v>
      </c>
    </row>
    <row r="764" spans="1:8">
      <c r="A764" s="2" t="s">
        <v>3205</v>
      </c>
      <c r="B764" s="2" t="s">
        <v>4424</v>
      </c>
      <c r="C764" s="2" t="s">
        <v>4413</v>
      </c>
      <c r="D764" s="2">
        <v>60416000</v>
      </c>
      <c r="E764" s="2" t="s">
        <v>4406</v>
      </c>
      <c r="F764" s="2" t="s">
        <v>2185</v>
      </c>
      <c r="G764" s="2" t="s">
        <v>3634</v>
      </c>
      <c r="H764" s="2">
        <v>31934</v>
      </c>
    </row>
    <row r="765" spans="1:8">
      <c r="A765" s="2" t="s">
        <v>3234</v>
      </c>
      <c r="B765" s="2" t="s">
        <v>4425</v>
      </c>
      <c r="C765" s="2" t="s">
        <v>4413</v>
      </c>
      <c r="D765" s="2">
        <v>60417000</v>
      </c>
      <c r="E765" s="2" t="s">
        <v>4406</v>
      </c>
      <c r="F765" s="2" t="s">
        <v>2185</v>
      </c>
      <c r="G765" s="2" t="s">
        <v>3626</v>
      </c>
      <c r="H765" s="2">
        <v>21916</v>
      </c>
    </row>
    <row r="766" spans="2:5">
      <c r="B766" s="2" t="s">
        <v>20</v>
      </c>
      <c r="E766" s="2" t="s">
        <v>4406</v>
      </c>
    </row>
    <row r="767" spans="1:8">
      <c r="A767" s="2" t="s">
        <v>2376</v>
      </c>
      <c r="B767" s="2" t="s">
        <v>4426</v>
      </c>
      <c r="C767" s="2" t="s">
        <v>4427</v>
      </c>
      <c r="D767" s="2">
        <v>60601000</v>
      </c>
      <c r="E767" s="2" t="s">
        <v>4406</v>
      </c>
      <c r="F767" s="2" t="s">
        <v>2199</v>
      </c>
      <c r="G767" s="2" t="s">
        <v>3634</v>
      </c>
      <c r="H767" s="2">
        <v>21201</v>
      </c>
    </row>
    <row r="768" spans="1:8">
      <c r="A768" s="2" t="s">
        <v>2449</v>
      </c>
      <c r="B768" s="2" t="s">
        <v>4428</v>
      </c>
      <c r="C768" s="2" t="s">
        <v>4427</v>
      </c>
      <c r="D768" s="2">
        <v>60602000</v>
      </c>
      <c r="E768" s="2" t="s">
        <v>4406</v>
      </c>
      <c r="F768" s="2" t="s">
        <v>2199</v>
      </c>
      <c r="G768" s="2" t="s">
        <v>3634</v>
      </c>
      <c r="H768" s="2">
        <v>22704</v>
      </c>
    </row>
    <row r="769" spans="1:8">
      <c r="A769" s="2" t="s">
        <v>2519</v>
      </c>
      <c r="B769" s="2" t="s">
        <v>4429</v>
      </c>
      <c r="C769" s="2" t="s">
        <v>4427</v>
      </c>
      <c r="D769" s="2">
        <v>60603000</v>
      </c>
      <c r="E769" s="2" t="s">
        <v>4406</v>
      </c>
      <c r="F769" s="2" t="s">
        <v>2199</v>
      </c>
      <c r="G769" s="2" t="s">
        <v>3626</v>
      </c>
      <c r="H769" s="2">
        <v>13539</v>
      </c>
    </row>
    <row r="770" spans="1:8">
      <c r="A770" s="2" t="s">
        <v>2588</v>
      </c>
      <c r="B770" s="2" t="s">
        <v>4430</v>
      </c>
      <c r="C770" s="2" t="s">
        <v>4427</v>
      </c>
      <c r="D770" s="2">
        <v>60604000</v>
      </c>
      <c r="E770" s="2" t="s">
        <v>4406</v>
      </c>
      <c r="F770" s="2" t="s">
        <v>2199</v>
      </c>
      <c r="G770" s="2" t="s">
        <v>3629</v>
      </c>
      <c r="H770" s="2">
        <v>33642</v>
      </c>
    </row>
    <row r="771" spans="1:8">
      <c r="A771" s="2" t="s">
        <v>2653</v>
      </c>
      <c r="B771" s="2" t="s">
        <v>4431</v>
      </c>
      <c r="C771" s="2" t="s">
        <v>4427</v>
      </c>
      <c r="D771" s="2">
        <v>60605000</v>
      </c>
      <c r="E771" s="2" t="s">
        <v>4406</v>
      </c>
      <c r="F771" s="2" t="s">
        <v>2199</v>
      </c>
      <c r="G771" s="2" t="s">
        <v>3574</v>
      </c>
      <c r="H771" s="2">
        <v>35496</v>
      </c>
    </row>
    <row r="772" spans="1:8">
      <c r="A772" s="2" t="s">
        <v>2718</v>
      </c>
      <c r="B772" s="2" t="s">
        <v>4432</v>
      </c>
      <c r="C772" s="2" t="s">
        <v>4427</v>
      </c>
      <c r="D772" s="2">
        <v>60606000</v>
      </c>
      <c r="E772" s="2" t="s">
        <v>4406</v>
      </c>
      <c r="F772" s="2" t="s">
        <v>2199</v>
      </c>
      <c r="G772" s="2" t="s">
        <v>3629</v>
      </c>
      <c r="H772" s="2">
        <v>41228</v>
      </c>
    </row>
    <row r="773" spans="1:8">
      <c r="A773" s="2" t="s">
        <v>2779</v>
      </c>
      <c r="B773" s="2" t="s">
        <v>4433</v>
      </c>
      <c r="C773" s="2" t="s">
        <v>4427</v>
      </c>
      <c r="D773" s="2">
        <v>60607000</v>
      </c>
      <c r="E773" s="2" t="s">
        <v>4406</v>
      </c>
      <c r="F773" s="2" t="s">
        <v>2199</v>
      </c>
      <c r="G773" s="2" t="s">
        <v>3634</v>
      </c>
      <c r="H773" s="2">
        <v>33046</v>
      </c>
    </row>
    <row r="774" spans="1:8">
      <c r="A774" s="2" t="s">
        <v>2838</v>
      </c>
      <c r="B774" s="2" t="s">
        <v>4434</v>
      </c>
      <c r="C774" s="2" t="s">
        <v>4427</v>
      </c>
      <c r="D774" s="2">
        <v>60608000</v>
      </c>
      <c r="E774" s="2" t="s">
        <v>4406</v>
      </c>
      <c r="F774" s="2" t="s">
        <v>2199</v>
      </c>
      <c r="G774" s="2" t="s">
        <v>3629</v>
      </c>
      <c r="H774" s="2">
        <v>48592</v>
      </c>
    </row>
    <row r="775" spans="1:8">
      <c r="A775" s="2" t="s">
        <v>2894</v>
      </c>
      <c r="B775" s="2" t="s">
        <v>4435</v>
      </c>
      <c r="C775" s="2" t="s">
        <v>4427</v>
      </c>
      <c r="D775" s="2">
        <v>60609000</v>
      </c>
      <c r="E775" s="2" t="s">
        <v>4406</v>
      </c>
      <c r="F775" s="2" t="s">
        <v>2199</v>
      </c>
      <c r="G775" s="2" t="s">
        <v>3634</v>
      </c>
      <c r="H775" s="2">
        <v>26072</v>
      </c>
    </row>
    <row r="776" spans="1:8">
      <c r="A776" s="2" t="s">
        <v>2947</v>
      </c>
      <c r="B776" s="2" t="s">
        <v>4436</v>
      </c>
      <c r="C776" s="2" t="s">
        <v>4427</v>
      </c>
      <c r="D776" s="2">
        <v>60610000</v>
      </c>
      <c r="E776" s="2" t="s">
        <v>4406</v>
      </c>
      <c r="F776" s="2" t="s">
        <v>2199</v>
      </c>
      <c r="G776" s="2" t="s">
        <v>3626</v>
      </c>
      <c r="H776" s="2">
        <v>16429</v>
      </c>
    </row>
    <row r="777" spans="1:8">
      <c r="A777" s="2" t="s">
        <v>2714</v>
      </c>
      <c r="B777" s="2" t="s">
        <v>4437</v>
      </c>
      <c r="C777" s="2" t="s">
        <v>4427</v>
      </c>
      <c r="D777" s="2">
        <v>60611000</v>
      </c>
      <c r="E777" s="2" t="s">
        <v>4406</v>
      </c>
      <c r="F777" s="2" t="s">
        <v>2199</v>
      </c>
      <c r="G777" s="2" t="s">
        <v>3634</v>
      </c>
      <c r="H777" s="2">
        <v>34333</v>
      </c>
    </row>
    <row r="778" spans="1:8">
      <c r="A778" s="2" t="s">
        <v>3048</v>
      </c>
      <c r="B778" s="2" t="s">
        <v>4438</v>
      </c>
      <c r="C778" s="2" t="s">
        <v>4427</v>
      </c>
      <c r="D778" s="2">
        <v>60612000</v>
      </c>
      <c r="E778" s="2" t="s">
        <v>4406</v>
      </c>
      <c r="F778" s="2" t="s">
        <v>2199</v>
      </c>
      <c r="G778" s="2" t="s">
        <v>3629</v>
      </c>
      <c r="H778" s="2">
        <v>37176</v>
      </c>
    </row>
    <row r="779" spans="1:8">
      <c r="A779" s="2" t="s">
        <v>2749</v>
      </c>
      <c r="B779" s="2" t="s">
        <v>4439</v>
      </c>
      <c r="C779" s="2" t="s">
        <v>4427</v>
      </c>
      <c r="D779" s="2">
        <v>60613000</v>
      </c>
      <c r="E779" s="2" t="s">
        <v>4406</v>
      </c>
      <c r="F779" s="2" t="s">
        <v>2199</v>
      </c>
      <c r="G779" s="2" t="s">
        <v>3574</v>
      </c>
      <c r="H779" s="2">
        <v>62534</v>
      </c>
    </row>
    <row r="780" spans="1:8">
      <c r="A780" s="2" t="s">
        <v>3130</v>
      </c>
      <c r="B780" s="2" t="s">
        <v>4440</v>
      </c>
      <c r="C780" s="2" t="s">
        <v>4427</v>
      </c>
      <c r="D780" s="2">
        <v>60614000</v>
      </c>
      <c r="E780" s="2" t="s">
        <v>4406</v>
      </c>
      <c r="F780" s="2" t="s">
        <v>2199</v>
      </c>
      <c r="G780" s="2" t="s">
        <v>3629</v>
      </c>
      <c r="H780" s="2">
        <v>31935</v>
      </c>
    </row>
    <row r="781" spans="1:8">
      <c r="A781" s="2" t="s">
        <v>3169</v>
      </c>
      <c r="B781" s="2" t="s">
        <v>4441</v>
      </c>
      <c r="C781" s="2" t="s">
        <v>4427</v>
      </c>
      <c r="D781" s="2">
        <v>60615000</v>
      </c>
      <c r="E781" s="2" t="s">
        <v>4406</v>
      </c>
      <c r="F781" s="2" t="s">
        <v>2199</v>
      </c>
      <c r="G781" s="2" t="s">
        <v>3634</v>
      </c>
      <c r="H781" s="2">
        <v>17907</v>
      </c>
    </row>
    <row r="782" spans="1:8">
      <c r="A782" s="2" t="s">
        <v>3206</v>
      </c>
      <c r="B782" s="2" t="s">
        <v>4442</v>
      </c>
      <c r="C782" s="2" t="s">
        <v>4427</v>
      </c>
      <c r="D782" s="2">
        <v>60616000</v>
      </c>
      <c r="E782" s="2" t="s">
        <v>4406</v>
      </c>
      <c r="F782" s="2" t="s">
        <v>2199</v>
      </c>
      <c r="G782" s="2" t="s">
        <v>3600</v>
      </c>
      <c r="H782" s="2">
        <v>60306</v>
      </c>
    </row>
    <row r="783" spans="1:8">
      <c r="A783" s="2" t="s">
        <v>3235</v>
      </c>
      <c r="B783" s="2" t="s">
        <v>4443</v>
      </c>
      <c r="C783" s="2" t="s">
        <v>4427</v>
      </c>
      <c r="D783" s="2">
        <v>60617000</v>
      </c>
      <c r="E783" s="2" t="s">
        <v>4406</v>
      </c>
      <c r="F783" s="2" t="s">
        <v>2199</v>
      </c>
      <c r="G783" s="2" t="s">
        <v>3634</v>
      </c>
      <c r="H783" s="2">
        <v>26748</v>
      </c>
    </row>
    <row r="784" spans="1:8">
      <c r="A784" s="2" t="s">
        <v>3266</v>
      </c>
      <c r="B784" s="2" t="s">
        <v>4444</v>
      </c>
      <c r="C784" s="2" t="s">
        <v>4427</v>
      </c>
      <c r="D784" s="2">
        <v>60618000</v>
      </c>
      <c r="E784" s="2" t="s">
        <v>4406</v>
      </c>
      <c r="F784" s="2" t="s">
        <v>2199</v>
      </c>
      <c r="G784" s="2" t="s">
        <v>3634</v>
      </c>
      <c r="H784" s="2">
        <v>19124</v>
      </c>
    </row>
    <row r="785" spans="2:5">
      <c r="B785" s="2" t="s">
        <v>20</v>
      </c>
      <c r="E785" s="2" t="s">
        <v>4406</v>
      </c>
    </row>
    <row r="786" spans="1:8">
      <c r="A786" s="2" t="s">
        <v>2380</v>
      </c>
      <c r="B786" s="2" t="s">
        <v>4445</v>
      </c>
      <c r="C786" s="2" t="s">
        <v>4446</v>
      </c>
      <c r="D786" s="2">
        <v>64501000</v>
      </c>
      <c r="E786" s="2" t="s">
        <v>4406</v>
      </c>
      <c r="F786" s="2" t="s">
        <v>2248</v>
      </c>
      <c r="G786" s="2" t="s">
        <v>3574</v>
      </c>
      <c r="H786" s="2">
        <v>561875</v>
      </c>
    </row>
    <row r="787" spans="2:5">
      <c r="B787" s="2" t="s">
        <v>20</v>
      </c>
      <c r="E787" s="2" t="s">
        <v>4406</v>
      </c>
    </row>
    <row r="788" spans="1:8">
      <c r="A788" s="2" t="s">
        <v>2377</v>
      </c>
      <c r="B788" s="2" t="s">
        <v>4447</v>
      </c>
      <c r="C788" s="2" t="s">
        <v>4448</v>
      </c>
      <c r="D788" s="2">
        <v>61914000</v>
      </c>
      <c r="E788" s="2" t="s">
        <v>4406</v>
      </c>
      <c r="F788" s="2" t="s">
        <v>2213</v>
      </c>
      <c r="G788" s="2" t="s">
        <v>3629</v>
      </c>
      <c r="H788" s="2">
        <v>167003</v>
      </c>
    </row>
    <row r="789" spans="1:8">
      <c r="A789" s="2" t="s">
        <v>2450</v>
      </c>
      <c r="B789" s="2" t="s">
        <v>4449</v>
      </c>
      <c r="C789" s="2" t="s">
        <v>4450</v>
      </c>
      <c r="D789" s="2">
        <v>61901000</v>
      </c>
      <c r="E789" s="2" t="s">
        <v>4406</v>
      </c>
      <c r="F789" s="2" t="s">
        <v>2213</v>
      </c>
      <c r="G789" s="2" t="s">
        <v>3634</v>
      </c>
      <c r="H789" s="2">
        <v>27408</v>
      </c>
    </row>
    <row r="790" spans="1:8">
      <c r="A790" s="2" t="s">
        <v>2520</v>
      </c>
      <c r="B790" s="2" t="s">
        <v>4451</v>
      </c>
      <c r="C790" s="2" t="s">
        <v>4450</v>
      </c>
      <c r="D790" s="2">
        <v>61902000</v>
      </c>
      <c r="E790" s="2" t="s">
        <v>4406</v>
      </c>
      <c r="F790" s="2" t="s">
        <v>2213</v>
      </c>
      <c r="G790" s="2" t="s">
        <v>3634</v>
      </c>
      <c r="H790" s="2">
        <v>32496</v>
      </c>
    </row>
    <row r="791" spans="1:8">
      <c r="A791" s="2" t="s">
        <v>2589</v>
      </c>
      <c r="B791" s="2" t="s">
        <v>4452</v>
      </c>
      <c r="C791" s="2" t="s">
        <v>4450</v>
      </c>
      <c r="D791" s="2">
        <v>61903000</v>
      </c>
      <c r="E791" s="2" t="s">
        <v>4406</v>
      </c>
      <c r="F791" s="2" t="s">
        <v>2213</v>
      </c>
      <c r="G791" s="2" t="s">
        <v>3634</v>
      </c>
      <c r="H791" s="2">
        <v>29466</v>
      </c>
    </row>
    <row r="792" spans="1:8">
      <c r="A792" s="2" t="s">
        <v>2654</v>
      </c>
      <c r="B792" s="2" t="s">
        <v>4453</v>
      </c>
      <c r="C792" s="2" t="s">
        <v>4450</v>
      </c>
      <c r="D792" s="2">
        <v>61904000</v>
      </c>
      <c r="E792" s="2" t="s">
        <v>4406</v>
      </c>
      <c r="F792" s="2" t="s">
        <v>2213</v>
      </c>
      <c r="G792" s="2" t="s">
        <v>3600</v>
      </c>
      <c r="H792" s="2">
        <v>46157</v>
      </c>
    </row>
    <row r="793" spans="1:8">
      <c r="A793" s="2" t="s">
        <v>2719</v>
      </c>
      <c r="B793" s="2" t="s">
        <v>4454</v>
      </c>
      <c r="C793" s="2" t="s">
        <v>4450</v>
      </c>
      <c r="D793" s="2">
        <v>61905000</v>
      </c>
      <c r="E793" s="2" t="s">
        <v>4406</v>
      </c>
      <c r="F793" s="2" t="s">
        <v>2213</v>
      </c>
      <c r="G793" s="2" t="s">
        <v>3634</v>
      </c>
      <c r="H793" s="2">
        <v>29055</v>
      </c>
    </row>
    <row r="794" spans="1:8">
      <c r="A794" s="2" t="s">
        <v>2780</v>
      </c>
      <c r="B794" s="2" t="s">
        <v>4455</v>
      </c>
      <c r="C794" s="2" t="s">
        <v>4450</v>
      </c>
      <c r="D794" s="2">
        <v>61906000</v>
      </c>
      <c r="E794" s="2" t="s">
        <v>4406</v>
      </c>
      <c r="F794" s="2" t="s">
        <v>2213</v>
      </c>
      <c r="G794" s="2" t="s">
        <v>3600</v>
      </c>
      <c r="H794" s="2">
        <v>36677</v>
      </c>
    </row>
    <row r="795" spans="1:8">
      <c r="A795" s="2" t="s">
        <v>2839</v>
      </c>
      <c r="B795" s="2" t="s">
        <v>4456</v>
      </c>
      <c r="C795" s="2" t="s">
        <v>4448</v>
      </c>
      <c r="D795" s="2">
        <v>61907000</v>
      </c>
      <c r="E795" s="2" t="s">
        <v>4406</v>
      </c>
      <c r="F795" s="2" t="s">
        <v>2213</v>
      </c>
      <c r="G795" s="2" t="s">
        <v>3629</v>
      </c>
      <c r="H795" s="2">
        <v>38416</v>
      </c>
    </row>
    <row r="796" spans="1:8">
      <c r="A796" s="2" t="s">
        <v>2895</v>
      </c>
      <c r="B796" s="2" t="s">
        <v>4457</v>
      </c>
      <c r="C796" s="2" t="s">
        <v>4450</v>
      </c>
      <c r="D796" s="2">
        <v>61908000</v>
      </c>
      <c r="E796" s="2" t="s">
        <v>4406</v>
      </c>
      <c r="F796" s="2" t="s">
        <v>2213</v>
      </c>
      <c r="G796" s="2" t="s">
        <v>3629</v>
      </c>
      <c r="H796" s="2">
        <v>39644</v>
      </c>
    </row>
    <row r="797" spans="1:8">
      <c r="A797" s="2" t="s">
        <v>2948</v>
      </c>
      <c r="B797" s="2" t="s">
        <v>4458</v>
      </c>
      <c r="C797" s="2" t="s">
        <v>4448</v>
      </c>
      <c r="D797" s="2">
        <v>61909000</v>
      </c>
      <c r="E797" s="2" t="s">
        <v>4406</v>
      </c>
      <c r="F797" s="2" t="s">
        <v>2213</v>
      </c>
      <c r="G797" s="2" t="s">
        <v>3629</v>
      </c>
      <c r="H797" s="2">
        <v>46114</v>
      </c>
    </row>
    <row r="798" spans="1:8">
      <c r="A798" s="2" t="s">
        <v>2997</v>
      </c>
      <c r="B798" s="2" t="s">
        <v>4459</v>
      </c>
      <c r="C798" s="2" t="s">
        <v>4448</v>
      </c>
      <c r="D798" s="2">
        <v>61910000</v>
      </c>
      <c r="E798" s="2" t="s">
        <v>4406</v>
      </c>
      <c r="F798" s="2" t="s">
        <v>2213</v>
      </c>
      <c r="G798" s="2" t="s">
        <v>3629</v>
      </c>
      <c r="H798" s="2">
        <v>40289</v>
      </c>
    </row>
    <row r="799" spans="1:8">
      <c r="A799" s="2" t="s">
        <v>2980</v>
      </c>
      <c r="B799" s="2" t="s">
        <v>4460</v>
      </c>
      <c r="C799" s="2" t="s">
        <v>4448</v>
      </c>
      <c r="D799" s="2">
        <v>61911000</v>
      </c>
      <c r="E799" s="2" t="s">
        <v>4406</v>
      </c>
      <c r="F799" s="2" t="s">
        <v>2213</v>
      </c>
      <c r="G799" s="2" t="s">
        <v>3629</v>
      </c>
      <c r="H799" s="2">
        <v>45287</v>
      </c>
    </row>
    <row r="800" spans="1:8">
      <c r="A800" s="2" t="s">
        <v>3091</v>
      </c>
      <c r="B800" s="2" t="s">
        <v>4461</v>
      </c>
      <c r="C800" s="2" t="s">
        <v>4448</v>
      </c>
      <c r="D800" s="2">
        <v>61912000</v>
      </c>
      <c r="E800" s="2" t="s">
        <v>4406</v>
      </c>
      <c r="F800" s="2" t="s">
        <v>2213</v>
      </c>
      <c r="G800" s="2" t="s">
        <v>3629</v>
      </c>
      <c r="H800" s="2">
        <v>46428</v>
      </c>
    </row>
    <row r="801" spans="1:8">
      <c r="A801" s="2" t="s">
        <v>3106</v>
      </c>
      <c r="B801" s="2" t="s">
        <v>4462</v>
      </c>
      <c r="C801" s="2" t="s">
        <v>4448</v>
      </c>
      <c r="D801" s="2">
        <v>61913000</v>
      </c>
      <c r="E801" s="2" t="s">
        <v>4406</v>
      </c>
      <c r="F801" s="2" t="s">
        <v>2213</v>
      </c>
      <c r="G801" s="2" t="s">
        <v>3634</v>
      </c>
      <c r="H801" s="2">
        <v>29676</v>
      </c>
    </row>
    <row r="802" spans="1:8">
      <c r="A802" s="2" t="s">
        <v>3170</v>
      </c>
      <c r="B802" s="2" t="s">
        <v>4463</v>
      </c>
      <c r="C802" s="2" t="s">
        <v>4450</v>
      </c>
      <c r="D802" s="2">
        <v>61915000</v>
      </c>
      <c r="E802" s="2" t="s">
        <v>4406</v>
      </c>
      <c r="F802" s="2" t="s">
        <v>2213</v>
      </c>
      <c r="G802" s="2" t="s">
        <v>3634</v>
      </c>
      <c r="H802" s="2">
        <v>25821</v>
      </c>
    </row>
    <row r="803" spans="1:8">
      <c r="A803" s="2" t="s">
        <v>3207</v>
      </c>
      <c r="B803" s="2" t="s">
        <v>4464</v>
      </c>
      <c r="C803" s="2" t="s">
        <v>4450</v>
      </c>
      <c r="D803" s="2">
        <v>61916000</v>
      </c>
      <c r="E803" s="2" t="s">
        <v>4406</v>
      </c>
      <c r="F803" s="2" t="s">
        <v>2213</v>
      </c>
      <c r="G803" s="2" t="s">
        <v>3634</v>
      </c>
      <c r="H803" s="2">
        <v>30134</v>
      </c>
    </row>
    <row r="804" spans="1:8">
      <c r="A804" s="2" t="s">
        <v>3236</v>
      </c>
      <c r="B804" s="2" t="s">
        <v>4465</v>
      </c>
      <c r="C804" s="2" t="s">
        <v>4450</v>
      </c>
      <c r="D804" s="2">
        <v>61917000</v>
      </c>
      <c r="E804" s="2" t="s">
        <v>4406</v>
      </c>
      <c r="F804" s="2" t="s">
        <v>2213</v>
      </c>
      <c r="G804" s="2" t="s">
        <v>3574</v>
      </c>
      <c r="H804" s="2">
        <v>51313</v>
      </c>
    </row>
    <row r="805" spans="2:5">
      <c r="B805" s="2" t="s">
        <v>20</v>
      </c>
      <c r="E805" s="2" t="s">
        <v>4406</v>
      </c>
    </row>
    <row r="806" spans="1:8">
      <c r="A806" s="2" t="s">
        <v>2378</v>
      </c>
      <c r="B806" s="2" t="s">
        <v>4466</v>
      </c>
      <c r="C806" s="2" t="s">
        <v>4467</v>
      </c>
      <c r="D806" s="2">
        <v>67901000</v>
      </c>
      <c r="E806" s="2" t="s">
        <v>4406</v>
      </c>
      <c r="F806" s="2" t="s">
        <v>2227</v>
      </c>
      <c r="G806" s="2" t="s">
        <v>3600</v>
      </c>
      <c r="H806" s="2">
        <v>50437</v>
      </c>
    </row>
    <row r="807" spans="1:8">
      <c r="A807" s="2" t="s">
        <v>2451</v>
      </c>
      <c r="B807" s="2" t="s">
        <v>4468</v>
      </c>
      <c r="C807" s="2" t="s">
        <v>4467</v>
      </c>
      <c r="D807" s="2">
        <v>67902000</v>
      </c>
      <c r="E807" s="2" t="s">
        <v>4406</v>
      </c>
      <c r="F807" s="2" t="s">
        <v>2227</v>
      </c>
      <c r="G807" s="2" t="s">
        <v>3629</v>
      </c>
      <c r="H807" s="2">
        <v>36096</v>
      </c>
    </row>
    <row r="808" spans="1:8">
      <c r="A808" s="2" t="s">
        <v>2521</v>
      </c>
      <c r="B808" s="2" t="s">
        <v>4469</v>
      </c>
      <c r="C808" s="2" t="s">
        <v>4467</v>
      </c>
      <c r="D808" s="2">
        <v>67903000</v>
      </c>
      <c r="E808" s="2" t="s">
        <v>4406</v>
      </c>
      <c r="F808" s="2" t="s">
        <v>2227</v>
      </c>
      <c r="G808" s="2" t="s">
        <v>3629</v>
      </c>
      <c r="H808" s="2">
        <v>39810</v>
      </c>
    </row>
    <row r="809" spans="1:8">
      <c r="A809" s="2" t="s">
        <v>2590</v>
      </c>
      <c r="B809" s="2" t="s">
        <v>4470</v>
      </c>
      <c r="C809" s="2" t="s">
        <v>4467</v>
      </c>
      <c r="D809" s="2">
        <v>67904000</v>
      </c>
      <c r="E809" s="2" t="s">
        <v>4406</v>
      </c>
      <c r="F809" s="2" t="s">
        <v>2227</v>
      </c>
      <c r="G809" s="2" t="s">
        <v>3626</v>
      </c>
      <c r="H809" s="2">
        <v>26112</v>
      </c>
    </row>
    <row r="810" spans="1:8">
      <c r="A810" s="2" t="s">
        <v>2655</v>
      </c>
      <c r="B810" s="2" t="s">
        <v>4471</v>
      </c>
      <c r="C810" s="2" t="s">
        <v>4467</v>
      </c>
      <c r="D810" s="2">
        <v>67905000</v>
      </c>
      <c r="E810" s="2" t="s">
        <v>4406</v>
      </c>
      <c r="F810" s="2" t="s">
        <v>2227</v>
      </c>
      <c r="G810" s="2" t="s">
        <v>3634</v>
      </c>
      <c r="H810" s="2">
        <v>22158</v>
      </c>
    </row>
    <row r="811" spans="2:5">
      <c r="B811" s="2" t="s">
        <v>20</v>
      </c>
      <c r="E811" s="2" t="s">
        <v>4406</v>
      </c>
    </row>
    <row r="812" spans="1:8">
      <c r="A812" s="2" t="s">
        <v>2379</v>
      </c>
      <c r="B812" s="2" t="s">
        <v>4472</v>
      </c>
      <c r="C812" s="2" t="s">
        <v>4473</v>
      </c>
      <c r="D812" s="2">
        <v>63022000</v>
      </c>
      <c r="E812" s="2" t="s">
        <v>4406</v>
      </c>
      <c r="F812" s="2" t="s">
        <v>2240</v>
      </c>
      <c r="G812" s="2" t="s">
        <v>3574</v>
      </c>
      <c r="H812" s="2">
        <v>447992</v>
      </c>
    </row>
    <row r="813" spans="2:5">
      <c r="B813" s="2" t="s">
        <v>20</v>
      </c>
      <c r="E813" s="2" t="s">
        <v>4406</v>
      </c>
    </row>
    <row r="814" spans="1:8">
      <c r="A814" s="2" t="s">
        <v>2452</v>
      </c>
      <c r="B814" s="2" t="s">
        <v>4474</v>
      </c>
      <c r="C814" s="2" t="s">
        <v>4475</v>
      </c>
      <c r="D814" s="2">
        <v>63035000</v>
      </c>
      <c r="E814" s="2" t="s">
        <v>4406</v>
      </c>
      <c r="F814" s="2" t="s">
        <v>2240</v>
      </c>
      <c r="G814" s="2" t="s">
        <v>3634</v>
      </c>
      <c r="H814" s="2">
        <v>80544</v>
      </c>
    </row>
    <row r="815" spans="1:8">
      <c r="A815" s="2" t="s">
        <v>2522</v>
      </c>
      <c r="B815" s="2" t="s">
        <v>4476</v>
      </c>
      <c r="C815" s="2" t="s">
        <v>4477</v>
      </c>
      <c r="D815" s="2">
        <v>63001000</v>
      </c>
      <c r="E815" s="2" t="s">
        <v>4406</v>
      </c>
      <c r="F815" s="2" t="s">
        <v>2240</v>
      </c>
      <c r="G815" s="2" t="s">
        <v>3600</v>
      </c>
      <c r="H815" s="2">
        <v>52268</v>
      </c>
    </row>
    <row r="816" spans="1:8">
      <c r="A816" s="2" t="s">
        <v>2591</v>
      </c>
      <c r="B816" s="2" t="s">
        <v>4478</v>
      </c>
      <c r="C816" s="2" t="s">
        <v>4479</v>
      </c>
      <c r="D816" s="2">
        <v>63002000</v>
      </c>
      <c r="E816" s="2" t="s">
        <v>4406</v>
      </c>
      <c r="F816" s="2" t="s">
        <v>2240</v>
      </c>
      <c r="G816" s="2" t="s">
        <v>3629</v>
      </c>
      <c r="H816" s="2">
        <v>38408</v>
      </c>
    </row>
    <row r="817" spans="1:8">
      <c r="A817" s="2" t="s">
        <v>2656</v>
      </c>
      <c r="B817" s="2" t="s">
        <v>4480</v>
      </c>
      <c r="C817" s="2" t="s">
        <v>4475</v>
      </c>
      <c r="D817" s="2">
        <v>63003000</v>
      </c>
      <c r="E817" s="2" t="s">
        <v>4406</v>
      </c>
      <c r="F817" s="2" t="s">
        <v>2240</v>
      </c>
      <c r="G817" s="2" t="s">
        <v>3634</v>
      </c>
      <c r="H817" s="2">
        <v>28684</v>
      </c>
    </row>
    <row r="818" spans="1:8">
      <c r="A818" s="2" t="s">
        <v>2720</v>
      </c>
      <c r="B818" s="2" t="s">
        <v>4481</v>
      </c>
      <c r="C818" s="2" t="s">
        <v>4482</v>
      </c>
      <c r="D818" s="2">
        <v>63004000</v>
      </c>
      <c r="E818" s="2" t="s">
        <v>4406</v>
      </c>
      <c r="F818" s="2" t="s">
        <v>2240</v>
      </c>
      <c r="G818" s="2" t="s">
        <v>3634</v>
      </c>
      <c r="H818" s="2">
        <v>27005</v>
      </c>
    </row>
    <row r="819" spans="1:8">
      <c r="A819" s="2" t="s">
        <v>2781</v>
      </c>
      <c r="B819" s="2" t="s">
        <v>4483</v>
      </c>
      <c r="C819" s="2" t="s">
        <v>4477</v>
      </c>
      <c r="D819" s="2">
        <v>63005000</v>
      </c>
      <c r="E819" s="2" t="s">
        <v>4406</v>
      </c>
      <c r="F819" s="2" t="s">
        <v>2240</v>
      </c>
      <c r="G819" s="2" t="s">
        <v>3634</v>
      </c>
      <c r="H819" s="2">
        <v>33088</v>
      </c>
    </row>
    <row r="820" spans="1:8">
      <c r="A820" s="2" t="s">
        <v>2840</v>
      </c>
      <c r="B820" s="2" t="s">
        <v>4484</v>
      </c>
      <c r="C820" s="2" t="s">
        <v>4475</v>
      </c>
      <c r="D820" s="2">
        <v>63006000</v>
      </c>
      <c r="E820" s="2" t="s">
        <v>4406</v>
      </c>
      <c r="F820" s="2" t="s">
        <v>2240</v>
      </c>
      <c r="G820" s="2" t="s">
        <v>3634</v>
      </c>
      <c r="H820" s="2">
        <v>32532</v>
      </c>
    </row>
    <row r="821" spans="1:8">
      <c r="A821" s="2" t="s">
        <v>2896</v>
      </c>
      <c r="B821" s="2" t="s">
        <v>4485</v>
      </c>
      <c r="C821" s="2" t="s">
        <v>4475</v>
      </c>
      <c r="D821" s="2">
        <v>63007000</v>
      </c>
      <c r="E821" s="2" t="s">
        <v>4406</v>
      </c>
      <c r="F821" s="2" t="s">
        <v>2240</v>
      </c>
      <c r="G821" s="2" t="s">
        <v>3600</v>
      </c>
      <c r="H821" s="2">
        <v>54146</v>
      </c>
    </row>
    <row r="822" spans="1:8">
      <c r="A822" s="2" t="s">
        <v>2949</v>
      </c>
      <c r="B822" s="2" t="s">
        <v>4486</v>
      </c>
      <c r="C822" s="2" t="s">
        <v>4477</v>
      </c>
      <c r="D822" s="2">
        <v>63008000</v>
      </c>
      <c r="E822" s="2" t="s">
        <v>4406</v>
      </c>
      <c r="F822" s="2" t="s">
        <v>2240</v>
      </c>
      <c r="G822" s="2" t="s">
        <v>3629</v>
      </c>
      <c r="H822" s="2">
        <v>45808</v>
      </c>
    </row>
    <row r="823" spans="1:8">
      <c r="A823" s="2" t="s">
        <v>2998</v>
      </c>
      <c r="B823" s="2" t="s">
        <v>4487</v>
      </c>
      <c r="C823" s="2" t="s">
        <v>4477</v>
      </c>
      <c r="D823" s="2">
        <v>63009000</v>
      </c>
      <c r="E823" s="2" t="s">
        <v>4406</v>
      </c>
      <c r="F823" s="2" t="s">
        <v>2240</v>
      </c>
      <c r="G823" s="2" t="s">
        <v>3626</v>
      </c>
      <c r="H823" s="2">
        <v>21298</v>
      </c>
    </row>
    <row r="824" spans="1:8">
      <c r="A824" s="2" t="s">
        <v>3049</v>
      </c>
      <c r="B824" s="2" t="s">
        <v>4488</v>
      </c>
      <c r="C824" s="2" t="s">
        <v>4482</v>
      </c>
      <c r="D824" s="2">
        <v>63010000</v>
      </c>
      <c r="E824" s="2" t="s">
        <v>4406</v>
      </c>
      <c r="F824" s="2" t="s">
        <v>2240</v>
      </c>
      <c r="G824" s="2" t="s">
        <v>3626</v>
      </c>
      <c r="H824" s="2">
        <v>15199</v>
      </c>
    </row>
    <row r="825" spans="1:8">
      <c r="A825" s="2" t="s">
        <v>670</v>
      </c>
      <c r="B825" s="2" t="s">
        <v>4489</v>
      </c>
      <c r="C825" s="2" t="s">
        <v>4482</v>
      </c>
      <c r="D825" s="2">
        <v>63012000</v>
      </c>
      <c r="E825" s="2" t="s">
        <v>4406</v>
      </c>
      <c r="F825" s="2" t="s">
        <v>2240</v>
      </c>
      <c r="G825" s="2" t="s">
        <v>3600</v>
      </c>
      <c r="H825" s="2">
        <v>58442</v>
      </c>
    </row>
    <row r="826" spans="1:8">
      <c r="A826" s="2" t="s">
        <v>3131</v>
      </c>
      <c r="B826" s="2" t="s">
        <v>4490</v>
      </c>
      <c r="C826" s="2" t="s">
        <v>4482</v>
      </c>
      <c r="D826" s="2">
        <v>63013000</v>
      </c>
      <c r="E826" s="2" t="s">
        <v>4406</v>
      </c>
      <c r="F826" s="2" t="s">
        <v>2240</v>
      </c>
      <c r="G826" s="2" t="s">
        <v>3574</v>
      </c>
      <c r="H826" s="2">
        <v>60413</v>
      </c>
    </row>
    <row r="827" spans="1:8">
      <c r="A827" s="2" t="s">
        <v>3171</v>
      </c>
      <c r="B827" s="2" t="s">
        <v>4491</v>
      </c>
      <c r="C827" s="2" t="s">
        <v>4477</v>
      </c>
      <c r="D827" s="2">
        <v>63014000</v>
      </c>
      <c r="E827" s="2" t="s">
        <v>4406</v>
      </c>
      <c r="F827" s="2" t="s">
        <v>2240</v>
      </c>
      <c r="G827" s="2" t="s">
        <v>3600</v>
      </c>
      <c r="H827" s="2">
        <v>68160</v>
      </c>
    </row>
    <row r="828" spans="1:8">
      <c r="A828" s="2" t="s">
        <v>2647</v>
      </c>
      <c r="B828" s="2" t="s">
        <v>4492</v>
      </c>
      <c r="C828" s="2" t="s">
        <v>4477</v>
      </c>
      <c r="D828" s="2">
        <v>63015000</v>
      </c>
      <c r="E828" s="2" t="s">
        <v>4406</v>
      </c>
      <c r="F828" s="2" t="s">
        <v>2240</v>
      </c>
      <c r="G828" s="2" t="s">
        <v>3629</v>
      </c>
      <c r="H828" s="2">
        <v>43159</v>
      </c>
    </row>
    <row r="829" spans="1:8">
      <c r="A829" s="2" t="s">
        <v>3237</v>
      </c>
      <c r="B829" s="2" t="s">
        <v>4493</v>
      </c>
      <c r="C829" s="2" t="s">
        <v>4475</v>
      </c>
      <c r="D829" s="2">
        <v>63016000</v>
      </c>
      <c r="E829" s="2" t="s">
        <v>4406</v>
      </c>
      <c r="F829" s="2" t="s">
        <v>2240</v>
      </c>
      <c r="G829" s="2" t="s">
        <v>3629</v>
      </c>
      <c r="H829" s="2">
        <v>45335</v>
      </c>
    </row>
    <row r="830" spans="1:8">
      <c r="A830" s="2" t="s">
        <v>3267</v>
      </c>
      <c r="B830" s="2" t="s">
        <v>4494</v>
      </c>
      <c r="C830" s="2" t="s">
        <v>4475</v>
      </c>
      <c r="D830" s="2">
        <v>63017000</v>
      </c>
      <c r="E830" s="2" t="s">
        <v>4406</v>
      </c>
      <c r="F830" s="2" t="s">
        <v>2240</v>
      </c>
      <c r="G830" s="2" t="s">
        <v>3634</v>
      </c>
      <c r="H830" s="2">
        <v>34242</v>
      </c>
    </row>
    <row r="831" spans="1:8">
      <c r="A831" s="2" t="s">
        <v>3291</v>
      </c>
      <c r="B831" s="2" t="s">
        <v>4495</v>
      </c>
      <c r="C831" s="2" t="s">
        <v>4475</v>
      </c>
      <c r="D831" s="2">
        <v>63018000</v>
      </c>
      <c r="E831" s="2" t="s">
        <v>4406</v>
      </c>
      <c r="F831" s="2" t="s">
        <v>2240</v>
      </c>
      <c r="G831" s="2" t="s">
        <v>3574</v>
      </c>
      <c r="H831" s="2">
        <v>69108</v>
      </c>
    </row>
    <row r="832" spans="1:8">
      <c r="A832" s="2" t="s">
        <v>3316</v>
      </c>
      <c r="B832" s="2" t="s">
        <v>4496</v>
      </c>
      <c r="C832" s="2" t="s">
        <v>4477</v>
      </c>
      <c r="D832" s="2">
        <v>63019000</v>
      </c>
      <c r="E832" s="2" t="s">
        <v>4406</v>
      </c>
      <c r="F832" s="2" t="s">
        <v>2240</v>
      </c>
      <c r="G832" s="2" t="s">
        <v>3600</v>
      </c>
      <c r="H832" s="2">
        <v>48546</v>
      </c>
    </row>
    <row r="833" spans="1:8">
      <c r="A833" s="2" t="s">
        <v>3342</v>
      </c>
      <c r="B833" s="2" t="s">
        <v>4497</v>
      </c>
      <c r="C833" s="2" t="s">
        <v>4498</v>
      </c>
      <c r="D833" s="2">
        <v>63020000</v>
      </c>
      <c r="E833" s="2" t="s">
        <v>4406</v>
      </c>
      <c r="F833" s="2" t="s">
        <v>2240</v>
      </c>
      <c r="G833" s="2" t="s">
        <v>3634</v>
      </c>
      <c r="H833" s="2">
        <v>33820</v>
      </c>
    </row>
    <row r="834" spans="1:8">
      <c r="A834" s="2" t="s">
        <v>3364</v>
      </c>
      <c r="B834" s="2" t="s">
        <v>4499</v>
      </c>
      <c r="C834" s="2" t="s">
        <v>4498</v>
      </c>
      <c r="D834" s="2">
        <v>63021000</v>
      </c>
      <c r="E834" s="2" t="s">
        <v>4406</v>
      </c>
      <c r="F834" s="2" t="s">
        <v>2240</v>
      </c>
      <c r="G834" s="2" t="s">
        <v>3629</v>
      </c>
      <c r="H834" s="2">
        <v>32004</v>
      </c>
    </row>
    <row r="835" spans="1:8">
      <c r="A835" s="2" t="s">
        <v>3386</v>
      </c>
      <c r="B835" s="2" t="s">
        <v>4500</v>
      </c>
      <c r="C835" s="2" t="s">
        <v>4482</v>
      </c>
      <c r="D835" s="2">
        <v>63023000</v>
      </c>
      <c r="E835" s="2" t="s">
        <v>4406</v>
      </c>
      <c r="F835" s="2" t="s">
        <v>2240</v>
      </c>
      <c r="G835" s="2" t="s">
        <v>3574</v>
      </c>
      <c r="H835" s="2">
        <v>63905</v>
      </c>
    </row>
    <row r="836" spans="1:8">
      <c r="A836" s="2" t="s">
        <v>3404</v>
      </c>
      <c r="B836" s="2" t="s">
        <v>4501</v>
      </c>
      <c r="C836" s="2" t="s">
        <v>4482</v>
      </c>
      <c r="D836" s="2">
        <v>63025000</v>
      </c>
      <c r="E836" s="2" t="s">
        <v>4406</v>
      </c>
      <c r="F836" s="2" t="s">
        <v>2240</v>
      </c>
      <c r="G836" s="2" t="s">
        <v>3574</v>
      </c>
      <c r="H836" s="2">
        <v>73640</v>
      </c>
    </row>
    <row r="837" spans="1:8">
      <c r="A837" s="2" t="s">
        <v>3417</v>
      </c>
      <c r="B837" s="2" t="s">
        <v>4502</v>
      </c>
      <c r="C837" s="2" t="s">
        <v>4479</v>
      </c>
      <c r="D837" s="2">
        <v>63026000</v>
      </c>
      <c r="E837" s="2" t="s">
        <v>4406</v>
      </c>
      <c r="F837" s="2" t="s">
        <v>2240</v>
      </c>
      <c r="G837" s="2" t="s">
        <v>3634</v>
      </c>
      <c r="H837" s="2">
        <v>32480</v>
      </c>
    </row>
    <row r="838" spans="1:8">
      <c r="A838" s="2" t="s">
        <v>3119</v>
      </c>
      <c r="B838" s="2" t="s">
        <v>4503</v>
      </c>
      <c r="C838" s="2" t="s">
        <v>4477</v>
      </c>
      <c r="D838" s="2">
        <v>63027000</v>
      </c>
      <c r="E838" s="2" t="s">
        <v>4406</v>
      </c>
      <c r="F838" s="2" t="s">
        <v>2240</v>
      </c>
      <c r="G838" s="2" t="s">
        <v>3634</v>
      </c>
      <c r="H838" s="2">
        <v>30851</v>
      </c>
    </row>
    <row r="839" spans="1:8">
      <c r="A839" s="2" t="s">
        <v>3444</v>
      </c>
      <c r="B839" s="2" t="s">
        <v>4504</v>
      </c>
      <c r="C839" s="2" t="s">
        <v>4479</v>
      </c>
      <c r="D839" s="2">
        <v>63028000</v>
      </c>
      <c r="E839" s="2" t="s">
        <v>4406</v>
      </c>
      <c r="F839" s="2" t="s">
        <v>2240</v>
      </c>
      <c r="G839" s="2" t="s">
        <v>3600</v>
      </c>
      <c r="H839" s="2">
        <v>49875</v>
      </c>
    </row>
    <row r="840" spans="1:8">
      <c r="A840" s="2" t="s">
        <v>3453</v>
      </c>
      <c r="B840" s="2" t="s">
        <v>4505</v>
      </c>
      <c r="C840" s="2" t="s">
        <v>4482</v>
      </c>
      <c r="D840" s="2">
        <v>63029000</v>
      </c>
      <c r="E840" s="2" t="s">
        <v>4406</v>
      </c>
      <c r="F840" s="2" t="s">
        <v>2240</v>
      </c>
      <c r="G840" s="2" t="s">
        <v>3629</v>
      </c>
      <c r="H840" s="2">
        <v>36922</v>
      </c>
    </row>
    <row r="841" spans="1:8">
      <c r="A841" s="2" t="s">
        <v>3462</v>
      </c>
      <c r="B841" s="2" t="s">
        <v>4506</v>
      </c>
      <c r="C841" s="2" t="s">
        <v>4498</v>
      </c>
      <c r="D841" s="2">
        <v>63030000</v>
      </c>
      <c r="E841" s="2" t="s">
        <v>4406</v>
      </c>
      <c r="F841" s="2" t="s">
        <v>2240</v>
      </c>
      <c r="G841" s="2" t="s">
        <v>3574</v>
      </c>
      <c r="H841" s="2">
        <v>67565</v>
      </c>
    </row>
    <row r="842" spans="1:8">
      <c r="A842" s="2" t="s">
        <v>3474</v>
      </c>
      <c r="B842" s="2" t="s">
        <v>4507</v>
      </c>
      <c r="C842" s="2" t="s">
        <v>4482</v>
      </c>
      <c r="D842" s="2">
        <v>63031000</v>
      </c>
      <c r="E842" s="2" t="s">
        <v>4406</v>
      </c>
      <c r="F842" s="2" t="s">
        <v>2240</v>
      </c>
      <c r="G842" s="2" t="s">
        <v>3626</v>
      </c>
      <c r="H842" s="2">
        <v>23546</v>
      </c>
    </row>
    <row r="843" spans="1:8">
      <c r="A843" s="2" t="s">
        <v>3483</v>
      </c>
      <c r="B843" s="2" t="s">
        <v>4508</v>
      </c>
      <c r="C843" s="2" t="s">
        <v>4479</v>
      </c>
      <c r="D843" s="2">
        <v>63032000</v>
      </c>
      <c r="E843" s="2" t="s">
        <v>4406</v>
      </c>
      <c r="F843" s="2" t="s">
        <v>2240</v>
      </c>
      <c r="G843" s="2" t="s">
        <v>3634</v>
      </c>
      <c r="H843" s="2">
        <v>23240</v>
      </c>
    </row>
    <row r="844" spans="1:8">
      <c r="A844" s="2" t="s">
        <v>3492</v>
      </c>
      <c r="B844" s="2" t="s">
        <v>4509</v>
      </c>
      <c r="C844" s="2" t="s">
        <v>4498</v>
      </c>
      <c r="D844" s="2">
        <v>63034000</v>
      </c>
      <c r="E844" s="2" t="s">
        <v>4406</v>
      </c>
      <c r="F844" s="2" t="s">
        <v>2240</v>
      </c>
      <c r="G844" s="2" t="s">
        <v>3574</v>
      </c>
      <c r="H844" s="2">
        <v>89115</v>
      </c>
    </row>
    <row r="845" spans="1:8">
      <c r="A845" s="2" t="s">
        <v>3500</v>
      </c>
      <c r="B845" s="2" t="s">
        <v>4510</v>
      </c>
      <c r="C845" s="2" t="s">
        <v>4479</v>
      </c>
      <c r="D845" s="2">
        <v>63036000</v>
      </c>
      <c r="E845" s="2" t="s">
        <v>4406</v>
      </c>
      <c r="F845" s="2" t="s">
        <v>2240</v>
      </c>
      <c r="G845" s="2" t="s">
        <v>3600</v>
      </c>
      <c r="H845" s="2">
        <v>55603</v>
      </c>
    </row>
    <row r="846" spans="1:8">
      <c r="A846" s="2" t="s">
        <v>3508</v>
      </c>
      <c r="B846" s="2" t="s">
        <v>4511</v>
      </c>
      <c r="C846" s="2" t="s">
        <v>4482</v>
      </c>
      <c r="D846" s="2">
        <v>63037000</v>
      </c>
      <c r="E846" s="2" t="s">
        <v>4406</v>
      </c>
      <c r="F846" s="2" t="s">
        <v>2240</v>
      </c>
      <c r="G846" s="2" t="s">
        <v>3574</v>
      </c>
      <c r="H846" s="2">
        <v>75070</v>
      </c>
    </row>
    <row r="847" spans="1:8">
      <c r="A847" s="2" t="s">
        <v>3513</v>
      </c>
      <c r="B847" s="2" t="s">
        <v>4512</v>
      </c>
      <c r="C847" s="2" t="s">
        <v>4477</v>
      </c>
      <c r="D847" s="2">
        <v>63038000</v>
      </c>
      <c r="E847" s="2" t="s">
        <v>4406</v>
      </c>
      <c r="F847" s="2" t="s">
        <v>2240</v>
      </c>
      <c r="G847" s="2" t="s">
        <v>3634</v>
      </c>
      <c r="H847" s="2">
        <v>38775</v>
      </c>
    </row>
    <row r="848" spans="1:8">
      <c r="A848" s="2" t="s">
        <v>3463</v>
      </c>
      <c r="B848" s="2" t="s">
        <v>4513</v>
      </c>
      <c r="C848" s="2" t="s">
        <v>4475</v>
      </c>
      <c r="D848" s="2">
        <v>63039000</v>
      </c>
      <c r="E848" s="2" t="s">
        <v>4406</v>
      </c>
      <c r="F848" s="2" t="s">
        <v>2240</v>
      </c>
      <c r="G848" s="2" t="s">
        <v>3629</v>
      </c>
      <c r="H848" s="2">
        <v>33911</v>
      </c>
    </row>
    <row r="849" spans="1:8">
      <c r="A849" s="2" t="s">
        <v>3520</v>
      </c>
      <c r="B849" s="2" t="s">
        <v>4514</v>
      </c>
      <c r="C849" s="2" t="s">
        <v>4498</v>
      </c>
      <c r="D849" s="2">
        <v>63040000</v>
      </c>
      <c r="E849" s="2" t="s">
        <v>4406</v>
      </c>
      <c r="F849" s="2" t="s">
        <v>2240</v>
      </c>
      <c r="G849" s="2" t="s">
        <v>3600</v>
      </c>
      <c r="H849" s="2">
        <v>51892</v>
      </c>
    </row>
    <row r="850" spans="1:8">
      <c r="A850" s="2" t="s">
        <v>2890</v>
      </c>
      <c r="B850" s="2" t="s">
        <v>4515</v>
      </c>
      <c r="C850" s="2" t="s">
        <v>4479</v>
      </c>
      <c r="D850" s="2">
        <v>63041000</v>
      </c>
      <c r="E850" s="2" t="s">
        <v>4406</v>
      </c>
      <c r="F850" s="2" t="s">
        <v>2240</v>
      </c>
      <c r="G850" s="2" t="s">
        <v>3634</v>
      </c>
      <c r="H850" s="2">
        <v>27686</v>
      </c>
    </row>
    <row r="851" spans="1:8">
      <c r="A851" s="2" t="s">
        <v>3334</v>
      </c>
      <c r="B851" s="2" t="s">
        <v>4516</v>
      </c>
      <c r="C851" s="2" t="s">
        <v>4477</v>
      </c>
      <c r="D851" s="2">
        <v>63042000</v>
      </c>
      <c r="E851" s="2" t="s">
        <v>4406</v>
      </c>
      <c r="F851" s="2" t="s">
        <v>2240</v>
      </c>
      <c r="G851" s="2" t="s">
        <v>3626</v>
      </c>
      <c r="H851" s="2">
        <v>16532</v>
      </c>
    </row>
    <row r="852" spans="1:8">
      <c r="A852" s="2" t="s">
        <v>3525</v>
      </c>
      <c r="B852" s="2" t="s">
        <v>4517</v>
      </c>
      <c r="C852" s="2" t="s">
        <v>4479</v>
      </c>
      <c r="D852" s="2">
        <v>63043000</v>
      </c>
      <c r="E852" s="2" t="s">
        <v>4406</v>
      </c>
      <c r="F852" s="2" t="s">
        <v>2240</v>
      </c>
      <c r="G852" s="2" t="s">
        <v>3600</v>
      </c>
      <c r="H852" s="2">
        <v>60215</v>
      </c>
    </row>
    <row r="853" spans="1:8">
      <c r="A853" s="2" t="s">
        <v>3534</v>
      </c>
      <c r="B853" s="2" t="s">
        <v>4518</v>
      </c>
      <c r="C853" s="2" t="s">
        <v>4477</v>
      </c>
      <c r="D853" s="2">
        <v>63044000</v>
      </c>
      <c r="E853" s="2" t="s">
        <v>4406</v>
      </c>
      <c r="F853" s="2" t="s">
        <v>2240</v>
      </c>
      <c r="G853" s="2" t="s">
        <v>3600</v>
      </c>
      <c r="H853" s="2">
        <v>52631</v>
      </c>
    </row>
    <row r="854" spans="1:8">
      <c r="A854" s="2" t="s">
        <v>3538</v>
      </c>
      <c r="B854" s="2" t="s">
        <v>4519</v>
      </c>
      <c r="C854" s="2" t="s">
        <v>4498</v>
      </c>
      <c r="D854" s="2">
        <v>63045000</v>
      </c>
      <c r="E854" s="2" t="s">
        <v>4406</v>
      </c>
      <c r="F854" s="2" t="s">
        <v>2240</v>
      </c>
      <c r="G854" s="2" t="s">
        <v>3600</v>
      </c>
      <c r="H854" s="2">
        <v>62706</v>
      </c>
    </row>
    <row r="855" spans="1:8">
      <c r="A855" s="2" t="s">
        <v>3543</v>
      </c>
      <c r="B855" s="2" t="s">
        <v>4520</v>
      </c>
      <c r="C855" s="2" t="s">
        <v>4498</v>
      </c>
      <c r="D855" s="2">
        <v>63046000</v>
      </c>
      <c r="E855" s="2" t="s">
        <v>4406</v>
      </c>
      <c r="F855" s="2" t="s">
        <v>2240</v>
      </c>
      <c r="G855" s="2" t="s">
        <v>3634</v>
      </c>
      <c r="H855" s="2">
        <v>22449</v>
      </c>
    </row>
    <row r="856" spans="1:8">
      <c r="A856" s="2" t="s">
        <v>3547</v>
      </c>
      <c r="B856" s="2" t="s">
        <v>4521</v>
      </c>
      <c r="C856" s="2" t="s">
        <v>4479</v>
      </c>
      <c r="D856" s="2">
        <v>63047000</v>
      </c>
      <c r="E856" s="2" t="s">
        <v>4406</v>
      </c>
      <c r="F856" s="2" t="s">
        <v>2240</v>
      </c>
      <c r="G856" s="2" t="s">
        <v>3634</v>
      </c>
      <c r="H856" s="2">
        <v>25605</v>
      </c>
    </row>
    <row r="857" spans="2:5">
      <c r="B857" s="2" t="s">
        <v>20</v>
      </c>
      <c r="E857" s="2" t="s">
        <v>4406</v>
      </c>
    </row>
    <row r="858" spans="1:8">
      <c r="A858" s="2" t="s">
        <v>2453</v>
      </c>
      <c r="B858" s="2" t="s">
        <v>4522</v>
      </c>
      <c r="C858" s="2" t="s">
        <v>4523</v>
      </c>
      <c r="D858" s="2">
        <v>64502000</v>
      </c>
      <c r="E858" s="2" t="s">
        <v>4406</v>
      </c>
      <c r="F858" s="2" t="s">
        <v>2248</v>
      </c>
      <c r="G858" s="2" t="s">
        <v>3600</v>
      </c>
      <c r="H858" s="2">
        <v>170981</v>
      </c>
    </row>
    <row r="859" spans="1:8">
      <c r="A859" s="2" t="s">
        <v>2523</v>
      </c>
      <c r="B859" s="2" t="s">
        <v>4524</v>
      </c>
      <c r="C859" s="2" t="s">
        <v>4525</v>
      </c>
      <c r="D859" s="2">
        <v>64504000</v>
      </c>
      <c r="E859" s="2" t="s">
        <v>4406</v>
      </c>
      <c r="F859" s="2" t="s">
        <v>2248</v>
      </c>
      <c r="G859" s="2" t="s">
        <v>3600</v>
      </c>
      <c r="H859" s="2">
        <v>154723</v>
      </c>
    </row>
    <row r="860" spans="1:8">
      <c r="A860" s="2" t="s">
        <v>2592</v>
      </c>
      <c r="B860" s="2" t="s">
        <v>4526</v>
      </c>
      <c r="C860" s="2" t="s">
        <v>4527</v>
      </c>
      <c r="D860" s="2">
        <v>64509000</v>
      </c>
      <c r="E860" s="2" t="s">
        <v>4406</v>
      </c>
      <c r="F860" s="2" t="s">
        <v>2248</v>
      </c>
      <c r="G860" s="2" t="s">
        <v>3634</v>
      </c>
      <c r="H860" s="2">
        <v>94070</v>
      </c>
    </row>
    <row r="861" spans="1:8">
      <c r="A861" s="2" t="s">
        <v>2657</v>
      </c>
      <c r="B861" s="2" t="s">
        <v>4528</v>
      </c>
      <c r="C861" s="2" t="s">
        <v>4529</v>
      </c>
      <c r="D861" s="2">
        <v>64510000</v>
      </c>
      <c r="E861" s="2" t="s">
        <v>4406</v>
      </c>
      <c r="F861" s="2" t="s">
        <v>2248</v>
      </c>
      <c r="G861" s="2" t="s">
        <v>3629</v>
      </c>
      <c r="H861" s="2">
        <v>106880</v>
      </c>
    </row>
    <row r="862" spans="1:8">
      <c r="A862" s="2" t="s">
        <v>2721</v>
      </c>
      <c r="B862" s="2" t="s">
        <v>4530</v>
      </c>
      <c r="C862" s="2" t="s">
        <v>4531</v>
      </c>
      <c r="D862" s="2">
        <v>64515000</v>
      </c>
      <c r="E862" s="2" t="s">
        <v>4406</v>
      </c>
      <c r="F862" s="2" t="s">
        <v>2248</v>
      </c>
      <c r="G862" s="2" t="s">
        <v>3574</v>
      </c>
      <c r="H862" s="2">
        <v>181977</v>
      </c>
    </row>
    <row r="863" spans="1:8">
      <c r="A863" s="2" t="s">
        <v>2782</v>
      </c>
      <c r="B863" s="2" t="s">
        <v>4532</v>
      </c>
      <c r="C863" s="2" t="s">
        <v>4523</v>
      </c>
      <c r="D863" s="2">
        <v>64516000</v>
      </c>
      <c r="E863" s="2" t="s">
        <v>4406</v>
      </c>
      <c r="F863" s="2" t="s">
        <v>2248</v>
      </c>
      <c r="G863" s="2" t="s">
        <v>3634</v>
      </c>
      <c r="H863" s="2">
        <v>64469</v>
      </c>
    </row>
    <row r="864" spans="1:8">
      <c r="A864" s="2" t="s">
        <v>2841</v>
      </c>
      <c r="B864" s="2" t="s">
        <v>4533</v>
      </c>
      <c r="C864" s="2" t="s">
        <v>4525</v>
      </c>
      <c r="D864" s="2">
        <v>64523000</v>
      </c>
      <c r="E864" s="2" t="s">
        <v>4406</v>
      </c>
      <c r="F864" s="2" t="s">
        <v>2248</v>
      </c>
      <c r="G864" s="2" t="s">
        <v>3629</v>
      </c>
      <c r="H864" s="2">
        <v>146264</v>
      </c>
    </row>
    <row r="865" spans="1:8">
      <c r="A865" s="2" t="s">
        <v>2493</v>
      </c>
      <c r="B865" s="2" t="s">
        <v>4534</v>
      </c>
      <c r="C865" s="2" t="s">
        <v>4527</v>
      </c>
      <c r="D865" s="2">
        <v>64524000</v>
      </c>
      <c r="E865" s="2" t="s">
        <v>4406</v>
      </c>
      <c r="F865" s="2" t="s">
        <v>2248</v>
      </c>
      <c r="G865" s="2" t="s">
        <v>3600</v>
      </c>
      <c r="H865" s="2">
        <v>132536</v>
      </c>
    </row>
    <row r="866" spans="1:8">
      <c r="A866" s="2" t="s">
        <v>2950</v>
      </c>
      <c r="B866" s="2" t="s">
        <v>4535</v>
      </c>
      <c r="C866" s="2" t="s">
        <v>4536</v>
      </c>
      <c r="D866" s="2">
        <v>64526000</v>
      </c>
      <c r="E866" s="2" t="s">
        <v>4406</v>
      </c>
      <c r="F866" s="2" t="s">
        <v>2248</v>
      </c>
      <c r="G866" s="2" t="s">
        <v>3629</v>
      </c>
      <c r="H866" s="2">
        <v>126930</v>
      </c>
    </row>
    <row r="867" spans="1:8">
      <c r="A867" s="2" t="s">
        <v>2999</v>
      </c>
      <c r="B867" s="2" t="s">
        <v>4537</v>
      </c>
      <c r="C867" s="2" t="s">
        <v>4531</v>
      </c>
      <c r="D867" s="2">
        <v>64527000</v>
      </c>
      <c r="E867" s="2" t="s">
        <v>4406</v>
      </c>
      <c r="F867" s="2" t="s">
        <v>2248</v>
      </c>
      <c r="G867" s="2" t="s">
        <v>3634</v>
      </c>
      <c r="H867" s="2">
        <v>70070</v>
      </c>
    </row>
    <row r="868" spans="1:8">
      <c r="A868" s="2" t="s">
        <v>2842</v>
      </c>
      <c r="B868" s="2" t="s">
        <v>4538</v>
      </c>
      <c r="C868" s="2" t="s">
        <v>4536</v>
      </c>
      <c r="D868" s="2">
        <v>64528000</v>
      </c>
      <c r="E868" s="2" t="s">
        <v>4406</v>
      </c>
      <c r="F868" s="2" t="s">
        <v>2248</v>
      </c>
      <c r="G868" s="2" t="s">
        <v>3634</v>
      </c>
      <c r="H868" s="2">
        <v>102214</v>
      </c>
    </row>
    <row r="869" spans="1:8">
      <c r="A869" s="2" t="s">
        <v>3092</v>
      </c>
      <c r="B869" s="2" t="s">
        <v>4539</v>
      </c>
      <c r="C869" s="2" t="s">
        <v>4536</v>
      </c>
      <c r="D869" s="2">
        <v>64531000</v>
      </c>
      <c r="E869" s="2" t="s">
        <v>4406</v>
      </c>
      <c r="F869" s="2" t="s">
        <v>2248</v>
      </c>
      <c r="G869" s="2" t="s">
        <v>3634</v>
      </c>
      <c r="H869" s="2">
        <v>87933</v>
      </c>
    </row>
    <row r="870" spans="1:8">
      <c r="A870" s="2" t="s">
        <v>3132</v>
      </c>
      <c r="B870" s="2" t="s">
        <v>4540</v>
      </c>
      <c r="C870" s="2" t="s">
        <v>4529</v>
      </c>
      <c r="D870" s="2">
        <v>64503000</v>
      </c>
      <c r="E870" s="2" t="s">
        <v>4406</v>
      </c>
      <c r="F870" s="2" t="s">
        <v>2248</v>
      </c>
      <c r="G870" s="2" t="s">
        <v>3574</v>
      </c>
      <c r="H870" s="2">
        <v>67270</v>
      </c>
    </row>
    <row r="871" spans="1:8">
      <c r="A871" s="2" t="s">
        <v>2580</v>
      </c>
      <c r="B871" s="2" t="s">
        <v>4541</v>
      </c>
      <c r="C871" s="2" t="s">
        <v>4527</v>
      </c>
      <c r="D871" s="2">
        <v>64505000</v>
      </c>
      <c r="E871" s="2" t="s">
        <v>4406</v>
      </c>
      <c r="F871" s="2" t="s">
        <v>2248</v>
      </c>
      <c r="G871" s="2" t="s">
        <v>3574</v>
      </c>
      <c r="H871" s="2">
        <v>80624</v>
      </c>
    </row>
    <row r="872" spans="1:8">
      <c r="A872" s="2" t="s">
        <v>3208</v>
      </c>
      <c r="B872" s="2" t="s">
        <v>4542</v>
      </c>
      <c r="C872" s="2" t="s">
        <v>4531</v>
      </c>
      <c r="D872" s="2">
        <v>64506000</v>
      </c>
      <c r="E872" s="2" t="s">
        <v>4406</v>
      </c>
      <c r="F872" s="2" t="s">
        <v>2248</v>
      </c>
      <c r="G872" s="2" t="s">
        <v>3634</v>
      </c>
      <c r="H872" s="2">
        <v>21789</v>
      </c>
    </row>
    <row r="873" spans="1:8">
      <c r="A873" s="2" t="s">
        <v>3238</v>
      </c>
      <c r="B873" s="2" t="s">
        <v>4543</v>
      </c>
      <c r="C873" s="2" t="s">
        <v>4531</v>
      </c>
      <c r="D873" s="2">
        <v>64507000</v>
      </c>
      <c r="E873" s="2" t="s">
        <v>4406</v>
      </c>
      <c r="F873" s="2" t="s">
        <v>2248</v>
      </c>
      <c r="G873" s="2" t="s">
        <v>3574</v>
      </c>
      <c r="H873" s="2">
        <v>102165</v>
      </c>
    </row>
    <row r="874" spans="1:8">
      <c r="A874" s="2" t="s">
        <v>3268</v>
      </c>
      <c r="B874" s="2" t="s">
        <v>4544</v>
      </c>
      <c r="C874" s="2" t="s">
        <v>4536</v>
      </c>
      <c r="D874" s="2">
        <v>64508000</v>
      </c>
      <c r="E874" s="2" t="s">
        <v>4406</v>
      </c>
      <c r="F874" s="2" t="s">
        <v>2248</v>
      </c>
      <c r="G874" s="2" t="s">
        <v>3600</v>
      </c>
      <c r="H874" s="2">
        <v>62921</v>
      </c>
    </row>
    <row r="875" spans="1:8">
      <c r="A875" s="2" t="s">
        <v>3292</v>
      </c>
      <c r="B875" s="2" t="s">
        <v>4545</v>
      </c>
      <c r="C875" s="2" t="s">
        <v>4529</v>
      </c>
      <c r="D875" s="2">
        <v>64511000</v>
      </c>
      <c r="E875" s="2" t="s">
        <v>4406</v>
      </c>
      <c r="F875" s="2" t="s">
        <v>2248</v>
      </c>
      <c r="G875" s="2" t="s">
        <v>3574</v>
      </c>
      <c r="H875" s="2">
        <v>85602</v>
      </c>
    </row>
    <row r="876" spans="1:8">
      <c r="A876" s="2" t="s">
        <v>3317</v>
      </c>
      <c r="B876" s="2" t="s">
        <v>4546</v>
      </c>
      <c r="C876" s="2" t="s">
        <v>4531</v>
      </c>
      <c r="D876" s="2">
        <v>64512000</v>
      </c>
      <c r="E876" s="2" t="s">
        <v>4406</v>
      </c>
      <c r="F876" s="2" t="s">
        <v>2248</v>
      </c>
      <c r="G876" s="2" t="s">
        <v>3574</v>
      </c>
      <c r="H876" s="2">
        <v>56819</v>
      </c>
    </row>
    <row r="877" spans="1:8">
      <c r="A877" s="2" t="s">
        <v>3343</v>
      </c>
      <c r="B877" s="2" t="s">
        <v>4547</v>
      </c>
      <c r="C877" s="2" t="s">
        <v>4531</v>
      </c>
      <c r="D877" s="2">
        <v>64513000</v>
      </c>
      <c r="E877" s="2" t="s">
        <v>4406</v>
      </c>
      <c r="F877" s="2" t="s">
        <v>2248</v>
      </c>
      <c r="G877" s="2" t="s">
        <v>3600</v>
      </c>
      <c r="H877" s="2">
        <v>57389</v>
      </c>
    </row>
    <row r="878" spans="1:8">
      <c r="A878" s="2" t="s">
        <v>2274</v>
      </c>
      <c r="B878" s="2" t="s">
        <v>4548</v>
      </c>
      <c r="C878" s="2" t="s">
        <v>4529</v>
      </c>
      <c r="D878" s="2">
        <v>64514000</v>
      </c>
      <c r="E878" s="2" t="s">
        <v>4406</v>
      </c>
      <c r="F878" s="2" t="s">
        <v>2248</v>
      </c>
      <c r="G878" s="2" t="s">
        <v>3600</v>
      </c>
      <c r="H878" s="2">
        <v>62146</v>
      </c>
    </row>
    <row r="879" spans="1:8">
      <c r="A879" s="2" t="s">
        <v>3387</v>
      </c>
      <c r="B879" s="2" t="s">
        <v>4549</v>
      </c>
      <c r="C879" s="2" t="s">
        <v>4529</v>
      </c>
      <c r="D879" s="2">
        <v>64517000</v>
      </c>
      <c r="E879" s="2" t="s">
        <v>4406</v>
      </c>
      <c r="F879" s="2" t="s">
        <v>2248</v>
      </c>
      <c r="G879" s="2" t="s">
        <v>3574</v>
      </c>
      <c r="H879" s="2">
        <v>74855</v>
      </c>
    </row>
    <row r="880" spans="1:8">
      <c r="A880" s="2" t="s">
        <v>3405</v>
      </c>
      <c r="B880" s="2" t="s">
        <v>4550</v>
      </c>
      <c r="C880" s="2" t="s">
        <v>4525</v>
      </c>
      <c r="D880" s="2">
        <v>64518000</v>
      </c>
      <c r="E880" s="2" t="s">
        <v>4406</v>
      </c>
      <c r="F880" s="2" t="s">
        <v>2248</v>
      </c>
      <c r="G880" s="2" t="s">
        <v>3600</v>
      </c>
      <c r="H880" s="2">
        <v>54845</v>
      </c>
    </row>
    <row r="881" spans="1:8">
      <c r="A881" s="2" t="s">
        <v>3418</v>
      </c>
      <c r="B881" s="2" t="s">
        <v>4551</v>
      </c>
      <c r="C881" s="2" t="s">
        <v>4529</v>
      </c>
      <c r="D881" s="2">
        <v>64519000</v>
      </c>
      <c r="E881" s="2" t="s">
        <v>4406</v>
      </c>
      <c r="F881" s="2" t="s">
        <v>2248</v>
      </c>
      <c r="G881" s="2" t="s">
        <v>3629</v>
      </c>
      <c r="H881" s="2">
        <v>41386</v>
      </c>
    </row>
    <row r="882" spans="1:8">
      <c r="A882" s="2" t="s">
        <v>3430</v>
      </c>
      <c r="B882" s="2" t="s">
        <v>4552</v>
      </c>
      <c r="C882" s="2" t="s">
        <v>4536</v>
      </c>
      <c r="D882" s="2">
        <v>64520000</v>
      </c>
      <c r="E882" s="2" t="s">
        <v>4406</v>
      </c>
      <c r="F882" s="2" t="s">
        <v>2248</v>
      </c>
      <c r="G882" s="2" t="s">
        <v>3574</v>
      </c>
      <c r="H882" s="2">
        <v>81286</v>
      </c>
    </row>
    <row r="883" spans="1:8">
      <c r="A883" s="2" t="s">
        <v>3091</v>
      </c>
      <c r="B883" s="2" t="s">
        <v>4553</v>
      </c>
      <c r="C883" s="2" t="s">
        <v>4523</v>
      </c>
      <c r="D883" s="2">
        <v>64521000</v>
      </c>
      <c r="E883" s="2" t="s">
        <v>4406</v>
      </c>
      <c r="F883" s="2" t="s">
        <v>2248</v>
      </c>
      <c r="G883" s="2" t="s">
        <v>3629</v>
      </c>
      <c r="H883" s="2">
        <v>51866</v>
      </c>
    </row>
    <row r="884" spans="1:8">
      <c r="A884" s="2" t="s">
        <v>3454</v>
      </c>
      <c r="B884" s="2" t="s">
        <v>4554</v>
      </c>
      <c r="C884" s="2" t="s">
        <v>4523</v>
      </c>
      <c r="D884" s="2">
        <v>64522000</v>
      </c>
      <c r="E884" s="2" t="s">
        <v>4406</v>
      </c>
      <c r="F884" s="2" t="s">
        <v>2248</v>
      </c>
      <c r="G884" s="2" t="s">
        <v>3629</v>
      </c>
      <c r="H884" s="2">
        <v>27735</v>
      </c>
    </row>
    <row r="885" spans="1:8">
      <c r="A885" s="2" t="s">
        <v>3463</v>
      </c>
      <c r="B885" s="2" t="s">
        <v>4555</v>
      </c>
      <c r="C885" s="2" t="s">
        <v>4523</v>
      </c>
      <c r="D885" s="2">
        <v>64525000</v>
      </c>
      <c r="E885" s="2" t="s">
        <v>4406</v>
      </c>
      <c r="F885" s="2" t="s">
        <v>2248</v>
      </c>
      <c r="G885" s="2" t="s">
        <v>3634</v>
      </c>
      <c r="H885" s="2">
        <v>23907</v>
      </c>
    </row>
    <row r="886" spans="1:8">
      <c r="A886" s="2" t="s">
        <v>3475</v>
      </c>
      <c r="B886" s="2" t="s">
        <v>4556</v>
      </c>
      <c r="C886" s="2" t="s">
        <v>4527</v>
      </c>
      <c r="D886" s="2">
        <v>64529000</v>
      </c>
      <c r="E886" s="2" t="s">
        <v>4406</v>
      </c>
      <c r="F886" s="2" t="s">
        <v>2248</v>
      </c>
      <c r="G886" s="2" t="s">
        <v>3629</v>
      </c>
      <c r="H886" s="2">
        <v>42114</v>
      </c>
    </row>
    <row r="887" spans="1:8">
      <c r="A887" s="2" t="s">
        <v>3484</v>
      </c>
      <c r="B887" s="2" t="s">
        <v>4557</v>
      </c>
      <c r="C887" s="2" t="s">
        <v>4523</v>
      </c>
      <c r="D887" s="2">
        <v>64530000</v>
      </c>
      <c r="E887" s="2" t="s">
        <v>4406</v>
      </c>
      <c r="F887" s="2" t="s">
        <v>2248</v>
      </c>
      <c r="G887" s="2" t="s">
        <v>3634</v>
      </c>
      <c r="H887" s="2">
        <v>37833</v>
      </c>
    </row>
    <row r="888" spans="1:8">
      <c r="A888" s="2" t="s">
        <v>3493</v>
      </c>
      <c r="B888" s="2" t="s">
        <v>4558</v>
      </c>
      <c r="C888" s="2" t="s">
        <v>4527</v>
      </c>
      <c r="D888" s="2">
        <v>64532000</v>
      </c>
      <c r="E888" s="2" t="s">
        <v>4406</v>
      </c>
      <c r="F888" s="2" t="s">
        <v>2248</v>
      </c>
      <c r="G888" s="2" t="s">
        <v>3634</v>
      </c>
      <c r="H888" s="2">
        <v>25662</v>
      </c>
    </row>
    <row r="889" spans="2:5">
      <c r="B889" s="2" t="s">
        <v>20</v>
      </c>
      <c r="E889" s="2" t="s">
        <v>4559</v>
      </c>
    </row>
    <row r="890" spans="1:8">
      <c r="A890" s="2" t="s">
        <v>2381</v>
      </c>
      <c r="B890" s="2" t="s">
        <v>4560</v>
      </c>
      <c r="C890" s="2" t="s">
        <v>4561</v>
      </c>
      <c r="D890" s="2">
        <v>71242000</v>
      </c>
      <c r="E890" s="2" t="s">
        <v>4559</v>
      </c>
      <c r="F890" s="2" t="s">
        <v>2186</v>
      </c>
      <c r="G890" s="2" t="s">
        <v>3629</v>
      </c>
      <c r="H890" s="2">
        <v>105051</v>
      </c>
    </row>
    <row r="891" spans="1:8">
      <c r="A891" s="2" t="s">
        <v>2454</v>
      </c>
      <c r="B891" s="2" t="s">
        <v>4562</v>
      </c>
      <c r="C891" s="2" t="s">
        <v>4561</v>
      </c>
      <c r="D891" s="2">
        <v>71201000</v>
      </c>
      <c r="E891" s="2" t="s">
        <v>4559</v>
      </c>
      <c r="F891" s="2" t="s">
        <v>2186</v>
      </c>
      <c r="G891" s="2" t="s">
        <v>3626</v>
      </c>
      <c r="H891" s="2">
        <v>10540</v>
      </c>
    </row>
    <row r="892" spans="1:8">
      <c r="A892" s="2" t="s">
        <v>668</v>
      </c>
      <c r="B892" s="2" t="s">
        <v>4563</v>
      </c>
      <c r="C892" s="2" t="s">
        <v>4564</v>
      </c>
      <c r="D892" s="2">
        <v>71202000</v>
      </c>
      <c r="E892" s="2" t="s">
        <v>4559</v>
      </c>
      <c r="F892" s="2" t="s">
        <v>2186</v>
      </c>
      <c r="G892" s="2" t="s">
        <v>3634</v>
      </c>
      <c r="H892" s="2">
        <v>23517</v>
      </c>
    </row>
    <row r="893" spans="1:8">
      <c r="A893" s="2" t="s">
        <v>2593</v>
      </c>
      <c r="B893" s="2" t="s">
        <v>4565</v>
      </c>
      <c r="C893" s="2" t="s">
        <v>4564</v>
      </c>
      <c r="D893" s="2">
        <v>71203000</v>
      </c>
      <c r="E893" s="2" t="s">
        <v>4559</v>
      </c>
      <c r="F893" s="2" t="s">
        <v>2186</v>
      </c>
      <c r="G893" s="2" t="s">
        <v>3626</v>
      </c>
      <c r="H893" s="2">
        <v>16462</v>
      </c>
    </row>
    <row r="894" spans="1:8">
      <c r="A894" s="2" t="s">
        <v>2658</v>
      </c>
      <c r="B894" s="2" t="s">
        <v>4566</v>
      </c>
      <c r="C894" s="2" t="s">
        <v>4561</v>
      </c>
      <c r="D894" s="2">
        <v>71204000</v>
      </c>
      <c r="E894" s="2" t="s">
        <v>4559</v>
      </c>
      <c r="F894" s="2" t="s">
        <v>2186</v>
      </c>
      <c r="G894" s="2" t="s">
        <v>3634</v>
      </c>
      <c r="H894" s="2">
        <v>14425</v>
      </c>
    </row>
    <row r="895" spans="1:8">
      <c r="A895" s="2" t="s">
        <v>2722</v>
      </c>
      <c r="B895" s="2" t="s">
        <v>4567</v>
      </c>
      <c r="C895" s="2" t="s">
        <v>4561</v>
      </c>
      <c r="D895" s="2">
        <v>71205000</v>
      </c>
      <c r="E895" s="2" t="s">
        <v>4559</v>
      </c>
      <c r="F895" s="2" t="s">
        <v>2186</v>
      </c>
      <c r="G895" s="2" t="s">
        <v>3634</v>
      </c>
      <c r="H895" s="2">
        <v>20591</v>
      </c>
    </row>
    <row r="896" spans="1:8">
      <c r="A896" s="2" t="s">
        <v>2783</v>
      </c>
      <c r="B896" s="2" t="s">
        <v>4568</v>
      </c>
      <c r="C896" s="2" t="s">
        <v>4561</v>
      </c>
      <c r="D896" s="2">
        <v>71206000</v>
      </c>
      <c r="E896" s="2" t="s">
        <v>4559</v>
      </c>
      <c r="F896" s="2" t="s">
        <v>2186</v>
      </c>
      <c r="G896" s="2" t="s">
        <v>3634</v>
      </c>
      <c r="H896" s="2">
        <v>17903</v>
      </c>
    </row>
    <row r="897" spans="1:8">
      <c r="A897" s="2" t="s">
        <v>2651</v>
      </c>
      <c r="B897" s="2" t="s">
        <v>4569</v>
      </c>
      <c r="C897" s="2" t="s">
        <v>4564</v>
      </c>
      <c r="D897" s="2">
        <v>71207000</v>
      </c>
      <c r="E897" s="2" t="s">
        <v>4559</v>
      </c>
      <c r="F897" s="2" t="s">
        <v>2186</v>
      </c>
      <c r="G897" s="2" t="s">
        <v>3626</v>
      </c>
      <c r="H897" s="2">
        <v>12767</v>
      </c>
    </row>
    <row r="898" spans="1:8">
      <c r="A898" s="2" t="s">
        <v>2897</v>
      </c>
      <c r="B898" s="2" t="s">
        <v>4570</v>
      </c>
      <c r="C898" s="2" t="s">
        <v>4564</v>
      </c>
      <c r="D898" s="2">
        <v>71208000</v>
      </c>
      <c r="E898" s="2" t="s">
        <v>4559</v>
      </c>
      <c r="F898" s="2" t="s">
        <v>2186</v>
      </c>
      <c r="G898" s="2" t="s">
        <v>3634</v>
      </c>
      <c r="H898" s="2">
        <v>17590</v>
      </c>
    </row>
    <row r="899" spans="1:8">
      <c r="A899" s="2" t="s">
        <v>2378</v>
      </c>
      <c r="B899" s="2" t="s">
        <v>4571</v>
      </c>
      <c r="C899" s="2" t="s">
        <v>4572</v>
      </c>
      <c r="D899" s="2">
        <v>71209000</v>
      </c>
      <c r="E899" s="2" t="s">
        <v>4559</v>
      </c>
      <c r="F899" s="2" t="s">
        <v>2186</v>
      </c>
      <c r="G899" s="2" t="s">
        <v>3634</v>
      </c>
      <c r="H899" s="2">
        <v>27261</v>
      </c>
    </row>
    <row r="900" spans="1:8">
      <c r="A900" s="2" t="s">
        <v>3000</v>
      </c>
      <c r="B900" s="2" t="s">
        <v>4573</v>
      </c>
      <c r="C900" s="2" t="s">
        <v>4561</v>
      </c>
      <c r="D900" s="2">
        <v>71210000</v>
      </c>
      <c r="E900" s="2" t="s">
        <v>4559</v>
      </c>
      <c r="F900" s="2" t="s">
        <v>2186</v>
      </c>
      <c r="G900" s="2" t="s">
        <v>3629</v>
      </c>
      <c r="H900" s="2">
        <v>30863</v>
      </c>
    </row>
    <row r="901" spans="1:8">
      <c r="A901" s="2" t="s">
        <v>3050</v>
      </c>
      <c r="B901" s="2" t="s">
        <v>4574</v>
      </c>
      <c r="C901" s="2" t="s">
        <v>4564</v>
      </c>
      <c r="D901" s="2">
        <v>71211000</v>
      </c>
      <c r="E901" s="2" t="s">
        <v>4559</v>
      </c>
      <c r="F901" s="2" t="s">
        <v>2186</v>
      </c>
      <c r="G901" s="2" t="s">
        <v>3634</v>
      </c>
      <c r="H901" s="2">
        <v>29475</v>
      </c>
    </row>
    <row r="902" spans="1:8">
      <c r="A902" s="2" t="s">
        <v>2546</v>
      </c>
      <c r="B902" s="2" t="s">
        <v>4575</v>
      </c>
      <c r="C902" s="2" t="s">
        <v>4564</v>
      </c>
      <c r="D902" s="2">
        <v>71212000</v>
      </c>
      <c r="E902" s="2" t="s">
        <v>4559</v>
      </c>
      <c r="F902" s="2" t="s">
        <v>2186</v>
      </c>
      <c r="G902" s="2" t="s">
        <v>3574</v>
      </c>
      <c r="H902" s="2">
        <v>46306</v>
      </c>
    </row>
    <row r="903" spans="1:8">
      <c r="A903" s="2" t="s">
        <v>3133</v>
      </c>
      <c r="B903" s="2" t="s">
        <v>4576</v>
      </c>
      <c r="C903" s="2" t="s">
        <v>4561</v>
      </c>
      <c r="D903" s="2">
        <v>71213000</v>
      </c>
      <c r="E903" s="2" t="s">
        <v>4559</v>
      </c>
      <c r="F903" s="2" t="s">
        <v>2186</v>
      </c>
      <c r="G903" s="2" t="s">
        <v>3634</v>
      </c>
      <c r="H903" s="2">
        <v>22675</v>
      </c>
    </row>
    <row r="904" spans="1:8">
      <c r="A904" s="2" t="s">
        <v>2855</v>
      </c>
      <c r="B904" s="2" t="s">
        <v>4577</v>
      </c>
      <c r="C904" s="2" t="s">
        <v>4572</v>
      </c>
      <c r="D904" s="2">
        <v>71214000</v>
      </c>
      <c r="E904" s="2" t="s">
        <v>4559</v>
      </c>
      <c r="F904" s="2" t="s">
        <v>2186</v>
      </c>
      <c r="G904" s="2" t="s">
        <v>3626</v>
      </c>
      <c r="H904" s="2">
        <v>20301</v>
      </c>
    </row>
    <row r="905" spans="1:8">
      <c r="A905" s="2" t="s">
        <v>3209</v>
      </c>
      <c r="B905" s="2" t="s">
        <v>4578</v>
      </c>
      <c r="C905" s="2" t="s">
        <v>4561</v>
      </c>
      <c r="D905" s="2">
        <v>71215000</v>
      </c>
      <c r="E905" s="2" t="s">
        <v>4559</v>
      </c>
      <c r="F905" s="2" t="s">
        <v>2186</v>
      </c>
      <c r="G905" s="2" t="s">
        <v>3626</v>
      </c>
      <c r="H905" s="2">
        <v>8479</v>
      </c>
    </row>
    <row r="906" spans="1:8">
      <c r="A906" s="2" t="s">
        <v>2918</v>
      </c>
      <c r="B906" s="2" t="s">
        <v>4579</v>
      </c>
      <c r="C906" s="2" t="s">
        <v>4561</v>
      </c>
      <c r="D906" s="2">
        <v>71216000</v>
      </c>
      <c r="E906" s="2" t="s">
        <v>4559</v>
      </c>
      <c r="F906" s="2" t="s">
        <v>2186</v>
      </c>
      <c r="G906" s="2" t="s">
        <v>3626</v>
      </c>
      <c r="H906" s="2">
        <v>16954</v>
      </c>
    </row>
    <row r="907" spans="1:8">
      <c r="A907" s="2" t="s">
        <v>3269</v>
      </c>
      <c r="B907" s="2" t="s">
        <v>4580</v>
      </c>
      <c r="C907" s="2" t="s">
        <v>4572</v>
      </c>
      <c r="D907" s="2">
        <v>71217000</v>
      </c>
      <c r="E907" s="2" t="s">
        <v>4559</v>
      </c>
      <c r="F907" s="2" t="s">
        <v>2186</v>
      </c>
      <c r="G907" s="2" t="s">
        <v>3626</v>
      </c>
      <c r="H907" s="2">
        <v>19158</v>
      </c>
    </row>
    <row r="908" spans="1:8">
      <c r="A908" s="2" t="s">
        <v>3293</v>
      </c>
      <c r="B908" s="2" t="s">
        <v>4581</v>
      </c>
      <c r="C908" s="2" t="s">
        <v>4572</v>
      </c>
      <c r="D908" s="2">
        <v>71218000</v>
      </c>
      <c r="E908" s="2" t="s">
        <v>4559</v>
      </c>
      <c r="F908" s="2" t="s">
        <v>2186</v>
      </c>
      <c r="G908" s="2" t="s">
        <v>3634</v>
      </c>
      <c r="H908" s="2">
        <v>17890</v>
      </c>
    </row>
    <row r="909" spans="1:8">
      <c r="A909" s="2" t="s">
        <v>3318</v>
      </c>
      <c r="B909" s="2" t="s">
        <v>4582</v>
      </c>
      <c r="C909" s="2" t="s">
        <v>4561</v>
      </c>
      <c r="D909" s="2">
        <v>71219000</v>
      </c>
      <c r="E909" s="2" t="s">
        <v>4559</v>
      </c>
      <c r="F909" s="2" t="s">
        <v>2186</v>
      </c>
      <c r="G909" s="2" t="s">
        <v>3634</v>
      </c>
      <c r="H909" s="2">
        <v>45663</v>
      </c>
    </row>
    <row r="910" spans="1:8">
      <c r="A910" s="2" t="s">
        <v>3344</v>
      </c>
      <c r="B910" s="2" t="s">
        <v>4583</v>
      </c>
      <c r="C910" s="2" t="s">
        <v>4564</v>
      </c>
      <c r="D910" s="2">
        <v>71220000</v>
      </c>
      <c r="E910" s="2" t="s">
        <v>4559</v>
      </c>
      <c r="F910" s="2" t="s">
        <v>2186</v>
      </c>
      <c r="G910" s="2" t="s">
        <v>3634</v>
      </c>
      <c r="H910" s="2">
        <v>14364</v>
      </c>
    </row>
    <row r="911" spans="1:8">
      <c r="A911" s="2" t="s">
        <v>3365</v>
      </c>
      <c r="B911" s="2" t="s">
        <v>4584</v>
      </c>
      <c r="C911" s="2" t="s">
        <v>4564</v>
      </c>
      <c r="D911" s="2">
        <v>71221000</v>
      </c>
      <c r="E911" s="2" t="s">
        <v>4559</v>
      </c>
      <c r="F911" s="2" t="s">
        <v>2186</v>
      </c>
      <c r="G911" s="2" t="s">
        <v>3634</v>
      </c>
      <c r="H911" s="2">
        <v>17876</v>
      </c>
    </row>
    <row r="912" spans="1:8">
      <c r="A912" s="2" t="s">
        <v>3388</v>
      </c>
      <c r="B912" s="2" t="s">
        <v>4585</v>
      </c>
      <c r="C912" s="2" t="s">
        <v>4564</v>
      </c>
      <c r="D912" s="2">
        <v>71222000</v>
      </c>
      <c r="E912" s="2" t="s">
        <v>4559</v>
      </c>
      <c r="F912" s="2" t="s">
        <v>2186</v>
      </c>
      <c r="G912" s="2" t="s">
        <v>3634</v>
      </c>
      <c r="H912" s="2">
        <v>24194</v>
      </c>
    </row>
    <row r="913" spans="1:8">
      <c r="A913" s="2" t="s">
        <v>3406</v>
      </c>
      <c r="B913" s="2" t="s">
        <v>4586</v>
      </c>
      <c r="C913" s="2" t="s">
        <v>4564</v>
      </c>
      <c r="D913" s="2">
        <v>71223000</v>
      </c>
      <c r="E913" s="2" t="s">
        <v>4559</v>
      </c>
      <c r="F913" s="2" t="s">
        <v>2186</v>
      </c>
      <c r="G913" s="2" t="s">
        <v>3634</v>
      </c>
      <c r="H913" s="2">
        <v>32408</v>
      </c>
    </row>
    <row r="914" spans="1:8">
      <c r="A914" s="2" t="s">
        <v>3419</v>
      </c>
      <c r="B914" s="2" t="s">
        <v>4587</v>
      </c>
      <c r="C914" s="2" t="s">
        <v>4572</v>
      </c>
      <c r="D914" s="2">
        <v>71224000</v>
      </c>
      <c r="E914" s="2" t="s">
        <v>4559</v>
      </c>
      <c r="F914" s="2" t="s">
        <v>2186</v>
      </c>
      <c r="G914" s="2" t="s">
        <v>3629</v>
      </c>
      <c r="H914" s="2">
        <v>45880</v>
      </c>
    </row>
    <row r="915" spans="1:8">
      <c r="A915" s="2" t="s">
        <v>3431</v>
      </c>
      <c r="B915" s="2" t="s">
        <v>4588</v>
      </c>
      <c r="C915" s="2" t="s">
        <v>4564</v>
      </c>
      <c r="D915" s="2">
        <v>71225000</v>
      </c>
      <c r="E915" s="2" t="s">
        <v>4559</v>
      </c>
      <c r="F915" s="2" t="s">
        <v>2186</v>
      </c>
      <c r="G915" s="2" t="s">
        <v>3629</v>
      </c>
      <c r="H915" s="2">
        <v>33892</v>
      </c>
    </row>
    <row r="916" spans="1:8">
      <c r="A916" s="2" t="s">
        <v>3445</v>
      </c>
      <c r="B916" s="2" t="s">
        <v>4589</v>
      </c>
      <c r="C916" s="2" t="s">
        <v>4572</v>
      </c>
      <c r="D916" s="2">
        <v>71226000</v>
      </c>
      <c r="E916" s="2" t="s">
        <v>4559</v>
      </c>
      <c r="F916" s="2" t="s">
        <v>2186</v>
      </c>
      <c r="G916" s="2" t="s">
        <v>3629</v>
      </c>
      <c r="H916" s="2">
        <v>30955</v>
      </c>
    </row>
    <row r="917" spans="1:8">
      <c r="A917" s="2" t="s">
        <v>3455</v>
      </c>
      <c r="B917" s="2" t="s">
        <v>4590</v>
      </c>
      <c r="C917" s="2" t="s">
        <v>4564</v>
      </c>
      <c r="D917" s="2">
        <v>71227000</v>
      </c>
      <c r="E917" s="2" t="s">
        <v>4559</v>
      </c>
      <c r="F917" s="2" t="s">
        <v>2186</v>
      </c>
      <c r="G917" s="2" t="s">
        <v>3626</v>
      </c>
      <c r="H917" s="2">
        <v>12257</v>
      </c>
    </row>
    <row r="918" spans="1:8">
      <c r="A918" s="2" t="s">
        <v>3464</v>
      </c>
      <c r="B918" s="2" t="s">
        <v>4591</v>
      </c>
      <c r="C918" s="2" t="s">
        <v>4564</v>
      </c>
      <c r="D918" s="2">
        <v>71228000</v>
      </c>
      <c r="E918" s="2" t="s">
        <v>4559</v>
      </c>
      <c r="F918" s="2" t="s">
        <v>2186</v>
      </c>
      <c r="G918" s="2" t="s">
        <v>3626</v>
      </c>
      <c r="H918" s="2">
        <v>16691</v>
      </c>
    </row>
    <row r="919" spans="1:8">
      <c r="A919" s="2" t="s">
        <v>3476</v>
      </c>
      <c r="B919" s="2" t="s">
        <v>4592</v>
      </c>
      <c r="C919" s="2" t="s">
        <v>4564</v>
      </c>
      <c r="D919" s="2">
        <v>71229000</v>
      </c>
      <c r="E919" s="2" t="s">
        <v>4559</v>
      </c>
      <c r="F919" s="2" t="s">
        <v>2186</v>
      </c>
      <c r="G919" s="2" t="s">
        <v>3634</v>
      </c>
      <c r="H919" s="2">
        <v>15993</v>
      </c>
    </row>
    <row r="920" spans="1:8">
      <c r="A920" s="2" t="s">
        <v>3485</v>
      </c>
      <c r="B920" s="2" t="s">
        <v>4593</v>
      </c>
      <c r="C920" s="2" t="s">
        <v>4561</v>
      </c>
      <c r="D920" s="2">
        <v>71230000</v>
      </c>
      <c r="E920" s="2" t="s">
        <v>4559</v>
      </c>
      <c r="F920" s="2" t="s">
        <v>2186</v>
      </c>
      <c r="G920" s="2" t="s">
        <v>3600</v>
      </c>
      <c r="H920" s="2">
        <v>43034</v>
      </c>
    </row>
    <row r="921" spans="1:8">
      <c r="A921" s="2" t="s">
        <v>3227</v>
      </c>
      <c r="B921" s="2" t="s">
        <v>4594</v>
      </c>
      <c r="C921" s="2" t="s">
        <v>4564</v>
      </c>
      <c r="D921" s="2">
        <v>71231000</v>
      </c>
      <c r="E921" s="2" t="s">
        <v>4559</v>
      </c>
      <c r="F921" s="2" t="s">
        <v>2186</v>
      </c>
      <c r="G921" s="2" t="s">
        <v>3634</v>
      </c>
      <c r="H921" s="2">
        <v>27171</v>
      </c>
    </row>
    <row r="922" spans="1:8">
      <c r="A922" s="2" t="s">
        <v>3501</v>
      </c>
      <c r="B922" s="2" t="s">
        <v>4595</v>
      </c>
      <c r="C922" s="2" t="s">
        <v>4561</v>
      </c>
      <c r="D922" s="2">
        <v>71232000</v>
      </c>
      <c r="E922" s="2" t="s">
        <v>4559</v>
      </c>
      <c r="F922" s="2" t="s">
        <v>2186</v>
      </c>
      <c r="G922" s="2" t="s">
        <v>3634</v>
      </c>
      <c r="H922" s="2">
        <v>20688</v>
      </c>
    </row>
    <row r="923" spans="1:8">
      <c r="A923" s="2" t="s">
        <v>3509</v>
      </c>
      <c r="B923" s="2" t="s">
        <v>4596</v>
      </c>
      <c r="C923" s="2" t="s">
        <v>4561</v>
      </c>
      <c r="D923" s="2">
        <v>71233000</v>
      </c>
      <c r="E923" s="2" t="s">
        <v>4559</v>
      </c>
      <c r="F923" s="2" t="s">
        <v>2186</v>
      </c>
      <c r="G923" s="2" t="s">
        <v>3634</v>
      </c>
      <c r="H923" s="2">
        <v>33553</v>
      </c>
    </row>
    <row r="924" spans="1:8">
      <c r="A924" s="2" t="s">
        <v>2980</v>
      </c>
      <c r="B924" s="2" t="s">
        <v>4597</v>
      </c>
      <c r="C924" s="2" t="s">
        <v>4564</v>
      </c>
      <c r="D924" s="2">
        <v>71234000</v>
      </c>
      <c r="E924" s="2" t="s">
        <v>4559</v>
      </c>
      <c r="F924" s="2" t="s">
        <v>2186</v>
      </c>
      <c r="G924" s="2" t="s">
        <v>3634</v>
      </c>
      <c r="H924" s="2">
        <v>27256</v>
      </c>
    </row>
    <row r="925" spans="1:8">
      <c r="A925" s="2" t="s">
        <v>3517</v>
      </c>
      <c r="B925" s="2" t="s">
        <v>4598</v>
      </c>
      <c r="C925" s="2" t="s">
        <v>4572</v>
      </c>
      <c r="D925" s="2">
        <v>71235000</v>
      </c>
      <c r="E925" s="2" t="s">
        <v>4559</v>
      </c>
      <c r="F925" s="2" t="s">
        <v>2186</v>
      </c>
      <c r="G925" s="2" t="s">
        <v>3634</v>
      </c>
      <c r="H925" s="2">
        <v>23356</v>
      </c>
    </row>
    <row r="926" spans="1:8">
      <c r="A926" s="2" t="s">
        <v>3521</v>
      </c>
      <c r="B926" s="2" t="s">
        <v>4599</v>
      </c>
      <c r="C926" s="2" t="s">
        <v>4572</v>
      </c>
      <c r="D926" s="2">
        <v>71236000</v>
      </c>
      <c r="E926" s="2" t="s">
        <v>4559</v>
      </c>
      <c r="F926" s="2" t="s">
        <v>2186</v>
      </c>
      <c r="G926" s="2" t="s">
        <v>3634</v>
      </c>
      <c r="H926" s="2">
        <v>22339</v>
      </c>
    </row>
    <row r="927" spans="1:8">
      <c r="A927" s="2" t="s">
        <v>686</v>
      </c>
      <c r="B927" s="2" t="s">
        <v>4600</v>
      </c>
      <c r="C927" s="2" t="s">
        <v>4572</v>
      </c>
      <c r="D927" s="2">
        <v>71237000</v>
      </c>
      <c r="E927" s="2" t="s">
        <v>4559</v>
      </c>
      <c r="F927" s="2" t="s">
        <v>2186</v>
      </c>
      <c r="G927" s="2" t="s">
        <v>3626</v>
      </c>
      <c r="H927" s="2">
        <v>8744</v>
      </c>
    </row>
    <row r="928" spans="1:8">
      <c r="A928" s="2" t="s">
        <v>2890</v>
      </c>
      <c r="B928" s="2" t="s">
        <v>4601</v>
      </c>
      <c r="C928" s="2" t="s">
        <v>4572</v>
      </c>
      <c r="D928" s="2">
        <v>71238000</v>
      </c>
      <c r="E928" s="2" t="s">
        <v>4559</v>
      </c>
      <c r="F928" s="2" t="s">
        <v>2186</v>
      </c>
      <c r="G928" s="2" t="s">
        <v>3634</v>
      </c>
      <c r="H928" s="2">
        <v>24135</v>
      </c>
    </row>
    <row r="929" spans="1:8">
      <c r="A929" s="2" t="s">
        <v>3530</v>
      </c>
      <c r="B929" s="2" t="s">
        <v>4602</v>
      </c>
      <c r="C929" s="2" t="s">
        <v>4564</v>
      </c>
      <c r="D929" s="2">
        <v>71239000</v>
      </c>
      <c r="E929" s="2" t="s">
        <v>4559</v>
      </c>
      <c r="F929" s="2" t="s">
        <v>2186</v>
      </c>
      <c r="G929" s="2" t="s">
        <v>3626</v>
      </c>
      <c r="H929" s="2">
        <v>10661</v>
      </c>
    </row>
    <row r="930" spans="1:8">
      <c r="A930" s="2" t="s">
        <v>3535</v>
      </c>
      <c r="B930" s="2" t="s">
        <v>4603</v>
      </c>
      <c r="C930" s="2" t="s">
        <v>4564</v>
      </c>
      <c r="D930" s="2">
        <v>71240000</v>
      </c>
      <c r="E930" s="2" t="s">
        <v>4559</v>
      </c>
      <c r="F930" s="2" t="s">
        <v>2186</v>
      </c>
      <c r="G930" s="2" t="s">
        <v>3629</v>
      </c>
      <c r="H930" s="2">
        <v>24745</v>
      </c>
    </row>
    <row r="931" spans="1:8">
      <c r="A931" s="2" t="s">
        <v>3539</v>
      </c>
      <c r="B931" s="2" t="s">
        <v>4604</v>
      </c>
      <c r="C931" s="2" t="s">
        <v>4561</v>
      </c>
      <c r="D931" s="2">
        <v>71241000</v>
      </c>
      <c r="E931" s="2" t="s">
        <v>4559</v>
      </c>
      <c r="F931" s="2" t="s">
        <v>2186</v>
      </c>
      <c r="G931" s="2" t="s">
        <v>3626</v>
      </c>
      <c r="H931" s="2">
        <v>6726</v>
      </c>
    </row>
    <row r="932" spans="1:8">
      <c r="A932" s="2" t="s">
        <v>3544</v>
      </c>
      <c r="B932" s="2" t="s">
        <v>4605</v>
      </c>
      <c r="C932" s="2" t="s">
        <v>4572</v>
      </c>
      <c r="D932" s="2">
        <v>71243000</v>
      </c>
      <c r="E932" s="2" t="s">
        <v>4559</v>
      </c>
      <c r="F932" s="2" t="s">
        <v>2186</v>
      </c>
      <c r="G932" s="2" t="s">
        <v>3574</v>
      </c>
      <c r="H932" s="2">
        <v>66969</v>
      </c>
    </row>
    <row r="933" spans="1:8">
      <c r="A933" s="2" t="s">
        <v>3548</v>
      </c>
      <c r="B933" s="2" t="s">
        <v>4606</v>
      </c>
      <c r="C933" s="2" t="s">
        <v>4572</v>
      </c>
      <c r="D933" s="2">
        <v>71244000</v>
      </c>
      <c r="E933" s="2" t="s">
        <v>4559</v>
      </c>
      <c r="F933" s="2" t="s">
        <v>2186</v>
      </c>
      <c r="G933" s="2" t="s">
        <v>3629</v>
      </c>
      <c r="H933" s="2">
        <v>31956</v>
      </c>
    </row>
    <row r="934" spans="1:8">
      <c r="A934" s="2" t="s">
        <v>3550</v>
      </c>
      <c r="B934" s="2" t="s">
        <v>4607</v>
      </c>
      <c r="C934" s="2" t="s">
        <v>4561</v>
      </c>
      <c r="D934" s="2">
        <v>71245000</v>
      </c>
      <c r="E934" s="2" t="s">
        <v>4559</v>
      </c>
      <c r="F934" s="2" t="s">
        <v>2186</v>
      </c>
      <c r="G934" s="2" t="s">
        <v>3574</v>
      </c>
      <c r="H934" s="2">
        <v>45893</v>
      </c>
    </row>
    <row r="935" spans="1:8">
      <c r="A935" s="2" t="s">
        <v>3552</v>
      </c>
      <c r="B935" s="2" t="s">
        <v>4608</v>
      </c>
      <c r="C935" s="2" t="s">
        <v>4572</v>
      </c>
      <c r="D935" s="2">
        <v>71246000</v>
      </c>
      <c r="E935" s="2" t="s">
        <v>4559</v>
      </c>
      <c r="F935" s="2" t="s">
        <v>2186</v>
      </c>
      <c r="G935" s="2" t="s">
        <v>3574</v>
      </c>
      <c r="H935" s="2">
        <v>73712</v>
      </c>
    </row>
    <row r="936" spans="1:8">
      <c r="A936" s="2" t="s">
        <v>3554</v>
      </c>
      <c r="B936" s="2" t="s">
        <v>4609</v>
      </c>
      <c r="C936" s="2" t="s">
        <v>4564</v>
      </c>
      <c r="D936" s="2">
        <v>71247000</v>
      </c>
      <c r="E936" s="2" t="s">
        <v>4559</v>
      </c>
      <c r="F936" s="2" t="s">
        <v>2186</v>
      </c>
      <c r="G936" s="2" t="s">
        <v>3634</v>
      </c>
      <c r="H936" s="2">
        <v>27126</v>
      </c>
    </row>
    <row r="937" spans="1:8">
      <c r="A937" s="2" t="s">
        <v>3557</v>
      </c>
      <c r="B937" s="2" t="s">
        <v>4610</v>
      </c>
      <c r="C937" s="2" t="s">
        <v>4572</v>
      </c>
      <c r="D937" s="2">
        <v>71248000</v>
      </c>
      <c r="E937" s="2" t="s">
        <v>4559</v>
      </c>
      <c r="F937" s="2" t="s">
        <v>2186</v>
      </c>
      <c r="G937" s="2" t="s">
        <v>3634</v>
      </c>
      <c r="H937" s="2">
        <v>27115</v>
      </c>
    </row>
    <row r="938" spans="2:5">
      <c r="B938" s="2" t="s">
        <v>20</v>
      </c>
      <c r="E938" s="2" t="s">
        <v>4559</v>
      </c>
    </row>
    <row r="939" spans="1:8">
      <c r="A939" s="2" t="s">
        <v>2382</v>
      </c>
      <c r="B939" s="2" t="s">
        <v>4611</v>
      </c>
      <c r="C939" s="2" t="s">
        <v>4612</v>
      </c>
      <c r="D939" s="2">
        <v>72226000</v>
      </c>
      <c r="E939" s="2" t="s">
        <v>4559</v>
      </c>
      <c r="F939" s="2" t="s">
        <v>2200</v>
      </c>
      <c r="G939" s="2" t="s">
        <v>3574</v>
      </c>
      <c r="H939" s="2">
        <v>408112</v>
      </c>
    </row>
    <row r="940" spans="2:5">
      <c r="B940" s="2" t="s">
        <v>20</v>
      </c>
      <c r="E940" s="2" t="s">
        <v>4559</v>
      </c>
    </row>
    <row r="941" spans="1:8">
      <c r="A941" s="2" t="s">
        <v>2455</v>
      </c>
      <c r="B941" s="2" t="s">
        <v>4613</v>
      </c>
      <c r="C941" s="2" t="s">
        <v>4614</v>
      </c>
      <c r="D941" s="2">
        <v>72217000</v>
      </c>
      <c r="E941" s="2" t="s">
        <v>4559</v>
      </c>
      <c r="F941" s="2" t="s">
        <v>2200</v>
      </c>
      <c r="G941" s="2" t="s">
        <v>3574</v>
      </c>
      <c r="H941" s="2">
        <v>922611</v>
      </c>
    </row>
    <row r="942" spans="2:5">
      <c r="B942" s="2" t="s">
        <v>20</v>
      </c>
      <c r="E942" s="2" t="s">
        <v>4559</v>
      </c>
    </row>
    <row r="943" spans="1:8">
      <c r="A943" s="2" t="s">
        <v>2524</v>
      </c>
      <c r="B943" s="2" t="s">
        <v>4615</v>
      </c>
      <c r="C943" s="2" t="s">
        <v>4616</v>
      </c>
      <c r="D943" s="2">
        <v>72211000</v>
      </c>
      <c r="E943" s="2" t="s">
        <v>4559</v>
      </c>
      <c r="F943" s="2" t="s">
        <v>2200</v>
      </c>
      <c r="G943" s="2" t="s">
        <v>3769</v>
      </c>
      <c r="H943" s="2">
        <v>78120</v>
      </c>
    </row>
    <row r="944" spans="1:8">
      <c r="A944" s="2" t="s">
        <v>2594</v>
      </c>
      <c r="B944" s="2" t="s">
        <v>4617</v>
      </c>
      <c r="C944" s="2" t="s">
        <v>4618</v>
      </c>
      <c r="D944" s="2">
        <v>72214000</v>
      </c>
      <c r="E944" s="2" t="s">
        <v>4559</v>
      </c>
      <c r="F944" s="2" t="s">
        <v>2200</v>
      </c>
      <c r="G944" s="2" t="s">
        <v>3626</v>
      </c>
      <c r="H944" s="2">
        <v>119664</v>
      </c>
    </row>
    <row r="945" spans="1:8">
      <c r="A945" s="2" t="s">
        <v>2659</v>
      </c>
      <c r="B945" s="2" t="s">
        <v>4619</v>
      </c>
      <c r="C945" s="2" t="s">
        <v>4620</v>
      </c>
      <c r="D945" s="2">
        <v>72223000</v>
      </c>
      <c r="E945" s="2" t="s">
        <v>4559</v>
      </c>
      <c r="F945" s="2" t="s">
        <v>2200</v>
      </c>
      <c r="G945" s="2" t="s">
        <v>3629</v>
      </c>
      <c r="H945" s="2">
        <v>136471</v>
      </c>
    </row>
    <row r="946" spans="1:8">
      <c r="A946" s="2" t="s">
        <v>2723</v>
      </c>
      <c r="B946" s="2" t="s">
        <v>4621</v>
      </c>
      <c r="C946" s="2" t="s">
        <v>4622</v>
      </c>
      <c r="D946" s="2">
        <v>72230000</v>
      </c>
      <c r="E946" s="2" t="s">
        <v>4559</v>
      </c>
      <c r="F946" s="2" t="s">
        <v>2200</v>
      </c>
      <c r="G946" s="2" t="s">
        <v>3574</v>
      </c>
      <c r="H946" s="2">
        <v>362654</v>
      </c>
    </row>
    <row r="947" spans="1:8">
      <c r="A947" s="2" t="s">
        <v>2445</v>
      </c>
      <c r="B947" s="2" t="s">
        <v>4623</v>
      </c>
      <c r="C947" s="2" t="s">
        <v>4618</v>
      </c>
      <c r="D947" s="2">
        <v>72234000</v>
      </c>
      <c r="E947" s="2" t="s">
        <v>4559</v>
      </c>
      <c r="F947" s="2" t="s">
        <v>2200</v>
      </c>
      <c r="G947" s="2" t="s">
        <v>3626</v>
      </c>
      <c r="H947" s="2">
        <v>115750</v>
      </c>
    </row>
    <row r="948" spans="1:8">
      <c r="A948" s="2" t="s">
        <v>2842</v>
      </c>
      <c r="B948" s="2" t="s">
        <v>4624</v>
      </c>
      <c r="C948" s="2" t="s">
        <v>4618</v>
      </c>
      <c r="D948" s="2">
        <v>72250000</v>
      </c>
      <c r="E948" s="2" t="s">
        <v>4559</v>
      </c>
      <c r="F948" s="2" t="s">
        <v>2200</v>
      </c>
      <c r="G948" s="2" t="s">
        <v>3629</v>
      </c>
      <c r="H948" s="2">
        <v>227645</v>
      </c>
    </row>
    <row r="949" spans="1:8">
      <c r="A949" s="2" t="s">
        <v>2898</v>
      </c>
      <c r="B949" s="2" t="s">
        <v>4625</v>
      </c>
      <c r="C949" s="2" t="s">
        <v>4626</v>
      </c>
      <c r="D949" s="2">
        <v>72251000</v>
      </c>
      <c r="E949" s="2" t="s">
        <v>4559</v>
      </c>
      <c r="F949" s="2" t="s">
        <v>2200</v>
      </c>
      <c r="G949" s="2" t="s">
        <v>3629</v>
      </c>
      <c r="H949" s="2">
        <v>170335</v>
      </c>
    </row>
    <row r="950" spans="1:8">
      <c r="A950" s="2" t="s">
        <v>2368</v>
      </c>
      <c r="B950" s="2" t="s">
        <v>4627</v>
      </c>
      <c r="C950" s="2" t="s">
        <v>4628</v>
      </c>
      <c r="D950" s="2">
        <v>72201000</v>
      </c>
      <c r="E950" s="2" t="s">
        <v>4559</v>
      </c>
      <c r="F950" s="2" t="s">
        <v>2200</v>
      </c>
      <c r="G950" s="2" t="s">
        <v>3626</v>
      </c>
      <c r="H950" s="2">
        <v>15160</v>
      </c>
    </row>
    <row r="951" spans="1:8">
      <c r="A951" s="2" t="s">
        <v>3001</v>
      </c>
      <c r="B951" s="2" t="s">
        <v>4629</v>
      </c>
      <c r="C951" s="2" t="s">
        <v>4630</v>
      </c>
      <c r="D951" s="2">
        <v>72202000</v>
      </c>
      <c r="E951" s="2" t="s">
        <v>4559</v>
      </c>
      <c r="F951" s="2" t="s">
        <v>2200</v>
      </c>
      <c r="G951" s="2" t="s">
        <v>3626</v>
      </c>
      <c r="H951" s="2">
        <v>16979</v>
      </c>
    </row>
    <row r="952" spans="1:8">
      <c r="A952" s="2" t="s">
        <v>2482</v>
      </c>
      <c r="B952" s="2" t="s">
        <v>4631</v>
      </c>
      <c r="C952" s="2" t="s">
        <v>4628</v>
      </c>
      <c r="D952" s="2">
        <v>72203000</v>
      </c>
      <c r="E952" s="2" t="s">
        <v>4559</v>
      </c>
      <c r="F952" s="2" t="s">
        <v>2200</v>
      </c>
      <c r="G952" s="2" t="s">
        <v>3634</v>
      </c>
      <c r="H952" s="2">
        <v>23300</v>
      </c>
    </row>
    <row r="953" spans="1:8">
      <c r="A953" s="2" t="s">
        <v>3093</v>
      </c>
      <c r="B953" s="2" t="s">
        <v>4632</v>
      </c>
      <c r="C953" s="2" t="s">
        <v>4626</v>
      </c>
      <c r="D953" s="2">
        <v>72204000</v>
      </c>
      <c r="E953" s="2" t="s">
        <v>4559</v>
      </c>
      <c r="F953" s="2" t="s">
        <v>2200</v>
      </c>
      <c r="G953" s="2" t="s">
        <v>3634</v>
      </c>
      <c r="H953" s="2">
        <v>32100</v>
      </c>
    </row>
    <row r="954" spans="1:8">
      <c r="A954" s="2" t="s">
        <v>3134</v>
      </c>
      <c r="B954" s="2" t="s">
        <v>4633</v>
      </c>
      <c r="C954" s="2" t="s">
        <v>4630</v>
      </c>
      <c r="D954" s="2">
        <v>72205000</v>
      </c>
      <c r="E954" s="2" t="s">
        <v>4559</v>
      </c>
      <c r="F954" s="2" t="s">
        <v>2200</v>
      </c>
      <c r="G954" s="2" t="s">
        <v>3574</v>
      </c>
      <c r="H954" s="2">
        <v>72366</v>
      </c>
    </row>
    <row r="955" spans="1:8">
      <c r="A955" s="2" t="s">
        <v>3172</v>
      </c>
      <c r="B955" s="2" t="s">
        <v>4634</v>
      </c>
      <c r="C955" s="2" t="s">
        <v>4626</v>
      </c>
      <c r="D955" s="2">
        <v>72206000</v>
      </c>
      <c r="E955" s="2" t="s">
        <v>4559</v>
      </c>
      <c r="F955" s="2" t="s">
        <v>2200</v>
      </c>
      <c r="G955" s="2" t="s">
        <v>3629</v>
      </c>
      <c r="H955" s="2">
        <v>47857</v>
      </c>
    </row>
    <row r="956" spans="1:8">
      <c r="A956" s="2" t="s">
        <v>3210</v>
      </c>
      <c r="B956" s="2" t="s">
        <v>4635</v>
      </c>
      <c r="C956" s="2" t="s">
        <v>4628</v>
      </c>
      <c r="D956" s="2">
        <v>72207000</v>
      </c>
      <c r="E956" s="2" t="s">
        <v>4559</v>
      </c>
      <c r="F956" s="2" t="s">
        <v>2200</v>
      </c>
      <c r="G956" s="2" t="s">
        <v>3629</v>
      </c>
      <c r="H956" s="2">
        <v>37912</v>
      </c>
    </row>
    <row r="957" spans="1:8">
      <c r="A957" s="2" t="s">
        <v>3239</v>
      </c>
      <c r="B957" s="2" t="s">
        <v>4636</v>
      </c>
      <c r="C957" s="2" t="s">
        <v>4626</v>
      </c>
      <c r="D957" s="2">
        <v>72208000</v>
      </c>
      <c r="E957" s="2" t="s">
        <v>4559</v>
      </c>
      <c r="F957" s="2" t="s">
        <v>2200</v>
      </c>
      <c r="G957" s="2" t="s">
        <v>3574</v>
      </c>
      <c r="H957" s="2">
        <v>87177</v>
      </c>
    </row>
    <row r="958" spans="1:8">
      <c r="A958" s="2" t="s">
        <v>3270</v>
      </c>
      <c r="B958" s="2" t="s">
        <v>4637</v>
      </c>
      <c r="C958" s="2" t="s">
        <v>4616</v>
      </c>
      <c r="D958" s="2">
        <v>72209000</v>
      </c>
      <c r="E958" s="2" t="s">
        <v>4559</v>
      </c>
      <c r="F958" s="2" t="s">
        <v>2200</v>
      </c>
      <c r="G958" s="2" t="s">
        <v>3574</v>
      </c>
      <c r="H958" s="2">
        <v>79084</v>
      </c>
    </row>
    <row r="959" spans="1:8">
      <c r="A959" s="2" t="s">
        <v>3294</v>
      </c>
      <c r="B959" s="2" t="s">
        <v>4638</v>
      </c>
      <c r="C959" s="2" t="s">
        <v>4626</v>
      </c>
      <c r="D959" s="2">
        <v>72210000</v>
      </c>
      <c r="E959" s="2" t="s">
        <v>4559</v>
      </c>
      <c r="F959" s="2" t="s">
        <v>2200</v>
      </c>
      <c r="G959" s="2" t="s">
        <v>3600</v>
      </c>
      <c r="H959" s="2">
        <v>73862</v>
      </c>
    </row>
    <row r="960" spans="1:8">
      <c r="A960" s="2" t="s">
        <v>3319</v>
      </c>
      <c r="B960" s="2" t="s">
        <v>4639</v>
      </c>
      <c r="C960" s="2" t="s">
        <v>4630</v>
      </c>
      <c r="D960" s="2">
        <v>72212000</v>
      </c>
      <c r="E960" s="2" t="s">
        <v>4559</v>
      </c>
      <c r="F960" s="2" t="s">
        <v>2200</v>
      </c>
      <c r="G960" s="2" t="s">
        <v>3626</v>
      </c>
      <c r="H960" s="2">
        <v>16344</v>
      </c>
    </row>
    <row r="961" spans="1:8">
      <c r="A961" s="2" t="s">
        <v>3345</v>
      </c>
      <c r="B961" s="2" t="s">
        <v>4640</v>
      </c>
      <c r="C961" s="2" t="s">
        <v>4620</v>
      </c>
      <c r="D961" s="2">
        <v>72213000</v>
      </c>
      <c r="E961" s="2" t="s">
        <v>4559</v>
      </c>
      <c r="F961" s="2" t="s">
        <v>2200</v>
      </c>
      <c r="G961" s="2" t="s">
        <v>3634</v>
      </c>
      <c r="H961" s="2">
        <v>35526</v>
      </c>
    </row>
    <row r="962" spans="1:8">
      <c r="A962" s="2" t="s">
        <v>2546</v>
      </c>
      <c r="B962" s="2" t="s">
        <v>4641</v>
      </c>
      <c r="C962" s="2" t="s">
        <v>4620</v>
      </c>
      <c r="D962" s="2">
        <v>72215000</v>
      </c>
      <c r="E962" s="2" t="s">
        <v>4559</v>
      </c>
      <c r="F962" s="2" t="s">
        <v>2200</v>
      </c>
      <c r="G962" s="2" t="s">
        <v>3629</v>
      </c>
      <c r="H962" s="2">
        <v>51325</v>
      </c>
    </row>
    <row r="963" spans="1:8">
      <c r="A963" s="2" t="s">
        <v>3389</v>
      </c>
      <c r="B963" s="2" t="s">
        <v>4642</v>
      </c>
      <c r="C963" s="2" t="s">
        <v>4620</v>
      </c>
      <c r="D963" s="2">
        <v>72216000</v>
      </c>
      <c r="E963" s="2" t="s">
        <v>4559</v>
      </c>
      <c r="F963" s="2" t="s">
        <v>2200</v>
      </c>
      <c r="G963" s="2" t="s">
        <v>3634</v>
      </c>
      <c r="H963" s="2">
        <v>30471</v>
      </c>
    </row>
    <row r="964" spans="1:8">
      <c r="A964" s="2" t="s">
        <v>2403</v>
      </c>
      <c r="B964" s="2" t="s">
        <v>4643</v>
      </c>
      <c r="C964" s="2" t="s">
        <v>4620</v>
      </c>
      <c r="D964" s="2">
        <v>72218000</v>
      </c>
      <c r="E964" s="2" t="s">
        <v>4559</v>
      </c>
      <c r="F964" s="2" t="s">
        <v>2200</v>
      </c>
      <c r="G964" s="2" t="s">
        <v>3629</v>
      </c>
      <c r="H964" s="2">
        <v>47898</v>
      </c>
    </row>
    <row r="965" spans="1:8">
      <c r="A965" s="2" t="s">
        <v>3420</v>
      </c>
      <c r="B965" s="2" t="s">
        <v>4644</v>
      </c>
      <c r="C965" s="2" t="s">
        <v>4622</v>
      </c>
      <c r="D965" s="2">
        <v>72219000</v>
      </c>
      <c r="E965" s="2" t="s">
        <v>4559</v>
      </c>
      <c r="F965" s="2" t="s">
        <v>2200</v>
      </c>
      <c r="G965" s="2" t="s">
        <v>3574</v>
      </c>
      <c r="H965" s="2">
        <v>131528</v>
      </c>
    </row>
    <row r="966" spans="1:8">
      <c r="A966" s="2" t="s">
        <v>3432</v>
      </c>
      <c r="B966" s="2" t="s">
        <v>4645</v>
      </c>
      <c r="C966" s="2" t="s">
        <v>4622</v>
      </c>
      <c r="D966" s="2">
        <v>72220000</v>
      </c>
      <c r="E966" s="2" t="s">
        <v>4559</v>
      </c>
      <c r="F966" s="2" t="s">
        <v>2200</v>
      </c>
      <c r="G966" s="2" t="s">
        <v>3629</v>
      </c>
      <c r="H966" s="2">
        <v>59712</v>
      </c>
    </row>
    <row r="967" spans="1:8">
      <c r="A967" s="2" t="s">
        <v>3446</v>
      </c>
      <c r="B967" s="2" t="s">
        <v>4646</v>
      </c>
      <c r="C967" s="2" t="s">
        <v>4616</v>
      </c>
      <c r="D967" s="2">
        <v>72221000</v>
      </c>
      <c r="E967" s="2" t="s">
        <v>4559</v>
      </c>
      <c r="F967" s="2" t="s">
        <v>2200</v>
      </c>
      <c r="G967" s="2" t="s">
        <v>3574</v>
      </c>
      <c r="H967" s="2">
        <v>84430</v>
      </c>
    </row>
    <row r="968" spans="1:8">
      <c r="A968" s="2" t="s">
        <v>3456</v>
      </c>
      <c r="B968" s="2" t="s">
        <v>4647</v>
      </c>
      <c r="C968" s="2" t="s">
        <v>4630</v>
      </c>
      <c r="D968" s="2">
        <v>72222000</v>
      </c>
      <c r="E968" s="2" t="s">
        <v>4559</v>
      </c>
      <c r="F968" s="2" t="s">
        <v>2200</v>
      </c>
      <c r="G968" s="2" t="s">
        <v>3574</v>
      </c>
      <c r="H968" s="2">
        <v>67497</v>
      </c>
    </row>
    <row r="969" spans="1:8">
      <c r="A969" s="2" t="s">
        <v>3465</v>
      </c>
      <c r="B969" s="2" t="s">
        <v>4648</v>
      </c>
      <c r="C969" s="2" t="s">
        <v>4628</v>
      </c>
      <c r="D969" s="2">
        <v>72224000</v>
      </c>
      <c r="E969" s="2" t="s">
        <v>4559</v>
      </c>
      <c r="F969" s="2" t="s">
        <v>2200</v>
      </c>
      <c r="G969" s="2" t="s">
        <v>3629</v>
      </c>
      <c r="H969" s="2">
        <v>51210</v>
      </c>
    </row>
    <row r="970" spans="1:8">
      <c r="A970" s="2" t="s">
        <v>3477</v>
      </c>
      <c r="B970" s="2" t="s">
        <v>4649</v>
      </c>
      <c r="C970" s="2" t="s">
        <v>4628</v>
      </c>
      <c r="D970" s="2">
        <v>72225000</v>
      </c>
      <c r="E970" s="2" t="s">
        <v>4559</v>
      </c>
      <c r="F970" s="2" t="s">
        <v>2200</v>
      </c>
      <c r="G970" s="2" t="s">
        <v>3626</v>
      </c>
      <c r="H970" s="2">
        <v>15919</v>
      </c>
    </row>
    <row r="971" spans="1:8">
      <c r="A971" s="2" t="s">
        <v>2789</v>
      </c>
      <c r="B971" s="2" t="s">
        <v>4650</v>
      </c>
      <c r="C971" s="2" t="s">
        <v>4620</v>
      </c>
      <c r="D971" s="2">
        <v>72227000</v>
      </c>
      <c r="E971" s="2" t="s">
        <v>4559</v>
      </c>
      <c r="F971" s="2" t="s">
        <v>2200</v>
      </c>
      <c r="G971" s="2" t="s">
        <v>3574</v>
      </c>
      <c r="H971" s="2">
        <v>118753</v>
      </c>
    </row>
    <row r="972" spans="1:8">
      <c r="A972" s="2" t="s">
        <v>3494</v>
      </c>
      <c r="B972" s="2" t="s">
        <v>4651</v>
      </c>
      <c r="C972" s="2" t="s">
        <v>4616</v>
      </c>
      <c r="D972" s="2">
        <v>72228000</v>
      </c>
      <c r="E972" s="2" t="s">
        <v>4559</v>
      </c>
      <c r="F972" s="2" t="s">
        <v>2200</v>
      </c>
      <c r="G972" s="2" t="s">
        <v>3634</v>
      </c>
      <c r="H972" s="2">
        <v>36429</v>
      </c>
    </row>
    <row r="973" spans="1:8">
      <c r="A973" s="2" t="s">
        <v>3502</v>
      </c>
      <c r="B973" s="2" t="s">
        <v>4652</v>
      </c>
      <c r="C973" s="2" t="s">
        <v>4628</v>
      </c>
      <c r="D973" s="2">
        <v>72229000</v>
      </c>
      <c r="E973" s="2" t="s">
        <v>4559</v>
      </c>
      <c r="F973" s="2" t="s">
        <v>2200</v>
      </c>
      <c r="G973" s="2" t="s">
        <v>3626</v>
      </c>
      <c r="H973" s="2">
        <v>19373</v>
      </c>
    </row>
    <row r="974" spans="1:8">
      <c r="A974" s="2" t="s">
        <v>3510</v>
      </c>
      <c r="B974" s="2" t="s">
        <v>4653</v>
      </c>
      <c r="C974" s="2" t="s">
        <v>4616</v>
      </c>
      <c r="D974" s="2">
        <v>72231000</v>
      </c>
      <c r="E974" s="2" t="s">
        <v>4559</v>
      </c>
      <c r="F974" s="2" t="s">
        <v>2200</v>
      </c>
      <c r="G974" s="2" t="s">
        <v>3600</v>
      </c>
      <c r="H974" s="2">
        <v>55332</v>
      </c>
    </row>
    <row r="975" spans="1:8">
      <c r="A975" s="2" t="s">
        <v>3514</v>
      </c>
      <c r="B975" s="2" t="s">
        <v>4654</v>
      </c>
      <c r="C975" s="2" t="s">
        <v>4618</v>
      </c>
      <c r="D975" s="2">
        <v>72232000</v>
      </c>
      <c r="E975" s="2" t="s">
        <v>4559</v>
      </c>
      <c r="F975" s="2" t="s">
        <v>2200</v>
      </c>
      <c r="G975" s="2" t="s">
        <v>3574</v>
      </c>
      <c r="H975" s="2">
        <v>132135</v>
      </c>
    </row>
    <row r="976" spans="1:8">
      <c r="A976" s="2" t="s">
        <v>3518</v>
      </c>
      <c r="B976" s="2" t="s">
        <v>4655</v>
      </c>
      <c r="C976" s="2" t="s">
        <v>4628</v>
      </c>
      <c r="D976" s="2">
        <v>72233000</v>
      </c>
      <c r="E976" s="2" t="s">
        <v>4559</v>
      </c>
      <c r="F976" s="2" t="s">
        <v>2200</v>
      </c>
      <c r="G976" s="2" t="s">
        <v>3634</v>
      </c>
      <c r="H976" s="2">
        <v>31130</v>
      </c>
    </row>
    <row r="977" spans="1:8">
      <c r="A977" s="2" t="s">
        <v>3522</v>
      </c>
      <c r="B977" s="2" t="s">
        <v>4656</v>
      </c>
      <c r="C977" s="2" t="s">
        <v>4630</v>
      </c>
      <c r="D977" s="2">
        <v>72235000</v>
      </c>
      <c r="E977" s="2" t="s">
        <v>4559</v>
      </c>
      <c r="F977" s="2" t="s">
        <v>2200</v>
      </c>
      <c r="G977" s="2" t="s">
        <v>3634</v>
      </c>
      <c r="H977" s="2">
        <v>27893</v>
      </c>
    </row>
    <row r="978" spans="1:8">
      <c r="A978" s="2" t="s">
        <v>2980</v>
      </c>
      <c r="B978" s="2" t="s">
        <v>4657</v>
      </c>
      <c r="C978" s="2" t="s">
        <v>4620</v>
      </c>
      <c r="D978" s="2">
        <v>72236000</v>
      </c>
      <c r="E978" s="2" t="s">
        <v>4559</v>
      </c>
      <c r="F978" s="2" t="s">
        <v>2200</v>
      </c>
      <c r="G978" s="2" t="s">
        <v>3626</v>
      </c>
      <c r="H978" s="2">
        <v>11308</v>
      </c>
    </row>
    <row r="979" spans="1:8">
      <c r="A979" s="2" t="s">
        <v>3527</v>
      </c>
      <c r="B979" s="2" t="s">
        <v>4658</v>
      </c>
      <c r="C979" s="2" t="s">
        <v>4626</v>
      </c>
      <c r="D979" s="2">
        <v>72237000</v>
      </c>
      <c r="E979" s="2" t="s">
        <v>4559</v>
      </c>
      <c r="F979" s="2" t="s">
        <v>2200</v>
      </c>
      <c r="G979" s="2" t="s">
        <v>3600</v>
      </c>
      <c r="H979" s="2">
        <v>65955</v>
      </c>
    </row>
    <row r="980" spans="1:8">
      <c r="A980" s="2" t="s">
        <v>3531</v>
      </c>
      <c r="B980" s="2" t="s">
        <v>4659</v>
      </c>
      <c r="C980" s="2" t="s">
        <v>4620</v>
      </c>
      <c r="D980" s="2">
        <v>72238000</v>
      </c>
      <c r="E980" s="2" t="s">
        <v>4559</v>
      </c>
      <c r="F980" s="2" t="s">
        <v>2200</v>
      </c>
      <c r="G980" s="2" t="s">
        <v>3634</v>
      </c>
      <c r="H980" s="2">
        <v>25212</v>
      </c>
    </row>
    <row r="981" spans="1:8">
      <c r="A981" s="2" t="s">
        <v>3536</v>
      </c>
      <c r="B981" s="2" t="s">
        <v>4660</v>
      </c>
      <c r="C981" s="2" t="s">
        <v>4628</v>
      </c>
      <c r="D981" s="2">
        <v>72239000</v>
      </c>
      <c r="E981" s="2" t="s">
        <v>4559</v>
      </c>
      <c r="F981" s="2" t="s">
        <v>2200</v>
      </c>
      <c r="G981" s="2" t="s">
        <v>3626</v>
      </c>
      <c r="H981" s="2">
        <v>20360</v>
      </c>
    </row>
    <row r="982" spans="1:8">
      <c r="A982" s="2" t="s">
        <v>3540</v>
      </c>
      <c r="B982" s="2" t="s">
        <v>4661</v>
      </c>
      <c r="C982" s="2" t="s">
        <v>4630</v>
      </c>
      <c r="D982" s="2">
        <v>72240000</v>
      </c>
      <c r="E982" s="2" t="s">
        <v>4559</v>
      </c>
      <c r="F982" s="2" t="s">
        <v>2200</v>
      </c>
      <c r="G982" s="2" t="s">
        <v>3626</v>
      </c>
      <c r="H982" s="2">
        <v>20884</v>
      </c>
    </row>
    <row r="983" spans="1:8">
      <c r="A983" s="2" t="s">
        <v>3087</v>
      </c>
      <c r="B983" s="2" t="s">
        <v>4662</v>
      </c>
      <c r="C983" s="2" t="s">
        <v>4618</v>
      </c>
      <c r="D983" s="2">
        <v>72241000</v>
      </c>
      <c r="E983" s="2" t="s">
        <v>4559</v>
      </c>
      <c r="F983" s="2" t="s">
        <v>2200</v>
      </c>
      <c r="G983" s="2" t="s">
        <v>3600</v>
      </c>
      <c r="H983" s="2">
        <v>66280</v>
      </c>
    </row>
    <row r="984" spans="1:8">
      <c r="A984" s="2" t="s">
        <v>2863</v>
      </c>
      <c r="B984" s="2" t="s">
        <v>4663</v>
      </c>
      <c r="C984" s="2" t="s">
        <v>4620</v>
      </c>
      <c r="D984" s="2">
        <v>72242000</v>
      </c>
      <c r="E984" s="2" t="s">
        <v>4559</v>
      </c>
      <c r="F984" s="2" t="s">
        <v>2200</v>
      </c>
      <c r="G984" s="2" t="s">
        <v>3629</v>
      </c>
      <c r="H984" s="2">
        <v>55180</v>
      </c>
    </row>
    <row r="985" spans="1:8">
      <c r="A985" s="2" t="s">
        <v>3130</v>
      </c>
      <c r="B985" s="2" t="s">
        <v>4664</v>
      </c>
      <c r="C985" s="2" t="s">
        <v>4616</v>
      </c>
      <c r="D985" s="2">
        <v>72243000</v>
      </c>
      <c r="E985" s="2" t="s">
        <v>4559</v>
      </c>
      <c r="F985" s="2" t="s">
        <v>2200</v>
      </c>
      <c r="G985" s="2" t="s">
        <v>3629</v>
      </c>
      <c r="H985" s="2">
        <v>57557</v>
      </c>
    </row>
    <row r="986" spans="1:8">
      <c r="A986" s="2" t="s">
        <v>3029</v>
      </c>
      <c r="B986" s="2" t="s">
        <v>4665</v>
      </c>
      <c r="C986" s="2" t="s">
        <v>4616</v>
      </c>
      <c r="D986" s="2">
        <v>72244000</v>
      </c>
      <c r="E986" s="2" t="s">
        <v>4559</v>
      </c>
      <c r="F986" s="2" t="s">
        <v>2200</v>
      </c>
      <c r="G986" s="2" t="s">
        <v>3634</v>
      </c>
      <c r="H986" s="2">
        <v>28603</v>
      </c>
    </row>
    <row r="987" spans="1:8">
      <c r="A987" s="2" t="s">
        <v>3555</v>
      </c>
      <c r="B987" s="2" t="s">
        <v>4666</v>
      </c>
      <c r="C987" s="2" t="s">
        <v>4630</v>
      </c>
      <c r="D987" s="2">
        <v>72245000</v>
      </c>
      <c r="E987" s="2" t="s">
        <v>4559</v>
      </c>
      <c r="F987" s="2" t="s">
        <v>2200</v>
      </c>
      <c r="G987" s="2" t="s">
        <v>3634</v>
      </c>
      <c r="H987" s="2">
        <v>17857</v>
      </c>
    </row>
    <row r="988" spans="1:8">
      <c r="A988" s="2" t="s">
        <v>3558</v>
      </c>
      <c r="B988" s="2" t="s">
        <v>4667</v>
      </c>
      <c r="C988" s="2" t="s">
        <v>4618</v>
      </c>
      <c r="D988" s="2">
        <v>72246000</v>
      </c>
      <c r="E988" s="2" t="s">
        <v>4559</v>
      </c>
      <c r="F988" s="2" t="s">
        <v>2200</v>
      </c>
      <c r="G988" s="2" t="s">
        <v>3629</v>
      </c>
      <c r="H988" s="2">
        <v>48186</v>
      </c>
    </row>
    <row r="989" spans="1:8">
      <c r="A989" s="2" t="s">
        <v>3242</v>
      </c>
      <c r="B989" s="2" t="s">
        <v>4668</v>
      </c>
      <c r="C989" s="2" t="s">
        <v>4620</v>
      </c>
      <c r="D989" s="2">
        <v>72247000</v>
      </c>
      <c r="E989" s="2" t="s">
        <v>4559</v>
      </c>
      <c r="F989" s="2" t="s">
        <v>2200</v>
      </c>
      <c r="G989" s="2" t="s">
        <v>3634</v>
      </c>
      <c r="H989" s="2">
        <v>35108</v>
      </c>
    </row>
    <row r="990" spans="1:8">
      <c r="A990" s="2" t="s">
        <v>3559</v>
      </c>
      <c r="B990" s="2" t="s">
        <v>4669</v>
      </c>
      <c r="C990" s="2" t="s">
        <v>4616</v>
      </c>
      <c r="D990" s="2">
        <v>72248000</v>
      </c>
      <c r="E990" s="2" t="s">
        <v>4559</v>
      </c>
      <c r="F990" s="2" t="s">
        <v>2200</v>
      </c>
      <c r="G990" s="2" t="s">
        <v>3629</v>
      </c>
      <c r="H990" s="2">
        <v>39013</v>
      </c>
    </row>
    <row r="991" spans="1:8">
      <c r="A991" s="2" t="s">
        <v>3560</v>
      </c>
      <c r="B991" s="2" t="s">
        <v>4670</v>
      </c>
      <c r="C991" s="2" t="s">
        <v>4616</v>
      </c>
      <c r="D991" s="2">
        <v>72249000</v>
      </c>
      <c r="E991" s="2" t="s">
        <v>4559</v>
      </c>
      <c r="F991" s="2" t="s">
        <v>2200</v>
      </c>
      <c r="G991" s="2" t="s">
        <v>3634</v>
      </c>
      <c r="H991" s="2">
        <v>25630</v>
      </c>
    </row>
    <row r="992" spans="1:8">
      <c r="A992" s="2" t="s">
        <v>3561</v>
      </c>
      <c r="B992" s="2" t="s">
        <v>4671</v>
      </c>
      <c r="C992" s="2" t="s">
        <v>4626</v>
      </c>
      <c r="D992" s="2">
        <v>72252000</v>
      </c>
      <c r="E992" s="2" t="s">
        <v>4559</v>
      </c>
      <c r="F992" s="2" t="s">
        <v>2200</v>
      </c>
      <c r="G992" s="2" t="s">
        <v>3600</v>
      </c>
      <c r="H992" s="2">
        <v>63866</v>
      </c>
    </row>
    <row r="993" spans="1:8">
      <c r="A993" s="2" t="s">
        <v>3219</v>
      </c>
      <c r="B993" s="2" t="s">
        <v>4672</v>
      </c>
      <c r="C993" s="2" t="s">
        <v>4620</v>
      </c>
      <c r="D993" s="2">
        <v>72253000</v>
      </c>
      <c r="E993" s="2" t="s">
        <v>4559</v>
      </c>
      <c r="F993" s="2" t="s">
        <v>2200</v>
      </c>
      <c r="G993" s="2" t="s">
        <v>3626</v>
      </c>
      <c r="H993" s="2">
        <v>11296</v>
      </c>
    </row>
    <row r="994" spans="2:5">
      <c r="B994" s="2" t="s">
        <v>20</v>
      </c>
      <c r="E994" s="2" t="s">
        <v>4559</v>
      </c>
    </row>
    <row r="995" spans="1:8">
      <c r="A995" s="2" t="s">
        <v>2383</v>
      </c>
      <c r="B995" s="2" t="s">
        <v>4673</v>
      </c>
      <c r="C995" s="2" t="s">
        <v>4674</v>
      </c>
      <c r="D995" s="2">
        <v>74604000</v>
      </c>
      <c r="E995" s="2" t="s">
        <v>4559</v>
      </c>
      <c r="F995" s="2" t="s">
        <v>2214</v>
      </c>
      <c r="G995" s="2" t="s">
        <v>3629</v>
      </c>
      <c r="H995" s="2">
        <v>76291</v>
      </c>
    </row>
    <row r="996" spans="1:8">
      <c r="A996" s="2" t="s">
        <v>2456</v>
      </c>
      <c r="B996" s="2" t="s">
        <v>4675</v>
      </c>
      <c r="C996" s="2" t="s">
        <v>4676</v>
      </c>
      <c r="D996" s="2">
        <v>74606000</v>
      </c>
      <c r="E996" s="2" t="s">
        <v>4559</v>
      </c>
      <c r="F996" s="2" t="s">
        <v>2214</v>
      </c>
      <c r="G996" s="2" t="s">
        <v>3600</v>
      </c>
      <c r="H996" s="2">
        <v>117900</v>
      </c>
    </row>
    <row r="997" spans="1:8">
      <c r="A997" s="2" t="s">
        <v>2525</v>
      </c>
      <c r="B997" s="2" t="s">
        <v>4677</v>
      </c>
      <c r="C997" s="2" t="s">
        <v>4678</v>
      </c>
      <c r="D997" s="2">
        <v>74608000</v>
      </c>
      <c r="E997" s="2" t="s">
        <v>4559</v>
      </c>
      <c r="F997" s="2" t="s">
        <v>2214</v>
      </c>
      <c r="G997" s="2" t="s">
        <v>3634</v>
      </c>
      <c r="H997" s="2">
        <v>54509</v>
      </c>
    </row>
    <row r="998" spans="1:8">
      <c r="A998" s="2" t="s">
        <v>2595</v>
      </c>
      <c r="B998" s="2" t="s">
        <v>4679</v>
      </c>
      <c r="C998" s="2" t="s">
        <v>4674</v>
      </c>
      <c r="D998" s="2">
        <v>74610000</v>
      </c>
      <c r="E998" s="2" t="s">
        <v>4559</v>
      </c>
      <c r="F998" s="2" t="s">
        <v>2214</v>
      </c>
      <c r="G998" s="2" t="s">
        <v>3629</v>
      </c>
      <c r="H998" s="2">
        <v>131377</v>
      </c>
    </row>
    <row r="999" spans="1:8">
      <c r="A999" s="2" t="s">
        <v>2660</v>
      </c>
      <c r="B999" s="2" t="s">
        <v>4680</v>
      </c>
      <c r="C999" s="2" t="s">
        <v>4678</v>
      </c>
      <c r="D999" s="2">
        <v>74611000</v>
      </c>
      <c r="E999" s="2" t="s">
        <v>4559</v>
      </c>
      <c r="F999" s="2" t="s">
        <v>2214</v>
      </c>
      <c r="G999" s="2" t="s">
        <v>3626</v>
      </c>
      <c r="H999" s="2">
        <v>95969</v>
      </c>
    </row>
    <row r="1000" spans="1:8">
      <c r="A1000" s="2" t="s">
        <v>2724</v>
      </c>
      <c r="B1000" s="2" t="s">
        <v>4681</v>
      </c>
      <c r="C1000" s="2" t="s">
        <v>4674</v>
      </c>
      <c r="D1000" s="2">
        <v>74621000</v>
      </c>
      <c r="E1000" s="2" t="s">
        <v>4559</v>
      </c>
      <c r="F1000" s="2" t="s">
        <v>2214</v>
      </c>
      <c r="G1000" s="2" t="s">
        <v>3634</v>
      </c>
      <c r="H1000" s="2">
        <v>80532</v>
      </c>
    </row>
    <row r="1001" spans="1:8">
      <c r="A1001" s="2" t="s">
        <v>2784</v>
      </c>
      <c r="B1001" s="2" t="s">
        <v>4682</v>
      </c>
      <c r="C1001" s="2" t="s">
        <v>4674</v>
      </c>
      <c r="D1001" s="2">
        <v>74601000</v>
      </c>
      <c r="E1001" s="2" t="s">
        <v>4559</v>
      </c>
      <c r="F1001" s="2" t="s">
        <v>2214</v>
      </c>
      <c r="G1001" s="2" t="s">
        <v>3634</v>
      </c>
      <c r="H1001" s="2">
        <v>23624</v>
      </c>
    </row>
    <row r="1002" spans="1:8">
      <c r="A1002" s="2" t="s">
        <v>2843</v>
      </c>
      <c r="B1002" s="2" t="s">
        <v>4683</v>
      </c>
      <c r="C1002" s="2" t="s">
        <v>4678</v>
      </c>
      <c r="D1002" s="2">
        <v>74602000</v>
      </c>
      <c r="E1002" s="2" t="s">
        <v>4559</v>
      </c>
      <c r="F1002" s="2" t="s">
        <v>2214</v>
      </c>
      <c r="G1002" s="2" t="s">
        <v>3600</v>
      </c>
      <c r="H1002" s="2">
        <v>46303</v>
      </c>
    </row>
    <row r="1003" spans="1:8">
      <c r="A1003" s="2" t="s">
        <v>2899</v>
      </c>
      <c r="B1003" s="2" t="s">
        <v>4684</v>
      </c>
      <c r="C1003" s="2" t="s">
        <v>4676</v>
      </c>
      <c r="D1003" s="2">
        <v>74603000</v>
      </c>
      <c r="E1003" s="2" t="s">
        <v>4559</v>
      </c>
      <c r="F1003" s="2" t="s">
        <v>2214</v>
      </c>
      <c r="G1003" s="2" t="s">
        <v>3634</v>
      </c>
      <c r="H1003" s="2">
        <v>36527</v>
      </c>
    </row>
    <row r="1004" spans="1:8">
      <c r="A1004" s="2" t="s">
        <v>2951</v>
      </c>
      <c r="B1004" s="2" t="s">
        <v>4685</v>
      </c>
      <c r="C1004" s="2" t="s">
        <v>4676</v>
      </c>
      <c r="D1004" s="2">
        <v>74605000</v>
      </c>
      <c r="E1004" s="2" t="s">
        <v>4559</v>
      </c>
      <c r="F1004" s="2" t="s">
        <v>2214</v>
      </c>
      <c r="G1004" s="2" t="s">
        <v>3634</v>
      </c>
      <c r="H1004" s="2">
        <v>26566</v>
      </c>
    </row>
    <row r="1005" spans="1:8">
      <c r="A1005" s="2" t="s">
        <v>3002</v>
      </c>
      <c r="B1005" s="2" t="s">
        <v>4686</v>
      </c>
      <c r="C1005" s="2" t="s">
        <v>4678</v>
      </c>
      <c r="D1005" s="2">
        <v>74607000</v>
      </c>
      <c r="E1005" s="2" t="s">
        <v>4559</v>
      </c>
      <c r="F1005" s="2" t="s">
        <v>2214</v>
      </c>
      <c r="G1005" s="2" t="s">
        <v>3629</v>
      </c>
      <c r="H1005" s="2">
        <v>39819</v>
      </c>
    </row>
    <row r="1006" spans="1:8">
      <c r="A1006" s="2" t="s">
        <v>3051</v>
      </c>
      <c r="B1006" s="2" t="s">
        <v>4687</v>
      </c>
      <c r="C1006" s="2" t="s">
        <v>4676</v>
      </c>
      <c r="D1006" s="2">
        <v>74609000</v>
      </c>
      <c r="E1006" s="2" t="s">
        <v>4559</v>
      </c>
      <c r="F1006" s="2" t="s">
        <v>2214</v>
      </c>
      <c r="G1006" s="2" t="s">
        <v>3634</v>
      </c>
      <c r="H1006" s="2">
        <v>27786</v>
      </c>
    </row>
    <row r="1007" spans="1:8">
      <c r="A1007" s="2" t="s">
        <v>3094</v>
      </c>
      <c r="B1007" s="2" t="s">
        <v>4688</v>
      </c>
      <c r="C1007" s="2" t="s">
        <v>4678</v>
      </c>
      <c r="D1007" s="2">
        <v>74612000</v>
      </c>
      <c r="E1007" s="2" t="s">
        <v>4559</v>
      </c>
      <c r="F1007" s="2" t="s">
        <v>2214</v>
      </c>
      <c r="G1007" s="2" t="s">
        <v>3634</v>
      </c>
      <c r="H1007" s="2">
        <v>30945</v>
      </c>
    </row>
    <row r="1008" spans="1:8">
      <c r="A1008" s="2" t="s">
        <v>2603</v>
      </c>
      <c r="B1008" s="2" t="s">
        <v>4689</v>
      </c>
      <c r="C1008" s="2" t="s">
        <v>4678</v>
      </c>
      <c r="D1008" s="2">
        <v>74613000</v>
      </c>
      <c r="E1008" s="2" t="s">
        <v>4559</v>
      </c>
      <c r="F1008" s="2" t="s">
        <v>2214</v>
      </c>
      <c r="G1008" s="2" t="s">
        <v>3629</v>
      </c>
      <c r="H1008" s="2">
        <v>38602</v>
      </c>
    </row>
    <row r="1009" spans="1:8">
      <c r="A1009" s="2" t="s">
        <v>3173</v>
      </c>
      <c r="B1009" s="2" t="s">
        <v>4690</v>
      </c>
      <c r="C1009" s="2" t="s">
        <v>4674</v>
      </c>
      <c r="D1009" s="2">
        <v>74614000</v>
      </c>
      <c r="E1009" s="2" t="s">
        <v>4559</v>
      </c>
      <c r="F1009" s="2" t="s">
        <v>2214</v>
      </c>
      <c r="G1009" s="2" t="s">
        <v>3574</v>
      </c>
      <c r="H1009" s="2">
        <v>78864</v>
      </c>
    </row>
    <row r="1010" spans="1:8">
      <c r="A1010" s="2" t="s">
        <v>3211</v>
      </c>
      <c r="B1010" s="2" t="s">
        <v>4691</v>
      </c>
      <c r="C1010" s="2" t="s">
        <v>4678</v>
      </c>
      <c r="D1010" s="2">
        <v>74615000</v>
      </c>
      <c r="E1010" s="2" t="s">
        <v>4559</v>
      </c>
      <c r="F1010" s="2" t="s">
        <v>2214</v>
      </c>
      <c r="G1010" s="2" t="s">
        <v>3600</v>
      </c>
      <c r="H1010" s="2">
        <v>42332</v>
      </c>
    </row>
    <row r="1011" spans="1:8">
      <c r="A1011" s="2" t="s">
        <v>620</v>
      </c>
      <c r="B1011" s="2" t="s">
        <v>4692</v>
      </c>
      <c r="C1011" s="2" t="s">
        <v>4674</v>
      </c>
      <c r="D1011" s="2">
        <v>74616000</v>
      </c>
      <c r="E1011" s="2" t="s">
        <v>4559</v>
      </c>
      <c r="F1011" s="2" t="s">
        <v>2214</v>
      </c>
      <c r="G1011" s="2" t="s">
        <v>3629</v>
      </c>
      <c r="H1011" s="2">
        <v>37596</v>
      </c>
    </row>
    <row r="1012" spans="1:8">
      <c r="A1012" s="2" t="s">
        <v>2937</v>
      </c>
      <c r="B1012" s="2" t="s">
        <v>4693</v>
      </c>
      <c r="C1012" s="2" t="s">
        <v>4674</v>
      </c>
      <c r="D1012" s="2">
        <v>74617000</v>
      </c>
      <c r="E1012" s="2" t="s">
        <v>4559</v>
      </c>
      <c r="F1012" s="2" t="s">
        <v>2214</v>
      </c>
      <c r="G1012" s="2" t="s">
        <v>3626</v>
      </c>
      <c r="H1012" s="2">
        <v>20413</v>
      </c>
    </row>
    <row r="1013" spans="1:8">
      <c r="A1013" s="2" t="s">
        <v>3295</v>
      </c>
      <c r="B1013" s="2" t="s">
        <v>4694</v>
      </c>
      <c r="C1013" s="2" t="s">
        <v>4676</v>
      </c>
      <c r="D1013" s="2">
        <v>74618000</v>
      </c>
      <c r="E1013" s="2" t="s">
        <v>4559</v>
      </c>
      <c r="F1013" s="2" t="s">
        <v>2214</v>
      </c>
      <c r="G1013" s="2" t="s">
        <v>3574</v>
      </c>
      <c r="H1013" s="2">
        <v>75756</v>
      </c>
    </row>
    <row r="1014" spans="1:8">
      <c r="A1014" s="2" t="s">
        <v>3320</v>
      </c>
      <c r="B1014" s="2" t="s">
        <v>4695</v>
      </c>
      <c r="C1014" s="2" t="s">
        <v>4676</v>
      </c>
      <c r="D1014" s="2">
        <v>74619000</v>
      </c>
      <c r="E1014" s="2" t="s">
        <v>4559</v>
      </c>
      <c r="F1014" s="2" t="s">
        <v>2214</v>
      </c>
      <c r="G1014" s="2" t="s">
        <v>3574</v>
      </c>
      <c r="H1014" s="2">
        <v>77696</v>
      </c>
    </row>
    <row r="1015" spans="1:8">
      <c r="A1015" s="2" t="s">
        <v>3346</v>
      </c>
      <c r="B1015" s="2" t="s">
        <v>4696</v>
      </c>
      <c r="C1015" s="2" t="s">
        <v>4674</v>
      </c>
      <c r="D1015" s="2">
        <v>74620000</v>
      </c>
      <c r="E1015" s="2" t="s">
        <v>4559</v>
      </c>
      <c r="F1015" s="2" t="s">
        <v>2214</v>
      </c>
      <c r="G1015" s="2" t="s">
        <v>3600</v>
      </c>
      <c r="H1015" s="2">
        <v>59455</v>
      </c>
    </row>
    <row r="1016" spans="1:8">
      <c r="A1016" s="2" t="s">
        <v>3366</v>
      </c>
      <c r="B1016" s="2" t="s">
        <v>4697</v>
      </c>
      <c r="C1016" s="2" t="s">
        <v>4678</v>
      </c>
      <c r="D1016" s="2">
        <v>74622000</v>
      </c>
      <c r="E1016" s="2" t="s">
        <v>4559</v>
      </c>
      <c r="F1016" s="2" t="s">
        <v>2214</v>
      </c>
      <c r="G1016" s="2" t="s">
        <v>3629</v>
      </c>
      <c r="H1016" s="2">
        <v>35470</v>
      </c>
    </row>
    <row r="1017" spans="1:8">
      <c r="A1017" s="2" t="s">
        <v>3390</v>
      </c>
      <c r="B1017" s="2" t="s">
        <v>4698</v>
      </c>
      <c r="C1017" s="2" t="s">
        <v>4676</v>
      </c>
      <c r="D1017" s="2">
        <v>74623000</v>
      </c>
      <c r="E1017" s="2" t="s">
        <v>4559</v>
      </c>
      <c r="F1017" s="2" t="s">
        <v>2214</v>
      </c>
      <c r="G1017" s="2" t="s">
        <v>3574</v>
      </c>
      <c r="H1017" s="2">
        <v>34852</v>
      </c>
    </row>
    <row r="1018" spans="1:8">
      <c r="A1018" s="2" t="s">
        <v>3407</v>
      </c>
      <c r="B1018" s="2" t="s">
        <v>4699</v>
      </c>
      <c r="C1018" s="2" t="s">
        <v>4678</v>
      </c>
      <c r="D1018" s="2">
        <v>74624000</v>
      </c>
      <c r="E1018" s="2" t="s">
        <v>4559</v>
      </c>
      <c r="F1018" s="2" t="s">
        <v>2214</v>
      </c>
      <c r="G1018" s="2" t="s">
        <v>3629</v>
      </c>
      <c r="H1018" s="2">
        <v>38259</v>
      </c>
    </row>
    <row r="1019" spans="1:8">
      <c r="A1019" s="2" t="s">
        <v>3421</v>
      </c>
      <c r="B1019" s="2" t="s">
        <v>4700</v>
      </c>
      <c r="C1019" s="2" t="s">
        <v>4676</v>
      </c>
      <c r="D1019" s="2">
        <v>74625000</v>
      </c>
      <c r="E1019" s="2" t="s">
        <v>4559</v>
      </c>
      <c r="F1019" s="2" t="s">
        <v>2214</v>
      </c>
      <c r="G1019" s="2" t="s">
        <v>3634</v>
      </c>
      <c r="H1019" s="2">
        <v>27552</v>
      </c>
    </row>
    <row r="1020" spans="2:5">
      <c r="B1020" s="2" t="s">
        <v>20</v>
      </c>
      <c r="E1020" s="2" t="s">
        <v>4559</v>
      </c>
    </row>
    <row r="1021" spans="1:8">
      <c r="A1021" s="2" t="s">
        <v>2384</v>
      </c>
      <c r="B1021" s="2" t="s">
        <v>4701</v>
      </c>
      <c r="C1021" s="2" t="s">
        <v>4702</v>
      </c>
      <c r="D1021" s="2">
        <v>76101000</v>
      </c>
      <c r="E1021" s="2" t="s">
        <v>4559</v>
      </c>
      <c r="F1021" s="2" t="s">
        <v>2228</v>
      </c>
      <c r="G1021" s="2" t="s">
        <v>3626</v>
      </c>
      <c r="H1021" s="2">
        <v>6104</v>
      </c>
    </row>
    <row r="1022" spans="1:8">
      <c r="A1022" s="2" t="s">
        <v>2457</v>
      </c>
      <c r="B1022" s="2" t="s">
        <v>4703</v>
      </c>
      <c r="C1022" s="2" t="s">
        <v>4702</v>
      </c>
      <c r="D1022" s="2">
        <v>76102000</v>
      </c>
      <c r="E1022" s="2" t="s">
        <v>4559</v>
      </c>
      <c r="F1022" s="2" t="s">
        <v>2228</v>
      </c>
      <c r="G1022" s="2" t="s">
        <v>3626</v>
      </c>
      <c r="H1022" s="2">
        <v>13847</v>
      </c>
    </row>
    <row r="1023" spans="1:8">
      <c r="A1023" s="2" t="s">
        <v>2526</v>
      </c>
      <c r="B1023" s="2" t="s">
        <v>4704</v>
      </c>
      <c r="C1023" s="2" t="s">
        <v>4702</v>
      </c>
      <c r="D1023" s="2">
        <v>76103000</v>
      </c>
      <c r="E1023" s="2" t="s">
        <v>4559</v>
      </c>
      <c r="F1023" s="2" t="s">
        <v>2228</v>
      </c>
      <c r="G1023" s="2" t="s">
        <v>3634</v>
      </c>
      <c r="H1023" s="2">
        <v>20490</v>
      </c>
    </row>
    <row r="1024" spans="1:8">
      <c r="A1024" s="2" t="s">
        <v>2596</v>
      </c>
      <c r="B1024" s="2" t="s">
        <v>4705</v>
      </c>
      <c r="C1024" s="2" t="s">
        <v>4702</v>
      </c>
      <c r="D1024" s="2">
        <v>76104000</v>
      </c>
      <c r="E1024" s="2" t="s">
        <v>4559</v>
      </c>
      <c r="F1024" s="2" t="s">
        <v>2228</v>
      </c>
      <c r="G1024" s="2" t="s">
        <v>3626</v>
      </c>
      <c r="H1024" s="2">
        <v>13828</v>
      </c>
    </row>
    <row r="1025" spans="1:8">
      <c r="A1025" s="2" t="s">
        <v>2661</v>
      </c>
      <c r="B1025" s="2" t="s">
        <v>4706</v>
      </c>
      <c r="C1025" s="2" t="s">
        <v>4702</v>
      </c>
      <c r="D1025" s="2">
        <v>76105000</v>
      </c>
      <c r="E1025" s="2" t="s">
        <v>4559</v>
      </c>
      <c r="F1025" s="2" t="s">
        <v>2228</v>
      </c>
      <c r="G1025" s="2" t="s">
        <v>3626</v>
      </c>
      <c r="H1025" s="2">
        <v>14854</v>
      </c>
    </row>
    <row r="1026" spans="1:8">
      <c r="A1026" s="2" t="s">
        <v>2725</v>
      </c>
      <c r="B1026" s="2" t="s">
        <v>4707</v>
      </c>
      <c r="C1026" s="2" t="s">
        <v>4702</v>
      </c>
      <c r="D1026" s="2">
        <v>76106000</v>
      </c>
      <c r="E1026" s="2" t="s">
        <v>4559</v>
      </c>
      <c r="F1026" s="2" t="s">
        <v>2228</v>
      </c>
      <c r="G1026" s="2" t="s">
        <v>3634</v>
      </c>
      <c r="H1026" s="2">
        <v>26861</v>
      </c>
    </row>
    <row r="1027" spans="2:5">
      <c r="B1027" s="2" t="s">
        <v>20</v>
      </c>
      <c r="E1027" s="2" t="s">
        <v>4708</v>
      </c>
    </row>
    <row r="1028" spans="1:8">
      <c r="A1028" s="2" t="s">
        <v>2385</v>
      </c>
      <c r="B1028" s="2" t="s">
        <v>4709</v>
      </c>
      <c r="C1028" s="2" t="s">
        <v>4710</v>
      </c>
      <c r="D1028" s="2">
        <v>87801000</v>
      </c>
      <c r="E1028" s="2" t="s">
        <v>4708</v>
      </c>
      <c r="F1028" s="2" t="s">
        <v>2187</v>
      </c>
      <c r="G1028" s="2" t="s">
        <v>3626</v>
      </c>
      <c r="H1028" s="2">
        <v>16951</v>
      </c>
    </row>
    <row r="1029" spans="1:8">
      <c r="A1029" s="2" t="s">
        <v>2306</v>
      </c>
      <c r="B1029" s="2" t="s">
        <v>4711</v>
      </c>
      <c r="C1029" s="2" t="s">
        <v>4710</v>
      </c>
      <c r="D1029" s="2">
        <v>87802000</v>
      </c>
      <c r="E1029" s="2" t="s">
        <v>4708</v>
      </c>
      <c r="F1029" s="2" t="s">
        <v>2187</v>
      </c>
      <c r="G1029" s="2" t="s">
        <v>3626</v>
      </c>
      <c r="H1029" s="2">
        <v>16882</v>
      </c>
    </row>
    <row r="1030" spans="1:8">
      <c r="A1030" s="2" t="s">
        <v>2527</v>
      </c>
      <c r="B1030" s="2" t="s">
        <v>4712</v>
      </c>
      <c r="C1030" s="2" t="s">
        <v>4710</v>
      </c>
      <c r="D1030" s="2">
        <v>87803000</v>
      </c>
      <c r="E1030" s="2" t="s">
        <v>4708</v>
      </c>
      <c r="F1030" s="2" t="s">
        <v>2187</v>
      </c>
      <c r="G1030" s="2" t="s">
        <v>3626</v>
      </c>
      <c r="H1030" s="2">
        <v>20788</v>
      </c>
    </row>
    <row r="1031" spans="1:8">
      <c r="A1031" s="2" t="s">
        <v>2597</v>
      </c>
      <c r="B1031" s="2" t="s">
        <v>4713</v>
      </c>
      <c r="C1031" s="2" t="s">
        <v>4710</v>
      </c>
      <c r="D1031" s="2">
        <v>87804000</v>
      </c>
      <c r="E1031" s="2" t="s">
        <v>4708</v>
      </c>
      <c r="F1031" s="2" t="s">
        <v>2187</v>
      </c>
      <c r="G1031" s="2" t="s">
        <v>3626</v>
      </c>
      <c r="H1031" s="2">
        <v>22524</v>
      </c>
    </row>
    <row r="1032" spans="1:8">
      <c r="A1032" s="2" t="s">
        <v>2662</v>
      </c>
      <c r="B1032" s="2" t="s">
        <v>4714</v>
      </c>
      <c r="C1032" s="2" t="s">
        <v>4710</v>
      </c>
      <c r="D1032" s="2">
        <v>87805000</v>
      </c>
      <c r="E1032" s="2" t="s">
        <v>4708</v>
      </c>
      <c r="F1032" s="2" t="s">
        <v>2187</v>
      </c>
      <c r="G1032" s="2" t="s">
        <v>3626</v>
      </c>
      <c r="H1032" s="2">
        <v>12325</v>
      </c>
    </row>
    <row r="1033" spans="1:8">
      <c r="A1033" s="2" t="s">
        <v>2726</v>
      </c>
      <c r="B1033" s="2" t="s">
        <v>4715</v>
      </c>
      <c r="C1033" s="2" t="s">
        <v>4710</v>
      </c>
      <c r="D1033" s="2">
        <v>87806000</v>
      </c>
      <c r="E1033" s="2" t="s">
        <v>4708</v>
      </c>
      <c r="F1033" s="2" t="s">
        <v>2187</v>
      </c>
      <c r="G1033" s="2" t="s">
        <v>3626</v>
      </c>
      <c r="H1033" s="2">
        <v>20291</v>
      </c>
    </row>
    <row r="1034" spans="1:8">
      <c r="A1034" s="2" t="s">
        <v>2785</v>
      </c>
      <c r="B1034" s="2" t="s">
        <v>4716</v>
      </c>
      <c r="C1034" s="2" t="s">
        <v>4710</v>
      </c>
      <c r="D1034" s="2">
        <v>87807000</v>
      </c>
      <c r="E1034" s="2" t="s">
        <v>4708</v>
      </c>
      <c r="F1034" s="2" t="s">
        <v>2187</v>
      </c>
      <c r="G1034" s="2" t="s">
        <v>3626</v>
      </c>
      <c r="H1034" s="2">
        <v>7159</v>
      </c>
    </row>
    <row r="1035" spans="1:8">
      <c r="A1035" s="2" t="s">
        <v>2844</v>
      </c>
      <c r="B1035" s="2" t="s">
        <v>4717</v>
      </c>
      <c r="C1035" s="2" t="s">
        <v>4710</v>
      </c>
      <c r="D1035" s="2">
        <v>87808000</v>
      </c>
      <c r="E1035" s="2" t="s">
        <v>4708</v>
      </c>
      <c r="F1035" s="2" t="s">
        <v>2187</v>
      </c>
      <c r="G1035" s="2" t="s">
        <v>3600</v>
      </c>
      <c r="H1035" s="2">
        <v>54692</v>
      </c>
    </row>
    <row r="1036" spans="2:5">
      <c r="B1036" s="2" t="s">
        <v>20</v>
      </c>
      <c r="E1036" s="2" t="s">
        <v>4708</v>
      </c>
    </row>
    <row r="1037" spans="1:8">
      <c r="A1037" s="2" t="s">
        <v>2390</v>
      </c>
      <c r="B1037" s="2" t="s">
        <v>4718</v>
      </c>
      <c r="C1037" s="2" t="s">
        <v>4719</v>
      </c>
      <c r="D1037" s="2">
        <v>82604000</v>
      </c>
      <c r="E1037" s="2" t="s">
        <v>4708</v>
      </c>
      <c r="F1037" s="2" t="s">
        <v>2201</v>
      </c>
      <c r="G1037" s="2" t="s">
        <v>3574</v>
      </c>
      <c r="H1037" s="2">
        <v>69297</v>
      </c>
    </row>
    <row r="1038" spans="1:8">
      <c r="A1038" s="2" t="s">
        <v>2462</v>
      </c>
      <c r="B1038" s="2" t="s">
        <v>4720</v>
      </c>
      <c r="C1038" s="2" t="s">
        <v>4719</v>
      </c>
      <c r="D1038" s="2">
        <v>82601000</v>
      </c>
      <c r="E1038" s="2" t="s">
        <v>4708</v>
      </c>
      <c r="F1038" s="2" t="s">
        <v>2201</v>
      </c>
      <c r="G1038" s="2" t="s">
        <v>3629</v>
      </c>
      <c r="H1038" s="2">
        <v>16026</v>
      </c>
    </row>
    <row r="1039" spans="1:8">
      <c r="A1039" s="2" t="s">
        <v>2532</v>
      </c>
      <c r="B1039" s="2" t="s">
        <v>4721</v>
      </c>
      <c r="C1039" s="2" t="s">
        <v>4719</v>
      </c>
      <c r="D1039" s="2">
        <v>82602000</v>
      </c>
      <c r="E1039" s="2" t="s">
        <v>4708</v>
      </c>
      <c r="F1039" s="2" t="s">
        <v>2201</v>
      </c>
      <c r="G1039" s="2" t="s">
        <v>3634</v>
      </c>
      <c r="H1039" s="2">
        <v>14085</v>
      </c>
    </row>
    <row r="1040" spans="1:8">
      <c r="A1040" s="2" t="s">
        <v>2602</v>
      </c>
      <c r="B1040" s="2" t="s">
        <v>4722</v>
      </c>
      <c r="C1040" s="2" t="s">
        <v>4719</v>
      </c>
      <c r="D1040" s="2">
        <v>82603000</v>
      </c>
      <c r="E1040" s="2" t="s">
        <v>4708</v>
      </c>
      <c r="F1040" s="2" t="s">
        <v>2201</v>
      </c>
      <c r="G1040" s="2" t="s">
        <v>3626</v>
      </c>
      <c r="H1040" s="2">
        <v>10125</v>
      </c>
    </row>
    <row r="1041" spans="1:8">
      <c r="A1041" s="2" t="s">
        <v>2667</v>
      </c>
      <c r="B1041" s="2" t="s">
        <v>4723</v>
      </c>
      <c r="C1041" s="2" t="s">
        <v>4719</v>
      </c>
      <c r="D1041" s="2">
        <v>82605000</v>
      </c>
      <c r="E1041" s="2" t="s">
        <v>4708</v>
      </c>
      <c r="F1041" s="2" t="s">
        <v>2201</v>
      </c>
      <c r="G1041" s="2" t="s">
        <v>3634</v>
      </c>
      <c r="H1041" s="2">
        <v>21015</v>
      </c>
    </row>
    <row r="1042" spans="1:8">
      <c r="A1042" s="2" t="s">
        <v>2731</v>
      </c>
      <c r="B1042" s="2" t="s">
        <v>4724</v>
      </c>
      <c r="C1042" s="2" t="s">
        <v>4719</v>
      </c>
      <c r="D1042" s="2">
        <v>82606000</v>
      </c>
      <c r="E1042" s="2" t="s">
        <v>4708</v>
      </c>
      <c r="F1042" s="2" t="s">
        <v>2201</v>
      </c>
      <c r="G1042" s="2" t="s">
        <v>3629</v>
      </c>
      <c r="H1042" s="2">
        <v>42866</v>
      </c>
    </row>
    <row r="1043" spans="1:8">
      <c r="A1043" s="2" t="s">
        <v>2790</v>
      </c>
      <c r="B1043" s="2" t="s">
        <v>4725</v>
      </c>
      <c r="C1043" s="2" t="s">
        <v>4719</v>
      </c>
      <c r="D1043" s="2">
        <v>82607000</v>
      </c>
      <c r="E1043" s="2" t="s">
        <v>4708</v>
      </c>
      <c r="F1043" s="2" t="s">
        <v>2201</v>
      </c>
      <c r="G1043" s="2" t="s">
        <v>3626</v>
      </c>
      <c r="H1043" s="2">
        <v>14550</v>
      </c>
    </row>
    <row r="1044" spans="1:8">
      <c r="A1044" s="2" t="s">
        <v>2849</v>
      </c>
      <c r="B1044" s="2" t="s">
        <v>4726</v>
      </c>
      <c r="C1044" s="2" t="s">
        <v>4719</v>
      </c>
      <c r="D1044" s="2">
        <v>82608000</v>
      </c>
      <c r="E1044" s="2" t="s">
        <v>4708</v>
      </c>
      <c r="F1044" s="2" t="s">
        <v>2201</v>
      </c>
      <c r="G1044" s="2" t="s">
        <v>3626</v>
      </c>
      <c r="H1044" s="2">
        <v>13308</v>
      </c>
    </row>
    <row r="1045" spans="1:8">
      <c r="A1045" s="2" t="s">
        <v>2903</v>
      </c>
      <c r="B1045" s="2" t="s">
        <v>4727</v>
      </c>
      <c r="C1045" s="2" t="s">
        <v>4719</v>
      </c>
      <c r="D1045" s="2">
        <v>82609000</v>
      </c>
      <c r="E1045" s="2" t="s">
        <v>4708</v>
      </c>
      <c r="F1045" s="2" t="s">
        <v>2201</v>
      </c>
      <c r="G1045" s="2" t="s">
        <v>3600</v>
      </c>
      <c r="H1045" s="2">
        <v>52991</v>
      </c>
    </row>
    <row r="1046" spans="1:8">
      <c r="A1046" s="2" t="s">
        <v>2956</v>
      </c>
      <c r="B1046" s="2" t="s">
        <v>4728</v>
      </c>
      <c r="C1046" s="2" t="s">
        <v>4719</v>
      </c>
      <c r="D1046" s="2">
        <v>82610000</v>
      </c>
      <c r="E1046" s="2" t="s">
        <v>4708</v>
      </c>
      <c r="F1046" s="2" t="s">
        <v>2201</v>
      </c>
      <c r="G1046" s="2" t="s">
        <v>3626</v>
      </c>
      <c r="H1046" s="2">
        <v>8573</v>
      </c>
    </row>
    <row r="1047" spans="1:8">
      <c r="A1047" s="2" t="s">
        <v>3007</v>
      </c>
      <c r="B1047" s="2" t="s">
        <v>4729</v>
      </c>
      <c r="C1047" s="2" t="s">
        <v>4719</v>
      </c>
      <c r="D1047" s="2">
        <v>82611000</v>
      </c>
      <c r="E1047" s="2" t="s">
        <v>4708</v>
      </c>
      <c r="F1047" s="2" t="s">
        <v>2201</v>
      </c>
      <c r="G1047" s="2" t="s">
        <v>3626</v>
      </c>
      <c r="H1047" s="2">
        <v>7885</v>
      </c>
    </row>
    <row r="1048" spans="1:8">
      <c r="A1048" s="2" t="s">
        <v>3056</v>
      </c>
      <c r="B1048" s="2" t="s">
        <v>4730</v>
      </c>
      <c r="C1048" s="2" t="s">
        <v>4719</v>
      </c>
      <c r="D1048" s="2">
        <v>82612000</v>
      </c>
      <c r="E1048" s="2" t="s">
        <v>4708</v>
      </c>
      <c r="F1048" s="2" t="s">
        <v>2201</v>
      </c>
      <c r="G1048" s="2" t="s">
        <v>3626</v>
      </c>
      <c r="H1048" s="2">
        <v>12742</v>
      </c>
    </row>
    <row r="1049" spans="1:8">
      <c r="A1049" s="2" t="s">
        <v>3098</v>
      </c>
      <c r="B1049" s="2" t="s">
        <v>4731</v>
      </c>
      <c r="C1049" s="2" t="s">
        <v>4719</v>
      </c>
      <c r="D1049" s="2">
        <v>82613000</v>
      </c>
      <c r="E1049" s="2" t="s">
        <v>4708</v>
      </c>
      <c r="F1049" s="2" t="s">
        <v>2201</v>
      </c>
      <c r="G1049" s="2" t="s">
        <v>3629</v>
      </c>
      <c r="H1049" s="2">
        <v>20149</v>
      </c>
    </row>
    <row r="1050" spans="1:8">
      <c r="A1050" s="2" t="s">
        <v>3139</v>
      </c>
      <c r="B1050" s="2" t="s">
        <v>4732</v>
      </c>
      <c r="C1050" s="2" t="s">
        <v>4719</v>
      </c>
      <c r="D1050" s="2">
        <v>82614000</v>
      </c>
      <c r="E1050" s="2" t="s">
        <v>4708</v>
      </c>
      <c r="F1050" s="2" t="s">
        <v>2201</v>
      </c>
      <c r="G1050" s="2" t="s">
        <v>3626</v>
      </c>
      <c r="H1050" s="2">
        <v>5407</v>
      </c>
    </row>
    <row r="1051" spans="1:8">
      <c r="A1051" s="2" t="s">
        <v>3178</v>
      </c>
      <c r="B1051" s="2" t="s">
        <v>4733</v>
      </c>
      <c r="C1051" s="2" t="s">
        <v>4719</v>
      </c>
      <c r="D1051" s="2">
        <v>82615000</v>
      </c>
      <c r="E1051" s="2" t="s">
        <v>4708</v>
      </c>
      <c r="F1051" s="2" t="s">
        <v>2201</v>
      </c>
      <c r="G1051" s="2" t="s">
        <v>3634</v>
      </c>
      <c r="H1051" s="2">
        <v>14743</v>
      </c>
    </row>
    <row r="1052" spans="1:8">
      <c r="A1052" s="2" t="s">
        <v>2773</v>
      </c>
      <c r="B1052" s="2" t="s">
        <v>4734</v>
      </c>
      <c r="C1052" s="2" t="s">
        <v>4719</v>
      </c>
      <c r="D1052" s="2">
        <v>82616000</v>
      </c>
      <c r="E1052" s="2" t="s">
        <v>4708</v>
      </c>
      <c r="F1052" s="2" t="s">
        <v>2201</v>
      </c>
      <c r="G1052" s="2" t="s">
        <v>3626</v>
      </c>
      <c r="H1052" s="2">
        <v>6070</v>
      </c>
    </row>
    <row r="1053" spans="1:8">
      <c r="A1053" s="2" t="s">
        <v>3243</v>
      </c>
      <c r="B1053" s="2" t="s">
        <v>4735</v>
      </c>
      <c r="C1053" s="2" t="s">
        <v>4719</v>
      </c>
      <c r="D1053" s="2">
        <v>82617000</v>
      </c>
      <c r="E1053" s="2" t="s">
        <v>4708</v>
      </c>
      <c r="F1053" s="2" t="s">
        <v>2201</v>
      </c>
      <c r="G1053" s="2" t="s">
        <v>3629</v>
      </c>
      <c r="H1053" s="2">
        <v>36540</v>
      </c>
    </row>
    <row r="1054" spans="1:8">
      <c r="A1054" s="2" t="s">
        <v>3273</v>
      </c>
      <c r="B1054" s="2" t="s">
        <v>4736</v>
      </c>
      <c r="C1054" s="2" t="s">
        <v>4719</v>
      </c>
      <c r="D1054" s="2">
        <v>82618000</v>
      </c>
      <c r="E1054" s="2" t="s">
        <v>4708</v>
      </c>
      <c r="F1054" s="2" t="s">
        <v>2201</v>
      </c>
      <c r="G1054" s="2" t="s">
        <v>3626</v>
      </c>
      <c r="H1054" s="2">
        <v>14779</v>
      </c>
    </row>
    <row r="1055" spans="1:8">
      <c r="A1055" s="2" t="s">
        <v>3299</v>
      </c>
      <c r="B1055" s="2" t="s">
        <v>4737</v>
      </c>
      <c r="C1055" s="2" t="s">
        <v>4719</v>
      </c>
      <c r="D1055" s="2">
        <v>82619000</v>
      </c>
      <c r="E1055" s="2" t="s">
        <v>4708</v>
      </c>
      <c r="F1055" s="2" t="s">
        <v>2201</v>
      </c>
      <c r="G1055" s="2" t="s">
        <v>3626</v>
      </c>
      <c r="H1055" s="2">
        <v>22532</v>
      </c>
    </row>
    <row r="1056" spans="1:8">
      <c r="A1056" s="2" t="s">
        <v>3324</v>
      </c>
      <c r="B1056" s="2" t="s">
        <v>4738</v>
      </c>
      <c r="C1056" s="2" t="s">
        <v>4719</v>
      </c>
      <c r="D1056" s="2">
        <v>82620000</v>
      </c>
      <c r="E1056" s="2" t="s">
        <v>4708</v>
      </c>
      <c r="F1056" s="2" t="s">
        <v>2201</v>
      </c>
      <c r="G1056" s="2" t="s">
        <v>3626</v>
      </c>
      <c r="H1056" s="2">
        <v>14498</v>
      </c>
    </row>
    <row r="1057" spans="1:8">
      <c r="A1057" s="2" t="s">
        <v>3349</v>
      </c>
      <c r="B1057" s="2" t="s">
        <v>4739</v>
      </c>
      <c r="C1057" s="2" t="s">
        <v>4719</v>
      </c>
      <c r="D1057" s="2">
        <v>82621000</v>
      </c>
      <c r="E1057" s="2" t="s">
        <v>4708</v>
      </c>
      <c r="F1057" s="2" t="s">
        <v>2201</v>
      </c>
      <c r="G1057" s="2" t="s">
        <v>3626</v>
      </c>
      <c r="H1057" s="2">
        <v>14687</v>
      </c>
    </row>
    <row r="1058" spans="1:8">
      <c r="A1058" s="2" t="s">
        <v>3370</v>
      </c>
      <c r="B1058" s="2" t="s">
        <v>4740</v>
      </c>
      <c r="C1058" s="2" t="s">
        <v>4719</v>
      </c>
      <c r="D1058" s="2">
        <v>82622000</v>
      </c>
      <c r="E1058" s="2" t="s">
        <v>4708</v>
      </c>
      <c r="F1058" s="2" t="s">
        <v>2201</v>
      </c>
      <c r="G1058" s="2" t="s">
        <v>3634</v>
      </c>
      <c r="H1058" s="2">
        <v>15377</v>
      </c>
    </row>
    <row r="1059" spans="1:8">
      <c r="A1059" s="2" t="s">
        <v>3393</v>
      </c>
      <c r="B1059" s="2" t="s">
        <v>4741</v>
      </c>
      <c r="C1059" s="2" t="s">
        <v>4719</v>
      </c>
      <c r="D1059" s="2">
        <v>82623000</v>
      </c>
      <c r="E1059" s="2" t="s">
        <v>4708</v>
      </c>
      <c r="F1059" s="2" t="s">
        <v>2201</v>
      </c>
      <c r="G1059" s="2" t="s">
        <v>3634</v>
      </c>
      <c r="H1059" s="2">
        <v>18915</v>
      </c>
    </row>
    <row r="1060" spans="2:5">
      <c r="B1060" s="2" t="s">
        <v>20</v>
      </c>
      <c r="E1060" s="2" t="s">
        <v>4708</v>
      </c>
    </row>
    <row r="1061" spans="1:8">
      <c r="A1061" s="2" t="s">
        <v>2387</v>
      </c>
      <c r="B1061" s="2" t="s">
        <v>4742</v>
      </c>
      <c r="C1061" s="2" t="s">
        <v>4743</v>
      </c>
      <c r="D1061" s="2">
        <v>83708000</v>
      </c>
      <c r="E1061" s="2" t="s">
        <v>4708</v>
      </c>
      <c r="F1061" s="2" t="s">
        <v>2215</v>
      </c>
      <c r="G1061" s="2" t="s">
        <v>3574</v>
      </c>
      <c r="H1061" s="2">
        <v>109432</v>
      </c>
    </row>
    <row r="1062" spans="1:8">
      <c r="A1062" s="2" t="s">
        <v>2459</v>
      </c>
      <c r="B1062" s="2" t="s">
        <v>4744</v>
      </c>
      <c r="C1062" s="2" t="s">
        <v>4745</v>
      </c>
      <c r="D1062" s="2">
        <v>83738000</v>
      </c>
      <c r="E1062" s="2" t="s">
        <v>4708</v>
      </c>
      <c r="F1062" s="2" t="s">
        <v>2215</v>
      </c>
      <c r="G1062" s="2" t="s">
        <v>3574</v>
      </c>
      <c r="H1062" s="2">
        <v>215031</v>
      </c>
    </row>
    <row r="1063" spans="1:8">
      <c r="A1063" s="2" t="s">
        <v>2529</v>
      </c>
      <c r="B1063" s="2" t="s">
        <v>4746</v>
      </c>
      <c r="C1063" s="2" t="s">
        <v>4747</v>
      </c>
      <c r="D1063" s="2">
        <v>83747000</v>
      </c>
      <c r="E1063" s="2" t="s">
        <v>4708</v>
      </c>
      <c r="F1063" s="2" t="s">
        <v>2215</v>
      </c>
      <c r="G1063" s="2" t="s">
        <v>3574</v>
      </c>
      <c r="H1063" s="2">
        <v>242089</v>
      </c>
    </row>
    <row r="1064" spans="1:8">
      <c r="A1064" s="2" t="s">
        <v>2599</v>
      </c>
      <c r="B1064" s="2" t="s">
        <v>4748</v>
      </c>
      <c r="C1064" s="2" t="s">
        <v>4743</v>
      </c>
      <c r="D1064" s="2">
        <v>83701000</v>
      </c>
      <c r="E1064" s="2" t="s">
        <v>4708</v>
      </c>
      <c r="F1064" s="2" t="s">
        <v>2215</v>
      </c>
      <c r="G1064" s="2" t="s">
        <v>3574</v>
      </c>
      <c r="H1064" s="2">
        <v>59571</v>
      </c>
    </row>
    <row r="1065" spans="1:8">
      <c r="A1065" s="2" t="s">
        <v>2664</v>
      </c>
      <c r="B1065" s="2" t="s">
        <v>4749</v>
      </c>
      <c r="C1065" s="2" t="s">
        <v>4747</v>
      </c>
      <c r="D1065" s="2">
        <v>83702000</v>
      </c>
      <c r="E1065" s="2" t="s">
        <v>4708</v>
      </c>
      <c r="F1065" s="2" t="s">
        <v>2215</v>
      </c>
      <c r="G1065" s="2" t="s">
        <v>3600</v>
      </c>
      <c r="H1065" s="2">
        <v>55235</v>
      </c>
    </row>
    <row r="1066" spans="1:8">
      <c r="A1066" s="2" t="s">
        <v>2728</v>
      </c>
      <c r="B1066" s="2" t="s">
        <v>4750</v>
      </c>
      <c r="C1066" s="2" t="s">
        <v>4745</v>
      </c>
      <c r="D1066" s="2">
        <v>83703000</v>
      </c>
      <c r="E1066" s="2" t="s">
        <v>4708</v>
      </c>
      <c r="F1066" s="2" t="s">
        <v>2215</v>
      </c>
      <c r="G1066" s="2" t="s">
        <v>3629</v>
      </c>
      <c r="H1066" s="2">
        <v>46332</v>
      </c>
    </row>
    <row r="1067" spans="1:8">
      <c r="A1067" s="2" t="s">
        <v>2787</v>
      </c>
      <c r="B1067" s="2" t="s">
        <v>4751</v>
      </c>
      <c r="C1067" s="2" t="s">
        <v>4747</v>
      </c>
      <c r="D1067" s="2">
        <v>83705000</v>
      </c>
      <c r="E1067" s="2" t="s">
        <v>4708</v>
      </c>
      <c r="F1067" s="2" t="s">
        <v>2215</v>
      </c>
      <c r="G1067" s="2" t="s">
        <v>3634</v>
      </c>
      <c r="H1067" s="2">
        <v>27797</v>
      </c>
    </row>
    <row r="1068" spans="1:8">
      <c r="A1068" s="2" t="s">
        <v>2846</v>
      </c>
      <c r="B1068" s="2" t="s">
        <v>4752</v>
      </c>
      <c r="C1068" s="2" t="s">
        <v>4753</v>
      </c>
      <c r="D1068" s="2">
        <v>83706000</v>
      </c>
      <c r="E1068" s="2" t="s">
        <v>4708</v>
      </c>
      <c r="F1068" s="2" t="s">
        <v>2215</v>
      </c>
      <c r="G1068" s="2" t="s">
        <v>3634</v>
      </c>
      <c r="H1068" s="2">
        <v>32745</v>
      </c>
    </row>
    <row r="1069" spans="1:8">
      <c r="A1069" s="2" t="s">
        <v>2515</v>
      </c>
      <c r="B1069" s="2" t="s">
        <v>4754</v>
      </c>
      <c r="C1069" s="2" t="s">
        <v>4743</v>
      </c>
      <c r="D1069" s="2">
        <v>83707000</v>
      </c>
      <c r="E1069" s="2" t="s">
        <v>4708</v>
      </c>
      <c r="F1069" s="2" t="s">
        <v>2215</v>
      </c>
      <c r="G1069" s="2" t="s">
        <v>3634</v>
      </c>
      <c r="H1069" s="2">
        <v>38356</v>
      </c>
    </row>
    <row r="1070" spans="1:8">
      <c r="A1070" s="2" t="s">
        <v>2953</v>
      </c>
      <c r="B1070" s="2" t="s">
        <v>4755</v>
      </c>
      <c r="C1070" s="2" t="s">
        <v>4753</v>
      </c>
      <c r="D1070" s="2">
        <v>83710000</v>
      </c>
      <c r="E1070" s="2" t="s">
        <v>4708</v>
      </c>
      <c r="F1070" s="2" t="s">
        <v>2215</v>
      </c>
      <c r="G1070" s="2" t="s">
        <v>3574</v>
      </c>
      <c r="H1070" s="2">
        <v>52732</v>
      </c>
    </row>
    <row r="1071" spans="1:8">
      <c r="A1071" s="2" t="s">
        <v>3004</v>
      </c>
      <c r="B1071" s="2" t="s">
        <v>4756</v>
      </c>
      <c r="C1071" s="2" t="s">
        <v>4757</v>
      </c>
      <c r="D1071" s="2">
        <v>83713000</v>
      </c>
      <c r="E1071" s="2" t="s">
        <v>4708</v>
      </c>
      <c r="F1071" s="2" t="s">
        <v>2215</v>
      </c>
      <c r="G1071" s="2" t="s">
        <v>3634</v>
      </c>
      <c r="H1071" s="2">
        <v>31228</v>
      </c>
    </row>
    <row r="1072" spans="1:8">
      <c r="A1072" s="2" t="s">
        <v>3053</v>
      </c>
      <c r="B1072" s="2" t="s">
        <v>4758</v>
      </c>
      <c r="C1072" s="2" t="s">
        <v>4753</v>
      </c>
      <c r="D1072" s="2">
        <v>83714000</v>
      </c>
      <c r="E1072" s="2" t="s">
        <v>4708</v>
      </c>
      <c r="F1072" s="2" t="s">
        <v>2215</v>
      </c>
      <c r="G1072" s="2" t="s">
        <v>3634</v>
      </c>
      <c r="H1072" s="2">
        <v>33617</v>
      </c>
    </row>
    <row r="1073" spans="1:8">
      <c r="A1073" s="2" t="s">
        <v>3096</v>
      </c>
      <c r="B1073" s="2" t="s">
        <v>4759</v>
      </c>
      <c r="C1073" s="2" t="s">
        <v>4753</v>
      </c>
      <c r="D1073" s="2">
        <v>83715000</v>
      </c>
      <c r="E1073" s="2" t="s">
        <v>4708</v>
      </c>
      <c r="F1073" s="2" t="s">
        <v>2215</v>
      </c>
      <c r="G1073" s="2" t="s">
        <v>3600</v>
      </c>
      <c r="H1073" s="2">
        <v>51345</v>
      </c>
    </row>
    <row r="1074" spans="1:8">
      <c r="A1074" s="2" t="s">
        <v>3136</v>
      </c>
      <c r="B1074" s="2" t="s">
        <v>4760</v>
      </c>
      <c r="C1074" s="2" t="s">
        <v>4753</v>
      </c>
      <c r="D1074" s="2">
        <v>83717000</v>
      </c>
      <c r="E1074" s="2" t="s">
        <v>4708</v>
      </c>
      <c r="F1074" s="2" t="s">
        <v>2215</v>
      </c>
      <c r="G1074" s="2" t="s">
        <v>3629</v>
      </c>
      <c r="H1074" s="2">
        <v>35147</v>
      </c>
    </row>
    <row r="1075" spans="1:8">
      <c r="A1075" s="2" t="s">
        <v>3175</v>
      </c>
      <c r="B1075" s="2" t="s">
        <v>4761</v>
      </c>
      <c r="C1075" s="2" t="s">
        <v>4753</v>
      </c>
      <c r="D1075" s="2">
        <v>83718000</v>
      </c>
      <c r="E1075" s="2" t="s">
        <v>4708</v>
      </c>
      <c r="F1075" s="2" t="s">
        <v>2215</v>
      </c>
      <c r="G1075" s="2" t="s">
        <v>3629</v>
      </c>
      <c r="H1075" s="2">
        <v>47300</v>
      </c>
    </row>
    <row r="1076" spans="1:8">
      <c r="A1076" s="2" t="s">
        <v>3213</v>
      </c>
      <c r="B1076" s="2" t="s">
        <v>4762</v>
      </c>
      <c r="C1076" s="2" t="s">
        <v>4743</v>
      </c>
      <c r="D1076" s="2">
        <v>83719000</v>
      </c>
      <c r="E1076" s="2" t="s">
        <v>4708</v>
      </c>
      <c r="F1076" s="2" t="s">
        <v>2215</v>
      </c>
      <c r="G1076" s="2" t="s">
        <v>3600</v>
      </c>
      <c r="H1076" s="2">
        <v>63431</v>
      </c>
    </row>
    <row r="1077" spans="1:8">
      <c r="A1077" s="2" t="s">
        <v>3241</v>
      </c>
      <c r="B1077" s="2" t="s">
        <v>4763</v>
      </c>
      <c r="C1077" s="2" t="s">
        <v>4743</v>
      </c>
      <c r="D1077" s="2">
        <v>83720000</v>
      </c>
      <c r="E1077" s="2" t="s">
        <v>4708</v>
      </c>
      <c r="F1077" s="2" t="s">
        <v>2215</v>
      </c>
      <c r="G1077" s="2" t="s">
        <v>3626</v>
      </c>
      <c r="H1077" s="2">
        <v>20924</v>
      </c>
    </row>
    <row r="1078" spans="1:8">
      <c r="A1078" s="2" t="s">
        <v>3271</v>
      </c>
      <c r="B1078" s="2" t="s">
        <v>4764</v>
      </c>
      <c r="C1078" s="2" t="s">
        <v>4743</v>
      </c>
      <c r="D1078" s="2">
        <v>83721000</v>
      </c>
      <c r="E1078" s="2" t="s">
        <v>4708</v>
      </c>
      <c r="F1078" s="2" t="s">
        <v>2215</v>
      </c>
      <c r="G1078" s="2" t="s">
        <v>3634</v>
      </c>
      <c r="H1078" s="2">
        <v>20550</v>
      </c>
    </row>
    <row r="1079" spans="1:8">
      <c r="A1079" s="2" t="s">
        <v>3297</v>
      </c>
      <c r="B1079" s="2" t="s">
        <v>4765</v>
      </c>
      <c r="C1079" s="2" t="s">
        <v>4745</v>
      </c>
      <c r="D1079" s="2">
        <v>83722000</v>
      </c>
      <c r="E1079" s="2" t="s">
        <v>4708</v>
      </c>
      <c r="F1079" s="2" t="s">
        <v>2215</v>
      </c>
      <c r="G1079" s="2" t="s">
        <v>3574</v>
      </c>
      <c r="H1079" s="2">
        <v>46915</v>
      </c>
    </row>
    <row r="1080" spans="1:8">
      <c r="A1080" s="2" t="s">
        <v>3322</v>
      </c>
      <c r="B1080" s="2" t="s">
        <v>4766</v>
      </c>
      <c r="C1080" s="2" t="s">
        <v>4753</v>
      </c>
      <c r="D1080" s="2">
        <v>83723000</v>
      </c>
      <c r="E1080" s="2" t="s">
        <v>4708</v>
      </c>
      <c r="F1080" s="2" t="s">
        <v>2215</v>
      </c>
      <c r="G1080" s="2" t="s">
        <v>3629</v>
      </c>
      <c r="H1080" s="2">
        <v>43199</v>
      </c>
    </row>
    <row r="1081" spans="1:8">
      <c r="A1081" s="2" t="s">
        <v>3348</v>
      </c>
      <c r="B1081" s="2" t="s">
        <v>4767</v>
      </c>
      <c r="C1081" s="2" t="s">
        <v>4743</v>
      </c>
      <c r="D1081" s="2">
        <v>83724000</v>
      </c>
      <c r="E1081" s="2" t="s">
        <v>4708</v>
      </c>
      <c r="F1081" s="2" t="s">
        <v>2215</v>
      </c>
      <c r="G1081" s="2" t="s">
        <v>3634</v>
      </c>
      <c r="H1081" s="2">
        <v>25379</v>
      </c>
    </row>
    <row r="1082" spans="1:8">
      <c r="A1082" s="2" t="s">
        <v>3368</v>
      </c>
      <c r="B1082" s="2" t="s">
        <v>4768</v>
      </c>
      <c r="C1082" s="2" t="s">
        <v>4753</v>
      </c>
      <c r="D1082" s="2">
        <v>83725000</v>
      </c>
      <c r="E1082" s="2" t="s">
        <v>4708</v>
      </c>
      <c r="F1082" s="2" t="s">
        <v>2215</v>
      </c>
      <c r="G1082" s="2" t="s">
        <v>3626</v>
      </c>
      <c r="H1082" s="2">
        <v>15114</v>
      </c>
    </row>
    <row r="1083" spans="1:8">
      <c r="A1083" s="2" t="s">
        <v>3392</v>
      </c>
      <c r="B1083" s="2" t="s">
        <v>4769</v>
      </c>
      <c r="C1083" s="2" t="s">
        <v>4745</v>
      </c>
      <c r="D1083" s="2">
        <v>83726000</v>
      </c>
      <c r="E1083" s="2" t="s">
        <v>4708</v>
      </c>
      <c r="F1083" s="2" t="s">
        <v>2215</v>
      </c>
      <c r="G1083" s="2" t="s">
        <v>3574</v>
      </c>
      <c r="H1083" s="2">
        <v>56575</v>
      </c>
    </row>
    <row r="1084" spans="1:8">
      <c r="A1084" s="2" t="s">
        <v>2618</v>
      </c>
      <c r="B1084" s="2" t="s">
        <v>4770</v>
      </c>
      <c r="C1084" s="2" t="s">
        <v>4753</v>
      </c>
      <c r="D1084" s="2">
        <v>83728000</v>
      </c>
      <c r="E1084" s="2" t="s">
        <v>4708</v>
      </c>
      <c r="F1084" s="2" t="s">
        <v>2215</v>
      </c>
      <c r="G1084" s="2" t="s">
        <v>3626</v>
      </c>
      <c r="H1084" s="2">
        <v>19998</v>
      </c>
    </row>
    <row r="1085" spans="1:8">
      <c r="A1085" s="2" t="s">
        <v>2308</v>
      </c>
      <c r="B1085" s="2" t="s">
        <v>4771</v>
      </c>
      <c r="C1085" s="2" t="s">
        <v>4757</v>
      </c>
      <c r="D1085" s="2">
        <v>83729000</v>
      </c>
      <c r="E1085" s="2" t="s">
        <v>4708</v>
      </c>
      <c r="F1085" s="2" t="s">
        <v>2215</v>
      </c>
      <c r="G1085" s="2" t="s">
        <v>3634</v>
      </c>
      <c r="H1085" s="2">
        <v>40639</v>
      </c>
    </row>
    <row r="1086" spans="1:8">
      <c r="A1086" s="2" t="s">
        <v>3434</v>
      </c>
      <c r="B1086" s="2" t="s">
        <v>4772</v>
      </c>
      <c r="C1086" s="2" t="s">
        <v>4753</v>
      </c>
      <c r="D1086" s="2">
        <v>83730000</v>
      </c>
      <c r="E1086" s="2" t="s">
        <v>4708</v>
      </c>
      <c r="F1086" s="2" t="s">
        <v>2215</v>
      </c>
      <c r="G1086" s="2" t="s">
        <v>3626</v>
      </c>
      <c r="H1086" s="2">
        <v>21211</v>
      </c>
    </row>
    <row r="1087" spans="1:8">
      <c r="A1087" s="2" t="s">
        <v>3447</v>
      </c>
      <c r="B1087" s="2" t="s">
        <v>4773</v>
      </c>
      <c r="C1087" s="2" t="s">
        <v>4743</v>
      </c>
      <c r="D1087" s="2">
        <v>83731000</v>
      </c>
      <c r="E1087" s="2" t="s">
        <v>4708</v>
      </c>
      <c r="F1087" s="2" t="s">
        <v>2215</v>
      </c>
      <c r="G1087" s="2" t="s">
        <v>3634</v>
      </c>
      <c r="H1087" s="2">
        <v>27823</v>
      </c>
    </row>
    <row r="1088" spans="1:8">
      <c r="A1088" s="2" t="s">
        <v>3457</v>
      </c>
      <c r="B1088" s="2" t="s">
        <v>4774</v>
      </c>
      <c r="C1088" s="2" t="s">
        <v>4745</v>
      </c>
      <c r="D1088" s="2">
        <v>83733000</v>
      </c>
      <c r="E1088" s="2" t="s">
        <v>4708</v>
      </c>
      <c r="F1088" s="2" t="s">
        <v>2215</v>
      </c>
      <c r="G1088" s="2" t="s">
        <v>3634</v>
      </c>
      <c r="H1088" s="2">
        <v>18373</v>
      </c>
    </row>
    <row r="1089" spans="1:8">
      <c r="A1089" s="2" t="s">
        <v>3466</v>
      </c>
      <c r="B1089" s="2" t="s">
        <v>4775</v>
      </c>
      <c r="C1089" s="2" t="s">
        <v>4743</v>
      </c>
      <c r="D1089" s="2">
        <v>83734000</v>
      </c>
      <c r="E1089" s="2" t="s">
        <v>4708</v>
      </c>
      <c r="F1089" s="2" t="s">
        <v>2215</v>
      </c>
      <c r="G1089" s="2" t="s">
        <v>3629</v>
      </c>
      <c r="H1089" s="2">
        <v>33121</v>
      </c>
    </row>
    <row r="1090" spans="1:8">
      <c r="A1090" s="2" t="s">
        <v>3478</v>
      </c>
      <c r="B1090" s="2" t="s">
        <v>4776</v>
      </c>
      <c r="C1090" s="2" t="s">
        <v>4753</v>
      </c>
      <c r="D1090" s="2">
        <v>83735000</v>
      </c>
      <c r="E1090" s="2" t="s">
        <v>4708</v>
      </c>
      <c r="F1090" s="2" t="s">
        <v>2215</v>
      </c>
      <c r="G1090" s="2" t="s">
        <v>3626</v>
      </c>
      <c r="H1090" s="2">
        <v>17161</v>
      </c>
    </row>
    <row r="1091" spans="1:8">
      <c r="A1091" s="2" t="s">
        <v>3486</v>
      </c>
      <c r="B1091" s="2" t="s">
        <v>4777</v>
      </c>
      <c r="C1091" s="2" t="s">
        <v>4745</v>
      </c>
      <c r="D1091" s="2">
        <v>83736000</v>
      </c>
      <c r="E1091" s="2" t="s">
        <v>4708</v>
      </c>
      <c r="F1091" s="2" t="s">
        <v>2215</v>
      </c>
      <c r="G1091" s="2" t="s">
        <v>3626</v>
      </c>
      <c r="H1091" s="2">
        <v>29863</v>
      </c>
    </row>
    <row r="1092" spans="1:8">
      <c r="A1092" s="2" t="s">
        <v>3495</v>
      </c>
      <c r="B1092" s="2" t="s">
        <v>4778</v>
      </c>
      <c r="C1092" s="2" t="s">
        <v>4747</v>
      </c>
      <c r="D1092" s="2">
        <v>83739000</v>
      </c>
      <c r="E1092" s="2" t="s">
        <v>4708</v>
      </c>
      <c r="F1092" s="2" t="s">
        <v>2215</v>
      </c>
      <c r="G1092" s="2" t="s">
        <v>3629</v>
      </c>
      <c r="H1092" s="2">
        <v>70052</v>
      </c>
    </row>
    <row r="1093" spans="1:8">
      <c r="A1093" s="2" t="s">
        <v>3503</v>
      </c>
      <c r="B1093" s="2" t="s">
        <v>4779</v>
      </c>
      <c r="C1093" s="2" t="s">
        <v>4745</v>
      </c>
      <c r="D1093" s="2">
        <v>83740000</v>
      </c>
      <c r="E1093" s="2" t="s">
        <v>4708</v>
      </c>
      <c r="F1093" s="2" t="s">
        <v>2215</v>
      </c>
      <c r="G1093" s="2" t="s">
        <v>3600</v>
      </c>
      <c r="H1093" s="2">
        <v>58108</v>
      </c>
    </row>
    <row r="1094" spans="1:8">
      <c r="A1094" s="2" t="s">
        <v>3511</v>
      </c>
      <c r="B1094" s="2" t="s">
        <v>4780</v>
      </c>
      <c r="C1094" s="2" t="s">
        <v>4753</v>
      </c>
      <c r="D1094" s="2">
        <v>83741000</v>
      </c>
      <c r="E1094" s="2" t="s">
        <v>4708</v>
      </c>
      <c r="F1094" s="2" t="s">
        <v>2215</v>
      </c>
      <c r="G1094" s="2" t="s">
        <v>3626</v>
      </c>
      <c r="H1094" s="2">
        <v>18002</v>
      </c>
    </row>
    <row r="1095" spans="1:8">
      <c r="A1095" s="2" t="s">
        <v>686</v>
      </c>
      <c r="B1095" s="2" t="s">
        <v>4781</v>
      </c>
      <c r="C1095" s="2" t="s">
        <v>4757</v>
      </c>
      <c r="D1095" s="2">
        <v>83742000</v>
      </c>
      <c r="E1095" s="2" t="s">
        <v>4708</v>
      </c>
      <c r="F1095" s="2" t="s">
        <v>2215</v>
      </c>
      <c r="G1095" s="2" t="s">
        <v>3634</v>
      </c>
      <c r="H1095" s="2">
        <v>31641</v>
      </c>
    </row>
    <row r="1096" spans="1:8">
      <c r="A1096" s="2" t="s">
        <v>2890</v>
      </c>
      <c r="B1096" s="2" t="s">
        <v>4782</v>
      </c>
      <c r="C1096" s="2" t="s">
        <v>4747</v>
      </c>
      <c r="D1096" s="2">
        <v>83743000</v>
      </c>
      <c r="E1096" s="2" t="s">
        <v>4708</v>
      </c>
      <c r="F1096" s="2" t="s">
        <v>2215</v>
      </c>
      <c r="G1096" s="2" t="s">
        <v>3634</v>
      </c>
      <c r="H1096" s="2">
        <v>19420</v>
      </c>
    </row>
    <row r="1097" spans="1:8">
      <c r="A1097" s="2" t="s">
        <v>3029</v>
      </c>
      <c r="B1097" s="2" t="s">
        <v>4783</v>
      </c>
      <c r="C1097" s="2" t="s">
        <v>4747</v>
      </c>
      <c r="D1097" s="2">
        <v>83744000</v>
      </c>
      <c r="E1097" s="2" t="s">
        <v>4708</v>
      </c>
      <c r="F1097" s="2" t="s">
        <v>2215</v>
      </c>
      <c r="G1097" s="2" t="s">
        <v>3626</v>
      </c>
      <c r="H1097" s="2">
        <v>20439</v>
      </c>
    </row>
    <row r="1098" spans="1:8">
      <c r="A1098" s="2" t="s">
        <v>3524</v>
      </c>
      <c r="B1098" s="2" t="s">
        <v>4784</v>
      </c>
      <c r="C1098" s="2" t="s">
        <v>4757</v>
      </c>
      <c r="D1098" s="2">
        <v>83745000</v>
      </c>
      <c r="E1098" s="2" t="s">
        <v>4708</v>
      </c>
      <c r="F1098" s="2" t="s">
        <v>2215</v>
      </c>
      <c r="G1098" s="2" t="s">
        <v>3634</v>
      </c>
      <c r="H1098" s="2">
        <v>34195</v>
      </c>
    </row>
    <row r="1099" spans="1:8">
      <c r="A1099" s="2" t="s">
        <v>3528</v>
      </c>
      <c r="B1099" s="2" t="s">
        <v>4785</v>
      </c>
      <c r="C1099" s="2" t="s">
        <v>4753</v>
      </c>
      <c r="D1099" s="2">
        <v>83746000</v>
      </c>
      <c r="E1099" s="2" t="s">
        <v>4708</v>
      </c>
      <c r="F1099" s="2" t="s">
        <v>2215</v>
      </c>
      <c r="G1099" s="2" t="s">
        <v>3626</v>
      </c>
      <c r="H1099" s="2">
        <v>11204</v>
      </c>
    </row>
    <row r="1100" spans="1:8">
      <c r="A1100" s="2" t="s">
        <v>3532</v>
      </c>
      <c r="B1100" s="2" t="s">
        <v>4786</v>
      </c>
      <c r="C1100" s="2" t="s">
        <v>4747</v>
      </c>
      <c r="D1100" s="2">
        <v>83748000</v>
      </c>
      <c r="E1100" s="2" t="s">
        <v>4708</v>
      </c>
      <c r="F1100" s="2" t="s">
        <v>2215</v>
      </c>
      <c r="G1100" s="2" t="s">
        <v>3600</v>
      </c>
      <c r="H1100" s="2">
        <v>55021</v>
      </c>
    </row>
    <row r="1101" spans="1:8">
      <c r="A1101" s="2" t="s">
        <v>3537</v>
      </c>
      <c r="B1101" s="2" t="s">
        <v>4787</v>
      </c>
      <c r="C1101" s="2" t="s">
        <v>4747</v>
      </c>
      <c r="D1101" s="2">
        <v>83749000</v>
      </c>
      <c r="E1101" s="2" t="s">
        <v>4708</v>
      </c>
      <c r="F1101" s="2" t="s">
        <v>2215</v>
      </c>
      <c r="G1101" s="2" t="s">
        <v>3626</v>
      </c>
      <c r="H1101" s="2">
        <v>20978</v>
      </c>
    </row>
    <row r="1102" spans="1:8">
      <c r="A1102" s="2" t="s">
        <v>3541</v>
      </c>
      <c r="B1102" s="2" t="s">
        <v>4788</v>
      </c>
      <c r="C1102" s="2" t="s">
        <v>4753</v>
      </c>
      <c r="D1102" s="2">
        <v>83750000</v>
      </c>
      <c r="E1102" s="2" t="s">
        <v>4708</v>
      </c>
      <c r="F1102" s="2" t="s">
        <v>2215</v>
      </c>
      <c r="G1102" s="2" t="s">
        <v>3769</v>
      </c>
      <c r="H1102" s="2">
        <v>7584</v>
      </c>
    </row>
    <row r="1103" spans="1:8">
      <c r="A1103" s="2" t="s">
        <v>3545</v>
      </c>
      <c r="B1103" s="2" t="s">
        <v>4789</v>
      </c>
      <c r="C1103" s="2" t="s">
        <v>4757</v>
      </c>
      <c r="D1103" s="2">
        <v>83751000</v>
      </c>
      <c r="E1103" s="2" t="s">
        <v>4708</v>
      </c>
      <c r="F1103" s="2" t="s">
        <v>2215</v>
      </c>
      <c r="G1103" s="2" t="s">
        <v>3629</v>
      </c>
      <c r="H1103" s="2">
        <v>41891</v>
      </c>
    </row>
    <row r="1104" spans="2:5">
      <c r="B1104" s="2" t="s">
        <v>20</v>
      </c>
      <c r="E1104" s="2" t="s">
        <v>4708</v>
      </c>
    </row>
    <row r="1105" spans="1:8">
      <c r="A1105" s="2" t="s">
        <v>2388</v>
      </c>
      <c r="B1105" s="2" t="s">
        <v>4790</v>
      </c>
      <c r="C1105" s="2" t="s">
        <v>4791</v>
      </c>
      <c r="D1105" s="2">
        <v>84801000</v>
      </c>
      <c r="E1105" s="2" t="s">
        <v>4708</v>
      </c>
      <c r="F1105" s="2" t="s">
        <v>2229</v>
      </c>
      <c r="G1105" s="2" t="s">
        <v>3626</v>
      </c>
      <c r="H1105" s="2">
        <v>25469</v>
      </c>
    </row>
    <row r="1106" spans="1:8">
      <c r="A1106" s="2" t="s">
        <v>2460</v>
      </c>
      <c r="B1106" s="2" t="s">
        <v>4792</v>
      </c>
      <c r="C1106" s="2" t="s">
        <v>4791</v>
      </c>
      <c r="D1106" s="2">
        <v>84802000</v>
      </c>
      <c r="E1106" s="2" t="s">
        <v>4708</v>
      </c>
      <c r="F1106" s="2" t="s">
        <v>2229</v>
      </c>
      <c r="G1106" s="2" t="s">
        <v>3626</v>
      </c>
      <c r="H1106" s="2">
        <v>11767</v>
      </c>
    </row>
    <row r="1107" spans="1:8">
      <c r="A1107" s="2" t="s">
        <v>2530</v>
      </c>
      <c r="B1107" s="2" t="s">
        <v>4793</v>
      </c>
      <c r="C1107" s="2" t="s">
        <v>4791</v>
      </c>
      <c r="D1107" s="2">
        <v>84803000</v>
      </c>
      <c r="E1107" s="2" t="s">
        <v>4708</v>
      </c>
      <c r="F1107" s="2" t="s">
        <v>2229</v>
      </c>
      <c r="G1107" s="2" t="s">
        <v>3634</v>
      </c>
      <c r="H1107" s="2">
        <v>23668</v>
      </c>
    </row>
    <row r="1108" spans="1:8">
      <c r="A1108" s="2" t="s">
        <v>2600</v>
      </c>
      <c r="B1108" s="2" t="s">
        <v>4794</v>
      </c>
      <c r="C1108" s="2" t="s">
        <v>4791</v>
      </c>
      <c r="D1108" s="2">
        <v>84804000</v>
      </c>
      <c r="E1108" s="2" t="s">
        <v>4708</v>
      </c>
      <c r="F1108" s="2" t="s">
        <v>2229</v>
      </c>
      <c r="G1108" s="2" t="s">
        <v>3626</v>
      </c>
      <c r="H1108" s="2">
        <v>12679</v>
      </c>
    </row>
    <row r="1109" spans="1:8">
      <c r="A1109" s="2" t="s">
        <v>2665</v>
      </c>
      <c r="B1109" s="2" t="s">
        <v>4795</v>
      </c>
      <c r="C1109" s="2" t="s">
        <v>4791</v>
      </c>
      <c r="D1109" s="2">
        <v>84805000</v>
      </c>
      <c r="E1109" s="2" t="s">
        <v>4708</v>
      </c>
      <c r="F1109" s="2" t="s">
        <v>2229</v>
      </c>
      <c r="G1109" s="2" t="s">
        <v>3574</v>
      </c>
      <c r="H1109" s="2">
        <v>94037</v>
      </c>
    </row>
    <row r="1110" spans="1:8">
      <c r="A1110" s="2" t="s">
        <v>2729</v>
      </c>
      <c r="B1110" s="2" t="s">
        <v>4796</v>
      </c>
      <c r="C1110" s="2" t="s">
        <v>4797</v>
      </c>
      <c r="D1110" s="2">
        <v>84806000</v>
      </c>
      <c r="E1110" s="2" t="s">
        <v>4708</v>
      </c>
      <c r="F1110" s="2" t="s">
        <v>2229</v>
      </c>
      <c r="G1110" s="2" t="s">
        <v>3629</v>
      </c>
      <c r="H1110" s="2">
        <v>33025</v>
      </c>
    </row>
    <row r="1111" spans="1:8">
      <c r="A1111" s="2" t="s">
        <v>2788</v>
      </c>
      <c r="B1111" s="2" t="s">
        <v>4798</v>
      </c>
      <c r="C1111" s="2" t="s">
        <v>4797</v>
      </c>
      <c r="D1111" s="2">
        <v>84807000</v>
      </c>
      <c r="E1111" s="2" t="s">
        <v>4708</v>
      </c>
      <c r="F1111" s="2" t="s">
        <v>2229</v>
      </c>
      <c r="G1111" s="2" t="s">
        <v>3634</v>
      </c>
      <c r="H1111" s="2">
        <v>23511</v>
      </c>
    </row>
    <row r="1112" spans="1:8">
      <c r="A1112" s="2" t="s">
        <v>2847</v>
      </c>
      <c r="B1112" s="2" t="s">
        <v>4799</v>
      </c>
      <c r="C1112" s="2" t="s">
        <v>4797</v>
      </c>
      <c r="D1112" s="2">
        <v>84808000</v>
      </c>
      <c r="E1112" s="2" t="s">
        <v>4708</v>
      </c>
      <c r="F1112" s="2" t="s">
        <v>2229</v>
      </c>
      <c r="G1112" s="2" t="s">
        <v>3600</v>
      </c>
      <c r="H1112" s="2">
        <v>61359</v>
      </c>
    </row>
    <row r="1113" spans="1:8">
      <c r="A1113" s="2" t="s">
        <v>2901</v>
      </c>
      <c r="B1113" s="2" t="s">
        <v>4800</v>
      </c>
      <c r="C1113" s="2" t="s">
        <v>4797</v>
      </c>
      <c r="D1113" s="2">
        <v>84809000</v>
      </c>
      <c r="E1113" s="2" t="s">
        <v>4708</v>
      </c>
      <c r="F1113" s="2" t="s">
        <v>2229</v>
      </c>
      <c r="G1113" s="2" t="s">
        <v>3626</v>
      </c>
      <c r="H1113" s="2">
        <v>13020</v>
      </c>
    </row>
    <row r="1114" spans="1:8">
      <c r="A1114" s="2" t="s">
        <v>2954</v>
      </c>
      <c r="B1114" s="2" t="s">
        <v>4801</v>
      </c>
      <c r="C1114" s="2" t="s">
        <v>4797</v>
      </c>
      <c r="D1114" s="2">
        <v>84810000</v>
      </c>
      <c r="E1114" s="2" t="s">
        <v>4708</v>
      </c>
      <c r="F1114" s="2" t="s">
        <v>2229</v>
      </c>
      <c r="G1114" s="2" t="s">
        <v>3629</v>
      </c>
      <c r="H1114" s="2">
        <v>37947</v>
      </c>
    </row>
    <row r="1115" spans="1:8">
      <c r="A1115" s="2" t="s">
        <v>3005</v>
      </c>
      <c r="B1115" s="2" t="s">
        <v>4802</v>
      </c>
      <c r="C1115" s="2" t="s">
        <v>4791</v>
      </c>
      <c r="D1115" s="2">
        <v>84811000</v>
      </c>
      <c r="E1115" s="2" t="s">
        <v>4708</v>
      </c>
      <c r="F1115" s="2" t="s">
        <v>2229</v>
      </c>
      <c r="G1115" s="2" t="s">
        <v>3634</v>
      </c>
      <c r="H1115" s="2">
        <v>28770</v>
      </c>
    </row>
    <row r="1116" spans="1:8">
      <c r="A1116" s="2" t="s">
        <v>3054</v>
      </c>
      <c r="B1116" s="2" t="s">
        <v>4803</v>
      </c>
      <c r="C1116" s="2" t="s">
        <v>4797</v>
      </c>
      <c r="D1116" s="2">
        <v>84812000</v>
      </c>
      <c r="E1116" s="2" t="s">
        <v>4708</v>
      </c>
      <c r="F1116" s="2" t="s">
        <v>2229</v>
      </c>
      <c r="G1116" s="2" t="s">
        <v>3626</v>
      </c>
      <c r="H1116" s="2">
        <v>14025</v>
      </c>
    </row>
    <row r="1117" spans="1:8">
      <c r="A1117" s="2" t="s">
        <v>3097</v>
      </c>
      <c r="B1117" s="2" t="s">
        <v>4804</v>
      </c>
      <c r="C1117" s="2" t="s">
        <v>4791</v>
      </c>
      <c r="D1117" s="2">
        <v>84813000</v>
      </c>
      <c r="E1117" s="2" t="s">
        <v>4708</v>
      </c>
      <c r="F1117" s="2" t="s">
        <v>2229</v>
      </c>
      <c r="G1117" s="2" t="s">
        <v>3629</v>
      </c>
      <c r="H1117" s="2">
        <v>38726</v>
      </c>
    </row>
    <row r="1118" spans="1:8">
      <c r="A1118" s="2" t="s">
        <v>3137</v>
      </c>
      <c r="B1118" s="2" t="s">
        <v>4805</v>
      </c>
      <c r="C1118" s="2" t="s">
        <v>4797</v>
      </c>
      <c r="D1118" s="2">
        <v>84814000</v>
      </c>
      <c r="E1118" s="2" t="s">
        <v>4708</v>
      </c>
      <c r="F1118" s="2" t="s">
        <v>2229</v>
      </c>
      <c r="G1118" s="2" t="s">
        <v>3629</v>
      </c>
      <c r="H1118" s="2">
        <v>34286</v>
      </c>
    </row>
    <row r="1119" spans="1:8">
      <c r="A1119" s="2" t="s">
        <v>3176</v>
      </c>
      <c r="B1119" s="2" t="s">
        <v>4806</v>
      </c>
      <c r="C1119" s="2" t="s">
        <v>4797</v>
      </c>
      <c r="D1119" s="2">
        <v>84815000</v>
      </c>
      <c r="E1119" s="2" t="s">
        <v>4708</v>
      </c>
      <c r="F1119" s="2" t="s">
        <v>2229</v>
      </c>
      <c r="G1119" s="2" t="s">
        <v>3634</v>
      </c>
      <c r="H1119" s="2">
        <v>33062</v>
      </c>
    </row>
    <row r="1120" spans="1:8">
      <c r="A1120" s="2" t="s">
        <v>2807</v>
      </c>
      <c r="B1120" s="2" t="s">
        <v>4807</v>
      </c>
      <c r="C1120" s="2" t="s">
        <v>4791</v>
      </c>
      <c r="D1120" s="2">
        <v>84816000</v>
      </c>
      <c r="E1120" s="2" t="s">
        <v>4708</v>
      </c>
      <c r="F1120" s="2" t="s">
        <v>2229</v>
      </c>
      <c r="G1120" s="2" t="s">
        <v>3626</v>
      </c>
      <c r="H1120" s="2">
        <v>10520</v>
      </c>
    </row>
    <row r="1121" spans="1:8">
      <c r="A1121" s="2" t="s">
        <v>2878</v>
      </c>
      <c r="B1121" s="2" t="s">
        <v>4808</v>
      </c>
      <c r="C1121" s="2" t="s">
        <v>4791</v>
      </c>
      <c r="D1121" s="2">
        <v>84817000</v>
      </c>
      <c r="E1121" s="2" t="s">
        <v>4708</v>
      </c>
      <c r="F1121" s="2" t="s">
        <v>2229</v>
      </c>
      <c r="G1121" s="2" t="s">
        <v>3626</v>
      </c>
      <c r="H1121" s="2">
        <v>9058</v>
      </c>
    </row>
    <row r="1122" spans="1:8">
      <c r="A1122" s="2" t="s">
        <v>686</v>
      </c>
      <c r="B1122" s="2" t="s">
        <v>4809</v>
      </c>
      <c r="C1122" s="2" t="s">
        <v>4791</v>
      </c>
      <c r="D1122" s="2">
        <v>84818000</v>
      </c>
      <c r="E1122" s="2" t="s">
        <v>4708</v>
      </c>
      <c r="F1122" s="2" t="s">
        <v>2229</v>
      </c>
      <c r="G1122" s="2" t="s">
        <v>3634</v>
      </c>
      <c r="H1122" s="2">
        <v>26650</v>
      </c>
    </row>
    <row r="1123" spans="1:8">
      <c r="A1123" s="2" t="s">
        <v>2937</v>
      </c>
      <c r="B1123" s="2" t="s">
        <v>4810</v>
      </c>
      <c r="C1123" s="2" t="s">
        <v>4791</v>
      </c>
      <c r="D1123" s="2">
        <v>84819000</v>
      </c>
      <c r="E1123" s="2" t="s">
        <v>4708</v>
      </c>
      <c r="F1123" s="2" t="s">
        <v>2229</v>
      </c>
      <c r="G1123" s="2" t="s">
        <v>3626</v>
      </c>
      <c r="H1123" s="2">
        <v>17561</v>
      </c>
    </row>
    <row r="1124" spans="1:8">
      <c r="A1124" s="2" t="s">
        <v>3323</v>
      </c>
      <c r="B1124" s="2" t="s">
        <v>4811</v>
      </c>
      <c r="C1124" s="2" t="s">
        <v>4797</v>
      </c>
      <c r="D1124" s="2">
        <v>84820000</v>
      </c>
      <c r="E1124" s="2" t="s">
        <v>4708</v>
      </c>
      <c r="F1124" s="2" t="s">
        <v>2229</v>
      </c>
      <c r="G1124" s="2" t="s">
        <v>3634</v>
      </c>
      <c r="H1124" s="2">
        <v>30580</v>
      </c>
    </row>
    <row r="1125" spans="1:8">
      <c r="A1125" s="2" t="s">
        <v>2888</v>
      </c>
      <c r="B1125" s="2" t="s">
        <v>4812</v>
      </c>
      <c r="C1125" s="2" t="s">
        <v>4791</v>
      </c>
      <c r="D1125" s="2">
        <v>84821000</v>
      </c>
      <c r="E1125" s="2" t="s">
        <v>4708</v>
      </c>
      <c r="F1125" s="2" t="s">
        <v>2229</v>
      </c>
      <c r="G1125" s="2" t="s">
        <v>3769</v>
      </c>
      <c r="H1125" s="2">
        <v>7856</v>
      </c>
    </row>
    <row r="1126" spans="1:8">
      <c r="A1126" s="2" t="s">
        <v>3369</v>
      </c>
      <c r="B1126" s="2" t="s">
        <v>4813</v>
      </c>
      <c r="C1126" s="2" t="s">
        <v>4797</v>
      </c>
      <c r="D1126" s="2">
        <v>84822000</v>
      </c>
      <c r="E1126" s="2" t="s">
        <v>4708</v>
      </c>
      <c r="F1126" s="2" t="s">
        <v>2229</v>
      </c>
      <c r="G1126" s="2" t="s">
        <v>3634</v>
      </c>
      <c r="H1126" s="2">
        <v>15299</v>
      </c>
    </row>
    <row r="1127" spans="1:8">
      <c r="A1127" s="2" t="s">
        <v>3163</v>
      </c>
      <c r="B1127" s="2" t="s">
        <v>4814</v>
      </c>
      <c r="C1127" s="2" t="s">
        <v>4791</v>
      </c>
      <c r="D1127" s="2">
        <v>84823000</v>
      </c>
      <c r="E1127" s="2" t="s">
        <v>4708</v>
      </c>
      <c r="F1127" s="2" t="s">
        <v>2229</v>
      </c>
      <c r="G1127" s="2" t="s">
        <v>3626</v>
      </c>
      <c r="H1127" s="2">
        <v>14817</v>
      </c>
    </row>
    <row r="1128" spans="1:8">
      <c r="A1128" s="2" t="s">
        <v>3409</v>
      </c>
      <c r="B1128" s="2" t="s">
        <v>4815</v>
      </c>
      <c r="C1128" s="2" t="s">
        <v>4791</v>
      </c>
      <c r="D1128" s="2">
        <v>84824000</v>
      </c>
      <c r="E1128" s="2" t="s">
        <v>4708</v>
      </c>
      <c r="F1128" s="2" t="s">
        <v>2229</v>
      </c>
      <c r="G1128" s="2" t="s">
        <v>3634</v>
      </c>
      <c r="H1128" s="2">
        <v>14687</v>
      </c>
    </row>
    <row r="1129" spans="2:5">
      <c r="B1129" s="2" t="s">
        <v>20</v>
      </c>
      <c r="E1129" s="2" t="s">
        <v>4708</v>
      </c>
    </row>
    <row r="1130" spans="1:8">
      <c r="A1130" s="2" t="s">
        <v>2386</v>
      </c>
      <c r="B1130" s="2" t="s">
        <v>4816</v>
      </c>
      <c r="C1130" s="2" t="s">
        <v>4817</v>
      </c>
      <c r="D1130" s="2">
        <v>86003000</v>
      </c>
      <c r="E1130" s="2" t="s">
        <v>4708</v>
      </c>
      <c r="F1130" s="2" t="s">
        <v>2249</v>
      </c>
      <c r="G1130" s="2" t="s">
        <v>3574</v>
      </c>
      <c r="H1130" s="2">
        <v>183851</v>
      </c>
    </row>
    <row r="1131" spans="1:8">
      <c r="A1131" s="2" t="s">
        <v>2458</v>
      </c>
      <c r="B1131" s="2" t="s">
        <v>4818</v>
      </c>
      <c r="C1131" s="2" t="s">
        <v>4819</v>
      </c>
      <c r="D1131" s="2">
        <v>86005000</v>
      </c>
      <c r="E1131" s="2" t="s">
        <v>4708</v>
      </c>
      <c r="F1131" s="2" t="s">
        <v>2249</v>
      </c>
      <c r="G1131" s="2" t="s">
        <v>3626</v>
      </c>
      <c r="H1131" s="2">
        <v>103879</v>
      </c>
    </row>
    <row r="1132" spans="1:8">
      <c r="A1132" s="2" t="s">
        <v>2528</v>
      </c>
      <c r="B1132" s="2" t="s">
        <v>4820</v>
      </c>
      <c r="C1132" s="2" t="s">
        <v>4817</v>
      </c>
      <c r="D1132" s="2">
        <v>86001000</v>
      </c>
      <c r="E1132" s="2" t="s">
        <v>4708</v>
      </c>
      <c r="F1132" s="2" t="s">
        <v>2249</v>
      </c>
      <c r="G1132" s="2" t="s">
        <v>3626</v>
      </c>
      <c r="H1132" s="2">
        <v>8942</v>
      </c>
    </row>
    <row r="1133" spans="1:8">
      <c r="A1133" s="2" t="s">
        <v>2598</v>
      </c>
      <c r="B1133" s="2" t="s">
        <v>4821</v>
      </c>
      <c r="C1133" s="2" t="s">
        <v>4819</v>
      </c>
      <c r="D1133" s="2">
        <v>86002000</v>
      </c>
      <c r="E1133" s="2" t="s">
        <v>4708</v>
      </c>
      <c r="F1133" s="2" t="s">
        <v>2249</v>
      </c>
      <c r="G1133" s="2" t="s">
        <v>3574</v>
      </c>
      <c r="H1133" s="2">
        <v>55480</v>
      </c>
    </row>
    <row r="1134" spans="1:8">
      <c r="A1134" s="2" t="s">
        <v>2663</v>
      </c>
      <c r="B1134" s="2" t="s">
        <v>4822</v>
      </c>
      <c r="C1134" s="2" t="s">
        <v>4819</v>
      </c>
      <c r="D1134" s="2">
        <v>86004000</v>
      </c>
      <c r="E1134" s="2" t="s">
        <v>4708</v>
      </c>
      <c r="F1134" s="2" t="s">
        <v>2249</v>
      </c>
      <c r="G1134" s="2" t="s">
        <v>3634</v>
      </c>
      <c r="H1134" s="2">
        <v>22982</v>
      </c>
    </row>
    <row r="1135" spans="1:8">
      <c r="A1135" s="2" t="s">
        <v>2727</v>
      </c>
      <c r="B1135" s="2" t="s">
        <v>4823</v>
      </c>
      <c r="C1135" s="2" t="s">
        <v>4819</v>
      </c>
      <c r="D1135" s="2">
        <v>86006000</v>
      </c>
      <c r="E1135" s="2" t="s">
        <v>4708</v>
      </c>
      <c r="F1135" s="2" t="s">
        <v>2249</v>
      </c>
      <c r="G1135" s="2" t="s">
        <v>3629</v>
      </c>
      <c r="H1135" s="2">
        <v>42879</v>
      </c>
    </row>
    <row r="1136" spans="1:8">
      <c r="A1136" s="2" t="s">
        <v>2786</v>
      </c>
      <c r="B1136" s="2" t="s">
        <v>4824</v>
      </c>
      <c r="C1136" s="2" t="s">
        <v>4817</v>
      </c>
      <c r="D1136" s="2">
        <v>86007000</v>
      </c>
      <c r="E1136" s="2" t="s">
        <v>4708</v>
      </c>
      <c r="F1136" s="2" t="s">
        <v>2249</v>
      </c>
      <c r="G1136" s="2" t="s">
        <v>3600</v>
      </c>
      <c r="H1136" s="2">
        <v>34434</v>
      </c>
    </row>
    <row r="1137" spans="1:8">
      <c r="A1137" s="2" t="s">
        <v>2845</v>
      </c>
      <c r="B1137" s="2" t="s">
        <v>4825</v>
      </c>
      <c r="C1137" s="2" t="s">
        <v>4819</v>
      </c>
      <c r="D1137" s="2">
        <v>86008000</v>
      </c>
      <c r="E1137" s="2" t="s">
        <v>4708</v>
      </c>
      <c r="F1137" s="2" t="s">
        <v>2249</v>
      </c>
      <c r="G1137" s="2" t="s">
        <v>3634</v>
      </c>
      <c r="H1137" s="2">
        <v>13673</v>
      </c>
    </row>
    <row r="1138" spans="1:8">
      <c r="A1138" s="2" t="s">
        <v>2900</v>
      </c>
      <c r="B1138" s="2" t="s">
        <v>4826</v>
      </c>
      <c r="C1138" s="2" t="s">
        <v>4819</v>
      </c>
      <c r="D1138" s="2">
        <v>86009000</v>
      </c>
      <c r="E1138" s="2" t="s">
        <v>4708</v>
      </c>
      <c r="F1138" s="2" t="s">
        <v>2249</v>
      </c>
      <c r="G1138" s="2" t="s">
        <v>3626</v>
      </c>
      <c r="H1138" s="2">
        <v>18342</v>
      </c>
    </row>
    <row r="1139" spans="1:8">
      <c r="A1139" s="2" t="s">
        <v>2952</v>
      </c>
      <c r="B1139" s="2" t="s">
        <v>4827</v>
      </c>
      <c r="C1139" s="2" t="s">
        <v>4819</v>
      </c>
      <c r="D1139" s="2">
        <v>86010000</v>
      </c>
      <c r="E1139" s="2" t="s">
        <v>4708</v>
      </c>
      <c r="F1139" s="2" t="s">
        <v>2249</v>
      </c>
      <c r="G1139" s="2" t="s">
        <v>3626</v>
      </c>
      <c r="H1139" s="2">
        <v>16962</v>
      </c>
    </row>
    <row r="1140" spans="1:8">
      <c r="A1140" s="2" t="s">
        <v>3003</v>
      </c>
      <c r="B1140" s="2" t="s">
        <v>4828</v>
      </c>
      <c r="C1140" s="2" t="s">
        <v>4817</v>
      </c>
      <c r="D1140" s="2">
        <v>86011000</v>
      </c>
      <c r="E1140" s="2" t="s">
        <v>4708</v>
      </c>
      <c r="F1140" s="2" t="s">
        <v>2249</v>
      </c>
      <c r="G1140" s="2" t="s">
        <v>3626</v>
      </c>
      <c r="H1140" s="2">
        <v>7288</v>
      </c>
    </row>
    <row r="1141" spans="1:8">
      <c r="A1141" s="2" t="s">
        <v>3052</v>
      </c>
      <c r="B1141" s="2" t="s">
        <v>4829</v>
      </c>
      <c r="C1141" s="2" t="s">
        <v>4819</v>
      </c>
      <c r="D1141" s="2">
        <v>86012000</v>
      </c>
      <c r="E1141" s="2" t="s">
        <v>4708</v>
      </c>
      <c r="F1141" s="2" t="s">
        <v>2249</v>
      </c>
      <c r="G1141" s="2" t="s">
        <v>3634</v>
      </c>
      <c r="H1141" s="2">
        <v>15156</v>
      </c>
    </row>
    <row r="1142" spans="1:8">
      <c r="A1142" s="2" t="s">
        <v>3095</v>
      </c>
      <c r="B1142" s="2" t="s">
        <v>4830</v>
      </c>
      <c r="C1142" s="2" t="s">
        <v>4819</v>
      </c>
      <c r="D1142" s="2">
        <v>86013000</v>
      </c>
      <c r="E1142" s="2" t="s">
        <v>4708</v>
      </c>
      <c r="F1142" s="2" t="s">
        <v>2249</v>
      </c>
      <c r="G1142" s="2" t="s">
        <v>3634</v>
      </c>
      <c r="H1142" s="2">
        <v>18252</v>
      </c>
    </row>
    <row r="1143" spans="1:8">
      <c r="A1143" s="2" t="s">
        <v>3135</v>
      </c>
      <c r="B1143" s="2" t="s">
        <v>4831</v>
      </c>
      <c r="C1143" s="2" t="s">
        <v>4819</v>
      </c>
      <c r="D1143" s="2">
        <v>86014000</v>
      </c>
      <c r="E1143" s="2" t="s">
        <v>4708</v>
      </c>
      <c r="F1143" s="2" t="s">
        <v>2249</v>
      </c>
      <c r="G1143" s="2" t="s">
        <v>3634</v>
      </c>
      <c r="H1143" s="2">
        <v>7769</v>
      </c>
    </row>
    <row r="1144" spans="1:8">
      <c r="A1144" s="2" t="s">
        <v>3174</v>
      </c>
      <c r="B1144" s="2" t="s">
        <v>4832</v>
      </c>
      <c r="C1144" s="2" t="s">
        <v>4819</v>
      </c>
      <c r="D1144" s="2">
        <v>86015000</v>
      </c>
      <c r="E1144" s="2" t="s">
        <v>4708</v>
      </c>
      <c r="F1144" s="2" t="s">
        <v>2249</v>
      </c>
      <c r="G1144" s="2" t="s">
        <v>3769</v>
      </c>
      <c r="H1144" s="2">
        <v>8057</v>
      </c>
    </row>
    <row r="1145" spans="1:8">
      <c r="A1145" s="2" t="s">
        <v>3212</v>
      </c>
      <c r="B1145" s="2" t="s">
        <v>4833</v>
      </c>
      <c r="C1145" s="2" t="s">
        <v>4817</v>
      </c>
      <c r="D1145" s="2">
        <v>86016000</v>
      </c>
      <c r="E1145" s="2" t="s">
        <v>4708</v>
      </c>
      <c r="F1145" s="2" t="s">
        <v>2249</v>
      </c>
      <c r="G1145" s="2" t="s">
        <v>3634</v>
      </c>
      <c r="H1145" s="2">
        <v>26348</v>
      </c>
    </row>
    <row r="1146" spans="1:8">
      <c r="A1146" s="2" t="s">
        <v>3240</v>
      </c>
      <c r="B1146" s="2" t="s">
        <v>4834</v>
      </c>
      <c r="C1146" s="2" t="s">
        <v>4819</v>
      </c>
      <c r="D1146" s="2">
        <v>86017000</v>
      </c>
      <c r="E1146" s="2" t="s">
        <v>4708</v>
      </c>
      <c r="F1146" s="2" t="s">
        <v>2249</v>
      </c>
      <c r="G1146" s="2" t="s">
        <v>3629</v>
      </c>
      <c r="H1146" s="2">
        <v>41591</v>
      </c>
    </row>
    <row r="1147" spans="1:8">
      <c r="A1147" s="2" t="s">
        <v>3017</v>
      </c>
      <c r="B1147" s="2" t="s">
        <v>4835</v>
      </c>
      <c r="C1147" s="2" t="s">
        <v>4817</v>
      </c>
      <c r="D1147" s="2">
        <v>86018000</v>
      </c>
      <c r="E1147" s="2" t="s">
        <v>4708</v>
      </c>
      <c r="F1147" s="2" t="s">
        <v>2249</v>
      </c>
      <c r="G1147" s="2" t="s">
        <v>3626</v>
      </c>
      <c r="H1147" s="2">
        <v>12863</v>
      </c>
    </row>
    <row r="1148" spans="1:8">
      <c r="A1148" s="2" t="s">
        <v>3296</v>
      </c>
      <c r="B1148" s="2" t="s">
        <v>4836</v>
      </c>
      <c r="C1148" s="2" t="s">
        <v>4819</v>
      </c>
      <c r="D1148" s="2">
        <v>86019000</v>
      </c>
      <c r="E1148" s="2" t="s">
        <v>4708</v>
      </c>
      <c r="F1148" s="2" t="s">
        <v>2249</v>
      </c>
      <c r="G1148" s="2" t="s">
        <v>3769</v>
      </c>
      <c r="H1148" s="2">
        <v>8057</v>
      </c>
    </row>
    <row r="1149" spans="1:8">
      <c r="A1149" s="2" t="s">
        <v>3321</v>
      </c>
      <c r="B1149" s="2" t="s">
        <v>4837</v>
      </c>
      <c r="C1149" s="2" t="s">
        <v>4817</v>
      </c>
      <c r="D1149" s="2">
        <v>86020000</v>
      </c>
      <c r="E1149" s="2" t="s">
        <v>4708</v>
      </c>
      <c r="F1149" s="2" t="s">
        <v>2249</v>
      </c>
      <c r="G1149" s="2" t="s">
        <v>3634</v>
      </c>
      <c r="H1149" s="2">
        <v>24992</v>
      </c>
    </row>
    <row r="1150" spans="1:8">
      <c r="A1150" s="2" t="s">
        <v>3347</v>
      </c>
      <c r="B1150" s="2" t="s">
        <v>4838</v>
      </c>
      <c r="C1150" s="2" t="s">
        <v>4819</v>
      </c>
      <c r="D1150" s="2">
        <v>86021000</v>
      </c>
      <c r="E1150" s="2" t="s">
        <v>4708</v>
      </c>
      <c r="F1150" s="2" t="s">
        <v>2249</v>
      </c>
      <c r="G1150" s="2" t="s">
        <v>3634</v>
      </c>
      <c r="H1150" s="2">
        <v>28230</v>
      </c>
    </row>
    <row r="1151" spans="1:8">
      <c r="A1151" s="2" t="s">
        <v>3367</v>
      </c>
      <c r="B1151" s="2" t="s">
        <v>4839</v>
      </c>
      <c r="C1151" s="2" t="s">
        <v>4819</v>
      </c>
      <c r="D1151" s="2">
        <v>86022000</v>
      </c>
      <c r="E1151" s="2" t="s">
        <v>4708</v>
      </c>
      <c r="F1151" s="2" t="s">
        <v>2249</v>
      </c>
      <c r="G1151" s="2" t="s">
        <v>3600</v>
      </c>
      <c r="H1151" s="2">
        <v>30557</v>
      </c>
    </row>
    <row r="1152" spans="1:8">
      <c r="A1152" s="2" t="s">
        <v>3391</v>
      </c>
      <c r="B1152" s="2" t="s">
        <v>4840</v>
      </c>
      <c r="C1152" s="2" t="s">
        <v>4819</v>
      </c>
      <c r="D1152" s="2">
        <v>86023000</v>
      </c>
      <c r="E1152" s="2" t="s">
        <v>4708</v>
      </c>
      <c r="F1152" s="2" t="s">
        <v>2249</v>
      </c>
      <c r="G1152" s="2" t="s">
        <v>3626</v>
      </c>
      <c r="H1152" s="2">
        <v>16295</v>
      </c>
    </row>
    <row r="1153" spans="1:8">
      <c r="A1153" s="2" t="s">
        <v>3408</v>
      </c>
      <c r="B1153" s="2" t="s">
        <v>4841</v>
      </c>
      <c r="C1153" s="2" t="s">
        <v>4817</v>
      </c>
      <c r="D1153" s="2">
        <v>86024000</v>
      </c>
      <c r="E1153" s="2" t="s">
        <v>4708</v>
      </c>
      <c r="F1153" s="2" t="s">
        <v>2249</v>
      </c>
      <c r="G1153" s="2" t="s">
        <v>3626</v>
      </c>
      <c r="H1153" s="2">
        <v>8473</v>
      </c>
    </row>
    <row r="1154" spans="1:8">
      <c r="A1154" s="2" t="s">
        <v>3422</v>
      </c>
      <c r="B1154" s="2" t="s">
        <v>4842</v>
      </c>
      <c r="C1154" s="2" t="s">
        <v>4817</v>
      </c>
      <c r="D1154" s="2">
        <v>86025000</v>
      </c>
      <c r="E1154" s="2" t="s">
        <v>4708</v>
      </c>
      <c r="F1154" s="2" t="s">
        <v>2249</v>
      </c>
      <c r="G1154" s="2" t="s">
        <v>3634</v>
      </c>
      <c r="H1154" s="2">
        <v>17184</v>
      </c>
    </row>
    <row r="1155" spans="1:8">
      <c r="A1155" s="2" t="s">
        <v>3433</v>
      </c>
      <c r="B1155" s="2" t="s">
        <v>4843</v>
      </c>
      <c r="C1155" s="2" t="s">
        <v>4817</v>
      </c>
      <c r="D1155" s="2">
        <v>86026000</v>
      </c>
      <c r="E1155" s="2" t="s">
        <v>4708</v>
      </c>
      <c r="F1155" s="2" t="s">
        <v>2249</v>
      </c>
      <c r="G1155" s="2" t="s">
        <v>3626</v>
      </c>
      <c r="H1155" s="2">
        <v>7945</v>
      </c>
    </row>
    <row r="1156" spans="2:2">
      <c r="B1156" s="2" t="s">
        <v>20</v>
      </c>
    </row>
    <row r="1157" spans="1:8">
      <c r="A1157" s="2" t="s">
        <v>2389</v>
      </c>
      <c r="B1157" s="2" t="s">
        <v>4844</v>
      </c>
      <c r="C1157" s="2" t="s">
        <v>4845</v>
      </c>
      <c r="D1157" s="2">
        <v>86407000</v>
      </c>
      <c r="E1157" s="2" t="s">
        <v>4708</v>
      </c>
      <c r="F1157" s="2" t="s">
        <v>2241</v>
      </c>
      <c r="G1157" s="2" t="s">
        <v>3634</v>
      </c>
      <c r="H1157" s="2">
        <v>85560</v>
      </c>
    </row>
    <row r="1158" spans="1:8">
      <c r="A1158" s="2" t="s">
        <v>2461</v>
      </c>
      <c r="B1158" s="2" t="s">
        <v>4846</v>
      </c>
      <c r="C1158" s="2" t="s">
        <v>4847</v>
      </c>
      <c r="D1158" s="2">
        <v>86401000</v>
      </c>
      <c r="E1158" s="2" t="s">
        <v>4708</v>
      </c>
      <c r="F1158" s="2" t="s">
        <v>2241</v>
      </c>
      <c r="G1158" s="2" t="s">
        <v>3626</v>
      </c>
      <c r="H1158" s="2">
        <v>8211</v>
      </c>
    </row>
    <row r="1159" spans="1:8">
      <c r="A1159" s="2" t="s">
        <v>2531</v>
      </c>
      <c r="B1159" s="2" t="s">
        <v>4848</v>
      </c>
      <c r="C1159" s="2" t="s">
        <v>4845</v>
      </c>
      <c r="D1159" s="2">
        <v>86402000</v>
      </c>
      <c r="E1159" s="2" t="s">
        <v>4708</v>
      </c>
      <c r="F1159" s="2" t="s">
        <v>2241</v>
      </c>
      <c r="G1159" s="2" t="s">
        <v>3634</v>
      </c>
      <c r="H1159" s="2">
        <v>28905</v>
      </c>
    </row>
    <row r="1160" spans="1:8">
      <c r="A1160" s="2" t="s">
        <v>2601</v>
      </c>
      <c r="B1160" s="2" t="s">
        <v>4849</v>
      </c>
      <c r="C1160" s="2" t="s">
        <v>4847</v>
      </c>
      <c r="D1160" s="2">
        <v>86403000</v>
      </c>
      <c r="E1160" s="2" t="s">
        <v>4708</v>
      </c>
      <c r="F1160" s="2" t="s">
        <v>2241</v>
      </c>
      <c r="G1160" s="2" t="s">
        <v>3629</v>
      </c>
      <c r="H1160" s="2">
        <v>29976</v>
      </c>
    </row>
    <row r="1161" spans="1:8">
      <c r="A1161" s="2" t="s">
        <v>2666</v>
      </c>
      <c r="B1161" s="2" t="s">
        <v>4850</v>
      </c>
      <c r="C1161" s="2" t="s">
        <v>4847</v>
      </c>
      <c r="D1161" s="2">
        <v>86404000</v>
      </c>
      <c r="E1161" s="2" t="s">
        <v>4708</v>
      </c>
      <c r="F1161" s="2" t="s">
        <v>2241</v>
      </c>
      <c r="G1161" s="2" t="s">
        <v>3626</v>
      </c>
      <c r="H1161" s="2">
        <v>12285</v>
      </c>
    </row>
    <row r="1162" spans="1:8">
      <c r="A1162" s="2" t="s">
        <v>2730</v>
      </c>
      <c r="B1162" s="2" t="s">
        <v>4851</v>
      </c>
      <c r="C1162" s="2" t="s">
        <v>4847</v>
      </c>
      <c r="D1162" s="2">
        <v>86405000</v>
      </c>
      <c r="E1162" s="2" t="s">
        <v>4708</v>
      </c>
      <c r="F1162" s="2" t="s">
        <v>2241</v>
      </c>
      <c r="G1162" s="2" t="s">
        <v>3626</v>
      </c>
      <c r="H1162" s="2">
        <v>15169</v>
      </c>
    </row>
    <row r="1163" spans="1:8">
      <c r="A1163" s="2" t="s">
        <v>2789</v>
      </c>
      <c r="B1163" s="2" t="s">
        <v>4852</v>
      </c>
      <c r="C1163" s="2" t="s">
        <v>4847</v>
      </c>
      <c r="D1163" s="2">
        <v>86406000</v>
      </c>
      <c r="E1163" s="2" t="s">
        <v>4708</v>
      </c>
      <c r="F1163" s="2" t="s">
        <v>2241</v>
      </c>
      <c r="G1163" s="2" t="s">
        <v>3634</v>
      </c>
      <c r="H1163" s="2">
        <v>23981</v>
      </c>
    </row>
    <row r="1164" spans="1:8">
      <c r="A1164" s="2" t="s">
        <v>2848</v>
      </c>
      <c r="B1164" s="2" t="s">
        <v>4853</v>
      </c>
      <c r="C1164" s="2" t="s">
        <v>4845</v>
      </c>
      <c r="D1164" s="2">
        <v>86408000</v>
      </c>
      <c r="E1164" s="2" t="s">
        <v>4708</v>
      </c>
      <c r="F1164" s="2" t="s">
        <v>2241</v>
      </c>
      <c r="G1164" s="2" t="s">
        <v>3634</v>
      </c>
      <c r="H1164" s="2">
        <v>26244</v>
      </c>
    </row>
    <row r="1165" spans="1:8">
      <c r="A1165" s="2" t="s">
        <v>2902</v>
      </c>
      <c r="B1165" s="2" t="s">
        <v>4854</v>
      </c>
      <c r="C1165" s="2" t="s">
        <v>4845</v>
      </c>
      <c r="D1165" s="2">
        <v>86409000</v>
      </c>
      <c r="E1165" s="2" t="s">
        <v>4708</v>
      </c>
      <c r="F1165" s="2" t="s">
        <v>2241</v>
      </c>
      <c r="G1165" s="2" t="s">
        <v>3634</v>
      </c>
      <c r="H1165" s="2">
        <v>22923</v>
      </c>
    </row>
    <row r="1166" spans="1:8">
      <c r="A1166" s="2" t="s">
        <v>2955</v>
      </c>
      <c r="B1166" s="2" t="s">
        <v>4855</v>
      </c>
      <c r="C1166" s="2" t="s">
        <v>4845</v>
      </c>
      <c r="D1166" s="2">
        <v>86410000</v>
      </c>
      <c r="E1166" s="2" t="s">
        <v>4708</v>
      </c>
      <c r="F1166" s="2" t="s">
        <v>2241</v>
      </c>
      <c r="G1166" s="2" t="s">
        <v>3626</v>
      </c>
      <c r="H1166" s="2">
        <v>11091</v>
      </c>
    </row>
    <row r="1167" spans="1:8">
      <c r="A1167" s="2" t="s">
        <v>3006</v>
      </c>
      <c r="B1167" s="2" t="s">
        <v>4856</v>
      </c>
      <c r="C1167" s="2" t="s">
        <v>4847</v>
      </c>
      <c r="D1167" s="2">
        <v>86411000</v>
      </c>
      <c r="E1167" s="2" t="s">
        <v>4708</v>
      </c>
      <c r="F1167" s="2" t="s">
        <v>2241</v>
      </c>
      <c r="G1167" s="2" t="s">
        <v>3626</v>
      </c>
      <c r="H1167" s="2">
        <v>9826</v>
      </c>
    </row>
    <row r="1168" spans="1:8">
      <c r="A1168" s="2" t="s">
        <v>3055</v>
      </c>
      <c r="B1168" s="2" t="s">
        <v>4857</v>
      </c>
      <c r="C1168" s="2" t="s">
        <v>4847</v>
      </c>
      <c r="D1168" s="2">
        <v>86412000</v>
      </c>
      <c r="E1168" s="2" t="s">
        <v>4708</v>
      </c>
      <c r="F1168" s="2" t="s">
        <v>2241</v>
      </c>
      <c r="G1168" s="2" t="s">
        <v>3634</v>
      </c>
      <c r="H1168" s="2">
        <v>28395</v>
      </c>
    </row>
    <row r="1169" spans="1:8">
      <c r="A1169" s="2" t="s">
        <v>2863</v>
      </c>
      <c r="B1169" s="2" t="s">
        <v>4858</v>
      </c>
      <c r="C1169" s="2" t="s">
        <v>4847</v>
      </c>
      <c r="D1169" s="2">
        <v>86413000</v>
      </c>
      <c r="E1169" s="2" t="s">
        <v>4708</v>
      </c>
      <c r="F1169" s="2" t="s">
        <v>2241</v>
      </c>
      <c r="G1169" s="2" t="s">
        <v>3626</v>
      </c>
      <c r="H1169" s="2">
        <v>13402</v>
      </c>
    </row>
    <row r="1170" spans="1:8">
      <c r="A1170" s="2" t="s">
        <v>3138</v>
      </c>
      <c r="B1170" s="2" t="s">
        <v>4859</v>
      </c>
      <c r="C1170" s="2" t="s">
        <v>4847</v>
      </c>
      <c r="D1170" s="2">
        <v>86414000</v>
      </c>
      <c r="E1170" s="2" t="s">
        <v>4708</v>
      </c>
      <c r="F1170" s="2" t="s">
        <v>2241</v>
      </c>
      <c r="G1170" s="2" t="s">
        <v>3626</v>
      </c>
      <c r="H1170" s="2">
        <v>14858</v>
      </c>
    </row>
    <row r="1171" spans="1:8">
      <c r="A1171" s="2" t="s">
        <v>3177</v>
      </c>
      <c r="B1171" s="2" t="s">
        <v>4860</v>
      </c>
      <c r="C1171" s="2" t="s">
        <v>4847</v>
      </c>
      <c r="D1171" s="2">
        <v>86415000</v>
      </c>
      <c r="E1171" s="2" t="s">
        <v>4708</v>
      </c>
      <c r="F1171" s="2" t="s">
        <v>2241</v>
      </c>
      <c r="G1171" s="2" t="s">
        <v>3626</v>
      </c>
      <c r="H1171" s="2">
        <v>10494</v>
      </c>
    </row>
    <row r="1172" spans="1:8">
      <c r="A1172" s="2" t="s">
        <v>3214</v>
      </c>
      <c r="B1172" s="2" t="s">
        <v>4861</v>
      </c>
      <c r="C1172" s="2" t="s">
        <v>4847</v>
      </c>
      <c r="D1172" s="2">
        <v>86416000</v>
      </c>
      <c r="E1172" s="2" t="s">
        <v>4708</v>
      </c>
      <c r="F1172" s="2" t="s">
        <v>2241</v>
      </c>
      <c r="G1172" s="2" t="s">
        <v>3634</v>
      </c>
      <c r="H1172" s="2">
        <v>12775</v>
      </c>
    </row>
    <row r="1173" spans="1:8">
      <c r="A1173" s="2" t="s">
        <v>3242</v>
      </c>
      <c r="B1173" s="2" t="s">
        <v>4862</v>
      </c>
      <c r="C1173" s="2" t="s">
        <v>4847</v>
      </c>
      <c r="D1173" s="2">
        <v>86417000</v>
      </c>
      <c r="E1173" s="2" t="s">
        <v>4708</v>
      </c>
      <c r="F1173" s="2" t="s">
        <v>2241</v>
      </c>
      <c r="G1173" s="2" t="s">
        <v>3600</v>
      </c>
      <c r="H1173" s="2">
        <v>44986</v>
      </c>
    </row>
    <row r="1174" spans="1:8">
      <c r="A1174" s="2" t="s">
        <v>3272</v>
      </c>
      <c r="B1174" s="2" t="s">
        <v>4863</v>
      </c>
      <c r="C1174" s="2" t="s">
        <v>4845</v>
      </c>
      <c r="D1174" s="2">
        <v>86418000</v>
      </c>
      <c r="E1174" s="2" t="s">
        <v>4708</v>
      </c>
      <c r="F1174" s="2" t="s">
        <v>2241</v>
      </c>
      <c r="G1174" s="2" t="s">
        <v>3626</v>
      </c>
      <c r="H1174" s="2">
        <v>16608</v>
      </c>
    </row>
    <row r="1175" spans="1:8">
      <c r="A1175" s="2" t="s">
        <v>3298</v>
      </c>
      <c r="B1175" s="2" t="s">
        <v>4864</v>
      </c>
      <c r="C1175" s="2" t="s">
        <v>4845</v>
      </c>
      <c r="D1175" s="2">
        <v>86419000</v>
      </c>
      <c r="E1175" s="2" t="s">
        <v>4708</v>
      </c>
      <c r="F1175" s="2" t="s">
        <v>2241</v>
      </c>
      <c r="G1175" s="2" t="s">
        <v>3769</v>
      </c>
      <c r="H1175" s="2">
        <v>6061</v>
      </c>
    </row>
    <row r="1176" spans="2:5">
      <c r="B1176" s="2" t="s">
        <v>20</v>
      </c>
      <c r="E1176" s="2" t="s">
        <v>4865</v>
      </c>
    </row>
    <row r="1177" spans="1:8">
      <c r="A1177" s="2" t="s">
        <v>2393</v>
      </c>
      <c r="B1177" s="2" t="s">
        <v>4866</v>
      </c>
      <c r="C1177" s="2" t="s">
        <v>4867</v>
      </c>
      <c r="D1177" s="2">
        <v>97332000</v>
      </c>
      <c r="E1177" s="2" t="s">
        <v>4865</v>
      </c>
      <c r="F1177" s="2" t="s">
        <v>2230</v>
      </c>
      <c r="G1177" s="2" t="s">
        <v>3574</v>
      </c>
      <c r="H1177" s="2">
        <v>861799</v>
      </c>
    </row>
    <row r="1178" spans="2:5">
      <c r="B1178" s="2" t="s">
        <v>20</v>
      </c>
      <c r="E1178" s="2" t="s">
        <v>4865</v>
      </c>
    </row>
    <row r="1179" spans="1:8">
      <c r="A1179" s="2" t="s">
        <v>2391</v>
      </c>
      <c r="B1179" s="2" t="s">
        <v>4868</v>
      </c>
      <c r="C1179" s="2" t="s">
        <v>4869</v>
      </c>
      <c r="D1179" s="2">
        <v>97201000</v>
      </c>
      <c r="E1179" s="2" t="s">
        <v>4865</v>
      </c>
      <c r="F1179" s="2" t="s">
        <v>2188</v>
      </c>
      <c r="G1179" s="2" t="s">
        <v>3629</v>
      </c>
      <c r="H1179" s="2">
        <v>82418</v>
      </c>
    </row>
    <row r="1180" spans="1:8">
      <c r="A1180" s="2" t="s">
        <v>2463</v>
      </c>
      <c r="B1180" s="2" t="s">
        <v>4870</v>
      </c>
      <c r="C1180" s="2" t="s">
        <v>4871</v>
      </c>
      <c r="D1180" s="2">
        <v>97202000</v>
      </c>
      <c r="E1180" s="2" t="s">
        <v>4865</v>
      </c>
      <c r="F1180" s="2" t="s">
        <v>2188</v>
      </c>
      <c r="G1180" s="2" t="s">
        <v>3629</v>
      </c>
      <c r="H1180" s="2">
        <v>130759</v>
      </c>
    </row>
    <row r="1181" spans="1:8">
      <c r="A1181" s="2" t="s">
        <v>2533</v>
      </c>
      <c r="B1181" s="2" t="s">
        <v>4872</v>
      </c>
      <c r="C1181" s="2" t="s">
        <v>4871</v>
      </c>
      <c r="D1181" s="2">
        <v>97203000</v>
      </c>
      <c r="E1181" s="2" t="s">
        <v>4865</v>
      </c>
      <c r="F1181" s="2" t="s">
        <v>2188</v>
      </c>
      <c r="G1181" s="2" t="s">
        <v>3600</v>
      </c>
      <c r="H1181" s="2">
        <v>45577</v>
      </c>
    </row>
    <row r="1182" spans="1:8">
      <c r="A1182" s="2" t="s">
        <v>2603</v>
      </c>
      <c r="B1182" s="2" t="s">
        <v>4873</v>
      </c>
      <c r="C1182" s="2" t="s">
        <v>4869</v>
      </c>
      <c r="D1182" s="2">
        <v>97204000</v>
      </c>
      <c r="E1182" s="2" t="s">
        <v>4865</v>
      </c>
      <c r="F1182" s="2" t="s">
        <v>2188</v>
      </c>
      <c r="G1182" s="2" t="s">
        <v>3626</v>
      </c>
      <c r="H1182" s="2">
        <v>8406</v>
      </c>
    </row>
    <row r="1183" spans="1:8">
      <c r="A1183" s="2" t="s">
        <v>2668</v>
      </c>
      <c r="B1183" s="2" t="s">
        <v>4874</v>
      </c>
      <c r="C1183" s="2" t="s">
        <v>4875</v>
      </c>
      <c r="D1183" s="2">
        <v>97205000</v>
      </c>
      <c r="E1183" s="2" t="s">
        <v>4865</v>
      </c>
      <c r="F1183" s="2" t="s">
        <v>2188</v>
      </c>
      <c r="G1183" s="2" t="s">
        <v>3629</v>
      </c>
      <c r="H1183" s="2">
        <v>41357</v>
      </c>
    </row>
    <row r="1184" spans="1:8">
      <c r="A1184" s="2" t="s">
        <v>2732</v>
      </c>
      <c r="B1184" s="2" t="s">
        <v>4876</v>
      </c>
      <c r="C1184" s="2" t="s">
        <v>4875</v>
      </c>
      <c r="D1184" s="2">
        <v>97206000</v>
      </c>
      <c r="E1184" s="2" t="s">
        <v>4865</v>
      </c>
      <c r="F1184" s="2" t="s">
        <v>2188</v>
      </c>
      <c r="G1184" s="2" t="s">
        <v>3629</v>
      </c>
      <c r="H1184" s="2">
        <v>39812</v>
      </c>
    </row>
    <row r="1185" spans="1:8">
      <c r="A1185" s="2" t="s">
        <v>2791</v>
      </c>
      <c r="B1185" s="2" t="s">
        <v>4877</v>
      </c>
      <c r="C1185" s="2" t="s">
        <v>4871</v>
      </c>
      <c r="D1185" s="2">
        <v>97207000</v>
      </c>
      <c r="E1185" s="2" t="s">
        <v>4865</v>
      </c>
      <c r="F1185" s="2" t="s">
        <v>2188</v>
      </c>
      <c r="G1185" s="2" t="s">
        <v>3629</v>
      </c>
      <c r="H1185" s="2">
        <v>36526</v>
      </c>
    </row>
    <row r="1186" spans="1:8">
      <c r="A1186" s="2" t="s">
        <v>2850</v>
      </c>
      <c r="B1186" s="2" t="s">
        <v>4878</v>
      </c>
      <c r="C1186" s="2" t="s">
        <v>4869</v>
      </c>
      <c r="D1186" s="2">
        <v>97208000</v>
      </c>
      <c r="E1186" s="2" t="s">
        <v>4865</v>
      </c>
      <c r="F1186" s="2" t="s">
        <v>2188</v>
      </c>
      <c r="G1186" s="2" t="s">
        <v>3626</v>
      </c>
      <c r="H1186" s="2">
        <v>12675</v>
      </c>
    </row>
    <row r="1187" spans="1:8">
      <c r="A1187" s="2" t="s">
        <v>2904</v>
      </c>
      <c r="B1187" s="2" t="s">
        <v>4879</v>
      </c>
      <c r="C1187" s="2" t="s">
        <v>4869</v>
      </c>
      <c r="D1187" s="2">
        <v>97209000</v>
      </c>
      <c r="E1187" s="2" t="s">
        <v>4865</v>
      </c>
      <c r="F1187" s="2" t="s">
        <v>2188</v>
      </c>
      <c r="G1187" s="2" t="s">
        <v>3634</v>
      </c>
      <c r="H1187" s="2">
        <v>20161</v>
      </c>
    </row>
    <row r="1188" spans="1:8">
      <c r="A1188" s="2" t="s">
        <v>2957</v>
      </c>
      <c r="B1188" s="2" t="s">
        <v>4880</v>
      </c>
      <c r="C1188" s="2" t="s">
        <v>4869</v>
      </c>
      <c r="D1188" s="2">
        <v>97210000</v>
      </c>
      <c r="E1188" s="2" t="s">
        <v>4865</v>
      </c>
      <c r="F1188" s="2" t="s">
        <v>2188</v>
      </c>
      <c r="G1188" s="2" t="s">
        <v>3629</v>
      </c>
      <c r="H1188" s="2">
        <v>39347</v>
      </c>
    </row>
    <row r="1189" spans="1:8">
      <c r="A1189" s="2" t="s">
        <v>3008</v>
      </c>
      <c r="B1189" s="2" t="s">
        <v>4881</v>
      </c>
      <c r="C1189" s="2" t="s">
        <v>4871</v>
      </c>
      <c r="D1189" s="2">
        <v>97211000</v>
      </c>
      <c r="E1189" s="2" t="s">
        <v>4865</v>
      </c>
      <c r="F1189" s="2" t="s">
        <v>2188</v>
      </c>
      <c r="G1189" s="2" t="s">
        <v>3600</v>
      </c>
      <c r="H1189" s="2">
        <v>39323</v>
      </c>
    </row>
    <row r="1190" spans="1:8">
      <c r="A1190" s="2" t="s">
        <v>653</v>
      </c>
      <c r="B1190" s="2" t="s">
        <v>4882</v>
      </c>
      <c r="C1190" s="2" t="s">
        <v>4869</v>
      </c>
      <c r="D1190" s="2">
        <v>97212000</v>
      </c>
      <c r="E1190" s="2" t="s">
        <v>4865</v>
      </c>
      <c r="F1190" s="2" t="s">
        <v>2188</v>
      </c>
      <c r="G1190" s="2" t="s">
        <v>3626</v>
      </c>
      <c r="H1190" s="2">
        <v>14021</v>
      </c>
    </row>
    <row r="1191" spans="1:8">
      <c r="A1191" s="2" t="s">
        <v>3099</v>
      </c>
      <c r="B1191" s="2" t="s">
        <v>4883</v>
      </c>
      <c r="C1191" s="2" t="s">
        <v>4875</v>
      </c>
      <c r="D1191" s="2">
        <v>97213000</v>
      </c>
      <c r="E1191" s="2" t="s">
        <v>4865</v>
      </c>
      <c r="F1191" s="2" t="s">
        <v>2188</v>
      </c>
      <c r="G1191" s="2" t="s">
        <v>3629</v>
      </c>
      <c r="H1191" s="2">
        <v>32204</v>
      </c>
    </row>
    <row r="1192" spans="1:8">
      <c r="A1192" s="2" t="s">
        <v>3140</v>
      </c>
      <c r="B1192" s="2" t="s">
        <v>4884</v>
      </c>
      <c r="C1192" s="2" t="s">
        <v>4869</v>
      </c>
      <c r="D1192" s="2">
        <v>97214000</v>
      </c>
      <c r="E1192" s="2" t="s">
        <v>4865</v>
      </c>
      <c r="F1192" s="2" t="s">
        <v>2188</v>
      </c>
      <c r="G1192" s="2" t="s">
        <v>3600</v>
      </c>
      <c r="H1192" s="2">
        <v>30220</v>
      </c>
    </row>
    <row r="1193" spans="1:8">
      <c r="A1193" s="2" t="s">
        <v>3179</v>
      </c>
      <c r="B1193" s="2" t="s">
        <v>4885</v>
      </c>
      <c r="C1193" s="2" t="s">
        <v>4871</v>
      </c>
      <c r="D1193" s="2">
        <v>97215000</v>
      </c>
      <c r="E1193" s="2" t="s">
        <v>4865</v>
      </c>
      <c r="F1193" s="2" t="s">
        <v>2188</v>
      </c>
      <c r="G1193" s="2" t="s">
        <v>3600</v>
      </c>
      <c r="H1193" s="2">
        <v>34966</v>
      </c>
    </row>
    <row r="1194" spans="1:8">
      <c r="A1194" s="2" t="s">
        <v>3215</v>
      </c>
      <c r="B1194" s="2" t="s">
        <v>4886</v>
      </c>
      <c r="C1194" s="2" t="s">
        <v>4875</v>
      </c>
      <c r="D1194" s="2">
        <v>97216000</v>
      </c>
      <c r="E1194" s="2" t="s">
        <v>4865</v>
      </c>
      <c r="F1194" s="2" t="s">
        <v>2188</v>
      </c>
      <c r="G1194" s="2" t="s">
        <v>3574</v>
      </c>
      <c r="H1194" s="2">
        <v>34620</v>
      </c>
    </row>
    <row r="1195" spans="1:8">
      <c r="A1195" s="2" t="s">
        <v>3244</v>
      </c>
      <c r="B1195" s="2" t="s">
        <v>4887</v>
      </c>
      <c r="C1195" s="2" t="s">
        <v>4869</v>
      </c>
      <c r="D1195" s="2">
        <v>97217000</v>
      </c>
      <c r="E1195" s="2" t="s">
        <v>4865</v>
      </c>
      <c r="F1195" s="2" t="s">
        <v>2188</v>
      </c>
      <c r="G1195" s="2" t="s">
        <v>3626</v>
      </c>
      <c r="H1195" s="2">
        <v>17645</v>
      </c>
    </row>
    <row r="1196" spans="1:8">
      <c r="A1196" s="2" t="s">
        <v>3274</v>
      </c>
      <c r="B1196" s="2" t="s">
        <v>4888</v>
      </c>
      <c r="C1196" s="2" t="s">
        <v>4871</v>
      </c>
      <c r="D1196" s="2">
        <v>97218000</v>
      </c>
      <c r="E1196" s="2" t="s">
        <v>4865</v>
      </c>
      <c r="F1196" s="2" t="s">
        <v>2188</v>
      </c>
      <c r="G1196" s="2" t="s">
        <v>3574</v>
      </c>
      <c r="H1196" s="2">
        <v>99435</v>
      </c>
    </row>
    <row r="1197" spans="1:8">
      <c r="A1197" s="2" t="s">
        <v>3300</v>
      </c>
      <c r="B1197" s="2" t="s">
        <v>4889</v>
      </c>
      <c r="C1197" s="2" t="s">
        <v>4875</v>
      </c>
      <c r="D1197" s="2">
        <v>97219000</v>
      </c>
      <c r="E1197" s="2" t="s">
        <v>4865</v>
      </c>
      <c r="F1197" s="2" t="s">
        <v>2188</v>
      </c>
      <c r="G1197" s="2" t="s">
        <v>3574</v>
      </c>
      <c r="H1197" s="2">
        <v>46907</v>
      </c>
    </row>
    <row r="1198" spans="1:8">
      <c r="A1198" s="2" t="s">
        <v>3325</v>
      </c>
      <c r="B1198" s="2" t="s">
        <v>4890</v>
      </c>
      <c r="C1198" s="2" t="s">
        <v>4875</v>
      </c>
      <c r="D1198" s="2">
        <v>97220000</v>
      </c>
      <c r="E1198" s="2" t="s">
        <v>4865</v>
      </c>
      <c r="F1198" s="2" t="s">
        <v>2188</v>
      </c>
      <c r="G1198" s="2" t="s">
        <v>3634</v>
      </c>
      <c r="H1198" s="2">
        <v>28799</v>
      </c>
    </row>
    <row r="1199" spans="1:8">
      <c r="A1199" s="2" t="s">
        <v>3350</v>
      </c>
      <c r="B1199" s="2" t="s">
        <v>4891</v>
      </c>
      <c r="C1199" s="2" t="s">
        <v>4875</v>
      </c>
      <c r="D1199" s="2">
        <v>97221000</v>
      </c>
      <c r="E1199" s="2" t="s">
        <v>4865</v>
      </c>
      <c r="F1199" s="2" t="s">
        <v>2188</v>
      </c>
      <c r="G1199" s="2" t="s">
        <v>3634</v>
      </c>
      <c r="H1199" s="2">
        <v>24307</v>
      </c>
    </row>
    <row r="1200" spans="1:8">
      <c r="A1200" s="2" t="s">
        <v>3371</v>
      </c>
      <c r="B1200" s="2" t="s">
        <v>4892</v>
      </c>
      <c r="C1200" s="2" t="s">
        <v>4871</v>
      </c>
      <c r="D1200" s="2">
        <v>97222000</v>
      </c>
      <c r="E1200" s="2" t="s">
        <v>4865</v>
      </c>
      <c r="F1200" s="2" t="s">
        <v>2188</v>
      </c>
      <c r="G1200" s="2" t="s">
        <v>3634</v>
      </c>
      <c r="H1200" s="2">
        <v>27388</v>
      </c>
    </row>
    <row r="1201" spans="1:8">
      <c r="A1201" s="2" t="s">
        <v>3394</v>
      </c>
      <c r="B1201" s="2" t="s">
        <v>4893</v>
      </c>
      <c r="C1201" s="2" t="s">
        <v>4875</v>
      </c>
      <c r="D1201" s="2">
        <v>97223000</v>
      </c>
      <c r="E1201" s="2" t="s">
        <v>4865</v>
      </c>
      <c r="F1201" s="2" t="s">
        <v>2188</v>
      </c>
      <c r="G1201" s="2" t="s">
        <v>3600</v>
      </c>
      <c r="H1201" s="2">
        <v>34654</v>
      </c>
    </row>
    <row r="1202" spans="1:8">
      <c r="A1202" s="2" t="s">
        <v>3410</v>
      </c>
      <c r="B1202" s="2" t="s">
        <v>4894</v>
      </c>
      <c r="C1202" s="2" t="s">
        <v>4875</v>
      </c>
      <c r="D1202" s="2">
        <v>97224000</v>
      </c>
      <c r="E1202" s="2" t="s">
        <v>4865</v>
      </c>
      <c r="F1202" s="2" t="s">
        <v>2188</v>
      </c>
      <c r="G1202" s="2" t="s">
        <v>3629</v>
      </c>
      <c r="H1202" s="2">
        <v>22588</v>
      </c>
    </row>
    <row r="1203" spans="1:8">
      <c r="A1203" s="2" t="s">
        <v>3423</v>
      </c>
      <c r="B1203" s="2" t="s">
        <v>4895</v>
      </c>
      <c r="C1203" s="2" t="s">
        <v>4875</v>
      </c>
      <c r="D1203" s="2">
        <v>97225000</v>
      </c>
      <c r="E1203" s="2" t="s">
        <v>4865</v>
      </c>
      <c r="F1203" s="2" t="s">
        <v>2188</v>
      </c>
      <c r="G1203" s="2" t="s">
        <v>3634</v>
      </c>
      <c r="H1203" s="2">
        <v>17424</v>
      </c>
    </row>
    <row r="1204" spans="1:8">
      <c r="A1204" s="2" t="s">
        <v>3435</v>
      </c>
      <c r="B1204" s="2" t="s">
        <v>4896</v>
      </c>
      <c r="C1204" s="2" t="s">
        <v>4875</v>
      </c>
      <c r="D1204" s="2">
        <v>97226000</v>
      </c>
      <c r="E1204" s="2" t="s">
        <v>4865</v>
      </c>
      <c r="F1204" s="2" t="s">
        <v>2188</v>
      </c>
      <c r="G1204" s="2" t="s">
        <v>3634</v>
      </c>
      <c r="H1204" s="2">
        <v>26221</v>
      </c>
    </row>
    <row r="1205" spans="1:8">
      <c r="A1205" s="2" t="s">
        <v>3448</v>
      </c>
      <c r="B1205" s="2" t="s">
        <v>4897</v>
      </c>
      <c r="C1205" s="2" t="s">
        <v>4875</v>
      </c>
      <c r="D1205" s="2">
        <v>97227000</v>
      </c>
      <c r="E1205" s="2" t="s">
        <v>4865</v>
      </c>
      <c r="F1205" s="2" t="s">
        <v>2188</v>
      </c>
      <c r="G1205" s="2" t="s">
        <v>3634</v>
      </c>
      <c r="H1205" s="2">
        <v>23633</v>
      </c>
    </row>
    <row r="1206" spans="2:5">
      <c r="B1206" s="2" t="s">
        <v>20</v>
      </c>
      <c r="E1206" s="2" t="s">
        <v>4865</v>
      </c>
    </row>
    <row r="1207" spans="1:8">
      <c r="A1207" s="2" t="s">
        <v>2392</v>
      </c>
      <c r="B1207" s="2" t="s">
        <v>4898</v>
      </c>
      <c r="C1207" s="2" t="s">
        <v>4899</v>
      </c>
      <c r="D1207" s="2">
        <v>97322000</v>
      </c>
      <c r="E1207" s="2" t="s">
        <v>4865</v>
      </c>
      <c r="F1207" s="2" t="s">
        <v>2202</v>
      </c>
      <c r="G1207" s="2" t="s">
        <v>3600</v>
      </c>
      <c r="H1207" s="2">
        <v>199060</v>
      </c>
    </row>
    <row r="1208" spans="1:8">
      <c r="A1208" s="2" t="s">
        <v>677</v>
      </c>
      <c r="B1208" s="2" t="s">
        <v>4900</v>
      </c>
      <c r="C1208" s="2" t="s">
        <v>4899</v>
      </c>
      <c r="D1208" s="2">
        <v>97302000</v>
      </c>
      <c r="E1208" s="2" t="s">
        <v>4865</v>
      </c>
      <c r="F1208" s="2" t="s">
        <v>2202</v>
      </c>
      <c r="G1208" s="2" t="s">
        <v>3600</v>
      </c>
      <c r="H1208" s="2">
        <v>50755</v>
      </c>
    </row>
    <row r="1209" spans="1:8">
      <c r="A1209" s="2" t="s">
        <v>2534</v>
      </c>
      <c r="B1209" s="2" t="s">
        <v>4901</v>
      </c>
      <c r="C1209" s="2" t="s">
        <v>4902</v>
      </c>
      <c r="D1209" s="2">
        <v>97303000</v>
      </c>
      <c r="E1209" s="2" t="s">
        <v>4865</v>
      </c>
      <c r="F1209" s="2" t="s">
        <v>2202</v>
      </c>
      <c r="G1209" s="2" t="s">
        <v>3629</v>
      </c>
      <c r="H1209" s="2">
        <v>33591</v>
      </c>
    </row>
    <row r="1210" spans="1:8">
      <c r="A1210" s="2" t="s">
        <v>2604</v>
      </c>
      <c r="B1210" s="2" t="s">
        <v>4903</v>
      </c>
      <c r="C1210" s="2" t="s">
        <v>4902</v>
      </c>
      <c r="D1210" s="2">
        <v>97305000</v>
      </c>
      <c r="E1210" s="2" t="s">
        <v>4865</v>
      </c>
      <c r="F1210" s="2" t="s">
        <v>2202</v>
      </c>
      <c r="G1210" s="2" t="s">
        <v>3634</v>
      </c>
      <c r="H1210" s="2">
        <v>30081</v>
      </c>
    </row>
    <row r="1211" spans="1:8">
      <c r="A1211" s="2" t="s">
        <v>2669</v>
      </c>
      <c r="B1211" s="2" t="s">
        <v>4904</v>
      </c>
      <c r="C1211" s="2" t="s">
        <v>4902</v>
      </c>
      <c r="D1211" s="2">
        <v>97306000</v>
      </c>
      <c r="E1211" s="2" t="s">
        <v>4865</v>
      </c>
      <c r="F1211" s="2" t="s">
        <v>2202</v>
      </c>
      <c r="G1211" s="2" t="s">
        <v>3634</v>
      </c>
      <c r="H1211" s="2">
        <v>35504</v>
      </c>
    </row>
    <row r="1212" spans="1:8">
      <c r="A1212" s="2" t="s">
        <v>2733</v>
      </c>
      <c r="B1212" s="2" t="s">
        <v>4905</v>
      </c>
      <c r="C1212" s="2" t="s">
        <v>4902</v>
      </c>
      <c r="D1212" s="2">
        <v>97307000</v>
      </c>
      <c r="E1212" s="2" t="s">
        <v>4865</v>
      </c>
      <c r="F1212" s="2" t="s">
        <v>2202</v>
      </c>
      <c r="G1212" s="2" t="s">
        <v>3634</v>
      </c>
      <c r="H1212" s="2">
        <v>32013</v>
      </c>
    </row>
    <row r="1213" spans="1:8">
      <c r="A1213" s="2" t="s">
        <v>2792</v>
      </c>
      <c r="B1213" s="2" t="s">
        <v>4906</v>
      </c>
      <c r="C1213" s="2" t="s">
        <v>4899</v>
      </c>
      <c r="D1213" s="2">
        <v>97308000</v>
      </c>
      <c r="E1213" s="2" t="s">
        <v>4865</v>
      </c>
      <c r="F1213" s="2" t="s">
        <v>2202</v>
      </c>
      <c r="G1213" s="2" t="s">
        <v>3600</v>
      </c>
      <c r="H1213" s="2">
        <v>47485</v>
      </c>
    </row>
    <row r="1214" spans="1:8">
      <c r="A1214" s="2" t="s">
        <v>2851</v>
      </c>
      <c r="B1214" s="2" t="s">
        <v>4907</v>
      </c>
      <c r="C1214" s="2" t="s">
        <v>4902</v>
      </c>
      <c r="D1214" s="2">
        <v>97311000</v>
      </c>
      <c r="E1214" s="2" t="s">
        <v>4865</v>
      </c>
      <c r="F1214" s="2" t="s">
        <v>2202</v>
      </c>
      <c r="G1214" s="2" t="s">
        <v>3634</v>
      </c>
      <c r="H1214" s="2">
        <v>28469</v>
      </c>
    </row>
    <row r="1215" spans="1:8">
      <c r="A1215" s="2" t="s">
        <v>2905</v>
      </c>
      <c r="B1215" s="2" t="s">
        <v>4908</v>
      </c>
      <c r="C1215" s="2" t="s">
        <v>4899</v>
      </c>
      <c r="D1215" s="2">
        <v>97312000</v>
      </c>
      <c r="E1215" s="2" t="s">
        <v>4865</v>
      </c>
      <c r="F1215" s="2" t="s">
        <v>2202</v>
      </c>
      <c r="G1215" s="2" t="s">
        <v>3629</v>
      </c>
      <c r="H1215" s="2">
        <v>41790</v>
      </c>
    </row>
    <row r="1216" spans="1:8">
      <c r="A1216" s="2" t="s">
        <v>2958</v>
      </c>
      <c r="B1216" s="2" t="s">
        <v>4909</v>
      </c>
      <c r="C1216" s="2" t="s">
        <v>4902</v>
      </c>
      <c r="D1216" s="2">
        <v>97313000</v>
      </c>
      <c r="E1216" s="2" t="s">
        <v>4865</v>
      </c>
      <c r="F1216" s="2" t="s">
        <v>2202</v>
      </c>
      <c r="G1216" s="2" t="s">
        <v>3629</v>
      </c>
      <c r="H1216" s="2">
        <v>27264</v>
      </c>
    </row>
    <row r="1217" spans="1:8">
      <c r="A1217" s="2" t="s">
        <v>3009</v>
      </c>
      <c r="B1217" s="2" t="s">
        <v>4910</v>
      </c>
      <c r="C1217" s="2" t="s">
        <v>4899</v>
      </c>
      <c r="D1217" s="2">
        <v>97315000</v>
      </c>
      <c r="E1217" s="2" t="s">
        <v>4865</v>
      </c>
      <c r="F1217" s="2" t="s">
        <v>2202</v>
      </c>
      <c r="G1217" s="2" t="s">
        <v>3629</v>
      </c>
      <c r="H1217" s="2">
        <v>46516</v>
      </c>
    </row>
    <row r="1218" spans="1:8">
      <c r="A1218" s="2" t="s">
        <v>3057</v>
      </c>
      <c r="B1218" s="2" t="s">
        <v>4911</v>
      </c>
      <c r="C1218" s="2" t="s">
        <v>4902</v>
      </c>
      <c r="D1218" s="2">
        <v>97317000</v>
      </c>
      <c r="E1218" s="2" t="s">
        <v>4865</v>
      </c>
      <c r="F1218" s="2" t="s">
        <v>2202</v>
      </c>
      <c r="G1218" s="2" t="s">
        <v>3629</v>
      </c>
      <c r="H1218" s="2">
        <v>37873</v>
      </c>
    </row>
    <row r="1219" spans="1:8">
      <c r="A1219" s="2" t="s">
        <v>3100</v>
      </c>
      <c r="B1219" s="2" t="s">
        <v>4912</v>
      </c>
      <c r="C1219" s="2" t="s">
        <v>4899</v>
      </c>
      <c r="D1219" s="2">
        <v>97318000</v>
      </c>
      <c r="E1219" s="2" t="s">
        <v>4865</v>
      </c>
      <c r="F1219" s="2" t="s">
        <v>2202</v>
      </c>
      <c r="G1219" s="2" t="s">
        <v>3634</v>
      </c>
      <c r="H1219" s="2">
        <v>32075</v>
      </c>
    </row>
    <row r="1220" spans="1:8">
      <c r="A1220" s="2" t="s">
        <v>3141</v>
      </c>
      <c r="B1220" s="2" t="s">
        <v>4913</v>
      </c>
      <c r="C1220" s="2" t="s">
        <v>4899</v>
      </c>
      <c r="D1220" s="2">
        <v>97319000</v>
      </c>
      <c r="E1220" s="2" t="s">
        <v>4865</v>
      </c>
      <c r="F1220" s="2" t="s">
        <v>2202</v>
      </c>
      <c r="G1220" s="2" t="s">
        <v>3574</v>
      </c>
      <c r="H1220" s="2">
        <v>52006</v>
      </c>
    </row>
    <row r="1221" spans="1:8">
      <c r="A1221" s="2" t="s">
        <v>3180</v>
      </c>
      <c r="B1221" s="2" t="s">
        <v>4914</v>
      </c>
      <c r="C1221" s="2" t="s">
        <v>4899</v>
      </c>
      <c r="D1221" s="2">
        <v>97323000</v>
      </c>
      <c r="E1221" s="2" t="s">
        <v>4865</v>
      </c>
      <c r="F1221" s="2" t="s">
        <v>2202</v>
      </c>
      <c r="G1221" s="2" t="s">
        <v>3634</v>
      </c>
      <c r="H1221" s="2">
        <v>26606</v>
      </c>
    </row>
    <row r="1222" spans="1:8">
      <c r="A1222" s="2" t="s">
        <v>2890</v>
      </c>
      <c r="B1222" s="2" t="s">
        <v>4915</v>
      </c>
      <c r="C1222" s="2" t="s">
        <v>4902</v>
      </c>
      <c r="D1222" s="2">
        <v>97324000</v>
      </c>
      <c r="E1222" s="2" t="s">
        <v>4865</v>
      </c>
      <c r="F1222" s="2" t="s">
        <v>2202</v>
      </c>
      <c r="G1222" s="2" t="s">
        <v>3634</v>
      </c>
      <c r="H1222" s="2">
        <v>19205</v>
      </c>
    </row>
    <row r="1223" spans="1:8">
      <c r="A1223" s="2" t="s">
        <v>623</v>
      </c>
      <c r="B1223" s="2" t="s">
        <v>4916</v>
      </c>
      <c r="C1223" s="2" t="s">
        <v>4902</v>
      </c>
      <c r="D1223" s="2">
        <v>97325000</v>
      </c>
      <c r="E1223" s="2" t="s">
        <v>4865</v>
      </c>
      <c r="F1223" s="2" t="s">
        <v>2202</v>
      </c>
      <c r="G1223" s="2" t="s">
        <v>3634</v>
      </c>
      <c r="H1223" s="2">
        <v>26106</v>
      </c>
    </row>
    <row r="1224" spans="1:8">
      <c r="A1224" s="2" t="s">
        <v>3275</v>
      </c>
      <c r="B1224" s="2" t="s">
        <v>4917</v>
      </c>
      <c r="C1224" s="2" t="s">
        <v>4902</v>
      </c>
      <c r="D1224" s="2">
        <v>97327000</v>
      </c>
      <c r="E1224" s="2" t="s">
        <v>4865</v>
      </c>
      <c r="F1224" s="2" t="s">
        <v>2202</v>
      </c>
      <c r="G1224" s="2" t="s">
        <v>3634</v>
      </c>
      <c r="H1224" s="2">
        <v>25061</v>
      </c>
    </row>
    <row r="1225" spans="1:8">
      <c r="A1225" s="2" t="s">
        <v>3301</v>
      </c>
      <c r="B1225" s="2" t="s">
        <v>4918</v>
      </c>
      <c r="C1225" s="2" t="s">
        <v>4899</v>
      </c>
      <c r="D1225" s="2">
        <v>97328000</v>
      </c>
      <c r="E1225" s="2" t="s">
        <v>4865</v>
      </c>
      <c r="F1225" s="2" t="s">
        <v>2202</v>
      </c>
      <c r="G1225" s="2" t="s">
        <v>3634</v>
      </c>
      <c r="H1225" s="2">
        <v>36160</v>
      </c>
    </row>
    <row r="1226" spans="1:8">
      <c r="A1226" s="2" t="s">
        <v>3326</v>
      </c>
      <c r="B1226" s="2" t="s">
        <v>4919</v>
      </c>
      <c r="C1226" s="2" t="s">
        <v>4899</v>
      </c>
      <c r="D1226" s="2">
        <v>97330000</v>
      </c>
      <c r="E1226" s="2" t="s">
        <v>4865</v>
      </c>
      <c r="F1226" s="2" t="s">
        <v>2202</v>
      </c>
      <c r="G1226" s="2" t="s">
        <v>3634</v>
      </c>
      <c r="H1226" s="2">
        <v>39820</v>
      </c>
    </row>
    <row r="1227" spans="1:8">
      <c r="A1227" s="2" t="s">
        <v>3351</v>
      </c>
      <c r="B1227" s="2" t="s">
        <v>4920</v>
      </c>
      <c r="C1227" s="2" t="s">
        <v>4902</v>
      </c>
      <c r="D1227" s="2">
        <v>97333000</v>
      </c>
      <c r="E1227" s="2" t="s">
        <v>4865</v>
      </c>
      <c r="F1227" s="2" t="s">
        <v>2202</v>
      </c>
      <c r="G1227" s="2" t="s">
        <v>3634</v>
      </c>
      <c r="H1227" s="2">
        <v>20374</v>
      </c>
    </row>
    <row r="1228" spans="1:8">
      <c r="A1228" s="2" t="s">
        <v>3372</v>
      </c>
      <c r="B1228" s="2" t="s">
        <v>4921</v>
      </c>
      <c r="C1228" s="2" t="s">
        <v>4899</v>
      </c>
      <c r="D1228" s="2">
        <v>97337000</v>
      </c>
      <c r="E1228" s="2" t="s">
        <v>4865</v>
      </c>
      <c r="F1228" s="2" t="s">
        <v>2202</v>
      </c>
      <c r="G1228" s="2" t="s">
        <v>3626</v>
      </c>
      <c r="H1228" s="2">
        <v>11799</v>
      </c>
    </row>
    <row r="1229" spans="1:8">
      <c r="A1229" s="2" t="s">
        <v>3395</v>
      </c>
      <c r="B1229" s="2" t="s">
        <v>4922</v>
      </c>
      <c r="C1229" s="2" t="s">
        <v>4902</v>
      </c>
      <c r="D1229" s="2">
        <v>97338000</v>
      </c>
      <c r="E1229" s="2" t="s">
        <v>4865</v>
      </c>
      <c r="F1229" s="2" t="s">
        <v>2202</v>
      </c>
      <c r="G1229" s="2" t="s">
        <v>3634</v>
      </c>
      <c r="H1229" s="2">
        <v>27057</v>
      </c>
    </row>
    <row r="1230" spans="1:8">
      <c r="A1230" s="2" t="s">
        <v>3411</v>
      </c>
      <c r="B1230" s="2" t="s">
        <v>4923</v>
      </c>
      <c r="C1230" s="2" t="s">
        <v>4899</v>
      </c>
      <c r="D1230" s="2">
        <v>97340000</v>
      </c>
      <c r="E1230" s="2" t="s">
        <v>4865</v>
      </c>
      <c r="F1230" s="2" t="s">
        <v>2202</v>
      </c>
      <c r="G1230" s="2" t="s">
        <v>3626</v>
      </c>
      <c r="H1230" s="2">
        <v>18537</v>
      </c>
    </row>
    <row r="1231" spans="1:8">
      <c r="A1231" s="2" t="s">
        <v>3424</v>
      </c>
      <c r="B1231" s="2" t="s">
        <v>4924</v>
      </c>
      <c r="C1231" s="2" t="s">
        <v>4902</v>
      </c>
      <c r="D1231" s="2">
        <v>97341000</v>
      </c>
      <c r="E1231" s="2" t="s">
        <v>4865</v>
      </c>
      <c r="F1231" s="2" t="s">
        <v>2202</v>
      </c>
      <c r="G1231" s="2" t="s">
        <v>3626</v>
      </c>
      <c r="H1231" s="2">
        <v>23759</v>
      </c>
    </row>
    <row r="1232" spans="1:8">
      <c r="A1232" s="2" t="s">
        <v>3436</v>
      </c>
      <c r="B1232" s="2" t="s">
        <v>4925</v>
      </c>
      <c r="C1232" s="2" t="s">
        <v>4902</v>
      </c>
      <c r="D1232" s="2">
        <v>97343000</v>
      </c>
      <c r="E1232" s="2" t="s">
        <v>4865</v>
      </c>
      <c r="F1232" s="2" t="s">
        <v>2202</v>
      </c>
      <c r="G1232" s="2" t="s">
        <v>3634</v>
      </c>
      <c r="H1232" s="2">
        <v>20729</v>
      </c>
    </row>
    <row r="1233" spans="1:8">
      <c r="A1233" s="2" t="s">
        <v>3449</v>
      </c>
      <c r="B1233" s="2" t="s">
        <v>4926</v>
      </c>
      <c r="C1233" s="2" t="s">
        <v>4902</v>
      </c>
      <c r="D1233" s="2">
        <v>97344000</v>
      </c>
      <c r="E1233" s="2" t="s">
        <v>4865</v>
      </c>
      <c r="F1233" s="2" t="s">
        <v>2202</v>
      </c>
      <c r="G1233" s="2" t="s">
        <v>3626</v>
      </c>
      <c r="H1233" s="2">
        <v>20979</v>
      </c>
    </row>
    <row r="1234" spans="2:5">
      <c r="B1234" s="2" t="s">
        <v>20</v>
      </c>
      <c r="E1234" s="2" t="s">
        <v>4865</v>
      </c>
    </row>
    <row r="1235" spans="1:8">
      <c r="A1235" s="2" t="s">
        <v>668</v>
      </c>
      <c r="B1235" s="2" t="s">
        <v>4927</v>
      </c>
      <c r="C1235" s="2" t="s">
        <v>4928</v>
      </c>
      <c r="D1235" s="2">
        <v>98301000</v>
      </c>
      <c r="E1235" s="2" t="s">
        <v>4865</v>
      </c>
      <c r="F1235" s="2" t="s">
        <v>2216</v>
      </c>
      <c r="G1235" s="2" t="s">
        <v>3629</v>
      </c>
      <c r="H1235" s="2">
        <v>36013</v>
      </c>
    </row>
    <row r="1236" spans="1:8">
      <c r="A1236" s="2" t="s">
        <v>2464</v>
      </c>
      <c r="B1236" s="2" t="s">
        <v>4929</v>
      </c>
      <c r="C1236" s="2" t="s">
        <v>4928</v>
      </c>
      <c r="D1236" s="2">
        <v>98302000</v>
      </c>
      <c r="E1236" s="2" t="s">
        <v>4865</v>
      </c>
      <c r="F1236" s="2" t="s">
        <v>2216</v>
      </c>
      <c r="G1236" s="2" t="s">
        <v>3629</v>
      </c>
      <c r="H1236" s="2">
        <v>36634</v>
      </c>
    </row>
    <row r="1237" spans="1:8">
      <c r="A1237" s="2" t="s">
        <v>2535</v>
      </c>
      <c r="B1237" s="2" t="s">
        <v>4930</v>
      </c>
      <c r="C1237" s="2" t="s">
        <v>4928</v>
      </c>
      <c r="D1237" s="2">
        <v>98303000</v>
      </c>
      <c r="E1237" s="2" t="s">
        <v>4865</v>
      </c>
      <c r="F1237" s="2" t="s">
        <v>2216</v>
      </c>
      <c r="G1237" s="2" t="s">
        <v>3629</v>
      </c>
      <c r="H1237" s="2">
        <v>32428</v>
      </c>
    </row>
    <row r="1238" spans="1:8">
      <c r="A1238" s="2" t="s">
        <v>2605</v>
      </c>
      <c r="B1238" s="2" t="s">
        <v>4931</v>
      </c>
      <c r="C1238" s="2" t="s">
        <v>4928</v>
      </c>
      <c r="D1238" s="2">
        <v>98304000</v>
      </c>
      <c r="E1238" s="2" t="s">
        <v>4865</v>
      </c>
      <c r="F1238" s="2" t="s">
        <v>2216</v>
      </c>
      <c r="G1238" s="2" t="s">
        <v>3634</v>
      </c>
      <c r="H1238" s="2">
        <v>28018</v>
      </c>
    </row>
    <row r="1239" spans="1:8">
      <c r="A1239" s="2" t="s">
        <v>2670</v>
      </c>
      <c r="B1239" s="2" t="s">
        <v>4932</v>
      </c>
      <c r="C1239" s="2" t="s">
        <v>4933</v>
      </c>
      <c r="D1239" s="2">
        <v>98305000</v>
      </c>
      <c r="E1239" s="2" t="s">
        <v>4865</v>
      </c>
      <c r="F1239" s="2" t="s">
        <v>2216</v>
      </c>
      <c r="G1239" s="2" t="s">
        <v>3574</v>
      </c>
      <c r="H1239" s="2">
        <v>74656</v>
      </c>
    </row>
    <row r="1240" spans="1:8">
      <c r="A1240" s="2" t="s">
        <v>2734</v>
      </c>
      <c r="B1240" s="2" t="s">
        <v>4934</v>
      </c>
      <c r="C1240" s="2" t="s">
        <v>4933</v>
      </c>
      <c r="D1240" s="2">
        <v>98306000</v>
      </c>
      <c r="E1240" s="2" t="s">
        <v>4865</v>
      </c>
      <c r="F1240" s="2" t="s">
        <v>2216</v>
      </c>
      <c r="G1240" s="2" t="s">
        <v>3600</v>
      </c>
      <c r="H1240" s="2">
        <v>44336</v>
      </c>
    </row>
    <row r="1241" spans="1:8">
      <c r="A1241" s="2" t="s">
        <v>2793</v>
      </c>
      <c r="B1241" s="2" t="s">
        <v>4935</v>
      </c>
      <c r="C1241" s="2" t="s">
        <v>4928</v>
      </c>
      <c r="D1241" s="2">
        <v>98307000</v>
      </c>
      <c r="E1241" s="2" t="s">
        <v>4865</v>
      </c>
      <c r="F1241" s="2" t="s">
        <v>2216</v>
      </c>
      <c r="G1241" s="2" t="s">
        <v>3634</v>
      </c>
      <c r="H1241" s="2">
        <v>36870</v>
      </c>
    </row>
    <row r="1242" spans="1:8">
      <c r="A1242" s="2" t="s">
        <v>2852</v>
      </c>
      <c r="B1242" s="2" t="s">
        <v>4936</v>
      </c>
      <c r="C1242" s="2" t="s">
        <v>4928</v>
      </c>
      <c r="D1242" s="2">
        <v>98308000</v>
      </c>
      <c r="E1242" s="2" t="s">
        <v>4865</v>
      </c>
      <c r="F1242" s="2" t="s">
        <v>2216</v>
      </c>
      <c r="G1242" s="2" t="s">
        <v>3629</v>
      </c>
      <c r="H1242" s="2">
        <v>33380</v>
      </c>
    </row>
    <row r="1243" spans="1:8">
      <c r="A1243" s="2" t="s">
        <v>2906</v>
      </c>
      <c r="B1243" s="2" t="s">
        <v>4937</v>
      </c>
      <c r="C1243" s="2" t="s">
        <v>4933</v>
      </c>
      <c r="D1243" s="2">
        <v>98309000</v>
      </c>
      <c r="E1243" s="2" t="s">
        <v>4865</v>
      </c>
      <c r="F1243" s="2" t="s">
        <v>2216</v>
      </c>
      <c r="G1243" s="2" t="s">
        <v>3629</v>
      </c>
      <c r="H1243" s="2">
        <v>38547</v>
      </c>
    </row>
    <row r="1244" spans="1:8">
      <c r="A1244" s="2" t="s">
        <v>2959</v>
      </c>
      <c r="B1244" s="2" t="s">
        <v>4938</v>
      </c>
      <c r="C1244" s="2" t="s">
        <v>4928</v>
      </c>
      <c r="D1244" s="2">
        <v>98310000</v>
      </c>
      <c r="E1244" s="2" t="s">
        <v>4865</v>
      </c>
      <c r="F1244" s="2" t="s">
        <v>2216</v>
      </c>
      <c r="G1244" s="2" t="s">
        <v>3634</v>
      </c>
      <c r="H1244" s="2">
        <v>33671</v>
      </c>
    </row>
    <row r="1245" spans="1:8">
      <c r="A1245" s="2" t="s">
        <v>3010</v>
      </c>
      <c r="B1245" s="2" t="s">
        <v>4939</v>
      </c>
      <c r="C1245" s="2" t="s">
        <v>4928</v>
      </c>
      <c r="D1245" s="2">
        <v>98311000</v>
      </c>
      <c r="E1245" s="2" t="s">
        <v>4865</v>
      </c>
      <c r="F1245" s="2" t="s">
        <v>2216</v>
      </c>
      <c r="G1245" s="2" t="s">
        <v>3629</v>
      </c>
      <c r="H1245" s="2">
        <v>31686</v>
      </c>
    </row>
    <row r="1246" spans="1:8">
      <c r="A1246" s="2" t="s">
        <v>3058</v>
      </c>
      <c r="B1246" s="2" t="s">
        <v>4940</v>
      </c>
      <c r="C1246" s="2" t="s">
        <v>4933</v>
      </c>
      <c r="D1246" s="2">
        <v>98312000</v>
      </c>
      <c r="E1246" s="2" t="s">
        <v>4865</v>
      </c>
      <c r="F1246" s="2" t="s">
        <v>2216</v>
      </c>
      <c r="G1246" s="2" t="s">
        <v>3629</v>
      </c>
      <c r="H1246" s="2">
        <v>43646</v>
      </c>
    </row>
    <row r="1247" spans="1:8">
      <c r="A1247" s="2" t="s">
        <v>3101</v>
      </c>
      <c r="B1247" s="2" t="s">
        <v>4941</v>
      </c>
      <c r="C1247" s="2" t="s">
        <v>4933</v>
      </c>
      <c r="D1247" s="2">
        <v>98313000</v>
      </c>
      <c r="E1247" s="2" t="s">
        <v>4865</v>
      </c>
      <c r="F1247" s="2" t="s">
        <v>2216</v>
      </c>
      <c r="G1247" s="2" t="s">
        <v>3600</v>
      </c>
      <c r="H1247" s="2">
        <v>41572</v>
      </c>
    </row>
    <row r="1248" spans="1:8">
      <c r="A1248" s="2" t="s">
        <v>3142</v>
      </c>
      <c r="B1248" s="2" t="s">
        <v>4942</v>
      </c>
      <c r="C1248" s="2" t="s">
        <v>4928</v>
      </c>
      <c r="D1248" s="2">
        <v>98314000</v>
      </c>
      <c r="E1248" s="2" t="s">
        <v>4865</v>
      </c>
      <c r="F1248" s="2" t="s">
        <v>2216</v>
      </c>
      <c r="G1248" s="2" t="s">
        <v>3626</v>
      </c>
      <c r="H1248" s="2">
        <v>29969</v>
      </c>
    </row>
    <row r="1249" spans="1:8">
      <c r="A1249" s="2" t="s">
        <v>3181</v>
      </c>
      <c r="B1249" s="2" t="s">
        <v>4943</v>
      </c>
      <c r="C1249" s="2" t="s">
        <v>4933</v>
      </c>
      <c r="D1249" s="2">
        <v>98315000</v>
      </c>
      <c r="E1249" s="2" t="s">
        <v>4865</v>
      </c>
      <c r="F1249" s="2" t="s">
        <v>2216</v>
      </c>
      <c r="G1249" s="2" t="s">
        <v>3600</v>
      </c>
      <c r="H1249" s="2">
        <v>49673</v>
      </c>
    </row>
    <row r="1250" spans="1:8">
      <c r="A1250" s="2" t="s">
        <v>3216</v>
      </c>
      <c r="B1250" s="2" t="s">
        <v>4944</v>
      </c>
      <c r="C1250" s="2" t="s">
        <v>4933</v>
      </c>
      <c r="D1250" s="2">
        <v>98316000</v>
      </c>
      <c r="E1250" s="2" t="s">
        <v>4865</v>
      </c>
      <c r="F1250" s="2" t="s">
        <v>2216</v>
      </c>
      <c r="G1250" s="2" t="s">
        <v>3600</v>
      </c>
      <c r="H1250" s="2">
        <v>42030</v>
      </c>
    </row>
    <row r="1251" spans="2:5">
      <c r="B1251" s="2" t="s">
        <v>20</v>
      </c>
      <c r="E1251" s="2" t="s">
        <v>4945</v>
      </c>
    </row>
    <row r="1252" spans="1:8">
      <c r="A1252" s="2" t="s">
        <v>2395</v>
      </c>
      <c r="B1252" s="2" t="s">
        <v>4946</v>
      </c>
      <c r="C1252" s="2" t="s">
        <v>4947</v>
      </c>
      <c r="D1252" s="2">
        <v>101312000</v>
      </c>
      <c r="E1252" s="2" t="s">
        <v>4945</v>
      </c>
      <c r="F1252" s="2" t="s">
        <v>2189</v>
      </c>
      <c r="G1252" s="2" t="s">
        <v>3574</v>
      </c>
      <c r="H1252" s="2">
        <v>174625</v>
      </c>
    </row>
    <row r="1253" spans="1:8">
      <c r="A1253" s="2" t="s">
        <v>2465</v>
      </c>
      <c r="B1253" s="2" t="s">
        <v>4948</v>
      </c>
      <c r="C1253" s="2" t="s">
        <v>4949</v>
      </c>
      <c r="D1253" s="2">
        <v>101321000</v>
      </c>
      <c r="E1253" s="2" t="s">
        <v>4945</v>
      </c>
      <c r="F1253" s="2" t="s">
        <v>2189</v>
      </c>
      <c r="G1253" s="2" t="s">
        <v>3600</v>
      </c>
      <c r="H1253" s="2">
        <v>192993</v>
      </c>
    </row>
    <row r="1254" spans="1:8">
      <c r="A1254" s="2" t="s">
        <v>2536</v>
      </c>
      <c r="B1254" s="2" t="s">
        <v>4950</v>
      </c>
      <c r="C1254" s="2" t="s">
        <v>4951</v>
      </c>
      <c r="D1254" s="2">
        <v>101301000</v>
      </c>
      <c r="E1254" s="2" t="s">
        <v>4945</v>
      </c>
      <c r="F1254" s="2" t="s">
        <v>2189</v>
      </c>
      <c r="G1254" s="2" t="s">
        <v>3600</v>
      </c>
      <c r="H1254" s="2">
        <v>34336</v>
      </c>
    </row>
    <row r="1255" spans="1:8">
      <c r="A1255" s="2" t="s">
        <v>2606</v>
      </c>
      <c r="B1255" s="2" t="s">
        <v>4952</v>
      </c>
      <c r="C1255" s="2" t="s">
        <v>4953</v>
      </c>
      <c r="D1255" s="2">
        <v>101302000</v>
      </c>
      <c r="E1255" s="2" t="s">
        <v>4945</v>
      </c>
      <c r="F1255" s="2" t="s">
        <v>2189</v>
      </c>
      <c r="G1255" s="2" t="s">
        <v>3634</v>
      </c>
      <c r="H1255" s="2">
        <v>30302</v>
      </c>
    </row>
    <row r="1256" spans="1:8">
      <c r="A1256" s="2" t="s">
        <v>2671</v>
      </c>
      <c r="B1256" s="2" t="s">
        <v>4954</v>
      </c>
      <c r="C1256" s="2" t="s">
        <v>4953</v>
      </c>
      <c r="D1256" s="2">
        <v>101303000</v>
      </c>
      <c r="E1256" s="2" t="s">
        <v>4945</v>
      </c>
      <c r="F1256" s="2" t="s">
        <v>2189</v>
      </c>
      <c r="G1256" s="2" t="s">
        <v>3629</v>
      </c>
      <c r="H1256" s="2">
        <v>23723</v>
      </c>
    </row>
    <row r="1257" spans="1:8">
      <c r="A1257" s="2" t="s">
        <v>2735</v>
      </c>
      <c r="B1257" s="2" t="s">
        <v>4955</v>
      </c>
      <c r="C1257" s="2" t="s">
        <v>4953</v>
      </c>
      <c r="D1257" s="2">
        <v>101304000</v>
      </c>
      <c r="E1257" s="2" t="s">
        <v>4945</v>
      </c>
      <c r="F1257" s="2" t="s">
        <v>2189</v>
      </c>
      <c r="G1257" s="2" t="s">
        <v>3574</v>
      </c>
      <c r="H1257" s="2">
        <v>66959</v>
      </c>
    </row>
    <row r="1258" spans="1:8">
      <c r="A1258" s="2" t="s">
        <v>2794</v>
      </c>
      <c r="B1258" s="2" t="s">
        <v>4956</v>
      </c>
      <c r="C1258" s="2" t="s">
        <v>4947</v>
      </c>
      <c r="D1258" s="2">
        <v>101305000</v>
      </c>
      <c r="E1258" s="2" t="s">
        <v>4945</v>
      </c>
      <c r="F1258" s="2" t="s">
        <v>2189</v>
      </c>
      <c r="G1258" s="2" t="s">
        <v>3574</v>
      </c>
      <c r="H1258" s="2">
        <v>47859</v>
      </c>
    </row>
    <row r="1259" spans="1:8">
      <c r="A1259" s="2" t="s">
        <v>2853</v>
      </c>
      <c r="B1259" s="2" t="s">
        <v>4957</v>
      </c>
      <c r="C1259" s="2" t="s">
        <v>4953</v>
      </c>
      <c r="D1259" s="2">
        <v>101306000</v>
      </c>
      <c r="E1259" s="2" t="s">
        <v>4945</v>
      </c>
      <c r="F1259" s="2" t="s">
        <v>2189</v>
      </c>
      <c r="G1259" s="2" t="s">
        <v>3629</v>
      </c>
      <c r="H1259" s="2">
        <v>33778</v>
      </c>
    </row>
    <row r="1260" spans="1:8">
      <c r="A1260" s="2" t="s">
        <v>2907</v>
      </c>
      <c r="B1260" s="2" t="s">
        <v>4958</v>
      </c>
      <c r="C1260" s="2" t="s">
        <v>4949</v>
      </c>
      <c r="D1260" s="2">
        <v>101307000</v>
      </c>
      <c r="E1260" s="2" t="s">
        <v>4945</v>
      </c>
      <c r="F1260" s="2" t="s">
        <v>2189</v>
      </c>
      <c r="G1260" s="2" t="s">
        <v>3600</v>
      </c>
      <c r="H1260" s="2">
        <v>41601</v>
      </c>
    </row>
    <row r="1261" spans="1:8">
      <c r="A1261" s="2" t="s">
        <v>2960</v>
      </c>
      <c r="B1261" s="2" t="s">
        <v>4959</v>
      </c>
      <c r="C1261" s="2" t="s">
        <v>4953</v>
      </c>
      <c r="D1261" s="2">
        <v>101308000</v>
      </c>
      <c r="E1261" s="2" t="s">
        <v>4945</v>
      </c>
      <c r="F1261" s="2" t="s">
        <v>2189</v>
      </c>
      <c r="G1261" s="2" t="s">
        <v>3600</v>
      </c>
      <c r="H1261" s="2">
        <v>39612</v>
      </c>
    </row>
    <row r="1262" spans="1:8">
      <c r="A1262" s="2" t="s">
        <v>3011</v>
      </c>
      <c r="B1262" s="2" t="s">
        <v>4960</v>
      </c>
      <c r="C1262" s="2" t="s">
        <v>4953</v>
      </c>
      <c r="D1262" s="2">
        <v>101309000</v>
      </c>
      <c r="E1262" s="2" t="s">
        <v>4945</v>
      </c>
      <c r="F1262" s="2" t="s">
        <v>2189</v>
      </c>
      <c r="G1262" s="2" t="s">
        <v>3574</v>
      </c>
      <c r="H1262" s="2">
        <v>50260</v>
      </c>
    </row>
    <row r="1263" spans="1:8">
      <c r="A1263" s="2" t="s">
        <v>3059</v>
      </c>
      <c r="B1263" s="2" t="s">
        <v>4961</v>
      </c>
      <c r="C1263" s="2" t="s">
        <v>4947</v>
      </c>
      <c r="D1263" s="2">
        <v>101310000</v>
      </c>
      <c r="E1263" s="2" t="s">
        <v>4945</v>
      </c>
      <c r="F1263" s="2" t="s">
        <v>2189</v>
      </c>
      <c r="G1263" s="2" t="s">
        <v>3574</v>
      </c>
      <c r="H1263" s="2">
        <v>61776</v>
      </c>
    </row>
    <row r="1264" spans="1:8">
      <c r="A1264" s="2" t="s">
        <v>3102</v>
      </c>
      <c r="B1264" s="2" t="s">
        <v>4962</v>
      </c>
      <c r="C1264" s="2" t="s">
        <v>4951</v>
      </c>
      <c r="D1264" s="2">
        <v>101311000</v>
      </c>
      <c r="E1264" s="2" t="s">
        <v>4945</v>
      </c>
      <c r="F1264" s="2" t="s">
        <v>2189</v>
      </c>
      <c r="G1264" s="2" t="s">
        <v>3574</v>
      </c>
      <c r="H1264" s="2">
        <v>43969</v>
      </c>
    </row>
    <row r="1265" spans="1:8">
      <c r="A1265" s="2" t="s">
        <v>2902</v>
      </c>
      <c r="B1265" s="2" t="s">
        <v>4963</v>
      </c>
      <c r="C1265" s="2" t="s">
        <v>4951</v>
      </c>
      <c r="D1265" s="2">
        <v>101313000</v>
      </c>
      <c r="E1265" s="2" t="s">
        <v>4945</v>
      </c>
      <c r="F1265" s="2" t="s">
        <v>2189</v>
      </c>
      <c r="G1265" s="2" t="s">
        <v>3600</v>
      </c>
      <c r="H1265" s="2">
        <v>24453</v>
      </c>
    </row>
    <row r="1266" spans="1:8">
      <c r="A1266" s="2" t="s">
        <v>3182</v>
      </c>
      <c r="B1266" s="2" t="s">
        <v>4964</v>
      </c>
      <c r="C1266" s="2" t="s">
        <v>4951</v>
      </c>
      <c r="D1266" s="2">
        <v>101314000</v>
      </c>
      <c r="E1266" s="2" t="s">
        <v>4945</v>
      </c>
      <c r="F1266" s="2" t="s">
        <v>2189</v>
      </c>
      <c r="G1266" s="2" t="s">
        <v>3574</v>
      </c>
      <c r="H1266" s="2">
        <v>100210</v>
      </c>
    </row>
    <row r="1267" spans="1:8">
      <c r="A1267" s="2" t="s">
        <v>3217</v>
      </c>
      <c r="B1267" s="2" t="s">
        <v>4965</v>
      </c>
      <c r="C1267" s="2" t="s">
        <v>4953</v>
      </c>
      <c r="D1267" s="2">
        <v>101315000</v>
      </c>
      <c r="E1267" s="2" t="s">
        <v>4945</v>
      </c>
      <c r="F1267" s="2" t="s">
        <v>2189</v>
      </c>
      <c r="G1267" s="2" t="s">
        <v>3574</v>
      </c>
      <c r="H1267" s="2">
        <v>102089</v>
      </c>
    </row>
    <row r="1268" spans="1:8">
      <c r="A1268" s="2" t="s">
        <v>3245</v>
      </c>
      <c r="B1268" s="2" t="s">
        <v>4966</v>
      </c>
      <c r="C1268" s="2" t="s">
        <v>4949</v>
      </c>
      <c r="D1268" s="2">
        <v>101316000</v>
      </c>
      <c r="E1268" s="2" t="s">
        <v>4945</v>
      </c>
      <c r="F1268" s="2" t="s">
        <v>2189</v>
      </c>
      <c r="G1268" s="2" t="s">
        <v>3574</v>
      </c>
      <c r="H1268" s="2">
        <v>53126</v>
      </c>
    </row>
    <row r="1269" spans="1:8">
      <c r="A1269" s="2" t="s">
        <v>681</v>
      </c>
      <c r="B1269" s="2" t="s">
        <v>4967</v>
      </c>
      <c r="C1269" s="2" t="s">
        <v>4953</v>
      </c>
      <c r="D1269" s="2">
        <v>101317000</v>
      </c>
      <c r="E1269" s="2" t="s">
        <v>4945</v>
      </c>
      <c r="F1269" s="2" t="s">
        <v>2189</v>
      </c>
      <c r="G1269" s="2" t="s">
        <v>3574</v>
      </c>
      <c r="H1269" s="2">
        <v>104116</v>
      </c>
    </row>
    <row r="1270" spans="1:8">
      <c r="A1270" s="2" t="s">
        <v>3087</v>
      </c>
      <c r="B1270" s="2" t="s">
        <v>4968</v>
      </c>
      <c r="C1270" s="2" t="s">
        <v>4947</v>
      </c>
      <c r="D1270" s="2">
        <v>101318000</v>
      </c>
      <c r="E1270" s="2" t="s">
        <v>4945</v>
      </c>
      <c r="F1270" s="2" t="s">
        <v>2189</v>
      </c>
      <c r="G1270" s="2" t="s">
        <v>3574</v>
      </c>
      <c r="H1270" s="2">
        <v>56138</v>
      </c>
    </row>
    <row r="1271" spans="1:8">
      <c r="A1271" s="2" t="s">
        <v>3327</v>
      </c>
      <c r="B1271" s="2" t="s">
        <v>4969</v>
      </c>
      <c r="C1271" s="2" t="s">
        <v>4951</v>
      </c>
      <c r="D1271" s="2">
        <v>101319000</v>
      </c>
      <c r="E1271" s="2" t="s">
        <v>4945</v>
      </c>
      <c r="F1271" s="2" t="s">
        <v>2189</v>
      </c>
      <c r="G1271" s="2" t="s">
        <v>3634</v>
      </c>
      <c r="H1271" s="2">
        <v>27660</v>
      </c>
    </row>
    <row r="1272" spans="1:8">
      <c r="A1272" s="2" t="s">
        <v>3352</v>
      </c>
      <c r="B1272" s="2" t="s">
        <v>4970</v>
      </c>
      <c r="C1272" s="2" t="s">
        <v>4951</v>
      </c>
      <c r="D1272" s="2">
        <v>101320000</v>
      </c>
      <c r="E1272" s="2" t="s">
        <v>4945</v>
      </c>
      <c r="F1272" s="2" t="s">
        <v>2189</v>
      </c>
      <c r="G1272" s="2" t="s">
        <v>3574</v>
      </c>
      <c r="H1272" s="2">
        <v>71644</v>
      </c>
    </row>
    <row r="1273" spans="1:8">
      <c r="A1273" s="2" t="s">
        <v>3373</v>
      </c>
      <c r="B1273" s="2" t="s">
        <v>4971</v>
      </c>
      <c r="C1273" s="2" t="s">
        <v>4947</v>
      </c>
      <c r="D1273" s="2">
        <v>101322000</v>
      </c>
      <c r="E1273" s="2" t="s">
        <v>4945</v>
      </c>
      <c r="F1273" s="2" t="s">
        <v>2189</v>
      </c>
      <c r="G1273" s="2" t="s">
        <v>3629</v>
      </c>
      <c r="H1273" s="2">
        <v>33997</v>
      </c>
    </row>
    <row r="1274" spans="2:5">
      <c r="B1274" s="2" t="s">
        <v>20</v>
      </c>
      <c r="E1274" s="2" t="s">
        <v>4945</v>
      </c>
    </row>
    <row r="1275" spans="1:8">
      <c r="A1275" s="2" t="s">
        <v>2399</v>
      </c>
      <c r="B1275" s="2" t="s">
        <v>4972</v>
      </c>
      <c r="C1275" s="2" t="s">
        <v>4973</v>
      </c>
      <c r="D1275" s="2">
        <v>104305000</v>
      </c>
      <c r="E1275" s="2" t="s">
        <v>4945</v>
      </c>
      <c r="F1275" s="2" t="s">
        <v>2242</v>
      </c>
      <c r="G1275" s="2" t="s">
        <v>3574</v>
      </c>
      <c r="H1275" s="2">
        <v>675950</v>
      </c>
    </row>
    <row r="1276" spans="2:5">
      <c r="B1276" s="2" t="s">
        <v>20</v>
      </c>
      <c r="E1276" s="2" t="s">
        <v>4945</v>
      </c>
    </row>
    <row r="1277" spans="1:8">
      <c r="A1277" s="2" t="s">
        <v>2396</v>
      </c>
      <c r="B1277" s="2" t="s">
        <v>4974</v>
      </c>
      <c r="C1277" s="2" t="s">
        <v>4975</v>
      </c>
      <c r="D1277" s="2">
        <v>101801000</v>
      </c>
      <c r="E1277" s="2" t="s">
        <v>4945</v>
      </c>
      <c r="F1277" s="2" t="s">
        <v>2203</v>
      </c>
      <c r="G1277" s="2" t="s">
        <v>3626</v>
      </c>
      <c r="H1277" s="2">
        <v>16798</v>
      </c>
    </row>
    <row r="1278" spans="1:8">
      <c r="A1278" s="2" t="s">
        <v>2466</v>
      </c>
      <c r="B1278" s="2" t="s">
        <v>4976</v>
      </c>
      <c r="C1278" s="2" t="s">
        <v>4975</v>
      </c>
      <c r="D1278" s="2">
        <v>101802000</v>
      </c>
      <c r="E1278" s="2" t="s">
        <v>4945</v>
      </c>
      <c r="F1278" s="2" t="s">
        <v>2203</v>
      </c>
      <c r="G1278" s="2" t="s">
        <v>3769</v>
      </c>
      <c r="H1278" s="2">
        <v>6281</v>
      </c>
    </row>
    <row r="1279" spans="1:8">
      <c r="A1279" s="2" t="s">
        <v>2537</v>
      </c>
      <c r="B1279" s="2" t="s">
        <v>4977</v>
      </c>
      <c r="C1279" s="2" t="s">
        <v>4975</v>
      </c>
      <c r="D1279" s="2">
        <v>101803000</v>
      </c>
      <c r="E1279" s="2" t="s">
        <v>4945</v>
      </c>
      <c r="F1279" s="2" t="s">
        <v>2203</v>
      </c>
      <c r="G1279" s="2" t="s">
        <v>3626</v>
      </c>
      <c r="H1279" s="2">
        <v>14038</v>
      </c>
    </row>
    <row r="1280" spans="1:8">
      <c r="A1280" s="2" t="s">
        <v>2607</v>
      </c>
      <c r="B1280" s="2" t="s">
        <v>4978</v>
      </c>
      <c r="C1280" s="2" t="s">
        <v>4975</v>
      </c>
      <c r="D1280" s="2">
        <v>101804000</v>
      </c>
      <c r="E1280" s="2" t="s">
        <v>4945</v>
      </c>
      <c r="F1280" s="2" t="s">
        <v>2203</v>
      </c>
      <c r="G1280" s="2" t="s">
        <v>3629</v>
      </c>
      <c r="H1280" s="2">
        <v>38735</v>
      </c>
    </row>
    <row r="1281" spans="1:8">
      <c r="A1281" s="2" t="s">
        <v>2672</v>
      </c>
      <c r="B1281" s="2" t="s">
        <v>4979</v>
      </c>
      <c r="C1281" s="2" t="s">
        <v>4975</v>
      </c>
      <c r="D1281" s="2">
        <v>101805000</v>
      </c>
      <c r="E1281" s="2" t="s">
        <v>4945</v>
      </c>
      <c r="F1281" s="2" t="s">
        <v>2203</v>
      </c>
      <c r="G1281" s="2" t="s">
        <v>3626</v>
      </c>
      <c r="H1281" s="2">
        <v>12626</v>
      </c>
    </row>
    <row r="1282" spans="2:5">
      <c r="B1282" s="2" t="s">
        <v>20</v>
      </c>
      <c r="E1282" s="2" t="s">
        <v>4945</v>
      </c>
    </row>
    <row r="1283" spans="1:8">
      <c r="A1283" s="2" t="s">
        <v>2397</v>
      </c>
      <c r="B1283" s="2" t="s">
        <v>4980</v>
      </c>
      <c r="C1283" s="2" t="s">
        <v>4981</v>
      </c>
      <c r="D1283" s="2">
        <v>103504000</v>
      </c>
      <c r="E1283" s="2" t="s">
        <v>4945</v>
      </c>
      <c r="F1283" s="2" t="s">
        <v>2217</v>
      </c>
      <c r="G1283" s="2" t="s">
        <v>3574</v>
      </c>
      <c r="H1283" s="2">
        <v>342618</v>
      </c>
    </row>
    <row r="1284" spans="2:5">
      <c r="B1284" s="2" t="s">
        <v>20</v>
      </c>
      <c r="E1284" s="2" t="s">
        <v>4945</v>
      </c>
    </row>
    <row r="1285" spans="1:8">
      <c r="A1285" s="2" t="s">
        <v>2467</v>
      </c>
      <c r="B1285" s="2" t="s">
        <v>4982</v>
      </c>
      <c r="C1285" s="2" t="s">
        <v>4983</v>
      </c>
      <c r="D1285" s="2">
        <v>103501000</v>
      </c>
      <c r="E1285" s="2" t="s">
        <v>4945</v>
      </c>
      <c r="F1285" s="2" t="s">
        <v>2217</v>
      </c>
      <c r="G1285" s="2" t="s">
        <v>3634</v>
      </c>
      <c r="H1285" s="2">
        <v>23034</v>
      </c>
    </row>
    <row r="1286" spans="1:8">
      <c r="A1286" s="2" t="s">
        <v>2538</v>
      </c>
      <c r="B1286" s="2" t="s">
        <v>4984</v>
      </c>
      <c r="C1286" s="2" t="s">
        <v>4983</v>
      </c>
      <c r="D1286" s="2">
        <v>103502000</v>
      </c>
      <c r="E1286" s="2" t="s">
        <v>4945</v>
      </c>
      <c r="F1286" s="2" t="s">
        <v>2217</v>
      </c>
      <c r="G1286" s="2" t="s">
        <v>3629</v>
      </c>
      <c r="H1286" s="2">
        <v>58383</v>
      </c>
    </row>
    <row r="1287" spans="1:8">
      <c r="A1287" s="2" t="s">
        <v>2608</v>
      </c>
      <c r="B1287" s="2" t="s">
        <v>4985</v>
      </c>
      <c r="C1287" s="2" t="s">
        <v>4983</v>
      </c>
      <c r="D1287" s="2">
        <v>103503000</v>
      </c>
      <c r="E1287" s="2" t="s">
        <v>4945</v>
      </c>
      <c r="F1287" s="2" t="s">
        <v>2217</v>
      </c>
      <c r="G1287" s="2" t="s">
        <v>3634</v>
      </c>
      <c r="H1287" s="2">
        <v>22600</v>
      </c>
    </row>
    <row r="1288" spans="1:8">
      <c r="A1288" s="2" t="s">
        <v>2673</v>
      </c>
      <c r="B1288" s="2" t="s">
        <v>4986</v>
      </c>
      <c r="C1288" s="2" t="s">
        <v>4987</v>
      </c>
      <c r="D1288" s="2">
        <v>103505000</v>
      </c>
      <c r="E1288" s="2" t="s">
        <v>4945</v>
      </c>
      <c r="F1288" s="2" t="s">
        <v>2217</v>
      </c>
      <c r="G1288" s="2" t="s">
        <v>3600</v>
      </c>
      <c r="H1288" s="2">
        <v>62853</v>
      </c>
    </row>
    <row r="1289" spans="1:8">
      <c r="A1289" s="2" t="s">
        <v>2736</v>
      </c>
      <c r="B1289" s="2" t="s">
        <v>4988</v>
      </c>
      <c r="C1289" s="2" t="s">
        <v>4987</v>
      </c>
      <c r="D1289" s="2">
        <v>103506000</v>
      </c>
      <c r="E1289" s="2" t="s">
        <v>4945</v>
      </c>
      <c r="F1289" s="2" t="s">
        <v>2217</v>
      </c>
      <c r="G1289" s="2" t="s">
        <v>3629</v>
      </c>
      <c r="H1289" s="2">
        <v>56764</v>
      </c>
    </row>
    <row r="1290" spans="1:8">
      <c r="A1290" s="2" t="s">
        <v>2795</v>
      </c>
      <c r="B1290" s="2" t="s">
        <v>4989</v>
      </c>
      <c r="C1290" s="2" t="s">
        <v>4983</v>
      </c>
      <c r="D1290" s="2">
        <v>103507000</v>
      </c>
      <c r="E1290" s="2" t="s">
        <v>4945</v>
      </c>
      <c r="F1290" s="2" t="s">
        <v>2217</v>
      </c>
      <c r="G1290" s="2" t="s">
        <v>3626</v>
      </c>
      <c r="H1290" s="2">
        <v>26278</v>
      </c>
    </row>
    <row r="1291" spans="1:8">
      <c r="A1291" s="2" t="s">
        <v>2854</v>
      </c>
      <c r="B1291" s="2" t="s">
        <v>4990</v>
      </c>
      <c r="C1291" s="2" t="s">
        <v>4983</v>
      </c>
      <c r="D1291" s="2">
        <v>103508000</v>
      </c>
      <c r="E1291" s="2" t="s">
        <v>4945</v>
      </c>
      <c r="F1291" s="2" t="s">
        <v>2217</v>
      </c>
      <c r="G1291" s="2" t="s">
        <v>3634</v>
      </c>
      <c r="H1291" s="2">
        <v>27005</v>
      </c>
    </row>
    <row r="1292" spans="1:8">
      <c r="A1292" s="2" t="s">
        <v>2908</v>
      </c>
      <c r="B1292" s="2" t="s">
        <v>4991</v>
      </c>
      <c r="C1292" s="2" t="s">
        <v>4987</v>
      </c>
      <c r="D1292" s="2">
        <v>103509000</v>
      </c>
      <c r="E1292" s="2" t="s">
        <v>4945</v>
      </c>
      <c r="F1292" s="2" t="s">
        <v>2217</v>
      </c>
      <c r="G1292" s="2" t="s">
        <v>3574</v>
      </c>
      <c r="H1292" s="2">
        <v>67727</v>
      </c>
    </row>
    <row r="1293" spans="1:8">
      <c r="A1293" s="2" t="s">
        <v>2961</v>
      </c>
      <c r="B1293" s="2" t="s">
        <v>4992</v>
      </c>
      <c r="C1293" s="2" t="s">
        <v>4983</v>
      </c>
      <c r="D1293" s="2">
        <v>103510000</v>
      </c>
      <c r="E1293" s="2" t="s">
        <v>4945</v>
      </c>
      <c r="F1293" s="2" t="s">
        <v>2217</v>
      </c>
      <c r="G1293" s="2" t="s">
        <v>3626</v>
      </c>
      <c r="H1293" s="2">
        <v>20341</v>
      </c>
    </row>
    <row r="1294" spans="1:8">
      <c r="A1294" s="2" t="s">
        <v>2644</v>
      </c>
      <c r="B1294" s="2" t="s">
        <v>4993</v>
      </c>
      <c r="C1294" s="2" t="s">
        <v>4987</v>
      </c>
      <c r="D1294" s="2">
        <v>103511000</v>
      </c>
      <c r="E1294" s="2" t="s">
        <v>4945</v>
      </c>
      <c r="F1294" s="2" t="s">
        <v>2217</v>
      </c>
      <c r="G1294" s="2" t="s">
        <v>3626</v>
      </c>
      <c r="H1294" s="2">
        <v>19019</v>
      </c>
    </row>
    <row r="1295" spans="1:8">
      <c r="A1295" s="2" t="s">
        <v>3060</v>
      </c>
      <c r="B1295" s="2" t="s">
        <v>4994</v>
      </c>
      <c r="C1295" s="2" t="s">
        <v>4983</v>
      </c>
      <c r="D1295" s="2">
        <v>103512000</v>
      </c>
      <c r="E1295" s="2" t="s">
        <v>4945</v>
      </c>
      <c r="F1295" s="2" t="s">
        <v>2217</v>
      </c>
      <c r="G1295" s="2" t="s">
        <v>3634</v>
      </c>
      <c r="H1295" s="2">
        <v>21666</v>
      </c>
    </row>
    <row r="1296" spans="1:8">
      <c r="A1296" s="2" t="s">
        <v>3103</v>
      </c>
      <c r="B1296" s="2" t="s">
        <v>4995</v>
      </c>
      <c r="C1296" s="2" t="s">
        <v>4983</v>
      </c>
      <c r="D1296" s="2">
        <v>103513000</v>
      </c>
      <c r="E1296" s="2" t="s">
        <v>4945</v>
      </c>
      <c r="F1296" s="2" t="s">
        <v>2217</v>
      </c>
      <c r="G1296" s="2" t="s">
        <v>3626</v>
      </c>
      <c r="H1296" s="2">
        <v>13975</v>
      </c>
    </row>
    <row r="1297" spans="1:8">
      <c r="A1297" s="2" t="s">
        <v>3143</v>
      </c>
      <c r="B1297" s="2" t="s">
        <v>4996</v>
      </c>
      <c r="C1297" s="2" t="s">
        <v>4987</v>
      </c>
      <c r="D1297" s="2">
        <v>103514000</v>
      </c>
      <c r="E1297" s="2" t="s">
        <v>4945</v>
      </c>
      <c r="F1297" s="2" t="s">
        <v>2217</v>
      </c>
      <c r="G1297" s="2" t="s">
        <v>3634</v>
      </c>
      <c r="H1297" s="2">
        <v>32973</v>
      </c>
    </row>
    <row r="1298" spans="1:8">
      <c r="A1298" s="2" t="s">
        <v>3183</v>
      </c>
      <c r="B1298" s="2" t="s">
        <v>4997</v>
      </c>
      <c r="C1298" s="2" t="s">
        <v>4987</v>
      </c>
      <c r="D1298" s="2">
        <v>103515000</v>
      </c>
      <c r="E1298" s="2" t="s">
        <v>4945</v>
      </c>
      <c r="F1298" s="2" t="s">
        <v>2217</v>
      </c>
      <c r="G1298" s="2" t="s">
        <v>3629</v>
      </c>
      <c r="H1298" s="2">
        <v>18367</v>
      </c>
    </row>
    <row r="1299" spans="1:8">
      <c r="A1299" s="2" t="s">
        <v>3218</v>
      </c>
      <c r="B1299" s="2" t="s">
        <v>4998</v>
      </c>
      <c r="C1299" s="2" t="s">
        <v>4987</v>
      </c>
      <c r="D1299" s="2">
        <v>103516000</v>
      </c>
      <c r="E1299" s="2" t="s">
        <v>4945</v>
      </c>
      <c r="F1299" s="2" t="s">
        <v>2217</v>
      </c>
      <c r="G1299" s="2" t="s">
        <v>3634</v>
      </c>
      <c r="H1299" s="2">
        <v>27866</v>
      </c>
    </row>
    <row r="1300" spans="1:8">
      <c r="A1300" s="2" t="s">
        <v>3246</v>
      </c>
      <c r="B1300" s="2" t="s">
        <v>4999</v>
      </c>
      <c r="C1300" s="2" t="s">
        <v>4987</v>
      </c>
      <c r="D1300" s="2">
        <v>103517000</v>
      </c>
      <c r="E1300" s="2" t="s">
        <v>4945</v>
      </c>
      <c r="F1300" s="2" t="s">
        <v>2217</v>
      </c>
      <c r="G1300" s="2" t="s">
        <v>3634</v>
      </c>
      <c r="H1300" s="2">
        <v>27018</v>
      </c>
    </row>
    <row r="1301" spans="1:8">
      <c r="A1301" s="2" t="s">
        <v>3276</v>
      </c>
      <c r="B1301" s="2" t="s">
        <v>5000</v>
      </c>
      <c r="C1301" s="2" t="s">
        <v>4987</v>
      </c>
      <c r="D1301" s="2">
        <v>103518000</v>
      </c>
      <c r="E1301" s="2" t="s">
        <v>4945</v>
      </c>
      <c r="F1301" s="2" t="s">
        <v>2217</v>
      </c>
      <c r="G1301" s="2" t="s">
        <v>3626</v>
      </c>
      <c r="H1301" s="2">
        <v>31845</v>
      </c>
    </row>
    <row r="1302" spans="1:8">
      <c r="A1302" s="2" t="s">
        <v>3302</v>
      </c>
      <c r="B1302" s="2" t="s">
        <v>5001</v>
      </c>
      <c r="C1302" s="2" t="s">
        <v>4987</v>
      </c>
      <c r="D1302" s="2">
        <v>103519000</v>
      </c>
      <c r="E1302" s="2" t="s">
        <v>4945</v>
      </c>
      <c r="F1302" s="2" t="s">
        <v>2217</v>
      </c>
      <c r="G1302" s="2" t="s">
        <v>3626</v>
      </c>
      <c r="H1302" s="2">
        <v>21309</v>
      </c>
    </row>
    <row r="1303" spans="1:8">
      <c r="A1303" s="2" t="s">
        <v>3328</v>
      </c>
      <c r="B1303" s="2" t="s">
        <v>5002</v>
      </c>
      <c r="C1303" s="2" t="s">
        <v>4983</v>
      </c>
      <c r="D1303" s="2">
        <v>103520000</v>
      </c>
      <c r="E1303" s="2" t="s">
        <v>4945</v>
      </c>
      <c r="F1303" s="2" t="s">
        <v>2217</v>
      </c>
      <c r="G1303" s="2" t="s">
        <v>3626</v>
      </c>
      <c r="H1303" s="2">
        <v>13253</v>
      </c>
    </row>
    <row r="1304" spans="1:8">
      <c r="A1304" s="2" t="s">
        <v>3353</v>
      </c>
      <c r="B1304" s="2" t="s">
        <v>5003</v>
      </c>
      <c r="C1304" s="2" t="s">
        <v>4987</v>
      </c>
      <c r="D1304" s="2">
        <v>103521000</v>
      </c>
      <c r="E1304" s="2" t="s">
        <v>4945</v>
      </c>
      <c r="F1304" s="2" t="s">
        <v>2217</v>
      </c>
      <c r="G1304" s="2" t="s">
        <v>3626</v>
      </c>
      <c r="H1304" s="2">
        <v>15181</v>
      </c>
    </row>
    <row r="1305" spans="1:8">
      <c r="A1305" s="2" t="s">
        <v>3374</v>
      </c>
      <c r="B1305" s="2" t="s">
        <v>5004</v>
      </c>
      <c r="C1305" s="2" t="s">
        <v>4983</v>
      </c>
      <c r="D1305" s="2">
        <v>103522000</v>
      </c>
      <c r="E1305" s="2" t="s">
        <v>4945</v>
      </c>
      <c r="F1305" s="2" t="s">
        <v>2217</v>
      </c>
      <c r="G1305" s="2" t="s">
        <v>3600</v>
      </c>
      <c r="H1305" s="2">
        <v>47165</v>
      </c>
    </row>
    <row r="1306" spans="1:8">
      <c r="A1306" s="2" t="s">
        <v>3396</v>
      </c>
      <c r="B1306" s="2" t="s">
        <v>5005</v>
      </c>
      <c r="C1306" s="2" t="s">
        <v>4983</v>
      </c>
      <c r="D1306" s="2">
        <v>103523000</v>
      </c>
      <c r="E1306" s="2" t="s">
        <v>4945</v>
      </c>
      <c r="F1306" s="2" t="s">
        <v>2217</v>
      </c>
      <c r="G1306" s="2" t="s">
        <v>3626</v>
      </c>
      <c r="H1306" s="2">
        <v>21773</v>
      </c>
    </row>
    <row r="1307" spans="2:5">
      <c r="B1307" s="2" t="s">
        <v>20</v>
      </c>
      <c r="E1307" s="2" t="s">
        <v>4945</v>
      </c>
    </row>
    <row r="1308" spans="1:8">
      <c r="A1308" s="2" t="s">
        <v>2398</v>
      </c>
      <c r="B1308" s="2" t="s">
        <v>5006</v>
      </c>
      <c r="C1308" s="2" t="s">
        <v>5007</v>
      </c>
      <c r="D1308" s="2">
        <v>104209000</v>
      </c>
      <c r="E1308" s="2" t="s">
        <v>4945</v>
      </c>
      <c r="F1308" s="2" t="s">
        <v>2231</v>
      </c>
      <c r="G1308" s="2" t="s">
        <v>3634</v>
      </c>
      <c r="H1308" s="2">
        <v>70757</v>
      </c>
    </row>
    <row r="1309" spans="1:8">
      <c r="A1309" s="2" t="s">
        <v>2468</v>
      </c>
      <c r="B1309" s="2" t="s">
        <v>5008</v>
      </c>
      <c r="C1309" s="2" t="s">
        <v>5009</v>
      </c>
      <c r="D1309" s="2">
        <v>104210000</v>
      </c>
      <c r="E1309" s="2" t="s">
        <v>4945</v>
      </c>
      <c r="F1309" s="2" t="s">
        <v>2231</v>
      </c>
      <c r="G1309" s="2" t="s">
        <v>3629</v>
      </c>
      <c r="H1309" s="2">
        <v>141828</v>
      </c>
    </row>
    <row r="1310" spans="1:8">
      <c r="A1310" s="2" t="s">
        <v>2539</v>
      </c>
      <c r="B1310" s="2" t="s">
        <v>5010</v>
      </c>
      <c r="C1310" s="2" t="s">
        <v>5009</v>
      </c>
      <c r="D1310" s="2">
        <v>104215000</v>
      </c>
      <c r="E1310" s="2" t="s">
        <v>4945</v>
      </c>
      <c r="F1310" s="2" t="s">
        <v>2231</v>
      </c>
      <c r="G1310" s="2" t="s">
        <v>3634</v>
      </c>
      <c r="H1310" s="2">
        <v>63011</v>
      </c>
    </row>
    <row r="1311" spans="1:8">
      <c r="A1311" s="2" t="s">
        <v>2609</v>
      </c>
      <c r="B1311" s="2" t="s">
        <v>5011</v>
      </c>
      <c r="C1311" s="2" t="s">
        <v>5007</v>
      </c>
      <c r="D1311" s="2">
        <v>104201000</v>
      </c>
      <c r="E1311" s="2" t="s">
        <v>4945</v>
      </c>
      <c r="F1311" s="2" t="s">
        <v>2231</v>
      </c>
      <c r="G1311" s="2" t="s">
        <v>3634</v>
      </c>
      <c r="H1311" s="2">
        <v>27625</v>
      </c>
    </row>
    <row r="1312" spans="1:8">
      <c r="A1312" s="2" t="s">
        <v>2674</v>
      </c>
      <c r="B1312" s="2" t="s">
        <v>5012</v>
      </c>
      <c r="C1312" s="2" t="s">
        <v>5007</v>
      </c>
      <c r="D1312" s="2">
        <v>104202000</v>
      </c>
      <c r="E1312" s="2" t="s">
        <v>4945</v>
      </c>
      <c r="F1312" s="2" t="s">
        <v>2231</v>
      </c>
      <c r="G1312" s="2" t="s">
        <v>3626</v>
      </c>
      <c r="H1312" s="2">
        <v>17092</v>
      </c>
    </row>
    <row r="1313" spans="1:8">
      <c r="A1313" s="2" t="s">
        <v>2737</v>
      </c>
      <c r="B1313" s="2" t="s">
        <v>5013</v>
      </c>
      <c r="C1313" s="2" t="s">
        <v>5009</v>
      </c>
      <c r="D1313" s="2">
        <v>104203000</v>
      </c>
      <c r="E1313" s="2" t="s">
        <v>4945</v>
      </c>
      <c r="F1313" s="2" t="s">
        <v>2231</v>
      </c>
      <c r="G1313" s="2" t="s">
        <v>3634</v>
      </c>
      <c r="H1313" s="2">
        <v>32345</v>
      </c>
    </row>
    <row r="1314" spans="1:8">
      <c r="A1314" s="2" t="s">
        <v>2796</v>
      </c>
      <c r="B1314" s="2" t="s">
        <v>5014</v>
      </c>
      <c r="C1314" s="2" t="s">
        <v>5007</v>
      </c>
      <c r="D1314" s="2">
        <v>104204000</v>
      </c>
      <c r="E1314" s="2" t="s">
        <v>4945</v>
      </c>
      <c r="F1314" s="2" t="s">
        <v>2231</v>
      </c>
      <c r="G1314" s="2" t="s">
        <v>3634</v>
      </c>
      <c r="H1314" s="2">
        <v>21676</v>
      </c>
    </row>
    <row r="1315" spans="1:8">
      <c r="A1315" s="2" t="s">
        <v>2855</v>
      </c>
      <c r="B1315" s="2" t="s">
        <v>5015</v>
      </c>
      <c r="C1315" s="2" t="s">
        <v>5009</v>
      </c>
      <c r="D1315" s="2">
        <v>104205000</v>
      </c>
      <c r="E1315" s="2" t="s">
        <v>4945</v>
      </c>
      <c r="F1315" s="2" t="s">
        <v>2231</v>
      </c>
      <c r="G1315" s="2" t="s">
        <v>3634</v>
      </c>
      <c r="H1315" s="2">
        <v>37548</v>
      </c>
    </row>
    <row r="1316" spans="1:8">
      <c r="A1316" s="2" t="s">
        <v>2647</v>
      </c>
      <c r="B1316" s="2" t="s">
        <v>5016</v>
      </c>
      <c r="C1316" s="2" t="s">
        <v>5007</v>
      </c>
      <c r="D1316" s="2">
        <v>104206000</v>
      </c>
      <c r="E1316" s="2" t="s">
        <v>4945</v>
      </c>
      <c r="F1316" s="2" t="s">
        <v>2231</v>
      </c>
      <c r="G1316" s="2" t="s">
        <v>3769</v>
      </c>
      <c r="H1316" s="2">
        <v>10937</v>
      </c>
    </row>
    <row r="1317" spans="1:8">
      <c r="A1317" s="2" t="s">
        <v>2962</v>
      </c>
      <c r="B1317" s="2" t="s">
        <v>5017</v>
      </c>
      <c r="C1317" s="2" t="s">
        <v>5007</v>
      </c>
      <c r="D1317" s="2">
        <v>104207000</v>
      </c>
      <c r="E1317" s="2" t="s">
        <v>4945</v>
      </c>
      <c r="F1317" s="2" t="s">
        <v>2231</v>
      </c>
      <c r="G1317" s="2" t="s">
        <v>3629</v>
      </c>
      <c r="H1317" s="2">
        <v>27654</v>
      </c>
    </row>
    <row r="1318" spans="1:8">
      <c r="A1318" s="2" t="s">
        <v>3012</v>
      </c>
      <c r="B1318" s="2" t="s">
        <v>5018</v>
      </c>
      <c r="C1318" s="2" t="s">
        <v>5007</v>
      </c>
      <c r="D1318" s="2">
        <v>104208000</v>
      </c>
      <c r="E1318" s="2" t="s">
        <v>4945</v>
      </c>
      <c r="F1318" s="2" t="s">
        <v>2231</v>
      </c>
      <c r="G1318" s="2" t="s">
        <v>3634</v>
      </c>
      <c r="H1318" s="2">
        <v>25055</v>
      </c>
    </row>
    <row r="1319" spans="1:8">
      <c r="A1319" s="2" t="s">
        <v>3061</v>
      </c>
      <c r="B1319" s="2" t="s">
        <v>5019</v>
      </c>
      <c r="C1319" s="2" t="s">
        <v>5007</v>
      </c>
      <c r="D1319" s="2">
        <v>104211000</v>
      </c>
      <c r="E1319" s="2" t="s">
        <v>4945</v>
      </c>
      <c r="F1319" s="2" t="s">
        <v>2231</v>
      </c>
      <c r="G1319" s="2" t="s">
        <v>3626</v>
      </c>
      <c r="H1319" s="2">
        <v>10209</v>
      </c>
    </row>
    <row r="1320" spans="1:8">
      <c r="A1320" s="2" t="s">
        <v>3104</v>
      </c>
      <c r="B1320" s="2" t="s">
        <v>5020</v>
      </c>
      <c r="C1320" s="2" t="s">
        <v>5007</v>
      </c>
      <c r="D1320" s="2">
        <v>104212000</v>
      </c>
      <c r="E1320" s="2" t="s">
        <v>4945</v>
      </c>
      <c r="F1320" s="2" t="s">
        <v>2231</v>
      </c>
      <c r="G1320" s="2" t="s">
        <v>3629</v>
      </c>
      <c r="H1320" s="2">
        <v>38900</v>
      </c>
    </row>
    <row r="1321" spans="1:8">
      <c r="A1321" s="2" t="s">
        <v>3144</v>
      </c>
      <c r="B1321" s="2" t="s">
        <v>5021</v>
      </c>
      <c r="C1321" s="2" t="s">
        <v>5007</v>
      </c>
      <c r="D1321" s="2">
        <v>104213000</v>
      </c>
      <c r="E1321" s="2" t="s">
        <v>4945</v>
      </c>
      <c r="F1321" s="2" t="s">
        <v>2231</v>
      </c>
      <c r="G1321" s="2" t="s">
        <v>3626</v>
      </c>
      <c r="H1321" s="2">
        <v>19983</v>
      </c>
    </row>
    <row r="1322" spans="1:8">
      <c r="A1322" s="2" t="s">
        <v>3184</v>
      </c>
      <c r="B1322" s="2" t="s">
        <v>5022</v>
      </c>
      <c r="C1322" s="2" t="s">
        <v>5009</v>
      </c>
      <c r="D1322" s="2">
        <v>104214000</v>
      </c>
      <c r="E1322" s="2" t="s">
        <v>4945</v>
      </c>
      <c r="F1322" s="2" t="s">
        <v>2231</v>
      </c>
      <c r="G1322" s="2" t="s">
        <v>3626</v>
      </c>
      <c r="H1322" s="2">
        <v>18391</v>
      </c>
    </row>
    <row r="1323" spans="1:8">
      <c r="A1323" s="2" t="s">
        <v>3219</v>
      </c>
      <c r="B1323" s="2" t="s">
        <v>5023</v>
      </c>
      <c r="C1323" s="2" t="s">
        <v>5009</v>
      </c>
      <c r="D1323" s="2">
        <v>104216000</v>
      </c>
      <c r="E1323" s="2" t="s">
        <v>4945</v>
      </c>
      <c r="F1323" s="2" t="s">
        <v>2231</v>
      </c>
      <c r="G1323" s="2" t="s">
        <v>3634</v>
      </c>
      <c r="H1323" s="2">
        <v>28932</v>
      </c>
    </row>
    <row r="1324" spans="1:8">
      <c r="A1324" s="2" t="s">
        <v>3247</v>
      </c>
      <c r="B1324" s="2" t="s">
        <v>5024</v>
      </c>
      <c r="C1324" s="2" t="s">
        <v>5009</v>
      </c>
      <c r="D1324" s="2">
        <v>104217000</v>
      </c>
      <c r="E1324" s="2" t="s">
        <v>4945</v>
      </c>
      <c r="F1324" s="2" t="s">
        <v>2231</v>
      </c>
      <c r="G1324" s="2" t="s">
        <v>3634</v>
      </c>
      <c r="H1324" s="2">
        <v>10183</v>
      </c>
    </row>
    <row r="1325" spans="2:5">
      <c r="B1325" s="2" t="s">
        <v>20</v>
      </c>
      <c r="E1325" s="2" t="s">
        <v>4945</v>
      </c>
    </row>
    <row r="1326" spans="1:8">
      <c r="A1326" s="2" t="s">
        <v>2469</v>
      </c>
      <c r="B1326" s="2" t="s">
        <v>5025</v>
      </c>
      <c r="C1326" s="2" t="s">
        <v>5026</v>
      </c>
      <c r="D1326" s="2">
        <v>104307000</v>
      </c>
      <c r="E1326" s="2" t="s">
        <v>4945</v>
      </c>
      <c r="F1326" s="2" t="s">
        <v>2242</v>
      </c>
      <c r="G1326" s="2" t="s">
        <v>3769</v>
      </c>
      <c r="H1326" s="2">
        <v>50204</v>
      </c>
    </row>
    <row r="1327" spans="1:8">
      <c r="A1327" s="2" t="s">
        <v>2540</v>
      </c>
      <c r="B1327" s="2" t="s">
        <v>5027</v>
      </c>
      <c r="C1327" s="2" t="s">
        <v>5028</v>
      </c>
      <c r="D1327" s="2">
        <v>104308000</v>
      </c>
      <c r="E1327" s="2" t="s">
        <v>4945</v>
      </c>
      <c r="F1327" s="2" t="s">
        <v>2242</v>
      </c>
      <c r="G1327" s="2" t="s">
        <v>3600</v>
      </c>
      <c r="H1327" s="2">
        <v>124648</v>
      </c>
    </row>
    <row r="1328" spans="1:8">
      <c r="A1328" s="2" t="s">
        <v>2610</v>
      </c>
      <c r="B1328" s="2" t="s">
        <v>5029</v>
      </c>
      <c r="C1328" s="2" t="s">
        <v>5026</v>
      </c>
      <c r="D1328" s="2">
        <v>104301000</v>
      </c>
      <c r="E1328" s="2" t="s">
        <v>4945</v>
      </c>
      <c r="F1328" s="2" t="s">
        <v>2242</v>
      </c>
      <c r="G1328" s="2" t="s">
        <v>3634</v>
      </c>
      <c r="H1328" s="2">
        <v>29724</v>
      </c>
    </row>
    <row r="1329" spans="1:8">
      <c r="A1329" s="2" t="s">
        <v>2675</v>
      </c>
      <c r="B1329" s="2" t="s">
        <v>5030</v>
      </c>
      <c r="C1329" s="2" t="s">
        <v>5028</v>
      </c>
      <c r="D1329" s="2">
        <v>104302000</v>
      </c>
      <c r="E1329" s="2" t="s">
        <v>4945</v>
      </c>
      <c r="F1329" s="2" t="s">
        <v>2242</v>
      </c>
      <c r="G1329" s="2" t="s">
        <v>3600</v>
      </c>
      <c r="H1329" s="2">
        <v>67059</v>
      </c>
    </row>
    <row r="1330" spans="1:8">
      <c r="A1330" s="2" t="s">
        <v>2738</v>
      </c>
      <c r="B1330" s="2" t="s">
        <v>5031</v>
      </c>
      <c r="C1330" s="2" t="s">
        <v>5028</v>
      </c>
      <c r="D1330" s="2">
        <v>104303000</v>
      </c>
      <c r="E1330" s="2" t="s">
        <v>4945</v>
      </c>
      <c r="F1330" s="2" t="s">
        <v>2242</v>
      </c>
      <c r="G1330" s="2" t="s">
        <v>3626</v>
      </c>
      <c r="H1330" s="2">
        <v>11051</v>
      </c>
    </row>
    <row r="1331" spans="1:8">
      <c r="A1331" s="2" t="s">
        <v>2797</v>
      </c>
      <c r="B1331" s="2" t="s">
        <v>5032</v>
      </c>
      <c r="C1331" s="2" t="s">
        <v>5028</v>
      </c>
      <c r="D1331" s="2">
        <v>104304000</v>
      </c>
      <c r="E1331" s="2" t="s">
        <v>4945</v>
      </c>
      <c r="F1331" s="2" t="s">
        <v>2242</v>
      </c>
      <c r="G1331" s="2" t="s">
        <v>3769</v>
      </c>
      <c r="H1331" s="2">
        <v>7515</v>
      </c>
    </row>
    <row r="1332" spans="1:8">
      <c r="A1332" s="2" t="s">
        <v>2835</v>
      </c>
      <c r="B1332" s="2" t="s">
        <v>5033</v>
      </c>
      <c r="C1332" s="2" t="s">
        <v>5026</v>
      </c>
      <c r="D1332" s="2">
        <v>104306000</v>
      </c>
      <c r="E1332" s="2" t="s">
        <v>4945</v>
      </c>
      <c r="F1332" s="2" t="s">
        <v>2242</v>
      </c>
      <c r="G1332" s="2" t="s">
        <v>3574</v>
      </c>
      <c r="H1332" s="2">
        <v>48906</v>
      </c>
    </row>
    <row r="1333" spans="1:8">
      <c r="A1333" s="2" t="s">
        <v>2909</v>
      </c>
      <c r="B1333" s="2" t="s">
        <v>5034</v>
      </c>
      <c r="C1333" s="2" t="s">
        <v>5026</v>
      </c>
      <c r="D1333" s="2">
        <v>104309000</v>
      </c>
      <c r="E1333" s="2" t="s">
        <v>4945</v>
      </c>
      <c r="F1333" s="2" t="s">
        <v>2242</v>
      </c>
      <c r="G1333" s="2" t="s">
        <v>3626</v>
      </c>
      <c r="H1333" s="2">
        <v>16373</v>
      </c>
    </row>
    <row r="1334" spans="1:8">
      <c r="A1334" s="2" t="s">
        <v>2963</v>
      </c>
      <c r="B1334" s="2" t="s">
        <v>5035</v>
      </c>
      <c r="C1334" s="2" t="s">
        <v>5026</v>
      </c>
      <c r="D1334" s="2">
        <v>104310000</v>
      </c>
      <c r="E1334" s="2" t="s">
        <v>4945</v>
      </c>
      <c r="F1334" s="2" t="s">
        <v>2242</v>
      </c>
      <c r="G1334" s="2" t="s">
        <v>3629</v>
      </c>
      <c r="H1334" s="2">
        <v>32370</v>
      </c>
    </row>
    <row r="1335" spans="1:8">
      <c r="A1335" s="2" t="s">
        <v>3013</v>
      </c>
      <c r="B1335" s="2" t="s">
        <v>5036</v>
      </c>
      <c r="C1335" s="2" t="s">
        <v>5026</v>
      </c>
      <c r="D1335" s="2">
        <v>104311000</v>
      </c>
      <c r="E1335" s="2" t="s">
        <v>4945</v>
      </c>
      <c r="F1335" s="2" t="s">
        <v>2242</v>
      </c>
      <c r="G1335" s="2" t="s">
        <v>3600</v>
      </c>
      <c r="H1335" s="2">
        <v>54478</v>
      </c>
    </row>
    <row r="1336" spans="1:8">
      <c r="A1336" s="2" t="s">
        <v>3062</v>
      </c>
      <c r="B1336" s="2" t="s">
        <v>5037</v>
      </c>
      <c r="C1336" s="2" t="s">
        <v>5028</v>
      </c>
      <c r="D1336" s="2">
        <v>104312000</v>
      </c>
      <c r="E1336" s="2" t="s">
        <v>4945</v>
      </c>
      <c r="F1336" s="2" t="s">
        <v>2242</v>
      </c>
      <c r="G1336" s="2" t="s">
        <v>3626</v>
      </c>
      <c r="H1336" s="2">
        <v>14391</v>
      </c>
    </row>
    <row r="1337" spans="1:8">
      <c r="A1337" s="2" t="s">
        <v>3105</v>
      </c>
      <c r="B1337" s="2" t="s">
        <v>5038</v>
      </c>
      <c r="C1337" s="2" t="s">
        <v>5028</v>
      </c>
      <c r="D1337" s="2">
        <v>104313000</v>
      </c>
      <c r="E1337" s="2" t="s">
        <v>4945</v>
      </c>
      <c r="F1337" s="2" t="s">
        <v>2242</v>
      </c>
      <c r="G1337" s="2" t="s">
        <v>3626</v>
      </c>
      <c r="H1337" s="2">
        <v>21659</v>
      </c>
    </row>
    <row r="1338" spans="1:8">
      <c r="A1338" s="2" t="s">
        <v>3145</v>
      </c>
      <c r="B1338" s="2" t="s">
        <v>5039</v>
      </c>
      <c r="C1338" s="2" t="s">
        <v>5026</v>
      </c>
      <c r="D1338" s="2">
        <v>104314000</v>
      </c>
      <c r="E1338" s="2" t="s">
        <v>4945</v>
      </c>
      <c r="F1338" s="2" t="s">
        <v>2242</v>
      </c>
      <c r="G1338" s="2" t="s">
        <v>3634</v>
      </c>
      <c r="H1338" s="2">
        <v>24405</v>
      </c>
    </row>
    <row r="1339" spans="1:8">
      <c r="A1339" s="2" t="s">
        <v>2947</v>
      </c>
      <c r="B1339" s="2" t="s">
        <v>5040</v>
      </c>
      <c r="C1339" s="2" t="s">
        <v>5026</v>
      </c>
      <c r="D1339" s="2">
        <v>104315000</v>
      </c>
      <c r="E1339" s="2" t="s">
        <v>4945</v>
      </c>
      <c r="F1339" s="2" t="s">
        <v>2242</v>
      </c>
      <c r="G1339" s="2" t="s">
        <v>3626</v>
      </c>
      <c r="H1339" s="2">
        <v>12354</v>
      </c>
    </row>
    <row r="1340" spans="1:8">
      <c r="A1340" s="2" t="s">
        <v>3220</v>
      </c>
      <c r="B1340" s="2" t="s">
        <v>5041</v>
      </c>
      <c r="C1340" s="2" t="s">
        <v>5026</v>
      </c>
      <c r="D1340" s="2">
        <v>104316000</v>
      </c>
      <c r="E1340" s="2" t="s">
        <v>4945</v>
      </c>
      <c r="F1340" s="2" t="s">
        <v>2242</v>
      </c>
      <c r="G1340" s="2" t="s">
        <v>3600</v>
      </c>
      <c r="H1340" s="2">
        <v>19758</v>
      </c>
    </row>
    <row r="1341" spans="1:8">
      <c r="A1341" s="2" t="s">
        <v>3248</v>
      </c>
      <c r="B1341" s="2" t="s">
        <v>5042</v>
      </c>
      <c r="C1341" s="2" t="s">
        <v>5028</v>
      </c>
      <c r="D1341" s="2">
        <v>104317000</v>
      </c>
      <c r="E1341" s="2" t="s">
        <v>4945</v>
      </c>
      <c r="F1341" s="2" t="s">
        <v>2242</v>
      </c>
      <c r="G1341" s="2" t="s">
        <v>3634</v>
      </c>
      <c r="H1341" s="2">
        <v>34605</v>
      </c>
    </row>
    <row r="1342" spans="1:8">
      <c r="A1342" s="2" t="s">
        <v>3277</v>
      </c>
      <c r="B1342" s="2" t="s">
        <v>5043</v>
      </c>
      <c r="C1342" s="2" t="s">
        <v>5026</v>
      </c>
      <c r="D1342" s="2">
        <v>104318000</v>
      </c>
      <c r="E1342" s="2" t="s">
        <v>4945</v>
      </c>
      <c r="F1342" s="2" t="s">
        <v>2242</v>
      </c>
      <c r="G1342" s="2" t="s">
        <v>3634</v>
      </c>
      <c r="H1342" s="2">
        <v>28422</v>
      </c>
    </row>
    <row r="1343" spans="1:8">
      <c r="A1343" s="2" t="s">
        <v>3303</v>
      </c>
      <c r="B1343" s="2" t="s">
        <v>5044</v>
      </c>
      <c r="C1343" s="2" t="s">
        <v>5028</v>
      </c>
      <c r="D1343" s="2">
        <v>104319000</v>
      </c>
      <c r="E1343" s="2" t="s">
        <v>4945</v>
      </c>
      <c r="F1343" s="2" t="s">
        <v>2242</v>
      </c>
      <c r="G1343" s="2" t="s">
        <v>3634</v>
      </c>
      <c r="H1343" s="2">
        <v>32907</v>
      </c>
    </row>
    <row r="1344" spans="1:8">
      <c r="A1344" s="2" t="s">
        <v>3329</v>
      </c>
      <c r="B1344" s="2" t="s">
        <v>5045</v>
      </c>
      <c r="C1344" s="2" t="s">
        <v>5026</v>
      </c>
      <c r="D1344" s="2">
        <v>104320000</v>
      </c>
      <c r="E1344" s="2" t="s">
        <v>4945</v>
      </c>
      <c r="F1344" s="2" t="s">
        <v>2242</v>
      </c>
      <c r="G1344" s="2" t="s">
        <v>3634</v>
      </c>
      <c r="H1344" s="2">
        <v>21213</v>
      </c>
    </row>
    <row r="1345" spans="1:8">
      <c r="A1345" s="2" t="s">
        <v>3354</v>
      </c>
      <c r="B1345" s="2" t="s">
        <v>5046</v>
      </c>
      <c r="C1345" s="2" t="s">
        <v>5026</v>
      </c>
      <c r="D1345" s="2">
        <v>104321000</v>
      </c>
      <c r="E1345" s="2" t="s">
        <v>4945</v>
      </c>
      <c r="F1345" s="2" t="s">
        <v>2242</v>
      </c>
      <c r="G1345" s="2" t="s">
        <v>3600</v>
      </c>
      <c r="H1345" s="2">
        <v>61503</v>
      </c>
    </row>
    <row r="1346" spans="1:8">
      <c r="A1346" s="2" t="s">
        <v>3375</v>
      </c>
      <c r="B1346" s="2" t="s">
        <v>5047</v>
      </c>
      <c r="C1346" s="2" t="s">
        <v>5028</v>
      </c>
      <c r="D1346" s="2">
        <v>104322000</v>
      </c>
      <c r="E1346" s="2" t="s">
        <v>4945</v>
      </c>
      <c r="F1346" s="2" t="s">
        <v>2242</v>
      </c>
      <c r="G1346" s="2" t="s">
        <v>3634</v>
      </c>
      <c r="H1346" s="2">
        <v>28705</v>
      </c>
    </row>
    <row r="1347" spans="1:8">
      <c r="A1347" s="2" t="s">
        <v>3397</v>
      </c>
      <c r="B1347" s="2" t="s">
        <v>5048</v>
      </c>
      <c r="C1347" s="2" t="s">
        <v>5028</v>
      </c>
      <c r="D1347" s="2">
        <v>104323000</v>
      </c>
      <c r="E1347" s="2" t="s">
        <v>4945</v>
      </c>
      <c r="F1347" s="2" t="s">
        <v>2242</v>
      </c>
      <c r="G1347" s="2" t="s">
        <v>3626</v>
      </c>
      <c r="H1347" s="2">
        <v>9226</v>
      </c>
    </row>
    <row r="1348" spans="1:8">
      <c r="A1348" s="2" t="s">
        <v>3328</v>
      </c>
      <c r="B1348" s="2" t="s">
        <v>5049</v>
      </c>
      <c r="C1348" s="2" t="s">
        <v>5026</v>
      </c>
      <c r="D1348" s="2">
        <v>104324000</v>
      </c>
      <c r="E1348" s="2" t="s">
        <v>4945</v>
      </c>
      <c r="F1348" s="2" t="s">
        <v>2242</v>
      </c>
      <c r="G1348" s="2" t="s">
        <v>3574</v>
      </c>
      <c r="H1348" s="2">
        <v>73150</v>
      </c>
    </row>
    <row r="1349" spans="1:8">
      <c r="A1349" s="2" t="s">
        <v>3425</v>
      </c>
      <c r="B1349" s="2" t="s">
        <v>5050</v>
      </c>
      <c r="C1349" s="2" t="s">
        <v>5028</v>
      </c>
      <c r="D1349" s="2">
        <v>104325000</v>
      </c>
      <c r="E1349" s="2" t="s">
        <v>4945</v>
      </c>
      <c r="F1349" s="2" t="s">
        <v>2242</v>
      </c>
      <c r="G1349" s="2" t="s">
        <v>3634</v>
      </c>
      <c r="H1349" s="2">
        <v>24505</v>
      </c>
    </row>
    <row r="1350" spans="1:8">
      <c r="A1350" s="2" t="s">
        <v>3437</v>
      </c>
      <c r="B1350" s="2" t="s">
        <v>5051</v>
      </c>
      <c r="C1350" s="2" t="s">
        <v>5026</v>
      </c>
      <c r="D1350" s="2">
        <v>104326000</v>
      </c>
      <c r="E1350" s="2" t="s">
        <v>4945</v>
      </c>
      <c r="F1350" s="2" t="s">
        <v>2242</v>
      </c>
      <c r="G1350" s="2" t="s">
        <v>3600</v>
      </c>
      <c r="H1350" s="2">
        <v>39378</v>
      </c>
    </row>
    <row r="1351" spans="2:5">
      <c r="B1351" s="2" t="s">
        <v>20</v>
      </c>
      <c r="E1351" s="2" t="s">
        <v>5052</v>
      </c>
    </row>
    <row r="1352" spans="1:8">
      <c r="A1352" s="2" t="s">
        <v>2403</v>
      </c>
      <c r="B1352" s="2" t="s">
        <v>5053</v>
      </c>
      <c r="C1352" s="2" t="s">
        <v>5054</v>
      </c>
      <c r="D1352" s="2">
        <v>118201000</v>
      </c>
      <c r="E1352" s="2" t="s">
        <v>5052</v>
      </c>
      <c r="F1352" s="2" t="s">
        <v>2232</v>
      </c>
      <c r="G1352" s="2" t="s">
        <v>3574</v>
      </c>
      <c r="H1352" s="2">
        <v>87474</v>
      </c>
    </row>
    <row r="1353" spans="1:8">
      <c r="A1353" s="2" t="s">
        <v>2473</v>
      </c>
      <c r="B1353" s="2" t="s">
        <v>5055</v>
      </c>
      <c r="C1353" s="2" t="s">
        <v>5056</v>
      </c>
      <c r="D1353" s="2">
        <v>118202000</v>
      </c>
      <c r="E1353" s="2" t="s">
        <v>5052</v>
      </c>
      <c r="F1353" s="2" t="s">
        <v>2232</v>
      </c>
      <c r="G1353" s="2" t="s">
        <v>3574</v>
      </c>
      <c r="H1353" s="2">
        <v>73874</v>
      </c>
    </row>
    <row r="1354" spans="1:8">
      <c r="A1354" s="2" t="s">
        <v>2544</v>
      </c>
      <c r="B1354" s="2" t="s">
        <v>5057</v>
      </c>
      <c r="C1354" s="2" t="s">
        <v>5056</v>
      </c>
      <c r="D1354" s="2">
        <v>118203000</v>
      </c>
      <c r="E1354" s="2" t="s">
        <v>5052</v>
      </c>
      <c r="F1354" s="2" t="s">
        <v>2232</v>
      </c>
      <c r="G1354" s="2" t="s">
        <v>3600</v>
      </c>
      <c r="H1354" s="2">
        <v>41102</v>
      </c>
    </row>
    <row r="1355" spans="1:8">
      <c r="A1355" s="2" t="s">
        <v>2614</v>
      </c>
      <c r="B1355" s="2" t="s">
        <v>5058</v>
      </c>
      <c r="C1355" s="2" t="s">
        <v>5056</v>
      </c>
      <c r="D1355" s="2">
        <v>118204000</v>
      </c>
      <c r="E1355" s="2" t="s">
        <v>5052</v>
      </c>
      <c r="F1355" s="2" t="s">
        <v>2232</v>
      </c>
      <c r="G1355" s="2" t="s">
        <v>3574</v>
      </c>
      <c r="H1355" s="2">
        <v>81277</v>
      </c>
    </row>
    <row r="1356" spans="1:8">
      <c r="A1356" s="2" t="s">
        <v>2677</v>
      </c>
      <c r="B1356" s="2" t="s">
        <v>5059</v>
      </c>
      <c r="C1356" s="2" t="s">
        <v>5054</v>
      </c>
      <c r="D1356" s="2">
        <v>118205000</v>
      </c>
      <c r="E1356" s="2" t="s">
        <v>5052</v>
      </c>
      <c r="F1356" s="2" t="s">
        <v>2232</v>
      </c>
      <c r="G1356" s="2" t="s">
        <v>3574</v>
      </c>
      <c r="H1356" s="2">
        <v>60842</v>
      </c>
    </row>
    <row r="1357" spans="1:8">
      <c r="A1357" s="2" t="s">
        <v>2742</v>
      </c>
      <c r="B1357" s="2" t="s">
        <v>5060</v>
      </c>
      <c r="C1357" s="2" t="s">
        <v>5056</v>
      </c>
      <c r="D1357" s="2">
        <v>118206000</v>
      </c>
      <c r="E1357" s="2" t="s">
        <v>5052</v>
      </c>
      <c r="F1357" s="2" t="s">
        <v>2232</v>
      </c>
      <c r="G1357" s="2" t="s">
        <v>3629</v>
      </c>
      <c r="H1357" s="2">
        <v>37065</v>
      </c>
    </row>
    <row r="1358" spans="1:8">
      <c r="A1358" s="2" t="s">
        <v>2801</v>
      </c>
      <c r="B1358" s="2" t="s">
        <v>5061</v>
      </c>
      <c r="C1358" s="2" t="s">
        <v>5054</v>
      </c>
      <c r="D1358" s="2">
        <v>118207000</v>
      </c>
      <c r="E1358" s="2" t="s">
        <v>5052</v>
      </c>
      <c r="F1358" s="2" t="s">
        <v>2232</v>
      </c>
      <c r="G1358" s="2" t="s">
        <v>3574</v>
      </c>
      <c r="H1358" s="2">
        <v>94908</v>
      </c>
    </row>
    <row r="1359" spans="1:8">
      <c r="A1359" s="2" t="s">
        <v>2858</v>
      </c>
      <c r="B1359" s="2" t="s">
        <v>5062</v>
      </c>
      <c r="C1359" s="2" t="s">
        <v>5054</v>
      </c>
      <c r="D1359" s="2">
        <v>118208000</v>
      </c>
      <c r="E1359" s="2" t="s">
        <v>5052</v>
      </c>
      <c r="F1359" s="2" t="s">
        <v>2232</v>
      </c>
      <c r="G1359" s="2" t="s">
        <v>3629</v>
      </c>
      <c r="H1359" s="2">
        <v>43706</v>
      </c>
    </row>
    <row r="1360" spans="1:8">
      <c r="A1360" s="2" t="s">
        <v>2912</v>
      </c>
      <c r="B1360" s="2" t="s">
        <v>5063</v>
      </c>
      <c r="C1360" s="2" t="s">
        <v>5056</v>
      </c>
      <c r="D1360" s="2">
        <v>118209000</v>
      </c>
      <c r="E1360" s="2" t="s">
        <v>5052</v>
      </c>
      <c r="F1360" s="2" t="s">
        <v>2232</v>
      </c>
      <c r="G1360" s="2" t="s">
        <v>3574</v>
      </c>
      <c r="H1360" s="2">
        <v>82234</v>
      </c>
    </row>
    <row r="1361" spans="1:8">
      <c r="A1361" s="2" t="s">
        <v>2966</v>
      </c>
      <c r="B1361" s="2" t="s">
        <v>5064</v>
      </c>
      <c r="C1361" s="2" t="s">
        <v>5054</v>
      </c>
      <c r="D1361" s="2">
        <v>118210000</v>
      </c>
      <c r="E1361" s="2" t="s">
        <v>5052</v>
      </c>
      <c r="F1361" s="2" t="s">
        <v>2232</v>
      </c>
      <c r="G1361" s="2" t="s">
        <v>3574</v>
      </c>
      <c r="H1361" s="2">
        <v>47726</v>
      </c>
    </row>
    <row r="1362" spans="1:8">
      <c r="A1362" s="2" t="s">
        <v>3015</v>
      </c>
      <c r="B1362" s="2" t="s">
        <v>5065</v>
      </c>
      <c r="C1362" s="2" t="s">
        <v>5056</v>
      </c>
      <c r="D1362" s="2">
        <v>118211000</v>
      </c>
      <c r="E1362" s="2" t="s">
        <v>5052</v>
      </c>
      <c r="F1362" s="2" t="s">
        <v>2232</v>
      </c>
      <c r="G1362" s="2" t="s">
        <v>3574</v>
      </c>
      <c r="H1362" s="2">
        <v>85899</v>
      </c>
    </row>
    <row r="1363" spans="2:5">
      <c r="B1363" s="2" t="s">
        <v>20</v>
      </c>
      <c r="E1363" s="2" t="s">
        <v>5052</v>
      </c>
    </row>
    <row r="1364" spans="1:8">
      <c r="A1364" s="2" t="s">
        <v>2404</v>
      </c>
      <c r="B1364" s="2" t="s">
        <v>5066</v>
      </c>
      <c r="C1364" s="2" t="s">
        <v>5067</v>
      </c>
      <c r="D1364" s="2">
        <v>112402000</v>
      </c>
      <c r="E1364" s="2" t="s">
        <v>5052</v>
      </c>
      <c r="F1364" s="2" t="s">
        <v>2243</v>
      </c>
      <c r="G1364" s="2" t="s">
        <v>3574</v>
      </c>
      <c r="H1364" s="2">
        <v>1632991</v>
      </c>
    </row>
    <row r="1365" spans="2:5">
      <c r="B1365" s="2" t="s">
        <v>20</v>
      </c>
      <c r="E1365" s="2" t="s">
        <v>5052</v>
      </c>
    </row>
    <row r="1366" spans="1:8">
      <c r="A1366" s="2" t="s">
        <v>2400</v>
      </c>
      <c r="B1366" s="2" t="s">
        <v>5068</v>
      </c>
      <c r="C1366" s="2" t="s">
        <v>5069</v>
      </c>
      <c r="D1366" s="2">
        <v>112315000</v>
      </c>
      <c r="E1366" s="2" t="s">
        <v>5052</v>
      </c>
      <c r="F1366" s="2" t="s">
        <v>2190</v>
      </c>
      <c r="G1366" s="2" t="s">
        <v>3629</v>
      </c>
      <c r="H1366" s="2">
        <v>184599</v>
      </c>
    </row>
    <row r="1367" spans="1:8">
      <c r="A1367" s="2" t="s">
        <v>2470</v>
      </c>
      <c r="B1367" s="2" t="s">
        <v>5070</v>
      </c>
      <c r="C1367" s="2" t="s">
        <v>5069</v>
      </c>
      <c r="D1367" s="2">
        <v>112317000</v>
      </c>
      <c r="E1367" s="2" t="s">
        <v>5052</v>
      </c>
      <c r="F1367" s="2" t="s">
        <v>2190</v>
      </c>
      <c r="G1367" s="2" t="s">
        <v>3634</v>
      </c>
      <c r="H1367" s="2">
        <v>104123</v>
      </c>
    </row>
    <row r="1368" spans="1:8">
      <c r="A1368" s="2" t="s">
        <v>2541</v>
      </c>
      <c r="B1368" s="2" t="s">
        <v>5071</v>
      </c>
      <c r="C1368" s="2" t="s">
        <v>5072</v>
      </c>
      <c r="D1368" s="2">
        <v>112319000</v>
      </c>
      <c r="E1368" s="2" t="s">
        <v>5052</v>
      </c>
      <c r="F1368" s="2" t="s">
        <v>2190</v>
      </c>
      <c r="G1368" s="2" t="s">
        <v>3574</v>
      </c>
      <c r="H1368" s="2">
        <v>259444</v>
      </c>
    </row>
    <row r="1369" spans="1:8">
      <c r="A1369" s="2" t="s">
        <v>2611</v>
      </c>
      <c r="B1369" s="2" t="s">
        <v>5073</v>
      </c>
      <c r="C1369" s="2" t="s">
        <v>5072</v>
      </c>
      <c r="D1369" s="2">
        <v>112301000</v>
      </c>
      <c r="E1369" s="2" t="s">
        <v>5052</v>
      </c>
      <c r="F1369" s="2" t="s">
        <v>2190</v>
      </c>
      <c r="G1369" s="2" t="s">
        <v>3574</v>
      </c>
      <c r="H1369" s="2">
        <v>59322</v>
      </c>
    </row>
    <row r="1370" spans="1:8">
      <c r="A1370" s="2" t="s">
        <v>2546</v>
      </c>
      <c r="B1370" s="2" t="s">
        <v>5074</v>
      </c>
      <c r="C1370" s="2" t="s">
        <v>5069</v>
      </c>
      <c r="D1370" s="2">
        <v>112303000</v>
      </c>
      <c r="E1370" s="2" t="s">
        <v>5052</v>
      </c>
      <c r="F1370" s="2" t="s">
        <v>2190</v>
      </c>
      <c r="G1370" s="2" t="s">
        <v>3574</v>
      </c>
      <c r="H1370" s="2">
        <v>74679</v>
      </c>
    </row>
    <row r="1371" spans="1:8">
      <c r="A1371" s="2" t="s">
        <v>2739</v>
      </c>
      <c r="B1371" s="2" t="s">
        <v>5075</v>
      </c>
      <c r="C1371" s="2" t="s">
        <v>5072</v>
      </c>
      <c r="D1371" s="2">
        <v>112305000</v>
      </c>
      <c r="E1371" s="2" t="s">
        <v>5052</v>
      </c>
      <c r="F1371" s="2" t="s">
        <v>2190</v>
      </c>
      <c r="G1371" s="2" t="s">
        <v>3574</v>
      </c>
      <c r="H1371" s="2">
        <v>76334</v>
      </c>
    </row>
    <row r="1372" spans="1:8">
      <c r="A1372" s="2" t="s">
        <v>2798</v>
      </c>
      <c r="B1372" s="2" t="s">
        <v>5076</v>
      </c>
      <c r="C1372" s="2" t="s">
        <v>5072</v>
      </c>
      <c r="D1372" s="2">
        <v>112314000</v>
      </c>
      <c r="E1372" s="2" t="s">
        <v>5052</v>
      </c>
      <c r="F1372" s="2" t="s">
        <v>2190</v>
      </c>
      <c r="G1372" s="2" t="s">
        <v>3600</v>
      </c>
      <c r="H1372" s="2">
        <v>54844</v>
      </c>
    </row>
    <row r="1373" spans="1:8">
      <c r="A1373" s="2" t="s">
        <v>621</v>
      </c>
      <c r="B1373" s="2" t="s">
        <v>5077</v>
      </c>
      <c r="C1373" s="2" t="s">
        <v>5069</v>
      </c>
      <c r="D1373" s="2">
        <v>112318000</v>
      </c>
      <c r="E1373" s="2" t="s">
        <v>5052</v>
      </c>
      <c r="F1373" s="2" t="s">
        <v>2190</v>
      </c>
      <c r="G1373" s="2" t="s">
        <v>3574</v>
      </c>
      <c r="H1373" s="2">
        <v>118750</v>
      </c>
    </row>
    <row r="1374" spans="1:8">
      <c r="A1374" s="2" t="s">
        <v>2910</v>
      </c>
      <c r="B1374" s="2" t="s">
        <v>5078</v>
      </c>
      <c r="C1374" s="2" t="s">
        <v>5072</v>
      </c>
      <c r="D1374" s="2">
        <v>112322000</v>
      </c>
      <c r="E1374" s="2" t="s">
        <v>5052</v>
      </c>
      <c r="F1374" s="2" t="s">
        <v>2190</v>
      </c>
      <c r="G1374" s="2" t="s">
        <v>3600</v>
      </c>
      <c r="H1374" s="2">
        <v>27482</v>
      </c>
    </row>
    <row r="1375" spans="1:8">
      <c r="A1375" s="2" t="s">
        <v>2964</v>
      </c>
      <c r="B1375" s="2" t="s">
        <v>5079</v>
      </c>
      <c r="C1375" s="2" t="s">
        <v>5069</v>
      </c>
      <c r="D1375" s="2">
        <v>112323000</v>
      </c>
      <c r="E1375" s="2" t="s">
        <v>5052</v>
      </c>
      <c r="F1375" s="2" t="s">
        <v>2190</v>
      </c>
      <c r="G1375" s="2" t="s">
        <v>3634</v>
      </c>
      <c r="H1375" s="2">
        <v>30104</v>
      </c>
    </row>
    <row r="1376" spans="1:8">
      <c r="A1376" s="2" t="s">
        <v>686</v>
      </c>
      <c r="B1376" s="2" t="s">
        <v>5080</v>
      </c>
      <c r="C1376" s="2" t="s">
        <v>5072</v>
      </c>
      <c r="D1376" s="2">
        <v>112324000</v>
      </c>
      <c r="E1376" s="2" t="s">
        <v>5052</v>
      </c>
      <c r="F1376" s="2" t="s">
        <v>2190</v>
      </c>
      <c r="G1376" s="2" t="s">
        <v>3626</v>
      </c>
      <c r="H1376" s="2">
        <v>26651</v>
      </c>
    </row>
    <row r="1377" spans="2:5">
      <c r="B1377" s="2" t="s">
        <v>20</v>
      </c>
      <c r="E1377" s="2" t="s">
        <v>5052</v>
      </c>
    </row>
    <row r="1378" spans="1:8">
      <c r="A1378" s="2" t="s">
        <v>2404</v>
      </c>
      <c r="B1378" s="2" t="s">
        <v>5081</v>
      </c>
      <c r="C1378" s="2" t="s">
        <v>5082</v>
      </c>
      <c r="D1378" s="2">
        <v>112402000</v>
      </c>
      <c r="E1378" s="2" t="s">
        <v>5052</v>
      </c>
      <c r="F1378" s="2" t="s">
        <v>2204</v>
      </c>
      <c r="G1378" s="2" t="s">
        <v>3574</v>
      </c>
      <c r="H1378" s="2">
        <v>1632991</v>
      </c>
    </row>
    <row r="1379" spans="1:8">
      <c r="A1379" s="2" t="s">
        <v>2401</v>
      </c>
      <c r="B1379" s="2" t="s">
        <v>5083</v>
      </c>
      <c r="C1379" s="2" t="s">
        <v>5082</v>
      </c>
      <c r="D1379" s="2">
        <v>112403000</v>
      </c>
      <c r="E1379" s="2" t="s">
        <v>5052</v>
      </c>
      <c r="F1379" s="2" t="s">
        <v>2204</v>
      </c>
      <c r="G1379" s="2" t="s">
        <v>3600</v>
      </c>
      <c r="H1379" s="2">
        <v>169393</v>
      </c>
    </row>
    <row r="1380" spans="1:8">
      <c r="A1380" s="2" t="s">
        <v>2471</v>
      </c>
      <c r="B1380" s="2" t="s">
        <v>5084</v>
      </c>
      <c r="C1380" s="2" t="s">
        <v>5082</v>
      </c>
      <c r="D1380" s="2">
        <v>112401000</v>
      </c>
      <c r="E1380" s="2" t="s">
        <v>5052</v>
      </c>
      <c r="F1380" s="2" t="s">
        <v>2204</v>
      </c>
      <c r="G1380" s="2" t="s">
        <v>3574</v>
      </c>
      <c r="H1380" s="2">
        <v>60440</v>
      </c>
    </row>
    <row r="1381" spans="1:8">
      <c r="A1381" s="2" t="s">
        <v>2542</v>
      </c>
      <c r="B1381" s="2" t="s">
        <v>5085</v>
      </c>
      <c r="C1381" s="2" t="s">
        <v>5082</v>
      </c>
      <c r="D1381" s="2">
        <v>112404000</v>
      </c>
      <c r="E1381" s="2" t="s">
        <v>5052</v>
      </c>
      <c r="F1381" s="2" t="s">
        <v>2204</v>
      </c>
      <c r="G1381" s="2" t="s">
        <v>3600</v>
      </c>
      <c r="H1381" s="2">
        <v>53309</v>
      </c>
    </row>
    <row r="1382" spans="1:8">
      <c r="A1382" s="2" t="s">
        <v>2612</v>
      </c>
      <c r="B1382" s="2" t="s">
        <v>5086</v>
      </c>
      <c r="C1382" s="2" t="s">
        <v>5082</v>
      </c>
      <c r="D1382" s="2">
        <v>112406000</v>
      </c>
      <c r="E1382" s="2" t="s">
        <v>5052</v>
      </c>
      <c r="F1382" s="2" t="s">
        <v>2204</v>
      </c>
      <c r="G1382" s="2" t="s">
        <v>3600</v>
      </c>
      <c r="H1382" s="2">
        <v>48897</v>
      </c>
    </row>
    <row r="1383" spans="1:8">
      <c r="A1383" s="2" t="s">
        <v>2644</v>
      </c>
      <c r="B1383" s="2" t="s">
        <v>5087</v>
      </c>
      <c r="C1383" s="2" t="s">
        <v>5082</v>
      </c>
      <c r="D1383" s="2">
        <v>112407000</v>
      </c>
      <c r="E1383" s="2" t="s">
        <v>5052</v>
      </c>
      <c r="F1383" s="2" t="s">
        <v>2204</v>
      </c>
      <c r="G1383" s="2" t="s">
        <v>3629</v>
      </c>
      <c r="H1383" s="2">
        <v>53876</v>
      </c>
    </row>
    <row r="1384" spans="1:8">
      <c r="A1384" s="2" t="s">
        <v>2740</v>
      </c>
      <c r="B1384" s="2" t="s">
        <v>5088</v>
      </c>
      <c r="C1384" s="2" t="s">
        <v>5082</v>
      </c>
      <c r="D1384" s="2">
        <v>112408000</v>
      </c>
      <c r="E1384" s="2" t="s">
        <v>5052</v>
      </c>
      <c r="F1384" s="2" t="s">
        <v>2204</v>
      </c>
      <c r="G1384" s="2" t="s">
        <v>3600</v>
      </c>
      <c r="H1384" s="2">
        <v>38731</v>
      </c>
    </row>
    <row r="1385" spans="1:8">
      <c r="A1385" s="2" t="s">
        <v>2799</v>
      </c>
      <c r="B1385" s="2" t="s">
        <v>5089</v>
      </c>
      <c r="C1385" s="2" t="s">
        <v>5082</v>
      </c>
      <c r="D1385" s="2">
        <v>112410000</v>
      </c>
      <c r="E1385" s="2" t="s">
        <v>5052</v>
      </c>
      <c r="F1385" s="2" t="s">
        <v>2204</v>
      </c>
      <c r="G1385" s="2" t="s">
        <v>3600</v>
      </c>
      <c r="H1385" s="2">
        <v>56755</v>
      </c>
    </row>
    <row r="1386" spans="1:8">
      <c r="A1386" s="2" t="s">
        <v>2856</v>
      </c>
      <c r="B1386" s="2" t="s">
        <v>5090</v>
      </c>
      <c r="C1386" s="2" t="s">
        <v>5082</v>
      </c>
      <c r="D1386" s="2">
        <v>112411000</v>
      </c>
      <c r="E1386" s="2" t="s">
        <v>5052</v>
      </c>
      <c r="F1386" s="2" t="s">
        <v>2204</v>
      </c>
      <c r="G1386" s="2" t="s">
        <v>3629</v>
      </c>
      <c r="H1386" s="2">
        <v>26587</v>
      </c>
    </row>
    <row r="1387" spans="1:8">
      <c r="A1387" s="2" t="s">
        <v>2643</v>
      </c>
      <c r="B1387" s="2" t="s">
        <v>5091</v>
      </c>
      <c r="C1387" s="2" t="s">
        <v>5082</v>
      </c>
      <c r="D1387" s="2">
        <v>112412000</v>
      </c>
      <c r="E1387" s="2" t="s">
        <v>5052</v>
      </c>
      <c r="F1387" s="2" t="s">
        <v>2204</v>
      </c>
      <c r="G1387" s="2" t="s">
        <v>3574</v>
      </c>
      <c r="H1387" s="2">
        <v>90987</v>
      </c>
    </row>
    <row r="1388" spans="1:8">
      <c r="A1388" s="2" t="s">
        <v>2965</v>
      </c>
      <c r="B1388" s="2" t="s">
        <v>5092</v>
      </c>
      <c r="C1388" s="2" t="s">
        <v>5082</v>
      </c>
      <c r="D1388" s="2">
        <v>112414000</v>
      </c>
      <c r="E1388" s="2" t="s">
        <v>5052</v>
      </c>
      <c r="F1388" s="2" t="s">
        <v>2204</v>
      </c>
      <c r="G1388" s="2" t="s">
        <v>3629</v>
      </c>
      <c r="H1388" s="2">
        <v>33613</v>
      </c>
    </row>
    <row r="1389" spans="2:5">
      <c r="B1389" s="2" t="s">
        <v>20</v>
      </c>
      <c r="E1389" s="2" t="s">
        <v>5052</v>
      </c>
    </row>
    <row r="1390" spans="1:8">
      <c r="A1390" s="2" t="s">
        <v>2405</v>
      </c>
      <c r="B1390" s="2" t="s">
        <v>5093</v>
      </c>
      <c r="C1390" s="2" t="s">
        <v>5094</v>
      </c>
      <c r="D1390" s="2">
        <v>118601000</v>
      </c>
      <c r="E1390" s="2" t="s">
        <v>5052</v>
      </c>
      <c r="F1390" s="2" t="s">
        <v>2250</v>
      </c>
      <c r="G1390" s="2" t="s">
        <v>3629</v>
      </c>
      <c r="H1390" s="2">
        <v>44554</v>
      </c>
    </row>
    <row r="1391" spans="1:8">
      <c r="A1391" s="2" t="s">
        <v>2474</v>
      </c>
      <c r="B1391" s="2" t="s">
        <v>5095</v>
      </c>
      <c r="C1391" s="2" t="s">
        <v>5094</v>
      </c>
      <c r="D1391" s="2">
        <v>118602000</v>
      </c>
      <c r="E1391" s="2" t="s">
        <v>5052</v>
      </c>
      <c r="F1391" s="2" t="s">
        <v>2250</v>
      </c>
      <c r="G1391" s="2" t="s">
        <v>3574</v>
      </c>
      <c r="H1391" s="2">
        <v>76332</v>
      </c>
    </row>
    <row r="1392" spans="1:8">
      <c r="A1392" s="2" t="s">
        <v>2545</v>
      </c>
      <c r="B1392" s="2" t="s">
        <v>5096</v>
      </c>
      <c r="C1392" s="2" t="s">
        <v>5094</v>
      </c>
      <c r="D1392" s="2">
        <v>118603000</v>
      </c>
      <c r="E1392" s="2" t="s">
        <v>5052</v>
      </c>
      <c r="F1392" s="2" t="s">
        <v>2250</v>
      </c>
      <c r="G1392" s="2" t="s">
        <v>3574</v>
      </c>
      <c r="H1392" s="2">
        <v>117746</v>
      </c>
    </row>
    <row r="1393" spans="1:8">
      <c r="A1393" s="2" t="s">
        <v>624</v>
      </c>
      <c r="B1393" s="2" t="s">
        <v>5097</v>
      </c>
      <c r="C1393" s="2" t="s">
        <v>5094</v>
      </c>
      <c r="D1393" s="2">
        <v>118604000</v>
      </c>
      <c r="E1393" s="2" t="s">
        <v>5052</v>
      </c>
      <c r="F1393" s="2" t="s">
        <v>2250</v>
      </c>
      <c r="G1393" s="2" t="s">
        <v>3600</v>
      </c>
      <c r="H1393" s="2">
        <v>53671</v>
      </c>
    </row>
    <row r="1394" spans="1:8">
      <c r="A1394" s="2" t="s">
        <v>2329</v>
      </c>
      <c r="B1394" s="2" t="s">
        <v>5098</v>
      </c>
      <c r="C1394" s="2" t="s">
        <v>5094</v>
      </c>
      <c r="D1394" s="2">
        <v>118605000</v>
      </c>
      <c r="E1394" s="2" t="s">
        <v>5052</v>
      </c>
      <c r="F1394" s="2" t="s">
        <v>2250</v>
      </c>
      <c r="G1394" s="2" t="s">
        <v>3634</v>
      </c>
      <c r="H1394" s="2">
        <v>24039</v>
      </c>
    </row>
    <row r="1395" spans="2:5">
      <c r="B1395" s="2" t="s">
        <v>20</v>
      </c>
      <c r="E1395" s="2" t="s">
        <v>5052</v>
      </c>
    </row>
    <row r="1396" spans="1:8">
      <c r="A1396" s="2" t="s">
        <v>2402</v>
      </c>
      <c r="B1396" s="2" t="s">
        <v>5099</v>
      </c>
      <c r="C1396" s="2" t="s">
        <v>5100</v>
      </c>
      <c r="D1396" s="2">
        <v>112509000</v>
      </c>
      <c r="E1396" s="2" t="s">
        <v>5052</v>
      </c>
      <c r="F1396" s="2" t="s">
        <v>2218</v>
      </c>
      <c r="G1396" s="2" t="s">
        <v>3626</v>
      </c>
      <c r="H1396" s="2">
        <v>141141</v>
      </c>
    </row>
    <row r="1397" spans="1:8">
      <c r="A1397" s="2" t="s">
        <v>2472</v>
      </c>
      <c r="B1397" s="2" t="s">
        <v>5101</v>
      </c>
      <c r="C1397" s="2" t="s">
        <v>5102</v>
      </c>
      <c r="D1397" s="2">
        <v>112501000</v>
      </c>
      <c r="E1397" s="2" t="s">
        <v>5052</v>
      </c>
      <c r="F1397" s="2" t="s">
        <v>2218</v>
      </c>
      <c r="G1397" s="2" t="s">
        <v>3574</v>
      </c>
      <c r="H1397" s="2">
        <v>56241</v>
      </c>
    </row>
    <row r="1398" spans="1:8">
      <c r="A1398" s="2" t="s">
        <v>2543</v>
      </c>
      <c r="B1398" s="2" t="s">
        <v>5103</v>
      </c>
      <c r="C1398" s="2" t="s">
        <v>5100</v>
      </c>
      <c r="D1398" s="2">
        <v>112502000</v>
      </c>
      <c r="E1398" s="2" t="s">
        <v>5052</v>
      </c>
      <c r="F1398" s="2" t="s">
        <v>2218</v>
      </c>
      <c r="G1398" s="2" t="s">
        <v>3600</v>
      </c>
      <c r="H1398" s="2">
        <v>41117</v>
      </c>
    </row>
    <row r="1399" spans="1:8">
      <c r="A1399" s="2" t="s">
        <v>2613</v>
      </c>
      <c r="B1399" s="2" t="s">
        <v>5104</v>
      </c>
      <c r="C1399" s="2" t="s">
        <v>5102</v>
      </c>
      <c r="D1399" s="2">
        <v>112503000</v>
      </c>
      <c r="E1399" s="2" t="s">
        <v>5052</v>
      </c>
      <c r="F1399" s="2" t="s">
        <v>2218</v>
      </c>
      <c r="G1399" s="2" t="s">
        <v>3629</v>
      </c>
      <c r="H1399" s="2">
        <v>13535</v>
      </c>
    </row>
    <row r="1400" spans="1:8">
      <c r="A1400" s="2" t="s">
        <v>2676</v>
      </c>
      <c r="B1400" s="2" t="s">
        <v>5105</v>
      </c>
      <c r="C1400" s="2" t="s">
        <v>5102</v>
      </c>
      <c r="D1400" s="2">
        <v>112504000</v>
      </c>
      <c r="E1400" s="2" t="s">
        <v>5052</v>
      </c>
      <c r="F1400" s="2" t="s">
        <v>2218</v>
      </c>
      <c r="G1400" s="2" t="s">
        <v>3574</v>
      </c>
      <c r="H1400" s="2">
        <v>40379</v>
      </c>
    </row>
    <row r="1401" spans="1:8">
      <c r="A1401" s="2" t="s">
        <v>2741</v>
      </c>
      <c r="B1401" s="2" t="s">
        <v>5106</v>
      </c>
      <c r="C1401" s="2" t="s">
        <v>5102</v>
      </c>
      <c r="D1401" s="2">
        <v>112505000</v>
      </c>
      <c r="E1401" s="2" t="s">
        <v>5052</v>
      </c>
      <c r="F1401" s="2" t="s">
        <v>2218</v>
      </c>
      <c r="G1401" s="2" t="s">
        <v>3600</v>
      </c>
      <c r="H1401" s="2">
        <v>40704</v>
      </c>
    </row>
    <row r="1402" spans="1:8">
      <c r="A1402" s="2" t="s">
        <v>2800</v>
      </c>
      <c r="B1402" s="2" t="s">
        <v>5107</v>
      </c>
      <c r="C1402" s="2" t="s">
        <v>5100</v>
      </c>
      <c r="D1402" s="2">
        <v>112506000</v>
      </c>
      <c r="E1402" s="2" t="s">
        <v>5052</v>
      </c>
      <c r="F1402" s="2" t="s">
        <v>2218</v>
      </c>
      <c r="G1402" s="2" t="s">
        <v>3600</v>
      </c>
      <c r="H1402" s="2">
        <v>55109</v>
      </c>
    </row>
    <row r="1403" spans="1:8">
      <c r="A1403" s="2" t="s">
        <v>2857</v>
      </c>
      <c r="B1403" s="2" t="s">
        <v>5108</v>
      </c>
      <c r="C1403" s="2" t="s">
        <v>5100</v>
      </c>
      <c r="D1403" s="2">
        <v>112507000</v>
      </c>
      <c r="E1403" s="2" t="s">
        <v>5052</v>
      </c>
      <c r="F1403" s="2" t="s">
        <v>2218</v>
      </c>
      <c r="G1403" s="2" t="s">
        <v>3574</v>
      </c>
      <c r="H1403" s="2">
        <v>65785</v>
      </c>
    </row>
    <row r="1404" spans="1:8">
      <c r="A1404" s="2" t="s">
        <v>2911</v>
      </c>
      <c r="B1404" s="2" t="s">
        <v>5109</v>
      </c>
      <c r="C1404" s="2" t="s">
        <v>5102</v>
      </c>
      <c r="D1404" s="2">
        <v>112508000</v>
      </c>
      <c r="E1404" s="2" t="s">
        <v>5052</v>
      </c>
      <c r="F1404" s="2" t="s">
        <v>2218</v>
      </c>
      <c r="G1404" s="2" t="s">
        <v>3600</v>
      </c>
      <c r="H1404" s="2">
        <v>42690</v>
      </c>
    </row>
    <row r="1405" spans="1:8">
      <c r="A1405" s="2" t="s">
        <v>686</v>
      </c>
      <c r="B1405" s="2" t="s">
        <v>5110</v>
      </c>
      <c r="C1405" s="2" t="s">
        <v>5100</v>
      </c>
      <c r="D1405" s="2">
        <v>112510000</v>
      </c>
      <c r="E1405" s="2" t="s">
        <v>5052</v>
      </c>
      <c r="F1405" s="2" t="s">
        <v>2218</v>
      </c>
      <c r="G1405" s="2" t="s">
        <v>3629</v>
      </c>
      <c r="H1405" s="2">
        <v>36032</v>
      </c>
    </row>
    <row r="1406" spans="1:8">
      <c r="A1406" s="2" t="s">
        <v>3014</v>
      </c>
      <c r="B1406" s="2" t="s">
        <v>5111</v>
      </c>
      <c r="C1406" s="2" t="s">
        <v>5102</v>
      </c>
      <c r="D1406" s="2">
        <v>112511000</v>
      </c>
      <c r="E1406" s="2" t="s">
        <v>5052</v>
      </c>
      <c r="F1406" s="2" t="s">
        <v>2218</v>
      </c>
      <c r="G1406" s="2" t="s">
        <v>3629</v>
      </c>
      <c r="H1406" s="2">
        <v>26225</v>
      </c>
    </row>
    <row r="1407" spans="2:5">
      <c r="B1407" s="2" t="s">
        <v>20</v>
      </c>
      <c r="E1407" s="2" t="s">
        <v>5112</v>
      </c>
    </row>
    <row r="1408" spans="1:6">
      <c r="A1408" s="2" t="s">
        <v>2406</v>
      </c>
      <c r="B1408" s="2" t="s">
        <v>5113</v>
      </c>
      <c r="C1408" s="2" t="s">
        <v>5114</v>
      </c>
      <c r="E1408" s="2" t="s">
        <v>5112</v>
      </c>
      <c r="F1408" s="2" t="s">
        <v>2191</v>
      </c>
    </row>
    <row r="1409" spans="1:8">
      <c r="A1409" s="2" t="s">
        <v>2475</v>
      </c>
      <c r="B1409" s="2" t="s">
        <v>5115</v>
      </c>
      <c r="C1409" s="2" t="s">
        <v>5116</v>
      </c>
      <c r="D1409" s="2">
        <v>124701000</v>
      </c>
      <c r="E1409" s="2" t="s">
        <v>5112</v>
      </c>
      <c r="F1409" s="2" t="s">
        <v>2191</v>
      </c>
      <c r="G1409" s="2" t="s">
        <v>3574</v>
      </c>
      <c r="H1409" s="2">
        <v>64596</v>
      </c>
    </row>
    <row r="1410" spans="1:8">
      <c r="A1410" s="2" t="s">
        <v>2546</v>
      </c>
      <c r="B1410" s="2" t="s">
        <v>5117</v>
      </c>
      <c r="C1410" s="2" t="s">
        <v>5118</v>
      </c>
      <c r="D1410" s="2">
        <v>124702000</v>
      </c>
      <c r="E1410" s="2" t="s">
        <v>5112</v>
      </c>
      <c r="F1410" s="2" t="s">
        <v>2191</v>
      </c>
      <c r="G1410" s="2" t="s">
        <v>3574</v>
      </c>
      <c r="H1410" s="2">
        <v>95921</v>
      </c>
    </row>
    <row r="1411" spans="1:8">
      <c r="A1411" s="2" t="s">
        <v>2615</v>
      </c>
      <c r="B1411" s="2" t="s">
        <v>5119</v>
      </c>
      <c r="C1411" s="2" t="s">
        <v>5118</v>
      </c>
      <c r="D1411" s="2">
        <v>124703000</v>
      </c>
      <c r="E1411" s="2" t="s">
        <v>5112</v>
      </c>
      <c r="F1411" s="2" t="s">
        <v>2191</v>
      </c>
      <c r="G1411" s="2" t="s">
        <v>3574</v>
      </c>
      <c r="H1411" s="2">
        <v>89161</v>
      </c>
    </row>
    <row r="1412" spans="1:8">
      <c r="A1412" s="2" t="s">
        <v>2678</v>
      </c>
      <c r="B1412" s="2" t="s">
        <v>5120</v>
      </c>
      <c r="C1412" s="2" t="s">
        <v>5116</v>
      </c>
      <c r="D1412" s="2">
        <v>124705000</v>
      </c>
      <c r="E1412" s="2" t="s">
        <v>5112</v>
      </c>
      <c r="F1412" s="2" t="s">
        <v>2191</v>
      </c>
      <c r="G1412" s="2" t="s">
        <v>3600</v>
      </c>
      <c r="H1412" s="2">
        <v>48768</v>
      </c>
    </row>
    <row r="1413" spans="1:8">
      <c r="A1413" s="2" t="s">
        <v>2743</v>
      </c>
      <c r="B1413" s="2" t="s">
        <v>5121</v>
      </c>
      <c r="C1413" s="2" t="s">
        <v>5114</v>
      </c>
      <c r="D1413" s="2">
        <v>124706000</v>
      </c>
      <c r="E1413" s="2" t="s">
        <v>5112</v>
      </c>
      <c r="F1413" s="2" t="s">
        <v>2191</v>
      </c>
      <c r="G1413" s="2" t="s">
        <v>3574</v>
      </c>
      <c r="H1413" s="2">
        <v>49201</v>
      </c>
    </row>
    <row r="1414" spans="1:8">
      <c r="A1414" s="2" t="s">
        <v>2802</v>
      </c>
      <c r="B1414" s="2" t="s">
        <v>5122</v>
      </c>
      <c r="C1414" s="2" t="s">
        <v>5114</v>
      </c>
      <c r="D1414" s="2">
        <v>124707000</v>
      </c>
      <c r="E1414" s="2" t="s">
        <v>5112</v>
      </c>
      <c r="F1414" s="2" t="s">
        <v>2191</v>
      </c>
      <c r="G1414" s="2" t="s">
        <v>3574</v>
      </c>
      <c r="H1414" s="2">
        <v>83851</v>
      </c>
    </row>
    <row r="1415" spans="1:8">
      <c r="A1415" s="2" t="s">
        <v>2859</v>
      </c>
      <c r="B1415" s="2" t="s">
        <v>5123</v>
      </c>
      <c r="C1415" s="2" t="s">
        <v>5118</v>
      </c>
      <c r="D1415" s="2">
        <v>124708000</v>
      </c>
      <c r="E1415" s="2" t="s">
        <v>5112</v>
      </c>
      <c r="F1415" s="2" t="s">
        <v>2191</v>
      </c>
      <c r="G1415" s="2" t="s">
        <v>3574</v>
      </c>
      <c r="H1415" s="2">
        <v>79361</v>
      </c>
    </row>
    <row r="1416" spans="1:8">
      <c r="A1416" s="2" t="s">
        <v>2913</v>
      </c>
      <c r="B1416" s="2" t="s">
        <v>5124</v>
      </c>
      <c r="C1416" s="2" t="s">
        <v>5116</v>
      </c>
      <c r="D1416" s="2">
        <v>124709000</v>
      </c>
      <c r="E1416" s="2" t="s">
        <v>5112</v>
      </c>
      <c r="F1416" s="2" t="s">
        <v>2191</v>
      </c>
      <c r="G1416" s="2" t="s">
        <v>3574</v>
      </c>
      <c r="H1416" s="2">
        <v>151684</v>
      </c>
    </row>
    <row r="1417" spans="1:8">
      <c r="A1417" s="2" t="s">
        <v>2967</v>
      </c>
      <c r="B1417" s="2" t="s">
        <v>5125</v>
      </c>
      <c r="C1417" s="2" t="s">
        <v>5118</v>
      </c>
      <c r="D1417" s="2">
        <v>124710000</v>
      </c>
      <c r="E1417" s="2" t="s">
        <v>5112</v>
      </c>
      <c r="F1417" s="2" t="s">
        <v>2191</v>
      </c>
      <c r="G1417" s="2" t="s">
        <v>3574</v>
      </c>
      <c r="H1417" s="2">
        <v>95070</v>
      </c>
    </row>
    <row r="1418" spans="1:8">
      <c r="A1418" s="2" t="s">
        <v>3016</v>
      </c>
      <c r="B1418" s="2" t="s">
        <v>5126</v>
      </c>
      <c r="C1418" s="2" t="s">
        <v>5116</v>
      </c>
      <c r="D1418" s="2">
        <v>124711000</v>
      </c>
      <c r="E1418" s="2" t="s">
        <v>5112</v>
      </c>
      <c r="F1418" s="2" t="s">
        <v>2191</v>
      </c>
      <c r="G1418" s="2" t="s">
        <v>3574</v>
      </c>
      <c r="H1418" s="2">
        <v>66796</v>
      </c>
    </row>
    <row r="1419" spans="1:8">
      <c r="A1419" s="2" t="s">
        <v>3063</v>
      </c>
      <c r="B1419" s="2" t="s">
        <v>5127</v>
      </c>
      <c r="C1419" s="2" t="s">
        <v>5116</v>
      </c>
      <c r="D1419" s="2">
        <v>124712000</v>
      </c>
      <c r="E1419" s="2" t="s">
        <v>5112</v>
      </c>
      <c r="F1419" s="2" t="s">
        <v>2191</v>
      </c>
      <c r="G1419" s="2" t="s">
        <v>3574</v>
      </c>
      <c r="H1419" s="2">
        <v>154441</v>
      </c>
    </row>
    <row r="1420" spans="1:8">
      <c r="A1420" s="2" t="s">
        <v>3106</v>
      </c>
      <c r="B1420" s="2" t="s">
        <v>5128</v>
      </c>
      <c r="C1420" s="2" t="s">
        <v>5114</v>
      </c>
      <c r="D1420" s="2">
        <v>124713000</v>
      </c>
      <c r="E1420" s="2" t="s">
        <v>5112</v>
      </c>
      <c r="F1420" s="2" t="s">
        <v>2191</v>
      </c>
      <c r="G1420" s="2" t="s">
        <v>3574</v>
      </c>
      <c r="H1420" s="2">
        <v>47575</v>
      </c>
    </row>
    <row r="1421" spans="1:8">
      <c r="A1421" s="2" t="s">
        <v>3146</v>
      </c>
      <c r="B1421" s="2" t="s">
        <v>5129</v>
      </c>
      <c r="C1421" s="2" t="s">
        <v>5118</v>
      </c>
      <c r="D1421" s="2">
        <v>124714000</v>
      </c>
      <c r="E1421" s="2" t="s">
        <v>5112</v>
      </c>
      <c r="F1421" s="2" t="s">
        <v>2191</v>
      </c>
      <c r="G1421" s="2" t="s">
        <v>3600</v>
      </c>
      <c r="H1421" s="2">
        <v>56513</v>
      </c>
    </row>
    <row r="1422" spans="1:8">
      <c r="A1422" s="2" t="s">
        <v>3185</v>
      </c>
      <c r="B1422" s="2" t="s">
        <v>5130</v>
      </c>
      <c r="C1422" s="2" t="s">
        <v>5114</v>
      </c>
      <c r="D1422" s="2">
        <v>124715000</v>
      </c>
      <c r="E1422" s="2" t="s">
        <v>5112</v>
      </c>
      <c r="F1422" s="2" t="s">
        <v>2191</v>
      </c>
      <c r="G1422" s="2" t="s">
        <v>3600</v>
      </c>
      <c r="H1422" s="2">
        <v>25304</v>
      </c>
    </row>
    <row r="1423" spans="1:8">
      <c r="A1423" s="2" t="s">
        <v>3221</v>
      </c>
      <c r="B1423" s="2" t="s">
        <v>5131</v>
      </c>
      <c r="C1423" s="2" t="s">
        <v>5118</v>
      </c>
      <c r="D1423" s="2">
        <v>124716000</v>
      </c>
      <c r="E1423" s="2" t="s">
        <v>5112</v>
      </c>
      <c r="F1423" s="2" t="s">
        <v>2191</v>
      </c>
      <c r="G1423" s="2" t="s">
        <v>3600</v>
      </c>
      <c r="H1423" s="2">
        <v>43677</v>
      </c>
    </row>
    <row r="1424" spans="1:8">
      <c r="A1424" s="2" t="s">
        <v>3249</v>
      </c>
      <c r="B1424" s="2" t="s">
        <v>5132</v>
      </c>
      <c r="C1424" s="2" t="s">
        <v>5116</v>
      </c>
      <c r="D1424" s="2">
        <v>124717000</v>
      </c>
      <c r="E1424" s="2" t="s">
        <v>5112</v>
      </c>
      <c r="F1424" s="2" t="s">
        <v>2191</v>
      </c>
      <c r="G1424" s="2" t="s">
        <v>3629</v>
      </c>
      <c r="H1424" s="2">
        <v>39405</v>
      </c>
    </row>
    <row r="1425" spans="1:8">
      <c r="A1425" s="2" t="s">
        <v>3278</v>
      </c>
      <c r="B1425" s="2" t="s">
        <v>5133</v>
      </c>
      <c r="C1425" s="2" t="s">
        <v>5114</v>
      </c>
      <c r="D1425" s="2">
        <v>124718000</v>
      </c>
      <c r="E1425" s="2" t="s">
        <v>5112</v>
      </c>
      <c r="F1425" s="2" t="s">
        <v>2191</v>
      </c>
      <c r="G1425" s="2" t="s">
        <v>3574</v>
      </c>
      <c r="H1425" s="2">
        <v>48228</v>
      </c>
    </row>
    <row r="1426" spans="2:5">
      <c r="B1426" s="2" t="s">
        <v>20</v>
      </c>
      <c r="E1426" s="2" t="s">
        <v>5112</v>
      </c>
    </row>
    <row r="1427" spans="1:8">
      <c r="A1427" s="2" t="s">
        <v>2407</v>
      </c>
      <c r="B1427" s="2" t="s">
        <v>5134</v>
      </c>
      <c r="C1427" s="2" t="s">
        <v>5135</v>
      </c>
      <c r="D1427" s="2">
        <v>128001000</v>
      </c>
      <c r="E1427" s="2" t="s">
        <v>5112</v>
      </c>
      <c r="F1427" s="2" t="s">
        <v>2205</v>
      </c>
      <c r="G1427" s="2" t="s">
        <v>3574</v>
      </c>
      <c r="H1427" s="2">
        <v>80359</v>
      </c>
    </row>
    <row r="1428" spans="1:8">
      <c r="A1428" s="2" t="s">
        <v>2476</v>
      </c>
      <c r="B1428" s="2" t="s">
        <v>5136</v>
      </c>
      <c r="C1428" s="2" t="s">
        <v>5135</v>
      </c>
      <c r="D1428" s="2">
        <v>128002000</v>
      </c>
      <c r="E1428" s="2" t="s">
        <v>5112</v>
      </c>
      <c r="F1428" s="2" t="s">
        <v>2205</v>
      </c>
      <c r="G1428" s="2" t="s">
        <v>3574</v>
      </c>
      <c r="H1428" s="2">
        <v>118263</v>
      </c>
    </row>
    <row r="1429" spans="1:8">
      <c r="A1429" s="2" t="s">
        <v>2547</v>
      </c>
      <c r="B1429" s="2" t="s">
        <v>5137</v>
      </c>
      <c r="C1429" s="2" t="s">
        <v>5135</v>
      </c>
      <c r="D1429" s="2">
        <v>128003000</v>
      </c>
      <c r="E1429" s="2" t="s">
        <v>5112</v>
      </c>
      <c r="F1429" s="2" t="s">
        <v>2205</v>
      </c>
      <c r="G1429" s="2" t="s">
        <v>3574</v>
      </c>
      <c r="H1429" s="2">
        <v>61058</v>
      </c>
    </row>
    <row r="1430" spans="1:8">
      <c r="A1430" s="2" t="s">
        <v>2616</v>
      </c>
      <c r="B1430" s="2" t="s">
        <v>5138</v>
      </c>
      <c r="C1430" s="2" t="s">
        <v>5135</v>
      </c>
      <c r="D1430" s="2">
        <v>128004000</v>
      </c>
      <c r="E1430" s="2" t="s">
        <v>5112</v>
      </c>
      <c r="F1430" s="2" t="s">
        <v>2205</v>
      </c>
      <c r="G1430" s="2" t="s">
        <v>3574</v>
      </c>
      <c r="H1430" s="2">
        <v>59468</v>
      </c>
    </row>
    <row r="1431" spans="1:8">
      <c r="A1431" s="2" t="s">
        <v>2679</v>
      </c>
      <c r="B1431" s="2" t="s">
        <v>5139</v>
      </c>
      <c r="C1431" s="2" t="s">
        <v>5135</v>
      </c>
      <c r="D1431" s="2">
        <v>128005000</v>
      </c>
      <c r="E1431" s="2" t="s">
        <v>5112</v>
      </c>
      <c r="F1431" s="2" t="s">
        <v>2205</v>
      </c>
      <c r="G1431" s="2" t="s">
        <v>3600</v>
      </c>
      <c r="H1431" s="2">
        <v>44595</v>
      </c>
    </row>
    <row r="1432" spans="1:8">
      <c r="A1432" s="2" t="s">
        <v>2744</v>
      </c>
      <c r="B1432" s="2" t="s">
        <v>5140</v>
      </c>
      <c r="C1432" s="2" t="s">
        <v>5135</v>
      </c>
      <c r="D1432" s="2">
        <v>128006000</v>
      </c>
      <c r="E1432" s="2" t="s">
        <v>5112</v>
      </c>
      <c r="F1432" s="2" t="s">
        <v>2205</v>
      </c>
      <c r="G1432" s="2" t="s">
        <v>3574</v>
      </c>
      <c r="H1432" s="2">
        <v>76914</v>
      </c>
    </row>
    <row r="1433" spans="1:8">
      <c r="A1433" s="2" t="s">
        <v>2803</v>
      </c>
      <c r="B1433" s="2" t="s">
        <v>5141</v>
      </c>
      <c r="C1433" s="2" t="s">
        <v>5135</v>
      </c>
      <c r="D1433" s="2">
        <v>128007000</v>
      </c>
      <c r="E1433" s="2" t="s">
        <v>5112</v>
      </c>
      <c r="F1433" s="2" t="s">
        <v>2205</v>
      </c>
      <c r="G1433" s="2" t="s">
        <v>3574</v>
      </c>
      <c r="H1433" s="2">
        <v>103604</v>
      </c>
    </row>
    <row r="1434" spans="2:5">
      <c r="B1434" s="2" t="s">
        <v>20</v>
      </c>
      <c r="E1434" s="2" t="s">
        <v>5112</v>
      </c>
    </row>
    <row r="1435" spans="1:8">
      <c r="A1435" s="2" t="s">
        <v>2408</v>
      </c>
      <c r="B1435" s="2" t="s">
        <v>5142</v>
      </c>
      <c r="C1435" s="2" t="s">
        <v>5143</v>
      </c>
      <c r="D1435" s="2">
        <v>126303000</v>
      </c>
      <c r="E1435" s="2" t="s">
        <v>5112</v>
      </c>
      <c r="F1435" s="2" t="s">
        <v>2219</v>
      </c>
      <c r="G1435" s="2" t="s">
        <v>3574</v>
      </c>
      <c r="H1435" s="2">
        <v>594446</v>
      </c>
    </row>
    <row r="1436" spans="1:8">
      <c r="A1436" s="2" t="s">
        <v>2477</v>
      </c>
      <c r="B1436" s="2" t="s">
        <v>5144</v>
      </c>
      <c r="C1436" s="2" t="s">
        <v>5145</v>
      </c>
      <c r="D1436" s="2">
        <v>126306000</v>
      </c>
      <c r="E1436" s="2" t="s">
        <v>5112</v>
      </c>
      <c r="F1436" s="2" t="s">
        <v>2219</v>
      </c>
      <c r="G1436" s="2" t="s">
        <v>3629</v>
      </c>
      <c r="H1436" s="2">
        <v>174942</v>
      </c>
    </row>
    <row r="1437" spans="1:8">
      <c r="A1437" s="2" t="s">
        <v>2518</v>
      </c>
      <c r="B1437" s="2" t="s">
        <v>5146</v>
      </c>
      <c r="C1437" s="2" t="s">
        <v>5145</v>
      </c>
      <c r="D1437" s="2">
        <v>126302000</v>
      </c>
      <c r="E1437" s="2" t="s">
        <v>5112</v>
      </c>
      <c r="F1437" s="2" t="s">
        <v>2219</v>
      </c>
      <c r="G1437" s="2" t="s">
        <v>3574</v>
      </c>
      <c r="H1437" s="2">
        <v>83989</v>
      </c>
    </row>
    <row r="1438" spans="1:8">
      <c r="A1438" s="2" t="s">
        <v>2617</v>
      </c>
      <c r="B1438" s="2" t="s">
        <v>5147</v>
      </c>
      <c r="C1438" s="2" t="s">
        <v>5145</v>
      </c>
      <c r="D1438" s="2">
        <v>126311000</v>
      </c>
      <c r="E1438" s="2" t="s">
        <v>5112</v>
      </c>
      <c r="F1438" s="2" t="s">
        <v>2219</v>
      </c>
      <c r="G1438" s="2" t="s">
        <v>3629</v>
      </c>
      <c r="H1438" s="2">
        <v>46642</v>
      </c>
    </row>
    <row r="1439" spans="1:8">
      <c r="A1439" s="2" t="s">
        <v>2680</v>
      </c>
      <c r="B1439" s="2" t="s">
        <v>5148</v>
      </c>
      <c r="C1439" s="2" t="s">
        <v>5149</v>
      </c>
      <c r="D1439" s="2">
        <v>126312000</v>
      </c>
      <c r="E1439" s="2" t="s">
        <v>5112</v>
      </c>
      <c r="F1439" s="2" t="s">
        <v>2219</v>
      </c>
      <c r="G1439" s="2" t="s">
        <v>3574</v>
      </c>
      <c r="H1439" s="2">
        <v>152589</v>
      </c>
    </row>
    <row r="1440" spans="1:8">
      <c r="A1440" s="2" t="s">
        <v>2745</v>
      </c>
      <c r="B1440" s="2" t="s">
        <v>5150</v>
      </c>
      <c r="C1440" s="2" t="s">
        <v>5145</v>
      </c>
      <c r="D1440" s="2">
        <v>126313000</v>
      </c>
      <c r="E1440" s="2" t="s">
        <v>5112</v>
      </c>
      <c r="F1440" s="2" t="s">
        <v>2219</v>
      </c>
      <c r="G1440" s="2" t="s">
        <v>3574</v>
      </c>
      <c r="H1440" s="2">
        <v>84539</v>
      </c>
    </row>
    <row r="1441" spans="1:8">
      <c r="A1441" s="2" t="s">
        <v>2804</v>
      </c>
      <c r="B1441" s="2" t="s">
        <v>5151</v>
      </c>
      <c r="C1441" s="2" t="s">
        <v>5149</v>
      </c>
      <c r="D1441" s="2">
        <v>126314000</v>
      </c>
      <c r="E1441" s="2" t="s">
        <v>5112</v>
      </c>
      <c r="F1441" s="2" t="s">
        <v>2219</v>
      </c>
      <c r="G1441" s="2" t="s">
        <v>3600</v>
      </c>
      <c r="H1441" s="2">
        <v>39525</v>
      </c>
    </row>
    <row r="1442" spans="1:8">
      <c r="A1442" s="2" t="s">
        <v>2860</v>
      </c>
      <c r="B1442" s="2" t="s">
        <v>5152</v>
      </c>
      <c r="C1442" s="2" t="s">
        <v>5145</v>
      </c>
      <c r="D1442" s="2">
        <v>126315000</v>
      </c>
      <c r="E1442" s="2" t="s">
        <v>5112</v>
      </c>
      <c r="F1442" s="2" t="s">
        <v>2219</v>
      </c>
      <c r="G1442" s="2" t="s">
        <v>3629</v>
      </c>
      <c r="H1442" s="2">
        <v>43245</v>
      </c>
    </row>
    <row r="1443" spans="1:8">
      <c r="A1443" s="2" t="s">
        <v>2914</v>
      </c>
      <c r="B1443" s="2" t="s">
        <v>5153</v>
      </c>
      <c r="C1443" s="2" t="s">
        <v>5145</v>
      </c>
      <c r="D1443" s="2">
        <v>126316000</v>
      </c>
      <c r="E1443" s="2" t="s">
        <v>5112</v>
      </c>
      <c r="F1443" s="2" t="s">
        <v>2219</v>
      </c>
      <c r="G1443" s="2" t="s">
        <v>3574</v>
      </c>
      <c r="H1443" s="2">
        <v>91453</v>
      </c>
    </row>
    <row r="1444" spans="1:8">
      <c r="A1444" s="2" t="s">
        <v>2968</v>
      </c>
      <c r="B1444" s="2" t="s">
        <v>5154</v>
      </c>
      <c r="C1444" s="2" t="s">
        <v>5149</v>
      </c>
      <c r="D1444" s="2">
        <v>126317000</v>
      </c>
      <c r="E1444" s="2" t="s">
        <v>5112</v>
      </c>
      <c r="F1444" s="2" t="s">
        <v>2219</v>
      </c>
      <c r="G1444" s="2" t="s">
        <v>3574</v>
      </c>
      <c r="H1444" s="2">
        <v>69976</v>
      </c>
    </row>
    <row r="1445" spans="1:8">
      <c r="A1445" s="2" t="s">
        <v>3017</v>
      </c>
      <c r="B1445" s="2" t="s">
        <v>5155</v>
      </c>
      <c r="C1445" s="2" t="s">
        <v>5145</v>
      </c>
      <c r="D1445" s="2">
        <v>126318000</v>
      </c>
      <c r="E1445" s="2" t="s">
        <v>5112</v>
      </c>
      <c r="F1445" s="2" t="s">
        <v>2219</v>
      </c>
      <c r="G1445" s="2" t="s">
        <v>3629</v>
      </c>
      <c r="H1445" s="2">
        <v>40947</v>
      </c>
    </row>
    <row r="1446" spans="1:8">
      <c r="A1446" s="2" t="s">
        <v>3064</v>
      </c>
      <c r="B1446" s="2" t="s">
        <v>5156</v>
      </c>
      <c r="C1446" s="2" t="s">
        <v>5145</v>
      </c>
      <c r="D1446" s="2">
        <v>126319000</v>
      </c>
      <c r="E1446" s="2" t="s">
        <v>5112</v>
      </c>
      <c r="F1446" s="2" t="s">
        <v>2219</v>
      </c>
      <c r="G1446" s="2" t="s">
        <v>3574</v>
      </c>
      <c r="H1446" s="2">
        <v>87442</v>
      </c>
    </row>
    <row r="1447" spans="2:5">
      <c r="B1447" s="2" t="s">
        <v>20</v>
      </c>
      <c r="E1447" s="2" t="s">
        <v>5112</v>
      </c>
    </row>
    <row r="1448" spans="1:8">
      <c r="A1448" s="2" t="s">
        <v>2409</v>
      </c>
      <c r="B1448" s="2" t="s">
        <v>5157</v>
      </c>
      <c r="C1448" s="2" t="s">
        <v>5158</v>
      </c>
      <c r="D1448" s="2">
        <v>126511000</v>
      </c>
      <c r="E1448" s="2" t="s">
        <v>5112</v>
      </c>
      <c r="F1448" s="2" t="s">
        <v>2233</v>
      </c>
      <c r="G1448" s="2" t="s">
        <v>3634</v>
      </c>
      <c r="H1448" s="2">
        <v>98316</v>
      </c>
    </row>
    <row r="1449" spans="1:8">
      <c r="A1449" s="2" t="s">
        <v>2478</v>
      </c>
      <c r="B1449" s="2" t="s">
        <v>5159</v>
      </c>
      <c r="C1449" s="2" t="s">
        <v>5160</v>
      </c>
      <c r="D1449" s="2">
        <v>126501000</v>
      </c>
      <c r="E1449" s="2" t="s">
        <v>5112</v>
      </c>
      <c r="F1449" s="2" t="s">
        <v>2233</v>
      </c>
      <c r="G1449" s="2" t="s">
        <v>3574</v>
      </c>
      <c r="H1449" s="2">
        <v>67061</v>
      </c>
    </row>
    <row r="1450" spans="1:8">
      <c r="A1450" s="2" t="s">
        <v>2548</v>
      </c>
      <c r="B1450" s="2" t="s">
        <v>5161</v>
      </c>
      <c r="C1450" s="2" t="s">
        <v>5158</v>
      </c>
      <c r="D1450" s="2">
        <v>126502000</v>
      </c>
      <c r="E1450" s="2" t="s">
        <v>5112</v>
      </c>
      <c r="F1450" s="2" t="s">
        <v>2233</v>
      </c>
      <c r="G1450" s="2" t="s">
        <v>3574</v>
      </c>
      <c r="H1450" s="2">
        <v>33258</v>
      </c>
    </row>
    <row r="1451" spans="1:8">
      <c r="A1451" s="2" t="s">
        <v>2549</v>
      </c>
      <c r="B1451" s="2" t="s">
        <v>5162</v>
      </c>
      <c r="C1451" s="2" t="s">
        <v>5160</v>
      </c>
      <c r="D1451" s="2">
        <v>126503000</v>
      </c>
      <c r="E1451" s="2" t="s">
        <v>5112</v>
      </c>
      <c r="F1451" s="2" t="s">
        <v>2233</v>
      </c>
      <c r="G1451" s="2" t="s">
        <v>3574</v>
      </c>
      <c r="H1451" s="2">
        <v>66095</v>
      </c>
    </row>
    <row r="1452" spans="1:8">
      <c r="A1452" s="2" t="s">
        <v>2681</v>
      </c>
      <c r="B1452" s="2" t="s">
        <v>5163</v>
      </c>
      <c r="C1452" s="2" t="s">
        <v>5158</v>
      </c>
      <c r="D1452" s="2">
        <v>126504000</v>
      </c>
      <c r="E1452" s="2" t="s">
        <v>5112</v>
      </c>
      <c r="F1452" s="2" t="s">
        <v>2233</v>
      </c>
      <c r="G1452" s="2" t="s">
        <v>3574</v>
      </c>
      <c r="H1452" s="2">
        <v>90682</v>
      </c>
    </row>
    <row r="1453" spans="1:8">
      <c r="A1453" s="2" t="s">
        <v>2746</v>
      </c>
      <c r="B1453" s="2" t="s">
        <v>5164</v>
      </c>
      <c r="C1453" s="2" t="s">
        <v>5160</v>
      </c>
      <c r="D1453" s="2">
        <v>126505000</v>
      </c>
      <c r="E1453" s="2" t="s">
        <v>5112</v>
      </c>
      <c r="F1453" s="2" t="s">
        <v>2233</v>
      </c>
      <c r="G1453" s="2" t="s">
        <v>3574</v>
      </c>
      <c r="H1453" s="2">
        <v>49059</v>
      </c>
    </row>
    <row r="1454" spans="1:8">
      <c r="A1454" s="2" t="s">
        <v>2805</v>
      </c>
      <c r="B1454" s="2" t="s">
        <v>5165</v>
      </c>
      <c r="C1454" s="2" t="s">
        <v>5160</v>
      </c>
      <c r="D1454" s="2">
        <v>126506000</v>
      </c>
      <c r="E1454" s="2" t="s">
        <v>5112</v>
      </c>
      <c r="F1454" s="2" t="s">
        <v>2233</v>
      </c>
      <c r="G1454" s="2" t="s">
        <v>3574</v>
      </c>
      <c r="H1454" s="2">
        <v>88868</v>
      </c>
    </row>
    <row r="1455" spans="1:8">
      <c r="A1455" s="2" t="s">
        <v>2861</v>
      </c>
      <c r="B1455" s="2" t="s">
        <v>5166</v>
      </c>
      <c r="C1455" s="2" t="s">
        <v>5158</v>
      </c>
      <c r="D1455" s="2">
        <v>126507000</v>
      </c>
      <c r="E1455" s="2" t="s">
        <v>5112</v>
      </c>
      <c r="F1455" s="2" t="s">
        <v>2233</v>
      </c>
      <c r="G1455" s="2" t="s">
        <v>3600</v>
      </c>
      <c r="H1455" s="2">
        <v>63029</v>
      </c>
    </row>
    <row r="1456" spans="1:8">
      <c r="A1456" s="2" t="s">
        <v>2915</v>
      </c>
      <c r="B1456" s="2" t="s">
        <v>5167</v>
      </c>
      <c r="C1456" s="2" t="s">
        <v>5158</v>
      </c>
      <c r="D1456" s="2">
        <v>126508000</v>
      </c>
      <c r="E1456" s="2" t="s">
        <v>5112</v>
      </c>
      <c r="F1456" s="2" t="s">
        <v>2233</v>
      </c>
      <c r="G1456" s="2" t="s">
        <v>3600</v>
      </c>
      <c r="H1456" s="2">
        <v>77013</v>
      </c>
    </row>
    <row r="1457" spans="1:8">
      <c r="A1457" s="2" t="s">
        <v>2969</v>
      </c>
      <c r="B1457" s="2" t="s">
        <v>5168</v>
      </c>
      <c r="C1457" s="2" t="s">
        <v>5160</v>
      </c>
      <c r="D1457" s="2">
        <v>126509000</v>
      </c>
      <c r="E1457" s="2" t="s">
        <v>5112</v>
      </c>
      <c r="F1457" s="2" t="s">
        <v>2233</v>
      </c>
      <c r="G1457" s="2" t="s">
        <v>3600</v>
      </c>
      <c r="H1457" s="2">
        <v>90424</v>
      </c>
    </row>
    <row r="1458" spans="1:8">
      <c r="A1458" s="2" t="s">
        <v>3018</v>
      </c>
      <c r="B1458" s="2" t="s">
        <v>5169</v>
      </c>
      <c r="C1458" s="2" t="s">
        <v>5158</v>
      </c>
      <c r="D1458" s="2">
        <v>126510000</v>
      </c>
      <c r="E1458" s="2" t="s">
        <v>5112</v>
      </c>
      <c r="F1458" s="2" t="s">
        <v>2233</v>
      </c>
      <c r="G1458" s="2" t="s">
        <v>3629</v>
      </c>
      <c r="H1458" s="2">
        <v>41408</v>
      </c>
    </row>
    <row r="1459" spans="1:8">
      <c r="A1459" s="2" t="s">
        <v>3065</v>
      </c>
      <c r="B1459" s="2" t="s">
        <v>5170</v>
      </c>
      <c r="C1459" s="2" t="s">
        <v>5160</v>
      </c>
      <c r="D1459" s="2">
        <v>126512000</v>
      </c>
      <c r="E1459" s="2" t="s">
        <v>5112</v>
      </c>
      <c r="F1459" s="2" t="s">
        <v>2233</v>
      </c>
      <c r="G1459" s="2" t="s">
        <v>3629</v>
      </c>
      <c r="H1459" s="2">
        <v>46882</v>
      </c>
    </row>
    <row r="1460" spans="2:5">
      <c r="B1460" s="2" t="s">
        <v>20</v>
      </c>
      <c r="E1460" s="2" t="s">
        <v>5171</v>
      </c>
    </row>
    <row r="1461" spans="1:8">
      <c r="A1461" s="2" t="s">
        <v>2339</v>
      </c>
      <c r="B1461" s="2" t="s">
        <v>5172</v>
      </c>
      <c r="C1461" s="2" t="s">
        <v>5173</v>
      </c>
      <c r="D1461" s="2">
        <v>140101000</v>
      </c>
      <c r="E1461" s="2" t="s">
        <v>5171</v>
      </c>
      <c r="F1461" s="2" t="s">
        <v>2178</v>
      </c>
      <c r="G1461" s="2" t="s">
        <v>3574</v>
      </c>
      <c r="H1461" s="2">
        <v>48163</v>
      </c>
    </row>
    <row r="1462" spans="1:8">
      <c r="A1462" s="2" t="s">
        <v>2415</v>
      </c>
      <c r="B1462" s="2" t="s">
        <v>5174</v>
      </c>
      <c r="C1462" s="2" t="s">
        <v>5173</v>
      </c>
      <c r="D1462" s="2">
        <v>140102000</v>
      </c>
      <c r="E1462" s="2" t="s">
        <v>5171</v>
      </c>
      <c r="F1462" s="2" t="s">
        <v>2178</v>
      </c>
      <c r="G1462" s="2" t="s">
        <v>3626</v>
      </c>
      <c r="H1462" s="2">
        <v>3573</v>
      </c>
    </row>
    <row r="1463" spans="1:8">
      <c r="A1463" s="2" t="s">
        <v>2484</v>
      </c>
      <c r="B1463" s="2" t="s">
        <v>5175</v>
      </c>
      <c r="C1463" s="2" t="s">
        <v>5173</v>
      </c>
      <c r="D1463" s="2">
        <v>140103000</v>
      </c>
      <c r="E1463" s="2" t="s">
        <v>5171</v>
      </c>
      <c r="F1463" s="2" t="s">
        <v>2178</v>
      </c>
      <c r="G1463" s="2" t="s">
        <v>3626</v>
      </c>
      <c r="H1463" s="2">
        <v>17115</v>
      </c>
    </row>
    <row r="1464" spans="1:8">
      <c r="A1464" s="2" t="s">
        <v>2553</v>
      </c>
      <c r="B1464" s="2" t="s">
        <v>5176</v>
      </c>
      <c r="C1464" s="2" t="s">
        <v>5173</v>
      </c>
      <c r="D1464" s="2">
        <v>140104000</v>
      </c>
      <c r="E1464" s="2" t="s">
        <v>5171</v>
      </c>
      <c r="F1464" s="2" t="s">
        <v>2178</v>
      </c>
      <c r="G1464" s="2" t="s">
        <v>3769</v>
      </c>
      <c r="H1464" s="2">
        <v>2501</v>
      </c>
    </row>
    <row r="1465" spans="1:8">
      <c r="A1465" s="2" t="s">
        <v>2621</v>
      </c>
      <c r="B1465" s="2" t="s">
        <v>5177</v>
      </c>
      <c r="C1465" s="2" t="s">
        <v>5173</v>
      </c>
      <c r="D1465" s="2">
        <v>140105000</v>
      </c>
      <c r="E1465" s="2" t="s">
        <v>5171</v>
      </c>
      <c r="F1465" s="2" t="s">
        <v>2178</v>
      </c>
      <c r="G1465" s="2" t="s">
        <v>3626</v>
      </c>
      <c r="H1465" s="2">
        <v>2088</v>
      </c>
    </row>
    <row r="1466" spans="1:8">
      <c r="A1466" s="2" t="s">
        <v>2686</v>
      </c>
      <c r="B1466" s="2" t="s">
        <v>5178</v>
      </c>
      <c r="C1466" s="2" t="s">
        <v>5173</v>
      </c>
      <c r="D1466" s="2">
        <v>140106000</v>
      </c>
      <c r="E1466" s="2" t="s">
        <v>5171</v>
      </c>
      <c r="F1466" s="2" t="s">
        <v>2178</v>
      </c>
      <c r="G1466" s="2" t="s">
        <v>3626</v>
      </c>
      <c r="H1466" s="2">
        <v>4192</v>
      </c>
    </row>
    <row r="1467" spans="1:8">
      <c r="A1467" s="2" t="s">
        <v>2731</v>
      </c>
      <c r="B1467" s="2" t="s">
        <v>5179</v>
      </c>
      <c r="C1467" s="2" t="s">
        <v>5173</v>
      </c>
      <c r="D1467" s="2">
        <v>140107000</v>
      </c>
      <c r="E1467" s="2" t="s">
        <v>5171</v>
      </c>
      <c r="F1467" s="2" t="s">
        <v>2178</v>
      </c>
      <c r="G1467" s="2" t="s">
        <v>3626</v>
      </c>
      <c r="H1467" s="2">
        <v>11315</v>
      </c>
    </row>
    <row r="1468" spans="1:8">
      <c r="A1468" s="2" t="s">
        <v>2618</v>
      </c>
      <c r="B1468" s="2" t="s">
        <v>5180</v>
      </c>
      <c r="C1468" s="2" t="s">
        <v>5173</v>
      </c>
      <c r="D1468" s="2">
        <v>140108000</v>
      </c>
      <c r="E1468" s="2" t="s">
        <v>5171</v>
      </c>
      <c r="F1468" s="2" t="s">
        <v>2178</v>
      </c>
      <c r="G1468" s="2" t="s">
        <v>3626</v>
      </c>
      <c r="H1468" s="2">
        <v>15437</v>
      </c>
    </row>
    <row r="1469" spans="1:8">
      <c r="A1469" s="2" t="s">
        <v>2866</v>
      </c>
      <c r="B1469" s="2" t="s">
        <v>5181</v>
      </c>
      <c r="C1469" s="2" t="s">
        <v>5173</v>
      </c>
      <c r="D1469" s="2">
        <v>140109000</v>
      </c>
      <c r="E1469" s="2" t="s">
        <v>5171</v>
      </c>
      <c r="F1469" s="2" t="s">
        <v>2178</v>
      </c>
      <c r="G1469" s="2" t="s">
        <v>3626</v>
      </c>
      <c r="H1469" s="2">
        <v>3403</v>
      </c>
    </row>
    <row r="1470" spans="1:8">
      <c r="A1470" s="2" t="s">
        <v>2919</v>
      </c>
      <c r="B1470" s="2" t="s">
        <v>5182</v>
      </c>
      <c r="C1470" s="2" t="s">
        <v>5173</v>
      </c>
      <c r="D1470" s="2">
        <v>140110000</v>
      </c>
      <c r="E1470" s="2" t="s">
        <v>5171</v>
      </c>
      <c r="F1470" s="2" t="s">
        <v>2178</v>
      </c>
      <c r="G1470" s="2" t="s">
        <v>3626</v>
      </c>
      <c r="H1470" s="2">
        <v>14255</v>
      </c>
    </row>
    <row r="1471" spans="1:8">
      <c r="A1471" s="2" t="s">
        <v>2974</v>
      </c>
      <c r="B1471" s="2" t="s">
        <v>5183</v>
      </c>
      <c r="C1471" s="2" t="s">
        <v>5173</v>
      </c>
      <c r="D1471" s="2">
        <v>140111000</v>
      </c>
      <c r="E1471" s="2" t="s">
        <v>5171</v>
      </c>
      <c r="F1471" s="2" t="s">
        <v>2178</v>
      </c>
      <c r="G1471" s="2" t="s">
        <v>3626</v>
      </c>
      <c r="H1471" s="2">
        <v>4499</v>
      </c>
    </row>
    <row r="1472" spans="1:8">
      <c r="A1472" s="2" t="s">
        <v>3023</v>
      </c>
      <c r="B1472" s="2" t="s">
        <v>5184</v>
      </c>
      <c r="C1472" s="2" t="s">
        <v>5173</v>
      </c>
      <c r="D1472" s="2">
        <v>140112000</v>
      </c>
      <c r="E1472" s="2" t="s">
        <v>5171</v>
      </c>
      <c r="F1472" s="2" t="s">
        <v>2178</v>
      </c>
      <c r="G1472" s="2" t="s">
        <v>3626</v>
      </c>
      <c r="H1472" s="2">
        <v>3198</v>
      </c>
    </row>
    <row r="1473" spans="1:8">
      <c r="A1473" s="2" t="s">
        <v>3069</v>
      </c>
      <c r="B1473" s="2" t="s">
        <v>5185</v>
      </c>
      <c r="C1473" s="2" t="s">
        <v>5173</v>
      </c>
      <c r="D1473" s="2">
        <v>140113000</v>
      </c>
      <c r="E1473" s="2" t="s">
        <v>5171</v>
      </c>
      <c r="F1473" s="2" t="s">
        <v>2178</v>
      </c>
      <c r="G1473" s="2" t="s">
        <v>3626</v>
      </c>
      <c r="H1473" s="2">
        <v>4689</v>
      </c>
    </row>
    <row r="1474" spans="1:8">
      <c r="A1474" s="2" t="s">
        <v>3110</v>
      </c>
      <c r="B1474" s="2" t="s">
        <v>5186</v>
      </c>
      <c r="C1474" s="2" t="s">
        <v>5173</v>
      </c>
      <c r="D1474" s="2">
        <v>140114000</v>
      </c>
      <c r="E1474" s="2" t="s">
        <v>5171</v>
      </c>
      <c r="F1474" s="2" t="s">
        <v>2178</v>
      </c>
      <c r="G1474" s="2" t="s">
        <v>3626</v>
      </c>
      <c r="H1474" s="2">
        <v>6339</v>
      </c>
    </row>
    <row r="1475" spans="1:8">
      <c r="A1475" s="2" t="s">
        <v>3150</v>
      </c>
      <c r="B1475" s="2" t="s">
        <v>5187</v>
      </c>
      <c r="C1475" s="2" t="s">
        <v>5173</v>
      </c>
      <c r="D1475" s="2">
        <v>140115000</v>
      </c>
      <c r="E1475" s="2" t="s">
        <v>5171</v>
      </c>
      <c r="F1475" s="2" t="s">
        <v>2178</v>
      </c>
      <c r="G1475" s="2" t="s">
        <v>3626</v>
      </c>
      <c r="H1475" s="2">
        <v>3428</v>
      </c>
    </row>
    <row r="1476" spans="1:8">
      <c r="A1476" s="2" t="s">
        <v>3188</v>
      </c>
      <c r="B1476" s="2" t="s">
        <v>5188</v>
      </c>
      <c r="C1476" s="2" t="s">
        <v>5173</v>
      </c>
      <c r="D1476" s="2">
        <v>140116000</v>
      </c>
      <c r="E1476" s="2" t="s">
        <v>5171</v>
      </c>
      <c r="F1476" s="2" t="s">
        <v>2178</v>
      </c>
      <c r="G1476" s="2" t="s">
        <v>3626</v>
      </c>
      <c r="H1476" s="2">
        <v>10761</v>
      </c>
    </row>
    <row r="1477" spans="1:8">
      <c r="A1477" s="2" t="s">
        <v>3222</v>
      </c>
      <c r="B1477" s="2" t="s">
        <v>5189</v>
      </c>
      <c r="C1477" s="2" t="s">
        <v>5173</v>
      </c>
      <c r="D1477" s="2">
        <v>140117000</v>
      </c>
      <c r="E1477" s="2" t="s">
        <v>5171</v>
      </c>
      <c r="F1477" s="2" t="s">
        <v>2178</v>
      </c>
      <c r="G1477" s="2" t="s">
        <v>3769</v>
      </c>
      <c r="H1477" s="2">
        <v>6640</v>
      </c>
    </row>
    <row r="1478" spans="1:8">
      <c r="A1478" s="2" t="s">
        <v>3251</v>
      </c>
      <c r="B1478" s="2" t="s">
        <v>5190</v>
      </c>
      <c r="C1478" s="2" t="s">
        <v>5173</v>
      </c>
      <c r="D1478" s="2">
        <v>140118000</v>
      </c>
      <c r="E1478" s="2" t="s">
        <v>5171</v>
      </c>
      <c r="F1478" s="2" t="s">
        <v>2178</v>
      </c>
      <c r="G1478" s="2" t="s">
        <v>3626</v>
      </c>
      <c r="H1478" s="2">
        <v>12185</v>
      </c>
    </row>
    <row r="1479" spans="1:8">
      <c r="A1479" s="2" t="s">
        <v>2980</v>
      </c>
      <c r="B1479" s="2" t="s">
        <v>5191</v>
      </c>
      <c r="C1479" s="2" t="s">
        <v>5173</v>
      </c>
      <c r="D1479" s="2">
        <v>140119000</v>
      </c>
      <c r="E1479" s="2" t="s">
        <v>5171</v>
      </c>
      <c r="F1479" s="2" t="s">
        <v>2178</v>
      </c>
      <c r="G1479" s="2" t="s">
        <v>3626</v>
      </c>
      <c r="H1479" s="2">
        <v>10223</v>
      </c>
    </row>
    <row r="1480" spans="1:8">
      <c r="A1480" s="2" t="s">
        <v>3305</v>
      </c>
      <c r="B1480" s="2" t="s">
        <v>5192</v>
      </c>
      <c r="C1480" s="2" t="s">
        <v>5173</v>
      </c>
      <c r="D1480" s="2">
        <v>140120000</v>
      </c>
      <c r="E1480" s="2" t="s">
        <v>5171</v>
      </c>
      <c r="F1480" s="2" t="s">
        <v>2178</v>
      </c>
      <c r="G1480" s="2" t="s">
        <v>3626</v>
      </c>
      <c r="H1480" s="2">
        <v>6622</v>
      </c>
    </row>
    <row r="1481" spans="1:8">
      <c r="A1481" s="2" t="s">
        <v>686</v>
      </c>
      <c r="B1481" s="2" t="s">
        <v>5193</v>
      </c>
      <c r="C1481" s="2" t="s">
        <v>5173</v>
      </c>
      <c r="D1481" s="2">
        <v>140121000</v>
      </c>
      <c r="E1481" s="2" t="s">
        <v>5171</v>
      </c>
      <c r="F1481" s="2" t="s">
        <v>2178</v>
      </c>
      <c r="G1481" s="2" t="s">
        <v>3626</v>
      </c>
      <c r="H1481" s="2">
        <v>4574</v>
      </c>
    </row>
    <row r="1482" spans="1:8">
      <c r="A1482" s="2" t="s">
        <v>2661</v>
      </c>
      <c r="B1482" s="2" t="s">
        <v>5194</v>
      </c>
      <c r="C1482" s="2" t="s">
        <v>5173</v>
      </c>
      <c r="D1482" s="2">
        <v>140122000</v>
      </c>
      <c r="E1482" s="2" t="s">
        <v>5171</v>
      </c>
      <c r="F1482" s="2" t="s">
        <v>2178</v>
      </c>
      <c r="G1482" s="2" t="s">
        <v>3626</v>
      </c>
      <c r="H1482" s="2">
        <v>9867</v>
      </c>
    </row>
    <row r="1483" spans="1:8">
      <c r="A1483" s="2" t="s">
        <v>3376</v>
      </c>
      <c r="B1483" s="2" t="s">
        <v>5195</v>
      </c>
      <c r="C1483" s="2" t="s">
        <v>5173</v>
      </c>
      <c r="D1483" s="2">
        <v>140123000</v>
      </c>
      <c r="E1483" s="2" t="s">
        <v>5171</v>
      </c>
      <c r="F1483" s="2" t="s">
        <v>2178</v>
      </c>
      <c r="G1483" s="2" t="s">
        <v>3626</v>
      </c>
      <c r="H1483" s="2">
        <v>5438</v>
      </c>
    </row>
    <row r="1484" spans="1:8">
      <c r="A1484" s="2" t="s">
        <v>3398</v>
      </c>
      <c r="B1484" s="2" t="s">
        <v>5196</v>
      </c>
      <c r="C1484" s="2" t="s">
        <v>5173</v>
      </c>
      <c r="D1484" s="2">
        <v>140124000</v>
      </c>
      <c r="E1484" s="2" t="s">
        <v>5171</v>
      </c>
      <c r="F1484" s="2" t="s">
        <v>2178</v>
      </c>
      <c r="G1484" s="2" t="s">
        <v>3626</v>
      </c>
      <c r="H1484" s="2">
        <v>14467</v>
      </c>
    </row>
    <row r="1485" spans="1:8">
      <c r="A1485" s="2" t="s">
        <v>3412</v>
      </c>
      <c r="B1485" s="2" t="s">
        <v>5197</v>
      </c>
      <c r="C1485" s="2" t="s">
        <v>5173</v>
      </c>
      <c r="D1485" s="2">
        <v>140125000</v>
      </c>
      <c r="E1485" s="2" t="s">
        <v>5171</v>
      </c>
      <c r="F1485" s="2" t="s">
        <v>2178</v>
      </c>
      <c r="G1485" s="2" t="s">
        <v>3600</v>
      </c>
      <c r="H1485" s="2">
        <v>5097</v>
      </c>
    </row>
    <row r="1486" spans="1:8">
      <c r="A1486" s="2" t="s">
        <v>3426</v>
      </c>
      <c r="B1486" s="2" t="s">
        <v>5198</v>
      </c>
      <c r="C1486" s="2" t="s">
        <v>5173</v>
      </c>
      <c r="D1486" s="2">
        <v>140126000</v>
      </c>
      <c r="E1486" s="2" t="s">
        <v>5171</v>
      </c>
      <c r="F1486" s="2" t="s">
        <v>2178</v>
      </c>
      <c r="G1486" s="2" t="s">
        <v>3634</v>
      </c>
      <c r="H1486" s="2">
        <v>5699</v>
      </c>
    </row>
    <row r="1487" spans="1:8">
      <c r="A1487" s="2" t="s">
        <v>3438</v>
      </c>
      <c r="B1487" s="2" t="s">
        <v>5199</v>
      </c>
      <c r="C1487" s="2" t="s">
        <v>5173</v>
      </c>
      <c r="D1487" s="2">
        <v>140127000</v>
      </c>
      <c r="E1487" s="2" t="s">
        <v>5171</v>
      </c>
      <c r="F1487" s="2" t="s">
        <v>2178</v>
      </c>
      <c r="G1487" s="2" t="s">
        <v>3626</v>
      </c>
      <c r="H1487" s="2">
        <v>5392</v>
      </c>
    </row>
    <row r="1488" spans="2:5">
      <c r="B1488" s="2" t="s">
        <v>20</v>
      </c>
      <c r="E1488" s="2" t="s">
        <v>5171</v>
      </c>
    </row>
    <row r="1489" spans="1:8">
      <c r="A1489" s="2" t="s">
        <v>2340</v>
      </c>
      <c r="B1489" s="2" t="s">
        <v>5200</v>
      </c>
      <c r="C1489" s="2" t="s">
        <v>5201</v>
      </c>
      <c r="D1489" s="2">
        <v>148101000</v>
      </c>
      <c r="E1489" s="2" t="s">
        <v>5171</v>
      </c>
      <c r="F1489" s="2" t="s">
        <v>2193</v>
      </c>
      <c r="G1489" s="2" t="s">
        <v>3574</v>
      </c>
      <c r="H1489" s="2">
        <v>12604</v>
      </c>
    </row>
    <row r="1490" spans="1:8">
      <c r="A1490" s="2" t="s">
        <v>2416</v>
      </c>
      <c r="B1490" s="2" t="s">
        <v>5202</v>
      </c>
      <c r="C1490" s="2" t="s">
        <v>5201</v>
      </c>
      <c r="D1490" s="2">
        <v>148102000</v>
      </c>
      <c r="E1490" s="2" t="s">
        <v>5171</v>
      </c>
      <c r="F1490" s="2" t="s">
        <v>2193</v>
      </c>
      <c r="G1490" s="2" t="s">
        <v>3600</v>
      </c>
      <c r="H1490" s="2">
        <v>26051</v>
      </c>
    </row>
    <row r="1491" spans="1:8">
      <c r="A1491" s="2" t="s">
        <v>2485</v>
      </c>
      <c r="B1491" s="2" t="s">
        <v>5203</v>
      </c>
      <c r="C1491" s="2" t="s">
        <v>5201</v>
      </c>
      <c r="D1491" s="2">
        <v>148103000</v>
      </c>
      <c r="E1491" s="2" t="s">
        <v>5171</v>
      </c>
      <c r="F1491" s="2" t="s">
        <v>2193</v>
      </c>
      <c r="G1491" s="2" t="s">
        <v>3629</v>
      </c>
      <c r="H1491" s="2">
        <v>17391</v>
      </c>
    </row>
    <row r="1492" spans="1:8">
      <c r="A1492" s="2" t="s">
        <v>2554</v>
      </c>
      <c r="B1492" s="2" t="s">
        <v>5204</v>
      </c>
      <c r="C1492" s="2" t="s">
        <v>5201</v>
      </c>
      <c r="D1492" s="2">
        <v>148104000</v>
      </c>
      <c r="E1492" s="2" t="s">
        <v>5171</v>
      </c>
      <c r="F1492" s="2" t="s">
        <v>2193</v>
      </c>
      <c r="G1492" s="2" t="s">
        <v>3574</v>
      </c>
      <c r="H1492" s="2">
        <v>15537</v>
      </c>
    </row>
    <row r="1493" spans="1:8">
      <c r="A1493" s="2" t="s">
        <v>679</v>
      </c>
      <c r="B1493" s="2" t="s">
        <v>5205</v>
      </c>
      <c r="C1493" s="2" t="s">
        <v>5201</v>
      </c>
      <c r="D1493" s="2">
        <v>148105000</v>
      </c>
      <c r="E1493" s="2" t="s">
        <v>5171</v>
      </c>
      <c r="F1493" s="2" t="s">
        <v>2193</v>
      </c>
      <c r="G1493" s="2" t="s">
        <v>3600</v>
      </c>
      <c r="H1493" s="2">
        <v>19063</v>
      </c>
    </row>
    <row r="1494" spans="1:8">
      <c r="A1494" s="2" t="s">
        <v>2687</v>
      </c>
      <c r="B1494" s="2" t="s">
        <v>5206</v>
      </c>
      <c r="C1494" s="2" t="s">
        <v>5201</v>
      </c>
      <c r="D1494" s="2">
        <v>148106000</v>
      </c>
      <c r="E1494" s="2" t="s">
        <v>5171</v>
      </c>
      <c r="F1494" s="2" t="s">
        <v>2193</v>
      </c>
      <c r="G1494" s="2" t="s">
        <v>3634</v>
      </c>
      <c r="H1494" s="2">
        <v>14925</v>
      </c>
    </row>
    <row r="1495" spans="1:8">
      <c r="A1495" s="2" t="s">
        <v>2752</v>
      </c>
      <c r="B1495" s="2" t="s">
        <v>5207</v>
      </c>
      <c r="C1495" s="2" t="s">
        <v>5201</v>
      </c>
      <c r="D1495" s="2">
        <v>148107000</v>
      </c>
      <c r="E1495" s="2" t="s">
        <v>5171</v>
      </c>
      <c r="F1495" s="2" t="s">
        <v>2193</v>
      </c>
      <c r="G1495" s="2" t="s">
        <v>3634</v>
      </c>
      <c r="H1495" s="2">
        <v>13613</v>
      </c>
    </row>
    <row r="1496" spans="2:5">
      <c r="B1496" s="2" t="s">
        <v>20</v>
      </c>
      <c r="E1496" s="2" t="s">
        <v>5171</v>
      </c>
    </row>
    <row r="1497" spans="1:8">
      <c r="A1497" s="2" t="s">
        <v>2345</v>
      </c>
      <c r="B1497" s="2" t="s">
        <v>5208</v>
      </c>
      <c r="C1497" s="2" t="s">
        <v>5209</v>
      </c>
      <c r="D1497" s="2">
        <v>141102000</v>
      </c>
      <c r="E1497" s="2" t="s">
        <v>5171</v>
      </c>
      <c r="F1497" s="2" t="s">
        <v>2252</v>
      </c>
      <c r="G1497" s="2" t="s">
        <v>3574</v>
      </c>
      <c r="H1497" s="2">
        <v>345366</v>
      </c>
    </row>
    <row r="1498" spans="2:5">
      <c r="B1498" s="2" t="s">
        <v>20</v>
      </c>
      <c r="E1498" s="2" t="s">
        <v>5171</v>
      </c>
    </row>
    <row r="1499" spans="1:8">
      <c r="A1499" s="2" t="s">
        <v>2341</v>
      </c>
      <c r="B1499" s="2" t="s">
        <v>5210</v>
      </c>
      <c r="C1499" s="2" t="s">
        <v>5211</v>
      </c>
      <c r="D1499" s="2">
        <v>141101000</v>
      </c>
      <c r="E1499" s="2" t="s">
        <v>5171</v>
      </c>
      <c r="F1499" s="2" t="s">
        <v>2207</v>
      </c>
      <c r="G1499" s="2" t="s">
        <v>3634</v>
      </c>
      <c r="H1499" s="2">
        <v>19668</v>
      </c>
    </row>
    <row r="1500" spans="1:8">
      <c r="A1500" s="2" t="s">
        <v>2417</v>
      </c>
      <c r="B1500" s="2" t="s">
        <v>5212</v>
      </c>
      <c r="C1500" s="2" t="s">
        <v>5211</v>
      </c>
      <c r="D1500" s="2">
        <v>141103000</v>
      </c>
      <c r="E1500" s="2" t="s">
        <v>5171</v>
      </c>
      <c r="F1500" s="2" t="s">
        <v>2207</v>
      </c>
      <c r="G1500" s="2" t="s">
        <v>3629</v>
      </c>
      <c r="H1500" s="2">
        <v>15357</v>
      </c>
    </row>
    <row r="1501" spans="1:8">
      <c r="A1501" s="2" t="s">
        <v>2486</v>
      </c>
      <c r="B1501" s="2" t="s">
        <v>5213</v>
      </c>
      <c r="C1501" s="2" t="s">
        <v>5211</v>
      </c>
      <c r="D1501" s="2">
        <v>141104000</v>
      </c>
      <c r="E1501" s="2" t="s">
        <v>5171</v>
      </c>
      <c r="F1501" s="2" t="s">
        <v>2207</v>
      </c>
      <c r="G1501" s="2" t="s">
        <v>3634</v>
      </c>
      <c r="H1501" s="2">
        <v>13756</v>
      </c>
    </row>
    <row r="1502" spans="1:8">
      <c r="A1502" s="2" t="s">
        <v>2555</v>
      </c>
      <c r="B1502" s="2" t="s">
        <v>5214</v>
      </c>
      <c r="C1502" s="2" t="s">
        <v>5211</v>
      </c>
      <c r="D1502" s="2">
        <v>141105000</v>
      </c>
      <c r="E1502" s="2" t="s">
        <v>5171</v>
      </c>
      <c r="F1502" s="2" t="s">
        <v>2207</v>
      </c>
      <c r="G1502" s="2" t="s">
        <v>3629</v>
      </c>
      <c r="H1502" s="2">
        <v>43627</v>
      </c>
    </row>
    <row r="1503" spans="1:8">
      <c r="A1503" s="2" t="s">
        <v>2622</v>
      </c>
      <c r="B1503" s="2" t="s">
        <v>5215</v>
      </c>
      <c r="C1503" s="2" t="s">
        <v>5211</v>
      </c>
      <c r="D1503" s="2">
        <v>141106000</v>
      </c>
      <c r="E1503" s="2" t="s">
        <v>5171</v>
      </c>
      <c r="F1503" s="2" t="s">
        <v>2207</v>
      </c>
      <c r="G1503" s="2" t="s">
        <v>3574</v>
      </c>
      <c r="H1503" s="2">
        <v>59820</v>
      </c>
    </row>
    <row r="1504" spans="1:8">
      <c r="A1504" s="2" t="s">
        <v>2688</v>
      </c>
      <c r="B1504" s="2" t="s">
        <v>5216</v>
      </c>
      <c r="C1504" s="2" t="s">
        <v>5211</v>
      </c>
      <c r="D1504" s="2">
        <v>141107000</v>
      </c>
      <c r="E1504" s="2" t="s">
        <v>5171</v>
      </c>
      <c r="F1504" s="2" t="s">
        <v>2207</v>
      </c>
      <c r="G1504" s="2" t="s">
        <v>3634</v>
      </c>
      <c r="H1504" s="2">
        <v>15260</v>
      </c>
    </row>
    <row r="1505" spans="1:8">
      <c r="A1505" s="2" t="s">
        <v>2753</v>
      </c>
      <c r="B1505" s="2" t="s">
        <v>5217</v>
      </c>
      <c r="C1505" s="2" t="s">
        <v>5211</v>
      </c>
      <c r="D1505" s="2">
        <v>141108000</v>
      </c>
      <c r="E1505" s="2" t="s">
        <v>5171</v>
      </c>
      <c r="F1505" s="2" t="s">
        <v>2207</v>
      </c>
      <c r="G1505" s="2" t="s">
        <v>3634</v>
      </c>
      <c r="H1505" s="2">
        <v>19361</v>
      </c>
    </row>
    <row r="1506" spans="1:8">
      <c r="A1506" s="2" t="s">
        <v>2810</v>
      </c>
      <c r="B1506" s="2" t="s">
        <v>5218</v>
      </c>
      <c r="C1506" s="2" t="s">
        <v>5211</v>
      </c>
      <c r="D1506" s="2">
        <v>141109000</v>
      </c>
      <c r="E1506" s="2" t="s">
        <v>5171</v>
      </c>
      <c r="F1506" s="2" t="s">
        <v>2207</v>
      </c>
      <c r="G1506" s="2" t="s">
        <v>3634</v>
      </c>
      <c r="H1506" s="2">
        <v>17292</v>
      </c>
    </row>
    <row r="1507" spans="1:8">
      <c r="A1507" s="2" t="s">
        <v>2867</v>
      </c>
      <c r="B1507" s="2" t="s">
        <v>5219</v>
      </c>
      <c r="C1507" s="2" t="s">
        <v>5211</v>
      </c>
      <c r="D1507" s="2">
        <v>141110000</v>
      </c>
      <c r="E1507" s="2" t="s">
        <v>5171</v>
      </c>
      <c r="F1507" s="2" t="s">
        <v>2207</v>
      </c>
      <c r="G1507" s="2" t="s">
        <v>3574</v>
      </c>
      <c r="H1507" s="2">
        <v>129133</v>
      </c>
    </row>
    <row r="1508" spans="1:8">
      <c r="A1508" s="2" t="s">
        <v>2920</v>
      </c>
      <c r="B1508" s="2" t="s">
        <v>5220</v>
      </c>
      <c r="C1508" s="2" t="s">
        <v>5211</v>
      </c>
      <c r="D1508" s="2">
        <v>141111000</v>
      </c>
      <c r="E1508" s="2" t="s">
        <v>5171</v>
      </c>
      <c r="F1508" s="2" t="s">
        <v>2207</v>
      </c>
      <c r="G1508" s="2" t="s">
        <v>3574</v>
      </c>
      <c r="H1508" s="2">
        <v>35953</v>
      </c>
    </row>
    <row r="1509" spans="1:8">
      <c r="A1509" s="2" t="s">
        <v>2975</v>
      </c>
      <c r="B1509" s="2" t="s">
        <v>5221</v>
      </c>
      <c r="C1509" s="2" t="s">
        <v>5211</v>
      </c>
      <c r="D1509" s="2">
        <v>141112000</v>
      </c>
      <c r="E1509" s="2" t="s">
        <v>5171</v>
      </c>
      <c r="F1509" s="2" t="s">
        <v>2207</v>
      </c>
      <c r="G1509" s="2" t="s">
        <v>3626</v>
      </c>
      <c r="H1509" s="2">
        <v>11457</v>
      </c>
    </row>
    <row r="1510" spans="1:8">
      <c r="A1510" s="2" t="s">
        <v>3024</v>
      </c>
      <c r="B1510" s="2" t="s">
        <v>5222</v>
      </c>
      <c r="C1510" s="2" t="s">
        <v>5211</v>
      </c>
      <c r="D1510" s="2">
        <v>141113000</v>
      </c>
      <c r="E1510" s="2" t="s">
        <v>5171</v>
      </c>
      <c r="F1510" s="2" t="s">
        <v>2207</v>
      </c>
      <c r="G1510" s="2" t="s">
        <v>3574</v>
      </c>
      <c r="H1510" s="2">
        <v>47648</v>
      </c>
    </row>
    <row r="1511" spans="1:8">
      <c r="A1511" s="2" t="s">
        <v>3070</v>
      </c>
      <c r="B1511" s="2" t="s">
        <v>5223</v>
      </c>
      <c r="C1511" s="2" t="s">
        <v>5211</v>
      </c>
      <c r="D1511" s="2">
        <v>141114000</v>
      </c>
      <c r="E1511" s="2" t="s">
        <v>5171</v>
      </c>
      <c r="F1511" s="2" t="s">
        <v>2207</v>
      </c>
      <c r="G1511" s="2" t="s">
        <v>3626</v>
      </c>
      <c r="H1511" s="2">
        <v>17892</v>
      </c>
    </row>
    <row r="1512" spans="2:5">
      <c r="B1512" s="2" t="s">
        <v>20</v>
      </c>
      <c r="E1512" s="2" t="s">
        <v>5171</v>
      </c>
    </row>
    <row r="1513" spans="1:8">
      <c r="A1513" s="2" t="s">
        <v>2342</v>
      </c>
      <c r="B1513" s="2" t="s">
        <v>5224</v>
      </c>
      <c r="C1513" s="2" t="s">
        <v>5225</v>
      </c>
      <c r="D1513" s="2">
        <v>142701000</v>
      </c>
      <c r="E1513" s="2" t="s">
        <v>5171</v>
      </c>
      <c r="F1513" s="2" t="s">
        <v>2221</v>
      </c>
      <c r="G1513" s="2" t="s">
        <v>3634</v>
      </c>
      <c r="H1513" s="2">
        <v>21837</v>
      </c>
    </row>
    <row r="1514" spans="1:8">
      <c r="A1514" s="2" t="s">
        <v>2418</v>
      </c>
      <c r="B1514" s="2" t="s">
        <v>5226</v>
      </c>
      <c r="C1514" s="2" t="s">
        <v>5225</v>
      </c>
      <c r="D1514" s="2">
        <v>142702000</v>
      </c>
      <c r="E1514" s="2" t="s">
        <v>5171</v>
      </c>
      <c r="F1514" s="2" t="s">
        <v>2221</v>
      </c>
      <c r="G1514" s="2" t="s">
        <v>3634</v>
      </c>
      <c r="H1514" s="2">
        <v>9400</v>
      </c>
    </row>
    <row r="1515" spans="1:8">
      <c r="A1515" s="2" t="s">
        <v>2487</v>
      </c>
      <c r="B1515" s="2" t="s">
        <v>5227</v>
      </c>
      <c r="C1515" s="2" t="s">
        <v>5225</v>
      </c>
      <c r="D1515" s="2">
        <v>142703000</v>
      </c>
      <c r="E1515" s="2" t="s">
        <v>5171</v>
      </c>
      <c r="F1515" s="2" t="s">
        <v>2221</v>
      </c>
      <c r="G1515" s="2" t="s">
        <v>3634</v>
      </c>
      <c r="H1515" s="2">
        <v>17048</v>
      </c>
    </row>
    <row r="1516" spans="1:8">
      <c r="A1516" s="2" t="s">
        <v>2556</v>
      </c>
      <c r="B1516" s="2" t="s">
        <v>5228</v>
      </c>
      <c r="C1516" s="2" t="s">
        <v>5225</v>
      </c>
      <c r="D1516" s="2">
        <v>142704000</v>
      </c>
      <c r="E1516" s="2" t="s">
        <v>5171</v>
      </c>
      <c r="F1516" s="2" t="s">
        <v>2221</v>
      </c>
      <c r="G1516" s="2" t="s">
        <v>3634</v>
      </c>
      <c r="H1516" s="2">
        <v>19333</v>
      </c>
    </row>
    <row r="1517" spans="1:8">
      <c r="A1517" s="2" t="s">
        <v>2623</v>
      </c>
      <c r="B1517" s="2" t="s">
        <v>5229</v>
      </c>
      <c r="C1517" s="2" t="s">
        <v>5225</v>
      </c>
      <c r="D1517" s="2">
        <v>142705000</v>
      </c>
      <c r="E1517" s="2" t="s">
        <v>5171</v>
      </c>
      <c r="F1517" s="2" t="s">
        <v>2221</v>
      </c>
      <c r="G1517" s="2" t="s">
        <v>3634</v>
      </c>
      <c r="H1517" s="2">
        <v>25279</v>
      </c>
    </row>
    <row r="1518" spans="1:8">
      <c r="A1518" s="2" t="s">
        <v>2689</v>
      </c>
      <c r="B1518" s="2" t="s">
        <v>5230</v>
      </c>
      <c r="C1518" s="2" t="s">
        <v>5225</v>
      </c>
      <c r="D1518" s="2">
        <v>142706000</v>
      </c>
      <c r="E1518" s="2" t="s">
        <v>5171</v>
      </c>
      <c r="F1518" s="2" t="s">
        <v>2221</v>
      </c>
      <c r="G1518" s="2" t="s">
        <v>3634</v>
      </c>
      <c r="H1518" s="2">
        <v>17331</v>
      </c>
    </row>
    <row r="1519" spans="1:8">
      <c r="A1519" s="2" t="s">
        <v>2754</v>
      </c>
      <c r="B1519" s="2" t="s">
        <v>5231</v>
      </c>
      <c r="C1519" s="2" t="s">
        <v>5225</v>
      </c>
      <c r="D1519" s="2">
        <v>142707000</v>
      </c>
      <c r="E1519" s="2" t="s">
        <v>5171</v>
      </c>
      <c r="F1519" s="2" t="s">
        <v>2221</v>
      </c>
      <c r="G1519" s="2" t="s">
        <v>3629</v>
      </c>
      <c r="H1519" s="2">
        <v>32119</v>
      </c>
    </row>
    <row r="1520" spans="1:8">
      <c r="A1520" s="2" t="s">
        <v>2811</v>
      </c>
      <c r="B1520" s="2" t="s">
        <v>5232</v>
      </c>
      <c r="C1520" s="2" t="s">
        <v>5225</v>
      </c>
      <c r="D1520" s="2">
        <v>142708000</v>
      </c>
      <c r="E1520" s="2" t="s">
        <v>5171</v>
      </c>
      <c r="F1520" s="2" t="s">
        <v>2221</v>
      </c>
      <c r="G1520" s="2" t="s">
        <v>3600</v>
      </c>
      <c r="H1520" s="2">
        <v>19408</v>
      </c>
    </row>
    <row r="1521" spans="1:8">
      <c r="A1521" s="2" t="s">
        <v>2868</v>
      </c>
      <c r="B1521" s="2" t="s">
        <v>5233</v>
      </c>
      <c r="C1521" s="2" t="s">
        <v>5225</v>
      </c>
      <c r="D1521" s="2">
        <v>142709000</v>
      </c>
      <c r="E1521" s="2" t="s">
        <v>5171</v>
      </c>
      <c r="F1521" s="2" t="s">
        <v>2221</v>
      </c>
      <c r="G1521" s="2" t="s">
        <v>3626</v>
      </c>
      <c r="H1521" s="2">
        <v>9227</v>
      </c>
    </row>
    <row r="1522" spans="1:8">
      <c r="A1522" s="2" t="s">
        <v>2921</v>
      </c>
      <c r="B1522" s="2" t="s">
        <v>5234</v>
      </c>
      <c r="C1522" s="2" t="s">
        <v>5225</v>
      </c>
      <c r="D1522" s="2">
        <v>142710000</v>
      </c>
      <c r="E1522" s="2" t="s">
        <v>5171</v>
      </c>
      <c r="F1522" s="2" t="s">
        <v>2221</v>
      </c>
      <c r="G1522" s="2" t="s">
        <v>3634</v>
      </c>
      <c r="H1522" s="2">
        <v>16559</v>
      </c>
    </row>
    <row r="1523" spans="1:8">
      <c r="A1523" s="2" t="s">
        <v>2976</v>
      </c>
      <c r="B1523" s="2" t="s">
        <v>5235</v>
      </c>
      <c r="C1523" s="2" t="s">
        <v>5225</v>
      </c>
      <c r="D1523" s="2">
        <v>142711000</v>
      </c>
      <c r="E1523" s="2" t="s">
        <v>5171</v>
      </c>
      <c r="F1523" s="2" t="s">
        <v>2221</v>
      </c>
      <c r="G1523" s="2" t="s">
        <v>3626</v>
      </c>
      <c r="H1523" s="2">
        <v>15261</v>
      </c>
    </row>
    <row r="1524" spans="2:5">
      <c r="B1524" s="2" t="s">
        <v>20</v>
      </c>
      <c r="E1524" s="2" t="s">
        <v>5171</v>
      </c>
    </row>
    <row r="1525" spans="1:8">
      <c r="A1525" s="2" t="s">
        <v>2343</v>
      </c>
      <c r="B1525" s="2" t="s">
        <v>5236</v>
      </c>
      <c r="C1525" s="2" t="s">
        <v>5237</v>
      </c>
      <c r="D1525" s="2">
        <v>143213000</v>
      </c>
      <c r="E1525" s="2" t="s">
        <v>5171</v>
      </c>
      <c r="F1525" s="2" t="s">
        <v>2235</v>
      </c>
      <c r="G1525" s="2" t="s">
        <v>3626</v>
      </c>
      <c r="H1525" s="2">
        <v>110642</v>
      </c>
    </row>
    <row r="1526" spans="1:8">
      <c r="A1526" s="2" t="s">
        <v>2419</v>
      </c>
      <c r="B1526" s="2" t="s">
        <v>5238</v>
      </c>
      <c r="C1526" s="2" t="s">
        <v>5237</v>
      </c>
      <c r="D1526" s="2">
        <v>143201000</v>
      </c>
      <c r="E1526" s="2" t="s">
        <v>5171</v>
      </c>
      <c r="F1526" s="2" t="s">
        <v>2235</v>
      </c>
      <c r="G1526" s="2" t="s">
        <v>3629</v>
      </c>
      <c r="H1526" s="2">
        <v>12195</v>
      </c>
    </row>
    <row r="1527" spans="1:8">
      <c r="A1527" s="2" t="s">
        <v>2488</v>
      </c>
      <c r="B1527" s="2" t="s">
        <v>5239</v>
      </c>
      <c r="C1527" s="2" t="s">
        <v>5237</v>
      </c>
      <c r="D1527" s="2">
        <v>143206000</v>
      </c>
      <c r="E1527" s="2" t="s">
        <v>5171</v>
      </c>
      <c r="F1527" s="2" t="s">
        <v>2235</v>
      </c>
      <c r="G1527" s="2" t="s">
        <v>3634</v>
      </c>
      <c r="H1527" s="2">
        <v>8733</v>
      </c>
    </row>
    <row r="1528" spans="1:8">
      <c r="A1528" s="2" t="s">
        <v>2557</v>
      </c>
      <c r="B1528" s="2" t="s">
        <v>5240</v>
      </c>
      <c r="C1528" s="2" t="s">
        <v>5237</v>
      </c>
      <c r="D1528" s="2">
        <v>143208000</v>
      </c>
      <c r="E1528" s="2" t="s">
        <v>5171</v>
      </c>
      <c r="F1528" s="2" t="s">
        <v>2235</v>
      </c>
      <c r="G1528" s="2" t="s">
        <v>3626</v>
      </c>
      <c r="H1528" s="2">
        <v>9644</v>
      </c>
    </row>
    <row r="1529" spans="1:8">
      <c r="A1529" s="2" t="s">
        <v>2624</v>
      </c>
      <c r="B1529" s="2" t="s">
        <v>5241</v>
      </c>
      <c r="C1529" s="2" t="s">
        <v>5237</v>
      </c>
      <c r="D1529" s="2">
        <v>143209000</v>
      </c>
      <c r="E1529" s="2" t="s">
        <v>5171</v>
      </c>
      <c r="F1529" s="2" t="s">
        <v>2235</v>
      </c>
      <c r="G1529" s="2" t="s">
        <v>3574</v>
      </c>
      <c r="H1529" s="2">
        <v>32026</v>
      </c>
    </row>
    <row r="1530" spans="1:8">
      <c r="A1530" s="2" t="s">
        <v>2690</v>
      </c>
      <c r="B1530" s="2" t="s">
        <v>5242</v>
      </c>
      <c r="C1530" s="2" t="s">
        <v>5237</v>
      </c>
      <c r="D1530" s="2">
        <v>143211000</v>
      </c>
      <c r="E1530" s="2" t="s">
        <v>5171</v>
      </c>
      <c r="F1530" s="2" t="s">
        <v>2235</v>
      </c>
      <c r="G1530" s="2" t="s">
        <v>3634</v>
      </c>
      <c r="H1530" s="2">
        <v>17038</v>
      </c>
    </row>
    <row r="1531" spans="1:8">
      <c r="A1531" s="2" t="s">
        <v>2755</v>
      </c>
      <c r="B1531" s="2" t="s">
        <v>5243</v>
      </c>
      <c r="C1531" s="2" t="s">
        <v>5237</v>
      </c>
      <c r="D1531" s="2">
        <v>143214000</v>
      </c>
      <c r="E1531" s="2" t="s">
        <v>5171</v>
      </c>
      <c r="F1531" s="2" t="s">
        <v>2235</v>
      </c>
      <c r="G1531" s="2" t="s">
        <v>3634</v>
      </c>
      <c r="H1531" s="2">
        <v>9534</v>
      </c>
    </row>
    <row r="1532" spans="1:8">
      <c r="A1532" s="2" t="s">
        <v>2812</v>
      </c>
      <c r="B1532" s="2" t="s">
        <v>5244</v>
      </c>
      <c r="C1532" s="2" t="s">
        <v>5237</v>
      </c>
      <c r="D1532" s="2">
        <v>143215000</v>
      </c>
      <c r="E1532" s="2" t="s">
        <v>5171</v>
      </c>
      <c r="F1532" s="2" t="s">
        <v>2235</v>
      </c>
      <c r="G1532" s="2" t="s">
        <v>3634</v>
      </c>
      <c r="H1532" s="2">
        <v>12868</v>
      </c>
    </row>
    <row r="1533" spans="2:5">
      <c r="B1533" s="2" t="s">
        <v>20</v>
      </c>
      <c r="E1533" s="2" t="s">
        <v>5171</v>
      </c>
    </row>
    <row r="1534" spans="1:8">
      <c r="A1534" s="2" t="s">
        <v>2344</v>
      </c>
      <c r="B1534" s="2" t="s">
        <v>5245</v>
      </c>
      <c r="C1534" s="2" t="s">
        <v>5246</v>
      </c>
      <c r="D1534" s="2">
        <v>144401000</v>
      </c>
      <c r="E1534" s="2" t="s">
        <v>5171</v>
      </c>
      <c r="F1534" s="2" t="s">
        <v>2245</v>
      </c>
      <c r="G1534" s="2" t="s">
        <v>3626</v>
      </c>
      <c r="H1534" s="2">
        <v>4819</v>
      </c>
    </row>
    <row r="1535" spans="1:8">
      <c r="A1535" s="2" t="s">
        <v>2420</v>
      </c>
      <c r="B1535" s="2" t="s">
        <v>5247</v>
      </c>
      <c r="C1535" s="2" t="s">
        <v>5246</v>
      </c>
      <c r="D1535" s="2">
        <v>144402000</v>
      </c>
      <c r="E1535" s="2" t="s">
        <v>5171</v>
      </c>
      <c r="F1535" s="2" t="s">
        <v>2245</v>
      </c>
      <c r="G1535" s="2" t="s">
        <v>3634</v>
      </c>
      <c r="H1535" s="2">
        <v>31065</v>
      </c>
    </row>
    <row r="1536" spans="1:8">
      <c r="A1536" s="2" t="s">
        <v>2489</v>
      </c>
      <c r="B1536" s="2" t="s">
        <v>5248</v>
      </c>
      <c r="C1536" s="2" t="s">
        <v>5246</v>
      </c>
      <c r="D1536" s="2">
        <v>144403000</v>
      </c>
      <c r="E1536" s="2" t="s">
        <v>5171</v>
      </c>
      <c r="F1536" s="2" t="s">
        <v>2245</v>
      </c>
      <c r="G1536" s="2" t="s">
        <v>3626</v>
      </c>
      <c r="H1536" s="2">
        <v>7040</v>
      </c>
    </row>
    <row r="1537" spans="1:8">
      <c r="A1537" s="2" t="s">
        <v>2558</v>
      </c>
      <c r="B1537" s="2" t="s">
        <v>5249</v>
      </c>
      <c r="C1537" s="2" t="s">
        <v>5246</v>
      </c>
      <c r="D1537" s="2">
        <v>144404000</v>
      </c>
      <c r="E1537" s="2" t="s">
        <v>5171</v>
      </c>
      <c r="F1537" s="2" t="s">
        <v>2245</v>
      </c>
      <c r="G1537" s="2" t="s">
        <v>3600</v>
      </c>
      <c r="H1537" s="2">
        <v>24643</v>
      </c>
    </row>
    <row r="1538" spans="1:8">
      <c r="A1538" s="2" t="s">
        <v>2625</v>
      </c>
      <c r="B1538" s="2" t="s">
        <v>5250</v>
      </c>
      <c r="C1538" s="2" t="s">
        <v>5246</v>
      </c>
      <c r="D1538" s="2">
        <v>144405000</v>
      </c>
      <c r="E1538" s="2" t="s">
        <v>5171</v>
      </c>
      <c r="F1538" s="2" t="s">
        <v>2245</v>
      </c>
      <c r="G1538" s="2" t="s">
        <v>3634</v>
      </c>
      <c r="H1538" s="2">
        <v>10272</v>
      </c>
    </row>
    <row r="1539" spans="1:8">
      <c r="A1539" s="2" t="s">
        <v>2691</v>
      </c>
      <c r="B1539" s="2" t="s">
        <v>5251</v>
      </c>
      <c r="C1539" s="2" t="s">
        <v>5246</v>
      </c>
      <c r="D1539" s="2">
        <v>144406000</v>
      </c>
      <c r="E1539" s="2" t="s">
        <v>5171</v>
      </c>
      <c r="F1539" s="2" t="s">
        <v>2245</v>
      </c>
      <c r="G1539" s="2" t="s">
        <v>3600</v>
      </c>
      <c r="H1539" s="2">
        <v>28121</v>
      </c>
    </row>
    <row r="1540" spans="1:8">
      <c r="A1540" s="2" t="s">
        <v>2756</v>
      </c>
      <c r="B1540" s="2" t="s">
        <v>5252</v>
      </c>
      <c r="C1540" s="2" t="s">
        <v>5246</v>
      </c>
      <c r="D1540" s="2">
        <v>144407000</v>
      </c>
      <c r="E1540" s="2" t="s">
        <v>5171</v>
      </c>
      <c r="F1540" s="2" t="s">
        <v>2245</v>
      </c>
      <c r="G1540" s="2" t="s">
        <v>3626</v>
      </c>
      <c r="H1540" s="2">
        <v>9315</v>
      </c>
    </row>
    <row r="1541" spans="1:8">
      <c r="A1541" s="2" t="s">
        <v>2813</v>
      </c>
      <c r="B1541" s="2" t="s">
        <v>5253</v>
      </c>
      <c r="C1541" s="2" t="s">
        <v>5246</v>
      </c>
      <c r="D1541" s="2">
        <v>144408000</v>
      </c>
      <c r="E1541" s="2" t="s">
        <v>5171</v>
      </c>
      <c r="F1541" s="2" t="s">
        <v>2245</v>
      </c>
      <c r="G1541" s="2" t="s">
        <v>3626</v>
      </c>
      <c r="H1541" s="2">
        <v>8799</v>
      </c>
    </row>
    <row r="1542" spans="1:8">
      <c r="A1542" s="2" t="s">
        <v>2869</v>
      </c>
      <c r="B1542" s="2" t="s">
        <v>5254</v>
      </c>
      <c r="C1542" s="2" t="s">
        <v>5246</v>
      </c>
      <c r="D1542" s="2">
        <v>144409000</v>
      </c>
      <c r="E1542" s="2" t="s">
        <v>5171</v>
      </c>
      <c r="F1542" s="2" t="s">
        <v>2245</v>
      </c>
      <c r="G1542" s="2" t="s">
        <v>3626</v>
      </c>
      <c r="H1542" s="2">
        <v>11127</v>
      </c>
    </row>
    <row r="1543" spans="1:8">
      <c r="A1543" s="2" t="s">
        <v>2922</v>
      </c>
      <c r="B1543" s="2" t="s">
        <v>5255</v>
      </c>
      <c r="C1543" s="2" t="s">
        <v>5246</v>
      </c>
      <c r="D1543" s="2">
        <v>144410000</v>
      </c>
      <c r="E1543" s="2" t="s">
        <v>5171</v>
      </c>
      <c r="F1543" s="2" t="s">
        <v>2245</v>
      </c>
      <c r="G1543" s="2" t="s">
        <v>3634</v>
      </c>
      <c r="H1543" s="2">
        <v>19389</v>
      </c>
    </row>
    <row r="1544" spans="2:5">
      <c r="B1544" s="2" t="s">
        <v>20</v>
      </c>
      <c r="E1544" s="2" t="s">
        <v>5256</v>
      </c>
    </row>
    <row r="1545" spans="1:8">
      <c r="A1545" s="2" t="s">
        <v>5257</v>
      </c>
      <c r="B1545" s="2" t="s">
        <v>5258</v>
      </c>
      <c r="C1545" s="2" t="s">
        <v>5259</v>
      </c>
      <c r="D1545" s="2">
        <v>150702000</v>
      </c>
      <c r="E1545" s="2" t="s">
        <v>5256</v>
      </c>
      <c r="F1545" s="2" t="s">
        <v>5260</v>
      </c>
      <c r="G1545" s="2" t="s">
        <v>3769</v>
      </c>
      <c r="H1545" s="2">
        <v>74782</v>
      </c>
    </row>
    <row r="1546" spans="1:8">
      <c r="A1546" s="2" t="s">
        <v>5261</v>
      </c>
      <c r="B1546" s="2" t="s">
        <v>5262</v>
      </c>
      <c r="C1546" s="2" t="s">
        <v>5259</v>
      </c>
      <c r="D1546" s="2">
        <v>150703000</v>
      </c>
      <c r="E1546" s="2" t="s">
        <v>5256</v>
      </c>
      <c r="F1546" s="2" t="s">
        <v>5260</v>
      </c>
      <c r="G1546" s="2" t="s">
        <v>3629</v>
      </c>
      <c r="H1546" s="2">
        <v>24594</v>
      </c>
    </row>
    <row r="1547" spans="1:8">
      <c r="A1547" s="2" t="s">
        <v>5263</v>
      </c>
      <c r="B1547" s="2" t="s">
        <v>5264</v>
      </c>
      <c r="C1547" s="2" t="s">
        <v>5259</v>
      </c>
      <c r="D1547" s="2">
        <v>150704000</v>
      </c>
      <c r="E1547" s="2" t="s">
        <v>5256</v>
      </c>
      <c r="F1547" s="2" t="s">
        <v>5260</v>
      </c>
      <c r="G1547" s="2" t="s">
        <v>3634</v>
      </c>
      <c r="H1547" s="2">
        <v>40646</v>
      </c>
    </row>
    <row r="1548" spans="1:8">
      <c r="A1548" s="2" t="s">
        <v>5265</v>
      </c>
      <c r="B1548" s="2" t="s">
        <v>5266</v>
      </c>
      <c r="C1548" s="2" t="s">
        <v>5259</v>
      </c>
      <c r="D1548" s="2">
        <v>150705000</v>
      </c>
      <c r="E1548" s="2" t="s">
        <v>5256</v>
      </c>
      <c r="F1548" s="2" t="s">
        <v>5260</v>
      </c>
      <c r="G1548" s="2" t="s">
        <v>3574</v>
      </c>
      <c r="H1548" s="2">
        <v>41730</v>
      </c>
    </row>
    <row r="1549" spans="1:8">
      <c r="A1549" s="2" t="s">
        <v>5267</v>
      </c>
      <c r="B1549" s="2" t="s">
        <v>5268</v>
      </c>
      <c r="C1549" s="2" t="s">
        <v>5259</v>
      </c>
      <c r="D1549" s="2">
        <v>150706000</v>
      </c>
      <c r="E1549" s="2" t="s">
        <v>5256</v>
      </c>
      <c r="F1549" s="2" t="s">
        <v>5260</v>
      </c>
      <c r="G1549" s="2" t="s">
        <v>3629</v>
      </c>
      <c r="H1549" s="2">
        <v>19163</v>
      </c>
    </row>
    <row r="1550" spans="1:8">
      <c r="A1550" s="2" t="s">
        <v>3561</v>
      </c>
      <c r="B1550" s="2" t="s">
        <v>5269</v>
      </c>
      <c r="C1550" s="2" t="s">
        <v>5259</v>
      </c>
      <c r="D1550" s="2">
        <v>150707000</v>
      </c>
      <c r="E1550" s="2" t="s">
        <v>5256</v>
      </c>
      <c r="F1550" s="2" t="s">
        <v>5260</v>
      </c>
      <c r="G1550" s="2" t="s">
        <v>3600</v>
      </c>
      <c r="H1550" s="2">
        <v>20207</v>
      </c>
    </row>
    <row r="1551" spans="1:8">
      <c r="A1551" s="2" t="s">
        <v>5270</v>
      </c>
      <c r="B1551" s="2" t="s">
        <v>5271</v>
      </c>
      <c r="C1551" s="2" t="s">
        <v>5259</v>
      </c>
      <c r="D1551" s="2">
        <v>150708000</v>
      </c>
      <c r="E1551" s="2" t="s">
        <v>5256</v>
      </c>
      <c r="F1551" s="2" t="s">
        <v>5260</v>
      </c>
      <c r="G1551" s="2" t="s">
        <v>5272</v>
      </c>
      <c r="H1551" s="2">
        <v>17531</v>
      </c>
    </row>
    <row r="1552" spans="1:8">
      <c r="A1552" s="2" t="s">
        <v>5273</v>
      </c>
      <c r="B1552" s="2" t="s">
        <v>5274</v>
      </c>
      <c r="C1552" s="2" t="s">
        <v>5259</v>
      </c>
      <c r="D1552" s="2">
        <v>150709000</v>
      </c>
      <c r="E1552" s="2" t="s">
        <v>5256</v>
      </c>
      <c r="F1552" s="2" t="s">
        <v>5260</v>
      </c>
      <c r="G1552" s="2" t="s">
        <v>5272</v>
      </c>
      <c r="H1552" s="2">
        <v>20905</v>
      </c>
    </row>
    <row r="1553" spans="1:8">
      <c r="A1553" s="2" t="s">
        <v>5275</v>
      </c>
      <c r="B1553" s="2" t="s">
        <v>5276</v>
      </c>
      <c r="C1553" s="2" t="s">
        <v>5259</v>
      </c>
      <c r="D1553" s="2">
        <v>150710000</v>
      </c>
      <c r="E1553" s="2" t="s">
        <v>5256</v>
      </c>
      <c r="F1553" s="2" t="s">
        <v>5260</v>
      </c>
      <c r="G1553" s="2" t="s">
        <v>5272</v>
      </c>
      <c r="H1553" s="2">
        <v>19307</v>
      </c>
    </row>
    <row r="1554" spans="1:8">
      <c r="A1554" s="2" t="s">
        <v>5277</v>
      </c>
      <c r="B1554" s="2" t="s">
        <v>5278</v>
      </c>
      <c r="C1554" s="2" t="s">
        <v>5259</v>
      </c>
      <c r="D1554" s="2">
        <v>150711000</v>
      </c>
      <c r="E1554" s="2" t="s">
        <v>5256</v>
      </c>
      <c r="F1554" s="2" t="s">
        <v>5260</v>
      </c>
      <c r="G1554" s="2" t="s">
        <v>5272</v>
      </c>
      <c r="H1554" s="2">
        <v>18441</v>
      </c>
    </row>
    <row r="1555" spans="1:8">
      <c r="A1555" s="2" t="s">
        <v>5279</v>
      </c>
      <c r="B1555" s="2" t="s">
        <v>5280</v>
      </c>
      <c r="C1555" s="2" t="s">
        <v>5259</v>
      </c>
      <c r="D1555" s="2">
        <v>150712000</v>
      </c>
      <c r="E1555" s="2" t="s">
        <v>5256</v>
      </c>
      <c r="F1555" s="2" t="s">
        <v>5260</v>
      </c>
      <c r="G1555" s="2" t="s">
        <v>5272</v>
      </c>
      <c r="H1555" s="2">
        <v>25085</v>
      </c>
    </row>
    <row r="1556" spans="1:8">
      <c r="A1556" s="2" t="s">
        <v>5281</v>
      </c>
      <c r="B1556" s="2" t="s">
        <v>5282</v>
      </c>
      <c r="C1556" s="2" t="s">
        <v>5259</v>
      </c>
      <c r="D1556" s="2">
        <v>150713000</v>
      </c>
      <c r="E1556" s="2" t="s">
        <v>5256</v>
      </c>
      <c r="F1556" s="2" t="s">
        <v>5260</v>
      </c>
      <c r="G1556" s="2" t="s">
        <v>5272</v>
      </c>
      <c r="H1556" s="2">
        <v>24188</v>
      </c>
    </row>
    <row r="1557" spans="2:5">
      <c r="B1557" s="2" t="s">
        <v>20</v>
      </c>
      <c r="E1557" s="2" t="s">
        <v>5256</v>
      </c>
    </row>
    <row r="1558" spans="1:6">
      <c r="A1558" s="2" t="s">
        <v>5283</v>
      </c>
      <c r="B1558" s="2" t="s">
        <v>5284</v>
      </c>
      <c r="C1558" s="2" t="s">
        <v>5285</v>
      </c>
      <c r="E1558" s="2" t="s">
        <v>5256</v>
      </c>
      <c r="F1558" s="2" t="s">
        <v>5286</v>
      </c>
    </row>
    <row r="1559" spans="1:8">
      <c r="A1559" s="2" t="s">
        <v>5287</v>
      </c>
      <c r="B1559" s="2" t="s">
        <v>5288</v>
      </c>
      <c r="C1559" s="2" t="s">
        <v>5289</v>
      </c>
      <c r="D1559" s="2">
        <v>153601000</v>
      </c>
      <c r="E1559" s="2" t="s">
        <v>5256</v>
      </c>
      <c r="F1559" s="2" t="s">
        <v>5286</v>
      </c>
      <c r="G1559" s="2" t="s">
        <v>3629</v>
      </c>
      <c r="H1559" s="2">
        <v>20841</v>
      </c>
    </row>
    <row r="1560" spans="1:8">
      <c r="A1560" s="2" t="s">
        <v>5290</v>
      </c>
      <c r="B1560" s="2" t="s">
        <v>5291</v>
      </c>
      <c r="C1560" s="2" t="s">
        <v>5289</v>
      </c>
      <c r="D1560" s="2">
        <v>153602000</v>
      </c>
      <c r="E1560" s="2" t="s">
        <v>5256</v>
      </c>
      <c r="F1560" s="2" t="s">
        <v>5286</v>
      </c>
      <c r="G1560" s="2" t="s">
        <v>3634</v>
      </c>
      <c r="H1560" s="2">
        <v>26819</v>
      </c>
    </row>
    <row r="1561" spans="1:8">
      <c r="A1561" s="2" t="s">
        <v>5292</v>
      </c>
      <c r="B1561" s="2" t="s">
        <v>5293</v>
      </c>
      <c r="C1561" s="2" t="s">
        <v>5289</v>
      </c>
      <c r="D1561" s="2">
        <v>153603000</v>
      </c>
      <c r="E1561" s="2" t="s">
        <v>5256</v>
      </c>
      <c r="F1561" s="2" t="s">
        <v>5286</v>
      </c>
      <c r="G1561" s="2" t="s">
        <v>3634</v>
      </c>
      <c r="H1561" s="2">
        <v>29180</v>
      </c>
    </row>
    <row r="1562" spans="1:8">
      <c r="A1562" s="2" t="s">
        <v>5294</v>
      </c>
      <c r="B1562" s="2" t="s">
        <v>5295</v>
      </c>
      <c r="C1562" s="2" t="s">
        <v>5289</v>
      </c>
      <c r="D1562" s="2">
        <v>153604000</v>
      </c>
      <c r="E1562" s="2" t="s">
        <v>5256</v>
      </c>
      <c r="F1562" s="2" t="s">
        <v>5286</v>
      </c>
      <c r="G1562" s="2" t="s">
        <v>3626</v>
      </c>
      <c r="H1562" s="2">
        <v>23965</v>
      </c>
    </row>
    <row r="1563" spans="1:8">
      <c r="A1563" s="2" t="s">
        <v>5296</v>
      </c>
      <c r="B1563" s="2" t="s">
        <v>5297</v>
      </c>
      <c r="C1563" s="2" t="s">
        <v>5289</v>
      </c>
      <c r="D1563" s="2">
        <v>153605000</v>
      </c>
      <c r="E1563" s="2" t="s">
        <v>5256</v>
      </c>
      <c r="F1563" s="2" t="s">
        <v>5286</v>
      </c>
      <c r="G1563" s="2" t="s">
        <v>3634</v>
      </c>
      <c r="H1563" s="2">
        <v>22079</v>
      </c>
    </row>
    <row r="1564" spans="1:8">
      <c r="A1564" s="2" t="s">
        <v>5298</v>
      </c>
      <c r="B1564" s="2" t="s">
        <v>5299</v>
      </c>
      <c r="C1564" s="2" t="s">
        <v>5285</v>
      </c>
      <c r="D1564" s="2">
        <v>153606000</v>
      </c>
      <c r="E1564" s="2" t="s">
        <v>5256</v>
      </c>
      <c r="F1564" s="2" t="s">
        <v>5286</v>
      </c>
      <c r="G1564" s="2" t="s">
        <v>3600</v>
      </c>
      <c r="H1564" s="2">
        <v>22336</v>
      </c>
    </row>
    <row r="1565" spans="1:8">
      <c r="A1565" s="2" t="s">
        <v>5300</v>
      </c>
      <c r="B1565" s="2" t="s">
        <v>5301</v>
      </c>
      <c r="C1565" s="2" t="s">
        <v>5289</v>
      </c>
      <c r="D1565" s="2">
        <v>153607000</v>
      </c>
      <c r="E1565" s="2" t="s">
        <v>5256</v>
      </c>
      <c r="F1565" s="2" t="s">
        <v>5286</v>
      </c>
      <c r="G1565" s="2" t="s">
        <v>3769</v>
      </c>
      <c r="H1565" s="2">
        <v>19302</v>
      </c>
    </row>
    <row r="1566" spans="1:8">
      <c r="A1566" s="2" t="s">
        <v>5302</v>
      </c>
      <c r="B1566" s="2" t="s">
        <v>5303</v>
      </c>
      <c r="C1566" s="2" t="s">
        <v>5289</v>
      </c>
      <c r="D1566" s="2">
        <v>153609000</v>
      </c>
      <c r="E1566" s="2" t="s">
        <v>5256</v>
      </c>
      <c r="F1566" s="2" t="s">
        <v>5286</v>
      </c>
      <c r="G1566" s="2" t="s">
        <v>3634</v>
      </c>
      <c r="H1566" s="2">
        <v>23016</v>
      </c>
    </row>
    <row r="1567" spans="1:8">
      <c r="A1567" s="2" t="s">
        <v>5304</v>
      </c>
      <c r="B1567" s="2" t="s">
        <v>5305</v>
      </c>
      <c r="C1567" s="2" t="s">
        <v>5285</v>
      </c>
      <c r="D1567" s="2">
        <v>153610000</v>
      </c>
      <c r="E1567" s="2" t="s">
        <v>5256</v>
      </c>
      <c r="F1567" s="2" t="s">
        <v>5286</v>
      </c>
      <c r="G1567" s="2" t="s">
        <v>3634</v>
      </c>
      <c r="H1567" s="2">
        <v>18894</v>
      </c>
    </row>
    <row r="1568" spans="1:8">
      <c r="A1568" s="2" t="s">
        <v>5306</v>
      </c>
      <c r="B1568" s="2" t="s">
        <v>5307</v>
      </c>
      <c r="C1568" s="2" t="s">
        <v>5285</v>
      </c>
      <c r="D1568" s="2">
        <v>153611000</v>
      </c>
      <c r="E1568" s="2" t="s">
        <v>5256</v>
      </c>
      <c r="F1568" s="2" t="s">
        <v>5286</v>
      </c>
      <c r="G1568" s="2" t="s">
        <v>3600</v>
      </c>
      <c r="H1568" s="2">
        <v>36151</v>
      </c>
    </row>
    <row r="1569" spans="1:8">
      <c r="A1569" s="2" t="s">
        <v>5308</v>
      </c>
      <c r="B1569" s="2" t="s">
        <v>5309</v>
      </c>
      <c r="C1569" s="2" t="s">
        <v>5289</v>
      </c>
      <c r="D1569" s="2">
        <v>153612000</v>
      </c>
      <c r="E1569" s="2" t="s">
        <v>5256</v>
      </c>
      <c r="F1569" s="2" t="s">
        <v>5286</v>
      </c>
      <c r="G1569" s="2" t="s">
        <v>3626</v>
      </c>
      <c r="H1569" s="2">
        <v>19105</v>
      </c>
    </row>
    <row r="1570" spans="1:8">
      <c r="A1570" s="2" t="s">
        <v>5310</v>
      </c>
      <c r="B1570" s="2" t="s">
        <v>5311</v>
      </c>
      <c r="C1570" s="2" t="s">
        <v>5289</v>
      </c>
      <c r="D1570" s="2">
        <v>153613000</v>
      </c>
      <c r="E1570" s="2" t="s">
        <v>5256</v>
      </c>
      <c r="F1570" s="2" t="s">
        <v>5286</v>
      </c>
      <c r="G1570" s="2" t="s">
        <v>3629</v>
      </c>
      <c r="H1570" s="2">
        <v>23127</v>
      </c>
    </row>
    <row r="1571" spans="1:8">
      <c r="A1571" s="2" t="s">
        <v>5312</v>
      </c>
      <c r="B1571" s="2" t="s">
        <v>5313</v>
      </c>
      <c r="C1571" s="2" t="s">
        <v>5289</v>
      </c>
      <c r="D1571" s="2">
        <v>153614000</v>
      </c>
      <c r="E1571" s="2" t="s">
        <v>5256</v>
      </c>
      <c r="F1571" s="2" t="s">
        <v>5286</v>
      </c>
      <c r="G1571" s="2" t="s">
        <v>3634</v>
      </c>
      <c r="H1571" s="2">
        <v>17756</v>
      </c>
    </row>
    <row r="1572" spans="1:8">
      <c r="A1572" s="2" t="s">
        <v>5314</v>
      </c>
      <c r="B1572" s="2" t="s">
        <v>5315</v>
      </c>
      <c r="C1572" s="2" t="s">
        <v>5289</v>
      </c>
      <c r="D1572" s="2">
        <v>153615000</v>
      </c>
      <c r="E1572" s="2" t="s">
        <v>5256</v>
      </c>
      <c r="F1572" s="2" t="s">
        <v>5286</v>
      </c>
      <c r="G1572" s="2" t="s">
        <v>3629</v>
      </c>
      <c r="H1572" s="2">
        <v>43957</v>
      </c>
    </row>
    <row r="1573" spans="1:8">
      <c r="A1573" s="2" t="s">
        <v>5316</v>
      </c>
      <c r="B1573" s="2" t="s">
        <v>5317</v>
      </c>
      <c r="C1573" s="2" t="s">
        <v>5285</v>
      </c>
      <c r="D1573" s="2">
        <v>153616000</v>
      </c>
      <c r="E1573" s="2" t="s">
        <v>5256</v>
      </c>
      <c r="F1573" s="2" t="s">
        <v>5286</v>
      </c>
      <c r="G1573" s="2" t="s">
        <v>3600</v>
      </c>
      <c r="H1573" s="2">
        <v>32974</v>
      </c>
    </row>
    <row r="1574" spans="1:8">
      <c r="A1574" s="2" t="s">
        <v>5318</v>
      </c>
      <c r="B1574" s="2" t="s">
        <v>5319</v>
      </c>
      <c r="C1574" s="2" t="s">
        <v>5285</v>
      </c>
      <c r="D1574" s="2">
        <v>153618000</v>
      </c>
      <c r="E1574" s="2" t="s">
        <v>5256</v>
      </c>
      <c r="F1574" s="2" t="s">
        <v>5286</v>
      </c>
      <c r="G1574" s="2" t="s">
        <v>3626</v>
      </c>
      <c r="H1574" s="2">
        <v>29176</v>
      </c>
    </row>
    <row r="1575" spans="1:8">
      <c r="A1575" s="2" t="s">
        <v>5320</v>
      </c>
      <c r="B1575" s="2" t="s">
        <v>5321</v>
      </c>
      <c r="C1575" s="2" t="s">
        <v>5285</v>
      </c>
      <c r="D1575" s="2">
        <v>153619000</v>
      </c>
      <c r="E1575" s="2" t="s">
        <v>5256</v>
      </c>
      <c r="F1575" s="2" t="s">
        <v>5286</v>
      </c>
      <c r="G1575" s="2" t="s">
        <v>3629</v>
      </c>
      <c r="H1575" s="2">
        <v>16067</v>
      </c>
    </row>
    <row r="1576" spans="1:8">
      <c r="A1576" s="2" t="s">
        <v>5322</v>
      </c>
      <c r="B1576" s="2" t="s">
        <v>5323</v>
      </c>
      <c r="C1576" s="2" t="s">
        <v>5289</v>
      </c>
      <c r="D1576" s="2">
        <v>153620000</v>
      </c>
      <c r="E1576" s="2" t="s">
        <v>5256</v>
      </c>
      <c r="F1576" s="2" t="s">
        <v>5286</v>
      </c>
      <c r="G1576" s="2" t="s">
        <v>3626</v>
      </c>
      <c r="H1576" s="2">
        <v>13139</v>
      </c>
    </row>
    <row r="1577" spans="1:8">
      <c r="A1577" s="2" t="s">
        <v>5324</v>
      </c>
      <c r="B1577" s="2" t="s">
        <v>5325</v>
      </c>
      <c r="C1577" s="2" t="s">
        <v>5285</v>
      </c>
      <c r="D1577" s="2">
        <v>153621000</v>
      </c>
      <c r="E1577" s="2" t="s">
        <v>5256</v>
      </c>
      <c r="F1577" s="2" t="s">
        <v>5286</v>
      </c>
      <c r="G1577" s="2" t="s">
        <v>3634</v>
      </c>
      <c r="H1577" s="2">
        <v>25440</v>
      </c>
    </row>
    <row r="1578" spans="1:8">
      <c r="A1578" s="2" t="s">
        <v>5326</v>
      </c>
      <c r="B1578" s="2" t="s">
        <v>5327</v>
      </c>
      <c r="C1578" s="2" t="s">
        <v>5285</v>
      </c>
      <c r="D1578" s="2">
        <v>153622000</v>
      </c>
      <c r="E1578" s="2" t="s">
        <v>5256</v>
      </c>
      <c r="F1578" s="2" t="s">
        <v>5286</v>
      </c>
      <c r="G1578" s="2" t="s">
        <v>3634</v>
      </c>
      <c r="H1578" s="2">
        <v>22227</v>
      </c>
    </row>
    <row r="1579" spans="1:8">
      <c r="A1579" s="2" t="s">
        <v>5328</v>
      </c>
      <c r="B1579" s="2" t="s">
        <v>5329</v>
      </c>
      <c r="C1579" s="2" t="s">
        <v>5289</v>
      </c>
      <c r="D1579" s="2">
        <v>153623000</v>
      </c>
      <c r="E1579" s="2" t="s">
        <v>5256</v>
      </c>
      <c r="F1579" s="2" t="s">
        <v>5286</v>
      </c>
      <c r="G1579" s="2" t="s">
        <v>3626</v>
      </c>
      <c r="H1579" s="2">
        <v>12866</v>
      </c>
    </row>
    <row r="1580" spans="1:8">
      <c r="A1580" s="2" t="s">
        <v>5330</v>
      </c>
      <c r="B1580" s="2" t="s">
        <v>5331</v>
      </c>
      <c r="C1580" s="2" t="s">
        <v>5285</v>
      </c>
      <c r="D1580" s="2">
        <v>153624000</v>
      </c>
      <c r="E1580" s="2" t="s">
        <v>5256</v>
      </c>
      <c r="F1580" s="2" t="s">
        <v>5286</v>
      </c>
      <c r="G1580" s="2" t="s">
        <v>3629</v>
      </c>
      <c r="H1580" s="2">
        <v>22299</v>
      </c>
    </row>
    <row r="1581" spans="1:8">
      <c r="A1581" s="2" t="s">
        <v>5332</v>
      </c>
      <c r="B1581" s="2" t="s">
        <v>5333</v>
      </c>
      <c r="C1581" s="2" t="s">
        <v>5285</v>
      </c>
      <c r="D1581" s="2">
        <v>153625000</v>
      </c>
      <c r="E1581" s="2" t="s">
        <v>5256</v>
      </c>
      <c r="F1581" s="2" t="s">
        <v>5286</v>
      </c>
      <c r="G1581" s="2" t="s">
        <v>3634</v>
      </c>
      <c r="H1581" s="2">
        <v>24619</v>
      </c>
    </row>
    <row r="1582" spans="1:8">
      <c r="A1582" s="2" t="s">
        <v>5334</v>
      </c>
      <c r="B1582" s="2" t="s">
        <v>5335</v>
      </c>
      <c r="C1582" s="2" t="s">
        <v>5285</v>
      </c>
      <c r="D1582" s="2">
        <v>153626000</v>
      </c>
      <c r="E1582" s="2" t="s">
        <v>5256</v>
      </c>
      <c r="F1582" s="2" t="s">
        <v>5286</v>
      </c>
      <c r="G1582" s="2" t="s">
        <v>3626</v>
      </c>
      <c r="H1582" s="2">
        <v>25874</v>
      </c>
    </row>
    <row r="1583" spans="1:8">
      <c r="A1583" s="2" t="s">
        <v>5336</v>
      </c>
      <c r="B1583" s="2" t="s">
        <v>5337</v>
      </c>
      <c r="C1583" s="2" t="s">
        <v>5285</v>
      </c>
      <c r="D1583" s="2">
        <v>153627000</v>
      </c>
      <c r="E1583" s="2" t="s">
        <v>5256</v>
      </c>
      <c r="F1583" s="2" t="s">
        <v>5286</v>
      </c>
      <c r="G1583" s="2" t="s">
        <v>3634</v>
      </c>
      <c r="H1583" s="2">
        <v>23644</v>
      </c>
    </row>
    <row r="1584" spans="1:8">
      <c r="A1584" s="2" t="s">
        <v>5338</v>
      </c>
      <c r="B1584" s="2" t="s">
        <v>5339</v>
      </c>
      <c r="C1584" s="2" t="s">
        <v>5289</v>
      </c>
      <c r="D1584" s="2">
        <v>153628000</v>
      </c>
      <c r="E1584" s="2" t="s">
        <v>5256</v>
      </c>
      <c r="F1584" s="2" t="s">
        <v>5286</v>
      </c>
      <c r="G1584" s="2" t="s">
        <v>3634</v>
      </c>
      <c r="H1584" s="2">
        <v>14749</v>
      </c>
    </row>
    <row r="1585" spans="1:8">
      <c r="A1585" s="2" t="s">
        <v>5340</v>
      </c>
      <c r="B1585" s="2" t="s">
        <v>5341</v>
      </c>
      <c r="C1585" s="2" t="s">
        <v>5289</v>
      </c>
      <c r="D1585" s="2">
        <v>153629000</v>
      </c>
      <c r="E1585" s="2" t="s">
        <v>5256</v>
      </c>
      <c r="F1585" s="2" t="s">
        <v>5286</v>
      </c>
      <c r="G1585" s="2" t="s">
        <v>3626</v>
      </c>
      <c r="H1585" s="2">
        <v>23814</v>
      </c>
    </row>
    <row r="1586" spans="1:8">
      <c r="A1586" s="2" t="s">
        <v>5342</v>
      </c>
      <c r="B1586" s="2" t="s">
        <v>5343</v>
      </c>
      <c r="C1586" s="2" t="s">
        <v>5285</v>
      </c>
      <c r="D1586" s="2">
        <v>153630000</v>
      </c>
      <c r="E1586" s="2" t="s">
        <v>5256</v>
      </c>
      <c r="F1586" s="2" t="s">
        <v>5286</v>
      </c>
      <c r="G1586" s="2" t="s">
        <v>3600</v>
      </c>
      <c r="H1586" s="2">
        <v>45862</v>
      </c>
    </row>
    <row r="1587" spans="1:8">
      <c r="A1587" s="2" t="s">
        <v>5344</v>
      </c>
      <c r="B1587" s="2" t="s">
        <v>5345</v>
      </c>
      <c r="C1587" s="2" t="s">
        <v>5289</v>
      </c>
      <c r="D1587" s="2">
        <v>153631000</v>
      </c>
      <c r="E1587" s="2" t="s">
        <v>5256</v>
      </c>
      <c r="F1587" s="2" t="s">
        <v>5286</v>
      </c>
      <c r="G1587" s="2" t="s">
        <v>3634</v>
      </c>
      <c r="H1587" s="2">
        <v>21319</v>
      </c>
    </row>
    <row r="1588" spans="1:8">
      <c r="A1588" s="2" t="s">
        <v>5346</v>
      </c>
      <c r="B1588" s="2" t="s">
        <v>5347</v>
      </c>
      <c r="C1588" s="2" t="s">
        <v>5289</v>
      </c>
      <c r="D1588" s="2">
        <v>153632000</v>
      </c>
      <c r="E1588" s="2" t="s">
        <v>5256</v>
      </c>
      <c r="F1588" s="2" t="s">
        <v>5286</v>
      </c>
      <c r="G1588" s="2" t="s">
        <v>3626</v>
      </c>
      <c r="H1588" s="2">
        <v>13750</v>
      </c>
    </row>
    <row r="1589" spans="1:8">
      <c r="A1589" s="2" t="s">
        <v>5348</v>
      </c>
      <c r="B1589" s="2" t="s">
        <v>5349</v>
      </c>
      <c r="C1589" s="2" t="s">
        <v>5285</v>
      </c>
      <c r="D1589" s="2">
        <v>153633000</v>
      </c>
      <c r="E1589" s="2" t="s">
        <v>5256</v>
      </c>
      <c r="F1589" s="2" t="s">
        <v>5286</v>
      </c>
      <c r="G1589" s="2" t="s">
        <v>3634</v>
      </c>
      <c r="H1589" s="2">
        <v>16130</v>
      </c>
    </row>
    <row r="1590" spans="1:8">
      <c r="A1590" s="2" t="s">
        <v>5350</v>
      </c>
      <c r="B1590" s="2" t="s">
        <v>5351</v>
      </c>
      <c r="C1590" s="2" t="s">
        <v>5285</v>
      </c>
      <c r="D1590" s="2">
        <v>153634000</v>
      </c>
      <c r="E1590" s="2" t="s">
        <v>5256</v>
      </c>
      <c r="F1590" s="2" t="s">
        <v>5286</v>
      </c>
      <c r="G1590" s="2" t="s">
        <v>3600</v>
      </c>
      <c r="H1590" s="2">
        <v>24531</v>
      </c>
    </row>
    <row r="1591" spans="1:8">
      <c r="A1591" s="2" t="s">
        <v>5352</v>
      </c>
      <c r="B1591" s="2" t="s">
        <v>5353</v>
      </c>
      <c r="C1591" s="2" t="s">
        <v>5289</v>
      </c>
      <c r="D1591" s="2">
        <v>153635000</v>
      </c>
      <c r="E1591" s="2" t="s">
        <v>5256</v>
      </c>
      <c r="F1591" s="2" t="s">
        <v>5286</v>
      </c>
      <c r="G1591" s="2" t="s">
        <v>3634</v>
      </c>
      <c r="H1591" s="2">
        <v>16615</v>
      </c>
    </row>
    <row r="1592" spans="1:8">
      <c r="A1592" s="2" t="s">
        <v>5354</v>
      </c>
      <c r="B1592" s="2" t="s">
        <v>5355</v>
      </c>
      <c r="C1592" s="2" t="s">
        <v>5289</v>
      </c>
      <c r="D1592" s="2">
        <v>153636000</v>
      </c>
      <c r="E1592" s="2" t="s">
        <v>5256</v>
      </c>
      <c r="F1592" s="2" t="s">
        <v>5286</v>
      </c>
      <c r="G1592" s="2" t="s">
        <v>3634</v>
      </c>
      <c r="H1592" s="2">
        <v>16372</v>
      </c>
    </row>
    <row r="1593" spans="1:8">
      <c r="A1593" s="2" t="s">
        <v>5356</v>
      </c>
      <c r="B1593" s="2" t="s">
        <v>5357</v>
      </c>
      <c r="C1593" s="2" t="s">
        <v>5285</v>
      </c>
      <c r="D1593" s="2">
        <v>153637000</v>
      </c>
      <c r="E1593" s="2" t="s">
        <v>5256</v>
      </c>
      <c r="F1593" s="2" t="s">
        <v>5286</v>
      </c>
      <c r="G1593" s="2" t="s">
        <v>3629</v>
      </c>
      <c r="H1593" s="2">
        <v>10401</v>
      </c>
    </row>
    <row r="1594" spans="1:8">
      <c r="A1594" s="2" t="s">
        <v>5358</v>
      </c>
      <c r="B1594" s="2" t="s">
        <v>5359</v>
      </c>
      <c r="C1594" s="2" t="s">
        <v>5285</v>
      </c>
      <c r="D1594" s="2">
        <v>153638000</v>
      </c>
      <c r="E1594" s="2" t="s">
        <v>5256</v>
      </c>
      <c r="F1594" s="2" t="s">
        <v>5286</v>
      </c>
      <c r="G1594" s="2" t="s">
        <v>3634</v>
      </c>
      <c r="H1594" s="2">
        <v>11169</v>
      </c>
    </row>
    <row r="1595" spans="1:8">
      <c r="A1595" s="2" t="s">
        <v>2673</v>
      </c>
      <c r="B1595" s="2" t="s">
        <v>5360</v>
      </c>
      <c r="C1595" s="2" t="s">
        <v>5289</v>
      </c>
      <c r="D1595" s="2">
        <v>153639000</v>
      </c>
      <c r="E1595" s="2" t="s">
        <v>5256</v>
      </c>
      <c r="F1595" s="2" t="s">
        <v>5286</v>
      </c>
      <c r="G1595" s="2" t="s">
        <v>3634</v>
      </c>
      <c r="H1595" s="2">
        <v>15521</v>
      </c>
    </row>
    <row r="1596" spans="1:8">
      <c r="A1596" s="2" t="s">
        <v>5361</v>
      </c>
      <c r="B1596" s="2" t="s">
        <v>5362</v>
      </c>
      <c r="C1596" s="2" t="s">
        <v>5289</v>
      </c>
      <c r="D1596" s="2">
        <v>153640000</v>
      </c>
      <c r="E1596" s="2" t="s">
        <v>5256</v>
      </c>
      <c r="F1596" s="2" t="s">
        <v>5286</v>
      </c>
      <c r="G1596" s="2" t="s">
        <v>3769</v>
      </c>
      <c r="H1596" s="2">
        <v>11298</v>
      </c>
    </row>
    <row r="1597" spans="1:8">
      <c r="A1597" s="2" t="s">
        <v>5363</v>
      </c>
      <c r="B1597" s="2" t="s">
        <v>5364</v>
      </c>
      <c r="C1597" s="2" t="s">
        <v>5289</v>
      </c>
      <c r="D1597" s="2">
        <v>153641000</v>
      </c>
      <c r="E1597" s="2" t="s">
        <v>5256</v>
      </c>
      <c r="F1597" s="2" t="s">
        <v>5286</v>
      </c>
      <c r="G1597" s="2" t="s">
        <v>5272</v>
      </c>
      <c r="H1597" s="2">
        <v>7260</v>
      </c>
    </row>
    <row r="1598" spans="2:5">
      <c r="B1598" s="2" t="s">
        <v>20</v>
      </c>
      <c r="E1598" s="2" t="s">
        <v>5256</v>
      </c>
    </row>
    <row r="1599" spans="1:8">
      <c r="A1599" s="2" t="s">
        <v>5365</v>
      </c>
      <c r="B1599" s="2" t="s">
        <v>5366</v>
      </c>
      <c r="C1599" s="2" t="s">
        <v>5367</v>
      </c>
      <c r="D1599" s="2">
        <v>153801000</v>
      </c>
      <c r="E1599" s="2" t="s">
        <v>5256</v>
      </c>
      <c r="F1599" s="2" t="s">
        <v>5368</v>
      </c>
      <c r="G1599" s="2" t="s">
        <v>3634</v>
      </c>
      <c r="H1599" s="2">
        <v>24801</v>
      </c>
    </row>
    <row r="1600" spans="1:8">
      <c r="A1600" s="2" t="s">
        <v>5369</v>
      </c>
      <c r="B1600" s="2" t="s">
        <v>5370</v>
      </c>
      <c r="C1600" s="2" t="s">
        <v>5371</v>
      </c>
      <c r="D1600" s="2">
        <v>153802000</v>
      </c>
      <c r="E1600" s="2" t="s">
        <v>5256</v>
      </c>
      <c r="F1600" s="2" t="s">
        <v>5368</v>
      </c>
      <c r="G1600" s="2" t="s">
        <v>3634</v>
      </c>
      <c r="H1600" s="2">
        <v>35282</v>
      </c>
    </row>
    <row r="1601" spans="1:8">
      <c r="A1601" s="2" t="s">
        <v>5372</v>
      </c>
      <c r="B1601" s="2" t="s">
        <v>5373</v>
      </c>
      <c r="C1601" s="2" t="s">
        <v>5367</v>
      </c>
      <c r="D1601" s="2">
        <v>153803000</v>
      </c>
      <c r="E1601" s="2" t="s">
        <v>5256</v>
      </c>
      <c r="F1601" s="2" t="s">
        <v>5368</v>
      </c>
      <c r="G1601" s="2" t="s">
        <v>3634</v>
      </c>
      <c r="H1601" s="2">
        <v>50008</v>
      </c>
    </row>
    <row r="1602" spans="1:8">
      <c r="A1602" s="2" t="s">
        <v>5374</v>
      </c>
      <c r="B1602" s="2" t="s">
        <v>5375</v>
      </c>
      <c r="C1602" s="2" t="s">
        <v>5367</v>
      </c>
      <c r="D1602" s="2">
        <v>153805000</v>
      </c>
      <c r="E1602" s="2" t="s">
        <v>5256</v>
      </c>
      <c r="F1602" s="2" t="s">
        <v>5368</v>
      </c>
      <c r="G1602" s="2" t="s">
        <v>3634</v>
      </c>
      <c r="H1602" s="2">
        <v>28387</v>
      </c>
    </row>
    <row r="1603" spans="1:8">
      <c r="A1603" s="2" t="s">
        <v>5376</v>
      </c>
      <c r="B1603" s="2" t="s">
        <v>5377</v>
      </c>
      <c r="C1603" s="2" t="s">
        <v>5367</v>
      </c>
      <c r="D1603" s="2">
        <v>153806000</v>
      </c>
      <c r="E1603" s="2" t="s">
        <v>5256</v>
      </c>
      <c r="F1603" s="2" t="s">
        <v>5368</v>
      </c>
      <c r="G1603" s="2" t="s">
        <v>3600</v>
      </c>
      <c r="H1603" s="2">
        <v>25600</v>
      </c>
    </row>
    <row r="1604" spans="1:8">
      <c r="A1604" s="2" t="s">
        <v>5378</v>
      </c>
      <c r="B1604" s="2" t="s">
        <v>5379</v>
      </c>
      <c r="C1604" s="2" t="s">
        <v>5371</v>
      </c>
      <c r="D1604" s="2">
        <v>153807000</v>
      </c>
      <c r="E1604" s="2" t="s">
        <v>5256</v>
      </c>
      <c r="F1604" s="2" t="s">
        <v>5368</v>
      </c>
      <c r="G1604" s="2" t="s">
        <v>3600</v>
      </c>
      <c r="H1604" s="2">
        <v>99210</v>
      </c>
    </row>
    <row r="1605" spans="1:8">
      <c r="A1605" s="2" t="s">
        <v>5380</v>
      </c>
      <c r="B1605" s="2" t="s">
        <v>5381</v>
      </c>
      <c r="C1605" s="2" t="s">
        <v>5367</v>
      </c>
      <c r="D1605" s="2">
        <v>153808000</v>
      </c>
      <c r="E1605" s="2" t="s">
        <v>5256</v>
      </c>
      <c r="F1605" s="2" t="s">
        <v>5368</v>
      </c>
      <c r="G1605" s="2" t="s">
        <v>3600</v>
      </c>
      <c r="H1605" s="2">
        <v>31692</v>
      </c>
    </row>
    <row r="1606" spans="1:8">
      <c r="A1606" s="2" t="s">
        <v>5382</v>
      </c>
      <c r="B1606" s="2" t="s">
        <v>5383</v>
      </c>
      <c r="C1606" s="2" t="s">
        <v>5371</v>
      </c>
      <c r="D1606" s="2">
        <v>153809000</v>
      </c>
      <c r="E1606" s="2" t="s">
        <v>5256</v>
      </c>
      <c r="F1606" s="2" t="s">
        <v>5368</v>
      </c>
      <c r="G1606" s="2" t="s">
        <v>3634</v>
      </c>
      <c r="H1606" s="2">
        <v>29770</v>
      </c>
    </row>
    <row r="1607" spans="1:8">
      <c r="A1607" s="2" t="s">
        <v>5384</v>
      </c>
      <c r="B1607" s="2" t="s">
        <v>5385</v>
      </c>
      <c r="C1607" s="2" t="s">
        <v>5367</v>
      </c>
      <c r="D1607" s="2">
        <v>153810000</v>
      </c>
      <c r="E1607" s="2" t="s">
        <v>5256</v>
      </c>
      <c r="F1607" s="2" t="s">
        <v>5368</v>
      </c>
      <c r="G1607" s="2" t="s">
        <v>3574</v>
      </c>
      <c r="H1607" s="2">
        <v>39653</v>
      </c>
    </row>
    <row r="1608" spans="1:8">
      <c r="A1608" s="2" t="s">
        <v>5386</v>
      </c>
      <c r="B1608" s="2" t="s">
        <v>5387</v>
      </c>
      <c r="C1608" s="2" t="s">
        <v>5371</v>
      </c>
      <c r="D1608" s="2">
        <v>153811000</v>
      </c>
      <c r="E1608" s="2" t="s">
        <v>5256</v>
      </c>
      <c r="F1608" s="2" t="s">
        <v>5368</v>
      </c>
      <c r="G1608" s="2" t="s">
        <v>3574</v>
      </c>
      <c r="H1608" s="2">
        <v>89194</v>
      </c>
    </row>
    <row r="1609" spans="1:8">
      <c r="A1609" s="2" t="s">
        <v>5388</v>
      </c>
      <c r="B1609" s="2" t="s">
        <v>5389</v>
      </c>
      <c r="C1609" s="2" t="s">
        <v>5371</v>
      </c>
      <c r="D1609" s="2">
        <v>153812000</v>
      </c>
      <c r="E1609" s="2" t="s">
        <v>5256</v>
      </c>
      <c r="F1609" s="2" t="s">
        <v>5368</v>
      </c>
      <c r="G1609" s="2" t="s">
        <v>3574</v>
      </c>
      <c r="H1609" s="2">
        <v>95201</v>
      </c>
    </row>
    <row r="1610" spans="1:8">
      <c r="A1610" s="2" t="s">
        <v>5390</v>
      </c>
      <c r="B1610" s="2" t="s">
        <v>5391</v>
      </c>
      <c r="C1610" s="2" t="s">
        <v>5367</v>
      </c>
      <c r="D1610" s="2">
        <v>153813000</v>
      </c>
      <c r="E1610" s="2" t="s">
        <v>5256</v>
      </c>
      <c r="F1610" s="2" t="s">
        <v>5368</v>
      </c>
      <c r="G1610" s="2" t="s">
        <v>3600</v>
      </c>
      <c r="H1610" s="2">
        <v>22425</v>
      </c>
    </row>
    <row r="1611" spans="1:8">
      <c r="A1611" s="2" t="s">
        <v>5392</v>
      </c>
      <c r="B1611" s="2" t="s">
        <v>5393</v>
      </c>
      <c r="C1611" s="2" t="s">
        <v>5371</v>
      </c>
      <c r="D1611" s="2">
        <v>153814000</v>
      </c>
      <c r="E1611" s="2" t="s">
        <v>5256</v>
      </c>
      <c r="F1611" s="2" t="s">
        <v>5368</v>
      </c>
      <c r="G1611" s="2" t="s">
        <v>3626</v>
      </c>
      <c r="H1611" s="2">
        <v>17276</v>
      </c>
    </row>
    <row r="1612" spans="1:8">
      <c r="A1612" s="2" t="s">
        <v>5394</v>
      </c>
      <c r="B1612" s="2" t="s">
        <v>5395</v>
      </c>
      <c r="C1612" s="2" t="s">
        <v>5371</v>
      </c>
      <c r="D1612" s="2">
        <v>153815000</v>
      </c>
      <c r="E1612" s="2" t="s">
        <v>5256</v>
      </c>
      <c r="F1612" s="2" t="s">
        <v>5368</v>
      </c>
      <c r="G1612" s="2" t="s">
        <v>3574</v>
      </c>
      <c r="H1612" s="2">
        <v>53583</v>
      </c>
    </row>
    <row r="1613" spans="1:8">
      <c r="A1613" s="2" t="s">
        <v>5396</v>
      </c>
      <c r="B1613" s="2" t="s">
        <v>5397</v>
      </c>
      <c r="C1613" s="2" t="s">
        <v>5367</v>
      </c>
      <c r="D1613" s="2">
        <v>153816000</v>
      </c>
      <c r="E1613" s="2" t="s">
        <v>5256</v>
      </c>
      <c r="F1613" s="2" t="s">
        <v>5368</v>
      </c>
      <c r="G1613" s="2" t="s">
        <v>3634</v>
      </c>
      <c r="H1613" s="2">
        <v>30032</v>
      </c>
    </row>
    <row r="1614" spans="1:8">
      <c r="A1614" s="2" t="s">
        <v>5398</v>
      </c>
      <c r="B1614" s="2" t="s">
        <v>5399</v>
      </c>
      <c r="C1614" s="2" t="s">
        <v>5367</v>
      </c>
      <c r="D1614" s="2">
        <v>153817000</v>
      </c>
      <c r="E1614" s="2" t="s">
        <v>5256</v>
      </c>
      <c r="F1614" s="2" t="s">
        <v>5368</v>
      </c>
      <c r="G1614" s="2" t="s">
        <v>3634</v>
      </c>
      <c r="H1614" s="2">
        <v>40178</v>
      </c>
    </row>
    <row r="1615" spans="1:8">
      <c r="A1615" s="2" t="s">
        <v>5400</v>
      </c>
      <c r="B1615" s="2" t="s">
        <v>5401</v>
      </c>
      <c r="C1615" s="2" t="s">
        <v>5371</v>
      </c>
      <c r="D1615" s="2">
        <v>153818000</v>
      </c>
      <c r="E1615" s="2" t="s">
        <v>5256</v>
      </c>
      <c r="F1615" s="2" t="s">
        <v>5368</v>
      </c>
      <c r="G1615" s="2" t="s">
        <v>3634</v>
      </c>
      <c r="H1615" s="2">
        <v>30004</v>
      </c>
    </row>
    <row r="1616" spans="1:8">
      <c r="A1616" s="2" t="s">
        <v>5402</v>
      </c>
      <c r="B1616" s="2" t="s">
        <v>5403</v>
      </c>
      <c r="C1616" s="2" t="s">
        <v>5367</v>
      </c>
      <c r="D1616" s="2">
        <v>153819000</v>
      </c>
      <c r="E1616" s="2" t="s">
        <v>5256</v>
      </c>
      <c r="F1616" s="2" t="s">
        <v>5368</v>
      </c>
      <c r="G1616" s="2" t="s">
        <v>3634</v>
      </c>
      <c r="H1616" s="2">
        <v>28103</v>
      </c>
    </row>
    <row r="1617" spans="1:8">
      <c r="A1617" s="2" t="s">
        <v>5404</v>
      </c>
      <c r="B1617" s="2" t="s">
        <v>5405</v>
      </c>
      <c r="C1617" s="2" t="s">
        <v>5367</v>
      </c>
      <c r="D1617" s="2">
        <v>153820000</v>
      </c>
      <c r="E1617" s="2" t="s">
        <v>5256</v>
      </c>
      <c r="F1617" s="2" t="s">
        <v>5368</v>
      </c>
      <c r="G1617" s="2" t="s">
        <v>3626</v>
      </c>
      <c r="H1617" s="2">
        <v>24800</v>
      </c>
    </row>
    <row r="1618" spans="1:8">
      <c r="A1618" s="2" t="s">
        <v>5406</v>
      </c>
      <c r="B1618" s="2" t="s">
        <v>5407</v>
      </c>
      <c r="C1618" s="2" t="s">
        <v>5367</v>
      </c>
      <c r="D1618" s="2">
        <v>153821000</v>
      </c>
      <c r="E1618" s="2" t="s">
        <v>5256</v>
      </c>
      <c r="F1618" s="2" t="s">
        <v>5368</v>
      </c>
      <c r="G1618" s="2" t="s">
        <v>5272</v>
      </c>
      <c r="H1618" s="2">
        <v>14863</v>
      </c>
    </row>
    <row r="1619" spans="1:8">
      <c r="A1619" s="2" t="s">
        <v>5408</v>
      </c>
      <c r="B1619" s="2" t="s">
        <v>5409</v>
      </c>
      <c r="C1619" s="2" t="s">
        <v>5367</v>
      </c>
      <c r="D1619" s="2">
        <v>153822000</v>
      </c>
      <c r="E1619" s="2" t="s">
        <v>5256</v>
      </c>
      <c r="F1619" s="2" t="s">
        <v>5368</v>
      </c>
      <c r="G1619" s="2" t="s">
        <v>3626</v>
      </c>
      <c r="H1619" s="2">
        <v>34820</v>
      </c>
    </row>
    <row r="1620" spans="1:8">
      <c r="A1620" s="2" t="s">
        <v>5410</v>
      </c>
      <c r="B1620" s="2" t="s">
        <v>5411</v>
      </c>
      <c r="C1620" s="2" t="s">
        <v>5367</v>
      </c>
      <c r="D1620" s="2">
        <v>153823000</v>
      </c>
      <c r="E1620" s="2" t="s">
        <v>5256</v>
      </c>
      <c r="F1620" s="2" t="s">
        <v>5368</v>
      </c>
      <c r="G1620" s="2" t="s">
        <v>5272</v>
      </c>
      <c r="H1620" s="2">
        <v>15920</v>
      </c>
    </row>
    <row r="1621" spans="1:8">
      <c r="A1621" s="2" t="s">
        <v>5412</v>
      </c>
      <c r="B1621" s="2" t="s">
        <v>5413</v>
      </c>
      <c r="C1621" s="2" t="s">
        <v>5371</v>
      </c>
      <c r="D1621" s="2">
        <v>153824000</v>
      </c>
      <c r="E1621" s="2" t="s">
        <v>5256</v>
      </c>
      <c r="F1621" s="2" t="s">
        <v>5368</v>
      </c>
      <c r="G1621" s="2" t="s">
        <v>3626</v>
      </c>
      <c r="H1621" s="2">
        <v>22261</v>
      </c>
    </row>
    <row r="1622" spans="1:8">
      <c r="A1622" s="2" t="s">
        <v>5414</v>
      </c>
      <c r="B1622" s="2" t="s">
        <v>5415</v>
      </c>
      <c r="C1622" s="2" t="s">
        <v>5367</v>
      </c>
      <c r="D1622" s="2">
        <v>153825000</v>
      </c>
      <c r="E1622" s="2" t="s">
        <v>5256</v>
      </c>
      <c r="F1622" s="2" t="s">
        <v>5368</v>
      </c>
      <c r="G1622" s="2" t="s">
        <v>5272</v>
      </c>
      <c r="H1622" s="2">
        <v>19911</v>
      </c>
    </row>
    <row r="1623" spans="1:8">
      <c r="A1623" s="2" t="s">
        <v>5416</v>
      </c>
      <c r="B1623" s="2" t="s">
        <v>5417</v>
      </c>
      <c r="C1623" s="2" t="s">
        <v>5367</v>
      </c>
      <c r="D1623" s="2">
        <v>153826000</v>
      </c>
      <c r="E1623" s="2" t="s">
        <v>5256</v>
      </c>
      <c r="F1623" s="2" t="s">
        <v>5368</v>
      </c>
      <c r="G1623" s="2" t="s">
        <v>3634</v>
      </c>
      <c r="H1623" s="2">
        <v>26427</v>
      </c>
    </row>
    <row r="1624" spans="1:8">
      <c r="A1624" s="2" t="s">
        <v>5418</v>
      </c>
      <c r="B1624" s="2" t="s">
        <v>5419</v>
      </c>
      <c r="C1624" s="2" t="s">
        <v>5367</v>
      </c>
      <c r="D1624" s="2">
        <v>153827000</v>
      </c>
      <c r="E1624" s="2" t="s">
        <v>5256</v>
      </c>
      <c r="F1624" s="2" t="s">
        <v>5368</v>
      </c>
      <c r="G1624" s="2" t="s">
        <v>3626</v>
      </c>
      <c r="H1624" s="2">
        <v>11813</v>
      </c>
    </row>
    <row r="1625" spans="1:8">
      <c r="A1625" s="2" t="s">
        <v>5420</v>
      </c>
      <c r="B1625" s="2" t="s">
        <v>5421</v>
      </c>
      <c r="C1625" s="2" t="s">
        <v>5367</v>
      </c>
      <c r="D1625" s="2">
        <v>153828000</v>
      </c>
      <c r="E1625" s="2" t="s">
        <v>5256</v>
      </c>
      <c r="F1625" s="2" t="s">
        <v>5368</v>
      </c>
      <c r="G1625" s="2" t="s">
        <v>5272</v>
      </c>
      <c r="H1625" s="2">
        <v>23878</v>
      </c>
    </row>
    <row r="1626" spans="1:8">
      <c r="A1626" s="2" t="s">
        <v>5422</v>
      </c>
      <c r="B1626" s="2" t="s">
        <v>5423</v>
      </c>
      <c r="C1626" s="2" t="s">
        <v>5367</v>
      </c>
      <c r="D1626" s="2">
        <v>153829000</v>
      </c>
      <c r="E1626" s="2" t="s">
        <v>5256</v>
      </c>
      <c r="F1626" s="2" t="s">
        <v>5368</v>
      </c>
      <c r="G1626" s="2" t="s">
        <v>5272</v>
      </c>
      <c r="H1626" s="2">
        <v>23652</v>
      </c>
    </row>
    <row r="1627" spans="1:8">
      <c r="A1627" s="2" t="s">
        <v>5424</v>
      </c>
      <c r="B1627" s="2" t="s">
        <v>5425</v>
      </c>
      <c r="C1627" s="2" t="s">
        <v>5371</v>
      </c>
      <c r="D1627" s="2">
        <v>153830000</v>
      </c>
      <c r="E1627" s="2" t="s">
        <v>5256</v>
      </c>
      <c r="F1627" s="2" t="s">
        <v>5368</v>
      </c>
      <c r="G1627" s="2" t="s">
        <v>5272</v>
      </c>
      <c r="H1627" s="2">
        <v>25024</v>
      </c>
    </row>
    <row r="1628" spans="1:8">
      <c r="A1628" s="2" t="s">
        <v>5426</v>
      </c>
      <c r="B1628" s="2" t="s">
        <v>5427</v>
      </c>
      <c r="C1628" s="2" t="s">
        <v>5367</v>
      </c>
      <c r="D1628" s="2">
        <v>153831000</v>
      </c>
      <c r="E1628" s="2" t="s">
        <v>5256</v>
      </c>
      <c r="F1628" s="2" t="s">
        <v>5368</v>
      </c>
      <c r="G1628" s="2" t="s">
        <v>5272</v>
      </c>
      <c r="H1628" s="2">
        <v>25016</v>
      </c>
    </row>
    <row r="1629" spans="1:8">
      <c r="A1629" s="2" t="s">
        <v>5428</v>
      </c>
      <c r="B1629" s="2" t="s">
        <v>5429</v>
      </c>
      <c r="C1629" s="2" t="s">
        <v>5367</v>
      </c>
      <c r="D1629" s="2">
        <v>153832000</v>
      </c>
      <c r="E1629" s="2" t="s">
        <v>5256</v>
      </c>
      <c r="F1629" s="2" t="s">
        <v>5368</v>
      </c>
      <c r="G1629" s="2" t="s">
        <v>5272</v>
      </c>
      <c r="H1629" s="2">
        <v>25046</v>
      </c>
    </row>
    <row r="1630" spans="1:8">
      <c r="A1630" s="2" t="s">
        <v>5430</v>
      </c>
      <c r="B1630" s="2" t="s">
        <v>5431</v>
      </c>
      <c r="C1630" s="2" t="s">
        <v>5367</v>
      </c>
      <c r="D1630" s="2">
        <v>153833000</v>
      </c>
      <c r="E1630" s="2" t="s">
        <v>5256</v>
      </c>
      <c r="F1630" s="2" t="s">
        <v>5368</v>
      </c>
      <c r="G1630" s="2" t="s">
        <v>5272</v>
      </c>
      <c r="H1630" s="2">
        <v>25057</v>
      </c>
    </row>
    <row r="1631" spans="1:8">
      <c r="A1631" s="2" t="s">
        <v>5432</v>
      </c>
      <c r="B1631" s="2" t="s">
        <v>5433</v>
      </c>
      <c r="C1631" s="2" t="s">
        <v>5371</v>
      </c>
      <c r="D1631" s="2">
        <v>153834000</v>
      </c>
      <c r="E1631" s="2" t="s">
        <v>5256</v>
      </c>
      <c r="F1631" s="2" t="s">
        <v>5368</v>
      </c>
      <c r="G1631" s="2" t="s">
        <v>3626</v>
      </c>
      <c r="H1631" s="2">
        <v>25232</v>
      </c>
    </row>
    <row r="1632" spans="1:8">
      <c r="A1632" s="2" t="s">
        <v>5434</v>
      </c>
      <c r="B1632" s="2" t="s">
        <v>5435</v>
      </c>
      <c r="C1632" s="2" t="s">
        <v>5367</v>
      </c>
      <c r="D1632" s="2">
        <v>153835000</v>
      </c>
      <c r="E1632" s="2" t="s">
        <v>5256</v>
      </c>
      <c r="F1632" s="2" t="s">
        <v>5368</v>
      </c>
      <c r="G1632" s="2" t="s">
        <v>5272</v>
      </c>
      <c r="H1632" s="2">
        <v>25012</v>
      </c>
    </row>
    <row r="1633" spans="1:8">
      <c r="A1633" s="2" t="s">
        <v>5436</v>
      </c>
      <c r="B1633" s="2" t="s">
        <v>5437</v>
      </c>
      <c r="C1633" s="2" t="s">
        <v>5367</v>
      </c>
      <c r="D1633" s="2">
        <v>153836000</v>
      </c>
      <c r="E1633" s="2" t="s">
        <v>5256</v>
      </c>
      <c r="F1633" s="2" t="s">
        <v>5368</v>
      </c>
      <c r="G1633" s="2" t="s">
        <v>5272</v>
      </c>
      <c r="H1633" s="2">
        <v>14947</v>
      </c>
    </row>
    <row r="1634" spans="1:8">
      <c r="A1634" s="2" t="s">
        <v>5438</v>
      </c>
      <c r="B1634" s="2" t="s">
        <v>5439</v>
      </c>
      <c r="C1634" s="2" t="s">
        <v>5367</v>
      </c>
      <c r="D1634" s="2">
        <v>153837000</v>
      </c>
      <c r="E1634" s="2" t="s">
        <v>5256</v>
      </c>
      <c r="F1634" s="2" t="s">
        <v>5368</v>
      </c>
      <c r="G1634" s="2" t="s">
        <v>5272</v>
      </c>
      <c r="H1634" s="2">
        <v>19855</v>
      </c>
    </row>
    <row r="1635" spans="2:5">
      <c r="B1635" s="2" t="s">
        <v>20</v>
      </c>
      <c r="E1635" s="2" t="s">
        <v>5256</v>
      </c>
    </row>
    <row r="1636" spans="1:8">
      <c r="A1636" s="2" t="s">
        <v>5440</v>
      </c>
      <c r="B1636" s="2" t="s">
        <v>5441</v>
      </c>
      <c r="C1636" s="2" t="s">
        <v>5442</v>
      </c>
      <c r="D1636" s="2">
        <v>156601000</v>
      </c>
      <c r="E1636" s="2" t="s">
        <v>5256</v>
      </c>
      <c r="F1636" s="2" t="s">
        <v>5443</v>
      </c>
      <c r="G1636" s="2" t="s">
        <v>3629</v>
      </c>
      <c r="H1636" s="2">
        <v>80883</v>
      </c>
    </row>
    <row r="1637" spans="1:8">
      <c r="A1637" s="2" t="s">
        <v>5444</v>
      </c>
      <c r="B1637" s="2" t="s">
        <v>5445</v>
      </c>
      <c r="C1637" s="2" t="s">
        <v>5442</v>
      </c>
      <c r="D1637" s="2">
        <v>156602000</v>
      </c>
      <c r="E1637" s="2" t="s">
        <v>5256</v>
      </c>
      <c r="F1637" s="2" t="s">
        <v>5443</v>
      </c>
      <c r="G1637" s="2" t="s">
        <v>3574</v>
      </c>
      <c r="H1637" s="2">
        <v>125564</v>
      </c>
    </row>
    <row r="1638" spans="1:8">
      <c r="A1638" s="2" t="s">
        <v>5446</v>
      </c>
      <c r="B1638" s="2" t="s">
        <v>5447</v>
      </c>
      <c r="C1638" s="2" t="s">
        <v>5448</v>
      </c>
      <c r="D1638" s="2">
        <v>156603000</v>
      </c>
      <c r="E1638" s="2" t="s">
        <v>5256</v>
      </c>
      <c r="F1638" s="2" t="s">
        <v>5443</v>
      </c>
      <c r="G1638" s="2" t="s">
        <v>3626</v>
      </c>
      <c r="H1638" s="2">
        <v>31567</v>
      </c>
    </row>
    <row r="1639" spans="1:8">
      <c r="A1639" s="2" t="s">
        <v>5449</v>
      </c>
      <c r="B1639" s="2" t="s">
        <v>5450</v>
      </c>
      <c r="C1639" s="2" t="s">
        <v>5448</v>
      </c>
      <c r="D1639" s="2">
        <v>156604000</v>
      </c>
      <c r="E1639" s="2" t="s">
        <v>5256</v>
      </c>
      <c r="F1639" s="2" t="s">
        <v>5443</v>
      </c>
      <c r="G1639" s="2" t="s">
        <v>3629</v>
      </c>
      <c r="H1639" s="2">
        <v>32162</v>
      </c>
    </row>
    <row r="1640" spans="1:8">
      <c r="A1640" s="2" t="s">
        <v>5451</v>
      </c>
      <c r="B1640" s="2" t="s">
        <v>5452</v>
      </c>
      <c r="C1640" s="2" t="s">
        <v>5442</v>
      </c>
      <c r="D1640" s="2">
        <v>156605000</v>
      </c>
      <c r="E1640" s="2" t="s">
        <v>5256</v>
      </c>
      <c r="F1640" s="2" t="s">
        <v>5443</v>
      </c>
      <c r="G1640" s="2" t="s">
        <v>3626</v>
      </c>
      <c r="H1640" s="2">
        <v>37914</v>
      </c>
    </row>
    <row r="1641" spans="1:8">
      <c r="A1641" s="2" t="s">
        <v>5453</v>
      </c>
      <c r="B1641" s="2" t="s">
        <v>5454</v>
      </c>
      <c r="C1641" s="2" t="s">
        <v>5442</v>
      </c>
      <c r="D1641" s="2">
        <v>156606000</v>
      </c>
      <c r="E1641" s="2" t="s">
        <v>5256</v>
      </c>
      <c r="F1641" s="2" t="s">
        <v>5443</v>
      </c>
      <c r="G1641" s="2" t="s">
        <v>3769</v>
      </c>
      <c r="H1641" s="2">
        <v>6375</v>
      </c>
    </row>
    <row r="1642" spans="1:8">
      <c r="A1642" s="2" t="s">
        <v>5455</v>
      </c>
      <c r="B1642" s="2" t="s">
        <v>5456</v>
      </c>
      <c r="C1642" s="2" t="s">
        <v>5448</v>
      </c>
      <c r="D1642" s="2">
        <v>156607000</v>
      </c>
      <c r="E1642" s="2" t="s">
        <v>5256</v>
      </c>
      <c r="F1642" s="2" t="s">
        <v>5443</v>
      </c>
      <c r="G1642" s="2" t="s">
        <v>3634</v>
      </c>
      <c r="H1642" s="2">
        <v>40998</v>
      </c>
    </row>
    <row r="1643" spans="1:8">
      <c r="A1643" s="2" t="s">
        <v>5457</v>
      </c>
      <c r="B1643" s="2" t="s">
        <v>5458</v>
      </c>
      <c r="C1643" s="2" t="s">
        <v>5442</v>
      </c>
      <c r="D1643" s="2">
        <v>156608000</v>
      </c>
      <c r="E1643" s="2" t="s">
        <v>5256</v>
      </c>
      <c r="F1643" s="2" t="s">
        <v>5443</v>
      </c>
      <c r="G1643" s="2" t="s">
        <v>3634</v>
      </c>
      <c r="H1643" s="2">
        <v>30613</v>
      </c>
    </row>
    <row r="1644" spans="1:8">
      <c r="A1644" s="2" t="s">
        <v>5386</v>
      </c>
      <c r="B1644" s="2" t="s">
        <v>5459</v>
      </c>
      <c r="C1644" s="2" t="s">
        <v>5442</v>
      </c>
      <c r="D1644" s="2">
        <v>156609000</v>
      </c>
      <c r="E1644" s="2" t="s">
        <v>5256</v>
      </c>
      <c r="F1644" s="2" t="s">
        <v>5443</v>
      </c>
      <c r="G1644" s="2" t="s">
        <v>3600</v>
      </c>
      <c r="H1644" s="2">
        <v>62172</v>
      </c>
    </row>
    <row r="1645" spans="1:8">
      <c r="A1645" s="2" t="s">
        <v>5460</v>
      </c>
      <c r="B1645" s="2" t="s">
        <v>5461</v>
      </c>
      <c r="C1645" s="2" t="s">
        <v>5448</v>
      </c>
      <c r="D1645" s="2">
        <v>156610000</v>
      </c>
      <c r="E1645" s="2" t="s">
        <v>5256</v>
      </c>
      <c r="F1645" s="2" t="s">
        <v>5443</v>
      </c>
      <c r="G1645" s="2" t="s">
        <v>3626</v>
      </c>
      <c r="H1645" s="2">
        <v>22163</v>
      </c>
    </row>
    <row r="1646" spans="1:8">
      <c r="A1646" s="2" t="s">
        <v>5462</v>
      </c>
      <c r="B1646" s="2" t="s">
        <v>5463</v>
      </c>
      <c r="C1646" s="2" t="s">
        <v>5442</v>
      </c>
      <c r="D1646" s="2">
        <v>156611000</v>
      </c>
      <c r="E1646" s="2" t="s">
        <v>5256</v>
      </c>
      <c r="F1646" s="2" t="s">
        <v>5443</v>
      </c>
      <c r="G1646" s="2" t="s">
        <v>3629</v>
      </c>
      <c r="H1646" s="2">
        <v>62287</v>
      </c>
    </row>
    <row r="1647" spans="1:8">
      <c r="A1647" s="2" t="s">
        <v>5464</v>
      </c>
      <c r="B1647" s="2" t="s">
        <v>5465</v>
      </c>
      <c r="C1647" s="2" t="s">
        <v>5448</v>
      </c>
      <c r="D1647" s="2">
        <v>156612000</v>
      </c>
      <c r="E1647" s="2" t="s">
        <v>5256</v>
      </c>
      <c r="F1647" s="2" t="s">
        <v>5443</v>
      </c>
      <c r="G1647" s="2" t="s">
        <v>3600</v>
      </c>
      <c r="H1647" s="2">
        <v>67705</v>
      </c>
    </row>
    <row r="1648" spans="1:8">
      <c r="A1648" s="2" t="s">
        <v>5466</v>
      </c>
      <c r="B1648" s="2" t="s">
        <v>5467</v>
      </c>
      <c r="C1648" s="2" t="s">
        <v>5442</v>
      </c>
      <c r="D1648" s="2">
        <v>156613000</v>
      </c>
      <c r="E1648" s="2" t="s">
        <v>5256</v>
      </c>
      <c r="F1648" s="2" t="s">
        <v>5443</v>
      </c>
      <c r="G1648" s="2" t="s">
        <v>3574</v>
      </c>
      <c r="H1648" s="2">
        <v>80255</v>
      </c>
    </row>
    <row r="1649" spans="1:8">
      <c r="A1649" s="2" t="s">
        <v>5468</v>
      </c>
      <c r="B1649" s="2" t="s">
        <v>5469</v>
      </c>
      <c r="C1649" s="2" t="s">
        <v>5448</v>
      </c>
      <c r="D1649" s="2">
        <v>156614000</v>
      </c>
      <c r="E1649" s="2" t="s">
        <v>5256</v>
      </c>
      <c r="F1649" s="2" t="s">
        <v>5443</v>
      </c>
      <c r="G1649" s="2" t="s">
        <v>3626</v>
      </c>
      <c r="H1649" s="2">
        <v>18197</v>
      </c>
    </row>
    <row r="1650" spans="1:8">
      <c r="A1650" s="2" t="s">
        <v>5470</v>
      </c>
      <c r="B1650" s="2" t="s">
        <v>5471</v>
      </c>
      <c r="C1650" s="2" t="s">
        <v>5448</v>
      </c>
      <c r="D1650" s="2">
        <v>156615000</v>
      </c>
      <c r="E1650" s="2" t="s">
        <v>5256</v>
      </c>
      <c r="F1650" s="2" t="s">
        <v>5443</v>
      </c>
      <c r="G1650" s="2" t="s">
        <v>3634</v>
      </c>
      <c r="H1650" s="2">
        <v>24161</v>
      </c>
    </row>
    <row r="1651" spans="1:8">
      <c r="A1651" s="2" t="s">
        <v>5472</v>
      </c>
      <c r="B1651" s="2" t="s">
        <v>5473</v>
      </c>
      <c r="C1651" s="2" t="s">
        <v>5448</v>
      </c>
      <c r="D1651" s="2">
        <v>156616000</v>
      </c>
      <c r="E1651" s="2" t="s">
        <v>5256</v>
      </c>
      <c r="F1651" s="2" t="s">
        <v>5443</v>
      </c>
      <c r="G1651" s="2" t="s">
        <v>3626</v>
      </c>
      <c r="H1651" s="2">
        <v>28817</v>
      </c>
    </row>
    <row r="1652" spans="1:8">
      <c r="A1652" s="2" t="s">
        <v>5474</v>
      </c>
      <c r="B1652" s="2" t="s">
        <v>5475</v>
      </c>
      <c r="C1652" s="2" t="s">
        <v>5448</v>
      </c>
      <c r="D1652" s="2">
        <v>156617000</v>
      </c>
      <c r="E1652" s="2" t="s">
        <v>5256</v>
      </c>
      <c r="F1652" s="2" t="s">
        <v>5443</v>
      </c>
      <c r="G1652" s="2" t="s">
        <v>3626</v>
      </c>
      <c r="H1652" s="2">
        <v>21897</v>
      </c>
    </row>
    <row r="1653" spans="1:8">
      <c r="A1653" s="2" t="s">
        <v>5476</v>
      </c>
      <c r="B1653" s="2" t="s">
        <v>5477</v>
      </c>
      <c r="C1653" s="2" t="s">
        <v>5448</v>
      </c>
      <c r="D1653" s="2">
        <v>156618000</v>
      </c>
      <c r="E1653" s="2" t="s">
        <v>5256</v>
      </c>
      <c r="F1653" s="2" t="s">
        <v>5443</v>
      </c>
      <c r="G1653" s="2" t="s">
        <v>3634</v>
      </c>
      <c r="H1653" s="2">
        <v>25885</v>
      </c>
    </row>
    <row r="1654" spans="1:8">
      <c r="A1654" s="2" t="s">
        <v>5478</v>
      </c>
      <c r="B1654" s="2" t="s">
        <v>5479</v>
      </c>
      <c r="C1654" s="2" t="s">
        <v>5448</v>
      </c>
      <c r="D1654" s="2">
        <v>156619000</v>
      </c>
      <c r="E1654" s="2" t="s">
        <v>5256</v>
      </c>
      <c r="F1654" s="2" t="s">
        <v>5443</v>
      </c>
      <c r="G1654" s="2" t="s">
        <v>5272</v>
      </c>
      <c r="H1654" s="2">
        <v>25116</v>
      </c>
    </row>
    <row r="1655" spans="2:5">
      <c r="B1655" s="2" t="s">
        <v>20</v>
      </c>
      <c r="E1655" s="2" t="s">
        <v>5256</v>
      </c>
    </row>
    <row r="1656" spans="1:8">
      <c r="A1656" s="2" t="s">
        <v>5480</v>
      </c>
      <c r="B1656" s="2" t="s">
        <v>5481</v>
      </c>
      <c r="C1656" s="2" t="s">
        <v>5482</v>
      </c>
      <c r="D1656" s="2">
        <v>157001000</v>
      </c>
      <c r="E1656" s="2" t="s">
        <v>5256</v>
      </c>
      <c r="F1656" s="2" t="s">
        <v>5483</v>
      </c>
      <c r="G1656" s="2" t="s">
        <v>3629</v>
      </c>
      <c r="H1656" s="2">
        <v>44184</v>
      </c>
    </row>
    <row r="1657" spans="1:8">
      <c r="A1657" s="2" t="s">
        <v>5484</v>
      </c>
      <c r="B1657" s="2" t="s">
        <v>5485</v>
      </c>
      <c r="C1657" s="2" t="s">
        <v>5482</v>
      </c>
      <c r="D1657" s="2">
        <v>157002000</v>
      </c>
      <c r="E1657" s="2" t="s">
        <v>5256</v>
      </c>
      <c r="F1657" s="2" t="s">
        <v>5483</v>
      </c>
      <c r="G1657" s="2" t="s">
        <v>3600</v>
      </c>
      <c r="H1657" s="2">
        <v>100527</v>
      </c>
    </row>
    <row r="1658" spans="1:8">
      <c r="A1658" s="2" t="s">
        <v>5486</v>
      </c>
      <c r="B1658" s="2" t="s">
        <v>5487</v>
      </c>
      <c r="C1658" s="2" t="s">
        <v>5482</v>
      </c>
      <c r="D1658" s="2">
        <v>157003000</v>
      </c>
      <c r="E1658" s="2" t="s">
        <v>5256</v>
      </c>
      <c r="F1658" s="2" t="s">
        <v>5483</v>
      </c>
      <c r="G1658" s="2" t="s">
        <v>3634</v>
      </c>
      <c r="H1658" s="2">
        <v>26597</v>
      </c>
    </row>
    <row r="1659" spans="1:8">
      <c r="A1659" s="2" t="s">
        <v>5488</v>
      </c>
      <c r="B1659" s="2" t="s">
        <v>5489</v>
      </c>
      <c r="C1659" s="2" t="s">
        <v>5482</v>
      </c>
      <c r="D1659" s="2">
        <v>157004000</v>
      </c>
      <c r="E1659" s="2" t="s">
        <v>5256</v>
      </c>
      <c r="F1659" s="2" t="s">
        <v>5483</v>
      </c>
      <c r="G1659" s="2" t="s">
        <v>3634</v>
      </c>
      <c r="H1659" s="2">
        <v>31223</v>
      </c>
    </row>
    <row r="1660" spans="1:8">
      <c r="A1660" s="2" t="s">
        <v>5490</v>
      </c>
      <c r="B1660" s="2" t="s">
        <v>5491</v>
      </c>
      <c r="C1660" s="2" t="s">
        <v>5482</v>
      </c>
      <c r="D1660" s="2">
        <v>157005000</v>
      </c>
      <c r="E1660" s="2" t="s">
        <v>5256</v>
      </c>
      <c r="F1660" s="2" t="s">
        <v>5483</v>
      </c>
      <c r="G1660" s="2" t="s">
        <v>3574</v>
      </c>
      <c r="H1660" s="2">
        <v>33334</v>
      </c>
    </row>
    <row r="1661" spans="1:8">
      <c r="A1661" s="2" t="s">
        <v>5492</v>
      </c>
      <c r="B1661" s="2" t="s">
        <v>5493</v>
      </c>
      <c r="C1661" s="2" t="s">
        <v>5482</v>
      </c>
      <c r="D1661" s="2">
        <v>157006000</v>
      </c>
      <c r="E1661" s="2" t="s">
        <v>5256</v>
      </c>
      <c r="F1661" s="2" t="s">
        <v>5483</v>
      </c>
      <c r="G1661" s="2" t="s">
        <v>3629</v>
      </c>
      <c r="H1661" s="2">
        <v>25935</v>
      </c>
    </row>
    <row r="1662" spans="1:8">
      <c r="A1662" s="2" t="s">
        <v>5494</v>
      </c>
      <c r="B1662" s="2" t="s">
        <v>5495</v>
      </c>
      <c r="C1662" s="2" t="s">
        <v>5482</v>
      </c>
      <c r="D1662" s="2">
        <v>157007000</v>
      </c>
      <c r="E1662" s="2" t="s">
        <v>5256</v>
      </c>
      <c r="F1662" s="2" t="s">
        <v>5483</v>
      </c>
      <c r="G1662" s="2" t="s">
        <v>3600</v>
      </c>
      <c r="H1662" s="2">
        <v>29390</v>
      </c>
    </row>
    <row r="1663" spans="1:8">
      <c r="A1663" s="2" t="s">
        <v>5496</v>
      </c>
      <c r="B1663" s="2" t="s">
        <v>5497</v>
      </c>
      <c r="C1663" s="2" t="s">
        <v>5482</v>
      </c>
      <c r="D1663" s="2">
        <v>157008000</v>
      </c>
      <c r="E1663" s="2" t="s">
        <v>5256</v>
      </c>
      <c r="F1663" s="2" t="s">
        <v>5483</v>
      </c>
      <c r="G1663" s="2" t="s">
        <v>3626</v>
      </c>
      <c r="H1663" s="2">
        <v>4727</v>
      </c>
    </row>
    <row r="1664" spans="1:8">
      <c r="A1664" s="2" t="s">
        <v>5498</v>
      </c>
      <c r="B1664" s="2" t="s">
        <v>5499</v>
      </c>
      <c r="C1664" s="2" t="s">
        <v>5482</v>
      </c>
      <c r="D1664" s="2">
        <v>157009000</v>
      </c>
      <c r="E1664" s="2" t="s">
        <v>5256</v>
      </c>
      <c r="F1664" s="2" t="s">
        <v>5483</v>
      </c>
      <c r="G1664" s="2" t="s">
        <v>3574</v>
      </c>
      <c r="H1664" s="2">
        <v>33494</v>
      </c>
    </row>
    <row r="1665" spans="1:8">
      <c r="A1665" s="2" t="s">
        <v>5500</v>
      </c>
      <c r="B1665" s="2" t="s">
        <v>5501</v>
      </c>
      <c r="C1665" s="2" t="s">
        <v>5482</v>
      </c>
      <c r="D1665" s="2">
        <v>157010000</v>
      </c>
      <c r="E1665" s="2" t="s">
        <v>5256</v>
      </c>
      <c r="F1665" s="2" t="s">
        <v>5483</v>
      </c>
      <c r="G1665" s="2" t="s">
        <v>3629</v>
      </c>
      <c r="H1665" s="2">
        <v>30917</v>
      </c>
    </row>
    <row r="1666" spans="1:8">
      <c r="A1666" s="2" t="s">
        <v>5502</v>
      </c>
      <c r="B1666" s="2" t="s">
        <v>5503</v>
      </c>
      <c r="C1666" s="2" t="s">
        <v>5482</v>
      </c>
      <c r="D1666" s="2">
        <v>157011000</v>
      </c>
      <c r="E1666" s="2" t="s">
        <v>5256</v>
      </c>
      <c r="F1666" s="2" t="s">
        <v>5483</v>
      </c>
      <c r="G1666" s="2" t="s">
        <v>5272</v>
      </c>
      <c r="H1666" s="2">
        <v>30387</v>
      </c>
    </row>
    <row r="1667" spans="2:5">
      <c r="B1667" s="2" t="s">
        <v>20</v>
      </c>
      <c r="E1667" s="2" t="s">
        <v>5504</v>
      </c>
    </row>
    <row r="1668" spans="1:8">
      <c r="A1668" s="2" t="s">
        <v>2410</v>
      </c>
      <c r="B1668" s="2" t="s">
        <v>5505</v>
      </c>
      <c r="C1668" s="2" t="s">
        <v>5506</v>
      </c>
      <c r="D1668" s="2">
        <v>160202000</v>
      </c>
      <c r="E1668" s="2" t="s">
        <v>5504</v>
      </c>
      <c r="F1668" s="2" t="s">
        <v>2192</v>
      </c>
      <c r="G1668" s="2" t="s">
        <v>3574</v>
      </c>
      <c r="H1668" s="2">
        <v>337063</v>
      </c>
    </row>
    <row r="1669" spans="1:8">
      <c r="A1669" s="2" t="s">
        <v>2479</v>
      </c>
      <c r="B1669" s="2" t="s">
        <v>5507</v>
      </c>
      <c r="C1669" s="2" t="s">
        <v>5508</v>
      </c>
      <c r="D1669" s="2">
        <v>160203000</v>
      </c>
      <c r="E1669" s="2" t="s">
        <v>5504</v>
      </c>
      <c r="F1669" s="2" t="s">
        <v>2192</v>
      </c>
      <c r="G1669" s="2" t="s">
        <v>3769</v>
      </c>
      <c r="H1669" s="2">
        <v>73639</v>
      </c>
    </row>
    <row r="1670" spans="1:8">
      <c r="A1670" s="2" t="s">
        <v>2378</v>
      </c>
      <c r="B1670" s="2" t="s">
        <v>5509</v>
      </c>
      <c r="C1670" s="2" t="s">
        <v>5508</v>
      </c>
      <c r="D1670" s="2">
        <v>160201000</v>
      </c>
      <c r="E1670" s="2" t="s">
        <v>5504</v>
      </c>
      <c r="F1670" s="2" t="s">
        <v>2192</v>
      </c>
      <c r="G1670" s="2" t="s">
        <v>3574</v>
      </c>
      <c r="H1670" s="2">
        <v>61614</v>
      </c>
    </row>
    <row r="1671" spans="1:8">
      <c r="A1671" s="2" t="s">
        <v>2546</v>
      </c>
      <c r="B1671" s="2" t="s">
        <v>5510</v>
      </c>
      <c r="C1671" s="2" t="s">
        <v>5508</v>
      </c>
      <c r="D1671" s="2">
        <v>160204000</v>
      </c>
      <c r="E1671" s="2" t="s">
        <v>5504</v>
      </c>
      <c r="F1671" s="2" t="s">
        <v>2192</v>
      </c>
      <c r="G1671" s="2" t="s">
        <v>3634</v>
      </c>
      <c r="H1671" s="2">
        <v>20839</v>
      </c>
    </row>
    <row r="1672" spans="1:8">
      <c r="A1672" s="2" t="s">
        <v>2682</v>
      </c>
      <c r="B1672" s="2" t="s">
        <v>5511</v>
      </c>
      <c r="C1672" s="2" t="s">
        <v>5508</v>
      </c>
      <c r="D1672" s="2">
        <v>160205000</v>
      </c>
      <c r="E1672" s="2" t="s">
        <v>5504</v>
      </c>
      <c r="F1672" s="2" t="s">
        <v>2192</v>
      </c>
      <c r="G1672" s="2" t="s">
        <v>3629</v>
      </c>
      <c r="H1672" s="2">
        <v>23184</v>
      </c>
    </row>
    <row r="1673" spans="1:8">
      <c r="A1673" s="2" t="s">
        <v>2747</v>
      </c>
      <c r="B1673" s="2" t="s">
        <v>5512</v>
      </c>
      <c r="C1673" s="2" t="s">
        <v>5508</v>
      </c>
      <c r="D1673" s="2">
        <v>160206000</v>
      </c>
      <c r="E1673" s="2" t="s">
        <v>5504</v>
      </c>
      <c r="F1673" s="2" t="s">
        <v>2192</v>
      </c>
      <c r="G1673" s="2" t="s">
        <v>3634</v>
      </c>
      <c r="H1673" s="2">
        <v>18659</v>
      </c>
    </row>
    <row r="1674" spans="1:8">
      <c r="A1674" s="2" t="s">
        <v>2806</v>
      </c>
      <c r="B1674" s="2" t="s">
        <v>5513</v>
      </c>
      <c r="C1674" s="2" t="s">
        <v>5506</v>
      </c>
      <c r="D1674" s="2">
        <v>160207000</v>
      </c>
      <c r="E1674" s="2" t="s">
        <v>5504</v>
      </c>
      <c r="F1674" s="2" t="s">
        <v>2192</v>
      </c>
      <c r="G1674" s="2" t="s">
        <v>3600</v>
      </c>
      <c r="H1674" s="2">
        <v>28414</v>
      </c>
    </row>
    <row r="1675" spans="1:8">
      <c r="A1675" s="2" t="s">
        <v>2862</v>
      </c>
      <c r="B1675" s="2" t="s">
        <v>5514</v>
      </c>
      <c r="C1675" s="2" t="s">
        <v>5508</v>
      </c>
      <c r="D1675" s="2">
        <v>160208000</v>
      </c>
      <c r="E1675" s="2" t="s">
        <v>5504</v>
      </c>
      <c r="F1675" s="2" t="s">
        <v>2192</v>
      </c>
      <c r="G1675" s="2" t="s">
        <v>3634</v>
      </c>
      <c r="H1675" s="2">
        <v>21007</v>
      </c>
    </row>
    <row r="1676" spans="1:8">
      <c r="A1676" s="2" t="s">
        <v>2916</v>
      </c>
      <c r="B1676" s="2" t="s">
        <v>5515</v>
      </c>
      <c r="C1676" s="2" t="s">
        <v>5508</v>
      </c>
      <c r="D1676" s="2">
        <v>160209000</v>
      </c>
      <c r="E1676" s="2" t="s">
        <v>5504</v>
      </c>
      <c r="F1676" s="2" t="s">
        <v>2192</v>
      </c>
      <c r="G1676" s="2" t="s">
        <v>3629</v>
      </c>
      <c r="H1676" s="2">
        <v>41957</v>
      </c>
    </row>
    <row r="1677" spans="1:8">
      <c r="A1677" s="2" t="s">
        <v>2970</v>
      </c>
      <c r="B1677" s="2" t="s">
        <v>5516</v>
      </c>
      <c r="C1677" s="2" t="s">
        <v>5508</v>
      </c>
      <c r="D1677" s="2">
        <v>160210000</v>
      </c>
      <c r="E1677" s="2" t="s">
        <v>5504</v>
      </c>
      <c r="F1677" s="2" t="s">
        <v>2192</v>
      </c>
      <c r="G1677" s="2" t="s">
        <v>3634</v>
      </c>
      <c r="H1677" s="2">
        <v>24200</v>
      </c>
    </row>
    <row r="1678" spans="1:8">
      <c r="A1678" s="2" t="s">
        <v>3019</v>
      </c>
      <c r="B1678" s="2" t="s">
        <v>5517</v>
      </c>
      <c r="C1678" s="2" t="s">
        <v>5508</v>
      </c>
      <c r="D1678" s="2">
        <v>160211000</v>
      </c>
      <c r="E1678" s="2" t="s">
        <v>5504</v>
      </c>
      <c r="F1678" s="2" t="s">
        <v>2192</v>
      </c>
      <c r="G1678" s="2" t="s">
        <v>3634</v>
      </c>
      <c r="H1678" s="2">
        <v>24932</v>
      </c>
    </row>
    <row r="1679" spans="1:8">
      <c r="A1679" s="2" t="s">
        <v>3066</v>
      </c>
      <c r="B1679" s="2" t="s">
        <v>5518</v>
      </c>
      <c r="C1679" s="2" t="s">
        <v>5508</v>
      </c>
      <c r="D1679" s="2">
        <v>160212000</v>
      </c>
      <c r="E1679" s="2" t="s">
        <v>5504</v>
      </c>
      <c r="F1679" s="2" t="s">
        <v>2192</v>
      </c>
      <c r="G1679" s="2" t="s">
        <v>3626</v>
      </c>
      <c r="H1679" s="2">
        <v>16058</v>
      </c>
    </row>
    <row r="1680" spans="2:5">
      <c r="B1680" s="2" t="s">
        <v>20</v>
      </c>
      <c r="E1680" s="2" t="s">
        <v>5504</v>
      </c>
    </row>
    <row r="1681" spans="1:8">
      <c r="A1681" s="2" t="s">
        <v>2411</v>
      </c>
      <c r="B1681" s="2" t="s">
        <v>5519</v>
      </c>
      <c r="C1681" s="2" t="s">
        <v>5520</v>
      </c>
      <c r="D1681" s="2">
        <v>160301000</v>
      </c>
      <c r="E1681" s="2" t="s">
        <v>5504</v>
      </c>
      <c r="F1681" s="2" t="s">
        <v>2206</v>
      </c>
      <c r="G1681" s="2" t="s">
        <v>3626</v>
      </c>
      <c r="H1681" s="2">
        <v>103202</v>
      </c>
    </row>
    <row r="1682" spans="1:8">
      <c r="A1682" s="2" t="s">
        <v>2480</v>
      </c>
      <c r="B1682" s="2" t="s">
        <v>5521</v>
      </c>
      <c r="C1682" s="2" t="s">
        <v>5522</v>
      </c>
      <c r="D1682" s="2">
        <v>160302000</v>
      </c>
      <c r="E1682" s="2" t="s">
        <v>5504</v>
      </c>
      <c r="F1682" s="2" t="s">
        <v>2206</v>
      </c>
      <c r="G1682" s="2" t="s">
        <v>3574</v>
      </c>
      <c r="H1682" s="2">
        <v>45151</v>
      </c>
    </row>
    <row r="1683" spans="1:8">
      <c r="A1683" s="2" t="s">
        <v>2549</v>
      </c>
      <c r="B1683" s="2" t="s">
        <v>5523</v>
      </c>
      <c r="C1683" s="2" t="s">
        <v>5520</v>
      </c>
      <c r="D1683" s="2">
        <v>160303000</v>
      </c>
      <c r="E1683" s="2" t="s">
        <v>5504</v>
      </c>
      <c r="F1683" s="2" t="s">
        <v>2206</v>
      </c>
      <c r="G1683" s="2" t="s">
        <v>3574</v>
      </c>
      <c r="H1683" s="2">
        <v>54801</v>
      </c>
    </row>
    <row r="1684" spans="1:8">
      <c r="A1684" s="2" t="s">
        <v>2618</v>
      </c>
      <c r="B1684" s="2" t="s">
        <v>5524</v>
      </c>
      <c r="C1684" s="2" t="s">
        <v>5522</v>
      </c>
      <c r="D1684" s="2">
        <v>160304000</v>
      </c>
      <c r="E1684" s="2" t="s">
        <v>5504</v>
      </c>
      <c r="F1684" s="2" t="s">
        <v>2206</v>
      </c>
      <c r="G1684" s="2" t="s">
        <v>3574</v>
      </c>
      <c r="H1684" s="2">
        <v>28217</v>
      </c>
    </row>
    <row r="1685" spans="1:8">
      <c r="A1685" s="2" t="s">
        <v>2683</v>
      </c>
      <c r="B1685" s="2" t="s">
        <v>5525</v>
      </c>
      <c r="C1685" s="2" t="s">
        <v>5522</v>
      </c>
      <c r="D1685" s="2">
        <v>160305000</v>
      </c>
      <c r="E1685" s="2" t="s">
        <v>5504</v>
      </c>
      <c r="F1685" s="2" t="s">
        <v>2206</v>
      </c>
      <c r="G1685" s="2" t="s">
        <v>3574</v>
      </c>
      <c r="H1685" s="2">
        <v>42501</v>
      </c>
    </row>
    <row r="1686" spans="1:8">
      <c r="A1686" s="2" t="s">
        <v>2748</v>
      </c>
      <c r="B1686" s="2" t="s">
        <v>5526</v>
      </c>
      <c r="C1686" s="2" t="s">
        <v>5520</v>
      </c>
      <c r="D1686" s="2">
        <v>160306000</v>
      </c>
      <c r="E1686" s="2" t="s">
        <v>5504</v>
      </c>
      <c r="F1686" s="2" t="s">
        <v>2206</v>
      </c>
      <c r="G1686" s="2" t="s">
        <v>3574</v>
      </c>
      <c r="H1686" s="2">
        <v>82631</v>
      </c>
    </row>
    <row r="1687" spans="1:8">
      <c r="A1687" s="2" t="s">
        <v>2807</v>
      </c>
      <c r="B1687" s="2" t="s">
        <v>5527</v>
      </c>
      <c r="C1687" s="2" t="s">
        <v>5522</v>
      </c>
      <c r="D1687" s="2">
        <v>160307000</v>
      </c>
      <c r="E1687" s="2" t="s">
        <v>5504</v>
      </c>
      <c r="F1687" s="2" t="s">
        <v>2206</v>
      </c>
      <c r="G1687" s="2" t="s">
        <v>3600</v>
      </c>
      <c r="H1687" s="2">
        <v>46683</v>
      </c>
    </row>
    <row r="1688" spans="1:8">
      <c r="A1688" s="2" t="s">
        <v>2863</v>
      </c>
      <c r="B1688" s="2" t="s">
        <v>5528</v>
      </c>
      <c r="C1688" s="2" t="s">
        <v>5522</v>
      </c>
      <c r="D1688" s="2">
        <v>160308000</v>
      </c>
      <c r="E1688" s="2" t="s">
        <v>5504</v>
      </c>
      <c r="F1688" s="2" t="s">
        <v>2206</v>
      </c>
      <c r="G1688" s="2" t="s">
        <v>3574</v>
      </c>
      <c r="H1688" s="2">
        <v>74542</v>
      </c>
    </row>
    <row r="1689" spans="1:8">
      <c r="A1689" s="2" t="s">
        <v>2818</v>
      </c>
      <c r="B1689" s="2" t="s">
        <v>5529</v>
      </c>
      <c r="C1689" s="2" t="s">
        <v>5520</v>
      </c>
      <c r="D1689" s="2">
        <v>160309000</v>
      </c>
      <c r="E1689" s="2" t="s">
        <v>5504</v>
      </c>
      <c r="F1689" s="2" t="s">
        <v>2206</v>
      </c>
      <c r="G1689" s="2" t="s">
        <v>3574</v>
      </c>
      <c r="H1689" s="2">
        <v>32109</v>
      </c>
    </row>
    <row r="1690" spans="1:8">
      <c r="A1690" s="2" t="s">
        <v>2971</v>
      </c>
      <c r="B1690" s="2" t="s">
        <v>5530</v>
      </c>
      <c r="C1690" s="2" t="s">
        <v>5522</v>
      </c>
      <c r="D1690" s="2">
        <v>160310000</v>
      </c>
      <c r="E1690" s="2" t="s">
        <v>5504</v>
      </c>
      <c r="F1690" s="2" t="s">
        <v>2206</v>
      </c>
      <c r="G1690" s="2" t="s">
        <v>3629</v>
      </c>
      <c r="H1690" s="2">
        <v>26729</v>
      </c>
    </row>
    <row r="1691" spans="1:8">
      <c r="A1691" s="2" t="s">
        <v>3020</v>
      </c>
      <c r="B1691" s="2" t="s">
        <v>5531</v>
      </c>
      <c r="C1691" s="2" t="s">
        <v>5520</v>
      </c>
      <c r="D1691" s="2">
        <v>160311000</v>
      </c>
      <c r="E1691" s="2" t="s">
        <v>5504</v>
      </c>
      <c r="F1691" s="2" t="s">
        <v>2206</v>
      </c>
      <c r="G1691" s="2" t="s">
        <v>3600</v>
      </c>
      <c r="H1691" s="2">
        <v>38374</v>
      </c>
    </row>
    <row r="1692" spans="1:8">
      <c r="A1692" s="2" t="s">
        <v>3067</v>
      </c>
      <c r="B1692" s="2" t="s">
        <v>5532</v>
      </c>
      <c r="C1692" s="2" t="s">
        <v>5522</v>
      </c>
      <c r="D1692" s="2">
        <v>160312000</v>
      </c>
      <c r="E1692" s="2" t="s">
        <v>5504</v>
      </c>
      <c r="F1692" s="2" t="s">
        <v>2206</v>
      </c>
      <c r="G1692" s="2" t="s">
        <v>3574</v>
      </c>
      <c r="H1692" s="2">
        <v>51565</v>
      </c>
    </row>
    <row r="1693" spans="1:8">
      <c r="A1693" s="2" t="s">
        <v>3107</v>
      </c>
      <c r="B1693" s="2" t="s">
        <v>5533</v>
      </c>
      <c r="C1693" s="2" t="s">
        <v>5522</v>
      </c>
      <c r="D1693" s="2">
        <v>160313000</v>
      </c>
      <c r="E1693" s="2" t="s">
        <v>5504</v>
      </c>
      <c r="F1693" s="2" t="s">
        <v>2206</v>
      </c>
      <c r="G1693" s="2" t="s">
        <v>3600</v>
      </c>
      <c r="H1693" s="2">
        <v>43706</v>
      </c>
    </row>
    <row r="1694" spans="1:8">
      <c r="A1694" s="2" t="s">
        <v>3147</v>
      </c>
      <c r="B1694" s="2" t="s">
        <v>5534</v>
      </c>
      <c r="C1694" s="2" t="s">
        <v>5520</v>
      </c>
      <c r="D1694" s="2">
        <v>160314000</v>
      </c>
      <c r="E1694" s="2" t="s">
        <v>5504</v>
      </c>
      <c r="F1694" s="2" t="s">
        <v>2206</v>
      </c>
      <c r="G1694" s="2" t="s">
        <v>3574</v>
      </c>
      <c r="H1694" s="2">
        <v>30442</v>
      </c>
    </row>
    <row r="1695" spans="2:5">
      <c r="B1695" s="2" t="s">
        <v>20</v>
      </c>
      <c r="E1695" s="2" t="s">
        <v>5504</v>
      </c>
    </row>
    <row r="1696" spans="1:8">
      <c r="A1696" s="2" t="s">
        <v>2412</v>
      </c>
      <c r="B1696" s="2" t="s">
        <v>5535</v>
      </c>
      <c r="C1696" s="2" t="s">
        <v>5536</v>
      </c>
      <c r="D1696" s="2">
        <v>168501000</v>
      </c>
      <c r="E1696" s="2" t="s">
        <v>5504</v>
      </c>
      <c r="F1696" s="2" t="s">
        <v>2220</v>
      </c>
      <c r="G1696" s="2" t="s">
        <v>3634</v>
      </c>
      <c r="H1696" s="2">
        <v>36880</v>
      </c>
    </row>
    <row r="1697" spans="1:8">
      <c r="A1697" s="2" t="s">
        <v>2481</v>
      </c>
      <c r="B1697" s="2" t="s">
        <v>5537</v>
      </c>
      <c r="C1697" s="2" t="s">
        <v>5536</v>
      </c>
      <c r="D1697" s="2">
        <v>168502000</v>
      </c>
      <c r="E1697" s="2" t="s">
        <v>5504</v>
      </c>
      <c r="F1697" s="2" t="s">
        <v>2220</v>
      </c>
      <c r="G1697" s="2" t="s">
        <v>3629</v>
      </c>
      <c r="H1697" s="2">
        <v>16808</v>
      </c>
    </row>
    <row r="1698" spans="1:8">
      <c r="A1698" s="2" t="s">
        <v>2550</v>
      </c>
      <c r="B1698" s="2" t="s">
        <v>5538</v>
      </c>
      <c r="C1698" s="2" t="s">
        <v>5536</v>
      </c>
      <c r="D1698" s="2">
        <v>168503000</v>
      </c>
      <c r="E1698" s="2" t="s">
        <v>5504</v>
      </c>
      <c r="F1698" s="2" t="s">
        <v>2220</v>
      </c>
      <c r="G1698" s="2" t="s">
        <v>3626</v>
      </c>
      <c r="H1698" s="2">
        <v>10632</v>
      </c>
    </row>
    <row r="1699" spans="1:8">
      <c r="A1699" s="2" t="s">
        <v>2619</v>
      </c>
      <c r="B1699" s="2" t="s">
        <v>5539</v>
      </c>
      <c r="C1699" s="2" t="s">
        <v>5536</v>
      </c>
      <c r="D1699" s="2">
        <v>168504000</v>
      </c>
      <c r="E1699" s="2" t="s">
        <v>5504</v>
      </c>
      <c r="F1699" s="2" t="s">
        <v>2220</v>
      </c>
      <c r="G1699" s="2" t="s">
        <v>3626</v>
      </c>
      <c r="H1699" s="2">
        <v>17760</v>
      </c>
    </row>
    <row r="1700" spans="1:8">
      <c r="A1700" s="2" t="s">
        <v>2683</v>
      </c>
      <c r="B1700" s="2" t="s">
        <v>5540</v>
      </c>
      <c r="C1700" s="2" t="s">
        <v>5536</v>
      </c>
      <c r="D1700" s="2">
        <v>168505000</v>
      </c>
      <c r="E1700" s="2" t="s">
        <v>5504</v>
      </c>
      <c r="F1700" s="2" t="s">
        <v>2220</v>
      </c>
      <c r="G1700" s="2" t="s">
        <v>3634</v>
      </c>
      <c r="H1700" s="2">
        <v>9309</v>
      </c>
    </row>
    <row r="1701" spans="1:8">
      <c r="A1701" s="2" t="s">
        <v>2749</v>
      </c>
      <c r="B1701" s="2" t="s">
        <v>5541</v>
      </c>
      <c r="C1701" s="2" t="s">
        <v>5536</v>
      </c>
      <c r="D1701" s="2">
        <v>168506000</v>
      </c>
      <c r="E1701" s="2" t="s">
        <v>5504</v>
      </c>
      <c r="F1701" s="2" t="s">
        <v>2220</v>
      </c>
      <c r="G1701" s="2" t="s">
        <v>3634</v>
      </c>
      <c r="H1701" s="2">
        <v>27487</v>
      </c>
    </row>
    <row r="1702" spans="1:8">
      <c r="A1702" s="2" t="s">
        <v>2808</v>
      </c>
      <c r="B1702" s="2" t="s">
        <v>5542</v>
      </c>
      <c r="C1702" s="2" t="s">
        <v>5536</v>
      </c>
      <c r="D1702" s="2">
        <v>168507000</v>
      </c>
      <c r="E1702" s="2" t="s">
        <v>5504</v>
      </c>
      <c r="F1702" s="2" t="s">
        <v>2220</v>
      </c>
      <c r="G1702" s="2" t="s">
        <v>3626</v>
      </c>
      <c r="H1702" s="2">
        <v>8276</v>
      </c>
    </row>
    <row r="1703" spans="2:5">
      <c r="B1703" s="2" t="s">
        <v>20</v>
      </c>
      <c r="E1703" s="2" t="s">
        <v>5504</v>
      </c>
    </row>
    <row r="1704" spans="1:8">
      <c r="A1704" s="2" t="s">
        <v>2413</v>
      </c>
      <c r="B1704" s="2" t="s">
        <v>5543</v>
      </c>
      <c r="C1704" s="2" t="s">
        <v>5544</v>
      </c>
      <c r="D1704" s="2">
        <v>166724000</v>
      </c>
      <c r="E1704" s="2" t="s">
        <v>5504</v>
      </c>
      <c r="F1704" s="2" t="s">
        <v>2234</v>
      </c>
      <c r="G1704" s="2" t="s">
        <v>3629</v>
      </c>
      <c r="H1704" s="2">
        <v>154137</v>
      </c>
    </row>
    <row r="1705" spans="1:8">
      <c r="A1705" s="2" t="s">
        <v>2482</v>
      </c>
      <c r="B1705" s="2" t="s">
        <v>5545</v>
      </c>
      <c r="C1705" s="2" t="s">
        <v>5544</v>
      </c>
      <c r="D1705" s="2">
        <v>166701000</v>
      </c>
      <c r="E1705" s="2" t="s">
        <v>5504</v>
      </c>
      <c r="F1705" s="2" t="s">
        <v>2234</v>
      </c>
      <c r="G1705" s="2" t="s">
        <v>3626</v>
      </c>
      <c r="H1705" s="2">
        <v>16011</v>
      </c>
    </row>
    <row r="1706" spans="1:8">
      <c r="A1706" s="2" t="s">
        <v>2551</v>
      </c>
      <c r="B1706" s="2" t="s">
        <v>5546</v>
      </c>
      <c r="C1706" s="2" t="s">
        <v>5544</v>
      </c>
      <c r="D1706" s="2">
        <v>166702000</v>
      </c>
      <c r="E1706" s="2" t="s">
        <v>5504</v>
      </c>
      <c r="F1706" s="2" t="s">
        <v>2234</v>
      </c>
      <c r="G1706" s="2" t="s">
        <v>3626</v>
      </c>
      <c r="H1706" s="2">
        <v>14486</v>
      </c>
    </row>
    <row r="1707" spans="1:8">
      <c r="A1707" s="2" t="s">
        <v>678</v>
      </c>
      <c r="B1707" s="2" t="s">
        <v>5547</v>
      </c>
      <c r="C1707" s="2" t="s">
        <v>5548</v>
      </c>
      <c r="D1707" s="2">
        <v>166704000</v>
      </c>
      <c r="E1707" s="2" t="s">
        <v>5504</v>
      </c>
      <c r="F1707" s="2" t="s">
        <v>2234</v>
      </c>
      <c r="G1707" s="2" t="s">
        <v>3769</v>
      </c>
      <c r="H1707" s="2">
        <v>4034</v>
      </c>
    </row>
    <row r="1708" spans="1:8">
      <c r="A1708" s="2" t="s">
        <v>2684</v>
      </c>
      <c r="B1708" s="2" t="s">
        <v>5549</v>
      </c>
      <c r="C1708" s="2" t="s">
        <v>5544</v>
      </c>
      <c r="D1708" s="2">
        <v>166706000</v>
      </c>
      <c r="E1708" s="2" t="s">
        <v>5504</v>
      </c>
      <c r="F1708" s="2" t="s">
        <v>2234</v>
      </c>
      <c r="G1708" s="2" t="s">
        <v>3600</v>
      </c>
      <c r="H1708" s="2">
        <v>32773</v>
      </c>
    </row>
    <row r="1709" spans="1:8">
      <c r="A1709" s="2" t="s">
        <v>2750</v>
      </c>
      <c r="B1709" s="2" t="s">
        <v>5550</v>
      </c>
      <c r="C1709" s="2" t="s">
        <v>5548</v>
      </c>
      <c r="D1709" s="2">
        <v>166707000</v>
      </c>
      <c r="E1709" s="2" t="s">
        <v>5504</v>
      </c>
      <c r="F1709" s="2" t="s">
        <v>2234</v>
      </c>
      <c r="G1709" s="2" t="s">
        <v>3634</v>
      </c>
      <c r="H1709" s="2">
        <v>23787</v>
      </c>
    </row>
    <row r="1710" spans="1:8">
      <c r="A1710" s="2" t="s">
        <v>2809</v>
      </c>
      <c r="B1710" s="2" t="s">
        <v>5551</v>
      </c>
      <c r="C1710" s="2" t="s">
        <v>5548</v>
      </c>
      <c r="D1710" s="2">
        <v>166708000</v>
      </c>
      <c r="E1710" s="2" t="s">
        <v>5504</v>
      </c>
      <c r="F1710" s="2" t="s">
        <v>2234</v>
      </c>
      <c r="G1710" s="2" t="s">
        <v>3626</v>
      </c>
      <c r="H1710" s="2">
        <v>18392</v>
      </c>
    </row>
    <row r="1711" spans="1:8">
      <c r="A1711" s="2" t="s">
        <v>2864</v>
      </c>
      <c r="B1711" s="2" t="s">
        <v>5552</v>
      </c>
      <c r="C1711" s="2" t="s">
        <v>5548</v>
      </c>
      <c r="D1711" s="2">
        <v>166710000</v>
      </c>
      <c r="E1711" s="2" t="s">
        <v>5504</v>
      </c>
      <c r="F1711" s="2" t="s">
        <v>2234</v>
      </c>
      <c r="G1711" s="2" t="s">
        <v>3626</v>
      </c>
      <c r="H1711" s="2">
        <v>16771</v>
      </c>
    </row>
    <row r="1712" spans="1:8">
      <c r="A1712" s="2" t="s">
        <v>2917</v>
      </c>
      <c r="B1712" s="2" t="s">
        <v>5553</v>
      </c>
      <c r="C1712" s="2" t="s">
        <v>5544</v>
      </c>
      <c r="D1712" s="2">
        <v>166711000</v>
      </c>
      <c r="E1712" s="2" t="s">
        <v>5504</v>
      </c>
      <c r="F1712" s="2" t="s">
        <v>2234</v>
      </c>
      <c r="G1712" s="2" t="s">
        <v>3634</v>
      </c>
      <c r="H1712" s="2">
        <v>20864</v>
      </c>
    </row>
    <row r="1713" spans="1:8">
      <c r="A1713" s="2" t="s">
        <v>2972</v>
      </c>
      <c r="B1713" s="2" t="s">
        <v>5554</v>
      </c>
      <c r="C1713" s="2" t="s">
        <v>5544</v>
      </c>
      <c r="D1713" s="2">
        <v>166714000</v>
      </c>
      <c r="E1713" s="2" t="s">
        <v>5504</v>
      </c>
      <c r="F1713" s="2" t="s">
        <v>2234</v>
      </c>
      <c r="G1713" s="2" t="s">
        <v>3634</v>
      </c>
      <c r="H1713" s="2">
        <v>26741</v>
      </c>
    </row>
    <row r="1714" spans="1:8">
      <c r="A1714" s="2" t="s">
        <v>3021</v>
      </c>
      <c r="B1714" s="2" t="s">
        <v>5555</v>
      </c>
      <c r="C1714" s="2" t="s">
        <v>5544</v>
      </c>
      <c r="D1714" s="2">
        <v>166715000</v>
      </c>
      <c r="E1714" s="2" t="s">
        <v>5504</v>
      </c>
      <c r="F1714" s="2" t="s">
        <v>2234</v>
      </c>
      <c r="G1714" s="2" t="s">
        <v>3626</v>
      </c>
      <c r="H1714" s="2">
        <v>18054</v>
      </c>
    </row>
    <row r="1715" spans="1:8">
      <c r="A1715" s="2" t="s">
        <v>2980</v>
      </c>
      <c r="B1715" s="2" t="s">
        <v>5556</v>
      </c>
      <c r="C1715" s="2" t="s">
        <v>5548</v>
      </c>
      <c r="D1715" s="2">
        <v>166716000</v>
      </c>
      <c r="E1715" s="2" t="s">
        <v>5504</v>
      </c>
      <c r="F1715" s="2" t="s">
        <v>2234</v>
      </c>
      <c r="G1715" s="2" t="s">
        <v>3626</v>
      </c>
      <c r="H1715" s="2">
        <v>9752</v>
      </c>
    </row>
    <row r="1716" spans="1:8">
      <c r="A1716" s="2" t="s">
        <v>3108</v>
      </c>
      <c r="B1716" s="2" t="s">
        <v>5557</v>
      </c>
      <c r="C1716" s="2" t="s">
        <v>5544</v>
      </c>
      <c r="D1716" s="2">
        <v>166717000</v>
      </c>
      <c r="E1716" s="2" t="s">
        <v>5504</v>
      </c>
      <c r="F1716" s="2" t="s">
        <v>2234</v>
      </c>
      <c r="G1716" s="2" t="s">
        <v>3634</v>
      </c>
      <c r="H1716" s="2">
        <v>27094</v>
      </c>
    </row>
    <row r="1717" spans="1:8">
      <c r="A1717" s="2" t="s">
        <v>3148</v>
      </c>
      <c r="B1717" s="2" t="s">
        <v>5558</v>
      </c>
      <c r="C1717" s="2" t="s">
        <v>5548</v>
      </c>
      <c r="D1717" s="2">
        <v>166718000</v>
      </c>
      <c r="E1717" s="2" t="s">
        <v>5504</v>
      </c>
      <c r="F1717" s="2" t="s">
        <v>2234</v>
      </c>
      <c r="G1717" s="2" t="s">
        <v>3769</v>
      </c>
      <c r="H1717" s="2">
        <v>5404</v>
      </c>
    </row>
    <row r="1718" spans="1:8">
      <c r="A1718" s="2" t="s">
        <v>3186</v>
      </c>
      <c r="B1718" s="2" t="s">
        <v>5559</v>
      </c>
      <c r="C1718" s="2" t="s">
        <v>5544</v>
      </c>
      <c r="D1718" s="2">
        <v>166719000</v>
      </c>
      <c r="E1718" s="2" t="s">
        <v>5504</v>
      </c>
      <c r="F1718" s="2" t="s">
        <v>2234</v>
      </c>
      <c r="G1718" s="2" t="s">
        <v>3626</v>
      </c>
      <c r="H1718" s="2">
        <v>14552</v>
      </c>
    </row>
    <row r="1719" spans="1:8">
      <c r="A1719" s="2" t="s">
        <v>686</v>
      </c>
      <c r="B1719" s="2" t="s">
        <v>5560</v>
      </c>
      <c r="C1719" s="2" t="s">
        <v>5548</v>
      </c>
      <c r="D1719" s="2">
        <v>166720000</v>
      </c>
      <c r="E1719" s="2" t="s">
        <v>5504</v>
      </c>
      <c r="F1719" s="2" t="s">
        <v>2234</v>
      </c>
      <c r="G1719" s="2" t="s">
        <v>3626</v>
      </c>
      <c r="H1719" s="2">
        <v>7325</v>
      </c>
    </row>
    <row r="1720" spans="1:8">
      <c r="A1720" s="2" t="s">
        <v>3250</v>
      </c>
      <c r="B1720" s="2" t="s">
        <v>5561</v>
      </c>
      <c r="C1720" s="2" t="s">
        <v>5548</v>
      </c>
      <c r="D1720" s="2">
        <v>166721000</v>
      </c>
      <c r="E1720" s="2" t="s">
        <v>5504</v>
      </c>
      <c r="F1720" s="2" t="s">
        <v>2234</v>
      </c>
      <c r="G1720" s="2" t="s">
        <v>3626</v>
      </c>
      <c r="H1720" s="2">
        <v>8808</v>
      </c>
    </row>
    <row r="1721" spans="1:8">
      <c r="A1721" s="2" t="s">
        <v>3279</v>
      </c>
      <c r="B1721" s="2" t="s">
        <v>5562</v>
      </c>
      <c r="C1721" s="2" t="s">
        <v>5544</v>
      </c>
      <c r="D1721" s="2">
        <v>166722000</v>
      </c>
      <c r="E1721" s="2" t="s">
        <v>5504</v>
      </c>
      <c r="F1721" s="2" t="s">
        <v>2234</v>
      </c>
      <c r="G1721" s="2" t="s">
        <v>3626</v>
      </c>
      <c r="H1721" s="2">
        <v>13155</v>
      </c>
    </row>
    <row r="1722" spans="1:8">
      <c r="A1722" s="2" t="s">
        <v>3123</v>
      </c>
      <c r="B1722" s="2" t="s">
        <v>5563</v>
      </c>
      <c r="C1722" s="2" t="s">
        <v>5548</v>
      </c>
      <c r="D1722" s="2">
        <v>166723000</v>
      </c>
      <c r="E1722" s="2" t="s">
        <v>5504</v>
      </c>
      <c r="F1722" s="2" t="s">
        <v>2234</v>
      </c>
      <c r="G1722" s="2" t="s">
        <v>3634</v>
      </c>
      <c r="H1722" s="2">
        <v>22314</v>
      </c>
    </row>
    <row r="1723" spans="1:8">
      <c r="A1723" s="2" t="s">
        <v>3330</v>
      </c>
      <c r="B1723" s="2" t="s">
        <v>5564</v>
      </c>
      <c r="C1723" s="2" t="s">
        <v>5544</v>
      </c>
      <c r="D1723" s="2">
        <v>166725000</v>
      </c>
      <c r="E1723" s="2" t="s">
        <v>5504</v>
      </c>
      <c r="F1723" s="2" t="s">
        <v>2234</v>
      </c>
      <c r="G1723" s="2" t="s">
        <v>3626</v>
      </c>
      <c r="H1723" s="2">
        <v>16428</v>
      </c>
    </row>
    <row r="1724" spans="1:8">
      <c r="A1724" s="2" t="s">
        <v>3355</v>
      </c>
      <c r="B1724" s="2" t="s">
        <v>5565</v>
      </c>
      <c r="C1724" s="2" t="s">
        <v>5544</v>
      </c>
      <c r="D1724" s="2">
        <v>166727000</v>
      </c>
      <c r="E1724" s="2" t="s">
        <v>5504</v>
      </c>
      <c r="F1724" s="2" t="s">
        <v>2234</v>
      </c>
      <c r="G1724" s="2" t="s">
        <v>3626</v>
      </c>
      <c r="H1724" s="2">
        <v>14206</v>
      </c>
    </row>
    <row r="1725" spans="2:5">
      <c r="B1725" s="2" t="s">
        <v>20</v>
      </c>
      <c r="E1725" s="2" t="s">
        <v>5504</v>
      </c>
    </row>
    <row r="1726" spans="1:8">
      <c r="A1726" s="2" t="s">
        <v>2414</v>
      </c>
      <c r="B1726" s="2" t="s">
        <v>5566</v>
      </c>
      <c r="C1726" s="2" t="s">
        <v>5567</v>
      </c>
      <c r="D1726" s="2">
        <v>166803000</v>
      </c>
      <c r="E1726" s="2" t="s">
        <v>5504</v>
      </c>
      <c r="F1726" s="2" t="s">
        <v>2244</v>
      </c>
      <c r="G1726" s="2" t="s">
        <v>3629</v>
      </c>
      <c r="H1726" s="2">
        <v>94535</v>
      </c>
    </row>
    <row r="1727" spans="1:8">
      <c r="A1727" s="2" t="s">
        <v>2483</v>
      </c>
      <c r="B1727" s="2" t="s">
        <v>5568</v>
      </c>
      <c r="C1727" s="2" t="s">
        <v>5569</v>
      </c>
      <c r="D1727" s="2">
        <v>166819000</v>
      </c>
      <c r="E1727" s="2" t="s">
        <v>5504</v>
      </c>
      <c r="F1727" s="2" t="s">
        <v>2244</v>
      </c>
      <c r="G1727" s="2" t="s">
        <v>3626</v>
      </c>
      <c r="H1727" s="2">
        <v>56364</v>
      </c>
    </row>
    <row r="1728" spans="1:8">
      <c r="A1728" s="2" t="s">
        <v>2552</v>
      </c>
      <c r="B1728" s="2" t="s">
        <v>5570</v>
      </c>
      <c r="C1728" s="2" t="s">
        <v>5567</v>
      </c>
      <c r="D1728" s="2">
        <v>166801000</v>
      </c>
      <c r="E1728" s="2" t="s">
        <v>5504</v>
      </c>
      <c r="F1728" s="2" t="s">
        <v>2244</v>
      </c>
      <c r="G1728" s="2" t="s">
        <v>3629</v>
      </c>
      <c r="H1728" s="2">
        <v>49730</v>
      </c>
    </row>
    <row r="1729" spans="1:8">
      <c r="A1729" s="2" t="s">
        <v>2620</v>
      </c>
      <c r="B1729" s="2" t="s">
        <v>5571</v>
      </c>
      <c r="C1729" s="2" t="s">
        <v>5569</v>
      </c>
      <c r="D1729" s="2">
        <v>166802000</v>
      </c>
      <c r="E1729" s="2" t="s">
        <v>5504</v>
      </c>
      <c r="F1729" s="2" t="s">
        <v>2244</v>
      </c>
      <c r="G1729" s="2" t="s">
        <v>3626</v>
      </c>
      <c r="H1729" s="2">
        <v>8164</v>
      </c>
    </row>
    <row r="1730" spans="1:8">
      <c r="A1730" s="2" t="s">
        <v>2685</v>
      </c>
      <c r="B1730" s="2" t="s">
        <v>5572</v>
      </c>
      <c r="C1730" s="2" t="s">
        <v>5569</v>
      </c>
      <c r="D1730" s="2">
        <v>166804000</v>
      </c>
      <c r="E1730" s="2" t="s">
        <v>5504</v>
      </c>
      <c r="F1730" s="2" t="s">
        <v>2244</v>
      </c>
      <c r="G1730" s="2" t="s">
        <v>3634</v>
      </c>
      <c r="H1730" s="2">
        <v>20384</v>
      </c>
    </row>
    <row r="1731" spans="1:8">
      <c r="A1731" s="2" t="s">
        <v>2751</v>
      </c>
      <c r="B1731" s="2" t="s">
        <v>5573</v>
      </c>
      <c r="C1731" s="2" t="s">
        <v>5569</v>
      </c>
      <c r="D1731" s="2">
        <v>166805000</v>
      </c>
      <c r="E1731" s="2" t="s">
        <v>5504</v>
      </c>
      <c r="F1731" s="2" t="s">
        <v>2244</v>
      </c>
      <c r="G1731" s="2" t="s">
        <v>3600</v>
      </c>
      <c r="H1731" s="2">
        <v>31492</v>
      </c>
    </row>
    <row r="1732" spans="1:8">
      <c r="A1732" s="2" t="s">
        <v>2546</v>
      </c>
      <c r="B1732" s="2" t="s">
        <v>5574</v>
      </c>
      <c r="C1732" s="2" t="s">
        <v>5569</v>
      </c>
      <c r="D1732" s="2">
        <v>166806000</v>
      </c>
      <c r="E1732" s="2" t="s">
        <v>5504</v>
      </c>
      <c r="F1732" s="2" t="s">
        <v>2244</v>
      </c>
      <c r="G1732" s="2" t="s">
        <v>3626</v>
      </c>
      <c r="H1732" s="2">
        <v>10347</v>
      </c>
    </row>
    <row r="1733" spans="1:8">
      <c r="A1733" s="2" t="s">
        <v>2865</v>
      </c>
      <c r="B1733" s="2" t="s">
        <v>5575</v>
      </c>
      <c r="C1733" s="2" t="s">
        <v>5569</v>
      </c>
      <c r="D1733" s="2">
        <v>166807000</v>
      </c>
      <c r="E1733" s="2" t="s">
        <v>5504</v>
      </c>
      <c r="F1733" s="2" t="s">
        <v>2244</v>
      </c>
      <c r="G1733" s="2" t="s">
        <v>3634</v>
      </c>
      <c r="H1733" s="2">
        <v>22479</v>
      </c>
    </row>
    <row r="1734" spans="1:8">
      <c r="A1734" s="2" t="s">
        <v>2918</v>
      </c>
      <c r="B1734" s="2" t="s">
        <v>5576</v>
      </c>
      <c r="C1734" s="2" t="s">
        <v>5569</v>
      </c>
      <c r="D1734" s="2">
        <v>166808000</v>
      </c>
      <c r="E1734" s="2" t="s">
        <v>5504</v>
      </c>
      <c r="F1734" s="2" t="s">
        <v>2244</v>
      </c>
      <c r="G1734" s="2" t="s">
        <v>3634</v>
      </c>
      <c r="H1734" s="2">
        <v>15912</v>
      </c>
    </row>
    <row r="1735" spans="1:8">
      <c r="A1735" s="2" t="s">
        <v>2973</v>
      </c>
      <c r="B1735" s="2" t="s">
        <v>5577</v>
      </c>
      <c r="C1735" s="2" t="s">
        <v>5567</v>
      </c>
      <c r="D1735" s="2">
        <v>166809000</v>
      </c>
      <c r="E1735" s="2" t="s">
        <v>5504</v>
      </c>
      <c r="F1735" s="2" t="s">
        <v>2244</v>
      </c>
      <c r="G1735" s="2" t="s">
        <v>3600</v>
      </c>
      <c r="H1735" s="2">
        <v>39842</v>
      </c>
    </row>
    <row r="1736" spans="1:8">
      <c r="A1736" s="2" t="s">
        <v>3022</v>
      </c>
      <c r="B1736" s="2" t="s">
        <v>5578</v>
      </c>
      <c r="C1736" s="2" t="s">
        <v>5569</v>
      </c>
      <c r="D1736" s="2">
        <v>166810000</v>
      </c>
      <c r="E1736" s="2" t="s">
        <v>5504</v>
      </c>
      <c r="F1736" s="2" t="s">
        <v>2244</v>
      </c>
      <c r="G1736" s="2" t="s">
        <v>3634</v>
      </c>
      <c r="H1736" s="2">
        <v>12001</v>
      </c>
    </row>
    <row r="1737" spans="1:8">
      <c r="A1737" s="2" t="s">
        <v>3068</v>
      </c>
      <c r="B1737" s="2" t="s">
        <v>5579</v>
      </c>
      <c r="C1737" s="2" t="s">
        <v>5569</v>
      </c>
      <c r="D1737" s="2">
        <v>166811000</v>
      </c>
      <c r="E1737" s="2" t="s">
        <v>5504</v>
      </c>
      <c r="F1737" s="2" t="s">
        <v>2244</v>
      </c>
      <c r="G1737" s="2" t="s">
        <v>3634</v>
      </c>
      <c r="H1737" s="2">
        <v>29493</v>
      </c>
    </row>
    <row r="1738" spans="1:8">
      <c r="A1738" s="2" t="s">
        <v>3109</v>
      </c>
      <c r="B1738" s="2" t="s">
        <v>5580</v>
      </c>
      <c r="C1738" s="2" t="s">
        <v>5567</v>
      </c>
      <c r="D1738" s="2">
        <v>166812000</v>
      </c>
      <c r="E1738" s="2" t="s">
        <v>5504</v>
      </c>
      <c r="F1738" s="2" t="s">
        <v>2244</v>
      </c>
      <c r="G1738" s="2" t="s">
        <v>3600</v>
      </c>
      <c r="H1738" s="2">
        <v>31485</v>
      </c>
    </row>
    <row r="1739" spans="1:8">
      <c r="A1739" s="2" t="s">
        <v>3149</v>
      </c>
      <c r="B1739" s="2" t="s">
        <v>5581</v>
      </c>
      <c r="C1739" s="2" t="s">
        <v>5569</v>
      </c>
      <c r="D1739" s="2">
        <v>166813000</v>
      </c>
      <c r="E1739" s="2" t="s">
        <v>5504</v>
      </c>
      <c r="F1739" s="2" t="s">
        <v>2244</v>
      </c>
      <c r="G1739" s="2" t="s">
        <v>3634</v>
      </c>
      <c r="H1739" s="2">
        <v>15223</v>
      </c>
    </row>
    <row r="1740" spans="1:8">
      <c r="A1740" s="2" t="s">
        <v>3187</v>
      </c>
      <c r="B1740" s="2" t="s">
        <v>5582</v>
      </c>
      <c r="C1740" s="2" t="s">
        <v>5569</v>
      </c>
      <c r="D1740" s="2">
        <v>166814000</v>
      </c>
      <c r="E1740" s="2" t="s">
        <v>5504</v>
      </c>
      <c r="F1740" s="2" t="s">
        <v>2244</v>
      </c>
      <c r="G1740" s="2" t="s">
        <v>3629</v>
      </c>
      <c r="H1740" s="2">
        <v>18518</v>
      </c>
    </row>
    <row r="1741" spans="1:8">
      <c r="A1741" s="2" t="s">
        <v>676</v>
      </c>
      <c r="B1741" s="2" t="s">
        <v>5583</v>
      </c>
      <c r="C1741" s="2" t="s">
        <v>5569</v>
      </c>
      <c r="D1741" s="2">
        <v>166815000</v>
      </c>
      <c r="E1741" s="2" t="s">
        <v>5504</v>
      </c>
      <c r="F1741" s="2" t="s">
        <v>2244</v>
      </c>
      <c r="G1741" s="2" t="s">
        <v>3634</v>
      </c>
      <c r="H1741" s="2">
        <v>22779</v>
      </c>
    </row>
    <row r="1742" spans="1:8">
      <c r="A1742" s="2" t="s">
        <v>2890</v>
      </c>
      <c r="B1742" s="2" t="s">
        <v>5584</v>
      </c>
      <c r="C1742" s="2" t="s">
        <v>5569</v>
      </c>
      <c r="D1742" s="2">
        <v>166816000</v>
      </c>
      <c r="E1742" s="2" t="s">
        <v>5504</v>
      </c>
      <c r="F1742" s="2" t="s">
        <v>2244</v>
      </c>
      <c r="G1742" s="2" t="s">
        <v>3574</v>
      </c>
      <c r="H1742" s="2">
        <v>39340</v>
      </c>
    </row>
    <row r="1743" spans="1:8">
      <c r="A1743" s="2" t="s">
        <v>3280</v>
      </c>
      <c r="B1743" s="2" t="s">
        <v>5585</v>
      </c>
      <c r="C1743" s="2" t="s">
        <v>5567</v>
      </c>
      <c r="D1743" s="2">
        <v>166817000</v>
      </c>
      <c r="E1743" s="2" t="s">
        <v>5504</v>
      </c>
      <c r="F1743" s="2" t="s">
        <v>2244</v>
      </c>
      <c r="G1743" s="2" t="s">
        <v>3600</v>
      </c>
      <c r="H1743" s="2">
        <v>38833</v>
      </c>
    </row>
    <row r="1744" spans="1:8">
      <c r="A1744" s="2" t="s">
        <v>3304</v>
      </c>
      <c r="B1744" s="2" t="s">
        <v>5586</v>
      </c>
      <c r="C1744" s="2" t="s">
        <v>5569</v>
      </c>
      <c r="D1744" s="2">
        <v>166818000</v>
      </c>
      <c r="E1744" s="2" t="s">
        <v>5504</v>
      </c>
      <c r="F1744" s="2" t="s">
        <v>2244</v>
      </c>
      <c r="G1744" s="2" t="s">
        <v>3600</v>
      </c>
      <c r="H1744" s="2">
        <v>35329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2:G169"/>
  <sheetViews>
    <sheetView zoomScale="40" zoomScaleNormal="40" workbookViewId="0">
      <pane ySplit="9" topLeftCell="A34" activePane="bottomLeft" state="frozen"/>
      <selection/>
      <selection pane="bottomLeft" activeCell="B596" sqref="B596"/>
    </sheetView>
  </sheetViews>
  <sheetFormatPr defaultColWidth="8.85714285714286" defaultRowHeight="16.5" outlineLevelCol="6"/>
  <cols>
    <col min="1" max="1" width="15.8571428571429" style="2" customWidth="1"/>
    <col min="2" max="2" width="54.5714285714286" style="2" customWidth="1"/>
    <col min="3" max="3" width="89.8571428571429" style="2" customWidth="1"/>
    <col min="4" max="4" width="93.8571428571429" style="2" customWidth="1"/>
    <col min="5" max="5" width="67.1428571428571" style="2" customWidth="1"/>
    <col min="6" max="6" width="39.8571428571429" style="2" customWidth="1"/>
    <col min="7" max="8" width="54.8571428571429" style="2" customWidth="1"/>
    <col min="9" max="16384" width="8.85714285714286" style="2"/>
  </cols>
  <sheetData>
    <row r="2" spans="2:6">
      <c r="B2" s="2" t="s">
        <v>1697</v>
      </c>
      <c r="C2" s="2" t="s">
        <v>579</v>
      </c>
      <c r="D2" s="2" t="s">
        <v>581</v>
      </c>
      <c r="E2" s="2" t="s">
        <v>585</v>
      </c>
      <c r="F2" s="2" t="s">
        <v>583</v>
      </c>
    </row>
    <row r="3" spans="2:6">
      <c r="B3" s="2" t="s">
        <v>576</v>
      </c>
      <c r="C3" s="2" t="s">
        <v>580</v>
      </c>
      <c r="D3" s="2" t="s">
        <v>582</v>
      </c>
      <c r="E3" s="2" t="s">
        <v>586</v>
      </c>
      <c r="F3" s="2" t="s">
        <v>584</v>
      </c>
    </row>
    <row r="4" spans="2:6">
      <c r="B4" s="2" t="s">
        <v>587</v>
      </c>
      <c r="C4" s="2" t="s">
        <v>589</v>
      </c>
      <c r="D4" s="2" t="s">
        <v>590</v>
      </c>
      <c r="E4" s="2" t="s">
        <v>592</v>
      </c>
      <c r="F4" s="2" t="s">
        <v>591</v>
      </c>
    </row>
    <row r="5" spans="2:6">
      <c r="B5" s="2" t="s">
        <v>593</v>
      </c>
      <c r="C5" s="2" t="s">
        <v>1703</v>
      </c>
      <c r="D5" s="2" t="s">
        <v>1704</v>
      </c>
      <c r="E5" s="2" t="s">
        <v>597</v>
      </c>
      <c r="F5" s="2" t="s">
        <v>1705</v>
      </c>
    </row>
    <row r="6" spans="2:6">
      <c r="B6" s="2" t="s">
        <v>594</v>
      </c>
      <c r="C6" s="2" t="s">
        <v>595</v>
      </c>
      <c r="D6" s="2" t="s">
        <v>1707</v>
      </c>
      <c r="F6" s="2" t="s">
        <v>1708</v>
      </c>
    </row>
    <row r="7" spans="2:6">
      <c r="B7" s="2" t="s">
        <v>596</v>
      </c>
      <c r="C7" s="2" t="s">
        <v>1710</v>
      </c>
      <c r="D7" s="2" t="s">
        <v>1736</v>
      </c>
      <c r="F7" s="2" t="s">
        <v>1711</v>
      </c>
    </row>
    <row r="9" s="1" customFormat="1" spans="1:7">
      <c r="A9" s="3" t="s">
        <v>547</v>
      </c>
      <c r="B9" s="3" t="s">
        <v>21</v>
      </c>
      <c r="C9" s="3" t="s">
        <v>105</v>
      </c>
      <c r="D9" s="3" t="s">
        <v>166</v>
      </c>
      <c r="E9" s="3" t="s">
        <v>169</v>
      </c>
      <c r="F9" s="3" t="s">
        <v>208</v>
      </c>
      <c r="G9" s="1" t="s">
        <v>225</v>
      </c>
    </row>
    <row r="10" spans="1:6">
      <c r="A10" s="4" t="s">
        <v>1697</v>
      </c>
      <c r="B10" s="4" t="s">
        <v>24</v>
      </c>
      <c r="C10" s="4" t="s">
        <v>1815</v>
      </c>
      <c r="D10" s="4" t="s">
        <v>1892</v>
      </c>
      <c r="E10" s="4" t="s">
        <v>171</v>
      </c>
      <c r="F10" s="4" t="s">
        <v>210</v>
      </c>
    </row>
    <row r="11" spans="1:6">
      <c r="A11" s="4" t="s">
        <v>1697</v>
      </c>
      <c r="B11" s="4" t="s">
        <v>1606</v>
      </c>
      <c r="C11" s="4" t="s">
        <v>1817</v>
      </c>
      <c r="D11" s="4" t="s">
        <v>1898</v>
      </c>
      <c r="E11" s="4" t="s">
        <v>2031</v>
      </c>
      <c r="F11" s="4" t="s">
        <v>214</v>
      </c>
    </row>
    <row r="12" spans="1:6">
      <c r="A12" s="4" t="s">
        <v>1697</v>
      </c>
      <c r="B12" s="4" t="s">
        <v>1590</v>
      </c>
      <c r="C12" s="4" t="s">
        <v>1809</v>
      </c>
      <c r="D12" s="4" t="s">
        <v>1899</v>
      </c>
      <c r="E12" s="4" t="s">
        <v>177</v>
      </c>
      <c r="F12" s="4" t="s">
        <v>2137</v>
      </c>
    </row>
    <row r="13" spans="1:6">
      <c r="A13" s="4" t="s">
        <v>1697</v>
      </c>
      <c r="B13" s="4" t="s">
        <v>1602</v>
      </c>
      <c r="C13" s="4" t="s">
        <v>5587</v>
      </c>
      <c r="D13" s="4" t="s">
        <v>1900</v>
      </c>
      <c r="E13" s="4" t="s">
        <v>179</v>
      </c>
      <c r="F13" s="4" t="s">
        <v>2138</v>
      </c>
    </row>
    <row r="14" spans="1:6">
      <c r="A14" s="4" t="s">
        <v>1697</v>
      </c>
      <c r="B14" s="4" t="s">
        <v>34</v>
      </c>
      <c r="C14" s="4" t="s">
        <v>5588</v>
      </c>
      <c r="D14" s="4" t="s">
        <v>1901</v>
      </c>
      <c r="E14" s="4" t="s">
        <v>173</v>
      </c>
      <c r="F14" s="4" t="s">
        <v>2140</v>
      </c>
    </row>
    <row r="15" spans="1:6">
      <c r="A15" s="4" t="s">
        <v>1697</v>
      </c>
      <c r="B15" s="4" t="s">
        <v>36</v>
      </c>
      <c r="C15" s="4" t="s">
        <v>128</v>
      </c>
      <c r="D15" s="4" t="s">
        <v>1903</v>
      </c>
      <c r="E15" s="4" t="s">
        <v>175</v>
      </c>
      <c r="F15" s="4" t="s">
        <v>2142</v>
      </c>
    </row>
    <row r="16" spans="1:6">
      <c r="A16" s="4" t="s">
        <v>1697</v>
      </c>
      <c r="B16" s="4" t="s">
        <v>1624</v>
      </c>
      <c r="C16" s="4" t="s">
        <v>133</v>
      </c>
      <c r="D16" s="4" t="s">
        <v>1906</v>
      </c>
      <c r="E16" s="4" t="s">
        <v>2026</v>
      </c>
      <c r="F16" s="4" t="s">
        <v>212</v>
      </c>
    </row>
    <row r="17" spans="1:6">
      <c r="A17" s="4" t="s">
        <v>1697</v>
      </c>
      <c r="B17" s="4" t="s">
        <v>1620</v>
      </c>
      <c r="C17" s="4" t="s">
        <v>1784</v>
      </c>
      <c r="D17" s="4" t="s">
        <v>1905</v>
      </c>
      <c r="E17" s="4" t="s">
        <v>181</v>
      </c>
      <c r="F17" s="4" t="s">
        <v>216</v>
      </c>
    </row>
    <row r="18" spans="1:6">
      <c r="A18" s="4" t="s">
        <v>1697</v>
      </c>
      <c r="B18" s="4" t="s">
        <v>1623</v>
      </c>
      <c r="C18" s="4" t="s">
        <v>1864</v>
      </c>
      <c r="D18" s="4" t="s">
        <v>1909</v>
      </c>
      <c r="E18" s="4" t="s">
        <v>2029</v>
      </c>
      <c r="F18" s="4" t="s">
        <v>5589</v>
      </c>
    </row>
    <row r="19" spans="1:6">
      <c r="A19" s="4" t="s">
        <v>1697</v>
      </c>
      <c r="B19" s="4" t="s">
        <v>1615</v>
      </c>
      <c r="C19" s="4" t="s">
        <v>1866</v>
      </c>
      <c r="D19" s="4" t="s">
        <v>1910</v>
      </c>
      <c r="E19" s="4" t="s">
        <v>2018</v>
      </c>
      <c r="F19" s="4" t="s">
        <v>5590</v>
      </c>
    </row>
    <row r="20" spans="1:6">
      <c r="A20" s="4" t="s">
        <v>1697</v>
      </c>
      <c r="B20" s="4" t="s">
        <v>26</v>
      </c>
      <c r="C20" s="4" t="s">
        <v>1867</v>
      </c>
      <c r="D20" s="4" t="s">
        <v>1911</v>
      </c>
      <c r="E20" s="4" t="s">
        <v>2049</v>
      </c>
      <c r="F20" s="4" t="s">
        <v>2146</v>
      </c>
    </row>
    <row r="21" spans="1:6">
      <c r="A21" s="4" t="s">
        <v>1697</v>
      </c>
      <c r="B21" s="4" t="s">
        <v>28</v>
      </c>
      <c r="C21" s="4" t="s">
        <v>5591</v>
      </c>
      <c r="D21" s="4" t="s">
        <v>1912</v>
      </c>
      <c r="E21" s="4" t="s">
        <v>185</v>
      </c>
      <c r="F21" s="4" t="s">
        <v>2148</v>
      </c>
    </row>
    <row r="22" spans="1:6">
      <c r="A22" s="4" t="s">
        <v>1697</v>
      </c>
      <c r="B22" s="4" t="s">
        <v>1629</v>
      </c>
      <c r="C22" s="4" t="s">
        <v>1871</v>
      </c>
      <c r="D22" s="4" t="s">
        <v>1913</v>
      </c>
      <c r="E22" s="4" t="s">
        <v>441</v>
      </c>
      <c r="F22" s="4"/>
    </row>
    <row r="23" spans="1:6">
      <c r="A23" s="4" t="s">
        <v>1697</v>
      </c>
      <c r="B23" s="4" t="s">
        <v>1627</v>
      </c>
      <c r="C23" s="4" t="s">
        <v>1873</v>
      </c>
      <c r="D23" s="4" t="s">
        <v>1920</v>
      </c>
      <c r="E23" s="4" t="s">
        <v>2052</v>
      </c>
      <c r="F23" s="4"/>
    </row>
    <row r="24" spans="1:6">
      <c r="A24" s="4" t="s">
        <v>1697</v>
      </c>
      <c r="B24" s="4" t="s">
        <v>1610</v>
      </c>
      <c r="C24" s="4" t="s">
        <v>1883</v>
      </c>
      <c r="D24" s="4" t="s">
        <v>1921</v>
      </c>
      <c r="E24" s="4" t="s">
        <v>5592</v>
      </c>
      <c r="F24" s="4"/>
    </row>
    <row r="25" spans="1:6">
      <c r="A25" s="4" t="s">
        <v>1697</v>
      </c>
      <c r="B25" s="4" t="s">
        <v>30</v>
      </c>
      <c r="C25" s="4" t="s">
        <v>5593</v>
      </c>
      <c r="D25" s="4" t="s">
        <v>1922</v>
      </c>
      <c r="E25" s="4" t="s">
        <v>5594</v>
      </c>
      <c r="F25" s="4"/>
    </row>
    <row r="26" spans="1:6">
      <c r="A26" s="4" t="s">
        <v>1697</v>
      </c>
      <c r="B26" s="4" t="s">
        <v>32</v>
      </c>
      <c r="C26" s="4" t="s">
        <v>1876</v>
      </c>
      <c r="D26" s="4" t="s">
        <v>1923</v>
      </c>
      <c r="E26" s="4" t="s">
        <v>2057</v>
      </c>
      <c r="F26" s="4"/>
    </row>
    <row r="27" spans="1:6">
      <c r="A27" s="4" t="s">
        <v>1697</v>
      </c>
      <c r="B27" s="4" t="s">
        <v>80</v>
      </c>
      <c r="C27" s="4" t="s">
        <v>1877</v>
      </c>
      <c r="D27" s="4" t="s">
        <v>1924</v>
      </c>
      <c r="E27" s="4" t="s">
        <v>5595</v>
      </c>
      <c r="F27" s="4"/>
    </row>
    <row r="28" spans="1:6">
      <c r="A28" s="4" t="s">
        <v>1697</v>
      </c>
      <c r="B28" s="4" t="s">
        <v>1645</v>
      </c>
      <c r="C28" s="4" t="s">
        <v>5596</v>
      </c>
      <c r="D28" s="4" t="s">
        <v>536</v>
      </c>
      <c r="E28" s="4" t="s">
        <v>440</v>
      </c>
      <c r="F28" s="4"/>
    </row>
    <row r="29" spans="1:6">
      <c r="A29" s="4" t="s">
        <v>1697</v>
      </c>
      <c r="B29" s="4" t="s">
        <v>82</v>
      </c>
      <c r="C29" s="4" t="s">
        <v>1819</v>
      </c>
      <c r="D29" s="4" t="s">
        <v>1948</v>
      </c>
      <c r="E29" s="4" t="s">
        <v>2062</v>
      </c>
      <c r="F29" s="4"/>
    </row>
    <row r="30" spans="1:6">
      <c r="A30" s="4" t="s">
        <v>1697</v>
      </c>
      <c r="B30" s="4" t="s">
        <v>84</v>
      </c>
      <c r="C30" s="4" t="s">
        <v>1823</v>
      </c>
      <c r="D30" s="4" t="s">
        <v>1930</v>
      </c>
      <c r="E30" s="4" t="s">
        <v>2067</v>
      </c>
      <c r="F30" s="4"/>
    </row>
    <row r="31" spans="1:6">
      <c r="A31" s="4" t="s">
        <v>1697</v>
      </c>
      <c r="B31" s="4" t="s">
        <v>86</v>
      </c>
      <c r="C31" s="4" t="s">
        <v>1832</v>
      </c>
      <c r="D31" s="4" t="s">
        <v>1932</v>
      </c>
      <c r="E31" s="4" t="s">
        <v>183</v>
      </c>
      <c r="F31" s="4"/>
    </row>
    <row r="32" spans="1:6">
      <c r="A32" s="4" t="s">
        <v>1697</v>
      </c>
      <c r="B32" s="4" t="s">
        <v>1661</v>
      </c>
      <c r="C32" s="4" t="s">
        <v>135</v>
      </c>
      <c r="D32" s="4" t="s">
        <v>168</v>
      </c>
      <c r="E32" s="4" t="s">
        <v>2071</v>
      </c>
      <c r="F32" s="4"/>
    </row>
    <row r="33" spans="1:6">
      <c r="A33" s="4" t="s">
        <v>1697</v>
      </c>
      <c r="B33" s="4" t="s">
        <v>1658</v>
      </c>
      <c r="C33" s="4" t="s">
        <v>137</v>
      </c>
      <c r="D33" s="4" t="s">
        <v>1935</v>
      </c>
      <c r="E33" s="4" t="s">
        <v>5597</v>
      </c>
      <c r="F33" s="4"/>
    </row>
    <row r="34" spans="1:6">
      <c r="A34" s="4" t="s">
        <v>1697</v>
      </c>
      <c r="B34" s="4" t="s">
        <v>88</v>
      </c>
      <c r="C34" s="4" t="s">
        <v>1836</v>
      </c>
      <c r="D34" s="4" t="s">
        <v>1938</v>
      </c>
      <c r="E34" s="4" t="s">
        <v>2072</v>
      </c>
      <c r="F34" s="4"/>
    </row>
    <row r="35" spans="1:6">
      <c r="A35" s="4" t="s">
        <v>1697</v>
      </c>
      <c r="B35" s="4" t="s">
        <v>90</v>
      </c>
      <c r="C35" s="4" t="s">
        <v>1839</v>
      </c>
      <c r="D35" s="4" t="s">
        <v>1940</v>
      </c>
      <c r="E35" s="4" t="s">
        <v>2073</v>
      </c>
      <c r="F35" s="4"/>
    </row>
    <row r="36" spans="1:6">
      <c r="A36" s="4" t="s">
        <v>1697</v>
      </c>
      <c r="B36" s="4" t="s">
        <v>1722</v>
      </c>
      <c r="C36" s="4" t="s">
        <v>139</v>
      </c>
      <c r="D36" s="4" t="s">
        <v>1943</v>
      </c>
      <c r="E36" s="4" t="s">
        <v>2074</v>
      </c>
      <c r="F36" s="4"/>
    </row>
    <row r="37" spans="1:6">
      <c r="A37" s="4" t="s">
        <v>1697</v>
      </c>
      <c r="B37" s="4" t="s">
        <v>1716</v>
      </c>
      <c r="C37" s="4" t="s">
        <v>1842</v>
      </c>
      <c r="D37" s="4" t="s">
        <v>1945</v>
      </c>
      <c r="E37" s="4" t="s">
        <v>2078</v>
      </c>
      <c r="F37" s="4"/>
    </row>
    <row r="38" spans="1:6">
      <c r="A38" s="4" t="s">
        <v>1697</v>
      </c>
      <c r="B38" s="4" t="s">
        <v>1725</v>
      </c>
      <c r="C38" s="4" t="s">
        <v>1844</v>
      </c>
      <c r="D38" s="4" t="s">
        <v>2015</v>
      </c>
      <c r="E38" s="4" t="s">
        <v>2079</v>
      </c>
      <c r="F38" s="4"/>
    </row>
    <row r="39" spans="1:6">
      <c r="A39" s="4" t="s">
        <v>1697</v>
      </c>
      <c r="B39" s="4" t="s">
        <v>1728</v>
      </c>
      <c r="C39" s="4" t="s">
        <v>1846</v>
      </c>
      <c r="D39" s="4" t="s">
        <v>2016</v>
      </c>
      <c r="E39" s="4" t="s">
        <v>2080</v>
      </c>
      <c r="F39" s="4"/>
    </row>
    <row r="40" spans="1:6">
      <c r="A40" s="4" t="s">
        <v>1697</v>
      </c>
      <c r="B40" s="4" t="s">
        <v>1729</v>
      </c>
      <c r="C40" s="4" t="s">
        <v>1847</v>
      </c>
      <c r="D40" s="4"/>
      <c r="E40" s="4" t="s">
        <v>2081</v>
      </c>
      <c r="F40" s="4"/>
    </row>
    <row r="41" spans="1:6">
      <c r="A41" s="4" t="s">
        <v>1697</v>
      </c>
      <c r="B41" s="4" t="s">
        <v>1731</v>
      </c>
      <c r="C41" s="4" t="s">
        <v>1849</v>
      </c>
      <c r="D41" s="4"/>
      <c r="E41" s="4" t="s">
        <v>2082</v>
      </c>
      <c r="F41" s="4"/>
    </row>
    <row r="42" spans="1:6">
      <c r="A42" s="4" t="s">
        <v>1697</v>
      </c>
      <c r="B42" s="4" t="s">
        <v>1733</v>
      </c>
      <c r="C42" s="4" t="s">
        <v>1851</v>
      </c>
      <c r="D42" s="4"/>
      <c r="E42" s="4" t="s">
        <v>2083</v>
      </c>
      <c r="F42" s="4"/>
    </row>
    <row r="43" spans="1:6">
      <c r="A43" s="4" t="s">
        <v>1697</v>
      </c>
      <c r="B43" s="4"/>
      <c r="C43" s="4" t="s">
        <v>1853</v>
      </c>
      <c r="D43" s="4"/>
      <c r="E43" s="4" t="s">
        <v>5598</v>
      </c>
      <c r="F43" s="4"/>
    </row>
    <row r="44" spans="1:6">
      <c r="A44" s="4" t="s">
        <v>1697</v>
      </c>
      <c r="B44" s="4"/>
      <c r="C44" s="4" t="s">
        <v>1888</v>
      </c>
      <c r="D44" s="4"/>
      <c r="E44" s="4" t="s">
        <v>2091</v>
      </c>
      <c r="F44" s="4"/>
    </row>
    <row r="45" spans="1:6">
      <c r="A45" s="4" t="s">
        <v>1697</v>
      </c>
      <c r="B45" s="4"/>
      <c r="C45" s="4" t="s">
        <v>141</v>
      </c>
      <c r="D45" s="4"/>
      <c r="E45" s="4" t="s">
        <v>2038</v>
      </c>
      <c r="F45" s="4"/>
    </row>
    <row r="46" spans="1:6">
      <c r="A46" s="4" t="s">
        <v>1697</v>
      </c>
      <c r="B46" s="4"/>
      <c r="C46" s="4" t="s">
        <v>5599</v>
      </c>
      <c r="D46" s="4"/>
      <c r="E46" s="4" t="s">
        <v>2089</v>
      </c>
      <c r="F46" s="4"/>
    </row>
    <row r="47" spans="1:6">
      <c r="A47" s="4" t="s">
        <v>1697</v>
      </c>
      <c r="B47" s="4"/>
      <c r="C47" s="4" t="s">
        <v>1856</v>
      </c>
      <c r="D47" s="4"/>
      <c r="E47" s="4" t="s">
        <v>2103</v>
      </c>
      <c r="F47" s="4"/>
    </row>
    <row r="48" spans="1:6">
      <c r="A48" s="4" t="s">
        <v>1697</v>
      </c>
      <c r="B48" s="4"/>
      <c r="C48" s="4" t="s">
        <v>1858</v>
      </c>
      <c r="D48" s="4"/>
      <c r="E48" s="4" t="s">
        <v>2093</v>
      </c>
      <c r="F48" s="4"/>
    </row>
    <row r="49" spans="1:6">
      <c r="A49" s="4" t="s">
        <v>1697</v>
      </c>
      <c r="B49" s="4"/>
      <c r="C49" s="4" t="s">
        <v>1885</v>
      </c>
      <c r="D49" s="4"/>
      <c r="E49" s="4" t="s">
        <v>2097</v>
      </c>
      <c r="F49" s="4"/>
    </row>
    <row r="50" spans="1:6">
      <c r="A50" s="4" t="s">
        <v>1697</v>
      </c>
      <c r="B50" s="4"/>
      <c r="C50" s="4" t="s">
        <v>143</v>
      </c>
      <c r="D50" s="4"/>
      <c r="E50" s="4" t="s">
        <v>2099</v>
      </c>
      <c r="F50" s="4"/>
    </row>
    <row r="51" spans="1:6">
      <c r="A51" s="4" t="s">
        <v>1697</v>
      </c>
      <c r="B51" s="4"/>
      <c r="C51" s="4" t="s">
        <v>1743</v>
      </c>
      <c r="D51" s="4"/>
      <c r="E51" s="4" t="s">
        <v>2110</v>
      </c>
      <c r="F51" s="4"/>
    </row>
    <row r="52" spans="1:6">
      <c r="A52" s="4" t="s">
        <v>1697</v>
      </c>
      <c r="B52" s="4"/>
      <c r="C52" s="4" t="s">
        <v>145</v>
      </c>
      <c r="D52" s="4"/>
      <c r="E52" s="4" t="s">
        <v>194</v>
      </c>
      <c r="F52" s="4"/>
    </row>
    <row r="53" spans="1:6">
      <c r="A53" s="4" t="s">
        <v>1697</v>
      </c>
      <c r="B53" s="4"/>
      <c r="C53" s="4" t="s">
        <v>1887</v>
      </c>
      <c r="D53" s="4"/>
      <c r="E53" s="4" t="s">
        <v>2111</v>
      </c>
      <c r="F53" s="4"/>
    </row>
    <row r="54" spans="1:6">
      <c r="A54" s="4" t="s">
        <v>1697</v>
      </c>
      <c r="B54" s="4"/>
      <c r="C54" s="4" t="s">
        <v>1767</v>
      </c>
      <c r="D54" s="4"/>
      <c r="E54" s="4" t="s">
        <v>2113</v>
      </c>
      <c r="F54" s="4"/>
    </row>
    <row r="55" spans="1:6">
      <c r="A55" s="4" t="s">
        <v>1697</v>
      </c>
      <c r="B55" s="4"/>
      <c r="C55" s="4" t="s">
        <v>1770</v>
      </c>
      <c r="D55" s="4"/>
      <c r="E55" s="4" t="s">
        <v>2118</v>
      </c>
      <c r="F55" s="4"/>
    </row>
    <row r="56" spans="1:6">
      <c r="A56" s="4" t="s">
        <v>1697</v>
      </c>
      <c r="B56" s="4"/>
      <c r="C56" s="4" t="s">
        <v>1776</v>
      </c>
      <c r="D56" s="4"/>
      <c r="E56" s="4" t="s">
        <v>2121</v>
      </c>
      <c r="F56" s="4"/>
    </row>
    <row r="57" spans="1:6">
      <c r="A57" s="4" t="s">
        <v>1697</v>
      </c>
      <c r="B57" s="4"/>
      <c r="C57" s="4" t="s">
        <v>1780</v>
      </c>
      <c r="D57" s="4"/>
      <c r="E57" s="4" t="s">
        <v>2123</v>
      </c>
      <c r="F57" s="4"/>
    </row>
    <row r="58" spans="1:6">
      <c r="A58" s="4" t="s">
        <v>1697</v>
      </c>
      <c r="B58" s="4"/>
      <c r="C58" s="4"/>
      <c r="D58" s="4"/>
      <c r="E58" s="4" t="s">
        <v>2125</v>
      </c>
      <c r="F58" s="4"/>
    </row>
    <row r="59" spans="1:6">
      <c r="A59" s="4" t="s">
        <v>1697</v>
      </c>
      <c r="B59" s="4"/>
      <c r="C59" s="4"/>
      <c r="D59" s="4"/>
      <c r="E59" s="4" t="s">
        <v>2126</v>
      </c>
      <c r="F59" s="4"/>
    </row>
    <row r="60" spans="1:6">
      <c r="A60" s="4" t="s">
        <v>1697</v>
      </c>
      <c r="B60" s="4"/>
      <c r="C60" s="4"/>
      <c r="D60" s="4"/>
      <c r="E60" s="4" t="s">
        <v>2127</v>
      </c>
      <c r="F60" s="4"/>
    </row>
    <row r="61" spans="1:6">
      <c r="A61" s="4" t="s">
        <v>1697</v>
      </c>
      <c r="B61" s="4"/>
      <c r="C61" s="4"/>
      <c r="D61" s="4"/>
      <c r="E61" s="4" t="s">
        <v>2128</v>
      </c>
      <c r="F61" s="4"/>
    </row>
    <row r="62" spans="1:6">
      <c r="A62" s="4" t="s">
        <v>1697</v>
      </c>
      <c r="B62" s="4"/>
      <c r="C62" s="4"/>
      <c r="D62" s="4"/>
      <c r="E62" s="4" t="s">
        <v>2129</v>
      </c>
      <c r="F62" s="4"/>
    </row>
    <row r="63" spans="1:6">
      <c r="A63" s="4" t="s">
        <v>1697</v>
      </c>
      <c r="B63" s="4"/>
      <c r="C63" s="4"/>
      <c r="D63" s="4"/>
      <c r="E63" s="4" t="s">
        <v>2130</v>
      </c>
      <c r="F63" s="4"/>
    </row>
    <row r="64" spans="1:6">
      <c r="A64" s="5" t="s">
        <v>579</v>
      </c>
      <c r="B64" s="5" t="s">
        <v>38</v>
      </c>
      <c r="C64" s="5" t="s">
        <v>1811</v>
      </c>
      <c r="D64" s="5" t="s">
        <v>1949</v>
      </c>
      <c r="E64" s="5" t="s">
        <v>171</v>
      </c>
      <c r="F64" s="5" t="s">
        <v>210</v>
      </c>
    </row>
    <row r="65" spans="1:6">
      <c r="A65" s="5" t="s">
        <v>579</v>
      </c>
      <c r="B65" s="5" t="s">
        <v>40</v>
      </c>
      <c r="C65" s="5" t="s">
        <v>107</v>
      </c>
      <c r="D65" s="5" t="s">
        <v>1950</v>
      </c>
      <c r="E65" s="5" t="s">
        <v>2031</v>
      </c>
      <c r="F65" s="5" t="s">
        <v>214</v>
      </c>
    </row>
    <row r="66" spans="1:6">
      <c r="A66" s="5" t="s">
        <v>579</v>
      </c>
      <c r="B66" s="5" t="s">
        <v>42</v>
      </c>
      <c r="C66" s="5" t="s">
        <v>5600</v>
      </c>
      <c r="D66" s="5" t="s">
        <v>1951</v>
      </c>
      <c r="E66" s="5" t="s">
        <v>5601</v>
      </c>
      <c r="F66" s="5" t="s">
        <v>2137</v>
      </c>
    </row>
    <row r="67" spans="1:6">
      <c r="A67" s="5" t="s">
        <v>579</v>
      </c>
      <c r="B67" s="5" t="s">
        <v>92</v>
      </c>
      <c r="C67" s="5" t="s">
        <v>1874</v>
      </c>
      <c r="D67" s="5" t="s">
        <v>1952</v>
      </c>
      <c r="E67" s="5" t="s">
        <v>5602</v>
      </c>
      <c r="F67" s="5" t="s">
        <v>2138</v>
      </c>
    </row>
    <row r="68" spans="1:6">
      <c r="A68" s="5" t="s">
        <v>579</v>
      </c>
      <c r="B68" s="5" t="s">
        <v>1653</v>
      </c>
      <c r="C68" s="5" t="s">
        <v>5603</v>
      </c>
      <c r="D68" s="5" t="s">
        <v>1953</v>
      </c>
      <c r="E68" s="5" t="s">
        <v>2022</v>
      </c>
      <c r="F68" s="5" t="s">
        <v>2140</v>
      </c>
    </row>
    <row r="69" spans="1:6">
      <c r="A69" s="5" t="s">
        <v>579</v>
      </c>
      <c r="B69" s="5" t="s">
        <v>1716</v>
      </c>
      <c r="C69" s="5" t="s">
        <v>1862</v>
      </c>
      <c r="D69" s="5" t="s">
        <v>1984</v>
      </c>
      <c r="E69" s="5" t="s">
        <v>2045</v>
      </c>
      <c r="F69" s="5" t="s">
        <v>2142</v>
      </c>
    </row>
    <row r="70" spans="1:6">
      <c r="A70" s="5" t="s">
        <v>579</v>
      </c>
      <c r="B70" s="5"/>
      <c r="C70" s="5" t="s">
        <v>147</v>
      </c>
      <c r="D70" s="5" t="s">
        <v>1954</v>
      </c>
      <c r="E70" s="5" t="s">
        <v>2047</v>
      </c>
      <c r="F70" s="5"/>
    </row>
    <row r="71" spans="1:6">
      <c r="A71" s="5" t="s">
        <v>579</v>
      </c>
      <c r="B71" s="5"/>
      <c r="C71" s="5" t="s">
        <v>1826</v>
      </c>
      <c r="D71" s="5" t="s">
        <v>1955</v>
      </c>
      <c r="E71" s="5" t="s">
        <v>2043</v>
      </c>
      <c r="F71" s="5"/>
    </row>
    <row r="72" spans="1:6">
      <c r="A72" s="5" t="s">
        <v>579</v>
      </c>
      <c r="B72" s="5"/>
      <c r="C72" s="5" t="s">
        <v>149</v>
      </c>
      <c r="D72" s="5" t="s">
        <v>1956</v>
      </c>
      <c r="E72" s="5" t="s">
        <v>2040</v>
      </c>
      <c r="F72" s="5"/>
    </row>
    <row r="73" spans="1:6">
      <c r="A73" s="5" t="s">
        <v>579</v>
      </c>
      <c r="B73" s="5"/>
      <c r="C73" s="5" t="s">
        <v>1829</v>
      </c>
      <c r="D73" s="5" t="s">
        <v>1957</v>
      </c>
      <c r="E73" s="5" t="s">
        <v>2059</v>
      </c>
      <c r="F73" s="5"/>
    </row>
    <row r="74" spans="1:6">
      <c r="A74" s="5" t="s">
        <v>579</v>
      </c>
      <c r="B74" s="5"/>
      <c r="C74" s="5" t="s">
        <v>151</v>
      </c>
      <c r="D74" s="5" t="s">
        <v>1958</v>
      </c>
      <c r="E74" s="5" t="s">
        <v>183</v>
      </c>
      <c r="F74" s="5"/>
    </row>
    <row r="75" spans="1:6">
      <c r="A75" s="5" t="s">
        <v>579</v>
      </c>
      <c r="B75" s="5"/>
      <c r="C75" s="5"/>
      <c r="D75" s="5" t="s">
        <v>1959</v>
      </c>
      <c r="E75" s="5" t="s">
        <v>2071</v>
      </c>
      <c r="F75" s="5"/>
    </row>
    <row r="76" spans="1:6">
      <c r="A76" s="5" t="s">
        <v>579</v>
      </c>
      <c r="B76" s="5"/>
      <c r="C76" s="5"/>
      <c r="D76" s="5" t="s">
        <v>1960</v>
      </c>
      <c r="E76" s="5" t="s">
        <v>5597</v>
      </c>
      <c r="F76" s="5"/>
    </row>
    <row r="77" spans="1:6">
      <c r="A77" s="5" t="s">
        <v>579</v>
      </c>
      <c r="B77" s="5"/>
      <c r="C77" s="5"/>
      <c r="D77" s="5" t="s">
        <v>1961</v>
      </c>
      <c r="E77" s="5" t="s">
        <v>2072</v>
      </c>
      <c r="F77" s="5"/>
    </row>
    <row r="78" spans="1:6">
      <c r="A78" s="5" t="s">
        <v>579</v>
      </c>
      <c r="B78" s="5"/>
      <c r="C78" s="5"/>
      <c r="D78" s="5" t="s">
        <v>1962</v>
      </c>
      <c r="E78" s="5" t="s">
        <v>2073</v>
      </c>
      <c r="F78" s="5"/>
    </row>
    <row r="79" spans="1:6">
      <c r="A79" s="5" t="s">
        <v>579</v>
      </c>
      <c r="B79" s="5"/>
      <c r="C79" s="5"/>
      <c r="D79" s="5" t="s">
        <v>1963</v>
      </c>
      <c r="E79" s="5" t="s">
        <v>2038</v>
      </c>
      <c r="F79" s="5"/>
    </row>
    <row r="80" spans="1:6">
      <c r="A80" s="5" t="s">
        <v>579</v>
      </c>
      <c r="B80" s="5"/>
      <c r="C80" s="5"/>
      <c r="D80" s="5" t="s">
        <v>536</v>
      </c>
      <c r="E80" s="5" t="s">
        <v>2089</v>
      </c>
      <c r="F80" s="5"/>
    </row>
    <row r="81" spans="1:7">
      <c r="A81" s="5" t="s">
        <v>579</v>
      </c>
      <c r="B81" s="5"/>
      <c r="C81" s="5"/>
      <c r="D81" s="5" t="s">
        <v>1931</v>
      </c>
      <c r="E81" s="5" t="s">
        <v>196</v>
      </c>
      <c r="F81" s="5"/>
      <c r="G81" s="2" t="s">
        <v>5604</v>
      </c>
    </row>
    <row r="82" spans="1:6">
      <c r="A82" s="5" t="s">
        <v>579</v>
      </c>
      <c r="B82" s="5"/>
      <c r="C82" s="5"/>
      <c r="D82" s="5" t="s">
        <v>1932</v>
      </c>
      <c r="E82" s="5" t="s">
        <v>2115</v>
      </c>
      <c r="F82" s="5"/>
    </row>
    <row r="83" spans="1:6">
      <c r="A83" s="5" t="s">
        <v>579</v>
      </c>
      <c r="B83" s="5"/>
      <c r="C83" s="5"/>
      <c r="D83" s="5" t="s">
        <v>168</v>
      </c>
      <c r="E83" s="5" t="s">
        <v>5605</v>
      </c>
      <c r="F83" s="5"/>
    </row>
    <row r="84" spans="1:6">
      <c r="A84" s="5" t="s">
        <v>579</v>
      </c>
      <c r="B84" s="5"/>
      <c r="C84" s="5"/>
      <c r="D84" s="5" t="s">
        <v>1935</v>
      </c>
      <c r="E84" s="5" t="s">
        <v>194</v>
      </c>
      <c r="F84" s="5"/>
    </row>
    <row r="85" spans="1:6">
      <c r="A85" s="5" t="s">
        <v>579</v>
      </c>
      <c r="B85" s="5"/>
      <c r="C85" s="5"/>
      <c r="D85" s="5" t="s">
        <v>1938</v>
      </c>
      <c r="E85" s="5" t="s">
        <v>198</v>
      </c>
      <c r="F85" s="5"/>
    </row>
    <row r="86" spans="1:6">
      <c r="A86" s="5" t="s">
        <v>579</v>
      </c>
      <c r="B86" s="5"/>
      <c r="C86" s="5"/>
      <c r="D86" s="5" t="s">
        <v>1940</v>
      </c>
      <c r="E86" s="5"/>
      <c r="F86" s="5"/>
    </row>
    <row r="87" spans="1:6">
      <c r="A87" s="5" t="s">
        <v>579</v>
      </c>
      <c r="B87" s="5"/>
      <c r="C87" s="5"/>
      <c r="D87" s="5" t="s">
        <v>1943</v>
      </c>
      <c r="E87" s="5"/>
      <c r="F87" s="5"/>
    </row>
    <row r="88" spans="1:6">
      <c r="A88" s="5" t="s">
        <v>579</v>
      </c>
      <c r="B88" s="5"/>
      <c r="C88" s="5"/>
      <c r="D88" s="5" t="s">
        <v>1945</v>
      </c>
      <c r="E88" s="5"/>
      <c r="F88" s="5"/>
    </row>
    <row r="89" spans="1:6">
      <c r="A89" s="5" t="s">
        <v>579</v>
      </c>
      <c r="B89" s="5"/>
      <c r="C89" s="5"/>
      <c r="D89" s="5"/>
      <c r="E89" s="5"/>
      <c r="F89" s="5"/>
    </row>
    <row r="90" spans="1:6">
      <c r="A90" s="5" t="s">
        <v>579</v>
      </c>
      <c r="B90" s="5"/>
      <c r="C90" s="5"/>
      <c r="D90" s="5"/>
      <c r="E90" s="5"/>
      <c r="F90" s="5"/>
    </row>
    <row r="91" spans="1:6">
      <c r="A91" s="5" t="s">
        <v>579</v>
      </c>
      <c r="B91" s="5"/>
      <c r="C91" s="5"/>
      <c r="D91" s="5"/>
      <c r="E91" s="5"/>
      <c r="F91" s="5"/>
    </row>
    <row r="92" spans="1:6">
      <c r="A92" s="5" t="s">
        <v>579</v>
      </c>
      <c r="B92" s="5"/>
      <c r="C92" s="5"/>
      <c r="D92" s="5"/>
      <c r="E92" s="5"/>
      <c r="F92" s="5"/>
    </row>
    <row r="93" spans="1:6">
      <c r="A93" s="5" t="s">
        <v>579</v>
      </c>
      <c r="B93" s="5"/>
      <c r="C93" s="5"/>
      <c r="D93" s="5"/>
      <c r="E93" s="5"/>
      <c r="F93" s="5"/>
    </row>
    <row r="94" spans="1:6">
      <c r="A94" s="5" t="s">
        <v>579</v>
      </c>
      <c r="B94" s="5"/>
      <c r="C94" s="5"/>
      <c r="D94" s="5"/>
      <c r="E94" s="5"/>
      <c r="F94" s="5"/>
    </row>
    <row r="95" spans="1:6">
      <c r="A95" s="5" t="s">
        <v>579</v>
      </c>
      <c r="B95" s="5"/>
      <c r="C95" s="5"/>
      <c r="D95" s="5"/>
      <c r="E95" s="5"/>
      <c r="F95" s="5"/>
    </row>
    <row r="96" spans="1:6">
      <c r="A96" s="5" t="s">
        <v>579</v>
      </c>
      <c r="B96" s="5"/>
      <c r="C96" s="5"/>
      <c r="D96" s="5"/>
      <c r="E96" s="5"/>
      <c r="F96" s="5"/>
    </row>
    <row r="97" spans="1:6">
      <c r="A97" s="5" t="s">
        <v>579</v>
      </c>
      <c r="B97" s="5"/>
      <c r="C97" s="5"/>
      <c r="D97" s="5"/>
      <c r="E97" s="5"/>
      <c r="F97" s="5"/>
    </row>
    <row r="98" spans="1:6">
      <c r="A98" s="5" t="s">
        <v>579</v>
      </c>
      <c r="B98" s="5"/>
      <c r="C98" s="5"/>
      <c r="D98" s="5"/>
      <c r="E98" s="5"/>
      <c r="F98" s="5"/>
    </row>
    <row r="99" spans="1:6">
      <c r="A99" s="5" t="s">
        <v>579</v>
      </c>
      <c r="B99" s="5"/>
      <c r="C99" s="5"/>
      <c r="D99" s="5"/>
      <c r="E99" s="5"/>
      <c r="F99" s="5"/>
    </row>
    <row r="100" spans="1:6">
      <c r="A100" s="5" t="s">
        <v>579</v>
      </c>
      <c r="B100" s="5"/>
      <c r="C100" s="5"/>
      <c r="D100" s="5"/>
      <c r="E100" s="5"/>
      <c r="F100" s="5"/>
    </row>
    <row r="101" spans="1:6">
      <c r="A101" s="5" t="s">
        <v>579</v>
      </c>
      <c r="B101" s="5"/>
      <c r="C101" s="5"/>
      <c r="D101" s="5"/>
      <c r="E101" s="5"/>
      <c r="F101" s="5"/>
    </row>
    <row r="102" spans="1:6">
      <c r="A102" s="5" t="s">
        <v>579</v>
      </c>
      <c r="B102" s="5"/>
      <c r="C102" s="5"/>
      <c r="D102" s="5"/>
      <c r="E102" s="5"/>
      <c r="F102" s="5"/>
    </row>
    <row r="103" spans="1:6">
      <c r="A103" s="5" t="s">
        <v>579</v>
      </c>
      <c r="B103" s="5"/>
      <c r="C103" s="5"/>
      <c r="D103" s="5"/>
      <c r="E103" s="5"/>
      <c r="F103" s="5"/>
    </row>
    <row r="104" spans="1:6">
      <c r="A104" s="6" t="s">
        <v>581</v>
      </c>
      <c r="B104" s="6" t="s">
        <v>1636</v>
      </c>
      <c r="C104" s="6" t="s">
        <v>117</v>
      </c>
      <c r="D104" s="6" t="s">
        <v>1964</v>
      </c>
      <c r="E104" s="6" t="s">
        <v>171</v>
      </c>
      <c r="F104" s="6" t="s">
        <v>210</v>
      </c>
    </row>
    <row r="105" spans="1:6">
      <c r="A105" s="6" t="s">
        <v>581</v>
      </c>
      <c r="B105" s="6" t="s">
        <v>55</v>
      </c>
      <c r="C105" s="6" t="s">
        <v>115</v>
      </c>
      <c r="D105" s="6" t="s">
        <v>1965</v>
      </c>
      <c r="E105" s="6" t="s">
        <v>2031</v>
      </c>
      <c r="F105" s="6" t="s">
        <v>214</v>
      </c>
    </row>
    <row r="106" spans="1:6">
      <c r="A106" s="6" t="s">
        <v>581</v>
      </c>
      <c r="B106" s="6" t="s">
        <v>57</v>
      </c>
      <c r="C106" s="6" t="s">
        <v>1879</v>
      </c>
      <c r="D106" s="6" t="s">
        <v>1966</v>
      </c>
      <c r="E106" s="6" t="s">
        <v>2034</v>
      </c>
      <c r="F106" s="6" t="s">
        <v>2137</v>
      </c>
    </row>
    <row r="107" spans="1:6">
      <c r="A107" s="6" t="s">
        <v>581</v>
      </c>
      <c r="B107" s="6" t="s">
        <v>5606</v>
      </c>
      <c r="C107" s="6" t="s">
        <v>5607</v>
      </c>
      <c r="D107" s="6" t="s">
        <v>1967</v>
      </c>
      <c r="E107" s="6" t="s">
        <v>440</v>
      </c>
      <c r="F107" s="6" t="s">
        <v>2138</v>
      </c>
    </row>
    <row r="108" spans="1:6">
      <c r="A108" s="6" t="s">
        <v>581</v>
      </c>
      <c r="B108" s="6" t="s">
        <v>32</v>
      </c>
      <c r="C108" s="6" t="s">
        <v>153</v>
      </c>
      <c r="D108" s="6" t="s">
        <v>1968</v>
      </c>
      <c r="E108" s="6" t="s">
        <v>2076</v>
      </c>
      <c r="F108" s="6" t="s">
        <v>2140</v>
      </c>
    </row>
    <row r="109" spans="1:6">
      <c r="A109" s="6" t="s">
        <v>581</v>
      </c>
      <c r="B109" s="6"/>
      <c r="C109" s="6" t="s">
        <v>5608</v>
      </c>
      <c r="D109" s="6" t="s">
        <v>1969</v>
      </c>
      <c r="E109" s="6" t="s">
        <v>2086</v>
      </c>
      <c r="F109" s="6" t="s">
        <v>2142</v>
      </c>
    </row>
    <row r="110" spans="1:6">
      <c r="A110" s="6" t="s">
        <v>581</v>
      </c>
      <c r="B110" s="6"/>
      <c r="C110" s="6" t="s">
        <v>5609</v>
      </c>
      <c r="D110" s="6" t="s">
        <v>1970</v>
      </c>
      <c r="E110" s="6" t="s">
        <v>2053</v>
      </c>
      <c r="F110" s="6"/>
    </row>
    <row r="111" spans="1:6">
      <c r="A111" s="6" t="s">
        <v>581</v>
      </c>
      <c r="B111" s="6"/>
      <c r="C111" s="6" t="s">
        <v>155</v>
      </c>
      <c r="D111" s="6" t="s">
        <v>1971</v>
      </c>
      <c r="E111" s="6"/>
      <c r="F111" s="6"/>
    </row>
    <row r="112" spans="1:6">
      <c r="A112" s="6" t="s">
        <v>581</v>
      </c>
      <c r="B112" s="6"/>
      <c r="C112" s="6"/>
      <c r="D112" s="6" t="s">
        <v>1972</v>
      </c>
      <c r="E112" s="6"/>
      <c r="F112" s="6"/>
    </row>
    <row r="113" spans="1:6">
      <c r="A113" s="6" t="s">
        <v>581</v>
      </c>
      <c r="B113" s="6"/>
      <c r="C113" s="6"/>
      <c r="D113" s="6" t="s">
        <v>1973</v>
      </c>
      <c r="E113" s="6"/>
      <c r="F113" s="6"/>
    </row>
    <row r="114" spans="1:6">
      <c r="A114" s="6" t="s">
        <v>581</v>
      </c>
      <c r="B114" s="6"/>
      <c r="C114" s="6"/>
      <c r="D114" s="6" t="s">
        <v>1974</v>
      </c>
      <c r="E114" s="6"/>
      <c r="F114" s="6"/>
    </row>
    <row r="115" spans="1:6">
      <c r="A115" s="6" t="s">
        <v>581</v>
      </c>
      <c r="B115" s="6"/>
      <c r="C115" s="6"/>
      <c r="D115" s="6" t="s">
        <v>5610</v>
      </c>
      <c r="E115" s="6"/>
      <c r="F115" s="6"/>
    </row>
    <row r="116" spans="1:6">
      <c r="A116" s="6" t="s">
        <v>581</v>
      </c>
      <c r="B116" s="6"/>
      <c r="C116" s="6"/>
      <c r="D116" s="6" t="s">
        <v>168</v>
      </c>
      <c r="E116" s="6"/>
      <c r="F116" s="6"/>
    </row>
    <row r="117" spans="1:6">
      <c r="A117" s="6" t="s">
        <v>581</v>
      </c>
      <c r="B117" s="6"/>
      <c r="C117" s="6"/>
      <c r="D117" s="6" t="s">
        <v>1935</v>
      </c>
      <c r="E117" s="6"/>
      <c r="F117" s="6"/>
    </row>
    <row r="118" spans="1:6">
      <c r="A118" s="6" t="s">
        <v>581</v>
      </c>
      <c r="B118" s="6"/>
      <c r="C118" s="6"/>
      <c r="D118" s="6" t="s">
        <v>1938</v>
      </c>
      <c r="E118" s="6"/>
      <c r="F118" s="6"/>
    </row>
    <row r="119" spans="1:6">
      <c r="A119" s="6" t="s">
        <v>581</v>
      </c>
      <c r="B119" s="6"/>
      <c r="C119" s="6"/>
      <c r="D119" s="6" t="s">
        <v>1940</v>
      </c>
      <c r="E119" s="6"/>
      <c r="F119" s="6"/>
    </row>
    <row r="120" spans="1:6">
      <c r="A120" s="6" t="s">
        <v>581</v>
      </c>
      <c r="B120" s="6"/>
      <c r="C120" s="6"/>
      <c r="D120" s="6" t="s">
        <v>1943</v>
      </c>
      <c r="E120" s="6"/>
      <c r="F120" s="6"/>
    </row>
    <row r="121" spans="1:6">
      <c r="A121" s="6" t="s">
        <v>581</v>
      </c>
      <c r="B121" s="6"/>
      <c r="C121" s="6"/>
      <c r="D121" s="6" t="s">
        <v>1945</v>
      </c>
      <c r="E121" s="6"/>
      <c r="F121" s="6"/>
    </row>
    <row r="122" spans="1:6">
      <c r="A122" s="6" t="s">
        <v>581</v>
      </c>
      <c r="B122" s="6"/>
      <c r="C122" s="6"/>
      <c r="D122" s="6"/>
      <c r="E122" s="6"/>
      <c r="F122" s="6"/>
    </row>
    <row r="123" spans="1:6">
      <c r="A123" s="6" t="s">
        <v>581</v>
      </c>
      <c r="B123" s="6"/>
      <c r="C123" s="6"/>
      <c r="D123" s="6"/>
      <c r="E123" s="6"/>
      <c r="F123" s="6"/>
    </row>
    <row r="124" spans="1:6">
      <c r="A124" s="6" t="s">
        <v>581</v>
      </c>
      <c r="B124" s="6"/>
      <c r="C124" s="6"/>
      <c r="D124" s="6"/>
      <c r="E124" s="6"/>
      <c r="F124" s="6"/>
    </row>
    <row r="125" spans="1:6">
      <c r="A125" s="6" t="s">
        <v>581</v>
      </c>
      <c r="B125" s="6"/>
      <c r="C125" s="6"/>
      <c r="D125" s="6"/>
      <c r="E125" s="6"/>
      <c r="F125" s="6"/>
    </row>
    <row r="126" spans="1:6">
      <c r="A126" s="6" t="s">
        <v>581</v>
      </c>
      <c r="B126" s="6"/>
      <c r="C126" s="6"/>
      <c r="D126" s="6"/>
      <c r="E126" s="6"/>
      <c r="F126" s="6"/>
    </row>
    <row r="127" spans="1:7">
      <c r="A127" s="7" t="s">
        <v>585</v>
      </c>
      <c r="B127" s="7" t="s">
        <v>1672</v>
      </c>
      <c r="C127" s="7" t="s">
        <v>165</v>
      </c>
      <c r="D127" s="7"/>
      <c r="E127" s="7"/>
      <c r="F127" s="7"/>
      <c r="G127" s="2" t="s">
        <v>229</v>
      </c>
    </row>
    <row r="128" spans="1:7">
      <c r="A128" s="7" t="s">
        <v>585</v>
      </c>
      <c r="B128" s="7" t="s">
        <v>1681</v>
      </c>
      <c r="C128" s="7" t="s">
        <v>1806</v>
      </c>
      <c r="D128" s="7"/>
      <c r="E128" s="7"/>
      <c r="F128" s="7"/>
      <c r="G128" s="2" t="s">
        <v>2152</v>
      </c>
    </row>
    <row r="129" spans="1:7">
      <c r="A129" s="7" t="s">
        <v>585</v>
      </c>
      <c r="B129" s="7" t="s">
        <v>1684</v>
      </c>
      <c r="C129" s="7" t="s">
        <v>109</v>
      </c>
      <c r="D129" s="7"/>
      <c r="E129" s="7"/>
      <c r="F129" s="7"/>
      <c r="G129" s="2" t="s">
        <v>2153</v>
      </c>
    </row>
    <row r="130" spans="1:7">
      <c r="A130" s="7" t="s">
        <v>585</v>
      </c>
      <c r="B130" s="7" t="s">
        <v>5611</v>
      </c>
      <c r="C130" s="7" t="s">
        <v>111</v>
      </c>
      <c r="D130" s="7"/>
      <c r="E130" s="7"/>
      <c r="F130" s="7"/>
      <c r="G130" s="2" t="s">
        <v>233</v>
      </c>
    </row>
    <row r="131" spans="1:7">
      <c r="A131" s="7" t="s">
        <v>585</v>
      </c>
      <c r="B131" s="7" t="s">
        <v>1686</v>
      </c>
      <c r="C131" s="7" t="s">
        <v>113</v>
      </c>
      <c r="D131" s="7"/>
      <c r="E131" s="7"/>
      <c r="F131" s="7"/>
      <c r="G131" s="2" t="s">
        <v>231</v>
      </c>
    </row>
    <row r="132" spans="1:7">
      <c r="A132" s="7" t="s">
        <v>585</v>
      </c>
      <c r="B132" s="7" t="s">
        <v>1688</v>
      </c>
      <c r="C132" s="7" t="s">
        <v>1797</v>
      </c>
      <c r="D132" s="7"/>
      <c r="E132" s="7"/>
      <c r="F132" s="7"/>
      <c r="G132" s="2" t="s">
        <v>227</v>
      </c>
    </row>
    <row r="133" spans="1:7">
      <c r="A133" s="7" t="s">
        <v>585</v>
      </c>
      <c r="B133" s="7" t="s">
        <v>1690</v>
      </c>
      <c r="C133" s="7" t="s">
        <v>1799</v>
      </c>
      <c r="D133" s="7"/>
      <c r="E133" s="7"/>
      <c r="F133" s="7"/>
      <c r="G133" s="2" t="s">
        <v>2154</v>
      </c>
    </row>
    <row r="134" spans="1:7">
      <c r="A134" s="7" t="s">
        <v>585</v>
      </c>
      <c r="B134" s="7" t="s">
        <v>1692</v>
      </c>
      <c r="C134" s="7" t="s">
        <v>1802</v>
      </c>
      <c r="D134" s="7"/>
      <c r="E134" s="7"/>
      <c r="F134" s="7"/>
      <c r="G134" s="2" t="s">
        <v>2155</v>
      </c>
    </row>
    <row r="135" spans="1:7">
      <c r="A135" s="7" t="s">
        <v>585</v>
      </c>
      <c r="B135" s="7" t="s">
        <v>104</v>
      </c>
      <c r="C135" s="7" t="s">
        <v>1804</v>
      </c>
      <c r="D135" s="7"/>
      <c r="E135" s="7"/>
      <c r="F135" s="7"/>
      <c r="G135" s="2" t="s">
        <v>2156</v>
      </c>
    </row>
    <row r="136" spans="1:7">
      <c r="A136" s="7" t="s">
        <v>585</v>
      </c>
      <c r="B136" s="7" t="s">
        <v>1699</v>
      </c>
      <c r="C136" s="7" t="s">
        <v>1752</v>
      </c>
      <c r="D136" s="7"/>
      <c r="E136" s="7"/>
      <c r="F136" s="7"/>
      <c r="G136" s="2" t="s">
        <v>5612</v>
      </c>
    </row>
    <row r="137" spans="1:7">
      <c r="A137" s="7" t="s">
        <v>585</v>
      </c>
      <c r="B137" s="7" t="s">
        <v>1694</v>
      </c>
      <c r="C137" s="7" t="s">
        <v>161</v>
      </c>
      <c r="D137" s="7"/>
      <c r="E137" s="7"/>
      <c r="F137" s="7"/>
      <c r="G137" s="2" t="s">
        <v>2158</v>
      </c>
    </row>
    <row r="138" spans="1:6">
      <c r="A138" s="7" t="s">
        <v>585</v>
      </c>
      <c r="B138" s="7" t="s">
        <v>1698</v>
      </c>
      <c r="C138" s="7" t="s">
        <v>163</v>
      </c>
      <c r="D138" s="7"/>
      <c r="E138" s="7"/>
      <c r="F138" s="7"/>
    </row>
    <row r="139" spans="1:6">
      <c r="A139" s="7" t="s">
        <v>585</v>
      </c>
      <c r="B139" s="7" t="s">
        <v>102</v>
      </c>
      <c r="C139" s="7" t="s">
        <v>1755</v>
      </c>
      <c r="D139" s="7"/>
      <c r="E139" s="7"/>
      <c r="F139" s="7"/>
    </row>
    <row r="140" spans="1:6">
      <c r="A140" s="7" t="s">
        <v>585</v>
      </c>
      <c r="B140" s="7" t="s">
        <v>1700</v>
      </c>
      <c r="C140" s="7" t="s">
        <v>1746</v>
      </c>
      <c r="D140" s="7"/>
      <c r="E140" s="7"/>
      <c r="F140" s="7"/>
    </row>
    <row r="141" spans="1:6">
      <c r="A141" s="7" t="s">
        <v>585</v>
      </c>
      <c r="B141" s="7" t="s">
        <v>1702</v>
      </c>
      <c r="C141" s="7" t="s">
        <v>1764</v>
      </c>
      <c r="D141" s="7"/>
      <c r="E141" s="7"/>
      <c r="F141" s="7"/>
    </row>
    <row r="142" spans="1:6">
      <c r="A142" s="7" t="s">
        <v>585</v>
      </c>
      <c r="B142" s="7" t="s">
        <v>1709</v>
      </c>
      <c r="C142" s="7" t="s">
        <v>1887</v>
      </c>
      <c r="D142" s="7"/>
      <c r="E142" s="7"/>
      <c r="F142" s="7"/>
    </row>
    <row r="143" spans="1:6">
      <c r="A143" s="7" t="s">
        <v>585</v>
      </c>
      <c r="B143" s="7" t="s">
        <v>1706</v>
      </c>
      <c r="C143" s="7" t="s">
        <v>1869</v>
      </c>
      <c r="D143" s="7"/>
      <c r="E143" s="7"/>
      <c r="F143" s="7"/>
    </row>
    <row r="144" spans="1:6">
      <c r="A144" s="7" t="s">
        <v>585</v>
      </c>
      <c r="B144" s="7" t="s">
        <v>94</v>
      </c>
      <c r="C144" s="7" t="s">
        <v>141</v>
      </c>
      <c r="D144" s="7"/>
      <c r="E144" s="7"/>
      <c r="F144" s="7"/>
    </row>
    <row r="145" spans="1:6">
      <c r="A145" s="7" t="s">
        <v>585</v>
      </c>
      <c r="B145" s="7" t="s">
        <v>96</v>
      </c>
      <c r="C145" s="7" t="s">
        <v>1758</v>
      </c>
      <c r="D145" s="7"/>
      <c r="E145" s="7"/>
      <c r="F145" s="7"/>
    </row>
    <row r="146" spans="1:6">
      <c r="A146" s="7" t="s">
        <v>585</v>
      </c>
      <c r="B146" s="7" t="s">
        <v>98</v>
      </c>
      <c r="C146" s="7" t="s">
        <v>1760</v>
      </c>
      <c r="D146" s="7"/>
      <c r="E146" s="7"/>
      <c r="F146" s="7"/>
    </row>
    <row r="147" spans="1:6">
      <c r="A147" s="7" t="s">
        <v>585</v>
      </c>
      <c r="B147" s="7" t="s">
        <v>100</v>
      </c>
      <c r="C147" s="7" t="s">
        <v>1761</v>
      </c>
      <c r="D147" s="7"/>
      <c r="E147" s="7"/>
      <c r="F147" s="7"/>
    </row>
    <row r="148" spans="1:6">
      <c r="A148" s="7" t="s">
        <v>585</v>
      </c>
      <c r="B148" s="7" t="s">
        <v>5613</v>
      </c>
      <c r="C148" s="7"/>
      <c r="D148" s="7"/>
      <c r="E148" s="7"/>
      <c r="F148" s="7"/>
    </row>
    <row r="149" spans="1:6">
      <c r="A149" s="7" t="s">
        <v>585</v>
      </c>
      <c r="B149" s="7" t="s">
        <v>5614</v>
      </c>
      <c r="C149" s="7"/>
      <c r="D149" s="7"/>
      <c r="E149" s="7"/>
      <c r="F149" s="7"/>
    </row>
    <row r="150" spans="1:6">
      <c r="A150" s="7" t="s">
        <v>585</v>
      </c>
      <c r="B150" s="7" t="s">
        <v>1715</v>
      </c>
      <c r="C150" s="7"/>
      <c r="D150" s="7"/>
      <c r="E150" s="7"/>
      <c r="F150" s="7"/>
    </row>
    <row r="151" spans="1:6">
      <c r="A151" s="7" t="s">
        <v>585</v>
      </c>
      <c r="B151" s="7" t="s">
        <v>1712</v>
      </c>
      <c r="C151" s="7"/>
      <c r="D151" s="7"/>
      <c r="E151" s="7"/>
      <c r="F151" s="7"/>
    </row>
    <row r="152" spans="1:6">
      <c r="A152" s="7" t="s">
        <v>585</v>
      </c>
      <c r="B152" s="7" t="s">
        <v>1713</v>
      </c>
      <c r="C152" s="7"/>
      <c r="D152" s="7"/>
      <c r="E152" s="7"/>
      <c r="F152" s="7"/>
    </row>
    <row r="153" spans="1:6">
      <c r="A153" s="7" t="s">
        <v>585</v>
      </c>
      <c r="B153" s="7" t="s">
        <v>1714</v>
      </c>
      <c r="C153" s="7"/>
      <c r="D153" s="7"/>
      <c r="E153" s="7"/>
      <c r="F153" s="7"/>
    </row>
    <row r="154" spans="1:6">
      <c r="A154" s="8" t="s">
        <v>583</v>
      </c>
      <c r="B154" s="8" t="s">
        <v>59</v>
      </c>
      <c r="C154" s="8" t="s">
        <v>121</v>
      </c>
      <c r="D154" s="8" t="s">
        <v>1976</v>
      </c>
      <c r="E154" s="8" t="s">
        <v>171</v>
      </c>
      <c r="F154" s="8" t="s">
        <v>210</v>
      </c>
    </row>
    <row r="155" spans="1:6">
      <c r="A155" s="8" t="s">
        <v>583</v>
      </c>
      <c r="B155" s="8" t="s">
        <v>1643</v>
      </c>
      <c r="C155" s="8" t="s">
        <v>119</v>
      </c>
      <c r="D155" s="8" t="s">
        <v>1977</v>
      </c>
      <c r="E155" s="8" t="s">
        <v>2031</v>
      </c>
      <c r="F155" s="8" t="s">
        <v>214</v>
      </c>
    </row>
    <row r="156" spans="1:6">
      <c r="A156" s="8" t="s">
        <v>583</v>
      </c>
      <c r="B156" s="8" t="s">
        <v>61</v>
      </c>
      <c r="C156" s="8" t="s">
        <v>1881</v>
      </c>
      <c r="D156" s="8" t="s">
        <v>1978</v>
      </c>
      <c r="E156" s="8" t="s">
        <v>2034</v>
      </c>
      <c r="F156" s="8" t="s">
        <v>2137</v>
      </c>
    </row>
    <row r="157" spans="1:6">
      <c r="A157" s="8" t="s">
        <v>583</v>
      </c>
      <c r="B157" s="8" t="s">
        <v>30</v>
      </c>
      <c r="C157" s="8" t="s">
        <v>157</v>
      </c>
      <c r="D157" s="8" t="s">
        <v>1979</v>
      </c>
      <c r="E157" s="8" t="s">
        <v>2036</v>
      </c>
      <c r="F157" s="8" t="s">
        <v>2138</v>
      </c>
    </row>
    <row r="158" spans="1:6">
      <c r="A158" s="8" t="s">
        <v>583</v>
      </c>
      <c r="B158" s="8"/>
      <c r="C158" s="8" t="s">
        <v>5615</v>
      </c>
      <c r="D158" s="8" t="s">
        <v>1980</v>
      </c>
      <c r="E158" s="8" t="s">
        <v>2076</v>
      </c>
      <c r="F158" s="8" t="s">
        <v>2140</v>
      </c>
    </row>
    <row r="159" spans="1:6">
      <c r="A159" s="8" t="s">
        <v>583</v>
      </c>
      <c r="B159" s="8"/>
      <c r="C159" s="8" t="s">
        <v>159</v>
      </c>
      <c r="D159" s="8" t="s">
        <v>1981</v>
      </c>
      <c r="E159" s="8" t="s">
        <v>2086</v>
      </c>
      <c r="F159" s="8" t="s">
        <v>2142</v>
      </c>
    </row>
    <row r="160" spans="1:6">
      <c r="A160" s="8" t="s">
        <v>583</v>
      </c>
      <c r="B160" s="8"/>
      <c r="C160" s="8"/>
      <c r="D160" s="8" t="s">
        <v>168</v>
      </c>
      <c r="E160" s="8" t="s">
        <v>2055</v>
      </c>
      <c r="F160" s="8"/>
    </row>
    <row r="161" spans="1:6">
      <c r="A161" s="8" t="s">
        <v>583</v>
      </c>
      <c r="B161" s="8"/>
      <c r="C161" s="8"/>
      <c r="D161" s="8" t="s">
        <v>1935</v>
      </c>
      <c r="E161" s="8" t="s">
        <v>2084</v>
      </c>
      <c r="F161" s="8"/>
    </row>
    <row r="162" spans="1:6">
      <c r="A162" s="8" t="s">
        <v>583</v>
      </c>
      <c r="B162" s="8"/>
      <c r="C162" s="8"/>
      <c r="D162" s="8" t="s">
        <v>1936</v>
      </c>
      <c r="E162" s="8" t="s">
        <v>2065</v>
      </c>
      <c r="F162" s="8"/>
    </row>
    <row r="163" spans="1:6">
      <c r="A163" s="8" t="s">
        <v>583</v>
      </c>
      <c r="B163" s="8"/>
      <c r="C163" s="8"/>
      <c r="D163" s="8" t="s">
        <v>1938</v>
      </c>
      <c r="E163" s="8" t="s">
        <v>2117</v>
      </c>
      <c r="F163" s="8"/>
    </row>
    <row r="164" spans="1:6">
      <c r="A164" s="8" t="s">
        <v>583</v>
      </c>
      <c r="B164" s="8"/>
      <c r="C164" s="8"/>
      <c r="D164" s="8" t="s">
        <v>1940</v>
      </c>
      <c r="E164" s="8" t="s">
        <v>2115</v>
      </c>
      <c r="F164" s="8"/>
    </row>
    <row r="165" spans="1:6">
      <c r="A165" s="8" t="s">
        <v>583</v>
      </c>
      <c r="B165" s="8"/>
      <c r="C165" s="8"/>
      <c r="D165" s="8" t="s">
        <v>1943</v>
      </c>
      <c r="E165" s="8" t="s">
        <v>2107</v>
      </c>
      <c r="F165" s="8"/>
    </row>
    <row r="166" spans="1:6">
      <c r="A166" s="8" t="s">
        <v>583</v>
      </c>
      <c r="B166" s="8"/>
      <c r="C166" s="8"/>
      <c r="D166" s="8" t="s">
        <v>1945</v>
      </c>
      <c r="E166" s="8"/>
      <c r="F166" s="8"/>
    </row>
    <row r="167" spans="1:6">
      <c r="A167" s="8" t="s">
        <v>583</v>
      </c>
      <c r="B167" s="8"/>
      <c r="C167" s="8"/>
      <c r="D167" s="8"/>
      <c r="E167" s="8"/>
      <c r="F167" s="8"/>
    </row>
    <row r="168" spans="1:6">
      <c r="A168" s="8" t="s">
        <v>583</v>
      </c>
      <c r="B168" s="8"/>
      <c r="C168" s="8"/>
      <c r="D168" s="8"/>
      <c r="E168" s="8"/>
      <c r="F168" s="8"/>
    </row>
    <row r="169" spans="1:6">
      <c r="A169" s="8" t="s">
        <v>583</v>
      </c>
      <c r="B169" s="8"/>
      <c r="C169" s="8"/>
      <c r="D169" s="8"/>
      <c r="E169" s="8"/>
      <c r="F169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PICS</vt:lpstr>
      <vt:lpstr>HOW TO FILL OUT</vt:lpstr>
      <vt:lpstr>BED 1</vt:lpstr>
      <vt:lpstr>BED 3</vt:lpstr>
      <vt:lpstr>BED 2 SUMMARY (by PAP)</vt:lpstr>
      <vt:lpstr>BED13 Checking</vt:lpstr>
      <vt:lpstr>BED2 checking</vt:lpstr>
      <vt:lpstr>BED13 vs BED2 checking</vt:lpstr>
      <vt:lpstr>comments</vt:lpstr>
      <vt:lpstr>CAPTURE SHEET - FINANCIAL</vt:lpstr>
      <vt:lpstr>CAPTURE SHEET - PHYSICAL</vt:lpstr>
      <vt:lpstr>PI LEVEL</vt:lpstr>
      <vt:lpstr>TAGS</vt:lpstr>
      <vt:lpstr>OU</vt:lpstr>
      <vt:lpstr>DISTRICT</vt:lpstr>
      <vt:lpstr>PAPbyCommodity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</dc:creator>
  <cp:lastModifiedBy>user</cp:lastModifiedBy>
  <dcterms:created xsi:type="dcterms:W3CDTF">2024-05-15T01:46:00Z</dcterms:created>
  <cp:lastPrinted>2025-01-16T01:24:00Z</cp:lastPrinted>
  <dcterms:modified xsi:type="dcterms:W3CDTF">2026-01-13T01:36:38Z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E1E462FC2F8849FF8CA743E8630E321F_13</vt:lpwstr>
  </property>
  <property fmtid="{D5CDD505-2E9C-101B-9397-08002B2CF9AE}" pid="3" name="KSOProductBuildVer">
    <vt:lpwstr>1033-12.9.0.21549</vt:lpwstr>
  </property>
</Properties>
</file>